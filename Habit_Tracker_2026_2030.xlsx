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worksheets/sheet40.xml" ContentType="application/vnd.openxmlformats-officedocument.spreadsheetml.worksheet+xml"/>
  <Override PartName="/xl/drawings/drawing40.xml" ContentType="application/vnd.openxmlformats-officedocument.drawing+xml"/>
  <Override PartName="/xl/worksheets/sheet41.xml" ContentType="application/vnd.openxmlformats-officedocument.spreadsheetml.worksheet+xml"/>
  <Override PartName="/xl/drawings/drawing41.xml" ContentType="application/vnd.openxmlformats-officedocument.drawing+xml"/>
  <Override PartName="/xl/worksheets/sheet42.xml" ContentType="application/vnd.openxmlformats-officedocument.spreadsheetml.worksheet+xml"/>
  <Override PartName="/xl/drawings/drawing42.xml" ContentType="application/vnd.openxmlformats-officedocument.drawing+xml"/>
  <Override PartName="/xl/worksheets/sheet43.xml" ContentType="application/vnd.openxmlformats-officedocument.spreadsheetml.worksheet+xml"/>
  <Override PartName="/xl/drawings/drawing43.xml" ContentType="application/vnd.openxmlformats-officedocument.drawing+xml"/>
  <Override PartName="/xl/worksheets/sheet44.xml" ContentType="application/vnd.openxmlformats-officedocument.spreadsheetml.worksheet+xml"/>
  <Override PartName="/xl/drawings/drawing44.xml" ContentType="application/vnd.openxmlformats-officedocument.drawing+xml"/>
  <Override PartName="/xl/worksheets/sheet45.xml" ContentType="application/vnd.openxmlformats-officedocument.spreadsheetml.worksheet+xml"/>
  <Override PartName="/xl/drawings/drawing45.xml" ContentType="application/vnd.openxmlformats-officedocument.drawing+xml"/>
  <Override PartName="/xl/worksheets/sheet46.xml" ContentType="application/vnd.openxmlformats-officedocument.spreadsheetml.worksheet+xml"/>
  <Override PartName="/xl/drawings/drawing46.xml" ContentType="application/vnd.openxmlformats-officedocument.drawing+xml"/>
  <Override PartName="/xl/worksheets/sheet47.xml" ContentType="application/vnd.openxmlformats-officedocument.spreadsheetml.worksheet+xml"/>
  <Override PartName="/xl/drawings/drawing47.xml" ContentType="application/vnd.openxmlformats-officedocument.drawing+xml"/>
  <Override PartName="/xl/worksheets/sheet48.xml" ContentType="application/vnd.openxmlformats-officedocument.spreadsheetml.worksheet+xml"/>
  <Override PartName="/xl/drawings/drawing48.xml" ContentType="application/vnd.openxmlformats-officedocument.drawing+xml"/>
  <Override PartName="/xl/worksheets/sheet49.xml" ContentType="application/vnd.openxmlformats-officedocument.spreadsheetml.worksheet+xml"/>
  <Override PartName="/xl/drawings/drawing49.xml" ContentType="application/vnd.openxmlformats-officedocument.drawing+xml"/>
  <Override PartName="/xl/worksheets/sheet50.xml" ContentType="application/vnd.openxmlformats-officedocument.spreadsheetml.worksheet+xml"/>
  <Override PartName="/xl/drawings/drawing50.xml" ContentType="application/vnd.openxmlformats-officedocument.drawing+xml"/>
  <Override PartName="/xl/worksheets/sheet51.xml" ContentType="application/vnd.openxmlformats-officedocument.spreadsheetml.worksheet+xml"/>
  <Override PartName="/xl/drawings/drawing51.xml" ContentType="application/vnd.openxmlformats-officedocument.drawing+xml"/>
  <Override PartName="/xl/worksheets/sheet52.xml" ContentType="application/vnd.openxmlformats-officedocument.spreadsheetml.worksheet+xml"/>
  <Override PartName="/xl/drawings/drawing5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p 2026" sheetId="1" state="visible" r:id="rId1"/>
    <sheet xmlns:r="http://schemas.openxmlformats.org/officeDocument/2006/relationships" name="Oct 2026" sheetId="2" state="visible" r:id="rId2"/>
    <sheet xmlns:r="http://schemas.openxmlformats.org/officeDocument/2006/relationships" name="Nov 2026" sheetId="3" state="visible" r:id="rId3"/>
    <sheet xmlns:r="http://schemas.openxmlformats.org/officeDocument/2006/relationships" name="Dec 2026" sheetId="4" state="visible" r:id="rId4"/>
    <sheet xmlns:r="http://schemas.openxmlformats.org/officeDocument/2006/relationships" name="Jan 2027" sheetId="5" state="visible" r:id="rId5"/>
    <sheet xmlns:r="http://schemas.openxmlformats.org/officeDocument/2006/relationships" name="Feb 2027" sheetId="6" state="visible" r:id="rId6"/>
    <sheet xmlns:r="http://schemas.openxmlformats.org/officeDocument/2006/relationships" name="Mar 2027" sheetId="7" state="visible" r:id="rId7"/>
    <sheet xmlns:r="http://schemas.openxmlformats.org/officeDocument/2006/relationships" name="Apr 2027" sheetId="8" state="visible" r:id="rId8"/>
    <sheet xmlns:r="http://schemas.openxmlformats.org/officeDocument/2006/relationships" name="May 2027" sheetId="9" state="visible" r:id="rId9"/>
    <sheet xmlns:r="http://schemas.openxmlformats.org/officeDocument/2006/relationships" name="Jun 2027" sheetId="10" state="visible" r:id="rId10"/>
    <sheet xmlns:r="http://schemas.openxmlformats.org/officeDocument/2006/relationships" name="Jul 2027" sheetId="11" state="visible" r:id="rId11"/>
    <sheet xmlns:r="http://schemas.openxmlformats.org/officeDocument/2006/relationships" name="Aug 2027" sheetId="12" state="visible" r:id="rId12"/>
    <sheet xmlns:r="http://schemas.openxmlformats.org/officeDocument/2006/relationships" name="Sep 2027" sheetId="13" state="visible" r:id="rId13"/>
    <sheet xmlns:r="http://schemas.openxmlformats.org/officeDocument/2006/relationships" name="Oct 2027" sheetId="14" state="visible" r:id="rId14"/>
    <sheet xmlns:r="http://schemas.openxmlformats.org/officeDocument/2006/relationships" name="Nov 2027" sheetId="15" state="visible" r:id="rId15"/>
    <sheet xmlns:r="http://schemas.openxmlformats.org/officeDocument/2006/relationships" name="Dec 2027" sheetId="16" state="visible" r:id="rId16"/>
    <sheet xmlns:r="http://schemas.openxmlformats.org/officeDocument/2006/relationships" name="Jan 2028" sheetId="17" state="visible" r:id="rId17"/>
    <sheet xmlns:r="http://schemas.openxmlformats.org/officeDocument/2006/relationships" name="Feb 2028" sheetId="18" state="visible" r:id="rId18"/>
    <sheet xmlns:r="http://schemas.openxmlformats.org/officeDocument/2006/relationships" name="Mar 2028" sheetId="19" state="visible" r:id="rId19"/>
    <sheet xmlns:r="http://schemas.openxmlformats.org/officeDocument/2006/relationships" name="Apr 2028" sheetId="20" state="visible" r:id="rId20"/>
    <sheet xmlns:r="http://schemas.openxmlformats.org/officeDocument/2006/relationships" name="May 2028" sheetId="21" state="visible" r:id="rId21"/>
    <sheet xmlns:r="http://schemas.openxmlformats.org/officeDocument/2006/relationships" name="Jun 2028" sheetId="22" state="visible" r:id="rId22"/>
    <sheet xmlns:r="http://schemas.openxmlformats.org/officeDocument/2006/relationships" name="Jul 2028" sheetId="23" state="visible" r:id="rId23"/>
    <sheet xmlns:r="http://schemas.openxmlformats.org/officeDocument/2006/relationships" name="Aug 2028" sheetId="24" state="visible" r:id="rId24"/>
    <sheet xmlns:r="http://schemas.openxmlformats.org/officeDocument/2006/relationships" name="Sep 2028" sheetId="25" state="visible" r:id="rId25"/>
    <sheet xmlns:r="http://schemas.openxmlformats.org/officeDocument/2006/relationships" name="Oct 2028" sheetId="26" state="visible" r:id="rId26"/>
    <sheet xmlns:r="http://schemas.openxmlformats.org/officeDocument/2006/relationships" name="Nov 2028" sheetId="27" state="visible" r:id="rId27"/>
    <sheet xmlns:r="http://schemas.openxmlformats.org/officeDocument/2006/relationships" name="Dec 2028" sheetId="28" state="visible" r:id="rId28"/>
    <sheet xmlns:r="http://schemas.openxmlformats.org/officeDocument/2006/relationships" name="Jan 2029" sheetId="29" state="visible" r:id="rId29"/>
    <sheet xmlns:r="http://schemas.openxmlformats.org/officeDocument/2006/relationships" name="Feb 2029" sheetId="30" state="visible" r:id="rId30"/>
    <sheet xmlns:r="http://schemas.openxmlformats.org/officeDocument/2006/relationships" name="Mar 2029" sheetId="31" state="visible" r:id="rId31"/>
    <sheet xmlns:r="http://schemas.openxmlformats.org/officeDocument/2006/relationships" name="Apr 2029" sheetId="32" state="visible" r:id="rId32"/>
    <sheet xmlns:r="http://schemas.openxmlformats.org/officeDocument/2006/relationships" name="May 2029" sheetId="33" state="visible" r:id="rId33"/>
    <sheet xmlns:r="http://schemas.openxmlformats.org/officeDocument/2006/relationships" name="Jun 2029" sheetId="34" state="visible" r:id="rId34"/>
    <sheet xmlns:r="http://schemas.openxmlformats.org/officeDocument/2006/relationships" name="Jul 2029" sheetId="35" state="visible" r:id="rId35"/>
    <sheet xmlns:r="http://schemas.openxmlformats.org/officeDocument/2006/relationships" name="Aug 2029" sheetId="36" state="visible" r:id="rId36"/>
    <sheet xmlns:r="http://schemas.openxmlformats.org/officeDocument/2006/relationships" name="Sep 2029" sheetId="37" state="visible" r:id="rId37"/>
    <sheet xmlns:r="http://schemas.openxmlformats.org/officeDocument/2006/relationships" name="Oct 2029" sheetId="38" state="visible" r:id="rId38"/>
    <sheet xmlns:r="http://schemas.openxmlformats.org/officeDocument/2006/relationships" name="Nov 2029" sheetId="39" state="visible" r:id="rId39"/>
    <sheet xmlns:r="http://schemas.openxmlformats.org/officeDocument/2006/relationships" name="Dec 2029" sheetId="40" state="visible" r:id="rId40"/>
    <sheet xmlns:r="http://schemas.openxmlformats.org/officeDocument/2006/relationships" name="Jan 2030" sheetId="41" state="visible" r:id="rId41"/>
    <sheet xmlns:r="http://schemas.openxmlformats.org/officeDocument/2006/relationships" name="Feb 2030" sheetId="42" state="visible" r:id="rId42"/>
    <sheet xmlns:r="http://schemas.openxmlformats.org/officeDocument/2006/relationships" name="Mar 2030" sheetId="43" state="visible" r:id="rId43"/>
    <sheet xmlns:r="http://schemas.openxmlformats.org/officeDocument/2006/relationships" name="Apr 2030" sheetId="44" state="visible" r:id="rId44"/>
    <sheet xmlns:r="http://schemas.openxmlformats.org/officeDocument/2006/relationships" name="May 2030" sheetId="45" state="visible" r:id="rId45"/>
    <sheet xmlns:r="http://schemas.openxmlformats.org/officeDocument/2006/relationships" name="Jun 2030" sheetId="46" state="visible" r:id="rId46"/>
    <sheet xmlns:r="http://schemas.openxmlformats.org/officeDocument/2006/relationships" name="Jul 2030" sheetId="47" state="visible" r:id="rId47"/>
    <sheet xmlns:r="http://schemas.openxmlformats.org/officeDocument/2006/relationships" name="Aug 2030" sheetId="48" state="visible" r:id="rId48"/>
    <sheet xmlns:r="http://schemas.openxmlformats.org/officeDocument/2006/relationships" name="Sep 2030" sheetId="49" state="visible" r:id="rId49"/>
    <sheet xmlns:r="http://schemas.openxmlformats.org/officeDocument/2006/relationships" name="Oct 2030" sheetId="50" state="visible" r:id="rId50"/>
    <sheet xmlns:r="http://schemas.openxmlformats.org/officeDocument/2006/relationships" name="Nov 2030" sheetId="51" state="visible" r:id="rId51"/>
    <sheet xmlns:r="http://schemas.openxmlformats.org/officeDocument/2006/relationships" name="Dec 20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3">
    <font>
      <name val="Calibri"/>
      <family val="2"/>
      <color theme="1"/>
      <sz val="11"/>
      <scheme val="minor"/>
    </font>
    <font>
      <name val="Arial"/>
      <b val="1"/>
      <color rgb="00000000"/>
      <sz val="18"/>
    </font>
    <font>
      <name val="Arial"/>
      <b val="1"/>
      <color rgb="00000000"/>
      <sz val="11"/>
    </font>
    <font>
      <name val="Arial"/>
      <b val="1"/>
      <color rgb="00000000"/>
      <sz val="13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b val="1"/>
      <sz val="8.5"/>
    </font>
    <font>
      <name val="Arial"/>
      <sz val="8"/>
    </font>
    <font>
      <name val="Arial"/>
      <sz val="8.5"/>
    </font>
    <font>
      <name val="Arial"/>
      <b val="1"/>
      <sz val="8"/>
    </font>
    <font>
      <name val="Arial"/>
      <sz val="7"/>
    </font>
    <font>
      <name val="Arial"/>
      <b val="1"/>
      <sz val="7"/>
    </font>
    <font>
      <name val="Arial"/>
      <b val="1"/>
      <sz val="7.5"/>
    </font>
    <font>
      <name val="Arial"/>
      <b val="1"/>
      <sz val="9"/>
    </font>
    <font>
      <name val="Arial"/>
      <b val="1"/>
      <color rgb="00C80000"/>
      <sz val="8.5"/>
    </font>
    <font>
      <name val="Arial"/>
      <b val="1"/>
      <color rgb="00007800"/>
      <sz val="8.5"/>
    </font>
    <font>
      <name val="Arial"/>
      <b val="1"/>
      <color rgb="00FFFFFF"/>
      <sz val="9"/>
    </font>
    <font>
      <name val="Arial"/>
      <b val="1"/>
      <color rgb="001E1B4B"/>
      <sz val="8"/>
    </font>
    <font>
      <name val="Arial"/>
      <b val="1"/>
      <color rgb="003730A3"/>
      <sz val="7"/>
    </font>
    <font>
      <name val="Arial"/>
      <b val="1"/>
      <color rgb="001E1B4B"/>
      <sz val="7"/>
    </font>
    <font>
      <name val="Arial"/>
      <b val="1"/>
      <color rgb="00FFFFFF"/>
      <sz val="8.5"/>
    </font>
    <font>
      <name val="Arial"/>
      <b val="1"/>
      <color rgb="001E1B4B"/>
      <sz val="9"/>
    </font>
    <font>
      <name val="Arial"/>
      <b val="1"/>
      <color rgb="0015803D"/>
      <sz val="8"/>
    </font>
    <font>
      <name val="Arial"/>
      <b val="1"/>
      <color rgb="00166534"/>
      <sz val="18"/>
    </font>
    <font>
      <name val="Arial"/>
      <i val="1"/>
      <color rgb="0015803D"/>
      <sz val="7.5"/>
    </font>
    <font>
      <name val="Arial"/>
      <b val="1"/>
      <color rgb="001D4ED8"/>
      <sz val="8"/>
    </font>
    <font>
      <name val="Arial"/>
      <b val="1"/>
      <color rgb="001E40AF"/>
      <sz val="18"/>
    </font>
    <font>
      <name val="Arial"/>
      <i val="1"/>
      <color rgb="001D4ED8"/>
      <sz val="7.5"/>
    </font>
    <font>
      <name val="Arial"/>
      <b val="1"/>
      <color rgb="00B45309"/>
      <sz val="8"/>
    </font>
    <font>
      <name val="Arial"/>
      <b val="1"/>
      <color rgb="0092400E"/>
      <sz val="18"/>
    </font>
    <font>
      <name val="Arial"/>
      <i val="1"/>
      <color rgb="00B45309"/>
      <sz val="7.5"/>
    </font>
    <font>
      <name val="Arial"/>
      <b val="1"/>
      <color rgb="006D28D9"/>
      <sz val="8"/>
    </font>
    <font>
      <name val="Arial"/>
      <b val="1"/>
      <color rgb="005B21B6"/>
      <sz val="18"/>
    </font>
    <font>
      <name val="Arial"/>
      <i val="1"/>
      <color rgb="006D28D9"/>
      <sz val="7.5"/>
    </font>
    <font>
      <name val="Arial"/>
      <i val="1"/>
      <sz val="8"/>
    </font>
    <font>
      <name val="Arial"/>
      <b val="1"/>
      <color rgb="00166534"/>
      <sz val="8"/>
    </font>
    <font>
      <name val="Arial"/>
      <b val="1"/>
      <color rgb="00991B1B"/>
      <sz val="8"/>
    </font>
    <font>
      <name val="Arial"/>
      <b val="1"/>
      <color rgb="001E1B4B"/>
      <sz val="8.5"/>
    </font>
    <font>
      <name val="Arial"/>
      <b val="1"/>
      <color rgb="00166534"/>
      <sz val="8.5"/>
    </font>
    <font>
      <name val="Arial"/>
      <i val="1"/>
      <color rgb="004B5563"/>
      <sz val="7.5"/>
    </font>
    <font>
      <name val="Arial"/>
      <b val="1"/>
      <color rgb="00991B1B"/>
      <sz val="8.5"/>
    </font>
    <font>
      <name val="Arial"/>
      <b val="1"/>
      <color rgb="001D4ED8"/>
      <sz val="8.5"/>
    </font>
    <font>
      <name val="Arial"/>
      <color rgb="00374151"/>
      <sz val="8"/>
    </font>
  </fonts>
  <fills count="26">
    <fill>
      <patternFill/>
    </fill>
    <fill>
      <patternFill patternType="gray125"/>
    </fill>
    <fill>
      <patternFill patternType="solid">
        <fgColor rgb="00FFFFE6"/>
        <bgColor rgb="00FFFFE6"/>
      </patternFill>
    </fill>
    <fill>
      <patternFill patternType="solid">
        <fgColor rgb="00FFFFFF"/>
        <bgColor rgb="00FFFFFF"/>
      </patternFill>
    </fill>
    <fill>
      <patternFill patternType="solid">
        <fgColor rgb="00D2D2D2"/>
        <bgColor rgb="00D2D2D2"/>
      </patternFill>
    </fill>
    <fill>
      <patternFill patternType="solid">
        <fgColor rgb="00E0F2FE"/>
        <bgColor rgb="00E0F2FE"/>
      </patternFill>
    </fill>
    <fill>
      <patternFill patternType="solid">
        <fgColor rgb="00BAE6FD"/>
        <bgColor rgb="00BAE6FD"/>
      </patternFill>
    </fill>
    <fill>
      <patternFill patternType="solid">
        <fgColor rgb="00F3E8FF"/>
        <bgColor rgb="00F3E8FF"/>
      </patternFill>
    </fill>
    <fill>
      <patternFill patternType="solid">
        <fgColor rgb="00E9D5FF"/>
        <bgColor rgb="00E9D5FF"/>
      </patternFill>
    </fill>
    <fill>
      <patternFill patternType="solid">
        <fgColor rgb="00FEF3C7"/>
        <bgColor rgb="00FEF3C7"/>
      </patternFill>
    </fill>
    <fill>
      <patternFill patternType="solid">
        <fgColor rgb="00FDE68A"/>
        <bgColor rgb="00FDE68A"/>
      </patternFill>
    </fill>
    <fill>
      <patternFill patternType="solid">
        <fgColor rgb="00F1F5F9"/>
        <bgColor rgb="00F1F5F9"/>
      </patternFill>
    </fill>
    <fill>
      <patternFill patternType="solid">
        <fgColor rgb="00CBD5E1"/>
        <bgColor rgb="00CBD5E1"/>
      </patternFill>
    </fill>
    <fill>
      <patternFill patternType="solid">
        <fgColor rgb="00EEF2FF"/>
        <bgColor rgb="00EEF2FF"/>
      </patternFill>
    </fill>
    <fill>
      <patternFill patternType="solid">
        <fgColor rgb="00C7D2FE"/>
        <bgColor rgb="00C7D2FE"/>
      </patternFill>
    </fill>
    <fill>
      <patternFill patternType="solid">
        <fgColor rgb="001E1B4B"/>
        <bgColor rgb="001E1B4B"/>
      </patternFill>
    </fill>
    <fill>
      <patternFill patternType="solid">
        <fgColor rgb="00E0E7FF"/>
        <bgColor rgb="00E0E7FF"/>
      </patternFill>
    </fill>
    <fill>
      <patternFill patternType="solid">
        <fgColor rgb="00312E81"/>
        <bgColor rgb="00312E81"/>
      </patternFill>
    </fill>
    <fill>
      <patternFill patternType="solid">
        <fgColor rgb="00DBEAFE"/>
        <bgColor rgb="00DBEAFE"/>
      </patternFill>
    </fill>
    <fill>
      <patternFill patternType="solid">
        <fgColor rgb="00F0FDF4"/>
        <bgColor rgb="00F0FDF4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E2E8F0"/>
        <bgColor rgb="00E2E8F0"/>
      </patternFill>
    </fill>
    <fill>
      <patternFill patternType="solid">
        <fgColor rgb="000F172A"/>
        <bgColor rgb="000F172A"/>
      </patternFill>
    </fill>
    <fill>
      <patternFill patternType="solid">
        <fgColor rgb="00047857"/>
        <bgColor rgb="00047857"/>
      </patternFill>
    </fill>
    <fill>
      <patternFill patternType="solid">
        <fgColor rgb="00FEF2F2"/>
        <bgColor rgb="00FEF2F2"/>
      </patternFill>
    </fill>
  </fills>
  <borders count="1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16A34A"/>
      </left>
      <right style="medium">
        <color rgb="0016A34A"/>
      </right>
      <top style="medium">
        <color rgb="0016A34A"/>
      </top>
      <bottom style="medium">
        <color rgb="0016A34A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medium">
        <color rgb="00D97706"/>
      </left>
      <right style="medium">
        <color rgb="00D97706"/>
      </right>
      <top style="medium">
        <color rgb="00D97706"/>
      </top>
      <bottom style="medium">
        <color rgb="00D97706"/>
      </bottom>
    </border>
    <border>
      <left style="medium">
        <color rgb="007C3AED"/>
      </left>
      <right style="medium">
        <color rgb="007C3AED"/>
      </right>
      <top style="medium">
        <color rgb="007C3AED"/>
      </top>
      <bottom style="medium">
        <color rgb="007C3AED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9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4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10" fillId="3" borderId="2" applyAlignment="1" pivotButton="0" quotePrefix="0" xfId="0">
      <alignment horizontal="center" vertical="center"/>
    </xf>
    <xf numFmtId="0" fontId="11" fillId="4" borderId="3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13" fillId="5" borderId="2" applyAlignment="1" pivotButton="0" quotePrefix="0" xfId="0">
      <alignment horizontal="center" vertical="center"/>
    </xf>
    <xf numFmtId="0" fontId="13" fillId="6" borderId="3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left" vertical="center"/>
    </xf>
    <xf numFmtId="0" fontId="13" fillId="7" borderId="2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164" fontId="7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left" vertical="center"/>
    </xf>
    <xf numFmtId="0" fontId="13" fillId="11" borderId="2" applyAlignment="1" pivotButton="0" quotePrefix="0" xfId="0">
      <alignment horizontal="center" vertical="center"/>
    </xf>
    <xf numFmtId="0" fontId="13" fillId="12" borderId="3" applyAlignment="1" pivotButton="0" quotePrefix="0" xfId="0">
      <alignment horizontal="center" vertical="center"/>
    </xf>
    <xf numFmtId="164" fontId="7" fillId="11" borderId="2" applyAlignment="1" pivotButton="0" quotePrefix="0" xfId="0">
      <alignment horizontal="center" vertical="center"/>
    </xf>
    <xf numFmtId="0" fontId="9" fillId="11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8" fillId="13" borderId="2" applyAlignment="1" pivotButton="0" quotePrefix="0" xfId="0">
      <alignment horizontal="left" vertical="center"/>
    </xf>
    <xf numFmtId="0" fontId="13" fillId="13" borderId="2" applyAlignment="1" pivotButton="0" quotePrefix="0" xfId="0">
      <alignment horizontal="center" vertical="center"/>
    </xf>
    <xf numFmtId="0" fontId="13" fillId="14" borderId="3" applyAlignment="1" pivotButton="0" quotePrefix="0" xfId="0">
      <alignment horizontal="center" vertical="center"/>
    </xf>
    <xf numFmtId="164" fontId="7" fillId="13" borderId="2" applyAlignment="1" pivotButton="0" quotePrefix="0" xfId="0">
      <alignment horizontal="center" vertical="center"/>
    </xf>
    <xf numFmtId="0" fontId="9" fillId="1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15" borderId="2" applyAlignment="1" pivotButton="0" quotePrefix="0" xfId="0">
      <alignment horizontal="center" vertical="center"/>
    </xf>
    <xf numFmtId="0" fontId="0" fillId="15" borderId="2" pivotButton="0" quotePrefix="0" xfId="0"/>
    <xf numFmtId="0" fontId="17" fillId="16" borderId="2" applyAlignment="1" pivotButton="0" quotePrefix="0" xfId="0">
      <alignment horizontal="center" vertical="center"/>
    </xf>
    <xf numFmtId="0" fontId="17" fillId="14" borderId="3" applyAlignment="1" pivotButton="0" quotePrefix="0" xfId="0">
      <alignment horizontal="center" vertical="center"/>
    </xf>
    <xf numFmtId="0" fontId="18" fillId="16" borderId="2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0" fillId="17" borderId="2" pivotButton="0" quotePrefix="0" xfId="0"/>
    <xf numFmtId="1" fontId="21" fillId="13" borderId="2" applyAlignment="1" pivotButton="0" quotePrefix="0" xfId="0">
      <alignment horizontal="center" vertical="center"/>
    </xf>
    <xf numFmtId="1" fontId="21" fillId="18" borderId="3" applyAlignment="1" pivotButton="0" quotePrefix="0" xfId="0">
      <alignment horizontal="center" vertical="center"/>
    </xf>
    <xf numFmtId="0" fontId="22" fillId="19" borderId="4" applyAlignment="1" pivotButton="0" quotePrefix="0" xfId="0">
      <alignment horizontal="center" vertical="center"/>
    </xf>
    <xf numFmtId="0" fontId="0" fillId="19" borderId="4" pivotButton="0" quotePrefix="0" xfId="0"/>
    <xf numFmtId="0" fontId="25" fillId="20" borderId="5" applyAlignment="1" pivotButton="0" quotePrefix="0" xfId="0">
      <alignment horizontal="center" vertical="center"/>
    </xf>
    <xf numFmtId="0" fontId="0" fillId="20" borderId="5" pivotButton="0" quotePrefix="0" xfId="0"/>
    <xf numFmtId="0" fontId="28" fillId="9" borderId="6" applyAlignment="1" pivotButton="0" quotePrefix="0" xfId="0">
      <alignment horizontal="center" vertical="center"/>
    </xf>
    <xf numFmtId="0" fontId="0" fillId="9" borderId="6" pivotButton="0" quotePrefix="0" xfId="0"/>
    <xf numFmtId="0" fontId="31" fillId="7" borderId="7" applyAlignment="1" pivotButton="0" quotePrefix="0" xfId="0">
      <alignment horizontal="center" vertical="center"/>
    </xf>
    <xf numFmtId="0" fontId="0" fillId="7" borderId="7" pivotButton="0" quotePrefix="0" xfId="0"/>
    <xf numFmtId="164" fontId="23" fillId="19" borderId="4" applyAlignment="1" pivotButton="0" quotePrefix="0" xfId="0">
      <alignment horizontal="center" vertical="center"/>
    </xf>
    <xf numFmtId="0" fontId="26" fillId="20" borderId="5" applyAlignment="1" pivotButton="0" quotePrefix="0" xfId="0">
      <alignment horizontal="center" vertical="center"/>
    </xf>
    <xf numFmtId="0" fontId="29" fillId="9" borderId="6" applyAlignment="1" pivotButton="0" quotePrefix="0" xfId="0">
      <alignment horizontal="center" vertical="center"/>
    </xf>
    <xf numFmtId="0" fontId="32" fillId="7" borderId="7" applyAlignment="1" pivotButton="0" quotePrefix="0" xfId="0">
      <alignment horizontal="center" vertical="center"/>
    </xf>
    <xf numFmtId="0" fontId="24" fillId="19" borderId="4" applyAlignment="1" pivotButton="0" quotePrefix="0" xfId="0">
      <alignment horizontal="center" vertical="center"/>
    </xf>
    <xf numFmtId="0" fontId="27" fillId="20" borderId="5" applyAlignment="1" pivotButton="0" quotePrefix="0" xfId="0">
      <alignment horizontal="center" vertical="center"/>
    </xf>
    <xf numFmtId="0" fontId="30" fillId="9" borderId="6" applyAlignment="1" pivotButton="0" quotePrefix="0" xfId="0">
      <alignment horizontal="center" vertical="center"/>
    </xf>
    <xf numFmtId="0" fontId="33" fillId="7" borderId="7" applyAlignment="1" pivotButton="0" quotePrefix="0" xfId="0">
      <alignment horizontal="center" vertical="center"/>
    </xf>
    <xf numFmtId="0" fontId="16" fillId="21" borderId="2" applyAlignment="1" pivotButton="0" quotePrefix="0" xfId="0">
      <alignment horizontal="center" vertical="center"/>
    </xf>
    <xf numFmtId="0" fontId="0" fillId="21" borderId="2" pivotButton="0" quotePrefix="0" xfId="0"/>
    <xf numFmtId="0" fontId="16" fillId="23" borderId="2" applyAlignment="1" pivotButton="0" quotePrefix="0" xfId="0">
      <alignment horizontal="center" vertical="center"/>
    </xf>
    <xf numFmtId="0" fontId="0" fillId="23" borderId="2" pivotButton="0" quotePrefix="0" xfId="0"/>
    <xf numFmtId="0" fontId="9" fillId="22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7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34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164" fontId="35" fillId="0" borderId="2" applyAlignment="1" pivotButton="0" quotePrefix="0" xfId="0">
      <alignment horizontal="center" vertical="center"/>
    </xf>
    <xf numFmtId="0" fontId="36" fillId="0" borderId="2" applyAlignment="1" pivotButton="0" quotePrefix="0" xfId="0">
      <alignment horizontal="center" vertical="center"/>
    </xf>
    <xf numFmtId="164" fontId="36" fillId="0" borderId="2" applyAlignment="1" pivotButton="0" quotePrefix="0" xfId="0">
      <alignment horizontal="center" vertical="center"/>
    </xf>
    <xf numFmtId="0" fontId="37" fillId="13" borderId="2" applyAlignment="1" pivotButton="0" quotePrefix="0" xfId="0">
      <alignment horizontal="center" vertical="center"/>
    </xf>
    <xf numFmtId="0" fontId="16" fillId="24" borderId="2" applyAlignment="1" pivotButton="0" quotePrefix="0" xfId="0">
      <alignment horizontal="center" vertical="center"/>
    </xf>
    <xf numFmtId="0" fontId="0" fillId="24" borderId="2" pivotButton="0" quotePrefix="0" xfId="0"/>
    <xf numFmtId="0" fontId="6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164" fontId="3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0" fontId="39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42" fillId="19" borderId="1" applyAlignment="1" pivotButton="0" quotePrefix="0" xfId="0">
      <alignment horizontal="left" vertical="top" wrapText="1"/>
    </xf>
    <xf numFmtId="0" fontId="0" fillId="19" borderId="1" pivotButton="0" quotePrefix="0" xfId="0"/>
    <xf numFmtId="0" fontId="42" fillId="25" borderId="1" applyAlignment="1" pivotButton="0" quotePrefix="0" xfId="0">
      <alignment horizontal="left" vertical="top" wrapText="1"/>
    </xf>
    <xf numFmtId="0" fontId="0" fillId="25" borderId="1" pivotButton="0" quotePrefix="0" xfId="0"/>
    <xf numFmtId="0" fontId="42" fillId="20" borderId="1" applyAlignment="1" pivotButton="0" quotePrefix="0" xfId="0">
      <alignment horizontal="left" vertical="top" wrapText="1"/>
    </xf>
    <xf numFmtId="0" fontId="0" fillId="2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166534"/>
        <sz val="9"/>
      </font>
      <fill>
        <patternFill patternType="solid">
          <fgColor rgb="00DCFCE7"/>
          <bgColor rgb="00DCFCE7"/>
        </patternFill>
      </fill>
    </dxf>
    <dxf>
      <font>
        <name val="Arial"/>
        <b val="1"/>
        <color rgb="00991B1B"/>
        <sz val="9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854D0E"/>
        <sz val="9"/>
      </font>
      <fill>
        <patternFill patternType="solid">
          <fgColor rgb="00FEF08A"/>
          <bgColor rgb="00FEF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2026'!$E$45:$AH$45</f>
            </numRef>
          </cat>
          <val>
            <numRef>
              <f>'Sep 2026'!$E$47:$AH$47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2026'!E75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2026'!$A$76:$A$80</f>
            </numRef>
          </cat>
          <val>
            <numRef>
              <f>'Sep 2026'!$E$76:$E$80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2026'!S75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2026'!$N$76:$N$80</f>
            </numRef>
          </cat>
          <val>
            <numRef>
              <f>'Sep 2026'!$S$76:$S$80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2026'!$E$45:$AI$45</f>
            </numRef>
          </cat>
          <val>
            <numRef>
              <f>'Oct 2026'!$E$47:$AI$47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2026'!E75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2026'!$A$76:$A$80</f>
            </numRef>
          </cat>
          <val>
            <numRef>
              <f>'Oct 2026'!$E$76:$E$80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2026'!S75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2026'!$N$76:$N$80</f>
            </numRef>
          </cat>
          <val>
            <numRef>
              <f>'Oct 2026'!$S$76:$S$80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2026'!$E$45:$AH$45</f>
            </numRef>
          </cat>
          <val>
            <numRef>
              <f>'Nov 2026'!$E$47:$AH$47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2026'!E75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2026'!$A$76:$A$80</f>
            </numRef>
          </cat>
          <val>
            <numRef>
              <f>'Nov 2026'!$E$76:$E$80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2026'!S75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2026'!$N$76:$N$80</f>
            </numRef>
          </cat>
          <val>
            <numRef>
              <f>'Nov 2026'!$S$76:$S$80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2026'!$E$45:$AI$45</f>
            </numRef>
          </cat>
          <val>
            <numRef>
              <f>'Dec 2026'!$E$47:$AI$47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2026'!E75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2026'!$A$76:$A$80</f>
            </numRef>
          </cat>
          <val>
            <numRef>
              <f>'Dec 2026'!$E$76:$E$80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2026'!S75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2026'!$N$76:$N$80</f>
            </numRef>
          </cat>
          <val>
            <numRef>
              <f>'Dec 2026'!$S$76:$S$80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2027'!$E$45:$AI$45</f>
            </numRef>
          </cat>
          <val>
            <numRef>
              <f>'Jan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2027'!$A$76:$A$80</f>
            </numRef>
          </cat>
          <val>
            <numRef>
              <f>'Jan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2027'!$N$76:$N$80</f>
            </numRef>
          </cat>
          <val>
            <numRef>
              <f>'Jan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2027'!$E$45:$AF$45</f>
            </numRef>
          </cat>
          <val>
            <numRef>
              <f>'Feb 2027'!$E$47:$AF$47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2027'!$A$76:$A$80</f>
            </numRef>
          </cat>
          <val>
            <numRef>
              <f>'Feb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2027'!$N$76:$N$80</f>
            </numRef>
          </cat>
          <val>
            <numRef>
              <f>'Feb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2027'!$E$45:$AI$45</f>
            </numRef>
          </cat>
          <val>
            <numRef>
              <f>'Mar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2027'!$A$76:$A$80</f>
            </numRef>
          </cat>
          <val>
            <numRef>
              <f>'Mar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2027'!$N$76:$N$80</f>
            </numRef>
          </cat>
          <val>
            <numRef>
              <f>'Mar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2027'!$E$45:$AH$45</f>
            </numRef>
          </cat>
          <val>
            <numRef>
              <f>'Apr 2027'!$E$47:$AH$47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2027'!$A$76:$A$80</f>
            </numRef>
          </cat>
          <val>
            <numRef>
              <f>'Apr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2027'!$N$76:$N$80</f>
            </numRef>
          </cat>
          <val>
            <numRef>
              <f>'Apr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2027'!$E$45:$AI$45</f>
            </numRef>
          </cat>
          <val>
            <numRef>
              <f>'May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2027'!$A$76:$A$80</f>
            </numRef>
          </cat>
          <val>
            <numRef>
              <f>'May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2027'!$N$76:$N$80</f>
            </numRef>
          </cat>
          <val>
            <numRef>
              <f>'May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2027'!$E$45:$AH$45</f>
            </numRef>
          </cat>
          <val>
            <numRef>
              <f>'Jun 2027'!$E$47:$AH$47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2027'!$A$76:$A$80</f>
            </numRef>
          </cat>
          <val>
            <numRef>
              <f>'Jun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2027'!$N$76:$N$80</f>
            </numRef>
          </cat>
          <val>
            <numRef>
              <f>'Jun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2027'!$E$45:$AI$45</f>
            </numRef>
          </cat>
          <val>
            <numRef>
              <f>'Jul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2027'!$A$76:$A$80</f>
            </numRef>
          </cat>
          <val>
            <numRef>
              <f>'Jul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2027'!$N$76:$N$80</f>
            </numRef>
          </cat>
          <val>
            <numRef>
              <f>'Jul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2027'!$E$45:$AI$45</f>
            </numRef>
          </cat>
          <val>
            <numRef>
              <f>'Aug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2027'!$A$76:$A$80</f>
            </numRef>
          </cat>
          <val>
            <numRef>
              <f>'Aug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2027'!$N$76:$N$80</f>
            </numRef>
          </cat>
          <val>
            <numRef>
              <f>'Aug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2027'!$E$45:$AH$45</f>
            </numRef>
          </cat>
          <val>
            <numRef>
              <f>'Sep 2027'!$E$47:$AH$47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2027'!$A$76:$A$80</f>
            </numRef>
          </cat>
          <val>
            <numRef>
              <f>'Sep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2027'!$N$76:$N$80</f>
            </numRef>
          </cat>
          <val>
            <numRef>
              <f>'Sep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2027'!$E$45:$AI$45</f>
            </numRef>
          </cat>
          <val>
            <numRef>
              <f>'Oct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2027'!$A$76:$A$80</f>
            </numRef>
          </cat>
          <val>
            <numRef>
              <f>'Oct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2027'!$N$76:$N$80</f>
            </numRef>
          </cat>
          <val>
            <numRef>
              <f>'Oct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2027'!$E$45:$AH$45</f>
            </numRef>
          </cat>
          <val>
            <numRef>
              <f>'Nov 2027'!$E$47:$AH$47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2027'!$A$76:$A$80</f>
            </numRef>
          </cat>
          <val>
            <numRef>
              <f>'Nov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2027'!$N$76:$N$80</f>
            </numRef>
          </cat>
          <val>
            <numRef>
              <f>'Nov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2027'!$E$45:$AI$45</f>
            </numRef>
          </cat>
          <val>
            <numRef>
              <f>'Dec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2027'!$A$76:$A$80</f>
            </numRef>
          </cat>
          <val>
            <numRef>
              <f>'Dec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2027'!$N$76:$N$80</f>
            </numRef>
          </cat>
          <val>
            <numRef>
              <f>'Dec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2028'!$E$45:$AI$45</f>
            </numRef>
          </cat>
          <val>
            <numRef>
              <f>'Jan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2028'!$A$76:$A$80</f>
            </numRef>
          </cat>
          <val>
            <numRef>
              <f>'Jan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2028'!$N$76:$N$80</f>
            </numRef>
          </cat>
          <val>
            <numRef>
              <f>'Jan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2028'!$E$45:$AG$45</f>
            </numRef>
          </cat>
          <val>
            <numRef>
              <f>'Feb 2028'!$E$47:$AG$47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2028'!$A$76:$A$80</f>
            </numRef>
          </cat>
          <val>
            <numRef>
              <f>'Feb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2028'!$N$76:$N$80</f>
            </numRef>
          </cat>
          <val>
            <numRef>
              <f>'Feb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2028'!$E$45:$AI$45</f>
            </numRef>
          </cat>
          <val>
            <numRef>
              <f>'Mar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2028'!$A$76:$A$80</f>
            </numRef>
          </cat>
          <val>
            <numRef>
              <f>'Mar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2028'!$N$76:$N$80</f>
            </numRef>
          </cat>
          <val>
            <numRef>
              <f>'Mar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2028'!$E$45:$AH$45</f>
            </numRef>
          </cat>
          <val>
            <numRef>
              <f>'Apr 2028'!$E$47:$AH$47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2028'!$A$76:$A$80</f>
            </numRef>
          </cat>
          <val>
            <numRef>
              <f>'Apr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2028'!$N$76:$N$80</f>
            </numRef>
          </cat>
          <val>
            <numRef>
              <f>'Apr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2028'!$E$45:$AI$45</f>
            </numRef>
          </cat>
          <val>
            <numRef>
              <f>'May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2028'!$A$76:$A$80</f>
            </numRef>
          </cat>
          <val>
            <numRef>
              <f>'May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2028'!$N$76:$N$80</f>
            </numRef>
          </cat>
          <val>
            <numRef>
              <f>'May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2028'!$E$45:$AH$45</f>
            </numRef>
          </cat>
          <val>
            <numRef>
              <f>'Jun 2028'!$E$47:$AH$47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2028'!$A$76:$A$80</f>
            </numRef>
          </cat>
          <val>
            <numRef>
              <f>'Jun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2028'!$N$76:$N$80</f>
            </numRef>
          </cat>
          <val>
            <numRef>
              <f>'Jun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2028'!$E$45:$AI$45</f>
            </numRef>
          </cat>
          <val>
            <numRef>
              <f>'Jul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2028'!$A$76:$A$80</f>
            </numRef>
          </cat>
          <val>
            <numRef>
              <f>'Jul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2028'!$N$76:$N$80</f>
            </numRef>
          </cat>
          <val>
            <numRef>
              <f>'Jul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2028'!$E$45:$AI$45</f>
            </numRef>
          </cat>
          <val>
            <numRef>
              <f>'Aug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2028'!$A$76:$A$80</f>
            </numRef>
          </cat>
          <val>
            <numRef>
              <f>'Aug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2028'!$N$76:$N$80</f>
            </numRef>
          </cat>
          <val>
            <numRef>
              <f>'Aug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2028'!$E$45:$AH$45</f>
            </numRef>
          </cat>
          <val>
            <numRef>
              <f>'Sep 2028'!$E$47:$AH$47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2028'!$A$76:$A$80</f>
            </numRef>
          </cat>
          <val>
            <numRef>
              <f>'Sep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2028'!$N$76:$N$80</f>
            </numRef>
          </cat>
          <val>
            <numRef>
              <f>'Sep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2028'!$E$45:$AI$45</f>
            </numRef>
          </cat>
          <val>
            <numRef>
              <f>'Oct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2028'!$A$76:$A$80</f>
            </numRef>
          </cat>
          <val>
            <numRef>
              <f>'Oct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2028'!$N$76:$N$80</f>
            </numRef>
          </cat>
          <val>
            <numRef>
              <f>'Oct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2028'!$E$45:$AH$45</f>
            </numRef>
          </cat>
          <val>
            <numRef>
              <f>'Nov 2028'!$E$47:$AH$47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2028'!$A$76:$A$80</f>
            </numRef>
          </cat>
          <val>
            <numRef>
              <f>'Nov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2028'!$N$76:$N$80</f>
            </numRef>
          </cat>
          <val>
            <numRef>
              <f>'Nov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2028'!$E$45:$AI$45</f>
            </numRef>
          </cat>
          <val>
            <numRef>
              <f>'Dec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2028'!$A$76:$A$80</f>
            </numRef>
          </cat>
          <val>
            <numRef>
              <f>'Dec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2028'!$N$76:$N$80</f>
            </numRef>
          </cat>
          <val>
            <numRef>
              <f>'Dec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2029'!$E$45:$AI$45</f>
            </numRef>
          </cat>
          <val>
            <numRef>
              <f>'Jan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2029'!$A$76:$A$80</f>
            </numRef>
          </cat>
          <val>
            <numRef>
              <f>'Jan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2029'!$N$76:$N$80</f>
            </numRef>
          </cat>
          <val>
            <numRef>
              <f>'Jan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2029'!$E$45:$AF$45</f>
            </numRef>
          </cat>
          <val>
            <numRef>
              <f>'Feb 2029'!$E$47:$AF$47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2029'!$A$76:$A$80</f>
            </numRef>
          </cat>
          <val>
            <numRef>
              <f>'Feb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2029'!$N$76:$N$80</f>
            </numRef>
          </cat>
          <val>
            <numRef>
              <f>'Feb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2029'!$E$45:$AI$45</f>
            </numRef>
          </cat>
          <val>
            <numRef>
              <f>'Mar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2029'!$A$76:$A$80</f>
            </numRef>
          </cat>
          <val>
            <numRef>
              <f>'Mar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2029'!$N$76:$N$80</f>
            </numRef>
          </cat>
          <val>
            <numRef>
              <f>'Mar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2029'!$E$45:$AH$45</f>
            </numRef>
          </cat>
          <val>
            <numRef>
              <f>'Apr 2029'!$E$47:$AH$47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2029'!$A$76:$A$80</f>
            </numRef>
          </cat>
          <val>
            <numRef>
              <f>'Apr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2029'!$N$76:$N$80</f>
            </numRef>
          </cat>
          <val>
            <numRef>
              <f>'Apr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2029'!$E$45:$AI$45</f>
            </numRef>
          </cat>
          <val>
            <numRef>
              <f>'May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2029'!$A$76:$A$80</f>
            </numRef>
          </cat>
          <val>
            <numRef>
              <f>'May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2029'!$N$76:$N$80</f>
            </numRef>
          </cat>
          <val>
            <numRef>
              <f>'May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2029'!$E$45:$AH$45</f>
            </numRef>
          </cat>
          <val>
            <numRef>
              <f>'Jun 2029'!$E$47:$AH$47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2029'!$A$76:$A$80</f>
            </numRef>
          </cat>
          <val>
            <numRef>
              <f>'Jun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2029'!$N$76:$N$80</f>
            </numRef>
          </cat>
          <val>
            <numRef>
              <f>'Jun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2029'!$E$45:$AI$45</f>
            </numRef>
          </cat>
          <val>
            <numRef>
              <f>'Jul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2029'!$A$76:$A$80</f>
            </numRef>
          </cat>
          <val>
            <numRef>
              <f>'Jul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2029'!$N$76:$N$80</f>
            </numRef>
          </cat>
          <val>
            <numRef>
              <f>'Jul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2029'!$E$45:$AI$45</f>
            </numRef>
          </cat>
          <val>
            <numRef>
              <f>'Aug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2029'!$A$76:$A$80</f>
            </numRef>
          </cat>
          <val>
            <numRef>
              <f>'Aug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2029'!$N$76:$N$80</f>
            </numRef>
          </cat>
          <val>
            <numRef>
              <f>'Aug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2029'!$E$45:$AH$45</f>
            </numRef>
          </cat>
          <val>
            <numRef>
              <f>'Sep 2029'!$E$47:$AH$47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2029'!$A$76:$A$80</f>
            </numRef>
          </cat>
          <val>
            <numRef>
              <f>'Sep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2029'!$N$76:$N$80</f>
            </numRef>
          </cat>
          <val>
            <numRef>
              <f>'Sep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2029'!$E$45:$AI$45</f>
            </numRef>
          </cat>
          <val>
            <numRef>
              <f>'Oct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2029'!$A$76:$A$80</f>
            </numRef>
          </cat>
          <val>
            <numRef>
              <f>'Oct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2029'!$N$76:$N$80</f>
            </numRef>
          </cat>
          <val>
            <numRef>
              <f>'Oct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2029'!$E$45:$AH$45</f>
            </numRef>
          </cat>
          <val>
            <numRef>
              <f>'Nov 2029'!$E$47:$AH$47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2029'!$A$76:$A$80</f>
            </numRef>
          </cat>
          <val>
            <numRef>
              <f>'Nov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2029'!$N$76:$N$80</f>
            </numRef>
          </cat>
          <val>
            <numRef>
              <f>'Nov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2029'!$E$45:$AI$45</f>
            </numRef>
          </cat>
          <val>
            <numRef>
              <f>'Dec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2029'!$A$76:$A$80</f>
            </numRef>
          </cat>
          <val>
            <numRef>
              <f>'Dec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2029'!$N$76:$N$80</f>
            </numRef>
          </cat>
          <val>
            <numRef>
              <f>'Dec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2030'!$E$45:$AI$45</f>
            </numRef>
          </cat>
          <val>
            <numRef>
              <f>'Jan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2030'!$A$76:$A$80</f>
            </numRef>
          </cat>
          <val>
            <numRef>
              <f>'Jan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2030'!$N$76:$N$80</f>
            </numRef>
          </cat>
          <val>
            <numRef>
              <f>'Jan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2030'!$E$45:$AF$45</f>
            </numRef>
          </cat>
          <val>
            <numRef>
              <f>'Feb 2030'!$E$47:$AF$47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2030'!$A$76:$A$80</f>
            </numRef>
          </cat>
          <val>
            <numRef>
              <f>'Feb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2030'!$N$76:$N$80</f>
            </numRef>
          </cat>
          <val>
            <numRef>
              <f>'Feb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2030'!$E$45:$AI$45</f>
            </numRef>
          </cat>
          <val>
            <numRef>
              <f>'Mar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2030'!$A$76:$A$80</f>
            </numRef>
          </cat>
          <val>
            <numRef>
              <f>'Mar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2030'!$N$76:$N$80</f>
            </numRef>
          </cat>
          <val>
            <numRef>
              <f>'Mar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2030'!$E$45:$AH$45</f>
            </numRef>
          </cat>
          <val>
            <numRef>
              <f>'Apr 2030'!$E$47:$AH$47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2030'!$A$76:$A$80</f>
            </numRef>
          </cat>
          <val>
            <numRef>
              <f>'Apr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2030'!$N$76:$N$80</f>
            </numRef>
          </cat>
          <val>
            <numRef>
              <f>'Apr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2030'!$E$45:$AI$45</f>
            </numRef>
          </cat>
          <val>
            <numRef>
              <f>'May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2030'!$A$76:$A$80</f>
            </numRef>
          </cat>
          <val>
            <numRef>
              <f>'May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2030'!$N$76:$N$80</f>
            </numRef>
          </cat>
          <val>
            <numRef>
              <f>'May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2030'!$E$45:$AH$45</f>
            </numRef>
          </cat>
          <val>
            <numRef>
              <f>'Jun 2030'!$E$47:$AH$47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2030'!$A$76:$A$80</f>
            </numRef>
          </cat>
          <val>
            <numRef>
              <f>'Jun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2030'!$N$76:$N$80</f>
            </numRef>
          </cat>
          <val>
            <numRef>
              <f>'Jun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2030'!$E$45:$AI$45</f>
            </numRef>
          </cat>
          <val>
            <numRef>
              <f>'Jul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2030'!$A$76:$A$80</f>
            </numRef>
          </cat>
          <val>
            <numRef>
              <f>'Jul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2030'!$N$76:$N$80</f>
            </numRef>
          </cat>
          <val>
            <numRef>
              <f>'Jul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2030'!$E$45:$AI$45</f>
            </numRef>
          </cat>
          <val>
            <numRef>
              <f>'Aug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2030'!$A$76:$A$80</f>
            </numRef>
          </cat>
          <val>
            <numRef>
              <f>'Aug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2030'!$N$76:$N$80</f>
            </numRef>
          </cat>
          <val>
            <numRef>
              <f>'Aug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2030'!$E$45:$AH$45</f>
            </numRef>
          </cat>
          <val>
            <numRef>
              <f>'Sep 2030'!$E$47:$AH$47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2030'!$A$76:$A$80</f>
            </numRef>
          </cat>
          <val>
            <numRef>
              <f>'Sep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2030'!$N$76:$N$80</f>
            </numRef>
          </cat>
          <val>
            <numRef>
              <f>'Sep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2030'!$E$45:$AI$45</f>
            </numRef>
          </cat>
          <val>
            <numRef>
              <f>'Oct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2030'!$A$76:$A$80</f>
            </numRef>
          </cat>
          <val>
            <numRef>
              <f>'Oct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2030'!$N$76:$N$80</f>
            </numRef>
          </cat>
          <val>
            <numRef>
              <f>'Oct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2030'!$E$45:$AH$45</f>
            </numRef>
          </cat>
          <val>
            <numRef>
              <f>'Nov 2030'!$E$47:$AH$47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2030'!$A$76:$A$80</f>
            </numRef>
          </cat>
          <val>
            <numRef>
              <f>'Nov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2030'!$N$76:$N$80</f>
            </numRef>
          </cat>
          <val>
            <numRef>
              <f>'Nov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2030'!$E$45:$AI$45</f>
            </numRef>
          </cat>
          <val>
            <numRef>
              <f>'Dec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2030'!$A$76:$A$80</f>
            </numRef>
          </cat>
          <val>
            <numRef>
              <f>'Dec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2030'!$N$76:$N$80</f>
            </numRef>
          </cat>
          <val>
            <numRef>
              <f>'Dec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73.xml" Id="rId1"/><Relationship Type="http://schemas.openxmlformats.org/officeDocument/2006/relationships/chart" Target="/xl/charts/chart74.xml" Id="rId2"/><Relationship Type="http://schemas.openxmlformats.org/officeDocument/2006/relationships/chart" Target="/xl/charts/chart75.xml" Id="rId3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76.xml" Id="rId1"/><Relationship Type="http://schemas.openxmlformats.org/officeDocument/2006/relationships/chart" Target="/xl/charts/chart77.xml" Id="rId2"/><Relationship Type="http://schemas.openxmlformats.org/officeDocument/2006/relationships/chart" Target="/xl/charts/chart78.xml" Id="rId3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79.xml" Id="rId1"/><Relationship Type="http://schemas.openxmlformats.org/officeDocument/2006/relationships/chart" Target="/xl/charts/chart80.xml" Id="rId2"/><Relationship Type="http://schemas.openxmlformats.org/officeDocument/2006/relationships/chart" Target="/xl/charts/chart81.xml" Id="rId3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82.xml" Id="rId1"/><Relationship Type="http://schemas.openxmlformats.org/officeDocument/2006/relationships/chart" Target="/xl/charts/chart83.xml" Id="rId2"/><Relationship Type="http://schemas.openxmlformats.org/officeDocument/2006/relationships/chart" Target="/xl/charts/chart84.xml" Id="rId3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85.xml" Id="rId1"/><Relationship Type="http://schemas.openxmlformats.org/officeDocument/2006/relationships/chart" Target="/xl/charts/chart86.xml" Id="rId2"/><Relationship Type="http://schemas.openxmlformats.org/officeDocument/2006/relationships/chart" Target="/xl/charts/chart87.xml" Id="rId3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88.xml" Id="rId1"/><Relationship Type="http://schemas.openxmlformats.org/officeDocument/2006/relationships/chart" Target="/xl/charts/chart89.xml" Id="rId2"/><Relationship Type="http://schemas.openxmlformats.org/officeDocument/2006/relationships/chart" Target="/xl/charts/chart90.xml" Id="rId3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91.xml" Id="rId1"/><Relationship Type="http://schemas.openxmlformats.org/officeDocument/2006/relationships/chart" Target="/xl/charts/chart92.xml" Id="rId2"/><Relationship Type="http://schemas.openxmlformats.org/officeDocument/2006/relationships/chart" Target="/xl/charts/chart93.xml" Id="rId3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94.xml" Id="rId1"/><Relationship Type="http://schemas.openxmlformats.org/officeDocument/2006/relationships/chart" Target="/xl/charts/chart95.xml" Id="rId2"/><Relationship Type="http://schemas.openxmlformats.org/officeDocument/2006/relationships/chart" Target="/xl/charts/chart96.xml" Id="rId3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97.xml" Id="rId1"/><Relationship Type="http://schemas.openxmlformats.org/officeDocument/2006/relationships/chart" Target="/xl/charts/chart98.xml" Id="rId2"/><Relationship Type="http://schemas.openxmlformats.org/officeDocument/2006/relationships/chart" Target="/xl/charts/chart99.xml" Id="rId3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100.xml" Id="rId1"/><Relationship Type="http://schemas.openxmlformats.org/officeDocument/2006/relationships/chart" Target="/xl/charts/chart101.xml" Id="rId2"/><Relationship Type="http://schemas.openxmlformats.org/officeDocument/2006/relationships/chart" Target="/xl/charts/chart102.xml" Id="rId3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103.xml" Id="rId1"/><Relationship Type="http://schemas.openxmlformats.org/officeDocument/2006/relationships/chart" Target="/xl/charts/chart104.xml" Id="rId2"/><Relationship Type="http://schemas.openxmlformats.org/officeDocument/2006/relationships/chart" Target="/xl/charts/chart105.xml" Id="rId3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106.xml" Id="rId1"/><Relationship Type="http://schemas.openxmlformats.org/officeDocument/2006/relationships/chart" Target="/xl/charts/chart107.xml" Id="rId2"/><Relationship Type="http://schemas.openxmlformats.org/officeDocument/2006/relationships/chart" Target="/xl/charts/chart108.xml" Id="rId3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109.xml" Id="rId1"/><Relationship Type="http://schemas.openxmlformats.org/officeDocument/2006/relationships/chart" Target="/xl/charts/chart110.xml" Id="rId2"/><Relationship Type="http://schemas.openxmlformats.org/officeDocument/2006/relationships/chart" Target="/xl/charts/chart111.xml" Id="rId3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112.xml" Id="rId1"/><Relationship Type="http://schemas.openxmlformats.org/officeDocument/2006/relationships/chart" Target="/xl/charts/chart113.xml" Id="rId2"/><Relationship Type="http://schemas.openxmlformats.org/officeDocument/2006/relationships/chart" Target="/xl/charts/chart114.xml" Id="rId3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115.xml" Id="rId1"/><Relationship Type="http://schemas.openxmlformats.org/officeDocument/2006/relationships/chart" Target="/xl/charts/chart116.xml" Id="rId2"/><Relationship Type="http://schemas.openxmlformats.org/officeDocument/2006/relationships/chart" Target="/xl/charts/chart117.xml" Id="rId3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118.xml" Id="rId1"/><Relationship Type="http://schemas.openxmlformats.org/officeDocument/2006/relationships/chart" Target="/xl/charts/chart119.xml" Id="rId2"/><Relationship Type="http://schemas.openxmlformats.org/officeDocument/2006/relationships/chart" Target="/xl/charts/chart120.xml" Id="rId3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121.xml" Id="rId1"/><Relationship Type="http://schemas.openxmlformats.org/officeDocument/2006/relationships/chart" Target="/xl/charts/chart122.xml" Id="rId2"/><Relationship Type="http://schemas.openxmlformats.org/officeDocument/2006/relationships/chart" Target="/xl/charts/chart123.xml" Id="rId3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124.xml" Id="rId1"/><Relationship Type="http://schemas.openxmlformats.org/officeDocument/2006/relationships/chart" Target="/xl/charts/chart125.xml" Id="rId2"/><Relationship Type="http://schemas.openxmlformats.org/officeDocument/2006/relationships/chart" Target="/xl/charts/chart126.xml" Id="rId3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127.xml" Id="rId1"/><Relationship Type="http://schemas.openxmlformats.org/officeDocument/2006/relationships/chart" Target="/xl/charts/chart128.xml" Id="rId2"/><Relationship Type="http://schemas.openxmlformats.org/officeDocument/2006/relationships/chart" Target="/xl/charts/chart129.xml" Id="rId3"/></Relationships>
</file>

<file path=xl/drawings/_rels/drawing44.xml.rels><Relationships xmlns="http://schemas.openxmlformats.org/package/2006/relationships"><Relationship Type="http://schemas.openxmlformats.org/officeDocument/2006/relationships/chart" Target="/xl/charts/chart130.xml" Id="rId1"/><Relationship Type="http://schemas.openxmlformats.org/officeDocument/2006/relationships/chart" Target="/xl/charts/chart131.xml" Id="rId2"/><Relationship Type="http://schemas.openxmlformats.org/officeDocument/2006/relationships/chart" Target="/xl/charts/chart132.xml" Id="rId3"/></Relationships>
</file>

<file path=xl/drawings/_rels/drawing45.xml.rels><Relationships xmlns="http://schemas.openxmlformats.org/package/2006/relationships"><Relationship Type="http://schemas.openxmlformats.org/officeDocument/2006/relationships/chart" Target="/xl/charts/chart133.xml" Id="rId1"/><Relationship Type="http://schemas.openxmlformats.org/officeDocument/2006/relationships/chart" Target="/xl/charts/chart134.xml" Id="rId2"/><Relationship Type="http://schemas.openxmlformats.org/officeDocument/2006/relationships/chart" Target="/xl/charts/chart135.xml" Id="rId3"/></Relationships>
</file>

<file path=xl/drawings/_rels/drawing46.xml.rels><Relationships xmlns="http://schemas.openxmlformats.org/package/2006/relationships"><Relationship Type="http://schemas.openxmlformats.org/officeDocument/2006/relationships/chart" Target="/xl/charts/chart136.xml" Id="rId1"/><Relationship Type="http://schemas.openxmlformats.org/officeDocument/2006/relationships/chart" Target="/xl/charts/chart137.xml" Id="rId2"/><Relationship Type="http://schemas.openxmlformats.org/officeDocument/2006/relationships/chart" Target="/xl/charts/chart138.xml" Id="rId3"/></Relationships>
</file>

<file path=xl/drawings/_rels/drawing47.xml.rels><Relationships xmlns="http://schemas.openxmlformats.org/package/2006/relationships"><Relationship Type="http://schemas.openxmlformats.org/officeDocument/2006/relationships/chart" Target="/xl/charts/chart139.xml" Id="rId1"/><Relationship Type="http://schemas.openxmlformats.org/officeDocument/2006/relationships/chart" Target="/xl/charts/chart140.xml" Id="rId2"/><Relationship Type="http://schemas.openxmlformats.org/officeDocument/2006/relationships/chart" Target="/xl/charts/chart141.xml" Id="rId3"/></Relationships>
</file>

<file path=xl/drawings/_rels/drawing48.xml.rels><Relationships xmlns="http://schemas.openxmlformats.org/package/2006/relationships"><Relationship Type="http://schemas.openxmlformats.org/officeDocument/2006/relationships/chart" Target="/xl/charts/chart142.xml" Id="rId1"/><Relationship Type="http://schemas.openxmlformats.org/officeDocument/2006/relationships/chart" Target="/xl/charts/chart143.xml" Id="rId2"/><Relationship Type="http://schemas.openxmlformats.org/officeDocument/2006/relationships/chart" Target="/xl/charts/chart144.xml" Id="rId3"/></Relationships>
</file>

<file path=xl/drawings/_rels/drawing49.xml.rels><Relationships xmlns="http://schemas.openxmlformats.org/package/2006/relationships"><Relationship Type="http://schemas.openxmlformats.org/officeDocument/2006/relationships/chart" Target="/xl/charts/chart145.xml" Id="rId1"/><Relationship Type="http://schemas.openxmlformats.org/officeDocument/2006/relationships/chart" Target="/xl/charts/chart146.xml" Id="rId2"/><Relationship Type="http://schemas.openxmlformats.org/officeDocument/2006/relationships/chart" Target="/xl/charts/chart147.xml" Id="rId3"/></Relationships>
</file>

<file path=xl/drawings/_rels/drawing50.xml.rels><Relationships xmlns="http://schemas.openxmlformats.org/package/2006/relationships"><Relationship Type="http://schemas.openxmlformats.org/officeDocument/2006/relationships/chart" Target="/xl/charts/chart148.xml" Id="rId1"/><Relationship Type="http://schemas.openxmlformats.org/officeDocument/2006/relationships/chart" Target="/xl/charts/chart149.xml" Id="rId2"/><Relationship Type="http://schemas.openxmlformats.org/officeDocument/2006/relationships/chart" Target="/xl/charts/chart150.xml" Id="rId3"/></Relationships>
</file>

<file path=xl/drawings/_rels/drawing51.xml.rels><Relationships xmlns="http://schemas.openxmlformats.org/package/2006/relationships"><Relationship Type="http://schemas.openxmlformats.org/officeDocument/2006/relationships/chart" Target="/xl/charts/chart151.xml" Id="rId1"/><Relationship Type="http://schemas.openxmlformats.org/officeDocument/2006/relationships/chart" Target="/xl/charts/chart152.xml" Id="rId2"/><Relationship Type="http://schemas.openxmlformats.org/officeDocument/2006/relationships/chart" Target="/xl/charts/chart153.xml" Id="rId3"/></Relationships>
</file>

<file path=xl/drawings/_rels/drawing52.xml.rels><Relationships xmlns="http://schemas.openxmlformats.org/package/2006/relationships"><Relationship Type="http://schemas.openxmlformats.org/officeDocument/2006/relationships/chart" Target="/xl/charts/chart154.xml" Id="rId1"/><Relationship Type="http://schemas.openxmlformats.org/officeDocument/2006/relationships/chart" Target="/xl/charts/chart155.xml" Id="rId2"/><Relationship Type="http://schemas.openxmlformats.org/officeDocument/2006/relationships/chart" Target="/xl/charts/chart156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4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5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6.xml" Id="rId1"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7.xml" Id="rId1"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8.xml" Id="rId1"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9.xml" Id="rId1"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50.xml" Id="rId1"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51.xml" Id="rId1"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5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D2" s="3" t="inlineStr">
        <is>
          <t>@surajvansh</t>
        </is>
      </c>
    </row>
    <row r="3" ht="18" customHeight="1">
      <c r="A3" s="4" t="inlineStr">
        <is>
          <t>September 2026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2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2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2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2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5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5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5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5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Sep</t>
        </is>
      </c>
      <c r="B92" s="89" t="n"/>
      <c r="C92" s="96" t="n">
        <v>2026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MONTH(TODAY())=9, YEAR(TODAY())=2026)</formula>
    </cfRule>
  </conditionalFormatting>
  <conditionalFormatting sqref="F16:F17">
    <cfRule type="expression" priority="7" dxfId="2">
      <formula>AND(DAY(TODAY())=2, MONTH(TODAY())=9, YEAR(TODAY())=2026)</formula>
    </cfRule>
  </conditionalFormatting>
  <conditionalFormatting sqref="G16:G17">
    <cfRule type="expression" priority="8" dxfId="2">
      <formula>AND(DAY(TODAY())=3, MONTH(TODAY())=9, YEAR(TODAY())=2026)</formula>
    </cfRule>
  </conditionalFormatting>
  <conditionalFormatting sqref="H16:H17">
    <cfRule type="expression" priority="9" dxfId="2">
      <formula>AND(DAY(TODAY())=4, MONTH(TODAY())=9, YEAR(TODAY())=2026)</formula>
    </cfRule>
  </conditionalFormatting>
  <conditionalFormatting sqref="I16:I17">
    <cfRule type="expression" priority="10" dxfId="2">
      <formula>AND(DAY(TODAY())=5, MONTH(TODAY())=9, YEAR(TODAY())=2026)</formula>
    </cfRule>
  </conditionalFormatting>
  <conditionalFormatting sqref="J16:J17">
    <cfRule type="expression" priority="11" dxfId="2">
      <formula>AND(DAY(TODAY())=6, MONTH(TODAY())=9, YEAR(TODAY())=2026)</formula>
    </cfRule>
  </conditionalFormatting>
  <conditionalFormatting sqref="K16:K17">
    <cfRule type="expression" priority="12" dxfId="2">
      <formula>AND(DAY(TODAY())=7, MONTH(TODAY())=9, YEAR(TODAY())=2026)</formula>
    </cfRule>
  </conditionalFormatting>
  <conditionalFormatting sqref="L16:L17">
    <cfRule type="expression" priority="13" dxfId="2">
      <formula>AND(DAY(TODAY())=8, MONTH(TODAY())=9, YEAR(TODAY())=2026)</formula>
    </cfRule>
  </conditionalFormatting>
  <conditionalFormatting sqref="M16:M17">
    <cfRule type="expression" priority="14" dxfId="2">
      <formula>AND(DAY(TODAY())=9, MONTH(TODAY())=9, YEAR(TODAY())=2026)</formula>
    </cfRule>
  </conditionalFormatting>
  <conditionalFormatting sqref="N16:N17">
    <cfRule type="expression" priority="15" dxfId="2">
      <formula>AND(DAY(TODAY())=10, MONTH(TODAY())=9, YEAR(TODAY())=2026)</formula>
    </cfRule>
  </conditionalFormatting>
  <conditionalFormatting sqref="O16:O17">
    <cfRule type="expression" priority="16" dxfId="2">
      <formula>AND(DAY(TODAY())=11, MONTH(TODAY())=9, YEAR(TODAY())=2026)</formula>
    </cfRule>
  </conditionalFormatting>
  <conditionalFormatting sqref="P16:P17">
    <cfRule type="expression" priority="17" dxfId="2">
      <formula>AND(DAY(TODAY())=12, MONTH(TODAY())=9, YEAR(TODAY())=2026)</formula>
    </cfRule>
  </conditionalFormatting>
  <conditionalFormatting sqref="Q16:Q17">
    <cfRule type="expression" priority="18" dxfId="2">
      <formula>AND(DAY(TODAY())=13, MONTH(TODAY())=9, YEAR(TODAY())=2026)</formula>
    </cfRule>
  </conditionalFormatting>
  <conditionalFormatting sqref="R16:R17">
    <cfRule type="expression" priority="19" dxfId="2">
      <formula>AND(DAY(TODAY())=14, MONTH(TODAY())=9, YEAR(TODAY())=2026)</formula>
    </cfRule>
  </conditionalFormatting>
  <conditionalFormatting sqref="S16:S17">
    <cfRule type="expression" priority="20" dxfId="2">
      <formula>AND(DAY(TODAY())=15, MONTH(TODAY())=9, YEAR(TODAY())=2026)</formula>
    </cfRule>
  </conditionalFormatting>
  <conditionalFormatting sqref="T16:T17">
    <cfRule type="expression" priority="21" dxfId="2">
      <formula>AND(DAY(TODAY())=16, MONTH(TODAY())=9, YEAR(TODAY())=2026)</formula>
    </cfRule>
  </conditionalFormatting>
  <conditionalFormatting sqref="U16:U17">
    <cfRule type="expression" priority="22" dxfId="2">
      <formula>AND(DAY(TODAY())=17, MONTH(TODAY())=9, YEAR(TODAY())=2026)</formula>
    </cfRule>
  </conditionalFormatting>
  <conditionalFormatting sqref="V16:V17">
    <cfRule type="expression" priority="23" dxfId="2">
      <formula>AND(DAY(TODAY())=18, MONTH(TODAY())=9, YEAR(TODAY())=2026)</formula>
    </cfRule>
  </conditionalFormatting>
  <conditionalFormatting sqref="W16:W17">
    <cfRule type="expression" priority="24" dxfId="2">
      <formula>AND(DAY(TODAY())=19, MONTH(TODAY())=9, YEAR(TODAY())=2026)</formula>
    </cfRule>
  </conditionalFormatting>
  <conditionalFormatting sqref="X16:X17">
    <cfRule type="expression" priority="25" dxfId="2">
      <formula>AND(DAY(TODAY())=20, MONTH(TODAY())=9, YEAR(TODAY())=2026)</formula>
    </cfRule>
  </conditionalFormatting>
  <conditionalFormatting sqref="Y16:Y17">
    <cfRule type="expression" priority="26" dxfId="2">
      <formula>AND(DAY(TODAY())=21, MONTH(TODAY())=9, YEAR(TODAY())=2026)</formula>
    </cfRule>
  </conditionalFormatting>
  <conditionalFormatting sqref="Z16:Z17">
    <cfRule type="expression" priority="27" dxfId="2">
      <formula>AND(DAY(TODAY())=22, MONTH(TODAY())=9, YEAR(TODAY())=2026)</formula>
    </cfRule>
  </conditionalFormatting>
  <conditionalFormatting sqref="AA16:AA17">
    <cfRule type="expression" priority="28" dxfId="2">
      <formula>AND(DAY(TODAY())=23, MONTH(TODAY())=9, YEAR(TODAY())=2026)</formula>
    </cfRule>
  </conditionalFormatting>
  <conditionalFormatting sqref="AB16:AB17">
    <cfRule type="expression" priority="29" dxfId="2">
      <formula>AND(DAY(TODAY())=24, MONTH(TODAY())=9, YEAR(TODAY())=2026)</formula>
    </cfRule>
  </conditionalFormatting>
  <conditionalFormatting sqref="AC16:AC17">
    <cfRule type="expression" priority="30" dxfId="2">
      <formula>AND(DAY(TODAY())=25, MONTH(TODAY())=9, YEAR(TODAY())=2026)</formula>
    </cfRule>
  </conditionalFormatting>
  <conditionalFormatting sqref="AD16:AD17">
    <cfRule type="expression" priority="31" dxfId="2">
      <formula>AND(DAY(TODAY())=26, MONTH(TODAY())=9, YEAR(TODAY())=2026)</formula>
    </cfRule>
  </conditionalFormatting>
  <conditionalFormatting sqref="AE16:AE17">
    <cfRule type="expression" priority="32" dxfId="2">
      <formula>AND(DAY(TODAY())=27, MONTH(TODAY())=9, YEAR(TODAY())=2026)</formula>
    </cfRule>
  </conditionalFormatting>
  <conditionalFormatting sqref="AF16:AF17">
    <cfRule type="expression" priority="33" dxfId="2">
      <formula>AND(DAY(TODAY())=28, MONTH(TODAY())=9, YEAR(TODAY())=2026)</formula>
    </cfRule>
  </conditionalFormatting>
  <conditionalFormatting sqref="AG16:AG17">
    <cfRule type="expression" priority="34" dxfId="2">
      <formula>AND(DAY(TODAY())=29, MONTH(TODAY())=9, YEAR(TODAY())=2026)</formula>
    </cfRule>
  </conditionalFormatting>
  <conditionalFormatting sqref="AH16:AH17">
    <cfRule type="expression" priority="35" dxfId="2">
      <formula>AND(DAY(TODAY())=30, MONTH(TODAY())=9, YEAR(TODAY())=2026)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E2" s="3" t="inlineStr">
        <is>
          <t>@surajvansh</t>
        </is>
      </c>
    </row>
    <row r="3" ht="18" customHeight="1">
      <c r="A3" s="4" t="inlineStr">
        <is>
          <t>October 2026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2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2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2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2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5" t="inlineStr">
        <is>
          <t>Sa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5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5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5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5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  <c r="AI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Oct</t>
        </is>
      </c>
      <c r="B92" s="89" t="n"/>
      <c r="C92" s="96" t="n">
        <v>2026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MONTH(TODAY())=10, YEAR(TODAY())=2026)</formula>
    </cfRule>
  </conditionalFormatting>
  <conditionalFormatting sqref="F16:F17">
    <cfRule type="expression" priority="7" dxfId="2">
      <formula>AND(DAY(TODAY())=2, MONTH(TODAY())=10, YEAR(TODAY())=2026)</formula>
    </cfRule>
  </conditionalFormatting>
  <conditionalFormatting sqref="G16:G17">
    <cfRule type="expression" priority="8" dxfId="2">
      <formula>AND(DAY(TODAY())=3, MONTH(TODAY())=10, YEAR(TODAY())=2026)</formula>
    </cfRule>
  </conditionalFormatting>
  <conditionalFormatting sqref="H16:H17">
    <cfRule type="expression" priority="9" dxfId="2">
      <formula>AND(DAY(TODAY())=4, MONTH(TODAY())=10, YEAR(TODAY())=2026)</formula>
    </cfRule>
  </conditionalFormatting>
  <conditionalFormatting sqref="I16:I17">
    <cfRule type="expression" priority="10" dxfId="2">
      <formula>AND(DAY(TODAY())=5, MONTH(TODAY())=10, YEAR(TODAY())=2026)</formula>
    </cfRule>
  </conditionalFormatting>
  <conditionalFormatting sqref="J16:J17">
    <cfRule type="expression" priority="11" dxfId="2">
      <formula>AND(DAY(TODAY())=6, MONTH(TODAY())=10, YEAR(TODAY())=2026)</formula>
    </cfRule>
  </conditionalFormatting>
  <conditionalFormatting sqref="K16:K17">
    <cfRule type="expression" priority="12" dxfId="2">
      <formula>AND(DAY(TODAY())=7, MONTH(TODAY())=10, YEAR(TODAY())=2026)</formula>
    </cfRule>
  </conditionalFormatting>
  <conditionalFormatting sqref="L16:L17">
    <cfRule type="expression" priority="13" dxfId="2">
      <formula>AND(DAY(TODAY())=8, MONTH(TODAY())=10, YEAR(TODAY())=2026)</formula>
    </cfRule>
  </conditionalFormatting>
  <conditionalFormatting sqref="M16:M17">
    <cfRule type="expression" priority="14" dxfId="2">
      <formula>AND(DAY(TODAY())=9, MONTH(TODAY())=10, YEAR(TODAY())=2026)</formula>
    </cfRule>
  </conditionalFormatting>
  <conditionalFormatting sqref="N16:N17">
    <cfRule type="expression" priority="15" dxfId="2">
      <formula>AND(DAY(TODAY())=10, MONTH(TODAY())=10, YEAR(TODAY())=2026)</formula>
    </cfRule>
  </conditionalFormatting>
  <conditionalFormatting sqref="O16:O17">
    <cfRule type="expression" priority="16" dxfId="2">
      <formula>AND(DAY(TODAY())=11, MONTH(TODAY())=10, YEAR(TODAY())=2026)</formula>
    </cfRule>
  </conditionalFormatting>
  <conditionalFormatting sqref="P16:P17">
    <cfRule type="expression" priority="17" dxfId="2">
      <formula>AND(DAY(TODAY())=12, MONTH(TODAY())=10, YEAR(TODAY())=2026)</formula>
    </cfRule>
  </conditionalFormatting>
  <conditionalFormatting sqref="Q16:Q17">
    <cfRule type="expression" priority="18" dxfId="2">
      <formula>AND(DAY(TODAY())=13, MONTH(TODAY())=10, YEAR(TODAY())=2026)</formula>
    </cfRule>
  </conditionalFormatting>
  <conditionalFormatting sqref="R16:R17">
    <cfRule type="expression" priority="19" dxfId="2">
      <formula>AND(DAY(TODAY())=14, MONTH(TODAY())=10, YEAR(TODAY())=2026)</formula>
    </cfRule>
  </conditionalFormatting>
  <conditionalFormatting sqref="S16:S17">
    <cfRule type="expression" priority="20" dxfId="2">
      <formula>AND(DAY(TODAY())=15, MONTH(TODAY())=10, YEAR(TODAY())=2026)</formula>
    </cfRule>
  </conditionalFormatting>
  <conditionalFormatting sqref="T16:T17">
    <cfRule type="expression" priority="21" dxfId="2">
      <formula>AND(DAY(TODAY())=16, MONTH(TODAY())=10, YEAR(TODAY())=2026)</formula>
    </cfRule>
  </conditionalFormatting>
  <conditionalFormatting sqref="U16:U17">
    <cfRule type="expression" priority="22" dxfId="2">
      <formula>AND(DAY(TODAY())=17, MONTH(TODAY())=10, YEAR(TODAY())=2026)</formula>
    </cfRule>
  </conditionalFormatting>
  <conditionalFormatting sqref="V16:V17">
    <cfRule type="expression" priority="23" dxfId="2">
      <formula>AND(DAY(TODAY())=18, MONTH(TODAY())=10, YEAR(TODAY())=2026)</formula>
    </cfRule>
  </conditionalFormatting>
  <conditionalFormatting sqref="W16:W17">
    <cfRule type="expression" priority="24" dxfId="2">
      <formula>AND(DAY(TODAY())=19, MONTH(TODAY())=10, YEAR(TODAY())=2026)</formula>
    </cfRule>
  </conditionalFormatting>
  <conditionalFormatting sqref="X16:X17">
    <cfRule type="expression" priority="25" dxfId="2">
      <formula>AND(DAY(TODAY())=20, MONTH(TODAY())=10, YEAR(TODAY())=2026)</formula>
    </cfRule>
  </conditionalFormatting>
  <conditionalFormatting sqref="Y16:Y17">
    <cfRule type="expression" priority="26" dxfId="2">
      <formula>AND(DAY(TODAY())=21, MONTH(TODAY())=10, YEAR(TODAY())=2026)</formula>
    </cfRule>
  </conditionalFormatting>
  <conditionalFormatting sqref="Z16:Z17">
    <cfRule type="expression" priority="27" dxfId="2">
      <formula>AND(DAY(TODAY())=22, MONTH(TODAY())=10, YEAR(TODAY())=2026)</formula>
    </cfRule>
  </conditionalFormatting>
  <conditionalFormatting sqref="AA16:AA17">
    <cfRule type="expression" priority="28" dxfId="2">
      <formula>AND(DAY(TODAY())=23, MONTH(TODAY())=10, YEAR(TODAY())=2026)</formula>
    </cfRule>
  </conditionalFormatting>
  <conditionalFormatting sqref="AB16:AB17">
    <cfRule type="expression" priority="29" dxfId="2">
      <formula>AND(DAY(TODAY())=24, MONTH(TODAY())=10, YEAR(TODAY())=2026)</formula>
    </cfRule>
  </conditionalFormatting>
  <conditionalFormatting sqref="AC16:AC17">
    <cfRule type="expression" priority="30" dxfId="2">
      <formula>AND(DAY(TODAY())=25, MONTH(TODAY())=10, YEAR(TODAY())=2026)</formula>
    </cfRule>
  </conditionalFormatting>
  <conditionalFormatting sqref="AD16:AD17">
    <cfRule type="expression" priority="31" dxfId="2">
      <formula>AND(DAY(TODAY())=26, MONTH(TODAY())=10, YEAR(TODAY())=2026)</formula>
    </cfRule>
  </conditionalFormatting>
  <conditionalFormatting sqref="AE16:AE17">
    <cfRule type="expression" priority="32" dxfId="2">
      <formula>AND(DAY(TODAY())=27, MONTH(TODAY())=10, YEAR(TODAY())=2026)</formula>
    </cfRule>
  </conditionalFormatting>
  <conditionalFormatting sqref="AF16:AF17">
    <cfRule type="expression" priority="33" dxfId="2">
      <formula>AND(DAY(TODAY())=28, MONTH(TODAY())=10, YEAR(TODAY())=2026)</formula>
    </cfRule>
  </conditionalFormatting>
  <conditionalFormatting sqref="AG16:AG17">
    <cfRule type="expression" priority="34" dxfId="2">
      <formula>AND(DAY(TODAY())=29, MONTH(TODAY())=10, YEAR(TODAY())=2026)</formula>
    </cfRule>
  </conditionalFormatting>
  <conditionalFormatting sqref="AH16:AH17">
    <cfRule type="expression" priority="35" dxfId="2">
      <formula>AND(DAY(TODAY())=30, MONTH(TODAY())=10, YEAR(TODAY())=2026)</formula>
    </cfRule>
  </conditionalFormatting>
  <conditionalFormatting sqref="AI16:AI17">
    <cfRule type="expression" priority="36" dxfId="2">
      <formula>AND(DAY(TODAY())=31, MONTH(TODAY())=10, YEAR(TODAY())=2026)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D2" s="3" t="inlineStr">
        <is>
          <t>@surajvansh</t>
        </is>
      </c>
    </row>
    <row r="3" ht="18" customHeight="1">
      <c r="A3" s="4" t="inlineStr">
        <is>
          <t>November 2026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2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2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2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2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2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5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5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5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5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5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Nov</t>
        </is>
      </c>
      <c r="B92" s="89" t="n"/>
      <c r="C92" s="96" t="n">
        <v>2026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MONTH(TODAY())=11, YEAR(TODAY())=2026)</formula>
    </cfRule>
  </conditionalFormatting>
  <conditionalFormatting sqref="F16:F17">
    <cfRule type="expression" priority="7" dxfId="2">
      <formula>AND(DAY(TODAY())=2, MONTH(TODAY())=11, YEAR(TODAY())=2026)</formula>
    </cfRule>
  </conditionalFormatting>
  <conditionalFormatting sqref="G16:G17">
    <cfRule type="expression" priority="8" dxfId="2">
      <formula>AND(DAY(TODAY())=3, MONTH(TODAY())=11, YEAR(TODAY())=2026)</formula>
    </cfRule>
  </conditionalFormatting>
  <conditionalFormatting sqref="H16:H17">
    <cfRule type="expression" priority="9" dxfId="2">
      <formula>AND(DAY(TODAY())=4, MONTH(TODAY())=11, YEAR(TODAY())=2026)</formula>
    </cfRule>
  </conditionalFormatting>
  <conditionalFormatting sqref="I16:I17">
    <cfRule type="expression" priority="10" dxfId="2">
      <formula>AND(DAY(TODAY())=5, MONTH(TODAY())=11, YEAR(TODAY())=2026)</formula>
    </cfRule>
  </conditionalFormatting>
  <conditionalFormatting sqref="J16:J17">
    <cfRule type="expression" priority="11" dxfId="2">
      <formula>AND(DAY(TODAY())=6, MONTH(TODAY())=11, YEAR(TODAY())=2026)</formula>
    </cfRule>
  </conditionalFormatting>
  <conditionalFormatting sqref="K16:K17">
    <cfRule type="expression" priority="12" dxfId="2">
      <formula>AND(DAY(TODAY())=7, MONTH(TODAY())=11, YEAR(TODAY())=2026)</formula>
    </cfRule>
  </conditionalFormatting>
  <conditionalFormatting sqref="L16:L17">
    <cfRule type="expression" priority="13" dxfId="2">
      <formula>AND(DAY(TODAY())=8, MONTH(TODAY())=11, YEAR(TODAY())=2026)</formula>
    </cfRule>
  </conditionalFormatting>
  <conditionalFormatting sqref="M16:M17">
    <cfRule type="expression" priority="14" dxfId="2">
      <formula>AND(DAY(TODAY())=9, MONTH(TODAY())=11, YEAR(TODAY())=2026)</formula>
    </cfRule>
  </conditionalFormatting>
  <conditionalFormatting sqref="N16:N17">
    <cfRule type="expression" priority="15" dxfId="2">
      <formula>AND(DAY(TODAY())=10, MONTH(TODAY())=11, YEAR(TODAY())=2026)</formula>
    </cfRule>
  </conditionalFormatting>
  <conditionalFormatting sqref="O16:O17">
    <cfRule type="expression" priority="16" dxfId="2">
      <formula>AND(DAY(TODAY())=11, MONTH(TODAY())=11, YEAR(TODAY())=2026)</formula>
    </cfRule>
  </conditionalFormatting>
  <conditionalFormatting sqref="P16:P17">
    <cfRule type="expression" priority="17" dxfId="2">
      <formula>AND(DAY(TODAY())=12, MONTH(TODAY())=11, YEAR(TODAY())=2026)</formula>
    </cfRule>
  </conditionalFormatting>
  <conditionalFormatting sqref="Q16:Q17">
    <cfRule type="expression" priority="18" dxfId="2">
      <formula>AND(DAY(TODAY())=13, MONTH(TODAY())=11, YEAR(TODAY())=2026)</formula>
    </cfRule>
  </conditionalFormatting>
  <conditionalFormatting sqref="R16:R17">
    <cfRule type="expression" priority="19" dxfId="2">
      <formula>AND(DAY(TODAY())=14, MONTH(TODAY())=11, YEAR(TODAY())=2026)</formula>
    </cfRule>
  </conditionalFormatting>
  <conditionalFormatting sqref="S16:S17">
    <cfRule type="expression" priority="20" dxfId="2">
      <formula>AND(DAY(TODAY())=15, MONTH(TODAY())=11, YEAR(TODAY())=2026)</formula>
    </cfRule>
  </conditionalFormatting>
  <conditionalFormatting sqref="T16:T17">
    <cfRule type="expression" priority="21" dxfId="2">
      <formula>AND(DAY(TODAY())=16, MONTH(TODAY())=11, YEAR(TODAY())=2026)</formula>
    </cfRule>
  </conditionalFormatting>
  <conditionalFormatting sqref="U16:U17">
    <cfRule type="expression" priority="22" dxfId="2">
      <formula>AND(DAY(TODAY())=17, MONTH(TODAY())=11, YEAR(TODAY())=2026)</formula>
    </cfRule>
  </conditionalFormatting>
  <conditionalFormatting sqref="V16:V17">
    <cfRule type="expression" priority="23" dxfId="2">
      <formula>AND(DAY(TODAY())=18, MONTH(TODAY())=11, YEAR(TODAY())=2026)</formula>
    </cfRule>
  </conditionalFormatting>
  <conditionalFormatting sqref="W16:W17">
    <cfRule type="expression" priority="24" dxfId="2">
      <formula>AND(DAY(TODAY())=19, MONTH(TODAY())=11, YEAR(TODAY())=2026)</formula>
    </cfRule>
  </conditionalFormatting>
  <conditionalFormatting sqref="X16:X17">
    <cfRule type="expression" priority="25" dxfId="2">
      <formula>AND(DAY(TODAY())=20, MONTH(TODAY())=11, YEAR(TODAY())=2026)</formula>
    </cfRule>
  </conditionalFormatting>
  <conditionalFormatting sqref="Y16:Y17">
    <cfRule type="expression" priority="26" dxfId="2">
      <formula>AND(DAY(TODAY())=21, MONTH(TODAY())=11, YEAR(TODAY())=2026)</formula>
    </cfRule>
  </conditionalFormatting>
  <conditionalFormatting sqref="Z16:Z17">
    <cfRule type="expression" priority="27" dxfId="2">
      <formula>AND(DAY(TODAY())=22, MONTH(TODAY())=11, YEAR(TODAY())=2026)</formula>
    </cfRule>
  </conditionalFormatting>
  <conditionalFormatting sqref="AA16:AA17">
    <cfRule type="expression" priority="28" dxfId="2">
      <formula>AND(DAY(TODAY())=23, MONTH(TODAY())=11, YEAR(TODAY())=2026)</formula>
    </cfRule>
  </conditionalFormatting>
  <conditionalFormatting sqref="AB16:AB17">
    <cfRule type="expression" priority="29" dxfId="2">
      <formula>AND(DAY(TODAY())=24, MONTH(TODAY())=11, YEAR(TODAY())=2026)</formula>
    </cfRule>
  </conditionalFormatting>
  <conditionalFormatting sqref="AC16:AC17">
    <cfRule type="expression" priority="30" dxfId="2">
      <formula>AND(DAY(TODAY())=25, MONTH(TODAY())=11, YEAR(TODAY())=2026)</formula>
    </cfRule>
  </conditionalFormatting>
  <conditionalFormatting sqref="AD16:AD17">
    <cfRule type="expression" priority="31" dxfId="2">
      <formula>AND(DAY(TODAY())=26, MONTH(TODAY())=11, YEAR(TODAY())=2026)</formula>
    </cfRule>
  </conditionalFormatting>
  <conditionalFormatting sqref="AE16:AE17">
    <cfRule type="expression" priority="32" dxfId="2">
      <formula>AND(DAY(TODAY())=27, MONTH(TODAY())=11, YEAR(TODAY())=2026)</formula>
    </cfRule>
  </conditionalFormatting>
  <conditionalFormatting sqref="AF16:AF17">
    <cfRule type="expression" priority="33" dxfId="2">
      <formula>AND(DAY(TODAY())=28, MONTH(TODAY())=11, YEAR(TODAY())=2026)</formula>
    </cfRule>
  </conditionalFormatting>
  <conditionalFormatting sqref="AG16:AG17">
    <cfRule type="expression" priority="34" dxfId="2">
      <formula>AND(DAY(TODAY())=29, MONTH(TODAY())=11, YEAR(TODAY())=2026)</formula>
    </cfRule>
  </conditionalFormatting>
  <conditionalFormatting sqref="AH16:AH17">
    <cfRule type="expression" priority="35" dxfId="2">
      <formula>AND(DAY(TODAY())=30, MONTH(TODAY())=11, YEAR(TODAY())=2026)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E2" s="3" t="inlineStr">
        <is>
          <t>@surajvansh</t>
        </is>
      </c>
    </row>
    <row r="3" ht="18" customHeight="1">
      <c r="A3" s="4" t="inlineStr">
        <is>
          <t>December 2026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2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2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2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2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5" t="inlineStr">
        <is>
          <t>Th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5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5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5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5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  <c r="AI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Dec</t>
        </is>
      </c>
      <c r="B92" s="89" t="n"/>
      <c r="C92" s="96" t="n">
        <v>2026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MONTH(TODAY())=12, YEAR(TODAY())=2026)</formula>
    </cfRule>
  </conditionalFormatting>
  <conditionalFormatting sqref="F16:F17">
    <cfRule type="expression" priority="7" dxfId="2">
      <formula>AND(DAY(TODAY())=2, MONTH(TODAY())=12, YEAR(TODAY())=2026)</formula>
    </cfRule>
  </conditionalFormatting>
  <conditionalFormatting sqref="G16:G17">
    <cfRule type="expression" priority="8" dxfId="2">
      <formula>AND(DAY(TODAY())=3, MONTH(TODAY())=12, YEAR(TODAY())=2026)</formula>
    </cfRule>
  </conditionalFormatting>
  <conditionalFormatting sqref="H16:H17">
    <cfRule type="expression" priority="9" dxfId="2">
      <formula>AND(DAY(TODAY())=4, MONTH(TODAY())=12, YEAR(TODAY())=2026)</formula>
    </cfRule>
  </conditionalFormatting>
  <conditionalFormatting sqref="I16:I17">
    <cfRule type="expression" priority="10" dxfId="2">
      <formula>AND(DAY(TODAY())=5, MONTH(TODAY())=12, YEAR(TODAY())=2026)</formula>
    </cfRule>
  </conditionalFormatting>
  <conditionalFormatting sqref="J16:J17">
    <cfRule type="expression" priority="11" dxfId="2">
      <formula>AND(DAY(TODAY())=6, MONTH(TODAY())=12, YEAR(TODAY())=2026)</formula>
    </cfRule>
  </conditionalFormatting>
  <conditionalFormatting sqref="K16:K17">
    <cfRule type="expression" priority="12" dxfId="2">
      <formula>AND(DAY(TODAY())=7, MONTH(TODAY())=12, YEAR(TODAY())=2026)</formula>
    </cfRule>
  </conditionalFormatting>
  <conditionalFormatting sqref="L16:L17">
    <cfRule type="expression" priority="13" dxfId="2">
      <formula>AND(DAY(TODAY())=8, MONTH(TODAY())=12, YEAR(TODAY())=2026)</formula>
    </cfRule>
  </conditionalFormatting>
  <conditionalFormatting sqref="M16:M17">
    <cfRule type="expression" priority="14" dxfId="2">
      <formula>AND(DAY(TODAY())=9, MONTH(TODAY())=12, YEAR(TODAY())=2026)</formula>
    </cfRule>
  </conditionalFormatting>
  <conditionalFormatting sqref="N16:N17">
    <cfRule type="expression" priority="15" dxfId="2">
      <formula>AND(DAY(TODAY())=10, MONTH(TODAY())=12, YEAR(TODAY())=2026)</formula>
    </cfRule>
  </conditionalFormatting>
  <conditionalFormatting sqref="O16:O17">
    <cfRule type="expression" priority="16" dxfId="2">
      <formula>AND(DAY(TODAY())=11, MONTH(TODAY())=12, YEAR(TODAY())=2026)</formula>
    </cfRule>
  </conditionalFormatting>
  <conditionalFormatting sqref="P16:P17">
    <cfRule type="expression" priority="17" dxfId="2">
      <formula>AND(DAY(TODAY())=12, MONTH(TODAY())=12, YEAR(TODAY())=2026)</formula>
    </cfRule>
  </conditionalFormatting>
  <conditionalFormatting sqref="Q16:Q17">
    <cfRule type="expression" priority="18" dxfId="2">
      <formula>AND(DAY(TODAY())=13, MONTH(TODAY())=12, YEAR(TODAY())=2026)</formula>
    </cfRule>
  </conditionalFormatting>
  <conditionalFormatting sqref="R16:R17">
    <cfRule type="expression" priority="19" dxfId="2">
      <formula>AND(DAY(TODAY())=14, MONTH(TODAY())=12, YEAR(TODAY())=2026)</formula>
    </cfRule>
  </conditionalFormatting>
  <conditionalFormatting sqref="S16:S17">
    <cfRule type="expression" priority="20" dxfId="2">
      <formula>AND(DAY(TODAY())=15, MONTH(TODAY())=12, YEAR(TODAY())=2026)</formula>
    </cfRule>
  </conditionalFormatting>
  <conditionalFormatting sqref="T16:T17">
    <cfRule type="expression" priority="21" dxfId="2">
      <formula>AND(DAY(TODAY())=16, MONTH(TODAY())=12, YEAR(TODAY())=2026)</formula>
    </cfRule>
  </conditionalFormatting>
  <conditionalFormatting sqref="U16:U17">
    <cfRule type="expression" priority="22" dxfId="2">
      <formula>AND(DAY(TODAY())=17, MONTH(TODAY())=12, YEAR(TODAY())=2026)</formula>
    </cfRule>
  </conditionalFormatting>
  <conditionalFormatting sqref="V16:V17">
    <cfRule type="expression" priority="23" dxfId="2">
      <formula>AND(DAY(TODAY())=18, MONTH(TODAY())=12, YEAR(TODAY())=2026)</formula>
    </cfRule>
  </conditionalFormatting>
  <conditionalFormatting sqref="W16:W17">
    <cfRule type="expression" priority="24" dxfId="2">
      <formula>AND(DAY(TODAY())=19, MONTH(TODAY())=12, YEAR(TODAY())=2026)</formula>
    </cfRule>
  </conditionalFormatting>
  <conditionalFormatting sqref="X16:X17">
    <cfRule type="expression" priority="25" dxfId="2">
      <formula>AND(DAY(TODAY())=20, MONTH(TODAY())=12, YEAR(TODAY())=2026)</formula>
    </cfRule>
  </conditionalFormatting>
  <conditionalFormatting sqref="Y16:Y17">
    <cfRule type="expression" priority="26" dxfId="2">
      <formula>AND(DAY(TODAY())=21, MONTH(TODAY())=12, YEAR(TODAY())=2026)</formula>
    </cfRule>
  </conditionalFormatting>
  <conditionalFormatting sqref="Z16:Z17">
    <cfRule type="expression" priority="27" dxfId="2">
      <formula>AND(DAY(TODAY())=22, MONTH(TODAY())=12, YEAR(TODAY())=2026)</formula>
    </cfRule>
  </conditionalFormatting>
  <conditionalFormatting sqref="AA16:AA17">
    <cfRule type="expression" priority="28" dxfId="2">
      <formula>AND(DAY(TODAY())=23, MONTH(TODAY())=12, YEAR(TODAY())=2026)</formula>
    </cfRule>
  </conditionalFormatting>
  <conditionalFormatting sqref="AB16:AB17">
    <cfRule type="expression" priority="29" dxfId="2">
      <formula>AND(DAY(TODAY())=24, MONTH(TODAY())=12, YEAR(TODAY())=2026)</formula>
    </cfRule>
  </conditionalFormatting>
  <conditionalFormatting sqref="AC16:AC17">
    <cfRule type="expression" priority="30" dxfId="2">
      <formula>AND(DAY(TODAY())=25, MONTH(TODAY())=12, YEAR(TODAY())=2026)</formula>
    </cfRule>
  </conditionalFormatting>
  <conditionalFormatting sqref="AD16:AD17">
    <cfRule type="expression" priority="31" dxfId="2">
      <formula>AND(DAY(TODAY())=26, MONTH(TODAY())=12, YEAR(TODAY())=2026)</formula>
    </cfRule>
  </conditionalFormatting>
  <conditionalFormatting sqref="AE16:AE17">
    <cfRule type="expression" priority="32" dxfId="2">
      <formula>AND(DAY(TODAY())=27, MONTH(TODAY())=12, YEAR(TODAY())=2026)</formula>
    </cfRule>
  </conditionalFormatting>
  <conditionalFormatting sqref="AF16:AF17">
    <cfRule type="expression" priority="33" dxfId="2">
      <formula>AND(DAY(TODAY())=28, MONTH(TODAY())=12, YEAR(TODAY())=2026)</formula>
    </cfRule>
  </conditionalFormatting>
  <conditionalFormatting sqref="AG16:AG17">
    <cfRule type="expression" priority="34" dxfId="2">
      <formula>AND(DAY(TODAY())=29, MONTH(TODAY())=12, YEAR(TODAY())=2026)</formula>
    </cfRule>
  </conditionalFormatting>
  <conditionalFormatting sqref="AH16:AH17">
    <cfRule type="expression" priority="35" dxfId="2">
      <formula>AND(DAY(TODAY())=30, MONTH(TODAY())=12, YEAR(TODAY())=2026)</formula>
    </cfRule>
  </conditionalFormatting>
  <conditionalFormatting sqref="AI16:AI17">
    <cfRule type="expression" priority="36" dxfId="2">
      <formula>AND(DAY(TODAY())=31, MONTH(TODAY())=12, YEAR(TODAY())=2026)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"Small daily improvements lead to stunning results."</t>
        </is>
      </c>
      <c r="AE2" s="3" t="inlineStr">
        <is>
          <t>@surajvansh</t>
        </is>
      </c>
    </row>
    <row r="3" ht="18" customHeight="1">
      <c r="A3" s="4" t="inlineStr">
        <is>
          <t>January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2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2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2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2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2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6" t="inlineStr">
        <is>
          <t>Su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0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0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0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0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6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6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6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6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2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2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2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2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8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8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8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8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4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4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4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4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5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5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5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5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5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  <c r="AI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  <c r="AI47" s="61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Jan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MONTH(TODAY())=1, YEAR(TODAY())=2027)</formula>
    </cfRule>
  </conditionalFormatting>
  <conditionalFormatting sqref="F16:F17">
    <cfRule type="expression" priority="7" dxfId="2">
      <formula>AND(DAY(TODAY())=2, MONTH(TODAY())=1, YEAR(TODAY())=2027)</formula>
    </cfRule>
  </conditionalFormatting>
  <conditionalFormatting sqref="G16:G17">
    <cfRule type="expression" priority="8" dxfId="2">
      <formula>AND(DAY(TODAY())=3, MONTH(TODAY())=1, YEAR(TODAY())=2027)</formula>
    </cfRule>
  </conditionalFormatting>
  <conditionalFormatting sqref="H16:H17">
    <cfRule type="expression" priority="9" dxfId="2">
      <formula>AND(DAY(TODAY())=4, MONTH(TODAY())=1, YEAR(TODAY())=2027)</formula>
    </cfRule>
  </conditionalFormatting>
  <conditionalFormatting sqref="I16:I17">
    <cfRule type="expression" priority="10" dxfId="2">
      <formula>AND(DAY(TODAY())=5, MONTH(TODAY())=1, YEAR(TODAY())=2027)</formula>
    </cfRule>
  </conditionalFormatting>
  <conditionalFormatting sqref="J16:J17">
    <cfRule type="expression" priority="11" dxfId="2">
      <formula>AND(DAY(TODAY())=6, MONTH(TODAY())=1, YEAR(TODAY())=2027)</formula>
    </cfRule>
  </conditionalFormatting>
  <conditionalFormatting sqref="K16:K17">
    <cfRule type="expression" priority="12" dxfId="2">
      <formula>AND(DAY(TODAY())=7, MONTH(TODAY())=1, YEAR(TODAY())=2027)</formula>
    </cfRule>
  </conditionalFormatting>
  <conditionalFormatting sqref="L16:L17">
    <cfRule type="expression" priority="13" dxfId="2">
      <formula>AND(DAY(TODAY())=8, MONTH(TODAY())=1, YEAR(TODAY())=2027)</formula>
    </cfRule>
  </conditionalFormatting>
  <conditionalFormatting sqref="M16:M17">
    <cfRule type="expression" priority="14" dxfId="2">
      <formula>AND(DAY(TODAY())=9, MONTH(TODAY())=1, YEAR(TODAY())=2027)</formula>
    </cfRule>
  </conditionalFormatting>
  <conditionalFormatting sqref="N16:N17">
    <cfRule type="expression" priority="15" dxfId="2">
      <formula>AND(DAY(TODAY())=10, MONTH(TODAY())=1, YEAR(TODAY())=2027)</formula>
    </cfRule>
  </conditionalFormatting>
  <conditionalFormatting sqref="O16:O17">
    <cfRule type="expression" priority="16" dxfId="2">
      <formula>AND(DAY(TODAY())=11, MONTH(TODAY())=1, YEAR(TODAY())=2027)</formula>
    </cfRule>
  </conditionalFormatting>
  <conditionalFormatting sqref="P16:P17">
    <cfRule type="expression" priority="17" dxfId="2">
      <formula>AND(DAY(TODAY())=12, MONTH(TODAY())=1, YEAR(TODAY())=2027)</formula>
    </cfRule>
  </conditionalFormatting>
  <conditionalFormatting sqref="Q16:Q17">
    <cfRule type="expression" priority="18" dxfId="2">
      <formula>AND(DAY(TODAY())=13, MONTH(TODAY())=1, YEAR(TODAY())=2027)</formula>
    </cfRule>
  </conditionalFormatting>
  <conditionalFormatting sqref="R16:R17">
    <cfRule type="expression" priority="19" dxfId="2">
      <formula>AND(DAY(TODAY())=14, MONTH(TODAY())=1, YEAR(TODAY())=2027)</formula>
    </cfRule>
  </conditionalFormatting>
  <conditionalFormatting sqref="S16:S17">
    <cfRule type="expression" priority="20" dxfId="2">
      <formula>AND(DAY(TODAY())=15, MONTH(TODAY())=1, YEAR(TODAY())=2027)</formula>
    </cfRule>
  </conditionalFormatting>
  <conditionalFormatting sqref="T16:T17">
    <cfRule type="expression" priority="21" dxfId="2">
      <formula>AND(DAY(TODAY())=16, MONTH(TODAY())=1, YEAR(TODAY())=2027)</formula>
    </cfRule>
  </conditionalFormatting>
  <conditionalFormatting sqref="U16:U17">
    <cfRule type="expression" priority="22" dxfId="2">
      <formula>AND(DAY(TODAY())=17, MONTH(TODAY())=1, YEAR(TODAY())=2027)</formula>
    </cfRule>
  </conditionalFormatting>
  <conditionalFormatting sqref="V16:V17">
    <cfRule type="expression" priority="23" dxfId="2">
      <formula>AND(DAY(TODAY())=18, MONTH(TODAY())=1, YEAR(TODAY())=2027)</formula>
    </cfRule>
  </conditionalFormatting>
  <conditionalFormatting sqref="W16:W17">
    <cfRule type="expression" priority="24" dxfId="2">
      <formula>AND(DAY(TODAY())=19, MONTH(TODAY())=1, YEAR(TODAY())=2027)</formula>
    </cfRule>
  </conditionalFormatting>
  <conditionalFormatting sqref="X16:X17">
    <cfRule type="expression" priority="25" dxfId="2">
      <formula>AND(DAY(TODAY())=20, MONTH(TODAY())=1, YEAR(TODAY())=2027)</formula>
    </cfRule>
  </conditionalFormatting>
  <conditionalFormatting sqref="Y16:Y17">
    <cfRule type="expression" priority="26" dxfId="2">
      <formula>AND(DAY(TODAY())=21, MONTH(TODAY())=1, YEAR(TODAY())=2027)</formula>
    </cfRule>
  </conditionalFormatting>
  <conditionalFormatting sqref="Z16:Z17">
    <cfRule type="expression" priority="27" dxfId="2">
      <formula>AND(DAY(TODAY())=22, MONTH(TODAY())=1, YEAR(TODAY())=2027)</formula>
    </cfRule>
  </conditionalFormatting>
  <conditionalFormatting sqref="AA16:AA17">
    <cfRule type="expression" priority="28" dxfId="2">
      <formula>AND(DAY(TODAY())=23, MONTH(TODAY())=1, YEAR(TODAY())=2027)</formula>
    </cfRule>
  </conditionalFormatting>
  <conditionalFormatting sqref="AB16:AB17">
    <cfRule type="expression" priority="29" dxfId="2">
      <formula>AND(DAY(TODAY())=24, MONTH(TODAY())=1, YEAR(TODAY())=2027)</formula>
    </cfRule>
  </conditionalFormatting>
  <conditionalFormatting sqref="AC16:AC17">
    <cfRule type="expression" priority="30" dxfId="2">
      <formula>AND(DAY(TODAY())=25, MONTH(TODAY())=1, YEAR(TODAY())=2027)</formula>
    </cfRule>
  </conditionalFormatting>
  <conditionalFormatting sqref="AD16:AD17">
    <cfRule type="expression" priority="31" dxfId="2">
      <formula>AND(DAY(TODAY())=26, MONTH(TODAY())=1, YEAR(TODAY())=2027)</formula>
    </cfRule>
  </conditionalFormatting>
  <conditionalFormatting sqref="AE16:AE17">
    <cfRule type="expression" priority="32" dxfId="2">
      <formula>AND(DAY(TODAY())=27, MONTH(TODAY())=1, YEAR(TODAY())=2027)</formula>
    </cfRule>
  </conditionalFormatting>
  <conditionalFormatting sqref="AF16:AF17">
    <cfRule type="expression" priority="33" dxfId="2">
      <formula>AND(DAY(TODAY())=28, MONTH(TODAY())=1, YEAR(TODAY())=2027)</formula>
    </cfRule>
  </conditionalFormatting>
  <conditionalFormatting sqref="AG16:AG17">
    <cfRule type="expression" priority="34" dxfId="2">
      <formula>AND(DAY(TODAY())=29, MONTH(TODAY())=1, YEAR(TODAY())=2027)</formula>
    </cfRule>
  </conditionalFormatting>
  <conditionalFormatting sqref="AH16:AH17">
    <cfRule type="expression" priority="35" dxfId="2">
      <formula>AND(DAY(TODAY())=30, MONTH(TODAY())=1, YEAR(TODAY())=2027)</formula>
    </cfRule>
  </conditionalFormatting>
  <conditionalFormatting sqref="AI16:AI17">
    <cfRule type="expression" priority="36" dxfId="2">
      <formula>AND(DAY(TODAY())=31, MONTH(TODAY())=1,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AI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11.5" customWidth="1" min="33" max="33"/>
    <col width="13.5" customWidth="1" min="34" max="34"/>
    <col hidden="1" width="8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"We are what we repeatedly do."</t>
        </is>
      </c>
      <c r="AB2" s="3" t="inlineStr">
        <is>
          <t>@surajvansh</t>
        </is>
      </c>
    </row>
    <row r="3" ht="18" customHeight="1">
      <c r="A3" s="4" t="inlineStr">
        <is>
          <t>February 2027</t>
        </is>
      </c>
      <c r="H3" s="5" t="inlineStr">
        <is>
          <t>28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2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2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2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2" t="n">
        <v>28</v>
      </c>
      <c r="AG16" s="13" t="inlineStr">
        <is>
          <t>Success %</t>
        </is>
      </c>
      <c r="AH16" s="13" t="inlineStr">
        <is>
          <t>Done / Target</t>
        </is>
      </c>
      <c r="AI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4" t="n"/>
      <c r="AH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21">
        <f>IF(ISBLANK(B18), "", IF(ISNUMBER(D18), IF(D18&gt;0, (COUNTIF(E18:AF18, "✓") + COUNTIF(E18:AF18, "✔") + COUNTIF(E18:AF18, "v") + COUNTIF(E18:AF18, "V"))/D18, 0),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"V"))/((COUNTIF(E18:AF18, "✓") + COUNTIF(E18:AF18, "✔") + COUNTIF(E18:AF18, "v") + COUNTIF(E18:AF18, "V")) + COUNTIF(E18:AF18, "✗") + COUNTIF(E18:AF18, "x") + COUNTIF(E18:AF18, "X")), "")))</f>
        <v/>
      </c>
      <c r="AH18" s="22">
        <f>IF(ISBLANK(B18), "", IF(ISNUMBER(D18), IF(D18&gt;0, (COUNTIF(E18:AF18, "✓") + COUNTIF(E18:AF18, "✔") + COUNTIF(E18:AF18, "v") + COUNTIF(E18:AF18, "V")) &amp; "/" &amp; D18, (COUNTIF(E18:AF18, "✓") + COUNTIF(E18:AF18, "✔") + COUNTIF(E18:AF18, "v") + COUNTIF(E18:AF18, "V")) &amp; "/0"),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 &amp; "/" &amp; ((COUNTIF(E18:AF18, "✓") + COUNTIF(E18:AF18, "✔") + COUNTIF(E18:AF18, "v") + COUNTIF(E18:AF18, "V")) + COUNTIF(E18:AF18, "✗") + COUNTIF(E18:AF18, "x") + COUNTIF(E18:AF18, "X")), "")))</f>
        <v/>
      </c>
      <c r="AI18">
        <f>COUNTIF(E18:AF18,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21">
        <f>IF(ISBLANK(B19), "", IF(ISNUMBER(D19), IF(D19&gt;0, (COUNTIF(E19:AF19, "✓") + COUNTIF(E19:AF19, "✔") + COUNTIF(E19:AF19, "v") + COUNTIF(E19:AF19, "V"))/D19, 0),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"V"))/((COUNTIF(E19:AF19, "✓") + COUNTIF(E19:AF19, "✔") + COUNTIF(E19:AF19, "v") + COUNTIF(E19:AF19, "V")) + COUNTIF(E19:AF19, "✗") + COUNTIF(E19:AF19, "x") + COUNTIF(E19:AF19, "X")), "")))</f>
        <v/>
      </c>
      <c r="AH19" s="22">
        <f>IF(ISBLANK(B19), "", IF(ISNUMBER(D19), IF(D19&gt;0, (COUNTIF(E19:AF19, "✓") + COUNTIF(E19:AF19, "✔") + COUNTIF(E19:AF19, "v") + COUNTIF(E19:AF19, "V")) &amp; "/" &amp; D19, (COUNTIF(E19:AF19, "✓") + COUNTIF(E19:AF19, "✔") + COUNTIF(E19:AF19, "v") + COUNTIF(E19:AF19, "V")) &amp; "/0"),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 &amp; "/" &amp; ((COUNTIF(E19:AF19, "✓") + COUNTIF(E19:AF19, "✔") + COUNTIF(E19:AF19, "v") + COUNTIF(E19:AF19, "V")) + COUNTIF(E19:AF19, "✗") + COUNTIF(E19:AF19, "x") + COUNTIF(E19:AF19, "X")), "")))</f>
        <v/>
      </c>
      <c r="AI19">
        <f>COUNTIF(E19:AF19,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21">
        <f>IF(ISBLANK(B20), "", IF(ISNUMBER(D20), IF(D20&gt;0, (COUNTIF(E20:AF20, "✓") + COUNTIF(E20:AF20, "✔") + COUNTIF(E20:AF20, "v") + COUNTIF(E20:AF20, "V"))/D20, 0),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"V"))/((COUNTIF(E20:AF20, "✓") + COUNTIF(E20:AF20, "✔") + COUNTIF(E20:AF20, "v") + COUNTIF(E20:AF20, "V")) + COUNTIF(E20:AF20, "✗") + COUNTIF(E20:AF20, "x") + COUNTIF(E20:AF20, "X")), "")))</f>
        <v/>
      </c>
      <c r="AH20" s="22">
        <f>IF(ISBLANK(B20), "", IF(ISNUMBER(D20), IF(D20&gt;0, (COUNTIF(E20:AF20, "✓") + COUNTIF(E20:AF20, "✔") + COUNTIF(E20:AF20, "v") + COUNTIF(E20:AF20, "V")) &amp; "/" &amp; D20, (COUNTIF(E20:AF20, "✓") + COUNTIF(E20:AF20, "✔") + COUNTIF(E20:AF20, "v") + COUNTIF(E20:AF20, "V")) &amp; "/0"),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 &amp; "/" &amp; ((COUNTIF(E20:AF20, "✓") + COUNTIF(E20:AF20, "✔") + COUNTIF(E20:AF20, "v") + COUNTIF(E20:AF20, "V")) + COUNTIF(E20:AF20, "✗") + COUNTIF(E20:AF20, "x") + COUNTIF(E20:AF20, "X")), "")))</f>
        <v/>
      </c>
      <c r="AI20">
        <f>COUNTIF(E20:AF20,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21">
        <f>IF(ISBLANK(B21), "", IF(ISNUMBER(D21), IF(D21&gt;0, (COUNTIF(E21:AF21, "✓") + COUNTIF(E21:AF21, "✔") + COUNTIF(E21:AF21, "v") + COUNTIF(E21:AF21, "V"))/D21, 0),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"V"))/((COUNTIF(E21:AF21, "✓") + COUNTIF(E21:AF21, "✔") + COUNTIF(E21:AF21, "v") + COUNTIF(E21:AF21, "V")) + COUNTIF(E21:AF21, "✗") + COUNTIF(E21:AF21, "x") + COUNTIF(E21:AF21, "X")), "")))</f>
        <v/>
      </c>
      <c r="AH21" s="22">
        <f>IF(ISBLANK(B21), "", IF(ISNUMBER(D21), IF(D21&gt;0, (COUNTIF(E21:AF21, "✓") + COUNTIF(E21:AF21, "✔") + COUNTIF(E21:AF21, "v") + COUNTIF(E21:AF21, "V")) &amp; "/" &amp; D21, (COUNTIF(E21:AF21, "✓") + COUNTIF(E21:AF21, "✔") + COUNTIF(E21:AF21, "v") + COUNTIF(E21:AF21, "V")) &amp; "/0"),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 &amp; "/" &amp; ((COUNTIF(E21:AF21, "✓") + COUNTIF(E21:AF21, "✔") + COUNTIF(E21:AF21, "v") + COUNTIF(E21:AF21, "V")) + COUNTIF(E21:AF21, "✗") + COUNTIF(E21:AF21, "x") + COUNTIF(E21:AF21, "X")), "")))</f>
        <v/>
      </c>
      <c r="AI21">
        <f>COUNTIF(E21:AF21,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7">
        <f>IF(ISBLANK(B22), "", IF(ISNUMBER(D22), IF(D22&gt;0, (COUNTIF(E22:AF22, "✓") + COUNTIF(E22:AF22, "✔") + COUNTIF(E22:AF22, "v") + COUNTIF(E22:AF22, "V"))/D22, 0),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"V"))/((COUNTIF(E22:AF22, "✓") + COUNTIF(E22:AF22, "✔") + COUNTIF(E22:AF22, "v") + COUNTIF(E22:AF22, "V")) + COUNTIF(E22:AF22, "✗") + COUNTIF(E22:AF22, "x") + COUNTIF(E22:AF22, "X")), "")))</f>
        <v/>
      </c>
      <c r="AH22" s="28">
        <f>IF(ISBLANK(B22), "", IF(ISNUMBER(D22), IF(D22&gt;0, (COUNTIF(E22:AF22, "✓") + COUNTIF(E22:AF22, "✔") + COUNTIF(E22:AF22, "v") + COUNTIF(E22:AF22, "V")) &amp; "/" &amp; D22, (COUNTIF(E22:AF22, "✓") + COUNTIF(E22:AF22, "✔") + COUNTIF(E22:AF22, "v") + COUNTIF(E22:AF22, "V")) &amp; "/0"),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 &amp; "/" &amp; ((COUNTIF(E22:AF22, "✓") + COUNTIF(E22:AF22, "✔") + COUNTIF(E22:AF22, "v") + COUNTIF(E22:AF22, "V")) + COUNTIF(E22:AF22, "✗") + COUNTIF(E22:AF22, "x") + COUNTIF(E22:AF22, "X")), "")))</f>
        <v/>
      </c>
      <c r="AI22">
        <f>COUNTIF(E22:AF22,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7">
        <f>IF(ISBLANK(B23), "", IF(ISNUMBER(D23), IF(D23&gt;0, (COUNTIF(E23:AF23, "✓") + COUNTIF(E23:AF23, "✔") + COUNTIF(E23:AF23, "v") + COUNTIF(E23:AF23, "V"))/D23, 0),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"V"))/((COUNTIF(E23:AF23, "✓") + COUNTIF(E23:AF23, "✔") + COUNTIF(E23:AF23, "v") + COUNTIF(E23:AF23, "V")) + COUNTIF(E23:AF23, "✗") + COUNTIF(E23:AF23, "x") + COUNTIF(E23:AF23, "X")), "")))</f>
        <v/>
      </c>
      <c r="AH23" s="28">
        <f>IF(ISBLANK(B23), "", IF(ISNUMBER(D23), IF(D23&gt;0, (COUNTIF(E23:AF23, "✓") + COUNTIF(E23:AF23, "✔") + COUNTIF(E23:AF23, "v") + COUNTIF(E23:AF23, "V")) &amp; "/" &amp; D23, (COUNTIF(E23:AF23, "✓") + COUNTIF(E23:AF23, "✔") + COUNTIF(E23:AF23, "v") + COUNTIF(E23:AF23, "V")) &amp; "/0"),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 &amp; "/" &amp; ((COUNTIF(E23:AF23, "✓") + COUNTIF(E23:AF23, "✔") + COUNTIF(E23:AF23, "v") + COUNTIF(E23:AF23, "V")) + COUNTIF(E23:AF23, "✗") + COUNTIF(E23:AF23, "x") + COUNTIF(E23:AF23, "X")), "")))</f>
        <v/>
      </c>
      <c r="AI23">
        <f>COUNTIF(E23:AF23,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7">
        <f>IF(ISBLANK(B24), "", IF(ISNUMBER(D24), IF(D24&gt;0, (COUNTIF(E24:AF24, "✓") + COUNTIF(E24:AF24, "✔") + COUNTIF(E24:AF24, "v") + COUNTIF(E24:AF24, "V"))/D24, 0),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"V"))/((COUNTIF(E24:AF24, "✓") + COUNTIF(E24:AF24, "✔") + COUNTIF(E24:AF24, "v") + COUNTIF(E24:AF24, "V")) + COUNTIF(E24:AF24, "✗") + COUNTIF(E24:AF24, "x") + COUNTIF(E24:AF24, "X")), "")))</f>
        <v/>
      </c>
      <c r="AH24" s="28">
        <f>IF(ISBLANK(B24), "", IF(ISNUMBER(D24), IF(D24&gt;0, (COUNTIF(E24:AF24, "✓") + COUNTIF(E24:AF24, "✔") + COUNTIF(E24:AF24, "v") + COUNTIF(E24:AF24, "V")) &amp; "/" &amp; D24, (COUNTIF(E24:AF24, "✓") + COUNTIF(E24:AF24, "✔") + COUNTIF(E24:AF24, "v") + COUNTIF(E24:AF24, "V")) &amp; "/0"),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 &amp; "/" &amp; ((COUNTIF(E24:AF24, "✓") + COUNTIF(E24:AF24, "✔") + COUNTIF(E24:AF24, "v") + COUNTIF(E24:AF24, "V")) + COUNTIF(E24:AF24, "✗") + COUNTIF(E24:AF24, "x") + COUNTIF(E24:AF24, "X")), "")))</f>
        <v/>
      </c>
      <c r="AI24">
        <f>COUNTIF(E24:AF24,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7">
        <f>IF(ISBLANK(B25), "", IF(ISNUMBER(D25), IF(D25&gt;0, (COUNTIF(E25:AF25, "✓") + COUNTIF(E25:AF25, "✔") + COUNTIF(E25:AF25, "v") + COUNTIF(E25:AF25, "V"))/D25, 0),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"V"))/((COUNTIF(E25:AF25, "✓") + COUNTIF(E25:AF25, "✔") + COUNTIF(E25:AF25, "v") + COUNTIF(E25:AF25, "V")) + COUNTIF(E25:AF25, "✗") + COUNTIF(E25:AF25, "x") + COUNTIF(E25:AF25, "X")), "")))</f>
        <v/>
      </c>
      <c r="AH25" s="28">
        <f>IF(ISBLANK(B25), "", IF(ISNUMBER(D25), IF(D25&gt;0, (COUNTIF(E25:AF25, "✓") + COUNTIF(E25:AF25, "✔") + COUNTIF(E25:AF25, "v") + COUNTIF(E25:AF25, "V")) &amp; "/" &amp; D25, (COUNTIF(E25:AF25, "✓") + COUNTIF(E25:AF25, "✔") + COUNTIF(E25:AF25, "v") + COUNTIF(E25:AF25, "V")) &amp; "/0"),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 &amp; "/" &amp; ((COUNTIF(E25:AF25, "✓") + COUNTIF(E25:AF25, "✔") + COUNTIF(E25:AF25, "v") + COUNTIF(E25:AF25, "V")) + COUNTIF(E25:AF25, "✗") + COUNTIF(E25:AF25, "x") + COUNTIF(E25:AF25, "X")), "")))</f>
        <v/>
      </c>
      <c r="AI25">
        <f>COUNTIF(E25:AF25,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3">
        <f>IF(ISBLANK(B26), "", IF(ISNUMBER(D26), IF(D26&gt;0, (COUNTIF(E26:AF26, "✓") + COUNTIF(E26:AF26, "✔") + COUNTIF(E26:AF26, "v") + COUNTIF(E26:AF26, "V"))/D26, 0),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"V"))/((COUNTIF(E26:AF26, "✓") + COUNTIF(E26:AF26, "✔") + COUNTIF(E26:AF26, "v") + COUNTIF(E26:AF26, "V")) + COUNTIF(E26:AF26, "✗") + COUNTIF(E26:AF26, "x") + COUNTIF(E26:AF26, "X")), "")))</f>
        <v/>
      </c>
      <c r="AH26" s="34">
        <f>IF(ISBLANK(B26), "", IF(ISNUMBER(D26), IF(D26&gt;0, (COUNTIF(E26:AF26, "✓") + COUNTIF(E26:AF26, "✔") + COUNTIF(E26:AF26, "v") + COUNTIF(E26:AF26, "V")) &amp; "/" &amp; D26, (COUNTIF(E26:AF26, "✓") + COUNTIF(E26:AF26, "✔") + COUNTIF(E26:AF26, "v") + COUNTIF(E26:AF26, "V")) &amp; "/0"),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 &amp; "/" &amp; ((COUNTIF(E26:AF26, "✓") + COUNTIF(E26:AF26, "✔") + COUNTIF(E26:AF26, "v") + COUNTIF(E26:AF26, "V")) + COUNTIF(E26:AF26, "✗") + COUNTIF(E26:AF26, "x") + COUNTIF(E26:AF26, "X")), "")))</f>
        <v/>
      </c>
      <c r="AI26">
        <f>COUNTIF(E26:AF26,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3">
        <f>IF(ISBLANK(B27), "", IF(ISNUMBER(D27), IF(D27&gt;0, (COUNTIF(E27:AF27, "✓") + COUNTIF(E27:AF27, "✔") + COUNTIF(E27:AF27, "v") + COUNTIF(E27:AF27, "V"))/D27, 0),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"V"))/((COUNTIF(E27:AF27, "✓") + COUNTIF(E27:AF27, "✔") + COUNTIF(E27:AF27, "v") + COUNTIF(E27:AF27, "V")) + COUNTIF(E27:AF27, "✗") + COUNTIF(E27:AF27, "x") + COUNTIF(E27:AF27, "X")), "")))</f>
        <v/>
      </c>
      <c r="AH27" s="34">
        <f>IF(ISBLANK(B27), "", IF(ISNUMBER(D27), IF(D27&gt;0, (COUNTIF(E27:AF27, "✓") + COUNTIF(E27:AF27, "✔") + COUNTIF(E27:AF27, "v") + COUNTIF(E27:AF27, "V")) &amp; "/" &amp; D27, (COUNTIF(E27:AF27, "✓") + COUNTIF(E27:AF27, "✔") + COUNTIF(E27:AF27, "v") + COUNTIF(E27:AF27, "V")) &amp; "/0"),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 &amp; "/" &amp; ((COUNTIF(E27:AF27, "✓") + COUNTIF(E27:AF27, "✔") + COUNTIF(E27:AF27, "v") + COUNTIF(E27:AF27, "V")) + COUNTIF(E27:AF27, "✗") + COUNTIF(E27:AF27, "x") + COUNTIF(E27:AF27, "X")), "")))</f>
        <v/>
      </c>
      <c r="AI27">
        <f>COUNTIF(E27:AF27,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3">
        <f>IF(ISBLANK(B28), "", IF(ISNUMBER(D28), IF(D28&gt;0, (COUNTIF(E28:AF28, "✓") + COUNTIF(E28:AF28, "✔") + COUNTIF(E28:AF28, "v") + COUNTIF(E28:AF28, "V"))/D28, 0),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"V"))/((COUNTIF(E28:AF28, "✓") + COUNTIF(E28:AF28, "✔") + COUNTIF(E28:AF28, "v") + COUNTIF(E28:AF28, "V")) + COUNTIF(E28:AF28, "✗") + COUNTIF(E28:AF28, "x") + COUNTIF(E28:AF28, "X")), "")))</f>
        <v/>
      </c>
      <c r="AH28" s="34">
        <f>IF(ISBLANK(B28), "", IF(ISNUMBER(D28), IF(D28&gt;0, (COUNTIF(E28:AF28, "✓") + COUNTIF(E28:AF28, "✔") + COUNTIF(E28:AF28, "v") + COUNTIF(E28:AF28, "V")) &amp; "/" &amp; D28, (COUNTIF(E28:AF28, "✓") + COUNTIF(E28:AF28, "✔") + COUNTIF(E28:AF28, "v") + COUNTIF(E28:AF28, "V")) &amp; "/0"),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 &amp; "/" &amp; ((COUNTIF(E28:AF28, "✓") + COUNTIF(E28:AF28, "✔") + COUNTIF(E28:AF28, "v") + COUNTIF(E28:AF28, "V")) + COUNTIF(E28:AF28, "✗") + COUNTIF(E28:AF28, "x") + COUNTIF(E28:AF28, "X")), "")))</f>
        <v/>
      </c>
      <c r="AI28">
        <f>COUNTIF(E28:AF28,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3">
        <f>IF(ISBLANK(B29), "", IF(ISNUMBER(D29), IF(D29&gt;0, (COUNTIF(E29:AF29, "✓") + COUNTIF(E29:AF29, "✔") + COUNTIF(E29:AF29, "v") + COUNTIF(E29:AF29, "V"))/D29, 0),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"V"))/((COUNTIF(E29:AF29, "✓") + COUNTIF(E29:AF29, "✔") + COUNTIF(E29:AF29, "v") + COUNTIF(E29:AF29, "V")) + COUNTIF(E29:AF29, "✗") + COUNTIF(E29:AF29, "x") + COUNTIF(E29:AF29, "X")), "")))</f>
        <v/>
      </c>
      <c r="AH29" s="34">
        <f>IF(ISBLANK(B29), "", IF(ISNUMBER(D29), IF(D29&gt;0, (COUNTIF(E29:AF29, "✓") + COUNTIF(E29:AF29, "✔") + COUNTIF(E29:AF29, "v") + COUNTIF(E29:AF29, "V")) &amp; "/" &amp; D29, (COUNTIF(E29:AF29, "✓") + COUNTIF(E29:AF29, "✔") + COUNTIF(E29:AF29, "v") + COUNTIF(E29:AF29, "V")) &amp; "/0"),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 &amp; "/" &amp; ((COUNTIF(E29:AF29, "✓") + COUNTIF(E29:AF29, "✔") + COUNTIF(E29:AF29, "v") + COUNTIF(E29:AF29, "V")) + COUNTIF(E29:AF29, "✗") + COUNTIF(E29:AF29, "x") + COUNTIF(E29:AF29, "X")), "")))</f>
        <v/>
      </c>
      <c r="AI29">
        <f>COUNTIF(E29:AF29,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9">
        <f>IF(ISBLANK(B30), "", IF(ISNUMBER(D30), IF(D30&gt;0, (COUNTIF(E30:AF30, "✓") + COUNTIF(E30:AF30, "✔") + COUNTIF(E30:AF30, "v") + COUNTIF(E30:AF30, "V"))/D30, 0),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"V"))/((COUNTIF(E30:AF30, "✓") + COUNTIF(E30:AF30, "✔") + COUNTIF(E30:AF30, "v") + COUNTIF(E30:AF30, "V")) + COUNTIF(E30:AF30, "✗") + COUNTIF(E30:AF30, "x") + COUNTIF(E30:AF30, "X")), "")))</f>
        <v/>
      </c>
      <c r="AH30" s="40">
        <f>IF(ISBLANK(B30), "", IF(ISNUMBER(D30), IF(D30&gt;0, (COUNTIF(E30:AF30, "✓") + COUNTIF(E30:AF30, "✔") + COUNTIF(E30:AF30, "v") + COUNTIF(E30:AF30, "V")) &amp; "/" &amp; D30, (COUNTIF(E30:AF30, "✓") + COUNTIF(E30:AF30, "✔") + COUNTIF(E30:AF30, "v") + COUNTIF(E30:AF30, "V")) &amp; "/0"),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 &amp; "/" &amp; ((COUNTIF(E30:AF30, "✓") + COUNTIF(E30:AF30, "✔") + COUNTIF(E30:AF30, "v") + COUNTIF(E30:AF30, "V")) + COUNTIF(E30:AF30, "✗") + COUNTIF(E30:AF30, "x") + COUNTIF(E30:AF30, "X")), "")))</f>
        <v/>
      </c>
      <c r="AI30">
        <f>COUNTIF(E30:AF30,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9">
        <f>IF(ISBLANK(B31), "", IF(ISNUMBER(D31), IF(D31&gt;0, (COUNTIF(E31:AF31, "✓") + COUNTIF(E31:AF31, "✔") + COUNTIF(E31:AF31, "v") + COUNTIF(E31:AF31, "V"))/D31, 0),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"V"))/((COUNTIF(E31:AF31, "✓") + COUNTIF(E31:AF31, "✔") + COUNTIF(E31:AF31, "v") + COUNTIF(E31:AF31, "V")) + COUNTIF(E31:AF31, "✗") + COUNTIF(E31:AF31, "x") + COUNTIF(E31:AF31, "X")), "")))</f>
        <v/>
      </c>
      <c r="AH31" s="40">
        <f>IF(ISBLANK(B31), "", IF(ISNUMBER(D31), IF(D31&gt;0, (COUNTIF(E31:AF31, "✓") + COUNTIF(E31:AF31, "✔") + COUNTIF(E31:AF31, "v") + COUNTIF(E31:AF31, "V")) &amp; "/" &amp; D31, (COUNTIF(E31:AF31, "✓") + COUNTIF(E31:AF31, "✔") + COUNTIF(E31:AF31, "v") + COUNTIF(E31:AF31, "V")) &amp; "/0"),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 &amp; "/" &amp; ((COUNTIF(E31:AF31, "✓") + COUNTIF(E31:AF31, "✔") + COUNTIF(E31:AF31, "v") + COUNTIF(E31:AF31, "V")) + COUNTIF(E31:AF31, "✗") + COUNTIF(E31:AF31, "x") + COUNTIF(E31:AF31, "X")), "")))</f>
        <v/>
      </c>
      <c r="AI31">
        <f>COUNTIF(E31:AF31,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9">
        <f>IF(ISBLANK(B32), "", IF(ISNUMBER(D32), IF(D32&gt;0, (COUNTIF(E32:AF32, "✓") + COUNTIF(E32:AF32, "✔") + COUNTIF(E32:AF32, "v") + COUNTIF(E32:AF32, "V"))/D32, 0),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"V"))/((COUNTIF(E32:AF32, "✓") + COUNTIF(E32:AF32, "✔") + COUNTIF(E32:AF32, "v") + COUNTIF(E32:AF32, "V")) + COUNTIF(E32:AF32, "✗") + COUNTIF(E32:AF32, "x") + COUNTIF(E32:AF32, "X")), "")))</f>
        <v/>
      </c>
      <c r="AH32" s="40">
        <f>IF(ISBLANK(B32), "", IF(ISNUMBER(D32), IF(D32&gt;0, (COUNTIF(E32:AF32, "✓") + COUNTIF(E32:AF32, "✔") + COUNTIF(E32:AF32, "v") + COUNTIF(E32:AF32, "V")) &amp; "/" &amp; D32, (COUNTIF(E32:AF32, "✓") + COUNTIF(E32:AF32, "✔") + COUNTIF(E32:AF32, "v") + COUNTIF(E32:AF32, "V")) &amp; "/0"),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 &amp; "/" &amp; ((COUNTIF(E32:AF32, "✓") + COUNTIF(E32:AF32, "✔") + COUNTIF(E32:AF32, "v") + COUNTIF(E32:AF32, "V")) + COUNTIF(E32:AF32, "✗") + COUNTIF(E32:AF32, "x") + COUNTIF(E32:AF32, "X")), "")))</f>
        <v/>
      </c>
      <c r="AI32">
        <f>COUNTIF(E32:AF32,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9">
        <f>IF(ISBLANK(B33), "", IF(ISNUMBER(D33), IF(D33&gt;0, (COUNTIF(E33:AF33, "✓") + COUNTIF(E33:AF33, "✔") + COUNTIF(E33:AF33, "v") + COUNTIF(E33:AF33, "V"))/D33, 0),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"V"))/((COUNTIF(E33:AF33, "✓") + COUNTIF(E33:AF33, "✔") + COUNTIF(E33:AF33, "v") + COUNTIF(E33:AF33, "V")) + COUNTIF(E33:AF33, "✗") + COUNTIF(E33:AF33, "x") + COUNTIF(E33:AF33, "X")), "")))</f>
        <v/>
      </c>
      <c r="AH33" s="40">
        <f>IF(ISBLANK(B33), "", IF(ISNUMBER(D33), IF(D33&gt;0, (COUNTIF(E33:AF33, "✓") + COUNTIF(E33:AF33, "✔") + COUNTIF(E33:AF33, "v") + COUNTIF(E33:AF33, "V")) &amp; "/" &amp; D33, (COUNTIF(E33:AF33, "✓") + COUNTIF(E33:AF33, "✔") + COUNTIF(E33:AF33, "v") + COUNTIF(E33:AF33, "V")) &amp; "/0"),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 &amp; "/" &amp; ((COUNTIF(E33:AF33, "✓") + COUNTIF(E33:AF33, "✔") + COUNTIF(E33:AF33, "v") + COUNTIF(E33:AF33, "V")) + COUNTIF(E33:AF33, "✗") + COUNTIF(E33:AF33, "x") + COUNTIF(E33:AF33, "X")), "")))</f>
        <v/>
      </c>
      <c r="AI33">
        <f>COUNTIF(E33:AF33,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5">
        <f>IF(ISBLANK(B34), "", IF(ISNUMBER(D34), IF(D34&gt;0, (COUNTIF(E34:AF34, "✓") + COUNTIF(E34:AF34, "✔") + COUNTIF(E34:AF34, "v") + COUNTIF(E34:AF34, "V"))/D34, 0),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"V"))/((COUNTIF(E34:AF34, "✓") + COUNTIF(E34:AF34, "✔") + COUNTIF(E34:AF34, "v") + COUNTIF(E34:AF34, "V")) + COUNTIF(E34:AF34, "✗") + COUNTIF(E34:AF34, "x") + COUNTIF(E34:AF34, "X")), "")))</f>
        <v/>
      </c>
      <c r="AH34" s="46">
        <f>IF(ISBLANK(B34), "", IF(ISNUMBER(D34), IF(D34&gt;0, (COUNTIF(E34:AF34, "✓") + COUNTIF(E34:AF34, "✔") + COUNTIF(E34:AF34, "v") + COUNTIF(E34:AF34, "V")) &amp; "/" &amp; D34, (COUNTIF(E34:AF34, "✓") + COUNTIF(E34:AF34, "✔") + COUNTIF(E34:AF34, "v") + COUNTIF(E34:AF34, "V")) &amp; "/0"),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 &amp; "/" &amp; ((COUNTIF(E34:AF34, "✓") + COUNTIF(E34:AF34, "✔") + COUNTIF(E34:AF34, "v") + COUNTIF(E34:AF34, "V")) + COUNTIF(E34:AF34, "✗") + COUNTIF(E34:AF34, "x") + COUNTIF(E34:AF34, "X")), "")))</f>
        <v/>
      </c>
      <c r="AI34">
        <f>COUNTIF(E34:AF34,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5">
        <f>IF(ISBLANK(B35), "", IF(ISNUMBER(D35), IF(D35&gt;0, (COUNTIF(E35:AF35, "✓") + COUNTIF(E35:AF35, "✔") + COUNTIF(E35:AF35, "v") + COUNTIF(E35:AF35, "V"))/D35, 0),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"V"))/((COUNTIF(E35:AF35, "✓") + COUNTIF(E35:AF35, "✔") + COUNTIF(E35:AF35, "v") + COUNTIF(E35:AF35, "V")) + COUNTIF(E35:AF35, "✗") + COUNTIF(E35:AF35, "x") + COUNTIF(E35:AF35, "X")), "")))</f>
        <v/>
      </c>
      <c r="AH35" s="46">
        <f>IF(ISBLANK(B35), "", IF(ISNUMBER(D35), IF(D35&gt;0, (COUNTIF(E35:AF35, "✓") + COUNTIF(E35:AF35, "✔") + COUNTIF(E35:AF35, "v") + COUNTIF(E35:AF35, "V")) &amp; "/" &amp; D35, (COUNTIF(E35:AF35, "✓") + COUNTIF(E35:AF35, "✔") + COUNTIF(E35:AF35, "v") + COUNTIF(E35:AF35, "V")) &amp; "/0"),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 &amp; "/" &amp; ((COUNTIF(E35:AF35, "✓") + COUNTIF(E35:AF35, "✔") + COUNTIF(E35:AF35, "v") + COUNTIF(E35:AF35, "V")) + COUNTIF(E35:AF35, "✗") + COUNTIF(E35:AF35, "x") + COUNTIF(E35:AF35, "X")), "")))</f>
        <v/>
      </c>
      <c r="AI35">
        <f>COUNTIF(E35:AF35,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5">
        <f>IF(ISBLANK(B36), "", IF(ISNUMBER(D36), IF(D36&gt;0, (COUNTIF(E36:AF36, "✓") + COUNTIF(E36:AF36, "✔") + COUNTIF(E36:AF36, "v") + COUNTIF(E36:AF36, "V"))/D36, 0),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"V"))/((COUNTIF(E36:AF36, "✓") + COUNTIF(E36:AF36, "✔") + COUNTIF(E36:AF36, "v") + COUNTIF(E36:AF36, "V")) + COUNTIF(E36:AF36, "✗") + COUNTIF(E36:AF36, "x") + COUNTIF(E36:AF36, "X")), "")))</f>
        <v/>
      </c>
      <c r="AH36" s="46">
        <f>IF(ISBLANK(B36), "", IF(ISNUMBER(D36), IF(D36&gt;0, (COUNTIF(E36:AF36, "✓") + COUNTIF(E36:AF36, "✔") + COUNTIF(E36:AF36, "v") + COUNTIF(E36:AF36, "V")) &amp; "/" &amp; D36, (COUNTIF(E36:AF36, "✓") + COUNTIF(E36:AF36, "✔") + COUNTIF(E36:AF36, "v") + COUNTIF(E36:AF36, "V")) &amp; "/0"),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 &amp; "/" &amp; ((COUNTIF(E36:AF36, "✓") + COUNTIF(E36:AF36, "✔") + COUNTIF(E36:AF36, "v") + COUNTIF(E36:AF36, "V")) + COUNTIF(E36:AF36, "✗") + COUNTIF(E36:AF36, "x") + COUNTIF(E36:AF36, "X")), "")))</f>
        <v/>
      </c>
      <c r="AI36">
        <f>COUNTIF(E36:AF36,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5">
        <f>IF(ISBLANK(B37), "", IF(ISNUMBER(D37), IF(D37&gt;0, (COUNTIF(E37:AF37, "✓") + COUNTIF(E37:AF37, "✔") + COUNTIF(E37:AF37, "v") + COUNTIF(E37:AF37, "V"))/D37, 0),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"V"))/((COUNTIF(E37:AF37, "✓") + COUNTIF(E37:AF37, "✔") + COUNTIF(E37:AF37, "v") + COUNTIF(E37:AF37, "V")) + COUNTIF(E37:AF37, "✗") + COUNTIF(E37:AF37, "x") + COUNTIF(E37:AF37, "X")), "")))</f>
        <v/>
      </c>
      <c r="AH37" s="46">
        <f>IF(ISBLANK(B37), "", IF(ISNUMBER(D37), IF(D37&gt;0, (COUNTIF(E37:AF37, "✓") + COUNTIF(E37:AF37, "✔") + COUNTIF(E37:AF37, "v") + COUNTIF(E37:AF37, "V")) &amp; "/" &amp; D37, (COUNTIF(E37:AF37, "✓") + COUNTIF(E37:AF37, "✔") + COUNTIF(E37:AF37, "v") + COUNTIF(E37:AF37, "V")) &amp; "/0"),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 &amp; "/" &amp; ((COUNTIF(E37:AF37, "✓") + COUNTIF(E37:AF37, "✔") + COUNTIF(E37:AF37, "v") + COUNTIF(E37:AF37, "V")) + COUNTIF(E37:AF37, "✗") + COUNTIF(E37:AF37, "x") + COUNTIF(E37:AF37, "X")), "")))</f>
        <v/>
      </c>
      <c r="AI37">
        <f>COUNTIF(E37:AF37,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48">
        <f>IF(SUM(D18:D37) &gt; 0, SUM(AI18:AI37) / SUM(D18:D37), "")</f>
        <v/>
      </c>
      <c r="AH38" s="10">
        <f>IF(SUM(D18:D37) &gt; 0, SUM(AI18:AI37)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8">
        <f>IF(COUNT(E39:AF39) &gt; 0, AVERAGE(E39:AF39), "")</f>
        <v/>
      </c>
      <c r="AH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5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5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5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5" t="n">
        <v>28</v>
      </c>
    </row>
    <row r="46" ht="15" customHeight="1">
      <c r="A46" s="53" t="n"/>
      <c r="B46" s="53" t="n"/>
      <c r="C46" s="53" t="n"/>
      <c r="D46" s="53" t="n"/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SUM(AI18:AI37)/SUM(D18:D37),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COUNTIF(E39:AF39, 1) &amp; " Days"</f>
        <v/>
      </c>
      <c r="L68" s="67" t="n"/>
      <c r="M68" s="67" t="n"/>
      <c r="N68" s="67" t="n"/>
      <c r="P68" s="73">
        <f>IFERROR(TEXT(AVERAGE(E47:AF47),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$AI$18:$AI$37)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$AI$18:$AI$37)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$AI$18:$AI$37)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$AI$18:$AI$37)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N/A</t>
        </is>
      </c>
      <c r="C80" s="83" t="n">
        <v>0</v>
      </c>
      <c r="D80" s="83" t="n">
        <v>0</v>
      </c>
      <c r="E80" s="84" t="n">
        <v>0</v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$AI$18:$AI$37)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COUNTIF(E47:AF47, "&gt;=7")</f>
        <v/>
      </c>
      <c r="H86" s="88" t="n"/>
      <c r="I86" s="89" t="n"/>
      <c r="J86" s="83">
        <f>IFERROR(TEXT(AVERAGEIF(E47:AF47, "&gt;=7"), "0.0") &amp; " hrs", "-")</f>
        <v/>
      </c>
      <c r="K86" s="88" t="n"/>
      <c r="L86" s="88" t="n"/>
      <c r="M86" s="89" t="n"/>
      <c r="N86" s="90">
        <f>IFERROR(AVERAGEIFS(E39:AF39, E47:AF47, "&gt;=7", E39:AF39,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COUNTIF(E47:AF47, "&lt;7") - COUNTIF(E47:AF47, "")</f>
        <v/>
      </c>
      <c r="H87" s="88" t="n"/>
      <c r="I87" s="89" t="n"/>
      <c r="J87" s="83">
        <f>IFERROR(TEXT(AVERAGEIFS(E47:AF47, E47:AF47, "&lt;7", E47:AF47, "&gt;0"), "0.0") &amp; " hrs", "-")</f>
        <v/>
      </c>
      <c r="K87" s="88" t="n"/>
      <c r="L87" s="88" t="n"/>
      <c r="M87" s="89" t="n"/>
      <c r="N87" s="92">
        <f>IFERROR(AVERAGEIFS(E39:AF39, E47:AF47, "&lt;7", E39:AF39,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Feb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SUM(AI18:AI37)</f>
        <v/>
      </c>
      <c r="J92" s="89" t="n"/>
      <c r="K92" s="98">
        <f>IF(G92&gt;0, I92/G92, 0)</f>
        <v/>
      </c>
      <c r="L92" s="89" t="n"/>
      <c r="M92" s="97">
        <f>COUNTIF(E39:AF39, 1)</f>
        <v/>
      </c>
      <c r="N92" s="89" t="n"/>
      <c r="O92" s="99">
        <f>IFERROR(AVERAGE(E47:AF47),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42:AH42"/>
    <mergeCell ref="G87:I87"/>
    <mergeCell ref="A16:A17"/>
    <mergeCell ref="A45:D46"/>
    <mergeCell ref="C16:C17"/>
    <mergeCell ref="N75:O75"/>
    <mergeCell ref="N77:O77"/>
    <mergeCell ref="A88:AF88"/>
    <mergeCell ref="P68:S70"/>
    <mergeCell ref="D16:D17"/>
    <mergeCell ref="N85:Q85"/>
    <mergeCell ref="A90:AF90"/>
    <mergeCell ref="A95:H95"/>
    <mergeCell ref="Q91:S91"/>
    <mergeCell ref="E91:F91"/>
    <mergeCell ref="A8:N8"/>
    <mergeCell ref="G91:H91"/>
    <mergeCell ref="J86:M86"/>
    <mergeCell ref="S95:Z95"/>
    <mergeCell ref="K67:N67"/>
    <mergeCell ref="A41:AH41"/>
    <mergeCell ref="N79:O79"/>
    <mergeCell ref="K92:L92"/>
    <mergeCell ref="C92:D92"/>
    <mergeCell ref="M92:N92"/>
    <mergeCell ref="F71:I71"/>
    <mergeCell ref="K68:N70"/>
    <mergeCell ref="T91:W91"/>
    <mergeCell ref="AG16:AG17"/>
    <mergeCell ref="J95:Q95"/>
    <mergeCell ref="D85:F85"/>
    <mergeCell ref="N74:S74"/>
    <mergeCell ref="F68:I70"/>
    <mergeCell ref="A91:B91"/>
    <mergeCell ref="N78:O78"/>
    <mergeCell ref="C91:D91"/>
    <mergeCell ref="P8:AH8"/>
    <mergeCell ref="M91:N91"/>
    <mergeCell ref="O91:P91"/>
    <mergeCell ref="R86:U86"/>
    <mergeCell ref="N80:O80"/>
    <mergeCell ref="B16:B17"/>
    <mergeCell ref="A71:D71"/>
    <mergeCell ref="J85:M85"/>
    <mergeCell ref="D86:F86"/>
    <mergeCell ref="AB2:AH2"/>
    <mergeCell ref="P7:AH7"/>
    <mergeCell ref="A92:B92"/>
    <mergeCell ref="A93:AF93"/>
    <mergeCell ref="N87:Q87"/>
    <mergeCell ref="E92:F92"/>
    <mergeCell ref="A68:D70"/>
    <mergeCell ref="P71:S71"/>
    <mergeCell ref="A86:C86"/>
    <mergeCell ref="D87:F87"/>
    <mergeCell ref="O92:P92"/>
    <mergeCell ref="A6:N6"/>
    <mergeCell ref="A39:D39"/>
    <mergeCell ref="A84:AF84"/>
    <mergeCell ref="H2:AA2"/>
    <mergeCell ref="G86:I86"/>
    <mergeCell ref="A96:H103"/>
    <mergeCell ref="P6:AH6"/>
    <mergeCell ref="P67:S67"/>
    <mergeCell ref="AH16:AH17"/>
    <mergeCell ref="T92:W92"/>
    <mergeCell ref="H3:AA3"/>
    <mergeCell ref="R85:U85"/>
    <mergeCell ref="K71:N71"/>
    <mergeCell ref="S96:Z103"/>
    <mergeCell ref="A38:D38"/>
    <mergeCell ref="A12:AH14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J87:M87"/>
    <mergeCell ref="P9:AH9"/>
    <mergeCell ref="J96:Q103"/>
    <mergeCell ref="Q92:S92"/>
    <mergeCell ref="A87:C87"/>
    <mergeCell ref="A47:D47"/>
  </mergeCells>
  <conditionalFormatting sqref="E18:AF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MONTH(TODAY())=2, YEAR(TODAY())=2027)</formula>
    </cfRule>
  </conditionalFormatting>
  <conditionalFormatting sqref="F16:F17">
    <cfRule type="expression" priority="7" dxfId="2">
      <formula>AND(DAY(TODAY())=2, MONTH(TODAY())=2, YEAR(TODAY())=2027)</formula>
    </cfRule>
  </conditionalFormatting>
  <conditionalFormatting sqref="G16:G17">
    <cfRule type="expression" priority="8" dxfId="2">
      <formula>AND(DAY(TODAY())=3, MONTH(TODAY())=2, YEAR(TODAY())=2027)</formula>
    </cfRule>
  </conditionalFormatting>
  <conditionalFormatting sqref="H16:H17">
    <cfRule type="expression" priority="9" dxfId="2">
      <formula>AND(DAY(TODAY())=4, MONTH(TODAY())=2, YEAR(TODAY())=2027)</formula>
    </cfRule>
  </conditionalFormatting>
  <conditionalFormatting sqref="I16:I17">
    <cfRule type="expression" priority="10" dxfId="2">
      <formula>AND(DAY(TODAY())=5, MONTH(TODAY())=2, YEAR(TODAY())=2027)</formula>
    </cfRule>
  </conditionalFormatting>
  <conditionalFormatting sqref="J16:J17">
    <cfRule type="expression" priority="11" dxfId="2">
      <formula>AND(DAY(TODAY())=6, MONTH(TODAY())=2, YEAR(TODAY())=2027)</formula>
    </cfRule>
  </conditionalFormatting>
  <conditionalFormatting sqref="K16:K17">
    <cfRule type="expression" priority="12" dxfId="2">
      <formula>AND(DAY(TODAY())=7, MONTH(TODAY())=2, YEAR(TODAY())=2027)</formula>
    </cfRule>
  </conditionalFormatting>
  <conditionalFormatting sqref="L16:L17">
    <cfRule type="expression" priority="13" dxfId="2">
      <formula>AND(DAY(TODAY())=8, MONTH(TODAY())=2, YEAR(TODAY())=2027)</formula>
    </cfRule>
  </conditionalFormatting>
  <conditionalFormatting sqref="M16:M17">
    <cfRule type="expression" priority="14" dxfId="2">
      <formula>AND(DAY(TODAY())=9, MONTH(TODAY())=2, YEAR(TODAY())=2027)</formula>
    </cfRule>
  </conditionalFormatting>
  <conditionalFormatting sqref="N16:N17">
    <cfRule type="expression" priority="15" dxfId="2">
      <formula>AND(DAY(TODAY())=10, MONTH(TODAY())=2, YEAR(TODAY())=2027)</formula>
    </cfRule>
  </conditionalFormatting>
  <conditionalFormatting sqref="O16:O17">
    <cfRule type="expression" priority="16" dxfId="2">
      <formula>AND(DAY(TODAY())=11, MONTH(TODAY())=2, YEAR(TODAY())=2027)</formula>
    </cfRule>
  </conditionalFormatting>
  <conditionalFormatting sqref="P16:P17">
    <cfRule type="expression" priority="17" dxfId="2">
      <formula>AND(DAY(TODAY())=12, MONTH(TODAY())=2, YEAR(TODAY())=2027)</formula>
    </cfRule>
  </conditionalFormatting>
  <conditionalFormatting sqref="Q16:Q17">
    <cfRule type="expression" priority="18" dxfId="2">
      <formula>AND(DAY(TODAY())=13, MONTH(TODAY())=2, YEAR(TODAY())=2027)</formula>
    </cfRule>
  </conditionalFormatting>
  <conditionalFormatting sqref="R16:R17">
    <cfRule type="expression" priority="19" dxfId="2">
      <formula>AND(DAY(TODAY())=14, MONTH(TODAY())=2, YEAR(TODAY())=2027)</formula>
    </cfRule>
  </conditionalFormatting>
  <conditionalFormatting sqref="S16:S17">
    <cfRule type="expression" priority="20" dxfId="2">
      <formula>AND(DAY(TODAY())=15, MONTH(TODAY())=2, YEAR(TODAY())=2027)</formula>
    </cfRule>
  </conditionalFormatting>
  <conditionalFormatting sqref="T16:T17">
    <cfRule type="expression" priority="21" dxfId="2">
      <formula>AND(DAY(TODAY())=16, MONTH(TODAY())=2, YEAR(TODAY())=2027)</formula>
    </cfRule>
  </conditionalFormatting>
  <conditionalFormatting sqref="U16:U17">
    <cfRule type="expression" priority="22" dxfId="2">
      <formula>AND(DAY(TODAY())=17, MONTH(TODAY())=2, YEAR(TODAY())=2027)</formula>
    </cfRule>
  </conditionalFormatting>
  <conditionalFormatting sqref="V16:V17">
    <cfRule type="expression" priority="23" dxfId="2">
      <formula>AND(DAY(TODAY())=18, MONTH(TODAY())=2, YEAR(TODAY())=2027)</formula>
    </cfRule>
  </conditionalFormatting>
  <conditionalFormatting sqref="W16:W17">
    <cfRule type="expression" priority="24" dxfId="2">
      <formula>AND(DAY(TODAY())=19, MONTH(TODAY())=2, YEAR(TODAY())=2027)</formula>
    </cfRule>
  </conditionalFormatting>
  <conditionalFormatting sqref="X16:X17">
    <cfRule type="expression" priority="25" dxfId="2">
      <formula>AND(DAY(TODAY())=20, MONTH(TODAY())=2, YEAR(TODAY())=2027)</formula>
    </cfRule>
  </conditionalFormatting>
  <conditionalFormatting sqref="Y16:Y17">
    <cfRule type="expression" priority="26" dxfId="2">
      <formula>AND(DAY(TODAY())=21, MONTH(TODAY())=2, YEAR(TODAY())=2027)</formula>
    </cfRule>
  </conditionalFormatting>
  <conditionalFormatting sqref="Z16:Z17">
    <cfRule type="expression" priority="27" dxfId="2">
      <formula>AND(DAY(TODAY())=22, MONTH(TODAY())=2, YEAR(TODAY())=2027)</formula>
    </cfRule>
  </conditionalFormatting>
  <conditionalFormatting sqref="AA16:AA17">
    <cfRule type="expression" priority="28" dxfId="2">
      <formula>AND(DAY(TODAY())=23, MONTH(TODAY())=2, YEAR(TODAY())=2027)</formula>
    </cfRule>
  </conditionalFormatting>
  <conditionalFormatting sqref="AB16:AB17">
    <cfRule type="expression" priority="29" dxfId="2">
      <formula>AND(DAY(TODAY())=24, MONTH(TODAY())=2, YEAR(TODAY())=2027)</formula>
    </cfRule>
  </conditionalFormatting>
  <conditionalFormatting sqref="AC16:AC17">
    <cfRule type="expression" priority="30" dxfId="2">
      <formula>AND(DAY(TODAY())=25, MONTH(TODAY())=2, YEAR(TODAY())=2027)</formula>
    </cfRule>
  </conditionalFormatting>
  <conditionalFormatting sqref="AD16:AD17">
    <cfRule type="expression" priority="31" dxfId="2">
      <formula>AND(DAY(TODAY())=26, MONTH(TODAY())=2, YEAR(TODAY())=2027)</formula>
    </cfRule>
  </conditionalFormatting>
  <conditionalFormatting sqref="AE16:AE17">
    <cfRule type="expression" priority="32" dxfId="2">
      <formula>AND(DAY(TODAY())=27, MONTH(TODAY())=2, YEAR(TODAY())=2027)</formula>
    </cfRule>
  </conditionalFormatting>
  <conditionalFormatting sqref="AF16:AF17">
    <cfRule type="expression" priority="33" dxfId="2">
      <formula>AND(DAY(TODAY())=28, MONTH(TODAY())=2,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F37" showDropDown="0" showInputMessage="0" showErrorMessage="0" allowBlank="1" promptTitle="Status" prompt="Select ✓ (Done) or ✗ (Missed)" type="list">
      <formula1>"✓,✗"</formula1>
    </dataValidation>
    <dataValidation sqref="E47:AF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"Action is the foundational key to all success."</t>
        </is>
      </c>
      <c r="AE2" s="3" t="inlineStr">
        <is>
          <t>@surajvansh</t>
        </is>
      </c>
    </row>
    <row r="3" ht="18" customHeight="1">
      <c r="A3" s="4" t="inlineStr">
        <is>
          <t>March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2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2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2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2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5" t="inlineStr">
        <is>
          <t>W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5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5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5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5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  <c r="AI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Mar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MONTH(TODAY())=3, YEAR(TODAY())=2027)</formula>
    </cfRule>
  </conditionalFormatting>
  <conditionalFormatting sqref="F16:F17">
    <cfRule type="expression" priority="7" dxfId="2">
      <formula>AND(DAY(TODAY())=2, MONTH(TODAY())=3, YEAR(TODAY())=2027)</formula>
    </cfRule>
  </conditionalFormatting>
  <conditionalFormatting sqref="G16:G17">
    <cfRule type="expression" priority="8" dxfId="2">
      <formula>AND(DAY(TODAY())=3, MONTH(TODAY())=3, YEAR(TODAY())=2027)</formula>
    </cfRule>
  </conditionalFormatting>
  <conditionalFormatting sqref="H16:H17">
    <cfRule type="expression" priority="9" dxfId="2">
      <formula>AND(DAY(TODAY())=4, MONTH(TODAY())=3, YEAR(TODAY())=2027)</formula>
    </cfRule>
  </conditionalFormatting>
  <conditionalFormatting sqref="I16:I17">
    <cfRule type="expression" priority="10" dxfId="2">
      <formula>AND(DAY(TODAY())=5, MONTH(TODAY())=3, YEAR(TODAY())=2027)</formula>
    </cfRule>
  </conditionalFormatting>
  <conditionalFormatting sqref="J16:J17">
    <cfRule type="expression" priority="11" dxfId="2">
      <formula>AND(DAY(TODAY())=6, MONTH(TODAY())=3, YEAR(TODAY())=2027)</formula>
    </cfRule>
  </conditionalFormatting>
  <conditionalFormatting sqref="K16:K17">
    <cfRule type="expression" priority="12" dxfId="2">
      <formula>AND(DAY(TODAY())=7, MONTH(TODAY())=3, YEAR(TODAY())=2027)</formula>
    </cfRule>
  </conditionalFormatting>
  <conditionalFormatting sqref="L16:L17">
    <cfRule type="expression" priority="13" dxfId="2">
      <formula>AND(DAY(TODAY())=8, MONTH(TODAY())=3, YEAR(TODAY())=2027)</formula>
    </cfRule>
  </conditionalFormatting>
  <conditionalFormatting sqref="M16:M17">
    <cfRule type="expression" priority="14" dxfId="2">
      <formula>AND(DAY(TODAY())=9, MONTH(TODAY())=3, YEAR(TODAY())=2027)</formula>
    </cfRule>
  </conditionalFormatting>
  <conditionalFormatting sqref="N16:N17">
    <cfRule type="expression" priority="15" dxfId="2">
      <formula>AND(DAY(TODAY())=10, MONTH(TODAY())=3, YEAR(TODAY())=2027)</formula>
    </cfRule>
  </conditionalFormatting>
  <conditionalFormatting sqref="O16:O17">
    <cfRule type="expression" priority="16" dxfId="2">
      <formula>AND(DAY(TODAY())=11, MONTH(TODAY())=3, YEAR(TODAY())=2027)</formula>
    </cfRule>
  </conditionalFormatting>
  <conditionalFormatting sqref="P16:P17">
    <cfRule type="expression" priority="17" dxfId="2">
      <formula>AND(DAY(TODAY())=12, MONTH(TODAY())=3, YEAR(TODAY())=2027)</formula>
    </cfRule>
  </conditionalFormatting>
  <conditionalFormatting sqref="Q16:Q17">
    <cfRule type="expression" priority="18" dxfId="2">
      <formula>AND(DAY(TODAY())=13, MONTH(TODAY())=3, YEAR(TODAY())=2027)</formula>
    </cfRule>
  </conditionalFormatting>
  <conditionalFormatting sqref="R16:R17">
    <cfRule type="expression" priority="19" dxfId="2">
      <formula>AND(DAY(TODAY())=14, MONTH(TODAY())=3, YEAR(TODAY())=2027)</formula>
    </cfRule>
  </conditionalFormatting>
  <conditionalFormatting sqref="S16:S17">
    <cfRule type="expression" priority="20" dxfId="2">
      <formula>AND(DAY(TODAY())=15, MONTH(TODAY())=3, YEAR(TODAY())=2027)</formula>
    </cfRule>
  </conditionalFormatting>
  <conditionalFormatting sqref="T16:T17">
    <cfRule type="expression" priority="21" dxfId="2">
      <formula>AND(DAY(TODAY())=16, MONTH(TODAY())=3, YEAR(TODAY())=2027)</formula>
    </cfRule>
  </conditionalFormatting>
  <conditionalFormatting sqref="U16:U17">
    <cfRule type="expression" priority="22" dxfId="2">
      <formula>AND(DAY(TODAY())=17, MONTH(TODAY())=3, YEAR(TODAY())=2027)</formula>
    </cfRule>
  </conditionalFormatting>
  <conditionalFormatting sqref="V16:V17">
    <cfRule type="expression" priority="23" dxfId="2">
      <formula>AND(DAY(TODAY())=18, MONTH(TODAY())=3, YEAR(TODAY())=2027)</formula>
    </cfRule>
  </conditionalFormatting>
  <conditionalFormatting sqref="W16:W17">
    <cfRule type="expression" priority="24" dxfId="2">
      <formula>AND(DAY(TODAY())=19, MONTH(TODAY())=3, YEAR(TODAY())=2027)</formula>
    </cfRule>
  </conditionalFormatting>
  <conditionalFormatting sqref="X16:X17">
    <cfRule type="expression" priority="25" dxfId="2">
      <formula>AND(DAY(TODAY())=20, MONTH(TODAY())=3, YEAR(TODAY())=2027)</formula>
    </cfRule>
  </conditionalFormatting>
  <conditionalFormatting sqref="Y16:Y17">
    <cfRule type="expression" priority="26" dxfId="2">
      <formula>AND(DAY(TODAY())=21, MONTH(TODAY())=3, YEAR(TODAY())=2027)</formula>
    </cfRule>
  </conditionalFormatting>
  <conditionalFormatting sqref="Z16:Z17">
    <cfRule type="expression" priority="27" dxfId="2">
      <formula>AND(DAY(TODAY())=22, MONTH(TODAY())=3, YEAR(TODAY())=2027)</formula>
    </cfRule>
  </conditionalFormatting>
  <conditionalFormatting sqref="AA16:AA17">
    <cfRule type="expression" priority="28" dxfId="2">
      <formula>AND(DAY(TODAY())=23, MONTH(TODAY())=3, YEAR(TODAY())=2027)</formula>
    </cfRule>
  </conditionalFormatting>
  <conditionalFormatting sqref="AB16:AB17">
    <cfRule type="expression" priority="29" dxfId="2">
      <formula>AND(DAY(TODAY())=24, MONTH(TODAY())=3, YEAR(TODAY())=2027)</formula>
    </cfRule>
  </conditionalFormatting>
  <conditionalFormatting sqref="AC16:AC17">
    <cfRule type="expression" priority="30" dxfId="2">
      <formula>AND(DAY(TODAY())=25, MONTH(TODAY())=3, YEAR(TODAY())=2027)</formula>
    </cfRule>
  </conditionalFormatting>
  <conditionalFormatting sqref="AD16:AD17">
    <cfRule type="expression" priority="31" dxfId="2">
      <formula>AND(DAY(TODAY())=26, MONTH(TODAY())=3, YEAR(TODAY())=2027)</formula>
    </cfRule>
  </conditionalFormatting>
  <conditionalFormatting sqref="AE16:AE17">
    <cfRule type="expression" priority="32" dxfId="2">
      <formula>AND(DAY(TODAY())=27, MONTH(TODAY())=3, YEAR(TODAY())=2027)</formula>
    </cfRule>
  </conditionalFormatting>
  <conditionalFormatting sqref="AF16:AF17">
    <cfRule type="expression" priority="33" dxfId="2">
      <formula>AND(DAY(TODAY())=28, MONTH(TODAY())=3, YEAR(TODAY())=2027)</formula>
    </cfRule>
  </conditionalFormatting>
  <conditionalFormatting sqref="AG16:AG17">
    <cfRule type="expression" priority="34" dxfId="2">
      <formula>AND(DAY(TODAY())=29, MONTH(TODAY())=3, YEAR(TODAY())=2027)</formula>
    </cfRule>
  </conditionalFormatting>
  <conditionalFormatting sqref="AH16:AH17">
    <cfRule type="expression" priority="35" dxfId="2">
      <formula>AND(DAY(TODAY())=30, MONTH(TODAY())=3, YEAR(TODAY())=2027)</formula>
    </cfRule>
  </conditionalFormatting>
  <conditionalFormatting sqref="AI16:AI17">
    <cfRule type="expression" priority="36" dxfId="2">
      <formula>AND(DAY(TODAY())=31, MONTH(TODAY())=3,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"Success is the sum of small efforts repeated daily."</t>
        </is>
      </c>
      <c r="AD2" s="3" t="inlineStr">
        <is>
          <t>@surajvansh</t>
        </is>
      </c>
    </row>
    <row r="3" ht="18" customHeight="1">
      <c r="A3" s="4" t="inlineStr">
        <is>
          <t>April 2027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2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2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2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2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5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5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5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5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Apr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MONTH(TODAY())=4, YEAR(TODAY())=2027)</formula>
    </cfRule>
  </conditionalFormatting>
  <conditionalFormatting sqref="F16:F17">
    <cfRule type="expression" priority="7" dxfId="2">
      <formula>AND(DAY(TODAY())=2, MONTH(TODAY())=4, YEAR(TODAY())=2027)</formula>
    </cfRule>
  </conditionalFormatting>
  <conditionalFormatting sqref="G16:G17">
    <cfRule type="expression" priority="8" dxfId="2">
      <formula>AND(DAY(TODAY())=3, MONTH(TODAY())=4, YEAR(TODAY())=2027)</formula>
    </cfRule>
  </conditionalFormatting>
  <conditionalFormatting sqref="H16:H17">
    <cfRule type="expression" priority="9" dxfId="2">
      <formula>AND(DAY(TODAY())=4, MONTH(TODAY())=4, YEAR(TODAY())=2027)</formula>
    </cfRule>
  </conditionalFormatting>
  <conditionalFormatting sqref="I16:I17">
    <cfRule type="expression" priority="10" dxfId="2">
      <formula>AND(DAY(TODAY())=5, MONTH(TODAY())=4, YEAR(TODAY())=2027)</formula>
    </cfRule>
  </conditionalFormatting>
  <conditionalFormatting sqref="J16:J17">
    <cfRule type="expression" priority="11" dxfId="2">
      <formula>AND(DAY(TODAY())=6, MONTH(TODAY())=4, YEAR(TODAY())=2027)</formula>
    </cfRule>
  </conditionalFormatting>
  <conditionalFormatting sqref="K16:K17">
    <cfRule type="expression" priority="12" dxfId="2">
      <formula>AND(DAY(TODAY())=7, MONTH(TODAY())=4, YEAR(TODAY())=2027)</formula>
    </cfRule>
  </conditionalFormatting>
  <conditionalFormatting sqref="L16:L17">
    <cfRule type="expression" priority="13" dxfId="2">
      <formula>AND(DAY(TODAY())=8, MONTH(TODAY())=4, YEAR(TODAY())=2027)</formula>
    </cfRule>
  </conditionalFormatting>
  <conditionalFormatting sqref="M16:M17">
    <cfRule type="expression" priority="14" dxfId="2">
      <formula>AND(DAY(TODAY())=9, MONTH(TODAY())=4, YEAR(TODAY())=2027)</formula>
    </cfRule>
  </conditionalFormatting>
  <conditionalFormatting sqref="N16:N17">
    <cfRule type="expression" priority="15" dxfId="2">
      <formula>AND(DAY(TODAY())=10, MONTH(TODAY())=4, YEAR(TODAY())=2027)</formula>
    </cfRule>
  </conditionalFormatting>
  <conditionalFormatting sqref="O16:O17">
    <cfRule type="expression" priority="16" dxfId="2">
      <formula>AND(DAY(TODAY())=11, MONTH(TODAY())=4, YEAR(TODAY())=2027)</formula>
    </cfRule>
  </conditionalFormatting>
  <conditionalFormatting sqref="P16:P17">
    <cfRule type="expression" priority="17" dxfId="2">
      <formula>AND(DAY(TODAY())=12, MONTH(TODAY())=4, YEAR(TODAY())=2027)</formula>
    </cfRule>
  </conditionalFormatting>
  <conditionalFormatting sqref="Q16:Q17">
    <cfRule type="expression" priority="18" dxfId="2">
      <formula>AND(DAY(TODAY())=13, MONTH(TODAY())=4, YEAR(TODAY())=2027)</formula>
    </cfRule>
  </conditionalFormatting>
  <conditionalFormatting sqref="R16:R17">
    <cfRule type="expression" priority="19" dxfId="2">
      <formula>AND(DAY(TODAY())=14, MONTH(TODAY())=4, YEAR(TODAY())=2027)</formula>
    </cfRule>
  </conditionalFormatting>
  <conditionalFormatting sqref="S16:S17">
    <cfRule type="expression" priority="20" dxfId="2">
      <formula>AND(DAY(TODAY())=15, MONTH(TODAY())=4, YEAR(TODAY())=2027)</formula>
    </cfRule>
  </conditionalFormatting>
  <conditionalFormatting sqref="T16:T17">
    <cfRule type="expression" priority="21" dxfId="2">
      <formula>AND(DAY(TODAY())=16, MONTH(TODAY())=4, YEAR(TODAY())=2027)</formula>
    </cfRule>
  </conditionalFormatting>
  <conditionalFormatting sqref="U16:U17">
    <cfRule type="expression" priority="22" dxfId="2">
      <formula>AND(DAY(TODAY())=17, MONTH(TODAY())=4, YEAR(TODAY())=2027)</formula>
    </cfRule>
  </conditionalFormatting>
  <conditionalFormatting sqref="V16:V17">
    <cfRule type="expression" priority="23" dxfId="2">
      <formula>AND(DAY(TODAY())=18, MONTH(TODAY())=4, YEAR(TODAY())=2027)</formula>
    </cfRule>
  </conditionalFormatting>
  <conditionalFormatting sqref="W16:W17">
    <cfRule type="expression" priority="24" dxfId="2">
      <formula>AND(DAY(TODAY())=19, MONTH(TODAY())=4, YEAR(TODAY())=2027)</formula>
    </cfRule>
  </conditionalFormatting>
  <conditionalFormatting sqref="X16:X17">
    <cfRule type="expression" priority="25" dxfId="2">
      <formula>AND(DAY(TODAY())=20, MONTH(TODAY())=4, YEAR(TODAY())=2027)</formula>
    </cfRule>
  </conditionalFormatting>
  <conditionalFormatting sqref="Y16:Y17">
    <cfRule type="expression" priority="26" dxfId="2">
      <formula>AND(DAY(TODAY())=21, MONTH(TODAY())=4, YEAR(TODAY())=2027)</formula>
    </cfRule>
  </conditionalFormatting>
  <conditionalFormatting sqref="Z16:Z17">
    <cfRule type="expression" priority="27" dxfId="2">
      <formula>AND(DAY(TODAY())=22, MONTH(TODAY())=4, YEAR(TODAY())=2027)</formula>
    </cfRule>
  </conditionalFormatting>
  <conditionalFormatting sqref="AA16:AA17">
    <cfRule type="expression" priority="28" dxfId="2">
      <formula>AND(DAY(TODAY())=23, MONTH(TODAY())=4, YEAR(TODAY())=2027)</formula>
    </cfRule>
  </conditionalFormatting>
  <conditionalFormatting sqref="AB16:AB17">
    <cfRule type="expression" priority="29" dxfId="2">
      <formula>AND(DAY(TODAY())=24, MONTH(TODAY())=4, YEAR(TODAY())=2027)</formula>
    </cfRule>
  </conditionalFormatting>
  <conditionalFormatting sqref="AC16:AC17">
    <cfRule type="expression" priority="30" dxfId="2">
      <formula>AND(DAY(TODAY())=25, MONTH(TODAY())=4, YEAR(TODAY())=2027)</formula>
    </cfRule>
  </conditionalFormatting>
  <conditionalFormatting sqref="AD16:AD17">
    <cfRule type="expression" priority="31" dxfId="2">
      <formula>AND(DAY(TODAY())=26, MONTH(TODAY())=4, YEAR(TODAY())=2027)</formula>
    </cfRule>
  </conditionalFormatting>
  <conditionalFormatting sqref="AE16:AE17">
    <cfRule type="expression" priority="32" dxfId="2">
      <formula>AND(DAY(TODAY())=27, MONTH(TODAY())=4, YEAR(TODAY())=2027)</formula>
    </cfRule>
  </conditionalFormatting>
  <conditionalFormatting sqref="AF16:AF17">
    <cfRule type="expression" priority="33" dxfId="2">
      <formula>AND(DAY(TODAY())=28, MONTH(TODAY())=4, YEAR(TODAY())=2027)</formula>
    </cfRule>
  </conditionalFormatting>
  <conditionalFormatting sqref="AG16:AG17">
    <cfRule type="expression" priority="34" dxfId="2">
      <formula>AND(DAY(TODAY())=29, MONTH(TODAY())=4, YEAR(TODAY())=2027)</formula>
    </cfRule>
  </conditionalFormatting>
  <conditionalFormatting sqref="AH16:AH17">
    <cfRule type="expression" priority="35" dxfId="2">
      <formula>AND(DAY(TODAY())=30, MONTH(TODAY())=4,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"Energy flows where attention goes."</t>
        </is>
      </c>
      <c r="AE2" s="3" t="inlineStr">
        <is>
          <t>@surajvansh</t>
        </is>
      </c>
    </row>
    <row r="3" ht="18" customHeight="1">
      <c r="A3" s="4" t="inlineStr">
        <is>
          <t>May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2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2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2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2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2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5" t="inlineStr">
        <is>
          <t>M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5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5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5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5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5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  <c r="AI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May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MONTH(TODAY())=5, YEAR(TODAY())=2027)</formula>
    </cfRule>
  </conditionalFormatting>
  <conditionalFormatting sqref="F16:F17">
    <cfRule type="expression" priority="7" dxfId="2">
      <formula>AND(DAY(TODAY())=2, MONTH(TODAY())=5, YEAR(TODAY())=2027)</formula>
    </cfRule>
  </conditionalFormatting>
  <conditionalFormatting sqref="G16:G17">
    <cfRule type="expression" priority="8" dxfId="2">
      <formula>AND(DAY(TODAY())=3, MONTH(TODAY())=5, YEAR(TODAY())=2027)</formula>
    </cfRule>
  </conditionalFormatting>
  <conditionalFormatting sqref="H16:H17">
    <cfRule type="expression" priority="9" dxfId="2">
      <formula>AND(DAY(TODAY())=4, MONTH(TODAY())=5, YEAR(TODAY())=2027)</formula>
    </cfRule>
  </conditionalFormatting>
  <conditionalFormatting sqref="I16:I17">
    <cfRule type="expression" priority="10" dxfId="2">
      <formula>AND(DAY(TODAY())=5, MONTH(TODAY())=5, YEAR(TODAY())=2027)</formula>
    </cfRule>
  </conditionalFormatting>
  <conditionalFormatting sqref="J16:J17">
    <cfRule type="expression" priority="11" dxfId="2">
      <formula>AND(DAY(TODAY())=6, MONTH(TODAY())=5, YEAR(TODAY())=2027)</formula>
    </cfRule>
  </conditionalFormatting>
  <conditionalFormatting sqref="K16:K17">
    <cfRule type="expression" priority="12" dxfId="2">
      <formula>AND(DAY(TODAY())=7, MONTH(TODAY())=5, YEAR(TODAY())=2027)</formula>
    </cfRule>
  </conditionalFormatting>
  <conditionalFormatting sqref="L16:L17">
    <cfRule type="expression" priority="13" dxfId="2">
      <formula>AND(DAY(TODAY())=8, MONTH(TODAY())=5, YEAR(TODAY())=2027)</formula>
    </cfRule>
  </conditionalFormatting>
  <conditionalFormatting sqref="M16:M17">
    <cfRule type="expression" priority="14" dxfId="2">
      <formula>AND(DAY(TODAY())=9, MONTH(TODAY())=5, YEAR(TODAY())=2027)</formula>
    </cfRule>
  </conditionalFormatting>
  <conditionalFormatting sqref="N16:N17">
    <cfRule type="expression" priority="15" dxfId="2">
      <formula>AND(DAY(TODAY())=10, MONTH(TODAY())=5, YEAR(TODAY())=2027)</formula>
    </cfRule>
  </conditionalFormatting>
  <conditionalFormatting sqref="O16:O17">
    <cfRule type="expression" priority="16" dxfId="2">
      <formula>AND(DAY(TODAY())=11, MONTH(TODAY())=5, YEAR(TODAY())=2027)</formula>
    </cfRule>
  </conditionalFormatting>
  <conditionalFormatting sqref="P16:P17">
    <cfRule type="expression" priority="17" dxfId="2">
      <formula>AND(DAY(TODAY())=12, MONTH(TODAY())=5, YEAR(TODAY())=2027)</formula>
    </cfRule>
  </conditionalFormatting>
  <conditionalFormatting sqref="Q16:Q17">
    <cfRule type="expression" priority="18" dxfId="2">
      <formula>AND(DAY(TODAY())=13, MONTH(TODAY())=5, YEAR(TODAY())=2027)</formula>
    </cfRule>
  </conditionalFormatting>
  <conditionalFormatting sqref="R16:R17">
    <cfRule type="expression" priority="19" dxfId="2">
      <formula>AND(DAY(TODAY())=14, MONTH(TODAY())=5, YEAR(TODAY())=2027)</formula>
    </cfRule>
  </conditionalFormatting>
  <conditionalFormatting sqref="S16:S17">
    <cfRule type="expression" priority="20" dxfId="2">
      <formula>AND(DAY(TODAY())=15, MONTH(TODAY())=5, YEAR(TODAY())=2027)</formula>
    </cfRule>
  </conditionalFormatting>
  <conditionalFormatting sqref="T16:T17">
    <cfRule type="expression" priority="21" dxfId="2">
      <formula>AND(DAY(TODAY())=16, MONTH(TODAY())=5, YEAR(TODAY())=2027)</formula>
    </cfRule>
  </conditionalFormatting>
  <conditionalFormatting sqref="U16:U17">
    <cfRule type="expression" priority="22" dxfId="2">
      <formula>AND(DAY(TODAY())=17, MONTH(TODAY())=5, YEAR(TODAY())=2027)</formula>
    </cfRule>
  </conditionalFormatting>
  <conditionalFormatting sqref="V16:V17">
    <cfRule type="expression" priority="23" dxfId="2">
      <formula>AND(DAY(TODAY())=18, MONTH(TODAY())=5, YEAR(TODAY())=2027)</formula>
    </cfRule>
  </conditionalFormatting>
  <conditionalFormatting sqref="W16:W17">
    <cfRule type="expression" priority="24" dxfId="2">
      <formula>AND(DAY(TODAY())=19, MONTH(TODAY())=5, YEAR(TODAY())=2027)</formula>
    </cfRule>
  </conditionalFormatting>
  <conditionalFormatting sqref="X16:X17">
    <cfRule type="expression" priority="25" dxfId="2">
      <formula>AND(DAY(TODAY())=20, MONTH(TODAY())=5, YEAR(TODAY())=2027)</formula>
    </cfRule>
  </conditionalFormatting>
  <conditionalFormatting sqref="Y16:Y17">
    <cfRule type="expression" priority="26" dxfId="2">
      <formula>AND(DAY(TODAY())=21, MONTH(TODAY())=5, YEAR(TODAY())=2027)</formula>
    </cfRule>
  </conditionalFormatting>
  <conditionalFormatting sqref="Z16:Z17">
    <cfRule type="expression" priority="27" dxfId="2">
      <formula>AND(DAY(TODAY())=22, MONTH(TODAY())=5, YEAR(TODAY())=2027)</formula>
    </cfRule>
  </conditionalFormatting>
  <conditionalFormatting sqref="AA16:AA17">
    <cfRule type="expression" priority="28" dxfId="2">
      <formula>AND(DAY(TODAY())=23, MONTH(TODAY())=5, YEAR(TODAY())=2027)</formula>
    </cfRule>
  </conditionalFormatting>
  <conditionalFormatting sqref="AB16:AB17">
    <cfRule type="expression" priority="29" dxfId="2">
      <formula>AND(DAY(TODAY())=24, MONTH(TODAY())=5, YEAR(TODAY())=2027)</formula>
    </cfRule>
  </conditionalFormatting>
  <conditionalFormatting sqref="AC16:AC17">
    <cfRule type="expression" priority="30" dxfId="2">
      <formula>AND(DAY(TODAY())=25, MONTH(TODAY())=5, YEAR(TODAY())=2027)</formula>
    </cfRule>
  </conditionalFormatting>
  <conditionalFormatting sqref="AD16:AD17">
    <cfRule type="expression" priority="31" dxfId="2">
      <formula>AND(DAY(TODAY())=26, MONTH(TODAY())=5, YEAR(TODAY())=2027)</formula>
    </cfRule>
  </conditionalFormatting>
  <conditionalFormatting sqref="AE16:AE17">
    <cfRule type="expression" priority="32" dxfId="2">
      <formula>AND(DAY(TODAY())=27, MONTH(TODAY())=5, YEAR(TODAY())=2027)</formula>
    </cfRule>
  </conditionalFormatting>
  <conditionalFormatting sqref="AF16:AF17">
    <cfRule type="expression" priority="33" dxfId="2">
      <formula>AND(DAY(TODAY())=28, MONTH(TODAY())=5, YEAR(TODAY())=2027)</formula>
    </cfRule>
  </conditionalFormatting>
  <conditionalFormatting sqref="AG16:AG17">
    <cfRule type="expression" priority="34" dxfId="2">
      <formula>AND(DAY(TODAY())=29, MONTH(TODAY())=5, YEAR(TODAY())=2027)</formula>
    </cfRule>
  </conditionalFormatting>
  <conditionalFormatting sqref="AH16:AH17">
    <cfRule type="expression" priority="35" dxfId="2">
      <formula>AND(DAY(TODAY())=30, MONTH(TODAY())=5, YEAR(TODAY())=2027)</formula>
    </cfRule>
  </conditionalFormatting>
  <conditionalFormatting sqref="AI16:AI17">
    <cfRule type="expression" priority="36" dxfId="2">
      <formula>AND(DAY(TODAY())=31, MONTH(TODAY())=5,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"Your future is created by what you do today."</t>
        </is>
      </c>
      <c r="AD2" s="3" t="inlineStr">
        <is>
          <t>@surajvansh</t>
        </is>
      </c>
    </row>
    <row r="3" ht="18" customHeight="1">
      <c r="A3" s="4" t="inlineStr">
        <is>
          <t>June 2027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2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2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2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2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5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5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5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5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Jun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MONTH(TODAY())=6, YEAR(TODAY())=2027)</formula>
    </cfRule>
  </conditionalFormatting>
  <conditionalFormatting sqref="F16:F17">
    <cfRule type="expression" priority="7" dxfId="2">
      <formula>AND(DAY(TODAY())=2, MONTH(TODAY())=6, YEAR(TODAY())=2027)</formula>
    </cfRule>
  </conditionalFormatting>
  <conditionalFormatting sqref="G16:G17">
    <cfRule type="expression" priority="8" dxfId="2">
      <formula>AND(DAY(TODAY())=3, MONTH(TODAY())=6, YEAR(TODAY())=2027)</formula>
    </cfRule>
  </conditionalFormatting>
  <conditionalFormatting sqref="H16:H17">
    <cfRule type="expression" priority="9" dxfId="2">
      <formula>AND(DAY(TODAY())=4, MONTH(TODAY())=6, YEAR(TODAY())=2027)</formula>
    </cfRule>
  </conditionalFormatting>
  <conditionalFormatting sqref="I16:I17">
    <cfRule type="expression" priority="10" dxfId="2">
      <formula>AND(DAY(TODAY())=5, MONTH(TODAY())=6, YEAR(TODAY())=2027)</formula>
    </cfRule>
  </conditionalFormatting>
  <conditionalFormatting sqref="J16:J17">
    <cfRule type="expression" priority="11" dxfId="2">
      <formula>AND(DAY(TODAY())=6, MONTH(TODAY())=6, YEAR(TODAY())=2027)</formula>
    </cfRule>
  </conditionalFormatting>
  <conditionalFormatting sqref="K16:K17">
    <cfRule type="expression" priority="12" dxfId="2">
      <formula>AND(DAY(TODAY())=7, MONTH(TODAY())=6, YEAR(TODAY())=2027)</formula>
    </cfRule>
  </conditionalFormatting>
  <conditionalFormatting sqref="L16:L17">
    <cfRule type="expression" priority="13" dxfId="2">
      <formula>AND(DAY(TODAY())=8, MONTH(TODAY())=6, YEAR(TODAY())=2027)</formula>
    </cfRule>
  </conditionalFormatting>
  <conditionalFormatting sqref="M16:M17">
    <cfRule type="expression" priority="14" dxfId="2">
      <formula>AND(DAY(TODAY())=9, MONTH(TODAY())=6, YEAR(TODAY())=2027)</formula>
    </cfRule>
  </conditionalFormatting>
  <conditionalFormatting sqref="N16:N17">
    <cfRule type="expression" priority="15" dxfId="2">
      <formula>AND(DAY(TODAY())=10, MONTH(TODAY())=6, YEAR(TODAY())=2027)</formula>
    </cfRule>
  </conditionalFormatting>
  <conditionalFormatting sqref="O16:O17">
    <cfRule type="expression" priority="16" dxfId="2">
      <formula>AND(DAY(TODAY())=11, MONTH(TODAY())=6, YEAR(TODAY())=2027)</formula>
    </cfRule>
  </conditionalFormatting>
  <conditionalFormatting sqref="P16:P17">
    <cfRule type="expression" priority="17" dxfId="2">
      <formula>AND(DAY(TODAY())=12, MONTH(TODAY())=6, YEAR(TODAY())=2027)</formula>
    </cfRule>
  </conditionalFormatting>
  <conditionalFormatting sqref="Q16:Q17">
    <cfRule type="expression" priority="18" dxfId="2">
      <formula>AND(DAY(TODAY())=13, MONTH(TODAY())=6, YEAR(TODAY())=2027)</formula>
    </cfRule>
  </conditionalFormatting>
  <conditionalFormatting sqref="R16:R17">
    <cfRule type="expression" priority="19" dxfId="2">
      <formula>AND(DAY(TODAY())=14, MONTH(TODAY())=6, YEAR(TODAY())=2027)</formula>
    </cfRule>
  </conditionalFormatting>
  <conditionalFormatting sqref="S16:S17">
    <cfRule type="expression" priority="20" dxfId="2">
      <formula>AND(DAY(TODAY())=15, MONTH(TODAY())=6, YEAR(TODAY())=2027)</formula>
    </cfRule>
  </conditionalFormatting>
  <conditionalFormatting sqref="T16:T17">
    <cfRule type="expression" priority="21" dxfId="2">
      <formula>AND(DAY(TODAY())=16, MONTH(TODAY())=6, YEAR(TODAY())=2027)</formula>
    </cfRule>
  </conditionalFormatting>
  <conditionalFormatting sqref="U16:U17">
    <cfRule type="expression" priority="22" dxfId="2">
      <formula>AND(DAY(TODAY())=17, MONTH(TODAY())=6, YEAR(TODAY())=2027)</formula>
    </cfRule>
  </conditionalFormatting>
  <conditionalFormatting sqref="V16:V17">
    <cfRule type="expression" priority="23" dxfId="2">
      <formula>AND(DAY(TODAY())=18, MONTH(TODAY())=6, YEAR(TODAY())=2027)</formula>
    </cfRule>
  </conditionalFormatting>
  <conditionalFormatting sqref="W16:W17">
    <cfRule type="expression" priority="24" dxfId="2">
      <formula>AND(DAY(TODAY())=19, MONTH(TODAY())=6, YEAR(TODAY())=2027)</formula>
    </cfRule>
  </conditionalFormatting>
  <conditionalFormatting sqref="X16:X17">
    <cfRule type="expression" priority="25" dxfId="2">
      <formula>AND(DAY(TODAY())=20, MONTH(TODAY())=6, YEAR(TODAY())=2027)</formula>
    </cfRule>
  </conditionalFormatting>
  <conditionalFormatting sqref="Y16:Y17">
    <cfRule type="expression" priority="26" dxfId="2">
      <formula>AND(DAY(TODAY())=21, MONTH(TODAY())=6, YEAR(TODAY())=2027)</formula>
    </cfRule>
  </conditionalFormatting>
  <conditionalFormatting sqref="Z16:Z17">
    <cfRule type="expression" priority="27" dxfId="2">
      <formula>AND(DAY(TODAY())=22, MONTH(TODAY())=6, YEAR(TODAY())=2027)</formula>
    </cfRule>
  </conditionalFormatting>
  <conditionalFormatting sqref="AA16:AA17">
    <cfRule type="expression" priority="28" dxfId="2">
      <formula>AND(DAY(TODAY())=23, MONTH(TODAY())=6, YEAR(TODAY())=2027)</formula>
    </cfRule>
  </conditionalFormatting>
  <conditionalFormatting sqref="AB16:AB17">
    <cfRule type="expression" priority="29" dxfId="2">
      <formula>AND(DAY(TODAY())=24, MONTH(TODAY())=6, YEAR(TODAY())=2027)</formula>
    </cfRule>
  </conditionalFormatting>
  <conditionalFormatting sqref="AC16:AC17">
    <cfRule type="expression" priority="30" dxfId="2">
      <formula>AND(DAY(TODAY())=25, MONTH(TODAY())=6, YEAR(TODAY())=2027)</formula>
    </cfRule>
  </conditionalFormatting>
  <conditionalFormatting sqref="AD16:AD17">
    <cfRule type="expression" priority="31" dxfId="2">
      <formula>AND(DAY(TODAY())=26, MONTH(TODAY())=6, YEAR(TODAY())=2027)</formula>
    </cfRule>
  </conditionalFormatting>
  <conditionalFormatting sqref="AE16:AE17">
    <cfRule type="expression" priority="32" dxfId="2">
      <formula>AND(DAY(TODAY())=27, MONTH(TODAY())=6, YEAR(TODAY())=2027)</formula>
    </cfRule>
  </conditionalFormatting>
  <conditionalFormatting sqref="AF16:AF17">
    <cfRule type="expression" priority="33" dxfId="2">
      <formula>AND(DAY(TODAY())=28, MONTH(TODAY())=6, YEAR(TODAY())=2027)</formula>
    </cfRule>
  </conditionalFormatting>
  <conditionalFormatting sqref="AG16:AG17">
    <cfRule type="expression" priority="34" dxfId="2">
      <formula>AND(DAY(TODAY())=29, MONTH(TODAY())=6, YEAR(TODAY())=2027)</formula>
    </cfRule>
  </conditionalFormatting>
  <conditionalFormatting sqref="AH16:AH17">
    <cfRule type="expression" priority="35" dxfId="2">
      <formula>AND(DAY(TODAY())=30, MONTH(TODAY())=6,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"Mastery is a journey, not a destination."</t>
        </is>
      </c>
      <c r="AE2" s="3" t="inlineStr">
        <is>
          <t>@surajvansh</t>
        </is>
      </c>
    </row>
    <row r="3" ht="18" customHeight="1">
      <c r="A3" s="4" t="inlineStr">
        <is>
          <t>July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2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2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2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2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5" t="inlineStr">
        <is>
          <t>Sa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5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5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5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5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  <c r="AI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Jul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MONTH(TODAY())=7, YEAR(TODAY())=2027)</formula>
    </cfRule>
  </conditionalFormatting>
  <conditionalFormatting sqref="F16:F17">
    <cfRule type="expression" priority="7" dxfId="2">
      <formula>AND(DAY(TODAY())=2, MONTH(TODAY())=7, YEAR(TODAY())=2027)</formula>
    </cfRule>
  </conditionalFormatting>
  <conditionalFormatting sqref="G16:G17">
    <cfRule type="expression" priority="8" dxfId="2">
      <formula>AND(DAY(TODAY())=3, MONTH(TODAY())=7, YEAR(TODAY())=2027)</formula>
    </cfRule>
  </conditionalFormatting>
  <conditionalFormatting sqref="H16:H17">
    <cfRule type="expression" priority="9" dxfId="2">
      <formula>AND(DAY(TODAY())=4, MONTH(TODAY())=7, YEAR(TODAY())=2027)</formula>
    </cfRule>
  </conditionalFormatting>
  <conditionalFormatting sqref="I16:I17">
    <cfRule type="expression" priority="10" dxfId="2">
      <formula>AND(DAY(TODAY())=5, MONTH(TODAY())=7, YEAR(TODAY())=2027)</formula>
    </cfRule>
  </conditionalFormatting>
  <conditionalFormatting sqref="J16:J17">
    <cfRule type="expression" priority="11" dxfId="2">
      <formula>AND(DAY(TODAY())=6, MONTH(TODAY())=7, YEAR(TODAY())=2027)</formula>
    </cfRule>
  </conditionalFormatting>
  <conditionalFormatting sqref="K16:K17">
    <cfRule type="expression" priority="12" dxfId="2">
      <formula>AND(DAY(TODAY())=7, MONTH(TODAY())=7, YEAR(TODAY())=2027)</formula>
    </cfRule>
  </conditionalFormatting>
  <conditionalFormatting sqref="L16:L17">
    <cfRule type="expression" priority="13" dxfId="2">
      <formula>AND(DAY(TODAY())=8, MONTH(TODAY())=7, YEAR(TODAY())=2027)</formula>
    </cfRule>
  </conditionalFormatting>
  <conditionalFormatting sqref="M16:M17">
    <cfRule type="expression" priority="14" dxfId="2">
      <formula>AND(DAY(TODAY())=9, MONTH(TODAY())=7, YEAR(TODAY())=2027)</formula>
    </cfRule>
  </conditionalFormatting>
  <conditionalFormatting sqref="N16:N17">
    <cfRule type="expression" priority="15" dxfId="2">
      <formula>AND(DAY(TODAY())=10, MONTH(TODAY())=7, YEAR(TODAY())=2027)</formula>
    </cfRule>
  </conditionalFormatting>
  <conditionalFormatting sqref="O16:O17">
    <cfRule type="expression" priority="16" dxfId="2">
      <formula>AND(DAY(TODAY())=11, MONTH(TODAY())=7, YEAR(TODAY())=2027)</formula>
    </cfRule>
  </conditionalFormatting>
  <conditionalFormatting sqref="P16:P17">
    <cfRule type="expression" priority="17" dxfId="2">
      <formula>AND(DAY(TODAY())=12, MONTH(TODAY())=7, YEAR(TODAY())=2027)</formula>
    </cfRule>
  </conditionalFormatting>
  <conditionalFormatting sqref="Q16:Q17">
    <cfRule type="expression" priority="18" dxfId="2">
      <formula>AND(DAY(TODAY())=13, MONTH(TODAY())=7, YEAR(TODAY())=2027)</formula>
    </cfRule>
  </conditionalFormatting>
  <conditionalFormatting sqref="R16:R17">
    <cfRule type="expression" priority="19" dxfId="2">
      <formula>AND(DAY(TODAY())=14, MONTH(TODAY())=7, YEAR(TODAY())=2027)</formula>
    </cfRule>
  </conditionalFormatting>
  <conditionalFormatting sqref="S16:S17">
    <cfRule type="expression" priority="20" dxfId="2">
      <formula>AND(DAY(TODAY())=15, MONTH(TODAY())=7, YEAR(TODAY())=2027)</formula>
    </cfRule>
  </conditionalFormatting>
  <conditionalFormatting sqref="T16:T17">
    <cfRule type="expression" priority="21" dxfId="2">
      <formula>AND(DAY(TODAY())=16, MONTH(TODAY())=7, YEAR(TODAY())=2027)</formula>
    </cfRule>
  </conditionalFormatting>
  <conditionalFormatting sqref="U16:U17">
    <cfRule type="expression" priority="22" dxfId="2">
      <formula>AND(DAY(TODAY())=17, MONTH(TODAY())=7, YEAR(TODAY())=2027)</formula>
    </cfRule>
  </conditionalFormatting>
  <conditionalFormatting sqref="V16:V17">
    <cfRule type="expression" priority="23" dxfId="2">
      <formula>AND(DAY(TODAY())=18, MONTH(TODAY())=7, YEAR(TODAY())=2027)</formula>
    </cfRule>
  </conditionalFormatting>
  <conditionalFormatting sqref="W16:W17">
    <cfRule type="expression" priority="24" dxfId="2">
      <formula>AND(DAY(TODAY())=19, MONTH(TODAY())=7, YEAR(TODAY())=2027)</formula>
    </cfRule>
  </conditionalFormatting>
  <conditionalFormatting sqref="X16:X17">
    <cfRule type="expression" priority="25" dxfId="2">
      <formula>AND(DAY(TODAY())=20, MONTH(TODAY())=7, YEAR(TODAY())=2027)</formula>
    </cfRule>
  </conditionalFormatting>
  <conditionalFormatting sqref="Y16:Y17">
    <cfRule type="expression" priority="26" dxfId="2">
      <formula>AND(DAY(TODAY())=21, MONTH(TODAY())=7, YEAR(TODAY())=2027)</formula>
    </cfRule>
  </conditionalFormatting>
  <conditionalFormatting sqref="Z16:Z17">
    <cfRule type="expression" priority="27" dxfId="2">
      <formula>AND(DAY(TODAY())=22, MONTH(TODAY())=7, YEAR(TODAY())=2027)</formula>
    </cfRule>
  </conditionalFormatting>
  <conditionalFormatting sqref="AA16:AA17">
    <cfRule type="expression" priority="28" dxfId="2">
      <formula>AND(DAY(TODAY())=23, MONTH(TODAY())=7, YEAR(TODAY())=2027)</formula>
    </cfRule>
  </conditionalFormatting>
  <conditionalFormatting sqref="AB16:AB17">
    <cfRule type="expression" priority="29" dxfId="2">
      <formula>AND(DAY(TODAY())=24, MONTH(TODAY())=7, YEAR(TODAY())=2027)</formula>
    </cfRule>
  </conditionalFormatting>
  <conditionalFormatting sqref="AC16:AC17">
    <cfRule type="expression" priority="30" dxfId="2">
      <formula>AND(DAY(TODAY())=25, MONTH(TODAY())=7, YEAR(TODAY())=2027)</formula>
    </cfRule>
  </conditionalFormatting>
  <conditionalFormatting sqref="AD16:AD17">
    <cfRule type="expression" priority="31" dxfId="2">
      <formula>AND(DAY(TODAY())=26, MONTH(TODAY())=7, YEAR(TODAY())=2027)</formula>
    </cfRule>
  </conditionalFormatting>
  <conditionalFormatting sqref="AE16:AE17">
    <cfRule type="expression" priority="32" dxfId="2">
      <formula>AND(DAY(TODAY())=27, MONTH(TODAY())=7, YEAR(TODAY())=2027)</formula>
    </cfRule>
  </conditionalFormatting>
  <conditionalFormatting sqref="AF16:AF17">
    <cfRule type="expression" priority="33" dxfId="2">
      <formula>AND(DAY(TODAY())=28, MONTH(TODAY())=7, YEAR(TODAY())=2027)</formula>
    </cfRule>
  </conditionalFormatting>
  <conditionalFormatting sqref="AG16:AG17">
    <cfRule type="expression" priority="34" dxfId="2">
      <formula>AND(DAY(TODAY())=29, MONTH(TODAY())=7, YEAR(TODAY())=2027)</formula>
    </cfRule>
  </conditionalFormatting>
  <conditionalFormatting sqref="AH16:AH17">
    <cfRule type="expression" priority="35" dxfId="2">
      <formula>AND(DAY(TODAY())=30, MONTH(TODAY())=7, YEAR(TODAY())=2027)</formula>
    </cfRule>
  </conditionalFormatting>
  <conditionalFormatting sqref="AI16:AI17">
    <cfRule type="expression" priority="36" dxfId="2">
      <formula>AND(DAY(TODAY())=31, MONTH(TODAY())=7,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"Consistency creates momentum."</t>
        </is>
      </c>
      <c r="AE2" s="3" t="inlineStr">
        <is>
          <t>@surajvansh</t>
        </is>
      </c>
    </row>
    <row r="3" ht="18" customHeight="1">
      <c r="A3" s="4" t="inlineStr">
        <is>
          <t>August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2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2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2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2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2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5" t="inlineStr">
        <is>
          <t>T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5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5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5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5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5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  <c r="AI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Aug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MONTH(TODAY())=8, YEAR(TODAY())=2027)</formula>
    </cfRule>
  </conditionalFormatting>
  <conditionalFormatting sqref="F16:F17">
    <cfRule type="expression" priority="7" dxfId="2">
      <formula>AND(DAY(TODAY())=2, MONTH(TODAY())=8, YEAR(TODAY())=2027)</formula>
    </cfRule>
  </conditionalFormatting>
  <conditionalFormatting sqref="G16:G17">
    <cfRule type="expression" priority="8" dxfId="2">
      <formula>AND(DAY(TODAY())=3, MONTH(TODAY())=8, YEAR(TODAY())=2027)</formula>
    </cfRule>
  </conditionalFormatting>
  <conditionalFormatting sqref="H16:H17">
    <cfRule type="expression" priority="9" dxfId="2">
      <formula>AND(DAY(TODAY())=4, MONTH(TODAY())=8, YEAR(TODAY())=2027)</formula>
    </cfRule>
  </conditionalFormatting>
  <conditionalFormatting sqref="I16:I17">
    <cfRule type="expression" priority="10" dxfId="2">
      <formula>AND(DAY(TODAY())=5, MONTH(TODAY())=8, YEAR(TODAY())=2027)</formula>
    </cfRule>
  </conditionalFormatting>
  <conditionalFormatting sqref="J16:J17">
    <cfRule type="expression" priority="11" dxfId="2">
      <formula>AND(DAY(TODAY())=6, MONTH(TODAY())=8, YEAR(TODAY())=2027)</formula>
    </cfRule>
  </conditionalFormatting>
  <conditionalFormatting sqref="K16:K17">
    <cfRule type="expression" priority="12" dxfId="2">
      <formula>AND(DAY(TODAY())=7, MONTH(TODAY())=8, YEAR(TODAY())=2027)</formula>
    </cfRule>
  </conditionalFormatting>
  <conditionalFormatting sqref="L16:L17">
    <cfRule type="expression" priority="13" dxfId="2">
      <formula>AND(DAY(TODAY())=8, MONTH(TODAY())=8, YEAR(TODAY())=2027)</formula>
    </cfRule>
  </conditionalFormatting>
  <conditionalFormatting sqref="M16:M17">
    <cfRule type="expression" priority="14" dxfId="2">
      <formula>AND(DAY(TODAY())=9, MONTH(TODAY())=8, YEAR(TODAY())=2027)</formula>
    </cfRule>
  </conditionalFormatting>
  <conditionalFormatting sqref="N16:N17">
    <cfRule type="expression" priority="15" dxfId="2">
      <formula>AND(DAY(TODAY())=10, MONTH(TODAY())=8, YEAR(TODAY())=2027)</formula>
    </cfRule>
  </conditionalFormatting>
  <conditionalFormatting sqref="O16:O17">
    <cfRule type="expression" priority="16" dxfId="2">
      <formula>AND(DAY(TODAY())=11, MONTH(TODAY())=8, YEAR(TODAY())=2027)</formula>
    </cfRule>
  </conditionalFormatting>
  <conditionalFormatting sqref="P16:P17">
    <cfRule type="expression" priority="17" dxfId="2">
      <formula>AND(DAY(TODAY())=12, MONTH(TODAY())=8, YEAR(TODAY())=2027)</formula>
    </cfRule>
  </conditionalFormatting>
  <conditionalFormatting sqref="Q16:Q17">
    <cfRule type="expression" priority="18" dxfId="2">
      <formula>AND(DAY(TODAY())=13, MONTH(TODAY())=8, YEAR(TODAY())=2027)</formula>
    </cfRule>
  </conditionalFormatting>
  <conditionalFormatting sqref="R16:R17">
    <cfRule type="expression" priority="19" dxfId="2">
      <formula>AND(DAY(TODAY())=14, MONTH(TODAY())=8, YEAR(TODAY())=2027)</formula>
    </cfRule>
  </conditionalFormatting>
  <conditionalFormatting sqref="S16:S17">
    <cfRule type="expression" priority="20" dxfId="2">
      <formula>AND(DAY(TODAY())=15, MONTH(TODAY())=8, YEAR(TODAY())=2027)</formula>
    </cfRule>
  </conditionalFormatting>
  <conditionalFormatting sqref="T16:T17">
    <cfRule type="expression" priority="21" dxfId="2">
      <formula>AND(DAY(TODAY())=16, MONTH(TODAY())=8, YEAR(TODAY())=2027)</formula>
    </cfRule>
  </conditionalFormatting>
  <conditionalFormatting sqref="U16:U17">
    <cfRule type="expression" priority="22" dxfId="2">
      <formula>AND(DAY(TODAY())=17, MONTH(TODAY())=8, YEAR(TODAY())=2027)</formula>
    </cfRule>
  </conditionalFormatting>
  <conditionalFormatting sqref="V16:V17">
    <cfRule type="expression" priority="23" dxfId="2">
      <formula>AND(DAY(TODAY())=18, MONTH(TODAY())=8, YEAR(TODAY())=2027)</formula>
    </cfRule>
  </conditionalFormatting>
  <conditionalFormatting sqref="W16:W17">
    <cfRule type="expression" priority="24" dxfId="2">
      <formula>AND(DAY(TODAY())=19, MONTH(TODAY())=8, YEAR(TODAY())=2027)</formula>
    </cfRule>
  </conditionalFormatting>
  <conditionalFormatting sqref="X16:X17">
    <cfRule type="expression" priority="25" dxfId="2">
      <formula>AND(DAY(TODAY())=20, MONTH(TODAY())=8, YEAR(TODAY())=2027)</formula>
    </cfRule>
  </conditionalFormatting>
  <conditionalFormatting sqref="Y16:Y17">
    <cfRule type="expression" priority="26" dxfId="2">
      <formula>AND(DAY(TODAY())=21, MONTH(TODAY())=8, YEAR(TODAY())=2027)</formula>
    </cfRule>
  </conditionalFormatting>
  <conditionalFormatting sqref="Z16:Z17">
    <cfRule type="expression" priority="27" dxfId="2">
      <formula>AND(DAY(TODAY())=22, MONTH(TODAY())=8, YEAR(TODAY())=2027)</formula>
    </cfRule>
  </conditionalFormatting>
  <conditionalFormatting sqref="AA16:AA17">
    <cfRule type="expression" priority="28" dxfId="2">
      <formula>AND(DAY(TODAY())=23, MONTH(TODAY())=8, YEAR(TODAY())=2027)</formula>
    </cfRule>
  </conditionalFormatting>
  <conditionalFormatting sqref="AB16:AB17">
    <cfRule type="expression" priority="29" dxfId="2">
      <formula>AND(DAY(TODAY())=24, MONTH(TODAY())=8, YEAR(TODAY())=2027)</formula>
    </cfRule>
  </conditionalFormatting>
  <conditionalFormatting sqref="AC16:AC17">
    <cfRule type="expression" priority="30" dxfId="2">
      <formula>AND(DAY(TODAY())=25, MONTH(TODAY())=8, YEAR(TODAY())=2027)</formula>
    </cfRule>
  </conditionalFormatting>
  <conditionalFormatting sqref="AD16:AD17">
    <cfRule type="expression" priority="31" dxfId="2">
      <formula>AND(DAY(TODAY())=26, MONTH(TODAY())=8, YEAR(TODAY())=2027)</formula>
    </cfRule>
  </conditionalFormatting>
  <conditionalFormatting sqref="AE16:AE17">
    <cfRule type="expression" priority="32" dxfId="2">
      <formula>AND(DAY(TODAY())=27, MONTH(TODAY())=8, YEAR(TODAY())=2027)</formula>
    </cfRule>
  </conditionalFormatting>
  <conditionalFormatting sqref="AF16:AF17">
    <cfRule type="expression" priority="33" dxfId="2">
      <formula>AND(DAY(TODAY())=28, MONTH(TODAY())=8, YEAR(TODAY())=2027)</formula>
    </cfRule>
  </conditionalFormatting>
  <conditionalFormatting sqref="AG16:AG17">
    <cfRule type="expression" priority="34" dxfId="2">
      <formula>AND(DAY(TODAY())=29, MONTH(TODAY())=8, YEAR(TODAY())=2027)</formula>
    </cfRule>
  </conditionalFormatting>
  <conditionalFormatting sqref="AH16:AH17">
    <cfRule type="expression" priority="35" dxfId="2">
      <formula>AND(DAY(TODAY())=30, MONTH(TODAY())=8, YEAR(TODAY())=2027)</formula>
    </cfRule>
  </conditionalFormatting>
  <conditionalFormatting sqref="AI16:AI17">
    <cfRule type="expression" priority="36" dxfId="2">
      <formula>AND(DAY(TODAY())=31, MONTH(TODAY())=8,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D2" s="3" t="inlineStr">
        <is>
          <t>@surajvansh</t>
        </is>
      </c>
    </row>
    <row r="3" ht="18" customHeight="1">
      <c r="A3" s="4" t="inlineStr">
        <is>
          <t>September 2027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2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2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2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2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5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5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5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5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Sep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MONTH(TODAY())=9, YEAR(TODAY())=2027)</formula>
    </cfRule>
  </conditionalFormatting>
  <conditionalFormatting sqref="F16:F17">
    <cfRule type="expression" priority="7" dxfId="2">
      <formula>AND(DAY(TODAY())=2, MONTH(TODAY())=9, YEAR(TODAY())=2027)</formula>
    </cfRule>
  </conditionalFormatting>
  <conditionalFormatting sqref="G16:G17">
    <cfRule type="expression" priority="8" dxfId="2">
      <formula>AND(DAY(TODAY())=3, MONTH(TODAY())=9, YEAR(TODAY())=2027)</formula>
    </cfRule>
  </conditionalFormatting>
  <conditionalFormatting sqref="H16:H17">
    <cfRule type="expression" priority="9" dxfId="2">
      <formula>AND(DAY(TODAY())=4, MONTH(TODAY())=9, YEAR(TODAY())=2027)</formula>
    </cfRule>
  </conditionalFormatting>
  <conditionalFormatting sqref="I16:I17">
    <cfRule type="expression" priority="10" dxfId="2">
      <formula>AND(DAY(TODAY())=5, MONTH(TODAY())=9, YEAR(TODAY())=2027)</formula>
    </cfRule>
  </conditionalFormatting>
  <conditionalFormatting sqref="J16:J17">
    <cfRule type="expression" priority="11" dxfId="2">
      <formula>AND(DAY(TODAY())=6, MONTH(TODAY())=9, YEAR(TODAY())=2027)</formula>
    </cfRule>
  </conditionalFormatting>
  <conditionalFormatting sqref="K16:K17">
    <cfRule type="expression" priority="12" dxfId="2">
      <formula>AND(DAY(TODAY())=7, MONTH(TODAY())=9, YEAR(TODAY())=2027)</formula>
    </cfRule>
  </conditionalFormatting>
  <conditionalFormatting sqref="L16:L17">
    <cfRule type="expression" priority="13" dxfId="2">
      <formula>AND(DAY(TODAY())=8, MONTH(TODAY())=9, YEAR(TODAY())=2027)</formula>
    </cfRule>
  </conditionalFormatting>
  <conditionalFormatting sqref="M16:M17">
    <cfRule type="expression" priority="14" dxfId="2">
      <formula>AND(DAY(TODAY())=9, MONTH(TODAY())=9, YEAR(TODAY())=2027)</formula>
    </cfRule>
  </conditionalFormatting>
  <conditionalFormatting sqref="N16:N17">
    <cfRule type="expression" priority="15" dxfId="2">
      <formula>AND(DAY(TODAY())=10, MONTH(TODAY())=9, YEAR(TODAY())=2027)</formula>
    </cfRule>
  </conditionalFormatting>
  <conditionalFormatting sqref="O16:O17">
    <cfRule type="expression" priority="16" dxfId="2">
      <formula>AND(DAY(TODAY())=11, MONTH(TODAY())=9, YEAR(TODAY())=2027)</formula>
    </cfRule>
  </conditionalFormatting>
  <conditionalFormatting sqref="P16:P17">
    <cfRule type="expression" priority="17" dxfId="2">
      <formula>AND(DAY(TODAY())=12, MONTH(TODAY())=9, YEAR(TODAY())=2027)</formula>
    </cfRule>
  </conditionalFormatting>
  <conditionalFormatting sqref="Q16:Q17">
    <cfRule type="expression" priority="18" dxfId="2">
      <formula>AND(DAY(TODAY())=13, MONTH(TODAY())=9, YEAR(TODAY())=2027)</formula>
    </cfRule>
  </conditionalFormatting>
  <conditionalFormatting sqref="R16:R17">
    <cfRule type="expression" priority="19" dxfId="2">
      <formula>AND(DAY(TODAY())=14, MONTH(TODAY())=9, YEAR(TODAY())=2027)</formula>
    </cfRule>
  </conditionalFormatting>
  <conditionalFormatting sqref="S16:S17">
    <cfRule type="expression" priority="20" dxfId="2">
      <formula>AND(DAY(TODAY())=15, MONTH(TODAY())=9, YEAR(TODAY())=2027)</formula>
    </cfRule>
  </conditionalFormatting>
  <conditionalFormatting sqref="T16:T17">
    <cfRule type="expression" priority="21" dxfId="2">
      <formula>AND(DAY(TODAY())=16, MONTH(TODAY())=9, YEAR(TODAY())=2027)</formula>
    </cfRule>
  </conditionalFormatting>
  <conditionalFormatting sqref="U16:U17">
    <cfRule type="expression" priority="22" dxfId="2">
      <formula>AND(DAY(TODAY())=17, MONTH(TODAY())=9, YEAR(TODAY())=2027)</formula>
    </cfRule>
  </conditionalFormatting>
  <conditionalFormatting sqref="V16:V17">
    <cfRule type="expression" priority="23" dxfId="2">
      <formula>AND(DAY(TODAY())=18, MONTH(TODAY())=9, YEAR(TODAY())=2027)</formula>
    </cfRule>
  </conditionalFormatting>
  <conditionalFormatting sqref="W16:W17">
    <cfRule type="expression" priority="24" dxfId="2">
      <formula>AND(DAY(TODAY())=19, MONTH(TODAY())=9, YEAR(TODAY())=2027)</formula>
    </cfRule>
  </conditionalFormatting>
  <conditionalFormatting sqref="X16:X17">
    <cfRule type="expression" priority="25" dxfId="2">
      <formula>AND(DAY(TODAY())=20, MONTH(TODAY())=9, YEAR(TODAY())=2027)</formula>
    </cfRule>
  </conditionalFormatting>
  <conditionalFormatting sqref="Y16:Y17">
    <cfRule type="expression" priority="26" dxfId="2">
      <formula>AND(DAY(TODAY())=21, MONTH(TODAY())=9, YEAR(TODAY())=2027)</formula>
    </cfRule>
  </conditionalFormatting>
  <conditionalFormatting sqref="Z16:Z17">
    <cfRule type="expression" priority="27" dxfId="2">
      <formula>AND(DAY(TODAY())=22, MONTH(TODAY())=9, YEAR(TODAY())=2027)</formula>
    </cfRule>
  </conditionalFormatting>
  <conditionalFormatting sqref="AA16:AA17">
    <cfRule type="expression" priority="28" dxfId="2">
      <formula>AND(DAY(TODAY())=23, MONTH(TODAY())=9, YEAR(TODAY())=2027)</formula>
    </cfRule>
  </conditionalFormatting>
  <conditionalFormatting sqref="AB16:AB17">
    <cfRule type="expression" priority="29" dxfId="2">
      <formula>AND(DAY(TODAY())=24, MONTH(TODAY())=9, YEAR(TODAY())=2027)</formula>
    </cfRule>
  </conditionalFormatting>
  <conditionalFormatting sqref="AC16:AC17">
    <cfRule type="expression" priority="30" dxfId="2">
      <formula>AND(DAY(TODAY())=25, MONTH(TODAY())=9, YEAR(TODAY())=2027)</formula>
    </cfRule>
  </conditionalFormatting>
  <conditionalFormatting sqref="AD16:AD17">
    <cfRule type="expression" priority="31" dxfId="2">
      <formula>AND(DAY(TODAY())=26, MONTH(TODAY())=9, YEAR(TODAY())=2027)</formula>
    </cfRule>
  </conditionalFormatting>
  <conditionalFormatting sqref="AE16:AE17">
    <cfRule type="expression" priority="32" dxfId="2">
      <formula>AND(DAY(TODAY())=27, MONTH(TODAY())=9, YEAR(TODAY())=2027)</formula>
    </cfRule>
  </conditionalFormatting>
  <conditionalFormatting sqref="AF16:AF17">
    <cfRule type="expression" priority="33" dxfId="2">
      <formula>AND(DAY(TODAY())=28, MONTH(TODAY())=9, YEAR(TODAY())=2027)</formula>
    </cfRule>
  </conditionalFormatting>
  <conditionalFormatting sqref="AG16:AG17">
    <cfRule type="expression" priority="34" dxfId="2">
      <formula>AND(DAY(TODAY())=29, MONTH(TODAY())=9, YEAR(TODAY())=2027)</formula>
    </cfRule>
  </conditionalFormatting>
  <conditionalFormatting sqref="AH16:AH17">
    <cfRule type="expression" priority="35" dxfId="2">
      <formula>AND(DAY(TODAY())=30, MONTH(TODAY())=9,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E2" s="3" t="inlineStr">
        <is>
          <t>@surajvansh</t>
        </is>
      </c>
    </row>
    <row r="3" ht="18" customHeight="1">
      <c r="A3" s="4" t="inlineStr">
        <is>
          <t>October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2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2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2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2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2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6" t="inlineStr">
        <is>
          <t>Su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0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0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0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0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6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6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6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6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2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2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2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2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8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8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8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8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4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4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4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4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5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5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5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5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5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  <c r="AI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  <c r="AI47" s="61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Oct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MONTH(TODAY())=10, YEAR(TODAY())=2027)</formula>
    </cfRule>
  </conditionalFormatting>
  <conditionalFormatting sqref="F16:F17">
    <cfRule type="expression" priority="7" dxfId="2">
      <formula>AND(DAY(TODAY())=2, MONTH(TODAY())=10, YEAR(TODAY())=2027)</formula>
    </cfRule>
  </conditionalFormatting>
  <conditionalFormatting sqref="G16:G17">
    <cfRule type="expression" priority="8" dxfId="2">
      <formula>AND(DAY(TODAY())=3, MONTH(TODAY())=10, YEAR(TODAY())=2027)</formula>
    </cfRule>
  </conditionalFormatting>
  <conditionalFormatting sqref="H16:H17">
    <cfRule type="expression" priority="9" dxfId="2">
      <formula>AND(DAY(TODAY())=4, MONTH(TODAY())=10, YEAR(TODAY())=2027)</formula>
    </cfRule>
  </conditionalFormatting>
  <conditionalFormatting sqref="I16:I17">
    <cfRule type="expression" priority="10" dxfId="2">
      <formula>AND(DAY(TODAY())=5, MONTH(TODAY())=10, YEAR(TODAY())=2027)</formula>
    </cfRule>
  </conditionalFormatting>
  <conditionalFormatting sqref="J16:J17">
    <cfRule type="expression" priority="11" dxfId="2">
      <formula>AND(DAY(TODAY())=6, MONTH(TODAY())=10, YEAR(TODAY())=2027)</formula>
    </cfRule>
  </conditionalFormatting>
  <conditionalFormatting sqref="K16:K17">
    <cfRule type="expression" priority="12" dxfId="2">
      <formula>AND(DAY(TODAY())=7, MONTH(TODAY())=10, YEAR(TODAY())=2027)</formula>
    </cfRule>
  </conditionalFormatting>
  <conditionalFormatting sqref="L16:L17">
    <cfRule type="expression" priority="13" dxfId="2">
      <formula>AND(DAY(TODAY())=8, MONTH(TODAY())=10, YEAR(TODAY())=2027)</formula>
    </cfRule>
  </conditionalFormatting>
  <conditionalFormatting sqref="M16:M17">
    <cfRule type="expression" priority="14" dxfId="2">
      <formula>AND(DAY(TODAY())=9, MONTH(TODAY())=10, YEAR(TODAY())=2027)</formula>
    </cfRule>
  </conditionalFormatting>
  <conditionalFormatting sqref="N16:N17">
    <cfRule type="expression" priority="15" dxfId="2">
      <formula>AND(DAY(TODAY())=10, MONTH(TODAY())=10, YEAR(TODAY())=2027)</formula>
    </cfRule>
  </conditionalFormatting>
  <conditionalFormatting sqref="O16:O17">
    <cfRule type="expression" priority="16" dxfId="2">
      <formula>AND(DAY(TODAY())=11, MONTH(TODAY())=10, YEAR(TODAY())=2027)</formula>
    </cfRule>
  </conditionalFormatting>
  <conditionalFormatting sqref="P16:P17">
    <cfRule type="expression" priority="17" dxfId="2">
      <formula>AND(DAY(TODAY())=12, MONTH(TODAY())=10, YEAR(TODAY())=2027)</formula>
    </cfRule>
  </conditionalFormatting>
  <conditionalFormatting sqref="Q16:Q17">
    <cfRule type="expression" priority="18" dxfId="2">
      <formula>AND(DAY(TODAY())=13, MONTH(TODAY())=10, YEAR(TODAY())=2027)</formula>
    </cfRule>
  </conditionalFormatting>
  <conditionalFormatting sqref="R16:R17">
    <cfRule type="expression" priority="19" dxfId="2">
      <formula>AND(DAY(TODAY())=14, MONTH(TODAY())=10, YEAR(TODAY())=2027)</formula>
    </cfRule>
  </conditionalFormatting>
  <conditionalFormatting sqref="S16:S17">
    <cfRule type="expression" priority="20" dxfId="2">
      <formula>AND(DAY(TODAY())=15, MONTH(TODAY())=10, YEAR(TODAY())=2027)</formula>
    </cfRule>
  </conditionalFormatting>
  <conditionalFormatting sqref="T16:T17">
    <cfRule type="expression" priority="21" dxfId="2">
      <formula>AND(DAY(TODAY())=16, MONTH(TODAY())=10, YEAR(TODAY())=2027)</formula>
    </cfRule>
  </conditionalFormatting>
  <conditionalFormatting sqref="U16:U17">
    <cfRule type="expression" priority="22" dxfId="2">
      <formula>AND(DAY(TODAY())=17, MONTH(TODAY())=10, YEAR(TODAY())=2027)</formula>
    </cfRule>
  </conditionalFormatting>
  <conditionalFormatting sqref="V16:V17">
    <cfRule type="expression" priority="23" dxfId="2">
      <formula>AND(DAY(TODAY())=18, MONTH(TODAY())=10, YEAR(TODAY())=2027)</formula>
    </cfRule>
  </conditionalFormatting>
  <conditionalFormatting sqref="W16:W17">
    <cfRule type="expression" priority="24" dxfId="2">
      <formula>AND(DAY(TODAY())=19, MONTH(TODAY())=10, YEAR(TODAY())=2027)</formula>
    </cfRule>
  </conditionalFormatting>
  <conditionalFormatting sqref="X16:X17">
    <cfRule type="expression" priority="25" dxfId="2">
      <formula>AND(DAY(TODAY())=20, MONTH(TODAY())=10, YEAR(TODAY())=2027)</formula>
    </cfRule>
  </conditionalFormatting>
  <conditionalFormatting sqref="Y16:Y17">
    <cfRule type="expression" priority="26" dxfId="2">
      <formula>AND(DAY(TODAY())=21, MONTH(TODAY())=10, YEAR(TODAY())=2027)</formula>
    </cfRule>
  </conditionalFormatting>
  <conditionalFormatting sqref="Z16:Z17">
    <cfRule type="expression" priority="27" dxfId="2">
      <formula>AND(DAY(TODAY())=22, MONTH(TODAY())=10, YEAR(TODAY())=2027)</formula>
    </cfRule>
  </conditionalFormatting>
  <conditionalFormatting sqref="AA16:AA17">
    <cfRule type="expression" priority="28" dxfId="2">
      <formula>AND(DAY(TODAY())=23, MONTH(TODAY())=10, YEAR(TODAY())=2027)</formula>
    </cfRule>
  </conditionalFormatting>
  <conditionalFormatting sqref="AB16:AB17">
    <cfRule type="expression" priority="29" dxfId="2">
      <formula>AND(DAY(TODAY())=24, MONTH(TODAY())=10, YEAR(TODAY())=2027)</formula>
    </cfRule>
  </conditionalFormatting>
  <conditionalFormatting sqref="AC16:AC17">
    <cfRule type="expression" priority="30" dxfId="2">
      <formula>AND(DAY(TODAY())=25, MONTH(TODAY())=10, YEAR(TODAY())=2027)</formula>
    </cfRule>
  </conditionalFormatting>
  <conditionalFormatting sqref="AD16:AD17">
    <cfRule type="expression" priority="31" dxfId="2">
      <formula>AND(DAY(TODAY())=26, MONTH(TODAY())=10, YEAR(TODAY())=2027)</formula>
    </cfRule>
  </conditionalFormatting>
  <conditionalFormatting sqref="AE16:AE17">
    <cfRule type="expression" priority="32" dxfId="2">
      <formula>AND(DAY(TODAY())=27, MONTH(TODAY())=10, YEAR(TODAY())=2027)</formula>
    </cfRule>
  </conditionalFormatting>
  <conditionalFormatting sqref="AF16:AF17">
    <cfRule type="expression" priority="33" dxfId="2">
      <formula>AND(DAY(TODAY())=28, MONTH(TODAY())=10, YEAR(TODAY())=2027)</formula>
    </cfRule>
  </conditionalFormatting>
  <conditionalFormatting sqref="AG16:AG17">
    <cfRule type="expression" priority="34" dxfId="2">
      <formula>AND(DAY(TODAY())=29, MONTH(TODAY())=10, YEAR(TODAY())=2027)</formula>
    </cfRule>
  </conditionalFormatting>
  <conditionalFormatting sqref="AH16:AH17">
    <cfRule type="expression" priority="35" dxfId="2">
      <formula>AND(DAY(TODAY())=30, MONTH(TODAY())=10, YEAR(TODAY())=2027)</formula>
    </cfRule>
  </conditionalFormatting>
  <conditionalFormatting sqref="AI16:AI17">
    <cfRule type="expression" priority="36" dxfId="2">
      <formula>AND(DAY(TODAY())=31, MONTH(TODAY())=10,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D2" s="3" t="inlineStr">
        <is>
          <t>@surajvansh</t>
        </is>
      </c>
    </row>
    <row r="3" ht="18" customHeight="1">
      <c r="A3" s="4" t="inlineStr">
        <is>
          <t>November 2027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2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2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2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2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5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5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5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5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Nov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MONTH(TODAY())=11, YEAR(TODAY())=2027)</formula>
    </cfRule>
  </conditionalFormatting>
  <conditionalFormatting sqref="F16:F17">
    <cfRule type="expression" priority="7" dxfId="2">
      <formula>AND(DAY(TODAY())=2, MONTH(TODAY())=11, YEAR(TODAY())=2027)</formula>
    </cfRule>
  </conditionalFormatting>
  <conditionalFormatting sqref="G16:G17">
    <cfRule type="expression" priority="8" dxfId="2">
      <formula>AND(DAY(TODAY())=3, MONTH(TODAY())=11, YEAR(TODAY())=2027)</formula>
    </cfRule>
  </conditionalFormatting>
  <conditionalFormatting sqref="H16:H17">
    <cfRule type="expression" priority="9" dxfId="2">
      <formula>AND(DAY(TODAY())=4, MONTH(TODAY())=11, YEAR(TODAY())=2027)</formula>
    </cfRule>
  </conditionalFormatting>
  <conditionalFormatting sqref="I16:I17">
    <cfRule type="expression" priority="10" dxfId="2">
      <formula>AND(DAY(TODAY())=5, MONTH(TODAY())=11, YEAR(TODAY())=2027)</formula>
    </cfRule>
  </conditionalFormatting>
  <conditionalFormatting sqref="J16:J17">
    <cfRule type="expression" priority="11" dxfId="2">
      <formula>AND(DAY(TODAY())=6, MONTH(TODAY())=11, YEAR(TODAY())=2027)</formula>
    </cfRule>
  </conditionalFormatting>
  <conditionalFormatting sqref="K16:K17">
    <cfRule type="expression" priority="12" dxfId="2">
      <formula>AND(DAY(TODAY())=7, MONTH(TODAY())=11, YEAR(TODAY())=2027)</formula>
    </cfRule>
  </conditionalFormatting>
  <conditionalFormatting sqref="L16:L17">
    <cfRule type="expression" priority="13" dxfId="2">
      <formula>AND(DAY(TODAY())=8, MONTH(TODAY())=11, YEAR(TODAY())=2027)</formula>
    </cfRule>
  </conditionalFormatting>
  <conditionalFormatting sqref="M16:M17">
    <cfRule type="expression" priority="14" dxfId="2">
      <formula>AND(DAY(TODAY())=9, MONTH(TODAY())=11, YEAR(TODAY())=2027)</formula>
    </cfRule>
  </conditionalFormatting>
  <conditionalFormatting sqref="N16:N17">
    <cfRule type="expression" priority="15" dxfId="2">
      <formula>AND(DAY(TODAY())=10, MONTH(TODAY())=11, YEAR(TODAY())=2027)</formula>
    </cfRule>
  </conditionalFormatting>
  <conditionalFormatting sqref="O16:O17">
    <cfRule type="expression" priority="16" dxfId="2">
      <formula>AND(DAY(TODAY())=11, MONTH(TODAY())=11, YEAR(TODAY())=2027)</formula>
    </cfRule>
  </conditionalFormatting>
  <conditionalFormatting sqref="P16:P17">
    <cfRule type="expression" priority="17" dxfId="2">
      <formula>AND(DAY(TODAY())=12, MONTH(TODAY())=11, YEAR(TODAY())=2027)</formula>
    </cfRule>
  </conditionalFormatting>
  <conditionalFormatting sqref="Q16:Q17">
    <cfRule type="expression" priority="18" dxfId="2">
      <formula>AND(DAY(TODAY())=13, MONTH(TODAY())=11, YEAR(TODAY())=2027)</formula>
    </cfRule>
  </conditionalFormatting>
  <conditionalFormatting sqref="R16:R17">
    <cfRule type="expression" priority="19" dxfId="2">
      <formula>AND(DAY(TODAY())=14, MONTH(TODAY())=11, YEAR(TODAY())=2027)</formula>
    </cfRule>
  </conditionalFormatting>
  <conditionalFormatting sqref="S16:S17">
    <cfRule type="expression" priority="20" dxfId="2">
      <formula>AND(DAY(TODAY())=15, MONTH(TODAY())=11, YEAR(TODAY())=2027)</formula>
    </cfRule>
  </conditionalFormatting>
  <conditionalFormatting sqref="T16:T17">
    <cfRule type="expression" priority="21" dxfId="2">
      <formula>AND(DAY(TODAY())=16, MONTH(TODAY())=11, YEAR(TODAY())=2027)</formula>
    </cfRule>
  </conditionalFormatting>
  <conditionalFormatting sqref="U16:U17">
    <cfRule type="expression" priority="22" dxfId="2">
      <formula>AND(DAY(TODAY())=17, MONTH(TODAY())=11, YEAR(TODAY())=2027)</formula>
    </cfRule>
  </conditionalFormatting>
  <conditionalFormatting sqref="V16:V17">
    <cfRule type="expression" priority="23" dxfId="2">
      <formula>AND(DAY(TODAY())=18, MONTH(TODAY())=11, YEAR(TODAY())=2027)</formula>
    </cfRule>
  </conditionalFormatting>
  <conditionalFormatting sqref="W16:W17">
    <cfRule type="expression" priority="24" dxfId="2">
      <formula>AND(DAY(TODAY())=19, MONTH(TODAY())=11, YEAR(TODAY())=2027)</formula>
    </cfRule>
  </conditionalFormatting>
  <conditionalFormatting sqref="X16:X17">
    <cfRule type="expression" priority="25" dxfId="2">
      <formula>AND(DAY(TODAY())=20, MONTH(TODAY())=11, YEAR(TODAY())=2027)</formula>
    </cfRule>
  </conditionalFormatting>
  <conditionalFormatting sqref="Y16:Y17">
    <cfRule type="expression" priority="26" dxfId="2">
      <formula>AND(DAY(TODAY())=21, MONTH(TODAY())=11, YEAR(TODAY())=2027)</formula>
    </cfRule>
  </conditionalFormatting>
  <conditionalFormatting sqref="Z16:Z17">
    <cfRule type="expression" priority="27" dxfId="2">
      <formula>AND(DAY(TODAY())=22, MONTH(TODAY())=11, YEAR(TODAY())=2027)</formula>
    </cfRule>
  </conditionalFormatting>
  <conditionalFormatting sqref="AA16:AA17">
    <cfRule type="expression" priority="28" dxfId="2">
      <formula>AND(DAY(TODAY())=23, MONTH(TODAY())=11, YEAR(TODAY())=2027)</formula>
    </cfRule>
  </conditionalFormatting>
  <conditionalFormatting sqref="AB16:AB17">
    <cfRule type="expression" priority="29" dxfId="2">
      <formula>AND(DAY(TODAY())=24, MONTH(TODAY())=11, YEAR(TODAY())=2027)</formula>
    </cfRule>
  </conditionalFormatting>
  <conditionalFormatting sqref="AC16:AC17">
    <cfRule type="expression" priority="30" dxfId="2">
      <formula>AND(DAY(TODAY())=25, MONTH(TODAY())=11, YEAR(TODAY())=2027)</formula>
    </cfRule>
  </conditionalFormatting>
  <conditionalFormatting sqref="AD16:AD17">
    <cfRule type="expression" priority="31" dxfId="2">
      <formula>AND(DAY(TODAY())=26, MONTH(TODAY())=11, YEAR(TODAY())=2027)</formula>
    </cfRule>
  </conditionalFormatting>
  <conditionalFormatting sqref="AE16:AE17">
    <cfRule type="expression" priority="32" dxfId="2">
      <formula>AND(DAY(TODAY())=27, MONTH(TODAY())=11, YEAR(TODAY())=2027)</formula>
    </cfRule>
  </conditionalFormatting>
  <conditionalFormatting sqref="AF16:AF17">
    <cfRule type="expression" priority="33" dxfId="2">
      <formula>AND(DAY(TODAY())=28, MONTH(TODAY())=11, YEAR(TODAY())=2027)</formula>
    </cfRule>
  </conditionalFormatting>
  <conditionalFormatting sqref="AG16:AG17">
    <cfRule type="expression" priority="34" dxfId="2">
      <formula>AND(DAY(TODAY())=29, MONTH(TODAY())=11, YEAR(TODAY())=2027)</formula>
    </cfRule>
  </conditionalFormatting>
  <conditionalFormatting sqref="AH16:AH17">
    <cfRule type="expression" priority="35" dxfId="2">
      <formula>AND(DAY(TODAY())=30, MONTH(TODAY())=11,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E2" s="3" t="inlineStr">
        <is>
          <t>@surajvansh</t>
        </is>
      </c>
    </row>
    <row r="3" ht="18" customHeight="1">
      <c r="A3" s="4" t="inlineStr">
        <is>
          <t>December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2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2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2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2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5" t="inlineStr">
        <is>
          <t>F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5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5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5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5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  <c r="AI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Dec</t>
        </is>
      </c>
      <c r="B92" s="89" t="n"/>
      <c r="C92" s="96" t="n">
        <v>2027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MONTH(TODAY())=12, YEAR(TODAY())=2027)</formula>
    </cfRule>
  </conditionalFormatting>
  <conditionalFormatting sqref="F16:F17">
    <cfRule type="expression" priority="7" dxfId="2">
      <formula>AND(DAY(TODAY())=2, MONTH(TODAY())=12, YEAR(TODAY())=2027)</formula>
    </cfRule>
  </conditionalFormatting>
  <conditionalFormatting sqref="G16:G17">
    <cfRule type="expression" priority="8" dxfId="2">
      <formula>AND(DAY(TODAY())=3, MONTH(TODAY())=12, YEAR(TODAY())=2027)</formula>
    </cfRule>
  </conditionalFormatting>
  <conditionalFormatting sqref="H16:H17">
    <cfRule type="expression" priority="9" dxfId="2">
      <formula>AND(DAY(TODAY())=4, MONTH(TODAY())=12, YEAR(TODAY())=2027)</formula>
    </cfRule>
  </conditionalFormatting>
  <conditionalFormatting sqref="I16:I17">
    <cfRule type="expression" priority="10" dxfId="2">
      <formula>AND(DAY(TODAY())=5, MONTH(TODAY())=12, YEAR(TODAY())=2027)</formula>
    </cfRule>
  </conditionalFormatting>
  <conditionalFormatting sqref="J16:J17">
    <cfRule type="expression" priority="11" dxfId="2">
      <formula>AND(DAY(TODAY())=6, MONTH(TODAY())=12, YEAR(TODAY())=2027)</formula>
    </cfRule>
  </conditionalFormatting>
  <conditionalFormatting sqref="K16:K17">
    <cfRule type="expression" priority="12" dxfId="2">
      <formula>AND(DAY(TODAY())=7, MONTH(TODAY())=12, YEAR(TODAY())=2027)</formula>
    </cfRule>
  </conditionalFormatting>
  <conditionalFormatting sqref="L16:L17">
    <cfRule type="expression" priority="13" dxfId="2">
      <formula>AND(DAY(TODAY())=8, MONTH(TODAY())=12, YEAR(TODAY())=2027)</formula>
    </cfRule>
  </conditionalFormatting>
  <conditionalFormatting sqref="M16:M17">
    <cfRule type="expression" priority="14" dxfId="2">
      <formula>AND(DAY(TODAY())=9, MONTH(TODAY())=12, YEAR(TODAY())=2027)</formula>
    </cfRule>
  </conditionalFormatting>
  <conditionalFormatting sqref="N16:N17">
    <cfRule type="expression" priority="15" dxfId="2">
      <formula>AND(DAY(TODAY())=10, MONTH(TODAY())=12, YEAR(TODAY())=2027)</formula>
    </cfRule>
  </conditionalFormatting>
  <conditionalFormatting sqref="O16:O17">
    <cfRule type="expression" priority="16" dxfId="2">
      <formula>AND(DAY(TODAY())=11, MONTH(TODAY())=12, YEAR(TODAY())=2027)</formula>
    </cfRule>
  </conditionalFormatting>
  <conditionalFormatting sqref="P16:P17">
    <cfRule type="expression" priority="17" dxfId="2">
      <formula>AND(DAY(TODAY())=12, MONTH(TODAY())=12, YEAR(TODAY())=2027)</formula>
    </cfRule>
  </conditionalFormatting>
  <conditionalFormatting sqref="Q16:Q17">
    <cfRule type="expression" priority="18" dxfId="2">
      <formula>AND(DAY(TODAY())=13, MONTH(TODAY())=12, YEAR(TODAY())=2027)</formula>
    </cfRule>
  </conditionalFormatting>
  <conditionalFormatting sqref="R16:R17">
    <cfRule type="expression" priority="19" dxfId="2">
      <formula>AND(DAY(TODAY())=14, MONTH(TODAY())=12, YEAR(TODAY())=2027)</formula>
    </cfRule>
  </conditionalFormatting>
  <conditionalFormatting sqref="S16:S17">
    <cfRule type="expression" priority="20" dxfId="2">
      <formula>AND(DAY(TODAY())=15, MONTH(TODAY())=12, YEAR(TODAY())=2027)</formula>
    </cfRule>
  </conditionalFormatting>
  <conditionalFormatting sqref="T16:T17">
    <cfRule type="expression" priority="21" dxfId="2">
      <formula>AND(DAY(TODAY())=16, MONTH(TODAY())=12, YEAR(TODAY())=2027)</formula>
    </cfRule>
  </conditionalFormatting>
  <conditionalFormatting sqref="U16:U17">
    <cfRule type="expression" priority="22" dxfId="2">
      <formula>AND(DAY(TODAY())=17, MONTH(TODAY())=12, YEAR(TODAY())=2027)</formula>
    </cfRule>
  </conditionalFormatting>
  <conditionalFormatting sqref="V16:V17">
    <cfRule type="expression" priority="23" dxfId="2">
      <formula>AND(DAY(TODAY())=18, MONTH(TODAY())=12, YEAR(TODAY())=2027)</formula>
    </cfRule>
  </conditionalFormatting>
  <conditionalFormatting sqref="W16:W17">
    <cfRule type="expression" priority="24" dxfId="2">
      <formula>AND(DAY(TODAY())=19, MONTH(TODAY())=12, YEAR(TODAY())=2027)</formula>
    </cfRule>
  </conditionalFormatting>
  <conditionalFormatting sqref="X16:X17">
    <cfRule type="expression" priority="25" dxfId="2">
      <formula>AND(DAY(TODAY())=20, MONTH(TODAY())=12, YEAR(TODAY())=2027)</formula>
    </cfRule>
  </conditionalFormatting>
  <conditionalFormatting sqref="Y16:Y17">
    <cfRule type="expression" priority="26" dxfId="2">
      <formula>AND(DAY(TODAY())=21, MONTH(TODAY())=12, YEAR(TODAY())=2027)</formula>
    </cfRule>
  </conditionalFormatting>
  <conditionalFormatting sqref="Z16:Z17">
    <cfRule type="expression" priority="27" dxfId="2">
      <formula>AND(DAY(TODAY())=22, MONTH(TODAY())=12, YEAR(TODAY())=2027)</formula>
    </cfRule>
  </conditionalFormatting>
  <conditionalFormatting sqref="AA16:AA17">
    <cfRule type="expression" priority="28" dxfId="2">
      <formula>AND(DAY(TODAY())=23, MONTH(TODAY())=12, YEAR(TODAY())=2027)</formula>
    </cfRule>
  </conditionalFormatting>
  <conditionalFormatting sqref="AB16:AB17">
    <cfRule type="expression" priority="29" dxfId="2">
      <formula>AND(DAY(TODAY())=24, MONTH(TODAY())=12, YEAR(TODAY())=2027)</formula>
    </cfRule>
  </conditionalFormatting>
  <conditionalFormatting sqref="AC16:AC17">
    <cfRule type="expression" priority="30" dxfId="2">
      <formula>AND(DAY(TODAY())=25, MONTH(TODAY())=12, YEAR(TODAY())=2027)</formula>
    </cfRule>
  </conditionalFormatting>
  <conditionalFormatting sqref="AD16:AD17">
    <cfRule type="expression" priority="31" dxfId="2">
      <formula>AND(DAY(TODAY())=26, MONTH(TODAY())=12, YEAR(TODAY())=2027)</formula>
    </cfRule>
  </conditionalFormatting>
  <conditionalFormatting sqref="AE16:AE17">
    <cfRule type="expression" priority="32" dxfId="2">
      <formula>AND(DAY(TODAY())=27, MONTH(TODAY())=12, YEAR(TODAY())=2027)</formula>
    </cfRule>
  </conditionalFormatting>
  <conditionalFormatting sqref="AF16:AF17">
    <cfRule type="expression" priority="33" dxfId="2">
      <formula>AND(DAY(TODAY())=28, MONTH(TODAY())=12, YEAR(TODAY())=2027)</formula>
    </cfRule>
  </conditionalFormatting>
  <conditionalFormatting sqref="AG16:AG17">
    <cfRule type="expression" priority="34" dxfId="2">
      <formula>AND(DAY(TODAY())=29, MONTH(TODAY())=12, YEAR(TODAY())=2027)</formula>
    </cfRule>
  </conditionalFormatting>
  <conditionalFormatting sqref="AH16:AH17">
    <cfRule type="expression" priority="35" dxfId="2">
      <formula>AND(DAY(TODAY())=30, MONTH(TODAY())=12, YEAR(TODAY())=2027)</formula>
    </cfRule>
  </conditionalFormatting>
  <conditionalFormatting sqref="AI16:AI17">
    <cfRule type="expression" priority="36" dxfId="2">
      <formula>AND(DAY(TODAY())=31, MONTH(TODAY())=12,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"Small daily improvements lead to stunning results."</t>
        </is>
      </c>
      <c r="AE2" s="3" t="inlineStr">
        <is>
          <t>@surajvansh</t>
        </is>
      </c>
    </row>
    <row r="3" ht="18" customHeight="1">
      <c r="A3" s="4" t="inlineStr">
        <is>
          <t>January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2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2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2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2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2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5" t="inlineStr">
        <is>
          <t>M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5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5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5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5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5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  <c r="AI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Jan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MONTH(TODAY())=1, YEAR(TODAY())=2028)</formula>
    </cfRule>
  </conditionalFormatting>
  <conditionalFormatting sqref="F16:F17">
    <cfRule type="expression" priority="7" dxfId="2">
      <formula>AND(DAY(TODAY())=2, MONTH(TODAY())=1, YEAR(TODAY())=2028)</formula>
    </cfRule>
  </conditionalFormatting>
  <conditionalFormatting sqref="G16:G17">
    <cfRule type="expression" priority="8" dxfId="2">
      <formula>AND(DAY(TODAY())=3, MONTH(TODAY())=1, YEAR(TODAY())=2028)</formula>
    </cfRule>
  </conditionalFormatting>
  <conditionalFormatting sqref="H16:H17">
    <cfRule type="expression" priority="9" dxfId="2">
      <formula>AND(DAY(TODAY())=4, MONTH(TODAY())=1, YEAR(TODAY())=2028)</formula>
    </cfRule>
  </conditionalFormatting>
  <conditionalFormatting sqref="I16:I17">
    <cfRule type="expression" priority="10" dxfId="2">
      <formula>AND(DAY(TODAY())=5, MONTH(TODAY())=1, YEAR(TODAY())=2028)</formula>
    </cfRule>
  </conditionalFormatting>
  <conditionalFormatting sqref="J16:J17">
    <cfRule type="expression" priority="11" dxfId="2">
      <formula>AND(DAY(TODAY())=6, MONTH(TODAY())=1, YEAR(TODAY())=2028)</formula>
    </cfRule>
  </conditionalFormatting>
  <conditionalFormatting sqref="K16:K17">
    <cfRule type="expression" priority="12" dxfId="2">
      <formula>AND(DAY(TODAY())=7, MONTH(TODAY())=1, YEAR(TODAY())=2028)</formula>
    </cfRule>
  </conditionalFormatting>
  <conditionalFormatting sqref="L16:L17">
    <cfRule type="expression" priority="13" dxfId="2">
      <formula>AND(DAY(TODAY())=8, MONTH(TODAY())=1, YEAR(TODAY())=2028)</formula>
    </cfRule>
  </conditionalFormatting>
  <conditionalFormatting sqref="M16:M17">
    <cfRule type="expression" priority="14" dxfId="2">
      <formula>AND(DAY(TODAY())=9, MONTH(TODAY())=1, YEAR(TODAY())=2028)</formula>
    </cfRule>
  </conditionalFormatting>
  <conditionalFormatting sqref="N16:N17">
    <cfRule type="expression" priority="15" dxfId="2">
      <formula>AND(DAY(TODAY())=10, MONTH(TODAY())=1, YEAR(TODAY())=2028)</formula>
    </cfRule>
  </conditionalFormatting>
  <conditionalFormatting sqref="O16:O17">
    <cfRule type="expression" priority="16" dxfId="2">
      <formula>AND(DAY(TODAY())=11, MONTH(TODAY())=1, YEAR(TODAY())=2028)</formula>
    </cfRule>
  </conditionalFormatting>
  <conditionalFormatting sqref="P16:P17">
    <cfRule type="expression" priority="17" dxfId="2">
      <formula>AND(DAY(TODAY())=12, MONTH(TODAY())=1, YEAR(TODAY())=2028)</formula>
    </cfRule>
  </conditionalFormatting>
  <conditionalFormatting sqref="Q16:Q17">
    <cfRule type="expression" priority="18" dxfId="2">
      <formula>AND(DAY(TODAY())=13, MONTH(TODAY())=1, YEAR(TODAY())=2028)</formula>
    </cfRule>
  </conditionalFormatting>
  <conditionalFormatting sqref="R16:R17">
    <cfRule type="expression" priority="19" dxfId="2">
      <formula>AND(DAY(TODAY())=14, MONTH(TODAY())=1, YEAR(TODAY())=2028)</formula>
    </cfRule>
  </conditionalFormatting>
  <conditionalFormatting sqref="S16:S17">
    <cfRule type="expression" priority="20" dxfId="2">
      <formula>AND(DAY(TODAY())=15, MONTH(TODAY())=1, YEAR(TODAY())=2028)</formula>
    </cfRule>
  </conditionalFormatting>
  <conditionalFormatting sqref="T16:T17">
    <cfRule type="expression" priority="21" dxfId="2">
      <formula>AND(DAY(TODAY())=16, MONTH(TODAY())=1, YEAR(TODAY())=2028)</formula>
    </cfRule>
  </conditionalFormatting>
  <conditionalFormatting sqref="U16:U17">
    <cfRule type="expression" priority="22" dxfId="2">
      <formula>AND(DAY(TODAY())=17, MONTH(TODAY())=1, YEAR(TODAY())=2028)</formula>
    </cfRule>
  </conditionalFormatting>
  <conditionalFormatting sqref="V16:V17">
    <cfRule type="expression" priority="23" dxfId="2">
      <formula>AND(DAY(TODAY())=18, MONTH(TODAY())=1, YEAR(TODAY())=2028)</formula>
    </cfRule>
  </conditionalFormatting>
  <conditionalFormatting sqref="W16:W17">
    <cfRule type="expression" priority="24" dxfId="2">
      <formula>AND(DAY(TODAY())=19, MONTH(TODAY())=1, YEAR(TODAY())=2028)</formula>
    </cfRule>
  </conditionalFormatting>
  <conditionalFormatting sqref="X16:X17">
    <cfRule type="expression" priority="25" dxfId="2">
      <formula>AND(DAY(TODAY())=20, MONTH(TODAY())=1, YEAR(TODAY())=2028)</formula>
    </cfRule>
  </conditionalFormatting>
  <conditionalFormatting sqref="Y16:Y17">
    <cfRule type="expression" priority="26" dxfId="2">
      <formula>AND(DAY(TODAY())=21, MONTH(TODAY())=1, YEAR(TODAY())=2028)</formula>
    </cfRule>
  </conditionalFormatting>
  <conditionalFormatting sqref="Z16:Z17">
    <cfRule type="expression" priority="27" dxfId="2">
      <formula>AND(DAY(TODAY())=22, MONTH(TODAY())=1, YEAR(TODAY())=2028)</formula>
    </cfRule>
  </conditionalFormatting>
  <conditionalFormatting sqref="AA16:AA17">
    <cfRule type="expression" priority="28" dxfId="2">
      <formula>AND(DAY(TODAY())=23, MONTH(TODAY())=1, YEAR(TODAY())=2028)</formula>
    </cfRule>
  </conditionalFormatting>
  <conditionalFormatting sqref="AB16:AB17">
    <cfRule type="expression" priority="29" dxfId="2">
      <formula>AND(DAY(TODAY())=24, MONTH(TODAY())=1, YEAR(TODAY())=2028)</formula>
    </cfRule>
  </conditionalFormatting>
  <conditionalFormatting sqref="AC16:AC17">
    <cfRule type="expression" priority="30" dxfId="2">
      <formula>AND(DAY(TODAY())=25, MONTH(TODAY())=1, YEAR(TODAY())=2028)</formula>
    </cfRule>
  </conditionalFormatting>
  <conditionalFormatting sqref="AD16:AD17">
    <cfRule type="expression" priority="31" dxfId="2">
      <formula>AND(DAY(TODAY())=26, MONTH(TODAY())=1, YEAR(TODAY())=2028)</formula>
    </cfRule>
  </conditionalFormatting>
  <conditionalFormatting sqref="AE16:AE17">
    <cfRule type="expression" priority="32" dxfId="2">
      <formula>AND(DAY(TODAY())=27, MONTH(TODAY())=1, YEAR(TODAY())=2028)</formula>
    </cfRule>
  </conditionalFormatting>
  <conditionalFormatting sqref="AF16:AF17">
    <cfRule type="expression" priority="33" dxfId="2">
      <formula>AND(DAY(TODAY())=28, MONTH(TODAY())=1, YEAR(TODAY())=2028)</formula>
    </cfRule>
  </conditionalFormatting>
  <conditionalFormatting sqref="AG16:AG17">
    <cfRule type="expression" priority="34" dxfId="2">
      <formula>AND(DAY(TODAY())=29, MONTH(TODAY())=1, YEAR(TODAY())=2028)</formula>
    </cfRule>
  </conditionalFormatting>
  <conditionalFormatting sqref="AH16:AH17">
    <cfRule type="expression" priority="35" dxfId="2">
      <formula>AND(DAY(TODAY())=30, MONTH(TODAY())=1, YEAR(TODAY())=2028)</formula>
    </cfRule>
  </conditionalFormatting>
  <conditionalFormatting sqref="AI16:AI17">
    <cfRule type="expression" priority="36" dxfId="2">
      <formula>AND(DAY(TODAY())=31, MONTH(TODAY())=1,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2:AJ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  <col hidden="1" width="8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"We are what we repeatedly do."</t>
        </is>
      </c>
      <c r="AC2" s="3" t="inlineStr">
        <is>
          <t>@surajvansh</t>
        </is>
      </c>
    </row>
    <row r="3" ht="18" customHeight="1">
      <c r="A3" s="4" t="inlineStr">
        <is>
          <t>February 2028</t>
        </is>
      </c>
      <c r="H3" s="5" t="inlineStr">
        <is>
          <t>29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2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2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2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2" t="n">
        <v>27</v>
      </c>
      <c r="AF16" s="11" t="n">
        <v>28</v>
      </c>
      <c r="AG16" s="11" t="n">
        <v>29</v>
      </c>
      <c r="AH16" s="13" t="inlineStr">
        <is>
          <t>Success %</t>
        </is>
      </c>
      <c r="AI16" s="13" t="inlineStr">
        <is>
          <t>Done / Target</t>
        </is>
      </c>
      <c r="AJ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21">
        <f>IF(ISBLANK(B18), "", IF(ISNUMBER(D18), IF(D18&gt;0, (COUNTIF(E18:AG18, "✓") + COUNTIF(E18:AG18, "✔") + COUNTIF(E18:AG18, "v") + COUNTIF(E18:AG18, "V"))/D18, 0), IF(((COUNTIF(E18:AG18, "✓") + COUNTIF(E18:AG18, "✔") + COUNTIF(E18:AG18, "v") + COUNTIF(E18:AG18, "V")) + COUNTIF(E18:AG18, "✗") + COUNTIF(E18:AG18, "x") + COUNTIF(E18:AG18, "X"))&gt;0, (COUNTIF(E18:AG18, "✓") + COUNTIF(E18:AG18, "✔") + COUNTIF(E18:AG18, "v") + COUNTIF(E18:AG18, "V"))/((COUNTIF(E18:AG18, "✓") + COUNTIF(E18:AG18, "✔") + COUNTIF(E18:AG18, "v") + COUNTIF(E18:AG18, "V")) + COUNTIF(E18:AG18, "✗") + COUNTIF(E18:AG18, "x") + COUNTIF(E18:AG18, "X")), "")))</f>
        <v/>
      </c>
      <c r="AI18" s="22">
        <f>IF(ISBLANK(B18), "", IF(ISNUMBER(D18), IF(D18&gt;0, (COUNTIF(E18:AG18, "✓") + COUNTIF(E18:AG18, "✔") + COUNTIF(E18:AG18, "v") + COUNTIF(E18:AG18, "V")) &amp; "/" &amp; D18, (COUNTIF(E18:AG18, "✓") + COUNTIF(E18:AG18, "✔") + COUNTIF(E18:AG18, "v") + COUNTIF(E18:AG18, "V")) &amp; "/0"), IF(((COUNTIF(E18:AG18, "✓") + COUNTIF(E18:AG18, "✔") + COUNTIF(E18:AG18, "v") + COUNTIF(E18:AG18, "V")) + COUNTIF(E18:AG18, "✗") + COUNTIF(E18:AG18, "x") + COUNTIF(E18:AG18, "X"))&gt;0, (COUNTIF(E18:AG18, "✓") + COUNTIF(E18:AG18, "✔") + COUNTIF(E18:AG18, "v") + COUNTIF(E18:AG18, "V")) &amp; "/" &amp; ((COUNTIF(E18:AG18, "✓") + COUNTIF(E18:AG18, "✔") + COUNTIF(E18:AG18, "v") + COUNTIF(E18:AG18, "V")) + COUNTIF(E18:AG18, "✗") + COUNTIF(E18:AG18, "x") + COUNTIF(E18:AG18, "X")), "")))</f>
        <v/>
      </c>
      <c r="AJ18">
        <f>COUNTIF(E18:AG18,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21">
        <f>IF(ISBLANK(B19), "", IF(ISNUMBER(D19), IF(D19&gt;0, (COUNTIF(E19:AG19, "✓") + COUNTIF(E19:AG19, "✔") + COUNTIF(E19:AG19, "v") + COUNTIF(E19:AG19, "V"))/D19, 0), IF(((COUNTIF(E19:AG19, "✓") + COUNTIF(E19:AG19, "✔") + COUNTIF(E19:AG19, "v") + COUNTIF(E19:AG19, "V")) + COUNTIF(E19:AG19, "✗") + COUNTIF(E19:AG19, "x") + COUNTIF(E19:AG19, "X"))&gt;0, (COUNTIF(E19:AG19, "✓") + COUNTIF(E19:AG19, "✔") + COUNTIF(E19:AG19, "v") + COUNTIF(E19:AG19, "V"))/((COUNTIF(E19:AG19, "✓") + COUNTIF(E19:AG19, "✔") + COUNTIF(E19:AG19, "v") + COUNTIF(E19:AG19, "V")) + COUNTIF(E19:AG19, "✗") + COUNTIF(E19:AG19, "x") + COUNTIF(E19:AG19, "X")), "")))</f>
        <v/>
      </c>
      <c r="AI19" s="22">
        <f>IF(ISBLANK(B19), "", IF(ISNUMBER(D19), IF(D19&gt;0, (COUNTIF(E19:AG19, "✓") + COUNTIF(E19:AG19, "✔") + COUNTIF(E19:AG19, "v") + COUNTIF(E19:AG19, "V")) &amp; "/" &amp; D19, (COUNTIF(E19:AG19, "✓") + COUNTIF(E19:AG19, "✔") + COUNTIF(E19:AG19, "v") + COUNTIF(E19:AG19, "V")) &amp; "/0"), IF(((COUNTIF(E19:AG19, "✓") + COUNTIF(E19:AG19, "✔") + COUNTIF(E19:AG19, "v") + COUNTIF(E19:AG19, "V")) + COUNTIF(E19:AG19, "✗") + COUNTIF(E19:AG19, "x") + COUNTIF(E19:AG19, "X"))&gt;0, (COUNTIF(E19:AG19, "✓") + COUNTIF(E19:AG19, "✔") + COUNTIF(E19:AG19, "v") + COUNTIF(E19:AG19, "V")) &amp; "/" &amp; ((COUNTIF(E19:AG19, "✓") + COUNTIF(E19:AG19, "✔") + COUNTIF(E19:AG19, "v") + COUNTIF(E19:AG19, "V")) + COUNTIF(E19:AG19, "✗") + COUNTIF(E19:AG19, "x") + COUNTIF(E19:AG19, "X")), "")))</f>
        <v/>
      </c>
      <c r="AJ19">
        <f>COUNTIF(E19:AG19,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21">
        <f>IF(ISBLANK(B20), "", IF(ISNUMBER(D20), IF(D20&gt;0, (COUNTIF(E20:AG20, "✓") + COUNTIF(E20:AG20, "✔") + COUNTIF(E20:AG20, "v") + COUNTIF(E20:AG20, "V"))/D20, 0), IF(((COUNTIF(E20:AG20, "✓") + COUNTIF(E20:AG20, "✔") + COUNTIF(E20:AG20, "v") + COUNTIF(E20:AG20, "V")) + COUNTIF(E20:AG20, "✗") + COUNTIF(E20:AG20, "x") + COUNTIF(E20:AG20, "X"))&gt;0, (COUNTIF(E20:AG20, "✓") + COUNTIF(E20:AG20, "✔") + COUNTIF(E20:AG20, "v") + COUNTIF(E20:AG20, "V"))/((COUNTIF(E20:AG20, "✓") + COUNTIF(E20:AG20, "✔") + COUNTIF(E20:AG20, "v") + COUNTIF(E20:AG20, "V")) + COUNTIF(E20:AG20, "✗") + COUNTIF(E20:AG20, "x") + COUNTIF(E20:AG20, "X")), "")))</f>
        <v/>
      </c>
      <c r="AI20" s="22">
        <f>IF(ISBLANK(B20), "", IF(ISNUMBER(D20), IF(D20&gt;0, (COUNTIF(E20:AG20, "✓") + COUNTIF(E20:AG20, "✔") + COUNTIF(E20:AG20, "v") + COUNTIF(E20:AG20, "V")) &amp; "/" &amp; D20, (COUNTIF(E20:AG20, "✓") + COUNTIF(E20:AG20, "✔") + COUNTIF(E20:AG20, "v") + COUNTIF(E20:AG20, "V")) &amp; "/0"), IF(((COUNTIF(E20:AG20, "✓") + COUNTIF(E20:AG20, "✔") + COUNTIF(E20:AG20, "v") + COUNTIF(E20:AG20, "V")) + COUNTIF(E20:AG20, "✗") + COUNTIF(E20:AG20, "x") + COUNTIF(E20:AG20, "X"))&gt;0, (COUNTIF(E20:AG20, "✓") + COUNTIF(E20:AG20, "✔") + COUNTIF(E20:AG20, "v") + COUNTIF(E20:AG20, "V")) &amp; "/" &amp; ((COUNTIF(E20:AG20, "✓") + COUNTIF(E20:AG20, "✔") + COUNTIF(E20:AG20, "v") + COUNTIF(E20:AG20, "V")) + COUNTIF(E20:AG20, "✗") + COUNTIF(E20:AG20, "x") + COUNTIF(E20:AG20, "X")), "")))</f>
        <v/>
      </c>
      <c r="AJ20">
        <f>COUNTIF(E20:AG20,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21">
        <f>IF(ISBLANK(B21), "", IF(ISNUMBER(D21), IF(D21&gt;0, (COUNTIF(E21:AG21, "✓") + COUNTIF(E21:AG21, "✔") + COUNTIF(E21:AG21, "v") + COUNTIF(E21:AG21, "V"))/D21, 0), IF(((COUNTIF(E21:AG21, "✓") + COUNTIF(E21:AG21, "✔") + COUNTIF(E21:AG21, "v") + COUNTIF(E21:AG21, "V")) + COUNTIF(E21:AG21, "✗") + COUNTIF(E21:AG21, "x") + COUNTIF(E21:AG21, "X"))&gt;0, (COUNTIF(E21:AG21, "✓") + COUNTIF(E21:AG21, "✔") + COUNTIF(E21:AG21, "v") + COUNTIF(E21:AG21, "V"))/((COUNTIF(E21:AG21, "✓") + COUNTIF(E21:AG21, "✔") + COUNTIF(E21:AG21, "v") + COUNTIF(E21:AG21, "V")) + COUNTIF(E21:AG21, "✗") + COUNTIF(E21:AG21, "x") + COUNTIF(E21:AG21, "X")), "")))</f>
        <v/>
      </c>
      <c r="AI21" s="22">
        <f>IF(ISBLANK(B21), "", IF(ISNUMBER(D21), IF(D21&gt;0, (COUNTIF(E21:AG21, "✓") + COUNTIF(E21:AG21, "✔") + COUNTIF(E21:AG21, "v") + COUNTIF(E21:AG21, "V")) &amp; "/" &amp; D21, (COUNTIF(E21:AG21, "✓") + COUNTIF(E21:AG21, "✔") + COUNTIF(E21:AG21, "v") + COUNTIF(E21:AG21, "V")) &amp; "/0"), IF(((COUNTIF(E21:AG21, "✓") + COUNTIF(E21:AG21, "✔") + COUNTIF(E21:AG21, "v") + COUNTIF(E21:AG21, "V")) + COUNTIF(E21:AG21, "✗") + COUNTIF(E21:AG21, "x") + COUNTIF(E21:AG21, "X"))&gt;0, (COUNTIF(E21:AG21, "✓") + COUNTIF(E21:AG21, "✔") + COUNTIF(E21:AG21, "v") + COUNTIF(E21:AG21, "V")) &amp; "/" &amp; ((COUNTIF(E21:AG21, "✓") + COUNTIF(E21:AG21, "✔") + COUNTIF(E21:AG21, "v") + COUNTIF(E21:AG21, "V")) + COUNTIF(E21:AG21, "✗") + COUNTIF(E21:AG21, "x") + COUNTIF(E21:AG21, "X")), "")))</f>
        <v/>
      </c>
      <c r="AJ21">
        <f>COUNTIF(E21:AG21,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7">
        <f>IF(ISBLANK(B22), "", IF(ISNUMBER(D22), IF(D22&gt;0, (COUNTIF(E22:AG22, "✓") + COUNTIF(E22:AG22, "✔") + COUNTIF(E22:AG22, "v") + COUNTIF(E22:AG22, "V"))/D22, 0), IF(((COUNTIF(E22:AG22, "✓") + COUNTIF(E22:AG22, "✔") + COUNTIF(E22:AG22, "v") + COUNTIF(E22:AG22, "V")) + COUNTIF(E22:AG22, "✗") + COUNTIF(E22:AG22, "x") + COUNTIF(E22:AG22, "X"))&gt;0, (COUNTIF(E22:AG22, "✓") + COUNTIF(E22:AG22, "✔") + COUNTIF(E22:AG22, "v") + COUNTIF(E22:AG22, "V"))/((COUNTIF(E22:AG22, "✓") + COUNTIF(E22:AG22, "✔") + COUNTIF(E22:AG22, "v") + COUNTIF(E22:AG22, "V")) + COUNTIF(E22:AG22, "✗") + COUNTIF(E22:AG22, "x") + COUNTIF(E22:AG22, "X")), "")))</f>
        <v/>
      </c>
      <c r="AI22" s="28">
        <f>IF(ISBLANK(B22), "", IF(ISNUMBER(D22), IF(D22&gt;0, (COUNTIF(E22:AG22, "✓") + COUNTIF(E22:AG22, "✔") + COUNTIF(E22:AG22, "v") + COUNTIF(E22:AG22, "V")) &amp; "/" &amp; D22, (COUNTIF(E22:AG22, "✓") + COUNTIF(E22:AG22, "✔") + COUNTIF(E22:AG22, "v") + COUNTIF(E22:AG22, "V")) &amp; "/0"), IF(((COUNTIF(E22:AG22, "✓") + COUNTIF(E22:AG22, "✔") + COUNTIF(E22:AG22, "v") + COUNTIF(E22:AG22, "V")) + COUNTIF(E22:AG22, "✗") + COUNTIF(E22:AG22, "x") + COUNTIF(E22:AG22, "X"))&gt;0, (COUNTIF(E22:AG22, "✓") + COUNTIF(E22:AG22, "✔") + COUNTIF(E22:AG22, "v") + COUNTIF(E22:AG22, "V")) &amp; "/" &amp; ((COUNTIF(E22:AG22, "✓") + COUNTIF(E22:AG22, "✔") + COUNTIF(E22:AG22, "v") + COUNTIF(E22:AG22, "V")) + COUNTIF(E22:AG22, "✗") + COUNTIF(E22:AG22, "x") + COUNTIF(E22:AG22, "X")), "")))</f>
        <v/>
      </c>
      <c r="AJ22">
        <f>COUNTIF(E22:AG22,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7">
        <f>IF(ISBLANK(B23), "", IF(ISNUMBER(D23), IF(D23&gt;0, (COUNTIF(E23:AG23, "✓") + COUNTIF(E23:AG23, "✔") + COUNTIF(E23:AG23, "v") + COUNTIF(E23:AG23, "V"))/D23, 0), IF(((COUNTIF(E23:AG23, "✓") + COUNTIF(E23:AG23, "✔") + COUNTIF(E23:AG23, "v") + COUNTIF(E23:AG23, "V")) + COUNTIF(E23:AG23, "✗") + COUNTIF(E23:AG23, "x") + COUNTIF(E23:AG23, "X"))&gt;0, (COUNTIF(E23:AG23, "✓") + COUNTIF(E23:AG23, "✔") + COUNTIF(E23:AG23, "v") + COUNTIF(E23:AG23, "V"))/((COUNTIF(E23:AG23, "✓") + COUNTIF(E23:AG23, "✔") + COUNTIF(E23:AG23, "v") + COUNTIF(E23:AG23, "V")) + COUNTIF(E23:AG23, "✗") + COUNTIF(E23:AG23, "x") + COUNTIF(E23:AG23, "X")), "")))</f>
        <v/>
      </c>
      <c r="AI23" s="28">
        <f>IF(ISBLANK(B23), "", IF(ISNUMBER(D23), IF(D23&gt;0, (COUNTIF(E23:AG23, "✓") + COUNTIF(E23:AG23, "✔") + COUNTIF(E23:AG23, "v") + COUNTIF(E23:AG23, "V")) &amp; "/" &amp; D23, (COUNTIF(E23:AG23, "✓") + COUNTIF(E23:AG23, "✔") + COUNTIF(E23:AG23, "v") + COUNTIF(E23:AG23, "V")) &amp; "/0"), IF(((COUNTIF(E23:AG23, "✓") + COUNTIF(E23:AG23, "✔") + COUNTIF(E23:AG23, "v") + COUNTIF(E23:AG23, "V")) + COUNTIF(E23:AG23, "✗") + COUNTIF(E23:AG23, "x") + COUNTIF(E23:AG23, "X"))&gt;0, (COUNTIF(E23:AG23, "✓") + COUNTIF(E23:AG23, "✔") + COUNTIF(E23:AG23, "v") + COUNTIF(E23:AG23, "V")) &amp; "/" &amp; ((COUNTIF(E23:AG23, "✓") + COUNTIF(E23:AG23, "✔") + COUNTIF(E23:AG23, "v") + COUNTIF(E23:AG23, "V")) + COUNTIF(E23:AG23, "✗") + COUNTIF(E23:AG23, "x") + COUNTIF(E23:AG23, "X")), "")))</f>
        <v/>
      </c>
      <c r="AJ23">
        <f>COUNTIF(E23:AG23,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7">
        <f>IF(ISBLANK(B24), "", IF(ISNUMBER(D24), IF(D24&gt;0, (COUNTIF(E24:AG24, "✓") + COUNTIF(E24:AG24, "✔") + COUNTIF(E24:AG24, "v") + COUNTIF(E24:AG24, "V"))/D24, 0), IF(((COUNTIF(E24:AG24, "✓") + COUNTIF(E24:AG24, "✔") + COUNTIF(E24:AG24, "v") + COUNTIF(E24:AG24, "V")) + COUNTIF(E24:AG24, "✗") + COUNTIF(E24:AG24, "x") + COUNTIF(E24:AG24, "X"))&gt;0, (COUNTIF(E24:AG24, "✓") + COUNTIF(E24:AG24, "✔") + COUNTIF(E24:AG24, "v") + COUNTIF(E24:AG24, "V"))/((COUNTIF(E24:AG24, "✓") + COUNTIF(E24:AG24, "✔") + COUNTIF(E24:AG24, "v") + COUNTIF(E24:AG24, "V")) + COUNTIF(E24:AG24, "✗") + COUNTIF(E24:AG24, "x") + COUNTIF(E24:AG24, "X")), "")))</f>
        <v/>
      </c>
      <c r="AI24" s="28">
        <f>IF(ISBLANK(B24), "", IF(ISNUMBER(D24), IF(D24&gt;0, (COUNTIF(E24:AG24, "✓") + COUNTIF(E24:AG24, "✔") + COUNTIF(E24:AG24, "v") + COUNTIF(E24:AG24, "V")) &amp; "/" &amp; D24, (COUNTIF(E24:AG24, "✓") + COUNTIF(E24:AG24, "✔") + COUNTIF(E24:AG24, "v") + COUNTIF(E24:AG24, "V")) &amp; "/0"), IF(((COUNTIF(E24:AG24, "✓") + COUNTIF(E24:AG24, "✔") + COUNTIF(E24:AG24, "v") + COUNTIF(E24:AG24, "V")) + COUNTIF(E24:AG24, "✗") + COUNTIF(E24:AG24, "x") + COUNTIF(E24:AG24, "X"))&gt;0, (COUNTIF(E24:AG24, "✓") + COUNTIF(E24:AG24, "✔") + COUNTIF(E24:AG24, "v") + COUNTIF(E24:AG24, "V")) &amp; "/" &amp; ((COUNTIF(E24:AG24, "✓") + COUNTIF(E24:AG24, "✔") + COUNTIF(E24:AG24, "v") + COUNTIF(E24:AG24, "V")) + COUNTIF(E24:AG24, "✗") + COUNTIF(E24:AG24, "x") + COUNTIF(E24:AG24, "X")), "")))</f>
        <v/>
      </c>
      <c r="AJ24">
        <f>COUNTIF(E24:AG24,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7">
        <f>IF(ISBLANK(B25), "", IF(ISNUMBER(D25), IF(D25&gt;0, (COUNTIF(E25:AG25, "✓") + COUNTIF(E25:AG25, "✔") + COUNTIF(E25:AG25, "v") + COUNTIF(E25:AG25, "V"))/D25, 0), IF(((COUNTIF(E25:AG25, "✓") + COUNTIF(E25:AG25, "✔") + COUNTIF(E25:AG25, "v") + COUNTIF(E25:AG25, "V")) + COUNTIF(E25:AG25, "✗") + COUNTIF(E25:AG25, "x") + COUNTIF(E25:AG25, "X"))&gt;0, (COUNTIF(E25:AG25, "✓") + COUNTIF(E25:AG25, "✔") + COUNTIF(E25:AG25, "v") + COUNTIF(E25:AG25, "V"))/((COUNTIF(E25:AG25, "✓") + COUNTIF(E25:AG25, "✔") + COUNTIF(E25:AG25, "v") + COUNTIF(E25:AG25, "V")) + COUNTIF(E25:AG25, "✗") + COUNTIF(E25:AG25, "x") + COUNTIF(E25:AG25, "X")), "")))</f>
        <v/>
      </c>
      <c r="AI25" s="28">
        <f>IF(ISBLANK(B25), "", IF(ISNUMBER(D25), IF(D25&gt;0, (COUNTIF(E25:AG25, "✓") + COUNTIF(E25:AG25, "✔") + COUNTIF(E25:AG25, "v") + COUNTIF(E25:AG25, "V")) &amp; "/" &amp; D25, (COUNTIF(E25:AG25, "✓") + COUNTIF(E25:AG25, "✔") + COUNTIF(E25:AG25, "v") + COUNTIF(E25:AG25, "V")) &amp; "/0"), IF(((COUNTIF(E25:AG25, "✓") + COUNTIF(E25:AG25, "✔") + COUNTIF(E25:AG25, "v") + COUNTIF(E25:AG25, "V")) + COUNTIF(E25:AG25, "✗") + COUNTIF(E25:AG25, "x") + COUNTIF(E25:AG25, "X"))&gt;0, (COUNTIF(E25:AG25, "✓") + COUNTIF(E25:AG25, "✔") + COUNTIF(E25:AG25, "v") + COUNTIF(E25:AG25, "V")) &amp; "/" &amp; ((COUNTIF(E25:AG25, "✓") + COUNTIF(E25:AG25, "✔") + COUNTIF(E25:AG25, "v") + COUNTIF(E25:AG25, "V")) + COUNTIF(E25:AG25, "✗") + COUNTIF(E25:AG25, "x") + COUNTIF(E25:AG25, "X")), "")))</f>
        <v/>
      </c>
      <c r="AJ25">
        <f>COUNTIF(E25:AG25,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3">
        <f>IF(ISBLANK(B26), "", IF(ISNUMBER(D26), IF(D26&gt;0, (COUNTIF(E26:AG26, "✓") + COUNTIF(E26:AG26, "✔") + COUNTIF(E26:AG26, "v") + COUNTIF(E26:AG26, "V"))/D26, 0), IF(((COUNTIF(E26:AG26, "✓") + COUNTIF(E26:AG26, "✔") + COUNTIF(E26:AG26, "v") + COUNTIF(E26:AG26, "V")) + COUNTIF(E26:AG26, "✗") + COUNTIF(E26:AG26, "x") + COUNTIF(E26:AG26, "X"))&gt;0, (COUNTIF(E26:AG26, "✓") + COUNTIF(E26:AG26, "✔") + COUNTIF(E26:AG26, "v") + COUNTIF(E26:AG26, "V"))/((COUNTIF(E26:AG26, "✓") + COUNTIF(E26:AG26, "✔") + COUNTIF(E26:AG26, "v") + COUNTIF(E26:AG26, "V")) + COUNTIF(E26:AG26, "✗") + COUNTIF(E26:AG26, "x") + COUNTIF(E26:AG26, "X")), "")))</f>
        <v/>
      </c>
      <c r="AI26" s="34">
        <f>IF(ISBLANK(B26), "", IF(ISNUMBER(D26), IF(D26&gt;0, (COUNTIF(E26:AG26, "✓") + COUNTIF(E26:AG26, "✔") + COUNTIF(E26:AG26, "v") + COUNTIF(E26:AG26, "V")) &amp; "/" &amp; D26, (COUNTIF(E26:AG26, "✓") + COUNTIF(E26:AG26, "✔") + COUNTIF(E26:AG26, "v") + COUNTIF(E26:AG26, "V")) &amp; "/0"), IF(((COUNTIF(E26:AG26, "✓") + COUNTIF(E26:AG26, "✔") + COUNTIF(E26:AG26, "v") + COUNTIF(E26:AG26, "V")) + COUNTIF(E26:AG26, "✗") + COUNTIF(E26:AG26, "x") + COUNTIF(E26:AG26, "X"))&gt;0, (COUNTIF(E26:AG26, "✓") + COUNTIF(E26:AG26, "✔") + COUNTIF(E26:AG26, "v") + COUNTIF(E26:AG26, "V")) &amp; "/" &amp; ((COUNTIF(E26:AG26, "✓") + COUNTIF(E26:AG26, "✔") + COUNTIF(E26:AG26, "v") + COUNTIF(E26:AG26, "V")) + COUNTIF(E26:AG26, "✗") + COUNTIF(E26:AG26, "x") + COUNTIF(E26:AG26, "X")), "")))</f>
        <v/>
      </c>
      <c r="AJ26">
        <f>COUNTIF(E26:AG26,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3">
        <f>IF(ISBLANK(B27), "", IF(ISNUMBER(D27), IF(D27&gt;0, (COUNTIF(E27:AG27, "✓") + COUNTIF(E27:AG27, "✔") + COUNTIF(E27:AG27, "v") + COUNTIF(E27:AG27, "V"))/D27, 0), IF(((COUNTIF(E27:AG27, "✓") + COUNTIF(E27:AG27, "✔") + COUNTIF(E27:AG27, "v") + COUNTIF(E27:AG27, "V")) + COUNTIF(E27:AG27, "✗") + COUNTIF(E27:AG27, "x") + COUNTIF(E27:AG27, "X"))&gt;0, (COUNTIF(E27:AG27, "✓") + COUNTIF(E27:AG27, "✔") + COUNTIF(E27:AG27, "v") + COUNTIF(E27:AG27, "V"))/((COUNTIF(E27:AG27, "✓") + COUNTIF(E27:AG27, "✔") + COUNTIF(E27:AG27, "v") + COUNTIF(E27:AG27, "V")) + COUNTIF(E27:AG27, "✗") + COUNTIF(E27:AG27, "x") + COUNTIF(E27:AG27, "X")), "")))</f>
        <v/>
      </c>
      <c r="AI27" s="34">
        <f>IF(ISBLANK(B27), "", IF(ISNUMBER(D27), IF(D27&gt;0, (COUNTIF(E27:AG27, "✓") + COUNTIF(E27:AG27, "✔") + COUNTIF(E27:AG27, "v") + COUNTIF(E27:AG27, "V")) &amp; "/" &amp; D27, (COUNTIF(E27:AG27, "✓") + COUNTIF(E27:AG27, "✔") + COUNTIF(E27:AG27, "v") + COUNTIF(E27:AG27, "V")) &amp; "/0"), IF(((COUNTIF(E27:AG27, "✓") + COUNTIF(E27:AG27, "✔") + COUNTIF(E27:AG27, "v") + COUNTIF(E27:AG27, "V")) + COUNTIF(E27:AG27, "✗") + COUNTIF(E27:AG27, "x") + COUNTIF(E27:AG27, "X"))&gt;0, (COUNTIF(E27:AG27, "✓") + COUNTIF(E27:AG27, "✔") + COUNTIF(E27:AG27, "v") + COUNTIF(E27:AG27, "V")) &amp; "/" &amp; ((COUNTIF(E27:AG27, "✓") + COUNTIF(E27:AG27, "✔") + COUNTIF(E27:AG27, "v") + COUNTIF(E27:AG27, "V")) + COUNTIF(E27:AG27, "✗") + COUNTIF(E27:AG27, "x") + COUNTIF(E27:AG27, "X")), "")))</f>
        <v/>
      </c>
      <c r="AJ27">
        <f>COUNTIF(E27:AG27,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3">
        <f>IF(ISBLANK(B28), "", IF(ISNUMBER(D28), IF(D28&gt;0, (COUNTIF(E28:AG28, "✓") + COUNTIF(E28:AG28, "✔") + COUNTIF(E28:AG28, "v") + COUNTIF(E28:AG28, "V"))/D28, 0), IF(((COUNTIF(E28:AG28, "✓") + COUNTIF(E28:AG28, "✔") + COUNTIF(E28:AG28, "v") + COUNTIF(E28:AG28, "V")) + COUNTIF(E28:AG28, "✗") + COUNTIF(E28:AG28, "x") + COUNTIF(E28:AG28, "X"))&gt;0, (COUNTIF(E28:AG28, "✓") + COUNTIF(E28:AG28, "✔") + COUNTIF(E28:AG28, "v") + COUNTIF(E28:AG28, "V"))/((COUNTIF(E28:AG28, "✓") + COUNTIF(E28:AG28, "✔") + COUNTIF(E28:AG28, "v") + COUNTIF(E28:AG28, "V")) + COUNTIF(E28:AG28, "✗") + COUNTIF(E28:AG28, "x") + COUNTIF(E28:AG28, "X")), "")))</f>
        <v/>
      </c>
      <c r="AI28" s="34">
        <f>IF(ISBLANK(B28), "", IF(ISNUMBER(D28), IF(D28&gt;0, (COUNTIF(E28:AG28, "✓") + COUNTIF(E28:AG28, "✔") + COUNTIF(E28:AG28, "v") + COUNTIF(E28:AG28, "V")) &amp; "/" &amp; D28, (COUNTIF(E28:AG28, "✓") + COUNTIF(E28:AG28, "✔") + COUNTIF(E28:AG28, "v") + COUNTIF(E28:AG28, "V")) &amp; "/0"), IF(((COUNTIF(E28:AG28, "✓") + COUNTIF(E28:AG28, "✔") + COUNTIF(E28:AG28, "v") + COUNTIF(E28:AG28, "V")) + COUNTIF(E28:AG28, "✗") + COUNTIF(E28:AG28, "x") + COUNTIF(E28:AG28, "X"))&gt;0, (COUNTIF(E28:AG28, "✓") + COUNTIF(E28:AG28, "✔") + COUNTIF(E28:AG28, "v") + COUNTIF(E28:AG28, "V")) &amp; "/" &amp; ((COUNTIF(E28:AG28, "✓") + COUNTIF(E28:AG28, "✔") + COUNTIF(E28:AG28, "v") + COUNTIF(E28:AG28, "V")) + COUNTIF(E28:AG28, "✗") + COUNTIF(E28:AG28, "x") + COUNTIF(E28:AG28, "X")), "")))</f>
        <v/>
      </c>
      <c r="AJ28">
        <f>COUNTIF(E28:AG28,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3">
        <f>IF(ISBLANK(B29), "", IF(ISNUMBER(D29), IF(D29&gt;0, (COUNTIF(E29:AG29, "✓") + COUNTIF(E29:AG29, "✔") + COUNTIF(E29:AG29, "v") + COUNTIF(E29:AG29, "V"))/D29, 0), IF(((COUNTIF(E29:AG29, "✓") + COUNTIF(E29:AG29, "✔") + COUNTIF(E29:AG29, "v") + COUNTIF(E29:AG29, "V")) + COUNTIF(E29:AG29, "✗") + COUNTIF(E29:AG29, "x") + COUNTIF(E29:AG29, "X"))&gt;0, (COUNTIF(E29:AG29, "✓") + COUNTIF(E29:AG29, "✔") + COUNTIF(E29:AG29, "v") + COUNTIF(E29:AG29, "V"))/((COUNTIF(E29:AG29, "✓") + COUNTIF(E29:AG29, "✔") + COUNTIF(E29:AG29, "v") + COUNTIF(E29:AG29, "V")) + COUNTIF(E29:AG29, "✗") + COUNTIF(E29:AG29, "x") + COUNTIF(E29:AG29, "X")), "")))</f>
        <v/>
      </c>
      <c r="AI29" s="34">
        <f>IF(ISBLANK(B29), "", IF(ISNUMBER(D29), IF(D29&gt;0, (COUNTIF(E29:AG29, "✓") + COUNTIF(E29:AG29, "✔") + COUNTIF(E29:AG29, "v") + COUNTIF(E29:AG29, "V")) &amp; "/" &amp; D29, (COUNTIF(E29:AG29, "✓") + COUNTIF(E29:AG29, "✔") + COUNTIF(E29:AG29, "v") + COUNTIF(E29:AG29, "V")) &amp; "/0"), IF(((COUNTIF(E29:AG29, "✓") + COUNTIF(E29:AG29, "✔") + COUNTIF(E29:AG29, "v") + COUNTIF(E29:AG29, "V")) + COUNTIF(E29:AG29, "✗") + COUNTIF(E29:AG29, "x") + COUNTIF(E29:AG29, "X"))&gt;0, (COUNTIF(E29:AG29, "✓") + COUNTIF(E29:AG29, "✔") + COUNTIF(E29:AG29, "v") + COUNTIF(E29:AG29, "V")) &amp; "/" &amp; ((COUNTIF(E29:AG29, "✓") + COUNTIF(E29:AG29, "✔") + COUNTIF(E29:AG29, "v") + COUNTIF(E29:AG29, "V")) + COUNTIF(E29:AG29, "✗") + COUNTIF(E29:AG29, "x") + COUNTIF(E29:AG29, "X")), "")))</f>
        <v/>
      </c>
      <c r="AJ29">
        <f>COUNTIF(E29:AG29,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9">
        <f>IF(ISBLANK(B30), "", IF(ISNUMBER(D30), IF(D30&gt;0, (COUNTIF(E30:AG30, "✓") + COUNTIF(E30:AG30, "✔") + COUNTIF(E30:AG30, "v") + COUNTIF(E30:AG30, "V"))/D30, 0), IF(((COUNTIF(E30:AG30, "✓") + COUNTIF(E30:AG30, "✔") + COUNTIF(E30:AG30, "v") + COUNTIF(E30:AG30, "V")) + COUNTIF(E30:AG30, "✗") + COUNTIF(E30:AG30, "x") + COUNTIF(E30:AG30, "X"))&gt;0, (COUNTIF(E30:AG30, "✓") + COUNTIF(E30:AG30, "✔") + COUNTIF(E30:AG30, "v") + COUNTIF(E30:AG30, "V"))/((COUNTIF(E30:AG30, "✓") + COUNTIF(E30:AG30, "✔") + COUNTIF(E30:AG30, "v") + COUNTIF(E30:AG30, "V")) + COUNTIF(E30:AG30, "✗") + COUNTIF(E30:AG30, "x") + COUNTIF(E30:AG30, "X")), "")))</f>
        <v/>
      </c>
      <c r="AI30" s="40">
        <f>IF(ISBLANK(B30), "", IF(ISNUMBER(D30), IF(D30&gt;0, (COUNTIF(E30:AG30, "✓") + COUNTIF(E30:AG30, "✔") + COUNTIF(E30:AG30, "v") + COUNTIF(E30:AG30, "V")) &amp; "/" &amp; D30, (COUNTIF(E30:AG30, "✓") + COUNTIF(E30:AG30, "✔") + COUNTIF(E30:AG30, "v") + COUNTIF(E30:AG30, "V")) &amp; "/0"), IF(((COUNTIF(E30:AG30, "✓") + COUNTIF(E30:AG30, "✔") + COUNTIF(E30:AG30, "v") + COUNTIF(E30:AG30, "V")) + COUNTIF(E30:AG30, "✗") + COUNTIF(E30:AG30, "x") + COUNTIF(E30:AG30, "X"))&gt;0, (COUNTIF(E30:AG30, "✓") + COUNTIF(E30:AG30, "✔") + COUNTIF(E30:AG30, "v") + COUNTIF(E30:AG30, "V")) &amp; "/" &amp; ((COUNTIF(E30:AG30, "✓") + COUNTIF(E30:AG30, "✔") + COUNTIF(E30:AG30, "v") + COUNTIF(E30:AG30, "V")) + COUNTIF(E30:AG30, "✗") + COUNTIF(E30:AG30, "x") + COUNTIF(E30:AG30, "X")), "")))</f>
        <v/>
      </c>
      <c r="AJ30">
        <f>COUNTIF(E30:AG30,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9">
        <f>IF(ISBLANK(B31), "", IF(ISNUMBER(D31), IF(D31&gt;0, (COUNTIF(E31:AG31, "✓") + COUNTIF(E31:AG31, "✔") + COUNTIF(E31:AG31, "v") + COUNTIF(E31:AG31, "V"))/D31, 0), IF(((COUNTIF(E31:AG31, "✓") + COUNTIF(E31:AG31, "✔") + COUNTIF(E31:AG31, "v") + COUNTIF(E31:AG31, "V")) + COUNTIF(E31:AG31, "✗") + COUNTIF(E31:AG31, "x") + COUNTIF(E31:AG31, "X"))&gt;0, (COUNTIF(E31:AG31, "✓") + COUNTIF(E31:AG31, "✔") + COUNTIF(E31:AG31, "v") + COUNTIF(E31:AG31, "V"))/((COUNTIF(E31:AG31, "✓") + COUNTIF(E31:AG31, "✔") + COUNTIF(E31:AG31, "v") + COUNTIF(E31:AG31, "V")) + COUNTIF(E31:AG31, "✗") + COUNTIF(E31:AG31, "x") + COUNTIF(E31:AG31, "X")), "")))</f>
        <v/>
      </c>
      <c r="AI31" s="40">
        <f>IF(ISBLANK(B31), "", IF(ISNUMBER(D31), IF(D31&gt;0, (COUNTIF(E31:AG31, "✓") + COUNTIF(E31:AG31, "✔") + COUNTIF(E31:AG31, "v") + COUNTIF(E31:AG31, "V")) &amp; "/" &amp; D31, (COUNTIF(E31:AG31, "✓") + COUNTIF(E31:AG31, "✔") + COUNTIF(E31:AG31, "v") + COUNTIF(E31:AG31, "V")) &amp; "/0"), IF(((COUNTIF(E31:AG31, "✓") + COUNTIF(E31:AG31, "✔") + COUNTIF(E31:AG31, "v") + COUNTIF(E31:AG31, "V")) + COUNTIF(E31:AG31, "✗") + COUNTIF(E31:AG31, "x") + COUNTIF(E31:AG31, "X"))&gt;0, (COUNTIF(E31:AG31, "✓") + COUNTIF(E31:AG31, "✔") + COUNTIF(E31:AG31, "v") + COUNTIF(E31:AG31, "V")) &amp; "/" &amp; ((COUNTIF(E31:AG31, "✓") + COUNTIF(E31:AG31, "✔") + COUNTIF(E31:AG31, "v") + COUNTIF(E31:AG31, "V")) + COUNTIF(E31:AG31, "✗") + COUNTIF(E31:AG31, "x") + COUNTIF(E31:AG31, "X")), "")))</f>
        <v/>
      </c>
      <c r="AJ31">
        <f>COUNTIF(E31:AG31,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9">
        <f>IF(ISBLANK(B32), "", IF(ISNUMBER(D32), IF(D32&gt;0, (COUNTIF(E32:AG32, "✓") + COUNTIF(E32:AG32, "✔") + COUNTIF(E32:AG32, "v") + COUNTIF(E32:AG32, "V"))/D32, 0), IF(((COUNTIF(E32:AG32, "✓") + COUNTIF(E32:AG32, "✔") + COUNTIF(E32:AG32, "v") + COUNTIF(E32:AG32, "V")) + COUNTIF(E32:AG32, "✗") + COUNTIF(E32:AG32, "x") + COUNTIF(E32:AG32, "X"))&gt;0, (COUNTIF(E32:AG32, "✓") + COUNTIF(E32:AG32, "✔") + COUNTIF(E32:AG32, "v") + COUNTIF(E32:AG32, "V"))/((COUNTIF(E32:AG32, "✓") + COUNTIF(E32:AG32, "✔") + COUNTIF(E32:AG32, "v") + COUNTIF(E32:AG32, "V")) + COUNTIF(E32:AG32, "✗") + COUNTIF(E32:AG32, "x") + COUNTIF(E32:AG32, "X")), "")))</f>
        <v/>
      </c>
      <c r="AI32" s="40">
        <f>IF(ISBLANK(B32), "", IF(ISNUMBER(D32), IF(D32&gt;0, (COUNTIF(E32:AG32, "✓") + COUNTIF(E32:AG32, "✔") + COUNTIF(E32:AG32, "v") + COUNTIF(E32:AG32, "V")) &amp; "/" &amp; D32, (COUNTIF(E32:AG32, "✓") + COUNTIF(E32:AG32, "✔") + COUNTIF(E32:AG32, "v") + COUNTIF(E32:AG32, "V")) &amp; "/0"), IF(((COUNTIF(E32:AG32, "✓") + COUNTIF(E32:AG32, "✔") + COUNTIF(E32:AG32, "v") + COUNTIF(E32:AG32, "V")) + COUNTIF(E32:AG32, "✗") + COUNTIF(E32:AG32, "x") + COUNTIF(E32:AG32, "X"))&gt;0, (COUNTIF(E32:AG32, "✓") + COUNTIF(E32:AG32, "✔") + COUNTIF(E32:AG32, "v") + COUNTIF(E32:AG32, "V")) &amp; "/" &amp; ((COUNTIF(E32:AG32, "✓") + COUNTIF(E32:AG32, "✔") + COUNTIF(E32:AG32, "v") + COUNTIF(E32:AG32, "V")) + COUNTIF(E32:AG32, "✗") + COUNTIF(E32:AG32, "x") + COUNTIF(E32:AG32, "X")), "")))</f>
        <v/>
      </c>
      <c r="AJ32">
        <f>COUNTIF(E32:AG32,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9">
        <f>IF(ISBLANK(B33), "", IF(ISNUMBER(D33), IF(D33&gt;0, (COUNTIF(E33:AG33, "✓") + COUNTIF(E33:AG33, "✔") + COUNTIF(E33:AG33, "v") + COUNTIF(E33:AG33, "V"))/D33, 0), IF(((COUNTIF(E33:AG33, "✓") + COUNTIF(E33:AG33, "✔") + COUNTIF(E33:AG33, "v") + COUNTIF(E33:AG33, "V")) + COUNTIF(E33:AG33, "✗") + COUNTIF(E33:AG33, "x") + COUNTIF(E33:AG33, "X"))&gt;0, (COUNTIF(E33:AG33, "✓") + COUNTIF(E33:AG33, "✔") + COUNTIF(E33:AG33, "v") + COUNTIF(E33:AG33, "V"))/((COUNTIF(E33:AG33, "✓") + COUNTIF(E33:AG33, "✔") + COUNTIF(E33:AG33, "v") + COUNTIF(E33:AG33, "V")) + COUNTIF(E33:AG33, "✗") + COUNTIF(E33:AG33, "x") + COUNTIF(E33:AG33, "X")), "")))</f>
        <v/>
      </c>
      <c r="AI33" s="40">
        <f>IF(ISBLANK(B33), "", IF(ISNUMBER(D33), IF(D33&gt;0, (COUNTIF(E33:AG33, "✓") + COUNTIF(E33:AG33, "✔") + COUNTIF(E33:AG33, "v") + COUNTIF(E33:AG33, "V")) &amp; "/" &amp; D33, (COUNTIF(E33:AG33, "✓") + COUNTIF(E33:AG33, "✔") + COUNTIF(E33:AG33, "v") + COUNTIF(E33:AG33, "V")) &amp; "/0"), IF(((COUNTIF(E33:AG33, "✓") + COUNTIF(E33:AG33, "✔") + COUNTIF(E33:AG33, "v") + COUNTIF(E33:AG33, "V")) + COUNTIF(E33:AG33, "✗") + COUNTIF(E33:AG33, "x") + COUNTIF(E33:AG33, "X"))&gt;0, (COUNTIF(E33:AG33, "✓") + COUNTIF(E33:AG33, "✔") + COUNTIF(E33:AG33, "v") + COUNTIF(E33:AG33, "V")) &amp; "/" &amp; ((COUNTIF(E33:AG33, "✓") + COUNTIF(E33:AG33, "✔") + COUNTIF(E33:AG33, "v") + COUNTIF(E33:AG33, "V")) + COUNTIF(E33:AG33, "✗") + COUNTIF(E33:AG33, "x") + COUNTIF(E33:AG33, "X")), "")))</f>
        <v/>
      </c>
      <c r="AJ33">
        <f>COUNTIF(E33:AG33,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5">
        <f>IF(ISBLANK(B34), "", IF(ISNUMBER(D34), IF(D34&gt;0, (COUNTIF(E34:AG34, "✓") + COUNTIF(E34:AG34, "✔") + COUNTIF(E34:AG34, "v") + COUNTIF(E34:AG34, "V"))/D34, 0), IF(((COUNTIF(E34:AG34, "✓") + COUNTIF(E34:AG34, "✔") + COUNTIF(E34:AG34, "v") + COUNTIF(E34:AG34, "V")) + COUNTIF(E34:AG34, "✗") + COUNTIF(E34:AG34, "x") + COUNTIF(E34:AG34, "X"))&gt;0, (COUNTIF(E34:AG34, "✓") + COUNTIF(E34:AG34, "✔") + COUNTIF(E34:AG34, "v") + COUNTIF(E34:AG34, "V"))/((COUNTIF(E34:AG34, "✓") + COUNTIF(E34:AG34, "✔") + COUNTIF(E34:AG34, "v") + COUNTIF(E34:AG34, "V")) + COUNTIF(E34:AG34, "✗") + COUNTIF(E34:AG34, "x") + COUNTIF(E34:AG34, "X")), "")))</f>
        <v/>
      </c>
      <c r="AI34" s="46">
        <f>IF(ISBLANK(B34), "", IF(ISNUMBER(D34), IF(D34&gt;0, (COUNTIF(E34:AG34, "✓") + COUNTIF(E34:AG34, "✔") + COUNTIF(E34:AG34, "v") + COUNTIF(E34:AG34, "V")) &amp; "/" &amp; D34, (COUNTIF(E34:AG34, "✓") + COUNTIF(E34:AG34, "✔") + COUNTIF(E34:AG34, "v") + COUNTIF(E34:AG34, "V")) &amp; "/0"), IF(((COUNTIF(E34:AG34, "✓") + COUNTIF(E34:AG34, "✔") + COUNTIF(E34:AG34, "v") + COUNTIF(E34:AG34, "V")) + COUNTIF(E34:AG34, "✗") + COUNTIF(E34:AG34, "x") + COUNTIF(E34:AG34, "X"))&gt;0, (COUNTIF(E34:AG34, "✓") + COUNTIF(E34:AG34, "✔") + COUNTIF(E34:AG34, "v") + COUNTIF(E34:AG34, "V")) &amp; "/" &amp; ((COUNTIF(E34:AG34, "✓") + COUNTIF(E34:AG34, "✔") + COUNTIF(E34:AG34, "v") + COUNTIF(E34:AG34, "V")) + COUNTIF(E34:AG34, "✗") + COUNTIF(E34:AG34, "x") + COUNTIF(E34:AG34, "X")), "")))</f>
        <v/>
      </c>
      <c r="AJ34">
        <f>COUNTIF(E34:AG34,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5">
        <f>IF(ISBLANK(B35), "", IF(ISNUMBER(D35), IF(D35&gt;0, (COUNTIF(E35:AG35, "✓") + COUNTIF(E35:AG35, "✔") + COUNTIF(E35:AG35, "v") + COUNTIF(E35:AG35, "V"))/D35, 0), IF(((COUNTIF(E35:AG35, "✓") + COUNTIF(E35:AG35, "✔") + COUNTIF(E35:AG35, "v") + COUNTIF(E35:AG35, "V")) + COUNTIF(E35:AG35, "✗") + COUNTIF(E35:AG35, "x") + COUNTIF(E35:AG35, "X"))&gt;0, (COUNTIF(E35:AG35, "✓") + COUNTIF(E35:AG35, "✔") + COUNTIF(E35:AG35, "v") + COUNTIF(E35:AG35, "V"))/((COUNTIF(E35:AG35, "✓") + COUNTIF(E35:AG35, "✔") + COUNTIF(E35:AG35, "v") + COUNTIF(E35:AG35, "V")) + COUNTIF(E35:AG35, "✗") + COUNTIF(E35:AG35, "x") + COUNTIF(E35:AG35, "X")), "")))</f>
        <v/>
      </c>
      <c r="AI35" s="46">
        <f>IF(ISBLANK(B35), "", IF(ISNUMBER(D35), IF(D35&gt;0, (COUNTIF(E35:AG35, "✓") + COUNTIF(E35:AG35, "✔") + COUNTIF(E35:AG35, "v") + COUNTIF(E35:AG35, "V")) &amp; "/" &amp; D35, (COUNTIF(E35:AG35, "✓") + COUNTIF(E35:AG35, "✔") + COUNTIF(E35:AG35, "v") + COUNTIF(E35:AG35, "V")) &amp; "/0"), IF(((COUNTIF(E35:AG35, "✓") + COUNTIF(E35:AG35, "✔") + COUNTIF(E35:AG35, "v") + COUNTIF(E35:AG35, "V")) + COUNTIF(E35:AG35, "✗") + COUNTIF(E35:AG35, "x") + COUNTIF(E35:AG35, "X"))&gt;0, (COUNTIF(E35:AG35, "✓") + COUNTIF(E35:AG35, "✔") + COUNTIF(E35:AG35, "v") + COUNTIF(E35:AG35, "V")) &amp; "/" &amp; ((COUNTIF(E35:AG35, "✓") + COUNTIF(E35:AG35, "✔") + COUNTIF(E35:AG35, "v") + COUNTIF(E35:AG35, "V")) + COUNTIF(E35:AG35, "✗") + COUNTIF(E35:AG35, "x") + COUNTIF(E35:AG35, "X")), "")))</f>
        <v/>
      </c>
      <c r="AJ35">
        <f>COUNTIF(E35:AG35,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5">
        <f>IF(ISBLANK(B36), "", IF(ISNUMBER(D36), IF(D36&gt;0, (COUNTIF(E36:AG36, "✓") + COUNTIF(E36:AG36, "✔") + COUNTIF(E36:AG36, "v") + COUNTIF(E36:AG36, "V"))/D36, 0), IF(((COUNTIF(E36:AG36, "✓") + COUNTIF(E36:AG36, "✔") + COUNTIF(E36:AG36, "v") + COUNTIF(E36:AG36, "V")) + COUNTIF(E36:AG36, "✗") + COUNTIF(E36:AG36, "x") + COUNTIF(E36:AG36, "X"))&gt;0, (COUNTIF(E36:AG36, "✓") + COUNTIF(E36:AG36, "✔") + COUNTIF(E36:AG36, "v") + COUNTIF(E36:AG36, "V"))/((COUNTIF(E36:AG36, "✓") + COUNTIF(E36:AG36, "✔") + COUNTIF(E36:AG36, "v") + COUNTIF(E36:AG36, "V")) + COUNTIF(E36:AG36, "✗") + COUNTIF(E36:AG36, "x") + COUNTIF(E36:AG36, "X")), "")))</f>
        <v/>
      </c>
      <c r="AI36" s="46">
        <f>IF(ISBLANK(B36), "", IF(ISNUMBER(D36), IF(D36&gt;0, (COUNTIF(E36:AG36, "✓") + COUNTIF(E36:AG36, "✔") + COUNTIF(E36:AG36, "v") + COUNTIF(E36:AG36, "V")) &amp; "/" &amp; D36, (COUNTIF(E36:AG36, "✓") + COUNTIF(E36:AG36, "✔") + COUNTIF(E36:AG36, "v") + COUNTIF(E36:AG36, "V")) &amp; "/0"), IF(((COUNTIF(E36:AG36, "✓") + COUNTIF(E36:AG36, "✔") + COUNTIF(E36:AG36, "v") + COUNTIF(E36:AG36, "V")) + COUNTIF(E36:AG36, "✗") + COUNTIF(E36:AG36, "x") + COUNTIF(E36:AG36, "X"))&gt;0, (COUNTIF(E36:AG36, "✓") + COUNTIF(E36:AG36, "✔") + COUNTIF(E36:AG36, "v") + COUNTIF(E36:AG36, "V")) &amp; "/" &amp; ((COUNTIF(E36:AG36, "✓") + COUNTIF(E36:AG36, "✔") + COUNTIF(E36:AG36, "v") + COUNTIF(E36:AG36, "V")) + COUNTIF(E36:AG36, "✗") + COUNTIF(E36:AG36, "x") + COUNTIF(E36:AG36, "X")), "")))</f>
        <v/>
      </c>
      <c r="AJ36">
        <f>COUNTIF(E36:AG36,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5">
        <f>IF(ISBLANK(B37), "", IF(ISNUMBER(D37), IF(D37&gt;0, (COUNTIF(E37:AG37, "✓") + COUNTIF(E37:AG37, "✔") + COUNTIF(E37:AG37, "v") + COUNTIF(E37:AG37, "V"))/D37, 0), IF(((COUNTIF(E37:AG37, "✓") + COUNTIF(E37:AG37, "✔") + COUNTIF(E37:AG37, "v") + COUNTIF(E37:AG37, "V")) + COUNTIF(E37:AG37, "✗") + COUNTIF(E37:AG37, "x") + COUNTIF(E37:AG37, "X"))&gt;0, (COUNTIF(E37:AG37, "✓") + COUNTIF(E37:AG37, "✔") + COUNTIF(E37:AG37, "v") + COUNTIF(E37:AG37, "V"))/((COUNTIF(E37:AG37, "✓") + COUNTIF(E37:AG37, "✔") + COUNTIF(E37:AG37, "v") + COUNTIF(E37:AG37, "V")) + COUNTIF(E37:AG37, "✗") + COUNTIF(E37:AG37, "x") + COUNTIF(E37:AG37, "X")), "")))</f>
        <v/>
      </c>
      <c r="AI37" s="46">
        <f>IF(ISBLANK(B37), "", IF(ISNUMBER(D37), IF(D37&gt;0, (COUNTIF(E37:AG37, "✓") + COUNTIF(E37:AG37, "✔") + COUNTIF(E37:AG37, "v") + COUNTIF(E37:AG37, "V")) &amp; "/" &amp; D37, (COUNTIF(E37:AG37, "✓") + COUNTIF(E37:AG37, "✔") + COUNTIF(E37:AG37, "v") + COUNTIF(E37:AG37, "V")) &amp; "/0"), IF(((COUNTIF(E37:AG37, "✓") + COUNTIF(E37:AG37, "✔") + COUNTIF(E37:AG37, "v") + COUNTIF(E37:AG37, "V")) + COUNTIF(E37:AG37, "✗") + COUNTIF(E37:AG37, "x") + COUNTIF(E37:AG37, "X"))&gt;0, (COUNTIF(E37:AG37, "✓") + COUNTIF(E37:AG37, "✔") + COUNTIF(E37:AG37, "v") + COUNTIF(E37:AG37, "V")) &amp; "/" &amp; ((COUNTIF(E37:AG37, "✓") + COUNTIF(E37:AG37, "✔") + COUNTIF(E37:AG37, "v") + COUNTIF(E37:AG37, "V")) + COUNTIF(E37:AG37, "✗") + COUNTIF(E37:AG37, "x") + COUNTIF(E37:AG37, "X")), "")))</f>
        <v/>
      </c>
      <c r="AJ37">
        <f>COUNTIF(E37:AG37,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IF(SUM(D18:D37) &gt; 0, SUM(AJ18:AJ37) / SUM(D18:D37), "")</f>
        <v/>
      </c>
      <c r="AI38" s="10">
        <f>IF(SUM(D18:D37) &gt; 0, SUM(AJ18:AJ37)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IF(COUNT(E39:AG39) &gt; 0, AVERAGE(E39:AG39),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5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5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5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5" t="n">
        <v>27</v>
      </c>
      <c r="AF45" s="54" t="n">
        <v>28</v>
      </c>
      <c r="AG45" s="54" t="n">
        <v>29</v>
      </c>
    </row>
    <row r="46" ht="15" customHeight="1">
      <c r="A46" s="53" t="n"/>
      <c r="B46" s="53" t="n"/>
      <c r="C46" s="53" t="n"/>
      <c r="D46" s="53" t="n"/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SUM(AJ18:AJ37)/SUM(D18:D37),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COUNTIF(E39:AG39, 1) &amp; " Days"</f>
        <v/>
      </c>
      <c r="L68" s="67" t="n"/>
      <c r="M68" s="67" t="n"/>
      <c r="N68" s="67" t="n"/>
      <c r="P68" s="73">
        <f>IFERROR(TEXT(AVERAGE(E47:AG47),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$AJ$18:$AJ$37)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$AJ$18:$AJ$37)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$AJ$18:$AJ$37)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$AJ$18:$AJ$37)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29 - 29</t>
        </is>
      </c>
      <c r="C80" s="83">
        <f>COUNTIF(AG18:AG37, "✓")</f>
        <v/>
      </c>
      <c r="D80" s="83">
        <f>COUNTIF(AG18:AG37, "✓") + COUNTIF(AG18:AG37,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$AJ$18:$AJ$37)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COUNTIF(E47:AG47, "&gt;=7")</f>
        <v/>
      </c>
      <c r="H86" s="88" t="n"/>
      <c r="I86" s="89" t="n"/>
      <c r="J86" s="83">
        <f>IFERROR(TEXT(AVERAGEIF(E47:AG47, "&gt;=7"), "0.0") &amp; " hrs", "-")</f>
        <v/>
      </c>
      <c r="K86" s="88" t="n"/>
      <c r="L86" s="88" t="n"/>
      <c r="M86" s="89" t="n"/>
      <c r="N86" s="90">
        <f>IFERROR(AVERAGEIFS(E39:AG39, E47:AG47, "&gt;=7", E39:AG39,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COUNTIF(E47:AG47, "&lt;7") - COUNTIF(E47:AG47, "")</f>
        <v/>
      </c>
      <c r="H87" s="88" t="n"/>
      <c r="I87" s="89" t="n"/>
      <c r="J87" s="83">
        <f>IFERROR(TEXT(AVERAGEIFS(E47:AG47, E47:AG47, "&lt;7", E47:AG47, "&gt;0"), "0.0") &amp; " hrs", "-")</f>
        <v/>
      </c>
      <c r="K87" s="88" t="n"/>
      <c r="L87" s="88" t="n"/>
      <c r="M87" s="89" t="n"/>
      <c r="N87" s="92">
        <f>IFERROR(AVERAGEIFS(E39:AG39, E47:AG47, "&lt;7", E39:AG39,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Feb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SUM(AJ18:AJ37)</f>
        <v/>
      </c>
      <c r="J92" s="89" t="n"/>
      <c r="K92" s="98">
        <f>IF(G92&gt;0, I92/G92, 0)</f>
        <v/>
      </c>
      <c r="L92" s="89" t="n"/>
      <c r="M92" s="97">
        <f>COUNTIF(E39:AG39, 1)</f>
        <v/>
      </c>
      <c r="N92" s="89" t="n"/>
      <c r="O92" s="99">
        <f>IFERROR(AVERAGE(E47:AG47),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G87:I87"/>
    <mergeCell ref="A16:A17"/>
    <mergeCell ref="A45:D46"/>
    <mergeCell ref="C16:C17"/>
    <mergeCell ref="N75:O75"/>
    <mergeCell ref="AC2:AI2"/>
    <mergeCell ref="N77:O77"/>
    <mergeCell ref="P68:S70"/>
    <mergeCell ref="P6:AI6"/>
    <mergeCell ref="D16:D17"/>
    <mergeCell ref="N85:Q85"/>
    <mergeCell ref="H3:AB3"/>
    <mergeCell ref="A95:H95"/>
    <mergeCell ref="Q91:S91"/>
    <mergeCell ref="P7:AI7"/>
    <mergeCell ref="E91:F91"/>
    <mergeCell ref="A8:N8"/>
    <mergeCell ref="G91:H91"/>
    <mergeCell ref="J86:M86"/>
    <mergeCell ref="A12:AI14"/>
    <mergeCell ref="K67:N67"/>
    <mergeCell ref="S95:Z95"/>
    <mergeCell ref="N79:O79"/>
    <mergeCell ref="K92:L92"/>
    <mergeCell ref="C92:D92"/>
    <mergeCell ref="M92:N92"/>
    <mergeCell ref="F71:I71"/>
    <mergeCell ref="A84:AG84"/>
    <mergeCell ref="H2:AB2"/>
    <mergeCell ref="P9:AI9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88:AG88"/>
    <mergeCell ref="A92:B92"/>
    <mergeCell ref="N87:Q87"/>
    <mergeCell ref="A90:AG90"/>
    <mergeCell ref="E92:F92"/>
    <mergeCell ref="A68:D70"/>
    <mergeCell ref="P71:S71"/>
    <mergeCell ref="A86:C86"/>
    <mergeCell ref="D87:F87"/>
    <mergeCell ref="O92:P92"/>
    <mergeCell ref="A6:N6"/>
    <mergeCell ref="A39:D39"/>
    <mergeCell ref="A41:AI41"/>
    <mergeCell ref="G86:I86"/>
    <mergeCell ref="A96:H103"/>
    <mergeCell ref="P67:S67"/>
    <mergeCell ref="A42:AI42"/>
    <mergeCell ref="AH16:AH17"/>
    <mergeCell ref="T92:W92"/>
    <mergeCell ref="R85:U85"/>
    <mergeCell ref="K71:N71"/>
    <mergeCell ref="S96:Z103"/>
    <mergeCell ref="A38:D38"/>
    <mergeCell ref="A67:D67"/>
    <mergeCell ref="I91:J91"/>
    <mergeCell ref="A85:C85"/>
    <mergeCell ref="K91:L91"/>
    <mergeCell ref="N86:Q86"/>
    <mergeCell ref="A7:N7"/>
    <mergeCell ref="P8:AI8"/>
    <mergeCell ref="A74:E74"/>
    <mergeCell ref="G85:I85"/>
    <mergeCell ref="G92:H92"/>
    <mergeCell ref="I92:J92"/>
    <mergeCell ref="R87:U87"/>
    <mergeCell ref="J87:M87"/>
    <mergeCell ref="A93:AG93"/>
    <mergeCell ref="J96:Q103"/>
    <mergeCell ref="Q92:S92"/>
    <mergeCell ref="A87:C87"/>
    <mergeCell ref="A47:D47"/>
  </mergeCells>
  <conditionalFormatting sqref="E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MONTH(TODAY())=2, YEAR(TODAY())=2028)</formula>
    </cfRule>
  </conditionalFormatting>
  <conditionalFormatting sqref="F16:F17">
    <cfRule type="expression" priority="7" dxfId="2">
      <formula>AND(DAY(TODAY())=2, MONTH(TODAY())=2, YEAR(TODAY())=2028)</formula>
    </cfRule>
  </conditionalFormatting>
  <conditionalFormatting sqref="G16:G17">
    <cfRule type="expression" priority="8" dxfId="2">
      <formula>AND(DAY(TODAY())=3, MONTH(TODAY())=2, YEAR(TODAY())=2028)</formula>
    </cfRule>
  </conditionalFormatting>
  <conditionalFormatting sqref="H16:H17">
    <cfRule type="expression" priority="9" dxfId="2">
      <formula>AND(DAY(TODAY())=4, MONTH(TODAY())=2, YEAR(TODAY())=2028)</formula>
    </cfRule>
  </conditionalFormatting>
  <conditionalFormatting sqref="I16:I17">
    <cfRule type="expression" priority="10" dxfId="2">
      <formula>AND(DAY(TODAY())=5, MONTH(TODAY())=2, YEAR(TODAY())=2028)</formula>
    </cfRule>
  </conditionalFormatting>
  <conditionalFormatting sqref="J16:J17">
    <cfRule type="expression" priority="11" dxfId="2">
      <formula>AND(DAY(TODAY())=6, MONTH(TODAY())=2, YEAR(TODAY())=2028)</formula>
    </cfRule>
  </conditionalFormatting>
  <conditionalFormatting sqref="K16:K17">
    <cfRule type="expression" priority="12" dxfId="2">
      <formula>AND(DAY(TODAY())=7, MONTH(TODAY())=2, YEAR(TODAY())=2028)</formula>
    </cfRule>
  </conditionalFormatting>
  <conditionalFormatting sqref="L16:L17">
    <cfRule type="expression" priority="13" dxfId="2">
      <formula>AND(DAY(TODAY())=8, MONTH(TODAY())=2, YEAR(TODAY())=2028)</formula>
    </cfRule>
  </conditionalFormatting>
  <conditionalFormatting sqref="M16:M17">
    <cfRule type="expression" priority="14" dxfId="2">
      <formula>AND(DAY(TODAY())=9, MONTH(TODAY())=2, YEAR(TODAY())=2028)</formula>
    </cfRule>
  </conditionalFormatting>
  <conditionalFormatting sqref="N16:N17">
    <cfRule type="expression" priority="15" dxfId="2">
      <formula>AND(DAY(TODAY())=10, MONTH(TODAY())=2, YEAR(TODAY())=2028)</formula>
    </cfRule>
  </conditionalFormatting>
  <conditionalFormatting sqref="O16:O17">
    <cfRule type="expression" priority="16" dxfId="2">
      <formula>AND(DAY(TODAY())=11, MONTH(TODAY())=2, YEAR(TODAY())=2028)</formula>
    </cfRule>
  </conditionalFormatting>
  <conditionalFormatting sqref="P16:P17">
    <cfRule type="expression" priority="17" dxfId="2">
      <formula>AND(DAY(TODAY())=12, MONTH(TODAY())=2, YEAR(TODAY())=2028)</formula>
    </cfRule>
  </conditionalFormatting>
  <conditionalFormatting sqref="Q16:Q17">
    <cfRule type="expression" priority="18" dxfId="2">
      <formula>AND(DAY(TODAY())=13, MONTH(TODAY())=2, YEAR(TODAY())=2028)</formula>
    </cfRule>
  </conditionalFormatting>
  <conditionalFormatting sqref="R16:R17">
    <cfRule type="expression" priority="19" dxfId="2">
      <formula>AND(DAY(TODAY())=14, MONTH(TODAY())=2, YEAR(TODAY())=2028)</formula>
    </cfRule>
  </conditionalFormatting>
  <conditionalFormatting sqref="S16:S17">
    <cfRule type="expression" priority="20" dxfId="2">
      <formula>AND(DAY(TODAY())=15, MONTH(TODAY())=2, YEAR(TODAY())=2028)</formula>
    </cfRule>
  </conditionalFormatting>
  <conditionalFormatting sqref="T16:T17">
    <cfRule type="expression" priority="21" dxfId="2">
      <formula>AND(DAY(TODAY())=16, MONTH(TODAY())=2, YEAR(TODAY())=2028)</formula>
    </cfRule>
  </conditionalFormatting>
  <conditionalFormatting sqref="U16:U17">
    <cfRule type="expression" priority="22" dxfId="2">
      <formula>AND(DAY(TODAY())=17, MONTH(TODAY())=2, YEAR(TODAY())=2028)</formula>
    </cfRule>
  </conditionalFormatting>
  <conditionalFormatting sqref="V16:V17">
    <cfRule type="expression" priority="23" dxfId="2">
      <formula>AND(DAY(TODAY())=18, MONTH(TODAY())=2, YEAR(TODAY())=2028)</formula>
    </cfRule>
  </conditionalFormatting>
  <conditionalFormatting sqref="W16:W17">
    <cfRule type="expression" priority="24" dxfId="2">
      <formula>AND(DAY(TODAY())=19, MONTH(TODAY())=2, YEAR(TODAY())=2028)</formula>
    </cfRule>
  </conditionalFormatting>
  <conditionalFormatting sqref="X16:X17">
    <cfRule type="expression" priority="25" dxfId="2">
      <formula>AND(DAY(TODAY())=20, MONTH(TODAY())=2, YEAR(TODAY())=2028)</formula>
    </cfRule>
  </conditionalFormatting>
  <conditionalFormatting sqref="Y16:Y17">
    <cfRule type="expression" priority="26" dxfId="2">
      <formula>AND(DAY(TODAY())=21, MONTH(TODAY())=2, YEAR(TODAY())=2028)</formula>
    </cfRule>
  </conditionalFormatting>
  <conditionalFormatting sqref="Z16:Z17">
    <cfRule type="expression" priority="27" dxfId="2">
      <formula>AND(DAY(TODAY())=22, MONTH(TODAY())=2, YEAR(TODAY())=2028)</formula>
    </cfRule>
  </conditionalFormatting>
  <conditionalFormatting sqref="AA16:AA17">
    <cfRule type="expression" priority="28" dxfId="2">
      <formula>AND(DAY(TODAY())=23, MONTH(TODAY())=2, YEAR(TODAY())=2028)</formula>
    </cfRule>
  </conditionalFormatting>
  <conditionalFormatting sqref="AB16:AB17">
    <cfRule type="expression" priority="29" dxfId="2">
      <formula>AND(DAY(TODAY())=24, MONTH(TODAY())=2, YEAR(TODAY())=2028)</formula>
    </cfRule>
  </conditionalFormatting>
  <conditionalFormatting sqref="AC16:AC17">
    <cfRule type="expression" priority="30" dxfId="2">
      <formula>AND(DAY(TODAY())=25, MONTH(TODAY())=2, YEAR(TODAY())=2028)</formula>
    </cfRule>
  </conditionalFormatting>
  <conditionalFormatting sqref="AD16:AD17">
    <cfRule type="expression" priority="31" dxfId="2">
      <formula>AND(DAY(TODAY())=26, MONTH(TODAY())=2, YEAR(TODAY())=2028)</formula>
    </cfRule>
  </conditionalFormatting>
  <conditionalFormatting sqref="AE16:AE17">
    <cfRule type="expression" priority="32" dxfId="2">
      <formula>AND(DAY(TODAY())=27, MONTH(TODAY())=2, YEAR(TODAY())=2028)</formula>
    </cfRule>
  </conditionalFormatting>
  <conditionalFormatting sqref="AF16:AF17">
    <cfRule type="expression" priority="33" dxfId="2">
      <formula>AND(DAY(TODAY())=28, MONTH(TODAY())=2, YEAR(TODAY())=2028)</formula>
    </cfRule>
  </conditionalFormatting>
  <conditionalFormatting sqref="AG16:AG17">
    <cfRule type="expression" priority="34" dxfId="2">
      <formula>AND(DAY(TODAY())=29, MONTH(TODAY())=2,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G37" showDropDown="0" showInputMessage="0" showErrorMessage="0" allowBlank="1" promptTitle="Status" prompt="Select ✓ (Done) or ✗ (Missed)" type="list">
      <formula1>"✓,✗"</formula1>
    </dataValidation>
    <dataValidation sqref="E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"Action is the foundational key to all success."</t>
        </is>
      </c>
      <c r="AE2" s="3" t="inlineStr">
        <is>
          <t>@surajvansh</t>
        </is>
      </c>
    </row>
    <row r="3" ht="18" customHeight="1">
      <c r="A3" s="4" t="inlineStr">
        <is>
          <t>March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2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2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2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2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5" t="inlineStr">
        <is>
          <t>F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5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5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5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5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  <c r="AI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Mar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MONTH(TODAY())=3, YEAR(TODAY())=2028)</formula>
    </cfRule>
  </conditionalFormatting>
  <conditionalFormatting sqref="F16:F17">
    <cfRule type="expression" priority="7" dxfId="2">
      <formula>AND(DAY(TODAY())=2, MONTH(TODAY())=3, YEAR(TODAY())=2028)</formula>
    </cfRule>
  </conditionalFormatting>
  <conditionalFormatting sqref="G16:G17">
    <cfRule type="expression" priority="8" dxfId="2">
      <formula>AND(DAY(TODAY())=3, MONTH(TODAY())=3, YEAR(TODAY())=2028)</formula>
    </cfRule>
  </conditionalFormatting>
  <conditionalFormatting sqref="H16:H17">
    <cfRule type="expression" priority="9" dxfId="2">
      <formula>AND(DAY(TODAY())=4, MONTH(TODAY())=3, YEAR(TODAY())=2028)</formula>
    </cfRule>
  </conditionalFormatting>
  <conditionalFormatting sqref="I16:I17">
    <cfRule type="expression" priority="10" dxfId="2">
      <formula>AND(DAY(TODAY())=5, MONTH(TODAY())=3, YEAR(TODAY())=2028)</formula>
    </cfRule>
  </conditionalFormatting>
  <conditionalFormatting sqref="J16:J17">
    <cfRule type="expression" priority="11" dxfId="2">
      <formula>AND(DAY(TODAY())=6, MONTH(TODAY())=3, YEAR(TODAY())=2028)</formula>
    </cfRule>
  </conditionalFormatting>
  <conditionalFormatting sqref="K16:K17">
    <cfRule type="expression" priority="12" dxfId="2">
      <formula>AND(DAY(TODAY())=7, MONTH(TODAY())=3, YEAR(TODAY())=2028)</formula>
    </cfRule>
  </conditionalFormatting>
  <conditionalFormatting sqref="L16:L17">
    <cfRule type="expression" priority="13" dxfId="2">
      <formula>AND(DAY(TODAY())=8, MONTH(TODAY())=3, YEAR(TODAY())=2028)</formula>
    </cfRule>
  </conditionalFormatting>
  <conditionalFormatting sqref="M16:M17">
    <cfRule type="expression" priority="14" dxfId="2">
      <formula>AND(DAY(TODAY())=9, MONTH(TODAY())=3, YEAR(TODAY())=2028)</formula>
    </cfRule>
  </conditionalFormatting>
  <conditionalFormatting sqref="N16:N17">
    <cfRule type="expression" priority="15" dxfId="2">
      <formula>AND(DAY(TODAY())=10, MONTH(TODAY())=3, YEAR(TODAY())=2028)</formula>
    </cfRule>
  </conditionalFormatting>
  <conditionalFormatting sqref="O16:O17">
    <cfRule type="expression" priority="16" dxfId="2">
      <formula>AND(DAY(TODAY())=11, MONTH(TODAY())=3, YEAR(TODAY())=2028)</formula>
    </cfRule>
  </conditionalFormatting>
  <conditionalFormatting sqref="P16:P17">
    <cfRule type="expression" priority="17" dxfId="2">
      <formula>AND(DAY(TODAY())=12, MONTH(TODAY())=3, YEAR(TODAY())=2028)</formula>
    </cfRule>
  </conditionalFormatting>
  <conditionalFormatting sqref="Q16:Q17">
    <cfRule type="expression" priority="18" dxfId="2">
      <formula>AND(DAY(TODAY())=13, MONTH(TODAY())=3, YEAR(TODAY())=2028)</formula>
    </cfRule>
  </conditionalFormatting>
  <conditionalFormatting sqref="R16:R17">
    <cfRule type="expression" priority="19" dxfId="2">
      <formula>AND(DAY(TODAY())=14, MONTH(TODAY())=3, YEAR(TODAY())=2028)</formula>
    </cfRule>
  </conditionalFormatting>
  <conditionalFormatting sqref="S16:S17">
    <cfRule type="expression" priority="20" dxfId="2">
      <formula>AND(DAY(TODAY())=15, MONTH(TODAY())=3, YEAR(TODAY())=2028)</formula>
    </cfRule>
  </conditionalFormatting>
  <conditionalFormatting sqref="T16:T17">
    <cfRule type="expression" priority="21" dxfId="2">
      <formula>AND(DAY(TODAY())=16, MONTH(TODAY())=3, YEAR(TODAY())=2028)</formula>
    </cfRule>
  </conditionalFormatting>
  <conditionalFormatting sqref="U16:U17">
    <cfRule type="expression" priority="22" dxfId="2">
      <formula>AND(DAY(TODAY())=17, MONTH(TODAY())=3, YEAR(TODAY())=2028)</formula>
    </cfRule>
  </conditionalFormatting>
  <conditionalFormatting sqref="V16:V17">
    <cfRule type="expression" priority="23" dxfId="2">
      <formula>AND(DAY(TODAY())=18, MONTH(TODAY())=3, YEAR(TODAY())=2028)</formula>
    </cfRule>
  </conditionalFormatting>
  <conditionalFormatting sqref="W16:W17">
    <cfRule type="expression" priority="24" dxfId="2">
      <formula>AND(DAY(TODAY())=19, MONTH(TODAY())=3, YEAR(TODAY())=2028)</formula>
    </cfRule>
  </conditionalFormatting>
  <conditionalFormatting sqref="X16:X17">
    <cfRule type="expression" priority="25" dxfId="2">
      <formula>AND(DAY(TODAY())=20, MONTH(TODAY())=3, YEAR(TODAY())=2028)</formula>
    </cfRule>
  </conditionalFormatting>
  <conditionalFormatting sqref="Y16:Y17">
    <cfRule type="expression" priority="26" dxfId="2">
      <formula>AND(DAY(TODAY())=21, MONTH(TODAY())=3, YEAR(TODAY())=2028)</formula>
    </cfRule>
  </conditionalFormatting>
  <conditionalFormatting sqref="Z16:Z17">
    <cfRule type="expression" priority="27" dxfId="2">
      <formula>AND(DAY(TODAY())=22, MONTH(TODAY())=3, YEAR(TODAY())=2028)</formula>
    </cfRule>
  </conditionalFormatting>
  <conditionalFormatting sqref="AA16:AA17">
    <cfRule type="expression" priority="28" dxfId="2">
      <formula>AND(DAY(TODAY())=23, MONTH(TODAY())=3, YEAR(TODAY())=2028)</formula>
    </cfRule>
  </conditionalFormatting>
  <conditionalFormatting sqref="AB16:AB17">
    <cfRule type="expression" priority="29" dxfId="2">
      <formula>AND(DAY(TODAY())=24, MONTH(TODAY())=3, YEAR(TODAY())=2028)</formula>
    </cfRule>
  </conditionalFormatting>
  <conditionalFormatting sqref="AC16:AC17">
    <cfRule type="expression" priority="30" dxfId="2">
      <formula>AND(DAY(TODAY())=25, MONTH(TODAY())=3, YEAR(TODAY())=2028)</formula>
    </cfRule>
  </conditionalFormatting>
  <conditionalFormatting sqref="AD16:AD17">
    <cfRule type="expression" priority="31" dxfId="2">
      <formula>AND(DAY(TODAY())=26, MONTH(TODAY())=3, YEAR(TODAY())=2028)</formula>
    </cfRule>
  </conditionalFormatting>
  <conditionalFormatting sqref="AE16:AE17">
    <cfRule type="expression" priority="32" dxfId="2">
      <formula>AND(DAY(TODAY())=27, MONTH(TODAY())=3, YEAR(TODAY())=2028)</formula>
    </cfRule>
  </conditionalFormatting>
  <conditionalFormatting sqref="AF16:AF17">
    <cfRule type="expression" priority="33" dxfId="2">
      <formula>AND(DAY(TODAY())=28, MONTH(TODAY())=3, YEAR(TODAY())=2028)</formula>
    </cfRule>
  </conditionalFormatting>
  <conditionalFormatting sqref="AG16:AG17">
    <cfRule type="expression" priority="34" dxfId="2">
      <formula>AND(DAY(TODAY())=29, MONTH(TODAY())=3, YEAR(TODAY())=2028)</formula>
    </cfRule>
  </conditionalFormatting>
  <conditionalFormatting sqref="AH16:AH17">
    <cfRule type="expression" priority="35" dxfId="2">
      <formula>AND(DAY(TODAY())=30, MONTH(TODAY())=3, YEAR(TODAY())=2028)</formula>
    </cfRule>
  </conditionalFormatting>
  <conditionalFormatting sqref="AI16:AI17">
    <cfRule type="expression" priority="36" dxfId="2">
      <formula>AND(DAY(TODAY())=31, MONTH(TODAY())=3,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"Success is the sum of small efforts repeated daily."</t>
        </is>
      </c>
      <c r="AD2" s="3" t="inlineStr">
        <is>
          <t>@surajvansh</t>
        </is>
      </c>
    </row>
    <row r="3" ht="18" customHeight="1">
      <c r="A3" s="4" t="inlineStr">
        <is>
          <t>April 2028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2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2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2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2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2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5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5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5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5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5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Apr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MONTH(TODAY())=4, YEAR(TODAY())=2028)</formula>
    </cfRule>
  </conditionalFormatting>
  <conditionalFormatting sqref="F16:F17">
    <cfRule type="expression" priority="7" dxfId="2">
      <formula>AND(DAY(TODAY())=2, MONTH(TODAY())=4, YEAR(TODAY())=2028)</formula>
    </cfRule>
  </conditionalFormatting>
  <conditionalFormatting sqref="G16:G17">
    <cfRule type="expression" priority="8" dxfId="2">
      <formula>AND(DAY(TODAY())=3, MONTH(TODAY())=4, YEAR(TODAY())=2028)</formula>
    </cfRule>
  </conditionalFormatting>
  <conditionalFormatting sqref="H16:H17">
    <cfRule type="expression" priority="9" dxfId="2">
      <formula>AND(DAY(TODAY())=4, MONTH(TODAY())=4, YEAR(TODAY())=2028)</formula>
    </cfRule>
  </conditionalFormatting>
  <conditionalFormatting sqref="I16:I17">
    <cfRule type="expression" priority="10" dxfId="2">
      <formula>AND(DAY(TODAY())=5, MONTH(TODAY())=4, YEAR(TODAY())=2028)</formula>
    </cfRule>
  </conditionalFormatting>
  <conditionalFormatting sqref="J16:J17">
    <cfRule type="expression" priority="11" dxfId="2">
      <formula>AND(DAY(TODAY())=6, MONTH(TODAY())=4, YEAR(TODAY())=2028)</formula>
    </cfRule>
  </conditionalFormatting>
  <conditionalFormatting sqref="K16:K17">
    <cfRule type="expression" priority="12" dxfId="2">
      <formula>AND(DAY(TODAY())=7, MONTH(TODAY())=4, YEAR(TODAY())=2028)</formula>
    </cfRule>
  </conditionalFormatting>
  <conditionalFormatting sqref="L16:L17">
    <cfRule type="expression" priority="13" dxfId="2">
      <formula>AND(DAY(TODAY())=8, MONTH(TODAY())=4, YEAR(TODAY())=2028)</formula>
    </cfRule>
  </conditionalFormatting>
  <conditionalFormatting sqref="M16:M17">
    <cfRule type="expression" priority="14" dxfId="2">
      <formula>AND(DAY(TODAY())=9, MONTH(TODAY())=4, YEAR(TODAY())=2028)</formula>
    </cfRule>
  </conditionalFormatting>
  <conditionalFormatting sqref="N16:N17">
    <cfRule type="expression" priority="15" dxfId="2">
      <formula>AND(DAY(TODAY())=10, MONTH(TODAY())=4, YEAR(TODAY())=2028)</formula>
    </cfRule>
  </conditionalFormatting>
  <conditionalFormatting sqref="O16:O17">
    <cfRule type="expression" priority="16" dxfId="2">
      <formula>AND(DAY(TODAY())=11, MONTH(TODAY())=4, YEAR(TODAY())=2028)</formula>
    </cfRule>
  </conditionalFormatting>
  <conditionalFormatting sqref="P16:P17">
    <cfRule type="expression" priority="17" dxfId="2">
      <formula>AND(DAY(TODAY())=12, MONTH(TODAY())=4, YEAR(TODAY())=2028)</formula>
    </cfRule>
  </conditionalFormatting>
  <conditionalFormatting sqref="Q16:Q17">
    <cfRule type="expression" priority="18" dxfId="2">
      <formula>AND(DAY(TODAY())=13, MONTH(TODAY())=4, YEAR(TODAY())=2028)</formula>
    </cfRule>
  </conditionalFormatting>
  <conditionalFormatting sqref="R16:R17">
    <cfRule type="expression" priority="19" dxfId="2">
      <formula>AND(DAY(TODAY())=14, MONTH(TODAY())=4, YEAR(TODAY())=2028)</formula>
    </cfRule>
  </conditionalFormatting>
  <conditionalFormatting sqref="S16:S17">
    <cfRule type="expression" priority="20" dxfId="2">
      <formula>AND(DAY(TODAY())=15, MONTH(TODAY())=4, YEAR(TODAY())=2028)</formula>
    </cfRule>
  </conditionalFormatting>
  <conditionalFormatting sqref="T16:T17">
    <cfRule type="expression" priority="21" dxfId="2">
      <formula>AND(DAY(TODAY())=16, MONTH(TODAY())=4, YEAR(TODAY())=2028)</formula>
    </cfRule>
  </conditionalFormatting>
  <conditionalFormatting sqref="U16:U17">
    <cfRule type="expression" priority="22" dxfId="2">
      <formula>AND(DAY(TODAY())=17, MONTH(TODAY())=4, YEAR(TODAY())=2028)</formula>
    </cfRule>
  </conditionalFormatting>
  <conditionalFormatting sqref="V16:V17">
    <cfRule type="expression" priority="23" dxfId="2">
      <formula>AND(DAY(TODAY())=18, MONTH(TODAY())=4, YEAR(TODAY())=2028)</formula>
    </cfRule>
  </conditionalFormatting>
  <conditionalFormatting sqref="W16:W17">
    <cfRule type="expression" priority="24" dxfId="2">
      <formula>AND(DAY(TODAY())=19, MONTH(TODAY())=4, YEAR(TODAY())=2028)</formula>
    </cfRule>
  </conditionalFormatting>
  <conditionalFormatting sqref="X16:X17">
    <cfRule type="expression" priority="25" dxfId="2">
      <formula>AND(DAY(TODAY())=20, MONTH(TODAY())=4, YEAR(TODAY())=2028)</formula>
    </cfRule>
  </conditionalFormatting>
  <conditionalFormatting sqref="Y16:Y17">
    <cfRule type="expression" priority="26" dxfId="2">
      <formula>AND(DAY(TODAY())=21, MONTH(TODAY())=4, YEAR(TODAY())=2028)</formula>
    </cfRule>
  </conditionalFormatting>
  <conditionalFormatting sqref="Z16:Z17">
    <cfRule type="expression" priority="27" dxfId="2">
      <formula>AND(DAY(TODAY())=22, MONTH(TODAY())=4, YEAR(TODAY())=2028)</formula>
    </cfRule>
  </conditionalFormatting>
  <conditionalFormatting sqref="AA16:AA17">
    <cfRule type="expression" priority="28" dxfId="2">
      <formula>AND(DAY(TODAY())=23, MONTH(TODAY())=4, YEAR(TODAY())=2028)</formula>
    </cfRule>
  </conditionalFormatting>
  <conditionalFormatting sqref="AB16:AB17">
    <cfRule type="expression" priority="29" dxfId="2">
      <formula>AND(DAY(TODAY())=24, MONTH(TODAY())=4, YEAR(TODAY())=2028)</formula>
    </cfRule>
  </conditionalFormatting>
  <conditionalFormatting sqref="AC16:AC17">
    <cfRule type="expression" priority="30" dxfId="2">
      <formula>AND(DAY(TODAY())=25, MONTH(TODAY())=4, YEAR(TODAY())=2028)</formula>
    </cfRule>
  </conditionalFormatting>
  <conditionalFormatting sqref="AD16:AD17">
    <cfRule type="expression" priority="31" dxfId="2">
      <formula>AND(DAY(TODAY())=26, MONTH(TODAY())=4, YEAR(TODAY())=2028)</formula>
    </cfRule>
  </conditionalFormatting>
  <conditionalFormatting sqref="AE16:AE17">
    <cfRule type="expression" priority="32" dxfId="2">
      <formula>AND(DAY(TODAY())=27, MONTH(TODAY())=4, YEAR(TODAY())=2028)</formula>
    </cfRule>
  </conditionalFormatting>
  <conditionalFormatting sqref="AF16:AF17">
    <cfRule type="expression" priority="33" dxfId="2">
      <formula>AND(DAY(TODAY())=28, MONTH(TODAY())=4, YEAR(TODAY())=2028)</formula>
    </cfRule>
  </conditionalFormatting>
  <conditionalFormatting sqref="AG16:AG17">
    <cfRule type="expression" priority="34" dxfId="2">
      <formula>AND(DAY(TODAY())=29, MONTH(TODAY())=4, YEAR(TODAY())=2028)</formula>
    </cfRule>
  </conditionalFormatting>
  <conditionalFormatting sqref="AH16:AH17">
    <cfRule type="expression" priority="35" dxfId="2">
      <formula>AND(DAY(TODAY())=30, MONTH(TODAY())=4,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"Energy flows where attention goes."</t>
        </is>
      </c>
      <c r="AE2" s="3" t="inlineStr">
        <is>
          <t>@surajvansh</t>
        </is>
      </c>
    </row>
    <row r="3" ht="18" customHeight="1">
      <c r="A3" s="4" t="inlineStr">
        <is>
          <t>May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2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2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2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2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5" t="inlineStr">
        <is>
          <t>W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5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5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5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5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  <c r="AI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May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MONTH(TODAY())=5, YEAR(TODAY())=2028)</formula>
    </cfRule>
  </conditionalFormatting>
  <conditionalFormatting sqref="F16:F17">
    <cfRule type="expression" priority="7" dxfId="2">
      <formula>AND(DAY(TODAY())=2, MONTH(TODAY())=5, YEAR(TODAY())=2028)</formula>
    </cfRule>
  </conditionalFormatting>
  <conditionalFormatting sqref="G16:G17">
    <cfRule type="expression" priority="8" dxfId="2">
      <formula>AND(DAY(TODAY())=3, MONTH(TODAY())=5, YEAR(TODAY())=2028)</formula>
    </cfRule>
  </conditionalFormatting>
  <conditionalFormatting sqref="H16:H17">
    <cfRule type="expression" priority="9" dxfId="2">
      <formula>AND(DAY(TODAY())=4, MONTH(TODAY())=5, YEAR(TODAY())=2028)</formula>
    </cfRule>
  </conditionalFormatting>
  <conditionalFormatting sqref="I16:I17">
    <cfRule type="expression" priority="10" dxfId="2">
      <formula>AND(DAY(TODAY())=5, MONTH(TODAY())=5, YEAR(TODAY())=2028)</formula>
    </cfRule>
  </conditionalFormatting>
  <conditionalFormatting sqref="J16:J17">
    <cfRule type="expression" priority="11" dxfId="2">
      <formula>AND(DAY(TODAY())=6, MONTH(TODAY())=5, YEAR(TODAY())=2028)</formula>
    </cfRule>
  </conditionalFormatting>
  <conditionalFormatting sqref="K16:K17">
    <cfRule type="expression" priority="12" dxfId="2">
      <formula>AND(DAY(TODAY())=7, MONTH(TODAY())=5, YEAR(TODAY())=2028)</formula>
    </cfRule>
  </conditionalFormatting>
  <conditionalFormatting sqref="L16:L17">
    <cfRule type="expression" priority="13" dxfId="2">
      <formula>AND(DAY(TODAY())=8, MONTH(TODAY())=5, YEAR(TODAY())=2028)</formula>
    </cfRule>
  </conditionalFormatting>
  <conditionalFormatting sqref="M16:M17">
    <cfRule type="expression" priority="14" dxfId="2">
      <formula>AND(DAY(TODAY())=9, MONTH(TODAY())=5, YEAR(TODAY())=2028)</formula>
    </cfRule>
  </conditionalFormatting>
  <conditionalFormatting sqref="N16:N17">
    <cfRule type="expression" priority="15" dxfId="2">
      <formula>AND(DAY(TODAY())=10, MONTH(TODAY())=5, YEAR(TODAY())=2028)</formula>
    </cfRule>
  </conditionalFormatting>
  <conditionalFormatting sqref="O16:O17">
    <cfRule type="expression" priority="16" dxfId="2">
      <formula>AND(DAY(TODAY())=11, MONTH(TODAY())=5, YEAR(TODAY())=2028)</formula>
    </cfRule>
  </conditionalFormatting>
  <conditionalFormatting sqref="P16:P17">
    <cfRule type="expression" priority="17" dxfId="2">
      <formula>AND(DAY(TODAY())=12, MONTH(TODAY())=5, YEAR(TODAY())=2028)</formula>
    </cfRule>
  </conditionalFormatting>
  <conditionalFormatting sqref="Q16:Q17">
    <cfRule type="expression" priority="18" dxfId="2">
      <formula>AND(DAY(TODAY())=13, MONTH(TODAY())=5, YEAR(TODAY())=2028)</formula>
    </cfRule>
  </conditionalFormatting>
  <conditionalFormatting sqref="R16:R17">
    <cfRule type="expression" priority="19" dxfId="2">
      <formula>AND(DAY(TODAY())=14, MONTH(TODAY())=5, YEAR(TODAY())=2028)</formula>
    </cfRule>
  </conditionalFormatting>
  <conditionalFormatting sqref="S16:S17">
    <cfRule type="expression" priority="20" dxfId="2">
      <formula>AND(DAY(TODAY())=15, MONTH(TODAY())=5, YEAR(TODAY())=2028)</formula>
    </cfRule>
  </conditionalFormatting>
  <conditionalFormatting sqref="T16:T17">
    <cfRule type="expression" priority="21" dxfId="2">
      <formula>AND(DAY(TODAY())=16, MONTH(TODAY())=5, YEAR(TODAY())=2028)</formula>
    </cfRule>
  </conditionalFormatting>
  <conditionalFormatting sqref="U16:U17">
    <cfRule type="expression" priority="22" dxfId="2">
      <formula>AND(DAY(TODAY())=17, MONTH(TODAY())=5, YEAR(TODAY())=2028)</formula>
    </cfRule>
  </conditionalFormatting>
  <conditionalFormatting sqref="V16:V17">
    <cfRule type="expression" priority="23" dxfId="2">
      <formula>AND(DAY(TODAY())=18, MONTH(TODAY())=5, YEAR(TODAY())=2028)</formula>
    </cfRule>
  </conditionalFormatting>
  <conditionalFormatting sqref="W16:W17">
    <cfRule type="expression" priority="24" dxfId="2">
      <formula>AND(DAY(TODAY())=19, MONTH(TODAY())=5, YEAR(TODAY())=2028)</formula>
    </cfRule>
  </conditionalFormatting>
  <conditionalFormatting sqref="X16:X17">
    <cfRule type="expression" priority="25" dxfId="2">
      <formula>AND(DAY(TODAY())=20, MONTH(TODAY())=5, YEAR(TODAY())=2028)</formula>
    </cfRule>
  </conditionalFormatting>
  <conditionalFormatting sqref="Y16:Y17">
    <cfRule type="expression" priority="26" dxfId="2">
      <formula>AND(DAY(TODAY())=21, MONTH(TODAY())=5, YEAR(TODAY())=2028)</formula>
    </cfRule>
  </conditionalFormatting>
  <conditionalFormatting sqref="Z16:Z17">
    <cfRule type="expression" priority="27" dxfId="2">
      <formula>AND(DAY(TODAY())=22, MONTH(TODAY())=5, YEAR(TODAY())=2028)</formula>
    </cfRule>
  </conditionalFormatting>
  <conditionalFormatting sqref="AA16:AA17">
    <cfRule type="expression" priority="28" dxfId="2">
      <formula>AND(DAY(TODAY())=23, MONTH(TODAY())=5, YEAR(TODAY())=2028)</formula>
    </cfRule>
  </conditionalFormatting>
  <conditionalFormatting sqref="AB16:AB17">
    <cfRule type="expression" priority="29" dxfId="2">
      <formula>AND(DAY(TODAY())=24, MONTH(TODAY())=5, YEAR(TODAY())=2028)</formula>
    </cfRule>
  </conditionalFormatting>
  <conditionalFormatting sqref="AC16:AC17">
    <cfRule type="expression" priority="30" dxfId="2">
      <formula>AND(DAY(TODAY())=25, MONTH(TODAY())=5, YEAR(TODAY())=2028)</formula>
    </cfRule>
  </conditionalFormatting>
  <conditionalFormatting sqref="AD16:AD17">
    <cfRule type="expression" priority="31" dxfId="2">
      <formula>AND(DAY(TODAY())=26, MONTH(TODAY())=5, YEAR(TODAY())=2028)</formula>
    </cfRule>
  </conditionalFormatting>
  <conditionalFormatting sqref="AE16:AE17">
    <cfRule type="expression" priority="32" dxfId="2">
      <formula>AND(DAY(TODAY())=27, MONTH(TODAY())=5, YEAR(TODAY())=2028)</formula>
    </cfRule>
  </conditionalFormatting>
  <conditionalFormatting sqref="AF16:AF17">
    <cfRule type="expression" priority="33" dxfId="2">
      <formula>AND(DAY(TODAY())=28, MONTH(TODAY())=5, YEAR(TODAY())=2028)</formula>
    </cfRule>
  </conditionalFormatting>
  <conditionalFormatting sqref="AG16:AG17">
    <cfRule type="expression" priority="34" dxfId="2">
      <formula>AND(DAY(TODAY())=29, MONTH(TODAY())=5, YEAR(TODAY())=2028)</formula>
    </cfRule>
  </conditionalFormatting>
  <conditionalFormatting sqref="AH16:AH17">
    <cfRule type="expression" priority="35" dxfId="2">
      <formula>AND(DAY(TODAY())=30, MONTH(TODAY())=5, YEAR(TODAY())=2028)</formula>
    </cfRule>
  </conditionalFormatting>
  <conditionalFormatting sqref="AI16:AI17">
    <cfRule type="expression" priority="36" dxfId="2">
      <formula>AND(DAY(TODAY())=31, MONTH(TODAY())=5,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"Your future is created by what you do today."</t>
        </is>
      </c>
      <c r="AD2" s="3" t="inlineStr">
        <is>
          <t>@surajvansh</t>
        </is>
      </c>
    </row>
    <row r="3" ht="18" customHeight="1">
      <c r="A3" s="4" t="inlineStr">
        <is>
          <t>June 2028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2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2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2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2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5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5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5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5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Jun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MONTH(TODAY())=6, YEAR(TODAY())=2028)</formula>
    </cfRule>
  </conditionalFormatting>
  <conditionalFormatting sqref="F16:F17">
    <cfRule type="expression" priority="7" dxfId="2">
      <formula>AND(DAY(TODAY())=2, MONTH(TODAY())=6, YEAR(TODAY())=2028)</formula>
    </cfRule>
  </conditionalFormatting>
  <conditionalFormatting sqref="G16:G17">
    <cfRule type="expression" priority="8" dxfId="2">
      <formula>AND(DAY(TODAY())=3, MONTH(TODAY())=6, YEAR(TODAY())=2028)</formula>
    </cfRule>
  </conditionalFormatting>
  <conditionalFormatting sqref="H16:H17">
    <cfRule type="expression" priority="9" dxfId="2">
      <formula>AND(DAY(TODAY())=4, MONTH(TODAY())=6, YEAR(TODAY())=2028)</formula>
    </cfRule>
  </conditionalFormatting>
  <conditionalFormatting sqref="I16:I17">
    <cfRule type="expression" priority="10" dxfId="2">
      <formula>AND(DAY(TODAY())=5, MONTH(TODAY())=6, YEAR(TODAY())=2028)</formula>
    </cfRule>
  </conditionalFormatting>
  <conditionalFormatting sqref="J16:J17">
    <cfRule type="expression" priority="11" dxfId="2">
      <formula>AND(DAY(TODAY())=6, MONTH(TODAY())=6, YEAR(TODAY())=2028)</formula>
    </cfRule>
  </conditionalFormatting>
  <conditionalFormatting sqref="K16:K17">
    <cfRule type="expression" priority="12" dxfId="2">
      <formula>AND(DAY(TODAY())=7, MONTH(TODAY())=6, YEAR(TODAY())=2028)</formula>
    </cfRule>
  </conditionalFormatting>
  <conditionalFormatting sqref="L16:L17">
    <cfRule type="expression" priority="13" dxfId="2">
      <formula>AND(DAY(TODAY())=8, MONTH(TODAY())=6, YEAR(TODAY())=2028)</formula>
    </cfRule>
  </conditionalFormatting>
  <conditionalFormatting sqref="M16:M17">
    <cfRule type="expression" priority="14" dxfId="2">
      <formula>AND(DAY(TODAY())=9, MONTH(TODAY())=6, YEAR(TODAY())=2028)</formula>
    </cfRule>
  </conditionalFormatting>
  <conditionalFormatting sqref="N16:N17">
    <cfRule type="expression" priority="15" dxfId="2">
      <formula>AND(DAY(TODAY())=10, MONTH(TODAY())=6, YEAR(TODAY())=2028)</formula>
    </cfRule>
  </conditionalFormatting>
  <conditionalFormatting sqref="O16:O17">
    <cfRule type="expression" priority="16" dxfId="2">
      <formula>AND(DAY(TODAY())=11, MONTH(TODAY())=6, YEAR(TODAY())=2028)</formula>
    </cfRule>
  </conditionalFormatting>
  <conditionalFormatting sqref="P16:P17">
    <cfRule type="expression" priority="17" dxfId="2">
      <formula>AND(DAY(TODAY())=12, MONTH(TODAY())=6, YEAR(TODAY())=2028)</formula>
    </cfRule>
  </conditionalFormatting>
  <conditionalFormatting sqref="Q16:Q17">
    <cfRule type="expression" priority="18" dxfId="2">
      <formula>AND(DAY(TODAY())=13, MONTH(TODAY())=6, YEAR(TODAY())=2028)</formula>
    </cfRule>
  </conditionalFormatting>
  <conditionalFormatting sqref="R16:R17">
    <cfRule type="expression" priority="19" dxfId="2">
      <formula>AND(DAY(TODAY())=14, MONTH(TODAY())=6, YEAR(TODAY())=2028)</formula>
    </cfRule>
  </conditionalFormatting>
  <conditionalFormatting sqref="S16:S17">
    <cfRule type="expression" priority="20" dxfId="2">
      <formula>AND(DAY(TODAY())=15, MONTH(TODAY())=6, YEAR(TODAY())=2028)</formula>
    </cfRule>
  </conditionalFormatting>
  <conditionalFormatting sqref="T16:T17">
    <cfRule type="expression" priority="21" dxfId="2">
      <formula>AND(DAY(TODAY())=16, MONTH(TODAY())=6, YEAR(TODAY())=2028)</formula>
    </cfRule>
  </conditionalFormatting>
  <conditionalFormatting sqref="U16:U17">
    <cfRule type="expression" priority="22" dxfId="2">
      <formula>AND(DAY(TODAY())=17, MONTH(TODAY())=6, YEAR(TODAY())=2028)</formula>
    </cfRule>
  </conditionalFormatting>
  <conditionalFormatting sqref="V16:V17">
    <cfRule type="expression" priority="23" dxfId="2">
      <formula>AND(DAY(TODAY())=18, MONTH(TODAY())=6, YEAR(TODAY())=2028)</formula>
    </cfRule>
  </conditionalFormatting>
  <conditionalFormatting sqref="W16:W17">
    <cfRule type="expression" priority="24" dxfId="2">
      <formula>AND(DAY(TODAY())=19, MONTH(TODAY())=6, YEAR(TODAY())=2028)</formula>
    </cfRule>
  </conditionalFormatting>
  <conditionalFormatting sqref="X16:X17">
    <cfRule type="expression" priority="25" dxfId="2">
      <formula>AND(DAY(TODAY())=20, MONTH(TODAY())=6, YEAR(TODAY())=2028)</formula>
    </cfRule>
  </conditionalFormatting>
  <conditionalFormatting sqref="Y16:Y17">
    <cfRule type="expression" priority="26" dxfId="2">
      <formula>AND(DAY(TODAY())=21, MONTH(TODAY())=6, YEAR(TODAY())=2028)</formula>
    </cfRule>
  </conditionalFormatting>
  <conditionalFormatting sqref="Z16:Z17">
    <cfRule type="expression" priority="27" dxfId="2">
      <formula>AND(DAY(TODAY())=22, MONTH(TODAY())=6, YEAR(TODAY())=2028)</formula>
    </cfRule>
  </conditionalFormatting>
  <conditionalFormatting sqref="AA16:AA17">
    <cfRule type="expression" priority="28" dxfId="2">
      <formula>AND(DAY(TODAY())=23, MONTH(TODAY())=6, YEAR(TODAY())=2028)</formula>
    </cfRule>
  </conditionalFormatting>
  <conditionalFormatting sqref="AB16:AB17">
    <cfRule type="expression" priority="29" dxfId="2">
      <formula>AND(DAY(TODAY())=24, MONTH(TODAY())=6, YEAR(TODAY())=2028)</formula>
    </cfRule>
  </conditionalFormatting>
  <conditionalFormatting sqref="AC16:AC17">
    <cfRule type="expression" priority="30" dxfId="2">
      <formula>AND(DAY(TODAY())=25, MONTH(TODAY())=6, YEAR(TODAY())=2028)</formula>
    </cfRule>
  </conditionalFormatting>
  <conditionalFormatting sqref="AD16:AD17">
    <cfRule type="expression" priority="31" dxfId="2">
      <formula>AND(DAY(TODAY())=26, MONTH(TODAY())=6, YEAR(TODAY())=2028)</formula>
    </cfRule>
  </conditionalFormatting>
  <conditionalFormatting sqref="AE16:AE17">
    <cfRule type="expression" priority="32" dxfId="2">
      <formula>AND(DAY(TODAY())=27, MONTH(TODAY())=6, YEAR(TODAY())=2028)</formula>
    </cfRule>
  </conditionalFormatting>
  <conditionalFormatting sqref="AF16:AF17">
    <cfRule type="expression" priority="33" dxfId="2">
      <formula>AND(DAY(TODAY())=28, MONTH(TODAY())=6, YEAR(TODAY())=2028)</formula>
    </cfRule>
  </conditionalFormatting>
  <conditionalFormatting sqref="AG16:AG17">
    <cfRule type="expression" priority="34" dxfId="2">
      <formula>AND(DAY(TODAY())=29, MONTH(TODAY())=6, YEAR(TODAY())=2028)</formula>
    </cfRule>
  </conditionalFormatting>
  <conditionalFormatting sqref="AH16:AH17">
    <cfRule type="expression" priority="35" dxfId="2">
      <formula>AND(DAY(TODAY())=30, MONTH(TODAY())=6,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"Mastery is a journey, not a destination."</t>
        </is>
      </c>
      <c r="AE2" s="3" t="inlineStr">
        <is>
          <t>@surajvansh</t>
        </is>
      </c>
    </row>
    <row r="3" ht="18" customHeight="1">
      <c r="A3" s="4" t="inlineStr">
        <is>
          <t>July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2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2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2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2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2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5" t="inlineStr">
        <is>
          <t>M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5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5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5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5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5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  <c r="AI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Jul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MONTH(TODAY())=7, YEAR(TODAY())=2028)</formula>
    </cfRule>
  </conditionalFormatting>
  <conditionalFormatting sqref="F16:F17">
    <cfRule type="expression" priority="7" dxfId="2">
      <formula>AND(DAY(TODAY())=2, MONTH(TODAY())=7, YEAR(TODAY())=2028)</formula>
    </cfRule>
  </conditionalFormatting>
  <conditionalFormatting sqref="G16:G17">
    <cfRule type="expression" priority="8" dxfId="2">
      <formula>AND(DAY(TODAY())=3, MONTH(TODAY())=7, YEAR(TODAY())=2028)</formula>
    </cfRule>
  </conditionalFormatting>
  <conditionalFormatting sqref="H16:H17">
    <cfRule type="expression" priority="9" dxfId="2">
      <formula>AND(DAY(TODAY())=4, MONTH(TODAY())=7, YEAR(TODAY())=2028)</formula>
    </cfRule>
  </conditionalFormatting>
  <conditionalFormatting sqref="I16:I17">
    <cfRule type="expression" priority="10" dxfId="2">
      <formula>AND(DAY(TODAY())=5, MONTH(TODAY())=7, YEAR(TODAY())=2028)</formula>
    </cfRule>
  </conditionalFormatting>
  <conditionalFormatting sqref="J16:J17">
    <cfRule type="expression" priority="11" dxfId="2">
      <formula>AND(DAY(TODAY())=6, MONTH(TODAY())=7, YEAR(TODAY())=2028)</formula>
    </cfRule>
  </conditionalFormatting>
  <conditionalFormatting sqref="K16:K17">
    <cfRule type="expression" priority="12" dxfId="2">
      <formula>AND(DAY(TODAY())=7, MONTH(TODAY())=7, YEAR(TODAY())=2028)</formula>
    </cfRule>
  </conditionalFormatting>
  <conditionalFormatting sqref="L16:L17">
    <cfRule type="expression" priority="13" dxfId="2">
      <formula>AND(DAY(TODAY())=8, MONTH(TODAY())=7, YEAR(TODAY())=2028)</formula>
    </cfRule>
  </conditionalFormatting>
  <conditionalFormatting sqref="M16:M17">
    <cfRule type="expression" priority="14" dxfId="2">
      <formula>AND(DAY(TODAY())=9, MONTH(TODAY())=7, YEAR(TODAY())=2028)</formula>
    </cfRule>
  </conditionalFormatting>
  <conditionalFormatting sqref="N16:N17">
    <cfRule type="expression" priority="15" dxfId="2">
      <formula>AND(DAY(TODAY())=10, MONTH(TODAY())=7, YEAR(TODAY())=2028)</formula>
    </cfRule>
  </conditionalFormatting>
  <conditionalFormatting sqref="O16:O17">
    <cfRule type="expression" priority="16" dxfId="2">
      <formula>AND(DAY(TODAY())=11, MONTH(TODAY())=7, YEAR(TODAY())=2028)</formula>
    </cfRule>
  </conditionalFormatting>
  <conditionalFormatting sqref="P16:P17">
    <cfRule type="expression" priority="17" dxfId="2">
      <formula>AND(DAY(TODAY())=12, MONTH(TODAY())=7, YEAR(TODAY())=2028)</formula>
    </cfRule>
  </conditionalFormatting>
  <conditionalFormatting sqref="Q16:Q17">
    <cfRule type="expression" priority="18" dxfId="2">
      <formula>AND(DAY(TODAY())=13, MONTH(TODAY())=7, YEAR(TODAY())=2028)</formula>
    </cfRule>
  </conditionalFormatting>
  <conditionalFormatting sqref="R16:R17">
    <cfRule type="expression" priority="19" dxfId="2">
      <formula>AND(DAY(TODAY())=14, MONTH(TODAY())=7, YEAR(TODAY())=2028)</formula>
    </cfRule>
  </conditionalFormatting>
  <conditionalFormatting sqref="S16:S17">
    <cfRule type="expression" priority="20" dxfId="2">
      <formula>AND(DAY(TODAY())=15, MONTH(TODAY())=7, YEAR(TODAY())=2028)</formula>
    </cfRule>
  </conditionalFormatting>
  <conditionalFormatting sqref="T16:T17">
    <cfRule type="expression" priority="21" dxfId="2">
      <formula>AND(DAY(TODAY())=16, MONTH(TODAY())=7, YEAR(TODAY())=2028)</formula>
    </cfRule>
  </conditionalFormatting>
  <conditionalFormatting sqref="U16:U17">
    <cfRule type="expression" priority="22" dxfId="2">
      <formula>AND(DAY(TODAY())=17, MONTH(TODAY())=7, YEAR(TODAY())=2028)</formula>
    </cfRule>
  </conditionalFormatting>
  <conditionalFormatting sqref="V16:V17">
    <cfRule type="expression" priority="23" dxfId="2">
      <formula>AND(DAY(TODAY())=18, MONTH(TODAY())=7, YEAR(TODAY())=2028)</formula>
    </cfRule>
  </conditionalFormatting>
  <conditionalFormatting sqref="W16:W17">
    <cfRule type="expression" priority="24" dxfId="2">
      <formula>AND(DAY(TODAY())=19, MONTH(TODAY())=7, YEAR(TODAY())=2028)</formula>
    </cfRule>
  </conditionalFormatting>
  <conditionalFormatting sqref="X16:X17">
    <cfRule type="expression" priority="25" dxfId="2">
      <formula>AND(DAY(TODAY())=20, MONTH(TODAY())=7, YEAR(TODAY())=2028)</formula>
    </cfRule>
  </conditionalFormatting>
  <conditionalFormatting sqref="Y16:Y17">
    <cfRule type="expression" priority="26" dxfId="2">
      <formula>AND(DAY(TODAY())=21, MONTH(TODAY())=7, YEAR(TODAY())=2028)</formula>
    </cfRule>
  </conditionalFormatting>
  <conditionalFormatting sqref="Z16:Z17">
    <cfRule type="expression" priority="27" dxfId="2">
      <formula>AND(DAY(TODAY())=22, MONTH(TODAY())=7, YEAR(TODAY())=2028)</formula>
    </cfRule>
  </conditionalFormatting>
  <conditionalFormatting sqref="AA16:AA17">
    <cfRule type="expression" priority="28" dxfId="2">
      <formula>AND(DAY(TODAY())=23, MONTH(TODAY())=7, YEAR(TODAY())=2028)</formula>
    </cfRule>
  </conditionalFormatting>
  <conditionalFormatting sqref="AB16:AB17">
    <cfRule type="expression" priority="29" dxfId="2">
      <formula>AND(DAY(TODAY())=24, MONTH(TODAY())=7, YEAR(TODAY())=2028)</formula>
    </cfRule>
  </conditionalFormatting>
  <conditionalFormatting sqref="AC16:AC17">
    <cfRule type="expression" priority="30" dxfId="2">
      <formula>AND(DAY(TODAY())=25, MONTH(TODAY())=7, YEAR(TODAY())=2028)</formula>
    </cfRule>
  </conditionalFormatting>
  <conditionalFormatting sqref="AD16:AD17">
    <cfRule type="expression" priority="31" dxfId="2">
      <formula>AND(DAY(TODAY())=26, MONTH(TODAY())=7, YEAR(TODAY())=2028)</formula>
    </cfRule>
  </conditionalFormatting>
  <conditionalFormatting sqref="AE16:AE17">
    <cfRule type="expression" priority="32" dxfId="2">
      <formula>AND(DAY(TODAY())=27, MONTH(TODAY())=7, YEAR(TODAY())=2028)</formula>
    </cfRule>
  </conditionalFormatting>
  <conditionalFormatting sqref="AF16:AF17">
    <cfRule type="expression" priority="33" dxfId="2">
      <formula>AND(DAY(TODAY())=28, MONTH(TODAY())=7, YEAR(TODAY())=2028)</formula>
    </cfRule>
  </conditionalFormatting>
  <conditionalFormatting sqref="AG16:AG17">
    <cfRule type="expression" priority="34" dxfId="2">
      <formula>AND(DAY(TODAY())=29, MONTH(TODAY())=7, YEAR(TODAY())=2028)</formula>
    </cfRule>
  </conditionalFormatting>
  <conditionalFormatting sqref="AH16:AH17">
    <cfRule type="expression" priority="35" dxfId="2">
      <formula>AND(DAY(TODAY())=30, MONTH(TODAY())=7, YEAR(TODAY())=2028)</formula>
    </cfRule>
  </conditionalFormatting>
  <conditionalFormatting sqref="AI16:AI17">
    <cfRule type="expression" priority="36" dxfId="2">
      <formula>AND(DAY(TODAY())=31, MONTH(TODAY())=7,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"Consistency creates momentum."</t>
        </is>
      </c>
      <c r="AE2" s="3" t="inlineStr">
        <is>
          <t>@surajvansh</t>
        </is>
      </c>
    </row>
    <row r="3" ht="18" customHeight="1">
      <c r="A3" s="4" t="inlineStr">
        <is>
          <t>August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2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2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2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2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5" t="inlineStr">
        <is>
          <t>Th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5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5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5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5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  <c r="AI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Aug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MONTH(TODAY())=8, YEAR(TODAY())=2028)</formula>
    </cfRule>
  </conditionalFormatting>
  <conditionalFormatting sqref="F16:F17">
    <cfRule type="expression" priority="7" dxfId="2">
      <formula>AND(DAY(TODAY())=2, MONTH(TODAY())=8, YEAR(TODAY())=2028)</formula>
    </cfRule>
  </conditionalFormatting>
  <conditionalFormatting sqref="G16:G17">
    <cfRule type="expression" priority="8" dxfId="2">
      <formula>AND(DAY(TODAY())=3, MONTH(TODAY())=8, YEAR(TODAY())=2028)</formula>
    </cfRule>
  </conditionalFormatting>
  <conditionalFormatting sqref="H16:H17">
    <cfRule type="expression" priority="9" dxfId="2">
      <formula>AND(DAY(TODAY())=4, MONTH(TODAY())=8, YEAR(TODAY())=2028)</formula>
    </cfRule>
  </conditionalFormatting>
  <conditionalFormatting sqref="I16:I17">
    <cfRule type="expression" priority="10" dxfId="2">
      <formula>AND(DAY(TODAY())=5, MONTH(TODAY())=8, YEAR(TODAY())=2028)</formula>
    </cfRule>
  </conditionalFormatting>
  <conditionalFormatting sqref="J16:J17">
    <cfRule type="expression" priority="11" dxfId="2">
      <formula>AND(DAY(TODAY())=6, MONTH(TODAY())=8, YEAR(TODAY())=2028)</formula>
    </cfRule>
  </conditionalFormatting>
  <conditionalFormatting sqref="K16:K17">
    <cfRule type="expression" priority="12" dxfId="2">
      <formula>AND(DAY(TODAY())=7, MONTH(TODAY())=8, YEAR(TODAY())=2028)</formula>
    </cfRule>
  </conditionalFormatting>
  <conditionalFormatting sqref="L16:L17">
    <cfRule type="expression" priority="13" dxfId="2">
      <formula>AND(DAY(TODAY())=8, MONTH(TODAY())=8, YEAR(TODAY())=2028)</formula>
    </cfRule>
  </conditionalFormatting>
  <conditionalFormatting sqref="M16:M17">
    <cfRule type="expression" priority="14" dxfId="2">
      <formula>AND(DAY(TODAY())=9, MONTH(TODAY())=8, YEAR(TODAY())=2028)</formula>
    </cfRule>
  </conditionalFormatting>
  <conditionalFormatting sqref="N16:N17">
    <cfRule type="expression" priority="15" dxfId="2">
      <formula>AND(DAY(TODAY())=10, MONTH(TODAY())=8, YEAR(TODAY())=2028)</formula>
    </cfRule>
  </conditionalFormatting>
  <conditionalFormatting sqref="O16:O17">
    <cfRule type="expression" priority="16" dxfId="2">
      <formula>AND(DAY(TODAY())=11, MONTH(TODAY())=8, YEAR(TODAY())=2028)</formula>
    </cfRule>
  </conditionalFormatting>
  <conditionalFormatting sqref="P16:P17">
    <cfRule type="expression" priority="17" dxfId="2">
      <formula>AND(DAY(TODAY())=12, MONTH(TODAY())=8, YEAR(TODAY())=2028)</formula>
    </cfRule>
  </conditionalFormatting>
  <conditionalFormatting sqref="Q16:Q17">
    <cfRule type="expression" priority="18" dxfId="2">
      <formula>AND(DAY(TODAY())=13, MONTH(TODAY())=8, YEAR(TODAY())=2028)</formula>
    </cfRule>
  </conditionalFormatting>
  <conditionalFormatting sqref="R16:R17">
    <cfRule type="expression" priority="19" dxfId="2">
      <formula>AND(DAY(TODAY())=14, MONTH(TODAY())=8, YEAR(TODAY())=2028)</formula>
    </cfRule>
  </conditionalFormatting>
  <conditionalFormatting sqref="S16:S17">
    <cfRule type="expression" priority="20" dxfId="2">
      <formula>AND(DAY(TODAY())=15, MONTH(TODAY())=8, YEAR(TODAY())=2028)</formula>
    </cfRule>
  </conditionalFormatting>
  <conditionalFormatting sqref="T16:T17">
    <cfRule type="expression" priority="21" dxfId="2">
      <formula>AND(DAY(TODAY())=16, MONTH(TODAY())=8, YEAR(TODAY())=2028)</formula>
    </cfRule>
  </conditionalFormatting>
  <conditionalFormatting sqref="U16:U17">
    <cfRule type="expression" priority="22" dxfId="2">
      <formula>AND(DAY(TODAY())=17, MONTH(TODAY())=8, YEAR(TODAY())=2028)</formula>
    </cfRule>
  </conditionalFormatting>
  <conditionalFormatting sqref="V16:V17">
    <cfRule type="expression" priority="23" dxfId="2">
      <formula>AND(DAY(TODAY())=18, MONTH(TODAY())=8, YEAR(TODAY())=2028)</formula>
    </cfRule>
  </conditionalFormatting>
  <conditionalFormatting sqref="W16:W17">
    <cfRule type="expression" priority="24" dxfId="2">
      <formula>AND(DAY(TODAY())=19, MONTH(TODAY())=8, YEAR(TODAY())=2028)</formula>
    </cfRule>
  </conditionalFormatting>
  <conditionalFormatting sqref="X16:X17">
    <cfRule type="expression" priority="25" dxfId="2">
      <formula>AND(DAY(TODAY())=20, MONTH(TODAY())=8, YEAR(TODAY())=2028)</formula>
    </cfRule>
  </conditionalFormatting>
  <conditionalFormatting sqref="Y16:Y17">
    <cfRule type="expression" priority="26" dxfId="2">
      <formula>AND(DAY(TODAY())=21, MONTH(TODAY())=8, YEAR(TODAY())=2028)</formula>
    </cfRule>
  </conditionalFormatting>
  <conditionalFormatting sqref="Z16:Z17">
    <cfRule type="expression" priority="27" dxfId="2">
      <formula>AND(DAY(TODAY())=22, MONTH(TODAY())=8, YEAR(TODAY())=2028)</formula>
    </cfRule>
  </conditionalFormatting>
  <conditionalFormatting sqref="AA16:AA17">
    <cfRule type="expression" priority="28" dxfId="2">
      <formula>AND(DAY(TODAY())=23, MONTH(TODAY())=8, YEAR(TODAY())=2028)</formula>
    </cfRule>
  </conditionalFormatting>
  <conditionalFormatting sqref="AB16:AB17">
    <cfRule type="expression" priority="29" dxfId="2">
      <formula>AND(DAY(TODAY())=24, MONTH(TODAY())=8, YEAR(TODAY())=2028)</formula>
    </cfRule>
  </conditionalFormatting>
  <conditionalFormatting sqref="AC16:AC17">
    <cfRule type="expression" priority="30" dxfId="2">
      <formula>AND(DAY(TODAY())=25, MONTH(TODAY())=8, YEAR(TODAY())=2028)</formula>
    </cfRule>
  </conditionalFormatting>
  <conditionalFormatting sqref="AD16:AD17">
    <cfRule type="expression" priority="31" dxfId="2">
      <formula>AND(DAY(TODAY())=26, MONTH(TODAY())=8, YEAR(TODAY())=2028)</formula>
    </cfRule>
  </conditionalFormatting>
  <conditionalFormatting sqref="AE16:AE17">
    <cfRule type="expression" priority="32" dxfId="2">
      <formula>AND(DAY(TODAY())=27, MONTH(TODAY())=8, YEAR(TODAY())=2028)</formula>
    </cfRule>
  </conditionalFormatting>
  <conditionalFormatting sqref="AF16:AF17">
    <cfRule type="expression" priority="33" dxfId="2">
      <formula>AND(DAY(TODAY())=28, MONTH(TODAY())=8, YEAR(TODAY())=2028)</formula>
    </cfRule>
  </conditionalFormatting>
  <conditionalFormatting sqref="AG16:AG17">
    <cfRule type="expression" priority="34" dxfId="2">
      <formula>AND(DAY(TODAY())=29, MONTH(TODAY())=8, YEAR(TODAY())=2028)</formula>
    </cfRule>
  </conditionalFormatting>
  <conditionalFormatting sqref="AH16:AH17">
    <cfRule type="expression" priority="35" dxfId="2">
      <formula>AND(DAY(TODAY())=30, MONTH(TODAY())=8, YEAR(TODAY())=2028)</formula>
    </cfRule>
  </conditionalFormatting>
  <conditionalFormatting sqref="AI16:AI17">
    <cfRule type="expression" priority="36" dxfId="2">
      <formula>AND(DAY(TODAY())=31, MONTH(TODAY())=8,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D2" s="3" t="inlineStr">
        <is>
          <t>@surajvansh</t>
        </is>
      </c>
    </row>
    <row r="3" ht="18" customHeight="1">
      <c r="A3" s="4" t="inlineStr">
        <is>
          <t>September 2028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2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2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2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2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5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5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5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5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Sep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MONTH(TODAY())=9, YEAR(TODAY())=2028)</formula>
    </cfRule>
  </conditionalFormatting>
  <conditionalFormatting sqref="F16:F17">
    <cfRule type="expression" priority="7" dxfId="2">
      <formula>AND(DAY(TODAY())=2, MONTH(TODAY())=9, YEAR(TODAY())=2028)</formula>
    </cfRule>
  </conditionalFormatting>
  <conditionalFormatting sqref="G16:G17">
    <cfRule type="expression" priority="8" dxfId="2">
      <formula>AND(DAY(TODAY())=3, MONTH(TODAY())=9, YEAR(TODAY())=2028)</formula>
    </cfRule>
  </conditionalFormatting>
  <conditionalFormatting sqref="H16:H17">
    <cfRule type="expression" priority="9" dxfId="2">
      <formula>AND(DAY(TODAY())=4, MONTH(TODAY())=9, YEAR(TODAY())=2028)</formula>
    </cfRule>
  </conditionalFormatting>
  <conditionalFormatting sqref="I16:I17">
    <cfRule type="expression" priority="10" dxfId="2">
      <formula>AND(DAY(TODAY())=5, MONTH(TODAY())=9, YEAR(TODAY())=2028)</formula>
    </cfRule>
  </conditionalFormatting>
  <conditionalFormatting sqref="J16:J17">
    <cfRule type="expression" priority="11" dxfId="2">
      <formula>AND(DAY(TODAY())=6, MONTH(TODAY())=9, YEAR(TODAY())=2028)</formula>
    </cfRule>
  </conditionalFormatting>
  <conditionalFormatting sqref="K16:K17">
    <cfRule type="expression" priority="12" dxfId="2">
      <formula>AND(DAY(TODAY())=7, MONTH(TODAY())=9, YEAR(TODAY())=2028)</formula>
    </cfRule>
  </conditionalFormatting>
  <conditionalFormatting sqref="L16:L17">
    <cfRule type="expression" priority="13" dxfId="2">
      <formula>AND(DAY(TODAY())=8, MONTH(TODAY())=9, YEAR(TODAY())=2028)</formula>
    </cfRule>
  </conditionalFormatting>
  <conditionalFormatting sqref="M16:M17">
    <cfRule type="expression" priority="14" dxfId="2">
      <formula>AND(DAY(TODAY())=9, MONTH(TODAY())=9, YEAR(TODAY())=2028)</formula>
    </cfRule>
  </conditionalFormatting>
  <conditionalFormatting sqref="N16:N17">
    <cfRule type="expression" priority="15" dxfId="2">
      <formula>AND(DAY(TODAY())=10, MONTH(TODAY())=9, YEAR(TODAY())=2028)</formula>
    </cfRule>
  </conditionalFormatting>
  <conditionalFormatting sqref="O16:O17">
    <cfRule type="expression" priority="16" dxfId="2">
      <formula>AND(DAY(TODAY())=11, MONTH(TODAY())=9, YEAR(TODAY())=2028)</formula>
    </cfRule>
  </conditionalFormatting>
  <conditionalFormatting sqref="P16:P17">
    <cfRule type="expression" priority="17" dxfId="2">
      <formula>AND(DAY(TODAY())=12, MONTH(TODAY())=9, YEAR(TODAY())=2028)</formula>
    </cfRule>
  </conditionalFormatting>
  <conditionalFormatting sqref="Q16:Q17">
    <cfRule type="expression" priority="18" dxfId="2">
      <formula>AND(DAY(TODAY())=13, MONTH(TODAY())=9, YEAR(TODAY())=2028)</formula>
    </cfRule>
  </conditionalFormatting>
  <conditionalFormatting sqref="R16:R17">
    <cfRule type="expression" priority="19" dxfId="2">
      <formula>AND(DAY(TODAY())=14, MONTH(TODAY())=9, YEAR(TODAY())=2028)</formula>
    </cfRule>
  </conditionalFormatting>
  <conditionalFormatting sqref="S16:S17">
    <cfRule type="expression" priority="20" dxfId="2">
      <formula>AND(DAY(TODAY())=15, MONTH(TODAY())=9, YEAR(TODAY())=2028)</formula>
    </cfRule>
  </conditionalFormatting>
  <conditionalFormatting sqref="T16:T17">
    <cfRule type="expression" priority="21" dxfId="2">
      <formula>AND(DAY(TODAY())=16, MONTH(TODAY())=9, YEAR(TODAY())=2028)</formula>
    </cfRule>
  </conditionalFormatting>
  <conditionalFormatting sqref="U16:U17">
    <cfRule type="expression" priority="22" dxfId="2">
      <formula>AND(DAY(TODAY())=17, MONTH(TODAY())=9, YEAR(TODAY())=2028)</formula>
    </cfRule>
  </conditionalFormatting>
  <conditionalFormatting sqref="V16:V17">
    <cfRule type="expression" priority="23" dxfId="2">
      <formula>AND(DAY(TODAY())=18, MONTH(TODAY())=9, YEAR(TODAY())=2028)</formula>
    </cfRule>
  </conditionalFormatting>
  <conditionalFormatting sqref="W16:W17">
    <cfRule type="expression" priority="24" dxfId="2">
      <formula>AND(DAY(TODAY())=19, MONTH(TODAY())=9, YEAR(TODAY())=2028)</formula>
    </cfRule>
  </conditionalFormatting>
  <conditionalFormatting sqref="X16:X17">
    <cfRule type="expression" priority="25" dxfId="2">
      <formula>AND(DAY(TODAY())=20, MONTH(TODAY())=9, YEAR(TODAY())=2028)</formula>
    </cfRule>
  </conditionalFormatting>
  <conditionalFormatting sqref="Y16:Y17">
    <cfRule type="expression" priority="26" dxfId="2">
      <formula>AND(DAY(TODAY())=21, MONTH(TODAY())=9, YEAR(TODAY())=2028)</formula>
    </cfRule>
  </conditionalFormatting>
  <conditionalFormatting sqref="Z16:Z17">
    <cfRule type="expression" priority="27" dxfId="2">
      <formula>AND(DAY(TODAY())=22, MONTH(TODAY())=9, YEAR(TODAY())=2028)</formula>
    </cfRule>
  </conditionalFormatting>
  <conditionalFormatting sqref="AA16:AA17">
    <cfRule type="expression" priority="28" dxfId="2">
      <formula>AND(DAY(TODAY())=23, MONTH(TODAY())=9, YEAR(TODAY())=2028)</formula>
    </cfRule>
  </conditionalFormatting>
  <conditionalFormatting sqref="AB16:AB17">
    <cfRule type="expression" priority="29" dxfId="2">
      <formula>AND(DAY(TODAY())=24, MONTH(TODAY())=9, YEAR(TODAY())=2028)</formula>
    </cfRule>
  </conditionalFormatting>
  <conditionalFormatting sqref="AC16:AC17">
    <cfRule type="expression" priority="30" dxfId="2">
      <formula>AND(DAY(TODAY())=25, MONTH(TODAY())=9, YEAR(TODAY())=2028)</formula>
    </cfRule>
  </conditionalFormatting>
  <conditionalFormatting sqref="AD16:AD17">
    <cfRule type="expression" priority="31" dxfId="2">
      <formula>AND(DAY(TODAY())=26, MONTH(TODAY())=9, YEAR(TODAY())=2028)</formula>
    </cfRule>
  </conditionalFormatting>
  <conditionalFormatting sqref="AE16:AE17">
    <cfRule type="expression" priority="32" dxfId="2">
      <formula>AND(DAY(TODAY())=27, MONTH(TODAY())=9, YEAR(TODAY())=2028)</formula>
    </cfRule>
  </conditionalFormatting>
  <conditionalFormatting sqref="AF16:AF17">
    <cfRule type="expression" priority="33" dxfId="2">
      <formula>AND(DAY(TODAY())=28, MONTH(TODAY())=9, YEAR(TODAY())=2028)</formula>
    </cfRule>
  </conditionalFormatting>
  <conditionalFormatting sqref="AG16:AG17">
    <cfRule type="expression" priority="34" dxfId="2">
      <formula>AND(DAY(TODAY())=29, MONTH(TODAY())=9, YEAR(TODAY())=2028)</formula>
    </cfRule>
  </conditionalFormatting>
  <conditionalFormatting sqref="AH16:AH17">
    <cfRule type="expression" priority="35" dxfId="2">
      <formula>AND(DAY(TODAY())=30, MONTH(TODAY())=9,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E2" s="3" t="inlineStr">
        <is>
          <t>@surajvansh</t>
        </is>
      </c>
    </row>
    <row r="3" ht="18" customHeight="1">
      <c r="A3" s="4" t="inlineStr">
        <is>
          <t>October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2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2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2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2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2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5" t="inlineStr">
        <is>
          <t>T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5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5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5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5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5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  <c r="AI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Oct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MONTH(TODAY())=10, YEAR(TODAY())=2028)</formula>
    </cfRule>
  </conditionalFormatting>
  <conditionalFormatting sqref="F16:F17">
    <cfRule type="expression" priority="7" dxfId="2">
      <formula>AND(DAY(TODAY())=2, MONTH(TODAY())=10, YEAR(TODAY())=2028)</formula>
    </cfRule>
  </conditionalFormatting>
  <conditionalFormatting sqref="G16:G17">
    <cfRule type="expression" priority="8" dxfId="2">
      <formula>AND(DAY(TODAY())=3, MONTH(TODAY())=10, YEAR(TODAY())=2028)</formula>
    </cfRule>
  </conditionalFormatting>
  <conditionalFormatting sqref="H16:H17">
    <cfRule type="expression" priority="9" dxfId="2">
      <formula>AND(DAY(TODAY())=4, MONTH(TODAY())=10, YEAR(TODAY())=2028)</formula>
    </cfRule>
  </conditionalFormatting>
  <conditionalFormatting sqref="I16:I17">
    <cfRule type="expression" priority="10" dxfId="2">
      <formula>AND(DAY(TODAY())=5, MONTH(TODAY())=10, YEAR(TODAY())=2028)</formula>
    </cfRule>
  </conditionalFormatting>
  <conditionalFormatting sqref="J16:J17">
    <cfRule type="expression" priority="11" dxfId="2">
      <formula>AND(DAY(TODAY())=6, MONTH(TODAY())=10, YEAR(TODAY())=2028)</formula>
    </cfRule>
  </conditionalFormatting>
  <conditionalFormatting sqref="K16:K17">
    <cfRule type="expression" priority="12" dxfId="2">
      <formula>AND(DAY(TODAY())=7, MONTH(TODAY())=10, YEAR(TODAY())=2028)</formula>
    </cfRule>
  </conditionalFormatting>
  <conditionalFormatting sqref="L16:L17">
    <cfRule type="expression" priority="13" dxfId="2">
      <formula>AND(DAY(TODAY())=8, MONTH(TODAY())=10, YEAR(TODAY())=2028)</formula>
    </cfRule>
  </conditionalFormatting>
  <conditionalFormatting sqref="M16:M17">
    <cfRule type="expression" priority="14" dxfId="2">
      <formula>AND(DAY(TODAY())=9, MONTH(TODAY())=10, YEAR(TODAY())=2028)</formula>
    </cfRule>
  </conditionalFormatting>
  <conditionalFormatting sqref="N16:N17">
    <cfRule type="expression" priority="15" dxfId="2">
      <formula>AND(DAY(TODAY())=10, MONTH(TODAY())=10, YEAR(TODAY())=2028)</formula>
    </cfRule>
  </conditionalFormatting>
  <conditionalFormatting sqref="O16:O17">
    <cfRule type="expression" priority="16" dxfId="2">
      <formula>AND(DAY(TODAY())=11, MONTH(TODAY())=10, YEAR(TODAY())=2028)</formula>
    </cfRule>
  </conditionalFormatting>
  <conditionalFormatting sqref="P16:P17">
    <cfRule type="expression" priority="17" dxfId="2">
      <formula>AND(DAY(TODAY())=12, MONTH(TODAY())=10, YEAR(TODAY())=2028)</formula>
    </cfRule>
  </conditionalFormatting>
  <conditionalFormatting sqref="Q16:Q17">
    <cfRule type="expression" priority="18" dxfId="2">
      <formula>AND(DAY(TODAY())=13, MONTH(TODAY())=10, YEAR(TODAY())=2028)</formula>
    </cfRule>
  </conditionalFormatting>
  <conditionalFormatting sqref="R16:R17">
    <cfRule type="expression" priority="19" dxfId="2">
      <formula>AND(DAY(TODAY())=14, MONTH(TODAY())=10, YEAR(TODAY())=2028)</formula>
    </cfRule>
  </conditionalFormatting>
  <conditionalFormatting sqref="S16:S17">
    <cfRule type="expression" priority="20" dxfId="2">
      <formula>AND(DAY(TODAY())=15, MONTH(TODAY())=10, YEAR(TODAY())=2028)</formula>
    </cfRule>
  </conditionalFormatting>
  <conditionalFormatting sqref="T16:T17">
    <cfRule type="expression" priority="21" dxfId="2">
      <formula>AND(DAY(TODAY())=16, MONTH(TODAY())=10, YEAR(TODAY())=2028)</formula>
    </cfRule>
  </conditionalFormatting>
  <conditionalFormatting sqref="U16:U17">
    <cfRule type="expression" priority="22" dxfId="2">
      <formula>AND(DAY(TODAY())=17, MONTH(TODAY())=10, YEAR(TODAY())=2028)</formula>
    </cfRule>
  </conditionalFormatting>
  <conditionalFormatting sqref="V16:V17">
    <cfRule type="expression" priority="23" dxfId="2">
      <formula>AND(DAY(TODAY())=18, MONTH(TODAY())=10, YEAR(TODAY())=2028)</formula>
    </cfRule>
  </conditionalFormatting>
  <conditionalFormatting sqref="W16:W17">
    <cfRule type="expression" priority="24" dxfId="2">
      <formula>AND(DAY(TODAY())=19, MONTH(TODAY())=10, YEAR(TODAY())=2028)</formula>
    </cfRule>
  </conditionalFormatting>
  <conditionalFormatting sqref="X16:X17">
    <cfRule type="expression" priority="25" dxfId="2">
      <formula>AND(DAY(TODAY())=20, MONTH(TODAY())=10, YEAR(TODAY())=2028)</formula>
    </cfRule>
  </conditionalFormatting>
  <conditionalFormatting sqref="Y16:Y17">
    <cfRule type="expression" priority="26" dxfId="2">
      <formula>AND(DAY(TODAY())=21, MONTH(TODAY())=10, YEAR(TODAY())=2028)</formula>
    </cfRule>
  </conditionalFormatting>
  <conditionalFormatting sqref="Z16:Z17">
    <cfRule type="expression" priority="27" dxfId="2">
      <formula>AND(DAY(TODAY())=22, MONTH(TODAY())=10, YEAR(TODAY())=2028)</formula>
    </cfRule>
  </conditionalFormatting>
  <conditionalFormatting sqref="AA16:AA17">
    <cfRule type="expression" priority="28" dxfId="2">
      <formula>AND(DAY(TODAY())=23, MONTH(TODAY())=10, YEAR(TODAY())=2028)</formula>
    </cfRule>
  </conditionalFormatting>
  <conditionalFormatting sqref="AB16:AB17">
    <cfRule type="expression" priority="29" dxfId="2">
      <formula>AND(DAY(TODAY())=24, MONTH(TODAY())=10, YEAR(TODAY())=2028)</formula>
    </cfRule>
  </conditionalFormatting>
  <conditionalFormatting sqref="AC16:AC17">
    <cfRule type="expression" priority="30" dxfId="2">
      <formula>AND(DAY(TODAY())=25, MONTH(TODAY())=10, YEAR(TODAY())=2028)</formula>
    </cfRule>
  </conditionalFormatting>
  <conditionalFormatting sqref="AD16:AD17">
    <cfRule type="expression" priority="31" dxfId="2">
      <formula>AND(DAY(TODAY())=26, MONTH(TODAY())=10, YEAR(TODAY())=2028)</formula>
    </cfRule>
  </conditionalFormatting>
  <conditionalFormatting sqref="AE16:AE17">
    <cfRule type="expression" priority="32" dxfId="2">
      <formula>AND(DAY(TODAY())=27, MONTH(TODAY())=10, YEAR(TODAY())=2028)</formula>
    </cfRule>
  </conditionalFormatting>
  <conditionalFormatting sqref="AF16:AF17">
    <cfRule type="expression" priority="33" dxfId="2">
      <formula>AND(DAY(TODAY())=28, MONTH(TODAY())=10, YEAR(TODAY())=2028)</formula>
    </cfRule>
  </conditionalFormatting>
  <conditionalFormatting sqref="AG16:AG17">
    <cfRule type="expression" priority="34" dxfId="2">
      <formula>AND(DAY(TODAY())=29, MONTH(TODAY())=10, YEAR(TODAY())=2028)</formula>
    </cfRule>
  </conditionalFormatting>
  <conditionalFormatting sqref="AH16:AH17">
    <cfRule type="expression" priority="35" dxfId="2">
      <formula>AND(DAY(TODAY())=30, MONTH(TODAY())=10, YEAR(TODAY())=2028)</formula>
    </cfRule>
  </conditionalFormatting>
  <conditionalFormatting sqref="AI16:AI17">
    <cfRule type="expression" priority="36" dxfId="2">
      <formula>AND(DAY(TODAY())=31, MONTH(TODAY())=10,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D2" s="3" t="inlineStr">
        <is>
          <t>@surajvansh</t>
        </is>
      </c>
    </row>
    <row r="3" ht="18" customHeight="1">
      <c r="A3" s="4" t="inlineStr">
        <is>
          <t>November 2028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2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2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2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2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5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5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5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5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Nov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MONTH(TODAY())=11, YEAR(TODAY())=2028)</formula>
    </cfRule>
  </conditionalFormatting>
  <conditionalFormatting sqref="F16:F17">
    <cfRule type="expression" priority="7" dxfId="2">
      <formula>AND(DAY(TODAY())=2, MONTH(TODAY())=11, YEAR(TODAY())=2028)</formula>
    </cfRule>
  </conditionalFormatting>
  <conditionalFormatting sqref="G16:G17">
    <cfRule type="expression" priority="8" dxfId="2">
      <formula>AND(DAY(TODAY())=3, MONTH(TODAY())=11, YEAR(TODAY())=2028)</formula>
    </cfRule>
  </conditionalFormatting>
  <conditionalFormatting sqref="H16:H17">
    <cfRule type="expression" priority="9" dxfId="2">
      <formula>AND(DAY(TODAY())=4, MONTH(TODAY())=11, YEAR(TODAY())=2028)</formula>
    </cfRule>
  </conditionalFormatting>
  <conditionalFormatting sqref="I16:I17">
    <cfRule type="expression" priority="10" dxfId="2">
      <formula>AND(DAY(TODAY())=5, MONTH(TODAY())=11, YEAR(TODAY())=2028)</formula>
    </cfRule>
  </conditionalFormatting>
  <conditionalFormatting sqref="J16:J17">
    <cfRule type="expression" priority="11" dxfId="2">
      <formula>AND(DAY(TODAY())=6, MONTH(TODAY())=11, YEAR(TODAY())=2028)</formula>
    </cfRule>
  </conditionalFormatting>
  <conditionalFormatting sqref="K16:K17">
    <cfRule type="expression" priority="12" dxfId="2">
      <formula>AND(DAY(TODAY())=7, MONTH(TODAY())=11, YEAR(TODAY())=2028)</formula>
    </cfRule>
  </conditionalFormatting>
  <conditionalFormatting sqref="L16:L17">
    <cfRule type="expression" priority="13" dxfId="2">
      <formula>AND(DAY(TODAY())=8, MONTH(TODAY())=11, YEAR(TODAY())=2028)</formula>
    </cfRule>
  </conditionalFormatting>
  <conditionalFormatting sqref="M16:M17">
    <cfRule type="expression" priority="14" dxfId="2">
      <formula>AND(DAY(TODAY())=9, MONTH(TODAY())=11, YEAR(TODAY())=2028)</formula>
    </cfRule>
  </conditionalFormatting>
  <conditionalFormatting sqref="N16:N17">
    <cfRule type="expression" priority="15" dxfId="2">
      <formula>AND(DAY(TODAY())=10, MONTH(TODAY())=11, YEAR(TODAY())=2028)</formula>
    </cfRule>
  </conditionalFormatting>
  <conditionalFormatting sqref="O16:O17">
    <cfRule type="expression" priority="16" dxfId="2">
      <formula>AND(DAY(TODAY())=11, MONTH(TODAY())=11, YEAR(TODAY())=2028)</formula>
    </cfRule>
  </conditionalFormatting>
  <conditionalFormatting sqref="P16:P17">
    <cfRule type="expression" priority="17" dxfId="2">
      <formula>AND(DAY(TODAY())=12, MONTH(TODAY())=11, YEAR(TODAY())=2028)</formula>
    </cfRule>
  </conditionalFormatting>
  <conditionalFormatting sqref="Q16:Q17">
    <cfRule type="expression" priority="18" dxfId="2">
      <formula>AND(DAY(TODAY())=13, MONTH(TODAY())=11, YEAR(TODAY())=2028)</formula>
    </cfRule>
  </conditionalFormatting>
  <conditionalFormatting sqref="R16:R17">
    <cfRule type="expression" priority="19" dxfId="2">
      <formula>AND(DAY(TODAY())=14, MONTH(TODAY())=11, YEAR(TODAY())=2028)</formula>
    </cfRule>
  </conditionalFormatting>
  <conditionalFormatting sqref="S16:S17">
    <cfRule type="expression" priority="20" dxfId="2">
      <formula>AND(DAY(TODAY())=15, MONTH(TODAY())=11, YEAR(TODAY())=2028)</formula>
    </cfRule>
  </conditionalFormatting>
  <conditionalFormatting sqref="T16:T17">
    <cfRule type="expression" priority="21" dxfId="2">
      <formula>AND(DAY(TODAY())=16, MONTH(TODAY())=11, YEAR(TODAY())=2028)</formula>
    </cfRule>
  </conditionalFormatting>
  <conditionalFormatting sqref="U16:U17">
    <cfRule type="expression" priority="22" dxfId="2">
      <formula>AND(DAY(TODAY())=17, MONTH(TODAY())=11, YEAR(TODAY())=2028)</formula>
    </cfRule>
  </conditionalFormatting>
  <conditionalFormatting sqref="V16:V17">
    <cfRule type="expression" priority="23" dxfId="2">
      <formula>AND(DAY(TODAY())=18, MONTH(TODAY())=11, YEAR(TODAY())=2028)</formula>
    </cfRule>
  </conditionalFormatting>
  <conditionalFormatting sqref="W16:W17">
    <cfRule type="expression" priority="24" dxfId="2">
      <formula>AND(DAY(TODAY())=19, MONTH(TODAY())=11, YEAR(TODAY())=2028)</formula>
    </cfRule>
  </conditionalFormatting>
  <conditionalFormatting sqref="X16:X17">
    <cfRule type="expression" priority="25" dxfId="2">
      <formula>AND(DAY(TODAY())=20, MONTH(TODAY())=11, YEAR(TODAY())=2028)</formula>
    </cfRule>
  </conditionalFormatting>
  <conditionalFormatting sqref="Y16:Y17">
    <cfRule type="expression" priority="26" dxfId="2">
      <formula>AND(DAY(TODAY())=21, MONTH(TODAY())=11, YEAR(TODAY())=2028)</formula>
    </cfRule>
  </conditionalFormatting>
  <conditionalFormatting sqref="Z16:Z17">
    <cfRule type="expression" priority="27" dxfId="2">
      <formula>AND(DAY(TODAY())=22, MONTH(TODAY())=11, YEAR(TODAY())=2028)</formula>
    </cfRule>
  </conditionalFormatting>
  <conditionalFormatting sqref="AA16:AA17">
    <cfRule type="expression" priority="28" dxfId="2">
      <formula>AND(DAY(TODAY())=23, MONTH(TODAY())=11, YEAR(TODAY())=2028)</formula>
    </cfRule>
  </conditionalFormatting>
  <conditionalFormatting sqref="AB16:AB17">
    <cfRule type="expression" priority="29" dxfId="2">
      <formula>AND(DAY(TODAY())=24, MONTH(TODAY())=11, YEAR(TODAY())=2028)</formula>
    </cfRule>
  </conditionalFormatting>
  <conditionalFormatting sqref="AC16:AC17">
    <cfRule type="expression" priority="30" dxfId="2">
      <formula>AND(DAY(TODAY())=25, MONTH(TODAY())=11, YEAR(TODAY())=2028)</formula>
    </cfRule>
  </conditionalFormatting>
  <conditionalFormatting sqref="AD16:AD17">
    <cfRule type="expression" priority="31" dxfId="2">
      <formula>AND(DAY(TODAY())=26, MONTH(TODAY())=11, YEAR(TODAY())=2028)</formula>
    </cfRule>
  </conditionalFormatting>
  <conditionalFormatting sqref="AE16:AE17">
    <cfRule type="expression" priority="32" dxfId="2">
      <formula>AND(DAY(TODAY())=27, MONTH(TODAY())=11, YEAR(TODAY())=2028)</formula>
    </cfRule>
  </conditionalFormatting>
  <conditionalFormatting sqref="AF16:AF17">
    <cfRule type="expression" priority="33" dxfId="2">
      <formula>AND(DAY(TODAY())=28, MONTH(TODAY())=11, YEAR(TODAY())=2028)</formula>
    </cfRule>
  </conditionalFormatting>
  <conditionalFormatting sqref="AG16:AG17">
    <cfRule type="expression" priority="34" dxfId="2">
      <formula>AND(DAY(TODAY())=29, MONTH(TODAY())=11, YEAR(TODAY())=2028)</formula>
    </cfRule>
  </conditionalFormatting>
  <conditionalFormatting sqref="AH16:AH17">
    <cfRule type="expression" priority="35" dxfId="2">
      <formula>AND(DAY(TODAY())=30, MONTH(TODAY())=11,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E2" s="3" t="inlineStr">
        <is>
          <t>@surajvansh</t>
        </is>
      </c>
    </row>
    <row r="3" ht="18" customHeight="1">
      <c r="A3" s="4" t="inlineStr">
        <is>
          <t>December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2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2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2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2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2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6" t="inlineStr">
        <is>
          <t>Su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0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0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0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0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6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6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6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6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2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2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2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2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8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8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8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8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4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4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4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4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5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5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5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5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5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  <c r="AI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  <c r="AI47" s="61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Dec</t>
        </is>
      </c>
      <c r="B92" s="89" t="n"/>
      <c r="C92" s="96" t="n">
        <v>2028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MONTH(TODAY())=12, YEAR(TODAY())=2028)</formula>
    </cfRule>
  </conditionalFormatting>
  <conditionalFormatting sqref="F16:F17">
    <cfRule type="expression" priority="7" dxfId="2">
      <formula>AND(DAY(TODAY())=2, MONTH(TODAY())=12, YEAR(TODAY())=2028)</formula>
    </cfRule>
  </conditionalFormatting>
  <conditionalFormatting sqref="G16:G17">
    <cfRule type="expression" priority="8" dxfId="2">
      <formula>AND(DAY(TODAY())=3, MONTH(TODAY())=12, YEAR(TODAY())=2028)</formula>
    </cfRule>
  </conditionalFormatting>
  <conditionalFormatting sqref="H16:H17">
    <cfRule type="expression" priority="9" dxfId="2">
      <formula>AND(DAY(TODAY())=4, MONTH(TODAY())=12, YEAR(TODAY())=2028)</formula>
    </cfRule>
  </conditionalFormatting>
  <conditionalFormatting sqref="I16:I17">
    <cfRule type="expression" priority="10" dxfId="2">
      <formula>AND(DAY(TODAY())=5, MONTH(TODAY())=12, YEAR(TODAY())=2028)</formula>
    </cfRule>
  </conditionalFormatting>
  <conditionalFormatting sqref="J16:J17">
    <cfRule type="expression" priority="11" dxfId="2">
      <formula>AND(DAY(TODAY())=6, MONTH(TODAY())=12, YEAR(TODAY())=2028)</formula>
    </cfRule>
  </conditionalFormatting>
  <conditionalFormatting sqref="K16:K17">
    <cfRule type="expression" priority="12" dxfId="2">
      <formula>AND(DAY(TODAY())=7, MONTH(TODAY())=12, YEAR(TODAY())=2028)</formula>
    </cfRule>
  </conditionalFormatting>
  <conditionalFormatting sqref="L16:L17">
    <cfRule type="expression" priority="13" dxfId="2">
      <formula>AND(DAY(TODAY())=8, MONTH(TODAY())=12, YEAR(TODAY())=2028)</formula>
    </cfRule>
  </conditionalFormatting>
  <conditionalFormatting sqref="M16:M17">
    <cfRule type="expression" priority="14" dxfId="2">
      <formula>AND(DAY(TODAY())=9, MONTH(TODAY())=12, YEAR(TODAY())=2028)</formula>
    </cfRule>
  </conditionalFormatting>
  <conditionalFormatting sqref="N16:N17">
    <cfRule type="expression" priority="15" dxfId="2">
      <formula>AND(DAY(TODAY())=10, MONTH(TODAY())=12, YEAR(TODAY())=2028)</formula>
    </cfRule>
  </conditionalFormatting>
  <conditionalFormatting sqref="O16:O17">
    <cfRule type="expression" priority="16" dxfId="2">
      <formula>AND(DAY(TODAY())=11, MONTH(TODAY())=12, YEAR(TODAY())=2028)</formula>
    </cfRule>
  </conditionalFormatting>
  <conditionalFormatting sqref="P16:P17">
    <cfRule type="expression" priority="17" dxfId="2">
      <formula>AND(DAY(TODAY())=12, MONTH(TODAY())=12, YEAR(TODAY())=2028)</formula>
    </cfRule>
  </conditionalFormatting>
  <conditionalFormatting sqref="Q16:Q17">
    <cfRule type="expression" priority="18" dxfId="2">
      <formula>AND(DAY(TODAY())=13, MONTH(TODAY())=12, YEAR(TODAY())=2028)</formula>
    </cfRule>
  </conditionalFormatting>
  <conditionalFormatting sqref="R16:R17">
    <cfRule type="expression" priority="19" dxfId="2">
      <formula>AND(DAY(TODAY())=14, MONTH(TODAY())=12, YEAR(TODAY())=2028)</formula>
    </cfRule>
  </conditionalFormatting>
  <conditionalFormatting sqref="S16:S17">
    <cfRule type="expression" priority="20" dxfId="2">
      <formula>AND(DAY(TODAY())=15, MONTH(TODAY())=12, YEAR(TODAY())=2028)</formula>
    </cfRule>
  </conditionalFormatting>
  <conditionalFormatting sqref="T16:T17">
    <cfRule type="expression" priority="21" dxfId="2">
      <formula>AND(DAY(TODAY())=16, MONTH(TODAY())=12, YEAR(TODAY())=2028)</formula>
    </cfRule>
  </conditionalFormatting>
  <conditionalFormatting sqref="U16:U17">
    <cfRule type="expression" priority="22" dxfId="2">
      <formula>AND(DAY(TODAY())=17, MONTH(TODAY())=12, YEAR(TODAY())=2028)</formula>
    </cfRule>
  </conditionalFormatting>
  <conditionalFormatting sqref="V16:V17">
    <cfRule type="expression" priority="23" dxfId="2">
      <formula>AND(DAY(TODAY())=18, MONTH(TODAY())=12, YEAR(TODAY())=2028)</formula>
    </cfRule>
  </conditionalFormatting>
  <conditionalFormatting sqref="W16:W17">
    <cfRule type="expression" priority="24" dxfId="2">
      <formula>AND(DAY(TODAY())=19, MONTH(TODAY())=12, YEAR(TODAY())=2028)</formula>
    </cfRule>
  </conditionalFormatting>
  <conditionalFormatting sqref="X16:X17">
    <cfRule type="expression" priority="25" dxfId="2">
      <formula>AND(DAY(TODAY())=20, MONTH(TODAY())=12, YEAR(TODAY())=2028)</formula>
    </cfRule>
  </conditionalFormatting>
  <conditionalFormatting sqref="Y16:Y17">
    <cfRule type="expression" priority="26" dxfId="2">
      <formula>AND(DAY(TODAY())=21, MONTH(TODAY())=12, YEAR(TODAY())=2028)</formula>
    </cfRule>
  </conditionalFormatting>
  <conditionalFormatting sqref="Z16:Z17">
    <cfRule type="expression" priority="27" dxfId="2">
      <formula>AND(DAY(TODAY())=22, MONTH(TODAY())=12, YEAR(TODAY())=2028)</formula>
    </cfRule>
  </conditionalFormatting>
  <conditionalFormatting sqref="AA16:AA17">
    <cfRule type="expression" priority="28" dxfId="2">
      <formula>AND(DAY(TODAY())=23, MONTH(TODAY())=12, YEAR(TODAY())=2028)</formula>
    </cfRule>
  </conditionalFormatting>
  <conditionalFormatting sqref="AB16:AB17">
    <cfRule type="expression" priority="29" dxfId="2">
      <formula>AND(DAY(TODAY())=24, MONTH(TODAY())=12, YEAR(TODAY())=2028)</formula>
    </cfRule>
  </conditionalFormatting>
  <conditionalFormatting sqref="AC16:AC17">
    <cfRule type="expression" priority="30" dxfId="2">
      <formula>AND(DAY(TODAY())=25, MONTH(TODAY())=12, YEAR(TODAY())=2028)</formula>
    </cfRule>
  </conditionalFormatting>
  <conditionalFormatting sqref="AD16:AD17">
    <cfRule type="expression" priority="31" dxfId="2">
      <formula>AND(DAY(TODAY())=26, MONTH(TODAY())=12, YEAR(TODAY())=2028)</formula>
    </cfRule>
  </conditionalFormatting>
  <conditionalFormatting sqref="AE16:AE17">
    <cfRule type="expression" priority="32" dxfId="2">
      <formula>AND(DAY(TODAY())=27, MONTH(TODAY())=12, YEAR(TODAY())=2028)</formula>
    </cfRule>
  </conditionalFormatting>
  <conditionalFormatting sqref="AF16:AF17">
    <cfRule type="expression" priority="33" dxfId="2">
      <formula>AND(DAY(TODAY())=28, MONTH(TODAY())=12, YEAR(TODAY())=2028)</formula>
    </cfRule>
  </conditionalFormatting>
  <conditionalFormatting sqref="AG16:AG17">
    <cfRule type="expression" priority="34" dxfId="2">
      <formula>AND(DAY(TODAY())=29, MONTH(TODAY())=12, YEAR(TODAY())=2028)</formula>
    </cfRule>
  </conditionalFormatting>
  <conditionalFormatting sqref="AH16:AH17">
    <cfRule type="expression" priority="35" dxfId="2">
      <formula>AND(DAY(TODAY())=30, MONTH(TODAY())=12, YEAR(TODAY())=2028)</formula>
    </cfRule>
  </conditionalFormatting>
  <conditionalFormatting sqref="AI16:AI17">
    <cfRule type="expression" priority="36" dxfId="2">
      <formula>AND(DAY(TODAY())=31, MONTH(TODAY())=12,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"Small daily improvements lead to stunning results."</t>
        </is>
      </c>
      <c r="AE2" s="3" t="inlineStr">
        <is>
          <t>@surajvansh</t>
        </is>
      </c>
    </row>
    <row r="3" ht="18" customHeight="1">
      <c r="A3" s="4" t="inlineStr">
        <is>
          <t>January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2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2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2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2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5" t="inlineStr">
        <is>
          <t>W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5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5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5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5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  <c r="AI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Jan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MONTH(TODAY())=1, YEAR(TODAY())=2029)</formula>
    </cfRule>
  </conditionalFormatting>
  <conditionalFormatting sqref="F16:F17">
    <cfRule type="expression" priority="7" dxfId="2">
      <formula>AND(DAY(TODAY())=2, MONTH(TODAY())=1, YEAR(TODAY())=2029)</formula>
    </cfRule>
  </conditionalFormatting>
  <conditionalFormatting sqref="G16:G17">
    <cfRule type="expression" priority="8" dxfId="2">
      <formula>AND(DAY(TODAY())=3, MONTH(TODAY())=1, YEAR(TODAY())=2029)</formula>
    </cfRule>
  </conditionalFormatting>
  <conditionalFormatting sqref="H16:H17">
    <cfRule type="expression" priority="9" dxfId="2">
      <formula>AND(DAY(TODAY())=4, MONTH(TODAY())=1, YEAR(TODAY())=2029)</formula>
    </cfRule>
  </conditionalFormatting>
  <conditionalFormatting sqref="I16:I17">
    <cfRule type="expression" priority="10" dxfId="2">
      <formula>AND(DAY(TODAY())=5, MONTH(TODAY())=1, YEAR(TODAY())=2029)</formula>
    </cfRule>
  </conditionalFormatting>
  <conditionalFormatting sqref="J16:J17">
    <cfRule type="expression" priority="11" dxfId="2">
      <formula>AND(DAY(TODAY())=6, MONTH(TODAY())=1, YEAR(TODAY())=2029)</formula>
    </cfRule>
  </conditionalFormatting>
  <conditionalFormatting sqref="K16:K17">
    <cfRule type="expression" priority="12" dxfId="2">
      <formula>AND(DAY(TODAY())=7, MONTH(TODAY())=1, YEAR(TODAY())=2029)</formula>
    </cfRule>
  </conditionalFormatting>
  <conditionalFormatting sqref="L16:L17">
    <cfRule type="expression" priority="13" dxfId="2">
      <formula>AND(DAY(TODAY())=8, MONTH(TODAY())=1, YEAR(TODAY())=2029)</formula>
    </cfRule>
  </conditionalFormatting>
  <conditionalFormatting sqref="M16:M17">
    <cfRule type="expression" priority="14" dxfId="2">
      <formula>AND(DAY(TODAY())=9, MONTH(TODAY())=1, YEAR(TODAY())=2029)</formula>
    </cfRule>
  </conditionalFormatting>
  <conditionalFormatting sqref="N16:N17">
    <cfRule type="expression" priority="15" dxfId="2">
      <formula>AND(DAY(TODAY())=10, MONTH(TODAY())=1, YEAR(TODAY())=2029)</formula>
    </cfRule>
  </conditionalFormatting>
  <conditionalFormatting sqref="O16:O17">
    <cfRule type="expression" priority="16" dxfId="2">
      <formula>AND(DAY(TODAY())=11, MONTH(TODAY())=1, YEAR(TODAY())=2029)</formula>
    </cfRule>
  </conditionalFormatting>
  <conditionalFormatting sqref="P16:P17">
    <cfRule type="expression" priority="17" dxfId="2">
      <formula>AND(DAY(TODAY())=12, MONTH(TODAY())=1, YEAR(TODAY())=2029)</formula>
    </cfRule>
  </conditionalFormatting>
  <conditionalFormatting sqref="Q16:Q17">
    <cfRule type="expression" priority="18" dxfId="2">
      <formula>AND(DAY(TODAY())=13, MONTH(TODAY())=1, YEAR(TODAY())=2029)</formula>
    </cfRule>
  </conditionalFormatting>
  <conditionalFormatting sqref="R16:R17">
    <cfRule type="expression" priority="19" dxfId="2">
      <formula>AND(DAY(TODAY())=14, MONTH(TODAY())=1, YEAR(TODAY())=2029)</formula>
    </cfRule>
  </conditionalFormatting>
  <conditionalFormatting sqref="S16:S17">
    <cfRule type="expression" priority="20" dxfId="2">
      <formula>AND(DAY(TODAY())=15, MONTH(TODAY())=1, YEAR(TODAY())=2029)</formula>
    </cfRule>
  </conditionalFormatting>
  <conditionalFormatting sqref="T16:T17">
    <cfRule type="expression" priority="21" dxfId="2">
      <formula>AND(DAY(TODAY())=16, MONTH(TODAY())=1, YEAR(TODAY())=2029)</formula>
    </cfRule>
  </conditionalFormatting>
  <conditionalFormatting sqref="U16:U17">
    <cfRule type="expression" priority="22" dxfId="2">
      <formula>AND(DAY(TODAY())=17, MONTH(TODAY())=1, YEAR(TODAY())=2029)</formula>
    </cfRule>
  </conditionalFormatting>
  <conditionalFormatting sqref="V16:V17">
    <cfRule type="expression" priority="23" dxfId="2">
      <formula>AND(DAY(TODAY())=18, MONTH(TODAY())=1, YEAR(TODAY())=2029)</formula>
    </cfRule>
  </conditionalFormatting>
  <conditionalFormatting sqref="W16:W17">
    <cfRule type="expression" priority="24" dxfId="2">
      <formula>AND(DAY(TODAY())=19, MONTH(TODAY())=1, YEAR(TODAY())=2029)</formula>
    </cfRule>
  </conditionalFormatting>
  <conditionalFormatting sqref="X16:X17">
    <cfRule type="expression" priority="25" dxfId="2">
      <formula>AND(DAY(TODAY())=20, MONTH(TODAY())=1, YEAR(TODAY())=2029)</formula>
    </cfRule>
  </conditionalFormatting>
  <conditionalFormatting sqref="Y16:Y17">
    <cfRule type="expression" priority="26" dxfId="2">
      <formula>AND(DAY(TODAY())=21, MONTH(TODAY())=1, YEAR(TODAY())=2029)</formula>
    </cfRule>
  </conditionalFormatting>
  <conditionalFormatting sqref="Z16:Z17">
    <cfRule type="expression" priority="27" dxfId="2">
      <formula>AND(DAY(TODAY())=22, MONTH(TODAY())=1, YEAR(TODAY())=2029)</formula>
    </cfRule>
  </conditionalFormatting>
  <conditionalFormatting sqref="AA16:AA17">
    <cfRule type="expression" priority="28" dxfId="2">
      <formula>AND(DAY(TODAY())=23, MONTH(TODAY())=1, YEAR(TODAY())=2029)</formula>
    </cfRule>
  </conditionalFormatting>
  <conditionalFormatting sqref="AB16:AB17">
    <cfRule type="expression" priority="29" dxfId="2">
      <formula>AND(DAY(TODAY())=24, MONTH(TODAY())=1, YEAR(TODAY())=2029)</formula>
    </cfRule>
  </conditionalFormatting>
  <conditionalFormatting sqref="AC16:AC17">
    <cfRule type="expression" priority="30" dxfId="2">
      <formula>AND(DAY(TODAY())=25, MONTH(TODAY())=1, YEAR(TODAY())=2029)</formula>
    </cfRule>
  </conditionalFormatting>
  <conditionalFormatting sqref="AD16:AD17">
    <cfRule type="expression" priority="31" dxfId="2">
      <formula>AND(DAY(TODAY())=26, MONTH(TODAY())=1, YEAR(TODAY())=2029)</formula>
    </cfRule>
  </conditionalFormatting>
  <conditionalFormatting sqref="AE16:AE17">
    <cfRule type="expression" priority="32" dxfId="2">
      <formula>AND(DAY(TODAY())=27, MONTH(TODAY())=1, YEAR(TODAY())=2029)</formula>
    </cfRule>
  </conditionalFormatting>
  <conditionalFormatting sqref="AF16:AF17">
    <cfRule type="expression" priority="33" dxfId="2">
      <formula>AND(DAY(TODAY())=28, MONTH(TODAY())=1, YEAR(TODAY())=2029)</formula>
    </cfRule>
  </conditionalFormatting>
  <conditionalFormatting sqref="AG16:AG17">
    <cfRule type="expression" priority="34" dxfId="2">
      <formula>AND(DAY(TODAY())=29, MONTH(TODAY())=1, YEAR(TODAY())=2029)</formula>
    </cfRule>
  </conditionalFormatting>
  <conditionalFormatting sqref="AH16:AH17">
    <cfRule type="expression" priority="35" dxfId="2">
      <formula>AND(DAY(TODAY())=30, MONTH(TODAY())=1, YEAR(TODAY())=2029)</formula>
    </cfRule>
  </conditionalFormatting>
  <conditionalFormatting sqref="AI16:AI17">
    <cfRule type="expression" priority="36" dxfId="2">
      <formula>AND(DAY(TODAY())=31, MONTH(TODAY())=1,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2:AI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11.5" customWidth="1" min="33" max="33"/>
    <col width="13.5" customWidth="1" min="34" max="34"/>
    <col hidden="1" width="8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"We are what we repeatedly do."</t>
        </is>
      </c>
      <c r="AB2" s="3" t="inlineStr">
        <is>
          <t>@surajvansh</t>
        </is>
      </c>
    </row>
    <row r="3" ht="18" customHeight="1">
      <c r="A3" s="4" t="inlineStr">
        <is>
          <t>February 2029</t>
        </is>
      </c>
      <c r="H3" s="5" t="inlineStr">
        <is>
          <t>28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2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2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2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2" t="n">
        <v>25</v>
      </c>
      <c r="AD16" s="11" t="n">
        <v>26</v>
      </c>
      <c r="AE16" s="11" t="n">
        <v>27</v>
      </c>
      <c r="AF16" s="11" t="n">
        <v>28</v>
      </c>
      <c r="AG16" s="13" t="inlineStr">
        <is>
          <t>Success %</t>
        </is>
      </c>
      <c r="AH16" s="13" t="inlineStr">
        <is>
          <t>Done / Target</t>
        </is>
      </c>
      <c r="AI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4" t="n"/>
      <c r="AH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21">
        <f>IF(ISBLANK(B18), "", IF(ISNUMBER(D18), IF(D18&gt;0, (COUNTIF(E18:AF18, "✓") + COUNTIF(E18:AF18, "✔") + COUNTIF(E18:AF18, "v") + COUNTIF(E18:AF18, "V"))/D18, 0),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"V"))/((COUNTIF(E18:AF18, "✓") + COUNTIF(E18:AF18, "✔") + COUNTIF(E18:AF18, "v") + COUNTIF(E18:AF18, "V")) + COUNTIF(E18:AF18, "✗") + COUNTIF(E18:AF18, "x") + COUNTIF(E18:AF18, "X")), "")))</f>
        <v/>
      </c>
      <c r="AH18" s="22">
        <f>IF(ISBLANK(B18), "", IF(ISNUMBER(D18), IF(D18&gt;0, (COUNTIF(E18:AF18, "✓") + COUNTIF(E18:AF18, "✔") + COUNTIF(E18:AF18, "v") + COUNTIF(E18:AF18, "V")) &amp; "/" &amp; D18, (COUNTIF(E18:AF18, "✓") + COUNTIF(E18:AF18, "✔") + COUNTIF(E18:AF18, "v") + COUNTIF(E18:AF18, "V")) &amp; "/0"),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 &amp; "/" &amp; ((COUNTIF(E18:AF18, "✓") + COUNTIF(E18:AF18, "✔") + COUNTIF(E18:AF18, "v") + COUNTIF(E18:AF18, "V")) + COUNTIF(E18:AF18, "✗") + COUNTIF(E18:AF18, "x") + COUNTIF(E18:AF18, "X")), "")))</f>
        <v/>
      </c>
      <c r="AI18">
        <f>COUNTIF(E18:AF18,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21">
        <f>IF(ISBLANK(B19), "", IF(ISNUMBER(D19), IF(D19&gt;0, (COUNTIF(E19:AF19, "✓") + COUNTIF(E19:AF19, "✔") + COUNTIF(E19:AF19, "v") + COUNTIF(E19:AF19, "V"))/D19, 0),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"V"))/((COUNTIF(E19:AF19, "✓") + COUNTIF(E19:AF19, "✔") + COUNTIF(E19:AF19, "v") + COUNTIF(E19:AF19, "V")) + COUNTIF(E19:AF19, "✗") + COUNTIF(E19:AF19, "x") + COUNTIF(E19:AF19, "X")), "")))</f>
        <v/>
      </c>
      <c r="AH19" s="22">
        <f>IF(ISBLANK(B19), "", IF(ISNUMBER(D19), IF(D19&gt;0, (COUNTIF(E19:AF19, "✓") + COUNTIF(E19:AF19, "✔") + COUNTIF(E19:AF19, "v") + COUNTIF(E19:AF19, "V")) &amp; "/" &amp; D19, (COUNTIF(E19:AF19, "✓") + COUNTIF(E19:AF19, "✔") + COUNTIF(E19:AF19, "v") + COUNTIF(E19:AF19, "V")) &amp; "/0"),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 &amp; "/" &amp; ((COUNTIF(E19:AF19, "✓") + COUNTIF(E19:AF19, "✔") + COUNTIF(E19:AF19, "v") + COUNTIF(E19:AF19, "V")) + COUNTIF(E19:AF19, "✗") + COUNTIF(E19:AF19, "x") + COUNTIF(E19:AF19, "X")), "")))</f>
        <v/>
      </c>
      <c r="AI19">
        <f>COUNTIF(E19:AF19,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21">
        <f>IF(ISBLANK(B20), "", IF(ISNUMBER(D20), IF(D20&gt;0, (COUNTIF(E20:AF20, "✓") + COUNTIF(E20:AF20, "✔") + COUNTIF(E20:AF20, "v") + COUNTIF(E20:AF20, "V"))/D20, 0),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"V"))/((COUNTIF(E20:AF20, "✓") + COUNTIF(E20:AF20, "✔") + COUNTIF(E20:AF20, "v") + COUNTIF(E20:AF20, "V")) + COUNTIF(E20:AF20, "✗") + COUNTIF(E20:AF20, "x") + COUNTIF(E20:AF20, "X")), "")))</f>
        <v/>
      </c>
      <c r="AH20" s="22">
        <f>IF(ISBLANK(B20), "", IF(ISNUMBER(D20), IF(D20&gt;0, (COUNTIF(E20:AF20, "✓") + COUNTIF(E20:AF20, "✔") + COUNTIF(E20:AF20, "v") + COUNTIF(E20:AF20, "V")) &amp; "/" &amp; D20, (COUNTIF(E20:AF20, "✓") + COUNTIF(E20:AF20, "✔") + COUNTIF(E20:AF20, "v") + COUNTIF(E20:AF20, "V")) &amp; "/0"),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 &amp; "/" &amp; ((COUNTIF(E20:AF20, "✓") + COUNTIF(E20:AF20, "✔") + COUNTIF(E20:AF20, "v") + COUNTIF(E20:AF20, "V")) + COUNTIF(E20:AF20, "✗") + COUNTIF(E20:AF20, "x") + COUNTIF(E20:AF20, "X")), "")))</f>
        <v/>
      </c>
      <c r="AI20">
        <f>COUNTIF(E20:AF20,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21">
        <f>IF(ISBLANK(B21), "", IF(ISNUMBER(D21), IF(D21&gt;0, (COUNTIF(E21:AF21, "✓") + COUNTIF(E21:AF21, "✔") + COUNTIF(E21:AF21, "v") + COUNTIF(E21:AF21, "V"))/D21, 0),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"V"))/((COUNTIF(E21:AF21, "✓") + COUNTIF(E21:AF21, "✔") + COUNTIF(E21:AF21, "v") + COUNTIF(E21:AF21, "V")) + COUNTIF(E21:AF21, "✗") + COUNTIF(E21:AF21, "x") + COUNTIF(E21:AF21, "X")), "")))</f>
        <v/>
      </c>
      <c r="AH21" s="22">
        <f>IF(ISBLANK(B21), "", IF(ISNUMBER(D21), IF(D21&gt;0, (COUNTIF(E21:AF21, "✓") + COUNTIF(E21:AF21, "✔") + COUNTIF(E21:AF21, "v") + COUNTIF(E21:AF21, "V")) &amp; "/" &amp; D21, (COUNTIF(E21:AF21, "✓") + COUNTIF(E21:AF21, "✔") + COUNTIF(E21:AF21, "v") + COUNTIF(E21:AF21, "V")) &amp; "/0"),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 &amp; "/" &amp; ((COUNTIF(E21:AF21, "✓") + COUNTIF(E21:AF21, "✔") + COUNTIF(E21:AF21, "v") + COUNTIF(E21:AF21, "V")) + COUNTIF(E21:AF21, "✗") + COUNTIF(E21:AF21, "x") + COUNTIF(E21:AF21, "X")), "")))</f>
        <v/>
      </c>
      <c r="AI21">
        <f>COUNTIF(E21:AF21,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7">
        <f>IF(ISBLANK(B22), "", IF(ISNUMBER(D22), IF(D22&gt;0, (COUNTIF(E22:AF22, "✓") + COUNTIF(E22:AF22, "✔") + COUNTIF(E22:AF22, "v") + COUNTIF(E22:AF22, "V"))/D22, 0),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"V"))/((COUNTIF(E22:AF22, "✓") + COUNTIF(E22:AF22, "✔") + COUNTIF(E22:AF22, "v") + COUNTIF(E22:AF22, "V")) + COUNTIF(E22:AF22, "✗") + COUNTIF(E22:AF22, "x") + COUNTIF(E22:AF22, "X")), "")))</f>
        <v/>
      </c>
      <c r="AH22" s="28">
        <f>IF(ISBLANK(B22), "", IF(ISNUMBER(D22), IF(D22&gt;0, (COUNTIF(E22:AF22, "✓") + COUNTIF(E22:AF22, "✔") + COUNTIF(E22:AF22, "v") + COUNTIF(E22:AF22, "V")) &amp; "/" &amp; D22, (COUNTIF(E22:AF22, "✓") + COUNTIF(E22:AF22, "✔") + COUNTIF(E22:AF22, "v") + COUNTIF(E22:AF22, "V")) &amp; "/0"),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 &amp; "/" &amp; ((COUNTIF(E22:AF22, "✓") + COUNTIF(E22:AF22, "✔") + COUNTIF(E22:AF22, "v") + COUNTIF(E22:AF22, "V")) + COUNTIF(E22:AF22, "✗") + COUNTIF(E22:AF22, "x") + COUNTIF(E22:AF22, "X")), "")))</f>
        <v/>
      </c>
      <c r="AI22">
        <f>COUNTIF(E22:AF22,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7">
        <f>IF(ISBLANK(B23), "", IF(ISNUMBER(D23), IF(D23&gt;0, (COUNTIF(E23:AF23, "✓") + COUNTIF(E23:AF23, "✔") + COUNTIF(E23:AF23, "v") + COUNTIF(E23:AF23, "V"))/D23, 0),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"V"))/((COUNTIF(E23:AF23, "✓") + COUNTIF(E23:AF23, "✔") + COUNTIF(E23:AF23, "v") + COUNTIF(E23:AF23, "V")) + COUNTIF(E23:AF23, "✗") + COUNTIF(E23:AF23, "x") + COUNTIF(E23:AF23, "X")), "")))</f>
        <v/>
      </c>
      <c r="AH23" s="28">
        <f>IF(ISBLANK(B23), "", IF(ISNUMBER(D23), IF(D23&gt;0, (COUNTIF(E23:AF23, "✓") + COUNTIF(E23:AF23, "✔") + COUNTIF(E23:AF23, "v") + COUNTIF(E23:AF23, "V")) &amp; "/" &amp; D23, (COUNTIF(E23:AF23, "✓") + COUNTIF(E23:AF23, "✔") + COUNTIF(E23:AF23, "v") + COUNTIF(E23:AF23, "V")) &amp; "/0"),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 &amp; "/" &amp; ((COUNTIF(E23:AF23, "✓") + COUNTIF(E23:AF23, "✔") + COUNTIF(E23:AF23, "v") + COUNTIF(E23:AF23, "V")) + COUNTIF(E23:AF23, "✗") + COUNTIF(E23:AF23, "x") + COUNTIF(E23:AF23, "X")), "")))</f>
        <v/>
      </c>
      <c r="AI23">
        <f>COUNTIF(E23:AF23,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7">
        <f>IF(ISBLANK(B24), "", IF(ISNUMBER(D24), IF(D24&gt;0, (COUNTIF(E24:AF24, "✓") + COUNTIF(E24:AF24, "✔") + COUNTIF(E24:AF24, "v") + COUNTIF(E24:AF24, "V"))/D24, 0),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"V"))/((COUNTIF(E24:AF24, "✓") + COUNTIF(E24:AF24, "✔") + COUNTIF(E24:AF24, "v") + COUNTIF(E24:AF24, "V")) + COUNTIF(E24:AF24, "✗") + COUNTIF(E24:AF24, "x") + COUNTIF(E24:AF24, "X")), "")))</f>
        <v/>
      </c>
      <c r="AH24" s="28">
        <f>IF(ISBLANK(B24), "", IF(ISNUMBER(D24), IF(D24&gt;0, (COUNTIF(E24:AF24, "✓") + COUNTIF(E24:AF24, "✔") + COUNTIF(E24:AF24, "v") + COUNTIF(E24:AF24, "V")) &amp; "/" &amp; D24, (COUNTIF(E24:AF24, "✓") + COUNTIF(E24:AF24, "✔") + COUNTIF(E24:AF24, "v") + COUNTIF(E24:AF24, "V")) &amp; "/0"),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 &amp; "/" &amp; ((COUNTIF(E24:AF24, "✓") + COUNTIF(E24:AF24, "✔") + COUNTIF(E24:AF24, "v") + COUNTIF(E24:AF24, "V")) + COUNTIF(E24:AF24, "✗") + COUNTIF(E24:AF24, "x") + COUNTIF(E24:AF24, "X")), "")))</f>
        <v/>
      </c>
      <c r="AI24">
        <f>COUNTIF(E24:AF24,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7">
        <f>IF(ISBLANK(B25), "", IF(ISNUMBER(D25), IF(D25&gt;0, (COUNTIF(E25:AF25, "✓") + COUNTIF(E25:AF25, "✔") + COUNTIF(E25:AF25, "v") + COUNTIF(E25:AF25, "V"))/D25, 0),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"V"))/((COUNTIF(E25:AF25, "✓") + COUNTIF(E25:AF25, "✔") + COUNTIF(E25:AF25, "v") + COUNTIF(E25:AF25, "V")) + COUNTIF(E25:AF25, "✗") + COUNTIF(E25:AF25, "x") + COUNTIF(E25:AF25, "X")), "")))</f>
        <v/>
      </c>
      <c r="AH25" s="28">
        <f>IF(ISBLANK(B25), "", IF(ISNUMBER(D25), IF(D25&gt;0, (COUNTIF(E25:AF25, "✓") + COUNTIF(E25:AF25, "✔") + COUNTIF(E25:AF25, "v") + COUNTIF(E25:AF25, "V")) &amp; "/" &amp; D25, (COUNTIF(E25:AF25, "✓") + COUNTIF(E25:AF25, "✔") + COUNTIF(E25:AF25, "v") + COUNTIF(E25:AF25, "V")) &amp; "/0"),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 &amp; "/" &amp; ((COUNTIF(E25:AF25, "✓") + COUNTIF(E25:AF25, "✔") + COUNTIF(E25:AF25, "v") + COUNTIF(E25:AF25, "V")) + COUNTIF(E25:AF25, "✗") + COUNTIF(E25:AF25, "x") + COUNTIF(E25:AF25, "X")), "")))</f>
        <v/>
      </c>
      <c r="AI25">
        <f>COUNTIF(E25:AF25,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3">
        <f>IF(ISBLANK(B26), "", IF(ISNUMBER(D26), IF(D26&gt;0, (COUNTIF(E26:AF26, "✓") + COUNTIF(E26:AF26, "✔") + COUNTIF(E26:AF26, "v") + COUNTIF(E26:AF26, "V"))/D26, 0),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"V"))/((COUNTIF(E26:AF26, "✓") + COUNTIF(E26:AF26, "✔") + COUNTIF(E26:AF26, "v") + COUNTIF(E26:AF26, "V")) + COUNTIF(E26:AF26, "✗") + COUNTIF(E26:AF26, "x") + COUNTIF(E26:AF26, "X")), "")))</f>
        <v/>
      </c>
      <c r="AH26" s="34">
        <f>IF(ISBLANK(B26), "", IF(ISNUMBER(D26), IF(D26&gt;0, (COUNTIF(E26:AF26, "✓") + COUNTIF(E26:AF26, "✔") + COUNTIF(E26:AF26, "v") + COUNTIF(E26:AF26, "V")) &amp; "/" &amp; D26, (COUNTIF(E26:AF26, "✓") + COUNTIF(E26:AF26, "✔") + COUNTIF(E26:AF26, "v") + COUNTIF(E26:AF26, "V")) &amp; "/0"),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 &amp; "/" &amp; ((COUNTIF(E26:AF26, "✓") + COUNTIF(E26:AF26, "✔") + COUNTIF(E26:AF26, "v") + COUNTIF(E26:AF26, "V")) + COUNTIF(E26:AF26, "✗") + COUNTIF(E26:AF26, "x") + COUNTIF(E26:AF26, "X")), "")))</f>
        <v/>
      </c>
      <c r="AI26">
        <f>COUNTIF(E26:AF26,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3">
        <f>IF(ISBLANK(B27), "", IF(ISNUMBER(D27), IF(D27&gt;0, (COUNTIF(E27:AF27, "✓") + COUNTIF(E27:AF27, "✔") + COUNTIF(E27:AF27, "v") + COUNTIF(E27:AF27, "V"))/D27, 0),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"V"))/((COUNTIF(E27:AF27, "✓") + COUNTIF(E27:AF27, "✔") + COUNTIF(E27:AF27, "v") + COUNTIF(E27:AF27, "V")) + COUNTIF(E27:AF27, "✗") + COUNTIF(E27:AF27, "x") + COUNTIF(E27:AF27, "X")), "")))</f>
        <v/>
      </c>
      <c r="AH27" s="34">
        <f>IF(ISBLANK(B27), "", IF(ISNUMBER(D27), IF(D27&gt;0, (COUNTIF(E27:AF27, "✓") + COUNTIF(E27:AF27, "✔") + COUNTIF(E27:AF27, "v") + COUNTIF(E27:AF27, "V")) &amp; "/" &amp; D27, (COUNTIF(E27:AF27, "✓") + COUNTIF(E27:AF27, "✔") + COUNTIF(E27:AF27, "v") + COUNTIF(E27:AF27, "V")) &amp; "/0"),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 &amp; "/" &amp; ((COUNTIF(E27:AF27, "✓") + COUNTIF(E27:AF27, "✔") + COUNTIF(E27:AF27, "v") + COUNTIF(E27:AF27, "V")) + COUNTIF(E27:AF27, "✗") + COUNTIF(E27:AF27, "x") + COUNTIF(E27:AF27, "X")), "")))</f>
        <v/>
      </c>
      <c r="AI27">
        <f>COUNTIF(E27:AF27,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3">
        <f>IF(ISBLANK(B28), "", IF(ISNUMBER(D28), IF(D28&gt;0, (COUNTIF(E28:AF28, "✓") + COUNTIF(E28:AF28, "✔") + COUNTIF(E28:AF28, "v") + COUNTIF(E28:AF28, "V"))/D28, 0),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"V"))/((COUNTIF(E28:AF28, "✓") + COUNTIF(E28:AF28, "✔") + COUNTIF(E28:AF28, "v") + COUNTIF(E28:AF28, "V")) + COUNTIF(E28:AF28, "✗") + COUNTIF(E28:AF28, "x") + COUNTIF(E28:AF28, "X")), "")))</f>
        <v/>
      </c>
      <c r="AH28" s="34">
        <f>IF(ISBLANK(B28), "", IF(ISNUMBER(D28), IF(D28&gt;0, (COUNTIF(E28:AF28, "✓") + COUNTIF(E28:AF28, "✔") + COUNTIF(E28:AF28, "v") + COUNTIF(E28:AF28, "V")) &amp; "/" &amp; D28, (COUNTIF(E28:AF28, "✓") + COUNTIF(E28:AF28, "✔") + COUNTIF(E28:AF28, "v") + COUNTIF(E28:AF28, "V")) &amp; "/0"),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 &amp; "/" &amp; ((COUNTIF(E28:AF28, "✓") + COUNTIF(E28:AF28, "✔") + COUNTIF(E28:AF28, "v") + COUNTIF(E28:AF28, "V")) + COUNTIF(E28:AF28, "✗") + COUNTIF(E28:AF28, "x") + COUNTIF(E28:AF28, "X")), "")))</f>
        <v/>
      </c>
      <c r="AI28">
        <f>COUNTIF(E28:AF28,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3">
        <f>IF(ISBLANK(B29), "", IF(ISNUMBER(D29), IF(D29&gt;0, (COUNTIF(E29:AF29, "✓") + COUNTIF(E29:AF29, "✔") + COUNTIF(E29:AF29, "v") + COUNTIF(E29:AF29, "V"))/D29, 0),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"V"))/((COUNTIF(E29:AF29, "✓") + COUNTIF(E29:AF29, "✔") + COUNTIF(E29:AF29, "v") + COUNTIF(E29:AF29, "V")) + COUNTIF(E29:AF29, "✗") + COUNTIF(E29:AF29, "x") + COUNTIF(E29:AF29, "X")), "")))</f>
        <v/>
      </c>
      <c r="AH29" s="34">
        <f>IF(ISBLANK(B29), "", IF(ISNUMBER(D29), IF(D29&gt;0, (COUNTIF(E29:AF29, "✓") + COUNTIF(E29:AF29, "✔") + COUNTIF(E29:AF29, "v") + COUNTIF(E29:AF29, "V")) &amp; "/" &amp; D29, (COUNTIF(E29:AF29, "✓") + COUNTIF(E29:AF29, "✔") + COUNTIF(E29:AF29, "v") + COUNTIF(E29:AF29, "V")) &amp; "/0"),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 &amp; "/" &amp; ((COUNTIF(E29:AF29, "✓") + COUNTIF(E29:AF29, "✔") + COUNTIF(E29:AF29, "v") + COUNTIF(E29:AF29, "V")) + COUNTIF(E29:AF29, "✗") + COUNTIF(E29:AF29, "x") + COUNTIF(E29:AF29, "X")), "")))</f>
        <v/>
      </c>
      <c r="AI29">
        <f>COUNTIF(E29:AF29,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9">
        <f>IF(ISBLANK(B30), "", IF(ISNUMBER(D30), IF(D30&gt;0, (COUNTIF(E30:AF30, "✓") + COUNTIF(E30:AF30, "✔") + COUNTIF(E30:AF30, "v") + COUNTIF(E30:AF30, "V"))/D30, 0),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"V"))/((COUNTIF(E30:AF30, "✓") + COUNTIF(E30:AF30, "✔") + COUNTIF(E30:AF30, "v") + COUNTIF(E30:AF30, "V")) + COUNTIF(E30:AF30, "✗") + COUNTIF(E30:AF30, "x") + COUNTIF(E30:AF30, "X")), "")))</f>
        <v/>
      </c>
      <c r="AH30" s="40">
        <f>IF(ISBLANK(B30), "", IF(ISNUMBER(D30), IF(D30&gt;0, (COUNTIF(E30:AF30, "✓") + COUNTIF(E30:AF30, "✔") + COUNTIF(E30:AF30, "v") + COUNTIF(E30:AF30, "V")) &amp; "/" &amp; D30, (COUNTIF(E30:AF30, "✓") + COUNTIF(E30:AF30, "✔") + COUNTIF(E30:AF30, "v") + COUNTIF(E30:AF30, "V")) &amp; "/0"),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 &amp; "/" &amp; ((COUNTIF(E30:AF30, "✓") + COUNTIF(E30:AF30, "✔") + COUNTIF(E30:AF30, "v") + COUNTIF(E30:AF30, "V")) + COUNTIF(E30:AF30, "✗") + COUNTIF(E30:AF30, "x") + COUNTIF(E30:AF30, "X")), "")))</f>
        <v/>
      </c>
      <c r="AI30">
        <f>COUNTIF(E30:AF30,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9">
        <f>IF(ISBLANK(B31), "", IF(ISNUMBER(D31), IF(D31&gt;0, (COUNTIF(E31:AF31, "✓") + COUNTIF(E31:AF31, "✔") + COUNTIF(E31:AF31, "v") + COUNTIF(E31:AF31, "V"))/D31, 0),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"V"))/((COUNTIF(E31:AF31, "✓") + COUNTIF(E31:AF31, "✔") + COUNTIF(E31:AF31, "v") + COUNTIF(E31:AF31, "V")) + COUNTIF(E31:AF31, "✗") + COUNTIF(E31:AF31, "x") + COUNTIF(E31:AF31, "X")), "")))</f>
        <v/>
      </c>
      <c r="AH31" s="40">
        <f>IF(ISBLANK(B31), "", IF(ISNUMBER(D31), IF(D31&gt;0, (COUNTIF(E31:AF31, "✓") + COUNTIF(E31:AF31, "✔") + COUNTIF(E31:AF31, "v") + COUNTIF(E31:AF31, "V")) &amp; "/" &amp; D31, (COUNTIF(E31:AF31, "✓") + COUNTIF(E31:AF31, "✔") + COUNTIF(E31:AF31, "v") + COUNTIF(E31:AF31, "V")) &amp; "/0"),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 &amp; "/" &amp; ((COUNTIF(E31:AF31, "✓") + COUNTIF(E31:AF31, "✔") + COUNTIF(E31:AF31, "v") + COUNTIF(E31:AF31, "V")) + COUNTIF(E31:AF31, "✗") + COUNTIF(E31:AF31, "x") + COUNTIF(E31:AF31, "X")), "")))</f>
        <v/>
      </c>
      <c r="AI31">
        <f>COUNTIF(E31:AF31,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9">
        <f>IF(ISBLANK(B32), "", IF(ISNUMBER(D32), IF(D32&gt;0, (COUNTIF(E32:AF32, "✓") + COUNTIF(E32:AF32, "✔") + COUNTIF(E32:AF32, "v") + COUNTIF(E32:AF32, "V"))/D32, 0),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"V"))/((COUNTIF(E32:AF32, "✓") + COUNTIF(E32:AF32, "✔") + COUNTIF(E32:AF32, "v") + COUNTIF(E32:AF32, "V")) + COUNTIF(E32:AF32, "✗") + COUNTIF(E32:AF32, "x") + COUNTIF(E32:AF32, "X")), "")))</f>
        <v/>
      </c>
      <c r="AH32" s="40">
        <f>IF(ISBLANK(B32), "", IF(ISNUMBER(D32), IF(D32&gt;0, (COUNTIF(E32:AF32, "✓") + COUNTIF(E32:AF32, "✔") + COUNTIF(E32:AF32, "v") + COUNTIF(E32:AF32, "V")) &amp; "/" &amp; D32, (COUNTIF(E32:AF32, "✓") + COUNTIF(E32:AF32, "✔") + COUNTIF(E32:AF32, "v") + COUNTIF(E32:AF32, "V")) &amp; "/0"),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 &amp; "/" &amp; ((COUNTIF(E32:AF32, "✓") + COUNTIF(E32:AF32, "✔") + COUNTIF(E32:AF32, "v") + COUNTIF(E32:AF32, "V")) + COUNTIF(E32:AF32, "✗") + COUNTIF(E32:AF32, "x") + COUNTIF(E32:AF32, "X")), "")))</f>
        <v/>
      </c>
      <c r="AI32">
        <f>COUNTIF(E32:AF32,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9">
        <f>IF(ISBLANK(B33), "", IF(ISNUMBER(D33), IF(D33&gt;0, (COUNTIF(E33:AF33, "✓") + COUNTIF(E33:AF33, "✔") + COUNTIF(E33:AF33, "v") + COUNTIF(E33:AF33, "V"))/D33, 0),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"V"))/((COUNTIF(E33:AF33, "✓") + COUNTIF(E33:AF33, "✔") + COUNTIF(E33:AF33, "v") + COUNTIF(E33:AF33, "V")) + COUNTIF(E33:AF33, "✗") + COUNTIF(E33:AF33, "x") + COUNTIF(E33:AF33, "X")), "")))</f>
        <v/>
      </c>
      <c r="AH33" s="40">
        <f>IF(ISBLANK(B33), "", IF(ISNUMBER(D33), IF(D33&gt;0, (COUNTIF(E33:AF33, "✓") + COUNTIF(E33:AF33, "✔") + COUNTIF(E33:AF33, "v") + COUNTIF(E33:AF33, "V")) &amp; "/" &amp; D33, (COUNTIF(E33:AF33, "✓") + COUNTIF(E33:AF33, "✔") + COUNTIF(E33:AF33, "v") + COUNTIF(E33:AF33, "V")) &amp; "/0"),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 &amp; "/" &amp; ((COUNTIF(E33:AF33, "✓") + COUNTIF(E33:AF33, "✔") + COUNTIF(E33:AF33, "v") + COUNTIF(E33:AF33, "V")) + COUNTIF(E33:AF33, "✗") + COUNTIF(E33:AF33, "x") + COUNTIF(E33:AF33, "X")), "")))</f>
        <v/>
      </c>
      <c r="AI33">
        <f>COUNTIF(E33:AF33,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5">
        <f>IF(ISBLANK(B34), "", IF(ISNUMBER(D34), IF(D34&gt;0, (COUNTIF(E34:AF34, "✓") + COUNTIF(E34:AF34, "✔") + COUNTIF(E34:AF34, "v") + COUNTIF(E34:AF34, "V"))/D34, 0),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"V"))/((COUNTIF(E34:AF34, "✓") + COUNTIF(E34:AF34, "✔") + COUNTIF(E34:AF34, "v") + COUNTIF(E34:AF34, "V")) + COUNTIF(E34:AF34, "✗") + COUNTIF(E34:AF34, "x") + COUNTIF(E34:AF34, "X")), "")))</f>
        <v/>
      </c>
      <c r="AH34" s="46">
        <f>IF(ISBLANK(B34), "", IF(ISNUMBER(D34), IF(D34&gt;0, (COUNTIF(E34:AF34, "✓") + COUNTIF(E34:AF34, "✔") + COUNTIF(E34:AF34, "v") + COUNTIF(E34:AF34, "V")) &amp; "/" &amp; D34, (COUNTIF(E34:AF34, "✓") + COUNTIF(E34:AF34, "✔") + COUNTIF(E34:AF34, "v") + COUNTIF(E34:AF34, "V")) &amp; "/0"),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 &amp; "/" &amp; ((COUNTIF(E34:AF34, "✓") + COUNTIF(E34:AF34, "✔") + COUNTIF(E34:AF34, "v") + COUNTIF(E34:AF34, "V")) + COUNTIF(E34:AF34, "✗") + COUNTIF(E34:AF34, "x") + COUNTIF(E34:AF34, "X")), "")))</f>
        <v/>
      </c>
      <c r="AI34">
        <f>COUNTIF(E34:AF34,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5">
        <f>IF(ISBLANK(B35), "", IF(ISNUMBER(D35), IF(D35&gt;0, (COUNTIF(E35:AF35, "✓") + COUNTIF(E35:AF35, "✔") + COUNTIF(E35:AF35, "v") + COUNTIF(E35:AF35, "V"))/D35, 0),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"V"))/((COUNTIF(E35:AF35, "✓") + COUNTIF(E35:AF35, "✔") + COUNTIF(E35:AF35, "v") + COUNTIF(E35:AF35, "V")) + COUNTIF(E35:AF35, "✗") + COUNTIF(E35:AF35, "x") + COUNTIF(E35:AF35, "X")), "")))</f>
        <v/>
      </c>
      <c r="AH35" s="46">
        <f>IF(ISBLANK(B35), "", IF(ISNUMBER(D35), IF(D35&gt;0, (COUNTIF(E35:AF35, "✓") + COUNTIF(E35:AF35, "✔") + COUNTIF(E35:AF35, "v") + COUNTIF(E35:AF35, "V")) &amp; "/" &amp; D35, (COUNTIF(E35:AF35, "✓") + COUNTIF(E35:AF35, "✔") + COUNTIF(E35:AF35, "v") + COUNTIF(E35:AF35, "V")) &amp; "/0"),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 &amp; "/" &amp; ((COUNTIF(E35:AF35, "✓") + COUNTIF(E35:AF35, "✔") + COUNTIF(E35:AF35, "v") + COUNTIF(E35:AF35, "V")) + COUNTIF(E35:AF35, "✗") + COUNTIF(E35:AF35, "x") + COUNTIF(E35:AF35, "X")), "")))</f>
        <v/>
      </c>
      <c r="AI35">
        <f>COUNTIF(E35:AF35,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5">
        <f>IF(ISBLANK(B36), "", IF(ISNUMBER(D36), IF(D36&gt;0, (COUNTIF(E36:AF36, "✓") + COUNTIF(E36:AF36, "✔") + COUNTIF(E36:AF36, "v") + COUNTIF(E36:AF36, "V"))/D36, 0),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"V"))/((COUNTIF(E36:AF36, "✓") + COUNTIF(E36:AF36, "✔") + COUNTIF(E36:AF36, "v") + COUNTIF(E36:AF36, "V")) + COUNTIF(E36:AF36, "✗") + COUNTIF(E36:AF36, "x") + COUNTIF(E36:AF36, "X")), "")))</f>
        <v/>
      </c>
      <c r="AH36" s="46">
        <f>IF(ISBLANK(B36), "", IF(ISNUMBER(D36), IF(D36&gt;0, (COUNTIF(E36:AF36, "✓") + COUNTIF(E36:AF36, "✔") + COUNTIF(E36:AF36, "v") + COUNTIF(E36:AF36, "V")) &amp; "/" &amp; D36, (COUNTIF(E36:AF36, "✓") + COUNTIF(E36:AF36, "✔") + COUNTIF(E36:AF36, "v") + COUNTIF(E36:AF36, "V")) &amp; "/0"),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 &amp; "/" &amp; ((COUNTIF(E36:AF36, "✓") + COUNTIF(E36:AF36, "✔") + COUNTIF(E36:AF36, "v") + COUNTIF(E36:AF36, "V")) + COUNTIF(E36:AF36, "✗") + COUNTIF(E36:AF36, "x") + COUNTIF(E36:AF36, "X")), "")))</f>
        <v/>
      </c>
      <c r="AI36">
        <f>COUNTIF(E36:AF36,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5">
        <f>IF(ISBLANK(B37), "", IF(ISNUMBER(D37), IF(D37&gt;0, (COUNTIF(E37:AF37, "✓") + COUNTIF(E37:AF37, "✔") + COUNTIF(E37:AF37, "v") + COUNTIF(E37:AF37, "V"))/D37, 0),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"V"))/((COUNTIF(E37:AF37, "✓") + COUNTIF(E37:AF37, "✔") + COUNTIF(E37:AF37, "v") + COUNTIF(E37:AF37, "V")) + COUNTIF(E37:AF37, "✗") + COUNTIF(E37:AF37, "x") + COUNTIF(E37:AF37, "X")), "")))</f>
        <v/>
      </c>
      <c r="AH37" s="46">
        <f>IF(ISBLANK(B37), "", IF(ISNUMBER(D37), IF(D37&gt;0, (COUNTIF(E37:AF37, "✓") + COUNTIF(E37:AF37, "✔") + COUNTIF(E37:AF37, "v") + COUNTIF(E37:AF37, "V")) &amp; "/" &amp; D37, (COUNTIF(E37:AF37, "✓") + COUNTIF(E37:AF37, "✔") + COUNTIF(E37:AF37, "v") + COUNTIF(E37:AF37, "V")) &amp; "/0"),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 &amp; "/" &amp; ((COUNTIF(E37:AF37, "✓") + COUNTIF(E37:AF37, "✔") + COUNTIF(E37:AF37, "v") + COUNTIF(E37:AF37, "V")) + COUNTIF(E37:AF37, "✗") + COUNTIF(E37:AF37, "x") + COUNTIF(E37:AF37, "X")), "")))</f>
        <v/>
      </c>
      <c r="AI37">
        <f>COUNTIF(E37:AF37,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48">
        <f>IF(SUM(D18:D37) &gt; 0, SUM(AI18:AI37) / SUM(D18:D37), "")</f>
        <v/>
      </c>
      <c r="AH38" s="10">
        <f>IF(SUM(D18:D37) &gt; 0, SUM(AI18:AI37)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8">
        <f>IF(COUNT(E39:AF39) &gt; 0, AVERAGE(E39:AF39), "")</f>
        <v/>
      </c>
      <c r="AH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5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5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5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5" t="n">
        <v>25</v>
      </c>
      <c r="AD45" s="54" t="n">
        <v>26</v>
      </c>
      <c r="AE45" s="54" t="n">
        <v>27</v>
      </c>
      <c r="AF45" s="54" t="n">
        <v>28</v>
      </c>
    </row>
    <row r="46" ht="15" customHeight="1">
      <c r="A46" s="53" t="n"/>
      <c r="B46" s="53" t="n"/>
      <c r="C46" s="53" t="n"/>
      <c r="D46" s="53" t="n"/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SUM(AI18:AI37)/SUM(D18:D37),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COUNTIF(E39:AF39, 1) &amp; " Days"</f>
        <v/>
      </c>
      <c r="L68" s="67" t="n"/>
      <c r="M68" s="67" t="n"/>
      <c r="N68" s="67" t="n"/>
      <c r="P68" s="73">
        <f>IFERROR(TEXT(AVERAGE(E47:AF47),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$AI$18:$AI$37)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$AI$18:$AI$37)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$AI$18:$AI$37)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$AI$18:$AI$37)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N/A</t>
        </is>
      </c>
      <c r="C80" s="83" t="n">
        <v>0</v>
      </c>
      <c r="D80" s="83" t="n">
        <v>0</v>
      </c>
      <c r="E80" s="84" t="n">
        <v>0</v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$AI$18:$AI$37)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COUNTIF(E47:AF47, "&gt;=7")</f>
        <v/>
      </c>
      <c r="H86" s="88" t="n"/>
      <c r="I86" s="89" t="n"/>
      <c r="J86" s="83">
        <f>IFERROR(TEXT(AVERAGEIF(E47:AF47, "&gt;=7"), "0.0") &amp; " hrs", "-")</f>
        <v/>
      </c>
      <c r="K86" s="88" t="n"/>
      <c r="L86" s="88" t="n"/>
      <c r="M86" s="89" t="n"/>
      <c r="N86" s="90">
        <f>IFERROR(AVERAGEIFS(E39:AF39, E47:AF47, "&gt;=7", E39:AF39,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COUNTIF(E47:AF47, "&lt;7") - COUNTIF(E47:AF47, "")</f>
        <v/>
      </c>
      <c r="H87" s="88" t="n"/>
      <c r="I87" s="89" t="n"/>
      <c r="J87" s="83">
        <f>IFERROR(TEXT(AVERAGEIFS(E47:AF47, E47:AF47, "&lt;7", E47:AF47, "&gt;0"), "0.0") &amp; " hrs", "-")</f>
        <v/>
      </c>
      <c r="K87" s="88" t="n"/>
      <c r="L87" s="88" t="n"/>
      <c r="M87" s="89" t="n"/>
      <c r="N87" s="92">
        <f>IFERROR(AVERAGEIFS(E39:AF39, E47:AF47, "&lt;7", E39:AF39,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Feb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SUM(AI18:AI37)</f>
        <v/>
      </c>
      <c r="J92" s="89" t="n"/>
      <c r="K92" s="98">
        <f>IF(G92&gt;0, I92/G92, 0)</f>
        <v/>
      </c>
      <c r="L92" s="89" t="n"/>
      <c r="M92" s="97">
        <f>COUNTIF(E39:AF39, 1)</f>
        <v/>
      </c>
      <c r="N92" s="89" t="n"/>
      <c r="O92" s="99">
        <f>IFERROR(AVERAGE(E47:AF47),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42:AH42"/>
    <mergeCell ref="G87:I87"/>
    <mergeCell ref="A16:A17"/>
    <mergeCell ref="A45:D46"/>
    <mergeCell ref="C16:C17"/>
    <mergeCell ref="N75:O75"/>
    <mergeCell ref="N77:O77"/>
    <mergeCell ref="A88:AF88"/>
    <mergeCell ref="P68:S70"/>
    <mergeCell ref="D16:D17"/>
    <mergeCell ref="N85:Q85"/>
    <mergeCell ref="A90:AF90"/>
    <mergeCell ref="A95:H95"/>
    <mergeCell ref="Q91:S91"/>
    <mergeCell ref="E91:F91"/>
    <mergeCell ref="A8:N8"/>
    <mergeCell ref="G91:H91"/>
    <mergeCell ref="J86:M86"/>
    <mergeCell ref="S95:Z95"/>
    <mergeCell ref="K67:N67"/>
    <mergeCell ref="A41:AH41"/>
    <mergeCell ref="N79:O79"/>
    <mergeCell ref="K92:L92"/>
    <mergeCell ref="C92:D92"/>
    <mergeCell ref="M92:N92"/>
    <mergeCell ref="F71:I71"/>
    <mergeCell ref="K68:N70"/>
    <mergeCell ref="T91:W91"/>
    <mergeCell ref="AG16:AG17"/>
    <mergeCell ref="J95:Q95"/>
    <mergeCell ref="D85:F85"/>
    <mergeCell ref="N74:S74"/>
    <mergeCell ref="F68:I70"/>
    <mergeCell ref="A91:B91"/>
    <mergeCell ref="N78:O78"/>
    <mergeCell ref="C91:D91"/>
    <mergeCell ref="P8:AH8"/>
    <mergeCell ref="M91:N91"/>
    <mergeCell ref="O91:P91"/>
    <mergeCell ref="R86:U86"/>
    <mergeCell ref="N80:O80"/>
    <mergeCell ref="B16:B17"/>
    <mergeCell ref="A71:D71"/>
    <mergeCell ref="J85:M85"/>
    <mergeCell ref="D86:F86"/>
    <mergeCell ref="AB2:AH2"/>
    <mergeCell ref="P7:AH7"/>
    <mergeCell ref="A92:B92"/>
    <mergeCell ref="A93:AF93"/>
    <mergeCell ref="N87:Q87"/>
    <mergeCell ref="E92:F92"/>
    <mergeCell ref="A68:D70"/>
    <mergeCell ref="P71:S71"/>
    <mergeCell ref="A86:C86"/>
    <mergeCell ref="D87:F87"/>
    <mergeCell ref="O92:P92"/>
    <mergeCell ref="A6:N6"/>
    <mergeCell ref="A39:D39"/>
    <mergeCell ref="A84:AF84"/>
    <mergeCell ref="H2:AA2"/>
    <mergeCell ref="G86:I86"/>
    <mergeCell ref="A96:H103"/>
    <mergeCell ref="P6:AH6"/>
    <mergeCell ref="P67:S67"/>
    <mergeCell ref="AH16:AH17"/>
    <mergeCell ref="T92:W92"/>
    <mergeCell ref="H3:AA3"/>
    <mergeCell ref="R85:U85"/>
    <mergeCell ref="K71:N71"/>
    <mergeCell ref="S96:Z103"/>
    <mergeCell ref="A38:D38"/>
    <mergeCell ref="A12:AH14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J87:M87"/>
    <mergeCell ref="P9:AH9"/>
    <mergeCell ref="J96:Q103"/>
    <mergeCell ref="Q92:S92"/>
    <mergeCell ref="A87:C87"/>
    <mergeCell ref="A47:D47"/>
  </mergeCells>
  <conditionalFormatting sqref="E18:AF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MONTH(TODAY())=2, YEAR(TODAY())=2029)</formula>
    </cfRule>
  </conditionalFormatting>
  <conditionalFormatting sqref="F16:F17">
    <cfRule type="expression" priority="7" dxfId="2">
      <formula>AND(DAY(TODAY())=2, MONTH(TODAY())=2, YEAR(TODAY())=2029)</formula>
    </cfRule>
  </conditionalFormatting>
  <conditionalFormatting sqref="G16:G17">
    <cfRule type="expression" priority="8" dxfId="2">
      <formula>AND(DAY(TODAY())=3, MONTH(TODAY())=2, YEAR(TODAY())=2029)</formula>
    </cfRule>
  </conditionalFormatting>
  <conditionalFormatting sqref="H16:H17">
    <cfRule type="expression" priority="9" dxfId="2">
      <formula>AND(DAY(TODAY())=4, MONTH(TODAY())=2, YEAR(TODAY())=2029)</formula>
    </cfRule>
  </conditionalFormatting>
  <conditionalFormatting sqref="I16:I17">
    <cfRule type="expression" priority="10" dxfId="2">
      <formula>AND(DAY(TODAY())=5, MONTH(TODAY())=2, YEAR(TODAY())=2029)</formula>
    </cfRule>
  </conditionalFormatting>
  <conditionalFormatting sqref="J16:J17">
    <cfRule type="expression" priority="11" dxfId="2">
      <formula>AND(DAY(TODAY())=6, MONTH(TODAY())=2, YEAR(TODAY())=2029)</formula>
    </cfRule>
  </conditionalFormatting>
  <conditionalFormatting sqref="K16:K17">
    <cfRule type="expression" priority="12" dxfId="2">
      <formula>AND(DAY(TODAY())=7, MONTH(TODAY())=2, YEAR(TODAY())=2029)</formula>
    </cfRule>
  </conditionalFormatting>
  <conditionalFormatting sqref="L16:L17">
    <cfRule type="expression" priority="13" dxfId="2">
      <formula>AND(DAY(TODAY())=8, MONTH(TODAY())=2, YEAR(TODAY())=2029)</formula>
    </cfRule>
  </conditionalFormatting>
  <conditionalFormatting sqref="M16:M17">
    <cfRule type="expression" priority="14" dxfId="2">
      <formula>AND(DAY(TODAY())=9, MONTH(TODAY())=2, YEAR(TODAY())=2029)</formula>
    </cfRule>
  </conditionalFormatting>
  <conditionalFormatting sqref="N16:N17">
    <cfRule type="expression" priority="15" dxfId="2">
      <formula>AND(DAY(TODAY())=10, MONTH(TODAY())=2, YEAR(TODAY())=2029)</formula>
    </cfRule>
  </conditionalFormatting>
  <conditionalFormatting sqref="O16:O17">
    <cfRule type="expression" priority="16" dxfId="2">
      <formula>AND(DAY(TODAY())=11, MONTH(TODAY())=2, YEAR(TODAY())=2029)</formula>
    </cfRule>
  </conditionalFormatting>
  <conditionalFormatting sqref="P16:P17">
    <cfRule type="expression" priority="17" dxfId="2">
      <formula>AND(DAY(TODAY())=12, MONTH(TODAY())=2, YEAR(TODAY())=2029)</formula>
    </cfRule>
  </conditionalFormatting>
  <conditionalFormatting sqref="Q16:Q17">
    <cfRule type="expression" priority="18" dxfId="2">
      <formula>AND(DAY(TODAY())=13, MONTH(TODAY())=2, YEAR(TODAY())=2029)</formula>
    </cfRule>
  </conditionalFormatting>
  <conditionalFormatting sqref="R16:R17">
    <cfRule type="expression" priority="19" dxfId="2">
      <formula>AND(DAY(TODAY())=14, MONTH(TODAY())=2, YEAR(TODAY())=2029)</formula>
    </cfRule>
  </conditionalFormatting>
  <conditionalFormatting sqref="S16:S17">
    <cfRule type="expression" priority="20" dxfId="2">
      <formula>AND(DAY(TODAY())=15, MONTH(TODAY())=2, YEAR(TODAY())=2029)</formula>
    </cfRule>
  </conditionalFormatting>
  <conditionalFormatting sqref="T16:T17">
    <cfRule type="expression" priority="21" dxfId="2">
      <formula>AND(DAY(TODAY())=16, MONTH(TODAY())=2, YEAR(TODAY())=2029)</formula>
    </cfRule>
  </conditionalFormatting>
  <conditionalFormatting sqref="U16:U17">
    <cfRule type="expression" priority="22" dxfId="2">
      <formula>AND(DAY(TODAY())=17, MONTH(TODAY())=2, YEAR(TODAY())=2029)</formula>
    </cfRule>
  </conditionalFormatting>
  <conditionalFormatting sqref="V16:V17">
    <cfRule type="expression" priority="23" dxfId="2">
      <formula>AND(DAY(TODAY())=18, MONTH(TODAY())=2, YEAR(TODAY())=2029)</formula>
    </cfRule>
  </conditionalFormatting>
  <conditionalFormatting sqref="W16:W17">
    <cfRule type="expression" priority="24" dxfId="2">
      <formula>AND(DAY(TODAY())=19, MONTH(TODAY())=2, YEAR(TODAY())=2029)</formula>
    </cfRule>
  </conditionalFormatting>
  <conditionalFormatting sqref="X16:X17">
    <cfRule type="expression" priority="25" dxfId="2">
      <formula>AND(DAY(TODAY())=20, MONTH(TODAY())=2, YEAR(TODAY())=2029)</formula>
    </cfRule>
  </conditionalFormatting>
  <conditionalFormatting sqref="Y16:Y17">
    <cfRule type="expression" priority="26" dxfId="2">
      <formula>AND(DAY(TODAY())=21, MONTH(TODAY())=2, YEAR(TODAY())=2029)</formula>
    </cfRule>
  </conditionalFormatting>
  <conditionalFormatting sqref="Z16:Z17">
    <cfRule type="expression" priority="27" dxfId="2">
      <formula>AND(DAY(TODAY())=22, MONTH(TODAY())=2, YEAR(TODAY())=2029)</formula>
    </cfRule>
  </conditionalFormatting>
  <conditionalFormatting sqref="AA16:AA17">
    <cfRule type="expression" priority="28" dxfId="2">
      <formula>AND(DAY(TODAY())=23, MONTH(TODAY())=2, YEAR(TODAY())=2029)</formula>
    </cfRule>
  </conditionalFormatting>
  <conditionalFormatting sqref="AB16:AB17">
    <cfRule type="expression" priority="29" dxfId="2">
      <formula>AND(DAY(TODAY())=24, MONTH(TODAY())=2, YEAR(TODAY())=2029)</formula>
    </cfRule>
  </conditionalFormatting>
  <conditionalFormatting sqref="AC16:AC17">
    <cfRule type="expression" priority="30" dxfId="2">
      <formula>AND(DAY(TODAY())=25, MONTH(TODAY())=2, YEAR(TODAY())=2029)</formula>
    </cfRule>
  </conditionalFormatting>
  <conditionalFormatting sqref="AD16:AD17">
    <cfRule type="expression" priority="31" dxfId="2">
      <formula>AND(DAY(TODAY())=26, MONTH(TODAY())=2, YEAR(TODAY())=2029)</formula>
    </cfRule>
  </conditionalFormatting>
  <conditionalFormatting sqref="AE16:AE17">
    <cfRule type="expression" priority="32" dxfId="2">
      <formula>AND(DAY(TODAY())=27, MONTH(TODAY())=2, YEAR(TODAY())=2029)</formula>
    </cfRule>
  </conditionalFormatting>
  <conditionalFormatting sqref="AF16:AF17">
    <cfRule type="expression" priority="33" dxfId="2">
      <formula>AND(DAY(TODAY())=28, MONTH(TODAY())=2,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F37" showDropDown="0" showInputMessage="0" showErrorMessage="0" allowBlank="1" promptTitle="Status" prompt="Select ✓ (Done) or ✗ (Missed)" type="list">
      <formula1>"✓,✗"</formula1>
    </dataValidation>
    <dataValidation sqref="E47:AF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"Action is the foundational key to all success."</t>
        </is>
      </c>
      <c r="AE2" s="3" t="inlineStr">
        <is>
          <t>@surajvansh</t>
        </is>
      </c>
    </row>
    <row r="3" ht="18" customHeight="1">
      <c r="A3" s="4" t="inlineStr">
        <is>
          <t>March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2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2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2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2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5" t="inlineStr">
        <is>
          <t>Sa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5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5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5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5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  <c r="AI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Mar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MONTH(TODAY())=3, YEAR(TODAY())=2029)</formula>
    </cfRule>
  </conditionalFormatting>
  <conditionalFormatting sqref="F16:F17">
    <cfRule type="expression" priority="7" dxfId="2">
      <formula>AND(DAY(TODAY())=2, MONTH(TODAY())=3, YEAR(TODAY())=2029)</formula>
    </cfRule>
  </conditionalFormatting>
  <conditionalFormatting sqref="G16:G17">
    <cfRule type="expression" priority="8" dxfId="2">
      <formula>AND(DAY(TODAY())=3, MONTH(TODAY())=3, YEAR(TODAY())=2029)</formula>
    </cfRule>
  </conditionalFormatting>
  <conditionalFormatting sqref="H16:H17">
    <cfRule type="expression" priority="9" dxfId="2">
      <formula>AND(DAY(TODAY())=4, MONTH(TODAY())=3, YEAR(TODAY())=2029)</formula>
    </cfRule>
  </conditionalFormatting>
  <conditionalFormatting sqref="I16:I17">
    <cfRule type="expression" priority="10" dxfId="2">
      <formula>AND(DAY(TODAY())=5, MONTH(TODAY())=3, YEAR(TODAY())=2029)</formula>
    </cfRule>
  </conditionalFormatting>
  <conditionalFormatting sqref="J16:J17">
    <cfRule type="expression" priority="11" dxfId="2">
      <formula>AND(DAY(TODAY())=6, MONTH(TODAY())=3, YEAR(TODAY())=2029)</formula>
    </cfRule>
  </conditionalFormatting>
  <conditionalFormatting sqref="K16:K17">
    <cfRule type="expression" priority="12" dxfId="2">
      <formula>AND(DAY(TODAY())=7, MONTH(TODAY())=3, YEAR(TODAY())=2029)</formula>
    </cfRule>
  </conditionalFormatting>
  <conditionalFormatting sqref="L16:L17">
    <cfRule type="expression" priority="13" dxfId="2">
      <formula>AND(DAY(TODAY())=8, MONTH(TODAY())=3, YEAR(TODAY())=2029)</formula>
    </cfRule>
  </conditionalFormatting>
  <conditionalFormatting sqref="M16:M17">
    <cfRule type="expression" priority="14" dxfId="2">
      <formula>AND(DAY(TODAY())=9, MONTH(TODAY())=3, YEAR(TODAY())=2029)</formula>
    </cfRule>
  </conditionalFormatting>
  <conditionalFormatting sqref="N16:N17">
    <cfRule type="expression" priority="15" dxfId="2">
      <formula>AND(DAY(TODAY())=10, MONTH(TODAY())=3, YEAR(TODAY())=2029)</formula>
    </cfRule>
  </conditionalFormatting>
  <conditionalFormatting sqref="O16:O17">
    <cfRule type="expression" priority="16" dxfId="2">
      <formula>AND(DAY(TODAY())=11, MONTH(TODAY())=3, YEAR(TODAY())=2029)</formula>
    </cfRule>
  </conditionalFormatting>
  <conditionalFormatting sqref="P16:P17">
    <cfRule type="expression" priority="17" dxfId="2">
      <formula>AND(DAY(TODAY())=12, MONTH(TODAY())=3, YEAR(TODAY())=2029)</formula>
    </cfRule>
  </conditionalFormatting>
  <conditionalFormatting sqref="Q16:Q17">
    <cfRule type="expression" priority="18" dxfId="2">
      <formula>AND(DAY(TODAY())=13, MONTH(TODAY())=3, YEAR(TODAY())=2029)</formula>
    </cfRule>
  </conditionalFormatting>
  <conditionalFormatting sqref="R16:R17">
    <cfRule type="expression" priority="19" dxfId="2">
      <formula>AND(DAY(TODAY())=14, MONTH(TODAY())=3, YEAR(TODAY())=2029)</formula>
    </cfRule>
  </conditionalFormatting>
  <conditionalFormatting sqref="S16:S17">
    <cfRule type="expression" priority="20" dxfId="2">
      <formula>AND(DAY(TODAY())=15, MONTH(TODAY())=3, YEAR(TODAY())=2029)</formula>
    </cfRule>
  </conditionalFormatting>
  <conditionalFormatting sqref="T16:T17">
    <cfRule type="expression" priority="21" dxfId="2">
      <formula>AND(DAY(TODAY())=16, MONTH(TODAY())=3, YEAR(TODAY())=2029)</formula>
    </cfRule>
  </conditionalFormatting>
  <conditionalFormatting sqref="U16:U17">
    <cfRule type="expression" priority="22" dxfId="2">
      <formula>AND(DAY(TODAY())=17, MONTH(TODAY())=3, YEAR(TODAY())=2029)</formula>
    </cfRule>
  </conditionalFormatting>
  <conditionalFormatting sqref="V16:V17">
    <cfRule type="expression" priority="23" dxfId="2">
      <formula>AND(DAY(TODAY())=18, MONTH(TODAY())=3, YEAR(TODAY())=2029)</formula>
    </cfRule>
  </conditionalFormatting>
  <conditionalFormatting sqref="W16:W17">
    <cfRule type="expression" priority="24" dxfId="2">
      <formula>AND(DAY(TODAY())=19, MONTH(TODAY())=3, YEAR(TODAY())=2029)</formula>
    </cfRule>
  </conditionalFormatting>
  <conditionalFormatting sqref="X16:X17">
    <cfRule type="expression" priority="25" dxfId="2">
      <formula>AND(DAY(TODAY())=20, MONTH(TODAY())=3, YEAR(TODAY())=2029)</formula>
    </cfRule>
  </conditionalFormatting>
  <conditionalFormatting sqref="Y16:Y17">
    <cfRule type="expression" priority="26" dxfId="2">
      <formula>AND(DAY(TODAY())=21, MONTH(TODAY())=3, YEAR(TODAY())=2029)</formula>
    </cfRule>
  </conditionalFormatting>
  <conditionalFormatting sqref="Z16:Z17">
    <cfRule type="expression" priority="27" dxfId="2">
      <formula>AND(DAY(TODAY())=22, MONTH(TODAY())=3, YEAR(TODAY())=2029)</formula>
    </cfRule>
  </conditionalFormatting>
  <conditionalFormatting sqref="AA16:AA17">
    <cfRule type="expression" priority="28" dxfId="2">
      <formula>AND(DAY(TODAY())=23, MONTH(TODAY())=3, YEAR(TODAY())=2029)</formula>
    </cfRule>
  </conditionalFormatting>
  <conditionalFormatting sqref="AB16:AB17">
    <cfRule type="expression" priority="29" dxfId="2">
      <formula>AND(DAY(TODAY())=24, MONTH(TODAY())=3, YEAR(TODAY())=2029)</formula>
    </cfRule>
  </conditionalFormatting>
  <conditionalFormatting sqref="AC16:AC17">
    <cfRule type="expression" priority="30" dxfId="2">
      <formula>AND(DAY(TODAY())=25, MONTH(TODAY())=3, YEAR(TODAY())=2029)</formula>
    </cfRule>
  </conditionalFormatting>
  <conditionalFormatting sqref="AD16:AD17">
    <cfRule type="expression" priority="31" dxfId="2">
      <formula>AND(DAY(TODAY())=26, MONTH(TODAY())=3, YEAR(TODAY())=2029)</formula>
    </cfRule>
  </conditionalFormatting>
  <conditionalFormatting sqref="AE16:AE17">
    <cfRule type="expression" priority="32" dxfId="2">
      <formula>AND(DAY(TODAY())=27, MONTH(TODAY())=3, YEAR(TODAY())=2029)</formula>
    </cfRule>
  </conditionalFormatting>
  <conditionalFormatting sqref="AF16:AF17">
    <cfRule type="expression" priority="33" dxfId="2">
      <formula>AND(DAY(TODAY())=28, MONTH(TODAY())=3, YEAR(TODAY())=2029)</formula>
    </cfRule>
  </conditionalFormatting>
  <conditionalFormatting sqref="AG16:AG17">
    <cfRule type="expression" priority="34" dxfId="2">
      <formula>AND(DAY(TODAY())=29, MONTH(TODAY())=3, YEAR(TODAY())=2029)</formula>
    </cfRule>
  </conditionalFormatting>
  <conditionalFormatting sqref="AH16:AH17">
    <cfRule type="expression" priority="35" dxfId="2">
      <formula>AND(DAY(TODAY())=30, MONTH(TODAY())=3, YEAR(TODAY())=2029)</formula>
    </cfRule>
  </conditionalFormatting>
  <conditionalFormatting sqref="AI16:AI17">
    <cfRule type="expression" priority="36" dxfId="2">
      <formula>AND(DAY(TODAY())=31, MONTH(TODAY())=3,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"Success is the sum of small efforts repeated daily."</t>
        </is>
      </c>
      <c r="AD2" s="3" t="inlineStr">
        <is>
          <t>@surajvansh</t>
        </is>
      </c>
    </row>
    <row r="3" ht="18" customHeight="1">
      <c r="A3" s="4" t="inlineStr">
        <is>
          <t>April 2029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2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2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2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2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2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5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5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5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5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5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Apr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MONTH(TODAY())=4, YEAR(TODAY())=2029)</formula>
    </cfRule>
  </conditionalFormatting>
  <conditionalFormatting sqref="F16:F17">
    <cfRule type="expression" priority="7" dxfId="2">
      <formula>AND(DAY(TODAY())=2, MONTH(TODAY())=4, YEAR(TODAY())=2029)</formula>
    </cfRule>
  </conditionalFormatting>
  <conditionalFormatting sqref="G16:G17">
    <cfRule type="expression" priority="8" dxfId="2">
      <formula>AND(DAY(TODAY())=3, MONTH(TODAY())=4, YEAR(TODAY())=2029)</formula>
    </cfRule>
  </conditionalFormatting>
  <conditionalFormatting sqref="H16:H17">
    <cfRule type="expression" priority="9" dxfId="2">
      <formula>AND(DAY(TODAY())=4, MONTH(TODAY())=4, YEAR(TODAY())=2029)</formula>
    </cfRule>
  </conditionalFormatting>
  <conditionalFormatting sqref="I16:I17">
    <cfRule type="expression" priority="10" dxfId="2">
      <formula>AND(DAY(TODAY())=5, MONTH(TODAY())=4, YEAR(TODAY())=2029)</formula>
    </cfRule>
  </conditionalFormatting>
  <conditionalFormatting sqref="J16:J17">
    <cfRule type="expression" priority="11" dxfId="2">
      <formula>AND(DAY(TODAY())=6, MONTH(TODAY())=4, YEAR(TODAY())=2029)</formula>
    </cfRule>
  </conditionalFormatting>
  <conditionalFormatting sqref="K16:K17">
    <cfRule type="expression" priority="12" dxfId="2">
      <formula>AND(DAY(TODAY())=7, MONTH(TODAY())=4, YEAR(TODAY())=2029)</formula>
    </cfRule>
  </conditionalFormatting>
  <conditionalFormatting sqref="L16:L17">
    <cfRule type="expression" priority="13" dxfId="2">
      <formula>AND(DAY(TODAY())=8, MONTH(TODAY())=4, YEAR(TODAY())=2029)</formula>
    </cfRule>
  </conditionalFormatting>
  <conditionalFormatting sqref="M16:M17">
    <cfRule type="expression" priority="14" dxfId="2">
      <formula>AND(DAY(TODAY())=9, MONTH(TODAY())=4, YEAR(TODAY())=2029)</formula>
    </cfRule>
  </conditionalFormatting>
  <conditionalFormatting sqref="N16:N17">
    <cfRule type="expression" priority="15" dxfId="2">
      <formula>AND(DAY(TODAY())=10, MONTH(TODAY())=4, YEAR(TODAY())=2029)</formula>
    </cfRule>
  </conditionalFormatting>
  <conditionalFormatting sqref="O16:O17">
    <cfRule type="expression" priority="16" dxfId="2">
      <formula>AND(DAY(TODAY())=11, MONTH(TODAY())=4, YEAR(TODAY())=2029)</formula>
    </cfRule>
  </conditionalFormatting>
  <conditionalFormatting sqref="P16:P17">
    <cfRule type="expression" priority="17" dxfId="2">
      <formula>AND(DAY(TODAY())=12, MONTH(TODAY())=4, YEAR(TODAY())=2029)</formula>
    </cfRule>
  </conditionalFormatting>
  <conditionalFormatting sqref="Q16:Q17">
    <cfRule type="expression" priority="18" dxfId="2">
      <formula>AND(DAY(TODAY())=13, MONTH(TODAY())=4, YEAR(TODAY())=2029)</formula>
    </cfRule>
  </conditionalFormatting>
  <conditionalFormatting sqref="R16:R17">
    <cfRule type="expression" priority="19" dxfId="2">
      <formula>AND(DAY(TODAY())=14, MONTH(TODAY())=4, YEAR(TODAY())=2029)</formula>
    </cfRule>
  </conditionalFormatting>
  <conditionalFormatting sqref="S16:S17">
    <cfRule type="expression" priority="20" dxfId="2">
      <formula>AND(DAY(TODAY())=15, MONTH(TODAY())=4, YEAR(TODAY())=2029)</formula>
    </cfRule>
  </conditionalFormatting>
  <conditionalFormatting sqref="T16:T17">
    <cfRule type="expression" priority="21" dxfId="2">
      <formula>AND(DAY(TODAY())=16, MONTH(TODAY())=4, YEAR(TODAY())=2029)</formula>
    </cfRule>
  </conditionalFormatting>
  <conditionalFormatting sqref="U16:U17">
    <cfRule type="expression" priority="22" dxfId="2">
      <formula>AND(DAY(TODAY())=17, MONTH(TODAY())=4, YEAR(TODAY())=2029)</formula>
    </cfRule>
  </conditionalFormatting>
  <conditionalFormatting sqref="V16:V17">
    <cfRule type="expression" priority="23" dxfId="2">
      <formula>AND(DAY(TODAY())=18, MONTH(TODAY())=4, YEAR(TODAY())=2029)</formula>
    </cfRule>
  </conditionalFormatting>
  <conditionalFormatting sqref="W16:W17">
    <cfRule type="expression" priority="24" dxfId="2">
      <formula>AND(DAY(TODAY())=19, MONTH(TODAY())=4, YEAR(TODAY())=2029)</formula>
    </cfRule>
  </conditionalFormatting>
  <conditionalFormatting sqref="X16:X17">
    <cfRule type="expression" priority="25" dxfId="2">
      <formula>AND(DAY(TODAY())=20, MONTH(TODAY())=4, YEAR(TODAY())=2029)</formula>
    </cfRule>
  </conditionalFormatting>
  <conditionalFormatting sqref="Y16:Y17">
    <cfRule type="expression" priority="26" dxfId="2">
      <formula>AND(DAY(TODAY())=21, MONTH(TODAY())=4, YEAR(TODAY())=2029)</formula>
    </cfRule>
  </conditionalFormatting>
  <conditionalFormatting sqref="Z16:Z17">
    <cfRule type="expression" priority="27" dxfId="2">
      <formula>AND(DAY(TODAY())=22, MONTH(TODAY())=4, YEAR(TODAY())=2029)</formula>
    </cfRule>
  </conditionalFormatting>
  <conditionalFormatting sqref="AA16:AA17">
    <cfRule type="expression" priority="28" dxfId="2">
      <formula>AND(DAY(TODAY())=23, MONTH(TODAY())=4, YEAR(TODAY())=2029)</formula>
    </cfRule>
  </conditionalFormatting>
  <conditionalFormatting sqref="AB16:AB17">
    <cfRule type="expression" priority="29" dxfId="2">
      <formula>AND(DAY(TODAY())=24, MONTH(TODAY())=4, YEAR(TODAY())=2029)</formula>
    </cfRule>
  </conditionalFormatting>
  <conditionalFormatting sqref="AC16:AC17">
    <cfRule type="expression" priority="30" dxfId="2">
      <formula>AND(DAY(TODAY())=25, MONTH(TODAY())=4, YEAR(TODAY())=2029)</formula>
    </cfRule>
  </conditionalFormatting>
  <conditionalFormatting sqref="AD16:AD17">
    <cfRule type="expression" priority="31" dxfId="2">
      <formula>AND(DAY(TODAY())=26, MONTH(TODAY())=4, YEAR(TODAY())=2029)</formula>
    </cfRule>
  </conditionalFormatting>
  <conditionalFormatting sqref="AE16:AE17">
    <cfRule type="expression" priority="32" dxfId="2">
      <formula>AND(DAY(TODAY())=27, MONTH(TODAY())=4, YEAR(TODAY())=2029)</formula>
    </cfRule>
  </conditionalFormatting>
  <conditionalFormatting sqref="AF16:AF17">
    <cfRule type="expression" priority="33" dxfId="2">
      <formula>AND(DAY(TODAY())=28, MONTH(TODAY())=4, YEAR(TODAY())=2029)</formula>
    </cfRule>
  </conditionalFormatting>
  <conditionalFormatting sqref="AG16:AG17">
    <cfRule type="expression" priority="34" dxfId="2">
      <formula>AND(DAY(TODAY())=29, MONTH(TODAY())=4, YEAR(TODAY())=2029)</formula>
    </cfRule>
  </conditionalFormatting>
  <conditionalFormatting sqref="AH16:AH17">
    <cfRule type="expression" priority="35" dxfId="2">
      <formula>AND(DAY(TODAY())=30, MONTH(TODAY())=4,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"Energy flows where attention goes."</t>
        </is>
      </c>
      <c r="AE2" s="3" t="inlineStr">
        <is>
          <t>@surajvansh</t>
        </is>
      </c>
    </row>
    <row r="3" ht="18" customHeight="1">
      <c r="A3" s="4" t="inlineStr">
        <is>
          <t>May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2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2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2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2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5" t="inlineStr">
        <is>
          <t>Th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5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5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5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5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  <c r="AI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May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MONTH(TODAY())=5, YEAR(TODAY())=2029)</formula>
    </cfRule>
  </conditionalFormatting>
  <conditionalFormatting sqref="F16:F17">
    <cfRule type="expression" priority="7" dxfId="2">
      <formula>AND(DAY(TODAY())=2, MONTH(TODAY())=5, YEAR(TODAY())=2029)</formula>
    </cfRule>
  </conditionalFormatting>
  <conditionalFormatting sqref="G16:G17">
    <cfRule type="expression" priority="8" dxfId="2">
      <formula>AND(DAY(TODAY())=3, MONTH(TODAY())=5, YEAR(TODAY())=2029)</formula>
    </cfRule>
  </conditionalFormatting>
  <conditionalFormatting sqref="H16:H17">
    <cfRule type="expression" priority="9" dxfId="2">
      <formula>AND(DAY(TODAY())=4, MONTH(TODAY())=5, YEAR(TODAY())=2029)</formula>
    </cfRule>
  </conditionalFormatting>
  <conditionalFormatting sqref="I16:I17">
    <cfRule type="expression" priority="10" dxfId="2">
      <formula>AND(DAY(TODAY())=5, MONTH(TODAY())=5, YEAR(TODAY())=2029)</formula>
    </cfRule>
  </conditionalFormatting>
  <conditionalFormatting sqref="J16:J17">
    <cfRule type="expression" priority="11" dxfId="2">
      <formula>AND(DAY(TODAY())=6, MONTH(TODAY())=5, YEAR(TODAY())=2029)</formula>
    </cfRule>
  </conditionalFormatting>
  <conditionalFormatting sqref="K16:K17">
    <cfRule type="expression" priority="12" dxfId="2">
      <formula>AND(DAY(TODAY())=7, MONTH(TODAY())=5, YEAR(TODAY())=2029)</formula>
    </cfRule>
  </conditionalFormatting>
  <conditionalFormatting sqref="L16:L17">
    <cfRule type="expression" priority="13" dxfId="2">
      <formula>AND(DAY(TODAY())=8, MONTH(TODAY())=5, YEAR(TODAY())=2029)</formula>
    </cfRule>
  </conditionalFormatting>
  <conditionalFormatting sqref="M16:M17">
    <cfRule type="expression" priority="14" dxfId="2">
      <formula>AND(DAY(TODAY())=9, MONTH(TODAY())=5, YEAR(TODAY())=2029)</formula>
    </cfRule>
  </conditionalFormatting>
  <conditionalFormatting sqref="N16:N17">
    <cfRule type="expression" priority="15" dxfId="2">
      <formula>AND(DAY(TODAY())=10, MONTH(TODAY())=5, YEAR(TODAY())=2029)</formula>
    </cfRule>
  </conditionalFormatting>
  <conditionalFormatting sqref="O16:O17">
    <cfRule type="expression" priority="16" dxfId="2">
      <formula>AND(DAY(TODAY())=11, MONTH(TODAY())=5, YEAR(TODAY())=2029)</formula>
    </cfRule>
  </conditionalFormatting>
  <conditionalFormatting sqref="P16:P17">
    <cfRule type="expression" priority="17" dxfId="2">
      <formula>AND(DAY(TODAY())=12, MONTH(TODAY())=5, YEAR(TODAY())=2029)</formula>
    </cfRule>
  </conditionalFormatting>
  <conditionalFormatting sqref="Q16:Q17">
    <cfRule type="expression" priority="18" dxfId="2">
      <formula>AND(DAY(TODAY())=13, MONTH(TODAY())=5, YEAR(TODAY())=2029)</formula>
    </cfRule>
  </conditionalFormatting>
  <conditionalFormatting sqref="R16:R17">
    <cfRule type="expression" priority="19" dxfId="2">
      <formula>AND(DAY(TODAY())=14, MONTH(TODAY())=5, YEAR(TODAY())=2029)</formula>
    </cfRule>
  </conditionalFormatting>
  <conditionalFormatting sqref="S16:S17">
    <cfRule type="expression" priority="20" dxfId="2">
      <formula>AND(DAY(TODAY())=15, MONTH(TODAY())=5, YEAR(TODAY())=2029)</formula>
    </cfRule>
  </conditionalFormatting>
  <conditionalFormatting sqref="T16:T17">
    <cfRule type="expression" priority="21" dxfId="2">
      <formula>AND(DAY(TODAY())=16, MONTH(TODAY())=5, YEAR(TODAY())=2029)</formula>
    </cfRule>
  </conditionalFormatting>
  <conditionalFormatting sqref="U16:U17">
    <cfRule type="expression" priority="22" dxfId="2">
      <formula>AND(DAY(TODAY())=17, MONTH(TODAY())=5, YEAR(TODAY())=2029)</formula>
    </cfRule>
  </conditionalFormatting>
  <conditionalFormatting sqref="V16:V17">
    <cfRule type="expression" priority="23" dxfId="2">
      <formula>AND(DAY(TODAY())=18, MONTH(TODAY())=5, YEAR(TODAY())=2029)</formula>
    </cfRule>
  </conditionalFormatting>
  <conditionalFormatting sqref="W16:W17">
    <cfRule type="expression" priority="24" dxfId="2">
      <formula>AND(DAY(TODAY())=19, MONTH(TODAY())=5, YEAR(TODAY())=2029)</formula>
    </cfRule>
  </conditionalFormatting>
  <conditionalFormatting sqref="X16:X17">
    <cfRule type="expression" priority="25" dxfId="2">
      <formula>AND(DAY(TODAY())=20, MONTH(TODAY())=5, YEAR(TODAY())=2029)</formula>
    </cfRule>
  </conditionalFormatting>
  <conditionalFormatting sqref="Y16:Y17">
    <cfRule type="expression" priority="26" dxfId="2">
      <formula>AND(DAY(TODAY())=21, MONTH(TODAY())=5, YEAR(TODAY())=2029)</formula>
    </cfRule>
  </conditionalFormatting>
  <conditionalFormatting sqref="Z16:Z17">
    <cfRule type="expression" priority="27" dxfId="2">
      <formula>AND(DAY(TODAY())=22, MONTH(TODAY())=5, YEAR(TODAY())=2029)</formula>
    </cfRule>
  </conditionalFormatting>
  <conditionalFormatting sqref="AA16:AA17">
    <cfRule type="expression" priority="28" dxfId="2">
      <formula>AND(DAY(TODAY())=23, MONTH(TODAY())=5, YEAR(TODAY())=2029)</formula>
    </cfRule>
  </conditionalFormatting>
  <conditionalFormatting sqref="AB16:AB17">
    <cfRule type="expression" priority="29" dxfId="2">
      <formula>AND(DAY(TODAY())=24, MONTH(TODAY())=5, YEAR(TODAY())=2029)</formula>
    </cfRule>
  </conditionalFormatting>
  <conditionalFormatting sqref="AC16:AC17">
    <cfRule type="expression" priority="30" dxfId="2">
      <formula>AND(DAY(TODAY())=25, MONTH(TODAY())=5, YEAR(TODAY())=2029)</formula>
    </cfRule>
  </conditionalFormatting>
  <conditionalFormatting sqref="AD16:AD17">
    <cfRule type="expression" priority="31" dxfId="2">
      <formula>AND(DAY(TODAY())=26, MONTH(TODAY())=5, YEAR(TODAY())=2029)</formula>
    </cfRule>
  </conditionalFormatting>
  <conditionalFormatting sqref="AE16:AE17">
    <cfRule type="expression" priority="32" dxfId="2">
      <formula>AND(DAY(TODAY())=27, MONTH(TODAY())=5, YEAR(TODAY())=2029)</formula>
    </cfRule>
  </conditionalFormatting>
  <conditionalFormatting sqref="AF16:AF17">
    <cfRule type="expression" priority="33" dxfId="2">
      <formula>AND(DAY(TODAY())=28, MONTH(TODAY())=5, YEAR(TODAY())=2029)</formula>
    </cfRule>
  </conditionalFormatting>
  <conditionalFormatting sqref="AG16:AG17">
    <cfRule type="expression" priority="34" dxfId="2">
      <formula>AND(DAY(TODAY())=29, MONTH(TODAY())=5, YEAR(TODAY())=2029)</formula>
    </cfRule>
  </conditionalFormatting>
  <conditionalFormatting sqref="AH16:AH17">
    <cfRule type="expression" priority="35" dxfId="2">
      <formula>AND(DAY(TODAY())=30, MONTH(TODAY())=5, YEAR(TODAY())=2029)</formula>
    </cfRule>
  </conditionalFormatting>
  <conditionalFormatting sqref="AI16:AI17">
    <cfRule type="expression" priority="36" dxfId="2">
      <formula>AND(DAY(TODAY())=31, MONTH(TODAY())=5,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"Your future is created by what you do today."</t>
        </is>
      </c>
      <c r="AD2" s="3" t="inlineStr">
        <is>
          <t>@surajvansh</t>
        </is>
      </c>
    </row>
    <row r="3" ht="18" customHeight="1">
      <c r="A3" s="4" t="inlineStr">
        <is>
          <t>June 2029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2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2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2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2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5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5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5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5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Jun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MONTH(TODAY())=6, YEAR(TODAY())=2029)</formula>
    </cfRule>
  </conditionalFormatting>
  <conditionalFormatting sqref="F16:F17">
    <cfRule type="expression" priority="7" dxfId="2">
      <formula>AND(DAY(TODAY())=2, MONTH(TODAY())=6, YEAR(TODAY())=2029)</formula>
    </cfRule>
  </conditionalFormatting>
  <conditionalFormatting sqref="G16:G17">
    <cfRule type="expression" priority="8" dxfId="2">
      <formula>AND(DAY(TODAY())=3, MONTH(TODAY())=6, YEAR(TODAY())=2029)</formula>
    </cfRule>
  </conditionalFormatting>
  <conditionalFormatting sqref="H16:H17">
    <cfRule type="expression" priority="9" dxfId="2">
      <formula>AND(DAY(TODAY())=4, MONTH(TODAY())=6, YEAR(TODAY())=2029)</formula>
    </cfRule>
  </conditionalFormatting>
  <conditionalFormatting sqref="I16:I17">
    <cfRule type="expression" priority="10" dxfId="2">
      <formula>AND(DAY(TODAY())=5, MONTH(TODAY())=6, YEAR(TODAY())=2029)</formula>
    </cfRule>
  </conditionalFormatting>
  <conditionalFormatting sqref="J16:J17">
    <cfRule type="expression" priority="11" dxfId="2">
      <formula>AND(DAY(TODAY())=6, MONTH(TODAY())=6, YEAR(TODAY())=2029)</formula>
    </cfRule>
  </conditionalFormatting>
  <conditionalFormatting sqref="K16:K17">
    <cfRule type="expression" priority="12" dxfId="2">
      <formula>AND(DAY(TODAY())=7, MONTH(TODAY())=6, YEAR(TODAY())=2029)</formula>
    </cfRule>
  </conditionalFormatting>
  <conditionalFormatting sqref="L16:L17">
    <cfRule type="expression" priority="13" dxfId="2">
      <formula>AND(DAY(TODAY())=8, MONTH(TODAY())=6, YEAR(TODAY())=2029)</formula>
    </cfRule>
  </conditionalFormatting>
  <conditionalFormatting sqref="M16:M17">
    <cfRule type="expression" priority="14" dxfId="2">
      <formula>AND(DAY(TODAY())=9, MONTH(TODAY())=6, YEAR(TODAY())=2029)</formula>
    </cfRule>
  </conditionalFormatting>
  <conditionalFormatting sqref="N16:N17">
    <cfRule type="expression" priority="15" dxfId="2">
      <formula>AND(DAY(TODAY())=10, MONTH(TODAY())=6, YEAR(TODAY())=2029)</formula>
    </cfRule>
  </conditionalFormatting>
  <conditionalFormatting sqref="O16:O17">
    <cfRule type="expression" priority="16" dxfId="2">
      <formula>AND(DAY(TODAY())=11, MONTH(TODAY())=6, YEAR(TODAY())=2029)</formula>
    </cfRule>
  </conditionalFormatting>
  <conditionalFormatting sqref="P16:P17">
    <cfRule type="expression" priority="17" dxfId="2">
      <formula>AND(DAY(TODAY())=12, MONTH(TODAY())=6, YEAR(TODAY())=2029)</formula>
    </cfRule>
  </conditionalFormatting>
  <conditionalFormatting sqref="Q16:Q17">
    <cfRule type="expression" priority="18" dxfId="2">
      <formula>AND(DAY(TODAY())=13, MONTH(TODAY())=6, YEAR(TODAY())=2029)</formula>
    </cfRule>
  </conditionalFormatting>
  <conditionalFormatting sqref="R16:R17">
    <cfRule type="expression" priority="19" dxfId="2">
      <formula>AND(DAY(TODAY())=14, MONTH(TODAY())=6, YEAR(TODAY())=2029)</formula>
    </cfRule>
  </conditionalFormatting>
  <conditionalFormatting sqref="S16:S17">
    <cfRule type="expression" priority="20" dxfId="2">
      <formula>AND(DAY(TODAY())=15, MONTH(TODAY())=6, YEAR(TODAY())=2029)</formula>
    </cfRule>
  </conditionalFormatting>
  <conditionalFormatting sqref="T16:T17">
    <cfRule type="expression" priority="21" dxfId="2">
      <formula>AND(DAY(TODAY())=16, MONTH(TODAY())=6, YEAR(TODAY())=2029)</formula>
    </cfRule>
  </conditionalFormatting>
  <conditionalFormatting sqref="U16:U17">
    <cfRule type="expression" priority="22" dxfId="2">
      <formula>AND(DAY(TODAY())=17, MONTH(TODAY())=6, YEAR(TODAY())=2029)</formula>
    </cfRule>
  </conditionalFormatting>
  <conditionalFormatting sqref="V16:V17">
    <cfRule type="expression" priority="23" dxfId="2">
      <formula>AND(DAY(TODAY())=18, MONTH(TODAY())=6, YEAR(TODAY())=2029)</formula>
    </cfRule>
  </conditionalFormatting>
  <conditionalFormatting sqref="W16:W17">
    <cfRule type="expression" priority="24" dxfId="2">
      <formula>AND(DAY(TODAY())=19, MONTH(TODAY())=6, YEAR(TODAY())=2029)</formula>
    </cfRule>
  </conditionalFormatting>
  <conditionalFormatting sqref="X16:X17">
    <cfRule type="expression" priority="25" dxfId="2">
      <formula>AND(DAY(TODAY())=20, MONTH(TODAY())=6, YEAR(TODAY())=2029)</formula>
    </cfRule>
  </conditionalFormatting>
  <conditionalFormatting sqref="Y16:Y17">
    <cfRule type="expression" priority="26" dxfId="2">
      <formula>AND(DAY(TODAY())=21, MONTH(TODAY())=6, YEAR(TODAY())=2029)</formula>
    </cfRule>
  </conditionalFormatting>
  <conditionalFormatting sqref="Z16:Z17">
    <cfRule type="expression" priority="27" dxfId="2">
      <formula>AND(DAY(TODAY())=22, MONTH(TODAY())=6, YEAR(TODAY())=2029)</formula>
    </cfRule>
  </conditionalFormatting>
  <conditionalFormatting sqref="AA16:AA17">
    <cfRule type="expression" priority="28" dxfId="2">
      <formula>AND(DAY(TODAY())=23, MONTH(TODAY())=6, YEAR(TODAY())=2029)</formula>
    </cfRule>
  </conditionalFormatting>
  <conditionalFormatting sqref="AB16:AB17">
    <cfRule type="expression" priority="29" dxfId="2">
      <formula>AND(DAY(TODAY())=24, MONTH(TODAY())=6, YEAR(TODAY())=2029)</formula>
    </cfRule>
  </conditionalFormatting>
  <conditionalFormatting sqref="AC16:AC17">
    <cfRule type="expression" priority="30" dxfId="2">
      <formula>AND(DAY(TODAY())=25, MONTH(TODAY())=6, YEAR(TODAY())=2029)</formula>
    </cfRule>
  </conditionalFormatting>
  <conditionalFormatting sqref="AD16:AD17">
    <cfRule type="expression" priority="31" dxfId="2">
      <formula>AND(DAY(TODAY())=26, MONTH(TODAY())=6, YEAR(TODAY())=2029)</formula>
    </cfRule>
  </conditionalFormatting>
  <conditionalFormatting sqref="AE16:AE17">
    <cfRule type="expression" priority="32" dxfId="2">
      <formula>AND(DAY(TODAY())=27, MONTH(TODAY())=6, YEAR(TODAY())=2029)</formula>
    </cfRule>
  </conditionalFormatting>
  <conditionalFormatting sqref="AF16:AF17">
    <cfRule type="expression" priority="33" dxfId="2">
      <formula>AND(DAY(TODAY())=28, MONTH(TODAY())=6, YEAR(TODAY())=2029)</formula>
    </cfRule>
  </conditionalFormatting>
  <conditionalFormatting sqref="AG16:AG17">
    <cfRule type="expression" priority="34" dxfId="2">
      <formula>AND(DAY(TODAY())=29, MONTH(TODAY())=6, YEAR(TODAY())=2029)</formula>
    </cfRule>
  </conditionalFormatting>
  <conditionalFormatting sqref="AH16:AH17">
    <cfRule type="expression" priority="35" dxfId="2">
      <formula>AND(DAY(TODAY())=30, MONTH(TODAY())=6,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"Mastery is a journey, not a destination."</t>
        </is>
      </c>
      <c r="AE2" s="3" t="inlineStr">
        <is>
          <t>@surajvansh</t>
        </is>
      </c>
    </row>
    <row r="3" ht="18" customHeight="1">
      <c r="A3" s="4" t="inlineStr">
        <is>
          <t>July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2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2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2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2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2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5" t="inlineStr">
        <is>
          <t>T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5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5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5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5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5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  <c r="AI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Jul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MONTH(TODAY())=7, YEAR(TODAY())=2029)</formula>
    </cfRule>
  </conditionalFormatting>
  <conditionalFormatting sqref="F16:F17">
    <cfRule type="expression" priority="7" dxfId="2">
      <formula>AND(DAY(TODAY())=2, MONTH(TODAY())=7, YEAR(TODAY())=2029)</formula>
    </cfRule>
  </conditionalFormatting>
  <conditionalFormatting sqref="G16:G17">
    <cfRule type="expression" priority="8" dxfId="2">
      <formula>AND(DAY(TODAY())=3, MONTH(TODAY())=7, YEAR(TODAY())=2029)</formula>
    </cfRule>
  </conditionalFormatting>
  <conditionalFormatting sqref="H16:H17">
    <cfRule type="expression" priority="9" dxfId="2">
      <formula>AND(DAY(TODAY())=4, MONTH(TODAY())=7, YEAR(TODAY())=2029)</formula>
    </cfRule>
  </conditionalFormatting>
  <conditionalFormatting sqref="I16:I17">
    <cfRule type="expression" priority="10" dxfId="2">
      <formula>AND(DAY(TODAY())=5, MONTH(TODAY())=7, YEAR(TODAY())=2029)</formula>
    </cfRule>
  </conditionalFormatting>
  <conditionalFormatting sqref="J16:J17">
    <cfRule type="expression" priority="11" dxfId="2">
      <formula>AND(DAY(TODAY())=6, MONTH(TODAY())=7, YEAR(TODAY())=2029)</formula>
    </cfRule>
  </conditionalFormatting>
  <conditionalFormatting sqref="K16:K17">
    <cfRule type="expression" priority="12" dxfId="2">
      <formula>AND(DAY(TODAY())=7, MONTH(TODAY())=7, YEAR(TODAY())=2029)</formula>
    </cfRule>
  </conditionalFormatting>
  <conditionalFormatting sqref="L16:L17">
    <cfRule type="expression" priority="13" dxfId="2">
      <formula>AND(DAY(TODAY())=8, MONTH(TODAY())=7, YEAR(TODAY())=2029)</formula>
    </cfRule>
  </conditionalFormatting>
  <conditionalFormatting sqref="M16:M17">
    <cfRule type="expression" priority="14" dxfId="2">
      <formula>AND(DAY(TODAY())=9, MONTH(TODAY())=7, YEAR(TODAY())=2029)</formula>
    </cfRule>
  </conditionalFormatting>
  <conditionalFormatting sqref="N16:N17">
    <cfRule type="expression" priority="15" dxfId="2">
      <formula>AND(DAY(TODAY())=10, MONTH(TODAY())=7, YEAR(TODAY())=2029)</formula>
    </cfRule>
  </conditionalFormatting>
  <conditionalFormatting sqref="O16:O17">
    <cfRule type="expression" priority="16" dxfId="2">
      <formula>AND(DAY(TODAY())=11, MONTH(TODAY())=7, YEAR(TODAY())=2029)</formula>
    </cfRule>
  </conditionalFormatting>
  <conditionalFormatting sqref="P16:P17">
    <cfRule type="expression" priority="17" dxfId="2">
      <formula>AND(DAY(TODAY())=12, MONTH(TODAY())=7, YEAR(TODAY())=2029)</formula>
    </cfRule>
  </conditionalFormatting>
  <conditionalFormatting sqref="Q16:Q17">
    <cfRule type="expression" priority="18" dxfId="2">
      <formula>AND(DAY(TODAY())=13, MONTH(TODAY())=7, YEAR(TODAY())=2029)</formula>
    </cfRule>
  </conditionalFormatting>
  <conditionalFormatting sqref="R16:R17">
    <cfRule type="expression" priority="19" dxfId="2">
      <formula>AND(DAY(TODAY())=14, MONTH(TODAY())=7, YEAR(TODAY())=2029)</formula>
    </cfRule>
  </conditionalFormatting>
  <conditionalFormatting sqref="S16:S17">
    <cfRule type="expression" priority="20" dxfId="2">
      <formula>AND(DAY(TODAY())=15, MONTH(TODAY())=7, YEAR(TODAY())=2029)</formula>
    </cfRule>
  </conditionalFormatting>
  <conditionalFormatting sqref="T16:T17">
    <cfRule type="expression" priority="21" dxfId="2">
      <formula>AND(DAY(TODAY())=16, MONTH(TODAY())=7, YEAR(TODAY())=2029)</formula>
    </cfRule>
  </conditionalFormatting>
  <conditionalFormatting sqref="U16:U17">
    <cfRule type="expression" priority="22" dxfId="2">
      <formula>AND(DAY(TODAY())=17, MONTH(TODAY())=7, YEAR(TODAY())=2029)</formula>
    </cfRule>
  </conditionalFormatting>
  <conditionalFormatting sqref="V16:V17">
    <cfRule type="expression" priority="23" dxfId="2">
      <formula>AND(DAY(TODAY())=18, MONTH(TODAY())=7, YEAR(TODAY())=2029)</formula>
    </cfRule>
  </conditionalFormatting>
  <conditionalFormatting sqref="W16:W17">
    <cfRule type="expression" priority="24" dxfId="2">
      <formula>AND(DAY(TODAY())=19, MONTH(TODAY())=7, YEAR(TODAY())=2029)</formula>
    </cfRule>
  </conditionalFormatting>
  <conditionalFormatting sqref="X16:X17">
    <cfRule type="expression" priority="25" dxfId="2">
      <formula>AND(DAY(TODAY())=20, MONTH(TODAY())=7, YEAR(TODAY())=2029)</formula>
    </cfRule>
  </conditionalFormatting>
  <conditionalFormatting sqref="Y16:Y17">
    <cfRule type="expression" priority="26" dxfId="2">
      <formula>AND(DAY(TODAY())=21, MONTH(TODAY())=7, YEAR(TODAY())=2029)</formula>
    </cfRule>
  </conditionalFormatting>
  <conditionalFormatting sqref="Z16:Z17">
    <cfRule type="expression" priority="27" dxfId="2">
      <formula>AND(DAY(TODAY())=22, MONTH(TODAY())=7, YEAR(TODAY())=2029)</formula>
    </cfRule>
  </conditionalFormatting>
  <conditionalFormatting sqref="AA16:AA17">
    <cfRule type="expression" priority="28" dxfId="2">
      <formula>AND(DAY(TODAY())=23, MONTH(TODAY())=7, YEAR(TODAY())=2029)</formula>
    </cfRule>
  </conditionalFormatting>
  <conditionalFormatting sqref="AB16:AB17">
    <cfRule type="expression" priority="29" dxfId="2">
      <formula>AND(DAY(TODAY())=24, MONTH(TODAY())=7, YEAR(TODAY())=2029)</formula>
    </cfRule>
  </conditionalFormatting>
  <conditionalFormatting sqref="AC16:AC17">
    <cfRule type="expression" priority="30" dxfId="2">
      <formula>AND(DAY(TODAY())=25, MONTH(TODAY())=7, YEAR(TODAY())=2029)</formula>
    </cfRule>
  </conditionalFormatting>
  <conditionalFormatting sqref="AD16:AD17">
    <cfRule type="expression" priority="31" dxfId="2">
      <formula>AND(DAY(TODAY())=26, MONTH(TODAY())=7, YEAR(TODAY())=2029)</formula>
    </cfRule>
  </conditionalFormatting>
  <conditionalFormatting sqref="AE16:AE17">
    <cfRule type="expression" priority="32" dxfId="2">
      <formula>AND(DAY(TODAY())=27, MONTH(TODAY())=7, YEAR(TODAY())=2029)</formula>
    </cfRule>
  </conditionalFormatting>
  <conditionalFormatting sqref="AF16:AF17">
    <cfRule type="expression" priority="33" dxfId="2">
      <formula>AND(DAY(TODAY())=28, MONTH(TODAY())=7, YEAR(TODAY())=2029)</formula>
    </cfRule>
  </conditionalFormatting>
  <conditionalFormatting sqref="AG16:AG17">
    <cfRule type="expression" priority="34" dxfId="2">
      <formula>AND(DAY(TODAY())=29, MONTH(TODAY())=7, YEAR(TODAY())=2029)</formula>
    </cfRule>
  </conditionalFormatting>
  <conditionalFormatting sqref="AH16:AH17">
    <cfRule type="expression" priority="35" dxfId="2">
      <formula>AND(DAY(TODAY())=30, MONTH(TODAY())=7, YEAR(TODAY())=2029)</formula>
    </cfRule>
  </conditionalFormatting>
  <conditionalFormatting sqref="AI16:AI17">
    <cfRule type="expression" priority="36" dxfId="2">
      <formula>AND(DAY(TODAY())=31, MONTH(TODAY())=7,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"Consistency creates momentum."</t>
        </is>
      </c>
      <c r="AE2" s="3" t="inlineStr">
        <is>
          <t>@surajvansh</t>
        </is>
      </c>
    </row>
    <row r="3" ht="18" customHeight="1">
      <c r="A3" s="4" t="inlineStr">
        <is>
          <t>August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2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2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2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2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5" t="inlineStr">
        <is>
          <t>F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5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5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5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5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  <c r="AI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Aug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MONTH(TODAY())=8, YEAR(TODAY())=2029)</formula>
    </cfRule>
  </conditionalFormatting>
  <conditionalFormatting sqref="F16:F17">
    <cfRule type="expression" priority="7" dxfId="2">
      <formula>AND(DAY(TODAY())=2, MONTH(TODAY())=8, YEAR(TODAY())=2029)</formula>
    </cfRule>
  </conditionalFormatting>
  <conditionalFormatting sqref="G16:G17">
    <cfRule type="expression" priority="8" dxfId="2">
      <formula>AND(DAY(TODAY())=3, MONTH(TODAY())=8, YEAR(TODAY())=2029)</formula>
    </cfRule>
  </conditionalFormatting>
  <conditionalFormatting sqref="H16:H17">
    <cfRule type="expression" priority="9" dxfId="2">
      <formula>AND(DAY(TODAY())=4, MONTH(TODAY())=8, YEAR(TODAY())=2029)</formula>
    </cfRule>
  </conditionalFormatting>
  <conditionalFormatting sqref="I16:I17">
    <cfRule type="expression" priority="10" dxfId="2">
      <formula>AND(DAY(TODAY())=5, MONTH(TODAY())=8, YEAR(TODAY())=2029)</formula>
    </cfRule>
  </conditionalFormatting>
  <conditionalFormatting sqref="J16:J17">
    <cfRule type="expression" priority="11" dxfId="2">
      <formula>AND(DAY(TODAY())=6, MONTH(TODAY())=8, YEAR(TODAY())=2029)</formula>
    </cfRule>
  </conditionalFormatting>
  <conditionalFormatting sqref="K16:K17">
    <cfRule type="expression" priority="12" dxfId="2">
      <formula>AND(DAY(TODAY())=7, MONTH(TODAY())=8, YEAR(TODAY())=2029)</formula>
    </cfRule>
  </conditionalFormatting>
  <conditionalFormatting sqref="L16:L17">
    <cfRule type="expression" priority="13" dxfId="2">
      <formula>AND(DAY(TODAY())=8, MONTH(TODAY())=8, YEAR(TODAY())=2029)</formula>
    </cfRule>
  </conditionalFormatting>
  <conditionalFormatting sqref="M16:M17">
    <cfRule type="expression" priority="14" dxfId="2">
      <formula>AND(DAY(TODAY())=9, MONTH(TODAY())=8, YEAR(TODAY())=2029)</formula>
    </cfRule>
  </conditionalFormatting>
  <conditionalFormatting sqref="N16:N17">
    <cfRule type="expression" priority="15" dxfId="2">
      <formula>AND(DAY(TODAY())=10, MONTH(TODAY())=8, YEAR(TODAY())=2029)</formula>
    </cfRule>
  </conditionalFormatting>
  <conditionalFormatting sqref="O16:O17">
    <cfRule type="expression" priority="16" dxfId="2">
      <formula>AND(DAY(TODAY())=11, MONTH(TODAY())=8, YEAR(TODAY())=2029)</formula>
    </cfRule>
  </conditionalFormatting>
  <conditionalFormatting sqref="P16:P17">
    <cfRule type="expression" priority="17" dxfId="2">
      <formula>AND(DAY(TODAY())=12, MONTH(TODAY())=8, YEAR(TODAY())=2029)</formula>
    </cfRule>
  </conditionalFormatting>
  <conditionalFormatting sqref="Q16:Q17">
    <cfRule type="expression" priority="18" dxfId="2">
      <formula>AND(DAY(TODAY())=13, MONTH(TODAY())=8, YEAR(TODAY())=2029)</formula>
    </cfRule>
  </conditionalFormatting>
  <conditionalFormatting sqref="R16:R17">
    <cfRule type="expression" priority="19" dxfId="2">
      <formula>AND(DAY(TODAY())=14, MONTH(TODAY())=8, YEAR(TODAY())=2029)</formula>
    </cfRule>
  </conditionalFormatting>
  <conditionalFormatting sqref="S16:S17">
    <cfRule type="expression" priority="20" dxfId="2">
      <formula>AND(DAY(TODAY())=15, MONTH(TODAY())=8, YEAR(TODAY())=2029)</formula>
    </cfRule>
  </conditionalFormatting>
  <conditionalFormatting sqref="T16:T17">
    <cfRule type="expression" priority="21" dxfId="2">
      <formula>AND(DAY(TODAY())=16, MONTH(TODAY())=8, YEAR(TODAY())=2029)</formula>
    </cfRule>
  </conditionalFormatting>
  <conditionalFormatting sqref="U16:U17">
    <cfRule type="expression" priority="22" dxfId="2">
      <formula>AND(DAY(TODAY())=17, MONTH(TODAY())=8, YEAR(TODAY())=2029)</formula>
    </cfRule>
  </conditionalFormatting>
  <conditionalFormatting sqref="V16:V17">
    <cfRule type="expression" priority="23" dxfId="2">
      <formula>AND(DAY(TODAY())=18, MONTH(TODAY())=8, YEAR(TODAY())=2029)</formula>
    </cfRule>
  </conditionalFormatting>
  <conditionalFormatting sqref="W16:W17">
    <cfRule type="expression" priority="24" dxfId="2">
      <formula>AND(DAY(TODAY())=19, MONTH(TODAY())=8, YEAR(TODAY())=2029)</formula>
    </cfRule>
  </conditionalFormatting>
  <conditionalFormatting sqref="X16:X17">
    <cfRule type="expression" priority="25" dxfId="2">
      <formula>AND(DAY(TODAY())=20, MONTH(TODAY())=8, YEAR(TODAY())=2029)</formula>
    </cfRule>
  </conditionalFormatting>
  <conditionalFormatting sqref="Y16:Y17">
    <cfRule type="expression" priority="26" dxfId="2">
      <formula>AND(DAY(TODAY())=21, MONTH(TODAY())=8, YEAR(TODAY())=2029)</formula>
    </cfRule>
  </conditionalFormatting>
  <conditionalFormatting sqref="Z16:Z17">
    <cfRule type="expression" priority="27" dxfId="2">
      <formula>AND(DAY(TODAY())=22, MONTH(TODAY())=8, YEAR(TODAY())=2029)</formula>
    </cfRule>
  </conditionalFormatting>
  <conditionalFormatting sqref="AA16:AA17">
    <cfRule type="expression" priority="28" dxfId="2">
      <formula>AND(DAY(TODAY())=23, MONTH(TODAY())=8, YEAR(TODAY())=2029)</formula>
    </cfRule>
  </conditionalFormatting>
  <conditionalFormatting sqref="AB16:AB17">
    <cfRule type="expression" priority="29" dxfId="2">
      <formula>AND(DAY(TODAY())=24, MONTH(TODAY())=8, YEAR(TODAY())=2029)</formula>
    </cfRule>
  </conditionalFormatting>
  <conditionalFormatting sqref="AC16:AC17">
    <cfRule type="expression" priority="30" dxfId="2">
      <formula>AND(DAY(TODAY())=25, MONTH(TODAY())=8, YEAR(TODAY())=2029)</formula>
    </cfRule>
  </conditionalFormatting>
  <conditionalFormatting sqref="AD16:AD17">
    <cfRule type="expression" priority="31" dxfId="2">
      <formula>AND(DAY(TODAY())=26, MONTH(TODAY())=8, YEAR(TODAY())=2029)</formula>
    </cfRule>
  </conditionalFormatting>
  <conditionalFormatting sqref="AE16:AE17">
    <cfRule type="expression" priority="32" dxfId="2">
      <formula>AND(DAY(TODAY())=27, MONTH(TODAY())=8, YEAR(TODAY())=2029)</formula>
    </cfRule>
  </conditionalFormatting>
  <conditionalFormatting sqref="AF16:AF17">
    <cfRule type="expression" priority="33" dxfId="2">
      <formula>AND(DAY(TODAY())=28, MONTH(TODAY())=8, YEAR(TODAY())=2029)</formula>
    </cfRule>
  </conditionalFormatting>
  <conditionalFormatting sqref="AG16:AG17">
    <cfRule type="expression" priority="34" dxfId="2">
      <formula>AND(DAY(TODAY())=29, MONTH(TODAY())=8, YEAR(TODAY())=2029)</formula>
    </cfRule>
  </conditionalFormatting>
  <conditionalFormatting sqref="AH16:AH17">
    <cfRule type="expression" priority="35" dxfId="2">
      <formula>AND(DAY(TODAY())=30, MONTH(TODAY())=8, YEAR(TODAY())=2029)</formula>
    </cfRule>
  </conditionalFormatting>
  <conditionalFormatting sqref="AI16:AI17">
    <cfRule type="expression" priority="36" dxfId="2">
      <formula>AND(DAY(TODAY())=31, MONTH(TODAY())=8,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D2" s="3" t="inlineStr">
        <is>
          <t>@surajvansh</t>
        </is>
      </c>
    </row>
    <row r="3" ht="18" customHeight="1">
      <c r="A3" s="4" t="inlineStr">
        <is>
          <t>September 2029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2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2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2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2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2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5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5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5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5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5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Sep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MONTH(TODAY())=9, YEAR(TODAY())=2029)</formula>
    </cfRule>
  </conditionalFormatting>
  <conditionalFormatting sqref="F16:F17">
    <cfRule type="expression" priority="7" dxfId="2">
      <formula>AND(DAY(TODAY())=2, MONTH(TODAY())=9, YEAR(TODAY())=2029)</formula>
    </cfRule>
  </conditionalFormatting>
  <conditionalFormatting sqref="G16:G17">
    <cfRule type="expression" priority="8" dxfId="2">
      <formula>AND(DAY(TODAY())=3, MONTH(TODAY())=9, YEAR(TODAY())=2029)</formula>
    </cfRule>
  </conditionalFormatting>
  <conditionalFormatting sqref="H16:H17">
    <cfRule type="expression" priority="9" dxfId="2">
      <formula>AND(DAY(TODAY())=4, MONTH(TODAY())=9, YEAR(TODAY())=2029)</formula>
    </cfRule>
  </conditionalFormatting>
  <conditionalFormatting sqref="I16:I17">
    <cfRule type="expression" priority="10" dxfId="2">
      <formula>AND(DAY(TODAY())=5, MONTH(TODAY())=9, YEAR(TODAY())=2029)</formula>
    </cfRule>
  </conditionalFormatting>
  <conditionalFormatting sqref="J16:J17">
    <cfRule type="expression" priority="11" dxfId="2">
      <formula>AND(DAY(TODAY())=6, MONTH(TODAY())=9, YEAR(TODAY())=2029)</formula>
    </cfRule>
  </conditionalFormatting>
  <conditionalFormatting sqref="K16:K17">
    <cfRule type="expression" priority="12" dxfId="2">
      <formula>AND(DAY(TODAY())=7, MONTH(TODAY())=9, YEAR(TODAY())=2029)</formula>
    </cfRule>
  </conditionalFormatting>
  <conditionalFormatting sqref="L16:L17">
    <cfRule type="expression" priority="13" dxfId="2">
      <formula>AND(DAY(TODAY())=8, MONTH(TODAY())=9, YEAR(TODAY())=2029)</formula>
    </cfRule>
  </conditionalFormatting>
  <conditionalFormatting sqref="M16:M17">
    <cfRule type="expression" priority="14" dxfId="2">
      <formula>AND(DAY(TODAY())=9, MONTH(TODAY())=9, YEAR(TODAY())=2029)</formula>
    </cfRule>
  </conditionalFormatting>
  <conditionalFormatting sqref="N16:N17">
    <cfRule type="expression" priority="15" dxfId="2">
      <formula>AND(DAY(TODAY())=10, MONTH(TODAY())=9, YEAR(TODAY())=2029)</formula>
    </cfRule>
  </conditionalFormatting>
  <conditionalFormatting sqref="O16:O17">
    <cfRule type="expression" priority="16" dxfId="2">
      <formula>AND(DAY(TODAY())=11, MONTH(TODAY())=9, YEAR(TODAY())=2029)</formula>
    </cfRule>
  </conditionalFormatting>
  <conditionalFormatting sqref="P16:P17">
    <cfRule type="expression" priority="17" dxfId="2">
      <formula>AND(DAY(TODAY())=12, MONTH(TODAY())=9, YEAR(TODAY())=2029)</formula>
    </cfRule>
  </conditionalFormatting>
  <conditionalFormatting sqref="Q16:Q17">
    <cfRule type="expression" priority="18" dxfId="2">
      <formula>AND(DAY(TODAY())=13, MONTH(TODAY())=9, YEAR(TODAY())=2029)</formula>
    </cfRule>
  </conditionalFormatting>
  <conditionalFormatting sqref="R16:R17">
    <cfRule type="expression" priority="19" dxfId="2">
      <formula>AND(DAY(TODAY())=14, MONTH(TODAY())=9, YEAR(TODAY())=2029)</formula>
    </cfRule>
  </conditionalFormatting>
  <conditionalFormatting sqref="S16:S17">
    <cfRule type="expression" priority="20" dxfId="2">
      <formula>AND(DAY(TODAY())=15, MONTH(TODAY())=9, YEAR(TODAY())=2029)</formula>
    </cfRule>
  </conditionalFormatting>
  <conditionalFormatting sqref="T16:T17">
    <cfRule type="expression" priority="21" dxfId="2">
      <formula>AND(DAY(TODAY())=16, MONTH(TODAY())=9, YEAR(TODAY())=2029)</formula>
    </cfRule>
  </conditionalFormatting>
  <conditionalFormatting sqref="U16:U17">
    <cfRule type="expression" priority="22" dxfId="2">
      <formula>AND(DAY(TODAY())=17, MONTH(TODAY())=9, YEAR(TODAY())=2029)</formula>
    </cfRule>
  </conditionalFormatting>
  <conditionalFormatting sqref="V16:V17">
    <cfRule type="expression" priority="23" dxfId="2">
      <formula>AND(DAY(TODAY())=18, MONTH(TODAY())=9, YEAR(TODAY())=2029)</formula>
    </cfRule>
  </conditionalFormatting>
  <conditionalFormatting sqref="W16:W17">
    <cfRule type="expression" priority="24" dxfId="2">
      <formula>AND(DAY(TODAY())=19, MONTH(TODAY())=9, YEAR(TODAY())=2029)</formula>
    </cfRule>
  </conditionalFormatting>
  <conditionalFormatting sqref="X16:X17">
    <cfRule type="expression" priority="25" dxfId="2">
      <formula>AND(DAY(TODAY())=20, MONTH(TODAY())=9, YEAR(TODAY())=2029)</formula>
    </cfRule>
  </conditionalFormatting>
  <conditionalFormatting sqref="Y16:Y17">
    <cfRule type="expression" priority="26" dxfId="2">
      <formula>AND(DAY(TODAY())=21, MONTH(TODAY())=9, YEAR(TODAY())=2029)</formula>
    </cfRule>
  </conditionalFormatting>
  <conditionalFormatting sqref="Z16:Z17">
    <cfRule type="expression" priority="27" dxfId="2">
      <formula>AND(DAY(TODAY())=22, MONTH(TODAY())=9, YEAR(TODAY())=2029)</formula>
    </cfRule>
  </conditionalFormatting>
  <conditionalFormatting sqref="AA16:AA17">
    <cfRule type="expression" priority="28" dxfId="2">
      <formula>AND(DAY(TODAY())=23, MONTH(TODAY())=9, YEAR(TODAY())=2029)</formula>
    </cfRule>
  </conditionalFormatting>
  <conditionalFormatting sqref="AB16:AB17">
    <cfRule type="expression" priority="29" dxfId="2">
      <formula>AND(DAY(TODAY())=24, MONTH(TODAY())=9, YEAR(TODAY())=2029)</formula>
    </cfRule>
  </conditionalFormatting>
  <conditionalFormatting sqref="AC16:AC17">
    <cfRule type="expression" priority="30" dxfId="2">
      <formula>AND(DAY(TODAY())=25, MONTH(TODAY())=9, YEAR(TODAY())=2029)</formula>
    </cfRule>
  </conditionalFormatting>
  <conditionalFormatting sqref="AD16:AD17">
    <cfRule type="expression" priority="31" dxfId="2">
      <formula>AND(DAY(TODAY())=26, MONTH(TODAY())=9, YEAR(TODAY())=2029)</formula>
    </cfRule>
  </conditionalFormatting>
  <conditionalFormatting sqref="AE16:AE17">
    <cfRule type="expression" priority="32" dxfId="2">
      <formula>AND(DAY(TODAY())=27, MONTH(TODAY())=9, YEAR(TODAY())=2029)</formula>
    </cfRule>
  </conditionalFormatting>
  <conditionalFormatting sqref="AF16:AF17">
    <cfRule type="expression" priority="33" dxfId="2">
      <formula>AND(DAY(TODAY())=28, MONTH(TODAY())=9, YEAR(TODAY())=2029)</formula>
    </cfRule>
  </conditionalFormatting>
  <conditionalFormatting sqref="AG16:AG17">
    <cfRule type="expression" priority="34" dxfId="2">
      <formula>AND(DAY(TODAY())=29, MONTH(TODAY())=9, YEAR(TODAY())=2029)</formula>
    </cfRule>
  </conditionalFormatting>
  <conditionalFormatting sqref="AH16:AH17">
    <cfRule type="expression" priority="35" dxfId="2">
      <formula>AND(DAY(TODAY())=30, MONTH(TODAY())=9,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E2" s="3" t="inlineStr">
        <is>
          <t>@surajvansh</t>
        </is>
      </c>
    </row>
    <row r="3" ht="18" customHeight="1">
      <c r="A3" s="4" t="inlineStr">
        <is>
          <t>October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2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2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2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2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5" t="inlineStr">
        <is>
          <t>W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5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5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5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5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  <c r="AI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Oct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MONTH(TODAY())=10, YEAR(TODAY())=2029)</formula>
    </cfRule>
  </conditionalFormatting>
  <conditionalFormatting sqref="F16:F17">
    <cfRule type="expression" priority="7" dxfId="2">
      <formula>AND(DAY(TODAY())=2, MONTH(TODAY())=10, YEAR(TODAY())=2029)</formula>
    </cfRule>
  </conditionalFormatting>
  <conditionalFormatting sqref="G16:G17">
    <cfRule type="expression" priority="8" dxfId="2">
      <formula>AND(DAY(TODAY())=3, MONTH(TODAY())=10, YEAR(TODAY())=2029)</formula>
    </cfRule>
  </conditionalFormatting>
  <conditionalFormatting sqref="H16:H17">
    <cfRule type="expression" priority="9" dxfId="2">
      <formula>AND(DAY(TODAY())=4, MONTH(TODAY())=10, YEAR(TODAY())=2029)</formula>
    </cfRule>
  </conditionalFormatting>
  <conditionalFormatting sqref="I16:I17">
    <cfRule type="expression" priority="10" dxfId="2">
      <formula>AND(DAY(TODAY())=5, MONTH(TODAY())=10, YEAR(TODAY())=2029)</formula>
    </cfRule>
  </conditionalFormatting>
  <conditionalFormatting sqref="J16:J17">
    <cfRule type="expression" priority="11" dxfId="2">
      <formula>AND(DAY(TODAY())=6, MONTH(TODAY())=10, YEAR(TODAY())=2029)</formula>
    </cfRule>
  </conditionalFormatting>
  <conditionalFormatting sqref="K16:K17">
    <cfRule type="expression" priority="12" dxfId="2">
      <formula>AND(DAY(TODAY())=7, MONTH(TODAY())=10, YEAR(TODAY())=2029)</formula>
    </cfRule>
  </conditionalFormatting>
  <conditionalFormatting sqref="L16:L17">
    <cfRule type="expression" priority="13" dxfId="2">
      <formula>AND(DAY(TODAY())=8, MONTH(TODAY())=10, YEAR(TODAY())=2029)</formula>
    </cfRule>
  </conditionalFormatting>
  <conditionalFormatting sqref="M16:M17">
    <cfRule type="expression" priority="14" dxfId="2">
      <formula>AND(DAY(TODAY())=9, MONTH(TODAY())=10, YEAR(TODAY())=2029)</formula>
    </cfRule>
  </conditionalFormatting>
  <conditionalFormatting sqref="N16:N17">
    <cfRule type="expression" priority="15" dxfId="2">
      <formula>AND(DAY(TODAY())=10, MONTH(TODAY())=10, YEAR(TODAY())=2029)</formula>
    </cfRule>
  </conditionalFormatting>
  <conditionalFormatting sqref="O16:O17">
    <cfRule type="expression" priority="16" dxfId="2">
      <formula>AND(DAY(TODAY())=11, MONTH(TODAY())=10, YEAR(TODAY())=2029)</formula>
    </cfRule>
  </conditionalFormatting>
  <conditionalFormatting sqref="P16:P17">
    <cfRule type="expression" priority="17" dxfId="2">
      <formula>AND(DAY(TODAY())=12, MONTH(TODAY())=10, YEAR(TODAY())=2029)</formula>
    </cfRule>
  </conditionalFormatting>
  <conditionalFormatting sqref="Q16:Q17">
    <cfRule type="expression" priority="18" dxfId="2">
      <formula>AND(DAY(TODAY())=13, MONTH(TODAY())=10, YEAR(TODAY())=2029)</formula>
    </cfRule>
  </conditionalFormatting>
  <conditionalFormatting sqref="R16:R17">
    <cfRule type="expression" priority="19" dxfId="2">
      <formula>AND(DAY(TODAY())=14, MONTH(TODAY())=10, YEAR(TODAY())=2029)</formula>
    </cfRule>
  </conditionalFormatting>
  <conditionalFormatting sqref="S16:S17">
    <cfRule type="expression" priority="20" dxfId="2">
      <formula>AND(DAY(TODAY())=15, MONTH(TODAY())=10, YEAR(TODAY())=2029)</formula>
    </cfRule>
  </conditionalFormatting>
  <conditionalFormatting sqref="T16:T17">
    <cfRule type="expression" priority="21" dxfId="2">
      <formula>AND(DAY(TODAY())=16, MONTH(TODAY())=10, YEAR(TODAY())=2029)</formula>
    </cfRule>
  </conditionalFormatting>
  <conditionalFormatting sqref="U16:U17">
    <cfRule type="expression" priority="22" dxfId="2">
      <formula>AND(DAY(TODAY())=17, MONTH(TODAY())=10, YEAR(TODAY())=2029)</formula>
    </cfRule>
  </conditionalFormatting>
  <conditionalFormatting sqref="V16:V17">
    <cfRule type="expression" priority="23" dxfId="2">
      <formula>AND(DAY(TODAY())=18, MONTH(TODAY())=10, YEAR(TODAY())=2029)</formula>
    </cfRule>
  </conditionalFormatting>
  <conditionalFormatting sqref="W16:W17">
    <cfRule type="expression" priority="24" dxfId="2">
      <formula>AND(DAY(TODAY())=19, MONTH(TODAY())=10, YEAR(TODAY())=2029)</formula>
    </cfRule>
  </conditionalFormatting>
  <conditionalFormatting sqref="X16:X17">
    <cfRule type="expression" priority="25" dxfId="2">
      <formula>AND(DAY(TODAY())=20, MONTH(TODAY())=10, YEAR(TODAY())=2029)</formula>
    </cfRule>
  </conditionalFormatting>
  <conditionalFormatting sqref="Y16:Y17">
    <cfRule type="expression" priority="26" dxfId="2">
      <formula>AND(DAY(TODAY())=21, MONTH(TODAY())=10, YEAR(TODAY())=2029)</formula>
    </cfRule>
  </conditionalFormatting>
  <conditionalFormatting sqref="Z16:Z17">
    <cfRule type="expression" priority="27" dxfId="2">
      <formula>AND(DAY(TODAY())=22, MONTH(TODAY())=10, YEAR(TODAY())=2029)</formula>
    </cfRule>
  </conditionalFormatting>
  <conditionalFormatting sqref="AA16:AA17">
    <cfRule type="expression" priority="28" dxfId="2">
      <formula>AND(DAY(TODAY())=23, MONTH(TODAY())=10, YEAR(TODAY())=2029)</formula>
    </cfRule>
  </conditionalFormatting>
  <conditionalFormatting sqref="AB16:AB17">
    <cfRule type="expression" priority="29" dxfId="2">
      <formula>AND(DAY(TODAY())=24, MONTH(TODAY())=10, YEAR(TODAY())=2029)</formula>
    </cfRule>
  </conditionalFormatting>
  <conditionalFormatting sqref="AC16:AC17">
    <cfRule type="expression" priority="30" dxfId="2">
      <formula>AND(DAY(TODAY())=25, MONTH(TODAY())=10, YEAR(TODAY())=2029)</formula>
    </cfRule>
  </conditionalFormatting>
  <conditionalFormatting sqref="AD16:AD17">
    <cfRule type="expression" priority="31" dxfId="2">
      <formula>AND(DAY(TODAY())=26, MONTH(TODAY())=10, YEAR(TODAY())=2029)</formula>
    </cfRule>
  </conditionalFormatting>
  <conditionalFormatting sqref="AE16:AE17">
    <cfRule type="expression" priority="32" dxfId="2">
      <formula>AND(DAY(TODAY())=27, MONTH(TODAY())=10, YEAR(TODAY())=2029)</formula>
    </cfRule>
  </conditionalFormatting>
  <conditionalFormatting sqref="AF16:AF17">
    <cfRule type="expression" priority="33" dxfId="2">
      <formula>AND(DAY(TODAY())=28, MONTH(TODAY())=10, YEAR(TODAY())=2029)</formula>
    </cfRule>
  </conditionalFormatting>
  <conditionalFormatting sqref="AG16:AG17">
    <cfRule type="expression" priority="34" dxfId="2">
      <formula>AND(DAY(TODAY())=29, MONTH(TODAY())=10, YEAR(TODAY())=2029)</formula>
    </cfRule>
  </conditionalFormatting>
  <conditionalFormatting sqref="AH16:AH17">
    <cfRule type="expression" priority="35" dxfId="2">
      <formula>AND(DAY(TODAY())=30, MONTH(TODAY())=10, YEAR(TODAY())=2029)</formula>
    </cfRule>
  </conditionalFormatting>
  <conditionalFormatting sqref="AI16:AI17">
    <cfRule type="expression" priority="36" dxfId="2">
      <formula>AND(DAY(TODAY())=31, MONTH(TODAY())=10,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D2" s="3" t="inlineStr">
        <is>
          <t>@surajvansh</t>
        </is>
      </c>
    </row>
    <row r="3" ht="18" customHeight="1">
      <c r="A3" s="4" t="inlineStr">
        <is>
          <t>November 2029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2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2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2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2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5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5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5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5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Nov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MONTH(TODAY())=11, YEAR(TODAY())=2029)</formula>
    </cfRule>
  </conditionalFormatting>
  <conditionalFormatting sqref="F16:F17">
    <cfRule type="expression" priority="7" dxfId="2">
      <formula>AND(DAY(TODAY())=2, MONTH(TODAY())=11, YEAR(TODAY())=2029)</formula>
    </cfRule>
  </conditionalFormatting>
  <conditionalFormatting sqref="G16:G17">
    <cfRule type="expression" priority="8" dxfId="2">
      <formula>AND(DAY(TODAY())=3, MONTH(TODAY())=11, YEAR(TODAY())=2029)</formula>
    </cfRule>
  </conditionalFormatting>
  <conditionalFormatting sqref="H16:H17">
    <cfRule type="expression" priority="9" dxfId="2">
      <formula>AND(DAY(TODAY())=4, MONTH(TODAY())=11, YEAR(TODAY())=2029)</formula>
    </cfRule>
  </conditionalFormatting>
  <conditionalFormatting sqref="I16:I17">
    <cfRule type="expression" priority="10" dxfId="2">
      <formula>AND(DAY(TODAY())=5, MONTH(TODAY())=11, YEAR(TODAY())=2029)</formula>
    </cfRule>
  </conditionalFormatting>
  <conditionalFormatting sqref="J16:J17">
    <cfRule type="expression" priority="11" dxfId="2">
      <formula>AND(DAY(TODAY())=6, MONTH(TODAY())=11, YEAR(TODAY())=2029)</formula>
    </cfRule>
  </conditionalFormatting>
  <conditionalFormatting sqref="K16:K17">
    <cfRule type="expression" priority="12" dxfId="2">
      <formula>AND(DAY(TODAY())=7, MONTH(TODAY())=11, YEAR(TODAY())=2029)</formula>
    </cfRule>
  </conditionalFormatting>
  <conditionalFormatting sqref="L16:L17">
    <cfRule type="expression" priority="13" dxfId="2">
      <formula>AND(DAY(TODAY())=8, MONTH(TODAY())=11, YEAR(TODAY())=2029)</formula>
    </cfRule>
  </conditionalFormatting>
  <conditionalFormatting sqref="M16:M17">
    <cfRule type="expression" priority="14" dxfId="2">
      <formula>AND(DAY(TODAY())=9, MONTH(TODAY())=11, YEAR(TODAY())=2029)</formula>
    </cfRule>
  </conditionalFormatting>
  <conditionalFormatting sqref="N16:N17">
    <cfRule type="expression" priority="15" dxfId="2">
      <formula>AND(DAY(TODAY())=10, MONTH(TODAY())=11, YEAR(TODAY())=2029)</formula>
    </cfRule>
  </conditionalFormatting>
  <conditionalFormatting sqref="O16:O17">
    <cfRule type="expression" priority="16" dxfId="2">
      <formula>AND(DAY(TODAY())=11, MONTH(TODAY())=11, YEAR(TODAY())=2029)</formula>
    </cfRule>
  </conditionalFormatting>
  <conditionalFormatting sqref="P16:P17">
    <cfRule type="expression" priority="17" dxfId="2">
      <formula>AND(DAY(TODAY())=12, MONTH(TODAY())=11, YEAR(TODAY())=2029)</formula>
    </cfRule>
  </conditionalFormatting>
  <conditionalFormatting sqref="Q16:Q17">
    <cfRule type="expression" priority="18" dxfId="2">
      <formula>AND(DAY(TODAY())=13, MONTH(TODAY())=11, YEAR(TODAY())=2029)</formula>
    </cfRule>
  </conditionalFormatting>
  <conditionalFormatting sqref="R16:R17">
    <cfRule type="expression" priority="19" dxfId="2">
      <formula>AND(DAY(TODAY())=14, MONTH(TODAY())=11, YEAR(TODAY())=2029)</formula>
    </cfRule>
  </conditionalFormatting>
  <conditionalFormatting sqref="S16:S17">
    <cfRule type="expression" priority="20" dxfId="2">
      <formula>AND(DAY(TODAY())=15, MONTH(TODAY())=11, YEAR(TODAY())=2029)</formula>
    </cfRule>
  </conditionalFormatting>
  <conditionalFormatting sqref="T16:T17">
    <cfRule type="expression" priority="21" dxfId="2">
      <formula>AND(DAY(TODAY())=16, MONTH(TODAY())=11, YEAR(TODAY())=2029)</formula>
    </cfRule>
  </conditionalFormatting>
  <conditionalFormatting sqref="U16:U17">
    <cfRule type="expression" priority="22" dxfId="2">
      <formula>AND(DAY(TODAY())=17, MONTH(TODAY())=11, YEAR(TODAY())=2029)</formula>
    </cfRule>
  </conditionalFormatting>
  <conditionalFormatting sqref="V16:V17">
    <cfRule type="expression" priority="23" dxfId="2">
      <formula>AND(DAY(TODAY())=18, MONTH(TODAY())=11, YEAR(TODAY())=2029)</formula>
    </cfRule>
  </conditionalFormatting>
  <conditionalFormatting sqref="W16:W17">
    <cfRule type="expression" priority="24" dxfId="2">
      <formula>AND(DAY(TODAY())=19, MONTH(TODAY())=11, YEAR(TODAY())=2029)</formula>
    </cfRule>
  </conditionalFormatting>
  <conditionalFormatting sqref="X16:X17">
    <cfRule type="expression" priority="25" dxfId="2">
      <formula>AND(DAY(TODAY())=20, MONTH(TODAY())=11, YEAR(TODAY())=2029)</formula>
    </cfRule>
  </conditionalFormatting>
  <conditionalFormatting sqref="Y16:Y17">
    <cfRule type="expression" priority="26" dxfId="2">
      <formula>AND(DAY(TODAY())=21, MONTH(TODAY())=11, YEAR(TODAY())=2029)</formula>
    </cfRule>
  </conditionalFormatting>
  <conditionalFormatting sqref="Z16:Z17">
    <cfRule type="expression" priority="27" dxfId="2">
      <formula>AND(DAY(TODAY())=22, MONTH(TODAY())=11, YEAR(TODAY())=2029)</formula>
    </cfRule>
  </conditionalFormatting>
  <conditionalFormatting sqref="AA16:AA17">
    <cfRule type="expression" priority="28" dxfId="2">
      <formula>AND(DAY(TODAY())=23, MONTH(TODAY())=11, YEAR(TODAY())=2029)</formula>
    </cfRule>
  </conditionalFormatting>
  <conditionalFormatting sqref="AB16:AB17">
    <cfRule type="expression" priority="29" dxfId="2">
      <formula>AND(DAY(TODAY())=24, MONTH(TODAY())=11, YEAR(TODAY())=2029)</formula>
    </cfRule>
  </conditionalFormatting>
  <conditionalFormatting sqref="AC16:AC17">
    <cfRule type="expression" priority="30" dxfId="2">
      <formula>AND(DAY(TODAY())=25, MONTH(TODAY())=11, YEAR(TODAY())=2029)</formula>
    </cfRule>
  </conditionalFormatting>
  <conditionalFormatting sqref="AD16:AD17">
    <cfRule type="expression" priority="31" dxfId="2">
      <formula>AND(DAY(TODAY())=26, MONTH(TODAY())=11, YEAR(TODAY())=2029)</formula>
    </cfRule>
  </conditionalFormatting>
  <conditionalFormatting sqref="AE16:AE17">
    <cfRule type="expression" priority="32" dxfId="2">
      <formula>AND(DAY(TODAY())=27, MONTH(TODAY())=11, YEAR(TODAY())=2029)</formula>
    </cfRule>
  </conditionalFormatting>
  <conditionalFormatting sqref="AF16:AF17">
    <cfRule type="expression" priority="33" dxfId="2">
      <formula>AND(DAY(TODAY())=28, MONTH(TODAY())=11, YEAR(TODAY())=2029)</formula>
    </cfRule>
  </conditionalFormatting>
  <conditionalFormatting sqref="AG16:AG17">
    <cfRule type="expression" priority="34" dxfId="2">
      <formula>AND(DAY(TODAY())=29, MONTH(TODAY())=11, YEAR(TODAY())=2029)</formula>
    </cfRule>
  </conditionalFormatting>
  <conditionalFormatting sqref="AH16:AH17">
    <cfRule type="expression" priority="35" dxfId="2">
      <formula>AND(DAY(TODAY())=30, MONTH(TODAY())=11,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E2" s="3" t="inlineStr">
        <is>
          <t>@surajvansh</t>
        </is>
      </c>
    </row>
    <row r="3" ht="18" customHeight="1">
      <c r="A3" s="4" t="inlineStr">
        <is>
          <t>December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2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2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2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2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2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5" t="inlineStr">
        <is>
          <t>M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5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5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5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5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5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  <c r="AI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Dec</t>
        </is>
      </c>
      <c r="B92" s="89" t="n"/>
      <c r="C92" s="96" t="n">
        <v>2029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MONTH(TODAY())=12, YEAR(TODAY())=2029)</formula>
    </cfRule>
  </conditionalFormatting>
  <conditionalFormatting sqref="F16:F17">
    <cfRule type="expression" priority="7" dxfId="2">
      <formula>AND(DAY(TODAY())=2, MONTH(TODAY())=12, YEAR(TODAY())=2029)</formula>
    </cfRule>
  </conditionalFormatting>
  <conditionalFormatting sqref="G16:G17">
    <cfRule type="expression" priority="8" dxfId="2">
      <formula>AND(DAY(TODAY())=3, MONTH(TODAY())=12, YEAR(TODAY())=2029)</formula>
    </cfRule>
  </conditionalFormatting>
  <conditionalFormatting sqref="H16:H17">
    <cfRule type="expression" priority="9" dxfId="2">
      <formula>AND(DAY(TODAY())=4, MONTH(TODAY())=12, YEAR(TODAY())=2029)</formula>
    </cfRule>
  </conditionalFormatting>
  <conditionalFormatting sqref="I16:I17">
    <cfRule type="expression" priority="10" dxfId="2">
      <formula>AND(DAY(TODAY())=5, MONTH(TODAY())=12, YEAR(TODAY())=2029)</formula>
    </cfRule>
  </conditionalFormatting>
  <conditionalFormatting sqref="J16:J17">
    <cfRule type="expression" priority="11" dxfId="2">
      <formula>AND(DAY(TODAY())=6, MONTH(TODAY())=12, YEAR(TODAY())=2029)</formula>
    </cfRule>
  </conditionalFormatting>
  <conditionalFormatting sqref="K16:K17">
    <cfRule type="expression" priority="12" dxfId="2">
      <formula>AND(DAY(TODAY())=7, MONTH(TODAY())=12, YEAR(TODAY())=2029)</formula>
    </cfRule>
  </conditionalFormatting>
  <conditionalFormatting sqref="L16:L17">
    <cfRule type="expression" priority="13" dxfId="2">
      <formula>AND(DAY(TODAY())=8, MONTH(TODAY())=12, YEAR(TODAY())=2029)</formula>
    </cfRule>
  </conditionalFormatting>
  <conditionalFormatting sqref="M16:M17">
    <cfRule type="expression" priority="14" dxfId="2">
      <formula>AND(DAY(TODAY())=9, MONTH(TODAY())=12, YEAR(TODAY())=2029)</formula>
    </cfRule>
  </conditionalFormatting>
  <conditionalFormatting sqref="N16:N17">
    <cfRule type="expression" priority="15" dxfId="2">
      <formula>AND(DAY(TODAY())=10, MONTH(TODAY())=12, YEAR(TODAY())=2029)</formula>
    </cfRule>
  </conditionalFormatting>
  <conditionalFormatting sqref="O16:O17">
    <cfRule type="expression" priority="16" dxfId="2">
      <formula>AND(DAY(TODAY())=11, MONTH(TODAY())=12, YEAR(TODAY())=2029)</formula>
    </cfRule>
  </conditionalFormatting>
  <conditionalFormatting sqref="P16:P17">
    <cfRule type="expression" priority="17" dxfId="2">
      <formula>AND(DAY(TODAY())=12, MONTH(TODAY())=12, YEAR(TODAY())=2029)</formula>
    </cfRule>
  </conditionalFormatting>
  <conditionalFormatting sqref="Q16:Q17">
    <cfRule type="expression" priority="18" dxfId="2">
      <formula>AND(DAY(TODAY())=13, MONTH(TODAY())=12, YEAR(TODAY())=2029)</formula>
    </cfRule>
  </conditionalFormatting>
  <conditionalFormatting sqref="R16:R17">
    <cfRule type="expression" priority="19" dxfId="2">
      <formula>AND(DAY(TODAY())=14, MONTH(TODAY())=12, YEAR(TODAY())=2029)</formula>
    </cfRule>
  </conditionalFormatting>
  <conditionalFormatting sqref="S16:S17">
    <cfRule type="expression" priority="20" dxfId="2">
      <formula>AND(DAY(TODAY())=15, MONTH(TODAY())=12, YEAR(TODAY())=2029)</formula>
    </cfRule>
  </conditionalFormatting>
  <conditionalFormatting sqref="T16:T17">
    <cfRule type="expression" priority="21" dxfId="2">
      <formula>AND(DAY(TODAY())=16, MONTH(TODAY())=12, YEAR(TODAY())=2029)</formula>
    </cfRule>
  </conditionalFormatting>
  <conditionalFormatting sqref="U16:U17">
    <cfRule type="expression" priority="22" dxfId="2">
      <formula>AND(DAY(TODAY())=17, MONTH(TODAY())=12, YEAR(TODAY())=2029)</formula>
    </cfRule>
  </conditionalFormatting>
  <conditionalFormatting sqref="V16:V17">
    <cfRule type="expression" priority="23" dxfId="2">
      <formula>AND(DAY(TODAY())=18, MONTH(TODAY())=12, YEAR(TODAY())=2029)</formula>
    </cfRule>
  </conditionalFormatting>
  <conditionalFormatting sqref="W16:W17">
    <cfRule type="expression" priority="24" dxfId="2">
      <formula>AND(DAY(TODAY())=19, MONTH(TODAY())=12, YEAR(TODAY())=2029)</formula>
    </cfRule>
  </conditionalFormatting>
  <conditionalFormatting sqref="X16:X17">
    <cfRule type="expression" priority="25" dxfId="2">
      <formula>AND(DAY(TODAY())=20, MONTH(TODAY())=12, YEAR(TODAY())=2029)</formula>
    </cfRule>
  </conditionalFormatting>
  <conditionalFormatting sqref="Y16:Y17">
    <cfRule type="expression" priority="26" dxfId="2">
      <formula>AND(DAY(TODAY())=21, MONTH(TODAY())=12, YEAR(TODAY())=2029)</formula>
    </cfRule>
  </conditionalFormatting>
  <conditionalFormatting sqref="Z16:Z17">
    <cfRule type="expression" priority="27" dxfId="2">
      <formula>AND(DAY(TODAY())=22, MONTH(TODAY())=12, YEAR(TODAY())=2029)</formula>
    </cfRule>
  </conditionalFormatting>
  <conditionalFormatting sqref="AA16:AA17">
    <cfRule type="expression" priority="28" dxfId="2">
      <formula>AND(DAY(TODAY())=23, MONTH(TODAY())=12, YEAR(TODAY())=2029)</formula>
    </cfRule>
  </conditionalFormatting>
  <conditionalFormatting sqref="AB16:AB17">
    <cfRule type="expression" priority="29" dxfId="2">
      <formula>AND(DAY(TODAY())=24, MONTH(TODAY())=12, YEAR(TODAY())=2029)</formula>
    </cfRule>
  </conditionalFormatting>
  <conditionalFormatting sqref="AC16:AC17">
    <cfRule type="expression" priority="30" dxfId="2">
      <formula>AND(DAY(TODAY())=25, MONTH(TODAY())=12, YEAR(TODAY())=2029)</formula>
    </cfRule>
  </conditionalFormatting>
  <conditionalFormatting sqref="AD16:AD17">
    <cfRule type="expression" priority="31" dxfId="2">
      <formula>AND(DAY(TODAY())=26, MONTH(TODAY())=12, YEAR(TODAY())=2029)</formula>
    </cfRule>
  </conditionalFormatting>
  <conditionalFormatting sqref="AE16:AE17">
    <cfRule type="expression" priority="32" dxfId="2">
      <formula>AND(DAY(TODAY())=27, MONTH(TODAY())=12, YEAR(TODAY())=2029)</formula>
    </cfRule>
  </conditionalFormatting>
  <conditionalFormatting sqref="AF16:AF17">
    <cfRule type="expression" priority="33" dxfId="2">
      <formula>AND(DAY(TODAY())=28, MONTH(TODAY())=12, YEAR(TODAY())=2029)</formula>
    </cfRule>
  </conditionalFormatting>
  <conditionalFormatting sqref="AG16:AG17">
    <cfRule type="expression" priority="34" dxfId="2">
      <formula>AND(DAY(TODAY())=29, MONTH(TODAY())=12, YEAR(TODAY())=2029)</formula>
    </cfRule>
  </conditionalFormatting>
  <conditionalFormatting sqref="AH16:AH17">
    <cfRule type="expression" priority="35" dxfId="2">
      <formula>AND(DAY(TODAY())=30, MONTH(TODAY())=12, YEAR(TODAY())=2029)</formula>
    </cfRule>
  </conditionalFormatting>
  <conditionalFormatting sqref="AI16:AI17">
    <cfRule type="expression" priority="36" dxfId="2">
      <formula>AND(DAY(TODAY())=31, MONTH(TODAY())=12,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"Small daily improvements lead to stunning results."</t>
        </is>
      </c>
      <c r="AE2" s="3" t="inlineStr">
        <is>
          <t>@surajvansh</t>
        </is>
      </c>
    </row>
    <row r="3" ht="18" customHeight="1">
      <c r="A3" s="4" t="inlineStr">
        <is>
          <t>January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2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2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2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2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5" t="inlineStr">
        <is>
          <t>Th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5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5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5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5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  <c r="AI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Jan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MONTH(TODAY())=1, YEAR(TODAY())=2030)</formula>
    </cfRule>
  </conditionalFormatting>
  <conditionalFormatting sqref="F16:F17">
    <cfRule type="expression" priority="7" dxfId="2">
      <formula>AND(DAY(TODAY())=2, MONTH(TODAY())=1, YEAR(TODAY())=2030)</formula>
    </cfRule>
  </conditionalFormatting>
  <conditionalFormatting sqref="G16:G17">
    <cfRule type="expression" priority="8" dxfId="2">
      <formula>AND(DAY(TODAY())=3, MONTH(TODAY())=1, YEAR(TODAY())=2030)</formula>
    </cfRule>
  </conditionalFormatting>
  <conditionalFormatting sqref="H16:H17">
    <cfRule type="expression" priority="9" dxfId="2">
      <formula>AND(DAY(TODAY())=4, MONTH(TODAY())=1, YEAR(TODAY())=2030)</formula>
    </cfRule>
  </conditionalFormatting>
  <conditionalFormatting sqref="I16:I17">
    <cfRule type="expression" priority="10" dxfId="2">
      <formula>AND(DAY(TODAY())=5, MONTH(TODAY())=1, YEAR(TODAY())=2030)</formula>
    </cfRule>
  </conditionalFormatting>
  <conditionalFormatting sqref="J16:J17">
    <cfRule type="expression" priority="11" dxfId="2">
      <formula>AND(DAY(TODAY())=6, MONTH(TODAY())=1, YEAR(TODAY())=2030)</formula>
    </cfRule>
  </conditionalFormatting>
  <conditionalFormatting sqref="K16:K17">
    <cfRule type="expression" priority="12" dxfId="2">
      <formula>AND(DAY(TODAY())=7, MONTH(TODAY())=1, YEAR(TODAY())=2030)</formula>
    </cfRule>
  </conditionalFormatting>
  <conditionalFormatting sqref="L16:L17">
    <cfRule type="expression" priority="13" dxfId="2">
      <formula>AND(DAY(TODAY())=8, MONTH(TODAY())=1, YEAR(TODAY())=2030)</formula>
    </cfRule>
  </conditionalFormatting>
  <conditionalFormatting sqref="M16:M17">
    <cfRule type="expression" priority="14" dxfId="2">
      <formula>AND(DAY(TODAY())=9, MONTH(TODAY())=1, YEAR(TODAY())=2030)</formula>
    </cfRule>
  </conditionalFormatting>
  <conditionalFormatting sqref="N16:N17">
    <cfRule type="expression" priority="15" dxfId="2">
      <formula>AND(DAY(TODAY())=10, MONTH(TODAY())=1, YEAR(TODAY())=2030)</formula>
    </cfRule>
  </conditionalFormatting>
  <conditionalFormatting sqref="O16:O17">
    <cfRule type="expression" priority="16" dxfId="2">
      <formula>AND(DAY(TODAY())=11, MONTH(TODAY())=1, YEAR(TODAY())=2030)</formula>
    </cfRule>
  </conditionalFormatting>
  <conditionalFormatting sqref="P16:P17">
    <cfRule type="expression" priority="17" dxfId="2">
      <formula>AND(DAY(TODAY())=12, MONTH(TODAY())=1, YEAR(TODAY())=2030)</formula>
    </cfRule>
  </conditionalFormatting>
  <conditionalFormatting sqref="Q16:Q17">
    <cfRule type="expression" priority="18" dxfId="2">
      <formula>AND(DAY(TODAY())=13, MONTH(TODAY())=1, YEAR(TODAY())=2030)</formula>
    </cfRule>
  </conditionalFormatting>
  <conditionalFormatting sqref="R16:R17">
    <cfRule type="expression" priority="19" dxfId="2">
      <formula>AND(DAY(TODAY())=14, MONTH(TODAY())=1, YEAR(TODAY())=2030)</formula>
    </cfRule>
  </conditionalFormatting>
  <conditionalFormatting sqref="S16:S17">
    <cfRule type="expression" priority="20" dxfId="2">
      <formula>AND(DAY(TODAY())=15, MONTH(TODAY())=1, YEAR(TODAY())=2030)</formula>
    </cfRule>
  </conditionalFormatting>
  <conditionalFormatting sqref="T16:T17">
    <cfRule type="expression" priority="21" dxfId="2">
      <formula>AND(DAY(TODAY())=16, MONTH(TODAY())=1, YEAR(TODAY())=2030)</formula>
    </cfRule>
  </conditionalFormatting>
  <conditionalFormatting sqref="U16:U17">
    <cfRule type="expression" priority="22" dxfId="2">
      <formula>AND(DAY(TODAY())=17, MONTH(TODAY())=1, YEAR(TODAY())=2030)</formula>
    </cfRule>
  </conditionalFormatting>
  <conditionalFormatting sqref="V16:V17">
    <cfRule type="expression" priority="23" dxfId="2">
      <formula>AND(DAY(TODAY())=18, MONTH(TODAY())=1, YEAR(TODAY())=2030)</formula>
    </cfRule>
  </conditionalFormatting>
  <conditionalFormatting sqref="W16:W17">
    <cfRule type="expression" priority="24" dxfId="2">
      <formula>AND(DAY(TODAY())=19, MONTH(TODAY())=1, YEAR(TODAY())=2030)</formula>
    </cfRule>
  </conditionalFormatting>
  <conditionalFormatting sqref="X16:X17">
    <cfRule type="expression" priority="25" dxfId="2">
      <formula>AND(DAY(TODAY())=20, MONTH(TODAY())=1, YEAR(TODAY())=2030)</formula>
    </cfRule>
  </conditionalFormatting>
  <conditionalFormatting sqref="Y16:Y17">
    <cfRule type="expression" priority="26" dxfId="2">
      <formula>AND(DAY(TODAY())=21, MONTH(TODAY())=1, YEAR(TODAY())=2030)</formula>
    </cfRule>
  </conditionalFormatting>
  <conditionalFormatting sqref="Z16:Z17">
    <cfRule type="expression" priority="27" dxfId="2">
      <formula>AND(DAY(TODAY())=22, MONTH(TODAY())=1, YEAR(TODAY())=2030)</formula>
    </cfRule>
  </conditionalFormatting>
  <conditionalFormatting sqref="AA16:AA17">
    <cfRule type="expression" priority="28" dxfId="2">
      <formula>AND(DAY(TODAY())=23, MONTH(TODAY())=1, YEAR(TODAY())=2030)</formula>
    </cfRule>
  </conditionalFormatting>
  <conditionalFormatting sqref="AB16:AB17">
    <cfRule type="expression" priority="29" dxfId="2">
      <formula>AND(DAY(TODAY())=24, MONTH(TODAY())=1, YEAR(TODAY())=2030)</formula>
    </cfRule>
  </conditionalFormatting>
  <conditionalFormatting sqref="AC16:AC17">
    <cfRule type="expression" priority="30" dxfId="2">
      <formula>AND(DAY(TODAY())=25, MONTH(TODAY())=1, YEAR(TODAY())=2030)</formula>
    </cfRule>
  </conditionalFormatting>
  <conditionalFormatting sqref="AD16:AD17">
    <cfRule type="expression" priority="31" dxfId="2">
      <formula>AND(DAY(TODAY())=26, MONTH(TODAY())=1, YEAR(TODAY())=2030)</formula>
    </cfRule>
  </conditionalFormatting>
  <conditionalFormatting sqref="AE16:AE17">
    <cfRule type="expression" priority="32" dxfId="2">
      <formula>AND(DAY(TODAY())=27, MONTH(TODAY())=1, YEAR(TODAY())=2030)</formula>
    </cfRule>
  </conditionalFormatting>
  <conditionalFormatting sqref="AF16:AF17">
    <cfRule type="expression" priority="33" dxfId="2">
      <formula>AND(DAY(TODAY())=28, MONTH(TODAY())=1, YEAR(TODAY())=2030)</formula>
    </cfRule>
  </conditionalFormatting>
  <conditionalFormatting sqref="AG16:AG17">
    <cfRule type="expression" priority="34" dxfId="2">
      <formula>AND(DAY(TODAY())=29, MONTH(TODAY())=1, YEAR(TODAY())=2030)</formula>
    </cfRule>
  </conditionalFormatting>
  <conditionalFormatting sqref="AH16:AH17">
    <cfRule type="expression" priority="35" dxfId="2">
      <formula>AND(DAY(TODAY())=30, MONTH(TODAY())=1, YEAR(TODAY())=2030)</formula>
    </cfRule>
  </conditionalFormatting>
  <conditionalFormatting sqref="AI16:AI17">
    <cfRule type="expression" priority="36" dxfId="2">
      <formula>AND(DAY(TODAY())=31, MONTH(TODAY())=1,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2:AI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11.5" customWidth="1" min="33" max="33"/>
    <col width="13.5" customWidth="1" min="34" max="34"/>
    <col hidden="1" width="8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"We are what we repeatedly do."</t>
        </is>
      </c>
      <c r="AB2" s="3" t="inlineStr">
        <is>
          <t>@surajvansh</t>
        </is>
      </c>
    </row>
    <row r="3" ht="18" customHeight="1">
      <c r="A3" s="4" t="inlineStr">
        <is>
          <t>February 2030</t>
        </is>
      </c>
      <c r="H3" s="5" t="inlineStr">
        <is>
          <t>28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2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2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2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2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3" t="inlineStr">
        <is>
          <t>Success %</t>
        </is>
      </c>
      <c r="AH16" s="13" t="inlineStr">
        <is>
          <t>Done / Target</t>
        </is>
      </c>
      <c r="AI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4" t="n"/>
      <c r="AH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21">
        <f>IF(ISBLANK(B18), "", IF(ISNUMBER(D18), IF(D18&gt;0, (COUNTIF(E18:AF18, "✓") + COUNTIF(E18:AF18, "✔") + COUNTIF(E18:AF18, "v") + COUNTIF(E18:AF18, "V"))/D18, 0),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"V"))/((COUNTIF(E18:AF18, "✓") + COUNTIF(E18:AF18, "✔") + COUNTIF(E18:AF18, "v") + COUNTIF(E18:AF18, "V")) + COUNTIF(E18:AF18, "✗") + COUNTIF(E18:AF18, "x") + COUNTIF(E18:AF18, "X")), "")))</f>
        <v/>
      </c>
      <c r="AH18" s="22">
        <f>IF(ISBLANK(B18), "", IF(ISNUMBER(D18), IF(D18&gt;0, (COUNTIF(E18:AF18, "✓") + COUNTIF(E18:AF18, "✔") + COUNTIF(E18:AF18, "v") + COUNTIF(E18:AF18, "V")) &amp; "/" &amp; D18, (COUNTIF(E18:AF18, "✓") + COUNTIF(E18:AF18, "✔") + COUNTIF(E18:AF18, "v") + COUNTIF(E18:AF18, "V")) &amp; "/0"),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 &amp; "/" &amp; ((COUNTIF(E18:AF18, "✓") + COUNTIF(E18:AF18, "✔") + COUNTIF(E18:AF18, "v") + COUNTIF(E18:AF18, "V")) + COUNTIF(E18:AF18, "✗") + COUNTIF(E18:AF18, "x") + COUNTIF(E18:AF18, "X")), "")))</f>
        <v/>
      </c>
      <c r="AI18">
        <f>COUNTIF(E18:AF18,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21">
        <f>IF(ISBLANK(B19), "", IF(ISNUMBER(D19), IF(D19&gt;0, (COUNTIF(E19:AF19, "✓") + COUNTIF(E19:AF19, "✔") + COUNTIF(E19:AF19, "v") + COUNTIF(E19:AF19, "V"))/D19, 0),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"V"))/((COUNTIF(E19:AF19, "✓") + COUNTIF(E19:AF19, "✔") + COUNTIF(E19:AF19, "v") + COUNTIF(E19:AF19, "V")) + COUNTIF(E19:AF19, "✗") + COUNTIF(E19:AF19, "x") + COUNTIF(E19:AF19, "X")), "")))</f>
        <v/>
      </c>
      <c r="AH19" s="22">
        <f>IF(ISBLANK(B19), "", IF(ISNUMBER(D19), IF(D19&gt;0, (COUNTIF(E19:AF19, "✓") + COUNTIF(E19:AF19, "✔") + COUNTIF(E19:AF19, "v") + COUNTIF(E19:AF19, "V")) &amp; "/" &amp; D19, (COUNTIF(E19:AF19, "✓") + COUNTIF(E19:AF19, "✔") + COUNTIF(E19:AF19, "v") + COUNTIF(E19:AF19, "V")) &amp; "/0"),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 &amp; "/" &amp; ((COUNTIF(E19:AF19, "✓") + COUNTIF(E19:AF19, "✔") + COUNTIF(E19:AF19, "v") + COUNTIF(E19:AF19, "V")) + COUNTIF(E19:AF19, "✗") + COUNTIF(E19:AF19, "x") + COUNTIF(E19:AF19, "X")), "")))</f>
        <v/>
      </c>
      <c r="AI19">
        <f>COUNTIF(E19:AF19,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21">
        <f>IF(ISBLANK(B20), "", IF(ISNUMBER(D20), IF(D20&gt;0, (COUNTIF(E20:AF20, "✓") + COUNTIF(E20:AF20, "✔") + COUNTIF(E20:AF20, "v") + COUNTIF(E20:AF20, "V"))/D20, 0),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"V"))/((COUNTIF(E20:AF20, "✓") + COUNTIF(E20:AF20, "✔") + COUNTIF(E20:AF20, "v") + COUNTIF(E20:AF20, "V")) + COUNTIF(E20:AF20, "✗") + COUNTIF(E20:AF20, "x") + COUNTIF(E20:AF20, "X")), "")))</f>
        <v/>
      </c>
      <c r="AH20" s="22">
        <f>IF(ISBLANK(B20), "", IF(ISNUMBER(D20), IF(D20&gt;0, (COUNTIF(E20:AF20, "✓") + COUNTIF(E20:AF20, "✔") + COUNTIF(E20:AF20, "v") + COUNTIF(E20:AF20, "V")) &amp; "/" &amp; D20, (COUNTIF(E20:AF20, "✓") + COUNTIF(E20:AF20, "✔") + COUNTIF(E20:AF20, "v") + COUNTIF(E20:AF20, "V")) &amp; "/0"),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 &amp; "/" &amp; ((COUNTIF(E20:AF20, "✓") + COUNTIF(E20:AF20, "✔") + COUNTIF(E20:AF20, "v") + COUNTIF(E20:AF20, "V")) + COUNTIF(E20:AF20, "✗") + COUNTIF(E20:AF20, "x") + COUNTIF(E20:AF20, "X")), "")))</f>
        <v/>
      </c>
      <c r="AI20">
        <f>COUNTIF(E20:AF20,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21">
        <f>IF(ISBLANK(B21), "", IF(ISNUMBER(D21), IF(D21&gt;0, (COUNTIF(E21:AF21, "✓") + COUNTIF(E21:AF21, "✔") + COUNTIF(E21:AF21, "v") + COUNTIF(E21:AF21, "V"))/D21, 0),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"V"))/((COUNTIF(E21:AF21, "✓") + COUNTIF(E21:AF21, "✔") + COUNTIF(E21:AF21, "v") + COUNTIF(E21:AF21, "V")) + COUNTIF(E21:AF21, "✗") + COUNTIF(E21:AF21, "x") + COUNTIF(E21:AF21, "X")), "")))</f>
        <v/>
      </c>
      <c r="AH21" s="22">
        <f>IF(ISBLANK(B21), "", IF(ISNUMBER(D21), IF(D21&gt;0, (COUNTIF(E21:AF21, "✓") + COUNTIF(E21:AF21, "✔") + COUNTIF(E21:AF21, "v") + COUNTIF(E21:AF21, "V")) &amp; "/" &amp; D21, (COUNTIF(E21:AF21, "✓") + COUNTIF(E21:AF21, "✔") + COUNTIF(E21:AF21, "v") + COUNTIF(E21:AF21, "V")) &amp; "/0"),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 &amp; "/" &amp; ((COUNTIF(E21:AF21, "✓") + COUNTIF(E21:AF21, "✔") + COUNTIF(E21:AF21, "v") + COUNTIF(E21:AF21, "V")) + COUNTIF(E21:AF21, "✗") + COUNTIF(E21:AF21, "x") + COUNTIF(E21:AF21, "X")), "")))</f>
        <v/>
      </c>
      <c r="AI21">
        <f>COUNTIF(E21:AF21,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7">
        <f>IF(ISBLANK(B22), "", IF(ISNUMBER(D22), IF(D22&gt;0, (COUNTIF(E22:AF22, "✓") + COUNTIF(E22:AF22, "✔") + COUNTIF(E22:AF22, "v") + COUNTIF(E22:AF22, "V"))/D22, 0),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"V"))/((COUNTIF(E22:AF22, "✓") + COUNTIF(E22:AF22, "✔") + COUNTIF(E22:AF22, "v") + COUNTIF(E22:AF22, "V")) + COUNTIF(E22:AF22, "✗") + COUNTIF(E22:AF22, "x") + COUNTIF(E22:AF22, "X")), "")))</f>
        <v/>
      </c>
      <c r="AH22" s="28">
        <f>IF(ISBLANK(B22), "", IF(ISNUMBER(D22), IF(D22&gt;0, (COUNTIF(E22:AF22, "✓") + COUNTIF(E22:AF22, "✔") + COUNTIF(E22:AF22, "v") + COUNTIF(E22:AF22, "V")) &amp; "/" &amp; D22, (COUNTIF(E22:AF22, "✓") + COUNTIF(E22:AF22, "✔") + COUNTIF(E22:AF22, "v") + COUNTIF(E22:AF22, "V")) &amp; "/0"),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 &amp; "/" &amp; ((COUNTIF(E22:AF22, "✓") + COUNTIF(E22:AF22, "✔") + COUNTIF(E22:AF22, "v") + COUNTIF(E22:AF22, "V")) + COUNTIF(E22:AF22, "✗") + COUNTIF(E22:AF22, "x") + COUNTIF(E22:AF22, "X")), "")))</f>
        <v/>
      </c>
      <c r="AI22">
        <f>COUNTIF(E22:AF22,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7">
        <f>IF(ISBLANK(B23), "", IF(ISNUMBER(D23), IF(D23&gt;0, (COUNTIF(E23:AF23, "✓") + COUNTIF(E23:AF23, "✔") + COUNTIF(E23:AF23, "v") + COUNTIF(E23:AF23, "V"))/D23, 0),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"V"))/((COUNTIF(E23:AF23, "✓") + COUNTIF(E23:AF23, "✔") + COUNTIF(E23:AF23, "v") + COUNTIF(E23:AF23, "V")) + COUNTIF(E23:AF23, "✗") + COUNTIF(E23:AF23, "x") + COUNTIF(E23:AF23, "X")), "")))</f>
        <v/>
      </c>
      <c r="AH23" s="28">
        <f>IF(ISBLANK(B23), "", IF(ISNUMBER(D23), IF(D23&gt;0, (COUNTIF(E23:AF23, "✓") + COUNTIF(E23:AF23, "✔") + COUNTIF(E23:AF23, "v") + COUNTIF(E23:AF23, "V")) &amp; "/" &amp; D23, (COUNTIF(E23:AF23, "✓") + COUNTIF(E23:AF23, "✔") + COUNTIF(E23:AF23, "v") + COUNTIF(E23:AF23, "V")) &amp; "/0"),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 &amp; "/" &amp; ((COUNTIF(E23:AF23, "✓") + COUNTIF(E23:AF23, "✔") + COUNTIF(E23:AF23, "v") + COUNTIF(E23:AF23, "V")) + COUNTIF(E23:AF23, "✗") + COUNTIF(E23:AF23, "x") + COUNTIF(E23:AF23, "X")), "")))</f>
        <v/>
      </c>
      <c r="AI23">
        <f>COUNTIF(E23:AF23,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7">
        <f>IF(ISBLANK(B24), "", IF(ISNUMBER(D24), IF(D24&gt;0, (COUNTIF(E24:AF24, "✓") + COUNTIF(E24:AF24, "✔") + COUNTIF(E24:AF24, "v") + COUNTIF(E24:AF24, "V"))/D24, 0),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"V"))/((COUNTIF(E24:AF24, "✓") + COUNTIF(E24:AF24, "✔") + COUNTIF(E24:AF24, "v") + COUNTIF(E24:AF24, "V")) + COUNTIF(E24:AF24, "✗") + COUNTIF(E24:AF24, "x") + COUNTIF(E24:AF24, "X")), "")))</f>
        <v/>
      </c>
      <c r="AH24" s="28">
        <f>IF(ISBLANK(B24), "", IF(ISNUMBER(D24), IF(D24&gt;0, (COUNTIF(E24:AF24, "✓") + COUNTIF(E24:AF24, "✔") + COUNTIF(E24:AF24, "v") + COUNTIF(E24:AF24, "V")) &amp; "/" &amp; D24, (COUNTIF(E24:AF24, "✓") + COUNTIF(E24:AF24, "✔") + COUNTIF(E24:AF24, "v") + COUNTIF(E24:AF24, "V")) &amp; "/0"),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 &amp; "/" &amp; ((COUNTIF(E24:AF24, "✓") + COUNTIF(E24:AF24, "✔") + COUNTIF(E24:AF24, "v") + COUNTIF(E24:AF24, "V")) + COUNTIF(E24:AF24, "✗") + COUNTIF(E24:AF24, "x") + COUNTIF(E24:AF24, "X")), "")))</f>
        <v/>
      </c>
      <c r="AI24">
        <f>COUNTIF(E24:AF24,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7">
        <f>IF(ISBLANK(B25), "", IF(ISNUMBER(D25), IF(D25&gt;0, (COUNTIF(E25:AF25, "✓") + COUNTIF(E25:AF25, "✔") + COUNTIF(E25:AF25, "v") + COUNTIF(E25:AF25, "V"))/D25, 0),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"V"))/((COUNTIF(E25:AF25, "✓") + COUNTIF(E25:AF25, "✔") + COUNTIF(E25:AF25, "v") + COUNTIF(E25:AF25, "V")) + COUNTIF(E25:AF25, "✗") + COUNTIF(E25:AF25, "x") + COUNTIF(E25:AF25, "X")), "")))</f>
        <v/>
      </c>
      <c r="AH25" s="28">
        <f>IF(ISBLANK(B25), "", IF(ISNUMBER(D25), IF(D25&gt;0, (COUNTIF(E25:AF25, "✓") + COUNTIF(E25:AF25, "✔") + COUNTIF(E25:AF25, "v") + COUNTIF(E25:AF25, "V")) &amp; "/" &amp; D25, (COUNTIF(E25:AF25, "✓") + COUNTIF(E25:AF25, "✔") + COUNTIF(E25:AF25, "v") + COUNTIF(E25:AF25, "V")) &amp; "/0"),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 &amp; "/" &amp; ((COUNTIF(E25:AF25, "✓") + COUNTIF(E25:AF25, "✔") + COUNTIF(E25:AF25, "v") + COUNTIF(E25:AF25, "V")) + COUNTIF(E25:AF25, "✗") + COUNTIF(E25:AF25, "x") + COUNTIF(E25:AF25, "X")), "")))</f>
        <v/>
      </c>
      <c r="AI25">
        <f>COUNTIF(E25:AF25,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3">
        <f>IF(ISBLANK(B26), "", IF(ISNUMBER(D26), IF(D26&gt;0, (COUNTIF(E26:AF26, "✓") + COUNTIF(E26:AF26, "✔") + COUNTIF(E26:AF26, "v") + COUNTIF(E26:AF26, "V"))/D26, 0),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"V"))/((COUNTIF(E26:AF26, "✓") + COUNTIF(E26:AF26, "✔") + COUNTIF(E26:AF26, "v") + COUNTIF(E26:AF26, "V")) + COUNTIF(E26:AF26, "✗") + COUNTIF(E26:AF26, "x") + COUNTIF(E26:AF26, "X")), "")))</f>
        <v/>
      </c>
      <c r="AH26" s="34">
        <f>IF(ISBLANK(B26), "", IF(ISNUMBER(D26), IF(D26&gt;0, (COUNTIF(E26:AF26, "✓") + COUNTIF(E26:AF26, "✔") + COUNTIF(E26:AF26, "v") + COUNTIF(E26:AF26, "V")) &amp; "/" &amp; D26, (COUNTIF(E26:AF26, "✓") + COUNTIF(E26:AF26, "✔") + COUNTIF(E26:AF26, "v") + COUNTIF(E26:AF26, "V")) &amp; "/0"),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 &amp; "/" &amp; ((COUNTIF(E26:AF26, "✓") + COUNTIF(E26:AF26, "✔") + COUNTIF(E26:AF26, "v") + COUNTIF(E26:AF26, "V")) + COUNTIF(E26:AF26, "✗") + COUNTIF(E26:AF26, "x") + COUNTIF(E26:AF26, "X")), "")))</f>
        <v/>
      </c>
      <c r="AI26">
        <f>COUNTIF(E26:AF26,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3">
        <f>IF(ISBLANK(B27), "", IF(ISNUMBER(D27), IF(D27&gt;0, (COUNTIF(E27:AF27, "✓") + COUNTIF(E27:AF27, "✔") + COUNTIF(E27:AF27, "v") + COUNTIF(E27:AF27, "V"))/D27, 0),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"V"))/((COUNTIF(E27:AF27, "✓") + COUNTIF(E27:AF27, "✔") + COUNTIF(E27:AF27, "v") + COUNTIF(E27:AF27, "V")) + COUNTIF(E27:AF27, "✗") + COUNTIF(E27:AF27, "x") + COUNTIF(E27:AF27, "X")), "")))</f>
        <v/>
      </c>
      <c r="AH27" s="34">
        <f>IF(ISBLANK(B27), "", IF(ISNUMBER(D27), IF(D27&gt;0, (COUNTIF(E27:AF27, "✓") + COUNTIF(E27:AF27, "✔") + COUNTIF(E27:AF27, "v") + COUNTIF(E27:AF27, "V")) &amp; "/" &amp; D27, (COUNTIF(E27:AF27, "✓") + COUNTIF(E27:AF27, "✔") + COUNTIF(E27:AF27, "v") + COUNTIF(E27:AF27, "V")) &amp; "/0"),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 &amp; "/" &amp; ((COUNTIF(E27:AF27, "✓") + COUNTIF(E27:AF27, "✔") + COUNTIF(E27:AF27, "v") + COUNTIF(E27:AF27, "V")) + COUNTIF(E27:AF27, "✗") + COUNTIF(E27:AF27, "x") + COUNTIF(E27:AF27, "X")), "")))</f>
        <v/>
      </c>
      <c r="AI27">
        <f>COUNTIF(E27:AF27,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3">
        <f>IF(ISBLANK(B28), "", IF(ISNUMBER(D28), IF(D28&gt;0, (COUNTIF(E28:AF28, "✓") + COUNTIF(E28:AF28, "✔") + COUNTIF(E28:AF28, "v") + COUNTIF(E28:AF28, "V"))/D28, 0),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"V"))/((COUNTIF(E28:AF28, "✓") + COUNTIF(E28:AF28, "✔") + COUNTIF(E28:AF28, "v") + COUNTIF(E28:AF28, "V")) + COUNTIF(E28:AF28, "✗") + COUNTIF(E28:AF28, "x") + COUNTIF(E28:AF28, "X")), "")))</f>
        <v/>
      </c>
      <c r="AH28" s="34">
        <f>IF(ISBLANK(B28), "", IF(ISNUMBER(D28), IF(D28&gt;0, (COUNTIF(E28:AF28, "✓") + COUNTIF(E28:AF28, "✔") + COUNTIF(E28:AF28, "v") + COUNTIF(E28:AF28, "V")) &amp; "/" &amp; D28, (COUNTIF(E28:AF28, "✓") + COUNTIF(E28:AF28, "✔") + COUNTIF(E28:AF28, "v") + COUNTIF(E28:AF28, "V")) &amp; "/0"),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 &amp; "/" &amp; ((COUNTIF(E28:AF28, "✓") + COUNTIF(E28:AF28, "✔") + COUNTIF(E28:AF28, "v") + COUNTIF(E28:AF28, "V")) + COUNTIF(E28:AF28, "✗") + COUNTIF(E28:AF28, "x") + COUNTIF(E28:AF28, "X")), "")))</f>
        <v/>
      </c>
      <c r="AI28">
        <f>COUNTIF(E28:AF28,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3">
        <f>IF(ISBLANK(B29), "", IF(ISNUMBER(D29), IF(D29&gt;0, (COUNTIF(E29:AF29, "✓") + COUNTIF(E29:AF29, "✔") + COUNTIF(E29:AF29, "v") + COUNTIF(E29:AF29, "V"))/D29, 0),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"V"))/((COUNTIF(E29:AF29, "✓") + COUNTIF(E29:AF29, "✔") + COUNTIF(E29:AF29, "v") + COUNTIF(E29:AF29, "V")) + COUNTIF(E29:AF29, "✗") + COUNTIF(E29:AF29, "x") + COUNTIF(E29:AF29, "X")), "")))</f>
        <v/>
      </c>
      <c r="AH29" s="34">
        <f>IF(ISBLANK(B29), "", IF(ISNUMBER(D29), IF(D29&gt;0, (COUNTIF(E29:AF29, "✓") + COUNTIF(E29:AF29, "✔") + COUNTIF(E29:AF29, "v") + COUNTIF(E29:AF29, "V")) &amp; "/" &amp; D29, (COUNTIF(E29:AF29, "✓") + COUNTIF(E29:AF29, "✔") + COUNTIF(E29:AF29, "v") + COUNTIF(E29:AF29, "V")) &amp; "/0"),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 &amp; "/" &amp; ((COUNTIF(E29:AF29, "✓") + COUNTIF(E29:AF29, "✔") + COUNTIF(E29:AF29, "v") + COUNTIF(E29:AF29, "V")) + COUNTIF(E29:AF29, "✗") + COUNTIF(E29:AF29, "x") + COUNTIF(E29:AF29, "X")), "")))</f>
        <v/>
      </c>
      <c r="AI29">
        <f>COUNTIF(E29:AF29,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9">
        <f>IF(ISBLANK(B30), "", IF(ISNUMBER(D30), IF(D30&gt;0, (COUNTIF(E30:AF30, "✓") + COUNTIF(E30:AF30, "✔") + COUNTIF(E30:AF30, "v") + COUNTIF(E30:AF30, "V"))/D30, 0),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"V"))/((COUNTIF(E30:AF30, "✓") + COUNTIF(E30:AF30, "✔") + COUNTIF(E30:AF30, "v") + COUNTIF(E30:AF30, "V")) + COUNTIF(E30:AF30, "✗") + COUNTIF(E30:AF30, "x") + COUNTIF(E30:AF30, "X")), "")))</f>
        <v/>
      </c>
      <c r="AH30" s="40">
        <f>IF(ISBLANK(B30), "", IF(ISNUMBER(D30), IF(D30&gt;0, (COUNTIF(E30:AF30, "✓") + COUNTIF(E30:AF30, "✔") + COUNTIF(E30:AF30, "v") + COUNTIF(E30:AF30, "V")) &amp; "/" &amp; D30, (COUNTIF(E30:AF30, "✓") + COUNTIF(E30:AF30, "✔") + COUNTIF(E30:AF30, "v") + COUNTIF(E30:AF30, "V")) &amp; "/0"),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 &amp; "/" &amp; ((COUNTIF(E30:AF30, "✓") + COUNTIF(E30:AF30, "✔") + COUNTIF(E30:AF30, "v") + COUNTIF(E30:AF30, "V")) + COUNTIF(E30:AF30, "✗") + COUNTIF(E30:AF30, "x") + COUNTIF(E30:AF30, "X")), "")))</f>
        <v/>
      </c>
      <c r="AI30">
        <f>COUNTIF(E30:AF30,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9">
        <f>IF(ISBLANK(B31), "", IF(ISNUMBER(D31), IF(D31&gt;0, (COUNTIF(E31:AF31, "✓") + COUNTIF(E31:AF31, "✔") + COUNTIF(E31:AF31, "v") + COUNTIF(E31:AF31, "V"))/D31, 0),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"V"))/((COUNTIF(E31:AF31, "✓") + COUNTIF(E31:AF31, "✔") + COUNTIF(E31:AF31, "v") + COUNTIF(E31:AF31, "V")) + COUNTIF(E31:AF31, "✗") + COUNTIF(E31:AF31, "x") + COUNTIF(E31:AF31, "X")), "")))</f>
        <v/>
      </c>
      <c r="AH31" s="40">
        <f>IF(ISBLANK(B31), "", IF(ISNUMBER(D31), IF(D31&gt;0, (COUNTIF(E31:AF31, "✓") + COUNTIF(E31:AF31, "✔") + COUNTIF(E31:AF31, "v") + COUNTIF(E31:AF31, "V")) &amp; "/" &amp; D31, (COUNTIF(E31:AF31, "✓") + COUNTIF(E31:AF31, "✔") + COUNTIF(E31:AF31, "v") + COUNTIF(E31:AF31, "V")) &amp; "/0"),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 &amp; "/" &amp; ((COUNTIF(E31:AF31, "✓") + COUNTIF(E31:AF31, "✔") + COUNTIF(E31:AF31, "v") + COUNTIF(E31:AF31, "V")) + COUNTIF(E31:AF31, "✗") + COUNTIF(E31:AF31, "x") + COUNTIF(E31:AF31, "X")), "")))</f>
        <v/>
      </c>
      <c r="AI31">
        <f>COUNTIF(E31:AF31,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9">
        <f>IF(ISBLANK(B32), "", IF(ISNUMBER(D32), IF(D32&gt;0, (COUNTIF(E32:AF32, "✓") + COUNTIF(E32:AF32, "✔") + COUNTIF(E32:AF32, "v") + COUNTIF(E32:AF32, "V"))/D32, 0),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"V"))/((COUNTIF(E32:AF32, "✓") + COUNTIF(E32:AF32, "✔") + COUNTIF(E32:AF32, "v") + COUNTIF(E32:AF32, "V")) + COUNTIF(E32:AF32, "✗") + COUNTIF(E32:AF32, "x") + COUNTIF(E32:AF32, "X")), "")))</f>
        <v/>
      </c>
      <c r="AH32" s="40">
        <f>IF(ISBLANK(B32), "", IF(ISNUMBER(D32), IF(D32&gt;0, (COUNTIF(E32:AF32, "✓") + COUNTIF(E32:AF32, "✔") + COUNTIF(E32:AF32, "v") + COUNTIF(E32:AF32, "V")) &amp; "/" &amp; D32, (COUNTIF(E32:AF32, "✓") + COUNTIF(E32:AF32, "✔") + COUNTIF(E32:AF32, "v") + COUNTIF(E32:AF32, "V")) &amp; "/0"),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 &amp; "/" &amp; ((COUNTIF(E32:AF32, "✓") + COUNTIF(E32:AF32, "✔") + COUNTIF(E32:AF32, "v") + COUNTIF(E32:AF32, "V")) + COUNTIF(E32:AF32, "✗") + COUNTIF(E32:AF32, "x") + COUNTIF(E32:AF32, "X")), "")))</f>
        <v/>
      </c>
      <c r="AI32">
        <f>COUNTIF(E32:AF32,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9">
        <f>IF(ISBLANK(B33), "", IF(ISNUMBER(D33), IF(D33&gt;0, (COUNTIF(E33:AF33, "✓") + COUNTIF(E33:AF33, "✔") + COUNTIF(E33:AF33, "v") + COUNTIF(E33:AF33, "V"))/D33, 0),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"V"))/((COUNTIF(E33:AF33, "✓") + COUNTIF(E33:AF33, "✔") + COUNTIF(E33:AF33, "v") + COUNTIF(E33:AF33, "V")) + COUNTIF(E33:AF33, "✗") + COUNTIF(E33:AF33, "x") + COUNTIF(E33:AF33, "X")), "")))</f>
        <v/>
      </c>
      <c r="AH33" s="40">
        <f>IF(ISBLANK(B33), "", IF(ISNUMBER(D33), IF(D33&gt;0, (COUNTIF(E33:AF33, "✓") + COUNTIF(E33:AF33, "✔") + COUNTIF(E33:AF33, "v") + COUNTIF(E33:AF33, "V")) &amp; "/" &amp; D33, (COUNTIF(E33:AF33, "✓") + COUNTIF(E33:AF33, "✔") + COUNTIF(E33:AF33, "v") + COUNTIF(E33:AF33, "V")) &amp; "/0"),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 &amp; "/" &amp; ((COUNTIF(E33:AF33, "✓") + COUNTIF(E33:AF33, "✔") + COUNTIF(E33:AF33, "v") + COUNTIF(E33:AF33, "V")) + COUNTIF(E33:AF33, "✗") + COUNTIF(E33:AF33, "x") + COUNTIF(E33:AF33, "X")), "")))</f>
        <v/>
      </c>
      <c r="AI33">
        <f>COUNTIF(E33:AF33,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5">
        <f>IF(ISBLANK(B34), "", IF(ISNUMBER(D34), IF(D34&gt;0, (COUNTIF(E34:AF34, "✓") + COUNTIF(E34:AF34, "✔") + COUNTIF(E34:AF34, "v") + COUNTIF(E34:AF34, "V"))/D34, 0),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"V"))/((COUNTIF(E34:AF34, "✓") + COUNTIF(E34:AF34, "✔") + COUNTIF(E34:AF34, "v") + COUNTIF(E34:AF34, "V")) + COUNTIF(E34:AF34, "✗") + COUNTIF(E34:AF34, "x") + COUNTIF(E34:AF34, "X")), "")))</f>
        <v/>
      </c>
      <c r="AH34" s="46">
        <f>IF(ISBLANK(B34), "", IF(ISNUMBER(D34), IF(D34&gt;0, (COUNTIF(E34:AF34, "✓") + COUNTIF(E34:AF34, "✔") + COUNTIF(E34:AF34, "v") + COUNTIF(E34:AF34, "V")) &amp; "/" &amp; D34, (COUNTIF(E34:AF34, "✓") + COUNTIF(E34:AF34, "✔") + COUNTIF(E34:AF34, "v") + COUNTIF(E34:AF34, "V")) &amp; "/0"),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 &amp; "/" &amp; ((COUNTIF(E34:AF34, "✓") + COUNTIF(E34:AF34, "✔") + COUNTIF(E34:AF34, "v") + COUNTIF(E34:AF34, "V")) + COUNTIF(E34:AF34, "✗") + COUNTIF(E34:AF34, "x") + COUNTIF(E34:AF34, "X")), "")))</f>
        <v/>
      </c>
      <c r="AI34">
        <f>COUNTIF(E34:AF34,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5">
        <f>IF(ISBLANK(B35), "", IF(ISNUMBER(D35), IF(D35&gt;0, (COUNTIF(E35:AF35, "✓") + COUNTIF(E35:AF35, "✔") + COUNTIF(E35:AF35, "v") + COUNTIF(E35:AF35, "V"))/D35, 0),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"V"))/((COUNTIF(E35:AF35, "✓") + COUNTIF(E35:AF35, "✔") + COUNTIF(E35:AF35, "v") + COUNTIF(E35:AF35, "V")) + COUNTIF(E35:AF35, "✗") + COUNTIF(E35:AF35, "x") + COUNTIF(E35:AF35, "X")), "")))</f>
        <v/>
      </c>
      <c r="AH35" s="46">
        <f>IF(ISBLANK(B35), "", IF(ISNUMBER(D35), IF(D35&gt;0, (COUNTIF(E35:AF35, "✓") + COUNTIF(E35:AF35, "✔") + COUNTIF(E35:AF35, "v") + COUNTIF(E35:AF35, "V")) &amp; "/" &amp; D35, (COUNTIF(E35:AF35, "✓") + COUNTIF(E35:AF35, "✔") + COUNTIF(E35:AF35, "v") + COUNTIF(E35:AF35, "V")) &amp; "/0"),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 &amp; "/" &amp; ((COUNTIF(E35:AF35, "✓") + COUNTIF(E35:AF35, "✔") + COUNTIF(E35:AF35, "v") + COUNTIF(E35:AF35, "V")) + COUNTIF(E35:AF35, "✗") + COUNTIF(E35:AF35, "x") + COUNTIF(E35:AF35, "X")), "")))</f>
        <v/>
      </c>
      <c r="AI35">
        <f>COUNTIF(E35:AF35,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5">
        <f>IF(ISBLANK(B36), "", IF(ISNUMBER(D36), IF(D36&gt;0, (COUNTIF(E36:AF36, "✓") + COUNTIF(E36:AF36, "✔") + COUNTIF(E36:AF36, "v") + COUNTIF(E36:AF36, "V"))/D36, 0),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"V"))/((COUNTIF(E36:AF36, "✓") + COUNTIF(E36:AF36, "✔") + COUNTIF(E36:AF36, "v") + COUNTIF(E36:AF36, "V")) + COUNTIF(E36:AF36, "✗") + COUNTIF(E36:AF36, "x") + COUNTIF(E36:AF36, "X")), "")))</f>
        <v/>
      </c>
      <c r="AH36" s="46">
        <f>IF(ISBLANK(B36), "", IF(ISNUMBER(D36), IF(D36&gt;0, (COUNTIF(E36:AF36, "✓") + COUNTIF(E36:AF36, "✔") + COUNTIF(E36:AF36, "v") + COUNTIF(E36:AF36, "V")) &amp; "/" &amp; D36, (COUNTIF(E36:AF36, "✓") + COUNTIF(E36:AF36, "✔") + COUNTIF(E36:AF36, "v") + COUNTIF(E36:AF36, "V")) &amp; "/0"),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 &amp; "/" &amp; ((COUNTIF(E36:AF36, "✓") + COUNTIF(E36:AF36, "✔") + COUNTIF(E36:AF36, "v") + COUNTIF(E36:AF36, "V")) + COUNTIF(E36:AF36, "✗") + COUNTIF(E36:AF36, "x") + COUNTIF(E36:AF36, "X")), "")))</f>
        <v/>
      </c>
      <c r="AI36">
        <f>COUNTIF(E36:AF36,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5">
        <f>IF(ISBLANK(B37), "", IF(ISNUMBER(D37), IF(D37&gt;0, (COUNTIF(E37:AF37, "✓") + COUNTIF(E37:AF37, "✔") + COUNTIF(E37:AF37, "v") + COUNTIF(E37:AF37, "V"))/D37, 0),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"V"))/((COUNTIF(E37:AF37, "✓") + COUNTIF(E37:AF37, "✔") + COUNTIF(E37:AF37, "v") + COUNTIF(E37:AF37, "V")) + COUNTIF(E37:AF37, "✗") + COUNTIF(E37:AF37, "x") + COUNTIF(E37:AF37, "X")), "")))</f>
        <v/>
      </c>
      <c r="AH37" s="46">
        <f>IF(ISBLANK(B37), "", IF(ISNUMBER(D37), IF(D37&gt;0, (COUNTIF(E37:AF37, "✓") + COUNTIF(E37:AF37, "✔") + COUNTIF(E37:AF37, "v") + COUNTIF(E37:AF37, "V")) &amp; "/" &amp; D37, (COUNTIF(E37:AF37, "✓") + COUNTIF(E37:AF37, "✔") + COUNTIF(E37:AF37, "v") + COUNTIF(E37:AF37, "V")) &amp; "/0"),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 &amp; "/" &amp; ((COUNTIF(E37:AF37, "✓") + COUNTIF(E37:AF37, "✔") + COUNTIF(E37:AF37, "v") + COUNTIF(E37:AF37, "V")) + COUNTIF(E37:AF37, "✗") + COUNTIF(E37:AF37, "x") + COUNTIF(E37:AF37, "X")), "")))</f>
        <v/>
      </c>
      <c r="AI37">
        <f>COUNTIF(E37:AF37,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48">
        <f>IF(SUM(D18:D37) &gt; 0, SUM(AI18:AI37) / SUM(D18:D37), "")</f>
        <v/>
      </c>
      <c r="AH38" s="10">
        <f>IF(SUM(D18:D37) &gt; 0, SUM(AI18:AI37)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8">
        <f>IF(COUNT(E39:AF39) &gt; 0, AVERAGE(E39:AF39), "")</f>
        <v/>
      </c>
      <c r="AH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5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5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5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5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</row>
    <row r="46" ht="15" customHeight="1">
      <c r="A46" s="53" t="n"/>
      <c r="B46" s="53" t="n"/>
      <c r="C46" s="53" t="n"/>
      <c r="D46" s="53" t="n"/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SUM(AI18:AI37)/SUM(D18:D37),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COUNTIF(E39:AF39, 1) &amp; " Days"</f>
        <v/>
      </c>
      <c r="L68" s="67" t="n"/>
      <c r="M68" s="67" t="n"/>
      <c r="N68" s="67" t="n"/>
      <c r="P68" s="73">
        <f>IFERROR(TEXT(AVERAGE(E47:AF47),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$AI$18:$AI$37)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$AI$18:$AI$37)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$AI$18:$AI$37)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$AI$18:$AI$37)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N/A</t>
        </is>
      </c>
      <c r="C80" s="83" t="n">
        <v>0</v>
      </c>
      <c r="D80" s="83" t="n">
        <v>0</v>
      </c>
      <c r="E80" s="84" t="n">
        <v>0</v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$AI$18:$AI$37)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COUNTIF(E47:AF47, "&gt;=7")</f>
        <v/>
      </c>
      <c r="H86" s="88" t="n"/>
      <c r="I86" s="89" t="n"/>
      <c r="J86" s="83">
        <f>IFERROR(TEXT(AVERAGEIF(E47:AF47, "&gt;=7"), "0.0") &amp; " hrs", "-")</f>
        <v/>
      </c>
      <c r="K86" s="88" t="n"/>
      <c r="L86" s="88" t="n"/>
      <c r="M86" s="89" t="n"/>
      <c r="N86" s="90">
        <f>IFERROR(AVERAGEIFS(E39:AF39, E47:AF47, "&gt;=7", E39:AF39,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COUNTIF(E47:AF47, "&lt;7") - COUNTIF(E47:AF47, "")</f>
        <v/>
      </c>
      <c r="H87" s="88" t="n"/>
      <c r="I87" s="89" t="n"/>
      <c r="J87" s="83">
        <f>IFERROR(TEXT(AVERAGEIFS(E47:AF47, E47:AF47, "&lt;7", E47:AF47, "&gt;0"), "0.0") &amp; " hrs", "-")</f>
        <v/>
      </c>
      <c r="K87" s="88" t="n"/>
      <c r="L87" s="88" t="n"/>
      <c r="M87" s="89" t="n"/>
      <c r="N87" s="92">
        <f>IFERROR(AVERAGEIFS(E39:AF39, E47:AF47, "&lt;7", E39:AF39,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Feb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SUM(AI18:AI37)</f>
        <v/>
      </c>
      <c r="J92" s="89" t="n"/>
      <c r="K92" s="98">
        <f>IF(G92&gt;0, I92/G92, 0)</f>
        <v/>
      </c>
      <c r="L92" s="89" t="n"/>
      <c r="M92" s="97">
        <f>COUNTIF(E39:AF39, 1)</f>
        <v/>
      </c>
      <c r="N92" s="89" t="n"/>
      <c r="O92" s="99">
        <f>IFERROR(AVERAGE(E47:AF47),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42:AH42"/>
    <mergeCell ref="G87:I87"/>
    <mergeCell ref="A16:A17"/>
    <mergeCell ref="A45:D46"/>
    <mergeCell ref="C16:C17"/>
    <mergeCell ref="N75:O75"/>
    <mergeCell ref="N77:O77"/>
    <mergeCell ref="A88:AF88"/>
    <mergeCell ref="P68:S70"/>
    <mergeCell ref="D16:D17"/>
    <mergeCell ref="N85:Q85"/>
    <mergeCell ref="A90:AF90"/>
    <mergeCell ref="A95:H95"/>
    <mergeCell ref="Q91:S91"/>
    <mergeCell ref="E91:F91"/>
    <mergeCell ref="A8:N8"/>
    <mergeCell ref="G91:H91"/>
    <mergeCell ref="J86:M86"/>
    <mergeCell ref="S95:Z95"/>
    <mergeCell ref="K67:N67"/>
    <mergeCell ref="A41:AH41"/>
    <mergeCell ref="N79:O79"/>
    <mergeCell ref="K92:L92"/>
    <mergeCell ref="C92:D92"/>
    <mergeCell ref="M92:N92"/>
    <mergeCell ref="F71:I71"/>
    <mergeCell ref="K68:N70"/>
    <mergeCell ref="T91:W91"/>
    <mergeCell ref="AG16:AG17"/>
    <mergeCell ref="J95:Q95"/>
    <mergeCell ref="D85:F85"/>
    <mergeCell ref="N74:S74"/>
    <mergeCell ref="F68:I70"/>
    <mergeCell ref="A91:B91"/>
    <mergeCell ref="N78:O78"/>
    <mergeCell ref="C91:D91"/>
    <mergeCell ref="P8:AH8"/>
    <mergeCell ref="M91:N91"/>
    <mergeCell ref="O91:P91"/>
    <mergeCell ref="R86:U86"/>
    <mergeCell ref="N80:O80"/>
    <mergeCell ref="B16:B17"/>
    <mergeCell ref="A71:D71"/>
    <mergeCell ref="J85:M85"/>
    <mergeCell ref="D86:F86"/>
    <mergeCell ref="AB2:AH2"/>
    <mergeCell ref="P7:AH7"/>
    <mergeCell ref="A92:B92"/>
    <mergeCell ref="A93:AF93"/>
    <mergeCell ref="N87:Q87"/>
    <mergeCell ref="E92:F92"/>
    <mergeCell ref="A68:D70"/>
    <mergeCell ref="P71:S71"/>
    <mergeCell ref="A86:C86"/>
    <mergeCell ref="D87:F87"/>
    <mergeCell ref="O92:P92"/>
    <mergeCell ref="A6:N6"/>
    <mergeCell ref="A39:D39"/>
    <mergeCell ref="A84:AF84"/>
    <mergeCell ref="H2:AA2"/>
    <mergeCell ref="G86:I86"/>
    <mergeCell ref="A96:H103"/>
    <mergeCell ref="P6:AH6"/>
    <mergeCell ref="P67:S67"/>
    <mergeCell ref="AH16:AH17"/>
    <mergeCell ref="T92:W92"/>
    <mergeCell ref="H3:AA3"/>
    <mergeCell ref="R85:U85"/>
    <mergeCell ref="K71:N71"/>
    <mergeCell ref="S96:Z103"/>
    <mergeCell ref="A38:D38"/>
    <mergeCell ref="A12:AH14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J87:M87"/>
    <mergeCell ref="P9:AH9"/>
    <mergeCell ref="J96:Q103"/>
    <mergeCell ref="Q92:S92"/>
    <mergeCell ref="A87:C87"/>
    <mergeCell ref="A47:D47"/>
  </mergeCells>
  <conditionalFormatting sqref="E18:AF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MONTH(TODAY())=2, YEAR(TODAY())=2030)</formula>
    </cfRule>
  </conditionalFormatting>
  <conditionalFormatting sqref="F16:F17">
    <cfRule type="expression" priority="7" dxfId="2">
      <formula>AND(DAY(TODAY())=2, MONTH(TODAY())=2, YEAR(TODAY())=2030)</formula>
    </cfRule>
  </conditionalFormatting>
  <conditionalFormatting sqref="G16:G17">
    <cfRule type="expression" priority="8" dxfId="2">
      <formula>AND(DAY(TODAY())=3, MONTH(TODAY())=2, YEAR(TODAY())=2030)</formula>
    </cfRule>
  </conditionalFormatting>
  <conditionalFormatting sqref="H16:H17">
    <cfRule type="expression" priority="9" dxfId="2">
      <formula>AND(DAY(TODAY())=4, MONTH(TODAY())=2, YEAR(TODAY())=2030)</formula>
    </cfRule>
  </conditionalFormatting>
  <conditionalFormatting sqref="I16:I17">
    <cfRule type="expression" priority="10" dxfId="2">
      <formula>AND(DAY(TODAY())=5, MONTH(TODAY())=2, YEAR(TODAY())=2030)</formula>
    </cfRule>
  </conditionalFormatting>
  <conditionalFormatting sqref="J16:J17">
    <cfRule type="expression" priority="11" dxfId="2">
      <formula>AND(DAY(TODAY())=6, MONTH(TODAY())=2, YEAR(TODAY())=2030)</formula>
    </cfRule>
  </conditionalFormatting>
  <conditionalFormatting sqref="K16:K17">
    <cfRule type="expression" priority="12" dxfId="2">
      <formula>AND(DAY(TODAY())=7, MONTH(TODAY())=2, YEAR(TODAY())=2030)</formula>
    </cfRule>
  </conditionalFormatting>
  <conditionalFormatting sqref="L16:L17">
    <cfRule type="expression" priority="13" dxfId="2">
      <formula>AND(DAY(TODAY())=8, MONTH(TODAY())=2, YEAR(TODAY())=2030)</formula>
    </cfRule>
  </conditionalFormatting>
  <conditionalFormatting sqref="M16:M17">
    <cfRule type="expression" priority="14" dxfId="2">
      <formula>AND(DAY(TODAY())=9, MONTH(TODAY())=2, YEAR(TODAY())=2030)</formula>
    </cfRule>
  </conditionalFormatting>
  <conditionalFormatting sqref="N16:N17">
    <cfRule type="expression" priority="15" dxfId="2">
      <formula>AND(DAY(TODAY())=10, MONTH(TODAY())=2, YEAR(TODAY())=2030)</formula>
    </cfRule>
  </conditionalFormatting>
  <conditionalFormatting sqref="O16:O17">
    <cfRule type="expression" priority="16" dxfId="2">
      <formula>AND(DAY(TODAY())=11, MONTH(TODAY())=2, YEAR(TODAY())=2030)</formula>
    </cfRule>
  </conditionalFormatting>
  <conditionalFormatting sqref="P16:P17">
    <cfRule type="expression" priority="17" dxfId="2">
      <formula>AND(DAY(TODAY())=12, MONTH(TODAY())=2, YEAR(TODAY())=2030)</formula>
    </cfRule>
  </conditionalFormatting>
  <conditionalFormatting sqref="Q16:Q17">
    <cfRule type="expression" priority="18" dxfId="2">
      <formula>AND(DAY(TODAY())=13, MONTH(TODAY())=2, YEAR(TODAY())=2030)</formula>
    </cfRule>
  </conditionalFormatting>
  <conditionalFormatting sqref="R16:R17">
    <cfRule type="expression" priority="19" dxfId="2">
      <formula>AND(DAY(TODAY())=14, MONTH(TODAY())=2, YEAR(TODAY())=2030)</formula>
    </cfRule>
  </conditionalFormatting>
  <conditionalFormatting sqref="S16:S17">
    <cfRule type="expression" priority="20" dxfId="2">
      <formula>AND(DAY(TODAY())=15, MONTH(TODAY())=2, YEAR(TODAY())=2030)</formula>
    </cfRule>
  </conditionalFormatting>
  <conditionalFormatting sqref="T16:T17">
    <cfRule type="expression" priority="21" dxfId="2">
      <formula>AND(DAY(TODAY())=16, MONTH(TODAY())=2, YEAR(TODAY())=2030)</formula>
    </cfRule>
  </conditionalFormatting>
  <conditionalFormatting sqref="U16:U17">
    <cfRule type="expression" priority="22" dxfId="2">
      <formula>AND(DAY(TODAY())=17, MONTH(TODAY())=2, YEAR(TODAY())=2030)</formula>
    </cfRule>
  </conditionalFormatting>
  <conditionalFormatting sqref="V16:V17">
    <cfRule type="expression" priority="23" dxfId="2">
      <formula>AND(DAY(TODAY())=18, MONTH(TODAY())=2, YEAR(TODAY())=2030)</formula>
    </cfRule>
  </conditionalFormatting>
  <conditionalFormatting sqref="W16:W17">
    <cfRule type="expression" priority="24" dxfId="2">
      <formula>AND(DAY(TODAY())=19, MONTH(TODAY())=2, YEAR(TODAY())=2030)</formula>
    </cfRule>
  </conditionalFormatting>
  <conditionalFormatting sqref="X16:X17">
    <cfRule type="expression" priority="25" dxfId="2">
      <formula>AND(DAY(TODAY())=20, MONTH(TODAY())=2, YEAR(TODAY())=2030)</formula>
    </cfRule>
  </conditionalFormatting>
  <conditionalFormatting sqref="Y16:Y17">
    <cfRule type="expression" priority="26" dxfId="2">
      <formula>AND(DAY(TODAY())=21, MONTH(TODAY())=2, YEAR(TODAY())=2030)</formula>
    </cfRule>
  </conditionalFormatting>
  <conditionalFormatting sqref="Z16:Z17">
    <cfRule type="expression" priority="27" dxfId="2">
      <formula>AND(DAY(TODAY())=22, MONTH(TODAY())=2, YEAR(TODAY())=2030)</formula>
    </cfRule>
  </conditionalFormatting>
  <conditionalFormatting sqref="AA16:AA17">
    <cfRule type="expression" priority="28" dxfId="2">
      <formula>AND(DAY(TODAY())=23, MONTH(TODAY())=2, YEAR(TODAY())=2030)</formula>
    </cfRule>
  </conditionalFormatting>
  <conditionalFormatting sqref="AB16:AB17">
    <cfRule type="expression" priority="29" dxfId="2">
      <formula>AND(DAY(TODAY())=24, MONTH(TODAY())=2, YEAR(TODAY())=2030)</formula>
    </cfRule>
  </conditionalFormatting>
  <conditionalFormatting sqref="AC16:AC17">
    <cfRule type="expression" priority="30" dxfId="2">
      <formula>AND(DAY(TODAY())=25, MONTH(TODAY())=2, YEAR(TODAY())=2030)</formula>
    </cfRule>
  </conditionalFormatting>
  <conditionalFormatting sqref="AD16:AD17">
    <cfRule type="expression" priority="31" dxfId="2">
      <formula>AND(DAY(TODAY())=26, MONTH(TODAY())=2, YEAR(TODAY())=2030)</formula>
    </cfRule>
  </conditionalFormatting>
  <conditionalFormatting sqref="AE16:AE17">
    <cfRule type="expression" priority="32" dxfId="2">
      <formula>AND(DAY(TODAY())=27, MONTH(TODAY())=2, YEAR(TODAY())=2030)</formula>
    </cfRule>
  </conditionalFormatting>
  <conditionalFormatting sqref="AF16:AF17">
    <cfRule type="expression" priority="33" dxfId="2">
      <formula>AND(DAY(TODAY())=28, MONTH(TODAY())=2,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F37" showDropDown="0" showInputMessage="0" showErrorMessage="0" allowBlank="1" promptTitle="Status" prompt="Select ✓ (Done) or ✗ (Missed)" type="list">
      <formula1>"✓,✗"</formula1>
    </dataValidation>
    <dataValidation sqref="E47:AF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"Action is the foundational key to all success."</t>
        </is>
      </c>
      <c r="AE2" s="3" t="inlineStr">
        <is>
          <t>@surajvansh</t>
        </is>
      </c>
    </row>
    <row r="3" ht="18" customHeight="1">
      <c r="A3" s="4" t="inlineStr">
        <is>
          <t>March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2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2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2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2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2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6" t="inlineStr">
        <is>
          <t>Su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0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0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0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0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6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6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6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6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2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2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2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2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8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8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8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8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4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4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4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4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5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5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5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5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5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  <c r="AI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  <c r="AI47" s="61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Mar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MONTH(TODAY())=3, YEAR(TODAY())=2030)</formula>
    </cfRule>
  </conditionalFormatting>
  <conditionalFormatting sqref="F16:F17">
    <cfRule type="expression" priority="7" dxfId="2">
      <formula>AND(DAY(TODAY())=2, MONTH(TODAY())=3, YEAR(TODAY())=2030)</formula>
    </cfRule>
  </conditionalFormatting>
  <conditionalFormatting sqref="G16:G17">
    <cfRule type="expression" priority="8" dxfId="2">
      <formula>AND(DAY(TODAY())=3, MONTH(TODAY())=3, YEAR(TODAY())=2030)</formula>
    </cfRule>
  </conditionalFormatting>
  <conditionalFormatting sqref="H16:H17">
    <cfRule type="expression" priority="9" dxfId="2">
      <formula>AND(DAY(TODAY())=4, MONTH(TODAY())=3, YEAR(TODAY())=2030)</formula>
    </cfRule>
  </conditionalFormatting>
  <conditionalFormatting sqref="I16:I17">
    <cfRule type="expression" priority="10" dxfId="2">
      <formula>AND(DAY(TODAY())=5, MONTH(TODAY())=3, YEAR(TODAY())=2030)</formula>
    </cfRule>
  </conditionalFormatting>
  <conditionalFormatting sqref="J16:J17">
    <cfRule type="expression" priority="11" dxfId="2">
      <formula>AND(DAY(TODAY())=6, MONTH(TODAY())=3, YEAR(TODAY())=2030)</formula>
    </cfRule>
  </conditionalFormatting>
  <conditionalFormatting sqref="K16:K17">
    <cfRule type="expression" priority="12" dxfId="2">
      <formula>AND(DAY(TODAY())=7, MONTH(TODAY())=3, YEAR(TODAY())=2030)</formula>
    </cfRule>
  </conditionalFormatting>
  <conditionalFormatting sqref="L16:L17">
    <cfRule type="expression" priority="13" dxfId="2">
      <formula>AND(DAY(TODAY())=8, MONTH(TODAY())=3, YEAR(TODAY())=2030)</formula>
    </cfRule>
  </conditionalFormatting>
  <conditionalFormatting sqref="M16:M17">
    <cfRule type="expression" priority="14" dxfId="2">
      <formula>AND(DAY(TODAY())=9, MONTH(TODAY())=3, YEAR(TODAY())=2030)</formula>
    </cfRule>
  </conditionalFormatting>
  <conditionalFormatting sqref="N16:N17">
    <cfRule type="expression" priority="15" dxfId="2">
      <formula>AND(DAY(TODAY())=10, MONTH(TODAY())=3, YEAR(TODAY())=2030)</formula>
    </cfRule>
  </conditionalFormatting>
  <conditionalFormatting sqref="O16:O17">
    <cfRule type="expression" priority="16" dxfId="2">
      <formula>AND(DAY(TODAY())=11, MONTH(TODAY())=3, YEAR(TODAY())=2030)</formula>
    </cfRule>
  </conditionalFormatting>
  <conditionalFormatting sqref="P16:P17">
    <cfRule type="expression" priority="17" dxfId="2">
      <formula>AND(DAY(TODAY())=12, MONTH(TODAY())=3, YEAR(TODAY())=2030)</formula>
    </cfRule>
  </conditionalFormatting>
  <conditionalFormatting sqref="Q16:Q17">
    <cfRule type="expression" priority="18" dxfId="2">
      <formula>AND(DAY(TODAY())=13, MONTH(TODAY())=3, YEAR(TODAY())=2030)</formula>
    </cfRule>
  </conditionalFormatting>
  <conditionalFormatting sqref="R16:R17">
    <cfRule type="expression" priority="19" dxfId="2">
      <formula>AND(DAY(TODAY())=14, MONTH(TODAY())=3, YEAR(TODAY())=2030)</formula>
    </cfRule>
  </conditionalFormatting>
  <conditionalFormatting sqref="S16:S17">
    <cfRule type="expression" priority="20" dxfId="2">
      <formula>AND(DAY(TODAY())=15, MONTH(TODAY())=3, YEAR(TODAY())=2030)</formula>
    </cfRule>
  </conditionalFormatting>
  <conditionalFormatting sqref="T16:T17">
    <cfRule type="expression" priority="21" dxfId="2">
      <formula>AND(DAY(TODAY())=16, MONTH(TODAY())=3, YEAR(TODAY())=2030)</formula>
    </cfRule>
  </conditionalFormatting>
  <conditionalFormatting sqref="U16:U17">
    <cfRule type="expression" priority="22" dxfId="2">
      <formula>AND(DAY(TODAY())=17, MONTH(TODAY())=3, YEAR(TODAY())=2030)</formula>
    </cfRule>
  </conditionalFormatting>
  <conditionalFormatting sqref="V16:V17">
    <cfRule type="expression" priority="23" dxfId="2">
      <formula>AND(DAY(TODAY())=18, MONTH(TODAY())=3, YEAR(TODAY())=2030)</formula>
    </cfRule>
  </conditionalFormatting>
  <conditionalFormatting sqref="W16:W17">
    <cfRule type="expression" priority="24" dxfId="2">
      <formula>AND(DAY(TODAY())=19, MONTH(TODAY())=3, YEAR(TODAY())=2030)</formula>
    </cfRule>
  </conditionalFormatting>
  <conditionalFormatting sqref="X16:X17">
    <cfRule type="expression" priority="25" dxfId="2">
      <formula>AND(DAY(TODAY())=20, MONTH(TODAY())=3, YEAR(TODAY())=2030)</formula>
    </cfRule>
  </conditionalFormatting>
  <conditionalFormatting sqref="Y16:Y17">
    <cfRule type="expression" priority="26" dxfId="2">
      <formula>AND(DAY(TODAY())=21, MONTH(TODAY())=3, YEAR(TODAY())=2030)</formula>
    </cfRule>
  </conditionalFormatting>
  <conditionalFormatting sqref="Z16:Z17">
    <cfRule type="expression" priority="27" dxfId="2">
      <formula>AND(DAY(TODAY())=22, MONTH(TODAY())=3, YEAR(TODAY())=2030)</formula>
    </cfRule>
  </conditionalFormatting>
  <conditionalFormatting sqref="AA16:AA17">
    <cfRule type="expression" priority="28" dxfId="2">
      <formula>AND(DAY(TODAY())=23, MONTH(TODAY())=3, YEAR(TODAY())=2030)</formula>
    </cfRule>
  </conditionalFormatting>
  <conditionalFormatting sqref="AB16:AB17">
    <cfRule type="expression" priority="29" dxfId="2">
      <formula>AND(DAY(TODAY())=24, MONTH(TODAY())=3, YEAR(TODAY())=2030)</formula>
    </cfRule>
  </conditionalFormatting>
  <conditionalFormatting sqref="AC16:AC17">
    <cfRule type="expression" priority="30" dxfId="2">
      <formula>AND(DAY(TODAY())=25, MONTH(TODAY())=3, YEAR(TODAY())=2030)</formula>
    </cfRule>
  </conditionalFormatting>
  <conditionalFormatting sqref="AD16:AD17">
    <cfRule type="expression" priority="31" dxfId="2">
      <formula>AND(DAY(TODAY())=26, MONTH(TODAY())=3, YEAR(TODAY())=2030)</formula>
    </cfRule>
  </conditionalFormatting>
  <conditionalFormatting sqref="AE16:AE17">
    <cfRule type="expression" priority="32" dxfId="2">
      <formula>AND(DAY(TODAY())=27, MONTH(TODAY())=3, YEAR(TODAY())=2030)</formula>
    </cfRule>
  </conditionalFormatting>
  <conditionalFormatting sqref="AF16:AF17">
    <cfRule type="expression" priority="33" dxfId="2">
      <formula>AND(DAY(TODAY())=28, MONTH(TODAY())=3, YEAR(TODAY())=2030)</formula>
    </cfRule>
  </conditionalFormatting>
  <conditionalFormatting sqref="AG16:AG17">
    <cfRule type="expression" priority="34" dxfId="2">
      <formula>AND(DAY(TODAY())=29, MONTH(TODAY())=3, YEAR(TODAY())=2030)</formula>
    </cfRule>
  </conditionalFormatting>
  <conditionalFormatting sqref="AH16:AH17">
    <cfRule type="expression" priority="35" dxfId="2">
      <formula>AND(DAY(TODAY())=30, MONTH(TODAY())=3, YEAR(TODAY())=2030)</formula>
    </cfRule>
  </conditionalFormatting>
  <conditionalFormatting sqref="AI16:AI17">
    <cfRule type="expression" priority="36" dxfId="2">
      <formula>AND(DAY(TODAY())=31, MONTH(TODAY())=3,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"Success is the sum of small efforts repeated daily."</t>
        </is>
      </c>
      <c r="AD2" s="3" t="inlineStr">
        <is>
          <t>@surajvansh</t>
        </is>
      </c>
    </row>
    <row r="3" ht="18" customHeight="1">
      <c r="A3" s="4" t="inlineStr">
        <is>
          <t>April 2030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2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2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2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2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5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5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5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5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Apr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MONTH(TODAY())=4, YEAR(TODAY())=2030)</formula>
    </cfRule>
  </conditionalFormatting>
  <conditionalFormatting sqref="F16:F17">
    <cfRule type="expression" priority="7" dxfId="2">
      <formula>AND(DAY(TODAY())=2, MONTH(TODAY())=4, YEAR(TODAY())=2030)</formula>
    </cfRule>
  </conditionalFormatting>
  <conditionalFormatting sqref="G16:G17">
    <cfRule type="expression" priority="8" dxfId="2">
      <formula>AND(DAY(TODAY())=3, MONTH(TODAY())=4, YEAR(TODAY())=2030)</formula>
    </cfRule>
  </conditionalFormatting>
  <conditionalFormatting sqref="H16:H17">
    <cfRule type="expression" priority="9" dxfId="2">
      <formula>AND(DAY(TODAY())=4, MONTH(TODAY())=4, YEAR(TODAY())=2030)</formula>
    </cfRule>
  </conditionalFormatting>
  <conditionalFormatting sqref="I16:I17">
    <cfRule type="expression" priority="10" dxfId="2">
      <formula>AND(DAY(TODAY())=5, MONTH(TODAY())=4, YEAR(TODAY())=2030)</formula>
    </cfRule>
  </conditionalFormatting>
  <conditionalFormatting sqref="J16:J17">
    <cfRule type="expression" priority="11" dxfId="2">
      <formula>AND(DAY(TODAY())=6, MONTH(TODAY())=4, YEAR(TODAY())=2030)</formula>
    </cfRule>
  </conditionalFormatting>
  <conditionalFormatting sqref="K16:K17">
    <cfRule type="expression" priority="12" dxfId="2">
      <formula>AND(DAY(TODAY())=7, MONTH(TODAY())=4, YEAR(TODAY())=2030)</formula>
    </cfRule>
  </conditionalFormatting>
  <conditionalFormatting sqref="L16:L17">
    <cfRule type="expression" priority="13" dxfId="2">
      <formula>AND(DAY(TODAY())=8, MONTH(TODAY())=4, YEAR(TODAY())=2030)</formula>
    </cfRule>
  </conditionalFormatting>
  <conditionalFormatting sqref="M16:M17">
    <cfRule type="expression" priority="14" dxfId="2">
      <formula>AND(DAY(TODAY())=9, MONTH(TODAY())=4, YEAR(TODAY())=2030)</formula>
    </cfRule>
  </conditionalFormatting>
  <conditionalFormatting sqref="N16:N17">
    <cfRule type="expression" priority="15" dxfId="2">
      <formula>AND(DAY(TODAY())=10, MONTH(TODAY())=4, YEAR(TODAY())=2030)</formula>
    </cfRule>
  </conditionalFormatting>
  <conditionalFormatting sqref="O16:O17">
    <cfRule type="expression" priority="16" dxfId="2">
      <formula>AND(DAY(TODAY())=11, MONTH(TODAY())=4, YEAR(TODAY())=2030)</formula>
    </cfRule>
  </conditionalFormatting>
  <conditionalFormatting sqref="P16:P17">
    <cfRule type="expression" priority="17" dxfId="2">
      <formula>AND(DAY(TODAY())=12, MONTH(TODAY())=4, YEAR(TODAY())=2030)</formula>
    </cfRule>
  </conditionalFormatting>
  <conditionalFormatting sqref="Q16:Q17">
    <cfRule type="expression" priority="18" dxfId="2">
      <formula>AND(DAY(TODAY())=13, MONTH(TODAY())=4, YEAR(TODAY())=2030)</formula>
    </cfRule>
  </conditionalFormatting>
  <conditionalFormatting sqref="R16:R17">
    <cfRule type="expression" priority="19" dxfId="2">
      <formula>AND(DAY(TODAY())=14, MONTH(TODAY())=4, YEAR(TODAY())=2030)</formula>
    </cfRule>
  </conditionalFormatting>
  <conditionalFormatting sqref="S16:S17">
    <cfRule type="expression" priority="20" dxfId="2">
      <formula>AND(DAY(TODAY())=15, MONTH(TODAY())=4, YEAR(TODAY())=2030)</formula>
    </cfRule>
  </conditionalFormatting>
  <conditionalFormatting sqref="T16:T17">
    <cfRule type="expression" priority="21" dxfId="2">
      <formula>AND(DAY(TODAY())=16, MONTH(TODAY())=4, YEAR(TODAY())=2030)</formula>
    </cfRule>
  </conditionalFormatting>
  <conditionalFormatting sqref="U16:U17">
    <cfRule type="expression" priority="22" dxfId="2">
      <formula>AND(DAY(TODAY())=17, MONTH(TODAY())=4, YEAR(TODAY())=2030)</formula>
    </cfRule>
  </conditionalFormatting>
  <conditionalFormatting sqref="V16:V17">
    <cfRule type="expression" priority="23" dxfId="2">
      <formula>AND(DAY(TODAY())=18, MONTH(TODAY())=4, YEAR(TODAY())=2030)</formula>
    </cfRule>
  </conditionalFormatting>
  <conditionalFormatting sqref="W16:W17">
    <cfRule type="expression" priority="24" dxfId="2">
      <formula>AND(DAY(TODAY())=19, MONTH(TODAY())=4, YEAR(TODAY())=2030)</formula>
    </cfRule>
  </conditionalFormatting>
  <conditionalFormatting sqref="X16:X17">
    <cfRule type="expression" priority="25" dxfId="2">
      <formula>AND(DAY(TODAY())=20, MONTH(TODAY())=4, YEAR(TODAY())=2030)</formula>
    </cfRule>
  </conditionalFormatting>
  <conditionalFormatting sqref="Y16:Y17">
    <cfRule type="expression" priority="26" dxfId="2">
      <formula>AND(DAY(TODAY())=21, MONTH(TODAY())=4, YEAR(TODAY())=2030)</formula>
    </cfRule>
  </conditionalFormatting>
  <conditionalFormatting sqref="Z16:Z17">
    <cfRule type="expression" priority="27" dxfId="2">
      <formula>AND(DAY(TODAY())=22, MONTH(TODAY())=4, YEAR(TODAY())=2030)</formula>
    </cfRule>
  </conditionalFormatting>
  <conditionalFormatting sqref="AA16:AA17">
    <cfRule type="expression" priority="28" dxfId="2">
      <formula>AND(DAY(TODAY())=23, MONTH(TODAY())=4, YEAR(TODAY())=2030)</formula>
    </cfRule>
  </conditionalFormatting>
  <conditionalFormatting sqref="AB16:AB17">
    <cfRule type="expression" priority="29" dxfId="2">
      <formula>AND(DAY(TODAY())=24, MONTH(TODAY())=4, YEAR(TODAY())=2030)</formula>
    </cfRule>
  </conditionalFormatting>
  <conditionalFormatting sqref="AC16:AC17">
    <cfRule type="expression" priority="30" dxfId="2">
      <formula>AND(DAY(TODAY())=25, MONTH(TODAY())=4, YEAR(TODAY())=2030)</formula>
    </cfRule>
  </conditionalFormatting>
  <conditionalFormatting sqref="AD16:AD17">
    <cfRule type="expression" priority="31" dxfId="2">
      <formula>AND(DAY(TODAY())=26, MONTH(TODAY())=4, YEAR(TODAY())=2030)</formula>
    </cfRule>
  </conditionalFormatting>
  <conditionalFormatting sqref="AE16:AE17">
    <cfRule type="expression" priority="32" dxfId="2">
      <formula>AND(DAY(TODAY())=27, MONTH(TODAY())=4, YEAR(TODAY())=2030)</formula>
    </cfRule>
  </conditionalFormatting>
  <conditionalFormatting sqref="AF16:AF17">
    <cfRule type="expression" priority="33" dxfId="2">
      <formula>AND(DAY(TODAY())=28, MONTH(TODAY())=4, YEAR(TODAY())=2030)</formula>
    </cfRule>
  </conditionalFormatting>
  <conditionalFormatting sqref="AG16:AG17">
    <cfRule type="expression" priority="34" dxfId="2">
      <formula>AND(DAY(TODAY())=29, MONTH(TODAY())=4, YEAR(TODAY())=2030)</formula>
    </cfRule>
  </conditionalFormatting>
  <conditionalFormatting sqref="AH16:AH17">
    <cfRule type="expression" priority="35" dxfId="2">
      <formula>AND(DAY(TODAY())=30, MONTH(TODAY())=4,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"Energy flows where attention goes."</t>
        </is>
      </c>
      <c r="AE2" s="3" t="inlineStr">
        <is>
          <t>@surajvansh</t>
        </is>
      </c>
    </row>
    <row r="3" ht="18" customHeight="1">
      <c r="A3" s="4" t="inlineStr">
        <is>
          <t>May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2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2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2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2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5" t="inlineStr">
        <is>
          <t>F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5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5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5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5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  <c r="AI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May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MONTH(TODAY())=5, YEAR(TODAY())=2030)</formula>
    </cfRule>
  </conditionalFormatting>
  <conditionalFormatting sqref="F16:F17">
    <cfRule type="expression" priority="7" dxfId="2">
      <formula>AND(DAY(TODAY())=2, MONTH(TODAY())=5, YEAR(TODAY())=2030)</formula>
    </cfRule>
  </conditionalFormatting>
  <conditionalFormatting sqref="G16:G17">
    <cfRule type="expression" priority="8" dxfId="2">
      <formula>AND(DAY(TODAY())=3, MONTH(TODAY())=5, YEAR(TODAY())=2030)</formula>
    </cfRule>
  </conditionalFormatting>
  <conditionalFormatting sqref="H16:H17">
    <cfRule type="expression" priority="9" dxfId="2">
      <formula>AND(DAY(TODAY())=4, MONTH(TODAY())=5, YEAR(TODAY())=2030)</formula>
    </cfRule>
  </conditionalFormatting>
  <conditionalFormatting sqref="I16:I17">
    <cfRule type="expression" priority="10" dxfId="2">
      <formula>AND(DAY(TODAY())=5, MONTH(TODAY())=5, YEAR(TODAY())=2030)</formula>
    </cfRule>
  </conditionalFormatting>
  <conditionalFormatting sqref="J16:J17">
    <cfRule type="expression" priority="11" dxfId="2">
      <formula>AND(DAY(TODAY())=6, MONTH(TODAY())=5, YEAR(TODAY())=2030)</formula>
    </cfRule>
  </conditionalFormatting>
  <conditionalFormatting sqref="K16:K17">
    <cfRule type="expression" priority="12" dxfId="2">
      <formula>AND(DAY(TODAY())=7, MONTH(TODAY())=5, YEAR(TODAY())=2030)</formula>
    </cfRule>
  </conditionalFormatting>
  <conditionalFormatting sqref="L16:L17">
    <cfRule type="expression" priority="13" dxfId="2">
      <formula>AND(DAY(TODAY())=8, MONTH(TODAY())=5, YEAR(TODAY())=2030)</formula>
    </cfRule>
  </conditionalFormatting>
  <conditionalFormatting sqref="M16:M17">
    <cfRule type="expression" priority="14" dxfId="2">
      <formula>AND(DAY(TODAY())=9, MONTH(TODAY())=5, YEAR(TODAY())=2030)</formula>
    </cfRule>
  </conditionalFormatting>
  <conditionalFormatting sqref="N16:N17">
    <cfRule type="expression" priority="15" dxfId="2">
      <formula>AND(DAY(TODAY())=10, MONTH(TODAY())=5, YEAR(TODAY())=2030)</formula>
    </cfRule>
  </conditionalFormatting>
  <conditionalFormatting sqref="O16:O17">
    <cfRule type="expression" priority="16" dxfId="2">
      <formula>AND(DAY(TODAY())=11, MONTH(TODAY())=5, YEAR(TODAY())=2030)</formula>
    </cfRule>
  </conditionalFormatting>
  <conditionalFormatting sqref="P16:P17">
    <cfRule type="expression" priority="17" dxfId="2">
      <formula>AND(DAY(TODAY())=12, MONTH(TODAY())=5, YEAR(TODAY())=2030)</formula>
    </cfRule>
  </conditionalFormatting>
  <conditionalFormatting sqref="Q16:Q17">
    <cfRule type="expression" priority="18" dxfId="2">
      <formula>AND(DAY(TODAY())=13, MONTH(TODAY())=5, YEAR(TODAY())=2030)</formula>
    </cfRule>
  </conditionalFormatting>
  <conditionalFormatting sqref="R16:R17">
    <cfRule type="expression" priority="19" dxfId="2">
      <formula>AND(DAY(TODAY())=14, MONTH(TODAY())=5, YEAR(TODAY())=2030)</formula>
    </cfRule>
  </conditionalFormatting>
  <conditionalFormatting sqref="S16:S17">
    <cfRule type="expression" priority="20" dxfId="2">
      <formula>AND(DAY(TODAY())=15, MONTH(TODAY())=5, YEAR(TODAY())=2030)</formula>
    </cfRule>
  </conditionalFormatting>
  <conditionalFormatting sqref="T16:T17">
    <cfRule type="expression" priority="21" dxfId="2">
      <formula>AND(DAY(TODAY())=16, MONTH(TODAY())=5, YEAR(TODAY())=2030)</formula>
    </cfRule>
  </conditionalFormatting>
  <conditionalFormatting sqref="U16:U17">
    <cfRule type="expression" priority="22" dxfId="2">
      <formula>AND(DAY(TODAY())=17, MONTH(TODAY())=5, YEAR(TODAY())=2030)</formula>
    </cfRule>
  </conditionalFormatting>
  <conditionalFormatting sqref="V16:V17">
    <cfRule type="expression" priority="23" dxfId="2">
      <formula>AND(DAY(TODAY())=18, MONTH(TODAY())=5, YEAR(TODAY())=2030)</formula>
    </cfRule>
  </conditionalFormatting>
  <conditionalFormatting sqref="W16:W17">
    <cfRule type="expression" priority="24" dxfId="2">
      <formula>AND(DAY(TODAY())=19, MONTH(TODAY())=5, YEAR(TODAY())=2030)</formula>
    </cfRule>
  </conditionalFormatting>
  <conditionalFormatting sqref="X16:X17">
    <cfRule type="expression" priority="25" dxfId="2">
      <formula>AND(DAY(TODAY())=20, MONTH(TODAY())=5, YEAR(TODAY())=2030)</formula>
    </cfRule>
  </conditionalFormatting>
  <conditionalFormatting sqref="Y16:Y17">
    <cfRule type="expression" priority="26" dxfId="2">
      <formula>AND(DAY(TODAY())=21, MONTH(TODAY())=5, YEAR(TODAY())=2030)</formula>
    </cfRule>
  </conditionalFormatting>
  <conditionalFormatting sqref="Z16:Z17">
    <cfRule type="expression" priority="27" dxfId="2">
      <formula>AND(DAY(TODAY())=22, MONTH(TODAY())=5, YEAR(TODAY())=2030)</formula>
    </cfRule>
  </conditionalFormatting>
  <conditionalFormatting sqref="AA16:AA17">
    <cfRule type="expression" priority="28" dxfId="2">
      <formula>AND(DAY(TODAY())=23, MONTH(TODAY())=5, YEAR(TODAY())=2030)</formula>
    </cfRule>
  </conditionalFormatting>
  <conditionalFormatting sqref="AB16:AB17">
    <cfRule type="expression" priority="29" dxfId="2">
      <formula>AND(DAY(TODAY())=24, MONTH(TODAY())=5, YEAR(TODAY())=2030)</formula>
    </cfRule>
  </conditionalFormatting>
  <conditionalFormatting sqref="AC16:AC17">
    <cfRule type="expression" priority="30" dxfId="2">
      <formula>AND(DAY(TODAY())=25, MONTH(TODAY())=5, YEAR(TODAY())=2030)</formula>
    </cfRule>
  </conditionalFormatting>
  <conditionalFormatting sqref="AD16:AD17">
    <cfRule type="expression" priority="31" dxfId="2">
      <formula>AND(DAY(TODAY())=26, MONTH(TODAY())=5, YEAR(TODAY())=2030)</formula>
    </cfRule>
  </conditionalFormatting>
  <conditionalFormatting sqref="AE16:AE17">
    <cfRule type="expression" priority="32" dxfId="2">
      <formula>AND(DAY(TODAY())=27, MONTH(TODAY())=5, YEAR(TODAY())=2030)</formula>
    </cfRule>
  </conditionalFormatting>
  <conditionalFormatting sqref="AF16:AF17">
    <cfRule type="expression" priority="33" dxfId="2">
      <formula>AND(DAY(TODAY())=28, MONTH(TODAY())=5, YEAR(TODAY())=2030)</formula>
    </cfRule>
  </conditionalFormatting>
  <conditionalFormatting sqref="AG16:AG17">
    <cfRule type="expression" priority="34" dxfId="2">
      <formula>AND(DAY(TODAY())=29, MONTH(TODAY())=5, YEAR(TODAY())=2030)</formula>
    </cfRule>
  </conditionalFormatting>
  <conditionalFormatting sqref="AH16:AH17">
    <cfRule type="expression" priority="35" dxfId="2">
      <formula>AND(DAY(TODAY())=30, MONTH(TODAY())=5, YEAR(TODAY())=2030)</formula>
    </cfRule>
  </conditionalFormatting>
  <conditionalFormatting sqref="AI16:AI17">
    <cfRule type="expression" priority="36" dxfId="2">
      <formula>AND(DAY(TODAY())=31, MONTH(TODAY())=5,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"Your future is created by what you do today."</t>
        </is>
      </c>
      <c r="AD2" s="3" t="inlineStr">
        <is>
          <t>@surajvansh</t>
        </is>
      </c>
    </row>
    <row r="3" ht="18" customHeight="1">
      <c r="A3" s="4" t="inlineStr">
        <is>
          <t>June 2030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2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2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2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2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2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5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5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5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5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5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Jun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MONTH(TODAY())=6, YEAR(TODAY())=2030)</formula>
    </cfRule>
  </conditionalFormatting>
  <conditionalFormatting sqref="F16:F17">
    <cfRule type="expression" priority="7" dxfId="2">
      <formula>AND(DAY(TODAY())=2, MONTH(TODAY())=6, YEAR(TODAY())=2030)</formula>
    </cfRule>
  </conditionalFormatting>
  <conditionalFormatting sqref="G16:G17">
    <cfRule type="expression" priority="8" dxfId="2">
      <formula>AND(DAY(TODAY())=3, MONTH(TODAY())=6, YEAR(TODAY())=2030)</formula>
    </cfRule>
  </conditionalFormatting>
  <conditionalFormatting sqref="H16:H17">
    <cfRule type="expression" priority="9" dxfId="2">
      <formula>AND(DAY(TODAY())=4, MONTH(TODAY())=6, YEAR(TODAY())=2030)</formula>
    </cfRule>
  </conditionalFormatting>
  <conditionalFormatting sqref="I16:I17">
    <cfRule type="expression" priority="10" dxfId="2">
      <formula>AND(DAY(TODAY())=5, MONTH(TODAY())=6, YEAR(TODAY())=2030)</formula>
    </cfRule>
  </conditionalFormatting>
  <conditionalFormatting sqref="J16:J17">
    <cfRule type="expression" priority="11" dxfId="2">
      <formula>AND(DAY(TODAY())=6, MONTH(TODAY())=6, YEAR(TODAY())=2030)</formula>
    </cfRule>
  </conditionalFormatting>
  <conditionalFormatting sqref="K16:K17">
    <cfRule type="expression" priority="12" dxfId="2">
      <formula>AND(DAY(TODAY())=7, MONTH(TODAY())=6, YEAR(TODAY())=2030)</formula>
    </cfRule>
  </conditionalFormatting>
  <conditionalFormatting sqref="L16:L17">
    <cfRule type="expression" priority="13" dxfId="2">
      <formula>AND(DAY(TODAY())=8, MONTH(TODAY())=6, YEAR(TODAY())=2030)</formula>
    </cfRule>
  </conditionalFormatting>
  <conditionalFormatting sqref="M16:M17">
    <cfRule type="expression" priority="14" dxfId="2">
      <formula>AND(DAY(TODAY())=9, MONTH(TODAY())=6, YEAR(TODAY())=2030)</formula>
    </cfRule>
  </conditionalFormatting>
  <conditionalFormatting sqref="N16:N17">
    <cfRule type="expression" priority="15" dxfId="2">
      <formula>AND(DAY(TODAY())=10, MONTH(TODAY())=6, YEAR(TODAY())=2030)</formula>
    </cfRule>
  </conditionalFormatting>
  <conditionalFormatting sqref="O16:O17">
    <cfRule type="expression" priority="16" dxfId="2">
      <formula>AND(DAY(TODAY())=11, MONTH(TODAY())=6, YEAR(TODAY())=2030)</formula>
    </cfRule>
  </conditionalFormatting>
  <conditionalFormatting sqref="P16:P17">
    <cfRule type="expression" priority="17" dxfId="2">
      <formula>AND(DAY(TODAY())=12, MONTH(TODAY())=6, YEAR(TODAY())=2030)</formula>
    </cfRule>
  </conditionalFormatting>
  <conditionalFormatting sqref="Q16:Q17">
    <cfRule type="expression" priority="18" dxfId="2">
      <formula>AND(DAY(TODAY())=13, MONTH(TODAY())=6, YEAR(TODAY())=2030)</formula>
    </cfRule>
  </conditionalFormatting>
  <conditionalFormatting sqref="R16:R17">
    <cfRule type="expression" priority="19" dxfId="2">
      <formula>AND(DAY(TODAY())=14, MONTH(TODAY())=6, YEAR(TODAY())=2030)</formula>
    </cfRule>
  </conditionalFormatting>
  <conditionalFormatting sqref="S16:S17">
    <cfRule type="expression" priority="20" dxfId="2">
      <formula>AND(DAY(TODAY())=15, MONTH(TODAY())=6, YEAR(TODAY())=2030)</formula>
    </cfRule>
  </conditionalFormatting>
  <conditionalFormatting sqref="T16:T17">
    <cfRule type="expression" priority="21" dxfId="2">
      <formula>AND(DAY(TODAY())=16, MONTH(TODAY())=6, YEAR(TODAY())=2030)</formula>
    </cfRule>
  </conditionalFormatting>
  <conditionalFormatting sqref="U16:U17">
    <cfRule type="expression" priority="22" dxfId="2">
      <formula>AND(DAY(TODAY())=17, MONTH(TODAY())=6, YEAR(TODAY())=2030)</formula>
    </cfRule>
  </conditionalFormatting>
  <conditionalFormatting sqref="V16:V17">
    <cfRule type="expression" priority="23" dxfId="2">
      <formula>AND(DAY(TODAY())=18, MONTH(TODAY())=6, YEAR(TODAY())=2030)</formula>
    </cfRule>
  </conditionalFormatting>
  <conditionalFormatting sqref="W16:W17">
    <cfRule type="expression" priority="24" dxfId="2">
      <formula>AND(DAY(TODAY())=19, MONTH(TODAY())=6, YEAR(TODAY())=2030)</formula>
    </cfRule>
  </conditionalFormatting>
  <conditionalFormatting sqref="X16:X17">
    <cfRule type="expression" priority="25" dxfId="2">
      <formula>AND(DAY(TODAY())=20, MONTH(TODAY())=6, YEAR(TODAY())=2030)</formula>
    </cfRule>
  </conditionalFormatting>
  <conditionalFormatting sqref="Y16:Y17">
    <cfRule type="expression" priority="26" dxfId="2">
      <formula>AND(DAY(TODAY())=21, MONTH(TODAY())=6, YEAR(TODAY())=2030)</formula>
    </cfRule>
  </conditionalFormatting>
  <conditionalFormatting sqref="Z16:Z17">
    <cfRule type="expression" priority="27" dxfId="2">
      <formula>AND(DAY(TODAY())=22, MONTH(TODAY())=6, YEAR(TODAY())=2030)</formula>
    </cfRule>
  </conditionalFormatting>
  <conditionalFormatting sqref="AA16:AA17">
    <cfRule type="expression" priority="28" dxfId="2">
      <formula>AND(DAY(TODAY())=23, MONTH(TODAY())=6, YEAR(TODAY())=2030)</formula>
    </cfRule>
  </conditionalFormatting>
  <conditionalFormatting sqref="AB16:AB17">
    <cfRule type="expression" priority="29" dxfId="2">
      <formula>AND(DAY(TODAY())=24, MONTH(TODAY())=6, YEAR(TODAY())=2030)</formula>
    </cfRule>
  </conditionalFormatting>
  <conditionalFormatting sqref="AC16:AC17">
    <cfRule type="expression" priority="30" dxfId="2">
      <formula>AND(DAY(TODAY())=25, MONTH(TODAY())=6, YEAR(TODAY())=2030)</formula>
    </cfRule>
  </conditionalFormatting>
  <conditionalFormatting sqref="AD16:AD17">
    <cfRule type="expression" priority="31" dxfId="2">
      <formula>AND(DAY(TODAY())=26, MONTH(TODAY())=6, YEAR(TODAY())=2030)</formula>
    </cfRule>
  </conditionalFormatting>
  <conditionalFormatting sqref="AE16:AE17">
    <cfRule type="expression" priority="32" dxfId="2">
      <formula>AND(DAY(TODAY())=27, MONTH(TODAY())=6, YEAR(TODAY())=2030)</formula>
    </cfRule>
  </conditionalFormatting>
  <conditionalFormatting sqref="AF16:AF17">
    <cfRule type="expression" priority="33" dxfId="2">
      <formula>AND(DAY(TODAY())=28, MONTH(TODAY())=6, YEAR(TODAY())=2030)</formula>
    </cfRule>
  </conditionalFormatting>
  <conditionalFormatting sqref="AG16:AG17">
    <cfRule type="expression" priority="34" dxfId="2">
      <formula>AND(DAY(TODAY())=29, MONTH(TODAY())=6, YEAR(TODAY())=2030)</formula>
    </cfRule>
  </conditionalFormatting>
  <conditionalFormatting sqref="AH16:AH17">
    <cfRule type="expression" priority="35" dxfId="2">
      <formula>AND(DAY(TODAY())=30, MONTH(TODAY())=6,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"Mastery is a journey, not a destination."</t>
        </is>
      </c>
      <c r="AE2" s="3" t="inlineStr">
        <is>
          <t>@surajvansh</t>
        </is>
      </c>
    </row>
    <row r="3" ht="18" customHeight="1">
      <c r="A3" s="4" t="inlineStr">
        <is>
          <t>July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2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2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2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2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5" t="inlineStr">
        <is>
          <t>W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5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5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5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5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  <c r="AI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Jul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MONTH(TODAY())=7, YEAR(TODAY())=2030)</formula>
    </cfRule>
  </conditionalFormatting>
  <conditionalFormatting sqref="F16:F17">
    <cfRule type="expression" priority="7" dxfId="2">
      <formula>AND(DAY(TODAY())=2, MONTH(TODAY())=7, YEAR(TODAY())=2030)</formula>
    </cfRule>
  </conditionalFormatting>
  <conditionalFormatting sqref="G16:G17">
    <cfRule type="expression" priority="8" dxfId="2">
      <formula>AND(DAY(TODAY())=3, MONTH(TODAY())=7, YEAR(TODAY())=2030)</formula>
    </cfRule>
  </conditionalFormatting>
  <conditionalFormatting sqref="H16:H17">
    <cfRule type="expression" priority="9" dxfId="2">
      <formula>AND(DAY(TODAY())=4, MONTH(TODAY())=7, YEAR(TODAY())=2030)</formula>
    </cfRule>
  </conditionalFormatting>
  <conditionalFormatting sqref="I16:I17">
    <cfRule type="expression" priority="10" dxfId="2">
      <formula>AND(DAY(TODAY())=5, MONTH(TODAY())=7, YEAR(TODAY())=2030)</formula>
    </cfRule>
  </conditionalFormatting>
  <conditionalFormatting sqref="J16:J17">
    <cfRule type="expression" priority="11" dxfId="2">
      <formula>AND(DAY(TODAY())=6, MONTH(TODAY())=7, YEAR(TODAY())=2030)</formula>
    </cfRule>
  </conditionalFormatting>
  <conditionalFormatting sqref="K16:K17">
    <cfRule type="expression" priority="12" dxfId="2">
      <formula>AND(DAY(TODAY())=7, MONTH(TODAY())=7, YEAR(TODAY())=2030)</formula>
    </cfRule>
  </conditionalFormatting>
  <conditionalFormatting sqref="L16:L17">
    <cfRule type="expression" priority="13" dxfId="2">
      <formula>AND(DAY(TODAY())=8, MONTH(TODAY())=7, YEAR(TODAY())=2030)</formula>
    </cfRule>
  </conditionalFormatting>
  <conditionalFormatting sqref="M16:M17">
    <cfRule type="expression" priority="14" dxfId="2">
      <formula>AND(DAY(TODAY())=9, MONTH(TODAY())=7, YEAR(TODAY())=2030)</formula>
    </cfRule>
  </conditionalFormatting>
  <conditionalFormatting sqref="N16:N17">
    <cfRule type="expression" priority="15" dxfId="2">
      <formula>AND(DAY(TODAY())=10, MONTH(TODAY())=7, YEAR(TODAY())=2030)</formula>
    </cfRule>
  </conditionalFormatting>
  <conditionalFormatting sqref="O16:O17">
    <cfRule type="expression" priority="16" dxfId="2">
      <formula>AND(DAY(TODAY())=11, MONTH(TODAY())=7, YEAR(TODAY())=2030)</formula>
    </cfRule>
  </conditionalFormatting>
  <conditionalFormatting sqref="P16:P17">
    <cfRule type="expression" priority="17" dxfId="2">
      <formula>AND(DAY(TODAY())=12, MONTH(TODAY())=7, YEAR(TODAY())=2030)</formula>
    </cfRule>
  </conditionalFormatting>
  <conditionalFormatting sqref="Q16:Q17">
    <cfRule type="expression" priority="18" dxfId="2">
      <formula>AND(DAY(TODAY())=13, MONTH(TODAY())=7, YEAR(TODAY())=2030)</formula>
    </cfRule>
  </conditionalFormatting>
  <conditionalFormatting sqref="R16:R17">
    <cfRule type="expression" priority="19" dxfId="2">
      <formula>AND(DAY(TODAY())=14, MONTH(TODAY())=7, YEAR(TODAY())=2030)</formula>
    </cfRule>
  </conditionalFormatting>
  <conditionalFormatting sqref="S16:S17">
    <cfRule type="expression" priority="20" dxfId="2">
      <formula>AND(DAY(TODAY())=15, MONTH(TODAY())=7, YEAR(TODAY())=2030)</formula>
    </cfRule>
  </conditionalFormatting>
  <conditionalFormatting sqref="T16:T17">
    <cfRule type="expression" priority="21" dxfId="2">
      <formula>AND(DAY(TODAY())=16, MONTH(TODAY())=7, YEAR(TODAY())=2030)</formula>
    </cfRule>
  </conditionalFormatting>
  <conditionalFormatting sqref="U16:U17">
    <cfRule type="expression" priority="22" dxfId="2">
      <formula>AND(DAY(TODAY())=17, MONTH(TODAY())=7, YEAR(TODAY())=2030)</formula>
    </cfRule>
  </conditionalFormatting>
  <conditionalFormatting sqref="V16:V17">
    <cfRule type="expression" priority="23" dxfId="2">
      <formula>AND(DAY(TODAY())=18, MONTH(TODAY())=7, YEAR(TODAY())=2030)</formula>
    </cfRule>
  </conditionalFormatting>
  <conditionalFormatting sqref="W16:W17">
    <cfRule type="expression" priority="24" dxfId="2">
      <formula>AND(DAY(TODAY())=19, MONTH(TODAY())=7, YEAR(TODAY())=2030)</formula>
    </cfRule>
  </conditionalFormatting>
  <conditionalFormatting sqref="X16:X17">
    <cfRule type="expression" priority="25" dxfId="2">
      <formula>AND(DAY(TODAY())=20, MONTH(TODAY())=7, YEAR(TODAY())=2030)</formula>
    </cfRule>
  </conditionalFormatting>
  <conditionalFormatting sqref="Y16:Y17">
    <cfRule type="expression" priority="26" dxfId="2">
      <formula>AND(DAY(TODAY())=21, MONTH(TODAY())=7, YEAR(TODAY())=2030)</formula>
    </cfRule>
  </conditionalFormatting>
  <conditionalFormatting sqref="Z16:Z17">
    <cfRule type="expression" priority="27" dxfId="2">
      <formula>AND(DAY(TODAY())=22, MONTH(TODAY())=7, YEAR(TODAY())=2030)</formula>
    </cfRule>
  </conditionalFormatting>
  <conditionalFormatting sqref="AA16:AA17">
    <cfRule type="expression" priority="28" dxfId="2">
      <formula>AND(DAY(TODAY())=23, MONTH(TODAY())=7, YEAR(TODAY())=2030)</formula>
    </cfRule>
  </conditionalFormatting>
  <conditionalFormatting sqref="AB16:AB17">
    <cfRule type="expression" priority="29" dxfId="2">
      <formula>AND(DAY(TODAY())=24, MONTH(TODAY())=7, YEAR(TODAY())=2030)</formula>
    </cfRule>
  </conditionalFormatting>
  <conditionalFormatting sqref="AC16:AC17">
    <cfRule type="expression" priority="30" dxfId="2">
      <formula>AND(DAY(TODAY())=25, MONTH(TODAY())=7, YEAR(TODAY())=2030)</formula>
    </cfRule>
  </conditionalFormatting>
  <conditionalFormatting sqref="AD16:AD17">
    <cfRule type="expression" priority="31" dxfId="2">
      <formula>AND(DAY(TODAY())=26, MONTH(TODAY())=7, YEAR(TODAY())=2030)</formula>
    </cfRule>
  </conditionalFormatting>
  <conditionalFormatting sqref="AE16:AE17">
    <cfRule type="expression" priority="32" dxfId="2">
      <formula>AND(DAY(TODAY())=27, MONTH(TODAY())=7, YEAR(TODAY())=2030)</formula>
    </cfRule>
  </conditionalFormatting>
  <conditionalFormatting sqref="AF16:AF17">
    <cfRule type="expression" priority="33" dxfId="2">
      <formula>AND(DAY(TODAY())=28, MONTH(TODAY())=7, YEAR(TODAY())=2030)</formula>
    </cfRule>
  </conditionalFormatting>
  <conditionalFormatting sqref="AG16:AG17">
    <cfRule type="expression" priority="34" dxfId="2">
      <formula>AND(DAY(TODAY())=29, MONTH(TODAY())=7, YEAR(TODAY())=2030)</formula>
    </cfRule>
  </conditionalFormatting>
  <conditionalFormatting sqref="AH16:AH17">
    <cfRule type="expression" priority="35" dxfId="2">
      <formula>AND(DAY(TODAY())=30, MONTH(TODAY())=7, YEAR(TODAY())=2030)</formula>
    </cfRule>
  </conditionalFormatting>
  <conditionalFormatting sqref="AI16:AI17">
    <cfRule type="expression" priority="36" dxfId="2">
      <formula>AND(DAY(TODAY())=31, MONTH(TODAY())=7,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"Consistency creates momentum."</t>
        </is>
      </c>
      <c r="AE2" s="3" t="inlineStr">
        <is>
          <t>@surajvansh</t>
        </is>
      </c>
    </row>
    <row r="3" ht="18" customHeight="1">
      <c r="A3" s="4" t="inlineStr">
        <is>
          <t>August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2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2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2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2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5" t="inlineStr">
        <is>
          <t>Sa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5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5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5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5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  <c r="AI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Aug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MONTH(TODAY())=8, YEAR(TODAY())=2030)</formula>
    </cfRule>
  </conditionalFormatting>
  <conditionalFormatting sqref="F16:F17">
    <cfRule type="expression" priority="7" dxfId="2">
      <formula>AND(DAY(TODAY())=2, MONTH(TODAY())=8, YEAR(TODAY())=2030)</formula>
    </cfRule>
  </conditionalFormatting>
  <conditionalFormatting sqref="G16:G17">
    <cfRule type="expression" priority="8" dxfId="2">
      <formula>AND(DAY(TODAY())=3, MONTH(TODAY())=8, YEAR(TODAY())=2030)</formula>
    </cfRule>
  </conditionalFormatting>
  <conditionalFormatting sqref="H16:H17">
    <cfRule type="expression" priority="9" dxfId="2">
      <formula>AND(DAY(TODAY())=4, MONTH(TODAY())=8, YEAR(TODAY())=2030)</formula>
    </cfRule>
  </conditionalFormatting>
  <conditionalFormatting sqref="I16:I17">
    <cfRule type="expression" priority="10" dxfId="2">
      <formula>AND(DAY(TODAY())=5, MONTH(TODAY())=8, YEAR(TODAY())=2030)</formula>
    </cfRule>
  </conditionalFormatting>
  <conditionalFormatting sqref="J16:J17">
    <cfRule type="expression" priority="11" dxfId="2">
      <formula>AND(DAY(TODAY())=6, MONTH(TODAY())=8, YEAR(TODAY())=2030)</formula>
    </cfRule>
  </conditionalFormatting>
  <conditionalFormatting sqref="K16:K17">
    <cfRule type="expression" priority="12" dxfId="2">
      <formula>AND(DAY(TODAY())=7, MONTH(TODAY())=8, YEAR(TODAY())=2030)</formula>
    </cfRule>
  </conditionalFormatting>
  <conditionalFormatting sqref="L16:L17">
    <cfRule type="expression" priority="13" dxfId="2">
      <formula>AND(DAY(TODAY())=8, MONTH(TODAY())=8, YEAR(TODAY())=2030)</formula>
    </cfRule>
  </conditionalFormatting>
  <conditionalFormatting sqref="M16:M17">
    <cfRule type="expression" priority="14" dxfId="2">
      <formula>AND(DAY(TODAY())=9, MONTH(TODAY())=8, YEAR(TODAY())=2030)</formula>
    </cfRule>
  </conditionalFormatting>
  <conditionalFormatting sqref="N16:N17">
    <cfRule type="expression" priority="15" dxfId="2">
      <formula>AND(DAY(TODAY())=10, MONTH(TODAY())=8, YEAR(TODAY())=2030)</formula>
    </cfRule>
  </conditionalFormatting>
  <conditionalFormatting sqref="O16:O17">
    <cfRule type="expression" priority="16" dxfId="2">
      <formula>AND(DAY(TODAY())=11, MONTH(TODAY())=8, YEAR(TODAY())=2030)</formula>
    </cfRule>
  </conditionalFormatting>
  <conditionalFormatting sqref="P16:P17">
    <cfRule type="expression" priority="17" dxfId="2">
      <formula>AND(DAY(TODAY())=12, MONTH(TODAY())=8, YEAR(TODAY())=2030)</formula>
    </cfRule>
  </conditionalFormatting>
  <conditionalFormatting sqref="Q16:Q17">
    <cfRule type="expression" priority="18" dxfId="2">
      <formula>AND(DAY(TODAY())=13, MONTH(TODAY())=8, YEAR(TODAY())=2030)</formula>
    </cfRule>
  </conditionalFormatting>
  <conditionalFormatting sqref="R16:R17">
    <cfRule type="expression" priority="19" dxfId="2">
      <formula>AND(DAY(TODAY())=14, MONTH(TODAY())=8, YEAR(TODAY())=2030)</formula>
    </cfRule>
  </conditionalFormatting>
  <conditionalFormatting sqref="S16:S17">
    <cfRule type="expression" priority="20" dxfId="2">
      <formula>AND(DAY(TODAY())=15, MONTH(TODAY())=8, YEAR(TODAY())=2030)</formula>
    </cfRule>
  </conditionalFormatting>
  <conditionalFormatting sqref="T16:T17">
    <cfRule type="expression" priority="21" dxfId="2">
      <formula>AND(DAY(TODAY())=16, MONTH(TODAY())=8, YEAR(TODAY())=2030)</formula>
    </cfRule>
  </conditionalFormatting>
  <conditionalFormatting sqref="U16:U17">
    <cfRule type="expression" priority="22" dxfId="2">
      <formula>AND(DAY(TODAY())=17, MONTH(TODAY())=8, YEAR(TODAY())=2030)</formula>
    </cfRule>
  </conditionalFormatting>
  <conditionalFormatting sqref="V16:V17">
    <cfRule type="expression" priority="23" dxfId="2">
      <formula>AND(DAY(TODAY())=18, MONTH(TODAY())=8, YEAR(TODAY())=2030)</formula>
    </cfRule>
  </conditionalFormatting>
  <conditionalFormatting sqref="W16:W17">
    <cfRule type="expression" priority="24" dxfId="2">
      <formula>AND(DAY(TODAY())=19, MONTH(TODAY())=8, YEAR(TODAY())=2030)</formula>
    </cfRule>
  </conditionalFormatting>
  <conditionalFormatting sqref="X16:X17">
    <cfRule type="expression" priority="25" dxfId="2">
      <formula>AND(DAY(TODAY())=20, MONTH(TODAY())=8, YEAR(TODAY())=2030)</formula>
    </cfRule>
  </conditionalFormatting>
  <conditionalFormatting sqref="Y16:Y17">
    <cfRule type="expression" priority="26" dxfId="2">
      <formula>AND(DAY(TODAY())=21, MONTH(TODAY())=8, YEAR(TODAY())=2030)</formula>
    </cfRule>
  </conditionalFormatting>
  <conditionalFormatting sqref="Z16:Z17">
    <cfRule type="expression" priority="27" dxfId="2">
      <formula>AND(DAY(TODAY())=22, MONTH(TODAY())=8, YEAR(TODAY())=2030)</formula>
    </cfRule>
  </conditionalFormatting>
  <conditionalFormatting sqref="AA16:AA17">
    <cfRule type="expression" priority="28" dxfId="2">
      <formula>AND(DAY(TODAY())=23, MONTH(TODAY())=8, YEAR(TODAY())=2030)</formula>
    </cfRule>
  </conditionalFormatting>
  <conditionalFormatting sqref="AB16:AB17">
    <cfRule type="expression" priority="29" dxfId="2">
      <formula>AND(DAY(TODAY())=24, MONTH(TODAY())=8, YEAR(TODAY())=2030)</formula>
    </cfRule>
  </conditionalFormatting>
  <conditionalFormatting sqref="AC16:AC17">
    <cfRule type="expression" priority="30" dxfId="2">
      <formula>AND(DAY(TODAY())=25, MONTH(TODAY())=8, YEAR(TODAY())=2030)</formula>
    </cfRule>
  </conditionalFormatting>
  <conditionalFormatting sqref="AD16:AD17">
    <cfRule type="expression" priority="31" dxfId="2">
      <formula>AND(DAY(TODAY())=26, MONTH(TODAY())=8, YEAR(TODAY())=2030)</formula>
    </cfRule>
  </conditionalFormatting>
  <conditionalFormatting sqref="AE16:AE17">
    <cfRule type="expression" priority="32" dxfId="2">
      <formula>AND(DAY(TODAY())=27, MONTH(TODAY())=8, YEAR(TODAY())=2030)</formula>
    </cfRule>
  </conditionalFormatting>
  <conditionalFormatting sqref="AF16:AF17">
    <cfRule type="expression" priority="33" dxfId="2">
      <formula>AND(DAY(TODAY())=28, MONTH(TODAY())=8, YEAR(TODAY())=2030)</formula>
    </cfRule>
  </conditionalFormatting>
  <conditionalFormatting sqref="AG16:AG17">
    <cfRule type="expression" priority="34" dxfId="2">
      <formula>AND(DAY(TODAY())=29, MONTH(TODAY())=8, YEAR(TODAY())=2030)</formula>
    </cfRule>
  </conditionalFormatting>
  <conditionalFormatting sqref="AH16:AH17">
    <cfRule type="expression" priority="35" dxfId="2">
      <formula>AND(DAY(TODAY())=30, MONTH(TODAY())=8, YEAR(TODAY())=2030)</formula>
    </cfRule>
  </conditionalFormatting>
  <conditionalFormatting sqref="AI16:AI17">
    <cfRule type="expression" priority="36" dxfId="2">
      <formula>AND(DAY(TODAY())=31, MONTH(TODAY())=8,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D2" s="3" t="inlineStr">
        <is>
          <t>@surajvansh</t>
        </is>
      </c>
    </row>
    <row r="3" ht="18" customHeight="1">
      <c r="A3" s="4" t="inlineStr">
        <is>
          <t>September 2030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2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2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2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2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2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5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5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5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5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5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Sep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MONTH(TODAY())=9, YEAR(TODAY())=2030)</formula>
    </cfRule>
  </conditionalFormatting>
  <conditionalFormatting sqref="F16:F17">
    <cfRule type="expression" priority="7" dxfId="2">
      <formula>AND(DAY(TODAY())=2, MONTH(TODAY())=9, YEAR(TODAY())=2030)</formula>
    </cfRule>
  </conditionalFormatting>
  <conditionalFormatting sqref="G16:G17">
    <cfRule type="expression" priority="8" dxfId="2">
      <formula>AND(DAY(TODAY())=3, MONTH(TODAY())=9, YEAR(TODAY())=2030)</formula>
    </cfRule>
  </conditionalFormatting>
  <conditionalFormatting sqref="H16:H17">
    <cfRule type="expression" priority="9" dxfId="2">
      <formula>AND(DAY(TODAY())=4, MONTH(TODAY())=9, YEAR(TODAY())=2030)</formula>
    </cfRule>
  </conditionalFormatting>
  <conditionalFormatting sqref="I16:I17">
    <cfRule type="expression" priority="10" dxfId="2">
      <formula>AND(DAY(TODAY())=5, MONTH(TODAY())=9, YEAR(TODAY())=2030)</formula>
    </cfRule>
  </conditionalFormatting>
  <conditionalFormatting sqref="J16:J17">
    <cfRule type="expression" priority="11" dxfId="2">
      <formula>AND(DAY(TODAY())=6, MONTH(TODAY())=9, YEAR(TODAY())=2030)</formula>
    </cfRule>
  </conditionalFormatting>
  <conditionalFormatting sqref="K16:K17">
    <cfRule type="expression" priority="12" dxfId="2">
      <formula>AND(DAY(TODAY())=7, MONTH(TODAY())=9, YEAR(TODAY())=2030)</formula>
    </cfRule>
  </conditionalFormatting>
  <conditionalFormatting sqref="L16:L17">
    <cfRule type="expression" priority="13" dxfId="2">
      <formula>AND(DAY(TODAY())=8, MONTH(TODAY())=9, YEAR(TODAY())=2030)</formula>
    </cfRule>
  </conditionalFormatting>
  <conditionalFormatting sqref="M16:M17">
    <cfRule type="expression" priority="14" dxfId="2">
      <formula>AND(DAY(TODAY())=9, MONTH(TODAY())=9, YEAR(TODAY())=2030)</formula>
    </cfRule>
  </conditionalFormatting>
  <conditionalFormatting sqref="N16:N17">
    <cfRule type="expression" priority="15" dxfId="2">
      <formula>AND(DAY(TODAY())=10, MONTH(TODAY())=9, YEAR(TODAY())=2030)</formula>
    </cfRule>
  </conditionalFormatting>
  <conditionalFormatting sqref="O16:O17">
    <cfRule type="expression" priority="16" dxfId="2">
      <formula>AND(DAY(TODAY())=11, MONTH(TODAY())=9, YEAR(TODAY())=2030)</formula>
    </cfRule>
  </conditionalFormatting>
  <conditionalFormatting sqref="P16:P17">
    <cfRule type="expression" priority="17" dxfId="2">
      <formula>AND(DAY(TODAY())=12, MONTH(TODAY())=9, YEAR(TODAY())=2030)</formula>
    </cfRule>
  </conditionalFormatting>
  <conditionalFormatting sqref="Q16:Q17">
    <cfRule type="expression" priority="18" dxfId="2">
      <formula>AND(DAY(TODAY())=13, MONTH(TODAY())=9, YEAR(TODAY())=2030)</formula>
    </cfRule>
  </conditionalFormatting>
  <conditionalFormatting sqref="R16:R17">
    <cfRule type="expression" priority="19" dxfId="2">
      <formula>AND(DAY(TODAY())=14, MONTH(TODAY())=9, YEAR(TODAY())=2030)</formula>
    </cfRule>
  </conditionalFormatting>
  <conditionalFormatting sqref="S16:S17">
    <cfRule type="expression" priority="20" dxfId="2">
      <formula>AND(DAY(TODAY())=15, MONTH(TODAY())=9, YEAR(TODAY())=2030)</formula>
    </cfRule>
  </conditionalFormatting>
  <conditionalFormatting sqref="T16:T17">
    <cfRule type="expression" priority="21" dxfId="2">
      <formula>AND(DAY(TODAY())=16, MONTH(TODAY())=9, YEAR(TODAY())=2030)</formula>
    </cfRule>
  </conditionalFormatting>
  <conditionalFormatting sqref="U16:U17">
    <cfRule type="expression" priority="22" dxfId="2">
      <formula>AND(DAY(TODAY())=17, MONTH(TODAY())=9, YEAR(TODAY())=2030)</formula>
    </cfRule>
  </conditionalFormatting>
  <conditionalFormatting sqref="V16:V17">
    <cfRule type="expression" priority="23" dxfId="2">
      <formula>AND(DAY(TODAY())=18, MONTH(TODAY())=9, YEAR(TODAY())=2030)</formula>
    </cfRule>
  </conditionalFormatting>
  <conditionalFormatting sqref="W16:W17">
    <cfRule type="expression" priority="24" dxfId="2">
      <formula>AND(DAY(TODAY())=19, MONTH(TODAY())=9, YEAR(TODAY())=2030)</formula>
    </cfRule>
  </conditionalFormatting>
  <conditionalFormatting sqref="X16:X17">
    <cfRule type="expression" priority="25" dxfId="2">
      <formula>AND(DAY(TODAY())=20, MONTH(TODAY())=9, YEAR(TODAY())=2030)</formula>
    </cfRule>
  </conditionalFormatting>
  <conditionalFormatting sqref="Y16:Y17">
    <cfRule type="expression" priority="26" dxfId="2">
      <formula>AND(DAY(TODAY())=21, MONTH(TODAY())=9, YEAR(TODAY())=2030)</formula>
    </cfRule>
  </conditionalFormatting>
  <conditionalFormatting sqref="Z16:Z17">
    <cfRule type="expression" priority="27" dxfId="2">
      <formula>AND(DAY(TODAY())=22, MONTH(TODAY())=9, YEAR(TODAY())=2030)</formula>
    </cfRule>
  </conditionalFormatting>
  <conditionalFormatting sqref="AA16:AA17">
    <cfRule type="expression" priority="28" dxfId="2">
      <formula>AND(DAY(TODAY())=23, MONTH(TODAY())=9, YEAR(TODAY())=2030)</formula>
    </cfRule>
  </conditionalFormatting>
  <conditionalFormatting sqref="AB16:AB17">
    <cfRule type="expression" priority="29" dxfId="2">
      <formula>AND(DAY(TODAY())=24, MONTH(TODAY())=9, YEAR(TODAY())=2030)</formula>
    </cfRule>
  </conditionalFormatting>
  <conditionalFormatting sqref="AC16:AC17">
    <cfRule type="expression" priority="30" dxfId="2">
      <formula>AND(DAY(TODAY())=25, MONTH(TODAY())=9, YEAR(TODAY())=2030)</formula>
    </cfRule>
  </conditionalFormatting>
  <conditionalFormatting sqref="AD16:AD17">
    <cfRule type="expression" priority="31" dxfId="2">
      <formula>AND(DAY(TODAY())=26, MONTH(TODAY())=9, YEAR(TODAY())=2030)</formula>
    </cfRule>
  </conditionalFormatting>
  <conditionalFormatting sqref="AE16:AE17">
    <cfRule type="expression" priority="32" dxfId="2">
      <formula>AND(DAY(TODAY())=27, MONTH(TODAY())=9, YEAR(TODAY())=2030)</formula>
    </cfRule>
  </conditionalFormatting>
  <conditionalFormatting sqref="AF16:AF17">
    <cfRule type="expression" priority="33" dxfId="2">
      <formula>AND(DAY(TODAY())=28, MONTH(TODAY())=9, YEAR(TODAY())=2030)</formula>
    </cfRule>
  </conditionalFormatting>
  <conditionalFormatting sqref="AG16:AG17">
    <cfRule type="expression" priority="34" dxfId="2">
      <formula>AND(DAY(TODAY())=29, MONTH(TODAY())=9, YEAR(TODAY())=2030)</formula>
    </cfRule>
  </conditionalFormatting>
  <conditionalFormatting sqref="AH16:AH17">
    <cfRule type="expression" priority="35" dxfId="2">
      <formula>AND(DAY(TODAY())=30, MONTH(TODAY())=9,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E2" s="3" t="inlineStr">
        <is>
          <t>@surajvansh</t>
        </is>
      </c>
    </row>
    <row r="3" ht="18" customHeight="1">
      <c r="A3" s="4" t="inlineStr">
        <is>
          <t>October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2" t="n">
        <v>6</v>
      </c>
      <c r="K16" s="11" t="n">
        <v>7</v>
      </c>
      <c r="L16" s="11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2" t="n">
        <v>13</v>
      </c>
      <c r="R16" s="11" t="n">
        <v>14</v>
      </c>
      <c r="S16" s="11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2" t="n">
        <v>20</v>
      </c>
      <c r="Y16" s="11" t="n">
        <v>21</v>
      </c>
      <c r="Z16" s="11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2" t="n">
        <v>27</v>
      </c>
      <c r="AF16" s="11" t="n">
        <v>28</v>
      </c>
      <c r="AG16" s="11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5" t="inlineStr">
        <is>
          <t>Th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5" t="n">
        <v>6</v>
      </c>
      <c r="K45" s="54" t="n">
        <v>7</v>
      </c>
      <c r="L45" s="54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5" t="n">
        <v>13</v>
      </c>
      <c r="R45" s="54" t="n">
        <v>14</v>
      </c>
      <c r="S45" s="54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5" t="n">
        <v>20</v>
      </c>
      <c r="Y45" s="54" t="n">
        <v>21</v>
      </c>
      <c r="Z45" s="54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5" t="n">
        <v>27</v>
      </c>
      <c r="AF45" s="54" t="n">
        <v>28</v>
      </c>
      <c r="AG45" s="54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  <c r="AI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Oct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MONTH(TODAY())=10, YEAR(TODAY())=2030)</formula>
    </cfRule>
  </conditionalFormatting>
  <conditionalFormatting sqref="F16:F17">
    <cfRule type="expression" priority="7" dxfId="2">
      <formula>AND(DAY(TODAY())=2, MONTH(TODAY())=10, YEAR(TODAY())=2030)</formula>
    </cfRule>
  </conditionalFormatting>
  <conditionalFormatting sqref="G16:G17">
    <cfRule type="expression" priority="8" dxfId="2">
      <formula>AND(DAY(TODAY())=3, MONTH(TODAY())=10, YEAR(TODAY())=2030)</formula>
    </cfRule>
  </conditionalFormatting>
  <conditionalFormatting sqref="H16:H17">
    <cfRule type="expression" priority="9" dxfId="2">
      <formula>AND(DAY(TODAY())=4, MONTH(TODAY())=10, YEAR(TODAY())=2030)</formula>
    </cfRule>
  </conditionalFormatting>
  <conditionalFormatting sqref="I16:I17">
    <cfRule type="expression" priority="10" dxfId="2">
      <formula>AND(DAY(TODAY())=5, MONTH(TODAY())=10, YEAR(TODAY())=2030)</formula>
    </cfRule>
  </conditionalFormatting>
  <conditionalFormatting sqref="J16:J17">
    <cfRule type="expression" priority="11" dxfId="2">
      <formula>AND(DAY(TODAY())=6, MONTH(TODAY())=10, YEAR(TODAY())=2030)</formula>
    </cfRule>
  </conditionalFormatting>
  <conditionalFormatting sqref="K16:K17">
    <cfRule type="expression" priority="12" dxfId="2">
      <formula>AND(DAY(TODAY())=7, MONTH(TODAY())=10, YEAR(TODAY())=2030)</formula>
    </cfRule>
  </conditionalFormatting>
  <conditionalFormatting sqref="L16:L17">
    <cfRule type="expression" priority="13" dxfId="2">
      <formula>AND(DAY(TODAY())=8, MONTH(TODAY())=10, YEAR(TODAY())=2030)</formula>
    </cfRule>
  </conditionalFormatting>
  <conditionalFormatting sqref="M16:M17">
    <cfRule type="expression" priority="14" dxfId="2">
      <formula>AND(DAY(TODAY())=9, MONTH(TODAY())=10, YEAR(TODAY())=2030)</formula>
    </cfRule>
  </conditionalFormatting>
  <conditionalFormatting sqref="N16:N17">
    <cfRule type="expression" priority="15" dxfId="2">
      <formula>AND(DAY(TODAY())=10, MONTH(TODAY())=10, YEAR(TODAY())=2030)</formula>
    </cfRule>
  </conditionalFormatting>
  <conditionalFormatting sqref="O16:O17">
    <cfRule type="expression" priority="16" dxfId="2">
      <formula>AND(DAY(TODAY())=11, MONTH(TODAY())=10, YEAR(TODAY())=2030)</formula>
    </cfRule>
  </conditionalFormatting>
  <conditionalFormatting sqref="P16:P17">
    <cfRule type="expression" priority="17" dxfId="2">
      <formula>AND(DAY(TODAY())=12, MONTH(TODAY())=10, YEAR(TODAY())=2030)</formula>
    </cfRule>
  </conditionalFormatting>
  <conditionalFormatting sqref="Q16:Q17">
    <cfRule type="expression" priority="18" dxfId="2">
      <formula>AND(DAY(TODAY())=13, MONTH(TODAY())=10, YEAR(TODAY())=2030)</formula>
    </cfRule>
  </conditionalFormatting>
  <conditionalFormatting sqref="R16:R17">
    <cfRule type="expression" priority="19" dxfId="2">
      <formula>AND(DAY(TODAY())=14, MONTH(TODAY())=10, YEAR(TODAY())=2030)</formula>
    </cfRule>
  </conditionalFormatting>
  <conditionalFormatting sqref="S16:S17">
    <cfRule type="expression" priority="20" dxfId="2">
      <formula>AND(DAY(TODAY())=15, MONTH(TODAY())=10, YEAR(TODAY())=2030)</formula>
    </cfRule>
  </conditionalFormatting>
  <conditionalFormatting sqref="T16:T17">
    <cfRule type="expression" priority="21" dxfId="2">
      <formula>AND(DAY(TODAY())=16, MONTH(TODAY())=10, YEAR(TODAY())=2030)</formula>
    </cfRule>
  </conditionalFormatting>
  <conditionalFormatting sqref="U16:U17">
    <cfRule type="expression" priority="22" dxfId="2">
      <formula>AND(DAY(TODAY())=17, MONTH(TODAY())=10, YEAR(TODAY())=2030)</formula>
    </cfRule>
  </conditionalFormatting>
  <conditionalFormatting sqref="V16:V17">
    <cfRule type="expression" priority="23" dxfId="2">
      <formula>AND(DAY(TODAY())=18, MONTH(TODAY())=10, YEAR(TODAY())=2030)</formula>
    </cfRule>
  </conditionalFormatting>
  <conditionalFormatting sqref="W16:W17">
    <cfRule type="expression" priority="24" dxfId="2">
      <formula>AND(DAY(TODAY())=19, MONTH(TODAY())=10, YEAR(TODAY())=2030)</formula>
    </cfRule>
  </conditionalFormatting>
  <conditionalFormatting sqref="X16:X17">
    <cfRule type="expression" priority="25" dxfId="2">
      <formula>AND(DAY(TODAY())=20, MONTH(TODAY())=10, YEAR(TODAY())=2030)</formula>
    </cfRule>
  </conditionalFormatting>
  <conditionalFormatting sqref="Y16:Y17">
    <cfRule type="expression" priority="26" dxfId="2">
      <formula>AND(DAY(TODAY())=21, MONTH(TODAY())=10, YEAR(TODAY())=2030)</formula>
    </cfRule>
  </conditionalFormatting>
  <conditionalFormatting sqref="Z16:Z17">
    <cfRule type="expression" priority="27" dxfId="2">
      <formula>AND(DAY(TODAY())=22, MONTH(TODAY())=10, YEAR(TODAY())=2030)</formula>
    </cfRule>
  </conditionalFormatting>
  <conditionalFormatting sqref="AA16:AA17">
    <cfRule type="expression" priority="28" dxfId="2">
      <formula>AND(DAY(TODAY())=23, MONTH(TODAY())=10, YEAR(TODAY())=2030)</formula>
    </cfRule>
  </conditionalFormatting>
  <conditionalFormatting sqref="AB16:AB17">
    <cfRule type="expression" priority="29" dxfId="2">
      <formula>AND(DAY(TODAY())=24, MONTH(TODAY())=10, YEAR(TODAY())=2030)</formula>
    </cfRule>
  </conditionalFormatting>
  <conditionalFormatting sqref="AC16:AC17">
    <cfRule type="expression" priority="30" dxfId="2">
      <formula>AND(DAY(TODAY())=25, MONTH(TODAY())=10, YEAR(TODAY())=2030)</formula>
    </cfRule>
  </conditionalFormatting>
  <conditionalFormatting sqref="AD16:AD17">
    <cfRule type="expression" priority="31" dxfId="2">
      <formula>AND(DAY(TODAY())=26, MONTH(TODAY())=10, YEAR(TODAY())=2030)</formula>
    </cfRule>
  </conditionalFormatting>
  <conditionalFormatting sqref="AE16:AE17">
    <cfRule type="expression" priority="32" dxfId="2">
      <formula>AND(DAY(TODAY())=27, MONTH(TODAY())=10, YEAR(TODAY())=2030)</formula>
    </cfRule>
  </conditionalFormatting>
  <conditionalFormatting sqref="AF16:AF17">
    <cfRule type="expression" priority="33" dxfId="2">
      <formula>AND(DAY(TODAY())=28, MONTH(TODAY())=10, YEAR(TODAY())=2030)</formula>
    </cfRule>
  </conditionalFormatting>
  <conditionalFormatting sqref="AG16:AG17">
    <cfRule type="expression" priority="34" dxfId="2">
      <formula>AND(DAY(TODAY())=29, MONTH(TODAY())=10, YEAR(TODAY())=2030)</formula>
    </cfRule>
  </conditionalFormatting>
  <conditionalFormatting sqref="AH16:AH17">
    <cfRule type="expression" priority="35" dxfId="2">
      <formula>AND(DAY(TODAY())=30, MONTH(TODAY())=10, YEAR(TODAY())=2030)</formula>
    </cfRule>
  </conditionalFormatting>
  <conditionalFormatting sqref="AI16:AI17">
    <cfRule type="expression" priority="36" dxfId="2">
      <formula>AND(DAY(TODAY())=31, MONTH(TODAY())=10,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2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  <col hidden="1" width="8" customWidth="1" min="37" max="37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D2" s="3" t="inlineStr">
        <is>
          <t>@surajvansh</t>
        </is>
      </c>
    </row>
    <row r="3" ht="18" customHeight="1">
      <c r="A3" s="4" t="inlineStr">
        <is>
          <t>November 2030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1" t="n">
        <v>1</v>
      </c>
      <c r="F16" s="11" t="n">
        <v>2</v>
      </c>
      <c r="G16" s="12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1" t="n">
        <v>8</v>
      </c>
      <c r="M16" s="11" t="n">
        <v>9</v>
      </c>
      <c r="N16" s="12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1" t="n">
        <v>15</v>
      </c>
      <c r="T16" s="11" t="n">
        <v>16</v>
      </c>
      <c r="U16" s="12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1" t="n">
        <v>22</v>
      </c>
      <c r="AA16" s="11" t="n">
        <v>23</v>
      </c>
      <c r="AB16" s="12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1" t="n">
        <v>29</v>
      </c>
      <c r="AH16" s="11" t="n">
        <v>30</v>
      </c>
      <c r="AI16" s="13" t="inlineStr">
        <is>
          <t>Success %</t>
        </is>
      </c>
      <c r="AJ16" s="13" t="inlineStr">
        <is>
          <t>Done / Target</t>
        </is>
      </c>
      <c r="AK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7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1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22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>
        <f>COUNTIF(E18:AH18, "✓")</f>
        <v/>
      </c>
    </row>
    <row r="19" ht="14.5" customHeight="1">
      <c r="A19" s="17" t="n">
        <v>2</v>
      </c>
      <c r="B19" s="18" t="n"/>
      <c r="C19" s="17" t="n"/>
      <c r="D19" s="17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1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22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>
        <f>COUNTIF(E19:AH19, "✓")</f>
        <v/>
      </c>
    </row>
    <row r="20" ht="14.5" customHeight="1">
      <c r="A20" s="17" t="n">
        <v>3</v>
      </c>
      <c r="B20" s="18" t="n"/>
      <c r="C20" s="17" t="n"/>
      <c r="D20" s="17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1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22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>
        <f>COUNTIF(E20:AH20, "✓")</f>
        <v/>
      </c>
    </row>
    <row r="21" ht="14.5" customHeight="1">
      <c r="A21" s="17" t="n">
        <v>4</v>
      </c>
      <c r="B21" s="18" t="n"/>
      <c r="C21" s="17" t="n"/>
      <c r="D21" s="17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1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22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>
        <f>COUNTIF(E21:AH21, "✓")</f>
        <v/>
      </c>
    </row>
    <row r="22" ht="14.5" customHeight="1">
      <c r="A22" s="23" t="n">
        <v>5</v>
      </c>
      <c r="B22" s="24" t="n"/>
      <c r="C22" s="23" t="n"/>
      <c r="D22" s="23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7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28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>
        <f>COUNTIF(E22:AH22, "✓")</f>
        <v/>
      </c>
    </row>
    <row r="23" ht="14.5" customHeight="1">
      <c r="A23" s="23" t="n">
        <v>6</v>
      </c>
      <c r="B23" s="24" t="n"/>
      <c r="C23" s="23" t="n"/>
      <c r="D23" s="23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7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28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>
        <f>COUNTIF(E23:AH23, "✓")</f>
        <v/>
      </c>
    </row>
    <row r="24" ht="14.5" customHeight="1">
      <c r="A24" s="23" t="n">
        <v>7</v>
      </c>
      <c r="B24" s="24" t="n"/>
      <c r="C24" s="23" t="n"/>
      <c r="D24" s="23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7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28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>
        <f>COUNTIF(E24:AH24, "✓")</f>
        <v/>
      </c>
    </row>
    <row r="25" ht="14.5" customHeight="1">
      <c r="A25" s="23" t="n">
        <v>8</v>
      </c>
      <c r="B25" s="24" t="n"/>
      <c r="C25" s="23" t="n"/>
      <c r="D25" s="23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7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28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>
        <f>COUNTIF(E25:AH25, "✓")</f>
        <v/>
      </c>
    </row>
    <row r="26" ht="14.5" customHeight="1">
      <c r="A26" s="29" t="n">
        <v>9</v>
      </c>
      <c r="B26" s="30" t="n"/>
      <c r="C26" s="29" t="n"/>
      <c r="D26" s="29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3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34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>
        <f>COUNTIF(E26:AH26, "✓")</f>
        <v/>
      </c>
    </row>
    <row r="27" ht="14.5" customHeight="1">
      <c r="A27" s="29" t="n">
        <v>10</v>
      </c>
      <c r="B27" s="30" t="n"/>
      <c r="C27" s="29" t="n"/>
      <c r="D27" s="29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3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34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>
        <f>COUNTIF(E27:AH27, "✓")</f>
        <v/>
      </c>
    </row>
    <row r="28" ht="14.5" customHeight="1">
      <c r="A28" s="29" t="n">
        <v>11</v>
      </c>
      <c r="B28" s="30" t="n"/>
      <c r="C28" s="29" t="n"/>
      <c r="D28" s="29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3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34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>
        <f>COUNTIF(E28:AH28, "✓")</f>
        <v/>
      </c>
    </row>
    <row r="29" ht="14.5" customHeight="1">
      <c r="A29" s="29" t="n">
        <v>12</v>
      </c>
      <c r="B29" s="30" t="n"/>
      <c r="C29" s="29" t="n"/>
      <c r="D29" s="29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34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>
        <f>COUNTIF(E29:AH29, "✓")</f>
        <v/>
      </c>
    </row>
    <row r="30" ht="14.5" customHeight="1">
      <c r="A30" s="35" t="n">
        <v>13</v>
      </c>
      <c r="B30" s="36" t="n"/>
      <c r="C30" s="35" t="n"/>
      <c r="D30" s="35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9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40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>
        <f>COUNTIF(E30:AH30, "✓")</f>
        <v/>
      </c>
    </row>
    <row r="31" ht="14.5" customHeight="1">
      <c r="A31" s="35" t="n">
        <v>14</v>
      </c>
      <c r="B31" s="36" t="n"/>
      <c r="C31" s="35" t="n"/>
      <c r="D31" s="35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9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40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>
        <f>COUNTIF(E31:AH31, "✓")</f>
        <v/>
      </c>
    </row>
    <row r="32" ht="14.5" customHeight="1">
      <c r="A32" s="35" t="n">
        <v>15</v>
      </c>
      <c r="B32" s="36" t="n"/>
      <c r="C32" s="35" t="n"/>
      <c r="D32" s="35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9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40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>
        <f>COUNTIF(E32:AH32, "✓")</f>
        <v/>
      </c>
    </row>
    <row r="33" ht="14.5" customHeight="1">
      <c r="A33" s="35" t="n">
        <v>16</v>
      </c>
      <c r="B33" s="36" t="n"/>
      <c r="C33" s="35" t="n"/>
      <c r="D33" s="35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9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40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>
        <f>COUNTIF(E33:AH33, "✓")</f>
        <v/>
      </c>
    </row>
    <row r="34" ht="14.5" customHeight="1">
      <c r="A34" s="41" t="n">
        <v>17</v>
      </c>
      <c r="B34" s="42" t="n"/>
      <c r="C34" s="41" t="n"/>
      <c r="D34" s="41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5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46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>
        <f>COUNTIF(E34:AH34, "✓")</f>
        <v/>
      </c>
    </row>
    <row r="35" ht="14.5" customHeight="1">
      <c r="A35" s="41" t="n">
        <v>18</v>
      </c>
      <c r="B35" s="42" t="n"/>
      <c r="C35" s="41" t="n"/>
      <c r="D35" s="41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5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46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>
        <f>COUNTIF(E35:AH35, "✓")</f>
        <v/>
      </c>
    </row>
    <row r="36" ht="14.5" customHeight="1">
      <c r="A36" s="41" t="n">
        <v>19</v>
      </c>
      <c r="B36" s="42" t="n"/>
      <c r="C36" s="41" t="n"/>
      <c r="D36" s="41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5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46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>
        <f>COUNTIF(E36:AH36, "✓")</f>
        <v/>
      </c>
    </row>
    <row r="37" ht="14.5" customHeight="1">
      <c r="A37" s="41" t="n">
        <v>20</v>
      </c>
      <c r="B37" s="42" t="n"/>
      <c r="C37" s="41" t="n"/>
      <c r="D37" s="41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5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46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>
        <f>COUNTIF(E37:AH37,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IF(SUM(D18:D37) &gt; 0, SUM(AK18:AK37) / SUM(D18:D37), "")</f>
        <v/>
      </c>
      <c r="AJ38" s="10">
        <f>IF(SUM(D18:D37) &gt; 0, SUM(AK18:AK37)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IF(COUNT(E39:AH39) &gt; 0, AVERAGE(E39:AH39),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4" t="n">
        <v>1</v>
      </c>
      <c r="F45" s="54" t="n">
        <v>2</v>
      </c>
      <c r="G45" s="55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4" t="n">
        <v>8</v>
      </c>
      <c r="M45" s="54" t="n">
        <v>9</v>
      </c>
      <c r="N45" s="55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4" t="n">
        <v>15</v>
      </c>
      <c r="T45" s="54" t="n">
        <v>16</v>
      </c>
      <c r="U45" s="55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4" t="n">
        <v>22</v>
      </c>
      <c r="AA45" s="54" t="n">
        <v>23</v>
      </c>
      <c r="AB45" s="55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4" t="n">
        <v>29</v>
      </c>
      <c r="AH45" s="54" t="n">
        <v>30</v>
      </c>
    </row>
    <row r="46" ht="15" customHeight="1">
      <c r="A46" s="53" t="n"/>
      <c r="B46" s="53" t="n"/>
      <c r="C46" s="53" t="n"/>
      <c r="D46" s="53" t="n"/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SUM(AK18:AK37)/SUM(D18:D37),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COUNTIF(E39:AH39, 1) &amp; " Days"</f>
        <v/>
      </c>
      <c r="L68" s="67" t="n"/>
      <c r="M68" s="67" t="n"/>
      <c r="N68" s="67" t="n"/>
      <c r="P68" s="73">
        <f>IFERROR(TEXT(AVERAGE(E47:AH47),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$AK$18:$AK$37)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$AK$18:$AK$37)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$AK$18:$AK$37)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$AK$18:$AK$37)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29 - 30</t>
        </is>
      </c>
      <c r="C80" s="83">
        <f>COUNTIF(AG18:AH37, "✓")</f>
        <v/>
      </c>
      <c r="D80" s="83">
        <f>COUNTIF(AG18:AH37, "✓") + COUNTIF(AG18:AH37,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$AK$18:$AK$37)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COUNTIF(E47:AH47, "&gt;=7")</f>
        <v/>
      </c>
      <c r="H86" s="88" t="n"/>
      <c r="I86" s="89" t="n"/>
      <c r="J86" s="83">
        <f>IFERROR(TEXT(AVERAGEIF(E47:AH47, "&gt;=7"), "0.0") &amp; " hrs", "-")</f>
        <v/>
      </c>
      <c r="K86" s="88" t="n"/>
      <c r="L86" s="88" t="n"/>
      <c r="M86" s="89" t="n"/>
      <c r="N86" s="90">
        <f>IFERROR(AVERAGEIFS(E39:AH39, E47:AH47, "&gt;=7", E39:AH39,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COUNTIF(E47:AH47, "&lt;7") - COUNTIF(E47:AH47, "")</f>
        <v/>
      </c>
      <c r="H87" s="88" t="n"/>
      <c r="I87" s="89" t="n"/>
      <c r="J87" s="83">
        <f>IFERROR(TEXT(AVERAGEIFS(E47:AH47, E47:AH47, "&lt;7", E47:AH47, "&gt;0"), "0.0") &amp; " hrs", "-")</f>
        <v/>
      </c>
      <c r="K87" s="88" t="n"/>
      <c r="L87" s="88" t="n"/>
      <c r="M87" s="89" t="n"/>
      <c r="N87" s="92">
        <f>IFERROR(AVERAGEIFS(E39:AH39, E47:AH47, "&lt;7", E39:AH39,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Nov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SUM(AK18:AK37)</f>
        <v/>
      </c>
      <c r="J92" s="89" t="n"/>
      <c r="K92" s="98">
        <f>IF(G92&gt;0, I92/G92, 0)</f>
        <v/>
      </c>
      <c r="L92" s="89" t="n"/>
      <c r="M92" s="97">
        <f>COUNTIF(E39:AH39, 1)</f>
        <v/>
      </c>
      <c r="N92" s="89" t="n"/>
      <c r="O92" s="99">
        <f>IFERROR(AVERAGE(E47:AH47),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42:AJ42"/>
    <mergeCell ref="A95:H95"/>
    <mergeCell ref="Q91:S91"/>
    <mergeCell ref="A88:AH88"/>
    <mergeCell ref="E91:F91"/>
    <mergeCell ref="A8:N8"/>
    <mergeCell ref="G91:H91"/>
    <mergeCell ref="J86:M86"/>
    <mergeCell ref="S95:Z95"/>
    <mergeCell ref="K67:N67"/>
    <mergeCell ref="A90:AH90"/>
    <mergeCell ref="N79:O79"/>
    <mergeCell ref="K92:L92"/>
    <mergeCell ref="C92:D92"/>
    <mergeCell ref="M92:N92"/>
    <mergeCell ref="F71:I71"/>
    <mergeCell ref="A41:AJ41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D2:AJ2"/>
    <mergeCell ref="A92:B92"/>
    <mergeCell ref="N87:Q87"/>
    <mergeCell ref="P8:AJ8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A93:AH93"/>
    <mergeCell ref="G86:I86"/>
    <mergeCell ref="A96:H103"/>
    <mergeCell ref="P67:S67"/>
    <mergeCell ref="T92:W92"/>
    <mergeCell ref="R85:U85"/>
    <mergeCell ref="H2:AC2"/>
    <mergeCell ref="K71:N71"/>
    <mergeCell ref="S96:Z103"/>
    <mergeCell ref="P6:AJ6"/>
    <mergeCell ref="A38:D38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4:AH84"/>
    <mergeCell ref="A87:C87"/>
    <mergeCell ref="A47:D47"/>
  </mergeCells>
  <conditionalFormatting sqref="E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MONTH(TODAY())=11, YEAR(TODAY())=2030)</formula>
    </cfRule>
  </conditionalFormatting>
  <conditionalFormatting sqref="F16:F17">
    <cfRule type="expression" priority="7" dxfId="2">
      <formula>AND(DAY(TODAY())=2, MONTH(TODAY())=11, YEAR(TODAY())=2030)</formula>
    </cfRule>
  </conditionalFormatting>
  <conditionalFormatting sqref="G16:G17">
    <cfRule type="expression" priority="8" dxfId="2">
      <formula>AND(DAY(TODAY())=3, MONTH(TODAY())=11, YEAR(TODAY())=2030)</formula>
    </cfRule>
  </conditionalFormatting>
  <conditionalFormatting sqref="H16:H17">
    <cfRule type="expression" priority="9" dxfId="2">
      <formula>AND(DAY(TODAY())=4, MONTH(TODAY())=11, YEAR(TODAY())=2030)</formula>
    </cfRule>
  </conditionalFormatting>
  <conditionalFormatting sqref="I16:I17">
    <cfRule type="expression" priority="10" dxfId="2">
      <formula>AND(DAY(TODAY())=5, MONTH(TODAY())=11, YEAR(TODAY())=2030)</formula>
    </cfRule>
  </conditionalFormatting>
  <conditionalFormatting sqref="J16:J17">
    <cfRule type="expression" priority="11" dxfId="2">
      <formula>AND(DAY(TODAY())=6, MONTH(TODAY())=11, YEAR(TODAY())=2030)</formula>
    </cfRule>
  </conditionalFormatting>
  <conditionalFormatting sqref="K16:K17">
    <cfRule type="expression" priority="12" dxfId="2">
      <formula>AND(DAY(TODAY())=7, MONTH(TODAY())=11, YEAR(TODAY())=2030)</formula>
    </cfRule>
  </conditionalFormatting>
  <conditionalFormatting sqref="L16:L17">
    <cfRule type="expression" priority="13" dxfId="2">
      <formula>AND(DAY(TODAY())=8, MONTH(TODAY())=11, YEAR(TODAY())=2030)</formula>
    </cfRule>
  </conditionalFormatting>
  <conditionalFormatting sqref="M16:M17">
    <cfRule type="expression" priority="14" dxfId="2">
      <formula>AND(DAY(TODAY())=9, MONTH(TODAY())=11, YEAR(TODAY())=2030)</formula>
    </cfRule>
  </conditionalFormatting>
  <conditionalFormatting sqref="N16:N17">
    <cfRule type="expression" priority="15" dxfId="2">
      <formula>AND(DAY(TODAY())=10, MONTH(TODAY())=11, YEAR(TODAY())=2030)</formula>
    </cfRule>
  </conditionalFormatting>
  <conditionalFormatting sqref="O16:O17">
    <cfRule type="expression" priority="16" dxfId="2">
      <formula>AND(DAY(TODAY())=11, MONTH(TODAY())=11, YEAR(TODAY())=2030)</formula>
    </cfRule>
  </conditionalFormatting>
  <conditionalFormatting sqref="P16:P17">
    <cfRule type="expression" priority="17" dxfId="2">
      <formula>AND(DAY(TODAY())=12, MONTH(TODAY())=11, YEAR(TODAY())=2030)</formula>
    </cfRule>
  </conditionalFormatting>
  <conditionalFormatting sqref="Q16:Q17">
    <cfRule type="expression" priority="18" dxfId="2">
      <formula>AND(DAY(TODAY())=13, MONTH(TODAY())=11, YEAR(TODAY())=2030)</formula>
    </cfRule>
  </conditionalFormatting>
  <conditionalFormatting sqref="R16:R17">
    <cfRule type="expression" priority="19" dxfId="2">
      <formula>AND(DAY(TODAY())=14, MONTH(TODAY())=11, YEAR(TODAY())=2030)</formula>
    </cfRule>
  </conditionalFormatting>
  <conditionalFormatting sqref="S16:S17">
    <cfRule type="expression" priority="20" dxfId="2">
      <formula>AND(DAY(TODAY())=15, MONTH(TODAY())=11, YEAR(TODAY())=2030)</formula>
    </cfRule>
  </conditionalFormatting>
  <conditionalFormatting sqref="T16:T17">
    <cfRule type="expression" priority="21" dxfId="2">
      <formula>AND(DAY(TODAY())=16, MONTH(TODAY())=11, YEAR(TODAY())=2030)</formula>
    </cfRule>
  </conditionalFormatting>
  <conditionalFormatting sqref="U16:U17">
    <cfRule type="expression" priority="22" dxfId="2">
      <formula>AND(DAY(TODAY())=17, MONTH(TODAY())=11, YEAR(TODAY())=2030)</formula>
    </cfRule>
  </conditionalFormatting>
  <conditionalFormatting sqref="V16:V17">
    <cfRule type="expression" priority="23" dxfId="2">
      <formula>AND(DAY(TODAY())=18, MONTH(TODAY())=11, YEAR(TODAY())=2030)</formula>
    </cfRule>
  </conditionalFormatting>
  <conditionalFormatting sqref="W16:W17">
    <cfRule type="expression" priority="24" dxfId="2">
      <formula>AND(DAY(TODAY())=19, MONTH(TODAY())=11, YEAR(TODAY())=2030)</formula>
    </cfRule>
  </conditionalFormatting>
  <conditionalFormatting sqref="X16:X17">
    <cfRule type="expression" priority="25" dxfId="2">
      <formula>AND(DAY(TODAY())=20, MONTH(TODAY())=11, YEAR(TODAY())=2030)</formula>
    </cfRule>
  </conditionalFormatting>
  <conditionalFormatting sqref="Y16:Y17">
    <cfRule type="expression" priority="26" dxfId="2">
      <formula>AND(DAY(TODAY())=21, MONTH(TODAY())=11, YEAR(TODAY())=2030)</formula>
    </cfRule>
  </conditionalFormatting>
  <conditionalFormatting sqref="Z16:Z17">
    <cfRule type="expression" priority="27" dxfId="2">
      <formula>AND(DAY(TODAY())=22, MONTH(TODAY())=11, YEAR(TODAY())=2030)</formula>
    </cfRule>
  </conditionalFormatting>
  <conditionalFormatting sqref="AA16:AA17">
    <cfRule type="expression" priority="28" dxfId="2">
      <formula>AND(DAY(TODAY())=23, MONTH(TODAY())=11, YEAR(TODAY())=2030)</formula>
    </cfRule>
  </conditionalFormatting>
  <conditionalFormatting sqref="AB16:AB17">
    <cfRule type="expression" priority="29" dxfId="2">
      <formula>AND(DAY(TODAY())=24, MONTH(TODAY())=11, YEAR(TODAY())=2030)</formula>
    </cfRule>
  </conditionalFormatting>
  <conditionalFormatting sqref="AC16:AC17">
    <cfRule type="expression" priority="30" dxfId="2">
      <formula>AND(DAY(TODAY())=25, MONTH(TODAY())=11, YEAR(TODAY())=2030)</formula>
    </cfRule>
  </conditionalFormatting>
  <conditionalFormatting sqref="AD16:AD17">
    <cfRule type="expression" priority="31" dxfId="2">
      <formula>AND(DAY(TODAY())=26, MONTH(TODAY())=11, YEAR(TODAY())=2030)</formula>
    </cfRule>
  </conditionalFormatting>
  <conditionalFormatting sqref="AE16:AE17">
    <cfRule type="expression" priority="32" dxfId="2">
      <formula>AND(DAY(TODAY())=27, MONTH(TODAY())=11, YEAR(TODAY())=2030)</formula>
    </cfRule>
  </conditionalFormatting>
  <conditionalFormatting sqref="AF16:AF17">
    <cfRule type="expression" priority="33" dxfId="2">
      <formula>AND(DAY(TODAY())=28, MONTH(TODAY())=11, YEAR(TODAY())=2030)</formula>
    </cfRule>
  </conditionalFormatting>
  <conditionalFormatting sqref="AG16:AG17">
    <cfRule type="expression" priority="34" dxfId="2">
      <formula>AND(DAY(TODAY())=29, MONTH(TODAY())=11, YEAR(TODAY())=2030)</formula>
    </cfRule>
  </conditionalFormatting>
  <conditionalFormatting sqref="AH16:AH17">
    <cfRule type="expression" priority="35" dxfId="2">
      <formula>AND(DAY(TODAY())=30, MONTH(TODAY())=11,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2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3.5" customWidth="1" min="37" max="37"/>
    <col hidden="1" width="8" customWidth="1" min="38" max="38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E2" s="3" t="inlineStr">
        <is>
          <t>@surajvansh</t>
        </is>
      </c>
    </row>
    <row r="3" ht="18" customHeight="1">
      <c r="A3" s="4" t="inlineStr">
        <is>
          <t>December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Category</t>
        </is>
      </c>
      <c r="D16" s="10" t="inlineStr">
        <is>
          <t>Target</t>
        </is>
      </c>
      <c r="E16" s="12" t="n">
        <v>1</v>
      </c>
      <c r="F16" s="11" t="n">
        <v>2</v>
      </c>
      <c r="G16" s="11" t="n">
        <v>3</v>
      </c>
      <c r="H16" s="11" t="n">
        <v>4</v>
      </c>
      <c r="I16" s="11" t="n">
        <v>5</v>
      </c>
      <c r="J16" s="11" t="n">
        <v>6</v>
      </c>
      <c r="K16" s="11" t="n">
        <v>7</v>
      </c>
      <c r="L16" s="12" t="n">
        <v>8</v>
      </c>
      <c r="M16" s="11" t="n">
        <v>9</v>
      </c>
      <c r="N16" s="11" t="n">
        <v>10</v>
      </c>
      <c r="O16" s="11" t="n">
        <v>11</v>
      </c>
      <c r="P16" s="11" t="n">
        <v>12</v>
      </c>
      <c r="Q16" s="11" t="n">
        <v>13</v>
      </c>
      <c r="R16" s="11" t="n">
        <v>14</v>
      </c>
      <c r="S16" s="12" t="n">
        <v>15</v>
      </c>
      <c r="T16" s="11" t="n">
        <v>16</v>
      </c>
      <c r="U16" s="11" t="n">
        <v>17</v>
      </c>
      <c r="V16" s="11" t="n">
        <v>18</v>
      </c>
      <c r="W16" s="11" t="n">
        <v>19</v>
      </c>
      <c r="X16" s="11" t="n">
        <v>20</v>
      </c>
      <c r="Y16" s="11" t="n">
        <v>21</v>
      </c>
      <c r="Z16" s="12" t="n">
        <v>22</v>
      </c>
      <c r="AA16" s="11" t="n">
        <v>23</v>
      </c>
      <c r="AB16" s="11" t="n">
        <v>24</v>
      </c>
      <c r="AC16" s="11" t="n">
        <v>25</v>
      </c>
      <c r="AD16" s="11" t="n">
        <v>26</v>
      </c>
      <c r="AE16" s="11" t="n">
        <v>27</v>
      </c>
      <c r="AF16" s="11" t="n">
        <v>28</v>
      </c>
      <c r="AG16" s="12" t="n">
        <v>29</v>
      </c>
      <c r="AH16" s="11" t="n">
        <v>30</v>
      </c>
      <c r="AI16" s="11" t="n">
        <v>31</v>
      </c>
      <c r="AJ16" s="13" t="inlineStr">
        <is>
          <t>Success %</t>
        </is>
      </c>
      <c r="AK16" s="13" t="inlineStr">
        <is>
          <t>Done / Target</t>
        </is>
      </c>
      <c r="AL16" t="inlineStr">
        <is>
          <t>Done Count</t>
        </is>
      </c>
    </row>
    <row r="17" ht="15" customHeight="1">
      <c r="A17" s="14" t="n"/>
      <c r="B17" s="14" t="n"/>
      <c r="C17" s="14" t="n"/>
      <c r="D17" s="14" t="n"/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5" t="inlineStr">
        <is>
          <t>T</t>
        </is>
      </c>
      <c r="AJ17" s="14" t="n"/>
      <c r="AK17" s="14" t="n"/>
    </row>
    <row r="18" ht="14.5" customHeight="1">
      <c r="A18" s="17" t="n">
        <v>1</v>
      </c>
      <c r="B18" s="18" t="n"/>
      <c r="C18" s="17" t="n"/>
      <c r="D18" s="17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19" t="n"/>
      <c r="AJ18" s="21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22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>
        <f>COUNTIF(E18:AI18, "✓")</f>
        <v/>
      </c>
    </row>
    <row r="19" ht="14.5" customHeight="1">
      <c r="A19" s="17" t="n">
        <v>2</v>
      </c>
      <c r="B19" s="18" t="n"/>
      <c r="C19" s="17" t="n"/>
      <c r="D19" s="17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19" t="n"/>
      <c r="AJ19" s="21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22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>
        <f>COUNTIF(E19:AI19, "✓")</f>
        <v/>
      </c>
    </row>
    <row r="20" ht="14.5" customHeight="1">
      <c r="A20" s="17" t="n">
        <v>3</v>
      </c>
      <c r="B20" s="18" t="n"/>
      <c r="C20" s="17" t="n"/>
      <c r="D20" s="17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19" t="n"/>
      <c r="AJ20" s="21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22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>
        <f>COUNTIF(E20:AI20, "✓")</f>
        <v/>
      </c>
    </row>
    <row r="21" ht="14.5" customHeight="1">
      <c r="A21" s="17" t="n">
        <v>4</v>
      </c>
      <c r="B21" s="18" t="n"/>
      <c r="C21" s="17" t="n"/>
      <c r="D21" s="17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19" t="n"/>
      <c r="AJ21" s="21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22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>
        <f>COUNTIF(E21:AI21, "✓")</f>
        <v/>
      </c>
    </row>
    <row r="22" ht="14.5" customHeight="1">
      <c r="A22" s="23" t="n">
        <v>5</v>
      </c>
      <c r="B22" s="24" t="n"/>
      <c r="C22" s="23" t="n"/>
      <c r="D22" s="23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5" t="n"/>
      <c r="AJ22" s="27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28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>
        <f>COUNTIF(E22:AI22, "✓")</f>
        <v/>
      </c>
    </row>
    <row r="23" ht="14.5" customHeight="1">
      <c r="A23" s="23" t="n">
        <v>6</v>
      </c>
      <c r="B23" s="24" t="n"/>
      <c r="C23" s="23" t="n"/>
      <c r="D23" s="23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5" t="n"/>
      <c r="AJ23" s="27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28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>
        <f>COUNTIF(E23:AI23, "✓")</f>
        <v/>
      </c>
    </row>
    <row r="24" ht="14.5" customHeight="1">
      <c r="A24" s="23" t="n">
        <v>7</v>
      </c>
      <c r="B24" s="24" t="n"/>
      <c r="C24" s="23" t="n"/>
      <c r="D24" s="23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5" t="n"/>
      <c r="AJ24" s="27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28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>
        <f>COUNTIF(E24:AI24, "✓")</f>
        <v/>
      </c>
    </row>
    <row r="25" ht="14.5" customHeight="1">
      <c r="A25" s="23" t="n">
        <v>8</v>
      </c>
      <c r="B25" s="24" t="n"/>
      <c r="C25" s="23" t="n"/>
      <c r="D25" s="23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5" t="n"/>
      <c r="AJ25" s="27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28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>
        <f>COUNTIF(E25:AI25, "✓")</f>
        <v/>
      </c>
    </row>
    <row r="26" ht="14.5" customHeight="1">
      <c r="A26" s="29" t="n">
        <v>9</v>
      </c>
      <c r="B26" s="30" t="n"/>
      <c r="C26" s="29" t="n"/>
      <c r="D26" s="29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1" t="n"/>
      <c r="AJ26" s="33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34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>
        <f>COUNTIF(E26:AI26, "✓")</f>
        <v/>
      </c>
    </row>
    <row r="27" ht="14.5" customHeight="1">
      <c r="A27" s="29" t="n">
        <v>10</v>
      </c>
      <c r="B27" s="30" t="n"/>
      <c r="C27" s="29" t="n"/>
      <c r="D27" s="29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1" t="n"/>
      <c r="AJ27" s="33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34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>
        <f>COUNTIF(E27:AI27, "✓")</f>
        <v/>
      </c>
    </row>
    <row r="28" ht="14.5" customHeight="1">
      <c r="A28" s="29" t="n">
        <v>11</v>
      </c>
      <c r="B28" s="30" t="n"/>
      <c r="C28" s="29" t="n"/>
      <c r="D28" s="29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1" t="n"/>
      <c r="AJ28" s="33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34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>
        <f>COUNTIF(E28:AI28, "✓")</f>
        <v/>
      </c>
    </row>
    <row r="29" ht="14.5" customHeight="1">
      <c r="A29" s="29" t="n">
        <v>12</v>
      </c>
      <c r="B29" s="30" t="n"/>
      <c r="C29" s="29" t="n"/>
      <c r="D29" s="29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1" t="n"/>
      <c r="AJ29" s="33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34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>
        <f>COUNTIF(E29:AI29, "✓")</f>
        <v/>
      </c>
    </row>
    <row r="30" ht="14.5" customHeight="1">
      <c r="A30" s="35" t="n">
        <v>13</v>
      </c>
      <c r="B30" s="36" t="n"/>
      <c r="C30" s="35" t="n"/>
      <c r="D30" s="35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7" t="n"/>
      <c r="AJ30" s="39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40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>
        <f>COUNTIF(E30:AI30, "✓")</f>
        <v/>
      </c>
    </row>
    <row r="31" ht="14.5" customHeight="1">
      <c r="A31" s="35" t="n">
        <v>14</v>
      </c>
      <c r="B31" s="36" t="n"/>
      <c r="C31" s="35" t="n"/>
      <c r="D31" s="35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7" t="n"/>
      <c r="AJ31" s="39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40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>
        <f>COUNTIF(E31:AI31, "✓")</f>
        <v/>
      </c>
    </row>
    <row r="32" ht="14.5" customHeight="1">
      <c r="A32" s="35" t="n">
        <v>15</v>
      </c>
      <c r="B32" s="36" t="n"/>
      <c r="C32" s="35" t="n"/>
      <c r="D32" s="35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7" t="n"/>
      <c r="AJ32" s="39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40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>
        <f>COUNTIF(E32:AI32, "✓")</f>
        <v/>
      </c>
    </row>
    <row r="33" ht="14.5" customHeight="1">
      <c r="A33" s="35" t="n">
        <v>16</v>
      </c>
      <c r="B33" s="36" t="n"/>
      <c r="C33" s="35" t="n"/>
      <c r="D33" s="35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7" t="n"/>
      <c r="AJ33" s="39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40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>
        <f>COUNTIF(E33:AI33, "✓")</f>
        <v/>
      </c>
    </row>
    <row r="34" ht="14.5" customHeight="1">
      <c r="A34" s="41" t="n">
        <v>17</v>
      </c>
      <c r="B34" s="42" t="n"/>
      <c r="C34" s="41" t="n"/>
      <c r="D34" s="41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3" t="n"/>
      <c r="AJ34" s="45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46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>
        <f>COUNTIF(E34:AI34, "✓")</f>
        <v/>
      </c>
    </row>
    <row r="35" ht="14.5" customHeight="1">
      <c r="A35" s="41" t="n">
        <v>18</v>
      </c>
      <c r="B35" s="42" t="n"/>
      <c r="C35" s="41" t="n"/>
      <c r="D35" s="41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3" t="n"/>
      <c r="AJ35" s="45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46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>
        <f>COUNTIF(E35:AI35, "✓")</f>
        <v/>
      </c>
    </row>
    <row r="36" ht="14.5" customHeight="1">
      <c r="A36" s="41" t="n">
        <v>19</v>
      </c>
      <c r="B36" s="42" t="n"/>
      <c r="C36" s="41" t="n"/>
      <c r="D36" s="41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3" t="n"/>
      <c r="AJ36" s="45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46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>
        <f>COUNTIF(E36:AI36, "✓")</f>
        <v/>
      </c>
    </row>
    <row r="37" ht="14.5" customHeight="1">
      <c r="A37" s="41" t="n">
        <v>20</v>
      </c>
      <c r="B37" s="42" t="n"/>
      <c r="C37" s="41" t="n"/>
      <c r="D37" s="41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3" t="n"/>
      <c r="AJ37" s="45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46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>
        <f>COUNTIF(E37:AI37, "✓")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4" t="n"/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10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48">
        <f>IF(SUM(D18:D37) &gt; 0, SUM(AL18:AL37) / SUM(D18:D37), "")</f>
        <v/>
      </c>
      <c r="AK38" s="10">
        <f>IF(SUM(D18:D37) &gt; 0, SUM(AL18:AL37) &amp; "/" &amp; SUM(D18:D37),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14" t="n"/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48">
        <f>IF(COUNT(E39:AI39) &gt; 0, AVERAGE(E39:AI39), "")</f>
        <v/>
      </c>
      <c r="AK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3" t="n"/>
      <c r="E45" s="55" t="n">
        <v>1</v>
      </c>
      <c r="F45" s="54" t="n">
        <v>2</v>
      </c>
      <c r="G45" s="54" t="n">
        <v>3</v>
      </c>
      <c r="H45" s="54" t="n">
        <v>4</v>
      </c>
      <c r="I45" s="54" t="n">
        <v>5</v>
      </c>
      <c r="J45" s="54" t="n">
        <v>6</v>
      </c>
      <c r="K45" s="54" t="n">
        <v>7</v>
      </c>
      <c r="L45" s="55" t="n">
        <v>8</v>
      </c>
      <c r="M45" s="54" t="n">
        <v>9</v>
      </c>
      <c r="N45" s="54" t="n">
        <v>10</v>
      </c>
      <c r="O45" s="54" t="n">
        <v>11</v>
      </c>
      <c r="P45" s="54" t="n">
        <v>12</v>
      </c>
      <c r="Q45" s="54" t="n">
        <v>13</v>
      </c>
      <c r="R45" s="54" t="n">
        <v>14</v>
      </c>
      <c r="S45" s="55" t="n">
        <v>15</v>
      </c>
      <c r="T45" s="54" t="n">
        <v>16</v>
      </c>
      <c r="U45" s="54" t="n">
        <v>17</v>
      </c>
      <c r="V45" s="54" t="n">
        <v>18</v>
      </c>
      <c r="W45" s="54" t="n">
        <v>19</v>
      </c>
      <c r="X45" s="54" t="n">
        <v>20</v>
      </c>
      <c r="Y45" s="54" t="n">
        <v>21</v>
      </c>
      <c r="Z45" s="55" t="n">
        <v>22</v>
      </c>
      <c r="AA45" s="54" t="n">
        <v>23</v>
      </c>
      <c r="AB45" s="54" t="n">
        <v>24</v>
      </c>
      <c r="AC45" s="54" t="n">
        <v>25</v>
      </c>
      <c r="AD45" s="54" t="n">
        <v>26</v>
      </c>
      <c r="AE45" s="54" t="n">
        <v>27</v>
      </c>
      <c r="AF45" s="54" t="n">
        <v>28</v>
      </c>
      <c r="AG45" s="55" t="n">
        <v>29</v>
      </c>
      <c r="AH45" s="54" t="n">
        <v>30</v>
      </c>
      <c r="AI45" s="54" t="n">
        <v>31</v>
      </c>
    </row>
    <row r="46" ht="15" customHeight="1">
      <c r="A46" s="53" t="n"/>
      <c r="B46" s="53" t="n"/>
      <c r="C46" s="53" t="n"/>
      <c r="D46" s="53" t="n"/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  <c r="AI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59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  <c r="AI47" s="60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62" t="inlineStr">
        <is>
          <t>MONTHLY SUCCESS RATE</t>
        </is>
      </c>
      <c r="B67" s="63" t="n"/>
      <c r="C67" s="63" t="n"/>
      <c r="D67" s="63" t="n"/>
      <c r="F67" s="64" t="inlineStr">
        <is>
          <t>ACTIVE PROTOCOLS</t>
        </is>
      </c>
      <c r="G67" s="65" t="n"/>
      <c r="H67" s="65" t="n"/>
      <c r="I67" s="65" t="n"/>
      <c r="K67" s="66" t="inlineStr">
        <is>
          <t>PERFECT DAYS (100%)</t>
        </is>
      </c>
      <c r="L67" s="67" t="n"/>
      <c r="M67" s="67" t="n"/>
      <c r="N67" s="67" t="n"/>
      <c r="P67" s="68" t="inlineStr">
        <is>
          <t>AVG SLEEP DURATION</t>
        </is>
      </c>
      <c r="Q67" s="69" t="n"/>
      <c r="R67" s="69" t="n"/>
      <c r="S67" s="69" t="n"/>
    </row>
    <row r="68">
      <c r="A68" s="70">
        <f>IF(SUM(D18:D37)&gt;0, SUM(AL18:AL37)/SUM(D18:D37), 0)</f>
        <v/>
      </c>
      <c r="B68" s="63" t="n"/>
      <c r="C68" s="63" t="n"/>
      <c r="D68" s="63" t="n"/>
      <c r="F68" s="71">
        <f>COUNTA(B18:B37) &amp; " / 20"</f>
        <v/>
      </c>
      <c r="G68" s="65" t="n"/>
      <c r="H68" s="65" t="n"/>
      <c r="I68" s="65" t="n"/>
      <c r="K68" s="72">
        <f>COUNTIF(E39:AI39, 1) &amp; " Days"</f>
        <v/>
      </c>
      <c r="L68" s="67" t="n"/>
      <c r="M68" s="67" t="n"/>
      <c r="N68" s="67" t="n"/>
      <c r="P68" s="73">
        <f>IFERROR(TEXT(AVERAGE(E47:AI47), "0.0") &amp; " hrs", "-")</f>
        <v/>
      </c>
      <c r="Q68" s="69" t="n"/>
      <c r="R68" s="69" t="n"/>
      <c r="S68" s="69" t="n"/>
    </row>
    <row r="69">
      <c r="A69" s="63" t="n"/>
      <c r="B69" s="63" t="n"/>
      <c r="C69" s="63" t="n"/>
      <c r="D69" s="63" t="n"/>
      <c r="F69" s="65" t="n"/>
      <c r="G69" s="65" t="n"/>
      <c r="H69" s="65" t="n"/>
      <c r="I69" s="65" t="n"/>
      <c r="K69" s="67" t="n"/>
      <c r="L69" s="67" t="n"/>
      <c r="M69" s="67" t="n"/>
      <c r="N69" s="67" t="n"/>
      <c r="P69" s="69" t="n"/>
      <c r="Q69" s="69" t="n"/>
      <c r="R69" s="69" t="n"/>
      <c r="S69" s="69" t="n"/>
    </row>
    <row r="70">
      <c r="A70" s="63" t="n"/>
      <c r="B70" s="63" t="n"/>
      <c r="C70" s="63" t="n"/>
      <c r="D70" s="63" t="n"/>
      <c r="F70" s="65" t="n"/>
      <c r="G70" s="65" t="n"/>
      <c r="H70" s="65" t="n"/>
      <c r="I70" s="65" t="n"/>
      <c r="K70" s="67" t="n"/>
      <c r="L70" s="67" t="n"/>
      <c r="M70" s="67" t="n"/>
      <c r="N70" s="67" t="n"/>
      <c r="P70" s="69" t="n"/>
      <c r="Q70" s="69" t="n"/>
      <c r="R70" s="69" t="n"/>
      <c r="S70" s="69" t="n"/>
    </row>
    <row r="71">
      <c r="A71" s="74" t="inlineStr">
        <is>
          <t>Target Completion</t>
        </is>
      </c>
      <c r="B71" s="63" t="n"/>
      <c r="C71" s="63" t="n"/>
      <c r="D71" s="63" t="n"/>
      <c r="F71" s="75" t="inlineStr">
        <is>
          <t>Habits Tracked</t>
        </is>
      </c>
      <c r="G71" s="65" t="n"/>
      <c r="H71" s="65" t="n"/>
      <c r="I71" s="65" t="n"/>
      <c r="K71" s="76" t="inlineStr">
        <is>
          <t>All Marked Habits Completed</t>
        </is>
      </c>
      <c r="L71" s="67" t="n"/>
      <c r="M71" s="67" t="n"/>
      <c r="N71" s="67" t="n"/>
      <c r="P71" s="77" t="inlineStr">
        <is>
          <t>Nightly Rest Average</t>
        </is>
      </c>
      <c r="Q71" s="69" t="n"/>
      <c r="R71" s="69" t="n"/>
      <c r="S71" s="69" t="n"/>
    </row>
    <row r="72" ht="8" customHeight="1"/>
    <row r="73" ht="6" customHeight="1"/>
    <row r="74">
      <c r="A74" s="78" t="inlineStr">
        <is>
          <t>WEEKLY PERFORMANCE (SLUMP DETECTOR)</t>
        </is>
      </c>
      <c r="B74" s="79" t="n"/>
      <c r="C74" s="79" t="n"/>
      <c r="D74" s="79" t="n"/>
      <c r="E74" s="79" t="n"/>
      <c r="N74" s="80" t="inlineStr">
        <is>
          <t>LIFE DOMAIN / CATEGORY BREAKDOWN</t>
        </is>
      </c>
      <c r="O74" s="81" t="n"/>
      <c r="P74" s="81" t="n"/>
      <c r="Q74" s="81" t="n"/>
      <c r="R74" s="81" t="n"/>
      <c r="S74" s="81" t="n"/>
    </row>
    <row r="75" ht="15" customHeight="1">
      <c r="A75" s="82" t="inlineStr">
        <is>
          <t>Week</t>
        </is>
      </c>
      <c r="B75" s="82" t="inlineStr">
        <is>
          <t>Days Range</t>
        </is>
      </c>
      <c r="C75" s="82" t="inlineStr">
        <is>
          <t>Checks Done</t>
        </is>
      </c>
      <c r="D75" s="82" t="inlineStr">
        <is>
          <t>Evaluated</t>
        </is>
      </c>
      <c r="E75" s="82" t="inlineStr">
        <is>
          <t>Success %</t>
        </is>
      </c>
      <c r="N75" s="82" t="inlineStr">
        <is>
          <t>Domain / Category</t>
        </is>
      </c>
      <c r="O75" s="14" t="n"/>
      <c r="P75" s="82" t="inlineStr">
        <is>
          <t>Active Habits</t>
        </is>
      </c>
      <c r="Q75" s="82" t="inlineStr">
        <is>
          <t>Target Days</t>
        </is>
      </c>
      <c r="R75" s="82" t="inlineStr">
        <is>
          <t>Done Checks</t>
        </is>
      </c>
      <c r="S75" s="82" t="inlineStr">
        <is>
          <t>Success %</t>
        </is>
      </c>
    </row>
    <row r="76" ht="14" customHeight="1">
      <c r="A76" s="10" t="inlineStr">
        <is>
          <t>Week 1</t>
        </is>
      </c>
      <c r="B76" s="83" t="inlineStr">
        <is>
          <t>Days 1 - 7</t>
        </is>
      </c>
      <c r="C76" s="83">
        <f>COUNTIF(E18:K37, "✓")</f>
        <v/>
      </c>
      <c r="D76" s="83">
        <f>COUNTIF(E18:K37, "✓") + COUNTIF(E18:K37, "✗")</f>
        <v/>
      </c>
      <c r="E76" s="84">
        <f>IFERROR(C76/D76, 0)</f>
        <v/>
      </c>
      <c r="N76" s="85" t="inlineStr">
        <is>
          <t>Health &amp; Fitness</t>
        </is>
      </c>
      <c r="O76" s="14" t="n"/>
      <c r="P76" s="83">
        <f>COUNTIF($C$18:$C$37, "Health &amp; Fitness")</f>
        <v/>
      </c>
      <c r="Q76" s="83">
        <f>SUMIF($C$18:$C$37, "Health &amp; Fitness", $D$18:$D$37)</f>
        <v/>
      </c>
      <c r="R76" s="83">
        <f>SUMIF($C$18:$C$37, "Health &amp; Fitness", $AL$18:$AL$37)</f>
        <v/>
      </c>
      <c r="S76" s="84">
        <f>IFERROR(R76/Q76, 0)</f>
        <v/>
      </c>
    </row>
    <row r="77" ht="14" customHeight="1">
      <c r="A77" s="10" t="inlineStr">
        <is>
          <t>Week 2</t>
        </is>
      </c>
      <c r="B77" s="83" t="inlineStr">
        <is>
          <t>Days 8 - 14</t>
        </is>
      </c>
      <c r="C77" s="83">
        <f>COUNTIF(L18:R37, "✓")</f>
        <v/>
      </c>
      <c r="D77" s="83">
        <f>COUNTIF(L18:R37, "✓") + COUNTIF(L18:R37, "✗")</f>
        <v/>
      </c>
      <c r="E77" s="84">
        <f>IFERROR(C77/D77, 0)</f>
        <v/>
      </c>
      <c r="N77" s="85" t="inlineStr">
        <is>
          <t>Mindset &amp; Learning</t>
        </is>
      </c>
      <c r="O77" s="14" t="n"/>
      <c r="P77" s="83">
        <f>COUNTIF($C$18:$C$37, "Mindset &amp; Learning")</f>
        <v/>
      </c>
      <c r="Q77" s="83">
        <f>SUMIF($C$18:$C$37, "Mindset &amp; Learning", $D$18:$D$37)</f>
        <v/>
      </c>
      <c r="R77" s="83">
        <f>SUMIF($C$18:$C$37, "Mindset &amp; Learning", $AL$18:$AL$37)</f>
        <v/>
      </c>
      <c r="S77" s="84">
        <f>IFERROR(R77/Q77, 0)</f>
        <v/>
      </c>
    </row>
    <row r="78" ht="14" customHeight="1">
      <c r="A78" s="10" t="inlineStr">
        <is>
          <t>Week 3</t>
        </is>
      </c>
      <c r="B78" s="83" t="inlineStr">
        <is>
          <t>Days 15 - 21</t>
        </is>
      </c>
      <c r="C78" s="83">
        <f>COUNTIF(S18:Y37, "✓")</f>
        <v/>
      </c>
      <c r="D78" s="83">
        <f>COUNTIF(S18:Y37, "✓") + COUNTIF(S18:Y37, "✗")</f>
        <v/>
      </c>
      <c r="E78" s="84">
        <f>IFERROR(C78/D78, 0)</f>
        <v/>
      </c>
      <c r="N78" s="85" t="inlineStr">
        <is>
          <t>Career &amp; Focus</t>
        </is>
      </c>
      <c r="O78" s="14" t="n"/>
      <c r="P78" s="83">
        <f>COUNTIF($C$18:$C$37, "Career &amp; Focus")</f>
        <v/>
      </c>
      <c r="Q78" s="83">
        <f>SUMIF($C$18:$C$37, "Career &amp; Focus", $D$18:$D$37)</f>
        <v/>
      </c>
      <c r="R78" s="83">
        <f>SUMIF($C$18:$C$37, "Career &amp; Focus", $AL$18:$AL$37)</f>
        <v/>
      </c>
      <c r="S78" s="84">
        <f>IFERROR(R78/Q78, 0)</f>
        <v/>
      </c>
    </row>
    <row r="79" ht="14" customHeight="1">
      <c r="A79" s="10" t="inlineStr">
        <is>
          <t>Week 4</t>
        </is>
      </c>
      <c r="B79" s="83" t="inlineStr">
        <is>
          <t>Days 22 - 28</t>
        </is>
      </c>
      <c r="C79" s="83">
        <f>COUNTIF(Z18:AF37, "✓")</f>
        <v/>
      </c>
      <c r="D79" s="83">
        <f>COUNTIF(Z18:AF37, "✓") + COUNTIF(Z18:AF37, "✗")</f>
        <v/>
      </c>
      <c r="E79" s="84">
        <f>IFERROR(C79/D79, 0)</f>
        <v/>
      </c>
      <c r="N79" s="85" t="inlineStr">
        <is>
          <t>Personal &amp; Home</t>
        </is>
      </c>
      <c r="O79" s="14" t="n"/>
      <c r="P79" s="83">
        <f>COUNTIF($C$18:$C$37, "Personal &amp; Home")</f>
        <v/>
      </c>
      <c r="Q79" s="83">
        <f>SUMIF($C$18:$C$37, "Personal &amp; Home", $D$18:$D$37)</f>
        <v/>
      </c>
      <c r="R79" s="83">
        <f>SUMIF($C$18:$C$37, "Personal &amp; Home", $AL$18:$AL$37)</f>
        <v/>
      </c>
      <c r="S79" s="84">
        <f>IFERROR(R79/Q79, 0)</f>
        <v/>
      </c>
    </row>
    <row r="80" ht="14" customHeight="1">
      <c r="A80" s="10" t="inlineStr">
        <is>
          <t>Week 5</t>
        </is>
      </c>
      <c r="B80" s="83" t="inlineStr">
        <is>
          <t>Days 29 - 31</t>
        </is>
      </c>
      <c r="C80" s="83">
        <f>COUNTIF(AG18:AI37, "✓")</f>
        <v/>
      </c>
      <c r="D80" s="83">
        <f>COUNTIF(AG18:AI37, "✓") + COUNTIF(AG18:AI37, "✗")</f>
        <v/>
      </c>
      <c r="E80" s="84">
        <f>IFERROR(C80/D80, 0)</f>
        <v/>
      </c>
      <c r="N80" s="85" t="inlineStr">
        <is>
          <t>Finance &amp; Wealth</t>
        </is>
      </c>
      <c r="O80" s="14" t="n"/>
      <c r="P80" s="83">
        <f>COUNTIF($C$18:$C$37, "Finance &amp; Wealth")</f>
        <v/>
      </c>
      <c r="Q80" s="83">
        <f>SUMIF($C$18:$C$37, "Finance &amp; Wealth", $D$18:$D$37)</f>
        <v/>
      </c>
      <c r="R80" s="83">
        <f>SUMIF($C$18:$C$37, "Finance &amp; Wealth", $AL$18:$AL$37)</f>
        <v/>
      </c>
      <c r="S80" s="84">
        <f>IFERROR(R80/Q80, 0)</f>
        <v/>
      </c>
    </row>
    <row r="81" ht="14" customHeight="1">
      <c r="A81" s="10" t="inlineStr">
        <is>
          <t>Total / Avg</t>
        </is>
      </c>
      <c r="B81" s="86" t="inlineStr">
        <is>
          <t>Month Total</t>
        </is>
      </c>
      <c r="C81" s="10">
        <f>SUM(C76:C80)</f>
        <v/>
      </c>
      <c r="D81" s="10">
        <f>SUM(D76:D80)</f>
        <v/>
      </c>
      <c r="E81" s="48">
        <f>IFERROR(C81/D81, 0)</f>
        <v/>
      </c>
    </row>
    <row r="82" ht="10" customHeight="1"/>
    <row r="83" ht="10" customHeight="1"/>
    <row r="84">
      <c r="A84" s="52" t="inlineStr">
        <is>
          <t>SLEEP &amp; PRODUCTIVITY CORRELATION ANALYSIS</t>
        </is>
      </c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  <c r="AA84" s="53" t="n"/>
      <c r="AB84" s="53" t="n"/>
      <c r="AC84" s="53" t="n"/>
      <c r="AD84" s="53" t="n"/>
      <c r="AE84" s="53" t="n"/>
      <c r="AF84" s="53" t="n"/>
      <c r="AG84" s="53" t="n"/>
      <c r="AH84" s="53" t="n"/>
      <c r="AI84" s="53" t="n"/>
    </row>
    <row r="85" ht="15" customHeight="1">
      <c r="A85" s="82" t="inlineStr">
        <is>
          <t>Rest Category</t>
        </is>
      </c>
      <c r="B85" s="14" t="n"/>
      <c r="C85" s="14" t="n"/>
      <c r="D85" s="82" t="inlineStr">
        <is>
          <t>Day Criteria</t>
        </is>
      </c>
      <c r="E85" s="14" t="n"/>
      <c r="F85" s="14" t="n"/>
      <c r="G85" s="82" t="inlineStr">
        <is>
          <t>Days Logged</t>
        </is>
      </c>
      <c r="H85" s="14" t="n"/>
      <c r="I85" s="14" t="n"/>
      <c r="J85" s="82" t="inlineStr">
        <is>
          <t>Avg Sleep Duration</t>
        </is>
      </c>
      <c r="K85" s="14" t="n"/>
      <c r="L85" s="14" t="n"/>
      <c r="M85" s="14" t="n"/>
      <c r="N85" s="82" t="inlineStr">
        <is>
          <t>Avg Habit Success %</t>
        </is>
      </c>
      <c r="O85" s="14" t="n"/>
      <c r="P85" s="14" t="n"/>
      <c r="Q85" s="14" t="n"/>
      <c r="R85" s="82" t="inlineStr">
        <is>
          <t>Productivity Delta</t>
        </is>
      </c>
      <c r="S85" s="14" t="n"/>
      <c r="T85" s="14" t="n"/>
      <c r="U85" s="14" t="n"/>
    </row>
    <row r="86" ht="15" customHeight="1">
      <c r="A86" s="87" t="inlineStr">
        <is>
          <t>Optimal Rest</t>
        </is>
      </c>
      <c r="B86" s="88" t="n"/>
      <c r="C86" s="89" t="n"/>
      <c r="D86" s="83" t="inlineStr">
        <is>
          <t>&gt;= 7 Hours / Night</t>
        </is>
      </c>
      <c r="E86" s="88" t="n"/>
      <c r="F86" s="89" t="n"/>
      <c r="G86" s="10">
        <f>COUNTIF(E47:AI47, "&gt;=7")</f>
        <v/>
      </c>
      <c r="H86" s="88" t="n"/>
      <c r="I86" s="89" t="n"/>
      <c r="J86" s="83">
        <f>IFERROR(TEXT(AVERAGEIF(E47:AI47, "&gt;=7"), "0.0") &amp; " hrs", "-")</f>
        <v/>
      </c>
      <c r="K86" s="88" t="n"/>
      <c r="L86" s="88" t="n"/>
      <c r="M86" s="89" t="n"/>
      <c r="N86" s="90">
        <f>IFERROR(AVERAGEIFS(E39:AI39, E47:AI47, "&gt;=7", E39:AI39, "&gt;0"), 0)</f>
        <v/>
      </c>
      <c r="O86" s="88" t="n"/>
      <c r="P86" s="88" t="n"/>
      <c r="Q86" s="89" t="n"/>
      <c r="R86" s="86" t="inlineStr">
        <is>
          <t>Baseline (Target)</t>
        </is>
      </c>
      <c r="S86" s="88" t="n"/>
      <c r="T86" s="88" t="n"/>
      <c r="U86" s="89" t="n"/>
    </row>
    <row r="87" ht="15" customHeight="1">
      <c r="A87" s="91" t="inlineStr">
        <is>
          <t>Sleep Deficit</t>
        </is>
      </c>
      <c r="B87" s="88" t="n"/>
      <c r="C87" s="89" t="n"/>
      <c r="D87" s="83" t="inlineStr">
        <is>
          <t>&lt; 7 Hours / Night</t>
        </is>
      </c>
      <c r="E87" s="88" t="n"/>
      <c r="F87" s="89" t="n"/>
      <c r="G87" s="10">
        <f>COUNTIF(E47:AI47, "&lt;7") - COUNTIF(E47:AI47, "")</f>
        <v/>
      </c>
      <c r="H87" s="88" t="n"/>
      <c r="I87" s="89" t="n"/>
      <c r="J87" s="83">
        <f>IFERROR(TEXT(AVERAGEIFS(E47:AI47, E47:AI47, "&lt;7", E47:AI47, "&gt;0"), "0.0") &amp; " hrs", "-")</f>
        <v/>
      </c>
      <c r="K87" s="88" t="n"/>
      <c r="L87" s="88" t="n"/>
      <c r="M87" s="89" t="n"/>
      <c r="N87" s="92">
        <f>IFERROR(AVERAGEIFS(E39:AI39, E47:AI47, "&lt;7", E39:AI39, "&gt;0"), 0)</f>
        <v/>
      </c>
      <c r="O87" s="88" t="n"/>
      <c r="P87" s="88" t="n"/>
      <c r="Q87" s="89" t="n"/>
      <c r="R87" s="87">
        <f>IFERROR(TEXT(N86 - N87, "+0.0%;-0.0%;0.0%") &amp; " Rest Advantage", "-")</f>
        <v/>
      </c>
      <c r="S87" s="88" t="n"/>
      <c r="T87" s="88" t="n"/>
      <c r="U87" s="89" t="n"/>
    </row>
    <row r="88" ht="18" customHeight="1">
      <c r="A88" s="93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9" t="n"/>
    </row>
    <row r="89" ht="10" customHeight="1"/>
    <row r="90">
      <c r="A90" s="94" t="inlineStr">
        <is>
          <t>STANDARDIZED DATA BRIDGE (FOR ANNUAL &amp; QUARTERLY REVIEW SHEETS)</t>
        </is>
      </c>
      <c r="B90" s="95" t="n"/>
      <c r="C90" s="95" t="n"/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  <c r="Z90" s="95" t="n"/>
      <c r="AA90" s="95" t="n"/>
      <c r="AB90" s="95" t="n"/>
      <c r="AC90" s="95" t="n"/>
      <c r="AD90" s="95" t="n"/>
      <c r="AE90" s="95" t="n"/>
      <c r="AF90" s="95" t="n"/>
      <c r="AG90" s="95" t="n"/>
      <c r="AH90" s="95" t="n"/>
      <c r="AI90" s="95" t="n"/>
    </row>
    <row r="91" ht="15" customHeight="1">
      <c r="A91" s="82" t="inlineStr">
        <is>
          <t>Month</t>
        </is>
      </c>
      <c r="B91" s="14" t="n"/>
      <c r="C91" s="82" t="inlineStr">
        <is>
          <t>Year</t>
        </is>
      </c>
      <c r="D91" s="14" t="n"/>
      <c r="E91" s="82" t="inlineStr">
        <is>
          <t>Active Habits</t>
        </is>
      </c>
      <c r="F91" s="14" t="n"/>
      <c r="G91" s="82" t="inlineStr">
        <is>
          <t>Target Days</t>
        </is>
      </c>
      <c r="H91" s="14" t="n"/>
      <c r="I91" s="82" t="inlineStr">
        <is>
          <t>Done Checks</t>
        </is>
      </c>
      <c r="J91" s="14" t="n"/>
      <c r="K91" s="82" t="inlineStr">
        <is>
          <t>Success %</t>
        </is>
      </c>
      <c r="L91" s="14" t="n"/>
      <c r="M91" s="82" t="inlineStr">
        <is>
          <t>Perfect Days</t>
        </is>
      </c>
      <c r="N91" s="14" t="n"/>
      <c r="O91" s="82" t="inlineStr">
        <is>
          <t>Avg Sleep</t>
        </is>
      </c>
      <c r="P91" s="14" t="n"/>
      <c r="Q91" s="82" t="inlineStr">
        <is>
          <t>Best Week</t>
        </is>
      </c>
      <c r="R91" s="14" t="n"/>
      <c r="S91" s="14" t="n"/>
      <c r="T91" s="82" t="inlineStr">
        <is>
          <t>Top Life Domain</t>
        </is>
      </c>
      <c r="U91" s="14" t="n"/>
      <c r="V91" s="14" t="n"/>
      <c r="W91" s="14" t="n"/>
    </row>
    <row r="92" ht="16" customHeight="1">
      <c r="A92" s="96" t="inlineStr">
        <is>
          <t>Dec</t>
        </is>
      </c>
      <c r="B92" s="89" t="n"/>
      <c r="C92" s="96" t="n">
        <v>2030</v>
      </c>
      <c r="D92" s="89" t="n"/>
      <c r="E92" s="97">
        <f>COUNTA(B18:B37)</f>
        <v/>
      </c>
      <c r="F92" s="89" t="n"/>
      <c r="G92" s="97">
        <f>SUM(D18:D37)</f>
        <v/>
      </c>
      <c r="H92" s="89" t="n"/>
      <c r="I92" s="97">
        <f>SUM(AL18:AL37)</f>
        <v/>
      </c>
      <c r="J92" s="89" t="n"/>
      <c r="K92" s="98">
        <f>IF(G92&gt;0, I92/G92, 0)</f>
        <v/>
      </c>
      <c r="L92" s="89" t="n"/>
      <c r="M92" s="97">
        <f>COUNTIF(E39:AI39, 1)</f>
        <v/>
      </c>
      <c r="N92" s="89" t="n"/>
      <c r="O92" s="99">
        <f>IFERROR(AVERAGE(E47:AI47), 0)</f>
        <v/>
      </c>
      <c r="P92" s="89" t="n"/>
      <c r="Q92" s="97">
        <f>INDEX(A76:A80, MATCH(MAX(E76:E80), E76:E80, 0))</f>
        <v/>
      </c>
      <c r="R92" s="88" t="n"/>
      <c r="S92" s="89" t="n"/>
      <c r="T92" s="97">
        <f>INDEX(N76:N80, MATCH(MAX(S76:S80), S76:S80, 0))</f>
        <v/>
      </c>
      <c r="U92" s="88" t="n"/>
      <c r="V92" s="88" t="n"/>
      <c r="W92" s="89" t="n"/>
    </row>
    <row r="93" ht="14" customHeight="1">
      <c r="A93" s="100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01" t="inlineStr">
        <is>
          <t>🏆 MONTHLY WINS &amp; HIGHLIGHTS</t>
        </is>
      </c>
      <c r="J95" s="102" t="inlineStr">
        <is>
          <t>⚠️ FRICTION POINTS &amp; ROOT CAUSES</t>
        </is>
      </c>
      <c r="S95" s="103" t="inlineStr">
        <is>
          <t>🎯 3 KEY ADJUSTMENTS FOR NEXT MONTH</t>
        </is>
      </c>
    </row>
    <row r="96">
      <c r="A96" s="104" t="inlineStr">
        <is>
          <t>1. What went exceptionally well this month?
2. Which habit felt effortless and consistent?
3. Major milestone achieved:</t>
        </is>
      </c>
      <c r="B96" s="105" t="n"/>
      <c r="C96" s="105" t="n"/>
      <c r="D96" s="105" t="n"/>
      <c r="E96" s="105" t="n"/>
      <c r="F96" s="105" t="n"/>
      <c r="G96" s="105" t="n"/>
      <c r="H96" s="105" t="n"/>
      <c r="J96" s="106" t="inlineStr">
        <is>
          <t>1. What caused missed or skipped days?
2. Main triggers / energy drains encountered:
3. Which habit had the lowest consistency and why?</t>
        </is>
      </c>
      <c r="K96" s="107" t="n"/>
      <c r="L96" s="107" t="n"/>
      <c r="M96" s="107" t="n"/>
      <c r="N96" s="107" t="n"/>
      <c r="O96" s="107" t="n"/>
      <c r="P96" s="107" t="n"/>
      <c r="Q96" s="107" t="n"/>
      <c r="S96" s="108" t="inlineStr">
        <is>
          <t>1. Habit Stacking or time adjustment for next month:
2. Environment design change to eliminate friction:
3. One non-negotiable priority protocol:</t>
        </is>
      </c>
      <c r="T96" s="109" t="n"/>
      <c r="U96" s="109" t="n"/>
      <c r="V96" s="109" t="n"/>
      <c r="W96" s="109" t="n"/>
      <c r="X96" s="109" t="n"/>
      <c r="Y96" s="109" t="n"/>
      <c r="Z96" s="109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J97" s="107" t="n"/>
      <c r="K97" s="107" t="n"/>
      <c r="L97" s="107" t="n"/>
      <c r="M97" s="107" t="n"/>
      <c r="N97" s="107" t="n"/>
      <c r="O97" s="107" t="n"/>
      <c r="P97" s="107" t="n"/>
      <c r="Q97" s="107" t="n"/>
      <c r="S97" s="109" t="n"/>
      <c r="T97" s="109" t="n"/>
      <c r="U97" s="109" t="n"/>
      <c r="V97" s="109" t="n"/>
      <c r="W97" s="109" t="n"/>
      <c r="X97" s="109" t="n"/>
      <c r="Y97" s="109" t="n"/>
      <c r="Z97" s="109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J98" s="107" t="n"/>
      <c r="K98" s="107" t="n"/>
      <c r="L98" s="107" t="n"/>
      <c r="M98" s="107" t="n"/>
      <c r="N98" s="107" t="n"/>
      <c r="O98" s="107" t="n"/>
      <c r="P98" s="107" t="n"/>
      <c r="Q98" s="107" t="n"/>
      <c r="S98" s="109" t="n"/>
      <c r="T98" s="109" t="n"/>
      <c r="U98" s="109" t="n"/>
      <c r="V98" s="109" t="n"/>
      <c r="W98" s="109" t="n"/>
      <c r="X98" s="109" t="n"/>
      <c r="Y98" s="109" t="n"/>
      <c r="Z98" s="109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J99" s="107" t="n"/>
      <c r="K99" s="107" t="n"/>
      <c r="L99" s="107" t="n"/>
      <c r="M99" s="107" t="n"/>
      <c r="N99" s="107" t="n"/>
      <c r="O99" s="107" t="n"/>
      <c r="P99" s="107" t="n"/>
      <c r="Q99" s="107" t="n"/>
      <c r="S99" s="109" t="n"/>
      <c r="T99" s="109" t="n"/>
      <c r="U99" s="109" t="n"/>
      <c r="V99" s="109" t="n"/>
      <c r="W99" s="109" t="n"/>
      <c r="X99" s="109" t="n"/>
      <c r="Y99" s="109" t="n"/>
      <c r="Z99" s="109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J100" s="107" t="n"/>
      <c r="K100" s="107" t="n"/>
      <c r="L100" s="107" t="n"/>
      <c r="M100" s="107" t="n"/>
      <c r="N100" s="107" t="n"/>
      <c r="O100" s="107" t="n"/>
      <c r="P100" s="107" t="n"/>
      <c r="Q100" s="107" t="n"/>
      <c r="S100" s="109" t="n"/>
      <c r="T100" s="109" t="n"/>
      <c r="U100" s="109" t="n"/>
      <c r="V100" s="109" t="n"/>
      <c r="W100" s="109" t="n"/>
      <c r="X100" s="109" t="n"/>
      <c r="Y100" s="109" t="n"/>
      <c r="Z100" s="109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J101" s="107" t="n"/>
      <c r="K101" s="107" t="n"/>
      <c r="L101" s="107" t="n"/>
      <c r="M101" s="107" t="n"/>
      <c r="N101" s="107" t="n"/>
      <c r="O101" s="107" t="n"/>
      <c r="P101" s="107" t="n"/>
      <c r="Q101" s="107" t="n"/>
      <c r="S101" s="109" t="n"/>
      <c r="T101" s="109" t="n"/>
      <c r="U101" s="109" t="n"/>
      <c r="V101" s="109" t="n"/>
      <c r="W101" s="109" t="n"/>
      <c r="X101" s="109" t="n"/>
      <c r="Y101" s="109" t="n"/>
      <c r="Z101" s="109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J102" s="107" t="n"/>
      <c r="K102" s="107" t="n"/>
      <c r="L102" s="107" t="n"/>
      <c r="M102" s="107" t="n"/>
      <c r="N102" s="107" t="n"/>
      <c r="O102" s="107" t="n"/>
      <c r="P102" s="107" t="n"/>
      <c r="Q102" s="107" t="n"/>
      <c r="S102" s="109" t="n"/>
      <c r="T102" s="109" t="n"/>
      <c r="U102" s="109" t="n"/>
      <c r="V102" s="109" t="n"/>
      <c r="W102" s="109" t="n"/>
      <c r="X102" s="109" t="n"/>
      <c r="Y102" s="109" t="n"/>
      <c r="Z102" s="109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J103" s="107" t="n"/>
      <c r="K103" s="107" t="n"/>
      <c r="L103" s="107" t="n"/>
      <c r="M103" s="107" t="n"/>
      <c r="N103" s="107" t="n"/>
      <c r="O103" s="107" t="n"/>
      <c r="P103" s="107" t="n"/>
      <c r="Q103" s="107" t="n"/>
      <c r="S103" s="109" t="n"/>
      <c r="T103" s="109" t="n"/>
      <c r="U103" s="109" t="n"/>
      <c r="V103" s="109" t="n"/>
      <c r="W103" s="109" t="n"/>
      <c r="X103" s="109" t="n"/>
      <c r="Y103" s="109" t="n"/>
      <c r="Z103" s="109" t="n"/>
    </row>
  </sheetData>
  <mergeCells count="92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H3:AD3"/>
    <mergeCell ref="K67:N67"/>
    <mergeCell ref="S95:Z95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J95:Q95"/>
    <mergeCell ref="A84:AI84"/>
    <mergeCell ref="D85:F85"/>
    <mergeCell ref="N74:S74"/>
    <mergeCell ref="H2:AD2"/>
    <mergeCell ref="P9:AK9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90:AI90"/>
    <mergeCell ref="G86:I86"/>
    <mergeCell ref="AE2:AK2"/>
    <mergeCell ref="A96:H103"/>
    <mergeCell ref="P67:S67"/>
    <mergeCell ref="A41:AK41"/>
    <mergeCell ref="T92:W92"/>
    <mergeCell ref="R85:U85"/>
    <mergeCell ref="K71:N71"/>
    <mergeCell ref="S96:Z103"/>
    <mergeCell ref="A38:D38"/>
    <mergeCell ref="A42:AK42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Q92:S92"/>
    <mergeCell ref="A87:C87"/>
    <mergeCell ref="A47:D47"/>
  </mergeCells>
  <conditionalFormatting sqref="E18:AI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conditionalFormatting sqref="E16:E17">
    <cfRule type="expression" priority="6" dxfId="2">
      <formula>AND(DAY(TODAY())=1, MONTH(TODAY())=12, YEAR(TODAY())=2030)</formula>
    </cfRule>
  </conditionalFormatting>
  <conditionalFormatting sqref="F16:F17">
    <cfRule type="expression" priority="7" dxfId="2">
      <formula>AND(DAY(TODAY())=2, MONTH(TODAY())=12, YEAR(TODAY())=2030)</formula>
    </cfRule>
  </conditionalFormatting>
  <conditionalFormatting sqref="G16:G17">
    <cfRule type="expression" priority="8" dxfId="2">
      <formula>AND(DAY(TODAY())=3, MONTH(TODAY())=12, YEAR(TODAY())=2030)</formula>
    </cfRule>
  </conditionalFormatting>
  <conditionalFormatting sqref="H16:H17">
    <cfRule type="expression" priority="9" dxfId="2">
      <formula>AND(DAY(TODAY())=4, MONTH(TODAY())=12, YEAR(TODAY())=2030)</formula>
    </cfRule>
  </conditionalFormatting>
  <conditionalFormatting sqref="I16:I17">
    <cfRule type="expression" priority="10" dxfId="2">
      <formula>AND(DAY(TODAY())=5, MONTH(TODAY())=12, YEAR(TODAY())=2030)</formula>
    </cfRule>
  </conditionalFormatting>
  <conditionalFormatting sqref="J16:J17">
    <cfRule type="expression" priority="11" dxfId="2">
      <formula>AND(DAY(TODAY())=6, MONTH(TODAY())=12, YEAR(TODAY())=2030)</formula>
    </cfRule>
  </conditionalFormatting>
  <conditionalFormatting sqref="K16:K17">
    <cfRule type="expression" priority="12" dxfId="2">
      <formula>AND(DAY(TODAY())=7, MONTH(TODAY())=12, YEAR(TODAY())=2030)</formula>
    </cfRule>
  </conditionalFormatting>
  <conditionalFormatting sqref="L16:L17">
    <cfRule type="expression" priority="13" dxfId="2">
      <formula>AND(DAY(TODAY())=8, MONTH(TODAY())=12, YEAR(TODAY())=2030)</formula>
    </cfRule>
  </conditionalFormatting>
  <conditionalFormatting sqref="M16:M17">
    <cfRule type="expression" priority="14" dxfId="2">
      <formula>AND(DAY(TODAY())=9, MONTH(TODAY())=12, YEAR(TODAY())=2030)</formula>
    </cfRule>
  </conditionalFormatting>
  <conditionalFormatting sqref="N16:N17">
    <cfRule type="expression" priority="15" dxfId="2">
      <formula>AND(DAY(TODAY())=10, MONTH(TODAY())=12, YEAR(TODAY())=2030)</formula>
    </cfRule>
  </conditionalFormatting>
  <conditionalFormatting sqref="O16:O17">
    <cfRule type="expression" priority="16" dxfId="2">
      <formula>AND(DAY(TODAY())=11, MONTH(TODAY())=12, YEAR(TODAY())=2030)</formula>
    </cfRule>
  </conditionalFormatting>
  <conditionalFormatting sqref="P16:P17">
    <cfRule type="expression" priority="17" dxfId="2">
      <formula>AND(DAY(TODAY())=12, MONTH(TODAY())=12, YEAR(TODAY())=2030)</formula>
    </cfRule>
  </conditionalFormatting>
  <conditionalFormatting sqref="Q16:Q17">
    <cfRule type="expression" priority="18" dxfId="2">
      <formula>AND(DAY(TODAY())=13, MONTH(TODAY())=12, YEAR(TODAY())=2030)</formula>
    </cfRule>
  </conditionalFormatting>
  <conditionalFormatting sqref="R16:R17">
    <cfRule type="expression" priority="19" dxfId="2">
      <formula>AND(DAY(TODAY())=14, MONTH(TODAY())=12, YEAR(TODAY())=2030)</formula>
    </cfRule>
  </conditionalFormatting>
  <conditionalFormatting sqref="S16:S17">
    <cfRule type="expression" priority="20" dxfId="2">
      <formula>AND(DAY(TODAY())=15, MONTH(TODAY())=12, YEAR(TODAY())=2030)</formula>
    </cfRule>
  </conditionalFormatting>
  <conditionalFormatting sqref="T16:T17">
    <cfRule type="expression" priority="21" dxfId="2">
      <formula>AND(DAY(TODAY())=16, MONTH(TODAY())=12, YEAR(TODAY())=2030)</formula>
    </cfRule>
  </conditionalFormatting>
  <conditionalFormatting sqref="U16:U17">
    <cfRule type="expression" priority="22" dxfId="2">
      <formula>AND(DAY(TODAY())=17, MONTH(TODAY())=12, YEAR(TODAY())=2030)</formula>
    </cfRule>
  </conditionalFormatting>
  <conditionalFormatting sqref="V16:V17">
    <cfRule type="expression" priority="23" dxfId="2">
      <formula>AND(DAY(TODAY())=18, MONTH(TODAY())=12, YEAR(TODAY())=2030)</formula>
    </cfRule>
  </conditionalFormatting>
  <conditionalFormatting sqref="W16:W17">
    <cfRule type="expression" priority="24" dxfId="2">
      <formula>AND(DAY(TODAY())=19, MONTH(TODAY())=12, YEAR(TODAY())=2030)</formula>
    </cfRule>
  </conditionalFormatting>
  <conditionalFormatting sqref="X16:X17">
    <cfRule type="expression" priority="25" dxfId="2">
      <formula>AND(DAY(TODAY())=20, MONTH(TODAY())=12, YEAR(TODAY())=2030)</formula>
    </cfRule>
  </conditionalFormatting>
  <conditionalFormatting sqref="Y16:Y17">
    <cfRule type="expression" priority="26" dxfId="2">
      <formula>AND(DAY(TODAY())=21, MONTH(TODAY())=12, YEAR(TODAY())=2030)</formula>
    </cfRule>
  </conditionalFormatting>
  <conditionalFormatting sqref="Z16:Z17">
    <cfRule type="expression" priority="27" dxfId="2">
      <formula>AND(DAY(TODAY())=22, MONTH(TODAY())=12, YEAR(TODAY())=2030)</formula>
    </cfRule>
  </conditionalFormatting>
  <conditionalFormatting sqref="AA16:AA17">
    <cfRule type="expression" priority="28" dxfId="2">
      <formula>AND(DAY(TODAY())=23, MONTH(TODAY())=12, YEAR(TODAY())=2030)</formula>
    </cfRule>
  </conditionalFormatting>
  <conditionalFormatting sqref="AB16:AB17">
    <cfRule type="expression" priority="29" dxfId="2">
      <formula>AND(DAY(TODAY())=24, MONTH(TODAY())=12, YEAR(TODAY())=2030)</formula>
    </cfRule>
  </conditionalFormatting>
  <conditionalFormatting sqref="AC16:AC17">
    <cfRule type="expression" priority="30" dxfId="2">
      <formula>AND(DAY(TODAY())=25, MONTH(TODAY())=12, YEAR(TODAY())=2030)</formula>
    </cfRule>
  </conditionalFormatting>
  <conditionalFormatting sqref="AD16:AD17">
    <cfRule type="expression" priority="31" dxfId="2">
      <formula>AND(DAY(TODAY())=26, MONTH(TODAY())=12, YEAR(TODAY())=2030)</formula>
    </cfRule>
  </conditionalFormatting>
  <conditionalFormatting sqref="AE16:AE17">
    <cfRule type="expression" priority="32" dxfId="2">
      <formula>AND(DAY(TODAY())=27, MONTH(TODAY())=12, YEAR(TODAY())=2030)</formula>
    </cfRule>
  </conditionalFormatting>
  <conditionalFormatting sqref="AF16:AF17">
    <cfRule type="expression" priority="33" dxfId="2">
      <formula>AND(DAY(TODAY())=28, MONTH(TODAY())=12, YEAR(TODAY())=2030)</formula>
    </cfRule>
  </conditionalFormatting>
  <conditionalFormatting sqref="AG16:AG17">
    <cfRule type="expression" priority="34" dxfId="2">
      <formula>AND(DAY(TODAY())=29, MONTH(TODAY())=12, YEAR(TODAY())=2030)</formula>
    </cfRule>
  </conditionalFormatting>
  <conditionalFormatting sqref="AH16:AH17">
    <cfRule type="expression" priority="35" dxfId="2">
      <formula>AND(DAY(TODAY())=30, MONTH(TODAY())=12, YEAR(TODAY())=2030)</formula>
    </cfRule>
  </conditionalFormatting>
  <conditionalFormatting sqref="AI16:AI17">
    <cfRule type="expression" priority="36" dxfId="2">
      <formula>AND(DAY(TODAY())=31, MONTH(TODAY())=12,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2026-09-21T19:57:54Z</dcterms:created>
  <dcterms:modified xmlns:dcterms="http://purl.org/dc/terms/" xmlns:xsi="http://www.w3.org/2001/XMLSchema-instance" xsi:type="dcterms:W3CDTF">2026-09-21T19:58:03Z</dcterms:modified>
</cp:coreProperties>
</file>