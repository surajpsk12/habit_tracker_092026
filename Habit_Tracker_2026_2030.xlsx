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worksheets/sheet4.xml" ContentType="application/vnd.openxmlformats-officedocument.spreadsheetml.worksheet+xml"/>
  <Override PartName="/xl/drawings/drawing3.xml" ContentType="application/vnd.openxmlformats-officedocument.drawing+xml"/>
  <Override PartName="/xl/worksheets/sheet5.xml" ContentType="application/vnd.openxmlformats-officedocument.spreadsheetml.worksheet+xml"/>
  <Override PartName="/xl/drawings/drawing4.xml" ContentType="application/vnd.openxmlformats-officedocument.drawing+xml"/>
  <Override PartName="/xl/worksheets/sheet6.xml" ContentType="application/vnd.openxmlformats-officedocument.spreadsheetml.worksheet+xml"/>
  <Override PartName="/xl/drawings/drawing5.xml" ContentType="application/vnd.openxmlformats-officedocument.drawing+xml"/>
  <Override PartName="/xl/worksheets/sheet7.xml" ContentType="application/vnd.openxmlformats-officedocument.spreadsheetml.worksheet+xml"/>
  <Override PartName="/xl/drawings/drawing6.xml" ContentType="application/vnd.openxmlformats-officedocument.drawing+xml"/>
  <Override PartName="/xl/worksheets/sheet8.xml" ContentType="application/vnd.openxmlformats-officedocument.spreadsheetml.worksheet+xml"/>
  <Override PartName="/xl/drawings/drawing7.xml" ContentType="application/vnd.openxmlformats-officedocument.drawing+xml"/>
  <Override PartName="/xl/worksheets/sheet9.xml" ContentType="application/vnd.openxmlformats-officedocument.spreadsheetml.worksheet+xml"/>
  <Override PartName="/xl/drawings/drawing8.xml" ContentType="application/vnd.openxmlformats-officedocument.drawing+xml"/>
  <Override PartName="/xl/worksheets/sheet10.xml" ContentType="application/vnd.openxmlformats-officedocument.spreadsheetml.worksheet+xml"/>
  <Override PartName="/xl/drawings/drawing9.xml" ContentType="application/vnd.openxmlformats-officedocument.drawing+xml"/>
  <Override PartName="/xl/worksheets/sheet11.xml" ContentType="application/vnd.openxmlformats-officedocument.spreadsheetml.worksheet+xml"/>
  <Override PartName="/xl/drawings/drawing10.xml" ContentType="application/vnd.openxmlformats-officedocument.drawing+xml"/>
  <Override PartName="/xl/worksheets/sheet12.xml" ContentType="application/vnd.openxmlformats-officedocument.spreadsheetml.worksheet+xml"/>
  <Override PartName="/xl/drawings/drawing11.xml" ContentType="application/vnd.openxmlformats-officedocument.drawing+xml"/>
  <Override PartName="/xl/worksheets/sheet13.xml" ContentType="application/vnd.openxmlformats-officedocument.spreadsheetml.worksheet+xml"/>
  <Override PartName="/xl/drawings/drawing12.xml" ContentType="application/vnd.openxmlformats-officedocument.drawing+xml"/>
  <Override PartName="/xl/worksheets/sheet14.xml" ContentType="application/vnd.openxmlformats-officedocument.spreadsheetml.worksheet+xml"/>
  <Override PartName="/xl/drawings/drawing13.xml" ContentType="application/vnd.openxmlformats-officedocument.drawing+xml"/>
  <Override PartName="/xl/worksheets/sheet15.xml" ContentType="application/vnd.openxmlformats-officedocument.spreadsheetml.worksheet+xml"/>
  <Override PartName="/xl/drawings/drawing14.xml" ContentType="application/vnd.openxmlformats-officedocument.drawing+xml"/>
  <Override PartName="/xl/worksheets/sheet16.xml" ContentType="application/vnd.openxmlformats-officedocument.spreadsheetml.worksheet+xml"/>
  <Override PartName="/xl/drawings/drawing15.xml" ContentType="application/vnd.openxmlformats-officedocument.drawing+xml"/>
  <Override PartName="/xl/worksheets/sheet17.xml" ContentType="application/vnd.openxmlformats-officedocument.spreadsheetml.worksheet+xml"/>
  <Override PartName="/xl/drawings/drawing16.xml" ContentType="application/vnd.openxmlformats-officedocument.drawing+xml"/>
  <Override PartName="/xl/worksheets/sheet18.xml" ContentType="application/vnd.openxmlformats-officedocument.spreadsheetml.worksheet+xml"/>
  <Override PartName="/xl/drawings/drawing17.xml" ContentType="application/vnd.openxmlformats-officedocument.drawing+xml"/>
  <Override PartName="/xl/worksheets/sheet19.xml" ContentType="application/vnd.openxmlformats-officedocument.spreadsheetml.worksheet+xml"/>
  <Override PartName="/xl/drawings/drawing18.xml" ContentType="application/vnd.openxmlformats-officedocument.drawing+xml"/>
  <Override PartName="/xl/worksheets/sheet20.xml" ContentType="application/vnd.openxmlformats-officedocument.spreadsheetml.worksheet+xml"/>
  <Override PartName="/xl/drawings/drawing19.xml" ContentType="application/vnd.openxmlformats-officedocument.drawing+xml"/>
  <Override PartName="/xl/worksheets/sheet21.xml" ContentType="application/vnd.openxmlformats-officedocument.spreadsheetml.worksheet+xml"/>
  <Override PartName="/xl/drawings/drawing20.xml" ContentType="application/vnd.openxmlformats-officedocument.drawing+xml"/>
  <Override PartName="/xl/worksheets/sheet22.xml" ContentType="application/vnd.openxmlformats-officedocument.spreadsheetml.worksheet+xml"/>
  <Override PartName="/xl/drawings/drawing21.xml" ContentType="application/vnd.openxmlformats-officedocument.drawing+xml"/>
  <Override PartName="/xl/worksheets/sheet23.xml" ContentType="application/vnd.openxmlformats-officedocument.spreadsheetml.worksheet+xml"/>
  <Override PartName="/xl/drawings/drawing22.xml" ContentType="application/vnd.openxmlformats-officedocument.drawing+xml"/>
  <Override PartName="/xl/worksheets/sheet24.xml" ContentType="application/vnd.openxmlformats-officedocument.spreadsheetml.worksheet+xml"/>
  <Override PartName="/xl/drawings/drawing23.xml" ContentType="application/vnd.openxmlformats-officedocument.drawing+xml"/>
  <Override PartName="/xl/worksheets/sheet25.xml" ContentType="application/vnd.openxmlformats-officedocument.spreadsheetml.worksheet+xml"/>
  <Override PartName="/xl/drawings/drawing24.xml" ContentType="application/vnd.openxmlformats-officedocument.drawing+xml"/>
  <Override PartName="/xl/worksheets/sheet26.xml" ContentType="application/vnd.openxmlformats-officedocument.spreadsheetml.worksheet+xml"/>
  <Override PartName="/xl/drawings/drawing25.xml" ContentType="application/vnd.openxmlformats-officedocument.drawing+xml"/>
  <Override PartName="/xl/worksheets/sheet27.xml" ContentType="application/vnd.openxmlformats-officedocument.spreadsheetml.worksheet+xml"/>
  <Override PartName="/xl/drawings/drawing26.xml" ContentType="application/vnd.openxmlformats-officedocument.drawing+xml"/>
  <Override PartName="/xl/worksheets/sheet28.xml" ContentType="application/vnd.openxmlformats-officedocument.spreadsheetml.worksheet+xml"/>
  <Override PartName="/xl/drawings/drawing27.xml" ContentType="application/vnd.openxmlformats-officedocument.drawing+xml"/>
  <Override PartName="/xl/worksheets/sheet29.xml" ContentType="application/vnd.openxmlformats-officedocument.spreadsheetml.worksheet+xml"/>
  <Override PartName="/xl/drawings/drawing28.xml" ContentType="application/vnd.openxmlformats-officedocument.drawing+xml"/>
  <Override PartName="/xl/worksheets/sheet30.xml" ContentType="application/vnd.openxmlformats-officedocument.spreadsheetml.worksheet+xml"/>
  <Override PartName="/xl/drawings/drawing29.xml" ContentType="application/vnd.openxmlformats-officedocument.drawing+xml"/>
  <Override PartName="/xl/worksheets/sheet31.xml" ContentType="application/vnd.openxmlformats-officedocument.spreadsheetml.worksheet+xml"/>
  <Override PartName="/xl/drawings/drawing30.xml" ContentType="application/vnd.openxmlformats-officedocument.drawing+xml"/>
  <Override PartName="/xl/worksheets/sheet32.xml" ContentType="application/vnd.openxmlformats-officedocument.spreadsheetml.worksheet+xml"/>
  <Override PartName="/xl/drawings/drawing31.xml" ContentType="application/vnd.openxmlformats-officedocument.drawing+xml"/>
  <Override PartName="/xl/worksheets/sheet33.xml" ContentType="application/vnd.openxmlformats-officedocument.spreadsheetml.worksheet+xml"/>
  <Override PartName="/xl/drawings/drawing32.xml" ContentType="application/vnd.openxmlformats-officedocument.drawing+xml"/>
  <Override PartName="/xl/worksheets/sheet34.xml" ContentType="application/vnd.openxmlformats-officedocument.spreadsheetml.worksheet+xml"/>
  <Override PartName="/xl/drawings/drawing33.xml" ContentType="application/vnd.openxmlformats-officedocument.drawing+xml"/>
  <Override PartName="/xl/worksheets/sheet35.xml" ContentType="application/vnd.openxmlformats-officedocument.spreadsheetml.worksheet+xml"/>
  <Override PartName="/xl/drawings/drawing34.xml" ContentType="application/vnd.openxmlformats-officedocument.drawing+xml"/>
  <Override PartName="/xl/worksheets/sheet36.xml" ContentType="application/vnd.openxmlformats-officedocument.spreadsheetml.worksheet+xml"/>
  <Override PartName="/xl/drawings/drawing35.xml" ContentType="application/vnd.openxmlformats-officedocument.drawing+xml"/>
  <Override PartName="/xl/worksheets/sheet37.xml" ContentType="application/vnd.openxmlformats-officedocument.spreadsheetml.worksheet+xml"/>
  <Override PartName="/xl/drawings/drawing36.xml" ContentType="application/vnd.openxmlformats-officedocument.drawing+xml"/>
  <Override PartName="/xl/worksheets/sheet38.xml" ContentType="application/vnd.openxmlformats-officedocument.spreadsheetml.worksheet+xml"/>
  <Override PartName="/xl/drawings/drawing37.xml" ContentType="application/vnd.openxmlformats-officedocument.drawing+xml"/>
  <Override PartName="/xl/worksheets/sheet39.xml" ContentType="application/vnd.openxmlformats-officedocument.spreadsheetml.worksheet+xml"/>
  <Override PartName="/xl/drawings/drawing38.xml" ContentType="application/vnd.openxmlformats-officedocument.drawing+xml"/>
  <Override PartName="/xl/worksheets/sheet40.xml" ContentType="application/vnd.openxmlformats-officedocument.spreadsheetml.worksheet+xml"/>
  <Override PartName="/xl/drawings/drawing39.xml" ContentType="application/vnd.openxmlformats-officedocument.drawing+xml"/>
  <Override PartName="/xl/worksheets/sheet41.xml" ContentType="application/vnd.openxmlformats-officedocument.spreadsheetml.worksheet+xml"/>
  <Override PartName="/xl/drawings/drawing40.xml" ContentType="application/vnd.openxmlformats-officedocument.drawing+xml"/>
  <Override PartName="/xl/worksheets/sheet42.xml" ContentType="application/vnd.openxmlformats-officedocument.spreadsheetml.worksheet+xml"/>
  <Override PartName="/xl/drawings/drawing41.xml" ContentType="application/vnd.openxmlformats-officedocument.drawing+xml"/>
  <Override PartName="/xl/worksheets/sheet43.xml" ContentType="application/vnd.openxmlformats-officedocument.spreadsheetml.worksheet+xml"/>
  <Override PartName="/xl/drawings/drawing42.xml" ContentType="application/vnd.openxmlformats-officedocument.drawing+xml"/>
  <Override PartName="/xl/worksheets/sheet44.xml" ContentType="application/vnd.openxmlformats-officedocument.spreadsheetml.worksheet+xml"/>
  <Override PartName="/xl/drawings/drawing43.xml" ContentType="application/vnd.openxmlformats-officedocument.drawing+xml"/>
  <Override PartName="/xl/worksheets/sheet45.xml" ContentType="application/vnd.openxmlformats-officedocument.spreadsheetml.worksheet+xml"/>
  <Override PartName="/xl/drawings/drawing44.xml" ContentType="application/vnd.openxmlformats-officedocument.drawing+xml"/>
  <Override PartName="/xl/worksheets/sheet46.xml" ContentType="application/vnd.openxmlformats-officedocument.spreadsheetml.worksheet+xml"/>
  <Override PartName="/xl/drawings/drawing45.xml" ContentType="application/vnd.openxmlformats-officedocument.drawing+xml"/>
  <Override PartName="/xl/worksheets/sheet47.xml" ContentType="application/vnd.openxmlformats-officedocument.spreadsheetml.worksheet+xml"/>
  <Override PartName="/xl/drawings/drawing46.xml" ContentType="application/vnd.openxmlformats-officedocument.drawing+xml"/>
  <Override PartName="/xl/worksheets/sheet48.xml" ContentType="application/vnd.openxmlformats-officedocument.spreadsheetml.worksheet+xml"/>
  <Override PartName="/xl/drawings/drawing47.xml" ContentType="application/vnd.openxmlformats-officedocument.drawing+xml"/>
  <Override PartName="/xl/worksheets/sheet49.xml" ContentType="application/vnd.openxmlformats-officedocument.spreadsheetml.worksheet+xml"/>
  <Override PartName="/xl/drawings/drawing48.xml" ContentType="application/vnd.openxmlformats-officedocument.drawing+xml"/>
  <Override PartName="/xl/worksheets/sheet50.xml" ContentType="application/vnd.openxmlformats-officedocument.spreadsheetml.worksheet+xml"/>
  <Override PartName="/xl/drawings/drawing49.xml" ContentType="application/vnd.openxmlformats-officedocument.drawing+xml"/>
  <Override PartName="/xl/worksheets/sheet51.xml" ContentType="application/vnd.openxmlformats-officedocument.spreadsheetml.worksheet+xml"/>
  <Override PartName="/xl/drawings/drawing50.xml" ContentType="application/vnd.openxmlformats-officedocument.drawing+xml"/>
  <Override PartName="/xl/worksheets/sheet52.xml" ContentType="application/vnd.openxmlformats-officedocument.spreadsheetml.worksheet+xml"/>
  <Override PartName="/xl/drawings/drawing51.xml" ContentType="application/vnd.openxmlformats-officedocument.drawing+xml"/>
  <Override PartName="/xl/worksheets/sheet53.xml" ContentType="application/vnd.openxmlformats-officedocument.spreadsheetml.worksheet+xml"/>
  <Override PartName="/xl/drawings/drawing52.xml" ContentType="application/vnd.openxmlformats-officedocument.drawing+xml"/>
  <Override PartName="/xl/worksheets/sheet54.xml" ContentType="application/vnd.openxmlformats-officedocument.spreadsheetml.worksheet+xml"/>
  <Override PartName="/xl/drawings/drawing53.xml" ContentType="application/vnd.openxmlformats-officedocument.drawing+xml"/>
  <Override PartName="/xl/worksheets/sheet55.xml" ContentType="application/vnd.openxmlformats-officedocument.spreadsheetml.worksheet+xml"/>
  <Override PartName="/xl/drawings/drawing54.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charts/chart9.xml" ContentType="application/vnd.openxmlformats-officedocument.drawingml.chart+xml"/>
  <Override PartName="/xl/charts/chart10.xml" ContentType="application/vnd.openxmlformats-officedocument.drawingml.chart+xml"/>
  <Override PartName="/xl/charts/chart11.xml" ContentType="application/vnd.openxmlformats-officedocument.drawingml.chart+xml"/>
  <Override PartName="/xl/charts/chart12.xml" ContentType="application/vnd.openxmlformats-officedocument.drawingml.chart+xml"/>
  <Override PartName="/xl/charts/chart13.xml" ContentType="application/vnd.openxmlformats-officedocument.drawingml.chart+xml"/>
  <Override PartName="/xl/charts/chart14.xml" ContentType="application/vnd.openxmlformats-officedocument.drawingml.chart+xml"/>
  <Override PartName="/xl/charts/chart15.xml" ContentType="application/vnd.openxmlformats-officedocument.drawingml.chart+xml"/>
  <Override PartName="/xl/charts/chart16.xml" ContentType="application/vnd.openxmlformats-officedocument.drawingml.chart+xml"/>
  <Override PartName="/xl/charts/chart17.xml" ContentType="application/vnd.openxmlformats-officedocument.drawingml.chart+xml"/>
  <Override PartName="/xl/charts/chart18.xml" ContentType="application/vnd.openxmlformats-officedocument.drawingml.chart+xml"/>
  <Override PartName="/xl/charts/chart19.xml" ContentType="application/vnd.openxmlformats-officedocument.drawingml.chart+xml"/>
  <Override PartName="/xl/charts/chart20.xml" ContentType="application/vnd.openxmlformats-officedocument.drawingml.chart+xml"/>
  <Override PartName="/xl/charts/chart21.xml" ContentType="application/vnd.openxmlformats-officedocument.drawingml.chart+xml"/>
  <Override PartName="/xl/charts/chart22.xml" ContentType="application/vnd.openxmlformats-officedocument.drawingml.chart+xml"/>
  <Override PartName="/xl/charts/chart23.xml" ContentType="application/vnd.openxmlformats-officedocument.drawingml.chart+xml"/>
  <Override PartName="/xl/charts/chart24.xml" ContentType="application/vnd.openxmlformats-officedocument.drawingml.chart+xml"/>
  <Override PartName="/xl/charts/chart25.xml" ContentType="application/vnd.openxmlformats-officedocument.drawingml.chart+xml"/>
  <Override PartName="/xl/charts/chart26.xml" ContentType="application/vnd.openxmlformats-officedocument.drawingml.chart+xml"/>
  <Override PartName="/xl/charts/chart27.xml" ContentType="application/vnd.openxmlformats-officedocument.drawingml.chart+xml"/>
  <Override PartName="/xl/charts/chart28.xml" ContentType="application/vnd.openxmlformats-officedocument.drawingml.chart+xml"/>
  <Override PartName="/xl/charts/chart29.xml" ContentType="application/vnd.openxmlformats-officedocument.drawingml.chart+xml"/>
  <Override PartName="/xl/charts/chart30.xml" ContentType="application/vnd.openxmlformats-officedocument.drawingml.chart+xml"/>
  <Override PartName="/xl/charts/chart31.xml" ContentType="application/vnd.openxmlformats-officedocument.drawingml.chart+xml"/>
  <Override PartName="/xl/charts/chart32.xml" ContentType="application/vnd.openxmlformats-officedocument.drawingml.chart+xml"/>
  <Override PartName="/xl/charts/chart33.xml" ContentType="application/vnd.openxmlformats-officedocument.drawingml.chart+xml"/>
  <Override PartName="/xl/charts/chart34.xml" ContentType="application/vnd.openxmlformats-officedocument.drawingml.chart+xml"/>
  <Override PartName="/xl/charts/chart35.xml" ContentType="application/vnd.openxmlformats-officedocument.drawingml.chart+xml"/>
  <Override PartName="/xl/charts/chart36.xml" ContentType="application/vnd.openxmlformats-officedocument.drawingml.chart+xml"/>
  <Override PartName="/xl/charts/chart37.xml" ContentType="application/vnd.openxmlformats-officedocument.drawingml.chart+xml"/>
  <Override PartName="/xl/charts/chart38.xml" ContentType="application/vnd.openxmlformats-officedocument.drawingml.chart+xml"/>
  <Override PartName="/xl/charts/chart39.xml" ContentType="application/vnd.openxmlformats-officedocument.drawingml.chart+xml"/>
  <Override PartName="/xl/charts/chart40.xml" ContentType="application/vnd.openxmlformats-officedocument.drawingml.chart+xml"/>
  <Override PartName="/xl/charts/chart41.xml" ContentType="application/vnd.openxmlformats-officedocument.drawingml.chart+xml"/>
  <Override PartName="/xl/charts/chart42.xml" ContentType="application/vnd.openxmlformats-officedocument.drawingml.chart+xml"/>
  <Override PartName="/xl/charts/chart43.xml" ContentType="application/vnd.openxmlformats-officedocument.drawingml.chart+xml"/>
  <Override PartName="/xl/charts/chart44.xml" ContentType="application/vnd.openxmlformats-officedocument.drawingml.chart+xml"/>
  <Override PartName="/xl/charts/chart45.xml" ContentType="application/vnd.openxmlformats-officedocument.drawingml.chart+xml"/>
  <Override PartName="/xl/charts/chart46.xml" ContentType="application/vnd.openxmlformats-officedocument.drawingml.chart+xml"/>
  <Override PartName="/xl/charts/chart47.xml" ContentType="application/vnd.openxmlformats-officedocument.drawingml.chart+xml"/>
  <Override PartName="/xl/charts/chart48.xml" ContentType="application/vnd.openxmlformats-officedocument.drawingml.chart+xml"/>
  <Override PartName="/xl/charts/chart49.xml" ContentType="application/vnd.openxmlformats-officedocument.drawingml.chart+xml"/>
  <Override PartName="/xl/charts/chart50.xml" ContentType="application/vnd.openxmlformats-officedocument.drawingml.chart+xml"/>
  <Override PartName="/xl/charts/chart51.xml" ContentType="application/vnd.openxmlformats-officedocument.drawingml.chart+xml"/>
  <Override PartName="/xl/charts/chart52.xml" ContentType="application/vnd.openxmlformats-officedocument.drawingml.chart+xml"/>
  <Override PartName="/xl/charts/chart53.xml" ContentType="application/vnd.openxmlformats-officedocument.drawingml.chart+xml"/>
  <Override PartName="/xl/charts/chart54.xml" ContentType="application/vnd.openxmlformats-officedocument.drawingml.chart+xml"/>
  <Override PartName="/xl/charts/chart55.xml" ContentType="application/vnd.openxmlformats-officedocument.drawingml.chart+xml"/>
  <Override PartName="/xl/charts/chart56.xml" ContentType="application/vnd.openxmlformats-officedocument.drawingml.chart+xml"/>
  <Override PartName="/xl/charts/chart57.xml" ContentType="application/vnd.openxmlformats-officedocument.drawingml.chart+xml"/>
  <Override PartName="/xl/charts/chart58.xml" ContentType="application/vnd.openxmlformats-officedocument.drawingml.chart+xml"/>
  <Override PartName="/xl/charts/chart59.xml" ContentType="application/vnd.openxmlformats-officedocument.drawingml.chart+xml"/>
  <Override PartName="/xl/charts/chart60.xml" ContentType="application/vnd.openxmlformats-officedocument.drawingml.chart+xml"/>
  <Override PartName="/xl/charts/chart61.xml" ContentType="application/vnd.openxmlformats-officedocument.drawingml.chart+xml"/>
  <Override PartName="/xl/charts/chart62.xml" ContentType="application/vnd.openxmlformats-officedocument.drawingml.chart+xml"/>
  <Override PartName="/xl/charts/chart63.xml" ContentType="application/vnd.openxmlformats-officedocument.drawingml.chart+xml"/>
  <Override PartName="/xl/charts/chart64.xml" ContentType="application/vnd.openxmlformats-officedocument.drawingml.chart+xml"/>
  <Override PartName="/xl/charts/chart65.xml" ContentType="application/vnd.openxmlformats-officedocument.drawingml.chart+xml"/>
  <Override PartName="/xl/charts/chart66.xml" ContentType="application/vnd.openxmlformats-officedocument.drawingml.chart+xml"/>
  <Override PartName="/xl/charts/chart67.xml" ContentType="application/vnd.openxmlformats-officedocument.drawingml.chart+xml"/>
  <Override PartName="/xl/charts/chart68.xml" ContentType="application/vnd.openxmlformats-officedocument.drawingml.chart+xml"/>
  <Override PartName="/xl/charts/chart69.xml" ContentType="application/vnd.openxmlformats-officedocument.drawingml.chart+xml"/>
  <Override PartName="/xl/charts/chart70.xml" ContentType="application/vnd.openxmlformats-officedocument.drawingml.chart+xml"/>
  <Override PartName="/xl/charts/chart71.xml" ContentType="application/vnd.openxmlformats-officedocument.drawingml.chart+xml"/>
  <Override PartName="/xl/charts/chart72.xml" ContentType="application/vnd.openxmlformats-officedocument.drawingml.chart+xml"/>
  <Override PartName="/xl/charts/chart73.xml" ContentType="application/vnd.openxmlformats-officedocument.drawingml.chart+xml"/>
  <Override PartName="/xl/charts/chart74.xml" ContentType="application/vnd.openxmlformats-officedocument.drawingml.chart+xml"/>
  <Override PartName="/xl/charts/chart75.xml" ContentType="application/vnd.openxmlformats-officedocument.drawingml.chart+xml"/>
  <Override PartName="/xl/charts/chart76.xml" ContentType="application/vnd.openxmlformats-officedocument.drawingml.chart+xml"/>
  <Override PartName="/xl/charts/chart77.xml" ContentType="application/vnd.openxmlformats-officedocument.drawingml.chart+xml"/>
  <Override PartName="/xl/charts/chart78.xml" ContentType="application/vnd.openxmlformats-officedocument.drawingml.chart+xml"/>
  <Override PartName="/xl/charts/chart79.xml" ContentType="application/vnd.openxmlformats-officedocument.drawingml.chart+xml"/>
  <Override PartName="/xl/charts/chart80.xml" ContentType="application/vnd.openxmlformats-officedocument.drawingml.chart+xml"/>
  <Override PartName="/xl/charts/chart81.xml" ContentType="application/vnd.openxmlformats-officedocument.drawingml.chart+xml"/>
  <Override PartName="/xl/charts/chart82.xml" ContentType="application/vnd.openxmlformats-officedocument.drawingml.chart+xml"/>
  <Override PartName="/xl/charts/chart83.xml" ContentType="application/vnd.openxmlformats-officedocument.drawingml.chart+xml"/>
  <Override PartName="/xl/charts/chart84.xml" ContentType="application/vnd.openxmlformats-officedocument.drawingml.chart+xml"/>
  <Override PartName="/xl/charts/chart85.xml" ContentType="application/vnd.openxmlformats-officedocument.drawingml.chart+xml"/>
  <Override PartName="/xl/charts/chart86.xml" ContentType="application/vnd.openxmlformats-officedocument.drawingml.chart+xml"/>
  <Override PartName="/xl/charts/chart87.xml" ContentType="application/vnd.openxmlformats-officedocument.drawingml.chart+xml"/>
  <Override PartName="/xl/charts/chart88.xml" ContentType="application/vnd.openxmlformats-officedocument.drawingml.chart+xml"/>
  <Override PartName="/xl/charts/chart89.xml" ContentType="application/vnd.openxmlformats-officedocument.drawingml.chart+xml"/>
  <Override PartName="/xl/charts/chart90.xml" ContentType="application/vnd.openxmlformats-officedocument.drawingml.chart+xml"/>
  <Override PartName="/xl/charts/chart91.xml" ContentType="application/vnd.openxmlformats-officedocument.drawingml.chart+xml"/>
  <Override PartName="/xl/charts/chart92.xml" ContentType="application/vnd.openxmlformats-officedocument.drawingml.chart+xml"/>
  <Override PartName="/xl/charts/chart93.xml" ContentType="application/vnd.openxmlformats-officedocument.drawingml.chart+xml"/>
  <Override PartName="/xl/charts/chart94.xml" ContentType="application/vnd.openxmlformats-officedocument.drawingml.chart+xml"/>
  <Override PartName="/xl/charts/chart95.xml" ContentType="application/vnd.openxmlformats-officedocument.drawingml.chart+xml"/>
  <Override PartName="/xl/charts/chart96.xml" ContentType="application/vnd.openxmlformats-officedocument.drawingml.chart+xml"/>
  <Override PartName="/xl/charts/chart97.xml" ContentType="application/vnd.openxmlformats-officedocument.drawingml.chart+xml"/>
  <Override PartName="/xl/charts/chart98.xml" ContentType="application/vnd.openxmlformats-officedocument.drawingml.chart+xml"/>
  <Override PartName="/xl/charts/chart99.xml" ContentType="application/vnd.openxmlformats-officedocument.drawingml.chart+xml"/>
  <Override PartName="/xl/charts/chart100.xml" ContentType="application/vnd.openxmlformats-officedocument.drawingml.chart+xml"/>
  <Override PartName="/xl/charts/chart101.xml" ContentType="application/vnd.openxmlformats-officedocument.drawingml.chart+xml"/>
  <Override PartName="/xl/charts/chart102.xml" ContentType="application/vnd.openxmlformats-officedocument.drawingml.chart+xml"/>
  <Override PartName="/xl/charts/chart103.xml" ContentType="application/vnd.openxmlformats-officedocument.drawingml.chart+xml"/>
  <Override PartName="/xl/charts/chart104.xml" ContentType="application/vnd.openxmlformats-officedocument.drawingml.chart+xml"/>
  <Override PartName="/xl/charts/chart105.xml" ContentType="application/vnd.openxmlformats-officedocument.drawingml.chart+xml"/>
  <Override PartName="/xl/charts/chart106.xml" ContentType="application/vnd.openxmlformats-officedocument.drawingml.chart+xml"/>
  <Override PartName="/xl/charts/chart107.xml" ContentType="application/vnd.openxmlformats-officedocument.drawingml.chart+xml"/>
  <Override PartName="/xl/charts/chart108.xml" ContentType="application/vnd.openxmlformats-officedocument.drawingml.chart+xml"/>
  <Override PartName="/xl/charts/chart109.xml" ContentType="application/vnd.openxmlformats-officedocument.drawingml.chart+xml"/>
  <Override PartName="/xl/charts/chart110.xml" ContentType="application/vnd.openxmlformats-officedocument.drawingml.chart+xml"/>
  <Override PartName="/xl/charts/chart111.xml" ContentType="application/vnd.openxmlformats-officedocument.drawingml.chart+xml"/>
  <Override PartName="/xl/charts/chart112.xml" ContentType="application/vnd.openxmlformats-officedocument.drawingml.chart+xml"/>
  <Override PartName="/xl/charts/chart113.xml" ContentType="application/vnd.openxmlformats-officedocument.drawingml.chart+xml"/>
  <Override PartName="/xl/charts/chart114.xml" ContentType="application/vnd.openxmlformats-officedocument.drawingml.chart+xml"/>
  <Override PartName="/xl/charts/chart115.xml" ContentType="application/vnd.openxmlformats-officedocument.drawingml.chart+xml"/>
  <Override PartName="/xl/charts/chart116.xml" ContentType="application/vnd.openxmlformats-officedocument.drawingml.chart+xml"/>
  <Override PartName="/xl/charts/chart117.xml" ContentType="application/vnd.openxmlformats-officedocument.drawingml.chart+xml"/>
  <Override PartName="/xl/charts/chart118.xml" ContentType="application/vnd.openxmlformats-officedocument.drawingml.chart+xml"/>
  <Override PartName="/xl/charts/chart119.xml" ContentType="application/vnd.openxmlformats-officedocument.drawingml.chart+xml"/>
  <Override PartName="/xl/charts/chart120.xml" ContentType="application/vnd.openxmlformats-officedocument.drawingml.chart+xml"/>
  <Override PartName="/xl/charts/chart121.xml" ContentType="application/vnd.openxmlformats-officedocument.drawingml.chart+xml"/>
  <Override PartName="/xl/charts/chart122.xml" ContentType="application/vnd.openxmlformats-officedocument.drawingml.chart+xml"/>
  <Override PartName="/xl/charts/chart123.xml" ContentType="application/vnd.openxmlformats-officedocument.drawingml.chart+xml"/>
  <Override PartName="/xl/charts/chart124.xml" ContentType="application/vnd.openxmlformats-officedocument.drawingml.chart+xml"/>
  <Override PartName="/xl/charts/chart125.xml" ContentType="application/vnd.openxmlformats-officedocument.drawingml.chart+xml"/>
  <Override PartName="/xl/charts/chart126.xml" ContentType="application/vnd.openxmlformats-officedocument.drawingml.chart+xml"/>
  <Override PartName="/xl/charts/chart127.xml" ContentType="application/vnd.openxmlformats-officedocument.drawingml.chart+xml"/>
  <Override PartName="/xl/charts/chart128.xml" ContentType="application/vnd.openxmlformats-officedocument.drawingml.chart+xml"/>
  <Override PartName="/xl/charts/chart129.xml" ContentType="application/vnd.openxmlformats-officedocument.drawingml.chart+xml"/>
  <Override PartName="/xl/charts/chart130.xml" ContentType="application/vnd.openxmlformats-officedocument.drawingml.chart+xml"/>
  <Override PartName="/xl/charts/chart131.xml" ContentType="application/vnd.openxmlformats-officedocument.drawingml.chart+xml"/>
  <Override PartName="/xl/charts/chart132.xml" ContentType="application/vnd.openxmlformats-officedocument.drawingml.chart+xml"/>
  <Override PartName="/xl/charts/chart133.xml" ContentType="application/vnd.openxmlformats-officedocument.drawingml.chart+xml"/>
  <Override PartName="/xl/charts/chart134.xml" ContentType="application/vnd.openxmlformats-officedocument.drawingml.chart+xml"/>
  <Override PartName="/xl/charts/chart135.xml" ContentType="application/vnd.openxmlformats-officedocument.drawingml.chart+xml"/>
  <Override PartName="/xl/charts/chart136.xml" ContentType="application/vnd.openxmlformats-officedocument.drawingml.chart+xml"/>
  <Override PartName="/xl/charts/chart137.xml" ContentType="application/vnd.openxmlformats-officedocument.drawingml.chart+xml"/>
  <Override PartName="/xl/charts/chart138.xml" ContentType="application/vnd.openxmlformats-officedocument.drawingml.chart+xml"/>
  <Override PartName="/xl/charts/chart139.xml" ContentType="application/vnd.openxmlformats-officedocument.drawingml.chart+xml"/>
  <Override PartName="/xl/charts/chart140.xml" ContentType="application/vnd.openxmlformats-officedocument.drawingml.chart+xml"/>
  <Override PartName="/xl/charts/chart141.xml" ContentType="application/vnd.openxmlformats-officedocument.drawingml.chart+xml"/>
  <Override PartName="/xl/charts/chart142.xml" ContentType="application/vnd.openxmlformats-officedocument.drawingml.chart+xml"/>
  <Override PartName="/xl/charts/chart143.xml" ContentType="application/vnd.openxmlformats-officedocument.drawingml.chart+xml"/>
  <Override PartName="/xl/charts/chart144.xml" ContentType="application/vnd.openxmlformats-officedocument.drawingml.chart+xml"/>
  <Override PartName="/xl/charts/chart145.xml" ContentType="application/vnd.openxmlformats-officedocument.drawingml.chart+xml"/>
  <Override PartName="/xl/charts/chart146.xml" ContentType="application/vnd.openxmlformats-officedocument.drawingml.chart+xml"/>
  <Override PartName="/xl/charts/chart147.xml" ContentType="application/vnd.openxmlformats-officedocument.drawingml.chart+xml"/>
  <Override PartName="/xl/charts/chart148.xml" ContentType="application/vnd.openxmlformats-officedocument.drawingml.chart+xml"/>
  <Override PartName="/xl/charts/chart149.xml" ContentType="application/vnd.openxmlformats-officedocument.drawingml.chart+xml"/>
  <Override PartName="/xl/charts/chart150.xml" ContentType="application/vnd.openxmlformats-officedocument.drawingml.chart+xml"/>
  <Override PartName="/xl/charts/chart151.xml" ContentType="application/vnd.openxmlformats-officedocument.drawingml.chart+xml"/>
  <Override PartName="/xl/charts/chart152.xml" ContentType="application/vnd.openxmlformats-officedocument.drawingml.chart+xml"/>
  <Override PartName="/xl/charts/chart153.xml" ContentType="application/vnd.openxmlformats-officedocument.drawingml.chart+xml"/>
  <Override PartName="/xl/charts/chart154.xml" ContentType="application/vnd.openxmlformats-officedocument.drawingml.chart+xml"/>
  <Override PartName="/xl/charts/chart155.xml" ContentType="application/vnd.openxmlformats-officedocument.drawingml.chart+xml"/>
  <Override PartName="/xl/charts/chart156.xml" ContentType="application/vnd.openxmlformats-officedocument.drawingml.chart+xml"/>
  <Override PartName="/xl/charts/chart157.xml" ContentType="application/vnd.openxmlformats-officedocument.drawingml.chart+xml"/>
  <Override PartName="/xl/charts/chart158.xml" ContentType="application/vnd.openxmlformats-officedocument.drawingml.chart+xml"/>
  <Override PartName="/xl/charts/chart159.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aster Dashboard" sheetId="1" state="visible" r:id="rId1"/>
    <sheet xmlns:r="http://schemas.openxmlformats.org/officeDocument/2006/relationships" name="Quarterly Hub" sheetId="2" state="visible" r:id="rId2"/>
    <sheet xmlns:r="http://schemas.openxmlformats.org/officeDocument/2006/relationships" name="Habit Library" sheetId="3" state="visible" r:id="rId3"/>
    <sheet xmlns:r="http://schemas.openxmlformats.org/officeDocument/2006/relationships" name="Sep 2026" sheetId="4" state="visible" r:id="rId4"/>
    <sheet xmlns:r="http://schemas.openxmlformats.org/officeDocument/2006/relationships" name="Oct 2026" sheetId="5" state="visible" r:id="rId5"/>
    <sheet xmlns:r="http://schemas.openxmlformats.org/officeDocument/2006/relationships" name="Nov 2026" sheetId="6" state="visible" r:id="rId6"/>
    <sheet xmlns:r="http://schemas.openxmlformats.org/officeDocument/2006/relationships" name="Dec 2026" sheetId="7" state="visible" r:id="rId7"/>
    <sheet xmlns:r="http://schemas.openxmlformats.org/officeDocument/2006/relationships" name="Jan 2027" sheetId="8" state="visible" r:id="rId8"/>
    <sheet xmlns:r="http://schemas.openxmlformats.org/officeDocument/2006/relationships" name="Feb 2027" sheetId="9" state="visible" r:id="rId9"/>
    <sheet xmlns:r="http://schemas.openxmlformats.org/officeDocument/2006/relationships" name="Mar 2027" sheetId="10" state="visible" r:id="rId10"/>
    <sheet xmlns:r="http://schemas.openxmlformats.org/officeDocument/2006/relationships" name="Apr 2027" sheetId="11" state="visible" r:id="rId11"/>
    <sheet xmlns:r="http://schemas.openxmlformats.org/officeDocument/2006/relationships" name="May 2027" sheetId="12" state="visible" r:id="rId12"/>
    <sheet xmlns:r="http://schemas.openxmlformats.org/officeDocument/2006/relationships" name="Jun 2027" sheetId="13" state="visible" r:id="rId13"/>
    <sheet xmlns:r="http://schemas.openxmlformats.org/officeDocument/2006/relationships" name="Jul 2027" sheetId="14" state="visible" r:id="rId14"/>
    <sheet xmlns:r="http://schemas.openxmlformats.org/officeDocument/2006/relationships" name="Aug 2027" sheetId="15" state="visible" r:id="rId15"/>
    <sheet xmlns:r="http://schemas.openxmlformats.org/officeDocument/2006/relationships" name="Sep 2027" sheetId="16" state="visible" r:id="rId16"/>
    <sheet xmlns:r="http://schemas.openxmlformats.org/officeDocument/2006/relationships" name="Oct 2027" sheetId="17" state="visible" r:id="rId17"/>
    <sheet xmlns:r="http://schemas.openxmlformats.org/officeDocument/2006/relationships" name="Nov 2027" sheetId="18" state="visible" r:id="rId18"/>
    <sheet xmlns:r="http://schemas.openxmlformats.org/officeDocument/2006/relationships" name="Dec 2027" sheetId="19" state="visible" r:id="rId19"/>
    <sheet xmlns:r="http://schemas.openxmlformats.org/officeDocument/2006/relationships" name="Jan 2028" sheetId="20" state="visible" r:id="rId20"/>
    <sheet xmlns:r="http://schemas.openxmlformats.org/officeDocument/2006/relationships" name="Feb 2028" sheetId="21" state="visible" r:id="rId21"/>
    <sheet xmlns:r="http://schemas.openxmlformats.org/officeDocument/2006/relationships" name="Mar 2028" sheetId="22" state="visible" r:id="rId22"/>
    <sheet xmlns:r="http://schemas.openxmlformats.org/officeDocument/2006/relationships" name="Apr 2028" sheetId="23" state="visible" r:id="rId23"/>
    <sheet xmlns:r="http://schemas.openxmlformats.org/officeDocument/2006/relationships" name="May 2028" sheetId="24" state="visible" r:id="rId24"/>
    <sheet xmlns:r="http://schemas.openxmlformats.org/officeDocument/2006/relationships" name="Jun 2028" sheetId="25" state="visible" r:id="rId25"/>
    <sheet xmlns:r="http://schemas.openxmlformats.org/officeDocument/2006/relationships" name="Jul 2028" sheetId="26" state="visible" r:id="rId26"/>
    <sheet xmlns:r="http://schemas.openxmlformats.org/officeDocument/2006/relationships" name="Aug 2028" sheetId="27" state="visible" r:id="rId27"/>
    <sheet xmlns:r="http://schemas.openxmlformats.org/officeDocument/2006/relationships" name="Sep 2028" sheetId="28" state="visible" r:id="rId28"/>
    <sheet xmlns:r="http://schemas.openxmlformats.org/officeDocument/2006/relationships" name="Oct 2028" sheetId="29" state="visible" r:id="rId29"/>
    <sheet xmlns:r="http://schemas.openxmlformats.org/officeDocument/2006/relationships" name="Nov 2028" sheetId="30" state="visible" r:id="rId30"/>
    <sheet xmlns:r="http://schemas.openxmlformats.org/officeDocument/2006/relationships" name="Dec 2028" sheetId="31" state="visible" r:id="rId31"/>
    <sheet xmlns:r="http://schemas.openxmlformats.org/officeDocument/2006/relationships" name="Jan 2029" sheetId="32" state="visible" r:id="rId32"/>
    <sheet xmlns:r="http://schemas.openxmlformats.org/officeDocument/2006/relationships" name="Feb 2029" sheetId="33" state="visible" r:id="rId33"/>
    <sheet xmlns:r="http://schemas.openxmlformats.org/officeDocument/2006/relationships" name="Mar 2029" sheetId="34" state="visible" r:id="rId34"/>
    <sheet xmlns:r="http://schemas.openxmlformats.org/officeDocument/2006/relationships" name="Apr 2029" sheetId="35" state="visible" r:id="rId35"/>
    <sheet xmlns:r="http://schemas.openxmlformats.org/officeDocument/2006/relationships" name="May 2029" sheetId="36" state="visible" r:id="rId36"/>
    <sheet xmlns:r="http://schemas.openxmlformats.org/officeDocument/2006/relationships" name="Jun 2029" sheetId="37" state="visible" r:id="rId37"/>
    <sheet xmlns:r="http://schemas.openxmlformats.org/officeDocument/2006/relationships" name="Jul 2029" sheetId="38" state="visible" r:id="rId38"/>
    <sheet xmlns:r="http://schemas.openxmlformats.org/officeDocument/2006/relationships" name="Aug 2029" sheetId="39" state="visible" r:id="rId39"/>
    <sheet xmlns:r="http://schemas.openxmlformats.org/officeDocument/2006/relationships" name="Sep 2029" sheetId="40" state="visible" r:id="rId40"/>
    <sheet xmlns:r="http://schemas.openxmlformats.org/officeDocument/2006/relationships" name="Oct 2029" sheetId="41" state="visible" r:id="rId41"/>
    <sheet xmlns:r="http://schemas.openxmlformats.org/officeDocument/2006/relationships" name="Nov 2029" sheetId="42" state="visible" r:id="rId42"/>
    <sheet xmlns:r="http://schemas.openxmlformats.org/officeDocument/2006/relationships" name="Dec 2029" sheetId="43" state="visible" r:id="rId43"/>
    <sheet xmlns:r="http://schemas.openxmlformats.org/officeDocument/2006/relationships" name="Jan 2030" sheetId="44" state="visible" r:id="rId44"/>
    <sheet xmlns:r="http://schemas.openxmlformats.org/officeDocument/2006/relationships" name="Feb 2030" sheetId="45" state="visible" r:id="rId45"/>
    <sheet xmlns:r="http://schemas.openxmlformats.org/officeDocument/2006/relationships" name="Mar 2030" sheetId="46" state="visible" r:id="rId46"/>
    <sheet xmlns:r="http://schemas.openxmlformats.org/officeDocument/2006/relationships" name="Apr 2030" sheetId="47" state="visible" r:id="rId47"/>
    <sheet xmlns:r="http://schemas.openxmlformats.org/officeDocument/2006/relationships" name="May 2030" sheetId="48" state="visible" r:id="rId48"/>
    <sheet xmlns:r="http://schemas.openxmlformats.org/officeDocument/2006/relationships" name="Jun 2030" sheetId="49" state="visible" r:id="rId49"/>
    <sheet xmlns:r="http://schemas.openxmlformats.org/officeDocument/2006/relationships" name="Jul 2030" sheetId="50" state="visible" r:id="rId50"/>
    <sheet xmlns:r="http://schemas.openxmlformats.org/officeDocument/2006/relationships" name="Aug 2030" sheetId="51" state="visible" r:id="rId51"/>
    <sheet xmlns:r="http://schemas.openxmlformats.org/officeDocument/2006/relationships" name="Sep 2030" sheetId="52" state="visible" r:id="rId52"/>
    <sheet xmlns:r="http://schemas.openxmlformats.org/officeDocument/2006/relationships" name="Oct 2030" sheetId="53" state="visible" r:id="rId53"/>
    <sheet xmlns:r="http://schemas.openxmlformats.org/officeDocument/2006/relationships" name="Nov 2030" sheetId="54" state="visible" r:id="rId54"/>
    <sheet xmlns:r="http://schemas.openxmlformats.org/officeDocument/2006/relationships" name="Dec 2030" sheetId="55" state="visible" r:id="rId55"/>
  </sheets>
  <definedNames/>
  <calcPr calcId="124519" fullCalcOnLoad="1"/>
</workbook>
</file>

<file path=xl/styles.xml><?xml version="1.0" encoding="utf-8"?>
<styleSheet xmlns="http://schemas.openxmlformats.org/spreadsheetml/2006/main">
  <numFmts count="2">
    <numFmt numFmtId="164" formatCode="0.0%"/>
    <numFmt numFmtId="165" formatCode="0.0"/>
  </numFmts>
  <fonts count="75">
    <font>
      <name val="Calibri"/>
      <family val="2"/>
      <color theme="1"/>
      <sz val="11"/>
      <scheme val="minor"/>
    </font>
    <font>
      <name val="Arial"/>
      <b val="1"/>
      <color rgb="000F172A"/>
      <sz val="18"/>
    </font>
    <font>
      <name val="Arial"/>
      <b val="1"/>
      <color rgb="000284C7"/>
      <sz val="11"/>
    </font>
    <font>
      <name val="Arial"/>
      <i val="1"/>
      <color rgb="0064748B"/>
      <sz val="9.5"/>
    </font>
    <font>
      <name val="Arial"/>
      <b val="1"/>
      <color rgb="00FFFFFF"/>
      <sz val="8"/>
    </font>
    <font>
      <name val="Arial"/>
      <b val="1"/>
      <color rgb="0015803D"/>
      <sz val="7.5"/>
    </font>
    <font>
      <name val="Arial"/>
      <b val="1"/>
      <color rgb="00166534"/>
      <sz val="17"/>
    </font>
    <font>
      <name val="Arial"/>
      <i val="1"/>
      <color rgb="0015803D"/>
      <sz val="7"/>
    </font>
    <font>
      <name val="Arial"/>
      <b val="1"/>
      <color rgb="001D4ED8"/>
      <sz val="7.5"/>
    </font>
    <font>
      <name val="Arial"/>
      <b val="1"/>
      <color rgb="001E40AF"/>
      <sz val="17"/>
    </font>
    <font>
      <name val="Arial"/>
      <i val="1"/>
      <color rgb="001D4ED8"/>
      <sz val="7"/>
    </font>
    <font>
      <name val="Arial"/>
      <b val="1"/>
      <color rgb="00B45309"/>
      <sz val="7.5"/>
    </font>
    <font>
      <name val="Arial"/>
      <b val="1"/>
      <color rgb="0092400E"/>
      <sz val="17"/>
    </font>
    <font>
      <name val="Arial"/>
      <i val="1"/>
      <color rgb="00B45309"/>
      <sz val="7"/>
    </font>
    <font>
      <name val="Arial"/>
      <b val="1"/>
      <color rgb="006D28D9"/>
      <sz val="7.5"/>
    </font>
    <font>
      <name val="Arial"/>
      <b val="1"/>
      <color rgb="005B21B6"/>
      <sz val="17"/>
    </font>
    <font>
      <name val="Arial"/>
      <i val="1"/>
      <color rgb="006D28D9"/>
      <sz val="7"/>
    </font>
    <font>
      <name val="Arial"/>
      <b val="1"/>
      <color rgb="004338CA"/>
      <sz val="7.5"/>
    </font>
    <font>
      <name val="Arial"/>
      <b val="1"/>
      <color rgb="00312E81"/>
      <sz val="17"/>
    </font>
    <font>
      <name val="Arial"/>
      <i val="1"/>
      <color rgb="004338CA"/>
      <sz val="7"/>
    </font>
    <font>
      <name val="Arial"/>
      <b val="1"/>
      <color rgb="00FFFFFF"/>
      <sz val="8.5"/>
    </font>
    <font>
      <name val="Arial"/>
      <b val="1"/>
      <color rgb="001E293B"/>
      <sz val="8"/>
    </font>
    <font>
      <name val="Arial"/>
      <b val="1"/>
      <color rgb="000284C7"/>
      <sz val="7.5"/>
      <u val="single"/>
    </font>
    <font>
      <name val="Arial"/>
      <b val="1"/>
      <sz val="8"/>
    </font>
    <font>
      <name val="Arial"/>
      <sz val="8"/>
    </font>
    <font>
      <name val="Arial"/>
      <b val="1"/>
      <color rgb="007C3AED"/>
      <sz val="11"/>
    </font>
    <font>
      <name val="Arial"/>
      <b val="1"/>
      <color rgb="00166534"/>
      <sz val="8"/>
    </font>
    <font>
      <name val="Arial"/>
      <b val="1"/>
      <color rgb="00FFFFFF"/>
      <sz val="9"/>
    </font>
    <font>
      <name val="Arial"/>
      <color rgb="001E293B"/>
      <sz val="8"/>
    </font>
    <font>
      <name val="Arial"/>
      <b val="1"/>
      <color rgb="00059669"/>
      <sz val="11"/>
    </font>
    <font>
      <name val="Arial"/>
      <b val="1"/>
      <color rgb="0015803D"/>
      <sz val="8"/>
    </font>
    <font>
      <name val="Arial"/>
      <i val="1"/>
      <sz val="8"/>
    </font>
    <font>
      <name val="Arial"/>
      <b val="1"/>
      <color rgb="007C3AED"/>
      <sz val="8"/>
    </font>
    <font>
      <name val="Arial"/>
      <b val="1"/>
      <color rgb="001D4ED8"/>
      <sz val="8"/>
    </font>
    <font>
      <name val="Arial"/>
      <b val="1"/>
      <color rgb="00B45309"/>
      <sz val="8"/>
    </font>
    <font>
      <name val="Arial"/>
      <b val="1"/>
      <color rgb="004338CA"/>
      <sz val="8"/>
    </font>
    <font>
      <name val="Arial"/>
      <b val="1"/>
      <color rgb="000F172A"/>
      <sz val="8.5"/>
    </font>
    <font>
      <name val="Arial"/>
      <color rgb="00334155"/>
      <sz val="8"/>
    </font>
    <font>
      <name val="Arial"/>
      <b val="1"/>
      <color rgb="00FFFFFF"/>
      <sz val="7.5"/>
    </font>
    <font>
      <name val="Arial"/>
      <b val="1"/>
      <color rgb="00F8FAFC"/>
      <sz val="7.5"/>
    </font>
    <font>
      <name val="Arial"/>
      <b val="1"/>
      <color rgb="00CBD5E1"/>
      <sz val="7.5"/>
    </font>
    <font>
      <name val="Arial"/>
      <color rgb="0094A3B8"/>
      <sz val="7.5"/>
    </font>
    <font>
      <name val="Arial"/>
      <b val="1"/>
      <color rgb="00000000"/>
      <sz val="18"/>
    </font>
    <font>
      <name val="Arial"/>
      <b val="1"/>
      <color rgb="00000000"/>
      <sz val="11"/>
    </font>
    <font>
      <name val="Arial"/>
      <b val="1"/>
      <color rgb="00000000"/>
      <sz val="13"/>
    </font>
    <font>
      <name val="Arial"/>
      <b val="1"/>
      <color rgb="00000000"/>
      <sz val="12"/>
    </font>
    <font>
      <name val="Arial"/>
      <b val="1"/>
      <color rgb="00000000"/>
      <sz val="10"/>
    </font>
    <font>
      <name val="Arial"/>
      <b val="1"/>
      <sz val="8.5"/>
    </font>
    <font>
      <name val="Arial"/>
      <sz val="8.5"/>
    </font>
    <font>
      <name val="Arial"/>
      <sz val="7"/>
    </font>
    <font>
      <name val="Arial"/>
      <b val="1"/>
      <sz val="7"/>
    </font>
    <font>
      <name val="Arial"/>
      <b val="1"/>
      <sz val="7.5"/>
    </font>
    <font>
      <name val="Arial"/>
      <b val="1"/>
      <sz val="9"/>
    </font>
    <font>
      <name val="Arial"/>
      <b val="1"/>
      <color rgb="00C80000"/>
      <sz val="8.5"/>
    </font>
    <font>
      <name val="Arial"/>
      <b val="1"/>
      <color rgb="00007800"/>
      <sz val="8.5"/>
    </font>
    <font>
      <name val="Arial"/>
      <b val="1"/>
      <color rgb="001E1B4B"/>
      <sz val="8"/>
    </font>
    <font>
      <name val="Arial"/>
      <b val="1"/>
      <color rgb="003730A3"/>
      <sz val="7"/>
    </font>
    <font>
      <name val="Arial"/>
      <b val="1"/>
      <color rgb="001E1B4B"/>
      <sz val="7"/>
    </font>
    <font>
      <name val="Arial"/>
      <b val="1"/>
      <color rgb="001E1B4B"/>
      <sz val="9"/>
    </font>
    <font>
      <name val="Arial"/>
      <b val="1"/>
      <color rgb="00166534"/>
      <sz val="18"/>
    </font>
    <font>
      <name val="Arial"/>
      <i val="1"/>
      <color rgb="0015803D"/>
      <sz val="7.5"/>
    </font>
    <font>
      <name val="Arial"/>
      <b val="1"/>
      <color rgb="001E40AF"/>
      <sz val="18"/>
    </font>
    <font>
      <name val="Arial"/>
      <i val="1"/>
      <color rgb="001D4ED8"/>
      <sz val="7.5"/>
    </font>
    <font>
      <name val="Arial"/>
      <b val="1"/>
      <color rgb="0092400E"/>
      <sz val="18"/>
    </font>
    <font>
      <name val="Arial"/>
      <i val="1"/>
      <color rgb="00B45309"/>
      <sz val="7.5"/>
    </font>
    <font>
      <name val="Arial"/>
      <b val="1"/>
      <color rgb="006D28D9"/>
      <sz val="8"/>
    </font>
    <font>
      <name val="Arial"/>
      <b val="1"/>
      <color rgb="005B21B6"/>
      <sz val="18"/>
    </font>
    <font>
      <name val="Arial"/>
      <i val="1"/>
      <color rgb="006D28D9"/>
      <sz val="7.5"/>
    </font>
    <font>
      <name val="Arial"/>
      <b val="1"/>
      <color rgb="00991B1B"/>
      <sz val="8"/>
    </font>
    <font>
      <name val="Arial"/>
      <b val="1"/>
      <color rgb="001E1B4B"/>
      <sz val="8.5"/>
    </font>
    <font>
      <name val="Arial"/>
      <b val="1"/>
      <color rgb="00166534"/>
      <sz val="8.5"/>
    </font>
    <font>
      <name val="Arial"/>
      <i val="1"/>
      <color rgb="004B5563"/>
      <sz val="7.5"/>
    </font>
    <font>
      <name val="Arial"/>
      <b val="1"/>
      <color rgb="00991B1B"/>
      <sz val="8.5"/>
    </font>
    <font>
      <name val="Arial"/>
      <b val="1"/>
      <color rgb="001D4ED8"/>
      <sz val="8.5"/>
    </font>
    <font>
      <name val="Arial"/>
      <color rgb="00374151"/>
      <sz val="8"/>
    </font>
  </fonts>
  <fills count="31">
    <fill>
      <patternFill/>
    </fill>
    <fill>
      <patternFill patternType="gray125"/>
    </fill>
    <fill>
      <patternFill patternType="solid">
        <fgColor rgb="007C3AED"/>
        <bgColor rgb="007C3AED"/>
      </patternFill>
    </fill>
    <fill>
      <patternFill patternType="solid">
        <fgColor rgb="00059669"/>
        <bgColor rgb="00059669"/>
      </patternFill>
    </fill>
    <fill>
      <patternFill patternType="solid">
        <fgColor rgb="00F0FDF4"/>
        <bgColor rgb="00F0FDF4"/>
      </patternFill>
    </fill>
    <fill>
      <patternFill patternType="solid">
        <fgColor rgb="00EFF6FF"/>
        <bgColor rgb="00EFF6FF"/>
      </patternFill>
    </fill>
    <fill>
      <patternFill patternType="solid">
        <fgColor rgb="00FEF3C7"/>
        <bgColor rgb="00FEF3C7"/>
      </patternFill>
    </fill>
    <fill>
      <patternFill patternType="solid">
        <fgColor rgb="00F3E8FF"/>
        <bgColor rgb="00F3E8FF"/>
      </patternFill>
    </fill>
    <fill>
      <patternFill patternType="solid">
        <fgColor rgb="00EEF2FF"/>
        <bgColor rgb="00EEF2FF"/>
      </patternFill>
    </fill>
    <fill>
      <patternFill patternType="solid">
        <fgColor rgb="001E293B"/>
        <bgColor rgb="001E293B"/>
      </patternFill>
    </fill>
    <fill>
      <patternFill patternType="solid">
        <fgColor rgb="00E2E8F0"/>
        <bgColor rgb="00E2E8F0"/>
      </patternFill>
    </fill>
    <fill>
      <patternFill patternType="solid">
        <fgColor rgb="00F8FAFC"/>
        <bgColor rgb="00F8FAFC"/>
      </patternFill>
    </fill>
    <fill>
      <patternFill patternType="solid">
        <fgColor rgb="000F172A"/>
        <bgColor rgb="000F172A"/>
      </patternFill>
    </fill>
    <fill>
      <patternFill patternType="solid">
        <fgColor rgb="000284C7"/>
        <bgColor rgb="000284C7"/>
      </patternFill>
    </fill>
    <fill>
      <patternFill patternType="solid">
        <fgColor rgb="00047857"/>
        <bgColor rgb="00047857"/>
      </patternFill>
    </fill>
    <fill>
      <patternFill patternType="solid">
        <fgColor rgb="001E1B4B"/>
        <bgColor rgb="001E1B4B"/>
      </patternFill>
    </fill>
    <fill>
      <patternFill patternType="solid">
        <fgColor rgb="00334155"/>
        <bgColor rgb="00334155"/>
      </patternFill>
    </fill>
    <fill>
      <patternFill patternType="solid">
        <fgColor rgb="00FFFFE6"/>
        <bgColor rgb="00FFFFE6"/>
      </patternFill>
    </fill>
    <fill>
      <patternFill patternType="solid">
        <fgColor rgb="00FFFFFF"/>
        <bgColor rgb="00FFFFFF"/>
      </patternFill>
    </fill>
    <fill>
      <patternFill patternType="solid">
        <fgColor rgb="00D2D2D2"/>
        <bgColor rgb="00D2D2D2"/>
      </patternFill>
    </fill>
    <fill>
      <patternFill patternType="solid">
        <fgColor rgb="00E0F2FE"/>
        <bgColor rgb="00E0F2FE"/>
      </patternFill>
    </fill>
    <fill>
      <patternFill patternType="solid">
        <fgColor rgb="00BAE6FD"/>
        <bgColor rgb="00BAE6FD"/>
      </patternFill>
    </fill>
    <fill>
      <patternFill patternType="solid">
        <fgColor rgb="00E9D5FF"/>
        <bgColor rgb="00E9D5FF"/>
      </patternFill>
    </fill>
    <fill>
      <patternFill patternType="solid">
        <fgColor rgb="00FDE68A"/>
        <bgColor rgb="00FDE68A"/>
      </patternFill>
    </fill>
    <fill>
      <patternFill patternType="solid">
        <fgColor rgb="00F1F5F9"/>
        <bgColor rgb="00F1F5F9"/>
      </patternFill>
    </fill>
    <fill>
      <patternFill patternType="solid">
        <fgColor rgb="00CBD5E1"/>
        <bgColor rgb="00CBD5E1"/>
      </patternFill>
    </fill>
    <fill>
      <patternFill patternType="solid">
        <fgColor rgb="00C7D2FE"/>
        <bgColor rgb="00C7D2FE"/>
      </patternFill>
    </fill>
    <fill>
      <patternFill patternType="solid">
        <fgColor rgb="00E0E7FF"/>
        <bgColor rgb="00E0E7FF"/>
      </patternFill>
    </fill>
    <fill>
      <patternFill patternType="solid">
        <fgColor rgb="00312E81"/>
        <bgColor rgb="00312E81"/>
      </patternFill>
    </fill>
    <fill>
      <patternFill patternType="solid">
        <fgColor rgb="00DBEAFE"/>
        <bgColor rgb="00DBEAFE"/>
      </patternFill>
    </fill>
    <fill>
      <patternFill patternType="solid">
        <fgColor rgb="00FEF2F2"/>
        <bgColor rgb="00FEF2F2"/>
      </patternFill>
    </fill>
  </fills>
  <borders count="14">
    <border>
      <left/>
      <right/>
      <top/>
      <bottom/>
      <diagonal/>
    </border>
    <border>
      <left style="thin">
        <color rgb="00475569"/>
      </left>
      <right style="thin">
        <color rgb="00475569"/>
      </right>
      <top style="thin">
        <color rgb="00475569"/>
      </top>
      <bottom style="thin">
        <color rgb="00475569"/>
      </bottom>
    </border>
    <border>
      <left style="medium">
        <color rgb="0016A34A"/>
      </left>
      <right style="medium">
        <color rgb="0016A34A"/>
      </right>
      <top style="medium">
        <color rgb="0016A34A"/>
      </top>
      <bottom style="medium">
        <color rgb="0016A34A"/>
      </bottom>
    </border>
    <border>
      <left style="medium">
        <color rgb="002563EB"/>
      </left>
      <right style="medium">
        <color rgb="002563EB"/>
      </right>
      <top style="medium">
        <color rgb="002563EB"/>
      </top>
      <bottom style="medium">
        <color rgb="002563EB"/>
      </bottom>
    </border>
    <border>
      <left style="medium">
        <color rgb="00D97706"/>
      </left>
      <right style="medium">
        <color rgb="00D97706"/>
      </right>
      <top style="medium">
        <color rgb="00D97706"/>
      </top>
      <bottom style="medium">
        <color rgb="00D97706"/>
      </bottom>
    </border>
    <border>
      <left style="medium">
        <color rgb="007C3AED"/>
      </left>
      <right style="medium">
        <color rgb="007C3AED"/>
      </right>
      <top style="medium">
        <color rgb="007C3AED"/>
      </top>
      <bottom style="medium">
        <color rgb="007C3AED"/>
      </bottom>
    </border>
    <border>
      <left style="medium">
        <color rgb="004F46E5"/>
      </left>
      <right style="medium">
        <color rgb="004F46E5"/>
      </right>
      <top style="medium">
        <color rgb="004F46E5"/>
      </top>
      <bottom style="medium">
        <color rgb="004F46E5"/>
      </bottom>
    </border>
    <border>
      <left style="thin">
        <color rgb="00000000"/>
      </left>
      <right style="thin">
        <color rgb="00000000"/>
      </right>
      <top style="thin">
        <color rgb="00000000"/>
      </top>
      <bottom style="thin">
        <color rgb="00000000"/>
      </bottom>
    </border>
    <border>
      <left/>
      <right/>
      <top style="thin">
        <color rgb="00000000"/>
      </top>
      <bottom/>
      <diagonal/>
    </border>
    <border>
      <left/>
      <right style="thin">
        <color rgb="00000000"/>
      </right>
      <top style="thin">
        <color rgb="00000000"/>
      </top>
      <bottom/>
      <diagonal/>
    </border>
    <border>
      <left/>
      <right style="thin">
        <color rgb="00000000"/>
      </right>
      <top style="thin">
        <color rgb="00000000"/>
      </top>
      <bottom style="thin">
        <color rgb="00000000"/>
      </bottom>
      <diagonal/>
    </border>
    <border>
      <left style="thin">
        <color rgb="00D1D5DB"/>
      </left>
      <right style="thin">
        <color rgb="00D1D5DB"/>
      </right>
      <top style="thin">
        <color rgb="00D1D5DB"/>
      </top>
      <bottom style="thin">
        <color rgb="00D1D5DB"/>
      </bottom>
    </border>
    <border>
      <left style="medium">
        <color rgb="00000000"/>
      </left>
      <right style="medium">
        <color rgb="00000000"/>
      </right>
      <top style="thin">
        <color rgb="00000000"/>
      </top>
      <bottom style="thin">
        <color rgb="00000000"/>
      </bottom>
    </border>
    <border>
      <left/>
      <right/>
      <top style="thin">
        <color rgb="00000000"/>
      </top>
      <bottom style="thin">
        <color rgb="00000000"/>
      </bottom>
      <diagonal/>
    </border>
  </borders>
  <cellStyleXfs count="1">
    <xf numFmtId="0" fontId="0" fillId="0" borderId="0"/>
  </cellStyleXfs>
  <cellXfs count="179">
    <xf numFmtId="0" fontId="0" fillId="0" borderId="0" pivotButton="0" quotePrefix="0" xfId="0"/>
    <xf numFmtId="0" fontId="1" fillId="0" borderId="0" applyAlignment="1" pivotButton="0" quotePrefix="0" xfId="0">
      <alignment horizontal="left" vertical="center"/>
    </xf>
    <xf numFmtId="0" fontId="2" fillId="0" borderId="0" applyAlignment="1" pivotButton="0" quotePrefix="0" xfId="0">
      <alignment horizontal="right" vertical="center"/>
    </xf>
    <xf numFmtId="0" fontId="3" fillId="0" borderId="0" applyAlignment="1" pivotButton="0" quotePrefix="0" xfId="0">
      <alignment horizontal="left" vertical="center"/>
    </xf>
    <xf numFmtId="0" fontId="4" fillId="2" borderId="1" applyAlignment="1" pivotButton="0" quotePrefix="0" xfId="0">
      <alignment horizontal="center" vertical="center"/>
    </xf>
    <xf numFmtId="0" fontId="0" fillId="2" borderId="1" pivotButton="0" quotePrefix="0" xfId="0"/>
    <xf numFmtId="0" fontId="4" fillId="3" borderId="1" applyAlignment="1" pivotButton="0" quotePrefix="0" xfId="0">
      <alignment horizontal="center" vertical="center"/>
    </xf>
    <xf numFmtId="0" fontId="0" fillId="3" borderId="1" pivotButton="0" quotePrefix="0" xfId="0"/>
    <xf numFmtId="0" fontId="5" fillId="4" borderId="2" applyAlignment="1" pivotButton="0" quotePrefix="0" xfId="0">
      <alignment horizontal="center" vertical="center"/>
    </xf>
    <xf numFmtId="0" fontId="0" fillId="4" borderId="2" pivotButton="0" quotePrefix="0" xfId="0"/>
    <xf numFmtId="0" fontId="8" fillId="5" borderId="3" applyAlignment="1" pivotButton="0" quotePrefix="0" xfId="0">
      <alignment horizontal="center" vertical="center"/>
    </xf>
    <xf numFmtId="0" fontId="0" fillId="5" borderId="3" pivotButton="0" quotePrefix="0" xfId="0"/>
    <xf numFmtId="0" fontId="11" fillId="6" borderId="4" applyAlignment="1" pivotButton="0" quotePrefix="0" xfId="0">
      <alignment horizontal="center" vertical="center"/>
    </xf>
    <xf numFmtId="0" fontId="0" fillId="6" borderId="4" pivotButton="0" quotePrefix="0" xfId="0"/>
    <xf numFmtId="0" fontId="14" fillId="7" borderId="5" applyAlignment="1" pivotButton="0" quotePrefix="0" xfId="0">
      <alignment horizontal="center" vertical="center"/>
    </xf>
    <xf numFmtId="0" fontId="0" fillId="7" borderId="5" pivotButton="0" quotePrefix="0" xfId="0"/>
    <xf numFmtId="0" fontId="17" fillId="8" borderId="6" applyAlignment="1" pivotButton="0" quotePrefix="0" xfId="0">
      <alignment horizontal="center" vertical="center"/>
    </xf>
    <xf numFmtId="0" fontId="0" fillId="8" borderId="6" pivotButton="0" quotePrefix="0" xfId="0"/>
    <xf numFmtId="164" fontId="6" fillId="4" borderId="2" applyAlignment="1" pivotButton="0" quotePrefix="0" xfId="0">
      <alignment horizontal="center" vertical="center"/>
    </xf>
    <xf numFmtId="3" fontId="9" fillId="5" borderId="3" applyAlignment="1" pivotButton="0" quotePrefix="0" xfId="0">
      <alignment horizontal="center" vertical="center"/>
    </xf>
    <xf numFmtId="3" fontId="12" fillId="6" borderId="4" applyAlignment="1" pivotButton="0" quotePrefix="0" xfId="0">
      <alignment horizontal="center" vertical="center"/>
    </xf>
    <xf numFmtId="49" fontId="15" fillId="7" borderId="5" applyAlignment="1" pivotButton="0" quotePrefix="0" xfId="0">
      <alignment horizontal="center" vertical="center"/>
    </xf>
    <xf numFmtId="49" fontId="18" fillId="8" borderId="6" applyAlignment="1" pivotButton="0" quotePrefix="0" xfId="0">
      <alignment horizontal="center" vertical="center"/>
    </xf>
    <xf numFmtId="0" fontId="7" fillId="4" borderId="2" applyAlignment="1" pivotButton="0" quotePrefix="0" xfId="0">
      <alignment horizontal="center" vertical="center"/>
    </xf>
    <xf numFmtId="0" fontId="10" fillId="5" borderId="3" applyAlignment="1" pivotButton="0" quotePrefix="0" xfId="0">
      <alignment horizontal="center" vertical="center"/>
    </xf>
    <xf numFmtId="0" fontId="13" fillId="6" borderId="4" applyAlignment="1" pivotButton="0" quotePrefix="0" xfId="0">
      <alignment horizontal="center" vertical="center"/>
    </xf>
    <xf numFmtId="0" fontId="16" fillId="7" borderId="5" applyAlignment="1" pivotButton="0" quotePrefix="0" xfId="0">
      <alignment horizontal="center" vertical="center"/>
    </xf>
    <xf numFmtId="0" fontId="19" fillId="8" borderId="6" applyAlignment="1" pivotButton="0" quotePrefix="0" xfId="0">
      <alignment horizontal="center" vertical="center"/>
    </xf>
    <xf numFmtId="0" fontId="20" fillId="9" borderId="7" applyAlignment="1" pivotButton="0" quotePrefix="0" xfId="0">
      <alignment horizontal="center" vertical="center"/>
    </xf>
    <xf numFmtId="0" fontId="0" fillId="9" borderId="7" pivotButton="0" quotePrefix="0" xfId="0"/>
    <xf numFmtId="0" fontId="21" fillId="10" borderId="7" applyAlignment="1" pivotButton="0" quotePrefix="0" xfId="0">
      <alignment horizontal="center" vertical="center"/>
    </xf>
    <xf numFmtId="0" fontId="22" fillId="11" borderId="7" applyAlignment="1" pivotButton="0" quotePrefix="0" xfId="0">
      <alignment horizontal="center" vertical="center"/>
    </xf>
    <xf numFmtId="0" fontId="4" fillId="12" borderId="7" applyAlignment="1" pivotButton="0" quotePrefix="0" xfId="0">
      <alignment horizontal="center" vertical="center"/>
    </xf>
    <xf numFmtId="0" fontId="23" fillId="0" borderId="7" applyAlignment="1" pivotButton="0" quotePrefix="0" xfId="0">
      <alignment horizontal="center" vertical="center"/>
    </xf>
    <xf numFmtId="0" fontId="24" fillId="0" borderId="7" applyAlignment="1" pivotButton="0" quotePrefix="0" xfId="0">
      <alignment horizontal="center" vertical="center"/>
    </xf>
    <xf numFmtId="164" fontId="24" fillId="0" borderId="7" applyAlignment="1" pivotButton="0" quotePrefix="0" xfId="0">
      <alignment horizontal="center" vertical="center"/>
    </xf>
    <xf numFmtId="165" fontId="24" fillId="0" borderId="7" applyAlignment="1" pivotButton="0" quotePrefix="0" xfId="0">
      <alignment horizontal="center" vertical="center"/>
    </xf>
    <xf numFmtId="0" fontId="22" fillId="0" borderId="7" applyAlignment="1" pivotButton="0" quotePrefix="0" xfId="0">
      <alignment horizontal="center" vertical="center"/>
    </xf>
    <xf numFmtId="0" fontId="25" fillId="0" borderId="0" applyAlignment="1" pivotButton="0" quotePrefix="0" xfId="0">
      <alignment horizontal="right" vertical="center"/>
    </xf>
    <xf numFmtId="0" fontId="4" fillId="13" borderId="1" applyAlignment="1" pivotButton="0" quotePrefix="0" xfId="0">
      <alignment horizontal="center" vertical="center"/>
    </xf>
    <xf numFmtId="0" fontId="0" fillId="13" borderId="1" pivotButton="0" quotePrefix="0" xfId="0"/>
    <xf numFmtId="0" fontId="4" fillId="9" borderId="7" applyAlignment="1" pivotButton="0" quotePrefix="0" xfId="0">
      <alignment horizontal="center" vertical="center"/>
    </xf>
    <xf numFmtId="164" fontId="26" fillId="0" borderId="7" applyAlignment="1" pivotButton="0" quotePrefix="0" xfId="0">
      <alignment horizontal="center" vertical="center"/>
    </xf>
    <xf numFmtId="0" fontId="27" fillId="14" borderId="7" applyAlignment="1" pivotButton="0" quotePrefix="0" xfId="0">
      <alignment horizontal="center" vertical="center"/>
    </xf>
    <xf numFmtId="0" fontId="0" fillId="14" borderId="7" pivotButton="0" quotePrefix="0" xfId="0"/>
    <xf numFmtId="0" fontId="28" fillId="4" borderId="2" applyAlignment="1" applyProtection="1" pivotButton="0" quotePrefix="0" xfId="0">
      <alignment horizontal="left" vertical="top" wrapText="1"/>
      <protection locked="0" hidden="0"/>
    </xf>
    <xf numFmtId="0" fontId="0" fillId="4" borderId="2" applyProtection="1" pivotButton="0" quotePrefix="0" xfId="0">
      <protection locked="0" hidden="0"/>
    </xf>
    <xf numFmtId="0" fontId="28" fillId="5" borderId="3" applyAlignment="1" applyProtection="1" pivotButton="0" quotePrefix="0" xfId="0">
      <alignment horizontal="left" vertical="top" wrapText="1"/>
      <protection locked="0" hidden="0"/>
    </xf>
    <xf numFmtId="0" fontId="0" fillId="5" borderId="3" applyProtection="1" pivotButton="0" quotePrefix="0" xfId="0">
      <protection locked="0" hidden="0"/>
    </xf>
    <xf numFmtId="0" fontId="28" fillId="7" borderId="5" applyAlignment="1" applyProtection="1" pivotButton="0" quotePrefix="0" xfId="0">
      <alignment horizontal="left" vertical="top" wrapText="1"/>
      <protection locked="0" hidden="0"/>
    </xf>
    <xf numFmtId="0" fontId="0" fillId="7" borderId="5" applyProtection="1" pivotButton="0" quotePrefix="0" xfId="0">
      <protection locked="0" hidden="0"/>
    </xf>
    <xf numFmtId="0" fontId="27" fillId="15" borderId="7" applyAlignment="1" pivotButton="0" quotePrefix="0" xfId="0">
      <alignment horizontal="center" vertical="center"/>
    </xf>
    <xf numFmtId="0" fontId="0" fillId="15" borderId="7" pivotButton="0" quotePrefix="0" xfId="0"/>
    <xf numFmtId="0" fontId="23" fillId="10" borderId="7" applyAlignment="1" pivotButton="0" quotePrefix="0" xfId="0">
      <alignment horizontal="center" vertical="center"/>
    </xf>
    <xf numFmtId="0" fontId="0" fillId="0" borderId="7" pivotButton="0" quotePrefix="0" xfId="0"/>
    <xf numFmtId="0" fontId="24" fillId="0" borderId="7" applyAlignment="1" applyProtection="1" pivotButton="0" quotePrefix="0" xfId="0">
      <alignment horizontal="left" vertical="center"/>
      <protection locked="0" hidden="0"/>
    </xf>
    <xf numFmtId="0" fontId="0" fillId="0" borderId="10" pivotButton="0" quotePrefix="0" xfId="0"/>
    <xf numFmtId="0" fontId="24" fillId="0" borderId="7" applyAlignment="1" applyProtection="1" pivotButton="0" quotePrefix="0" xfId="0">
      <alignment horizontal="center" vertical="center"/>
      <protection locked="0" hidden="0"/>
    </xf>
    <xf numFmtId="0" fontId="29" fillId="0" borderId="0" applyAlignment="1" pivotButton="0" quotePrefix="0" xfId="0">
      <alignment horizontal="right" vertical="center"/>
    </xf>
    <xf numFmtId="0" fontId="30" fillId="4" borderId="7" applyAlignment="1" pivotButton="0" quotePrefix="0" xfId="0">
      <alignment horizontal="center" vertical="center"/>
    </xf>
    <xf numFmtId="0" fontId="23" fillId="0" borderId="7" applyAlignment="1" pivotButton="0" quotePrefix="0" xfId="0">
      <alignment horizontal="left" vertical="center"/>
    </xf>
    <xf numFmtId="0" fontId="24" fillId="0" borderId="7" applyAlignment="1" pivotButton="0" quotePrefix="0" xfId="0">
      <alignment horizontal="left" vertical="center"/>
    </xf>
    <xf numFmtId="0" fontId="31" fillId="0" borderId="7" applyAlignment="1" pivotButton="0" quotePrefix="0" xfId="0">
      <alignment horizontal="left" vertical="center"/>
    </xf>
    <xf numFmtId="0" fontId="32" fillId="7" borderId="7" applyAlignment="1" pivotButton="0" quotePrefix="0" xfId="0">
      <alignment horizontal="center" vertical="center"/>
    </xf>
    <xf numFmtId="0" fontId="33" fillId="5" borderId="7" applyAlignment="1" pivotButton="0" quotePrefix="0" xfId="0">
      <alignment horizontal="center" vertical="center"/>
    </xf>
    <xf numFmtId="0" fontId="34" fillId="6" borderId="7" applyAlignment="1" pivotButton="0" quotePrefix="0" xfId="0">
      <alignment horizontal="center" vertical="center"/>
    </xf>
    <xf numFmtId="0" fontId="35" fillId="8" borderId="7" applyAlignment="1" pivotButton="0" quotePrefix="0" xfId="0">
      <alignment horizontal="center" vertical="center"/>
    </xf>
    <xf numFmtId="0" fontId="27" fillId="9" borderId="7" applyAlignment="1" pivotButton="0" quotePrefix="0" xfId="0">
      <alignment horizontal="center" vertical="center"/>
    </xf>
    <xf numFmtId="0" fontId="36" fillId="4" borderId="2" applyAlignment="1" pivotButton="0" quotePrefix="0" xfId="0">
      <alignment horizontal="left" vertical="center"/>
    </xf>
    <xf numFmtId="0" fontId="37" fillId="4" borderId="2" applyAlignment="1" pivotButton="0" quotePrefix="0" xfId="0">
      <alignment horizontal="left" vertical="top" wrapText="1"/>
    </xf>
    <xf numFmtId="0" fontId="36" fillId="5" borderId="3" applyAlignment="1" pivotButton="0" quotePrefix="0" xfId="0">
      <alignment horizontal="left" vertical="center"/>
    </xf>
    <xf numFmtId="0" fontId="37" fillId="5" borderId="3" applyAlignment="1" pivotButton="0" quotePrefix="0" xfId="0">
      <alignment horizontal="left" vertical="top" wrapText="1"/>
    </xf>
    <xf numFmtId="0" fontId="36" fillId="6" borderId="4" applyAlignment="1" pivotButton="0" quotePrefix="0" xfId="0">
      <alignment horizontal="left" vertical="center"/>
    </xf>
    <xf numFmtId="0" fontId="37" fillId="6" borderId="4" applyAlignment="1" pivotButton="0" quotePrefix="0" xfId="0">
      <alignment horizontal="left" vertical="top" wrapText="1"/>
    </xf>
    <xf numFmtId="0" fontId="36" fillId="7" borderId="5" applyAlignment="1" pivotButton="0" quotePrefix="0" xfId="0">
      <alignment horizontal="left" vertical="center"/>
    </xf>
    <xf numFmtId="0" fontId="37" fillId="7" borderId="5" applyAlignment="1" pivotButton="0" quotePrefix="0" xfId="0">
      <alignment horizontal="left" vertical="top" wrapText="1"/>
    </xf>
    <xf numFmtId="0" fontId="38" fillId="13" borderId="1" applyAlignment="1" pivotButton="0" quotePrefix="0" xfId="0">
      <alignment horizontal="center" vertical="center"/>
    </xf>
    <xf numFmtId="0" fontId="38" fillId="2" borderId="1" applyAlignment="1" pivotButton="0" quotePrefix="0" xfId="0">
      <alignment horizontal="center" vertical="center"/>
    </xf>
    <xf numFmtId="0" fontId="38" fillId="3" borderId="1" applyAlignment="1" pivotButton="0" quotePrefix="0" xfId="0">
      <alignment horizontal="center" vertical="center"/>
    </xf>
    <xf numFmtId="0" fontId="39" fillId="9" borderId="1" applyAlignment="1" pivotButton="0" quotePrefix="0" xfId="0">
      <alignment horizontal="center" vertical="center"/>
    </xf>
    <xf numFmtId="0" fontId="40" fillId="16" borderId="1" applyAlignment="1" pivotButton="0" quotePrefix="0" xfId="0">
      <alignment horizontal="center" vertical="center"/>
    </xf>
    <xf numFmtId="0" fontId="41" fillId="16" borderId="1" applyAlignment="1" pivotButton="0" quotePrefix="0" xfId="0">
      <alignment horizontal="center" vertical="center"/>
    </xf>
    <xf numFmtId="0" fontId="38" fillId="16" borderId="1" applyAlignment="1" pivotButton="0" quotePrefix="0" xfId="0">
      <alignment horizontal="center" vertical="center"/>
    </xf>
    <xf numFmtId="0" fontId="42" fillId="0" borderId="0" applyAlignment="1" pivotButton="0" quotePrefix="0" xfId="0">
      <alignment horizontal="left" vertical="center"/>
    </xf>
    <xf numFmtId="0" fontId="43" fillId="0" borderId="0" applyAlignment="1" pivotButton="0" quotePrefix="0" xfId="0">
      <alignment horizontal="center" vertical="center"/>
    </xf>
    <xf numFmtId="0" fontId="44" fillId="0" borderId="0" applyAlignment="1" pivotButton="0" quotePrefix="0" xfId="0">
      <alignment horizontal="right" vertical="center"/>
    </xf>
    <xf numFmtId="0" fontId="45" fillId="0" borderId="0" applyAlignment="1" pivotButton="0" quotePrefix="0" xfId="0">
      <alignment horizontal="left" vertical="center"/>
    </xf>
    <xf numFmtId="0" fontId="46" fillId="0" borderId="0" applyAlignment="1" pivotButton="0" quotePrefix="0" xfId="0">
      <alignment horizontal="center" vertical="center"/>
    </xf>
    <xf numFmtId="0" fontId="47" fillId="0" borderId="0" applyAlignment="1" pivotButton="0" quotePrefix="0" xfId="0">
      <alignment horizontal="left" vertical="center"/>
    </xf>
    <xf numFmtId="0" fontId="24" fillId="0" borderId="0" applyAlignment="1" applyProtection="1" pivotButton="0" quotePrefix="0" xfId="0">
      <alignment horizontal="left" vertical="center"/>
      <protection locked="0" hidden="0"/>
    </xf>
    <xf numFmtId="0" fontId="48" fillId="17" borderId="11" applyAlignment="1" applyProtection="1" pivotButton="0" quotePrefix="0" xfId="0">
      <alignment horizontal="left" vertical="top" wrapText="1"/>
      <protection locked="0" hidden="0"/>
    </xf>
    <xf numFmtId="0" fontId="0" fillId="17" borderId="11" applyProtection="1" pivotButton="0" quotePrefix="0" xfId="0">
      <protection locked="0" hidden="0"/>
    </xf>
    <xf numFmtId="0" fontId="23" fillId="18" borderId="7" applyAlignment="1" pivotButton="0" quotePrefix="0" xfId="0">
      <alignment horizontal="center" vertical="center"/>
    </xf>
    <xf numFmtId="0" fontId="23" fillId="19" borderId="12" applyAlignment="1" pivotButton="0" quotePrefix="0" xfId="0">
      <alignment horizontal="center" vertical="center"/>
    </xf>
    <xf numFmtId="0" fontId="51" fillId="0" borderId="7" applyAlignment="1" pivotButton="0" quotePrefix="0" xfId="0">
      <alignment horizontal="center" vertical="center"/>
    </xf>
    <xf numFmtId="0" fontId="49" fillId="18" borderId="7" applyAlignment="1" pivotButton="0" quotePrefix="0" xfId="0">
      <alignment horizontal="center" vertical="center"/>
    </xf>
    <xf numFmtId="0" fontId="50" fillId="19" borderId="12" applyAlignment="1" pivotButton="0" quotePrefix="0" xfId="0">
      <alignment horizontal="center" vertical="center"/>
    </xf>
    <xf numFmtId="0" fontId="24" fillId="20" borderId="7" applyAlignment="1" pivotButton="0" quotePrefix="0" xfId="0">
      <alignment horizontal="center" vertical="center"/>
    </xf>
    <xf numFmtId="0" fontId="48" fillId="20" borderId="7" applyAlignment="1" applyProtection="1" pivotButton="0" quotePrefix="0" xfId="0">
      <alignment horizontal="left" vertical="center"/>
      <protection locked="0" hidden="0"/>
    </xf>
    <xf numFmtId="0" fontId="24" fillId="20" borderId="7" applyAlignment="1" applyProtection="1" pivotButton="0" quotePrefix="0" xfId="0">
      <alignment horizontal="center" vertical="center"/>
      <protection locked="0" hidden="0"/>
    </xf>
    <xf numFmtId="0" fontId="52" fillId="20" borderId="7" applyAlignment="1" applyProtection="1" pivotButton="0" quotePrefix="0" xfId="0">
      <alignment horizontal="center" vertical="center"/>
      <protection locked="0" hidden="0"/>
    </xf>
    <xf numFmtId="0" fontId="52" fillId="21" borderId="12" applyAlignment="1" applyProtection="1" pivotButton="0" quotePrefix="0" xfId="0">
      <alignment horizontal="center" vertical="center"/>
      <protection locked="0" hidden="0"/>
    </xf>
    <xf numFmtId="164" fontId="24" fillId="20" borderId="7" applyAlignment="1" pivotButton="0" quotePrefix="0" xfId="0">
      <alignment horizontal="center" vertical="center"/>
    </xf>
    <xf numFmtId="0" fontId="23" fillId="20" borderId="7" applyAlignment="1" pivotButton="0" quotePrefix="0" xfId="0">
      <alignment horizontal="center" vertical="center"/>
    </xf>
    <xf numFmtId="0" fontId="24" fillId="7" borderId="7" applyAlignment="1" pivotButton="0" quotePrefix="0" xfId="0">
      <alignment horizontal="center" vertical="center"/>
    </xf>
    <xf numFmtId="0" fontId="48" fillId="7" borderId="7" applyAlignment="1" applyProtection="1" pivotButton="0" quotePrefix="0" xfId="0">
      <alignment horizontal="left" vertical="center"/>
      <protection locked="0" hidden="0"/>
    </xf>
    <xf numFmtId="0" fontId="24" fillId="7" borderId="7" applyAlignment="1" applyProtection="1" pivotButton="0" quotePrefix="0" xfId="0">
      <alignment horizontal="center" vertical="center"/>
      <protection locked="0" hidden="0"/>
    </xf>
    <xf numFmtId="0" fontId="52" fillId="7" borderId="7" applyAlignment="1" applyProtection="1" pivotButton="0" quotePrefix="0" xfId="0">
      <alignment horizontal="center" vertical="center"/>
      <protection locked="0" hidden="0"/>
    </xf>
    <xf numFmtId="0" fontId="52" fillId="22" borderId="12" applyAlignment="1" applyProtection="1" pivotButton="0" quotePrefix="0" xfId="0">
      <alignment horizontal="center" vertical="center"/>
      <protection locked="0" hidden="0"/>
    </xf>
    <xf numFmtId="164" fontId="24" fillId="7" borderId="7" applyAlignment="1" pivotButton="0" quotePrefix="0" xfId="0">
      <alignment horizontal="center" vertical="center"/>
    </xf>
    <xf numFmtId="0" fontId="23" fillId="7" borderId="7" applyAlignment="1" pivotButton="0" quotePrefix="0" xfId="0">
      <alignment horizontal="center" vertical="center"/>
    </xf>
    <xf numFmtId="0" fontId="24" fillId="6" borderId="7" applyAlignment="1" pivotButton="0" quotePrefix="0" xfId="0">
      <alignment horizontal="center" vertical="center"/>
    </xf>
    <xf numFmtId="0" fontId="48" fillId="6" borderId="7" applyAlignment="1" applyProtection="1" pivotButton="0" quotePrefix="0" xfId="0">
      <alignment horizontal="left" vertical="center"/>
      <protection locked="0" hidden="0"/>
    </xf>
    <xf numFmtId="0" fontId="24" fillId="6" borderId="7" applyAlignment="1" applyProtection="1" pivotButton="0" quotePrefix="0" xfId="0">
      <alignment horizontal="center" vertical="center"/>
      <protection locked="0" hidden="0"/>
    </xf>
    <xf numFmtId="0" fontId="52" fillId="6" borderId="7" applyAlignment="1" applyProtection="1" pivotButton="0" quotePrefix="0" xfId="0">
      <alignment horizontal="center" vertical="center"/>
      <protection locked="0" hidden="0"/>
    </xf>
    <xf numFmtId="0" fontId="52" fillId="23" borderId="12" applyAlignment="1" applyProtection="1" pivotButton="0" quotePrefix="0" xfId="0">
      <alignment horizontal="center" vertical="center"/>
      <protection locked="0" hidden="0"/>
    </xf>
    <xf numFmtId="164" fontId="24" fillId="6" borderId="7" applyAlignment="1" pivotButton="0" quotePrefix="0" xfId="0">
      <alignment horizontal="center" vertical="center"/>
    </xf>
    <xf numFmtId="0" fontId="23" fillId="6" borderId="7" applyAlignment="1" pivotButton="0" quotePrefix="0" xfId="0">
      <alignment horizontal="center" vertical="center"/>
    </xf>
    <xf numFmtId="0" fontId="24" fillId="24" borderId="7" applyAlignment="1" pivotButton="0" quotePrefix="0" xfId="0">
      <alignment horizontal="center" vertical="center"/>
    </xf>
    <xf numFmtId="0" fontId="48" fillId="24" borderId="7" applyAlignment="1" applyProtection="1" pivotButton="0" quotePrefix="0" xfId="0">
      <alignment horizontal="left" vertical="center"/>
      <protection locked="0" hidden="0"/>
    </xf>
    <xf numFmtId="0" fontId="24" fillId="24" borderId="7" applyAlignment="1" applyProtection="1" pivotButton="0" quotePrefix="0" xfId="0">
      <alignment horizontal="center" vertical="center"/>
      <protection locked="0" hidden="0"/>
    </xf>
    <xf numFmtId="0" fontId="52" fillId="24" borderId="7" applyAlignment="1" applyProtection="1" pivotButton="0" quotePrefix="0" xfId="0">
      <alignment horizontal="center" vertical="center"/>
      <protection locked="0" hidden="0"/>
    </xf>
    <xf numFmtId="0" fontId="52" fillId="25" borderId="12" applyAlignment="1" applyProtection="1" pivotButton="0" quotePrefix="0" xfId="0">
      <alignment horizontal="center" vertical="center"/>
      <protection locked="0" hidden="0"/>
    </xf>
    <xf numFmtId="164" fontId="24" fillId="24" borderId="7" applyAlignment="1" pivotButton="0" quotePrefix="0" xfId="0">
      <alignment horizontal="center" vertical="center"/>
    </xf>
    <xf numFmtId="0" fontId="23" fillId="24" borderId="7" applyAlignment="1" pivotButton="0" quotePrefix="0" xfId="0">
      <alignment horizontal="center" vertical="center"/>
    </xf>
    <xf numFmtId="0" fontId="24" fillId="8" borderId="7" applyAlignment="1" pivotButton="0" quotePrefix="0" xfId="0">
      <alignment horizontal="center" vertical="center"/>
    </xf>
    <xf numFmtId="0" fontId="48" fillId="8" borderId="7" applyAlignment="1" applyProtection="1" pivotButton="0" quotePrefix="0" xfId="0">
      <alignment horizontal="left" vertical="center"/>
      <protection locked="0" hidden="0"/>
    </xf>
    <xf numFmtId="0" fontId="24" fillId="8" borderId="7" applyAlignment="1" applyProtection="1" pivotButton="0" quotePrefix="0" xfId="0">
      <alignment horizontal="center" vertical="center"/>
      <protection locked="0" hidden="0"/>
    </xf>
    <xf numFmtId="0" fontId="52" fillId="8" borderId="7" applyAlignment="1" applyProtection="1" pivotButton="0" quotePrefix="0" xfId="0">
      <alignment horizontal="center" vertical="center"/>
      <protection locked="0" hidden="0"/>
    </xf>
    <xf numFmtId="0" fontId="52" fillId="26" borderId="12" applyAlignment="1" applyProtection="1" pivotButton="0" quotePrefix="0" xfId="0">
      <alignment horizontal="center" vertical="center"/>
      <protection locked="0" hidden="0"/>
    </xf>
    <xf numFmtId="164" fontId="24" fillId="8" borderId="7" applyAlignment="1" pivotButton="0" quotePrefix="0" xfId="0">
      <alignment horizontal="center" vertical="center"/>
    </xf>
    <xf numFmtId="0" fontId="23" fillId="8" borderId="7" applyAlignment="1" pivotButton="0" quotePrefix="0" xfId="0">
      <alignment horizontal="center" vertical="center"/>
    </xf>
    <xf numFmtId="0" fontId="23" fillId="0" borderId="7" applyAlignment="1" pivotButton="0" quotePrefix="0" xfId="0">
      <alignment horizontal="right" vertical="center"/>
    </xf>
    <xf numFmtId="164" fontId="23" fillId="0" borderId="7" applyAlignment="1" pivotButton="0" quotePrefix="0" xfId="0">
      <alignment horizontal="center" vertical="center"/>
    </xf>
    <xf numFmtId="164" fontId="51" fillId="0" borderId="7" applyAlignment="1" pivotButton="0" quotePrefix="0" xfId="0">
      <alignment horizontal="center" vertical="center"/>
    </xf>
    <xf numFmtId="0" fontId="53" fillId="0" borderId="0" applyAlignment="1" applyProtection="1" pivotButton="0" quotePrefix="0" xfId="0">
      <alignment horizontal="left" vertical="center"/>
      <protection locked="0" hidden="0"/>
    </xf>
    <xf numFmtId="0" fontId="54" fillId="0" borderId="0" applyAlignment="1" applyProtection="1" pivotButton="0" quotePrefix="0" xfId="0">
      <alignment horizontal="left" vertical="center"/>
      <protection locked="0" hidden="0"/>
    </xf>
    <xf numFmtId="0" fontId="55" fillId="27" borderId="7" applyAlignment="1" pivotButton="0" quotePrefix="0" xfId="0">
      <alignment horizontal="center" vertical="center"/>
    </xf>
    <xf numFmtId="0" fontId="55" fillId="26" borderId="12" applyAlignment="1" pivotButton="0" quotePrefix="0" xfId="0">
      <alignment horizontal="center" vertical="center"/>
    </xf>
    <xf numFmtId="0" fontId="56" fillId="27" borderId="7" applyAlignment="1" pivotButton="0" quotePrefix="0" xfId="0">
      <alignment horizontal="center" vertical="center"/>
    </xf>
    <xf numFmtId="0" fontId="57" fillId="26" borderId="12" applyAlignment="1" pivotButton="0" quotePrefix="0" xfId="0">
      <alignment horizontal="center" vertical="center"/>
    </xf>
    <xf numFmtId="0" fontId="20" fillId="28" borderId="7" applyAlignment="1" pivotButton="0" quotePrefix="0" xfId="0">
      <alignment horizontal="center" vertical="center"/>
    </xf>
    <xf numFmtId="0" fontId="0" fillId="28" borderId="7" pivotButton="0" quotePrefix="0" xfId="0"/>
    <xf numFmtId="1" fontId="58" fillId="8" borderId="7" applyAlignment="1" applyProtection="1" pivotButton="0" quotePrefix="0" xfId="0">
      <alignment horizontal="center" vertical="center"/>
      <protection locked="0" hidden="0"/>
    </xf>
    <xf numFmtId="1" fontId="58" fillId="29" borderId="12" applyAlignment="1" applyProtection="1" pivotButton="0" quotePrefix="0" xfId="0">
      <alignment horizontal="center" vertical="center"/>
      <protection locked="0" hidden="0"/>
    </xf>
    <xf numFmtId="0" fontId="30" fillId="4" borderId="2" applyAlignment="1" pivotButton="0" quotePrefix="0" xfId="0">
      <alignment horizontal="center" vertical="center"/>
    </xf>
    <xf numFmtId="0" fontId="33" fillId="5" borderId="3" applyAlignment="1" pivotButton="0" quotePrefix="0" xfId="0">
      <alignment horizontal="center" vertical="center"/>
    </xf>
    <xf numFmtId="0" fontId="34" fillId="6" borderId="4" applyAlignment="1" pivotButton="0" quotePrefix="0" xfId="0">
      <alignment horizontal="center" vertical="center"/>
    </xf>
    <xf numFmtId="0" fontId="65" fillId="7" borderId="5" applyAlignment="1" pivotButton="0" quotePrefix="0" xfId="0">
      <alignment horizontal="center" vertical="center"/>
    </xf>
    <xf numFmtId="164" fontId="59" fillId="4" borderId="2" applyAlignment="1" pivotButton="0" quotePrefix="0" xfId="0">
      <alignment horizontal="center" vertical="center"/>
    </xf>
    <xf numFmtId="0" fontId="61" fillId="5" borderId="3" applyAlignment="1" pivotButton="0" quotePrefix="0" xfId="0">
      <alignment horizontal="center" vertical="center"/>
    </xf>
    <xf numFmtId="0" fontId="63" fillId="6" borderId="4" applyAlignment="1" pivotButton="0" quotePrefix="0" xfId="0">
      <alignment horizontal="center" vertical="center"/>
    </xf>
    <xf numFmtId="0" fontId="66" fillId="7" borderId="5" applyAlignment="1" pivotButton="0" quotePrefix="0" xfId="0">
      <alignment horizontal="center" vertical="center"/>
    </xf>
    <xf numFmtId="0" fontId="60" fillId="4" borderId="2" applyAlignment="1" pivotButton="0" quotePrefix="0" xfId="0">
      <alignment horizontal="center" vertical="center"/>
    </xf>
    <xf numFmtId="0" fontId="62" fillId="5" borderId="3" applyAlignment="1" pivotButton="0" quotePrefix="0" xfId="0">
      <alignment horizontal="center" vertical="center"/>
    </xf>
    <xf numFmtId="0" fontId="64" fillId="6" borderId="4" applyAlignment="1" pivotButton="0" quotePrefix="0" xfId="0">
      <alignment horizontal="center" vertical="center"/>
    </xf>
    <xf numFmtId="0" fontId="67" fillId="7" borderId="5" applyAlignment="1" pivotButton="0" quotePrefix="0" xfId="0">
      <alignment horizontal="center" vertical="center"/>
    </xf>
    <xf numFmtId="0" fontId="27" fillId="12" borderId="7" applyAlignment="1" pivotButton="0" quotePrefix="0" xfId="0">
      <alignment horizontal="center" vertical="center"/>
    </xf>
    <xf numFmtId="0" fontId="0" fillId="12" borderId="7" pivotButton="0" quotePrefix="0" xfId="0"/>
    <xf numFmtId="0" fontId="31" fillId="0" borderId="7" applyAlignment="1" pivotButton="0" quotePrefix="0" xfId="0">
      <alignment horizontal="center" vertical="center"/>
    </xf>
    <xf numFmtId="0" fontId="26" fillId="0" borderId="7" applyAlignment="1" pivotButton="0" quotePrefix="0" xfId="0">
      <alignment horizontal="center" vertical="center"/>
    </xf>
    <xf numFmtId="0" fontId="0" fillId="0" borderId="13" pivotButton="0" quotePrefix="0" xfId="0"/>
    <xf numFmtId="0" fontId="68" fillId="0" borderId="7" applyAlignment="1" pivotButton="0" quotePrefix="0" xfId="0">
      <alignment horizontal="center" vertical="center"/>
    </xf>
    <xf numFmtId="164" fontId="68" fillId="0" borderId="7" applyAlignment="1" pivotButton="0" quotePrefix="0" xfId="0">
      <alignment horizontal="center" vertical="center"/>
    </xf>
    <xf numFmtId="0" fontId="69" fillId="8" borderId="7" applyAlignment="1" pivotButton="0" quotePrefix="0" xfId="0">
      <alignment horizontal="center" vertical="center"/>
    </xf>
    <xf numFmtId="0" fontId="47" fillId="0" borderId="7" applyAlignment="1" pivotButton="0" quotePrefix="0" xfId="0">
      <alignment horizontal="center" vertical="center"/>
    </xf>
    <xf numFmtId="0" fontId="48" fillId="0" borderId="7" applyAlignment="1" pivotButton="0" quotePrefix="0" xfId="0">
      <alignment horizontal="center" vertical="center"/>
    </xf>
    <xf numFmtId="164" fontId="70" fillId="0" borderId="7" applyAlignment="1" pivotButton="0" quotePrefix="0" xfId="0">
      <alignment horizontal="center" vertical="center"/>
    </xf>
    <xf numFmtId="165" fontId="48" fillId="0" borderId="7" applyAlignment="1" pivotButton="0" quotePrefix="0" xfId="0">
      <alignment horizontal="center" vertical="center"/>
    </xf>
    <xf numFmtId="0" fontId="71" fillId="0" borderId="0" applyAlignment="1" pivotButton="0" quotePrefix="0" xfId="0">
      <alignment horizontal="left" vertical="center"/>
    </xf>
    <xf numFmtId="0" fontId="70" fillId="0" borderId="0" applyAlignment="1" pivotButton="0" quotePrefix="0" xfId="0">
      <alignment horizontal="left" vertical="center"/>
    </xf>
    <xf numFmtId="0" fontId="72" fillId="0" borderId="0" applyAlignment="1" pivotButton="0" quotePrefix="0" xfId="0">
      <alignment horizontal="left" vertical="center"/>
    </xf>
    <xf numFmtId="0" fontId="73" fillId="0" borderId="0" applyAlignment="1" pivotButton="0" quotePrefix="0" xfId="0">
      <alignment horizontal="left" vertical="center"/>
    </xf>
    <xf numFmtId="0" fontId="74" fillId="4" borderId="11" applyAlignment="1" applyProtection="1" pivotButton="0" quotePrefix="0" xfId="0">
      <alignment horizontal="left" vertical="top" wrapText="1"/>
      <protection locked="0" hidden="0"/>
    </xf>
    <xf numFmtId="0" fontId="0" fillId="4" borderId="11" applyProtection="1" pivotButton="0" quotePrefix="0" xfId="0">
      <protection locked="0" hidden="0"/>
    </xf>
    <xf numFmtId="0" fontId="74" fillId="30" borderId="11" applyAlignment="1" applyProtection="1" pivotButton="0" quotePrefix="0" xfId="0">
      <alignment horizontal="left" vertical="top" wrapText="1"/>
      <protection locked="0" hidden="0"/>
    </xf>
    <xf numFmtId="0" fontId="0" fillId="30" borderId="11" applyProtection="1" pivotButton="0" quotePrefix="0" xfId="0">
      <protection locked="0" hidden="0"/>
    </xf>
    <xf numFmtId="0" fontId="74" fillId="5" borderId="11" applyAlignment="1" applyProtection="1" pivotButton="0" quotePrefix="0" xfId="0">
      <alignment horizontal="left" vertical="top" wrapText="1"/>
      <protection locked="0" hidden="0"/>
    </xf>
    <xf numFmtId="0" fontId="0" fillId="5" borderId="11" applyProtection="1" pivotButton="0" quotePrefix="0" xfId="0">
      <protection locked="0" hidden="0"/>
    </xf>
  </cellXfs>
  <cellStyles count="1">
    <cellStyle name="Normal" xfId="0" builtinId="0" hidden="0"/>
  </cellStyles>
  <dxfs count="3">
    <dxf>
      <font>
        <name val="Arial"/>
        <b val="1"/>
        <color rgb="00166534"/>
        <sz val="9"/>
      </font>
      <fill>
        <patternFill patternType="solid">
          <fgColor rgb="00DCFCE7"/>
          <bgColor rgb="00DCFCE7"/>
        </patternFill>
      </fill>
    </dxf>
    <dxf>
      <font>
        <name val="Arial"/>
        <b val="1"/>
        <color rgb="00991B1B"/>
        <sz val="9"/>
      </font>
      <fill>
        <patternFill patternType="solid">
          <fgColor rgb="00FEE2E2"/>
          <bgColor rgb="00FEE2E2"/>
        </patternFill>
      </fill>
    </dxf>
    <dxf>
      <font>
        <name val="Arial"/>
        <b val="1"/>
        <color rgb="00854D0E"/>
        <sz val="9"/>
      </font>
      <fill>
        <patternFill patternType="solid">
          <fgColor rgb="00FEF08A"/>
          <bgColor rgb="00FEF08A"/>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worksheet" Target="/xl/worksheets/sheet32.xml" Id="rId32"/><Relationship Type="http://schemas.openxmlformats.org/officeDocument/2006/relationships/worksheet" Target="/xl/worksheets/sheet33.xml" Id="rId33"/><Relationship Type="http://schemas.openxmlformats.org/officeDocument/2006/relationships/worksheet" Target="/xl/worksheets/sheet34.xml" Id="rId34"/><Relationship Type="http://schemas.openxmlformats.org/officeDocument/2006/relationships/worksheet" Target="/xl/worksheets/sheet35.xml" Id="rId35"/><Relationship Type="http://schemas.openxmlformats.org/officeDocument/2006/relationships/worksheet" Target="/xl/worksheets/sheet36.xml" Id="rId36"/><Relationship Type="http://schemas.openxmlformats.org/officeDocument/2006/relationships/worksheet" Target="/xl/worksheets/sheet37.xml" Id="rId37"/><Relationship Type="http://schemas.openxmlformats.org/officeDocument/2006/relationships/worksheet" Target="/xl/worksheets/sheet38.xml" Id="rId38"/><Relationship Type="http://schemas.openxmlformats.org/officeDocument/2006/relationships/worksheet" Target="/xl/worksheets/sheet39.xml" Id="rId39"/><Relationship Type="http://schemas.openxmlformats.org/officeDocument/2006/relationships/worksheet" Target="/xl/worksheets/sheet40.xml" Id="rId40"/><Relationship Type="http://schemas.openxmlformats.org/officeDocument/2006/relationships/worksheet" Target="/xl/worksheets/sheet41.xml" Id="rId41"/><Relationship Type="http://schemas.openxmlformats.org/officeDocument/2006/relationships/worksheet" Target="/xl/worksheets/sheet42.xml" Id="rId42"/><Relationship Type="http://schemas.openxmlformats.org/officeDocument/2006/relationships/worksheet" Target="/xl/worksheets/sheet43.xml" Id="rId43"/><Relationship Type="http://schemas.openxmlformats.org/officeDocument/2006/relationships/worksheet" Target="/xl/worksheets/sheet44.xml" Id="rId44"/><Relationship Type="http://schemas.openxmlformats.org/officeDocument/2006/relationships/worksheet" Target="/xl/worksheets/sheet45.xml" Id="rId45"/><Relationship Type="http://schemas.openxmlformats.org/officeDocument/2006/relationships/worksheet" Target="/xl/worksheets/sheet46.xml" Id="rId46"/><Relationship Type="http://schemas.openxmlformats.org/officeDocument/2006/relationships/worksheet" Target="/xl/worksheets/sheet47.xml" Id="rId47"/><Relationship Type="http://schemas.openxmlformats.org/officeDocument/2006/relationships/worksheet" Target="/xl/worksheets/sheet48.xml" Id="rId48"/><Relationship Type="http://schemas.openxmlformats.org/officeDocument/2006/relationships/worksheet" Target="/xl/worksheets/sheet49.xml" Id="rId49"/><Relationship Type="http://schemas.openxmlformats.org/officeDocument/2006/relationships/worksheet" Target="/xl/worksheets/sheet50.xml" Id="rId50"/><Relationship Type="http://schemas.openxmlformats.org/officeDocument/2006/relationships/worksheet" Target="/xl/worksheets/sheet51.xml" Id="rId51"/><Relationship Type="http://schemas.openxmlformats.org/officeDocument/2006/relationships/worksheet" Target="/xl/worksheets/sheet52.xml" Id="rId52"/><Relationship Type="http://schemas.openxmlformats.org/officeDocument/2006/relationships/worksheet" Target="/xl/worksheets/sheet53.xml" Id="rId53"/><Relationship Type="http://schemas.openxmlformats.org/officeDocument/2006/relationships/worksheet" Target="/xl/worksheets/sheet54.xml" Id="rId54"/><Relationship Type="http://schemas.openxmlformats.org/officeDocument/2006/relationships/worksheet" Target="/xl/worksheets/sheet55.xml" Id="rId55"/><Relationship Type="http://schemas.openxmlformats.org/officeDocument/2006/relationships/styles" Target="styles.xml" Id="rId56"/><Relationship Type="http://schemas.openxmlformats.org/officeDocument/2006/relationships/theme" Target="theme/theme1.xml" Id="rId57"/></Relationships>
</file>

<file path=xl/charts/chart1.xml><?xml version="1.0" encoding="utf-8"?>
<chartSpace xmlns="http://schemas.openxmlformats.org/drawingml/2006/chart">
  <style val="13"/>
  <chart>
    <title>
      <tx>
        <rich>
          <a:bodyPr xmlns:a="http://schemas.openxmlformats.org/drawingml/2006/main"/>
          <a:p xmlns:a="http://schemas.openxmlformats.org/drawingml/2006/main">
            <a:pPr>
              <a:defRPr/>
            </a:pPr>
            <a:r>
              <a:t>Multi-Year Habit Execution Trend (2026 – 2030)</a:t>
            </a:r>
          </a:p>
        </rich>
      </tx>
    </title>
    <plotArea>
      <lineChart>
        <grouping val="standard"/>
        <ser>
          <idx val="0"/>
          <order val="0"/>
          <tx>
            <strRef>
              <f>'Master Dashboard'!E18</f>
            </strRef>
          </tx>
          <spPr>
            <a:ln xmlns:a="http://schemas.openxmlformats.org/drawingml/2006/main" w="25000">
              <a:solidFill>
                <a:srgbClr val="10B981"/>
              </a:solidFill>
              <a:prstDash val="solid"/>
            </a:ln>
          </spPr>
          <marker>
            <symbol val="circle"/>
            <size val="4"/>
            <spPr>
              <a:solidFill xmlns:a="http://schemas.openxmlformats.org/drawingml/2006/main">
                <a:srgbClr val="047857"/>
              </a:solidFill>
              <a:ln xmlns:a="http://schemas.openxmlformats.org/drawingml/2006/main">
                <a:prstDash val="solid"/>
              </a:ln>
            </spPr>
          </marker>
          <cat>
            <numRef>
              <f>'Master Dashboard'!$A$19:$A$70</f>
            </numRef>
          </cat>
          <val>
            <numRef>
              <f>'Master Dashboard'!$E$19:$E$70</f>
            </numRef>
          </val>
        </ser>
        <axId val="10"/>
        <axId val="100"/>
      </lineChart>
      <catAx>
        <axId val="10"/>
        <scaling>
          <orientation val="minMax"/>
        </scaling>
        <axPos val="l"/>
        <title>
          <tx>
            <rich>
              <a:bodyPr xmlns:a="http://schemas.openxmlformats.org/drawingml/2006/main"/>
              <a:p xmlns:a="http://schemas.openxmlformats.org/drawingml/2006/main">
                <a:pPr>
                  <a:defRPr/>
                </a:pPr>
                <a:r>
                  <a:t>Month</a:t>
                </a:r>
              </a:p>
            </rich>
          </tx>
        </title>
        <majorTickMark val="none"/>
        <minorTickMark val="none"/>
        <crossAx val="100"/>
        <lblOffset val="100"/>
      </catAx>
      <valAx>
        <axId val="100"/>
        <scaling>
          <orientation val="minMax"/>
          <max val="1"/>
          <min val="0"/>
        </scaling>
        <axPos val="l"/>
        <majorGridlines/>
        <title>
          <tx>
            <rich>
              <a:bodyPr xmlns:a="http://schemas.openxmlformats.org/drawingml/2006/main"/>
              <a:p xmlns:a="http://schemas.openxmlformats.org/drawingml/2006/main">
                <a:pPr>
                  <a:defRPr/>
                </a:pPr>
                <a:r>
                  <a:t>Success Rate (%)</a:t>
                </a:r>
              </a:p>
            </rich>
          </tx>
        </title>
        <majorTickMark val="none"/>
        <minorTickMark val="none"/>
        <crossAx val="10"/>
      </valAx>
    </plotArea>
    <plotVisOnly val="1"/>
    <dispBlanksAs val="gap"/>
  </chart>
</chartSpace>
</file>

<file path=xl/charts/chart2.xml><?xml version="1.0" encoding="utf-8"?>
<chartSpace xmlns="http://schemas.openxmlformats.org/drawingml/2006/chart">
  <style val="11"/>
  <chart>
    <title>
      <tx>
        <rich>
          <a:bodyPr xmlns:a="http://schemas.openxmlformats.org/drawingml/2006/main"/>
          <a:p xmlns:a="http://schemas.openxmlformats.org/drawingml/2006/main">
            <a:pPr>
              <a:defRPr/>
            </a:pPr>
            <a:r>
              <a:t>Multi-Year Nightly Sleep Average (Hours vs Month)</a:t>
            </a:r>
          </a:p>
        </rich>
      </tx>
    </title>
    <plotArea>
      <lineChart>
        <grouping val="standard"/>
        <ser>
          <idx val="0"/>
          <order val="0"/>
          <tx>
            <strRef>
              <f>'Master Dashboard'!G18</f>
            </strRef>
          </tx>
          <spPr>
            <a:ln xmlns:a="http://schemas.openxmlformats.org/drawingml/2006/main" w="25000">
              <a:solidFill>
                <a:srgbClr val="6366F1"/>
              </a:solidFill>
              <a:prstDash val="solid"/>
            </a:ln>
          </spPr>
          <marker>
            <symbol val="diamond"/>
            <size val="4"/>
            <spPr>
              <a:solidFill xmlns:a="http://schemas.openxmlformats.org/drawingml/2006/main">
                <a:srgbClr val="4338CA"/>
              </a:solidFill>
              <a:ln xmlns:a="http://schemas.openxmlformats.org/drawingml/2006/main">
                <a:prstDash val="solid"/>
              </a:ln>
            </spPr>
          </marker>
          <cat>
            <numRef>
              <f>'Master Dashboard'!$A$19:$A$70</f>
            </numRef>
          </cat>
          <val>
            <numRef>
              <f>'Master Dashboard'!$G$19:$G$70</f>
            </numRef>
          </val>
        </ser>
        <axId val="10"/>
        <axId val="100"/>
      </lineChart>
      <catAx>
        <axId val="10"/>
        <scaling>
          <orientation val="minMax"/>
        </scaling>
        <axPos val="l"/>
        <title>
          <tx>
            <rich>
              <a:bodyPr xmlns:a="http://schemas.openxmlformats.org/drawingml/2006/main"/>
              <a:p xmlns:a="http://schemas.openxmlformats.org/drawingml/2006/main">
                <a:pPr>
                  <a:defRPr/>
                </a:pPr>
                <a:r>
                  <a:t>Month</a:t>
                </a:r>
              </a:p>
            </rich>
          </tx>
        </title>
        <majorTickMark val="none"/>
        <minorTickMark val="none"/>
        <crossAx val="100"/>
        <lblOffset val="100"/>
      </catAx>
      <valAx>
        <axId val="100"/>
        <scaling>
          <orientation val="minMax"/>
          <max val="12"/>
          <min val="0"/>
        </scaling>
        <axPos val="l"/>
        <majorGridlines/>
        <title>
          <tx>
            <rich>
              <a:bodyPr xmlns:a="http://schemas.openxmlformats.org/drawingml/2006/main"/>
              <a:p xmlns:a="http://schemas.openxmlformats.org/drawingml/2006/main">
                <a:pPr>
                  <a:defRPr/>
                </a:pPr>
                <a:r>
                  <a:t>Sleep Hours</a:t>
                </a:r>
              </a:p>
            </rich>
          </tx>
        </title>
        <majorTickMark val="none"/>
        <minorTickMark val="none"/>
        <crossAx val="10"/>
      </valAx>
    </plotArea>
    <plotVisOnly val="1"/>
    <dispBlanksAs val="gap"/>
  </chart>
</chartSpace>
</file>

<file path=xl/charts/chart3.xml><?xml version="1.0" encoding="utf-8"?>
<chartSpace xmlns="http://schemas.openxmlformats.org/drawingml/2006/chart">
  <style val="10"/>
  <chart>
    <title>
      <tx>
        <rich>
          <a:bodyPr xmlns:a="http://schemas.openxmlformats.org/drawingml/2006/main"/>
          <a:p xmlns:a="http://schemas.openxmlformats.org/drawingml/2006/main">
            <a:pPr>
              <a:defRPr/>
            </a:pPr>
            <a:r>
              <a:t>17-Quarter Execution Trajectory (2026 – 2030)</a:t>
            </a:r>
          </a:p>
        </rich>
      </tx>
    </title>
    <plotArea>
      <barChart>
        <barDir val="col"/>
        <grouping val="clustered"/>
        <ser>
          <idx val="0"/>
          <order val="0"/>
          <tx>
            <strRef>
              <f>'Quarterly Hub'!F6</f>
            </strRef>
          </tx>
          <spPr>
            <a:ln xmlns:a="http://schemas.openxmlformats.org/drawingml/2006/main">
              <a:prstDash val="solid"/>
            </a:ln>
          </spPr>
          <cat>
            <numRef>
              <f>'Quarterly Hub'!$A$7:$A$23</f>
            </numRef>
          </cat>
          <val>
            <numRef>
              <f>'Quarterly Hub'!$F$7:$F$23</f>
            </numRef>
          </val>
        </ser>
        <gapWidth val="150"/>
        <axId val="10"/>
        <axId val="100"/>
      </barChart>
      <catAx>
        <axId val="10"/>
        <scaling>
          <orientation val="minMax"/>
        </scaling>
        <axPos val="l"/>
        <title>
          <tx>
            <rich>
              <a:bodyPr xmlns:a="http://schemas.openxmlformats.org/drawingml/2006/main"/>
              <a:p xmlns:a="http://schemas.openxmlformats.org/drawingml/2006/main">
                <a:pPr>
                  <a:defRPr/>
                </a:pPr>
                <a:r>
                  <a:t>Quarter</a:t>
                </a:r>
              </a:p>
            </rich>
          </tx>
        </title>
        <majorTickMark val="none"/>
        <minorTickMark val="none"/>
        <crossAx val="100"/>
        <lblOffset val="100"/>
      </catAx>
      <valAx>
        <axId val="100"/>
        <scaling>
          <orientation val="minMax"/>
          <max val="1"/>
          <min val="0"/>
        </scaling>
        <axPos val="l"/>
        <majorGridlines/>
        <title>
          <tx>
            <rich>
              <a:bodyPr xmlns:a="http://schemas.openxmlformats.org/drawingml/2006/main"/>
              <a:p xmlns:a="http://schemas.openxmlformats.org/drawingml/2006/main">
                <a:pPr>
                  <a:defRPr/>
                </a:pPr>
                <a:r>
                  <a:t>Success Rate (%)</a:t>
                </a:r>
              </a:p>
            </rich>
          </tx>
        </title>
        <majorTickMark val="none"/>
        <minorTickMark val="none"/>
        <crossAx val="10"/>
      </valAx>
    </plotArea>
    <plotVisOnly val="1"/>
    <dispBlanksAs val="gap"/>
  </chart>
</chartSpace>
</file>

<file path=xl/charts/chart4.xml><?xml version="1.0" encoding="utf-8"?>
<chartSpace xmlns="http://schemas.openxmlformats.org/drawingml/2006/chart">
  <style val="13"/>
  <chart>
    <title>
      <tx>
        <rich>
          <a:bodyPr xmlns:a="http://schemas.openxmlformats.org/drawingml/2006/main"/>
          <a:p xmlns:a="http://schemas.openxmlformats.org/drawingml/2006/main">
            <a:pPr>
              <a:defRPr/>
            </a:pPr>
            <a:r>
              <a:t>Daily Sleep Trend (Hours vs Day)</a:t>
            </a:r>
          </a:p>
        </rich>
      </tx>
    </title>
    <plotArea>
      <lineChart>
        <grouping val="standard"/>
        <ser>
          <idx val="0"/>
          <order val="0"/>
          <spPr>
            <a:ln xmlns:a="http://schemas.openxmlformats.org/drawingml/2006/main" w="25000">
              <a:solidFill>
                <a:srgbClr val="3B82F6"/>
              </a:solidFill>
              <a:prstDash val="solid"/>
            </a:ln>
          </spPr>
          <marker>
            <symbol val="circle"/>
            <size val="5"/>
            <spPr>
              <a:solidFill xmlns:a="http://schemas.openxmlformats.org/drawingml/2006/main">
                <a:srgbClr val="1D4ED8"/>
              </a:solidFill>
              <a:ln xmlns:a="http://schemas.openxmlformats.org/drawingml/2006/main">
                <a:prstDash val="solid"/>
              </a:ln>
            </spPr>
          </marker>
          <cat>
            <numRef>
              <f>'Sep 2026'!$E$45:$AH$45</f>
            </numRef>
          </cat>
          <val>
            <numRef>
              <f>'Sep 2026'!$E$47:$AH$47</f>
            </numRef>
          </val>
        </ser>
        <axId val="10"/>
        <axId val="100"/>
      </lineChart>
      <catAx>
        <axId val="10"/>
        <scaling>
          <orientation val="minMax"/>
        </scaling>
        <axPos val="l"/>
        <title>
          <tx>
            <rich>
              <a:bodyPr xmlns:a="http://schemas.openxmlformats.org/drawingml/2006/main"/>
              <a:p xmlns:a="http://schemas.openxmlformats.org/drawingml/2006/main">
                <a:pPr>
                  <a:defRPr/>
                </a:pPr>
                <a:r>
                  <a:t>Day</a:t>
                </a:r>
              </a:p>
            </rich>
          </tx>
        </title>
        <majorTickMark val="none"/>
        <minorTickMark val="none"/>
        <crossAx val="100"/>
        <lblOffset val="100"/>
      </catAx>
      <valAx>
        <axId val="100"/>
        <scaling>
          <orientation val="minMax"/>
          <max val="24"/>
          <min val="0"/>
        </scaling>
        <axPos val="l"/>
        <majorGridlines/>
        <title>
          <tx>
            <rich>
              <a:bodyPr xmlns:a="http://schemas.openxmlformats.org/drawingml/2006/main"/>
              <a:p xmlns:a="http://schemas.openxmlformats.org/drawingml/2006/main">
                <a:pPr>
                  <a:defRPr/>
                </a:pPr>
                <a:r>
                  <a:t>Hours</a:t>
                </a:r>
              </a:p>
            </rich>
          </tx>
        </title>
        <majorTickMark val="none"/>
        <minorTickMark val="none"/>
        <crossAx val="10"/>
      </valAx>
    </plotArea>
    <plotVisOnly val="1"/>
    <dispBlanksAs val="gap"/>
  </chart>
</chartSpace>
</file>

<file path=xl/charts/chart5.xml><?xml version="1.0" encoding="utf-8"?>
<chartSpace xmlns="http://schemas.openxmlformats.org/drawingml/2006/chart">
  <style val="10"/>
  <chart>
    <title>
      <tx>
        <rich>
          <a:bodyPr xmlns:a="http://schemas.openxmlformats.org/drawingml/2006/main"/>
          <a:p xmlns:a="http://schemas.openxmlformats.org/drawingml/2006/main">
            <a:pPr>
              <a:defRPr/>
            </a:pPr>
            <a:r>
              <a:t>Weekly Momentum Trend (%)</a:t>
            </a:r>
          </a:p>
        </rich>
      </tx>
    </title>
    <plotArea>
      <barChart>
        <barDir val="col"/>
        <grouping val="clustered"/>
        <ser>
          <idx val="0"/>
          <order val="0"/>
          <tx>
            <strRef>
              <f>'Sep 2026'!E75</f>
            </strRef>
          </tx>
          <spPr>
            <a:ln xmlns:a="http://schemas.openxmlformats.org/drawingml/2006/main">
              <a:prstDash val="solid"/>
            </a:ln>
          </spPr>
          <cat>
            <numRef>
              <f>'Sep 2026'!$A$76:$A$80</f>
            </numRef>
          </cat>
          <val>
            <numRef>
              <f>'Sep 2026'!$E$76:$E$80</f>
            </numRef>
          </val>
        </ser>
        <gapWidth val="150"/>
        <axId val="10"/>
        <axId val="100"/>
      </barChart>
      <catAx>
        <axId val="10"/>
        <scaling>
          <orientation val="minMax"/>
        </scaling>
        <axPos val="l"/>
        <title>
          <tx>
            <rich>
              <a:bodyPr xmlns:a="http://schemas.openxmlformats.org/drawingml/2006/main"/>
              <a:p xmlns:a="http://schemas.openxmlformats.org/drawingml/2006/main">
                <a:pPr>
                  <a:defRPr/>
                </a:pPr>
                <a:r>
                  <a:t>Week</a:t>
                </a:r>
              </a:p>
            </rich>
          </tx>
        </title>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Success %</a:t>
                </a:r>
              </a:p>
            </rich>
          </tx>
        </title>
        <majorTickMark val="none"/>
        <minorTickMark val="none"/>
        <crossAx val="10"/>
      </valAx>
    </plotArea>
    <plotVisOnly val="1"/>
    <dispBlanksAs val="gap"/>
  </chart>
</chartSpace>
</file>

<file path=xl/charts/chart6.xml><?xml version="1.0" encoding="utf-8"?>
<chartSpace xmlns="http://schemas.openxmlformats.org/drawingml/2006/chart">
  <style val="11"/>
  <chart>
    <title>
      <tx>
        <rich>
          <a:bodyPr xmlns:a="http://schemas.openxmlformats.org/drawingml/2006/main"/>
          <a:p xmlns:a="http://schemas.openxmlformats.org/drawingml/2006/main">
            <a:pPr>
              <a:defRPr/>
            </a:pPr>
            <a:r>
              <a:t>Performance by Domain (%)</a:t>
            </a:r>
          </a:p>
        </rich>
      </tx>
    </title>
    <plotArea>
      <barChart>
        <barDir val="col"/>
        <grouping val="clustered"/>
        <ser>
          <idx val="0"/>
          <order val="0"/>
          <tx>
            <strRef>
              <f>'Sep 2026'!S75</f>
            </strRef>
          </tx>
          <spPr>
            <a:ln xmlns:a="http://schemas.openxmlformats.org/drawingml/2006/main">
              <a:prstDash val="solid"/>
            </a:ln>
          </spPr>
          <cat>
            <numRef>
              <f>'Sep 2026'!$N$76:$N$80</f>
            </numRef>
          </cat>
          <val>
            <numRef>
              <f>'Sep 2026'!$S$76:$S$80</f>
            </numRef>
          </val>
        </ser>
        <gapWidth val="150"/>
        <axId val="10"/>
        <axId val="100"/>
      </barChart>
      <catAx>
        <axId val="10"/>
        <scaling>
          <orientation val="minMax"/>
        </scaling>
        <axPos val="l"/>
        <title>
          <tx>
            <rich>
              <a:bodyPr xmlns:a="http://schemas.openxmlformats.org/drawingml/2006/main"/>
              <a:p xmlns:a="http://schemas.openxmlformats.org/drawingml/2006/main">
                <a:pPr>
                  <a:defRPr/>
                </a:pPr>
                <a:r>
                  <a:t>Domain</a:t>
                </a:r>
              </a:p>
            </rich>
          </tx>
        </title>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Success %</a:t>
                </a:r>
              </a:p>
            </rich>
          </tx>
        </title>
        <majorTickMark val="none"/>
        <minorTickMark val="none"/>
        <crossAx val="10"/>
      </valAx>
    </plotArea>
    <plotVisOnly val="1"/>
    <dispBlanksAs val="gap"/>
  </chart>
</chartSpace>
</file>

<file path=xl/charts/chart7.xml><?xml version="1.0" encoding="utf-8"?>
<chartSpace xmlns="http://schemas.openxmlformats.org/drawingml/2006/chart">
  <style val="13"/>
  <chart>
    <title>
      <tx>
        <rich>
          <a:bodyPr xmlns:a="http://schemas.openxmlformats.org/drawingml/2006/main"/>
          <a:p xmlns:a="http://schemas.openxmlformats.org/drawingml/2006/main">
            <a:pPr>
              <a:defRPr/>
            </a:pPr>
            <a:r>
              <a:t>Daily Sleep Trend (Hours vs Day)</a:t>
            </a:r>
          </a:p>
        </rich>
      </tx>
    </title>
    <plotArea>
      <lineChart>
        <grouping val="standard"/>
        <ser>
          <idx val="0"/>
          <order val="0"/>
          <spPr>
            <a:ln xmlns:a="http://schemas.openxmlformats.org/drawingml/2006/main" w="25000">
              <a:solidFill>
                <a:srgbClr val="3B82F6"/>
              </a:solidFill>
              <a:prstDash val="solid"/>
            </a:ln>
          </spPr>
          <marker>
            <symbol val="circle"/>
            <size val="5"/>
            <spPr>
              <a:solidFill xmlns:a="http://schemas.openxmlformats.org/drawingml/2006/main">
                <a:srgbClr val="1D4ED8"/>
              </a:solidFill>
              <a:ln xmlns:a="http://schemas.openxmlformats.org/drawingml/2006/main">
                <a:prstDash val="solid"/>
              </a:ln>
            </spPr>
          </marker>
          <cat>
            <numRef>
              <f>'Oct 2026'!$E$45:$AI$45</f>
            </numRef>
          </cat>
          <val>
            <numRef>
              <f>'Oct 2026'!$E$47:$AI$47</f>
            </numRef>
          </val>
        </ser>
        <axId val="10"/>
        <axId val="100"/>
      </lineChart>
      <catAx>
        <axId val="10"/>
        <scaling>
          <orientation val="minMax"/>
        </scaling>
        <axPos val="l"/>
        <title>
          <tx>
            <rich>
              <a:bodyPr xmlns:a="http://schemas.openxmlformats.org/drawingml/2006/main"/>
              <a:p xmlns:a="http://schemas.openxmlformats.org/drawingml/2006/main">
                <a:pPr>
                  <a:defRPr/>
                </a:pPr>
                <a:r>
                  <a:t>Day</a:t>
                </a:r>
              </a:p>
            </rich>
          </tx>
        </title>
        <majorTickMark val="none"/>
        <minorTickMark val="none"/>
        <crossAx val="100"/>
        <lblOffset val="100"/>
      </catAx>
      <valAx>
        <axId val="100"/>
        <scaling>
          <orientation val="minMax"/>
          <max val="24"/>
          <min val="0"/>
        </scaling>
        <axPos val="l"/>
        <majorGridlines/>
        <title>
          <tx>
            <rich>
              <a:bodyPr xmlns:a="http://schemas.openxmlformats.org/drawingml/2006/main"/>
              <a:p xmlns:a="http://schemas.openxmlformats.org/drawingml/2006/main">
                <a:pPr>
                  <a:defRPr/>
                </a:pPr>
                <a:r>
                  <a:t>Hours</a:t>
                </a:r>
              </a:p>
            </rich>
          </tx>
        </title>
        <majorTickMark val="none"/>
        <minorTickMark val="none"/>
        <crossAx val="10"/>
      </valAx>
    </plotArea>
    <plotVisOnly val="1"/>
    <dispBlanksAs val="gap"/>
  </chart>
</chartSpace>
</file>

<file path=xl/charts/chart8.xml><?xml version="1.0" encoding="utf-8"?>
<chartSpace xmlns="http://schemas.openxmlformats.org/drawingml/2006/chart">
  <style val="10"/>
  <chart>
    <title>
      <tx>
        <rich>
          <a:bodyPr xmlns:a="http://schemas.openxmlformats.org/drawingml/2006/main"/>
          <a:p xmlns:a="http://schemas.openxmlformats.org/drawingml/2006/main">
            <a:pPr>
              <a:defRPr/>
            </a:pPr>
            <a:r>
              <a:t>Weekly Momentum Trend (%)</a:t>
            </a:r>
          </a:p>
        </rich>
      </tx>
    </title>
    <plotArea>
      <barChart>
        <barDir val="col"/>
        <grouping val="clustered"/>
        <ser>
          <idx val="0"/>
          <order val="0"/>
          <tx>
            <strRef>
              <f>'Oct 2026'!E75</f>
            </strRef>
          </tx>
          <spPr>
            <a:ln xmlns:a="http://schemas.openxmlformats.org/drawingml/2006/main">
              <a:prstDash val="solid"/>
            </a:ln>
          </spPr>
          <cat>
            <numRef>
              <f>'Oct 2026'!$A$76:$A$80</f>
            </numRef>
          </cat>
          <val>
            <numRef>
              <f>'Oct 2026'!$E$76:$E$80</f>
            </numRef>
          </val>
        </ser>
        <gapWidth val="150"/>
        <axId val="10"/>
        <axId val="100"/>
      </barChart>
      <catAx>
        <axId val="10"/>
        <scaling>
          <orientation val="minMax"/>
        </scaling>
        <axPos val="l"/>
        <title>
          <tx>
            <rich>
              <a:bodyPr xmlns:a="http://schemas.openxmlformats.org/drawingml/2006/main"/>
              <a:p xmlns:a="http://schemas.openxmlformats.org/drawingml/2006/main">
                <a:pPr>
                  <a:defRPr/>
                </a:pPr>
                <a:r>
                  <a:t>Week</a:t>
                </a:r>
              </a:p>
            </rich>
          </tx>
        </title>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Success %</a:t>
                </a:r>
              </a:p>
            </rich>
          </tx>
        </title>
        <majorTickMark val="none"/>
        <minorTickMark val="none"/>
        <crossAx val="10"/>
      </valAx>
    </plotArea>
    <plotVisOnly val="1"/>
    <dispBlanksAs val="gap"/>
  </chart>
</chartSpace>
</file>

<file path=xl/charts/chart9.xml><?xml version="1.0" encoding="utf-8"?>
<chartSpace xmlns="http://schemas.openxmlformats.org/drawingml/2006/chart">
  <style val="11"/>
  <chart>
    <title>
      <tx>
        <rich>
          <a:bodyPr xmlns:a="http://schemas.openxmlformats.org/drawingml/2006/main"/>
          <a:p xmlns:a="http://schemas.openxmlformats.org/drawingml/2006/main">
            <a:pPr>
              <a:defRPr/>
            </a:pPr>
            <a:r>
              <a:t>Performance by Domain (%)</a:t>
            </a:r>
          </a:p>
        </rich>
      </tx>
    </title>
    <plotArea>
      <barChart>
        <barDir val="col"/>
        <grouping val="clustered"/>
        <ser>
          <idx val="0"/>
          <order val="0"/>
          <tx>
            <strRef>
              <f>'Oct 2026'!S75</f>
            </strRef>
          </tx>
          <spPr>
            <a:ln xmlns:a="http://schemas.openxmlformats.org/drawingml/2006/main">
              <a:prstDash val="solid"/>
            </a:ln>
          </spPr>
          <cat>
            <numRef>
              <f>'Oct 2026'!$N$76:$N$80</f>
            </numRef>
          </cat>
          <val>
            <numRef>
              <f>'Oct 2026'!$S$76:$S$80</f>
            </numRef>
          </val>
        </ser>
        <gapWidth val="150"/>
        <axId val="10"/>
        <axId val="100"/>
      </barChart>
      <catAx>
        <axId val="10"/>
        <scaling>
          <orientation val="minMax"/>
        </scaling>
        <axPos val="l"/>
        <title>
          <tx>
            <rich>
              <a:bodyPr xmlns:a="http://schemas.openxmlformats.org/drawingml/2006/main"/>
              <a:p xmlns:a="http://schemas.openxmlformats.org/drawingml/2006/main">
                <a:pPr>
                  <a:defRPr/>
                </a:pPr>
                <a:r>
                  <a:t>Domain</a:t>
                </a:r>
              </a:p>
            </rich>
          </tx>
        </title>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Success %</a:t>
                </a:r>
              </a:p>
            </rich>
          </tx>
        </title>
        <majorTickMark val="none"/>
        <minorTickMark val="none"/>
        <crossAx val="10"/>
      </valAx>
    </plotArea>
    <plotVisOnly val="1"/>
    <dispBlanksAs val="gap"/>
  </chart>
</chartSpace>
</file>

<file path=xl/charts/chart10.xml><?xml version="1.0" encoding="utf-8"?>
<chartSpace xmlns="http://schemas.openxmlformats.org/drawingml/2006/chart">
  <style val="13"/>
  <chart>
    <title>
      <tx>
        <rich>
          <a:bodyPr xmlns:a="http://schemas.openxmlformats.org/drawingml/2006/main"/>
          <a:p xmlns:a="http://schemas.openxmlformats.org/drawingml/2006/main">
            <a:pPr>
              <a:defRPr/>
            </a:pPr>
            <a:r>
              <a:t>Daily Sleep Trend (Hours vs Day)</a:t>
            </a:r>
          </a:p>
        </rich>
      </tx>
    </title>
    <plotArea>
      <lineChart>
        <grouping val="standard"/>
        <ser>
          <idx val="0"/>
          <order val="0"/>
          <spPr>
            <a:ln xmlns:a="http://schemas.openxmlformats.org/drawingml/2006/main" w="25000">
              <a:solidFill>
                <a:srgbClr val="3B82F6"/>
              </a:solidFill>
              <a:prstDash val="solid"/>
            </a:ln>
          </spPr>
          <marker>
            <symbol val="circle"/>
            <size val="5"/>
            <spPr>
              <a:solidFill xmlns:a="http://schemas.openxmlformats.org/drawingml/2006/main">
                <a:srgbClr val="1D4ED8"/>
              </a:solidFill>
              <a:ln xmlns:a="http://schemas.openxmlformats.org/drawingml/2006/main">
                <a:prstDash val="solid"/>
              </a:ln>
            </spPr>
          </marker>
          <cat>
            <numRef>
              <f>'Nov 2026'!$E$45:$AH$45</f>
            </numRef>
          </cat>
          <val>
            <numRef>
              <f>'Nov 2026'!$E$47:$AH$47</f>
            </numRef>
          </val>
        </ser>
        <axId val="10"/>
        <axId val="100"/>
      </lineChart>
      <catAx>
        <axId val="10"/>
        <scaling>
          <orientation val="minMax"/>
        </scaling>
        <axPos val="l"/>
        <title>
          <tx>
            <rich>
              <a:bodyPr xmlns:a="http://schemas.openxmlformats.org/drawingml/2006/main"/>
              <a:p xmlns:a="http://schemas.openxmlformats.org/drawingml/2006/main">
                <a:pPr>
                  <a:defRPr/>
                </a:pPr>
                <a:r>
                  <a:t>Day</a:t>
                </a:r>
              </a:p>
            </rich>
          </tx>
        </title>
        <majorTickMark val="none"/>
        <minorTickMark val="none"/>
        <crossAx val="100"/>
        <lblOffset val="100"/>
      </catAx>
      <valAx>
        <axId val="100"/>
        <scaling>
          <orientation val="minMax"/>
          <max val="24"/>
          <min val="0"/>
        </scaling>
        <axPos val="l"/>
        <majorGridlines/>
        <title>
          <tx>
            <rich>
              <a:bodyPr xmlns:a="http://schemas.openxmlformats.org/drawingml/2006/main"/>
              <a:p xmlns:a="http://schemas.openxmlformats.org/drawingml/2006/main">
                <a:pPr>
                  <a:defRPr/>
                </a:pPr>
                <a:r>
                  <a:t>Hours</a:t>
                </a:r>
              </a:p>
            </rich>
          </tx>
        </title>
        <majorTickMark val="none"/>
        <minorTickMark val="none"/>
        <crossAx val="10"/>
      </valAx>
    </plotArea>
    <plotVisOnly val="1"/>
    <dispBlanksAs val="gap"/>
  </chart>
</chartSpace>
</file>

<file path=xl/charts/chart11.xml><?xml version="1.0" encoding="utf-8"?>
<chartSpace xmlns="http://schemas.openxmlformats.org/drawingml/2006/chart">
  <style val="10"/>
  <chart>
    <title>
      <tx>
        <rich>
          <a:bodyPr xmlns:a="http://schemas.openxmlformats.org/drawingml/2006/main"/>
          <a:p xmlns:a="http://schemas.openxmlformats.org/drawingml/2006/main">
            <a:pPr>
              <a:defRPr/>
            </a:pPr>
            <a:r>
              <a:t>Weekly Momentum Trend (%)</a:t>
            </a:r>
          </a:p>
        </rich>
      </tx>
    </title>
    <plotArea>
      <barChart>
        <barDir val="col"/>
        <grouping val="clustered"/>
        <ser>
          <idx val="0"/>
          <order val="0"/>
          <tx>
            <strRef>
              <f>'Nov 2026'!E75</f>
            </strRef>
          </tx>
          <spPr>
            <a:ln xmlns:a="http://schemas.openxmlformats.org/drawingml/2006/main">
              <a:prstDash val="solid"/>
            </a:ln>
          </spPr>
          <cat>
            <numRef>
              <f>'Nov 2026'!$A$76:$A$80</f>
            </numRef>
          </cat>
          <val>
            <numRef>
              <f>'Nov 2026'!$E$76:$E$80</f>
            </numRef>
          </val>
        </ser>
        <gapWidth val="150"/>
        <axId val="10"/>
        <axId val="100"/>
      </barChart>
      <catAx>
        <axId val="10"/>
        <scaling>
          <orientation val="minMax"/>
        </scaling>
        <axPos val="l"/>
        <title>
          <tx>
            <rich>
              <a:bodyPr xmlns:a="http://schemas.openxmlformats.org/drawingml/2006/main"/>
              <a:p xmlns:a="http://schemas.openxmlformats.org/drawingml/2006/main">
                <a:pPr>
                  <a:defRPr/>
                </a:pPr>
                <a:r>
                  <a:t>Week</a:t>
                </a:r>
              </a:p>
            </rich>
          </tx>
        </title>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Success %</a:t>
                </a:r>
              </a:p>
            </rich>
          </tx>
        </title>
        <majorTickMark val="none"/>
        <minorTickMark val="none"/>
        <crossAx val="10"/>
      </valAx>
    </plotArea>
    <plotVisOnly val="1"/>
    <dispBlanksAs val="gap"/>
  </chart>
</chartSpace>
</file>

<file path=xl/charts/chart12.xml><?xml version="1.0" encoding="utf-8"?>
<chartSpace xmlns="http://schemas.openxmlformats.org/drawingml/2006/chart">
  <style val="11"/>
  <chart>
    <title>
      <tx>
        <rich>
          <a:bodyPr xmlns:a="http://schemas.openxmlformats.org/drawingml/2006/main"/>
          <a:p xmlns:a="http://schemas.openxmlformats.org/drawingml/2006/main">
            <a:pPr>
              <a:defRPr/>
            </a:pPr>
            <a:r>
              <a:t>Performance by Domain (%)</a:t>
            </a:r>
          </a:p>
        </rich>
      </tx>
    </title>
    <plotArea>
      <barChart>
        <barDir val="col"/>
        <grouping val="clustered"/>
        <ser>
          <idx val="0"/>
          <order val="0"/>
          <tx>
            <strRef>
              <f>'Nov 2026'!S75</f>
            </strRef>
          </tx>
          <spPr>
            <a:ln xmlns:a="http://schemas.openxmlformats.org/drawingml/2006/main">
              <a:prstDash val="solid"/>
            </a:ln>
          </spPr>
          <cat>
            <numRef>
              <f>'Nov 2026'!$N$76:$N$80</f>
            </numRef>
          </cat>
          <val>
            <numRef>
              <f>'Nov 2026'!$S$76:$S$80</f>
            </numRef>
          </val>
        </ser>
        <gapWidth val="150"/>
        <axId val="10"/>
        <axId val="100"/>
      </barChart>
      <catAx>
        <axId val="10"/>
        <scaling>
          <orientation val="minMax"/>
        </scaling>
        <axPos val="l"/>
        <title>
          <tx>
            <rich>
              <a:bodyPr xmlns:a="http://schemas.openxmlformats.org/drawingml/2006/main"/>
              <a:p xmlns:a="http://schemas.openxmlformats.org/drawingml/2006/main">
                <a:pPr>
                  <a:defRPr/>
                </a:pPr>
                <a:r>
                  <a:t>Domain</a:t>
                </a:r>
              </a:p>
            </rich>
          </tx>
        </title>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Success %</a:t>
                </a:r>
              </a:p>
            </rich>
          </tx>
        </title>
        <majorTickMark val="none"/>
        <minorTickMark val="none"/>
        <crossAx val="10"/>
      </valAx>
    </plotArea>
    <plotVisOnly val="1"/>
    <dispBlanksAs val="gap"/>
  </chart>
</chartSpace>
</file>

<file path=xl/charts/chart13.xml><?xml version="1.0" encoding="utf-8"?>
<chartSpace xmlns="http://schemas.openxmlformats.org/drawingml/2006/chart">
  <style val="13"/>
  <chart>
    <title>
      <tx>
        <rich>
          <a:bodyPr xmlns:a="http://schemas.openxmlformats.org/drawingml/2006/main"/>
          <a:p xmlns:a="http://schemas.openxmlformats.org/drawingml/2006/main">
            <a:pPr>
              <a:defRPr/>
            </a:pPr>
            <a:r>
              <a:t>Daily Sleep Trend (Hours vs Day)</a:t>
            </a:r>
          </a:p>
        </rich>
      </tx>
    </title>
    <plotArea>
      <lineChart>
        <grouping val="standard"/>
        <ser>
          <idx val="0"/>
          <order val="0"/>
          <spPr>
            <a:ln xmlns:a="http://schemas.openxmlformats.org/drawingml/2006/main" w="25000">
              <a:solidFill>
                <a:srgbClr val="3B82F6"/>
              </a:solidFill>
              <a:prstDash val="solid"/>
            </a:ln>
          </spPr>
          <marker>
            <symbol val="circle"/>
            <size val="5"/>
            <spPr>
              <a:solidFill xmlns:a="http://schemas.openxmlformats.org/drawingml/2006/main">
                <a:srgbClr val="1D4ED8"/>
              </a:solidFill>
              <a:ln xmlns:a="http://schemas.openxmlformats.org/drawingml/2006/main">
                <a:prstDash val="solid"/>
              </a:ln>
            </spPr>
          </marker>
          <cat>
            <numRef>
              <f>'Dec 2026'!$E$45:$AI$45</f>
            </numRef>
          </cat>
          <val>
            <numRef>
              <f>'Dec 2026'!$E$47:$AI$47</f>
            </numRef>
          </val>
        </ser>
        <axId val="10"/>
        <axId val="100"/>
      </lineChart>
      <catAx>
        <axId val="10"/>
        <scaling>
          <orientation val="minMax"/>
        </scaling>
        <axPos val="l"/>
        <title>
          <tx>
            <rich>
              <a:bodyPr xmlns:a="http://schemas.openxmlformats.org/drawingml/2006/main"/>
              <a:p xmlns:a="http://schemas.openxmlformats.org/drawingml/2006/main">
                <a:pPr>
                  <a:defRPr/>
                </a:pPr>
                <a:r>
                  <a:t>Day</a:t>
                </a:r>
              </a:p>
            </rich>
          </tx>
        </title>
        <majorTickMark val="none"/>
        <minorTickMark val="none"/>
        <crossAx val="100"/>
        <lblOffset val="100"/>
      </catAx>
      <valAx>
        <axId val="100"/>
        <scaling>
          <orientation val="minMax"/>
          <max val="24"/>
          <min val="0"/>
        </scaling>
        <axPos val="l"/>
        <majorGridlines/>
        <title>
          <tx>
            <rich>
              <a:bodyPr xmlns:a="http://schemas.openxmlformats.org/drawingml/2006/main"/>
              <a:p xmlns:a="http://schemas.openxmlformats.org/drawingml/2006/main">
                <a:pPr>
                  <a:defRPr/>
                </a:pPr>
                <a:r>
                  <a:t>Hours</a:t>
                </a:r>
              </a:p>
            </rich>
          </tx>
        </title>
        <majorTickMark val="none"/>
        <minorTickMark val="none"/>
        <crossAx val="10"/>
      </valAx>
    </plotArea>
    <plotVisOnly val="1"/>
    <dispBlanksAs val="gap"/>
  </chart>
</chartSpace>
</file>

<file path=xl/charts/chart14.xml><?xml version="1.0" encoding="utf-8"?>
<chartSpace xmlns="http://schemas.openxmlformats.org/drawingml/2006/chart">
  <style val="10"/>
  <chart>
    <title>
      <tx>
        <rich>
          <a:bodyPr xmlns:a="http://schemas.openxmlformats.org/drawingml/2006/main"/>
          <a:p xmlns:a="http://schemas.openxmlformats.org/drawingml/2006/main">
            <a:pPr>
              <a:defRPr/>
            </a:pPr>
            <a:r>
              <a:t>Weekly Momentum Trend (%)</a:t>
            </a:r>
          </a:p>
        </rich>
      </tx>
    </title>
    <plotArea>
      <barChart>
        <barDir val="col"/>
        <grouping val="clustered"/>
        <ser>
          <idx val="0"/>
          <order val="0"/>
          <tx>
            <strRef>
              <f>'Dec 2026'!E75</f>
            </strRef>
          </tx>
          <spPr>
            <a:ln xmlns:a="http://schemas.openxmlformats.org/drawingml/2006/main">
              <a:prstDash val="solid"/>
            </a:ln>
          </spPr>
          <cat>
            <numRef>
              <f>'Dec 2026'!$A$76:$A$80</f>
            </numRef>
          </cat>
          <val>
            <numRef>
              <f>'Dec 2026'!$E$76:$E$80</f>
            </numRef>
          </val>
        </ser>
        <gapWidth val="150"/>
        <axId val="10"/>
        <axId val="100"/>
      </barChart>
      <catAx>
        <axId val="10"/>
        <scaling>
          <orientation val="minMax"/>
        </scaling>
        <axPos val="l"/>
        <title>
          <tx>
            <rich>
              <a:bodyPr xmlns:a="http://schemas.openxmlformats.org/drawingml/2006/main"/>
              <a:p xmlns:a="http://schemas.openxmlformats.org/drawingml/2006/main">
                <a:pPr>
                  <a:defRPr/>
                </a:pPr>
                <a:r>
                  <a:t>Week</a:t>
                </a:r>
              </a:p>
            </rich>
          </tx>
        </title>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Success %</a:t>
                </a:r>
              </a:p>
            </rich>
          </tx>
        </title>
        <majorTickMark val="none"/>
        <minorTickMark val="none"/>
        <crossAx val="10"/>
      </valAx>
    </plotArea>
    <plotVisOnly val="1"/>
    <dispBlanksAs val="gap"/>
  </chart>
</chartSpace>
</file>

<file path=xl/charts/chart15.xml><?xml version="1.0" encoding="utf-8"?>
<chartSpace xmlns="http://schemas.openxmlformats.org/drawingml/2006/chart">
  <style val="11"/>
  <chart>
    <title>
      <tx>
        <rich>
          <a:bodyPr xmlns:a="http://schemas.openxmlformats.org/drawingml/2006/main"/>
          <a:p xmlns:a="http://schemas.openxmlformats.org/drawingml/2006/main">
            <a:pPr>
              <a:defRPr/>
            </a:pPr>
            <a:r>
              <a:t>Performance by Domain (%)</a:t>
            </a:r>
          </a:p>
        </rich>
      </tx>
    </title>
    <plotArea>
      <barChart>
        <barDir val="col"/>
        <grouping val="clustered"/>
        <ser>
          <idx val="0"/>
          <order val="0"/>
          <tx>
            <strRef>
              <f>'Dec 2026'!S75</f>
            </strRef>
          </tx>
          <spPr>
            <a:ln xmlns:a="http://schemas.openxmlformats.org/drawingml/2006/main">
              <a:prstDash val="solid"/>
            </a:ln>
          </spPr>
          <cat>
            <numRef>
              <f>'Dec 2026'!$N$76:$N$80</f>
            </numRef>
          </cat>
          <val>
            <numRef>
              <f>'Dec 2026'!$S$76:$S$80</f>
            </numRef>
          </val>
        </ser>
        <gapWidth val="150"/>
        <axId val="10"/>
        <axId val="100"/>
      </barChart>
      <catAx>
        <axId val="10"/>
        <scaling>
          <orientation val="minMax"/>
        </scaling>
        <axPos val="l"/>
        <title>
          <tx>
            <rich>
              <a:bodyPr xmlns:a="http://schemas.openxmlformats.org/drawingml/2006/main"/>
              <a:p xmlns:a="http://schemas.openxmlformats.org/drawingml/2006/main">
                <a:pPr>
                  <a:defRPr/>
                </a:pPr>
                <a:r>
                  <a:t>Domain</a:t>
                </a:r>
              </a:p>
            </rich>
          </tx>
        </title>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Success %</a:t>
                </a:r>
              </a:p>
            </rich>
          </tx>
        </title>
        <majorTickMark val="none"/>
        <minorTickMark val="none"/>
        <crossAx val="10"/>
      </valAx>
    </plotArea>
    <plotVisOnly val="1"/>
    <dispBlanksAs val="gap"/>
  </chart>
</chartSpace>
</file>

<file path=xl/charts/chart16.xml><?xml version="1.0" encoding="utf-8"?>
<chartSpace xmlns="http://schemas.openxmlformats.org/drawingml/2006/chart">
  <style val="13"/>
  <chart>
    <title>
      <tx>
        <rich>
          <a:bodyPr xmlns:a="http://schemas.openxmlformats.org/drawingml/2006/main"/>
          <a:p xmlns:a="http://schemas.openxmlformats.org/drawingml/2006/main">
            <a:pPr>
              <a:defRPr/>
            </a:pPr>
            <a:r>
              <a:t>Daily Sleep Trend (Hours vs Day)</a:t>
            </a:r>
          </a:p>
        </rich>
      </tx>
    </title>
    <plotArea>
      <lineChart>
        <grouping val="standard"/>
        <ser>
          <idx val="0"/>
          <order val="0"/>
          <spPr>
            <a:ln xmlns:a="http://schemas.openxmlformats.org/drawingml/2006/main" w="25000">
              <a:solidFill>
                <a:srgbClr val="3B82F6"/>
              </a:solidFill>
              <a:prstDash val="solid"/>
            </a:ln>
          </spPr>
          <marker>
            <symbol val="circle"/>
            <size val="5"/>
            <spPr>
              <a:solidFill xmlns:a="http://schemas.openxmlformats.org/drawingml/2006/main">
                <a:srgbClr val="1D4ED8"/>
              </a:solidFill>
              <a:ln xmlns:a="http://schemas.openxmlformats.org/drawingml/2006/main">
                <a:prstDash val="solid"/>
              </a:ln>
            </spPr>
          </marker>
          <cat>
            <numRef>
              <f>'Jan 2027'!$E$45:$AI$45</f>
            </numRef>
          </cat>
          <val>
            <numRef>
              <f>'Jan 2027'!$E$47:$AI$47</f>
            </numRef>
          </val>
        </ser>
        <axId val="10"/>
        <axId val="100"/>
      </lineChart>
      <catAx>
        <axId val="10"/>
        <scaling>
          <orientation val="minMax"/>
        </scaling>
        <axPos val="l"/>
        <title>
          <tx>
            <rich>
              <a:bodyPr xmlns:a="http://schemas.openxmlformats.org/drawingml/2006/main"/>
              <a:p xmlns:a="http://schemas.openxmlformats.org/drawingml/2006/main">
                <a:pPr>
                  <a:defRPr/>
                </a:pPr>
                <a:r>
                  <a:t>Day</a:t>
                </a:r>
              </a:p>
            </rich>
          </tx>
        </title>
        <majorTickMark val="none"/>
        <minorTickMark val="none"/>
        <crossAx val="100"/>
        <lblOffset val="100"/>
      </catAx>
      <valAx>
        <axId val="100"/>
        <scaling>
          <orientation val="minMax"/>
          <max val="24"/>
          <min val="0"/>
        </scaling>
        <axPos val="l"/>
        <majorGridlines/>
        <title>
          <tx>
            <rich>
              <a:bodyPr xmlns:a="http://schemas.openxmlformats.org/drawingml/2006/main"/>
              <a:p xmlns:a="http://schemas.openxmlformats.org/drawingml/2006/main">
                <a:pPr>
                  <a:defRPr/>
                </a:pPr>
                <a:r>
                  <a:t>Hours</a:t>
                </a:r>
              </a:p>
            </rich>
          </tx>
        </title>
        <majorTickMark val="none"/>
        <minorTickMark val="none"/>
        <crossAx val="10"/>
      </valAx>
    </plotArea>
    <plotVisOnly val="1"/>
    <dispBlanksAs val="gap"/>
  </chart>
</chartSpace>
</file>

<file path=xl/charts/chart17.xml><?xml version="1.0" encoding="utf-8"?>
<chartSpace xmlns="http://schemas.openxmlformats.org/drawingml/2006/chart">
  <style val="10"/>
  <chart>
    <title>
      <tx>
        <rich>
          <a:bodyPr xmlns:a="http://schemas.openxmlformats.org/drawingml/2006/main"/>
          <a:p xmlns:a="http://schemas.openxmlformats.org/drawingml/2006/main">
            <a:pPr>
              <a:defRPr/>
            </a:pPr>
            <a:r>
              <a:t>Weekly Momentum Trend (%)</a:t>
            </a:r>
          </a:p>
        </rich>
      </tx>
    </title>
    <plotArea>
      <barChart>
        <barDir val="col"/>
        <grouping val="clustered"/>
        <ser>
          <idx val="0"/>
          <order val="0"/>
          <tx>
            <strRef>
              <f>'Jan 2027'!E75</f>
            </strRef>
          </tx>
          <spPr>
            <a:ln xmlns:a="http://schemas.openxmlformats.org/drawingml/2006/main">
              <a:prstDash val="solid"/>
            </a:ln>
          </spPr>
          <cat>
            <numRef>
              <f>'Jan 2027'!$A$76:$A$80</f>
            </numRef>
          </cat>
          <val>
            <numRef>
              <f>'Jan 2027'!$E$76:$E$80</f>
            </numRef>
          </val>
        </ser>
        <gapWidth val="150"/>
        <axId val="10"/>
        <axId val="100"/>
      </barChart>
      <catAx>
        <axId val="10"/>
        <scaling>
          <orientation val="minMax"/>
        </scaling>
        <axPos val="l"/>
        <title>
          <tx>
            <rich>
              <a:bodyPr xmlns:a="http://schemas.openxmlformats.org/drawingml/2006/main"/>
              <a:p xmlns:a="http://schemas.openxmlformats.org/drawingml/2006/main">
                <a:pPr>
                  <a:defRPr/>
                </a:pPr>
                <a:r>
                  <a:t>Week</a:t>
                </a:r>
              </a:p>
            </rich>
          </tx>
        </title>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Success %</a:t>
                </a:r>
              </a:p>
            </rich>
          </tx>
        </title>
        <majorTickMark val="none"/>
        <minorTickMark val="none"/>
        <crossAx val="10"/>
      </valAx>
    </plotArea>
    <plotVisOnly val="1"/>
    <dispBlanksAs val="gap"/>
  </chart>
</chartSpace>
</file>

<file path=xl/charts/chart18.xml><?xml version="1.0" encoding="utf-8"?>
<chartSpace xmlns="http://schemas.openxmlformats.org/drawingml/2006/chart">
  <style val="11"/>
  <chart>
    <title>
      <tx>
        <rich>
          <a:bodyPr xmlns:a="http://schemas.openxmlformats.org/drawingml/2006/main"/>
          <a:p xmlns:a="http://schemas.openxmlformats.org/drawingml/2006/main">
            <a:pPr>
              <a:defRPr/>
            </a:pPr>
            <a:r>
              <a:t>Performance by Domain (%)</a:t>
            </a:r>
          </a:p>
        </rich>
      </tx>
    </title>
    <plotArea>
      <barChart>
        <barDir val="col"/>
        <grouping val="clustered"/>
        <ser>
          <idx val="0"/>
          <order val="0"/>
          <tx>
            <strRef>
              <f>'Jan 2027'!S75</f>
            </strRef>
          </tx>
          <spPr>
            <a:ln xmlns:a="http://schemas.openxmlformats.org/drawingml/2006/main">
              <a:prstDash val="solid"/>
            </a:ln>
          </spPr>
          <cat>
            <numRef>
              <f>'Jan 2027'!$N$76:$N$80</f>
            </numRef>
          </cat>
          <val>
            <numRef>
              <f>'Jan 2027'!$S$76:$S$80</f>
            </numRef>
          </val>
        </ser>
        <gapWidth val="150"/>
        <axId val="10"/>
        <axId val="100"/>
      </barChart>
      <catAx>
        <axId val="10"/>
        <scaling>
          <orientation val="minMax"/>
        </scaling>
        <axPos val="l"/>
        <title>
          <tx>
            <rich>
              <a:bodyPr xmlns:a="http://schemas.openxmlformats.org/drawingml/2006/main"/>
              <a:p xmlns:a="http://schemas.openxmlformats.org/drawingml/2006/main">
                <a:pPr>
                  <a:defRPr/>
                </a:pPr>
                <a:r>
                  <a:t>Domain</a:t>
                </a:r>
              </a:p>
            </rich>
          </tx>
        </title>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Success %</a:t>
                </a:r>
              </a:p>
            </rich>
          </tx>
        </title>
        <majorTickMark val="none"/>
        <minorTickMark val="none"/>
        <crossAx val="10"/>
      </valAx>
    </plotArea>
    <plotVisOnly val="1"/>
    <dispBlanksAs val="gap"/>
  </chart>
</chartSpace>
</file>

<file path=xl/charts/chart19.xml><?xml version="1.0" encoding="utf-8"?>
<chartSpace xmlns="http://schemas.openxmlformats.org/drawingml/2006/chart">
  <style val="13"/>
  <chart>
    <title>
      <tx>
        <rich>
          <a:bodyPr xmlns:a="http://schemas.openxmlformats.org/drawingml/2006/main"/>
          <a:p xmlns:a="http://schemas.openxmlformats.org/drawingml/2006/main">
            <a:pPr>
              <a:defRPr/>
            </a:pPr>
            <a:r>
              <a:t>Daily Sleep Trend (Hours vs Day)</a:t>
            </a:r>
          </a:p>
        </rich>
      </tx>
    </title>
    <plotArea>
      <lineChart>
        <grouping val="standard"/>
        <ser>
          <idx val="0"/>
          <order val="0"/>
          <spPr>
            <a:ln xmlns:a="http://schemas.openxmlformats.org/drawingml/2006/main" w="25000">
              <a:solidFill>
                <a:srgbClr val="3B82F6"/>
              </a:solidFill>
              <a:prstDash val="solid"/>
            </a:ln>
          </spPr>
          <marker>
            <symbol val="circle"/>
            <size val="5"/>
            <spPr>
              <a:solidFill xmlns:a="http://schemas.openxmlformats.org/drawingml/2006/main">
                <a:srgbClr val="1D4ED8"/>
              </a:solidFill>
              <a:ln xmlns:a="http://schemas.openxmlformats.org/drawingml/2006/main">
                <a:prstDash val="solid"/>
              </a:ln>
            </spPr>
          </marker>
          <cat>
            <numRef>
              <f>'Feb 2027'!$E$45:$AF$45</f>
            </numRef>
          </cat>
          <val>
            <numRef>
              <f>'Feb 2027'!$E$47:$AF$47</f>
            </numRef>
          </val>
        </ser>
        <axId val="10"/>
        <axId val="100"/>
      </lineChart>
      <catAx>
        <axId val="10"/>
        <scaling>
          <orientation val="minMax"/>
        </scaling>
        <axPos val="l"/>
        <title>
          <tx>
            <rich>
              <a:bodyPr xmlns:a="http://schemas.openxmlformats.org/drawingml/2006/main"/>
              <a:p xmlns:a="http://schemas.openxmlformats.org/drawingml/2006/main">
                <a:pPr>
                  <a:defRPr/>
                </a:pPr>
                <a:r>
                  <a:t>Day</a:t>
                </a:r>
              </a:p>
            </rich>
          </tx>
        </title>
        <majorTickMark val="none"/>
        <minorTickMark val="none"/>
        <crossAx val="100"/>
        <lblOffset val="100"/>
      </catAx>
      <valAx>
        <axId val="100"/>
        <scaling>
          <orientation val="minMax"/>
          <max val="24"/>
          <min val="0"/>
        </scaling>
        <axPos val="l"/>
        <majorGridlines/>
        <title>
          <tx>
            <rich>
              <a:bodyPr xmlns:a="http://schemas.openxmlformats.org/drawingml/2006/main"/>
              <a:p xmlns:a="http://schemas.openxmlformats.org/drawingml/2006/main">
                <a:pPr>
                  <a:defRPr/>
                </a:pPr>
                <a:r>
                  <a:t>Hours</a:t>
                </a:r>
              </a:p>
            </rich>
          </tx>
        </title>
        <majorTickMark val="none"/>
        <minorTickMark val="none"/>
        <crossAx val="10"/>
      </valAx>
    </plotArea>
    <plotVisOnly val="1"/>
    <dispBlanksAs val="gap"/>
  </chart>
</chartSpace>
</file>

<file path=xl/charts/chart20.xml><?xml version="1.0" encoding="utf-8"?>
<chartSpace xmlns="http://schemas.openxmlformats.org/drawingml/2006/chart">
  <style val="10"/>
  <chart>
    <title>
      <tx>
        <rich>
          <a:bodyPr xmlns:a="http://schemas.openxmlformats.org/drawingml/2006/main"/>
          <a:p xmlns:a="http://schemas.openxmlformats.org/drawingml/2006/main">
            <a:pPr>
              <a:defRPr/>
            </a:pPr>
            <a:r>
              <a:t>Weekly Momentum Trend (%)</a:t>
            </a:r>
          </a:p>
        </rich>
      </tx>
    </title>
    <plotArea>
      <barChart>
        <barDir val="col"/>
        <grouping val="clustered"/>
        <ser>
          <idx val="0"/>
          <order val="0"/>
          <tx>
            <strRef>
              <f>'Feb 2027'!E75</f>
            </strRef>
          </tx>
          <spPr>
            <a:ln xmlns:a="http://schemas.openxmlformats.org/drawingml/2006/main">
              <a:prstDash val="solid"/>
            </a:ln>
          </spPr>
          <cat>
            <numRef>
              <f>'Feb 2027'!$A$76:$A$80</f>
            </numRef>
          </cat>
          <val>
            <numRef>
              <f>'Feb 2027'!$E$76:$E$80</f>
            </numRef>
          </val>
        </ser>
        <gapWidth val="150"/>
        <axId val="10"/>
        <axId val="100"/>
      </barChart>
      <catAx>
        <axId val="10"/>
        <scaling>
          <orientation val="minMax"/>
        </scaling>
        <axPos val="l"/>
        <title>
          <tx>
            <rich>
              <a:bodyPr xmlns:a="http://schemas.openxmlformats.org/drawingml/2006/main"/>
              <a:p xmlns:a="http://schemas.openxmlformats.org/drawingml/2006/main">
                <a:pPr>
                  <a:defRPr/>
                </a:pPr>
                <a:r>
                  <a:t>Week</a:t>
                </a:r>
              </a:p>
            </rich>
          </tx>
        </title>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Success %</a:t>
                </a:r>
              </a:p>
            </rich>
          </tx>
        </title>
        <majorTickMark val="none"/>
        <minorTickMark val="none"/>
        <crossAx val="10"/>
      </valAx>
    </plotArea>
    <plotVisOnly val="1"/>
    <dispBlanksAs val="gap"/>
  </chart>
</chartSpace>
</file>

<file path=xl/charts/chart21.xml><?xml version="1.0" encoding="utf-8"?>
<chartSpace xmlns="http://schemas.openxmlformats.org/drawingml/2006/chart">
  <style val="11"/>
  <chart>
    <title>
      <tx>
        <rich>
          <a:bodyPr xmlns:a="http://schemas.openxmlformats.org/drawingml/2006/main"/>
          <a:p xmlns:a="http://schemas.openxmlformats.org/drawingml/2006/main">
            <a:pPr>
              <a:defRPr/>
            </a:pPr>
            <a:r>
              <a:t>Performance by Domain (%)</a:t>
            </a:r>
          </a:p>
        </rich>
      </tx>
    </title>
    <plotArea>
      <barChart>
        <barDir val="col"/>
        <grouping val="clustered"/>
        <ser>
          <idx val="0"/>
          <order val="0"/>
          <tx>
            <strRef>
              <f>'Feb 2027'!S75</f>
            </strRef>
          </tx>
          <spPr>
            <a:ln xmlns:a="http://schemas.openxmlformats.org/drawingml/2006/main">
              <a:prstDash val="solid"/>
            </a:ln>
          </spPr>
          <cat>
            <numRef>
              <f>'Feb 2027'!$N$76:$N$80</f>
            </numRef>
          </cat>
          <val>
            <numRef>
              <f>'Feb 2027'!$S$76:$S$80</f>
            </numRef>
          </val>
        </ser>
        <gapWidth val="150"/>
        <axId val="10"/>
        <axId val="100"/>
      </barChart>
      <catAx>
        <axId val="10"/>
        <scaling>
          <orientation val="minMax"/>
        </scaling>
        <axPos val="l"/>
        <title>
          <tx>
            <rich>
              <a:bodyPr xmlns:a="http://schemas.openxmlformats.org/drawingml/2006/main"/>
              <a:p xmlns:a="http://schemas.openxmlformats.org/drawingml/2006/main">
                <a:pPr>
                  <a:defRPr/>
                </a:pPr>
                <a:r>
                  <a:t>Domain</a:t>
                </a:r>
              </a:p>
            </rich>
          </tx>
        </title>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Success %</a:t>
                </a:r>
              </a:p>
            </rich>
          </tx>
        </title>
        <majorTickMark val="none"/>
        <minorTickMark val="none"/>
        <crossAx val="10"/>
      </valAx>
    </plotArea>
    <plotVisOnly val="1"/>
    <dispBlanksAs val="gap"/>
  </chart>
</chartSpace>
</file>

<file path=xl/charts/chart22.xml><?xml version="1.0" encoding="utf-8"?>
<chartSpace xmlns="http://schemas.openxmlformats.org/drawingml/2006/chart">
  <style val="13"/>
  <chart>
    <title>
      <tx>
        <rich>
          <a:bodyPr xmlns:a="http://schemas.openxmlformats.org/drawingml/2006/main"/>
          <a:p xmlns:a="http://schemas.openxmlformats.org/drawingml/2006/main">
            <a:pPr>
              <a:defRPr/>
            </a:pPr>
            <a:r>
              <a:t>Daily Sleep Trend (Hours vs Day)</a:t>
            </a:r>
          </a:p>
        </rich>
      </tx>
    </title>
    <plotArea>
      <lineChart>
        <grouping val="standard"/>
        <ser>
          <idx val="0"/>
          <order val="0"/>
          <spPr>
            <a:ln xmlns:a="http://schemas.openxmlformats.org/drawingml/2006/main" w="25000">
              <a:solidFill>
                <a:srgbClr val="3B82F6"/>
              </a:solidFill>
              <a:prstDash val="solid"/>
            </a:ln>
          </spPr>
          <marker>
            <symbol val="circle"/>
            <size val="5"/>
            <spPr>
              <a:solidFill xmlns:a="http://schemas.openxmlformats.org/drawingml/2006/main">
                <a:srgbClr val="1D4ED8"/>
              </a:solidFill>
              <a:ln xmlns:a="http://schemas.openxmlformats.org/drawingml/2006/main">
                <a:prstDash val="solid"/>
              </a:ln>
            </spPr>
          </marker>
          <cat>
            <numRef>
              <f>'Mar 2027'!$E$45:$AI$45</f>
            </numRef>
          </cat>
          <val>
            <numRef>
              <f>'Mar 2027'!$E$47:$AI$47</f>
            </numRef>
          </val>
        </ser>
        <axId val="10"/>
        <axId val="100"/>
      </lineChart>
      <catAx>
        <axId val="10"/>
        <scaling>
          <orientation val="minMax"/>
        </scaling>
        <axPos val="l"/>
        <title>
          <tx>
            <rich>
              <a:bodyPr xmlns:a="http://schemas.openxmlformats.org/drawingml/2006/main"/>
              <a:p xmlns:a="http://schemas.openxmlformats.org/drawingml/2006/main">
                <a:pPr>
                  <a:defRPr/>
                </a:pPr>
                <a:r>
                  <a:t>Day</a:t>
                </a:r>
              </a:p>
            </rich>
          </tx>
        </title>
        <majorTickMark val="none"/>
        <minorTickMark val="none"/>
        <crossAx val="100"/>
        <lblOffset val="100"/>
      </catAx>
      <valAx>
        <axId val="100"/>
        <scaling>
          <orientation val="minMax"/>
          <max val="24"/>
          <min val="0"/>
        </scaling>
        <axPos val="l"/>
        <majorGridlines/>
        <title>
          <tx>
            <rich>
              <a:bodyPr xmlns:a="http://schemas.openxmlformats.org/drawingml/2006/main"/>
              <a:p xmlns:a="http://schemas.openxmlformats.org/drawingml/2006/main">
                <a:pPr>
                  <a:defRPr/>
                </a:pPr>
                <a:r>
                  <a:t>Hours</a:t>
                </a:r>
              </a:p>
            </rich>
          </tx>
        </title>
        <majorTickMark val="none"/>
        <minorTickMark val="none"/>
        <crossAx val="10"/>
      </valAx>
    </plotArea>
    <plotVisOnly val="1"/>
    <dispBlanksAs val="gap"/>
  </chart>
</chartSpace>
</file>

<file path=xl/charts/chart23.xml><?xml version="1.0" encoding="utf-8"?>
<chartSpace xmlns="http://schemas.openxmlformats.org/drawingml/2006/chart">
  <style val="10"/>
  <chart>
    <title>
      <tx>
        <rich>
          <a:bodyPr xmlns:a="http://schemas.openxmlformats.org/drawingml/2006/main"/>
          <a:p xmlns:a="http://schemas.openxmlformats.org/drawingml/2006/main">
            <a:pPr>
              <a:defRPr/>
            </a:pPr>
            <a:r>
              <a:t>Weekly Momentum Trend (%)</a:t>
            </a:r>
          </a:p>
        </rich>
      </tx>
    </title>
    <plotArea>
      <barChart>
        <barDir val="col"/>
        <grouping val="clustered"/>
        <ser>
          <idx val="0"/>
          <order val="0"/>
          <tx>
            <strRef>
              <f>'Mar 2027'!E75</f>
            </strRef>
          </tx>
          <spPr>
            <a:ln xmlns:a="http://schemas.openxmlformats.org/drawingml/2006/main">
              <a:prstDash val="solid"/>
            </a:ln>
          </spPr>
          <cat>
            <numRef>
              <f>'Mar 2027'!$A$76:$A$80</f>
            </numRef>
          </cat>
          <val>
            <numRef>
              <f>'Mar 2027'!$E$76:$E$80</f>
            </numRef>
          </val>
        </ser>
        <gapWidth val="150"/>
        <axId val="10"/>
        <axId val="100"/>
      </barChart>
      <catAx>
        <axId val="10"/>
        <scaling>
          <orientation val="minMax"/>
        </scaling>
        <axPos val="l"/>
        <title>
          <tx>
            <rich>
              <a:bodyPr xmlns:a="http://schemas.openxmlformats.org/drawingml/2006/main"/>
              <a:p xmlns:a="http://schemas.openxmlformats.org/drawingml/2006/main">
                <a:pPr>
                  <a:defRPr/>
                </a:pPr>
                <a:r>
                  <a:t>Week</a:t>
                </a:r>
              </a:p>
            </rich>
          </tx>
        </title>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Success %</a:t>
                </a:r>
              </a:p>
            </rich>
          </tx>
        </title>
        <majorTickMark val="none"/>
        <minorTickMark val="none"/>
        <crossAx val="10"/>
      </valAx>
    </plotArea>
    <plotVisOnly val="1"/>
    <dispBlanksAs val="gap"/>
  </chart>
</chartSpace>
</file>

<file path=xl/charts/chart24.xml><?xml version="1.0" encoding="utf-8"?>
<chartSpace xmlns="http://schemas.openxmlformats.org/drawingml/2006/chart">
  <style val="11"/>
  <chart>
    <title>
      <tx>
        <rich>
          <a:bodyPr xmlns:a="http://schemas.openxmlformats.org/drawingml/2006/main"/>
          <a:p xmlns:a="http://schemas.openxmlformats.org/drawingml/2006/main">
            <a:pPr>
              <a:defRPr/>
            </a:pPr>
            <a:r>
              <a:t>Performance by Domain (%)</a:t>
            </a:r>
          </a:p>
        </rich>
      </tx>
    </title>
    <plotArea>
      <barChart>
        <barDir val="col"/>
        <grouping val="clustered"/>
        <ser>
          <idx val="0"/>
          <order val="0"/>
          <tx>
            <strRef>
              <f>'Mar 2027'!S75</f>
            </strRef>
          </tx>
          <spPr>
            <a:ln xmlns:a="http://schemas.openxmlformats.org/drawingml/2006/main">
              <a:prstDash val="solid"/>
            </a:ln>
          </spPr>
          <cat>
            <numRef>
              <f>'Mar 2027'!$N$76:$N$80</f>
            </numRef>
          </cat>
          <val>
            <numRef>
              <f>'Mar 2027'!$S$76:$S$80</f>
            </numRef>
          </val>
        </ser>
        <gapWidth val="150"/>
        <axId val="10"/>
        <axId val="100"/>
      </barChart>
      <catAx>
        <axId val="10"/>
        <scaling>
          <orientation val="minMax"/>
        </scaling>
        <axPos val="l"/>
        <title>
          <tx>
            <rich>
              <a:bodyPr xmlns:a="http://schemas.openxmlformats.org/drawingml/2006/main"/>
              <a:p xmlns:a="http://schemas.openxmlformats.org/drawingml/2006/main">
                <a:pPr>
                  <a:defRPr/>
                </a:pPr>
                <a:r>
                  <a:t>Domain</a:t>
                </a:r>
              </a:p>
            </rich>
          </tx>
        </title>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Success %</a:t>
                </a:r>
              </a:p>
            </rich>
          </tx>
        </title>
        <majorTickMark val="none"/>
        <minorTickMark val="none"/>
        <crossAx val="10"/>
      </valAx>
    </plotArea>
    <plotVisOnly val="1"/>
    <dispBlanksAs val="gap"/>
  </chart>
</chartSpace>
</file>

<file path=xl/charts/chart25.xml><?xml version="1.0" encoding="utf-8"?>
<chartSpace xmlns="http://schemas.openxmlformats.org/drawingml/2006/chart">
  <style val="13"/>
  <chart>
    <title>
      <tx>
        <rich>
          <a:bodyPr xmlns:a="http://schemas.openxmlformats.org/drawingml/2006/main"/>
          <a:p xmlns:a="http://schemas.openxmlformats.org/drawingml/2006/main">
            <a:pPr>
              <a:defRPr/>
            </a:pPr>
            <a:r>
              <a:t>Daily Sleep Trend (Hours vs Day)</a:t>
            </a:r>
          </a:p>
        </rich>
      </tx>
    </title>
    <plotArea>
      <lineChart>
        <grouping val="standard"/>
        <ser>
          <idx val="0"/>
          <order val="0"/>
          <spPr>
            <a:ln xmlns:a="http://schemas.openxmlformats.org/drawingml/2006/main" w="25000">
              <a:solidFill>
                <a:srgbClr val="3B82F6"/>
              </a:solidFill>
              <a:prstDash val="solid"/>
            </a:ln>
          </spPr>
          <marker>
            <symbol val="circle"/>
            <size val="5"/>
            <spPr>
              <a:solidFill xmlns:a="http://schemas.openxmlformats.org/drawingml/2006/main">
                <a:srgbClr val="1D4ED8"/>
              </a:solidFill>
              <a:ln xmlns:a="http://schemas.openxmlformats.org/drawingml/2006/main">
                <a:prstDash val="solid"/>
              </a:ln>
            </spPr>
          </marker>
          <cat>
            <numRef>
              <f>'Apr 2027'!$E$45:$AH$45</f>
            </numRef>
          </cat>
          <val>
            <numRef>
              <f>'Apr 2027'!$E$47:$AH$47</f>
            </numRef>
          </val>
        </ser>
        <axId val="10"/>
        <axId val="100"/>
      </lineChart>
      <catAx>
        <axId val="10"/>
        <scaling>
          <orientation val="minMax"/>
        </scaling>
        <axPos val="l"/>
        <title>
          <tx>
            <rich>
              <a:bodyPr xmlns:a="http://schemas.openxmlformats.org/drawingml/2006/main"/>
              <a:p xmlns:a="http://schemas.openxmlformats.org/drawingml/2006/main">
                <a:pPr>
                  <a:defRPr/>
                </a:pPr>
                <a:r>
                  <a:t>Day</a:t>
                </a:r>
              </a:p>
            </rich>
          </tx>
        </title>
        <majorTickMark val="none"/>
        <minorTickMark val="none"/>
        <crossAx val="100"/>
        <lblOffset val="100"/>
      </catAx>
      <valAx>
        <axId val="100"/>
        <scaling>
          <orientation val="minMax"/>
          <max val="24"/>
          <min val="0"/>
        </scaling>
        <axPos val="l"/>
        <majorGridlines/>
        <title>
          <tx>
            <rich>
              <a:bodyPr xmlns:a="http://schemas.openxmlformats.org/drawingml/2006/main"/>
              <a:p xmlns:a="http://schemas.openxmlformats.org/drawingml/2006/main">
                <a:pPr>
                  <a:defRPr/>
                </a:pPr>
                <a:r>
                  <a:t>Hours</a:t>
                </a:r>
              </a:p>
            </rich>
          </tx>
        </title>
        <majorTickMark val="none"/>
        <minorTickMark val="none"/>
        <crossAx val="10"/>
      </valAx>
    </plotArea>
    <plotVisOnly val="1"/>
    <dispBlanksAs val="gap"/>
  </chart>
</chartSpace>
</file>

<file path=xl/charts/chart26.xml><?xml version="1.0" encoding="utf-8"?>
<chartSpace xmlns="http://schemas.openxmlformats.org/drawingml/2006/chart">
  <style val="10"/>
  <chart>
    <title>
      <tx>
        <rich>
          <a:bodyPr xmlns:a="http://schemas.openxmlformats.org/drawingml/2006/main"/>
          <a:p xmlns:a="http://schemas.openxmlformats.org/drawingml/2006/main">
            <a:pPr>
              <a:defRPr/>
            </a:pPr>
            <a:r>
              <a:t>Weekly Momentum Trend (%)</a:t>
            </a:r>
          </a:p>
        </rich>
      </tx>
    </title>
    <plotArea>
      <barChart>
        <barDir val="col"/>
        <grouping val="clustered"/>
        <ser>
          <idx val="0"/>
          <order val="0"/>
          <tx>
            <strRef>
              <f>'Apr 2027'!E75</f>
            </strRef>
          </tx>
          <spPr>
            <a:ln xmlns:a="http://schemas.openxmlformats.org/drawingml/2006/main">
              <a:prstDash val="solid"/>
            </a:ln>
          </spPr>
          <cat>
            <numRef>
              <f>'Apr 2027'!$A$76:$A$80</f>
            </numRef>
          </cat>
          <val>
            <numRef>
              <f>'Apr 2027'!$E$76:$E$80</f>
            </numRef>
          </val>
        </ser>
        <gapWidth val="150"/>
        <axId val="10"/>
        <axId val="100"/>
      </barChart>
      <catAx>
        <axId val="10"/>
        <scaling>
          <orientation val="minMax"/>
        </scaling>
        <axPos val="l"/>
        <title>
          <tx>
            <rich>
              <a:bodyPr xmlns:a="http://schemas.openxmlformats.org/drawingml/2006/main"/>
              <a:p xmlns:a="http://schemas.openxmlformats.org/drawingml/2006/main">
                <a:pPr>
                  <a:defRPr/>
                </a:pPr>
                <a:r>
                  <a:t>Week</a:t>
                </a:r>
              </a:p>
            </rich>
          </tx>
        </title>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Success %</a:t>
                </a:r>
              </a:p>
            </rich>
          </tx>
        </title>
        <majorTickMark val="none"/>
        <minorTickMark val="none"/>
        <crossAx val="10"/>
      </valAx>
    </plotArea>
    <plotVisOnly val="1"/>
    <dispBlanksAs val="gap"/>
  </chart>
</chartSpace>
</file>

<file path=xl/charts/chart27.xml><?xml version="1.0" encoding="utf-8"?>
<chartSpace xmlns="http://schemas.openxmlformats.org/drawingml/2006/chart">
  <style val="11"/>
  <chart>
    <title>
      <tx>
        <rich>
          <a:bodyPr xmlns:a="http://schemas.openxmlformats.org/drawingml/2006/main"/>
          <a:p xmlns:a="http://schemas.openxmlformats.org/drawingml/2006/main">
            <a:pPr>
              <a:defRPr/>
            </a:pPr>
            <a:r>
              <a:t>Performance by Domain (%)</a:t>
            </a:r>
          </a:p>
        </rich>
      </tx>
    </title>
    <plotArea>
      <barChart>
        <barDir val="col"/>
        <grouping val="clustered"/>
        <ser>
          <idx val="0"/>
          <order val="0"/>
          <tx>
            <strRef>
              <f>'Apr 2027'!S75</f>
            </strRef>
          </tx>
          <spPr>
            <a:ln xmlns:a="http://schemas.openxmlformats.org/drawingml/2006/main">
              <a:prstDash val="solid"/>
            </a:ln>
          </spPr>
          <cat>
            <numRef>
              <f>'Apr 2027'!$N$76:$N$80</f>
            </numRef>
          </cat>
          <val>
            <numRef>
              <f>'Apr 2027'!$S$76:$S$80</f>
            </numRef>
          </val>
        </ser>
        <gapWidth val="150"/>
        <axId val="10"/>
        <axId val="100"/>
      </barChart>
      <catAx>
        <axId val="10"/>
        <scaling>
          <orientation val="minMax"/>
        </scaling>
        <axPos val="l"/>
        <title>
          <tx>
            <rich>
              <a:bodyPr xmlns:a="http://schemas.openxmlformats.org/drawingml/2006/main"/>
              <a:p xmlns:a="http://schemas.openxmlformats.org/drawingml/2006/main">
                <a:pPr>
                  <a:defRPr/>
                </a:pPr>
                <a:r>
                  <a:t>Domain</a:t>
                </a:r>
              </a:p>
            </rich>
          </tx>
        </title>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Success %</a:t>
                </a:r>
              </a:p>
            </rich>
          </tx>
        </title>
        <majorTickMark val="none"/>
        <minorTickMark val="none"/>
        <crossAx val="10"/>
      </valAx>
    </plotArea>
    <plotVisOnly val="1"/>
    <dispBlanksAs val="gap"/>
  </chart>
</chartSpace>
</file>

<file path=xl/charts/chart28.xml><?xml version="1.0" encoding="utf-8"?>
<chartSpace xmlns="http://schemas.openxmlformats.org/drawingml/2006/chart">
  <style val="13"/>
  <chart>
    <title>
      <tx>
        <rich>
          <a:bodyPr xmlns:a="http://schemas.openxmlformats.org/drawingml/2006/main"/>
          <a:p xmlns:a="http://schemas.openxmlformats.org/drawingml/2006/main">
            <a:pPr>
              <a:defRPr/>
            </a:pPr>
            <a:r>
              <a:t>Daily Sleep Trend (Hours vs Day)</a:t>
            </a:r>
          </a:p>
        </rich>
      </tx>
    </title>
    <plotArea>
      <lineChart>
        <grouping val="standard"/>
        <ser>
          <idx val="0"/>
          <order val="0"/>
          <spPr>
            <a:ln xmlns:a="http://schemas.openxmlformats.org/drawingml/2006/main" w="25000">
              <a:solidFill>
                <a:srgbClr val="3B82F6"/>
              </a:solidFill>
              <a:prstDash val="solid"/>
            </a:ln>
          </spPr>
          <marker>
            <symbol val="circle"/>
            <size val="5"/>
            <spPr>
              <a:solidFill xmlns:a="http://schemas.openxmlformats.org/drawingml/2006/main">
                <a:srgbClr val="1D4ED8"/>
              </a:solidFill>
              <a:ln xmlns:a="http://schemas.openxmlformats.org/drawingml/2006/main">
                <a:prstDash val="solid"/>
              </a:ln>
            </spPr>
          </marker>
          <cat>
            <numRef>
              <f>'May 2027'!$E$45:$AI$45</f>
            </numRef>
          </cat>
          <val>
            <numRef>
              <f>'May 2027'!$E$47:$AI$47</f>
            </numRef>
          </val>
        </ser>
        <axId val="10"/>
        <axId val="100"/>
      </lineChart>
      <catAx>
        <axId val="10"/>
        <scaling>
          <orientation val="minMax"/>
        </scaling>
        <axPos val="l"/>
        <title>
          <tx>
            <rich>
              <a:bodyPr xmlns:a="http://schemas.openxmlformats.org/drawingml/2006/main"/>
              <a:p xmlns:a="http://schemas.openxmlformats.org/drawingml/2006/main">
                <a:pPr>
                  <a:defRPr/>
                </a:pPr>
                <a:r>
                  <a:t>Day</a:t>
                </a:r>
              </a:p>
            </rich>
          </tx>
        </title>
        <majorTickMark val="none"/>
        <minorTickMark val="none"/>
        <crossAx val="100"/>
        <lblOffset val="100"/>
      </catAx>
      <valAx>
        <axId val="100"/>
        <scaling>
          <orientation val="minMax"/>
          <max val="24"/>
          <min val="0"/>
        </scaling>
        <axPos val="l"/>
        <majorGridlines/>
        <title>
          <tx>
            <rich>
              <a:bodyPr xmlns:a="http://schemas.openxmlformats.org/drawingml/2006/main"/>
              <a:p xmlns:a="http://schemas.openxmlformats.org/drawingml/2006/main">
                <a:pPr>
                  <a:defRPr/>
                </a:pPr>
                <a:r>
                  <a:t>Hours</a:t>
                </a:r>
              </a:p>
            </rich>
          </tx>
        </title>
        <majorTickMark val="none"/>
        <minorTickMark val="none"/>
        <crossAx val="10"/>
      </valAx>
    </plotArea>
    <plotVisOnly val="1"/>
    <dispBlanksAs val="gap"/>
  </chart>
</chartSpace>
</file>

<file path=xl/charts/chart29.xml><?xml version="1.0" encoding="utf-8"?>
<chartSpace xmlns="http://schemas.openxmlformats.org/drawingml/2006/chart">
  <style val="10"/>
  <chart>
    <title>
      <tx>
        <rich>
          <a:bodyPr xmlns:a="http://schemas.openxmlformats.org/drawingml/2006/main"/>
          <a:p xmlns:a="http://schemas.openxmlformats.org/drawingml/2006/main">
            <a:pPr>
              <a:defRPr/>
            </a:pPr>
            <a:r>
              <a:t>Weekly Momentum Trend (%)</a:t>
            </a:r>
          </a:p>
        </rich>
      </tx>
    </title>
    <plotArea>
      <barChart>
        <barDir val="col"/>
        <grouping val="clustered"/>
        <ser>
          <idx val="0"/>
          <order val="0"/>
          <tx>
            <strRef>
              <f>'May 2027'!E75</f>
            </strRef>
          </tx>
          <spPr>
            <a:ln xmlns:a="http://schemas.openxmlformats.org/drawingml/2006/main">
              <a:prstDash val="solid"/>
            </a:ln>
          </spPr>
          <cat>
            <numRef>
              <f>'May 2027'!$A$76:$A$80</f>
            </numRef>
          </cat>
          <val>
            <numRef>
              <f>'May 2027'!$E$76:$E$80</f>
            </numRef>
          </val>
        </ser>
        <gapWidth val="150"/>
        <axId val="10"/>
        <axId val="100"/>
      </barChart>
      <catAx>
        <axId val="10"/>
        <scaling>
          <orientation val="minMax"/>
        </scaling>
        <axPos val="l"/>
        <title>
          <tx>
            <rich>
              <a:bodyPr xmlns:a="http://schemas.openxmlformats.org/drawingml/2006/main"/>
              <a:p xmlns:a="http://schemas.openxmlformats.org/drawingml/2006/main">
                <a:pPr>
                  <a:defRPr/>
                </a:pPr>
                <a:r>
                  <a:t>Week</a:t>
                </a:r>
              </a:p>
            </rich>
          </tx>
        </title>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Success %</a:t>
                </a:r>
              </a:p>
            </rich>
          </tx>
        </title>
        <majorTickMark val="none"/>
        <minorTickMark val="none"/>
        <crossAx val="10"/>
      </valAx>
    </plotArea>
    <plotVisOnly val="1"/>
    <dispBlanksAs val="gap"/>
  </chart>
</chartSpace>
</file>

<file path=xl/charts/chart30.xml><?xml version="1.0" encoding="utf-8"?>
<chartSpace xmlns="http://schemas.openxmlformats.org/drawingml/2006/chart">
  <style val="11"/>
  <chart>
    <title>
      <tx>
        <rich>
          <a:bodyPr xmlns:a="http://schemas.openxmlformats.org/drawingml/2006/main"/>
          <a:p xmlns:a="http://schemas.openxmlformats.org/drawingml/2006/main">
            <a:pPr>
              <a:defRPr/>
            </a:pPr>
            <a:r>
              <a:t>Performance by Domain (%)</a:t>
            </a:r>
          </a:p>
        </rich>
      </tx>
    </title>
    <plotArea>
      <barChart>
        <barDir val="col"/>
        <grouping val="clustered"/>
        <ser>
          <idx val="0"/>
          <order val="0"/>
          <tx>
            <strRef>
              <f>'May 2027'!S75</f>
            </strRef>
          </tx>
          <spPr>
            <a:ln xmlns:a="http://schemas.openxmlformats.org/drawingml/2006/main">
              <a:prstDash val="solid"/>
            </a:ln>
          </spPr>
          <cat>
            <numRef>
              <f>'May 2027'!$N$76:$N$80</f>
            </numRef>
          </cat>
          <val>
            <numRef>
              <f>'May 2027'!$S$76:$S$80</f>
            </numRef>
          </val>
        </ser>
        <gapWidth val="150"/>
        <axId val="10"/>
        <axId val="100"/>
      </barChart>
      <catAx>
        <axId val="10"/>
        <scaling>
          <orientation val="minMax"/>
        </scaling>
        <axPos val="l"/>
        <title>
          <tx>
            <rich>
              <a:bodyPr xmlns:a="http://schemas.openxmlformats.org/drawingml/2006/main"/>
              <a:p xmlns:a="http://schemas.openxmlformats.org/drawingml/2006/main">
                <a:pPr>
                  <a:defRPr/>
                </a:pPr>
                <a:r>
                  <a:t>Domain</a:t>
                </a:r>
              </a:p>
            </rich>
          </tx>
        </title>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Success %</a:t>
                </a:r>
              </a:p>
            </rich>
          </tx>
        </title>
        <majorTickMark val="none"/>
        <minorTickMark val="none"/>
        <crossAx val="10"/>
      </valAx>
    </plotArea>
    <plotVisOnly val="1"/>
    <dispBlanksAs val="gap"/>
  </chart>
</chartSpace>
</file>

<file path=xl/charts/chart31.xml><?xml version="1.0" encoding="utf-8"?>
<chartSpace xmlns="http://schemas.openxmlformats.org/drawingml/2006/chart">
  <style val="13"/>
  <chart>
    <title>
      <tx>
        <rich>
          <a:bodyPr xmlns:a="http://schemas.openxmlformats.org/drawingml/2006/main"/>
          <a:p xmlns:a="http://schemas.openxmlformats.org/drawingml/2006/main">
            <a:pPr>
              <a:defRPr/>
            </a:pPr>
            <a:r>
              <a:t>Daily Sleep Trend (Hours vs Day)</a:t>
            </a:r>
          </a:p>
        </rich>
      </tx>
    </title>
    <plotArea>
      <lineChart>
        <grouping val="standard"/>
        <ser>
          <idx val="0"/>
          <order val="0"/>
          <spPr>
            <a:ln xmlns:a="http://schemas.openxmlformats.org/drawingml/2006/main" w="25000">
              <a:solidFill>
                <a:srgbClr val="3B82F6"/>
              </a:solidFill>
              <a:prstDash val="solid"/>
            </a:ln>
          </spPr>
          <marker>
            <symbol val="circle"/>
            <size val="5"/>
            <spPr>
              <a:solidFill xmlns:a="http://schemas.openxmlformats.org/drawingml/2006/main">
                <a:srgbClr val="1D4ED8"/>
              </a:solidFill>
              <a:ln xmlns:a="http://schemas.openxmlformats.org/drawingml/2006/main">
                <a:prstDash val="solid"/>
              </a:ln>
            </spPr>
          </marker>
          <cat>
            <numRef>
              <f>'Jun 2027'!$E$45:$AH$45</f>
            </numRef>
          </cat>
          <val>
            <numRef>
              <f>'Jun 2027'!$E$47:$AH$47</f>
            </numRef>
          </val>
        </ser>
        <axId val="10"/>
        <axId val="100"/>
      </lineChart>
      <catAx>
        <axId val="10"/>
        <scaling>
          <orientation val="minMax"/>
        </scaling>
        <axPos val="l"/>
        <title>
          <tx>
            <rich>
              <a:bodyPr xmlns:a="http://schemas.openxmlformats.org/drawingml/2006/main"/>
              <a:p xmlns:a="http://schemas.openxmlformats.org/drawingml/2006/main">
                <a:pPr>
                  <a:defRPr/>
                </a:pPr>
                <a:r>
                  <a:t>Day</a:t>
                </a:r>
              </a:p>
            </rich>
          </tx>
        </title>
        <majorTickMark val="none"/>
        <minorTickMark val="none"/>
        <crossAx val="100"/>
        <lblOffset val="100"/>
      </catAx>
      <valAx>
        <axId val="100"/>
        <scaling>
          <orientation val="minMax"/>
          <max val="24"/>
          <min val="0"/>
        </scaling>
        <axPos val="l"/>
        <majorGridlines/>
        <title>
          <tx>
            <rich>
              <a:bodyPr xmlns:a="http://schemas.openxmlformats.org/drawingml/2006/main"/>
              <a:p xmlns:a="http://schemas.openxmlformats.org/drawingml/2006/main">
                <a:pPr>
                  <a:defRPr/>
                </a:pPr>
                <a:r>
                  <a:t>Hours</a:t>
                </a:r>
              </a:p>
            </rich>
          </tx>
        </title>
        <majorTickMark val="none"/>
        <minorTickMark val="none"/>
        <crossAx val="10"/>
      </valAx>
    </plotArea>
    <plotVisOnly val="1"/>
    <dispBlanksAs val="gap"/>
  </chart>
</chartSpace>
</file>

<file path=xl/charts/chart32.xml><?xml version="1.0" encoding="utf-8"?>
<chartSpace xmlns="http://schemas.openxmlformats.org/drawingml/2006/chart">
  <style val="10"/>
  <chart>
    <title>
      <tx>
        <rich>
          <a:bodyPr xmlns:a="http://schemas.openxmlformats.org/drawingml/2006/main"/>
          <a:p xmlns:a="http://schemas.openxmlformats.org/drawingml/2006/main">
            <a:pPr>
              <a:defRPr/>
            </a:pPr>
            <a:r>
              <a:t>Weekly Momentum Trend (%)</a:t>
            </a:r>
          </a:p>
        </rich>
      </tx>
    </title>
    <plotArea>
      <barChart>
        <barDir val="col"/>
        <grouping val="clustered"/>
        <ser>
          <idx val="0"/>
          <order val="0"/>
          <tx>
            <strRef>
              <f>'Jun 2027'!E75</f>
            </strRef>
          </tx>
          <spPr>
            <a:ln xmlns:a="http://schemas.openxmlformats.org/drawingml/2006/main">
              <a:prstDash val="solid"/>
            </a:ln>
          </spPr>
          <cat>
            <numRef>
              <f>'Jun 2027'!$A$76:$A$80</f>
            </numRef>
          </cat>
          <val>
            <numRef>
              <f>'Jun 2027'!$E$76:$E$80</f>
            </numRef>
          </val>
        </ser>
        <gapWidth val="150"/>
        <axId val="10"/>
        <axId val="100"/>
      </barChart>
      <catAx>
        <axId val="10"/>
        <scaling>
          <orientation val="minMax"/>
        </scaling>
        <axPos val="l"/>
        <title>
          <tx>
            <rich>
              <a:bodyPr xmlns:a="http://schemas.openxmlformats.org/drawingml/2006/main"/>
              <a:p xmlns:a="http://schemas.openxmlformats.org/drawingml/2006/main">
                <a:pPr>
                  <a:defRPr/>
                </a:pPr>
                <a:r>
                  <a:t>Week</a:t>
                </a:r>
              </a:p>
            </rich>
          </tx>
        </title>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Success %</a:t>
                </a:r>
              </a:p>
            </rich>
          </tx>
        </title>
        <majorTickMark val="none"/>
        <minorTickMark val="none"/>
        <crossAx val="10"/>
      </valAx>
    </plotArea>
    <plotVisOnly val="1"/>
    <dispBlanksAs val="gap"/>
  </chart>
</chartSpace>
</file>

<file path=xl/charts/chart33.xml><?xml version="1.0" encoding="utf-8"?>
<chartSpace xmlns="http://schemas.openxmlformats.org/drawingml/2006/chart">
  <style val="11"/>
  <chart>
    <title>
      <tx>
        <rich>
          <a:bodyPr xmlns:a="http://schemas.openxmlformats.org/drawingml/2006/main"/>
          <a:p xmlns:a="http://schemas.openxmlformats.org/drawingml/2006/main">
            <a:pPr>
              <a:defRPr/>
            </a:pPr>
            <a:r>
              <a:t>Performance by Domain (%)</a:t>
            </a:r>
          </a:p>
        </rich>
      </tx>
    </title>
    <plotArea>
      <barChart>
        <barDir val="col"/>
        <grouping val="clustered"/>
        <ser>
          <idx val="0"/>
          <order val="0"/>
          <tx>
            <strRef>
              <f>'Jun 2027'!S75</f>
            </strRef>
          </tx>
          <spPr>
            <a:ln xmlns:a="http://schemas.openxmlformats.org/drawingml/2006/main">
              <a:prstDash val="solid"/>
            </a:ln>
          </spPr>
          <cat>
            <numRef>
              <f>'Jun 2027'!$N$76:$N$80</f>
            </numRef>
          </cat>
          <val>
            <numRef>
              <f>'Jun 2027'!$S$76:$S$80</f>
            </numRef>
          </val>
        </ser>
        <gapWidth val="150"/>
        <axId val="10"/>
        <axId val="100"/>
      </barChart>
      <catAx>
        <axId val="10"/>
        <scaling>
          <orientation val="minMax"/>
        </scaling>
        <axPos val="l"/>
        <title>
          <tx>
            <rich>
              <a:bodyPr xmlns:a="http://schemas.openxmlformats.org/drawingml/2006/main"/>
              <a:p xmlns:a="http://schemas.openxmlformats.org/drawingml/2006/main">
                <a:pPr>
                  <a:defRPr/>
                </a:pPr>
                <a:r>
                  <a:t>Domain</a:t>
                </a:r>
              </a:p>
            </rich>
          </tx>
        </title>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Success %</a:t>
                </a:r>
              </a:p>
            </rich>
          </tx>
        </title>
        <majorTickMark val="none"/>
        <minorTickMark val="none"/>
        <crossAx val="10"/>
      </valAx>
    </plotArea>
    <plotVisOnly val="1"/>
    <dispBlanksAs val="gap"/>
  </chart>
</chartSpace>
</file>

<file path=xl/charts/chart34.xml><?xml version="1.0" encoding="utf-8"?>
<chartSpace xmlns="http://schemas.openxmlformats.org/drawingml/2006/chart">
  <style val="13"/>
  <chart>
    <title>
      <tx>
        <rich>
          <a:bodyPr xmlns:a="http://schemas.openxmlformats.org/drawingml/2006/main"/>
          <a:p xmlns:a="http://schemas.openxmlformats.org/drawingml/2006/main">
            <a:pPr>
              <a:defRPr/>
            </a:pPr>
            <a:r>
              <a:t>Daily Sleep Trend (Hours vs Day)</a:t>
            </a:r>
          </a:p>
        </rich>
      </tx>
    </title>
    <plotArea>
      <lineChart>
        <grouping val="standard"/>
        <ser>
          <idx val="0"/>
          <order val="0"/>
          <spPr>
            <a:ln xmlns:a="http://schemas.openxmlformats.org/drawingml/2006/main" w="25000">
              <a:solidFill>
                <a:srgbClr val="3B82F6"/>
              </a:solidFill>
              <a:prstDash val="solid"/>
            </a:ln>
          </spPr>
          <marker>
            <symbol val="circle"/>
            <size val="5"/>
            <spPr>
              <a:solidFill xmlns:a="http://schemas.openxmlformats.org/drawingml/2006/main">
                <a:srgbClr val="1D4ED8"/>
              </a:solidFill>
              <a:ln xmlns:a="http://schemas.openxmlformats.org/drawingml/2006/main">
                <a:prstDash val="solid"/>
              </a:ln>
            </spPr>
          </marker>
          <cat>
            <numRef>
              <f>'Jul 2027'!$E$45:$AI$45</f>
            </numRef>
          </cat>
          <val>
            <numRef>
              <f>'Jul 2027'!$E$47:$AI$47</f>
            </numRef>
          </val>
        </ser>
        <axId val="10"/>
        <axId val="100"/>
      </lineChart>
      <catAx>
        <axId val="10"/>
        <scaling>
          <orientation val="minMax"/>
        </scaling>
        <axPos val="l"/>
        <title>
          <tx>
            <rich>
              <a:bodyPr xmlns:a="http://schemas.openxmlformats.org/drawingml/2006/main"/>
              <a:p xmlns:a="http://schemas.openxmlformats.org/drawingml/2006/main">
                <a:pPr>
                  <a:defRPr/>
                </a:pPr>
                <a:r>
                  <a:t>Day</a:t>
                </a:r>
              </a:p>
            </rich>
          </tx>
        </title>
        <majorTickMark val="none"/>
        <minorTickMark val="none"/>
        <crossAx val="100"/>
        <lblOffset val="100"/>
      </catAx>
      <valAx>
        <axId val="100"/>
        <scaling>
          <orientation val="minMax"/>
          <max val="24"/>
          <min val="0"/>
        </scaling>
        <axPos val="l"/>
        <majorGridlines/>
        <title>
          <tx>
            <rich>
              <a:bodyPr xmlns:a="http://schemas.openxmlformats.org/drawingml/2006/main"/>
              <a:p xmlns:a="http://schemas.openxmlformats.org/drawingml/2006/main">
                <a:pPr>
                  <a:defRPr/>
                </a:pPr>
                <a:r>
                  <a:t>Hours</a:t>
                </a:r>
              </a:p>
            </rich>
          </tx>
        </title>
        <majorTickMark val="none"/>
        <minorTickMark val="none"/>
        <crossAx val="10"/>
      </valAx>
    </plotArea>
    <plotVisOnly val="1"/>
    <dispBlanksAs val="gap"/>
  </chart>
</chartSpace>
</file>

<file path=xl/charts/chart35.xml><?xml version="1.0" encoding="utf-8"?>
<chartSpace xmlns="http://schemas.openxmlformats.org/drawingml/2006/chart">
  <style val="10"/>
  <chart>
    <title>
      <tx>
        <rich>
          <a:bodyPr xmlns:a="http://schemas.openxmlformats.org/drawingml/2006/main"/>
          <a:p xmlns:a="http://schemas.openxmlformats.org/drawingml/2006/main">
            <a:pPr>
              <a:defRPr/>
            </a:pPr>
            <a:r>
              <a:t>Weekly Momentum Trend (%)</a:t>
            </a:r>
          </a:p>
        </rich>
      </tx>
    </title>
    <plotArea>
      <barChart>
        <barDir val="col"/>
        <grouping val="clustered"/>
        <ser>
          <idx val="0"/>
          <order val="0"/>
          <tx>
            <strRef>
              <f>'Jul 2027'!E75</f>
            </strRef>
          </tx>
          <spPr>
            <a:ln xmlns:a="http://schemas.openxmlformats.org/drawingml/2006/main">
              <a:prstDash val="solid"/>
            </a:ln>
          </spPr>
          <cat>
            <numRef>
              <f>'Jul 2027'!$A$76:$A$80</f>
            </numRef>
          </cat>
          <val>
            <numRef>
              <f>'Jul 2027'!$E$76:$E$80</f>
            </numRef>
          </val>
        </ser>
        <gapWidth val="150"/>
        <axId val="10"/>
        <axId val="100"/>
      </barChart>
      <catAx>
        <axId val="10"/>
        <scaling>
          <orientation val="minMax"/>
        </scaling>
        <axPos val="l"/>
        <title>
          <tx>
            <rich>
              <a:bodyPr xmlns:a="http://schemas.openxmlformats.org/drawingml/2006/main"/>
              <a:p xmlns:a="http://schemas.openxmlformats.org/drawingml/2006/main">
                <a:pPr>
                  <a:defRPr/>
                </a:pPr>
                <a:r>
                  <a:t>Week</a:t>
                </a:r>
              </a:p>
            </rich>
          </tx>
        </title>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Success %</a:t>
                </a:r>
              </a:p>
            </rich>
          </tx>
        </title>
        <majorTickMark val="none"/>
        <minorTickMark val="none"/>
        <crossAx val="10"/>
      </valAx>
    </plotArea>
    <plotVisOnly val="1"/>
    <dispBlanksAs val="gap"/>
  </chart>
</chartSpace>
</file>

<file path=xl/charts/chart36.xml><?xml version="1.0" encoding="utf-8"?>
<chartSpace xmlns="http://schemas.openxmlformats.org/drawingml/2006/chart">
  <style val="11"/>
  <chart>
    <title>
      <tx>
        <rich>
          <a:bodyPr xmlns:a="http://schemas.openxmlformats.org/drawingml/2006/main"/>
          <a:p xmlns:a="http://schemas.openxmlformats.org/drawingml/2006/main">
            <a:pPr>
              <a:defRPr/>
            </a:pPr>
            <a:r>
              <a:t>Performance by Domain (%)</a:t>
            </a:r>
          </a:p>
        </rich>
      </tx>
    </title>
    <plotArea>
      <barChart>
        <barDir val="col"/>
        <grouping val="clustered"/>
        <ser>
          <idx val="0"/>
          <order val="0"/>
          <tx>
            <strRef>
              <f>'Jul 2027'!S75</f>
            </strRef>
          </tx>
          <spPr>
            <a:ln xmlns:a="http://schemas.openxmlformats.org/drawingml/2006/main">
              <a:prstDash val="solid"/>
            </a:ln>
          </spPr>
          <cat>
            <numRef>
              <f>'Jul 2027'!$N$76:$N$80</f>
            </numRef>
          </cat>
          <val>
            <numRef>
              <f>'Jul 2027'!$S$76:$S$80</f>
            </numRef>
          </val>
        </ser>
        <gapWidth val="150"/>
        <axId val="10"/>
        <axId val="100"/>
      </barChart>
      <catAx>
        <axId val="10"/>
        <scaling>
          <orientation val="minMax"/>
        </scaling>
        <axPos val="l"/>
        <title>
          <tx>
            <rich>
              <a:bodyPr xmlns:a="http://schemas.openxmlformats.org/drawingml/2006/main"/>
              <a:p xmlns:a="http://schemas.openxmlformats.org/drawingml/2006/main">
                <a:pPr>
                  <a:defRPr/>
                </a:pPr>
                <a:r>
                  <a:t>Domain</a:t>
                </a:r>
              </a:p>
            </rich>
          </tx>
        </title>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Success %</a:t>
                </a:r>
              </a:p>
            </rich>
          </tx>
        </title>
        <majorTickMark val="none"/>
        <minorTickMark val="none"/>
        <crossAx val="10"/>
      </valAx>
    </plotArea>
    <plotVisOnly val="1"/>
    <dispBlanksAs val="gap"/>
  </chart>
</chartSpace>
</file>

<file path=xl/charts/chart37.xml><?xml version="1.0" encoding="utf-8"?>
<chartSpace xmlns="http://schemas.openxmlformats.org/drawingml/2006/chart">
  <style val="13"/>
  <chart>
    <title>
      <tx>
        <rich>
          <a:bodyPr xmlns:a="http://schemas.openxmlformats.org/drawingml/2006/main"/>
          <a:p xmlns:a="http://schemas.openxmlformats.org/drawingml/2006/main">
            <a:pPr>
              <a:defRPr/>
            </a:pPr>
            <a:r>
              <a:t>Daily Sleep Trend (Hours vs Day)</a:t>
            </a:r>
          </a:p>
        </rich>
      </tx>
    </title>
    <plotArea>
      <lineChart>
        <grouping val="standard"/>
        <ser>
          <idx val="0"/>
          <order val="0"/>
          <spPr>
            <a:ln xmlns:a="http://schemas.openxmlformats.org/drawingml/2006/main" w="25000">
              <a:solidFill>
                <a:srgbClr val="3B82F6"/>
              </a:solidFill>
              <a:prstDash val="solid"/>
            </a:ln>
          </spPr>
          <marker>
            <symbol val="circle"/>
            <size val="5"/>
            <spPr>
              <a:solidFill xmlns:a="http://schemas.openxmlformats.org/drawingml/2006/main">
                <a:srgbClr val="1D4ED8"/>
              </a:solidFill>
              <a:ln xmlns:a="http://schemas.openxmlformats.org/drawingml/2006/main">
                <a:prstDash val="solid"/>
              </a:ln>
            </spPr>
          </marker>
          <cat>
            <numRef>
              <f>'Aug 2027'!$E$45:$AI$45</f>
            </numRef>
          </cat>
          <val>
            <numRef>
              <f>'Aug 2027'!$E$47:$AI$47</f>
            </numRef>
          </val>
        </ser>
        <axId val="10"/>
        <axId val="100"/>
      </lineChart>
      <catAx>
        <axId val="10"/>
        <scaling>
          <orientation val="minMax"/>
        </scaling>
        <axPos val="l"/>
        <title>
          <tx>
            <rich>
              <a:bodyPr xmlns:a="http://schemas.openxmlformats.org/drawingml/2006/main"/>
              <a:p xmlns:a="http://schemas.openxmlformats.org/drawingml/2006/main">
                <a:pPr>
                  <a:defRPr/>
                </a:pPr>
                <a:r>
                  <a:t>Day</a:t>
                </a:r>
              </a:p>
            </rich>
          </tx>
        </title>
        <majorTickMark val="none"/>
        <minorTickMark val="none"/>
        <crossAx val="100"/>
        <lblOffset val="100"/>
      </catAx>
      <valAx>
        <axId val="100"/>
        <scaling>
          <orientation val="minMax"/>
          <max val="24"/>
          <min val="0"/>
        </scaling>
        <axPos val="l"/>
        <majorGridlines/>
        <title>
          <tx>
            <rich>
              <a:bodyPr xmlns:a="http://schemas.openxmlformats.org/drawingml/2006/main"/>
              <a:p xmlns:a="http://schemas.openxmlformats.org/drawingml/2006/main">
                <a:pPr>
                  <a:defRPr/>
                </a:pPr>
                <a:r>
                  <a:t>Hours</a:t>
                </a:r>
              </a:p>
            </rich>
          </tx>
        </title>
        <majorTickMark val="none"/>
        <minorTickMark val="none"/>
        <crossAx val="10"/>
      </valAx>
    </plotArea>
    <plotVisOnly val="1"/>
    <dispBlanksAs val="gap"/>
  </chart>
</chartSpace>
</file>

<file path=xl/charts/chart38.xml><?xml version="1.0" encoding="utf-8"?>
<chartSpace xmlns="http://schemas.openxmlformats.org/drawingml/2006/chart">
  <style val="10"/>
  <chart>
    <title>
      <tx>
        <rich>
          <a:bodyPr xmlns:a="http://schemas.openxmlformats.org/drawingml/2006/main"/>
          <a:p xmlns:a="http://schemas.openxmlformats.org/drawingml/2006/main">
            <a:pPr>
              <a:defRPr/>
            </a:pPr>
            <a:r>
              <a:t>Weekly Momentum Trend (%)</a:t>
            </a:r>
          </a:p>
        </rich>
      </tx>
    </title>
    <plotArea>
      <barChart>
        <barDir val="col"/>
        <grouping val="clustered"/>
        <ser>
          <idx val="0"/>
          <order val="0"/>
          <tx>
            <strRef>
              <f>'Aug 2027'!E75</f>
            </strRef>
          </tx>
          <spPr>
            <a:ln xmlns:a="http://schemas.openxmlformats.org/drawingml/2006/main">
              <a:prstDash val="solid"/>
            </a:ln>
          </spPr>
          <cat>
            <numRef>
              <f>'Aug 2027'!$A$76:$A$80</f>
            </numRef>
          </cat>
          <val>
            <numRef>
              <f>'Aug 2027'!$E$76:$E$80</f>
            </numRef>
          </val>
        </ser>
        <gapWidth val="150"/>
        <axId val="10"/>
        <axId val="100"/>
      </barChart>
      <catAx>
        <axId val="10"/>
        <scaling>
          <orientation val="minMax"/>
        </scaling>
        <axPos val="l"/>
        <title>
          <tx>
            <rich>
              <a:bodyPr xmlns:a="http://schemas.openxmlformats.org/drawingml/2006/main"/>
              <a:p xmlns:a="http://schemas.openxmlformats.org/drawingml/2006/main">
                <a:pPr>
                  <a:defRPr/>
                </a:pPr>
                <a:r>
                  <a:t>Week</a:t>
                </a:r>
              </a:p>
            </rich>
          </tx>
        </title>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Success %</a:t>
                </a:r>
              </a:p>
            </rich>
          </tx>
        </title>
        <majorTickMark val="none"/>
        <minorTickMark val="none"/>
        <crossAx val="10"/>
      </valAx>
    </plotArea>
    <plotVisOnly val="1"/>
    <dispBlanksAs val="gap"/>
  </chart>
</chartSpace>
</file>

<file path=xl/charts/chart39.xml><?xml version="1.0" encoding="utf-8"?>
<chartSpace xmlns="http://schemas.openxmlformats.org/drawingml/2006/chart">
  <style val="11"/>
  <chart>
    <title>
      <tx>
        <rich>
          <a:bodyPr xmlns:a="http://schemas.openxmlformats.org/drawingml/2006/main"/>
          <a:p xmlns:a="http://schemas.openxmlformats.org/drawingml/2006/main">
            <a:pPr>
              <a:defRPr/>
            </a:pPr>
            <a:r>
              <a:t>Performance by Domain (%)</a:t>
            </a:r>
          </a:p>
        </rich>
      </tx>
    </title>
    <plotArea>
      <barChart>
        <barDir val="col"/>
        <grouping val="clustered"/>
        <ser>
          <idx val="0"/>
          <order val="0"/>
          <tx>
            <strRef>
              <f>'Aug 2027'!S75</f>
            </strRef>
          </tx>
          <spPr>
            <a:ln xmlns:a="http://schemas.openxmlformats.org/drawingml/2006/main">
              <a:prstDash val="solid"/>
            </a:ln>
          </spPr>
          <cat>
            <numRef>
              <f>'Aug 2027'!$N$76:$N$80</f>
            </numRef>
          </cat>
          <val>
            <numRef>
              <f>'Aug 2027'!$S$76:$S$80</f>
            </numRef>
          </val>
        </ser>
        <gapWidth val="150"/>
        <axId val="10"/>
        <axId val="100"/>
      </barChart>
      <catAx>
        <axId val="10"/>
        <scaling>
          <orientation val="minMax"/>
        </scaling>
        <axPos val="l"/>
        <title>
          <tx>
            <rich>
              <a:bodyPr xmlns:a="http://schemas.openxmlformats.org/drawingml/2006/main"/>
              <a:p xmlns:a="http://schemas.openxmlformats.org/drawingml/2006/main">
                <a:pPr>
                  <a:defRPr/>
                </a:pPr>
                <a:r>
                  <a:t>Domain</a:t>
                </a:r>
              </a:p>
            </rich>
          </tx>
        </title>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Success %</a:t>
                </a:r>
              </a:p>
            </rich>
          </tx>
        </title>
        <majorTickMark val="none"/>
        <minorTickMark val="none"/>
        <crossAx val="10"/>
      </valAx>
    </plotArea>
    <plotVisOnly val="1"/>
    <dispBlanksAs val="gap"/>
  </chart>
</chartSpace>
</file>

<file path=xl/charts/chart40.xml><?xml version="1.0" encoding="utf-8"?>
<chartSpace xmlns="http://schemas.openxmlformats.org/drawingml/2006/chart">
  <style val="13"/>
  <chart>
    <title>
      <tx>
        <rich>
          <a:bodyPr xmlns:a="http://schemas.openxmlformats.org/drawingml/2006/main"/>
          <a:p xmlns:a="http://schemas.openxmlformats.org/drawingml/2006/main">
            <a:pPr>
              <a:defRPr/>
            </a:pPr>
            <a:r>
              <a:t>Daily Sleep Trend (Hours vs Day)</a:t>
            </a:r>
          </a:p>
        </rich>
      </tx>
    </title>
    <plotArea>
      <lineChart>
        <grouping val="standard"/>
        <ser>
          <idx val="0"/>
          <order val="0"/>
          <spPr>
            <a:ln xmlns:a="http://schemas.openxmlformats.org/drawingml/2006/main" w="25000">
              <a:solidFill>
                <a:srgbClr val="3B82F6"/>
              </a:solidFill>
              <a:prstDash val="solid"/>
            </a:ln>
          </spPr>
          <marker>
            <symbol val="circle"/>
            <size val="5"/>
            <spPr>
              <a:solidFill xmlns:a="http://schemas.openxmlformats.org/drawingml/2006/main">
                <a:srgbClr val="1D4ED8"/>
              </a:solidFill>
              <a:ln xmlns:a="http://schemas.openxmlformats.org/drawingml/2006/main">
                <a:prstDash val="solid"/>
              </a:ln>
            </spPr>
          </marker>
          <cat>
            <numRef>
              <f>'Sep 2027'!$E$45:$AH$45</f>
            </numRef>
          </cat>
          <val>
            <numRef>
              <f>'Sep 2027'!$E$47:$AH$47</f>
            </numRef>
          </val>
        </ser>
        <axId val="10"/>
        <axId val="100"/>
      </lineChart>
      <catAx>
        <axId val="10"/>
        <scaling>
          <orientation val="minMax"/>
        </scaling>
        <axPos val="l"/>
        <title>
          <tx>
            <rich>
              <a:bodyPr xmlns:a="http://schemas.openxmlformats.org/drawingml/2006/main"/>
              <a:p xmlns:a="http://schemas.openxmlformats.org/drawingml/2006/main">
                <a:pPr>
                  <a:defRPr/>
                </a:pPr>
                <a:r>
                  <a:t>Day</a:t>
                </a:r>
              </a:p>
            </rich>
          </tx>
        </title>
        <majorTickMark val="none"/>
        <minorTickMark val="none"/>
        <crossAx val="100"/>
        <lblOffset val="100"/>
      </catAx>
      <valAx>
        <axId val="100"/>
        <scaling>
          <orientation val="minMax"/>
          <max val="24"/>
          <min val="0"/>
        </scaling>
        <axPos val="l"/>
        <majorGridlines/>
        <title>
          <tx>
            <rich>
              <a:bodyPr xmlns:a="http://schemas.openxmlformats.org/drawingml/2006/main"/>
              <a:p xmlns:a="http://schemas.openxmlformats.org/drawingml/2006/main">
                <a:pPr>
                  <a:defRPr/>
                </a:pPr>
                <a:r>
                  <a:t>Hours</a:t>
                </a:r>
              </a:p>
            </rich>
          </tx>
        </title>
        <majorTickMark val="none"/>
        <minorTickMark val="none"/>
        <crossAx val="10"/>
      </valAx>
    </plotArea>
    <plotVisOnly val="1"/>
    <dispBlanksAs val="gap"/>
  </chart>
</chartSpace>
</file>

<file path=xl/charts/chart41.xml><?xml version="1.0" encoding="utf-8"?>
<chartSpace xmlns="http://schemas.openxmlformats.org/drawingml/2006/chart">
  <style val="10"/>
  <chart>
    <title>
      <tx>
        <rich>
          <a:bodyPr xmlns:a="http://schemas.openxmlformats.org/drawingml/2006/main"/>
          <a:p xmlns:a="http://schemas.openxmlformats.org/drawingml/2006/main">
            <a:pPr>
              <a:defRPr/>
            </a:pPr>
            <a:r>
              <a:t>Weekly Momentum Trend (%)</a:t>
            </a:r>
          </a:p>
        </rich>
      </tx>
    </title>
    <plotArea>
      <barChart>
        <barDir val="col"/>
        <grouping val="clustered"/>
        <ser>
          <idx val="0"/>
          <order val="0"/>
          <tx>
            <strRef>
              <f>'Sep 2027'!E75</f>
            </strRef>
          </tx>
          <spPr>
            <a:ln xmlns:a="http://schemas.openxmlformats.org/drawingml/2006/main">
              <a:prstDash val="solid"/>
            </a:ln>
          </spPr>
          <cat>
            <numRef>
              <f>'Sep 2027'!$A$76:$A$80</f>
            </numRef>
          </cat>
          <val>
            <numRef>
              <f>'Sep 2027'!$E$76:$E$80</f>
            </numRef>
          </val>
        </ser>
        <gapWidth val="150"/>
        <axId val="10"/>
        <axId val="100"/>
      </barChart>
      <catAx>
        <axId val="10"/>
        <scaling>
          <orientation val="minMax"/>
        </scaling>
        <axPos val="l"/>
        <title>
          <tx>
            <rich>
              <a:bodyPr xmlns:a="http://schemas.openxmlformats.org/drawingml/2006/main"/>
              <a:p xmlns:a="http://schemas.openxmlformats.org/drawingml/2006/main">
                <a:pPr>
                  <a:defRPr/>
                </a:pPr>
                <a:r>
                  <a:t>Week</a:t>
                </a:r>
              </a:p>
            </rich>
          </tx>
        </title>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Success %</a:t>
                </a:r>
              </a:p>
            </rich>
          </tx>
        </title>
        <majorTickMark val="none"/>
        <minorTickMark val="none"/>
        <crossAx val="10"/>
      </valAx>
    </plotArea>
    <plotVisOnly val="1"/>
    <dispBlanksAs val="gap"/>
  </chart>
</chartSpace>
</file>

<file path=xl/charts/chart42.xml><?xml version="1.0" encoding="utf-8"?>
<chartSpace xmlns="http://schemas.openxmlformats.org/drawingml/2006/chart">
  <style val="11"/>
  <chart>
    <title>
      <tx>
        <rich>
          <a:bodyPr xmlns:a="http://schemas.openxmlformats.org/drawingml/2006/main"/>
          <a:p xmlns:a="http://schemas.openxmlformats.org/drawingml/2006/main">
            <a:pPr>
              <a:defRPr/>
            </a:pPr>
            <a:r>
              <a:t>Performance by Domain (%)</a:t>
            </a:r>
          </a:p>
        </rich>
      </tx>
    </title>
    <plotArea>
      <barChart>
        <barDir val="col"/>
        <grouping val="clustered"/>
        <ser>
          <idx val="0"/>
          <order val="0"/>
          <tx>
            <strRef>
              <f>'Sep 2027'!S75</f>
            </strRef>
          </tx>
          <spPr>
            <a:ln xmlns:a="http://schemas.openxmlformats.org/drawingml/2006/main">
              <a:prstDash val="solid"/>
            </a:ln>
          </spPr>
          <cat>
            <numRef>
              <f>'Sep 2027'!$N$76:$N$80</f>
            </numRef>
          </cat>
          <val>
            <numRef>
              <f>'Sep 2027'!$S$76:$S$80</f>
            </numRef>
          </val>
        </ser>
        <gapWidth val="150"/>
        <axId val="10"/>
        <axId val="100"/>
      </barChart>
      <catAx>
        <axId val="10"/>
        <scaling>
          <orientation val="minMax"/>
        </scaling>
        <axPos val="l"/>
        <title>
          <tx>
            <rich>
              <a:bodyPr xmlns:a="http://schemas.openxmlformats.org/drawingml/2006/main"/>
              <a:p xmlns:a="http://schemas.openxmlformats.org/drawingml/2006/main">
                <a:pPr>
                  <a:defRPr/>
                </a:pPr>
                <a:r>
                  <a:t>Domain</a:t>
                </a:r>
              </a:p>
            </rich>
          </tx>
        </title>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Success %</a:t>
                </a:r>
              </a:p>
            </rich>
          </tx>
        </title>
        <majorTickMark val="none"/>
        <minorTickMark val="none"/>
        <crossAx val="10"/>
      </valAx>
    </plotArea>
    <plotVisOnly val="1"/>
    <dispBlanksAs val="gap"/>
  </chart>
</chartSpace>
</file>

<file path=xl/charts/chart43.xml><?xml version="1.0" encoding="utf-8"?>
<chartSpace xmlns="http://schemas.openxmlformats.org/drawingml/2006/chart">
  <style val="13"/>
  <chart>
    <title>
      <tx>
        <rich>
          <a:bodyPr xmlns:a="http://schemas.openxmlformats.org/drawingml/2006/main"/>
          <a:p xmlns:a="http://schemas.openxmlformats.org/drawingml/2006/main">
            <a:pPr>
              <a:defRPr/>
            </a:pPr>
            <a:r>
              <a:t>Daily Sleep Trend (Hours vs Day)</a:t>
            </a:r>
          </a:p>
        </rich>
      </tx>
    </title>
    <plotArea>
      <lineChart>
        <grouping val="standard"/>
        <ser>
          <idx val="0"/>
          <order val="0"/>
          <spPr>
            <a:ln xmlns:a="http://schemas.openxmlformats.org/drawingml/2006/main" w="25000">
              <a:solidFill>
                <a:srgbClr val="3B82F6"/>
              </a:solidFill>
              <a:prstDash val="solid"/>
            </a:ln>
          </spPr>
          <marker>
            <symbol val="circle"/>
            <size val="5"/>
            <spPr>
              <a:solidFill xmlns:a="http://schemas.openxmlformats.org/drawingml/2006/main">
                <a:srgbClr val="1D4ED8"/>
              </a:solidFill>
              <a:ln xmlns:a="http://schemas.openxmlformats.org/drawingml/2006/main">
                <a:prstDash val="solid"/>
              </a:ln>
            </spPr>
          </marker>
          <cat>
            <numRef>
              <f>'Oct 2027'!$E$45:$AI$45</f>
            </numRef>
          </cat>
          <val>
            <numRef>
              <f>'Oct 2027'!$E$47:$AI$47</f>
            </numRef>
          </val>
        </ser>
        <axId val="10"/>
        <axId val="100"/>
      </lineChart>
      <catAx>
        <axId val="10"/>
        <scaling>
          <orientation val="minMax"/>
        </scaling>
        <axPos val="l"/>
        <title>
          <tx>
            <rich>
              <a:bodyPr xmlns:a="http://schemas.openxmlformats.org/drawingml/2006/main"/>
              <a:p xmlns:a="http://schemas.openxmlformats.org/drawingml/2006/main">
                <a:pPr>
                  <a:defRPr/>
                </a:pPr>
                <a:r>
                  <a:t>Day</a:t>
                </a:r>
              </a:p>
            </rich>
          </tx>
        </title>
        <majorTickMark val="none"/>
        <minorTickMark val="none"/>
        <crossAx val="100"/>
        <lblOffset val="100"/>
      </catAx>
      <valAx>
        <axId val="100"/>
        <scaling>
          <orientation val="minMax"/>
          <max val="24"/>
          <min val="0"/>
        </scaling>
        <axPos val="l"/>
        <majorGridlines/>
        <title>
          <tx>
            <rich>
              <a:bodyPr xmlns:a="http://schemas.openxmlformats.org/drawingml/2006/main"/>
              <a:p xmlns:a="http://schemas.openxmlformats.org/drawingml/2006/main">
                <a:pPr>
                  <a:defRPr/>
                </a:pPr>
                <a:r>
                  <a:t>Hours</a:t>
                </a:r>
              </a:p>
            </rich>
          </tx>
        </title>
        <majorTickMark val="none"/>
        <minorTickMark val="none"/>
        <crossAx val="10"/>
      </valAx>
    </plotArea>
    <plotVisOnly val="1"/>
    <dispBlanksAs val="gap"/>
  </chart>
</chartSpace>
</file>

<file path=xl/charts/chart44.xml><?xml version="1.0" encoding="utf-8"?>
<chartSpace xmlns="http://schemas.openxmlformats.org/drawingml/2006/chart">
  <style val="10"/>
  <chart>
    <title>
      <tx>
        <rich>
          <a:bodyPr xmlns:a="http://schemas.openxmlformats.org/drawingml/2006/main"/>
          <a:p xmlns:a="http://schemas.openxmlformats.org/drawingml/2006/main">
            <a:pPr>
              <a:defRPr/>
            </a:pPr>
            <a:r>
              <a:t>Weekly Momentum Trend (%)</a:t>
            </a:r>
          </a:p>
        </rich>
      </tx>
    </title>
    <plotArea>
      <barChart>
        <barDir val="col"/>
        <grouping val="clustered"/>
        <ser>
          <idx val="0"/>
          <order val="0"/>
          <tx>
            <strRef>
              <f>'Oct 2027'!E75</f>
            </strRef>
          </tx>
          <spPr>
            <a:ln xmlns:a="http://schemas.openxmlformats.org/drawingml/2006/main">
              <a:prstDash val="solid"/>
            </a:ln>
          </spPr>
          <cat>
            <numRef>
              <f>'Oct 2027'!$A$76:$A$80</f>
            </numRef>
          </cat>
          <val>
            <numRef>
              <f>'Oct 2027'!$E$76:$E$80</f>
            </numRef>
          </val>
        </ser>
        <gapWidth val="150"/>
        <axId val="10"/>
        <axId val="100"/>
      </barChart>
      <catAx>
        <axId val="10"/>
        <scaling>
          <orientation val="minMax"/>
        </scaling>
        <axPos val="l"/>
        <title>
          <tx>
            <rich>
              <a:bodyPr xmlns:a="http://schemas.openxmlformats.org/drawingml/2006/main"/>
              <a:p xmlns:a="http://schemas.openxmlformats.org/drawingml/2006/main">
                <a:pPr>
                  <a:defRPr/>
                </a:pPr>
                <a:r>
                  <a:t>Week</a:t>
                </a:r>
              </a:p>
            </rich>
          </tx>
        </title>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Success %</a:t>
                </a:r>
              </a:p>
            </rich>
          </tx>
        </title>
        <majorTickMark val="none"/>
        <minorTickMark val="none"/>
        <crossAx val="10"/>
      </valAx>
    </plotArea>
    <plotVisOnly val="1"/>
    <dispBlanksAs val="gap"/>
  </chart>
</chartSpace>
</file>

<file path=xl/charts/chart45.xml><?xml version="1.0" encoding="utf-8"?>
<chartSpace xmlns="http://schemas.openxmlformats.org/drawingml/2006/chart">
  <style val="11"/>
  <chart>
    <title>
      <tx>
        <rich>
          <a:bodyPr xmlns:a="http://schemas.openxmlformats.org/drawingml/2006/main"/>
          <a:p xmlns:a="http://schemas.openxmlformats.org/drawingml/2006/main">
            <a:pPr>
              <a:defRPr/>
            </a:pPr>
            <a:r>
              <a:t>Performance by Domain (%)</a:t>
            </a:r>
          </a:p>
        </rich>
      </tx>
    </title>
    <plotArea>
      <barChart>
        <barDir val="col"/>
        <grouping val="clustered"/>
        <ser>
          <idx val="0"/>
          <order val="0"/>
          <tx>
            <strRef>
              <f>'Oct 2027'!S75</f>
            </strRef>
          </tx>
          <spPr>
            <a:ln xmlns:a="http://schemas.openxmlformats.org/drawingml/2006/main">
              <a:prstDash val="solid"/>
            </a:ln>
          </spPr>
          <cat>
            <numRef>
              <f>'Oct 2027'!$N$76:$N$80</f>
            </numRef>
          </cat>
          <val>
            <numRef>
              <f>'Oct 2027'!$S$76:$S$80</f>
            </numRef>
          </val>
        </ser>
        <gapWidth val="150"/>
        <axId val="10"/>
        <axId val="100"/>
      </barChart>
      <catAx>
        <axId val="10"/>
        <scaling>
          <orientation val="minMax"/>
        </scaling>
        <axPos val="l"/>
        <title>
          <tx>
            <rich>
              <a:bodyPr xmlns:a="http://schemas.openxmlformats.org/drawingml/2006/main"/>
              <a:p xmlns:a="http://schemas.openxmlformats.org/drawingml/2006/main">
                <a:pPr>
                  <a:defRPr/>
                </a:pPr>
                <a:r>
                  <a:t>Domain</a:t>
                </a:r>
              </a:p>
            </rich>
          </tx>
        </title>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Success %</a:t>
                </a:r>
              </a:p>
            </rich>
          </tx>
        </title>
        <majorTickMark val="none"/>
        <minorTickMark val="none"/>
        <crossAx val="10"/>
      </valAx>
    </plotArea>
    <plotVisOnly val="1"/>
    <dispBlanksAs val="gap"/>
  </chart>
</chartSpace>
</file>

<file path=xl/charts/chart46.xml><?xml version="1.0" encoding="utf-8"?>
<chartSpace xmlns="http://schemas.openxmlformats.org/drawingml/2006/chart">
  <style val="13"/>
  <chart>
    <title>
      <tx>
        <rich>
          <a:bodyPr xmlns:a="http://schemas.openxmlformats.org/drawingml/2006/main"/>
          <a:p xmlns:a="http://schemas.openxmlformats.org/drawingml/2006/main">
            <a:pPr>
              <a:defRPr/>
            </a:pPr>
            <a:r>
              <a:t>Daily Sleep Trend (Hours vs Day)</a:t>
            </a:r>
          </a:p>
        </rich>
      </tx>
    </title>
    <plotArea>
      <lineChart>
        <grouping val="standard"/>
        <ser>
          <idx val="0"/>
          <order val="0"/>
          <spPr>
            <a:ln xmlns:a="http://schemas.openxmlformats.org/drawingml/2006/main" w="25000">
              <a:solidFill>
                <a:srgbClr val="3B82F6"/>
              </a:solidFill>
              <a:prstDash val="solid"/>
            </a:ln>
          </spPr>
          <marker>
            <symbol val="circle"/>
            <size val="5"/>
            <spPr>
              <a:solidFill xmlns:a="http://schemas.openxmlformats.org/drawingml/2006/main">
                <a:srgbClr val="1D4ED8"/>
              </a:solidFill>
              <a:ln xmlns:a="http://schemas.openxmlformats.org/drawingml/2006/main">
                <a:prstDash val="solid"/>
              </a:ln>
            </spPr>
          </marker>
          <cat>
            <numRef>
              <f>'Nov 2027'!$E$45:$AH$45</f>
            </numRef>
          </cat>
          <val>
            <numRef>
              <f>'Nov 2027'!$E$47:$AH$47</f>
            </numRef>
          </val>
        </ser>
        <axId val="10"/>
        <axId val="100"/>
      </lineChart>
      <catAx>
        <axId val="10"/>
        <scaling>
          <orientation val="minMax"/>
        </scaling>
        <axPos val="l"/>
        <title>
          <tx>
            <rich>
              <a:bodyPr xmlns:a="http://schemas.openxmlformats.org/drawingml/2006/main"/>
              <a:p xmlns:a="http://schemas.openxmlformats.org/drawingml/2006/main">
                <a:pPr>
                  <a:defRPr/>
                </a:pPr>
                <a:r>
                  <a:t>Day</a:t>
                </a:r>
              </a:p>
            </rich>
          </tx>
        </title>
        <majorTickMark val="none"/>
        <minorTickMark val="none"/>
        <crossAx val="100"/>
        <lblOffset val="100"/>
      </catAx>
      <valAx>
        <axId val="100"/>
        <scaling>
          <orientation val="minMax"/>
          <max val="24"/>
          <min val="0"/>
        </scaling>
        <axPos val="l"/>
        <majorGridlines/>
        <title>
          <tx>
            <rich>
              <a:bodyPr xmlns:a="http://schemas.openxmlformats.org/drawingml/2006/main"/>
              <a:p xmlns:a="http://schemas.openxmlformats.org/drawingml/2006/main">
                <a:pPr>
                  <a:defRPr/>
                </a:pPr>
                <a:r>
                  <a:t>Hours</a:t>
                </a:r>
              </a:p>
            </rich>
          </tx>
        </title>
        <majorTickMark val="none"/>
        <minorTickMark val="none"/>
        <crossAx val="10"/>
      </valAx>
    </plotArea>
    <plotVisOnly val="1"/>
    <dispBlanksAs val="gap"/>
  </chart>
</chartSpace>
</file>

<file path=xl/charts/chart47.xml><?xml version="1.0" encoding="utf-8"?>
<chartSpace xmlns="http://schemas.openxmlformats.org/drawingml/2006/chart">
  <style val="10"/>
  <chart>
    <title>
      <tx>
        <rich>
          <a:bodyPr xmlns:a="http://schemas.openxmlformats.org/drawingml/2006/main"/>
          <a:p xmlns:a="http://schemas.openxmlformats.org/drawingml/2006/main">
            <a:pPr>
              <a:defRPr/>
            </a:pPr>
            <a:r>
              <a:t>Weekly Momentum Trend (%)</a:t>
            </a:r>
          </a:p>
        </rich>
      </tx>
    </title>
    <plotArea>
      <barChart>
        <barDir val="col"/>
        <grouping val="clustered"/>
        <ser>
          <idx val="0"/>
          <order val="0"/>
          <tx>
            <strRef>
              <f>'Nov 2027'!E75</f>
            </strRef>
          </tx>
          <spPr>
            <a:ln xmlns:a="http://schemas.openxmlformats.org/drawingml/2006/main">
              <a:prstDash val="solid"/>
            </a:ln>
          </spPr>
          <cat>
            <numRef>
              <f>'Nov 2027'!$A$76:$A$80</f>
            </numRef>
          </cat>
          <val>
            <numRef>
              <f>'Nov 2027'!$E$76:$E$80</f>
            </numRef>
          </val>
        </ser>
        <gapWidth val="150"/>
        <axId val="10"/>
        <axId val="100"/>
      </barChart>
      <catAx>
        <axId val="10"/>
        <scaling>
          <orientation val="minMax"/>
        </scaling>
        <axPos val="l"/>
        <title>
          <tx>
            <rich>
              <a:bodyPr xmlns:a="http://schemas.openxmlformats.org/drawingml/2006/main"/>
              <a:p xmlns:a="http://schemas.openxmlformats.org/drawingml/2006/main">
                <a:pPr>
                  <a:defRPr/>
                </a:pPr>
                <a:r>
                  <a:t>Week</a:t>
                </a:r>
              </a:p>
            </rich>
          </tx>
        </title>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Success %</a:t>
                </a:r>
              </a:p>
            </rich>
          </tx>
        </title>
        <majorTickMark val="none"/>
        <minorTickMark val="none"/>
        <crossAx val="10"/>
      </valAx>
    </plotArea>
    <plotVisOnly val="1"/>
    <dispBlanksAs val="gap"/>
  </chart>
</chartSpace>
</file>

<file path=xl/charts/chart48.xml><?xml version="1.0" encoding="utf-8"?>
<chartSpace xmlns="http://schemas.openxmlformats.org/drawingml/2006/chart">
  <style val="11"/>
  <chart>
    <title>
      <tx>
        <rich>
          <a:bodyPr xmlns:a="http://schemas.openxmlformats.org/drawingml/2006/main"/>
          <a:p xmlns:a="http://schemas.openxmlformats.org/drawingml/2006/main">
            <a:pPr>
              <a:defRPr/>
            </a:pPr>
            <a:r>
              <a:t>Performance by Domain (%)</a:t>
            </a:r>
          </a:p>
        </rich>
      </tx>
    </title>
    <plotArea>
      <barChart>
        <barDir val="col"/>
        <grouping val="clustered"/>
        <ser>
          <idx val="0"/>
          <order val="0"/>
          <tx>
            <strRef>
              <f>'Nov 2027'!S75</f>
            </strRef>
          </tx>
          <spPr>
            <a:ln xmlns:a="http://schemas.openxmlformats.org/drawingml/2006/main">
              <a:prstDash val="solid"/>
            </a:ln>
          </spPr>
          <cat>
            <numRef>
              <f>'Nov 2027'!$N$76:$N$80</f>
            </numRef>
          </cat>
          <val>
            <numRef>
              <f>'Nov 2027'!$S$76:$S$80</f>
            </numRef>
          </val>
        </ser>
        <gapWidth val="150"/>
        <axId val="10"/>
        <axId val="100"/>
      </barChart>
      <catAx>
        <axId val="10"/>
        <scaling>
          <orientation val="minMax"/>
        </scaling>
        <axPos val="l"/>
        <title>
          <tx>
            <rich>
              <a:bodyPr xmlns:a="http://schemas.openxmlformats.org/drawingml/2006/main"/>
              <a:p xmlns:a="http://schemas.openxmlformats.org/drawingml/2006/main">
                <a:pPr>
                  <a:defRPr/>
                </a:pPr>
                <a:r>
                  <a:t>Domain</a:t>
                </a:r>
              </a:p>
            </rich>
          </tx>
        </title>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Success %</a:t>
                </a:r>
              </a:p>
            </rich>
          </tx>
        </title>
        <majorTickMark val="none"/>
        <minorTickMark val="none"/>
        <crossAx val="10"/>
      </valAx>
    </plotArea>
    <plotVisOnly val="1"/>
    <dispBlanksAs val="gap"/>
  </chart>
</chartSpace>
</file>

<file path=xl/charts/chart49.xml><?xml version="1.0" encoding="utf-8"?>
<chartSpace xmlns="http://schemas.openxmlformats.org/drawingml/2006/chart">
  <style val="13"/>
  <chart>
    <title>
      <tx>
        <rich>
          <a:bodyPr xmlns:a="http://schemas.openxmlformats.org/drawingml/2006/main"/>
          <a:p xmlns:a="http://schemas.openxmlformats.org/drawingml/2006/main">
            <a:pPr>
              <a:defRPr/>
            </a:pPr>
            <a:r>
              <a:t>Daily Sleep Trend (Hours vs Day)</a:t>
            </a:r>
          </a:p>
        </rich>
      </tx>
    </title>
    <plotArea>
      <lineChart>
        <grouping val="standard"/>
        <ser>
          <idx val="0"/>
          <order val="0"/>
          <spPr>
            <a:ln xmlns:a="http://schemas.openxmlformats.org/drawingml/2006/main" w="25000">
              <a:solidFill>
                <a:srgbClr val="3B82F6"/>
              </a:solidFill>
              <a:prstDash val="solid"/>
            </a:ln>
          </spPr>
          <marker>
            <symbol val="circle"/>
            <size val="5"/>
            <spPr>
              <a:solidFill xmlns:a="http://schemas.openxmlformats.org/drawingml/2006/main">
                <a:srgbClr val="1D4ED8"/>
              </a:solidFill>
              <a:ln xmlns:a="http://schemas.openxmlformats.org/drawingml/2006/main">
                <a:prstDash val="solid"/>
              </a:ln>
            </spPr>
          </marker>
          <cat>
            <numRef>
              <f>'Dec 2027'!$E$45:$AI$45</f>
            </numRef>
          </cat>
          <val>
            <numRef>
              <f>'Dec 2027'!$E$47:$AI$47</f>
            </numRef>
          </val>
        </ser>
        <axId val="10"/>
        <axId val="100"/>
      </lineChart>
      <catAx>
        <axId val="10"/>
        <scaling>
          <orientation val="minMax"/>
        </scaling>
        <axPos val="l"/>
        <title>
          <tx>
            <rich>
              <a:bodyPr xmlns:a="http://schemas.openxmlformats.org/drawingml/2006/main"/>
              <a:p xmlns:a="http://schemas.openxmlformats.org/drawingml/2006/main">
                <a:pPr>
                  <a:defRPr/>
                </a:pPr>
                <a:r>
                  <a:t>Day</a:t>
                </a:r>
              </a:p>
            </rich>
          </tx>
        </title>
        <majorTickMark val="none"/>
        <minorTickMark val="none"/>
        <crossAx val="100"/>
        <lblOffset val="100"/>
      </catAx>
      <valAx>
        <axId val="100"/>
        <scaling>
          <orientation val="minMax"/>
          <max val="24"/>
          <min val="0"/>
        </scaling>
        <axPos val="l"/>
        <majorGridlines/>
        <title>
          <tx>
            <rich>
              <a:bodyPr xmlns:a="http://schemas.openxmlformats.org/drawingml/2006/main"/>
              <a:p xmlns:a="http://schemas.openxmlformats.org/drawingml/2006/main">
                <a:pPr>
                  <a:defRPr/>
                </a:pPr>
                <a:r>
                  <a:t>Hours</a:t>
                </a:r>
              </a:p>
            </rich>
          </tx>
        </title>
        <majorTickMark val="none"/>
        <minorTickMark val="none"/>
        <crossAx val="10"/>
      </valAx>
    </plotArea>
    <plotVisOnly val="1"/>
    <dispBlanksAs val="gap"/>
  </chart>
</chartSpace>
</file>

<file path=xl/charts/chart50.xml><?xml version="1.0" encoding="utf-8"?>
<chartSpace xmlns="http://schemas.openxmlformats.org/drawingml/2006/chart">
  <style val="10"/>
  <chart>
    <title>
      <tx>
        <rich>
          <a:bodyPr xmlns:a="http://schemas.openxmlformats.org/drawingml/2006/main"/>
          <a:p xmlns:a="http://schemas.openxmlformats.org/drawingml/2006/main">
            <a:pPr>
              <a:defRPr/>
            </a:pPr>
            <a:r>
              <a:t>Weekly Momentum Trend (%)</a:t>
            </a:r>
          </a:p>
        </rich>
      </tx>
    </title>
    <plotArea>
      <barChart>
        <barDir val="col"/>
        <grouping val="clustered"/>
        <ser>
          <idx val="0"/>
          <order val="0"/>
          <tx>
            <strRef>
              <f>'Dec 2027'!E75</f>
            </strRef>
          </tx>
          <spPr>
            <a:ln xmlns:a="http://schemas.openxmlformats.org/drawingml/2006/main">
              <a:prstDash val="solid"/>
            </a:ln>
          </spPr>
          <cat>
            <numRef>
              <f>'Dec 2027'!$A$76:$A$80</f>
            </numRef>
          </cat>
          <val>
            <numRef>
              <f>'Dec 2027'!$E$76:$E$80</f>
            </numRef>
          </val>
        </ser>
        <gapWidth val="150"/>
        <axId val="10"/>
        <axId val="100"/>
      </barChart>
      <catAx>
        <axId val="10"/>
        <scaling>
          <orientation val="minMax"/>
        </scaling>
        <axPos val="l"/>
        <title>
          <tx>
            <rich>
              <a:bodyPr xmlns:a="http://schemas.openxmlformats.org/drawingml/2006/main"/>
              <a:p xmlns:a="http://schemas.openxmlformats.org/drawingml/2006/main">
                <a:pPr>
                  <a:defRPr/>
                </a:pPr>
                <a:r>
                  <a:t>Week</a:t>
                </a:r>
              </a:p>
            </rich>
          </tx>
        </title>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Success %</a:t>
                </a:r>
              </a:p>
            </rich>
          </tx>
        </title>
        <majorTickMark val="none"/>
        <minorTickMark val="none"/>
        <crossAx val="10"/>
      </valAx>
    </plotArea>
    <plotVisOnly val="1"/>
    <dispBlanksAs val="gap"/>
  </chart>
</chartSpace>
</file>

<file path=xl/charts/chart51.xml><?xml version="1.0" encoding="utf-8"?>
<chartSpace xmlns="http://schemas.openxmlformats.org/drawingml/2006/chart">
  <style val="11"/>
  <chart>
    <title>
      <tx>
        <rich>
          <a:bodyPr xmlns:a="http://schemas.openxmlformats.org/drawingml/2006/main"/>
          <a:p xmlns:a="http://schemas.openxmlformats.org/drawingml/2006/main">
            <a:pPr>
              <a:defRPr/>
            </a:pPr>
            <a:r>
              <a:t>Performance by Domain (%)</a:t>
            </a:r>
          </a:p>
        </rich>
      </tx>
    </title>
    <plotArea>
      <barChart>
        <barDir val="col"/>
        <grouping val="clustered"/>
        <ser>
          <idx val="0"/>
          <order val="0"/>
          <tx>
            <strRef>
              <f>'Dec 2027'!S75</f>
            </strRef>
          </tx>
          <spPr>
            <a:ln xmlns:a="http://schemas.openxmlformats.org/drawingml/2006/main">
              <a:prstDash val="solid"/>
            </a:ln>
          </spPr>
          <cat>
            <numRef>
              <f>'Dec 2027'!$N$76:$N$80</f>
            </numRef>
          </cat>
          <val>
            <numRef>
              <f>'Dec 2027'!$S$76:$S$80</f>
            </numRef>
          </val>
        </ser>
        <gapWidth val="150"/>
        <axId val="10"/>
        <axId val="100"/>
      </barChart>
      <catAx>
        <axId val="10"/>
        <scaling>
          <orientation val="minMax"/>
        </scaling>
        <axPos val="l"/>
        <title>
          <tx>
            <rich>
              <a:bodyPr xmlns:a="http://schemas.openxmlformats.org/drawingml/2006/main"/>
              <a:p xmlns:a="http://schemas.openxmlformats.org/drawingml/2006/main">
                <a:pPr>
                  <a:defRPr/>
                </a:pPr>
                <a:r>
                  <a:t>Domain</a:t>
                </a:r>
              </a:p>
            </rich>
          </tx>
        </title>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Success %</a:t>
                </a:r>
              </a:p>
            </rich>
          </tx>
        </title>
        <majorTickMark val="none"/>
        <minorTickMark val="none"/>
        <crossAx val="10"/>
      </valAx>
    </plotArea>
    <plotVisOnly val="1"/>
    <dispBlanksAs val="gap"/>
  </chart>
</chartSpace>
</file>

<file path=xl/charts/chart52.xml><?xml version="1.0" encoding="utf-8"?>
<chartSpace xmlns="http://schemas.openxmlformats.org/drawingml/2006/chart">
  <style val="13"/>
  <chart>
    <title>
      <tx>
        <rich>
          <a:bodyPr xmlns:a="http://schemas.openxmlformats.org/drawingml/2006/main"/>
          <a:p xmlns:a="http://schemas.openxmlformats.org/drawingml/2006/main">
            <a:pPr>
              <a:defRPr/>
            </a:pPr>
            <a:r>
              <a:t>Daily Sleep Trend (Hours vs Day)</a:t>
            </a:r>
          </a:p>
        </rich>
      </tx>
    </title>
    <plotArea>
      <lineChart>
        <grouping val="standard"/>
        <ser>
          <idx val="0"/>
          <order val="0"/>
          <spPr>
            <a:ln xmlns:a="http://schemas.openxmlformats.org/drawingml/2006/main" w="25000">
              <a:solidFill>
                <a:srgbClr val="3B82F6"/>
              </a:solidFill>
              <a:prstDash val="solid"/>
            </a:ln>
          </spPr>
          <marker>
            <symbol val="circle"/>
            <size val="5"/>
            <spPr>
              <a:solidFill xmlns:a="http://schemas.openxmlformats.org/drawingml/2006/main">
                <a:srgbClr val="1D4ED8"/>
              </a:solidFill>
              <a:ln xmlns:a="http://schemas.openxmlformats.org/drawingml/2006/main">
                <a:prstDash val="solid"/>
              </a:ln>
            </spPr>
          </marker>
          <cat>
            <numRef>
              <f>'Jan 2028'!$E$45:$AI$45</f>
            </numRef>
          </cat>
          <val>
            <numRef>
              <f>'Jan 2028'!$E$47:$AI$47</f>
            </numRef>
          </val>
        </ser>
        <axId val="10"/>
        <axId val="100"/>
      </lineChart>
      <catAx>
        <axId val="10"/>
        <scaling>
          <orientation val="minMax"/>
        </scaling>
        <axPos val="l"/>
        <title>
          <tx>
            <rich>
              <a:bodyPr xmlns:a="http://schemas.openxmlformats.org/drawingml/2006/main"/>
              <a:p xmlns:a="http://schemas.openxmlformats.org/drawingml/2006/main">
                <a:pPr>
                  <a:defRPr/>
                </a:pPr>
                <a:r>
                  <a:t>Day</a:t>
                </a:r>
              </a:p>
            </rich>
          </tx>
        </title>
        <majorTickMark val="none"/>
        <minorTickMark val="none"/>
        <crossAx val="100"/>
        <lblOffset val="100"/>
      </catAx>
      <valAx>
        <axId val="100"/>
        <scaling>
          <orientation val="minMax"/>
          <max val="24"/>
          <min val="0"/>
        </scaling>
        <axPos val="l"/>
        <majorGridlines/>
        <title>
          <tx>
            <rich>
              <a:bodyPr xmlns:a="http://schemas.openxmlformats.org/drawingml/2006/main"/>
              <a:p xmlns:a="http://schemas.openxmlformats.org/drawingml/2006/main">
                <a:pPr>
                  <a:defRPr/>
                </a:pPr>
                <a:r>
                  <a:t>Hours</a:t>
                </a:r>
              </a:p>
            </rich>
          </tx>
        </title>
        <majorTickMark val="none"/>
        <minorTickMark val="none"/>
        <crossAx val="10"/>
      </valAx>
    </plotArea>
    <plotVisOnly val="1"/>
    <dispBlanksAs val="gap"/>
  </chart>
</chartSpace>
</file>

<file path=xl/charts/chart53.xml><?xml version="1.0" encoding="utf-8"?>
<chartSpace xmlns="http://schemas.openxmlformats.org/drawingml/2006/chart">
  <style val="10"/>
  <chart>
    <title>
      <tx>
        <rich>
          <a:bodyPr xmlns:a="http://schemas.openxmlformats.org/drawingml/2006/main"/>
          <a:p xmlns:a="http://schemas.openxmlformats.org/drawingml/2006/main">
            <a:pPr>
              <a:defRPr/>
            </a:pPr>
            <a:r>
              <a:t>Weekly Momentum Trend (%)</a:t>
            </a:r>
          </a:p>
        </rich>
      </tx>
    </title>
    <plotArea>
      <barChart>
        <barDir val="col"/>
        <grouping val="clustered"/>
        <ser>
          <idx val="0"/>
          <order val="0"/>
          <tx>
            <strRef>
              <f>'Jan 2028'!E75</f>
            </strRef>
          </tx>
          <spPr>
            <a:ln xmlns:a="http://schemas.openxmlformats.org/drawingml/2006/main">
              <a:prstDash val="solid"/>
            </a:ln>
          </spPr>
          <cat>
            <numRef>
              <f>'Jan 2028'!$A$76:$A$80</f>
            </numRef>
          </cat>
          <val>
            <numRef>
              <f>'Jan 2028'!$E$76:$E$80</f>
            </numRef>
          </val>
        </ser>
        <gapWidth val="150"/>
        <axId val="10"/>
        <axId val="100"/>
      </barChart>
      <catAx>
        <axId val="10"/>
        <scaling>
          <orientation val="minMax"/>
        </scaling>
        <axPos val="l"/>
        <title>
          <tx>
            <rich>
              <a:bodyPr xmlns:a="http://schemas.openxmlformats.org/drawingml/2006/main"/>
              <a:p xmlns:a="http://schemas.openxmlformats.org/drawingml/2006/main">
                <a:pPr>
                  <a:defRPr/>
                </a:pPr>
                <a:r>
                  <a:t>Week</a:t>
                </a:r>
              </a:p>
            </rich>
          </tx>
        </title>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Success %</a:t>
                </a:r>
              </a:p>
            </rich>
          </tx>
        </title>
        <majorTickMark val="none"/>
        <minorTickMark val="none"/>
        <crossAx val="10"/>
      </valAx>
    </plotArea>
    <plotVisOnly val="1"/>
    <dispBlanksAs val="gap"/>
  </chart>
</chartSpace>
</file>

<file path=xl/charts/chart54.xml><?xml version="1.0" encoding="utf-8"?>
<chartSpace xmlns="http://schemas.openxmlformats.org/drawingml/2006/chart">
  <style val="11"/>
  <chart>
    <title>
      <tx>
        <rich>
          <a:bodyPr xmlns:a="http://schemas.openxmlformats.org/drawingml/2006/main"/>
          <a:p xmlns:a="http://schemas.openxmlformats.org/drawingml/2006/main">
            <a:pPr>
              <a:defRPr/>
            </a:pPr>
            <a:r>
              <a:t>Performance by Domain (%)</a:t>
            </a:r>
          </a:p>
        </rich>
      </tx>
    </title>
    <plotArea>
      <barChart>
        <barDir val="col"/>
        <grouping val="clustered"/>
        <ser>
          <idx val="0"/>
          <order val="0"/>
          <tx>
            <strRef>
              <f>'Jan 2028'!S75</f>
            </strRef>
          </tx>
          <spPr>
            <a:ln xmlns:a="http://schemas.openxmlformats.org/drawingml/2006/main">
              <a:prstDash val="solid"/>
            </a:ln>
          </spPr>
          <cat>
            <numRef>
              <f>'Jan 2028'!$N$76:$N$80</f>
            </numRef>
          </cat>
          <val>
            <numRef>
              <f>'Jan 2028'!$S$76:$S$80</f>
            </numRef>
          </val>
        </ser>
        <gapWidth val="150"/>
        <axId val="10"/>
        <axId val="100"/>
      </barChart>
      <catAx>
        <axId val="10"/>
        <scaling>
          <orientation val="minMax"/>
        </scaling>
        <axPos val="l"/>
        <title>
          <tx>
            <rich>
              <a:bodyPr xmlns:a="http://schemas.openxmlformats.org/drawingml/2006/main"/>
              <a:p xmlns:a="http://schemas.openxmlformats.org/drawingml/2006/main">
                <a:pPr>
                  <a:defRPr/>
                </a:pPr>
                <a:r>
                  <a:t>Domain</a:t>
                </a:r>
              </a:p>
            </rich>
          </tx>
        </title>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Success %</a:t>
                </a:r>
              </a:p>
            </rich>
          </tx>
        </title>
        <majorTickMark val="none"/>
        <minorTickMark val="none"/>
        <crossAx val="10"/>
      </valAx>
    </plotArea>
    <plotVisOnly val="1"/>
    <dispBlanksAs val="gap"/>
  </chart>
</chartSpace>
</file>

<file path=xl/charts/chart55.xml><?xml version="1.0" encoding="utf-8"?>
<chartSpace xmlns="http://schemas.openxmlformats.org/drawingml/2006/chart">
  <style val="13"/>
  <chart>
    <title>
      <tx>
        <rich>
          <a:bodyPr xmlns:a="http://schemas.openxmlformats.org/drawingml/2006/main"/>
          <a:p xmlns:a="http://schemas.openxmlformats.org/drawingml/2006/main">
            <a:pPr>
              <a:defRPr/>
            </a:pPr>
            <a:r>
              <a:t>Daily Sleep Trend (Hours vs Day)</a:t>
            </a:r>
          </a:p>
        </rich>
      </tx>
    </title>
    <plotArea>
      <lineChart>
        <grouping val="standard"/>
        <ser>
          <idx val="0"/>
          <order val="0"/>
          <spPr>
            <a:ln xmlns:a="http://schemas.openxmlformats.org/drawingml/2006/main" w="25000">
              <a:solidFill>
                <a:srgbClr val="3B82F6"/>
              </a:solidFill>
              <a:prstDash val="solid"/>
            </a:ln>
          </spPr>
          <marker>
            <symbol val="circle"/>
            <size val="5"/>
            <spPr>
              <a:solidFill xmlns:a="http://schemas.openxmlformats.org/drawingml/2006/main">
                <a:srgbClr val="1D4ED8"/>
              </a:solidFill>
              <a:ln xmlns:a="http://schemas.openxmlformats.org/drawingml/2006/main">
                <a:prstDash val="solid"/>
              </a:ln>
            </spPr>
          </marker>
          <cat>
            <numRef>
              <f>'Feb 2028'!$E$45:$AG$45</f>
            </numRef>
          </cat>
          <val>
            <numRef>
              <f>'Feb 2028'!$E$47:$AG$47</f>
            </numRef>
          </val>
        </ser>
        <axId val="10"/>
        <axId val="100"/>
      </lineChart>
      <catAx>
        <axId val="10"/>
        <scaling>
          <orientation val="minMax"/>
        </scaling>
        <axPos val="l"/>
        <title>
          <tx>
            <rich>
              <a:bodyPr xmlns:a="http://schemas.openxmlformats.org/drawingml/2006/main"/>
              <a:p xmlns:a="http://schemas.openxmlformats.org/drawingml/2006/main">
                <a:pPr>
                  <a:defRPr/>
                </a:pPr>
                <a:r>
                  <a:t>Day</a:t>
                </a:r>
              </a:p>
            </rich>
          </tx>
        </title>
        <majorTickMark val="none"/>
        <minorTickMark val="none"/>
        <crossAx val="100"/>
        <lblOffset val="100"/>
      </catAx>
      <valAx>
        <axId val="100"/>
        <scaling>
          <orientation val="minMax"/>
          <max val="24"/>
          <min val="0"/>
        </scaling>
        <axPos val="l"/>
        <majorGridlines/>
        <title>
          <tx>
            <rich>
              <a:bodyPr xmlns:a="http://schemas.openxmlformats.org/drawingml/2006/main"/>
              <a:p xmlns:a="http://schemas.openxmlformats.org/drawingml/2006/main">
                <a:pPr>
                  <a:defRPr/>
                </a:pPr>
                <a:r>
                  <a:t>Hours</a:t>
                </a:r>
              </a:p>
            </rich>
          </tx>
        </title>
        <majorTickMark val="none"/>
        <minorTickMark val="none"/>
        <crossAx val="10"/>
      </valAx>
    </plotArea>
    <plotVisOnly val="1"/>
    <dispBlanksAs val="gap"/>
  </chart>
</chartSpace>
</file>

<file path=xl/charts/chart56.xml><?xml version="1.0" encoding="utf-8"?>
<chartSpace xmlns="http://schemas.openxmlformats.org/drawingml/2006/chart">
  <style val="10"/>
  <chart>
    <title>
      <tx>
        <rich>
          <a:bodyPr xmlns:a="http://schemas.openxmlformats.org/drawingml/2006/main"/>
          <a:p xmlns:a="http://schemas.openxmlformats.org/drawingml/2006/main">
            <a:pPr>
              <a:defRPr/>
            </a:pPr>
            <a:r>
              <a:t>Weekly Momentum Trend (%)</a:t>
            </a:r>
          </a:p>
        </rich>
      </tx>
    </title>
    <plotArea>
      <barChart>
        <barDir val="col"/>
        <grouping val="clustered"/>
        <ser>
          <idx val="0"/>
          <order val="0"/>
          <tx>
            <strRef>
              <f>'Feb 2028'!E75</f>
            </strRef>
          </tx>
          <spPr>
            <a:ln xmlns:a="http://schemas.openxmlformats.org/drawingml/2006/main">
              <a:prstDash val="solid"/>
            </a:ln>
          </spPr>
          <cat>
            <numRef>
              <f>'Feb 2028'!$A$76:$A$80</f>
            </numRef>
          </cat>
          <val>
            <numRef>
              <f>'Feb 2028'!$E$76:$E$80</f>
            </numRef>
          </val>
        </ser>
        <gapWidth val="150"/>
        <axId val="10"/>
        <axId val="100"/>
      </barChart>
      <catAx>
        <axId val="10"/>
        <scaling>
          <orientation val="minMax"/>
        </scaling>
        <axPos val="l"/>
        <title>
          <tx>
            <rich>
              <a:bodyPr xmlns:a="http://schemas.openxmlformats.org/drawingml/2006/main"/>
              <a:p xmlns:a="http://schemas.openxmlformats.org/drawingml/2006/main">
                <a:pPr>
                  <a:defRPr/>
                </a:pPr>
                <a:r>
                  <a:t>Week</a:t>
                </a:r>
              </a:p>
            </rich>
          </tx>
        </title>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Success %</a:t>
                </a:r>
              </a:p>
            </rich>
          </tx>
        </title>
        <majorTickMark val="none"/>
        <minorTickMark val="none"/>
        <crossAx val="10"/>
      </valAx>
    </plotArea>
    <plotVisOnly val="1"/>
    <dispBlanksAs val="gap"/>
  </chart>
</chartSpace>
</file>

<file path=xl/charts/chart57.xml><?xml version="1.0" encoding="utf-8"?>
<chartSpace xmlns="http://schemas.openxmlformats.org/drawingml/2006/chart">
  <style val="11"/>
  <chart>
    <title>
      <tx>
        <rich>
          <a:bodyPr xmlns:a="http://schemas.openxmlformats.org/drawingml/2006/main"/>
          <a:p xmlns:a="http://schemas.openxmlformats.org/drawingml/2006/main">
            <a:pPr>
              <a:defRPr/>
            </a:pPr>
            <a:r>
              <a:t>Performance by Domain (%)</a:t>
            </a:r>
          </a:p>
        </rich>
      </tx>
    </title>
    <plotArea>
      <barChart>
        <barDir val="col"/>
        <grouping val="clustered"/>
        <ser>
          <idx val="0"/>
          <order val="0"/>
          <tx>
            <strRef>
              <f>'Feb 2028'!S75</f>
            </strRef>
          </tx>
          <spPr>
            <a:ln xmlns:a="http://schemas.openxmlformats.org/drawingml/2006/main">
              <a:prstDash val="solid"/>
            </a:ln>
          </spPr>
          <cat>
            <numRef>
              <f>'Feb 2028'!$N$76:$N$80</f>
            </numRef>
          </cat>
          <val>
            <numRef>
              <f>'Feb 2028'!$S$76:$S$80</f>
            </numRef>
          </val>
        </ser>
        <gapWidth val="150"/>
        <axId val="10"/>
        <axId val="100"/>
      </barChart>
      <catAx>
        <axId val="10"/>
        <scaling>
          <orientation val="minMax"/>
        </scaling>
        <axPos val="l"/>
        <title>
          <tx>
            <rich>
              <a:bodyPr xmlns:a="http://schemas.openxmlformats.org/drawingml/2006/main"/>
              <a:p xmlns:a="http://schemas.openxmlformats.org/drawingml/2006/main">
                <a:pPr>
                  <a:defRPr/>
                </a:pPr>
                <a:r>
                  <a:t>Domain</a:t>
                </a:r>
              </a:p>
            </rich>
          </tx>
        </title>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Success %</a:t>
                </a:r>
              </a:p>
            </rich>
          </tx>
        </title>
        <majorTickMark val="none"/>
        <minorTickMark val="none"/>
        <crossAx val="10"/>
      </valAx>
    </plotArea>
    <plotVisOnly val="1"/>
    <dispBlanksAs val="gap"/>
  </chart>
</chartSpace>
</file>

<file path=xl/charts/chart58.xml><?xml version="1.0" encoding="utf-8"?>
<chartSpace xmlns="http://schemas.openxmlformats.org/drawingml/2006/chart">
  <style val="13"/>
  <chart>
    <title>
      <tx>
        <rich>
          <a:bodyPr xmlns:a="http://schemas.openxmlformats.org/drawingml/2006/main"/>
          <a:p xmlns:a="http://schemas.openxmlformats.org/drawingml/2006/main">
            <a:pPr>
              <a:defRPr/>
            </a:pPr>
            <a:r>
              <a:t>Daily Sleep Trend (Hours vs Day)</a:t>
            </a:r>
          </a:p>
        </rich>
      </tx>
    </title>
    <plotArea>
      <lineChart>
        <grouping val="standard"/>
        <ser>
          <idx val="0"/>
          <order val="0"/>
          <spPr>
            <a:ln xmlns:a="http://schemas.openxmlformats.org/drawingml/2006/main" w="25000">
              <a:solidFill>
                <a:srgbClr val="3B82F6"/>
              </a:solidFill>
              <a:prstDash val="solid"/>
            </a:ln>
          </spPr>
          <marker>
            <symbol val="circle"/>
            <size val="5"/>
            <spPr>
              <a:solidFill xmlns:a="http://schemas.openxmlformats.org/drawingml/2006/main">
                <a:srgbClr val="1D4ED8"/>
              </a:solidFill>
              <a:ln xmlns:a="http://schemas.openxmlformats.org/drawingml/2006/main">
                <a:prstDash val="solid"/>
              </a:ln>
            </spPr>
          </marker>
          <cat>
            <numRef>
              <f>'Mar 2028'!$E$45:$AI$45</f>
            </numRef>
          </cat>
          <val>
            <numRef>
              <f>'Mar 2028'!$E$47:$AI$47</f>
            </numRef>
          </val>
        </ser>
        <axId val="10"/>
        <axId val="100"/>
      </lineChart>
      <catAx>
        <axId val="10"/>
        <scaling>
          <orientation val="minMax"/>
        </scaling>
        <axPos val="l"/>
        <title>
          <tx>
            <rich>
              <a:bodyPr xmlns:a="http://schemas.openxmlformats.org/drawingml/2006/main"/>
              <a:p xmlns:a="http://schemas.openxmlformats.org/drawingml/2006/main">
                <a:pPr>
                  <a:defRPr/>
                </a:pPr>
                <a:r>
                  <a:t>Day</a:t>
                </a:r>
              </a:p>
            </rich>
          </tx>
        </title>
        <majorTickMark val="none"/>
        <minorTickMark val="none"/>
        <crossAx val="100"/>
        <lblOffset val="100"/>
      </catAx>
      <valAx>
        <axId val="100"/>
        <scaling>
          <orientation val="minMax"/>
          <max val="24"/>
          <min val="0"/>
        </scaling>
        <axPos val="l"/>
        <majorGridlines/>
        <title>
          <tx>
            <rich>
              <a:bodyPr xmlns:a="http://schemas.openxmlformats.org/drawingml/2006/main"/>
              <a:p xmlns:a="http://schemas.openxmlformats.org/drawingml/2006/main">
                <a:pPr>
                  <a:defRPr/>
                </a:pPr>
                <a:r>
                  <a:t>Hours</a:t>
                </a:r>
              </a:p>
            </rich>
          </tx>
        </title>
        <majorTickMark val="none"/>
        <minorTickMark val="none"/>
        <crossAx val="10"/>
      </valAx>
    </plotArea>
    <plotVisOnly val="1"/>
    <dispBlanksAs val="gap"/>
  </chart>
</chartSpace>
</file>

<file path=xl/charts/chart59.xml><?xml version="1.0" encoding="utf-8"?>
<chartSpace xmlns="http://schemas.openxmlformats.org/drawingml/2006/chart">
  <style val="10"/>
  <chart>
    <title>
      <tx>
        <rich>
          <a:bodyPr xmlns:a="http://schemas.openxmlformats.org/drawingml/2006/main"/>
          <a:p xmlns:a="http://schemas.openxmlformats.org/drawingml/2006/main">
            <a:pPr>
              <a:defRPr/>
            </a:pPr>
            <a:r>
              <a:t>Weekly Momentum Trend (%)</a:t>
            </a:r>
          </a:p>
        </rich>
      </tx>
    </title>
    <plotArea>
      <barChart>
        <barDir val="col"/>
        <grouping val="clustered"/>
        <ser>
          <idx val="0"/>
          <order val="0"/>
          <tx>
            <strRef>
              <f>'Mar 2028'!E75</f>
            </strRef>
          </tx>
          <spPr>
            <a:ln xmlns:a="http://schemas.openxmlformats.org/drawingml/2006/main">
              <a:prstDash val="solid"/>
            </a:ln>
          </spPr>
          <cat>
            <numRef>
              <f>'Mar 2028'!$A$76:$A$80</f>
            </numRef>
          </cat>
          <val>
            <numRef>
              <f>'Mar 2028'!$E$76:$E$80</f>
            </numRef>
          </val>
        </ser>
        <gapWidth val="150"/>
        <axId val="10"/>
        <axId val="100"/>
      </barChart>
      <catAx>
        <axId val="10"/>
        <scaling>
          <orientation val="minMax"/>
        </scaling>
        <axPos val="l"/>
        <title>
          <tx>
            <rich>
              <a:bodyPr xmlns:a="http://schemas.openxmlformats.org/drawingml/2006/main"/>
              <a:p xmlns:a="http://schemas.openxmlformats.org/drawingml/2006/main">
                <a:pPr>
                  <a:defRPr/>
                </a:pPr>
                <a:r>
                  <a:t>Week</a:t>
                </a:r>
              </a:p>
            </rich>
          </tx>
        </title>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Success %</a:t>
                </a:r>
              </a:p>
            </rich>
          </tx>
        </title>
        <majorTickMark val="none"/>
        <minorTickMark val="none"/>
        <crossAx val="10"/>
      </valAx>
    </plotArea>
    <plotVisOnly val="1"/>
    <dispBlanksAs val="gap"/>
  </chart>
</chartSpace>
</file>

<file path=xl/charts/chart60.xml><?xml version="1.0" encoding="utf-8"?>
<chartSpace xmlns="http://schemas.openxmlformats.org/drawingml/2006/chart">
  <style val="11"/>
  <chart>
    <title>
      <tx>
        <rich>
          <a:bodyPr xmlns:a="http://schemas.openxmlformats.org/drawingml/2006/main"/>
          <a:p xmlns:a="http://schemas.openxmlformats.org/drawingml/2006/main">
            <a:pPr>
              <a:defRPr/>
            </a:pPr>
            <a:r>
              <a:t>Performance by Domain (%)</a:t>
            </a:r>
          </a:p>
        </rich>
      </tx>
    </title>
    <plotArea>
      <barChart>
        <barDir val="col"/>
        <grouping val="clustered"/>
        <ser>
          <idx val="0"/>
          <order val="0"/>
          <tx>
            <strRef>
              <f>'Mar 2028'!S75</f>
            </strRef>
          </tx>
          <spPr>
            <a:ln xmlns:a="http://schemas.openxmlformats.org/drawingml/2006/main">
              <a:prstDash val="solid"/>
            </a:ln>
          </spPr>
          <cat>
            <numRef>
              <f>'Mar 2028'!$N$76:$N$80</f>
            </numRef>
          </cat>
          <val>
            <numRef>
              <f>'Mar 2028'!$S$76:$S$80</f>
            </numRef>
          </val>
        </ser>
        <gapWidth val="150"/>
        <axId val="10"/>
        <axId val="100"/>
      </barChart>
      <catAx>
        <axId val="10"/>
        <scaling>
          <orientation val="minMax"/>
        </scaling>
        <axPos val="l"/>
        <title>
          <tx>
            <rich>
              <a:bodyPr xmlns:a="http://schemas.openxmlformats.org/drawingml/2006/main"/>
              <a:p xmlns:a="http://schemas.openxmlformats.org/drawingml/2006/main">
                <a:pPr>
                  <a:defRPr/>
                </a:pPr>
                <a:r>
                  <a:t>Domain</a:t>
                </a:r>
              </a:p>
            </rich>
          </tx>
        </title>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Success %</a:t>
                </a:r>
              </a:p>
            </rich>
          </tx>
        </title>
        <majorTickMark val="none"/>
        <minorTickMark val="none"/>
        <crossAx val="10"/>
      </valAx>
    </plotArea>
    <plotVisOnly val="1"/>
    <dispBlanksAs val="gap"/>
  </chart>
</chartSpace>
</file>

<file path=xl/charts/chart61.xml><?xml version="1.0" encoding="utf-8"?>
<chartSpace xmlns="http://schemas.openxmlformats.org/drawingml/2006/chart">
  <style val="13"/>
  <chart>
    <title>
      <tx>
        <rich>
          <a:bodyPr xmlns:a="http://schemas.openxmlformats.org/drawingml/2006/main"/>
          <a:p xmlns:a="http://schemas.openxmlformats.org/drawingml/2006/main">
            <a:pPr>
              <a:defRPr/>
            </a:pPr>
            <a:r>
              <a:t>Daily Sleep Trend (Hours vs Day)</a:t>
            </a:r>
          </a:p>
        </rich>
      </tx>
    </title>
    <plotArea>
      <lineChart>
        <grouping val="standard"/>
        <ser>
          <idx val="0"/>
          <order val="0"/>
          <spPr>
            <a:ln xmlns:a="http://schemas.openxmlformats.org/drawingml/2006/main" w="25000">
              <a:solidFill>
                <a:srgbClr val="3B82F6"/>
              </a:solidFill>
              <a:prstDash val="solid"/>
            </a:ln>
          </spPr>
          <marker>
            <symbol val="circle"/>
            <size val="5"/>
            <spPr>
              <a:solidFill xmlns:a="http://schemas.openxmlformats.org/drawingml/2006/main">
                <a:srgbClr val="1D4ED8"/>
              </a:solidFill>
              <a:ln xmlns:a="http://schemas.openxmlformats.org/drawingml/2006/main">
                <a:prstDash val="solid"/>
              </a:ln>
            </spPr>
          </marker>
          <cat>
            <numRef>
              <f>'Apr 2028'!$E$45:$AH$45</f>
            </numRef>
          </cat>
          <val>
            <numRef>
              <f>'Apr 2028'!$E$47:$AH$47</f>
            </numRef>
          </val>
        </ser>
        <axId val="10"/>
        <axId val="100"/>
      </lineChart>
      <catAx>
        <axId val="10"/>
        <scaling>
          <orientation val="minMax"/>
        </scaling>
        <axPos val="l"/>
        <title>
          <tx>
            <rich>
              <a:bodyPr xmlns:a="http://schemas.openxmlformats.org/drawingml/2006/main"/>
              <a:p xmlns:a="http://schemas.openxmlformats.org/drawingml/2006/main">
                <a:pPr>
                  <a:defRPr/>
                </a:pPr>
                <a:r>
                  <a:t>Day</a:t>
                </a:r>
              </a:p>
            </rich>
          </tx>
        </title>
        <majorTickMark val="none"/>
        <minorTickMark val="none"/>
        <crossAx val="100"/>
        <lblOffset val="100"/>
      </catAx>
      <valAx>
        <axId val="100"/>
        <scaling>
          <orientation val="minMax"/>
          <max val="24"/>
          <min val="0"/>
        </scaling>
        <axPos val="l"/>
        <majorGridlines/>
        <title>
          <tx>
            <rich>
              <a:bodyPr xmlns:a="http://schemas.openxmlformats.org/drawingml/2006/main"/>
              <a:p xmlns:a="http://schemas.openxmlformats.org/drawingml/2006/main">
                <a:pPr>
                  <a:defRPr/>
                </a:pPr>
                <a:r>
                  <a:t>Hours</a:t>
                </a:r>
              </a:p>
            </rich>
          </tx>
        </title>
        <majorTickMark val="none"/>
        <minorTickMark val="none"/>
        <crossAx val="10"/>
      </valAx>
    </plotArea>
    <plotVisOnly val="1"/>
    <dispBlanksAs val="gap"/>
  </chart>
</chartSpace>
</file>

<file path=xl/charts/chart62.xml><?xml version="1.0" encoding="utf-8"?>
<chartSpace xmlns="http://schemas.openxmlformats.org/drawingml/2006/chart">
  <style val="10"/>
  <chart>
    <title>
      <tx>
        <rich>
          <a:bodyPr xmlns:a="http://schemas.openxmlformats.org/drawingml/2006/main"/>
          <a:p xmlns:a="http://schemas.openxmlformats.org/drawingml/2006/main">
            <a:pPr>
              <a:defRPr/>
            </a:pPr>
            <a:r>
              <a:t>Weekly Momentum Trend (%)</a:t>
            </a:r>
          </a:p>
        </rich>
      </tx>
    </title>
    <plotArea>
      <barChart>
        <barDir val="col"/>
        <grouping val="clustered"/>
        <ser>
          <idx val="0"/>
          <order val="0"/>
          <tx>
            <strRef>
              <f>'Apr 2028'!E75</f>
            </strRef>
          </tx>
          <spPr>
            <a:ln xmlns:a="http://schemas.openxmlformats.org/drawingml/2006/main">
              <a:prstDash val="solid"/>
            </a:ln>
          </spPr>
          <cat>
            <numRef>
              <f>'Apr 2028'!$A$76:$A$80</f>
            </numRef>
          </cat>
          <val>
            <numRef>
              <f>'Apr 2028'!$E$76:$E$80</f>
            </numRef>
          </val>
        </ser>
        <gapWidth val="150"/>
        <axId val="10"/>
        <axId val="100"/>
      </barChart>
      <catAx>
        <axId val="10"/>
        <scaling>
          <orientation val="minMax"/>
        </scaling>
        <axPos val="l"/>
        <title>
          <tx>
            <rich>
              <a:bodyPr xmlns:a="http://schemas.openxmlformats.org/drawingml/2006/main"/>
              <a:p xmlns:a="http://schemas.openxmlformats.org/drawingml/2006/main">
                <a:pPr>
                  <a:defRPr/>
                </a:pPr>
                <a:r>
                  <a:t>Week</a:t>
                </a:r>
              </a:p>
            </rich>
          </tx>
        </title>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Success %</a:t>
                </a:r>
              </a:p>
            </rich>
          </tx>
        </title>
        <majorTickMark val="none"/>
        <minorTickMark val="none"/>
        <crossAx val="10"/>
      </valAx>
    </plotArea>
    <plotVisOnly val="1"/>
    <dispBlanksAs val="gap"/>
  </chart>
</chartSpace>
</file>

<file path=xl/charts/chart63.xml><?xml version="1.0" encoding="utf-8"?>
<chartSpace xmlns="http://schemas.openxmlformats.org/drawingml/2006/chart">
  <style val="11"/>
  <chart>
    <title>
      <tx>
        <rich>
          <a:bodyPr xmlns:a="http://schemas.openxmlformats.org/drawingml/2006/main"/>
          <a:p xmlns:a="http://schemas.openxmlformats.org/drawingml/2006/main">
            <a:pPr>
              <a:defRPr/>
            </a:pPr>
            <a:r>
              <a:t>Performance by Domain (%)</a:t>
            </a:r>
          </a:p>
        </rich>
      </tx>
    </title>
    <plotArea>
      <barChart>
        <barDir val="col"/>
        <grouping val="clustered"/>
        <ser>
          <idx val="0"/>
          <order val="0"/>
          <tx>
            <strRef>
              <f>'Apr 2028'!S75</f>
            </strRef>
          </tx>
          <spPr>
            <a:ln xmlns:a="http://schemas.openxmlformats.org/drawingml/2006/main">
              <a:prstDash val="solid"/>
            </a:ln>
          </spPr>
          <cat>
            <numRef>
              <f>'Apr 2028'!$N$76:$N$80</f>
            </numRef>
          </cat>
          <val>
            <numRef>
              <f>'Apr 2028'!$S$76:$S$80</f>
            </numRef>
          </val>
        </ser>
        <gapWidth val="150"/>
        <axId val="10"/>
        <axId val="100"/>
      </barChart>
      <catAx>
        <axId val="10"/>
        <scaling>
          <orientation val="minMax"/>
        </scaling>
        <axPos val="l"/>
        <title>
          <tx>
            <rich>
              <a:bodyPr xmlns:a="http://schemas.openxmlformats.org/drawingml/2006/main"/>
              <a:p xmlns:a="http://schemas.openxmlformats.org/drawingml/2006/main">
                <a:pPr>
                  <a:defRPr/>
                </a:pPr>
                <a:r>
                  <a:t>Domain</a:t>
                </a:r>
              </a:p>
            </rich>
          </tx>
        </title>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Success %</a:t>
                </a:r>
              </a:p>
            </rich>
          </tx>
        </title>
        <majorTickMark val="none"/>
        <minorTickMark val="none"/>
        <crossAx val="10"/>
      </valAx>
    </plotArea>
    <plotVisOnly val="1"/>
    <dispBlanksAs val="gap"/>
  </chart>
</chartSpace>
</file>

<file path=xl/charts/chart64.xml><?xml version="1.0" encoding="utf-8"?>
<chartSpace xmlns="http://schemas.openxmlformats.org/drawingml/2006/chart">
  <style val="13"/>
  <chart>
    <title>
      <tx>
        <rich>
          <a:bodyPr xmlns:a="http://schemas.openxmlformats.org/drawingml/2006/main"/>
          <a:p xmlns:a="http://schemas.openxmlformats.org/drawingml/2006/main">
            <a:pPr>
              <a:defRPr/>
            </a:pPr>
            <a:r>
              <a:t>Daily Sleep Trend (Hours vs Day)</a:t>
            </a:r>
          </a:p>
        </rich>
      </tx>
    </title>
    <plotArea>
      <lineChart>
        <grouping val="standard"/>
        <ser>
          <idx val="0"/>
          <order val="0"/>
          <spPr>
            <a:ln xmlns:a="http://schemas.openxmlformats.org/drawingml/2006/main" w="25000">
              <a:solidFill>
                <a:srgbClr val="3B82F6"/>
              </a:solidFill>
              <a:prstDash val="solid"/>
            </a:ln>
          </spPr>
          <marker>
            <symbol val="circle"/>
            <size val="5"/>
            <spPr>
              <a:solidFill xmlns:a="http://schemas.openxmlformats.org/drawingml/2006/main">
                <a:srgbClr val="1D4ED8"/>
              </a:solidFill>
              <a:ln xmlns:a="http://schemas.openxmlformats.org/drawingml/2006/main">
                <a:prstDash val="solid"/>
              </a:ln>
            </spPr>
          </marker>
          <cat>
            <numRef>
              <f>'May 2028'!$E$45:$AI$45</f>
            </numRef>
          </cat>
          <val>
            <numRef>
              <f>'May 2028'!$E$47:$AI$47</f>
            </numRef>
          </val>
        </ser>
        <axId val="10"/>
        <axId val="100"/>
      </lineChart>
      <catAx>
        <axId val="10"/>
        <scaling>
          <orientation val="minMax"/>
        </scaling>
        <axPos val="l"/>
        <title>
          <tx>
            <rich>
              <a:bodyPr xmlns:a="http://schemas.openxmlformats.org/drawingml/2006/main"/>
              <a:p xmlns:a="http://schemas.openxmlformats.org/drawingml/2006/main">
                <a:pPr>
                  <a:defRPr/>
                </a:pPr>
                <a:r>
                  <a:t>Day</a:t>
                </a:r>
              </a:p>
            </rich>
          </tx>
        </title>
        <majorTickMark val="none"/>
        <minorTickMark val="none"/>
        <crossAx val="100"/>
        <lblOffset val="100"/>
      </catAx>
      <valAx>
        <axId val="100"/>
        <scaling>
          <orientation val="minMax"/>
          <max val="24"/>
          <min val="0"/>
        </scaling>
        <axPos val="l"/>
        <majorGridlines/>
        <title>
          <tx>
            <rich>
              <a:bodyPr xmlns:a="http://schemas.openxmlformats.org/drawingml/2006/main"/>
              <a:p xmlns:a="http://schemas.openxmlformats.org/drawingml/2006/main">
                <a:pPr>
                  <a:defRPr/>
                </a:pPr>
                <a:r>
                  <a:t>Hours</a:t>
                </a:r>
              </a:p>
            </rich>
          </tx>
        </title>
        <majorTickMark val="none"/>
        <minorTickMark val="none"/>
        <crossAx val="10"/>
      </valAx>
    </plotArea>
    <plotVisOnly val="1"/>
    <dispBlanksAs val="gap"/>
  </chart>
</chartSpace>
</file>

<file path=xl/charts/chart65.xml><?xml version="1.0" encoding="utf-8"?>
<chartSpace xmlns="http://schemas.openxmlformats.org/drawingml/2006/chart">
  <style val="10"/>
  <chart>
    <title>
      <tx>
        <rich>
          <a:bodyPr xmlns:a="http://schemas.openxmlformats.org/drawingml/2006/main"/>
          <a:p xmlns:a="http://schemas.openxmlformats.org/drawingml/2006/main">
            <a:pPr>
              <a:defRPr/>
            </a:pPr>
            <a:r>
              <a:t>Weekly Momentum Trend (%)</a:t>
            </a:r>
          </a:p>
        </rich>
      </tx>
    </title>
    <plotArea>
      <barChart>
        <barDir val="col"/>
        <grouping val="clustered"/>
        <ser>
          <idx val="0"/>
          <order val="0"/>
          <tx>
            <strRef>
              <f>'May 2028'!E75</f>
            </strRef>
          </tx>
          <spPr>
            <a:ln xmlns:a="http://schemas.openxmlformats.org/drawingml/2006/main">
              <a:prstDash val="solid"/>
            </a:ln>
          </spPr>
          <cat>
            <numRef>
              <f>'May 2028'!$A$76:$A$80</f>
            </numRef>
          </cat>
          <val>
            <numRef>
              <f>'May 2028'!$E$76:$E$80</f>
            </numRef>
          </val>
        </ser>
        <gapWidth val="150"/>
        <axId val="10"/>
        <axId val="100"/>
      </barChart>
      <catAx>
        <axId val="10"/>
        <scaling>
          <orientation val="minMax"/>
        </scaling>
        <axPos val="l"/>
        <title>
          <tx>
            <rich>
              <a:bodyPr xmlns:a="http://schemas.openxmlformats.org/drawingml/2006/main"/>
              <a:p xmlns:a="http://schemas.openxmlformats.org/drawingml/2006/main">
                <a:pPr>
                  <a:defRPr/>
                </a:pPr>
                <a:r>
                  <a:t>Week</a:t>
                </a:r>
              </a:p>
            </rich>
          </tx>
        </title>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Success %</a:t>
                </a:r>
              </a:p>
            </rich>
          </tx>
        </title>
        <majorTickMark val="none"/>
        <minorTickMark val="none"/>
        <crossAx val="10"/>
      </valAx>
    </plotArea>
    <plotVisOnly val="1"/>
    <dispBlanksAs val="gap"/>
  </chart>
</chartSpace>
</file>

<file path=xl/charts/chart66.xml><?xml version="1.0" encoding="utf-8"?>
<chartSpace xmlns="http://schemas.openxmlformats.org/drawingml/2006/chart">
  <style val="11"/>
  <chart>
    <title>
      <tx>
        <rich>
          <a:bodyPr xmlns:a="http://schemas.openxmlformats.org/drawingml/2006/main"/>
          <a:p xmlns:a="http://schemas.openxmlformats.org/drawingml/2006/main">
            <a:pPr>
              <a:defRPr/>
            </a:pPr>
            <a:r>
              <a:t>Performance by Domain (%)</a:t>
            </a:r>
          </a:p>
        </rich>
      </tx>
    </title>
    <plotArea>
      <barChart>
        <barDir val="col"/>
        <grouping val="clustered"/>
        <ser>
          <idx val="0"/>
          <order val="0"/>
          <tx>
            <strRef>
              <f>'May 2028'!S75</f>
            </strRef>
          </tx>
          <spPr>
            <a:ln xmlns:a="http://schemas.openxmlformats.org/drawingml/2006/main">
              <a:prstDash val="solid"/>
            </a:ln>
          </spPr>
          <cat>
            <numRef>
              <f>'May 2028'!$N$76:$N$80</f>
            </numRef>
          </cat>
          <val>
            <numRef>
              <f>'May 2028'!$S$76:$S$80</f>
            </numRef>
          </val>
        </ser>
        <gapWidth val="150"/>
        <axId val="10"/>
        <axId val="100"/>
      </barChart>
      <catAx>
        <axId val="10"/>
        <scaling>
          <orientation val="minMax"/>
        </scaling>
        <axPos val="l"/>
        <title>
          <tx>
            <rich>
              <a:bodyPr xmlns:a="http://schemas.openxmlformats.org/drawingml/2006/main"/>
              <a:p xmlns:a="http://schemas.openxmlformats.org/drawingml/2006/main">
                <a:pPr>
                  <a:defRPr/>
                </a:pPr>
                <a:r>
                  <a:t>Domain</a:t>
                </a:r>
              </a:p>
            </rich>
          </tx>
        </title>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Success %</a:t>
                </a:r>
              </a:p>
            </rich>
          </tx>
        </title>
        <majorTickMark val="none"/>
        <minorTickMark val="none"/>
        <crossAx val="10"/>
      </valAx>
    </plotArea>
    <plotVisOnly val="1"/>
    <dispBlanksAs val="gap"/>
  </chart>
</chartSpace>
</file>

<file path=xl/charts/chart67.xml><?xml version="1.0" encoding="utf-8"?>
<chartSpace xmlns="http://schemas.openxmlformats.org/drawingml/2006/chart">
  <style val="13"/>
  <chart>
    <title>
      <tx>
        <rich>
          <a:bodyPr xmlns:a="http://schemas.openxmlformats.org/drawingml/2006/main"/>
          <a:p xmlns:a="http://schemas.openxmlformats.org/drawingml/2006/main">
            <a:pPr>
              <a:defRPr/>
            </a:pPr>
            <a:r>
              <a:t>Daily Sleep Trend (Hours vs Day)</a:t>
            </a:r>
          </a:p>
        </rich>
      </tx>
    </title>
    <plotArea>
      <lineChart>
        <grouping val="standard"/>
        <ser>
          <idx val="0"/>
          <order val="0"/>
          <spPr>
            <a:ln xmlns:a="http://schemas.openxmlformats.org/drawingml/2006/main" w="25000">
              <a:solidFill>
                <a:srgbClr val="3B82F6"/>
              </a:solidFill>
              <a:prstDash val="solid"/>
            </a:ln>
          </spPr>
          <marker>
            <symbol val="circle"/>
            <size val="5"/>
            <spPr>
              <a:solidFill xmlns:a="http://schemas.openxmlformats.org/drawingml/2006/main">
                <a:srgbClr val="1D4ED8"/>
              </a:solidFill>
              <a:ln xmlns:a="http://schemas.openxmlformats.org/drawingml/2006/main">
                <a:prstDash val="solid"/>
              </a:ln>
            </spPr>
          </marker>
          <cat>
            <numRef>
              <f>'Jun 2028'!$E$45:$AH$45</f>
            </numRef>
          </cat>
          <val>
            <numRef>
              <f>'Jun 2028'!$E$47:$AH$47</f>
            </numRef>
          </val>
        </ser>
        <axId val="10"/>
        <axId val="100"/>
      </lineChart>
      <catAx>
        <axId val="10"/>
        <scaling>
          <orientation val="minMax"/>
        </scaling>
        <axPos val="l"/>
        <title>
          <tx>
            <rich>
              <a:bodyPr xmlns:a="http://schemas.openxmlformats.org/drawingml/2006/main"/>
              <a:p xmlns:a="http://schemas.openxmlformats.org/drawingml/2006/main">
                <a:pPr>
                  <a:defRPr/>
                </a:pPr>
                <a:r>
                  <a:t>Day</a:t>
                </a:r>
              </a:p>
            </rich>
          </tx>
        </title>
        <majorTickMark val="none"/>
        <minorTickMark val="none"/>
        <crossAx val="100"/>
        <lblOffset val="100"/>
      </catAx>
      <valAx>
        <axId val="100"/>
        <scaling>
          <orientation val="minMax"/>
          <max val="24"/>
          <min val="0"/>
        </scaling>
        <axPos val="l"/>
        <majorGridlines/>
        <title>
          <tx>
            <rich>
              <a:bodyPr xmlns:a="http://schemas.openxmlformats.org/drawingml/2006/main"/>
              <a:p xmlns:a="http://schemas.openxmlformats.org/drawingml/2006/main">
                <a:pPr>
                  <a:defRPr/>
                </a:pPr>
                <a:r>
                  <a:t>Hours</a:t>
                </a:r>
              </a:p>
            </rich>
          </tx>
        </title>
        <majorTickMark val="none"/>
        <minorTickMark val="none"/>
        <crossAx val="10"/>
      </valAx>
    </plotArea>
    <plotVisOnly val="1"/>
    <dispBlanksAs val="gap"/>
  </chart>
</chartSpace>
</file>

<file path=xl/charts/chart68.xml><?xml version="1.0" encoding="utf-8"?>
<chartSpace xmlns="http://schemas.openxmlformats.org/drawingml/2006/chart">
  <style val="10"/>
  <chart>
    <title>
      <tx>
        <rich>
          <a:bodyPr xmlns:a="http://schemas.openxmlformats.org/drawingml/2006/main"/>
          <a:p xmlns:a="http://schemas.openxmlformats.org/drawingml/2006/main">
            <a:pPr>
              <a:defRPr/>
            </a:pPr>
            <a:r>
              <a:t>Weekly Momentum Trend (%)</a:t>
            </a:r>
          </a:p>
        </rich>
      </tx>
    </title>
    <plotArea>
      <barChart>
        <barDir val="col"/>
        <grouping val="clustered"/>
        <ser>
          <idx val="0"/>
          <order val="0"/>
          <tx>
            <strRef>
              <f>'Jun 2028'!E75</f>
            </strRef>
          </tx>
          <spPr>
            <a:ln xmlns:a="http://schemas.openxmlformats.org/drawingml/2006/main">
              <a:prstDash val="solid"/>
            </a:ln>
          </spPr>
          <cat>
            <numRef>
              <f>'Jun 2028'!$A$76:$A$80</f>
            </numRef>
          </cat>
          <val>
            <numRef>
              <f>'Jun 2028'!$E$76:$E$80</f>
            </numRef>
          </val>
        </ser>
        <gapWidth val="150"/>
        <axId val="10"/>
        <axId val="100"/>
      </barChart>
      <catAx>
        <axId val="10"/>
        <scaling>
          <orientation val="minMax"/>
        </scaling>
        <axPos val="l"/>
        <title>
          <tx>
            <rich>
              <a:bodyPr xmlns:a="http://schemas.openxmlformats.org/drawingml/2006/main"/>
              <a:p xmlns:a="http://schemas.openxmlformats.org/drawingml/2006/main">
                <a:pPr>
                  <a:defRPr/>
                </a:pPr>
                <a:r>
                  <a:t>Week</a:t>
                </a:r>
              </a:p>
            </rich>
          </tx>
        </title>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Success %</a:t>
                </a:r>
              </a:p>
            </rich>
          </tx>
        </title>
        <majorTickMark val="none"/>
        <minorTickMark val="none"/>
        <crossAx val="10"/>
      </valAx>
    </plotArea>
    <plotVisOnly val="1"/>
    <dispBlanksAs val="gap"/>
  </chart>
</chartSpace>
</file>

<file path=xl/charts/chart69.xml><?xml version="1.0" encoding="utf-8"?>
<chartSpace xmlns="http://schemas.openxmlformats.org/drawingml/2006/chart">
  <style val="11"/>
  <chart>
    <title>
      <tx>
        <rich>
          <a:bodyPr xmlns:a="http://schemas.openxmlformats.org/drawingml/2006/main"/>
          <a:p xmlns:a="http://schemas.openxmlformats.org/drawingml/2006/main">
            <a:pPr>
              <a:defRPr/>
            </a:pPr>
            <a:r>
              <a:t>Performance by Domain (%)</a:t>
            </a:r>
          </a:p>
        </rich>
      </tx>
    </title>
    <plotArea>
      <barChart>
        <barDir val="col"/>
        <grouping val="clustered"/>
        <ser>
          <idx val="0"/>
          <order val="0"/>
          <tx>
            <strRef>
              <f>'Jun 2028'!S75</f>
            </strRef>
          </tx>
          <spPr>
            <a:ln xmlns:a="http://schemas.openxmlformats.org/drawingml/2006/main">
              <a:prstDash val="solid"/>
            </a:ln>
          </spPr>
          <cat>
            <numRef>
              <f>'Jun 2028'!$N$76:$N$80</f>
            </numRef>
          </cat>
          <val>
            <numRef>
              <f>'Jun 2028'!$S$76:$S$80</f>
            </numRef>
          </val>
        </ser>
        <gapWidth val="150"/>
        <axId val="10"/>
        <axId val="100"/>
      </barChart>
      <catAx>
        <axId val="10"/>
        <scaling>
          <orientation val="minMax"/>
        </scaling>
        <axPos val="l"/>
        <title>
          <tx>
            <rich>
              <a:bodyPr xmlns:a="http://schemas.openxmlformats.org/drawingml/2006/main"/>
              <a:p xmlns:a="http://schemas.openxmlformats.org/drawingml/2006/main">
                <a:pPr>
                  <a:defRPr/>
                </a:pPr>
                <a:r>
                  <a:t>Domain</a:t>
                </a:r>
              </a:p>
            </rich>
          </tx>
        </title>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Success %</a:t>
                </a:r>
              </a:p>
            </rich>
          </tx>
        </title>
        <majorTickMark val="none"/>
        <minorTickMark val="none"/>
        <crossAx val="10"/>
      </valAx>
    </plotArea>
    <plotVisOnly val="1"/>
    <dispBlanksAs val="gap"/>
  </chart>
</chartSpace>
</file>

<file path=xl/charts/chart70.xml><?xml version="1.0" encoding="utf-8"?>
<chartSpace xmlns="http://schemas.openxmlformats.org/drawingml/2006/chart">
  <style val="13"/>
  <chart>
    <title>
      <tx>
        <rich>
          <a:bodyPr xmlns:a="http://schemas.openxmlformats.org/drawingml/2006/main"/>
          <a:p xmlns:a="http://schemas.openxmlformats.org/drawingml/2006/main">
            <a:pPr>
              <a:defRPr/>
            </a:pPr>
            <a:r>
              <a:t>Daily Sleep Trend (Hours vs Day)</a:t>
            </a:r>
          </a:p>
        </rich>
      </tx>
    </title>
    <plotArea>
      <lineChart>
        <grouping val="standard"/>
        <ser>
          <idx val="0"/>
          <order val="0"/>
          <spPr>
            <a:ln xmlns:a="http://schemas.openxmlformats.org/drawingml/2006/main" w="25000">
              <a:solidFill>
                <a:srgbClr val="3B82F6"/>
              </a:solidFill>
              <a:prstDash val="solid"/>
            </a:ln>
          </spPr>
          <marker>
            <symbol val="circle"/>
            <size val="5"/>
            <spPr>
              <a:solidFill xmlns:a="http://schemas.openxmlformats.org/drawingml/2006/main">
                <a:srgbClr val="1D4ED8"/>
              </a:solidFill>
              <a:ln xmlns:a="http://schemas.openxmlformats.org/drawingml/2006/main">
                <a:prstDash val="solid"/>
              </a:ln>
            </spPr>
          </marker>
          <cat>
            <numRef>
              <f>'Jul 2028'!$E$45:$AI$45</f>
            </numRef>
          </cat>
          <val>
            <numRef>
              <f>'Jul 2028'!$E$47:$AI$47</f>
            </numRef>
          </val>
        </ser>
        <axId val="10"/>
        <axId val="100"/>
      </lineChart>
      <catAx>
        <axId val="10"/>
        <scaling>
          <orientation val="minMax"/>
        </scaling>
        <axPos val="l"/>
        <title>
          <tx>
            <rich>
              <a:bodyPr xmlns:a="http://schemas.openxmlformats.org/drawingml/2006/main"/>
              <a:p xmlns:a="http://schemas.openxmlformats.org/drawingml/2006/main">
                <a:pPr>
                  <a:defRPr/>
                </a:pPr>
                <a:r>
                  <a:t>Day</a:t>
                </a:r>
              </a:p>
            </rich>
          </tx>
        </title>
        <majorTickMark val="none"/>
        <minorTickMark val="none"/>
        <crossAx val="100"/>
        <lblOffset val="100"/>
      </catAx>
      <valAx>
        <axId val="100"/>
        <scaling>
          <orientation val="minMax"/>
          <max val="24"/>
          <min val="0"/>
        </scaling>
        <axPos val="l"/>
        <majorGridlines/>
        <title>
          <tx>
            <rich>
              <a:bodyPr xmlns:a="http://schemas.openxmlformats.org/drawingml/2006/main"/>
              <a:p xmlns:a="http://schemas.openxmlformats.org/drawingml/2006/main">
                <a:pPr>
                  <a:defRPr/>
                </a:pPr>
                <a:r>
                  <a:t>Hours</a:t>
                </a:r>
              </a:p>
            </rich>
          </tx>
        </title>
        <majorTickMark val="none"/>
        <minorTickMark val="none"/>
        <crossAx val="10"/>
      </valAx>
    </plotArea>
    <plotVisOnly val="1"/>
    <dispBlanksAs val="gap"/>
  </chart>
</chartSpace>
</file>

<file path=xl/charts/chart71.xml><?xml version="1.0" encoding="utf-8"?>
<chartSpace xmlns="http://schemas.openxmlformats.org/drawingml/2006/chart">
  <style val="10"/>
  <chart>
    <title>
      <tx>
        <rich>
          <a:bodyPr xmlns:a="http://schemas.openxmlformats.org/drawingml/2006/main"/>
          <a:p xmlns:a="http://schemas.openxmlformats.org/drawingml/2006/main">
            <a:pPr>
              <a:defRPr/>
            </a:pPr>
            <a:r>
              <a:t>Weekly Momentum Trend (%)</a:t>
            </a:r>
          </a:p>
        </rich>
      </tx>
    </title>
    <plotArea>
      <barChart>
        <barDir val="col"/>
        <grouping val="clustered"/>
        <ser>
          <idx val="0"/>
          <order val="0"/>
          <tx>
            <strRef>
              <f>'Jul 2028'!E75</f>
            </strRef>
          </tx>
          <spPr>
            <a:ln xmlns:a="http://schemas.openxmlformats.org/drawingml/2006/main">
              <a:prstDash val="solid"/>
            </a:ln>
          </spPr>
          <cat>
            <numRef>
              <f>'Jul 2028'!$A$76:$A$80</f>
            </numRef>
          </cat>
          <val>
            <numRef>
              <f>'Jul 2028'!$E$76:$E$80</f>
            </numRef>
          </val>
        </ser>
        <gapWidth val="150"/>
        <axId val="10"/>
        <axId val="100"/>
      </barChart>
      <catAx>
        <axId val="10"/>
        <scaling>
          <orientation val="minMax"/>
        </scaling>
        <axPos val="l"/>
        <title>
          <tx>
            <rich>
              <a:bodyPr xmlns:a="http://schemas.openxmlformats.org/drawingml/2006/main"/>
              <a:p xmlns:a="http://schemas.openxmlformats.org/drawingml/2006/main">
                <a:pPr>
                  <a:defRPr/>
                </a:pPr>
                <a:r>
                  <a:t>Week</a:t>
                </a:r>
              </a:p>
            </rich>
          </tx>
        </title>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Success %</a:t>
                </a:r>
              </a:p>
            </rich>
          </tx>
        </title>
        <majorTickMark val="none"/>
        <minorTickMark val="none"/>
        <crossAx val="10"/>
      </valAx>
    </plotArea>
    <plotVisOnly val="1"/>
    <dispBlanksAs val="gap"/>
  </chart>
</chartSpace>
</file>

<file path=xl/charts/chart72.xml><?xml version="1.0" encoding="utf-8"?>
<chartSpace xmlns="http://schemas.openxmlformats.org/drawingml/2006/chart">
  <style val="11"/>
  <chart>
    <title>
      <tx>
        <rich>
          <a:bodyPr xmlns:a="http://schemas.openxmlformats.org/drawingml/2006/main"/>
          <a:p xmlns:a="http://schemas.openxmlformats.org/drawingml/2006/main">
            <a:pPr>
              <a:defRPr/>
            </a:pPr>
            <a:r>
              <a:t>Performance by Domain (%)</a:t>
            </a:r>
          </a:p>
        </rich>
      </tx>
    </title>
    <plotArea>
      <barChart>
        <barDir val="col"/>
        <grouping val="clustered"/>
        <ser>
          <idx val="0"/>
          <order val="0"/>
          <tx>
            <strRef>
              <f>'Jul 2028'!S75</f>
            </strRef>
          </tx>
          <spPr>
            <a:ln xmlns:a="http://schemas.openxmlformats.org/drawingml/2006/main">
              <a:prstDash val="solid"/>
            </a:ln>
          </spPr>
          <cat>
            <numRef>
              <f>'Jul 2028'!$N$76:$N$80</f>
            </numRef>
          </cat>
          <val>
            <numRef>
              <f>'Jul 2028'!$S$76:$S$80</f>
            </numRef>
          </val>
        </ser>
        <gapWidth val="150"/>
        <axId val="10"/>
        <axId val="100"/>
      </barChart>
      <catAx>
        <axId val="10"/>
        <scaling>
          <orientation val="minMax"/>
        </scaling>
        <axPos val="l"/>
        <title>
          <tx>
            <rich>
              <a:bodyPr xmlns:a="http://schemas.openxmlformats.org/drawingml/2006/main"/>
              <a:p xmlns:a="http://schemas.openxmlformats.org/drawingml/2006/main">
                <a:pPr>
                  <a:defRPr/>
                </a:pPr>
                <a:r>
                  <a:t>Domain</a:t>
                </a:r>
              </a:p>
            </rich>
          </tx>
        </title>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Success %</a:t>
                </a:r>
              </a:p>
            </rich>
          </tx>
        </title>
        <majorTickMark val="none"/>
        <minorTickMark val="none"/>
        <crossAx val="10"/>
      </valAx>
    </plotArea>
    <plotVisOnly val="1"/>
    <dispBlanksAs val="gap"/>
  </chart>
</chartSpace>
</file>

<file path=xl/charts/chart73.xml><?xml version="1.0" encoding="utf-8"?>
<chartSpace xmlns="http://schemas.openxmlformats.org/drawingml/2006/chart">
  <style val="13"/>
  <chart>
    <title>
      <tx>
        <rich>
          <a:bodyPr xmlns:a="http://schemas.openxmlformats.org/drawingml/2006/main"/>
          <a:p xmlns:a="http://schemas.openxmlformats.org/drawingml/2006/main">
            <a:pPr>
              <a:defRPr/>
            </a:pPr>
            <a:r>
              <a:t>Daily Sleep Trend (Hours vs Day)</a:t>
            </a:r>
          </a:p>
        </rich>
      </tx>
    </title>
    <plotArea>
      <lineChart>
        <grouping val="standard"/>
        <ser>
          <idx val="0"/>
          <order val="0"/>
          <spPr>
            <a:ln xmlns:a="http://schemas.openxmlformats.org/drawingml/2006/main" w="25000">
              <a:solidFill>
                <a:srgbClr val="3B82F6"/>
              </a:solidFill>
              <a:prstDash val="solid"/>
            </a:ln>
          </spPr>
          <marker>
            <symbol val="circle"/>
            <size val="5"/>
            <spPr>
              <a:solidFill xmlns:a="http://schemas.openxmlformats.org/drawingml/2006/main">
                <a:srgbClr val="1D4ED8"/>
              </a:solidFill>
              <a:ln xmlns:a="http://schemas.openxmlformats.org/drawingml/2006/main">
                <a:prstDash val="solid"/>
              </a:ln>
            </spPr>
          </marker>
          <cat>
            <numRef>
              <f>'Aug 2028'!$E$45:$AI$45</f>
            </numRef>
          </cat>
          <val>
            <numRef>
              <f>'Aug 2028'!$E$47:$AI$47</f>
            </numRef>
          </val>
        </ser>
        <axId val="10"/>
        <axId val="100"/>
      </lineChart>
      <catAx>
        <axId val="10"/>
        <scaling>
          <orientation val="minMax"/>
        </scaling>
        <axPos val="l"/>
        <title>
          <tx>
            <rich>
              <a:bodyPr xmlns:a="http://schemas.openxmlformats.org/drawingml/2006/main"/>
              <a:p xmlns:a="http://schemas.openxmlformats.org/drawingml/2006/main">
                <a:pPr>
                  <a:defRPr/>
                </a:pPr>
                <a:r>
                  <a:t>Day</a:t>
                </a:r>
              </a:p>
            </rich>
          </tx>
        </title>
        <majorTickMark val="none"/>
        <minorTickMark val="none"/>
        <crossAx val="100"/>
        <lblOffset val="100"/>
      </catAx>
      <valAx>
        <axId val="100"/>
        <scaling>
          <orientation val="minMax"/>
          <max val="24"/>
          <min val="0"/>
        </scaling>
        <axPos val="l"/>
        <majorGridlines/>
        <title>
          <tx>
            <rich>
              <a:bodyPr xmlns:a="http://schemas.openxmlformats.org/drawingml/2006/main"/>
              <a:p xmlns:a="http://schemas.openxmlformats.org/drawingml/2006/main">
                <a:pPr>
                  <a:defRPr/>
                </a:pPr>
                <a:r>
                  <a:t>Hours</a:t>
                </a:r>
              </a:p>
            </rich>
          </tx>
        </title>
        <majorTickMark val="none"/>
        <minorTickMark val="none"/>
        <crossAx val="10"/>
      </valAx>
    </plotArea>
    <plotVisOnly val="1"/>
    <dispBlanksAs val="gap"/>
  </chart>
</chartSpace>
</file>

<file path=xl/charts/chart74.xml><?xml version="1.0" encoding="utf-8"?>
<chartSpace xmlns="http://schemas.openxmlformats.org/drawingml/2006/chart">
  <style val="10"/>
  <chart>
    <title>
      <tx>
        <rich>
          <a:bodyPr xmlns:a="http://schemas.openxmlformats.org/drawingml/2006/main"/>
          <a:p xmlns:a="http://schemas.openxmlformats.org/drawingml/2006/main">
            <a:pPr>
              <a:defRPr/>
            </a:pPr>
            <a:r>
              <a:t>Weekly Momentum Trend (%)</a:t>
            </a:r>
          </a:p>
        </rich>
      </tx>
    </title>
    <plotArea>
      <barChart>
        <barDir val="col"/>
        <grouping val="clustered"/>
        <ser>
          <idx val="0"/>
          <order val="0"/>
          <tx>
            <strRef>
              <f>'Aug 2028'!E75</f>
            </strRef>
          </tx>
          <spPr>
            <a:ln xmlns:a="http://schemas.openxmlformats.org/drawingml/2006/main">
              <a:prstDash val="solid"/>
            </a:ln>
          </spPr>
          <cat>
            <numRef>
              <f>'Aug 2028'!$A$76:$A$80</f>
            </numRef>
          </cat>
          <val>
            <numRef>
              <f>'Aug 2028'!$E$76:$E$80</f>
            </numRef>
          </val>
        </ser>
        <gapWidth val="150"/>
        <axId val="10"/>
        <axId val="100"/>
      </barChart>
      <catAx>
        <axId val="10"/>
        <scaling>
          <orientation val="minMax"/>
        </scaling>
        <axPos val="l"/>
        <title>
          <tx>
            <rich>
              <a:bodyPr xmlns:a="http://schemas.openxmlformats.org/drawingml/2006/main"/>
              <a:p xmlns:a="http://schemas.openxmlformats.org/drawingml/2006/main">
                <a:pPr>
                  <a:defRPr/>
                </a:pPr>
                <a:r>
                  <a:t>Week</a:t>
                </a:r>
              </a:p>
            </rich>
          </tx>
        </title>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Success %</a:t>
                </a:r>
              </a:p>
            </rich>
          </tx>
        </title>
        <majorTickMark val="none"/>
        <minorTickMark val="none"/>
        <crossAx val="10"/>
      </valAx>
    </plotArea>
    <plotVisOnly val="1"/>
    <dispBlanksAs val="gap"/>
  </chart>
</chartSpace>
</file>

<file path=xl/charts/chart75.xml><?xml version="1.0" encoding="utf-8"?>
<chartSpace xmlns="http://schemas.openxmlformats.org/drawingml/2006/chart">
  <style val="11"/>
  <chart>
    <title>
      <tx>
        <rich>
          <a:bodyPr xmlns:a="http://schemas.openxmlformats.org/drawingml/2006/main"/>
          <a:p xmlns:a="http://schemas.openxmlformats.org/drawingml/2006/main">
            <a:pPr>
              <a:defRPr/>
            </a:pPr>
            <a:r>
              <a:t>Performance by Domain (%)</a:t>
            </a:r>
          </a:p>
        </rich>
      </tx>
    </title>
    <plotArea>
      <barChart>
        <barDir val="col"/>
        <grouping val="clustered"/>
        <ser>
          <idx val="0"/>
          <order val="0"/>
          <tx>
            <strRef>
              <f>'Aug 2028'!S75</f>
            </strRef>
          </tx>
          <spPr>
            <a:ln xmlns:a="http://schemas.openxmlformats.org/drawingml/2006/main">
              <a:prstDash val="solid"/>
            </a:ln>
          </spPr>
          <cat>
            <numRef>
              <f>'Aug 2028'!$N$76:$N$80</f>
            </numRef>
          </cat>
          <val>
            <numRef>
              <f>'Aug 2028'!$S$76:$S$80</f>
            </numRef>
          </val>
        </ser>
        <gapWidth val="150"/>
        <axId val="10"/>
        <axId val="100"/>
      </barChart>
      <catAx>
        <axId val="10"/>
        <scaling>
          <orientation val="minMax"/>
        </scaling>
        <axPos val="l"/>
        <title>
          <tx>
            <rich>
              <a:bodyPr xmlns:a="http://schemas.openxmlformats.org/drawingml/2006/main"/>
              <a:p xmlns:a="http://schemas.openxmlformats.org/drawingml/2006/main">
                <a:pPr>
                  <a:defRPr/>
                </a:pPr>
                <a:r>
                  <a:t>Domain</a:t>
                </a:r>
              </a:p>
            </rich>
          </tx>
        </title>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Success %</a:t>
                </a:r>
              </a:p>
            </rich>
          </tx>
        </title>
        <majorTickMark val="none"/>
        <minorTickMark val="none"/>
        <crossAx val="10"/>
      </valAx>
    </plotArea>
    <plotVisOnly val="1"/>
    <dispBlanksAs val="gap"/>
  </chart>
</chartSpace>
</file>

<file path=xl/charts/chart76.xml><?xml version="1.0" encoding="utf-8"?>
<chartSpace xmlns="http://schemas.openxmlformats.org/drawingml/2006/chart">
  <style val="13"/>
  <chart>
    <title>
      <tx>
        <rich>
          <a:bodyPr xmlns:a="http://schemas.openxmlformats.org/drawingml/2006/main"/>
          <a:p xmlns:a="http://schemas.openxmlformats.org/drawingml/2006/main">
            <a:pPr>
              <a:defRPr/>
            </a:pPr>
            <a:r>
              <a:t>Daily Sleep Trend (Hours vs Day)</a:t>
            </a:r>
          </a:p>
        </rich>
      </tx>
    </title>
    <plotArea>
      <lineChart>
        <grouping val="standard"/>
        <ser>
          <idx val="0"/>
          <order val="0"/>
          <spPr>
            <a:ln xmlns:a="http://schemas.openxmlformats.org/drawingml/2006/main" w="25000">
              <a:solidFill>
                <a:srgbClr val="3B82F6"/>
              </a:solidFill>
              <a:prstDash val="solid"/>
            </a:ln>
          </spPr>
          <marker>
            <symbol val="circle"/>
            <size val="5"/>
            <spPr>
              <a:solidFill xmlns:a="http://schemas.openxmlformats.org/drawingml/2006/main">
                <a:srgbClr val="1D4ED8"/>
              </a:solidFill>
              <a:ln xmlns:a="http://schemas.openxmlformats.org/drawingml/2006/main">
                <a:prstDash val="solid"/>
              </a:ln>
            </spPr>
          </marker>
          <cat>
            <numRef>
              <f>'Sep 2028'!$E$45:$AH$45</f>
            </numRef>
          </cat>
          <val>
            <numRef>
              <f>'Sep 2028'!$E$47:$AH$47</f>
            </numRef>
          </val>
        </ser>
        <axId val="10"/>
        <axId val="100"/>
      </lineChart>
      <catAx>
        <axId val="10"/>
        <scaling>
          <orientation val="minMax"/>
        </scaling>
        <axPos val="l"/>
        <title>
          <tx>
            <rich>
              <a:bodyPr xmlns:a="http://schemas.openxmlformats.org/drawingml/2006/main"/>
              <a:p xmlns:a="http://schemas.openxmlformats.org/drawingml/2006/main">
                <a:pPr>
                  <a:defRPr/>
                </a:pPr>
                <a:r>
                  <a:t>Day</a:t>
                </a:r>
              </a:p>
            </rich>
          </tx>
        </title>
        <majorTickMark val="none"/>
        <minorTickMark val="none"/>
        <crossAx val="100"/>
        <lblOffset val="100"/>
      </catAx>
      <valAx>
        <axId val="100"/>
        <scaling>
          <orientation val="minMax"/>
          <max val="24"/>
          <min val="0"/>
        </scaling>
        <axPos val="l"/>
        <majorGridlines/>
        <title>
          <tx>
            <rich>
              <a:bodyPr xmlns:a="http://schemas.openxmlformats.org/drawingml/2006/main"/>
              <a:p xmlns:a="http://schemas.openxmlformats.org/drawingml/2006/main">
                <a:pPr>
                  <a:defRPr/>
                </a:pPr>
                <a:r>
                  <a:t>Hours</a:t>
                </a:r>
              </a:p>
            </rich>
          </tx>
        </title>
        <majorTickMark val="none"/>
        <minorTickMark val="none"/>
        <crossAx val="10"/>
      </valAx>
    </plotArea>
    <plotVisOnly val="1"/>
    <dispBlanksAs val="gap"/>
  </chart>
</chartSpace>
</file>

<file path=xl/charts/chart77.xml><?xml version="1.0" encoding="utf-8"?>
<chartSpace xmlns="http://schemas.openxmlformats.org/drawingml/2006/chart">
  <style val="10"/>
  <chart>
    <title>
      <tx>
        <rich>
          <a:bodyPr xmlns:a="http://schemas.openxmlformats.org/drawingml/2006/main"/>
          <a:p xmlns:a="http://schemas.openxmlformats.org/drawingml/2006/main">
            <a:pPr>
              <a:defRPr/>
            </a:pPr>
            <a:r>
              <a:t>Weekly Momentum Trend (%)</a:t>
            </a:r>
          </a:p>
        </rich>
      </tx>
    </title>
    <plotArea>
      <barChart>
        <barDir val="col"/>
        <grouping val="clustered"/>
        <ser>
          <idx val="0"/>
          <order val="0"/>
          <tx>
            <strRef>
              <f>'Sep 2028'!E75</f>
            </strRef>
          </tx>
          <spPr>
            <a:ln xmlns:a="http://schemas.openxmlformats.org/drawingml/2006/main">
              <a:prstDash val="solid"/>
            </a:ln>
          </spPr>
          <cat>
            <numRef>
              <f>'Sep 2028'!$A$76:$A$80</f>
            </numRef>
          </cat>
          <val>
            <numRef>
              <f>'Sep 2028'!$E$76:$E$80</f>
            </numRef>
          </val>
        </ser>
        <gapWidth val="150"/>
        <axId val="10"/>
        <axId val="100"/>
      </barChart>
      <catAx>
        <axId val="10"/>
        <scaling>
          <orientation val="minMax"/>
        </scaling>
        <axPos val="l"/>
        <title>
          <tx>
            <rich>
              <a:bodyPr xmlns:a="http://schemas.openxmlformats.org/drawingml/2006/main"/>
              <a:p xmlns:a="http://schemas.openxmlformats.org/drawingml/2006/main">
                <a:pPr>
                  <a:defRPr/>
                </a:pPr>
                <a:r>
                  <a:t>Week</a:t>
                </a:r>
              </a:p>
            </rich>
          </tx>
        </title>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Success %</a:t>
                </a:r>
              </a:p>
            </rich>
          </tx>
        </title>
        <majorTickMark val="none"/>
        <minorTickMark val="none"/>
        <crossAx val="10"/>
      </valAx>
    </plotArea>
    <plotVisOnly val="1"/>
    <dispBlanksAs val="gap"/>
  </chart>
</chartSpace>
</file>

<file path=xl/charts/chart78.xml><?xml version="1.0" encoding="utf-8"?>
<chartSpace xmlns="http://schemas.openxmlformats.org/drawingml/2006/chart">
  <style val="11"/>
  <chart>
    <title>
      <tx>
        <rich>
          <a:bodyPr xmlns:a="http://schemas.openxmlformats.org/drawingml/2006/main"/>
          <a:p xmlns:a="http://schemas.openxmlformats.org/drawingml/2006/main">
            <a:pPr>
              <a:defRPr/>
            </a:pPr>
            <a:r>
              <a:t>Performance by Domain (%)</a:t>
            </a:r>
          </a:p>
        </rich>
      </tx>
    </title>
    <plotArea>
      <barChart>
        <barDir val="col"/>
        <grouping val="clustered"/>
        <ser>
          <idx val="0"/>
          <order val="0"/>
          <tx>
            <strRef>
              <f>'Sep 2028'!S75</f>
            </strRef>
          </tx>
          <spPr>
            <a:ln xmlns:a="http://schemas.openxmlformats.org/drawingml/2006/main">
              <a:prstDash val="solid"/>
            </a:ln>
          </spPr>
          <cat>
            <numRef>
              <f>'Sep 2028'!$N$76:$N$80</f>
            </numRef>
          </cat>
          <val>
            <numRef>
              <f>'Sep 2028'!$S$76:$S$80</f>
            </numRef>
          </val>
        </ser>
        <gapWidth val="150"/>
        <axId val="10"/>
        <axId val="100"/>
      </barChart>
      <catAx>
        <axId val="10"/>
        <scaling>
          <orientation val="minMax"/>
        </scaling>
        <axPos val="l"/>
        <title>
          <tx>
            <rich>
              <a:bodyPr xmlns:a="http://schemas.openxmlformats.org/drawingml/2006/main"/>
              <a:p xmlns:a="http://schemas.openxmlformats.org/drawingml/2006/main">
                <a:pPr>
                  <a:defRPr/>
                </a:pPr>
                <a:r>
                  <a:t>Domain</a:t>
                </a:r>
              </a:p>
            </rich>
          </tx>
        </title>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Success %</a:t>
                </a:r>
              </a:p>
            </rich>
          </tx>
        </title>
        <majorTickMark val="none"/>
        <minorTickMark val="none"/>
        <crossAx val="10"/>
      </valAx>
    </plotArea>
    <plotVisOnly val="1"/>
    <dispBlanksAs val="gap"/>
  </chart>
</chartSpace>
</file>

<file path=xl/charts/chart79.xml><?xml version="1.0" encoding="utf-8"?>
<chartSpace xmlns="http://schemas.openxmlformats.org/drawingml/2006/chart">
  <style val="13"/>
  <chart>
    <title>
      <tx>
        <rich>
          <a:bodyPr xmlns:a="http://schemas.openxmlformats.org/drawingml/2006/main"/>
          <a:p xmlns:a="http://schemas.openxmlformats.org/drawingml/2006/main">
            <a:pPr>
              <a:defRPr/>
            </a:pPr>
            <a:r>
              <a:t>Daily Sleep Trend (Hours vs Day)</a:t>
            </a:r>
          </a:p>
        </rich>
      </tx>
    </title>
    <plotArea>
      <lineChart>
        <grouping val="standard"/>
        <ser>
          <idx val="0"/>
          <order val="0"/>
          <spPr>
            <a:ln xmlns:a="http://schemas.openxmlformats.org/drawingml/2006/main" w="25000">
              <a:solidFill>
                <a:srgbClr val="3B82F6"/>
              </a:solidFill>
              <a:prstDash val="solid"/>
            </a:ln>
          </spPr>
          <marker>
            <symbol val="circle"/>
            <size val="5"/>
            <spPr>
              <a:solidFill xmlns:a="http://schemas.openxmlformats.org/drawingml/2006/main">
                <a:srgbClr val="1D4ED8"/>
              </a:solidFill>
              <a:ln xmlns:a="http://schemas.openxmlformats.org/drawingml/2006/main">
                <a:prstDash val="solid"/>
              </a:ln>
            </spPr>
          </marker>
          <cat>
            <numRef>
              <f>'Oct 2028'!$E$45:$AI$45</f>
            </numRef>
          </cat>
          <val>
            <numRef>
              <f>'Oct 2028'!$E$47:$AI$47</f>
            </numRef>
          </val>
        </ser>
        <axId val="10"/>
        <axId val="100"/>
      </lineChart>
      <catAx>
        <axId val="10"/>
        <scaling>
          <orientation val="minMax"/>
        </scaling>
        <axPos val="l"/>
        <title>
          <tx>
            <rich>
              <a:bodyPr xmlns:a="http://schemas.openxmlformats.org/drawingml/2006/main"/>
              <a:p xmlns:a="http://schemas.openxmlformats.org/drawingml/2006/main">
                <a:pPr>
                  <a:defRPr/>
                </a:pPr>
                <a:r>
                  <a:t>Day</a:t>
                </a:r>
              </a:p>
            </rich>
          </tx>
        </title>
        <majorTickMark val="none"/>
        <minorTickMark val="none"/>
        <crossAx val="100"/>
        <lblOffset val="100"/>
      </catAx>
      <valAx>
        <axId val="100"/>
        <scaling>
          <orientation val="minMax"/>
          <max val="24"/>
          <min val="0"/>
        </scaling>
        <axPos val="l"/>
        <majorGridlines/>
        <title>
          <tx>
            <rich>
              <a:bodyPr xmlns:a="http://schemas.openxmlformats.org/drawingml/2006/main"/>
              <a:p xmlns:a="http://schemas.openxmlformats.org/drawingml/2006/main">
                <a:pPr>
                  <a:defRPr/>
                </a:pPr>
                <a:r>
                  <a:t>Hours</a:t>
                </a:r>
              </a:p>
            </rich>
          </tx>
        </title>
        <majorTickMark val="none"/>
        <minorTickMark val="none"/>
        <crossAx val="10"/>
      </valAx>
    </plotArea>
    <plotVisOnly val="1"/>
    <dispBlanksAs val="gap"/>
  </chart>
</chartSpace>
</file>

<file path=xl/charts/chart80.xml><?xml version="1.0" encoding="utf-8"?>
<chartSpace xmlns="http://schemas.openxmlformats.org/drawingml/2006/chart">
  <style val="10"/>
  <chart>
    <title>
      <tx>
        <rich>
          <a:bodyPr xmlns:a="http://schemas.openxmlformats.org/drawingml/2006/main"/>
          <a:p xmlns:a="http://schemas.openxmlformats.org/drawingml/2006/main">
            <a:pPr>
              <a:defRPr/>
            </a:pPr>
            <a:r>
              <a:t>Weekly Momentum Trend (%)</a:t>
            </a:r>
          </a:p>
        </rich>
      </tx>
    </title>
    <plotArea>
      <barChart>
        <barDir val="col"/>
        <grouping val="clustered"/>
        <ser>
          <idx val="0"/>
          <order val="0"/>
          <tx>
            <strRef>
              <f>'Oct 2028'!E75</f>
            </strRef>
          </tx>
          <spPr>
            <a:ln xmlns:a="http://schemas.openxmlformats.org/drawingml/2006/main">
              <a:prstDash val="solid"/>
            </a:ln>
          </spPr>
          <cat>
            <numRef>
              <f>'Oct 2028'!$A$76:$A$80</f>
            </numRef>
          </cat>
          <val>
            <numRef>
              <f>'Oct 2028'!$E$76:$E$80</f>
            </numRef>
          </val>
        </ser>
        <gapWidth val="150"/>
        <axId val="10"/>
        <axId val="100"/>
      </barChart>
      <catAx>
        <axId val="10"/>
        <scaling>
          <orientation val="minMax"/>
        </scaling>
        <axPos val="l"/>
        <title>
          <tx>
            <rich>
              <a:bodyPr xmlns:a="http://schemas.openxmlformats.org/drawingml/2006/main"/>
              <a:p xmlns:a="http://schemas.openxmlformats.org/drawingml/2006/main">
                <a:pPr>
                  <a:defRPr/>
                </a:pPr>
                <a:r>
                  <a:t>Week</a:t>
                </a:r>
              </a:p>
            </rich>
          </tx>
        </title>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Success %</a:t>
                </a:r>
              </a:p>
            </rich>
          </tx>
        </title>
        <majorTickMark val="none"/>
        <minorTickMark val="none"/>
        <crossAx val="10"/>
      </valAx>
    </plotArea>
    <plotVisOnly val="1"/>
    <dispBlanksAs val="gap"/>
  </chart>
</chartSpace>
</file>

<file path=xl/charts/chart81.xml><?xml version="1.0" encoding="utf-8"?>
<chartSpace xmlns="http://schemas.openxmlformats.org/drawingml/2006/chart">
  <style val="11"/>
  <chart>
    <title>
      <tx>
        <rich>
          <a:bodyPr xmlns:a="http://schemas.openxmlformats.org/drawingml/2006/main"/>
          <a:p xmlns:a="http://schemas.openxmlformats.org/drawingml/2006/main">
            <a:pPr>
              <a:defRPr/>
            </a:pPr>
            <a:r>
              <a:t>Performance by Domain (%)</a:t>
            </a:r>
          </a:p>
        </rich>
      </tx>
    </title>
    <plotArea>
      <barChart>
        <barDir val="col"/>
        <grouping val="clustered"/>
        <ser>
          <idx val="0"/>
          <order val="0"/>
          <tx>
            <strRef>
              <f>'Oct 2028'!S75</f>
            </strRef>
          </tx>
          <spPr>
            <a:ln xmlns:a="http://schemas.openxmlformats.org/drawingml/2006/main">
              <a:prstDash val="solid"/>
            </a:ln>
          </spPr>
          <cat>
            <numRef>
              <f>'Oct 2028'!$N$76:$N$80</f>
            </numRef>
          </cat>
          <val>
            <numRef>
              <f>'Oct 2028'!$S$76:$S$80</f>
            </numRef>
          </val>
        </ser>
        <gapWidth val="150"/>
        <axId val="10"/>
        <axId val="100"/>
      </barChart>
      <catAx>
        <axId val="10"/>
        <scaling>
          <orientation val="minMax"/>
        </scaling>
        <axPos val="l"/>
        <title>
          <tx>
            <rich>
              <a:bodyPr xmlns:a="http://schemas.openxmlformats.org/drawingml/2006/main"/>
              <a:p xmlns:a="http://schemas.openxmlformats.org/drawingml/2006/main">
                <a:pPr>
                  <a:defRPr/>
                </a:pPr>
                <a:r>
                  <a:t>Domain</a:t>
                </a:r>
              </a:p>
            </rich>
          </tx>
        </title>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Success %</a:t>
                </a:r>
              </a:p>
            </rich>
          </tx>
        </title>
        <majorTickMark val="none"/>
        <minorTickMark val="none"/>
        <crossAx val="10"/>
      </valAx>
    </plotArea>
    <plotVisOnly val="1"/>
    <dispBlanksAs val="gap"/>
  </chart>
</chartSpace>
</file>

<file path=xl/charts/chart82.xml><?xml version="1.0" encoding="utf-8"?>
<chartSpace xmlns="http://schemas.openxmlformats.org/drawingml/2006/chart">
  <style val="13"/>
  <chart>
    <title>
      <tx>
        <rich>
          <a:bodyPr xmlns:a="http://schemas.openxmlformats.org/drawingml/2006/main"/>
          <a:p xmlns:a="http://schemas.openxmlformats.org/drawingml/2006/main">
            <a:pPr>
              <a:defRPr/>
            </a:pPr>
            <a:r>
              <a:t>Daily Sleep Trend (Hours vs Day)</a:t>
            </a:r>
          </a:p>
        </rich>
      </tx>
    </title>
    <plotArea>
      <lineChart>
        <grouping val="standard"/>
        <ser>
          <idx val="0"/>
          <order val="0"/>
          <spPr>
            <a:ln xmlns:a="http://schemas.openxmlformats.org/drawingml/2006/main" w="25000">
              <a:solidFill>
                <a:srgbClr val="3B82F6"/>
              </a:solidFill>
              <a:prstDash val="solid"/>
            </a:ln>
          </spPr>
          <marker>
            <symbol val="circle"/>
            <size val="5"/>
            <spPr>
              <a:solidFill xmlns:a="http://schemas.openxmlformats.org/drawingml/2006/main">
                <a:srgbClr val="1D4ED8"/>
              </a:solidFill>
              <a:ln xmlns:a="http://schemas.openxmlformats.org/drawingml/2006/main">
                <a:prstDash val="solid"/>
              </a:ln>
            </spPr>
          </marker>
          <cat>
            <numRef>
              <f>'Nov 2028'!$E$45:$AH$45</f>
            </numRef>
          </cat>
          <val>
            <numRef>
              <f>'Nov 2028'!$E$47:$AH$47</f>
            </numRef>
          </val>
        </ser>
        <axId val="10"/>
        <axId val="100"/>
      </lineChart>
      <catAx>
        <axId val="10"/>
        <scaling>
          <orientation val="minMax"/>
        </scaling>
        <axPos val="l"/>
        <title>
          <tx>
            <rich>
              <a:bodyPr xmlns:a="http://schemas.openxmlformats.org/drawingml/2006/main"/>
              <a:p xmlns:a="http://schemas.openxmlformats.org/drawingml/2006/main">
                <a:pPr>
                  <a:defRPr/>
                </a:pPr>
                <a:r>
                  <a:t>Day</a:t>
                </a:r>
              </a:p>
            </rich>
          </tx>
        </title>
        <majorTickMark val="none"/>
        <minorTickMark val="none"/>
        <crossAx val="100"/>
        <lblOffset val="100"/>
      </catAx>
      <valAx>
        <axId val="100"/>
        <scaling>
          <orientation val="minMax"/>
          <max val="24"/>
          <min val="0"/>
        </scaling>
        <axPos val="l"/>
        <majorGridlines/>
        <title>
          <tx>
            <rich>
              <a:bodyPr xmlns:a="http://schemas.openxmlformats.org/drawingml/2006/main"/>
              <a:p xmlns:a="http://schemas.openxmlformats.org/drawingml/2006/main">
                <a:pPr>
                  <a:defRPr/>
                </a:pPr>
                <a:r>
                  <a:t>Hours</a:t>
                </a:r>
              </a:p>
            </rich>
          </tx>
        </title>
        <majorTickMark val="none"/>
        <minorTickMark val="none"/>
        <crossAx val="10"/>
      </valAx>
    </plotArea>
    <plotVisOnly val="1"/>
    <dispBlanksAs val="gap"/>
  </chart>
</chartSpace>
</file>

<file path=xl/charts/chart83.xml><?xml version="1.0" encoding="utf-8"?>
<chartSpace xmlns="http://schemas.openxmlformats.org/drawingml/2006/chart">
  <style val="10"/>
  <chart>
    <title>
      <tx>
        <rich>
          <a:bodyPr xmlns:a="http://schemas.openxmlformats.org/drawingml/2006/main"/>
          <a:p xmlns:a="http://schemas.openxmlformats.org/drawingml/2006/main">
            <a:pPr>
              <a:defRPr/>
            </a:pPr>
            <a:r>
              <a:t>Weekly Momentum Trend (%)</a:t>
            </a:r>
          </a:p>
        </rich>
      </tx>
    </title>
    <plotArea>
      <barChart>
        <barDir val="col"/>
        <grouping val="clustered"/>
        <ser>
          <idx val="0"/>
          <order val="0"/>
          <tx>
            <strRef>
              <f>'Nov 2028'!E75</f>
            </strRef>
          </tx>
          <spPr>
            <a:ln xmlns:a="http://schemas.openxmlformats.org/drawingml/2006/main">
              <a:prstDash val="solid"/>
            </a:ln>
          </spPr>
          <cat>
            <numRef>
              <f>'Nov 2028'!$A$76:$A$80</f>
            </numRef>
          </cat>
          <val>
            <numRef>
              <f>'Nov 2028'!$E$76:$E$80</f>
            </numRef>
          </val>
        </ser>
        <gapWidth val="150"/>
        <axId val="10"/>
        <axId val="100"/>
      </barChart>
      <catAx>
        <axId val="10"/>
        <scaling>
          <orientation val="minMax"/>
        </scaling>
        <axPos val="l"/>
        <title>
          <tx>
            <rich>
              <a:bodyPr xmlns:a="http://schemas.openxmlformats.org/drawingml/2006/main"/>
              <a:p xmlns:a="http://schemas.openxmlformats.org/drawingml/2006/main">
                <a:pPr>
                  <a:defRPr/>
                </a:pPr>
                <a:r>
                  <a:t>Week</a:t>
                </a:r>
              </a:p>
            </rich>
          </tx>
        </title>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Success %</a:t>
                </a:r>
              </a:p>
            </rich>
          </tx>
        </title>
        <majorTickMark val="none"/>
        <minorTickMark val="none"/>
        <crossAx val="10"/>
      </valAx>
    </plotArea>
    <plotVisOnly val="1"/>
    <dispBlanksAs val="gap"/>
  </chart>
</chartSpace>
</file>

<file path=xl/charts/chart84.xml><?xml version="1.0" encoding="utf-8"?>
<chartSpace xmlns="http://schemas.openxmlformats.org/drawingml/2006/chart">
  <style val="11"/>
  <chart>
    <title>
      <tx>
        <rich>
          <a:bodyPr xmlns:a="http://schemas.openxmlformats.org/drawingml/2006/main"/>
          <a:p xmlns:a="http://schemas.openxmlformats.org/drawingml/2006/main">
            <a:pPr>
              <a:defRPr/>
            </a:pPr>
            <a:r>
              <a:t>Performance by Domain (%)</a:t>
            </a:r>
          </a:p>
        </rich>
      </tx>
    </title>
    <plotArea>
      <barChart>
        <barDir val="col"/>
        <grouping val="clustered"/>
        <ser>
          <idx val="0"/>
          <order val="0"/>
          <tx>
            <strRef>
              <f>'Nov 2028'!S75</f>
            </strRef>
          </tx>
          <spPr>
            <a:ln xmlns:a="http://schemas.openxmlformats.org/drawingml/2006/main">
              <a:prstDash val="solid"/>
            </a:ln>
          </spPr>
          <cat>
            <numRef>
              <f>'Nov 2028'!$N$76:$N$80</f>
            </numRef>
          </cat>
          <val>
            <numRef>
              <f>'Nov 2028'!$S$76:$S$80</f>
            </numRef>
          </val>
        </ser>
        <gapWidth val="150"/>
        <axId val="10"/>
        <axId val="100"/>
      </barChart>
      <catAx>
        <axId val="10"/>
        <scaling>
          <orientation val="minMax"/>
        </scaling>
        <axPos val="l"/>
        <title>
          <tx>
            <rich>
              <a:bodyPr xmlns:a="http://schemas.openxmlformats.org/drawingml/2006/main"/>
              <a:p xmlns:a="http://schemas.openxmlformats.org/drawingml/2006/main">
                <a:pPr>
                  <a:defRPr/>
                </a:pPr>
                <a:r>
                  <a:t>Domain</a:t>
                </a:r>
              </a:p>
            </rich>
          </tx>
        </title>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Success %</a:t>
                </a:r>
              </a:p>
            </rich>
          </tx>
        </title>
        <majorTickMark val="none"/>
        <minorTickMark val="none"/>
        <crossAx val="10"/>
      </valAx>
    </plotArea>
    <plotVisOnly val="1"/>
    <dispBlanksAs val="gap"/>
  </chart>
</chartSpace>
</file>

<file path=xl/charts/chart85.xml><?xml version="1.0" encoding="utf-8"?>
<chartSpace xmlns="http://schemas.openxmlformats.org/drawingml/2006/chart">
  <style val="13"/>
  <chart>
    <title>
      <tx>
        <rich>
          <a:bodyPr xmlns:a="http://schemas.openxmlformats.org/drawingml/2006/main"/>
          <a:p xmlns:a="http://schemas.openxmlformats.org/drawingml/2006/main">
            <a:pPr>
              <a:defRPr/>
            </a:pPr>
            <a:r>
              <a:t>Daily Sleep Trend (Hours vs Day)</a:t>
            </a:r>
          </a:p>
        </rich>
      </tx>
    </title>
    <plotArea>
      <lineChart>
        <grouping val="standard"/>
        <ser>
          <idx val="0"/>
          <order val="0"/>
          <spPr>
            <a:ln xmlns:a="http://schemas.openxmlformats.org/drawingml/2006/main" w="25000">
              <a:solidFill>
                <a:srgbClr val="3B82F6"/>
              </a:solidFill>
              <a:prstDash val="solid"/>
            </a:ln>
          </spPr>
          <marker>
            <symbol val="circle"/>
            <size val="5"/>
            <spPr>
              <a:solidFill xmlns:a="http://schemas.openxmlformats.org/drawingml/2006/main">
                <a:srgbClr val="1D4ED8"/>
              </a:solidFill>
              <a:ln xmlns:a="http://schemas.openxmlformats.org/drawingml/2006/main">
                <a:prstDash val="solid"/>
              </a:ln>
            </spPr>
          </marker>
          <cat>
            <numRef>
              <f>'Dec 2028'!$E$45:$AI$45</f>
            </numRef>
          </cat>
          <val>
            <numRef>
              <f>'Dec 2028'!$E$47:$AI$47</f>
            </numRef>
          </val>
        </ser>
        <axId val="10"/>
        <axId val="100"/>
      </lineChart>
      <catAx>
        <axId val="10"/>
        <scaling>
          <orientation val="minMax"/>
        </scaling>
        <axPos val="l"/>
        <title>
          <tx>
            <rich>
              <a:bodyPr xmlns:a="http://schemas.openxmlformats.org/drawingml/2006/main"/>
              <a:p xmlns:a="http://schemas.openxmlformats.org/drawingml/2006/main">
                <a:pPr>
                  <a:defRPr/>
                </a:pPr>
                <a:r>
                  <a:t>Day</a:t>
                </a:r>
              </a:p>
            </rich>
          </tx>
        </title>
        <majorTickMark val="none"/>
        <minorTickMark val="none"/>
        <crossAx val="100"/>
        <lblOffset val="100"/>
      </catAx>
      <valAx>
        <axId val="100"/>
        <scaling>
          <orientation val="minMax"/>
          <max val="24"/>
          <min val="0"/>
        </scaling>
        <axPos val="l"/>
        <majorGridlines/>
        <title>
          <tx>
            <rich>
              <a:bodyPr xmlns:a="http://schemas.openxmlformats.org/drawingml/2006/main"/>
              <a:p xmlns:a="http://schemas.openxmlformats.org/drawingml/2006/main">
                <a:pPr>
                  <a:defRPr/>
                </a:pPr>
                <a:r>
                  <a:t>Hours</a:t>
                </a:r>
              </a:p>
            </rich>
          </tx>
        </title>
        <majorTickMark val="none"/>
        <minorTickMark val="none"/>
        <crossAx val="10"/>
      </valAx>
    </plotArea>
    <plotVisOnly val="1"/>
    <dispBlanksAs val="gap"/>
  </chart>
</chartSpace>
</file>

<file path=xl/charts/chart86.xml><?xml version="1.0" encoding="utf-8"?>
<chartSpace xmlns="http://schemas.openxmlformats.org/drawingml/2006/chart">
  <style val="10"/>
  <chart>
    <title>
      <tx>
        <rich>
          <a:bodyPr xmlns:a="http://schemas.openxmlformats.org/drawingml/2006/main"/>
          <a:p xmlns:a="http://schemas.openxmlformats.org/drawingml/2006/main">
            <a:pPr>
              <a:defRPr/>
            </a:pPr>
            <a:r>
              <a:t>Weekly Momentum Trend (%)</a:t>
            </a:r>
          </a:p>
        </rich>
      </tx>
    </title>
    <plotArea>
      <barChart>
        <barDir val="col"/>
        <grouping val="clustered"/>
        <ser>
          <idx val="0"/>
          <order val="0"/>
          <tx>
            <strRef>
              <f>'Dec 2028'!E75</f>
            </strRef>
          </tx>
          <spPr>
            <a:ln xmlns:a="http://schemas.openxmlformats.org/drawingml/2006/main">
              <a:prstDash val="solid"/>
            </a:ln>
          </spPr>
          <cat>
            <numRef>
              <f>'Dec 2028'!$A$76:$A$80</f>
            </numRef>
          </cat>
          <val>
            <numRef>
              <f>'Dec 2028'!$E$76:$E$80</f>
            </numRef>
          </val>
        </ser>
        <gapWidth val="150"/>
        <axId val="10"/>
        <axId val="100"/>
      </barChart>
      <catAx>
        <axId val="10"/>
        <scaling>
          <orientation val="minMax"/>
        </scaling>
        <axPos val="l"/>
        <title>
          <tx>
            <rich>
              <a:bodyPr xmlns:a="http://schemas.openxmlformats.org/drawingml/2006/main"/>
              <a:p xmlns:a="http://schemas.openxmlformats.org/drawingml/2006/main">
                <a:pPr>
                  <a:defRPr/>
                </a:pPr>
                <a:r>
                  <a:t>Week</a:t>
                </a:r>
              </a:p>
            </rich>
          </tx>
        </title>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Success %</a:t>
                </a:r>
              </a:p>
            </rich>
          </tx>
        </title>
        <majorTickMark val="none"/>
        <minorTickMark val="none"/>
        <crossAx val="10"/>
      </valAx>
    </plotArea>
    <plotVisOnly val="1"/>
    <dispBlanksAs val="gap"/>
  </chart>
</chartSpace>
</file>

<file path=xl/charts/chart87.xml><?xml version="1.0" encoding="utf-8"?>
<chartSpace xmlns="http://schemas.openxmlformats.org/drawingml/2006/chart">
  <style val="11"/>
  <chart>
    <title>
      <tx>
        <rich>
          <a:bodyPr xmlns:a="http://schemas.openxmlformats.org/drawingml/2006/main"/>
          <a:p xmlns:a="http://schemas.openxmlformats.org/drawingml/2006/main">
            <a:pPr>
              <a:defRPr/>
            </a:pPr>
            <a:r>
              <a:t>Performance by Domain (%)</a:t>
            </a:r>
          </a:p>
        </rich>
      </tx>
    </title>
    <plotArea>
      <barChart>
        <barDir val="col"/>
        <grouping val="clustered"/>
        <ser>
          <idx val="0"/>
          <order val="0"/>
          <tx>
            <strRef>
              <f>'Dec 2028'!S75</f>
            </strRef>
          </tx>
          <spPr>
            <a:ln xmlns:a="http://schemas.openxmlformats.org/drawingml/2006/main">
              <a:prstDash val="solid"/>
            </a:ln>
          </spPr>
          <cat>
            <numRef>
              <f>'Dec 2028'!$N$76:$N$80</f>
            </numRef>
          </cat>
          <val>
            <numRef>
              <f>'Dec 2028'!$S$76:$S$80</f>
            </numRef>
          </val>
        </ser>
        <gapWidth val="150"/>
        <axId val="10"/>
        <axId val="100"/>
      </barChart>
      <catAx>
        <axId val="10"/>
        <scaling>
          <orientation val="minMax"/>
        </scaling>
        <axPos val="l"/>
        <title>
          <tx>
            <rich>
              <a:bodyPr xmlns:a="http://schemas.openxmlformats.org/drawingml/2006/main"/>
              <a:p xmlns:a="http://schemas.openxmlformats.org/drawingml/2006/main">
                <a:pPr>
                  <a:defRPr/>
                </a:pPr>
                <a:r>
                  <a:t>Domain</a:t>
                </a:r>
              </a:p>
            </rich>
          </tx>
        </title>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Success %</a:t>
                </a:r>
              </a:p>
            </rich>
          </tx>
        </title>
        <majorTickMark val="none"/>
        <minorTickMark val="none"/>
        <crossAx val="10"/>
      </valAx>
    </plotArea>
    <plotVisOnly val="1"/>
    <dispBlanksAs val="gap"/>
  </chart>
</chartSpace>
</file>

<file path=xl/charts/chart88.xml><?xml version="1.0" encoding="utf-8"?>
<chartSpace xmlns="http://schemas.openxmlformats.org/drawingml/2006/chart">
  <style val="13"/>
  <chart>
    <title>
      <tx>
        <rich>
          <a:bodyPr xmlns:a="http://schemas.openxmlformats.org/drawingml/2006/main"/>
          <a:p xmlns:a="http://schemas.openxmlformats.org/drawingml/2006/main">
            <a:pPr>
              <a:defRPr/>
            </a:pPr>
            <a:r>
              <a:t>Daily Sleep Trend (Hours vs Day)</a:t>
            </a:r>
          </a:p>
        </rich>
      </tx>
    </title>
    <plotArea>
      <lineChart>
        <grouping val="standard"/>
        <ser>
          <idx val="0"/>
          <order val="0"/>
          <spPr>
            <a:ln xmlns:a="http://schemas.openxmlformats.org/drawingml/2006/main" w="25000">
              <a:solidFill>
                <a:srgbClr val="3B82F6"/>
              </a:solidFill>
              <a:prstDash val="solid"/>
            </a:ln>
          </spPr>
          <marker>
            <symbol val="circle"/>
            <size val="5"/>
            <spPr>
              <a:solidFill xmlns:a="http://schemas.openxmlformats.org/drawingml/2006/main">
                <a:srgbClr val="1D4ED8"/>
              </a:solidFill>
              <a:ln xmlns:a="http://schemas.openxmlformats.org/drawingml/2006/main">
                <a:prstDash val="solid"/>
              </a:ln>
            </spPr>
          </marker>
          <cat>
            <numRef>
              <f>'Jan 2029'!$E$45:$AI$45</f>
            </numRef>
          </cat>
          <val>
            <numRef>
              <f>'Jan 2029'!$E$47:$AI$47</f>
            </numRef>
          </val>
        </ser>
        <axId val="10"/>
        <axId val="100"/>
      </lineChart>
      <catAx>
        <axId val="10"/>
        <scaling>
          <orientation val="minMax"/>
        </scaling>
        <axPos val="l"/>
        <title>
          <tx>
            <rich>
              <a:bodyPr xmlns:a="http://schemas.openxmlformats.org/drawingml/2006/main"/>
              <a:p xmlns:a="http://schemas.openxmlformats.org/drawingml/2006/main">
                <a:pPr>
                  <a:defRPr/>
                </a:pPr>
                <a:r>
                  <a:t>Day</a:t>
                </a:r>
              </a:p>
            </rich>
          </tx>
        </title>
        <majorTickMark val="none"/>
        <minorTickMark val="none"/>
        <crossAx val="100"/>
        <lblOffset val="100"/>
      </catAx>
      <valAx>
        <axId val="100"/>
        <scaling>
          <orientation val="minMax"/>
          <max val="24"/>
          <min val="0"/>
        </scaling>
        <axPos val="l"/>
        <majorGridlines/>
        <title>
          <tx>
            <rich>
              <a:bodyPr xmlns:a="http://schemas.openxmlformats.org/drawingml/2006/main"/>
              <a:p xmlns:a="http://schemas.openxmlformats.org/drawingml/2006/main">
                <a:pPr>
                  <a:defRPr/>
                </a:pPr>
                <a:r>
                  <a:t>Hours</a:t>
                </a:r>
              </a:p>
            </rich>
          </tx>
        </title>
        <majorTickMark val="none"/>
        <minorTickMark val="none"/>
        <crossAx val="10"/>
      </valAx>
    </plotArea>
    <plotVisOnly val="1"/>
    <dispBlanksAs val="gap"/>
  </chart>
</chartSpace>
</file>

<file path=xl/charts/chart89.xml><?xml version="1.0" encoding="utf-8"?>
<chartSpace xmlns="http://schemas.openxmlformats.org/drawingml/2006/chart">
  <style val="10"/>
  <chart>
    <title>
      <tx>
        <rich>
          <a:bodyPr xmlns:a="http://schemas.openxmlformats.org/drawingml/2006/main"/>
          <a:p xmlns:a="http://schemas.openxmlformats.org/drawingml/2006/main">
            <a:pPr>
              <a:defRPr/>
            </a:pPr>
            <a:r>
              <a:t>Weekly Momentum Trend (%)</a:t>
            </a:r>
          </a:p>
        </rich>
      </tx>
    </title>
    <plotArea>
      <barChart>
        <barDir val="col"/>
        <grouping val="clustered"/>
        <ser>
          <idx val="0"/>
          <order val="0"/>
          <tx>
            <strRef>
              <f>'Jan 2029'!E75</f>
            </strRef>
          </tx>
          <spPr>
            <a:ln xmlns:a="http://schemas.openxmlformats.org/drawingml/2006/main">
              <a:prstDash val="solid"/>
            </a:ln>
          </spPr>
          <cat>
            <numRef>
              <f>'Jan 2029'!$A$76:$A$80</f>
            </numRef>
          </cat>
          <val>
            <numRef>
              <f>'Jan 2029'!$E$76:$E$80</f>
            </numRef>
          </val>
        </ser>
        <gapWidth val="150"/>
        <axId val="10"/>
        <axId val="100"/>
      </barChart>
      <catAx>
        <axId val="10"/>
        <scaling>
          <orientation val="minMax"/>
        </scaling>
        <axPos val="l"/>
        <title>
          <tx>
            <rich>
              <a:bodyPr xmlns:a="http://schemas.openxmlformats.org/drawingml/2006/main"/>
              <a:p xmlns:a="http://schemas.openxmlformats.org/drawingml/2006/main">
                <a:pPr>
                  <a:defRPr/>
                </a:pPr>
                <a:r>
                  <a:t>Week</a:t>
                </a:r>
              </a:p>
            </rich>
          </tx>
        </title>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Success %</a:t>
                </a:r>
              </a:p>
            </rich>
          </tx>
        </title>
        <majorTickMark val="none"/>
        <minorTickMark val="none"/>
        <crossAx val="10"/>
      </valAx>
    </plotArea>
    <plotVisOnly val="1"/>
    <dispBlanksAs val="gap"/>
  </chart>
</chartSpace>
</file>

<file path=xl/charts/chart90.xml><?xml version="1.0" encoding="utf-8"?>
<chartSpace xmlns="http://schemas.openxmlformats.org/drawingml/2006/chart">
  <style val="11"/>
  <chart>
    <title>
      <tx>
        <rich>
          <a:bodyPr xmlns:a="http://schemas.openxmlformats.org/drawingml/2006/main"/>
          <a:p xmlns:a="http://schemas.openxmlformats.org/drawingml/2006/main">
            <a:pPr>
              <a:defRPr/>
            </a:pPr>
            <a:r>
              <a:t>Performance by Domain (%)</a:t>
            </a:r>
          </a:p>
        </rich>
      </tx>
    </title>
    <plotArea>
      <barChart>
        <barDir val="col"/>
        <grouping val="clustered"/>
        <ser>
          <idx val="0"/>
          <order val="0"/>
          <tx>
            <strRef>
              <f>'Jan 2029'!S75</f>
            </strRef>
          </tx>
          <spPr>
            <a:ln xmlns:a="http://schemas.openxmlformats.org/drawingml/2006/main">
              <a:prstDash val="solid"/>
            </a:ln>
          </spPr>
          <cat>
            <numRef>
              <f>'Jan 2029'!$N$76:$N$80</f>
            </numRef>
          </cat>
          <val>
            <numRef>
              <f>'Jan 2029'!$S$76:$S$80</f>
            </numRef>
          </val>
        </ser>
        <gapWidth val="150"/>
        <axId val="10"/>
        <axId val="100"/>
      </barChart>
      <catAx>
        <axId val="10"/>
        <scaling>
          <orientation val="minMax"/>
        </scaling>
        <axPos val="l"/>
        <title>
          <tx>
            <rich>
              <a:bodyPr xmlns:a="http://schemas.openxmlformats.org/drawingml/2006/main"/>
              <a:p xmlns:a="http://schemas.openxmlformats.org/drawingml/2006/main">
                <a:pPr>
                  <a:defRPr/>
                </a:pPr>
                <a:r>
                  <a:t>Domain</a:t>
                </a:r>
              </a:p>
            </rich>
          </tx>
        </title>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Success %</a:t>
                </a:r>
              </a:p>
            </rich>
          </tx>
        </title>
        <majorTickMark val="none"/>
        <minorTickMark val="none"/>
        <crossAx val="10"/>
      </valAx>
    </plotArea>
    <plotVisOnly val="1"/>
    <dispBlanksAs val="gap"/>
  </chart>
</chartSpace>
</file>

<file path=xl/charts/chart91.xml><?xml version="1.0" encoding="utf-8"?>
<chartSpace xmlns="http://schemas.openxmlformats.org/drawingml/2006/chart">
  <style val="13"/>
  <chart>
    <title>
      <tx>
        <rich>
          <a:bodyPr xmlns:a="http://schemas.openxmlformats.org/drawingml/2006/main"/>
          <a:p xmlns:a="http://schemas.openxmlformats.org/drawingml/2006/main">
            <a:pPr>
              <a:defRPr/>
            </a:pPr>
            <a:r>
              <a:t>Daily Sleep Trend (Hours vs Day)</a:t>
            </a:r>
          </a:p>
        </rich>
      </tx>
    </title>
    <plotArea>
      <lineChart>
        <grouping val="standard"/>
        <ser>
          <idx val="0"/>
          <order val="0"/>
          <spPr>
            <a:ln xmlns:a="http://schemas.openxmlformats.org/drawingml/2006/main" w="25000">
              <a:solidFill>
                <a:srgbClr val="3B82F6"/>
              </a:solidFill>
              <a:prstDash val="solid"/>
            </a:ln>
          </spPr>
          <marker>
            <symbol val="circle"/>
            <size val="5"/>
            <spPr>
              <a:solidFill xmlns:a="http://schemas.openxmlformats.org/drawingml/2006/main">
                <a:srgbClr val="1D4ED8"/>
              </a:solidFill>
              <a:ln xmlns:a="http://schemas.openxmlformats.org/drawingml/2006/main">
                <a:prstDash val="solid"/>
              </a:ln>
            </spPr>
          </marker>
          <cat>
            <numRef>
              <f>'Feb 2029'!$E$45:$AF$45</f>
            </numRef>
          </cat>
          <val>
            <numRef>
              <f>'Feb 2029'!$E$47:$AF$47</f>
            </numRef>
          </val>
        </ser>
        <axId val="10"/>
        <axId val="100"/>
      </lineChart>
      <catAx>
        <axId val="10"/>
        <scaling>
          <orientation val="minMax"/>
        </scaling>
        <axPos val="l"/>
        <title>
          <tx>
            <rich>
              <a:bodyPr xmlns:a="http://schemas.openxmlformats.org/drawingml/2006/main"/>
              <a:p xmlns:a="http://schemas.openxmlformats.org/drawingml/2006/main">
                <a:pPr>
                  <a:defRPr/>
                </a:pPr>
                <a:r>
                  <a:t>Day</a:t>
                </a:r>
              </a:p>
            </rich>
          </tx>
        </title>
        <majorTickMark val="none"/>
        <minorTickMark val="none"/>
        <crossAx val="100"/>
        <lblOffset val="100"/>
      </catAx>
      <valAx>
        <axId val="100"/>
        <scaling>
          <orientation val="minMax"/>
          <max val="24"/>
          <min val="0"/>
        </scaling>
        <axPos val="l"/>
        <majorGridlines/>
        <title>
          <tx>
            <rich>
              <a:bodyPr xmlns:a="http://schemas.openxmlformats.org/drawingml/2006/main"/>
              <a:p xmlns:a="http://schemas.openxmlformats.org/drawingml/2006/main">
                <a:pPr>
                  <a:defRPr/>
                </a:pPr>
                <a:r>
                  <a:t>Hours</a:t>
                </a:r>
              </a:p>
            </rich>
          </tx>
        </title>
        <majorTickMark val="none"/>
        <minorTickMark val="none"/>
        <crossAx val="10"/>
      </valAx>
    </plotArea>
    <plotVisOnly val="1"/>
    <dispBlanksAs val="gap"/>
  </chart>
</chartSpace>
</file>

<file path=xl/charts/chart92.xml><?xml version="1.0" encoding="utf-8"?>
<chartSpace xmlns="http://schemas.openxmlformats.org/drawingml/2006/chart">
  <style val="10"/>
  <chart>
    <title>
      <tx>
        <rich>
          <a:bodyPr xmlns:a="http://schemas.openxmlformats.org/drawingml/2006/main"/>
          <a:p xmlns:a="http://schemas.openxmlformats.org/drawingml/2006/main">
            <a:pPr>
              <a:defRPr/>
            </a:pPr>
            <a:r>
              <a:t>Weekly Momentum Trend (%)</a:t>
            </a:r>
          </a:p>
        </rich>
      </tx>
    </title>
    <plotArea>
      <barChart>
        <barDir val="col"/>
        <grouping val="clustered"/>
        <ser>
          <idx val="0"/>
          <order val="0"/>
          <tx>
            <strRef>
              <f>'Feb 2029'!E75</f>
            </strRef>
          </tx>
          <spPr>
            <a:ln xmlns:a="http://schemas.openxmlformats.org/drawingml/2006/main">
              <a:prstDash val="solid"/>
            </a:ln>
          </spPr>
          <cat>
            <numRef>
              <f>'Feb 2029'!$A$76:$A$80</f>
            </numRef>
          </cat>
          <val>
            <numRef>
              <f>'Feb 2029'!$E$76:$E$80</f>
            </numRef>
          </val>
        </ser>
        <gapWidth val="150"/>
        <axId val="10"/>
        <axId val="100"/>
      </barChart>
      <catAx>
        <axId val="10"/>
        <scaling>
          <orientation val="minMax"/>
        </scaling>
        <axPos val="l"/>
        <title>
          <tx>
            <rich>
              <a:bodyPr xmlns:a="http://schemas.openxmlformats.org/drawingml/2006/main"/>
              <a:p xmlns:a="http://schemas.openxmlformats.org/drawingml/2006/main">
                <a:pPr>
                  <a:defRPr/>
                </a:pPr>
                <a:r>
                  <a:t>Week</a:t>
                </a:r>
              </a:p>
            </rich>
          </tx>
        </title>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Success %</a:t>
                </a:r>
              </a:p>
            </rich>
          </tx>
        </title>
        <majorTickMark val="none"/>
        <minorTickMark val="none"/>
        <crossAx val="10"/>
      </valAx>
    </plotArea>
    <plotVisOnly val="1"/>
    <dispBlanksAs val="gap"/>
  </chart>
</chartSpace>
</file>

<file path=xl/charts/chart93.xml><?xml version="1.0" encoding="utf-8"?>
<chartSpace xmlns="http://schemas.openxmlformats.org/drawingml/2006/chart">
  <style val="11"/>
  <chart>
    <title>
      <tx>
        <rich>
          <a:bodyPr xmlns:a="http://schemas.openxmlformats.org/drawingml/2006/main"/>
          <a:p xmlns:a="http://schemas.openxmlformats.org/drawingml/2006/main">
            <a:pPr>
              <a:defRPr/>
            </a:pPr>
            <a:r>
              <a:t>Performance by Domain (%)</a:t>
            </a:r>
          </a:p>
        </rich>
      </tx>
    </title>
    <plotArea>
      <barChart>
        <barDir val="col"/>
        <grouping val="clustered"/>
        <ser>
          <idx val="0"/>
          <order val="0"/>
          <tx>
            <strRef>
              <f>'Feb 2029'!S75</f>
            </strRef>
          </tx>
          <spPr>
            <a:ln xmlns:a="http://schemas.openxmlformats.org/drawingml/2006/main">
              <a:prstDash val="solid"/>
            </a:ln>
          </spPr>
          <cat>
            <numRef>
              <f>'Feb 2029'!$N$76:$N$80</f>
            </numRef>
          </cat>
          <val>
            <numRef>
              <f>'Feb 2029'!$S$76:$S$80</f>
            </numRef>
          </val>
        </ser>
        <gapWidth val="150"/>
        <axId val="10"/>
        <axId val="100"/>
      </barChart>
      <catAx>
        <axId val="10"/>
        <scaling>
          <orientation val="minMax"/>
        </scaling>
        <axPos val="l"/>
        <title>
          <tx>
            <rich>
              <a:bodyPr xmlns:a="http://schemas.openxmlformats.org/drawingml/2006/main"/>
              <a:p xmlns:a="http://schemas.openxmlformats.org/drawingml/2006/main">
                <a:pPr>
                  <a:defRPr/>
                </a:pPr>
                <a:r>
                  <a:t>Domain</a:t>
                </a:r>
              </a:p>
            </rich>
          </tx>
        </title>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Success %</a:t>
                </a:r>
              </a:p>
            </rich>
          </tx>
        </title>
        <majorTickMark val="none"/>
        <minorTickMark val="none"/>
        <crossAx val="10"/>
      </valAx>
    </plotArea>
    <plotVisOnly val="1"/>
    <dispBlanksAs val="gap"/>
  </chart>
</chartSpace>
</file>

<file path=xl/charts/chart94.xml><?xml version="1.0" encoding="utf-8"?>
<chartSpace xmlns="http://schemas.openxmlformats.org/drawingml/2006/chart">
  <style val="13"/>
  <chart>
    <title>
      <tx>
        <rich>
          <a:bodyPr xmlns:a="http://schemas.openxmlformats.org/drawingml/2006/main"/>
          <a:p xmlns:a="http://schemas.openxmlformats.org/drawingml/2006/main">
            <a:pPr>
              <a:defRPr/>
            </a:pPr>
            <a:r>
              <a:t>Daily Sleep Trend (Hours vs Day)</a:t>
            </a:r>
          </a:p>
        </rich>
      </tx>
    </title>
    <plotArea>
      <lineChart>
        <grouping val="standard"/>
        <ser>
          <idx val="0"/>
          <order val="0"/>
          <spPr>
            <a:ln xmlns:a="http://schemas.openxmlformats.org/drawingml/2006/main" w="25000">
              <a:solidFill>
                <a:srgbClr val="3B82F6"/>
              </a:solidFill>
              <a:prstDash val="solid"/>
            </a:ln>
          </spPr>
          <marker>
            <symbol val="circle"/>
            <size val="5"/>
            <spPr>
              <a:solidFill xmlns:a="http://schemas.openxmlformats.org/drawingml/2006/main">
                <a:srgbClr val="1D4ED8"/>
              </a:solidFill>
              <a:ln xmlns:a="http://schemas.openxmlformats.org/drawingml/2006/main">
                <a:prstDash val="solid"/>
              </a:ln>
            </spPr>
          </marker>
          <cat>
            <numRef>
              <f>'Mar 2029'!$E$45:$AI$45</f>
            </numRef>
          </cat>
          <val>
            <numRef>
              <f>'Mar 2029'!$E$47:$AI$47</f>
            </numRef>
          </val>
        </ser>
        <axId val="10"/>
        <axId val="100"/>
      </lineChart>
      <catAx>
        <axId val="10"/>
        <scaling>
          <orientation val="minMax"/>
        </scaling>
        <axPos val="l"/>
        <title>
          <tx>
            <rich>
              <a:bodyPr xmlns:a="http://schemas.openxmlformats.org/drawingml/2006/main"/>
              <a:p xmlns:a="http://schemas.openxmlformats.org/drawingml/2006/main">
                <a:pPr>
                  <a:defRPr/>
                </a:pPr>
                <a:r>
                  <a:t>Day</a:t>
                </a:r>
              </a:p>
            </rich>
          </tx>
        </title>
        <majorTickMark val="none"/>
        <minorTickMark val="none"/>
        <crossAx val="100"/>
        <lblOffset val="100"/>
      </catAx>
      <valAx>
        <axId val="100"/>
        <scaling>
          <orientation val="minMax"/>
          <max val="24"/>
          <min val="0"/>
        </scaling>
        <axPos val="l"/>
        <majorGridlines/>
        <title>
          <tx>
            <rich>
              <a:bodyPr xmlns:a="http://schemas.openxmlformats.org/drawingml/2006/main"/>
              <a:p xmlns:a="http://schemas.openxmlformats.org/drawingml/2006/main">
                <a:pPr>
                  <a:defRPr/>
                </a:pPr>
                <a:r>
                  <a:t>Hours</a:t>
                </a:r>
              </a:p>
            </rich>
          </tx>
        </title>
        <majorTickMark val="none"/>
        <minorTickMark val="none"/>
        <crossAx val="10"/>
      </valAx>
    </plotArea>
    <plotVisOnly val="1"/>
    <dispBlanksAs val="gap"/>
  </chart>
</chartSpace>
</file>

<file path=xl/charts/chart95.xml><?xml version="1.0" encoding="utf-8"?>
<chartSpace xmlns="http://schemas.openxmlformats.org/drawingml/2006/chart">
  <style val="10"/>
  <chart>
    <title>
      <tx>
        <rich>
          <a:bodyPr xmlns:a="http://schemas.openxmlformats.org/drawingml/2006/main"/>
          <a:p xmlns:a="http://schemas.openxmlformats.org/drawingml/2006/main">
            <a:pPr>
              <a:defRPr/>
            </a:pPr>
            <a:r>
              <a:t>Weekly Momentum Trend (%)</a:t>
            </a:r>
          </a:p>
        </rich>
      </tx>
    </title>
    <plotArea>
      <barChart>
        <barDir val="col"/>
        <grouping val="clustered"/>
        <ser>
          <idx val="0"/>
          <order val="0"/>
          <tx>
            <strRef>
              <f>'Mar 2029'!E75</f>
            </strRef>
          </tx>
          <spPr>
            <a:ln xmlns:a="http://schemas.openxmlformats.org/drawingml/2006/main">
              <a:prstDash val="solid"/>
            </a:ln>
          </spPr>
          <cat>
            <numRef>
              <f>'Mar 2029'!$A$76:$A$80</f>
            </numRef>
          </cat>
          <val>
            <numRef>
              <f>'Mar 2029'!$E$76:$E$80</f>
            </numRef>
          </val>
        </ser>
        <gapWidth val="150"/>
        <axId val="10"/>
        <axId val="100"/>
      </barChart>
      <catAx>
        <axId val="10"/>
        <scaling>
          <orientation val="minMax"/>
        </scaling>
        <axPos val="l"/>
        <title>
          <tx>
            <rich>
              <a:bodyPr xmlns:a="http://schemas.openxmlformats.org/drawingml/2006/main"/>
              <a:p xmlns:a="http://schemas.openxmlformats.org/drawingml/2006/main">
                <a:pPr>
                  <a:defRPr/>
                </a:pPr>
                <a:r>
                  <a:t>Week</a:t>
                </a:r>
              </a:p>
            </rich>
          </tx>
        </title>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Success %</a:t>
                </a:r>
              </a:p>
            </rich>
          </tx>
        </title>
        <majorTickMark val="none"/>
        <minorTickMark val="none"/>
        <crossAx val="10"/>
      </valAx>
    </plotArea>
    <plotVisOnly val="1"/>
    <dispBlanksAs val="gap"/>
  </chart>
</chartSpace>
</file>

<file path=xl/charts/chart96.xml><?xml version="1.0" encoding="utf-8"?>
<chartSpace xmlns="http://schemas.openxmlformats.org/drawingml/2006/chart">
  <style val="11"/>
  <chart>
    <title>
      <tx>
        <rich>
          <a:bodyPr xmlns:a="http://schemas.openxmlformats.org/drawingml/2006/main"/>
          <a:p xmlns:a="http://schemas.openxmlformats.org/drawingml/2006/main">
            <a:pPr>
              <a:defRPr/>
            </a:pPr>
            <a:r>
              <a:t>Performance by Domain (%)</a:t>
            </a:r>
          </a:p>
        </rich>
      </tx>
    </title>
    <plotArea>
      <barChart>
        <barDir val="col"/>
        <grouping val="clustered"/>
        <ser>
          <idx val="0"/>
          <order val="0"/>
          <tx>
            <strRef>
              <f>'Mar 2029'!S75</f>
            </strRef>
          </tx>
          <spPr>
            <a:ln xmlns:a="http://schemas.openxmlformats.org/drawingml/2006/main">
              <a:prstDash val="solid"/>
            </a:ln>
          </spPr>
          <cat>
            <numRef>
              <f>'Mar 2029'!$N$76:$N$80</f>
            </numRef>
          </cat>
          <val>
            <numRef>
              <f>'Mar 2029'!$S$76:$S$80</f>
            </numRef>
          </val>
        </ser>
        <gapWidth val="150"/>
        <axId val="10"/>
        <axId val="100"/>
      </barChart>
      <catAx>
        <axId val="10"/>
        <scaling>
          <orientation val="minMax"/>
        </scaling>
        <axPos val="l"/>
        <title>
          <tx>
            <rich>
              <a:bodyPr xmlns:a="http://schemas.openxmlformats.org/drawingml/2006/main"/>
              <a:p xmlns:a="http://schemas.openxmlformats.org/drawingml/2006/main">
                <a:pPr>
                  <a:defRPr/>
                </a:pPr>
                <a:r>
                  <a:t>Domain</a:t>
                </a:r>
              </a:p>
            </rich>
          </tx>
        </title>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Success %</a:t>
                </a:r>
              </a:p>
            </rich>
          </tx>
        </title>
        <majorTickMark val="none"/>
        <minorTickMark val="none"/>
        <crossAx val="10"/>
      </valAx>
    </plotArea>
    <plotVisOnly val="1"/>
    <dispBlanksAs val="gap"/>
  </chart>
</chartSpace>
</file>

<file path=xl/charts/chart97.xml><?xml version="1.0" encoding="utf-8"?>
<chartSpace xmlns="http://schemas.openxmlformats.org/drawingml/2006/chart">
  <style val="13"/>
  <chart>
    <title>
      <tx>
        <rich>
          <a:bodyPr xmlns:a="http://schemas.openxmlformats.org/drawingml/2006/main"/>
          <a:p xmlns:a="http://schemas.openxmlformats.org/drawingml/2006/main">
            <a:pPr>
              <a:defRPr/>
            </a:pPr>
            <a:r>
              <a:t>Daily Sleep Trend (Hours vs Day)</a:t>
            </a:r>
          </a:p>
        </rich>
      </tx>
    </title>
    <plotArea>
      <lineChart>
        <grouping val="standard"/>
        <ser>
          <idx val="0"/>
          <order val="0"/>
          <spPr>
            <a:ln xmlns:a="http://schemas.openxmlformats.org/drawingml/2006/main" w="25000">
              <a:solidFill>
                <a:srgbClr val="3B82F6"/>
              </a:solidFill>
              <a:prstDash val="solid"/>
            </a:ln>
          </spPr>
          <marker>
            <symbol val="circle"/>
            <size val="5"/>
            <spPr>
              <a:solidFill xmlns:a="http://schemas.openxmlformats.org/drawingml/2006/main">
                <a:srgbClr val="1D4ED8"/>
              </a:solidFill>
              <a:ln xmlns:a="http://schemas.openxmlformats.org/drawingml/2006/main">
                <a:prstDash val="solid"/>
              </a:ln>
            </spPr>
          </marker>
          <cat>
            <numRef>
              <f>'Apr 2029'!$E$45:$AH$45</f>
            </numRef>
          </cat>
          <val>
            <numRef>
              <f>'Apr 2029'!$E$47:$AH$47</f>
            </numRef>
          </val>
        </ser>
        <axId val="10"/>
        <axId val="100"/>
      </lineChart>
      <catAx>
        <axId val="10"/>
        <scaling>
          <orientation val="minMax"/>
        </scaling>
        <axPos val="l"/>
        <title>
          <tx>
            <rich>
              <a:bodyPr xmlns:a="http://schemas.openxmlformats.org/drawingml/2006/main"/>
              <a:p xmlns:a="http://schemas.openxmlformats.org/drawingml/2006/main">
                <a:pPr>
                  <a:defRPr/>
                </a:pPr>
                <a:r>
                  <a:t>Day</a:t>
                </a:r>
              </a:p>
            </rich>
          </tx>
        </title>
        <majorTickMark val="none"/>
        <minorTickMark val="none"/>
        <crossAx val="100"/>
        <lblOffset val="100"/>
      </catAx>
      <valAx>
        <axId val="100"/>
        <scaling>
          <orientation val="minMax"/>
          <max val="24"/>
          <min val="0"/>
        </scaling>
        <axPos val="l"/>
        <majorGridlines/>
        <title>
          <tx>
            <rich>
              <a:bodyPr xmlns:a="http://schemas.openxmlformats.org/drawingml/2006/main"/>
              <a:p xmlns:a="http://schemas.openxmlformats.org/drawingml/2006/main">
                <a:pPr>
                  <a:defRPr/>
                </a:pPr>
                <a:r>
                  <a:t>Hours</a:t>
                </a:r>
              </a:p>
            </rich>
          </tx>
        </title>
        <majorTickMark val="none"/>
        <minorTickMark val="none"/>
        <crossAx val="10"/>
      </valAx>
    </plotArea>
    <plotVisOnly val="1"/>
    <dispBlanksAs val="gap"/>
  </chart>
</chartSpace>
</file>

<file path=xl/charts/chart98.xml><?xml version="1.0" encoding="utf-8"?>
<chartSpace xmlns="http://schemas.openxmlformats.org/drawingml/2006/chart">
  <style val="10"/>
  <chart>
    <title>
      <tx>
        <rich>
          <a:bodyPr xmlns:a="http://schemas.openxmlformats.org/drawingml/2006/main"/>
          <a:p xmlns:a="http://schemas.openxmlformats.org/drawingml/2006/main">
            <a:pPr>
              <a:defRPr/>
            </a:pPr>
            <a:r>
              <a:t>Weekly Momentum Trend (%)</a:t>
            </a:r>
          </a:p>
        </rich>
      </tx>
    </title>
    <plotArea>
      <barChart>
        <barDir val="col"/>
        <grouping val="clustered"/>
        <ser>
          <idx val="0"/>
          <order val="0"/>
          <tx>
            <strRef>
              <f>'Apr 2029'!E75</f>
            </strRef>
          </tx>
          <spPr>
            <a:ln xmlns:a="http://schemas.openxmlformats.org/drawingml/2006/main">
              <a:prstDash val="solid"/>
            </a:ln>
          </spPr>
          <cat>
            <numRef>
              <f>'Apr 2029'!$A$76:$A$80</f>
            </numRef>
          </cat>
          <val>
            <numRef>
              <f>'Apr 2029'!$E$76:$E$80</f>
            </numRef>
          </val>
        </ser>
        <gapWidth val="150"/>
        <axId val="10"/>
        <axId val="100"/>
      </barChart>
      <catAx>
        <axId val="10"/>
        <scaling>
          <orientation val="minMax"/>
        </scaling>
        <axPos val="l"/>
        <title>
          <tx>
            <rich>
              <a:bodyPr xmlns:a="http://schemas.openxmlformats.org/drawingml/2006/main"/>
              <a:p xmlns:a="http://schemas.openxmlformats.org/drawingml/2006/main">
                <a:pPr>
                  <a:defRPr/>
                </a:pPr>
                <a:r>
                  <a:t>Week</a:t>
                </a:r>
              </a:p>
            </rich>
          </tx>
        </title>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Success %</a:t>
                </a:r>
              </a:p>
            </rich>
          </tx>
        </title>
        <majorTickMark val="none"/>
        <minorTickMark val="none"/>
        <crossAx val="10"/>
      </valAx>
    </plotArea>
    <plotVisOnly val="1"/>
    <dispBlanksAs val="gap"/>
  </chart>
</chartSpace>
</file>

<file path=xl/charts/chart99.xml><?xml version="1.0" encoding="utf-8"?>
<chartSpace xmlns="http://schemas.openxmlformats.org/drawingml/2006/chart">
  <style val="11"/>
  <chart>
    <title>
      <tx>
        <rich>
          <a:bodyPr xmlns:a="http://schemas.openxmlformats.org/drawingml/2006/main"/>
          <a:p xmlns:a="http://schemas.openxmlformats.org/drawingml/2006/main">
            <a:pPr>
              <a:defRPr/>
            </a:pPr>
            <a:r>
              <a:t>Performance by Domain (%)</a:t>
            </a:r>
          </a:p>
        </rich>
      </tx>
    </title>
    <plotArea>
      <barChart>
        <barDir val="col"/>
        <grouping val="clustered"/>
        <ser>
          <idx val="0"/>
          <order val="0"/>
          <tx>
            <strRef>
              <f>'Apr 2029'!S75</f>
            </strRef>
          </tx>
          <spPr>
            <a:ln xmlns:a="http://schemas.openxmlformats.org/drawingml/2006/main">
              <a:prstDash val="solid"/>
            </a:ln>
          </spPr>
          <cat>
            <numRef>
              <f>'Apr 2029'!$N$76:$N$80</f>
            </numRef>
          </cat>
          <val>
            <numRef>
              <f>'Apr 2029'!$S$76:$S$80</f>
            </numRef>
          </val>
        </ser>
        <gapWidth val="150"/>
        <axId val="10"/>
        <axId val="100"/>
      </barChart>
      <catAx>
        <axId val="10"/>
        <scaling>
          <orientation val="minMax"/>
        </scaling>
        <axPos val="l"/>
        <title>
          <tx>
            <rich>
              <a:bodyPr xmlns:a="http://schemas.openxmlformats.org/drawingml/2006/main"/>
              <a:p xmlns:a="http://schemas.openxmlformats.org/drawingml/2006/main">
                <a:pPr>
                  <a:defRPr/>
                </a:pPr>
                <a:r>
                  <a:t>Domain</a:t>
                </a:r>
              </a:p>
            </rich>
          </tx>
        </title>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Success %</a:t>
                </a:r>
              </a:p>
            </rich>
          </tx>
        </title>
        <majorTickMark val="none"/>
        <minorTickMark val="none"/>
        <crossAx val="10"/>
      </valAx>
    </plotArea>
    <plotVisOnly val="1"/>
    <dispBlanksAs val="gap"/>
  </chart>
</chartSpace>
</file>

<file path=xl/charts/chart100.xml><?xml version="1.0" encoding="utf-8"?>
<chartSpace xmlns="http://schemas.openxmlformats.org/drawingml/2006/chart">
  <style val="13"/>
  <chart>
    <title>
      <tx>
        <rich>
          <a:bodyPr xmlns:a="http://schemas.openxmlformats.org/drawingml/2006/main"/>
          <a:p xmlns:a="http://schemas.openxmlformats.org/drawingml/2006/main">
            <a:pPr>
              <a:defRPr/>
            </a:pPr>
            <a:r>
              <a:t>Daily Sleep Trend (Hours vs Day)</a:t>
            </a:r>
          </a:p>
        </rich>
      </tx>
    </title>
    <plotArea>
      <lineChart>
        <grouping val="standard"/>
        <ser>
          <idx val="0"/>
          <order val="0"/>
          <spPr>
            <a:ln xmlns:a="http://schemas.openxmlformats.org/drawingml/2006/main" w="25000">
              <a:solidFill>
                <a:srgbClr val="3B82F6"/>
              </a:solidFill>
              <a:prstDash val="solid"/>
            </a:ln>
          </spPr>
          <marker>
            <symbol val="circle"/>
            <size val="5"/>
            <spPr>
              <a:solidFill xmlns:a="http://schemas.openxmlformats.org/drawingml/2006/main">
                <a:srgbClr val="1D4ED8"/>
              </a:solidFill>
              <a:ln xmlns:a="http://schemas.openxmlformats.org/drawingml/2006/main">
                <a:prstDash val="solid"/>
              </a:ln>
            </spPr>
          </marker>
          <cat>
            <numRef>
              <f>'May 2029'!$E$45:$AI$45</f>
            </numRef>
          </cat>
          <val>
            <numRef>
              <f>'May 2029'!$E$47:$AI$47</f>
            </numRef>
          </val>
        </ser>
        <axId val="10"/>
        <axId val="100"/>
      </lineChart>
      <catAx>
        <axId val="10"/>
        <scaling>
          <orientation val="minMax"/>
        </scaling>
        <axPos val="l"/>
        <title>
          <tx>
            <rich>
              <a:bodyPr xmlns:a="http://schemas.openxmlformats.org/drawingml/2006/main"/>
              <a:p xmlns:a="http://schemas.openxmlformats.org/drawingml/2006/main">
                <a:pPr>
                  <a:defRPr/>
                </a:pPr>
                <a:r>
                  <a:t>Day</a:t>
                </a:r>
              </a:p>
            </rich>
          </tx>
        </title>
        <majorTickMark val="none"/>
        <minorTickMark val="none"/>
        <crossAx val="100"/>
        <lblOffset val="100"/>
      </catAx>
      <valAx>
        <axId val="100"/>
        <scaling>
          <orientation val="minMax"/>
          <max val="24"/>
          <min val="0"/>
        </scaling>
        <axPos val="l"/>
        <majorGridlines/>
        <title>
          <tx>
            <rich>
              <a:bodyPr xmlns:a="http://schemas.openxmlformats.org/drawingml/2006/main"/>
              <a:p xmlns:a="http://schemas.openxmlformats.org/drawingml/2006/main">
                <a:pPr>
                  <a:defRPr/>
                </a:pPr>
                <a:r>
                  <a:t>Hours</a:t>
                </a:r>
              </a:p>
            </rich>
          </tx>
        </title>
        <majorTickMark val="none"/>
        <minorTickMark val="none"/>
        <crossAx val="10"/>
      </valAx>
    </plotArea>
    <plotVisOnly val="1"/>
    <dispBlanksAs val="gap"/>
  </chart>
</chartSpace>
</file>

<file path=xl/charts/chart101.xml><?xml version="1.0" encoding="utf-8"?>
<chartSpace xmlns="http://schemas.openxmlformats.org/drawingml/2006/chart">
  <style val="10"/>
  <chart>
    <title>
      <tx>
        <rich>
          <a:bodyPr xmlns:a="http://schemas.openxmlformats.org/drawingml/2006/main"/>
          <a:p xmlns:a="http://schemas.openxmlformats.org/drawingml/2006/main">
            <a:pPr>
              <a:defRPr/>
            </a:pPr>
            <a:r>
              <a:t>Weekly Momentum Trend (%)</a:t>
            </a:r>
          </a:p>
        </rich>
      </tx>
    </title>
    <plotArea>
      <barChart>
        <barDir val="col"/>
        <grouping val="clustered"/>
        <ser>
          <idx val="0"/>
          <order val="0"/>
          <tx>
            <strRef>
              <f>'May 2029'!E75</f>
            </strRef>
          </tx>
          <spPr>
            <a:ln xmlns:a="http://schemas.openxmlformats.org/drawingml/2006/main">
              <a:prstDash val="solid"/>
            </a:ln>
          </spPr>
          <cat>
            <numRef>
              <f>'May 2029'!$A$76:$A$80</f>
            </numRef>
          </cat>
          <val>
            <numRef>
              <f>'May 2029'!$E$76:$E$80</f>
            </numRef>
          </val>
        </ser>
        <gapWidth val="150"/>
        <axId val="10"/>
        <axId val="100"/>
      </barChart>
      <catAx>
        <axId val="10"/>
        <scaling>
          <orientation val="minMax"/>
        </scaling>
        <axPos val="l"/>
        <title>
          <tx>
            <rich>
              <a:bodyPr xmlns:a="http://schemas.openxmlformats.org/drawingml/2006/main"/>
              <a:p xmlns:a="http://schemas.openxmlformats.org/drawingml/2006/main">
                <a:pPr>
                  <a:defRPr/>
                </a:pPr>
                <a:r>
                  <a:t>Week</a:t>
                </a:r>
              </a:p>
            </rich>
          </tx>
        </title>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Success %</a:t>
                </a:r>
              </a:p>
            </rich>
          </tx>
        </title>
        <majorTickMark val="none"/>
        <minorTickMark val="none"/>
        <crossAx val="10"/>
      </valAx>
    </plotArea>
    <plotVisOnly val="1"/>
    <dispBlanksAs val="gap"/>
  </chart>
</chartSpace>
</file>

<file path=xl/charts/chart102.xml><?xml version="1.0" encoding="utf-8"?>
<chartSpace xmlns="http://schemas.openxmlformats.org/drawingml/2006/chart">
  <style val="11"/>
  <chart>
    <title>
      <tx>
        <rich>
          <a:bodyPr xmlns:a="http://schemas.openxmlformats.org/drawingml/2006/main"/>
          <a:p xmlns:a="http://schemas.openxmlformats.org/drawingml/2006/main">
            <a:pPr>
              <a:defRPr/>
            </a:pPr>
            <a:r>
              <a:t>Performance by Domain (%)</a:t>
            </a:r>
          </a:p>
        </rich>
      </tx>
    </title>
    <plotArea>
      <barChart>
        <barDir val="col"/>
        <grouping val="clustered"/>
        <ser>
          <idx val="0"/>
          <order val="0"/>
          <tx>
            <strRef>
              <f>'May 2029'!S75</f>
            </strRef>
          </tx>
          <spPr>
            <a:ln xmlns:a="http://schemas.openxmlformats.org/drawingml/2006/main">
              <a:prstDash val="solid"/>
            </a:ln>
          </spPr>
          <cat>
            <numRef>
              <f>'May 2029'!$N$76:$N$80</f>
            </numRef>
          </cat>
          <val>
            <numRef>
              <f>'May 2029'!$S$76:$S$80</f>
            </numRef>
          </val>
        </ser>
        <gapWidth val="150"/>
        <axId val="10"/>
        <axId val="100"/>
      </barChart>
      <catAx>
        <axId val="10"/>
        <scaling>
          <orientation val="minMax"/>
        </scaling>
        <axPos val="l"/>
        <title>
          <tx>
            <rich>
              <a:bodyPr xmlns:a="http://schemas.openxmlformats.org/drawingml/2006/main"/>
              <a:p xmlns:a="http://schemas.openxmlformats.org/drawingml/2006/main">
                <a:pPr>
                  <a:defRPr/>
                </a:pPr>
                <a:r>
                  <a:t>Domain</a:t>
                </a:r>
              </a:p>
            </rich>
          </tx>
        </title>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Success %</a:t>
                </a:r>
              </a:p>
            </rich>
          </tx>
        </title>
        <majorTickMark val="none"/>
        <minorTickMark val="none"/>
        <crossAx val="10"/>
      </valAx>
    </plotArea>
    <plotVisOnly val="1"/>
    <dispBlanksAs val="gap"/>
  </chart>
</chartSpace>
</file>

<file path=xl/charts/chart103.xml><?xml version="1.0" encoding="utf-8"?>
<chartSpace xmlns="http://schemas.openxmlformats.org/drawingml/2006/chart">
  <style val="13"/>
  <chart>
    <title>
      <tx>
        <rich>
          <a:bodyPr xmlns:a="http://schemas.openxmlformats.org/drawingml/2006/main"/>
          <a:p xmlns:a="http://schemas.openxmlformats.org/drawingml/2006/main">
            <a:pPr>
              <a:defRPr/>
            </a:pPr>
            <a:r>
              <a:t>Daily Sleep Trend (Hours vs Day)</a:t>
            </a:r>
          </a:p>
        </rich>
      </tx>
    </title>
    <plotArea>
      <lineChart>
        <grouping val="standard"/>
        <ser>
          <idx val="0"/>
          <order val="0"/>
          <spPr>
            <a:ln xmlns:a="http://schemas.openxmlformats.org/drawingml/2006/main" w="25000">
              <a:solidFill>
                <a:srgbClr val="3B82F6"/>
              </a:solidFill>
              <a:prstDash val="solid"/>
            </a:ln>
          </spPr>
          <marker>
            <symbol val="circle"/>
            <size val="5"/>
            <spPr>
              <a:solidFill xmlns:a="http://schemas.openxmlformats.org/drawingml/2006/main">
                <a:srgbClr val="1D4ED8"/>
              </a:solidFill>
              <a:ln xmlns:a="http://schemas.openxmlformats.org/drawingml/2006/main">
                <a:prstDash val="solid"/>
              </a:ln>
            </spPr>
          </marker>
          <cat>
            <numRef>
              <f>'Jun 2029'!$E$45:$AH$45</f>
            </numRef>
          </cat>
          <val>
            <numRef>
              <f>'Jun 2029'!$E$47:$AH$47</f>
            </numRef>
          </val>
        </ser>
        <axId val="10"/>
        <axId val="100"/>
      </lineChart>
      <catAx>
        <axId val="10"/>
        <scaling>
          <orientation val="minMax"/>
        </scaling>
        <axPos val="l"/>
        <title>
          <tx>
            <rich>
              <a:bodyPr xmlns:a="http://schemas.openxmlformats.org/drawingml/2006/main"/>
              <a:p xmlns:a="http://schemas.openxmlformats.org/drawingml/2006/main">
                <a:pPr>
                  <a:defRPr/>
                </a:pPr>
                <a:r>
                  <a:t>Day</a:t>
                </a:r>
              </a:p>
            </rich>
          </tx>
        </title>
        <majorTickMark val="none"/>
        <minorTickMark val="none"/>
        <crossAx val="100"/>
        <lblOffset val="100"/>
      </catAx>
      <valAx>
        <axId val="100"/>
        <scaling>
          <orientation val="minMax"/>
          <max val="24"/>
          <min val="0"/>
        </scaling>
        <axPos val="l"/>
        <majorGridlines/>
        <title>
          <tx>
            <rich>
              <a:bodyPr xmlns:a="http://schemas.openxmlformats.org/drawingml/2006/main"/>
              <a:p xmlns:a="http://schemas.openxmlformats.org/drawingml/2006/main">
                <a:pPr>
                  <a:defRPr/>
                </a:pPr>
                <a:r>
                  <a:t>Hours</a:t>
                </a:r>
              </a:p>
            </rich>
          </tx>
        </title>
        <majorTickMark val="none"/>
        <minorTickMark val="none"/>
        <crossAx val="10"/>
      </valAx>
    </plotArea>
    <plotVisOnly val="1"/>
    <dispBlanksAs val="gap"/>
  </chart>
</chartSpace>
</file>

<file path=xl/charts/chart104.xml><?xml version="1.0" encoding="utf-8"?>
<chartSpace xmlns="http://schemas.openxmlformats.org/drawingml/2006/chart">
  <style val="10"/>
  <chart>
    <title>
      <tx>
        <rich>
          <a:bodyPr xmlns:a="http://schemas.openxmlformats.org/drawingml/2006/main"/>
          <a:p xmlns:a="http://schemas.openxmlformats.org/drawingml/2006/main">
            <a:pPr>
              <a:defRPr/>
            </a:pPr>
            <a:r>
              <a:t>Weekly Momentum Trend (%)</a:t>
            </a:r>
          </a:p>
        </rich>
      </tx>
    </title>
    <plotArea>
      <barChart>
        <barDir val="col"/>
        <grouping val="clustered"/>
        <ser>
          <idx val="0"/>
          <order val="0"/>
          <tx>
            <strRef>
              <f>'Jun 2029'!E75</f>
            </strRef>
          </tx>
          <spPr>
            <a:ln xmlns:a="http://schemas.openxmlformats.org/drawingml/2006/main">
              <a:prstDash val="solid"/>
            </a:ln>
          </spPr>
          <cat>
            <numRef>
              <f>'Jun 2029'!$A$76:$A$80</f>
            </numRef>
          </cat>
          <val>
            <numRef>
              <f>'Jun 2029'!$E$76:$E$80</f>
            </numRef>
          </val>
        </ser>
        <gapWidth val="150"/>
        <axId val="10"/>
        <axId val="100"/>
      </barChart>
      <catAx>
        <axId val="10"/>
        <scaling>
          <orientation val="minMax"/>
        </scaling>
        <axPos val="l"/>
        <title>
          <tx>
            <rich>
              <a:bodyPr xmlns:a="http://schemas.openxmlformats.org/drawingml/2006/main"/>
              <a:p xmlns:a="http://schemas.openxmlformats.org/drawingml/2006/main">
                <a:pPr>
                  <a:defRPr/>
                </a:pPr>
                <a:r>
                  <a:t>Week</a:t>
                </a:r>
              </a:p>
            </rich>
          </tx>
        </title>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Success %</a:t>
                </a:r>
              </a:p>
            </rich>
          </tx>
        </title>
        <majorTickMark val="none"/>
        <minorTickMark val="none"/>
        <crossAx val="10"/>
      </valAx>
    </plotArea>
    <plotVisOnly val="1"/>
    <dispBlanksAs val="gap"/>
  </chart>
</chartSpace>
</file>

<file path=xl/charts/chart105.xml><?xml version="1.0" encoding="utf-8"?>
<chartSpace xmlns="http://schemas.openxmlformats.org/drawingml/2006/chart">
  <style val="11"/>
  <chart>
    <title>
      <tx>
        <rich>
          <a:bodyPr xmlns:a="http://schemas.openxmlformats.org/drawingml/2006/main"/>
          <a:p xmlns:a="http://schemas.openxmlformats.org/drawingml/2006/main">
            <a:pPr>
              <a:defRPr/>
            </a:pPr>
            <a:r>
              <a:t>Performance by Domain (%)</a:t>
            </a:r>
          </a:p>
        </rich>
      </tx>
    </title>
    <plotArea>
      <barChart>
        <barDir val="col"/>
        <grouping val="clustered"/>
        <ser>
          <idx val="0"/>
          <order val="0"/>
          <tx>
            <strRef>
              <f>'Jun 2029'!S75</f>
            </strRef>
          </tx>
          <spPr>
            <a:ln xmlns:a="http://schemas.openxmlformats.org/drawingml/2006/main">
              <a:prstDash val="solid"/>
            </a:ln>
          </spPr>
          <cat>
            <numRef>
              <f>'Jun 2029'!$N$76:$N$80</f>
            </numRef>
          </cat>
          <val>
            <numRef>
              <f>'Jun 2029'!$S$76:$S$80</f>
            </numRef>
          </val>
        </ser>
        <gapWidth val="150"/>
        <axId val="10"/>
        <axId val="100"/>
      </barChart>
      <catAx>
        <axId val="10"/>
        <scaling>
          <orientation val="minMax"/>
        </scaling>
        <axPos val="l"/>
        <title>
          <tx>
            <rich>
              <a:bodyPr xmlns:a="http://schemas.openxmlformats.org/drawingml/2006/main"/>
              <a:p xmlns:a="http://schemas.openxmlformats.org/drawingml/2006/main">
                <a:pPr>
                  <a:defRPr/>
                </a:pPr>
                <a:r>
                  <a:t>Domain</a:t>
                </a:r>
              </a:p>
            </rich>
          </tx>
        </title>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Success %</a:t>
                </a:r>
              </a:p>
            </rich>
          </tx>
        </title>
        <majorTickMark val="none"/>
        <minorTickMark val="none"/>
        <crossAx val="10"/>
      </valAx>
    </plotArea>
    <plotVisOnly val="1"/>
    <dispBlanksAs val="gap"/>
  </chart>
</chartSpace>
</file>

<file path=xl/charts/chart106.xml><?xml version="1.0" encoding="utf-8"?>
<chartSpace xmlns="http://schemas.openxmlformats.org/drawingml/2006/chart">
  <style val="13"/>
  <chart>
    <title>
      <tx>
        <rich>
          <a:bodyPr xmlns:a="http://schemas.openxmlformats.org/drawingml/2006/main"/>
          <a:p xmlns:a="http://schemas.openxmlformats.org/drawingml/2006/main">
            <a:pPr>
              <a:defRPr/>
            </a:pPr>
            <a:r>
              <a:t>Daily Sleep Trend (Hours vs Day)</a:t>
            </a:r>
          </a:p>
        </rich>
      </tx>
    </title>
    <plotArea>
      <lineChart>
        <grouping val="standard"/>
        <ser>
          <idx val="0"/>
          <order val="0"/>
          <spPr>
            <a:ln xmlns:a="http://schemas.openxmlformats.org/drawingml/2006/main" w="25000">
              <a:solidFill>
                <a:srgbClr val="3B82F6"/>
              </a:solidFill>
              <a:prstDash val="solid"/>
            </a:ln>
          </spPr>
          <marker>
            <symbol val="circle"/>
            <size val="5"/>
            <spPr>
              <a:solidFill xmlns:a="http://schemas.openxmlformats.org/drawingml/2006/main">
                <a:srgbClr val="1D4ED8"/>
              </a:solidFill>
              <a:ln xmlns:a="http://schemas.openxmlformats.org/drawingml/2006/main">
                <a:prstDash val="solid"/>
              </a:ln>
            </spPr>
          </marker>
          <cat>
            <numRef>
              <f>'Jul 2029'!$E$45:$AI$45</f>
            </numRef>
          </cat>
          <val>
            <numRef>
              <f>'Jul 2029'!$E$47:$AI$47</f>
            </numRef>
          </val>
        </ser>
        <axId val="10"/>
        <axId val="100"/>
      </lineChart>
      <catAx>
        <axId val="10"/>
        <scaling>
          <orientation val="minMax"/>
        </scaling>
        <axPos val="l"/>
        <title>
          <tx>
            <rich>
              <a:bodyPr xmlns:a="http://schemas.openxmlformats.org/drawingml/2006/main"/>
              <a:p xmlns:a="http://schemas.openxmlformats.org/drawingml/2006/main">
                <a:pPr>
                  <a:defRPr/>
                </a:pPr>
                <a:r>
                  <a:t>Day</a:t>
                </a:r>
              </a:p>
            </rich>
          </tx>
        </title>
        <majorTickMark val="none"/>
        <minorTickMark val="none"/>
        <crossAx val="100"/>
        <lblOffset val="100"/>
      </catAx>
      <valAx>
        <axId val="100"/>
        <scaling>
          <orientation val="minMax"/>
          <max val="24"/>
          <min val="0"/>
        </scaling>
        <axPos val="l"/>
        <majorGridlines/>
        <title>
          <tx>
            <rich>
              <a:bodyPr xmlns:a="http://schemas.openxmlformats.org/drawingml/2006/main"/>
              <a:p xmlns:a="http://schemas.openxmlformats.org/drawingml/2006/main">
                <a:pPr>
                  <a:defRPr/>
                </a:pPr>
                <a:r>
                  <a:t>Hours</a:t>
                </a:r>
              </a:p>
            </rich>
          </tx>
        </title>
        <majorTickMark val="none"/>
        <minorTickMark val="none"/>
        <crossAx val="10"/>
      </valAx>
    </plotArea>
    <plotVisOnly val="1"/>
    <dispBlanksAs val="gap"/>
  </chart>
</chartSpace>
</file>

<file path=xl/charts/chart107.xml><?xml version="1.0" encoding="utf-8"?>
<chartSpace xmlns="http://schemas.openxmlformats.org/drawingml/2006/chart">
  <style val="10"/>
  <chart>
    <title>
      <tx>
        <rich>
          <a:bodyPr xmlns:a="http://schemas.openxmlformats.org/drawingml/2006/main"/>
          <a:p xmlns:a="http://schemas.openxmlformats.org/drawingml/2006/main">
            <a:pPr>
              <a:defRPr/>
            </a:pPr>
            <a:r>
              <a:t>Weekly Momentum Trend (%)</a:t>
            </a:r>
          </a:p>
        </rich>
      </tx>
    </title>
    <plotArea>
      <barChart>
        <barDir val="col"/>
        <grouping val="clustered"/>
        <ser>
          <idx val="0"/>
          <order val="0"/>
          <tx>
            <strRef>
              <f>'Jul 2029'!E75</f>
            </strRef>
          </tx>
          <spPr>
            <a:ln xmlns:a="http://schemas.openxmlformats.org/drawingml/2006/main">
              <a:prstDash val="solid"/>
            </a:ln>
          </spPr>
          <cat>
            <numRef>
              <f>'Jul 2029'!$A$76:$A$80</f>
            </numRef>
          </cat>
          <val>
            <numRef>
              <f>'Jul 2029'!$E$76:$E$80</f>
            </numRef>
          </val>
        </ser>
        <gapWidth val="150"/>
        <axId val="10"/>
        <axId val="100"/>
      </barChart>
      <catAx>
        <axId val="10"/>
        <scaling>
          <orientation val="minMax"/>
        </scaling>
        <axPos val="l"/>
        <title>
          <tx>
            <rich>
              <a:bodyPr xmlns:a="http://schemas.openxmlformats.org/drawingml/2006/main"/>
              <a:p xmlns:a="http://schemas.openxmlformats.org/drawingml/2006/main">
                <a:pPr>
                  <a:defRPr/>
                </a:pPr>
                <a:r>
                  <a:t>Week</a:t>
                </a:r>
              </a:p>
            </rich>
          </tx>
        </title>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Success %</a:t>
                </a:r>
              </a:p>
            </rich>
          </tx>
        </title>
        <majorTickMark val="none"/>
        <minorTickMark val="none"/>
        <crossAx val="10"/>
      </valAx>
    </plotArea>
    <plotVisOnly val="1"/>
    <dispBlanksAs val="gap"/>
  </chart>
</chartSpace>
</file>

<file path=xl/charts/chart108.xml><?xml version="1.0" encoding="utf-8"?>
<chartSpace xmlns="http://schemas.openxmlformats.org/drawingml/2006/chart">
  <style val="11"/>
  <chart>
    <title>
      <tx>
        <rich>
          <a:bodyPr xmlns:a="http://schemas.openxmlformats.org/drawingml/2006/main"/>
          <a:p xmlns:a="http://schemas.openxmlformats.org/drawingml/2006/main">
            <a:pPr>
              <a:defRPr/>
            </a:pPr>
            <a:r>
              <a:t>Performance by Domain (%)</a:t>
            </a:r>
          </a:p>
        </rich>
      </tx>
    </title>
    <plotArea>
      <barChart>
        <barDir val="col"/>
        <grouping val="clustered"/>
        <ser>
          <idx val="0"/>
          <order val="0"/>
          <tx>
            <strRef>
              <f>'Jul 2029'!S75</f>
            </strRef>
          </tx>
          <spPr>
            <a:ln xmlns:a="http://schemas.openxmlformats.org/drawingml/2006/main">
              <a:prstDash val="solid"/>
            </a:ln>
          </spPr>
          <cat>
            <numRef>
              <f>'Jul 2029'!$N$76:$N$80</f>
            </numRef>
          </cat>
          <val>
            <numRef>
              <f>'Jul 2029'!$S$76:$S$80</f>
            </numRef>
          </val>
        </ser>
        <gapWidth val="150"/>
        <axId val="10"/>
        <axId val="100"/>
      </barChart>
      <catAx>
        <axId val="10"/>
        <scaling>
          <orientation val="minMax"/>
        </scaling>
        <axPos val="l"/>
        <title>
          <tx>
            <rich>
              <a:bodyPr xmlns:a="http://schemas.openxmlformats.org/drawingml/2006/main"/>
              <a:p xmlns:a="http://schemas.openxmlformats.org/drawingml/2006/main">
                <a:pPr>
                  <a:defRPr/>
                </a:pPr>
                <a:r>
                  <a:t>Domain</a:t>
                </a:r>
              </a:p>
            </rich>
          </tx>
        </title>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Success %</a:t>
                </a:r>
              </a:p>
            </rich>
          </tx>
        </title>
        <majorTickMark val="none"/>
        <minorTickMark val="none"/>
        <crossAx val="10"/>
      </valAx>
    </plotArea>
    <plotVisOnly val="1"/>
    <dispBlanksAs val="gap"/>
  </chart>
</chartSpace>
</file>

<file path=xl/charts/chart109.xml><?xml version="1.0" encoding="utf-8"?>
<chartSpace xmlns="http://schemas.openxmlformats.org/drawingml/2006/chart">
  <style val="13"/>
  <chart>
    <title>
      <tx>
        <rich>
          <a:bodyPr xmlns:a="http://schemas.openxmlformats.org/drawingml/2006/main"/>
          <a:p xmlns:a="http://schemas.openxmlformats.org/drawingml/2006/main">
            <a:pPr>
              <a:defRPr/>
            </a:pPr>
            <a:r>
              <a:t>Daily Sleep Trend (Hours vs Day)</a:t>
            </a:r>
          </a:p>
        </rich>
      </tx>
    </title>
    <plotArea>
      <lineChart>
        <grouping val="standard"/>
        <ser>
          <idx val="0"/>
          <order val="0"/>
          <spPr>
            <a:ln xmlns:a="http://schemas.openxmlformats.org/drawingml/2006/main" w="25000">
              <a:solidFill>
                <a:srgbClr val="3B82F6"/>
              </a:solidFill>
              <a:prstDash val="solid"/>
            </a:ln>
          </spPr>
          <marker>
            <symbol val="circle"/>
            <size val="5"/>
            <spPr>
              <a:solidFill xmlns:a="http://schemas.openxmlformats.org/drawingml/2006/main">
                <a:srgbClr val="1D4ED8"/>
              </a:solidFill>
              <a:ln xmlns:a="http://schemas.openxmlformats.org/drawingml/2006/main">
                <a:prstDash val="solid"/>
              </a:ln>
            </spPr>
          </marker>
          <cat>
            <numRef>
              <f>'Aug 2029'!$E$45:$AI$45</f>
            </numRef>
          </cat>
          <val>
            <numRef>
              <f>'Aug 2029'!$E$47:$AI$47</f>
            </numRef>
          </val>
        </ser>
        <axId val="10"/>
        <axId val="100"/>
      </lineChart>
      <catAx>
        <axId val="10"/>
        <scaling>
          <orientation val="minMax"/>
        </scaling>
        <axPos val="l"/>
        <title>
          <tx>
            <rich>
              <a:bodyPr xmlns:a="http://schemas.openxmlformats.org/drawingml/2006/main"/>
              <a:p xmlns:a="http://schemas.openxmlformats.org/drawingml/2006/main">
                <a:pPr>
                  <a:defRPr/>
                </a:pPr>
                <a:r>
                  <a:t>Day</a:t>
                </a:r>
              </a:p>
            </rich>
          </tx>
        </title>
        <majorTickMark val="none"/>
        <minorTickMark val="none"/>
        <crossAx val="100"/>
        <lblOffset val="100"/>
      </catAx>
      <valAx>
        <axId val="100"/>
        <scaling>
          <orientation val="minMax"/>
          <max val="24"/>
          <min val="0"/>
        </scaling>
        <axPos val="l"/>
        <majorGridlines/>
        <title>
          <tx>
            <rich>
              <a:bodyPr xmlns:a="http://schemas.openxmlformats.org/drawingml/2006/main"/>
              <a:p xmlns:a="http://schemas.openxmlformats.org/drawingml/2006/main">
                <a:pPr>
                  <a:defRPr/>
                </a:pPr>
                <a:r>
                  <a:t>Hours</a:t>
                </a:r>
              </a:p>
            </rich>
          </tx>
        </title>
        <majorTickMark val="none"/>
        <minorTickMark val="none"/>
        <crossAx val="10"/>
      </valAx>
    </plotArea>
    <plotVisOnly val="1"/>
    <dispBlanksAs val="gap"/>
  </chart>
</chartSpace>
</file>

<file path=xl/charts/chart110.xml><?xml version="1.0" encoding="utf-8"?>
<chartSpace xmlns="http://schemas.openxmlformats.org/drawingml/2006/chart">
  <style val="10"/>
  <chart>
    <title>
      <tx>
        <rich>
          <a:bodyPr xmlns:a="http://schemas.openxmlformats.org/drawingml/2006/main"/>
          <a:p xmlns:a="http://schemas.openxmlformats.org/drawingml/2006/main">
            <a:pPr>
              <a:defRPr/>
            </a:pPr>
            <a:r>
              <a:t>Weekly Momentum Trend (%)</a:t>
            </a:r>
          </a:p>
        </rich>
      </tx>
    </title>
    <plotArea>
      <barChart>
        <barDir val="col"/>
        <grouping val="clustered"/>
        <ser>
          <idx val="0"/>
          <order val="0"/>
          <tx>
            <strRef>
              <f>'Aug 2029'!E75</f>
            </strRef>
          </tx>
          <spPr>
            <a:ln xmlns:a="http://schemas.openxmlformats.org/drawingml/2006/main">
              <a:prstDash val="solid"/>
            </a:ln>
          </spPr>
          <cat>
            <numRef>
              <f>'Aug 2029'!$A$76:$A$80</f>
            </numRef>
          </cat>
          <val>
            <numRef>
              <f>'Aug 2029'!$E$76:$E$80</f>
            </numRef>
          </val>
        </ser>
        <gapWidth val="150"/>
        <axId val="10"/>
        <axId val="100"/>
      </barChart>
      <catAx>
        <axId val="10"/>
        <scaling>
          <orientation val="minMax"/>
        </scaling>
        <axPos val="l"/>
        <title>
          <tx>
            <rich>
              <a:bodyPr xmlns:a="http://schemas.openxmlformats.org/drawingml/2006/main"/>
              <a:p xmlns:a="http://schemas.openxmlformats.org/drawingml/2006/main">
                <a:pPr>
                  <a:defRPr/>
                </a:pPr>
                <a:r>
                  <a:t>Week</a:t>
                </a:r>
              </a:p>
            </rich>
          </tx>
        </title>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Success %</a:t>
                </a:r>
              </a:p>
            </rich>
          </tx>
        </title>
        <majorTickMark val="none"/>
        <minorTickMark val="none"/>
        <crossAx val="10"/>
      </valAx>
    </plotArea>
    <plotVisOnly val="1"/>
    <dispBlanksAs val="gap"/>
  </chart>
</chartSpace>
</file>

<file path=xl/charts/chart111.xml><?xml version="1.0" encoding="utf-8"?>
<chartSpace xmlns="http://schemas.openxmlformats.org/drawingml/2006/chart">
  <style val="11"/>
  <chart>
    <title>
      <tx>
        <rich>
          <a:bodyPr xmlns:a="http://schemas.openxmlformats.org/drawingml/2006/main"/>
          <a:p xmlns:a="http://schemas.openxmlformats.org/drawingml/2006/main">
            <a:pPr>
              <a:defRPr/>
            </a:pPr>
            <a:r>
              <a:t>Performance by Domain (%)</a:t>
            </a:r>
          </a:p>
        </rich>
      </tx>
    </title>
    <plotArea>
      <barChart>
        <barDir val="col"/>
        <grouping val="clustered"/>
        <ser>
          <idx val="0"/>
          <order val="0"/>
          <tx>
            <strRef>
              <f>'Aug 2029'!S75</f>
            </strRef>
          </tx>
          <spPr>
            <a:ln xmlns:a="http://schemas.openxmlformats.org/drawingml/2006/main">
              <a:prstDash val="solid"/>
            </a:ln>
          </spPr>
          <cat>
            <numRef>
              <f>'Aug 2029'!$N$76:$N$80</f>
            </numRef>
          </cat>
          <val>
            <numRef>
              <f>'Aug 2029'!$S$76:$S$80</f>
            </numRef>
          </val>
        </ser>
        <gapWidth val="150"/>
        <axId val="10"/>
        <axId val="100"/>
      </barChart>
      <catAx>
        <axId val="10"/>
        <scaling>
          <orientation val="minMax"/>
        </scaling>
        <axPos val="l"/>
        <title>
          <tx>
            <rich>
              <a:bodyPr xmlns:a="http://schemas.openxmlformats.org/drawingml/2006/main"/>
              <a:p xmlns:a="http://schemas.openxmlformats.org/drawingml/2006/main">
                <a:pPr>
                  <a:defRPr/>
                </a:pPr>
                <a:r>
                  <a:t>Domain</a:t>
                </a:r>
              </a:p>
            </rich>
          </tx>
        </title>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Success %</a:t>
                </a:r>
              </a:p>
            </rich>
          </tx>
        </title>
        <majorTickMark val="none"/>
        <minorTickMark val="none"/>
        <crossAx val="10"/>
      </valAx>
    </plotArea>
    <plotVisOnly val="1"/>
    <dispBlanksAs val="gap"/>
  </chart>
</chartSpace>
</file>

<file path=xl/charts/chart112.xml><?xml version="1.0" encoding="utf-8"?>
<chartSpace xmlns="http://schemas.openxmlformats.org/drawingml/2006/chart">
  <style val="13"/>
  <chart>
    <title>
      <tx>
        <rich>
          <a:bodyPr xmlns:a="http://schemas.openxmlformats.org/drawingml/2006/main"/>
          <a:p xmlns:a="http://schemas.openxmlformats.org/drawingml/2006/main">
            <a:pPr>
              <a:defRPr/>
            </a:pPr>
            <a:r>
              <a:t>Daily Sleep Trend (Hours vs Day)</a:t>
            </a:r>
          </a:p>
        </rich>
      </tx>
    </title>
    <plotArea>
      <lineChart>
        <grouping val="standard"/>
        <ser>
          <idx val="0"/>
          <order val="0"/>
          <spPr>
            <a:ln xmlns:a="http://schemas.openxmlformats.org/drawingml/2006/main" w="25000">
              <a:solidFill>
                <a:srgbClr val="3B82F6"/>
              </a:solidFill>
              <a:prstDash val="solid"/>
            </a:ln>
          </spPr>
          <marker>
            <symbol val="circle"/>
            <size val="5"/>
            <spPr>
              <a:solidFill xmlns:a="http://schemas.openxmlformats.org/drawingml/2006/main">
                <a:srgbClr val="1D4ED8"/>
              </a:solidFill>
              <a:ln xmlns:a="http://schemas.openxmlformats.org/drawingml/2006/main">
                <a:prstDash val="solid"/>
              </a:ln>
            </spPr>
          </marker>
          <cat>
            <numRef>
              <f>'Sep 2029'!$E$45:$AH$45</f>
            </numRef>
          </cat>
          <val>
            <numRef>
              <f>'Sep 2029'!$E$47:$AH$47</f>
            </numRef>
          </val>
        </ser>
        <axId val="10"/>
        <axId val="100"/>
      </lineChart>
      <catAx>
        <axId val="10"/>
        <scaling>
          <orientation val="minMax"/>
        </scaling>
        <axPos val="l"/>
        <title>
          <tx>
            <rich>
              <a:bodyPr xmlns:a="http://schemas.openxmlformats.org/drawingml/2006/main"/>
              <a:p xmlns:a="http://schemas.openxmlformats.org/drawingml/2006/main">
                <a:pPr>
                  <a:defRPr/>
                </a:pPr>
                <a:r>
                  <a:t>Day</a:t>
                </a:r>
              </a:p>
            </rich>
          </tx>
        </title>
        <majorTickMark val="none"/>
        <minorTickMark val="none"/>
        <crossAx val="100"/>
        <lblOffset val="100"/>
      </catAx>
      <valAx>
        <axId val="100"/>
        <scaling>
          <orientation val="minMax"/>
          <max val="24"/>
          <min val="0"/>
        </scaling>
        <axPos val="l"/>
        <majorGridlines/>
        <title>
          <tx>
            <rich>
              <a:bodyPr xmlns:a="http://schemas.openxmlformats.org/drawingml/2006/main"/>
              <a:p xmlns:a="http://schemas.openxmlformats.org/drawingml/2006/main">
                <a:pPr>
                  <a:defRPr/>
                </a:pPr>
                <a:r>
                  <a:t>Hours</a:t>
                </a:r>
              </a:p>
            </rich>
          </tx>
        </title>
        <majorTickMark val="none"/>
        <minorTickMark val="none"/>
        <crossAx val="10"/>
      </valAx>
    </plotArea>
    <plotVisOnly val="1"/>
    <dispBlanksAs val="gap"/>
  </chart>
</chartSpace>
</file>

<file path=xl/charts/chart113.xml><?xml version="1.0" encoding="utf-8"?>
<chartSpace xmlns="http://schemas.openxmlformats.org/drawingml/2006/chart">
  <style val="10"/>
  <chart>
    <title>
      <tx>
        <rich>
          <a:bodyPr xmlns:a="http://schemas.openxmlformats.org/drawingml/2006/main"/>
          <a:p xmlns:a="http://schemas.openxmlformats.org/drawingml/2006/main">
            <a:pPr>
              <a:defRPr/>
            </a:pPr>
            <a:r>
              <a:t>Weekly Momentum Trend (%)</a:t>
            </a:r>
          </a:p>
        </rich>
      </tx>
    </title>
    <plotArea>
      <barChart>
        <barDir val="col"/>
        <grouping val="clustered"/>
        <ser>
          <idx val="0"/>
          <order val="0"/>
          <tx>
            <strRef>
              <f>'Sep 2029'!E75</f>
            </strRef>
          </tx>
          <spPr>
            <a:ln xmlns:a="http://schemas.openxmlformats.org/drawingml/2006/main">
              <a:prstDash val="solid"/>
            </a:ln>
          </spPr>
          <cat>
            <numRef>
              <f>'Sep 2029'!$A$76:$A$80</f>
            </numRef>
          </cat>
          <val>
            <numRef>
              <f>'Sep 2029'!$E$76:$E$80</f>
            </numRef>
          </val>
        </ser>
        <gapWidth val="150"/>
        <axId val="10"/>
        <axId val="100"/>
      </barChart>
      <catAx>
        <axId val="10"/>
        <scaling>
          <orientation val="minMax"/>
        </scaling>
        <axPos val="l"/>
        <title>
          <tx>
            <rich>
              <a:bodyPr xmlns:a="http://schemas.openxmlformats.org/drawingml/2006/main"/>
              <a:p xmlns:a="http://schemas.openxmlformats.org/drawingml/2006/main">
                <a:pPr>
                  <a:defRPr/>
                </a:pPr>
                <a:r>
                  <a:t>Week</a:t>
                </a:r>
              </a:p>
            </rich>
          </tx>
        </title>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Success %</a:t>
                </a:r>
              </a:p>
            </rich>
          </tx>
        </title>
        <majorTickMark val="none"/>
        <minorTickMark val="none"/>
        <crossAx val="10"/>
      </valAx>
    </plotArea>
    <plotVisOnly val="1"/>
    <dispBlanksAs val="gap"/>
  </chart>
</chartSpace>
</file>

<file path=xl/charts/chart114.xml><?xml version="1.0" encoding="utf-8"?>
<chartSpace xmlns="http://schemas.openxmlformats.org/drawingml/2006/chart">
  <style val="11"/>
  <chart>
    <title>
      <tx>
        <rich>
          <a:bodyPr xmlns:a="http://schemas.openxmlformats.org/drawingml/2006/main"/>
          <a:p xmlns:a="http://schemas.openxmlformats.org/drawingml/2006/main">
            <a:pPr>
              <a:defRPr/>
            </a:pPr>
            <a:r>
              <a:t>Performance by Domain (%)</a:t>
            </a:r>
          </a:p>
        </rich>
      </tx>
    </title>
    <plotArea>
      <barChart>
        <barDir val="col"/>
        <grouping val="clustered"/>
        <ser>
          <idx val="0"/>
          <order val="0"/>
          <tx>
            <strRef>
              <f>'Sep 2029'!S75</f>
            </strRef>
          </tx>
          <spPr>
            <a:ln xmlns:a="http://schemas.openxmlformats.org/drawingml/2006/main">
              <a:prstDash val="solid"/>
            </a:ln>
          </spPr>
          <cat>
            <numRef>
              <f>'Sep 2029'!$N$76:$N$80</f>
            </numRef>
          </cat>
          <val>
            <numRef>
              <f>'Sep 2029'!$S$76:$S$80</f>
            </numRef>
          </val>
        </ser>
        <gapWidth val="150"/>
        <axId val="10"/>
        <axId val="100"/>
      </barChart>
      <catAx>
        <axId val="10"/>
        <scaling>
          <orientation val="minMax"/>
        </scaling>
        <axPos val="l"/>
        <title>
          <tx>
            <rich>
              <a:bodyPr xmlns:a="http://schemas.openxmlformats.org/drawingml/2006/main"/>
              <a:p xmlns:a="http://schemas.openxmlformats.org/drawingml/2006/main">
                <a:pPr>
                  <a:defRPr/>
                </a:pPr>
                <a:r>
                  <a:t>Domain</a:t>
                </a:r>
              </a:p>
            </rich>
          </tx>
        </title>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Success %</a:t>
                </a:r>
              </a:p>
            </rich>
          </tx>
        </title>
        <majorTickMark val="none"/>
        <minorTickMark val="none"/>
        <crossAx val="10"/>
      </valAx>
    </plotArea>
    <plotVisOnly val="1"/>
    <dispBlanksAs val="gap"/>
  </chart>
</chartSpace>
</file>

<file path=xl/charts/chart115.xml><?xml version="1.0" encoding="utf-8"?>
<chartSpace xmlns="http://schemas.openxmlformats.org/drawingml/2006/chart">
  <style val="13"/>
  <chart>
    <title>
      <tx>
        <rich>
          <a:bodyPr xmlns:a="http://schemas.openxmlformats.org/drawingml/2006/main"/>
          <a:p xmlns:a="http://schemas.openxmlformats.org/drawingml/2006/main">
            <a:pPr>
              <a:defRPr/>
            </a:pPr>
            <a:r>
              <a:t>Daily Sleep Trend (Hours vs Day)</a:t>
            </a:r>
          </a:p>
        </rich>
      </tx>
    </title>
    <plotArea>
      <lineChart>
        <grouping val="standard"/>
        <ser>
          <idx val="0"/>
          <order val="0"/>
          <spPr>
            <a:ln xmlns:a="http://schemas.openxmlformats.org/drawingml/2006/main" w="25000">
              <a:solidFill>
                <a:srgbClr val="3B82F6"/>
              </a:solidFill>
              <a:prstDash val="solid"/>
            </a:ln>
          </spPr>
          <marker>
            <symbol val="circle"/>
            <size val="5"/>
            <spPr>
              <a:solidFill xmlns:a="http://schemas.openxmlformats.org/drawingml/2006/main">
                <a:srgbClr val="1D4ED8"/>
              </a:solidFill>
              <a:ln xmlns:a="http://schemas.openxmlformats.org/drawingml/2006/main">
                <a:prstDash val="solid"/>
              </a:ln>
            </spPr>
          </marker>
          <cat>
            <numRef>
              <f>'Oct 2029'!$E$45:$AI$45</f>
            </numRef>
          </cat>
          <val>
            <numRef>
              <f>'Oct 2029'!$E$47:$AI$47</f>
            </numRef>
          </val>
        </ser>
        <axId val="10"/>
        <axId val="100"/>
      </lineChart>
      <catAx>
        <axId val="10"/>
        <scaling>
          <orientation val="minMax"/>
        </scaling>
        <axPos val="l"/>
        <title>
          <tx>
            <rich>
              <a:bodyPr xmlns:a="http://schemas.openxmlformats.org/drawingml/2006/main"/>
              <a:p xmlns:a="http://schemas.openxmlformats.org/drawingml/2006/main">
                <a:pPr>
                  <a:defRPr/>
                </a:pPr>
                <a:r>
                  <a:t>Day</a:t>
                </a:r>
              </a:p>
            </rich>
          </tx>
        </title>
        <majorTickMark val="none"/>
        <minorTickMark val="none"/>
        <crossAx val="100"/>
        <lblOffset val="100"/>
      </catAx>
      <valAx>
        <axId val="100"/>
        <scaling>
          <orientation val="minMax"/>
          <max val="24"/>
          <min val="0"/>
        </scaling>
        <axPos val="l"/>
        <majorGridlines/>
        <title>
          <tx>
            <rich>
              <a:bodyPr xmlns:a="http://schemas.openxmlformats.org/drawingml/2006/main"/>
              <a:p xmlns:a="http://schemas.openxmlformats.org/drawingml/2006/main">
                <a:pPr>
                  <a:defRPr/>
                </a:pPr>
                <a:r>
                  <a:t>Hours</a:t>
                </a:r>
              </a:p>
            </rich>
          </tx>
        </title>
        <majorTickMark val="none"/>
        <minorTickMark val="none"/>
        <crossAx val="10"/>
      </valAx>
    </plotArea>
    <plotVisOnly val="1"/>
    <dispBlanksAs val="gap"/>
  </chart>
</chartSpace>
</file>

<file path=xl/charts/chart116.xml><?xml version="1.0" encoding="utf-8"?>
<chartSpace xmlns="http://schemas.openxmlformats.org/drawingml/2006/chart">
  <style val="10"/>
  <chart>
    <title>
      <tx>
        <rich>
          <a:bodyPr xmlns:a="http://schemas.openxmlformats.org/drawingml/2006/main"/>
          <a:p xmlns:a="http://schemas.openxmlformats.org/drawingml/2006/main">
            <a:pPr>
              <a:defRPr/>
            </a:pPr>
            <a:r>
              <a:t>Weekly Momentum Trend (%)</a:t>
            </a:r>
          </a:p>
        </rich>
      </tx>
    </title>
    <plotArea>
      <barChart>
        <barDir val="col"/>
        <grouping val="clustered"/>
        <ser>
          <idx val="0"/>
          <order val="0"/>
          <tx>
            <strRef>
              <f>'Oct 2029'!E75</f>
            </strRef>
          </tx>
          <spPr>
            <a:ln xmlns:a="http://schemas.openxmlformats.org/drawingml/2006/main">
              <a:prstDash val="solid"/>
            </a:ln>
          </spPr>
          <cat>
            <numRef>
              <f>'Oct 2029'!$A$76:$A$80</f>
            </numRef>
          </cat>
          <val>
            <numRef>
              <f>'Oct 2029'!$E$76:$E$80</f>
            </numRef>
          </val>
        </ser>
        <gapWidth val="150"/>
        <axId val="10"/>
        <axId val="100"/>
      </barChart>
      <catAx>
        <axId val="10"/>
        <scaling>
          <orientation val="minMax"/>
        </scaling>
        <axPos val="l"/>
        <title>
          <tx>
            <rich>
              <a:bodyPr xmlns:a="http://schemas.openxmlformats.org/drawingml/2006/main"/>
              <a:p xmlns:a="http://schemas.openxmlformats.org/drawingml/2006/main">
                <a:pPr>
                  <a:defRPr/>
                </a:pPr>
                <a:r>
                  <a:t>Week</a:t>
                </a:r>
              </a:p>
            </rich>
          </tx>
        </title>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Success %</a:t>
                </a:r>
              </a:p>
            </rich>
          </tx>
        </title>
        <majorTickMark val="none"/>
        <minorTickMark val="none"/>
        <crossAx val="10"/>
      </valAx>
    </plotArea>
    <plotVisOnly val="1"/>
    <dispBlanksAs val="gap"/>
  </chart>
</chartSpace>
</file>

<file path=xl/charts/chart117.xml><?xml version="1.0" encoding="utf-8"?>
<chartSpace xmlns="http://schemas.openxmlformats.org/drawingml/2006/chart">
  <style val="11"/>
  <chart>
    <title>
      <tx>
        <rich>
          <a:bodyPr xmlns:a="http://schemas.openxmlformats.org/drawingml/2006/main"/>
          <a:p xmlns:a="http://schemas.openxmlformats.org/drawingml/2006/main">
            <a:pPr>
              <a:defRPr/>
            </a:pPr>
            <a:r>
              <a:t>Performance by Domain (%)</a:t>
            </a:r>
          </a:p>
        </rich>
      </tx>
    </title>
    <plotArea>
      <barChart>
        <barDir val="col"/>
        <grouping val="clustered"/>
        <ser>
          <idx val="0"/>
          <order val="0"/>
          <tx>
            <strRef>
              <f>'Oct 2029'!S75</f>
            </strRef>
          </tx>
          <spPr>
            <a:ln xmlns:a="http://schemas.openxmlformats.org/drawingml/2006/main">
              <a:prstDash val="solid"/>
            </a:ln>
          </spPr>
          <cat>
            <numRef>
              <f>'Oct 2029'!$N$76:$N$80</f>
            </numRef>
          </cat>
          <val>
            <numRef>
              <f>'Oct 2029'!$S$76:$S$80</f>
            </numRef>
          </val>
        </ser>
        <gapWidth val="150"/>
        <axId val="10"/>
        <axId val="100"/>
      </barChart>
      <catAx>
        <axId val="10"/>
        <scaling>
          <orientation val="minMax"/>
        </scaling>
        <axPos val="l"/>
        <title>
          <tx>
            <rich>
              <a:bodyPr xmlns:a="http://schemas.openxmlformats.org/drawingml/2006/main"/>
              <a:p xmlns:a="http://schemas.openxmlformats.org/drawingml/2006/main">
                <a:pPr>
                  <a:defRPr/>
                </a:pPr>
                <a:r>
                  <a:t>Domain</a:t>
                </a:r>
              </a:p>
            </rich>
          </tx>
        </title>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Success %</a:t>
                </a:r>
              </a:p>
            </rich>
          </tx>
        </title>
        <majorTickMark val="none"/>
        <minorTickMark val="none"/>
        <crossAx val="10"/>
      </valAx>
    </plotArea>
    <plotVisOnly val="1"/>
    <dispBlanksAs val="gap"/>
  </chart>
</chartSpace>
</file>

<file path=xl/charts/chart118.xml><?xml version="1.0" encoding="utf-8"?>
<chartSpace xmlns="http://schemas.openxmlformats.org/drawingml/2006/chart">
  <style val="13"/>
  <chart>
    <title>
      <tx>
        <rich>
          <a:bodyPr xmlns:a="http://schemas.openxmlformats.org/drawingml/2006/main"/>
          <a:p xmlns:a="http://schemas.openxmlformats.org/drawingml/2006/main">
            <a:pPr>
              <a:defRPr/>
            </a:pPr>
            <a:r>
              <a:t>Daily Sleep Trend (Hours vs Day)</a:t>
            </a:r>
          </a:p>
        </rich>
      </tx>
    </title>
    <plotArea>
      <lineChart>
        <grouping val="standard"/>
        <ser>
          <idx val="0"/>
          <order val="0"/>
          <spPr>
            <a:ln xmlns:a="http://schemas.openxmlformats.org/drawingml/2006/main" w="25000">
              <a:solidFill>
                <a:srgbClr val="3B82F6"/>
              </a:solidFill>
              <a:prstDash val="solid"/>
            </a:ln>
          </spPr>
          <marker>
            <symbol val="circle"/>
            <size val="5"/>
            <spPr>
              <a:solidFill xmlns:a="http://schemas.openxmlformats.org/drawingml/2006/main">
                <a:srgbClr val="1D4ED8"/>
              </a:solidFill>
              <a:ln xmlns:a="http://schemas.openxmlformats.org/drawingml/2006/main">
                <a:prstDash val="solid"/>
              </a:ln>
            </spPr>
          </marker>
          <cat>
            <numRef>
              <f>'Nov 2029'!$E$45:$AH$45</f>
            </numRef>
          </cat>
          <val>
            <numRef>
              <f>'Nov 2029'!$E$47:$AH$47</f>
            </numRef>
          </val>
        </ser>
        <axId val="10"/>
        <axId val="100"/>
      </lineChart>
      <catAx>
        <axId val="10"/>
        <scaling>
          <orientation val="minMax"/>
        </scaling>
        <axPos val="l"/>
        <title>
          <tx>
            <rich>
              <a:bodyPr xmlns:a="http://schemas.openxmlformats.org/drawingml/2006/main"/>
              <a:p xmlns:a="http://schemas.openxmlformats.org/drawingml/2006/main">
                <a:pPr>
                  <a:defRPr/>
                </a:pPr>
                <a:r>
                  <a:t>Day</a:t>
                </a:r>
              </a:p>
            </rich>
          </tx>
        </title>
        <majorTickMark val="none"/>
        <minorTickMark val="none"/>
        <crossAx val="100"/>
        <lblOffset val="100"/>
      </catAx>
      <valAx>
        <axId val="100"/>
        <scaling>
          <orientation val="minMax"/>
          <max val="24"/>
          <min val="0"/>
        </scaling>
        <axPos val="l"/>
        <majorGridlines/>
        <title>
          <tx>
            <rich>
              <a:bodyPr xmlns:a="http://schemas.openxmlformats.org/drawingml/2006/main"/>
              <a:p xmlns:a="http://schemas.openxmlformats.org/drawingml/2006/main">
                <a:pPr>
                  <a:defRPr/>
                </a:pPr>
                <a:r>
                  <a:t>Hours</a:t>
                </a:r>
              </a:p>
            </rich>
          </tx>
        </title>
        <majorTickMark val="none"/>
        <minorTickMark val="none"/>
        <crossAx val="10"/>
      </valAx>
    </plotArea>
    <plotVisOnly val="1"/>
    <dispBlanksAs val="gap"/>
  </chart>
</chartSpace>
</file>

<file path=xl/charts/chart119.xml><?xml version="1.0" encoding="utf-8"?>
<chartSpace xmlns="http://schemas.openxmlformats.org/drawingml/2006/chart">
  <style val="10"/>
  <chart>
    <title>
      <tx>
        <rich>
          <a:bodyPr xmlns:a="http://schemas.openxmlformats.org/drawingml/2006/main"/>
          <a:p xmlns:a="http://schemas.openxmlformats.org/drawingml/2006/main">
            <a:pPr>
              <a:defRPr/>
            </a:pPr>
            <a:r>
              <a:t>Weekly Momentum Trend (%)</a:t>
            </a:r>
          </a:p>
        </rich>
      </tx>
    </title>
    <plotArea>
      <barChart>
        <barDir val="col"/>
        <grouping val="clustered"/>
        <ser>
          <idx val="0"/>
          <order val="0"/>
          <tx>
            <strRef>
              <f>'Nov 2029'!E75</f>
            </strRef>
          </tx>
          <spPr>
            <a:ln xmlns:a="http://schemas.openxmlformats.org/drawingml/2006/main">
              <a:prstDash val="solid"/>
            </a:ln>
          </spPr>
          <cat>
            <numRef>
              <f>'Nov 2029'!$A$76:$A$80</f>
            </numRef>
          </cat>
          <val>
            <numRef>
              <f>'Nov 2029'!$E$76:$E$80</f>
            </numRef>
          </val>
        </ser>
        <gapWidth val="150"/>
        <axId val="10"/>
        <axId val="100"/>
      </barChart>
      <catAx>
        <axId val="10"/>
        <scaling>
          <orientation val="minMax"/>
        </scaling>
        <axPos val="l"/>
        <title>
          <tx>
            <rich>
              <a:bodyPr xmlns:a="http://schemas.openxmlformats.org/drawingml/2006/main"/>
              <a:p xmlns:a="http://schemas.openxmlformats.org/drawingml/2006/main">
                <a:pPr>
                  <a:defRPr/>
                </a:pPr>
                <a:r>
                  <a:t>Week</a:t>
                </a:r>
              </a:p>
            </rich>
          </tx>
        </title>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Success %</a:t>
                </a:r>
              </a:p>
            </rich>
          </tx>
        </title>
        <majorTickMark val="none"/>
        <minorTickMark val="none"/>
        <crossAx val="10"/>
      </valAx>
    </plotArea>
    <plotVisOnly val="1"/>
    <dispBlanksAs val="gap"/>
  </chart>
</chartSpace>
</file>

<file path=xl/charts/chart120.xml><?xml version="1.0" encoding="utf-8"?>
<chartSpace xmlns="http://schemas.openxmlformats.org/drawingml/2006/chart">
  <style val="11"/>
  <chart>
    <title>
      <tx>
        <rich>
          <a:bodyPr xmlns:a="http://schemas.openxmlformats.org/drawingml/2006/main"/>
          <a:p xmlns:a="http://schemas.openxmlformats.org/drawingml/2006/main">
            <a:pPr>
              <a:defRPr/>
            </a:pPr>
            <a:r>
              <a:t>Performance by Domain (%)</a:t>
            </a:r>
          </a:p>
        </rich>
      </tx>
    </title>
    <plotArea>
      <barChart>
        <barDir val="col"/>
        <grouping val="clustered"/>
        <ser>
          <idx val="0"/>
          <order val="0"/>
          <tx>
            <strRef>
              <f>'Nov 2029'!S75</f>
            </strRef>
          </tx>
          <spPr>
            <a:ln xmlns:a="http://schemas.openxmlformats.org/drawingml/2006/main">
              <a:prstDash val="solid"/>
            </a:ln>
          </spPr>
          <cat>
            <numRef>
              <f>'Nov 2029'!$N$76:$N$80</f>
            </numRef>
          </cat>
          <val>
            <numRef>
              <f>'Nov 2029'!$S$76:$S$80</f>
            </numRef>
          </val>
        </ser>
        <gapWidth val="150"/>
        <axId val="10"/>
        <axId val="100"/>
      </barChart>
      <catAx>
        <axId val="10"/>
        <scaling>
          <orientation val="minMax"/>
        </scaling>
        <axPos val="l"/>
        <title>
          <tx>
            <rich>
              <a:bodyPr xmlns:a="http://schemas.openxmlformats.org/drawingml/2006/main"/>
              <a:p xmlns:a="http://schemas.openxmlformats.org/drawingml/2006/main">
                <a:pPr>
                  <a:defRPr/>
                </a:pPr>
                <a:r>
                  <a:t>Domain</a:t>
                </a:r>
              </a:p>
            </rich>
          </tx>
        </title>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Success %</a:t>
                </a:r>
              </a:p>
            </rich>
          </tx>
        </title>
        <majorTickMark val="none"/>
        <minorTickMark val="none"/>
        <crossAx val="10"/>
      </valAx>
    </plotArea>
    <plotVisOnly val="1"/>
    <dispBlanksAs val="gap"/>
  </chart>
</chartSpace>
</file>

<file path=xl/charts/chart121.xml><?xml version="1.0" encoding="utf-8"?>
<chartSpace xmlns="http://schemas.openxmlformats.org/drawingml/2006/chart">
  <style val="13"/>
  <chart>
    <title>
      <tx>
        <rich>
          <a:bodyPr xmlns:a="http://schemas.openxmlformats.org/drawingml/2006/main"/>
          <a:p xmlns:a="http://schemas.openxmlformats.org/drawingml/2006/main">
            <a:pPr>
              <a:defRPr/>
            </a:pPr>
            <a:r>
              <a:t>Daily Sleep Trend (Hours vs Day)</a:t>
            </a:r>
          </a:p>
        </rich>
      </tx>
    </title>
    <plotArea>
      <lineChart>
        <grouping val="standard"/>
        <ser>
          <idx val="0"/>
          <order val="0"/>
          <spPr>
            <a:ln xmlns:a="http://schemas.openxmlformats.org/drawingml/2006/main" w="25000">
              <a:solidFill>
                <a:srgbClr val="3B82F6"/>
              </a:solidFill>
              <a:prstDash val="solid"/>
            </a:ln>
          </spPr>
          <marker>
            <symbol val="circle"/>
            <size val="5"/>
            <spPr>
              <a:solidFill xmlns:a="http://schemas.openxmlformats.org/drawingml/2006/main">
                <a:srgbClr val="1D4ED8"/>
              </a:solidFill>
              <a:ln xmlns:a="http://schemas.openxmlformats.org/drawingml/2006/main">
                <a:prstDash val="solid"/>
              </a:ln>
            </spPr>
          </marker>
          <cat>
            <numRef>
              <f>'Dec 2029'!$E$45:$AI$45</f>
            </numRef>
          </cat>
          <val>
            <numRef>
              <f>'Dec 2029'!$E$47:$AI$47</f>
            </numRef>
          </val>
        </ser>
        <axId val="10"/>
        <axId val="100"/>
      </lineChart>
      <catAx>
        <axId val="10"/>
        <scaling>
          <orientation val="minMax"/>
        </scaling>
        <axPos val="l"/>
        <title>
          <tx>
            <rich>
              <a:bodyPr xmlns:a="http://schemas.openxmlformats.org/drawingml/2006/main"/>
              <a:p xmlns:a="http://schemas.openxmlformats.org/drawingml/2006/main">
                <a:pPr>
                  <a:defRPr/>
                </a:pPr>
                <a:r>
                  <a:t>Day</a:t>
                </a:r>
              </a:p>
            </rich>
          </tx>
        </title>
        <majorTickMark val="none"/>
        <minorTickMark val="none"/>
        <crossAx val="100"/>
        <lblOffset val="100"/>
      </catAx>
      <valAx>
        <axId val="100"/>
        <scaling>
          <orientation val="minMax"/>
          <max val="24"/>
          <min val="0"/>
        </scaling>
        <axPos val="l"/>
        <majorGridlines/>
        <title>
          <tx>
            <rich>
              <a:bodyPr xmlns:a="http://schemas.openxmlformats.org/drawingml/2006/main"/>
              <a:p xmlns:a="http://schemas.openxmlformats.org/drawingml/2006/main">
                <a:pPr>
                  <a:defRPr/>
                </a:pPr>
                <a:r>
                  <a:t>Hours</a:t>
                </a:r>
              </a:p>
            </rich>
          </tx>
        </title>
        <majorTickMark val="none"/>
        <minorTickMark val="none"/>
        <crossAx val="10"/>
      </valAx>
    </plotArea>
    <plotVisOnly val="1"/>
    <dispBlanksAs val="gap"/>
  </chart>
</chartSpace>
</file>

<file path=xl/charts/chart122.xml><?xml version="1.0" encoding="utf-8"?>
<chartSpace xmlns="http://schemas.openxmlformats.org/drawingml/2006/chart">
  <style val="10"/>
  <chart>
    <title>
      <tx>
        <rich>
          <a:bodyPr xmlns:a="http://schemas.openxmlformats.org/drawingml/2006/main"/>
          <a:p xmlns:a="http://schemas.openxmlformats.org/drawingml/2006/main">
            <a:pPr>
              <a:defRPr/>
            </a:pPr>
            <a:r>
              <a:t>Weekly Momentum Trend (%)</a:t>
            </a:r>
          </a:p>
        </rich>
      </tx>
    </title>
    <plotArea>
      <barChart>
        <barDir val="col"/>
        <grouping val="clustered"/>
        <ser>
          <idx val="0"/>
          <order val="0"/>
          <tx>
            <strRef>
              <f>'Dec 2029'!E75</f>
            </strRef>
          </tx>
          <spPr>
            <a:ln xmlns:a="http://schemas.openxmlformats.org/drawingml/2006/main">
              <a:prstDash val="solid"/>
            </a:ln>
          </spPr>
          <cat>
            <numRef>
              <f>'Dec 2029'!$A$76:$A$80</f>
            </numRef>
          </cat>
          <val>
            <numRef>
              <f>'Dec 2029'!$E$76:$E$80</f>
            </numRef>
          </val>
        </ser>
        <gapWidth val="150"/>
        <axId val="10"/>
        <axId val="100"/>
      </barChart>
      <catAx>
        <axId val="10"/>
        <scaling>
          <orientation val="minMax"/>
        </scaling>
        <axPos val="l"/>
        <title>
          <tx>
            <rich>
              <a:bodyPr xmlns:a="http://schemas.openxmlformats.org/drawingml/2006/main"/>
              <a:p xmlns:a="http://schemas.openxmlformats.org/drawingml/2006/main">
                <a:pPr>
                  <a:defRPr/>
                </a:pPr>
                <a:r>
                  <a:t>Week</a:t>
                </a:r>
              </a:p>
            </rich>
          </tx>
        </title>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Success %</a:t>
                </a:r>
              </a:p>
            </rich>
          </tx>
        </title>
        <majorTickMark val="none"/>
        <minorTickMark val="none"/>
        <crossAx val="10"/>
      </valAx>
    </plotArea>
    <plotVisOnly val="1"/>
    <dispBlanksAs val="gap"/>
  </chart>
</chartSpace>
</file>

<file path=xl/charts/chart123.xml><?xml version="1.0" encoding="utf-8"?>
<chartSpace xmlns="http://schemas.openxmlformats.org/drawingml/2006/chart">
  <style val="11"/>
  <chart>
    <title>
      <tx>
        <rich>
          <a:bodyPr xmlns:a="http://schemas.openxmlformats.org/drawingml/2006/main"/>
          <a:p xmlns:a="http://schemas.openxmlformats.org/drawingml/2006/main">
            <a:pPr>
              <a:defRPr/>
            </a:pPr>
            <a:r>
              <a:t>Performance by Domain (%)</a:t>
            </a:r>
          </a:p>
        </rich>
      </tx>
    </title>
    <plotArea>
      <barChart>
        <barDir val="col"/>
        <grouping val="clustered"/>
        <ser>
          <idx val="0"/>
          <order val="0"/>
          <tx>
            <strRef>
              <f>'Dec 2029'!S75</f>
            </strRef>
          </tx>
          <spPr>
            <a:ln xmlns:a="http://schemas.openxmlformats.org/drawingml/2006/main">
              <a:prstDash val="solid"/>
            </a:ln>
          </spPr>
          <cat>
            <numRef>
              <f>'Dec 2029'!$N$76:$N$80</f>
            </numRef>
          </cat>
          <val>
            <numRef>
              <f>'Dec 2029'!$S$76:$S$80</f>
            </numRef>
          </val>
        </ser>
        <gapWidth val="150"/>
        <axId val="10"/>
        <axId val="100"/>
      </barChart>
      <catAx>
        <axId val="10"/>
        <scaling>
          <orientation val="minMax"/>
        </scaling>
        <axPos val="l"/>
        <title>
          <tx>
            <rich>
              <a:bodyPr xmlns:a="http://schemas.openxmlformats.org/drawingml/2006/main"/>
              <a:p xmlns:a="http://schemas.openxmlformats.org/drawingml/2006/main">
                <a:pPr>
                  <a:defRPr/>
                </a:pPr>
                <a:r>
                  <a:t>Domain</a:t>
                </a:r>
              </a:p>
            </rich>
          </tx>
        </title>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Success %</a:t>
                </a:r>
              </a:p>
            </rich>
          </tx>
        </title>
        <majorTickMark val="none"/>
        <minorTickMark val="none"/>
        <crossAx val="10"/>
      </valAx>
    </plotArea>
    <plotVisOnly val="1"/>
    <dispBlanksAs val="gap"/>
  </chart>
</chartSpace>
</file>

<file path=xl/charts/chart124.xml><?xml version="1.0" encoding="utf-8"?>
<chartSpace xmlns="http://schemas.openxmlformats.org/drawingml/2006/chart">
  <style val="13"/>
  <chart>
    <title>
      <tx>
        <rich>
          <a:bodyPr xmlns:a="http://schemas.openxmlformats.org/drawingml/2006/main"/>
          <a:p xmlns:a="http://schemas.openxmlformats.org/drawingml/2006/main">
            <a:pPr>
              <a:defRPr/>
            </a:pPr>
            <a:r>
              <a:t>Daily Sleep Trend (Hours vs Day)</a:t>
            </a:r>
          </a:p>
        </rich>
      </tx>
    </title>
    <plotArea>
      <lineChart>
        <grouping val="standard"/>
        <ser>
          <idx val="0"/>
          <order val="0"/>
          <spPr>
            <a:ln xmlns:a="http://schemas.openxmlformats.org/drawingml/2006/main" w="25000">
              <a:solidFill>
                <a:srgbClr val="3B82F6"/>
              </a:solidFill>
              <a:prstDash val="solid"/>
            </a:ln>
          </spPr>
          <marker>
            <symbol val="circle"/>
            <size val="5"/>
            <spPr>
              <a:solidFill xmlns:a="http://schemas.openxmlformats.org/drawingml/2006/main">
                <a:srgbClr val="1D4ED8"/>
              </a:solidFill>
              <a:ln xmlns:a="http://schemas.openxmlformats.org/drawingml/2006/main">
                <a:prstDash val="solid"/>
              </a:ln>
            </spPr>
          </marker>
          <cat>
            <numRef>
              <f>'Jan 2030'!$E$45:$AI$45</f>
            </numRef>
          </cat>
          <val>
            <numRef>
              <f>'Jan 2030'!$E$47:$AI$47</f>
            </numRef>
          </val>
        </ser>
        <axId val="10"/>
        <axId val="100"/>
      </lineChart>
      <catAx>
        <axId val="10"/>
        <scaling>
          <orientation val="minMax"/>
        </scaling>
        <axPos val="l"/>
        <title>
          <tx>
            <rich>
              <a:bodyPr xmlns:a="http://schemas.openxmlformats.org/drawingml/2006/main"/>
              <a:p xmlns:a="http://schemas.openxmlformats.org/drawingml/2006/main">
                <a:pPr>
                  <a:defRPr/>
                </a:pPr>
                <a:r>
                  <a:t>Day</a:t>
                </a:r>
              </a:p>
            </rich>
          </tx>
        </title>
        <majorTickMark val="none"/>
        <minorTickMark val="none"/>
        <crossAx val="100"/>
        <lblOffset val="100"/>
      </catAx>
      <valAx>
        <axId val="100"/>
        <scaling>
          <orientation val="minMax"/>
          <max val="24"/>
          <min val="0"/>
        </scaling>
        <axPos val="l"/>
        <majorGridlines/>
        <title>
          <tx>
            <rich>
              <a:bodyPr xmlns:a="http://schemas.openxmlformats.org/drawingml/2006/main"/>
              <a:p xmlns:a="http://schemas.openxmlformats.org/drawingml/2006/main">
                <a:pPr>
                  <a:defRPr/>
                </a:pPr>
                <a:r>
                  <a:t>Hours</a:t>
                </a:r>
              </a:p>
            </rich>
          </tx>
        </title>
        <majorTickMark val="none"/>
        <minorTickMark val="none"/>
        <crossAx val="10"/>
      </valAx>
    </plotArea>
    <plotVisOnly val="1"/>
    <dispBlanksAs val="gap"/>
  </chart>
</chartSpace>
</file>

<file path=xl/charts/chart125.xml><?xml version="1.0" encoding="utf-8"?>
<chartSpace xmlns="http://schemas.openxmlformats.org/drawingml/2006/chart">
  <style val="10"/>
  <chart>
    <title>
      <tx>
        <rich>
          <a:bodyPr xmlns:a="http://schemas.openxmlformats.org/drawingml/2006/main"/>
          <a:p xmlns:a="http://schemas.openxmlformats.org/drawingml/2006/main">
            <a:pPr>
              <a:defRPr/>
            </a:pPr>
            <a:r>
              <a:t>Weekly Momentum Trend (%)</a:t>
            </a:r>
          </a:p>
        </rich>
      </tx>
    </title>
    <plotArea>
      <barChart>
        <barDir val="col"/>
        <grouping val="clustered"/>
        <ser>
          <idx val="0"/>
          <order val="0"/>
          <tx>
            <strRef>
              <f>'Jan 2030'!E75</f>
            </strRef>
          </tx>
          <spPr>
            <a:ln xmlns:a="http://schemas.openxmlformats.org/drawingml/2006/main">
              <a:prstDash val="solid"/>
            </a:ln>
          </spPr>
          <cat>
            <numRef>
              <f>'Jan 2030'!$A$76:$A$80</f>
            </numRef>
          </cat>
          <val>
            <numRef>
              <f>'Jan 2030'!$E$76:$E$80</f>
            </numRef>
          </val>
        </ser>
        <gapWidth val="150"/>
        <axId val="10"/>
        <axId val="100"/>
      </barChart>
      <catAx>
        <axId val="10"/>
        <scaling>
          <orientation val="minMax"/>
        </scaling>
        <axPos val="l"/>
        <title>
          <tx>
            <rich>
              <a:bodyPr xmlns:a="http://schemas.openxmlformats.org/drawingml/2006/main"/>
              <a:p xmlns:a="http://schemas.openxmlformats.org/drawingml/2006/main">
                <a:pPr>
                  <a:defRPr/>
                </a:pPr>
                <a:r>
                  <a:t>Week</a:t>
                </a:r>
              </a:p>
            </rich>
          </tx>
        </title>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Success %</a:t>
                </a:r>
              </a:p>
            </rich>
          </tx>
        </title>
        <majorTickMark val="none"/>
        <minorTickMark val="none"/>
        <crossAx val="10"/>
      </valAx>
    </plotArea>
    <plotVisOnly val="1"/>
    <dispBlanksAs val="gap"/>
  </chart>
</chartSpace>
</file>

<file path=xl/charts/chart126.xml><?xml version="1.0" encoding="utf-8"?>
<chartSpace xmlns="http://schemas.openxmlformats.org/drawingml/2006/chart">
  <style val="11"/>
  <chart>
    <title>
      <tx>
        <rich>
          <a:bodyPr xmlns:a="http://schemas.openxmlformats.org/drawingml/2006/main"/>
          <a:p xmlns:a="http://schemas.openxmlformats.org/drawingml/2006/main">
            <a:pPr>
              <a:defRPr/>
            </a:pPr>
            <a:r>
              <a:t>Performance by Domain (%)</a:t>
            </a:r>
          </a:p>
        </rich>
      </tx>
    </title>
    <plotArea>
      <barChart>
        <barDir val="col"/>
        <grouping val="clustered"/>
        <ser>
          <idx val="0"/>
          <order val="0"/>
          <tx>
            <strRef>
              <f>'Jan 2030'!S75</f>
            </strRef>
          </tx>
          <spPr>
            <a:ln xmlns:a="http://schemas.openxmlformats.org/drawingml/2006/main">
              <a:prstDash val="solid"/>
            </a:ln>
          </spPr>
          <cat>
            <numRef>
              <f>'Jan 2030'!$N$76:$N$80</f>
            </numRef>
          </cat>
          <val>
            <numRef>
              <f>'Jan 2030'!$S$76:$S$80</f>
            </numRef>
          </val>
        </ser>
        <gapWidth val="150"/>
        <axId val="10"/>
        <axId val="100"/>
      </barChart>
      <catAx>
        <axId val="10"/>
        <scaling>
          <orientation val="minMax"/>
        </scaling>
        <axPos val="l"/>
        <title>
          <tx>
            <rich>
              <a:bodyPr xmlns:a="http://schemas.openxmlformats.org/drawingml/2006/main"/>
              <a:p xmlns:a="http://schemas.openxmlformats.org/drawingml/2006/main">
                <a:pPr>
                  <a:defRPr/>
                </a:pPr>
                <a:r>
                  <a:t>Domain</a:t>
                </a:r>
              </a:p>
            </rich>
          </tx>
        </title>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Success %</a:t>
                </a:r>
              </a:p>
            </rich>
          </tx>
        </title>
        <majorTickMark val="none"/>
        <minorTickMark val="none"/>
        <crossAx val="10"/>
      </valAx>
    </plotArea>
    <plotVisOnly val="1"/>
    <dispBlanksAs val="gap"/>
  </chart>
</chartSpace>
</file>

<file path=xl/charts/chart127.xml><?xml version="1.0" encoding="utf-8"?>
<chartSpace xmlns="http://schemas.openxmlformats.org/drawingml/2006/chart">
  <style val="13"/>
  <chart>
    <title>
      <tx>
        <rich>
          <a:bodyPr xmlns:a="http://schemas.openxmlformats.org/drawingml/2006/main"/>
          <a:p xmlns:a="http://schemas.openxmlformats.org/drawingml/2006/main">
            <a:pPr>
              <a:defRPr/>
            </a:pPr>
            <a:r>
              <a:t>Daily Sleep Trend (Hours vs Day)</a:t>
            </a:r>
          </a:p>
        </rich>
      </tx>
    </title>
    <plotArea>
      <lineChart>
        <grouping val="standard"/>
        <ser>
          <idx val="0"/>
          <order val="0"/>
          <spPr>
            <a:ln xmlns:a="http://schemas.openxmlformats.org/drawingml/2006/main" w="25000">
              <a:solidFill>
                <a:srgbClr val="3B82F6"/>
              </a:solidFill>
              <a:prstDash val="solid"/>
            </a:ln>
          </spPr>
          <marker>
            <symbol val="circle"/>
            <size val="5"/>
            <spPr>
              <a:solidFill xmlns:a="http://schemas.openxmlformats.org/drawingml/2006/main">
                <a:srgbClr val="1D4ED8"/>
              </a:solidFill>
              <a:ln xmlns:a="http://schemas.openxmlformats.org/drawingml/2006/main">
                <a:prstDash val="solid"/>
              </a:ln>
            </spPr>
          </marker>
          <cat>
            <numRef>
              <f>'Feb 2030'!$E$45:$AF$45</f>
            </numRef>
          </cat>
          <val>
            <numRef>
              <f>'Feb 2030'!$E$47:$AF$47</f>
            </numRef>
          </val>
        </ser>
        <axId val="10"/>
        <axId val="100"/>
      </lineChart>
      <catAx>
        <axId val="10"/>
        <scaling>
          <orientation val="minMax"/>
        </scaling>
        <axPos val="l"/>
        <title>
          <tx>
            <rich>
              <a:bodyPr xmlns:a="http://schemas.openxmlformats.org/drawingml/2006/main"/>
              <a:p xmlns:a="http://schemas.openxmlformats.org/drawingml/2006/main">
                <a:pPr>
                  <a:defRPr/>
                </a:pPr>
                <a:r>
                  <a:t>Day</a:t>
                </a:r>
              </a:p>
            </rich>
          </tx>
        </title>
        <majorTickMark val="none"/>
        <minorTickMark val="none"/>
        <crossAx val="100"/>
        <lblOffset val="100"/>
      </catAx>
      <valAx>
        <axId val="100"/>
        <scaling>
          <orientation val="minMax"/>
          <max val="24"/>
          <min val="0"/>
        </scaling>
        <axPos val="l"/>
        <majorGridlines/>
        <title>
          <tx>
            <rich>
              <a:bodyPr xmlns:a="http://schemas.openxmlformats.org/drawingml/2006/main"/>
              <a:p xmlns:a="http://schemas.openxmlformats.org/drawingml/2006/main">
                <a:pPr>
                  <a:defRPr/>
                </a:pPr>
                <a:r>
                  <a:t>Hours</a:t>
                </a:r>
              </a:p>
            </rich>
          </tx>
        </title>
        <majorTickMark val="none"/>
        <minorTickMark val="none"/>
        <crossAx val="10"/>
      </valAx>
    </plotArea>
    <plotVisOnly val="1"/>
    <dispBlanksAs val="gap"/>
  </chart>
</chartSpace>
</file>

<file path=xl/charts/chart128.xml><?xml version="1.0" encoding="utf-8"?>
<chartSpace xmlns="http://schemas.openxmlformats.org/drawingml/2006/chart">
  <style val="10"/>
  <chart>
    <title>
      <tx>
        <rich>
          <a:bodyPr xmlns:a="http://schemas.openxmlformats.org/drawingml/2006/main"/>
          <a:p xmlns:a="http://schemas.openxmlformats.org/drawingml/2006/main">
            <a:pPr>
              <a:defRPr/>
            </a:pPr>
            <a:r>
              <a:t>Weekly Momentum Trend (%)</a:t>
            </a:r>
          </a:p>
        </rich>
      </tx>
    </title>
    <plotArea>
      <barChart>
        <barDir val="col"/>
        <grouping val="clustered"/>
        <ser>
          <idx val="0"/>
          <order val="0"/>
          <tx>
            <strRef>
              <f>'Feb 2030'!E75</f>
            </strRef>
          </tx>
          <spPr>
            <a:ln xmlns:a="http://schemas.openxmlformats.org/drawingml/2006/main">
              <a:prstDash val="solid"/>
            </a:ln>
          </spPr>
          <cat>
            <numRef>
              <f>'Feb 2030'!$A$76:$A$80</f>
            </numRef>
          </cat>
          <val>
            <numRef>
              <f>'Feb 2030'!$E$76:$E$80</f>
            </numRef>
          </val>
        </ser>
        <gapWidth val="150"/>
        <axId val="10"/>
        <axId val="100"/>
      </barChart>
      <catAx>
        <axId val="10"/>
        <scaling>
          <orientation val="minMax"/>
        </scaling>
        <axPos val="l"/>
        <title>
          <tx>
            <rich>
              <a:bodyPr xmlns:a="http://schemas.openxmlformats.org/drawingml/2006/main"/>
              <a:p xmlns:a="http://schemas.openxmlformats.org/drawingml/2006/main">
                <a:pPr>
                  <a:defRPr/>
                </a:pPr>
                <a:r>
                  <a:t>Week</a:t>
                </a:r>
              </a:p>
            </rich>
          </tx>
        </title>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Success %</a:t>
                </a:r>
              </a:p>
            </rich>
          </tx>
        </title>
        <majorTickMark val="none"/>
        <minorTickMark val="none"/>
        <crossAx val="10"/>
      </valAx>
    </plotArea>
    <plotVisOnly val="1"/>
    <dispBlanksAs val="gap"/>
  </chart>
</chartSpace>
</file>

<file path=xl/charts/chart129.xml><?xml version="1.0" encoding="utf-8"?>
<chartSpace xmlns="http://schemas.openxmlformats.org/drawingml/2006/chart">
  <style val="11"/>
  <chart>
    <title>
      <tx>
        <rich>
          <a:bodyPr xmlns:a="http://schemas.openxmlformats.org/drawingml/2006/main"/>
          <a:p xmlns:a="http://schemas.openxmlformats.org/drawingml/2006/main">
            <a:pPr>
              <a:defRPr/>
            </a:pPr>
            <a:r>
              <a:t>Performance by Domain (%)</a:t>
            </a:r>
          </a:p>
        </rich>
      </tx>
    </title>
    <plotArea>
      <barChart>
        <barDir val="col"/>
        <grouping val="clustered"/>
        <ser>
          <idx val="0"/>
          <order val="0"/>
          <tx>
            <strRef>
              <f>'Feb 2030'!S75</f>
            </strRef>
          </tx>
          <spPr>
            <a:ln xmlns:a="http://schemas.openxmlformats.org/drawingml/2006/main">
              <a:prstDash val="solid"/>
            </a:ln>
          </spPr>
          <cat>
            <numRef>
              <f>'Feb 2030'!$N$76:$N$80</f>
            </numRef>
          </cat>
          <val>
            <numRef>
              <f>'Feb 2030'!$S$76:$S$80</f>
            </numRef>
          </val>
        </ser>
        <gapWidth val="150"/>
        <axId val="10"/>
        <axId val="100"/>
      </barChart>
      <catAx>
        <axId val="10"/>
        <scaling>
          <orientation val="minMax"/>
        </scaling>
        <axPos val="l"/>
        <title>
          <tx>
            <rich>
              <a:bodyPr xmlns:a="http://schemas.openxmlformats.org/drawingml/2006/main"/>
              <a:p xmlns:a="http://schemas.openxmlformats.org/drawingml/2006/main">
                <a:pPr>
                  <a:defRPr/>
                </a:pPr>
                <a:r>
                  <a:t>Domain</a:t>
                </a:r>
              </a:p>
            </rich>
          </tx>
        </title>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Success %</a:t>
                </a:r>
              </a:p>
            </rich>
          </tx>
        </title>
        <majorTickMark val="none"/>
        <minorTickMark val="none"/>
        <crossAx val="10"/>
      </valAx>
    </plotArea>
    <plotVisOnly val="1"/>
    <dispBlanksAs val="gap"/>
  </chart>
</chartSpace>
</file>

<file path=xl/charts/chart130.xml><?xml version="1.0" encoding="utf-8"?>
<chartSpace xmlns="http://schemas.openxmlformats.org/drawingml/2006/chart">
  <style val="13"/>
  <chart>
    <title>
      <tx>
        <rich>
          <a:bodyPr xmlns:a="http://schemas.openxmlformats.org/drawingml/2006/main"/>
          <a:p xmlns:a="http://schemas.openxmlformats.org/drawingml/2006/main">
            <a:pPr>
              <a:defRPr/>
            </a:pPr>
            <a:r>
              <a:t>Daily Sleep Trend (Hours vs Day)</a:t>
            </a:r>
          </a:p>
        </rich>
      </tx>
    </title>
    <plotArea>
      <lineChart>
        <grouping val="standard"/>
        <ser>
          <idx val="0"/>
          <order val="0"/>
          <spPr>
            <a:ln xmlns:a="http://schemas.openxmlformats.org/drawingml/2006/main" w="25000">
              <a:solidFill>
                <a:srgbClr val="3B82F6"/>
              </a:solidFill>
              <a:prstDash val="solid"/>
            </a:ln>
          </spPr>
          <marker>
            <symbol val="circle"/>
            <size val="5"/>
            <spPr>
              <a:solidFill xmlns:a="http://schemas.openxmlformats.org/drawingml/2006/main">
                <a:srgbClr val="1D4ED8"/>
              </a:solidFill>
              <a:ln xmlns:a="http://schemas.openxmlformats.org/drawingml/2006/main">
                <a:prstDash val="solid"/>
              </a:ln>
            </spPr>
          </marker>
          <cat>
            <numRef>
              <f>'Mar 2030'!$E$45:$AI$45</f>
            </numRef>
          </cat>
          <val>
            <numRef>
              <f>'Mar 2030'!$E$47:$AI$47</f>
            </numRef>
          </val>
        </ser>
        <axId val="10"/>
        <axId val="100"/>
      </lineChart>
      <catAx>
        <axId val="10"/>
        <scaling>
          <orientation val="minMax"/>
        </scaling>
        <axPos val="l"/>
        <title>
          <tx>
            <rich>
              <a:bodyPr xmlns:a="http://schemas.openxmlformats.org/drawingml/2006/main"/>
              <a:p xmlns:a="http://schemas.openxmlformats.org/drawingml/2006/main">
                <a:pPr>
                  <a:defRPr/>
                </a:pPr>
                <a:r>
                  <a:t>Day</a:t>
                </a:r>
              </a:p>
            </rich>
          </tx>
        </title>
        <majorTickMark val="none"/>
        <minorTickMark val="none"/>
        <crossAx val="100"/>
        <lblOffset val="100"/>
      </catAx>
      <valAx>
        <axId val="100"/>
        <scaling>
          <orientation val="minMax"/>
          <max val="24"/>
          <min val="0"/>
        </scaling>
        <axPos val="l"/>
        <majorGridlines/>
        <title>
          <tx>
            <rich>
              <a:bodyPr xmlns:a="http://schemas.openxmlformats.org/drawingml/2006/main"/>
              <a:p xmlns:a="http://schemas.openxmlformats.org/drawingml/2006/main">
                <a:pPr>
                  <a:defRPr/>
                </a:pPr>
                <a:r>
                  <a:t>Hours</a:t>
                </a:r>
              </a:p>
            </rich>
          </tx>
        </title>
        <majorTickMark val="none"/>
        <minorTickMark val="none"/>
        <crossAx val="10"/>
      </valAx>
    </plotArea>
    <plotVisOnly val="1"/>
    <dispBlanksAs val="gap"/>
  </chart>
</chartSpace>
</file>

<file path=xl/charts/chart131.xml><?xml version="1.0" encoding="utf-8"?>
<chartSpace xmlns="http://schemas.openxmlformats.org/drawingml/2006/chart">
  <style val="10"/>
  <chart>
    <title>
      <tx>
        <rich>
          <a:bodyPr xmlns:a="http://schemas.openxmlformats.org/drawingml/2006/main"/>
          <a:p xmlns:a="http://schemas.openxmlformats.org/drawingml/2006/main">
            <a:pPr>
              <a:defRPr/>
            </a:pPr>
            <a:r>
              <a:t>Weekly Momentum Trend (%)</a:t>
            </a:r>
          </a:p>
        </rich>
      </tx>
    </title>
    <plotArea>
      <barChart>
        <barDir val="col"/>
        <grouping val="clustered"/>
        <ser>
          <idx val="0"/>
          <order val="0"/>
          <tx>
            <strRef>
              <f>'Mar 2030'!E75</f>
            </strRef>
          </tx>
          <spPr>
            <a:ln xmlns:a="http://schemas.openxmlformats.org/drawingml/2006/main">
              <a:prstDash val="solid"/>
            </a:ln>
          </spPr>
          <cat>
            <numRef>
              <f>'Mar 2030'!$A$76:$A$80</f>
            </numRef>
          </cat>
          <val>
            <numRef>
              <f>'Mar 2030'!$E$76:$E$80</f>
            </numRef>
          </val>
        </ser>
        <gapWidth val="150"/>
        <axId val="10"/>
        <axId val="100"/>
      </barChart>
      <catAx>
        <axId val="10"/>
        <scaling>
          <orientation val="minMax"/>
        </scaling>
        <axPos val="l"/>
        <title>
          <tx>
            <rich>
              <a:bodyPr xmlns:a="http://schemas.openxmlformats.org/drawingml/2006/main"/>
              <a:p xmlns:a="http://schemas.openxmlformats.org/drawingml/2006/main">
                <a:pPr>
                  <a:defRPr/>
                </a:pPr>
                <a:r>
                  <a:t>Week</a:t>
                </a:r>
              </a:p>
            </rich>
          </tx>
        </title>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Success %</a:t>
                </a:r>
              </a:p>
            </rich>
          </tx>
        </title>
        <majorTickMark val="none"/>
        <minorTickMark val="none"/>
        <crossAx val="10"/>
      </valAx>
    </plotArea>
    <plotVisOnly val="1"/>
    <dispBlanksAs val="gap"/>
  </chart>
</chartSpace>
</file>

<file path=xl/charts/chart132.xml><?xml version="1.0" encoding="utf-8"?>
<chartSpace xmlns="http://schemas.openxmlformats.org/drawingml/2006/chart">
  <style val="11"/>
  <chart>
    <title>
      <tx>
        <rich>
          <a:bodyPr xmlns:a="http://schemas.openxmlformats.org/drawingml/2006/main"/>
          <a:p xmlns:a="http://schemas.openxmlformats.org/drawingml/2006/main">
            <a:pPr>
              <a:defRPr/>
            </a:pPr>
            <a:r>
              <a:t>Performance by Domain (%)</a:t>
            </a:r>
          </a:p>
        </rich>
      </tx>
    </title>
    <plotArea>
      <barChart>
        <barDir val="col"/>
        <grouping val="clustered"/>
        <ser>
          <idx val="0"/>
          <order val="0"/>
          <tx>
            <strRef>
              <f>'Mar 2030'!S75</f>
            </strRef>
          </tx>
          <spPr>
            <a:ln xmlns:a="http://schemas.openxmlformats.org/drawingml/2006/main">
              <a:prstDash val="solid"/>
            </a:ln>
          </spPr>
          <cat>
            <numRef>
              <f>'Mar 2030'!$N$76:$N$80</f>
            </numRef>
          </cat>
          <val>
            <numRef>
              <f>'Mar 2030'!$S$76:$S$80</f>
            </numRef>
          </val>
        </ser>
        <gapWidth val="150"/>
        <axId val="10"/>
        <axId val="100"/>
      </barChart>
      <catAx>
        <axId val="10"/>
        <scaling>
          <orientation val="minMax"/>
        </scaling>
        <axPos val="l"/>
        <title>
          <tx>
            <rich>
              <a:bodyPr xmlns:a="http://schemas.openxmlformats.org/drawingml/2006/main"/>
              <a:p xmlns:a="http://schemas.openxmlformats.org/drawingml/2006/main">
                <a:pPr>
                  <a:defRPr/>
                </a:pPr>
                <a:r>
                  <a:t>Domain</a:t>
                </a:r>
              </a:p>
            </rich>
          </tx>
        </title>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Success %</a:t>
                </a:r>
              </a:p>
            </rich>
          </tx>
        </title>
        <majorTickMark val="none"/>
        <minorTickMark val="none"/>
        <crossAx val="10"/>
      </valAx>
    </plotArea>
    <plotVisOnly val="1"/>
    <dispBlanksAs val="gap"/>
  </chart>
</chartSpace>
</file>

<file path=xl/charts/chart133.xml><?xml version="1.0" encoding="utf-8"?>
<chartSpace xmlns="http://schemas.openxmlformats.org/drawingml/2006/chart">
  <style val="13"/>
  <chart>
    <title>
      <tx>
        <rich>
          <a:bodyPr xmlns:a="http://schemas.openxmlformats.org/drawingml/2006/main"/>
          <a:p xmlns:a="http://schemas.openxmlformats.org/drawingml/2006/main">
            <a:pPr>
              <a:defRPr/>
            </a:pPr>
            <a:r>
              <a:t>Daily Sleep Trend (Hours vs Day)</a:t>
            </a:r>
          </a:p>
        </rich>
      </tx>
    </title>
    <plotArea>
      <lineChart>
        <grouping val="standard"/>
        <ser>
          <idx val="0"/>
          <order val="0"/>
          <spPr>
            <a:ln xmlns:a="http://schemas.openxmlformats.org/drawingml/2006/main" w="25000">
              <a:solidFill>
                <a:srgbClr val="3B82F6"/>
              </a:solidFill>
              <a:prstDash val="solid"/>
            </a:ln>
          </spPr>
          <marker>
            <symbol val="circle"/>
            <size val="5"/>
            <spPr>
              <a:solidFill xmlns:a="http://schemas.openxmlformats.org/drawingml/2006/main">
                <a:srgbClr val="1D4ED8"/>
              </a:solidFill>
              <a:ln xmlns:a="http://schemas.openxmlformats.org/drawingml/2006/main">
                <a:prstDash val="solid"/>
              </a:ln>
            </spPr>
          </marker>
          <cat>
            <numRef>
              <f>'Apr 2030'!$E$45:$AH$45</f>
            </numRef>
          </cat>
          <val>
            <numRef>
              <f>'Apr 2030'!$E$47:$AH$47</f>
            </numRef>
          </val>
        </ser>
        <axId val="10"/>
        <axId val="100"/>
      </lineChart>
      <catAx>
        <axId val="10"/>
        <scaling>
          <orientation val="minMax"/>
        </scaling>
        <axPos val="l"/>
        <title>
          <tx>
            <rich>
              <a:bodyPr xmlns:a="http://schemas.openxmlformats.org/drawingml/2006/main"/>
              <a:p xmlns:a="http://schemas.openxmlformats.org/drawingml/2006/main">
                <a:pPr>
                  <a:defRPr/>
                </a:pPr>
                <a:r>
                  <a:t>Day</a:t>
                </a:r>
              </a:p>
            </rich>
          </tx>
        </title>
        <majorTickMark val="none"/>
        <minorTickMark val="none"/>
        <crossAx val="100"/>
        <lblOffset val="100"/>
      </catAx>
      <valAx>
        <axId val="100"/>
        <scaling>
          <orientation val="minMax"/>
          <max val="24"/>
          <min val="0"/>
        </scaling>
        <axPos val="l"/>
        <majorGridlines/>
        <title>
          <tx>
            <rich>
              <a:bodyPr xmlns:a="http://schemas.openxmlformats.org/drawingml/2006/main"/>
              <a:p xmlns:a="http://schemas.openxmlformats.org/drawingml/2006/main">
                <a:pPr>
                  <a:defRPr/>
                </a:pPr>
                <a:r>
                  <a:t>Hours</a:t>
                </a:r>
              </a:p>
            </rich>
          </tx>
        </title>
        <majorTickMark val="none"/>
        <minorTickMark val="none"/>
        <crossAx val="10"/>
      </valAx>
    </plotArea>
    <plotVisOnly val="1"/>
    <dispBlanksAs val="gap"/>
  </chart>
</chartSpace>
</file>

<file path=xl/charts/chart134.xml><?xml version="1.0" encoding="utf-8"?>
<chartSpace xmlns="http://schemas.openxmlformats.org/drawingml/2006/chart">
  <style val="10"/>
  <chart>
    <title>
      <tx>
        <rich>
          <a:bodyPr xmlns:a="http://schemas.openxmlformats.org/drawingml/2006/main"/>
          <a:p xmlns:a="http://schemas.openxmlformats.org/drawingml/2006/main">
            <a:pPr>
              <a:defRPr/>
            </a:pPr>
            <a:r>
              <a:t>Weekly Momentum Trend (%)</a:t>
            </a:r>
          </a:p>
        </rich>
      </tx>
    </title>
    <plotArea>
      <barChart>
        <barDir val="col"/>
        <grouping val="clustered"/>
        <ser>
          <idx val="0"/>
          <order val="0"/>
          <tx>
            <strRef>
              <f>'Apr 2030'!E75</f>
            </strRef>
          </tx>
          <spPr>
            <a:ln xmlns:a="http://schemas.openxmlformats.org/drawingml/2006/main">
              <a:prstDash val="solid"/>
            </a:ln>
          </spPr>
          <cat>
            <numRef>
              <f>'Apr 2030'!$A$76:$A$80</f>
            </numRef>
          </cat>
          <val>
            <numRef>
              <f>'Apr 2030'!$E$76:$E$80</f>
            </numRef>
          </val>
        </ser>
        <gapWidth val="150"/>
        <axId val="10"/>
        <axId val="100"/>
      </barChart>
      <catAx>
        <axId val="10"/>
        <scaling>
          <orientation val="minMax"/>
        </scaling>
        <axPos val="l"/>
        <title>
          <tx>
            <rich>
              <a:bodyPr xmlns:a="http://schemas.openxmlformats.org/drawingml/2006/main"/>
              <a:p xmlns:a="http://schemas.openxmlformats.org/drawingml/2006/main">
                <a:pPr>
                  <a:defRPr/>
                </a:pPr>
                <a:r>
                  <a:t>Week</a:t>
                </a:r>
              </a:p>
            </rich>
          </tx>
        </title>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Success %</a:t>
                </a:r>
              </a:p>
            </rich>
          </tx>
        </title>
        <majorTickMark val="none"/>
        <minorTickMark val="none"/>
        <crossAx val="10"/>
      </valAx>
    </plotArea>
    <plotVisOnly val="1"/>
    <dispBlanksAs val="gap"/>
  </chart>
</chartSpace>
</file>

<file path=xl/charts/chart135.xml><?xml version="1.0" encoding="utf-8"?>
<chartSpace xmlns="http://schemas.openxmlformats.org/drawingml/2006/chart">
  <style val="11"/>
  <chart>
    <title>
      <tx>
        <rich>
          <a:bodyPr xmlns:a="http://schemas.openxmlformats.org/drawingml/2006/main"/>
          <a:p xmlns:a="http://schemas.openxmlformats.org/drawingml/2006/main">
            <a:pPr>
              <a:defRPr/>
            </a:pPr>
            <a:r>
              <a:t>Performance by Domain (%)</a:t>
            </a:r>
          </a:p>
        </rich>
      </tx>
    </title>
    <plotArea>
      <barChart>
        <barDir val="col"/>
        <grouping val="clustered"/>
        <ser>
          <idx val="0"/>
          <order val="0"/>
          <tx>
            <strRef>
              <f>'Apr 2030'!S75</f>
            </strRef>
          </tx>
          <spPr>
            <a:ln xmlns:a="http://schemas.openxmlformats.org/drawingml/2006/main">
              <a:prstDash val="solid"/>
            </a:ln>
          </spPr>
          <cat>
            <numRef>
              <f>'Apr 2030'!$N$76:$N$80</f>
            </numRef>
          </cat>
          <val>
            <numRef>
              <f>'Apr 2030'!$S$76:$S$80</f>
            </numRef>
          </val>
        </ser>
        <gapWidth val="150"/>
        <axId val="10"/>
        <axId val="100"/>
      </barChart>
      <catAx>
        <axId val="10"/>
        <scaling>
          <orientation val="minMax"/>
        </scaling>
        <axPos val="l"/>
        <title>
          <tx>
            <rich>
              <a:bodyPr xmlns:a="http://schemas.openxmlformats.org/drawingml/2006/main"/>
              <a:p xmlns:a="http://schemas.openxmlformats.org/drawingml/2006/main">
                <a:pPr>
                  <a:defRPr/>
                </a:pPr>
                <a:r>
                  <a:t>Domain</a:t>
                </a:r>
              </a:p>
            </rich>
          </tx>
        </title>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Success %</a:t>
                </a:r>
              </a:p>
            </rich>
          </tx>
        </title>
        <majorTickMark val="none"/>
        <minorTickMark val="none"/>
        <crossAx val="10"/>
      </valAx>
    </plotArea>
    <plotVisOnly val="1"/>
    <dispBlanksAs val="gap"/>
  </chart>
</chartSpace>
</file>

<file path=xl/charts/chart136.xml><?xml version="1.0" encoding="utf-8"?>
<chartSpace xmlns="http://schemas.openxmlformats.org/drawingml/2006/chart">
  <style val="13"/>
  <chart>
    <title>
      <tx>
        <rich>
          <a:bodyPr xmlns:a="http://schemas.openxmlformats.org/drawingml/2006/main"/>
          <a:p xmlns:a="http://schemas.openxmlformats.org/drawingml/2006/main">
            <a:pPr>
              <a:defRPr/>
            </a:pPr>
            <a:r>
              <a:t>Daily Sleep Trend (Hours vs Day)</a:t>
            </a:r>
          </a:p>
        </rich>
      </tx>
    </title>
    <plotArea>
      <lineChart>
        <grouping val="standard"/>
        <ser>
          <idx val="0"/>
          <order val="0"/>
          <spPr>
            <a:ln xmlns:a="http://schemas.openxmlformats.org/drawingml/2006/main" w="25000">
              <a:solidFill>
                <a:srgbClr val="3B82F6"/>
              </a:solidFill>
              <a:prstDash val="solid"/>
            </a:ln>
          </spPr>
          <marker>
            <symbol val="circle"/>
            <size val="5"/>
            <spPr>
              <a:solidFill xmlns:a="http://schemas.openxmlformats.org/drawingml/2006/main">
                <a:srgbClr val="1D4ED8"/>
              </a:solidFill>
              <a:ln xmlns:a="http://schemas.openxmlformats.org/drawingml/2006/main">
                <a:prstDash val="solid"/>
              </a:ln>
            </spPr>
          </marker>
          <cat>
            <numRef>
              <f>'May 2030'!$E$45:$AI$45</f>
            </numRef>
          </cat>
          <val>
            <numRef>
              <f>'May 2030'!$E$47:$AI$47</f>
            </numRef>
          </val>
        </ser>
        <axId val="10"/>
        <axId val="100"/>
      </lineChart>
      <catAx>
        <axId val="10"/>
        <scaling>
          <orientation val="minMax"/>
        </scaling>
        <axPos val="l"/>
        <title>
          <tx>
            <rich>
              <a:bodyPr xmlns:a="http://schemas.openxmlformats.org/drawingml/2006/main"/>
              <a:p xmlns:a="http://schemas.openxmlformats.org/drawingml/2006/main">
                <a:pPr>
                  <a:defRPr/>
                </a:pPr>
                <a:r>
                  <a:t>Day</a:t>
                </a:r>
              </a:p>
            </rich>
          </tx>
        </title>
        <majorTickMark val="none"/>
        <minorTickMark val="none"/>
        <crossAx val="100"/>
        <lblOffset val="100"/>
      </catAx>
      <valAx>
        <axId val="100"/>
        <scaling>
          <orientation val="minMax"/>
          <max val="24"/>
          <min val="0"/>
        </scaling>
        <axPos val="l"/>
        <majorGridlines/>
        <title>
          <tx>
            <rich>
              <a:bodyPr xmlns:a="http://schemas.openxmlformats.org/drawingml/2006/main"/>
              <a:p xmlns:a="http://schemas.openxmlformats.org/drawingml/2006/main">
                <a:pPr>
                  <a:defRPr/>
                </a:pPr>
                <a:r>
                  <a:t>Hours</a:t>
                </a:r>
              </a:p>
            </rich>
          </tx>
        </title>
        <majorTickMark val="none"/>
        <minorTickMark val="none"/>
        <crossAx val="10"/>
      </valAx>
    </plotArea>
    <plotVisOnly val="1"/>
    <dispBlanksAs val="gap"/>
  </chart>
</chartSpace>
</file>

<file path=xl/charts/chart137.xml><?xml version="1.0" encoding="utf-8"?>
<chartSpace xmlns="http://schemas.openxmlformats.org/drawingml/2006/chart">
  <style val="10"/>
  <chart>
    <title>
      <tx>
        <rich>
          <a:bodyPr xmlns:a="http://schemas.openxmlformats.org/drawingml/2006/main"/>
          <a:p xmlns:a="http://schemas.openxmlformats.org/drawingml/2006/main">
            <a:pPr>
              <a:defRPr/>
            </a:pPr>
            <a:r>
              <a:t>Weekly Momentum Trend (%)</a:t>
            </a:r>
          </a:p>
        </rich>
      </tx>
    </title>
    <plotArea>
      <barChart>
        <barDir val="col"/>
        <grouping val="clustered"/>
        <ser>
          <idx val="0"/>
          <order val="0"/>
          <tx>
            <strRef>
              <f>'May 2030'!E75</f>
            </strRef>
          </tx>
          <spPr>
            <a:ln xmlns:a="http://schemas.openxmlformats.org/drawingml/2006/main">
              <a:prstDash val="solid"/>
            </a:ln>
          </spPr>
          <cat>
            <numRef>
              <f>'May 2030'!$A$76:$A$80</f>
            </numRef>
          </cat>
          <val>
            <numRef>
              <f>'May 2030'!$E$76:$E$80</f>
            </numRef>
          </val>
        </ser>
        <gapWidth val="150"/>
        <axId val="10"/>
        <axId val="100"/>
      </barChart>
      <catAx>
        <axId val="10"/>
        <scaling>
          <orientation val="minMax"/>
        </scaling>
        <axPos val="l"/>
        <title>
          <tx>
            <rich>
              <a:bodyPr xmlns:a="http://schemas.openxmlformats.org/drawingml/2006/main"/>
              <a:p xmlns:a="http://schemas.openxmlformats.org/drawingml/2006/main">
                <a:pPr>
                  <a:defRPr/>
                </a:pPr>
                <a:r>
                  <a:t>Week</a:t>
                </a:r>
              </a:p>
            </rich>
          </tx>
        </title>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Success %</a:t>
                </a:r>
              </a:p>
            </rich>
          </tx>
        </title>
        <majorTickMark val="none"/>
        <minorTickMark val="none"/>
        <crossAx val="10"/>
      </valAx>
    </plotArea>
    <plotVisOnly val="1"/>
    <dispBlanksAs val="gap"/>
  </chart>
</chartSpace>
</file>

<file path=xl/charts/chart138.xml><?xml version="1.0" encoding="utf-8"?>
<chartSpace xmlns="http://schemas.openxmlformats.org/drawingml/2006/chart">
  <style val="11"/>
  <chart>
    <title>
      <tx>
        <rich>
          <a:bodyPr xmlns:a="http://schemas.openxmlformats.org/drawingml/2006/main"/>
          <a:p xmlns:a="http://schemas.openxmlformats.org/drawingml/2006/main">
            <a:pPr>
              <a:defRPr/>
            </a:pPr>
            <a:r>
              <a:t>Performance by Domain (%)</a:t>
            </a:r>
          </a:p>
        </rich>
      </tx>
    </title>
    <plotArea>
      <barChart>
        <barDir val="col"/>
        <grouping val="clustered"/>
        <ser>
          <idx val="0"/>
          <order val="0"/>
          <tx>
            <strRef>
              <f>'May 2030'!S75</f>
            </strRef>
          </tx>
          <spPr>
            <a:ln xmlns:a="http://schemas.openxmlformats.org/drawingml/2006/main">
              <a:prstDash val="solid"/>
            </a:ln>
          </spPr>
          <cat>
            <numRef>
              <f>'May 2030'!$N$76:$N$80</f>
            </numRef>
          </cat>
          <val>
            <numRef>
              <f>'May 2030'!$S$76:$S$80</f>
            </numRef>
          </val>
        </ser>
        <gapWidth val="150"/>
        <axId val="10"/>
        <axId val="100"/>
      </barChart>
      <catAx>
        <axId val="10"/>
        <scaling>
          <orientation val="minMax"/>
        </scaling>
        <axPos val="l"/>
        <title>
          <tx>
            <rich>
              <a:bodyPr xmlns:a="http://schemas.openxmlformats.org/drawingml/2006/main"/>
              <a:p xmlns:a="http://schemas.openxmlformats.org/drawingml/2006/main">
                <a:pPr>
                  <a:defRPr/>
                </a:pPr>
                <a:r>
                  <a:t>Domain</a:t>
                </a:r>
              </a:p>
            </rich>
          </tx>
        </title>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Success %</a:t>
                </a:r>
              </a:p>
            </rich>
          </tx>
        </title>
        <majorTickMark val="none"/>
        <minorTickMark val="none"/>
        <crossAx val="10"/>
      </valAx>
    </plotArea>
    <plotVisOnly val="1"/>
    <dispBlanksAs val="gap"/>
  </chart>
</chartSpace>
</file>

<file path=xl/charts/chart139.xml><?xml version="1.0" encoding="utf-8"?>
<chartSpace xmlns="http://schemas.openxmlformats.org/drawingml/2006/chart">
  <style val="13"/>
  <chart>
    <title>
      <tx>
        <rich>
          <a:bodyPr xmlns:a="http://schemas.openxmlformats.org/drawingml/2006/main"/>
          <a:p xmlns:a="http://schemas.openxmlformats.org/drawingml/2006/main">
            <a:pPr>
              <a:defRPr/>
            </a:pPr>
            <a:r>
              <a:t>Daily Sleep Trend (Hours vs Day)</a:t>
            </a:r>
          </a:p>
        </rich>
      </tx>
    </title>
    <plotArea>
      <lineChart>
        <grouping val="standard"/>
        <ser>
          <idx val="0"/>
          <order val="0"/>
          <spPr>
            <a:ln xmlns:a="http://schemas.openxmlformats.org/drawingml/2006/main" w="25000">
              <a:solidFill>
                <a:srgbClr val="3B82F6"/>
              </a:solidFill>
              <a:prstDash val="solid"/>
            </a:ln>
          </spPr>
          <marker>
            <symbol val="circle"/>
            <size val="5"/>
            <spPr>
              <a:solidFill xmlns:a="http://schemas.openxmlformats.org/drawingml/2006/main">
                <a:srgbClr val="1D4ED8"/>
              </a:solidFill>
              <a:ln xmlns:a="http://schemas.openxmlformats.org/drawingml/2006/main">
                <a:prstDash val="solid"/>
              </a:ln>
            </spPr>
          </marker>
          <cat>
            <numRef>
              <f>'Jun 2030'!$E$45:$AH$45</f>
            </numRef>
          </cat>
          <val>
            <numRef>
              <f>'Jun 2030'!$E$47:$AH$47</f>
            </numRef>
          </val>
        </ser>
        <axId val="10"/>
        <axId val="100"/>
      </lineChart>
      <catAx>
        <axId val="10"/>
        <scaling>
          <orientation val="minMax"/>
        </scaling>
        <axPos val="l"/>
        <title>
          <tx>
            <rich>
              <a:bodyPr xmlns:a="http://schemas.openxmlformats.org/drawingml/2006/main"/>
              <a:p xmlns:a="http://schemas.openxmlformats.org/drawingml/2006/main">
                <a:pPr>
                  <a:defRPr/>
                </a:pPr>
                <a:r>
                  <a:t>Day</a:t>
                </a:r>
              </a:p>
            </rich>
          </tx>
        </title>
        <majorTickMark val="none"/>
        <minorTickMark val="none"/>
        <crossAx val="100"/>
        <lblOffset val="100"/>
      </catAx>
      <valAx>
        <axId val="100"/>
        <scaling>
          <orientation val="minMax"/>
          <max val="24"/>
          <min val="0"/>
        </scaling>
        <axPos val="l"/>
        <majorGridlines/>
        <title>
          <tx>
            <rich>
              <a:bodyPr xmlns:a="http://schemas.openxmlformats.org/drawingml/2006/main"/>
              <a:p xmlns:a="http://schemas.openxmlformats.org/drawingml/2006/main">
                <a:pPr>
                  <a:defRPr/>
                </a:pPr>
                <a:r>
                  <a:t>Hours</a:t>
                </a:r>
              </a:p>
            </rich>
          </tx>
        </title>
        <majorTickMark val="none"/>
        <minorTickMark val="none"/>
        <crossAx val="10"/>
      </valAx>
    </plotArea>
    <plotVisOnly val="1"/>
    <dispBlanksAs val="gap"/>
  </chart>
</chartSpace>
</file>

<file path=xl/charts/chart140.xml><?xml version="1.0" encoding="utf-8"?>
<chartSpace xmlns="http://schemas.openxmlformats.org/drawingml/2006/chart">
  <style val="10"/>
  <chart>
    <title>
      <tx>
        <rich>
          <a:bodyPr xmlns:a="http://schemas.openxmlformats.org/drawingml/2006/main"/>
          <a:p xmlns:a="http://schemas.openxmlformats.org/drawingml/2006/main">
            <a:pPr>
              <a:defRPr/>
            </a:pPr>
            <a:r>
              <a:t>Weekly Momentum Trend (%)</a:t>
            </a:r>
          </a:p>
        </rich>
      </tx>
    </title>
    <plotArea>
      <barChart>
        <barDir val="col"/>
        <grouping val="clustered"/>
        <ser>
          <idx val="0"/>
          <order val="0"/>
          <tx>
            <strRef>
              <f>'Jun 2030'!E75</f>
            </strRef>
          </tx>
          <spPr>
            <a:ln xmlns:a="http://schemas.openxmlformats.org/drawingml/2006/main">
              <a:prstDash val="solid"/>
            </a:ln>
          </spPr>
          <cat>
            <numRef>
              <f>'Jun 2030'!$A$76:$A$80</f>
            </numRef>
          </cat>
          <val>
            <numRef>
              <f>'Jun 2030'!$E$76:$E$80</f>
            </numRef>
          </val>
        </ser>
        <gapWidth val="150"/>
        <axId val="10"/>
        <axId val="100"/>
      </barChart>
      <catAx>
        <axId val="10"/>
        <scaling>
          <orientation val="minMax"/>
        </scaling>
        <axPos val="l"/>
        <title>
          <tx>
            <rich>
              <a:bodyPr xmlns:a="http://schemas.openxmlformats.org/drawingml/2006/main"/>
              <a:p xmlns:a="http://schemas.openxmlformats.org/drawingml/2006/main">
                <a:pPr>
                  <a:defRPr/>
                </a:pPr>
                <a:r>
                  <a:t>Week</a:t>
                </a:r>
              </a:p>
            </rich>
          </tx>
        </title>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Success %</a:t>
                </a:r>
              </a:p>
            </rich>
          </tx>
        </title>
        <majorTickMark val="none"/>
        <minorTickMark val="none"/>
        <crossAx val="10"/>
      </valAx>
    </plotArea>
    <plotVisOnly val="1"/>
    <dispBlanksAs val="gap"/>
  </chart>
</chartSpace>
</file>

<file path=xl/charts/chart141.xml><?xml version="1.0" encoding="utf-8"?>
<chartSpace xmlns="http://schemas.openxmlformats.org/drawingml/2006/chart">
  <style val="11"/>
  <chart>
    <title>
      <tx>
        <rich>
          <a:bodyPr xmlns:a="http://schemas.openxmlformats.org/drawingml/2006/main"/>
          <a:p xmlns:a="http://schemas.openxmlformats.org/drawingml/2006/main">
            <a:pPr>
              <a:defRPr/>
            </a:pPr>
            <a:r>
              <a:t>Performance by Domain (%)</a:t>
            </a:r>
          </a:p>
        </rich>
      </tx>
    </title>
    <plotArea>
      <barChart>
        <barDir val="col"/>
        <grouping val="clustered"/>
        <ser>
          <idx val="0"/>
          <order val="0"/>
          <tx>
            <strRef>
              <f>'Jun 2030'!S75</f>
            </strRef>
          </tx>
          <spPr>
            <a:ln xmlns:a="http://schemas.openxmlformats.org/drawingml/2006/main">
              <a:prstDash val="solid"/>
            </a:ln>
          </spPr>
          <cat>
            <numRef>
              <f>'Jun 2030'!$N$76:$N$80</f>
            </numRef>
          </cat>
          <val>
            <numRef>
              <f>'Jun 2030'!$S$76:$S$80</f>
            </numRef>
          </val>
        </ser>
        <gapWidth val="150"/>
        <axId val="10"/>
        <axId val="100"/>
      </barChart>
      <catAx>
        <axId val="10"/>
        <scaling>
          <orientation val="minMax"/>
        </scaling>
        <axPos val="l"/>
        <title>
          <tx>
            <rich>
              <a:bodyPr xmlns:a="http://schemas.openxmlformats.org/drawingml/2006/main"/>
              <a:p xmlns:a="http://schemas.openxmlformats.org/drawingml/2006/main">
                <a:pPr>
                  <a:defRPr/>
                </a:pPr>
                <a:r>
                  <a:t>Domain</a:t>
                </a:r>
              </a:p>
            </rich>
          </tx>
        </title>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Success %</a:t>
                </a:r>
              </a:p>
            </rich>
          </tx>
        </title>
        <majorTickMark val="none"/>
        <minorTickMark val="none"/>
        <crossAx val="10"/>
      </valAx>
    </plotArea>
    <plotVisOnly val="1"/>
    <dispBlanksAs val="gap"/>
  </chart>
</chartSpace>
</file>

<file path=xl/charts/chart142.xml><?xml version="1.0" encoding="utf-8"?>
<chartSpace xmlns="http://schemas.openxmlformats.org/drawingml/2006/chart">
  <style val="13"/>
  <chart>
    <title>
      <tx>
        <rich>
          <a:bodyPr xmlns:a="http://schemas.openxmlformats.org/drawingml/2006/main"/>
          <a:p xmlns:a="http://schemas.openxmlformats.org/drawingml/2006/main">
            <a:pPr>
              <a:defRPr/>
            </a:pPr>
            <a:r>
              <a:t>Daily Sleep Trend (Hours vs Day)</a:t>
            </a:r>
          </a:p>
        </rich>
      </tx>
    </title>
    <plotArea>
      <lineChart>
        <grouping val="standard"/>
        <ser>
          <idx val="0"/>
          <order val="0"/>
          <spPr>
            <a:ln xmlns:a="http://schemas.openxmlformats.org/drawingml/2006/main" w="25000">
              <a:solidFill>
                <a:srgbClr val="3B82F6"/>
              </a:solidFill>
              <a:prstDash val="solid"/>
            </a:ln>
          </spPr>
          <marker>
            <symbol val="circle"/>
            <size val="5"/>
            <spPr>
              <a:solidFill xmlns:a="http://schemas.openxmlformats.org/drawingml/2006/main">
                <a:srgbClr val="1D4ED8"/>
              </a:solidFill>
              <a:ln xmlns:a="http://schemas.openxmlformats.org/drawingml/2006/main">
                <a:prstDash val="solid"/>
              </a:ln>
            </spPr>
          </marker>
          <cat>
            <numRef>
              <f>'Jul 2030'!$E$45:$AI$45</f>
            </numRef>
          </cat>
          <val>
            <numRef>
              <f>'Jul 2030'!$E$47:$AI$47</f>
            </numRef>
          </val>
        </ser>
        <axId val="10"/>
        <axId val="100"/>
      </lineChart>
      <catAx>
        <axId val="10"/>
        <scaling>
          <orientation val="minMax"/>
        </scaling>
        <axPos val="l"/>
        <title>
          <tx>
            <rich>
              <a:bodyPr xmlns:a="http://schemas.openxmlformats.org/drawingml/2006/main"/>
              <a:p xmlns:a="http://schemas.openxmlformats.org/drawingml/2006/main">
                <a:pPr>
                  <a:defRPr/>
                </a:pPr>
                <a:r>
                  <a:t>Day</a:t>
                </a:r>
              </a:p>
            </rich>
          </tx>
        </title>
        <majorTickMark val="none"/>
        <minorTickMark val="none"/>
        <crossAx val="100"/>
        <lblOffset val="100"/>
      </catAx>
      <valAx>
        <axId val="100"/>
        <scaling>
          <orientation val="minMax"/>
          <max val="24"/>
          <min val="0"/>
        </scaling>
        <axPos val="l"/>
        <majorGridlines/>
        <title>
          <tx>
            <rich>
              <a:bodyPr xmlns:a="http://schemas.openxmlformats.org/drawingml/2006/main"/>
              <a:p xmlns:a="http://schemas.openxmlformats.org/drawingml/2006/main">
                <a:pPr>
                  <a:defRPr/>
                </a:pPr>
                <a:r>
                  <a:t>Hours</a:t>
                </a:r>
              </a:p>
            </rich>
          </tx>
        </title>
        <majorTickMark val="none"/>
        <minorTickMark val="none"/>
        <crossAx val="10"/>
      </valAx>
    </plotArea>
    <plotVisOnly val="1"/>
    <dispBlanksAs val="gap"/>
  </chart>
</chartSpace>
</file>

<file path=xl/charts/chart143.xml><?xml version="1.0" encoding="utf-8"?>
<chartSpace xmlns="http://schemas.openxmlformats.org/drawingml/2006/chart">
  <style val="10"/>
  <chart>
    <title>
      <tx>
        <rich>
          <a:bodyPr xmlns:a="http://schemas.openxmlformats.org/drawingml/2006/main"/>
          <a:p xmlns:a="http://schemas.openxmlformats.org/drawingml/2006/main">
            <a:pPr>
              <a:defRPr/>
            </a:pPr>
            <a:r>
              <a:t>Weekly Momentum Trend (%)</a:t>
            </a:r>
          </a:p>
        </rich>
      </tx>
    </title>
    <plotArea>
      <barChart>
        <barDir val="col"/>
        <grouping val="clustered"/>
        <ser>
          <idx val="0"/>
          <order val="0"/>
          <tx>
            <strRef>
              <f>'Jul 2030'!E75</f>
            </strRef>
          </tx>
          <spPr>
            <a:ln xmlns:a="http://schemas.openxmlformats.org/drawingml/2006/main">
              <a:prstDash val="solid"/>
            </a:ln>
          </spPr>
          <cat>
            <numRef>
              <f>'Jul 2030'!$A$76:$A$80</f>
            </numRef>
          </cat>
          <val>
            <numRef>
              <f>'Jul 2030'!$E$76:$E$80</f>
            </numRef>
          </val>
        </ser>
        <gapWidth val="150"/>
        <axId val="10"/>
        <axId val="100"/>
      </barChart>
      <catAx>
        <axId val="10"/>
        <scaling>
          <orientation val="minMax"/>
        </scaling>
        <axPos val="l"/>
        <title>
          <tx>
            <rich>
              <a:bodyPr xmlns:a="http://schemas.openxmlformats.org/drawingml/2006/main"/>
              <a:p xmlns:a="http://schemas.openxmlformats.org/drawingml/2006/main">
                <a:pPr>
                  <a:defRPr/>
                </a:pPr>
                <a:r>
                  <a:t>Week</a:t>
                </a:r>
              </a:p>
            </rich>
          </tx>
        </title>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Success %</a:t>
                </a:r>
              </a:p>
            </rich>
          </tx>
        </title>
        <majorTickMark val="none"/>
        <minorTickMark val="none"/>
        <crossAx val="10"/>
      </valAx>
    </plotArea>
    <plotVisOnly val="1"/>
    <dispBlanksAs val="gap"/>
  </chart>
</chartSpace>
</file>

<file path=xl/charts/chart144.xml><?xml version="1.0" encoding="utf-8"?>
<chartSpace xmlns="http://schemas.openxmlformats.org/drawingml/2006/chart">
  <style val="11"/>
  <chart>
    <title>
      <tx>
        <rich>
          <a:bodyPr xmlns:a="http://schemas.openxmlformats.org/drawingml/2006/main"/>
          <a:p xmlns:a="http://schemas.openxmlformats.org/drawingml/2006/main">
            <a:pPr>
              <a:defRPr/>
            </a:pPr>
            <a:r>
              <a:t>Performance by Domain (%)</a:t>
            </a:r>
          </a:p>
        </rich>
      </tx>
    </title>
    <plotArea>
      <barChart>
        <barDir val="col"/>
        <grouping val="clustered"/>
        <ser>
          <idx val="0"/>
          <order val="0"/>
          <tx>
            <strRef>
              <f>'Jul 2030'!S75</f>
            </strRef>
          </tx>
          <spPr>
            <a:ln xmlns:a="http://schemas.openxmlformats.org/drawingml/2006/main">
              <a:prstDash val="solid"/>
            </a:ln>
          </spPr>
          <cat>
            <numRef>
              <f>'Jul 2030'!$N$76:$N$80</f>
            </numRef>
          </cat>
          <val>
            <numRef>
              <f>'Jul 2030'!$S$76:$S$80</f>
            </numRef>
          </val>
        </ser>
        <gapWidth val="150"/>
        <axId val="10"/>
        <axId val="100"/>
      </barChart>
      <catAx>
        <axId val="10"/>
        <scaling>
          <orientation val="minMax"/>
        </scaling>
        <axPos val="l"/>
        <title>
          <tx>
            <rich>
              <a:bodyPr xmlns:a="http://schemas.openxmlformats.org/drawingml/2006/main"/>
              <a:p xmlns:a="http://schemas.openxmlformats.org/drawingml/2006/main">
                <a:pPr>
                  <a:defRPr/>
                </a:pPr>
                <a:r>
                  <a:t>Domain</a:t>
                </a:r>
              </a:p>
            </rich>
          </tx>
        </title>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Success %</a:t>
                </a:r>
              </a:p>
            </rich>
          </tx>
        </title>
        <majorTickMark val="none"/>
        <minorTickMark val="none"/>
        <crossAx val="10"/>
      </valAx>
    </plotArea>
    <plotVisOnly val="1"/>
    <dispBlanksAs val="gap"/>
  </chart>
</chartSpace>
</file>

<file path=xl/charts/chart145.xml><?xml version="1.0" encoding="utf-8"?>
<chartSpace xmlns="http://schemas.openxmlformats.org/drawingml/2006/chart">
  <style val="13"/>
  <chart>
    <title>
      <tx>
        <rich>
          <a:bodyPr xmlns:a="http://schemas.openxmlformats.org/drawingml/2006/main"/>
          <a:p xmlns:a="http://schemas.openxmlformats.org/drawingml/2006/main">
            <a:pPr>
              <a:defRPr/>
            </a:pPr>
            <a:r>
              <a:t>Daily Sleep Trend (Hours vs Day)</a:t>
            </a:r>
          </a:p>
        </rich>
      </tx>
    </title>
    <plotArea>
      <lineChart>
        <grouping val="standard"/>
        <ser>
          <idx val="0"/>
          <order val="0"/>
          <spPr>
            <a:ln xmlns:a="http://schemas.openxmlformats.org/drawingml/2006/main" w="25000">
              <a:solidFill>
                <a:srgbClr val="3B82F6"/>
              </a:solidFill>
              <a:prstDash val="solid"/>
            </a:ln>
          </spPr>
          <marker>
            <symbol val="circle"/>
            <size val="5"/>
            <spPr>
              <a:solidFill xmlns:a="http://schemas.openxmlformats.org/drawingml/2006/main">
                <a:srgbClr val="1D4ED8"/>
              </a:solidFill>
              <a:ln xmlns:a="http://schemas.openxmlformats.org/drawingml/2006/main">
                <a:prstDash val="solid"/>
              </a:ln>
            </spPr>
          </marker>
          <cat>
            <numRef>
              <f>'Aug 2030'!$E$45:$AI$45</f>
            </numRef>
          </cat>
          <val>
            <numRef>
              <f>'Aug 2030'!$E$47:$AI$47</f>
            </numRef>
          </val>
        </ser>
        <axId val="10"/>
        <axId val="100"/>
      </lineChart>
      <catAx>
        <axId val="10"/>
        <scaling>
          <orientation val="minMax"/>
        </scaling>
        <axPos val="l"/>
        <title>
          <tx>
            <rich>
              <a:bodyPr xmlns:a="http://schemas.openxmlformats.org/drawingml/2006/main"/>
              <a:p xmlns:a="http://schemas.openxmlformats.org/drawingml/2006/main">
                <a:pPr>
                  <a:defRPr/>
                </a:pPr>
                <a:r>
                  <a:t>Day</a:t>
                </a:r>
              </a:p>
            </rich>
          </tx>
        </title>
        <majorTickMark val="none"/>
        <minorTickMark val="none"/>
        <crossAx val="100"/>
        <lblOffset val="100"/>
      </catAx>
      <valAx>
        <axId val="100"/>
        <scaling>
          <orientation val="minMax"/>
          <max val="24"/>
          <min val="0"/>
        </scaling>
        <axPos val="l"/>
        <majorGridlines/>
        <title>
          <tx>
            <rich>
              <a:bodyPr xmlns:a="http://schemas.openxmlformats.org/drawingml/2006/main"/>
              <a:p xmlns:a="http://schemas.openxmlformats.org/drawingml/2006/main">
                <a:pPr>
                  <a:defRPr/>
                </a:pPr>
                <a:r>
                  <a:t>Hours</a:t>
                </a:r>
              </a:p>
            </rich>
          </tx>
        </title>
        <majorTickMark val="none"/>
        <minorTickMark val="none"/>
        <crossAx val="10"/>
      </valAx>
    </plotArea>
    <plotVisOnly val="1"/>
    <dispBlanksAs val="gap"/>
  </chart>
</chartSpace>
</file>

<file path=xl/charts/chart146.xml><?xml version="1.0" encoding="utf-8"?>
<chartSpace xmlns="http://schemas.openxmlformats.org/drawingml/2006/chart">
  <style val="10"/>
  <chart>
    <title>
      <tx>
        <rich>
          <a:bodyPr xmlns:a="http://schemas.openxmlformats.org/drawingml/2006/main"/>
          <a:p xmlns:a="http://schemas.openxmlformats.org/drawingml/2006/main">
            <a:pPr>
              <a:defRPr/>
            </a:pPr>
            <a:r>
              <a:t>Weekly Momentum Trend (%)</a:t>
            </a:r>
          </a:p>
        </rich>
      </tx>
    </title>
    <plotArea>
      <barChart>
        <barDir val="col"/>
        <grouping val="clustered"/>
        <ser>
          <idx val="0"/>
          <order val="0"/>
          <tx>
            <strRef>
              <f>'Aug 2030'!E75</f>
            </strRef>
          </tx>
          <spPr>
            <a:ln xmlns:a="http://schemas.openxmlformats.org/drawingml/2006/main">
              <a:prstDash val="solid"/>
            </a:ln>
          </spPr>
          <cat>
            <numRef>
              <f>'Aug 2030'!$A$76:$A$80</f>
            </numRef>
          </cat>
          <val>
            <numRef>
              <f>'Aug 2030'!$E$76:$E$80</f>
            </numRef>
          </val>
        </ser>
        <gapWidth val="150"/>
        <axId val="10"/>
        <axId val="100"/>
      </barChart>
      <catAx>
        <axId val="10"/>
        <scaling>
          <orientation val="minMax"/>
        </scaling>
        <axPos val="l"/>
        <title>
          <tx>
            <rich>
              <a:bodyPr xmlns:a="http://schemas.openxmlformats.org/drawingml/2006/main"/>
              <a:p xmlns:a="http://schemas.openxmlformats.org/drawingml/2006/main">
                <a:pPr>
                  <a:defRPr/>
                </a:pPr>
                <a:r>
                  <a:t>Week</a:t>
                </a:r>
              </a:p>
            </rich>
          </tx>
        </title>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Success %</a:t>
                </a:r>
              </a:p>
            </rich>
          </tx>
        </title>
        <majorTickMark val="none"/>
        <minorTickMark val="none"/>
        <crossAx val="10"/>
      </valAx>
    </plotArea>
    <plotVisOnly val="1"/>
    <dispBlanksAs val="gap"/>
  </chart>
</chartSpace>
</file>

<file path=xl/charts/chart147.xml><?xml version="1.0" encoding="utf-8"?>
<chartSpace xmlns="http://schemas.openxmlformats.org/drawingml/2006/chart">
  <style val="11"/>
  <chart>
    <title>
      <tx>
        <rich>
          <a:bodyPr xmlns:a="http://schemas.openxmlformats.org/drawingml/2006/main"/>
          <a:p xmlns:a="http://schemas.openxmlformats.org/drawingml/2006/main">
            <a:pPr>
              <a:defRPr/>
            </a:pPr>
            <a:r>
              <a:t>Performance by Domain (%)</a:t>
            </a:r>
          </a:p>
        </rich>
      </tx>
    </title>
    <plotArea>
      <barChart>
        <barDir val="col"/>
        <grouping val="clustered"/>
        <ser>
          <idx val="0"/>
          <order val="0"/>
          <tx>
            <strRef>
              <f>'Aug 2030'!S75</f>
            </strRef>
          </tx>
          <spPr>
            <a:ln xmlns:a="http://schemas.openxmlformats.org/drawingml/2006/main">
              <a:prstDash val="solid"/>
            </a:ln>
          </spPr>
          <cat>
            <numRef>
              <f>'Aug 2030'!$N$76:$N$80</f>
            </numRef>
          </cat>
          <val>
            <numRef>
              <f>'Aug 2030'!$S$76:$S$80</f>
            </numRef>
          </val>
        </ser>
        <gapWidth val="150"/>
        <axId val="10"/>
        <axId val="100"/>
      </barChart>
      <catAx>
        <axId val="10"/>
        <scaling>
          <orientation val="minMax"/>
        </scaling>
        <axPos val="l"/>
        <title>
          <tx>
            <rich>
              <a:bodyPr xmlns:a="http://schemas.openxmlformats.org/drawingml/2006/main"/>
              <a:p xmlns:a="http://schemas.openxmlformats.org/drawingml/2006/main">
                <a:pPr>
                  <a:defRPr/>
                </a:pPr>
                <a:r>
                  <a:t>Domain</a:t>
                </a:r>
              </a:p>
            </rich>
          </tx>
        </title>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Success %</a:t>
                </a:r>
              </a:p>
            </rich>
          </tx>
        </title>
        <majorTickMark val="none"/>
        <minorTickMark val="none"/>
        <crossAx val="10"/>
      </valAx>
    </plotArea>
    <plotVisOnly val="1"/>
    <dispBlanksAs val="gap"/>
  </chart>
</chartSpace>
</file>

<file path=xl/charts/chart148.xml><?xml version="1.0" encoding="utf-8"?>
<chartSpace xmlns="http://schemas.openxmlformats.org/drawingml/2006/chart">
  <style val="13"/>
  <chart>
    <title>
      <tx>
        <rich>
          <a:bodyPr xmlns:a="http://schemas.openxmlformats.org/drawingml/2006/main"/>
          <a:p xmlns:a="http://schemas.openxmlformats.org/drawingml/2006/main">
            <a:pPr>
              <a:defRPr/>
            </a:pPr>
            <a:r>
              <a:t>Daily Sleep Trend (Hours vs Day)</a:t>
            </a:r>
          </a:p>
        </rich>
      </tx>
    </title>
    <plotArea>
      <lineChart>
        <grouping val="standard"/>
        <ser>
          <idx val="0"/>
          <order val="0"/>
          <spPr>
            <a:ln xmlns:a="http://schemas.openxmlformats.org/drawingml/2006/main" w="25000">
              <a:solidFill>
                <a:srgbClr val="3B82F6"/>
              </a:solidFill>
              <a:prstDash val="solid"/>
            </a:ln>
          </spPr>
          <marker>
            <symbol val="circle"/>
            <size val="5"/>
            <spPr>
              <a:solidFill xmlns:a="http://schemas.openxmlformats.org/drawingml/2006/main">
                <a:srgbClr val="1D4ED8"/>
              </a:solidFill>
              <a:ln xmlns:a="http://schemas.openxmlformats.org/drawingml/2006/main">
                <a:prstDash val="solid"/>
              </a:ln>
            </spPr>
          </marker>
          <cat>
            <numRef>
              <f>'Sep 2030'!$E$45:$AH$45</f>
            </numRef>
          </cat>
          <val>
            <numRef>
              <f>'Sep 2030'!$E$47:$AH$47</f>
            </numRef>
          </val>
        </ser>
        <axId val="10"/>
        <axId val="100"/>
      </lineChart>
      <catAx>
        <axId val="10"/>
        <scaling>
          <orientation val="minMax"/>
        </scaling>
        <axPos val="l"/>
        <title>
          <tx>
            <rich>
              <a:bodyPr xmlns:a="http://schemas.openxmlformats.org/drawingml/2006/main"/>
              <a:p xmlns:a="http://schemas.openxmlformats.org/drawingml/2006/main">
                <a:pPr>
                  <a:defRPr/>
                </a:pPr>
                <a:r>
                  <a:t>Day</a:t>
                </a:r>
              </a:p>
            </rich>
          </tx>
        </title>
        <majorTickMark val="none"/>
        <minorTickMark val="none"/>
        <crossAx val="100"/>
        <lblOffset val="100"/>
      </catAx>
      <valAx>
        <axId val="100"/>
        <scaling>
          <orientation val="minMax"/>
          <max val="24"/>
          <min val="0"/>
        </scaling>
        <axPos val="l"/>
        <majorGridlines/>
        <title>
          <tx>
            <rich>
              <a:bodyPr xmlns:a="http://schemas.openxmlformats.org/drawingml/2006/main"/>
              <a:p xmlns:a="http://schemas.openxmlformats.org/drawingml/2006/main">
                <a:pPr>
                  <a:defRPr/>
                </a:pPr>
                <a:r>
                  <a:t>Hours</a:t>
                </a:r>
              </a:p>
            </rich>
          </tx>
        </title>
        <majorTickMark val="none"/>
        <minorTickMark val="none"/>
        <crossAx val="10"/>
      </valAx>
    </plotArea>
    <plotVisOnly val="1"/>
    <dispBlanksAs val="gap"/>
  </chart>
</chartSpace>
</file>

<file path=xl/charts/chart149.xml><?xml version="1.0" encoding="utf-8"?>
<chartSpace xmlns="http://schemas.openxmlformats.org/drawingml/2006/chart">
  <style val="10"/>
  <chart>
    <title>
      <tx>
        <rich>
          <a:bodyPr xmlns:a="http://schemas.openxmlformats.org/drawingml/2006/main"/>
          <a:p xmlns:a="http://schemas.openxmlformats.org/drawingml/2006/main">
            <a:pPr>
              <a:defRPr/>
            </a:pPr>
            <a:r>
              <a:t>Weekly Momentum Trend (%)</a:t>
            </a:r>
          </a:p>
        </rich>
      </tx>
    </title>
    <plotArea>
      <barChart>
        <barDir val="col"/>
        <grouping val="clustered"/>
        <ser>
          <idx val="0"/>
          <order val="0"/>
          <tx>
            <strRef>
              <f>'Sep 2030'!E75</f>
            </strRef>
          </tx>
          <spPr>
            <a:ln xmlns:a="http://schemas.openxmlformats.org/drawingml/2006/main">
              <a:prstDash val="solid"/>
            </a:ln>
          </spPr>
          <cat>
            <numRef>
              <f>'Sep 2030'!$A$76:$A$80</f>
            </numRef>
          </cat>
          <val>
            <numRef>
              <f>'Sep 2030'!$E$76:$E$80</f>
            </numRef>
          </val>
        </ser>
        <gapWidth val="150"/>
        <axId val="10"/>
        <axId val="100"/>
      </barChart>
      <catAx>
        <axId val="10"/>
        <scaling>
          <orientation val="minMax"/>
        </scaling>
        <axPos val="l"/>
        <title>
          <tx>
            <rich>
              <a:bodyPr xmlns:a="http://schemas.openxmlformats.org/drawingml/2006/main"/>
              <a:p xmlns:a="http://schemas.openxmlformats.org/drawingml/2006/main">
                <a:pPr>
                  <a:defRPr/>
                </a:pPr>
                <a:r>
                  <a:t>Week</a:t>
                </a:r>
              </a:p>
            </rich>
          </tx>
        </title>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Success %</a:t>
                </a:r>
              </a:p>
            </rich>
          </tx>
        </title>
        <majorTickMark val="none"/>
        <minorTickMark val="none"/>
        <crossAx val="10"/>
      </valAx>
    </plotArea>
    <plotVisOnly val="1"/>
    <dispBlanksAs val="gap"/>
  </chart>
</chartSpace>
</file>

<file path=xl/charts/chart150.xml><?xml version="1.0" encoding="utf-8"?>
<chartSpace xmlns="http://schemas.openxmlformats.org/drawingml/2006/chart">
  <style val="11"/>
  <chart>
    <title>
      <tx>
        <rich>
          <a:bodyPr xmlns:a="http://schemas.openxmlformats.org/drawingml/2006/main"/>
          <a:p xmlns:a="http://schemas.openxmlformats.org/drawingml/2006/main">
            <a:pPr>
              <a:defRPr/>
            </a:pPr>
            <a:r>
              <a:t>Performance by Domain (%)</a:t>
            </a:r>
          </a:p>
        </rich>
      </tx>
    </title>
    <plotArea>
      <barChart>
        <barDir val="col"/>
        <grouping val="clustered"/>
        <ser>
          <idx val="0"/>
          <order val="0"/>
          <tx>
            <strRef>
              <f>'Sep 2030'!S75</f>
            </strRef>
          </tx>
          <spPr>
            <a:ln xmlns:a="http://schemas.openxmlformats.org/drawingml/2006/main">
              <a:prstDash val="solid"/>
            </a:ln>
          </spPr>
          <cat>
            <numRef>
              <f>'Sep 2030'!$N$76:$N$80</f>
            </numRef>
          </cat>
          <val>
            <numRef>
              <f>'Sep 2030'!$S$76:$S$80</f>
            </numRef>
          </val>
        </ser>
        <gapWidth val="150"/>
        <axId val="10"/>
        <axId val="100"/>
      </barChart>
      <catAx>
        <axId val="10"/>
        <scaling>
          <orientation val="minMax"/>
        </scaling>
        <axPos val="l"/>
        <title>
          <tx>
            <rich>
              <a:bodyPr xmlns:a="http://schemas.openxmlformats.org/drawingml/2006/main"/>
              <a:p xmlns:a="http://schemas.openxmlformats.org/drawingml/2006/main">
                <a:pPr>
                  <a:defRPr/>
                </a:pPr>
                <a:r>
                  <a:t>Domain</a:t>
                </a:r>
              </a:p>
            </rich>
          </tx>
        </title>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Success %</a:t>
                </a:r>
              </a:p>
            </rich>
          </tx>
        </title>
        <majorTickMark val="none"/>
        <minorTickMark val="none"/>
        <crossAx val="10"/>
      </valAx>
    </plotArea>
    <plotVisOnly val="1"/>
    <dispBlanksAs val="gap"/>
  </chart>
</chartSpace>
</file>

<file path=xl/charts/chart151.xml><?xml version="1.0" encoding="utf-8"?>
<chartSpace xmlns="http://schemas.openxmlformats.org/drawingml/2006/chart">
  <style val="13"/>
  <chart>
    <title>
      <tx>
        <rich>
          <a:bodyPr xmlns:a="http://schemas.openxmlformats.org/drawingml/2006/main"/>
          <a:p xmlns:a="http://schemas.openxmlformats.org/drawingml/2006/main">
            <a:pPr>
              <a:defRPr/>
            </a:pPr>
            <a:r>
              <a:t>Daily Sleep Trend (Hours vs Day)</a:t>
            </a:r>
          </a:p>
        </rich>
      </tx>
    </title>
    <plotArea>
      <lineChart>
        <grouping val="standard"/>
        <ser>
          <idx val="0"/>
          <order val="0"/>
          <spPr>
            <a:ln xmlns:a="http://schemas.openxmlformats.org/drawingml/2006/main" w="25000">
              <a:solidFill>
                <a:srgbClr val="3B82F6"/>
              </a:solidFill>
              <a:prstDash val="solid"/>
            </a:ln>
          </spPr>
          <marker>
            <symbol val="circle"/>
            <size val="5"/>
            <spPr>
              <a:solidFill xmlns:a="http://schemas.openxmlformats.org/drawingml/2006/main">
                <a:srgbClr val="1D4ED8"/>
              </a:solidFill>
              <a:ln xmlns:a="http://schemas.openxmlformats.org/drawingml/2006/main">
                <a:prstDash val="solid"/>
              </a:ln>
            </spPr>
          </marker>
          <cat>
            <numRef>
              <f>'Oct 2030'!$E$45:$AI$45</f>
            </numRef>
          </cat>
          <val>
            <numRef>
              <f>'Oct 2030'!$E$47:$AI$47</f>
            </numRef>
          </val>
        </ser>
        <axId val="10"/>
        <axId val="100"/>
      </lineChart>
      <catAx>
        <axId val="10"/>
        <scaling>
          <orientation val="minMax"/>
        </scaling>
        <axPos val="l"/>
        <title>
          <tx>
            <rich>
              <a:bodyPr xmlns:a="http://schemas.openxmlformats.org/drawingml/2006/main"/>
              <a:p xmlns:a="http://schemas.openxmlformats.org/drawingml/2006/main">
                <a:pPr>
                  <a:defRPr/>
                </a:pPr>
                <a:r>
                  <a:t>Day</a:t>
                </a:r>
              </a:p>
            </rich>
          </tx>
        </title>
        <majorTickMark val="none"/>
        <minorTickMark val="none"/>
        <crossAx val="100"/>
        <lblOffset val="100"/>
      </catAx>
      <valAx>
        <axId val="100"/>
        <scaling>
          <orientation val="minMax"/>
          <max val="24"/>
          <min val="0"/>
        </scaling>
        <axPos val="l"/>
        <majorGridlines/>
        <title>
          <tx>
            <rich>
              <a:bodyPr xmlns:a="http://schemas.openxmlformats.org/drawingml/2006/main"/>
              <a:p xmlns:a="http://schemas.openxmlformats.org/drawingml/2006/main">
                <a:pPr>
                  <a:defRPr/>
                </a:pPr>
                <a:r>
                  <a:t>Hours</a:t>
                </a:r>
              </a:p>
            </rich>
          </tx>
        </title>
        <majorTickMark val="none"/>
        <minorTickMark val="none"/>
        <crossAx val="10"/>
      </valAx>
    </plotArea>
    <plotVisOnly val="1"/>
    <dispBlanksAs val="gap"/>
  </chart>
</chartSpace>
</file>

<file path=xl/charts/chart152.xml><?xml version="1.0" encoding="utf-8"?>
<chartSpace xmlns="http://schemas.openxmlformats.org/drawingml/2006/chart">
  <style val="10"/>
  <chart>
    <title>
      <tx>
        <rich>
          <a:bodyPr xmlns:a="http://schemas.openxmlformats.org/drawingml/2006/main"/>
          <a:p xmlns:a="http://schemas.openxmlformats.org/drawingml/2006/main">
            <a:pPr>
              <a:defRPr/>
            </a:pPr>
            <a:r>
              <a:t>Weekly Momentum Trend (%)</a:t>
            </a:r>
          </a:p>
        </rich>
      </tx>
    </title>
    <plotArea>
      <barChart>
        <barDir val="col"/>
        <grouping val="clustered"/>
        <ser>
          <idx val="0"/>
          <order val="0"/>
          <tx>
            <strRef>
              <f>'Oct 2030'!E75</f>
            </strRef>
          </tx>
          <spPr>
            <a:ln xmlns:a="http://schemas.openxmlformats.org/drawingml/2006/main">
              <a:prstDash val="solid"/>
            </a:ln>
          </spPr>
          <cat>
            <numRef>
              <f>'Oct 2030'!$A$76:$A$80</f>
            </numRef>
          </cat>
          <val>
            <numRef>
              <f>'Oct 2030'!$E$76:$E$80</f>
            </numRef>
          </val>
        </ser>
        <gapWidth val="150"/>
        <axId val="10"/>
        <axId val="100"/>
      </barChart>
      <catAx>
        <axId val="10"/>
        <scaling>
          <orientation val="minMax"/>
        </scaling>
        <axPos val="l"/>
        <title>
          <tx>
            <rich>
              <a:bodyPr xmlns:a="http://schemas.openxmlformats.org/drawingml/2006/main"/>
              <a:p xmlns:a="http://schemas.openxmlformats.org/drawingml/2006/main">
                <a:pPr>
                  <a:defRPr/>
                </a:pPr>
                <a:r>
                  <a:t>Week</a:t>
                </a:r>
              </a:p>
            </rich>
          </tx>
        </title>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Success %</a:t>
                </a:r>
              </a:p>
            </rich>
          </tx>
        </title>
        <majorTickMark val="none"/>
        <minorTickMark val="none"/>
        <crossAx val="10"/>
      </valAx>
    </plotArea>
    <plotVisOnly val="1"/>
    <dispBlanksAs val="gap"/>
  </chart>
</chartSpace>
</file>

<file path=xl/charts/chart153.xml><?xml version="1.0" encoding="utf-8"?>
<chartSpace xmlns="http://schemas.openxmlformats.org/drawingml/2006/chart">
  <style val="11"/>
  <chart>
    <title>
      <tx>
        <rich>
          <a:bodyPr xmlns:a="http://schemas.openxmlformats.org/drawingml/2006/main"/>
          <a:p xmlns:a="http://schemas.openxmlformats.org/drawingml/2006/main">
            <a:pPr>
              <a:defRPr/>
            </a:pPr>
            <a:r>
              <a:t>Performance by Domain (%)</a:t>
            </a:r>
          </a:p>
        </rich>
      </tx>
    </title>
    <plotArea>
      <barChart>
        <barDir val="col"/>
        <grouping val="clustered"/>
        <ser>
          <idx val="0"/>
          <order val="0"/>
          <tx>
            <strRef>
              <f>'Oct 2030'!S75</f>
            </strRef>
          </tx>
          <spPr>
            <a:ln xmlns:a="http://schemas.openxmlformats.org/drawingml/2006/main">
              <a:prstDash val="solid"/>
            </a:ln>
          </spPr>
          <cat>
            <numRef>
              <f>'Oct 2030'!$N$76:$N$80</f>
            </numRef>
          </cat>
          <val>
            <numRef>
              <f>'Oct 2030'!$S$76:$S$80</f>
            </numRef>
          </val>
        </ser>
        <gapWidth val="150"/>
        <axId val="10"/>
        <axId val="100"/>
      </barChart>
      <catAx>
        <axId val="10"/>
        <scaling>
          <orientation val="minMax"/>
        </scaling>
        <axPos val="l"/>
        <title>
          <tx>
            <rich>
              <a:bodyPr xmlns:a="http://schemas.openxmlformats.org/drawingml/2006/main"/>
              <a:p xmlns:a="http://schemas.openxmlformats.org/drawingml/2006/main">
                <a:pPr>
                  <a:defRPr/>
                </a:pPr>
                <a:r>
                  <a:t>Domain</a:t>
                </a:r>
              </a:p>
            </rich>
          </tx>
        </title>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Success %</a:t>
                </a:r>
              </a:p>
            </rich>
          </tx>
        </title>
        <majorTickMark val="none"/>
        <minorTickMark val="none"/>
        <crossAx val="10"/>
      </valAx>
    </plotArea>
    <plotVisOnly val="1"/>
    <dispBlanksAs val="gap"/>
  </chart>
</chartSpace>
</file>

<file path=xl/charts/chart154.xml><?xml version="1.0" encoding="utf-8"?>
<chartSpace xmlns="http://schemas.openxmlformats.org/drawingml/2006/chart">
  <style val="13"/>
  <chart>
    <title>
      <tx>
        <rich>
          <a:bodyPr xmlns:a="http://schemas.openxmlformats.org/drawingml/2006/main"/>
          <a:p xmlns:a="http://schemas.openxmlformats.org/drawingml/2006/main">
            <a:pPr>
              <a:defRPr/>
            </a:pPr>
            <a:r>
              <a:t>Daily Sleep Trend (Hours vs Day)</a:t>
            </a:r>
          </a:p>
        </rich>
      </tx>
    </title>
    <plotArea>
      <lineChart>
        <grouping val="standard"/>
        <ser>
          <idx val="0"/>
          <order val="0"/>
          <spPr>
            <a:ln xmlns:a="http://schemas.openxmlformats.org/drawingml/2006/main" w="25000">
              <a:solidFill>
                <a:srgbClr val="3B82F6"/>
              </a:solidFill>
              <a:prstDash val="solid"/>
            </a:ln>
          </spPr>
          <marker>
            <symbol val="circle"/>
            <size val="5"/>
            <spPr>
              <a:solidFill xmlns:a="http://schemas.openxmlformats.org/drawingml/2006/main">
                <a:srgbClr val="1D4ED8"/>
              </a:solidFill>
              <a:ln xmlns:a="http://schemas.openxmlformats.org/drawingml/2006/main">
                <a:prstDash val="solid"/>
              </a:ln>
            </spPr>
          </marker>
          <cat>
            <numRef>
              <f>'Nov 2030'!$E$45:$AH$45</f>
            </numRef>
          </cat>
          <val>
            <numRef>
              <f>'Nov 2030'!$E$47:$AH$47</f>
            </numRef>
          </val>
        </ser>
        <axId val="10"/>
        <axId val="100"/>
      </lineChart>
      <catAx>
        <axId val="10"/>
        <scaling>
          <orientation val="minMax"/>
        </scaling>
        <axPos val="l"/>
        <title>
          <tx>
            <rich>
              <a:bodyPr xmlns:a="http://schemas.openxmlformats.org/drawingml/2006/main"/>
              <a:p xmlns:a="http://schemas.openxmlformats.org/drawingml/2006/main">
                <a:pPr>
                  <a:defRPr/>
                </a:pPr>
                <a:r>
                  <a:t>Day</a:t>
                </a:r>
              </a:p>
            </rich>
          </tx>
        </title>
        <majorTickMark val="none"/>
        <minorTickMark val="none"/>
        <crossAx val="100"/>
        <lblOffset val="100"/>
      </catAx>
      <valAx>
        <axId val="100"/>
        <scaling>
          <orientation val="minMax"/>
          <max val="24"/>
          <min val="0"/>
        </scaling>
        <axPos val="l"/>
        <majorGridlines/>
        <title>
          <tx>
            <rich>
              <a:bodyPr xmlns:a="http://schemas.openxmlformats.org/drawingml/2006/main"/>
              <a:p xmlns:a="http://schemas.openxmlformats.org/drawingml/2006/main">
                <a:pPr>
                  <a:defRPr/>
                </a:pPr>
                <a:r>
                  <a:t>Hours</a:t>
                </a:r>
              </a:p>
            </rich>
          </tx>
        </title>
        <majorTickMark val="none"/>
        <minorTickMark val="none"/>
        <crossAx val="10"/>
      </valAx>
    </plotArea>
    <plotVisOnly val="1"/>
    <dispBlanksAs val="gap"/>
  </chart>
</chartSpace>
</file>

<file path=xl/charts/chart155.xml><?xml version="1.0" encoding="utf-8"?>
<chartSpace xmlns="http://schemas.openxmlformats.org/drawingml/2006/chart">
  <style val="10"/>
  <chart>
    <title>
      <tx>
        <rich>
          <a:bodyPr xmlns:a="http://schemas.openxmlformats.org/drawingml/2006/main"/>
          <a:p xmlns:a="http://schemas.openxmlformats.org/drawingml/2006/main">
            <a:pPr>
              <a:defRPr/>
            </a:pPr>
            <a:r>
              <a:t>Weekly Momentum Trend (%)</a:t>
            </a:r>
          </a:p>
        </rich>
      </tx>
    </title>
    <plotArea>
      <barChart>
        <barDir val="col"/>
        <grouping val="clustered"/>
        <ser>
          <idx val="0"/>
          <order val="0"/>
          <tx>
            <strRef>
              <f>'Nov 2030'!E75</f>
            </strRef>
          </tx>
          <spPr>
            <a:ln xmlns:a="http://schemas.openxmlformats.org/drawingml/2006/main">
              <a:prstDash val="solid"/>
            </a:ln>
          </spPr>
          <cat>
            <numRef>
              <f>'Nov 2030'!$A$76:$A$80</f>
            </numRef>
          </cat>
          <val>
            <numRef>
              <f>'Nov 2030'!$E$76:$E$80</f>
            </numRef>
          </val>
        </ser>
        <gapWidth val="150"/>
        <axId val="10"/>
        <axId val="100"/>
      </barChart>
      <catAx>
        <axId val="10"/>
        <scaling>
          <orientation val="minMax"/>
        </scaling>
        <axPos val="l"/>
        <title>
          <tx>
            <rich>
              <a:bodyPr xmlns:a="http://schemas.openxmlformats.org/drawingml/2006/main"/>
              <a:p xmlns:a="http://schemas.openxmlformats.org/drawingml/2006/main">
                <a:pPr>
                  <a:defRPr/>
                </a:pPr>
                <a:r>
                  <a:t>Week</a:t>
                </a:r>
              </a:p>
            </rich>
          </tx>
        </title>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Success %</a:t>
                </a:r>
              </a:p>
            </rich>
          </tx>
        </title>
        <majorTickMark val="none"/>
        <minorTickMark val="none"/>
        <crossAx val="10"/>
      </valAx>
    </plotArea>
    <plotVisOnly val="1"/>
    <dispBlanksAs val="gap"/>
  </chart>
</chartSpace>
</file>

<file path=xl/charts/chart156.xml><?xml version="1.0" encoding="utf-8"?>
<chartSpace xmlns="http://schemas.openxmlformats.org/drawingml/2006/chart">
  <style val="11"/>
  <chart>
    <title>
      <tx>
        <rich>
          <a:bodyPr xmlns:a="http://schemas.openxmlformats.org/drawingml/2006/main"/>
          <a:p xmlns:a="http://schemas.openxmlformats.org/drawingml/2006/main">
            <a:pPr>
              <a:defRPr/>
            </a:pPr>
            <a:r>
              <a:t>Performance by Domain (%)</a:t>
            </a:r>
          </a:p>
        </rich>
      </tx>
    </title>
    <plotArea>
      <barChart>
        <barDir val="col"/>
        <grouping val="clustered"/>
        <ser>
          <idx val="0"/>
          <order val="0"/>
          <tx>
            <strRef>
              <f>'Nov 2030'!S75</f>
            </strRef>
          </tx>
          <spPr>
            <a:ln xmlns:a="http://schemas.openxmlformats.org/drawingml/2006/main">
              <a:prstDash val="solid"/>
            </a:ln>
          </spPr>
          <cat>
            <numRef>
              <f>'Nov 2030'!$N$76:$N$80</f>
            </numRef>
          </cat>
          <val>
            <numRef>
              <f>'Nov 2030'!$S$76:$S$80</f>
            </numRef>
          </val>
        </ser>
        <gapWidth val="150"/>
        <axId val="10"/>
        <axId val="100"/>
      </barChart>
      <catAx>
        <axId val="10"/>
        <scaling>
          <orientation val="minMax"/>
        </scaling>
        <axPos val="l"/>
        <title>
          <tx>
            <rich>
              <a:bodyPr xmlns:a="http://schemas.openxmlformats.org/drawingml/2006/main"/>
              <a:p xmlns:a="http://schemas.openxmlformats.org/drawingml/2006/main">
                <a:pPr>
                  <a:defRPr/>
                </a:pPr>
                <a:r>
                  <a:t>Domain</a:t>
                </a:r>
              </a:p>
            </rich>
          </tx>
        </title>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Success %</a:t>
                </a:r>
              </a:p>
            </rich>
          </tx>
        </title>
        <majorTickMark val="none"/>
        <minorTickMark val="none"/>
        <crossAx val="10"/>
      </valAx>
    </plotArea>
    <plotVisOnly val="1"/>
    <dispBlanksAs val="gap"/>
  </chart>
</chartSpace>
</file>

<file path=xl/charts/chart157.xml><?xml version="1.0" encoding="utf-8"?>
<chartSpace xmlns="http://schemas.openxmlformats.org/drawingml/2006/chart">
  <style val="13"/>
  <chart>
    <title>
      <tx>
        <rich>
          <a:bodyPr xmlns:a="http://schemas.openxmlformats.org/drawingml/2006/main"/>
          <a:p xmlns:a="http://schemas.openxmlformats.org/drawingml/2006/main">
            <a:pPr>
              <a:defRPr/>
            </a:pPr>
            <a:r>
              <a:t>Daily Sleep Trend (Hours vs Day)</a:t>
            </a:r>
          </a:p>
        </rich>
      </tx>
    </title>
    <plotArea>
      <lineChart>
        <grouping val="standard"/>
        <ser>
          <idx val="0"/>
          <order val="0"/>
          <spPr>
            <a:ln xmlns:a="http://schemas.openxmlformats.org/drawingml/2006/main" w="25000">
              <a:solidFill>
                <a:srgbClr val="3B82F6"/>
              </a:solidFill>
              <a:prstDash val="solid"/>
            </a:ln>
          </spPr>
          <marker>
            <symbol val="circle"/>
            <size val="5"/>
            <spPr>
              <a:solidFill xmlns:a="http://schemas.openxmlformats.org/drawingml/2006/main">
                <a:srgbClr val="1D4ED8"/>
              </a:solidFill>
              <a:ln xmlns:a="http://schemas.openxmlformats.org/drawingml/2006/main">
                <a:prstDash val="solid"/>
              </a:ln>
            </spPr>
          </marker>
          <cat>
            <numRef>
              <f>'Dec 2030'!$E$45:$AI$45</f>
            </numRef>
          </cat>
          <val>
            <numRef>
              <f>'Dec 2030'!$E$47:$AI$47</f>
            </numRef>
          </val>
        </ser>
        <axId val="10"/>
        <axId val="100"/>
      </lineChart>
      <catAx>
        <axId val="10"/>
        <scaling>
          <orientation val="minMax"/>
        </scaling>
        <axPos val="l"/>
        <title>
          <tx>
            <rich>
              <a:bodyPr xmlns:a="http://schemas.openxmlformats.org/drawingml/2006/main"/>
              <a:p xmlns:a="http://schemas.openxmlformats.org/drawingml/2006/main">
                <a:pPr>
                  <a:defRPr/>
                </a:pPr>
                <a:r>
                  <a:t>Day</a:t>
                </a:r>
              </a:p>
            </rich>
          </tx>
        </title>
        <majorTickMark val="none"/>
        <minorTickMark val="none"/>
        <crossAx val="100"/>
        <lblOffset val="100"/>
      </catAx>
      <valAx>
        <axId val="100"/>
        <scaling>
          <orientation val="minMax"/>
          <max val="24"/>
          <min val="0"/>
        </scaling>
        <axPos val="l"/>
        <majorGridlines/>
        <title>
          <tx>
            <rich>
              <a:bodyPr xmlns:a="http://schemas.openxmlformats.org/drawingml/2006/main"/>
              <a:p xmlns:a="http://schemas.openxmlformats.org/drawingml/2006/main">
                <a:pPr>
                  <a:defRPr/>
                </a:pPr>
                <a:r>
                  <a:t>Hours</a:t>
                </a:r>
              </a:p>
            </rich>
          </tx>
        </title>
        <majorTickMark val="none"/>
        <minorTickMark val="none"/>
        <crossAx val="10"/>
      </valAx>
    </plotArea>
    <plotVisOnly val="1"/>
    <dispBlanksAs val="gap"/>
  </chart>
</chartSpace>
</file>

<file path=xl/charts/chart158.xml><?xml version="1.0" encoding="utf-8"?>
<chartSpace xmlns="http://schemas.openxmlformats.org/drawingml/2006/chart">
  <style val="10"/>
  <chart>
    <title>
      <tx>
        <rich>
          <a:bodyPr xmlns:a="http://schemas.openxmlformats.org/drawingml/2006/main"/>
          <a:p xmlns:a="http://schemas.openxmlformats.org/drawingml/2006/main">
            <a:pPr>
              <a:defRPr/>
            </a:pPr>
            <a:r>
              <a:t>Weekly Momentum Trend (%)</a:t>
            </a:r>
          </a:p>
        </rich>
      </tx>
    </title>
    <plotArea>
      <barChart>
        <barDir val="col"/>
        <grouping val="clustered"/>
        <ser>
          <idx val="0"/>
          <order val="0"/>
          <tx>
            <strRef>
              <f>'Dec 2030'!E75</f>
            </strRef>
          </tx>
          <spPr>
            <a:ln xmlns:a="http://schemas.openxmlformats.org/drawingml/2006/main">
              <a:prstDash val="solid"/>
            </a:ln>
          </spPr>
          <cat>
            <numRef>
              <f>'Dec 2030'!$A$76:$A$80</f>
            </numRef>
          </cat>
          <val>
            <numRef>
              <f>'Dec 2030'!$E$76:$E$80</f>
            </numRef>
          </val>
        </ser>
        <gapWidth val="150"/>
        <axId val="10"/>
        <axId val="100"/>
      </barChart>
      <catAx>
        <axId val="10"/>
        <scaling>
          <orientation val="minMax"/>
        </scaling>
        <axPos val="l"/>
        <title>
          <tx>
            <rich>
              <a:bodyPr xmlns:a="http://schemas.openxmlformats.org/drawingml/2006/main"/>
              <a:p xmlns:a="http://schemas.openxmlformats.org/drawingml/2006/main">
                <a:pPr>
                  <a:defRPr/>
                </a:pPr>
                <a:r>
                  <a:t>Week</a:t>
                </a:r>
              </a:p>
            </rich>
          </tx>
        </title>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Success %</a:t>
                </a:r>
              </a:p>
            </rich>
          </tx>
        </title>
        <majorTickMark val="none"/>
        <minorTickMark val="none"/>
        <crossAx val="10"/>
      </valAx>
    </plotArea>
    <plotVisOnly val="1"/>
    <dispBlanksAs val="gap"/>
  </chart>
</chartSpace>
</file>

<file path=xl/charts/chart159.xml><?xml version="1.0" encoding="utf-8"?>
<chartSpace xmlns="http://schemas.openxmlformats.org/drawingml/2006/chart">
  <style val="11"/>
  <chart>
    <title>
      <tx>
        <rich>
          <a:bodyPr xmlns:a="http://schemas.openxmlformats.org/drawingml/2006/main"/>
          <a:p xmlns:a="http://schemas.openxmlformats.org/drawingml/2006/main">
            <a:pPr>
              <a:defRPr/>
            </a:pPr>
            <a:r>
              <a:t>Performance by Domain (%)</a:t>
            </a:r>
          </a:p>
        </rich>
      </tx>
    </title>
    <plotArea>
      <barChart>
        <barDir val="col"/>
        <grouping val="clustered"/>
        <ser>
          <idx val="0"/>
          <order val="0"/>
          <tx>
            <strRef>
              <f>'Dec 2030'!S75</f>
            </strRef>
          </tx>
          <spPr>
            <a:ln xmlns:a="http://schemas.openxmlformats.org/drawingml/2006/main">
              <a:prstDash val="solid"/>
            </a:ln>
          </spPr>
          <cat>
            <numRef>
              <f>'Dec 2030'!$N$76:$N$80</f>
            </numRef>
          </cat>
          <val>
            <numRef>
              <f>'Dec 2030'!$S$76:$S$80</f>
            </numRef>
          </val>
        </ser>
        <gapWidth val="150"/>
        <axId val="10"/>
        <axId val="100"/>
      </barChart>
      <catAx>
        <axId val="10"/>
        <scaling>
          <orientation val="minMax"/>
        </scaling>
        <axPos val="l"/>
        <title>
          <tx>
            <rich>
              <a:bodyPr xmlns:a="http://schemas.openxmlformats.org/drawingml/2006/main"/>
              <a:p xmlns:a="http://schemas.openxmlformats.org/drawingml/2006/main">
                <a:pPr>
                  <a:defRPr/>
                </a:pPr>
                <a:r>
                  <a:t>Domain</a:t>
                </a:r>
              </a:p>
            </rich>
          </tx>
        </title>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Success %</a:t>
                </a:r>
              </a:p>
            </rich>
          </tx>
        </title>
        <majorTickMark val="none"/>
        <minorTickMark val="none"/>
        <crossAx val="10"/>
      </valAx>
    </plotArea>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Relationship Type="http://schemas.openxmlformats.org/officeDocument/2006/relationships/chart" Target="/xl/charts/chart2.xml" Id="rId2"/></Relationships>
</file>

<file path=xl/drawings/_rels/drawing2.xml.rels><Relationships xmlns="http://schemas.openxmlformats.org/package/2006/relationships"><Relationship Type="http://schemas.openxmlformats.org/officeDocument/2006/relationships/chart" Target="/xl/charts/chart3.xml" Id="rId1"/></Relationships>
</file>

<file path=xl/drawings/_rels/drawing3.xml.rels><Relationships xmlns="http://schemas.openxmlformats.org/package/2006/relationships"><Relationship Type="http://schemas.openxmlformats.org/officeDocument/2006/relationships/chart" Target="/xl/charts/chart4.xml" Id="rId1"/><Relationship Type="http://schemas.openxmlformats.org/officeDocument/2006/relationships/chart" Target="/xl/charts/chart5.xml" Id="rId2"/><Relationship Type="http://schemas.openxmlformats.org/officeDocument/2006/relationships/chart" Target="/xl/charts/chart6.xml" Id="rId3"/></Relationships>
</file>

<file path=xl/drawings/_rels/drawing4.xml.rels><Relationships xmlns="http://schemas.openxmlformats.org/package/2006/relationships"><Relationship Type="http://schemas.openxmlformats.org/officeDocument/2006/relationships/chart" Target="/xl/charts/chart7.xml" Id="rId1"/><Relationship Type="http://schemas.openxmlformats.org/officeDocument/2006/relationships/chart" Target="/xl/charts/chart8.xml" Id="rId2"/><Relationship Type="http://schemas.openxmlformats.org/officeDocument/2006/relationships/chart" Target="/xl/charts/chart9.xml" Id="rId3"/></Relationships>
</file>

<file path=xl/drawings/_rels/drawing5.xml.rels><Relationships xmlns="http://schemas.openxmlformats.org/package/2006/relationships"><Relationship Type="http://schemas.openxmlformats.org/officeDocument/2006/relationships/chart" Target="/xl/charts/chart10.xml" Id="rId1"/><Relationship Type="http://schemas.openxmlformats.org/officeDocument/2006/relationships/chart" Target="/xl/charts/chart11.xml" Id="rId2"/><Relationship Type="http://schemas.openxmlformats.org/officeDocument/2006/relationships/chart" Target="/xl/charts/chart12.xml" Id="rId3"/></Relationships>
</file>

<file path=xl/drawings/_rels/drawing6.xml.rels><Relationships xmlns="http://schemas.openxmlformats.org/package/2006/relationships"><Relationship Type="http://schemas.openxmlformats.org/officeDocument/2006/relationships/chart" Target="/xl/charts/chart13.xml" Id="rId1"/><Relationship Type="http://schemas.openxmlformats.org/officeDocument/2006/relationships/chart" Target="/xl/charts/chart14.xml" Id="rId2"/><Relationship Type="http://schemas.openxmlformats.org/officeDocument/2006/relationships/chart" Target="/xl/charts/chart15.xml" Id="rId3"/></Relationships>
</file>

<file path=xl/drawings/_rels/drawing7.xml.rels><Relationships xmlns="http://schemas.openxmlformats.org/package/2006/relationships"><Relationship Type="http://schemas.openxmlformats.org/officeDocument/2006/relationships/chart" Target="/xl/charts/chart16.xml" Id="rId1"/><Relationship Type="http://schemas.openxmlformats.org/officeDocument/2006/relationships/chart" Target="/xl/charts/chart17.xml" Id="rId2"/><Relationship Type="http://schemas.openxmlformats.org/officeDocument/2006/relationships/chart" Target="/xl/charts/chart18.xml" Id="rId3"/></Relationships>
</file>

<file path=xl/drawings/_rels/drawing8.xml.rels><Relationships xmlns="http://schemas.openxmlformats.org/package/2006/relationships"><Relationship Type="http://schemas.openxmlformats.org/officeDocument/2006/relationships/chart" Target="/xl/charts/chart19.xml" Id="rId1"/><Relationship Type="http://schemas.openxmlformats.org/officeDocument/2006/relationships/chart" Target="/xl/charts/chart20.xml" Id="rId2"/><Relationship Type="http://schemas.openxmlformats.org/officeDocument/2006/relationships/chart" Target="/xl/charts/chart21.xml" Id="rId3"/></Relationships>
</file>

<file path=xl/drawings/_rels/drawing9.xml.rels><Relationships xmlns="http://schemas.openxmlformats.org/package/2006/relationships"><Relationship Type="http://schemas.openxmlformats.org/officeDocument/2006/relationships/chart" Target="/xl/charts/chart22.xml" Id="rId1"/><Relationship Type="http://schemas.openxmlformats.org/officeDocument/2006/relationships/chart" Target="/xl/charts/chart23.xml" Id="rId2"/><Relationship Type="http://schemas.openxmlformats.org/officeDocument/2006/relationships/chart" Target="/xl/charts/chart24.xml" Id="rId3"/></Relationships>
</file>

<file path=xl/drawings/_rels/drawing10.xml.rels><Relationships xmlns="http://schemas.openxmlformats.org/package/2006/relationships"><Relationship Type="http://schemas.openxmlformats.org/officeDocument/2006/relationships/chart" Target="/xl/charts/chart25.xml" Id="rId1"/><Relationship Type="http://schemas.openxmlformats.org/officeDocument/2006/relationships/chart" Target="/xl/charts/chart26.xml" Id="rId2"/><Relationship Type="http://schemas.openxmlformats.org/officeDocument/2006/relationships/chart" Target="/xl/charts/chart27.xml" Id="rId3"/></Relationships>
</file>

<file path=xl/drawings/_rels/drawing11.xml.rels><Relationships xmlns="http://schemas.openxmlformats.org/package/2006/relationships"><Relationship Type="http://schemas.openxmlformats.org/officeDocument/2006/relationships/chart" Target="/xl/charts/chart28.xml" Id="rId1"/><Relationship Type="http://schemas.openxmlformats.org/officeDocument/2006/relationships/chart" Target="/xl/charts/chart29.xml" Id="rId2"/><Relationship Type="http://schemas.openxmlformats.org/officeDocument/2006/relationships/chart" Target="/xl/charts/chart30.xml" Id="rId3"/></Relationships>
</file>

<file path=xl/drawings/_rels/drawing12.xml.rels><Relationships xmlns="http://schemas.openxmlformats.org/package/2006/relationships"><Relationship Type="http://schemas.openxmlformats.org/officeDocument/2006/relationships/chart" Target="/xl/charts/chart31.xml" Id="rId1"/><Relationship Type="http://schemas.openxmlformats.org/officeDocument/2006/relationships/chart" Target="/xl/charts/chart32.xml" Id="rId2"/><Relationship Type="http://schemas.openxmlformats.org/officeDocument/2006/relationships/chart" Target="/xl/charts/chart33.xml" Id="rId3"/></Relationships>
</file>

<file path=xl/drawings/_rels/drawing13.xml.rels><Relationships xmlns="http://schemas.openxmlformats.org/package/2006/relationships"><Relationship Type="http://schemas.openxmlformats.org/officeDocument/2006/relationships/chart" Target="/xl/charts/chart34.xml" Id="rId1"/><Relationship Type="http://schemas.openxmlformats.org/officeDocument/2006/relationships/chart" Target="/xl/charts/chart35.xml" Id="rId2"/><Relationship Type="http://schemas.openxmlformats.org/officeDocument/2006/relationships/chart" Target="/xl/charts/chart36.xml" Id="rId3"/></Relationships>
</file>

<file path=xl/drawings/_rels/drawing14.xml.rels><Relationships xmlns="http://schemas.openxmlformats.org/package/2006/relationships"><Relationship Type="http://schemas.openxmlformats.org/officeDocument/2006/relationships/chart" Target="/xl/charts/chart37.xml" Id="rId1"/><Relationship Type="http://schemas.openxmlformats.org/officeDocument/2006/relationships/chart" Target="/xl/charts/chart38.xml" Id="rId2"/><Relationship Type="http://schemas.openxmlformats.org/officeDocument/2006/relationships/chart" Target="/xl/charts/chart39.xml" Id="rId3"/></Relationships>
</file>

<file path=xl/drawings/_rels/drawing15.xml.rels><Relationships xmlns="http://schemas.openxmlformats.org/package/2006/relationships"><Relationship Type="http://schemas.openxmlformats.org/officeDocument/2006/relationships/chart" Target="/xl/charts/chart40.xml" Id="rId1"/><Relationship Type="http://schemas.openxmlformats.org/officeDocument/2006/relationships/chart" Target="/xl/charts/chart41.xml" Id="rId2"/><Relationship Type="http://schemas.openxmlformats.org/officeDocument/2006/relationships/chart" Target="/xl/charts/chart42.xml" Id="rId3"/></Relationships>
</file>

<file path=xl/drawings/_rels/drawing16.xml.rels><Relationships xmlns="http://schemas.openxmlformats.org/package/2006/relationships"><Relationship Type="http://schemas.openxmlformats.org/officeDocument/2006/relationships/chart" Target="/xl/charts/chart43.xml" Id="rId1"/><Relationship Type="http://schemas.openxmlformats.org/officeDocument/2006/relationships/chart" Target="/xl/charts/chart44.xml" Id="rId2"/><Relationship Type="http://schemas.openxmlformats.org/officeDocument/2006/relationships/chart" Target="/xl/charts/chart45.xml" Id="rId3"/></Relationships>
</file>

<file path=xl/drawings/_rels/drawing17.xml.rels><Relationships xmlns="http://schemas.openxmlformats.org/package/2006/relationships"><Relationship Type="http://schemas.openxmlformats.org/officeDocument/2006/relationships/chart" Target="/xl/charts/chart46.xml" Id="rId1"/><Relationship Type="http://schemas.openxmlformats.org/officeDocument/2006/relationships/chart" Target="/xl/charts/chart47.xml" Id="rId2"/><Relationship Type="http://schemas.openxmlformats.org/officeDocument/2006/relationships/chart" Target="/xl/charts/chart48.xml" Id="rId3"/></Relationships>
</file>

<file path=xl/drawings/_rels/drawing18.xml.rels><Relationships xmlns="http://schemas.openxmlformats.org/package/2006/relationships"><Relationship Type="http://schemas.openxmlformats.org/officeDocument/2006/relationships/chart" Target="/xl/charts/chart49.xml" Id="rId1"/><Relationship Type="http://schemas.openxmlformats.org/officeDocument/2006/relationships/chart" Target="/xl/charts/chart50.xml" Id="rId2"/><Relationship Type="http://schemas.openxmlformats.org/officeDocument/2006/relationships/chart" Target="/xl/charts/chart51.xml" Id="rId3"/></Relationships>
</file>

<file path=xl/drawings/_rels/drawing19.xml.rels><Relationships xmlns="http://schemas.openxmlformats.org/package/2006/relationships"><Relationship Type="http://schemas.openxmlformats.org/officeDocument/2006/relationships/chart" Target="/xl/charts/chart52.xml" Id="rId1"/><Relationship Type="http://schemas.openxmlformats.org/officeDocument/2006/relationships/chart" Target="/xl/charts/chart53.xml" Id="rId2"/><Relationship Type="http://schemas.openxmlformats.org/officeDocument/2006/relationships/chart" Target="/xl/charts/chart54.xml" Id="rId3"/></Relationships>
</file>

<file path=xl/drawings/_rels/drawing20.xml.rels><Relationships xmlns="http://schemas.openxmlformats.org/package/2006/relationships"><Relationship Type="http://schemas.openxmlformats.org/officeDocument/2006/relationships/chart" Target="/xl/charts/chart55.xml" Id="rId1"/><Relationship Type="http://schemas.openxmlformats.org/officeDocument/2006/relationships/chart" Target="/xl/charts/chart56.xml" Id="rId2"/><Relationship Type="http://schemas.openxmlformats.org/officeDocument/2006/relationships/chart" Target="/xl/charts/chart57.xml" Id="rId3"/></Relationships>
</file>

<file path=xl/drawings/_rels/drawing21.xml.rels><Relationships xmlns="http://schemas.openxmlformats.org/package/2006/relationships"><Relationship Type="http://schemas.openxmlformats.org/officeDocument/2006/relationships/chart" Target="/xl/charts/chart58.xml" Id="rId1"/><Relationship Type="http://schemas.openxmlformats.org/officeDocument/2006/relationships/chart" Target="/xl/charts/chart59.xml" Id="rId2"/><Relationship Type="http://schemas.openxmlformats.org/officeDocument/2006/relationships/chart" Target="/xl/charts/chart60.xml" Id="rId3"/></Relationships>
</file>

<file path=xl/drawings/_rels/drawing22.xml.rels><Relationships xmlns="http://schemas.openxmlformats.org/package/2006/relationships"><Relationship Type="http://schemas.openxmlformats.org/officeDocument/2006/relationships/chart" Target="/xl/charts/chart61.xml" Id="rId1"/><Relationship Type="http://schemas.openxmlformats.org/officeDocument/2006/relationships/chart" Target="/xl/charts/chart62.xml" Id="rId2"/><Relationship Type="http://schemas.openxmlformats.org/officeDocument/2006/relationships/chart" Target="/xl/charts/chart63.xml" Id="rId3"/></Relationships>
</file>

<file path=xl/drawings/_rels/drawing23.xml.rels><Relationships xmlns="http://schemas.openxmlformats.org/package/2006/relationships"><Relationship Type="http://schemas.openxmlformats.org/officeDocument/2006/relationships/chart" Target="/xl/charts/chart64.xml" Id="rId1"/><Relationship Type="http://schemas.openxmlformats.org/officeDocument/2006/relationships/chart" Target="/xl/charts/chart65.xml" Id="rId2"/><Relationship Type="http://schemas.openxmlformats.org/officeDocument/2006/relationships/chart" Target="/xl/charts/chart66.xml" Id="rId3"/></Relationships>
</file>

<file path=xl/drawings/_rels/drawing24.xml.rels><Relationships xmlns="http://schemas.openxmlformats.org/package/2006/relationships"><Relationship Type="http://schemas.openxmlformats.org/officeDocument/2006/relationships/chart" Target="/xl/charts/chart67.xml" Id="rId1"/><Relationship Type="http://schemas.openxmlformats.org/officeDocument/2006/relationships/chart" Target="/xl/charts/chart68.xml" Id="rId2"/><Relationship Type="http://schemas.openxmlformats.org/officeDocument/2006/relationships/chart" Target="/xl/charts/chart69.xml" Id="rId3"/></Relationships>
</file>

<file path=xl/drawings/_rels/drawing25.xml.rels><Relationships xmlns="http://schemas.openxmlformats.org/package/2006/relationships"><Relationship Type="http://schemas.openxmlformats.org/officeDocument/2006/relationships/chart" Target="/xl/charts/chart70.xml" Id="rId1"/><Relationship Type="http://schemas.openxmlformats.org/officeDocument/2006/relationships/chart" Target="/xl/charts/chart71.xml" Id="rId2"/><Relationship Type="http://schemas.openxmlformats.org/officeDocument/2006/relationships/chart" Target="/xl/charts/chart72.xml" Id="rId3"/></Relationships>
</file>

<file path=xl/drawings/_rels/drawing26.xml.rels><Relationships xmlns="http://schemas.openxmlformats.org/package/2006/relationships"><Relationship Type="http://schemas.openxmlformats.org/officeDocument/2006/relationships/chart" Target="/xl/charts/chart73.xml" Id="rId1"/><Relationship Type="http://schemas.openxmlformats.org/officeDocument/2006/relationships/chart" Target="/xl/charts/chart74.xml" Id="rId2"/><Relationship Type="http://schemas.openxmlformats.org/officeDocument/2006/relationships/chart" Target="/xl/charts/chart75.xml" Id="rId3"/></Relationships>
</file>

<file path=xl/drawings/_rels/drawing27.xml.rels><Relationships xmlns="http://schemas.openxmlformats.org/package/2006/relationships"><Relationship Type="http://schemas.openxmlformats.org/officeDocument/2006/relationships/chart" Target="/xl/charts/chart76.xml" Id="rId1"/><Relationship Type="http://schemas.openxmlformats.org/officeDocument/2006/relationships/chart" Target="/xl/charts/chart77.xml" Id="rId2"/><Relationship Type="http://schemas.openxmlformats.org/officeDocument/2006/relationships/chart" Target="/xl/charts/chart78.xml" Id="rId3"/></Relationships>
</file>

<file path=xl/drawings/_rels/drawing28.xml.rels><Relationships xmlns="http://schemas.openxmlformats.org/package/2006/relationships"><Relationship Type="http://schemas.openxmlformats.org/officeDocument/2006/relationships/chart" Target="/xl/charts/chart79.xml" Id="rId1"/><Relationship Type="http://schemas.openxmlformats.org/officeDocument/2006/relationships/chart" Target="/xl/charts/chart80.xml" Id="rId2"/><Relationship Type="http://schemas.openxmlformats.org/officeDocument/2006/relationships/chart" Target="/xl/charts/chart81.xml" Id="rId3"/></Relationships>
</file>

<file path=xl/drawings/_rels/drawing29.xml.rels><Relationships xmlns="http://schemas.openxmlformats.org/package/2006/relationships"><Relationship Type="http://schemas.openxmlformats.org/officeDocument/2006/relationships/chart" Target="/xl/charts/chart82.xml" Id="rId1"/><Relationship Type="http://schemas.openxmlformats.org/officeDocument/2006/relationships/chart" Target="/xl/charts/chart83.xml" Id="rId2"/><Relationship Type="http://schemas.openxmlformats.org/officeDocument/2006/relationships/chart" Target="/xl/charts/chart84.xml" Id="rId3"/></Relationships>
</file>

<file path=xl/drawings/_rels/drawing30.xml.rels><Relationships xmlns="http://schemas.openxmlformats.org/package/2006/relationships"><Relationship Type="http://schemas.openxmlformats.org/officeDocument/2006/relationships/chart" Target="/xl/charts/chart85.xml" Id="rId1"/><Relationship Type="http://schemas.openxmlformats.org/officeDocument/2006/relationships/chart" Target="/xl/charts/chart86.xml" Id="rId2"/><Relationship Type="http://schemas.openxmlformats.org/officeDocument/2006/relationships/chart" Target="/xl/charts/chart87.xml" Id="rId3"/></Relationships>
</file>

<file path=xl/drawings/_rels/drawing31.xml.rels><Relationships xmlns="http://schemas.openxmlformats.org/package/2006/relationships"><Relationship Type="http://schemas.openxmlformats.org/officeDocument/2006/relationships/chart" Target="/xl/charts/chart88.xml" Id="rId1"/><Relationship Type="http://schemas.openxmlformats.org/officeDocument/2006/relationships/chart" Target="/xl/charts/chart89.xml" Id="rId2"/><Relationship Type="http://schemas.openxmlformats.org/officeDocument/2006/relationships/chart" Target="/xl/charts/chart90.xml" Id="rId3"/></Relationships>
</file>

<file path=xl/drawings/_rels/drawing32.xml.rels><Relationships xmlns="http://schemas.openxmlformats.org/package/2006/relationships"><Relationship Type="http://schemas.openxmlformats.org/officeDocument/2006/relationships/chart" Target="/xl/charts/chart91.xml" Id="rId1"/><Relationship Type="http://schemas.openxmlformats.org/officeDocument/2006/relationships/chart" Target="/xl/charts/chart92.xml" Id="rId2"/><Relationship Type="http://schemas.openxmlformats.org/officeDocument/2006/relationships/chart" Target="/xl/charts/chart93.xml" Id="rId3"/></Relationships>
</file>

<file path=xl/drawings/_rels/drawing33.xml.rels><Relationships xmlns="http://schemas.openxmlformats.org/package/2006/relationships"><Relationship Type="http://schemas.openxmlformats.org/officeDocument/2006/relationships/chart" Target="/xl/charts/chart94.xml" Id="rId1"/><Relationship Type="http://schemas.openxmlformats.org/officeDocument/2006/relationships/chart" Target="/xl/charts/chart95.xml" Id="rId2"/><Relationship Type="http://schemas.openxmlformats.org/officeDocument/2006/relationships/chart" Target="/xl/charts/chart96.xml" Id="rId3"/></Relationships>
</file>

<file path=xl/drawings/_rels/drawing34.xml.rels><Relationships xmlns="http://schemas.openxmlformats.org/package/2006/relationships"><Relationship Type="http://schemas.openxmlformats.org/officeDocument/2006/relationships/chart" Target="/xl/charts/chart97.xml" Id="rId1"/><Relationship Type="http://schemas.openxmlformats.org/officeDocument/2006/relationships/chart" Target="/xl/charts/chart98.xml" Id="rId2"/><Relationship Type="http://schemas.openxmlformats.org/officeDocument/2006/relationships/chart" Target="/xl/charts/chart99.xml" Id="rId3"/></Relationships>
</file>

<file path=xl/drawings/_rels/drawing35.xml.rels><Relationships xmlns="http://schemas.openxmlformats.org/package/2006/relationships"><Relationship Type="http://schemas.openxmlformats.org/officeDocument/2006/relationships/chart" Target="/xl/charts/chart100.xml" Id="rId1"/><Relationship Type="http://schemas.openxmlformats.org/officeDocument/2006/relationships/chart" Target="/xl/charts/chart101.xml" Id="rId2"/><Relationship Type="http://schemas.openxmlformats.org/officeDocument/2006/relationships/chart" Target="/xl/charts/chart102.xml" Id="rId3"/></Relationships>
</file>

<file path=xl/drawings/_rels/drawing36.xml.rels><Relationships xmlns="http://schemas.openxmlformats.org/package/2006/relationships"><Relationship Type="http://schemas.openxmlformats.org/officeDocument/2006/relationships/chart" Target="/xl/charts/chart103.xml" Id="rId1"/><Relationship Type="http://schemas.openxmlformats.org/officeDocument/2006/relationships/chart" Target="/xl/charts/chart104.xml" Id="rId2"/><Relationship Type="http://schemas.openxmlformats.org/officeDocument/2006/relationships/chart" Target="/xl/charts/chart105.xml" Id="rId3"/></Relationships>
</file>

<file path=xl/drawings/_rels/drawing37.xml.rels><Relationships xmlns="http://schemas.openxmlformats.org/package/2006/relationships"><Relationship Type="http://schemas.openxmlformats.org/officeDocument/2006/relationships/chart" Target="/xl/charts/chart106.xml" Id="rId1"/><Relationship Type="http://schemas.openxmlformats.org/officeDocument/2006/relationships/chart" Target="/xl/charts/chart107.xml" Id="rId2"/><Relationship Type="http://schemas.openxmlformats.org/officeDocument/2006/relationships/chart" Target="/xl/charts/chart108.xml" Id="rId3"/></Relationships>
</file>

<file path=xl/drawings/_rels/drawing38.xml.rels><Relationships xmlns="http://schemas.openxmlformats.org/package/2006/relationships"><Relationship Type="http://schemas.openxmlformats.org/officeDocument/2006/relationships/chart" Target="/xl/charts/chart109.xml" Id="rId1"/><Relationship Type="http://schemas.openxmlformats.org/officeDocument/2006/relationships/chart" Target="/xl/charts/chart110.xml" Id="rId2"/><Relationship Type="http://schemas.openxmlformats.org/officeDocument/2006/relationships/chart" Target="/xl/charts/chart111.xml" Id="rId3"/></Relationships>
</file>

<file path=xl/drawings/_rels/drawing39.xml.rels><Relationships xmlns="http://schemas.openxmlformats.org/package/2006/relationships"><Relationship Type="http://schemas.openxmlformats.org/officeDocument/2006/relationships/chart" Target="/xl/charts/chart112.xml" Id="rId1"/><Relationship Type="http://schemas.openxmlformats.org/officeDocument/2006/relationships/chart" Target="/xl/charts/chart113.xml" Id="rId2"/><Relationship Type="http://schemas.openxmlformats.org/officeDocument/2006/relationships/chart" Target="/xl/charts/chart114.xml" Id="rId3"/></Relationships>
</file>

<file path=xl/drawings/_rels/drawing40.xml.rels><Relationships xmlns="http://schemas.openxmlformats.org/package/2006/relationships"><Relationship Type="http://schemas.openxmlformats.org/officeDocument/2006/relationships/chart" Target="/xl/charts/chart115.xml" Id="rId1"/><Relationship Type="http://schemas.openxmlformats.org/officeDocument/2006/relationships/chart" Target="/xl/charts/chart116.xml" Id="rId2"/><Relationship Type="http://schemas.openxmlformats.org/officeDocument/2006/relationships/chart" Target="/xl/charts/chart117.xml" Id="rId3"/></Relationships>
</file>

<file path=xl/drawings/_rels/drawing41.xml.rels><Relationships xmlns="http://schemas.openxmlformats.org/package/2006/relationships"><Relationship Type="http://schemas.openxmlformats.org/officeDocument/2006/relationships/chart" Target="/xl/charts/chart118.xml" Id="rId1"/><Relationship Type="http://schemas.openxmlformats.org/officeDocument/2006/relationships/chart" Target="/xl/charts/chart119.xml" Id="rId2"/><Relationship Type="http://schemas.openxmlformats.org/officeDocument/2006/relationships/chart" Target="/xl/charts/chart120.xml" Id="rId3"/></Relationships>
</file>

<file path=xl/drawings/_rels/drawing42.xml.rels><Relationships xmlns="http://schemas.openxmlformats.org/package/2006/relationships"><Relationship Type="http://schemas.openxmlformats.org/officeDocument/2006/relationships/chart" Target="/xl/charts/chart121.xml" Id="rId1"/><Relationship Type="http://schemas.openxmlformats.org/officeDocument/2006/relationships/chart" Target="/xl/charts/chart122.xml" Id="rId2"/><Relationship Type="http://schemas.openxmlformats.org/officeDocument/2006/relationships/chart" Target="/xl/charts/chart123.xml" Id="rId3"/></Relationships>
</file>

<file path=xl/drawings/_rels/drawing43.xml.rels><Relationships xmlns="http://schemas.openxmlformats.org/package/2006/relationships"><Relationship Type="http://schemas.openxmlformats.org/officeDocument/2006/relationships/chart" Target="/xl/charts/chart124.xml" Id="rId1"/><Relationship Type="http://schemas.openxmlformats.org/officeDocument/2006/relationships/chart" Target="/xl/charts/chart125.xml" Id="rId2"/><Relationship Type="http://schemas.openxmlformats.org/officeDocument/2006/relationships/chart" Target="/xl/charts/chart126.xml" Id="rId3"/></Relationships>
</file>

<file path=xl/drawings/_rels/drawing44.xml.rels><Relationships xmlns="http://schemas.openxmlformats.org/package/2006/relationships"><Relationship Type="http://schemas.openxmlformats.org/officeDocument/2006/relationships/chart" Target="/xl/charts/chart127.xml" Id="rId1"/><Relationship Type="http://schemas.openxmlformats.org/officeDocument/2006/relationships/chart" Target="/xl/charts/chart128.xml" Id="rId2"/><Relationship Type="http://schemas.openxmlformats.org/officeDocument/2006/relationships/chart" Target="/xl/charts/chart129.xml" Id="rId3"/></Relationships>
</file>

<file path=xl/drawings/_rels/drawing45.xml.rels><Relationships xmlns="http://schemas.openxmlformats.org/package/2006/relationships"><Relationship Type="http://schemas.openxmlformats.org/officeDocument/2006/relationships/chart" Target="/xl/charts/chart130.xml" Id="rId1"/><Relationship Type="http://schemas.openxmlformats.org/officeDocument/2006/relationships/chart" Target="/xl/charts/chart131.xml" Id="rId2"/><Relationship Type="http://schemas.openxmlformats.org/officeDocument/2006/relationships/chart" Target="/xl/charts/chart132.xml" Id="rId3"/></Relationships>
</file>

<file path=xl/drawings/_rels/drawing46.xml.rels><Relationships xmlns="http://schemas.openxmlformats.org/package/2006/relationships"><Relationship Type="http://schemas.openxmlformats.org/officeDocument/2006/relationships/chart" Target="/xl/charts/chart133.xml" Id="rId1"/><Relationship Type="http://schemas.openxmlformats.org/officeDocument/2006/relationships/chart" Target="/xl/charts/chart134.xml" Id="rId2"/><Relationship Type="http://schemas.openxmlformats.org/officeDocument/2006/relationships/chart" Target="/xl/charts/chart135.xml" Id="rId3"/></Relationships>
</file>

<file path=xl/drawings/_rels/drawing47.xml.rels><Relationships xmlns="http://schemas.openxmlformats.org/package/2006/relationships"><Relationship Type="http://schemas.openxmlformats.org/officeDocument/2006/relationships/chart" Target="/xl/charts/chart136.xml" Id="rId1"/><Relationship Type="http://schemas.openxmlformats.org/officeDocument/2006/relationships/chart" Target="/xl/charts/chart137.xml" Id="rId2"/><Relationship Type="http://schemas.openxmlformats.org/officeDocument/2006/relationships/chart" Target="/xl/charts/chart138.xml" Id="rId3"/></Relationships>
</file>

<file path=xl/drawings/_rels/drawing48.xml.rels><Relationships xmlns="http://schemas.openxmlformats.org/package/2006/relationships"><Relationship Type="http://schemas.openxmlformats.org/officeDocument/2006/relationships/chart" Target="/xl/charts/chart139.xml" Id="rId1"/><Relationship Type="http://schemas.openxmlformats.org/officeDocument/2006/relationships/chart" Target="/xl/charts/chart140.xml" Id="rId2"/><Relationship Type="http://schemas.openxmlformats.org/officeDocument/2006/relationships/chart" Target="/xl/charts/chart141.xml" Id="rId3"/></Relationships>
</file>

<file path=xl/drawings/_rels/drawing49.xml.rels><Relationships xmlns="http://schemas.openxmlformats.org/package/2006/relationships"><Relationship Type="http://schemas.openxmlformats.org/officeDocument/2006/relationships/chart" Target="/xl/charts/chart142.xml" Id="rId1"/><Relationship Type="http://schemas.openxmlformats.org/officeDocument/2006/relationships/chart" Target="/xl/charts/chart143.xml" Id="rId2"/><Relationship Type="http://schemas.openxmlformats.org/officeDocument/2006/relationships/chart" Target="/xl/charts/chart144.xml" Id="rId3"/></Relationships>
</file>

<file path=xl/drawings/_rels/drawing50.xml.rels><Relationships xmlns="http://schemas.openxmlformats.org/package/2006/relationships"><Relationship Type="http://schemas.openxmlformats.org/officeDocument/2006/relationships/chart" Target="/xl/charts/chart145.xml" Id="rId1"/><Relationship Type="http://schemas.openxmlformats.org/officeDocument/2006/relationships/chart" Target="/xl/charts/chart146.xml" Id="rId2"/><Relationship Type="http://schemas.openxmlformats.org/officeDocument/2006/relationships/chart" Target="/xl/charts/chart147.xml" Id="rId3"/></Relationships>
</file>

<file path=xl/drawings/_rels/drawing51.xml.rels><Relationships xmlns="http://schemas.openxmlformats.org/package/2006/relationships"><Relationship Type="http://schemas.openxmlformats.org/officeDocument/2006/relationships/chart" Target="/xl/charts/chart148.xml" Id="rId1"/><Relationship Type="http://schemas.openxmlformats.org/officeDocument/2006/relationships/chart" Target="/xl/charts/chart149.xml" Id="rId2"/><Relationship Type="http://schemas.openxmlformats.org/officeDocument/2006/relationships/chart" Target="/xl/charts/chart150.xml" Id="rId3"/></Relationships>
</file>

<file path=xl/drawings/_rels/drawing52.xml.rels><Relationships xmlns="http://schemas.openxmlformats.org/package/2006/relationships"><Relationship Type="http://schemas.openxmlformats.org/officeDocument/2006/relationships/chart" Target="/xl/charts/chart151.xml" Id="rId1"/><Relationship Type="http://schemas.openxmlformats.org/officeDocument/2006/relationships/chart" Target="/xl/charts/chart152.xml" Id="rId2"/><Relationship Type="http://schemas.openxmlformats.org/officeDocument/2006/relationships/chart" Target="/xl/charts/chart153.xml" Id="rId3"/></Relationships>
</file>

<file path=xl/drawings/_rels/drawing53.xml.rels><Relationships xmlns="http://schemas.openxmlformats.org/package/2006/relationships"><Relationship Type="http://schemas.openxmlformats.org/officeDocument/2006/relationships/chart" Target="/xl/charts/chart154.xml" Id="rId1"/><Relationship Type="http://schemas.openxmlformats.org/officeDocument/2006/relationships/chart" Target="/xl/charts/chart155.xml" Id="rId2"/><Relationship Type="http://schemas.openxmlformats.org/officeDocument/2006/relationships/chart" Target="/xl/charts/chart156.xml" Id="rId3"/></Relationships>
</file>

<file path=xl/drawings/_rels/drawing54.xml.rels><Relationships xmlns="http://schemas.openxmlformats.org/package/2006/relationships"><Relationship Type="http://schemas.openxmlformats.org/officeDocument/2006/relationships/chart" Target="/xl/charts/chart157.xml" Id="rId1"/><Relationship Type="http://schemas.openxmlformats.org/officeDocument/2006/relationships/chart" Target="/xl/charts/chart158.xml" Id="rId2"/><Relationship Type="http://schemas.openxmlformats.org/officeDocument/2006/relationships/chart" Target="/xl/charts/chart159.xml" Id="rId3"/></Relationships>
</file>

<file path=xl/drawings/drawing1.xml><?xml version="1.0" encoding="utf-8"?>
<wsDr xmlns="http://schemas.openxmlformats.org/drawingml/2006/spreadsheetDrawing">
  <oneCellAnchor>
    <from>
      <col>11</col>
      <colOff>0</colOff>
      <row>17</row>
      <rowOff>0</rowOff>
    </from>
    <ext cx="5760000" cy="378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11</col>
      <colOff>0</colOff>
      <row>41</row>
      <rowOff>0</rowOff>
    </from>
    <ext cx="5760000" cy="378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wsDr>
</file>

<file path=xl/drawings/drawing2.xml><?xml version="1.0" encoding="utf-8"?>
<wsDr xmlns="http://schemas.openxmlformats.org/drawingml/2006/spreadsheetDrawing">
  <oneCellAnchor>
    <from>
      <col>10</col>
      <colOff>0</colOff>
      <row>5</row>
      <rowOff>0</rowOff>
    </from>
    <ext cx="5760000" cy="306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drawings/drawing3.xml><?xml version="1.0" encoding="utf-8"?>
<wsDr xmlns="http://schemas.openxmlformats.org/drawingml/2006/spreadsheetDrawing">
  <oneCellAnchor>
    <from>
      <col>0</col>
      <colOff>0</colOff>
      <row>48</row>
      <rowOff>0</rowOff>
    </from>
    <ext cx="8640000" cy="270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6</col>
      <colOff>0</colOff>
      <row>73</row>
      <rowOff>0</rowOff>
    </from>
    <ext cx="4860000" cy="252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oneCellAnchor>
    <from>
      <col>20</col>
      <colOff>0</colOff>
      <row>73</row>
      <rowOff>0</rowOff>
    </from>
    <ext cx="4860000" cy="2520000"/>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oneCellAnchor>
</wsDr>
</file>

<file path=xl/drawings/drawing4.xml><?xml version="1.0" encoding="utf-8"?>
<wsDr xmlns="http://schemas.openxmlformats.org/drawingml/2006/spreadsheetDrawing">
  <oneCellAnchor>
    <from>
      <col>0</col>
      <colOff>0</colOff>
      <row>48</row>
      <rowOff>0</rowOff>
    </from>
    <ext cx="8640000" cy="270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6</col>
      <colOff>0</colOff>
      <row>73</row>
      <rowOff>0</rowOff>
    </from>
    <ext cx="4860000" cy="252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oneCellAnchor>
    <from>
      <col>20</col>
      <colOff>0</colOff>
      <row>73</row>
      <rowOff>0</rowOff>
    </from>
    <ext cx="4860000" cy="2520000"/>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oneCellAnchor>
</wsDr>
</file>

<file path=xl/drawings/drawing5.xml><?xml version="1.0" encoding="utf-8"?>
<wsDr xmlns="http://schemas.openxmlformats.org/drawingml/2006/spreadsheetDrawing">
  <oneCellAnchor>
    <from>
      <col>0</col>
      <colOff>0</colOff>
      <row>48</row>
      <rowOff>0</rowOff>
    </from>
    <ext cx="8640000" cy="270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6</col>
      <colOff>0</colOff>
      <row>73</row>
      <rowOff>0</rowOff>
    </from>
    <ext cx="4860000" cy="252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oneCellAnchor>
    <from>
      <col>20</col>
      <colOff>0</colOff>
      <row>73</row>
      <rowOff>0</rowOff>
    </from>
    <ext cx="4860000" cy="2520000"/>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oneCellAnchor>
</wsDr>
</file>

<file path=xl/drawings/drawing6.xml><?xml version="1.0" encoding="utf-8"?>
<wsDr xmlns="http://schemas.openxmlformats.org/drawingml/2006/spreadsheetDrawing">
  <oneCellAnchor>
    <from>
      <col>0</col>
      <colOff>0</colOff>
      <row>48</row>
      <rowOff>0</rowOff>
    </from>
    <ext cx="8640000" cy="270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6</col>
      <colOff>0</colOff>
      <row>73</row>
      <rowOff>0</rowOff>
    </from>
    <ext cx="4860000" cy="252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oneCellAnchor>
    <from>
      <col>20</col>
      <colOff>0</colOff>
      <row>73</row>
      <rowOff>0</rowOff>
    </from>
    <ext cx="4860000" cy="2520000"/>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oneCellAnchor>
</wsDr>
</file>

<file path=xl/drawings/drawing7.xml><?xml version="1.0" encoding="utf-8"?>
<wsDr xmlns="http://schemas.openxmlformats.org/drawingml/2006/spreadsheetDrawing">
  <oneCellAnchor>
    <from>
      <col>0</col>
      <colOff>0</colOff>
      <row>48</row>
      <rowOff>0</rowOff>
    </from>
    <ext cx="8640000" cy="270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6</col>
      <colOff>0</colOff>
      <row>73</row>
      <rowOff>0</rowOff>
    </from>
    <ext cx="4860000" cy="252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oneCellAnchor>
    <from>
      <col>20</col>
      <colOff>0</colOff>
      <row>73</row>
      <rowOff>0</rowOff>
    </from>
    <ext cx="4860000" cy="2520000"/>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oneCellAnchor>
</wsDr>
</file>

<file path=xl/drawings/drawing8.xml><?xml version="1.0" encoding="utf-8"?>
<wsDr xmlns="http://schemas.openxmlformats.org/drawingml/2006/spreadsheetDrawing">
  <oneCellAnchor>
    <from>
      <col>0</col>
      <colOff>0</colOff>
      <row>48</row>
      <rowOff>0</rowOff>
    </from>
    <ext cx="8640000" cy="270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6</col>
      <colOff>0</colOff>
      <row>73</row>
      <rowOff>0</rowOff>
    </from>
    <ext cx="4860000" cy="252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oneCellAnchor>
    <from>
      <col>20</col>
      <colOff>0</colOff>
      <row>73</row>
      <rowOff>0</rowOff>
    </from>
    <ext cx="4860000" cy="2520000"/>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oneCellAnchor>
</wsDr>
</file>

<file path=xl/drawings/drawing9.xml><?xml version="1.0" encoding="utf-8"?>
<wsDr xmlns="http://schemas.openxmlformats.org/drawingml/2006/spreadsheetDrawing">
  <oneCellAnchor>
    <from>
      <col>0</col>
      <colOff>0</colOff>
      <row>48</row>
      <rowOff>0</rowOff>
    </from>
    <ext cx="8640000" cy="270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6</col>
      <colOff>0</colOff>
      <row>73</row>
      <rowOff>0</rowOff>
    </from>
    <ext cx="4860000" cy="252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oneCellAnchor>
    <from>
      <col>20</col>
      <colOff>0</colOff>
      <row>73</row>
      <rowOff>0</rowOff>
    </from>
    <ext cx="4860000" cy="2520000"/>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oneCellAnchor>
</wsDr>
</file>

<file path=xl/drawings/drawing10.xml><?xml version="1.0" encoding="utf-8"?>
<wsDr xmlns="http://schemas.openxmlformats.org/drawingml/2006/spreadsheetDrawing">
  <oneCellAnchor>
    <from>
      <col>0</col>
      <colOff>0</colOff>
      <row>48</row>
      <rowOff>0</rowOff>
    </from>
    <ext cx="8640000" cy="270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6</col>
      <colOff>0</colOff>
      <row>73</row>
      <rowOff>0</rowOff>
    </from>
    <ext cx="4860000" cy="252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oneCellAnchor>
    <from>
      <col>20</col>
      <colOff>0</colOff>
      <row>73</row>
      <rowOff>0</rowOff>
    </from>
    <ext cx="4860000" cy="2520000"/>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oneCellAnchor>
</wsDr>
</file>

<file path=xl/drawings/drawing11.xml><?xml version="1.0" encoding="utf-8"?>
<wsDr xmlns="http://schemas.openxmlformats.org/drawingml/2006/spreadsheetDrawing">
  <oneCellAnchor>
    <from>
      <col>0</col>
      <colOff>0</colOff>
      <row>48</row>
      <rowOff>0</rowOff>
    </from>
    <ext cx="8640000" cy="270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6</col>
      <colOff>0</colOff>
      <row>73</row>
      <rowOff>0</rowOff>
    </from>
    <ext cx="4860000" cy="252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oneCellAnchor>
    <from>
      <col>20</col>
      <colOff>0</colOff>
      <row>73</row>
      <rowOff>0</rowOff>
    </from>
    <ext cx="4860000" cy="2520000"/>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oneCellAnchor>
</wsDr>
</file>

<file path=xl/drawings/drawing12.xml><?xml version="1.0" encoding="utf-8"?>
<wsDr xmlns="http://schemas.openxmlformats.org/drawingml/2006/spreadsheetDrawing">
  <oneCellAnchor>
    <from>
      <col>0</col>
      <colOff>0</colOff>
      <row>48</row>
      <rowOff>0</rowOff>
    </from>
    <ext cx="8640000" cy="270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6</col>
      <colOff>0</colOff>
      <row>73</row>
      <rowOff>0</rowOff>
    </from>
    <ext cx="4860000" cy="252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oneCellAnchor>
    <from>
      <col>20</col>
      <colOff>0</colOff>
      <row>73</row>
      <rowOff>0</rowOff>
    </from>
    <ext cx="4860000" cy="2520000"/>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oneCellAnchor>
</wsDr>
</file>

<file path=xl/drawings/drawing13.xml><?xml version="1.0" encoding="utf-8"?>
<wsDr xmlns="http://schemas.openxmlformats.org/drawingml/2006/spreadsheetDrawing">
  <oneCellAnchor>
    <from>
      <col>0</col>
      <colOff>0</colOff>
      <row>48</row>
      <rowOff>0</rowOff>
    </from>
    <ext cx="8640000" cy="270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6</col>
      <colOff>0</colOff>
      <row>73</row>
      <rowOff>0</rowOff>
    </from>
    <ext cx="4860000" cy="252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oneCellAnchor>
    <from>
      <col>20</col>
      <colOff>0</colOff>
      <row>73</row>
      <rowOff>0</rowOff>
    </from>
    <ext cx="4860000" cy="2520000"/>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oneCellAnchor>
</wsDr>
</file>

<file path=xl/drawings/drawing14.xml><?xml version="1.0" encoding="utf-8"?>
<wsDr xmlns="http://schemas.openxmlformats.org/drawingml/2006/spreadsheetDrawing">
  <oneCellAnchor>
    <from>
      <col>0</col>
      <colOff>0</colOff>
      <row>48</row>
      <rowOff>0</rowOff>
    </from>
    <ext cx="8640000" cy="270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6</col>
      <colOff>0</colOff>
      <row>73</row>
      <rowOff>0</rowOff>
    </from>
    <ext cx="4860000" cy="252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oneCellAnchor>
    <from>
      <col>20</col>
      <colOff>0</colOff>
      <row>73</row>
      <rowOff>0</rowOff>
    </from>
    <ext cx="4860000" cy="2520000"/>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oneCellAnchor>
</wsDr>
</file>

<file path=xl/drawings/drawing15.xml><?xml version="1.0" encoding="utf-8"?>
<wsDr xmlns="http://schemas.openxmlformats.org/drawingml/2006/spreadsheetDrawing">
  <oneCellAnchor>
    <from>
      <col>0</col>
      <colOff>0</colOff>
      <row>48</row>
      <rowOff>0</rowOff>
    </from>
    <ext cx="8640000" cy="270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6</col>
      <colOff>0</colOff>
      <row>73</row>
      <rowOff>0</rowOff>
    </from>
    <ext cx="4860000" cy="252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oneCellAnchor>
    <from>
      <col>20</col>
      <colOff>0</colOff>
      <row>73</row>
      <rowOff>0</rowOff>
    </from>
    <ext cx="4860000" cy="2520000"/>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oneCellAnchor>
</wsDr>
</file>

<file path=xl/drawings/drawing16.xml><?xml version="1.0" encoding="utf-8"?>
<wsDr xmlns="http://schemas.openxmlformats.org/drawingml/2006/spreadsheetDrawing">
  <oneCellAnchor>
    <from>
      <col>0</col>
      <colOff>0</colOff>
      <row>48</row>
      <rowOff>0</rowOff>
    </from>
    <ext cx="8640000" cy="270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6</col>
      <colOff>0</colOff>
      <row>73</row>
      <rowOff>0</rowOff>
    </from>
    <ext cx="4860000" cy="252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oneCellAnchor>
    <from>
      <col>20</col>
      <colOff>0</colOff>
      <row>73</row>
      <rowOff>0</rowOff>
    </from>
    <ext cx="4860000" cy="2520000"/>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oneCellAnchor>
</wsDr>
</file>

<file path=xl/drawings/drawing17.xml><?xml version="1.0" encoding="utf-8"?>
<wsDr xmlns="http://schemas.openxmlformats.org/drawingml/2006/spreadsheetDrawing">
  <oneCellAnchor>
    <from>
      <col>0</col>
      <colOff>0</colOff>
      <row>48</row>
      <rowOff>0</rowOff>
    </from>
    <ext cx="8640000" cy="270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6</col>
      <colOff>0</colOff>
      <row>73</row>
      <rowOff>0</rowOff>
    </from>
    <ext cx="4860000" cy="252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oneCellAnchor>
    <from>
      <col>20</col>
      <colOff>0</colOff>
      <row>73</row>
      <rowOff>0</rowOff>
    </from>
    <ext cx="4860000" cy="2520000"/>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oneCellAnchor>
</wsDr>
</file>

<file path=xl/drawings/drawing18.xml><?xml version="1.0" encoding="utf-8"?>
<wsDr xmlns="http://schemas.openxmlformats.org/drawingml/2006/spreadsheetDrawing">
  <oneCellAnchor>
    <from>
      <col>0</col>
      <colOff>0</colOff>
      <row>48</row>
      <rowOff>0</rowOff>
    </from>
    <ext cx="8640000" cy="270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6</col>
      <colOff>0</colOff>
      <row>73</row>
      <rowOff>0</rowOff>
    </from>
    <ext cx="4860000" cy="252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oneCellAnchor>
    <from>
      <col>20</col>
      <colOff>0</colOff>
      <row>73</row>
      <rowOff>0</rowOff>
    </from>
    <ext cx="4860000" cy="2520000"/>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oneCellAnchor>
</wsDr>
</file>

<file path=xl/drawings/drawing19.xml><?xml version="1.0" encoding="utf-8"?>
<wsDr xmlns="http://schemas.openxmlformats.org/drawingml/2006/spreadsheetDrawing">
  <oneCellAnchor>
    <from>
      <col>0</col>
      <colOff>0</colOff>
      <row>48</row>
      <rowOff>0</rowOff>
    </from>
    <ext cx="8640000" cy="270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6</col>
      <colOff>0</colOff>
      <row>73</row>
      <rowOff>0</rowOff>
    </from>
    <ext cx="4860000" cy="252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oneCellAnchor>
    <from>
      <col>20</col>
      <colOff>0</colOff>
      <row>73</row>
      <rowOff>0</rowOff>
    </from>
    <ext cx="4860000" cy="2520000"/>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oneCellAnchor>
</wsDr>
</file>

<file path=xl/drawings/drawing20.xml><?xml version="1.0" encoding="utf-8"?>
<wsDr xmlns="http://schemas.openxmlformats.org/drawingml/2006/spreadsheetDrawing">
  <oneCellAnchor>
    <from>
      <col>0</col>
      <colOff>0</colOff>
      <row>48</row>
      <rowOff>0</rowOff>
    </from>
    <ext cx="8640000" cy="270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6</col>
      <colOff>0</colOff>
      <row>73</row>
      <rowOff>0</rowOff>
    </from>
    <ext cx="4860000" cy="252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oneCellAnchor>
    <from>
      <col>20</col>
      <colOff>0</colOff>
      <row>73</row>
      <rowOff>0</rowOff>
    </from>
    <ext cx="4860000" cy="2520000"/>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oneCellAnchor>
</wsDr>
</file>

<file path=xl/drawings/drawing21.xml><?xml version="1.0" encoding="utf-8"?>
<wsDr xmlns="http://schemas.openxmlformats.org/drawingml/2006/spreadsheetDrawing">
  <oneCellAnchor>
    <from>
      <col>0</col>
      <colOff>0</colOff>
      <row>48</row>
      <rowOff>0</rowOff>
    </from>
    <ext cx="8640000" cy="270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6</col>
      <colOff>0</colOff>
      <row>73</row>
      <rowOff>0</rowOff>
    </from>
    <ext cx="4860000" cy="252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oneCellAnchor>
    <from>
      <col>20</col>
      <colOff>0</colOff>
      <row>73</row>
      <rowOff>0</rowOff>
    </from>
    <ext cx="4860000" cy="2520000"/>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oneCellAnchor>
</wsDr>
</file>

<file path=xl/drawings/drawing22.xml><?xml version="1.0" encoding="utf-8"?>
<wsDr xmlns="http://schemas.openxmlformats.org/drawingml/2006/spreadsheetDrawing">
  <oneCellAnchor>
    <from>
      <col>0</col>
      <colOff>0</colOff>
      <row>48</row>
      <rowOff>0</rowOff>
    </from>
    <ext cx="8640000" cy="270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6</col>
      <colOff>0</colOff>
      <row>73</row>
      <rowOff>0</rowOff>
    </from>
    <ext cx="4860000" cy="252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oneCellAnchor>
    <from>
      <col>20</col>
      <colOff>0</colOff>
      <row>73</row>
      <rowOff>0</rowOff>
    </from>
    <ext cx="4860000" cy="2520000"/>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oneCellAnchor>
</wsDr>
</file>

<file path=xl/drawings/drawing23.xml><?xml version="1.0" encoding="utf-8"?>
<wsDr xmlns="http://schemas.openxmlformats.org/drawingml/2006/spreadsheetDrawing">
  <oneCellAnchor>
    <from>
      <col>0</col>
      <colOff>0</colOff>
      <row>48</row>
      <rowOff>0</rowOff>
    </from>
    <ext cx="8640000" cy="270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6</col>
      <colOff>0</colOff>
      <row>73</row>
      <rowOff>0</rowOff>
    </from>
    <ext cx="4860000" cy="252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oneCellAnchor>
    <from>
      <col>20</col>
      <colOff>0</colOff>
      <row>73</row>
      <rowOff>0</rowOff>
    </from>
    <ext cx="4860000" cy="2520000"/>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oneCellAnchor>
</wsDr>
</file>

<file path=xl/drawings/drawing24.xml><?xml version="1.0" encoding="utf-8"?>
<wsDr xmlns="http://schemas.openxmlformats.org/drawingml/2006/spreadsheetDrawing">
  <oneCellAnchor>
    <from>
      <col>0</col>
      <colOff>0</colOff>
      <row>48</row>
      <rowOff>0</rowOff>
    </from>
    <ext cx="8640000" cy="270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6</col>
      <colOff>0</colOff>
      <row>73</row>
      <rowOff>0</rowOff>
    </from>
    <ext cx="4860000" cy="252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oneCellAnchor>
    <from>
      <col>20</col>
      <colOff>0</colOff>
      <row>73</row>
      <rowOff>0</rowOff>
    </from>
    <ext cx="4860000" cy="2520000"/>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oneCellAnchor>
</wsDr>
</file>

<file path=xl/drawings/drawing25.xml><?xml version="1.0" encoding="utf-8"?>
<wsDr xmlns="http://schemas.openxmlformats.org/drawingml/2006/spreadsheetDrawing">
  <oneCellAnchor>
    <from>
      <col>0</col>
      <colOff>0</colOff>
      <row>48</row>
      <rowOff>0</rowOff>
    </from>
    <ext cx="8640000" cy="270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6</col>
      <colOff>0</colOff>
      <row>73</row>
      <rowOff>0</rowOff>
    </from>
    <ext cx="4860000" cy="252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oneCellAnchor>
    <from>
      <col>20</col>
      <colOff>0</colOff>
      <row>73</row>
      <rowOff>0</rowOff>
    </from>
    <ext cx="4860000" cy="2520000"/>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oneCellAnchor>
</wsDr>
</file>

<file path=xl/drawings/drawing26.xml><?xml version="1.0" encoding="utf-8"?>
<wsDr xmlns="http://schemas.openxmlformats.org/drawingml/2006/spreadsheetDrawing">
  <oneCellAnchor>
    <from>
      <col>0</col>
      <colOff>0</colOff>
      <row>48</row>
      <rowOff>0</rowOff>
    </from>
    <ext cx="8640000" cy="270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6</col>
      <colOff>0</colOff>
      <row>73</row>
      <rowOff>0</rowOff>
    </from>
    <ext cx="4860000" cy="252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oneCellAnchor>
    <from>
      <col>20</col>
      <colOff>0</colOff>
      <row>73</row>
      <rowOff>0</rowOff>
    </from>
    <ext cx="4860000" cy="2520000"/>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oneCellAnchor>
</wsDr>
</file>

<file path=xl/drawings/drawing27.xml><?xml version="1.0" encoding="utf-8"?>
<wsDr xmlns="http://schemas.openxmlformats.org/drawingml/2006/spreadsheetDrawing">
  <oneCellAnchor>
    <from>
      <col>0</col>
      <colOff>0</colOff>
      <row>48</row>
      <rowOff>0</rowOff>
    </from>
    <ext cx="8640000" cy="270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6</col>
      <colOff>0</colOff>
      <row>73</row>
      <rowOff>0</rowOff>
    </from>
    <ext cx="4860000" cy="252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oneCellAnchor>
    <from>
      <col>20</col>
      <colOff>0</colOff>
      <row>73</row>
      <rowOff>0</rowOff>
    </from>
    <ext cx="4860000" cy="2520000"/>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oneCellAnchor>
</wsDr>
</file>

<file path=xl/drawings/drawing28.xml><?xml version="1.0" encoding="utf-8"?>
<wsDr xmlns="http://schemas.openxmlformats.org/drawingml/2006/spreadsheetDrawing">
  <oneCellAnchor>
    <from>
      <col>0</col>
      <colOff>0</colOff>
      <row>48</row>
      <rowOff>0</rowOff>
    </from>
    <ext cx="8640000" cy="270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6</col>
      <colOff>0</colOff>
      <row>73</row>
      <rowOff>0</rowOff>
    </from>
    <ext cx="4860000" cy="252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oneCellAnchor>
    <from>
      <col>20</col>
      <colOff>0</colOff>
      <row>73</row>
      <rowOff>0</rowOff>
    </from>
    <ext cx="4860000" cy="2520000"/>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oneCellAnchor>
</wsDr>
</file>

<file path=xl/drawings/drawing29.xml><?xml version="1.0" encoding="utf-8"?>
<wsDr xmlns="http://schemas.openxmlformats.org/drawingml/2006/spreadsheetDrawing">
  <oneCellAnchor>
    <from>
      <col>0</col>
      <colOff>0</colOff>
      <row>48</row>
      <rowOff>0</rowOff>
    </from>
    <ext cx="8640000" cy="270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6</col>
      <colOff>0</colOff>
      <row>73</row>
      <rowOff>0</rowOff>
    </from>
    <ext cx="4860000" cy="252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oneCellAnchor>
    <from>
      <col>20</col>
      <colOff>0</colOff>
      <row>73</row>
      <rowOff>0</rowOff>
    </from>
    <ext cx="4860000" cy="2520000"/>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oneCellAnchor>
</wsDr>
</file>

<file path=xl/drawings/drawing30.xml><?xml version="1.0" encoding="utf-8"?>
<wsDr xmlns="http://schemas.openxmlformats.org/drawingml/2006/spreadsheetDrawing">
  <oneCellAnchor>
    <from>
      <col>0</col>
      <colOff>0</colOff>
      <row>48</row>
      <rowOff>0</rowOff>
    </from>
    <ext cx="8640000" cy="270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6</col>
      <colOff>0</colOff>
      <row>73</row>
      <rowOff>0</rowOff>
    </from>
    <ext cx="4860000" cy="252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oneCellAnchor>
    <from>
      <col>20</col>
      <colOff>0</colOff>
      <row>73</row>
      <rowOff>0</rowOff>
    </from>
    <ext cx="4860000" cy="2520000"/>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oneCellAnchor>
</wsDr>
</file>

<file path=xl/drawings/drawing31.xml><?xml version="1.0" encoding="utf-8"?>
<wsDr xmlns="http://schemas.openxmlformats.org/drawingml/2006/spreadsheetDrawing">
  <oneCellAnchor>
    <from>
      <col>0</col>
      <colOff>0</colOff>
      <row>48</row>
      <rowOff>0</rowOff>
    </from>
    <ext cx="8640000" cy="270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6</col>
      <colOff>0</colOff>
      <row>73</row>
      <rowOff>0</rowOff>
    </from>
    <ext cx="4860000" cy="252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oneCellAnchor>
    <from>
      <col>20</col>
      <colOff>0</colOff>
      <row>73</row>
      <rowOff>0</rowOff>
    </from>
    <ext cx="4860000" cy="2520000"/>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oneCellAnchor>
</wsDr>
</file>

<file path=xl/drawings/drawing32.xml><?xml version="1.0" encoding="utf-8"?>
<wsDr xmlns="http://schemas.openxmlformats.org/drawingml/2006/spreadsheetDrawing">
  <oneCellAnchor>
    <from>
      <col>0</col>
      <colOff>0</colOff>
      <row>48</row>
      <rowOff>0</rowOff>
    </from>
    <ext cx="8640000" cy="270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6</col>
      <colOff>0</colOff>
      <row>73</row>
      <rowOff>0</rowOff>
    </from>
    <ext cx="4860000" cy="252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oneCellAnchor>
    <from>
      <col>20</col>
      <colOff>0</colOff>
      <row>73</row>
      <rowOff>0</rowOff>
    </from>
    <ext cx="4860000" cy="2520000"/>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oneCellAnchor>
</wsDr>
</file>

<file path=xl/drawings/drawing33.xml><?xml version="1.0" encoding="utf-8"?>
<wsDr xmlns="http://schemas.openxmlformats.org/drawingml/2006/spreadsheetDrawing">
  <oneCellAnchor>
    <from>
      <col>0</col>
      <colOff>0</colOff>
      <row>48</row>
      <rowOff>0</rowOff>
    </from>
    <ext cx="8640000" cy="270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6</col>
      <colOff>0</colOff>
      <row>73</row>
      <rowOff>0</rowOff>
    </from>
    <ext cx="4860000" cy="252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oneCellAnchor>
    <from>
      <col>20</col>
      <colOff>0</colOff>
      <row>73</row>
      <rowOff>0</rowOff>
    </from>
    <ext cx="4860000" cy="2520000"/>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oneCellAnchor>
</wsDr>
</file>

<file path=xl/drawings/drawing34.xml><?xml version="1.0" encoding="utf-8"?>
<wsDr xmlns="http://schemas.openxmlformats.org/drawingml/2006/spreadsheetDrawing">
  <oneCellAnchor>
    <from>
      <col>0</col>
      <colOff>0</colOff>
      <row>48</row>
      <rowOff>0</rowOff>
    </from>
    <ext cx="8640000" cy="270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6</col>
      <colOff>0</colOff>
      <row>73</row>
      <rowOff>0</rowOff>
    </from>
    <ext cx="4860000" cy="252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oneCellAnchor>
    <from>
      <col>20</col>
      <colOff>0</colOff>
      <row>73</row>
      <rowOff>0</rowOff>
    </from>
    <ext cx="4860000" cy="2520000"/>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oneCellAnchor>
</wsDr>
</file>

<file path=xl/drawings/drawing35.xml><?xml version="1.0" encoding="utf-8"?>
<wsDr xmlns="http://schemas.openxmlformats.org/drawingml/2006/spreadsheetDrawing">
  <oneCellAnchor>
    <from>
      <col>0</col>
      <colOff>0</colOff>
      <row>48</row>
      <rowOff>0</rowOff>
    </from>
    <ext cx="8640000" cy="270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6</col>
      <colOff>0</colOff>
      <row>73</row>
      <rowOff>0</rowOff>
    </from>
    <ext cx="4860000" cy="252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oneCellAnchor>
    <from>
      <col>20</col>
      <colOff>0</colOff>
      <row>73</row>
      <rowOff>0</rowOff>
    </from>
    <ext cx="4860000" cy="2520000"/>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oneCellAnchor>
</wsDr>
</file>

<file path=xl/drawings/drawing36.xml><?xml version="1.0" encoding="utf-8"?>
<wsDr xmlns="http://schemas.openxmlformats.org/drawingml/2006/spreadsheetDrawing">
  <oneCellAnchor>
    <from>
      <col>0</col>
      <colOff>0</colOff>
      <row>48</row>
      <rowOff>0</rowOff>
    </from>
    <ext cx="8640000" cy="270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6</col>
      <colOff>0</colOff>
      <row>73</row>
      <rowOff>0</rowOff>
    </from>
    <ext cx="4860000" cy="252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oneCellAnchor>
    <from>
      <col>20</col>
      <colOff>0</colOff>
      <row>73</row>
      <rowOff>0</rowOff>
    </from>
    <ext cx="4860000" cy="2520000"/>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oneCellAnchor>
</wsDr>
</file>

<file path=xl/drawings/drawing37.xml><?xml version="1.0" encoding="utf-8"?>
<wsDr xmlns="http://schemas.openxmlformats.org/drawingml/2006/spreadsheetDrawing">
  <oneCellAnchor>
    <from>
      <col>0</col>
      <colOff>0</colOff>
      <row>48</row>
      <rowOff>0</rowOff>
    </from>
    <ext cx="8640000" cy="270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6</col>
      <colOff>0</colOff>
      <row>73</row>
      <rowOff>0</rowOff>
    </from>
    <ext cx="4860000" cy="252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oneCellAnchor>
    <from>
      <col>20</col>
      <colOff>0</colOff>
      <row>73</row>
      <rowOff>0</rowOff>
    </from>
    <ext cx="4860000" cy="2520000"/>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oneCellAnchor>
</wsDr>
</file>

<file path=xl/drawings/drawing38.xml><?xml version="1.0" encoding="utf-8"?>
<wsDr xmlns="http://schemas.openxmlformats.org/drawingml/2006/spreadsheetDrawing">
  <oneCellAnchor>
    <from>
      <col>0</col>
      <colOff>0</colOff>
      <row>48</row>
      <rowOff>0</rowOff>
    </from>
    <ext cx="8640000" cy="270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6</col>
      <colOff>0</colOff>
      <row>73</row>
      <rowOff>0</rowOff>
    </from>
    <ext cx="4860000" cy="252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oneCellAnchor>
    <from>
      <col>20</col>
      <colOff>0</colOff>
      <row>73</row>
      <rowOff>0</rowOff>
    </from>
    <ext cx="4860000" cy="2520000"/>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oneCellAnchor>
</wsDr>
</file>

<file path=xl/drawings/drawing39.xml><?xml version="1.0" encoding="utf-8"?>
<wsDr xmlns="http://schemas.openxmlformats.org/drawingml/2006/spreadsheetDrawing">
  <oneCellAnchor>
    <from>
      <col>0</col>
      <colOff>0</colOff>
      <row>48</row>
      <rowOff>0</rowOff>
    </from>
    <ext cx="8640000" cy="270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6</col>
      <colOff>0</colOff>
      <row>73</row>
      <rowOff>0</rowOff>
    </from>
    <ext cx="4860000" cy="252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oneCellAnchor>
    <from>
      <col>20</col>
      <colOff>0</colOff>
      <row>73</row>
      <rowOff>0</rowOff>
    </from>
    <ext cx="4860000" cy="2520000"/>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oneCellAnchor>
</wsDr>
</file>

<file path=xl/drawings/drawing40.xml><?xml version="1.0" encoding="utf-8"?>
<wsDr xmlns="http://schemas.openxmlformats.org/drawingml/2006/spreadsheetDrawing">
  <oneCellAnchor>
    <from>
      <col>0</col>
      <colOff>0</colOff>
      <row>48</row>
      <rowOff>0</rowOff>
    </from>
    <ext cx="8640000" cy="270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6</col>
      <colOff>0</colOff>
      <row>73</row>
      <rowOff>0</rowOff>
    </from>
    <ext cx="4860000" cy="252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oneCellAnchor>
    <from>
      <col>20</col>
      <colOff>0</colOff>
      <row>73</row>
      <rowOff>0</rowOff>
    </from>
    <ext cx="4860000" cy="2520000"/>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oneCellAnchor>
</wsDr>
</file>

<file path=xl/drawings/drawing41.xml><?xml version="1.0" encoding="utf-8"?>
<wsDr xmlns="http://schemas.openxmlformats.org/drawingml/2006/spreadsheetDrawing">
  <oneCellAnchor>
    <from>
      <col>0</col>
      <colOff>0</colOff>
      <row>48</row>
      <rowOff>0</rowOff>
    </from>
    <ext cx="8640000" cy="270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6</col>
      <colOff>0</colOff>
      <row>73</row>
      <rowOff>0</rowOff>
    </from>
    <ext cx="4860000" cy="252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oneCellAnchor>
    <from>
      <col>20</col>
      <colOff>0</colOff>
      <row>73</row>
      <rowOff>0</rowOff>
    </from>
    <ext cx="4860000" cy="2520000"/>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oneCellAnchor>
</wsDr>
</file>

<file path=xl/drawings/drawing42.xml><?xml version="1.0" encoding="utf-8"?>
<wsDr xmlns="http://schemas.openxmlformats.org/drawingml/2006/spreadsheetDrawing">
  <oneCellAnchor>
    <from>
      <col>0</col>
      <colOff>0</colOff>
      <row>48</row>
      <rowOff>0</rowOff>
    </from>
    <ext cx="8640000" cy="270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6</col>
      <colOff>0</colOff>
      <row>73</row>
      <rowOff>0</rowOff>
    </from>
    <ext cx="4860000" cy="252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oneCellAnchor>
    <from>
      <col>20</col>
      <colOff>0</colOff>
      <row>73</row>
      <rowOff>0</rowOff>
    </from>
    <ext cx="4860000" cy="2520000"/>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oneCellAnchor>
</wsDr>
</file>

<file path=xl/drawings/drawing43.xml><?xml version="1.0" encoding="utf-8"?>
<wsDr xmlns="http://schemas.openxmlformats.org/drawingml/2006/spreadsheetDrawing">
  <oneCellAnchor>
    <from>
      <col>0</col>
      <colOff>0</colOff>
      <row>48</row>
      <rowOff>0</rowOff>
    </from>
    <ext cx="8640000" cy="270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6</col>
      <colOff>0</colOff>
      <row>73</row>
      <rowOff>0</rowOff>
    </from>
    <ext cx="4860000" cy="252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oneCellAnchor>
    <from>
      <col>20</col>
      <colOff>0</colOff>
      <row>73</row>
      <rowOff>0</rowOff>
    </from>
    <ext cx="4860000" cy="2520000"/>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oneCellAnchor>
</wsDr>
</file>

<file path=xl/drawings/drawing44.xml><?xml version="1.0" encoding="utf-8"?>
<wsDr xmlns="http://schemas.openxmlformats.org/drawingml/2006/spreadsheetDrawing">
  <oneCellAnchor>
    <from>
      <col>0</col>
      <colOff>0</colOff>
      <row>48</row>
      <rowOff>0</rowOff>
    </from>
    <ext cx="8640000" cy="270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6</col>
      <colOff>0</colOff>
      <row>73</row>
      <rowOff>0</rowOff>
    </from>
    <ext cx="4860000" cy="252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oneCellAnchor>
    <from>
      <col>20</col>
      <colOff>0</colOff>
      <row>73</row>
      <rowOff>0</rowOff>
    </from>
    <ext cx="4860000" cy="2520000"/>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oneCellAnchor>
</wsDr>
</file>

<file path=xl/drawings/drawing45.xml><?xml version="1.0" encoding="utf-8"?>
<wsDr xmlns="http://schemas.openxmlformats.org/drawingml/2006/spreadsheetDrawing">
  <oneCellAnchor>
    <from>
      <col>0</col>
      <colOff>0</colOff>
      <row>48</row>
      <rowOff>0</rowOff>
    </from>
    <ext cx="8640000" cy="270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6</col>
      <colOff>0</colOff>
      <row>73</row>
      <rowOff>0</rowOff>
    </from>
    <ext cx="4860000" cy="252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oneCellAnchor>
    <from>
      <col>20</col>
      <colOff>0</colOff>
      <row>73</row>
      <rowOff>0</rowOff>
    </from>
    <ext cx="4860000" cy="2520000"/>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oneCellAnchor>
</wsDr>
</file>

<file path=xl/drawings/drawing46.xml><?xml version="1.0" encoding="utf-8"?>
<wsDr xmlns="http://schemas.openxmlformats.org/drawingml/2006/spreadsheetDrawing">
  <oneCellAnchor>
    <from>
      <col>0</col>
      <colOff>0</colOff>
      <row>48</row>
      <rowOff>0</rowOff>
    </from>
    <ext cx="8640000" cy="270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6</col>
      <colOff>0</colOff>
      <row>73</row>
      <rowOff>0</rowOff>
    </from>
    <ext cx="4860000" cy="252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oneCellAnchor>
    <from>
      <col>20</col>
      <colOff>0</colOff>
      <row>73</row>
      <rowOff>0</rowOff>
    </from>
    <ext cx="4860000" cy="2520000"/>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oneCellAnchor>
</wsDr>
</file>

<file path=xl/drawings/drawing47.xml><?xml version="1.0" encoding="utf-8"?>
<wsDr xmlns="http://schemas.openxmlformats.org/drawingml/2006/spreadsheetDrawing">
  <oneCellAnchor>
    <from>
      <col>0</col>
      <colOff>0</colOff>
      <row>48</row>
      <rowOff>0</rowOff>
    </from>
    <ext cx="8640000" cy="270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6</col>
      <colOff>0</colOff>
      <row>73</row>
      <rowOff>0</rowOff>
    </from>
    <ext cx="4860000" cy="252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oneCellAnchor>
    <from>
      <col>20</col>
      <colOff>0</colOff>
      <row>73</row>
      <rowOff>0</rowOff>
    </from>
    <ext cx="4860000" cy="2520000"/>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oneCellAnchor>
</wsDr>
</file>

<file path=xl/drawings/drawing48.xml><?xml version="1.0" encoding="utf-8"?>
<wsDr xmlns="http://schemas.openxmlformats.org/drawingml/2006/spreadsheetDrawing">
  <oneCellAnchor>
    <from>
      <col>0</col>
      <colOff>0</colOff>
      <row>48</row>
      <rowOff>0</rowOff>
    </from>
    <ext cx="8640000" cy="270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6</col>
      <colOff>0</colOff>
      <row>73</row>
      <rowOff>0</rowOff>
    </from>
    <ext cx="4860000" cy="252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oneCellAnchor>
    <from>
      <col>20</col>
      <colOff>0</colOff>
      <row>73</row>
      <rowOff>0</rowOff>
    </from>
    <ext cx="4860000" cy="2520000"/>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oneCellAnchor>
</wsDr>
</file>

<file path=xl/drawings/drawing49.xml><?xml version="1.0" encoding="utf-8"?>
<wsDr xmlns="http://schemas.openxmlformats.org/drawingml/2006/spreadsheetDrawing">
  <oneCellAnchor>
    <from>
      <col>0</col>
      <colOff>0</colOff>
      <row>48</row>
      <rowOff>0</rowOff>
    </from>
    <ext cx="8640000" cy="270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6</col>
      <colOff>0</colOff>
      <row>73</row>
      <rowOff>0</rowOff>
    </from>
    <ext cx="4860000" cy="252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oneCellAnchor>
    <from>
      <col>20</col>
      <colOff>0</colOff>
      <row>73</row>
      <rowOff>0</rowOff>
    </from>
    <ext cx="4860000" cy="2520000"/>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oneCellAnchor>
</wsDr>
</file>

<file path=xl/drawings/drawing50.xml><?xml version="1.0" encoding="utf-8"?>
<wsDr xmlns="http://schemas.openxmlformats.org/drawingml/2006/spreadsheetDrawing">
  <oneCellAnchor>
    <from>
      <col>0</col>
      <colOff>0</colOff>
      <row>48</row>
      <rowOff>0</rowOff>
    </from>
    <ext cx="8640000" cy="270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6</col>
      <colOff>0</colOff>
      <row>73</row>
      <rowOff>0</rowOff>
    </from>
    <ext cx="4860000" cy="252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oneCellAnchor>
    <from>
      <col>20</col>
      <colOff>0</colOff>
      <row>73</row>
      <rowOff>0</rowOff>
    </from>
    <ext cx="4860000" cy="2520000"/>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oneCellAnchor>
</wsDr>
</file>

<file path=xl/drawings/drawing51.xml><?xml version="1.0" encoding="utf-8"?>
<wsDr xmlns="http://schemas.openxmlformats.org/drawingml/2006/spreadsheetDrawing">
  <oneCellAnchor>
    <from>
      <col>0</col>
      <colOff>0</colOff>
      <row>48</row>
      <rowOff>0</rowOff>
    </from>
    <ext cx="8640000" cy="270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6</col>
      <colOff>0</colOff>
      <row>73</row>
      <rowOff>0</rowOff>
    </from>
    <ext cx="4860000" cy="252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oneCellAnchor>
    <from>
      <col>20</col>
      <colOff>0</colOff>
      <row>73</row>
      <rowOff>0</rowOff>
    </from>
    <ext cx="4860000" cy="2520000"/>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oneCellAnchor>
</wsDr>
</file>

<file path=xl/drawings/drawing52.xml><?xml version="1.0" encoding="utf-8"?>
<wsDr xmlns="http://schemas.openxmlformats.org/drawingml/2006/spreadsheetDrawing">
  <oneCellAnchor>
    <from>
      <col>0</col>
      <colOff>0</colOff>
      <row>48</row>
      <rowOff>0</rowOff>
    </from>
    <ext cx="8640000" cy="270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6</col>
      <colOff>0</colOff>
      <row>73</row>
      <rowOff>0</rowOff>
    </from>
    <ext cx="4860000" cy="252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oneCellAnchor>
    <from>
      <col>20</col>
      <colOff>0</colOff>
      <row>73</row>
      <rowOff>0</rowOff>
    </from>
    <ext cx="4860000" cy="2520000"/>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oneCellAnchor>
</wsDr>
</file>

<file path=xl/drawings/drawing53.xml><?xml version="1.0" encoding="utf-8"?>
<wsDr xmlns="http://schemas.openxmlformats.org/drawingml/2006/spreadsheetDrawing">
  <oneCellAnchor>
    <from>
      <col>0</col>
      <colOff>0</colOff>
      <row>48</row>
      <rowOff>0</rowOff>
    </from>
    <ext cx="8640000" cy="270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6</col>
      <colOff>0</colOff>
      <row>73</row>
      <rowOff>0</rowOff>
    </from>
    <ext cx="4860000" cy="252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oneCellAnchor>
    <from>
      <col>20</col>
      <colOff>0</colOff>
      <row>73</row>
      <rowOff>0</rowOff>
    </from>
    <ext cx="4860000" cy="2520000"/>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oneCellAnchor>
</wsDr>
</file>

<file path=xl/drawings/drawing54.xml><?xml version="1.0" encoding="utf-8"?>
<wsDr xmlns="http://schemas.openxmlformats.org/drawingml/2006/spreadsheetDrawing">
  <oneCellAnchor>
    <from>
      <col>0</col>
      <colOff>0</colOff>
      <row>48</row>
      <rowOff>0</rowOff>
    </from>
    <ext cx="8640000" cy="270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6</col>
      <colOff>0</colOff>
      <row>73</row>
      <rowOff>0</rowOff>
    </from>
    <ext cx="4860000" cy="252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oneCellAnchor>
    <from>
      <col>20</col>
      <colOff>0</colOff>
      <row>73</row>
      <rowOff>0</rowOff>
    </from>
    <ext cx="4860000" cy="2520000"/>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Quarterly Hub'!A1" TargetMode="External" Id="rId1"/><Relationship Type="http://schemas.openxmlformats.org/officeDocument/2006/relationships/hyperlink" Target="#'Habit Library'!A1" TargetMode="External" Id="rId2"/><Relationship Type="http://schemas.openxmlformats.org/officeDocument/2006/relationships/hyperlink" Target="#'Sep 2026'!A1" TargetMode="External" Id="rId3"/><Relationship Type="http://schemas.openxmlformats.org/officeDocument/2006/relationships/hyperlink" Target="#'Oct 2026'!A1" TargetMode="External" Id="rId4"/><Relationship Type="http://schemas.openxmlformats.org/officeDocument/2006/relationships/hyperlink" Target="#'Nov 2026'!A1" TargetMode="External" Id="rId5"/><Relationship Type="http://schemas.openxmlformats.org/officeDocument/2006/relationships/hyperlink" Target="#'Dec 2026'!A1" TargetMode="External" Id="rId6"/><Relationship Type="http://schemas.openxmlformats.org/officeDocument/2006/relationships/hyperlink" Target="#'Jan 2027'!A1" TargetMode="External" Id="rId7"/><Relationship Type="http://schemas.openxmlformats.org/officeDocument/2006/relationships/hyperlink" Target="#'Feb 2027'!A1" TargetMode="External" Id="rId8"/><Relationship Type="http://schemas.openxmlformats.org/officeDocument/2006/relationships/hyperlink" Target="#'Mar 2027'!A1" TargetMode="External" Id="rId9"/><Relationship Type="http://schemas.openxmlformats.org/officeDocument/2006/relationships/hyperlink" Target="#'Apr 2027'!A1" TargetMode="External" Id="rId10"/><Relationship Type="http://schemas.openxmlformats.org/officeDocument/2006/relationships/hyperlink" Target="#'May 2027'!A1" TargetMode="External" Id="rId11"/><Relationship Type="http://schemas.openxmlformats.org/officeDocument/2006/relationships/hyperlink" Target="#'Jun 2027'!A1" TargetMode="External" Id="rId12"/><Relationship Type="http://schemas.openxmlformats.org/officeDocument/2006/relationships/hyperlink" Target="#'Jul 2027'!A1" TargetMode="External" Id="rId13"/><Relationship Type="http://schemas.openxmlformats.org/officeDocument/2006/relationships/hyperlink" Target="#'Aug 2027'!A1" TargetMode="External" Id="rId14"/><Relationship Type="http://schemas.openxmlformats.org/officeDocument/2006/relationships/hyperlink" Target="#'Sep 2027'!A1" TargetMode="External" Id="rId15"/><Relationship Type="http://schemas.openxmlformats.org/officeDocument/2006/relationships/hyperlink" Target="#'Oct 2027'!A1" TargetMode="External" Id="rId16"/><Relationship Type="http://schemas.openxmlformats.org/officeDocument/2006/relationships/hyperlink" Target="#'Nov 2027'!A1" TargetMode="External" Id="rId17"/><Relationship Type="http://schemas.openxmlformats.org/officeDocument/2006/relationships/hyperlink" Target="#'Dec 2027'!A1" TargetMode="External" Id="rId18"/><Relationship Type="http://schemas.openxmlformats.org/officeDocument/2006/relationships/hyperlink" Target="#'Jan 2028'!A1" TargetMode="External" Id="rId19"/><Relationship Type="http://schemas.openxmlformats.org/officeDocument/2006/relationships/hyperlink" Target="#'Feb 2028'!A1" TargetMode="External" Id="rId20"/><Relationship Type="http://schemas.openxmlformats.org/officeDocument/2006/relationships/hyperlink" Target="#'Mar 2028'!A1" TargetMode="External" Id="rId21"/><Relationship Type="http://schemas.openxmlformats.org/officeDocument/2006/relationships/hyperlink" Target="#'Apr 2028'!A1" TargetMode="External" Id="rId22"/><Relationship Type="http://schemas.openxmlformats.org/officeDocument/2006/relationships/hyperlink" Target="#'May 2028'!A1" TargetMode="External" Id="rId23"/><Relationship Type="http://schemas.openxmlformats.org/officeDocument/2006/relationships/hyperlink" Target="#'Jun 2028'!A1" TargetMode="External" Id="rId24"/><Relationship Type="http://schemas.openxmlformats.org/officeDocument/2006/relationships/hyperlink" Target="#'Jul 2028'!A1" TargetMode="External" Id="rId25"/><Relationship Type="http://schemas.openxmlformats.org/officeDocument/2006/relationships/hyperlink" Target="#'Aug 2028'!A1" TargetMode="External" Id="rId26"/><Relationship Type="http://schemas.openxmlformats.org/officeDocument/2006/relationships/hyperlink" Target="#'Sep 2028'!A1" TargetMode="External" Id="rId27"/><Relationship Type="http://schemas.openxmlformats.org/officeDocument/2006/relationships/hyperlink" Target="#'Oct 2028'!A1" TargetMode="External" Id="rId28"/><Relationship Type="http://schemas.openxmlformats.org/officeDocument/2006/relationships/hyperlink" Target="#'Nov 2028'!A1" TargetMode="External" Id="rId29"/><Relationship Type="http://schemas.openxmlformats.org/officeDocument/2006/relationships/hyperlink" Target="#'Dec 2028'!A1" TargetMode="External" Id="rId30"/><Relationship Type="http://schemas.openxmlformats.org/officeDocument/2006/relationships/hyperlink" Target="#'Jan 2029'!A1" TargetMode="External" Id="rId31"/><Relationship Type="http://schemas.openxmlformats.org/officeDocument/2006/relationships/hyperlink" Target="#'Feb 2029'!A1" TargetMode="External" Id="rId32"/><Relationship Type="http://schemas.openxmlformats.org/officeDocument/2006/relationships/hyperlink" Target="#'Mar 2029'!A1" TargetMode="External" Id="rId33"/><Relationship Type="http://schemas.openxmlformats.org/officeDocument/2006/relationships/hyperlink" Target="#'Apr 2029'!A1" TargetMode="External" Id="rId34"/><Relationship Type="http://schemas.openxmlformats.org/officeDocument/2006/relationships/hyperlink" Target="#'May 2029'!A1" TargetMode="External" Id="rId35"/><Relationship Type="http://schemas.openxmlformats.org/officeDocument/2006/relationships/hyperlink" Target="#'Jun 2029'!A1" TargetMode="External" Id="rId36"/><Relationship Type="http://schemas.openxmlformats.org/officeDocument/2006/relationships/hyperlink" Target="#'Jul 2029'!A1" TargetMode="External" Id="rId37"/><Relationship Type="http://schemas.openxmlformats.org/officeDocument/2006/relationships/hyperlink" Target="#'Aug 2029'!A1" TargetMode="External" Id="rId38"/><Relationship Type="http://schemas.openxmlformats.org/officeDocument/2006/relationships/hyperlink" Target="#'Sep 2029'!A1" TargetMode="External" Id="rId39"/><Relationship Type="http://schemas.openxmlformats.org/officeDocument/2006/relationships/hyperlink" Target="#'Oct 2029'!A1" TargetMode="External" Id="rId40"/><Relationship Type="http://schemas.openxmlformats.org/officeDocument/2006/relationships/hyperlink" Target="#'Nov 2029'!A1" TargetMode="External" Id="rId41"/><Relationship Type="http://schemas.openxmlformats.org/officeDocument/2006/relationships/hyperlink" Target="#'Dec 2029'!A1" TargetMode="External" Id="rId42"/><Relationship Type="http://schemas.openxmlformats.org/officeDocument/2006/relationships/hyperlink" Target="#'Jan 2030'!A1" TargetMode="External" Id="rId43"/><Relationship Type="http://schemas.openxmlformats.org/officeDocument/2006/relationships/hyperlink" Target="#'Feb 2030'!A1" TargetMode="External" Id="rId44"/><Relationship Type="http://schemas.openxmlformats.org/officeDocument/2006/relationships/hyperlink" Target="#'Mar 2030'!A1" TargetMode="External" Id="rId45"/><Relationship Type="http://schemas.openxmlformats.org/officeDocument/2006/relationships/hyperlink" Target="#'Apr 2030'!A1" TargetMode="External" Id="rId46"/><Relationship Type="http://schemas.openxmlformats.org/officeDocument/2006/relationships/hyperlink" Target="#'May 2030'!A1" TargetMode="External" Id="rId47"/><Relationship Type="http://schemas.openxmlformats.org/officeDocument/2006/relationships/hyperlink" Target="#'Jun 2030'!A1" TargetMode="External" Id="rId48"/><Relationship Type="http://schemas.openxmlformats.org/officeDocument/2006/relationships/hyperlink" Target="#'Jul 2030'!A1" TargetMode="External" Id="rId49"/><Relationship Type="http://schemas.openxmlformats.org/officeDocument/2006/relationships/hyperlink" Target="#'Aug 2030'!A1" TargetMode="External" Id="rId50"/><Relationship Type="http://schemas.openxmlformats.org/officeDocument/2006/relationships/hyperlink" Target="#'Sep 2030'!A1" TargetMode="External" Id="rId51"/><Relationship Type="http://schemas.openxmlformats.org/officeDocument/2006/relationships/hyperlink" Target="#'Oct 2030'!A1" TargetMode="External" Id="rId52"/><Relationship Type="http://schemas.openxmlformats.org/officeDocument/2006/relationships/hyperlink" Target="#'Nov 2030'!A1" TargetMode="External" Id="rId53"/><Relationship Type="http://schemas.openxmlformats.org/officeDocument/2006/relationships/hyperlink" Target="#'Dec 2030'!A1" TargetMode="External" Id="rId54"/><Relationship Type="http://schemas.openxmlformats.org/officeDocument/2006/relationships/hyperlink" Target="#'Sep 2026'!A1" TargetMode="External" Id="rId55"/><Relationship Type="http://schemas.openxmlformats.org/officeDocument/2006/relationships/hyperlink" Target="#'Oct 2026'!A1" TargetMode="External" Id="rId56"/><Relationship Type="http://schemas.openxmlformats.org/officeDocument/2006/relationships/hyperlink" Target="#'Nov 2026'!A1" TargetMode="External" Id="rId57"/><Relationship Type="http://schemas.openxmlformats.org/officeDocument/2006/relationships/hyperlink" Target="#'Dec 2026'!A1" TargetMode="External" Id="rId58"/><Relationship Type="http://schemas.openxmlformats.org/officeDocument/2006/relationships/hyperlink" Target="#'Jan 2027'!A1" TargetMode="External" Id="rId59"/><Relationship Type="http://schemas.openxmlformats.org/officeDocument/2006/relationships/hyperlink" Target="#'Feb 2027'!A1" TargetMode="External" Id="rId60"/><Relationship Type="http://schemas.openxmlformats.org/officeDocument/2006/relationships/hyperlink" Target="#'Mar 2027'!A1" TargetMode="External" Id="rId61"/><Relationship Type="http://schemas.openxmlformats.org/officeDocument/2006/relationships/hyperlink" Target="#'Apr 2027'!A1" TargetMode="External" Id="rId62"/><Relationship Type="http://schemas.openxmlformats.org/officeDocument/2006/relationships/hyperlink" Target="#'May 2027'!A1" TargetMode="External" Id="rId63"/><Relationship Type="http://schemas.openxmlformats.org/officeDocument/2006/relationships/hyperlink" Target="#'Jun 2027'!A1" TargetMode="External" Id="rId64"/><Relationship Type="http://schemas.openxmlformats.org/officeDocument/2006/relationships/hyperlink" Target="#'Jul 2027'!A1" TargetMode="External" Id="rId65"/><Relationship Type="http://schemas.openxmlformats.org/officeDocument/2006/relationships/hyperlink" Target="#'Aug 2027'!A1" TargetMode="External" Id="rId66"/><Relationship Type="http://schemas.openxmlformats.org/officeDocument/2006/relationships/hyperlink" Target="#'Sep 2027'!A1" TargetMode="External" Id="rId67"/><Relationship Type="http://schemas.openxmlformats.org/officeDocument/2006/relationships/hyperlink" Target="#'Oct 2027'!A1" TargetMode="External" Id="rId68"/><Relationship Type="http://schemas.openxmlformats.org/officeDocument/2006/relationships/hyperlink" Target="#'Nov 2027'!A1" TargetMode="External" Id="rId69"/><Relationship Type="http://schemas.openxmlformats.org/officeDocument/2006/relationships/hyperlink" Target="#'Dec 2027'!A1" TargetMode="External" Id="rId70"/><Relationship Type="http://schemas.openxmlformats.org/officeDocument/2006/relationships/hyperlink" Target="#'Jan 2028'!A1" TargetMode="External" Id="rId71"/><Relationship Type="http://schemas.openxmlformats.org/officeDocument/2006/relationships/hyperlink" Target="#'Feb 2028'!A1" TargetMode="External" Id="rId72"/><Relationship Type="http://schemas.openxmlformats.org/officeDocument/2006/relationships/hyperlink" Target="#'Mar 2028'!A1" TargetMode="External" Id="rId73"/><Relationship Type="http://schemas.openxmlformats.org/officeDocument/2006/relationships/hyperlink" Target="#'Apr 2028'!A1" TargetMode="External" Id="rId74"/><Relationship Type="http://schemas.openxmlformats.org/officeDocument/2006/relationships/hyperlink" Target="#'May 2028'!A1" TargetMode="External" Id="rId75"/><Relationship Type="http://schemas.openxmlformats.org/officeDocument/2006/relationships/hyperlink" Target="#'Jun 2028'!A1" TargetMode="External" Id="rId76"/><Relationship Type="http://schemas.openxmlformats.org/officeDocument/2006/relationships/hyperlink" Target="#'Jul 2028'!A1" TargetMode="External" Id="rId77"/><Relationship Type="http://schemas.openxmlformats.org/officeDocument/2006/relationships/hyperlink" Target="#'Aug 2028'!A1" TargetMode="External" Id="rId78"/><Relationship Type="http://schemas.openxmlformats.org/officeDocument/2006/relationships/hyperlink" Target="#'Sep 2028'!A1" TargetMode="External" Id="rId79"/><Relationship Type="http://schemas.openxmlformats.org/officeDocument/2006/relationships/hyperlink" Target="#'Oct 2028'!A1" TargetMode="External" Id="rId80"/><Relationship Type="http://schemas.openxmlformats.org/officeDocument/2006/relationships/hyperlink" Target="#'Nov 2028'!A1" TargetMode="External" Id="rId81"/><Relationship Type="http://schemas.openxmlformats.org/officeDocument/2006/relationships/hyperlink" Target="#'Dec 2028'!A1" TargetMode="External" Id="rId82"/><Relationship Type="http://schemas.openxmlformats.org/officeDocument/2006/relationships/hyperlink" Target="#'Jan 2029'!A1" TargetMode="External" Id="rId83"/><Relationship Type="http://schemas.openxmlformats.org/officeDocument/2006/relationships/hyperlink" Target="#'Feb 2029'!A1" TargetMode="External" Id="rId84"/><Relationship Type="http://schemas.openxmlformats.org/officeDocument/2006/relationships/hyperlink" Target="#'Mar 2029'!A1" TargetMode="External" Id="rId85"/><Relationship Type="http://schemas.openxmlformats.org/officeDocument/2006/relationships/hyperlink" Target="#'Apr 2029'!A1" TargetMode="External" Id="rId86"/><Relationship Type="http://schemas.openxmlformats.org/officeDocument/2006/relationships/hyperlink" Target="#'May 2029'!A1" TargetMode="External" Id="rId87"/><Relationship Type="http://schemas.openxmlformats.org/officeDocument/2006/relationships/hyperlink" Target="#'Jun 2029'!A1" TargetMode="External" Id="rId88"/><Relationship Type="http://schemas.openxmlformats.org/officeDocument/2006/relationships/hyperlink" Target="#'Jul 2029'!A1" TargetMode="External" Id="rId89"/><Relationship Type="http://schemas.openxmlformats.org/officeDocument/2006/relationships/hyperlink" Target="#'Aug 2029'!A1" TargetMode="External" Id="rId90"/><Relationship Type="http://schemas.openxmlformats.org/officeDocument/2006/relationships/hyperlink" Target="#'Sep 2029'!A1" TargetMode="External" Id="rId91"/><Relationship Type="http://schemas.openxmlformats.org/officeDocument/2006/relationships/hyperlink" Target="#'Oct 2029'!A1" TargetMode="External" Id="rId92"/><Relationship Type="http://schemas.openxmlformats.org/officeDocument/2006/relationships/hyperlink" Target="#'Nov 2029'!A1" TargetMode="External" Id="rId93"/><Relationship Type="http://schemas.openxmlformats.org/officeDocument/2006/relationships/hyperlink" Target="#'Dec 2029'!A1" TargetMode="External" Id="rId94"/><Relationship Type="http://schemas.openxmlformats.org/officeDocument/2006/relationships/hyperlink" Target="#'Jan 2030'!A1" TargetMode="External" Id="rId95"/><Relationship Type="http://schemas.openxmlformats.org/officeDocument/2006/relationships/hyperlink" Target="#'Feb 2030'!A1" TargetMode="External" Id="rId96"/><Relationship Type="http://schemas.openxmlformats.org/officeDocument/2006/relationships/hyperlink" Target="#'Mar 2030'!A1" TargetMode="External" Id="rId97"/><Relationship Type="http://schemas.openxmlformats.org/officeDocument/2006/relationships/hyperlink" Target="#'Apr 2030'!A1" TargetMode="External" Id="rId98"/><Relationship Type="http://schemas.openxmlformats.org/officeDocument/2006/relationships/hyperlink" Target="#'May 2030'!A1" TargetMode="External" Id="rId99"/><Relationship Type="http://schemas.openxmlformats.org/officeDocument/2006/relationships/hyperlink" Target="#'Jun 2030'!A1" TargetMode="External" Id="rId100"/><Relationship Type="http://schemas.openxmlformats.org/officeDocument/2006/relationships/hyperlink" Target="#'Jul 2030'!A1" TargetMode="External" Id="rId101"/><Relationship Type="http://schemas.openxmlformats.org/officeDocument/2006/relationships/hyperlink" Target="#'Aug 2030'!A1" TargetMode="External" Id="rId102"/><Relationship Type="http://schemas.openxmlformats.org/officeDocument/2006/relationships/hyperlink" Target="#'Sep 2030'!A1" TargetMode="External" Id="rId103"/><Relationship Type="http://schemas.openxmlformats.org/officeDocument/2006/relationships/hyperlink" Target="#'Oct 2030'!A1" TargetMode="External" Id="rId104"/><Relationship Type="http://schemas.openxmlformats.org/officeDocument/2006/relationships/hyperlink" Target="#'Nov 2030'!A1" TargetMode="External" Id="rId105"/><Relationship Type="http://schemas.openxmlformats.org/officeDocument/2006/relationships/hyperlink" Target="#'Dec 2030'!A1" TargetMode="External" Id="rId106"/><Relationship Type="http://schemas.openxmlformats.org/officeDocument/2006/relationships/drawing" Target="/xl/drawings/drawing1.xml" Id="rId107"/></Relationships>
</file>

<file path=xl/worksheets/_rels/sheet2.xml.rels><Relationships xmlns="http://schemas.openxmlformats.org/package/2006/relationships"><Relationship Type="http://schemas.openxmlformats.org/officeDocument/2006/relationships/hyperlink" Target="#'Master Dashboard'!A1" TargetMode="External" Id="rId1"/><Relationship Type="http://schemas.openxmlformats.org/officeDocument/2006/relationships/hyperlink" Target="#'Habit Library'!A1" TargetMode="External" Id="rId2"/><Relationship Type="http://schemas.openxmlformats.org/officeDocument/2006/relationships/hyperlink" Target="#'Sep 2026'!A1" TargetMode="External" Id="rId3"/><Relationship Type="http://schemas.openxmlformats.org/officeDocument/2006/relationships/hyperlink" Target="#'Jan 2027'!A1" TargetMode="External" Id="rId4"/><Relationship Type="http://schemas.openxmlformats.org/officeDocument/2006/relationships/hyperlink" Target="#'Apr 2027'!A1" TargetMode="External" Id="rId5"/><Relationship Type="http://schemas.openxmlformats.org/officeDocument/2006/relationships/hyperlink" Target="#'Jul 2027'!A1" TargetMode="External" Id="rId6"/><Relationship Type="http://schemas.openxmlformats.org/officeDocument/2006/relationships/hyperlink" Target="#'Oct 2027'!A1" TargetMode="External" Id="rId7"/><Relationship Type="http://schemas.openxmlformats.org/officeDocument/2006/relationships/hyperlink" Target="#'Jan 2028'!A1" TargetMode="External" Id="rId8"/><Relationship Type="http://schemas.openxmlformats.org/officeDocument/2006/relationships/hyperlink" Target="#'Apr 2028'!A1" TargetMode="External" Id="rId9"/><Relationship Type="http://schemas.openxmlformats.org/officeDocument/2006/relationships/hyperlink" Target="#'Jul 2028'!A1" TargetMode="External" Id="rId10"/><Relationship Type="http://schemas.openxmlformats.org/officeDocument/2006/relationships/hyperlink" Target="#'Oct 2028'!A1" TargetMode="External" Id="rId11"/><Relationship Type="http://schemas.openxmlformats.org/officeDocument/2006/relationships/hyperlink" Target="#'Jan 2029'!A1" TargetMode="External" Id="rId12"/><Relationship Type="http://schemas.openxmlformats.org/officeDocument/2006/relationships/hyperlink" Target="#'Apr 2029'!A1" TargetMode="External" Id="rId13"/><Relationship Type="http://schemas.openxmlformats.org/officeDocument/2006/relationships/hyperlink" Target="#'Jul 2029'!A1" TargetMode="External" Id="rId14"/><Relationship Type="http://schemas.openxmlformats.org/officeDocument/2006/relationships/hyperlink" Target="#'Oct 2029'!A1" TargetMode="External" Id="rId15"/><Relationship Type="http://schemas.openxmlformats.org/officeDocument/2006/relationships/hyperlink" Target="#'Jan 2030'!A1" TargetMode="External" Id="rId16"/><Relationship Type="http://schemas.openxmlformats.org/officeDocument/2006/relationships/hyperlink" Target="#'Apr 2030'!A1" TargetMode="External" Id="rId17"/><Relationship Type="http://schemas.openxmlformats.org/officeDocument/2006/relationships/hyperlink" Target="#'Jul 2030'!A1" TargetMode="External" Id="rId18"/><Relationship Type="http://schemas.openxmlformats.org/officeDocument/2006/relationships/hyperlink" Target="#'Oct 2030'!A1" TargetMode="External" Id="rId19"/><Relationship Type="http://schemas.openxmlformats.org/officeDocument/2006/relationships/drawing" Target="/xl/drawings/drawing2.xml" Id="rId20"/></Relationships>
</file>

<file path=xl/worksheets/_rels/sheet3.xml.rels><Relationships xmlns="http://schemas.openxmlformats.org/package/2006/relationships"><Relationship Type="http://schemas.openxmlformats.org/officeDocument/2006/relationships/hyperlink" Target="#'Master Dashboard'!A1" TargetMode="External" Id="rId1"/><Relationship Type="http://schemas.openxmlformats.org/officeDocument/2006/relationships/hyperlink" Target="#'Quarterly Hub'!A1" TargetMode="External" Id="rId2"/></Relationships>
</file>

<file path=xl/worksheets/_rels/sheet4.xml.rels><Relationships xmlns="http://schemas.openxmlformats.org/package/2006/relationships"><Relationship Type="http://schemas.openxmlformats.org/officeDocument/2006/relationships/hyperlink" Target="#'Master Dashboard'!A1" TargetMode="External" Id="rId1"/><Relationship Type="http://schemas.openxmlformats.org/officeDocument/2006/relationships/hyperlink" Target="#'Quarterly Hub'!A1" TargetMode="External" Id="rId2"/><Relationship Type="http://schemas.openxmlformats.org/officeDocument/2006/relationships/hyperlink" Target="#'Habit Library'!A1" TargetMode="External" Id="rId3"/><Relationship Type="http://schemas.openxmlformats.org/officeDocument/2006/relationships/hyperlink" Target="#'Sep 2026'!A1" TargetMode="External" Id="rId4"/><Relationship Type="http://schemas.openxmlformats.org/officeDocument/2006/relationships/hyperlink" Target="#'Jan 2027'!A1" TargetMode="External" Id="rId5"/><Relationship Type="http://schemas.openxmlformats.org/officeDocument/2006/relationships/hyperlink" Target="#'Jan 2028'!A1" TargetMode="External" Id="rId6"/><Relationship Type="http://schemas.openxmlformats.org/officeDocument/2006/relationships/hyperlink" Target="#'Jan 2029'!A1" TargetMode="External" Id="rId7"/><Relationship Type="http://schemas.openxmlformats.org/officeDocument/2006/relationships/hyperlink" Target="#'Jan 2030'!A1" TargetMode="External" Id="rId8"/><Relationship Type="http://schemas.openxmlformats.org/officeDocument/2006/relationships/hyperlink" Target="#'Oct 2026'!A1" TargetMode="External" Id="rId9"/><Relationship Type="http://schemas.openxmlformats.org/officeDocument/2006/relationships/drawing" Target="/xl/drawings/drawing3.xml" Id="rId10"/></Relationships>
</file>

<file path=xl/worksheets/_rels/sheet5.xml.rels><Relationships xmlns="http://schemas.openxmlformats.org/package/2006/relationships"><Relationship Type="http://schemas.openxmlformats.org/officeDocument/2006/relationships/hyperlink" Target="#'Master Dashboard'!A1" TargetMode="External" Id="rId1"/><Relationship Type="http://schemas.openxmlformats.org/officeDocument/2006/relationships/hyperlink" Target="#'Quarterly Hub'!A1" TargetMode="External" Id="rId2"/><Relationship Type="http://schemas.openxmlformats.org/officeDocument/2006/relationships/hyperlink" Target="#'Habit Library'!A1" TargetMode="External" Id="rId3"/><Relationship Type="http://schemas.openxmlformats.org/officeDocument/2006/relationships/hyperlink" Target="#'Sep 2026'!A1" TargetMode="External" Id="rId4"/><Relationship Type="http://schemas.openxmlformats.org/officeDocument/2006/relationships/hyperlink" Target="#'Jan 2027'!A1" TargetMode="External" Id="rId5"/><Relationship Type="http://schemas.openxmlformats.org/officeDocument/2006/relationships/hyperlink" Target="#'Jan 2028'!A1" TargetMode="External" Id="rId6"/><Relationship Type="http://schemas.openxmlformats.org/officeDocument/2006/relationships/hyperlink" Target="#'Jan 2029'!A1" TargetMode="External" Id="rId7"/><Relationship Type="http://schemas.openxmlformats.org/officeDocument/2006/relationships/hyperlink" Target="#'Jan 2030'!A1" TargetMode="External" Id="rId8"/><Relationship Type="http://schemas.openxmlformats.org/officeDocument/2006/relationships/hyperlink" Target="#'Sep 2026'!A1" TargetMode="External" Id="rId9"/><Relationship Type="http://schemas.openxmlformats.org/officeDocument/2006/relationships/hyperlink" Target="#'Nov 2026'!A1" TargetMode="External" Id="rId10"/><Relationship Type="http://schemas.openxmlformats.org/officeDocument/2006/relationships/drawing" Target="/xl/drawings/drawing4.xml" Id="rId11"/></Relationships>
</file>

<file path=xl/worksheets/_rels/sheet6.xml.rels><Relationships xmlns="http://schemas.openxmlformats.org/package/2006/relationships"><Relationship Type="http://schemas.openxmlformats.org/officeDocument/2006/relationships/hyperlink" Target="#'Master Dashboard'!A1" TargetMode="External" Id="rId1"/><Relationship Type="http://schemas.openxmlformats.org/officeDocument/2006/relationships/hyperlink" Target="#'Quarterly Hub'!A1" TargetMode="External" Id="rId2"/><Relationship Type="http://schemas.openxmlformats.org/officeDocument/2006/relationships/hyperlink" Target="#'Habit Library'!A1" TargetMode="External" Id="rId3"/><Relationship Type="http://schemas.openxmlformats.org/officeDocument/2006/relationships/hyperlink" Target="#'Sep 2026'!A1" TargetMode="External" Id="rId4"/><Relationship Type="http://schemas.openxmlformats.org/officeDocument/2006/relationships/hyperlink" Target="#'Jan 2027'!A1" TargetMode="External" Id="rId5"/><Relationship Type="http://schemas.openxmlformats.org/officeDocument/2006/relationships/hyperlink" Target="#'Jan 2028'!A1" TargetMode="External" Id="rId6"/><Relationship Type="http://schemas.openxmlformats.org/officeDocument/2006/relationships/hyperlink" Target="#'Jan 2029'!A1" TargetMode="External" Id="rId7"/><Relationship Type="http://schemas.openxmlformats.org/officeDocument/2006/relationships/hyperlink" Target="#'Jan 2030'!A1" TargetMode="External" Id="rId8"/><Relationship Type="http://schemas.openxmlformats.org/officeDocument/2006/relationships/hyperlink" Target="#'Oct 2026'!A1" TargetMode="External" Id="rId9"/><Relationship Type="http://schemas.openxmlformats.org/officeDocument/2006/relationships/hyperlink" Target="#'Dec 2026'!A1" TargetMode="External" Id="rId10"/><Relationship Type="http://schemas.openxmlformats.org/officeDocument/2006/relationships/drawing" Target="/xl/drawings/drawing5.xml" Id="rId11"/></Relationships>
</file>

<file path=xl/worksheets/_rels/sheet7.xml.rels><Relationships xmlns="http://schemas.openxmlformats.org/package/2006/relationships"><Relationship Type="http://schemas.openxmlformats.org/officeDocument/2006/relationships/hyperlink" Target="#'Master Dashboard'!A1" TargetMode="External" Id="rId1"/><Relationship Type="http://schemas.openxmlformats.org/officeDocument/2006/relationships/hyperlink" Target="#'Quarterly Hub'!A1" TargetMode="External" Id="rId2"/><Relationship Type="http://schemas.openxmlformats.org/officeDocument/2006/relationships/hyperlink" Target="#'Habit Library'!A1" TargetMode="External" Id="rId3"/><Relationship Type="http://schemas.openxmlformats.org/officeDocument/2006/relationships/hyperlink" Target="#'Sep 2026'!A1" TargetMode="External" Id="rId4"/><Relationship Type="http://schemas.openxmlformats.org/officeDocument/2006/relationships/hyperlink" Target="#'Jan 2027'!A1" TargetMode="External" Id="rId5"/><Relationship Type="http://schemas.openxmlformats.org/officeDocument/2006/relationships/hyperlink" Target="#'Jan 2028'!A1" TargetMode="External" Id="rId6"/><Relationship Type="http://schemas.openxmlformats.org/officeDocument/2006/relationships/hyperlink" Target="#'Jan 2029'!A1" TargetMode="External" Id="rId7"/><Relationship Type="http://schemas.openxmlformats.org/officeDocument/2006/relationships/hyperlink" Target="#'Jan 2030'!A1" TargetMode="External" Id="rId8"/><Relationship Type="http://schemas.openxmlformats.org/officeDocument/2006/relationships/hyperlink" Target="#'Nov 2026'!A1" TargetMode="External" Id="rId9"/><Relationship Type="http://schemas.openxmlformats.org/officeDocument/2006/relationships/hyperlink" Target="#'Jan 2027'!A1" TargetMode="External" Id="rId10"/><Relationship Type="http://schemas.openxmlformats.org/officeDocument/2006/relationships/drawing" Target="/xl/drawings/drawing6.xml" Id="rId11"/></Relationships>
</file>

<file path=xl/worksheets/_rels/sheet8.xml.rels><Relationships xmlns="http://schemas.openxmlformats.org/package/2006/relationships"><Relationship Type="http://schemas.openxmlformats.org/officeDocument/2006/relationships/hyperlink" Target="#'Master Dashboard'!A1" TargetMode="External" Id="rId1"/><Relationship Type="http://schemas.openxmlformats.org/officeDocument/2006/relationships/hyperlink" Target="#'Quarterly Hub'!A1" TargetMode="External" Id="rId2"/><Relationship Type="http://schemas.openxmlformats.org/officeDocument/2006/relationships/hyperlink" Target="#'Habit Library'!A1" TargetMode="External" Id="rId3"/><Relationship Type="http://schemas.openxmlformats.org/officeDocument/2006/relationships/hyperlink" Target="#'Sep 2026'!A1" TargetMode="External" Id="rId4"/><Relationship Type="http://schemas.openxmlformats.org/officeDocument/2006/relationships/hyperlink" Target="#'Jan 2027'!A1" TargetMode="External" Id="rId5"/><Relationship Type="http://schemas.openxmlformats.org/officeDocument/2006/relationships/hyperlink" Target="#'Jan 2028'!A1" TargetMode="External" Id="rId6"/><Relationship Type="http://schemas.openxmlformats.org/officeDocument/2006/relationships/hyperlink" Target="#'Jan 2029'!A1" TargetMode="External" Id="rId7"/><Relationship Type="http://schemas.openxmlformats.org/officeDocument/2006/relationships/hyperlink" Target="#'Jan 2030'!A1" TargetMode="External" Id="rId8"/><Relationship Type="http://schemas.openxmlformats.org/officeDocument/2006/relationships/hyperlink" Target="#'Dec 2026'!A1" TargetMode="External" Id="rId9"/><Relationship Type="http://schemas.openxmlformats.org/officeDocument/2006/relationships/hyperlink" Target="#'Feb 2027'!A1" TargetMode="External" Id="rId10"/><Relationship Type="http://schemas.openxmlformats.org/officeDocument/2006/relationships/drawing" Target="/xl/drawings/drawing7.xml" Id="rId11"/></Relationships>
</file>

<file path=xl/worksheets/_rels/sheet9.xml.rels><Relationships xmlns="http://schemas.openxmlformats.org/package/2006/relationships"><Relationship Type="http://schemas.openxmlformats.org/officeDocument/2006/relationships/hyperlink" Target="#'Master Dashboard'!A1" TargetMode="External" Id="rId1"/><Relationship Type="http://schemas.openxmlformats.org/officeDocument/2006/relationships/hyperlink" Target="#'Quarterly Hub'!A1" TargetMode="External" Id="rId2"/><Relationship Type="http://schemas.openxmlformats.org/officeDocument/2006/relationships/hyperlink" Target="#'Habit Library'!A1" TargetMode="External" Id="rId3"/><Relationship Type="http://schemas.openxmlformats.org/officeDocument/2006/relationships/hyperlink" Target="#'Sep 2026'!A1" TargetMode="External" Id="rId4"/><Relationship Type="http://schemas.openxmlformats.org/officeDocument/2006/relationships/hyperlink" Target="#'Jan 2027'!A1" TargetMode="External" Id="rId5"/><Relationship Type="http://schemas.openxmlformats.org/officeDocument/2006/relationships/hyperlink" Target="#'Jan 2028'!A1" TargetMode="External" Id="rId6"/><Relationship Type="http://schemas.openxmlformats.org/officeDocument/2006/relationships/hyperlink" Target="#'Jan 2029'!A1" TargetMode="External" Id="rId7"/><Relationship Type="http://schemas.openxmlformats.org/officeDocument/2006/relationships/hyperlink" Target="#'Jan 2030'!A1" TargetMode="External" Id="rId8"/><Relationship Type="http://schemas.openxmlformats.org/officeDocument/2006/relationships/hyperlink" Target="#'Jan 2027'!A1" TargetMode="External" Id="rId9"/><Relationship Type="http://schemas.openxmlformats.org/officeDocument/2006/relationships/hyperlink" Target="#'Mar 2027'!A1" TargetMode="External" Id="rId10"/><Relationship Type="http://schemas.openxmlformats.org/officeDocument/2006/relationships/drawing" Target="/xl/drawings/drawing8.xml" Id="rId11"/></Relationships>
</file>

<file path=xl/worksheets/_rels/sheet10.xml.rels><Relationships xmlns="http://schemas.openxmlformats.org/package/2006/relationships"><Relationship Type="http://schemas.openxmlformats.org/officeDocument/2006/relationships/hyperlink" Target="#'Master Dashboard'!A1" TargetMode="External" Id="rId1"/><Relationship Type="http://schemas.openxmlformats.org/officeDocument/2006/relationships/hyperlink" Target="#'Quarterly Hub'!A1" TargetMode="External" Id="rId2"/><Relationship Type="http://schemas.openxmlformats.org/officeDocument/2006/relationships/hyperlink" Target="#'Habit Library'!A1" TargetMode="External" Id="rId3"/><Relationship Type="http://schemas.openxmlformats.org/officeDocument/2006/relationships/hyperlink" Target="#'Sep 2026'!A1" TargetMode="External" Id="rId4"/><Relationship Type="http://schemas.openxmlformats.org/officeDocument/2006/relationships/hyperlink" Target="#'Jan 2027'!A1" TargetMode="External" Id="rId5"/><Relationship Type="http://schemas.openxmlformats.org/officeDocument/2006/relationships/hyperlink" Target="#'Jan 2028'!A1" TargetMode="External" Id="rId6"/><Relationship Type="http://schemas.openxmlformats.org/officeDocument/2006/relationships/hyperlink" Target="#'Jan 2029'!A1" TargetMode="External" Id="rId7"/><Relationship Type="http://schemas.openxmlformats.org/officeDocument/2006/relationships/hyperlink" Target="#'Jan 2030'!A1" TargetMode="External" Id="rId8"/><Relationship Type="http://schemas.openxmlformats.org/officeDocument/2006/relationships/hyperlink" Target="#'Feb 2027'!A1" TargetMode="External" Id="rId9"/><Relationship Type="http://schemas.openxmlformats.org/officeDocument/2006/relationships/hyperlink" Target="#'Apr 2027'!A1" TargetMode="External" Id="rId10"/><Relationship Type="http://schemas.openxmlformats.org/officeDocument/2006/relationships/drawing" Target="/xl/drawings/drawing9.xml" Id="rId11"/></Relationships>
</file>

<file path=xl/worksheets/_rels/sheet11.xml.rels><Relationships xmlns="http://schemas.openxmlformats.org/package/2006/relationships"><Relationship Type="http://schemas.openxmlformats.org/officeDocument/2006/relationships/hyperlink" Target="#'Master Dashboard'!A1" TargetMode="External" Id="rId1"/><Relationship Type="http://schemas.openxmlformats.org/officeDocument/2006/relationships/hyperlink" Target="#'Quarterly Hub'!A1" TargetMode="External" Id="rId2"/><Relationship Type="http://schemas.openxmlformats.org/officeDocument/2006/relationships/hyperlink" Target="#'Habit Library'!A1" TargetMode="External" Id="rId3"/><Relationship Type="http://schemas.openxmlformats.org/officeDocument/2006/relationships/hyperlink" Target="#'Sep 2026'!A1" TargetMode="External" Id="rId4"/><Relationship Type="http://schemas.openxmlformats.org/officeDocument/2006/relationships/hyperlink" Target="#'Jan 2027'!A1" TargetMode="External" Id="rId5"/><Relationship Type="http://schemas.openxmlformats.org/officeDocument/2006/relationships/hyperlink" Target="#'Jan 2028'!A1" TargetMode="External" Id="rId6"/><Relationship Type="http://schemas.openxmlformats.org/officeDocument/2006/relationships/hyperlink" Target="#'Jan 2029'!A1" TargetMode="External" Id="rId7"/><Relationship Type="http://schemas.openxmlformats.org/officeDocument/2006/relationships/hyperlink" Target="#'Jan 2030'!A1" TargetMode="External" Id="rId8"/><Relationship Type="http://schemas.openxmlformats.org/officeDocument/2006/relationships/hyperlink" Target="#'Mar 2027'!A1" TargetMode="External" Id="rId9"/><Relationship Type="http://schemas.openxmlformats.org/officeDocument/2006/relationships/hyperlink" Target="#'May 2027'!A1" TargetMode="External" Id="rId10"/><Relationship Type="http://schemas.openxmlformats.org/officeDocument/2006/relationships/drawing" Target="/xl/drawings/drawing10.xml" Id="rId11"/></Relationships>
</file>

<file path=xl/worksheets/_rels/sheet12.xml.rels><Relationships xmlns="http://schemas.openxmlformats.org/package/2006/relationships"><Relationship Type="http://schemas.openxmlformats.org/officeDocument/2006/relationships/hyperlink" Target="#'Master Dashboard'!A1" TargetMode="External" Id="rId1"/><Relationship Type="http://schemas.openxmlformats.org/officeDocument/2006/relationships/hyperlink" Target="#'Quarterly Hub'!A1" TargetMode="External" Id="rId2"/><Relationship Type="http://schemas.openxmlformats.org/officeDocument/2006/relationships/hyperlink" Target="#'Habit Library'!A1" TargetMode="External" Id="rId3"/><Relationship Type="http://schemas.openxmlformats.org/officeDocument/2006/relationships/hyperlink" Target="#'Sep 2026'!A1" TargetMode="External" Id="rId4"/><Relationship Type="http://schemas.openxmlformats.org/officeDocument/2006/relationships/hyperlink" Target="#'Jan 2027'!A1" TargetMode="External" Id="rId5"/><Relationship Type="http://schemas.openxmlformats.org/officeDocument/2006/relationships/hyperlink" Target="#'Jan 2028'!A1" TargetMode="External" Id="rId6"/><Relationship Type="http://schemas.openxmlformats.org/officeDocument/2006/relationships/hyperlink" Target="#'Jan 2029'!A1" TargetMode="External" Id="rId7"/><Relationship Type="http://schemas.openxmlformats.org/officeDocument/2006/relationships/hyperlink" Target="#'Jan 2030'!A1" TargetMode="External" Id="rId8"/><Relationship Type="http://schemas.openxmlformats.org/officeDocument/2006/relationships/hyperlink" Target="#'Apr 2027'!A1" TargetMode="External" Id="rId9"/><Relationship Type="http://schemas.openxmlformats.org/officeDocument/2006/relationships/hyperlink" Target="#'Jun 2027'!A1" TargetMode="External" Id="rId10"/><Relationship Type="http://schemas.openxmlformats.org/officeDocument/2006/relationships/drawing" Target="/xl/drawings/drawing11.xml" Id="rId11"/></Relationships>
</file>

<file path=xl/worksheets/_rels/sheet13.xml.rels><Relationships xmlns="http://schemas.openxmlformats.org/package/2006/relationships"><Relationship Type="http://schemas.openxmlformats.org/officeDocument/2006/relationships/hyperlink" Target="#'Master Dashboard'!A1" TargetMode="External" Id="rId1"/><Relationship Type="http://schemas.openxmlformats.org/officeDocument/2006/relationships/hyperlink" Target="#'Quarterly Hub'!A1" TargetMode="External" Id="rId2"/><Relationship Type="http://schemas.openxmlformats.org/officeDocument/2006/relationships/hyperlink" Target="#'Habit Library'!A1" TargetMode="External" Id="rId3"/><Relationship Type="http://schemas.openxmlformats.org/officeDocument/2006/relationships/hyperlink" Target="#'Sep 2026'!A1" TargetMode="External" Id="rId4"/><Relationship Type="http://schemas.openxmlformats.org/officeDocument/2006/relationships/hyperlink" Target="#'Jan 2027'!A1" TargetMode="External" Id="rId5"/><Relationship Type="http://schemas.openxmlformats.org/officeDocument/2006/relationships/hyperlink" Target="#'Jan 2028'!A1" TargetMode="External" Id="rId6"/><Relationship Type="http://schemas.openxmlformats.org/officeDocument/2006/relationships/hyperlink" Target="#'Jan 2029'!A1" TargetMode="External" Id="rId7"/><Relationship Type="http://schemas.openxmlformats.org/officeDocument/2006/relationships/hyperlink" Target="#'Jan 2030'!A1" TargetMode="External" Id="rId8"/><Relationship Type="http://schemas.openxmlformats.org/officeDocument/2006/relationships/hyperlink" Target="#'May 2027'!A1" TargetMode="External" Id="rId9"/><Relationship Type="http://schemas.openxmlformats.org/officeDocument/2006/relationships/hyperlink" Target="#'Jul 2027'!A1" TargetMode="External" Id="rId10"/><Relationship Type="http://schemas.openxmlformats.org/officeDocument/2006/relationships/drawing" Target="/xl/drawings/drawing12.xml" Id="rId11"/></Relationships>
</file>

<file path=xl/worksheets/_rels/sheet14.xml.rels><Relationships xmlns="http://schemas.openxmlformats.org/package/2006/relationships"><Relationship Type="http://schemas.openxmlformats.org/officeDocument/2006/relationships/hyperlink" Target="#'Master Dashboard'!A1" TargetMode="External" Id="rId1"/><Relationship Type="http://schemas.openxmlformats.org/officeDocument/2006/relationships/hyperlink" Target="#'Quarterly Hub'!A1" TargetMode="External" Id="rId2"/><Relationship Type="http://schemas.openxmlformats.org/officeDocument/2006/relationships/hyperlink" Target="#'Habit Library'!A1" TargetMode="External" Id="rId3"/><Relationship Type="http://schemas.openxmlformats.org/officeDocument/2006/relationships/hyperlink" Target="#'Sep 2026'!A1" TargetMode="External" Id="rId4"/><Relationship Type="http://schemas.openxmlformats.org/officeDocument/2006/relationships/hyperlink" Target="#'Jan 2027'!A1" TargetMode="External" Id="rId5"/><Relationship Type="http://schemas.openxmlformats.org/officeDocument/2006/relationships/hyperlink" Target="#'Jan 2028'!A1" TargetMode="External" Id="rId6"/><Relationship Type="http://schemas.openxmlformats.org/officeDocument/2006/relationships/hyperlink" Target="#'Jan 2029'!A1" TargetMode="External" Id="rId7"/><Relationship Type="http://schemas.openxmlformats.org/officeDocument/2006/relationships/hyperlink" Target="#'Jan 2030'!A1" TargetMode="External" Id="rId8"/><Relationship Type="http://schemas.openxmlformats.org/officeDocument/2006/relationships/hyperlink" Target="#'Jun 2027'!A1" TargetMode="External" Id="rId9"/><Relationship Type="http://schemas.openxmlformats.org/officeDocument/2006/relationships/hyperlink" Target="#'Aug 2027'!A1" TargetMode="External" Id="rId10"/><Relationship Type="http://schemas.openxmlformats.org/officeDocument/2006/relationships/drawing" Target="/xl/drawings/drawing13.xml" Id="rId11"/></Relationships>
</file>

<file path=xl/worksheets/_rels/sheet15.xml.rels><Relationships xmlns="http://schemas.openxmlformats.org/package/2006/relationships"><Relationship Type="http://schemas.openxmlformats.org/officeDocument/2006/relationships/hyperlink" Target="#'Master Dashboard'!A1" TargetMode="External" Id="rId1"/><Relationship Type="http://schemas.openxmlformats.org/officeDocument/2006/relationships/hyperlink" Target="#'Quarterly Hub'!A1" TargetMode="External" Id="rId2"/><Relationship Type="http://schemas.openxmlformats.org/officeDocument/2006/relationships/hyperlink" Target="#'Habit Library'!A1" TargetMode="External" Id="rId3"/><Relationship Type="http://schemas.openxmlformats.org/officeDocument/2006/relationships/hyperlink" Target="#'Sep 2026'!A1" TargetMode="External" Id="rId4"/><Relationship Type="http://schemas.openxmlformats.org/officeDocument/2006/relationships/hyperlink" Target="#'Jan 2027'!A1" TargetMode="External" Id="rId5"/><Relationship Type="http://schemas.openxmlformats.org/officeDocument/2006/relationships/hyperlink" Target="#'Jan 2028'!A1" TargetMode="External" Id="rId6"/><Relationship Type="http://schemas.openxmlformats.org/officeDocument/2006/relationships/hyperlink" Target="#'Jan 2029'!A1" TargetMode="External" Id="rId7"/><Relationship Type="http://schemas.openxmlformats.org/officeDocument/2006/relationships/hyperlink" Target="#'Jan 2030'!A1" TargetMode="External" Id="rId8"/><Relationship Type="http://schemas.openxmlformats.org/officeDocument/2006/relationships/hyperlink" Target="#'Jul 2027'!A1" TargetMode="External" Id="rId9"/><Relationship Type="http://schemas.openxmlformats.org/officeDocument/2006/relationships/hyperlink" Target="#'Sep 2027'!A1" TargetMode="External" Id="rId10"/><Relationship Type="http://schemas.openxmlformats.org/officeDocument/2006/relationships/drawing" Target="/xl/drawings/drawing14.xml" Id="rId11"/></Relationships>
</file>

<file path=xl/worksheets/_rels/sheet16.xml.rels><Relationships xmlns="http://schemas.openxmlformats.org/package/2006/relationships"><Relationship Type="http://schemas.openxmlformats.org/officeDocument/2006/relationships/hyperlink" Target="#'Master Dashboard'!A1" TargetMode="External" Id="rId1"/><Relationship Type="http://schemas.openxmlformats.org/officeDocument/2006/relationships/hyperlink" Target="#'Quarterly Hub'!A1" TargetMode="External" Id="rId2"/><Relationship Type="http://schemas.openxmlformats.org/officeDocument/2006/relationships/hyperlink" Target="#'Habit Library'!A1" TargetMode="External" Id="rId3"/><Relationship Type="http://schemas.openxmlformats.org/officeDocument/2006/relationships/hyperlink" Target="#'Sep 2026'!A1" TargetMode="External" Id="rId4"/><Relationship Type="http://schemas.openxmlformats.org/officeDocument/2006/relationships/hyperlink" Target="#'Jan 2027'!A1" TargetMode="External" Id="rId5"/><Relationship Type="http://schemas.openxmlformats.org/officeDocument/2006/relationships/hyperlink" Target="#'Jan 2028'!A1" TargetMode="External" Id="rId6"/><Relationship Type="http://schemas.openxmlformats.org/officeDocument/2006/relationships/hyperlink" Target="#'Jan 2029'!A1" TargetMode="External" Id="rId7"/><Relationship Type="http://schemas.openxmlformats.org/officeDocument/2006/relationships/hyperlink" Target="#'Jan 2030'!A1" TargetMode="External" Id="rId8"/><Relationship Type="http://schemas.openxmlformats.org/officeDocument/2006/relationships/hyperlink" Target="#'Aug 2027'!A1" TargetMode="External" Id="rId9"/><Relationship Type="http://schemas.openxmlformats.org/officeDocument/2006/relationships/hyperlink" Target="#'Oct 2027'!A1" TargetMode="External" Id="rId10"/><Relationship Type="http://schemas.openxmlformats.org/officeDocument/2006/relationships/drawing" Target="/xl/drawings/drawing15.xml" Id="rId11"/></Relationships>
</file>

<file path=xl/worksheets/_rels/sheet17.xml.rels><Relationships xmlns="http://schemas.openxmlformats.org/package/2006/relationships"><Relationship Type="http://schemas.openxmlformats.org/officeDocument/2006/relationships/hyperlink" Target="#'Master Dashboard'!A1" TargetMode="External" Id="rId1"/><Relationship Type="http://schemas.openxmlformats.org/officeDocument/2006/relationships/hyperlink" Target="#'Quarterly Hub'!A1" TargetMode="External" Id="rId2"/><Relationship Type="http://schemas.openxmlformats.org/officeDocument/2006/relationships/hyperlink" Target="#'Habit Library'!A1" TargetMode="External" Id="rId3"/><Relationship Type="http://schemas.openxmlformats.org/officeDocument/2006/relationships/hyperlink" Target="#'Sep 2026'!A1" TargetMode="External" Id="rId4"/><Relationship Type="http://schemas.openxmlformats.org/officeDocument/2006/relationships/hyperlink" Target="#'Jan 2027'!A1" TargetMode="External" Id="rId5"/><Relationship Type="http://schemas.openxmlformats.org/officeDocument/2006/relationships/hyperlink" Target="#'Jan 2028'!A1" TargetMode="External" Id="rId6"/><Relationship Type="http://schemas.openxmlformats.org/officeDocument/2006/relationships/hyperlink" Target="#'Jan 2029'!A1" TargetMode="External" Id="rId7"/><Relationship Type="http://schemas.openxmlformats.org/officeDocument/2006/relationships/hyperlink" Target="#'Jan 2030'!A1" TargetMode="External" Id="rId8"/><Relationship Type="http://schemas.openxmlformats.org/officeDocument/2006/relationships/hyperlink" Target="#'Sep 2027'!A1" TargetMode="External" Id="rId9"/><Relationship Type="http://schemas.openxmlformats.org/officeDocument/2006/relationships/hyperlink" Target="#'Nov 2027'!A1" TargetMode="External" Id="rId10"/><Relationship Type="http://schemas.openxmlformats.org/officeDocument/2006/relationships/drawing" Target="/xl/drawings/drawing16.xml" Id="rId11"/></Relationships>
</file>

<file path=xl/worksheets/_rels/sheet18.xml.rels><Relationships xmlns="http://schemas.openxmlformats.org/package/2006/relationships"><Relationship Type="http://schemas.openxmlformats.org/officeDocument/2006/relationships/hyperlink" Target="#'Master Dashboard'!A1" TargetMode="External" Id="rId1"/><Relationship Type="http://schemas.openxmlformats.org/officeDocument/2006/relationships/hyperlink" Target="#'Quarterly Hub'!A1" TargetMode="External" Id="rId2"/><Relationship Type="http://schemas.openxmlformats.org/officeDocument/2006/relationships/hyperlink" Target="#'Habit Library'!A1" TargetMode="External" Id="rId3"/><Relationship Type="http://schemas.openxmlformats.org/officeDocument/2006/relationships/hyperlink" Target="#'Sep 2026'!A1" TargetMode="External" Id="rId4"/><Relationship Type="http://schemas.openxmlformats.org/officeDocument/2006/relationships/hyperlink" Target="#'Jan 2027'!A1" TargetMode="External" Id="rId5"/><Relationship Type="http://schemas.openxmlformats.org/officeDocument/2006/relationships/hyperlink" Target="#'Jan 2028'!A1" TargetMode="External" Id="rId6"/><Relationship Type="http://schemas.openxmlformats.org/officeDocument/2006/relationships/hyperlink" Target="#'Jan 2029'!A1" TargetMode="External" Id="rId7"/><Relationship Type="http://schemas.openxmlformats.org/officeDocument/2006/relationships/hyperlink" Target="#'Jan 2030'!A1" TargetMode="External" Id="rId8"/><Relationship Type="http://schemas.openxmlformats.org/officeDocument/2006/relationships/hyperlink" Target="#'Oct 2027'!A1" TargetMode="External" Id="rId9"/><Relationship Type="http://schemas.openxmlformats.org/officeDocument/2006/relationships/hyperlink" Target="#'Dec 2027'!A1" TargetMode="External" Id="rId10"/><Relationship Type="http://schemas.openxmlformats.org/officeDocument/2006/relationships/drawing" Target="/xl/drawings/drawing17.xml" Id="rId11"/></Relationships>
</file>

<file path=xl/worksheets/_rels/sheet19.xml.rels><Relationships xmlns="http://schemas.openxmlformats.org/package/2006/relationships"><Relationship Type="http://schemas.openxmlformats.org/officeDocument/2006/relationships/hyperlink" Target="#'Master Dashboard'!A1" TargetMode="External" Id="rId1"/><Relationship Type="http://schemas.openxmlformats.org/officeDocument/2006/relationships/hyperlink" Target="#'Quarterly Hub'!A1" TargetMode="External" Id="rId2"/><Relationship Type="http://schemas.openxmlformats.org/officeDocument/2006/relationships/hyperlink" Target="#'Habit Library'!A1" TargetMode="External" Id="rId3"/><Relationship Type="http://schemas.openxmlformats.org/officeDocument/2006/relationships/hyperlink" Target="#'Sep 2026'!A1" TargetMode="External" Id="rId4"/><Relationship Type="http://schemas.openxmlformats.org/officeDocument/2006/relationships/hyperlink" Target="#'Jan 2027'!A1" TargetMode="External" Id="rId5"/><Relationship Type="http://schemas.openxmlformats.org/officeDocument/2006/relationships/hyperlink" Target="#'Jan 2028'!A1" TargetMode="External" Id="rId6"/><Relationship Type="http://schemas.openxmlformats.org/officeDocument/2006/relationships/hyperlink" Target="#'Jan 2029'!A1" TargetMode="External" Id="rId7"/><Relationship Type="http://schemas.openxmlformats.org/officeDocument/2006/relationships/hyperlink" Target="#'Jan 2030'!A1" TargetMode="External" Id="rId8"/><Relationship Type="http://schemas.openxmlformats.org/officeDocument/2006/relationships/hyperlink" Target="#'Nov 2027'!A1" TargetMode="External" Id="rId9"/><Relationship Type="http://schemas.openxmlformats.org/officeDocument/2006/relationships/hyperlink" Target="#'Jan 2028'!A1" TargetMode="External" Id="rId10"/><Relationship Type="http://schemas.openxmlformats.org/officeDocument/2006/relationships/drawing" Target="/xl/drawings/drawing18.xml" Id="rId11"/></Relationships>
</file>

<file path=xl/worksheets/_rels/sheet20.xml.rels><Relationships xmlns="http://schemas.openxmlformats.org/package/2006/relationships"><Relationship Type="http://schemas.openxmlformats.org/officeDocument/2006/relationships/hyperlink" Target="#'Master Dashboard'!A1" TargetMode="External" Id="rId1"/><Relationship Type="http://schemas.openxmlformats.org/officeDocument/2006/relationships/hyperlink" Target="#'Quarterly Hub'!A1" TargetMode="External" Id="rId2"/><Relationship Type="http://schemas.openxmlformats.org/officeDocument/2006/relationships/hyperlink" Target="#'Habit Library'!A1" TargetMode="External" Id="rId3"/><Relationship Type="http://schemas.openxmlformats.org/officeDocument/2006/relationships/hyperlink" Target="#'Sep 2026'!A1" TargetMode="External" Id="rId4"/><Relationship Type="http://schemas.openxmlformats.org/officeDocument/2006/relationships/hyperlink" Target="#'Jan 2027'!A1" TargetMode="External" Id="rId5"/><Relationship Type="http://schemas.openxmlformats.org/officeDocument/2006/relationships/hyperlink" Target="#'Jan 2028'!A1" TargetMode="External" Id="rId6"/><Relationship Type="http://schemas.openxmlformats.org/officeDocument/2006/relationships/hyperlink" Target="#'Jan 2029'!A1" TargetMode="External" Id="rId7"/><Relationship Type="http://schemas.openxmlformats.org/officeDocument/2006/relationships/hyperlink" Target="#'Jan 2030'!A1" TargetMode="External" Id="rId8"/><Relationship Type="http://schemas.openxmlformats.org/officeDocument/2006/relationships/hyperlink" Target="#'Dec 2027'!A1" TargetMode="External" Id="rId9"/><Relationship Type="http://schemas.openxmlformats.org/officeDocument/2006/relationships/hyperlink" Target="#'Feb 2028'!A1" TargetMode="External" Id="rId10"/><Relationship Type="http://schemas.openxmlformats.org/officeDocument/2006/relationships/drawing" Target="/xl/drawings/drawing19.xml" Id="rId11"/></Relationships>
</file>

<file path=xl/worksheets/_rels/sheet21.xml.rels><Relationships xmlns="http://schemas.openxmlformats.org/package/2006/relationships"><Relationship Type="http://schemas.openxmlformats.org/officeDocument/2006/relationships/hyperlink" Target="#'Master Dashboard'!A1" TargetMode="External" Id="rId1"/><Relationship Type="http://schemas.openxmlformats.org/officeDocument/2006/relationships/hyperlink" Target="#'Quarterly Hub'!A1" TargetMode="External" Id="rId2"/><Relationship Type="http://schemas.openxmlformats.org/officeDocument/2006/relationships/hyperlink" Target="#'Habit Library'!A1" TargetMode="External" Id="rId3"/><Relationship Type="http://schemas.openxmlformats.org/officeDocument/2006/relationships/hyperlink" Target="#'Sep 2026'!A1" TargetMode="External" Id="rId4"/><Relationship Type="http://schemas.openxmlformats.org/officeDocument/2006/relationships/hyperlink" Target="#'Jan 2027'!A1" TargetMode="External" Id="rId5"/><Relationship Type="http://schemas.openxmlformats.org/officeDocument/2006/relationships/hyperlink" Target="#'Jan 2028'!A1" TargetMode="External" Id="rId6"/><Relationship Type="http://schemas.openxmlformats.org/officeDocument/2006/relationships/hyperlink" Target="#'Jan 2029'!A1" TargetMode="External" Id="rId7"/><Relationship Type="http://schemas.openxmlformats.org/officeDocument/2006/relationships/hyperlink" Target="#'Jan 2030'!A1" TargetMode="External" Id="rId8"/><Relationship Type="http://schemas.openxmlformats.org/officeDocument/2006/relationships/hyperlink" Target="#'Jan 2028'!A1" TargetMode="External" Id="rId9"/><Relationship Type="http://schemas.openxmlformats.org/officeDocument/2006/relationships/hyperlink" Target="#'Mar 2028'!A1" TargetMode="External" Id="rId10"/><Relationship Type="http://schemas.openxmlformats.org/officeDocument/2006/relationships/drawing" Target="/xl/drawings/drawing20.xml" Id="rId11"/></Relationships>
</file>

<file path=xl/worksheets/_rels/sheet22.xml.rels><Relationships xmlns="http://schemas.openxmlformats.org/package/2006/relationships"><Relationship Type="http://schemas.openxmlformats.org/officeDocument/2006/relationships/hyperlink" Target="#'Master Dashboard'!A1" TargetMode="External" Id="rId1"/><Relationship Type="http://schemas.openxmlformats.org/officeDocument/2006/relationships/hyperlink" Target="#'Quarterly Hub'!A1" TargetMode="External" Id="rId2"/><Relationship Type="http://schemas.openxmlformats.org/officeDocument/2006/relationships/hyperlink" Target="#'Habit Library'!A1" TargetMode="External" Id="rId3"/><Relationship Type="http://schemas.openxmlformats.org/officeDocument/2006/relationships/hyperlink" Target="#'Sep 2026'!A1" TargetMode="External" Id="rId4"/><Relationship Type="http://schemas.openxmlformats.org/officeDocument/2006/relationships/hyperlink" Target="#'Jan 2027'!A1" TargetMode="External" Id="rId5"/><Relationship Type="http://schemas.openxmlformats.org/officeDocument/2006/relationships/hyperlink" Target="#'Jan 2028'!A1" TargetMode="External" Id="rId6"/><Relationship Type="http://schemas.openxmlformats.org/officeDocument/2006/relationships/hyperlink" Target="#'Jan 2029'!A1" TargetMode="External" Id="rId7"/><Relationship Type="http://schemas.openxmlformats.org/officeDocument/2006/relationships/hyperlink" Target="#'Jan 2030'!A1" TargetMode="External" Id="rId8"/><Relationship Type="http://schemas.openxmlformats.org/officeDocument/2006/relationships/hyperlink" Target="#'Feb 2028'!A1" TargetMode="External" Id="rId9"/><Relationship Type="http://schemas.openxmlformats.org/officeDocument/2006/relationships/hyperlink" Target="#'Apr 2028'!A1" TargetMode="External" Id="rId10"/><Relationship Type="http://schemas.openxmlformats.org/officeDocument/2006/relationships/drawing" Target="/xl/drawings/drawing21.xml" Id="rId11"/></Relationships>
</file>

<file path=xl/worksheets/_rels/sheet23.xml.rels><Relationships xmlns="http://schemas.openxmlformats.org/package/2006/relationships"><Relationship Type="http://schemas.openxmlformats.org/officeDocument/2006/relationships/hyperlink" Target="#'Master Dashboard'!A1" TargetMode="External" Id="rId1"/><Relationship Type="http://schemas.openxmlformats.org/officeDocument/2006/relationships/hyperlink" Target="#'Quarterly Hub'!A1" TargetMode="External" Id="rId2"/><Relationship Type="http://schemas.openxmlformats.org/officeDocument/2006/relationships/hyperlink" Target="#'Habit Library'!A1" TargetMode="External" Id="rId3"/><Relationship Type="http://schemas.openxmlformats.org/officeDocument/2006/relationships/hyperlink" Target="#'Sep 2026'!A1" TargetMode="External" Id="rId4"/><Relationship Type="http://schemas.openxmlformats.org/officeDocument/2006/relationships/hyperlink" Target="#'Jan 2027'!A1" TargetMode="External" Id="rId5"/><Relationship Type="http://schemas.openxmlformats.org/officeDocument/2006/relationships/hyperlink" Target="#'Jan 2028'!A1" TargetMode="External" Id="rId6"/><Relationship Type="http://schemas.openxmlformats.org/officeDocument/2006/relationships/hyperlink" Target="#'Jan 2029'!A1" TargetMode="External" Id="rId7"/><Relationship Type="http://schemas.openxmlformats.org/officeDocument/2006/relationships/hyperlink" Target="#'Jan 2030'!A1" TargetMode="External" Id="rId8"/><Relationship Type="http://schemas.openxmlformats.org/officeDocument/2006/relationships/hyperlink" Target="#'Mar 2028'!A1" TargetMode="External" Id="rId9"/><Relationship Type="http://schemas.openxmlformats.org/officeDocument/2006/relationships/hyperlink" Target="#'May 2028'!A1" TargetMode="External" Id="rId10"/><Relationship Type="http://schemas.openxmlformats.org/officeDocument/2006/relationships/drawing" Target="/xl/drawings/drawing22.xml" Id="rId11"/></Relationships>
</file>

<file path=xl/worksheets/_rels/sheet24.xml.rels><Relationships xmlns="http://schemas.openxmlformats.org/package/2006/relationships"><Relationship Type="http://schemas.openxmlformats.org/officeDocument/2006/relationships/hyperlink" Target="#'Master Dashboard'!A1" TargetMode="External" Id="rId1"/><Relationship Type="http://schemas.openxmlformats.org/officeDocument/2006/relationships/hyperlink" Target="#'Quarterly Hub'!A1" TargetMode="External" Id="rId2"/><Relationship Type="http://schemas.openxmlformats.org/officeDocument/2006/relationships/hyperlink" Target="#'Habit Library'!A1" TargetMode="External" Id="rId3"/><Relationship Type="http://schemas.openxmlformats.org/officeDocument/2006/relationships/hyperlink" Target="#'Sep 2026'!A1" TargetMode="External" Id="rId4"/><Relationship Type="http://schemas.openxmlformats.org/officeDocument/2006/relationships/hyperlink" Target="#'Jan 2027'!A1" TargetMode="External" Id="rId5"/><Relationship Type="http://schemas.openxmlformats.org/officeDocument/2006/relationships/hyperlink" Target="#'Jan 2028'!A1" TargetMode="External" Id="rId6"/><Relationship Type="http://schemas.openxmlformats.org/officeDocument/2006/relationships/hyperlink" Target="#'Jan 2029'!A1" TargetMode="External" Id="rId7"/><Relationship Type="http://schemas.openxmlformats.org/officeDocument/2006/relationships/hyperlink" Target="#'Jan 2030'!A1" TargetMode="External" Id="rId8"/><Relationship Type="http://schemas.openxmlformats.org/officeDocument/2006/relationships/hyperlink" Target="#'Apr 2028'!A1" TargetMode="External" Id="rId9"/><Relationship Type="http://schemas.openxmlformats.org/officeDocument/2006/relationships/hyperlink" Target="#'Jun 2028'!A1" TargetMode="External" Id="rId10"/><Relationship Type="http://schemas.openxmlformats.org/officeDocument/2006/relationships/drawing" Target="/xl/drawings/drawing23.xml" Id="rId11"/></Relationships>
</file>

<file path=xl/worksheets/_rels/sheet25.xml.rels><Relationships xmlns="http://schemas.openxmlformats.org/package/2006/relationships"><Relationship Type="http://schemas.openxmlformats.org/officeDocument/2006/relationships/hyperlink" Target="#'Master Dashboard'!A1" TargetMode="External" Id="rId1"/><Relationship Type="http://schemas.openxmlformats.org/officeDocument/2006/relationships/hyperlink" Target="#'Quarterly Hub'!A1" TargetMode="External" Id="rId2"/><Relationship Type="http://schemas.openxmlformats.org/officeDocument/2006/relationships/hyperlink" Target="#'Habit Library'!A1" TargetMode="External" Id="rId3"/><Relationship Type="http://schemas.openxmlformats.org/officeDocument/2006/relationships/hyperlink" Target="#'Sep 2026'!A1" TargetMode="External" Id="rId4"/><Relationship Type="http://schemas.openxmlformats.org/officeDocument/2006/relationships/hyperlink" Target="#'Jan 2027'!A1" TargetMode="External" Id="rId5"/><Relationship Type="http://schemas.openxmlformats.org/officeDocument/2006/relationships/hyperlink" Target="#'Jan 2028'!A1" TargetMode="External" Id="rId6"/><Relationship Type="http://schemas.openxmlformats.org/officeDocument/2006/relationships/hyperlink" Target="#'Jan 2029'!A1" TargetMode="External" Id="rId7"/><Relationship Type="http://schemas.openxmlformats.org/officeDocument/2006/relationships/hyperlink" Target="#'Jan 2030'!A1" TargetMode="External" Id="rId8"/><Relationship Type="http://schemas.openxmlformats.org/officeDocument/2006/relationships/hyperlink" Target="#'May 2028'!A1" TargetMode="External" Id="rId9"/><Relationship Type="http://schemas.openxmlformats.org/officeDocument/2006/relationships/hyperlink" Target="#'Jul 2028'!A1" TargetMode="External" Id="rId10"/><Relationship Type="http://schemas.openxmlformats.org/officeDocument/2006/relationships/drawing" Target="/xl/drawings/drawing24.xml" Id="rId11"/></Relationships>
</file>

<file path=xl/worksheets/_rels/sheet26.xml.rels><Relationships xmlns="http://schemas.openxmlformats.org/package/2006/relationships"><Relationship Type="http://schemas.openxmlformats.org/officeDocument/2006/relationships/hyperlink" Target="#'Master Dashboard'!A1" TargetMode="External" Id="rId1"/><Relationship Type="http://schemas.openxmlformats.org/officeDocument/2006/relationships/hyperlink" Target="#'Quarterly Hub'!A1" TargetMode="External" Id="rId2"/><Relationship Type="http://schemas.openxmlformats.org/officeDocument/2006/relationships/hyperlink" Target="#'Habit Library'!A1" TargetMode="External" Id="rId3"/><Relationship Type="http://schemas.openxmlformats.org/officeDocument/2006/relationships/hyperlink" Target="#'Sep 2026'!A1" TargetMode="External" Id="rId4"/><Relationship Type="http://schemas.openxmlformats.org/officeDocument/2006/relationships/hyperlink" Target="#'Jan 2027'!A1" TargetMode="External" Id="rId5"/><Relationship Type="http://schemas.openxmlformats.org/officeDocument/2006/relationships/hyperlink" Target="#'Jan 2028'!A1" TargetMode="External" Id="rId6"/><Relationship Type="http://schemas.openxmlformats.org/officeDocument/2006/relationships/hyperlink" Target="#'Jan 2029'!A1" TargetMode="External" Id="rId7"/><Relationship Type="http://schemas.openxmlformats.org/officeDocument/2006/relationships/hyperlink" Target="#'Jan 2030'!A1" TargetMode="External" Id="rId8"/><Relationship Type="http://schemas.openxmlformats.org/officeDocument/2006/relationships/hyperlink" Target="#'Jun 2028'!A1" TargetMode="External" Id="rId9"/><Relationship Type="http://schemas.openxmlformats.org/officeDocument/2006/relationships/hyperlink" Target="#'Aug 2028'!A1" TargetMode="External" Id="rId10"/><Relationship Type="http://schemas.openxmlformats.org/officeDocument/2006/relationships/drawing" Target="/xl/drawings/drawing25.xml" Id="rId11"/></Relationships>
</file>

<file path=xl/worksheets/_rels/sheet27.xml.rels><Relationships xmlns="http://schemas.openxmlformats.org/package/2006/relationships"><Relationship Type="http://schemas.openxmlformats.org/officeDocument/2006/relationships/hyperlink" Target="#'Master Dashboard'!A1" TargetMode="External" Id="rId1"/><Relationship Type="http://schemas.openxmlformats.org/officeDocument/2006/relationships/hyperlink" Target="#'Quarterly Hub'!A1" TargetMode="External" Id="rId2"/><Relationship Type="http://schemas.openxmlformats.org/officeDocument/2006/relationships/hyperlink" Target="#'Habit Library'!A1" TargetMode="External" Id="rId3"/><Relationship Type="http://schemas.openxmlformats.org/officeDocument/2006/relationships/hyperlink" Target="#'Sep 2026'!A1" TargetMode="External" Id="rId4"/><Relationship Type="http://schemas.openxmlformats.org/officeDocument/2006/relationships/hyperlink" Target="#'Jan 2027'!A1" TargetMode="External" Id="rId5"/><Relationship Type="http://schemas.openxmlformats.org/officeDocument/2006/relationships/hyperlink" Target="#'Jan 2028'!A1" TargetMode="External" Id="rId6"/><Relationship Type="http://schemas.openxmlformats.org/officeDocument/2006/relationships/hyperlink" Target="#'Jan 2029'!A1" TargetMode="External" Id="rId7"/><Relationship Type="http://schemas.openxmlformats.org/officeDocument/2006/relationships/hyperlink" Target="#'Jan 2030'!A1" TargetMode="External" Id="rId8"/><Relationship Type="http://schemas.openxmlformats.org/officeDocument/2006/relationships/hyperlink" Target="#'Jul 2028'!A1" TargetMode="External" Id="rId9"/><Relationship Type="http://schemas.openxmlformats.org/officeDocument/2006/relationships/hyperlink" Target="#'Sep 2028'!A1" TargetMode="External" Id="rId10"/><Relationship Type="http://schemas.openxmlformats.org/officeDocument/2006/relationships/drawing" Target="/xl/drawings/drawing26.xml" Id="rId11"/></Relationships>
</file>

<file path=xl/worksheets/_rels/sheet28.xml.rels><Relationships xmlns="http://schemas.openxmlformats.org/package/2006/relationships"><Relationship Type="http://schemas.openxmlformats.org/officeDocument/2006/relationships/hyperlink" Target="#'Master Dashboard'!A1" TargetMode="External" Id="rId1"/><Relationship Type="http://schemas.openxmlformats.org/officeDocument/2006/relationships/hyperlink" Target="#'Quarterly Hub'!A1" TargetMode="External" Id="rId2"/><Relationship Type="http://schemas.openxmlformats.org/officeDocument/2006/relationships/hyperlink" Target="#'Habit Library'!A1" TargetMode="External" Id="rId3"/><Relationship Type="http://schemas.openxmlformats.org/officeDocument/2006/relationships/hyperlink" Target="#'Sep 2026'!A1" TargetMode="External" Id="rId4"/><Relationship Type="http://schemas.openxmlformats.org/officeDocument/2006/relationships/hyperlink" Target="#'Jan 2027'!A1" TargetMode="External" Id="rId5"/><Relationship Type="http://schemas.openxmlformats.org/officeDocument/2006/relationships/hyperlink" Target="#'Jan 2028'!A1" TargetMode="External" Id="rId6"/><Relationship Type="http://schemas.openxmlformats.org/officeDocument/2006/relationships/hyperlink" Target="#'Jan 2029'!A1" TargetMode="External" Id="rId7"/><Relationship Type="http://schemas.openxmlformats.org/officeDocument/2006/relationships/hyperlink" Target="#'Jan 2030'!A1" TargetMode="External" Id="rId8"/><Relationship Type="http://schemas.openxmlformats.org/officeDocument/2006/relationships/hyperlink" Target="#'Aug 2028'!A1" TargetMode="External" Id="rId9"/><Relationship Type="http://schemas.openxmlformats.org/officeDocument/2006/relationships/hyperlink" Target="#'Oct 2028'!A1" TargetMode="External" Id="rId10"/><Relationship Type="http://schemas.openxmlformats.org/officeDocument/2006/relationships/drawing" Target="/xl/drawings/drawing27.xml" Id="rId11"/></Relationships>
</file>

<file path=xl/worksheets/_rels/sheet29.xml.rels><Relationships xmlns="http://schemas.openxmlformats.org/package/2006/relationships"><Relationship Type="http://schemas.openxmlformats.org/officeDocument/2006/relationships/hyperlink" Target="#'Master Dashboard'!A1" TargetMode="External" Id="rId1"/><Relationship Type="http://schemas.openxmlformats.org/officeDocument/2006/relationships/hyperlink" Target="#'Quarterly Hub'!A1" TargetMode="External" Id="rId2"/><Relationship Type="http://schemas.openxmlformats.org/officeDocument/2006/relationships/hyperlink" Target="#'Habit Library'!A1" TargetMode="External" Id="rId3"/><Relationship Type="http://schemas.openxmlformats.org/officeDocument/2006/relationships/hyperlink" Target="#'Sep 2026'!A1" TargetMode="External" Id="rId4"/><Relationship Type="http://schemas.openxmlformats.org/officeDocument/2006/relationships/hyperlink" Target="#'Jan 2027'!A1" TargetMode="External" Id="rId5"/><Relationship Type="http://schemas.openxmlformats.org/officeDocument/2006/relationships/hyperlink" Target="#'Jan 2028'!A1" TargetMode="External" Id="rId6"/><Relationship Type="http://schemas.openxmlformats.org/officeDocument/2006/relationships/hyperlink" Target="#'Jan 2029'!A1" TargetMode="External" Id="rId7"/><Relationship Type="http://schemas.openxmlformats.org/officeDocument/2006/relationships/hyperlink" Target="#'Jan 2030'!A1" TargetMode="External" Id="rId8"/><Relationship Type="http://schemas.openxmlformats.org/officeDocument/2006/relationships/hyperlink" Target="#'Sep 2028'!A1" TargetMode="External" Id="rId9"/><Relationship Type="http://schemas.openxmlformats.org/officeDocument/2006/relationships/hyperlink" Target="#'Nov 2028'!A1" TargetMode="External" Id="rId10"/><Relationship Type="http://schemas.openxmlformats.org/officeDocument/2006/relationships/drawing" Target="/xl/drawings/drawing28.xml" Id="rId11"/></Relationships>
</file>

<file path=xl/worksheets/_rels/sheet30.xml.rels><Relationships xmlns="http://schemas.openxmlformats.org/package/2006/relationships"><Relationship Type="http://schemas.openxmlformats.org/officeDocument/2006/relationships/hyperlink" Target="#'Master Dashboard'!A1" TargetMode="External" Id="rId1"/><Relationship Type="http://schemas.openxmlformats.org/officeDocument/2006/relationships/hyperlink" Target="#'Quarterly Hub'!A1" TargetMode="External" Id="rId2"/><Relationship Type="http://schemas.openxmlformats.org/officeDocument/2006/relationships/hyperlink" Target="#'Habit Library'!A1" TargetMode="External" Id="rId3"/><Relationship Type="http://schemas.openxmlformats.org/officeDocument/2006/relationships/hyperlink" Target="#'Sep 2026'!A1" TargetMode="External" Id="rId4"/><Relationship Type="http://schemas.openxmlformats.org/officeDocument/2006/relationships/hyperlink" Target="#'Jan 2027'!A1" TargetMode="External" Id="rId5"/><Relationship Type="http://schemas.openxmlformats.org/officeDocument/2006/relationships/hyperlink" Target="#'Jan 2028'!A1" TargetMode="External" Id="rId6"/><Relationship Type="http://schemas.openxmlformats.org/officeDocument/2006/relationships/hyperlink" Target="#'Jan 2029'!A1" TargetMode="External" Id="rId7"/><Relationship Type="http://schemas.openxmlformats.org/officeDocument/2006/relationships/hyperlink" Target="#'Jan 2030'!A1" TargetMode="External" Id="rId8"/><Relationship Type="http://schemas.openxmlformats.org/officeDocument/2006/relationships/hyperlink" Target="#'Oct 2028'!A1" TargetMode="External" Id="rId9"/><Relationship Type="http://schemas.openxmlformats.org/officeDocument/2006/relationships/hyperlink" Target="#'Dec 2028'!A1" TargetMode="External" Id="rId10"/><Relationship Type="http://schemas.openxmlformats.org/officeDocument/2006/relationships/drawing" Target="/xl/drawings/drawing29.xml" Id="rId11"/></Relationships>
</file>

<file path=xl/worksheets/_rels/sheet31.xml.rels><Relationships xmlns="http://schemas.openxmlformats.org/package/2006/relationships"><Relationship Type="http://schemas.openxmlformats.org/officeDocument/2006/relationships/hyperlink" Target="#'Master Dashboard'!A1" TargetMode="External" Id="rId1"/><Relationship Type="http://schemas.openxmlformats.org/officeDocument/2006/relationships/hyperlink" Target="#'Quarterly Hub'!A1" TargetMode="External" Id="rId2"/><Relationship Type="http://schemas.openxmlformats.org/officeDocument/2006/relationships/hyperlink" Target="#'Habit Library'!A1" TargetMode="External" Id="rId3"/><Relationship Type="http://schemas.openxmlformats.org/officeDocument/2006/relationships/hyperlink" Target="#'Sep 2026'!A1" TargetMode="External" Id="rId4"/><Relationship Type="http://schemas.openxmlformats.org/officeDocument/2006/relationships/hyperlink" Target="#'Jan 2027'!A1" TargetMode="External" Id="rId5"/><Relationship Type="http://schemas.openxmlformats.org/officeDocument/2006/relationships/hyperlink" Target="#'Jan 2028'!A1" TargetMode="External" Id="rId6"/><Relationship Type="http://schemas.openxmlformats.org/officeDocument/2006/relationships/hyperlink" Target="#'Jan 2029'!A1" TargetMode="External" Id="rId7"/><Relationship Type="http://schemas.openxmlformats.org/officeDocument/2006/relationships/hyperlink" Target="#'Jan 2030'!A1" TargetMode="External" Id="rId8"/><Relationship Type="http://schemas.openxmlformats.org/officeDocument/2006/relationships/hyperlink" Target="#'Nov 2028'!A1" TargetMode="External" Id="rId9"/><Relationship Type="http://schemas.openxmlformats.org/officeDocument/2006/relationships/hyperlink" Target="#'Jan 2029'!A1" TargetMode="External" Id="rId10"/><Relationship Type="http://schemas.openxmlformats.org/officeDocument/2006/relationships/drawing" Target="/xl/drawings/drawing30.xml" Id="rId11"/></Relationships>
</file>

<file path=xl/worksheets/_rels/sheet32.xml.rels><Relationships xmlns="http://schemas.openxmlformats.org/package/2006/relationships"><Relationship Type="http://schemas.openxmlformats.org/officeDocument/2006/relationships/hyperlink" Target="#'Master Dashboard'!A1" TargetMode="External" Id="rId1"/><Relationship Type="http://schemas.openxmlformats.org/officeDocument/2006/relationships/hyperlink" Target="#'Quarterly Hub'!A1" TargetMode="External" Id="rId2"/><Relationship Type="http://schemas.openxmlformats.org/officeDocument/2006/relationships/hyperlink" Target="#'Habit Library'!A1" TargetMode="External" Id="rId3"/><Relationship Type="http://schemas.openxmlformats.org/officeDocument/2006/relationships/hyperlink" Target="#'Sep 2026'!A1" TargetMode="External" Id="rId4"/><Relationship Type="http://schemas.openxmlformats.org/officeDocument/2006/relationships/hyperlink" Target="#'Jan 2027'!A1" TargetMode="External" Id="rId5"/><Relationship Type="http://schemas.openxmlformats.org/officeDocument/2006/relationships/hyperlink" Target="#'Jan 2028'!A1" TargetMode="External" Id="rId6"/><Relationship Type="http://schemas.openxmlformats.org/officeDocument/2006/relationships/hyperlink" Target="#'Jan 2029'!A1" TargetMode="External" Id="rId7"/><Relationship Type="http://schemas.openxmlformats.org/officeDocument/2006/relationships/hyperlink" Target="#'Jan 2030'!A1" TargetMode="External" Id="rId8"/><Relationship Type="http://schemas.openxmlformats.org/officeDocument/2006/relationships/hyperlink" Target="#'Dec 2028'!A1" TargetMode="External" Id="rId9"/><Relationship Type="http://schemas.openxmlformats.org/officeDocument/2006/relationships/hyperlink" Target="#'Feb 2029'!A1" TargetMode="External" Id="rId10"/><Relationship Type="http://schemas.openxmlformats.org/officeDocument/2006/relationships/drawing" Target="/xl/drawings/drawing31.xml" Id="rId11"/></Relationships>
</file>

<file path=xl/worksheets/_rels/sheet33.xml.rels><Relationships xmlns="http://schemas.openxmlformats.org/package/2006/relationships"><Relationship Type="http://schemas.openxmlformats.org/officeDocument/2006/relationships/hyperlink" Target="#'Master Dashboard'!A1" TargetMode="External" Id="rId1"/><Relationship Type="http://schemas.openxmlformats.org/officeDocument/2006/relationships/hyperlink" Target="#'Quarterly Hub'!A1" TargetMode="External" Id="rId2"/><Relationship Type="http://schemas.openxmlformats.org/officeDocument/2006/relationships/hyperlink" Target="#'Habit Library'!A1" TargetMode="External" Id="rId3"/><Relationship Type="http://schemas.openxmlformats.org/officeDocument/2006/relationships/hyperlink" Target="#'Sep 2026'!A1" TargetMode="External" Id="rId4"/><Relationship Type="http://schemas.openxmlformats.org/officeDocument/2006/relationships/hyperlink" Target="#'Jan 2027'!A1" TargetMode="External" Id="rId5"/><Relationship Type="http://schemas.openxmlformats.org/officeDocument/2006/relationships/hyperlink" Target="#'Jan 2028'!A1" TargetMode="External" Id="rId6"/><Relationship Type="http://schemas.openxmlformats.org/officeDocument/2006/relationships/hyperlink" Target="#'Jan 2029'!A1" TargetMode="External" Id="rId7"/><Relationship Type="http://schemas.openxmlformats.org/officeDocument/2006/relationships/hyperlink" Target="#'Jan 2030'!A1" TargetMode="External" Id="rId8"/><Relationship Type="http://schemas.openxmlformats.org/officeDocument/2006/relationships/hyperlink" Target="#'Jan 2029'!A1" TargetMode="External" Id="rId9"/><Relationship Type="http://schemas.openxmlformats.org/officeDocument/2006/relationships/hyperlink" Target="#'Mar 2029'!A1" TargetMode="External" Id="rId10"/><Relationship Type="http://schemas.openxmlformats.org/officeDocument/2006/relationships/drawing" Target="/xl/drawings/drawing32.xml" Id="rId11"/></Relationships>
</file>

<file path=xl/worksheets/_rels/sheet34.xml.rels><Relationships xmlns="http://schemas.openxmlformats.org/package/2006/relationships"><Relationship Type="http://schemas.openxmlformats.org/officeDocument/2006/relationships/hyperlink" Target="#'Master Dashboard'!A1" TargetMode="External" Id="rId1"/><Relationship Type="http://schemas.openxmlformats.org/officeDocument/2006/relationships/hyperlink" Target="#'Quarterly Hub'!A1" TargetMode="External" Id="rId2"/><Relationship Type="http://schemas.openxmlformats.org/officeDocument/2006/relationships/hyperlink" Target="#'Habit Library'!A1" TargetMode="External" Id="rId3"/><Relationship Type="http://schemas.openxmlformats.org/officeDocument/2006/relationships/hyperlink" Target="#'Sep 2026'!A1" TargetMode="External" Id="rId4"/><Relationship Type="http://schemas.openxmlformats.org/officeDocument/2006/relationships/hyperlink" Target="#'Jan 2027'!A1" TargetMode="External" Id="rId5"/><Relationship Type="http://schemas.openxmlformats.org/officeDocument/2006/relationships/hyperlink" Target="#'Jan 2028'!A1" TargetMode="External" Id="rId6"/><Relationship Type="http://schemas.openxmlformats.org/officeDocument/2006/relationships/hyperlink" Target="#'Jan 2029'!A1" TargetMode="External" Id="rId7"/><Relationship Type="http://schemas.openxmlformats.org/officeDocument/2006/relationships/hyperlink" Target="#'Jan 2030'!A1" TargetMode="External" Id="rId8"/><Relationship Type="http://schemas.openxmlformats.org/officeDocument/2006/relationships/hyperlink" Target="#'Feb 2029'!A1" TargetMode="External" Id="rId9"/><Relationship Type="http://schemas.openxmlformats.org/officeDocument/2006/relationships/hyperlink" Target="#'Apr 2029'!A1" TargetMode="External" Id="rId10"/><Relationship Type="http://schemas.openxmlformats.org/officeDocument/2006/relationships/drawing" Target="/xl/drawings/drawing33.xml" Id="rId11"/></Relationships>
</file>

<file path=xl/worksheets/_rels/sheet35.xml.rels><Relationships xmlns="http://schemas.openxmlformats.org/package/2006/relationships"><Relationship Type="http://schemas.openxmlformats.org/officeDocument/2006/relationships/hyperlink" Target="#'Master Dashboard'!A1" TargetMode="External" Id="rId1"/><Relationship Type="http://schemas.openxmlformats.org/officeDocument/2006/relationships/hyperlink" Target="#'Quarterly Hub'!A1" TargetMode="External" Id="rId2"/><Relationship Type="http://schemas.openxmlformats.org/officeDocument/2006/relationships/hyperlink" Target="#'Habit Library'!A1" TargetMode="External" Id="rId3"/><Relationship Type="http://schemas.openxmlformats.org/officeDocument/2006/relationships/hyperlink" Target="#'Sep 2026'!A1" TargetMode="External" Id="rId4"/><Relationship Type="http://schemas.openxmlformats.org/officeDocument/2006/relationships/hyperlink" Target="#'Jan 2027'!A1" TargetMode="External" Id="rId5"/><Relationship Type="http://schemas.openxmlformats.org/officeDocument/2006/relationships/hyperlink" Target="#'Jan 2028'!A1" TargetMode="External" Id="rId6"/><Relationship Type="http://schemas.openxmlformats.org/officeDocument/2006/relationships/hyperlink" Target="#'Jan 2029'!A1" TargetMode="External" Id="rId7"/><Relationship Type="http://schemas.openxmlformats.org/officeDocument/2006/relationships/hyperlink" Target="#'Jan 2030'!A1" TargetMode="External" Id="rId8"/><Relationship Type="http://schemas.openxmlformats.org/officeDocument/2006/relationships/hyperlink" Target="#'Mar 2029'!A1" TargetMode="External" Id="rId9"/><Relationship Type="http://schemas.openxmlformats.org/officeDocument/2006/relationships/hyperlink" Target="#'May 2029'!A1" TargetMode="External" Id="rId10"/><Relationship Type="http://schemas.openxmlformats.org/officeDocument/2006/relationships/drawing" Target="/xl/drawings/drawing34.xml" Id="rId11"/></Relationships>
</file>

<file path=xl/worksheets/_rels/sheet36.xml.rels><Relationships xmlns="http://schemas.openxmlformats.org/package/2006/relationships"><Relationship Type="http://schemas.openxmlformats.org/officeDocument/2006/relationships/hyperlink" Target="#'Master Dashboard'!A1" TargetMode="External" Id="rId1"/><Relationship Type="http://schemas.openxmlformats.org/officeDocument/2006/relationships/hyperlink" Target="#'Quarterly Hub'!A1" TargetMode="External" Id="rId2"/><Relationship Type="http://schemas.openxmlformats.org/officeDocument/2006/relationships/hyperlink" Target="#'Habit Library'!A1" TargetMode="External" Id="rId3"/><Relationship Type="http://schemas.openxmlformats.org/officeDocument/2006/relationships/hyperlink" Target="#'Sep 2026'!A1" TargetMode="External" Id="rId4"/><Relationship Type="http://schemas.openxmlformats.org/officeDocument/2006/relationships/hyperlink" Target="#'Jan 2027'!A1" TargetMode="External" Id="rId5"/><Relationship Type="http://schemas.openxmlformats.org/officeDocument/2006/relationships/hyperlink" Target="#'Jan 2028'!A1" TargetMode="External" Id="rId6"/><Relationship Type="http://schemas.openxmlformats.org/officeDocument/2006/relationships/hyperlink" Target="#'Jan 2029'!A1" TargetMode="External" Id="rId7"/><Relationship Type="http://schemas.openxmlformats.org/officeDocument/2006/relationships/hyperlink" Target="#'Jan 2030'!A1" TargetMode="External" Id="rId8"/><Relationship Type="http://schemas.openxmlformats.org/officeDocument/2006/relationships/hyperlink" Target="#'Apr 2029'!A1" TargetMode="External" Id="rId9"/><Relationship Type="http://schemas.openxmlformats.org/officeDocument/2006/relationships/hyperlink" Target="#'Jun 2029'!A1" TargetMode="External" Id="rId10"/><Relationship Type="http://schemas.openxmlformats.org/officeDocument/2006/relationships/drawing" Target="/xl/drawings/drawing35.xml" Id="rId11"/></Relationships>
</file>

<file path=xl/worksheets/_rels/sheet37.xml.rels><Relationships xmlns="http://schemas.openxmlformats.org/package/2006/relationships"><Relationship Type="http://schemas.openxmlformats.org/officeDocument/2006/relationships/hyperlink" Target="#'Master Dashboard'!A1" TargetMode="External" Id="rId1"/><Relationship Type="http://schemas.openxmlformats.org/officeDocument/2006/relationships/hyperlink" Target="#'Quarterly Hub'!A1" TargetMode="External" Id="rId2"/><Relationship Type="http://schemas.openxmlformats.org/officeDocument/2006/relationships/hyperlink" Target="#'Habit Library'!A1" TargetMode="External" Id="rId3"/><Relationship Type="http://schemas.openxmlformats.org/officeDocument/2006/relationships/hyperlink" Target="#'Sep 2026'!A1" TargetMode="External" Id="rId4"/><Relationship Type="http://schemas.openxmlformats.org/officeDocument/2006/relationships/hyperlink" Target="#'Jan 2027'!A1" TargetMode="External" Id="rId5"/><Relationship Type="http://schemas.openxmlformats.org/officeDocument/2006/relationships/hyperlink" Target="#'Jan 2028'!A1" TargetMode="External" Id="rId6"/><Relationship Type="http://schemas.openxmlformats.org/officeDocument/2006/relationships/hyperlink" Target="#'Jan 2029'!A1" TargetMode="External" Id="rId7"/><Relationship Type="http://schemas.openxmlformats.org/officeDocument/2006/relationships/hyperlink" Target="#'Jan 2030'!A1" TargetMode="External" Id="rId8"/><Relationship Type="http://schemas.openxmlformats.org/officeDocument/2006/relationships/hyperlink" Target="#'May 2029'!A1" TargetMode="External" Id="rId9"/><Relationship Type="http://schemas.openxmlformats.org/officeDocument/2006/relationships/hyperlink" Target="#'Jul 2029'!A1" TargetMode="External" Id="rId10"/><Relationship Type="http://schemas.openxmlformats.org/officeDocument/2006/relationships/drawing" Target="/xl/drawings/drawing36.xml" Id="rId11"/></Relationships>
</file>

<file path=xl/worksheets/_rels/sheet38.xml.rels><Relationships xmlns="http://schemas.openxmlformats.org/package/2006/relationships"><Relationship Type="http://schemas.openxmlformats.org/officeDocument/2006/relationships/hyperlink" Target="#'Master Dashboard'!A1" TargetMode="External" Id="rId1"/><Relationship Type="http://schemas.openxmlformats.org/officeDocument/2006/relationships/hyperlink" Target="#'Quarterly Hub'!A1" TargetMode="External" Id="rId2"/><Relationship Type="http://schemas.openxmlformats.org/officeDocument/2006/relationships/hyperlink" Target="#'Habit Library'!A1" TargetMode="External" Id="rId3"/><Relationship Type="http://schemas.openxmlformats.org/officeDocument/2006/relationships/hyperlink" Target="#'Sep 2026'!A1" TargetMode="External" Id="rId4"/><Relationship Type="http://schemas.openxmlformats.org/officeDocument/2006/relationships/hyperlink" Target="#'Jan 2027'!A1" TargetMode="External" Id="rId5"/><Relationship Type="http://schemas.openxmlformats.org/officeDocument/2006/relationships/hyperlink" Target="#'Jan 2028'!A1" TargetMode="External" Id="rId6"/><Relationship Type="http://schemas.openxmlformats.org/officeDocument/2006/relationships/hyperlink" Target="#'Jan 2029'!A1" TargetMode="External" Id="rId7"/><Relationship Type="http://schemas.openxmlformats.org/officeDocument/2006/relationships/hyperlink" Target="#'Jan 2030'!A1" TargetMode="External" Id="rId8"/><Relationship Type="http://schemas.openxmlformats.org/officeDocument/2006/relationships/hyperlink" Target="#'Jun 2029'!A1" TargetMode="External" Id="rId9"/><Relationship Type="http://schemas.openxmlformats.org/officeDocument/2006/relationships/hyperlink" Target="#'Aug 2029'!A1" TargetMode="External" Id="rId10"/><Relationship Type="http://schemas.openxmlformats.org/officeDocument/2006/relationships/drawing" Target="/xl/drawings/drawing37.xml" Id="rId11"/></Relationships>
</file>

<file path=xl/worksheets/_rels/sheet39.xml.rels><Relationships xmlns="http://schemas.openxmlformats.org/package/2006/relationships"><Relationship Type="http://schemas.openxmlformats.org/officeDocument/2006/relationships/hyperlink" Target="#'Master Dashboard'!A1" TargetMode="External" Id="rId1"/><Relationship Type="http://schemas.openxmlformats.org/officeDocument/2006/relationships/hyperlink" Target="#'Quarterly Hub'!A1" TargetMode="External" Id="rId2"/><Relationship Type="http://schemas.openxmlformats.org/officeDocument/2006/relationships/hyperlink" Target="#'Habit Library'!A1" TargetMode="External" Id="rId3"/><Relationship Type="http://schemas.openxmlformats.org/officeDocument/2006/relationships/hyperlink" Target="#'Sep 2026'!A1" TargetMode="External" Id="rId4"/><Relationship Type="http://schemas.openxmlformats.org/officeDocument/2006/relationships/hyperlink" Target="#'Jan 2027'!A1" TargetMode="External" Id="rId5"/><Relationship Type="http://schemas.openxmlformats.org/officeDocument/2006/relationships/hyperlink" Target="#'Jan 2028'!A1" TargetMode="External" Id="rId6"/><Relationship Type="http://schemas.openxmlformats.org/officeDocument/2006/relationships/hyperlink" Target="#'Jan 2029'!A1" TargetMode="External" Id="rId7"/><Relationship Type="http://schemas.openxmlformats.org/officeDocument/2006/relationships/hyperlink" Target="#'Jan 2030'!A1" TargetMode="External" Id="rId8"/><Relationship Type="http://schemas.openxmlformats.org/officeDocument/2006/relationships/hyperlink" Target="#'Jul 2029'!A1" TargetMode="External" Id="rId9"/><Relationship Type="http://schemas.openxmlformats.org/officeDocument/2006/relationships/hyperlink" Target="#'Sep 2029'!A1" TargetMode="External" Id="rId10"/><Relationship Type="http://schemas.openxmlformats.org/officeDocument/2006/relationships/drawing" Target="/xl/drawings/drawing38.xml" Id="rId11"/></Relationships>
</file>

<file path=xl/worksheets/_rels/sheet40.xml.rels><Relationships xmlns="http://schemas.openxmlformats.org/package/2006/relationships"><Relationship Type="http://schemas.openxmlformats.org/officeDocument/2006/relationships/hyperlink" Target="#'Master Dashboard'!A1" TargetMode="External" Id="rId1"/><Relationship Type="http://schemas.openxmlformats.org/officeDocument/2006/relationships/hyperlink" Target="#'Quarterly Hub'!A1" TargetMode="External" Id="rId2"/><Relationship Type="http://schemas.openxmlformats.org/officeDocument/2006/relationships/hyperlink" Target="#'Habit Library'!A1" TargetMode="External" Id="rId3"/><Relationship Type="http://schemas.openxmlformats.org/officeDocument/2006/relationships/hyperlink" Target="#'Sep 2026'!A1" TargetMode="External" Id="rId4"/><Relationship Type="http://schemas.openxmlformats.org/officeDocument/2006/relationships/hyperlink" Target="#'Jan 2027'!A1" TargetMode="External" Id="rId5"/><Relationship Type="http://schemas.openxmlformats.org/officeDocument/2006/relationships/hyperlink" Target="#'Jan 2028'!A1" TargetMode="External" Id="rId6"/><Relationship Type="http://schemas.openxmlformats.org/officeDocument/2006/relationships/hyperlink" Target="#'Jan 2029'!A1" TargetMode="External" Id="rId7"/><Relationship Type="http://schemas.openxmlformats.org/officeDocument/2006/relationships/hyperlink" Target="#'Jan 2030'!A1" TargetMode="External" Id="rId8"/><Relationship Type="http://schemas.openxmlformats.org/officeDocument/2006/relationships/hyperlink" Target="#'Aug 2029'!A1" TargetMode="External" Id="rId9"/><Relationship Type="http://schemas.openxmlformats.org/officeDocument/2006/relationships/hyperlink" Target="#'Oct 2029'!A1" TargetMode="External" Id="rId10"/><Relationship Type="http://schemas.openxmlformats.org/officeDocument/2006/relationships/drawing" Target="/xl/drawings/drawing39.xml" Id="rId11"/></Relationships>
</file>

<file path=xl/worksheets/_rels/sheet41.xml.rels><Relationships xmlns="http://schemas.openxmlformats.org/package/2006/relationships"><Relationship Type="http://schemas.openxmlformats.org/officeDocument/2006/relationships/hyperlink" Target="#'Master Dashboard'!A1" TargetMode="External" Id="rId1"/><Relationship Type="http://schemas.openxmlformats.org/officeDocument/2006/relationships/hyperlink" Target="#'Quarterly Hub'!A1" TargetMode="External" Id="rId2"/><Relationship Type="http://schemas.openxmlformats.org/officeDocument/2006/relationships/hyperlink" Target="#'Habit Library'!A1" TargetMode="External" Id="rId3"/><Relationship Type="http://schemas.openxmlformats.org/officeDocument/2006/relationships/hyperlink" Target="#'Sep 2026'!A1" TargetMode="External" Id="rId4"/><Relationship Type="http://schemas.openxmlformats.org/officeDocument/2006/relationships/hyperlink" Target="#'Jan 2027'!A1" TargetMode="External" Id="rId5"/><Relationship Type="http://schemas.openxmlformats.org/officeDocument/2006/relationships/hyperlink" Target="#'Jan 2028'!A1" TargetMode="External" Id="rId6"/><Relationship Type="http://schemas.openxmlformats.org/officeDocument/2006/relationships/hyperlink" Target="#'Jan 2029'!A1" TargetMode="External" Id="rId7"/><Relationship Type="http://schemas.openxmlformats.org/officeDocument/2006/relationships/hyperlink" Target="#'Jan 2030'!A1" TargetMode="External" Id="rId8"/><Relationship Type="http://schemas.openxmlformats.org/officeDocument/2006/relationships/hyperlink" Target="#'Sep 2029'!A1" TargetMode="External" Id="rId9"/><Relationship Type="http://schemas.openxmlformats.org/officeDocument/2006/relationships/hyperlink" Target="#'Nov 2029'!A1" TargetMode="External" Id="rId10"/><Relationship Type="http://schemas.openxmlformats.org/officeDocument/2006/relationships/drawing" Target="/xl/drawings/drawing40.xml" Id="rId11"/></Relationships>
</file>

<file path=xl/worksheets/_rels/sheet42.xml.rels><Relationships xmlns="http://schemas.openxmlformats.org/package/2006/relationships"><Relationship Type="http://schemas.openxmlformats.org/officeDocument/2006/relationships/hyperlink" Target="#'Master Dashboard'!A1" TargetMode="External" Id="rId1"/><Relationship Type="http://schemas.openxmlformats.org/officeDocument/2006/relationships/hyperlink" Target="#'Quarterly Hub'!A1" TargetMode="External" Id="rId2"/><Relationship Type="http://schemas.openxmlformats.org/officeDocument/2006/relationships/hyperlink" Target="#'Habit Library'!A1" TargetMode="External" Id="rId3"/><Relationship Type="http://schemas.openxmlformats.org/officeDocument/2006/relationships/hyperlink" Target="#'Sep 2026'!A1" TargetMode="External" Id="rId4"/><Relationship Type="http://schemas.openxmlformats.org/officeDocument/2006/relationships/hyperlink" Target="#'Jan 2027'!A1" TargetMode="External" Id="rId5"/><Relationship Type="http://schemas.openxmlformats.org/officeDocument/2006/relationships/hyperlink" Target="#'Jan 2028'!A1" TargetMode="External" Id="rId6"/><Relationship Type="http://schemas.openxmlformats.org/officeDocument/2006/relationships/hyperlink" Target="#'Jan 2029'!A1" TargetMode="External" Id="rId7"/><Relationship Type="http://schemas.openxmlformats.org/officeDocument/2006/relationships/hyperlink" Target="#'Jan 2030'!A1" TargetMode="External" Id="rId8"/><Relationship Type="http://schemas.openxmlformats.org/officeDocument/2006/relationships/hyperlink" Target="#'Oct 2029'!A1" TargetMode="External" Id="rId9"/><Relationship Type="http://schemas.openxmlformats.org/officeDocument/2006/relationships/hyperlink" Target="#'Dec 2029'!A1" TargetMode="External" Id="rId10"/><Relationship Type="http://schemas.openxmlformats.org/officeDocument/2006/relationships/drawing" Target="/xl/drawings/drawing41.xml" Id="rId11"/></Relationships>
</file>

<file path=xl/worksheets/_rels/sheet43.xml.rels><Relationships xmlns="http://schemas.openxmlformats.org/package/2006/relationships"><Relationship Type="http://schemas.openxmlformats.org/officeDocument/2006/relationships/hyperlink" Target="#'Master Dashboard'!A1" TargetMode="External" Id="rId1"/><Relationship Type="http://schemas.openxmlformats.org/officeDocument/2006/relationships/hyperlink" Target="#'Quarterly Hub'!A1" TargetMode="External" Id="rId2"/><Relationship Type="http://schemas.openxmlformats.org/officeDocument/2006/relationships/hyperlink" Target="#'Habit Library'!A1" TargetMode="External" Id="rId3"/><Relationship Type="http://schemas.openxmlformats.org/officeDocument/2006/relationships/hyperlink" Target="#'Sep 2026'!A1" TargetMode="External" Id="rId4"/><Relationship Type="http://schemas.openxmlformats.org/officeDocument/2006/relationships/hyperlink" Target="#'Jan 2027'!A1" TargetMode="External" Id="rId5"/><Relationship Type="http://schemas.openxmlformats.org/officeDocument/2006/relationships/hyperlink" Target="#'Jan 2028'!A1" TargetMode="External" Id="rId6"/><Relationship Type="http://schemas.openxmlformats.org/officeDocument/2006/relationships/hyperlink" Target="#'Jan 2029'!A1" TargetMode="External" Id="rId7"/><Relationship Type="http://schemas.openxmlformats.org/officeDocument/2006/relationships/hyperlink" Target="#'Jan 2030'!A1" TargetMode="External" Id="rId8"/><Relationship Type="http://schemas.openxmlformats.org/officeDocument/2006/relationships/hyperlink" Target="#'Nov 2029'!A1" TargetMode="External" Id="rId9"/><Relationship Type="http://schemas.openxmlformats.org/officeDocument/2006/relationships/hyperlink" Target="#'Jan 2030'!A1" TargetMode="External" Id="rId10"/><Relationship Type="http://schemas.openxmlformats.org/officeDocument/2006/relationships/drawing" Target="/xl/drawings/drawing42.xml" Id="rId11"/></Relationships>
</file>

<file path=xl/worksheets/_rels/sheet44.xml.rels><Relationships xmlns="http://schemas.openxmlformats.org/package/2006/relationships"><Relationship Type="http://schemas.openxmlformats.org/officeDocument/2006/relationships/hyperlink" Target="#'Master Dashboard'!A1" TargetMode="External" Id="rId1"/><Relationship Type="http://schemas.openxmlformats.org/officeDocument/2006/relationships/hyperlink" Target="#'Quarterly Hub'!A1" TargetMode="External" Id="rId2"/><Relationship Type="http://schemas.openxmlformats.org/officeDocument/2006/relationships/hyperlink" Target="#'Habit Library'!A1" TargetMode="External" Id="rId3"/><Relationship Type="http://schemas.openxmlformats.org/officeDocument/2006/relationships/hyperlink" Target="#'Sep 2026'!A1" TargetMode="External" Id="rId4"/><Relationship Type="http://schemas.openxmlformats.org/officeDocument/2006/relationships/hyperlink" Target="#'Jan 2027'!A1" TargetMode="External" Id="rId5"/><Relationship Type="http://schemas.openxmlformats.org/officeDocument/2006/relationships/hyperlink" Target="#'Jan 2028'!A1" TargetMode="External" Id="rId6"/><Relationship Type="http://schemas.openxmlformats.org/officeDocument/2006/relationships/hyperlink" Target="#'Jan 2029'!A1" TargetMode="External" Id="rId7"/><Relationship Type="http://schemas.openxmlformats.org/officeDocument/2006/relationships/hyperlink" Target="#'Jan 2030'!A1" TargetMode="External" Id="rId8"/><Relationship Type="http://schemas.openxmlformats.org/officeDocument/2006/relationships/hyperlink" Target="#'Dec 2029'!A1" TargetMode="External" Id="rId9"/><Relationship Type="http://schemas.openxmlformats.org/officeDocument/2006/relationships/hyperlink" Target="#'Feb 2030'!A1" TargetMode="External" Id="rId10"/><Relationship Type="http://schemas.openxmlformats.org/officeDocument/2006/relationships/drawing" Target="/xl/drawings/drawing43.xml" Id="rId11"/></Relationships>
</file>

<file path=xl/worksheets/_rels/sheet45.xml.rels><Relationships xmlns="http://schemas.openxmlformats.org/package/2006/relationships"><Relationship Type="http://schemas.openxmlformats.org/officeDocument/2006/relationships/hyperlink" Target="#'Master Dashboard'!A1" TargetMode="External" Id="rId1"/><Relationship Type="http://schemas.openxmlformats.org/officeDocument/2006/relationships/hyperlink" Target="#'Quarterly Hub'!A1" TargetMode="External" Id="rId2"/><Relationship Type="http://schemas.openxmlformats.org/officeDocument/2006/relationships/hyperlink" Target="#'Habit Library'!A1" TargetMode="External" Id="rId3"/><Relationship Type="http://schemas.openxmlformats.org/officeDocument/2006/relationships/hyperlink" Target="#'Sep 2026'!A1" TargetMode="External" Id="rId4"/><Relationship Type="http://schemas.openxmlformats.org/officeDocument/2006/relationships/hyperlink" Target="#'Jan 2027'!A1" TargetMode="External" Id="rId5"/><Relationship Type="http://schemas.openxmlformats.org/officeDocument/2006/relationships/hyperlink" Target="#'Jan 2028'!A1" TargetMode="External" Id="rId6"/><Relationship Type="http://schemas.openxmlformats.org/officeDocument/2006/relationships/hyperlink" Target="#'Jan 2029'!A1" TargetMode="External" Id="rId7"/><Relationship Type="http://schemas.openxmlformats.org/officeDocument/2006/relationships/hyperlink" Target="#'Jan 2030'!A1" TargetMode="External" Id="rId8"/><Relationship Type="http://schemas.openxmlformats.org/officeDocument/2006/relationships/hyperlink" Target="#'Jan 2030'!A1" TargetMode="External" Id="rId9"/><Relationship Type="http://schemas.openxmlformats.org/officeDocument/2006/relationships/hyperlink" Target="#'Mar 2030'!A1" TargetMode="External" Id="rId10"/><Relationship Type="http://schemas.openxmlformats.org/officeDocument/2006/relationships/drawing" Target="/xl/drawings/drawing44.xml" Id="rId11"/></Relationships>
</file>

<file path=xl/worksheets/_rels/sheet46.xml.rels><Relationships xmlns="http://schemas.openxmlformats.org/package/2006/relationships"><Relationship Type="http://schemas.openxmlformats.org/officeDocument/2006/relationships/hyperlink" Target="#'Master Dashboard'!A1" TargetMode="External" Id="rId1"/><Relationship Type="http://schemas.openxmlformats.org/officeDocument/2006/relationships/hyperlink" Target="#'Quarterly Hub'!A1" TargetMode="External" Id="rId2"/><Relationship Type="http://schemas.openxmlformats.org/officeDocument/2006/relationships/hyperlink" Target="#'Habit Library'!A1" TargetMode="External" Id="rId3"/><Relationship Type="http://schemas.openxmlformats.org/officeDocument/2006/relationships/hyperlink" Target="#'Sep 2026'!A1" TargetMode="External" Id="rId4"/><Relationship Type="http://schemas.openxmlformats.org/officeDocument/2006/relationships/hyperlink" Target="#'Jan 2027'!A1" TargetMode="External" Id="rId5"/><Relationship Type="http://schemas.openxmlformats.org/officeDocument/2006/relationships/hyperlink" Target="#'Jan 2028'!A1" TargetMode="External" Id="rId6"/><Relationship Type="http://schemas.openxmlformats.org/officeDocument/2006/relationships/hyperlink" Target="#'Jan 2029'!A1" TargetMode="External" Id="rId7"/><Relationship Type="http://schemas.openxmlformats.org/officeDocument/2006/relationships/hyperlink" Target="#'Jan 2030'!A1" TargetMode="External" Id="rId8"/><Relationship Type="http://schemas.openxmlformats.org/officeDocument/2006/relationships/hyperlink" Target="#'Feb 2030'!A1" TargetMode="External" Id="rId9"/><Relationship Type="http://schemas.openxmlformats.org/officeDocument/2006/relationships/hyperlink" Target="#'Apr 2030'!A1" TargetMode="External" Id="rId10"/><Relationship Type="http://schemas.openxmlformats.org/officeDocument/2006/relationships/drawing" Target="/xl/drawings/drawing45.xml" Id="rId11"/></Relationships>
</file>

<file path=xl/worksheets/_rels/sheet47.xml.rels><Relationships xmlns="http://schemas.openxmlformats.org/package/2006/relationships"><Relationship Type="http://schemas.openxmlformats.org/officeDocument/2006/relationships/hyperlink" Target="#'Master Dashboard'!A1" TargetMode="External" Id="rId1"/><Relationship Type="http://schemas.openxmlformats.org/officeDocument/2006/relationships/hyperlink" Target="#'Quarterly Hub'!A1" TargetMode="External" Id="rId2"/><Relationship Type="http://schemas.openxmlformats.org/officeDocument/2006/relationships/hyperlink" Target="#'Habit Library'!A1" TargetMode="External" Id="rId3"/><Relationship Type="http://schemas.openxmlformats.org/officeDocument/2006/relationships/hyperlink" Target="#'Sep 2026'!A1" TargetMode="External" Id="rId4"/><Relationship Type="http://schemas.openxmlformats.org/officeDocument/2006/relationships/hyperlink" Target="#'Jan 2027'!A1" TargetMode="External" Id="rId5"/><Relationship Type="http://schemas.openxmlformats.org/officeDocument/2006/relationships/hyperlink" Target="#'Jan 2028'!A1" TargetMode="External" Id="rId6"/><Relationship Type="http://schemas.openxmlformats.org/officeDocument/2006/relationships/hyperlink" Target="#'Jan 2029'!A1" TargetMode="External" Id="rId7"/><Relationship Type="http://schemas.openxmlformats.org/officeDocument/2006/relationships/hyperlink" Target="#'Jan 2030'!A1" TargetMode="External" Id="rId8"/><Relationship Type="http://schemas.openxmlformats.org/officeDocument/2006/relationships/hyperlink" Target="#'Mar 2030'!A1" TargetMode="External" Id="rId9"/><Relationship Type="http://schemas.openxmlformats.org/officeDocument/2006/relationships/hyperlink" Target="#'May 2030'!A1" TargetMode="External" Id="rId10"/><Relationship Type="http://schemas.openxmlformats.org/officeDocument/2006/relationships/drawing" Target="/xl/drawings/drawing46.xml" Id="rId11"/></Relationships>
</file>

<file path=xl/worksheets/_rels/sheet48.xml.rels><Relationships xmlns="http://schemas.openxmlformats.org/package/2006/relationships"><Relationship Type="http://schemas.openxmlformats.org/officeDocument/2006/relationships/hyperlink" Target="#'Master Dashboard'!A1" TargetMode="External" Id="rId1"/><Relationship Type="http://schemas.openxmlformats.org/officeDocument/2006/relationships/hyperlink" Target="#'Quarterly Hub'!A1" TargetMode="External" Id="rId2"/><Relationship Type="http://schemas.openxmlformats.org/officeDocument/2006/relationships/hyperlink" Target="#'Habit Library'!A1" TargetMode="External" Id="rId3"/><Relationship Type="http://schemas.openxmlformats.org/officeDocument/2006/relationships/hyperlink" Target="#'Sep 2026'!A1" TargetMode="External" Id="rId4"/><Relationship Type="http://schemas.openxmlformats.org/officeDocument/2006/relationships/hyperlink" Target="#'Jan 2027'!A1" TargetMode="External" Id="rId5"/><Relationship Type="http://schemas.openxmlformats.org/officeDocument/2006/relationships/hyperlink" Target="#'Jan 2028'!A1" TargetMode="External" Id="rId6"/><Relationship Type="http://schemas.openxmlformats.org/officeDocument/2006/relationships/hyperlink" Target="#'Jan 2029'!A1" TargetMode="External" Id="rId7"/><Relationship Type="http://schemas.openxmlformats.org/officeDocument/2006/relationships/hyperlink" Target="#'Jan 2030'!A1" TargetMode="External" Id="rId8"/><Relationship Type="http://schemas.openxmlformats.org/officeDocument/2006/relationships/hyperlink" Target="#'Apr 2030'!A1" TargetMode="External" Id="rId9"/><Relationship Type="http://schemas.openxmlformats.org/officeDocument/2006/relationships/hyperlink" Target="#'Jun 2030'!A1" TargetMode="External" Id="rId10"/><Relationship Type="http://schemas.openxmlformats.org/officeDocument/2006/relationships/drawing" Target="/xl/drawings/drawing47.xml" Id="rId11"/></Relationships>
</file>

<file path=xl/worksheets/_rels/sheet49.xml.rels><Relationships xmlns="http://schemas.openxmlformats.org/package/2006/relationships"><Relationship Type="http://schemas.openxmlformats.org/officeDocument/2006/relationships/hyperlink" Target="#'Master Dashboard'!A1" TargetMode="External" Id="rId1"/><Relationship Type="http://schemas.openxmlformats.org/officeDocument/2006/relationships/hyperlink" Target="#'Quarterly Hub'!A1" TargetMode="External" Id="rId2"/><Relationship Type="http://schemas.openxmlformats.org/officeDocument/2006/relationships/hyperlink" Target="#'Habit Library'!A1" TargetMode="External" Id="rId3"/><Relationship Type="http://schemas.openxmlformats.org/officeDocument/2006/relationships/hyperlink" Target="#'Sep 2026'!A1" TargetMode="External" Id="rId4"/><Relationship Type="http://schemas.openxmlformats.org/officeDocument/2006/relationships/hyperlink" Target="#'Jan 2027'!A1" TargetMode="External" Id="rId5"/><Relationship Type="http://schemas.openxmlformats.org/officeDocument/2006/relationships/hyperlink" Target="#'Jan 2028'!A1" TargetMode="External" Id="rId6"/><Relationship Type="http://schemas.openxmlformats.org/officeDocument/2006/relationships/hyperlink" Target="#'Jan 2029'!A1" TargetMode="External" Id="rId7"/><Relationship Type="http://schemas.openxmlformats.org/officeDocument/2006/relationships/hyperlink" Target="#'Jan 2030'!A1" TargetMode="External" Id="rId8"/><Relationship Type="http://schemas.openxmlformats.org/officeDocument/2006/relationships/hyperlink" Target="#'May 2030'!A1" TargetMode="External" Id="rId9"/><Relationship Type="http://schemas.openxmlformats.org/officeDocument/2006/relationships/hyperlink" Target="#'Jul 2030'!A1" TargetMode="External" Id="rId10"/><Relationship Type="http://schemas.openxmlformats.org/officeDocument/2006/relationships/drawing" Target="/xl/drawings/drawing48.xml" Id="rId11"/></Relationships>
</file>

<file path=xl/worksheets/_rels/sheet50.xml.rels><Relationships xmlns="http://schemas.openxmlformats.org/package/2006/relationships"><Relationship Type="http://schemas.openxmlformats.org/officeDocument/2006/relationships/hyperlink" Target="#'Master Dashboard'!A1" TargetMode="External" Id="rId1"/><Relationship Type="http://schemas.openxmlformats.org/officeDocument/2006/relationships/hyperlink" Target="#'Quarterly Hub'!A1" TargetMode="External" Id="rId2"/><Relationship Type="http://schemas.openxmlformats.org/officeDocument/2006/relationships/hyperlink" Target="#'Habit Library'!A1" TargetMode="External" Id="rId3"/><Relationship Type="http://schemas.openxmlformats.org/officeDocument/2006/relationships/hyperlink" Target="#'Sep 2026'!A1" TargetMode="External" Id="rId4"/><Relationship Type="http://schemas.openxmlformats.org/officeDocument/2006/relationships/hyperlink" Target="#'Jan 2027'!A1" TargetMode="External" Id="rId5"/><Relationship Type="http://schemas.openxmlformats.org/officeDocument/2006/relationships/hyperlink" Target="#'Jan 2028'!A1" TargetMode="External" Id="rId6"/><Relationship Type="http://schemas.openxmlformats.org/officeDocument/2006/relationships/hyperlink" Target="#'Jan 2029'!A1" TargetMode="External" Id="rId7"/><Relationship Type="http://schemas.openxmlformats.org/officeDocument/2006/relationships/hyperlink" Target="#'Jan 2030'!A1" TargetMode="External" Id="rId8"/><Relationship Type="http://schemas.openxmlformats.org/officeDocument/2006/relationships/hyperlink" Target="#'Jun 2030'!A1" TargetMode="External" Id="rId9"/><Relationship Type="http://schemas.openxmlformats.org/officeDocument/2006/relationships/hyperlink" Target="#'Aug 2030'!A1" TargetMode="External" Id="rId10"/><Relationship Type="http://schemas.openxmlformats.org/officeDocument/2006/relationships/drawing" Target="/xl/drawings/drawing49.xml" Id="rId11"/></Relationships>
</file>

<file path=xl/worksheets/_rels/sheet51.xml.rels><Relationships xmlns="http://schemas.openxmlformats.org/package/2006/relationships"><Relationship Type="http://schemas.openxmlformats.org/officeDocument/2006/relationships/hyperlink" Target="#'Master Dashboard'!A1" TargetMode="External" Id="rId1"/><Relationship Type="http://schemas.openxmlformats.org/officeDocument/2006/relationships/hyperlink" Target="#'Quarterly Hub'!A1" TargetMode="External" Id="rId2"/><Relationship Type="http://schemas.openxmlformats.org/officeDocument/2006/relationships/hyperlink" Target="#'Habit Library'!A1" TargetMode="External" Id="rId3"/><Relationship Type="http://schemas.openxmlformats.org/officeDocument/2006/relationships/hyperlink" Target="#'Sep 2026'!A1" TargetMode="External" Id="rId4"/><Relationship Type="http://schemas.openxmlformats.org/officeDocument/2006/relationships/hyperlink" Target="#'Jan 2027'!A1" TargetMode="External" Id="rId5"/><Relationship Type="http://schemas.openxmlformats.org/officeDocument/2006/relationships/hyperlink" Target="#'Jan 2028'!A1" TargetMode="External" Id="rId6"/><Relationship Type="http://schemas.openxmlformats.org/officeDocument/2006/relationships/hyperlink" Target="#'Jan 2029'!A1" TargetMode="External" Id="rId7"/><Relationship Type="http://schemas.openxmlformats.org/officeDocument/2006/relationships/hyperlink" Target="#'Jan 2030'!A1" TargetMode="External" Id="rId8"/><Relationship Type="http://schemas.openxmlformats.org/officeDocument/2006/relationships/hyperlink" Target="#'Jul 2030'!A1" TargetMode="External" Id="rId9"/><Relationship Type="http://schemas.openxmlformats.org/officeDocument/2006/relationships/hyperlink" Target="#'Sep 2030'!A1" TargetMode="External" Id="rId10"/><Relationship Type="http://schemas.openxmlformats.org/officeDocument/2006/relationships/drawing" Target="/xl/drawings/drawing50.xml" Id="rId11"/></Relationships>
</file>

<file path=xl/worksheets/_rels/sheet52.xml.rels><Relationships xmlns="http://schemas.openxmlformats.org/package/2006/relationships"><Relationship Type="http://schemas.openxmlformats.org/officeDocument/2006/relationships/hyperlink" Target="#'Master Dashboard'!A1" TargetMode="External" Id="rId1"/><Relationship Type="http://schemas.openxmlformats.org/officeDocument/2006/relationships/hyperlink" Target="#'Quarterly Hub'!A1" TargetMode="External" Id="rId2"/><Relationship Type="http://schemas.openxmlformats.org/officeDocument/2006/relationships/hyperlink" Target="#'Habit Library'!A1" TargetMode="External" Id="rId3"/><Relationship Type="http://schemas.openxmlformats.org/officeDocument/2006/relationships/hyperlink" Target="#'Sep 2026'!A1" TargetMode="External" Id="rId4"/><Relationship Type="http://schemas.openxmlformats.org/officeDocument/2006/relationships/hyperlink" Target="#'Jan 2027'!A1" TargetMode="External" Id="rId5"/><Relationship Type="http://schemas.openxmlformats.org/officeDocument/2006/relationships/hyperlink" Target="#'Jan 2028'!A1" TargetMode="External" Id="rId6"/><Relationship Type="http://schemas.openxmlformats.org/officeDocument/2006/relationships/hyperlink" Target="#'Jan 2029'!A1" TargetMode="External" Id="rId7"/><Relationship Type="http://schemas.openxmlformats.org/officeDocument/2006/relationships/hyperlink" Target="#'Jan 2030'!A1" TargetMode="External" Id="rId8"/><Relationship Type="http://schemas.openxmlformats.org/officeDocument/2006/relationships/hyperlink" Target="#'Aug 2030'!A1" TargetMode="External" Id="rId9"/><Relationship Type="http://schemas.openxmlformats.org/officeDocument/2006/relationships/hyperlink" Target="#'Oct 2030'!A1" TargetMode="External" Id="rId10"/><Relationship Type="http://schemas.openxmlformats.org/officeDocument/2006/relationships/drawing" Target="/xl/drawings/drawing51.xml" Id="rId11"/></Relationships>
</file>

<file path=xl/worksheets/_rels/sheet53.xml.rels><Relationships xmlns="http://schemas.openxmlformats.org/package/2006/relationships"><Relationship Type="http://schemas.openxmlformats.org/officeDocument/2006/relationships/hyperlink" Target="#'Master Dashboard'!A1" TargetMode="External" Id="rId1"/><Relationship Type="http://schemas.openxmlformats.org/officeDocument/2006/relationships/hyperlink" Target="#'Quarterly Hub'!A1" TargetMode="External" Id="rId2"/><Relationship Type="http://schemas.openxmlformats.org/officeDocument/2006/relationships/hyperlink" Target="#'Habit Library'!A1" TargetMode="External" Id="rId3"/><Relationship Type="http://schemas.openxmlformats.org/officeDocument/2006/relationships/hyperlink" Target="#'Sep 2026'!A1" TargetMode="External" Id="rId4"/><Relationship Type="http://schemas.openxmlformats.org/officeDocument/2006/relationships/hyperlink" Target="#'Jan 2027'!A1" TargetMode="External" Id="rId5"/><Relationship Type="http://schemas.openxmlformats.org/officeDocument/2006/relationships/hyperlink" Target="#'Jan 2028'!A1" TargetMode="External" Id="rId6"/><Relationship Type="http://schemas.openxmlformats.org/officeDocument/2006/relationships/hyperlink" Target="#'Jan 2029'!A1" TargetMode="External" Id="rId7"/><Relationship Type="http://schemas.openxmlformats.org/officeDocument/2006/relationships/hyperlink" Target="#'Jan 2030'!A1" TargetMode="External" Id="rId8"/><Relationship Type="http://schemas.openxmlformats.org/officeDocument/2006/relationships/hyperlink" Target="#'Sep 2030'!A1" TargetMode="External" Id="rId9"/><Relationship Type="http://schemas.openxmlformats.org/officeDocument/2006/relationships/hyperlink" Target="#'Nov 2030'!A1" TargetMode="External" Id="rId10"/><Relationship Type="http://schemas.openxmlformats.org/officeDocument/2006/relationships/drawing" Target="/xl/drawings/drawing52.xml" Id="rId11"/></Relationships>
</file>

<file path=xl/worksheets/_rels/sheet54.xml.rels><Relationships xmlns="http://schemas.openxmlformats.org/package/2006/relationships"><Relationship Type="http://schemas.openxmlformats.org/officeDocument/2006/relationships/hyperlink" Target="#'Master Dashboard'!A1" TargetMode="External" Id="rId1"/><Relationship Type="http://schemas.openxmlformats.org/officeDocument/2006/relationships/hyperlink" Target="#'Quarterly Hub'!A1" TargetMode="External" Id="rId2"/><Relationship Type="http://schemas.openxmlformats.org/officeDocument/2006/relationships/hyperlink" Target="#'Habit Library'!A1" TargetMode="External" Id="rId3"/><Relationship Type="http://schemas.openxmlformats.org/officeDocument/2006/relationships/hyperlink" Target="#'Sep 2026'!A1" TargetMode="External" Id="rId4"/><Relationship Type="http://schemas.openxmlformats.org/officeDocument/2006/relationships/hyperlink" Target="#'Jan 2027'!A1" TargetMode="External" Id="rId5"/><Relationship Type="http://schemas.openxmlformats.org/officeDocument/2006/relationships/hyperlink" Target="#'Jan 2028'!A1" TargetMode="External" Id="rId6"/><Relationship Type="http://schemas.openxmlformats.org/officeDocument/2006/relationships/hyperlink" Target="#'Jan 2029'!A1" TargetMode="External" Id="rId7"/><Relationship Type="http://schemas.openxmlformats.org/officeDocument/2006/relationships/hyperlink" Target="#'Jan 2030'!A1" TargetMode="External" Id="rId8"/><Relationship Type="http://schemas.openxmlformats.org/officeDocument/2006/relationships/hyperlink" Target="#'Oct 2030'!A1" TargetMode="External" Id="rId9"/><Relationship Type="http://schemas.openxmlformats.org/officeDocument/2006/relationships/hyperlink" Target="#'Dec 2030'!A1" TargetMode="External" Id="rId10"/><Relationship Type="http://schemas.openxmlformats.org/officeDocument/2006/relationships/drawing" Target="/xl/drawings/drawing53.xml" Id="rId11"/></Relationships>
</file>

<file path=xl/worksheets/_rels/sheet55.xml.rels><Relationships xmlns="http://schemas.openxmlformats.org/package/2006/relationships"><Relationship Type="http://schemas.openxmlformats.org/officeDocument/2006/relationships/hyperlink" Target="#'Master Dashboard'!A1" TargetMode="External" Id="rId1"/><Relationship Type="http://schemas.openxmlformats.org/officeDocument/2006/relationships/hyperlink" Target="#'Quarterly Hub'!A1" TargetMode="External" Id="rId2"/><Relationship Type="http://schemas.openxmlformats.org/officeDocument/2006/relationships/hyperlink" Target="#'Habit Library'!A1" TargetMode="External" Id="rId3"/><Relationship Type="http://schemas.openxmlformats.org/officeDocument/2006/relationships/hyperlink" Target="#'Sep 2026'!A1" TargetMode="External" Id="rId4"/><Relationship Type="http://schemas.openxmlformats.org/officeDocument/2006/relationships/hyperlink" Target="#'Jan 2027'!A1" TargetMode="External" Id="rId5"/><Relationship Type="http://schemas.openxmlformats.org/officeDocument/2006/relationships/hyperlink" Target="#'Jan 2028'!A1" TargetMode="External" Id="rId6"/><Relationship Type="http://schemas.openxmlformats.org/officeDocument/2006/relationships/hyperlink" Target="#'Jan 2029'!A1" TargetMode="External" Id="rId7"/><Relationship Type="http://schemas.openxmlformats.org/officeDocument/2006/relationships/hyperlink" Target="#'Jan 2030'!A1" TargetMode="External" Id="rId8"/><Relationship Type="http://schemas.openxmlformats.org/officeDocument/2006/relationships/hyperlink" Target="#'Nov 2030'!A1" TargetMode="External" Id="rId9"/><Relationship Type="http://schemas.openxmlformats.org/officeDocument/2006/relationships/drawing" Target="/xl/drawings/drawing54.xml" Id="rId10"/></Relationships>
</file>

<file path=xl/worksheets/sheet1.xml><?xml version="1.0" encoding="utf-8"?>
<worksheet xmlns="http://schemas.openxmlformats.org/spreadsheetml/2006/main">
  <sheetPr>
    <outlinePr summaryBelow="1" summaryRight="1"/>
    <pageSetUpPr fitToPage="1"/>
  </sheetPr>
  <dimension ref="A2:M70"/>
  <sheetViews>
    <sheetView showGridLines="1" workbookViewId="0">
      <selection activeCell="A1" sqref="A1"/>
    </sheetView>
  </sheetViews>
  <sheetFormatPr baseColWidth="8" defaultRowHeight="15"/>
  <cols>
    <col width="13" customWidth="1" min="1" max="1"/>
    <col width="12.5" customWidth="1" min="2" max="2"/>
    <col width="12" customWidth="1" min="3" max="3"/>
    <col width="12" customWidth="1" min="4" max="4"/>
    <col width="13" customWidth="1" min="5" max="5"/>
    <col width="12" customWidth="1" min="6" max="6"/>
    <col width="13" customWidth="1" min="7" max="7"/>
    <col width="12.5" customWidth="1" min="8" max="8"/>
    <col width="17" customWidth="1" min="9" max="9"/>
    <col width="10" customWidth="1" min="10" max="10"/>
    <col width="4" customWidth="1" min="11" max="11"/>
  </cols>
  <sheetData>
    <row r="1" ht="8" customHeight="1"/>
    <row r="2" ht="26" customHeight="1">
      <c r="A2" s="1" t="inlineStr">
        <is>
          <t>Executive Habit &amp; Performance Master Dashboard</t>
        </is>
      </c>
      <c r="F2" s="2" t="inlineStr">
        <is>
          <t>Multi-Year Executive Suite (2026 – 2030)</t>
        </is>
      </c>
    </row>
    <row r="3" ht="16" customHeight="1">
      <c r="A3" s="3" t="inlineStr">
        <is>
          <t>"Long-term consistency trumps short-term intensity. Track, review, and elevate."</t>
        </is>
      </c>
    </row>
    <row r="4" ht="18" customHeight="1">
      <c r="A4" s="4" t="inlineStr">
        <is>
          <t>🏛️ Quarterly Hub</t>
        </is>
      </c>
      <c r="B4" s="5" t="n"/>
      <c r="C4" s="6" t="inlineStr">
        <is>
          <t>📚 Habit Library</t>
        </is>
      </c>
      <c r="D4" s="7" t="n"/>
    </row>
    <row r="5">
      <c r="A5" s="8" t="inlineStr">
        <is>
          <t>GLOBAL SUCCESS RATE</t>
        </is>
      </c>
      <c r="B5" s="9" t="n"/>
      <c r="C5" s="10" t="inlineStr">
        <is>
          <t>ALL-TIME CHECKS</t>
        </is>
      </c>
      <c r="D5" s="11" t="n"/>
      <c r="E5" s="12" t="inlineStr">
        <is>
          <t>TOTAL TARGET DAYS</t>
        </is>
      </c>
      <c r="F5" s="13" t="n"/>
      <c r="G5" s="14" t="inlineStr">
        <is>
          <t>PEAK MONTH ON RECORD</t>
        </is>
      </c>
      <c r="H5" s="15" t="n"/>
      <c r="I5" s="16" t="inlineStr">
        <is>
          <t>GLOBAL AVG SLEEP</t>
        </is>
      </c>
      <c r="J5" s="17" t="n"/>
    </row>
    <row r="6">
      <c r="A6" s="18">
        <f>AVERAGEIF(E19:E70, "&gt;0")</f>
        <v/>
      </c>
      <c r="B6" s="9" t="n"/>
      <c r="C6" s="19">
        <f>SUM(D19:D70)</f>
        <v/>
      </c>
      <c r="D6" s="11" t="n"/>
      <c r="E6" s="20">
        <f>SUM(C19:C70)</f>
        <v/>
      </c>
      <c r="F6" s="13" t="n"/>
      <c r="G6" s="21">
        <f>INDEX(A19:A70, MATCH(MAX(E19:E70), E19:E70, 0))</f>
        <v/>
      </c>
      <c r="H6" s="15" t="n"/>
      <c r="I6" s="22">
        <f>IFERROR(TEXT(AVERAGEIF(G19:G70, "&gt;0"), "0.0") &amp; " hrs", "-")</f>
        <v/>
      </c>
      <c r="J6" s="17" t="n"/>
    </row>
    <row r="7">
      <c r="A7" s="9" t="n"/>
      <c r="B7" s="9" t="n"/>
      <c r="C7" s="11" t="n"/>
      <c r="D7" s="11" t="n"/>
      <c r="E7" s="13" t="n"/>
      <c r="F7" s="13" t="n"/>
      <c r="G7" s="15" t="n"/>
      <c r="H7" s="15" t="n"/>
      <c r="I7" s="17" t="n"/>
      <c r="J7" s="17" t="n"/>
    </row>
    <row r="8">
      <c r="A8" s="9" t="n"/>
      <c r="B8" s="9" t="n"/>
      <c r="C8" s="11" t="n"/>
      <c r="D8" s="11" t="n"/>
      <c r="E8" s="13" t="n"/>
      <c r="F8" s="13" t="n"/>
      <c r="G8" s="15" t="n"/>
      <c r="H8" s="15" t="n"/>
      <c r="I8" s="17" t="n"/>
      <c r="J8" s="17" t="n"/>
    </row>
    <row r="9">
      <c r="A9" s="23" t="inlineStr">
        <is>
          <t>Overall Execution Rate</t>
        </is>
      </c>
      <c r="B9" s="9" t="n"/>
      <c r="C9" s="24" t="inlineStr">
        <is>
          <t>Total Done Checks Logged</t>
        </is>
      </c>
      <c r="D9" s="11" t="n"/>
      <c r="E9" s="25" t="inlineStr">
        <is>
          <t>All Commitments Made</t>
        </is>
      </c>
      <c r="F9" s="13" t="n"/>
      <c r="G9" s="26" t="inlineStr">
        <is>
          <t>Highest Consistency Month</t>
        </is>
      </c>
      <c r="H9" s="15" t="n"/>
      <c r="I9" s="27" t="inlineStr">
        <is>
          <t>Multi-Year Sleep Average</t>
        </is>
      </c>
      <c r="J9" s="17" t="n"/>
    </row>
    <row r="10" ht="6" customHeight="1"/>
    <row r="11">
      <c r="A11" s="28" t="inlineStr">
        <is>
          <t>⚡ ONE-CLICK MONTH NAVIGATOR (CLICK ANY MONTH TO JUMP DIRECTLY)</t>
        </is>
      </c>
      <c r="B11" s="29" t="n"/>
      <c r="C11" s="29" t="n"/>
      <c r="D11" s="29" t="n"/>
      <c r="E11" s="29" t="n"/>
      <c r="F11" s="29" t="n"/>
      <c r="G11" s="29" t="n"/>
      <c r="H11" s="29" t="n"/>
      <c r="I11" s="29" t="n"/>
      <c r="J11" s="29" t="n"/>
    </row>
    <row r="12" ht="14" customHeight="1">
      <c r="A12" s="30" t="inlineStr">
        <is>
          <t>Year 2026:</t>
        </is>
      </c>
      <c r="B12" s="31" t="inlineStr">
        <is>
          <t>Sep</t>
        </is>
      </c>
      <c r="C12" s="31" t="inlineStr">
        <is>
          <t>Oct</t>
        </is>
      </c>
      <c r="D12" s="31" t="inlineStr">
        <is>
          <t>Nov</t>
        </is>
      </c>
      <c r="E12" s="31" t="inlineStr">
        <is>
          <t>Dec</t>
        </is>
      </c>
    </row>
    <row r="13" ht="14" customHeight="1">
      <c r="A13" s="30" t="inlineStr">
        <is>
          <t>Year 2027:</t>
        </is>
      </c>
      <c r="B13" s="31" t="inlineStr">
        <is>
          <t>Jan</t>
        </is>
      </c>
      <c r="C13" s="31" t="inlineStr">
        <is>
          <t>Feb</t>
        </is>
      </c>
      <c r="D13" s="31" t="inlineStr">
        <is>
          <t>Mar</t>
        </is>
      </c>
      <c r="E13" s="31" t="inlineStr">
        <is>
          <t>Apr</t>
        </is>
      </c>
      <c r="F13" s="31" t="inlineStr">
        <is>
          <t>May</t>
        </is>
      </c>
      <c r="G13" s="31" t="inlineStr">
        <is>
          <t>Jun</t>
        </is>
      </c>
      <c r="H13" s="31" t="inlineStr">
        <is>
          <t>Jul</t>
        </is>
      </c>
      <c r="I13" s="31" t="inlineStr">
        <is>
          <t>Aug</t>
        </is>
      </c>
      <c r="J13" s="31" t="inlineStr">
        <is>
          <t>Sep</t>
        </is>
      </c>
      <c r="K13" s="31" t="inlineStr">
        <is>
          <t>Oct</t>
        </is>
      </c>
      <c r="L13" s="31" t="inlineStr">
        <is>
          <t>Nov</t>
        </is>
      </c>
      <c r="M13" s="31" t="inlineStr">
        <is>
          <t>Dec</t>
        </is>
      </c>
    </row>
    <row r="14" ht="14" customHeight="1">
      <c r="A14" s="30" t="inlineStr">
        <is>
          <t>Year 2028:</t>
        </is>
      </c>
      <c r="B14" s="31" t="inlineStr">
        <is>
          <t>Jan</t>
        </is>
      </c>
      <c r="C14" s="31" t="inlineStr">
        <is>
          <t>Feb</t>
        </is>
      </c>
      <c r="D14" s="31" t="inlineStr">
        <is>
          <t>Mar</t>
        </is>
      </c>
      <c r="E14" s="31" t="inlineStr">
        <is>
          <t>Apr</t>
        </is>
      </c>
      <c r="F14" s="31" t="inlineStr">
        <is>
          <t>May</t>
        </is>
      </c>
      <c r="G14" s="31" t="inlineStr">
        <is>
          <t>Jun</t>
        </is>
      </c>
      <c r="H14" s="31" t="inlineStr">
        <is>
          <t>Jul</t>
        </is>
      </c>
      <c r="I14" s="31" t="inlineStr">
        <is>
          <t>Aug</t>
        </is>
      </c>
      <c r="J14" s="31" t="inlineStr">
        <is>
          <t>Sep</t>
        </is>
      </c>
      <c r="K14" s="31" t="inlineStr">
        <is>
          <t>Oct</t>
        </is>
      </c>
      <c r="L14" s="31" t="inlineStr">
        <is>
          <t>Nov</t>
        </is>
      </c>
      <c r="M14" s="31" t="inlineStr">
        <is>
          <t>Dec</t>
        </is>
      </c>
    </row>
    <row r="15" ht="14" customHeight="1">
      <c r="A15" s="30" t="inlineStr">
        <is>
          <t>Year 2029:</t>
        </is>
      </c>
      <c r="B15" s="31" t="inlineStr">
        <is>
          <t>Jan</t>
        </is>
      </c>
      <c r="C15" s="31" t="inlineStr">
        <is>
          <t>Feb</t>
        </is>
      </c>
      <c r="D15" s="31" t="inlineStr">
        <is>
          <t>Mar</t>
        </is>
      </c>
      <c r="E15" s="31" t="inlineStr">
        <is>
          <t>Apr</t>
        </is>
      </c>
      <c r="F15" s="31" t="inlineStr">
        <is>
          <t>May</t>
        </is>
      </c>
      <c r="G15" s="31" t="inlineStr">
        <is>
          <t>Jun</t>
        </is>
      </c>
      <c r="H15" s="31" t="inlineStr">
        <is>
          <t>Jul</t>
        </is>
      </c>
      <c r="I15" s="31" t="inlineStr">
        <is>
          <t>Aug</t>
        </is>
      </c>
      <c r="J15" s="31" t="inlineStr">
        <is>
          <t>Sep</t>
        </is>
      </c>
      <c r="K15" s="31" t="inlineStr">
        <is>
          <t>Oct</t>
        </is>
      </c>
      <c r="L15" s="31" t="inlineStr">
        <is>
          <t>Nov</t>
        </is>
      </c>
      <c r="M15" s="31" t="inlineStr">
        <is>
          <t>Dec</t>
        </is>
      </c>
    </row>
    <row r="16" ht="14" customHeight="1">
      <c r="A16" s="30" t="inlineStr">
        <is>
          <t>Year 2030:</t>
        </is>
      </c>
      <c r="B16" s="31" t="inlineStr">
        <is>
          <t>Jan</t>
        </is>
      </c>
      <c r="C16" s="31" t="inlineStr">
        <is>
          <t>Feb</t>
        </is>
      </c>
      <c r="D16" s="31" t="inlineStr">
        <is>
          <t>Mar</t>
        </is>
      </c>
      <c r="E16" s="31" t="inlineStr">
        <is>
          <t>Apr</t>
        </is>
      </c>
      <c r="F16" s="31" t="inlineStr">
        <is>
          <t>May</t>
        </is>
      </c>
      <c r="G16" s="31" t="inlineStr">
        <is>
          <t>Jun</t>
        </is>
      </c>
      <c r="H16" s="31" t="inlineStr">
        <is>
          <t>Jul</t>
        </is>
      </c>
      <c r="I16" s="31" t="inlineStr">
        <is>
          <t>Aug</t>
        </is>
      </c>
      <c r="J16" s="31" t="inlineStr">
        <is>
          <t>Sep</t>
        </is>
      </c>
      <c r="K16" s="31" t="inlineStr">
        <is>
          <t>Oct</t>
        </is>
      </c>
      <c r="L16" s="31" t="inlineStr">
        <is>
          <t>Nov</t>
        </is>
      </c>
      <c r="M16" s="31" t="inlineStr">
        <is>
          <t>Dec</t>
        </is>
      </c>
    </row>
    <row r="17" ht="8" customHeight="1"/>
    <row r="18" ht="16" customHeight="1">
      <c r="A18" s="32" t="inlineStr">
        <is>
          <t>Month &amp; Year</t>
        </is>
      </c>
      <c r="B18" s="32" t="inlineStr">
        <is>
          <t>Active Habits</t>
        </is>
      </c>
      <c r="C18" s="32" t="inlineStr">
        <is>
          <t>Target Days</t>
        </is>
      </c>
      <c r="D18" s="32" t="inlineStr">
        <is>
          <t>Done Checks</t>
        </is>
      </c>
      <c r="E18" s="32" t="inlineStr">
        <is>
          <t>Success %</t>
        </is>
      </c>
      <c r="F18" s="32" t="inlineStr">
        <is>
          <t>Perfect Days</t>
        </is>
      </c>
      <c r="G18" s="32" t="inlineStr">
        <is>
          <t>Avg Sleep (hrs)</t>
        </is>
      </c>
      <c r="H18" s="32" t="inlineStr">
        <is>
          <t>Best Week</t>
        </is>
      </c>
      <c r="I18" s="32" t="inlineStr">
        <is>
          <t>Top Life Domain</t>
        </is>
      </c>
      <c r="J18" s="32" t="inlineStr">
        <is>
          <t>Direct Link</t>
        </is>
      </c>
    </row>
    <row r="19" ht="14" customHeight="1">
      <c r="A19" s="33" t="inlineStr">
        <is>
          <t>Sep 2026</t>
        </is>
      </c>
      <c r="B19" s="34">
        <f>'Sep 2026'!E92</f>
        <v/>
      </c>
      <c r="C19" s="34">
        <f>'Sep 2026'!G92</f>
        <v/>
      </c>
      <c r="D19" s="34">
        <f>'Sep 2026'!I92</f>
        <v/>
      </c>
      <c r="E19" s="35">
        <f>'Sep 2026'!K92</f>
        <v/>
      </c>
      <c r="F19" s="34">
        <f>'Sep 2026'!M92</f>
        <v/>
      </c>
      <c r="G19" s="36">
        <f>'Sep 2026'!O92</f>
        <v/>
      </c>
      <c r="H19" s="34">
        <f>'Sep 2026'!Q92</f>
        <v/>
      </c>
      <c r="I19" s="34">
        <f>'Sep 2026'!T92</f>
        <v/>
      </c>
      <c r="J19" s="37" t="inlineStr">
        <is>
          <t>Jump ↗</t>
        </is>
      </c>
    </row>
    <row r="20" ht="14" customHeight="1">
      <c r="A20" s="33" t="inlineStr">
        <is>
          <t>Oct 2026</t>
        </is>
      </c>
      <c r="B20" s="34">
        <f>'Oct 2026'!E92</f>
        <v/>
      </c>
      <c r="C20" s="34">
        <f>'Oct 2026'!G92</f>
        <v/>
      </c>
      <c r="D20" s="34">
        <f>'Oct 2026'!I92</f>
        <v/>
      </c>
      <c r="E20" s="35">
        <f>'Oct 2026'!K92</f>
        <v/>
      </c>
      <c r="F20" s="34">
        <f>'Oct 2026'!M92</f>
        <v/>
      </c>
      <c r="G20" s="36">
        <f>'Oct 2026'!O92</f>
        <v/>
      </c>
      <c r="H20" s="34">
        <f>'Oct 2026'!Q92</f>
        <v/>
      </c>
      <c r="I20" s="34">
        <f>'Oct 2026'!T92</f>
        <v/>
      </c>
      <c r="J20" s="37" t="inlineStr">
        <is>
          <t>Jump ↗</t>
        </is>
      </c>
    </row>
    <row r="21" ht="14" customHeight="1">
      <c r="A21" s="33" t="inlineStr">
        <is>
          <t>Nov 2026</t>
        </is>
      </c>
      <c r="B21" s="34">
        <f>'Nov 2026'!E92</f>
        <v/>
      </c>
      <c r="C21" s="34">
        <f>'Nov 2026'!G92</f>
        <v/>
      </c>
      <c r="D21" s="34">
        <f>'Nov 2026'!I92</f>
        <v/>
      </c>
      <c r="E21" s="35">
        <f>'Nov 2026'!K92</f>
        <v/>
      </c>
      <c r="F21" s="34">
        <f>'Nov 2026'!M92</f>
        <v/>
      </c>
      <c r="G21" s="36">
        <f>'Nov 2026'!O92</f>
        <v/>
      </c>
      <c r="H21" s="34">
        <f>'Nov 2026'!Q92</f>
        <v/>
      </c>
      <c r="I21" s="34">
        <f>'Nov 2026'!T92</f>
        <v/>
      </c>
      <c r="J21" s="37" t="inlineStr">
        <is>
          <t>Jump ↗</t>
        </is>
      </c>
    </row>
    <row r="22" ht="14" customHeight="1">
      <c r="A22" s="33" t="inlineStr">
        <is>
          <t>Dec 2026</t>
        </is>
      </c>
      <c r="B22" s="34">
        <f>'Dec 2026'!E92</f>
        <v/>
      </c>
      <c r="C22" s="34">
        <f>'Dec 2026'!G92</f>
        <v/>
      </c>
      <c r="D22" s="34">
        <f>'Dec 2026'!I92</f>
        <v/>
      </c>
      <c r="E22" s="35">
        <f>'Dec 2026'!K92</f>
        <v/>
      </c>
      <c r="F22" s="34">
        <f>'Dec 2026'!M92</f>
        <v/>
      </c>
      <c r="G22" s="36">
        <f>'Dec 2026'!O92</f>
        <v/>
      </c>
      <c r="H22" s="34">
        <f>'Dec 2026'!Q92</f>
        <v/>
      </c>
      <c r="I22" s="34">
        <f>'Dec 2026'!T92</f>
        <v/>
      </c>
      <c r="J22" s="37" t="inlineStr">
        <is>
          <t>Jump ↗</t>
        </is>
      </c>
    </row>
    <row r="23" ht="14" customHeight="1">
      <c r="A23" s="33" t="inlineStr">
        <is>
          <t>Jan 2027</t>
        </is>
      </c>
      <c r="B23" s="34">
        <f>'Jan 2027'!E92</f>
        <v/>
      </c>
      <c r="C23" s="34">
        <f>'Jan 2027'!G92</f>
        <v/>
      </c>
      <c r="D23" s="34">
        <f>'Jan 2027'!I92</f>
        <v/>
      </c>
      <c r="E23" s="35">
        <f>'Jan 2027'!K92</f>
        <v/>
      </c>
      <c r="F23" s="34">
        <f>'Jan 2027'!M92</f>
        <v/>
      </c>
      <c r="G23" s="36">
        <f>'Jan 2027'!O92</f>
        <v/>
      </c>
      <c r="H23" s="34">
        <f>'Jan 2027'!Q92</f>
        <v/>
      </c>
      <c r="I23" s="34">
        <f>'Jan 2027'!T92</f>
        <v/>
      </c>
      <c r="J23" s="37" t="inlineStr">
        <is>
          <t>Jump ↗</t>
        </is>
      </c>
    </row>
    <row r="24" ht="14" customHeight="1">
      <c r="A24" s="33" t="inlineStr">
        <is>
          <t>Feb 2027</t>
        </is>
      </c>
      <c r="B24" s="34">
        <f>'Feb 2027'!E92</f>
        <v/>
      </c>
      <c r="C24" s="34">
        <f>'Feb 2027'!G92</f>
        <v/>
      </c>
      <c r="D24" s="34">
        <f>'Feb 2027'!I92</f>
        <v/>
      </c>
      <c r="E24" s="35">
        <f>'Feb 2027'!K92</f>
        <v/>
      </c>
      <c r="F24" s="34">
        <f>'Feb 2027'!M92</f>
        <v/>
      </c>
      <c r="G24" s="36">
        <f>'Feb 2027'!O92</f>
        <v/>
      </c>
      <c r="H24" s="34">
        <f>'Feb 2027'!Q92</f>
        <v/>
      </c>
      <c r="I24" s="34">
        <f>'Feb 2027'!T92</f>
        <v/>
      </c>
      <c r="J24" s="37" t="inlineStr">
        <is>
          <t>Jump ↗</t>
        </is>
      </c>
    </row>
    <row r="25" ht="14" customHeight="1">
      <c r="A25" s="33" t="inlineStr">
        <is>
          <t>Mar 2027</t>
        </is>
      </c>
      <c r="B25" s="34">
        <f>'Mar 2027'!E92</f>
        <v/>
      </c>
      <c r="C25" s="34">
        <f>'Mar 2027'!G92</f>
        <v/>
      </c>
      <c r="D25" s="34">
        <f>'Mar 2027'!I92</f>
        <v/>
      </c>
      <c r="E25" s="35">
        <f>'Mar 2027'!K92</f>
        <v/>
      </c>
      <c r="F25" s="34">
        <f>'Mar 2027'!M92</f>
        <v/>
      </c>
      <c r="G25" s="36">
        <f>'Mar 2027'!O92</f>
        <v/>
      </c>
      <c r="H25" s="34">
        <f>'Mar 2027'!Q92</f>
        <v/>
      </c>
      <c r="I25" s="34">
        <f>'Mar 2027'!T92</f>
        <v/>
      </c>
      <c r="J25" s="37" t="inlineStr">
        <is>
          <t>Jump ↗</t>
        </is>
      </c>
    </row>
    <row r="26" ht="14" customHeight="1">
      <c r="A26" s="33" t="inlineStr">
        <is>
          <t>Apr 2027</t>
        </is>
      </c>
      <c r="B26" s="34">
        <f>'Apr 2027'!E92</f>
        <v/>
      </c>
      <c r="C26" s="34">
        <f>'Apr 2027'!G92</f>
        <v/>
      </c>
      <c r="D26" s="34">
        <f>'Apr 2027'!I92</f>
        <v/>
      </c>
      <c r="E26" s="35">
        <f>'Apr 2027'!K92</f>
        <v/>
      </c>
      <c r="F26" s="34">
        <f>'Apr 2027'!M92</f>
        <v/>
      </c>
      <c r="G26" s="36">
        <f>'Apr 2027'!O92</f>
        <v/>
      </c>
      <c r="H26" s="34">
        <f>'Apr 2027'!Q92</f>
        <v/>
      </c>
      <c r="I26" s="34">
        <f>'Apr 2027'!T92</f>
        <v/>
      </c>
      <c r="J26" s="37" t="inlineStr">
        <is>
          <t>Jump ↗</t>
        </is>
      </c>
    </row>
    <row r="27" ht="14" customHeight="1">
      <c r="A27" s="33" t="inlineStr">
        <is>
          <t>May 2027</t>
        </is>
      </c>
      <c r="B27" s="34">
        <f>'May 2027'!E92</f>
        <v/>
      </c>
      <c r="C27" s="34">
        <f>'May 2027'!G92</f>
        <v/>
      </c>
      <c r="D27" s="34">
        <f>'May 2027'!I92</f>
        <v/>
      </c>
      <c r="E27" s="35">
        <f>'May 2027'!K92</f>
        <v/>
      </c>
      <c r="F27" s="34">
        <f>'May 2027'!M92</f>
        <v/>
      </c>
      <c r="G27" s="36">
        <f>'May 2027'!O92</f>
        <v/>
      </c>
      <c r="H27" s="34">
        <f>'May 2027'!Q92</f>
        <v/>
      </c>
      <c r="I27" s="34">
        <f>'May 2027'!T92</f>
        <v/>
      </c>
      <c r="J27" s="37" t="inlineStr">
        <is>
          <t>Jump ↗</t>
        </is>
      </c>
    </row>
    <row r="28" ht="14" customHeight="1">
      <c r="A28" s="33" t="inlineStr">
        <is>
          <t>Jun 2027</t>
        </is>
      </c>
      <c r="B28" s="34">
        <f>'Jun 2027'!E92</f>
        <v/>
      </c>
      <c r="C28" s="34">
        <f>'Jun 2027'!G92</f>
        <v/>
      </c>
      <c r="D28" s="34">
        <f>'Jun 2027'!I92</f>
        <v/>
      </c>
      <c r="E28" s="35">
        <f>'Jun 2027'!K92</f>
        <v/>
      </c>
      <c r="F28" s="34">
        <f>'Jun 2027'!M92</f>
        <v/>
      </c>
      <c r="G28" s="36">
        <f>'Jun 2027'!O92</f>
        <v/>
      </c>
      <c r="H28" s="34">
        <f>'Jun 2027'!Q92</f>
        <v/>
      </c>
      <c r="I28" s="34">
        <f>'Jun 2027'!T92</f>
        <v/>
      </c>
      <c r="J28" s="37" t="inlineStr">
        <is>
          <t>Jump ↗</t>
        </is>
      </c>
    </row>
    <row r="29" ht="14" customHeight="1">
      <c r="A29" s="33" t="inlineStr">
        <is>
          <t>Jul 2027</t>
        </is>
      </c>
      <c r="B29" s="34">
        <f>'Jul 2027'!E92</f>
        <v/>
      </c>
      <c r="C29" s="34">
        <f>'Jul 2027'!G92</f>
        <v/>
      </c>
      <c r="D29" s="34">
        <f>'Jul 2027'!I92</f>
        <v/>
      </c>
      <c r="E29" s="35">
        <f>'Jul 2027'!K92</f>
        <v/>
      </c>
      <c r="F29" s="34">
        <f>'Jul 2027'!M92</f>
        <v/>
      </c>
      <c r="G29" s="36">
        <f>'Jul 2027'!O92</f>
        <v/>
      </c>
      <c r="H29" s="34">
        <f>'Jul 2027'!Q92</f>
        <v/>
      </c>
      <c r="I29" s="34">
        <f>'Jul 2027'!T92</f>
        <v/>
      </c>
      <c r="J29" s="37" t="inlineStr">
        <is>
          <t>Jump ↗</t>
        </is>
      </c>
    </row>
    <row r="30" ht="14" customHeight="1">
      <c r="A30" s="33" t="inlineStr">
        <is>
          <t>Aug 2027</t>
        </is>
      </c>
      <c r="B30" s="34">
        <f>'Aug 2027'!E92</f>
        <v/>
      </c>
      <c r="C30" s="34">
        <f>'Aug 2027'!G92</f>
        <v/>
      </c>
      <c r="D30" s="34">
        <f>'Aug 2027'!I92</f>
        <v/>
      </c>
      <c r="E30" s="35">
        <f>'Aug 2027'!K92</f>
        <v/>
      </c>
      <c r="F30" s="34">
        <f>'Aug 2027'!M92</f>
        <v/>
      </c>
      <c r="G30" s="36">
        <f>'Aug 2027'!O92</f>
        <v/>
      </c>
      <c r="H30" s="34">
        <f>'Aug 2027'!Q92</f>
        <v/>
      </c>
      <c r="I30" s="34">
        <f>'Aug 2027'!T92</f>
        <v/>
      </c>
      <c r="J30" s="37" t="inlineStr">
        <is>
          <t>Jump ↗</t>
        </is>
      </c>
    </row>
    <row r="31" ht="14" customHeight="1">
      <c r="A31" s="33" t="inlineStr">
        <is>
          <t>Sep 2027</t>
        </is>
      </c>
      <c r="B31" s="34">
        <f>'Sep 2027'!E92</f>
        <v/>
      </c>
      <c r="C31" s="34">
        <f>'Sep 2027'!G92</f>
        <v/>
      </c>
      <c r="D31" s="34">
        <f>'Sep 2027'!I92</f>
        <v/>
      </c>
      <c r="E31" s="35">
        <f>'Sep 2027'!K92</f>
        <v/>
      </c>
      <c r="F31" s="34">
        <f>'Sep 2027'!M92</f>
        <v/>
      </c>
      <c r="G31" s="36">
        <f>'Sep 2027'!O92</f>
        <v/>
      </c>
      <c r="H31" s="34">
        <f>'Sep 2027'!Q92</f>
        <v/>
      </c>
      <c r="I31" s="34">
        <f>'Sep 2027'!T92</f>
        <v/>
      </c>
      <c r="J31" s="37" t="inlineStr">
        <is>
          <t>Jump ↗</t>
        </is>
      </c>
    </row>
    <row r="32" ht="14" customHeight="1">
      <c r="A32" s="33" t="inlineStr">
        <is>
          <t>Oct 2027</t>
        </is>
      </c>
      <c r="B32" s="34">
        <f>'Oct 2027'!E92</f>
        <v/>
      </c>
      <c r="C32" s="34">
        <f>'Oct 2027'!G92</f>
        <v/>
      </c>
      <c r="D32" s="34">
        <f>'Oct 2027'!I92</f>
        <v/>
      </c>
      <c r="E32" s="35">
        <f>'Oct 2027'!K92</f>
        <v/>
      </c>
      <c r="F32" s="34">
        <f>'Oct 2027'!M92</f>
        <v/>
      </c>
      <c r="G32" s="36">
        <f>'Oct 2027'!O92</f>
        <v/>
      </c>
      <c r="H32" s="34">
        <f>'Oct 2027'!Q92</f>
        <v/>
      </c>
      <c r="I32" s="34">
        <f>'Oct 2027'!T92</f>
        <v/>
      </c>
      <c r="J32" s="37" t="inlineStr">
        <is>
          <t>Jump ↗</t>
        </is>
      </c>
    </row>
    <row r="33" ht="14" customHeight="1">
      <c r="A33" s="33" t="inlineStr">
        <is>
          <t>Nov 2027</t>
        </is>
      </c>
      <c r="B33" s="34">
        <f>'Nov 2027'!E92</f>
        <v/>
      </c>
      <c r="C33" s="34">
        <f>'Nov 2027'!G92</f>
        <v/>
      </c>
      <c r="D33" s="34">
        <f>'Nov 2027'!I92</f>
        <v/>
      </c>
      <c r="E33" s="35">
        <f>'Nov 2027'!K92</f>
        <v/>
      </c>
      <c r="F33" s="34">
        <f>'Nov 2027'!M92</f>
        <v/>
      </c>
      <c r="G33" s="36">
        <f>'Nov 2027'!O92</f>
        <v/>
      </c>
      <c r="H33" s="34">
        <f>'Nov 2027'!Q92</f>
        <v/>
      </c>
      <c r="I33" s="34">
        <f>'Nov 2027'!T92</f>
        <v/>
      </c>
      <c r="J33" s="37" t="inlineStr">
        <is>
          <t>Jump ↗</t>
        </is>
      </c>
    </row>
    <row r="34" ht="14" customHeight="1">
      <c r="A34" s="33" t="inlineStr">
        <is>
          <t>Dec 2027</t>
        </is>
      </c>
      <c r="B34" s="34">
        <f>'Dec 2027'!E92</f>
        <v/>
      </c>
      <c r="C34" s="34">
        <f>'Dec 2027'!G92</f>
        <v/>
      </c>
      <c r="D34" s="34">
        <f>'Dec 2027'!I92</f>
        <v/>
      </c>
      <c r="E34" s="35">
        <f>'Dec 2027'!K92</f>
        <v/>
      </c>
      <c r="F34" s="34">
        <f>'Dec 2027'!M92</f>
        <v/>
      </c>
      <c r="G34" s="36">
        <f>'Dec 2027'!O92</f>
        <v/>
      </c>
      <c r="H34" s="34">
        <f>'Dec 2027'!Q92</f>
        <v/>
      </c>
      <c r="I34" s="34">
        <f>'Dec 2027'!T92</f>
        <v/>
      </c>
      <c r="J34" s="37" t="inlineStr">
        <is>
          <t>Jump ↗</t>
        </is>
      </c>
    </row>
    <row r="35" ht="14" customHeight="1">
      <c r="A35" s="33" t="inlineStr">
        <is>
          <t>Jan 2028</t>
        </is>
      </c>
      <c r="B35" s="34">
        <f>'Jan 2028'!E92</f>
        <v/>
      </c>
      <c r="C35" s="34">
        <f>'Jan 2028'!G92</f>
        <v/>
      </c>
      <c r="D35" s="34">
        <f>'Jan 2028'!I92</f>
        <v/>
      </c>
      <c r="E35" s="35">
        <f>'Jan 2028'!K92</f>
        <v/>
      </c>
      <c r="F35" s="34">
        <f>'Jan 2028'!M92</f>
        <v/>
      </c>
      <c r="G35" s="36">
        <f>'Jan 2028'!O92</f>
        <v/>
      </c>
      <c r="H35" s="34">
        <f>'Jan 2028'!Q92</f>
        <v/>
      </c>
      <c r="I35" s="34">
        <f>'Jan 2028'!T92</f>
        <v/>
      </c>
      <c r="J35" s="37" t="inlineStr">
        <is>
          <t>Jump ↗</t>
        </is>
      </c>
    </row>
    <row r="36" ht="14" customHeight="1">
      <c r="A36" s="33" t="inlineStr">
        <is>
          <t>Feb 2028</t>
        </is>
      </c>
      <c r="B36" s="34">
        <f>'Feb 2028'!E92</f>
        <v/>
      </c>
      <c r="C36" s="34">
        <f>'Feb 2028'!G92</f>
        <v/>
      </c>
      <c r="D36" s="34">
        <f>'Feb 2028'!I92</f>
        <v/>
      </c>
      <c r="E36" s="35">
        <f>'Feb 2028'!K92</f>
        <v/>
      </c>
      <c r="F36" s="34">
        <f>'Feb 2028'!M92</f>
        <v/>
      </c>
      <c r="G36" s="36">
        <f>'Feb 2028'!O92</f>
        <v/>
      </c>
      <c r="H36" s="34">
        <f>'Feb 2028'!Q92</f>
        <v/>
      </c>
      <c r="I36" s="34">
        <f>'Feb 2028'!T92</f>
        <v/>
      </c>
      <c r="J36" s="37" t="inlineStr">
        <is>
          <t>Jump ↗</t>
        </is>
      </c>
    </row>
    <row r="37" ht="14" customHeight="1">
      <c r="A37" s="33" t="inlineStr">
        <is>
          <t>Mar 2028</t>
        </is>
      </c>
      <c r="B37" s="34">
        <f>'Mar 2028'!E92</f>
        <v/>
      </c>
      <c r="C37" s="34">
        <f>'Mar 2028'!G92</f>
        <v/>
      </c>
      <c r="D37" s="34">
        <f>'Mar 2028'!I92</f>
        <v/>
      </c>
      <c r="E37" s="35">
        <f>'Mar 2028'!K92</f>
        <v/>
      </c>
      <c r="F37" s="34">
        <f>'Mar 2028'!M92</f>
        <v/>
      </c>
      <c r="G37" s="36">
        <f>'Mar 2028'!O92</f>
        <v/>
      </c>
      <c r="H37" s="34">
        <f>'Mar 2028'!Q92</f>
        <v/>
      </c>
      <c r="I37" s="34">
        <f>'Mar 2028'!T92</f>
        <v/>
      </c>
      <c r="J37" s="37" t="inlineStr">
        <is>
          <t>Jump ↗</t>
        </is>
      </c>
    </row>
    <row r="38" ht="14" customHeight="1">
      <c r="A38" s="33" t="inlineStr">
        <is>
          <t>Apr 2028</t>
        </is>
      </c>
      <c r="B38" s="34">
        <f>'Apr 2028'!E92</f>
        <v/>
      </c>
      <c r="C38" s="34">
        <f>'Apr 2028'!G92</f>
        <v/>
      </c>
      <c r="D38" s="34">
        <f>'Apr 2028'!I92</f>
        <v/>
      </c>
      <c r="E38" s="35">
        <f>'Apr 2028'!K92</f>
        <v/>
      </c>
      <c r="F38" s="34">
        <f>'Apr 2028'!M92</f>
        <v/>
      </c>
      <c r="G38" s="36">
        <f>'Apr 2028'!O92</f>
        <v/>
      </c>
      <c r="H38" s="34">
        <f>'Apr 2028'!Q92</f>
        <v/>
      </c>
      <c r="I38" s="34">
        <f>'Apr 2028'!T92</f>
        <v/>
      </c>
      <c r="J38" s="37" t="inlineStr">
        <is>
          <t>Jump ↗</t>
        </is>
      </c>
    </row>
    <row r="39" ht="14" customHeight="1">
      <c r="A39" s="33" t="inlineStr">
        <is>
          <t>May 2028</t>
        </is>
      </c>
      <c r="B39" s="34">
        <f>'May 2028'!E92</f>
        <v/>
      </c>
      <c r="C39" s="34">
        <f>'May 2028'!G92</f>
        <v/>
      </c>
      <c r="D39" s="34">
        <f>'May 2028'!I92</f>
        <v/>
      </c>
      <c r="E39" s="35">
        <f>'May 2028'!K92</f>
        <v/>
      </c>
      <c r="F39" s="34">
        <f>'May 2028'!M92</f>
        <v/>
      </c>
      <c r="G39" s="36">
        <f>'May 2028'!O92</f>
        <v/>
      </c>
      <c r="H39" s="34">
        <f>'May 2028'!Q92</f>
        <v/>
      </c>
      <c r="I39" s="34">
        <f>'May 2028'!T92</f>
        <v/>
      </c>
      <c r="J39" s="37" t="inlineStr">
        <is>
          <t>Jump ↗</t>
        </is>
      </c>
    </row>
    <row r="40" ht="14" customHeight="1">
      <c r="A40" s="33" t="inlineStr">
        <is>
          <t>Jun 2028</t>
        </is>
      </c>
      <c r="B40" s="34">
        <f>'Jun 2028'!E92</f>
        <v/>
      </c>
      <c r="C40" s="34">
        <f>'Jun 2028'!G92</f>
        <v/>
      </c>
      <c r="D40" s="34">
        <f>'Jun 2028'!I92</f>
        <v/>
      </c>
      <c r="E40" s="35">
        <f>'Jun 2028'!K92</f>
        <v/>
      </c>
      <c r="F40" s="34">
        <f>'Jun 2028'!M92</f>
        <v/>
      </c>
      <c r="G40" s="36">
        <f>'Jun 2028'!O92</f>
        <v/>
      </c>
      <c r="H40" s="34">
        <f>'Jun 2028'!Q92</f>
        <v/>
      </c>
      <c r="I40" s="34">
        <f>'Jun 2028'!T92</f>
        <v/>
      </c>
      <c r="J40" s="37" t="inlineStr">
        <is>
          <t>Jump ↗</t>
        </is>
      </c>
    </row>
    <row r="41" ht="14" customHeight="1">
      <c r="A41" s="33" t="inlineStr">
        <is>
          <t>Jul 2028</t>
        </is>
      </c>
      <c r="B41" s="34">
        <f>'Jul 2028'!E92</f>
        <v/>
      </c>
      <c r="C41" s="34">
        <f>'Jul 2028'!G92</f>
        <v/>
      </c>
      <c r="D41" s="34">
        <f>'Jul 2028'!I92</f>
        <v/>
      </c>
      <c r="E41" s="35">
        <f>'Jul 2028'!K92</f>
        <v/>
      </c>
      <c r="F41" s="34">
        <f>'Jul 2028'!M92</f>
        <v/>
      </c>
      <c r="G41" s="36">
        <f>'Jul 2028'!O92</f>
        <v/>
      </c>
      <c r="H41" s="34">
        <f>'Jul 2028'!Q92</f>
        <v/>
      </c>
      <c r="I41" s="34">
        <f>'Jul 2028'!T92</f>
        <v/>
      </c>
      <c r="J41" s="37" t="inlineStr">
        <is>
          <t>Jump ↗</t>
        </is>
      </c>
    </row>
    <row r="42" ht="14" customHeight="1">
      <c r="A42" s="33" t="inlineStr">
        <is>
          <t>Aug 2028</t>
        </is>
      </c>
      <c r="B42" s="34">
        <f>'Aug 2028'!E92</f>
        <v/>
      </c>
      <c r="C42" s="34">
        <f>'Aug 2028'!G92</f>
        <v/>
      </c>
      <c r="D42" s="34">
        <f>'Aug 2028'!I92</f>
        <v/>
      </c>
      <c r="E42" s="35">
        <f>'Aug 2028'!K92</f>
        <v/>
      </c>
      <c r="F42" s="34">
        <f>'Aug 2028'!M92</f>
        <v/>
      </c>
      <c r="G42" s="36">
        <f>'Aug 2028'!O92</f>
        <v/>
      </c>
      <c r="H42" s="34">
        <f>'Aug 2028'!Q92</f>
        <v/>
      </c>
      <c r="I42" s="34">
        <f>'Aug 2028'!T92</f>
        <v/>
      </c>
      <c r="J42" s="37" t="inlineStr">
        <is>
          <t>Jump ↗</t>
        </is>
      </c>
    </row>
    <row r="43" ht="14" customHeight="1">
      <c r="A43" s="33" t="inlineStr">
        <is>
          <t>Sep 2028</t>
        </is>
      </c>
      <c r="B43" s="34">
        <f>'Sep 2028'!E92</f>
        <v/>
      </c>
      <c r="C43" s="34">
        <f>'Sep 2028'!G92</f>
        <v/>
      </c>
      <c r="D43" s="34">
        <f>'Sep 2028'!I92</f>
        <v/>
      </c>
      <c r="E43" s="35">
        <f>'Sep 2028'!K92</f>
        <v/>
      </c>
      <c r="F43" s="34">
        <f>'Sep 2028'!M92</f>
        <v/>
      </c>
      <c r="G43" s="36">
        <f>'Sep 2028'!O92</f>
        <v/>
      </c>
      <c r="H43" s="34">
        <f>'Sep 2028'!Q92</f>
        <v/>
      </c>
      <c r="I43" s="34">
        <f>'Sep 2028'!T92</f>
        <v/>
      </c>
      <c r="J43" s="37" t="inlineStr">
        <is>
          <t>Jump ↗</t>
        </is>
      </c>
    </row>
    <row r="44" ht="14" customHeight="1">
      <c r="A44" s="33" t="inlineStr">
        <is>
          <t>Oct 2028</t>
        </is>
      </c>
      <c r="B44" s="34">
        <f>'Oct 2028'!E92</f>
        <v/>
      </c>
      <c r="C44" s="34">
        <f>'Oct 2028'!G92</f>
        <v/>
      </c>
      <c r="D44" s="34">
        <f>'Oct 2028'!I92</f>
        <v/>
      </c>
      <c r="E44" s="35">
        <f>'Oct 2028'!K92</f>
        <v/>
      </c>
      <c r="F44" s="34">
        <f>'Oct 2028'!M92</f>
        <v/>
      </c>
      <c r="G44" s="36">
        <f>'Oct 2028'!O92</f>
        <v/>
      </c>
      <c r="H44" s="34">
        <f>'Oct 2028'!Q92</f>
        <v/>
      </c>
      <c r="I44" s="34">
        <f>'Oct 2028'!T92</f>
        <v/>
      </c>
      <c r="J44" s="37" t="inlineStr">
        <is>
          <t>Jump ↗</t>
        </is>
      </c>
    </row>
    <row r="45" ht="14" customHeight="1">
      <c r="A45" s="33" t="inlineStr">
        <is>
          <t>Nov 2028</t>
        </is>
      </c>
      <c r="B45" s="34">
        <f>'Nov 2028'!E92</f>
        <v/>
      </c>
      <c r="C45" s="34">
        <f>'Nov 2028'!G92</f>
        <v/>
      </c>
      <c r="D45" s="34">
        <f>'Nov 2028'!I92</f>
        <v/>
      </c>
      <c r="E45" s="35">
        <f>'Nov 2028'!K92</f>
        <v/>
      </c>
      <c r="F45" s="34">
        <f>'Nov 2028'!M92</f>
        <v/>
      </c>
      <c r="G45" s="36">
        <f>'Nov 2028'!O92</f>
        <v/>
      </c>
      <c r="H45" s="34">
        <f>'Nov 2028'!Q92</f>
        <v/>
      </c>
      <c r="I45" s="34">
        <f>'Nov 2028'!T92</f>
        <v/>
      </c>
      <c r="J45" s="37" t="inlineStr">
        <is>
          <t>Jump ↗</t>
        </is>
      </c>
    </row>
    <row r="46" ht="14" customHeight="1">
      <c r="A46" s="33" t="inlineStr">
        <is>
          <t>Dec 2028</t>
        </is>
      </c>
      <c r="B46" s="34">
        <f>'Dec 2028'!E92</f>
        <v/>
      </c>
      <c r="C46" s="34">
        <f>'Dec 2028'!G92</f>
        <v/>
      </c>
      <c r="D46" s="34">
        <f>'Dec 2028'!I92</f>
        <v/>
      </c>
      <c r="E46" s="35">
        <f>'Dec 2028'!K92</f>
        <v/>
      </c>
      <c r="F46" s="34">
        <f>'Dec 2028'!M92</f>
        <v/>
      </c>
      <c r="G46" s="36">
        <f>'Dec 2028'!O92</f>
        <v/>
      </c>
      <c r="H46" s="34">
        <f>'Dec 2028'!Q92</f>
        <v/>
      </c>
      <c r="I46" s="34">
        <f>'Dec 2028'!T92</f>
        <v/>
      </c>
      <c r="J46" s="37" t="inlineStr">
        <is>
          <t>Jump ↗</t>
        </is>
      </c>
    </row>
    <row r="47" ht="14" customHeight="1">
      <c r="A47" s="33" t="inlineStr">
        <is>
          <t>Jan 2029</t>
        </is>
      </c>
      <c r="B47" s="34">
        <f>'Jan 2029'!E92</f>
        <v/>
      </c>
      <c r="C47" s="34">
        <f>'Jan 2029'!G92</f>
        <v/>
      </c>
      <c r="D47" s="34">
        <f>'Jan 2029'!I92</f>
        <v/>
      </c>
      <c r="E47" s="35">
        <f>'Jan 2029'!K92</f>
        <v/>
      </c>
      <c r="F47" s="34">
        <f>'Jan 2029'!M92</f>
        <v/>
      </c>
      <c r="G47" s="36">
        <f>'Jan 2029'!O92</f>
        <v/>
      </c>
      <c r="H47" s="34">
        <f>'Jan 2029'!Q92</f>
        <v/>
      </c>
      <c r="I47" s="34">
        <f>'Jan 2029'!T92</f>
        <v/>
      </c>
      <c r="J47" s="37" t="inlineStr">
        <is>
          <t>Jump ↗</t>
        </is>
      </c>
    </row>
    <row r="48" ht="14" customHeight="1">
      <c r="A48" s="33" t="inlineStr">
        <is>
          <t>Feb 2029</t>
        </is>
      </c>
      <c r="B48" s="34">
        <f>'Feb 2029'!E92</f>
        <v/>
      </c>
      <c r="C48" s="34">
        <f>'Feb 2029'!G92</f>
        <v/>
      </c>
      <c r="D48" s="34">
        <f>'Feb 2029'!I92</f>
        <v/>
      </c>
      <c r="E48" s="35">
        <f>'Feb 2029'!K92</f>
        <v/>
      </c>
      <c r="F48" s="34">
        <f>'Feb 2029'!M92</f>
        <v/>
      </c>
      <c r="G48" s="36">
        <f>'Feb 2029'!O92</f>
        <v/>
      </c>
      <c r="H48" s="34">
        <f>'Feb 2029'!Q92</f>
        <v/>
      </c>
      <c r="I48" s="34">
        <f>'Feb 2029'!T92</f>
        <v/>
      </c>
      <c r="J48" s="37" t="inlineStr">
        <is>
          <t>Jump ↗</t>
        </is>
      </c>
    </row>
    <row r="49" ht="14" customHeight="1">
      <c r="A49" s="33" t="inlineStr">
        <is>
          <t>Mar 2029</t>
        </is>
      </c>
      <c r="B49" s="34">
        <f>'Mar 2029'!E92</f>
        <v/>
      </c>
      <c r="C49" s="34">
        <f>'Mar 2029'!G92</f>
        <v/>
      </c>
      <c r="D49" s="34">
        <f>'Mar 2029'!I92</f>
        <v/>
      </c>
      <c r="E49" s="35">
        <f>'Mar 2029'!K92</f>
        <v/>
      </c>
      <c r="F49" s="34">
        <f>'Mar 2029'!M92</f>
        <v/>
      </c>
      <c r="G49" s="36">
        <f>'Mar 2029'!O92</f>
        <v/>
      </c>
      <c r="H49" s="34">
        <f>'Mar 2029'!Q92</f>
        <v/>
      </c>
      <c r="I49" s="34">
        <f>'Mar 2029'!T92</f>
        <v/>
      </c>
      <c r="J49" s="37" t="inlineStr">
        <is>
          <t>Jump ↗</t>
        </is>
      </c>
    </row>
    <row r="50" ht="14" customHeight="1">
      <c r="A50" s="33" t="inlineStr">
        <is>
          <t>Apr 2029</t>
        </is>
      </c>
      <c r="B50" s="34">
        <f>'Apr 2029'!E92</f>
        <v/>
      </c>
      <c r="C50" s="34">
        <f>'Apr 2029'!G92</f>
        <v/>
      </c>
      <c r="D50" s="34">
        <f>'Apr 2029'!I92</f>
        <v/>
      </c>
      <c r="E50" s="35">
        <f>'Apr 2029'!K92</f>
        <v/>
      </c>
      <c r="F50" s="34">
        <f>'Apr 2029'!M92</f>
        <v/>
      </c>
      <c r="G50" s="36">
        <f>'Apr 2029'!O92</f>
        <v/>
      </c>
      <c r="H50" s="34">
        <f>'Apr 2029'!Q92</f>
        <v/>
      </c>
      <c r="I50" s="34">
        <f>'Apr 2029'!T92</f>
        <v/>
      </c>
      <c r="J50" s="37" t="inlineStr">
        <is>
          <t>Jump ↗</t>
        </is>
      </c>
    </row>
    <row r="51" ht="14" customHeight="1">
      <c r="A51" s="33" t="inlineStr">
        <is>
          <t>May 2029</t>
        </is>
      </c>
      <c r="B51" s="34">
        <f>'May 2029'!E92</f>
        <v/>
      </c>
      <c r="C51" s="34">
        <f>'May 2029'!G92</f>
        <v/>
      </c>
      <c r="D51" s="34">
        <f>'May 2029'!I92</f>
        <v/>
      </c>
      <c r="E51" s="35">
        <f>'May 2029'!K92</f>
        <v/>
      </c>
      <c r="F51" s="34">
        <f>'May 2029'!M92</f>
        <v/>
      </c>
      <c r="G51" s="36">
        <f>'May 2029'!O92</f>
        <v/>
      </c>
      <c r="H51" s="34">
        <f>'May 2029'!Q92</f>
        <v/>
      </c>
      <c r="I51" s="34">
        <f>'May 2029'!T92</f>
        <v/>
      </c>
      <c r="J51" s="37" t="inlineStr">
        <is>
          <t>Jump ↗</t>
        </is>
      </c>
    </row>
    <row r="52" ht="14" customHeight="1">
      <c r="A52" s="33" t="inlineStr">
        <is>
          <t>Jun 2029</t>
        </is>
      </c>
      <c r="B52" s="34">
        <f>'Jun 2029'!E92</f>
        <v/>
      </c>
      <c r="C52" s="34">
        <f>'Jun 2029'!G92</f>
        <v/>
      </c>
      <c r="D52" s="34">
        <f>'Jun 2029'!I92</f>
        <v/>
      </c>
      <c r="E52" s="35">
        <f>'Jun 2029'!K92</f>
        <v/>
      </c>
      <c r="F52" s="34">
        <f>'Jun 2029'!M92</f>
        <v/>
      </c>
      <c r="G52" s="36">
        <f>'Jun 2029'!O92</f>
        <v/>
      </c>
      <c r="H52" s="34">
        <f>'Jun 2029'!Q92</f>
        <v/>
      </c>
      <c r="I52" s="34">
        <f>'Jun 2029'!T92</f>
        <v/>
      </c>
      <c r="J52" s="37" t="inlineStr">
        <is>
          <t>Jump ↗</t>
        </is>
      </c>
    </row>
    <row r="53" ht="14" customHeight="1">
      <c r="A53" s="33" t="inlineStr">
        <is>
          <t>Jul 2029</t>
        </is>
      </c>
      <c r="B53" s="34">
        <f>'Jul 2029'!E92</f>
        <v/>
      </c>
      <c r="C53" s="34">
        <f>'Jul 2029'!G92</f>
        <v/>
      </c>
      <c r="D53" s="34">
        <f>'Jul 2029'!I92</f>
        <v/>
      </c>
      <c r="E53" s="35">
        <f>'Jul 2029'!K92</f>
        <v/>
      </c>
      <c r="F53" s="34">
        <f>'Jul 2029'!M92</f>
        <v/>
      </c>
      <c r="G53" s="36">
        <f>'Jul 2029'!O92</f>
        <v/>
      </c>
      <c r="H53" s="34">
        <f>'Jul 2029'!Q92</f>
        <v/>
      </c>
      <c r="I53" s="34">
        <f>'Jul 2029'!T92</f>
        <v/>
      </c>
      <c r="J53" s="37" t="inlineStr">
        <is>
          <t>Jump ↗</t>
        </is>
      </c>
    </row>
    <row r="54" ht="14" customHeight="1">
      <c r="A54" s="33" t="inlineStr">
        <is>
          <t>Aug 2029</t>
        </is>
      </c>
      <c r="B54" s="34">
        <f>'Aug 2029'!E92</f>
        <v/>
      </c>
      <c r="C54" s="34">
        <f>'Aug 2029'!G92</f>
        <v/>
      </c>
      <c r="D54" s="34">
        <f>'Aug 2029'!I92</f>
        <v/>
      </c>
      <c r="E54" s="35">
        <f>'Aug 2029'!K92</f>
        <v/>
      </c>
      <c r="F54" s="34">
        <f>'Aug 2029'!M92</f>
        <v/>
      </c>
      <c r="G54" s="36">
        <f>'Aug 2029'!O92</f>
        <v/>
      </c>
      <c r="H54" s="34">
        <f>'Aug 2029'!Q92</f>
        <v/>
      </c>
      <c r="I54" s="34">
        <f>'Aug 2029'!T92</f>
        <v/>
      </c>
      <c r="J54" s="37" t="inlineStr">
        <is>
          <t>Jump ↗</t>
        </is>
      </c>
    </row>
    <row r="55" ht="14" customHeight="1">
      <c r="A55" s="33" t="inlineStr">
        <is>
          <t>Sep 2029</t>
        </is>
      </c>
      <c r="B55" s="34">
        <f>'Sep 2029'!E92</f>
        <v/>
      </c>
      <c r="C55" s="34">
        <f>'Sep 2029'!G92</f>
        <v/>
      </c>
      <c r="D55" s="34">
        <f>'Sep 2029'!I92</f>
        <v/>
      </c>
      <c r="E55" s="35">
        <f>'Sep 2029'!K92</f>
        <v/>
      </c>
      <c r="F55" s="34">
        <f>'Sep 2029'!M92</f>
        <v/>
      </c>
      <c r="G55" s="36">
        <f>'Sep 2029'!O92</f>
        <v/>
      </c>
      <c r="H55" s="34">
        <f>'Sep 2029'!Q92</f>
        <v/>
      </c>
      <c r="I55" s="34">
        <f>'Sep 2029'!T92</f>
        <v/>
      </c>
      <c r="J55" s="37" t="inlineStr">
        <is>
          <t>Jump ↗</t>
        </is>
      </c>
    </row>
    <row r="56" ht="14" customHeight="1">
      <c r="A56" s="33" t="inlineStr">
        <is>
          <t>Oct 2029</t>
        </is>
      </c>
      <c r="B56" s="34">
        <f>'Oct 2029'!E92</f>
        <v/>
      </c>
      <c r="C56" s="34">
        <f>'Oct 2029'!G92</f>
        <v/>
      </c>
      <c r="D56" s="34">
        <f>'Oct 2029'!I92</f>
        <v/>
      </c>
      <c r="E56" s="35">
        <f>'Oct 2029'!K92</f>
        <v/>
      </c>
      <c r="F56" s="34">
        <f>'Oct 2029'!M92</f>
        <v/>
      </c>
      <c r="G56" s="36">
        <f>'Oct 2029'!O92</f>
        <v/>
      </c>
      <c r="H56" s="34">
        <f>'Oct 2029'!Q92</f>
        <v/>
      </c>
      <c r="I56" s="34">
        <f>'Oct 2029'!T92</f>
        <v/>
      </c>
      <c r="J56" s="37" t="inlineStr">
        <is>
          <t>Jump ↗</t>
        </is>
      </c>
    </row>
    <row r="57" ht="14" customHeight="1">
      <c r="A57" s="33" t="inlineStr">
        <is>
          <t>Nov 2029</t>
        </is>
      </c>
      <c r="B57" s="34">
        <f>'Nov 2029'!E92</f>
        <v/>
      </c>
      <c r="C57" s="34">
        <f>'Nov 2029'!G92</f>
        <v/>
      </c>
      <c r="D57" s="34">
        <f>'Nov 2029'!I92</f>
        <v/>
      </c>
      <c r="E57" s="35">
        <f>'Nov 2029'!K92</f>
        <v/>
      </c>
      <c r="F57" s="34">
        <f>'Nov 2029'!M92</f>
        <v/>
      </c>
      <c r="G57" s="36">
        <f>'Nov 2029'!O92</f>
        <v/>
      </c>
      <c r="H57" s="34">
        <f>'Nov 2029'!Q92</f>
        <v/>
      </c>
      <c r="I57" s="34">
        <f>'Nov 2029'!T92</f>
        <v/>
      </c>
      <c r="J57" s="37" t="inlineStr">
        <is>
          <t>Jump ↗</t>
        </is>
      </c>
    </row>
    <row r="58" ht="14" customHeight="1">
      <c r="A58" s="33" t="inlineStr">
        <is>
          <t>Dec 2029</t>
        </is>
      </c>
      <c r="B58" s="34">
        <f>'Dec 2029'!E92</f>
        <v/>
      </c>
      <c r="C58" s="34">
        <f>'Dec 2029'!G92</f>
        <v/>
      </c>
      <c r="D58" s="34">
        <f>'Dec 2029'!I92</f>
        <v/>
      </c>
      <c r="E58" s="35">
        <f>'Dec 2029'!K92</f>
        <v/>
      </c>
      <c r="F58" s="34">
        <f>'Dec 2029'!M92</f>
        <v/>
      </c>
      <c r="G58" s="36">
        <f>'Dec 2029'!O92</f>
        <v/>
      </c>
      <c r="H58" s="34">
        <f>'Dec 2029'!Q92</f>
        <v/>
      </c>
      <c r="I58" s="34">
        <f>'Dec 2029'!T92</f>
        <v/>
      </c>
      <c r="J58" s="37" t="inlineStr">
        <is>
          <t>Jump ↗</t>
        </is>
      </c>
    </row>
    <row r="59" ht="14" customHeight="1">
      <c r="A59" s="33" t="inlineStr">
        <is>
          <t>Jan 2030</t>
        </is>
      </c>
      <c r="B59" s="34">
        <f>'Jan 2030'!E92</f>
        <v/>
      </c>
      <c r="C59" s="34">
        <f>'Jan 2030'!G92</f>
        <v/>
      </c>
      <c r="D59" s="34">
        <f>'Jan 2030'!I92</f>
        <v/>
      </c>
      <c r="E59" s="35">
        <f>'Jan 2030'!K92</f>
        <v/>
      </c>
      <c r="F59" s="34">
        <f>'Jan 2030'!M92</f>
        <v/>
      </c>
      <c r="G59" s="36">
        <f>'Jan 2030'!O92</f>
        <v/>
      </c>
      <c r="H59" s="34">
        <f>'Jan 2030'!Q92</f>
        <v/>
      </c>
      <c r="I59" s="34">
        <f>'Jan 2030'!T92</f>
        <v/>
      </c>
      <c r="J59" s="37" t="inlineStr">
        <is>
          <t>Jump ↗</t>
        </is>
      </c>
    </row>
    <row r="60" ht="14" customHeight="1">
      <c r="A60" s="33" t="inlineStr">
        <is>
          <t>Feb 2030</t>
        </is>
      </c>
      <c r="B60" s="34">
        <f>'Feb 2030'!E92</f>
        <v/>
      </c>
      <c r="C60" s="34">
        <f>'Feb 2030'!G92</f>
        <v/>
      </c>
      <c r="D60" s="34">
        <f>'Feb 2030'!I92</f>
        <v/>
      </c>
      <c r="E60" s="35">
        <f>'Feb 2030'!K92</f>
        <v/>
      </c>
      <c r="F60" s="34">
        <f>'Feb 2030'!M92</f>
        <v/>
      </c>
      <c r="G60" s="36">
        <f>'Feb 2030'!O92</f>
        <v/>
      </c>
      <c r="H60" s="34">
        <f>'Feb 2030'!Q92</f>
        <v/>
      </c>
      <c r="I60" s="34">
        <f>'Feb 2030'!T92</f>
        <v/>
      </c>
      <c r="J60" s="37" t="inlineStr">
        <is>
          <t>Jump ↗</t>
        </is>
      </c>
    </row>
    <row r="61" ht="14" customHeight="1">
      <c r="A61" s="33" t="inlineStr">
        <is>
          <t>Mar 2030</t>
        </is>
      </c>
      <c r="B61" s="34">
        <f>'Mar 2030'!E92</f>
        <v/>
      </c>
      <c r="C61" s="34">
        <f>'Mar 2030'!G92</f>
        <v/>
      </c>
      <c r="D61" s="34">
        <f>'Mar 2030'!I92</f>
        <v/>
      </c>
      <c r="E61" s="35">
        <f>'Mar 2030'!K92</f>
        <v/>
      </c>
      <c r="F61" s="34">
        <f>'Mar 2030'!M92</f>
        <v/>
      </c>
      <c r="G61" s="36">
        <f>'Mar 2030'!O92</f>
        <v/>
      </c>
      <c r="H61" s="34">
        <f>'Mar 2030'!Q92</f>
        <v/>
      </c>
      <c r="I61" s="34">
        <f>'Mar 2030'!T92</f>
        <v/>
      </c>
      <c r="J61" s="37" t="inlineStr">
        <is>
          <t>Jump ↗</t>
        </is>
      </c>
    </row>
    <row r="62" ht="14" customHeight="1">
      <c r="A62" s="33" t="inlineStr">
        <is>
          <t>Apr 2030</t>
        </is>
      </c>
      <c r="B62" s="34">
        <f>'Apr 2030'!E92</f>
        <v/>
      </c>
      <c r="C62" s="34">
        <f>'Apr 2030'!G92</f>
        <v/>
      </c>
      <c r="D62" s="34">
        <f>'Apr 2030'!I92</f>
        <v/>
      </c>
      <c r="E62" s="35">
        <f>'Apr 2030'!K92</f>
        <v/>
      </c>
      <c r="F62" s="34">
        <f>'Apr 2030'!M92</f>
        <v/>
      </c>
      <c r="G62" s="36">
        <f>'Apr 2030'!O92</f>
        <v/>
      </c>
      <c r="H62" s="34">
        <f>'Apr 2030'!Q92</f>
        <v/>
      </c>
      <c r="I62" s="34">
        <f>'Apr 2030'!T92</f>
        <v/>
      </c>
      <c r="J62" s="37" t="inlineStr">
        <is>
          <t>Jump ↗</t>
        </is>
      </c>
    </row>
    <row r="63" ht="14" customHeight="1">
      <c r="A63" s="33" t="inlineStr">
        <is>
          <t>May 2030</t>
        </is>
      </c>
      <c r="B63" s="34">
        <f>'May 2030'!E92</f>
        <v/>
      </c>
      <c r="C63" s="34">
        <f>'May 2030'!G92</f>
        <v/>
      </c>
      <c r="D63" s="34">
        <f>'May 2030'!I92</f>
        <v/>
      </c>
      <c r="E63" s="35">
        <f>'May 2030'!K92</f>
        <v/>
      </c>
      <c r="F63" s="34">
        <f>'May 2030'!M92</f>
        <v/>
      </c>
      <c r="G63" s="36">
        <f>'May 2030'!O92</f>
        <v/>
      </c>
      <c r="H63" s="34">
        <f>'May 2030'!Q92</f>
        <v/>
      </c>
      <c r="I63" s="34">
        <f>'May 2030'!T92</f>
        <v/>
      </c>
      <c r="J63" s="37" t="inlineStr">
        <is>
          <t>Jump ↗</t>
        </is>
      </c>
    </row>
    <row r="64" ht="14" customHeight="1">
      <c r="A64" s="33" t="inlineStr">
        <is>
          <t>Jun 2030</t>
        </is>
      </c>
      <c r="B64" s="34">
        <f>'Jun 2030'!E92</f>
        <v/>
      </c>
      <c r="C64" s="34">
        <f>'Jun 2030'!G92</f>
        <v/>
      </c>
      <c r="D64" s="34">
        <f>'Jun 2030'!I92</f>
        <v/>
      </c>
      <c r="E64" s="35">
        <f>'Jun 2030'!K92</f>
        <v/>
      </c>
      <c r="F64" s="34">
        <f>'Jun 2030'!M92</f>
        <v/>
      </c>
      <c r="G64" s="36">
        <f>'Jun 2030'!O92</f>
        <v/>
      </c>
      <c r="H64" s="34">
        <f>'Jun 2030'!Q92</f>
        <v/>
      </c>
      <c r="I64" s="34">
        <f>'Jun 2030'!T92</f>
        <v/>
      </c>
      <c r="J64" s="37" t="inlineStr">
        <is>
          <t>Jump ↗</t>
        </is>
      </c>
    </row>
    <row r="65" ht="14" customHeight="1">
      <c r="A65" s="33" t="inlineStr">
        <is>
          <t>Jul 2030</t>
        </is>
      </c>
      <c r="B65" s="34">
        <f>'Jul 2030'!E92</f>
        <v/>
      </c>
      <c r="C65" s="34">
        <f>'Jul 2030'!G92</f>
        <v/>
      </c>
      <c r="D65" s="34">
        <f>'Jul 2030'!I92</f>
        <v/>
      </c>
      <c r="E65" s="35">
        <f>'Jul 2030'!K92</f>
        <v/>
      </c>
      <c r="F65" s="34">
        <f>'Jul 2030'!M92</f>
        <v/>
      </c>
      <c r="G65" s="36">
        <f>'Jul 2030'!O92</f>
        <v/>
      </c>
      <c r="H65" s="34">
        <f>'Jul 2030'!Q92</f>
        <v/>
      </c>
      <c r="I65" s="34">
        <f>'Jul 2030'!T92</f>
        <v/>
      </c>
      <c r="J65" s="37" t="inlineStr">
        <is>
          <t>Jump ↗</t>
        </is>
      </c>
    </row>
    <row r="66" ht="14" customHeight="1">
      <c r="A66" s="33" t="inlineStr">
        <is>
          <t>Aug 2030</t>
        </is>
      </c>
      <c r="B66" s="34">
        <f>'Aug 2030'!E92</f>
        <v/>
      </c>
      <c r="C66" s="34">
        <f>'Aug 2030'!G92</f>
        <v/>
      </c>
      <c r="D66" s="34">
        <f>'Aug 2030'!I92</f>
        <v/>
      </c>
      <c r="E66" s="35">
        <f>'Aug 2030'!K92</f>
        <v/>
      </c>
      <c r="F66" s="34">
        <f>'Aug 2030'!M92</f>
        <v/>
      </c>
      <c r="G66" s="36">
        <f>'Aug 2030'!O92</f>
        <v/>
      </c>
      <c r="H66" s="34">
        <f>'Aug 2030'!Q92</f>
        <v/>
      </c>
      <c r="I66" s="34">
        <f>'Aug 2030'!T92</f>
        <v/>
      </c>
      <c r="J66" s="37" t="inlineStr">
        <is>
          <t>Jump ↗</t>
        </is>
      </c>
    </row>
    <row r="67" ht="14" customHeight="1">
      <c r="A67" s="33" t="inlineStr">
        <is>
          <t>Sep 2030</t>
        </is>
      </c>
      <c r="B67" s="34">
        <f>'Sep 2030'!E92</f>
        <v/>
      </c>
      <c r="C67" s="34">
        <f>'Sep 2030'!G92</f>
        <v/>
      </c>
      <c r="D67" s="34">
        <f>'Sep 2030'!I92</f>
        <v/>
      </c>
      <c r="E67" s="35">
        <f>'Sep 2030'!K92</f>
        <v/>
      </c>
      <c r="F67" s="34">
        <f>'Sep 2030'!M92</f>
        <v/>
      </c>
      <c r="G67" s="36">
        <f>'Sep 2030'!O92</f>
        <v/>
      </c>
      <c r="H67" s="34">
        <f>'Sep 2030'!Q92</f>
        <v/>
      </c>
      <c r="I67" s="34">
        <f>'Sep 2030'!T92</f>
        <v/>
      </c>
      <c r="J67" s="37" t="inlineStr">
        <is>
          <t>Jump ↗</t>
        </is>
      </c>
    </row>
    <row r="68" ht="14" customHeight="1">
      <c r="A68" s="33" t="inlineStr">
        <is>
          <t>Oct 2030</t>
        </is>
      </c>
      <c r="B68" s="34">
        <f>'Oct 2030'!E92</f>
        <v/>
      </c>
      <c r="C68" s="34">
        <f>'Oct 2030'!G92</f>
        <v/>
      </c>
      <c r="D68" s="34">
        <f>'Oct 2030'!I92</f>
        <v/>
      </c>
      <c r="E68" s="35">
        <f>'Oct 2030'!K92</f>
        <v/>
      </c>
      <c r="F68" s="34">
        <f>'Oct 2030'!M92</f>
        <v/>
      </c>
      <c r="G68" s="36">
        <f>'Oct 2030'!O92</f>
        <v/>
      </c>
      <c r="H68" s="34">
        <f>'Oct 2030'!Q92</f>
        <v/>
      </c>
      <c r="I68" s="34">
        <f>'Oct 2030'!T92</f>
        <v/>
      </c>
      <c r="J68" s="37" t="inlineStr">
        <is>
          <t>Jump ↗</t>
        </is>
      </c>
    </row>
    <row r="69" ht="14" customHeight="1">
      <c r="A69" s="33" t="inlineStr">
        <is>
          <t>Nov 2030</t>
        </is>
      </c>
      <c r="B69" s="34">
        <f>'Nov 2030'!E92</f>
        <v/>
      </c>
      <c r="C69" s="34">
        <f>'Nov 2030'!G92</f>
        <v/>
      </c>
      <c r="D69" s="34">
        <f>'Nov 2030'!I92</f>
        <v/>
      </c>
      <c r="E69" s="35">
        <f>'Nov 2030'!K92</f>
        <v/>
      </c>
      <c r="F69" s="34">
        <f>'Nov 2030'!M92</f>
        <v/>
      </c>
      <c r="G69" s="36">
        <f>'Nov 2030'!O92</f>
        <v/>
      </c>
      <c r="H69" s="34">
        <f>'Nov 2030'!Q92</f>
        <v/>
      </c>
      <c r="I69" s="34">
        <f>'Nov 2030'!T92</f>
        <v/>
      </c>
      <c r="J69" s="37" t="inlineStr">
        <is>
          <t>Jump ↗</t>
        </is>
      </c>
    </row>
    <row r="70" ht="14" customHeight="1">
      <c r="A70" s="33" t="inlineStr">
        <is>
          <t>Dec 2030</t>
        </is>
      </c>
      <c r="B70" s="34">
        <f>'Dec 2030'!E92</f>
        <v/>
      </c>
      <c r="C70" s="34">
        <f>'Dec 2030'!G92</f>
        <v/>
      </c>
      <c r="D70" s="34">
        <f>'Dec 2030'!I92</f>
        <v/>
      </c>
      <c r="E70" s="35">
        <f>'Dec 2030'!K92</f>
        <v/>
      </c>
      <c r="F70" s="34">
        <f>'Dec 2030'!M92</f>
        <v/>
      </c>
      <c r="G70" s="36">
        <f>'Dec 2030'!O92</f>
        <v/>
      </c>
      <c r="H70" s="34">
        <f>'Dec 2030'!Q92</f>
        <v/>
      </c>
      <c r="I70" s="34">
        <f>'Dec 2030'!T92</f>
        <v/>
      </c>
      <c r="J70" s="37" t="inlineStr">
        <is>
          <t>Jump ↗</t>
        </is>
      </c>
    </row>
  </sheetData>
  <sheetProtection selectLockedCells="1" selectUnlockedCells="1" sheet="1" objects="0" insertRows="1" insertHyperlinks="1" autoFilter="1" scenarios="0" formatColumns="1" deleteColumns="1" insertColumns="1" pivotTables="1" deleteRows="1" formatCells="1" formatRows="1" sort="1"/>
  <mergeCells count="19">
    <mergeCell ref="C6:D8"/>
    <mergeCell ref="C5:D5"/>
    <mergeCell ref="E5:F5"/>
    <mergeCell ref="C4:D4"/>
    <mergeCell ref="A6:B8"/>
    <mergeCell ref="C9:D9"/>
    <mergeCell ref="E6:F8"/>
    <mergeCell ref="E9:F9"/>
    <mergeCell ref="A11:J11"/>
    <mergeCell ref="F2:J2"/>
    <mergeCell ref="G6:H8"/>
    <mergeCell ref="A5:B5"/>
    <mergeCell ref="G5:H5"/>
    <mergeCell ref="I5:J5"/>
    <mergeCell ref="A4:B4"/>
    <mergeCell ref="A9:B9"/>
    <mergeCell ref="G9:H9"/>
    <mergeCell ref="I6:J8"/>
    <mergeCell ref="I9:J9"/>
  </mergeCells>
  <conditionalFormatting sqref="E19:E70">
    <cfRule type="dataBar" priority="1">
      <dataBar>
        <cfvo type="num" val="0"/>
        <cfvo type="num" val="1"/>
        <color rgb="0010B981"/>
      </dataBar>
    </cfRule>
  </conditionalFormatting>
  <hyperlinks>
    <hyperlink xmlns:r="http://schemas.openxmlformats.org/officeDocument/2006/relationships" ref="A4" r:id="rId1"/>
    <hyperlink xmlns:r="http://schemas.openxmlformats.org/officeDocument/2006/relationships" ref="C4" r:id="rId2"/>
    <hyperlink xmlns:r="http://schemas.openxmlformats.org/officeDocument/2006/relationships" ref="B12" r:id="rId3"/>
    <hyperlink xmlns:r="http://schemas.openxmlformats.org/officeDocument/2006/relationships" ref="C12" r:id="rId4"/>
    <hyperlink xmlns:r="http://schemas.openxmlformats.org/officeDocument/2006/relationships" ref="D12" r:id="rId5"/>
    <hyperlink xmlns:r="http://schemas.openxmlformats.org/officeDocument/2006/relationships" ref="E12" r:id="rId6"/>
    <hyperlink xmlns:r="http://schemas.openxmlformats.org/officeDocument/2006/relationships" ref="B13" r:id="rId7"/>
    <hyperlink xmlns:r="http://schemas.openxmlformats.org/officeDocument/2006/relationships" ref="C13" r:id="rId8"/>
    <hyperlink xmlns:r="http://schemas.openxmlformats.org/officeDocument/2006/relationships" ref="D13" r:id="rId9"/>
    <hyperlink xmlns:r="http://schemas.openxmlformats.org/officeDocument/2006/relationships" ref="E13" r:id="rId10"/>
    <hyperlink xmlns:r="http://schemas.openxmlformats.org/officeDocument/2006/relationships" ref="F13" r:id="rId11"/>
    <hyperlink xmlns:r="http://schemas.openxmlformats.org/officeDocument/2006/relationships" ref="G13" r:id="rId12"/>
    <hyperlink xmlns:r="http://schemas.openxmlformats.org/officeDocument/2006/relationships" ref="H13" r:id="rId13"/>
    <hyperlink xmlns:r="http://schemas.openxmlformats.org/officeDocument/2006/relationships" ref="I13" r:id="rId14"/>
    <hyperlink xmlns:r="http://schemas.openxmlformats.org/officeDocument/2006/relationships" ref="J13" r:id="rId15"/>
    <hyperlink xmlns:r="http://schemas.openxmlformats.org/officeDocument/2006/relationships" ref="K13" r:id="rId16"/>
    <hyperlink xmlns:r="http://schemas.openxmlformats.org/officeDocument/2006/relationships" ref="L13" r:id="rId17"/>
    <hyperlink xmlns:r="http://schemas.openxmlformats.org/officeDocument/2006/relationships" ref="M13" r:id="rId18"/>
    <hyperlink xmlns:r="http://schemas.openxmlformats.org/officeDocument/2006/relationships" ref="B14" r:id="rId19"/>
    <hyperlink xmlns:r="http://schemas.openxmlformats.org/officeDocument/2006/relationships" ref="C14" r:id="rId20"/>
    <hyperlink xmlns:r="http://schemas.openxmlformats.org/officeDocument/2006/relationships" ref="D14" r:id="rId21"/>
    <hyperlink xmlns:r="http://schemas.openxmlformats.org/officeDocument/2006/relationships" ref="E14" r:id="rId22"/>
    <hyperlink xmlns:r="http://schemas.openxmlformats.org/officeDocument/2006/relationships" ref="F14" r:id="rId23"/>
    <hyperlink xmlns:r="http://schemas.openxmlformats.org/officeDocument/2006/relationships" ref="G14" r:id="rId24"/>
    <hyperlink xmlns:r="http://schemas.openxmlformats.org/officeDocument/2006/relationships" ref="H14" r:id="rId25"/>
    <hyperlink xmlns:r="http://schemas.openxmlformats.org/officeDocument/2006/relationships" ref="I14" r:id="rId26"/>
    <hyperlink xmlns:r="http://schemas.openxmlformats.org/officeDocument/2006/relationships" ref="J14" r:id="rId27"/>
    <hyperlink xmlns:r="http://schemas.openxmlformats.org/officeDocument/2006/relationships" ref="K14" r:id="rId28"/>
    <hyperlink xmlns:r="http://schemas.openxmlformats.org/officeDocument/2006/relationships" ref="L14" r:id="rId29"/>
    <hyperlink xmlns:r="http://schemas.openxmlformats.org/officeDocument/2006/relationships" ref="M14" r:id="rId30"/>
    <hyperlink xmlns:r="http://schemas.openxmlformats.org/officeDocument/2006/relationships" ref="B15" r:id="rId31"/>
    <hyperlink xmlns:r="http://schemas.openxmlformats.org/officeDocument/2006/relationships" ref="C15" r:id="rId32"/>
    <hyperlink xmlns:r="http://schemas.openxmlformats.org/officeDocument/2006/relationships" ref="D15" r:id="rId33"/>
    <hyperlink xmlns:r="http://schemas.openxmlformats.org/officeDocument/2006/relationships" ref="E15" r:id="rId34"/>
    <hyperlink xmlns:r="http://schemas.openxmlformats.org/officeDocument/2006/relationships" ref="F15" r:id="rId35"/>
    <hyperlink xmlns:r="http://schemas.openxmlformats.org/officeDocument/2006/relationships" ref="G15" r:id="rId36"/>
    <hyperlink xmlns:r="http://schemas.openxmlformats.org/officeDocument/2006/relationships" ref="H15" r:id="rId37"/>
    <hyperlink xmlns:r="http://schemas.openxmlformats.org/officeDocument/2006/relationships" ref="I15" r:id="rId38"/>
    <hyperlink xmlns:r="http://schemas.openxmlformats.org/officeDocument/2006/relationships" ref="J15" r:id="rId39"/>
    <hyperlink xmlns:r="http://schemas.openxmlformats.org/officeDocument/2006/relationships" ref="K15" r:id="rId40"/>
    <hyperlink xmlns:r="http://schemas.openxmlformats.org/officeDocument/2006/relationships" ref="L15" r:id="rId41"/>
    <hyperlink xmlns:r="http://schemas.openxmlformats.org/officeDocument/2006/relationships" ref="M15" r:id="rId42"/>
    <hyperlink xmlns:r="http://schemas.openxmlformats.org/officeDocument/2006/relationships" ref="B16" r:id="rId43"/>
    <hyperlink xmlns:r="http://schemas.openxmlformats.org/officeDocument/2006/relationships" ref="C16" r:id="rId44"/>
    <hyperlink xmlns:r="http://schemas.openxmlformats.org/officeDocument/2006/relationships" ref="D16" r:id="rId45"/>
    <hyperlink xmlns:r="http://schemas.openxmlformats.org/officeDocument/2006/relationships" ref="E16" r:id="rId46"/>
    <hyperlink xmlns:r="http://schemas.openxmlformats.org/officeDocument/2006/relationships" ref="F16" r:id="rId47"/>
    <hyperlink xmlns:r="http://schemas.openxmlformats.org/officeDocument/2006/relationships" ref="G16" r:id="rId48"/>
    <hyperlink xmlns:r="http://schemas.openxmlformats.org/officeDocument/2006/relationships" ref="H16" r:id="rId49"/>
    <hyperlink xmlns:r="http://schemas.openxmlformats.org/officeDocument/2006/relationships" ref="I16" r:id="rId50"/>
    <hyperlink xmlns:r="http://schemas.openxmlformats.org/officeDocument/2006/relationships" ref="J16" r:id="rId51"/>
    <hyperlink xmlns:r="http://schemas.openxmlformats.org/officeDocument/2006/relationships" ref="K16" r:id="rId52"/>
    <hyperlink xmlns:r="http://schemas.openxmlformats.org/officeDocument/2006/relationships" ref="L16" r:id="rId53"/>
    <hyperlink xmlns:r="http://schemas.openxmlformats.org/officeDocument/2006/relationships" ref="M16" r:id="rId54"/>
    <hyperlink xmlns:r="http://schemas.openxmlformats.org/officeDocument/2006/relationships" ref="J19" r:id="rId55"/>
    <hyperlink xmlns:r="http://schemas.openxmlformats.org/officeDocument/2006/relationships" ref="J20" r:id="rId56"/>
    <hyperlink xmlns:r="http://schemas.openxmlformats.org/officeDocument/2006/relationships" ref="J21" r:id="rId57"/>
    <hyperlink xmlns:r="http://schemas.openxmlformats.org/officeDocument/2006/relationships" ref="J22" r:id="rId58"/>
    <hyperlink xmlns:r="http://schemas.openxmlformats.org/officeDocument/2006/relationships" ref="J23" r:id="rId59"/>
    <hyperlink xmlns:r="http://schemas.openxmlformats.org/officeDocument/2006/relationships" ref="J24" r:id="rId60"/>
    <hyperlink xmlns:r="http://schemas.openxmlformats.org/officeDocument/2006/relationships" ref="J25" r:id="rId61"/>
    <hyperlink xmlns:r="http://schemas.openxmlformats.org/officeDocument/2006/relationships" ref="J26" r:id="rId62"/>
    <hyperlink xmlns:r="http://schemas.openxmlformats.org/officeDocument/2006/relationships" ref="J27" r:id="rId63"/>
    <hyperlink xmlns:r="http://schemas.openxmlformats.org/officeDocument/2006/relationships" ref="J28" r:id="rId64"/>
    <hyperlink xmlns:r="http://schemas.openxmlformats.org/officeDocument/2006/relationships" ref="J29" r:id="rId65"/>
    <hyperlink xmlns:r="http://schemas.openxmlformats.org/officeDocument/2006/relationships" ref="J30" r:id="rId66"/>
    <hyperlink xmlns:r="http://schemas.openxmlformats.org/officeDocument/2006/relationships" ref="J31" r:id="rId67"/>
    <hyperlink xmlns:r="http://schemas.openxmlformats.org/officeDocument/2006/relationships" ref="J32" r:id="rId68"/>
    <hyperlink xmlns:r="http://schemas.openxmlformats.org/officeDocument/2006/relationships" ref="J33" r:id="rId69"/>
    <hyperlink xmlns:r="http://schemas.openxmlformats.org/officeDocument/2006/relationships" ref="J34" r:id="rId70"/>
    <hyperlink xmlns:r="http://schemas.openxmlformats.org/officeDocument/2006/relationships" ref="J35" r:id="rId71"/>
    <hyperlink xmlns:r="http://schemas.openxmlformats.org/officeDocument/2006/relationships" ref="J36" r:id="rId72"/>
    <hyperlink xmlns:r="http://schemas.openxmlformats.org/officeDocument/2006/relationships" ref="J37" r:id="rId73"/>
    <hyperlink xmlns:r="http://schemas.openxmlformats.org/officeDocument/2006/relationships" ref="J38" r:id="rId74"/>
    <hyperlink xmlns:r="http://schemas.openxmlformats.org/officeDocument/2006/relationships" ref="J39" r:id="rId75"/>
    <hyperlink xmlns:r="http://schemas.openxmlformats.org/officeDocument/2006/relationships" ref="J40" r:id="rId76"/>
    <hyperlink xmlns:r="http://schemas.openxmlformats.org/officeDocument/2006/relationships" ref="J41" r:id="rId77"/>
    <hyperlink xmlns:r="http://schemas.openxmlformats.org/officeDocument/2006/relationships" ref="J42" r:id="rId78"/>
    <hyperlink xmlns:r="http://schemas.openxmlformats.org/officeDocument/2006/relationships" ref="J43" r:id="rId79"/>
    <hyperlink xmlns:r="http://schemas.openxmlformats.org/officeDocument/2006/relationships" ref="J44" r:id="rId80"/>
    <hyperlink xmlns:r="http://schemas.openxmlformats.org/officeDocument/2006/relationships" ref="J45" r:id="rId81"/>
    <hyperlink xmlns:r="http://schemas.openxmlformats.org/officeDocument/2006/relationships" ref="J46" r:id="rId82"/>
    <hyperlink xmlns:r="http://schemas.openxmlformats.org/officeDocument/2006/relationships" ref="J47" r:id="rId83"/>
    <hyperlink xmlns:r="http://schemas.openxmlformats.org/officeDocument/2006/relationships" ref="J48" r:id="rId84"/>
    <hyperlink xmlns:r="http://schemas.openxmlformats.org/officeDocument/2006/relationships" ref="J49" r:id="rId85"/>
    <hyperlink xmlns:r="http://schemas.openxmlformats.org/officeDocument/2006/relationships" ref="J50" r:id="rId86"/>
    <hyperlink xmlns:r="http://schemas.openxmlformats.org/officeDocument/2006/relationships" ref="J51" r:id="rId87"/>
    <hyperlink xmlns:r="http://schemas.openxmlformats.org/officeDocument/2006/relationships" ref="J52" r:id="rId88"/>
    <hyperlink xmlns:r="http://schemas.openxmlformats.org/officeDocument/2006/relationships" ref="J53" r:id="rId89"/>
    <hyperlink xmlns:r="http://schemas.openxmlformats.org/officeDocument/2006/relationships" ref="J54" r:id="rId90"/>
    <hyperlink xmlns:r="http://schemas.openxmlformats.org/officeDocument/2006/relationships" ref="J55" r:id="rId91"/>
    <hyperlink xmlns:r="http://schemas.openxmlformats.org/officeDocument/2006/relationships" ref="J56" r:id="rId92"/>
    <hyperlink xmlns:r="http://schemas.openxmlformats.org/officeDocument/2006/relationships" ref="J57" r:id="rId93"/>
    <hyperlink xmlns:r="http://schemas.openxmlformats.org/officeDocument/2006/relationships" ref="J58" r:id="rId94"/>
    <hyperlink xmlns:r="http://schemas.openxmlformats.org/officeDocument/2006/relationships" ref="J59" r:id="rId95"/>
    <hyperlink xmlns:r="http://schemas.openxmlformats.org/officeDocument/2006/relationships" ref="J60" r:id="rId96"/>
    <hyperlink xmlns:r="http://schemas.openxmlformats.org/officeDocument/2006/relationships" ref="J61" r:id="rId97"/>
    <hyperlink xmlns:r="http://schemas.openxmlformats.org/officeDocument/2006/relationships" ref="J62" r:id="rId98"/>
    <hyperlink xmlns:r="http://schemas.openxmlformats.org/officeDocument/2006/relationships" ref="J63" r:id="rId99"/>
    <hyperlink xmlns:r="http://schemas.openxmlformats.org/officeDocument/2006/relationships" ref="J64" r:id="rId100"/>
    <hyperlink xmlns:r="http://schemas.openxmlformats.org/officeDocument/2006/relationships" ref="J65" r:id="rId101"/>
    <hyperlink xmlns:r="http://schemas.openxmlformats.org/officeDocument/2006/relationships" ref="J66" r:id="rId102"/>
    <hyperlink xmlns:r="http://schemas.openxmlformats.org/officeDocument/2006/relationships" ref="J67" r:id="rId103"/>
    <hyperlink xmlns:r="http://schemas.openxmlformats.org/officeDocument/2006/relationships" ref="J68" r:id="rId104"/>
    <hyperlink xmlns:r="http://schemas.openxmlformats.org/officeDocument/2006/relationships" ref="J69" r:id="rId105"/>
    <hyperlink xmlns:r="http://schemas.openxmlformats.org/officeDocument/2006/relationships" ref="J70" r:id="rId106"/>
  </hyperlinks>
  <printOptions horizontalCentered="1" verticalCentered="0"/>
  <pageMargins left="0.75" right="0.75" top="1" bottom="1" header="0.5" footer="0.5"/>
  <pageSetup orientation="landscape" paperSize="9" fitToHeight="0" fitToWidth="1"/>
  <drawing xmlns:r="http://schemas.openxmlformats.org/officeDocument/2006/relationships" r:id="rId107"/>
</worksheet>
</file>

<file path=xl/worksheets/sheet2.xml><?xml version="1.0" encoding="utf-8"?>
<worksheet xmlns="http://schemas.openxmlformats.org/spreadsheetml/2006/main">
  <sheetPr>
    <outlinePr summaryBelow="1" summaryRight="1"/>
    <pageSetUpPr fitToPage="1"/>
  </sheetPr>
  <dimension ref="A2:I42"/>
  <sheetViews>
    <sheetView showGridLines="1" workbookViewId="0">
      <selection activeCell="A1" sqref="A1"/>
    </sheetView>
  </sheetViews>
  <sheetFormatPr baseColWidth="8" defaultRowHeight="15"/>
  <cols>
    <col width="12" customWidth="1" min="1" max="1"/>
    <col width="10" customWidth="1" min="2" max="2"/>
    <col width="16" customWidth="1" min="3" max="3"/>
    <col width="13" customWidth="1" min="4" max="4"/>
    <col width="13" customWidth="1" min="5" max="5"/>
    <col width="13.5" customWidth="1" min="6" max="6"/>
    <col width="13" customWidth="1" min="7" max="7"/>
    <col width="15" customWidth="1" min="8" max="8"/>
    <col width="11" customWidth="1" min="9" max="9"/>
    <col width="4" customWidth="1" min="10" max="10"/>
  </cols>
  <sheetData>
    <row r="1" ht="8" customHeight="1"/>
    <row r="2" ht="24" customHeight="1">
      <c r="A2" s="1" t="inlineStr">
        <is>
          <t>Quarterly Sprints, OKRs &amp; Performance Review Hub</t>
        </is>
      </c>
      <c r="F2" s="38" t="inlineStr">
        <is>
          <t>17 Quarters Sprint Milestone Tracker (2026 – 2030)</t>
        </is>
      </c>
    </row>
    <row r="3" ht="16" customHeight="1">
      <c r="A3" s="3" t="inlineStr">
        <is>
          <t>"What gets measured quarterly gets mastered annually. Align 90-day sprints with daily execution."</t>
        </is>
      </c>
    </row>
    <row r="4" ht="18" customHeight="1">
      <c r="A4" s="39" t="inlineStr">
        <is>
          <t>🏠 Master Dashboard</t>
        </is>
      </c>
      <c r="B4" s="40" t="n"/>
      <c r="C4" s="6" t="inlineStr">
        <is>
          <t>📚 Habit Library</t>
        </is>
      </c>
      <c r="D4" s="7" t="n"/>
    </row>
    <row r="5" ht="6" customHeight="1"/>
    <row r="6" ht="16" customHeight="1">
      <c r="A6" s="41" t="inlineStr">
        <is>
          <t>Quarter</t>
        </is>
      </c>
      <c r="B6" s="41" t="inlineStr">
        <is>
          <t>Year</t>
        </is>
      </c>
      <c r="C6" s="41" t="inlineStr">
        <is>
          <t>Months Included</t>
        </is>
      </c>
      <c r="D6" s="41" t="inlineStr">
        <is>
          <t>Checks Done</t>
        </is>
      </c>
      <c r="E6" s="41" t="inlineStr">
        <is>
          <t>Target Days</t>
        </is>
      </c>
      <c r="F6" s="41" t="inlineStr">
        <is>
          <t>Quarter Success %</t>
        </is>
      </c>
      <c r="G6" s="41" t="inlineStr">
        <is>
          <t>Avg Sleep (hrs)</t>
        </is>
      </c>
      <c r="H6" s="41" t="inlineStr">
        <is>
          <t>Consistency Tier</t>
        </is>
      </c>
      <c r="I6" s="41" t="inlineStr">
        <is>
          <t>Direct Link</t>
        </is>
      </c>
    </row>
    <row r="7" ht="14" customHeight="1">
      <c r="A7" s="33" t="inlineStr">
        <is>
          <t>Q4 2026</t>
        </is>
      </c>
      <c r="B7" s="34" t="n">
        <v>2026</v>
      </c>
      <c r="C7" s="34" t="inlineStr">
        <is>
          <t>Sep – Dec</t>
        </is>
      </c>
      <c r="D7" s="34">
        <f>'Sep 2026'!I92 + 'Oct 2026'!I92 + 'Nov 2026'!I92 + 'Dec 2026'!I92</f>
        <v/>
      </c>
      <c r="E7" s="34">
        <f>'Sep 2026'!G92 + 'Oct 2026'!G92 + 'Nov 2026'!G92 + 'Dec 2026'!G92</f>
        <v/>
      </c>
      <c r="F7" s="42">
        <f>IF(E7&gt;0, D7/E7, 0)</f>
        <v/>
      </c>
      <c r="G7" s="36">
        <f>IFERROR(AVERAGE('Sep 2026'!O92, 'Oct 2026'!O92, 'Nov 2026'!O92, 'Dec 2026'!O92), 0)</f>
        <v/>
      </c>
      <c r="H7" s="33">
        <f>IF(F7&gt;=0.85, "🏆 Elite Master", IF(F7&gt;=0.7, "⭐ Consistent", "📈 Building"))</f>
        <v/>
      </c>
      <c r="I7" s="37" t="inlineStr">
        <is>
          <t>Open ↗</t>
        </is>
      </c>
    </row>
    <row r="8" ht="14" customHeight="1">
      <c r="A8" s="33" t="inlineStr">
        <is>
          <t>Q1 2027</t>
        </is>
      </c>
      <c r="B8" s="34" t="n">
        <v>2027</v>
      </c>
      <c r="C8" s="34" t="inlineStr">
        <is>
          <t>Jan – Mar</t>
        </is>
      </c>
      <c r="D8" s="34">
        <f>'Jan 2027'!I92 + 'Feb 2027'!I92 + 'Mar 2027'!I92</f>
        <v/>
      </c>
      <c r="E8" s="34">
        <f>'Jan 2027'!G92 + 'Feb 2027'!G92 + 'Mar 2027'!G92</f>
        <v/>
      </c>
      <c r="F8" s="42">
        <f>IF(E8&gt;0, D8/E8, 0)</f>
        <v/>
      </c>
      <c r="G8" s="36">
        <f>IFERROR(AVERAGE('Jan 2027'!O92, 'Feb 2027'!O92, 'Mar 2027'!O92), 0)</f>
        <v/>
      </c>
      <c r="H8" s="33">
        <f>IF(F8&gt;=0.85, "🏆 Elite Master", IF(F8&gt;=0.7, "⭐ Consistent", "📈 Building"))</f>
        <v/>
      </c>
      <c r="I8" s="37" t="inlineStr">
        <is>
          <t>Open ↗</t>
        </is>
      </c>
    </row>
    <row r="9" ht="14" customHeight="1">
      <c r="A9" s="33" t="inlineStr">
        <is>
          <t>Q2 2027</t>
        </is>
      </c>
      <c r="B9" s="34" t="n">
        <v>2027</v>
      </c>
      <c r="C9" s="34" t="inlineStr">
        <is>
          <t>Apr – Jun</t>
        </is>
      </c>
      <c r="D9" s="34">
        <f>'Apr 2027'!I92 + 'May 2027'!I92 + 'Jun 2027'!I92</f>
        <v/>
      </c>
      <c r="E9" s="34">
        <f>'Apr 2027'!G92 + 'May 2027'!G92 + 'Jun 2027'!G92</f>
        <v/>
      </c>
      <c r="F9" s="42">
        <f>IF(E9&gt;0, D9/E9, 0)</f>
        <v/>
      </c>
      <c r="G9" s="36">
        <f>IFERROR(AVERAGE('Apr 2027'!O92, 'May 2027'!O92, 'Jun 2027'!O92), 0)</f>
        <v/>
      </c>
      <c r="H9" s="33">
        <f>IF(F9&gt;=0.85, "🏆 Elite Master", IF(F9&gt;=0.7, "⭐ Consistent", "📈 Building"))</f>
        <v/>
      </c>
      <c r="I9" s="37" t="inlineStr">
        <is>
          <t>Open ↗</t>
        </is>
      </c>
    </row>
    <row r="10" ht="14" customHeight="1">
      <c r="A10" s="33" t="inlineStr">
        <is>
          <t>Q3 2027</t>
        </is>
      </c>
      <c r="B10" s="34" t="n">
        <v>2027</v>
      </c>
      <c r="C10" s="34" t="inlineStr">
        <is>
          <t>Jul – Sep</t>
        </is>
      </c>
      <c r="D10" s="34">
        <f>'Jul 2027'!I92 + 'Aug 2027'!I92 + 'Sep 2027'!I92</f>
        <v/>
      </c>
      <c r="E10" s="34">
        <f>'Jul 2027'!G92 + 'Aug 2027'!G92 + 'Sep 2027'!G92</f>
        <v/>
      </c>
      <c r="F10" s="42">
        <f>IF(E10&gt;0, D10/E10, 0)</f>
        <v/>
      </c>
      <c r="G10" s="36">
        <f>IFERROR(AVERAGE('Jul 2027'!O92, 'Aug 2027'!O92, 'Sep 2027'!O92), 0)</f>
        <v/>
      </c>
      <c r="H10" s="33">
        <f>IF(F10&gt;=0.85, "🏆 Elite Master", IF(F10&gt;=0.7, "⭐ Consistent", "📈 Building"))</f>
        <v/>
      </c>
      <c r="I10" s="37" t="inlineStr">
        <is>
          <t>Open ↗</t>
        </is>
      </c>
    </row>
    <row r="11" ht="14" customHeight="1">
      <c r="A11" s="33" t="inlineStr">
        <is>
          <t>Q4 2027</t>
        </is>
      </c>
      <c r="B11" s="34" t="n">
        <v>2027</v>
      </c>
      <c r="C11" s="34" t="inlineStr">
        <is>
          <t>Oct – Dec</t>
        </is>
      </c>
      <c r="D11" s="34">
        <f>'Oct 2027'!I92 + 'Nov 2027'!I92 + 'Dec 2027'!I92</f>
        <v/>
      </c>
      <c r="E11" s="34">
        <f>'Oct 2027'!G92 + 'Nov 2027'!G92 + 'Dec 2027'!G92</f>
        <v/>
      </c>
      <c r="F11" s="42">
        <f>IF(E11&gt;0, D11/E11, 0)</f>
        <v/>
      </c>
      <c r="G11" s="36">
        <f>IFERROR(AVERAGE('Oct 2027'!O92, 'Nov 2027'!O92, 'Dec 2027'!O92), 0)</f>
        <v/>
      </c>
      <c r="H11" s="33">
        <f>IF(F11&gt;=0.85, "🏆 Elite Master", IF(F11&gt;=0.7, "⭐ Consistent", "📈 Building"))</f>
        <v/>
      </c>
      <c r="I11" s="37" t="inlineStr">
        <is>
          <t>Open ↗</t>
        </is>
      </c>
    </row>
    <row r="12" ht="14" customHeight="1">
      <c r="A12" s="33" t="inlineStr">
        <is>
          <t>Q1 2028</t>
        </is>
      </c>
      <c r="B12" s="34" t="n">
        <v>2028</v>
      </c>
      <c r="C12" s="34" t="inlineStr">
        <is>
          <t>Jan – Mar</t>
        </is>
      </c>
      <c r="D12" s="34">
        <f>'Jan 2028'!I92 + 'Feb 2028'!I92 + 'Mar 2028'!I92</f>
        <v/>
      </c>
      <c r="E12" s="34">
        <f>'Jan 2028'!G92 + 'Feb 2028'!G92 + 'Mar 2028'!G92</f>
        <v/>
      </c>
      <c r="F12" s="42">
        <f>IF(E12&gt;0, D12/E12, 0)</f>
        <v/>
      </c>
      <c r="G12" s="36">
        <f>IFERROR(AVERAGE('Jan 2028'!O92, 'Feb 2028'!O92, 'Mar 2028'!O92), 0)</f>
        <v/>
      </c>
      <c r="H12" s="33">
        <f>IF(F12&gt;=0.85, "🏆 Elite Master", IF(F12&gt;=0.7, "⭐ Consistent", "📈 Building"))</f>
        <v/>
      </c>
      <c r="I12" s="37" t="inlineStr">
        <is>
          <t>Open ↗</t>
        </is>
      </c>
    </row>
    <row r="13" ht="14" customHeight="1">
      <c r="A13" s="33" t="inlineStr">
        <is>
          <t>Q2 2028</t>
        </is>
      </c>
      <c r="B13" s="34" t="n">
        <v>2028</v>
      </c>
      <c r="C13" s="34" t="inlineStr">
        <is>
          <t>Apr – Jun</t>
        </is>
      </c>
      <c r="D13" s="34">
        <f>'Apr 2028'!I92 + 'May 2028'!I92 + 'Jun 2028'!I92</f>
        <v/>
      </c>
      <c r="E13" s="34">
        <f>'Apr 2028'!G92 + 'May 2028'!G92 + 'Jun 2028'!G92</f>
        <v/>
      </c>
      <c r="F13" s="42">
        <f>IF(E13&gt;0, D13/E13, 0)</f>
        <v/>
      </c>
      <c r="G13" s="36">
        <f>IFERROR(AVERAGE('Apr 2028'!O92, 'May 2028'!O92, 'Jun 2028'!O92), 0)</f>
        <v/>
      </c>
      <c r="H13" s="33">
        <f>IF(F13&gt;=0.85, "🏆 Elite Master", IF(F13&gt;=0.7, "⭐ Consistent", "📈 Building"))</f>
        <v/>
      </c>
      <c r="I13" s="37" t="inlineStr">
        <is>
          <t>Open ↗</t>
        </is>
      </c>
    </row>
    <row r="14" ht="14" customHeight="1">
      <c r="A14" s="33" t="inlineStr">
        <is>
          <t>Q3 2028</t>
        </is>
      </c>
      <c r="B14" s="34" t="n">
        <v>2028</v>
      </c>
      <c r="C14" s="34" t="inlineStr">
        <is>
          <t>Jul – Sep</t>
        </is>
      </c>
      <c r="D14" s="34">
        <f>'Jul 2028'!I92 + 'Aug 2028'!I92 + 'Sep 2028'!I92</f>
        <v/>
      </c>
      <c r="E14" s="34">
        <f>'Jul 2028'!G92 + 'Aug 2028'!G92 + 'Sep 2028'!G92</f>
        <v/>
      </c>
      <c r="F14" s="42">
        <f>IF(E14&gt;0, D14/E14, 0)</f>
        <v/>
      </c>
      <c r="G14" s="36">
        <f>IFERROR(AVERAGE('Jul 2028'!O92, 'Aug 2028'!O92, 'Sep 2028'!O92), 0)</f>
        <v/>
      </c>
      <c r="H14" s="33">
        <f>IF(F14&gt;=0.85, "🏆 Elite Master", IF(F14&gt;=0.7, "⭐ Consistent", "📈 Building"))</f>
        <v/>
      </c>
      <c r="I14" s="37" t="inlineStr">
        <is>
          <t>Open ↗</t>
        </is>
      </c>
    </row>
    <row r="15" ht="14" customHeight="1">
      <c r="A15" s="33" t="inlineStr">
        <is>
          <t>Q4 2028</t>
        </is>
      </c>
      <c r="B15" s="34" t="n">
        <v>2028</v>
      </c>
      <c r="C15" s="34" t="inlineStr">
        <is>
          <t>Oct – Dec</t>
        </is>
      </c>
      <c r="D15" s="34">
        <f>'Oct 2028'!I92 + 'Nov 2028'!I92 + 'Dec 2028'!I92</f>
        <v/>
      </c>
      <c r="E15" s="34">
        <f>'Oct 2028'!G92 + 'Nov 2028'!G92 + 'Dec 2028'!G92</f>
        <v/>
      </c>
      <c r="F15" s="42">
        <f>IF(E15&gt;0, D15/E15, 0)</f>
        <v/>
      </c>
      <c r="G15" s="36">
        <f>IFERROR(AVERAGE('Oct 2028'!O92, 'Nov 2028'!O92, 'Dec 2028'!O92), 0)</f>
        <v/>
      </c>
      <c r="H15" s="33">
        <f>IF(F15&gt;=0.85, "🏆 Elite Master", IF(F15&gt;=0.7, "⭐ Consistent", "📈 Building"))</f>
        <v/>
      </c>
      <c r="I15" s="37" t="inlineStr">
        <is>
          <t>Open ↗</t>
        </is>
      </c>
    </row>
    <row r="16" ht="14" customHeight="1">
      <c r="A16" s="33" t="inlineStr">
        <is>
          <t>Q1 2029</t>
        </is>
      </c>
      <c r="B16" s="34" t="n">
        <v>2029</v>
      </c>
      <c r="C16" s="34" t="inlineStr">
        <is>
          <t>Jan – Mar</t>
        </is>
      </c>
      <c r="D16" s="34">
        <f>'Jan 2029'!I92 + 'Feb 2029'!I92 + 'Mar 2029'!I92</f>
        <v/>
      </c>
      <c r="E16" s="34">
        <f>'Jan 2029'!G92 + 'Feb 2029'!G92 + 'Mar 2029'!G92</f>
        <v/>
      </c>
      <c r="F16" s="42">
        <f>IF(E16&gt;0, D16/E16, 0)</f>
        <v/>
      </c>
      <c r="G16" s="36">
        <f>IFERROR(AVERAGE('Jan 2029'!O92, 'Feb 2029'!O92, 'Mar 2029'!O92), 0)</f>
        <v/>
      </c>
      <c r="H16" s="33">
        <f>IF(F16&gt;=0.85, "🏆 Elite Master", IF(F16&gt;=0.7, "⭐ Consistent", "📈 Building"))</f>
        <v/>
      </c>
      <c r="I16" s="37" t="inlineStr">
        <is>
          <t>Open ↗</t>
        </is>
      </c>
    </row>
    <row r="17" ht="14" customHeight="1">
      <c r="A17" s="33" t="inlineStr">
        <is>
          <t>Q2 2029</t>
        </is>
      </c>
      <c r="B17" s="34" t="n">
        <v>2029</v>
      </c>
      <c r="C17" s="34" t="inlineStr">
        <is>
          <t>Apr – Jun</t>
        </is>
      </c>
      <c r="D17" s="34">
        <f>'Apr 2029'!I92 + 'May 2029'!I92 + 'Jun 2029'!I92</f>
        <v/>
      </c>
      <c r="E17" s="34">
        <f>'Apr 2029'!G92 + 'May 2029'!G92 + 'Jun 2029'!G92</f>
        <v/>
      </c>
      <c r="F17" s="42">
        <f>IF(E17&gt;0, D17/E17, 0)</f>
        <v/>
      </c>
      <c r="G17" s="36">
        <f>IFERROR(AVERAGE('Apr 2029'!O92, 'May 2029'!O92, 'Jun 2029'!O92), 0)</f>
        <v/>
      </c>
      <c r="H17" s="33">
        <f>IF(F17&gt;=0.85, "🏆 Elite Master", IF(F17&gt;=0.7, "⭐ Consistent", "📈 Building"))</f>
        <v/>
      </c>
      <c r="I17" s="37" t="inlineStr">
        <is>
          <t>Open ↗</t>
        </is>
      </c>
    </row>
    <row r="18" ht="14" customHeight="1">
      <c r="A18" s="33" t="inlineStr">
        <is>
          <t>Q3 2029</t>
        </is>
      </c>
      <c r="B18" s="34" t="n">
        <v>2029</v>
      </c>
      <c r="C18" s="34" t="inlineStr">
        <is>
          <t>Jul – Sep</t>
        </is>
      </c>
      <c r="D18" s="34">
        <f>'Jul 2029'!I92 + 'Aug 2029'!I92 + 'Sep 2029'!I92</f>
        <v/>
      </c>
      <c r="E18" s="34">
        <f>'Jul 2029'!G92 + 'Aug 2029'!G92 + 'Sep 2029'!G92</f>
        <v/>
      </c>
      <c r="F18" s="42">
        <f>IF(E18&gt;0, D18/E18, 0)</f>
        <v/>
      </c>
      <c r="G18" s="36">
        <f>IFERROR(AVERAGE('Jul 2029'!O92, 'Aug 2029'!O92, 'Sep 2029'!O92), 0)</f>
        <v/>
      </c>
      <c r="H18" s="33">
        <f>IF(F18&gt;=0.85, "🏆 Elite Master", IF(F18&gt;=0.7, "⭐ Consistent", "📈 Building"))</f>
        <v/>
      </c>
      <c r="I18" s="37" t="inlineStr">
        <is>
          <t>Open ↗</t>
        </is>
      </c>
    </row>
    <row r="19" ht="14" customHeight="1">
      <c r="A19" s="33" t="inlineStr">
        <is>
          <t>Q4 2029</t>
        </is>
      </c>
      <c r="B19" s="34" t="n">
        <v>2029</v>
      </c>
      <c r="C19" s="34" t="inlineStr">
        <is>
          <t>Oct – Dec</t>
        </is>
      </c>
      <c r="D19" s="34">
        <f>'Oct 2029'!I92 + 'Nov 2029'!I92 + 'Dec 2029'!I92</f>
        <v/>
      </c>
      <c r="E19" s="34">
        <f>'Oct 2029'!G92 + 'Nov 2029'!G92 + 'Dec 2029'!G92</f>
        <v/>
      </c>
      <c r="F19" s="42">
        <f>IF(E19&gt;0, D19/E19, 0)</f>
        <v/>
      </c>
      <c r="G19" s="36">
        <f>IFERROR(AVERAGE('Oct 2029'!O92, 'Nov 2029'!O92, 'Dec 2029'!O92), 0)</f>
        <v/>
      </c>
      <c r="H19" s="33">
        <f>IF(F19&gt;=0.85, "🏆 Elite Master", IF(F19&gt;=0.7, "⭐ Consistent", "📈 Building"))</f>
        <v/>
      </c>
      <c r="I19" s="37" t="inlineStr">
        <is>
          <t>Open ↗</t>
        </is>
      </c>
    </row>
    <row r="20" ht="14" customHeight="1">
      <c r="A20" s="33" t="inlineStr">
        <is>
          <t>Q1 2030</t>
        </is>
      </c>
      <c r="B20" s="34" t="n">
        <v>2030</v>
      </c>
      <c r="C20" s="34" t="inlineStr">
        <is>
          <t>Jan – Mar</t>
        </is>
      </c>
      <c r="D20" s="34">
        <f>'Jan 2030'!I92 + 'Feb 2030'!I92 + 'Mar 2030'!I92</f>
        <v/>
      </c>
      <c r="E20" s="34">
        <f>'Jan 2030'!G92 + 'Feb 2030'!G92 + 'Mar 2030'!G92</f>
        <v/>
      </c>
      <c r="F20" s="42">
        <f>IF(E20&gt;0, D20/E20, 0)</f>
        <v/>
      </c>
      <c r="G20" s="36">
        <f>IFERROR(AVERAGE('Jan 2030'!O92, 'Feb 2030'!O92, 'Mar 2030'!O92), 0)</f>
        <v/>
      </c>
      <c r="H20" s="33">
        <f>IF(F20&gt;=0.85, "🏆 Elite Master", IF(F20&gt;=0.7, "⭐ Consistent", "📈 Building"))</f>
        <v/>
      </c>
      <c r="I20" s="37" t="inlineStr">
        <is>
          <t>Open ↗</t>
        </is>
      </c>
    </row>
    <row r="21" ht="14" customHeight="1">
      <c r="A21" s="33" t="inlineStr">
        <is>
          <t>Q2 2030</t>
        </is>
      </c>
      <c r="B21" s="34" t="n">
        <v>2030</v>
      </c>
      <c r="C21" s="34" t="inlineStr">
        <is>
          <t>Apr – Jun</t>
        </is>
      </c>
      <c r="D21" s="34">
        <f>'Apr 2030'!I92 + 'May 2030'!I92 + 'Jun 2030'!I92</f>
        <v/>
      </c>
      <c r="E21" s="34">
        <f>'Apr 2030'!G92 + 'May 2030'!G92 + 'Jun 2030'!G92</f>
        <v/>
      </c>
      <c r="F21" s="42">
        <f>IF(E21&gt;0, D21/E21, 0)</f>
        <v/>
      </c>
      <c r="G21" s="36">
        <f>IFERROR(AVERAGE('Apr 2030'!O92, 'May 2030'!O92, 'Jun 2030'!O92), 0)</f>
        <v/>
      </c>
      <c r="H21" s="33">
        <f>IF(F21&gt;=0.85, "🏆 Elite Master", IF(F21&gt;=0.7, "⭐ Consistent", "📈 Building"))</f>
        <v/>
      </c>
      <c r="I21" s="37" t="inlineStr">
        <is>
          <t>Open ↗</t>
        </is>
      </c>
    </row>
    <row r="22" ht="14" customHeight="1">
      <c r="A22" s="33" t="inlineStr">
        <is>
          <t>Q3 2030</t>
        </is>
      </c>
      <c r="B22" s="34" t="n">
        <v>2030</v>
      </c>
      <c r="C22" s="34" t="inlineStr">
        <is>
          <t>Jul – Sep</t>
        </is>
      </c>
      <c r="D22" s="34">
        <f>'Jul 2030'!I92 + 'Aug 2030'!I92 + 'Sep 2030'!I92</f>
        <v/>
      </c>
      <c r="E22" s="34">
        <f>'Jul 2030'!G92 + 'Aug 2030'!G92 + 'Sep 2030'!G92</f>
        <v/>
      </c>
      <c r="F22" s="42">
        <f>IF(E22&gt;0, D22/E22, 0)</f>
        <v/>
      </c>
      <c r="G22" s="36">
        <f>IFERROR(AVERAGE('Jul 2030'!O92, 'Aug 2030'!O92, 'Sep 2030'!O92), 0)</f>
        <v/>
      </c>
      <c r="H22" s="33">
        <f>IF(F22&gt;=0.85, "🏆 Elite Master", IF(F22&gt;=0.7, "⭐ Consistent", "📈 Building"))</f>
        <v/>
      </c>
      <c r="I22" s="37" t="inlineStr">
        <is>
          <t>Open ↗</t>
        </is>
      </c>
    </row>
    <row r="23" ht="14" customHeight="1">
      <c r="A23" s="33" t="inlineStr">
        <is>
          <t>Q4 2030</t>
        </is>
      </c>
      <c r="B23" s="34" t="n">
        <v>2030</v>
      </c>
      <c r="C23" s="34" t="inlineStr">
        <is>
          <t>Oct – Dec</t>
        </is>
      </c>
      <c r="D23" s="34">
        <f>'Oct 2030'!I92 + 'Nov 2030'!I92 + 'Dec 2030'!I92</f>
        <v/>
      </c>
      <c r="E23" s="34">
        <f>'Oct 2030'!G92 + 'Nov 2030'!G92 + 'Dec 2030'!G92</f>
        <v/>
      </c>
      <c r="F23" s="42">
        <f>IF(E23&gt;0, D23/E23, 0)</f>
        <v/>
      </c>
      <c r="G23" s="36">
        <f>IFERROR(AVERAGE('Oct 2030'!O92, 'Nov 2030'!O92, 'Dec 2030'!O92), 0)</f>
        <v/>
      </c>
      <c r="H23" s="33">
        <f>IF(F23&gt;=0.85, "🏆 Elite Master", IF(F23&gt;=0.7, "⭐ Consistent", "📈 Building"))</f>
        <v/>
      </c>
      <c r="I23" s="37" t="inlineStr">
        <is>
          <t>Open ↗</t>
        </is>
      </c>
    </row>
    <row r="25" ht="10" customHeight="1"/>
    <row r="26">
      <c r="A26" s="43" t="inlineStr">
        <is>
          <t>🎯 90-DAY SPRINT OBJECTIVES &amp; KEY RESULTS (OKRs)</t>
        </is>
      </c>
      <c r="B26" s="44" t="n"/>
      <c r="C26" s="44" t="n"/>
      <c r="D26" s="44" t="n"/>
      <c r="E26" s="44" t="n"/>
      <c r="F26" s="44" t="n"/>
      <c r="G26" s="44" t="n"/>
      <c r="H26" s="44" t="n"/>
      <c r="I26" s="44" t="n"/>
    </row>
    <row r="27">
      <c r="A27" s="45" t="inlineStr">
        <is>
          <t>Sprint 1: Foundation &amp; Baseline (Q4 2026)
Objective: Solidify uninterrupted morning &amp; evening anchors.
• KR1: Maintain ≥80% on 3 non-negotiable health protocols.
• KR2: Nightly sleep average ≥ 7.2 hours.
• KR3: 0 missed check-ins on Sunday reviews.</t>
        </is>
      </c>
      <c r="B27" s="46" t="n"/>
      <c r="C27" s="46" t="n"/>
      <c r="D27" s="47" t="inlineStr">
        <is>
          <t>Sprint 2: Deep Work &amp; Vitality (Q1 2027)
Objective: Scale cognitive stamina &amp; physical output.
• KR1: Log 45 deep work sprints (90 min).
• KR2: Complete 10,000 steps on 80% of days.
• KR3: Zero sugar on weekdays throughout sprint.</t>
        </is>
      </c>
      <c r="E27" s="48" t="n"/>
      <c r="F27" s="48" t="n"/>
      <c r="G27" s="49" t="inlineStr">
        <is>
          <t>Sprint 3: Mental Mastery &amp; Finance (Q2 2027)
Objective: Eliminate digital clutter &amp; optimize savings.
• KR1: Zero phone 1st hour on 25+ days/month.
• KR2: 100% daily expense logging consistency.
• KR3: Read 6 complete high-leverage books.</t>
        </is>
      </c>
      <c r="H27" s="50" t="n"/>
      <c r="I27" s="50" t="n"/>
    </row>
    <row r="28">
      <c r="A28" s="46" t="n"/>
      <c r="B28" s="46" t="n"/>
      <c r="C28" s="46" t="n"/>
      <c r="D28" s="48" t="n"/>
      <c r="E28" s="48" t="n"/>
      <c r="F28" s="48" t="n"/>
      <c r="G28" s="50" t="n"/>
      <c r="H28" s="50" t="n"/>
      <c r="I28" s="50" t="n"/>
    </row>
    <row r="29">
      <c r="A29" s="46" t="n"/>
      <c r="B29" s="46" t="n"/>
      <c r="C29" s="46" t="n"/>
      <c r="D29" s="48" t="n"/>
      <c r="E29" s="48" t="n"/>
      <c r="F29" s="48" t="n"/>
      <c r="G29" s="50" t="n"/>
      <c r="H29" s="50" t="n"/>
      <c r="I29" s="50" t="n"/>
    </row>
    <row r="30">
      <c r="A30" s="46" t="n"/>
      <c r="B30" s="46" t="n"/>
      <c r="C30" s="46" t="n"/>
      <c r="D30" s="48" t="n"/>
      <c r="E30" s="48" t="n"/>
      <c r="F30" s="48" t="n"/>
      <c r="G30" s="50" t="n"/>
      <c r="H30" s="50" t="n"/>
      <c r="I30" s="50" t="n"/>
    </row>
    <row r="31">
      <c r="A31" s="46" t="n"/>
      <c r="B31" s="46" t="n"/>
      <c r="C31" s="46" t="n"/>
      <c r="D31" s="48" t="n"/>
      <c r="E31" s="48" t="n"/>
      <c r="F31" s="48" t="n"/>
      <c r="G31" s="50" t="n"/>
      <c r="H31" s="50" t="n"/>
      <c r="I31" s="50" t="n"/>
    </row>
    <row r="32" ht="10" customHeight="1"/>
    <row r="33">
      <c r="A33" s="51" t="inlineStr">
        <is>
          <t>🎓 HABIT EVOLUTION &amp; GRADUATION BOARD (AUTOMATIC HABITS VS NEW PROTOCOLS)</t>
        </is>
      </c>
      <c r="B33" s="52" t="n"/>
      <c r="C33" s="52" t="n"/>
      <c r="D33" s="52" t="n"/>
      <c r="E33" s="52" t="n"/>
      <c r="F33" s="52" t="n"/>
      <c r="G33" s="52" t="n"/>
      <c r="H33" s="52" t="n"/>
      <c r="I33" s="52" t="n"/>
    </row>
    <row r="34" ht="15" customHeight="1">
      <c r="A34" s="53" t="inlineStr">
        <is>
          <t>Habit Protocol Name</t>
        </is>
      </c>
      <c r="B34" s="54" t="n"/>
      <c r="C34" s="53" t="inlineStr">
        <is>
          <t>Domain</t>
        </is>
      </c>
      <c r="D34" s="53" t="inlineStr">
        <is>
          <t>Month Introduced</t>
        </is>
      </c>
      <c r="E34" s="53" t="inlineStr">
        <is>
          <t>Quarter Graduated</t>
        </is>
      </c>
      <c r="F34" s="53" t="inlineStr">
        <is>
          <t>Status / Milestone</t>
        </is>
      </c>
      <c r="G34" s="54" t="n"/>
      <c r="H34" s="53" t="inlineStr">
        <is>
          <t>Long-Term Impact</t>
        </is>
      </c>
      <c r="I34" s="54" t="n"/>
    </row>
    <row r="35" ht="14" customHeight="1">
      <c r="A35" s="55" t="inlineStr">
        <is>
          <t>Morning Sunlight 10m</t>
        </is>
      </c>
      <c r="B35" s="56" t="n"/>
      <c r="C35" s="57" t="inlineStr">
        <is>
          <t>Health &amp; Fitness</t>
        </is>
      </c>
      <c r="D35" s="57" t="inlineStr">
        <is>
          <t>Sep 2026</t>
        </is>
      </c>
      <c r="E35" s="57" t="inlineStr">
        <is>
          <t>Q4 2026</t>
        </is>
      </c>
      <c r="F35" s="57" t="inlineStr">
        <is>
          <t>🎓 Graduated (Second Nature)</t>
        </is>
      </c>
      <c r="G35" s="56" t="n"/>
      <c r="H35" s="55" t="inlineStr">
        <is>
          <t>Circadian rhythm fully automated upon waking</t>
        </is>
      </c>
      <c r="I35" s="56" t="n"/>
    </row>
    <row r="36" ht="14" customHeight="1">
      <c r="A36" s="55" t="inlineStr">
        <is>
          <t>Hydration 1L on Waking</t>
        </is>
      </c>
      <c r="B36" s="56" t="n"/>
      <c r="C36" s="57" t="inlineStr">
        <is>
          <t>Health &amp; Fitness</t>
        </is>
      </c>
      <c r="D36" s="57" t="inlineStr">
        <is>
          <t>Sep 2026</t>
        </is>
      </c>
      <c r="E36" s="57" t="inlineStr">
        <is>
          <t>Q4 2026</t>
        </is>
      </c>
      <c r="F36" s="57" t="inlineStr">
        <is>
          <t>🎓 Graduated (Second Nature)</t>
        </is>
      </c>
      <c r="G36" s="56" t="n"/>
      <c r="H36" s="55" t="inlineStr">
        <is>
          <t>Zero mental effort required; glass pre-set at night</t>
        </is>
      </c>
      <c r="I36" s="56" t="n"/>
    </row>
    <row r="37" ht="14" customHeight="1">
      <c r="A37" s="55" t="inlineStr">
        <is>
          <t>90-Min Deep Work Block</t>
        </is>
      </c>
      <c r="B37" s="56" t="n"/>
      <c r="C37" s="57" t="inlineStr">
        <is>
          <t>Career &amp; Focus</t>
        </is>
      </c>
      <c r="D37" s="57" t="inlineStr">
        <is>
          <t>Oct 2026</t>
        </is>
      </c>
      <c r="E37" s="57" t="inlineStr">
        <is>
          <t>Q1 2027</t>
        </is>
      </c>
      <c r="F37" s="57" t="inlineStr">
        <is>
          <t>⚡ In Progress (Active Sprint)</t>
        </is>
      </c>
      <c r="G37" s="56" t="n"/>
      <c r="H37" s="55" t="inlineStr">
        <is>
          <t>Calendar protected from 9:00 - 10:30 AM daily</t>
        </is>
      </c>
      <c r="I37" s="56" t="n"/>
    </row>
    <row r="38" ht="14" customHeight="1">
      <c r="A38" s="55" t="inlineStr">
        <is>
          <t>Read 20 Pages Non-Fiction</t>
        </is>
      </c>
      <c r="B38" s="56" t="n"/>
      <c r="C38" s="57" t="inlineStr">
        <is>
          <t>Mindset</t>
        </is>
      </c>
      <c r="D38" s="57" t="inlineStr">
        <is>
          <t>Nov 2026</t>
        </is>
      </c>
      <c r="E38" s="57" t="inlineStr">
        <is>
          <t>Q2 2027</t>
        </is>
      </c>
      <c r="F38" s="57" t="inlineStr">
        <is>
          <t>⚡ In Progress (Active Sprint)</t>
        </is>
      </c>
      <c r="G38" s="56" t="n"/>
      <c r="H38" s="55" t="inlineStr">
        <is>
          <t>Book stays on nightstand; 15 books read to date</t>
        </is>
      </c>
      <c r="I38" s="56" t="n"/>
    </row>
    <row r="39" ht="14" customHeight="1">
      <c r="A39" s="55" t="inlineStr">
        <is>
          <t>Daily Expense Logging</t>
        </is>
      </c>
      <c r="B39" s="56" t="n"/>
      <c r="C39" s="57" t="inlineStr">
        <is>
          <t>Finance</t>
        </is>
      </c>
      <c r="D39" s="57" t="inlineStr">
        <is>
          <t>Jan 2027</t>
        </is>
      </c>
      <c r="E39" s="57" t="inlineStr">
        <is>
          <t>Q2 2027</t>
        </is>
      </c>
      <c r="F39" s="57" t="inlineStr">
        <is>
          <t>🌱 Planned Sprint Protocol</t>
        </is>
      </c>
      <c r="G39" s="56" t="n"/>
      <c r="H39" s="55" t="inlineStr">
        <is>
          <t>App shortcut configured on home screen</t>
        </is>
      </c>
      <c r="I39" s="56" t="n"/>
    </row>
    <row r="40">
      <c r="A40" s="54" t="n"/>
      <c r="B40" s="54" t="n"/>
      <c r="C40" s="54" t="n"/>
      <c r="D40" s="54" t="n"/>
      <c r="E40" s="54" t="n"/>
      <c r="F40" s="54" t="n"/>
      <c r="G40" s="54" t="n"/>
      <c r="H40" s="54" t="n"/>
      <c r="I40" s="54" t="n"/>
    </row>
    <row r="41">
      <c r="A41" s="54" t="n"/>
      <c r="B41" s="54" t="n"/>
      <c r="C41" s="54" t="n"/>
      <c r="D41" s="54" t="n"/>
      <c r="E41" s="54" t="n"/>
      <c r="F41" s="54" t="n"/>
      <c r="G41" s="54" t="n"/>
      <c r="H41" s="54" t="n"/>
      <c r="I41" s="54" t="n"/>
    </row>
    <row r="42">
      <c r="A42" s="54" t="n"/>
      <c r="B42" s="54" t="n"/>
      <c r="C42" s="54" t="n"/>
      <c r="D42" s="54" t="n"/>
      <c r="E42" s="54" t="n"/>
      <c r="F42" s="54" t="n"/>
      <c r="G42" s="54" t="n"/>
      <c r="H42" s="54" t="n"/>
      <c r="I42" s="54" t="n"/>
    </row>
  </sheetData>
  <sheetProtection selectLockedCells="1" selectUnlockedCells="1" sheet="1" objects="0" insertRows="1" insertHyperlinks="1" autoFilter="1" scenarios="0" formatColumns="1" deleteColumns="1" insertColumns="1" pivotTables="1" deleteRows="1" formatCells="1" formatRows="1" sort="1"/>
  <mergeCells count="26">
    <mergeCell ref="H35:I35"/>
    <mergeCell ref="G27:I31"/>
    <mergeCell ref="H38:I38"/>
    <mergeCell ref="F34:G34"/>
    <mergeCell ref="A36:B36"/>
    <mergeCell ref="A27:C31"/>
    <mergeCell ref="A26:I26"/>
    <mergeCell ref="C4:D4"/>
    <mergeCell ref="H39:I39"/>
    <mergeCell ref="D27:F31"/>
    <mergeCell ref="H34:I34"/>
    <mergeCell ref="A33:I33"/>
    <mergeCell ref="A37:B37"/>
    <mergeCell ref="F36:G36"/>
    <mergeCell ref="H36:I36"/>
    <mergeCell ref="F35:G35"/>
    <mergeCell ref="F38:G38"/>
    <mergeCell ref="H37:I37"/>
    <mergeCell ref="A35:B35"/>
    <mergeCell ref="A4:B4"/>
    <mergeCell ref="F37:G37"/>
    <mergeCell ref="A38:B38"/>
    <mergeCell ref="F39:G39"/>
    <mergeCell ref="F2:I2"/>
    <mergeCell ref="A39:B39"/>
    <mergeCell ref="A34:B34"/>
  </mergeCells>
  <conditionalFormatting sqref="F7:F23">
    <cfRule type="dataBar" priority="1">
      <dataBar>
        <cfvo type="num" val="0"/>
        <cfvo type="num" val="1"/>
        <color rgb="0010B981"/>
      </dataBar>
    </cfRule>
  </conditionalFormatting>
  <hyperlinks>
    <hyperlink xmlns:r="http://schemas.openxmlformats.org/officeDocument/2006/relationships" ref="A4" r:id="rId1"/>
    <hyperlink xmlns:r="http://schemas.openxmlformats.org/officeDocument/2006/relationships" ref="C4" r:id="rId2"/>
    <hyperlink xmlns:r="http://schemas.openxmlformats.org/officeDocument/2006/relationships" ref="I7" r:id="rId3"/>
    <hyperlink xmlns:r="http://schemas.openxmlformats.org/officeDocument/2006/relationships" ref="I8" r:id="rId4"/>
    <hyperlink xmlns:r="http://schemas.openxmlformats.org/officeDocument/2006/relationships" ref="I9" r:id="rId5"/>
    <hyperlink xmlns:r="http://schemas.openxmlformats.org/officeDocument/2006/relationships" ref="I10" r:id="rId6"/>
    <hyperlink xmlns:r="http://schemas.openxmlformats.org/officeDocument/2006/relationships" ref="I11" r:id="rId7"/>
    <hyperlink xmlns:r="http://schemas.openxmlformats.org/officeDocument/2006/relationships" ref="I12" r:id="rId8"/>
    <hyperlink xmlns:r="http://schemas.openxmlformats.org/officeDocument/2006/relationships" ref="I13" r:id="rId9"/>
    <hyperlink xmlns:r="http://schemas.openxmlformats.org/officeDocument/2006/relationships" ref="I14" r:id="rId10"/>
    <hyperlink xmlns:r="http://schemas.openxmlformats.org/officeDocument/2006/relationships" ref="I15" r:id="rId11"/>
    <hyperlink xmlns:r="http://schemas.openxmlformats.org/officeDocument/2006/relationships" ref="I16" r:id="rId12"/>
    <hyperlink xmlns:r="http://schemas.openxmlformats.org/officeDocument/2006/relationships" ref="I17" r:id="rId13"/>
    <hyperlink xmlns:r="http://schemas.openxmlformats.org/officeDocument/2006/relationships" ref="I18" r:id="rId14"/>
    <hyperlink xmlns:r="http://schemas.openxmlformats.org/officeDocument/2006/relationships" ref="I19" r:id="rId15"/>
    <hyperlink xmlns:r="http://schemas.openxmlformats.org/officeDocument/2006/relationships" ref="I20" r:id="rId16"/>
    <hyperlink xmlns:r="http://schemas.openxmlformats.org/officeDocument/2006/relationships" ref="I21" r:id="rId17"/>
    <hyperlink xmlns:r="http://schemas.openxmlformats.org/officeDocument/2006/relationships" ref="I22" r:id="rId18"/>
    <hyperlink xmlns:r="http://schemas.openxmlformats.org/officeDocument/2006/relationships" ref="I23" r:id="rId19"/>
  </hyperlinks>
  <printOptions horizontalCentered="1" verticalCentered="0"/>
  <pageMargins left="0.75" right="0.75" top="1" bottom="1" header="0.5" footer="0.5"/>
  <pageSetup orientation="landscape" paperSize="9" fitToHeight="0" fitToWidth="1"/>
  <drawing xmlns:r="http://schemas.openxmlformats.org/officeDocument/2006/relationships" r:id="rId20"/>
</worksheet>
</file>

<file path=xl/worksheets/sheet3.xml><?xml version="1.0" encoding="utf-8"?>
<worksheet xmlns="http://schemas.openxmlformats.org/spreadsheetml/2006/main">
  <sheetPr>
    <outlinePr summaryBelow="1" summaryRight="1"/>
    <pageSetUpPr fitToPage="1"/>
  </sheetPr>
  <dimension ref="A2:G79"/>
  <sheetViews>
    <sheetView showGridLines="1" workbookViewId="0">
      <selection activeCell="A1" sqref="A1"/>
    </sheetView>
  </sheetViews>
  <sheetFormatPr baseColWidth="8" defaultRowHeight="15"/>
  <cols>
    <col width="6" customWidth="1" min="1" max="1"/>
    <col width="16" customWidth="1" min="2" max="2"/>
    <col width="25" customWidth="1" min="3" max="3"/>
    <col width="14" customWidth="1" min="4" max="4"/>
    <col width="18" customWidth="1" min="5" max="5"/>
    <col width="22" customWidth="1" min="6" max="6"/>
    <col width="28" customWidth="1" min="7" max="7"/>
  </cols>
  <sheetData>
    <row r="1" ht="8" customHeight="1"/>
    <row r="2" ht="24" customHeight="1">
      <c r="A2" s="1" t="inlineStr">
        <is>
          <t>Habit Mastery Playbook &amp; Curated Protocol Vault</t>
        </is>
      </c>
      <c r="E2" s="58" t="inlineStr">
        <is>
          <t>60+ Science-Backed Protocols &amp; Atomic Habits Framework</t>
        </is>
      </c>
    </row>
    <row r="3" ht="16" customHeight="1">
      <c r="A3" s="3" t="inlineStr">
        <is>
          <t>"You do not rise to the level of your goals. You fall to the level of your systems." — James Clear</t>
        </is>
      </c>
    </row>
    <row r="4" ht="18" customHeight="1">
      <c r="A4" s="39" t="inlineStr">
        <is>
          <t>🏠 Master Dashboard</t>
        </is>
      </c>
      <c r="B4" s="40" t="n"/>
      <c r="C4" s="4" t="inlineStr">
        <is>
          <t>🏛️ Quarterly Hub</t>
        </is>
      </c>
      <c r="D4" s="5" t="n"/>
    </row>
    <row r="5" ht="6" customHeight="1"/>
    <row r="6" ht="16" customHeight="1">
      <c r="A6" s="32" t="inlineStr">
        <is>
          <t>S.No.</t>
        </is>
      </c>
      <c r="B6" s="32" t="inlineStr">
        <is>
          <t>Life Domain</t>
        </is>
      </c>
      <c r="C6" s="32" t="inlineStr">
        <is>
          <t>Protocol Name</t>
        </is>
      </c>
      <c r="D6" s="32" t="inlineStr">
        <is>
          <t>Recommended Target</t>
        </is>
      </c>
      <c r="E6" s="32" t="inlineStr">
        <is>
          <t>Optimal Timing</t>
        </is>
      </c>
      <c r="F6" s="32" t="inlineStr">
        <is>
          <t>Habit Cue / Trigger</t>
        </is>
      </c>
      <c r="G6" s="32" t="inlineStr">
        <is>
          <t>Expected Transformation / ROI</t>
        </is>
      </c>
    </row>
    <row r="7" ht="14" customHeight="1">
      <c r="A7" s="34" t="n">
        <v>1</v>
      </c>
      <c r="B7" s="59" t="inlineStr">
        <is>
          <t>Health &amp; Fitness</t>
        </is>
      </c>
      <c r="C7" s="60" t="inlineStr">
        <is>
          <t>Huberman Morning Sunlight (10m)</t>
        </is>
      </c>
      <c r="D7" s="34" t="inlineStr">
        <is>
          <t>25-30 days</t>
        </is>
      </c>
      <c r="E7" s="61" t="inlineStr">
        <is>
          <t>Within 30m of waking</t>
        </is>
      </c>
      <c r="F7" s="62" t="inlineStr">
        <is>
          <t>Right after opening bedroom blinds</t>
        </is>
      </c>
      <c r="G7" s="61" t="inlineStr">
        <is>
          <t>Sets circadian rhythm, cortisol spike &amp; nighttime melatonin</t>
        </is>
      </c>
    </row>
    <row r="8" ht="14" customHeight="1">
      <c r="A8" s="34" t="n">
        <v>2</v>
      </c>
      <c r="B8" s="59" t="inlineStr">
        <is>
          <t>Health &amp; Fitness</t>
        </is>
      </c>
      <c r="C8" s="60" t="inlineStr">
        <is>
          <t>Electrolyte Hydration (1L on waking)</t>
        </is>
      </c>
      <c r="D8" s="34" t="inlineStr">
        <is>
          <t>30 days</t>
        </is>
      </c>
      <c r="E8" s="61" t="inlineStr">
        <is>
          <t>First thing morning</t>
        </is>
      </c>
      <c r="F8" s="62" t="inlineStr">
        <is>
          <t>Placed on bedside table before sleep</t>
        </is>
      </c>
      <c r="G8" s="61" t="inlineStr">
        <is>
          <t>Reverses nighttime dehydration &amp; jumpstarts metabolism</t>
        </is>
      </c>
    </row>
    <row r="9" ht="14" customHeight="1">
      <c r="A9" s="34" t="n">
        <v>3</v>
      </c>
      <c r="B9" s="59" t="inlineStr">
        <is>
          <t>Health &amp; Fitness</t>
        </is>
      </c>
      <c r="C9" s="60" t="inlineStr">
        <is>
          <t>Zone 2 Aerobic Cardio (45m)</t>
        </is>
      </c>
      <c r="D9" s="34" t="inlineStr">
        <is>
          <t>16-20 days</t>
        </is>
      </c>
      <c r="E9" s="61" t="inlineStr">
        <is>
          <t>Morning / Early afternoon</t>
        </is>
      </c>
      <c r="F9" s="62" t="inlineStr">
        <is>
          <t>Gym clothes laid out the night before</t>
        </is>
      </c>
      <c r="G9" s="61" t="inlineStr">
        <is>
          <t>Mitochondrial density, endurance &amp; metabolic longevity</t>
        </is>
      </c>
    </row>
    <row r="10" ht="14" customHeight="1">
      <c r="A10" s="34" t="n">
        <v>4</v>
      </c>
      <c r="B10" s="59" t="inlineStr">
        <is>
          <t>Health &amp; Fitness</t>
        </is>
      </c>
      <c r="C10" s="60" t="inlineStr">
        <is>
          <t>10,000 Daily Steps</t>
        </is>
      </c>
      <c r="D10" s="34" t="inlineStr">
        <is>
          <t>25-30 days</t>
        </is>
      </c>
      <c r="E10" s="61" t="inlineStr">
        <is>
          <t>Spread throughout day</t>
        </is>
      </c>
      <c r="F10" s="62" t="inlineStr">
        <is>
          <t>Take phone calls while walking outdoors</t>
        </is>
      </c>
      <c r="G10" s="61" t="inlineStr">
        <is>
          <t>Non-exercise activity thermogenesis (NEAT) &amp; cardiovascular health</t>
        </is>
      </c>
    </row>
    <row r="11" ht="14" customHeight="1">
      <c r="A11" s="34" t="n">
        <v>5</v>
      </c>
      <c r="B11" s="59" t="inlineStr">
        <is>
          <t>Health &amp; Fitness</t>
        </is>
      </c>
      <c r="C11" s="60" t="inlineStr">
        <is>
          <t>Resistance Training (Compound Lifts)</t>
        </is>
      </c>
      <c r="D11" s="34" t="inlineStr">
        <is>
          <t>16-18 days</t>
        </is>
      </c>
      <c r="E11" s="61" t="inlineStr">
        <is>
          <t>Late morning / 4-6 PM</t>
        </is>
      </c>
      <c r="F11" s="62" t="inlineStr">
        <is>
          <t>Gym bag in car / office entryway</t>
        </is>
      </c>
      <c r="G11" s="61" t="inlineStr">
        <is>
          <t>Muscle protein synthesis, bone density &amp; metabolic rate</t>
        </is>
      </c>
    </row>
    <row r="12" ht="14" customHeight="1">
      <c r="A12" s="34" t="n">
        <v>6</v>
      </c>
      <c r="B12" s="59" t="inlineStr">
        <is>
          <t>Health &amp; Fitness</t>
        </is>
      </c>
      <c r="C12" s="60" t="inlineStr">
        <is>
          <t>Cold Exposure (2-3m cold shower)</t>
        </is>
      </c>
      <c r="D12" s="34" t="inlineStr">
        <is>
          <t>20-25 days</t>
        </is>
      </c>
      <c r="E12" s="61" t="inlineStr">
        <is>
          <t>Post-morning workout / waking</t>
        </is>
      </c>
      <c r="F12" s="62" t="inlineStr">
        <is>
          <t>Finish warm shower with cold tap handle</t>
        </is>
      </c>
      <c r="G12" s="61" t="inlineStr">
        <is>
          <t>250% prolonged dopamine elevation &amp; cold-shock resilience</t>
        </is>
      </c>
    </row>
    <row r="13" ht="14" customHeight="1">
      <c r="A13" s="34" t="n">
        <v>7</v>
      </c>
      <c r="B13" s="59" t="inlineStr">
        <is>
          <t>Health &amp; Fitness</t>
        </is>
      </c>
      <c r="C13" s="60" t="inlineStr">
        <is>
          <t>Post-Meal 10-Minute Walk</t>
        </is>
      </c>
      <c r="D13" s="34" t="inlineStr">
        <is>
          <t>25-30 days</t>
        </is>
      </c>
      <c r="E13" s="61" t="inlineStr">
        <is>
          <t>Immediately after lunch/dinner</t>
        </is>
      </c>
      <c r="F13" s="62" t="inlineStr">
        <is>
          <t>Put on walking shoes right after putting plate away</t>
        </is>
      </c>
      <c r="G13" s="61" t="inlineStr">
        <is>
          <t>Blunts blood glucose spikes by up to 35% &amp; aids digestion</t>
        </is>
      </c>
    </row>
    <row r="14" ht="14" customHeight="1">
      <c r="A14" s="34" t="n">
        <v>8</v>
      </c>
      <c r="B14" s="59" t="inlineStr">
        <is>
          <t>Health &amp; Fitness</t>
        </is>
      </c>
      <c r="C14" s="60" t="inlineStr">
        <is>
          <t>No Screens 60m Before Bedtime</t>
        </is>
      </c>
      <c r="D14" s="34" t="inlineStr">
        <is>
          <t>25-30 days</t>
        </is>
      </c>
      <c r="E14" s="61" t="inlineStr">
        <is>
          <t>1 hour before sleep</t>
        </is>
      </c>
      <c r="F14" s="62" t="inlineStr">
        <is>
          <t>Phone placed on charger in kitchen/bathroom</t>
        </is>
      </c>
      <c r="G14" s="61" t="inlineStr">
        <is>
          <t>Prevents blue light melatonin suppression &amp; improves sleep architecture</t>
        </is>
      </c>
    </row>
    <row r="15" ht="14" customHeight="1">
      <c r="A15" s="34" t="n">
        <v>9</v>
      </c>
      <c r="B15" s="59" t="inlineStr">
        <is>
          <t>Health &amp; Fitness</t>
        </is>
      </c>
      <c r="C15" s="60" t="inlineStr">
        <is>
          <t>Nightly Mobility &amp; Spine Drills</t>
        </is>
      </c>
      <c r="D15" s="34" t="inlineStr">
        <is>
          <t>20-25 days</t>
        </is>
      </c>
      <c r="E15" s="61" t="inlineStr">
        <is>
          <t>Evening wind-down</t>
        </is>
      </c>
      <c r="F15" s="62" t="inlineStr">
        <is>
          <t>Yoga mat unrolled beside bed</t>
        </is>
      </c>
      <c r="G15" s="61" t="inlineStr">
        <is>
          <t>Alleviates sitting stiffness, decompression &amp; joint flexibility</t>
        </is>
      </c>
    </row>
    <row r="16" ht="14" customHeight="1">
      <c r="A16" s="34" t="n">
        <v>10</v>
      </c>
      <c r="B16" s="59" t="inlineStr">
        <is>
          <t>Health &amp; Fitness</t>
        </is>
      </c>
      <c r="C16" s="60" t="inlineStr">
        <is>
          <t>Zero Alcohol on Weekdays</t>
        </is>
      </c>
      <c r="D16" s="34" t="inlineStr">
        <is>
          <t>20-22 days</t>
        </is>
      </c>
      <c r="E16" s="61" t="inlineStr">
        <is>
          <t>Monday through Thursday</t>
        </is>
      </c>
      <c r="F16" s="62" t="inlineStr">
        <is>
          <t>Replace with sparkling mineral water with lime</t>
        </is>
      </c>
      <c r="G16" s="61" t="inlineStr">
        <is>
          <t>Preserves REM sleep cycles, liver recovery &amp; cognitive clarity</t>
        </is>
      </c>
    </row>
    <row r="17" ht="14" customHeight="1">
      <c r="A17" s="34" t="n">
        <v>11</v>
      </c>
      <c r="B17" s="59" t="inlineStr">
        <is>
          <t>Health &amp; Fitness</t>
        </is>
      </c>
      <c r="C17" s="60" t="inlineStr">
        <is>
          <t>Eat Single-Ingredient Whole Foods</t>
        </is>
      </c>
      <c r="D17" s="34" t="inlineStr">
        <is>
          <t>25-28 days</t>
        </is>
      </c>
      <c r="E17" s="61" t="inlineStr">
        <is>
          <t>All meals</t>
        </is>
      </c>
      <c r="F17" s="62" t="inlineStr">
        <is>
          <t>Weekly Sunday meal-prep session</t>
        </is>
      </c>
      <c r="G17" s="61" t="inlineStr">
        <is>
          <t>Stable blood glucose, zero sugar crashes &amp; gut microbiome health</t>
        </is>
      </c>
    </row>
    <row r="18" ht="14" customHeight="1">
      <c r="A18" s="34" t="n">
        <v>12</v>
      </c>
      <c r="B18" s="59" t="inlineStr">
        <is>
          <t>Health &amp; Fitness</t>
        </is>
      </c>
      <c r="C18" s="60" t="inlineStr">
        <is>
          <t>Deep Breathing / Physiological Sigh</t>
        </is>
      </c>
      <c r="D18" s="34" t="inlineStr">
        <is>
          <t>30 days</t>
        </is>
      </c>
      <c r="E18" s="61" t="inlineStr">
        <is>
          <t>Midday stress spike &amp; bedtime</t>
        </is>
      </c>
      <c r="F18" s="62" t="inlineStr">
        <is>
          <t>Set watch haptic chime or transition cue</t>
        </is>
      </c>
      <c r="G18" s="61" t="inlineStr">
        <is>
          <t>Immediate autonomic down-regulation &amp; heart-rate reduction</t>
        </is>
      </c>
    </row>
    <row r="19" ht="14" customHeight="1">
      <c r="A19" s="34" t="n">
        <v>13</v>
      </c>
      <c r="B19" s="63" t="inlineStr">
        <is>
          <t>Mindset &amp; Learning</t>
        </is>
      </c>
      <c r="C19" s="60" t="inlineStr">
        <is>
          <t>Read 20 Pages Non-Fiction</t>
        </is>
      </c>
      <c r="D19" s="34" t="inlineStr">
        <is>
          <t>25-30 days</t>
        </is>
      </c>
      <c r="E19" s="61" t="inlineStr">
        <is>
          <t>Morning coffee / Bedtime</t>
        </is>
      </c>
      <c r="F19" s="62" t="inlineStr">
        <is>
          <t>Physical book placed on pillow or coffee maker</t>
        </is>
      </c>
      <c r="G19" s="61" t="inlineStr">
        <is>
          <t>Compounds into 25-30 high-impact books read per year</t>
        </is>
      </c>
    </row>
    <row r="20" ht="14" customHeight="1">
      <c r="A20" s="34" t="n">
        <v>14</v>
      </c>
      <c r="B20" s="63" t="inlineStr">
        <is>
          <t>Mindset &amp; Learning</t>
        </is>
      </c>
      <c r="C20" s="60" t="inlineStr">
        <is>
          <t>Morning Intention &amp; Brain Dump</t>
        </is>
      </c>
      <c r="D20" s="34" t="inlineStr">
        <is>
          <t>25-30 days</t>
        </is>
      </c>
      <c r="E20" s="61" t="inlineStr">
        <is>
          <t>First 15m of morning</t>
        </is>
      </c>
      <c r="F20" s="62" t="inlineStr">
        <is>
          <t>Open journal with dedicated fountain pen</t>
        </is>
      </c>
      <c r="G20" s="61" t="inlineStr">
        <is>
          <t>Clears subconscious mental clutter &amp; sets daily directional focus</t>
        </is>
      </c>
    </row>
    <row r="21" ht="14" customHeight="1">
      <c r="A21" s="34" t="n">
        <v>15</v>
      </c>
      <c r="B21" s="63" t="inlineStr">
        <is>
          <t>Mindset &amp; Learning</t>
        </is>
      </c>
      <c r="C21" s="60" t="inlineStr">
        <is>
          <t>10-Minute Mindfulness Meditation</t>
        </is>
      </c>
      <c r="D21" s="34" t="inlineStr">
        <is>
          <t>25-30 days</t>
        </is>
      </c>
      <c r="E21" s="61" t="inlineStr">
        <is>
          <t>Morning before checking phone</t>
        </is>
      </c>
      <c r="F21" s="62" t="inlineStr">
        <is>
          <t>Cushion placed in quiet corner</t>
        </is>
      </c>
      <c r="G21" s="61" t="inlineStr">
        <is>
          <t>Prefrontal cortex regulation, stress reduction &amp; focus stamina</t>
        </is>
      </c>
    </row>
    <row r="22" ht="14" customHeight="1">
      <c r="A22" s="34" t="n">
        <v>16</v>
      </c>
      <c r="B22" s="63" t="inlineStr">
        <is>
          <t>Mindset &amp; Learning</t>
        </is>
      </c>
      <c r="C22" s="60" t="inlineStr">
        <is>
          <t>Daily Gratitude (3 Specific Items)</t>
        </is>
      </c>
      <c r="D22" s="34" t="inlineStr">
        <is>
          <t>30 days</t>
        </is>
      </c>
      <c r="E22" s="61" t="inlineStr">
        <is>
          <t>Evening reflection</t>
        </is>
      </c>
      <c r="F22" s="62" t="inlineStr">
        <is>
          <t>Notes memo box or bedtime notebook</t>
        </is>
      </c>
      <c r="G22" s="61" t="inlineStr">
        <is>
          <t>Rewires cognitive negativity bias into proactive appreciation</t>
        </is>
      </c>
    </row>
    <row r="23" ht="14" customHeight="1">
      <c r="A23" s="34" t="n">
        <v>17</v>
      </c>
      <c r="B23" s="63" t="inlineStr">
        <is>
          <t>Mindset &amp; Learning</t>
        </is>
      </c>
      <c r="C23" s="60" t="inlineStr">
        <is>
          <t>Zero Phone in First 60 Minutes</t>
        </is>
      </c>
      <c r="D23" s="34" t="inlineStr">
        <is>
          <t>25-30 days</t>
        </is>
      </c>
      <c r="E23" s="61" t="inlineStr">
        <is>
          <t>First hour of the day</t>
        </is>
      </c>
      <c r="F23" s="62" t="inlineStr">
        <is>
          <t>Use analog alarm clock; keep phone out of room</t>
        </is>
      </c>
      <c r="G23" s="61" t="inlineStr">
        <is>
          <t>Protects proactive dopamine state vs reactive digital overwhelm</t>
        </is>
      </c>
    </row>
    <row r="24" ht="14" customHeight="1">
      <c r="A24" s="34" t="n">
        <v>18</v>
      </c>
      <c r="B24" s="63" t="inlineStr">
        <is>
          <t>Mindset &amp; Learning</t>
        </is>
      </c>
      <c r="C24" s="60" t="inlineStr">
        <is>
          <t>Language / Deliberate Skill Practice</t>
        </is>
      </c>
      <c r="D24" s="34" t="inlineStr">
        <is>
          <t>20-25 days</t>
        </is>
      </c>
      <c r="E24" s="61" t="inlineStr">
        <is>
          <t>After lunch transition</t>
        </is>
      </c>
      <c r="F24" s="62" t="inlineStr">
        <is>
          <t>Open learning app or guitar for 15 minutes</t>
        </is>
      </c>
      <c r="G24" s="61" t="inlineStr">
        <is>
          <t>Cognitive neuroplasticity, memory retention &amp; mastery</t>
        </is>
      </c>
    </row>
    <row r="25" ht="14" customHeight="1">
      <c r="A25" s="34" t="n">
        <v>19</v>
      </c>
      <c r="B25" s="63" t="inlineStr">
        <is>
          <t>Mindset &amp; Learning</t>
        </is>
      </c>
      <c r="C25" s="60" t="inlineStr">
        <is>
          <t>Evening Wins &amp; Lessons Review</t>
        </is>
      </c>
      <c r="D25" s="34" t="inlineStr">
        <is>
          <t>25-30 days</t>
        </is>
      </c>
      <c r="E25" s="61" t="inlineStr">
        <is>
          <t>Right before closing laptop</t>
        </is>
      </c>
      <c r="F25" s="62" t="inlineStr">
        <is>
          <t>Fill out sheet's daily check-in</t>
        </is>
      </c>
      <c r="G25" s="61" t="inlineStr">
        <is>
          <t>Dopamine-driven behavioral reinforcement of consistency</t>
        </is>
      </c>
    </row>
    <row r="26" ht="14" customHeight="1">
      <c r="A26" s="34" t="n">
        <v>20</v>
      </c>
      <c r="B26" s="63" t="inlineStr">
        <is>
          <t>Mindset &amp; Learning</t>
        </is>
      </c>
      <c r="C26" s="60" t="inlineStr">
        <is>
          <t>Information Diet (Zero News / Feeds)</t>
        </is>
      </c>
      <c r="D26" s="34" t="inlineStr">
        <is>
          <t>25-30 days</t>
        </is>
      </c>
      <c r="E26" s="61" t="inlineStr">
        <is>
          <t>Continuous</t>
        </is>
      </c>
      <c r="F26" s="62" t="inlineStr">
        <is>
          <t>App blockers scheduled between 8 AM - 6 PM</t>
        </is>
      </c>
      <c r="G26" s="61" t="inlineStr">
        <is>
          <t>Lowers cortisol, protects mental bandwidth &amp; eliminates rage bait</t>
        </is>
      </c>
    </row>
    <row r="27" ht="14" customHeight="1">
      <c r="A27" s="34" t="n">
        <v>21</v>
      </c>
      <c r="B27" s="63" t="inlineStr">
        <is>
          <t>Mindset &amp; Learning</t>
        </is>
      </c>
      <c r="C27" s="60" t="inlineStr">
        <is>
          <t>20-Minute Nature Walk / Unplugged</t>
        </is>
      </c>
      <c r="D27" s="34" t="inlineStr">
        <is>
          <t>20-25 days</t>
        </is>
      </c>
      <c r="E27" s="61" t="inlineStr">
        <is>
          <t>Mid-afternoon transition</t>
        </is>
      </c>
      <c r="F27" s="62" t="inlineStr">
        <is>
          <t>Leave phone at home or on airplane mode</t>
        </is>
      </c>
      <c r="G27" s="61" t="inlineStr">
        <is>
          <t>Reduces sympathetic nervous system arousal &amp; sparks creativity</t>
        </is>
      </c>
    </row>
    <row r="28" ht="14" customHeight="1">
      <c r="A28" s="34" t="n">
        <v>22</v>
      </c>
      <c r="B28" s="63" t="inlineStr">
        <is>
          <t>Mindset &amp; Learning</t>
        </is>
      </c>
      <c r="C28" s="60" t="inlineStr">
        <is>
          <t>Extract 1 Mental Model / Summary</t>
        </is>
      </c>
      <c r="D28" s="34" t="inlineStr">
        <is>
          <t>12-16 days</t>
        </is>
      </c>
      <c r="E28" s="61" t="inlineStr">
        <is>
          <t>Weekend study block</t>
        </is>
      </c>
      <c r="F28" s="62" t="inlineStr">
        <is>
          <t>Read chapter with highlighter and summary index card</t>
        </is>
      </c>
      <c r="G28" s="61" t="inlineStr">
        <is>
          <t>Active recall &amp; practical application of non-fiction principles</t>
        </is>
      </c>
    </row>
    <row r="29" ht="14" customHeight="1">
      <c r="A29" s="34" t="n">
        <v>23</v>
      </c>
      <c r="B29" s="63" t="inlineStr">
        <is>
          <t>Mindset &amp; Learning</t>
        </is>
      </c>
      <c r="C29" s="60" t="inlineStr">
        <is>
          <t>Creative Writing / Free Flow (10m)</t>
        </is>
      </c>
      <c r="D29" s="34" t="inlineStr">
        <is>
          <t>20-25 days</t>
        </is>
      </c>
      <c r="E29" s="61" t="inlineStr">
        <is>
          <t>Morning routine</t>
        </is>
      </c>
      <c r="F29" s="62" t="inlineStr">
        <is>
          <t>Dedicated blank notebook</t>
        </is>
      </c>
      <c r="G29" s="61" t="inlineStr">
        <is>
          <t>Original thought cultivation &amp; articulate communication</t>
        </is>
      </c>
    </row>
    <row r="30" ht="14" customHeight="1">
      <c r="A30" s="34" t="n">
        <v>24</v>
      </c>
      <c r="B30" s="63" t="inlineStr">
        <is>
          <t>Mindset &amp; Learning</t>
        </is>
      </c>
      <c r="C30" s="60" t="inlineStr">
        <is>
          <t>Fast from Complaining / Criticism</t>
        </is>
      </c>
      <c r="D30" s="34" t="inlineStr">
        <is>
          <t>30 days</t>
        </is>
      </c>
      <c r="E30" s="61" t="inlineStr">
        <is>
          <t>All day awareness</t>
        </is>
      </c>
      <c r="F30" s="62" t="inlineStr">
        <is>
          <t>Switch wristband whenever a complaint slips</t>
        </is>
      </c>
      <c r="G30" s="61" t="inlineStr">
        <is>
          <t>Reframes mental narratives toward ownership and solutions</t>
        </is>
      </c>
    </row>
    <row r="31" ht="14" customHeight="1">
      <c r="A31" s="34" t="n">
        <v>25</v>
      </c>
      <c r="B31" s="64" t="inlineStr">
        <is>
          <t>Career &amp; Focus</t>
        </is>
      </c>
      <c r="C31" s="60" t="inlineStr">
        <is>
          <t>90-Min Deep Work Sprint (Block 1)</t>
        </is>
      </c>
      <c r="D31" s="34" t="inlineStr">
        <is>
          <t>20-22 days</t>
        </is>
      </c>
      <c r="E31" s="61" t="inlineStr">
        <is>
          <t>9:00 AM – 10:30 AM</t>
        </is>
      </c>
      <c r="F31" s="62" t="inlineStr">
        <is>
          <t>Put noise-canceling headphones on and close email</t>
        </is>
      </c>
      <c r="G31" s="61" t="inlineStr">
        <is>
          <t>Maximum cognitive output on high-leverage business milestones</t>
        </is>
      </c>
    </row>
    <row r="32" ht="14" customHeight="1">
      <c r="A32" s="34" t="n">
        <v>26</v>
      </c>
      <c r="B32" s="64" t="inlineStr">
        <is>
          <t>Career &amp; Focus</t>
        </is>
      </c>
      <c r="C32" s="60" t="inlineStr">
        <is>
          <t>Eat the Frog (Top Priority 1st)</t>
        </is>
      </c>
      <c r="D32" s="34" t="inlineStr">
        <is>
          <t>20-22 days</t>
        </is>
      </c>
      <c r="E32" s="61" t="inlineStr">
        <is>
          <t>Start of workday</t>
        </is>
      </c>
      <c r="F32" s="62" t="inlineStr">
        <is>
          <t>Write single hardest task on sticky note</t>
        </is>
      </c>
      <c r="G32" s="61" t="inlineStr">
        <is>
          <t>Overcomes procrastination and guarantees daily forward velocity</t>
        </is>
      </c>
    </row>
    <row r="33" ht="14" customHeight="1">
      <c r="A33" s="34" t="n">
        <v>27</v>
      </c>
      <c r="B33" s="64" t="inlineStr">
        <is>
          <t>Career &amp; Focus</t>
        </is>
      </c>
      <c r="C33" s="60" t="inlineStr">
        <is>
          <t>Inbox Zero Protocol (Batched Checking)</t>
        </is>
      </c>
      <c r="D33" s="34" t="inlineStr">
        <is>
          <t>20-22 days</t>
        </is>
      </c>
      <c r="E33" s="61" t="inlineStr">
        <is>
          <t>11:30 AM &amp; 4:30 PM only</t>
        </is>
      </c>
      <c r="F33" s="62" t="inlineStr">
        <is>
          <t>Close email tab during deep work windows</t>
        </is>
      </c>
      <c r="G33" s="61" t="inlineStr">
        <is>
          <t>Eliminates attention residue &amp; reactive communication spirals</t>
        </is>
      </c>
    </row>
    <row r="34" ht="14" customHeight="1">
      <c r="A34" s="34" t="n">
        <v>28</v>
      </c>
      <c r="B34" s="64" t="inlineStr">
        <is>
          <t>Career &amp; Focus</t>
        </is>
      </c>
      <c r="C34" s="60" t="inlineStr">
        <is>
          <t>Daily Time-Blocking on Calendar</t>
        </is>
      </c>
      <c r="D34" s="34" t="inlineStr">
        <is>
          <t>20-22 days</t>
        </is>
      </c>
      <c r="E34" s="61" t="inlineStr">
        <is>
          <t>End of previous workday</t>
        </is>
      </c>
      <c r="F34" s="62" t="inlineStr">
        <is>
          <t>Fill out tomorrow's calendar slots before leaving desk</t>
        </is>
      </c>
      <c r="G34" s="61" t="inlineStr">
        <is>
          <t>Converts vague intentions into concrete execution appointments</t>
        </is>
      </c>
    </row>
    <row r="35" ht="14" customHeight="1">
      <c r="A35" s="34" t="n">
        <v>29</v>
      </c>
      <c r="B35" s="64" t="inlineStr">
        <is>
          <t>Career &amp; Focus</t>
        </is>
      </c>
      <c r="C35" s="60" t="inlineStr">
        <is>
          <t>Pomodoro Cycles (4x 25m focus)</t>
        </is>
      </c>
      <c r="D35" s="34" t="inlineStr">
        <is>
          <t>20-22 days</t>
        </is>
      </c>
      <c r="E35" s="61" t="inlineStr">
        <is>
          <t>Midday work blocks</t>
        </is>
      </c>
      <c r="F35" s="62" t="inlineStr">
        <is>
          <t>Start desktop countdown timer</t>
        </is>
      </c>
      <c r="G35" s="61" t="inlineStr">
        <is>
          <t>Maintains high attention density while preventing mental burnout</t>
        </is>
      </c>
    </row>
    <row r="36" ht="14" customHeight="1">
      <c r="A36" s="34" t="n">
        <v>30</v>
      </c>
      <c r="B36" s="64" t="inlineStr">
        <is>
          <t>Career &amp; Focus</t>
        </is>
      </c>
      <c r="C36" s="60" t="inlineStr">
        <is>
          <t>Write Daily Top 3 Priorities</t>
        </is>
      </c>
      <c r="D36" s="34" t="inlineStr">
        <is>
          <t>20-22 days</t>
        </is>
      </c>
      <c r="E36" s="61" t="inlineStr">
        <is>
          <t>Morning planning</t>
        </is>
      </c>
      <c r="F36" s="62" t="inlineStr">
        <is>
          <t>Review monthly targets first, then select 3 tasks</t>
        </is>
      </c>
      <c r="G36" s="61" t="inlineStr">
        <is>
          <t>Keeps daily actions aligned with 90-day quarterly OKRs</t>
        </is>
      </c>
    </row>
    <row r="37" ht="14" customHeight="1">
      <c r="A37" s="34" t="n">
        <v>31</v>
      </c>
      <c r="B37" s="64" t="inlineStr">
        <is>
          <t>Career &amp; Focus</t>
        </is>
      </c>
      <c r="C37" s="60" t="inlineStr">
        <is>
          <t>Weekly Strategic Review &amp; Cleanup</t>
        </is>
      </c>
      <c r="D37" s="34" t="inlineStr">
        <is>
          <t>4-5 days</t>
        </is>
      </c>
      <c r="E37" s="61" t="inlineStr">
        <is>
          <t>Friday 4:00 PM / Sunday</t>
        </is>
      </c>
      <c r="F37" s="62" t="inlineStr">
        <is>
          <t>Open Weekly Slump Detector table in sheet</t>
        </is>
      </c>
      <c r="G37" s="61" t="inlineStr">
        <is>
          <t>Refines work pipeline, clears backlog &amp; prepares next sprint</t>
        </is>
      </c>
    </row>
    <row r="38" ht="14" customHeight="1">
      <c r="A38" s="34" t="n">
        <v>32</v>
      </c>
      <c r="B38" s="64" t="inlineStr">
        <is>
          <t>Career &amp; Focus</t>
        </is>
      </c>
      <c r="C38" s="60" t="inlineStr">
        <is>
          <t>Professional Craft Skill Practice (30m)</t>
        </is>
      </c>
      <c r="D38" s="34" t="inlineStr">
        <is>
          <t>16-20 days</t>
        </is>
      </c>
      <c r="E38" s="61" t="inlineStr">
        <is>
          <t>Early morning / post-lunch</t>
        </is>
      </c>
      <c r="F38" s="62" t="inlineStr">
        <is>
          <t>Dedicated practice project / course sandbox</t>
        </is>
      </c>
      <c r="G38" s="61" t="inlineStr">
        <is>
          <t>Accelerates career capital, technical competence &amp; promotion rate</t>
        </is>
      </c>
    </row>
    <row r="39" ht="14" customHeight="1">
      <c r="A39" s="34" t="n">
        <v>33</v>
      </c>
      <c r="B39" s="64" t="inlineStr">
        <is>
          <t>Career &amp; Focus</t>
        </is>
      </c>
      <c r="C39" s="60" t="inlineStr">
        <is>
          <t>Clean Desktop &amp; Physical Workspace</t>
        </is>
      </c>
      <c r="D39" s="34" t="inlineStr">
        <is>
          <t>22-25 days</t>
        </is>
      </c>
      <c r="E39" s="61" t="inlineStr">
        <is>
          <t>End of workday</t>
        </is>
      </c>
      <c r="F39" s="62" t="inlineStr">
        <is>
          <t>Close all browser tabs and clear physical desk</t>
        </is>
      </c>
      <c r="G39" s="61" t="inlineStr">
        <is>
          <t>Eliminates visual friction and anxiety for the next morning</t>
        </is>
      </c>
    </row>
    <row r="40" ht="14" customHeight="1">
      <c r="A40" s="34" t="n">
        <v>34</v>
      </c>
      <c r="B40" s="64" t="inlineStr">
        <is>
          <t>Career &amp; Focus</t>
        </is>
      </c>
      <c r="C40" s="60" t="inlineStr">
        <is>
          <t>High-Leverage Network Outreach</t>
        </is>
      </c>
      <c r="D40" s="34" t="inlineStr">
        <is>
          <t>16-20 days</t>
        </is>
      </c>
      <c r="E40" s="61" t="inlineStr">
        <is>
          <t>Midday communication block</t>
        </is>
      </c>
      <c r="F40" s="62" t="inlineStr">
        <is>
          <t>Send 1 thoughtful note of gratitude or check-in</t>
        </is>
      </c>
      <c r="G40" s="61" t="inlineStr">
        <is>
          <t>Builds meaningful long-term relational capital and serendipity</t>
        </is>
      </c>
    </row>
    <row r="41" ht="14" customHeight="1">
      <c r="A41" s="34" t="n">
        <v>35</v>
      </c>
      <c r="B41" s="64" t="inlineStr">
        <is>
          <t>Career &amp; Focus</t>
        </is>
      </c>
      <c r="C41" s="60" t="inlineStr">
        <is>
          <t>Meeting Pre-Read &amp; Strict Agendas</t>
        </is>
      </c>
      <c r="D41" s="34" t="inlineStr">
        <is>
          <t>20-22 days</t>
        </is>
      </c>
      <c r="E41" s="61" t="inlineStr">
        <is>
          <t>Before entering calls</t>
        </is>
      </c>
      <c r="F41" s="62" t="inlineStr">
        <is>
          <t>Send 3 bullet agenda 24 hours in advance</t>
        </is>
      </c>
      <c r="G41" s="61" t="inlineStr">
        <is>
          <t>Eliminates time-wasting meetings &amp; drives decisive outcomes</t>
        </is>
      </c>
    </row>
    <row r="42" ht="14" customHeight="1">
      <c r="A42" s="34" t="n">
        <v>36</v>
      </c>
      <c r="B42" s="64" t="inlineStr">
        <is>
          <t>Career &amp; Focus</t>
        </is>
      </c>
      <c r="C42" s="60" t="inlineStr">
        <is>
          <t>Single-Tasking Focus Discipline</t>
        </is>
      </c>
      <c r="D42" s="34" t="inlineStr">
        <is>
          <t>20-22 days</t>
        </is>
      </c>
      <c r="E42" s="61" t="inlineStr">
        <is>
          <t>All working hours</t>
        </is>
      </c>
      <c r="F42" s="62" t="inlineStr">
        <is>
          <t>Full-screen one window at a time</t>
        </is>
      </c>
      <c r="G42" s="61" t="inlineStr">
        <is>
          <t>Eliminates 40% efficiency loss caused by chronic task-switching</t>
        </is>
      </c>
    </row>
    <row r="43" ht="14" customHeight="1">
      <c r="A43" s="34" t="n">
        <v>37</v>
      </c>
      <c r="B43" s="65" t="inlineStr">
        <is>
          <t>Personal &amp; Home</t>
        </is>
      </c>
      <c r="C43" s="60" t="inlineStr">
        <is>
          <t>15-Min Evening Clutter Reset</t>
        </is>
      </c>
      <c r="D43" s="34" t="inlineStr">
        <is>
          <t>25-30 days</t>
        </is>
      </c>
      <c r="E43" s="61" t="inlineStr">
        <is>
          <t>8:30 PM</t>
        </is>
      </c>
      <c r="F43" s="62" t="inlineStr">
        <is>
          <t>Set 15-minute kitchen timer and play podcast</t>
        </is>
      </c>
      <c r="G43" s="61" t="inlineStr">
        <is>
          <t>Waking up to an orderly, inspiring home environment every morning</t>
        </is>
      </c>
    </row>
    <row r="44" ht="14" customHeight="1">
      <c r="A44" s="34" t="n">
        <v>38</v>
      </c>
      <c r="B44" s="65" t="inlineStr">
        <is>
          <t>Personal &amp; Home</t>
        </is>
      </c>
      <c r="C44" s="60" t="inlineStr">
        <is>
          <t>Make Bed Immediately Upon Rising</t>
        </is>
      </c>
      <c r="D44" s="34" t="inlineStr">
        <is>
          <t>30 days</t>
        </is>
      </c>
      <c r="E44" s="61" t="inlineStr">
        <is>
          <t>Within 2 mins of leaving bed</t>
        </is>
      </c>
      <c r="F44" s="62" t="inlineStr">
        <is>
          <t>Feet touch the floor -&gt; pull up bedcovers</t>
        </is>
      </c>
      <c r="G44" s="61" t="inlineStr">
        <is>
          <t>First micro-victory of the day; signals order and self-respect</t>
        </is>
      </c>
    </row>
    <row r="45" ht="14" customHeight="1">
      <c r="A45" s="34" t="n">
        <v>39</v>
      </c>
      <c r="B45" s="65" t="inlineStr">
        <is>
          <t>Personal &amp; Home</t>
        </is>
      </c>
      <c r="C45" s="60" t="inlineStr">
        <is>
          <t>Device-Free Family / Partner Time</t>
        </is>
      </c>
      <c r="D45" s="34" t="inlineStr">
        <is>
          <t>25-30 days</t>
        </is>
      </c>
      <c r="E45" s="61" t="inlineStr">
        <is>
          <t>Dinner &amp; evening window</t>
        </is>
      </c>
      <c r="F45" s="62" t="inlineStr">
        <is>
          <t>Drop all phones into charging basket at 6:30 PM</t>
        </is>
      </c>
      <c r="G45" s="61" t="inlineStr">
        <is>
          <t>Deep emotional presence, meaningful dialogue &amp; relational trust</t>
        </is>
      </c>
    </row>
    <row r="46" ht="14" customHeight="1">
      <c r="A46" s="34" t="n">
        <v>40</v>
      </c>
      <c r="B46" s="65" t="inlineStr">
        <is>
          <t>Personal &amp; Home</t>
        </is>
      </c>
      <c r="C46" s="60" t="inlineStr">
        <is>
          <t>500ml Water at Every Transition</t>
        </is>
      </c>
      <c r="D46" s="34" t="inlineStr">
        <is>
          <t>30 days</t>
        </is>
      </c>
      <c r="E46" s="61" t="inlineStr">
        <is>
          <t>Before leaving house / between tasks</t>
        </is>
      </c>
      <c r="F46" s="62" t="inlineStr">
        <is>
          <t>Keep filled stainless steel bottle within reach</t>
        </is>
      </c>
      <c r="G46" s="61" t="inlineStr">
        <is>
          <t>Effortless hydration throughout the day without counting bottles</t>
        </is>
      </c>
    </row>
    <row r="47" ht="14" customHeight="1">
      <c r="A47" s="34" t="n">
        <v>41</v>
      </c>
      <c r="B47" s="65" t="inlineStr">
        <is>
          <t>Personal &amp; Home</t>
        </is>
      </c>
      <c r="C47" s="60" t="inlineStr">
        <is>
          <t>Cook Fresh Whole-Food Dinner</t>
        </is>
      </c>
      <c r="D47" s="34" t="inlineStr">
        <is>
          <t>20-25 days</t>
        </is>
      </c>
      <c r="E47" s="61" t="inlineStr">
        <is>
          <t>6:00 PM – 7:30 PM</t>
        </is>
      </c>
      <c r="F47" s="62" t="inlineStr">
        <is>
          <t>Pre-plan meal ingredients on weekend</t>
        </is>
      </c>
      <c r="G47" s="61" t="inlineStr">
        <is>
          <t>Nutritional supremacy, financial savings &amp; mindful culinary ritual</t>
        </is>
      </c>
    </row>
    <row r="48" ht="14" customHeight="1">
      <c r="A48" s="34" t="n">
        <v>42</v>
      </c>
      <c r="B48" s="65" t="inlineStr">
        <is>
          <t>Personal &amp; Home</t>
        </is>
      </c>
      <c r="C48" s="60" t="inlineStr">
        <is>
          <t>Spend 20+ Mins in Fresh Outdoor Air</t>
        </is>
      </c>
      <c r="D48" s="34" t="inlineStr">
        <is>
          <t>25-30 days</t>
        </is>
      </c>
      <c r="E48" s="61" t="inlineStr">
        <is>
          <t>Lunchtime or sunset</t>
        </is>
      </c>
      <c r="F48" s="62" t="inlineStr">
        <is>
          <t>Step outside without headphones</t>
        </is>
      </c>
      <c r="G48" s="61" t="inlineStr">
        <is>
          <t>Lowers cortisol, resets eye convergence &amp; boosts vitamin D</t>
        </is>
      </c>
    </row>
    <row r="49" ht="14" customHeight="1">
      <c r="A49" s="34" t="n">
        <v>43</v>
      </c>
      <c r="B49" s="65" t="inlineStr">
        <is>
          <t>Personal &amp; Home</t>
        </is>
      </c>
      <c r="C49" s="60" t="inlineStr">
        <is>
          <t>Digital Declutter (Clean Files &amp; Photos)</t>
        </is>
      </c>
      <c r="D49" s="34" t="inlineStr">
        <is>
          <t>12-16 days</t>
        </is>
      </c>
      <c r="E49" s="61" t="inlineStr">
        <is>
          <t>Weekly maintenance</t>
        </is>
      </c>
      <c r="F49" s="62" t="inlineStr">
        <is>
          <t>Delete screenshots and temporary download files</t>
        </is>
      </c>
      <c r="G49" s="61" t="inlineStr">
        <is>
          <t>Maintains seamless digital hygiene and device speed</t>
        </is>
      </c>
    </row>
    <row r="50" ht="14" customHeight="1">
      <c r="A50" s="34" t="n">
        <v>44</v>
      </c>
      <c r="B50" s="65" t="inlineStr">
        <is>
          <t>Personal &amp; Home</t>
        </is>
      </c>
      <c r="C50" s="60" t="inlineStr">
        <is>
          <t>Micro-Kindness / Thoughtful Gesture</t>
        </is>
      </c>
      <c r="D50" s="34" t="inlineStr">
        <is>
          <t>25-30 days</t>
        </is>
      </c>
      <c r="E50" s="61" t="inlineStr">
        <is>
          <t>Daily serendipity</t>
        </is>
      </c>
      <c r="F50" s="62" t="inlineStr">
        <is>
          <t>Look for 1 opportunity to help or compliment someone</t>
        </is>
      </c>
      <c r="G50" s="61" t="inlineStr">
        <is>
          <t>Cultivates warmth, social connectedness &amp; oxytocin</t>
        </is>
      </c>
    </row>
    <row r="51" ht="14" customHeight="1">
      <c r="A51" s="34" t="n">
        <v>45</v>
      </c>
      <c r="B51" s="65" t="inlineStr">
        <is>
          <t>Personal &amp; Home</t>
        </is>
      </c>
      <c r="C51" s="60" t="inlineStr">
        <is>
          <t>Pre-Select Tomorrow's Wardrobe</t>
        </is>
      </c>
      <c r="D51" s="34" t="inlineStr">
        <is>
          <t>25-30 days</t>
        </is>
      </c>
      <c r="E51" s="61" t="inlineStr">
        <is>
          <t>Bedtime routine</t>
        </is>
      </c>
      <c r="F51" s="62" t="inlineStr">
        <is>
          <t>Lay out clothes and shoes before sleep</t>
        </is>
      </c>
      <c r="G51" s="61" t="inlineStr">
        <is>
          <t>Eliminates decision fatigue and morning rush</t>
        </is>
      </c>
    </row>
    <row r="52" ht="14" customHeight="1">
      <c r="A52" s="34" t="n">
        <v>46</v>
      </c>
      <c r="B52" s="65" t="inlineStr">
        <is>
          <t>Personal &amp; Home</t>
        </is>
      </c>
      <c r="C52" s="60" t="inlineStr">
        <is>
          <t>Nightly Kitchen Sink Zero</t>
        </is>
      </c>
      <c r="D52" s="34" t="inlineStr">
        <is>
          <t>25-30 days</t>
        </is>
      </c>
      <c r="E52" s="61" t="inlineStr">
        <is>
          <t>After dinner</t>
        </is>
      </c>
      <c r="F52" s="62" t="inlineStr">
        <is>
          <t>Wipe countertops and run dishwasher</t>
        </is>
      </c>
      <c r="G52" s="61" t="inlineStr">
        <is>
          <t>Zero dirty dishes in the morning; starts day with serene order</t>
        </is>
      </c>
    </row>
    <row r="53" ht="14" customHeight="1">
      <c r="A53" s="34" t="n">
        <v>47</v>
      </c>
      <c r="B53" s="65" t="inlineStr">
        <is>
          <t>Personal &amp; Home</t>
        </is>
      </c>
      <c r="C53" s="60" t="inlineStr">
        <is>
          <t>10-Min Posture &amp; Foam Rolling Drills</t>
        </is>
      </c>
      <c r="D53" s="34" t="inlineStr">
        <is>
          <t>20-25 days</t>
        </is>
      </c>
      <c r="E53" s="61" t="inlineStr">
        <is>
          <t>Evening TV or podcast time</t>
        </is>
      </c>
      <c r="F53" s="62" t="inlineStr">
        <is>
          <t>Keep foam roller next to couch</t>
        </is>
      </c>
      <c r="G53" s="61" t="inlineStr">
        <is>
          <t>Reverses hunched desk posture and relieves spinal compression</t>
        </is>
      </c>
    </row>
    <row r="54" ht="14" customHeight="1">
      <c r="A54" s="34" t="n">
        <v>48</v>
      </c>
      <c r="B54" s="65" t="inlineStr">
        <is>
          <t>Personal &amp; Home</t>
        </is>
      </c>
      <c r="C54" s="60" t="inlineStr">
        <is>
          <t>No Snooze Button Rule</t>
        </is>
      </c>
      <c r="D54" s="34" t="inlineStr">
        <is>
          <t>30 days</t>
        </is>
      </c>
      <c r="E54" s="61" t="inlineStr">
        <is>
          <t>Alarm ring</t>
        </is>
      </c>
      <c r="F54" s="62" t="inlineStr">
        <is>
          <t>Place alarm clock 5 steps away from bed</t>
        </is>
      </c>
      <c r="G54" s="61" t="inlineStr">
        <is>
          <t>Trains decisive action and reinforces self-discipline at daybreak</t>
        </is>
      </c>
    </row>
    <row r="55" ht="14" customHeight="1">
      <c r="A55" s="34" t="n">
        <v>49</v>
      </c>
      <c r="B55" s="66" t="inlineStr">
        <is>
          <t>Finance &amp; Wealth</t>
        </is>
      </c>
      <c r="C55" s="60" t="inlineStr">
        <is>
          <t>Daily Expense Logging in Tracker</t>
        </is>
      </c>
      <c r="D55" s="34" t="inlineStr">
        <is>
          <t>25-30 days</t>
        </is>
      </c>
      <c r="E55" s="61" t="inlineStr">
        <is>
          <t>Evening review</t>
        </is>
      </c>
      <c r="F55" s="62" t="inlineStr">
        <is>
          <t>Review banking app notifications before dinner</t>
        </is>
      </c>
      <c r="G55" s="61" t="inlineStr">
        <is>
          <t>Total financial awareness; eliminates unconscious cash leakage</t>
        </is>
      </c>
    </row>
    <row r="56" ht="14" customHeight="1">
      <c r="A56" s="34" t="n">
        <v>50</v>
      </c>
      <c r="B56" s="66" t="inlineStr">
        <is>
          <t>Finance &amp; Wealth</t>
        </is>
      </c>
      <c r="C56" s="60" t="inlineStr">
        <is>
          <t>24-Hour Rule on Non-Essential Buys</t>
        </is>
      </c>
      <c r="D56" s="34" t="inlineStr">
        <is>
          <t>30 days</t>
        </is>
      </c>
      <c r="E56" s="61" t="inlineStr">
        <is>
          <t>Whenever desire strikes</t>
        </is>
      </c>
      <c r="F56" s="62" t="inlineStr">
        <is>
          <t>Add item to 24h wishlist instead of clicking buy</t>
        </is>
      </c>
      <c r="G56" s="61" t="inlineStr">
        <is>
          <t>Kills 80% of impulsive emotional purchases before checkout</t>
        </is>
      </c>
    </row>
    <row r="57" ht="14" customHeight="1">
      <c r="A57" s="34" t="n">
        <v>51</v>
      </c>
      <c r="B57" s="66" t="inlineStr">
        <is>
          <t>Finance &amp; Wealth</t>
        </is>
      </c>
      <c r="C57" s="60" t="inlineStr">
        <is>
          <t>Automated Dollar-Cost Averaging</t>
        </is>
      </c>
      <c r="D57" s="34" t="inlineStr">
        <is>
          <t>Monthly / Weekly</t>
        </is>
      </c>
      <c r="E57" s="61" t="inlineStr">
        <is>
          <t>Payday transfer</t>
        </is>
      </c>
      <c r="F57" s="62" t="inlineStr">
        <is>
          <t>Set automated standing order into index funds</t>
        </is>
      </c>
      <c r="G57" s="61" t="inlineStr">
        <is>
          <t>Removes emotion and timing friction from long-term wealth compounding</t>
        </is>
      </c>
    </row>
    <row r="58" ht="14" customHeight="1">
      <c r="A58" s="34" t="n">
        <v>52</v>
      </c>
      <c r="B58" s="66" t="inlineStr">
        <is>
          <t>Finance &amp; Wealth</t>
        </is>
      </c>
      <c r="C58" s="60" t="inlineStr">
        <is>
          <t>Pack Healthy Lunch / Zero Food Apps</t>
        </is>
      </c>
      <c r="D58" s="34" t="inlineStr">
        <is>
          <t>20-22 days</t>
        </is>
      </c>
      <c r="E58" s="61" t="inlineStr">
        <is>
          <t>Workdays</t>
        </is>
      </c>
      <c r="F58" s="62" t="inlineStr">
        <is>
          <t>Pack leftovers directly into glass container at dinner</t>
        </is>
      </c>
      <c r="G58" s="61" t="inlineStr">
        <is>
          <t>Saves $300–$500 per month while guaranteeing superior nutrition</t>
        </is>
      </c>
    </row>
    <row r="59" ht="14" customHeight="1">
      <c r="A59" s="34" t="n">
        <v>53</v>
      </c>
      <c r="B59" s="66" t="inlineStr">
        <is>
          <t>Finance &amp; Wealth</t>
        </is>
      </c>
      <c r="C59" s="60" t="inlineStr">
        <is>
          <t>Track Net Worth &amp; Asset Allocation</t>
        </is>
      </c>
      <c r="D59" s="34" t="inlineStr">
        <is>
          <t>4-5 days</t>
        </is>
      </c>
      <c r="E59" s="61" t="inlineStr">
        <is>
          <t>End of month review</t>
        </is>
      </c>
      <c r="F59" s="62" t="inlineStr">
        <is>
          <t>Log balances into Master Dashboard / net worth sheet</t>
        </is>
      </c>
      <c r="G59" s="61" t="inlineStr">
        <is>
          <t>Visible macro progress builds psychological wealth momentum</t>
        </is>
      </c>
    </row>
    <row r="60" ht="14" customHeight="1">
      <c r="A60" s="34" t="n">
        <v>54</v>
      </c>
      <c r="B60" s="66" t="inlineStr">
        <is>
          <t>Finance &amp; Wealth</t>
        </is>
      </c>
      <c r="C60" s="60" t="inlineStr">
        <is>
          <t>Audit Recurring Subscriptions</t>
        </is>
      </c>
      <c r="D60" s="34" t="inlineStr">
        <is>
          <t>1 day / quarter</t>
        </is>
      </c>
      <c r="E60" s="61" t="inlineStr">
        <is>
          <t>Quarterly review</t>
        </is>
      </c>
      <c r="F60" s="62" t="inlineStr">
        <is>
          <t>Print bank statement with highlighter</t>
        </is>
      </c>
      <c r="G60" s="61" t="inlineStr">
        <is>
          <t>Cancels zombie subscriptions and recaptures recurring cash flow</t>
        </is>
      </c>
    </row>
    <row r="61" ht="14" customHeight="1">
      <c r="A61" s="34" t="n">
        <v>55</v>
      </c>
      <c r="B61" s="66" t="inlineStr">
        <is>
          <t>Finance &amp; Wealth</t>
        </is>
      </c>
      <c r="C61" s="60" t="inlineStr">
        <is>
          <t>Read 1 Financial / Market Analysis</t>
        </is>
      </c>
      <c r="D61" s="34" t="inlineStr">
        <is>
          <t>16-20 days</t>
        </is>
      </c>
      <c r="E61" s="61" t="inlineStr">
        <is>
          <t>Morning reading block</t>
        </is>
      </c>
      <c r="F61" s="62" t="inlineStr">
        <is>
          <t>Subscribe to high-quality economics newsletter</t>
        </is>
      </c>
      <c r="G61" s="61" t="inlineStr">
        <is>
          <t>Deepens financial literacy, macro awareness and investor mindset</t>
        </is>
      </c>
    </row>
    <row r="62" ht="14" customHeight="1">
      <c r="A62" s="34" t="n">
        <v>56</v>
      </c>
      <c r="B62" s="66" t="inlineStr">
        <is>
          <t>Finance &amp; Wealth</t>
        </is>
      </c>
      <c r="C62" s="60" t="inlineStr">
        <is>
          <t>Contribute to Emergency / Freedom Fund</t>
        </is>
      </c>
      <c r="D62" s="34" t="inlineStr">
        <is>
          <t>Monthly / Payday</t>
        </is>
      </c>
      <c r="E62" s="61" t="inlineStr">
        <is>
          <t>Salary day</t>
        </is>
      </c>
      <c r="F62" s="62" t="inlineStr">
        <is>
          <t>Transfer fixed percentage into high-yield savings</t>
        </is>
      </c>
      <c r="G62" s="61" t="inlineStr">
        <is>
          <t>Builds psychological safety and antifragile career leverage</t>
        </is>
      </c>
    </row>
    <row r="63" ht="14" customHeight="1">
      <c r="A63" s="34" t="n">
        <v>57</v>
      </c>
      <c r="B63" s="66" t="inlineStr">
        <is>
          <t>Finance &amp; Wealth</t>
        </is>
      </c>
      <c r="C63" s="60" t="inlineStr">
        <is>
          <t>30-Min High-Yield Side Hustle Sprint</t>
        </is>
      </c>
      <c r="D63" s="34" t="inlineStr">
        <is>
          <t>16-20 days</t>
        </is>
      </c>
      <c r="E63" s="61" t="inlineStr">
        <is>
          <t>Early morning / Saturday</t>
        </is>
      </c>
      <c r="F63" s="62" t="inlineStr">
        <is>
          <t>Dedicated secondary income project folder</t>
        </is>
      </c>
      <c r="G63" s="61" t="inlineStr">
        <is>
          <t>Diversifies income streams beyond single employment dependence</t>
        </is>
      </c>
    </row>
    <row r="64" ht="14" customHeight="1">
      <c r="A64" s="34" t="n">
        <v>58</v>
      </c>
      <c r="B64" s="66" t="inlineStr">
        <is>
          <t>Finance &amp; Wealth</t>
        </is>
      </c>
      <c r="C64" s="60" t="inlineStr">
        <is>
          <t>Strict Grocery List Adherence</t>
        </is>
      </c>
      <c r="D64" s="34" t="inlineStr">
        <is>
          <t>4-5 days</t>
        </is>
      </c>
      <c r="E64" s="61" t="inlineStr">
        <is>
          <t>Supermarket trip</t>
        </is>
      </c>
      <c r="F64" s="62" t="inlineStr">
        <is>
          <t>Never enter grocery store hungry or without list</t>
        </is>
      </c>
      <c r="G64" s="61" t="inlineStr">
        <is>
          <t>Eliminates high-margin impulse grocery upselling</t>
        </is>
      </c>
    </row>
    <row r="65" ht="14" customHeight="1">
      <c r="A65" s="34" t="n">
        <v>59</v>
      </c>
      <c r="B65" s="66" t="inlineStr">
        <is>
          <t>Finance &amp; Wealth</t>
        </is>
      </c>
      <c r="C65" s="60" t="inlineStr">
        <is>
          <t>Daily Invoice &amp; Receipt Archiving</t>
        </is>
      </c>
      <c r="D65" s="34" t="inlineStr">
        <is>
          <t>20-25 days</t>
        </is>
      </c>
      <c r="E65" s="61" t="inlineStr">
        <is>
          <t>Immediately upon receipt</t>
        </is>
      </c>
      <c r="F65" s="62" t="inlineStr">
        <is>
          <t>Snap photo and file into cloud folder</t>
        </is>
      </c>
      <c r="G65" s="61" t="inlineStr">
        <is>
          <t>Zero stress tax season and seamless deductible expense tracking</t>
        </is>
      </c>
    </row>
    <row r="66" ht="14" customHeight="1">
      <c r="A66" s="34" t="n">
        <v>60</v>
      </c>
      <c r="B66" s="66" t="inlineStr">
        <is>
          <t>Finance &amp; Wealth</t>
        </is>
      </c>
      <c r="C66" s="60" t="inlineStr">
        <is>
          <t>Mindful Generosity / Tip Allocation</t>
        </is>
      </c>
      <c r="D66" s="34" t="inlineStr">
        <is>
          <t>20-25 days</t>
        </is>
      </c>
      <c r="E66" s="61" t="inlineStr">
        <is>
          <t>Service interactions</t>
        </is>
      </c>
      <c r="F66" s="62" t="inlineStr">
        <is>
          <t>Add generous tip or donation with gratitude</t>
        </is>
      </c>
      <c r="G66" s="61" t="inlineStr">
        <is>
          <t>Breaks scarcity mentality and reinforces abundant wealth mindset</t>
        </is>
      </c>
    </row>
    <row r="68" ht="16" customHeight="1">
      <c r="A68" s="67" t="inlineStr">
        <is>
          <t>⚡ ATOMIC HABITS IMPLEMENTATION LAWS (BEHAVIORAL ARCHITECTURE)</t>
        </is>
      </c>
      <c r="B68" s="29" t="n"/>
      <c r="C68" s="29" t="n"/>
      <c r="D68" s="29" t="n"/>
      <c r="E68" s="29" t="n"/>
      <c r="F68" s="29" t="n"/>
      <c r="G68" s="29" t="n"/>
    </row>
    <row r="69" ht="14" customHeight="1">
      <c r="A69" s="68" t="inlineStr">
        <is>
          <t>1. The Habit Stacking Formula</t>
        </is>
      </c>
      <c r="B69" s="9" t="n"/>
      <c r="C69" s="9" t="n"/>
      <c r="D69" s="9" t="n"/>
      <c r="E69" s="9" t="n"/>
      <c r="F69" s="9" t="n"/>
      <c r="G69" s="9" t="n"/>
    </row>
    <row r="70" ht="26" customHeight="1">
      <c r="A70" s="69" t="inlineStr">
        <is>
          <t>"After [CURRENT HABIT], I will [NEW HABIT] at [LOCATION]."
Anchor new habits onto established neural wiring. Example: "After I pour my morning coffee, I will open my journal for 5 minutes at the kitchen counter."</t>
        </is>
      </c>
      <c r="B70" s="9" t="n"/>
      <c r="C70" s="9" t="n"/>
      <c r="D70" s="9" t="n"/>
      <c r="E70" s="9" t="n"/>
      <c r="F70" s="9" t="n"/>
      <c r="G70" s="9" t="n"/>
    </row>
    <row r="72" ht="14" customHeight="1">
      <c r="A72" s="70" t="inlineStr">
        <is>
          <t>2. The 2-Minute Rule</t>
        </is>
      </c>
      <c r="B72" s="11" t="n"/>
      <c r="C72" s="11" t="n"/>
      <c r="D72" s="11" t="n"/>
      <c r="E72" s="11" t="n"/>
      <c r="F72" s="11" t="n"/>
      <c r="G72" s="11" t="n"/>
    </row>
    <row r="73" ht="26" customHeight="1">
      <c r="A73" s="71" t="inlineStr">
        <is>
          <t>"When you start a new habit, it should take less than two minutes to do."
A habit must be established before it can be improved. Scale the gateway ritual down so low that failure is impossible (e.g. read 1 page; put on running shoes).</t>
        </is>
      </c>
      <c r="B73" s="11" t="n"/>
      <c r="C73" s="11" t="n"/>
      <c r="D73" s="11" t="n"/>
      <c r="E73" s="11" t="n"/>
      <c r="F73" s="11" t="n"/>
      <c r="G73" s="11" t="n"/>
    </row>
    <row r="75" ht="14" customHeight="1">
      <c r="A75" s="72" t="inlineStr">
        <is>
          <t>3. Environment Design</t>
        </is>
      </c>
      <c r="B75" s="13" t="n"/>
      <c r="C75" s="13" t="n"/>
      <c r="D75" s="13" t="n"/>
      <c r="E75" s="13" t="n"/>
      <c r="F75" s="13" t="n"/>
      <c r="G75" s="13" t="n"/>
    </row>
    <row r="76" ht="26" customHeight="1">
      <c r="A76" s="73" t="inlineStr">
        <is>
          <t>"Make the cues of good habits obvious, and the cues of bad habits invisible."
Environment is the invisible hand that shapes human behavior. Put the book on your pillow, the gym clothes in your doorway, and the phone charger in another room.</t>
        </is>
      </c>
      <c r="B76" s="13" t="n"/>
      <c r="C76" s="13" t="n"/>
      <c r="D76" s="13" t="n"/>
      <c r="E76" s="13" t="n"/>
      <c r="F76" s="13" t="n"/>
      <c r="G76" s="13" t="n"/>
    </row>
    <row r="78" ht="14" customHeight="1">
      <c r="A78" s="74" t="inlineStr">
        <is>
          <t>4. Never Miss Twice</t>
        </is>
      </c>
      <c r="B78" s="15" t="n"/>
      <c r="C78" s="15" t="n"/>
      <c r="D78" s="15" t="n"/>
      <c r="E78" s="15" t="n"/>
      <c r="F78" s="15" t="n"/>
      <c r="G78" s="15" t="n"/>
    </row>
    <row r="79" ht="26" customHeight="1">
      <c r="A79" s="75" t="inlineStr">
        <is>
          <t>"Missing once is an accident. Missing twice is the start of a new bad habit."
Perfection is impossible, but rapid recovery is non-negotiable. If you miss a day, prioritize getting a checkmark tomorrow even if it is only a 2-minute version.</t>
        </is>
      </c>
      <c r="B79" s="15" t="n"/>
      <c r="C79" s="15" t="n"/>
      <c r="D79" s="15" t="n"/>
      <c r="E79" s="15" t="n"/>
      <c r="F79" s="15" t="n"/>
      <c r="G79" s="15" t="n"/>
    </row>
  </sheetData>
  <sheetProtection selectLockedCells="1" selectUnlockedCells="1" sheet="1" objects="0" insertRows="1" insertHyperlinks="1" autoFilter="1" scenarios="0" formatColumns="1" deleteColumns="1" insertColumns="1" pivotTables="1" deleteRows="1" formatCells="1" formatRows="1" sort="1"/>
  <mergeCells count="12">
    <mergeCell ref="A4:B4"/>
    <mergeCell ref="E2:G2"/>
    <mergeCell ref="A70:G70"/>
    <mergeCell ref="A79:G79"/>
    <mergeCell ref="A69:G69"/>
    <mergeCell ref="A76:G76"/>
    <mergeCell ref="A78:G78"/>
    <mergeCell ref="A75:G75"/>
    <mergeCell ref="A72:G72"/>
    <mergeCell ref="A73:G73"/>
    <mergeCell ref="A68:G68"/>
    <mergeCell ref="C4:D4"/>
  </mergeCells>
  <hyperlinks>
    <hyperlink xmlns:r="http://schemas.openxmlformats.org/officeDocument/2006/relationships" ref="A4" r:id="rId1"/>
    <hyperlink xmlns:r="http://schemas.openxmlformats.org/officeDocument/2006/relationships" ref="C4" r:id="rId2"/>
  </hyperlinks>
  <printOptions horizontalCentered="1" verticalCentered="0"/>
  <pageMargins left="0.75" right="0.75" top="1" bottom="1" header="0.5" footer="0.5"/>
  <pageSetup orientation="landscape" paperSize="9" fitToHeight="0" fitToWidth="1"/>
</worksheet>
</file>

<file path=xl/worksheets/sheet4.xml><?xml version="1.0" encoding="utf-8"?>
<worksheet xmlns="http://schemas.openxmlformats.org/spreadsheetml/2006/main">
  <sheetPr>
    <outlinePr summaryBelow="1" summaryRight="1"/>
    <pageSetUpPr fitToPage="1"/>
  </sheetPr>
  <dimension ref="A1:AL103"/>
  <sheetViews>
    <sheetView showGridLines="1" workbookViewId="0">
      <selection activeCell="A1" sqref="A1"/>
    </sheetView>
  </sheetViews>
  <sheetFormatPr baseColWidth="8" defaultRowHeight="15"/>
  <cols>
    <col width="6" customWidth="1" min="1" max="1"/>
    <col width="25" customWidth="1" min="2" max="2"/>
    <col width="16.5" customWidth="1" min="3" max="3"/>
    <col width="8" customWidth="1" min="4" max="4"/>
    <col width="4.8" customWidth="1" min="5" max="5"/>
    <col width="4.8" customWidth="1" min="6" max="6"/>
    <col width="4.8" customWidth="1" min="7" max="7"/>
    <col width="4.8" customWidth="1" min="8" max="8"/>
    <col width="4.8" customWidth="1" min="9" max="9"/>
    <col width="4.8" customWidth="1" min="10" max="10"/>
    <col width="4.8" customWidth="1" min="11" max="11"/>
    <col width="4.8" customWidth="1" min="12" max="12"/>
    <col width="4.8" customWidth="1" min="13" max="13"/>
    <col width="4.8" customWidth="1" min="14" max="14"/>
    <col width="4.8" customWidth="1" min="15" max="15"/>
    <col width="4.8" customWidth="1" min="16" max="16"/>
    <col width="4.8" customWidth="1" min="17" max="17"/>
    <col width="4.8" customWidth="1" min="18" max="18"/>
    <col width="4.8" customWidth="1" min="19" max="19"/>
    <col width="4.8" customWidth="1" min="20" max="20"/>
    <col width="4.8" customWidth="1" min="21" max="21"/>
    <col width="4.8" customWidth="1" min="22" max="22"/>
    <col width="4.8" customWidth="1" min="23" max="23"/>
    <col width="4.8" customWidth="1" min="24" max="24"/>
    <col width="4.8" customWidth="1" min="25" max="25"/>
    <col width="4.8" customWidth="1" min="26" max="26"/>
    <col width="4.8" customWidth="1" min="27" max="27"/>
    <col width="4.8" customWidth="1" min="28" max="28"/>
    <col width="4.8" customWidth="1" min="29" max="29"/>
    <col width="4.8" customWidth="1" min="30" max="30"/>
    <col width="4.8" customWidth="1" min="31" max="31"/>
    <col width="4.8" customWidth="1" min="32" max="32"/>
    <col width="4.8" customWidth="1" min="33" max="33"/>
    <col width="4.8" customWidth="1" min="34" max="34"/>
    <col width="11.5" customWidth="1" min="35" max="35"/>
    <col width="12" customWidth="1" min="36" max="36"/>
    <col width="13.5" customWidth="1" min="37" max="37"/>
    <col hidden="1" width="8" customWidth="1" min="38" max="38"/>
  </cols>
  <sheetData>
    <row r="1" ht="18" customHeight="1">
      <c r="A1" s="76" t="inlineStr">
        <is>
          <t>🏠 Master Dashboard</t>
        </is>
      </c>
      <c r="B1" s="40" t="n"/>
      <c r="C1" s="77" t="inlineStr">
        <is>
          <t>🏛️ Quarterly Hub</t>
        </is>
      </c>
      <c r="D1" s="78" t="inlineStr">
        <is>
          <t>📚 Habit Library</t>
        </is>
      </c>
      <c r="E1" s="79" t="inlineStr">
        <is>
          <t>2026</t>
        </is>
      </c>
      <c r="F1" s="80" t="inlineStr">
        <is>
          <t>2027</t>
        </is>
      </c>
      <c r="G1" s="80" t="inlineStr">
        <is>
          <t>2028</t>
        </is>
      </c>
      <c r="H1" s="80" t="inlineStr">
        <is>
          <t>2029</t>
        </is>
      </c>
      <c r="I1" s="80" t="inlineStr">
        <is>
          <t>2030</t>
        </is>
      </c>
      <c r="J1" s="81" t="inlineStr">
        <is>
          <t>◀ Prev</t>
        </is>
      </c>
      <c r="K1" s="82" t="inlineStr">
        <is>
          <t>Next ▶</t>
        </is>
      </c>
    </row>
    <row r="2" ht="24" customHeight="1">
      <c r="A2" s="83" t="inlineStr">
        <is>
          <t>Habit Tracker</t>
        </is>
      </c>
      <c r="H2" s="84" t="inlineStr">
        <is>
          <t>"Win the morning, win the day."</t>
        </is>
      </c>
      <c r="AD2" s="85" t="inlineStr">
        <is>
          <t>@surajvansh</t>
        </is>
      </c>
    </row>
    <row r="3" ht="18" customHeight="1">
      <c r="A3" s="86" t="inlineStr">
        <is>
          <t>September 2026</t>
        </is>
      </c>
      <c r="H3" s="87" t="inlineStr">
        <is>
          <t>30 Days Dashboard</t>
        </is>
      </c>
    </row>
    <row r="4" ht="5" customHeight="1"/>
    <row r="5" ht="16" customHeight="1">
      <c r="A5" s="88" t="inlineStr">
        <is>
          <t>MONTHLY TARGETS</t>
        </is>
      </c>
    </row>
    <row r="6" ht="13" customHeight="1">
      <c r="A6" s="89" t="inlineStr">
        <is>
          <t>1. ____________________ : ____________________</t>
        </is>
      </c>
      <c r="P6" s="89" t="inlineStr">
        <is>
          <t>5. ____________________ : ____________________</t>
        </is>
      </c>
    </row>
    <row r="7" ht="13" customHeight="1">
      <c r="A7" s="89" t="inlineStr">
        <is>
          <t>2. ____________________ : ____________________</t>
        </is>
      </c>
      <c r="P7" s="89" t="inlineStr">
        <is>
          <t>6. ____________________ : ____________________</t>
        </is>
      </c>
    </row>
    <row r="8" ht="13" customHeight="1">
      <c r="A8" s="89" t="inlineStr">
        <is>
          <t>3. ____________________ : ____________________</t>
        </is>
      </c>
      <c r="P8" s="89" t="inlineStr">
        <is>
          <t>7. ____________________ : ____________________</t>
        </is>
      </c>
    </row>
    <row r="9" ht="13" customHeight="1">
      <c r="A9" s="89" t="inlineStr">
        <is>
          <t>4. ____________________ : ____________________</t>
        </is>
      </c>
      <c r="P9" s="89" t="inlineStr">
        <is>
          <t>8. ____________________ : ____________________</t>
        </is>
      </c>
    </row>
    <row r="10" ht="5" customHeight="1"/>
    <row r="11" ht="15" customHeight="1">
      <c r="A11" s="88" t="inlineStr">
        <is>
          <t>NOTES:</t>
        </is>
      </c>
    </row>
    <row r="12" ht="13" customHeight="1">
      <c r="A12" s="90" t="n"/>
      <c r="B12" s="91" t="n"/>
      <c r="C12" s="91" t="n"/>
      <c r="D12" s="91" t="n"/>
      <c r="E12" s="91" t="n"/>
      <c r="F12" s="91" t="n"/>
      <c r="G12" s="91" t="n"/>
      <c r="H12" s="91" t="n"/>
      <c r="I12" s="91" t="n"/>
      <c r="J12" s="91" t="n"/>
      <c r="K12" s="91" t="n"/>
      <c r="L12" s="91" t="n"/>
      <c r="M12" s="91" t="n"/>
      <c r="N12" s="91" t="n"/>
      <c r="O12" s="91" t="n"/>
      <c r="P12" s="91" t="n"/>
      <c r="Q12" s="91" t="n"/>
      <c r="R12" s="91" t="n"/>
      <c r="S12" s="91" t="n"/>
      <c r="T12" s="91" t="n"/>
      <c r="U12" s="91" t="n"/>
      <c r="V12" s="91" t="n"/>
      <c r="W12" s="91" t="n"/>
      <c r="X12" s="91" t="n"/>
      <c r="Y12" s="91" t="n"/>
      <c r="Z12" s="91" t="n"/>
      <c r="AA12" s="91" t="n"/>
      <c r="AB12" s="91" t="n"/>
      <c r="AC12" s="91" t="n"/>
      <c r="AD12" s="91" t="n"/>
      <c r="AE12" s="91" t="n"/>
      <c r="AF12" s="91" t="n"/>
      <c r="AG12" s="91" t="n"/>
      <c r="AH12" s="91" t="n"/>
      <c r="AI12" s="91" t="n"/>
      <c r="AJ12" s="91" t="n"/>
      <c r="AK12" s="91" t="n"/>
    </row>
    <row r="13" ht="13" customHeight="1">
      <c r="A13" s="91" t="n"/>
      <c r="B13" s="91" t="n"/>
      <c r="C13" s="91" t="n"/>
      <c r="D13" s="91" t="n"/>
      <c r="E13" s="91" t="n"/>
      <c r="F13" s="91" t="n"/>
      <c r="G13" s="91" t="n"/>
      <c r="H13" s="91" t="n"/>
      <c r="I13" s="91" t="n"/>
      <c r="J13" s="91" t="n"/>
      <c r="K13" s="91" t="n"/>
      <c r="L13" s="91" t="n"/>
      <c r="M13" s="91" t="n"/>
      <c r="N13" s="91" t="n"/>
      <c r="O13" s="91" t="n"/>
      <c r="P13" s="91" t="n"/>
      <c r="Q13" s="91" t="n"/>
      <c r="R13" s="91" t="n"/>
      <c r="S13" s="91" t="n"/>
      <c r="T13" s="91" t="n"/>
      <c r="U13" s="91" t="n"/>
      <c r="V13" s="91" t="n"/>
      <c r="W13" s="91" t="n"/>
      <c r="X13" s="91" t="n"/>
      <c r="Y13" s="91" t="n"/>
      <c r="Z13" s="91" t="n"/>
      <c r="AA13" s="91" t="n"/>
      <c r="AB13" s="91" t="n"/>
      <c r="AC13" s="91" t="n"/>
      <c r="AD13" s="91" t="n"/>
      <c r="AE13" s="91" t="n"/>
      <c r="AF13" s="91" t="n"/>
      <c r="AG13" s="91" t="n"/>
      <c r="AH13" s="91" t="n"/>
      <c r="AI13" s="91" t="n"/>
      <c r="AJ13" s="91" t="n"/>
      <c r="AK13" s="91" t="n"/>
    </row>
    <row r="14" ht="13" customHeight="1">
      <c r="A14" s="91" t="n"/>
      <c r="B14" s="91" t="n"/>
      <c r="C14" s="91" t="n"/>
      <c r="D14" s="91" t="n"/>
      <c r="E14" s="91" t="n"/>
      <c r="F14" s="91" t="n"/>
      <c r="G14" s="91" t="n"/>
      <c r="H14" s="91" t="n"/>
      <c r="I14" s="91" t="n"/>
      <c r="J14" s="91" t="n"/>
      <c r="K14" s="91" t="n"/>
      <c r="L14" s="91" t="n"/>
      <c r="M14" s="91" t="n"/>
      <c r="N14" s="91" t="n"/>
      <c r="O14" s="91" t="n"/>
      <c r="P14" s="91" t="n"/>
      <c r="Q14" s="91" t="n"/>
      <c r="R14" s="91" t="n"/>
      <c r="S14" s="91" t="n"/>
      <c r="T14" s="91" t="n"/>
      <c r="U14" s="91" t="n"/>
      <c r="V14" s="91" t="n"/>
      <c r="W14" s="91" t="n"/>
      <c r="X14" s="91" t="n"/>
      <c r="Y14" s="91" t="n"/>
      <c r="Z14" s="91" t="n"/>
      <c r="AA14" s="91" t="n"/>
      <c r="AB14" s="91" t="n"/>
      <c r="AC14" s="91" t="n"/>
      <c r="AD14" s="91" t="n"/>
      <c r="AE14" s="91" t="n"/>
      <c r="AF14" s="91" t="n"/>
      <c r="AG14" s="91" t="n"/>
      <c r="AH14" s="91" t="n"/>
      <c r="AI14" s="91" t="n"/>
      <c r="AJ14" s="91" t="n"/>
      <c r="AK14" s="91" t="n"/>
    </row>
    <row r="15" ht="8" customHeight="1"/>
    <row r="16" ht="15" customHeight="1">
      <c r="A16" s="33" t="inlineStr">
        <is>
          <t>S.No.</t>
        </is>
      </c>
      <c r="B16" s="33" t="inlineStr">
        <is>
          <t>Protocols</t>
        </is>
      </c>
      <c r="C16" s="33" t="inlineStr">
        <is>
          <t>Category</t>
        </is>
      </c>
      <c r="D16" s="33" t="inlineStr">
        <is>
          <t>Target</t>
        </is>
      </c>
      <c r="E16" s="92" t="n">
        <v>1</v>
      </c>
      <c r="F16" s="92" t="n">
        <v>2</v>
      </c>
      <c r="G16" s="92" t="n">
        <v>3</v>
      </c>
      <c r="H16" s="92" t="n">
        <v>4</v>
      </c>
      <c r="I16" s="92" t="n">
        <v>5</v>
      </c>
      <c r="J16" s="93" t="n">
        <v>6</v>
      </c>
      <c r="K16" s="92" t="n">
        <v>7</v>
      </c>
      <c r="L16" s="92" t="n">
        <v>8</v>
      </c>
      <c r="M16" s="92" t="n">
        <v>9</v>
      </c>
      <c r="N16" s="92" t="n">
        <v>10</v>
      </c>
      <c r="O16" s="92" t="n">
        <v>11</v>
      </c>
      <c r="P16" s="92" t="n">
        <v>12</v>
      </c>
      <c r="Q16" s="93" t="n">
        <v>13</v>
      </c>
      <c r="R16" s="92" t="n">
        <v>14</v>
      </c>
      <c r="S16" s="92" t="n">
        <v>15</v>
      </c>
      <c r="T16" s="92" t="n">
        <v>16</v>
      </c>
      <c r="U16" s="92" t="n">
        <v>17</v>
      </c>
      <c r="V16" s="92" t="n">
        <v>18</v>
      </c>
      <c r="W16" s="92" t="n">
        <v>19</v>
      </c>
      <c r="X16" s="93" t="n">
        <v>20</v>
      </c>
      <c r="Y16" s="92" t="n">
        <v>21</v>
      </c>
      <c r="Z16" s="92" t="n">
        <v>22</v>
      </c>
      <c r="AA16" s="92" t="n">
        <v>23</v>
      </c>
      <c r="AB16" s="92" t="n">
        <v>24</v>
      </c>
      <c r="AC16" s="92" t="n">
        <v>25</v>
      </c>
      <c r="AD16" s="92" t="n">
        <v>26</v>
      </c>
      <c r="AE16" s="93" t="n">
        <v>27</v>
      </c>
      <c r="AF16" s="92" t="n">
        <v>28</v>
      </c>
      <c r="AG16" s="92" t="n">
        <v>29</v>
      </c>
      <c r="AH16" s="92" t="n">
        <v>30</v>
      </c>
      <c r="AI16" s="94" t="inlineStr">
        <is>
          <t>Success %</t>
        </is>
      </c>
      <c r="AJ16" s="94" t="inlineStr">
        <is>
          <t>Done / Target</t>
        </is>
      </c>
      <c r="AK16" s="94" t="inlineStr">
        <is>
          <t>Status</t>
        </is>
      </c>
      <c r="AL16" t="inlineStr">
        <is>
          <t>Done Count</t>
        </is>
      </c>
    </row>
    <row r="17" ht="15" customHeight="1">
      <c r="A17" s="54" t="n"/>
      <c r="B17" s="54" t="n"/>
      <c r="C17" s="54" t="n"/>
      <c r="D17" s="54" t="n"/>
      <c r="E17" s="95" t="inlineStr">
        <is>
          <t>T</t>
        </is>
      </c>
      <c r="F17" s="95" t="inlineStr">
        <is>
          <t>W</t>
        </is>
      </c>
      <c r="G17" s="95" t="inlineStr">
        <is>
          <t>Th</t>
        </is>
      </c>
      <c r="H17" s="95" t="inlineStr">
        <is>
          <t>F</t>
        </is>
      </c>
      <c r="I17" s="95" t="inlineStr">
        <is>
          <t>Sa</t>
        </is>
      </c>
      <c r="J17" s="96" t="inlineStr">
        <is>
          <t>Su</t>
        </is>
      </c>
      <c r="K17" s="95" t="inlineStr">
        <is>
          <t>M</t>
        </is>
      </c>
      <c r="L17" s="95" t="inlineStr">
        <is>
          <t>T</t>
        </is>
      </c>
      <c r="M17" s="95" t="inlineStr">
        <is>
          <t>W</t>
        </is>
      </c>
      <c r="N17" s="95" t="inlineStr">
        <is>
          <t>Th</t>
        </is>
      </c>
      <c r="O17" s="95" t="inlineStr">
        <is>
          <t>F</t>
        </is>
      </c>
      <c r="P17" s="95" t="inlineStr">
        <is>
          <t>Sa</t>
        </is>
      </c>
      <c r="Q17" s="96" t="inlineStr">
        <is>
          <t>Su</t>
        </is>
      </c>
      <c r="R17" s="95" t="inlineStr">
        <is>
          <t>M</t>
        </is>
      </c>
      <c r="S17" s="95" t="inlineStr">
        <is>
          <t>T</t>
        </is>
      </c>
      <c r="T17" s="95" t="inlineStr">
        <is>
          <t>W</t>
        </is>
      </c>
      <c r="U17" s="95" t="inlineStr">
        <is>
          <t>Th</t>
        </is>
      </c>
      <c r="V17" s="95" t="inlineStr">
        <is>
          <t>F</t>
        </is>
      </c>
      <c r="W17" s="95" t="inlineStr">
        <is>
          <t>Sa</t>
        </is>
      </c>
      <c r="X17" s="96" t="inlineStr">
        <is>
          <t>Su</t>
        </is>
      </c>
      <c r="Y17" s="95" t="inlineStr">
        <is>
          <t>M</t>
        </is>
      </c>
      <c r="Z17" s="95" t="inlineStr">
        <is>
          <t>T</t>
        </is>
      </c>
      <c r="AA17" s="95" t="inlineStr">
        <is>
          <t>W</t>
        </is>
      </c>
      <c r="AB17" s="95" t="inlineStr">
        <is>
          <t>Th</t>
        </is>
      </c>
      <c r="AC17" s="95" t="inlineStr">
        <is>
          <t>F</t>
        </is>
      </c>
      <c r="AD17" s="95" t="inlineStr">
        <is>
          <t>Sa</t>
        </is>
      </c>
      <c r="AE17" s="96" t="inlineStr">
        <is>
          <t>Su</t>
        </is>
      </c>
      <c r="AF17" s="95" t="inlineStr">
        <is>
          <t>M</t>
        </is>
      </c>
      <c r="AG17" s="95" t="inlineStr">
        <is>
          <t>T</t>
        </is>
      </c>
      <c r="AH17" s="95" t="inlineStr">
        <is>
          <t>W</t>
        </is>
      </c>
      <c r="AI17" s="54" t="n"/>
      <c r="AJ17" s="54" t="n"/>
      <c r="AK17" s="54" t="n"/>
    </row>
    <row r="18" ht="14.5" customHeight="1">
      <c r="A18" s="97" t="n">
        <v>1</v>
      </c>
      <c r="B18" s="98" t="n"/>
      <c r="C18" s="99" t="n"/>
      <c r="D18" s="99" t="n"/>
      <c r="E18" s="100" t="n"/>
      <c r="F18" s="100" t="n"/>
      <c r="G18" s="100" t="n"/>
      <c r="H18" s="100" t="n"/>
      <c r="I18" s="100" t="n"/>
      <c r="J18" s="101" t="n"/>
      <c r="K18" s="100" t="n"/>
      <c r="L18" s="100" t="n"/>
      <c r="M18" s="100" t="n"/>
      <c r="N18" s="100" t="n"/>
      <c r="O18" s="100" t="n"/>
      <c r="P18" s="100" t="n"/>
      <c r="Q18" s="101" t="n"/>
      <c r="R18" s="100" t="n"/>
      <c r="S18" s="100" t="n"/>
      <c r="T18" s="100" t="n"/>
      <c r="U18" s="100" t="n"/>
      <c r="V18" s="100" t="n"/>
      <c r="W18" s="100" t="n"/>
      <c r="X18" s="101" t="n"/>
      <c r="Y18" s="100" t="n"/>
      <c r="Z18" s="100" t="n"/>
      <c r="AA18" s="100" t="n"/>
      <c r="AB18" s="100" t="n"/>
      <c r="AC18" s="100" t="n"/>
      <c r="AD18" s="100" t="n"/>
      <c r="AE18" s="101" t="n"/>
      <c r="AF18" s="100" t="n"/>
      <c r="AG18" s="100" t="n"/>
      <c r="AH18" s="100" t="n"/>
      <c r="AI18" s="102">
        <f>IF(ISBLANK(B18), "", IF(ISNUMBER(D18), IF(D18&gt;0, (COUNTIF(E18:AH18, "✓") + COUNTIF(E18:AH18, "✔") + COUNTIF(E18:AH18, "v") + COUNTIF(E18:AH18, "V"))/D18, 0), IF(((COUNTIF(E18:AH18, "✓") + COUNTIF(E18:AH18, "✔") + COUNTIF(E18:AH18, "v") + COUNTIF(E18:AH18, "V")) + COUNTIF(E18:AH18, "✗") + COUNTIF(E18:AH18, "x") + COUNTIF(E18:AH18, "X"))&gt;0, (COUNTIF(E18:AH18, "✓") + COUNTIF(E18:AH18, "✔") + COUNTIF(E18:AH18, "v") + COUNTIF(E18:AH18, "V"))/((COUNTIF(E18:AH18, "✓") + COUNTIF(E18:AH18, "✔") + COUNTIF(E18:AH18, "v") + COUNTIF(E18:AH18, "V")) + COUNTIF(E18:AH18, "✗") + COUNTIF(E18:AH18, "x") + COUNTIF(E18:AH18, "X")), "")))</f>
        <v/>
      </c>
      <c r="AJ18" s="103">
        <f>IF(ISBLANK(B18), "", IF(ISNUMBER(D18), IF(D18&gt;0, (COUNTIF(E18:AH18, "✓") + COUNTIF(E18:AH18, "✔") + COUNTIF(E18:AH18, "v") + COUNTIF(E18:AH18, "V")) &amp; "/" &amp; D18, (COUNTIF(E18:AH18, "✓") + COUNTIF(E18:AH18, "✔") + COUNTIF(E18:AH18, "v") + COUNTIF(E18:AH18, "V")) &amp; "/0"), IF(((COUNTIF(E18:AH18, "✓") + COUNTIF(E18:AH18, "✔") + COUNTIF(E18:AH18, "v") + COUNTIF(E18:AH18, "V")) + COUNTIF(E18:AH18, "✗") + COUNTIF(E18:AH18, "x") + COUNTIF(E18:AH18, "X"))&gt;0, (COUNTIF(E18:AH18, "✓") + COUNTIF(E18:AH18, "✔") + COUNTIF(E18:AH18, "v") + COUNTIF(E18:AH18, "V")) &amp; "/" &amp; ((COUNTIF(E18:AH18, "✓") + COUNTIF(E18:AH18, "✔") + COUNTIF(E18:AH18, "v") + COUNTIF(E18:AH18, "V")) + COUNTIF(E18:AH18, "✗") + COUNTIF(E18:AH18, "x") + COUNTIF(E18:AH18, "X")), "")))</f>
        <v/>
      </c>
      <c r="AK18" s="103">
        <f>IF(ISBLANK(B18), "", IF(AI18&gt;=0.85, "🔥 Mastered", IF(AI18&gt;=0.7, "⚡ Consistent", "⚠️ Needs Focus")))</f>
        <v/>
      </c>
      <c r="AL18">
        <f>COUNTIF(E18:AH18, "✓")</f>
        <v/>
      </c>
    </row>
    <row r="19" ht="14.5" customHeight="1">
      <c r="A19" s="97" t="n">
        <v>2</v>
      </c>
      <c r="B19" s="98" t="n"/>
      <c r="C19" s="99" t="n"/>
      <c r="D19" s="99" t="n"/>
      <c r="E19" s="100" t="n"/>
      <c r="F19" s="100" t="n"/>
      <c r="G19" s="100" t="n"/>
      <c r="H19" s="100" t="n"/>
      <c r="I19" s="100" t="n"/>
      <c r="J19" s="101" t="n"/>
      <c r="K19" s="100" t="n"/>
      <c r="L19" s="100" t="n"/>
      <c r="M19" s="100" t="n"/>
      <c r="N19" s="100" t="n"/>
      <c r="O19" s="100" t="n"/>
      <c r="P19" s="100" t="n"/>
      <c r="Q19" s="101" t="n"/>
      <c r="R19" s="100" t="n"/>
      <c r="S19" s="100" t="n"/>
      <c r="T19" s="100" t="n"/>
      <c r="U19" s="100" t="n"/>
      <c r="V19" s="100" t="n"/>
      <c r="W19" s="100" t="n"/>
      <c r="X19" s="101" t="n"/>
      <c r="Y19" s="100" t="n"/>
      <c r="Z19" s="100" t="n"/>
      <c r="AA19" s="100" t="n"/>
      <c r="AB19" s="100" t="n"/>
      <c r="AC19" s="100" t="n"/>
      <c r="AD19" s="100" t="n"/>
      <c r="AE19" s="101" t="n"/>
      <c r="AF19" s="100" t="n"/>
      <c r="AG19" s="100" t="n"/>
      <c r="AH19" s="100" t="n"/>
      <c r="AI19" s="102">
        <f>IF(ISBLANK(B19), "", IF(ISNUMBER(D19), IF(D19&gt;0, (COUNTIF(E19:AH19, "✓") + COUNTIF(E19:AH19, "✔") + COUNTIF(E19:AH19, "v") + COUNTIF(E19:AH19, "V"))/D19, 0), IF(((COUNTIF(E19:AH19, "✓") + COUNTIF(E19:AH19, "✔") + COUNTIF(E19:AH19, "v") + COUNTIF(E19:AH19, "V")) + COUNTIF(E19:AH19, "✗") + COUNTIF(E19:AH19, "x") + COUNTIF(E19:AH19, "X"))&gt;0, (COUNTIF(E19:AH19, "✓") + COUNTIF(E19:AH19, "✔") + COUNTIF(E19:AH19, "v") + COUNTIF(E19:AH19, "V"))/((COUNTIF(E19:AH19, "✓") + COUNTIF(E19:AH19, "✔") + COUNTIF(E19:AH19, "v") + COUNTIF(E19:AH19, "V")) + COUNTIF(E19:AH19, "✗") + COUNTIF(E19:AH19, "x") + COUNTIF(E19:AH19, "X")), "")))</f>
        <v/>
      </c>
      <c r="AJ19" s="103">
        <f>IF(ISBLANK(B19), "", IF(ISNUMBER(D19), IF(D19&gt;0, (COUNTIF(E19:AH19, "✓") + COUNTIF(E19:AH19, "✔") + COUNTIF(E19:AH19, "v") + COUNTIF(E19:AH19, "V")) &amp; "/" &amp; D19, (COUNTIF(E19:AH19, "✓") + COUNTIF(E19:AH19, "✔") + COUNTIF(E19:AH19, "v") + COUNTIF(E19:AH19, "V")) &amp; "/0"), IF(((COUNTIF(E19:AH19, "✓") + COUNTIF(E19:AH19, "✔") + COUNTIF(E19:AH19, "v") + COUNTIF(E19:AH19, "V")) + COUNTIF(E19:AH19, "✗") + COUNTIF(E19:AH19, "x") + COUNTIF(E19:AH19, "X"))&gt;0, (COUNTIF(E19:AH19, "✓") + COUNTIF(E19:AH19, "✔") + COUNTIF(E19:AH19, "v") + COUNTIF(E19:AH19, "V")) &amp; "/" &amp; ((COUNTIF(E19:AH19, "✓") + COUNTIF(E19:AH19, "✔") + COUNTIF(E19:AH19, "v") + COUNTIF(E19:AH19, "V")) + COUNTIF(E19:AH19, "✗") + COUNTIF(E19:AH19, "x") + COUNTIF(E19:AH19, "X")), "")))</f>
        <v/>
      </c>
      <c r="AK19" s="103">
        <f>IF(ISBLANK(B19), "", IF(AI19&gt;=0.85, "🔥 Mastered", IF(AI19&gt;=0.7, "⚡ Consistent", "⚠️ Needs Focus")))</f>
        <v/>
      </c>
      <c r="AL19">
        <f>COUNTIF(E19:AH19, "✓")</f>
        <v/>
      </c>
    </row>
    <row r="20" ht="14.5" customHeight="1">
      <c r="A20" s="97" t="n">
        <v>3</v>
      </c>
      <c r="B20" s="98" t="n"/>
      <c r="C20" s="99" t="n"/>
      <c r="D20" s="99" t="n"/>
      <c r="E20" s="100" t="n"/>
      <c r="F20" s="100" t="n"/>
      <c r="G20" s="100" t="n"/>
      <c r="H20" s="100" t="n"/>
      <c r="I20" s="100" t="n"/>
      <c r="J20" s="101" t="n"/>
      <c r="K20" s="100" t="n"/>
      <c r="L20" s="100" t="n"/>
      <c r="M20" s="100" t="n"/>
      <c r="N20" s="100" t="n"/>
      <c r="O20" s="100" t="n"/>
      <c r="P20" s="100" t="n"/>
      <c r="Q20" s="101" t="n"/>
      <c r="R20" s="100" t="n"/>
      <c r="S20" s="100" t="n"/>
      <c r="T20" s="100" t="n"/>
      <c r="U20" s="100" t="n"/>
      <c r="V20" s="100" t="n"/>
      <c r="W20" s="100" t="n"/>
      <c r="X20" s="101" t="n"/>
      <c r="Y20" s="100" t="n"/>
      <c r="Z20" s="100" t="n"/>
      <c r="AA20" s="100" t="n"/>
      <c r="AB20" s="100" t="n"/>
      <c r="AC20" s="100" t="n"/>
      <c r="AD20" s="100" t="n"/>
      <c r="AE20" s="101" t="n"/>
      <c r="AF20" s="100" t="n"/>
      <c r="AG20" s="100" t="n"/>
      <c r="AH20" s="100" t="n"/>
      <c r="AI20" s="102">
        <f>IF(ISBLANK(B20), "", IF(ISNUMBER(D20), IF(D20&gt;0, (COUNTIF(E20:AH20, "✓") + COUNTIF(E20:AH20, "✔") + COUNTIF(E20:AH20, "v") + COUNTIF(E20:AH20, "V"))/D20, 0), IF(((COUNTIF(E20:AH20, "✓") + COUNTIF(E20:AH20, "✔") + COUNTIF(E20:AH20, "v") + COUNTIF(E20:AH20, "V")) + COUNTIF(E20:AH20, "✗") + COUNTIF(E20:AH20, "x") + COUNTIF(E20:AH20, "X"))&gt;0, (COUNTIF(E20:AH20, "✓") + COUNTIF(E20:AH20, "✔") + COUNTIF(E20:AH20, "v") + COUNTIF(E20:AH20, "V"))/((COUNTIF(E20:AH20, "✓") + COUNTIF(E20:AH20, "✔") + COUNTIF(E20:AH20, "v") + COUNTIF(E20:AH20, "V")) + COUNTIF(E20:AH20, "✗") + COUNTIF(E20:AH20, "x") + COUNTIF(E20:AH20, "X")), "")))</f>
        <v/>
      </c>
      <c r="AJ20" s="103">
        <f>IF(ISBLANK(B20), "", IF(ISNUMBER(D20), IF(D20&gt;0, (COUNTIF(E20:AH20, "✓") + COUNTIF(E20:AH20, "✔") + COUNTIF(E20:AH20, "v") + COUNTIF(E20:AH20, "V")) &amp; "/" &amp; D20, (COUNTIF(E20:AH20, "✓") + COUNTIF(E20:AH20, "✔") + COUNTIF(E20:AH20, "v") + COUNTIF(E20:AH20, "V")) &amp; "/0"), IF(((COUNTIF(E20:AH20, "✓") + COUNTIF(E20:AH20, "✔") + COUNTIF(E20:AH20, "v") + COUNTIF(E20:AH20, "V")) + COUNTIF(E20:AH20, "✗") + COUNTIF(E20:AH20, "x") + COUNTIF(E20:AH20, "X"))&gt;0, (COUNTIF(E20:AH20, "✓") + COUNTIF(E20:AH20, "✔") + COUNTIF(E20:AH20, "v") + COUNTIF(E20:AH20, "V")) &amp; "/" &amp; ((COUNTIF(E20:AH20, "✓") + COUNTIF(E20:AH20, "✔") + COUNTIF(E20:AH20, "v") + COUNTIF(E20:AH20, "V")) + COUNTIF(E20:AH20, "✗") + COUNTIF(E20:AH20, "x") + COUNTIF(E20:AH20, "X")), "")))</f>
        <v/>
      </c>
      <c r="AK20" s="103">
        <f>IF(ISBLANK(B20), "", IF(AI20&gt;=0.85, "🔥 Mastered", IF(AI20&gt;=0.7, "⚡ Consistent", "⚠️ Needs Focus")))</f>
        <v/>
      </c>
      <c r="AL20">
        <f>COUNTIF(E20:AH20, "✓")</f>
        <v/>
      </c>
    </row>
    <row r="21" ht="14.5" customHeight="1">
      <c r="A21" s="97" t="n">
        <v>4</v>
      </c>
      <c r="B21" s="98" t="n"/>
      <c r="C21" s="99" t="n"/>
      <c r="D21" s="99" t="n"/>
      <c r="E21" s="100" t="n"/>
      <c r="F21" s="100" t="n"/>
      <c r="G21" s="100" t="n"/>
      <c r="H21" s="100" t="n"/>
      <c r="I21" s="100" t="n"/>
      <c r="J21" s="101" t="n"/>
      <c r="K21" s="100" t="n"/>
      <c r="L21" s="100" t="n"/>
      <c r="M21" s="100" t="n"/>
      <c r="N21" s="100" t="n"/>
      <c r="O21" s="100" t="n"/>
      <c r="P21" s="100" t="n"/>
      <c r="Q21" s="101" t="n"/>
      <c r="R21" s="100" t="n"/>
      <c r="S21" s="100" t="n"/>
      <c r="T21" s="100" t="n"/>
      <c r="U21" s="100" t="n"/>
      <c r="V21" s="100" t="n"/>
      <c r="W21" s="100" t="n"/>
      <c r="X21" s="101" t="n"/>
      <c r="Y21" s="100" t="n"/>
      <c r="Z21" s="100" t="n"/>
      <c r="AA21" s="100" t="n"/>
      <c r="AB21" s="100" t="n"/>
      <c r="AC21" s="100" t="n"/>
      <c r="AD21" s="100" t="n"/>
      <c r="AE21" s="101" t="n"/>
      <c r="AF21" s="100" t="n"/>
      <c r="AG21" s="100" t="n"/>
      <c r="AH21" s="100" t="n"/>
      <c r="AI21" s="102">
        <f>IF(ISBLANK(B21), "", IF(ISNUMBER(D21), IF(D21&gt;0, (COUNTIF(E21:AH21, "✓") + COUNTIF(E21:AH21, "✔") + COUNTIF(E21:AH21, "v") + COUNTIF(E21:AH21, "V"))/D21, 0), IF(((COUNTIF(E21:AH21, "✓") + COUNTIF(E21:AH21, "✔") + COUNTIF(E21:AH21, "v") + COUNTIF(E21:AH21, "V")) + COUNTIF(E21:AH21, "✗") + COUNTIF(E21:AH21, "x") + COUNTIF(E21:AH21, "X"))&gt;0, (COUNTIF(E21:AH21, "✓") + COUNTIF(E21:AH21, "✔") + COUNTIF(E21:AH21, "v") + COUNTIF(E21:AH21, "V"))/((COUNTIF(E21:AH21, "✓") + COUNTIF(E21:AH21, "✔") + COUNTIF(E21:AH21, "v") + COUNTIF(E21:AH21, "V")) + COUNTIF(E21:AH21, "✗") + COUNTIF(E21:AH21, "x") + COUNTIF(E21:AH21, "X")), "")))</f>
        <v/>
      </c>
      <c r="AJ21" s="103">
        <f>IF(ISBLANK(B21), "", IF(ISNUMBER(D21), IF(D21&gt;0, (COUNTIF(E21:AH21, "✓") + COUNTIF(E21:AH21, "✔") + COUNTIF(E21:AH21, "v") + COUNTIF(E21:AH21, "V")) &amp; "/" &amp; D21, (COUNTIF(E21:AH21, "✓") + COUNTIF(E21:AH21, "✔") + COUNTIF(E21:AH21, "v") + COUNTIF(E21:AH21, "V")) &amp; "/0"), IF(((COUNTIF(E21:AH21, "✓") + COUNTIF(E21:AH21, "✔") + COUNTIF(E21:AH21, "v") + COUNTIF(E21:AH21, "V")) + COUNTIF(E21:AH21, "✗") + COUNTIF(E21:AH21, "x") + COUNTIF(E21:AH21, "X"))&gt;0, (COUNTIF(E21:AH21, "✓") + COUNTIF(E21:AH21, "✔") + COUNTIF(E21:AH21, "v") + COUNTIF(E21:AH21, "V")) &amp; "/" &amp; ((COUNTIF(E21:AH21, "✓") + COUNTIF(E21:AH21, "✔") + COUNTIF(E21:AH21, "v") + COUNTIF(E21:AH21, "V")) + COUNTIF(E21:AH21, "✗") + COUNTIF(E21:AH21, "x") + COUNTIF(E21:AH21, "X")), "")))</f>
        <v/>
      </c>
      <c r="AK21" s="103">
        <f>IF(ISBLANK(B21), "", IF(AI21&gt;=0.85, "🔥 Mastered", IF(AI21&gt;=0.7, "⚡ Consistent", "⚠️ Needs Focus")))</f>
        <v/>
      </c>
      <c r="AL21">
        <f>COUNTIF(E21:AH21, "✓")</f>
        <v/>
      </c>
    </row>
    <row r="22" ht="14.5" customHeight="1">
      <c r="A22" s="104" t="n">
        <v>5</v>
      </c>
      <c r="B22" s="105" t="n"/>
      <c r="C22" s="106" t="n"/>
      <c r="D22" s="106" t="n"/>
      <c r="E22" s="107" t="n"/>
      <c r="F22" s="107" t="n"/>
      <c r="G22" s="107" t="n"/>
      <c r="H22" s="107" t="n"/>
      <c r="I22" s="107" t="n"/>
      <c r="J22" s="108" t="n"/>
      <c r="K22" s="107" t="n"/>
      <c r="L22" s="107" t="n"/>
      <c r="M22" s="107" t="n"/>
      <c r="N22" s="107" t="n"/>
      <c r="O22" s="107" t="n"/>
      <c r="P22" s="107" t="n"/>
      <c r="Q22" s="108" t="n"/>
      <c r="R22" s="107" t="n"/>
      <c r="S22" s="107" t="n"/>
      <c r="T22" s="107" t="n"/>
      <c r="U22" s="107" t="n"/>
      <c r="V22" s="107" t="n"/>
      <c r="W22" s="107" t="n"/>
      <c r="X22" s="108" t="n"/>
      <c r="Y22" s="107" t="n"/>
      <c r="Z22" s="107" t="n"/>
      <c r="AA22" s="107" t="n"/>
      <c r="AB22" s="107" t="n"/>
      <c r="AC22" s="107" t="n"/>
      <c r="AD22" s="107" t="n"/>
      <c r="AE22" s="108" t="n"/>
      <c r="AF22" s="107" t="n"/>
      <c r="AG22" s="107" t="n"/>
      <c r="AH22" s="107" t="n"/>
      <c r="AI22" s="109">
        <f>IF(ISBLANK(B22), "", IF(ISNUMBER(D22), IF(D22&gt;0, (COUNTIF(E22:AH22, "✓") + COUNTIF(E22:AH22, "✔") + COUNTIF(E22:AH22, "v") + COUNTIF(E22:AH22, "V"))/D22, 0), IF(((COUNTIF(E22:AH22, "✓") + COUNTIF(E22:AH22, "✔") + COUNTIF(E22:AH22, "v") + COUNTIF(E22:AH22, "V")) + COUNTIF(E22:AH22, "✗") + COUNTIF(E22:AH22, "x") + COUNTIF(E22:AH22, "X"))&gt;0, (COUNTIF(E22:AH22, "✓") + COUNTIF(E22:AH22, "✔") + COUNTIF(E22:AH22, "v") + COUNTIF(E22:AH22, "V"))/((COUNTIF(E22:AH22, "✓") + COUNTIF(E22:AH22, "✔") + COUNTIF(E22:AH22, "v") + COUNTIF(E22:AH22, "V")) + COUNTIF(E22:AH22, "✗") + COUNTIF(E22:AH22, "x") + COUNTIF(E22:AH22, "X")), "")))</f>
        <v/>
      </c>
      <c r="AJ22" s="110">
        <f>IF(ISBLANK(B22), "", IF(ISNUMBER(D22), IF(D22&gt;0, (COUNTIF(E22:AH22, "✓") + COUNTIF(E22:AH22, "✔") + COUNTIF(E22:AH22, "v") + COUNTIF(E22:AH22, "V")) &amp; "/" &amp; D22, (COUNTIF(E22:AH22, "✓") + COUNTIF(E22:AH22, "✔") + COUNTIF(E22:AH22, "v") + COUNTIF(E22:AH22, "V")) &amp; "/0"), IF(((COUNTIF(E22:AH22, "✓") + COUNTIF(E22:AH22, "✔") + COUNTIF(E22:AH22, "v") + COUNTIF(E22:AH22, "V")) + COUNTIF(E22:AH22, "✗") + COUNTIF(E22:AH22, "x") + COUNTIF(E22:AH22, "X"))&gt;0, (COUNTIF(E22:AH22, "✓") + COUNTIF(E22:AH22, "✔") + COUNTIF(E22:AH22, "v") + COUNTIF(E22:AH22, "V")) &amp; "/" &amp; ((COUNTIF(E22:AH22, "✓") + COUNTIF(E22:AH22, "✔") + COUNTIF(E22:AH22, "v") + COUNTIF(E22:AH22, "V")) + COUNTIF(E22:AH22, "✗") + COUNTIF(E22:AH22, "x") + COUNTIF(E22:AH22, "X")), "")))</f>
        <v/>
      </c>
      <c r="AK22" s="110">
        <f>IF(ISBLANK(B22), "", IF(AI22&gt;=0.85, "🔥 Mastered", IF(AI22&gt;=0.7, "⚡ Consistent", "⚠️ Needs Focus")))</f>
        <v/>
      </c>
      <c r="AL22">
        <f>COUNTIF(E22:AH22, "✓")</f>
        <v/>
      </c>
    </row>
    <row r="23" ht="14.5" customHeight="1">
      <c r="A23" s="104" t="n">
        <v>6</v>
      </c>
      <c r="B23" s="105" t="n"/>
      <c r="C23" s="106" t="n"/>
      <c r="D23" s="106" t="n"/>
      <c r="E23" s="107" t="n"/>
      <c r="F23" s="107" t="n"/>
      <c r="G23" s="107" t="n"/>
      <c r="H23" s="107" t="n"/>
      <c r="I23" s="107" t="n"/>
      <c r="J23" s="108" t="n"/>
      <c r="K23" s="107" t="n"/>
      <c r="L23" s="107" t="n"/>
      <c r="M23" s="107" t="n"/>
      <c r="N23" s="107" t="n"/>
      <c r="O23" s="107" t="n"/>
      <c r="P23" s="107" t="n"/>
      <c r="Q23" s="108" t="n"/>
      <c r="R23" s="107" t="n"/>
      <c r="S23" s="107" t="n"/>
      <c r="T23" s="107" t="n"/>
      <c r="U23" s="107" t="n"/>
      <c r="V23" s="107" t="n"/>
      <c r="W23" s="107" t="n"/>
      <c r="X23" s="108" t="n"/>
      <c r="Y23" s="107" t="n"/>
      <c r="Z23" s="107" t="n"/>
      <c r="AA23" s="107" t="n"/>
      <c r="AB23" s="107" t="n"/>
      <c r="AC23" s="107" t="n"/>
      <c r="AD23" s="107" t="n"/>
      <c r="AE23" s="108" t="n"/>
      <c r="AF23" s="107" t="n"/>
      <c r="AG23" s="107" t="n"/>
      <c r="AH23" s="107" t="n"/>
      <c r="AI23" s="109">
        <f>IF(ISBLANK(B23), "", IF(ISNUMBER(D23), IF(D23&gt;0, (COUNTIF(E23:AH23, "✓") + COUNTIF(E23:AH23, "✔") + COUNTIF(E23:AH23, "v") + COUNTIF(E23:AH23, "V"))/D23, 0), IF(((COUNTIF(E23:AH23, "✓") + COUNTIF(E23:AH23, "✔") + COUNTIF(E23:AH23, "v") + COUNTIF(E23:AH23, "V")) + COUNTIF(E23:AH23, "✗") + COUNTIF(E23:AH23, "x") + COUNTIF(E23:AH23, "X"))&gt;0, (COUNTIF(E23:AH23, "✓") + COUNTIF(E23:AH23, "✔") + COUNTIF(E23:AH23, "v") + COUNTIF(E23:AH23, "V"))/((COUNTIF(E23:AH23, "✓") + COUNTIF(E23:AH23, "✔") + COUNTIF(E23:AH23, "v") + COUNTIF(E23:AH23, "V")) + COUNTIF(E23:AH23, "✗") + COUNTIF(E23:AH23, "x") + COUNTIF(E23:AH23, "X")), "")))</f>
        <v/>
      </c>
      <c r="AJ23" s="110">
        <f>IF(ISBLANK(B23), "", IF(ISNUMBER(D23), IF(D23&gt;0, (COUNTIF(E23:AH23, "✓") + COUNTIF(E23:AH23, "✔") + COUNTIF(E23:AH23, "v") + COUNTIF(E23:AH23, "V")) &amp; "/" &amp; D23, (COUNTIF(E23:AH23, "✓") + COUNTIF(E23:AH23, "✔") + COUNTIF(E23:AH23, "v") + COUNTIF(E23:AH23, "V")) &amp; "/0"), IF(((COUNTIF(E23:AH23, "✓") + COUNTIF(E23:AH23, "✔") + COUNTIF(E23:AH23, "v") + COUNTIF(E23:AH23, "V")) + COUNTIF(E23:AH23, "✗") + COUNTIF(E23:AH23, "x") + COUNTIF(E23:AH23, "X"))&gt;0, (COUNTIF(E23:AH23, "✓") + COUNTIF(E23:AH23, "✔") + COUNTIF(E23:AH23, "v") + COUNTIF(E23:AH23, "V")) &amp; "/" &amp; ((COUNTIF(E23:AH23, "✓") + COUNTIF(E23:AH23, "✔") + COUNTIF(E23:AH23, "v") + COUNTIF(E23:AH23, "V")) + COUNTIF(E23:AH23, "✗") + COUNTIF(E23:AH23, "x") + COUNTIF(E23:AH23, "X")), "")))</f>
        <v/>
      </c>
      <c r="AK23" s="110">
        <f>IF(ISBLANK(B23), "", IF(AI23&gt;=0.85, "🔥 Mastered", IF(AI23&gt;=0.7, "⚡ Consistent", "⚠️ Needs Focus")))</f>
        <v/>
      </c>
      <c r="AL23">
        <f>COUNTIF(E23:AH23, "✓")</f>
        <v/>
      </c>
    </row>
    <row r="24" ht="14.5" customHeight="1">
      <c r="A24" s="104" t="n">
        <v>7</v>
      </c>
      <c r="B24" s="105" t="n"/>
      <c r="C24" s="106" t="n"/>
      <c r="D24" s="106" t="n"/>
      <c r="E24" s="107" t="n"/>
      <c r="F24" s="107" t="n"/>
      <c r="G24" s="107" t="n"/>
      <c r="H24" s="107" t="n"/>
      <c r="I24" s="107" t="n"/>
      <c r="J24" s="108" t="n"/>
      <c r="K24" s="107" t="n"/>
      <c r="L24" s="107" t="n"/>
      <c r="M24" s="107" t="n"/>
      <c r="N24" s="107" t="n"/>
      <c r="O24" s="107" t="n"/>
      <c r="P24" s="107" t="n"/>
      <c r="Q24" s="108" t="n"/>
      <c r="R24" s="107" t="n"/>
      <c r="S24" s="107" t="n"/>
      <c r="T24" s="107" t="n"/>
      <c r="U24" s="107" t="n"/>
      <c r="V24" s="107" t="n"/>
      <c r="W24" s="107" t="n"/>
      <c r="X24" s="108" t="n"/>
      <c r="Y24" s="107" t="n"/>
      <c r="Z24" s="107" t="n"/>
      <c r="AA24" s="107" t="n"/>
      <c r="AB24" s="107" t="n"/>
      <c r="AC24" s="107" t="n"/>
      <c r="AD24" s="107" t="n"/>
      <c r="AE24" s="108" t="n"/>
      <c r="AF24" s="107" t="n"/>
      <c r="AG24" s="107" t="n"/>
      <c r="AH24" s="107" t="n"/>
      <c r="AI24" s="109">
        <f>IF(ISBLANK(B24), "", IF(ISNUMBER(D24), IF(D24&gt;0, (COUNTIF(E24:AH24, "✓") + COUNTIF(E24:AH24, "✔") + COUNTIF(E24:AH24, "v") + COUNTIF(E24:AH24, "V"))/D24, 0), IF(((COUNTIF(E24:AH24, "✓") + COUNTIF(E24:AH24, "✔") + COUNTIF(E24:AH24, "v") + COUNTIF(E24:AH24, "V")) + COUNTIF(E24:AH24, "✗") + COUNTIF(E24:AH24, "x") + COUNTIF(E24:AH24, "X"))&gt;0, (COUNTIF(E24:AH24, "✓") + COUNTIF(E24:AH24, "✔") + COUNTIF(E24:AH24, "v") + COUNTIF(E24:AH24, "V"))/((COUNTIF(E24:AH24, "✓") + COUNTIF(E24:AH24, "✔") + COUNTIF(E24:AH24, "v") + COUNTIF(E24:AH24, "V")) + COUNTIF(E24:AH24, "✗") + COUNTIF(E24:AH24, "x") + COUNTIF(E24:AH24, "X")), "")))</f>
        <v/>
      </c>
      <c r="AJ24" s="110">
        <f>IF(ISBLANK(B24), "", IF(ISNUMBER(D24), IF(D24&gt;0, (COUNTIF(E24:AH24, "✓") + COUNTIF(E24:AH24, "✔") + COUNTIF(E24:AH24, "v") + COUNTIF(E24:AH24, "V")) &amp; "/" &amp; D24, (COUNTIF(E24:AH24, "✓") + COUNTIF(E24:AH24, "✔") + COUNTIF(E24:AH24, "v") + COUNTIF(E24:AH24, "V")) &amp; "/0"), IF(((COUNTIF(E24:AH24, "✓") + COUNTIF(E24:AH24, "✔") + COUNTIF(E24:AH24, "v") + COUNTIF(E24:AH24, "V")) + COUNTIF(E24:AH24, "✗") + COUNTIF(E24:AH24, "x") + COUNTIF(E24:AH24, "X"))&gt;0, (COUNTIF(E24:AH24, "✓") + COUNTIF(E24:AH24, "✔") + COUNTIF(E24:AH24, "v") + COUNTIF(E24:AH24, "V")) &amp; "/" &amp; ((COUNTIF(E24:AH24, "✓") + COUNTIF(E24:AH24, "✔") + COUNTIF(E24:AH24, "v") + COUNTIF(E24:AH24, "V")) + COUNTIF(E24:AH24, "✗") + COUNTIF(E24:AH24, "x") + COUNTIF(E24:AH24, "X")), "")))</f>
        <v/>
      </c>
      <c r="AK24" s="110">
        <f>IF(ISBLANK(B24), "", IF(AI24&gt;=0.85, "🔥 Mastered", IF(AI24&gt;=0.7, "⚡ Consistent", "⚠️ Needs Focus")))</f>
        <v/>
      </c>
      <c r="AL24">
        <f>COUNTIF(E24:AH24, "✓")</f>
        <v/>
      </c>
    </row>
    <row r="25" ht="14.5" customHeight="1">
      <c r="A25" s="104" t="n">
        <v>8</v>
      </c>
      <c r="B25" s="105" t="n"/>
      <c r="C25" s="106" t="n"/>
      <c r="D25" s="106" t="n"/>
      <c r="E25" s="107" t="n"/>
      <c r="F25" s="107" t="n"/>
      <c r="G25" s="107" t="n"/>
      <c r="H25" s="107" t="n"/>
      <c r="I25" s="107" t="n"/>
      <c r="J25" s="108" t="n"/>
      <c r="K25" s="107" t="n"/>
      <c r="L25" s="107" t="n"/>
      <c r="M25" s="107" t="n"/>
      <c r="N25" s="107" t="n"/>
      <c r="O25" s="107" t="n"/>
      <c r="P25" s="107" t="n"/>
      <c r="Q25" s="108" t="n"/>
      <c r="R25" s="107" t="n"/>
      <c r="S25" s="107" t="n"/>
      <c r="T25" s="107" t="n"/>
      <c r="U25" s="107" t="n"/>
      <c r="V25" s="107" t="n"/>
      <c r="W25" s="107" t="n"/>
      <c r="X25" s="108" t="n"/>
      <c r="Y25" s="107" t="n"/>
      <c r="Z25" s="107" t="n"/>
      <c r="AA25" s="107" t="n"/>
      <c r="AB25" s="107" t="n"/>
      <c r="AC25" s="107" t="n"/>
      <c r="AD25" s="107" t="n"/>
      <c r="AE25" s="108" t="n"/>
      <c r="AF25" s="107" t="n"/>
      <c r="AG25" s="107" t="n"/>
      <c r="AH25" s="107" t="n"/>
      <c r="AI25" s="109">
        <f>IF(ISBLANK(B25), "", IF(ISNUMBER(D25), IF(D25&gt;0, (COUNTIF(E25:AH25, "✓") + COUNTIF(E25:AH25, "✔") + COUNTIF(E25:AH25, "v") + COUNTIF(E25:AH25, "V"))/D25, 0), IF(((COUNTIF(E25:AH25, "✓") + COUNTIF(E25:AH25, "✔") + COUNTIF(E25:AH25, "v") + COUNTIF(E25:AH25, "V")) + COUNTIF(E25:AH25, "✗") + COUNTIF(E25:AH25, "x") + COUNTIF(E25:AH25, "X"))&gt;0, (COUNTIF(E25:AH25, "✓") + COUNTIF(E25:AH25, "✔") + COUNTIF(E25:AH25, "v") + COUNTIF(E25:AH25, "V"))/((COUNTIF(E25:AH25, "✓") + COUNTIF(E25:AH25, "✔") + COUNTIF(E25:AH25, "v") + COUNTIF(E25:AH25, "V")) + COUNTIF(E25:AH25, "✗") + COUNTIF(E25:AH25, "x") + COUNTIF(E25:AH25, "X")), "")))</f>
        <v/>
      </c>
      <c r="AJ25" s="110">
        <f>IF(ISBLANK(B25), "", IF(ISNUMBER(D25), IF(D25&gt;0, (COUNTIF(E25:AH25, "✓") + COUNTIF(E25:AH25, "✔") + COUNTIF(E25:AH25, "v") + COUNTIF(E25:AH25, "V")) &amp; "/" &amp; D25, (COUNTIF(E25:AH25, "✓") + COUNTIF(E25:AH25, "✔") + COUNTIF(E25:AH25, "v") + COUNTIF(E25:AH25, "V")) &amp; "/0"), IF(((COUNTIF(E25:AH25, "✓") + COUNTIF(E25:AH25, "✔") + COUNTIF(E25:AH25, "v") + COUNTIF(E25:AH25, "V")) + COUNTIF(E25:AH25, "✗") + COUNTIF(E25:AH25, "x") + COUNTIF(E25:AH25, "X"))&gt;0, (COUNTIF(E25:AH25, "✓") + COUNTIF(E25:AH25, "✔") + COUNTIF(E25:AH25, "v") + COUNTIF(E25:AH25, "V")) &amp; "/" &amp; ((COUNTIF(E25:AH25, "✓") + COUNTIF(E25:AH25, "✔") + COUNTIF(E25:AH25, "v") + COUNTIF(E25:AH25, "V")) + COUNTIF(E25:AH25, "✗") + COUNTIF(E25:AH25, "x") + COUNTIF(E25:AH25, "X")), "")))</f>
        <v/>
      </c>
      <c r="AK25" s="110">
        <f>IF(ISBLANK(B25), "", IF(AI25&gt;=0.85, "🔥 Mastered", IF(AI25&gt;=0.7, "⚡ Consistent", "⚠️ Needs Focus")))</f>
        <v/>
      </c>
      <c r="AL25">
        <f>COUNTIF(E25:AH25, "✓")</f>
        <v/>
      </c>
    </row>
    <row r="26" ht="14.5" customHeight="1">
      <c r="A26" s="111" t="n">
        <v>9</v>
      </c>
      <c r="B26" s="112" t="n"/>
      <c r="C26" s="113" t="n"/>
      <c r="D26" s="113" t="n"/>
      <c r="E26" s="114" t="n"/>
      <c r="F26" s="114" t="n"/>
      <c r="G26" s="114" t="n"/>
      <c r="H26" s="114" t="n"/>
      <c r="I26" s="114" t="n"/>
      <c r="J26" s="115" t="n"/>
      <c r="K26" s="114" t="n"/>
      <c r="L26" s="114" t="n"/>
      <c r="M26" s="114" t="n"/>
      <c r="N26" s="114" t="n"/>
      <c r="O26" s="114" t="n"/>
      <c r="P26" s="114" t="n"/>
      <c r="Q26" s="115" t="n"/>
      <c r="R26" s="114" t="n"/>
      <c r="S26" s="114" t="n"/>
      <c r="T26" s="114" t="n"/>
      <c r="U26" s="114" t="n"/>
      <c r="V26" s="114" t="n"/>
      <c r="W26" s="114" t="n"/>
      <c r="X26" s="115" t="n"/>
      <c r="Y26" s="114" t="n"/>
      <c r="Z26" s="114" t="n"/>
      <c r="AA26" s="114" t="n"/>
      <c r="AB26" s="114" t="n"/>
      <c r="AC26" s="114" t="n"/>
      <c r="AD26" s="114" t="n"/>
      <c r="AE26" s="115" t="n"/>
      <c r="AF26" s="114" t="n"/>
      <c r="AG26" s="114" t="n"/>
      <c r="AH26" s="114" t="n"/>
      <c r="AI26" s="116">
        <f>IF(ISBLANK(B26), "", IF(ISNUMBER(D26), IF(D26&gt;0, (COUNTIF(E26:AH26, "✓") + COUNTIF(E26:AH26, "✔") + COUNTIF(E26:AH26, "v") + COUNTIF(E26:AH26, "V"))/D26, 0), IF(((COUNTIF(E26:AH26, "✓") + COUNTIF(E26:AH26, "✔") + COUNTIF(E26:AH26, "v") + COUNTIF(E26:AH26, "V")) + COUNTIF(E26:AH26, "✗") + COUNTIF(E26:AH26, "x") + COUNTIF(E26:AH26, "X"))&gt;0, (COUNTIF(E26:AH26, "✓") + COUNTIF(E26:AH26, "✔") + COUNTIF(E26:AH26, "v") + COUNTIF(E26:AH26, "V"))/((COUNTIF(E26:AH26, "✓") + COUNTIF(E26:AH26, "✔") + COUNTIF(E26:AH26, "v") + COUNTIF(E26:AH26, "V")) + COUNTIF(E26:AH26, "✗") + COUNTIF(E26:AH26, "x") + COUNTIF(E26:AH26, "X")), "")))</f>
        <v/>
      </c>
      <c r="AJ26" s="117">
        <f>IF(ISBLANK(B26), "", IF(ISNUMBER(D26), IF(D26&gt;0, (COUNTIF(E26:AH26, "✓") + COUNTIF(E26:AH26, "✔") + COUNTIF(E26:AH26, "v") + COUNTIF(E26:AH26, "V")) &amp; "/" &amp; D26, (COUNTIF(E26:AH26, "✓") + COUNTIF(E26:AH26, "✔") + COUNTIF(E26:AH26, "v") + COUNTIF(E26:AH26, "V")) &amp; "/0"), IF(((COUNTIF(E26:AH26, "✓") + COUNTIF(E26:AH26, "✔") + COUNTIF(E26:AH26, "v") + COUNTIF(E26:AH26, "V")) + COUNTIF(E26:AH26, "✗") + COUNTIF(E26:AH26, "x") + COUNTIF(E26:AH26, "X"))&gt;0, (COUNTIF(E26:AH26, "✓") + COUNTIF(E26:AH26, "✔") + COUNTIF(E26:AH26, "v") + COUNTIF(E26:AH26, "V")) &amp; "/" &amp; ((COUNTIF(E26:AH26, "✓") + COUNTIF(E26:AH26, "✔") + COUNTIF(E26:AH26, "v") + COUNTIF(E26:AH26, "V")) + COUNTIF(E26:AH26, "✗") + COUNTIF(E26:AH26, "x") + COUNTIF(E26:AH26, "X")), "")))</f>
        <v/>
      </c>
      <c r="AK26" s="117">
        <f>IF(ISBLANK(B26), "", IF(AI26&gt;=0.85, "🔥 Mastered", IF(AI26&gt;=0.7, "⚡ Consistent", "⚠️ Needs Focus")))</f>
        <v/>
      </c>
      <c r="AL26">
        <f>COUNTIF(E26:AH26, "✓")</f>
        <v/>
      </c>
    </row>
    <row r="27" ht="14.5" customHeight="1">
      <c r="A27" s="111" t="n">
        <v>10</v>
      </c>
      <c r="B27" s="112" t="n"/>
      <c r="C27" s="113" t="n"/>
      <c r="D27" s="113" t="n"/>
      <c r="E27" s="114" t="n"/>
      <c r="F27" s="114" t="n"/>
      <c r="G27" s="114" t="n"/>
      <c r="H27" s="114" t="n"/>
      <c r="I27" s="114" t="n"/>
      <c r="J27" s="115" t="n"/>
      <c r="K27" s="114" t="n"/>
      <c r="L27" s="114" t="n"/>
      <c r="M27" s="114" t="n"/>
      <c r="N27" s="114" t="n"/>
      <c r="O27" s="114" t="n"/>
      <c r="P27" s="114" t="n"/>
      <c r="Q27" s="115" t="n"/>
      <c r="R27" s="114" t="n"/>
      <c r="S27" s="114" t="n"/>
      <c r="T27" s="114" t="n"/>
      <c r="U27" s="114" t="n"/>
      <c r="V27" s="114" t="n"/>
      <c r="W27" s="114" t="n"/>
      <c r="X27" s="115" t="n"/>
      <c r="Y27" s="114" t="n"/>
      <c r="Z27" s="114" t="n"/>
      <c r="AA27" s="114" t="n"/>
      <c r="AB27" s="114" t="n"/>
      <c r="AC27" s="114" t="n"/>
      <c r="AD27" s="114" t="n"/>
      <c r="AE27" s="115" t="n"/>
      <c r="AF27" s="114" t="n"/>
      <c r="AG27" s="114" t="n"/>
      <c r="AH27" s="114" t="n"/>
      <c r="AI27" s="116">
        <f>IF(ISBLANK(B27), "", IF(ISNUMBER(D27), IF(D27&gt;0, (COUNTIF(E27:AH27, "✓") + COUNTIF(E27:AH27, "✔") + COUNTIF(E27:AH27, "v") + COUNTIF(E27:AH27, "V"))/D27, 0), IF(((COUNTIF(E27:AH27, "✓") + COUNTIF(E27:AH27, "✔") + COUNTIF(E27:AH27, "v") + COUNTIF(E27:AH27, "V")) + COUNTIF(E27:AH27, "✗") + COUNTIF(E27:AH27, "x") + COUNTIF(E27:AH27, "X"))&gt;0, (COUNTIF(E27:AH27, "✓") + COUNTIF(E27:AH27, "✔") + COUNTIF(E27:AH27, "v") + COUNTIF(E27:AH27, "V"))/((COUNTIF(E27:AH27, "✓") + COUNTIF(E27:AH27, "✔") + COUNTIF(E27:AH27, "v") + COUNTIF(E27:AH27, "V")) + COUNTIF(E27:AH27, "✗") + COUNTIF(E27:AH27, "x") + COUNTIF(E27:AH27, "X")), "")))</f>
        <v/>
      </c>
      <c r="AJ27" s="117">
        <f>IF(ISBLANK(B27), "", IF(ISNUMBER(D27), IF(D27&gt;0, (COUNTIF(E27:AH27, "✓") + COUNTIF(E27:AH27, "✔") + COUNTIF(E27:AH27, "v") + COUNTIF(E27:AH27, "V")) &amp; "/" &amp; D27, (COUNTIF(E27:AH27, "✓") + COUNTIF(E27:AH27, "✔") + COUNTIF(E27:AH27, "v") + COUNTIF(E27:AH27, "V")) &amp; "/0"), IF(((COUNTIF(E27:AH27, "✓") + COUNTIF(E27:AH27, "✔") + COUNTIF(E27:AH27, "v") + COUNTIF(E27:AH27, "V")) + COUNTIF(E27:AH27, "✗") + COUNTIF(E27:AH27, "x") + COUNTIF(E27:AH27, "X"))&gt;0, (COUNTIF(E27:AH27, "✓") + COUNTIF(E27:AH27, "✔") + COUNTIF(E27:AH27, "v") + COUNTIF(E27:AH27, "V")) &amp; "/" &amp; ((COUNTIF(E27:AH27, "✓") + COUNTIF(E27:AH27, "✔") + COUNTIF(E27:AH27, "v") + COUNTIF(E27:AH27, "V")) + COUNTIF(E27:AH27, "✗") + COUNTIF(E27:AH27, "x") + COUNTIF(E27:AH27, "X")), "")))</f>
        <v/>
      </c>
      <c r="AK27" s="117">
        <f>IF(ISBLANK(B27), "", IF(AI27&gt;=0.85, "🔥 Mastered", IF(AI27&gt;=0.7, "⚡ Consistent", "⚠️ Needs Focus")))</f>
        <v/>
      </c>
      <c r="AL27">
        <f>COUNTIF(E27:AH27, "✓")</f>
        <v/>
      </c>
    </row>
    <row r="28" ht="14.5" customHeight="1">
      <c r="A28" s="111" t="n">
        <v>11</v>
      </c>
      <c r="B28" s="112" t="n"/>
      <c r="C28" s="113" t="n"/>
      <c r="D28" s="113" t="n"/>
      <c r="E28" s="114" t="n"/>
      <c r="F28" s="114" t="n"/>
      <c r="G28" s="114" t="n"/>
      <c r="H28" s="114" t="n"/>
      <c r="I28" s="114" t="n"/>
      <c r="J28" s="115" t="n"/>
      <c r="K28" s="114" t="n"/>
      <c r="L28" s="114" t="n"/>
      <c r="M28" s="114" t="n"/>
      <c r="N28" s="114" t="n"/>
      <c r="O28" s="114" t="n"/>
      <c r="P28" s="114" t="n"/>
      <c r="Q28" s="115" t="n"/>
      <c r="R28" s="114" t="n"/>
      <c r="S28" s="114" t="n"/>
      <c r="T28" s="114" t="n"/>
      <c r="U28" s="114" t="n"/>
      <c r="V28" s="114" t="n"/>
      <c r="W28" s="114" t="n"/>
      <c r="X28" s="115" t="n"/>
      <c r="Y28" s="114" t="n"/>
      <c r="Z28" s="114" t="n"/>
      <c r="AA28" s="114" t="n"/>
      <c r="AB28" s="114" t="n"/>
      <c r="AC28" s="114" t="n"/>
      <c r="AD28" s="114" t="n"/>
      <c r="AE28" s="115" t="n"/>
      <c r="AF28" s="114" t="n"/>
      <c r="AG28" s="114" t="n"/>
      <c r="AH28" s="114" t="n"/>
      <c r="AI28" s="116">
        <f>IF(ISBLANK(B28), "", IF(ISNUMBER(D28), IF(D28&gt;0, (COUNTIF(E28:AH28, "✓") + COUNTIF(E28:AH28, "✔") + COUNTIF(E28:AH28, "v") + COUNTIF(E28:AH28, "V"))/D28, 0), IF(((COUNTIF(E28:AH28, "✓") + COUNTIF(E28:AH28, "✔") + COUNTIF(E28:AH28, "v") + COUNTIF(E28:AH28, "V")) + COUNTIF(E28:AH28, "✗") + COUNTIF(E28:AH28, "x") + COUNTIF(E28:AH28, "X"))&gt;0, (COUNTIF(E28:AH28, "✓") + COUNTIF(E28:AH28, "✔") + COUNTIF(E28:AH28, "v") + COUNTIF(E28:AH28, "V"))/((COUNTIF(E28:AH28, "✓") + COUNTIF(E28:AH28, "✔") + COUNTIF(E28:AH28, "v") + COUNTIF(E28:AH28, "V")) + COUNTIF(E28:AH28, "✗") + COUNTIF(E28:AH28, "x") + COUNTIF(E28:AH28, "X")), "")))</f>
        <v/>
      </c>
      <c r="AJ28" s="117">
        <f>IF(ISBLANK(B28), "", IF(ISNUMBER(D28), IF(D28&gt;0, (COUNTIF(E28:AH28, "✓") + COUNTIF(E28:AH28, "✔") + COUNTIF(E28:AH28, "v") + COUNTIF(E28:AH28, "V")) &amp; "/" &amp; D28, (COUNTIF(E28:AH28, "✓") + COUNTIF(E28:AH28, "✔") + COUNTIF(E28:AH28, "v") + COUNTIF(E28:AH28, "V")) &amp; "/0"), IF(((COUNTIF(E28:AH28, "✓") + COUNTIF(E28:AH28, "✔") + COUNTIF(E28:AH28, "v") + COUNTIF(E28:AH28, "V")) + COUNTIF(E28:AH28, "✗") + COUNTIF(E28:AH28, "x") + COUNTIF(E28:AH28, "X"))&gt;0, (COUNTIF(E28:AH28, "✓") + COUNTIF(E28:AH28, "✔") + COUNTIF(E28:AH28, "v") + COUNTIF(E28:AH28, "V")) &amp; "/" &amp; ((COUNTIF(E28:AH28, "✓") + COUNTIF(E28:AH28, "✔") + COUNTIF(E28:AH28, "v") + COUNTIF(E28:AH28, "V")) + COUNTIF(E28:AH28, "✗") + COUNTIF(E28:AH28, "x") + COUNTIF(E28:AH28, "X")), "")))</f>
        <v/>
      </c>
      <c r="AK28" s="117">
        <f>IF(ISBLANK(B28), "", IF(AI28&gt;=0.85, "🔥 Mastered", IF(AI28&gt;=0.7, "⚡ Consistent", "⚠️ Needs Focus")))</f>
        <v/>
      </c>
      <c r="AL28">
        <f>COUNTIF(E28:AH28, "✓")</f>
        <v/>
      </c>
    </row>
    <row r="29" ht="14.5" customHeight="1">
      <c r="A29" s="111" t="n">
        <v>12</v>
      </c>
      <c r="B29" s="112" t="n"/>
      <c r="C29" s="113" t="n"/>
      <c r="D29" s="113" t="n"/>
      <c r="E29" s="114" t="n"/>
      <c r="F29" s="114" t="n"/>
      <c r="G29" s="114" t="n"/>
      <c r="H29" s="114" t="n"/>
      <c r="I29" s="114" t="n"/>
      <c r="J29" s="115" t="n"/>
      <c r="K29" s="114" t="n"/>
      <c r="L29" s="114" t="n"/>
      <c r="M29" s="114" t="n"/>
      <c r="N29" s="114" t="n"/>
      <c r="O29" s="114" t="n"/>
      <c r="P29" s="114" t="n"/>
      <c r="Q29" s="115" t="n"/>
      <c r="R29" s="114" t="n"/>
      <c r="S29" s="114" t="n"/>
      <c r="T29" s="114" t="n"/>
      <c r="U29" s="114" t="n"/>
      <c r="V29" s="114" t="n"/>
      <c r="W29" s="114" t="n"/>
      <c r="X29" s="115" t="n"/>
      <c r="Y29" s="114" t="n"/>
      <c r="Z29" s="114" t="n"/>
      <c r="AA29" s="114" t="n"/>
      <c r="AB29" s="114" t="n"/>
      <c r="AC29" s="114" t="n"/>
      <c r="AD29" s="114" t="n"/>
      <c r="AE29" s="115" t="n"/>
      <c r="AF29" s="114" t="n"/>
      <c r="AG29" s="114" t="n"/>
      <c r="AH29" s="114" t="n"/>
      <c r="AI29" s="116">
        <f>IF(ISBLANK(B29), "", IF(ISNUMBER(D29), IF(D29&gt;0, (COUNTIF(E29:AH29, "✓") + COUNTIF(E29:AH29, "✔") + COUNTIF(E29:AH29, "v") + COUNTIF(E29:AH29, "V"))/D29, 0), IF(((COUNTIF(E29:AH29, "✓") + COUNTIF(E29:AH29, "✔") + COUNTIF(E29:AH29, "v") + COUNTIF(E29:AH29, "V")) + COUNTIF(E29:AH29, "✗") + COUNTIF(E29:AH29, "x") + COUNTIF(E29:AH29, "X"))&gt;0, (COUNTIF(E29:AH29, "✓") + COUNTIF(E29:AH29, "✔") + COUNTIF(E29:AH29, "v") + COUNTIF(E29:AH29, "V"))/((COUNTIF(E29:AH29, "✓") + COUNTIF(E29:AH29, "✔") + COUNTIF(E29:AH29, "v") + COUNTIF(E29:AH29, "V")) + COUNTIF(E29:AH29, "✗") + COUNTIF(E29:AH29, "x") + COUNTIF(E29:AH29, "X")), "")))</f>
        <v/>
      </c>
      <c r="AJ29" s="117">
        <f>IF(ISBLANK(B29), "", IF(ISNUMBER(D29), IF(D29&gt;0, (COUNTIF(E29:AH29, "✓") + COUNTIF(E29:AH29, "✔") + COUNTIF(E29:AH29, "v") + COUNTIF(E29:AH29, "V")) &amp; "/" &amp; D29, (COUNTIF(E29:AH29, "✓") + COUNTIF(E29:AH29, "✔") + COUNTIF(E29:AH29, "v") + COUNTIF(E29:AH29, "V")) &amp; "/0"), IF(((COUNTIF(E29:AH29, "✓") + COUNTIF(E29:AH29, "✔") + COUNTIF(E29:AH29, "v") + COUNTIF(E29:AH29, "V")) + COUNTIF(E29:AH29, "✗") + COUNTIF(E29:AH29, "x") + COUNTIF(E29:AH29, "X"))&gt;0, (COUNTIF(E29:AH29, "✓") + COUNTIF(E29:AH29, "✔") + COUNTIF(E29:AH29, "v") + COUNTIF(E29:AH29, "V")) &amp; "/" &amp; ((COUNTIF(E29:AH29, "✓") + COUNTIF(E29:AH29, "✔") + COUNTIF(E29:AH29, "v") + COUNTIF(E29:AH29, "V")) + COUNTIF(E29:AH29, "✗") + COUNTIF(E29:AH29, "x") + COUNTIF(E29:AH29, "X")), "")))</f>
        <v/>
      </c>
      <c r="AK29" s="117">
        <f>IF(ISBLANK(B29), "", IF(AI29&gt;=0.85, "🔥 Mastered", IF(AI29&gt;=0.7, "⚡ Consistent", "⚠️ Needs Focus")))</f>
        <v/>
      </c>
      <c r="AL29">
        <f>COUNTIF(E29:AH29, "✓")</f>
        <v/>
      </c>
    </row>
    <row r="30" ht="14.5" customHeight="1">
      <c r="A30" s="118" t="n">
        <v>13</v>
      </c>
      <c r="B30" s="119" t="n"/>
      <c r="C30" s="120" t="n"/>
      <c r="D30" s="120" t="n"/>
      <c r="E30" s="121" t="n"/>
      <c r="F30" s="121" t="n"/>
      <c r="G30" s="121" t="n"/>
      <c r="H30" s="121" t="n"/>
      <c r="I30" s="121" t="n"/>
      <c r="J30" s="122" t="n"/>
      <c r="K30" s="121" t="n"/>
      <c r="L30" s="121" t="n"/>
      <c r="M30" s="121" t="n"/>
      <c r="N30" s="121" t="n"/>
      <c r="O30" s="121" t="n"/>
      <c r="P30" s="121" t="n"/>
      <c r="Q30" s="122" t="n"/>
      <c r="R30" s="121" t="n"/>
      <c r="S30" s="121" t="n"/>
      <c r="T30" s="121" t="n"/>
      <c r="U30" s="121" t="n"/>
      <c r="V30" s="121" t="n"/>
      <c r="W30" s="121" t="n"/>
      <c r="X30" s="122" t="n"/>
      <c r="Y30" s="121" t="n"/>
      <c r="Z30" s="121" t="n"/>
      <c r="AA30" s="121" t="n"/>
      <c r="AB30" s="121" t="n"/>
      <c r="AC30" s="121" t="n"/>
      <c r="AD30" s="121" t="n"/>
      <c r="AE30" s="122" t="n"/>
      <c r="AF30" s="121" t="n"/>
      <c r="AG30" s="121" t="n"/>
      <c r="AH30" s="121" t="n"/>
      <c r="AI30" s="123">
        <f>IF(ISBLANK(B30), "", IF(ISNUMBER(D30), IF(D30&gt;0, (COUNTIF(E30:AH30, "✓") + COUNTIF(E30:AH30, "✔") + COUNTIF(E30:AH30, "v") + COUNTIF(E30:AH30, "V"))/D30, 0), IF(((COUNTIF(E30:AH30, "✓") + COUNTIF(E30:AH30, "✔") + COUNTIF(E30:AH30, "v") + COUNTIF(E30:AH30, "V")) + COUNTIF(E30:AH30, "✗") + COUNTIF(E30:AH30, "x") + COUNTIF(E30:AH30, "X"))&gt;0, (COUNTIF(E30:AH30, "✓") + COUNTIF(E30:AH30, "✔") + COUNTIF(E30:AH30, "v") + COUNTIF(E30:AH30, "V"))/((COUNTIF(E30:AH30, "✓") + COUNTIF(E30:AH30, "✔") + COUNTIF(E30:AH30, "v") + COUNTIF(E30:AH30, "V")) + COUNTIF(E30:AH30, "✗") + COUNTIF(E30:AH30, "x") + COUNTIF(E30:AH30, "X")), "")))</f>
        <v/>
      </c>
      <c r="AJ30" s="124">
        <f>IF(ISBLANK(B30), "", IF(ISNUMBER(D30), IF(D30&gt;0, (COUNTIF(E30:AH30, "✓") + COUNTIF(E30:AH30, "✔") + COUNTIF(E30:AH30, "v") + COUNTIF(E30:AH30, "V")) &amp; "/" &amp; D30, (COUNTIF(E30:AH30, "✓") + COUNTIF(E30:AH30, "✔") + COUNTIF(E30:AH30, "v") + COUNTIF(E30:AH30, "V")) &amp; "/0"), IF(((COUNTIF(E30:AH30, "✓") + COUNTIF(E30:AH30, "✔") + COUNTIF(E30:AH30, "v") + COUNTIF(E30:AH30, "V")) + COUNTIF(E30:AH30, "✗") + COUNTIF(E30:AH30, "x") + COUNTIF(E30:AH30, "X"))&gt;0, (COUNTIF(E30:AH30, "✓") + COUNTIF(E30:AH30, "✔") + COUNTIF(E30:AH30, "v") + COUNTIF(E30:AH30, "V")) &amp; "/" &amp; ((COUNTIF(E30:AH30, "✓") + COUNTIF(E30:AH30, "✔") + COUNTIF(E30:AH30, "v") + COUNTIF(E30:AH30, "V")) + COUNTIF(E30:AH30, "✗") + COUNTIF(E30:AH30, "x") + COUNTIF(E30:AH30, "X")), "")))</f>
        <v/>
      </c>
      <c r="AK30" s="124">
        <f>IF(ISBLANK(B30), "", IF(AI30&gt;=0.85, "🔥 Mastered", IF(AI30&gt;=0.7, "⚡ Consistent", "⚠️ Needs Focus")))</f>
        <v/>
      </c>
      <c r="AL30">
        <f>COUNTIF(E30:AH30, "✓")</f>
        <v/>
      </c>
    </row>
    <row r="31" ht="14.5" customHeight="1">
      <c r="A31" s="118" t="n">
        <v>14</v>
      </c>
      <c r="B31" s="119" t="n"/>
      <c r="C31" s="120" t="n"/>
      <c r="D31" s="120" t="n"/>
      <c r="E31" s="121" t="n"/>
      <c r="F31" s="121" t="n"/>
      <c r="G31" s="121" t="n"/>
      <c r="H31" s="121" t="n"/>
      <c r="I31" s="121" t="n"/>
      <c r="J31" s="122" t="n"/>
      <c r="K31" s="121" t="n"/>
      <c r="L31" s="121" t="n"/>
      <c r="M31" s="121" t="n"/>
      <c r="N31" s="121" t="n"/>
      <c r="O31" s="121" t="n"/>
      <c r="P31" s="121" t="n"/>
      <c r="Q31" s="122" t="n"/>
      <c r="R31" s="121" t="n"/>
      <c r="S31" s="121" t="n"/>
      <c r="T31" s="121" t="n"/>
      <c r="U31" s="121" t="n"/>
      <c r="V31" s="121" t="n"/>
      <c r="W31" s="121" t="n"/>
      <c r="X31" s="122" t="n"/>
      <c r="Y31" s="121" t="n"/>
      <c r="Z31" s="121" t="n"/>
      <c r="AA31" s="121" t="n"/>
      <c r="AB31" s="121" t="n"/>
      <c r="AC31" s="121" t="n"/>
      <c r="AD31" s="121" t="n"/>
      <c r="AE31" s="122" t="n"/>
      <c r="AF31" s="121" t="n"/>
      <c r="AG31" s="121" t="n"/>
      <c r="AH31" s="121" t="n"/>
      <c r="AI31" s="123">
        <f>IF(ISBLANK(B31), "", IF(ISNUMBER(D31), IF(D31&gt;0, (COUNTIF(E31:AH31, "✓") + COUNTIF(E31:AH31, "✔") + COUNTIF(E31:AH31, "v") + COUNTIF(E31:AH31, "V"))/D31, 0), IF(((COUNTIF(E31:AH31, "✓") + COUNTIF(E31:AH31, "✔") + COUNTIF(E31:AH31, "v") + COUNTIF(E31:AH31, "V")) + COUNTIF(E31:AH31, "✗") + COUNTIF(E31:AH31, "x") + COUNTIF(E31:AH31, "X"))&gt;0, (COUNTIF(E31:AH31, "✓") + COUNTIF(E31:AH31, "✔") + COUNTIF(E31:AH31, "v") + COUNTIF(E31:AH31, "V"))/((COUNTIF(E31:AH31, "✓") + COUNTIF(E31:AH31, "✔") + COUNTIF(E31:AH31, "v") + COUNTIF(E31:AH31, "V")) + COUNTIF(E31:AH31, "✗") + COUNTIF(E31:AH31, "x") + COUNTIF(E31:AH31, "X")), "")))</f>
        <v/>
      </c>
      <c r="AJ31" s="124">
        <f>IF(ISBLANK(B31), "", IF(ISNUMBER(D31), IF(D31&gt;0, (COUNTIF(E31:AH31, "✓") + COUNTIF(E31:AH31, "✔") + COUNTIF(E31:AH31, "v") + COUNTIF(E31:AH31, "V")) &amp; "/" &amp; D31, (COUNTIF(E31:AH31, "✓") + COUNTIF(E31:AH31, "✔") + COUNTIF(E31:AH31, "v") + COUNTIF(E31:AH31, "V")) &amp; "/0"), IF(((COUNTIF(E31:AH31, "✓") + COUNTIF(E31:AH31, "✔") + COUNTIF(E31:AH31, "v") + COUNTIF(E31:AH31, "V")) + COUNTIF(E31:AH31, "✗") + COUNTIF(E31:AH31, "x") + COUNTIF(E31:AH31, "X"))&gt;0, (COUNTIF(E31:AH31, "✓") + COUNTIF(E31:AH31, "✔") + COUNTIF(E31:AH31, "v") + COUNTIF(E31:AH31, "V")) &amp; "/" &amp; ((COUNTIF(E31:AH31, "✓") + COUNTIF(E31:AH31, "✔") + COUNTIF(E31:AH31, "v") + COUNTIF(E31:AH31, "V")) + COUNTIF(E31:AH31, "✗") + COUNTIF(E31:AH31, "x") + COUNTIF(E31:AH31, "X")), "")))</f>
        <v/>
      </c>
      <c r="AK31" s="124">
        <f>IF(ISBLANK(B31), "", IF(AI31&gt;=0.85, "🔥 Mastered", IF(AI31&gt;=0.7, "⚡ Consistent", "⚠️ Needs Focus")))</f>
        <v/>
      </c>
      <c r="AL31">
        <f>COUNTIF(E31:AH31, "✓")</f>
        <v/>
      </c>
    </row>
    <row r="32" ht="14.5" customHeight="1">
      <c r="A32" s="118" t="n">
        <v>15</v>
      </c>
      <c r="B32" s="119" t="n"/>
      <c r="C32" s="120" t="n"/>
      <c r="D32" s="120" t="n"/>
      <c r="E32" s="121" t="n"/>
      <c r="F32" s="121" t="n"/>
      <c r="G32" s="121" t="n"/>
      <c r="H32" s="121" t="n"/>
      <c r="I32" s="121" t="n"/>
      <c r="J32" s="122" t="n"/>
      <c r="K32" s="121" t="n"/>
      <c r="L32" s="121" t="n"/>
      <c r="M32" s="121" t="n"/>
      <c r="N32" s="121" t="n"/>
      <c r="O32" s="121" t="n"/>
      <c r="P32" s="121" t="n"/>
      <c r="Q32" s="122" t="n"/>
      <c r="R32" s="121" t="n"/>
      <c r="S32" s="121" t="n"/>
      <c r="T32" s="121" t="n"/>
      <c r="U32" s="121" t="n"/>
      <c r="V32" s="121" t="n"/>
      <c r="W32" s="121" t="n"/>
      <c r="X32" s="122" t="n"/>
      <c r="Y32" s="121" t="n"/>
      <c r="Z32" s="121" t="n"/>
      <c r="AA32" s="121" t="n"/>
      <c r="AB32" s="121" t="n"/>
      <c r="AC32" s="121" t="n"/>
      <c r="AD32" s="121" t="n"/>
      <c r="AE32" s="122" t="n"/>
      <c r="AF32" s="121" t="n"/>
      <c r="AG32" s="121" t="n"/>
      <c r="AH32" s="121" t="n"/>
      <c r="AI32" s="123">
        <f>IF(ISBLANK(B32), "", IF(ISNUMBER(D32), IF(D32&gt;0, (COUNTIF(E32:AH32, "✓") + COUNTIF(E32:AH32, "✔") + COUNTIF(E32:AH32, "v") + COUNTIF(E32:AH32, "V"))/D32, 0), IF(((COUNTIF(E32:AH32, "✓") + COUNTIF(E32:AH32, "✔") + COUNTIF(E32:AH32, "v") + COUNTIF(E32:AH32, "V")) + COUNTIF(E32:AH32, "✗") + COUNTIF(E32:AH32, "x") + COUNTIF(E32:AH32, "X"))&gt;0, (COUNTIF(E32:AH32, "✓") + COUNTIF(E32:AH32, "✔") + COUNTIF(E32:AH32, "v") + COUNTIF(E32:AH32, "V"))/((COUNTIF(E32:AH32, "✓") + COUNTIF(E32:AH32, "✔") + COUNTIF(E32:AH32, "v") + COUNTIF(E32:AH32, "V")) + COUNTIF(E32:AH32, "✗") + COUNTIF(E32:AH32, "x") + COUNTIF(E32:AH32, "X")), "")))</f>
        <v/>
      </c>
      <c r="AJ32" s="124">
        <f>IF(ISBLANK(B32), "", IF(ISNUMBER(D32), IF(D32&gt;0, (COUNTIF(E32:AH32, "✓") + COUNTIF(E32:AH32, "✔") + COUNTIF(E32:AH32, "v") + COUNTIF(E32:AH32, "V")) &amp; "/" &amp; D32, (COUNTIF(E32:AH32, "✓") + COUNTIF(E32:AH32, "✔") + COUNTIF(E32:AH32, "v") + COUNTIF(E32:AH32, "V")) &amp; "/0"), IF(((COUNTIF(E32:AH32, "✓") + COUNTIF(E32:AH32, "✔") + COUNTIF(E32:AH32, "v") + COUNTIF(E32:AH32, "V")) + COUNTIF(E32:AH32, "✗") + COUNTIF(E32:AH32, "x") + COUNTIF(E32:AH32, "X"))&gt;0, (COUNTIF(E32:AH32, "✓") + COUNTIF(E32:AH32, "✔") + COUNTIF(E32:AH32, "v") + COUNTIF(E32:AH32, "V")) &amp; "/" &amp; ((COUNTIF(E32:AH32, "✓") + COUNTIF(E32:AH32, "✔") + COUNTIF(E32:AH32, "v") + COUNTIF(E32:AH32, "V")) + COUNTIF(E32:AH32, "✗") + COUNTIF(E32:AH32, "x") + COUNTIF(E32:AH32, "X")), "")))</f>
        <v/>
      </c>
      <c r="AK32" s="124">
        <f>IF(ISBLANK(B32), "", IF(AI32&gt;=0.85, "🔥 Mastered", IF(AI32&gt;=0.7, "⚡ Consistent", "⚠️ Needs Focus")))</f>
        <v/>
      </c>
      <c r="AL32">
        <f>COUNTIF(E32:AH32, "✓")</f>
        <v/>
      </c>
    </row>
    <row r="33" ht="14.5" customHeight="1">
      <c r="A33" s="118" t="n">
        <v>16</v>
      </c>
      <c r="B33" s="119" t="n"/>
      <c r="C33" s="120" t="n"/>
      <c r="D33" s="120" t="n"/>
      <c r="E33" s="121" t="n"/>
      <c r="F33" s="121" t="n"/>
      <c r="G33" s="121" t="n"/>
      <c r="H33" s="121" t="n"/>
      <c r="I33" s="121" t="n"/>
      <c r="J33" s="122" t="n"/>
      <c r="K33" s="121" t="n"/>
      <c r="L33" s="121" t="n"/>
      <c r="M33" s="121" t="n"/>
      <c r="N33" s="121" t="n"/>
      <c r="O33" s="121" t="n"/>
      <c r="P33" s="121" t="n"/>
      <c r="Q33" s="122" t="n"/>
      <c r="R33" s="121" t="n"/>
      <c r="S33" s="121" t="n"/>
      <c r="T33" s="121" t="n"/>
      <c r="U33" s="121" t="n"/>
      <c r="V33" s="121" t="n"/>
      <c r="W33" s="121" t="n"/>
      <c r="X33" s="122" t="n"/>
      <c r="Y33" s="121" t="n"/>
      <c r="Z33" s="121" t="n"/>
      <c r="AA33" s="121" t="n"/>
      <c r="AB33" s="121" t="n"/>
      <c r="AC33" s="121" t="n"/>
      <c r="AD33" s="121" t="n"/>
      <c r="AE33" s="122" t="n"/>
      <c r="AF33" s="121" t="n"/>
      <c r="AG33" s="121" t="n"/>
      <c r="AH33" s="121" t="n"/>
      <c r="AI33" s="123">
        <f>IF(ISBLANK(B33), "", IF(ISNUMBER(D33), IF(D33&gt;0, (COUNTIF(E33:AH33, "✓") + COUNTIF(E33:AH33, "✔") + COUNTIF(E33:AH33, "v") + COUNTIF(E33:AH33, "V"))/D33, 0), IF(((COUNTIF(E33:AH33, "✓") + COUNTIF(E33:AH33, "✔") + COUNTIF(E33:AH33, "v") + COUNTIF(E33:AH33, "V")) + COUNTIF(E33:AH33, "✗") + COUNTIF(E33:AH33, "x") + COUNTIF(E33:AH33, "X"))&gt;0, (COUNTIF(E33:AH33, "✓") + COUNTIF(E33:AH33, "✔") + COUNTIF(E33:AH33, "v") + COUNTIF(E33:AH33, "V"))/((COUNTIF(E33:AH33, "✓") + COUNTIF(E33:AH33, "✔") + COUNTIF(E33:AH33, "v") + COUNTIF(E33:AH33, "V")) + COUNTIF(E33:AH33, "✗") + COUNTIF(E33:AH33, "x") + COUNTIF(E33:AH33, "X")), "")))</f>
        <v/>
      </c>
      <c r="AJ33" s="124">
        <f>IF(ISBLANK(B33), "", IF(ISNUMBER(D33), IF(D33&gt;0, (COUNTIF(E33:AH33, "✓") + COUNTIF(E33:AH33, "✔") + COUNTIF(E33:AH33, "v") + COUNTIF(E33:AH33, "V")) &amp; "/" &amp; D33, (COUNTIF(E33:AH33, "✓") + COUNTIF(E33:AH33, "✔") + COUNTIF(E33:AH33, "v") + COUNTIF(E33:AH33, "V")) &amp; "/0"), IF(((COUNTIF(E33:AH33, "✓") + COUNTIF(E33:AH33, "✔") + COUNTIF(E33:AH33, "v") + COUNTIF(E33:AH33, "V")) + COUNTIF(E33:AH33, "✗") + COUNTIF(E33:AH33, "x") + COUNTIF(E33:AH33, "X"))&gt;0, (COUNTIF(E33:AH33, "✓") + COUNTIF(E33:AH33, "✔") + COUNTIF(E33:AH33, "v") + COUNTIF(E33:AH33, "V")) &amp; "/" &amp; ((COUNTIF(E33:AH33, "✓") + COUNTIF(E33:AH33, "✔") + COUNTIF(E33:AH33, "v") + COUNTIF(E33:AH33, "V")) + COUNTIF(E33:AH33, "✗") + COUNTIF(E33:AH33, "x") + COUNTIF(E33:AH33, "X")), "")))</f>
        <v/>
      </c>
      <c r="AK33" s="124">
        <f>IF(ISBLANK(B33), "", IF(AI33&gt;=0.85, "🔥 Mastered", IF(AI33&gt;=0.7, "⚡ Consistent", "⚠️ Needs Focus")))</f>
        <v/>
      </c>
      <c r="AL33">
        <f>COUNTIF(E33:AH33, "✓")</f>
        <v/>
      </c>
    </row>
    <row r="34" ht="14.5" customHeight="1">
      <c r="A34" s="125" t="n">
        <v>17</v>
      </c>
      <c r="B34" s="126" t="n"/>
      <c r="C34" s="127" t="n"/>
      <c r="D34" s="127" t="n"/>
      <c r="E34" s="128" t="n"/>
      <c r="F34" s="128" t="n"/>
      <c r="G34" s="128" t="n"/>
      <c r="H34" s="128" t="n"/>
      <c r="I34" s="128" t="n"/>
      <c r="J34" s="129" t="n"/>
      <c r="K34" s="128" t="n"/>
      <c r="L34" s="128" t="n"/>
      <c r="M34" s="128" t="n"/>
      <c r="N34" s="128" t="n"/>
      <c r="O34" s="128" t="n"/>
      <c r="P34" s="128" t="n"/>
      <c r="Q34" s="129" t="n"/>
      <c r="R34" s="128" t="n"/>
      <c r="S34" s="128" t="n"/>
      <c r="T34" s="128" t="n"/>
      <c r="U34" s="128" t="n"/>
      <c r="V34" s="128" t="n"/>
      <c r="W34" s="128" t="n"/>
      <c r="X34" s="129" t="n"/>
      <c r="Y34" s="128" t="n"/>
      <c r="Z34" s="128" t="n"/>
      <c r="AA34" s="128" t="n"/>
      <c r="AB34" s="128" t="n"/>
      <c r="AC34" s="128" t="n"/>
      <c r="AD34" s="128" t="n"/>
      <c r="AE34" s="129" t="n"/>
      <c r="AF34" s="128" t="n"/>
      <c r="AG34" s="128" t="n"/>
      <c r="AH34" s="128" t="n"/>
      <c r="AI34" s="130">
        <f>IF(ISBLANK(B34), "", IF(ISNUMBER(D34), IF(D34&gt;0, (COUNTIF(E34:AH34, "✓") + COUNTIF(E34:AH34, "✔") + COUNTIF(E34:AH34, "v") + COUNTIF(E34:AH34, "V"))/D34, 0), IF(((COUNTIF(E34:AH34, "✓") + COUNTIF(E34:AH34, "✔") + COUNTIF(E34:AH34, "v") + COUNTIF(E34:AH34, "V")) + COUNTIF(E34:AH34, "✗") + COUNTIF(E34:AH34, "x") + COUNTIF(E34:AH34, "X"))&gt;0, (COUNTIF(E34:AH34, "✓") + COUNTIF(E34:AH34, "✔") + COUNTIF(E34:AH34, "v") + COUNTIF(E34:AH34, "V"))/((COUNTIF(E34:AH34, "✓") + COUNTIF(E34:AH34, "✔") + COUNTIF(E34:AH34, "v") + COUNTIF(E34:AH34, "V")) + COUNTIF(E34:AH34, "✗") + COUNTIF(E34:AH34, "x") + COUNTIF(E34:AH34, "X")), "")))</f>
        <v/>
      </c>
      <c r="AJ34" s="131">
        <f>IF(ISBLANK(B34), "", IF(ISNUMBER(D34), IF(D34&gt;0, (COUNTIF(E34:AH34, "✓") + COUNTIF(E34:AH34, "✔") + COUNTIF(E34:AH34, "v") + COUNTIF(E34:AH34, "V")) &amp; "/" &amp; D34, (COUNTIF(E34:AH34, "✓") + COUNTIF(E34:AH34, "✔") + COUNTIF(E34:AH34, "v") + COUNTIF(E34:AH34, "V")) &amp; "/0"), IF(((COUNTIF(E34:AH34, "✓") + COUNTIF(E34:AH34, "✔") + COUNTIF(E34:AH34, "v") + COUNTIF(E34:AH34, "V")) + COUNTIF(E34:AH34, "✗") + COUNTIF(E34:AH34, "x") + COUNTIF(E34:AH34, "X"))&gt;0, (COUNTIF(E34:AH34, "✓") + COUNTIF(E34:AH34, "✔") + COUNTIF(E34:AH34, "v") + COUNTIF(E34:AH34, "V")) &amp; "/" &amp; ((COUNTIF(E34:AH34, "✓") + COUNTIF(E34:AH34, "✔") + COUNTIF(E34:AH34, "v") + COUNTIF(E34:AH34, "V")) + COUNTIF(E34:AH34, "✗") + COUNTIF(E34:AH34, "x") + COUNTIF(E34:AH34, "X")), "")))</f>
        <v/>
      </c>
      <c r="AK34" s="131">
        <f>IF(ISBLANK(B34), "", IF(AI34&gt;=0.85, "🔥 Mastered", IF(AI34&gt;=0.7, "⚡ Consistent", "⚠️ Needs Focus")))</f>
        <v/>
      </c>
      <c r="AL34">
        <f>COUNTIF(E34:AH34, "✓")</f>
        <v/>
      </c>
    </row>
    <row r="35" ht="14.5" customHeight="1">
      <c r="A35" s="125" t="n">
        <v>18</v>
      </c>
      <c r="B35" s="126" t="n"/>
      <c r="C35" s="127" t="n"/>
      <c r="D35" s="127" t="n"/>
      <c r="E35" s="128" t="n"/>
      <c r="F35" s="128" t="n"/>
      <c r="G35" s="128" t="n"/>
      <c r="H35" s="128" t="n"/>
      <c r="I35" s="128" t="n"/>
      <c r="J35" s="129" t="n"/>
      <c r="K35" s="128" t="n"/>
      <c r="L35" s="128" t="n"/>
      <c r="M35" s="128" t="n"/>
      <c r="N35" s="128" t="n"/>
      <c r="O35" s="128" t="n"/>
      <c r="P35" s="128" t="n"/>
      <c r="Q35" s="129" t="n"/>
      <c r="R35" s="128" t="n"/>
      <c r="S35" s="128" t="n"/>
      <c r="T35" s="128" t="n"/>
      <c r="U35" s="128" t="n"/>
      <c r="V35" s="128" t="n"/>
      <c r="W35" s="128" t="n"/>
      <c r="X35" s="129" t="n"/>
      <c r="Y35" s="128" t="n"/>
      <c r="Z35" s="128" t="n"/>
      <c r="AA35" s="128" t="n"/>
      <c r="AB35" s="128" t="n"/>
      <c r="AC35" s="128" t="n"/>
      <c r="AD35" s="128" t="n"/>
      <c r="AE35" s="129" t="n"/>
      <c r="AF35" s="128" t="n"/>
      <c r="AG35" s="128" t="n"/>
      <c r="AH35" s="128" t="n"/>
      <c r="AI35" s="130">
        <f>IF(ISBLANK(B35), "", IF(ISNUMBER(D35), IF(D35&gt;0, (COUNTIF(E35:AH35, "✓") + COUNTIF(E35:AH35, "✔") + COUNTIF(E35:AH35, "v") + COUNTIF(E35:AH35, "V"))/D35, 0), IF(((COUNTIF(E35:AH35, "✓") + COUNTIF(E35:AH35, "✔") + COUNTIF(E35:AH35, "v") + COUNTIF(E35:AH35, "V")) + COUNTIF(E35:AH35, "✗") + COUNTIF(E35:AH35, "x") + COUNTIF(E35:AH35, "X"))&gt;0, (COUNTIF(E35:AH35, "✓") + COUNTIF(E35:AH35, "✔") + COUNTIF(E35:AH35, "v") + COUNTIF(E35:AH35, "V"))/((COUNTIF(E35:AH35, "✓") + COUNTIF(E35:AH35, "✔") + COUNTIF(E35:AH35, "v") + COUNTIF(E35:AH35, "V")) + COUNTIF(E35:AH35, "✗") + COUNTIF(E35:AH35, "x") + COUNTIF(E35:AH35, "X")), "")))</f>
        <v/>
      </c>
      <c r="AJ35" s="131">
        <f>IF(ISBLANK(B35), "", IF(ISNUMBER(D35), IF(D35&gt;0, (COUNTIF(E35:AH35, "✓") + COUNTIF(E35:AH35, "✔") + COUNTIF(E35:AH35, "v") + COUNTIF(E35:AH35, "V")) &amp; "/" &amp; D35, (COUNTIF(E35:AH35, "✓") + COUNTIF(E35:AH35, "✔") + COUNTIF(E35:AH35, "v") + COUNTIF(E35:AH35, "V")) &amp; "/0"), IF(((COUNTIF(E35:AH35, "✓") + COUNTIF(E35:AH35, "✔") + COUNTIF(E35:AH35, "v") + COUNTIF(E35:AH35, "V")) + COUNTIF(E35:AH35, "✗") + COUNTIF(E35:AH35, "x") + COUNTIF(E35:AH35, "X"))&gt;0, (COUNTIF(E35:AH35, "✓") + COUNTIF(E35:AH35, "✔") + COUNTIF(E35:AH35, "v") + COUNTIF(E35:AH35, "V")) &amp; "/" &amp; ((COUNTIF(E35:AH35, "✓") + COUNTIF(E35:AH35, "✔") + COUNTIF(E35:AH35, "v") + COUNTIF(E35:AH35, "V")) + COUNTIF(E35:AH35, "✗") + COUNTIF(E35:AH35, "x") + COUNTIF(E35:AH35, "X")), "")))</f>
        <v/>
      </c>
      <c r="AK35" s="131">
        <f>IF(ISBLANK(B35), "", IF(AI35&gt;=0.85, "🔥 Mastered", IF(AI35&gt;=0.7, "⚡ Consistent", "⚠️ Needs Focus")))</f>
        <v/>
      </c>
      <c r="AL35">
        <f>COUNTIF(E35:AH35, "✓")</f>
        <v/>
      </c>
    </row>
    <row r="36" ht="14.5" customHeight="1">
      <c r="A36" s="125" t="n">
        <v>19</v>
      </c>
      <c r="B36" s="126" t="n"/>
      <c r="C36" s="127" t="n"/>
      <c r="D36" s="127" t="n"/>
      <c r="E36" s="128" t="n"/>
      <c r="F36" s="128" t="n"/>
      <c r="G36" s="128" t="n"/>
      <c r="H36" s="128" t="n"/>
      <c r="I36" s="128" t="n"/>
      <c r="J36" s="129" t="n"/>
      <c r="K36" s="128" t="n"/>
      <c r="L36" s="128" t="n"/>
      <c r="M36" s="128" t="n"/>
      <c r="N36" s="128" t="n"/>
      <c r="O36" s="128" t="n"/>
      <c r="P36" s="128" t="n"/>
      <c r="Q36" s="129" t="n"/>
      <c r="R36" s="128" t="n"/>
      <c r="S36" s="128" t="n"/>
      <c r="T36" s="128" t="n"/>
      <c r="U36" s="128" t="n"/>
      <c r="V36" s="128" t="n"/>
      <c r="W36" s="128" t="n"/>
      <c r="X36" s="129" t="n"/>
      <c r="Y36" s="128" t="n"/>
      <c r="Z36" s="128" t="n"/>
      <c r="AA36" s="128" t="n"/>
      <c r="AB36" s="128" t="n"/>
      <c r="AC36" s="128" t="n"/>
      <c r="AD36" s="128" t="n"/>
      <c r="AE36" s="129" t="n"/>
      <c r="AF36" s="128" t="n"/>
      <c r="AG36" s="128" t="n"/>
      <c r="AH36" s="128" t="n"/>
      <c r="AI36" s="130">
        <f>IF(ISBLANK(B36), "", IF(ISNUMBER(D36), IF(D36&gt;0, (COUNTIF(E36:AH36, "✓") + COUNTIF(E36:AH36, "✔") + COUNTIF(E36:AH36, "v") + COUNTIF(E36:AH36, "V"))/D36, 0), IF(((COUNTIF(E36:AH36, "✓") + COUNTIF(E36:AH36, "✔") + COUNTIF(E36:AH36, "v") + COUNTIF(E36:AH36, "V")) + COUNTIF(E36:AH36, "✗") + COUNTIF(E36:AH36, "x") + COUNTIF(E36:AH36, "X"))&gt;0, (COUNTIF(E36:AH36, "✓") + COUNTIF(E36:AH36, "✔") + COUNTIF(E36:AH36, "v") + COUNTIF(E36:AH36, "V"))/((COUNTIF(E36:AH36, "✓") + COUNTIF(E36:AH36, "✔") + COUNTIF(E36:AH36, "v") + COUNTIF(E36:AH36, "V")) + COUNTIF(E36:AH36, "✗") + COUNTIF(E36:AH36, "x") + COUNTIF(E36:AH36, "X")), "")))</f>
        <v/>
      </c>
      <c r="AJ36" s="131">
        <f>IF(ISBLANK(B36), "", IF(ISNUMBER(D36), IF(D36&gt;0, (COUNTIF(E36:AH36, "✓") + COUNTIF(E36:AH36, "✔") + COUNTIF(E36:AH36, "v") + COUNTIF(E36:AH36, "V")) &amp; "/" &amp; D36, (COUNTIF(E36:AH36, "✓") + COUNTIF(E36:AH36, "✔") + COUNTIF(E36:AH36, "v") + COUNTIF(E36:AH36, "V")) &amp; "/0"), IF(((COUNTIF(E36:AH36, "✓") + COUNTIF(E36:AH36, "✔") + COUNTIF(E36:AH36, "v") + COUNTIF(E36:AH36, "V")) + COUNTIF(E36:AH36, "✗") + COUNTIF(E36:AH36, "x") + COUNTIF(E36:AH36, "X"))&gt;0, (COUNTIF(E36:AH36, "✓") + COUNTIF(E36:AH36, "✔") + COUNTIF(E36:AH36, "v") + COUNTIF(E36:AH36, "V")) &amp; "/" &amp; ((COUNTIF(E36:AH36, "✓") + COUNTIF(E36:AH36, "✔") + COUNTIF(E36:AH36, "v") + COUNTIF(E36:AH36, "V")) + COUNTIF(E36:AH36, "✗") + COUNTIF(E36:AH36, "x") + COUNTIF(E36:AH36, "X")), "")))</f>
        <v/>
      </c>
      <c r="AK36" s="131">
        <f>IF(ISBLANK(B36), "", IF(AI36&gt;=0.85, "🔥 Mastered", IF(AI36&gt;=0.7, "⚡ Consistent", "⚠️ Needs Focus")))</f>
        <v/>
      </c>
      <c r="AL36">
        <f>COUNTIF(E36:AH36, "✓")</f>
        <v/>
      </c>
    </row>
    <row r="37" ht="14.5" customHeight="1">
      <c r="A37" s="125" t="n">
        <v>20</v>
      </c>
      <c r="B37" s="126" t="n"/>
      <c r="C37" s="127" t="n"/>
      <c r="D37" s="127" t="n"/>
      <c r="E37" s="128" t="n"/>
      <c r="F37" s="128" t="n"/>
      <c r="G37" s="128" t="n"/>
      <c r="H37" s="128" t="n"/>
      <c r="I37" s="128" t="n"/>
      <c r="J37" s="129" t="n"/>
      <c r="K37" s="128" t="n"/>
      <c r="L37" s="128" t="n"/>
      <c r="M37" s="128" t="n"/>
      <c r="N37" s="128" t="n"/>
      <c r="O37" s="128" t="n"/>
      <c r="P37" s="128" t="n"/>
      <c r="Q37" s="129" t="n"/>
      <c r="R37" s="128" t="n"/>
      <c r="S37" s="128" t="n"/>
      <c r="T37" s="128" t="n"/>
      <c r="U37" s="128" t="n"/>
      <c r="V37" s="128" t="n"/>
      <c r="W37" s="128" t="n"/>
      <c r="X37" s="129" t="n"/>
      <c r="Y37" s="128" t="n"/>
      <c r="Z37" s="128" t="n"/>
      <c r="AA37" s="128" t="n"/>
      <c r="AB37" s="128" t="n"/>
      <c r="AC37" s="128" t="n"/>
      <c r="AD37" s="128" t="n"/>
      <c r="AE37" s="129" t="n"/>
      <c r="AF37" s="128" t="n"/>
      <c r="AG37" s="128" t="n"/>
      <c r="AH37" s="128" t="n"/>
      <c r="AI37" s="130">
        <f>IF(ISBLANK(B37), "", IF(ISNUMBER(D37), IF(D37&gt;0, (COUNTIF(E37:AH37, "✓") + COUNTIF(E37:AH37, "✔") + COUNTIF(E37:AH37, "v") + COUNTIF(E37:AH37, "V"))/D37, 0), IF(((COUNTIF(E37:AH37, "✓") + COUNTIF(E37:AH37, "✔") + COUNTIF(E37:AH37, "v") + COUNTIF(E37:AH37, "V")) + COUNTIF(E37:AH37, "✗") + COUNTIF(E37:AH37, "x") + COUNTIF(E37:AH37, "X"))&gt;0, (COUNTIF(E37:AH37, "✓") + COUNTIF(E37:AH37, "✔") + COUNTIF(E37:AH37, "v") + COUNTIF(E37:AH37, "V"))/((COUNTIF(E37:AH37, "✓") + COUNTIF(E37:AH37, "✔") + COUNTIF(E37:AH37, "v") + COUNTIF(E37:AH37, "V")) + COUNTIF(E37:AH37, "✗") + COUNTIF(E37:AH37, "x") + COUNTIF(E37:AH37, "X")), "")))</f>
        <v/>
      </c>
      <c r="AJ37" s="131">
        <f>IF(ISBLANK(B37), "", IF(ISNUMBER(D37), IF(D37&gt;0, (COUNTIF(E37:AH37, "✓") + COUNTIF(E37:AH37, "✔") + COUNTIF(E37:AH37, "v") + COUNTIF(E37:AH37, "V")) &amp; "/" &amp; D37, (COUNTIF(E37:AH37, "✓") + COUNTIF(E37:AH37, "✔") + COUNTIF(E37:AH37, "v") + COUNTIF(E37:AH37, "V")) &amp; "/0"), IF(((COUNTIF(E37:AH37, "✓") + COUNTIF(E37:AH37, "✔") + COUNTIF(E37:AH37, "v") + COUNTIF(E37:AH37, "V")) + COUNTIF(E37:AH37, "✗") + COUNTIF(E37:AH37, "x") + COUNTIF(E37:AH37, "X"))&gt;0, (COUNTIF(E37:AH37, "✓") + COUNTIF(E37:AH37, "✔") + COUNTIF(E37:AH37, "v") + COUNTIF(E37:AH37, "V")) &amp; "/" &amp; ((COUNTIF(E37:AH37, "✓") + COUNTIF(E37:AH37, "✔") + COUNTIF(E37:AH37, "v") + COUNTIF(E37:AH37, "V")) + COUNTIF(E37:AH37, "✗") + COUNTIF(E37:AH37, "x") + COUNTIF(E37:AH37, "X")), "")))</f>
        <v/>
      </c>
      <c r="AK37" s="131">
        <f>IF(ISBLANK(B37), "", IF(AI37&gt;=0.85, "🔥 Mastered", IF(AI37&gt;=0.7, "⚡ Consistent", "⚠️ Needs Focus")))</f>
        <v/>
      </c>
      <c r="AL37">
        <f>COUNTIF(E37:AH37, "✓")</f>
        <v/>
      </c>
    </row>
    <row r="38" ht="18" customHeight="1">
      <c r="A38" s="132" t="inlineStr">
        <is>
          <t>DAILY TOTAL SCORE</t>
        </is>
      </c>
      <c r="B38" s="54" t="n"/>
      <c r="C38" s="54" t="n"/>
      <c r="D38" s="54" t="n"/>
      <c r="E38" s="33">
        <f>IF(((COUNTIF(E18:E37, "✓") + COUNTIF(E18:E37, "✔") + COUNTIF(E18:E37, "v") + COUNTIF(E18:E37, "V")) + COUNTIF(E18:E37, "✗") + COUNTIF(E18:E37, "x") + COUNTIF(E18:E37, "X")) &gt; 0, (COUNTIF(E18:E37, "✓") + COUNTIF(E18:E37, "✔") + COUNTIF(E18:E37, "v") + COUNTIF(E18:E37, "V")) &amp; "/" &amp; ((COUNTIF(E18:E37, "✓") + COUNTIF(E18:E37, "✔") + COUNTIF(E18:E37, "v") + COUNTIF(E18:E37, "V")) + COUNTIF(E18:E37, "✗") + COUNTIF(E18:E37, "x") + COUNTIF(E18:E37, "X")), "")</f>
        <v/>
      </c>
      <c r="F38" s="33">
        <f>IF(((COUNTIF(F18:F37, "✓") + COUNTIF(F18:F37, "✔") + COUNTIF(F18:F37, "v") + COUNTIF(F18:F37, "V")) + COUNTIF(F18:F37, "✗") + COUNTIF(F18:F37, "x") + COUNTIF(F18:F37, "X")) &gt; 0, (COUNTIF(F18:F37, "✓") + COUNTIF(F18:F37, "✔") + COUNTIF(F18:F37, "v") + COUNTIF(F18:F37, "V")) &amp; "/" &amp; ((COUNTIF(F18:F37, "✓") + COUNTIF(F18:F37, "✔") + COUNTIF(F18:F37, "v") + COUNTIF(F18:F37, "V")) + COUNTIF(F18:F37, "✗") + COUNTIF(F18:F37, "x") + COUNTIF(F18:F37, "X")), "")</f>
        <v/>
      </c>
      <c r="G38" s="33">
        <f>IF(((COUNTIF(G18:G37, "✓") + COUNTIF(G18:G37, "✔") + COUNTIF(G18:G37, "v") + COUNTIF(G18:G37, "V")) + COUNTIF(G18:G37, "✗") + COUNTIF(G18:G37, "x") + COUNTIF(G18:G37, "X")) &gt; 0, (COUNTIF(G18:G37, "✓") + COUNTIF(G18:G37, "✔") + COUNTIF(G18:G37, "v") + COUNTIF(G18:G37, "V")) &amp; "/" &amp; ((COUNTIF(G18:G37, "✓") + COUNTIF(G18:G37, "✔") + COUNTIF(G18:G37, "v") + COUNTIF(G18:G37, "V")) + COUNTIF(G18:G37, "✗") + COUNTIF(G18:G37, "x") + COUNTIF(G18:G37, "X")), "")</f>
        <v/>
      </c>
      <c r="H38" s="33">
        <f>IF(((COUNTIF(H18:H37, "✓") + COUNTIF(H18:H37, "✔") + COUNTIF(H18:H37, "v") + COUNTIF(H18:H37, "V")) + COUNTIF(H18:H37, "✗") + COUNTIF(H18:H37, "x") + COUNTIF(H18:H37, "X")) &gt; 0, (COUNTIF(H18:H37, "✓") + COUNTIF(H18:H37, "✔") + COUNTIF(H18:H37, "v") + COUNTIF(H18:H37, "V")) &amp; "/" &amp; ((COUNTIF(H18:H37, "✓") + COUNTIF(H18:H37, "✔") + COUNTIF(H18:H37, "v") + COUNTIF(H18:H37, "V")) + COUNTIF(H18:H37, "✗") + COUNTIF(H18:H37, "x") + COUNTIF(H18:H37, "X")), "")</f>
        <v/>
      </c>
      <c r="I38" s="33">
        <f>IF(((COUNTIF(I18:I37, "✓") + COUNTIF(I18:I37, "✔") + COUNTIF(I18:I37, "v") + COUNTIF(I18:I37, "V")) + COUNTIF(I18:I37, "✗") + COUNTIF(I18:I37, "x") + COUNTIF(I18:I37, "X")) &gt; 0, (COUNTIF(I18:I37, "✓") + COUNTIF(I18:I37, "✔") + COUNTIF(I18:I37, "v") + COUNTIF(I18:I37, "V")) &amp; "/" &amp; ((COUNTIF(I18:I37, "✓") + COUNTIF(I18:I37, "✔") + COUNTIF(I18:I37, "v") + COUNTIF(I18:I37, "V")) + COUNTIF(I18:I37, "✗") + COUNTIF(I18:I37, "x") + COUNTIF(I18:I37, "X")), "")</f>
        <v/>
      </c>
      <c r="J38" s="33">
        <f>IF(((COUNTIF(J18:J37, "✓") + COUNTIF(J18:J37, "✔") + COUNTIF(J18:J37, "v") + COUNTIF(J18:J37, "V")) + COUNTIF(J18:J37, "✗") + COUNTIF(J18:J37, "x") + COUNTIF(J18:J37, "X")) &gt; 0, (COUNTIF(J18:J37, "✓") + COUNTIF(J18:J37, "✔") + COUNTIF(J18:J37, "v") + COUNTIF(J18:J37, "V")) &amp; "/" &amp; ((COUNTIF(J18:J37, "✓") + COUNTIF(J18:J37, "✔") + COUNTIF(J18:J37, "v") + COUNTIF(J18:J37, "V")) + COUNTIF(J18:J37, "✗") + COUNTIF(J18:J37, "x") + COUNTIF(J18:J37, "X")), "")</f>
        <v/>
      </c>
      <c r="K38" s="33">
        <f>IF(((COUNTIF(K18:K37, "✓") + COUNTIF(K18:K37, "✔") + COUNTIF(K18:K37, "v") + COUNTIF(K18:K37, "V")) + COUNTIF(K18:K37, "✗") + COUNTIF(K18:K37, "x") + COUNTIF(K18:K37, "X")) &gt; 0, (COUNTIF(K18:K37, "✓") + COUNTIF(K18:K37, "✔") + COUNTIF(K18:K37, "v") + COUNTIF(K18:K37, "V")) &amp; "/" &amp; ((COUNTIF(K18:K37, "✓") + COUNTIF(K18:K37, "✔") + COUNTIF(K18:K37, "v") + COUNTIF(K18:K37, "V")) + COUNTIF(K18:K37, "✗") + COUNTIF(K18:K37, "x") + COUNTIF(K18:K37, "X")), "")</f>
        <v/>
      </c>
      <c r="L38" s="33">
        <f>IF(((COUNTIF(L18:L37, "✓") + COUNTIF(L18:L37, "✔") + COUNTIF(L18:L37, "v") + COUNTIF(L18:L37, "V")) + COUNTIF(L18:L37, "✗") + COUNTIF(L18:L37, "x") + COUNTIF(L18:L37, "X")) &gt; 0, (COUNTIF(L18:L37, "✓") + COUNTIF(L18:L37, "✔") + COUNTIF(L18:L37, "v") + COUNTIF(L18:L37, "V")) &amp; "/" &amp; ((COUNTIF(L18:L37, "✓") + COUNTIF(L18:L37, "✔") + COUNTIF(L18:L37, "v") + COUNTIF(L18:L37, "V")) + COUNTIF(L18:L37, "✗") + COUNTIF(L18:L37, "x") + COUNTIF(L18:L37, "X")), "")</f>
        <v/>
      </c>
      <c r="M38" s="33">
        <f>IF(((COUNTIF(M18:M37, "✓") + COUNTIF(M18:M37, "✔") + COUNTIF(M18:M37, "v") + COUNTIF(M18:M37, "V")) + COUNTIF(M18:M37, "✗") + COUNTIF(M18:M37, "x") + COUNTIF(M18:M37, "X")) &gt; 0, (COUNTIF(M18:M37, "✓") + COUNTIF(M18:M37, "✔") + COUNTIF(M18:M37, "v") + COUNTIF(M18:M37, "V")) &amp; "/" &amp; ((COUNTIF(M18:M37, "✓") + COUNTIF(M18:M37, "✔") + COUNTIF(M18:M37, "v") + COUNTIF(M18:M37, "V")) + COUNTIF(M18:M37, "✗") + COUNTIF(M18:M37, "x") + COUNTIF(M18:M37, "X")), "")</f>
        <v/>
      </c>
      <c r="N38" s="33">
        <f>IF(((COUNTIF(N18:N37, "✓") + COUNTIF(N18:N37, "✔") + COUNTIF(N18:N37, "v") + COUNTIF(N18:N37, "V")) + COUNTIF(N18:N37, "✗") + COUNTIF(N18:N37, "x") + COUNTIF(N18:N37, "X")) &gt; 0, (COUNTIF(N18:N37, "✓") + COUNTIF(N18:N37, "✔") + COUNTIF(N18:N37, "v") + COUNTIF(N18:N37, "V")) &amp; "/" &amp; ((COUNTIF(N18:N37, "✓") + COUNTIF(N18:N37, "✔") + COUNTIF(N18:N37, "v") + COUNTIF(N18:N37, "V")) + COUNTIF(N18:N37, "✗") + COUNTIF(N18:N37, "x") + COUNTIF(N18:N37, "X")), "")</f>
        <v/>
      </c>
      <c r="O38" s="33">
        <f>IF(((COUNTIF(O18:O37, "✓") + COUNTIF(O18:O37, "✔") + COUNTIF(O18:O37, "v") + COUNTIF(O18:O37, "V")) + COUNTIF(O18:O37, "✗") + COUNTIF(O18:O37, "x") + COUNTIF(O18:O37, "X")) &gt; 0, (COUNTIF(O18:O37, "✓") + COUNTIF(O18:O37, "✔") + COUNTIF(O18:O37, "v") + COUNTIF(O18:O37, "V")) &amp; "/" &amp; ((COUNTIF(O18:O37, "✓") + COUNTIF(O18:O37, "✔") + COUNTIF(O18:O37, "v") + COUNTIF(O18:O37, "V")) + COUNTIF(O18:O37, "✗") + COUNTIF(O18:O37, "x") + COUNTIF(O18:O37, "X")), "")</f>
        <v/>
      </c>
      <c r="P38" s="33">
        <f>IF(((COUNTIF(P18:P37, "✓") + COUNTIF(P18:P37, "✔") + COUNTIF(P18:P37, "v") + COUNTIF(P18:P37, "V")) + COUNTIF(P18:P37, "✗") + COUNTIF(P18:P37, "x") + COUNTIF(P18:P37, "X")) &gt; 0, (COUNTIF(P18:P37, "✓") + COUNTIF(P18:P37, "✔") + COUNTIF(P18:P37, "v") + COUNTIF(P18:P37, "V")) &amp; "/" &amp; ((COUNTIF(P18:P37, "✓") + COUNTIF(P18:P37, "✔") + COUNTIF(P18:P37, "v") + COUNTIF(P18:P37, "V")) + COUNTIF(P18:P37, "✗") + COUNTIF(P18:P37, "x") + COUNTIF(P18:P37, "X")), "")</f>
        <v/>
      </c>
      <c r="Q38" s="33">
        <f>IF(((COUNTIF(Q18:Q37, "✓") + COUNTIF(Q18:Q37, "✔") + COUNTIF(Q18:Q37, "v") + COUNTIF(Q18:Q37, "V")) + COUNTIF(Q18:Q37, "✗") + COUNTIF(Q18:Q37, "x") + COUNTIF(Q18:Q37, "X")) &gt; 0, (COUNTIF(Q18:Q37, "✓") + COUNTIF(Q18:Q37, "✔") + COUNTIF(Q18:Q37, "v") + COUNTIF(Q18:Q37, "V")) &amp; "/" &amp; ((COUNTIF(Q18:Q37, "✓") + COUNTIF(Q18:Q37, "✔") + COUNTIF(Q18:Q37, "v") + COUNTIF(Q18:Q37, "V")) + COUNTIF(Q18:Q37, "✗") + COUNTIF(Q18:Q37, "x") + COUNTIF(Q18:Q37, "X")), "")</f>
        <v/>
      </c>
      <c r="R38" s="33">
        <f>IF(((COUNTIF(R18:R37, "✓") + COUNTIF(R18:R37, "✔") + COUNTIF(R18:R37, "v") + COUNTIF(R18:R37, "V")) + COUNTIF(R18:R37, "✗") + COUNTIF(R18:R37, "x") + COUNTIF(R18:R37, "X")) &gt; 0, (COUNTIF(R18:R37, "✓") + COUNTIF(R18:R37, "✔") + COUNTIF(R18:R37, "v") + COUNTIF(R18:R37, "V")) &amp; "/" &amp; ((COUNTIF(R18:R37, "✓") + COUNTIF(R18:R37, "✔") + COUNTIF(R18:R37, "v") + COUNTIF(R18:R37, "V")) + COUNTIF(R18:R37, "✗") + COUNTIF(R18:R37, "x") + COUNTIF(R18:R37, "X")), "")</f>
        <v/>
      </c>
      <c r="S38" s="33">
        <f>IF(((COUNTIF(S18:S37, "✓") + COUNTIF(S18:S37, "✔") + COUNTIF(S18:S37, "v") + COUNTIF(S18:S37, "V")) + COUNTIF(S18:S37, "✗") + COUNTIF(S18:S37, "x") + COUNTIF(S18:S37, "X")) &gt; 0, (COUNTIF(S18:S37, "✓") + COUNTIF(S18:S37, "✔") + COUNTIF(S18:S37, "v") + COUNTIF(S18:S37, "V")) &amp; "/" &amp; ((COUNTIF(S18:S37, "✓") + COUNTIF(S18:S37, "✔") + COUNTIF(S18:S37, "v") + COUNTIF(S18:S37, "V")) + COUNTIF(S18:S37, "✗") + COUNTIF(S18:S37, "x") + COUNTIF(S18:S37, "X")), "")</f>
        <v/>
      </c>
      <c r="T38" s="33">
        <f>IF(((COUNTIF(T18:T37, "✓") + COUNTIF(T18:T37, "✔") + COUNTIF(T18:T37, "v") + COUNTIF(T18:T37, "V")) + COUNTIF(T18:T37, "✗") + COUNTIF(T18:T37, "x") + COUNTIF(T18:T37, "X")) &gt; 0, (COUNTIF(T18:T37, "✓") + COUNTIF(T18:T37, "✔") + COUNTIF(T18:T37, "v") + COUNTIF(T18:T37, "V")) &amp; "/" &amp; ((COUNTIF(T18:T37, "✓") + COUNTIF(T18:T37, "✔") + COUNTIF(T18:T37, "v") + COUNTIF(T18:T37, "V")) + COUNTIF(T18:T37, "✗") + COUNTIF(T18:T37, "x") + COUNTIF(T18:T37, "X")), "")</f>
        <v/>
      </c>
      <c r="U38" s="33">
        <f>IF(((COUNTIF(U18:U37, "✓") + COUNTIF(U18:U37, "✔") + COUNTIF(U18:U37, "v") + COUNTIF(U18:U37, "V")) + COUNTIF(U18:U37, "✗") + COUNTIF(U18:U37, "x") + COUNTIF(U18:U37, "X")) &gt; 0, (COUNTIF(U18:U37, "✓") + COUNTIF(U18:U37, "✔") + COUNTIF(U18:U37, "v") + COUNTIF(U18:U37, "V")) &amp; "/" &amp; ((COUNTIF(U18:U37, "✓") + COUNTIF(U18:U37, "✔") + COUNTIF(U18:U37, "v") + COUNTIF(U18:U37, "V")) + COUNTIF(U18:U37, "✗") + COUNTIF(U18:U37, "x") + COUNTIF(U18:U37, "X")), "")</f>
        <v/>
      </c>
      <c r="V38" s="33">
        <f>IF(((COUNTIF(V18:V37, "✓") + COUNTIF(V18:V37, "✔") + COUNTIF(V18:V37, "v") + COUNTIF(V18:V37, "V")) + COUNTIF(V18:V37, "✗") + COUNTIF(V18:V37, "x") + COUNTIF(V18:V37, "X")) &gt; 0, (COUNTIF(V18:V37, "✓") + COUNTIF(V18:V37, "✔") + COUNTIF(V18:V37, "v") + COUNTIF(V18:V37, "V")) &amp; "/" &amp; ((COUNTIF(V18:V37, "✓") + COUNTIF(V18:V37, "✔") + COUNTIF(V18:V37, "v") + COUNTIF(V18:V37, "V")) + COUNTIF(V18:V37, "✗") + COUNTIF(V18:V37, "x") + COUNTIF(V18:V37, "X")), "")</f>
        <v/>
      </c>
      <c r="W38" s="33">
        <f>IF(((COUNTIF(W18:W37, "✓") + COUNTIF(W18:W37, "✔") + COUNTIF(W18:W37, "v") + COUNTIF(W18:W37, "V")) + COUNTIF(W18:W37, "✗") + COUNTIF(W18:W37, "x") + COUNTIF(W18:W37, "X")) &gt; 0, (COUNTIF(W18:W37, "✓") + COUNTIF(W18:W37, "✔") + COUNTIF(W18:W37, "v") + COUNTIF(W18:W37, "V")) &amp; "/" &amp; ((COUNTIF(W18:W37, "✓") + COUNTIF(W18:W37, "✔") + COUNTIF(W18:W37, "v") + COUNTIF(W18:W37, "V")) + COUNTIF(W18:W37, "✗") + COUNTIF(W18:W37, "x") + COUNTIF(W18:W37, "X")), "")</f>
        <v/>
      </c>
      <c r="X38" s="33">
        <f>IF(((COUNTIF(X18:X37, "✓") + COUNTIF(X18:X37, "✔") + COUNTIF(X18:X37, "v") + COUNTIF(X18:X37, "V")) + COUNTIF(X18:X37, "✗") + COUNTIF(X18:X37, "x") + COUNTIF(X18:X37, "X")) &gt; 0, (COUNTIF(X18:X37, "✓") + COUNTIF(X18:X37, "✔") + COUNTIF(X18:X37, "v") + COUNTIF(X18:X37, "V")) &amp; "/" &amp; ((COUNTIF(X18:X37, "✓") + COUNTIF(X18:X37, "✔") + COUNTIF(X18:X37, "v") + COUNTIF(X18:X37, "V")) + COUNTIF(X18:X37, "✗") + COUNTIF(X18:X37, "x") + COUNTIF(X18:X37, "X")), "")</f>
        <v/>
      </c>
      <c r="Y38" s="33">
        <f>IF(((COUNTIF(Y18:Y37, "✓") + COUNTIF(Y18:Y37, "✔") + COUNTIF(Y18:Y37, "v") + COUNTIF(Y18:Y37, "V")) + COUNTIF(Y18:Y37, "✗") + COUNTIF(Y18:Y37, "x") + COUNTIF(Y18:Y37, "X")) &gt; 0, (COUNTIF(Y18:Y37, "✓") + COUNTIF(Y18:Y37, "✔") + COUNTIF(Y18:Y37, "v") + COUNTIF(Y18:Y37, "V")) &amp; "/" &amp; ((COUNTIF(Y18:Y37, "✓") + COUNTIF(Y18:Y37, "✔") + COUNTIF(Y18:Y37, "v") + COUNTIF(Y18:Y37, "V")) + COUNTIF(Y18:Y37, "✗") + COUNTIF(Y18:Y37, "x") + COUNTIF(Y18:Y37, "X")), "")</f>
        <v/>
      </c>
      <c r="Z38" s="33">
        <f>IF(((COUNTIF(Z18:Z37, "✓") + COUNTIF(Z18:Z37, "✔") + COUNTIF(Z18:Z37, "v") + COUNTIF(Z18:Z37, "V")) + COUNTIF(Z18:Z37, "✗") + COUNTIF(Z18:Z37, "x") + COUNTIF(Z18:Z37, "X")) &gt; 0, (COUNTIF(Z18:Z37, "✓") + COUNTIF(Z18:Z37, "✔") + COUNTIF(Z18:Z37, "v") + COUNTIF(Z18:Z37, "V")) &amp; "/" &amp; ((COUNTIF(Z18:Z37, "✓") + COUNTIF(Z18:Z37, "✔") + COUNTIF(Z18:Z37, "v") + COUNTIF(Z18:Z37, "V")) + COUNTIF(Z18:Z37, "✗") + COUNTIF(Z18:Z37, "x") + COUNTIF(Z18:Z37, "X")), "")</f>
        <v/>
      </c>
      <c r="AA38" s="33">
        <f>IF(((COUNTIF(AA18:AA37, "✓") + COUNTIF(AA18:AA37, "✔") + COUNTIF(AA18:AA37, "v") + COUNTIF(AA18:AA37, "V")) + COUNTIF(AA18:AA37, "✗") + COUNTIF(AA18:AA37, "x") + COUNTIF(AA18:AA37, "X")) &gt; 0, (COUNTIF(AA18:AA37, "✓") + COUNTIF(AA18:AA37, "✔") + COUNTIF(AA18:AA37, "v") + COUNTIF(AA18:AA37, "V")) &amp; "/" &amp; ((COUNTIF(AA18:AA37, "✓") + COUNTIF(AA18:AA37, "✔") + COUNTIF(AA18:AA37, "v") + COUNTIF(AA18:AA37, "V")) + COUNTIF(AA18:AA37, "✗") + COUNTIF(AA18:AA37, "x") + COUNTIF(AA18:AA37, "X")), "")</f>
        <v/>
      </c>
      <c r="AB38" s="33">
        <f>IF(((COUNTIF(AB18:AB37, "✓") + COUNTIF(AB18:AB37, "✔") + COUNTIF(AB18:AB37, "v") + COUNTIF(AB18:AB37, "V")) + COUNTIF(AB18:AB37, "✗") + COUNTIF(AB18:AB37, "x") + COUNTIF(AB18:AB37, "X")) &gt; 0, (COUNTIF(AB18:AB37, "✓") + COUNTIF(AB18:AB37, "✔") + COUNTIF(AB18:AB37, "v") + COUNTIF(AB18:AB37, "V")) &amp; "/" &amp; ((COUNTIF(AB18:AB37, "✓") + COUNTIF(AB18:AB37, "✔") + COUNTIF(AB18:AB37, "v") + COUNTIF(AB18:AB37, "V")) + COUNTIF(AB18:AB37, "✗") + COUNTIF(AB18:AB37, "x") + COUNTIF(AB18:AB37, "X")), "")</f>
        <v/>
      </c>
      <c r="AC38" s="33">
        <f>IF(((COUNTIF(AC18:AC37, "✓") + COUNTIF(AC18:AC37, "✔") + COUNTIF(AC18:AC37, "v") + COUNTIF(AC18:AC37, "V")) + COUNTIF(AC18:AC37, "✗") + COUNTIF(AC18:AC37, "x") + COUNTIF(AC18:AC37, "X")) &gt; 0, (COUNTIF(AC18:AC37, "✓") + COUNTIF(AC18:AC37, "✔") + COUNTIF(AC18:AC37, "v") + COUNTIF(AC18:AC37, "V")) &amp; "/" &amp; ((COUNTIF(AC18:AC37, "✓") + COUNTIF(AC18:AC37, "✔") + COUNTIF(AC18:AC37, "v") + COUNTIF(AC18:AC37, "V")) + COUNTIF(AC18:AC37, "✗") + COUNTIF(AC18:AC37, "x") + COUNTIF(AC18:AC37, "X")), "")</f>
        <v/>
      </c>
      <c r="AD38" s="33">
        <f>IF(((COUNTIF(AD18:AD37, "✓") + COUNTIF(AD18:AD37, "✔") + COUNTIF(AD18:AD37, "v") + COUNTIF(AD18:AD37, "V")) + COUNTIF(AD18:AD37, "✗") + COUNTIF(AD18:AD37, "x") + COUNTIF(AD18:AD37, "X")) &gt; 0, (COUNTIF(AD18:AD37, "✓") + COUNTIF(AD18:AD37, "✔") + COUNTIF(AD18:AD37, "v") + COUNTIF(AD18:AD37, "V")) &amp; "/" &amp; ((COUNTIF(AD18:AD37, "✓") + COUNTIF(AD18:AD37, "✔") + COUNTIF(AD18:AD37, "v") + COUNTIF(AD18:AD37, "V")) + COUNTIF(AD18:AD37, "✗") + COUNTIF(AD18:AD37, "x") + COUNTIF(AD18:AD37, "X")), "")</f>
        <v/>
      </c>
      <c r="AE38" s="33">
        <f>IF(((COUNTIF(AE18:AE37, "✓") + COUNTIF(AE18:AE37, "✔") + COUNTIF(AE18:AE37, "v") + COUNTIF(AE18:AE37, "V")) + COUNTIF(AE18:AE37, "✗") + COUNTIF(AE18:AE37, "x") + COUNTIF(AE18:AE37, "X")) &gt; 0, (COUNTIF(AE18:AE37, "✓") + COUNTIF(AE18:AE37, "✔") + COUNTIF(AE18:AE37, "v") + COUNTIF(AE18:AE37, "V")) &amp; "/" &amp; ((COUNTIF(AE18:AE37, "✓") + COUNTIF(AE18:AE37, "✔") + COUNTIF(AE18:AE37, "v") + COUNTIF(AE18:AE37, "V")) + COUNTIF(AE18:AE37, "✗") + COUNTIF(AE18:AE37, "x") + COUNTIF(AE18:AE37, "X")), "")</f>
        <v/>
      </c>
      <c r="AF38" s="33">
        <f>IF(((COUNTIF(AF18:AF37, "✓") + COUNTIF(AF18:AF37, "✔") + COUNTIF(AF18:AF37, "v") + COUNTIF(AF18:AF37, "V")) + COUNTIF(AF18:AF37, "✗") + COUNTIF(AF18:AF37, "x") + COUNTIF(AF18:AF37, "X")) &gt; 0, (COUNTIF(AF18:AF37, "✓") + COUNTIF(AF18:AF37, "✔") + COUNTIF(AF18:AF37, "v") + COUNTIF(AF18:AF37, "V")) &amp; "/" &amp; ((COUNTIF(AF18:AF37, "✓") + COUNTIF(AF18:AF37, "✔") + COUNTIF(AF18:AF37, "v") + COUNTIF(AF18:AF37, "V")) + COUNTIF(AF18:AF37, "✗") + COUNTIF(AF18:AF37, "x") + COUNTIF(AF18:AF37, "X")), "")</f>
        <v/>
      </c>
      <c r="AG38" s="33">
        <f>IF(((COUNTIF(AG18:AG37, "✓") + COUNTIF(AG18:AG37, "✔") + COUNTIF(AG18:AG37, "v") + COUNTIF(AG18:AG37, "V")) + COUNTIF(AG18:AG37, "✗") + COUNTIF(AG18:AG37, "x") + COUNTIF(AG18:AG37, "X")) &gt; 0, (COUNTIF(AG18:AG37, "✓") + COUNTIF(AG18:AG37, "✔") + COUNTIF(AG18:AG37, "v") + COUNTIF(AG18:AG37, "V")) &amp; "/" &amp; ((COUNTIF(AG18:AG37, "✓") + COUNTIF(AG18:AG37, "✔") + COUNTIF(AG18:AG37, "v") + COUNTIF(AG18:AG37, "V")) + COUNTIF(AG18:AG37, "✗") + COUNTIF(AG18:AG37, "x") + COUNTIF(AG18:AG37, "X")), "")</f>
        <v/>
      </c>
      <c r="AH38" s="33">
        <f>IF(((COUNTIF(AH18:AH37, "✓") + COUNTIF(AH18:AH37, "✔") + COUNTIF(AH18:AH37, "v") + COUNTIF(AH18:AH37, "V")) + COUNTIF(AH18:AH37, "✗") + COUNTIF(AH18:AH37, "x") + COUNTIF(AH18:AH37, "X")) &gt; 0, (COUNTIF(AH18:AH37, "✓") + COUNTIF(AH18:AH37, "✔") + COUNTIF(AH18:AH37, "v") + COUNTIF(AH18:AH37, "V")) &amp; "/" &amp; ((COUNTIF(AH18:AH37, "✓") + COUNTIF(AH18:AH37, "✔") + COUNTIF(AH18:AH37, "v") + COUNTIF(AH18:AH37, "V")) + COUNTIF(AH18:AH37, "✗") + COUNTIF(AH18:AH37, "x") + COUNTIF(AH18:AH37, "X")), "")</f>
        <v/>
      </c>
      <c r="AI38" s="133">
        <f>IF(SUM(D18:D37) &gt; 0, SUM(AL18:AL37) / SUM(D18:D37), "")</f>
        <v/>
      </c>
      <c r="AJ38" s="33">
        <f>IF(SUM(D18:D37) &gt; 0, SUM(AL18:AL37) &amp; "/" &amp; SUM(D18:D37), "")</f>
        <v/>
      </c>
      <c r="AK38" s="54" t="n"/>
    </row>
    <row r="39" ht="18" customHeight="1">
      <c r="A39" s="132" t="inlineStr">
        <is>
          <t>DAILY SUCCESS %</t>
        </is>
      </c>
      <c r="B39" s="54" t="n"/>
      <c r="C39" s="54" t="n"/>
      <c r="D39" s="54" t="n"/>
      <c r="E39" s="134">
        <f>IF(((COUNTIF(E18:E37, "✓") + COUNTIF(E18:E37, "✔") + COUNTIF(E18:E37, "v") + COUNTIF(E18:E37, "V")) + COUNTIF(E18:E37, "✗") + COUNTIF(E18:E37, "x") + COUNTIF(E18:E37, "X")) &gt; 0, (COUNTIF(E18:E37, "✓") + COUNTIF(E18:E37, "✔") + COUNTIF(E18:E37, "v") + COUNTIF(E18:E37, "V")) / ((COUNTIF(E18:E37, "✓") + COUNTIF(E18:E37, "✔") + COUNTIF(E18:E37, "v") + COUNTIF(E18:E37, "V")) + COUNTIF(E18:E37, "✗") + COUNTIF(E18:E37, "x") + COUNTIF(E18:E37, "X")), "")</f>
        <v/>
      </c>
      <c r="F39" s="134">
        <f>IF(((COUNTIF(F18:F37, "✓") + COUNTIF(F18:F37, "✔") + COUNTIF(F18:F37, "v") + COUNTIF(F18:F37, "V")) + COUNTIF(F18:F37, "✗") + COUNTIF(F18:F37, "x") + COUNTIF(F18:F37, "X")) &gt; 0, (COUNTIF(F18:F37, "✓") + COUNTIF(F18:F37, "✔") + COUNTIF(F18:F37, "v") + COUNTIF(F18:F37, "V")) / ((COUNTIF(F18:F37, "✓") + COUNTIF(F18:F37, "✔") + COUNTIF(F18:F37, "v") + COUNTIF(F18:F37, "V")) + COUNTIF(F18:F37, "✗") + COUNTIF(F18:F37, "x") + COUNTIF(F18:F37, "X")), "")</f>
        <v/>
      </c>
      <c r="G39" s="134">
        <f>IF(((COUNTIF(G18:G37, "✓") + COUNTIF(G18:G37, "✔") + COUNTIF(G18:G37, "v") + COUNTIF(G18:G37, "V")) + COUNTIF(G18:G37, "✗") + COUNTIF(G18:G37, "x") + COUNTIF(G18:G37, "X")) &gt; 0, (COUNTIF(G18:G37, "✓") + COUNTIF(G18:G37, "✔") + COUNTIF(G18:G37, "v") + COUNTIF(G18:G37, "V")) / ((COUNTIF(G18:G37, "✓") + COUNTIF(G18:G37, "✔") + COUNTIF(G18:G37, "v") + COUNTIF(G18:G37, "V")) + COUNTIF(G18:G37, "✗") + COUNTIF(G18:G37, "x") + COUNTIF(G18:G37, "X")), "")</f>
        <v/>
      </c>
      <c r="H39" s="134">
        <f>IF(((COUNTIF(H18:H37, "✓") + COUNTIF(H18:H37, "✔") + COUNTIF(H18:H37, "v") + COUNTIF(H18:H37, "V")) + COUNTIF(H18:H37, "✗") + COUNTIF(H18:H37, "x") + COUNTIF(H18:H37, "X")) &gt; 0, (COUNTIF(H18:H37, "✓") + COUNTIF(H18:H37, "✔") + COUNTIF(H18:H37, "v") + COUNTIF(H18:H37, "V")) / ((COUNTIF(H18:H37, "✓") + COUNTIF(H18:H37, "✔") + COUNTIF(H18:H37, "v") + COUNTIF(H18:H37, "V")) + COUNTIF(H18:H37, "✗") + COUNTIF(H18:H37, "x") + COUNTIF(H18:H37, "X")), "")</f>
        <v/>
      </c>
      <c r="I39" s="134">
        <f>IF(((COUNTIF(I18:I37, "✓") + COUNTIF(I18:I37, "✔") + COUNTIF(I18:I37, "v") + COUNTIF(I18:I37, "V")) + COUNTIF(I18:I37, "✗") + COUNTIF(I18:I37, "x") + COUNTIF(I18:I37, "X")) &gt; 0, (COUNTIF(I18:I37, "✓") + COUNTIF(I18:I37, "✔") + COUNTIF(I18:I37, "v") + COUNTIF(I18:I37, "V")) / ((COUNTIF(I18:I37, "✓") + COUNTIF(I18:I37, "✔") + COUNTIF(I18:I37, "v") + COUNTIF(I18:I37, "V")) + COUNTIF(I18:I37, "✗") + COUNTIF(I18:I37, "x") + COUNTIF(I18:I37, "X")), "")</f>
        <v/>
      </c>
      <c r="J39" s="134">
        <f>IF(((COUNTIF(J18:J37, "✓") + COUNTIF(J18:J37, "✔") + COUNTIF(J18:J37, "v") + COUNTIF(J18:J37, "V")) + COUNTIF(J18:J37, "✗") + COUNTIF(J18:J37, "x") + COUNTIF(J18:J37, "X")) &gt; 0, (COUNTIF(J18:J37, "✓") + COUNTIF(J18:J37, "✔") + COUNTIF(J18:J37, "v") + COUNTIF(J18:J37, "V")) / ((COUNTIF(J18:J37, "✓") + COUNTIF(J18:J37, "✔") + COUNTIF(J18:J37, "v") + COUNTIF(J18:J37, "V")) + COUNTIF(J18:J37, "✗") + COUNTIF(J18:J37, "x") + COUNTIF(J18:J37, "X")), "")</f>
        <v/>
      </c>
      <c r="K39" s="134">
        <f>IF(((COUNTIF(K18:K37, "✓") + COUNTIF(K18:K37, "✔") + COUNTIF(K18:K37, "v") + COUNTIF(K18:K37, "V")) + COUNTIF(K18:K37, "✗") + COUNTIF(K18:K37, "x") + COUNTIF(K18:K37, "X")) &gt; 0, (COUNTIF(K18:K37, "✓") + COUNTIF(K18:K37, "✔") + COUNTIF(K18:K37, "v") + COUNTIF(K18:K37, "V")) / ((COUNTIF(K18:K37, "✓") + COUNTIF(K18:K37, "✔") + COUNTIF(K18:K37, "v") + COUNTIF(K18:K37, "V")) + COUNTIF(K18:K37, "✗") + COUNTIF(K18:K37, "x") + COUNTIF(K18:K37, "X")), "")</f>
        <v/>
      </c>
      <c r="L39" s="134">
        <f>IF(((COUNTIF(L18:L37, "✓") + COUNTIF(L18:L37, "✔") + COUNTIF(L18:L37, "v") + COUNTIF(L18:L37, "V")) + COUNTIF(L18:L37, "✗") + COUNTIF(L18:L37, "x") + COUNTIF(L18:L37, "X")) &gt; 0, (COUNTIF(L18:L37, "✓") + COUNTIF(L18:L37, "✔") + COUNTIF(L18:L37, "v") + COUNTIF(L18:L37, "V")) / ((COUNTIF(L18:L37, "✓") + COUNTIF(L18:L37, "✔") + COUNTIF(L18:L37, "v") + COUNTIF(L18:L37, "V")) + COUNTIF(L18:L37, "✗") + COUNTIF(L18:L37, "x") + COUNTIF(L18:L37, "X")), "")</f>
        <v/>
      </c>
      <c r="M39" s="134">
        <f>IF(((COUNTIF(M18:M37, "✓") + COUNTIF(M18:M37, "✔") + COUNTIF(M18:M37, "v") + COUNTIF(M18:M37, "V")) + COUNTIF(M18:M37, "✗") + COUNTIF(M18:M37, "x") + COUNTIF(M18:M37, "X")) &gt; 0, (COUNTIF(M18:M37, "✓") + COUNTIF(M18:M37, "✔") + COUNTIF(M18:M37, "v") + COUNTIF(M18:M37, "V")) / ((COUNTIF(M18:M37, "✓") + COUNTIF(M18:M37, "✔") + COUNTIF(M18:M37, "v") + COUNTIF(M18:M37, "V")) + COUNTIF(M18:M37, "✗") + COUNTIF(M18:M37, "x") + COUNTIF(M18:M37, "X")), "")</f>
        <v/>
      </c>
      <c r="N39" s="134">
        <f>IF(((COUNTIF(N18:N37, "✓") + COUNTIF(N18:N37, "✔") + COUNTIF(N18:N37, "v") + COUNTIF(N18:N37, "V")) + COUNTIF(N18:N37, "✗") + COUNTIF(N18:N37, "x") + COUNTIF(N18:N37, "X")) &gt; 0, (COUNTIF(N18:N37, "✓") + COUNTIF(N18:N37, "✔") + COUNTIF(N18:N37, "v") + COUNTIF(N18:N37, "V")) / ((COUNTIF(N18:N37, "✓") + COUNTIF(N18:N37, "✔") + COUNTIF(N18:N37, "v") + COUNTIF(N18:N37, "V")) + COUNTIF(N18:N37, "✗") + COUNTIF(N18:N37, "x") + COUNTIF(N18:N37, "X")), "")</f>
        <v/>
      </c>
      <c r="O39" s="134">
        <f>IF(((COUNTIF(O18:O37, "✓") + COUNTIF(O18:O37, "✔") + COUNTIF(O18:O37, "v") + COUNTIF(O18:O37, "V")) + COUNTIF(O18:O37, "✗") + COUNTIF(O18:O37, "x") + COUNTIF(O18:O37, "X")) &gt; 0, (COUNTIF(O18:O37, "✓") + COUNTIF(O18:O37, "✔") + COUNTIF(O18:O37, "v") + COUNTIF(O18:O37, "V")) / ((COUNTIF(O18:O37, "✓") + COUNTIF(O18:O37, "✔") + COUNTIF(O18:O37, "v") + COUNTIF(O18:O37, "V")) + COUNTIF(O18:O37, "✗") + COUNTIF(O18:O37, "x") + COUNTIF(O18:O37, "X")), "")</f>
        <v/>
      </c>
      <c r="P39" s="134">
        <f>IF(((COUNTIF(P18:P37, "✓") + COUNTIF(P18:P37, "✔") + COUNTIF(P18:P37, "v") + COUNTIF(P18:P37, "V")) + COUNTIF(P18:P37, "✗") + COUNTIF(P18:P37, "x") + COUNTIF(P18:P37, "X")) &gt; 0, (COUNTIF(P18:P37, "✓") + COUNTIF(P18:P37, "✔") + COUNTIF(P18:P37, "v") + COUNTIF(P18:P37, "V")) / ((COUNTIF(P18:P37, "✓") + COUNTIF(P18:P37, "✔") + COUNTIF(P18:P37, "v") + COUNTIF(P18:P37, "V")) + COUNTIF(P18:P37, "✗") + COUNTIF(P18:P37, "x") + COUNTIF(P18:P37, "X")), "")</f>
        <v/>
      </c>
      <c r="Q39" s="134">
        <f>IF(((COUNTIF(Q18:Q37, "✓") + COUNTIF(Q18:Q37, "✔") + COUNTIF(Q18:Q37, "v") + COUNTIF(Q18:Q37, "V")) + COUNTIF(Q18:Q37, "✗") + COUNTIF(Q18:Q37, "x") + COUNTIF(Q18:Q37, "X")) &gt; 0, (COUNTIF(Q18:Q37, "✓") + COUNTIF(Q18:Q37, "✔") + COUNTIF(Q18:Q37, "v") + COUNTIF(Q18:Q37, "V")) / ((COUNTIF(Q18:Q37, "✓") + COUNTIF(Q18:Q37, "✔") + COUNTIF(Q18:Q37, "v") + COUNTIF(Q18:Q37, "V")) + COUNTIF(Q18:Q37, "✗") + COUNTIF(Q18:Q37, "x") + COUNTIF(Q18:Q37, "X")), "")</f>
        <v/>
      </c>
      <c r="R39" s="134">
        <f>IF(((COUNTIF(R18:R37, "✓") + COUNTIF(R18:R37, "✔") + COUNTIF(R18:R37, "v") + COUNTIF(R18:R37, "V")) + COUNTIF(R18:R37, "✗") + COUNTIF(R18:R37, "x") + COUNTIF(R18:R37, "X")) &gt; 0, (COUNTIF(R18:R37, "✓") + COUNTIF(R18:R37, "✔") + COUNTIF(R18:R37, "v") + COUNTIF(R18:R37, "V")) / ((COUNTIF(R18:R37, "✓") + COUNTIF(R18:R37, "✔") + COUNTIF(R18:R37, "v") + COUNTIF(R18:R37, "V")) + COUNTIF(R18:R37, "✗") + COUNTIF(R18:R37, "x") + COUNTIF(R18:R37, "X")), "")</f>
        <v/>
      </c>
      <c r="S39" s="134">
        <f>IF(((COUNTIF(S18:S37, "✓") + COUNTIF(S18:S37, "✔") + COUNTIF(S18:S37, "v") + COUNTIF(S18:S37, "V")) + COUNTIF(S18:S37, "✗") + COUNTIF(S18:S37, "x") + COUNTIF(S18:S37, "X")) &gt; 0, (COUNTIF(S18:S37, "✓") + COUNTIF(S18:S37, "✔") + COUNTIF(S18:S37, "v") + COUNTIF(S18:S37, "V")) / ((COUNTIF(S18:S37, "✓") + COUNTIF(S18:S37, "✔") + COUNTIF(S18:S37, "v") + COUNTIF(S18:S37, "V")) + COUNTIF(S18:S37, "✗") + COUNTIF(S18:S37, "x") + COUNTIF(S18:S37, "X")), "")</f>
        <v/>
      </c>
      <c r="T39" s="134">
        <f>IF(((COUNTIF(T18:T37, "✓") + COUNTIF(T18:T37, "✔") + COUNTIF(T18:T37, "v") + COUNTIF(T18:T37, "V")) + COUNTIF(T18:T37, "✗") + COUNTIF(T18:T37, "x") + COUNTIF(T18:T37, "X")) &gt; 0, (COUNTIF(T18:T37, "✓") + COUNTIF(T18:T37, "✔") + COUNTIF(T18:T37, "v") + COUNTIF(T18:T37, "V")) / ((COUNTIF(T18:T37, "✓") + COUNTIF(T18:T37, "✔") + COUNTIF(T18:T37, "v") + COUNTIF(T18:T37, "V")) + COUNTIF(T18:T37, "✗") + COUNTIF(T18:T37, "x") + COUNTIF(T18:T37, "X")), "")</f>
        <v/>
      </c>
      <c r="U39" s="134">
        <f>IF(((COUNTIF(U18:U37, "✓") + COUNTIF(U18:U37, "✔") + COUNTIF(U18:U37, "v") + COUNTIF(U18:U37, "V")) + COUNTIF(U18:U37, "✗") + COUNTIF(U18:U37, "x") + COUNTIF(U18:U37, "X")) &gt; 0, (COUNTIF(U18:U37, "✓") + COUNTIF(U18:U37, "✔") + COUNTIF(U18:U37, "v") + COUNTIF(U18:U37, "V")) / ((COUNTIF(U18:U37, "✓") + COUNTIF(U18:U37, "✔") + COUNTIF(U18:U37, "v") + COUNTIF(U18:U37, "V")) + COUNTIF(U18:U37, "✗") + COUNTIF(U18:U37, "x") + COUNTIF(U18:U37, "X")), "")</f>
        <v/>
      </c>
      <c r="V39" s="134">
        <f>IF(((COUNTIF(V18:V37, "✓") + COUNTIF(V18:V37, "✔") + COUNTIF(V18:V37, "v") + COUNTIF(V18:V37, "V")) + COUNTIF(V18:V37, "✗") + COUNTIF(V18:V37, "x") + COUNTIF(V18:V37, "X")) &gt; 0, (COUNTIF(V18:V37, "✓") + COUNTIF(V18:V37, "✔") + COUNTIF(V18:V37, "v") + COUNTIF(V18:V37, "V")) / ((COUNTIF(V18:V37, "✓") + COUNTIF(V18:V37, "✔") + COUNTIF(V18:V37, "v") + COUNTIF(V18:V37, "V")) + COUNTIF(V18:V37, "✗") + COUNTIF(V18:V37, "x") + COUNTIF(V18:V37, "X")), "")</f>
        <v/>
      </c>
      <c r="W39" s="134">
        <f>IF(((COUNTIF(W18:W37, "✓") + COUNTIF(W18:W37, "✔") + COUNTIF(W18:W37, "v") + COUNTIF(W18:W37, "V")) + COUNTIF(W18:W37, "✗") + COUNTIF(W18:W37, "x") + COUNTIF(W18:W37, "X")) &gt; 0, (COUNTIF(W18:W37, "✓") + COUNTIF(W18:W37, "✔") + COUNTIF(W18:W37, "v") + COUNTIF(W18:W37, "V")) / ((COUNTIF(W18:W37, "✓") + COUNTIF(W18:W37, "✔") + COUNTIF(W18:W37, "v") + COUNTIF(W18:W37, "V")) + COUNTIF(W18:W37, "✗") + COUNTIF(W18:W37, "x") + COUNTIF(W18:W37, "X")), "")</f>
        <v/>
      </c>
      <c r="X39" s="134">
        <f>IF(((COUNTIF(X18:X37, "✓") + COUNTIF(X18:X37, "✔") + COUNTIF(X18:X37, "v") + COUNTIF(X18:X37, "V")) + COUNTIF(X18:X37, "✗") + COUNTIF(X18:X37, "x") + COUNTIF(X18:X37, "X")) &gt; 0, (COUNTIF(X18:X37, "✓") + COUNTIF(X18:X37, "✔") + COUNTIF(X18:X37, "v") + COUNTIF(X18:X37, "V")) / ((COUNTIF(X18:X37, "✓") + COUNTIF(X18:X37, "✔") + COUNTIF(X18:X37, "v") + COUNTIF(X18:X37, "V")) + COUNTIF(X18:X37, "✗") + COUNTIF(X18:X37, "x") + COUNTIF(X18:X37, "X")), "")</f>
        <v/>
      </c>
      <c r="Y39" s="134">
        <f>IF(((COUNTIF(Y18:Y37, "✓") + COUNTIF(Y18:Y37, "✔") + COUNTIF(Y18:Y37, "v") + COUNTIF(Y18:Y37, "V")) + COUNTIF(Y18:Y37, "✗") + COUNTIF(Y18:Y37, "x") + COUNTIF(Y18:Y37, "X")) &gt; 0, (COUNTIF(Y18:Y37, "✓") + COUNTIF(Y18:Y37, "✔") + COUNTIF(Y18:Y37, "v") + COUNTIF(Y18:Y37, "V")) / ((COUNTIF(Y18:Y37, "✓") + COUNTIF(Y18:Y37, "✔") + COUNTIF(Y18:Y37, "v") + COUNTIF(Y18:Y37, "V")) + COUNTIF(Y18:Y37, "✗") + COUNTIF(Y18:Y37, "x") + COUNTIF(Y18:Y37, "X")), "")</f>
        <v/>
      </c>
      <c r="Z39" s="134">
        <f>IF(((COUNTIF(Z18:Z37, "✓") + COUNTIF(Z18:Z37, "✔") + COUNTIF(Z18:Z37, "v") + COUNTIF(Z18:Z37, "V")) + COUNTIF(Z18:Z37, "✗") + COUNTIF(Z18:Z37, "x") + COUNTIF(Z18:Z37, "X")) &gt; 0, (COUNTIF(Z18:Z37, "✓") + COUNTIF(Z18:Z37, "✔") + COUNTIF(Z18:Z37, "v") + COUNTIF(Z18:Z37, "V")) / ((COUNTIF(Z18:Z37, "✓") + COUNTIF(Z18:Z37, "✔") + COUNTIF(Z18:Z37, "v") + COUNTIF(Z18:Z37, "V")) + COUNTIF(Z18:Z37, "✗") + COUNTIF(Z18:Z37, "x") + COUNTIF(Z18:Z37, "X")), "")</f>
        <v/>
      </c>
      <c r="AA39" s="134">
        <f>IF(((COUNTIF(AA18:AA37, "✓") + COUNTIF(AA18:AA37, "✔") + COUNTIF(AA18:AA37, "v") + COUNTIF(AA18:AA37, "V")) + COUNTIF(AA18:AA37, "✗") + COUNTIF(AA18:AA37, "x") + COUNTIF(AA18:AA37, "X")) &gt; 0, (COUNTIF(AA18:AA37, "✓") + COUNTIF(AA18:AA37, "✔") + COUNTIF(AA18:AA37, "v") + COUNTIF(AA18:AA37, "V")) / ((COUNTIF(AA18:AA37, "✓") + COUNTIF(AA18:AA37, "✔") + COUNTIF(AA18:AA37, "v") + COUNTIF(AA18:AA37, "V")) + COUNTIF(AA18:AA37, "✗") + COUNTIF(AA18:AA37, "x") + COUNTIF(AA18:AA37, "X")), "")</f>
        <v/>
      </c>
      <c r="AB39" s="134">
        <f>IF(((COUNTIF(AB18:AB37, "✓") + COUNTIF(AB18:AB37, "✔") + COUNTIF(AB18:AB37, "v") + COUNTIF(AB18:AB37, "V")) + COUNTIF(AB18:AB37, "✗") + COUNTIF(AB18:AB37, "x") + COUNTIF(AB18:AB37, "X")) &gt; 0, (COUNTIF(AB18:AB37, "✓") + COUNTIF(AB18:AB37, "✔") + COUNTIF(AB18:AB37, "v") + COUNTIF(AB18:AB37, "V")) / ((COUNTIF(AB18:AB37, "✓") + COUNTIF(AB18:AB37, "✔") + COUNTIF(AB18:AB37, "v") + COUNTIF(AB18:AB37, "V")) + COUNTIF(AB18:AB37, "✗") + COUNTIF(AB18:AB37, "x") + COUNTIF(AB18:AB37, "X")), "")</f>
        <v/>
      </c>
      <c r="AC39" s="134">
        <f>IF(((COUNTIF(AC18:AC37, "✓") + COUNTIF(AC18:AC37, "✔") + COUNTIF(AC18:AC37, "v") + COUNTIF(AC18:AC37, "V")) + COUNTIF(AC18:AC37, "✗") + COUNTIF(AC18:AC37, "x") + COUNTIF(AC18:AC37, "X")) &gt; 0, (COUNTIF(AC18:AC37, "✓") + COUNTIF(AC18:AC37, "✔") + COUNTIF(AC18:AC37, "v") + COUNTIF(AC18:AC37, "V")) / ((COUNTIF(AC18:AC37, "✓") + COUNTIF(AC18:AC37, "✔") + COUNTIF(AC18:AC37, "v") + COUNTIF(AC18:AC37, "V")) + COUNTIF(AC18:AC37, "✗") + COUNTIF(AC18:AC37, "x") + COUNTIF(AC18:AC37, "X")), "")</f>
        <v/>
      </c>
      <c r="AD39" s="134">
        <f>IF(((COUNTIF(AD18:AD37, "✓") + COUNTIF(AD18:AD37, "✔") + COUNTIF(AD18:AD37, "v") + COUNTIF(AD18:AD37, "V")) + COUNTIF(AD18:AD37, "✗") + COUNTIF(AD18:AD37, "x") + COUNTIF(AD18:AD37, "X")) &gt; 0, (COUNTIF(AD18:AD37, "✓") + COUNTIF(AD18:AD37, "✔") + COUNTIF(AD18:AD37, "v") + COUNTIF(AD18:AD37, "V")) / ((COUNTIF(AD18:AD37, "✓") + COUNTIF(AD18:AD37, "✔") + COUNTIF(AD18:AD37, "v") + COUNTIF(AD18:AD37, "V")) + COUNTIF(AD18:AD37, "✗") + COUNTIF(AD18:AD37, "x") + COUNTIF(AD18:AD37, "X")), "")</f>
        <v/>
      </c>
      <c r="AE39" s="134">
        <f>IF(((COUNTIF(AE18:AE37, "✓") + COUNTIF(AE18:AE37, "✔") + COUNTIF(AE18:AE37, "v") + COUNTIF(AE18:AE37, "V")) + COUNTIF(AE18:AE37, "✗") + COUNTIF(AE18:AE37, "x") + COUNTIF(AE18:AE37, "X")) &gt; 0, (COUNTIF(AE18:AE37, "✓") + COUNTIF(AE18:AE37, "✔") + COUNTIF(AE18:AE37, "v") + COUNTIF(AE18:AE37, "V")) / ((COUNTIF(AE18:AE37, "✓") + COUNTIF(AE18:AE37, "✔") + COUNTIF(AE18:AE37, "v") + COUNTIF(AE18:AE37, "V")) + COUNTIF(AE18:AE37, "✗") + COUNTIF(AE18:AE37, "x") + COUNTIF(AE18:AE37, "X")), "")</f>
        <v/>
      </c>
      <c r="AF39" s="134">
        <f>IF(((COUNTIF(AF18:AF37, "✓") + COUNTIF(AF18:AF37, "✔") + COUNTIF(AF18:AF37, "v") + COUNTIF(AF18:AF37, "V")) + COUNTIF(AF18:AF37, "✗") + COUNTIF(AF18:AF37, "x") + COUNTIF(AF18:AF37, "X")) &gt; 0, (COUNTIF(AF18:AF37, "✓") + COUNTIF(AF18:AF37, "✔") + COUNTIF(AF18:AF37, "v") + COUNTIF(AF18:AF37, "V")) / ((COUNTIF(AF18:AF37, "✓") + COUNTIF(AF18:AF37, "✔") + COUNTIF(AF18:AF37, "v") + COUNTIF(AF18:AF37, "V")) + COUNTIF(AF18:AF37, "✗") + COUNTIF(AF18:AF37, "x") + COUNTIF(AF18:AF37, "X")), "")</f>
        <v/>
      </c>
      <c r="AG39" s="134">
        <f>IF(((COUNTIF(AG18:AG37, "✓") + COUNTIF(AG18:AG37, "✔") + COUNTIF(AG18:AG37, "v") + COUNTIF(AG18:AG37, "V")) + COUNTIF(AG18:AG37, "✗") + COUNTIF(AG18:AG37, "x") + COUNTIF(AG18:AG37, "X")) &gt; 0, (COUNTIF(AG18:AG37, "✓") + COUNTIF(AG18:AG37, "✔") + COUNTIF(AG18:AG37, "v") + COUNTIF(AG18:AG37, "V")) / ((COUNTIF(AG18:AG37, "✓") + COUNTIF(AG18:AG37, "✔") + COUNTIF(AG18:AG37, "v") + COUNTIF(AG18:AG37, "V")) + COUNTIF(AG18:AG37, "✗") + COUNTIF(AG18:AG37, "x") + COUNTIF(AG18:AG37, "X")), "")</f>
        <v/>
      </c>
      <c r="AH39" s="134">
        <f>IF(((COUNTIF(AH18:AH37, "✓") + COUNTIF(AH18:AH37, "✔") + COUNTIF(AH18:AH37, "v") + COUNTIF(AH18:AH37, "V")) + COUNTIF(AH18:AH37, "✗") + COUNTIF(AH18:AH37, "x") + COUNTIF(AH18:AH37, "X")) &gt; 0, (COUNTIF(AH18:AH37, "✓") + COUNTIF(AH18:AH37, "✔") + COUNTIF(AH18:AH37, "v") + COUNTIF(AH18:AH37, "V")) / ((COUNTIF(AH18:AH37, "✓") + COUNTIF(AH18:AH37, "✔") + COUNTIF(AH18:AH37, "v") + COUNTIF(AH18:AH37, "V")) + COUNTIF(AH18:AH37, "✗") + COUNTIF(AH18:AH37, "x") + COUNTIF(AH18:AH37, "X")), "")</f>
        <v/>
      </c>
      <c r="AI39" s="133">
        <f>IF(COUNT(E39:AH39) &gt; 0, AVERAGE(E39:AH39), "")</f>
        <v/>
      </c>
      <c r="AJ39" s="54" t="n"/>
      <c r="AK39" s="54" t="n"/>
    </row>
    <row r="40" ht="6" customHeight="1"/>
    <row r="41" ht="15" customHeight="1">
      <c r="A41" s="135" t="inlineStr">
        <is>
          <t>IF SUCCESS &lt; 80%, PUNISHMENT: ________________________________________________</t>
        </is>
      </c>
    </row>
    <row r="42" ht="15" customHeight="1">
      <c r="A42" s="136" t="inlineStr">
        <is>
          <t>IF SUCCESS &gt; 90%, REWARD: __________________________________________________</t>
        </is>
      </c>
    </row>
    <row r="43" ht="10" customHeight="1"/>
    <row r="44" ht="10" customHeight="1"/>
    <row r="45" ht="15" customHeight="1">
      <c r="A45" s="51" t="inlineStr">
        <is>
          <t>Sleep Tracking</t>
        </is>
      </c>
      <c r="B45" s="52" t="n"/>
      <c r="C45" s="52" t="n"/>
      <c r="D45" s="52" t="n"/>
      <c r="E45" s="137" t="n">
        <v>1</v>
      </c>
      <c r="F45" s="137" t="n">
        <v>2</v>
      </c>
      <c r="G45" s="137" t="n">
        <v>3</v>
      </c>
      <c r="H45" s="137" t="n">
        <v>4</v>
      </c>
      <c r="I45" s="137" t="n">
        <v>5</v>
      </c>
      <c r="J45" s="138" t="n">
        <v>6</v>
      </c>
      <c r="K45" s="137" t="n">
        <v>7</v>
      </c>
      <c r="L45" s="137" t="n">
        <v>8</v>
      </c>
      <c r="M45" s="137" t="n">
        <v>9</v>
      </c>
      <c r="N45" s="137" t="n">
        <v>10</v>
      </c>
      <c r="O45" s="137" t="n">
        <v>11</v>
      </c>
      <c r="P45" s="137" t="n">
        <v>12</v>
      </c>
      <c r="Q45" s="138" t="n">
        <v>13</v>
      </c>
      <c r="R45" s="137" t="n">
        <v>14</v>
      </c>
      <c r="S45" s="137" t="n">
        <v>15</v>
      </c>
      <c r="T45" s="137" t="n">
        <v>16</v>
      </c>
      <c r="U45" s="137" t="n">
        <v>17</v>
      </c>
      <c r="V45" s="137" t="n">
        <v>18</v>
      </c>
      <c r="W45" s="137" t="n">
        <v>19</v>
      </c>
      <c r="X45" s="138" t="n">
        <v>20</v>
      </c>
      <c r="Y45" s="137" t="n">
        <v>21</v>
      </c>
      <c r="Z45" s="137" t="n">
        <v>22</v>
      </c>
      <c r="AA45" s="137" t="n">
        <v>23</v>
      </c>
      <c r="AB45" s="137" t="n">
        <v>24</v>
      </c>
      <c r="AC45" s="137" t="n">
        <v>25</v>
      </c>
      <c r="AD45" s="137" t="n">
        <v>26</v>
      </c>
      <c r="AE45" s="138" t="n">
        <v>27</v>
      </c>
      <c r="AF45" s="137" t="n">
        <v>28</v>
      </c>
      <c r="AG45" s="137" t="n">
        <v>29</v>
      </c>
      <c r="AH45" s="137" t="n">
        <v>30</v>
      </c>
    </row>
    <row r="46" ht="15" customHeight="1">
      <c r="A46" s="52" t="n"/>
      <c r="B46" s="52" t="n"/>
      <c r="C46" s="52" t="n"/>
      <c r="D46" s="52" t="n"/>
      <c r="E46" s="139" t="inlineStr">
        <is>
          <t>T</t>
        </is>
      </c>
      <c r="F46" s="139" t="inlineStr">
        <is>
          <t>W</t>
        </is>
      </c>
      <c r="G46" s="139" t="inlineStr">
        <is>
          <t>Th</t>
        </is>
      </c>
      <c r="H46" s="139" t="inlineStr">
        <is>
          <t>F</t>
        </is>
      </c>
      <c r="I46" s="139" t="inlineStr">
        <is>
          <t>Sa</t>
        </is>
      </c>
      <c r="J46" s="140" t="inlineStr">
        <is>
          <t>Su</t>
        </is>
      </c>
      <c r="K46" s="139" t="inlineStr">
        <is>
          <t>M</t>
        </is>
      </c>
      <c r="L46" s="139" t="inlineStr">
        <is>
          <t>T</t>
        </is>
      </c>
      <c r="M46" s="139" t="inlineStr">
        <is>
          <t>W</t>
        </is>
      </c>
      <c r="N46" s="139" t="inlineStr">
        <is>
          <t>Th</t>
        </is>
      </c>
      <c r="O46" s="139" t="inlineStr">
        <is>
          <t>F</t>
        </is>
      </c>
      <c r="P46" s="139" t="inlineStr">
        <is>
          <t>Sa</t>
        </is>
      </c>
      <c r="Q46" s="140" t="inlineStr">
        <is>
          <t>Su</t>
        </is>
      </c>
      <c r="R46" s="139" t="inlineStr">
        <is>
          <t>M</t>
        </is>
      </c>
      <c r="S46" s="139" t="inlineStr">
        <is>
          <t>T</t>
        </is>
      </c>
      <c r="T46" s="139" t="inlineStr">
        <is>
          <t>W</t>
        </is>
      </c>
      <c r="U46" s="139" t="inlineStr">
        <is>
          <t>Th</t>
        </is>
      </c>
      <c r="V46" s="139" t="inlineStr">
        <is>
          <t>F</t>
        </is>
      </c>
      <c r="W46" s="139" t="inlineStr">
        <is>
          <t>Sa</t>
        </is>
      </c>
      <c r="X46" s="140" t="inlineStr">
        <is>
          <t>Su</t>
        </is>
      </c>
      <c r="Y46" s="139" t="inlineStr">
        <is>
          <t>M</t>
        </is>
      </c>
      <c r="Z46" s="139" t="inlineStr">
        <is>
          <t>T</t>
        </is>
      </c>
      <c r="AA46" s="139" t="inlineStr">
        <is>
          <t>W</t>
        </is>
      </c>
      <c r="AB46" s="139" t="inlineStr">
        <is>
          <t>Th</t>
        </is>
      </c>
      <c r="AC46" s="139" t="inlineStr">
        <is>
          <t>F</t>
        </is>
      </c>
      <c r="AD46" s="139" t="inlineStr">
        <is>
          <t>Sa</t>
        </is>
      </c>
      <c r="AE46" s="140" t="inlineStr">
        <is>
          <t>Su</t>
        </is>
      </c>
      <c r="AF46" s="139" t="inlineStr">
        <is>
          <t>M</t>
        </is>
      </c>
      <c r="AG46" s="139" t="inlineStr">
        <is>
          <t>T</t>
        </is>
      </c>
      <c r="AH46" s="139" t="inlineStr">
        <is>
          <t>W</t>
        </is>
      </c>
    </row>
    <row r="47" ht="20" customHeight="1">
      <c r="A47" s="141" t="inlineStr">
        <is>
          <t>Sleep Hours (1-24)</t>
        </is>
      </c>
      <c r="B47" s="142" t="n"/>
      <c r="C47" s="142" t="n"/>
      <c r="D47" s="142" t="n"/>
      <c r="E47" s="143" t="n"/>
      <c r="F47" s="143" t="n"/>
      <c r="G47" s="143" t="n"/>
      <c r="H47" s="143" t="n"/>
      <c r="I47" s="143" t="n"/>
      <c r="J47" s="144" t="n"/>
      <c r="K47" s="143" t="n"/>
      <c r="L47" s="143" t="n"/>
      <c r="M47" s="143" t="n"/>
      <c r="N47" s="143" t="n"/>
      <c r="O47" s="143" t="n"/>
      <c r="P47" s="143" t="n"/>
      <c r="Q47" s="144" t="n"/>
      <c r="R47" s="143" t="n"/>
      <c r="S47" s="143" t="n"/>
      <c r="T47" s="143" t="n"/>
      <c r="U47" s="143" t="n"/>
      <c r="V47" s="143" t="n"/>
      <c r="W47" s="143" t="n"/>
      <c r="X47" s="144" t="n"/>
      <c r="Y47" s="143" t="n"/>
      <c r="Z47" s="143" t="n"/>
      <c r="AA47" s="143" t="n"/>
      <c r="AB47" s="143" t="n"/>
      <c r="AC47" s="143" t="n"/>
      <c r="AD47" s="143" t="n"/>
      <c r="AE47" s="144" t="n"/>
      <c r="AF47" s="143" t="n"/>
      <c r="AG47" s="143" t="n"/>
      <c r="AH47" s="143" t="n"/>
    </row>
    <row r="48" ht="6" customHeight="1"/>
    <row r="49" ht="14" customHeight="1"/>
    <row r="50" ht="14" customHeight="1"/>
    <row r="51" ht="14" customHeight="1"/>
    <row r="52" ht="14" customHeight="1"/>
    <row r="53" ht="14" customHeight="1"/>
    <row r="54" ht="14" customHeight="1"/>
    <row r="55" ht="14" customHeight="1"/>
    <row r="56" ht="14" customHeight="1"/>
    <row r="57" ht="14" customHeight="1"/>
    <row r="58" ht="14" customHeight="1"/>
    <row r="59" ht="14" customHeight="1"/>
    <row r="60" ht="14" customHeight="1"/>
    <row r="61" ht="14" customHeight="1"/>
    <row r="62" ht="14" customHeight="1"/>
    <row r="63" ht="14" customHeight="1"/>
    <row r="64" ht="14" customHeight="1"/>
    <row r="65" ht="14" customHeight="1"/>
    <row r="66" ht="8" customHeight="1"/>
    <row r="67">
      <c r="A67" s="145" t="inlineStr">
        <is>
          <t>MONTHLY SUCCESS RATE</t>
        </is>
      </c>
      <c r="B67" s="9" t="n"/>
      <c r="C67" s="9" t="n"/>
      <c r="D67" s="9" t="n"/>
      <c r="F67" s="146" t="inlineStr">
        <is>
          <t>ACTIVE PROTOCOLS</t>
        </is>
      </c>
      <c r="G67" s="11" t="n"/>
      <c r="H67" s="11" t="n"/>
      <c r="I67" s="11" t="n"/>
      <c r="K67" s="147" t="inlineStr">
        <is>
          <t>PERFECT DAYS (100%)</t>
        </is>
      </c>
      <c r="L67" s="13" t="n"/>
      <c r="M67" s="13" t="n"/>
      <c r="N67" s="13" t="n"/>
      <c r="P67" s="148" t="inlineStr">
        <is>
          <t>AVG SLEEP DURATION</t>
        </is>
      </c>
      <c r="Q67" s="15" t="n"/>
      <c r="R67" s="15" t="n"/>
      <c r="S67" s="15" t="n"/>
    </row>
    <row r="68">
      <c r="A68" s="149">
        <f>IF(SUM(D18:D37)&gt;0, SUM(AL18:AL37)/SUM(D18:D37), 0)</f>
        <v/>
      </c>
      <c r="B68" s="9" t="n"/>
      <c r="C68" s="9" t="n"/>
      <c r="D68" s="9" t="n"/>
      <c r="F68" s="150">
        <f>COUNTA(B18:B37) &amp; " / 20"</f>
        <v/>
      </c>
      <c r="G68" s="11" t="n"/>
      <c r="H68" s="11" t="n"/>
      <c r="I68" s="11" t="n"/>
      <c r="K68" s="151">
        <f>COUNTIF(E39:AH39, 1) &amp; " Days"</f>
        <v/>
      </c>
      <c r="L68" s="13" t="n"/>
      <c r="M68" s="13" t="n"/>
      <c r="N68" s="13" t="n"/>
      <c r="P68" s="152">
        <f>IFERROR(TEXT(AVERAGE(E47:AH47), "0.0") &amp; " hrs", "-")</f>
        <v/>
      </c>
      <c r="Q68" s="15" t="n"/>
      <c r="R68" s="15" t="n"/>
      <c r="S68" s="15" t="n"/>
    </row>
    <row r="69">
      <c r="A69" s="9" t="n"/>
      <c r="B69" s="9" t="n"/>
      <c r="C69" s="9" t="n"/>
      <c r="D69" s="9" t="n"/>
      <c r="F69" s="11" t="n"/>
      <c r="G69" s="11" t="n"/>
      <c r="H69" s="11" t="n"/>
      <c r="I69" s="11" t="n"/>
      <c r="K69" s="13" t="n"/>
      <c r="L69" s="13" t="n"/>
      <c r="M69" s="13" t="n"/>
      <c r="N69" s="13" t="n"/>
      <c r="P69" s="15" t="n"/>
      <c r="Q69" s="15" t="n"/>
      <c r="R69" s="15" t="n"/>
      <c r="S69" s="15" t="n"/>
    </row>
    <row r="70">
      <c r="A70" s="9" t="n"/>
      <c r="B70" s="9" t="n"/>
      <c r="C70" s="9" t="n"/>
      <c r="D70" s="9" t="n"/>
      <c r="F70" s="11" t="n"/>
      <c r="G70" s="11" t="n"/>
      <c r="H70" s="11" t="n"/>
      <c r="I70" s="11" t="n"/>
      <c r="K70" s="13" t="n"/>
      <c r="L70" s="13" t="n"/>
      <c r="M70" s="13" t="n"/>
      <c r="N70" s="13" t="n"/>
      <c r="P70" s="15" t="n"/>
      <c r="Q70" s="15" t="n"/>
      <c r="R70" s="15" t="n"/>
      <c r="S70" s="15" t="n"/>
    </row>
    <row r="71">
      <c r="A71" s="153" t="inlineStr">
        <is>
          <t>Target Completion</t>
        </is>
      </c>
      <c r="B71" s="9" t="n"/>
      <c r="C71" s="9" t="n"/>
      <c r="D71" s="9" t="n"/>
      <c r="F71" s="154" t="inlineStr">
        <is>
          <t>Habits Tracked</t>
        </is>
      </c>
      <c r="G71" s="11" t="n"/>
      <c r="H71" s="11" t="n"/>
      <c r="I71" s="11" t="n"/>
      <c r="K71" s="155" t="inlineStr">
        <is>
          <t>All Marked Habits Completed</t>
        </is>
      </c>
      <c r="L71" s="13" t="n"/>
      <c r="M71" s="13" t="n"/>
      <c r="N71" s="13" t="n"/>
      <c r="P71" s="156" t="inlineStr">
        <is>
          <t>Nightly Rest Average</t>
        </is>
      </c>
      <c r="Q71" s="15" t="n"/>
      <c r="R71" s="15" t="n"/>
      <c r="S71" s="15" t="n"/>
    </row>
    <row r="72" ht="8" customHeight="1"/>
    <row r="73" ht="6" customHeight="1"/>
    <row r="74">
      <c r="A74" s="67" t="inlineStr">
        <is>
          <t>WEEKLY PERFORMANCE (SLUMP DETECTOR)</t>
        </is>
      </c>
      <c r="B74" s="29" t="n"/>
      <c r="C74" s="29" t="n"/>
      <c r="D74" s="29" t="n"/>
      <c r="E74" s="29" t="n"/>
      <c r="N74" s="157" t="inlineStr">
        <is>
          <t>LIFE DOMAIN / CATEGORY BREAKDOWN</t>
        </is>
      </c>
      <c r="O74" s="158" t="n"/>
      <c r="P74" s="158" t="n"/>
      <c r="Q74" s="158" t="n"/>
      <c r="R74" s="158" t="n"/>
      <c r="S74" s="158" t="n"/>
    </row>
    <row r="75" ht="15" customHeight="1">
      <c r="A75" s="53" t="inlineStr">
        <is>
          <t>Week</t>
        </is>
      </c>
      <c r="B75" s="53" t="inlineStr">
        <is>
          <t>Days Range</t>
        </is>
      </c>
      <c r="C75" s="53" t="inlineStr">
        <is>
          <t>Checks Done</t>
        </is>
      </c>
      <c r="D75" s="53" t="inlineStr">
        <is>
          <t>Evaluated</t>
        </is>
      </c>
      <c r="E75" s="53" t="inlineStr">
        <is>
          <t>Success %</t>
        </is>
      </c>
      <c r="N75" s="53" t="inlineStr">
        <is>
          <t>Domain / Category</t>
        </is>
      </c>
      <c r="O75" s="54" t="n"/>
      <c r="P75" s="53" t="inlineStr">
        <is>
          <t>Active Habits</t>
        </is>
      </c>
      <c r="Q75" s="53" t="inlineStr">
        <is>
          <t>Target Days</t>
        </is>
      </c>
      <c r="R75" s="53" t="inlineStr">
        <is>
          <t>Done Checks</t>
        </is>
      </c>
      <c r="S75" s="53" t="inlineStr">
        <is>
          <t>Success %</t>
        </is>
      </c>
    </row>
    <row r="76" ht="14" customHeight="1">
      <c r="A76" s="33" t="inlineStr">
        <is>
          <t>Week 1</t>
        </is>
      </c>
      <c r="B76" s="34" t="inlineStr">
        <is>
          <t>Days 1 - 7</t>
        </is>
      </c>
      <c r="C76" s="34">
        <f>COUNTIF(E18:K37, "✓")</f>
        <v/>
      </c>
      <c r="D76" s="34">
        <f>COUNTIF(E18:K37, "✓") + COUNTIF(E18:K37, "✗")</f>
        <v/>
      </c>
      <c r="E76" s="35">
        <f>IFERROR(C76/D76, 0)</f>
        <v/>
      </c>
      <c r="N76" s="60" t="inlineStr">
        <is>
          <t>Health &amp; Fitness</t>
        </is>
      </c>
      <c r="O76" s="54" t="n"/>
      <c r="P76" s="34">
        <f>COUNTIF($C$18:$C$37, "Health &amp; Fitness")</f>
        <v/>
      </c>
      <c r="Q76" s="34">
        <f>SUMIF($C$18:$C$37, "Health &amp; Fitness", $D$18:$D$37)</f>
        <v/>
      </c>
      <c r="R76" s="34">
        <f>SUMIF($C$18:$C$37, "Health &amp; Fitness", $AL$18:$AL$37)</f>
        <v/>
      </c>
      <c r="S76" s="35">
        <f>IFERROR(R76/Q76, 0)</f>
        <v/>
      </c>
    </row>
    <row r="77" ht="14" customHeight="1">
      <c r="A77" s="33" t="inlineStr">
        <is>
          <t>Week 2</t>
        </is>
      </c>
      <c r="B77" s="34" t="inlineStr">
        <is>
          <t>Days 8 - 14</t>
        </is>
      </c>
      <c r="C77" s="34">
        <f>COUNTIF(L18:R37, "✓")</f>
        <v/>
      </c>
      <c r="D77" s="34">
        <f>COUNTIF(L18:R37, "✓") + COUNTIF(L18:R37, "✗")</f>
        <v/>
      </c>
      <c r="E77" s="35">
        <f>IFERROR(C77/D77, 0)</f>
        <v/>
      </c>
      <c r="N77" s="60" t="inlineStr">
        <is>
          <t>Mindset &amp; Learning</t>
        </is>
      </c>
      <c r="O77" s="54" t="n"/>
      <c r="P77" s="34">
        <f>COUNTIF($C$18:$C$37, "Mindset &amp; Learning")</f>
        <v/>
      </c>
      <c r="Q77" s="34">
        <f>SUMIF($C$18:$C$37, "Mindset &amp; Learning", $D$18:$D$37)</f>
        <v/>
      </c>
      <c r="R77" s="34">
        <f>SUMIF($C$18:$C$37, "Mindset &amp; Learning", $AL$18:$AL$37)</f>
        <v/>
      </c>
      <c r="S77" s="35">
        <f>IFERROR(R77/Q77, 0)</f>
        <v/>
      </c>
    </row>
    <row r="78" ht="14" customHeight="1">
      <c r="A78" s="33" t="inlineStr">
        <is>
          <t>Week 3</t>
        </is>
      </c>
      <c r="B78" s="34" t="inlineStr">
        <is>
          <t>Days 15 - 21</t>
        </is>
      </c>
      <c r="C78" s="34">
        <f>COUNTIF(S18:Y37, "✓")</f>
        <v/>
      </c>
      <c r="D78" s="34">
        <f>COUNTIF(S18:Y37, "✓") + COUNTIF(S18:Y37, "✗")</f>
        <v/>
      </c>
      <c r="E78" s="35">
        <f>IFERROR(C78/D78, 0)</f>
        <v/>
      </c>
      <c r="N78" s="60" t="inlineStr">
        <is>
          <t>Career &amp; Focus</t>
        </is>
      </c>
      <c r="O78" s="54" t="n"/>
      <c r="P78" s="34">
        <f>COUNTIF($C$18:$C$37, "Career &amp; Focus")</f>
        <v/>
      </c>
      <c r="Q78" s="34">
        <f>SUMIF($C$18:$C$37, "Career &amp; Focus", $D$18:$D$37)</f>
        <v/>
      </c>
      <c r="R78" s="34">
        <f>SUMIF($C$18:$C$37, "Career &amp; Focus", $AL$18:$AL$37)</f>
        <v/>
      </c>
      <c r="S78" s="35">
        <f>IFERROR(R78/Q78, 0)</f>
        <v/>
      </c>
    </row>
    <row r="79" ht="14" customHeight="1">
      <c r="A79" s="33" t="inlineStr">
        <is>
          <t>Week 4</t>
        </is>
      </c>
      <c r="B79" s="34" t="inlineStr">
        <is>
          <t>Days 22 - 28</t>
        </is>
      </c>
      <c r="C79" s="34">
        <f>COUNTIF(Z18:AF37, "✓")</f>
        <v/>
      </c>
      <c r="D79" s="34">
        <f>COUNTIF(Z18:AF37, "✓") + COUNTIF(Z18:AF37, "✗")</f>
        <v/>
      </c>
      <c r="E79" s="35">
        <f>IFERROR(C79/D79, 0)</f>
        <v/>
      </c>
      <c r="N79" s="60" t="inlineStr">
        <is>
          <t>Personal &amp; Home</t>
        </is>
      </c>
      <c r="O79" s="54" t="n"/>
      <c r="P79" s="34">
        <f>COUNTIF($C$18:$C$37, "Personal &amp; Home")</f>
        <v/>
      </c>
      <c r="Q79" s="34">
        <f>SUMIF($C$18:$C$37, "Personal &amp; Home", $D$18:$D$37)</f>
        <v/>
      </c>
      <c r="R79" s="34">
        <f>SUMIF($C$18:$C$37, "Personal &amp; Home", $AL$18:$AL$37)</f>
        <v/>
      </c>
      <c r="S79" s="35">
        <f>IFERROR(R79/Q79, 0)</f>
        <v/>
      </c>
    </row>
    <row r="80" ht="14" customHeight="1">
      <c r="A80" s="33" t="inlineStr">
        <is>
          <t>Week 5</t>
        </is>
      </c>
      <c r="B80" s="34" t="inlineStr">
        <is>
          <t>Days 29 - 30</t>
        </is>
      </c>
      <c r="C80" s="34">
        <f>COUNTIF(AG18:AH37, "✓")</f>
        <v/>
      </c>
      <c r="D80" s="34">
        <f>COUNTIF(AG18:AH37, "✓") + COUNTIF(AG18:AH37, "✗")</f>
        <v/>
      </c>
      <c r="E80" s="35">
        <f>IFERROR(C80/D80, 0)</f>
        <v/>
      </c>
      <c r="N80" s="60" t="inlineStr">
        <is>
          <t>Finance &amp; Wealth</t>
        </is>
      </c>
      <c r="O80" s="54" t="n"/>
      <c r="P80" s="34">
        <f>COUNTIF($C$18:$C$37, "Finance &amp; Wealth")</f>
        <v/>
      </c>
      <c r="Q80" s="34">
        <f>SUMIF($C$18:$C$37, "Finance &amp; Wealth", $D$18:$D$37)</f>
        <v/>
      </c>
      <c r="R80" s="34">
        <f>SUMIF($C$18:$C$37, "Finance &amp; Wealth", $AL$18:$AL$37)</f>
        <v/>
      </c>
      <c r="S80" s="35">
        <f>IFERROR(R80/Q80, 0)</f>
        <v/>
      </c>
    </row>
    <row r="81" ht="14" customHeight="1">
      <c r="A81" s="33" t="inlineStr">
        <is>
          <t>Total / Avg</t>
        </is>
      </c>
      <c r="B81" s="159" t="inlineStr">
        <is>
          <t>Month Total</t>
        </is>
      </c>
      <c r="C81" s="33">
        <f>SUM(C76:C80)</f>
        <v/>
      </c>
      <c r="D81" s="33">
        <f>SUM(D76:D80)</f>
        <v/>
      </c>
      <c r="E81" s="133">
        <f>IFERROR(C81/D81, 0)</f>
        <v/>
      </c>
    </row>
    <row r="82" ht="10" customHeight="1"/>
    <row r="83" ht="10" customHeight="1"/>
    <row r="84">
      <c r="A84" s="51" t="inlineStr">
        <is>
          <t>SLEEP &amp; PRODUCTIVITY CORRELATION ANALYSIS</t>
        </is>
      </c>
      <c r="B84" s="52" t="n"/>
      <c r="C84" s="52" t="n"/>
      <c r="D84" s="52" t="n"/>
      <c r="E84" s="52" t="n"/>
      <c r="F84" s="52" t="n"/>
      <c r="G84" s="52" t="n"/>
      <c r="H84" s="52" t="n"/>
      <c r="I84" s="52" t="n"/>
      <c r="J84" s="52" t="n"/>
      <c r="K84" s="52" t="n"/>
      <c r="L84" s="52" t="n"/>
      <c r="M84" s="52" t="n"/>
      <c r="N84" s="52" t="n"/>
      <c r="O84" s="52" t="n"/>
      <c r="P84" s="52" t="n"/>
      <c r="Q84" s="52" t="n"/>
      <c r="R84" s="52" t="n"/>
      <c r="S84" s="52" t="n"/>
      <c r="T84" s="52" t="n"/>
      <c r="U84" s="52" t="n"/>
      <c r="V84" s="52" t="n"/>
      <c r="W84" s="52" t="n"/>
      <c r="X84" s="52" t="n"/>
      <c r="Y84" s="52" t="n"/>
      <c r="Z84" s="52" t="n"/>
      <c r="AA84" s="52" t="n"/>
      <c r="AB84" s="52" t="n"/>
      <c r="AC84" s="52" t="n"/>
      <c r="AD84" s="52" t="n"/>
      <c r="AE84" s="52" t="n"/>
      <c r="AF84" s="52" t="n"/>
      <c r="AG84" s="52" t="n"/>
      <c r="AH84" s="52" t="n"/>
      <c r="AI84" s="52" t="n"/>
      <c r="AJ84" s="52" t="n"/>
      <c r="AK84" s="52" t="n"/>
    </row>
    <row r="85" ht="15" customHeight="1">
      <c r="A85" s="53" t="inlineStr">
        <is>
          <t>Rest Category</t>
        </is>
      </c>
      <c r="B85" s="54" t="n"/>
      <c r="C85" s="54" t="n"/>
      <c r="D85" s="53" t="inlineStr">
        <is>
          <t>Day Criteria</t>
        </is>
      </c>
      <c r="E85" s="54" t="n"/>
      <c r="F85" s="54" t="n"/>
      <c r="G85" s="53" t="inlineStr">
        <is>
          <t>Days Logged</t>
        </is>
      </c>
      <c r="H85" s="54" t="n"/>
      <c r="I85" s="54" t="n"/>
      <c r="J85" s="53" t="inlineStr">
        <is>
          <t>Avg Sleep Duration</t>
        </is>
      </c>
      <c r="K85" s="54" t="n"/>
      <c r="L85" s="54" t="n"/>
      <c r="M85" s="54" t="n"/>
      <c r="N85" s="53" t="inlineStr">
        <is>
          <t>Avg Habit Success %</t>
        </is>
      </c>
      <c r="O85" s="54" t="n"/>
      <c r="P85" s="54" t="n"/>
      <c r="Q85" s="54" t="n"/>
      <c r="R85" s="53" t="inlineStr">
        <is>
          <t>Productivity Delta</t>
        </is>
      </c>
      <c r="S85" s="54" t="n"/>
      <c r="T85" s="54" t="n"/>
      <c r="U85" s="54" t="n"/>
    </row>
    <row r="86" ht="15" customHeight="1">
      <c r="A86" s="160" t="inlineStr">
        <is>
          <t>Optimal Rest</t>
        </is>
      </c>
      <c r="B86" s="161" t="n"/>
      <c r="C86" s="56" t="n"/>
      <c r="D86" s="34" t="inlineStr">
        <is>
          <t>&gt;= 7 Hours / Night</t>
        </is>
      </c>
      <c r="E86" s="161" t="n"/>
      <c r="F86" s="56" t="n"/>
      <c r="G86" s="33">
        <f>COUNTIF(E47:AH47, "&gt;=7")</f>
        <v/>
      </c>
      <c r="H86" s="161" t="n"/>
      <c r="I86" s="56" t="n"/>
      <c r="J86" s="34">
        <f>IFERROR(TEXT(AVERAGEIF(E47:AH47, "&gt;=7"), "0.0") &amp; " hrs", "-")</f>
        <v/>
      </c>
      <c r="K86" s="161" t="n"/>
      <c r="L86" s="161" t="n"/>
      <c r="M86" s="56" t="n"/>
      <c r="N86" s="42">
        <f>IFERROR(AVERAGEIFS(E39:AH39, E47:AH47, "&gt;=7", E39:AH39, "&gt;0"), 0)</f>
        <v/>
      </c>
      <c r="O86" s="161" t="n"/>
      <c r="P86" s="161" t="n"/>
      <c r="Q86" s="56" t="n"/>
      <c r="R86" s="159" t="inlineStr">
        <is>
          <t>Baseline (Target)</t>
        </is>
      </c>
      <c r="S86" s="161" t="n"/>
      <c r="T86" s="161" t="n"/>
      <c r="U86" s="56" t="n"/>
    </row>
    <row r="87" ht="15" customHeight="1">
      <c r="A87" s="162" t="inlineStr">
        <is>
          <t>Sleep Deficit</t>
        </is>
      </c>
      <c r="B87" s="161" t="n"/>
      <c r="C87" s="56" t="n"/>
      <c r="D87" s="34" t="inlineStr">
        <is>
          <t>&lt; 7 Hours / Night</t>
        </is>
      </c>
      <c r="E87" s="161" t="n"/>
      <c r="F87" s="56" t="n"/>
      <c r="G87" s="33">
        <f>COUNTIF(E47:AH47, "&lt;7") - COUNTIF(E47:AH47, "")</f>
        <v/>
      </c>
      <c r="H87" s="161" t="n"/>
      <c r="I87" s="56" t="n"/>
      <c r="J87" s="34">
        <f>IFERROR(TEXT(AVERAGEIFS(E47:AH47, E47:AH47, "&lt;7", E47:AH47, "&gt;0"), "0.0") &amp; " hrs", "-")</f>
        <v/>
      </c>
      <c r="K87" s="161" t="n"/>
      <c r="L87" s="161" t="n"/>
      <c r="M87" s="56" t="n"/>
      <c r="N87" s="163">
        <f>IFERROR(AVERAGEIFS(E39:AH39, E47:AH47, "&lt;7", E39:AH39, "&gt;0"), 0)</f>
        <v/>
      </c>
      <c r="O87" s="161" t="n"/>
      <c r="P87" s="161" t="n"/>
      <c r="Q87" s="56" t="n"/>
      <c r="R87" s="160">
        <f>IFERROR(TEXT(N86 - N87, "+0.0%;-0.0%;0.0%") &amp; " Rest Advantage", "-")</f>
        <v/>
      </c>
      <c r="S87" s="161" t="n"/>
      <c r="T87" s="161" t="n"/>
      <c r="U87" s="56" t="n"/>
    </row>
    <row r="88" ht="18" customHeight="1">
      <c r="A88" s="164">
        <f>IF(AND(ISNUMBER(N86), ISNUMBER(N87), N86&gt;0, N87&gt;0), "💡 Sleep Correlation Insight: You complete " &amp; TEXT(ABS(N86-N87), "0.0%") &amp; IF(N86&gt;=N87, " MORE habits on days with 7+ hours of sleep!", " fewer habits on days with 7+ hours of sleep."), "💡 Log both habits and sleep hours daily to unlock automatic AI correlation insights!")</f>
        <v/>
      </c>
      <c r="B88" s="161" t="n"/>
      <c r="C88" s="161" t="n"/>
      <c r="D88" s="161" t="n"/>
      <c r="E88" s="161" t="n"/>
      <c r="F88" s="161" t="n"/>
      <c r="G88" s="161" t="n"/>
      <c r="H88" s="161" t="n"/>
      <c r="I88" s="161" t="n"/>
      <c r="J88" s="161" t="n"/>
      <c r="K88" s="161" t="n"/>
      <c r="L88" s="161" t="n"/>
      <c r="M88" s="161" t="n"/>
      <c r="N88" s="161" t="n"/>
      <c r="O88" s="161" t="n"/>
      <c r="P88" s="161" t="n"/>
      <c r="Q88" s="161" t="n"/>
      <c r="R88" s="161" t="n"/>
      <c r="S88" s="161" t="n"/>
      <c r="T88" s="161" t="n"/>
      <c r="U88" s="161" t="n"/>
      <c r="V88" s="161" t="n"/>
      <c r="W88" s="161" t="n"/>
      <c r="X88" s="161" t="n"/>
      <c r="Y88" s="161" t="n"/>
      <c r="Z88" s="161" t="n"/>
      <c r="AA88" s="161" t="n"/>
      <c r="AB88" s="161" t="n"/>
      <c r="AC88" s="161" t="n"/>
      <c r="AD88" s="161" t="n"/>
      <c r="AE88" s="161" t="n"/>
      <c r="AF88" s="161" t="n"/>
      <c r="AG88" s="161" t="n"/>
      <c r="AH88" s="161" t="n"/>
      <c r="AI88" s="161" t="n"/>
      <c r="AJ88" s="161" t="n"/>
      <c r="AK88" s="56" t="n"/>
    </row>
    <row r="89" ht="10" customHeight="1"/>
    <row r="90">
      <c r="A90" s="43" t="inlineStr">
        <is>
          <t>STANDARDIZED DATA BRIDGE (FOR ANNUAL &amp; QUARTERLY REVIEW SHEETS)</t>
        </is>
      </c>
      <c r="B90" s="44" t="n"/>
      <c r="C90" s="44" t="n"/>
      <c r="D90" s="44" t="n"/>
      <c r="E90" s="44" t="n"/>
      <c r="F90" s="44" t="n"/>
      <c r="G90" s="44" t="n"/>
      <c r="H90" s="44" t="n"/>
      <c r="I90" s="44" t="n"/>
      <c r="J90" s="44" t="n"/>
      <c r="K90" s="44" t="n"/>
      <c r="L90" s="44" t="n"/>
      <c r="M90" s="44" t="n"/>
      <c r="N90" s="44" t="n"/>
      <c r="O90" s="44" t="n"/>
      <c r="P90" s="44" t="n"/>
      <c r="Q90" s="44" t="n"/>
      <c r="R90" s="44" t="n"/>
      <c r="S90" s="44" t="n"/>
      <c r="T90" s="44" t="n"/>
      <c r="U90" s="44" t="n"/>
      <c r="V90" s="44" t="n"/>
      <c r="W90" s="44" t="n"/>
      <c r="X90" s="44" t="n"/>
      <c r="Y90" s="44" t="n"/>
      <c r="Z90" s="44" t="n"/>
      <c r="AA90" s="44" t="n"/>
      <c r="AB90" s="44" t="n"/>
      <c r="AC90" s="44" t="n"/>
      <c r="AD90" s="44" t="n"/>
      <c r="AE90" s="44" t="n"/>
      <c r="AF90" s="44" t="n"/>
      <c r="AG90" s="44" t="n"/>
      <c r="AH90" s="44" t="n"/>
      <c r="AI90" s="44" t="n"/>
      <c r="AJ90" s="44" t="n"/>
      <c r="AK90" s="44" t="n"/>
    </row>
    <row r="91" ht="15" customHeight="1">
      <c r="A91" s="53" t="inlineStr">
        <is>
          <t>Month</t>
        </is>
      </c>
      <c r="B91" s="54" t="n"/>
      <c r="C91" s="53" t="inlineStr">
        <is>
          <t>Year</t>
        </is>
      </c>
      <c r="D91" s="54" t="n"/>
      <c r="E91" s="53" t="inlineStr">
        <is>
          <t>Active Habits</t>
        </is>
      </c>
      <c r="F91" s="54" t="n"/>
      <c r="G91" s="53" t="inlineStr">
        <is>
          <t>Target Days</t>
        </is>
      </c>
      <c r="H91" s="54" t="n"/>
      <c r="I91" s="53" t="inlineStr">
        <is>
          <t>Done Checks</t>
        </is>
      </c>
      <c r="J91" s="54" t="n"/>
      <c r="K91" s="53" t="inlineStr">
        <is>
          <t>Success %</t>
        </is>
      </c>
      <c r="L91" s="54" t="n"/>
      <c r="M91" s="53" t="inlineStr">
        <is>
          <t>Perfect Days</t>
        </is>
      </c>
      <c r="N91" s="54" t="n"/>
      <c r="O91" s="53" t="inlineStr">
        <is>
          <t>Avg Sleep</t>
        </is>
      </c>
      <c r="P91" s="54" t="n"/>
      <c r="Q91" s="53" t="inlineStr">
        <is>
          <t>Best Week</t>
        </is>
      </c>
      <c r="R91" s="54" t="n"/>
      <c r="S91" s="54" t="n"/>
      <c r="T91" s="53" t="inlineStr">
        <is>
          <t>Top Life Domain</t>
        </is>
      </c>
      <c r="U91" s="54" t="n"/>
      <c r="V91" s="54" t="n"/>
      <c r="W91" s="54" t="n"/>
    </row>
    <row r="92" ht="16" customHeight="1">
      <c r="A92" s="165" t="inlineStr">
        <is>
          <t>Sep</t>
        </is>
      </c>
      <c r="B92" s="56" t="n"/>
      <c r="C92" s="165" t="n">
        <v>2026</v>
      </c>
      <c r="D92" s="56" t="n"/>
      <c r="E92" s="166">
        <f>COUNTA(B18:B37)</f>
        <v/>
      </c>
      <c r="F92" s="56" t="n"/>
      <c r="G92" s="166">
        <f>SUM(D18:D37)</f>
        <v/>
      </c>
      <c r="H92" s="56" t="n"/>
      <c r="I92" s="166">
        <f>SUM(AL18:AL37)</f>
        <v/>
      </c>
      <c r="J92" s="56" t="n"/>
      <c r="K92" s="167">
        <f>IF(G92&gt;0, I92/G92, 0)</f>
        <v/>
      </c>
      <c r="L92" s="56" t="n"/>
      <c r="M92" s="166">
        <f>COUNTIF(E39:AH39, 1)</f>
        <v/>
      </c>
      <c r="N92" s="56" t="n"/>
      <c r="O92" s="168">
        <f>IFERROR(AVERAGE(E47:AH47), 0)</f>
        <v/>
      </c>
      <c r="P92" s="56" t="n"/>
      <c r="Q92" s="166">
        <f>INDEX(A76:A80, MATCH(MAX(E76:E80), E76:E80, 0))</f>
        <v/>
      </c>
      <c r="R92" s="161" t="n"/>
      <c r="S92" s="56" t="n"/>
      <c r="T92" s="166">
        <f>INDEX(N76:N80, MATCH(MAX(S76:S80), S76:S80, 0))</f>
        <v/>
      </c>
      <c r="U92" s="161" t="n"/>
      <c r="V92" s="161" t="n"/>
      <c r="W92" s="56" t="n"/>
    </row>
    <row r="93" ht="14" customHeight="1">
      <c r="A93" s="169" t="inlineStr">
        <is>
          <t>📋 Note: Reference or copy Row 92 directly into an Annual / Quarterly review dashboard to track yearly habit trends.</t>
        </is>
      </c>
    </row>
    <row r="94" ht="8" customHeight="1"/>
    <row r="95">
      <c r="A95" s="170" t="inlineStr">
        <is>
          <t>🏆 MONTHLY WINS &amp; HIGHLIGHTS</t>
        </is>
      </c>
      <c r="J95" s="171" t="inlineStr">
        <is>
          <t>⚠️ FRICTION POINTS &amp; ROOT CAUSES</t>
        </is>
      </c>
      <c r="S95" s="172" t="inlineStr">
        <is>
          <t>🎯 3 KEY ADJUSTMENTS FOR NEXT MONTH</t>
        </is>
      </c>
    </row>
    <row r="96">
      <c r="A96" s="173" t="inlineStr">
        <is>
          <t>1. What went exceptionally well this month?
2. Which habit felt effortless and consistent?
3. Major milestone achieved:</t>
        </is>
      </c>
      <c r="B96" s="174" t="n"/>
      <c r="C96" s="174" t="n"/>
      <c r="D96" s="174" t="n"/>
      <c r="E96" s="174" t="n"/>
      <c r="F96" s="174" t="n"/>
      <c r="G96" s="174" t="n"/>
      <c r="H96" s="174" t="n"/>
      <c r="J96" s="175" t="inlineStr">
        <is>
          <t>1. What caused missed or skipped days?
2. Main triggers / energy drains encountered:
3. Which habit had the lowest consistency and why?</t>
        </is>
      </c>
      <c r="K96" s="176" t="n"/>
      <c r="L96" s="176" t="n"/>
      <c r="M96" s="176" t="n"/>
      <c r="N96" s="176" t="n"/>
      <c r="O96" s="176" t="n"/>
      <c r="P96" s="176" t="n"/>
      <c r="Q96" s="176" t="n"/>
      <c r="S96" s="177" t="inlineStr">
        <is>
          <t>1. Habit Stacking or time adjustment for next month:
2. Environment design change to eliminate friction:
3. One non-negotiable priority protocol:</t>
        </is>
      </c>
      <c r="T96" s="178" t="n"/>
      <c r="U96" s="178" t="n"/>
      <c r="V96" s="178" t="n"/>
      <c r="W96" s="178" t="n"/>
      <c r="X96" s="178" t="n"/>
      <c r="Y96" s="178" t="n"/>
      <c r="Z96" s="178" t="n"/>
    </row>
    <row r="97">
      <c r="A97" s="174" t="n"/>
      <c r="B97" s="174" t="n"/>
      <c r="C97" s="174" t="n"/>
      <c r="D97" s="174" t="n"/>
      <c r="E97" s="174" t="n"/>
      <c r="F97" s="174" t="n"/>
      <c r="G97" s="174" t="n"/>
      <c r="H97" s="174" t="n"/>
      <c r="J97" s="176" t="n"/>
      <c r="K97" s="176" t="n"/>
      <c r="L97" s="176" t="n"/>
      <c r="M97" s="176" t="n"/>
      <c r="N97" s="176" t="n"/>
      <c r="O97" s="176" t="n"/>
      <c r="P97" s="176" t="n"/>
      <c r="Q97" s="176" t="n"/>
      <c r="S97" s="178" t="n"/>
      <c r="T97" s="178" t="n"/>
      <c r="U97" s="178" t="n"/>
      <c r="V97" s="178" t="n"/>
      <c r="W97" s="178" t="n"/>
      <c r="X97" s="178" t="n"/>
      <c r="Y97" s="178" t="n"/>
      <c r="Z97" s="178" t="n"/>
    </row>
    <row r="98">
      <c r="A98" s="174" t="n"/>
      <c r="B98" s="174" t="n"/>
      <c r="C98" s="174" t="n"/>
      <c r="D98" s="174" t="n"/>
      <c r="E98" s="174" t="n"/>
      <c r="F98" s="174" t="n"/>
      <c r="G98" s="174" t="n"/>
      <c r="H98" s="174" t="n"/>
      <c r="J98" s="176" t="n"/>
      <c r="K98" s="176" t="n"/>
      <c r="L98" s="176" t="n"/>
      <c r="M98" s="176" t="n"/>
      <c r="N98" s="176" t="n"/>
      <c r="O98" s="176" t="n"/>
      <c r="P98" s="176" t="n"/>
      <c r="Q98" s="176" t="n"/>
      <c r="S98" s="178" t="n"/>
      <c r="T98" s="178" t="n"/>
      <c r="U98" s="178" t="n"/>
      <c r="V98" s="178" t="n"/>
      <c r="W98" s="178" t="n"/>
      <c r="X98" s="178" t="n"/>
      <c r="Y98" s="178" t="n"/>
      <c r="Z98" s="178" t="n"/>
    </row>
    <row r="99">
      <c r="A99" s="174" t="n"/>
      <c r="B99" s="174" t="n"/>
      <c r="C99" s="174" t="n"/>
      <c r="D99" s="174" t="n"/>
      <c r="E99" s="174" t="n"/>
      <c r="F99" s="174" t="n"/>
      <c r="G99" s="174" t="n"/>
      <c r="H99" s="174" t="n"/>
      <c r="J99" s="176" t="n"/>
      <c r="K99" s="176" t="n"/>
      <c r="L99" s="176" t="n"/>
      <c r="M99" s="176" t="n"/>
      <c r="N99" s="176" t="n"/>
      <c r="O99" s="176" t="n"/>
      <c r="P99" s="176" t="n"/>
      <c r="Q99" s="176" t="n"/>
      <c r="S99" s="178" t="n"/>
      <c r="T99" s="178" t="n"/>
      <c r="U99" s="178" t="n"/>
      <c r="V99" s="178" t="n"/>
      <c r="W99" s="178" t="n"/>
      <c r="X99" s="178" t="n"/>
      <c r="Y99" s="178" t="n"/>
      <c r="Z99" s="178" t="n"/>
    </row>
    <row r="100">
      <c r="A100" s="174" t="n"/>
      <c r="B100" s="174" t="n"/>
      <c r="C100" s="174" t="n"/>
      <c r="D100" s="174" t="n"/>
      <c r="E100" s="174" t="n"/>
      <c r="F100" s="174" t="n"/>
      <c r="G100" s="174" t="n"/>
      <c r="H100" s="174" t="n"/>
      <c r="J100" s="176" t="n"/>
      <c r="K100" s="176" t="n"/>
      <c r="L100" s="176" t="n"/>
      <c r="M100" s="176" t="n"/>
      <c r="N100" s="176" t="n"/>
      <c r="O100" s="176" t="n"/>
      <c r="P100" s="176" t="n"/>
      <c r="Q100" s="176" t="n"/>
      <c r="S100" s="178" t="n"/>
      <c r="T100" s="178" t="n"/>
      <c r="U100" s="178" t="n"/>
      <c r="V100" s="178" t="n"/>
      <c r="W100" s="178" t="n"/>
      <c r="X100" s="178" t="n"/>
      <c r="Y100" s="178" t="n"/>
      <c r="Z100" s="178" t="n"/>
    </row>
    <row r="101">
      <c r="A101" s="174" t="n"/>
      <c r="B101" s="174" t="n"/>
      <c r="C101" s="174" t="n"/>
      <c r="D101" s="174" t="n"/>
      <c r="E101" s="174" t="n"/>
      <c r="F101" s="174" t="n"/>
      <c r="G101" s="174" t="n"/>
      <c r="H101" s="174" t="n"/>
      <c r="J101" s="176" t="n"/>
      <c r="K101" s="176" t="n"/>
      <c r="L101" s="176" t="n"/>
      <c r="M101" s="176" t="n"/>
      <c r="N101" s="176" t="n"/>
      <c r="O101" s="176" t="n"/>
      <c r="P101" s="176" t="n"/>
      <c r="Q101" s="176" t="n"/>
      <c r="S101" s="178" t="n"/>
      <c r="T101" s="178" t="n"/>
      <c r="U101" s="178" t="n"/>
      <c r="V101" s="178" t="n"/>
      <c r="W101" s="178" t="n"/>
      <c r="X101" s="178" t="n"/>
      <c r="Y101" s="178" t="n"/>
      <c r="Z101" s="178" t="n"/>
    </row>
    <row r="102">
      <c r="A102" s="174" t="n"/>
      <c r="B102" s="174" t="n"/>
      <c r="C102" s="174" t="n"/>
      <c r="D102" s="174" t="n"/>
      <c r="E102" s="174" t="n"/>
      <c r="F102" s="174" t="n"/>
      <c r="G102" s="174" t="n"/>
      <c r="H102" s="174" t="n"/>
      <c r="J102" s="176" t="n"/>
      <c r="K102" s="176" t="n"/>
      <c r="L102" s="176" t="n"/>
      <c r="M102" s="176" t="n"/>
      <c r="N102" s="176" t="n"/>
      <c r="O102" s="176" t="n"/>
      <c r="P102" s="176" t="n"/>
      <c r="Q102" s="176" t="n"/>
      <c r="S102" s="178" t="n"/>
      <c r="T102" s="178" t="n"/>
      <c r="U102" s="178" t="n"/>
      <c r="V102" s="178" t="n"/>
      <c r="W102" s="178" t="n"/>
      <c r="X102" s="178" t="n"/>
      <c r="Y102" s="178" t="n"/>
      <c r="Z102" s="178" t="n"/>
    </row>
    <row r="103">
      <c r="A103" s="174" t="n"/>
      <c r="B103" s="174" t="n"/>
      <c r="C103" s="174" t="n"/>
      <c r="D103" s="174" t="n"/>
      <c r="E103" s="174" t="n"/>
      <c r="F103" s="174" t="n"/>
      <c r="G103" s="174" t="n"/>
      <c r="H103" s="174" t="n"/>
      <c r="J103" s="176" t="n"/>
      <c r="K103" s="176" t="n"/>
      <c r="L103" s="176" t="n"/>
      <c r="M103" s="176" t="n"/>
      <c r="N103" s="176" t="n"/>
      <c r="O103" s="176" t="n"/>
      <c r="P103" s="176" t="n"/>
      <c r="Q103" s="176" t="n"/>
      <c r="S103" s="178" t="n"/>
      <c r="T103" s="178" t="n"/>
      <c r="U103" s="178" t="n"/>
      <c r="V103" s="178" t="n"/>
      <c r="W103" s="178" t="n"/>
      <c r="X103" s="178" t="n"/>
      <c r="Y103" s="178" t="n"/>
      <c r="Z103" s="178" t="n"/>
    </row>
  </sheetData>
  <sheetProtection selectLockedCells="1" selectUnlockedCells="1" sheet="1" objects="0" insertRows="1" insertHyperlinks="1" autoFilter="1" scenarios="0" formatColumns="1" deleteColumns="1" insertColumns="1" pivotTables="1" deleteRows="1" formatCells="1" formatRows="1" sort="1"/>
  <mergeCells count="94">
    <mergeCell ref="A9:N9"/>
    <mergeCell ref="N76:O76"/>
    <mergeCell ref="F67:I67"/>
    <mergeCell ref="G87:I87"/>
    <mergeCell ref="A16:A17"/>
    <mergeCell ref="A45:D46"/>
    <mergeCell ref="C16:C17"/>
    <mergeCell ref="N75:O75"/>
    <mergeCell ref="N77:O77"/>
    <mergeCell ref="P68:S70"/>
    <mergeCell ref="A93:AK93"/>
    <mergeCell ref="D16:D17"/>
    <mergeCell ref="N85:Q85"/>
    <mergeCell ref="A95:H95"/>
    <mergeCell ref="Q91:S91"/>
    <mergeCell ref="P6:AK6"/>
    <mergeCell ref="E91:F91"/>
    <mergeCell ref="A8:N8"/>
    <mergeCell ref="G91:H91"/>
    <mergeCell ref="P8:AK8"/>
    <mergeCell ref="J86:M86"/>
    <mergeCell ref="S95:Z95"/>
    <mergeCell ref="K67:N67"/>
    <mergeCell ref="N79:O79"/>
    <mergeCell ref="K92:L92"/>
    <mergeCell ref="P7:AK7"/>
    <mergeCell ref="C92:D92"/>
    <mergeCell ref="F71:I71"/>
    <mergeCell ref="M92:N92"/>
    <mergeCell ref="A12:AK14"/>
    <mergeCell ref="K68:N70"/>
    <mergeCell ref="T91:W91"/>
    <mergeCell ref="AI16:AI17"/>
    <mergeCell ref="J95:Q95"/>
    <mergeCell ref="D85:F85"/>
    <mergeCell ref="N74:S74"/>
    <mergeCell ref="P9:AK9"/>
    <mergeCell ref="F68:I70"/>
    <mergeCell ref="A91:B91"/>
    <mergeCell ref="N78:O78"/>
    <mergeCell ref="C91:D91"/>
    <mergeCell ref="M91:N91"/>
    <mergeCell ref="O91:P91"/>
    <mergeCell ref="R86:U86"/>
    <mergeCell ref="A84:AK84"/>
    <mergeCell ref="N80:O80"/>
    <mergeCell ref="B16:B17"/>
    <mergeCell ref="A71:D71"/>
    <mergeCell ref="J85:M85"/>
    <mergeCell ref="D86:F86"/>
    <mergeCell ref="A92:B92"/>
    <mergeCell ref="N87:Q87"/>
    <mergeCell ref="A1:B1"/>
    <mergeCell ref="E92:F92"/>
    <mergeCell ref="A68:D70"/>
    <mergeCell ref="P71:S71"/>
    <mergeCell ref="A86:C86"/>
    <mergeCell ref="D87:F87"/>
    <mergeCell ref="O92:P92"/>
    <mergeCell ref="A6:N6"/>
    <mergeCell ref="A39:D39"/>
    <mergeCell ref="G86:I86"/>
    <mergeCell ref="A96:H103"/>
    <mergeCell ref="P67:S67"/>
    <mergeCell ref="A41:AK41"/>
    <mergeCell ref="T92:W92"/>
    <mergeCell ref="R85:U85"/>
    <mergeCell ref="H2:AC2"/>
    <mergeCell ref="K71:N71"/>
    <mergeCell ref="S96:Z103"/>
    <mergeCell ref="A38:D38"/>
    <mergeCell ref="A42:AK42"/>
    <mergeCell ref="H3:AC3"/>
    <mergeCell ref="A67:D67"/>
    <mergeCell ref="I91:J91"/>
    <mergeCell ref="A85:C85"/>
    <mergeCell ref="K91:L91"/>
    <mergeCell ref="N86:Q86"/>
    <mergeCell ref="A7:N7"/>
    <mergeCell ref="A74:E74"/>
    <mergeCell ref="G85:I85"/>
    <mergeCell ref="G92:H92"/>
    <mergeCell ref="I92:J92"/>
    <mergeCell ref="R87:U87"/>
    <mergeCell ref="AK16:AK17"/>
    <mergeCell ref="J87:M87"/>
    <mergeCell ref="AD2:AK2"/>
    <mergeCell ref="AJ16:AJ17"/>
    <mergeCell ref="J96:Q103"/>
    <mergeCell ref="A88:AK88"/>
    <mergeCell ref="A90:AK90"/>
    <mergeCell ref="Q92:S92"/>
    <mergeCell ref="A87:C87"/>
    <mergeCell ref="A47:D47"/>
  </mergeCells>
  <conditionalFormatting sqref="AI18:AI37">
    <cfRule type="dataBar" priority="1">
      <dataBar>
        <cfvo type="num" val="0"/>
        <cfvo type="num" val="1"/>
        <color rgb="0010B981"/>
      </dataBar>
    </cfRule>
  </conditionalFormatting>
  <conditionalFormatting sqref="E18:AH37">
    <cfRule type="cellIs" priority="2" operator="equal" dxfId="0">
      <formula>"✓"</formula>
    </cfRule>
    <cfRule type="cellIs" priority="3" operator="equal" dxfId="0">
      <formula>"✔"</formula>
    </cfRule>
    <cfRule type="cellIs" priority="4" operator="equal" dxfId="1">
      <formula>"✗"</formula>
    </cfRule>
    <cfRule type="cellIs" priority="5" operator="equal" dxfId="1">
      <formula>"x"</formula>
    </cfRule>
    <cfRule type="cellIs" priority="6" operator="equal" dxfId="1">
      <formula>"X"</formula>
    </cfRule>
  </conditionalFormatting>
  <conditionalFormatting sqref="E16:E17">
    <cfRule type="expression" priority="7" dxfId="2">
      <formula>AND(DAY(TODAY())=1, MONTH(TODAY())=9, YEAR(TODAY())=2026)</formula>
    </cfRule>
  </conditionalFormatting>
  <conditionalFormatting sqref="F16:F17">
    <cfRule type="expression" priority="8" dxfId="2">
      <formula>AND(DAY(TODAY())=2, MONTH(TODAY())=9, YEAR(TODAY())=2026)</formula>
    </cfRule>
  </conditionalFormatting>
  <conditionalFormatting sqref="G16:G17">
    <cfRule type="expression" priority="9" dxfId="2">
      <formula>AND(DAY(TODAY())=3, MONTH(TODAY())=9, YEAR(TODAY())=2026)</formula>
    </cfRule>
  </conditionalFormatting>
  <conditionalFormatting sqref="H16:H17">
    <cfRule type="expression" priority="10" dxfId="2">
      <formula>AND(DAY(TODAY())=4, MONTH(TODAY())=9, YEAR(TODAY())=2026)</formula>
    </cfRule>
  </conditionalFormatting>
  <conditionalFormatting sqref="I16:I17">
    <cfRule type="expression" priority="11" dxfId="2">
      <formula>AND(DAY(TODAY())=5, MONTH(TODAY())=9, YEAR(TODAY())=2026)</formula>
    </cfRule>
  </conditionalFormatting>
  <conditionalFormatting sqref="J16:J17">
    <cfRule type="expression" priority="12" dxfId="2">
      <formula>AND(DAY(TODAY())=6, MONTH(TODAY())=9, YEAR(TODAY())=2026)</formula>
    </cfRule>
  </conditionalFormatting>
  <conditionalFormatting sqref="K16:K17">
    <cfRule type="expression" priority="13" dxfId="2">
      <formula>AND(DAY(TODAY())=7, MONTH(TODAY())=9, YEAR(TODAY())=2026)</formula>
    </cfRule>
  </conditionalFormatting>
  <conditionalFormatting sqref="L16:L17">
    <cfRule type="expression" priority="14" dxfId="2">
      <formula>AND(DAY(TODAY())=8, MONTH(TODAY())=9, YEAR(TODAY())=2026)</formula>
    </cfRule>
  </conditionalFormatting>
  <conditionalFormatting sqref="M16:M17">
    <cfRule type="expression" priority="15" dxfId="2">
      <formula>AND(DAY(TODAY())=9, MONTH(TODAY())=9, YEAR(TODAY())=2026)</formula>
    </cfRule>
  </conditionalFormatting>
  <conditionalFormatting sqref="N16:N17">
    <cfRule type="expression" priority="16" dxfId="2">
      <formula>AND(DAY(TODAY())=10, MONTH(TODAY())=9, YEAR(TODAY())=2026)</formula>
    </cfRule>
  </conditionalFormatting>
  <conditionalFormatting sqref="O16:O17">
    <cfRule type="expression" priority="17" dxfId="2">
      <formula>AND(DAY(TODAY())=11, MONTH(TODAY())=9, YEAR(TODAY())=2026)</formula>
    </cfRule>
  </conditionalFormatting>
  <conditionalFormatting sqref="P16:P17">
    <cfRule type="expression" priority="18" dxfId="2">
      <formula>AND(DAY(TODAY())=12, MONTH(TODAY())=9, YEAR(TODAY())=2026)</formula>
    </cfRule>
  </conditionalFormatting>
  <conditionalFormatting sqref="Q16:Q17">
    <cfRule type="expression" priority="19" dxfId="2">
      <formula>AND(DAY(TODAY())=13, MONTH(TODAY())=9, YEAR(TODAY())=2026)</formula>
    </cfRule>
  </conditionalFormatting>
  <conditionalFormatting sqref="R16:R17">
    <cfRule type="expression" priority="20" dxfId="2">
      <formula>AND(DAY(TODAY())=14, MONTH(TODAY())=9, YEAR(TODAY())=2026)</formula>
    </cfRule>
  </conditionalFormatting>
  <conditionalFormatting sqref="S16:S17">
    <cfRule type="expression" priority="21" dxfId="2">
      <formula>AND(DAY(TODAY())=15, MONTH(TODAY())=9, YEAR(TODAY())=2026)</formula>
    </cfRule>
  </conditionalFormatting>
  <conditionalFormatting sqref="T16:T17">
    <cfRule type="expression" priority="22" dxfId="2">
      <formula>AND(DAY(TODAY())=16, MONTH(TODAY())=9, YEAR(TODAY())=2026)</formula>
    </cfRule>
  </conditionalFormatting>
  <conditionalFormatting sqref="U16:U17">
    <cfRule type="expression" priority="23" dxfId="2">
      <formula>AND(DAY(TODAY())=17, MONTH(TODAY())=9, YEAR(TODAY())=2026)</formula>
    </cfRule>
  </conditionalFormatting>
  <conditionalFormatting sqref="V16:V17">
    <cfRule type="expression" priority="24" dxfId="2">
      <formula>AND(DAY(TODAY())=18, MONTH(TODAY())=9, YEAR(TODAY())=2026)</formula>
    </cfRule>
  </conditionalFormatting>
  <conditionalFormatting sqref="W16:W17">
    <cfRule type="expression" priority="25" dxfId="2">
      <formula>AND(DAY(TODAY())=19, MONTH(TODAY())=9, YEAR(TODAY())=2026)</formula>
    </cfRule>
  </conditionalFormatting>
  <conditionalFormatting sqref="X16:X17">
    <cfRule type="expression" priority="26" dxfId="2">
      <formula>AND(DAY(TODAY())=20, MONTH(TODAY())=9, YEAR(TODAY())=2026)</formula>
    </cfRule>
  </conditionalFormatting>
  <conditionalFormatting sqref="Y16:Y17">
    <cfRule type="expression" priority="27" dxfId="2">
      <formula>AND(DAY(TODAY())=21, MONTH(TODAY())=9, YEAR(TODAY())=2026)</formula>
    </cfRule>
  </conditionalFormatting>
  <conditionalFormatting sqref="Z16:Z17">
    <cfRule type="expression" priority="28" dxfId="2">
      <formula>AND(DAY(TODAY())=22, MONTH(TODAY())=9, YEAR(TODAY())=2026)</formula>
    </cfRule>
  </conditionalFormatting>
  <conditionalFormatting sqref="AA16:AA17">
    <cfRule type="expression" priority="29" dxfId="2">
      <formula>AND(DAY(TODAY())=23, MONTH(TODAY())=9, YEAR(TODAY())=2026)</formula>
    </cfRule>
  </conditionalFormatting>
  <conditionalFormatting sqref="AB16:AB17">
    <cfRule type="expression" priority="30" dxfId="2">
      <formula>AND(DAY(TODAY())=24, MONTH(TODAY())=9, YEAR(TODAY())=2026)</formula>
    </cfRule>
  </conditionalFormatting>
  <conditionalFormatting sqref="AC16:AC17">
    <cfRule type="expression" priority="31" dxfId="2">
      <formula>AND(DAY(TODAY())=25, MONTH(TODAY())=9, YEAR(TODAY())=2026)</formula>
    </cfRule>
  </conditionalFormatting>
  <conditionalFormatting sqref="AD16:AD17">
    <cfRule type="expression" priority="32" dxfId="2">
      <formula>AND(DAY(TODAY())=26, MONTH(TODAY())=9, YEAR(TODAY())=2026)</formula>
    </cfRule>
  </conditionalFormatting>
  <conditionalFormatting sqref="AE16:AE17">
    <cfRule type="expression" priority="33" dxfId="2">
      <formula>AND(DAY(TODAY())=27, MONTH(TODAY())=9, YEAR(TODAY())=2026)</formula>
    </cfRule>
  </conditionalFormatting>
  <conditionalFormatting sqref="AF16:AF17">
    <cfRule type="expression" priority="34" dxfId="2">
      <formula>AND(DAY(TODAY())=28, MONTH(TODAY())=9, YEAR(TODAY())=2026)</formula>
    </cfRule>
  </conditionalFormatting>
  <conditionalFormatting sqref="AG16:AG17">
    <cfRule type="expression" priority="35" dxfId="2">
      <formula>AND(DAY(TODAY())=29, MONTH(TODAY())=9, YEAR(TODAY())=2026)</formula>
    </cfRule>
  </conditionalFormatting>
  <conditionalFormatting sqref="AH16:AH17">
    <cfRule type="expression" priority="36" dxfId="2">
      <formula>AND(DAY(TODAY())=30, MONTH(TODAY())=9, YEAR(TODAY())=2026)</formula>
    </cfRule>
  </conditionalFormatting>
  <dataValidations count="4">
    <dataValidation sqref="C18:C37" showDropDown="0" showInputMessage="0" showErrorMessage="0" allowBlank="1" type="list">
      <formula1>"Health &amp; Fitness,Mindset &amp; Learning,Career &amp; Focus,Personal &amp; Home,Finance &amp; Wealth,Other"</formula1>
    </dataValidation>
    <dataValidation sqref="D18:D37" showDropDown="0" showInputMessage="0" showErrorMessage="0" allowBlank="1" type="list">
      <formula1>"1,2,3,4,5,6,7,8,9,10,11,12,13,14,15,16,17,18,19,20,21,22,23,24,25,26,27,28,29,30,31"</formula1>
    </dataValidation>
    <dataValidation sqref="E18:AH37" showDropDown="0" showInputMessage="0" showErrorMessage="0" allowBlank="1" type="list">
      <formula1>"✓,✗"</formula1>
    </dataValidation>
    <dataValidation sqref="E47:AH47" showDropDown="0" showInputMessage="0" showErrorMessage="0" allowBlank="1" type="list">
      <formula1>"1,2,3,4,5,6,7,8,9,10,11,12,13,14,15,16,17,18,19,20,21,22,23,24"</formula1>
    </dataValidation>
  </dataValidations>
  <hyperlinks>
    <hyperlink xmlns:r="http://schemas.openxmlformats.org/officeDocument/2006/relationships" ref="A1" r:id="rId1"/>
    <hyperlink xmlns:r="http://schemas.openxmlformats.org/officeDocument/2006/relationships" ref="C1" r:id="rId2"/>
    <hyperlink xmlns:r="http://schemas.openxmlformats.org/officeDocument/2006/relationships" ref="D1" r:id="rId3"/>
    <hyperlink xmlns:r="http://schemas.openxmlformats.org/officeDocument/2006/relationships" ref="E1" r:id="rId4"/>
    <hyperlink xmlns:r="http://schemas.openxmlformats.org/officeDocument/2006/relationships" ref="F1" r:id="rId5"/>
    <hyperlink xmlns:r="http://schemas.openxmlformats.org/officeDocument/2006/relationships" ref="G1" r:id="rId6"/>
    <hyperlink xmlns:r="http://schemas.openxmlformats.org/officeDocument/2006/relationships" ref="H1" r:id="rId7"/>
    <hyperlink xmlns:r="http://schemas.openxmlformats.org/officeDocument/2006/relationships" ref="I1" r:id="rId8"/>
    <hyperlink xmlns:r="http://schemas.openxmlformats.org/officeDocument/2006/relationships" ref="K1" r:id="rId9"/>
  </hyperlinks>
  <printOptions horizontalCentered="1" verticalCentered="0"/>
  <pageMargins left="0.75" right="0.75" top="1" bottom="1" header="0.5" footer="0.5"/>
  <pageSetup orientation="landscape" paperSize="9" fitToHeight="0" fitToWidth="1"/>
  <drawing xmlns:r="http://schemas.openxmlformats.org/officeDocument/2006/relationships" r:id="rId10"/>
</worksheet>
</file>

<file path=xl/worksheets/sheet5.xml><?xml version="1.0" encoding="utf-8"?>
<worksheet xmlns="http://schemas.openxmlformats.org/spreadsheetml/2006/main">
  <sheetPr>
    <outlinePr summaryBelow="1" summaryRight="1"/>
    <pageSetUpPr fitToPage="1"/>
  </sheetPr>
  <dimension ref="A1:AM103"/>
  <sheetViews>
    <sheetView showGridLines="1" workbookViewId="0">
      <selection activeCell="A1" sqref="A1"/>
    </sheetView>
  </sheetViews>
  <sheetFormatPr baseColWidth="8" defaultRowHeight="15"/>
  <cols>
    <col width="6" customWidth="1" min="1" max="1"/>
    <col width="25" customWidth="1" min="2" max="2"/>
    <col width="16.5" customWidth="1" min="3" max="3"/>
    <col width="8" customWidth="1" min="4" max="4"/>
    <col width="4.8" customWidth="1" min="5" max="5"/>
    <col width="4.8" customWidth="1" min="6" max="6"/>
    <col width="4.8" customWidth="1" min="7" max="7"/>
    <col width="4.8" customWidth="1" min="8" max="8"/>
    <col width="4.8" customWidth="1" min="9" max="9"/>
    <col width="4.8" customWidth="1" min="10" max="10"/>
    <col width="4.8" customWidth="1" min="11" max="11"/>
    <col width="4.8" customWidth="1" min="12" max="12"/>
    <col width="4.8" customWidth="1" min="13" max="13"/>
    <col width="4.8" customWidth="1" min="14" max="14"/>
    <col width="4.8" customWidth="1" min="15" max="15"/>
    <col width="4.8" customWidth="1" min="16" max="16"/>
    <col width="4.8" customWidth="1" min="17" max="17"/>
    <col width="4.8" customWidth="1" min="18" max="18"/>
    <col width="4.8" customWidth="1" min="19" max="19"/>
    <col width="4.8" customWidth="1" min="20" max="20"/>
    <col width="4.8" customWidth="1" min="21" max="21"/>
    <col width="4.8" customWidth="1" min="22" max="22"/>
    <col width="4.8" customWidth="1" min="23" max="23"/>
    <col width="4.8" customWidth="1" min="24" max="24"/>
    <col width="4.8" customWidth="1" min="25" max="25"/>
    <col width="4.8" customWidth="1" min="26" max="26"/>
    <col width="4.8" customWidth="1" min="27" max="27"/>
    <col width="4.8" customWidth="1" min="28" max="28"/>
    <col width="4.8" customWidth="1" min="29" max="29"/>
    <col width="4.8" customWidth="1" min="30" max="30"/>
    <col width="4.8" customWidth="1" min="31" max="31"/>
    <col width="4.8" customWidth="1" min="32" max="32"/>
    <col width="4.8" customWidth="1" min="33" max="33"/>
    <col width="4.8" customWidth="1" min="34" max="34"/>
    <col width="4.8" customWidth="1" min="35" max="35"/>
    <col width="11.5" customWidth="1" min="36" max="36"/>
    <col width="12" customWidth="1" min="37" max="37"/>
    <col width="13.5" customWidth="1" min="38" max="38"/>
    <col hidden="1" width="8" customWidth="1" min="39" max="39"/>
  </cols>
  <sheetData>
    <row r="1" ht="18" customHeight="1">
      <c r="A1" s="76" t="inlineStr">
        <is>
          <t>🏠 Master Dashboard</t>
        </is>
      </c>
      <c r="B1" s="40" t="n"/>
      <c r="C1" s="77" t="inlineStr">
        <is>
          <t>🏛️ Quarterly Hub</t>
        </is>
      </c>
      <c r="D1" s="78" t="inlineStr">
        <is>
          <t>📚 Habit Library</t>
        </is>
      </c>
      <c r="E1" s="79" t="inlineStr">
        <is>
          <t>2026</t>
        </is>
      </c>
      <c r="F1" s="80" t="inlineStr">
        <is>
          <t>2027</t>
        </is>
      </c>
      <c r="G1" s="80" t="inlineStr">
        <is>
          <t>2028</t>
        </is>
      </c>
      <c r="H1" s="80" t="inlineStr">
        <is>
          <t>2029</t>
        </is>
      </c>
      <c r="I1" s="80" t="inlineStr">
        <is>
          <t>2030</t>
        </is>
      </c>
      <c r="J1" s="82" t="inlineStr">
        <is>
          <t>◀ Prev</t>
        </is>
      </c>
      <c r="K1" s="82" t="inlineStr">
        <is>
          <t>Next ▶</t>
        </is>
      </c>
    </row>
    <row r="2" ht="24" customHeight="1">
      <c r="A2" s="83" t="inlineStr">
        <is>
          <t>Habit Tracker</t>
        </is>
      </c>
      <c r="H2" s="84" t="inlineStr">
        <is>
          <t>"Discipline equals freedom."</t>
        </is>
      </c>
      <c r="AE2" s="85" t="inlineStr">
        <is>
          <t>@surajvansh</t>
        </is>
      </c>
    </row>
    <row r="3" ht="18" customHeight="1">
      <c r="A3" s="86" t="inlineStr">
        <is>
          <t>October 2026</t>
        </is>
      </c>
      <c r="H3" s="87" t="inlineStr">
        <is>
          <t>31 Days Dashboard</t>
        </is>
      </c>
    </row>
    <row r="4" ht="5" customHeight="1"/>
    <row r="5" ht="16" customHeight="1">
      <c r="A5" s="88" t="inlineStr">
        <is>
          <t>MONTHLY TARGETS</t>
        </is>
      </c>
    </row>
    <row r="6" ht="13" customHeight="1">
      <c r="A6" s="89" t="inlineStr">
        <is>
          <t>1. ____________________ : ____________________</t>
        </is>
      </c>
      <c r="P6" s="89" t="inlineStr">
        <is>
          <t>5. ____________________ : ____________________</t>
        </is>
      </c>
    </row>
    <row r="7" ht="13" customHeight="1">
      <c r="A7" s="89" t="inlineStr">
        <is>
          <t>2. ____________________ : ____________________</t>
        </is>
      </c>
      <c r="P7" s="89" t="inlineStr">
        <is>
          <t>6. ____________________ : ____________________</t>
        </is>
      </c>
    </row>
    <row r="8" ht="13" customHeight="1">
      <c r="A8" s="89" t="inlineStr">
        <is>
          <t>3. ____________________ : ____________________</t>
        </is>
      </c>
      <c r="P8" s="89" t="inlineStr">
        <is>
          <t>7. ____________________ : ____________________</t>
        </is>
      </c>
    </row>
    <row r="9" ht="13" customHeight="1">
      <c r="A9" s="89" t="inlineStr">
        <is>
          <t>4. ____________________ : ____________________</t>
        </is>
      </c>
      <c r="P9" s="89" t="inlineStr">
        <is>
          <t>8. ____________________ : ____________________</t>
        </is>
      </c>
    </row>
    <row r="10" ht="5" customHeight="1"/>
    <row r="11" ht="15" customHeight="1">
      <c r="A11" s="88" t="inlineStr">
        <is>
          <t>NOTES:</t>
        </is>
      </c>
    </row>
    <row r="12" ht="13" customHeight="1">
      <c r="A12" s="90" t="n"/>
      <c r="B12" s="91" t="n"/>
      <c r="C12" s="91" t="n"/>
      <c r="D12" s="91" t="n"/>
      <c r="E12" s="91" t="n"/>
      <c r="F12" s="91" t="n"/>
      <c r="G12" s="91" t="n"/>
      <c r="H12" s="91" t="n"/>
      <c r="I12" s="91" t="n"/>
      <c r="J12" s="91" t="n"/>
      <c r="K12" s="91" t="n"/>
      <c r="L12" s="91" t="n"/>
      <c r="M12" s="91" t="n"/>
      <c r="N12" s="91" t="n"/>
      <c r="O12" s="91" t="n"/>
      <c r="P12" s="91" t="n"/>
      <c r="Q12" s="91" t="n"/>
      <c r="R12" s="91" t="n"/>
      <c r="S12" s="91" t="n"/>
      <c r="T12" s="91" t="n"/>
      <c r="U12" s="91" t="n"/>
      <c r="V12" s="91" t="n"/>
      <c r="W12" s="91" t="n"/>
      <c r="X12" s="91" t="n"/>
      <c r="Y12" s="91" t="n"/>
      <c r="Z12" s="91" t="n"/>
      <c r="AA12" s="91" t="n"/>
      <c r="AB12" s="91" t="n"/>
      <c r="AC12" s="91" t="n"/>
      <c r="AD12" s="91" t="n"/>
      <c r="AE12" s="91" t="n"/>
      <c r="AF12" s="91" t="n"/>
      <c r="AG12" s="91" t="n"/>
      <c r="AH12" s="91" t="n"/>
      <c r="AI12" s="91" t="n"/>
      <c r="AJ12" s="91" t="n"/>
      <c r="AK12" s="91" t="n"/>
      <c r="AL12" s="91" t="n"/>
    </row>
    <row r="13" ht="13" customHeight="1">
      <c r="A13" s="91" t="n"/>
      <c r="B13" s="91" t="n"/>
      <c r="C13" s="91" t="n"/>
      <c r="D13" s="91" t="n"/>
      <c r="E13" s="91" t="n"/>
      <c r="F13" s="91" t="n"/>
      <c r="G13" s="91" t="n"/>
      <c r="H13" s="91" t="n"/>
      <c r="I13" s="91" t="n"/>
      <c r="J13" s="91" t="n"/>
      <c r="K13" s="91" t="n"/>
      <c r="L13" s="91" t="n"/>
      <c r="M13" s="91" t="n"/>
      <c r="N13" s="91" t="n"/>
      <c r="O13" s="91" t="n"/>
      <c r="P13" s="91" t="n"/>
      <c r="Q13" s="91" t="n"/>
      <c r="R13" s="91" t="n"/>
      <c r="S13" s="91" t="n"/>
      <c r="T13" s="91" t="n"/>
      <c r="U13" s="91" t="n"/>
      <c r="V13" s="91" t="n"/>
      <c r="W13" s="91" t="n"/>
      <c r="X13" s="91" t="n"/>
      <c r="Y13" s="91" t="n"/>
      <c r="Z13" s="91" t="n"/>
      <c r="AA13" s="91" t="n"/>
      <c r="AB13" s="91" t="n"/>
      <c r="AC13" s="91" t="n"/>
      <c r="AD13" s="91" t="n"/>
      <c r="AE13" s="91" t="n"/>
      <c r="AF13" s="91" t="n"/>
      <c r="AG13" s="91" t="n"/>
      <c r="AH13" s="91" t="n"/>
      <c r="AI13" s="91" t="n"/>
      <c r="AJ13" s="91" t="n"/>
      <c r="AK13" s="91" t="n"/>
      <c r="AL13" s="91" t="n"/>
    </row>
    <row r="14" ht="13" customHeight="1">
      <c r="A14" s="91" t="n"/>
      <c r="B14" s="91" t="n"/>
      <c r="C14" s="91" t="n"/>
      <c r="D14" s="91" t="n"/>
      <c r="E14" s="91" t="n"/>
      <c r="F14" s="91" t="n"/>
      <c r="G14" s="91" t="n"/>
      <c r="H14" s="91" t="n"/>
      <c r="I14" s="91" t="n"/>
      <c r="J14" s="91" t="n"/>
      <c r="K14" s="91" t="n"/>
      <c r="L14" s="91" t="n"/>
      <c r="M14" s="91" t="n"/>
      <c r="N14" s="91" t="n"/>
      <c r="O14" s="91" t="n"/>
      <c r="P14" s="91" t="n"/>
      <c r="Q14" s="91" t="n"/>
      <c r="R14" s="91" t="n"/>
      <c r="S14" s="91" t="n"/>
      <c r="T14" s="91" t="n"/>
      <c r="U14" s="91" t="n"/>
      <c r="V14" s="91" t="n"/>
      <c r="W14" s="91" t="n"/>
      <c r="X14" s="91" t="n"/>
      <c r="Y14" s="91" t="n"/>
      <c r="Z14" s="91" t="n"/>
      <c r="AA14" s="91" t="n"/>
      <c r="AB14" s="91" t="n"/>
      <c r="AC14" s="91" t="n"/>
      <c r="AD14" s="91" t="n"/>
      <c r="AE14" s="91" t="n"/>
      <c r="AF14" s="91" t="n"/>
      <c r="AG14" s="91" t="n"/>
      <c r="AH14" s="91" t="n"/>
      <c r="AI14" s="91" t="n"/>
      <c r="AJ14" s="91" t="n"/>
      <c r="AK14" s="91" t="n"/>
      <c r="AL14" s="91" t="n"/>
    </row>
    <row r="15" ht="8" customHeight="1"/>
    <row r="16" ht="15" customHeight="1">
      <c r="A16" s="33" t="inlineStr">
        <is>
          <t>S.No.</t>
        </is>
      </c>
      <c r="B16" s="33" t="inlineStr">
        <is>
          <t>Protocols</t>
        </is>
      </c>
      <c r="C16" s="33" t="inlineStr">
        <is>
          <t>Category</t>
        </is>
      </c>
      <c r="D16" s="33" t="inlineStr">
        <is>
          <t>Target</t>
        </is>
      </c>
      <c r="E16" s="92" t="n">
        <v>1</v>
      </c>
      <c r="F16" s="92" t="n">
        <v>2</v>
      </c>
      <c r="G16" s="92" t="n">
        <v>3</v>
      </c>
      <c r="H16" s="93" t="n">
        <v>4</v>
      </c>
      <c r="I16" s="92" t="n">
        <v>5</v>
      </c>
      <c r="J16" s="92" t="n">
        <v>6</v>
      </c>
      <c r="K16" s="92" t="n">
        <v>7</v>
      </c>
      <c r="L16" s="92" t="n">
        <v>8</v>
      </c>
      <c r="M16" s="92" t="n">
        <v>9</v>
      </c>
      <c r="N16" s="92" t="n">
        <v>10</v>
      </c>
      <c r="O16" s="93" t="n">
        <v>11</v>
      </c>
      <c r="P16" s="92" t="n">
        <v>12</v>
      </c>
      <c r="Q16" s="92" t="n">
        <v>13</v>
      </c>
      <c r="R16" s="92" t="n">
        <v>14</v>
      </c>
      <c r="S16" s="92" t="n">
        <v>15</v>
      </c>
      <c r="T16" s="92" t="n">
        <v>16</v>
      </c>
      <c r="U16" s="92" t="n">
        <v>17</v>
      </c>
      <c r="V16" s="93" t="n">
        <v>18</v>
      </c>
      <c r="W16" s="92" t="n">
        <v>19</v>
      </c>
      <c r="X16" s="92" t="n">
        <v>20</v>
      </c>
      <c r="Y16" s="92" t="n">
        <v>21</v>
      </c>
      <c r="Z16" s="92" t="n">
        <v>22</v>
      </c>
      <c r="AA16" s="92" t="n">
        <v>23</v>
      </c>
      <c r="AB16" s="92" t="n">
        <v>24</v>
      </c>
      <c r="AC16" s="93" t="n">
        <v>25</v>
      </c>
      <c r="AD16" s="92" t="n">
        <v>26</v>
      </c>
      <c r="AE16" s="92" t="n">
        <v>27</v>
      </c>
      <c r="AF16" s="92" t="n">
        <v>28</v>
      </c>
      <c r="AG16" s="92" t="n">
        <v>29</v>
      </c>
      <c r="AH16" s="92" t="n">
        <v>30</v>
      </c>
      <c r="AI16" s="92" t="n">
        <v>31</v>
      </c>
      <c r="AJ16" s="94" t="inlineStr">
        <is>
          <t>Success %</t>
        </is>
      </c>
      <c r="AK16" s="94" t="inlineStr">
        <is>
          <t>Done / Target</t>
        </is>
      </c>
      <c r="AL16" s="94" t="inlineStr">
        <is>
          <t>Status</t>
        </is>
      </c>
      <c r="AM16" t="inlineStr">
        <is>
          <t>Done Count</t>
        </is>
      </c>
    </row>
    <row r="17" ht="15" customHeight="1">
      <c r="A17" s="54" t="n"/>
      <c r="B17" s="54" t="n"/>
      <c r="C17" s="54" t="n"/>
      <c r="D17" s="54" t="n"/>
      <c r="E17" s="95" t="inlineStr">
        <is>
          <t>Th</t>
        </is>
      </c>
      <c r="F17" s="95" t="inlineStr">
        <is>
          <t>F</t>
        </is>
      </c>
      <c r="G17" s="95" t="inlineStr">
        <is>
          <t>Sa</t>
        </is>
      </c>
      <c r="H17" s="96" t="inlineStr">
        <is>
          <t>Su</t>
        </is>
      </c>
      <c r="I17" s="95" t="inlineStr">
        <is>
          <t>M</t>
        </is>
      </c>
      <c r="J17" s="95" t="inlineStr">
        <is>
          <t>T</t>
        </is>
      </c>
      <c r="K17" s="95" t="inlineStr">
        <is>
          <t>W</t>
        </is>
      </c>
      <c r="L17" s="95" t="inlineStr">
        <is>
          <t>Th</t>
        </is>
      </c>
      <c r="M17" s="95" t="inlineStr">
        <is>
          <t>F</t>
        </is>
      </c>
      <c r="N17" s="95" t="inlineStr">
        <is>
          <t>Sa</t>
        </is>
      </c>
      <c r="O17" s="96" t="inlineStr">
        <is>
          <t>Su</t>
        </is>
      </c>
      <c r="P17" s="95" t="inlineStr">
        <is>
          <t>M</t>
        </is>
      </c>
      <c r="Q17" s="95" t="inlineStr">
        <is>
          <t>T</t>
        </is>
      </c>
      <c r="R17" s="95" t="inlineStr">
        <is>
          <t>W</t>
        </is>
      </c>
      <c r="S17" s="95" t="inlineStr">
        <is>
          <t>Th</t>
        </is>
      </c>
      <c r="T17" s="95" t="inlineStr">
        <is>
          <t>F</t>
        </is>
      </c>
      <c r="U17" s="95" t="inlineStr">
        <is>
          <t>Sa</t>
        </is>
      </c>
      <c r="V17" s="96" t="inlineStr">
        <is>
          <t>Su</t>
        </is>
      </c>
      <c r="W17" s="95" t="inlineStr">
        <is>
          <t>M</t>
        </is>
      </c>
      <c r="X17" s="95" t="inlineStr">
        <is>
          <t>T</t>
        </is>
      </c>
      <c r="Y17" s="95" t="inlineStr">
        <is>
          <t>W</t>
        </is>
      </c>
      <c r="Z17" s="95" t="inlineStr">
        <is>
          <t>Th</t>
        </is>
      </c>
      <c r="AA17" s="95" t="inlineStr">
        <is>
          <t>F</t>
        </is>
      </c>
      <c r="AB17" s="95" t="inlineStr">
        <is>
          <t>Sa</t>
        </is>
      </c>
      <c r="AC17" s="96" t="inlineStr">
        <is>
          <t>Su</t>
        </is>
      </c>
      <c r="AD17" s="95" t="inlineStr">
        <is>
          <t>M</t>
        </is>
      </c>
      <c r="AE17" s="95" t="inlineStr">
        <is>
          <t>T</t>
        </is>
      </c>
      <c r="AF17" s="95" t="inlineStr">
        <is>
          <t>W</t>
        </is>
      </c>
      <c r="AG17" s="95" t="inlineStr">
        <is>
          <t>Th</t>
        </is>
      </c>
      <c r="AH17" s="95" t="inlineStr">
        <is>
          <t>F</t>
        </is>
      </c>
      <c r="AI17" s="95" t="inlineStr">
        <is>
          <t>Sa</t>
        </is>
      </c>
      <c r="AJ17" s="54" t="n"/>
      <c r="AK17" s="54" t="n"/>
      <c r="AL17" s="54" t="n"/>
    </row>
    <row r="18" ht="14.5" customHeight="1">
      <c r="A18" s="97" t="n">
        <v>1</v>
      </c>
      <c r="B18" s="98" t="n"/>
      <c r="C18" s="99" t="n"/>
      <c r="D18" s="99" t="n"/>
      <c r="E18" s="100" t="n"/>
      <c r="F18" s="100" t="n"/>
      <c r="G18" s="100" t="n"/>
      <c r="H18" s="101" t="n"/>
      <c r="I18" s="100" t="n"/>
      <c r="J18" s="100" t="n"/>
      <c r="K18" s="100" t="n"/>
      <c r="L18" s="100" t="n"/>
      <c r="M18" s="100" t="n"/>
      <c r="N18" s="100" t="n"/>
      <c r="O18" s="101" t="n"/>
      <c r="P18" s="100" t="n"/>
      <c r="Q18" s="100" t="n"/>
      <c r="R18" s="100" t="n"/>
      <c r="S18" s="100" t="n"/>
      <c r="T18" s="100" t="n"/>
      <c r="U18" s="100" t="n"/>
      <c r="V18" s="101" t="n"/>
      <c r="W18" s="100" t="n"/>
      <c r="X18" s="100" t="n"/>
      <c r="Y18" s="100" t="n"/>
      <c r="Z18" s="100" t="n"/>
      <c r="AA18" s="100" t="n"/>
      <c r="AB18" s="100" t="n"/>
      <c r="AC18" s="101" t="n"/>
      <c r="AD18" s="100" t="n"/>
      <c r="AE18" s="100" t="n"/>
      <c r="AF18" s="100" t="n"/>
      <c r="AG18" s="100" t="n"/>
      <c r="AH18" s="100" t="n"/>
      <c r="AI18" s="100" t="n"/>
      <c r="AJ18" s="102">
        <f>IF(ISBLANK(B18), "", IF(ISNUMBER(D18), IF(D18&gt;0, (COUNTIF(E18:AI18, "✓") + COUNTIF(E18:AI18, "✔") + COUNTIF(E18:AI18, "v") + COUNTIF(E18:AI18, "V"))/D18, 0), IF(((COUNTIF(E18:AI18, "✓") + COUNTIF(E18:AI18, "✔") + COUNTIF(E18:AI18, "v") + COUNTIF(E18:AI18, "V")) + COUNTIF(E18:AI18, "✗") + COUNTIF(E18:AI18, "x") + COUNTIF(E18:AI18, "X"))&gt;0, (COUNTIF(E18:AI18, "✓") + COUNTIF(E18:AI18, "✔") + COUNTIF(E18:AI18, "v") + COUNTIF(E18:AI18, "V"))/((COUNTIF(E18:AI18, "✓") + COUNTIF(E18:AI18, "✔") + COUNTIF(E18:AI18, "v") + COUNTIF(E18:AI18, "V")) + COUNTIF(E18:AI18, "✗") + COUNTIF(E18:AI18, "x") + COUNTIF(E18:AI18, "X")), "")))</f>
        <v/>
      </c>
      <c r="AK18" s="103">
        <f>IF(ISBLANK(B18), "", IF(ISNUMBER(D18), IF(D18&gt;0, (COUNTIF(E18:AI18, "✓") + COUNTIF(E18:AI18, "✔") + COUNTIF(E18:AI18, "v") + COUNTIF(E18:AI18, "V")) &amp; "/" &amp; D18, (COUNTIF(E18:AI18, "✓") + COUNTIF(E18:AI18, "✔") + COUNTIF(E18:AI18, "v") + COUNTIF(E18:AI18, "V")) &amp; "/0"), IF(((COUNTIF(E18:AI18, "✓") + COUNTIF(E18:AI18, "✔") + COUNTIF(E18:AI18, "v") + COUNTIF(E18:AI18, "V")) + COUNTIF(E18:AI18, "✗") + COUNTIF(E18:AI18, "x") + COUNTIF(E18:AI18, "X"))&gt;0, (COUNTIF(E18:AI18, "✓") + COUNTIF(E18:AI18, "✔") + COUNTIF(E18:AI18, "v") + COUNTIF(E18:AI18, "V")) &amp; "/" &amp; ((COUNTIF(E18:AI18, "✓") + COUNTIF(E18:AI18, "✔") + COUNTIF(E18:AI18, "v") + COUNTIF(E18:AI18, "V")) + COUNTIF(E18:AI18, "✗") + COUNTIF(E18:AI18, "x") + COUNTIF(E18:AI18, "X")), "")))</f>
        <v/>
      </c>
      <c r="AL18" s="103">
        <f>IF(ISBLANK(B18), "", IF(AJ18&gt;=0.85, "🔥 Mastered", IF(AJ18&gt;=0.7, "⚡ Consistent", "⚠️ Needs Focus")))</f>
        <v/>
      </c>
      <c r="AM18">
        <f>COUNTIF(E18:AI18, "✓")</f>
        <v/>
      </c>
    </row>
    <row r="19" ht="14.5" customHeight="1">
      <c r="A19" s="97" t="n">
        <v>2</v>
      </c>
      <c r="B19" s="98" t="n"/>
      <c r="C19" s="99" t="n"/>
      <c r="D19" s="99" t="n"/>
      <c r="E19" s="100" t="n"/>
      <c r="F19" s="100" t="n"/>
      <c r="G19" s="100" t="n"/>
      <c r="H19" s="101" t="n"/>
      <c r="I19" s="100" t="n"/>
      <c r="J19" s="100" t="n"/>
      <c r="K19" s="100" t="n"/>
      <c r="L19" s="100" t="n"/>
      <c r="M19" s="100" t="n"/>
      <c r="N19" s="100" t="n"/>
      <c r="O19" s="101" t="n"/>
      <c r="P19" s="100" t="n"/>
      <c r="Q19" s="100" t="n"/>
      <c r="R19" s="100" t="n"/>
      <c r="S19" s="100" t="n"/>
      <c r="T19" s="100" t="n"/>
      <c r="U19" s="100" t="n"/>
      <c r="V19" s="101" t="n"/>
      <c r="W19" s="100" t="n"/>
      <c r="X19" s="100" t="n"/>
      <c r="Y19" s="100" t="n"/>
      <c r="Z19" s="100" t="n"/>
      <c r="AA19" s="100" t="n"/>
      <c r="AB19" s="100" t="n"/>
      <c r="AC19" s="101" t="n"/>
      <c r="AD19" s="100" t="n"/>
      <c r="AE19" s="100" t="n"/>
      <c r="AF19" s="100" t="n"/>
      <c r="AG19" s="100" t="n"/>
      <c r="AH19" s="100" t="n"/>
      <c r="AI19" s="100" t="n"/>
      <c r="AJ19" s="102">
        <f>IF(ISBLANK(B19), "", IF(ISNUMBER(D19), IF(D19&gt;0, (COUNTIF(E19:AI19, "✓") + COUNTIF(E19:AI19, "✔") + COUNTIF(E19:AI19, "v") + COUNTIF(E19:AI19, "V"))/D19, 0), IF(((COUNTIF(E19:AI19, "✓") + COUNTIF(E19:AI19, "✔") + COUNTIF(E19:AI19, "v") + COUNTIF(E19:AI19, "V")) + COUNTIF(E19:AI19, "✗") + COUNTIF(E19:AI19, "x") + COUNTIF(E19:AI19, "X"))&gt;0, (COUNTIF(E19:AI19, "✓") + COUNTIF(E19:AI19, "✔") + COUNTIF(E19:AI19, "v") + COUNTIF(E19:AI19, "V"))/((COUNTIF(E19:AI19, "✓") + COUNTIF(E19:AI19, "✔") + COUNTIF(E19:AI19, "v") + COUNTIF(E19:AI19, "V")) + COUNTIF(E19:AI19, "✗") + COUNTIF(E19:AI19, "x") + COUNTIF(E19:AI19, "X")), "")))</f>
        <v/>
      </c>
      <c r="AK19" s="103">
        <f>IF(ISBLANK(B19), "", IF(ISNUMBER(D19), IF(D19&gt;0, (COUNTIF(E19:AI19, "✓") + COUNTIF(E19:AI19, "✔") + COUNTIF(E19:AI19, "v") + COUNTIF(E19:AI19, "V")) &amp; "/" &amp; D19, (COUNTIF(E19:AI19, "✓") + COUNTIF(E19:AI19, "✔") + COUNTIF(E19:AI19, "v") + COUNTIF(E19:AI19, "V")) &amp; "/0"), IF(((COUNTIF(E19:AI19, "✓") + COUNTIF(E19:AI19, "✔") + COUNTIF(E19:AI19, "v") + COUNTIF(E19:AI19, "V")) + COUNTIF(E19:AI19, "✗") + COUNTIF(E19:AI19, "x") + COUNTIF(E19:AI19, "X"))&gt;0, (COUNTIF(E19:AI19, "✓") + COUNTIF(E19:AI19, "✔") + COUNTIF(E19:AI19, "v") + COUNTIF(E19:AI19, "V")) &amp; "/" &amp; ((COUNTIF(E19:AI19, "✓") + COUNTIF(E19:AI19, "✔") + COUNTIF(E19:AI19, "v") + COUNTIF(E19:AI19, "V")) + COUNTIF(E19:AI19, "✗") + COUNTIF(E19:AI19, "x") + COUNTIF(E19:AI19, "X")), "")))</f>
        <v/>
      </c>
      <c r="AL19" s="103">
        <f>IF(ISBLANK(B19), "", IF(AJ19&gt;=0.85, "🔥 Mastered", IF(AJ19&gt;=0.7, "⚡ Consistent", "⚠️ Needs Focus")))</f>
        <v/>
      </c>
      <c r="AM19">
        <f>COUNTIF(E19:AI19, "✓")</f>
        <v/>
      </c>
    </row>
    <row r="20" ht="14.5" customHeight="1">
      <c r="A20" s="97" t="n">
        <v>3</v>
      </c>
      <c r="B20" s="98" t="n"/>
      <c r="C20" s="99" t="n"/>
      <c r="D20" s="99" t="n"/>
      <c r="E20" s="100" t="n"/>
      <c r="F20" s="100" t="n"/>
      <c r="G20" s="100" t="n"/>
      <c r="H20" s="101" t="n"/>
      <c r="I20" s="100" t="n"/>
      <c r="J20" s="100" t="n"/>
      <c r="K20" s="100" t="n"/>
      <c r="L20" s="100" t="n"/>
      <c r="M20" s="100" t="n"/>
      <c r="N20" s="100" t="n"/>
      <c r="O20" s="101" t="n"/>
      <c r="P20" s="100" t="n"/>
      <c r="Q20" s="100" t="n"/>
      <c r="R20" s="100" t="n"/>
      <c r="S20" s="100" t="n"/>
      <c r="T20" s="100" t="n"/>
      <c r="U20" s="100" t="n"/>
      <c r="V20" s="101" t="n"/>
      <c r="W20" s="100" t="n"/>
      <c r="X20" s="100" t="n"/>
      <c r="Y20" s="100" t="n"/>
      <c r="Z20" s="100" t="n"/>
      <c r="AA20" s="100" t="n"/>
      <c r="AB20" s="100" t="n"/>
      <c r="AC20" s="101" t="n"/>
      <c r="AD20" s="100" t="n"/>
      <c r="AE20" s="100" t="n"/>
      <c r="AF20" s="100" t="n"/>
      <c r="AG20" s="100" t="n"/>
      <c r="AH20" s="100" t="n"/>
      <c r="AI20" s="100" t="n"/>
      <c r="AJ20" s="102">
        <f>IF(ISBLANK(B20), "", IF(ISNUMBER(D20), IF(D20&gt;0, (COUNTIF(E20:AI20, "✓") + COUNTIF(E20:AI20, "✔") + COUNTIF(E20:AI20, "v") + COUNTIF(E20:AI20, "V"))/D20, 0), IF(((COUNTIF(E20:AI20, "✓") + COUNTIF(E20:AI20, "✔") + COUNTIF(E20:AI20, "v") + COUNTIF(E20:AI20, "V")) + COUNTIF(E20:AI20, "✗") + COUNTIF(E20:AI20, "x") + COUNTIF(E20:AI20, "X"))&gt;0, (COUNTIF(E20:AI20, "✓") + COUNTIF(E20:AI20, "✔") + COUNTIF(E20:AI20, "v") + COUNTIF(E20:AI20, "V"))/((COUNTIF(E20:AI20, "✓") + COUNTIF(E20:AI20, "✔") + COUNTIF(E20:AI20, "v") + COUNTIF(E20:AI20, "V")) + COUNTIF(E20:AI20, "✗") + COUNTIF(E20:AI20, "x") + COUNTIF(E20:AI20, "X")), "")))</f>
        <v/>
      </c>
      <c r="AK20" s="103">
        <f>IF(ISBLANK(B20), "", IF(ISNUMBER(D20), IF(D20&gt;0, (COUNTIF(E20:AI20, "✓") + COUNTIF(E20:AI20, "✔") + COUNTIF(E20:AI20, "v") + COUNTIF(E20:AI20, "V")) &amp; "/" &amp; D20, (COUNTIF(E20:AI20, "✓") + COUNTIF(E20:AI20, "✔") + COUNTIF(E20:AI20, "v") + COUNTIF(E20:AI20, "V")) &amp; "/0"), IF(((COUNTIF(E20:AI20, "✓") + COUNTIF(E20:AI20, "✔") + COUNTIF(E20:AI20, "v") + COUNTIF(E20:AI20, "V")) + COUNTIF(E20:AI20, "✗") + COUNTIF(E20:AI20, "x") + COUNTIF(E20:AI20, "X"))&gt;0, (COUNTIF(E20:AI20, "✓") + COUNTIF(E20:AI20, "✔") + COUNTIF(E20:AI20, "v") + COUNTIF(E20:AI20, "V")) &amp; "/" &amp; ((COUNTIF(E20:AI20, "✓") + COUNTIF(E20:AI20, "✔") + COUNTIF(E20:AI20, "v") + COUNTIF(E20:AI20, "V")) + COUNTIF(E20:AI20, "✗") + COUNTIF(E20:AI20, "x") + COUNTIF(E20:AI20, "X")), "")))</f>
        <v/>
      </c>
      <c r="AL20" s="103">
        <f>IF(ISBLANK(B20), "", IF(AJ20&gt;=0.85, "🔥 Mastered", IF(AJ20&gt;=0.7, "⚡ Consistent", "⚠️ Needs Focus")))</f>
        <v/>
      </c>
      <c r="AM20">
        <f>COUNTIF(E20:AI20, "✓")</f>
        <v/>
      </c>
    </row>
    <row r="21" ht="14.5" customHeight="1">
      <c r="A21" s="97" t="n">
        <v>4</v>
      </c>
      <c r="B21" s="98" t="n"/>
      <c r="C21" s="99" t="n"/>
      <c r="D21" s="99" t="n"/>
      <c r="E21" s="100" t="n"/>
      <c r="F21" s="100" t="n"/>
      <c r="G21" s="100" t="n"/>
      <c r="H21" s="101" t="n"/>
      <c r="I21" s="100" t="n"/>
      <c r="J21" s="100" t="n"/>
      <c r="K21" s="100" t="n"/>
      <c r="L21" s="100" t="n"/>
      <c r="M21" s="100" t="n"/>
      <c r="N21" s="100" t="n"/>
      <c r="O21" s="101" t="n"/>
      <c r="P21" s="100" t="n"/>
      <c r="Q21" s="100" t="n"/>
      <c r="R21" s="100" t="n"/>
      <c r="S21" s="100" t="n"/>
      <c r="T21" s="100" t="n"/>
      <c r="U21" s="100" t="n"/>
      <c r="V21" s="101" t="n"/>
      <c r="W21" s="100" t="n"/>
      <c r="X21" s="100" t="n"/>
      <c r="Y21" s="100" t="n"/>
      <c r="Z21" s="100" t="n"/>
      <c r="AA21" s="100" t="n"/>
      <c r="AB21" s="100" t="n"/>
      <c r="AC21" s="101" t="n"/>
      <c r="AD21" s="100" t="n"/>
      <c r="AE21" s="100" t="n"/>
      <c r="AF21" s="100" t="n"/>
      <c r="AG21" s="100" t="n"/>
      <c r="AH21" s="100" t="n"/>
      <c r="AI21" s="100" t="n"/>
      <c r="AJ21" s="102">
        <f>IF(ISBLANK(B21), "", IF(ISNUMBER(D21), IF(D21&gt;0, (COUNTIF(E21:AI21, "✓") + COUNTIF(E21:AI21, "✔") + COUNTIF(E21:AI21, "v") + COUNTIF(E21:AI21, "V"))/D21, 0), IF(((COUNTIF(E21:AI21, "✓") + COUNTIF(E21:AI21, "✔") + COUNTIF(E21:AI21, "v") + COUNTIF(E21:AI21, "V")) + COUNTIF(E21:AI21, "✗") + COUNTIF(E21:AI21, "x") + COUNTIF(E21:AI21, "X"))&gt;0, (COUNTIF(E21:AI21, "✓") + COUNTIF(E21:AI21, "✔") + COUNTIF(E21:AI21, "v") + COUNTIF(E21:AI21, "V"))/((COUNTIF(E21:AI21, "✓") + COUNTIF(E21:AI21, "✔") + COUNTIF(E21:AI21, "v") + COUNTIF(E21:AI21, "V")) + COUNTIF(E21:AI21, "✗") + COUNTIF(E21:AI21, "x") + COUNTIF(E21:AI21, "X")), "")))</f>
        <v/>
      </c>
      <c r="AK21" s="103">
        <f>IF(ISBLANK(B21), "", IF(ISNUMBER(D21), IF(D21&gt;0, (COUNTIF(E21:AI21, "✓") + COUNTIF(E21:AI21, "✔") + COUNTIF(E21:AI21, "v") + COUNTIF(E21:AI21, "V")) &amp; "/" &amp; D21, (COUNTIF(E21:AI21, "✓") + COUNTIF(E21:AI21, "✔") + COUNTIF(E21:AI21, "v") + COUNTIF(E21:AI21, "V")) &amp; "/0"), IF(((COUNTIF(E21:AI21, "✓") + COUNTIF(E21:AI21, "✔") + COUNTIF(E21:AI21, "v") + COUNTIF(E21:AI21, "V")) + COUNTIF(E21:AI21, "✗") + COUNTIF(E21:AI21, "x") + COUNTIF(E21:AI21, "X"))&gt;0, (COUNTIF(E21:AI21, "✓") + COUNTIF(E21:AI21, "✔") + COUNTIF(E21:AI21, "v") + COUNTIF(E21:AI21, "V")) &amp; "/" &amp; ((COUNTIF(E21:AI21, "✓") + COUNTIF(E21:AI21, "✔") + COUNTIF(E21:AI21, "v") + COUNTIF(E21:AI21, "V")) + COUNTIF(E21:AI21, "✗") + COUNTIF(E21:AI21, "x") + COUNTIF(E21:AI21, "X")), "")))</f>
        <v/>
      </c>
      <c r="AL21" s="103">
        <f>IF(ISBLANK(B21), "", IF(AJ21&gt;=0.85, "🔥 Mastered", IF(AJ21&gt;=0.7, "⚡ Consistent", "⚠️ Needs Focus")))</f>
        <v/>
      </c>
      <c r="AM21">
        <f>COUNTIF(E21:AI21, "✓")</f>
        <v/>
      </c>
    </row>
    <row r="22" ht="14.5" customHeight="1">
      <c r="A22" s="104" t="n">
        <v>5</v>
      </c>
      <c r="B22" s="105" t="n"/>
      <c r="C22" s="106" t="n"/>
      <c r="D22" s="106" t="n"/>
      <c r="E22" s="107" t="n"/>
      <c r="F22" s="107" t="n"/>
      <c r="G22" s="107" t="n"/>
      <c r="H22" s="108" t="n"/>
      <c r="I22" s="107" t="n"/>
      <c r="J22" s="107" t="n"/>
      <c r="K22" s="107" t="n"/>
      <c r="L22" s="107" t="n"/>
      <c r="M22" s="107" t="n"/>
      <c r="N22" s="107" t="n"/>
      <c r="O22" s="108" t="n"/>
      <c r="P22" s="107" t="n"/>
      <c r="Q22" s="107" t="n"/>
      <c r="R22" s="107" t="n"/>
      <c r="S22" s="107" t="n"/>
      <c r="T22" s="107" t="n"/>
      <c r="U22" s="107" t="n"/>
      <c r="V22" s="108" t="n"/>
      <c r="W22" s="107" t="n"/>
      <c r="X22" s="107" t="n"/>
      <c r="Y22" s="107" t="n"/>
      <c r="Z22" s="107" t="n"/>
      <c r="AA22" s="107" t="n"/>
      <c r="AB22" s="107" t="n"/>
      <c r="AC22" s="108" t="n"/>
      <c r="AD22" s="107" t="n"/>
      <c r="AE22" s="107" t="n"/>
      <c r="AF22" s="107" t="n"/>
      <c r="AG22" s="107" t="n"/>
      <c r="AH22" s="107" t="n"/>
      <c r="AI22" s="107" t="n"/>
      <c r="AJ22" s="109">
        <f>IF(ISBLANK(B22), "", IF(ISNUMBER(D22), IF(D22&gt;0, (COUNTIF(E22:AI22, "✓") + COUNTIF(E22:AI22, "✔") + COUNTIF(E22:AI22, "v") + COUNTIF(E22:AI22, "V"))/D22, 0), IF(((COUNTIF(E22:AI22, "✓") + COUNTIF(E22:AI22, "✔") + COUNTIF(E22:AI22, "v") + COUNTIF(E22:AI22, "V")) + COUNTIF(E22:AI22, "✗") + COUNTIF(E22:AI22, "x") + COUNTIF(E22:AI22, "X"))&gt;0, (COUNTIF(E22:AI22, "✓") + COUNTIF(E22:AI22, "✔") + COUNTIF(E22:AI22, "v") + COUNTIF(E22:AI22, "V"))/((COUNTIF(E22:AI22, "✓") + COUNTIF(E22:AI22, "✔") + COUNTIF(E22:AI22, "v") + COUNTIF(E22:AI22, "V")) + COUNTIF(E22:AI22, "✗") + COUNTIF(E22:AI22, "x") + COUNTIF(E22:AI22, "X")), "")))</f>
        <v/>
      </c>
      <c r="AK22" s="110">
        <f>IF(ISBLANK(B22), "", IF(ISNUMBER(D22), IF(D22&gt;0, (COUNTIF(E22:AI22, "✓") + COUNTIF(E22:AI22, "✔") + COUNTIF(E22:AI22, "v") + COUNTIF(E22:AI22, "V")) &amp; "/" &amp; D22, (COUNTIF(E22:AI22, "✓") + COUNTIF(E22:AI22, "✔") + COUNTIF(E22:AI22, "v") + COUNTIF(E22:AI22, "V")) &amp; "/0"), IF(((COUNTIF(E22:AI22, "✓") + COUNTIF(E22:AI22, "✔") + COUNTIF(E22:AI22, "v") + COUNTIF(E22:AI22, "V")) + COUNTIF(E22:AI22, "✗") + COUNTIF(E22:AI22, "x") + COUNTIF(E22:AI22, "X"))&gt;0, (COUNTIF(E22:AI22, "✓") + COUNTIF(E22:AI22, "✔") + COUNTIF(E22:AI22, "v") + COUNTIF(E22:AI22, "V")) &amp; "/" &amp; ((COUNTIF(E22:AI22, "✓") + COUNTIF(E22:AI22, "✔") + COUNTIF(E22:AI22, "v") + COUNTIF(E22:AI22, "V")) + COUNTIF(E22:AI22, "✗") + COUNTIF(E22:AI22, "x") + COUNTIF(E22:AI22, "X")), "")))</f>
        <v/>
      </c>
      <c r="AL22" s="110">
        <f>IF(ISBLANK(B22), "", IF(AJ22&gt;=0.85, "🔥 Mastered", IF(AJ22&gt;=0.7, "⚡ Consistent", "⚠️ Needs Focus")))</f>
        <v/>
      </c>
      <c r="AM22">
        <f>COUNTIF(E22:AI22, "✓")</f>
        <v/>
      </c>
    </row>
    <row r="23" ht="14.5" customHeight="1">
      <c r="A23" s="104" t="n">
        <v>6</v>
      </c>
      <c r="B23" s="105" t="n"/>
      <c r="C23" s="106" t="n"/>
      <c r="D23" s="106" t="n"/>
      <c r="E23" s="107" t="n"/>
      <c r="F23" s="107" t="n"/>
      <c r="G23" s="107" t="n"/>
      <c r="H23" s="108" t="n"/>
      <c r="I23" s="107" t="n"/>
      <c r="J23" s="107" t="n"/>
      <c r="K23" s="107" t="n"/>
      <c r="L23" s="107" t="n"/>
      <c r="M23" s="107" t="n"/>
      <c r="N23" s="107" t="n"/>
      <c r="O23" s="108" t="n"/>
      <c r="P23" s="107" t="n"/>
      <c r="Q23" s="107" t="n"/>
      <c r="R23" s="107" t="n"/>
      <c r="S23" s="107" t="n"/>
      <c r="T23" s="107" t="n"/>
      <c r="U23" s="107" t="n"/>
      <c r="V23" s="108" t="n"/>
      <c r="W23" s="107" t="n"/>
      <c r="X23" s="107" t="n"/>
      <c r="Y23" s="107" t="n"/>
      <c r="Z23" s="107" t="n"/>
      <c r="AA23" s="107" t="n"/>
      <c r="AB23" s="107" t="n"/>
      <c r="AC23" s="108" t="n"/>
      <c r="AD23" s="107" t="n"/>
      <c r="AE23" s="107" t="n"/>
      <c r="AF23" s="107" t="n"/>
      <c r="AG23" s="107" t="n"/>
      <c r="AH23" s="107" t="n"/>
      <c r="AI23" s="107" t="n"/>
      <c r="AJ23" s="109">
        <f>IF(ISBLANK(B23), "", IF(ISNUMBER(D23), IF(D23&gt;0, (COUNTIF(E23:AI23, "✓") + COUNTIF(E23:AI23, "✔") + COUNTIF(E23:AI23, "v") + COUNTIF(E23:AI23, "V"))/D23, 0), IF(((COUNTIF(E23:AI23, "✓") + COUNTIF(E23:AI23, "✔") + COUNTIF(E23:AI23, "v") + COUNTIF(E23:AI23, "V")) + COUNTIF(E23:AI23, "✗") + COUNTIF(E23:AI23, "x") + COUNTIF(E23:AI23, "X"))&gt;0, (COUNTIF(E23:AI23, "✓") + COUNTIF(E23:AI23, "✔") + COUNTIF(E23:AI23, "v") + COUNTIF(E23:AI23, "V"))/((COUNTIF(E23:AI23, "✓") + COUNTIF(E23:AI23, "✔") + COUNTIF(E23:AI23, "v") + COUNTIF(E23:AI23, "V")) + COUNTIF(E23:AI23, "✗") + COUNTIF(E23:AI23, "x") + COUNTIF(E23:AI23, "X")), "")))</f>
        <v/>
      </c>
      <c r="AK23" s="110">
        <f>IF(ISBLANK(B23), "", IF(ISNUMBER(D23), IF(D23&gt;0, (COUNTIF(E23:AI23, "✓") + COUNTIF(E23:AI23, "✔") + COUNTIF(E23:AI23, "v") + COUNTIF(E23:AI23, "V")) &amp; "/" &amp; D23, (COUNTIF(E23:AI23, "✓") + COUNTIF(E23:AI23, "✔") + COUNTIF(E23:AI23, "v") + COUNTIF(E23:AI23, "V")) &amp; "/0"), IF(((COUNTIF(E23:AI23, "✓") + COUNTIF(E23:AI23, "✔") + COUNTIF(E23:AI23, "v") + COUNTIF(E23:AI23, "V")) + COUNTIF(E23:AI23, "✗") + COUNTIF(E23:AI23, "x") + COUNTIF(E23:AI23, "X"))&gt;0, (COUNTIF(E23:AI23, "✓") + COUNTIF(E23:AI23, "✔") + COUNTIF(E23:AI23, "v") + COUNTIF(E23:AI23, "V")) &amp; "/" &amp; ((COUNTIF(E23:AI23, "✓") + COUNTIF(E23:AI23, "✔") + COUNTIF(E23:AI23, "v") + COUNTIF(E23:AI23, "V")) + COUNTIF(E23:AI23, "✗") + COUNTIF(E23:AI23, "x") + COUNTIF(E23:AI23, "X")), "")))</f>
        <v/>
      </c>
      <c r="AL23" s="110">
        <f>IF(ISBLANK(B23), "", IF(AJ23&gt;=0.85, "🔥 Mastered", IF(AJ23&gt;=0.7, "⚡ Consistent", "⚠️ Needs Focus")))</f>
        <v/>
      </c>
      <c r="AM23">
        <f>COUNTIF(E23:AI23, "✓")</f>
        <v/>
      </c>
    </row>
    <row r="24" ht="14.5" customHeight="1">
      <c r="A24" s="104" t="n">
        <v>7</v>
      </c>
      <c r="B24" s="105" t="n"/>
      <c r="C24" s="106" t="n"/>
      <c r="D24" s="106" t="n"/>
      <c r="E24" s="107" t="n"/>
      <c r="F24" s="107" t="n"/>
      <c r="G24" s="107" t="n"/>
      <c r="H24" s="108" t="n"/>
      <c r="I24" s="107" t="n"/>
      <c r="J24" s="107" t="n"/>
      <c r="K24" s="107" t="n"/>
      <c r="L24" s="107" t="n"/>
      <c r="M24" s="107" t="n"/>
      <c r="N24" s="107" t="n"/>
      <c r="O24" s="108" t="n"/>
      <c r="P24" s="107" t="n"/>
      <c r="Q24" s="107" t="n"/>
      <c r="R24" s="107" t="n"/>
      <c r="S24" s="107" t="n"/>
      <c r="T24" s="107" t="n"/>
      <c r="U24" s="107" t="n"/>
      <c r="V24" s="108" t="n"/>
      <c r="W24" s="107" t="n"/>
      <c r="X24" s="107" t="n"/>
      <c r="Y24" s="107" t="n"/>
      <c r="Z24" s="107" t="n"/>
      <c r="AA24" s="107" t="n"/>
      <c r="AB24" s="107" t="n"/>
      <c r="AC24" s="108" t="n"/>
      <c r="AD24" s="107" t="n"/>
      <c r="AE24" s="107" t="n"/>
      <c r="AF24" s="107" t="n"/>
      <c r="AG24" s="107" t="n"/>
      <c r="AH24" s="107" t="n"/>
      <c r="AI24" s="107" t="n"/>
      <c r="AJ24" s="109">
        <f>IF(ISBLANK(B24), "", IF(ISNUMBER(D24), IF(D24&gt;0, (COUNTIF(E24:AI24, "✓") + COUNTIF(E24:AI24, "✔") + COUNTIF(E24:AI24, "v") + COUNTIF(E24:AI24, "V"))/D24, 0), IF(((COUNTIF(E24:AI24, "✓") + COUNTIF(E24:AI24, "✔") + COUNTIF(E24:AI24, "v") + COUNTIF(E24:AI24, "V")) + COUNTIF(E24:AI24, "✗") + COUNTIF(E24:AI24, "x") + COUNTIF(E24:AI24, "X"))&gt;0, (COUNTIF(E24:AI24, "✓") + COUNTIF(E24:AI24, "✔") + COUNTIF(E24:AI24, "v") + COUNTIF(E24:AI24, "V"))/((COUNTIF(E24:AI24, "✓") + COUNTIF(E24:AI24, "✔") + COUNTIF(E24:AI24, "v") + COUNTIF(E24:AI24, "V")) + COUNTIF(E24:AI24, "✗") + COUNTIF(E24:AI24, "x") + COUNTIF(E24:AI24, "X")), "")))</f>
        <v/>
      </c>
      <c r="AK24" s="110">
        <f>IF(ISBLANK(B24), "", IF(ISNUMBER(D24), IF(D24&gt;0, (COUNTIF(E24:AI24, "✓") + COUNTIF(E24:AI24, "✔") + COUNTIF(E24:AI24, "v") + COUNTIF(E24:AI24, "V")) &amp; "/" &amp; D24, (COUNTIF(E24:AI24, "✓") + COUNTIF(E24:AI24, "✔") + COUNTIF(E24:AI24, "v") + COUNTIF(E24:AI24, "V")) &amp; "/0"), IF(((COUNTIF(E24:AI24, "✓") + COUNTIF(E24:AI24, "✔") + COUNTIF(E24:AI24, "v") + COUNTIF(E24:AI24, "V")) + COUNTIF(E24:AI24, "✗") + COUNTIF(E24:AI24, "x") + COUNTIF(E24:AI24, "X"))&gt;0, (COUNTIF(E24:AI24, "✓") + COUNTIF(E24:AI24, "✔") + COUNTIF(E24:AI24, "v") + COUNTIF(E24:AI24, "V")) &amp; "/" &amp; ((COUNTIF(E24:AI24, "✓") + COUNTIF(E24:AI24, "✔") + COUNTIF(E24:AI24, "v") + COUNTIF(E24:AI24, "V")) + COUNTIF(E24:AI24, "✗") + COUNTIF(E24:AI24, "x") + COUNTIF(E24:AI24, "X")), "")))</f>
        <v/>
      </c>
      <c r="AL24" s="110">
        <f>IF(ISBLANK(B24), "", IF(AJ24&gt;=0.85, "🔥 Mastered", IF(AJ24&gt;=0.7, "⚡ Consistent", "⚠️ Needs Focus")))</f>
        <v/>
      </c>
      <c r="AM24">
        <f>COUNTIF(E24:AI24, "✓")</f>
        <v/>
      </c>
    </row>
    <row r="25" ht="14.5" customHeight="1">
      <c r="A25" s="104" t="n">
        <v>8</v>
      </c>
      <c r="B25" s="105" t="n"/>
      <c r="C25" s="106" t="n"/>
      <c r="D25" s="106" t="n"/>
      <c r="E25" s="107" t="n"/>
      <c r="F25" s="107" t="n"/>
      <c r="G25" s="107" t="n"/>
      <c r="H25" s="108" t="n"/>
      <c r="I25" s="107" t="n"/>
      <c r="J25" s="107" t="n"/>
      <c r="K25" s="107" t="n"/>
      <c r="L25" s="107" t="n"/>
      <c r="M25" s="107" t="n"/>
      <c r="N25" s="107" t="n"/>
      <c r="O25" s="108" t="n"/>
      <c r="P25" s="107" t="n"/>
      <c r="Q25" s="107" t="n"/>
      <c r="R25" s="107" t="n"/>
      <c r="S25" s="107" t="n"/>
      <c r="T25" s="107" t="n"/>
      <c r="U25" s="107" t="n"/>
      <c r="V25" s="108" t="n"/>
      <c r="W25" s="107" t="n"/>
      <c r="X25" s="107" t="n"/>
      <c r="Y25" s="107" t="n"/>
      <c r="Z25" s="107" t="n"/>
      <c r="AA25" s="107" t="n"/>
      <c r="AB25" s="107" t="n"/>
      <c r="AC25" s="108" t="n"/>
      <c r="AD25" s="107" t="n"/>
      <c r="AE25" s="107" t="n"/>
      <c r="AF25" s="107" t="n"/>
      <c r="AG25" s="107" t="n"/>
      <c r="AH25" s="107" t="n"/>
      <c r="AI25" s="107" t="n"/>
      <c r="AJ25" s="109">
        <f>IF(ISBLANK(B25), "", IF(ISNUMBER(D25), IF(D25&gt;0, (COUNTIF(E25:AI25, "✓") + COUNTIF(E25:AI25, "✔") + COUNTIF(E25:AI25, "v") + COUNTIF(E25:AI25, "V"))/D25, 0), IF(((COUNTIF(E25:AI25, "✓") + COUNTIF(E25:AI25, "✔") + COUNTIF(E25:AI25, "v") + COUNTIF(E25:AI25, "V")) + COUNTIF(E25:AI25, "✗") + COUNTIF(E25:AI25, "x") + COUNTIF(E25:AI25, "X"))&gt;0, (COUNTIF(E25:AI25, "✓") + COUNTIF(E25:AI25, "✔") + COUNTIF(E25:AI25, "v") + COUNTIF(E25:AI25, "V"))/((COUNTIF(E25:AI25, "✓") + COUNTIF(E25:AI25, "✔") + COUNTIF(E25:AI25, "v") + COUNTIF(E25:AI25, "V")) + COUNTIF(E25:AI25, "✗") + COUNTIF(E25:AI25, "x") + COUNTIF(E25:AI25, "X")), "")))</f>
        <v/>
      </c>
      <c r="AK25" s="110">
        <f>IF(ISBLANK(B25), "", IF(ISNUMBER(D25), IF(D25&gt;0, (COUNTIF(E25:AI25, "✓") + COUNTIF(E25:AI25, "✔") + COUNTIF(E25:AI25, "v") + COUNTIF(E25:AI25, "V")) &amp; "/" &amp; D25, (COUNTIF(E25:AI25, "✓") + COUNTIF(E25:AI25, "✔") + COUNTIF(E25:AI25, "v") + COUNTIF(E25:AI25, "V")) &amp; "/0"), IF(((COUNTIF(E25:AI25, "✓") + COUNTIF(E25:AI25, "✔") + COUNTIF(E25:AI25, "v") + COUNTIF(E25:AI25, "V")) + COUNTIF(E25:AI25, "✗") + COUNTIF(E25:AI25, "x") + COUNTIF(E25:AI25, "X"))&gt;0, (COUNTIF(E25:AI25, "✓") + COUNTIF(E25:AI25, "✔") + COUNTIF(E25:AI25, "v") + COUNTIF(E25:AI25, "V")) &amp; "/" &amp; ((COUNTIF(E25:AI25, "✓") + COUNTIF(E25:AI25, "✔") + COUNTIF(E25:AI25, "v") + COUNTIF(E25:AI25, "V")) + COUNTIF(E25:AI25, "✗") + COUNTIF(E25:AI25, "x") + COUNTIF(E25:AI25, "X")), "")))</f>
        <v/>
      </c>
      <c r="AL25" s="110">
        <f>IF(ISBLANK(B25), "", IF(AJ25&gt;=0.85, "🔥 Mastered", IF(AJ25&gt;=0.7, "⚡ Consistent", "⚠️ Needs Focus")))</f>
        <v/>
      </c>
      <c r="AM25">
        <f>COUNTIF(E25:AI25, "✓")</f>
        <v/>
      </c>
    </row>
    <row r="26" ht="14.5" customHeight="1">
      <c r="A26" s="111" t="n">
        <v>9</v>
      </c>
      <c r="B26" s="112" t="n"/>
      <c r="C26" s="113" t="n"/>
      <c r="D26" s="113" t="n"/>
      <c r="E26" s="114" t="n"/>
      <c r="F26" s="114" t="n"/>
      <c r="G26" s="114" t="n"/>
      <c r="H26" s="115" t="n"/>
      <c r="I26" s="114" t="n"/>
      <c r="J26" s="114" t="n"/>
      <c r="K26" s="114" t="n"/>
      <c r="L26" s="114" t="n"/>
      <c r="M26" s="114" t="n"/>
      <c r="N26" s="114" t="n"/>
      <c r="O26" s="115" t="n"/>
      <c r="P26" s="114" t="n"/>
      <c r="Q26" s="114" t="n"/>
      <c r="R26" s="114" t="n"/>
      <c r="S26" s="114" t="n"/>
      <c r="T26" s="114" t="n"/>
      <c r="U26" s="114" t="n"/>
      <c r="V26" s="115" t="n"/>
      <c r="W26" s="114" t="n"/>
      <c r="X26" s="114" t="n"/>
      <c r="Y26" s="114" t="n"/>
      <c r="Z26" s="114" t="n"/>
      <c r="AA26" s="114" t="n"/>
      <c r="AB26" s="114" t="n"/>
      <c r="AC26" s="115" t="n"/>
      <c r="AD26" s="114" t="n"/>
      <c r="AE26" s="114" t="n"/>
      <c r="AF26" s="114" t="n"/>
      <c r="AG26" s="114" t="n"/>
      <c r="AH26" s="114" t="n"/>
      <c r="AI26" s="114" t="n"/>
      <c r="AJ26" s="116">
        <f>IF(ISBLANK(B26), "", IF(ISNUMBER(D26), IF(D26&gt;0, (COUNTIF(E26:AI26, "✓") + COUNTIF(E26:AI26, "✔") + COUNTIF(E26:AI26, "v") + COUNTIF(E26:AI26, "V"))/D26, 0), IF(((COUNTIF(E26:AI26, "✓") + COUNTIF(E26:AI26, "✔") + COUNTIF(E26:AI26, "v") + COUNTIF(E26:AI26, "V")) + COUNTIF(E26:AI26, "✗") + COUNTIF(E26:AI26, "x") + COUNTIF(E26:AI26, "X"))&gt;0, (COUNTIF(E26:AI26, "✓") + COUNTIF(E26:AI26, "✔") + COUNTIF(E26:AI26, "v") + COUNTIF(E26:AI26, "V"))/((COUNTIF(E26:AI26, "✓") + COUNTIF(E26:AI26, "✔") + COUNTIF(E26:AI26, "v") + COUNTIF(E26:AI26, "V")) + COUNTIF(E26:AI26, "✗") + COUNTIF(E26:AI26, "x") + COUNTIF(E26:AI26, "X")), "")))</f>
        <v/>
      </c>
      <c r="AK26" s="117">
        <f>IF(ISBLANK(B26), "", IF(ISNUMBER(D26), IF(D26&gt;0, (COUNTIF(E26:AI26, "✓") + COUNTIF(E26:AI26, "✔") + COUNTIF(E26:AI26, "v") + COUNTIF(E26:AI26, "V")) &amp; "/" &amp; D26, (COUNTIF(E26:AI26, "✓") + COUNTIF(E26:AI26, "✔") + COUNTIF(E26:AI26, "v") + COUNTIF(E26:AI26, "V")) &amp; "/0"), IF(((COUNTIF(E26:AI26, "✓") + COUNTIF(E26:AI26, "✔") + COUNTIF(E26:AI26, "v") + COUNTIF(E26:AI26, "V")) + COUNTIF(E26:AI26, "✗") + COUNTIF(E26:AI26, "x") + COUNTIF(E26:AI26, "X"))&gt;0, (COUNTIF(E26:AI26, "✓") + COUNTIF(E26:AI26, "✔") + COUNTIF(E26:AI26, "v") + COUNTIF(E26:AI26, "V")) &amp; "/" &amp; ((COUNTIF(E26:AI26, "✓") + COUNTIF(E26:AI26, "✔") + COUNTIF(E26:AI26, "v") + COUNTIF(E26:AI26, "V")) + COUNTIF(E26:AI26, "✗") + COUNTIF(E26:AI26, "x") + COUNTIF(E26:AI26, "X")), "")))</f>
        <v/>
      </c>
      <c r="AL26" s="117">
        <f>IF(ISBLANK(B26), "", IF(AJ26&gt;=0.85, "🔥 Mastered", IF(AJ26&gt;=0.7, "⚡ Consistent", "⚠️ Needs Focus")))</f>
        <v/>
      </c>
      <c r="AM26">
        <f>COUNTIF(E26:AI26, "✓")</f>
        <v/>
      </c>
    </row>
    <row r="27" ht="14.5" customHeight="1">
      <c r="A27" s="111" t="n">
        <v>10</v>
      </c>
      <c r="B27" s="112" t="n"/>
      <c r="C27" s="113" t="n"/>
      <c r="D27" s="113" t="n"/>
      <c r="E27" s="114" t="n"/>
      <c r="F27" s="114" t="n"/>
      <c r="G27" s="114" t="n"/>
      <c r="H27" s="115" t="n"/>
      <c r="I27" s="114" t="n"/>
      <c r="J27" s="114" t="n"/>
      <c r="K27" s="114" t="n"/>
      <c r="L27" s="114" t="n"/>
      <c r="M27" s="114" t="n"/>
      <c r="N27" s="114" t="n"/>
      <c r="O27" s="115" t="n"/>
      <c r="P27" s="114" t="n"/>
      <c r="Q27" s="114" t="n"/>
      <c r="R27" s="114" t="n"/>
      <c r="S27" s="114" t="n"/>
      <c r="T27" s="114" t="n"/>
      <c r="U27" s="114" t="n"/>
      <c r="V27" s="115" t="n"/>
      <c r="W27" s="114" t="n"/>
      <c r="X27" s="114" t="n"/>
      <c r="Y27" s="114" t="n"/>
      <c r="Z27" s="114" t="n"/>
      <c r="AA27" s="114" t="n"/>
      <c r="AB27" s="114" t="n"/>
      <c r="AC27" s="115" t="n"/>
      <c r="AD27" s="114" t="n"/>
      <c r="AE27" s="114" t="n"/>
      <c r="AF27" s="114" t="n"/>
      <c r="AG27" s="114" t="n"/>
      <c r="AH27" s="114" t="n"/>
      <c r="AI27" s="114" t="n"/>
      <c r="AJ27" s="116">
        <f>IF(ISBLANK(B27), "", IF(ISNUMBER(D27), IF(D27&gt;0, (COUNTIF(E27:AI27, "✓") + COUNTIF(E27:AI27, "✔") + COUNTIF(E27:AI27, "v") + COUNTIF(E27:AI27, "V"))/D27, 0), IF(((COUNTIF(E27:AI27, "✓") + COUNTIF(E27:AI27, "✔") + COUNTIF(E27:AI27, "v") + COUNTIF(E27:AI27, "V")) + COUNTIF(E27:AI27, "✗") + COUNTIF(E27:AI27, "x") + COUNTIF(E27:AI27, "X"))&gt;0, (COUNTIF(E27:AI27, "✓") + COUNTIF(E27:AI27, "✔") + COUNTIF(E27:AI27, "v") + COUNTIF(E27:AI27, "V"))/((COUNTIF(E27:AI27, "✓") + COUNTIF(E27:AI27, "✔") + COUNTIF(E27:AI27, "v") + COUNTIF(E27:AI27, "V")) + COUNTIF(E27:AI27, "✗") + COUNTIF(E27:AI27, "x") + COUNTIF(E27:AI27, "X")), "")))</f>
        <v/>
      </c>
      <c r="AK27" s="117">
        <f>IF(ISBLANK(B27), "", IF(ISNUMBER(D27), IF(D27&gt;0, (COUNTIF(E27:AI27, "✓") + COUNTIF(E27:AI27, "✔") + COUNTIF(E27:AI27, "v") + COUNTIF(E27:AI27, "V")) &amp; "/" &amp; D27, (COUNTIF(E27:AI27, "✓") + COUNTIF(E27:AI27, "✔") + COUNTIF(E27:AI27, "v") + COUNTIF(E27:AI27, "V")) &amp; "/0"), IF(((COUNTIF(E27:AI27, "✓") + COUNTIF(E27:AI27, "✔") + COUNTIF(E27:AI27, "v") + COUNTIF(E27:AI27, "V")) + COUNTIF(E27:AI27, "✗") + COUNTIF(E27:AI27, "x") + COUNTIF(E27:AI27, "X"))&gt;0, (COUNTIF(E27:AI27, "✓") + COUNTIF(E27:AI27, "✔") + COUNTIF(E27:AI27, "v") + COUNTIF(E27:AI27, "V")) &amp; "/" &amp; ((COUNTIF(E27:AI27, "✓") + COUNTIF(E27:AI27, "✔") + COUNTIF(E27:AI27, "v") + COUNTIF(E27:AI27, "V")) + COUNTIF(E27:AI27, "✗") + COUNTIF(E27:AI27, "x") + COUNTIF(E27:AI27, "X")), "")))</f>
        <v/>
      </c>
      <c r="AL27" s="117">
        <f>IF(ISBLANK(B27), "", IF(AJ27&gt;=0.85, "🔥 Mastered", IF(AJ27&gt;=0.7, "⚡ Consistent", "⚠️ Needs Focus")))</f>
        <v/>
      </c>
      <c r="AM27">
        <f>COUNTIF(E27:AI27, "✓")</f>
        <v/>
      </c>
    </row>
    <row r="28" ht="14.5" customHeight="1">
      <c r="A28" s="111" t="n">
        <v>11</v>
      </c>
      <c r="B28" s="112" t="n"/>
      <c r="C28" s="113" t="n"/>
      <c r="D28" s="113" t="n"/>
      <c r="E28" s="114" t="n"/>
      <c r="F28" s="114" t="n"/>
      <c r="G28" s="114" t="n"/>
      <c r="H28" s="115" t="n"/>
      <c r="I28" s="114" t="n"/>
      <c r="J28" s="114" t="n"/>
      <c r="K28" s="114" t="n"/>
      <c r="L28" s="114" t="n"/>
      <c r="M28" s="114" t="n"/>
      <c r="N28" s="114" t="n"/>
      <c r="O28" s="115" t="n"/>
      <c r="P28" s="114" t="n"/>
      <c r="Q28" s="114" t="n"/>
      <c r="R28" s="114" t="n"/>
      <c r="S28" s="114" t="n"/>
      <c r="T28" s="114" t="n"/>
      <c r="U28" s="114" t="n"/>
      <c r="V28" s="115" t="n"/>
      <c r="W28" s="114" t="n"/>
      <c r="X28" s="114" t="n"/>
      <c r="Y28" s="114" t="n"/>
      <c r="Z28" s="114" t="n"/>
      <c r="AA28" s="114" t="n"/>
      <c r="AB28" s="114" t="n"/>
      <c r="AC28" s="115" t="n"/>
      <c r="AD28" s="114" t="n"/>
      <c r="AE28" s="114" t="n"/>
      <c r="AF28" s="114" t="n"/>
      <c r="AG28" s="114" t="n"/>
      <c r="AH28" s="114" t="n"/>
      <c r="AI28" s="114" t="n"/>
      <c r="AJ28" s="116">
        <f>IF(ISBLANK(B28), "", IF(ISNUMBER(D28), IF(D28&gt;0, (COUNTIF(E28:AI28, "✓") + COUNTIF(E28:AI28, "✔") + COUNTIF(E28:AI28, "v") + COUNTIF(E28:AI28, "V"))/D28, 0), IF(((COUNTIF(E28:AI28, "✓") + COUNTIF(E28:AI28, "✔") + COUNTIF(E28:AI28, "v") + COUNTIF(E28:AI28, "V")) + COUNTIF(E28:AI28, "✗") + COUNTIF(E28:AI28, "x") + COUNTIF(E28:AI28, "X"))&gt;0, (COUNTIF(E28:AI28, "✓") + COUNTIF(E28:AI28, "✔") + COUNTIF(E28:AI28, "v") + COUNTIF(E28:AI28, "V"))/((COUNTIF(E28:AI28, "✓") + COUNTIF(E28:AI28, "✔") + COUNTIF(E28:AI28, "v") + COUNTIF(E28:AI28, "V")) + COUNTIF(E28:AI28, "✗") + COUNTIF(E28:AI28, "x") + COUNTIF(E28:AI28, "X")), "")))</f>
        <v/>
      </c>
      <c r="AK28" s="117">
        <f>IF(ISBLANK(B28), "", IF(ISNUMBER(D28), IF(D28&gt;0, (COUNTIF(E28:AI28, "✓") + COUNTIF(E28:AI28, "✔") + COUNTIF(E28:AI28, "v") + COUNTIF(E28:AI28, "V")) &amp; "/" &amp; D28, (COUNTIF(E28:AI28, "✓") + COUNTIF(E28:AI28, "✔") + COUNTIF(E28:AI28, "v") + COUNTIF(E28:AI28, "V")) &amp; "/0"), IF(((COUNTIF(E28:AI28, "✓") + COUNTIF(E28:AI28, "✔") + COUNTIF(E28:AI28, "v") + COUNTIF(E28:AI28, "V")) + COUNTIF(E28:AI28, "✗") + COUNTIF(E28:AI28, "x") + COUNTIF(E28:AI28, "X"))&gt;0, (COUNTIF(E28:AI28, "✓") + COUNTIF(E28:AI28, "✔") + COUNTIF(E28:AI28, "v") + COUNTIF(E28:AI28, "V")) &amp; "/" &amp; ((COUNTIF(E28:AI28, "✓") + COUNTIF(E28:AI28, "✔") + COUNTIF(E28:AI28, "v") + COUNTIF(E28:AI28, "V")) + COUNTIF(E28:AI28, "✗") + COUNTIF(E28:AI28, "x") + COUNTIF(E28:AI28, "X")), "")))</f>
        <v/>
      </c>
      <c r="AL28" s="117">
        <f>IF(ISBLANK(B28), "", IF(AJ28&gt;=0.85, "🔥 Mastered", IF(AJ28&gt;=0.7, "⚡ Consistent", "⚠️ Needs Focus")))</f>
        <v/>
      </c>
      <c r="AM28">
        <f>COUNTIF(E28:AI28, "✓")</f>
        <v/>
      </c>
    </row>
    <row r="29" ht="14.5" customHeight="1">
      <c r="A29" s="111" t="n">
        <v>12</v>
      </c>
      <c r="B29" s="112" t="n"/>
      <c r="C29" s="113" t="n"/>
      <c r="D29" s="113" t="n"/>
      <c r="E29" s="114" t="n"/>
      <c r="F29" s="114" t="n"/>
      <c r="G29" s="114" t="n"/>
      <c r="H29" s="115" t="n"/>
      <c r="I29" s="114" t="n"/>
      <c r="J29" s="114" t="n"/>
      <c r="K29" s="114" t="n"/>
      <c r="L29" s="114" t="n"/>
      <c r="M29" s="114" t="n"/>
      <c r="N29" s="114" t="n"/>
      <c r="O29" s="115" t="n"/>
      <c r="P29" s="114" t="n"/>
      <c r="Q29" s="114" t="n"/>
      <c r="R29" s="114" t="n"/>
      <c r="S29" s="114" t="n"/>
      <c r="T29" s="114" t="n"/>
      <c r="U29" s="114" t="n"/>
      <c r="V29" s="115" t="n"/>
      <c r="W29" s="114" t="n"/>
      <c r="X29" s="114" t="n"/>
      <c r="Y29" s="114" t="n"/>
      <c r="Z29" s="114" t="n"/>
      <c r="AA29" s="114" t="n"/>
      <c r="AB29" s="114" t="n"/>
      <c r="AC29" s="115" t="n"/>
      <c r="AD29" s="114" t="n"/>
      <c r="AE29" s="114" t="n"/>
      <c r="AF29" s="114" t="n"/>
      <c r="AG29" s="114" t="n"/>
      <c r="AH29" s="114" t="n"/>
      <c r="AI29" s="114" t="n"/>
      <c r="AJ29" s="116">
        <f>IF(ISBLANK(B29), "", IF(ISNUMBER(D29), IF(D29&gt;0, (COUNTIF(E29:AI29, "✓") + COUNTIF(E29:AI29, "✔") + COUNTIF(E29:AI29, "v") + COUNTIF(E29:AI29, "V"))/D29, 0), IF(((COUNTIF(E29:AI29, "✓") + COUNTIF(E29:AI29, "✔") + COUNTIF(E29:AI29, "v") + COUNTIF(E29:AI29, "V")) + COUNTIF(E29:AI29, "✗") + COUNTIF(E29:AI29, "x") + COUNTIF(E29:AI29, "X"))&gt;0, (COUNTIF(E29:AI29, "✓") + COUNTIF(E29:AI29, "✔") + COUNTIF(E29:AI29, "v") + COUNTIF(E29:AI29, "V"))/((COUNTIF(E29:AI29, "✓") + COUNTIF(E29:AI29, "✔") + COUNTIF(E29:AI29, "v") + COUNTIF(E29:AI29, "V")) + COUNTIF(E29:AI29, "✗") + COUNTIF(E29:AI29, "x") + COUNTIF(E29:AI29, "X")), "")))</f>
        <v/>
      </c>
      <c r="AK29" s="117">
        <f>IF(ISBLANK(B29), "", IF(ISNUMBER(D29), IF(D29&gt;0, (COUNTIF(E29:AI29, "✓") + COUNTIF(E29:AI29, "✔") + COUNTIF(E29:AI29, "v") + COUNTIF(E29:AI29, "V")) &amp; "/" &amp; D29, (COUNTIF(E29:AI29, "✓") + COUNTIF(E29:AI29, "✔") + COUNTIF(E29:AI29, "v") + COUNTIF(E29:AI29, "V")) &amp; "/0"), IF(((COUNTIF(E29:AI29, "✓") + COUNTIF(E29:AI29, "✔") + COUNTIF(E29:AI29, "v") + COUNTIF(E29:AI29, "V")) + COUNTIF(E29:AI29, "✗") + COUNTIF(E29:AI29, "x") + COUNTIF(E29:AI29, "X"))&gt;0, (COUNTIF(E29:AI29, "✓") + COUNTIF(E29:AI29, "✔") + COUNTIF(E29:AI29, "v") + COUNTIF(E29:AI29, "V")) &amp; "/" &amp; ((COUNTIF(E29:AI29, "✓") + COUNTIF(E29:AI29, "✔") + COUNTIF(E29:AI29, "v") + COUNTIF(E29:AI29, "V")) + COUNTIF(E29:AI29, "✗") + COUNTIF(E29:AI29, "x") + COUNTIF(E29:AI29, "X")), "")))</f>
        <v/>
      </c>
      <c r="AL29" s="117">
        <f>IF(ISBLANK(B29), "", IF(AJ29&gt;=0.85, "🔥 Mastered", IF(AJ29&gt;=0.7, "⚡ Consistent", "⚠️ Needs Focus")))</f>
        <v/>
      </c>
      <c r="AM29">
        <f>COUNTIF(E29:AI29, "✓")</f>
        <v/>
      </c>
    </row>
    <row r="30" ht="14.5" customHeight="1">
      <c r="A30" s="118" t="n">
        <v>13</v>
      </c>
      <c r="B30" s="119" t="n"/>
      <c r="C30" s="120" t="n"/>
      <c r="D30" s="120" t="n"/>
      <c r="E30" s="121" t="n"/>
      <c r="F30" s="121" t="n"/>
      <c r="G30" s="121" t="n"/>
      <c r="H30" s="122" t="n"/>
      <c r="I30" s="121" t="n"/>
      <c r="J30" s="121" t="n"/>
      <c r="K30" s="121" t="n"/>
      <c r="L30" s="121" t="n"/>
      <c r="M30" s="121" t="n"/>
      <c r="N30" s="121" t="n"/>
      <c r="O30" s="122" t="n"/>
      <c r="P30" s="121" t="n"/>
      <c r="Q30" s="121" t="n"/>
      <c r="R30" s="121" t="n"/>
      <c r="S30" s="121" t="n"/>
      <c r="T30" s="121" t="n"/>
      <c r="U30" s="121" t="n"/>
      <c r="V30" s="122" t="n"/>
      <c r="W30" s="121" t="n"/>
      <c r="X30" s="121" t="n"/>
      <c r="Y30" s="121" t="n"/>
      <c r="Z30" s="121" t="n"/>
      <c r="AA30" s="121" t="n"/>
      <c r="AB30" s="121" t="n"/>
      <c r="AC30" s="122" t="n"/>
      <c r="AD30" s="121" t="n"/>
      <c r="AE30" s="121" t="n"/>
      <c r="AF30" s="121" t="n"/>
      <c r="AG30" s="121" t="n"/>
      <c r="AH30" s="121" t="n"/>
      <c r="AI30" s="121" t="n"/>
      <c r="AJ30" s="123">
        <f>IF(ISBLANK(B30), "", IF(ISNUMBER(D30), IF(D30&gt;0, (COUNTIF(E30:AI30, "✓") + COUNTIF(E30:AI30, "✔") + COUNTIF(E30:AI30, "v") + COUNTIF(E30:AI30, "V"))/D30, 0), IF(((COUNTIF(E30:AI30, "✓") + COUNTIF(E30:AI30, "✔") + COUNTIF(E30:AI30, "v") + COUNTIF(E30:AI30, "V")) + COUNTIF(E30:AI30, "✗") + COUNTIF(E30:AI30, "x") + COUNTIF(E30:AI30, "X"))&gt;0, (COUNTIF(E30:AI30, "✓") + COUNTIF(E30:AI30, "✔") + COUNTIF(E30:AI30, "v") + COUNTIF(E30:AI30, "V"))/((COUNTIF(E30:AI30, "✓") + COUNTIF(E30:AI30, "✔") + COUNTIF(E30:AI30, "v") + COUNTIF(E30:AI30, "V")) + COUNTIF(E30:AI30, "✗") + COUNTIF(E30:AI30, "x") + COUNTIF(E30:AI30, "X")), "")))</f>
        <v/>
      </c>
      <c r="AK30" s="124">
        <f>IF(ISBLANK(B30), "", IF(ISNUMBER(D30), IF(D30&gt;0, (COUNTIF(E30:AI30, "✓") + COUNTIF(E30:AI30, "✔") + COUNTIF(E30:AI30, "v") + COUNTIF(E30:AI30, "V")) &amp; "/" &amp; D30, (COUNTIF(E30:AI30, "✓") + COUNTIF(E30:AI30, "✔") + COUNTIF(E30:AI30, "v") + COUNTIF(E30:AI30, "V")) &amp; "/0"), IF(((COUNTIF(E30:AI30, "✓") + COUNTIF(E30:AI30, "✔") + COUNTIF(E30:AI30, "v") + COUNTIF(E30:AI30, "V")) + COUNTIF(E30:AI30, "✗") + COUNTIF(E30:AI30, "x") + COUNTIF(E30:AI30, "X"))&gt;0, (COUNTIF(E30:AI30, "✓") + COUNTIF(E30:AI30, "✔") + COUNTIF(E30:AI30, "v") + COUNTIF(E30:AI30, "V")) &amp; "/" &amp; ((COUNTIF(E30:AI30, "✓") + COUNTIF(E30:AI30, "✔") + COUNTIF(E30:AI30, "v") + COUNTIF(E30:AI30, "V")) + COUNTIF(E30:AI30, "✗") + COUNTIF(E30:AI30, "x") + COUNTIF(E30:AI30, "X")), "")))</f>
        <v/>
      </c>
      <c r="AL30" s="124">
        <f>IF(ISBLANK(B30), "", IF(AJ30&gt;=0.85, "🔥 Mastered", IF(AJ30&gt;=0.7, "⚡ Consistent", "⚠️ Needs Focus")))</f>
        <v/>
      </c>
      <c r="AM30">
        <f>COUNTIF(E30:AI30, "✓")</f>
        <v/>
      </c>
    </row>
    <row r="31" ht="14.5" customHeight="1">
      <c r="A31" s="118" t="n">
        <v>14</v>
      </c>
      <c r="B31" s="119" t="n"/>
      <c r="C31" s="120" t="n"/>
      <c r="D31" s="120" t="n"/>
      <c r="E31" s="121" t="n"/>
      <c r="F31" s="121" t="n"/>
      <c r="G31" s="121" t="n"/>
      <c r="H31" s="122" t="n"/>
      <c r="I31" s="121" t="n"/>
      <c r="J31" s="121" t="n"/>
      <c r="K31" s="121" t="n"/>
      <c r="L31" s="121" t="n"/>
      <c r="M31" s="121" t="n"/>
      <c r="N31" s="121" t="n"/>
      <c r="O31" s="122" t="n"/>
      <c r="P31" s="121" t="n"/>
      <c r="Q31" s="121" t="n"/>
      <c r="R31" s="121" t="n"/>
      <c r="S31" s="121" t="n"/>
      <c r="T31" s="121" t="n"/>
      <c r="U31" s="121" t="n"/>
      <c r="V31" s="122" t="n"/>
      <c r="W31" s="121" t="n"/>
      <c r="X31" s="121" t="n"/>
      <c r="Y31" s="121" t="n"/>
      <c r="Z31" s="121" t="n"/>
      <c r="AA31" s="121" t="n"/>
      <c r="AB31" s="121" t="n"/>
      <c r="AC31" s="122" t="n"/>
      <c r="AD31" s="121" t="n"/>
      <c r="AE31" s="121" t="n"/>
      <c r="AF31" s="121" t="n"/>
      <c r="AG31" s="121" t="n"/>
      <c r="AH31" s="121" t="n"/>
      <c r="AI31" s="121" t="n"/>
      <c r="AJ31" s="123">
        <f>IF(ISBLANK(B31), "", IF(ISNUMBER(D31), IF(D31&gt;0, (COUNTIF(E31:AI31, "✓") + COUNTIF(E31:AI31, "✔") + COUNTIF(E31:AI31, "v") + COUNTIF(E31:AI31, "V"))/D31, 0), IF(((COUNTIF(E31:AI31, "✓") + COUNTIF(E31:AI31, "✔") + COUNTIF(E31:AI31, "v") + COUNTIF(E31:AI31, "V")) + COUNTIF(E31:AI31, "✗") + COUNTIF(E31:AI31, "x") + COUNTIF(E31:AI31, "X"))&gt;0, (COUNTIF(E31:AI31, "✓") + COUNTIF(E31:AI31, "✔") + COUNTIF(E31:AI31, "v") + COUNTIF(E31:AI31, "V"))/((COUNTIF(E31:AI31, "✓") + COUNTIF(E31:AI31, "✔") + COUNTIF(E31:AI31, "v") + COUNTIF(E31:AI31, "V")) + COUNTIF(E31:AI31, "✗") + COUNTIF(E31:AI31, "x") + COUNTIF(E31:AI31, "X")), "")))</f>
        <v/>
      </c>
      <c r="AK31" s="124">
        <f>IF(ISBLANK(B31), "", IF(ISNUMBER(D31), IF(D31&gt;0, (COUNTIF(E31:AI31, "✓") + COUNTIF(E31:AI31, "✔") + COUNTIF(E31:AI31, "v") + COUNTIF(E31:AI31, "V")) &amp; "/" &amp; D31, (COUNTIF(E31:AI31, "✓") + COUNTIF(E31:AI31, "✔") + COUNTIF(E31:AI31, "v") + COUNTIF(E31:AI31, "V")) &amp; "/0"), IF(((COUNTIF(E31:AI31, "✓") + COUNTIF(E31:AI31, "✔") + COUNTIF(E31:AI31, "v") + COUNTIF(E31:AI31, "V")) + COUNTIF(E31:AI31, "✗") + COUNTIF(E31:AI31, "x") + COUNTIF(E31:AI31, "X"))&gt;0, (COUNTIF(E31:AI31, "✓") + COUNTIF(E31:AI31, "✔") + COUNTIF(E31:AI31, "v") + COUNTIF(E31:AI31, "V")) &amp; "/" &amp; ((COUNTIF(E31:AI31, "✓") + COUNTIF(E31:AI31, "✔") + COUNTIF(E31:AI31, "v") + COUNTIF(E31:AI31, "V")) + COUNTIF(E31:AI31, "✗") + COUNTIF(E31:AI31, "x") + COUNTIF(E31:AI31, "X")), "")))</f>
        <v/>
      </c>
      <c r="AL31" s="124">
        <f>IF(ISBLANK(B31), "", IF(AJ31&gt;=0.85, "🔥 Mastered", IF(AJ31&gt;=0.7, "⚡ Consistent", "⚠️ Needs Focus")))</f>
        <v/>
      </c>
      <c r="AM31">
        <f>COUNTIF(E31:AI31, "✓")</f>
        <v/>
      </c>
    </row>
    <row r="32" ht="14.5" customHeight="1">
      <c r="A32" s="118" t="n">
        <v>15</v>
      </c>
      <c r="B32" s="119" t="n"/>
      <c r="C32" s="120" t="n"/>
      <c r="D32" s="120" t="n"/>
      <c r="E32" s="121" t="n"/>
      <c r="F32" s="121" t="n"/>
      <c r="G32" s="121" t="n"/>
      <c r="H32" s="122" t="n"/>
      <c r="I32" s="121" t="n"/>
      <c r="J32" s="121" t="n"/>
      <c r="K32" s="121" t="n"/>
      <c r="L32" s="121" t="n"/>
      <c r="M32" s="121" t="n"/>
      <c r="N32" s="121" t="n"/>
      <c r="O32" s="122" t="n"/>
      <c r="P32" s="121" t="n"/>
      <c r="Q32" s="121" t="n"/>
      <c r="R32" s="121" t="n"/>
      <c r="S32" s="121" t="n"/>
      <c r="T32" s="121" t="n"/>
      <c r="U32" s="121" t="n"/>
      <c r="V32" s="122" t="n"/>
      <c r="W32" s="121" t="n"/>
      <c r="X32" s="121" t="n"/>
      <c r="Y32" s="121" t="n"/>
      <c r="Z32" s="121" t="n"/>
      <c r="AA32" s="121" t="n"/>
      <c r="AB32" s="121" t="n"/>
      <c r="AC32" s="122" t="n"/>
      <c r="AD32" s="121" t="n"/>
      <c r="AE32" s="121" t="n"/>
      <c r="AF32" s="121" t="n"/>
      <c r="AG32" s="121" t="n"/>
      <c r="AH32" s="121" t="n"/>
      <c r="AI32" s="121" t="n"/>
      <c r="AJ32" s="123">
        <f>IF(ISBLANK(B32), "", IF(ISNUMBER(D32), IF(D32&gt;0, (COUNTIF(E32:AI32, "✓") + COUNTIF(E32:AI32, "✔") + COUNTIF(E32:AI32, "v") + COUNTIF(E32:AI32, "V"))/D32, 0), IF(((COUNTIF(E32:AI32, "✓") + COUNTIF(E32:AI32, "✔") + COUNTIF(E32:AI32, "v") + COUNTIF(E32:AI32, "V")) + COUNTIF(E32:AI32, "✗") + COUNTIF(E32:AI32, "x") + COUNTIF(E32:AI32, "X"))&gt;0, (COUNTIF(E32:AI32, "✓") + COUNTIF(E32:AI32, "✔") + COUNTIF(E32:AI32, "v") + COUNTIF(E32:AI32, "V"))/((COUNTIF(E32:AI32, "✓") + COUNTIF(E32:AI32, "✔") + COUNTIF(E32:AI32, "v") + COUNTIF(E32:AI32, "V")) + COUNTIF(E32:AI32, "✗") + COUNTIF(E32:AI32, "x") + COUNTIF(E32:AI32, "X")), "")))</f>
        <v/>
      </c>
      <c r="AK32" s="124">
        <f>IF(ISBLANK(B32), "", IF(ISNUMBER(D32), IF(D32&gt;0, (COUNTIF(E32:AI32, "✓") + COUNTIF(E32:AI32, "✔") + COUNTIF(E32:AI32, "v") + COUNTIF(E32:AI32, "V")) &amp; "/" &amp; D32, (COUNTIF(E32:AI32, "✓") + COUNTIF(E32:AI32, "✔") + COUNTIF(E32:AI32, "v") + COUNTIF(E32:AI32, "V")) &amp; "/0"), IF(((COUNTIF(E32:AI32, "✓") + COUNTIF(E32:AI32, "✔") + COUNTIF(E32:AI32, "v") + COUNTIF(E32:AI32, "V")) + COUNTIF(E32:AI32, "✗") + COUNTIF(E32:AI32, "x") + COUNTIF(E32:AI32, "X"))&gt;0, (COUNTIF(E32:AI32, "✓") + COUNTIF(E32:AI32, "✔") + COUNTIF(E32:AI32, "v") + COUNTIF(E32:AI32, "V")) &amp; "/" &amp; ((COUNTIF(E32:AI32, "✓") + COUNTIF(E32:AI32, "✔") + COUNTIF(E32:AI32, "v") + COUNTIF(E32:AI32, "V")) + COUNTIF(E32:AI32, "✗") + COUNTIF(E32:AI32, "x") + COUNTIF(E32:AI32, "X")), "")))</f>
        <v/>
      </c>
      <c r="AL32" s="124">
        <f>IF(ISBLANK(B32), "", IF(AJ32&gt;=0.85, "🔥 Mastered", IF(AJ32&gt;=0.7, "⚡ Consistent", "⚠️ Needs Focus")))</f>
        <v/>
      </c>
      <c r="AM32">
        <f>COUNTIF(E32:AI32, "✓")</f>
        <v/>
      </c>
    </row>
    <row r="33" ht="14.5" customHeight="1">
      <c r="A33" s="118" t="n">
        <v>16</v>
      </c>
      <c r="B33" s="119" t="n"/>
      <c r="C33" s="120" t="n"/>
      <c r="D33" s="120" t="n"/>
      <c r="E33" s="121" t="n"/>
      <c r="F33" s="121" t="n"/>
      <c r="G33" s="121" t="n"/>
      <c r="H33" s="122" t="n"/>
      <c r="I33" s="121" t="n"/>
      <c r="J33" s="121" t="n"/>
      <c r="K33" s="121" t="n"/>
      <c r="L33" s="121" t="n"/>
      <c r="M33" s="121" t="n"/>
      <c r="N33" s="121" t="n"/>
      <c r="O33" s="122" t="n"/>
      <c r="P33" s="121" t="n"/>
      <c r="Q33" s="121" t="n"/>
      <c r="R33" s="121" t="n"/>
      <c r="S33" s="121" t="n"/>
      <c r="T33" s="121" t="n"/>
      <c r="U33" s="121" t="n"/>
      <c r="V33" s="122" t="n"/>
      <c r="W33" s="121" t="n"/>
      <c r="X33" s="121" t="n"/>
      <c r="Y33" s="121" t="n"/>
      <c r="Z33" s="121" t="n"/>
      <c r="AA33" s="121" t="n"/>
      <c r="AB33" s="121" t="n"/>
      <c r="AC33" s="122" t="n"/>
      <c r="AD33" s="121" t="n"/>
      <c r="AE33" s="121" t="n"/>
      <c r="AF33" s="121" t="n"/>
      <c r="AG33" s="121" t="n"/>
      <c r="AH33" s="121" t="n"/>
      <c r="AI33" s="121" t="n"/>
      <c r="AJ33" s="123">
        <f>IF(ISBLANK(B33), "", IF(ISNUMBER(D33), IF(D33&gt;0, (COUNTIF(E33:AI33, "✓") + COUNTIF(E33:AI33, "✔") + COUNTIF(E33:AI33, "v") + COUNTIF(E33:AI33, "V"))/D33, 0), IF(((COUNTIF(E33:AI33, "✓") + COUNTIF(E33:AI33, "✔") + COUNTIF(E33:AI33, "v") + COUNTIF(E33:AI33, "V")) + COUNTIF(E33:AI33, "✗") + COUNTIF(E33:AI33, "x") + COUNTIF(E33:AI33, "X"))&gt;0, (COUNTIF(E33:AI33, "✓") + COUNTIF(E33:AI33, "✔") + COUNTIF(E33:AI33, "v") + COUNTIF(E33:AI33, "V"))/((COUNTIF(E33:AI33, "✓") + COUNTIF(E33:AI33, "✔") + COUNTIF(E33:AI33, "v") + COUNTIF(E33:AI33, "V")) + COUNTIF(E33:AI33, "✗") + COUNTIF(E33:AI33, "x") + COUNTIF(E33:AI33, "X")), "")))</f>
        <v/>
      </c>
      <c r="AK33" s="124">
        <f>IF(ISBLANK(B33), "", IF(ISNUMBER(D33), IF(D33&gt;0, (COUNTIF(E33:AI33, "✓") + COUNTIF(E33:AI33, "✔") + COUNTIF(E33:AI33, "v") + COUNTIF(E33:AI33, "V")) &amp; "/" &amp; D33, (COUNTIF(E33:AI33, "✓") + COUNTIF(E33:AI33, "✔") + COUNTIF(E33:AI33, "v") + COUNTIF(E33:AI33, "V")) &amp; "/0"), IF(((COUNTIF(E33:AI33, "✓") + COUNTIF(E33:AI33, "✔") + COUNTIF(E33:AI33, "v") + COUNTIF(E33:AI33, "V")) + COUNTIF(E33:AI33, "✗") + COUNTIF(E33:AI33, "x") + COUNTIF(E33:AI33, "X"))&gt;0, (COUNTIF(E33:AI33, "✓") + COUNTIF(E33:AI33, "✔") + COUNTIF(E33:AI33, "v") + COUNTIF(E33:AI33, "V")) &amp; "/" &amp; ((COUNTIF(E33:AI33, "✓") + COUNTIF(E33:AI33, "✔") + COUNTIF(E33:AI33, "v") + COUNTIF(E33:AI33, "V")) + COUNTIF(E33:AI33, "✗") + COUNTIF(E33:AI33, "x") + COUNTIF(E33:AI33, "X")), "")))</f>
        <v/>
      </c>
      <c r="AL33" s="124">
        <f>IF(ISBLANK(B33), "", IF(AJ33&gt;=0.85, "🔥 Mastered", IF(AJ33&gt;=0.7, "⚡ Consistent", "⚠️ Needs Focus")))</f>
        <v/>
      </c>
      <c r="AM33">
        <f>COUNTIF(E33:AI33, "✓")</f>
        <v/>
      </c>
    </row>
    <row r="34" ht="14.5" customHeight="1">
      <c r="A34" s="125" t="n">
        <v>17</v>
      </c>
      <c r="B34" s="126" t="n"/>
      <c r="C34" s="127" t="n"/>
      <c r="D34" s="127" t="n"/>
      <c r="E34" s="128" t="n"/>
      <c r="F34" s="128" t="n"/>
      <c r="G34" s="128" t="n"/>
      <c r="H34" s="129" t="n"/>
      <c r="I34" s="128" t="n"/>
      <c r="J34" s="128" t="n"/>
      <c r="K34" s="128" t="n"/>
      <c r="L34" s="128" t="n"/>
      <c r="M34" s="128" t="n"/>
      <c r="N34" s="128" t="n"/>
      <c r="O34" s="129" t="n"/>
      <c r="P34" s="128" t="n"/>
      <c r="Q34" s="128" t="n"/>
      <c r="R34" s="128" t="n"/>
      <c r="S34" s="128" t="n"/>
      <c r="T34" s="128" t="n"/>
      <c r="U34" s="128" t="n"/>
      <c r="V34" s="129" t="n"/>
      <c r="W34" s="128" t="n"/>
      <c r="X34" s="128" t="n"/>
      <c r="Y34" s="128" t="n"/>
      <c r="Z34" s="128" t="n"/>
      <c r="AA34" s="128" t="n"/>
      <c r="AB34" s="128" t="n"/>
      <c r="AC34" s="129" t="n"/>
      <c r="AD34" s="128" t="n"/>
      <c r="AE34" s="128" t="n"/>
      <c r="AF34" s="128" t="n"/>
      <c r="AG34" s="128" t="n"/>
      <c r="AH34" s="128" t="n"/>
      <c r="AI34" s="128" t="n"/>
      <c r="AJ34" s="130">
        <f>IF(ISBLANK(B34), "", IF(ISNUMBER(D34), IF(D34&gt;0, (COUNTIF(E34:AI34, "✓") + COUNTIF(E34:AI34, "✔") + COUNTIF(E34:AI34, "v") + COUNTIF(E34:AI34, "V"))/D34, 0), IF(((COUNTIF(E34:AI34, "✓") + COUNTIF(E34:AI34, "✔") + COUNTIF(E34:AI34, "v") + COUNTIF(E34:AI34, "V")) + COUNTIF(E34:AI34, "✗") + COUNTIF(E34:AI34, "x") + COUNTIF(E34:AI34, "X"))&gt;0, (COUNTIF(E34:AI34, "✓") + COUNTIF(E34:AI34, "✔") + COUNTIF(E34:AI34, "v") + COUNTIF(E34:AI34, "V"))/((COUNTIF(E34:AI34, "✓") + COUNTIF(E34:AI34, "✔") + COUNTIF(E34:AI34, "v") + COUNTIF(E34:AI34, "V")) + COUNTIF(E34:AI34, "✗") + COUNTIF(E34:AI34, "x") + COUNTIF(E34:AI34, "X")), "")))</f>
        <v/>
      </c>
      <c r="AK34" s="131">
        <f>IF(ISBLANK(B34), "", IF(ISNUMBER(D34), IF(D34&gt;0, (COUNTIF(E34:AI34, "✓") + COUNTIF(E34:AI34, "✔") + COUNTIF(E34:AI34, "v") + COUNTIF(E34:AI34, "V")) &amp; "/" &amp; D34, (COUNTIF(E34:AI34, "✓") + COUNTIF(E34:AI34, "✔") + COUNTIF(E34:AI34, "v") + COUNTIF(E34:AI34, "V")) &amp; "/0"), IF(((COUNTIF(E34:AI34, "✓") + COUNTIF(E34:AI34, "✔") + COUNTIF(E34:AI34, "v") + COUNTIF(E34:AI34, "V")) + COUNTIF(E34:AI34, "✗") + COUNTIF(E34:AI34, "x") + COUNTIF(E34:AI34, "X"))&gt;0, (COUNTIF(E34:AI34, "✓") + COUNTIF(E34:AI34, "✔") + COUNTIF(E34:AI34, "v") + COUNTIF(E34:AI34, "V")) &amp; "/" &amp; ((COUNTIF(E34:AI34, "✓") + COUNTIF(E34:AI34, "✔") + COUNTIF(E34:AI34, "v") + COUNTIF(E34:AI34, "V")) + COUNTIF(E34:AI34, "✗") + COUNTIF(E34:AI34, "x") + COUNTIF(E34:AI34, "X")), "")))</f>
        <v/>
      </c>
      <c r="AL34" s="131">
        <f>IF(ISBLANK(B34), "", IF(AJ34&gt;=0.85, "🔥 Mastered", IF(AJ34&gt;=0.7, "⚡ Consistent", "⚠️ Needs Focus")))</f>
        <v/>
      </c>
      <c r="AM34">
        <f>COUNTIF(E34:AI34, "✓")</f>
        <v/>
      </c>
    </row>
    <row r="35" ht="14.5" customHeight="1">
      <c r="A35" s="125" t="n">
        <v>18</v>
      </c>
      <c r="B35" s="126" t="n"/>
      <c r="C35" s="127" t="n"/>
      <c r="D35" s="127" t="n"/>
      <c r="E35" s="128" t="n"/>
      <c r="F35" s="128" t="n"/>
      <c r="G35" s="128" t="n"/>
      <c r="H35" s="129" t="n"/>
      <c r="I35" s="128" t="n"/>
      <c r="J35" s="128" t="n"/>
      <c r="K35" s="128" t="n"/>
      <c r="L35" s="128" t="n"/>
      <c r="M35" s="128" t="n"/>
      <c r="N35" s="128" t="n"/>
      <c r="O35" s="129" t="n"/>
      <c r="P35" s="128" t="n"/>
      <c r="Q35" s="128" t="n"/>
      <c r="R35" s="128" t="n"/>
      <c r="S35" s="128" t="n"/>
      <c r="T35" s="128" t="n"/>
      <c r="U35" s="128" t="n"/>
      <c r="V35" s="129" t="n"/>
      <c r="W35" s="128" t="n"/>
      <c r="X35" s="128" t="n"/>
      <c r="Y35" s="128" t="n"/>
      <c r="Z35" s="128" t="n"/>
      <c r="AA35" s="128" t="n"/>
      <c r="AB35" s="128" t="n"/>
      <c r="AC35" s="129" t="n"/>
      <c r="AD35" s="128" t="n"/>
      <c r="AE35" s="128" t="n"/>
      <c r="AF35" s="128" t="n"/>
      <c r="AG35" s="128" t="n"/>
      <c r="AH35" s="128" t="n"/>
      <c r="AI35" s="128" t="n"/>
      <c r="AJ35" s="130">
        <f>IF(ISBLANK(B35), "", IF(ISNUMBER(D35), IF(D35&gt;0, (COUNTIF(E35:AI35, "✓") + COUNTIF(E35:AI35, "✔") + COUNTIF(E35:AI35, "v") + COUNTIF(E35:AI35, "V"))/D35, 0), IF(((COUNTIF(E35:AI35, "✓") + COUNTIF(E35:AI35, "✔") + COUNTIF(E35:AI35, "v") + COUNTIF(E35:AI35, "V")) + COUNTIF(E35:AI35, "✗") + COUNTIF(E35:AI35, "x") + COUNTIF(E35:AI35, "X"))&gt;0, (COUNTIF(E35:AI35, "✓") + COUNTIF(E35:AI35, "✔") + COUNTIF(E35:AI35, "v") + COUNTIF(E35:AI35, "V"))/((COUNTIF(E35:AI35, "✓") + COUNTIF(E35:AI35, "✔") + COUNTIF(E35:AI35, "v") + COUNTIF(E35:AI35, "V")) + COUNTIF(E35:AI35, "✗") + COUNTIF(E35:AI35, "x") + COUNTIF(E35:AI35, "X")), "")))</f>
        <v/>
      </c>
      <c r="AK35" s="131">
        <f>IF(ISBLANK(B35), "", IF(ISNUMBER(D35), IF(D35&gt;0, (COUNTIF(E35:AI35, "✓") + COUNTIF(E35:AI35, "✔") + COUNTIF(E35:AI35, "v") + COUNTIF(E35:AI35, "V")) &amp; "/" &amp; D35, (COUNTIF(E35:AI35, "✓") + COUNTIF(E35:AI35, "✔") + COUNTIF(E35:AI35, "v") + COUNTIF(E35:AI35, "V")) &amp; "/0"), IF(((COUNTIF(E35:AI35, "✓") + COUNTIF(E35:AI35, "✔") + COUNTIF(E35:AI35, "v") + COUNTIF(E35:AI35, "V")) + COUNTIF(E35:AI35, "✗") + COUNTIF(E35:AI35, "x") + COUNTIF(E35:AI35, "X"))&gt;0, (COUNTIF(E35:AI35, "✓") + COUNTIF(E35:AI35, "✔") + COUNTIF(E35:AI35, "v") + COUNTIF(E35:AI35, "V")) &amp; "/" &amp; ((COUNTIF(E35:AI35, "✓") + COUNTIF(E35:AI35, "✔") + COUNTIF(E35:AI35, "v") + COUNTIF(E35:AI35, "V")) + COUNTIF(E35:AI35, "✗") + COUNTIF(E35:AI35, "x") + COUNTIF(E35:AI35, "X")), "")))</f>
        <v/>
      </c>
      <c r="AL35" s="131">
        <f>IF(ISBLANK(B35), "", IF(AJ35&gt;=0.85, "🔥 Mastered", IF(AJ35&gt;=0.7, "⚡ Consistent", "⚠️ Needs Focus")))</f>
        <v/>
      </c>
      <c r="AM35">
        <f>COUNTIF(E35:AI35, "✓")</f>
        <v/>
      </c>
    </row>
    <row r="36" ht="14.5" customHeight="1">
      <c r="A36" s="125" t="n">
        <v>19</v>
      </c>
      <c r="B36" s="126" t="n"/>
      <c r="C36" s="127" t="n"/>
      <c r="D36" s="127" t="n"/>
      <c r="E36" s="128" t="n"/>
      <c r="F36" s="128" t="n"/>
      <c r="G36" s="128" t="n"/>
      <c r="H36" s="129" t="n"/>
      <c r="I36" s="128" t="n"/>
      <c r="J36" s="128" t="n"/>
      <c r="K36" s="128" t="n"/>
      <c r="L36" s="128" t="n"/>
      <c r="M36" s="128" t="n"/>
      <c r="N36" s="128" t="n"/>
      <c r="O36" s="129" t="n"/>
      <c r="P36" s="128" t="n"/>
      <c r="Q36" s="128" t="n"/>
      <c r="R36" s="128" t="n"/>
      <c r="S36" s="128" t="n"/>
      <c r="T36" s="128" t="n"/>
      <c r="U36" s="128" t="n"/>
      <c r="V36" s="129" t="n"/>
      <c r="W36" s="128" t="n"/>
      <c r="X36" s="128" t="n"/>
      <c r="Y36" s="128" t="n"/>
      <c r="Z36" s="128" t="n"/>
      <c r="AA36" s="128" t="n"/>
      <c r="AB36" s="128" t="n"/>
      <c r="AC36" s="129" t="n"/>
      <c r="AD36" s="128" t="n"/>
      <c r="AE36" s="128" t="n"/>
      <c r="AF36" s="128" t="n"/>
      <c r="AG36" s="128" t="n"/>
      <c r="AH36" s="128" t="n"/>
      <c r="AI36" s="128" t="n"/>
      <c r="AJ36" s="130">
        <f>IF(ISBLANK(B36), "", IF(ISNUMBER(D36), IF(D36&gt;0, (COUNTIF(E36:AI36, "✓") + COUNTIF(E36:AI36, "✔") + COUNTIF(E36:AI36, "v") + COUNTIF(E36:AI36, "V"))/D36, 0), IF(((COUNTIF(E36:AI36, "✓") + COUNTIF(E36:AI36, "✔") + COUNTIF(E36:AI36, "v") + COUNTIF(E36:AI36, "V")) + COUNTIF(E36:AI36, "✗") + COUNTIF(E36:AI36, "x") + COUNTIF(E36:AI36, "X"))&gt;0, (COUNTIF(E36:AI36, "✓") + COUNTIF(E36:AI36, "✔") + COUNTIF(E36:AI36, "v") + COUNTIF(E36:AI36, "V"))/((COUNTIF(E36:AI36, "✓") + COUNTIF(E36:AI36, "✔") + COUNTIF(E36:AI36, "v") + COUNTIF(E36:AI36, "V")) + COUNTIF(E36:AI36, "✗") + COUNTIF(E36:AI36, "x") + COUNTIF(E36:AI36, "X")), "")))</f>
        <v/>
      </c>
      <c r="AK36" s="131">
        <f>IF(ISBLANK(B36), "", IF(ISNUMBER(D36), IF(D36&gt;0, (COUNTIF(E36:AI36, "✓") + COUNTIF(E36:AI36, "✔") + COUNTIF(E36:AI36, "v") + COUNTIF(E36:AI36, "V")) &amp; "/" &amp; D36, (COUNTIF(E36:AI36, "✓") + COUNTIF(E36:AI36, "✔") + COUNTIF(E36:AI36, "v") + COUNTIF(E36:AI36, "V")) &amp; "/0"), IF(((COUNTIF(E36:AI36, "✓") + COUNTIF(E36:AI36, "✔") + COUNTIF(E36:AI36, "v") + COUNTIF(E36:AI36, "V")) + COUNTIF(E36:AI36, "✗") + COUNTIF(E36:AI36, "x") + COUNTIF(E36:AI36, "X"))&gt;0, (COUNTIF(E36:AI36, "✓") + COUNTIF(E36:AI36, "✔") + COUNTIF(E36:AI36, "v") + COUNTIF(E36:AI36, "V")) &amp; "/" &amp; ((COUNTIF(E36:AI36, "✓") + COUNTIF(E36:AI36, "✔") + COUNTIF(E36:AI36, "v") + COUNTIF(E36:AI36, "V")) + COUNTIF(E36:AI36, "✗") + COUNTIF(E36:AI36, "x") + COUNTIF(E36:AI36, "X")), "")))</f>
        <v/>
      </c>
      <c r="AL36" s="131">
        <f>IF(ISBLANK(B36), "", IF(AJ36&gt;=0.85, "🔥 Mastered", IF(AJ36&gt;=0.7, "⚡ Consistent", "⚠️ Needs Focus")))</f>
        <v/>
      </c>
      <c r="AM36">
        <f>COUNTIF(E36:AI36, "✓")</f>
        <v/>
      </c>
    </row>
    <row r="37" ht="14.5" customHeight="1">
      <c r="A37" s="125" t="n">
        <v>20</v>
      </c>
      <c r="B37" s="126" t="n"/>
      <c r="C37" s="127" t="n"/>
      <c r="D37" s="127" t="n"/>
      <c r="E37" s="128" t="n"/>
      <c r="F37" s="128" t="n"/>
      <c r="G37" s="128" t="n"/>
      <c r="H37" s="129" t="n"/>
      <c r="I37" s="128" t="n"/>
      <c r="J37" s="128" t="n"/>
      <c r="K37" s="128" t="n"/>
      <c r="L37" s="128" t="n"/>
      <c r="M37" s="128" t="n"/>
      <c r="N37" s="128" t="n"/>
      <c r="O37" s="129" t="n"/>
      <c r="P37" s="128" t="n"/>
      <c r="Q37" s="128" t="n"/>
      <c r="R37" s="128" t="n"/>
      <c r="S37" s="128" t="n"/>
      <c r="T37" s="128" t="n"/>
      <c r="U37" s="128" t="n"/>
      <c r="V37" s="129" t="n"/>
      <c r="W37" s="128" t="n"/>
      <c r="X37" s="128" t="n"/>
      <c r="Y37" s="128" t="n"/>
      <c r="Z37" s="128" t="n"/>
      <c r="AA37" s="128" t="n"/>
      <c r="AB37" s="128" t="n"/>
      <c r="AC37" s="129" t="n"/>
      <c r="AD37" s="128" t="n"/>
      <c r="AE37" s="128" t="n"/>
      <c r="AF37" s="128" t="n"/>
      <c r="AG37" s="128" t="n"/>
      <c r="AH37" s="128" t="n"/>
      <c r="AI37" s="128" t="n"/>
      <c r="AJ37" s="130">
        <f>IF(ISBLANK(B37), "", IF(ISNUMBER(D37), IF(D37&gt;0, (COUNTIF(E37:AI37, "✓") + COUNTIF(E37:AI37, "✔") + COUNTIF(E37:AI37, "v") + COUNTIF(E37:AI37, "V"))/D37, 0), IF(((COUNTIF(E37:AI37, "✓") + COUNTIF(E37:AI37, "✔") + COUNTIF(E37:AI37, "v") + COUNTIF(E37:AI37, "V")) + COUNTIF(E37:AI37, "✗") + COUNTIF(E37:AI37, "x") + COUNTIF(E37:AI37, "X"))&gt;0, (COUNTIF(E37:AI37, "✓") + COUNTIF(E37:AI37, "✔") + COUNTIF(E37:AI37, "v") + COUNTIF(E37:AI37, "V"))/((COUNTIF(E37:AI37, "✓") + COUNTIF(E37:AI37, "✔") + COUNTIF(E37:AI37, "v") + COUNTIF(E37:AI37, "V")) + COUNTIF(E37:AI37, "✗") + COUNTIF(E37:AI37, "x") + COUNTIF(E37:AI37, "X")), "")))</f>
        <v/>
      </c>
      <c r="AK37" s="131">
        <f>IF(ISBLANK(B37), "", IF(ISNUMBER(D37), IF(D37&gt;0, (COUNTIF(E37:AI37, "✓") + COUNTIF(E37:AI37, "✔") + COUNTIF(E37:AI37, "v") + COUNTIF(E37:AI37, "V")) &amp; "/" &amp; D37, (COUNTIF(E37:AI37, "✓") + COUNTIF(E37:AI37, "✔") + COUNTIF(E37:AI37, "v") + COUNTIF(E37:AI37, "V")) &amp; "/0"), IF(((COUNTIF(E37:AI37, "✓") + COUNTIF(E37:AI37, "✔") + COUNTIF(E37:AI37, "v") + COUNTIF(E37:AI37, "V")) + COUNTIF(E37:AI37, "✗") + COUNTIF(E37:AI37, "x") + COUNTIF(E37:AI37, "X"))&gt;0, (COUNTIF(E37:AI37, "✓") + COUNTIF(E37:AI37, "✔") + COUNTIF(E37:AI37, "v") + COUNTIF(E37:AI37, "V")) &amp; "/" &amp; ((COUNTIF(E37:AI37, "✓") + COUNTIF(E37:AI37, "✔") + COUNTIF(E37:AI37, "v") + COUNTIF(E37:AI37, "V")) + COUNTIF(E37:AI37, "✗") + COUNTIF(E37:AI37, "x") + COUNTIF(E37:AI37, "X")), "")))</f>
        <v/>
      </c>
      <c r="AL37" s="131">
        <f>IF(ISBLANK(B37), "", IF(AJ37&gt;=0.85, "🔥 Mastered", IF(AJ37&gt;=0.7, "⚡ Consistent", "⚠️ Needs Focus")))</f>
        <v/>
      </c>
      <c r="AM37">
        <f>COUNTIF(E37:AI37, "✓")</f>
        <v/>
      </c>
    </row>
    <row r="38" ht="18" customHeight="1">
      <c r="A38" s="132" t="inlineStr">
        <is>
          <t>DAILY TOTAL SCORE</t>
        </is>
      </c>
      <c r="B38" s="54" t="n"/>
      <c r="C38" s="54" t="n"/>
      <c r="D38" s="54" t="n"/>
      <c r="E38" s="33">
        <f>IF(((COUNTIF(E18:E37, "✓") + COUNTIF(E18:E37, "✔") + COUNTIF(E18:E37, "v") + COUNTIF(E18:E37, "V")) + COUNTIF(E18:E37, "✗") + COUNTIF(E18:E37, "x") + COUNTIF(E18:E37, "X")) &gt; 0, (COUNTIF(E18:E37, "✓") + COUNTIF(E18:E37, "✔") + COUNTIF(E18:E37, "v") + COUNTIF(E18:E37, "V")) &amp; "/" &amp; ((COUNTIF(E18:E37, "✓") + COUNTIF(E18:E37, "✔") + COUNTIF(E18:E37, "v") + COUNTIF(E18:E37, "V")) + COUNTIF(E18:E37, "✗") + COUNTIF(E18:E37, "x") + COUNTIF(E18:E37, "X")), "")</f>
        <v/>
      </c>
      <c r="F38" s="33">
        <f>IF(((COUNTIF(F18:F37, "✓") + COUNTIF(F18:F37, "✔") + COUNTIF(F18:F37, "v") + COUNTIF(F18:F37, "V")) + COUNTIF(F18:F37, "✗") + COUNTIF(F18:F37, "x") + COUNTIF(F18:F37, "X")) &gt; 0, (COUNTIF(F18:F37, "✓") + COUNTIF(F18:F37, "✔") + COUNTIF(F18:F37, "v") + COUNTIF(F18:F37, "V")) &amp; "/" &amp; ((COUNTIF(F18:F37, "✓") + COUNTIF(F18:F37, "✔") + COUNTIF(F18:F37, "v") + COUNTIF(F18:F37, "V")) + COUNTIF(F18:F37, "✗") + COUNTIF(F18:F37, "x") + COUNTIF(F18:F37, "X")), "")</f>
        <v/>
      </c>
      <c r="G38" s="33">
        <f>IF(((COUNTIF(G18:G37, "✓") + COUNTIF(G18:G37, "✔") + COUNTIF(G18:G37, "v") + COUNTIF(G18:G37, "V")) + COUNTIF(G18:G37, "✗") + COUNTIF(G18:G37, "x") + COUNTIF(G18:G37, "X")) &gt; 0, (COUNTIF(G18:G37, "✓") + COUNTIF(G18:G37, "✔") + COUNTIF(G18:G37, "v") + COUNTIF(G18:G37, "V")) &amp; "/" &amp; ((COUNTIF(G18:G37, "✓") + COUNTIF(G18:G37, "✔") + COUNTIF(G18:G37, "v") + COUNTIF(G18:G37, "V")) + COUNTIF(G18:G37, "✗") + COUNTIF(G18:G37, "x") + COUNTIF(G18:G37, "X")), "")</f>
        <v/>
      </c>
      <c r="H38" s="33">
        <f>IF(((COUNTIF(H18:H37, "✓") + COUNTIF(H18:H37, "✔") + COUNTIF(H18:H37, "v") + COUNTIF(H18:H37, "V")) + COUNTIF(H18:H37, "✗") + COUNTIF(H18:H37, "x") + COUNTIF(H18:H37, "X")) &gt; 0, (COUNTIF(H18:H37, "✓") + COUNTIF(H18:H37, "✔") + COUNTIF(H18:H37, "v") + COUNTIF(H18:H37, "V")) &amp; "/" &amp; ((COUNTIF(H18:H37, "✓") + COUNTIF(H18:H37, "✔") + COUNTIF(H18:H37, "v") + COUNTIF(H18:H37, "V")) + COUNTIF(H18:H37, "✗") + COUNTIF(H18:H37, "x") + COUNTIF(H18:H37, "X")), "")</f>
        <v/>
      </c>
      <c r="I38" s="33">
        <f>IF(((COUNTIF(I18:I37, "✓") + COUNTIF(I18:I37, "✔") + COUNTIF(I18:I37, "v") + COUNTIF(I18:I37, "V")) + COUNTIF(I18:I37, "✗") + COUNTIF(I18:I37, "x") + COUNTIF(I18:I37, "X")) &gt; 0, (COUNTIF(I18:I37, "✓") + COUNTIF(I18:I37, "✔") + COUNTIF(I18:I37, "v") + COUNTIF(I18:I37, "V")) &amp; "/" &amp; ((COUNTIF(I18:I37, "✓") + COUNTIF(I18:I37, "✔") + COUNTIF(I18:I37, "v") + COUNTIF(I18:I37, "V")) + COUNTIF(I18:I37, "✗") + COUNTIF(I18:I37, "x") + COUNTIF(I18:I37, "X")), "")</f>
        <v/>
      </c>
      <c r="J38" s="33">
        <f>IF(((COUNTIF(J18:J37, "✓") + COUNTIF(J18:J37, "✔") + COUNTIF(J18:J37, "v") + COUNTIF(J18:J37, "V")) + COUNTIF(J18:J37, "✗") + COUNTIF(J18:J37, "x") + COUNTIF(J18:J37, "X")) &gt; 0, (COUNTIF(J18:J37, "✓") + COUNTIF(J18:J37, "✔") + COUNTIF(J18:J37, "v") + COUNTIF(J18:J37, "V")) &amp; "/" &amp; ((COUNTIF(J18:J37, "✓") + COUNTIF(J18:J37, "✔") + COUNTIF(J18:J37, "v") + COUNTIF(J18:J37, "V")) + COUNTIF(J18:J37, "✗") + COUNTIF(J18:J37, "x") + COUNTIF(J18:J37, "X")), "")</f>
        <v/>
      </c>
      <c r="K38" s="33">
        <f>IF(((COUNTIF(K18:K37, "✓") + COUNTIF(K18:K37, "✔") + COUNTIF(K18:K37, "v") + COUNTIF(K18:K37, "V")) + COUNTIF(K18:K37, "✗") + COUNTIF(K18:K37, "x") + COUNTIF(K18:K37, "X")) &gt; 0, (COUNTIF(K18:K37, "✓") + COUNTIF(K18:K37, "✔") + COUNTIF(K18:K37, "v") + COUNTIF(K18:K37, "V")) &amp; "/" &amp; ((COUNTIF(K18:K37, "✓") + COUNTIF(K18:K37, "✔") + COUNTIF(K18:K37, "v") + COUNTIF(K18:K37, "V")) + COUNTIF(K18:K37, "✗") + COUNTIF(K18:K37, "x") + COUNTIF(K18:K37, "X")), "")</f>
        <v/>
      </c>
      <c r="L38" s="33">
        <f>IF(((COUNTIF(L18:L37, "✓") + COUNTIF(L18:L37, "✔") + COUNTIF(L18:L37, "v") + COUNTIF(L18:L37, "V")) + COUNTIF(L18:L37, "✗") + COUNTIF(L18:L37, "x") + COUNTIF(L18:L37, "X")) &gt; 0, (COUNTIF(L18:L37, "✓") + COUNTIF(L18:L37, "✔") + COUNTIF(L18:L37, "v") + COUNTIF(L18:L37, "V")) &amp; "/" &amp; ((COUNTIF(L18:L37, "✓") + COUNTIF(L18:L37, "✔") + COUNTIF(L18:L37, "v") + COUNTIF(L18:L37, "V")) + COUNTIF(L18:L37, "✗") + COUNTIF(L18:L37, "x") + COUNTIF(L18:L37, "X")), "")</f>
        <v/>
      </c>
      <c r="M38" s="33">
        <f>IF(((COUNTIF(M18:M37, "✓") + COUNTIF(M18:M37, "✔") + COUNTIF(M18:M37, "v") + COUNTIF(M18:M37, "V")) + COUNTIF(M18:M37, "✗") + COUNTIF(M18:M37, "x") + COUNTIF(M18:M37, "X")) &gt; 0, (COUNTIF(M18:M37, "✓") + COUNTIF(M18:M37, "✔") + COUNTIF(M18:M37, "v") + COUNTIF(M18:M37, "V")) &amp; "/" &amp; ((COUNTIF(M18:M37, "✓") + COUNTIF(M18:M37, "✔") + COUNTIF(M18:M37, "v") + COUNTIF(M18:M37, "V")) + COUNTIF(M18:M37, "✗") + COUNTIF(M18:M37, "x") + COUNTIF(M18:M37, "X")), "")</f>
        <v/>
      </c>
      <c r="N38" s="33">
        <f>IF(((COUNTIF(N18:N37, "✓") + COUNTIF(N18:N37, "✔") + COUNTIF(N18:N37, "v") + COUNTIF(N18:N37, "V")) + COUNTIF(N18:N37, "✗") + COUNTIF(N18:N37, "x") + COUNTIF(N18:N37, "X")) &gt; 0, (COUNTIF(N18:N37, "✓") + COUNTIF(N18:N37, "✔") + COUNTIF(N18:N37, "v") + COUNTIF(N18:N37, "V")) &amp; "/" &amp; ((COUNTIF(N18:N37, "✓") + COUNTIF(N18:N37, "✔") + COUNTIF(N18:N37, "v") + COUNTIF(N18:N37, "V")) + COUNTIF(N18:N37, "✗") + COUNTIF(N18:N37, "x") + COUNTIF(N18:N37, "X")), "")</f>
        <v/>
      </c>
      <c r="O38" s="33">
        <f>IF(((COUNTIF(O18:O37, "✓") + COUNTIF(O18:O37, "✔") + COUNTIF(O18:O37, "v") + COUNTIF(O18:O37, "V")) + COUNTIF(O18:O37, "✗") + COUNTIF(O18:O37, "x") + COUNTIF(O18:O37, "X")) &gt; 0, (COUNTIF(O18:O37, "✓") + COUNTIF(O18:O37, "✔") + COUNTIF(O18:O37, "v") + COUNTIF(O18:O37, "V")) &amp; "/" &amp; ((COUNTIF(O18:O37, "✓") + COUNTIF(O18:O37, "✔") + COUNTIF(O18:O37, "v") + COUNTIF(O18:O37, "V")) + COUNTIF(O18:O37, "✗") + COUNTIF(O18:O37, "x") + COUNTIF(O18:O37, "X")), "")</f>
        <v/>
      </c>
      <c r="P38" s="33">
        <f>IF(((COUNTIF(P18:P37, "✓") + COUNTIF(P18:P37, "✔") + COUNTIF(P18:P37, "v") + COUNTIF(P18:P37, "V")) + COUNTIF(P18:P37, "✗") + COUNTIF(P18:P37, "x") + COUNTIF(P18:P37, "X")) &gt; 0, (COUNTIF(P18:P37, "✓") + COUNTIF(P18:P37, "✔") + COUNTIF(P18:P37, "v") + COUNTIF(P18:P37, "V")) &amp; "/" &amp; ((COUNTIF(P18:P37, "✓") + COUNTIF(P18:P37, "✔") + COUNTIF(P18:P37, "v") + COUNTIF(P18:P37, "V")) + COUNTIF(P18:P37, "✗") + COUNTIF(P18:P37, "x") + COUNTIF(P18:P37, "X")), "")</f>
        <v/>
      </c>
      <c r="Q38" s="33">
        <f>IF(((COUNTIF(Q18:Q37, "✓") + COUNTIF(Q18:Q37, "✔") + COUNTIF(Q18:Q37, "v") + COUNTIF(Q18:Q37, "V")) + COUNTIF(Q18:Q37, "✗") + COUNTIF(Q18:Q37, "x") + COUNTIF(Q18:Q37, "X")) &gt; 0, (COUNTIF(Q18:Q37, "✓") + COUNTIF(Q18:Q37, "✔") + COUNTIF(Q18:Q37, "v") + COUNTIF(Q18:Q37, "V")) &amp; "/" &amp; ((COUNTIF(Q18:Q37, "✓") + COUNTIF(Q18:Q37, "✔") + COUNTIF(Q18:Q37, "v") + COUNTIF(Q18:Q37, "V")) + COUNTIF(Q18:Q37, "✗") + COUNTIF(Q18:Q37, "x") + COUNTIF(Q18:Q37, "X")), "")</f>
        <v/>
      </c>
      <c r="R38" s="33">
        <f>IF(((COUNTIF(R18:R37, "✓") + COUNTIF(R18:R37, "✔") + COUNTIF(R18:R37, "v") + COUNTIF(R18:R37, "V")) + COUNTIF(R18:R37, "✗") + COUNTIF(R18:R37, "x") + COUNTIF(R18:R37, "X")) &gt; 0, (COUNTIF(R18:R37, "✓") + COUNTIF(R18:R37, "✔") + COUNTIF(R18:R37, "v") + COUNTIF(R18:R37, "V")) &amp; "/" &amp; ((COUNTIF(R18:R37, "✓") + COUNTIF(R18:R37, "✔") + COUNTIF(R18:R37, "v") + COUNTIF(R18:R37, "V")) + COUNTIF(R18:R37, "✗") + COUNTIF(R18:R37, "x") + COUNTIF(R18:R37, "X")), "")</f>
        <v/>
      </c>
      <c r="S38" s="33">
        <f>IF(((COUNTIF(S18:S37, "✓") + COUNTIF(S18:S37, "✔") + COUNTIF(S18:S37, "v") + COUNTIF(S18:S37, "V")) + COUNTIF(S18:S37, "✗") + COUNTIF(S18:S37, "x") + COUNTIF(S18:S37, "X")) &gt; 0, (COUNTIF(S18:S37, "✓") + COUNTIF(S18:S37, "✔") + COUNTIF(S18:S37, "v") + COUNTIF(S18:S37, "V")) &amp; "/" &amp; ((COUNTIF(S18:S37, "✓") + COUNTIF(S18:S37, "✔") + COUNTIF(S18:S37, "v") + COUNTIF(S18:S37, "V")) + COUNTIF(S18:S37, "✗") + COUNTIF(S18:S37, "x") + COUNTIF(S18:S37, "X")), "")</f>
        <v/>
      </c>
      <c r="T38" s="33">
        <f>IF(((COUNTIF(T18:T37, "✓") + COUNTIF(T18:T37, "✔") + COUNTIF(T18:T37, "v") + COUNTIF(T18:T37, "V")) + COUNTIF(T18:T37, "✗") + COUNTIF(T18:T37, "x") + COUNTIF(T18:T37, "X")) &gt; 0, (COUNTIF(T18:T37, "✓") + COUNTIF(T18:T37, "✔") + COUNTIF(T18:T37, "v") + COUNTIF(T18:T37, "V")) &amp; "/" &amp; ((COUNTIF(T18:T37, "✓") + COUNTIF(T18:T37, "✔") + COUNTIF(T18:T37, "v") + COUNTIF(T18:T37, "V")) + COUNTIF(T18:T37, "✗") + COUNTIF(T18:T37, "x") + COUNTIF(T18:T37, "X")), "")</f>
        <v/>
      </c>
      <c r="U38" s="33">
        <f>IF(((COUNTIF(U18:U37, "✓") + COUNTIF(U18:U37, "✔") + COUNTIF(U18:U37, "v") + COUNTIF(U18:U37, "V")) + COUNTIF(U18:U37, "✗") + COUNTIF(U18:U37, "x") + COUNTIF(U18:U37, "X")) &gt; 0, (COUNTIF(U18:U37, "✓") + COUNTIF(U18:U37, "✔") + COUNTIF(U18:U37, "v") + COUNTIF(U18:U37, "V")) &amp; "/" &amp; ((COUNTIF(U18:U37, "✓") + COUNTIF(U18:U37, "✔") + COUNTIF(U18:U37, "v") + COUNTIF(U18:U37, "V")) + COUNTIF(U18:U37, "✗") + COUNTIF(U18:U37, "x") + COUNTIF(U18:U37, "X")), "")</f>
        <v/>
      </c>
      <c r="V38" s="33">
        <f>IF(((COUNTIF(V18:V37, "✓") + COUNTIF(V18:V37, "✔") + COUNTIF(V18:V37, "v") + COUNTIF(V18:V37, "V")) + COUNTIF(V18:V37, "✗") + COUNTIF(V18:V37, "x") + COUNTIF(V18:V37, "X")) &gt; 0, (COUNTIF(V18:V37, "✓") + COUNTIF(V18:V37, "✔") + COUNTIF(V18:V37, "v") + COUNTIF(V18:V37, "V")) &amp; "/" &amp; ((COUNTIF(V18:V37, "✓") + COUNTIF(V18:V37, "✔") + COUNTIF(V18:V37, "v") + COUNTIF(V18:V37, "V")) + COUNTIF(V18:V37, "✗") + COUNTIF(V18:V37, "x") + COUNTIF(V18:V37, "X")), "")</f>
        <v/>
      </c>
      <c r="W38" s="33">
        <f>IF(((COUNTIF(W18:W37, "✓") + COUNTIF(W18:W37, "✔") + COUNTIF(W18:W37, "v") + COUNTIF(W18:W37, "V")) + COUNTIF(W18:W37, "✗") + COUNTIF(W18:W37, "x") + COUNTIF(W18:W37, "X")) &gt; 0, (COUNTIF(W18:W37, "✓") + COUNTIF(W18:W37, "✔") + COUNTIF(W18:W37, "v") + COUNTIF(W18:W37, "V")) &amp; "/" &amp; ((COUNTIF(W18:W37, "✓") + COUNTIF(W18:W37, "✔") + COUNTIF(W18:W37, "v") + COUNTIF(W18:W37, "V")) + COUNTIF(W18:W37, "✗") + COUNTIF(W18:W37, "x") + COUNTIF(W18:W37, "X")), "")</f>
        <v/>
      </c>
      <c r="X38" s="33">
        <f>IF(((COUNTIF(X18:X37, "✓") + COUNTIF(X18:X37, "✔") + COUNTIF(X18:X37, "v") + COUNTIF(X18:X37, "V")) + COUNTIF(X18:X37, "✗") + COUNTIF(X18:X37, "x") + COUNTIF(X18:X37, "X")) &gt; 0, (COUNTIF(X18:X37, "✓") + COUNTIF(X18:X37, "✔") + COUNTIF(X18:X37, "v") + COUNTIF(X18:X37, "V")) &amp; "/" &amp; ((COUNTIF(X18:X37, "✓") + COUNTIF(X18:X37, "✔") + COUNTIF(X18:X37, "v") + COUNTIF(X18:X37, "V")) + COUNTIF(X18:X37, "✗") + COUNTIF(X18:X37, "x") + COUNTIF(X18:X37, "X")), "")</f>
        <v/>
      </c>
      <c r="Y38" s="33">
        <f>IF(((COUNTIF(Y18:Y37, "✓") + COUNTIF(Y18:Y37, "✔") + COUNTIF(Y18:Y37, "v") + COUNTIF(Y18:Y37, "V")) + COUNTIF(Y18:Y37, "✗") + COUNTIF(Y18:Y37, "x") + COUNTIF(Y18:Y37, "X")) &gt; 0, (COUNTIF(Y18:Y37, "✓") + COUNTIF(Y18:Y37, "✔") + COUNTIF(Y18:Y37, "v") + COUNTIF(Y18:Y37, "V")) &amp; "/" &amp; ((COUNTIF(Y18:Y37, "✓") + COUNTIF(Y18:Y37, "✔") + COUNTIF(Y18:Y37, "v") + COUNTIF(Y18:Y37, "V")) + COUNTIF(Y18:Y37, "✗") + COUNTIF(Y18:Y37, "x") + COUNTIF(Y18:Y37, "X")), "")</f>
        <v/>
      </c>
      <c r="Z38" s="33">
        <f>IF(((COUNTIF(Z18:Z37, "✓") + COUNTIF(Z18:Z37, "✔") + COUNTIF(Z18:Z37, "v") + COUNTIF(Z18:Z37, "V")) + COUNTIF(Z18:Z37, "✗") + COUNTIF(Z18:Z37, "x") + COUNTIF(Z18:Z37, "X")) &gt; 0, (COUNTIF(Z18:Z37, "✓") + COUNTIF(Z18:Z37, "✔") + COUNTIF(Z18:Z37, "v") + COUNTIF(Z18:Z37, "V")) &amp; "/" &amp; ((COUNTIF(Z18:Z37, "✓") + COUNTIF(Z18:Z37, "✔") + COUNTIF(Z18:Z37, "v") + COUNTIF(Z18:Z37, "V")) + COUNTIF(Z18:Z37, "✗") + COUNTIF(Z18:Z37, "x") + COUNTIF(Z18:Z37, "X")), "")</f>
        <v/>
      </c>
      <c r="AA38" s="33">
        <f>IF(((COUNTIF(AA18:AA37, "✓") + COUNTIF(AA18:AA37, "✔") + COUNTIF(AA18:AA37, "v") + COUNTIF(AA18:AA37, "V")) + COUNTIF(AA18:AA37, "✗") + COUNTIF(AA18:AA37, "x") + COUNTIF(AA18:AA37, "X")) &gt; 0, (COUNTIF(AA18:AA37, "✓") + COUNTIF(AA18:AA37, "✔") + COUNTIF(AA18:AA37, "v") + COUNTIF(AA18:AA37, "V")) &amp; "/" &amp; ((COUNTIF(AA18:AA37, "✓") + COUNTIF(AA18:AA37, "✔") + COUNTIF(AA18:AA37, "v") + COUNTIF(AA18:AA37, "V")) + COUNTIF(AA18:AA37, "✗") + COUNTIF(AA18:AA37, "x") + COUNTIF(AA18:AA37, "X")), "")</f>
        <v/>
      </c>
      <c r="AB38" s="33">
        <f>IF(((COUNTIF(AB18:AB37, "✓") + COUNTIF(AB18:AB37, "✔") + COUNTIF(AB18:AB37, "v") + COUNTIF(AB18:AB37, "V")) + COUNTIF(AB18:AB37, "✗") + COUNTIF(AB18:AB37, "x") + COUNTIF(AB18:AB37, "X")) &gt; 0, (COUNTIF(AB18:AB37, "✓") + COUNTIF(AB18:AB37, "✔") + COUNTIF(AB18:AB37, "v") + COUNTIF(AB18:AB37, "V")) &amp; "/" &amp; ((COUNTIF(AB18:AB37, "✓") + COUNTIF(AB18:AB37, "✔") + COUNTIF(AB18:AB37, "v") + COUNTIF(AB18:AB37, "V")) + COUNTIF(AB18:AB37, "✗") + COUNTIF(AB18:AB37, "x") + COUNTIF(AB18:AB37, "X")), "")</f>
        <v/>
      </c>
      <c r="AC38" s="33">
        <f>IF(((COUNTIF(AC18:AC37, "✓") + COUNTIF(AC18:AC37, "✔") + COUNTIF(AC18:AC37, "v") + COUNTIF(AC18:AC37, "V")) + COUNTIF(AC18:AC37, "✗") + COUNTIF(AC18:AC37, "x") + COUNTIF(AC18:AC37, "X")) &gt; 0, (COUNTIF(AC18:AC37, "✓") + COUNTIF(AC18:AC37, "✔") + COUNTIF(AC18:AC37, "v") + COUNTIF(AC18:AC37, "V")) &amp; "/" &amp; ((COUNTIF(AC18:AC37, "✓") + COUNTIF(AC18:AC37, "✔") + COUNTIF(AC18:AC37, "v") + COUNTIF(AC18:AC37, "V")) + COUNTIF(AC18:AC37, "✗") + COUNTIF(AC18:AC37, "x") + COUNTIF(AC18:AC37, "X")), "")</f>
        <v/>
      </c>
      <c r="AD38" s="33">
        <f>IF(((COUNTIF(AD18:AD37, "✓") + COUNTIF(AD18:AD37, "✔") + COUNTIF(AD18:AD37, "v") + COUNTIF(AD18:AD37, "V")) + COUNTIF(AD18:AD37, "✗") + COUNTIF(AD18:AD37, "x") + COUNTIF(AD18:AD37, "X")) &gt; 0, (COUNTIF(AD18:AD37, "✓") + COUNTIF(AD18:AD37, "✔") + COUNTIF(AD18:AD37, "v") + COUNTIF(AD18:AD37, "V")) &amp; "/" &amp; ((COUNTIF(AD18:AD37, "✓") + COUNTIF(AD18:AD37, "✔") + COUNTIF(AD18:AD37, "v") + COUNTIF(AD18:AD37, "V")) + COUNTIF(AD18:AD37, "✗") + COUNTIF(AD18:AD37, "x") + COUNTIF(AD18:AD37, "X")), "")</f>
        <v/>
      </c>
      <c r="AE38" s="33">
        <f>IF(((COUNTIF(AE18:AE37, "✓") + COUNTIF(AE18:AE37, "✔") + COUNTIF(AE18:AE37, "v") + COUNTIF(AE18:AE37, "V")) + COUNTIF(AE18:AE37, "✗") + COUNTIF(AE18:AE37, "x") + COUNTIF(AE18:AE37, "X")) &gt; 0, (COUNTIF(AE18:AE37, "✓") + COUNTIF(AE18:AE37, "✔") + COUNTIF(AE18:AE37, "v") + COUNTIF(AE18:AE37, "V")) &amp; "/" &amp; ((COUNTIF(AE18:AE37, "✓") + COUNTIF(AE18:AE37, "✔") + COUNTIF(AE18:AE37, "v") + COUNTIF(AE18:AE37, "V")) + COUNTIF(AE18:AE37, "✗") + COUNTIF(AE18:AE37, "x") + COUNTIF(AE18:AE37, "X")), "")</f>
        <v/>
      </c>
      <c r="AF38" s="33">
        <f>IF(((COUNTIF(AF18:AF37, "✓") + COUNTIF(AF18:AF37, "✔") + COUNTIF(AF18:AF37, "v") + COUNTIF(AF18:AF37, "V")) + COUNTIF(AF18:AF37, "✗") + COUNTIF(AF18:AF37, "x") + COUNTIF(AF18:AF37, "X")) &gt; 0, (COUNTIF(AF18:AF37, "✓") + COUNTIF(AF18:AF37, "✔") + COUNTIF(AF18:AF37, "v") + COUNTIF(AF18:AF37, "V")) &amp; "/" &amp; ((COUNTIF(AF18:AF37, "✓") + COUNTIF(AF18:AF37, "✔") + COUNTIF(AF18:AF37, "v") + COUNTIF(AF18:AF37, "V")) + COUNTIF(AF18:AF37, "✗") + COUNTIF(AF18:AF37, "x") + COUNTIF(AF18:AF37, "X")), "")</f>
        <v/>
      </c>
      <c r="AG38" s="33">
        <f>IF(((COUNTIF(AG18:AG37, "✓") + COUNTIF(AG18:AG37, "✔") + COUNTIF(AG18:AG37, "v") + COUNTIF(AG18:AG37, "V")) + COUNTIF(AG18:AG37, "✗") + COUNTIF(AG18:AG37, "x") + COUNTIF(AG18:AG37, "X")) &gt; 0, (COUNTIF(AG18:AG37, "✓") + COUNTIF(AG18:AG37, "✔") + COUNTIF(AG18:AG37, "v") + COUNTIF(AG18:AG37, "V")) &amp; "/" &amp; ((COUNTIF(AG18:AG37, "✓") + COUNTIF(AG18:AG37, "✔") + COUNTIF(AG18:AG37, "v") + COUNTIF(AG18:AG37, "V")) + COUNTIF(AG18:AG37, "✗") + COUNTIF(AG18:AG37, "x") + COUNTIF(AG18:AG37, "X")), "")</f>
        <v/>
      </c>
      <c r="AH38" s="33">
        <f>IF(((COUNTIF(AH18:AH37, "✓") + COUNTIF(AH18:AH37, "✔") + COUNTIF(AH18:AH37, "v") + COUNTIF(AH18:AH37, "V")) + COUNTIF(AH18:AH37, "✗") + COUNTIF(AH18:AH37, "x") + COUNTIF(AH18:AH37, "X")) &gt; 0, (COUNTIF(AH18:AH37, "✓") + COUNTIF(AH18:AH37, "✔") + COUNTIF(AH18:AH37, "v") + COUNTIF(AH18:AH37, "V")) &amp; "/" &amp; ((COUNTIF(AH18:AH37, "✓") + COUNTIF(AH18:AH37, "✔") + COUNTIF(AH18:AH37, "v") + COUNTIF(AH18:AH37, "V")) + COUNTIF(AH18:AH37, "✗") + COUNTIF(AH18:AH37, "x") + COUNTIF(AH18:AH37, "X")), "")</f>
        <v/>
      </c>
      <c r="AI38" s="33">
        <f>IF(((COUNTIF(AI18:AI37, "✓") + COUNTIF(AI18:AI37, "✔") + COUNTIF(AI18:AI37, "v") + COUNTIF(AI18:AI37, "V")) + COUNTIF(AI18:AI37, "✗") + COUNTIF(AI18:AI37, "x") + COUNTIF(AI18:AI37, "X")) &gt; 0, (COUNTIF(AI18:AI37, "✓") + COUNTIF(AI18:AI37, "✔") + COUNTIF(AI18:AI37, "v") + COUNTIF(AI18:AI37, "V")) &amp; "/" &amp; ((COUNTIF(AI18:AI37, "✓") + COUNTIF(AI18:AI37, "✔") + COUNTIF(AI18:AI37, "v") + COUNTIF(AI18:AI37, "V")) + COUNTIF(AI18:AI37, "✗") + COUNTIF(AI18:AI37, "x") + COUNTIF(AI18:AI37, "X")), "")</f>
        <v/>
      </c>
      <c r="AJ38" s="133">
        <f>IF(SUM(D18:D37) &gt; 0, SUM(AM18:AM37) / SUM(D18:D37), "")</f>
        <v/>
      </c>
      <c r="AK38" s="33">
        <f>IF(SUM(D18:D37) &gt; 0, SUM(AM18:AM37) &amp; "/" &amp; SUM(D18:D37), "")</f>
        <v/>
      </c>
      <c r="AL38" s="54" t="n"/>
    </row>
    <row r="39" ht="18" customHeight="1">
      <c r="A39" s="132" t="inlineStr">
        <is>
          <t>DAILY SUCCESS %</t>
        </is>
      </c>
      <c r="B39" s="54" t="n"/>
      <c r="C39" s="54" t="n"/>
      <c r="D39" s="54" t="n"/>
      <c r="E39" s="134">
        <f>IF(((COUNTIF(E18:E37, "✓") + COUNTIF(E18:E37, "✔") + COUNTIF(E18:E37, "v") + COUNTIF(E18:E37, "V")) + COUNTIF(E18:E37, "✗") + COUNTIF(E18:E37, "x") + COUNTIF(E18:E37, "X")) &gt; 0, (COUNTIF(E18:E37, "✓") + COUNTIF(E18:E37, "✔") + COUNTIF(E18:E37, "v") + COUNTIF(E18:E37, "V")) / ((COUNTIF(E18:E37, "✓") + COUNTIF(E18:E37, "✔") + COUNTIF(E18:E37, "v") + COUNTIF(E18:E37, "V")) + COUNTIF(E18:E37, "✗") + COUNTIF(E18:E37, "x") + COUNTIF(E18:E37, "X")), "")</f>
        <v/>
      </c>
      <c r="F39" s="134">
        <f>IF(((COUNTIF(F18:F37, "✓") + COUNTIF(F18:F37, "✔") + COUNTIF(F18:F37, "v") + COUNTIF(F18:F37, "V")) + COUNTIF(F18:F37, "✗") + COUNTIF(F18:F37, "x") + COUNTIF(F18:F37, "X")) &gt; 0, (COUNTIF(F18:F37, "✓") + COUNTIF(F18:F37, "✔") + COUNTIF(F18:F37, "v") + COUNTIF(F18:F37, "V")) / ((COUNTIF(F18:F37, "✓") + COUNTIF(F18:F37, "✔") + COUNTIF(F18:F37, "v") + COUNTIF(F18:F37, "V")) + COUNTIF(F18:F37, "✗") + COUNTIF(F18:F37, "x") + COUNTIF(F18:F37, "X")), "")</f>
        <v/>
      </c>
      <c r="G39" s="134">
        <f>IF(((COUNTIF(G18:G37, "✓") + COUNTIF(G18:G37, "✔") + COUNTIF(G18:G37, "v") + COUNTIF(G18:G37, "V")) + COUNTIF(G18:G37, "✗") + COUNTIF(G18:G37, "x") + COUNTIF(G18:G37, "X")) &gt; 0, (COUNTIF(G18:G37, "✓") + COUNTIF(G18:G37, "✔") + COUNTIF(G18:G37, "v") + COUNTIF(G18:G37, "V")) / ((COUNTIF(G18:G37, "✓") + COUNTIF(G18:G37, "✔") + COUNTIF(G18:G37, "v") + COUNTIF(G18:G37, "V")) + COUNTIF(G18:G37, "✗") + COUNTIF(G18:G37, "x") + COUNTIF(G18:G37, "X")), "")</f>
        <v/>
      </c>
      <c r="H39" s="134">
        <f>IF(((COUNTIF(H18:H37, "✓") + COUNTIF(H18:H37, "✔") + COUNTIF(H18:H37, "v") + COUNTIF(H18:H37, "V")) + COUNTIF(H18:H37, "✗") + COUNTIF(H18:H37, "x") + COUNTIF(H18:H37, "X")) &gt; 0, (COUNTIF(H18:H37, "✓") + COUNTIF(H18:H37, "✔") + COUNTIF(H18:H37, "v") + COUNTIF(H18:H37, "V")) / ((COUNTIF(H18:H37, "✓") + COUNTIF(H18:H37, "✔") + COUNTIF(H18:H37, "v") + COUNTIF(H18:H37, "V")) + COUNTIF(H18:H37, "✗") + COUNTIF(H18:H37, "x") + COUNTIF(H18:H37, "X")), "")</f>
        <v/>
      </c>
      <c r="I39" s="134">
        <f>IF(((COUNTIF(I18:I37, "✓") + COUNTIF(I18:I37, "✔") + COUNTIF(I18:I37, "v") + COUNTIF(I18:I37, "V")) + COUNTIF(I18:I37, "✗") + COUNTIF(I18:I37, "x") + COUNTIF(I18:I37, "X")) &gt; 0, (COUNTIF(I18:I37, "✓") + COUNTIF(I18:I37, "✔") + COUNTIF(I18:I37, "v") + COUNTIF(I18:I37, "V")) / ((COUNTIF(I18:I37, "✓") + COUNTIF(I18:I37, "✔") + COUNTIF(I18:I37, "v") + COUNTIF(I18:I37, "V")) + COUNTIF(I18:I37, "✗") + COUNTIF(I18:I37, "x") + COUNTIF(I18:I37, "X")), "")</f>
        <v/>
      </c>
      <c r="J39" s="134">
        <f>IF(((COUNTIF(J18:J37, "✓") + COUNTIF(J18:J37, "✔") + COUNTIF(J18:J37, "v") + COUNTIF(J18:J37, "V")) + COUNTIF(J18:J37, "✗") + COUNTIF(J18:J37, "x") + COUNTIF(J18:J37, "X")) &gt; 0, (COUNTIF(J18:J37, "✓") + COUNTIF(J18:J37, "✔") + COUNTIF(J18:J37, "v") + COUNTIF(J18:J37, "V")) / ((COUNTIF(J18:J37, "✓") + COUNTIF(J18:J37, "✔") + COUNTIF(J18:J37, "v") + COUNTIF(J18:J37, "V")) + COUNTIF(J18:J37, "✗") + COUNTIF(J18:J37, "x") + COUNTIF(J18:J37, "X")), "")</f>
        <v/>
      </c>
      <c r="K39" s="134">
        <f>IF(((COUNTIF(K18:K37, "✓") + COUNTIF(K18:K37, "✔") + COUNTIF(K18:K37, "v") + COUNTIF(K18:K37, "V")) + COUNTIF(K18:K37, "✗") + COUNTIF(K18:K37, "x") + COUNTIF(K18:K37, "X")) &gt; 0, (COUNTIF(K18:K37, "✓") + COUNTIF(K18:K37, "✔") + COUNTIF(K18:K37, "v") + COUNTIF(K18:K37, "V")) / ((COUNTIF(K18:K37, "✓") + COUNTIF(K18:K37, "✔") + COUNTIF(K18:K37, "v") + COUNTIF(K18:K37, "V")) + COUNTIF(K18:K37, "✗") + COUNTIF(K18:K37, "x") + COUNTIF(K18:K37, "X")), "")</f>
        <v/>
      </c>
      <c r="L39" s="134">
        <f>IF(((COUNTIF(L18:L37, "✓") + COUNTIF(L18:L37, "✔") + COUNTIF(L18:L37, "v") + COUNTIF(L18:L37, "V")) + COUNTIF(L18:L37, "✗") + COUNTIF(L18:L37, "x") + COUNTIF(L18:L37, "X")) &gt; 0, (COUNTIF(L18:L37, "✓") + COUNTIF(L18:L37, "✔") + COUNTIF(L18:L37, "v") + COUNTIF(L18:L37, "V")) / ((COUNTIF(L18:L37, "✓") + COUNTIF(L18:L37, "✔") + COUNTIF(L18:L37, "v") + COUNTIF(L18:L37, "V")) + COUNTIF(L18:L37, "✗") + COUNTIF(L18:L37, "x") + COUNTIF(L18:L37, "X")), "")</f>
        <v/>
      </c>
      <c r="M39" s="134">
        <f>IF(((COUNTIF(M18:M37, "✓") + COUNTIF(M18:M37, "✔") + COUNTIF(M18:M37, "v") + COUNTIF(M18:M37, "V")) + COUNTIF(M18:M37, "✗") + COUNTIF(M18:M37, "x") + COUNTIF(M18:M37, "X")) &gt; 0, (COUNTIF(M18:M37, "✓") + COUNTIF(M18:M37, "✔") + COUNTIF(M18:M37, "v") + COUNTIF(M18:M37, "V")) / ((COUNTIF(M18:M37, "✓") + COUNTIF(M18:M37, "✔") + COUNTIF(M18:M37, "v") + COUNTIF(M18:M37, "V")) + COUNTIF(M18:M37, "✗") + COUNTIF(M18:M37, "x") + COUNTIF(M18:M37, "X")), "")</f>
        <v/>
      </c>
      <c r="N39" s="134">
        <f>IF(((COUNTIF(N18:N37, "✓") + COUNTIF(N18:N37, "✔") + COUNTIF(N18:N37, "v") + COUNTIF(N18:N37, "V")) + COUNTIF(N18:N37, "✗") + COUNTIF(N18:N37, "x") + COUNTIF(N18:N37, "X")) &gt; 0, (COUNTIF(N18:N37, "✓") + COUNTIF(N18:N37, "✔") + COUNTIF(N18:N37, "v") + COUNTIF(N18:N37, "V")) / ((COUNTIF(N18:N37, "✓") + COUNTIF(N18:N37, "✔") + COUNTIF(N18:N37, "v") + COUNTIF(N18:N37, "V")) + COUNTIF(N18:N37, "✗") + COUNTIF(N18:N37, "x") + COUNTIF(N18:N37, "X")), "")</f>
        <v/>
      </c>
      <c r="O39" s="134">
        <f>IF(((COUNTIF(O18:O37, "✓") + COUNTIF(O18:O37, "✔") + COUNTIF(O18:O37, "v") + COUNTIF(O18:O37, "V")) + COUNTIF(O18:O37, "✗") + COUNTIF(O18:O37, "x") + COUNTIF(O18:O37, "X")) &gt; 0, (COUNTIF(O18:O37, "✓") + COUNTIF(O18:O37, "✔") + COUNTIF(O18:O37, "v") + COUNTIF(O18:O37, "V")) / ((COUNTIF(O18:O37, "✓") + COUNTIF(O18:O37, "✔") + COUNTIF(O18:O37, "v") + COUNTIF(O18:O37, "V")) + COUNTIF(O18:O37, "✗") + COUNTIF(O18:O37, "x") + COUNTIF(O18:O37, "X")), "")</f>
        <v/>
      </c>
      <c r="P39" s="134">
        <f>IF(((COUNTIF(P18:P37, "✓") + COUNTIF(P18:P37, "✔") + COUNTIF(P18:P37, "v") + COUNTIF(P18:P37, "V")) + COUNTIF(P18:P37, "✗") + COUNTIF(P18:P37, "x") + COUNTIF(P18:P37, "X")) &gt; 0, (COUNTIF(P18:P37, "✓") + COUNTIF(P18:P37, "✔") + COUNTIF(P18:P37, "v") + COUNTIF(P18:P37, "V")) / ((COUNTIF(P18:P37, "✓") + COUNTIF(P18:P37, "✔") + COUNTIF(P18:P37, "v") + COUNTIF(P18:P37, "V")) + COUNTIF(P18:P37, "✗") + COUNTIF(P18:P37, "x") + COUNTIF(P18:P37, "X")), "")</f>
        <v/>
      </c>
      <c r="Q39" s="134">
        <f>IF(((COUNTIF(Q18:Q37, "✓") + COUNTIF(Q18:Q37, "✔") + COUNTIF(Q18:Q37, "v") + COUNTIF(Q18:Q37, "V")) + COUNTIF(Q18:Q37, "✗") + COUNTIF(Q18:Q37, "x") + COUNTIF(Q18:Q37, "X")) &gt; 0, (COUNTIF(Q18:Q37, "✓") + COUNTIF(Q18:Q37, "✔") + COUNTIF(Q18:Q37, "v") + COUNTIF(Q18:Q37, "V")) / ((COUNTIF(Q18:Q37, "✓") + COUNTIF(Q18:Q37, "✔") + COUNTIF(Q18:Q37, "v") + COUNTIF(Q18:Q37, "V")) + COUNTIF(Q18:Q37, "✗") + COUNTIF(Q18:Q37, "x") + COUNTIF(Q18:Q37, "X")), "")</f>
        <v/>
      </c>
      <c r="R39" s="134">
        <f>IF(((COUNTIF(R18:R37, "✓") + COUNTIF(R18:R37, "✔") + COUNTIF(R18:R37, "v") + COUNTIF(R18:R37, "V")) + COUNTIF(R18:R37, "✗") + COUNTIF(R18:R37, "x") + COUNTIF(R18:R37, "X")) &gt; 0, (COUNTIF(R18:R37, "✓") + COUNTIF(R18:R37, "✔") + COUNTIF(R18:R37, "v") + COUNTIF(R18:R37, "V")) / ((COUNTIF(R18:R37, "✓") + COUNTIF(R18:R37, "✔") + COUNTIF(R18:R37, "v") + COUNTIF(R18:R37, "V")) + COUNTIF(R18:R37, "✗") + COUNTIF(R18:R37, "x") + COUNTIF(R18:R37, "X")), "")</f>
        <v/>
      </c>
      <c r="S39" s="134">
        <f>IF(((COUNTIF(S18:S37, "✓") + COUNTIF(S18:S37, "✔") + COUNTIF(S18:S37, "v") + COUNTIF(S18:S37, "V")) + COUNTIF(S18:S37, "✗") + COUNTIF(S18:S37, "x") + COUNTIF(S18:S37, "X")) &gt; 0, (COUNTIF(S18:S37, "✓") + COUNTIF(S18:S37, "✔") + COUNTIF(S18:S37, "v") + COUNTIF(S18:S37, "V")) / ((COUNTIF(S18:S37, "✓") + COUNTIF(S18:S37, "✔") + COUNTIF(S18:S37, "v") + COUNTIF(S18:S37, "V")) + COUNTIF(S18:S37, "✗") + COUNTIF(S18:S37, "x") + COUNTIF(S18:S37, "X")), "")</f>
        <v/>
      </c>
      <c r="T39" s="134">
        <f>IF(((COUNTIF(T18:T37, "✓") + COUNTIF(T18:T37, "✔") + COUNTIF(T18:T37, "v") + COUNTIF(T18:T37, "V")) + COUNTIF(T18:T37, "✗") + COUNTIF(T18:T37, "x") + COUNTIF(T18:T37, "X")) &gt; 0, (COUNTIF(T18:T37, "✓") + COUNTIF(T18:T37, "✔") + COUNTIF(T18:T37, "v") + COUNTIF(T18:T37, "V")) / ((COUNTIF(T18:T37, "✓") + COUNTIF(T18:T37, "✔") + COUNTIF(T18:T37, "v") + COUNTIF(T18:T37, "V")) + COUNTIF(T18:T37, "✗") + COUNTIF(T18:T37, "x") + COUNTIF(T18:T37, "X")), "")</f>
        <v/>
      </c>
      <c r="U39" s="134">
        <f>IF(((COUNTIF(U18:U37, "✓") + COUNTIF(U18:U37, "✔") + COUNTIF(U18:U37, "v") + COUNTIF(U18:U37, "V")) + COUNTIF(U18:U37, "✗") + COUNTIF(U18:U37, "x") + COUNTIF(U18:U37, "X")) &gt; 0, (COUNTIF(U18:U37, "✓") + COUNTIF(U18:U37, "✔") + COUNTIF(U18:U37, "v") + COUNTIF(U18:U37, "V")) / ((COUNTIF(U18:U37, "✓") + COUNTIF(U18:U37, "✔") + COUNTIF(U18:U37, "v") + COUNTIF(U18:U37, "V")) + COUNTIF(U18:U37, "✗") + COUNTIF(U18:U37, "x") + COUNTIF(U18:U37, "X")), "")</f>
        <v/>
      </c>
      <c r="V39" s="134">
        <f>IF(((COUNTIF(V18:V37, "✓") + COUNTIF(V18:V37, "✔") + COUNTIF(V18:V37, "v") + COUNTIF(V18:V37, "V")) + COUNTIF(V18:V37, "✗") + COUNTIF(V18:V37, "x") + COUNTIF(V18:V37, "X")) &gt; 0, (COUNTIF(V18:V37, "✓") + COUNTIF(V18:V37, "✔") + COUNTIF(V18:V37, "v") + COUNTIF(V18:V37, "V")) / ((COUNTIF(V18:V37, "✓") + COUNTIF(V18:V37, "✔") + COUNTIF(V18:V37, "v") + COUNTIF(V18:V37, "V")) + COUNTIF(V18:V37, "✗") + COUNTIF(V18:V37, "x") + COUNTIF(V18:V37, "X")), "")</f>
        <v/>
      </c>
      <c r="W39" s="134">
        <f>IF(((COUNTIF(W18:W37, "✓") + COUNTIF(W18:W37, "✔") + COUNTIF(W18:W37, "v") + COUNTIF(W18:W37, "V")) + COUNTIF(W18:W37, "✗") + COUNTIF(W18:W37, "x") + COUNTIF(W18:W37, "X")) &gt; 0, (COUNTIF(W18:W37, "✓") + COUNTIF(W18:W37, "✔") + COUNTIF(W18:W37, "v") + COUNTIF(W18:W37, "V")) / ((COUNTIF(W18:W37, "✓") + COUNTIF(W18:W37, "✔") + COUNTIF(W18:W37, "v") + COUNTIF(W18:W37, "V")) + COUNTIF(W18:W37, "✗") + COUNTIF(W18:W37, "x") + COUNTIF(W18:W37, "X")), "")</f>
        <v/>
      </c>
      <c r="X39" s="134">
        <f>IF(((COUNTIF(X18:X37, "✓") + COUNTIF(X18:X37, "✔") + COUNTIF(X18:X37, "v") + COUNTIF(X18:X37, "V")) + COUNTIF(X18:X37, "✗") + COUNTIF(X18:X37, "x") + COUNTIF(X18:X37, "X")) &gt; 0, (COUNTIF(X18:X37, "✓") + COUNTIF(X18:X37, "✔") + COUNTIF(X18:X37, "v") + COUNTIF(X18:X37, "V")) / ((COUNTIF(X18:X37, "✓") + COUNTIF(X18:X37, "✔") + COUNTIF(X18:X37, "v") + COUNTIF(X18:X37, "V")) + COUNTIF(X18:X37, "✗") + COUNTIF(X18:X37, "x") + COUNTIF(X18:X37, "X")), "")</f>
        <v/>
      </c>
      <c r="Y39" s="134">
        <f>IF(((COUNTIF(Y18:Y37, "✓") + COUNTIF(Y18:Y37, "✔") + COUNTIF(Y18:Y37, "v") + COUNTIF(Y18:Y37, "V")) + COUNTIF(Y18:Y37, "✗") + COUNTIF(Y18:Y37, "x") + COUNTIF(Y18:Y37, "X")) &gt; 0, (COUNTIF(Y18:Y37, "✓") + COUNTIF(Y18:Y37, "✔") + COUNTIF(Y18:Y37, "v") + COUNTIF(Y18:Y37, "V")) / ((COUNTIF(Y18:Y37, "✓") + COUNTIF(Y18:Y37, "✔") + COUNTIF(Y18:Y37, "v") + COUNTIF(Y18:Y37, "V")) + COUNTIF(Y18:Y37, "✗") + COUNTIF(Y18:Y37, "x") + COUNTIF(Y18:Y37, "X")), "")</f>
        <v/>
      </c>
      <c r="Z39" s="134">
        <f>IF(((COUNTIF(Z18:Z37, "✓") + COUNTIF(Z18:Z37, "✔") + COUNTIF(Z18:Z37, "v") + COUNTIF(Z18:Z37, "V")) + COUNTIF(Z18:Z37, "✗") + COUNTIF(Z18:Z37, "x") + COUNTIF(Z18:Z37, "X")) &gt; 0, (COUNTIF(Z18:Z37, "✓") + COUNTIF(Z18:Z37, "✔") + COUNTIF(Z18:Z37, "v") + COUNTIF(Z18:Z37, "V")) / ((COUNTIF(Z18:Z37, "✓") + COUNTIF(Z18:Z37, "✔") + COUNTIF(Z18:Z37, "v") + COUNTIF(Z18:Z37, "V")) + COUNTIF(Z18:Z37, "✗") + COUNTIF(Z18:Z37, "x") + COUNTIF(Z18:Z37, "X")), "")</f>
        <v/>
      </c>
      <c r="AA39" s="134">
        <f>IF(((COUNTIF(AA18:AA37, "✓") + COUNTIF(AA18:AA37, "✔") + COUNTIF(AA18:AA37, "v") + COUNTIF(AA18:AA37, "V")) + COUNTIF(AA18:AA37, "✗") + COUNTIF(AA18:AA37, "x") + COUNTIF(AA18:AA37, "X")) &gt; 0, (COUNTIF(AA18:AA37, "✓") + COUNTIF(AA18:AA37, "✔") + COUNTIF(AA18:AA37, "v") + COUNTIF(AA18:AA37, "V")) / ((COUNTIF(AA18:AA37, "✓") + COUNTIF(AA18:AA37, "✔") + COUNTIF(AA18:AA37, "v") + COUNTIF(AA18:AA37, "V")) + COUNTIF(AA18:AA37, "✗") + COUNTIF(AA18:AA37, "x") + COUNTIF(AA18:AA37, "X")), "")</f>
        <v/>
      </c>
      <c r="AB39" s="134">
        <f>IF(((COUNTIF(AB18:AB37, "✓") + COUNTIF(AB18:AB37, "✔") + COUNTIF(AB18:AB37, "v") + COUNTIF(AB18:AB37, "V")) + COUNTIF(AB18:AB37, "✗") + COUNTIF(AB18:AB37, "x") + COUNTIF(AB18:AB37, "X")) &gt; 0, (COUNTIF(AB18:AB37, "✓") + COUNTIF(AB18:AB37, "✔") + COUNTIF(AB18:AB37, "v") + COUNTIF(AB18:AB37, "V")) / ((COUNTIF(AB18:AB37, "✓") + COUNTIF(AB18:AB37, "✔") + COUNTIF(AB18:AB37, "v") + COUNTIF(AB18:AB37, "V")) + COUNTIF(AB18:AB37, "✗") + COUNTIF(AB18:AB37, "x") + COUNTIF(AB18:AB37, "X")), "")</f>
        <v/>
      </c>
      <c r="AC39" s="134">
        <f>IF(((COUNTIF(AC18:AC37, "✓") + COUNTIF(AC18:AC37, "✔") + COUNTIF(AC18:AC37, "v") + COUNTIF(AC18:AC37, "V")) + COUNTIF(AC18:AC37, "✗") + COUNTIF(AC18:AC37, "x") + COUNTIF(AC18:AC37, "X")) &gt; 0, (COUNTIF(AC18:AC37, "✓") + COUNTIF(AC18:AC37, "✔") + COUNTIF(AC18:AC37, "v") + COUNTIF(AC18:AC37, "V")) / ((COUNTIF(AC18:AC37, "✓") + COUNTIF(AC18:AC37, "✔") + COUNTIF(AC18:AC37, "v") + COUNTIF(AC18:AC37, "V")) + COUNTIF(AC18:AC37, "✗") + COUNTIF(AC18:AC37, "x") + COUNTIF(AC18:AC37, "X")), "")</f>
        <v/>
      </c>
      <c r="AD39" s="134">
        <f>IF(((COUNTIF(AD18:AD37, "✓") + COUNTIF(AD18:AD37, "✔") + COUNTIF(AD18:AD37, "v") + COUNTIF(AD18:AD37, "V")) + COUNTIF(AD18:AD37, "✗") + COUNTIF(AD18:AD37, "x") + COUNTIF(AD18:AD37, "X")) &gt; 0, (COUNTIF(AD18:AD37, "✓") + COUNTIF(AD18:AD37, "✔") + COUNTIF(AD18:AD37, "v") + COUNTIF(AD18:AD37, "V")) / ((COUNTIF(AD18:AD37, "✓") + COUNTIF(AD18:AD37, "✔") + COUNTIF(AD18:AD37, "v") + COUNTIF(AD18:AD37, "V")) + COUNTIF(AD18:AD37, "✗") + COUNTIF(AD18:AD37, "x") + COUNTIF(AD18:AD37, "X")), "")</f>
        <v/>
      </c>
      <c r="AE39" s="134">
        <f>IF(((COUNTIF(AE18:AE37, "✓") + COUNTIF(AE18:AE37, "✔") + COUNTIF(AE18:AE37, "v") + COUNTIF(AE18:AE37, "V")) + COUNTIF(AE18:AE37, "✗") + COUNTIF(AE18:AE37, "x") + COUNTIF(AE18:AE37, "X")) &gt; 0, (COUNTIF(AE18:AE37, "✓") + COUNTIF(AE18:AE37, "✔") + COUNTIF(AE18:AE37, "v") + COUNTIF(AE18:AE37, "V")) / ((COUNTIF(AE18:AE37, "✓") + COUNTIF(AE18:AE37, "✔") + COUNTIF(AE18:AE37, "v") + COUNTIF(AE18:AE37, "V")) + COUNTIF(AE18:AE37, "✗") + COUNTIF(AE18:AE37, "x") + COUNTIF(AE18:AE37, "X")), "")</f>
        <v/>
      </c>
      <c r="AF39" s="134">
        <f>IF(((COUNTIF(AF18:AF37, "✓") + COUNTIF(AF18:AF37, "✔") + COUNTIF(AF18:AF37, "v") + COUNTIF(AF18:AF37, "V")) + COUNTIF(AF18:AF37, "✗") + COUNTIF(AF18:AF37, "x") + COUNTIF(AF18:AF37, "X")) &gt; 0, (COUNTIF(AF18:AF37, "✓") + COUNTIF(AF18:AF37, "✔") + COUNTIF(AF18:AF37, "v") + COUNTIF(AF18:AF37, "V")) / ((COUNTIF(AF18:AF37, "✓") + COUNTIF(AF18:AF37, "✔") + COUNTIF(AF18:AF37, "v") + COUNTIF(AF18:AF37, "V")) + COUNTIF(AF18:AF37, "✗") + COUNTIF(AF18:AF37, "x") + COUNTIF(AF18:AF37, "X")), "")</f>
        <v/>
      </c>
      <c r="AG39" s="134">
        <f>IF(((COUNTIF(AG18:AG37, "✓") + COUNTIF(AG18:AG37, "✔") + COUNTIF(AG18:AG37, "v") + COUNTIF(AG18:AG37, "V")) + COUNTIF(AG18:AG37, "✗") + COUNTIF(AG18:AG37, "x") + COUNTIF(AG18:AG37, "X")) &gt; 0, (COUNTIF(AG18:AG37, "✓") + COUNTIF(AG18:AG37, "✔") + COUNTIF(AG18:AG37, "v") + COUNTIF(AG18:AG37, "V")) / ((COUNTIF(AG18:AG37, "✓") + COUNTIF(AG18:AG37, "✔") + COUNTIF(AG18:AG37, "v") + COUNTIF(AG18:AG37, "V")) + COUNTIF(AG18:AG37, "✗") + COUNTIF(AG18:AG37, "x") + COUNTIF(AG18:AG37, "X")), "")</f>
        <v/>
      </c>
      <c r="AH39" s="134">
        <f>IF(((COUNTIF(AH18:AH37, "✓") + COUNTIF(AH18:AH37, "✔") + COUNTIF(AH18:AH37, "v") + COUNTIF(AH18:AH37, "V")) + COUNTIF(AH18:AH37, "✗") + COUNTIF(AH18:AH37, "x") + COUNTIF(AH18:AH37, "X")) &gt; 0, (COUNTIF(AH18:AH37, "✓") + COUNTIF(AH18:AH37, "✔") + COUNTIF(AH18:AH37, "v") + COUNTIF(AH18:AH37, "V")) / ((COUNTIF(AH18:AH37, "✓") + COUNTIF(AH18:AH37, "✔") + COUNTIF(AH18:AH37, "v") + COUNTIF(AH18:AH37, "V")) + COUNTIF(AH18:AH37, "✗") + COUNTIF(AH18:AH37, "x") + COUNTIF(AH18:AH37, "X")), "")</f>
        <v/>
      </c>
      <c r="AI39" s="134">
        <f>IF(((COUNTIF(AI18:AI37, "✓") + COUNTIF(AI18:AI37, "✔") + COUNTIF(AI18:AI37, "v") + COUNTIF(AI18:AI37, "V")) + COUNTIF(AI18:AI37, "✗") + COUNTIF(AI18:AI37, "x") + COUNTIF(AI18:AI37, "X")) &gt; 0, (COUNTIF(AI18:AI37, "✓") + COUNTIF(AI18:AI37, "✔") + COUNTIF(AI18:AI37, "v") + COUNTIF(AI18:AI37, "V")) / ((COUNTIF(AI18:AI37, "✓") + COUNTIF(AI18:AI37, "✔") + COUNTIF(AI18:AI37, "v") + COUNTIF(AI18:AI37, "V")) + COUNTIF(AI18:AI37, "✗") + COUNTIF(AI18:AI37, "x") + COUNTIF(AI18:AI37, "X")), "")</f>
        <v/>
      </c>
      <c r="AJ39" s="133">
        <f>IF(COUNT(E39:AI39) &gt; 0, AVERAGE(E39:AI39), "")</f>
        <v/>
      </c>
      <c r="AK39" s="54" t="n"/>
      <c r="AL39" s="54" t="n"/>
    </row>
    <row r="40" ht="6" customHeight="1"/>
    <row r="41" ht="15" customHeight="1">
      <c r="A41" s="135" t="inlineStr">
        <is>
          <t>IF SUCCESS &lt; 80%, PUNISHMENT: ________________________________________________</t>
        </is>
      </c>
    </row>
    <row r="42" ht="15" customHeight="1">
      <c r="A42" s="136" t="inlineStr">
        <is>
          <t>IF SUCCESS &gt; 90%, REWARD: __________________________________________________</t>
        </is>
      </c>
    </row>
    <row r="43" ht="10" customHeight="1"/>
    <row r="44" ht="10" customHeight="1"/>
    <row r="45" ht="15" customHeight="1">
      <c r="A45" s="51" t="inlineStr">
        <is>
          <t>Sleep Tracking</t>
        </is>
      </c>
      <c r="B45" s="52" t="n"/>
      <c r="C45" s="52" t="n"/>
      <c r="D45" s="52" t="n"/>
      <c r="E45" s="137" t="n">
        <v>1</v>
      </c>
      <c r="F45" s="137" t="n">
        <v>2</v>
      </c>
      <c r="G45" s="137" t="n">
        <v>3</v>
      </c>
      <c r="H45" s="138" t="n">
        <v>4</v>
      </c>
      <c r="I45" s="137" t="n">
        <v>5</v>
      </c>
      <c r="J45" s="137" t="n">
        <v>6</v>
      </c>
      <c r="K45" s="137" t="n">
        <v>7</v>
      </c>
      <c r="L45" s="137" t="n">
        <v>8</v>
      </c>
      <c r="M45" s="137" t="n">
        <v>9</v>
      </c>
      <c r="N45" s="137" t="n">
        <v>10</v>
      </c>
      <c r="O45" s="138" t="n">
        <v>11</v>
      </c>
      <c r="P45" s="137" t="n">
        <v>12</v>
      </c>
      <c r="Q45" s="137" t="n">
        <v>13</v>
      </c>
      <c r="R45" s="137" t="n">
        <v>14</v>
      </c>
      <c r="S45" s="137" t="n">
        <v>15</v>
      </c>
      <c r="T45" s="137" t="n">
        <v>16</v>
      </c>
      <c r="U45" s="137" t="n">
        <v>17</v>
      </c>
      <c r="V45" s="138" t="n">
        <v>18</v>
      </c>
      <c r="W45" s="137" t="n">
        <v>19</v>
      </c>
      <c r="X45" s="137" t="n">
        <v>20</v>
      </c>
      <c r="Y45" s="137" t="n">
        <v>21</v>
      </c>
      <c r="Z45" s="137" t="n">
        <v>22</v>
      </c>
      <c r="AA45" s="137" t="n">
        <v>23</v>
      </c>
      <c r="AB45" s="137" t="n">
        <v>24</v>
      </c>
      <c r="AC45" s="138" t="n">
        <v>25</v>
      </c>
      <c r="AD45" s="137" t="n">
        <v>26</v>
      </c>
      <c r="AE45" s="137" t="n">
        <v>27</v>
      </c>
      <c r="AF45" s="137" t="n">
        <v>28</v>
      </c>
      <c r="AG45" s="137" t="n">
        <v>29</v>
      </c>
      <c r="AH45" s="137" t="n">
        <v>30</v>
      </c>
      <c r="AI45" s="137" t="n">
        <v>31</v>
      </c>
    </row>
    <row r="46" ht="15" customHeight="1">
      <c r="A46" s="52" t="n"/>
      <c r="B46" s="52" t="n"/>
      <c r="C46" s="52" t="n"/>
      <c r="D46" s="52" t="n"/>
      <c r="E46" s="139" t="inlineStr">
        <is>
          <t>Th</t>
        </is>
      </c>
      <c r="F46" s="139" t="inlineStr">
        <is>
          <t>F</t>
        </is>
      </c>
      <c r="G46" s="139" t="inlineStr">
        <is>
          <t>Sa</t>
        </is>
      </c>
      <c r="H46" s="140" t="inlineStr">
        <is>
          <t>Su</t>
        </is>
      </c>
      <c r="I46" s="139" t="inlineStr">
        <is>
          <t>M</t>
        </is>
      </c>
      <c r="J46" s="139" t="inlineStr">
        <is>
          <t>T</t>
        </is>
      </c>
      <c r="K46" s="139" t="inlineStr">
        <is>
          <t>W</t>
        </is>
      </c>
      <c r="L46" s="139" t="inlineStr">
        <is>
          <t>Th</t>
        </is>
      </c>
      <c r="M46" s="139" t="inlineStr">
        <is>
          <t>F</t>
        </is>
      </c>
      <c r="N46" s="139" t="inlineStr">
        <is>
          <t>Sa</t>
        </is>
      </c>
      <c r="O46" s="140" t="inlineStr">
        <is>
          <t>Su</t>
        </is>
      </c>
      <c r="P46" s="139" t="inlineStr">
        <is>
          <t>M</t>
        </is>
      </c>
      <c r="Q46" s="139" t="inlineStr">
        <is>
          <t>T</t>
        </is>
      </c>
      <c r="R46" s="139" t="inlineStr">
        <is>
          <t>W</t>
        </is>
      </c>
      <c r="S46" s="139" t="inlineStr">
        <is>
          <t>Th</t>
        </is>
      </c>
      <c r="T46" s="139" t="inlineStr">
        <is>
          <t>F</t>
        </is>
      </c>
      <c r="U46" s="139" t="inlineStr">
        <is>
          <t>Sa</t>
        </is>
      </c>
      <c r="V46" s="140" t="inlineStr">
        <is>
          <t>Su</t>
        </is>
      </c>
      <c r="W46" s="139" t="inlineStr">
        <is>
          <t>M</t>
        </is>
      </c>
      <c r="X46" s="139" t="inlineStr">
        <is>
          <t>T</t>
        </is>
      </c>
      <c r="Y46" s="139" t="inlineStr">
        <is>
          <t>W</t>
        </is>
      </c>
      <c r="Z46" s="139" t="inlineStr">
        <is>
          <t>Th</t>
        </is>
      </c>
      <c r="AA46" s="139" t="inlineStr">
        <is>
          <t>F</t>
        </is>
      </c>
      <c r="AB46" s="139" t="inlineStr">
        <is>
          <t>Sa</t>
        </is>
      </c>
      <c r="AC46" s="140" t="inlineStr">
        <is>
          <t>Su</t>
        </is>
      </c>
      <c r="AD46" s="139" t="inlineStr">
        <is>
          <t>M</t>
        </is>
      </c>
      <c r="AE46" s="139" t="inlineStr">
        <is>
          <t>T</t>
        </is>
      </c>
      <c r="AF46" s="139" t="inlineStr">
        <is>
          <t>W</t>
        </is>
      </c>
      <c r="AG46" s="139" t="inlineStr">
        <is>
          <t>Th</t>
        </is>
      </c>
      <c r="AH46" s="139" t="inlineStr">
        <is>
          <t>F</t>
        </is>
      </c>
      <c r="AI46" s="139" t="inlineStr">
        <is>
          <t>Sa</t>
        </is>
      </c>
    </row>
    <row r="47" ht="20" customHeight="1">
      <c r="A47" s="141" t="inlineStr">
        <is>
          <t>Sleep Hours (1-24)</t>
        </is>
      </c>
      <c r="B47" s="142" t="n"/>
      <c r="C47" s="142" t="n"/>
      <c r="D47" s="142" t="n"/>
      <c r="E47" s="143" t="n"/>
      <c r="F47" s="143" t="n"/>
      <c r="G47" s="143" t="n"/>
      <c r="H47" s="144" t="n"/>
      <c r="I47" s="143" t="n"/>
      <c r="J47" s="143" t="n"/>
      <c r="K47" s="143" t="n"/>
      <c r="L47" s="143" t="n"/>
      <c r="M47" s="143" t="n"/>
      <c r="N47" s="143" t="n"/>
      <c r="O47" s="144" t="n"/>
      <c r="P47" s="143" t="n"/>
      <c r="Q47" s="143" t="n"/>
      <c r="R47" s="143" t="n"/>
      <c r="S47" s="143" t="n"/>
      <c r="T47" s="143" t="n"/>
      <c r="U47" s="143" t="n"/>
      <c r="V47" s="144" t="n"/>
      <c r="W47" s="143" t="n"/>
      <c r="X47" s="143" t="n"/>
      <c r="Y47" s="143" t="n"/>
      <c r="Z47" s="143" t="n"/>
      <c r="AA47" s="143" t="n"/>
      <c r="AB47" s="143" t="n"/>
      <c r="AC47" s="144" t="n"/>
      <c r="AD47" s="143" t="n"/>
      <c r="AE47" s="143" t="n"/>
      <c r="AF47" s="143" t="n"/>
      <c r="AG47" s="143" t="n"/>
      <c r="AH47" s="143" t="n"/>
      <c r="AI47" s="143" t="n"/>
    </row>
    <row r="48" ht="6" customHeight="1"/>
    <row r="49" ht="14" customHeight="1"/>
    <row r="50" ht="14" customHeight="1"/>
    <row r="51" ht="14" customHeight="1"/>
    <row r="52" ht="14" customHeight="1"/>
    <row r="53" ht="14" customHeight="1"/>
    <row r="54" ht="14" customHeight="1"/>
    <row r="55" ht="14" customHeight="1"/>
    <row r="56" ht="14" customHeight="1"/>
    <row r="57" ht="14" customHeight="1"/>
    <row r="58" ht="14" customHeight="1"/>
    <row r="59" ht="14" customHeight="1"/>
    <row r="60" ht="14" customHeight="1"/>
    <row r="61" ht="14" customHeight="1"/>
    <row r="62" ht="14" customHeight="1"/>
    <row r="63" ht="14" customHeight="1"/>
    <row r="64" ht="14" customHeight="1"/>
    <row r="65" ht="14" customHeight="1"/>
    <row r="66" ht="8" customHeight="1"/>
    <row r="67">
      <c r="A67" s="145" t="inlineStr">
        <is>
          <t>MONTHLY SUCCESS RATE</t>
        </is>
      </c>
      <c r="B67" s="9" t="n"/>
      <c r="C67" s="9" t="n"/>
      <c r="D67" s="9" t="n"/>
      <c r="F67" s="146" t="inlineStr">
        <is>
          <t>ACTIVE PROTOCOLS</t>
        </is>
      </c>
      <c r="G67" s="11" t="n"/>
      <c r="H67" s="11" t="n"/>
      <c r="I67" s="11" t="n"/>
      <c r="K67" s="147" t="inlineStr">
        <is>
          <t>PERFECT DAYS (100%)</t>
        </is>
      </c>
      <c r="L67" s="13" t="n"/>
      <c r="M67" s="13" t="n"/>
      <c r="N67" s="13" t="n"/>
      <c r="P67" s="148" t="inlineStr">
        <is>
          <t>AVG SLEEP DURATION</t>
        </is>
      </c>
      <c r="Q67" s="15" t="n"/>
      <c r="R67" s="15" t="n"/>
      <c r="S67" s="15" t="n"/>
    </row>
    <row r="68">
      <c r="A68" s="149">
        <f>IF(SUM(D18:D37)&gt;0, SUM(AM18:AM37)/SUM(D18:D37), 0)</f>
        <v/>
      </c>
      <c r="B68" s="9" t="n"/>
      <c r="C68" s="9" t="n"/>
      <c r="D68" s="9" t="n"/>
      <c r="F68" s="150">
        <f>COUNTA(B18:B37) &amp; " / 20"</f>
        <v/>
      </c>
      <c r="G68" s="11" t="n"/>
      <c r="H68" s="11" t="n"/>
      <c r="I68" s="11" t="n"/>
      <c r="K68" s="151">
        <f>COUNTIF(E39:AI39, 1) &amp; " Days"</f>
        <v/>
      </c>
      <c r="L68" s="13" t="n"/>
      <c r="M68" s="13" t="n"/>
      <c r="N68" s="13" t="n"/>
      <c r="P68" s="152">
        <f>IFERROR(TEXT(AVERAGE(E47:AI47), "0.0") &amp; " hrs", "-")</f>
        <v/>
      </c>
      <c r="Q68" s="15" t="n"/>
      <c r="R68" s="15" t="n"/>
      <c r="S68" s="15" t="n"/>
    </row>
    <row r="69">
      <c r="A69" s="9" t="n"/>
      <c r="B69" s="9" t="n"/>
      <c r="C69" s="9" t="n"/>
      <c r="D69" s="9" t="n"/>
      <c r="F69" s="11" t="n"/>
      <c r="G69" s="11" t="n"/>
      <c r="H69" s="11" t="n"/>
      <c r="I69" s="11" t="n"/>
      <c r="K69" s="13" t="n"/>
      <c r="L69" s="13" t="n"/>
      <c r="M69" s="13" t="n"/>
      <c r="N69" s="13" t="n"/>
      <c r="P69" s="15" t="n"/>
      <c r="Q69" s="15" t="n"/>
      <c r="R69" s="15" t="n"/>
      <c r="S69" s="15" t="n"/>
    </row>
    <row r="70">
      <c r="A70" s="9" t="n"/>
      <c r="B70" s="9" t="n"/>
      <c r="C70" s="9" t="n"/>
      <c r="D70" s="9" t="n"/>
      <c r="F70" s="11" t="n"/>
      <c r="G70" s="11" t="n"/>
      <c r="H70" s="11" t="n"/>
      <c r="I70" s="11" t="n"/>
      <c r="K70" s="13" t="n"/>
      <c r="L70" s="13" t="n"/>
      <c r="M70" s="13" t="n"/>
      <c r="N70" s="13" t="n"/>
      <c r="P70" s="15" t="n"/>
      <c r="Q70" s="15" t="n"/>
      <c r="R70" s="15" t="n"/>
      <c r="S70" s="15" t="n"/>
    </row>
    <row r="71">
      <c r="A71" s="153" t="inlineStr">
        <is>
          <t>Target Completion</t>
        </is>
      </c>
      <c r="B71" s="9" t="n"/>
      <c r="C71" s="9" t="n"/>
      <c r="D71" s="9" t="n"/>
      <c r="F71" s="154" t="inlineStr">
        <is>
          <t>Habits Tracked</t>
        </is>
      </c>
      <c r="G71" s="11" t="n"/>
      <c r="H71" s="11" t="n"/>
      <c r="I71" s="11" t="n"/>
      <c r="K71" s="155" t="inlineStr">
        <is>
          <t>All Marked Habits Completed</t>
        </is>
      </c>
      <c r="L71" s="13" t="n"/>
      <c r="M71" s="13" t="n"/>
      <c r="N71" s="13" t="n"/>
      <c r="P71" s="156" t="inlineStr">
        <is>
          <t>Nightly Rest Average</t>
        </is>
      </c>
      <c r="Q71" s="15" t="n"/>
      <c r="R71" s="15" t="n"/>
      <c r="S71" s="15" t="n"/>
    </row>
    <row r="72" ht="8" customHeight="1"/>
    <row r="73" ht="6" customHeight="1"/>
    <row r="74">
      <c r="A74" s="67" t="inlineStr">
        <is>
          <t>WEEKLY PERFORMANCE (SLUMP DETECTOR)</t>
        </is>
      </c>
      <c r="B74" s="29" t="n"/>
      <c r="C74" s="29" t="n"/>
      <c r="D74" s="29" t="n"/>
      <c r="E74" s="29" t="n"/>
      <c r="N74" s="157" t="inlineStr">
        <is>
          <t>LIFE DOMAIN / CATEGORY BREAKDOWN</t>
        </is>
      </c>
      <c r="O74" s="158" t="n"/>
      <c r="P74" s="158" t="n"/>
      <c r="Q74" s="158" t="n"/>
      <c r="R74" s="158" t="n"/>
      <c r="S74" s="158" t="n"/>
    </row>
    <row r="75" ht="15" customHeight="1">
      <c r="A75" s="53" t="inlineStr">
        <is>
          <t>Week</t>
        </is>
      </c>
      <c r="B75" s="53" t="inlineStr">
        <is>
          <t>Days Range</t>
        </is>
      </c>
      <c r="C75" s="53" t="inlineStr">
        <is>
          <t>Checks Done</t>
        </is>
      </c>
      <c r="D75" s="53" t="inlineStr">
        <is>
          <t>Evaluated</t>
        </is>
      </c>
      <c r="E75" s="53" t="inlineStr">
        <is>
          <t>Success %</t>
        </is>
      </c>
      <c r="N75" s="53" t="inlineStr">
        <is>
          <t>Domain / Category</t>
        </is>
      </c>
      <c r="O75" s="54" t="n"/>
      <c r="P75" s="53" t="inlineStr">
        <is>
          <t>Active Habits</t>
        </is>
      </c>
      <c r="Q75" s="53" t="inlineStr">
        <is>
          <t>Target Days</t>
        </is>
      </c>
      <c r="R75" s="53" t="inlineStr">
        <is>
          <t>Done Checks</t>
        </is>
      </c>
      <c r="S75" s="53" t="inlineStr">
        <is>
          <t>Success %</t>
        </is>
      </c>
    </row>
    <row r="76" ht="14" customHeight="1">
      <c r="A76" s="33" t="inlineStr">
        <is>
          <t>Week 1</t>
        </is>
      </c>
      <c r="B76" s="34" t="inlineStr">
        <is>
          <t>Days 1 - 7</t>
        </is>
      </c>
      <c r="C76" s="34">
        <f>COUNTIF(E18:K37, "✓")</f>
        <v/>
      </c>
      <c r="D76" s="34">
        <f>COUNTIF(E18:K37, "✓") + COUNTIF(E18:K37, "✗")</f>
        <v/>
      </c>
      <c r="E76" s="35">
        <f>IFERROR(C76/D76, 0)</f>
        <v/>
      </c>
      <c r="N76" s="60" t="inlineStr">
        <is>
          <t>Health &amp; Fitness</t>
        </is>
      </c>
      <c r="O76" s="54" t="n"/>
      <c r="P76" s="34">
        <f>COUNTIF($C$18:$C$37, "Health &amp; Fitness")</f>
        <v/>
      </c>
      <c r="Q76" s="34">
        <f>SUMIF($C$18:$C$37, "Health &amp; Fitness", $D$18:$D$37)</f>
        <v/>
      </c>
      <c r="R76" s="34">
        <f>SUMIF($C$18:$C$37, "Health &amp; Fitness", $AM$18:$AM$37)</f>
        <v/>
      </c>
      <c r="S76" s="35">
        <f>IFERROR(R76/Q76, 0)</f>
        <v/>
      </c>
    </row>
    <row r="77" ht="14" customHeight="1">
      <c r="A77" s="33" t="inlineStr">
        <is>
          <t>Week 2</t>
        </is>
      </c>
      <c r="B77" s="34" t="inlineStr">
        <is>
          <t>Days 8 - 14</t>
        </is>
      </c>
      <c r="C77" s="34">
        <f>COUNTIF(L18:R37, "✓")</f>
        <v/>
      </c>
      <c r="D77" s="34">
        <f>COUNTIF(L18:R37, "✓") + COUNTIF(L18:R37, "✗")</f>
        <v/>
      </c>
      <c r="E77" s="35">
        <f>IFERROR(C77/D77, 0)</f>
        <v/>
      </c>
      <c r="N77" s="60" t="inlineStr">
        <is>
          <t>Mindset &amp; Learning</t>
        </is>
      </c>
      <c r="O77" s="54" t="n"/>
      <c r="P77" s="34">
        <f>COUNTIF($C$18:$C$37, "Mindset &amp; Learning")</f>
        <v/>
      </c>
      <c r="Q77" s="34">
        <f>SUMIF($C$18:$C$37, "Mindset &amp; Learning", $D$18:$D$37)</f>
        <v/>
      </c>
      <c r="R77" s="34">
        <f>SUMIF($C$18:$C$37, "Mindset &amp; Learning", $AM$18:$AM$37)</f>
        <v/>
      </c>
      <c r="S77" s="35">
        <f>IFERROR(R77/Q77, 0)</f>
        <v/>
      </c>
    </row>
    <row r="78" ht="14" customHeight="1">
      <c r="A78" s="33" t="inlineStr">
        <is>
          <t>Week 3</t>
        </is>
      </c>
      <c r="B78" s="34" t="inlineStr">
        <is>
          <t>Days 15 - 21</t>
        </is>
      </c>
      <c r="C78" s="34">
        <f>COUNTIF(S18:Y37, "✓")</f>
        <v/>
      </c>
      <c r="D78" s="34">
        <f>COUNTIF(S18:Y37, "✓") + COUNTIF(S18:Y37, "✗")</f>
        <v/>
      </c>
      <c r="E78" s="35">
        <f>IFERROR(C78/D78, 0)</f>
        <v/>
      </c>
      <c r="N78" s="60" t="inlineStr">
        <is>
          <t>Career &amp; Focus</t>
        </is>
      </c>
      <c r="O78" s="54" t="n"/>
      <c r="P78" s="34">
        <f>COUNTIF($C$18:$C$37, "Career &amp; Focus")</f>
        <v/>
      </c>
      <c r="Q78" s="34">
        <f>SUMIF($C$18:$C$37, "Career &amp; Focus", $D$18:$D$37)</f>
        <v/>
      </c>
      <c r="R78" s="34">
        <f>SUMIF($C$18:$C$37, "Career &amp; Focus", $AM$18:$AM$37)</f>
        <v/>
      </c>
      <c r="S78" s="35">
        <f>IFERROR(R78/Q78, 0)</f>
        <v/>
      </c>
    </row>
    <row r="79" ht="14" customHeight="1">
      <c r="A79" s="33" t="inlineStr">
        <is>
          <t>Week 4</t>
        </is>
      </c>
      <c r="B79" s="34" t="inlineStr">
        <is>
          <t>Days 22 - 28</t>
        </is>
      </c>
      <c r="C79" s="34">
        <f>COUNTIF(Z18:AF37, "✓")</f>
        <v/>
      </c>
      <c r="D79" s="34">
        <f>COUNTIF(Z18:AF37, "✓") + COUNTIF(Z18:AF37, "✗")</f>
        <v/>
      </c>
      <c r="E79" s="35">
        <f>IFERROR(C79/D79, 0)</f>
        <v/>
      </c>
      <c r="N79" s="60" t="inlineStr">
        <is>
          <t>Personal &amp; Home</t>
        </is>
      </c>
      <c r="O79" s="54" t="n"/>
      <c r="P79" s="34">
        <f>COUNTIF($C$18:$C$37, "Personal &amp; Home")</f>
        <v/>
      </c>
      <c r="Q79" s="34">
        <f>SUMIF($C$18:$C$37, "Personal &amp; Home", $D$18:$D$37)</f>
        <v/>
      </c>
      <c r="R79" s="34">
        <f>SUMIF($C$18:$C$37, "Personal &amp; Home", $AM$18:$AM$37)</f>
        <v/>
      </c>
      <c r="S79" s="35">
        <f>IFERROR(R79/Q79, 0)</f>
        <v/>
      </c>
    </row>
    <row r="80" ht="14" customHeight="1">
      <c r="A80" s="33" t="inlineStr">
        <is>
          <t>Week 5</t>
        </is>
      </c>
      <c r="B80" s="34" t="inlineStr">
        <is>
          <t>Days 29 - 31</t>
        </is>
      </c>
      <c r="C80" s="34">
        <f>COUNTIF(AG18:AI37, "✓")</f>
        <v/>
      </c>
      <c r="D80" s="34">
        <f>COUNTIF(AG18:AI37, "✓") + COUNTIF(AG18:AI37, "✗")</f>
        <v/>
      </c>
      <c r="E80" s="35">
        <f>IFERROR(C80/D80, 0)</f>
        <v/>
      </c>
      <c r="N80" s="60" t="inlineStr">
        <is>
          <t>Finance &amp; Wealth</t>
        </is>
      </c>
      <c r="O80" s="54" t="n"/>
      <c r="P80" s="34">
        <f>COUNTIF($C$18:$C$37, "Finance &amp; Wealth")</f>
        <v/>
      </c>
      <c r="Q80" s="34">
        <f>SUMIF($C$18:$C$37, "Finance &amp; Wealth", $D$18:$D$37)</f>
        <v/>
      </c>
      <c r="R80" s="34">
        <f>SUMIF($C$18:$C$37, "Finance &amp; Wealth", $AM$18:$AM$37)</f>
        <v/>
      </c>
      <c r="S80" s="35">
        <f>IFERROR(R80/Q80, 0)</f>
        <v/>
      </c>
    </row>
    <row r="81" ht="14" customHeight="1">
      <c r="A81" s="33" t="inlineStr">
        <is>
          <t>Total / Avg</t>
        </is>
      </c>
      <c r="B81" s="159" t="inlineStr">
        <is>
          <t>Month Total</t>
        </is>
      </c>
      <c r="C81" s="33">
        <f>SUM(C76:C80)</f>
        <v/>
      </c>
      <c r="D81" s="33">
        <f>SUM(D76:D80)</f>
        <v/>
      </c>
      <c r="E81" s="133">
        <f>IFERROR(C81/D81, 0)</f>
        <v/>
      </c>
    </row>
    <row r="82" ht="10" customHeight="1"/>
    <row r="83" ht="10" customHeight="1"/>
    <row r="84">
      <c r="A84" s="51" t="inlineStr">
        <is>
          <t>SLEEP &amp; PRODUCTIVITY CORRELATION ANALYSIS</t>
        </is>
      </c>
      <c r="B84" s="52" t="n"/>
      <c r="C84" s="52" t="n"/>
      <c r="D84" s="52" t="n"/>
      <c r="E84" s="52" t="n"/>
      <c r="F84" s="52" t="n"/>
      <c r="G84" s="52" t="n"/>
      <c r="H84" s="52" t="n"/>
      <c r="I84" s="52" t="n"/>
      <c r="J84" s="52" t="n"/>
      <c r="K84" s="52" t="n"/>
      <c r="L84" s="52" t="n"/>
      <c r="M84" s="52" t="n"/>
      <c r="N84" s="52" t="n"/>
      <c r="O84" s="52" t="n"/>
      <c r="P84" s="52" t="n"/>
      <c r="Q84" s="52" t="n"/>
      <c r="R84" s="52" t="n"/>
      <c r="S84" s="52" t="n"/>
      <c r="T84" s="52" t="n"/>
      <c r="U84" s="52" t="n"/>
      <c r="V84" s="52" t="n"/>
      <c r="W84" s="52" t="n"/>
      <c r="X84" s="52" t="n"/>
      <c r="Y84" s="52" t="n"/>
      <c r="Z84" s="52" t="n"/>
      <c r="AA84" s="52" t="n"/>
      <c r="AB84" s="52" t="n"/>
      <c r="AC84" s="52" t="n"/>
      <c r="AD84" s="52" t="n"/>
      <c r="AE84" s="52" t="n"/>
      <c r="AF84" s="52" t="n"/>
      <c r="AG84" s="52" t="n"/>
      <c r="AH84" s="52" t="n"/>
      <c r="AI84" s="52" t="n"/>
      <c r="AJ84" s="52" t="n"/>
      <c r="AK84" s="52" t="n"/>
      <c r="AL84" s="52" t="n"/>
    </row>
    <row r="85" ht="15" customHeight="1">
      <c r="A85" s="53" t="inlineStr">
        <is>
          <t>Rest Category</t>
        </is>
      </c>
      <c r="B85" s="54" t="n"/>
      <c r="C85" s="54" t="n"/>
      <c r="D85" s="53" t="inlineStr">
        <is>
          <t>Day Criteria</t>
        </is>
      </c>
      <c r="E85" s="54" t="n"/>
      <c r="F85" s="54" t="n"/>
      <c r="G85" s="53" t="inlineStr">
        <is>
          <t>Days Logged</t>
        </is>
      </c>
      <c r="H85" s="54" t="n"/>
      <c r="I85" s="54" t="n"/>
      <c r="J85" s="53" t="inlineStr">
        <is>
          <t>Avg Sleep Duration</t>
        </is>
      </c>
      <c r="K85" s="54" t="n"/>
      <c r="L85" s="54" t="n"/>
      <c r="M85" s="54" t="n"/>
      <c r="N85" s="53" t="inlineStr">
        <is>
          <t>Avg Habit Success %</t>
        </is>
      </c>
      <c r="O85" s="54" t="n"/>
      <c r="P85" s="54" t="n"/>
      <c r="Q85" s="54" t="n"/>
      <c r="R85" s="53" t="inlineStr">
        <is>
          <t>Productivity Delta</t>
        </is>
      </c>
      <c r="S85" s="54" t="n"/>
      <c r="T85" s="54" t="n"/>
      <c r="U85" s="54" t="n"/>
    </row>
    <row r="86" ht="15" customHeight="1">
      <c r="A86" s="160" t="inlineStr">
        <is>
          <t>Optimal Rest</t>
        </is>
      </c>
      <c r="B86" s="161" t="n"/>
      <c r="C86" s="56" t="n"/>
      <c r="D86" s="34" t="inlineStr">
        <is>
          <t>&gt;= 7 Hours / Night</t>
        </is>
      </c>
      <c r="E86" s="161" t="n"/>
      <c r="F86" s="56" t="n"/>
      <c r="G86" s="33">
        <f>COUNTIF(E47:AI47, "&gt;=7")</f>
        <v/>
      </c>
      <c r="H86" s="161" t="n"/>
      <c r="I86" s="56" t="n"/>
      <c r="J86" s="34">
        <f>IFERROR(TEXT(AVERAGEIF(E47:AI47, "&gt;=7"), "0.0") &amp; " hrs", "-")</f>
        <v/>
      </c>
      <c r="K86" s="161" t="n"/>
      <c r="L86" s="161" t="n"/>
      <c r="M86" s="56" t="n"/>
      <c r="N86" s="42">
        <f>IFERROR(AVERAGEIFS(E39:AI39, E47:AI47, "&gt;=7", E39:AI39, "&gt;0"), 0)</f>
        <v/>
      </c>
      <c r="O86" s="161" t="n"/>
      <c r="P86" s="161" t="n"/>
      <c r="Q86" s="56" t="n"/>
      <c r="R86" s="159" t="inlineStr">
        <is>
          <t>Baseline (Target)</t>
        </is>
      </c>
      <c r="S86" s="161" t="n"/>
      <c r="T86" s="161" t="n"/>
      <c r="U86" s="56" t="n"/>
    </row>
    <row r="87" ht="15" customHeight="1">
      <c r="A87" s="162" t="inlineStr">
        <is>
          <t>Sleep Deficit</t>
        </is>
      </c>
      <c r="B87" s="161" t="n"/>
      <c r="C87" s="56" t="n"/>
      <c r="D87" s="34" t="inlineStr">
        <is>
          <t>&lt; 7 Hours / Night</t>
        </is>
      </c>
      <c r="E87" s="161" t="n"/>
      <c r="F87" s="56" t="n"/>
      <c r="G87" s="33">
        <f>COUNTIF(E47:AI47, "&lt;7") - COUNTIF(E47:AI47, "")</f>
        <v/>
      </c>
      <c r="H87" s="161" t="n"/>
      <c r="I87" s="56" t="n"/>
      <c r="J87" s="34">
        <f>IFERROR(TEXT(AVERAGEIFS(E47:AI47, E47:AI47, "&lt;7", E47:AI47, "&gt;0"), "0.0") &amp; " hrs", "-")</f>
        <v/>
      </c>
      <c r="K87" s="161" t="n"/>
      <c r="L87" s="161" t="n"/>
      <c r="M87" s="56" t="n"/>
      <c r="N87" s="163">
        <f>IFERROR(AVERAGEIFS(E39:AI39, E47:AI47, "&lt;7", E39:AI39, "&gt;0"), 0)</f>
        <v/>
      </c>
      <c r="O87" s="161" t="n"/>
      <c r="P87" s="161" t="n"/>
      <c r="Q87" s="56" t="n"/>
      <c r="R87" s="160">
        <f>IFERROR(TEXT(N86 - N87, "+0.0%;-0.0%;0.0%") &amp; " Rest Advantage", "-")</f>
        <v/>
      </c>
      <c r="S87" s="161" t="n"/>
      <c r="T87" s="161" t="n"/>
      <c r="U87" s="56" t="n"/>
    </row>
    <row r="88" ht="18" customHeight="1">
      <c r="A88" s="164">
        <f>IF(AND(ISNUMBER(N86), ISNUMBER(N87), N86&gt;0, N87&gt;0), "💡 Sleep Correlation Insight: You complete " &amp; TEXT(ABS(N86-N87), "0.0%") &amp; IF(N86&gt;=N87, " MORE habits on days with 7+ hours of sleep!", " fewer habits on days with 7+ hours of sleep."), "💡 Log both habits and sleep hours daily to unlock automatic AI correlation insights!")</f>
        <v/>
      </c>
      <c r="B88" s="161" t="n"/>
      <c r="C88" s="161" t="n"/>
      <c r="D88" s="161" t="n"/>
      <c r="E88" s="161" t="n"/>
      <c r="F88" s="161" t="n"/>
      <c r="G88" s="161" t="n"/>
      <c r="H88" s="161" t="n"/>
      <c r="I88" s="161" t="n"/>
      <c r="J88" s="161" t="n"/>
      <c r="K88" s="161" t="n"/>
      <c r="L88" s="161" t="n"/>
      <c r="M88" s="161" t="n"/>
      <c r="N88" s="161" t="n"/>
      <c r="O88" s="161" t="n"/>
      <c r="P88" s="161" t="n"/>
      <c r="Q88" s="161" t="n"/>
      <c r="R88" s="161" t="n"/>
      <c r="S88" s="161" t="n"/>
      <c r="T88" s="161" t="n"/>
      <c r="U88" s="161" t="n"/>
      <c r="V88" s="161" t="n"/>
      <c r="W88" s="161" t="n"/>
      <c r="X88" s="161" t="n"/>
      <c r="Y88" s="161" t="n"/>
      <c r="Z88" s="161" t="n"/>
      <c r="AA88" s="161" t="n"/>
      <c r="AB88" s="161" t="n"/>
      <c r="AC88" s="161" t="n"/>
      <c r="AD88" s="161" t="n"/>
      <c r="AE88" s="161" t="n"/>
      <c r="AF88" s="161" t="n"/>
      <c r="AG88" s="161" t="n"/>
      <c r="AH88" s="161" t="n"/>
      <c r="AI88" s="161" t="n"/>
      <c r="AJ88" s="161" t="n"/>
      <c r="AK88" s="161" t="n"/>
      <c r="AL88" s="56" t="n"/>
    </row>
    <row r="89" ht="10" customHeight="1"/>
    <row r="90">
      <c r="A90" s="43" t="inlineStr">
        <is>
          <t>STANDARDIZED DATA BRIDGE (FOR ANNUAL &amp; QUARTERLY REVIEW SHEETS)</t>
        </is>
      </c>
      <c r="B90" s="44" t="n"/>
      <c r="C90" s="44" t="n"/>
      <c r="D90" s="44" t="n"/>
      <c r="E90" s="44" t="n"/>
      <c r="F90" s="44" t="n"/>
      <c r="G90" s="44" t="n"/>
      <c r="H90" s="44" t="n"/>
      <c r="I90" s="44" t="n"/>
      <c r="J90" s="44" t="n"/>
      <c r="K90" s="44" t="n"/>
      <c r="L90" s="44" t="n"/>
      <c r="M90" s="44" t="n"/>
      <c r="N90" s="44" t="n"/>
      <c r="O90" s="44" t="n"/>
      <c r="P90" s="44" t="n"/>
      <c r="Q90" s="44" t="n"/>
      <c r="R90" s="44" t="n"/>
      <c r="S90" s="44" t="n"/>
      <c r="T90" s="44" t="n"/>
      <c r="U90" s="44" t="n"/>
      <c r="V90" s="44" t="n"/>
      <c r="W90" s="44" t="n"/>
      <c r="X90" s="44" t="n"/>
      <c r="Y90" s="44" t="n"/>
      <c r="Z90" s="44" t="n"/>
      <c r="AA90" s="44" t="n"/>
      <c r="AB90" s="44" t="n"/>
      <c r="AC90" s="44" t="n"/>
      <c r="AD90" s="44" t="n"/>
      <c r="AE90" s="44" t="n"/>
      <c r="AF90" s="44" t="n"/>
      <c r="AG90" s="44" t="n"/>
      <c r="AH90" s="44" t="n"/>
      <c r="AI90" s="44" t="n"/>
      <c r="AJ90" s="44" t="n"/>
      <c r="AK90" s="44" t="n"/>
      <c r="AL90" s="44" t="n"/>
    </row>
    <row r="91" ht="15" customHeight="1">
      <c r="A91" s="53" t="inlineStr">
        <is>
          <t>Month</t>
        </is>
      </c>
      <c r="B91" s="54" t="n"/>
      <c r="C91" s="53" t="inlineStr">
        <is>
          <t>Year</t>
        </is>
      </c>
      <c r="D91" s="54" t="n"/>
      <c r="E91" s="53" t="inlineStr">
        <is>
          <t>Active Habits</t>
        </is>
      </c>
      <c r="F91" s="54" t="n"/>
      <c r="G91" s="53" t="inlineStr">
        <is>
          <t>Target Days</t>
        </is>
      </c>
      <c r="H91" s="54" t="n"/>
      <c r="I91" s="53" t="inlineStr">
        <is>
          <t>Done Checks</t>
        </is>
      </c>
      <c r="J91" s="54" t="n"/>
      <c r="K91" s="53" t="inlineStr">
        <is>
          <t>Success %</t>
        </is>
      </c>
      <c r="L91" s="54" t="n"/>
      <c r="M91" s="53" t="inlineStr">
        <is>
          <t>Perfect Days</t>
        </is>
      </c>
      <c r="N91" s="54" t="n"/>
      <c r="O91" s="53" t="inlineStr">
        <is>
          <t>Avg Sleep</t>
        </is>
      </c>
      <c r="P91" s="54" t="n"/>
      <c r="Q91" s="53" t="inlineStr">
        <is>
          <t>Best Week</t>
        </is>
      </c>
      <c r="R91" s="54" t="n"/>
      <c r="S91" s="54" t="n"/>
      <c r="T91" s="53" t="inlineStr">
        <is>
          <t>Top Life Domain</t>
        </is>
      </c>
      <c r="U91" s="54" t="n"/>
      <c r="V91" s="54" t="n"/>
      <c r="W91" s="54" t="n"/>
    </row>
    <row r="92" ht="16" customHeight="1">
      <c r="A92" s="165" t="inlineStr">
        <is>
          <t>Oct</t>
        </is>
      </c>
      <c r="B92" s="56" t="n"/>
      <c r="C92" s="165" t="n">
        <v>2026</v>
      </c>
      <c r="D92" s="56" t="n"/>
      <c r="E92" s="166">
        <f>COUNTA(B18:B37)</f>
        <v/>
      </c>
      <c r="F92" s="56" t="n"/>
      <c r="G92" s="166">
        <f>SUM(D18:D37)</f>
        <v/>
      </c>
      <c r="H92" s="56" t="n"/>
      <c r="I92" s="166">
        <f>SUM(AM18:AM37)</f>
        <v/>
      </c>
      <c r="J92" s="56" t="n"/>
      <c r="K92" s="167">
        <f>IF(G92&gt;0, I92/G92, 0)</f>
        <v/>
      </c>
      <c r="L92" s="56" t="n"/>
      <c r="M92" s="166">
        <f>COUNTIF(E39:AI39, 1)</f>
        <v/>
      </c>
      <c r="N92" s="56" t="n"/>
      <c r="O92" s="168">
        <f>IFERROR(AVERAGE(E47:AI47), 0)</f>
        <v/>
      </c>
      <c r="P92" s="56" t="n"/>
      <c r="Q92" s="166">
        <f>INDEX(A76:A80, MATCH(MAX(E76:E80), E76:E80, 0))</f>
        <v/>
      </c>
      <c r="R92" s="161" t="n"/>
      <c r="S92" s="56" t="n"/>
      <c r="T92" s="166">
        <f>INDEX(N76:N80, MATCH(MAX(S76:S80), S76:S80, 0))</f>
        <v/>
      </c>
      <c r="U92" s="161" t="n"/>
      <c r="V92" s="161" t="n"/>
      <c r="W92" s="56" t="n"/>
    </row>
    <row r="93" ht="14" customHeight="1">
      <c r="A93" s="169" t="inlineStr">
        <is>
          <t>📋 Note: Reference or copy Row 92 directly into an Annual / Quarterly review dashboard to track yearly habit trends.</t>
        </is>
      </c>
    </row>
    <row r="94" ht="8" customHeight="1"/>
    <row r="95">
      <c r="A95" s="170" t="inlineStr">
        <is>
          <t>🏆 MONTHLY WINS &amp; HIGHLIGHTS</t>
        </is>
      </c>
      <c r="J95" s="171" t="inlineStr">
        <is>
          <t>⚠️ FRICTION POINTS &amp; ROOT CAUSES</t>
        </is>
      </c>
      <c r="S95" s="172" t="inlineStr">
        <is>
          <t>🎯 3 KEY ADJUSTMENTS FOR NEXT MONTH</t>
        </is>
      </c>
    </row>
    <row r="96">
      <c r="A96" s="173" t="inlineStr">
        <is>
          <t>1. What went exceptionally well this month?
2. Which habit felt effortless and consistent?
3. Major milestone achieved:</t>
        </is>
      </c>
      <c r="B96" s="174" t="n"/>
      <c r="C96" s="174" t="n"/>
      <c r="D96" s="174" t="n"/>
      <c r="E96" s="174" t="n"/>
      <c r="F96" s="174" t="n"/>
      <c r="G96" s="174" t="n"/>
      <c r="H96" s="174" t="n"/>
      <c r="J96" s="175" t="inlineStr">
        <is>
          <t>1. What caused missed or skipped days?
2. Main triggers / energy drains encountered:
3. Which habit had the lowest consistency and why?</t>
        </is>
      </c>
      <c r="K96" s="176" t="n"/>
      <c r="L96" s="176" t="n"/>
      <c r="M96" s="176" t="n"/>
      <c r="N96" s="176" t="n"/>
      <c r="O96" s="176" t="n"/>
      <c r="P96" s="176" t="n"/>
      <c r="Q96" s="176" t="n"/>
      <c r="S96" s="177" t="inlineStr">
        <is>
          <t>1. Habit Stacking or time adjustment for next month:
2. Environment design change to eliminate friction:
3. One non-negotiable priority protocol:</t>
        </is>
      </c>
      <c r="T96" s="178" t="n"/>
      <c r="U96" s="178" t="n"/>
      <c r="V96" s="178" t="n"/>
      <c r="W96" s="178" t="n"/>
      <c r="X96" s="178" t="n"/>
      <c r="Y96" s="178" t="n"/>
      <c r="Z96" s="178" t="n"/>
    </row>
    <row r="97">
      <c r="A97" s="174" t="n"/>
      <c r="B97" s="174" t="n"/>
      <c r="C97" s="174" t="n"/>
      <c r="D97" s="174" t="n"/>
      <c r="E97" s="174" t="n"/>
      <c r="F97" s="174" t="n"/>
      <c r="G97" s="174" t="n"/>
      <c r="H97" s="174" t="n"/>
      <c r="J97" s="176" t="n"/>
      <c r="K97" s="176" t="n"/>
      <c r="L97" s="176" t="n"/>
      <c r="M97" s="176" t="n"/>
      <c r="N97" s="176" t="n"/>
      <c r="O97" s="176" t="n"/>
      <c r="P97" s="176" t="n"/>
      <c r="Q97" s="176" t="n"/>
      <c r="S97" s="178" t="n"/>
      <c r="T97" s="178" t="n"/>
      <c r="U97" s="178" t="n"/>
      <c r="V97" s="178" t="n"/>
      <c r="W97" s="178" t="n"/>
      <c r="X97" s="178" t="n"/>
      <c r="Y97" s="178" t="n"/>
      <c r="Z97" s="178" t="n"/>
    </row>
    <row r="98">
      <c r="A98" s="174" t="n"/>
      <c r="B98" s="174" t="n"/>
      <c r="C98" s="174" t="n"/>
      <c r="D98" s="174" t="n"/>
      <c r="E98" s="174" t="n"/>
      <c r="F98" s="174" t="n"/>
      <c r="G98" s="174" t="n"/>
      <c r="H98" s="174" t="n"/>
      <c r="J98" s="176" t="n"/>
      <c r="K98" s="176" t="n"/>
      <c r="L98" s="176" t="n"/>
      <c r="M98" s="176" t="n"/>
      <c r="N98" s="176" t="n"/>
      <c r="O98" s="176" t="n"/>
      <c r="P98" s="176" t="n"/>
      <c r="Q98" s="176" t="n"/>
      <c r="S98" s="178" t="n"/>
      <c r="T98" s="178" t="n"/>
      <c r="U98" s="178" t="n"/>
      <c r="V98" s="178" t="n"/>
      <c r="W98" s="178" t="n"/>
      <c r="X98" s="178" t="n"/>
      <c r="Y98" s="178" t="n"/>
      <c r="Z98" s="178" t="n"/>
    </row>
    <row r="99">
      <c r="A99" s="174" t="n"/>
      <c r="B99" s="174" t="n"/>
      <c r="C99" s="174" t="n"/>
      <c r="D99" s="174" t="n"/>
      <c r="E99" s="174" t="n"/>
      <c r="F99" s="174" t="n"/>
      <c r="G99" s="174" t="n"/>
      <c r="H99" s="174" t="n"/>
      <c r="J99" s="176" t="n"/>
      <c r="K99" s="176" t="n"/>
      <c r="L99" s="176" t="n"/>
      <c r="M99" s="176" t="n"/>
      <c r="N99" s="176" t="n"/>
      <c r="O99" s="176" t="n"/>
      <c r="P99" s="176" t="n"/>
      <c r="Q99" s="176" t="n"/>
      <c r="S99" s="178" t="n"/>
      <c r="T99" s="178" t="n"/>
      <c r="U99" s="178" t="n"/>
      <c r="V99" s="178" t="n"/>
      <c r="W99" s="178" t="n"/>
      <c r="X99" s="178" t="n"/>
      <c r="Y99" s="178" t="n"/>
      <c r="Z99" s="178" t="n"/>
    </row>
    <row r="100">
      <c r="A100" s="174" t="n"/>
      <c r="B100" s="174" t="n"/>
      <c r="C100" s="174" t="n"/>
      <c r="D100" s="174" t="n"/>
      <c r="E100" s="174" t="n"/>
      <c r="F100" s="174" t="n"/>
      <c r="G100" s="174" t="n"/>
      <c r="H100" s="174" t="n"/>
      <c r="J100" s="176" t="n"/>
      <c r="K100" s="176" t="n"/>
      <c r="L100" s="176" t="n"/>
      <c r="M100" s="176" t="n"/>
      <c r="N100" s="176" t="n"/>
      <c r="O100" s="176" t="n"/>
      <c r="P100" s="176" t="n"/>
      <c r="Q100" s="176" t="n"/>
      <c r="S100" s="178" t="n"/>
      <c r="T100" s="178" t="n"/>
      <c r="U100" s="178" t="n"/>
      <c r="V100" s="178" t="n"/>
      <c r="W100" s="178" t="n"/>
      <c r="X100" s="178" t="n"/>
      <c r="Y100" s="178" t="n"/>
      <c r="Z100" s="178" t="n"/>
    </row>
    <row r="101">
      <c r="A101" s="174" t="n"/>
      <c r="B101" s="174" t="n"/>
      <c r="C101" s="174" t="n"/>
      <c r="D101" s="174" t="n"/>
      <c r="E101" s="174" t="n"/>
      <c r="F101" s="174" t="n"/>
      <c r="G101" s="174" t="n"/>
      <c r="H101" s="174" t="n"/>
      <c r="J101" s="176" t="n"/>
      <c r="K101" s="176" t="n"/>
      <c r="L101" s="176" t="n"/>
      <c r="M101" s="176" t="n"/>
      <c r="N101" s="176" t="n"/>
      <c r="O101" s="176" t="n"/>
      <c r="P101" s="176" t="n"/>
      <c r="Q101" s="176" t="n"/>
      <c r="S101" s="178" t="n"/>
      <c r="T101" s="178" t="n"/>
      <c r="U101" s="178" t="n"/>
      <c r="V101" s="178" t="n"/>
      <c r="W101" s="178" t="n"/>
      <c r="X101" s="178" t="n"/>
      <c r="Y101" s="178" t="n"/>
      <c r="Z101" s="178" t="n"/>
    </row>
    <row r="102">
      <c r="A102" s="174" t="n"/>
      <c r="B102" s="174" t="n"/>
      <c r="C102" s="174" t="n"/>
      <c r="D102" s="174" t="n"/>
      <c r="E102" s="174" t="n"/>
      <c r="F102" s="174" t="n"/>
      <c r="G102" s="174" t="n"/>
      <c r="H102" s="174" t="n"/>
      <c r="J102" s="176" t="n"/>
      <c r="K102" s="176" t="n"/>
      <c r="L102" s="176" t="n"/>
      <c r="M102" s="176" t="n"/>
      <c r="N102" s="176" t="n"/>
      <c r="O102" s="176" t="n"/>
      <c r="P102" s="176" t="n"/>
      <c r="Q102" s="176" t="n"/>
      <c r="S102" s="178" t="n"/>
      <c r="T102" s="178" t="n"/>
      <c r="U102" s="178" t="n"/>
      <c r="V102" s="178" t="n"/>
      <c r="W102" s="178" t="n"/>
      <c r="X102" s="178" t="n"/>
      <c r="Y102" s="178" t="n"/>
      <c r="Z102" s="178" t="n"/>
    </row>
    <row r="103">
      <c r="A103" s="174" t="n"/>
      <c r="B103" s="174" t="n"/>
      <c r="C103" s="174" t="n"/>
      <c r="D103" s="174" t="n"/>
      <c r="E103" s="174" t="n"/>
      <c r="F103" s="174" t="n"/>
      <c r="G103" s="174" t="n"/>
      <c r="H103" s="174" t="n"/>
      <c r="J103" s="176" t="n"/>
      <c r="K103" s="176" t="n"/>
      <c r="L103" s="176" t="n"/>
      <c r="M103" s="176" t="n"/>
      <c r="N103" s="176" t="n"/>
      <c r="O103" s="176" t="n"/>
      <c r="P103" s="176" t="n"/>
      <c r="Q103" s="176" t="n"/>
      <c r="S103" s="178" t="n"/>
      <c r="T103" s="178" t="n"/>
      <c r="U103" s="178" t="n"/>
      <c r="V103" s="178" t="n"/>
      <c r="W103" s="178" t="n"/>
      <c r="X103" s="178" t="n"/>
      <c r="Y103" s="178" t="n"/>
      <c r="Z103" s="178" t="n"/>
    </row>
  </sheetData>
  <sheetProtection selectLockedCells="1" selectUnlockedCells="1" sheet="1" objects="0" insertRows="1" insertHyperlinks="1" autoFilter="1" scenarios="0" formatColumns="1" deleteColumns="1" insertColumns="1" pivotTables="1" deleteRows="1" formatCells="1" formatRows="1" sort="1"/>
  <mergeCells count="94">
    <mergeCell ref="A9:N9"/>
    <mergeCell ref="N76:O76"/>
    <mergeCell ref="F67:I67"/>
    <mergeCell ref="G87:I87"/>
    <mergeCell ref="A16:A17"/>
    <mergeCell ref="A45:D46"/>
    <mergeCell ref="C16:C17"/>
    <mergeCell ref="N75:O75"/>
    <mergeCell ref="N77:O77"/>
    <mergeCell ref="AE2:AL2"/>
    <mergeCell ref="P9:AL9"/>
    <mergeCell ref="P68:S70"/>
    <mergeCell ref="D16:D17"/>
    <mergeCell ref="N85:Q85"/>
    <mergeCell ref="A95:H95"/>
    <mergeCell ref="A84:AL84"/>
    <mergeCell ref="Q91:S91"/>
    <mergeCell ref="E91:F91"/>
    <mergeCell ref="A8:N8"/>
    <mergeCell ref="A42:AL42"/>
    <mergeCell ref="G91:H91"/>
    <mergeCell ref="J86:M86"/>
    <mergeCell ref="H3:AD3"/>
    <mergeCell ref="K67:N67"/>
    <mergeCell ref="S95:Z95"/>
    <mergeCell ref="N79:O79"/>
    <mergeCell ref="K92:L92"/>
    <mergeCell ref="C92:D92"/>
    <mergeCell ref="M92:N92"/>
    <mergeCell ref="F71:I71"/>
    <mergeCell ref="A88:AL88"/>
    <mergeCell ref="K68:N70"/>
    <mergeCell ref="T91:W91"/>
    <mergeCell ref="A41:AL41"/>
    <mergeCell ref="A90:AL90"/>
    <mergeCell ref="J95:Q95"/>
    <mergeCell ref="D85:F85"/>
    <mergeCell ref="N74:S74"/>
    <mergeCell ref="H2:AD2"/>
    <mergeCell ref="F68:I70"/>
    <mergeCell ref="A91:B91"/>
    <mergeCell ref="N78:O78"/>
    <mergeCell ref="C91:D91"/>
    <mergeCell ref="M91:N91"/>
    <mergeCell ref="O91:P91"/>
    <mergeCell ref="R86:U86"/>
    <mergeCell ref="N80:O80"/>
    <mergeCell ref="B16:B17"/>
    <mergeCell ref="A71:D71"/>
    <mergeCell ref="J85:M85"/>
    <mergeCell ref="D86:F86"/>
    <mergeCell ref="A92:B92"/>
    <mergeCell ref="N87:Q87"/>
    <mergeCell ref="A1:B1"/>
    <mergeCell ref="E92:F92"/>
    <mergeCell ref="AL16:AL17"/>
    <mergeCell ref="A68:D70"/>
    <mergeCell ref="P71:S71"/>
    <mergeCell ref="A86:C86"/>
    <mergeCell ref="D87:F87"/>
    <mergeCell ref="O92:P92"/>
    <mergeCell ref="A6:N6"/>
    <mergeCell ref="A39:D39"/>
    <mergeCell ref="P8:AL8"/>
    <mergeCell ref="P7:AL7"/>
    <mergeCell ref="G86:I86"/>
    <mergeCell ref="A96:H103"/>
    <mergeCell ref="P67:S67"/>
    <mergeCell ref="T92:W92"/>
    <mergeCell ref="R85:U85"/>
    <mergeCell ref="K71:N71"/>
    <mergeCell ref="S96:Z103"/>
    <mergeCell ref="A93:AL93"/>
    <mergeCell ref="A38:D38"/>
    <mergeCell ref="A67:D67"/>
    <mergeCell ref="I91:J91"/>
    <mergeCell ref="A85:C85"/>
    <mergeCell ref="K91:L91"/>
    <mergeCell ref="N86:Q86"/>
    <mergeCell ref="A7:N7"/>
    <mergeCell ref="P6:AL6"/>
    <mergeCell ref="A74:E74"/>
    <mergeCell ref="G85:I85"/>
    <mergeCell ref="G92:H92"/>
    <mergeCell ref="I92:J92"/>
    <mergeCell ref="R87:U87"/>
    <mergeCell ref="AK16:AK17"/>
    <mergeCell ref="J87:M87"/>
    <mergeCell ref="AJ16:AJ17"/>
    <mergeCell ref="J96:Q103"/>
    <mergeCell ref="A12:AL14"/>
    <mergeCell ref="Q92:S92"/>
    <mergeCell ref="A87:C87"/>
    <mergeCell ref="A47:D47"/>
  </mergeCells>
  <conditionalFormatting sqref="AJ18:AJ37">
    <cfRule type="dataBar" priority="1">
      <dataBar>
        <cfvo type="num" val="0"/>
        <cfvo type="num" val="1"/>
        <color rgb="0010B981"/>
      </dataBar>
    </cfRule>
  </conditionalFormatting>
  <conditionalFormatting sqref="E18:AI37">
    <cfRule type="cellIs" priority="2" operator="equal" dxfId="0">
      <formula>"✓"</formula>
    </cfRule>
    <cfRule type="cellIs" priority="3" operator="equal" dxfId="0">
      <formula>"✔"</formula>
    </cfRule>
    <cfRule type="cellIs" priority="4" operator="equal" dxfId="1">
      <formula>"✗"</formula>
    </cfRule>
    <cfRule type="cellIs" priority="5" operator="equal" dxfId="1">
      <formula>"x"</formula>
    </cfRule>
    <cfRule type="cellIs" priority="6" operator="equal" dxfId="1">
      <formula>"X"</formula>
    </cfRule>
  </conditionalFormatting>
  <conditionalFormatting sqref="E16:E17">
    <cfRule type="expression" priority="7" dxfId="2">
      <formula>AND(DAY(TODAY())=1, MONTH(TODAY())=10, YEAR(TODAY())=2026)</formula>
    </cfRule>
  </conditionalFormatting>
  <conditionalFormatting sqref="F16:F17">
    <cfRule type="expression" priority="8" dxfId="2">
      <formula>AND(DAY(TODAY())=2, MONTH(TODAY())=10, YEAR(TODAY())=2026)</formula>
    </cfRule>
  </conditionalFormatting>
  <conditionalFormatting sqref="G16:G17">
    <cfRule type="expression" priority="9" dxfId="2">
      <formula>AND(DAY(TODAY())=3, MONTH(TODAY())=10, YEAR(TODAY())=2026)</formula>
    </cfRule>
  </conditionalFormatting>
  <conditionalFormatting sqref="H16:H17">
    <cfRule type="expression" priority="10" dxfId="2">
      <formula>AND(DAY(TODAY())=4, MONTH(TODAY())=10, YEAR(TODAY())=2026)</formula>
    </cfRule>
  </conditionalFormatting>
  <conditionalFormatting sqref="I16:I17">
    <cfRule type="expression" priority="11" dxfId="2">
      <formula>AND(DAY(TODAY())=5, MONTH(TODAY())=10, YEAR(TODAY())=2026)</formula>
    </cfRule>
  </conditionalFormatting>
  <conditionalFormatting sqref="J16:J17">
    <cfRule type="expression" priority="12" dxfId="2">
      <formula>AND(DAY(TODAY())=6, MONTH(TODAY())=10, YEAR(TODAY())=2026)</formula>
    </cfRule>
  </conditionalFormatting>
  <conditionalFormatting sqref="K16:K17">
    <cfRule type="expression" priority="13" dxfId="2">
      <formula>AND(DAY(TODAY())=7, MONTH(TODAY())=10, YEAR(TODAY())=2026)</formula>
    </cfRule>
  </conditionalFormatting>
  <conditionalFormatting sqref="L16:L17">
    <cfRule type="expression" priority="14" dxfId="2">
      <formula>AND(DAY(TODAY())=8, MONTH(TODAY())=10, YEAR(TODAY())=2026)</formula>
    </cfRule>
  </conditionalFormatting>
  <conditionalFormatting sqref="M16:M17">
    <cfRule type="expression" priority="15" dxfId="2">
      <formula>AND(DAY(TODAY())=9, MONTH(TODAY())=10, YEAR(TODAY())=2026)</formula>
    </cfRule>
  </conditionalFormatting>
  <conditionalFormatting sqref="N16:N17">
    <cfRule type="expression" priority="16" dxfId="2">
      <formula>AND(DAY(TODAY())=10, MONTH(TODAY())=10, YEAR(TODAY())=2026)</formula>
    </cfRule>
  </conditionalFormatting>
  <conditionalFormatting sqref="O16:O17">
    <cfRule type="expression" priority="17" dxfId="2">
      <formula>AND(DAY(TODAY())=11, MONTH(TODAY())=10, YEAR(TODAY())=2026)</formula>
    </cfRule>
  </conditionalFormatting>
  <conditionalFormatting sqref="P16:P17">
    <cfRule type="expression" priority="18" dxfId="2">
      <formula>AND(DAY(TODAY())=12, MONTH(TODAY())=10, YEAR(TODAY())=2026)</formula>
    </cfRule>
  </conditionalFormatting>
  <conditionalFormatting sqref="Q16:Q17">
    <cfRule type="expression" priority="19" dxfId="2">
      <formula>AND(DAY(TODAY())=13, MONTH(TODAY())=10, YEAR(TODAY())=2026)</formula>
    </cfRule>
  </conditionalFormatting>
  <conditionalFormatting sqref="R16:R17">
    <cfRule type="expression" priority="20" dxfId="2">
      <formula>AND(DAY(TODAY())=14, MONTH(TODAY())=10, YEAR(TODAY())=2026)</formula>
    </cfRule>
  </conditionalFormatting>
  <conditionalFormatting sqref="S16:S17">
    <cfRule type="expression" priority="21" dxfId="2">
      <formula>AND(DAY(TODAY())=15, MONTH(TODAY())=10, YEAR(TODAY())=2026)</formula>
    </cfRule>
  </conditionalFormatting>
  <conditionalFormatting sqref="T16:T17">
    <cfRule type="expression" priority="22" dxfId="2">
      <formula>AND(DAY(TODAY())=16, MONTH(TODAY())=10, YEAR(TODAY())=2026)</formula>
    </cfRule>
  </conditionalFormatting>
  <conditionalFormatting sqref="U16:U17">
    <cfRule type="expression" priority="23" dxfId="2">
      <formula>AND(DAY(TODAY())=17, MONTH(TODAY())=10, YEAR(TODAY())=2026)</formula>
    </cfRule>
  </conditionalFormatting>
  <conditionalFormatting sqref="V16:V17">
    <cfRule type="expression" priority="24" dxfId="2">
      <formula>AND(DAY(TODAY())=18, MONTH(TODAY())=10, YEAR(TODAY())=2026)</formula>
    </cfRule>
  </conditionalFormatting>
  <conditionalFormatting sqref="W16:W17">
    <cfRule type="expression" priority="25" dxfId="2">
      <formula>AND(DAY(TODAY())=19, MONTH(TODAY())=10, YEAR(TODAY())=2026)</formula>
    </cfRule>
  </conditionalFormatting>
  <conditionalFormatting sqref="X16:X17">
    <cfRule type="expression" priority="26" dxfId="2">
      <formula>AND(DAY(TODAY())=20, MONTH(TODAY())=10, YEAR(TODAY())=2026)</formula>
    </cfRule>
  </conditionalFormatting>
  <conditionalFormatting sqref="Y16:Y17">
    <cfRule type="expression" priority="27" dxfId="2">
      <formula>AND(DAY(TODAY())=21, MONTH(TODAY())=10, YEAR(TODAY())=2026)</formula>
    </cfRule>
  </conditionalFormatting>
  <conditionalFormatting sqref="Z16:Z17">
    <cfRule type="expression" priority="28" dxfId="2">
      <formula>AND(DAY(TODAY())=22, MONTH(TODAY())=10, YEAR(TODAY())=2026)</formula>
    </cfRule>
  </conditionalFormatting>
  <conditionalFormatting sqref="AA16:AA17">
    <cfRule type="expression" priority="29" dxfId="2">
      <formula>AND(DAY(TODAY())=23, MONTH(TODAY())=10, YEAR(TODAY())=2026)</formula>
    </cfRule>
  </conditionalFormatting>
  <conditionalFormatting sqref="AB16:AB17">
    <cfRule type="expression" priority="30" dxfId="2">
      <formula>AND(DAY(TODAY())=24, MONTH(TODAY())=10, YEAR(TODAY())=2026)</formula>
    </cfRule>
  </conditionalFormatting>
  <conditionalFormatting sqref="AC16:AC17">
    <cfRule type="expression" priority="31" dxfId="2">
      <formula>AND(DAY(TODAY())=25, MONTH(TODAY())=10, YEAR(TODAY())=2026)</formula>
    </cfRule>
  </conditionalFormatting>
  <conditionalFormatting sqref="AD16:AD17">
    <cfRule type="expression" priority="32" dxfId="2">
      <formula>AND(DAY(TODAY())=26, MONTH(TODAY())=10, YEAR(TODAY())=2026)</formula>
    </cfRule>
  </conditionalFormatting>
  <conditionalFormatting sqref="AE16:AE17">
    <cfRule type="expression" priority="33" dxfId="2">
      <formula>AND(DAY(TODAY())=27, MONTH(TODAY())=10, YEAR(TODAY())=2026)</formula>
    </cfRule>
  </conditionalFormatting>
  <conditionalFormatting sqref="AF16:AF17">
    <cfRule type="expression" priority="34" dxfId="2">
      <formula>AND(DAY(TODAY())=28, MONTH(TODAY())=10, YEAR(TODAY())=2026)</formula>
    </cfRule>
  </conditionalFormatting>
  <conditionalFormatting sqref="AG16:AG17">
    <cfRule type="expression" priority="35" dxfId="2">
      <formula>AND(DAY(TODAY())=29, MONTH(TODAY())=10, YEAR(TODAY())=2026)</formula>
    </cfRule>
  </conditionalFormatting>
  <conditionalFormatting sqref="AH16:AH17">
    <cfRule type="expression" priority="36" dxfId="2">
      <formula>AND(DAY(TODAY())=30, MONTH(TODAY())=10, YEAR(TODAY())=2026)</formula>
    </cfRule>
  </conditionalFormatting>
  <conditionalFormatting sqref="AI16:AI17">
    <cfRule type="expression" priority="37" dxfId="2">
      <formula>AND(DAY(TODAY())=31, MONTH(TODAY())=10, YEAR(TODAY())=2026)</formula>
    </cfRule>
  </conditionalFormatting>
  <dataValidations count="4">
    <dataValidation sqref="C18:C37" showDropDown="0" showInputMessage="0" showErrorMessage="0" allowBlank="1" type="list">
      <formula1>"Health &amp; Fitness,Mindset &amp; Learning,Career &amp; Focus,Personal &amp; Home,Finance &amp; Wealth,Other"</formula1>
    </dataValidation>
    <dataValidation sqref="D18:D37" showDropDown="0" showInputMessage="0" showErrorMessage="0" allowBlank="1" type="list">
      <formula1>"1,2,3,4,5,6,7,8,9,10,11,12,13,14,15,16,17,18,19,20,21,22,23,24,25,26,27,28,29,30,31"</formula1>
    </dataValidation>
    <dataValidation sqref="E18:AI37" showDropDown="0" showInputMessage="0" showErrorMessage="0" allowBlank="1" type="list">
      <formula1>"✓,✗"</formula1>
    </dataValidation>
    <dataValidation sqref="E47:AI47" showDropDown="0" showInputMessage="0" showErrorMessage="0" allowBlank="1" type="list">
      <formula1>"1,2,3,4,5,6,7,8,9,10,11,12,13,14,15,16,17,18,19,20,21,22,23,24"</formula1>
    </dataValidation>
  </dataValidations>
  <hyperlinks>
    <hyperlink xmlns:r="http://schemas.openxmlformats.org/officeDocument/2006/relationships" ref="A1" r:id="rId1"/>
    <hyperlink xmlns:r="http://schemas.openxmlformats.org/officeDocument/2006/relationships" ref="C1" r:id="rId2"/>
    <hyperlink xmlns:r="http://schemas.openxmlformats.org/officeDocument/2006/relationships" ref="D1" r:id="rId3"/>
    <hyperlink xmlns:r="http://schemas.openxmlformats.org/officeDocument/2006/relationships" ref="E1" r:id="rId4"/>
    <hyperlink xmlns:r="http://schemas.openxmlformats.org/officeDocument/2006/relationships" ref="F1" r:id="rId5"/>
    <hyperlink xmlns:r="http://schemas.openxmlformats.org/officeDocument/2006/relationships" ref="G1" r:id="rId6"/>
    <hyperlink xmlns:r="http://schemas.openxmlformats.org/officeDocument/2006/relationships" ref="H1" r:id="rId7"/>
    <hyperlink xmlns:r="http://schemas.openxmlformats.org/officeDocument/2006/relationships" ref="I1" r:id="rId8"/>
    <hyperlink xmlns:r="http://schemas.openxmlformats.org/officeDocument/2006/relationships" ref="J1" r:id="rId9"/>
    <hyperlink xmlns:r="http://schemas.openxmlformats.org/officeDocument/2006/relationships" ref="K1" r:id="rId10"/>
  </hyperlinks>
  <printOptions horizontalCentered="1" verticalCentered="0"/>
  <pageMargins left="0.75" right="0.75" top="1" bottom="1" header="0.5" footer="0.5"/>
  <pageSetup orientation="landscape" paperSize="9" fitToHeight="0" fitToWidth="1"/>
  <drawing xmlns:r="http://schemas.openxmlformats.org/officeDocument/2006/relationships" r:id="rId11"/>
</worksheet>
</file>

<file path=xl/worksheets/sheet6.xml><?xml version="1.0" encoding="utf-8"?>
<worksheet xmlns="http://schemas.openxmlformats.org/spreadsheetml/2006/main">
  <sheetPr>
    <outlinePr summaryBelow="1" summaryRight="1"/>
    <pageSetUpPr fitToPage="1"/>
  </sheetPr>
  <dimension ref="A1:AL103"/>
  <sheetViews>
    <sheetView showGridLines="1" workbookViewId="0">
      <selection activeCell="A1" sqref="A1"/>
    </sheetView>
  </sheetViews>
  <sheetFormatPr baseColWidth="8" defaultRowHeight="15"/>
  <cols>
    <col width="6" customWidth="1" min="1" max="1"/>
    <col width="25" customWidth="1" min="2" max="2"/>
    <col width="16.5" customWidth="1" min="3" max="3"/>
    <col width="8" customWidth="1" min="4" max="4"/>
    <col width="4.8" customWidth="1" min="5" max="5"/>
    <col width="4.8" customWidth="1" min="6" max="6"/>
    <col width="4.8" customWidth="1" min="7" max="7"/>
    <col width="4.8" customWidth="1" min="8" max="8"/>
    <col width="4.8" customWidth="1" min="9" max="9"/>
    <col width="4.8" customWidth="1" min="10" max="10"/>
    <col width="4.8" customWidth="1" min="11" max="11"/>
    <col width="4.8" customWidth="1" min="12" max="12"/>
    <col width="4.8" customWidth="1" min="13" max="13"/>
    <col width="4.8" customWidth="1" min="14" max="14"/>
    <col width="4.8" customWidth="1" min="15" max="15"/>
    <col width="4.8" customWidth="1" min="16" max="16"/>
    <col width="4.8" customWidth="1" min="17" max="17"/>
    <col width="4.8" customWidth="1" min="18" max="18"/>
    <col width="4.8" customWidth="1" min="19" max="19"/>
    <col width="4.8" customWidth="1" min="20" max="20"/>
    <col width="4.8" customWidth="1" min="21" max="21"/>
    <col width="4.8" customWidth="1" min="22" max="22"/>
    <col width="4.8" customWidth="1" min="23" max="23"/>
    <col width="4.8" customWidth="1" min="24" max="24"/>
    <col width="4.8" customWidth="1" min="25" max="25"/>
    <col width="4.8" customWidth="1" min="26" max="26"/>
    <col width="4.8" customWidth="1" min="27" max="27"/>
    <col width="4.8" customWidth="1" min="28" max="28"/>
    <col width="4.8" customWidth="1" min="29" max="29"/>
    <col width="4.8" customWidth="1" min="30" max="30"/>
    <col width="4.8" customWidth="1" min="31" max="31"/>
    <col width="4.8" customWidth="1" min="32" max="32"/>
    <col width="4.8" customWidth="1" min="33" max="33"/>
    <col width="4.8" customWidth="1" min="34" max="34"/>
    <col width="11.5" customWidth="1" min="35" max="35"/>
    <col width="12" customWidth="1" min="36" max="36"/>
    <col width="13.5" customWidth="1" min="37" max="37"/>
    <col hidden="1" width="8" customWidth="1" min="38" max="38"/>
  </cols>
  <sheetData>
    <row r="1" ht="18" customHeight="1">
      <c r="A1" s="76" t="inlineStr">
        <is>
          <t>🏠 Master Dashboard</t>
        </is>
      </c>
      <c r="B1" s="40" t="n"/>
      <c r="C1" s="77" t="inlineStr">
        <is>
          <t>🏛️ Quarterly Hub</t>
        </is>
      </c>
      <c r="D1" s="78" t="inlineStr">
        <is>
          <t>📚 Habit Library</t>
        </is>
      </c>
      <c r="E1" s="79" t="inlineStr">
        <is>
          <t>2026</t>
        </is>
      </c>
      <c r="F1" s="80" t="inlineStr">
        <is>
          <t>2027</t>
        </is>
      </c>
      <c r="G1" s="80" t="inlineStr">
        <is>
          <t>2028</t>
        </is>
      </c>
      <c r="H1" s="80" t="inlineStr">
        <is>
          <t>2029</t>
        </is>
      </c>
      <c r="I1" s="80" t="inlineStr">
        <is>
          <t>2030</t>
        </is>
      </c>
      <c r="J1" s="82" t="inlineStr">
        <is>
          <t>◀ Prev</t>
        </is>
      </c>
      <c r="K1" s="82" t="inlineStr">
        <is>
          <t>Next ▶</t>
        </is>
      </c>
    </row>
    <row r="2" ht="24" customHeight="1">
      <c r="A2" s="83" t="inlineStr">
        <is>
          <t>Habit Tracker</t>
        </is>
      </c>
      <c r="H2" s="84" t="inlineStr">
        <is>
          <t>"Focus on the process."</t>
        </is>
      </c>
      <c r="AD2" s="85" t="inlineStr">
        <is>
          <t>@surajvansh</t>
        </is>
      </c>
    </row>
    <row r="3" ht="18" customHeight="1">
      <c r="A3" s="86" t="inlineStr">
        <is>
          <t>November 2026</t>
        </is>
      </c>
      <c r="H3" s="87" t="inlineStr">
        <is>
          <t>30 Days Dashboard</t>
        </is>
      </c>
    </row>
    <row r="4" ht="5" customHeight="1"/>
    <row r="5" ht="16" customHeight="1">
      <c r="A5" s="88" t="inlineStr">
        <is>
          <t>MONTHLY TARGETS</t>
        </is>
      </c>
    </row>
    <row r="6" ht="13" customHeight="1">
      <c r="A6" s="89" t="inlineStr">
        <is>
          <t>1. ____________________ : ____________________</t>
        </is>
      </c>
      <c r="P6" s="89" t="inlineStr">
        <is>
          <t>5. ____________________ : ____________________</t>
        </is>
      </c>
    </row>
    <row r="7" ht="13" customHeight="1">
      <c r="A7" s="89" t="inlineStr">
        <is>
          <t>2. ____________________ : ____________________</t>
        </is>
      </c>
      <c r="P7" s="89" t="inlineStr">
        <is>
          <t>6. ____________________ : ____________________</t>
        </is>
      </c>
    </row>
    <row r="8" ht="13" customHeight="1">
      <c r="A8" s="89" t="inlineStr">
        <is>
          <t>3. ____________________ : ____________________</t>
        </is>
      </c>
      <c r="P8" s="89" t="inlineStr">
        <is>
          <t>7. ____________________ : ____________________</t>
        </is>
      </c>
    </row>
    <row r="9" ht="13" customHeight="1">
      <c r="A9" s="89" t="inlineStr">
        <is>
          <t>4. ____________________ : ____________________</t>
        </is>
      </c>
      <c r="P9" s="89" t="inlineStr">
        <is>
          <t>8. ____________________ : ____________________</t>
        </is>
      </c>
    </row>
    <row r="10" ht="5" customHeight="1"/>
    <row r="11" ht="15" customHeight="1">
      <c r="A11" s="88" t="inlineStr">
        <is>
          <t>NOTES:</t>
        </is>
      </c>
    </row>
    <row r="12" ht="13" customHeight="1">
      <c r="A12" s="90" t="n"/>
      <c r="B12" s="91" t="n"/>
      <c r="C12" s="91" t="n"/>
      <c r="D12" s="91" t="n"/>
      <c r="E12" s="91" t="n"/>
      <c r="F12" s="91" t="n"/>
      <c r="G12" s="91" t="n"/>
      <c r="H12" s="91" t="n"/>
      <c r="I12" s="91" t="n"/>
      <c r="J12" s="91" t="n"/>
      <c r="K12" s="91" t="n"/>
      <c r="L12" s="91" t="n"/>
      <c r="M12" s="91" t="n"/>
      <c r="N12" s="91" t="n"/>
      <c r="O12" s="91" t="n"/>
      <c r="P12" s="91" t="n"/>
      <c r="Q12" s="91" t="n"/>
      <c r="R12" s="91" t="n"/>
      <c r="S12" s="91" t="n"/>
      <c r="T12" s="91" t="n"/>
      <c r="U12" s="91" t="n"/>
      <c r="V12" s="91" t="n"/>
      <c r="W12" s="91" t="n"/>
      <c r="X12" s="91" t="n"/>
      <c r="Y12" s="91" t="n"/>
      <c r="Z12" s="91" t="n"/>
      <c r="AA12" s="91" t="n"/>
      <c r="AB12" s="91" t="n"/>
      <c r="AC12" s="91" t="n"/>
      <c r="AD12" s="91" t="n"/>
      <c r="AE12" s="91" t="n"/>
      <c r="AF12" s="91" t="n"/>
      <c r="AG12" s="91" t="n"/>
      <c r="AH12" s="91" t="n"/>
      <c r="AI12" s="91" t="n"/>
      <c r="AJ12" s="91" t="n"/>
      <c r="AK12" s="91" t="n"/>
    </row>
    <row r="13" ht="13" customHeight="1">
      <c r="A13" s="91" t="n"/>
      <c r="B13" s="91" t="n"/>
      <c r="C13" s="91" t="n"/>
      <c r="D13" s="91" t="n"/>
      <c r="E13" s="91" t="n"/>
      <c r="F13" s="91" t="n"/>
      <c r="G13" s="91" t="n"/>
      <c r="H13" s="91" t="n"/>
      <c r="I13" s="91" t="n"/>
      <c r="J13" s="91" t="n"/>
      <c r="K13" s="91" t="n"/>
      <c r="L13" s="91" t="n"/>
      <c r="M13" s="91" t="n"/>
      <c r="N13" s="91" t="n"/>
      <c r="O13" s="91" t="n"/>
      <c r="P13" s="91" t="n"/>
      <c r="Q13" s="91" t="n"/>
      <c r="R13" s="91" t="n"/>
      <c r="S13" s="91" t="n"/>
      <c r="T13" s="91" t="n"/>
      <c r="U13" s="91" t="n"/>
      <c r="V13" s="91" t="n"/>
      <c r="W13" s="91" t="n"/>
      <c r="X13" s="91" t="n"/>
      <c r="Y13" s="91" t="n"/>
      <c r="Z13" s="91" t="n"/>
      <c r="AA13" s="91" t="n"/>
      <c r="AB13" s="91" t="n"/>
      <c r="AC13" s="91" t="n"/>
      <c r="AD13" s="91" t="n"/>
      <c r="AE13" s="91" t="n"/>
      <c r="AF13" s="91" t="n"/>
      <c r="AG13" s="91" t="n"/>
      <c r="AH13" s="91" t="n"/>
      <c r="AI13" s="91" t="n"/>
      <c r="AJ13" s="91" t="n"/>
      <c r="AK13" s="91" t="n"/>
    </row>
    <row r="14" ht="13" customHeight="1">
      <c r="A14" s="91" t="n"/>
      <c r="B14" s="91" t="n"/>
      <c r="C14" s="91" t="n"/>
      <c r="D14" s="91" t="n"/>
      <c r="E14" s="91" t="n"/>
      <c r="F14" s="91" t="n"/>
      <c r="G14" s="91" t="n"/>
      <c r="H14" s="91" t="n"/>
      <c r="I14" s="91" t="n"/>
      <c r="J14" s="91" t="n"/>
      <c r="K14" s="91" t="n"/>
      <c r="L14" s="91" t="n"/>
      <c r="M14" s="91" t="n"/>
      <c r="N14" s="91" t="n"/>
      <c r="O14" s="91" t="n"/>
      <c r="P14" s="91" t="n"/>
      <c r="Q14" s="91" t="n"/>
      <c r="R14" s="91" t="n"/>
      <c r="S14" s="91" t="n"/>
      <c r="T14" s="91" t="n"/>
      <c r="U14" s="91" t="n"/>
      <c r="V14" s="91" t="n"/>
      <c r="W14" s="91" t="n"/>
      <c r="X14" s="91" t="n"/>
      <c r="Y14" s="91" t="n"/>
      <c r="Z14" s="91" t="n"/>
      <c r="AA14" s="91" t="n"/>
      <c r="AB14" s="91" t="n"/>
      <c r="AC14" s="91" t="n"/>
      <c r="AD14" s="91" t="n"/>
      <c r="AE14" s="91" t="n"/>
      <c r="AF14" s="91" t="n"/>
      <c r="AG14" s="91" t="n"/>
      <c r="AH14" s="91" t="n"/>
      <c r="AI14" s="91" t="n"/>
      <c r="AJ14" s="91" t="n"/>
      <c r="AK14" s="91" t="n"/>
    </row>
    <row r="15" ht="8" customHeight="1"/>
    <row r="16" ht="15" customHeight="1">
      <c r="A16" s="33" t="inlineStr">
        <is>
          <t>S.No.</t>
        </is>
      </c>
      <c r="B16" s="33" t="inlineStr">
        <is>
          <t>Protocols</t>
        </is>
      </c>
      <c r="C16" s="33" t="inlineStr">
        <is>
          <t>Category</t>
        </is>
      </c>
      <c r="D16" s="33" t="inlineStr">
        <is>
          <t>Target</t>
        </is>
      </c>
      <c r="E16" s="93" t="n">
        <v>1</v>
      </c>
      <c r="F16" s="92" t="n">
        <v>2</v>
      </c>
      <c r="G16" s="92" t="n">
        <v>3</v>
      </c>
      <c r="H16" s="92" t="n">
        <v>4</v>
      </c>
      <c r="I16" s="92" t="n">
        <v>5</v>
      </c>
      <c r="J16" s="92" t="n">
        <v>6</v>
      </c>
      <c r="K16" s="92" t="n">
        <v>7</v>
      </c>
      <c r="L16" s="93" t="n">
        <v>8</v>
      </c>
      <c r="M16" s="92" t="n">
        <v>9</v>
      </c>
      <c r="N16" s="92" t="n">
        <v>10</v>
      </c>
      <c r="O16" s="92" t="n">
        <v>11</v>
      </c>
      <c r="P16" s="92" t="n">
        <v>12</v>
      </c>
      <c r="Q16" s="92" t="n">
        <v>13</v>
      </c>
      <c r="R16" s="92" t="n">
        <v>14</v>
      </c>
      <c r="S16" s="93" t="n">
        <v>15</v>
      </c>
      <c r="T16" s="92" t="n">
        <v>16</v>
      </c>
      <c r="U16" s="92" t="n">
        <v>17</v>
      </c>
      <c r="V16" s="92" t="n">
        <v>18</v>
      </c>
      <c r="W16" s="92" t="n">
        <v>19</v>
      </c>
      <c r="X16" s="92" t="n">
        <v>20</v>
      </c>
      <c r="Y16" s="92" t="n">
        <v>21</v>
      </c>
      <c r="Z16" s="93" t="n">
        <v>22</v>
      </c>
      <c r="AA16" s="92" t="n">
        <v>23</v>
      </c>
      <c r="AB16" s="92" t="n">
        <v>24</v>
      </c>
      <c r="AC16" s="92" t="n">
        <v>25</v>
      </c>
      <c r="AD16" s="92" t="n">
        <v>26</v>
      </c>
      <c r="AE16" s="92" t="n">
        <v>27</v>
      </c>
      <c r="AF16" s="92" t="n">
        <v>28</v>
      </c>
      <c r="AG16" s="93" t="n">
        <v>29</v>
      </c>
      <c r="AH16" s="92" t="n">
        <v>30</v>
      </c>
      <c r="AI16" s="94" t="inlineStr">
        <is>
          <t>Success %</t>
        </is>
      </c>
      <c r="AJ16" s="94" t="inlineStr">
        <is>
          <t>Done / Target</t>
        </is>
      </c>
      <c r="AK16" s="94" t="inlineStr">
        <is>
          <t>Status</t>
        </is>
      </c>
      <c r="AL16" t="inlineStr">
        <is>
          <t>Done Count</t>
        </is>
      </c>
    </row>
    <row r="17" ht="15" customHeight="1">
      <c r="A17" s="54" t="n"/>
      <c r="B17" s="54" t="n"/>
      <c r="C17" s="54" t="n"/>
      <c r="D17" s="54" t="n"/>
      <c r="E17" s="96" t="inlineStr">
        <is>
          <t>Su</t>
        </is>
      </c>
      <c r="F17" s="95" t="inlineStr">
        <is>
          <t>M</t>
        </is>
      </c>
      <c r="G17" s="95" t="inlineStr">
        <is>
          <t>T</t>
        </is>
      </c>
      <c r="H17" s="95" t="inlineStr">
        <is>
          <t>W</t>
        </is>
      </c>
      <c r="I17" s="95" t="inlineStr">
        <is>
          <t>Th</t>
        </is>
      </c>
      <c r="J17" s="95" t="inlineStr">
        <is>
          <t>F</t>
        </is>
      </c>
      <c r="K17" s="95" t="inlineStr">
        <is>
          <t>Sa</t>
        </is>
      </c>
      <c r="L17" s="96" t="inlineStr">
        <is>
          <t>Su</t>
        </is>
      </c>
      <c r="M17" s="95" t="inlineStr">
        <is>
          <t>M</t>
        </is>
      </c>
      <c r="N17" s="95" t="inlineStr">
        <is>
          <t>T</t>
        </is>
      </c>
      <c r="O17" s="95" t="inlineStr">
        <is>
          <t>W</t>
        </is>
      </c>
      <c r="P17" s="95" t="inlineStr">
        <is>
          <t>Th</t>
        </is>
      </c>
      <c r="Q17" s="95" t="inlineStr">
        <is>
          <t>F</t>
        </is>
      </c>
      <c r="R17" s="95" t="inlineStr">
        <is>
          <t>Sa</t>
        </is>
      </c>
      <c r="S17" s="96" t="inlineStr">
        <is>
          <t>Su</t>
        </is>
      </c>
      <c r="T17" s="95" t="inlineStr">
        <is>
          <t>M</t>
        </is>
      </c>
      <c r="U17" s="95" t="inlineStr">
        <is>
          <t>T</t>
        </is>
      </c>
      <c r="V17" s="95" t="inlineStr">
        <is>
          <t>W</t>
        </is>
      </c>
      <c r="W17" s="95" t="inlineStr">
        <is>
          <t>Th</t>
        </is>
      </c>
      <c r="X17" s="95" t="inlineStr">
        <is>
          <t>F</t>
        </is>
      </c>
      <c r="Y17" s="95" t="inlineStr">
        <is>
          <t>Sa</t>
        </is>
      </c>
      <c r="Z17" s="96" t="inlineStr">
        <is>
          <t>Su</t>
        </is>
      </c>
      <c r="AA17" s="95" t="inlineStr">
        <is>
          <t>M</t>
        </is>
      </c>
      <c r="AB17" s="95" t="inlineStr">
        <is>
          <t>T</t>
        </is>
      </c>
      <c r="AC17" s="95" t="inlineStr">
        <is>
          <t>W</t>
        </is>
      </c>
      <c r="AD17" s="95" t="inlineStr">
        <is>
          <t>Th</t>
        </is>
      </c>
      <c r="AE17" s="95" t="inlineStr">
        <is>
          <t>F</t>
        </is>
      </c>
      <c r="AF17" s="95" t="inlineStr">
        <is>
          <t>Sa</t>
        </is>
      </c>
      <c r="AG17" s="96" t="inlineStr">
        <is>
          <t>Su</t>
        </is>
      </c>
      <c r="AH17" s="95" t="inlineStr">
        <is>
          <t>M</t>
        </is>
      </c>
      <c r="AI17" s="54" t="n"/>
      <c r="AJ17" s="54" t="n"/>
      <c r="AK17" s="54" t="n"/>
    </row>
    <row r="18" ht="14.5" customHeight="1">
      <c r="A18" s="97" t="n">
        <v>1</v>
      </c>
      <c r="B18" s="98" t="n"/>
      <c r="C18" s="99" t="n"/>
      <c r="D18" s="99" t="n"/>
      <c r="E18" s="101" t="n"/>
      <c r="F18" s="100" t="n"/>
      <c r="G18" s="100" t="n"/>
      <c r="H18" s="100" t="n"/>
      <c r="I18" s="100" t="n"/>
      <c r="J18" s="100" t="n"/>
      <c r="K18" s="100" t="n"/>
      <c r="L18" s="101" t="n"/>
      <c r="M18" s="100" t="n"/>
      <c r="N18" s="100" t="n"/>
      <c r="O18" s="100" t="n"/>
      <c r="P18" s="100" t="n"/>
      <c r="Q18" s="100" t="n"/>
      <c r="R18" s="100" t="n"/>
      <c r="S18" s="101" t="n"/>
      <c r="T18" s="100" t="n"/>
      <c r="U18" s="100" t="n"/>
      <c r="V18" s="100" t="n"/>
      <c r="W18" s="100" t="n"/>
      <c r="X18" s="100" t="n"/>
      <c r="Y18" s="100" t="n"/>
      <c r="Z18" s="101" t="n"/>
      <c r="AA18" s="100" t="n"/>
      <c r="AB18" s="100" t="n"/>
      <c r="AC18" s="100" t="n"/>
      <c r="AD18" s="100" t="n"/>
      <c r="AE18" s="100" t="n"/>
      <c r="AF18" s="100" t="n"/>
      <c r="AG18" s="101" t="n"/>
      <c r="AH18" s="100" t="n"/>
      <c r="AI18" s="102">
        <f>IF(ISBLANK(B18), "", IF(ISNUMBER(D18), IF(D18&gt;0, (COUNTIF(E18:AH18, "✓") + COUNTIF(E18:AH18, "✔") + COUNTIF(E18:AH18, "v") + COUNTIF(E18:AH18, "V"))/D18, 0), IF(((COUNTIF(E18:AH18, "✓") + COUNTIF(E18:AH18, "✔") + COUNTIF(E18:AH18, "v") + COUNTIF(E18:AH18, "V")) + COUNTIF(E18:AH18, "✗") + COUNTIF(E18:AH18, "x") + COUNTIF(E18:AH18, "X"))&gt;0, (COUNTIF(E18:AH18, "✓") + COUNTIF(E18:AH18, "✔") + COUNTIF(E18:AH18, "v") + COUNTIF(E18:AH18, "V"))/((COUNTIF(E18:AH18, "✓") + COUNTIF(E18:AH18, "✔") + COUNTIF(E18:AH18, "v") + COUNTIF(E18:AH18, "V")) + COUNTIF(E18:AH18, "✗") + COUNTIF(E18:AH18, "x") + COUNTIF(E18:AH18, "X")), "")))</f>
        <v/>
      </c>
      <c r="AJ18" s="103">
        <f>IF(ISBLANK(B18), "", IF(ISNUMBER(D18), IF(D18&gt;0, (COUNTIF(E18:AH18, "✓") + COUNTIF(E18:AH18, "✔") + COUNTIF(E18:AH18, "v") + COUNTIF(E18:AH18, "V")) &amp; "/" &amp; D18, (COUNTIF(E18:AH18, "✓") + COUNTIF(E18:AH18, "✔") + COUNTIF(E18:AH18, "v") + COUNTIF(E18:AH18, "V")) &amp; "/0"), IF(((COUNTIF(E18:AH18, "✓") + COUNTIF(E18:AH18, "✔") + COUNTIF(E18:AH18, "v") + COUNTIF(E18:AH18, "V")) + COUNTIF(E18:AH18, "✗") + COUNTIF(E18:AH18, "x") + COUNTIF(E18:AH18, "X"))&gt;0, (COUNTIF(E18:AH18, "✓") + COUNTIF(E18:AH18, "✔") + COUNTIF(E18:AH18, "v") + COUNTIF(E18:AH18, "V")) &amp; "/" &amp; ((COUNTIF(E18:AH18, "✓") + COUNTIF(E18:AH18, "✔") + COUNTIF(E18:AH18, "v") + COUNTIF(E18:AH18, "V")) + COUNTIF(E18:AH18, "✗") + COUNTIF(E18:AH18, "x") + COUNTIF(E18:AH18, "X")), "")))</f>
        <v/>
      </c>
      <c r="AK18" s="103">
        <f>IF(ISBLANK(B18), "", IF(AI18&gt;=0.85, "🔥 Mastered", IF(AI18&gt;=0.7, "⚡ Consistent", "⚠️ Needs Focus")))</f>
        <v/>
      </c>
      <c r="AL18">
        <f>COUNTIF(E18:AH18, "✓")</f>
        <v/>
      </c>
    </row>
    <row r="19" ht="14.5" customHeight="1">
      <c r="A19" s="97" t="n">
        <v>2</v>
      </c>
      <c r="B19" s="98" t="n"/>
      <c r="C19" s="99" t="n"/>
      <c r="D19" s="99" t="n"/>
      <c r="E19" s="101" t="n"/>
      <c r="F19" s="100" t="n"/>
      <c r="G19" s="100" t="n"/>
      <c r="H19" s="100" t="n"/>
      <c r="I19" s="100" t="n"/>
      <c r="J19" s="100" t="n"/>
      <c r="K19" s="100" t="n"/>
      <c r="L19" s="101" t="n"/>
      <c r="M19" s="100" t="n"/>
      <c r="N19" s="100" t="n"/>
      <c r="O19" s="100" t="n"/>
      <c r="P19" s="100" t="n"/>
      <c r="Q19" s="100" t="n"/>
      <c r="R19" s="100" t="n"/>
      <c r="S19" s="101" t="n"/>
      <c r="T19" s="100" t="n"/>
      <c r="U19" s="100" t="n"/>
      <c r="V19" s="100" t="n"/>
      <c r="W19" s="100" t="n"/>
      <c r="X19" s="100" t="n"/>
      <c r="Y19" s="100" t="n"/>
      <c r="Z19" s="101" t="n"/>
      <c r="AA19" s="100" t="n"/>
      <c r="AB19" s="100" t="n"/>
      <c r="AC19" s="100" t="n"/>
      <c r="AD19" s="100" t="n"/>
      <c r="AE19" s="100" t="n"/>
      <c r="AF19" s="100" t="n"/>
      <c r="AG19" s="101" t="n"/>
      <c r="AH19" s="100" t="n"/>
      <c r="AI19" s="102">
        <f>IF(ISBLANK(B19), "", IF(ISNUMBER(D19), IF(D19&gt;0, (COUNTIF(E19:AH19, "✓") + COUNTIF(E19:AH19, "✔") + COUNTIF(E19:AH19, "v") + COUNTIF(E19:AH19, "V"))/D19, 0), IF(((COUNTIF(E19:AH19, "✓") + COUNTIF(E19:AH19, "✔") + COUNTIF(E19:AH19, "v") + COUNTIF(E19:AH19, "V")) + COUNTIF(E19:AH19, "✗") + COUNTIF(E19:AH19, "x") + COUNTIF(E19:AH19, "X"))&gt;0, (COUNTIF(E19:AH19, "✓") + COUNTIF(E19:AH19, "✔") + COUNTIF(E19:AH19, "v") + COUNTIF(E19:AH19, "V"))/((COUNTIF(E19:AH19, "✓") + COUNTIF(E19:AH19, "✔") + COUNTIF(E19:AH19, "v") + COUNTIF(E19:AH19, "V")) + COUNTIF(E19:AH19, "✗") + COUNTIF(E19:AH19, "x") + COUNTIF(E19:AH19, "X")), "")))</f>
        <v/>
      </c>
      <c r="AJ19" s="103">
        <f>IF(ISBLANK(B19), "", IF(ISNUMBER(D19), IF(D19&gt;0, (COUNTIF(E19:AH19, "✓") + COUNTIF(E19:AH19, "✔") + COUNTIF(E19:AH19, "v") + COUNTIF(E19:AH19, "V")) &amp; "/" &amp; D19, (COUNTIF(E19:AH19, "✓") + COUNTIF(E19:AH19, "✔") + COUNTIF(E19:AH19, "v") + COUNTIF(E19:AH19, "V")) &amp; "/0"), IF(((COUNTIF(E19:AH19, "✓") + COUNTIF(E19:AH19, "✔") + COUNTIF(E19:AH19, "v") + COUNTIF(E19:AH19, "V")) + COUNTIF(E19:AH19, "✗") + COUNTIF(E19:AH19, "x") + COUNTIF(E19:AH19, "X"))&gt;0, (COUNTIF(E19:AH19, "✓") + COUNTIF(E19:AH19, "✔") + COUNTIF(E19:AH19, "v") + COUNTIF(E19:AH19, "V")) &amp; "/" &amp; ((COUNTIF(E19:AH19, "✓") + COUNTIF(E19:AH19, "✔") + COUNTIF(E19:AH19, "v") + COUNTIF(E19:AH19, "V")) + COUNTIF(E19:AH19, "✗") + COUNTIF(E19:AH19, "x") + COUNTIF(E19:AH19, "X")), "")))</f>
        <v/>
      </c>
      <c r="AK19" s="103">
        <f>IF(ISBLANK(B19), "", IF(AI19&gt;=0.85, "🔥 Mastered", IF(AI19&gt;=0.7, "⚡ Consistent", "⚠️ Needs Focus")))</f>
        <v/>
      </c>
      <c r="AL19">
        <f>COUNTIF(E19:AH19, "✓")</f>
        <v/>
      </c>
    </row>
    <row r="20" ht="14.5" customHeight="1">
      <c r="A20" s="97" t="n">
        <v>3</v>
      </c>
      <c r="B20" s="98" t="n"/>
      <c r="C20" s="99" t="n"/>
      <c r="D20" s="99" t="n"/>
      <c r="E20" s="101" t="n"/>
      <c r="F20" s="100" t="n"/>
      <c r="G20" s="100" t="n"/>
      <c r="H20" s="100" t="n"/>
      <c r="I20" s="100" t="n"/>
      <c r="J20" s="100" t="n"/>
      <c r="K20" s="100" t="n"/>
      <c r="L20" s="101" t="n"/>
      <c r="M20" s="100" t="n"/>
      <c r="N20" s="100" t="n"/>
      <c r="O20" s="100" t="n"/>
      <c r="P20" s="100" t="n"/>
      <c r="Q20" s="100" t="n"/>
      <c r="R20" s="100" t="n"/>
      <c r="S20" s="101" t="n"/>
      <c r="T20" s="100" t="n"/>
      <c r="U20" s="100" t="n"/>
      <c r="V20" s="100" t="n"/>
      <c r="W20" s="100" t="n"/>
      <c r="X20" s="100" t="n"/>
      <c r="Y20" s="100" t="n"/>
      <c r="Z20" s="101" t="n"/>
      <c r="AA20" s="100" t="n"/>
      <c r="AB20" s="100" t="n"/>
      <c r="AC20" s="100" t="n"/>
      <c r="AD20" s="100" t="n"/>
      <c r="AE20" s="100" t="n"/>
      <c r="AF20" s="100" t="n"/>
      <c r="AG20" s="101" t="n"/>
      <c r="AH20" s="100" t="n"/>
      <c r="AI20" s="102">
        <f>IF(ISBLANK(B20), "", IF(ISNUMBER(D20), IF(D20&gt;0, (COUNTIF(E20:AH20, "✓") + COUNTIF(E20:AH20, "✔") + COUNTIF(E20:AH20, "v") + COUNTIF(E20:AH20, "V"))/D20, 0), IF(((COUNTIF(E20:AH20, "✓") + COUNTIF(E20:AH20, "✔") + COUNTIF(E20:AH20, "v") + COUNTIF(E20:AH20, "V")) + COUNTIF(E20:AH20, "✗") + COUNTIF(E20:AH20, "x") + COUNTIF(E20:AH20, "X"))&gt;0, (COUNTIF(E20:AH20, "✓") + COUNTIF(E20:AH20, "✔") + COUNTIF(E20:AH20, "v") + COUNTIF(E20:AH20, "V"))/((COUNTIF(E20:AH20, "✓") + COUNTIF(E20:AH20, "✔") + COUNTIF(E20:AH20, "v") + COUNTIF(E20:AH20, "V")) + COUNTIF(E20:AH20, "✗") + COUNTIF(E20:AH20, "x") + COUNTIF(E20:AH20, "X")), "")))</f>
        <v/>
      </c>
      <c r="AJ20" s="103">
        <f>IF(ISBLANK(B20), "", IF(ISNUMBER(D20), IF(D20&gt;0, (COUNTIF(E20:AH20, "✓") + COUNTIF(E20:AH20, "✔") + COUNTIF(E20:AH20, "v") + COUNTIF(E20:AH20, "V")) &amp; "/" &amp; D20, (COUNTIF(E20:AH20, "✓") + COUNTIF(E20:AH20, "✔") + COUNTIF(E20:AH20, "v") + COUNTIF(E20:AH20, "V")) &amp; "/0"), IF(((COUNTIF(E20:AH20, "✓") + COUNTIF(E20:AH20, "✔") + COUNTIF(E20:AH20, "v") + COUNTIF(E20:AH20, "V")) + COUNTIF(E20:AH20, "✗") + COUNTIF(E20:AH20, "x") + COUNTIF(E20:AH20, "X"))&gt;0, (COUNTIF(E20:AH20, "✓") + COUNTIF(E20:AH20, "✔") + COUNTIF(E20:AH20, "v") + COUNTIF(E20:AH20, "V")) &amp; "/" &amp; ((COUNTIF(E20:AH20, "✓") + COUNTIF(E20:AH20, "✔") + COUNTIF(E20:AH20, "v") + COUNTIF(E20:AH20, "V")) + COUNTIF(E20:AH20, "✗") + COUNTIF(E20:AH20, "x") + COUNTIF(E20:AH20, "X")), "")))</f>
        <v/>
      </c>
      <c r="AK20" s="103">
        <f>IF(ISBLANK(B20), "", IF(AI20&gt;=0.85, "🔥 Mastered", IF(AI20&gt;=0.7, "⚡ Consistent", "⚠️ Needs Focus")))</f>
        <v/>
      </c>
      <c r="AL20">
        <f>COUNTIF(E20:AH20, "✓")</f>
        <v/>
      </c>
    </row>
    <row r="21" ht="14.5" customHeight="1">
      <c r="A21" s="97" t="n">
        <v>4</v>
      </c>
      <c r="B21" s="98" t="n"/>
      <c r="C21" s="99" t="n"/>
      <c r="D21" s="99" t="n"/>
      <c r="E21" s="101" t="n"/>
      <c r="F21" s="100" t="n"/>
      <c r="G21" s="100" t="n"/>
      <c r="H21" s="100" t="n"/>
      <c r="I21" s="100" t="n"/>
      <c r="J21" s="100" t="n"/>
      <c r="K21" s="100" t="n"/>
      <c r="L21" s="101" t="n"/>
      <c r="M21" s="100" t="n"/>
      <c r="N21" s="100" t="n"/>
      <c r="O21" s="100" t="n"/>
      <c r="P21" s="100" t="n"/>
      <c r="Q21" s="100" t="n"/>
      <c r="R21" s="100" t="n"/>
      <c r="S21" s="101" t="n"/>
      <c r="T21" s="100" t="n"/>
      <c r="U21" s="100" t="n"/>
      <c r="V21" s="100" t="n"/>
      <c r="W21" s="100" t="n"/>
      <c r="X21" s="100" t="n"/>
      <c r="Y21" s="100" t="n"/>
      <c r="Z21" s="101" t="n"/>
      <c r="AA21" s="100" t="n"/>
      <c r="AB21" s="100" t="n"/>
      <c r="AC21" s="100" t="n"/>
      <c r="AD21" s="100" t="n"/>
      <c r="AE21" s="100" t="n"/>
      <c r="AF21" s="100" t="n"/>
      <c r="AG21" s="101" t="n"/>
      <c r="AH21" s="100" t="n"/>
      <c r="AI21" s="102">
        <f>IF(ISBLANK(B21), "", IF(ISNUMBER(D21), IF(D21&gt;0, (COUNTIF(E21:AH21, "✓") + COUNTIF(E21:AH21, "✔") + COUNTIF(E21:AH21, "v") + COUNTIF(E21:AH21, "V"))/D21, 0), IF(((COUNTIF(E21:AH21, "✓") + COUNTIF(E21:AH21, "✔") + COUNTIF(E21:AH21, "v") + COUNTIF(E21:AH21, "V")) + COUNTIF(E21:AH21, "✗") + COUNTIF(E21:AH21, "x") + COUNTIF(E21:AH21, "X"))&gt;0, (COUNTIF(E21:AH21, "✓") + COUNTIF(E21:AH21, "✔") + COUNTIF(E21:AH21, "v") + COUNTIF(E21:AH21, "V"))/((COUNTIF(E21:AH21, "✓") + COUNTIF(E21:AH21, "✔") + COUNTIF(E21:AH21, "v") + COUNTIF(E21:AH21, "V")) + COUNTIF(E21:AH21, "✗") + COUNTIF(E21:AH21, "x") + COUNTIF(E21:AH21, "X")), "")))</f>
        <v/>
      </c>
      <c r="AJ21" s="103">
        <f>IF(ISBLANK(B21), "", IF(ISNUMBER(D21), IF(D21&gt;0, (COUNTIF(E21:AH21, "✓") + COUNTIF(E21:AH21, "✔") + COUNTIF(E21:AH21, "v") + COUNTIF(E21:AH21, "V")) &amp; "/" &amp; D21, (COUNTIF(E21:AH21, "✓") + COUNTIF(E21:AH21, "✔") + COUNTIF(E21:AH21, "v") + COUNTIF(E21:AH21, "V")) &amp; "/0"), IF(((COUNTIF(E21:AH21, "✓") + COUNTIF(E21:AH21, "✔") + COUNTIF(E21:AH21, "v") + COUNTIF(E21:AH21, "V")) + COUNTIF(E21:AH21, "✗") + COUNTIF(E21:AH21, "x") + COUNTIF(E21:AH21, "X"))&gt;0, (COUNTIF(E21:AH21, "✓") + COUNTIF(E21:AH21, "✔") + COUNTIF(E21:AH21, "v") + COUNTIF(E21:AH21, "V")) &amp; "/" &amp; ((COUNTIF(E21:AH21, "✓") + COUNTIF(E21:AH21, "✔") + COUNTIF(E21:AH21, "v") + COUNTIF(E21:AH21, "V")) + COUNTIF(E21:AH21, "✗") + COUNTIF(E21:AH21, "x") + COUNTIF(E21:AH21, "X")), "")))</f>
        <v/>
      </c>
      <c r="AK21" s="103">
        <f>IF(ISBLANK(B21), "", IF(AI21&gt;=0.85, "🔥 Mastered", IF(AI21&gt;=0.7, "⚡ Consistent", "⚠️ Needs Focus")))</f>
        <v/>
      </c>
      <c r="AL21">
        <f>COUNTIF(E21:AH21, "✓")</f>
        <v/>
      </c>
    </row>
    <row r="22" ht="14.5" customHeight="1">
      <c r="A22" s="104" t="n">
        <v>5</v>
      </c>
      <c r="B22" s="105" t="n"/>
      <c r="C22" s="106" t="n"/>
      <c r="D22" s="106" t="n"/>
      <c r="E22" s="108" t="n"/>
      <c r="F22" s="107" t="n"/>
      <c r="G22" s="107" t="n"/>
      <c r="H22" s="107" t="n"/>
      <c r="I22" s="107" t="n"/>
      <c r="J22" s="107" t="n"/>
      <c r="K22" s="107" t="n"/>
      <c r="L22" s="108" t="n"/>
      <c r="M22" s="107" t="n"/>
      <c r="N22" s="107" t="n"/>
      <c r="O22" s="107" t="n"/>
      <c r="P22" s="107" t="n"/>
      <c r="Q22" s="107" t="n"/>
      <c r="R22" s="107" t="n"/>
      <c r="S22" s="108" t="n"/>
      <c r="T22" s="107" t="n"/>
      <c r="U22" s="107" t="n"/>
      <c r="V22" s="107" t="n"/>
      <c r="W22" s="107" t="n"/>
      <c r="X22" s="107" t="n"/>
      <c r="Y22" s="107" t="n"/>
      <c r="Z22" s="108" t="n"/>
      <c r="AA22" s="107" t="n"/>
      <c r="AB22" s="107" t="n"/>
      <c r="AC22" s="107" t="n"/>
      <c r="AD22" s="107" t="n"/>
      <c r="AE22" s="107" t="n"/>
      <c r="AF22" s="107" t="n"/>
      <c r="AG22" s="108" t="n"/>
      <c r="AH22" s="107" t="n"/>
      <c r="AI22" s="109">
        <f>IF(ISBLANK(B22), "", IF(ISNUMBER(D22), IF(D22&gt;0, (COUNTIF(E22:AH22, "✓") + COUNTIF(E22:AH22, "✔") + COUNTIF(E22:AH22, "v") + COUNTIF(E22:AH22, "V"))/D22, 0), IF(((COUNTIF(E22:AH22, "✓") + COUNTIF(E22:AH22, "✔") + COUNTIF(E22:AH22, "v") + COUNTIF(E22:AH22, "V")) + COUNTIF(E22:AH22, "✗") + COUNTIF(E22:AH22, "x") + COUNTIF(E22:AH22, "X"))&gt;0, (COUNTIF(E22:AH22, "✓") + COUNTIF(E22:AH22, "✔") + COUNTIF(E22:AH22, "v") + COUNTIF(E22:AH22, "V"))/((COUNTIF(E22:AH22, "✓") + COUNTIF(E22:AH22, "✔") + COUNTIF(E22:AH22, "v") + COUNTIF(E22:AH22, "V")) + COUNTIF(E22:AH22, "✗") + COUNTIF(E22:AH22, "x") + COUNTIF(E22:AH22, "X")), "")))</f>
        <v/>
      </c>
      <c r="AJ22" s="110">
        <f>IF(ISBLANK(B22), "", IF(ISNUMBER(D22), IF(D22&gt;0, (COUNTIF(E22:AH22, "✓") + COUNTIF(E22:AH22, "✔") + COUNTIF(E22:AH22, "v") + COUNTIF(E22:AH22, "V")) &amp; "/" &amp; D22, (COUNTIF(E22:AH22, "✓") + COUNTIF(E22:AH22, "✔") + COUNTIF(E22:AH22, "v") + COUNTIF(E22:AH22, "V")) &amp; "/0"), IF(((COUNTIF(E22:AH22, "✓") + COUNTIF(E22:AH22, "✔") + COUNTIF(E22:AH22, "v") + COUNTIF(E22:AH22, "V")) + COUNTIF(E22:AH22, "✗") + COUNTIF(E22:AH22, "x") + COUNTIF(E22:AH22, "X"))&gt;0, (COUNTIF(E22:AH22, "✓") + COUNTIF(E22:AH22, "✔") + COUNTIF(E22:AH22, "v") + COUNTIF(E22:AH22, "V")) &amp; "/" &amp; ((COUNTIF(E22:AH22, "✓") + COUNTIF(E22:AH22, "✔") + COUNTIF(E22:AH22, "v") + COUNTIF(E22:AH22, "V")) + COUNTIF(E22:AH22, "✗") + COUNTIF(E22:AH22, "x") + COUNTIF(E22:AH22, "X")), "")))</f>
        <v/>
      </c>
      <c r="AK22" s="110">
        <f>IF(ISBLANK(B22), "", IF(AI22&gt;=0.85, "🔥 Mastered", IF(AI22&gt;=0.7, "⚡ Consistent", "⚠️ Needs Focus")))</f>
        <v/>
      </c>
      <c r="AL22">
        <f>COUNTIF(E22:AH22, "✓")</f>
        <v/>
      </c>
    </row>
    <row r="23" ht="14.5" customHeight="1">
      <c r="A23" s="104" t="n">
        <v>6</v>
      </c>
      <c r="B23" s="105" t="n"/>
      <c r="C23" s="106" t="n"/>
      <c r="D23" s="106" t="n"/>
      <c r="E23" s="108" t="n"/>
      <c r="F23" s="107" t="n"/>
      <c r="G23" s="107" t="n"/>
      <c r="H23" s="107" t="n"/>
      <c r="I23" s="107" t="n"/>
      <c r="J23" s="107" t="n"/>
      <c r="K23" s="107" t="n"/>
      <c r="L23" s="108" t="n"/>
      <c r="M23" s="107" t="n"/>
      <c r="N23" s="107" t="n"/>
      <c r="O23" s="107" t="n"/>
      <c r="P23" s="107" t="n"/>
      <c r="Q23" s="107" t="n"/>
      <c r="R23" s="107" t="n"/>
      <c r="S23" s="108" t="n"/>
      <c r="T23" s="107" t="n"/>
      <c r="U23" s="107" t="n"/>
      <c r="V23" s="107" t="n"/>
      <c r="W23" s="107" t="n"/>
      <c r="X23" s="107" t="n"/>
      <c r="Y23" s="107" t="n"/>
      <c r="Z23" s="108" t="n"/>
      <c r="AA23" s="107" t="n"/>
      <c r="AB23" s="107" t="n"/>
      <c r="AC23" s="107" t="n"/>
      <c r="AD23" s="107" t="n"/>
      <c r="AE23" s="107" t="n"/>
      <c r="AF23" s="107" t="n"/>
      <c r="AG23" s="108" t="n"/>
      <c r="AH23" s="107" t="n"/>
      <c r="AI23" s="109">
        <f>IF(ISBLANK(B23), "", IF(ISNUMBER(D23), IF(D23&gt;0, (COUNTIF(E23:AH23, "✓") + COUNTIF(E23:AH23, "✔") + COUNTIF(E23:AH23, "v") + COUNTIF(E23:AH23, "V"))/D23, 0), IF(((COUNTIF(E23:AH23, "✓") + COUNTIF(E23:AH23, "✔") + COUNTIF(E23:AH23, "v") + COUNTIF(E23:AH23, "V")) + COUNTIF(E23:AH23, "✗") + COUNTIF(E23:AH23, "x") + COUNTIF(E23:AH23, "X"))&gt;0, (COUNTIF(E23:AH23, "✓") + COUNTIF(E23:AH23, "✔") + COUNTIF(E23:AH23, "v") + COUNTIF(E23:AH23, "V"))/((COUNTIF(E23:AH23, "✓") + COUNTIF(E23:AH23, "✔") + COUNTIF(E23:AH23, "v") + COUNTIF(E23:AH23, "V")) + COUNTIF(E23:AH23, "✗") + COUNTIF(E23:AH23, "x") + COUNTIF(E23:AH23, "X")), "")))</f>
        <v/>
      </c>
      <c r="AJ23" s="110">
        <f>IF(ISBLANK(B23), "", IF(ISNUMBER(D23), IF(D23&gt;0, (COUNTIF(E23:AH23, "✓") + COUNTIF(E23:AH23, "✔") + COUNTIF(E23:AH23, "v") + COUNTIF(E23:AH23, "V")) &amp; "/" &amp; D23, (COUNTIF(E23:AH23, "✓") + COUNTIF(E23:AH23, "✔") + COUNTIF(E23:AH23, "v") + COUNTIF(E23:AH23, "V")) &amp; "/0"), IF(((COUNTIF(E23:AH23, "✓") + COUNTIF(E23:AH23, "✔") + COUNTIF(E23:AH23, "v") + COUNTIF(E23:AH23, "V")) + COUNTIF(E23:AH23, "✗") + COUNTIF(E23:AH23, "x") + COUNTIF(E23:AH23, "X"))&gt;0, (COUNTIF(E23:AH23, "✓") + COUNTIF(E23:AH23, "✔") + COUNTIF(E23:AH23, "v") + COUNTIF(E23:AH23, "V")) &amp; "/" &amp; ((COUNTIF(E23:AH23, "✓") + COUNTIF(E23:AH23, "✔") + COUNTIF(E23:AH23, "v") + COUNTIF(E23:AH23, "V")) + COUNTIF(E23:AH23, "✗") + COUNTIF(E23:AH23, "x") + COUNTIF(E23:AH23, "X")), "")))</f>
        <v/>
      </c>
      <c r="AK23" s="110">
        <f>IF(ISBLANK(B23), "", IF(AI23&gt;=0.85, "🔥 Mastered", IF(AI23&gt;=0.7, "⚡ Consistent", "⚠️ Needs Focus")))</f>
        <v/>
      </c>
      <c r="AL23">
        <f>COUNTIF(E23:AH23, "✓")</f>
        <v/>
      </c>
    </row>
    <row r="24" ht="14.5" customHeight="1">
      <c r="A24" s="104" t="n">
        <v>7</v>
      </c>
      <c r="B24" s="105" t="n"/>
      <c r="C24" s="106" t="n"/>
      <c r="D24" s="106" t="n"/>
      <c r="E24" s="108" t="n"/>
      <c r="F24" s="107" t="n"/>
      <c r="G24" s="107" t="n"/>
      <c r="H24" s="107" t="n"/>
      <c r="I24" s="107" t="n"/>
      <c r="J24" s="107" t="n"/>
      <c r="K24" s="107" t="n"/>
      <c r="L24" s="108" t="n"/>
      <c r="M24" s="107" t="n"/>
      <c r="N24" s="107" t="n"/>
      <c r="O24" s="107" t="n"/>
      <c r="P24" s="107" t="n"/>
      <c r="Q24" s="107" t="n"/>
      <c r="R24" s="107" t="n"/>
      <c r="S24" s="108" t="n"/>
      <c r="T24" s="107" t="n"/>
      <c r="U24" s="107" t="n"/>
      <c r="V24" s="107" t="n"/>
      <c r="W24" s="107" t="n"/>
      <c r="X24" s="107" t="n"/>
      <c r="Y24" s="107" t="n"/>
      <c r="Z24" s="108" t="n"/>
      <c r="AA24" s="107" t="n"/>
      <c r="AB24" s="107" t="n"/>
      <c r="AC24" s="107" t="n"/>
      <c r="AD24" s="107" t="n"/>
      <c r="AE24" s="107" t="n"/>
      <c r="AF24" s="107" t="n"/>
      <c r="AG24" s="108" t="n"/>
      <c r="AH24" s="107" t="n"/>
      <c r="AI24" s="109">
        <f>IF(ISBLANK(B24), "", IF(ISNUMBER(D24), IF(D24&gt;0, (COUNTIF(E24:AH24, "✓") + COUNTIF(E24:AH24, "✔") + COUNTIF(E24:AH24, "v") + COUNTIF(E24:AH24, "V"))/D24, 0), IF(((COUNTIF(E24:AH24, "✓") + COUNTIF(E24:AH24, "✔") + COUNTIF(E24:AH24, "v") + COUNTIF(E24:AH24, "V")) + COUNTIF(E24:AH24, "✗") + COUNTIF(E24:AH24, "x") + COUNTIF(E24:AH24, "X"))&gt;0, (COUNTIF(E24:AH24, "✓") + COUNTIF(E24:AH24, "✔") + COUNTIF(E24:AH24, "v") + COUNTIF(E24:AH24, "V"))/((COUNTIF(E24:AH24, "✓") + COUNTIF(E24:AH24, "✔") + COUNTIF(E24:AH24, "v") + COUNTIF(E24:AH24, "V")) + COUNTIF(E24:AH24, "✗") + COUNTIF(E24:AH24, "x") + COUNTIF(E24:AH24, "X")), "")))</f>
        <v/>
      </c>
      <c r="AJ24" s="110">
        <f>IF(ISBLANK(B24), "", IF(ISNUMBER(D24), IF(D24&gt;0, (COUNTIF(E24:AH24, "✓") + COUNTIF(E24:AH24, "✔") + COUNTIF(E24:AH24, "v") + COUNTIF(E24:AH24, "V")) &amp; "/" &amp; D24, (COUNTIF(E24:AH24, "✓") + COUNTIF(E24:AH24, "✔") + COUNTIF(E24:AH24, "v") + COUNTIF(E24:AH24, "V")) &amp; "/0"), IF(((COUNTIF(E24:AH24, "✓") + COUNTIF(E24:AH24, "✔") + COUNTIF(E24:AH24, "v") + COUNTIF(E24:AH24, "V")) + COUNTIF(E24:AH24, "✗") + COUNTIF(E24:AH24, "x") + COUNTIF(E24:AH24, "X"))&gt;0, (COUNTIF(E24:AH24, "✓") + COUNTIF(E24:AH24, "✔") + COUNTIF(E24:AH24, "v") + COUNTIF(E24:AH24, "V")) &amp; "/" &amp; ((COUNTIF(E24:AH24, "✓") + COUNTIF(E24:AH24, "✔") + COUNTIF(E24:AH24, "v") + COUNTIF(E24:AH24, "V")) + COUNTIF(E24:AH24, "✗") + COUNTIF(E24:AH24, "x") + COUNTIF(E24:AH24, "X")), "")))</f>
        <v/>
      </c>
      <c r="AK24" s="110">
        <f>IF(ISBLANK(B24), "", IF(AI24&gt;=0.85, "🔥 Mastered", IF(AI24&gt;=0.7, "⚡ Consistent", "⚠️ Needs Focus")))</f>
        <v/>
      </c>
      <c r="AL24">
        <f>COUNTIF(E24:AH24, "✓")</f>
        <v/>
      </c>
    </row>
    <row r="25" ht="14.5" customHeight="1">
      <c r="A25" s="104" t="n">
        <v>8</v>
      </c>
      <c r="B25" s="105" t="n"/>
      <c r="C25" s="106" t="n"/>
      <c r="D25" s="106" t="n"/>
      <c r="E25" s="108" t="n"/>
      <c r="F25" s="107" t="n"/>
      <c r="G25" s="107" t="n"/>
      <c r="H25" s="107" t="n"/>
      <c r="I25" s="107" t="n"/>
      <c r="J25" s="107" t="n"/>
      <c r="K25" s="107" t="n"/>
      <c r="L25" s="108" t="n"/>
      <c r="M25" s="107" t="n"/>
      <c r="N25" s="107" t="n"/>
      <c r="O25" s="107" t="n"/>
      <c r="P25" s="107" t="n"/>
      <c r="Q25" s="107" t="n"/>
      <c r="R25" s="107" t="n"/>
      <c r="S25" s="108" t="n"/>
      <c r="T25" s="107" t="n"/>
      <c r="U25" s="107" t="n"/>
      <c r="V25" s="107" t="n"/>
      <c r="W25" s="107" t="n"/>
      <c r="X25" s="107" t="n"/>
      <c r="Y25" s="107" t="n"/>
      <c r="Z25" s="108" t="n"/>
      <c r="AA25" s="107" t="n"/>
      <c r="AB25" s="107" t="n"/>
      <c r="AC25" s="107" t="n"/>
      <c r="AD25" s="107" t="n"/>
      <c r="AE25" s="107" t="n"/>
      <c r="AF25" s="107" t="n"/>
      <c r="AG25" s="108" t="n"/>
      <c r="AH25" s="107" t="n"/>
      <c r="AI25" s="109">
        <f>IF(ISBLANK(B25), "", IF(ISNUMBER(D25), IF(D25&gt;0, (COUNTIF(E25:AH25, "✓") + COUNTIF(E25:AH25, "✔") + COUNTIF(E25:AH25, "v") + COUNTIF(E25:AH25, "V"))/D25, 0), IF(((COUNTIF(E25:AH25, "✓") + COUNTIF(E25:AH25, "✔") + COUNTIF(E25:AH25, "v") + COUNTIF(E25:AH25, "V")) + COUNTIF(E25:AH25, "✗") + COUNTIF(E25:AH25, "x") + COUNTIF(E25:AH25, "X"))&gt;0, (COUNTIF(E25:AH25, "✓") + COUNTIF(E25:AH25, "✔") + COUNTIF(E25:AH25, "v") + COUNTIF(E25:AH25, "V"))/((COUNTIF(E25:AH25, "✓") + COUNTIF(E25:AH25, "✔") + COUNTIF(E25:AH25, "v") + COUNTIF(E25:AH25, "V")) + COUNTIF(E25:AH25, "✗") + COUNTIF(E25:AH25, "x") + COUNTIF(E25:AH25, "X")), "")))</f>
        <v/>
      </c>
      <c r="AJ25" s="110">
        <f>IF(ISBLANK(B25), "", IF(ISNUMBER(D25), IF(D25&gt;0, (COUNTIF(E25:AH25, "✓") + COUNTIF(E25:AH25, "✔") + COUNTIF(E25:AH25, "v") + COUNTIF(E25:AH25, "V")) &amp; "/" &amp; D25, (COUNTIF(E25:AH25, "✓") + COUNTIF(E25:AH25, "✔") + COUNTIF(E25:AH25, "v") + COUNTIF(E25:AH25, "V")) &amp; "/0"), IF(((COUNTIF(E25:AH25, "✓") + COUNTIF(E25:AH25, "✔") + COUNTIF(E25:AH25, "v") + COUNTIF(E25:AH25, "V")) + COUNTIF(E25:AH25, "✗") + COUNTIF(E25:AH25, "x") + COUNTIF(E25:AH25, "X"))&gt;0, (COUNTIF(E25:AH25, "✓") + COUNTIF(E25:AH25, "✔") + COUNTIF(E25:AH25, "v") + COUNTIF(E25:AH25, "V")) &amp; "/" &amp; ((COUNTIF(E25:AH25, "✓") + COUNTIF(E25:AH25, "✔") + COUNTIF(E25:AH25, "v") + COUNTIF(E25:AH25, "V")) + COUNTIF(E25:AH25, "✗") + COUNTIF(E25:AH25, "x") + COUNTIF(E25:AH25, "X")), "")))</f>
        <v/>
      </c>
      <c r="AK25" s="110">
        <f>IF(ISBLANK(B25), "", IF(AI25&gt;=0.85, "🔥 Mastered", IF(AI25&gt;=0.7, "⚡ Consistent", "⚠️ Needs Focus")))</f>
        <v/>
      </c>
      <c r="AL25">
        <f>COUNTIF(E25:AH25, "✓")</f>
        <v/>
      </c>
    </row>
    <row r="26" ht="14.5" customHeight="1">
      <c r="A26" s="111" t="n">
        <v>9</v>
      </c>
      <c r="B26" s="112" t="n"/>
      <c r="C26" s="113" t="n"/>
      <c r="D26" s="113" t="n"/>
      <c r="E26" s="115" t="n"/>
      <c r="F26" s="114" t="n"/>
      <c r="G26" s="114" t="n"/>
      <c r="H26" s="114" t="n"/>
      <c r="I26" s="114" t="n"/>
      <c r="J26" s="114" t="n"/>
      <c r="K26" s="114" t="n"/>
      <c r="L26" s="115" t="n"/>
      <c r="M26" s="114" t="n"/>
      <c r="N26" s="114" t="n"/>
      <c r="O26" s="114" t="n"/>
      <c r="P26" s="114" t="n"/>
      <c r="Q26" s="114" t="n"/>
      <c r="R26" s="114" t="n"/>
      <c r="S26" s="115" t="n"/>
      <c r="T26" s="114" t="n"/>
      <c r="U26" s="114" t="n"/>
      <c r="V26" s="114" t="n"/>
      <c r="W26" s="114" t="n"/>
      <c r="X26" s="114" t="n"/>
      <c r="Y26" s="114" t="n"/>
      <c r="Z26" s="115" t="n"/>
      <c r="AA26" s="114" t="n"/>
      <c r="AB26" s="114" t="n"/>
      <c r="AC26" s="114" t="n"/>
      <c r="AD26" s="114" t="n"/>
      <c r="AE26" s="114" t="n"/>
      <c r="AF26" s="114" t="n"/>
      <c r="AG26" s="115" t="n"/>
      <c r="AH26" s="114" t="n"/>
      <c r="AI26" s="116">
        <f>IF(ISBLANK(B26), "", IF(ISNUMBER(D26), IF(D26&gt;0, (COUNTIF(E26:AH26, "✓") + COUNTIF(E26:AH26, "✔") + COUNTIF(E26:AH26, "v") + COUNTIF(E26:AH26, "V"))/D26, 0), IF(((COUNTIF(E26:AH26, "✓") + COUNTIF(E26:AH26, "✔") + COUNTIF(E26:AH26, "v") + COUNTIF(E26:AH26, "V")) + COUNTIF(E26:AH26, "✗") + COUNTIF(E26:AH26, "x") + COUNTIF(E26:AH26, "X"))&gt;0, (COUNTIF(E26:AH26, "✓") + COUNTIF(E26:AH26, "✔") + COUNTIF(E26:AH26, "v") + COUNTIF(E26:AH26, "V"))/((COUNTIF(E26:AH26, "✓") + COUNTIF(E26:AH26, "✔") + COUNTIF(E26:AH26, "v") + COUNTIF(E26:AH26, "V")) + COUNTIF(E26:AH26, "✗") + COUNTIF(E26:AH26, "x") + COUNTIF(E26:AH26, "X")), "")))</f>
        <v/>
      </c>
      <c r="AJ26" s="117">
        <f>IF(ISBLANK(B26), "", IF(ISNUMBER(D26), IF(D26&gt;0, (COUNTIF(E26:AH26, "✓") + COUNTIF(E26:AH26, "✔") + COUNTIF(E26:AH26, "v") + COUNTIF(E26:AH26, "V")) &amp; "/" &amp; D26, (COUNTIF(E26:AH26, "✓") + COUNTIF(E26:AH26, "✔") + COUNTIF(E26:AH26, "v") + COUNTIF(E26:AH26, "V")) &amp; "/0"), IF(((COUNTIF(E26:AH26, "✓") + COUNTIF(E26:AH26, "✔") + COUNTIF(E26:AH26, "v") + COUNTIF(E26:AH26, "V")) + COUNTIF(E26:AH26, "✗") + COUNTIF(E26:AH26, "x") + COUNTIF(E26:AH26, "X"))&gt;0, (COUNTIF(E26:AH26, "✓") + COUNTIF(E26:AH26, "✔") + COUNTIF(E26:AH26, "v") + COUNTIF(E26:AH26, "V")) &amp; "/" &amp; ((COUNTIF(E26:AH26, "✓") + COUNTIF(E26:AH26, "✔") + COUNTIF(E26:AH26, "v") + COUNTIF(E26:AH26, "V")) + COUNTIF(E26:AH26, "✗") + COUNTIF(E26:AH26, "x") + COUNTIF(E26:AH26, "X")), "")))</f>
        <v/>
      </c>
      <c r="AK26" s="117">
        <f>IF(ISBLANK(B26), "", IF(AI26&gt;=0.85, "🔥 Mastered", IF(AI26&gt;=0.7, "⚡ Consistent", "⚠️ Needs Focus")))</f>
        <v/>
      </c>
      <c r="AL26">
        <f>COUNTIF(E26:AH26, "✓")</f>
        <v/>
      </c>
    </row>
    <row r="27" ht="14.5" customHeight="1">
      <c r="A27" s="111" t="n">
        <v>10</v>
      </c>
      <c r="B27" s="112" t="n"/>
      <c r="C27" s="113" t="n"/>
      <c r="D27" s="113" t="n"/>
      <c r="E27" s="115" t="n"/>
      <c r="F27" s="114" t="n"/>
      <c r="G27" s="114" t="n"/>
      <c r="H27" s="114" t="n"/>
      <c r="I27" s="114" t="n"/>
      <c r="J27" s="114" t="n"/>
      <c r="K27" s="114" t="n"/>
      <c r="L27" s="115" t="n"/>
      <c r="M27" s="114" t="n"/>
      <c r="N27" s="114" t="n"/>
      <c r="O27" s="114" t="n"/>
      <c r="P27" s="114" t="n"/>
      <c r="Q27" s="114" t="n"/>
      <c r="R27" s="114" t="n"/>
      <c r="S27" s="115" t="n"/>
      <c r="T27" s="114" t="n"/>
      <c r="U27" s="114" t="n"/>
      <c r="V27" s="114" t="n"/>
      <c r="W27" s="114" t="n"/>
      <c r="X27" s="114" t="n"/>
      <c r="Y27" s="114" t="n"/>
      <c r="Z27" s="115" t="n"/>
      <c r="AA27" s="114" t="n"/>
      <c r="AB27" s="114" t="n"/>
      <c r="AC27" s="114" t="n"/>
      <c r="AD27" s="114" t="n"/>
      <c r="AE27" s="114" t="n"/>
      <c r="AF27" s="114" t="n"/>
      <c r="AG27" s="115" t="n"/>
      <c r="AH27" s="114" t="n"/>
      <c r="AI27" s="116">
        <f>IF(ISBLANK(B27), "", IF(ISNUMBER(D27), IF(D27&gt;0, (COUNTIF(E27:AH27, "✓") + COUNTIF(E27:AH27, "✔") + COUNTIF(E27:AH27, "v") + COUNTIF(E27:AH27, "V"))/D27, 0), IF(((COUNTIF(E27:AH27, "✓") + COUNTIF(E27:AH27, "✔") + COUNTIF(E27:AH27, "v") + COUNTIF(E27:AH27, "V")) + COUNTIF(E27:AH27, "✗") + COUNTIF(E27:AH27, "x") + COUNTIF(E27:AH27, "X"))&gt;0, (COUNTIF(E27:AH27, "✓") + COUNTIF(E27:AH27, "✔") + COUNTIF(E27:AH27, "v") + COUNTIF(E27:AH27, "V"))/((COUNTIF(E27:AH27, "✓") + COUNTIF(E27:AH27, "✔") + COUNTIF(E27:AH27, "v") + COUNTIF(E27:AH27, "V")) + COUNTIF(E27:AH27, "✗") + COUNTIF(E27:AH27, "x") + COUNTIF(E27:AH27, "X")), "")))</f>
        <v/>
      </c>
      <c r="AJ27" s="117">
        <f>IF(ISBLANK(B27), "", IF(ISNUMBER(D27), IF(D27&gt;0, (COUNTIF(E27:AH27, "✓") + COUNTIF(E27:AH27, "✔") + COUNTIF(E27:AH27, "v") + COUNTIF(E27:AH27, "V")) &amp; "/" &amp; D27, (COUNTIF(E27:AH27, "✓") + COUNTIF(E27:AH27, "✔") + COUNTIF(E27:AH27, "v") + COUNTIF(E27:AH27, "V")) &amp; "/0"), IF(((COUNTIF(E27:AH27, "✓") + COUNTIF(E27:AH27, "✔") + COUNTIF(E27:AH27, "v") + COUNTIF(E27:AH27, "V")) + COUNTIF(E27:AH27, "✗") + COUNTIF(E27:AH27, "x") + COUNTIF(E27:AH27, "X"))&gt;0, (COUNTIF(E27:AH27, "✓") + COUNTIF(E27:AH27, "✔") + COUNTIF(E27:AH27, "v") + COUNTIF(E27:AH27, "V")) &amp; "/" &amp; ((COUNTIF(E27:AH27, "✓") + COUNTIF(E27:AH27, "✔") + COUNTIF(E27:AH27, "v") + COUNTIF(E27:AH27, "V")) + COUNTIF(E27:AH27, "✗") + COUNTIF(E27:AH27, "x") + COUNTIF(E27:AH27, "X")), "")))</f>
        <v/>
      </c>
      <c r="AK27" s="117">
        <f>IF(ISBLANK(B27), "", IF(AI27&gt;=0.85, "🔥 Mastered", IF(AI27&gt;=0.7, "⚡ Consistent", "⚠️ Needs Focus")))</f>
        <v/>
      </c>
      <c r="AL27">
        <f>COUNTIF(E27:AH27, "✓")</f>
        <v/>
      </c>
    </row>
    <row r="28" ht="14.5" customHeight="1">
      <c r="A28" s="111" t="n">
        <v>11</v>
      </c>
      <c r="B28" s="112" t="n"/>
      <c r="C28" s="113" t="n"/>
      <c r="D28" s="113" t="n"/>
      <c r="E28" s="115" t="n"/>
      <c r="F28" s="114" t="n"/>
      <c r="G28" s="114" t="n"/>
      <c r="H28" s="114" t="n"/>
      <c r="I28" s="114" t="n"/>
      <c r="J28" s="114" t="n"/>
      <c r="K28" s="114" t="n"/>
      <c r="L28" s="115" t="n"/>
      <c r="M28" s="114" t="n"/>
      <c r="N28" s="114" t="n"/>
      <c r="O28" s="114" t="n"/>
      <c r="P28" s="114" t="n"/>
      <c r="Q28" s="114" t="n"/>
      <c r="R28" s="114" t="n"/>
      <c r="S28" s="115" t="n"/>
      <c r="T28" s="114" t="n"/>
      <c r="U28" s="114" t="n"/>
      <c r="V28" s="114" t="n"/>
      <c r="W28" s="114" t="n"/>
      <c r="X28" s="114" t="n"/>
      <c r="Y28" s="114" t="n"/>
      <c r="Z28" s="115" t="n"/>
      <c r="AA28" s="114" t="n"/>
      <c r="AB28" s="114" t="n"/>
      <c r="AC28" s="114" t="n"/>
      <c r="AD28" s="114" t="n"/>
      <c r="AE28" s="114" t="n"/>
      <c r="AF28" s="114" t="n"/>
      <c r="AG28" s="115" t="n"/>
      <c r="AH28" s="114" t="n"/>
      <c r="AI28" s="116">
        <f>IF(ISBLANK(B28), "", IF(ISNUMBER(D28), IF(D28&gt;0, (COUNTIF(E28:AH28, "✓") + COUNTIF(E28:AH28, "✔") + COUNTIF(E28:AH28, "v") + COUNTIF(E28:AH28, "V"))/D28, 0), IF(((COUNTIF(E28:AH28, "✓") + COUNTIF(E28:AH28, "✔") + COUNTIF(E28:AH28, "v") + COUNTIF(E28:AH28, "V")) + COUNTIF(E28:AH28, "✗") + COUNTIF(E28:AH28, "x") + COUNTIF(E28:AH28, "X"))&gt;0, (COUNTIF(E28:AH28, "✓") + COUNTIF(E28:AH28, "✔") + COUNTIF(E28:AH28, "v") + COUNTIF(E28:AH28, "V"))/((COUNTIF(E28:AH28, "✓") + COUNTIF(E28:AH28, "✔") + COUNTIF(E28:AH28, "v") + COUNTIF(E28:AH28, "V")) + COUNTIF(E28:AH28, "✗") + COUNTIF(E28:AH28, "x") + COUNTIF(E28:AH28, "X")), "")))</f>
        <v/>
      </c>
      <c r="AJ28" s="117">
        <f>IF(ISBLANK(B28), "", IF(ISNUMBER(D28), IF(D28&gt;0, (COUNTIF(E28:AH28, "✓") + COUNTIF(E28:AH28, "✔") + COUNTIF(E28:AH28, "v") + COUNTIF(E28:AH28, "V")) &amp; "/" &amp; D28, (COUNTIF(E28:AH28, "✓") + COUNTIF(E28:AH28, "✔") + COUNTIF(E28:AH28, "v") + COUNTIF(E28:AH28, "V")) &amp; "/0"), IF(((COUNTIF(E28:AH28, "✓") + COUNTIF(E28:AH28, "✔") + COUNTIF(E28:AH28, "v") + COUNTIF(E28:AH28, "V")) + COUNTIF(E28:AH28, "✗") + COUNTIF(E28:AH28, "x") + COUNTIF(E28:AH28, "X"))&gt;0, (COUNTIF(E28:AH28, "✓") + COUNTIF(E28:AH28, "✔") + COUNTIF(E28:AH28, "v") + COUNTIF(E28:AH28, "V")) &amp; "/" &amp; ((COUNTIF(E28:AH28, "✓") + COUNTIF(E28:AH28, "✔") + COUNTIF(E28:AH28, "v") + COUNTIF(E28:AH28, "V")) + COUNTIF(E28:AH28, "✗") + COUNTIF(E28:AH28, "x") + COUNTIF(E28:AH28, "X")), "")))</f>
        <v/>
      </c>
      <c r="AK28" s="117">
        <f>IF(ISBLANK(B28), "", IF(AI28&gt;=0.85, "🔥 Mastered", IF(AI28&gt;=0.7, "⚡ Consistent", "⚠️ Needs Focus")))</f>
        <v/>
      </c>
      <c r="AL28">
        <f>COUNTIF(E28:AH28, "✓")</f>
        <v/>
      </c>
    </row>
    <row r="29" ht="14.5" customHeight="1">
      <c r="A29" s="111" t="n">
        <v>12</v>
      </c>
      <c r="B29" s="112" t="n"/>
      <c r="C29" s="113" t="n"/>
      <c r="D29" s="113" t="n"/>
      <c r="E29" s="115" t="n"/>
      <c r="F29" s="114" t="n"/>
      <c r="G29" s="114" t="n"/>
      <c r="H29" s="114" t="n"/>
      <c r="I29" s="114" t="n"/>
      <c r="J29" s="114" t="n"/>
      <c r="K29" s="114" t="n"/>
      <c r="L29" s="115" t="n"/>
      <c r="M29" s="114" t="n"/>
      <c r="N29" s="114" t="n"/>
      <c r="O29" s="114" t="n"/>
      <c r="P29" s="114" t="n"/>
      <c r="Q29" s="114" t="n"/>
      <c r="R29" s="114" t="n"/>
      <c r="S29" s="115" t="n"/>
      <c r="T29" s="114" t="n"/>
      <c r="U29" s="114" t="n"/>
      <c r="V29" s="114" t="n"/>
      <c r="W29" s="114" t="n"/>
      <c r="X29" s="114" t="n"/>
      <c r="Y29" s="114" t="n"/>
      <c r="Z29" s="115" t="n"/>
      <c r="AA29" s="114" t="n"/>
      <c r="AB29" s="114" t="n"/>
      <c r="AC29" s="114" t="n"/>
      <c r="AD29" s="114" t="n"/>
      <c r="AE29" s="114" t="n"/>
      <c r="AF29" s="114" t="n"/>
      <c r="AG29" s="115" t="n"/>
      <c r="AH29" s="114" t="n"/>
      <c r="AI29" s="116">
        <f>IF(ISBLANK(B29), "", IF(ISNUMBER(D29), IF(D29&gt;0, (COUNTIF(E29:AH29, "✓") + COUNTIF(E29:AH29, "✔") + COUNTIF(E29:AH29, "v") + COUNTIF(E29:AH29, "V"))/D29, 0), IF(((COUNTIF(E29:AH29, "✓") + COUNTIF(E29:AH29, "✔") + COUNTIF(E29:AH29, "v") + COUNTIF(E29:AH29, "V")) + COUNTIF(E29:AH29, "✗") + COUNTIF(E29:AH29, "x") + COUNTIF(E29:AH29, "X"))&gt;0, (COUNTIF(E29:AH29, "✓") + COUNTIF(E29:AH29, "✔") + COUNTIF(E29:AH29, "v") + COUNTIF(E29:AH29, "V"))/((COUNTIF(E29:AH29, "✓") + COUNTIF(E29:AH29, "✔") + COUNTIF(E29:AH29, "v") + COUNTIF(E29:AH29, "V")) + COUNTIF(E29:AH29, "✗") + COUNTIF(E29:AH29, "x") + COUNTIF(E29:AH29, "X")), "")))</f>
        <v/>
      </c>
      <c r="AJ29" s="117">
        <f>IF(ISBLANK(B29), "", IF(ISNUMBER(D29), IF(D29&gt;0, (COUNTIF(E29:AH29, "✓") + COUNTIF(E29:AH29, "✔") + COUNTIF(E29:AH29, "v") + COUNTIF(E29:AH29, "V")) &amp; "/" &amp; D29, (COUNTIF(E29:AH29, "✓") + COUNTIF(E29:AH29, "✔") + COUNTIF(E29:AH29, "v") + COUNTIF(E29:AH29, "V")) &amp; "/0"), IF(((COUNTIF(E29:AH29, "✓") + COUNTIF(E29:AH29, "✔") + COUNTIF(E29:AH29, "v") + COUNTIF(E29:AH29, "V")) + COUNTIF(E29:AH29, "✗") + COUNTIF(E29:AH29, "x") + COUNTIF(E29:AH29, "X"))&gt;0, (COUNTIF(E29:AH29, "✓") + COUNTIF(E29:AH29, "✔") + COUNTIF(E29:AH29, "v") + COUNTIF(E29:AH29, "V")) &amp; "/" &amp; ((COUNTIF(E29:AH29, "✓") + COUNTIF(E29:AH29, "✔") + COUNTIF(E29:AH29, "v") + COUNTIF(E29:AH29, "V")) + COUNTIF(E29:AH29, "✗") + COUNTIF(E29:AH29, "x") + COUNTIF(E29:AH29, "X")), "")))</f>
        <v/>
      </c>
      <c r="AK29" s="117">
        <f>IF(ISBLANK(B29), "", IF(AI29&gt;=0.85, "🔥 Mastered", IF(AI29&gt;=0.7, "⚡ Consistent", "⚠️ Needs Focus")))</f>
        <v/>
      </c>
      <c r="AL29">
        <f>COUNTIF(E29:AH29, "✓")</f>
        <v/>
      </c>
    </row>
    <row r="30" ht="14.5" customHeight="1">
      <c r="A30" s="118" t="n">
        <v>13</v>
      </c>
      <c r="B30" s="119" t="n"/>
      <c r="C30" s="120" t="n"/>
      <c r="D30" s="120" t="n"/>
      <c r="E30" s="122" t="n"/>
      <c r="F30" s="121" t="n"/>
      <c r="G30" s="121" t="n"/>
      <c r="H30" s="121" t="n"/>
      <c r="I30" s="121" t="n"/>
      <c r="J30" s="121" t="n"/>
      <c r="K30" s="121" t="n"/>
      <c r="L30" s="122" t="n"/>
      <c r="M30" s="121" t="n"/>
      <c r="N30" s="121" t="n"/>
      <c r="O30" s="121" t="n"/>
      <c r="P30" s="121" t="n"/>
      <c r="Q30" s="121" t="n"/>
      <c r="R30" s="121" t="n"/>
      <c r="S30" s="122" t="n"/>
      <c r="T30" s="121" t="n"/>
      <c r="U30" s="121" t="n"/>
      <c r="V30" s="121" t="n"/>
      <c r="W30" s="121" t="n"/>
      <c r="X30" s="121" t="n"/>
      <c r="Y30" s="121" t="n"/>
      <c r="Z30" s="122" t="n"/>
      <c r="AA30" s="121" t="n"/>
      <c r="AB30" s="121" t="n"/>
      <c r="AC30" s="121" t="n"/>
      <c r="AD30" s="121" t="n"/>
      <c r="AE30" s="121" t="n"/>
      <c r="AF30" s="121" t="n"/>
      <c r="AG30" s="122" t="n"/>
      <c r="AH30" s="121" t="n"/>
      <c r="AI30" s="123">
        <f>IF(ISBLANK(B30), "", IF(ISNUMBER(D30), IF(D30&gt;0, (COUNTIF(E30:AH30, "✓") + COUNTIF(E30:AH30, "✔") + COUNTIF(E30:AH30, "v") + COUNTIF(E30:AH30, "V"))/D30, 0), IF(((COUNTIF(E30:AH30, "✓") + COUNTIF(E30:AH30, "✔") + COUNTIF(E30:AH30, "v") + COUNTIF(E30:AH30, "V")) + COUNTIF(E30:AH30, "✗") + COUNTIF(E30:AH30, "x") + COUNTIF(E30:AH30, "X"))&gt;0, (COUNTIF(E30:AH30, "✓") + COUNTIF(E30:AH30, "✔") + COUNTIF(E30:AH30, "v") + COUNTIF(E30:AH30, "V"))/((COUNTIF(E30:AH30, "✓") + COUNTIF(E30:AH30, "✔") + COUNTIF(E30:AH30, "v") + COUNTIF(E30:AH30, "V")) + COUNTIF(E30:AH30, "✗") + COUNTIF(E30:AH30, "x") + COUNTIF(E30:AH30, "X")), "")))</f>
        <v/>
      </c>
      <c r="AJ30" s="124">
        <f>IF(ISBLANK(B30), "", IF(ISNUMBER(D30), IF(D30&gt;0, (COUNTIF(E30:AH30, "✓") + COUNTIF(E30:AH30, "✔") + COUNTIF(E30:AH30, "v") + COUNTIF(E30:AH30, "V")) &amp; "/" &amp; D30, (COUNTIF(E30:AH30, "✓") + COUNTIF(E30:AH30, "✔") + COUNTIF(E30:AH30, "v") + COUNTIF(E30:AH30, "V")) &amp; "/0"), IF(((COUNTIF(E30:AH30, "✓") + COUNTIF(E30:AH30, "✔") + COUNTIF(E30:AH30, "v") + COUNTIF(E30:AH30, "V")) + COUNTIF(E30:AH30, "✗") + COUNTIF(E30:AH30, "x") + COUNTIF(E30:AH30, "X"))&gt;0, (COUNTIF(E30:AH30, "✓") + COUNTIF(E30:AH30, "✔") + COUNTIF(E30:AH30, "v") + COUNTIF(E30:AH30, "V")) &amp; "/" &amp; ((COUNTIF(E30:AH30, "✓") + COUNTIF(E30:AH30, "✔") + COUNTIF(E30:AH30, "v") + COUNTIF(E30:AH30, "V")) + COUNTIF(E30:AH30, "✗") + COUNTIF(E30:AH30, "x") + COUNTIF(E30:AH30, "X")), "")))</f>
        <v/>
      </c>
      <c r="AK30" s="124">
        <f>IF(ISBLANK(B30), "", IF(AI30&gt;=0.85, "🔥 Mastered", IF(AI30&gt;=0.7, "⚡ Consistent", "⚠️ Needs Focus")))</f>
        <v/>
      </c>
      <c r="AL30">
        <f>COUNTIF(E30:AH30, "✓")</f>
        <v/>
      </c>
    </row>
    <row r="31" ht="14.5" customHeight="1">
      <c r="A31" s="118" t="n">
        <v>14</v>
      </c>
      <c r="B31" s="119" t="n"/>
      <c r="C31" s="120" t="n"/>
      <c r="D31" s="120" t="n"/>
      <c r="E31" s="122" t="n"/>
      <c r="F31" s="121" t="n"/>
      <c r="G31" s="121" t="n"/>
      <c r="H31" s="121" t="n"/>
      <c r="I31" s="121" t="n"/>
      <c r="J31" s="121" t="n"/>
      <c r="K31" s="121" t="n"/>
      <c r="L31" s="122" t="n"/>
      <c r="M31" s="121" t="n"/>
      <c r="N31" s="121" t="n"/>
      <c r="O31" s="121" t="n"/>
      <c r="P31" s="121" t="n"/>
      <c r="Q31" s="121" t="n"/>
      <c r="R31" s="121" t="n"/>
      <c r="S31" s="122" t="n"/>
      <c r="T31" s="121" t="n"/>
      <c r="U31" s="121" t="n"/>
      <c r="V31" s="121" t="n"/>
      <c r="W31" s="121" t="n"/>
      <c r="X31" s="121" t="n"/>
      <c r="Y31" s="121" t="n"/>
      <c r="Z31" s="122" t="n"/>
      <c r="AA31" s="121" t="n"/>
      <c r="AB31" s="121" t="n"/>
      <c r="AC31" s="121" t="n"/>
      <c r="AD31" s="121" t="n"/>
      <c r="AE31" s="121" t="n"/>
      <c r="AF31" s="121" t="n"/>
      <c r="AG31" s="122" t="n"/>
      <c r="AH31" s="121" t="n"/>
      <c r="AI31" s="123">
        <f>IF(ISBLANK(B31), "", IF(ISNUMBER(D31), IF(D31&gt;0, (COUNTIF(E31:AH31, "✓") + COUNTIF(E31:AH31, "✔") + COUNTIF(E31:AH31, "v") + COUNTIF(E31:AH31, "V"))/D31, 0), IF(((COUNTIF(E31:AH31, "✓") + COUNTIF(E31:AH31, "✔") + COUNTIF(E31:AH31, "v") + COUNTIF(E31:AH31, "V")) + COUNTIF(E31:AH31, "✗") + COUNTIF(E31:AH31, "x") + COUNTIF(E31:AH31, "X"))&gt;0, (COUNTIF(E31:AH31, "✓") + COUNTIF(E31:AH31, "✔") + COUNTIF(E31:AH31, "v") + COUNTIF(E31:AH31, "V"))/((COUNTIF(E31:AH31, "✓") + COUNTIF(E31:AH31, "✔") + COUNTIF(E31:AH31, "v") + COUNTIF(E31:AH31, "V")) + COUNTIF(E31:AH31, "✗") + COUNTIF(E31:AH31, "x") + COUNTIF(E31:AH31, "X")), "")))</f>
        <v/>
      </c>
      <c r="AJ31" s="124">
        <f>IF(ISBLANK(B31), "", IF(ISNUMBER(D31), IF(D31&gt;0, (COUNTIF(E31:AH31, "✓") + COUNTIF(E31:AH31, "✔") + COUNTIF(E31:AH31, "v") + COUNTIF(E31:AH31, "V")) &amp; "/" &amp; D31, (COUNTIF(E31:AH31, "✓") + COUNTIF(E31:AH31, "✔") + COUNTIF(E31:AH31, "v") + COUNTIF(E31:AH31, "V")) &amp; "/0"), IF(((COUNTIF(E31:AH31, "✓") + COUNTIF(E31:AH31, "✔") + COUNTIF(E31:AH31, "v") + COUNTIF(E31:AH31, "V")) + COUNTIF(E31:AH31, "✗") + COUNTIF(E31:AH31, "x") + COUNTIF(E31:AH31, "X"))&gt;0, (COUNTIF(E31:AH31, "✓") + COUNTIF(E31:AH31, "✔") + COUNTIF(E31:AH31, "v") + COUNTIF(E31:AH31, "V")) &amp; "/" &amp; ((COUNTIF(E31:AH31, "✓") + COUNTIF(E31:AH31, "✔") + COUNTIF(E31:AH31, "v") + COUNTIF(E31:AH31, "V")) + COUNTIF(E31:AH31, "✗") + COUNTIF(E31:AH31, "x") + COUNTIF(E31:AH31, "X")), "")))</f>
        <v/>
      </c>
      <c r="AK31" s="124">
        <f>IF(ISBLANK(B31), "", IF(AI31&gt;=0.85, "🔥 Mastered", IF(AI31&gt;=0.7, "⚡ Consistent", "⚠️ Needs Focus")))</f>
        <v/>
      </c>
      <c r="AL31">
        <f>COUNTIF(E31:AH31, "✓")</f>
        <v/>
      </c>
    </row>
    <row r="32" ht="14.5" customHeight="1">
      <c r="A32" s="118" t="n">
        <v>15</v>
      </c>
      <c r="B32" s="119" t="n"/>
      <c r="C32" s="120" t="n"/>
      <c r="D32" s="120" t="n"/>
      <c r="E32" s="122" t="n"/>
      <c r="F32" s="121" t="n"/>
      <c r="G32" s="121" t="n"/>
      <c r="H32" s="121" t="n"/>
      <c r="I32" s="121" t="n"/>
      <c r="J32" s="121" t="n"/>
      <c r="K32" s="121" t="n"/>
      <c r="L32" s="122" t="n"/>
      <c r="M32" s="121" t="n"/>
      <c r="N32" s="121" t="n"/>
      <c r="O32" s="121" t="n"/>
      <c r="P32" s="121" t="n"/>
      <c r="Q32" s="121" t="n"/>
      <c r="R32" s="121" t="n"/>
      <c r="S32" s="122" t="n"/>
      <c r="T32" s="121" t="n"/>
      <c r="U32" s="121" t="n"/>
      <c r="V32" s="121" t="n"/>
      <c r="W32" s="121" t="n"/>
      <c r="X32" s="121" t="n"/>
      <c r="Y32" s="121" t="n"/>
      <c r="Z32" s="122" t="n"/>
      <c r="AA32" s="121" t="n"/>
      <c r="AB32" s="121" t="n"/>
      <c r="AC32" s="121" t="n"/>
      <c r="AD32" s="121" t="n"/>
      <c r="AE32" s="121" t="n"/>
      <c r="AF32" s="121" t="n"/>
      <c r="AG32" s="122" t="n"/>
      <c r="AH32" s="121" t="n"/>
      <c r="AI32" s="123">
        <f>IF(ISBLANK(B32), "", IF(ISNUMBER(D32), IF(D32&gt;0, (COUNTIF(E32:AH32, "✓") + COUNTIF(E32:AH32, "✔") + COUNTIF(E32:AH32, "v") + COUNTIF(E32:AH32, "V"))/D32, 0), IF(((COUNTIF(E32:AH32, "✓") + COUNTIF(E32:AH32, "✔") + COUNTIF(E32:AH32, "v") + COUNTIF(E32:AH32, "V")) + COUNTIF(E32:AH32, "✗") + COUNTIF(E32:AH32, "x") + COUNTIF(E32:AH32, "X"))&gt;0, (COUNTIF(E32:AH32, "✓") + COUNTIF(E32:AH32, "✔") + COUNTIF(E32:AH32, "v") + COUNTIF(E32:AH32, "V"))/((COUNTIF(E32:AH32, "✓") + COUNTIF(E32:AH32, "✔") + COUNTIF(E32:AH32, "v") + COUNTIF(E32:AH32, "V")) + COUNTIF(E32:AH32, "✗") + COUNTIF(E32:AH32, "x") + COUNTIF(E32:AH32, "X")), "")))</f>
        <v/>
      </c>
      <c r="AJ32" s="124">
        <f>IF(ISBLANK(B32), "", IF(ISNUMBER(D32), IF(D32&gt;0, (COUNTIF(E32:AH32, "✓") + COUNTIF(E32:AH32, "✔") + COUNTIF(E32:AH32, "v") + COUNTIF(E32:AH32, "V")) &amp; "/" &amp; D32, (COUNTIF(E32:AH32, "✓") + COUNTIF(E32:AH32, "✔") + COUNTIF(E32:AH32, "v") + COUNTIF(E32:AH32, "V")) &amp; "/0"), IF(((COUNTIF(E32:AH32, "✓") + COUNTIF(E32:AH32, "✔") + COUNTIF(E32:AH32, "v") + COUNTIF(E32:AH32, "V")) + COUNTIF(E32:AH32, "✗") + COUNTIF(E32:AH32, "x") + COUNTIF(E32:AH32, "X"))&gt;0, (COUNTIF(E32:AH32, "✓") + COUNTIF(E32:AH32, "✔") + COUNTIF(E32:AH32, "v") + COUNTIF(E32:AH32, "V")) &amp; "/" &amp; ((COUNTIF(E32:AH32, "✓") + COUNTIF(E32:AH32, "✔") + COUNTIF(E32:AH32, "v") + COUNTIF(E32:AH32, "V")) + COUNTIF(E32:AH32, "✗") + COUNTIF(E32:AH32, "x") + COUNTIF(E32:AH32, "X")), "")))</f>
        <v/>
      </c>
      <c r="AK32" s="124">
        <f>IF(ISBLANK(B32), "", IF(AI32&gt;=0.85, "🔥 Mastered", IF(AI32&gt;=0.7, "⚡ Consistent", "⚠️ Needs Focus")))</f>
        <v/>
      </c>
      <c r="AL32">
        <f>COUNTIF(E32:AH32, "✓")</f>
        <v/>
      </c>
    </row>
    <row r="33" ht="14.5" customHeight="1">
      <c r="A33" s="118" t="n">
        <v>16</v>
      </c>
      <c r="B33" s="119" t="n"/>
      <c r="C33" s="120" t="n"/>
      <c r="D33" s="120" t="n"/>
      <c r="E33" s="122" t="n"/>
      <c r="F33" s="121" t="n"/>
      <c r="G33" s="121" t="n"/>
      <c r="H33" s="121" t="n"/>
      <c r="I33" s="121" t="n"/>
      <c r="J33" s="121" t="n"/>
      <c r="K33" s="121" t="n"/>
      <c r="L33" s="122" t="n"/>
      <c r="M33" s="121" t="n"/>
      <c r="N33" s="121" t="n"/>
      <c r="O33" s="121" t="n"/>
      <c r="P33" s="121" t="n"/>
      <c r="Q33" s="121" t="n"/>
      <c r="R33" s="121" t="n"/>
      <c r="S33" s="122" t="n"/>
      <c r="T33" s="121" t="n"/>
      <c r="U33" s="121" t="n"/>
      <c r="V33" s="121" t="n"/>
      <c r="W33" s="121" t="n"/>
      <c r="X33" s="121" t="n"/>
      <c r="Y33" s="121" t="n"/>
      <c r="Z33" s="122" t="n"/>
      <c r="AA33" s="121" t="n"/>
      <c r="AB33" s="121" t="n"/>
      <c r="AC33" s="121" t="n"/>
      <c r="AD33" s="121" t="n"/>
      <c r="AE33" s="121" t="n"/>
      <c r="AF33" s="121" t="n"/>
      <c r="AG33" s="122" t="n"/>
      <c r="AH33" s="121" t="n"/>
      <c r="AI33" s="123">
        <f>IF(ISBLANK(B33), "", IF(ISNUMBER(D33), IF(D33&gt;0, (COUNTIF(E33:AH33, "✓") + COUNTIF(E33:AH33, "✔") + COUNTIF(E33:AH33, "v") + COUNTIF(E33:AH33, "V"))/D33, 0), IF(((COUNTIF(E33:AH33, "✓") + COUNTIF(E33:AH33, "✔") + COUNTIF(E33:AH33, "v") + COUNTIF(E33:AH33, "V")) + COUNTIF(E33:AH33, "✗") + COUNTIF(E33:AH33, "x") + COUNTIF(E33:AH33, "X"))&gt;0, (COUNTIF(E33:AH33, "✓") + COUNTIF(E33:AH33, "✔") + COUNTIF(E33:AH33, "v") + COUNTIF(E33:AH33, "V"))/((COUNTIF(E33:AH33, "✓") + COUNTIF(E33:AH33, "✔") + COUNTIF(E33:AH33, "v") + COUNTIF(E33:AH33, "V")) + COUNTIF(E33:AH33, "✗") + COUNTIF(E33:AH33, "x") + COUNTIF(E33:AH33, "X")), "")))</f>
        <v/>
      </c>
      <c r="AJ33" s="124">
        <f>IF(ISBLANK(B33), "", IF(ISNUMBER(D33), IF(D33&gt;0, (COUNTIF(E33:AH33, "✓") + COUNTIF(E33:AH33, "✔") + COUNTIF(E33:AH33, "v") + COUNTIF(E33:AH33, "V")) &amp; "/" &amp; D33, (COUNTIF(E33:AH33, "✓") + COUNTIF(E33:AH33, "✔") + COUNTIF(E33:AH33, "v") + COUNTIF(E33:AH33, "V")) &amp; "/0"), IF(((COUNTIF(E33:AH33, "✓") + COUNTIF(E33:AH33, "✔") + COUNTIF(E33:AH33, "v") + COUNTIF(E33:AH33, "V")) + COUNTIF(E33:AH33, "✗") + COUNTIF(E33:AH33, "x") + COUNTIF(E33:AH33, "X"))&gt;0, (COUNTIF(E33:AH33, "✓") + COUNTIF(E33:AH33, "✔") + COUNTIF(E33:AH33, "v") + COUNTIF(E33:AH33, "V")) &amp; "/" &amp; ((COUNTIF(E33:AH33, "✓") + COUNTIF(E33:AH33, "✔") + COUNTIF(E33:AH33, "v") + COUNTIF(E33:AH33, "V")) + COUNTIF(E33:AH33, "✗") + COUNTIF(E33:AH33, "x") + COUNTIF(E33:AH33, "X")), "")))</f>
        <v/>
      </c>
      <c r="AK33" s="124">
        <f>IF(ISBLANK(B33), "", IF(AI33&gt;=0.85, "🔥 Mastered", IF(AI33&gt;=0.7, "⚡ Consistent", "⚠️ Needs Focus")))</f>
        <v/>
      </c>
      <c r="AL33">
        <f>COUNTIF(E33:AH33, "✓")</f>
        <v/>
      </c>
    </row>
    <row r="34" ht="14.5" customHeight="1">
      <c r="A34" s="125" t="n">
        <v>17</v>
      </c>
      <c r="B34" s="126" t="n"/>
      <c r="C34" s="127" t="n"/>
      <c r="D34" s="127" t="n"/>
      <c r="E34" s="129" t="n"/>
      <c r="F34" s="128" t="n"/>
      <c r="G34" s="128" t="n"/>
      <c r="H34" s="128" t="n"/>
      <c r="I34" s="128" t="n"/>
      <c r="J34" s="128" t="n"/>
      <c r="K34" s="128" t="n"/>
      <c r="L34" s="129" t="n"/>
      <c r="M34" s="128" t="n"/>
      <c r="N34" s="128" t="n"/>
      <c r="O34" s="128" t="n"/>
      <c r="P34" s="128" t="n"/>
      <c r="Q34" s="128" t="n"/>
      <c r="R34" s="128" t="n"/>
      <c r="S34" s="129" t="n"/>
      <c r="T34" s="128" t="n"/>
      <c r="U34" s="128" t="n"/>
      <c r="V34" s="128" t="n"/>
      <c r="W34" s="128" t="n"/>
      <c r="X34" s="128" t="n"/>
      <c r="Y34" s="128" t="n"/>
      <c r="Z34" s="129" t="n"/>
      <c r="AA34" s="128" t="n"/>
      <c r="AB34" s="128" t="n"/>
      <c r="AC34" s="128" t="n"/>
      <c r="AD34" s="128" t="n"/>
      <c r="AE34" s="128" t="n"/>
      <c r="AF34" s="128" t="n"/>
      <c r="AG34" s="129" t="n"/>
      <c r="AH34" s="128" t="n"/>
      <c r="AI34" s="130">
        <f>IF(ISBLANK(B34), "", IF(ISNUMBER(D34), IF(D34&gt;0, (COUNTIF(E34:AH34, "✓") + COUNTIF(E34:AH34, "✔") + COUNTIF(E34:AH34, "v") + COUNTIF(E34:AH34, "V"))/D34, 0), IF(((COUNTIF(E34:AH34, "✓") + COUNTIF(E34:AH34, "✔") + COUNTIF(E34:AH34, "v") + COUNTIF(E34:AH34, "V")) + COUNTIF(E34:AH34, "✗") + COUNTIF(E34:AH34, "x") + COUNTIF(E34:AH34, "X"))&gt;0, (COUNTIF(E34:AH34, "✓") + COUNTIF(E34:AH34, "✔") + COUNTIF(E34:AH34, "v") + COUNTIF(E34:AH34, "V"))/((COUNTIF(E34:AH34, "✓") + COUNTIF(E34:AH34, "✔") + COUNTIF(E34:AH34, "v") + COUNTIF(E34:AH34, "V")) + COUNTIF(E34:AH34, "✗") + COUNTIF(E34:AH34, "x") + COUNTIF(E34:AH34, "X")), "")))</f>
        <v/>
      </c>
      <c r="AJ34" s="131">
        <f>IF(ISBLANK(B34), "", IF(ISNUMBER(D34), IF(D34&gt;0, (COUNTIF(E34:AH34, "✓") + COUNTIF(E34:AH34, "✔") + COUNTIF(E34:AH34, "v") + COUNTIF(E34:AH34, "V")) &amp; "/" &amp; D34, (COUNTIF(E34:AH34, "✓") + COUNTIF(E34:AH34, "✔") + COUNTIF(E34:AH34, "v") + COUNTIF(E34:AH34, "V")) &amp; "/0"), IF(((COUNTIF(E34:AH34, "✓") + COUNTIF(E34:AH34, "✔") + COUNTIF(E34:AH34, "v") + COUNTIF(E34:AH34, "V")) + COUNTIF(E34:AH34, "✗") + COUNTIF(E34:AH34, "x") + COUNTIF(E34:AH34, "X"))&gt;0, (COUNTIF(E34:AH34, "✓") + COUNTIF(E34:AH34, "✔") + COUNTIF(E34:AH34, "v") + COUNTIF(E34:AH34, "V")) &amp; "/" &amp; ((COUNTIF(E34:AH34, "✓") + COUNTIF(E34:AH34, "✔") + COUNTIF(E34:AH34, "v") + COUNTIF(E34:AH34, "V")) + COUNTIF(E34:AH34, "✗") + COUNTIF(E34:AH34, "x") + COUNTIF(E34:AH34, "X")), "")))</f>
        <v/>
      </c>
      <c r="AK34" s="131">
        <f>IF(ISBLANK(B34), "", IF(AI34&gt;=0.85, "🔥 Mastered", IF(AI34&gt;=0.7, "⚡ Consistent", "⚠️ Needs Focus")))</f>
        <v/>
      </c>
      <c r="AL34">
        <f>COUNTIF(E34:AH34, "✓")</f>
        <v/>
      </c>
    </row>
    <row r="35" ht="14.5" customHeight="1">
      <c r="A35" s="125" t="n">
        <v>18</v>
      </c>
      <c r="B35" s="126" t="n"/>
      <c r="C35" s="127" t="n"/>
      <c r="D35" s="127" t="n"/>
      <c r="E35" s="129" t="n"/>
      <c r="F35" s="128" t="n"/>
      <c r="G35" s="128" t="n"/>
      <c r="H35" s="128" t="n"/>
      <c r="I35" s="128" t="n"/>
      <c r="J35" s="128" t="n"/>
      <c r="K35" s="128" t="n"/>
      <c r="L35" s="129" t="n"/>
      <c r="M35" s="128" t="n"/>
      <c r="N35" s="128" t="n"/>
      <c r="O35" s="128" t="n"/>
      <c r="P35" s="128" t="n"/>
      <c r="Q35" s="128" t="n"/>
      <c r="R35" s="128" t="n"/>
      <c r="S35" s="129" t="n"/>
      <c r="T35" s="128" t="n"/>
      <c r="U35" s="128" t="n"/>
      <c r="V35" s="128" t="n"/>
      <c r="W35" s="128" t="n"/>
      <c r="X35" s="128" t="n"/>
      <c r="Y35" s="128" t="n"/>
      <c r="Z35" s="129" t="n"/>
      <c r="AA35" s="128" t="n"/>
      <c r="AB35" s="128" t="n"/>
      <c r="AC35" s="128" t="n"/>
      <c r="AD35" s="128" t="n"/>
      <c r="AE35" s="128" t="n"/>
      <c r="AF35" s="128" t="n"/>
      <c r="AG35" s="129" t="n"/>
      <c r="AH35" s="128" t="n"/>
      <c r="AI35" s="130">
        <f>IF(ISBLANK(B35), "", IF(ISNUMBER(D35), IF(D35&gt;0, (COUNTIF(E35:AH35, "✓") + COUNTIF(E35:AH35, "✔") + COUNTIF(E35:AH35, "v") + COUNTIF(E35:AH35, "V"))/D35, 0), IF(((COUNTIF(E35:AH35, "✓") + COUNTIF(E35:AH35, "✔") + COUNTIF(E35:AH35, "v") + COUNTIF(E35:AH35, "V")) + COUNTIF(E35:AH35, "✗") + COUNTIF(E35:AH35, "x") + COUNTIF(E35:AH35, "X"))&gt;0, (COUNTIF(E35:AH35, "✓") + COUNTIF(E35:AH35, "✔") + COUNTIF(E35:AH35, "v") + COUNTIF(E35:AH35, "V"))/((COUNTIF(E35:AH35, "✓") + COUNTIF(E35:AH35, "✔") + COUNTIF(E35:AH35, "v") + COUNTIF(E35:AH35, "V")) + COUNTIF(E35:AH35, "✗") + COUNTIF(E35:AH35, "x") + COUNTIF(E35:AH35, "X")), "")))</f>
        <v/>
      </c>
      <c r="AJ35" s="131">
        <f>IF(ISBLANK(B35), "", IF(ISNUMBER(D35), IF(D35&gt;0, (COUNTIF(E35:AH35, "✓") + COUNTIF(E35:AH35, "✔") + COUNTIF(E35:AH35, "v") + COUNTIF(E35:AH35, "V")) &amp; "/" &amp; D35, (COUNTIF(E35:AH35, "✓") + COUNTIF(E35:AH35, "✔") + COUNTIF(E35:AH35, "v") + COUNTIF(E35:AH35, "V")) &amp; "/0"), IF(((COUNTIF(E35:AH35, "✓") + COUNTIF(E35:AH35, "✔") + COUNTIF(E35:AH35, "v") + COUNTIF(E35:AH35, "V")) + COUNTIF(E35:AH35, "✗") + COUNTIF(E35:AH35, "x") + COUNTIF(E35:AH35, "X"))&gt;0, (COUNTIF(E35:AH35, "✓") + COUNTIF(E35:AH35, "✔") + COUNTIF(E35:AH35, "v") + COUNTIF(E35:AH35, "V")) &amp; "/" &amp; ((COUNTIF(E35:AH35, "✓") + COUNTIF(E35:AH35, "✔") + COUNTIF(E35:AH35, "v") + COUNTIF(E35:AH35, "V")) + COUNTIF(E35:AH35, "✗") + COUNTIF(E35:AH35, "x") + COUNTIF(E35:AH35, "X")), "")))</f>
        <v/>
      </c>
      <c r="AK35" s="131">
        <f>IF(ISBLANK(B35), "", IF(AI35&gt;=0.85, "🔥 Mastered", IF(AI35&gt;=0.7, "⚡ Consistent", "⚠️ Needs Focus")))</f>
        <v/>
      </c>
      <c r="AL35">
        <f>COUNTIF(E35:AH35, "✓")</f>
        <v/>
      </c>
    </row>
    <row r="36" ht="14.5" customHeight="1">
      <c r="A36" s="125" t="n">
        <v>19</v>
      </c>
      <c r="B36" s="126" t="n"/>
      <c r="C36" s="127" t="n"/>
      <c r="D36" s="127" t="n"/>
      <c r="E36" s="129" t="n"/>
      <c r="F36" s="128" t="n"/>
      <c r="G36" s="128" t="n"/>
      <c r="H36" s="128" t="n"/>
      <c r="I36" s="128" t="n"/>
      <c r="J36" s="128" t="n"/>
      <c r="K36" s="128" t="n"/>
      <c r="L36" s="129" t="n"/>
      <c r="M36" s="128" t="n"/>
      <c r="N36" s="128" t="n"/>
      <c r="O36" s="128" t="n"/>
      <c r="P36" s="128" t="n"/>
      <c r="Q36" s="128" t="n"/>
      <c r="R36" s="128" t="n"/>
      <c r="S36" s="129" t="n"/>
      <c r="T36" s="128" t="n"/>
      <c r="U36" s="128" t="n"/>
      <c r="V36" s="128" t="n"/>
      <c r="W36" s="128" t="n"/>
      <c r="X36" s="128" t="n"/>
      <c r="Y36" s="128" t="n"/>
      <c r="Z36" s="129" t="n"/>
      <c r="AA36" s="128" t="n"/>
      <c r="AB36" s="128" t="n"/>
      <c r="AC36" s="128" t="n"/>
      <c r="AD36" s="128" t="n"/>
      <c r="AE36" s="128" t="n"/>
      <c r="AF36" s="128" t="n"/>
      <c r="AG36" s="129" t="n"/>
      <c r="AH36" s="128" t="n"/>
      <c r="AI36" s="130">
        <f>IF(ISBLANK(B36), "", IF(ISNUMBER(D36), IF(D36&gt;0, (COUNTIF(E36:AH36, "✓") + COUNTIF(E36:AH36, "✔") + COUNTIF(E36:AH36, "v") + COUNTIF(E36:AH36, "V"))/D36, 0), IF(((COUNTIF(E36:AH36, "✓") + COUNTIF(E36:AH36, "✔") + COUNTIF(E36:AH36, "v") + COUNTIF(E36:AH36, "V")) + COUNTIF(E36:AH36, "✗") + COUNTIF(E36:AH36, "x") + COUNTIF(E36:AH36, "X"))&gt;0, (COUNTIF(E36:AH36, "✓") + COUNTIF(E36:AH36, "✔") + COUNTIF(E36:AH36, "v") + COUNTIF(E36:AH36, "V"))/((COUNTIF(E36:AH36, "✓") + COUNTIF(E36:AH36, "✔") + COUNTIF(E36:AH36, "v") + COUNTIF(E36:AH36, "V")) + COUNTIF(E36:AH36, "✗") + COUNTIF(E36:AH36, "x") + COUNTIF(E36:AH36, "X")), "")))</f>
        <v/>
      </c>
      <c r="AJ36" s="131">
        <f>IF(ISBLANK(B36), "", IF(ISNUMBER(D36), IF(D36&gt;0, (COUNTIF(E36:AH36, "✓") + COUNTIF(E36:AH36, "✔") + COUNTIF(E36:AH36, "v") + COUNTIF(E36:AH36, "V")) &amp; "/" &amp; D36, (COUNTIF(E36:AH36, "✓") + COUNTIF(E36:AH36, "✔") + COUNTIF(E36:AH36, "v") + COUNTIF(E36:AH36, "V")) &amp; "/0"), IF(((COUNTIF(E36:AH36, "✓") + COUNTIF(E36:AH36, "✔") + COUNTIF(E36:AH36, "v") + COUNTIF(E36:AH36, "V")) + COUNTIF(E36:AH36, "✗") + COUNTIF(E36:AH36, "x") + COUNTIF(E36:AH36, "X"))&gt;0, (COUNTIF(E36:AH36, "✓") + COUNTIF(E36:AH36, "✔") + COUNTIF(E36:AH36, "v") + COUNTIF(E36:AH36, "V")) &amp; "/" &amp; ((COUNTIF(E36:AH36, "✓") + COUNTIF(E36:AH36, "✔") + COUNTIF(E36:AH36, "v") + COUNTIF(E36:AH36, "V")) + COUNTIF(E36:AH36, "✗") + COUNTIF(E36:AH36, "x") + COUNTIF(E36:AH36, "X")), "")))</f>
        <v/>
      </c>
      <c r="AK36" s="131">
        <f>IF(ISBLANK(B36), "", IF(AI36&gt;=0.85, "🔥 Mastered", IF(AI36&gt;=0.7, "⚡ Consistent", "⚠️ Needs Focus")))</f>
        <v/>
      </c>
      <c r="AL36">
        <f>COUNTIF(E36:AH36, "✓")</f>
        <v/>
      </c>
    </row>
    <row r="37" ht="14.5" customHeight="1">
      <c r="A37" s="125" t="n">
        <v>20</v>
      </c>
      <c r="B37" s="126" t="n"/>
      <c r="C37" s="127" t="n"/>
      <c r="D37" s="127" t="n"/>
      <c r="E37" s="129" t="n"/>
      <c r="F37" s="128" t="n"/>
      <c r="G37" s="128" t="n"/>
      <c r="H37" s="128" t="n"/>
      <c r="I37" s="128" t="n"/>
      <c r="J37" s="128" t="n"/>
      <c r="K37" s="128" t="n"/>
      <c r="L37" s="129" t="n"/>
      <c r="M37" s="128" t="n"/>
      <c r="N37" s="128" t="n"/>
      <c r="O37" s="128" t="n"/>
      <c r="P37" s="128" t="n"/>
      <c r="Q37" s="128" t="n"/>
      <c r="R37" s="128" t="n"/>
      <c r="S37" s="129" t="n"/>
      <c r="T37" s="128" t="n"/>
      <c r="U37" s="128" t="n"/>
      <c r="V37" s="128" t="n"/>
      <c r="W37" s="128" t="n"/>
      <c r="X37" s="128" t="n"/>
      <c r="Y37" s="128" t="n"/>
      <c r="Z37" s="129" t="n"/>
      <c r="AA37" s="128" t="n"/>
      <c r="AB37" s="128" t="n"/>
      <c r="AC37" s="128" t="n"/>
      <c r="AD37" s="128" t="n"/>
      <c r="AE37" s="128" t="n"/>
      <c r="AF37" s="128" t="n"/>
      <c r="AG37" s="129" t="n"/>
      <c r="AH37" s="128" t="n"/>
      <c r="AI37" s="130">
        <f>IF(ISBLANK(B37), "", IF(ISNUMBER(D37), IF(D37&gt;0, (COUNTIF(E37:AH37, "✓") + COUNTIF(E37:AH37, "✔") + COUNTIF(E37:AH37, "v") + COUNTIF(E37:AH37, "V"))/D37, 0), IF(((COUNTIF(E37:AH37, "✓") + COUNTIF(E37:AH37, "✔") + COUNTIF(E37:AH37, "v") + COUNTIF(E37:AH37, "V")) + COUNTIF(E37:AH37, "✗") + COUNTIF(E37:AH37, "x") + COUNTIF(E37:AH37, "X"))&gt;0, (COUNTIF(E37:AH37, "✓") + COUNTIF(E37:AH37, "✔") + COUNTIF(E37:AH37, "v") + COUNTIF(E37:AH37, "V"))/((COUNTIF(E37:AH37, "✓") + COUNTIF(E37:AH37, "✔") + COUNTIF(E37:AH37, "v") + COUNTIF(E37:AH37, "V")) + COUNTIF(E37:AH37, "✗") + COUNTIF(E37:AH37, "x") + COUNTIF(E37:AH37, "X")), "")))</f>
        <v/>
      </c>
      <c r="AJ37" s="131">
        <f>IF(ISBLANK(B37), "", IF(ISNUMBER(D37), IF(D37&gt;0, (COUNTIF(E37:AH37, "✓") + COUNTIF(E37:AH37, "✔") + COUNTIF(E37:AH37, "v") + COUNTIF(E37:AH37, "V")) &amp; "/" &amp; D37, (COUNTIF(E37:AH37, "✓") + COUNTIF(E37:AH37, "✔") + COUNTIF(E37:AH37, "v") + COUNTIF(E37:AH37, "V")) &amp; "/0"), IF(((COUNTIF(E37:AH37, "✓") + COUNTIF(E37:AH37, "✔") + COUNTIF(E37:AH37, "v") + COUNTIF(E37:AH37, "V")) + COUNTIF(E37:AH37, "✗") + COUNTIF(E37:AH37, "x") + COUNTIF(E37:AH37, "X"))&gt;0, (COUNTIF(E37:AH37, "✓") + COUNTIF(E37:AH37, "✔") + COUNTIF(E37:AH37, "v") + COUNTIF(E37:AH37, "V")) &amp; "/" &amp; ((COUNTIF(E37:AH37, "✓") + COUNTIF(E37:AH37, "✔") + COUNTIF(E37:AH37, "v") + COUNTIF(E37:AH37, "V")) + COUNTIF(E37:AH37, "✗") + COUNTIF(E37:AH37, "x") + COUNTIF(E37:AH37, "X")), "")))</f>
        <v/>
      </c>
      <c r="AK37" s="131">
        <f>IF(ISBLANK(B37), "", IF(AI37&gt;=0.85, "🔥 Mastered", IF(AI37&gt;=0.7, "⚡ Consistent", "⚠️ Needs Focus")))</f>
        <v/>
      </c>
      <c r="AL37">
        <f>COUNTIF(E37:AH37, "✓")</f>
        <v/>
      </c>
    </row>
    <row r="38" ht="18" customHeight="1">
      <c r="A38" s="132" t="inlineStr">
        <is>
          <t>DAILY TOTAL SCORE</t>
        </is>
      </c>
      <c r="B38" s="54" t="n"/>
      <c r="C38" s="54" t="n"/>
      <c r="D38" s="54" t="n"/>
      <c r="E38" s="33">
        <f>IF(((COUNTIF(E18:E37, "✓") + COUNTIF(E18:E37, "✔") + COUNTIF(E18:E37, "v") + COUNTIF(E18:E37, "V")) + COUNTIF(E18:E37, "✗") + COUNTIF(E18:E37, "x") + COUNTIF(E18:E37, "X")) &gt; 0, (COUNTIF(E18:E37, "✓") + COUNTIF(E18:E37, "✔") + COUNTIF(E18:E37, "v") + COUNTIF(E18:E37, "V")) &amp; "/" &amp; ((COUNTIF(E18:E37, "✓") + COUNTIF(E18:E37, "✔") + COUNTIF(E18:E37, "v") + COUNTIF(E18:E37, "V")) + COUNTIF(E18:E37, "✗") + COUNTIF(E18:E37, "x") + COUNTIF(E18:E37, "X")), "")</f>
        <v/>
      </c>
      <c r="F38" s="33">
        <f>IF(((COUNTIF(F18:F37, "✓") + COUNTIF(F18:F37, "✔") + COUNTIF(F18:F37, "v") + COUNTIF(F18:F37, "V")) + COUNTIF(F18:F37, "✗") + COUNTIF(F18:F37, "x") + COUNTIF(F18:F37, "X")) &gt; 0, (COUNTIF(F18:F37, "✓") + COUNTIF(F18:F37, "✔") + COUNTIF(F18:F37, "v") + COUNTIF(F18:F37, "V")) &amp; "/" &amp; ((COUNTIF(F18:F37, "✓") + COUNTIF(F18:F37, "✔") + COUNTIF(F18:F37, "v") + COUNTIF(F18:F37, "V")) + COUNTIF(F18:F37, "✗") + COUNTIF(F18:F37, "x") + COUNTIF(F18:F37, "X")), "")</f>
        <v/>
      </c>
      <c r="G38" s="33">
        <f>IF(((COUNTIF(G18:G37, "✓") + COUNTIF(G18:G37, "✔") + COUNTIF(G18:G37, "v") + COUNTIF(G18:G37, "V")) + COUNTIF(G18:G37, "✗") + COUNTIF(G18:G37, "x") + COUNTIF(G18:G37, "X")) &gt; 0, (COUNTIF(G18:G37, "✓") + COUNTIF(G18:G37, "✔") + COUNTIF(G18:G37, "v") + COUNTIF(G18:G37, "V")) &amp; "/" &amp; ((COUNTIF(G18:G37, "✓") + COUNTIF(G18:G37, "✔") + COUNTIF(G18:G37, "v") + COUNTIF(G18:G37, "V")) + COUNTIF(G18:G37, "✗") + COUNTIF(G18:G37, "x") + COUNTIF(G18:G37, "X")), "")</f>
        <v/>
      </c>
      <c r="H38" s="33">
        <f>IF(((COUNTIF(H18:H37, "✓") + COUNTIF(H18:H37, "✔") + COUNTIF(H18:H37, "v") + COUNTIF(H18:H37, "V")) + COUNTIF(H18:H37, "✗") + COUNTIF(H18:H37, "x") + COUNTIF(H18:H37, "X")) &gt; 0, (COUNTIF(H18:H37, "✓") + COUNTIF(H18:H37, "✔") + COUNTIF(H18:H37, "v") + COUNTIF(H18:H37, "V")) &amp; "/" &amp; ((COUNTIF(H18:H37, "✓") + COUNTIF(H18:H37, "✔") + COUNTIF(H18:H37, "v") + COUNTIF(H18:H37, "V")) + COUNTIF(H18:H37, "✗") + COUNTIF(H18:H37, "x") + COUNTIF(H18:H37, "X")), "")</f>
        <v/>
      </c>
      <c r="I38" s="33">
        <f>IF(((COUNTIF(I18:I37, "✓") + COUNTIF(I18:I37, "✔") + COUNTIF(I18:I37, "v") + COUNTIF(I18:I37, "V")) + COUNTIF(I18:I37, "✗") + COUNTIF(I18:I37, "x") + COUNTIF(I18:I37, "X")) &gt; 0, (COUNTIF(I18:I37, "✓") + COUNTIF(I18:I37, "✔") + COUNTIF(I18:I37, "v") + COUNTIF(I18:I37, "V")) &amp; "/" &amp; ((COUNTIF(I18:I37, "✓") + COUNTIF(I18:I37, "✔") + COUNTIF(I18:I37, "v") + COUNTIF(I18:I37, "V")) + COUNTIF(I18:I37, "✗") + COUNTIF(I18:I37, "x") + COUNTIF(I18:I37, "X")), "")</f>
        <v/>
      </c>
      <c r="J38" s="33">
        <f>IF(((COUNTIF(J18:J37, "✓") + COUNTIF(J18:J37, "✔") + COUNTIF(J18:J37, "v") + COUNTIF(J18:J37, "V")) + COUNTIF(J18:J37, "✗") + COUNTIF(J18:J37, "x") + COUNTIF(J18:J37, "X")) &gt; 0, (COUNTIF(J18:J37, "✓") + COUNTIF(J18:J37, "✔") + COUNTIF(J18:J37, "v") + COUNTIF(J18:J37, "V")) &amp; "/" &amp; ((COUNTIF(J18:J37, "✓") + COUNTIF(J18:J37, "✔") + COUNTIF(J18:J37, "v") + COUNTIF(J18:J37, "V")) + COUNTIF(J18:J37, "✗") + COUNTIF(J18:J37, "x") + COUNTIF(J18:J37, "X")), "")</f>
        <v/>
      </c>
      <c r="K38" s="33">
        <f>IF(((COUNTIF(K18:K37, "✓") + COUNTIF(K18:K37, "✔") + COUNTIF(K18:K37, "v") + COUNTIF(K18:K37, "V")) + COUNTIF(K18:K37, "✗") + COUNTIF(K18:K37, "x") + COUNTIF(K18:K37, "X")) &gt; 0, (COUNTIF(K18:K37, "✓") + COUNTIF(K18:K37, "✔") + COUNTIF(K18:K37, "v") + COUNTIF(K18:K37, "V")) &amp; "/" &amp; ((COUNTIF(K18:K37, "✓") + COUNTIF(K18:K37, "✔") + COUNTIF(K18:K37, "v") + COUNTIF(K18:K37, "V")) + COUNTIF(K18:K37, "✗") + COUNTIF(K18:K37, "x") + COUNTIF(K18:K37, "X")), "")</f>
        <v/>
      </c>
      <c r="L38" s="33">
        <f>IF(((COUNTIF(L18:L37, "✓") + COUNTIF(L18:L37, "✔") + COUNTIF(L18:L37, "v") + COUNTIF(L18:L37, "V")) + COUNTIF(L18:L37, "✗") + COUNTIF(L18:L37, "x") + COUNTIF(L18:L37, "X")) &gt; 0, (COUNTIF(L18:L37, "✓") + COUNTIF(L18:L37, "✔") + COUNTIF(L18:L37, "v") + COUNTIF(L18:L37, "V")) &amp; "/" &amp; ((COUNTIF(L18:L37, "✓") + COUNTIF(L18:L37, "✔") + COUNTIF(L18:L37, "v") + COUNTIF(L18:L37, "V")) + COUNTIF(L18:L37, "✗") + COUNTIF(L18:L37, "x") + COUNTIF(L18:L37, "X")), "")</f>
        <v/>
      </c>
      <c r="M38" s="33">
        <f>IF(((COUNTIF(M18:M37, "✓") + COUNTIF(M18:M37, "✔") + COUNTIF(M18:M37, "v") + COUNTIF(M18:M37, "V")) + COUNTIF(M18:M37, "✗") + COUNTIF(M18:M37, "x") + COUNTIF(M18:M37, "X")) &gt; 0, (COUNTIF(M18:M37, "✓") + COUNTIF(M18:M37, "✔") + COUNTIF(M18:M37, "v") + COUNTIF(M18:M37, "V")) &amp; "/" &amp; ((COUNTIF(M18:M37, "✓") + COUNTIF(M18:M37, "✔") + COUNTIF(M18:M37, "v") + COUNTIF(M18:M37, "V")) + COUNTIF(M18:M37, "✗") + COUNTIF(M18:M37, "x") + COUNTIF(M18:M37, "X")), "")</f>
        <v/>
      </c>
      <c r="N38" s="33">
        <f>IF(((COUNTIF(N18:N37, "✓") + COUNTIF(N18:N37, "✔") + COUNTIF(N18:N37, "v") + COUNTIF(N18:N37, "V")) + COUNTIF(N18:N37, "✗") + COUNTIF(N18:N37, "x") + COUNTIF(N18:N37, "X")) &gt; 0, (COUNTIF(N18:N37, "✓") + COUNTIF(N18:N37, "✔") + COUNTIF(N18:N37, "v") + COUNTIF(N18:N37, "V")) &amp; "/" &amp; ((COUNTIF(N18:N37, "✓") + COUNTIF(N18:N37, "✔") + COUNTIF(N18:N37, "v") + COUNTIF(N18:N37, "V")) + COUNTIF(N18:N37, "✗") + COUNTIF(N18:N37, "x") + COUNTIF(N18:N37, "X")), "")</f>
        <v/>
      </c>
      <c r="O38" s="33">
        <f>IF(((COUNTIF(O18:O37, "✓") + COUNTIF(O18:O37, "✔") + COUNTIF(O18:O37, "v") + COUNTIF(O18:O37, "V")) + COUNTIF(O18:O37, "✗") + COUNTIF(O18:O37, "x") + COUNTIF(O18:O37, "X")) &gt; 0, (COUNTIF(O18:O37, "✓") + COUNTIF(O18:O37, "✔") + COUNTIF(O18:O37, "v") + COUNTIF(O18:O37, "V")) &amp; "/" &amp; ((COUNTIF(O18:O37, "✓") + COUNTIF(O18:O37, "✔") + COUNTIF(O18:O37, "v") + COUNTIF(O18:O37, "V")) + COUNTIF(O18:O37, "✗") + COUNTIF(O18:O37, "x") + COUNTIF(O18:O37, "X")), "")</f>
        <v/>
      </c>
      <c r="P38" s="33">
        <f>IF(((COUNTIF(P18:P37, "✓") + COUNTIF(P18:P37, "✔") + COUNTIF(P18:P37, "v") + COUNTIF(P18:P37, "V")) + COUNTIF(P18:P37, "✗") + COUNTIF(P18:P37, "x") + COUNTIF(P18:P37, "X")) &gt; 0, (COUNTIF(P18:P37, "✓") + COUNTIF(P18:P37, "✔") + COUNTIF(P18:P37, "v") + COUNTIF(P18:P37, "V")) &amp; "/" &amp; ((COUNTIF(P18:P37, "✓") + COUNTIF(P18:P37, "✔") + COUNTIF(P18:P37, "v") + COUNTIF(P18:P37, "V")) + COUNTIF(P18:P37, "✗") + COUNTIF(P18:P37, "x") + COUNTIF(P18:P37, "X")), "")</f>
        <v/>
      </c>
      <c r="Q38" s="33">
        <f>IF(((COUNTIF(Q18:Q37, "✓") + COUNTIF(Q18:Q37, "✔") + COUNTIF(Q18:Q37, "v") + COUNTIF(Q18:Q37, "V")) + COUNTIF(Q18:Q37, "✗") + COUNTIF(Q18:Q37, "x") + COUNTIF(Q18:Q37, "X")) &gt; 0, (COUNTIF(Q18:Q37, "✓") + COUNTIF(Q18:Q37, "✔") + COUNTIF(Q18:Q37, "v") + COUNTIF(Q18:Q37, "V")) &amp; "/" &amp; ((COUNTIF(Q18:Q37, "✓") + COUNTIF(Q18:Q37, "✔") + COUNTIF(Q18:Q37, "v") + COUNTIF(Q18:Q37, "V")) + COUNTIF(Q18:Q37, "✗") + COUNTIF(Q18:Q37, "x") + COUNTIF(Q18:Q37, "X")), "")</f>
        <v/>
      </c>
      <c r="R38" s="33">
        <f>IF(((COUNTIF(R18:R37, "✓") + COUNTIF(R18:R37, "✔") + COUNTIF(R18:R37, "v") + COUNTIF(R18:R37, "V")) + COUNTIF(R18:R37, "✗") + COUNTIF(R18:R37, "x") + COUNTIF(R18:R37, "X")) &gt; 0, (COUNTIF(R18:R37, "✓") + COUNTIF(R18:R37, "✔") + COUNTIF(R18:R37, "v") + COUNTIF(R18:R37, "V")) &amp; "/" &amp; ((COUNTIF(R18:R37, "✓") + COUNTIF(R18:R37, "✔") + COUNTIF(R18:R37, "v") + COUNTIF(R18:R37, "V")) + COUNTIF(R18:R37, "✗") + COUNTIF(R18:R37, "x") + COUNTIF(R18:R37, "X")), "")</f>
        <v/>
      </c>
      <c r="S38" s="33">
        <f>IF(((COUNTIF(S18:S37, "✓") + COUNTIF(S18:S37, "✔") + COUNTIF(S18:S37, "v") + COUNTIF(S18:S37, "V")) + COUNTIF(S18:S37, "✗") + COUNTIF(S18:S37, "x") + COUNTIF(S18:S37, "X")) &gt; 0, (COUNTIF(S18:S37, "✓") + COUNTIF(S18:S37, "✔") + COUNTIF(S18:S37, "v") + COUNTIF(S18:S37, "V")) &amp; "/" &amp; ((COUNTIF(S18:S37, "✓") + COUNTIF(S18:S37, "✔") + COUNTIF(S18:S37, "v") + COUNTIF(S18:S37, "V")) + COUNTIF(S18:S37, "✗") + COUNTIF(S18:S37, "x") + COUNTIF(S18:S37, "X")), "")</f>
        <v/>
      </c>
      <c r="T38" s="33">
        <f>IF(((COUNTIF(T18:T37, "✓") + COUNTIF(T18:T37, "✔") + COUNTIF(T18:T37, "v") + COUNTIF(T18:T37, "V")) + COUNTIF(T18:T37, "✗") + COUNTIF(T18:T37, "x") + COUNTIF(T18:T37, "X")) &gt; 0, (COUNTIF(T18:T37, "✓") + COUNTIF(T18:T37, "✔") + COUNTIF(T18:T37, "v") + COUNTIF(T18:T37, "V")) &amp; "/" &amp; ((COUNTIF(T18:T37, "✓") + COUNTIF(T18:T37, "✔") + COUNTIF(T18:T37, "v") + COUNTIF(T18:T37, "V")) + COUNTIF(T18:T37, "✗") + COUNTIF(T18:T37, "x") + COUNTIF(T18:T37, "X")), "")</f>
        <v/>
      </c>
      <c r="U38" s="33">
        <f>IF(((COUNTIF(U18:U37, "✓") + COUNTIF(U18:U37, "✔") + COUNTIF(U18:U37, "v") + COUNTIF(U18:U37, "V")) + COUNTIF(U18:U37, "✗") + COUNTIF(U18:U37, "x") + COUNTIF(U18:U37, "X")) &gt; 0, (COUNTIF(U18:U37, "✓") + COUNTIF(U18:U37, "✔") + COUNTIF(U18:U37, "v") + COUNTIF(U18:U37, "V")) &amp; "/" &amp; ((COUNTIF(U18:U37, "✓") + COUNTIF(U18:U37, "✔") + COUNTIF(U18:U37, "v") + COUNTIF(U18:U37, "V")) + COUNTIF(U18:U37, "✗") + COUNTIF(U18:U37, "x") + COUNTIF(U18:U37, "X")), "")</f>
        <v/>
      </c>
      <c r="V38" s="33">
        <f>IF(((COUNTIF(V18:V37, "✓") + COUNTIF(V18:V37, "✔") + COUNTIF(V18:V37, "v") + COUNTIF(V18:V37, "V")) + COUNTIF(V18:V37, "✗") + COUNTIF(V18:V37, "x") + COUNTIF(V18:V37, "X")) &gt; 0, (COUNTIF(V18:V37, "✓") + COUNTIF(V18:V37, "✔") + COUNTIF(V18:V37, "v") + COUNTIF(V18:V37, "V")) &amp; "/" &amp; ((COUNTIF(V18:V37, "✓") + COUNTIF(V18:V37, "✔") + COUNTIF(V18:V37, "v") + COUNTIF(V18:V37, "V")) + COUNTIF(V18:V37, "✗") + COUNTIF(V18:V37, "x") + COUNTIF(V18:V37, "X")), "")</f>
        <v/>
      </c>
      <c r="W38" s="33">
        <f>IF(((COUNTIF(W18:W37, "✓") + COUNTIF(W18:W37, "✔") + COUNTIF(W18:W37, "v") + COUNTIF(W18:W37, "V")) + COUNTIF(W18:W37, "✗") + COUNTIF(W18:W37, "x") + COUNTIF(W18:W37, "X")) &gt; 0, (COUNTIF(W18:W37, "✓") + COUNTIF(W18:W37, "✔") + COUNTIF(W18:W37, "v") + COUNTIF(W18:W37, "V")) &amp; "/" &amp; ((COUNTIF(W18:W37, "✓") + COUNTIF(W18:W37, "✔") + COUNTIF(W18:W37, "v") + COUNTIF(W18:W37, "V")) + COUNTIF(W18:W37, "✗") + COUNTIF(W18:W37, "x") + COUNTIF(W18:W37, "X")), "")</f>
        <v/>
      </c>
      <c r="X38" s="33">
        <f>IF(((COUNTIF(X18:X37, "✓") + COUNTIF(X18:X37, "✔") + COUNTIF(X18:X37, "v") + COUNTIF(X18:X37, "V")) + COUNTIF(X18:X37, "✗") + COUNTIF(X18:X37, "x") + COUNTIF(X18:X37, "X")) &gt; 0, (COUNTIF(X18:X37, "✓") + COUNTIF(X18:X37, "✔") + COUNTIF(X18:X37, "v") + COUNTIF(X18:X37, "V")) &amp; "/" &amp; ((COUNTIF(X18:X37, "✓") + COUNTIF(X18:X37, "✔") + COUNTIF(X18:X37, "v") + COUNTIF(X18:X37, "V")) + COUNTIF(X18:X37, "✗") + COUNTIF(X18:X37, "x") + COUNTIF(X18:X37, "X")), "")</f>
        <v/>
      </c>
      <c r="Y38" s="33">
        <f>IF(((COUNTIF(Y18:Y37, "✓") + COUNTIF(Y18:Y37, "✔") + COUNTIF(Y18:Y37, "v") + COUNTIF(Y18:Y37, "V")) + COUNTIF(Y18:Y37, "✗") + COUNTIF(Y18:Y37, "x") + COUNTIF(Y18:Y37, "X")) &gt; 0, (COUNTIF(Y18:Y37, "✓") + COUNTIF(Y18:Y37, "✔") + COUNTIF(Y18:Y37, "v") + COUNTIF(Y18:Y37, "V")) &amp; "/" &amp; ((COUNTIF(Y18:Y37, "✓") + COUNTIF(Y18:Y37, "✔") + COUNTIF(Y18:Y37, "v") + COUNTIF(Y18:Y37, "V")) + COUNTIF(Y18:Y37, "✗") + COUNTIF(Y18:Y37, "x") + COUNTIF(Y18:Y37, "X")), "")</f>
        <v/>
      </c>
      <c r="Z38" s="33">
        <f>IF(((COUNTIF(Z18:Z37, "✓") + COUNTIF(Z18:Z37, "✔") + COUNTIF(Z18:Z37, "v") + COUNTIF(Z18:Z37, "V")) + COUNTIF(Z18:Z37, "✗") + COUNTIF(Z18:Z37, "x") + COUNTIF(Z18:Z37, "X")) &gt; 0, (COUNTIF(Z18:Z37, "✓") + COUNTIF(Z18:Z37, "✔") + COUNTIF(Z18:Z37, "v") + COUNTIF(Z18:Z37, "V")) &amp; "/" &amp; ((COUNTIF(Z18:Z37, "✓") + COUNTIF(Z18:Z37, "✔") + COUNTIF(Z18:Z37, "v") + COUNTIF(Z18:Z37, "V")) + COUNTIF(Z18:Z37, "✗") + COUNTIF(Z18:Z37, "x") + COUNTIF(Z18:Z37, "X")), "")</f>
        <v/>
      </c>
      <c r="AA38" s="33">
        <f>IF(((COUNTIF(AA18:AA37, "✓") + COUNTIF(AA18:AA37, "✔") + COUNTIF(AA18:AA37, "v") + COUNTIF(AA18:AA37, "V")) + COUNTIF(AA18:AA37, "✗") + COUNTIF(AA18:AA37, "x") + COUNTIF(AA18:AA37, "X")) &gt; 0, (COUNTIF(AA18:AA37, "✓") + COUNTIF(AA18:AA37, "✔") + COUNTIF(AA18:AA37, "v") + COUNTIF(AA18:AA37, "V")) &amp; "/" &amp; ((COUNTIF(AA18:AA37, "✓") + COUNTIF(AA18:AA37, "✔") + COUNTIF(AA18:AA37, "v") + COUNTIF(AA18:AA37, "V")) + COUNTIF(AA18:AA37, "✗") + COUNTIF(AA18:AA37, "x") + COUNTIF(AA18:AA37, "X")), "")</f>
        <v/>
      </c>
      <c r="AB38" s="33">
        <f>IF(((COUNTIF(AB18:AB37, "✓") + COUNTIF(AB18:AB37, "✔") + COUNTIF(AB18:AB37, "v") + COUNTIF(AB18:AB37, "V")) + COUNTIF(AB18:AB37, "✗") + COUNTIF(AB18:AB37, "x") + COUNTIF(AB18:AB37, "X")) &gt; 0, (COUNTIF(AB18:AB37, "✓") + COUNTIF(AB18:AB37, "✔") + COUNTIF(AB18:AB37, "v") + COUNTIF(AB18:AB37, "V")) &amp; "/" &amp; ((COUNTIF(AB18:AB37, "✓") + COUNTIF(AB18:AB37, "✔") + COUNTIF(AB18:AB37, "v") + COUNTIF(AB18:AB37, "V")) + COUNTIF(AB18:AB37, "✗") + COUNTIF(AB18:AB37, "x") + COUNTIF(AB18:AB37, "X")), "")</f>
        <v/>
      </c>
      <c r="AC38" s="33">
        <f>IF(((COUNTIF(AC18:AC37, "✓") + COUNTIF(AC18:AC37, "✔") + COUNTIF(AC18:AC37, "v") + COUNTIF(AC18:AC37, "V")) + COUNTIF(AC18:AC37, "✗") + COUNTIF(AC18:AC37, "x") + COUNTIF(AC18:AC37, "X")) &gt; 0, (COUNTIF(AC18:AC37, "✓") + COUNTIF(AC18:AC37, "✔") + COUNTIF(AC18:AC37, "v") + COUNTIF(AC18:AC37, "V")) &amp; "/" &amp; ((COUNTIF(AC18:AC37, "✓") + COUNTIF(AC18:AC37, "✔") + COUNTIF(AC18:AC37, "v") + COUNTIF(AC18:AC37, "V")) + COUNTIF(AC18:AC37, "✗") + COUNTIF(AC18:AC37, "x") + COUNTIF(AC18:AC37, "X")), "")</f>
        <v/>
      </c>
      <c r="AD38" s="33">
        <f>IF(((COUNTIF(AD18:AD37, "✓") + COUNTIF(AD18:AD37, "✔") + COUNTIF(AD18:AD37, "v") + COUNTIF(AD18:AD37, "V")) + COUNTIF(AD18:AD37, "✗") + COUNTIF(AD18:AD37, "x") + COUNTIF(AD18:AD37, "X")) &gt; 0, (COUNTIF(AD18:AD37, "✓") + COUNTIF(AD18:AD37, "✔") + COUNTIF(AD18:AD37, "v") + COUNTIF(AD18:AD37, "V")) &amp; "/" &amp; ((COUNTIF(AD18:AD37, "✓") + COUNTIF(AD18:AD37, "✔") + COUNTIF(AD18:AD37, "v") + COUNTIF(AD18:AD37, "V")) + COUNTIF(AD18:AD37, "✗") + COUNTIF(AD18:AD37, "x") + COUNTIF(AD18:AD37, "X")), "")</f>
        <v/>
      </c>
      <c r="AE38" s="33">
        <f>IF(((COUNTIF(AE18:AE37, "✓") + COUNTIF(AE18:AE37, "✔") + COUNTIF(AE18:AE37, "v") + COUNTIF(AE18:AE37, "V")) + COUNTIF(AE18:AE37, "✗") + COUNTIF(AE18:AE37, "x") + COUNTIF(AE18:AE37, "X")) &gt; 0, (COUNTIF(AE18:AE37, "✓") + COUNTIF(AE18:AE37, "✔") + COUNTIF(AE18:AE37, "v") + COUNTIF(AE18:AE37, "V")) &amp; "/" &amp; ((COUNTIF(AE18:AE37, "✓") + COUNTIF(AE18:AE37, "✔") + COUNTIF(AE18:AE37, "v") + COUNTIF(AE18:AE37, "V")) + COUNTIF(AE18:AE37, "✗") + COUNTIF(AE18:AE37, "x") + COUNTIF(AE18:AE37, "X")), "")</f>
        <v/>
      </c>
      <c r="AF38" s="33">
        <f>IF(((COUNTIF(AF18:AF37, "✓") + COUNTIF(AF18:AF37, "✔") + COUNTIF(AF18:AF37, "v") + COUNTIF(AF18:AF37, "V")) + COUNTIF(AF18:AF37, "✗") + COUNTIF(AF18:AF37, "x") + COUNTIF(AF18:AF37, "X")) &gt; 0, (COUNTIF(AF18:AF37, "✓") + COUNTIF(AF18:AF37, "✔") + COUNTIF(AF18:AF37, "v") + COUNTIF(AF18:AF37, "V")) &amp; "/" &amp; ((COUNTIF(AF18:AF37, "✓") + COUNTIF(AF18:AF37, "✔") + COUNTIF(AF18:AF37, "v") + COUNTIF(AF18:AF37, "V")) + COUNTIF(AF18:AF37, "✗") + COUNTIF(AF18:AF37, "x") + COUNTIF(AF18:AF37, "X")), "")</f>
        <v/>
      </c>
      <c r="AG38" s="33">
        <f>IF(((COUNTIF(AG18:AG37, "✓") + COUNTIF(AG18:AG37, "✔") + COUNTIF(AG18:AG37, "v") + COUNTIF(AG18:AG37, "V")) + COUNTIF(AG18:AG37, "✗") + COUNTIF(AG18:AG37, "x") + COUNTIF(AG18:AG37, "X")) &gt; 0, (COUNTIF(AG18:AG37, "✓") + COUNTIF(AG18:AG37, "✔") + COUNTIF(AG18:AG37, "v") + COUNTIF(AG18:AG37, "V")) &amp; "/" &amp; ((COUNTIF(AG18:AG37, "✓") + COUNTIF(AG18:AG37, "✔") + COUNTIF(AG18:AG37, "v") + COUNTIF(AG18:AG37, "V")) + COUNTIF(AG18:AG37, "✗") + COUNTIF(AG18:AG37, "x") + COUNTIF(AG18:AG37, "X")), "")</f>
        <v/>
      </c>
      <c r="AH38" s="33">
        <f>IF(((COUNTIF(AH18:AH37, "✓") + COUNTIF(AH18:AH37, "✔") + COUNTIF(AH18:AH37, "v") + COUNTIF(AH18:AH37, "V")) + COUNTIF(AH18:AH37, "✗") + COUNTIF(AH18:AH37, "x") + COUNTIF(AH18:AH37, "X")) &gt; 0, (COUNTIF(AH18:AH37, "✓") + COUNTIF(AH18:AH37, "✔") + COUNTIF(AH18:AH37, "v") + COUNTIF(AH18:AH37, "V")) &amp; "/" &amp; ((COUNTIF(AH18:AH37, "✓") + COUNTIF(AH18:AH37, "✔") + COUNTIF(AH18:AH37, "v") + COUNTIF(AH18:AH37, "V")) + COUNTIF(AH18:AH37, "✗") + COUNTIF(AH18:AH37, "x") + COUNTIF(AH18:AH37, "X")), "")</f>
        <v/>
      </c>
      <c r="AI38" s="133">
        <f>IF(SUM(D18:D37) &gt; 0, SUM(AL18:AL37) / SUM(D18:D37), "")</f>
        <v/>
      </c>
      <c r="AJ38" s="33">
        <f>IF(SUM(D18:D37) &gt; 0, SUM(AL18:AL37) &amp; "/" &amp; SUM(D18:D37), "")</f>
        <v/>
      </c>
      <c r="AK38" s="54" t="n"/>
    </row>
    <row r="39" ht="18" customHeight="1">
      <c r="A39" s="132" t="inlineStr">
        <is>
          <t>DAILY SUCCESS %</t>
        </is>
      </c>
      <c r="B39" s="54" t="n"/>
      <c r="C39" s="54" t="n"/>
      <c r="D39" s="54" t="n"/>
      <c r="E39" s="134">
        <f>IF(((COUNTIF(E18:E37, "✓") + COUNTIF(E18:E37, "✔") + COUNTIF(E18:E37, "v") + COUNTIF(E18:E37, "V")) + COUNTIF(E18:E37, "✗") + COUNTIF(E18:E37, "x") + COUNTIF(E18:E37, "X")) &gt; 0, (COUNTIF(E18:E37, "✓") + COUNTIF(E18:E37, "✔") + COUNTIF(E18:E37, "v") + COUNTIF(E18:E37, "V")) / ((COUNTIF(E18:E37, "✓") + COUNTIF(E18:E37, "✔") + COUNTIF(E18:E37, "v") + COUNTIF(E18:E37, "V")) + COUNTIF(E18:E37, "✗") + COUNTIF(E18:E37, "x") + COUNTIF(E18:E37, "X")), "")</f>
        <v/>
      </c>
      <c r="F39" s="134">
        <f>IF(((COUNTIF(F18:F37, "✓") + COUNTIF(F18:F37, "✔") + COUNTIF(F18:F37, "v") + COUNTIF(F18:F37, "V")) + COUNTIF(F18:F37, "✗") + COUNTIF(F18:F37, "x") + COUNTIF(F18:F37, "X")) &gt; 0, (COUNTIF(F18:F37, "✓") + COUNTIF(F18:F37, "✔") + COUNTIF(F18:F37, "v") + COUNTIF(F18:F37, "V")) / ((COUNTIF(F18:F37, "✓") + COUNTIF(F18:F37, "✔") + COUNTIF(F18:F37, "v") + COUNTIF(F18:F37, "V")) + COUNTIF(F18:F37, "✗") + COUNTIF(F18:F37, "x") + COUNTIF(F18:F37, "X")), "")</f>
        <v/>
      </c>
      <c r="G39" s="134">
        <f>IF(((COUNTIF(G18:G37, "✓") + COUNTIF(G18:G37, "✔") + COUNTIF(G18:G37, "v") + COUNTIF(G18:G37, "V")) + COUNTIF(G18:G37, "✗") + COUNTIF(G18:G37, "x") + COUNTIF(G18:G37, "X")) &gt; 0, (COUNTIF(G18:G37, "✓") + COUNTIF(G18:G37, "✔") + COUNTIF(G18:G37, "v") + COUNTIF(G18:G37, "V")) / ((COUNTIF(G18:G37, "✓") + COUNTIF(G18:G37, "✔") + COUNTIF(G18:G37, "v") + COUNTIF(G18:G37, "V")) + COUNTIF(G18:G37, "✗") + COUNTIF(G18:G37, "x") + COUNTIF(G18:G37, "X")), "")</f>
        <v/>
      </c>
      <c r="H39" s="134">
        <f>IF(((COUNTIF(H18:H37, "✓") + COUNTIF(H18:H37, "✔") + COUNTIF(H18:H37, "v") + COUNTIF(H18:H37, "V")) + COUNTIF(H18:H37, "✗") + COUNTIF(H18:H37, "x") + COUNTIF(H18:H37, "X")) &gt; 0, (COUNTIF(H18:H37, "✓") + COUNTIF(H18:H37, "✔") + COUNTIF(H18:H37, "v") + COUNTIF(H18:H37, "V")) / ((COUNTIF(H18:H37, "✓") + COUNTIF(H18:H37, "✔") + COUNTIF(H18:H37, "v") + COUNTIF(H18:H37, "V")) + COUNTIF(H18:H37, "✗") + COUNTIF(H18:H37, "x") + COUNTIF(H18:H37, "X")), "")</f>
        <v/>
      </c>
      <c r="I39" s="134">
        <f>IF(((COUNTIF(I18:I37, "✓") + COUNTIF(I18:I37, "✔") + COUNTIF(I18:I37, "v") + COUNTIF(I18:I37, "V")) + COUNTIF(I18:I37, "✗") + COUNTIF(I18:I37, "x") + COUNTIF(I18:I37, "X")) &gt; 0, (COUNTIF(I18:I37, "✓") + COUNTIF(I18:I37, "✔") + COUNTIF(I18:I37, "v") + COUNTIF(I18:I37, "V")) / ((COUNTIF(I18:I37, "✓") + COUNTIF(I18:I37, "✔") + COUNTIF(I18:I37, "v") + COUNTIF(I18:I37, "V")) + COUNTIF(I18:I37, "✗") + COUNTIF(I18:I37, "x") + COUNTIF(I18:I37, "X")), "")</f>
        <v/>
      </c>
      <c r="J39" s="134">
        <f>IF(((COUNTIF(J18:J37, "✓") + COUNTIF(J18:J37, "✔") + COUNTIF(J18:J37, "v") + COUNTIF(J18:J37, "V")) + COUNTIF(J18:J37, "✗") + COUNTIF(J18:J37, "x") + COUNTIF(J18:J37, "X")) &gt; 0, (COUNTIF(J18:J37, "✓") + COUNTIF(J18:J37, "✔") + COUNTIF(J18:J37, "v") + COUNTIF(J18:J37, "V")) / ((COUNTIF(J18:J37, "✓") + COUNTIF(J18:J37, "✔") + COUNTIF(J18:J37, "v") + COUNTIF(J18:J37, "V")) + COUNTIF(J18:J37, "✗") + COUNTIF(J18:J37, "x") + COUNTIF(J18:J37, "X")), "")</f>
        <v/>
      </c>
      <c r="K39" s="134">
        <f>IF(((COUNTIF(K18:K37, "✓") + COUNTIF(K18:K37, "✔") + COUNTIF(K18:K37, "v") + COUNTIF(K18:K37, "V")) + COUNTIF(K18:K37, "✗") + COUNTIF(K18:K37, "x") + COUNTIF(K18:K37, "X")) &gt; 0, (COUNTIF(K18:K37, "✓") + COUNTIF(K18:K37, "✔") + COUNTIF(K18:K37, "v") + COUNTIF(K18:K37, "V")) / ((COUNTIF(K18:K37, "✓") + COUNTIF(K18:K37, "✔") + COUNTIF(K18:K37, "v") + COUNTIF(K18:K37, "V")) + COUNTIF(K18:K37, "✗") + COUNTIF(K18:K37, "x") + COUNTIF(K18:K37, "X")), "")</f>
        <v/>
      </c>
      <c r="L39" s="134">
        <f>IF(((COUNTIF(L18:L37, "✓") + COUNTIF(L18:L37, "✔") + COUNTIF(L18:L37, "v") + COUNTIF(L18:L37, "V")) + COUNTIF(L18:L37, "✗") + COUNTIF(L18:L37, "x") + COUNTIF(L18:L37, "X")) &gt; 0, (COUNTIF(L18:L37, "✓") + COUNTIF(L18:L37, "✔") + COUNTIF(L18:L37, "v") + COUNTIF(L18:L37, "V")) / ((COUNTIF(L18:L37, "✓") + COUNTIF(L18:L37, "✔") + COUNTIF(L18:L37, "v") + COUNTIF(L18:L37, "V")) + COUNTIF(L18:L37, "✗") + COUNTIF(L18:L37, "x") + COUNTIF(L18:L37, "X")), "")</f>
        <v/>
      </c>
      <c r="M39" s="134">
        <f>IF(((COUNTIF(M18:M37, "✓") + COUNTIF(M18:M37, "✔") + COUNTIF(M18:M37, "v") + COUNTIF(M18:M37, "V")) + COUNTIF(M18:M37, "✗") + COUNTIF(M18:M37, "x") + COUNTIF(M18:M37, "X")) &gt; 0, (COUNTIF(M18:M37, "✓") + COUNTIF(M18:M37, "✔") + COUNTIF(M18:M37, "v") + COUNTIF(M18:M37, "V")) / ((COUNTIF(M18:M37, "✓") + COUNTIF(M18:M37, "✔") + COUNTIF(M18:M37, "v") + COUNTIF(M18:M37, "V")) + COUNTIF(M18:M37, "✗") + COUNTIF(M18:M37, "x") + COUNTIF(M18:M37, "X")), "")</f>
        <v/>
      </c>
      <c r="N39" s="134">
        <f>IF(((COUNTIF(N18:N37, "✓") + COUNTIF(N18:N37, "✔") + COUNTIF(N18:N37, "v") + COUNTIF(N18:N37, "V")) + COUNTIF(N18:N37, "✗") + COUNTIF(N18:N37, "x") + COUNTIF(N18:N37, "X")) &gt; 0, (COUNTIF(N18:N37, "✓") + COUNTIF(N18:N37, "✔") + COUNTIF(N18:N37, "v") + COUNTIF(N18:N37, "V")) / ((COUNTIF(N18:N37, "✓") + COUNTIF(N18:N37, "✔") + COUNTIF(N18:N37, "v") + COUNTIF(N18:N37, "V")) + COUNTIF(N18:N37, "✗") + COUNTIF(N18:N37, "x") + COUNTIF(N18:N37, "X")), "")</f>
        <v/>
      </c>
      <c r="O39" s="134">
        <f>IF(((COUNTIF(O18:O37, "✓") + COUNTIF(O18:O37, "✔") + COUNTIF(O18:O37, "v") + COUNTIF(O18:O37, "V")) + COUNTIF(O18:O37, "✗") + COUNTIF(O18:O37, "x") + COUNTIF(O18:O37, "X")) &gt; 0, (COUNTIF(O18:O37, "✓") + COUNTIF(O18:O37, "✔") + COUNTIF(O18:O37, "v") + COUNTIF(O18:O37, "V")) / ((COUNTIF(O18:O37, "✓") + COUNTIF(O18:O37, "✔") + COUNTIF(O18:O37, "v") + COUNTIF(O18:O37, "V")) + COUNTIF(O18:O37, "✗") + COUNTIF(O18:O37, "x") + COUNTIF(O18:O37, "X")), "")</f>
        <v/>
      </c>
      <c r="P39" s="134">
        <f>IF(((COUNTIF(P18:P37, "✓") + COUNTIF(P18:P37, "✔") + COUNTIF(P18:P37, "v") + COUNTIF(P18:P37, "V")) + COUNTIF(P18:P37, "✗") + COUNTIF(P18:P37, "x") + COUNTIF(P18:P37, "X")) &gt; 0, (COUNTIF(P18:P37, "✓") + COUNTIF(P18:P37, "✔") + COUNTIF(P18:P37, "v") + COUNTIF(P18:P37, "V")) / ((COUNTIF(P18:P37, "✓") + COUNTIF(P18:P37, "✔") + COUNTIF(P18:P37, "v") + COUNTIF(P18:P37, "V")) + COUNTIF(P18:P37, "✗") + COUNTIF(P18:P37, "x") + COUNTIF(P18:P37, "X")), "")</f>
        <v/>
      </c>
      <c r="Q39" s="134">
        <f>IF(((COUNTIF(Q18:Q37, "✓") + COUNTIF(Q18:Q37, "✔") + COUNTIF(Q18:Q37, "v") + COUNTIF(Q18:Q37, "V")) + COUNTIF(Q18:Q37, "✗") + COUNTIF(Q18:Q37, "x") + COUNTIF(Q18:Q37, "X")) &gt; 0, (COUNTIF(Q18:Q37, "✓") + COUNTIF(Q18:Q37, "✔") + COUNTIF(Q18:Q37, "v") + COUNTIF(Q18:Q37, "V")) / ((COUNTIF(Q18:Q37, "✓") + COUNTIF(Q18:Q37, "✔") + COUNTIF(Q18:Q37, "v") + COUNTIF(Q18:Q37, "V")) + COUNTIF(Q18:Q37, "✗") + COUNTIF(Q18:Q37, "x") + COUNTIF(Q18:Q37, "X")), "")</f>
        <v/>
      </c>
      <c r="R39" s="134">
        <f>IF(((COUNTIF(R18:R37, "✓") + COUNTIF(R18:R37, "✔") + COUNTIF(R18:R37, "v") + COUNTIF(R18:R37, "V")) + COUNTIF(R18:R37, "✗") + COUNTIF(R18:R37, "x") + COUNTIF(R18:R37, "X")) &gt; 0, (COUNTIF(R18:R37, "✓") + COUNTIF(R18:R37, "✔") + COUNTIF(R18:R37, "v") + COUNTIF(R18:R37, "V")) / ((COUNTIF(R18:R37, "✓") + COUNTIF(R18:R37, "✔") + COUNTIF(R18:R37, "v") + COUNTIF(R18:R37, "V")) + COUNTIF(R18:R37, "✗") + COUNTIF(R18:R37, "x") + COUNTIF(R18:R37, "X")), "")</f>
        <v/>
      </c>
      <c r="S39" s="134">
        <f>IF(((COUNTIF(S18:S37, "✓") + COUNTIF(S18:S37, "✔") + COUNTIF(S18:S37, "v") + COUNTIF(S18:S37, "V")) + COUNTIF(S18:S37, "✗") + COUNTIF(S18:S37, "x") + COUNTIF(S18:S37, "X")) &gt; 0, (COUNTIF(S18:S37, "✓") + COUNTIF(S18:S37, "✔") + COUNTIF(S18:S37, "v") + COUNTIF(S18:S37, "V")) / ((COUNTIF(S18:S37, "✓") + COUNTIF(S18:S37, "✔") + COUNTIF(S18:S37, "v") + COUNTIF(S18:S37, "V")) + COUNTIF(S18:S37, "✗") + COUNTIF(S18:S37, "x") + COUNTIF(S18:S37, "X")), "")</f>
        <v/>
      </c>
      <c r="T39" s="134">
        <f>IF(((COUNTIF(T18:T37, "✓") + COUNTIF(T18:T37, "✔") + COUNTIF(T18:T37, "v") + COUNTIF(T18:T37, "V")) + COUNTIF(T18:T37, "✗") + COUNTIF(T18:T37, "x") + COUNTIF(T18:T37, "X")) &gt; 0, (COUNTIF(T18:T37, "✓") + COUNTIF(T18:T37, "✔") + COUNTIF(T18:T37, "v") + COUNTIF(T18:T37, "V")) / ((COUNTIF(T18:T37, "✓") + COUNTIF(T18:T37, "✔") + COUNTIF(T18:T37, "v") + COUNTIF(T18:T37, "V")) + COUNTIF(T18:T37, "✗") + COUNTIF(T18:T37, "x") + COUNTIF(T18:T37, "X")), "")</f>
        <v/>
      </c>
      <c r="U39" s="134">
        <f>IF(((COUNTIF(U18:U37, "✓") + COUNTIF(U18:U37, "✔") + COUNTIF(U18:U37, "v") + COUNTIF(U18:U37, "V")) + COUNTIF(U18:U37, "✗") + COUNTIF(U18:U37, "x") + COUNTIF(U18:U37, "X")) &gt; 0, (COUNTIF(U18:U37, "✓") + COUNTIF(U18:U37, "✔") + COUNTIF(U18:U37, "v") + COUNTIF(U18:U37, "V")) / ((COUNTIF(U18:U37, "✓") + COUNTIF(U18:U37, "✔") + COUNTIF(U18:U37, "v") + COUNTIF(U18:U37, "V")) + COUNTIF(U18:U37, "✗") + COUNTIF(U18:U37, "x") + COUNTIF(U18:U37, "X")), "")</f>
        <v/>
      </c>
      <c r="V39" s="134">
        <f>IF(((COUNTIF(V18:V37, "✓") + COUNTIF(V18:V37, "✔") + COUNTIF(V18:V37, "v") + COUNTIF(V18:V37, "V")) + COUNTIF(V18:V37, "✗") + COUNTIF(V18:V37, "x") + COUNTIF(V18:V37, "X")) &gt; 0, (COUNTIF(V18:V37, "✓") + COUNTIF(V18:V37, "✔") + COUNTIF(V18:V37, "v") + COUNTIF(V18:V37, "V")) / ((COUNTIF(V18:V37, "✓") + COUNTIF(V18:V37, "✔") + COUNTIF(V18:V37, "v") + COUNTIF(V18:V37, "V")) + COUNTIF(V18:V37, "✗") + COUNTIF(V18:V37, "x") + COUNTIF(V18:V37, "X")), "")</f>
        <v/>
      </c>
      <c r="W39" s="134">
        <f>IF(((COUNTIF(W18:W37, "✓") + COUNTIF(W18:W37, "✔") + COUNTIF(W18:W37, "v") + COUNTIF(W18:W37, "V")) + COUNTIF(W18:W37, "✗") + COUNTIF(W18:W37, "x") + COUNTIF(W18:W37, "X")) &gt; 0, (COUNTIF(W18:W37, "✓") + COUNTIF(W18:W37, "✔") + COUNTIF(W18:W37, "v") + COUNTIF(W18:W37, "V")) / ((COUNTIF(W18:W37, "✓") + COUNTIF(W18:W37, "✔") + COUNTIF(W18:W37, "v") + COUNTIF(W18:W37, "V")) + COUNTIF(W18:W37, "✗") + COUNTIF(W18:W37, "x") + COUNTIF(W18:W37, "X")), "")</f>
        <v/>
      </c>
      <c r="X39" s="134">
        <f>IF(((COUNTIF(X18:X37, "✓") + COUNTIF(X18:X37, "✔") + COUNTIF(X18:X37, "v") + COUNTIF(X18:X37, "V")) + COUNTIF(X18:X37, "✗") + COUNTIF(X18:X37, "x") + COUNTIF(X18:X37, "X")) &gt; 0, (COUNTIF(X18:X37, "✓") + COUNTIF(X18:X37, "✔") + COUNTIF(X18:X37, "v") + COUNTIF(X18:X37, "V")) / ((COUNTIF(X18:X37, "✓") + COUNTIF(X18:X37, "✔") + COUNTIF(X18:X37, "v") + COUNTIF(X18:X37, "V")) + COUNTIF(X18:X37, "✗") + COUNTIF(X18:X37, "x") + COUNTIF(X18:X37, "X")), "")</f>
        <v/>
      </c>
      <c r="Y39" s="134">
        <f>IF(((COUNTIF(Y18:Y37, "✓") + COUNTIF(Y18:Y37, "✔") + COUNTIF(Y18:Y37, "v") + COUNTIF(Y18:Y37, "V")) + COUNTIF(Y18:Y37, "✗") + COUNTIF(Y18:Y37, "x") + COUNTIF(Y18:Y37, "X")) &gt; 0, (COUNTIF(Y18:Y37, "✓") + COUNTIF(Y18:Y37, "✔") + COUNTIF(Y18:Y37, "v") + COUNTIF(Y18:Y37, "V")) / ((COUNTIF(Y18:Y37, "✓") + COUNTIF(Y18:Y37, "✔") + COUNTIF(Y18:Y37, "v") + COUNTIF(Y18:Y37, "V")) + COUNTIF(Y18:Y37, "✗") + COUNTIF(Y18:Y37, "x") + COUNTIF(Y18:Y37, "X")), "")</f>
        <v/>
      </c>
      <c r="Z39" s="134">
        <f>IF(((COUNTIF(Z18:Z37, "✓") + COUNTIF(Z18:Z37, "✔") + COUNTIF(Z18:Z37, "v") + COUNTIF(Z18:Z37, "V")) + COUNTIF(Z18:Z37, "✗") + COUNTIF(Z18:Z37, "x") + COUNTIF(Z18:Z37, "X")) &gt; 0, (COUNTIF(Z18:Z37, "✓") + COUNTIF(Z18:Z37, "✔") + COUNTIF(Z18:Z37, "v") + COUNTIF(Z18:Z37, "V")) / ((COUNTIF(Z18:Z37, "✓") + COUNTIF(Z18:Z37, "✔") + COUNTIF(Z18:Z37, "v") + COUNTIF(Z18:Z37, "V")) + COUNTIF(Z18:Z37, "✗") + COUNTIF(Z18:Z37, "x") + COUNTIF(Z18:Z37, "X")), "")</f>
        <v/>
      </c>
      <c r="AA39" s="134">
        <f>IF(((COUNTIF(AA18:AA37, "✓") + COUNTIF(AA18:AA37, "✔") + COUNTIF(AA18:AA37, "v") + COUNTIF(AA18:AA37, "V")) + COUNTIF(AA18:AA37, "✗") + COUNTIF(AA18:AA37, "x") + COUNTIF(AA18:AA37, "X")) &gt; 0, (COUNTIF(AA18:AA37, "✓") + COUNTIF(AA18:AA37, "✔") + COUNTIF(AA18:AA37, "v") + COUNTIF(AA18:AA37, "V")) / ((COUNTIF(AA18:AA37, "✓") + COUNTIF(AA18:AA37, "✔") + COUNTIF(AA18:AA37, "v") + COUNTIF(AA18:AA37, "V")) + COUNTIF(AA18:AA37, "✗") + COUNTIF(AA18:AA37, "x") + COUNTIF(AA18:AA37, "X")), "")</f>
        <v/>
      </c>
      <c r="AB39" s="134">
        <f>IF(((COUNTIF(AB18:AB37, "✓") + COUNTIF(AB18:AB37, "✔") + COUNTIF(AB18:AB37, "v") + COUNTIF(AB18:AB37, "V")) + COUNTIF(AB18:AB37, "✗") + COUNTIF(AB18:AB37, "x") + COUNTIF(AB18:AB37, "X")) &gt; 0, (COUNTIF(AB18:AB37, "✓") + COUNTIF(AB18:AB37, "✔") + COUNTIF(AB18:AB37, "v") + COUNTIF(AB18:AB37, "V")) / ((COUNTIF(AB18:AB37, "✓") + COUNTIF(AB18:AB37, "✔") + COUNTIF(AB18:AB37, "v") + COUNTIF(AB18:AB37, "V")) + COUNTIF(AB18:AB37, "✗") + COUNTIF(AB18:AB37, "x") + COUNTIF(AB18:AB37, "X")), "")</f>
        <v/>
      </c>
      <c r="AC39" s="134">
        <f>IF(((COUNTIF(AC18:AC37, "✓") + COUNTIF(AC18:AC37, "✔") + COUNTIF(AC18:AC37, "v") + COUNTIF(AC18:AC37, "V")) + COUNTIF(AC18:AC37, "✗") + COUNTIF(AC18:AC37, "x") + COUNTIF(AC18:AC37, "X")) &gt; 0, (COUNTIF(AC18:AC37, "✓") + COUNTIF(AC18:AC37, "✔") + COUNTIF(AC18:AC37, "v") + COUNTIF(AC18:AC37, "V")) / ((COUNTIF(AC18:AC37, "✓") + COUNTIF(AC18:AC37, "✔") + COUNTIF(AC18:AC37, "v") + COUNTIF(AC18:AC37, "V")) + COUNTIF(AC18:AC37, "✗") + COUNTIF(AC18:AC37, "x") + COUNTIF(AC18:AC37, "X")), "")</f>
        <v/>
      </c>
      <c r="AD39" s="134">
        <f>IF(((COUNTIF(AD18:AD37, "✓") + COUNTIF(AD18:AD37, "✔") + COUNTIF(AD18:AD37, "v") + COUNTIF(AD18:AD37, "V")) + COUNTIF(AD18:AD37, "✗") + COUNTIF(AD18:AD37, "x") + COUNTIF(AD18:AD37, "X")) &gt; 0, (COUNTIF(AD18:AD37, "✓") + COUNTIF(AD18:AD37, "✔") + COUNTIF(AD18:AD37, "v") + COUNTIF(AD18:AD37, "V")) / ((COUNTIF(AD18:AD37, "✓") + COUNTIF(AD18:AD37, "✔") + COUNTIF(AD18:AD37, "v") + COUNTIF(AD18:AD37, "V")) + COUNTIF(AD18:AD37, "✗") + COUNTIF(AD18:AD37, "x") + COUNTIF(AD18:AD37, "X")), "")</f>
        <v/>
      </c>
      <c r="AE39" s="134">
        <f>IF(((COUNTIF(AE18:AE37, "✓") + COUNTIF(AE18:AE37, "✔") + COUNTIF(AE18:AE37, "v") + COUNTIF(AE18:AE37, "V")) + COUNTIF(AE18:AE37, "✗") + COUNTIF(AE18:AE37, "x") + COUNTIF(AE18:AE37, "X")) &gt; 0, (COUNTIF(AE18:AE37, "✓") + COUNTIF(AE18:AE37, "✔") + COUNTIF(AE18:AE37, "v") + COUNTIF(AE18:AE37, "V")) / ((COUNTIF(AE18:AE37, "✓") + COUNTIF(AE18:AE37, "✔") + COUNTIF(AE18:AE37, "v") + COUNTIF(AE18:AE37, "V")) + COUNTIF(AE18:AE37, "✗") + COUNTIF(AE18:AE37, "x") + COUNTIF(AE18:AE37, "X")), "")</f>
        <v/>
      </c>
      <c r="AF39" s="134">
        <f>IF(((COUNTIF(AF18:AF37, "✓") + COUNTIF(AF18:AF37, "✔") + COUNTIF(AF18:AF37, "v") + COUNTIF(AF18:AF37, "V")) + COUNTIF(AF18:AF37, "✗") + COUNTIF(AF18:AF37, "x") + COUNTIF(AF18:AF37, "X")) &gt; 0, (COUNTIF(AF18:AF37, "✓") + COUNTIF(AF18:AF37, "✔") + COUNTIF(AF18:AF37, "v") + COUNTIF(AF18:AF37, "V")) / ((COUNTIF(AF18:AF37, "✓") + COUNTIF(AF18:AF37, "✔") + COUNTIF(AF18:AF37, "v") + COUNTIF(AF18:AF37, "V")) + COUNTIF(AF18:AF37, "✗") + COUNTIF(AF18:AF37, "x") + COUNTIF(AF18:AF37, "X")), "")</f>
        <v/>
      </c>
      <c r="AG39" s="134">
        <f>IF(((COUNTIF(AG18:AG37, "✓") + COUNTIF(AG18:AG37, "✔") + COUNTIF(AG18:AG37, "v") + COUNTIF(AG18:AG37, "V")) + COUNTIF(AG18:AG37, "✗") + COUNTIF(AG18:AG37, "x") + COUNTIF(AG18:AG37, "X")) &gt; 0, (COUNTIF(AG18:AG37, "✓") + COUNTIF(AG18:AG37, "✔") + COUNTIF(AG18:AG37, "v") + COUNTIF(AG18:AG37, "V")) / ((COUNTIF(AG18:AG37, "✓") + COUNTIF(AG18:AG37, "✔") + COUNTIF(AG18:AG37, "v") + COUNTIF(AG18:AG37, "V")) + COUNTIF(AG18:AG37, "✗") + COUNTIF(AG18:AG37, "x") + COUNTIF(AG18:AG37, "X")), "")</f>
        <v/>
      </c>
      <c r="AH39" s="134">
        <f>IF(((COUNTIF(AH18:AH37, "✓") + COUNTIF(AH18:AH37, "✔") + COUNTIF(AH18:AH37, "v") + COUNTIF(AH18:AH37, "V")) + COUNTIF(AH18:AH37, "✗") + COUNTIF(AH18:AH37, "x") + COUNTIF(AH18:AH37, "X")) &gt; 0, (COUNTIF(AH18:AH37, "✓") + COUNTIF(AH18:AH37, "✔") + COUNTIF(AH18:AH37, "v") + COUNTIF(AH18:AH37, "V")) / ((COUNTIF(AH18:AH37, "✓") + COUNTIF(AH18:AH37, "✔") + COUNTIF(AH18:AH37, "v") + COUNTIF(AH18:AH37, "V")) + COUNTIF(AH18:AH37, "✗") + COUNTIF(AH18:AH37, "x") + COUNTIF(AH18:AH37, "X")), "")</f>
        <v/>
      </c>
      <c r="AI39" s="133">
        <f>IF(COUNT(E39:AH39) &gt; 0, AVERAGE(E39:AH39), "")</f>
        <v/>
      </c>
      <c r="AJ39" s="54" t="n"/>
      <c r="AK39" s="54" t="n"/>
    </row>
    <row r="40" ht="6" customHeight="1"/>
    <row r="41" ht="15" customHeight="1">
      <c r="A41" s="135" t="inlineStr">
        <is>
          <t>IF SUCCESS &lt; 80%, PUNISHMENT: ________________________________________________</t>
        </is>
      </c>
    </row>
    <row r="42" ht="15" customHeight="1">
      <c r="A42" s="136" t="inlineStr">
        <is>
          <t>IF SUCCESS &gt; 90%, REWARD: __________________________________________________</t>
        </is>
      </c>
    </row>
    <row r="43" ht="10" customHeight="1"/>
    <row r="44" ht="10" customHeight="1"/>
    <row r="45" ht="15" customHeight="1">
      <c r="A45" s="51" t="inlineStr">
        <is>
          <t>Sleep Tracking</t>
        </is>
      </c>
      <c r="B45" s="52" t="n"/>
      <c r="C45" s="52" t="n"/>
      <c r="D45" s="52" t="n"/>
      <c r="E45" s="138" t="n">
        <v>1</v>
      </c>
      <c r="F45" s="137" t="n">
        <v>2</v>
      </c>
      <c r="G45" s="137" t="n">
        <v>3</v>
      </c>
      <c r="H45" s="137" t="n">
        <v>4</v>
      </c>
      <c r="I45" s="137" t="n">
        <v>5</v>
      </c>
      <c r="J45" s="137" t="n">
        <v>6</v>
      </c>
      <c r="K45" s="137" t="n">
        <v>7</v>
      </c>
      <c r="L45" s="138" t="n">
        <v>8</v>
      </c>
      <c r="M45" s="137" t="n">
        <v>9</v>
      </c>
      <c r="N45" s="137" t="n">
        <v>10</v>
      </c>
      <c r="O45" s="137" t="n">
        <v>11</v>
      </c>
      <c r="P45" s="137" t="n">
        <v>12</v>
      </c>
      <c r="Q45" s="137" t="n">
        <v>13</v>
      </c>
      <c r="R45" s="137" t="n">
        <v>14</v>
      </c>
      <c r="S45" s="138" t="n">
        <v>15</v>
      </c>
      <c r="T45" s="137" t="n">
        <v>16</v>
      </c>
      <c r="U45" s="137" t="n">
        <v>17</v>
      </c>
      <c r="V45" s="137" t="n">
        <v>18</v>
      </c>
      <c r="W45" s="137" t="n">
        <v>19</v>
      </c>
      <c r="X45" s="137" t="n">
        <v>20</v>
      </c>
      <c r="Y45" s="137" t="n">
        <v>21</v>
      </c>
      <c r="Z45" s="138" t="n">
        <v>22</v>
      </c>
      <c r="AA45" s="137" t="n">
        <v>23</v>
      </c>
      <c r="AB45" s="137" t="n">
        <v>24</v>
      </c>
      <c r="AC45" s="137" t="n">
        <v>25</v>
      </c>
      <c r="AD45" s="137" t="n">
        <v>26</v>
      </c>
      <c r="AE45" s="137" t="n">
        <v>27</v>
      </c>
      <c r="AF45" s="137" t="n">
        <v>28</v>
      </c>
      <c r="AG45" s="138" t="n">
        <v>29</v>
      </c>
      <c r="AH45" s="137" t="n">
        <v>30</v>
      </c>
    </row>
    <row r="46" ht="15" customHeight="1">
      <c r="A46" s="52" t="n"/>
      <c r="B46" s="52" t="n"/>
      <c r="C46" s="52" t="n"/>
      <c r="D46" s="52" t="n"/>
      <c r="E46" s="140" t="inlineStr">
        <is>
          <t>Su</t>
        </is>
      </c>
      <c r="F46" s="139" t="inlineStr">
        <is>
          <t>M</t>
        </is>
      </c>
      <c r="G46" s="139" t="inlineStr">
        <is>
          <t>T</t>
        </is>
      </c>
      <c r="H46" s="139" t="inlineStr">
        <is>
          <t>W</t>
        </is>
      </c>
      <c r="I46" s="139" t="inlineStr">
        <is>
          <t>Th</t>
        </is>
      </c>
      <c r="J46" s="139" t="inlineStr">
        <is>
          <t>F</t>
        </is>
      </c>
      <c r="K46" s="139" t="inlineStr">
        <is>
          <t>Sa</t>
        </is>
      </c>
      <c r="L46" s="140" t="inlineStr">
        <is>
          <t>Su</t>
        </is>
      </c>
      <c r="M46" s="139" t="inlineStr">
        <is>
          <t>M</t>
        </is>
      </c>
      <c r="N46" s="139" t="inlineStr">
        <is>
          <t>T</t>
        </is>
      </c>
      <c r="O46" s="139" t="inlineStr">
        <is>
          <t>W</t>
        </is>
      </c>
      <c r="P46" s="139" t="inlineStr">
        <is>
          <t>Th</t>
        </is>
      </c>
      <c r="Q46" s="139" t="inlineStr">
        <is>
          <t>F</t>
        </is>
      </c>
      <c r="R46" s="139" t="inlineStr">
        <is>
          <t>Sa</t>
        </is>
      </c>
      <c r="S46" s="140" t="inlineStr">
        <is>
          <t>Su</t>
        </is>
      </c>
      <c r="T46" s="139" t="inlineStr">
        <is>
          <t>M</t>
        </is>
      </c>
      <c r="U46" s="139" t="inlineStr">
        <is>
          <t>T</t>
        </is>
      </c>
      <c r="V46" s="139" t="inlineStr">
        <is>
          <t>W</t>
        </is>
      </c>
      <c r="W46" s="139" t="inlineStr">
        <is>
          <t>Th</t>
        </is>
      </c>
      <c r="X46" s="139" t="inlineStr">
        <is>
          <t>F</t>
        </is>
      </c>
      <c r="Y46" s="139" t="inlineStr">
        <is>
          <t>Sa</t>
        </is>
      </c>
      <c r="Z46" s="140" t="inlineStr">
        <is>
          <t>Su</t>
        </is>
      </c>
      <c r="AA46" s="139" t="inlineStr">
        <is>
          <t>M</t>
        </is>
      </c>
      <c r="AB46" s="139" t="inlineStr">
        <is>
          <t>T</t>
        </is>
      </c>
      <c r="AC46" s="139" t="inlineStr">
        <is>
          <t>W</t>
        </is>
      </c>
      <c r="AD46" s="139" t="inlineStr">
        <is>
          <t>Th</t>
        </is>
      </c>
      <c r="AE46" s="139" t="inlineStr">
        <is>
          <t>F</t>
        </is>
      </c>
      <c r="AF46" s="139" t="inlineStr">
        <is>
          <t>Sa</t>
        </is>
      </c>
      <c r="AG46" s="140" t="inlineStr">
        <is>
          <t>Su</t>
        </is>
      </c>
      <c r="AH46" s="139" t="inlineStr">
        <is>
          <t>M</t>
        </is>
      </c>
    </row>
    <row r="47" ht="20" customHeight="1">
      <c r="A47" s="141" t="inlineStr">
        <is>
          <t>Sleep Hours (1-24)</t>
        </is>
      </c>
      <c r="B47" s="142" t="n"/>
      <c r="C47" s="142" t="n"/>
      <c r="D47" s="142" t="n"/>
      <c r="E47" s="144" t="n"/>
      <c r="F47" s="143" t="n"/>
      <c r="G47" s="143" t="n"/>
      <c r="H47" s="143" t="n"/>
      <c r="I47" s="143" t="n"/>
      <c r="J47" s="143" t="n"/>
      <c r="K47" s="143" t="n"/>
      <c r="L47" s="144" t="n"/>
      <c r="M47" s="143" t="n"/>
      <c r="N47" s="143" t="n"/>
      <c r="O47" s="143" t="n"/>
      <c r="P47" s="143" t="n"/>
      <c r="Q47" s="143" t="n"/>
      <c r="R47" s="143" t="n"/>
      <c r="S47" s="144" t="n"/>
      <c r="T47" s="143" t="n"/>
      <c r="U47" s="143" t="n"/>
      <c r="V47" s="143" t="n"/>
      <c r="W47" s="143" t="n"/>
      <c r="X47" s="143" t="n"/>
      <c r="Y47" s="143" t="n"/>
      <c r="Z47" s="144" t="n"/>
      <c r="AA47" s="143" t="n"/>
      <c r="AB47" s="143" t="n"/>
      <c r="AC47" s="143" t="n"/>
      <c r="AD47" s="143" t="n"/>
      <c r="AE47" s="143" t="n"/>
      <c r="AF47" s="143" t="n"/>
      <c r="AG47" s="144" t="n"/>
      <c r="AH47" s="143" t="n"/>
    </row>
    <row r="48" ht="6" customHeight="1"/>
    <row r="49" ht="14" customHeight="1"/>
    <row r="50" ht="14" customHeight="1"/>
    <row r="51" ht="14" customHeight="1"/>
    <row r="52" ht="14" customHeight="1"/>
    <row r="53" ht="14" customHeight="1"/>
    <row r="54" ht="14" customHeight="1"/>
    <row r="55" ht="14" customHeight="1"/>
    <row r="56" ht="14" customHeight="1"/>
    <row r="57" ht="14" customHeight="1"/>
    <row r="58" ht="14" customHeight="1"/>
    <row r="59" ht="14" customHeight="1"/>
    <row r="60" ht="14" customHeight="1"/>
    <row r="61" ht="14" customHeight="1"/>
    <row r="62" ht="14" customHeight="1"/>
    <row r="63" ht="14" customHeight="1"/>
    <row r="64" ht="14" customHeight="1"/>
    <row r="65" ht="14" customHeight="1"/>
    <row r="66" ht="8" customHeight="1"/>
    <row r="67">
      <c r="A67" s="145" t="inlineStr">
        <is>
          <t>MONTHLY SUCCESS RATE</t>
        </is>
      </c>
      <c r="B67" s="9" t="n"/>
      <c r="C67" s="9" t="n"/>
      <c r="D67" s="9" t="n"/>
      <c r="F67" s="146" t="inlineStr">
        <is>
          <t>ACTIVE PROTOCOLS</t>
        </is>
      </c>
      <c r="G67" s="11" t="n"/>
      <c r="H67" s="11" t="n"/>
      <c r="I67" s="11" t="n"/>
      <c r="K67" s="147" t="inlineStr">
        <is>
          <t>PERFECT DAYS (100%)</t>
        </is>
      </c>
      <c r="L67" s="13" t="n"/>
      <c r="M67" s="13" t="n"/>
      <c r="N67" s="13" t="n"/>
      <c r="P67" s="148" t="inlineStr">
        <is>
          <t>AVG SLEEP DURATION</t>
        </is>
      </c>
      <c r="Q67" s="15" t="n"/>
      <c r="R67" s="15" t="n"/>
      <c r="S67" s="15" t="n"/>
    </row>
    <row r="68">
      <c r="A68" s="149">
        <f>IF(SUM(D18:D37)&gt;0, SUM(AL18:AL37)/SUM(D18:D37), 0)</f>
        <v/>
      </c>
      <c r="B68" s="9" t="n"/>
      <c r="C68" s="9" t="n"/>
      <c r="D68" s="9" t="n"/>
      <c r="F68" s="150">
        <f>COUNTA(B18:B37) &amp; " / 20"</f>
        <v/>
      </c>
      <c r="G68" s="11" t="n"/>
      <c r="H68" s="11" t="n"/>
      <c r="I68" s="11" t="n"/>
      <c r="K68" s="151">
        <f>COUNTIF(E39:AH39, 1) &amp; " Days"</f>
        <v/>
      </c>
      <c r="L68" s="13" t="n"/>
      <c r="M68" s="13" t="n"/>
      <c r="N68" s="13" t="n"/>
      <c r="P68" s="152">
        <f>IFERROR(TEXT(AVERAGE(E47:AH47), "0.0") &amp; " hrs", "-")</f>
        <v/>
      </c>
      <c r="Q68" s="15" t="n"/>
      <c r="R68" s="15" t="n"/>
      <c r="S68" s="15" t="n"/>
    </row>
    <row r="69">
      <c r="A69" s="9" t="n"/>
      <c r="B69" s="9" t="n"/>
      <c r="C69" s="9" t="n"/>
      <c r="D69" s="9" t="n"/>
      <c r="F69" s="11" t="n"/>
      <c r="G69" s="11" t="n"/>
      <c r="H69" s="11" t="n"/>
      <c r="I69" s="11" t="n"/>
      <c r="K69" s="13" t="n"/>
      <c r="L69" s="13" t="n"/>
      <c r="M69" s="13" t="n"/>
      <c r="N69" s="13" t="n"/>
      <c r="P69" s="15" t="n"/>
      <c r="Q69" s="15" t="n"/>
      <c r="R69" s="15" t="n"/>
      <c r="S69" s="15" t="n"/>
    </row>
    <row r="70">
      <c r="A70" s="9" t="n"/>
      <c r="B70" s="9" t="n"/>
      <c r="C70" s="9" t="n"/>
      <c r="D70" s="9" t="n"/>
      <c r="F70" s="11" t="n"/>
      <c r="G70" s="11" t="n"/>
      <c r="H70" s="11" t="n"/>
      <c r="I70" s="11" t="n"/>
      <c r="K70" s="13" t="n"/>
      <c r="L70" s="13" t="n"/>
      <c r="M70" s="13" t="n"/>
      <c r="N70" s="13" t="n"/>
      <c r="P70" s="15" t="n"/>
      <c r="Q70" s="15" t="n"/>
      <c r="R70" s="15" t="n"/>
      <c r="S70" s="15" t="n"/>
    </row>
    <row r="71">
      <c r="A71" s="153" t="inlineStr">
        <is>
          <t>Target Completion</t>
        </is>
      </c>
      <c r="B71" s="9" t="n"/>
      <c r="C71" s="9" t="n"/>
      <c r="D71" s="9" t="n"/>
      <c r="F71" s="154" t="inlineStr">
        <is>
          <t>Habits Tracked</t>
        </is>
      </c>
      <c r="G71" s="11" t="n"/>
      <c r="H71" s="11" t="n"/>
      <c r="I71" s="11" t="n"/>
      <c r="K71" s="155" t="inlineStr">
        <is>
          <t>All Marked Habits Completed</t>
        </is>
      </c>
      <c r="L71" s="13" t="n"/>
      <c r="M71" s="13" t="n"/>
      <c r="N71" s="13" t="n"/>
      <c r="P71" s="156" t="inlineStr">
        <is>
          <t>Nightly Rest Average</t>
        </is>
      </c>
      <c r="Q71" s="15" t="n"/>
      <c r="R71" s="15" t="n"/>
      <c r="S71" s="15" t="n"/>
    </row>
    <row r="72" ht="8" customHeight="1"/>
    <row r="73" ht="6" customHeight="1"/>
    <row r="74">
      <c r="A74" s="67" t="inlineStr">
        <is>
          <t>WEEKLY PERFORMANCE (SLUMP DETECTOR)</t>
        </is>
      </c>
      <c r="B74" s="29" t="n"/>
      <c r="C74" s="29" t="n"/>
      <c r="D74" s="29" t="n"/>
      <c r="E74" s="29" t="n"/>
      <c r="N74" s="157" t="inlineStr">
        <is>
          <t>LIFE DOMAIN / CATEGORY BREAKDOWN</t>
        </is>
      </c>
      <c r="O74" s="158" t="n"/>
      <c r="P74" s="158" t="n"/>
      <c r="Q74" s="158" t="n"/>
      <c r="R74" s="158" t="n"/>
      <c r="S74" s="158" t="n"/>
    </row>
    <row r="75" ht="15" customHeight="1">
      <c r="A75" s="53" t="inlineStr">
        <is>
          <t>Week</t>
        </is>
      </c>
      <c r="B75" s="53" t="inlineStr">
        <is>
          <t>Days Range</t>
        </is>
      </c>
      <c r="C75" s="53" t="inlineStr">
        <is>
          <t>Checks Done</t>
        </is>
      </c>
      <c r="D75" s="53" t="inlineStr">
        <is>
          <t>Evaluated</t>
        </is>
      </c>
      <c r="E75" s="53" t="inlineStr">
        <is>
          <t>Success %</t>
        </is>
      </c>
      <c r="N75" s="53" t="inlineStr">
        <is>
          <t>Domain / Category</t>
        </is>
      </c>
      <c r="O75" s="54" t="n"/>
      <c r="P75" s="53" t="inlineStr">
        <is>
          <t>Active Habits</t>
        </is>
      </c>
      <c r="Q75" s="53" t="inlineStr">
        <is>
          <t>Target Days</t>
        </is>
      </c>
      <c r="R75" s="53" t="inlineStr">
        <is>
          <t>Done Checks</t>
        </is>
      </c>
      <c r="S75" s="53" t="inlineStr">
        <is>
          <t>Success %</t>
        </is>
      </c>
    </row>
    <row r="76" ht="14" customHeight="1">
      <c r="A76" s="33" t="inlineStr">
        <is>
          <t>Week 1</t>
        </is>
      </c>
      <c r="B76" s="34" t="inlineStr">
        <is>
          <t>Days 1 - 7</t>
        </is>
      </c>
      <c r="C76" s="34">
        <f>COUNTIF(E18:K37, "✓")</f>
        <v/>
      </c>
      <c r="D76" s="34">
        <f>COUNTIF(E18:K37, "✓") + COUNTIF(E18:K37, "✗")</f>
        <v/>
      </c>
      <c r="E76" s="35">
        <f>IFERROR(C76/D76, 0)</f>
        <v/>
      </c>
      <c r="N76" s="60" t="inlineStr">
        <is>
          <t>Health &amp; Fitness</t>
        </is>
      </c>
      <c r="O76" s="54" t="n"/>
      <c r="P76" s="34">
        <f>COUNTIF($C$18:$C$37, "Health &amp; Fitness")</f>
        <v/>
      </c>
      <c r="Q76" s="34">
        <f>SUMIF($C$18:$C$37, "Health &amp; Fitness", $D$18:$D$37)</f>
        <v/>
      </c>
      <c r="R76" s="34">
        <f>SUMIF($C$18:$C$37, "Health &amp; Fitness", $AL$18:$AL$37)</f>
        <v/>
      </c>
      <c r="S76" s="35">
        <f>IFERROR(R76/Q76, 0)</f>
        <v/>
      </c>
    </row>
    <row r="77" ht="14" customHeight="1">
      <c r="A77" s="33" t="inlineStr">
        <is>
          <t>Week 2</t>
        </is>
      </c>
      <c r="B77" s="34" t="inlineStr">
        <is>
          <t>Days 8 - 14</t>
        </is>
      </c>
      <c r="C77" s="34">
        <f>COUNTIF(L18:R37, "✓")</f>
        <v/>
      </c>
      <c r="D77" s="34">
        <f>COUNTIF(L18:R37, "✓") + COUNTIF(L18:R37, "✗")</f>
        <v/>
      </c>
      <c r="E77" s="35">
        <f>IFERROR(C77/D77, 0)</f>
        <v/>
      </c>
      <c r="N77" s="60" t="inlineStr">
        <is>
          <t>Mindset &amp; Learning</t>
        </is>
      </c>
      <c r="O77" s="54" t="n"/>
      <c r="P77" s="34">
        <f>COUNTIF($C$18:$C$37, "Mindset &amp; Learning")</f>
        <v/>
      </c>
      <c r="Q77" s="34">
        <f>SUMIF($C$18:$C$37, "Mindset &amp; Learning", $D$18:$D$37)</f>
        <v/>
      </c>
      <c r="R77" s="34">
        <f>SUMIF($C$18:$C$37, "Mindset &amp; Learning", $AL$18:$AL$37)</f>
        <v/>
      </c>
      <c r="S77" s="35">
        <f>IFERROR(R77/Q77, 0)</f>
        <v/>
      </c>
    </row>
    <row r="78" ht="14" customHeight="1">
      <c r="A78" s="33" t="inlineStr">
        <is>
          <t>Week 3</t>
        </is>
      </c>
      <c r="B78" s="34" t="inlineStr">
        <is>
          <t>Days 15 - 21</t>
        </is>
      </c>
      <c r="C78" s="34">
        <f>COUNTIF(S18:Y37, "✓")</f>
        <v/>
      </c>
      <c r="D78" s="34">
        <f>COUNTIF(S18:Y37, "✓") + COUNTIF(S18:Y37, "✗")</f>
        <v/>
      </c>
      <c r="E78" s="35">
        <f>IFERROR(C78/D78, 0)</f>
        <v/>
      </c>
      <c r="N78" s="60" t="inlineStr">
        <is>
          <t>Career &amp; Focus</t>
        </is>
      </c>
      <c r="O78" s="54" t="n"/>
      <c r="P78" s="34">
        <f>COUNTIF($C$18:$C$37, "Career &amp; Focus")</f>
        <v/>
      </c>
      <c r="Q78" s="34">
        <f>SUMIF($C$18:$C$37, "Career &amp; Focus", $D$18:$D$37)</f>
        <v/>
      </c>
      <c r="R78" s="34">
        <f>SUMIF($C$18:$C$37, "Career &amp; Focus", $AL$18:$AL$37)</f>
        <v/>
      </c>
      <c r="S78" s="35">
        <f>IFERROR(R78/Q78, 0)</f>
        <v/>
      </c>
    </row>
    <row r="79" ht="14" customHeight="1">
      <c r="A79" s="33" t="inlineStr">
        <is>
          <t>Week 4</t>
        </is>
      </c>
      <c r="B79" s="34" t="inlineStr">
        <is>
          <t>Days 22 - 28</t>
        </is>
      </c>
      <c r="C79" s="34">
        <f>COUNTIF(Z18:AF37, "✓")</f>
        <v/>
      </c>
      <c r="D79" s="34">
        <f>COUNTIF(Z18:AF37, "✓") + COUNTIF(Z18:AF37, "✗")</f>
        <v/>
      </c>
      <c r="E79" s="35">
        <f>IFERROR(C79/D79, 0)</f>
        <v/>
      </c>
      <c r="N79" s="60" t="inlineStr">
        <is>
          <t>Personal &amp; Home</t>
        </is>
      </c>
      <c r="O79" s="54" t="n"/>
      <c r="P79" s="34">
        <f>COUNTIF($C$18:$C$37, "Personal &amp; Home")</f>
        <v/>
      </c>
      <c r="Q79" s="34">
        <f>SUMIF($C$18:$C$37, "Personal &amp; Home", $D$18:$D$37)</f>
        <v/>
      </c>
      <c r="R79" s="34">
        <f>SUMIF($C$18:$C$37, "Personal &amp; Home", $AL$18:$AL$37)</f>
        <v/>
      </c>
      <c r="S79" s="35">
        <f>IFERROR(R79/Q79, 0)</f>
        <v/>
      </c>
    </row>
    <row r="80" ht="14" customHeight="1">
      <c r="A80" s="33" t="inlineStr">
        <is>
          <t>Week 5</t>
        </is>
      </c>
      <c r="B80" s="34" t="inlineStr">
        <is>
          <t>Days 29 - 30</t>
        </is>
      </c>
      <c r="C80" s="34">
        <f>COUNTIF(AG18:AH37, "✓")</f>
        <v/>
      </c>
      <c r="D80" s="34">
        <f>COUNTIF(AG18:AH37, "✓") + COUNTIF(AG18:AH37, "✗")</f>
        <v/>
      </c>
      <c r="E80" s="35">
        <f>IFERROR(C80/D80, 0)</f>
        <v/>
      </c>
      <c r="N80" s="60" t="inlineStr">
        <is>
          <t>Finance &amp; Wealth</t>
        </is>
      </c>
      <c r="O80" s="54" t="n"/>
      <c r="P80" s="34">
        <f>COUNTIF($C$18:$C$37, "Finance &amp; Wealth")</f>
        <v/>
      </c>
      <c r="Q80" s="34">
        <f>SUMIF($C$18:$C$37, "Finance &amp; Wealth", $D$18:$D$37)</f>
        <v/>
      </c>
      <c r="R80" s="34">
        <f>SUMIF($C$18:$C$37, "Finance &amp; Wealth", $AL$18:$AL$37)</f>
        <v/>
      </c>
      <c r="S80" s="35">
        <f>IFERROR(R80/Q80, 0)</f>
        <v/>
      </c>
    </row>
    <row r="81" ht="14" customHeight="1">
      <c r="A81" s="33" t="inlineStr">
        <is>
          <t>Total / Avg</t>
        </is>
      </c>
      <c r="B81" s="159" t="inlineStr">
        <is>
          <t>Month Total</t>
        </is>
      </c>
      <c r="C81" s="33">
        <f>SUM(C76:C80)</f>
        <v/>
      </c>
      <c r="D81" s="33">
        <f>SUM(D76:D80)</f>
        <v/>
      </c>
      <c r="E81" s="133">
        <f>IFERROR(C81/D81, 0)</f>
        <v/>
      </c>
    </row>
    <row r="82" ht="10" customHeight="1"/>
    <row r="83" ht="10" customHeight="1"/>
    <row r="84">
      <c r="A84" s="51" t="inlineStr">
        <is>
          <t>SLEEP &amp; PRODUCTIVITY CORRELATION ANALYSIS</t>
        </is>
      </c>
      <c r="B84" s="52" t="n"/>
      <c r="C84" s="52" t="n"/>
      <c r="D84" s="52" t="n"/>
      <c r="E84" s="52" t="n"/>
      <c r="F84" s="52" t="n"/>
      <c r="G84" s="52" t="n"/>
      <c r="H84" s="52" t="n"/>
      <c r="I84" s="52" t="n"/>
      <c r="J84" s="52" t="n"/>
      <c r="K84" s="52" t="n"/>
      <c r="L84" s="52" t="n"/>
      <c r="M84" s="52" t="n"/>
      <c r="N84" s="52" t="n"/>
      <c r="O84" s="52" t="n"/>
      <c r="P84" s="52" t="n"/>
      <c r="Q84" s="52" t="n"/>
      <c r="R84" s="52" t="n"/>
      <c r="S84" s="52" t="n"/>
      <c r="T84" s="52" t="n"/>
      <c r="U84" s="52" t="n"/>
      <c r="V84" s="52" t="n"/>
      <c r="W84" s="52" t="n"/>
      <c r="X84" s="52" t="n"/>
      <c r="Y84" s="52" t="n"/>
      <c r="Z84" s="52" t="n"/>
      <c r="AA84" s="52" t="n"/>
      <c r="AB84" s="52" t="n"/>
      <c r="AC84" s="52" t="n"/>
      <c r="AD84" s="52" t="n"/>
      <c r="AE84" s="52" t="n"/>
      <c r="AF84" s="52" t="n"/>
      <c r="AG84" s="52" t="n"/>
      <c r="AH84" s="52" t="n"/>
      <c r="AI84" s="52" t="n"/>
      <c r="AJ84" s="52" t="n"/>
      <c r="AK84" s="52" t="n"/>
    </row>
    <row r="85" ht="15" customHeight="1">
      <c r="A85" s="53" t="inlineStr">
        <is>
          <t>Rest Category</t>
        </is>
      </c>
      <c r="B85" s="54" t="n"/>
      <c r="C85" s="54" t="n"/>
      <c r="D85" s="53" t="inlineStr">
        <is>
          <t>Day Criteria</t>
        </is>
      </c>
      <c r="E85" s="54" t="n"/>
      <c r="F85" s="54" t="n"/>
      <c r="G85" s="53" t="inlineStr">
        <is>
          <t>Days Logged</t>
        </is>
      </c>
      <c r="H85" s="54" t="n"/>
      <c r="I85" s="54" t="n"/>
      <c r="J85" s="53" t="inlineStr">
        <is>
          <t>Avg Sleep Duration</t>
        </is>
      </c>
      <c r="K85" s="54" t="n"/>
      <c r="L85" s="54" t="n"/>
      <c r="M85" s="54" t="n"/>
      <c r="N85" s="53" t="inlineStr">
        <is>
          <t>Avg Habit Success %</t>
        </is>
      </c>
      <c r="O85" s="54" t="n"/>
      <c r="P85" s="54" t="n"/>
      <c r="Q85" s="54" t="n"/>
      <c r="R85" s="53" t="inlineStr">
        <is>
          <t>Productivity Delta</t>
        </is>
      </c>
      <c r="S85" s="54" t="n"/>
      <c r="T85" s="54" t="n"/>
      <c r="U85" s="54" t="n"/>
    </row>
    <row r="86" ht="15" customHeight="1">
      <c r="A86" s="160" t="inlineStr">
        <is>
          <t>Optimal Rest</t>
        </is>
      </c>
      <c r="B86" s="161" t="n"/>
      <c r="C86" s="56" t="n"/>
      <c r="D86" s="34" t="inlineStr">
        <is>
          <t>&gt;= 7 Hours / Night</t>
        </is>
      </c>
      <c r="E86" s="161" t="n"/>
      <c r="F86" s="56" t="n"/>
      <c r="G86" s="33">
        <f>COUNTIF(E47:AH47, "&gt;=7")</f>
        <v/>
      </c>
      <c r="H86" s="161" t="n"/>
      <c r="I86" s="56" t="n"/>
      <c r="J86" s="34">
        <f>IFERROR(TEXT(AVERAGEIF(E47:AH47, "&gt;=7"), "0.0") &amp; " hrs", "-")</f>
        <v/>
      </c>
      <c r="K86" s="161" t="n"/>
      <c r="L86" s="161" t="n"/>
      <c r="M86" s="56" t="n"/>
      <c r="N86" s="42">
        <f>IFERROR(AVERAGEIFS(E39:AH39, E47:AH47, "&gt;=7", E39:AH39, "&gt;0"), 0)</f>
        <v/>
      </c>
      <c r="O86" s="161" t="n"/>
      <c r="P86" s="161" t="n"/>
      <c r="Q86" s="56" t="n"/>
      <c r="R86" s="159" t="inlineStr">
        <is>
          <t>Baseline (Target)</t>
        </is>
      </c>
      <c r="S86" s="161" t="n"/>
      <c r="T86" s="161" t="n"/>
      <c r="U86" s="56" t="n"/>
    </row>
    <row r="87" ht="15" customHeight="1">
      <c r="A87" s="162" t="inlineStr">
        <is>
          <t>Sleep Deficit</t>
        </is>
      </c>
      <c r="B87" s="161" t="n"/>
      <c r="C87" s="56" t="n"/>
      <c r="D87" s="34" t="inlineStr">
        <is>
          <t>&lt; 7 Hours / Night</t>
        </is>
      </c>
      <c r="E87" s="161" t="n"/>
      <c r="F87" s="56" t="n"/>
      <c r="G87" s="33">
        <f>COUNTIF(E47:AH47, "&lt;7") - COUNTIF(E47:AH47, "")</f>
        <v/>
      </c>
      <c r="H87" s="161" t="n"/>
      <c r="I87" s="56" t="n"/>
      <c r="J87" s="34">
        <f>IFERROR(TEXT(AVERAGEIFS(E47:AH47, E47:AH47, "&lt;7", E47:AH47, "&gt;0"), "0.0") &amp; " hrs", "-")</f>
        <v/>
      </c>
      <c r="K87" s="161" t="n"/>
      <c r="L87" s="161" t="n"/>
      <c r="M87" s="56" t="n"/>
      <c r="N87" s="163">
        <f>IFERROR(AVERAGEIFS(E39:AH39, E47:AH47, "&lt;7", E39:AH39, "&gt;0"), 0)</f>
        <v/>
      </c>
      <c r="O87" s="161" t="n"/>
      <c r="P87" s="161" t="n"/>
      <c r="Q87" s="56" t="n"/>
      <c r="R87" s="160">
        <f>IFERROR(TEXT(N86 - N87, "+0.0%;-0.0%;0.0%") &amp; " Rest Advantage", "-")</f>
        <v/>
      </c>
      <c r="S87" s="161" t="n"/>
      <c r="T87" s="161" t="n"/>
      <c r="U87" s="56" t="n"/>
    </row>
    <row r="88" ht="18" customHeight="1">
      <c r="A88" s="164">
        <f>IF(AND(ISNUMBER(N86), ISNUMBER(N87), N86&gt;0, N87&gt;0), "💡 Sleep Correlation Insight: You complete " &amp; TEXT(ABS(N86-N87), "0.0%") &amp; IF(N86&gt;=N87, " MORE habits on days with 7+ hours of sleep!", " fewer habits on days with 7+ hours of sleep."), "💡 Log both habits and sleep hours daily to unlock automatic AI correlation insights!")</f>
        <v/>
      </c>
      <c r="B88" s="161" t="n"/>
      <c r="C88" s="161" t="n"/>
      <c r="D88" s="161" t="n"/>
      <c r="E88" s="161" t="n"/>
      <c r="F88" s="161" t="n"/>
      <c r="G88" s="161" t="n"/>
      <c r="H88" s="161" t="n"/>
      <c r="I88" s="161" t="n"/>
      <c r="J88" s="161" t="n"/>
      <c r="K88" s="161" t="n"/>
      <c r="L88" s="161" t="n"/>
      <c r="M88" s="161" t="n"/>
      <c r="N88" s="161" t="n"/>
      <c r="O88" s="161" t="n"/>
      <c r="P88" s="161" t="n"/>
      <c r="Q88" s="161" t="n"/>
      <c r="R88" s="161" t="n"/>
      <c r="S88" s="161" t="n"/>
      <c r="T88" s="161" t="n"/>
      <c r="U88" s="161" t="n"/>
      <c r="V88" s="161" t="n"/>
      <c r="W88" s="161" t="n"/>
      <c r="X88" s="161" t="n"/>
      <c r="Y88" s="161" t="n"/>
      <c r="Z88" s="161" t="n"/>
      <c r="AA88" s="161" t="n"/>
      <c r="AB88" s="161" t="n"/>
      <c r="AC88" s="161" t="n"/>
      <c r="AD88" s="161" t="n"/>
      <c r="AE88" s="161" t="n"/>
      <c r="AF88" s="161" t="n"/>
      <c r="AG88" s="161" t="n"/>
      <c r="AH88" s="161" t="n"/>
      <c r="AI88" s="161" t="n"/>
      <c r="AJ88" s="161" t="n"/>
      <c r="AK88" s="56" t="n"/>
    </row>
    <row r="89" ht="10" customHeight="1"/>
    <row r="90">
      <c r="A90" s="43" t="inlineStr">
        <is>
          <t>STANDARDIZED DATA BRIDGE (FOR ANNUAL &amp; QUARTERLY REVIEW SHEETS)</t>
        </is>
      </c>
      <c r="B90" s="44" t="n"/>
      <c r="C90" s="44" t="n"/>
      <c r="D90" s="44" t="n"/>
      <c r="E90" s="44" t="n"/>
      <c r="F90" s="44" t="n"/>
      <c r="G90" s="44" t="n"/>
      <c r="H90" s="44" t="n"/>
      <c r="I90" s="44" t="n"/>
      <c r="J90" s="44" t="n"/>
      <c r="K90" s="44" t="n"/>
      <c r="L90" s="44" t="n"/>
      <c r="M90" s="44" t="n"/>
      <c r="N90" s="44" t="n"/>
      <c r="O90" s="44" t="n"/>
      <c r="P90" s="44" t="n"/>
      <c r="Q90" s="44" t="n"/>
      <c r="R90" s="44" t="n"/>
      <c r="S90" s="44" t="n"/>
      <c r="T90" s="44" t="n"/>
      <c r="U90" s="44" t="n"/>
      <c r="V90" s="44" t="n"/>
      <c r="W90" s="44" t="n"/>
      <c r="X90" s="44" t="n"/>
      <c r="Y90" s="44" t="n"/>
      <c r="Z90" s="44" t="n"/>
      <c r="AA90" s="44" t="n"/>
      <c r="AB90" s="44" t="n"/>
      <c r="AC90" s="44" t="n"/>
      <c r="AD90" s="44" t="n"/>
      <c r="AE90" s="44" t="n"/>
      <c r="AF90" s="44" t="n"/>
      <c r="AG90" s="44" t="n"/>
      <c r="AH90" s="44" t="n"/>
      <c r="AI90" s="44" t="n"/>
      <c r="AJ90" s="44" t="n"/>
      <c r="AK90" s="44" t="n"/>
    </row>
    <row r="91" ht="15" customHeight="1">
      <c r="A91" s="53" t="inlineStr">
        <is>
          <t>Month</t>
        </is>
      </c>
      <c r="B91" s="54" t="n"/>
      <c r="C91" s="53" t="inlineStr">
        <is>
          <t>Year</t>
        </is>
      </c>
      <c r="D91" s="54" t="n"/>
      <c r="E91" s="53" t="inlineStr">
        <is>
          <t>Active Habits</t>
        </is>
      </c>
      <c r="F91" s="54" t="n"/>
      <c r="G91" s="53" t="inlineStr">
        <is>
          <t>Target Days</t>
        </is>
      </c>
      <c r="H91" s="54" t="n"/>
      <c r="I91" s="53" t="inlineStr">
        <is>
          <t>Done Checks</t>
        </is>
      </c>
      <c r="J91" s="54" t="n"/>
      <c r="K91" s="53" t="inlineStr">
        <is>
          <t>Success %</t>
        </is>
      </c>
      <c r="L91" s="54" t="n"/>
      <c r="M91" s="53" t="inlineStr">
        <is>
          <t>Perfect Days</t>
        </is>
      </c>
      <c r="N91" s="54" t="n"/>
      <c r="O91" s="53" t="inlineStr">
        <is>
          <t>Avg Sleep</t>
        </is>
      </c>
      <c r="P91" s="54" t="n"/>
      <c r="Q91" s="53" t="inlineStr">
        <is>
          <t>Best Week</t>
        </is>
      </c>
      <c r="R91" s="54" t="n"/>
      <c r="S91" s="54" t="n"/>
      <c r="T91" s="53" t="inlineStr">
        <is>
          <t>Top Life Domain</t>
        </is>
      </c>
      <c r="U91" s="54" t="n"/>
      <c r="V91" s="54" t="n"/>
      <c r="W91" s="54" t="n"/>
    </row>
    <row r="92" ht="16" customHeight="1">
      <c r="A92" s="165" t="inlineStr">
        <is>
          <t>Nov</t>
        </is>
      </c>
      <c r="B92" s="56" t="n"/>
      <c r="C92" s="165" t="n">
        <v>2026</v>
      </c>
      <c r="D92" s="56" t="n"/>
      <c r="E92" s="166">
        <f>COUNTA(B18:B37)</f>
        <v/>
      </c>
      <c r="F92" s="56" t="n"/>
      <c r="G92" s="166">
        <f>SUM(D18:D37)</f>
        <v/>
      </c>
      <c r="H92" s="56" t="n"/>
      <c r="I92" s="166">
        <f>SUM(AL18:AL37)</f>
        <v/>
      </c>
      <c r="J92" s="56" t="n"/>
      <c r="K92" s="167">
        <f>IF(G92&gt;0, I92/G92, 0)</f>
        <v/>
      </c>
      <c r="L92" s="56" t="n"/>
      <c r="M92" s="166">
        <f>COUNTIF(E39:AH39, 1)</f>
        <v/>
      </c>
      <c r="N92" s="56" t="n"/>
      <c r="O92" s="168">
        <f>IFERROR(AVERAGE(E47:AH47), 0)</f>
        <v/>
      </c>
      <c r="P92" s="56" t="n"/>
      <c r="Q92" s="166">
        <f>INDEX(A76:A80, MATCH(MAX(E76:E80), E76:E80, 0))</f>
        <v/>
      </c>
      <c r="R92" s="161" t="n"/>
      <c r="S92" s="56" t="n"/>
      <c r="T92" s="166">
        <f>INDEX(N76:N80, MATCH(MAX(S76:S80), S76:S80, 0))</f>
        <v/>
      </c>
      <c r="U92" s="161" t="n"/>
      <c r="V92" s="161" t="n"/>
      <c r="W92" s="56" t="n"/>
    </row>
    <row r="93" ht="14" customHeight="1">
      <c r="A93" s="169" t="inlineStr">
        <is>
          <t>📋 Note: Reference or copy Row 92 directly into an Annual / Quarterly review dashboard to track yearly habit trends.</t>
        </is>
      </c>
    </row>
    <row r="94" ht="8" customHeight="1"/>
    <row r="95">
      <c r="A95" s="170" t="inlineStr">
        <is>
          <t>🏆 MONTHLY WINS &amp; HIGHLIGHTS</t>
        </is>
      </c>
      <c r="J95" s="171" t="inlineStr">
        <is>
          <t>⚠️ FRICTION POINTS &amp; ROOT CAUSES</t>
        </is>
      </c>
      <c r="S95" s="172" t="inlineStr">
        <is>
          <t>🎯 3 KEY ADJUSTMENTS FOR NEXT MONTH</t>
        </is>
      </c>
    </row>
    <row r="96">
      <c r="A96" s="173" t="inlineStr">
        <is>
          <t>1. What went exceptionally well this month?
2. Which habit felt effortless and consistent?
3. Major milestone achieved:</t>
        </is>
      </c>
      <c r="B96" s="174" t="n"/>
      <c r="C96" s="174" t="n"/>
      <c r="D96" s="174" t="n"/>
      <c r="E96" s="174" t="n"/>
      <c r="F96" s="174" t="n"/>
      <c r="G96" s="174" t="n"/>
      <c r="H96" s="174" t="n"/>
      <c r="J96" s="175" t="inlineStr">
        <is>
          <t>1. What caused missed or skipped days?
2. Main triggers / energy drains encountered:
3. Which habit had the lowest consistency and why?</t>
        </is>
      </c>
      <c r="K96" s="176" t="n"/>
      <c r="L96" s="176" t="n"/>
      <c r="M96" s="176" t="n"/>
      <c r="N96" s="176" t="n"/>
      <c r="O96" s="176" t="n"/>
      <c r="P96" s="176" t="n"/>
      <c r="Q96" s="176" t="n"/>
      <c r="S96" s="177" t="inlineStr">
        <is>
          <t>1. Habit Stacking or time adjustment for next month:
2. Environment design change to eliminate friction:
3. One non-negotiable priority protocol:</t>
        </is>
      </c>
      <c r="T96" s="178" t="n"/>
      <c r="U96" s="178" t="n"/>
      <c r="V96" s="178" t="n"/>
      <c r="W96" s="178" t="n"/>
      <c r="X96" s="178" t="n"/>
      <c r="Y96" s="178" t="n"/>
      <c r="Z96" s="178" t="n"/>
    </row>
    <row r="97">
      <c r="A97" s="174" t="n"/>
      <c r="B97" s="174" t="n"/>
      <c r="C97" s="174" t="n"/>
      <c r="D97" s="174" t="n"/>
      <c r="E97" s="174" t="n"/>
      <c r="F97" s="174" t="n"/>
      <c r="G97" s="174" t="n"/>
      <c r="H97" s="174" t="n"/>
      <c r="J97" s="176" t="n"/>
      <c r="K97" s="176" t="n"/>
      <c r="L97" s="176" t="n"/>
      <c r="M97" s="176" t="n"/>
      <c r="N97" s="176" t="n"/>
      <c r="O97" s="176" t="n"/>
      <c r="P97" s="176" t="n"/>
      <c r="Q97" s="176" t="n"/>
      <c r="S97" s="178" t="n"/>
      <c r="T97" s="178" t="n"/>
      <c r="U97" s="178" t="n"/>
      <c r="V97" s="178" t="n"/>
      <c r="W97" s="178" t="n"/>
      <c r="X97" s="178" t="n"/>
      <c r="Y97" s="178" t="n"/>
      <c r="Z97" s="178" t="n"/>
    </row>
    <row r="98">
      <c r="A98" s="174" t="n"/>
      <c r="B98" s="174" t="n"/>
      <c r="C98" s="174" t="n"/>
      <c r="D98" s="174" t="n"/>
      <c r="E98" s="174" t="n"/>
      <c r="F98" s="174" t="n"/>
      <c r="G98" s="174" t="n"/>
      <c r="H98" s="174" t="n"/>
      <c r="J98" s="176" t="n"/>
      <c r="K98" s="176" t="n"/>
      <c r="L98" s="176" t="n"/>
      <c r="M98" s="176" t="n"/>
      <c r="N98" s="176" t="n"/>
      <c r="O98" s="176" t="n"/>
      <c r="P98" s="176" t="n"/>
      <c r="Q98" s="176" t="n"/>
      <c r="S98" s="178" t="n"/>
      <c r="T98" s="178" t="n"/>
      <c r="U98" s="178" t="n"/>
      <c r="V98" s="178" t="n"/>
      <c r="W98" s="178" t="n"/>
      <c r="X98" s="178" t="n"/>
      <c r="Y98" s="178" t="n"/>
      <c r="Z98" s="178" t="n"/>
    </row>
    <row r="99">
      <c r="A99" s="174" t="n"/>
      <c r="B99" s="174" t="n"/>
      <c r="C99" s="174" t="n"/>
      <c r="D99" s="174" t="n"/>
      <c r="E99" s="174" t="n"/>
      <c r="F99" s="174" t="n"/>
      <c r="G99" s="174" t="n"/>
      <c r="H99" s="174" t="n"/>
      <c r="J99" s="176" t="n"/>
      <c r="K99" s="176" t="n"/>
      <c r="L99" s="176" t="n"/>
      <c r="M99" s="176" t="n"/>
      <c r="N99" s="176" t="n"/>
      <c r="O99" s="176" t="n"/>
      <c r="P99" s="176" t="n"/>
      <c r="Q99" s="176" t="n"/>
      <c r="S99" s="178" t="n"/>
      <c r="T99" s="178" t="n"/>
      <c r="U99" s="178" t="n"/>
      <c r="V99" s="178" t="n"/>
      <c r="W99" s="178" t="n"/>
      <c r="X99" s="178" t="n"/>
      <c r="Y99" s="178" t="n"/>
      <c r="Z99" s="178" t="n"/>
    </row>
    <row r="100">
      <c r="A100" s="174" t="n"/>
      <c r="B100" s="174" t="n"/>
      <c r="C100" s="174" t="n"/>
      <c r="D100" s="174" t="n"/>
      <c r="E100" s="174" t="n"/>
      <c r="F100" s="174" t="n"/>
      <c r="G100" s="174" t="n"/>
      <c r="H100" s="174" t="n"/>
      <c r="J100" s="176" t="n"/>
      <c r="K100" s="176" t="n"/>
      <c r="L100" s="176" t="n"/>
      <c r="M100" s="176" t="n"/>
      <c r="N100" s="176" t="n"/>
      <c r="O100" s="176" t="n"/>
      <c r="P100" s="176" t="n"/>
      <c r="Q100" s="176" t="n"/>
      <c r="S100" s="178" t="n"/>
      <c r="T100" s="178" t="n"/>
      <c r="U100" s="178" t="n"/>
      <c r="V100" s="178" t="n"/>
      <c r="W100" s="178" t="n"/>
      <c r="X100" s="178" t="n"/>
      <c r="Y100" s="178" t="n"/>
      <c r="Z100" s="178" t="n"/>
    </row>
    <row r="101">
      <c r="A101" s="174" t="n"/>
      <c r="B101" s="174" t="n"/>
      <c r="C101" s="174" t="n"/>
      <c r="D101" s="174" t="n"/>
      <c r="E101" s="174" t="n"/>
      <c r="F101" s="174" t="n"/>
      <c r="G101" s="174" t="n"/>
      <c r="H101" s="174" t="n"/>
      <c r="J101" s="176" t="n"/>
      <c r="K101" s="176" t="n"/>
      <c r="L101" s="176" t="n"/>
      <c r="M101" s="176" t="n"/>
      <c r="N101" s="176" t="n"/>
      <c r="O101" s="176" t="n"/>
      <c r="P101" s="176" t="n"/>
      <c r="Q101" s="176" t="n"/>
      <c r="S101" s="178" t="n"/>
      <c r="T101" s="178" t="n"/>
      <c r="U101" s="178" t="n"/>
      <c r="V101" s="178" t="n"/>
      <c r="W101" s="178" t="n"/>
      <c r="X101" s="178" t="n"/>
      <c r="Y101" s="178" t="n"/>
      <c r="Z101" s="178" t="n"/>
    </row>
    <row r="102">
      <c r="A102" s="174" t="n"/>
      <c r="B102" s="174" t="n"/>
      <c r="C102" s="174" t="n"/>
      <c r="D102" s="174" t="n"/>
      <c r="E102" s="174" t="n"/>
      <c r="F102" s="174" t="n"/>
      <c r="G102" s="174" t="n"/>
      <c r="H102" s="174" t="n"/>
      <c r="J102" s="176" t="n"/>
      <c r="K102" s="176" t="n"/>
      <c r="L102" s="176" t="n"/>
      <c r="M102" s="176" t="n"/>
      <c r="N102" s="176" t="n"/>
      <c r="O102" s="176" t="n"/>
      <c r="P102" s="176" t="n"/>
      <c r="Q102" s="176" t="n"/>
      <c r="S102" s="178" t="n"/>
      <c r="T102" s="178" t="n"/>
      <c r="U102" s="178" t="n"/>
      <c r="V102" s="178" t="n"/>
      <c r="W102" s="178" t="n"/>
      <c r="X102" s="178" t="n"/>
      <c r="Y102" s="178" t="n"/>
      <c r="Z102" s="178" t="n"/>
    </row>
    <row r="103">
      <c r="A103" s="174" t="n"/>
      <c r="B103" s="174" t="n"/>
      <c r="C103" s="174" t="n"/>
      <c r="D103" s="174" t="n"/>
      <c r="E103" s="174" t="n"/>
      <c r="F103" s="174" t="n"/>
      <c r="G103" s="174" t="n"/>
      <c r="H103" s="174" t="n"/>
      <c r="J103" s="176" t="n"/>
      <c r="K103" s="176" t="n"/>
      <c r="L103" s="176" t="n"/>
      <c r="M103" s="176" t="n"/>
      <c r="N103" s="176" t="n"/>
      <c r="O103" s="176" t="n"/>
      <c r="P103" s="176" t="n"/>
      <c r="Q103" s="176" t="n"/>
      <c r="S103" s="178" t="n"/>
      <c r="T103" s="178" t="n"/>
      <c r="U103" s="178" t="n"/>
      <c r="V103" s="178" t="n"/>
      <c r="W103" s="178" t="n"/>
      <c r="X103" s="178" t="n"/>
      <c r="Y103" s="178" t="n"/>
      <c r="Z103" s="178" t="n"/>
    </row>
  </sheetData>
  <sheetProtection selectLockedCells="1" selectUnlockedCells="1" sheet="1" objects="0" insertRows="1" insertHyperlinks="1" autoFilter="1" scenarios="0" formatColumns="1" deleteColumns="1" insertColumns="1" pivotTables="1" deleteRows="1" formatCells="1" formatRows="1" sort="1"/>
  <mergeCells count="94">
    <mergeCell ref="A9:N9"/>
    <mergeCell ref="N76:O76"/>
    <mergeCell ref="F67:I67"/>
    <mergeCell ref="G87:I87"/>
    <mergeCell ref="A16:A17"/>
    <mergeCell ref="A45:D46"/>
    <mergeCell ref="C16:C17"/>
    <mergeCell ref="N75:O75"/>
    <mergeCell ref="N77:O77"/>
    <mergeCell ref="P68:S70"/>
    <mergeCell ref="A93:AK93"/>
    <mergeCell ref="D16:D17"/>
    <mergeCell ref="N85:Q85"/>
    <mergeCell ref="A95:H95"/>
    <mergeCell ref="Q91:S91"/>
    <mergeCell ref="P6:AK6"/>
    <mergeCell ref="E91:F91"/>
    <mergeCell ref="A8:N8"/>
    <mergeCell ref="G91:H91"/>
    <mergeCell ref="P8:AK8"/>
    <mergeCell ref="J86:M86"/>
    <mergeCell ref="S95:Z95"/>
    <mergeCell ref="K67:N67"/>
    <mergeCell ref="N79:O79"/>
    <mergeCell ref="K92:L92"/>
    <mergeCell ref="P7:AK7"/>
    <mergeCell ref="C92:D92"/>
    <mergeCell ref="F71:I71"/>
    <mergeCell ref="M92:N92"/>
    <mergeCell ref="A12:AK14"/>
    <mergeCell ref="K68:N70"/>
    <mergeCell ref="T91:W91"/>
    <mergeCell ref="AI16:AI17"/>
    <mergeCell ref="J95:Q95"/>
    <mergeCell ref="D85:F85"/>
    <mergeCell ref="N74:S74"/>
    <mergeCell ref="P9:AK9"/>
    <mergeCell ref="F68:I70"/>
    <mergeCell ref="A91:B91"/>
    <mergeCell ref="N78:O78"/>
    <mergeCell ref="C91:D91"/>
    <mergeCell ref="M91:N91"/>
    <mergeCell ref="O91:P91"/>
    <mergeCell ref="R86:U86"/>
    <mergeCell ref="A84:AK84"/>
    <mergeCell ref="N80:O80"/>
    <mergeCell ref="B16:B17"/>
    <mergeCell ref="A71:D71"/>
    <mergeCell ref="J85:M85"/>
    <mergeCell ref="D86:F86"/>
    <mergeCell ref="A92:B92"/>
    <mergeCell ref="N87:Q87"/>
    <mergeCell ref="A1:B1"/>
    <mergeCell ref="E92:F92"/>
    <mergeCell ref="A68:D70"/>
    <mergeCell ref="P71:S71"/>
    <mergeCell ref="A86:C86"/>
    <mergeCell ref="D87:F87"/>
    <mergeCell ref="O92:P92"/>
    <mergeCell ref="A6:N6"/>
    <mergeCell ref="A39:D39"/>
    <mergeCell ref="G86:I86"/>
    <mergeCell ref="A96:H103"/>
    <mergeCell ref="P67:S67"/>
    <mergeCell ref="A41:AK41"/>
    <mergeCell ref="T92:W92"/>
    <mergeCell ref="R85:U85"/>
    <mergeCell ref="H2:AC2"/>
    <mergeCell ref="K71:N71"/>
    <mergeCell ref="S96:Z103"/>
    <mergeCell ref="A38:D38"/>
    <mergeCell ref="A42:AK42"/>
    <mergeCell ref="H3:AC3"/>
    <mergeCell ref="A67:D67"/>
    <mergeCell ref="I91:J91"/>
    <mergeCell ref="A85:C85"/>
    <mergeCell ref="K91:L91"/>
    <mergeCell ref="N86:Q86"/>
    <mergeCell ref="A7:N7"/>
    <mergeCell ref="A74:E74"/>
    <mergeCell ref="G85:I85"/>
    <mergeCell ref="G92:H92"/>
    <mergeCell ref="I92:J92"/>
    <mergeCell ref="R87:U87"/>
    <mergeCell ref="AK16:AK17"/>
    <mergeCell ref="J87:M87"/>
    <mergeCell ref="AD2:AK2"/>
    <mergeCell ref="AJ16:AJ17"/>
    <mergeCell ref="J96:Q103"/>
    <mergeCell ref="A88:AK88"/>
    <mergeCell ref="A90:AK90"/>
    <mergeCell ref="Q92:S92"/>
    <mergeCell ref="A87:C87"/>
    <mergeCell ref="A47:D47"/>
  </mergeCells>
  <conditionalFormatting sqref="AI18:AI37">
    <cfRule type="dataBar" priority="1">
      <dataBar>
        <cfvo type="num" val="0"/>
        <cfvo type="num" val="1"/>
        <color rgb="0010B981"/>
      </dataBar>
    </cfRule>
  </conditionalFormatting>
  <conditionalFormatting sqref="E18:AH37">
    <cfRule type="cellIs" priority="2" operator="equal" dxfId="0">
      <formula>"✓"</formula>
    </cfRule>
    <cfRule type="cellIs" priority="3" operator="equal" dxfId="0">
      <formula>"✔"</formula>
    </cfRule>
    <cfRule type="cellIs" priority="4" operator="equal" dxfId="1">
      <formula>"✗"</formula>
    </cfRule>
    <cfRule type="cellIs" priority="5" operator="equal" dxfId="1">
      <formula>"x"</formula>
    </cfRule>
    <cfRule type="cellIs" priority="6" operator="equal" dxfId="1">
      <formula>"X"</formula>
    </cfRule>
  </conditionalFormatting>
  <conditionalFormatting sqref="E16:E17">
    <cfRule type="expression" priority="7" dxfId="2">
      <formula>AND(DAY(TODAY())=1, MONTH(TODAY())=11, YEAR(TODAY())=2026)</formula>
    </cfRule>
  </conditionalFormatting>
  <conditionalFormatting sqref="F16:F17">
    <cfRule type="expression" priority="8" dxfId="2">
      <formula>AND(DAY(TODAY())=2, MONTH(TODAY())=11, YEAR(TODAY())=2026)</formula>
    </cfRule>
  </conditionalFormatting>
  <conditionalFormatting sqref="G16:G17">
    <cfRule type="expression" priority="9" dxfId="2">
      <formula>AND(DAY(TODAY())=3, MONTH(TODAY())=11, YEAR(TODAY())=2026)</formula>
    </cfRule>
  </conditionalFormatting>
  <conditionalFormatting sqref="H16:H17">
    <cfRule type="expression" priority="10" dxfId="2">
      <formula>AND(DAY(TODAY())=4, MONTH(TODAY())=11, YEAR(TODAY())=2026)</formula>
    </cfRule>
  </conditionalFormatting>
  <conditionalFormatting sqref="I16:I17">
    <cfRule type="expression" priority="11" dxfId="2">
      <formula>AND(DAY(TODAY())=5, MONTH(TODAY())=11, YEAR(TODAY())=2026)</formula>
    </cfRule>
  </conditionalFormatting>
  <conditionalFormatting sqref="J16:J17">
    <cfRule type="expression" priority="12" dxfId="2">
      <formula>AND(DAY(TODAY())=6, MONTH(TODAY())=11, YEAR(TODAY())=2026)</formula>
    </cfRule>
  </conditionalFormatting>
  <conditionalFormatting sqref="K16:K17">
    <cfRule type="expression" priority="13" dxfId="2">
      <formula>AND(DAY(TODAY())=7, MONTH(TODAY())=11, YEAR(TODAY())=2026)</formula>
    </cfRule>
  </conditionalFormatting>
  <conditionalFormatting sqref="L16:L17">
    <cfRule type="expression" priority="14" dxfId="2">
      <formula>AND(DAY(TODAY())=8, MONTH(TODAY())=11, YEAR(TODAY())=2026)</formula>
    </cfRule>
  </conditionalFormatting>
  <conditionalFormatting sqref="M16:M17">
    <cfRule type="expression" priority="15" dxfId="2">
      <formula>AND(DAY(TODAY())=9, MONTH(TODAY())=11, YEAR(TODAY())=2026)</formula>
    </cfRule>
  </conditionalFormatting>
  <conditionalFormatting sqref="N16:N17">
    <cfRule type="expression" priority="16" dxfId="2">
      <formula>AND(DAY(TODAY())=10, MONTH(TODAY())=11, YEAR(TODAY())=2026)</formula>
    </cfRule>
  </conditionalFormatting>
  <conditionalFormatting sqref="O16:O17">
    <cfRule type="expression" priority="17" dxfId="2">
      <formula>AND(DAY(TODAY())=11, MONTH(TODAY())=11, YEAR(TODAY())=2026)</formula>
    </cfRule>
  </conditionalFormatting>
  <conditionalFormatting sqref="P16:P17">
    <cfRule type="expression" priority="18" dxfId="2">
      <formula>AND(DAY(TODAY())=12, MONTH(TODAY())=11, YEAR(TODAY())=2026)</formula>
    </cfRule>
  </conditionalFormatting>
  <conditionalFormatting sqref="Q16:Q17">
    <cfRule type="expression" priority="19" dxfId="2">
      <formula>AND(DAY(TODAY())=13, MONTH(TODAY())=11, YEAR(TODAY())=2026)</formula>
    </cfRule>
  </conditionalFormatting>
  <conditionalFormatting sqref="R16:R17">
    <cfRule type="expression" priority="20" dxfId="2">
      <formula>AND(DAY(TODAY())=14, MONTH(TODAY())=11, YEAR(TODAY())=2026)</formula>
    </cfRule>
  </conditionalFormatting>
  <conditionalFormatting sqref="S16:S17">
    <cfRule type="expression" priority="21" dxfId="2">
      <formula>AND(DAY(TODAY())=15, MONTH(TODAY())=11, YEAR(TODAY())=2026)</formula>
    </cfRule>
  </conditionalFormatting>
  <conditionalFormatting sqref="T16:T17">
    <cfRule type="expression" priority="22" dxfId="2">
      <formula>AND(DAY(TODAY())=16, MONTH(TODAY())=11, YEAR(TODAY())=2026)</formula>
    </cfRule>
  </conditionalFormatting>
  <conditionalFormatting sqref="U16:U17">
    <cfRule type="expression" priority="23" dxfId="2">
      <formula>AND(DAY(TODAY())=17, MONTH(TODAY())=11, YEAR(TODAY())=2026)</formula>
    </cfRule>
  </conditionalFormatting>
  <conditionalFormatting sqref="V16:V17">
    <cfRule type="expression" priority="24" dxfId="2">
      <formula>AND(DAY(TODAY())=18, MONTH(TODAY())=11, YEAR(TODAY())=2026)</formula>
    </cfRule>
  </conditionalFormatting>
  <conditionalFormatting sqref="W16:W17">
    <cfRule type="expression" priority="25" dxfId="2">
      <formula>AND(DAY(TODAY())=19, MONTH(TODAY())=11, YEAR(TODAY())=2026)</formula>
    </cfRule>
  </conditionalFormatting>
  <conditionalFormatting sqref="X16:X17">
    <cfRule type="expression" priority="26" dxfId="2">
      <formula>AND(DAY(TODAY())=20, MONTH(TODAY())=11, YEAR(TODAY())=2026)</formula>
    </cfRule>
  </conditionalFormatting>
  <conditionalFormatting sqref="Y16:Y17">
    <cfRule type="expression" priority="27" dxfId="2">
      <formula>AND(DAY(TODAY())=21, MONTH(TODAY())=11, YEAR(TODAY())=2026)</formula>
    </cfRule>
  </conditionalFormatting>
  <conditionalFormatting sqref="Z16:Z17">
    <cfRule type="expression" priority="28" dxfId="2">
      <formula>AND(DAY(TODAY())=22, MONTH(TODAY())=11, YEAR(TODAY())=2026)</formula>
    </cfRule>
  </conditionalFormatting>
  <conditionalFormatting sqref="AA16:AA17">
    <cfRule type="expression" priority="29" dxfId="2">
      <formula>AND(DAY(TODAY())=23, MONTH(TODAY())=11, YEAR(TODAY())=2026)</formula>
    </cfRule>
  </conditionalFormatting>
  <conditionalFormatting sqref="AB16:AB17">
    <cfRule type="expression" priority="30" dxfId="2">
      <formula>AND(DAY(TODAY())=24, MONTH(TODAY())=11, YEAR(TODAY())=2026)</formula>
    </cfRule>
  </conditionalFormatting>
  <conditionalFormatting sqref="AC16:AC17">
    <cfRule type="expression" priority="31" dxfId="2">
      <formula>AND(DAY(TODAY())=25, MONTH(TODAY())=11, YEAR(TODAY())=2026)</formula>
    </cfRule>
  </conditionalFormatting>
  <conditionalFormatting sqref="AD16:AD17">
    <cfRule type="expression" priority="32" dxfId="2">
      <formula>AND(DAY(TODAY())=26, MONTH(TODAY())=11, YEAR(TODAY())=2026)</formula>
    </cfRule>
  </conditionalFormatting>
  <conditionalFormatting sqref="AE16:AE17">
    <cfRule type="expression" priority="33" dxfId="2">
      <formula>AND(DAY(TODAY())=27, MONTH(TODAY())=11, YEAR(TODAY())=2026)</formula>
    </cfRule>
  </conditionalFormatting>
  <conditionalFormatting sqref="AF16:AF17">
    <cfRule type="expression" priority="34" dxfId="2">
      <formula>AND(DAY(TODAY())=28, MONTH(TODAY())=11, YEAR(TODAY())=2026)</formula>
    </cfRule>
  </conditionalFormatting>
  <conditionalFormatting sqref="AG16:AG17">
    <cfRule type="expression" priority="35" dxfId="2">
      <formula>AND(DAY(TODAY())=29, MONTH(TODAY())=11, YEAR(TODAY())=2026)</formula>
    </cfRule>
  </conditionalFormatting>
  <conditionalFormatting sqref="AH16:AH17">
    <cfRule type="expression" priority="36" dxfId="2">
      <formula>AND(DAY(TODAY())=30, MONTH(TODAY())=11, YEAR(TODAY())=2026)</formula>
    </cfRule>
  </conditionalFormatting>
  <dataValidations count="4">
    <dataValidation sqref="C18:C37" showDropDown="0" showInputMessage="0" showErrorMessage="0" allowBlank="1" type="list">
      <formula1>"Health &amp; Fitness,Mindset &amp; Learning,Career &amp; Focus,Personal &amp; Home,Finance &amp; Wealth,Other"</formula1>
    </dataValidation>
    <dataValidation sqref="D18:D37" showDropDown="0" showInputMessage="0" showErrorMessage="0" allowBlank="1" type="list">
      <formula1>"1,2,3,4,5,6,7,8,9,10,11,12,13,14,15,16,17,18,19,20,21,22,23,24,25,26,27,28,29,30,31"</formula1>
    </dataValidation>
    <dataValidation sqref="E18:AH37" showDropDown="0" showInputMessage="0" showErrorMessage="0" allowBlank="1" type="list">
      <formula1>"✓,✗"</formula1>
    </dataValidation>
    <dataValidation sqref="E47:AH47" showDropDown="0" showInputMessage="0" showErrorMessage="0" allowBlank="1" type="list">
      <formula1>"1,2,3,4,5,6,7,8,9,10,11,12,13,14,15,16,17,18,19,20,21,22,23,24"</formula1>
    </dataValidation>
  </dataValidations>
  <hyperlinks>
    <hyperlink xmlns:r="http://schemas.openxmlformats.org/officeDocument/2006/relationships" ref="A1" r:id="rId1"/>
    <hyperlink xmlns:r="http://schemas.openxmlformats.org/officeDocument/2006/relationships" ref="C1" r:id="rId2"/>
    <hyperlink xmlns:r="http://schemas.openxmlformats.org/officeDocument/2006/relationships" ref="D1" r:id="rId3"/>
    <hyperlink xmlns:r="http://schemas.openxmlformats.org/officeDocument/2006/relationships" ref="E1" r:id="rId4"/>
    <hyperlink xmlns:r="http://schemas.openxmlformats.org/officeDocument/2006/relationships" ref="F1" r:id="rId5"/>
    <hyperlink xmlns:r="http://schemas.openxmlformats.org/officeDocument/2006/relationships" ref="G1" r:id="rId6"/>
    <hyperlink xmlns:r="http://schemas.openxmlformats.org/officeDocument/2006/relationships" ref="H1" r:id="rId7"/>
    <hyperlink xmlns:r="http://schemas.openxmlformats.org/officeDocument/2006/relationships" ref="I1" r:id="rId8"/>
    <hyperlink xmlns:r="http://schemas.openxmlformats.org/officeDocument/2006/relationships" ref="J1" r:id="rId9"/>
    <hyperlink xmlns:r="http://schemas.openxmlformats.org/officeDocument/2006/relationships" ref="K1" r:id="rId10"/>
  </hyperlinks>
  <printOptions horizontalCentered="1" verticalCentered="0"/>
  <pageMargins left="0.75" right="0.75" top="1" bottom="1" header="0.5" footer="0.5"/>
  <pageSetup orientation="landscape" paperSize="9" fitToHeight="0" fitToWidth="1"/>
  <drawing xmlns:r="http://schemas.openxmlformats.org/officeDocument/2006/relationships" r:id="rId11"/>
</worksheet>
</file>

<file path=xl/worksheets/sheet7.xml><?xml version="1.0" encoding="utf-8"?>
<worksheet xmlns="http://schemas.openxmlformats.org/spreadsheetml/2006/main">
  <sheetPr>
    <outlinePr summaryBelow="1" summaryRight="1"/>
    <pageSetUpPr fitToPage="1"/>
  </sheetPr>
  <dimension ref="A1:AM103"/>
  <sheetViews>
    <sheetView showGridLines="1" workbookViewId="0">
      <selection activeCell="A1" sqref="A1"/>
    </sheetView>
  </sheetViews>
  <sheetFormatPr baseColWidth="8" defaultRowHeight="15"/>
  <cols>
    <col width="6" customWidth="1" min="1" max="1"/>
    <col width="25" customWidth="1" min="2" max="2"/>
    <col width="16.5" customWidth="1" min="3" max="3"/>
    <col width="8" customWidth="1" min="4" max="4"/>
    <col width="4.8" customWidth="1" min="5" max="5"/>
    <col width="4.8" customWidth="1" min="6" max="6"/>
    <col width="4.8" customWidth="1" min="7" max="7"/>
    <col width="4.8" customWidth="1" min="8" max="8"/>
    <col width="4.8" customWidth="1" min="9" max="9"/>
    <col width="4.8" customWidth="1" min="10" max="10"/>
    <col width="4.8" customWidth="1" min="11" max="11"/>
    <col width="4.8" customWidth="1" min="12" max="12"/>
    <col width="4.8" customWidth="1" min="13" max="13"/>
    <col width="4.8" customWidth="1" min="14" max="14"/>
    <col width="4.8" customWidth="1" min="15" max="15"/>
    <col width="4.8" customWidth="1" min="16" max="16"/>
    <col width="4.8" customWidth="1" min="17" max="17"/>
    <col width="4.8" customWidth="1" min="18" max="18"/>
    <col width="4.8" customWidth="1" min="19" max="19"/>
    <col width="4.8" customWidth="1" min="20" max="20"/>
    <col width="4.8" customWidth="1" min="21" max="21"/>
    <col width="4.8" customWidth="1" min="22" max="22"/>
    <col width="4.8" customWidth="1" min="23" max="23"/>
    <col width="4.8" customWidth="1" min="24" max="24"/>
    <col width="4.8" customWidth="1" min="25" max="25"/>
    <col width="4.8" customWidth="1" min="26" max="26"/>
    <col width="4.8" customWidth="1" min="27" max="27"/>
    <col width="4.8" customWidth="1" min="28" max="28"/>
    <col width="4.8" customWidth="1" min="29" max="29"/>
    <col width="4.8" customWidth="1" min="30" max="30"/>
    <col width="4.8" customWidth="1" min="31" max="31"/>
    <col width="4.8" customWidth="1" min="32" max="32"/>
    <col width="4.8" customWidth="1" min="33" max="33"/>
    <col width="4.8" customWidth="1" min="34" max="34"/>
    <col width="4.8" customWidth="1" min="35" max="35"/>
    <col width="11.5" customWidth="1" min="36" max="36"/>
    <col width="12" customWidth="1" min="37" max="37"/>
    <col width="13.5" customWidth="1" min="38" max="38"/>
    <col hidden="1" width="8" customWidth="1" min="39" max="39"/>
  </cols>
  <sheetData>
    <row r="1" ht="18" customHeight="1">
      <c r="A1" s="76" t="inlineStr">
        <is>
          <t>🏠 Master Dashboard</t>
        </is>
      </c>
      <c r="B1" s="40" t="n"/>
      <c r="C1" s="77" t="inlineStr">
        <is>
          <t>🏛️ Quarterly Hub</t>
        </is>
      </c>
      <c r="D1" s="78" t="inlineStr">
        <is>
          <t>📚 Habit Library</t>
        </is>
      </c>
      <c r="E1" s="79" t="inlineStr">
        <is>
          <t>2026</t>
        </is>
      </c>
      <c r="F1" s="80" t="inlineStr">
        <is>
          <t>2027</t>
        </is>
      </c>
      <c r="G1" s="80" t="inlineStr">
        <is>
          <t>2028</t>
        </is>
      </c>
      <c r="H1" s="80" t="inlineStr">
        <is>
          <t>2029</t>
        </is>
      </c>
      <c r="I1" s="80" t="inlineStr">
        <is>
          <t>2030</t>
        </is>
      </c>
      <c r="J1" s="82" t="inlineStr">
        <is>
          <t>◀ Prev</t>
        </is>
      </c>
      <c r="K1" s="82" t="inlineStr">
        <is>
          <t>Next ▶</t>
        </is>
      </c>
    </row>
    <row r="2" ht="24" customHeight="1">
      <c r="A2" s="83" t="inlineStr">
        <is>
          <t>Habit Tracker</t>
        </is>
      </c>
      <c r="H2" s="84" t="inlineStr">
        <is>
          <t>"Stay consistent."</t>
        </is>
      </c>
      <c r="AE2" s="85" t="inlineStr">
        <is>
          <t>@surajvansh</t>
        </is>
      </c>
    </row>
    <row r="3" ht="18" customHeight="1">
      <c r="A3" s="86" t="inlineStr">
        <is>
          <t>December 2026</t>
        </is>
      </c>
      <c r="H3" s="87" t="inlineStr">
        <is>
          <t>31 Days Dashboard</t>
        </is>
      </c>
    </row>
    <row r="4" ht="5" customHeight="1"/>
    <row r="5" ht="16" customHeight="1">
      <c r="A5" s="88" t="inlineStr">
        <is>
          <t>MONTHLY TARGETS</t>
        </is>
      </c>
    </row>
    <row r="6" ht="13" customHeight="1">
      <c r="A6" s="89" t="inlineStr">
        <is>
          <t>1. ____________________ : ____________________</t>
        </is>
      </c>
      <c r="P6" s="89" t="inlineStr">
        <is>
          <t>5. ____________________ : ____________________</t>
        </is>
      </c>
    </row>
    <row r="7" ht="13" customHeight="1">
      <c r="A7" s="89" t="inlineStr">
        <is>
          <t>2. ____________________ : ____________________</t>
        </is>
      </c>
      <c r="P7" s="89" t="inlineStr">
        <is>
          <t>6. ____________________ : ____________________</t>
        </is>
      </c>
    </row>
    <row r="8" ht="13" customHeight="1">
      <c r="A8" s="89" t="inlineStr">
        <is>
          <t>3. ____________________ : ____________________</t>
        </is>
      </c>
      <c r="P8" s="89" t="inlineStr">
        <is>
          <t>7. ____________________ : ____________________</t>
        </is>
      </c>
    </row>
    <row r="9" ht="13" customHeight="1">
      <c r="A9" s="89" t="inlineStr">
        <is>
          <t>4. ____________________ : ____________________</t>
        </is>
      </c>
      <c r="P9" s="89" t="inlineStr">
        <is>
          <t>8. ____________________ : ____________________</t>
        </is>
      </c>
    </row>
    <row r="10" ht="5" customHeight="1"/>
    <row r="11" ht="15" customHeight="1">
      <c r="A11" s="88" t="inlineStr">
        <is>
          <t>NOTES:</t>
        </is>
      </c>
    </row>
    <row r="12" ht="13" customHeight="1">
      <c r="A12" s="90" t="n"/>
      <c r="B12" s="91" t="n"/>
      <c r="C12" s="91" t="n"/>
      <c r="D12" s="91" t="n"/>
      <c r="E12" s="91" t="n"/>
      <c r="F12" s="91" t="n"/>
      <c r="G12" s="91" t="n"/>
      <c r="H12" s="91" t="n"/>
      <c r="I12" s="91" t="n"/>
      <c r="J12" s="91" t="n"/>
      <c r="K12" s="91" t="n"/>
      <c r="L12" s="91" t="n"/>
      <c r="M12" s="91" t="n"/>
      <c r="N12" s="91" t="n"/>
      <c r="O12" s="91" t="n"/>
      <c r="P12" s="91" t="n"/>
      <c r="Q12" s="91" t="n"/>
      <c r="R12" s="91" t="n"/>
      <c r="S12" s="91" t="n"/>
      <c r="T12" s="91" t="n"/>
      <c r="U12" s="91" t="n"/>
      <c r="V12" s="91" t="n"/>
      <c r="W12" s="91" t="n"/>
      <c r="X12" s="91" t="n"/>
      <c r="Y12" s="91" t="n"/>
      <c r="Z12" s="91" t="n"/>
      <c r="AA12" s="91" t="n"/>
      <c r="AB12" s="91" t="n"/>
      <c r="AC12" s="91" t="n"/>
      <c r="AD12" s="91" t="n"/>
      <c r="AE12" s="91" t="n"/>
      <c r="AF12" s="91" t="n"/>
      <c r="AG12" s="91" t="n"/>
      <c r="AH12" s="91" t="n"/>
      <c r="AI12" s="91" t="n"/>
      <c r="AJ12" s="91" t="n"/>
      <c r="AK12" s="91" t="n"/>
      <c r="AL12" s="91" t="n"/>
    </row>
    <row r="13" ht="13" customHeight="1">
      <c r="A13" s="91" t="n"/>
      <c r="B13" s="91" t="n"/>
      <c r="C13" s="91" t="n"/>
      <c r="D13" s="91" t="n"/>
      <c r="E13" s="91" t="n"/>
      <c r="F13" s="91" t="n"/>
      <c r="G13" s="91" t="n"/>
      <c r="H13" s="91" t="n"/>
      <c r="I13" s="91" t="n"/>
      <c r="J13" s="91" t="n"/>
      <c r="K13" s="91" t="n"/>
      <c r="L13" s="91" t="n"/>
      <c r="M13" s="91" t="n"/>
      <c r="N13" s="91" t="n"/>
      <c r="O13" s="91" t="n"/>
      <c r="P13" s="91" t="n"/>
      <c r="Q13" s="91" t="n"/>
      <c r="R13" s="91" t="n"/>
      <c r="S13" s="91" t="n"/>
      <c r="T13" s="91" t="n"/>
      <c r="U13" s="91" t="n"/>
      <c r="V13" s="91" t="n"/>
      <c r="W13" s="91" t="n"/>
      <c r="X13" s="91" t="n"/>
      <c r="Y13" s="91" t="n"/>
      <c r="Z13" s="91" t="n"/>
      <c r="AA13" s="91" t="n"/>
      <c r="AB13" s="91" t="n"/>
      <c r="AC13" s="91" t="n"/>
      <c r="AD13" s="91" t="n"/>
      <c r="AE13" s="91" t="n"/>
      <c r="AF13" s="91" t="n"/>
      <c r="AG13" s="91" t="n"/>
      <c r="AH13" s="91" t="n"/>
      <c r="AI13" s="91" t="n"/>
      <c r="AJ13" s="91" t="n"/>
      <c r="AK13" s="91" t="n"/>
      <c r="AL13" s="91" t="n"/>
    </row>
    <row r="14" ht="13" customHeight="1">
      <c r="A14" s="91" t="n"/>
      <c r="B14" s="91" t="n"/>
      <c r="C14" s="91" t="n"/>
      <c r="D14" s="91" t="n"/>
      <c r="E14" s="91" t="n"/>
      <c r="F14" s="91" t="n"/>
      <c r="G14" s="91" t="n"/>
      <c r="H14" s="91" t="n"/>
      <c r="I14" s="91" t="n"/>
      <c r="J14" s="91" t="n"/>
      <c r="K14" s="91" t="n"/>
      <c r="L14" s="91" t="n"/>
      <c r="M14" s="91" t="n"/>
      <c r="N14" s="91" t="n"/>
      <c r="O14" s="91" t="n"/>
      <c r="P14" s="91" t="n"/>
      <c r="Q14" s="91" t="n"/>
      <c r="R14" s="91" t="n"/>
      <c r="S14" s="91" t="n"/>
      <c r="T14" s="91" t="n"/>
      <c r="U14" s="91" t="n"/>
      <c r="V14" s="91" t="n"/>
      <c r="W14" s="91" t="n"/>
      <c r="X14" s="91" t="n"/>
      <c r="Y14" s="91" t="n"/>
      <c r="Z14" s="91" t="n"/>
      <c r="AA14" s="91" t="n"/>
      <c r="AB14" s="91" t="n"/>
      <c r="AC14" s="91" t="n"/>
      <c r="AD14" s="91" t="n"/>
      <c r="AE14" s="91" t="n"/>
      <c r="AF14" s="91" t="n"/>
      <c r="AG14" s="91" t="n"/>
      <c r="AH14" s="91" t="n"/>
      <c r="AI14" s="91" t="n"/>
      <c r="AJ14" s="91" t="n"/>
      <c r="AK14" s="91" t="n"/>
      <c r="AL14" s="91" t="n"/>
    </row>
    <row r="15" ht="8" customHeight="1"/>
    <row r="16" ht="15" customHeight="1">
      <c r="A16" s="33" t="inlineStr">
        <is>
          <t>S.No.</t>
        </is>
      </c>
      <c r="B16" s="33" t="inlineStr">
        <is>
          <t>Protocols</t>
        </is>
      </c>
      <c r="C16" s="33" t="inlineStr">
        <is>
          <t>Category</t>
        </is>
      </c>
      <c r="D16" s="33" t="inlineStr">
        <is>
          <t>Target</t>
        </is>
      </c>
      <c r="E16" s="92" t="n">
        <v>1</v>
      </c>
      <c r="F16" s="92" t="n">
        <v>2</v>
      </c>
      <c r="G16" s="92" t="n">
        <v>3</v>
      </c>
      <c r="H16" s="92" t="n">
        <v>4</v>
      </c>
      <c r="I16" s="92" t="n">
        <v>5</v>
      </c>
      <c r="J16" s="93" t="n">
        <v>6</v>
      </c>
      <c r="K16" s="92" t="n">
        <v>7</v>
      </c>
      <c r="L16" s="92" t="n">
        <v>8</v>
      </c>
      <c r="M16" s="92" t="n">
        <v>9</v>
      </c>
      <c r="N16" s="92" t="n">
        <v>10</v>
      </c>
      <c r="O16" s="92" t="n">
        <v>11</v>
      </c>
      <c r="P16" s="92" t="n">
        <v>12</v>
      </c>
      <c r="Q16" s="93" t="n">
        <v>13</v>
      </c>
      <c r="R16" s="92" t="n">
        <v>14</v>
      </c>
      <c r="S16" s="92" t="n">
        <v>15</v>
      </c>
      <c r="T16" s="92" t="n">
        <v>16</v>
      </c>
      <c r="U16" s="92" t="n">
        <v>17</v>
      </c>
      <c r="V16" s="92" t="n">
        <v>18</v>
      </c>
      <c r="W16" s="92" t="n">
        <v>19</v>
      </c>
      <c r="X16" s="93" t="n">
        <v>20</v>
      </c>
      <c r="Y16" s="92" t="n">
        <v>21</v>
      </c>
      <c r="Z16" s="92" t="n">
        <v>22</v>
      </c>
      <c r="AA16" s="92" t="n">
        <v>23</v>
      </c>
      <c r="AB16" s="92" t="n">
        <v>24</v>
      </c>
      <c r="AC16" s="92" t="n">
        <v>25</v>
      </c>
      <c r="AD16" s="92" t="n">
        <v>26</v>
      </c>
      <c r="AE16" s="93" t="n">
        <v>27</v>
      </c>
      <c r="AF16" s="92" t="n">
        <v>28</v>
      </c>
      <c r="AG16" s="92" t="n">
        <v>29</v>
      </c>
      <c r="AH16" s="92" t="n">
        <v>30</v>
      </c>
      <c r="AI16" s="92" t="n">
        <v>31</v>
      </c>
      <c r="AJ16" s="94" t="inlineStr">
        <is>
          <t>Success %</t>
        </is>
      </c>
      <c r="AK16" s="94" t="inlineStr">
        <is>
          <t>Done / Target</t>
        </is>
      </c>
      <c r="AL16" s="94" t="inlineStr">
        <is>
          <t>Status</t>
        </is>
      </c>
      <c r="AM16" t="inlineStr">
        <is>
          <t>Done Count</t>
        </is>
      </c>
    </row>
    <row r="17" ht="15" customHeight="1">
      <c r="A17" s="54" t="n"/>
      <c r="B17" s="54" t="n"/>
      <c r="C17" s="54" t="n"/>
      <c r="D17" s="54" t="n"/>
      <c r="E17" s="95" t="inlineStr">
        <is>
          <t>T</t>
        </is>
      </c>
      <c r="F17" s="95" t="inlineStr">
        <is>
          <t>W</t>
        </is>
      </c>
      <c r="G17" s="95" t="inlineStr">
        <is>
          <t>Th</t>
        </is>
      </c>
      <c r="H17" s="95" t="inlineStr">
        <is>
          <t>F</t>
        </is>
      </c>
      <c r="I17" s="95" t="inlineStr">
        <is>
          <t>Sa</t>
        </is>
      </c>
      <c r="J17" s="96" t="inlineStr">
        <is>
          <t>Su</t>
        </is>
      </c>
      <c r="K17" s="95" t="inlineStr">
        <is>
          <t>M</t>
        </is>
      </c>
      <c r="L17" s="95" t="inlineStr">
        <is>
          <t>T</t>
        </is>
      </c>
      <c r="M17" s="95" t="inlineStr">
        <is>
          <t>W</t>
        </is>
      </c>
      <c r="N17" s="95" t="inlineStr">
        <is>
          <t>Th</t>
        </is>
      </c>
      <c r="O17" s="95" t="inlineStr">
        <is>
          <t>F</t>
        </is>
      </c>
      <c r="P17" s="95" t="inlineStr">
        <is>
          <t>Sa</t>
        </is>
      </c>
      <c r="Q17" s="96" t="inlineStr">
        <is>
          <t>Su</t>
        </is>
      </c>
      <c r="R17" s="95" t="inlineStr">
        <is>
          <t>M</t>
        </is>
      </c>
      <c r="S17" s="95" t="inlineStr">
        <is>
          <t>T</t>
        </is>
      </c>
      <c r="T17" s="95" t="inlineStr">
        <is>
          <t>W</t>
        </is>
      </c>
      <c r="U17" s="95" t="inlineStr">
        <is>
          <t>Th</t>
        </is>
      </c>
      <c r="V17" s="95" t="inlineStr">
        <is>
          <t>F</t>
        </is>
      </c>
      <c r="W17" s="95" t="inlineStr">
        <is>
          <t>Sa</t>
        </is>
      </c>
      <c r="X17" s="96" t="inlineStr">
        <is>
          <t>Su</t>
        </is>
      </c>
      <c r="Y17" s="95" t="inlineStr">
        <is>
          <t>M</t>
        </is>
      </c>
      <c r="Z17" s="95" t="inlineStr">
        <is>
          <t>T</t>
        </is>
      </c>
      <c r="AA17" s="95" t="inlineStr">
        <is>
          <t>W</t>
        </is>
      </c>
      <c r="AB17" s="95" t="inlineStr">
        <is>
          <t>Th</t>
        </is>
      </c>
      <c r="AC17" s="95" t="inlineStr">
        <is>
          <t>F</t>
        </is>
      </c>
      <c r="AD17" s="95" t="inlineStr">
        <is>
          <t>Sa</t>
        </is>
      </c>
      <c r="AE17" s="96" t="inlineStr">
        <is>
          <t>Su</t>
        </is>
      </c>
      <c r="AF17" s="95" t="inlineStr">
        <is>
          <t>M</t>
        </is>
      </c>
      <c r="AG17" s="95" t="inlineStr">
        <is>
          <t>T</t>
        </is>
      </c>
      <c r="AH17" s="95" t="inlineStr">
        <is>
          <t>W</t>
        </is>
      </c>
      <c r="AI17" s="95" t="inlineStr">
        <is>
          <t>Th</t>
        </is>
      </c>
      <c r="AJ17" s="54" t="n"/>
      <c r="AK17" s="54" t="n"/>
      <c r="AL17" s="54" t="n"/>
    </row>
    <row r="18" ht="14.5" customHeight="1">
      <c r="A18" s="97" t="n">
        <v>1</v>
      </c>
      <c r="B18" s="98" t="n"/>
      <c r="C18" s="99" t="n"/>
      <c r="D18" s="99" t="n"/>
      <c r="E18" s="100" t="n"/>
      <c r="F18" s="100" t="n"/>
      <c r="G18" s="100" t="n"/>
      <c r="H18" s="100" t="n"/>
      <c r="I18" s="100" t="n"/>
      <c r="J18" s="101" t="n"/>
      <c r="K18" s="100" t="n"/>
      <c r="L18" s="100" t="n"/>
      <c r="M18" s="100" t="n"/>
      <c r="N18" s="100" t="n"/>
      <c r="O18" s="100" t="n"/>
      <c r="P18" s="100" t="n"/>
      <c r="Q18" s="101" t="n"/>
      <c r="R18" s="100" t="n"/>
      <c r="S18" s="100" t="n"/>
      <c r="T18" s="100" t="n"/>
      <c r="U18" s="100" t="n"/>
      <c r="V18" s="100" t="n"/>
      <c r="W18" s="100" t="n"/>
      <c r="X18" s="101" t="n"/>
      <c r="Y18" s="100" t="n"/>
      <c r="Z18" s="100" t="n"/>
      <c r="AA18" s="100" t="n"/>
      <c r="AB18" s="100" t="n"/>
      <c r="AC18" s="100" t="n"/>
      <c r="AD18" s="100" t="n"/>
      <c r="AE18" s="101" t="n"/>
      <c r="AF18" s="100" t="n"/>
      <c r="AG18" s="100" t="n"/>
      <c r="AH18" s="100" t="n"/>
      <c r="AI18" s="100" t="n"/>
      <c r="AJ18" s="102">
        <f>IF(ISBLANK(B18), "", IF(ISNUMBER(D18), IF(D18&gt;0, (COUNTIF(E18:AI18, "✓") + COUNTIF(E18:AI18, "✔") + COUNTIF(E18:AI18, "v") + COUNTIF(E18:AI18, "V"))/D18, 0), IF(((COUNTIF(E18:AI18, "✓") + COUNTIF(E18:AI18, "✔") + COUNTIF(E18:AI18, "v") + COUNTIF(E18:AI18, "V")) + COUNTIF(E18:AI18, "✗") + COUNTIF(E18:AI18, "x") + COUNTIF(E18:AI18, "X"))&gt;0, (COUNTIF(E18:AI18, "✓") + COUNTIF(E18:AI18, "✔") + COUNTIF(E18:AI18, "v") + COUNTIF(E18:AI18, "V"))/((COUNTIF(E18:AI18, "✓") + COUNTIF(E18:AI18, "✔") + COUNTIF(E18:AI18, "v") + COUNTIF(E18:AI18, "V")) + COUNTIF(E18:AI18, "✗") + COUNTIF(E18:AI18, "x") + COUNTIF(E18:AI18, "X")), "")))</f>
        <v/>
      </c>
      <c r="AK18" s="103">
        <f>IF(ISBLANK(B18), "", IF(ISNUMBER(D18), IF(D18&gt;0, (COUNTIF(E18:AI18, "✓") + COUNTIF(E18:AI18, "✔") + COUNTIF(E18:AI18, "v") + COUNTIF(E18:AI18, "V")) &amp; "/" &amp; D18, (COUNTIF(E18:AI18, "✓") + COUNTIF(E18:AI18, "✔") + COUNTIF(E18:AI18, "v") + COUNTIF(E18:AI18, "V")) &amp; "/0"), IF(((COUNTIF(E18:AI18, "✓") + COUNTIF(E18:AI18, "✔") + COUNTIF(E18:AI18, "v") + COUNTIF(E18:AI18, "V")) + COUNTIF(E18:AI18, "✗") + COUNTIF(E18:AI18, "x") + COUNTIF(E18:AI18, "X"))&gt;0, (COUNTIF(E18:AI18, "✓") + COUNTIF(E18:AI18, "✔") + COUNTIF(E18:AI18, "v") + COUNTIF(E18:AI18, "V")) &amp; "/" &amp; ((COUNTIF(E18:AI18, "✓") + COUNTIF(E18:AI18, "✔") + COUNTIF(E18:AI18, "v") + COUNTIF(E18:AI18, "V")) + COUNTIF(E18:AI18, "✗") + COUNTIF(E18:AI18, "x") + COUNTIF(E18:AI18, "X")), "")))</f>
        <v/>
      </c>
      <c r="AL18" s="103">
        <f>IF(ISBLANK(B18), "", IF(AJ18&gt;=0.85, "🔥 Mastered", IF(AJ18&gt;=0.7, "⚡ Consistent", "⚠️ Needs Focus")))</f>
        <v/>
      </c>
      <c r="AM18">
        <f>COUNTIF(E18:AI18, "✓")</f>
        <v/>
      </c>
    </row>
    <row r="19" ht="14.5" customHeight="1">
      <c r="A19" s="97" t="n">
        <v>2</v>
      </c>
      <c r="B19" s="98" t="n"/>
      <c r="C19" s="99" t="n"/>
      <c r="D19" s="99" t="n"/>
      <c r="E19" s="100" t="n"/>
      <c r="F19" s="100" t="n"/>
      <c r="G19" s="100" t="n"/>
      <c r="H19" s="100" t="n"/>
      <c r="I19" s="100" t="n"/>
      <c r="J19" s="101" t="n"/>
      <c r="K19" s="100" t="n"/>
      <c r="L19" s="100" t="n"/>
      <c r="M19" s="100" t="n"/>
      <c r="N19" s="100" t="n"/>
      <c r="O19" s="100" t="n"/>
      <c r="P19" s="100" t="n"/>
      <c r="Q19" s="101" t="n"/>
      <c r="R19" s="100" t="n"/>
      <c r="S19" s="100" t="n"/>
      <c r="T19" s="100" t="n"/>
      <c r="U19" s="100" t="n"/>
      <c r="V19" s="100" t="n"/>
      <c r="W19" s="100" t="n"/>
      <c r="X19" s="101" t="n"/>
      <c r="Y19" s="100" t="n"/>
      <c r="Z19" s="100" t="n"/>
      <c r="AA19" s="100" t="n"/>
      <c r="AB19" s="100" t="n"/>
      <c r="AC19" s="100" t="n"/>
      <c r="AD19" s="100" t="n"/>
      <c r="AE19" s="101" t="n"/>
      <c r="AF19" s="100" t="n"/>
      <c r="AG19" s="100" t="n"/>
      <c r="AH19" s="100" t="n"/>
      <c r="AI19" s="100" t="n"/>
      <c r="AJ19" s="102">
        <f>IF(ISBLANK(B19), "", IF(ISNUMBER(D19), IF(D19&gt;0, (COUNTIF(E19:AI19, "✓") + COUNTIF(E19:AI19, "✔") + COUNTIF(E19:AI19, "v") + COUNTIF(E19:AI19, "V"))/D19, 0), IF(((COUNTIF(E19:AI19, "✓") + COUNTIF(E19:AI19, "✔") + COUNTIF(E19:AI19, "v") + COUNTIF(E19:AI19, "V")) + COUNTIF(E19:AI19, "✗") + COUNTIF(E19:AI19, "x") + COUNTIF(E19:AI19, "X"))&gt;0, (COUNTIF(E19:AI19, "✓") + COUNTIF(E19:AI19, "✔") + COUNTIF(E19:AI19, "v") + COUNTIF(E19:AI19, "V"))/((COUNTIF(E19:AI19, "✓") + COUNTIF(E19:AI19, "✔") + COUNTIF(E19:AI19, "v") + COUNTIF(E19:AI19, "V")) + COUNTIF(E19:AI19, "✗") + COUNTIF(E19:AI19, "x") + COUNTIF(E19:AI19, "X")), "")))</f>
        <v/>
      </c>
      <c r="AK19" s="103">
        <f>IF(ISBLANK(B19), "", IF(ISNUMBER(D19), IF(D19&gt;0, (COUNTIF(E19:AI19, "✓") + COUNTIF(E19:AI19, "✔") + COUNTIF(E19:AI19, "v") + COUNTIF(E19:AI19, "V")) &amp; "/" &amp; D19, (COUNTIF(E19:AI19, "✓") + COUNTIF(E19:AI19, "✔") + COUNTIF(E19:AI19, "v") + COUNTIF(E19:AI19, "V")) &amp; "/0"), IF(((COUNTIF(E19:AI19, "✓") + COUNTIF(E19:AI19, "✔") + COUNTIF(E19:AI19, "v") + COUNTIF(E19:AI19, "V")) + COUNTIF(E19:AI19, "✗") + COUNTIF(E19:AI19, "x") + COUNTIF(E19:AI19, "X"))&gt;0, (COUNTIF(E19:AI19, "✓") + COUNTIF(E19:AI19, "✔") + COUNTIF(E19:AI19, "v") + COUNTIF(E19:AI19, "V")) &amp; "/" &amp; ((COUNTIF(E19:AI19, "✓") + COUNTIF(E19:AI19, "✔") + COUNTIF(E19:AI19, "v") + COUNTIF(E19:AI19, "V")) + COUNTIF(E19:AI19, "✗") + COUNTIF(E19:AI19, "x") + COUNTIF(E19:AI19, "X")), "")))</f>
        <v/>
      </c>
      <c r="AL19" s="103">
        <f>IF(ISBLANK(B19), "", IF(AJ19&gt;=0.85, "🔥 Mastered", IF(AJ19&gt;=0.7, "⚡ Consistent", "⚠️ Needs Focus")))</f>
        <v/>
      </c>
      <c r="AM19">
        <f>COUNTIF(E19:AI19, "✓")</f>
        <v/>
      </c>
    </row>
    <row r="20" ht="14.5" customHeight="1">
      <c r="A20" s="97" t="n">
        <v>3</v>
      </c>
      <c r="B20" s="98" t="n"/>
      <c r="C20" s="99" t="n"/>
      <c r="D20" s="99" t="n"/>
      <c r="E20" s="100" t="n"/>
      <c r="F20" s="100" t="n"/>
      <c r="G20" s="100" t="n"/>
      <c r="H20" s="100" t="n"/>
      <c r="I20" s="100" t="n"/>
      <c r="J20" s="101" t="n"/>
      <c r="K20" s="100" t="n"/>
      <c r="L20" s="100" t="n"/>
      <c r="M20" s="100" t="n"/>
      <c r="N20" s="100" t="n"/>
      <c r="O20" s="100" t="n"/>
      <c r="P20" s="100" t="n"/>
      <c r="Q20" s="101" t="n"/>
      <c r="R20" s="100" t="n"/>
      <c r="S20" s="100" t="n"/>
      <c r="T20" s="100" t="n"/>
      <c r="U20" s="100" t="n"/>
      <c r="V20" s="100" t="n"/>
      <c r="W20" s="100" t="n"/>
      <c r="X20" s="101" t="n"/>
      <c r="Y20" s="100" t="n"/>
      <c r="Z20" s="100" t="n"/>
      <c r="AA20" s="100" t="n"/>
      <c r="AB20" s="100" t="n"/>
      <c r="AC20" s="100" t="n"/>
      <c r="AD20" s="100" t="n"/>
      <c r="AE20" s="101" t="n"/>
      <c r="AF20" s="100" t="n"/>
      <c r="AG20" s="100" t="n"/>
      <c r="AH20" s="100" t="n"/>
      <c r="AI20" s="100" t="n"/>
      <c r="AJ20" s="102">
        <f>IF(ISBLANK(B20), "", IF(ISNUMBER(D20), IF(D20&gt;0, (COUNTIF(E20:AI20, "✓") + COUNTIF(E20:AI20, "✔") + COUNTIF(E20:AI20, "v") + COUNTIF(E20:AI20, "V"))/D20, 0), IF(((COUNTIF(E20:AI20, "✓") + COUNTIF(E20:AI20, "✔") + COUNTIF(E20:AI20, "v") + COUNTIF(E20:AI20, "V")) + COUNTIF(E20:AI20, "✗") + COUNTIF(E20:AI20, "x") + COUNTIF(E20:AI20, "X"))&gt;0, (COUNTIF(E20:AI20, "✓") + COUNTIF(E20:AI20, "✔") + COUNTIF(E20:AI20, "v") + COUNTIF(E20:AI20, "V"))/((COUNTIF(E20:AI20, "✓") + COUNTIF(E20:AI20, "✔") + COUNTIF(E20:AI20, "v") + COUNTIF(E20:AI20, "V")) + COUNTIF(E20:AI20, "✗") + COUNTIF(E20:AI20, "x") + COUNTIF(E20:AI20, "X")), "")))</f>
        <v/>
      </c>
      <c r="AK20" s="103">
        <f>IF(ISBLANK(B20), "", IF(ISNUMBER(D20), IF(D20&gt;0, (COUNTIF(E20:AI20, "✓") + COUNTIF(E20:AI20, "✔") + COUNTIF(E20:AI20, "v") + COUNTIF(E20:AI20, "V")) &amp; "/" &amp; D20, (COUNTIF(E20:AI20, "✓") + COUNTIF(E20:AI20, "✔") + COUNTIF(E20:AI20, "v") + COUNTIF(E20:AI20, "V")) &amp; "/0"), IF(((COUNTIF(E20:AI20, "✓") + COUNTIF(E20:AI20, "✔") + COUNTIF(E20:AI20, "v") + COUNTIF(E20:AI20, "V")) + COUNTIF(E20:AI20, "✗") + COUNTIF(E20:AI20, "x") + COUNTIF(E20:AI20, "X"))&gt;0, (COUNTIF(E20:AI20, "✓") + COUNTIF(E20:AI20, "✔") + COUNTIF(E20:AI20, "v") + COUNTIF(E20:AI20, "V")) &amp; "/" &amp; ((COUNTIF(E20:AI20, "✓") + COUNTIF(E20:AI20, "✔") + COUNTIF(E20:AI20, "v") + COUNTIF(E20:AI20, "V")) + COUNTIF(E20:AI20, "✗") + COUNTIF(E20:AI20, "x") + COUNTIF(E20:AI20, "X")), "")))</f>
        <v/>
      </c>
      <c r="AL20" s="103">
        <f>IF(ISBLANK(B20), "", IF(AJ20&gt;=0.85, "🔥 Mastered", IF(AJ20&gt;=0.7, "⚡ Consistent", "⚠️ Needs Focus")))</f>
        <v/>
      </c>
      <c r="AM20">
        <f>COUNTIF(E20:AI20, "✓")</f>
        <v/>
      </c>
    </row>
    <row r="21" ht="14.5" customHeight="1">
      <c r="A21" s="97" t="n">
        <v>4</v>
      </c>
      <c r="B21" s="98" t="n"/>
      <c r="C21" s="99" t="n"/>
      <c r="D21" s="99" t="n"/>
      <c r="E21" s="100" t="n"/>
      <c r="F21" s="100" t="n"/>
      <c r="G21" s="100" t="n"/>
      <c r="H21" s="100" t="n"/>
      <c r="I21" s="100" t="n"/>
      <c r="J21" s="101" t="n"/>
      <c r="K21" s="100" t="n"/>
      <c r="L21" s="100" t="n"/>
      <c r="M21" s="100" t="n"/>
      <c r="N21" s="100" t="n"/>
      <c r="O21" s="100" t="n"/>
      <c r="P21" s="100" t="n"/>
      <c r="Q21" s="101" t="n"/>
      <c r="R21" s="100" t="n"/>
      <c r="S21" s="100" t="n"/>
      <c r="T21" s="100" t="n"/>
      <c r="U21" s="100" t="n"/>
      <c r="V21" s="100" t="n"/>
      <c r="W21" s="100" t="n"/>
      <c r="X21" s="101" t="n"/>
      <c r="Y21" s="100" t="n"/>
      <c r="Z21" s="100" t="n"/>
      <c r="AA21" s="100" t="n"/>
      <c r="AB21" s="100" t="n"/>
      <c r="AC21" s="100" t="n"/>
      <c r="AD21" s="100" t="n"/>
      <c r="AE21" s="101" t="n"/>
      <c r="AF21" s="100" t="n"/>
      <c r="AG21" s="100" t="n"/>
      <c r="AH21" s="100" t="n"/>
      <c r="AI21" s="100" t="n"/>
      <c r="AJ21" s="102">
        <f>IF(ISBLANK(B21), "", IF(ISNUMBER(D21), IF(D21&gt;0, (COUNTIF(E21:AI21, "✓") + COUNTIF(E21:AI21, "✔") + COUNTIF(E21:AI21, "v") + COUNTIF(E21:AI21, "V"))/D21, 0), IF(((COUNTIF(E21:AI21, "✓") + COUNTIF(E21:AI21, "✔") + COUNTIF(E21:AI21, "v") + COUNTIF(E21:AI21, "V")) + COUNTIF(E21:AI21, "✗") + COUNTIF(E21:AI21, "x") + COUNTIF(E21:AI21, "X"))&gt;0, (COUNTIF(E21:AI21, "✓") + COUNTIF(E21:AI21, "✔") + COUNTIF(E21:AI21, "v") + COUNTIF(E21:AI21, "V"))/((COUNTIF(E21:AI21, "✓") + COUNTIF(E21:AI21, "✔") + COUNTIF(E21:AI21, "v") + COUNTIF(E21:AI21, "V")) + COUNTIF(E21:AI21, "✗") + COUNTIF(E21:AI21, "x") + COUNTIF(E21:AI21, "X")), "")))</f>
        <v/>
      </c>
      <c r="AK21" s="103">
        <f>IF(ISBLANK(B21), "", IF(ISNUMBER(D21), IF(D21&gt;0, (COUNTIF(E21:AI21, "✓") + COUNTIF(E21:AI21, "✔") + COUNTIF(E21:AI21, "v") + COUNTIF(E21:AI21, "V")) &amp; "/" &amp; D21, (COUNTIF(E21:AI21, "✓") + COUNTIF(E21:AI21, "✔") + COUNTIF(E21:AI21, "v") + COUNTIF(E21:AI21, "V")) &amp; "/0"), IF(((COUNTIF(E21:AI21, "✓") + COUNTIF(E21:AI21, "✔") + COUNTIF(E21:AI21, "v") + COUNTIF(E21:AI21, "V")) + COUNTIF(E21:AI21, "✗") + COUNTIF(E21:AI21, "x") + COUNTIF(E21:AI21, "X"))&gt;0, (COUNTIF(E21:AI21, "✓") + COUNTIF(E21:AI21, "✔") + COUNTIF(E21:AI21, "v") + COUNTIF(E21:AI21, "V")) &amp; "/" &amp; ((COUNTIF(E21:AI21, "✓") + COUNTIF(E21:AI21, "✔") + COUNTIF(E21:AI21, "v") + COUNTIF(E21:AI21, "V")) + COUNTIF(E21:AI21, "✗") + COUNTIF(E21:AI21, "x") + COUNTIF(E21:AI21, "X")), "")))</f>
        <v/>
      </c>
      <c r="AL21" s="103">
        <f>IF(ISBLANK(B21), "", IF(AJ21&gt;=0.85, "🔥 Mastered", IF(AJ21&gt;=0.7, "⚡ Consistent", "⚠️ Needs Focus")))</f>
        <v/>
      </c>
      <c r="AM21">
        <f>COUNTIF(E21:AI21, "✓")</f>
        <v/>
      </c>
    </row>
    <row r="22" ht="14.5" customHeight="1">
      <c r="A22" s="104" t="n">
        <v>5</v>
      </c>
      <c r="B22" s="105" t="n"/>
      <c r="C22" s="106" t="n"/>
      <c r="D22" s="106" t="n"/>
      <c r="E22" s="107" t="n"/>
      <c r="F22" s="107" t="n"/>
      <c r="G22" s="107" t="n"/>
      <c r="H22" s="107" t="n"/>
      <c r="I22" s="107" t="n"/>
      <c r="J22" s="108" t="n"/>
      <c r="K22" s="107" t="n"/>
      <c r="L22" s="107" t="n"/>
      <c r="M22" s="107" t="n"/>
      <c r="N22" s="107" t="n"/>
      <c r="O22" s="107" t="n"/>
      <c r="P22" s="107" t="n"/>
      <c r="Q22" s="108" t="n"/>
      <c r="R22" s="107" t="n"/>
      <c r="S22" s="107" t="n"/>
      <c r="T22" s="107" t="n"/>
      <c r="U22" s="107" t="n"/>
      <c r="V22" s="107" t="n"/>
      <c r="W22" s="107" t="n"/>
      <c r="X22" s="108" t="n"/>
      <c r="Y22" s="107" t="n"/>
      <c r="Z22" s="107" t="n"/>
      <c r="AA22" s="107" t="n"/>
      <c r="AB22" s="107" t="n"/>
      <c r="AC22" s="107" t="n"/>
      <c r="AD22" s="107" t="n"/>
      <c r="AE22" s="108" t="n"/>
      <c r="AF22" s="107" t="n"/>
      <c r="AG22" s="107" t="n"/>
      <c r="AH22" s="107" t="n"/>
      <c r="AI22" s="107" t="n"/>
      <c r="AJ22" s="109">
        <f>IF(ISBLANK(B22), "", IF(ISNUMBER(D22), IF(D22&gt;0, (COUNTIF(E22:AI22, "✓") + COUNTIF(E22:AI22, "✔") + COUNTIF(E22:AI22, "v") + COUNTIF(E22:AI22, "V"))/D22, 0), IF(((COUNTIF(E22:AI22, "✓") + COUNTIF(E22:AI22, "✔") + COUNTIF(E22:AI22, "v") + COUNTIF(E22:AI22, "V")) + COUNTIF(E22:AI22, "✗") + COUNTIF(E22:AI22, "x") + COUNTIF(E22:AI22, "X"))&gt;0, (COUNTIF(E22:AI22, "✓") + COUNTIF(E22:AI22, "✔") + COUNTIF(E22:AI22, "v") + COUNTIF(E22:AI22, "V"))/((COUNTIF(E22:AI22, "✓") + COUNTIF(E22:AI22, "✔") + COUNTIF(E22:AI22, "v") + COUNTIF(E22:AI22, "V")) + COUNTIF(E22:AI22, "✗") + COUNTIF(E22:AI22, "x") + COUNTIF(E22:AI22, "X")), "")))</f>
        <v/>
      </c>
      <c r="AK22" s="110">
        <f>IF(ISBLANK(B22), "", IF(ISNUMBER(D22), IF(D22&gt;0, (COUNTIF(E22:AI22, "✓") + COUNTIF(E22:AI22, "✔") + COUNTIF(E22:AI22, "v") + COUNTIF(E22:AI22, "V")) &amp; "/" &amp; D22, (COUNTIF(E22:AI22, "✓") + COUNTIF(E22:AI22, "✔") + COUNTIF(E22:AI22, "v") + COUNTIF(E22:AI22, "V")) &amp; "/0"), IF(((COUNTIF(E22:AI22, "✓") + COUNTIF(E22:AI22, "✔") + COUNTIF(E22:AI22, "v") + COUNTIF(E22:AI22, "V")) + COUNTIF(E22:AI22, "✗") + COUNTIF(E22:AI22, "x") + COUNTIF(E22:AI22, "X"))&gt;0, (COUNTIF(E22:AI22, "✓") + COUNTIF(E22:AI22, "✔") + COUNTIF(E22:AI22, "v") + COUNTIF(E22:AI22, "V")) &amp; "/" &amp; ((COUNTIF(E22:AI22, "✓") + COUNTIF(E22:AI22, "✔") + COUNTIF(E22:AI22, "v") + COUNTIF(E22:AI22, "V")) + COUNTIF(E22:AI22, "✗") + COUNTIF(E22:AI22, "x") + COUNTIF(E22:AI22, "X")), "")))</f>
        <v/>
      </c>
      <c r="AL22" s="110">
        <f>IF(ISBLANK(B22), "", IF(AJ22&gt;=0.85, "🔥 Mastered", IF(AJ22&gt;=0.7, "⚡ Consistent", "⚠️ Needs Focus")))</f>
        <v/>
      </c>
      <c r="AM22">
        <f>COUNTIF(E22:AI22, "✓")</f>
        <v/>
      </c>
    </row>
    <row r="23" ht="14.5" customHeight="1">
      <c r="A23" s="104" t="n">
        <v>6</v>
      </c>
      <c r="B23" s="105" t="n"/>
      <c r="C23" s="106" t="n"/>
      <c r="D23" s="106" t="n"/>
      <c r="E23" s="107" t="n"/>
      <c r="F23" s="107" t="n"/>
      <c r="G23" s="107" t="n"/>
      <c r="H23" s="107" t="n"/>
      <c r="I23" s="107" t="n"/>
      <c r="J23" s="108" t="n"/>
      <c r="K23" s="107" t="n"/>
      <c r="L23" s="107" t="n"/>
      <c r="M23" s="107" t="n"/>
      <c r="N23" s="107" t="n"/>
      <c r="O23" s="107" t="n"/>
      <c r="P23" s="107" t="n"/>
      <c r="Q23" s="108" t="n"/>
      <c r="R23" s="107" t="n"/>
      <c r="S23" s="107" t="n"/>
      <c r="T23" s="107" t="n"/>
      <c r="U23" s="107" t="n"/>
      <c r="V23" s="107" t="n"/>
      <c r="W23" s="107" t="n"/>
      <c r="X23" s="108" t="n"/>
      <c r="Y23" s="107" t="n"/>
      <c r="Z23" s="107" t="n"/>
      <c r="AA23" s="107" t="n"/>
      <c r="AB23" s="107" t="n"/>
      <c r="AC23" s="107" t="n"/>
      <c r="AD23" s="107" t="n"/>
      <c r="AE23" s="108" t="n"/>
      <c r="AF23" s="107" t="n"/>
      <c r="AG23" s="107" t="n"/>
      <c r="AH23" s="107" t="n"/>
      <c r="AI23" s="107" t="n"/>
      <c r="AJ23" s="109">
        <f>IF(ISBLANK(B23), "", IF(ISNUMBER(D23), IF(D23&gt;0, (COUNTIF(E23:AI23, "✓") + COUNTIF(E23:AI23, "✔") + COUNTIF(E23:AI23, "v") + COUNTIF(E23:AI23, "V"))/D23, 0), IF(((COUNTIF(E23:AI23, "✓") + COUNTIF(E23:AI23, "✔") + COUNTIF(E23:AI23, "v") + COUNTIF(E23:AI23, "V")) + COUNTIF(E23:AI23, "✗") + COUNTIF(E23:AI23, "x") + COUNTIF(E23:AI23, "X"))&gt;0, (COUNTIF(E23:AI23, "✓") + COUNTIF(E23:AI23, "✔") + COUNTIF(E23:AI23, "v") + COUNTIF(E23:AI23, "V"))/((COUNTIF(E23:AI23, "✓") + COUNTIF(E23:AI23, "✔") + COUNTIF(E23:AI23, "v") + COUNTIF(E23:AI23, "V")) + COUNTIF(E23:AI23, "✗") + COUNTIF(E23:AI23, "x") + COUNTIF(E23:AI23, "X")), "")))</f>
        <v/>
      </c>
      <c r="AK23" s="110">
        <f>IF(ISBLANK(B23), "", IF(ISNUMBER(D23), IF(D23&gt;0, (COUNTIF(E23:AI23, "✓") + COUNTIF(E23:AI23, "✔") + COUNTIF(E23:AI23, "v") + COUNTIF(E23:AI23, "V")) &amp; "/" &amp; D23, (COUNTIF(E23:AI23, "✓") + COUNTIF(E23:AI23, "✔") + COUNTIF(E23:AI23, "v") + COUNTIF(E23:AI23, "V")) &amp; "/0"), IF(((COUNTIF(E23:AI23, "✓") + COUNTIF(E23:AI23, "✔") + COUNTIF(E23:AI23, "v") + COUNTIF(E23:AI23, "V")) + COUNTIF(E23:AI23, "✗") + COUNTIF(E23:AI23, "x") + COUNTIF(E23:AI23, "X"))&gt;0, (COUNTIF(E23:AI23, "✓") + COUNTIF(E23:AI23, "✔") + COUNTIF(E23:AI23, "v") + COUNTIF(E23:AI23, "V")) &amp; "/" &amp; ((COUNTIF(E23:AI23, "✓") + COUNTIF(E23:AI23, "✔") + COUNTIF(E23:AI23, "v") + COUNTIF(E23:AI23, "V")) + COUNTIF(E23:AI23, "✗") + COUNTIF(E23:AI23, "x") + COUNTIF(E23:AI23, "X")), "")))</f>
        <v/>
      </c>
      <c r="AL23" s="110">
        <f>IF(ISBLANK(B23), "", IF(AJ23&gt;=0.85, "🔥 Mastered", IF(AJ23&gt;=0.7, "⚡ Consistent", "⚠️ Needs Focus")))</f>
        <v/>
      </c>
      <c r="AM23">
        <f>COUNTIF(E23:AI23, "✓")</f>
        <v/>
      </c>
    </row>
    <row r="24" ht="14.5" customHeight="1">
      <c r="A24" s="104" t="n">
        <v>7</v>
      </c>
      <c r="B24" s="105" t="n"/>
      <c r="C24" s="106" t="n"/>
      <c r="D24" s="106" t="n"/>
      <c r="E24" s="107" t="n"/>
      <c r="F24" s="107" t="n"/>
      <c r="G24" s="107" t="n"/>
      <c r="H24" s="107" t="n"/>
      <c r="I24" s="107" t="n"/>
      <c r="J24" s="108" t="n"/>
      <c r="K24" s="107" t="n"/>
      <c r="L24" s="107" t="n"/>
      <c r="M24" s="107" t="n"/>
      <c r="N24" s="107" t="n"/>
      <c r="O24" s="107" t="n"/>
      <c r="P24" s="107" t="n"/>
      <c r="Q24" s="108" t="n"/>
      <c r="R24" s="107" t="n"/>
      <c r="S24" s="107" t="n"/>
      <c r="T24" s="107" t="n"/>
      <c r="U24" s="107" t="n"/>
      <c r="V24" s="107" t="n"/>
      <c r="W24" s="107" t="n"/>
      <c r="X24" s="108" t="n"/>
      <c r="Y24" s="107" t="n"/>
      <c r="Z24" s="107" t="n"/>
      <c r="AA24" s="107" t="n"/>
      <c r="AB24" s="107" t="n"/>
      <c r="AC24" s="107" t="n"/>
      <c r="AD24" s="107" t="n"/>
      <c r="AE24" s="108" t="n"/>
      <c r="AF24" s="107" t="n"/>
      <c r="AG24" s="107" t="n"/>
      <c r="AH24" s="107" t="n"/>
      <c r="AI24" s="107" t="n"/>
      <c r="AJ24" s="109">
        <f>IF(ISBLANK(B24), "", IF(ISNUMBER(D24), IF(D24&gt;0, (COUNTIF(E24:AI24, "✓") + COUNTIF(E24:AI24, "✔") + COUNTIF(E24:AI24, "v") + COUNTIF(E24:AI24, "V"))/D24, 0), IF(((COUNTIF(E24:AI24, "✓") + COUNTIF(E24:AI24, "✔") + COUNTIF(E24:AI24, "v") + COUNTIF(E24:AI24, "V")) + COUNTIF(E24:AI24, "✗") + COUNTIF(E24:AI24, "x") + COUNTIF(E24:AI24, "X"))&gt;0, (COUNTIF(E24:AI24, "✓") + COUNTIF(E24:AI24, "✔") + COUNTIF(E24:AI24, "v") + COUNTIF(E24:AI24, "V"))/((COUNTIF(E24:AI24, "✓") + COUNTIF(E24:AI24, "✔") + COUNTIF(E24:AI24, "v") + COUNTIF(E24:AI24, "V")) + COUNTIF(E24:AI24, "✗") + COUNTIF(E24:AI24, "x") + COUNTIF(E24:AI24, "X")), "")))</f>
        <v/>
      </c>
      <c r="AK24" s="110">
        <f>IF(ISBLANK(B24), "", IF(ISNUMBER(D24), IF(D24&gt;0, (COUNTIF(E24:AI24, "✓") + COUNTIF(E24:AI24, "✔") + COUNTIF(E24:AI24, "v") + COUNTIF(E24:AI24, "V")) &amp; "/" &amp; D24, (COUNTIF(E24:AI24, "✓") + COUNTIF(E24:AI24, "✔") + COUNTIF(E24:AI24, "v") + COUNTIF(E24:AI24, "V")) &amp; "/0"), IF(((COUNTIF(E24:AI24, "✓") + COUNTIF(E24:AI24, "✔") + COUNTIF(E24:AI24, "v") + COUNTIF(E24:AI24, "V")) + COUNTIF(E24:AI24, "✗") + COUNTIF(E24:AI24, "x") + COUNTIF(E24:AI24, "X"))&gt;0, (COUNTIF(E24:AI24, "✓") + COUNTIF(E24:AI24, "✔") + COUNTIF(E24:AI24, "v") + COUNTIF(E24:AI24, "V")) &amp; "/" &amp; ((COUNTIF(E24:AI24, "✓") + COUNTIF(E24:AI24, "✔") + COUNTIF(E24:AI24, "v") + COUNTIF(E24:AI24, "V")) + COUNTIF(E24:AI24, "✗") + COUNTIF(E24:AI24, "x") + COUNTIF(E24:AI24, "X")), "")))</f>
        <v/>
      </c>
      <c r="AL24" s="110">
        <f>IF(ISBLANK(B24), "", IF(AJ24&gt;=0.85, "🔥 Mastered", IF(AJ24&gt;=0.7, "⚡ Consistent", "⚠️ Needs Focus")))</f>
        <v/>
      </c>
      <c r="AM24">
        <f>COUNTIF(E24:AI24, "✓")</f>
        <v/>
      </c>
    </row>
    <row r="25" ht="14.5" customHeight="1">
      <c r="A25" s="104" t="n">
        <v>8</v>
      </c>
      <c r="B25" s="105" t="n"/>
      <c r="C25" s="106" t="n"/>
      <c r="D25" s="106" t="n"/>
      <c r="E25" s="107" t="n"/>
      <c r="F25" s="107" t="n"/>
      <c r="G25" s="107" t="n"/>
      <c r="H25" s="107" t="n"/>
      <c r="I25" s="107" t="n"/>
      <c r="J25" s="108" t="n"/>
      <c r="K25" s="107" t="n"/>
      <c r="L25" s="107" t="n"/>
      <c r="M25" s="107" t="n"/>
      <c r="N25" s="107" t="n"/>
      <c r="O25" s="107" t="n"/>
      <c r="P25" s="107" t="n"/>
      <c r="Q25" s="108" t="n"/>
      <c r="R25" s="107" t="n"/>
      <c r="S25" s="107" t="n"/>
      <c r="T25" s="107" t="n"/>
      <c r="U25" s="107" t="n"/>
      <c r="V25" s="107" t="n"/>
      <c r="W25" s="107" t="n"/>
      <c r="X25" s="108" t="n"/>
      <c r="Y25" s="107" t="n"/>
      <c r="Z25" s="107" t="n"/>
      <c r="AA25" s="107" t="n"/>
      <c r="AB25" s="107" t="n"/>
      <c r="AC25" s="107" t="n"/>
      <c r="AD25" s="107" t="n"/>
      <c r="AE25" s="108" t="n"/>
      <c r="AF25" s="107" t="n"/>
      <c r="AG25" s="107" t="n"/>
      <c r="AH25" s="107" t="n"/>
      <c r="AI25" s="107" t="n"/>
      <c r="AJ25" s="109">
        <f>IF(ISBLANK(B25), "", IF(ISNUMBER(D25), IF(D25&gt;0, (COUNTIF(E25:AI25, "✓") + COUNTIF(E25:AI25, "✔") + COUNTIF(E25:AI25, "v") + COUNTIF(E25:AI25, "V"))/D25, 0), IF(((COUNTIF(E25:AI25, "✓") + COUNTIF(E25:AI25, "✔") + COUNTIF(E25:AI25, "v") + COUNTIF(E25:AI25, "V")) + COUNTIF(E25:AI25, "✗") + COUNTIF(E25:AI25, "x") + COUNTIF(E25:AI25, "X"))&gt;0, (COUNTIF(E25:AI25, "✓") + COUNTIF(E25:AI25, "✔") + COUNTIF(E25:AI25, "v") + COUNTIF(E25:AI25, "V"))/((COUNTIF(E25:AI25, "✓") + COUNTIF(E25:AI25, "✔") + COUNTIF(E25:AI25, "v") + COUNTIF(E25:AI25, "V")) + COUNTIF(E25:AI25, "✗") + COUNTIF(E25:AI25, "x") + COUNTIF(E25:AI25, "X")), "")))</f>
        <v/>
      </c>
      <c r="AK25" s="110">
        <f>IF(ISBLANK(B25), "", IF(ISNUMBER(D25), IF(D25&gt;0, (COUNTIF(E25:AI25, "✓") + COUNTIF(E25:AI25, "✔") + COUNTIF(E25:AI25, "v") + COUNTIF(E25:AI25, "V")) &amp; "/" &amp; D25, (COUNTIF(E25:AI25, "✓") + COUNTIF(E25:AI25, "✔") + COUNTIF(E25:AI25, "v") + COUNTIF(E25:AI25, "V")) &amp; "/0"), IF(((COUNTIF(E25:AI25, "✓") + COUNTIF(E25:AI25, "✔") + COUNTIF(E25:AI25, "v") + COUNTIF(E25:AI25, "V")) + COUNTIF(E25:AI25, "✗") + COUNTIF(E25:AI25, "x") + COUNTIF(E25:AI25, "X"))&gt;0, (COUNTIF(E25:AI25, "✓") + COUNTIF(E25:AI25, "✔") + COUNTIF(E25:AI25, "v") + COUNTIF(E25:AI25, "V")) &amp; "/" &amp; ((COUNTIF(E25:AI25, "✓") + COUNTIF(E25:AI25, "✔") + COUNTIF(E25:AI25, "v") + COUNTIF(E25:AI25, "V")) + COUNTIF(E25:AI25, "✗") + COUNTIF(E25:AI25, "x") + COUNTIF(E25:AI25, "X")), "")))</f>
        <v/>
      </c>
      <c r="AL25" s="110">
        <f>IF(ISBLANK(B25), "", IF(AJ25&gt;=0.85, "🔥 Mastered", IF(AJ25&gt;=0.7, "⚡ Consistent", "⚠️ Needs Focus")))</f>
        <v/>
      </c>
      <c r="AM25">
        <f>COUNTIF(E25:AI25, "✓")</f>
        <v/>
      </c>
    </row>
    <row r="26" ht="14.5" customHeight="1">
      <c r="A26" s="111" t="n">
        <v>9</v>
      </c>
      <c r="B26" s="112" t="n"/>
      <c r="C26" s="113" t="n"/>
      <c r="D26" s="113" t="n"/>
      <c r="E26" s="114" t="n"/>
      <c r="F26" s="114" t="n"/>
      <c r="G26" s="114" t="n"/>
      <c r="H26" s="114" t="n"/>
      <c r="I26" s="114" t="n"/>
      <c r="J26" s="115" t="n"/>
      <c r="K26" s="114" t="n"/>
      <c r="L26" s="114" t="n"/>
      <c r="M26" s="114" t="n"/>
      <c r="N26" s="114" t="n"/>
      <c r="O26" s="114" t="n"/>
      <c r="P26" s="114" t="n"/>
      <c r="Q26" s="115" t="n"/>
      <c r="R26" s="114" t="n"/>
      <c r="S26" s="114" t="n"/>
      <c r="T26" s="114" t="n"/>
      <c r="U26" s="114" t="n"/>
      <c r="V26" s="114" t="n"/>
      <c r="W26" s="114" t="n"/>
      <c r="X26" s="115" t="n"/>
      <c r="Y26" s="114" t="n"/>
      <c r="Z26" s="114" t="n"/>
      <c r="AA26" s="114" t="n"/>
      <c r="AB26" s="114" t="n"/>
      <c r="AC26" s="114" t="n"/>
      <c r="AD26" s="114" t="n"/>
      <c r="AE26" s="115" t="n"/>
      <c r="AF26" s="114" t="n"/>
      <c r="AG26" s="114" t="n"/>
      <c r="AH26" s="114" t="n"/>
      <c r="AI26" s="114" t="n"/>
      <c r="AJ26" s="116">
        <f>IF(ISBLANK(B26), "", IF(ISNUMBER(D26), IF(D26&gt;0, (COUNTIF(E26:AI26, "✓") + COUNTIF(E26:AI26, "✔") + COUNTIF(E26:AI26, "v") + COUNTIF(E26:AI26, "V"))/D26, 0), IF(((COUNTIF(E26:AI26, "✓") + COUNTIF(E26:AI26, "✔") + COUNTIF(E26:AI26, "v") + COUNTIF(E26:AI26, "V")) + COUNTIF(E26:AI26, "✗") + COUNTIF(E26:AI26, "x") + COUNTIF(E26:AI26, "X"))&gt;0, (COUNTIF(E26:AI26, "✓") + COUNTIF(E26:AI26, "✔") + COUNTIF(E26:AI26, "v") + COUNTIF(E26:AI26, "V"))/((COUNTIF(E26:AI26, "✓") + COUNTIF(E26:AI26, "✔") + COUNTIF(E26:AI26, "v") + COUNTIF(E26:AI26, "V")) + COUNTIF(E26:AI26, "✗") + COUNTIF(E26:AI26, "x") + COUNTIF(E26:AI26, "X")), "")))</f>
        <v/>
      </c>
      <c r="AK26" s="117">
        <f>IF(ISBLANK(B26), "", IF(ISNUMBER(D26), IF(D26&gt;0, (COUNTIF(E26:AI26, "✓") + COUNTIF(E26:AI26, "✔") + COUNTIF(E26:AI26, "v") + COUNTIF(E26:AI26, "V")) &amp; "/" &amp; D26, (COUNTIF(E26:AI26, "✓") + COUNTIF(E26:AI26, "✔") + COUNTIF(E26:AI26, "v") + COUNTIF(E26:AI26, "V")) &amp; "/0"), IF(((COUNTIF(E26:AI26, "✓") + COUNTIF(E26:AI26, "✔") + COUNTIF(E26:AI26, "v") + COUNTIF(E26:AI26, "V")) + COUNTIF(E26:AI26, "✗") + COUNTIF(E26:AI26, "x") + COUNTIF(E26:AI26, "X"))&gt;0, (COUNTIF(E26:AI26, "✓") + COUNTIF(E26:AI26, "✔") + COUNTIF(E26:AI26, "v") + COUNTIF(E26:AI26, "V")) &amp; "/" &amp; ((COUNTIF(E26:AI26, "✓") + COUNTIF(E26:AI26, "✔") + COUNTIF(E26:AI26, "v") + COUNTIF(E26:AI26, "V")) + COUNTIF(E26:AI26, "✗") + COUNTIF(E26:AI26, "x") + COUNTIF(E26:AI26, "X")), "")))</f>
        <v/>
      </c>
      <c r="AL26" s="117">
        <f>IF(ISBLANK(B26), "", IF(AJ26&gt;=0.85, "🔥 Mastered", IF(AJ26&gt;=0.7, "⚡ Consistent", "⚠️ Needs Focus")))</f>
        <v/>
      </c>
      <c r="AM26">
        <f>COUNTIF(E26:AI26, "✓")</f>
        <v/>
      </c>
    </row>
    <row r="27" ht="14.5" customHeight="1">
      <c r="A27" s="111" t="n">
        <v>10</v>
      </c>
      <c r="B27" s="112" t="n"/>
      <c r="C27" s="113" t="n"/>
      <c r="D27" s="113" t="n"/>
      <c r="E27" s="114" t="n"/>
      <c r="F27" s="114" t="n"/>
      <c r="G27" s="114" t="n"/>
      <c r="H27" s="114" t="n"/>
      <c r="I27" s="114" t="n"/>
      <c r="J27" s="115" t="n"/>
      <c r="K27" s="114" t="n"/>
      <c r="L27" s="114" t="n"/>
      <c r="M27" s="114" t="n"/>
      <c r="N27" s="114" t="n"/>
      <c r="O27" s="114" t="n"/>
      <c r="P27" s="114" t="n"/>
      <c r="Q27" s="115" t="n"/>
      <c r="R27" s="114" t="n"/>
      <c r="S27" s="114" t="n"/>
      <c r="T27" s="114" t="n"/>
      <c r="U27" s="114" t="n"/>
      <c r="V27" s="114" t="n"/>
      <c r="W27" s="114" t="n"/>
      <c r="X27" s="115" t="n"/>
      <c r="Y27" s="114" t="n"/>
      <c r="Z27" s="114" t="n"/>
      <c r="AA27" s="114" t="n"/>
      <c r="AB27" s="114" t="n"/>
      <c r="AC27" s="114" t="n"/>
      <c r="AD27" s="114" t="n"/>
      <c r="AE27" s="115" t="n"/>
      <c r="AF27" s="114" t="n"/>
      <c r="AG27" s="114" t="n"/>
      <c r="AH27" s="114" t="n"/>
      <c r="AI27" s="114" t="n"/>
      <c r="AJ27" s="116">
        <f>IF(ISBLANK(B27), "", IF(ISNUMBER(D27), IF(D27&gt;0, (COUNTIF(E27:AI27, "✓") + COUNTIF(E27:AI27, "✔") + COUNTIF(E27:AI27, "v") + COUNTIF(E27:AI27, "V"))/D27, 0), IF(((COUNTIF(E27:AI27, "✓") + COUNTIF(E27:AI27, "✔") + COUNTIF(E27:AI27, "v") + COUNTIF(E27:AI27, "V")) + COUNTIF(E27:AI27, "✗") + COUNTIF(E27:AI27, "x") + COUNTIF(E27:AI27, "X"))&gt;0, (COUNTIF(E27:AI27, "✓") + COUNTIF(E27:AI27, "✔") + COUNTIF(E27:AI27, "v") + COUNTIF(E27:AI27, "V"))/((COUNTIF(E27:AI27, "✓") + COUNTIF(E27:AI27, "✔") + COUNTIF(E27:AI27, "v") + COUNTIF(E27:AI27, "V")) + COUNTIF(E27:AI27, "✗") + COUNTIF(E27:AI27, "x") + COUNTIF(E27:AI27, "X")), "")))</f>
        <v/>
      </c>
      <c r="AK27" s="117">
        <f>IF(ISBLANK(B27), "", IF(ISNUMBER(D27), IF(D27&gt;0, (COUNTIF(E27:AI27, "✓") + COUNTIF(E27:AI27, "✔") + COUNTIF(E27:AI27, "v") + COUNTIF(E27:AI27, "V")) &amp; "/" &amp; D27, (COUNTIF(E27:AI27, "✓") + COUNTIF(E27:AI27, "✔") + COUNTIF(E27:AI27, "v") + COUNTIF(E27:AI27, "V")) &amp; "/0"), IF(((COUNTIF(E27:AI27, "✓") + COUNTIF(E27:AI27, "✔") + COUNTIF(E27:AI27, "v") + COUNTIF(E27:AI27, "V")) + COUNTIF(E27:AI27, "✗") + COUNTIF(E27:AI27, "x") + COUNTIF(E27:AI27, "X"))&gt;0, (COUNTIF(E27:AI27, "✓") + COUNTIF(E27:AI27, "✔") + COUNTIF(E27:AI27, "v") + COUNTIF(E27:AI27, "V")) &amp; "/" &amp; ((COUNTIF(E27:AI27, "✓") + COUNTIF(E27:AI27, "✔") + COUNTIF(E27:AI27, "v") + COUNTIF(E27:AI27, "V")) + COUNTIF(E27:AI27, "✗") + COUNTIF(E27:AI27, "x") + COUNTIF(E27:AI27, "X")), "")))</f>
        <v/>
      </c>
      <c r="AL27" s="117">
        <f>IF(ISBLANK(B27), "", IF(AJ27&gt;=0.85, "🔥 Mastered", IF(AJ27&gt;=0.7, "⚡ Consistent", "⚠️ Needs Focus")))</f>
        <v/>
      </c>
      <c r="AM27">
        <f>COUNTIF(E27:AI27, "✓")</f>
        <v/>
      </c>
    </row>
    <row r="28" ht="14.5" customHeight="1">
      <c r="A28" s="111" t="n">
        <v>11</v>
      </c>
      <c r="B28" s="112" t="n"/>
      <c r="C28" s="113" t="n"/>
      <c r="D28" s="113" t="n"/>
      <c r="E28" s="114" t="n"/>
      <c r="F28" s="114" t="n"/>
      <c r="G28" s="114" t="n"/>
      <c r="H28" s="114" t="n"/>
      <c r="I28" s="114" t="n"/>
      <c r="J28" s="115" t="n"/>
      <c r="K28" s="114" t="n"/>
      <c r="L28" s="114" t="n"/>
      <c r="M28" s="114" t="n"/>
      <c r="N28" s="114" t="n"/>
      <c r="O28" s="114" t="n"/>
      <c r="P28" s="114" t="n"/>
      <c r="Q28" s="115" t="n"/>
      <c r="R28" s="114" t="n"/>
      <c r="S28" s="114" t="n"/>
      <c r="T28" s="114" t="n"/>
      <c r="U28" s="114" t="n"/>
      <c r="V28" s="114" t="n"/>
      <c r="W28" s="114" t="n"/>
      <c r="X28" s="115" t="n"/>
      <c r="Y28" s="114" t="n"/>
      <c r="Z28" s="114" t="n"/>
      <c r="AA28" s="114" t="n"/>
      <c r="AB28" s="114" t="n"/>
      <c r="AC28" s="114" t="n"/>
      <c r="AD28" s="114" t="n"/>
      <c r="AE28" s="115" t="n"/>
      <c r="AF28" s="114" t="n"/>
      <c r="AG28" s="114" t="n"/>
      <c r="AH28" s="114" t="n"/>
      <c r="AI28" s="114" t="n"/>
      <c r="AJ28" s="116">
        <f>IF(ISBLANK(B28), "", IF(ISNUMBER(D28), IF(D28&gt;0, (COUNTIF(E28:AI28, "✓") + COUNTIF(E28:AI28, "✔") + COUNTIF(E28:AI28, "v") + COUNTIF(E28:AI28, "V"))/D28, 0), IF(((COUNTIF(E28:AI28, "✓") + COUNTIF(E28:AI28, "✔") + COUNTIF(E28:AI28, "v") + COUNTIF(E28:AI28, "V")) + COUNTIF(E28:AI28, "✗") + COUNTIF(E28:AI28, "x") + COUNTIF(E28:AI28, "X"))&gt;0, (COUNTIF(E28:AI28, "✓") + COUNTIF(E28:AI28, "✔") + COUNTIF(E28:AI28, "v") + COUNTIF(E28:AI28, "V"))/((COUNTIF(E28:AI28, "✓") + COUNTIF(E28:AI28, "✔") + COUNTIF(E28:AI28, "v") + COUNTIF(E28:AI28, "V")) + COUNTIF(E28:AI28, "✗") + COUNTIF(E28:AI28, "x") + COUNTIF(E28:AI28, "X")), "")))</f>
        <v/>
      </c>
      <c r="AK28" s="117">
        <f>IF(ISBLANK(B28), "", IF(ISNUMBER(D28), IF(D28&gt;0, (COUNTIF(E28:AI28, "✓") + COUNTIF(E28:AI28, "✔") + COUNTIF(E28:AI28, "v") + COUNTIF(E28:AI28, "V")) &amp; "/" &amp; D28, (COUNTIF(E28:AI28, "✓") + COUNTIF(E28:AI28, "✔") + COUNTIF(E28:AI28, "v") + COUNTIF(E28:AI28, "V")) &amp; "/0"), IF(((COUNTIF(E28:AI28, "✓") + COUNTIF(E28:AI28, "✔") + COUNTIF(E28:AI28, "v") + COUNTIF(E28:AI28, "V")) + COUNTIF(E28:AI28, "✗") + COUNTIF(E28:AI28, "x") + COUNTIF(E28:AI28, "X"))&gt;0, (COUNTIF(E28:AI28, "✓") + COUNTIF(E28:AI28, "✔") + COUNTIF(E28:AI28, "v") + COUNTIF(E28:AI28, "V")) &amp; "/" &amp; ((COUNTIF(E28:AI28, "✓") + COUNTIF(E28:AI28, "✔") + COUNTIF(E28:AI28, "v") + COUNTIF(E28:AI28, "V")) + COUNTIF(E28:AI28, "✗") + COUNTIF(E28:AI28, "x") + COUNTIF(E28:AI28, "X")), "")))</f>
        <v/>
      </c>
      <c r="AL28" s="117">
        <f>IF(ISBLANK(B28), "", IF(AJ28&gt;=0.85, "🔥 Mastered", IF(AJ28&gt;=0.7, "⚡ Consistent", "⚠️ Needs Focus")))</f>
        <v/>
      </c>
      <c r="AM28">
        <f>COUNTIF(E28:AI28, "✓")</f>
        <v/>
      </c>
    </row>
    <row r="29" ht="14.5" customHeight="1">
      <c r="A29" s="111" t="n">
        <v>12</v>
      </c>
      <c r="B29" s="112" t="n"/>
      <c r="C29" s="113" t="n"/>
      <c r="D29" s="113" t="n"/>
      <c r="E29" s="114" t="n"/>
      <c r="F29" s="114" t="n"/>
      <c r="G29" s="114" t="n"/>
      <c r="H29" s="114" t="n"/>
      <c r="I29" s="114" t="n"/>
      <c r="J29" s="115" t="n"/>
      <c r="K29" s="114" t="n"/>
      <c r="L29" s="114" t="n"/>
      <c r="M29" s="114" t="n"/>
      <c r="N29" s="114" t="n"/>
      <c r="O29" s="114" t="n"/>
      <c r="P29" s="114" t="n"/>
      <c r="Q29" s="115" t="n"/>
      <c r="R29" s="114" t="n"/>
      <c r="S29" s="114" t="n"/>
      <c r="T29" s="114" t="n"/>
      <c r="U29" s="114" t="n"/>
      <c r="V29" s="114" t="n"/>
      <c r="W29" s="114" t="n"/>
      <c r="X29" s="115" t="n"/>
      <c r="Y29" s="114" t="n"/>
      <c r="Z29" s="114" t="n"/>
      <c r="AA29" s="114" t="n"/>
      <c r="AB29" s="114" t="n"/>
      <c r="AC29" s="114" t="n"/>
      <c r="AD29" s="114" t="n"/>
      <c r="AE29" s="115" t="n"/>
      <c r="AF29" s="114" t="n"/>
      <c r="AG29" s="114" t="n"/>
      <c r="AH29" s="114" t="n"/>
      <c r="AI29" s="114" t="n"/>
      <c r="AJ29" s="116">
        <f>IF(ISBLANK(B29), "", IF(ISNUMBER(D29), IF(D29&gt;0, (COUNTIF(E29:AI29, "✓") + COUNTIF(E29:AI29, "✔") + COUNTIF(E29:AI29, "v") + COUNTIF(E29:AI29, "V"))/D29, 0), IF(((COUNTIF(E29:AI29, "✓") + COUNTIF(E29:AI29, "✔") + COUNTIF(E29:AI29, "v") + COUNTIF(E29:AI29, "V")) + COUNTIF(E29:AI29, "✗") + COUNTIF(E29:AI29, "x") + COUNTIF(E29:AI29, "X"))&gt;0, (COUNTIF(E29:AI29, "✓") + COUNTIF(E29:AI29, "✔") + COUNTIF(E29:AI29, "v") + COUNTIF(E29:AI29, "V"))/((COUNTIF(E29:AI29, "✓") + COUNTIF(E29:AI29, "✔") + COUNTIF(E29:AI29, "v") + COUNTIF(E29:AI29, "V")) + COUNTIF(E29:AI29, "✗") + COUNTIF(E29:AI29, "x") + COUNTIF(E29:AI29, "X")), "")))</f>
        <v/>
      </c>
      <c r="AK29" s="117">
        <f>IF(ISBLANK(B29), "", IF(ISNUMBER(D29), IF(D29&gt;0, (COUNTIF(E29:AI29, "✓") + COUNTIF(E29:AI29, "✔") + COUNTIF(E29:AI29, "v") + COUNTIF(E29:AI29, "V")) &amp; "/" &amp; D29, (COUNTIF(E29:AI29, "✓") + COUNTIF(E29:AI29, "✔") + COUNTIF(E29:AI29, "v") + COUNTIF(E29:AI29, "V")) &amp; "/0"), IF(((COUNTIF(E29:AI29, "✓") + COUNTIF(E29:AI29, "✔") + COUNTIF(E29:AI29, "v") + COUNTIF(E29:AI29, "V")) + COUNTIF(E29:AI29, "✗") + COUNTIF(E29:AI29, "x") + COUNTIF(E29:AI29, "X"))&gt;0, (COUNTIF(E29:AI29, "✓") + COUNTIF(E29:AI29, "✔") + COUNTIF(E29:AI29, "v") + COUNTIF(E29:AI29, "V")) &amp; "/" &amp; ((COUNTIF(E29:AI29, "✓") + COUNTIF(E29:AI29, "✔") + COUNTIF(E29:AI29, "v") + COUNTIF(E29:AI29, "V")) + COUNTIF(E29:AI29, "✗") + COUNTIF(E29:AI29, "x") + COUNTIF(E29:AI29, "X")), "")))</f>
        <v/>
      </c>
      <c r="AL29" s="117">
        <f>IF(ISBLANK(B29), "", IF(AJ29&gt;=0.85, "🔥 Mastered", IF(AJ29&gt;=0.7, "⚡ Consistent", "⚠️ Needs Focus")))</f>
        <v/>
      </c>
      <c r="AM29">
        <f>COUNTIF(E29:AI29, "✓")</f>
        <v/>
      </c>
    </row>
    <row r="30" ht="14.5" customHeight="1">
      <c r="A30" s="118" t="n">
        <v>13</v>
      </c>
      <c r="B30" s="119" t="n"/>
      <c r="C30" s="120" t="n"/>
      <c r="D30" s="120" t="n"/>
      <c r="E30" s="121" t="n"/>
      <c r="F30" s="121" t="n"/>
      <c r="G30" s="121" t="n"/>
      <c r="H30" s="121" t="n"/>
      <c r="I30" s="121" t="n"/>
      <c r="J30" s="122" t="n"/>
      <c r="K30" s="121" t="n"/>
      <c r="L30" s="121" t="n"/>
      <c r="M30" s="121" t="n"/>
      <c r="N30" s="121" t="n"/>
      <c r="O30" s="121" t="n"/>
      <c r="P30" s="121" t="n"/>
      <c r="Q30" s="122" t="n"/>
      <c r="R30" s="121" t="n"/>
      <c r="S30" s="121" t="n"/>
      <c r="T30" s="121" t="n"/>
      <c r="U30" s="121" t="n"/>
      <c r="V30" s="121" t="n"/>
      <c r="W30" s="121" t="n"/>
      <c r="X30" s="122" t="n"/>
      <c r="Y30" s="121" t="n"/>
      <c r="Z30" s="121" t="n"/>
      <c r="AA30" s="121" t="n"/>
      <c r="AB30" s="121" t="n"/>
      <c r="AC30" s="121" t="n"/>
      <c r="AD30" s="121" t="n"/>
      <c r="AE30" s="122" t="n"/>
      <c r="AF30" s="121" t="n"/>
      <c r="AG30" s="121" t="n"/>
      <c r="AH30" s="121" t="n"/>
      <c r="AI30" s="121" t="n"/>
      <c r="AJ30" s="123">
        <f>IF(ISBLANK(B30), "", IF(ISNUMBER(D30), IF(D30&gt;0, (COUNTIF(E30:AI30, "✓") + COUNTIF(E30:AI30, "✔") + COUNTIF(E30:AI30, "v") + COUNTIF(E30:AI30, "V"))/D30, 0), IF(((COUNTIF(E30:AI30, "✓") + COUNTIF(E30:AI30, "✔") + COUNTIF(E30:AI30, "v") + COUNTIF(E30:AI30, "V")) + COUNTIF(E30:AI30, "✗") + COUNTIF(E30:AI30, "x") + COUNTIF(E30:AI30, "X"))&gt;0, (COUNTIF(E30:AI30, "✓") + COUNTIF(E30:AI30, "✔") + COUNTIF(E30:AI30, "v") + COUNTIF(E30:AI30, "V"))/((COUNTIF(E30:AI30, "✓") + COUNTIF(E30:AI30, "✔") + COUNTIF(E30:AI30, "v") + COUNTIF(E30:AI30, "V")) + COUNTIF(E30:AI30, "✗") + COUNTIF(E30:AI30, "x") + COUNTIF(E30:AI30, "X")), "")))</f>
        <v/>
      </c>
      <c r="AK30" s="124">
        <f>IF(ISBLANK(B30), "", IF(ISNUMBER(D30), IF(D30&gt;0, (COUNTIF(E30:AI30, "✓") + COUNTIF(E30:AI30, "✔") + COUNTIF(E30:AI30, "v") + COUNTIF(E30:AI30, "V")) &amp; "/" &amp; D30, (COUNTIF(E30:AI30, "✓") + COUNTIF(E30:AI30, "✔") + COUNTIF(E30:AI30, "v") + COUNTIF(E30:AI30, "V")) &amp; "/0"), IF(((COUNTIF(E30:AI30, "✓") + COUNTIF(E30:AI30, "✔") + COUNTIF(E30:AI30, "v") + COUNTIF(E30:AI30, "V")) + COUNTIF(E30:AI30, "✗") + COUNTIF(E30:AI30, "x") + COUNTIF(E30:AI30, "X"))&gt;0, (COUNTIF(E30:AI30, "✓") + COUNTIF(E30:AI30, "✔") + COUNTIF(E30:AI30, "v") + COUNTIF(E30:AI30, "V")) &amp; "/" &amp; ((COUNTIF(E30:AI30, "✓") + COUNTIF(E30:AI30, "✔") + COUNTIF(E30:AI30, "v") + COUNTIF(E30:AI30, "V")) + COUNTIF(E30:AI30, "✗") + COUNTIF(E30:AI30, "x") + COUNTIF(E30:AI30, "X")), "")))</f>
        <v/>
      </c>
      <c r="AL30" s="124">
        <f>IF(ISBLANK(B30), "", IF(AJ30&gt;=0.85, "🔥 Mastered", IF(AJ30&gt;=0.7, "⚡ Consistent", "⚠️ Needs Focus")))</f>
        <v/>
      </c>
      <c r="AM30">
        <f>COUNTIF(E30:AI30, "✓")</f>
        <v/>
      </c>
    </row>
    <row r="31" ht="14.5" customHeight="1">
      <c r="A31" s="118" t="n">
        <v>14</v>
      </c>
      <c r="B31" s="119" t="n"/>
      <c r="C31" s="120" t="n"/>
      <c r="D31" s="120" t="n"/>
      <c r="E31" s="121" t="n"/>
      <c r="F31" s="121" t="n"/>
      <c r="G31" s="121" t="n"/>
      <c r="H31" s="121" t="n"/>
      <c r="I31" s="121" t="n"/>
      <c r="J31" s="122" t="n"/>
      <c r="K31" s="121" t="n"/>
      <c r="L31" s="121" t="n"/>
      <c r="M31" s="121" t="n"/>
      <c r="N31" s="121" t="n"/>
      <c r="O31" s="121" t="n"/>
      <c r="P31" s="121" t="n"/>
      <c r="Q31" s="122" t="n"/>
      <c r="R31" s="121" t="n"/>
      <c r="S31" s="121" t="n"/>
      <c r="T31" s="121" t="n"/>
      <c r="U31" s="121" t="n"/>
      <c r="V31" s="121" t="n"/>
      <c r="W31" s="121" t="n"/>
      <c r="X31" s="122" t="n"/>
      <c r="Y31" s="121" t="n"/>
      <c r="Z31" s="121" t="n"/>
      <c r="AA31" s="121" t="n"/>
      <c r="AB31" s="121" t="n"/>
      <c r="AC31" s="121" t="n"/>
      <c r="AD31" s="121" t="n"/>
      <c r="AE31" s="122" t="n"/>
      <c r="AF31" s="121" t="n"/>
      <c r="AG31" s="121" t="n"/>
      <c r="AH31" s="121" t="n"/>
      <c r="AI31" s="121" t="n"/>
      <c r="AJ31" s="123">
        <f>IF(ISBLANK(B31), "", IF(ISNUMBER(D31), IF(D31&gt;0, (COUNTIF(E31:AI31, "✓") + COUNTIF(E31:AI31, "✔") + COUNTIF(E31:AI31, "v") + COUNTIF(E31:AI31, "V"))/D31, 0), IF(((COUNTIF(E31:AI31, "✓") + COUNTIF(E31:AI31, "✔") + COUNTIF(E31:AI31, "v") + COUNTIF(E31:AI31, "V")) + COUNTIF(E31:AI31, "✗") + COUNTIF(E31:AI31, "x") + COUNTIF(E31:AI31, "X"))&gt;0, (COUNTIF(E31:AI31, "✓") + COUNTIF(E31:AI31, "✔") + COUNTIF(E31:AI31, "v") + COUNTIF(E31:AI31, "V"))/((COUNTIF(E31:AI31, "✓") + COUNTIF(E31:AI31, "✔") + COUNTIF(E31:AI31, "v") + COUNTIF(E31:AI31, "V")) + COUNTIF(E31:AI31, "✗") + COUNTIF(E31:AI31, "x") + COUNTIF(E31:AI31, "X")), "")))</f>
        <v/>
      </c>
      <c r="AK31" s="124">
        <f>IF(ISBLANK(B31), "", IF(ISNUMBER(D31), IF(D31&gt;0, (COUNTIF(E31:AI31, "✓") + COUNTIF(E31:AI31, "✔") + COUNTIF(E31:AI31, "v") + COUNTIF(E31:AI31, "V")) &amp; "/" &amp; D31, (COUNTIF(E31:AI31, "✓") + COUNTIF(E31:AI31, "✔") + COUNTIF(E31:AI31, "v") + COUNTIF(E31:AI31, "V")) &amp; "/0"), IF(((COUNTIF(E31:AI31, "✓") + COUNTIF(E31:AI31, "✔") + COUNTIF(E31:AI31, "v") + COUNTIF(E31:AI31, "V")) + COUNTIF(E31:AI31, "✗") + COUNTIF(E31:AI31, "x") + COUNTIF(E31:AI31, "X"))&gt;0, (COUNTIF(E31:AI31, "✓") + COUNTIF(E31:AI31, "✔") + COUNTIF(E31:AI31, "v") + COUNTIF(E31:AI31, "V")) &amp; "/" &amp; ((COUNTIF(E31:AI31, "✓") + COUNTIF(E31:AI31, "✔") + COUNTIF(E31:AI31, "v") + COUNTIF(E31:AI31, "V")) + COUNTIF(E31:AI31, "✗") + COUNTIF(E31:AI31, "x") + COUNTIF(E31:AI31, "X")), "")))</f>
        <v/>
      </c>
      <c r="AL31" s="124">
        <f>IF(ISBLANK(B31), "", IF(AJ31&gt;=0.85, "🔥 Mastered", IF(AJ31&gt;=0.7, "⚡ Consistent", "⚠️ Needs Focus")))</f>
        <v/>
      </c>
      <c r="AM31">
        <f>COUNTIF(E31:AI31, "✓")</f>
        <v/>
      </c>
    </row>
    <row r="32" ht="14.5" customHeight="1">
      <c r="A32" s="118" t="n">
        <v>15</v>
      </c>
      <c r="B32" s="119" t="n"/>
      <c r="C32" s="120" t="n"/>
      <c r="D32" s="120" t="n"/>
      <c r="E32" s="121" t="n"/>
      <c r="F32" s="121" t="n"/>
      <c r="G32" s="121" t="n"/>
      <c r="H32" s="121" t="n"/>
      <c r="I32" s="121" t="n"/>
      <c r="J32" s="122" t="n"/>
      <c r="K32" s="121" t="n"/>
      <c r="L32" s="121" t="n"/>
      <c r="M32" s="121" t="n"/>
      <c r="N32" s="121" t="n"/>
      <c r="O32" s="121" t="n"/>
      <c r="P32" s="121" t="n"/>
      <c r="Q32" s="122" t="n"/>
      <c r="R32" s="121" t="n"/>
      <c r="S32" s="121" t="n"/>
      <c r="T32" s="121" t="n"/>
      <c r="U32" s="121" t="n"/>
      <c r="V32" s="121" t="n"/>
      <c r="W32" s="121" t="n"/>
      <c r="X32" s="122" t="n"/>
      <c r="Y32" s="121" t="n"/>
      <c r="Z32" s="121" t="n"/>
      <c r="AA32" s="121" t="n"/>
      <c r="AB32" s="121" t="n"/>
      <c r="AC32" s="121" t="n"/>
      <c r="AD32" s="121" t="n"/>
      <c r="AE32" s="122" t="n"/>
      <c r="AF32" s="121" t="n"/>
      <c r="AG32" s="121" t="n"/>
      <c r="AH32" s="121" t="n"/>
      <c r="AI32" s="121" t="n"/>
      <c r="AJ32" s="123">
        <f>IF(ISBLANK(B32), "", IF(ISNUMBER(D32), IF(D32&gt;0, (COUNTIF(E32:AI32, "✓") + COUNTIF(E32:AI32, "✔") + COUNTIF(E32:AI32, "v") + COUNTIF(E32:AI32, "V"))/D32, 0), IF(((COUNTIF(E32:AI32, "✓") + COUNTIF(E32:AI32, "✔") + COUNTIF(E32:AI32, "v") + COUNTIF(E32:AI32, "V")) + COUNTIF(E32:AI32, "✗") + COUNTIF(E32:AI32, "x") + COUNTIF(E32:AI32, "X"))&gt;0, (COUNTIF(E32:AI32, "✓") + COUNTIF(E32:AI32, "✔") + COUNTIF(E32:AI32, "v") + COUNTIF(E32:AI32, "V"))/((COUNTIF(E32:AI32, "✓") + COUNTIF(E32:AI32, "✔") + COUNTIF(E32:AI32, "v") + COUNTIF(E32:AI32, "V")) + COUNTIF(E32:AI32, "✗") + COUNTIF(E32:AI32, "x") + COUNTIF(E32:AI32, "X")), "")))</f>
        <v/>
      </c>
      <c r="AK32" s="124">
        <f>IF(ISBLANK(B32), "", IF(ISNUMBER(D32), IF(D32&gt;0, (COUNTIF(E32:AI32, "✓") + COUNTIF(E32:AI32, "✔") + COUNTIF(E32:AI32, "v") + COUNTIF(E32:AI32, "V")) &amp; "/" &amp; D32, (COUNTIF(E32:AI32, "✓") + COUNTIF(E32:AI32, "✔") + COUNTIF(E32:AI32, "v") + COUNTIF(E32:AI32, "V")) &amp; "/0"), IF(((COUNTIF(E32:AI32, "✓") + COUNTIF(E32:AI32, "✔") + COUNTIF(E32:AI32, "v") + COUNTIF(E32:AI32, "V")) + COUNTIF(E32:AI32, "✗") + COUNTIF(E32:AI32, "x") + COUNTIF(E32:AI32, "X"))&gt;0, (COUNTIF(E32:AI32, "✓") + COUNTIF(E32:AI32, "✔") + COUNTIF(E32:AI32, "v") + COUNTIF(E32:AI32, "V")) &amp; "/" &amp; ((COUNTIF(E32:AI32, "✓") + COUNTIF(E32:AI32, "✔") + COUNTIF(E32:AI32, "v") + COUNTIF(E32:AI32, "V")) + COUNTIF(E32:AI32, "✗") + COUNTIF(E32:AI32, "x") + COUNTIF(E32:AI32, "X")), "")))</f>
        <v/>
      </c>
      <c r="AL32" s="124">
        <f>IF(ISBLANK(B32), "", IF(AJ32&gt;=0.85, "🔥 Mastered", IF(AJ32&gt;=0.7, "⚡ Consistent", "⚠️ Needs Focus")))</f>
        <v/>
      </c>
      <c r="AM32">
        <f>COUNTIF(E32:AI32, "✓")</f>
        <v/>
      </c>
    </row>
    <row r="33" ht="14.5" customHeight="1">
      <c r="A33" s="118" t="n">
        <v>16</v>
      </c>
      <c r="B33" s="119" t="n"/>
      <c r="C33" s="120" t="n"/>
      <c r="D33" s="120" t="n"/>
      <c r="E33" s="121" t="n"/>
      <c r="F33" s="121" t="n"/>
      <c r="G33" s="121" t="n"/>
      <c r="H33" s="121" t="n"/>
      <c r="I33" s="121" t="n"/>
      <c r="J33" s="122" t="n"/>
      <c r="K33" s="121" t="n"/>
      <c r="L33" s="121" t="n"/>
      <c r="M33" s="121" t="n"/>
      <c r="N33" s="121" t="n"/>
      <c r="O33" s="121" t="n"/>
      <c r="P33" s="121" t="n"/>
      <c r="Q33" s="122" t="n"/>
      <c r="R33" s="121" t="n"/>
      <c r="S33" s="121" t="n"/>
      <c r="T33" s="121" t="n"/>
      <c r="U33" s="121" t="n"/>
      <c r="V33" s="121" t="n"/>
      <c r="W33" s="121" t="n"/>
      <c r="X33" s="122" t="n"/>
      <c r="Y33" s="121" t="n"/>
      <c r="Z33" s="121" t="n"/>
      <c r="AA33" s="121" t="n"/>
      <c r="AB33" s="121" t="n"/>
      <c r="AC33" s="121" t="n"/>
      <c r="AD33" s="121" t="n"/>
      <c r="AE33" s="122" t="n"/>
      <c r="AF33" s="121" t="n"/>
      <c r="AG33" s="121" t="n"/>
      <c r="AH33" s="121" t="n"/>
      <c r="AI33" s="121" t="n"/>
      <c r="AJ33" s="123">
        <f>IF(ISBLANK(B33), "", IF(ISNUMBER(D33), IF(D33&gt;0, (COUNTIF(E33:AI33, "✓") + COUNTIF(E33:AI33, "✔") + COUNTIF(E33:AI33, "v") + COUNTIF(E33:AI33, "V"))/D33, 0), IF(((COUNTIF(E33:AI33, "✓") + COUNTIF(E33:AI33, "✔") + COUNTIF(E33:AI33, "v") + COUNTIF(E33:AI33, "V")) + COUNTIF(E33:AI33, "✗") + COUNTIF(E33:AI33, "x") + COUNTIF(E33:AI33, "X"))&gt;0, (COUNTIF(E33:AI33, "✓") + COUNTIF(E33:AI33, "✔") + COUNTIF(E33:AI33, "v") + COUNTIF(E33:AI33, "V"))/((COUNTIF(E33:AI33, "✓") + COUNTIF(E33:AI33, "✔") + COUNTIF(E33:AI33, "v") + COUNTIF(E33:AI33, "V")) + COUNTIF(E33:AI33, "✗") + COUNTIF(E33:AI33, "x") + COUNTIF(E33:AI33, "X")), "")))</f>
        <v/>
      </c>
      <c r="AK33" s="124">
        <f>IF(ISBLANK(B33), "", IF(ISNUMBER(D33), IF(D33&gt;0, (COUNTIF(E33:AI33, "✓") + COUNTIF(E33:AI33, "✔") + COUNTIF(E33:AI33, "v") + COUNTIF(E33:AI33, "V")) &amp; "/" &amp; D33, (COUNTIF(E33:AI33, "✓") + COUNTIF(E33:AI33, "✔") + COUNTIF(E33:AI33, "v") + COUNTIF(E33:AI33, "V")) &amp; "/0"), IF(((COUNTIF(E33:AI33, "✓") + COUNTIF(E33:AI33, "✔") + COUNTIF(E33:AI33, "v") + COUNTIF(E33:AI33, "V")) + COUNTIF(E33:AI33, "✗") + COUNTIF(E33:AI33, "x") + COUNTIF(E33:AI33, "X"))&gt;0, (COUNTIF(E33:AI33, "✓") + COUNTIF(E33:AI33, "✔") + COUNTIF(E33:AI33, "v") + COUNTIF(E33:AI33, "V")) &amp; "/" &amp; ((COUNTIF(E33:AI33, "✓") + COUNTIF(E33:AI33, "✔") + COUNTIF(E33:AI33, "v") + COUNTIF(E33:AI33, "V")) + COUNTIF(E33:AI33, "✗") + COUNTIF(E33:AI33, "x") + COUNTIF(E33:AI33, "X")), "")))</f>
        <v/>
      </c>
      <c r="AL33" s="124">
        <f>IF(ISBLANK(B33), "", IF(AJ33&gt;=0.85, "🔥 Mastered", IF(AJ33&gt;=0.7, "⚡ Consistent", "⚠️ Needs Focus")))</f>
        <v/>
      </c>
      <c r="AM33">
        <f>COUNTIF(E33:AI33, "✓")</f>
        <v/>
      </c>
    </row>
    <row r="34" ht="14.5" customHeight="1">
      <c r="A34" s="125" t="n">
        <v>17</v>
      </c>
      <c r="B34" s="126" t="n"/>
      <c r="C34" s="127" t="n"/>
      <c r="D34" s="127" t="n"/>
      <c r="E34" s="128" t="n"/>
      <c r="F34" s="128" t="n"/>
      <c r="G34" s="128" t="n"/>
      <c r="H34" s="128" t="n"/>
      <c r="I34" s="128" t="n"/>
      <c r="J34" s="129" t="n"/>
      <c r="K34" s="128" t="n"/>
      <c r="L34" s="128" t="n"/>
      <c r="M34" s="128" t="n"/>
      <c r="N34" s="128" t="n"/>
      <c r="O34" s="128" t="n"/>
      <c r="P34" s="128" t="n"/>
      <c r="Q34" s="129" t="n"/>
      <c r="R34" s="128" t="n"/>
      <c r="S34" s="128" t="n"/>
      <c r="T34" s="128" t="n"/>
      <c r="U34" s="128" t="n"/>
      <c r="V34" s="128" t="n"/>
      <c r="W34" s="128" t="n"/>
      <c r="X34" s="129" t="n"/>
      <c r="Y34" s="128" t="n"/>
      <c r="Z34" s="128" t="n"/>
      <c r="AA34" s="128" t="n"/>
      <c r="AB34" s="128" t="n"/>
      <c r="AC34" s="128" t="n"/>
      <c r="AD34" s="128" t="n"/>
      <c r="AE34" s="129" t="n"/>
      <c r="AF34" s="128" t="n"/>
      <c r="AG34" s="128" t="n"/>
      <c r="AH34" s="128" t="n"/>
      <c r="AI34" s="128" t="n"/>
      <c r="AJ34" s="130">
        <f>IF(ISBLANK(B34), "", IF(ISNUMBER(D34), IF(D34&gt;0, (COUNTIF(E34:AI34, "✓") + COUNTIF(E34:AI34, "✔") + COUNTIF(E34:AI34, "v") + COUNTIF(E34:AI34, "V"))/D34, 0), IF(((COUNTIF(E34:AI34, "✓") + COUNTIF(E34:AI34, "✔") + COUNTIF(E34:AI34, "v") + COUNTIF(E34:AI34, "V")) + COUNTIF(E34:AI34, "✗") + COUNTIF(E34:AI34, "x") + COUNTIF(E34:AI34, "X"))&gt;0, (COUNTIF(E34:AI34, "✓") + COUNTIF(E34:AI34, "✔") + COUNTIF(E34:AI34, "v") + COUNTIF(E34:AI34, "V"))/((COUNTIF(E34:AI34, "✓") + COUNTIF(E34:AI34, "✔") + COUNTIF(E34:AI34, "v") + COUNTIF(E34:AI34, "V")) + COUNTIF(E34:AI34, "✗") + COUNTIF(E34:AI34, "x") + COUNTIF(E34:AI34, "X")), "")))</f>
        <v/>
      </c>
      <c r="AK34" s="131">
        <f>IF(ISBLANK(B34), "", IF(ISNUMBER(D34), IF(D34&gt;0, (COUNTIF(E34:AI34, "✓") + COUNTIF(E34:AI34, "✔") + COUNTIF(E34:AI34, "v") + COUNTIF(E34:AI34, "V")) &amp; "/" &amp; D34, (COUNTIF(E34:AI34, "✓") + COUNTIF(E34:AI34, "✔") + COUNTIF(E34:AI34, "v") + COUNTIF(E34:AI34, "V")) &amp; "/0"), IF(((COUNTIF(E34:AI34, "✓") + COUNTIF(E34:AI34, "✔") + COUNTIF(E34:AI34, "v") + COUNTIF(E34:AI34, "V")) + COUNTIF(E34:AI34, "✗") + COUNTIF(E34:AI34, "x") + COUNTIF(E34:AI34, "X"))&gt;0, (COUNTIF(E34:AI34, "✓") + COUNTIF(E34:AI34, "✔") + COUNTIF(E34:AI34, "v") + COUNTIF(E34:AI34, "V")) &amp; "/" &amp; ((COUNTIF(E34:AI34, "✓") + COUNTIF(E34:AI34, "✔") + COUNTIF(E34:AI34, "v") + COUNTIF(E34:AI34, "V")) + COUNTIF(E34:AI34, "✗") + COUNTIF(E34:AI34, "x") + COUNTIF(E34:AI34, "X")), "")))</f>
        <v/>
      </c>
      <c r="AL34" s="131">
        <f>IF(ISBLANK(B34), "", IF(AJ34&gt;=0.85, "🔥 Mastered", IF(AJ34&gt;=0.7, "⚡ Consistent", "⚠️ Needs Focus")))</f>
        <v/>
      </c>
      <c r="AM34">
        <f>COUNTIF(E34:AI34, "✓")</f>
        <v/>
      </c>
    </row>
    <row r="35" ht="14.5" customHeight="1">
      <c r="A35" s="125" t="n">
        <v>18</v>
      </c>
      <c r="B35" s="126" t="n"/>
      <c r="C35" s="127" t="n"/>
      <c r="D35" s="127" t="n"/>
      <c r="E35" s="128" t="n"/>
      <c r="F35" s="128" t="n"/>
      <c r="G35" s="128" t="n"/>
      <c r="H35" s="128" t="n"/>
      <c r="I35" s="128" t="n"/>
      <c r="J35" s="129" t="n"/>
      <c r="K35" s="128" t="n"/>
      <c r="L35" s="128" t="n"/>
      <c r="M35" s="128" t="n"/>
      <c r="N35" s="128" t="n"/>
      <c r="O35" s="128" t="n"/>
      <c r="P35" s="128" t="n"/>
      <c r="Q35" s="129" t="n"/>
      <c r="R35" s="128" t="n"/>
      <c r="S35" s="128" t="n"/>
      <c r="T35" s="128" t="n"/>
      <c r="U35" s="128" t="n"/>
      <c r="V35" s="128" t="n"/>
      <c r="W35" s="128" t="n"/>
      <c r="X35" s="129" t="n"/>
      <c r="Y35" s="128" t="n"/>
      <c r="Z35" s="128" t="n"/>
      <c r="AA35" s="128" t="n"/>
      <c r="AB35" s="128" t="n"/>
      <c r="AC35" s="128" t="n"/>
      <c r="AD35" s="128" t="n"/>
      <c r="AE35" s="129" t="n"/>
      <c r="AF35" s="128" t="n"/>
      <c r="AG35" s="128" t="n"/>
      <c r="AH35" s="128" t="n"/>
      <c r="AI35" s="128" t="n"/>
      <c r="AJ35" s="130">
        <f>IF(ISBLANK(B35), "", IF(ISNUMBER(D35), IF(D35&gt;0, (COUNTIF(E35:AI35, "✓") + COUNTIF(E35:AI35, "✔") + COUNTIF(E35:AI35, "v") + COUNTIF(E35:AI35, "V"))/D35, 0), IF(((COUNTIF(E35:AI35, "✓") + COUNTIF(E35:AI35, "✔") + COUNTIF(E35:AI35, "v") + COUNTIF(E35:AI35, "V")) + COUNTIF(E35:AI35, "✗") + COUNTIF(E35:AI35, "x") + COUNTIF(E35:AI35, "X"))&gt;0, (COUNTIF(E35:AI35, "✓") + COUNTIF(E35:AI35, "✔") + COUNTIF(E35:AI35, "v") + COUNTIF(E35:AI35, "V"))/((COUNTIF(E35:AI35, "✓") + COUNTIF(E35:AI35, "✔") + COUNTIF(E35:AI35, "v") + COUNTIF(E35:AI35, "V")) + COUNTIF(E35:AI35, "✗") + COUNTIF(E35:AI35, "x") + COUNTIF(E35:AI35, "X")), "")))</f>
        <v/>
      </c>
      <c r="AK35" s="131">
        <f>IF(ISBLANK(B35), "", IF(ISNUMBER(D35), IF(D35&gt;0, (COUNTIF(E35:AI35, "✓") + COUNTIF(E35:AI35, "✔") + COUNTIF(E35:AI35, "v") + COUNTIF(E35:AI35, "V")) &amp; "/" &amp; D35, (COUNTIF(E35:AI35, "✓") + COUNTIF(E35:AI35, "✔") + COUNTIF(E35:AI35, "v") + COUNTIF(E35:AI35, "V")) &amp; "/0"), IF(((COUNTIF(E35:AI35, "✓") + COUNTIF(E35:AI35, "✔") + COUNTIF(E35:AI35, "v") + COUNTIF(E35:AI35, "V")) + COUNTIF(E35:AI35, "✗") + COUNTIF(E35:AI35, "x") + COUNTIF(E35:AI35, "X"))&gt;0, (COUNTIF(E35:AI35, "✓") + COUNTIF(E35:AI35, "✔") + COUNTIF(E35:AI35, "v") + COUNTIF(E35:AI35, "V")) &amp; "/" &amp; ((COUNTIF(E35:AI35, "✓") + COUNTIF(E35:AI35, "✔") + COUNTIF(E35:AI35, "v") + COUNTIF(E35:AI35, "V")) + COUNTIF(E35:AI35, "✗") + COUNTIF(E35:AI35, "x") + COUNTIF(E35:AI35, "X")), "")))</f>
        <v/>
      </c>
      <c r="AL35" s="131">
        <f>IF(ISBLANK(B35), "", IF(AJ35&gt;=0.85, "🔥 Mastered", IF(AJ35&gt;=0.7, "⚡ Consistent", "⚠️ Needs Focus")))</f>
        <v/>
      </c>
      <c r="AM35">
        <f>COUNTIF(E35:AI35, "✓")</f>
        <v/>
      </c>
    </row>
    <row r="36" ht="14.5" customHeight="1">
      <c r="A36" s="125" t="n">
        <v>19</v>
      </c>
      <c r="B36" s="126" t="n"/>
      <c r="C36" s="127" t="n"/>
      <c r="D36" s="127" t="n"/>
      <c r="E36" s="128" t="n"/>
      <c r="F36" s="128" t="n"/>
      <c r="G36" s="128" t="n"/>
      <c r="H36" s="128" t="n"/>
      <c r="I36" s="128" t="n"/>
      <c r="J36" s="129" t="n"/>
      <c r="K36" s="128" t="n"/>
      <c r="L36" s="128" t="n"/>
      <c r="M36" s="128" t="n"/>
      <c r="N36" s="128" t="n"/>
      <c r="O36" s="128" t="n"/>
      <c r="P36" s="128" t="n"/>
      <c r="Q36" s="129" t="n"/>
      <c r="R36" s="128" t="n"/>
      <c r="S36" s="128" t="n"/>
      <c r="T36" s="128" t="n"/>
      <c r="U36" s="128" t="n"/>
      <c r="V36" s="128" t="n"/>
      <c r="W36" s="128" t="n"/>
      <c r="X36" s="129" t="n"/>
      <c r="Y36" s="128" t="n"/>
      <c r="Z36" s="128" t="n"/>
      <c r="AA36" s="128" t="n"/>
      <c r="AB36" s="128" t="n"/>
      <c r="AC36" s="128" t="n"/>
      <c r="AD36" s="128" t="n"/>
      <c r="AE36" s="129" t="n"/>
      <c r="AF36" s="128" t="n"/>
      <c r="AG36" s="128" t="n"/>
      <c r="AH36" s="128" t="n"/>
      <c r="AI36" s="128" t="n"/>
      <c r="AJ36" s="130">
        <f>IF(ISBLANK(B36), "", IF(ISNUMBER(D36), IF(D36&gt;0, (COUNTIF(E36:AI36, "✓") + COUNTIF(E36:AI36, "✔") + COUNTIF(E36:AI36, "v") + COUNTIF(E36:AI36, "V"))/D36, 0), IF(((COUNTIF(E36:AI36, "✓") + COUNTIF(E36:AI36, "✔") + COUNTIF(E36:AI36, "v") + COUNTIF(E36:AI36, "V")) + COUNTIF(E36:AI36, "✗") + COUNTIF(E36:AI36, "x") + COUNTIF(E36:AI36, "X"))&gt;0, (COUNTIF(E36:AI36, "✓") + COUNTIF(E36:AI36, "✔") + COUNTIF(E36:AI36, "v") + COUNTIF(E36:AI36, "V"))/((COUNTIF(E36:AI36, "✓") + COUNTIF(E36:AI36, "✔") + COUNTIF(E36:AI36, "v") + COUNTIF(E36:AI36, "V")) + COUNTIF(E36:AI36, "✗") + COUNTIF(E36:AI36, "x") + COUNTIF(E36:AI36, "X")), "")))</f>
        <v/>
      </c>
      <c r="AK36" s="131">
        <f>IF(ISBLANK(B36), "", IF(ISNUMBER(D36), IF(D36&gt;0, (COUNTIF(E36:AI36, "✓") + COUNTIF(E36:AI36, "✔") + COUNTIF(E36:AI36, "v") + COUNTIF(E36:AI36, "V")) &amp; "/" &amp; D36, (COUNTIF(E36:AI36, "✓") + COUNTIF(E36:AI36, "✔") + COUNTIF(E36:AI36, "v") + COUNTIF(E36:AI36, "V")) &amp; "/0"), IF(((COUNTIF(E36:AI36, "✓") + COUNTIF(E36:AI36, "✔") + COUNTIF(E36:AI36, "v") + COUNTIF(E36:AI36, "V")) + COUNTIF(E36:AI36, "✗") + COUNTIF(E36:AI36, "x") + COUNTIF(E36:AI36, "X"))&gt;0, (COUNTIF(E36:AI36, "✓") + COUNTIF(E36:AI36, "✔") + COUNTIF(E36:AI36, "v") + COUNTIF(E36:AI36, "V")) &amp; "/" &amp; ((COUNTIF(E36:AI36, "✓") + COUNTIF(E36:AI36, "✔") + COUNTIF(E36:AI36, "v") + COUNTIF(E36:AI36, "V")) + COUNTIF(E36:AI36, "✗") + COUNTIF(E36:AI36, "x") + COUNTIF(E36:AI36, "X")), "")))</f>
        <v/>
      </c>
      <c r="AL36" s="131">
        <f>IF(ISBLANK(B36), "", IF(AJ36&gt;=0.85, "🔥 Mastered", IF(AJ36&gt;=0.7, "⚡ Consistent", "⚠️ Needs Focus")))</f>
        <v/>
      </c>
      <c r="AM36">
        <f>COUNTIF(E36:AI36, "✓")</f>
        <v/>
      </c>
    </row>
    <row r="37" ht="14.5" customHeight="1">
      <c r="A37" s="125" t="n">
        <v>20</v>
      </c>
      <c r="B37" s="126" t="n"/>
      <c r="C37" s="127" t="n"/>
      <c r="D37" s="127" t="n"/>
      <c r="E37" s="128" t="n"/>
      <c r="F37" s="128" t="n"/>
      <c r="G37" s="128" t="n"/>
      <c r="H37" s="128" t="n"/>
      <c r="I37" s="128" t="n"/>
      <c r="J37" s="129" t="n"/>
      <c r="K37" s="128" t="n"/>
      <c r="L37" s="128" t="n"/>
      <c r="M37" s="128" t="n"/>
      <c r="N37" s="128" t="n"/>
      <c r="O37" s="128" t="n"/>
      <c r="P37" s="128" t="n"/>
      <c r="Q37" s="129" t="n"/>
      <c r="R37" s="128" t="n"/>
      <c r="S37" s="128" t="n"/>
      <c r="T37" s="128" t="n"/>
      <c r="U37" s="128" t="n"/>
      <c r="V37" s="128" t="n"/>
      <c r="W37" s="128" t="n"/>
      <c r="X37" s="129" t="n"/>
      <c r="Y37" s="128" t="n"/>
      <c r="Z37" s="128" t="n"/>
      <c r="AA37" s="128" t="n"/>
      <c r="AB37" s="128" t="n"/>
      <c r="AC37" s="128" t="n"/>
      <c r="AD37" s="128" t="n"/>
      <c r="AE37" s="129" t="n"/>
      <c r="AF37" s="128" t="n"/>
      <c r="AG37" s="128" t="n"/>
      <c r="AH37" s="128" t="n"/>
      <c r="AI37" s="128" t="n"/>
      <c r="AJ37" s="130">
        <f>IF(ISBLANK(B37), "", IF(ISNUMBER(D37), IF(D37&gt;0, (COUNTIF(E37:AI37, "✓") + COUNTIF(E37:AI37, "✔") + COUNTIF(E37:AI37, "v") + COUNTIF(E37:AI37, "V"))/D37, 0), IF(((COUNTIF(E37:AI37, "✓") + COUNTIF(E37:AI37, "✔") + COUNTIF(E37:AI37, "v") + COUNTIF(E37:AI37, "V")) + COUNTIF(E37:AI37, "✗") + COUNTIF(E37:AI37, "x") + COUNTIF(E37:AI37, "X"))&gt;0, (COUNTIF(E37:AI37, "✓") + COUNTIF(E37:AI37, "✔") + COUNTIF(E37:AI37, "v") + COUNTIF(E37:AI37, "V"))/((COUNTIF(E37:AI37, "✓") + COUNTIF(E37:AI37, "✔") + COUNTIF(E37:AI37, "v") + COUNTIF(E37:AI37, "V")) + COUNTIF(E37:AI37, "✗") + COUNTIF(E37:AI37, "x") + COUNTIF(E37:AI37, "X")), "")))</f>
        <v/>
      </c>
      <c r="AK37" s="131">
        <f>IF(ISBLANK(B37), "", IF(ISNUMBER(D37), IF(D37&gt;0, (COUNTIF(E37:AI37, "✓") + COUNTIF(E37:AI37, "✔") + COUNTIF(E37:AI37, "v") + COUNTIF(E37:AI37, "V")) &amp; "/" &amp; D37, (COUNTIF(E37:AI37, "✓") + COUNTIF(E37:AI37, "✔") + COUNTIF(E37:AI37, "v") + COUNTIF(E37:AI37, "V")) &amp; "/0"), IF(((COUNTIF(E37:AI37, "✓") + COUNTIF(E37:AI37, "✔") + COUNTIF(E37:AI37, "v") + COUNTIF(E37:AI37, "V")) + COUNTIF(E37:AI37, "✗") + COUNTIF(E37:AI37, "x") + COUNTIF(E37:AI37, "X"))&gt;0, (COUNTIF(E37:AI37, "✓") + COUNTIF(E37:AI37, "✔") + COUNTIF(E37:AI37, "v") + COUNTIF(E37:AI37, "V")) &amp; "/" &amp; ((COUNTIF(E37:AI37, "✓") + COUNTIF(E37:AI37, "✔") + COUNTIF(E37:AI37, "v") + COUNTIF(E37:AI37, "V")) + COUNTIF(E37:AI37, "✗") + COUNTIF(E37:AI37, "x") + COUNTIF(E37:AI37, "X")), "")))</f>
        <v/>
      </c>
      <c r="AL37" s="131">
        <f>IF(ISBLANK(B37), "", IF(AJ37&gt;=0.85, "🔥 Mastered", IF(AJ37&gt;=0.7, "⚡ Consistent", "⚠️ Needs Focus")))</f>
        <v/>
      </c>
      <c r="AM37">
        <f>COUNTIF(E37:AI37, "✓")</f>
        <v/>
      </c>
    </row>
    <row r="38" ht="18" customHeight="1">
      <c r="A38" s="132" t="inlineStr">
        <is>
          <t>DAILY TOTAL SCORE</t>
        </is>
      </c>
      <c r="B38" s="54" t="n"/>
      <c r="C38" s="54" t="n"/>
      <c r="D38" s="54" t="n"/>
      <c r="E38" s="33">
        <f>IF(((COUNTIF(E18:E37, "✓") + COUNTIF(E18:E37, "✔") + COUNTIF(E18:E37, "v") + COUNTIF(E18:E37, "V")) + COUNTIF(E18:E37, "✗") + COUNTIF(E18:E37, "x") + COUNTIF(E18:E37, "X")) &gt; 0, (COUNTIF(E18:E37, "✓") + COUNTIF(E18:E37, "✔") + COUNTIF(E18:E37, "v") + COUNTIF(E18:E37, "V")) &amp; "/" &amp; ((COUNTIF(E18:E37, "✓") + COUNTIF(E18:E37, "✔") + COUNTIF(E18:E37, "v") + COUNTIF(E18:E37, "V")) + COUNTIF(E18:E37, "✗") + COUNTIF(E18:E37, "x") + COUNTIF(E18:E37, "X")), "")</f>
        <v/>
      </c>
      <c r="F38" s="33">
        <f>IF(((COUNTIF(F18:F37, "✓") + COUNTIF(F18:F37, "✔") + COUNTIF(F18:F37, "v") + COUNTIF(F18:F37, "V")) + COUNTIF(F18:F37, "✗") + COUNTIF(F18:F37, "x") + COUNTIF(F18:F37, "X")) &gt; 0, (COUNTIF(F18:F37, "✓") + COUNTIF(F18:F37, "✔") + COUNTIF(F18:F37, "v") + COUNTIF(F18:F37, "V")) &amp; "/" &amp; ((COUNTIF(F18:F37, "✓") + COUNTIF(F18:F37, "✔") + COUNTIF(F18:F37, "v") + COUNTIF(F18:F37, "V")) + COUNTIF(F18:F37, "✗") + COUNTIF(F18:F37, "x") + COUNTIF(F18:F37, "X")), "")</f>
        <v/>
      </c>
      <c r="G38" s="33">
        <f>IF(((COUNTIF(G18:G37, "✓") + COUNTIF(G18:G37, "✔") + COUNTIF(G18:G37, "v") + COUNTIF(G18:G37, "V")) + COUNTIF(G18:G37, "✗") + COUNTIF(G18:G37, "x") + COUNTIF(G18:G37, "X")) &gt; 0, (COUNTIF(G18:G37, "✓") + COUNTIF(G18:G37, "✔") + COUNTIF(G18:G37, "v") + COUNTIF(G18:G37, "V")) &amp; "/" &amp; ((COUNTIF(G18:G37, "✓") + COUNTIF(G18:G37, "✔") + COUNTIF(G18:G37, "v") + COUNTIF(G18:G37, "V")) + COUNTIF(G18:G37, "✗") + COUNTIF(G18:G37, "x") + COUNTIF(G18:G37, "X")), "")</f>
        <v/>
      </c>
      <c r="H38" s="33">
        <f>IF(((COUNTIF(H18:H37, "✓") + COUNTIF(H18:H37, "✔") + COUNTIF(H18:H37, "v") + COUNTIF(H18:H37, "V")) + COUNTIF(H18:H37, "✗") + COUNTIF(H18:H37, "x") + COUNTIF(H18:H37, "X")) &gt; 0, (COUNTIF(H18:H37, "✓") + COUNTIF(H18:H37, "✔") + COUNTIF(H18:H37, "v") + COUNTIF(H18:H37, "V")) &amp; "/" &amp; ((COUNTIF(H18:H37, "✓") + COUNTIF(H18:H37, "✔") + COUNTIF(H18:H37, "v") + COUNTIF(H18:H37, "V")) + COUNTIF(H18:H37, "✗") + COUNTIF(H18:H37, "x") + COUNTIF(H18:H37, "X")), "")</f>
        <v/>
      </c>
      <c r="I38" s="33">
        <f>IF(((COUNTIF(I18:I37, "✓") + COUNTIF(I18:I37, "✔") + COUNTIF(I18:I37, "v") + COUNTIF(I18:I37, "V")) + COUNTIF(I18:I37, "✗") + COUNTIF(I18:I37, "x") + COUNTIF(I18:I37, "X")) &gt; 0, (COUNTIF(I18:I37, "✓") + COUNTIF(I18:I37, "✔") + COUNTIF(I18:I37, "v") + COUNTIF(I18:I37, "V")) &amp; "/" &amp; ((COUNTIF(I18:I37, "✓") + COUNTIF(I18:I37, "✔") + COUNTIF(I18:I37, "v") + COUNTIF(I18:I37, "V")) + COUNTIF(I18:I37, "✗") + COUNTIF(I18:I37, "x") + COUNTIF(I18:I37, "X")), "")</f>
        <v/>
      </c>
      <c r="J38" s="33">
        <f>IF(((COUNTIF(J18:J37, "✓") + COUNTIF(J18:J37, "✔") + COUNTIF(J18:J37, "v") + COUNTIF(J18:J37, "V")) + COUNTIF(J18:J37, "✗") + COUNTIF(J18:J37, "x") + COUNTIF(J18:J37, "X")) &gt; 0, (COUNTIF(J18:J37, "✓") + COUNTIF(J18:J37, "✔") + COUNTIF(J18:J37, "v") + COUNTIF(J18:J37, "V")) &amp; "/" &amp; ((COUNTIF(J18:J37, "✓") + COUNTIF(J18:J37, "✔") + COUNTIF(J18:J37, "v") + COUNTIF(J18:J37, "V")) + COUNTIF(J18:J37, "✗") + COUNTIF(J18:J37, "x") + COUNTIF(J18:J37, "X")), "")</f>
        <v/>
      </c>
      <c r="K38" s="33">
        <f>IF(((COUNTIF(K18:K37, "✓") + COUNTIF(K18:K37, "✔") + COUNTIF(K18:K37, "v") + COUNTIF(K18:K37, "V")) + COUNTIF(K18:K37, "✗") + COUNTIF(K18:K37, "x") + COUNTIF(K18:K37, "X")) &gt; 0, (COUNTIF(K18:K37, "✓") + COUNTIF(K18:K37, "✔") + COUNTIF(K18:K37, "v") + COUNTIF(K18:K37, "V")) &amp; "/" &amp; ((COUNTIF(K18:K37, "✓") + COUNTIF(K18:K37, "✔") + COUNTIF(K18:K37, "v") + COUNTIF(K18:K37, "V")) + COUNTIF(K18:K37, "✗") + COUNTIF(K18:K37, "x") + COUNTIF(K18:K37, "X")), "")</f>
        <v/>
      </c>
      <c r="L38" s="33">
        <f>IF(((COUNTIF(L18:L37, "✓") + COUNTIF(L18:L37, "✔") + COUNTIF(L18:L37, "v") + COUNTIF(L18:L37, "V")) + COUNTIF(L18:L37, "✗") + COUNTIF(L18:L37, "x") + COUNTIF(L18:L37, "X")) &gt; 0, (COUNTIF(L18:L37, "✓") + COUNTIF(L18:L37, "✔") + COUNTIF(L18:L37, "v") + COUNTIF(L18:L37, "V")) &amp; "/" &amp; ((COUNTIF(L18:L37, "✓") + COUNTIF(L18:L37, "✔") + COUNTIF(L18:L37, "v") + COUNTIF(L18:L37, "V")) + COUNTIF(L18:L37, "✗") + COUNTIF(L18:L37, "x") + COUNTIF(L18:L37, "X")), "")</f>
        <v/>
      </c>
      <c r="M38" s="33">
        <f>IF(((COUNTIF(M18:M37, "✓") + COUNTIF(M18:M37, "✔") + COUNTIF(M18:M37, "v") + COUNTIF(M18:M37, "V")) + COUNTIF(M18:M37, "✗") + COUNTIF(M18:M37, "x") + COUNTIF(M18:M37, "X")) &gt; 0, (COUNTIF(M18:M37, "✓") + COUNTIF(M18:M37, "✔") + COUNTIF(M18:M37, "v") + COUNTIF(M18:M37, "V")) &amp; "/" &amp; ((COUNTIF(M18:M37, "✓") + COUNTIF(M18:M37, "✔") + COUNTIF(M18:M37, "v") + COUNTIF(M18:M37, "V")) + COUNTIF(M18:M37, "✗") + COUNTIF(M18:M37, "x") + COUNTIF(M18:M37, "X")), "")</f>
        <v/>
      </c>
      <c r="N38" s="33">
        <f>IF(((COUNTIF(N18:N37, "✓") + COUNTIF(N18:N37, "✔") + COUNTIF(N18:N37, "v") + COUNTIF(N18:N37, "V")) + COUNTIF(N18:N37, "✗") + COUNTIF(N18:N37, "x") + COUNTIF(N18:N37, "X")) &gt; 0, (COUNTIF(N18:N37, "✓") + COUNTIF(N18:N37, "✔") + COUNTIF(N18:N37, "v") + COUNTIF(N18:N37, "V")) &amp; "/" &amp; ((COUNTIF(N18:N37, "✓") + COUNTIF(N18:N37, "✔") + COUNTIF(N18:N37, "v") + COUNTIF(N18:N37, "V")) + COUNTIF(N18:N37, "✗") + COUNTIF(N18:N37, "x") + COUNTIF(N18:N37, "X")), "")</f>
        <v/>
      </c>
      <c r="O38" s="33">
        <f>IF(((COUNTIF(O18:O37, "✓") + COUNTIF(O18:O37, "✔") + COUNTIF(O18:O37, "v") + COUNTIF(O18:O37, "V")) + COUNTIF(O18:O37, "✗") + COUNTIF(O18:O37, "x") + COUNTIF(O18:O37, "X")) &gt; 0, (COUNTIF(O18:O37, "✓") + COUNTIF(O18:O37, "✔") + COUNTIF(O18:O37, "v") + COUNTIF(O18:O37, "V")) &amp; "/" &amp; ((COUNTIF(O18:O37, "✓") + COUNTIF(O18:O37, "✔") + COUNTIF(O18:O37, "v") + COUNTIF(O18:O37, "V")) + COUNTIF(O18:O37, "✗") + COUNTIF(O18:O37, "x") + COUNTIF(O18:O37, "X")), "")</f>
        <v/>
      </c>
      <c r="P38" s="33">
        <f>IF(((COUNTIF(P18:P37, "✓") + COUNTIF(P18:P37, "✔") + COUNTIF(P18:P37, "v") + COUNTIF(P18:P37, "V")) + COUNTIF(P18:P37, "✗") + COUNTIF(P18:P37, "x") + COUNTIF(P18:P37, "X")) &gt; 0, (COUNTIF(P18:P37, "✓") + COUNTIF(P18:P37, "✔") + COUNTIF(P18:P37, "v") + COUNTIF(P18:P37, "V")) &amp; "/" &amp; ((COUNTIF(P18:P37, "✓") + COUNTIF(P18:P37, "✔") + COUNTIF(P18:P37, "v") + COUNTIF(P18:P37, "V")) + COUNTIF(P18:P37, "✗") + COUNTIF(P18:P37, "x") + COUNTIF(P18:P37, "X")), "")</f>
        <v/>
      </c>
      <c r="Q38" s="33">
        <f>IF(((COUNTIF(Q18:Q37, "✓") + COUNTIF(Q18:Q37, "✔") + COUNTIF(Q18:Q37, "v") + COUNTIF(Q18:Q37, "V")) + COUNTIF(Q18:Q37, "✗") + COUNTIF(Q18:Q37, "x") + COUNTIF(Q18:Q37, "X")) &gt; 0, (COUNTIF(Q18:Q37, "✓") + COUNTIF(Q18:Q37, "✔") + COUNTIF(Q18:Q37, "v") + COUNTIF(Q18:Q37, "V")) &amp; "/" &amp; ((COUNTIF(Q18:Q37, "✓") + COUNTIF(Q18:Q37, "✔") + COUNTIF(Q18:Q37, "v") + COUNTIF(Q18:Q37, "V")) + COUNTIF(Q18:Q37, "✗") + COUNTIF(Q18:Q37, "x") + COUNTIF(Q18:Q37, "X")), "")</f>
        <v/>
      </c>
      <c r="R38" s="33">
        <f>IF(((COUNTIF(R18:R37, "✓") + COUNTIF(R18:R37, "✔") + COUNTIF(R18:R37, "v") + COUNTIF(R18:R37, "V")) + COUNTIF(R18:R37, "✗") + COUNTIF(R18:R37, "x") + COUNTIF(R18:R37, "X")) &gt; 0, (COUNTIF(R18:R37, "✓") + COUNTIF(R18:R37, "✔") + COUNTIF(R18:R37, "v") + COUNTIF(R18:R37, "V")) &amp; "/" &amp; ((COUNTIF(R18:R37, "✓") + COUNTIF(R18:R37, "✔") + COUNTIF(R18:R37, "v") + COUNTIF(R18:R37, "V")) + COUNTIF(R18:R37, "✗") + COUNTIF(R18:R37, "x") + COUNTIF(R18:R37, "X")), "")</f>
        <v/>
      </c>
      <c r="S38" s="33">
        <f>IF(((COUNTIF(S18:S37, "✓") + COUNTIF(S18:S37, "✔") + COUNTIF(S18:S37, "v") + COUNTIF(S18:S37, "V")) + COUNTIF(S18:S37, "✗") + COUNTIF(S18:S37, "x") + COUNTIF(S18:S37, "X")) &gt; 0, (COUNTIF(S18:S37, "✓") + COUNTIF(S18:S37, "✔") + COUNTIF(S18:S37, "v") + COUNTIF(S18:S37, "V")) &amp; "/" &amp; ((COUNTIF(S18:S37, "✓") + COUNTIF(S18:S37, "✔") + COUNTIF(S18:S37, "v") + COUNTIF(S18:S37, "V")) + COUNTIF(S18:S37, "✗") + COUNTIF(S18:S37, "x") + COUNTIF(S18:S37, "X")), "")</f>
        <v/>
      </c>
      <c r="T38" s="33">
        <f>IF(((COUNTIF(T18:T37, "✓") + COUNTIF(T18:T37, "✔") + COUNTIF(T18:T37, "v") + COUNTIF(T18:T37, "V")) + COUNTIF(T18:T37, "✗") + COUNTIF(T18:T37, "x") + COUNTIF(T18:T37, "X")) &gt; 0, (COUNTIF(T18:T37, "✓") + COUNTIF(T18:T37, "✔") + COUNTIF(T18:T37, "v") + COUNTIF(T18:T37, "V")) &amp; "/" &amp; ((COUNTIF(T18:T37, "✓") + COUNTIF(T18:T37, "✔") + COUNTIF(T18:T37, "v") + COUNTIF(T18:T37, "V")) + COUNTIF(T18:T37, "✗") + COUNTIF(T18:T37, "x") + COUNTIF(T18:T37, "X")), "")</f>
        <v/>
      </c>
      <c r="U38" s="33">
        <f>IF(((COUNTIF(U18:U37, "✓") + COUNTIF(U18:U37, "✔") + COUNTIF(U18:U37, "v") + COUNTIF(U18:U37, "V")) + COUNTIF(U18:U37, "✗") + COUNTIF(U18:U37, "x") + COUNTIF(U18:U37, "X")) &gt; 0, (COUNTIF(U18:U37, "✓") + COUNTIF(U18:U37, "✔") + COUNTIF(U18:U37, "v") + COUNTIF(U18:U37, "V")) &amp; "/" &amp; ((COUNTIF(U18:U37, "✓") + COUNTIF(U18:U37, "✔") + COUNTIF(U18:U37, "v") + COUNTIF(U18:U37, "V")) + COUNTIF(U18:U37, "✗") + COUNTIF(U18:U37, "x") + COUNTIF(U18:U37, "X")), "")</f>
        <v/>
      </c>
      <c r="V38" s="33">
        <f>IF(((COUNTIF(V18:V37, "✓") + COUNTIF(V18:V37, "✔") + COUNTIF(V18:V37, "v") + COUNTIF(V18:V37, "V")) + COUNTIF(V18:V37, "✗") + COUNTIF(V18:V37, "x") + COUNTIF(V18:V37, "X")) &gt; 0, (COUNTIF(V18:V37, "✓") + COUNTIF(V18:V37, "✔") + COUNTIF(V18:V37, "v") + COUNTIF(V18:V37, "V")) &amp; "/" &amp; ((COUNTIF(V18:V37, "✓") + COUNTIF(V18:V37, "✔") + COUNTIF(V18:V37, "v") + COUNTIF(V18:V37, "V")) + COUNTIF(V18:V37, "✗") + COUNTIF(V18:V37, "x") + COUNTIF(V18:V37, "X")), "")</f>
        <v/>
      </c>
      <c r="W38" s="33">
        <f>IF(((COUNTIF(W18:W37, "✓") + COUNTIF(W18:W37, "✔") + COUNTIF(W18:W37, "v") + COUNTIF(W18:W37, "V")) + COUNTIF(W18:W37, "✗") + COUNTIF(W18:W37, "x") + COUNTIF(W18:W37, "X")) &gt; 0, (COUNTIF(W18:W37, "✓") + COUNTIF(W18:W37, "✔") + COUNTIF(W18:W37, "v") + COUNTIF(W18:W37, "V")) &amp; "/" &amp; ((COUNTIF(W18:W37, "✓") + COUNTIF(W18:W37, "✔") + COUNTIF(W18:W37, "v") + COUNTIF(W18:W37, "V")) + COUNTIF(W18:W37, "✗") + COUNTIF(W18:W37, "x") + COUNTIF(W18:W37, "X")), "")</f>
        <v/>
      </c>
      <c r="X38" s="33">
        <f>IF(((COUNTIF(X18:X37, "✓") + COUNTIF(X18:X37, "✔") + COUNTIF(X18:X37, "v") + COUNTIF(X18:X37, "V")) + COUNTIF(X18:X37, "✗") + COUNTIF(X18:X37, "x") + COUNTIF(X18:X37, "X")) &gt; 0, (COUNTIF(X18:X37, "✓") + COUNTIF(X18:X37, "✔") + COUNTIF(X18:X37, "v") + COUNTIF(X18:X37, "V")) &amp; "/" &amp; ((COUNTIF(X18:X37, "✓") + COUNTIF(X18:X37, "✔") + COUNTIF(X18:X37, "v") + COUNTIF(X18:X37, "V")) + COUNTIF(X18:X37, "✗") + COUNTIF(X18:X37, "x") + COUNTIF(X18:X37, "X")), "")</f>
        <v/>
      </c>
      <c r="Y38" s="33">
        <f>IF(((COUNTIF(Y18:Y37, "✓") + COUNTIF(Y18:Y37, "✔") + COUNTIF(Y18:Y37, "v") + COUNTIF(Y18:Y37, "V")) + COUNTIF(Y18:Y37, "✗") + COUNTIF(Y18:Y37, "x") + COUNTIF(Y18:Y37, "X")) &gt; 0, (COUNTIF(Y18:Y37, "✓") + COUNTIF(Y18:Y37, "✔") + COUNTIF(Y18:Y37, "v") + COUNTIF(Y18:Y37, "V")) &amp; "/" &amp; ((COUNTIF(Y18:Y37, "✓") + COUNTIF(Y18:Y37, "✔") + COUNTIF(Y18:Y37, "v") + COUNTIF(Y18:Y37, "V")) + COUNTIF(Y18:Y37, "✗") + COUNTIF(Y18:Y37, "x") + COUNTIF(Y18:Y37, "X")), "")</f>
        <v/>
      </c>
      <c r="Z38" s="33">
        <f>IF(((COUNTIF(Z18:Z37, "✓") + COUNTIF(Z18:Z37, "✔") + COUNTIF(Z18:Z37, "v") + COUNTIF(Z18:Z37, "V")) + COUNTIF(Z18:Z37, "✗") + COUNTIF(Z18:Z37, "x") + COUNTIF(Z18:Z37, "X")) &gt; 0, (COUNTIF(Z18:Z37, "✓") + COUNTIF(Z18:Z37, "✔") + COUNTIF(Z18:Z37, "v") + COUNTIF(Z18:Z37, "V")) &amp; "/" &amp; ((COUNTIF(Z18:Z37, "✓") + COUNTIF(Z18:Z37, "✔") + COUNTIF(Z18:Z37, "v") + COUNTIF(Z18:Z37, "V")) + COUNTIF(Z18:Z37, "✗") + COUNTIF(Z18:Z37, "x") + COUNTIF(Z18:Z37, "X")), "")</f>
        <v/>
      </c>
      <c r="AA38" s="33">
        <f>IF(((COUNTIF(AA18:AA37, "✓") + COUNTIF(AA18:AA37, "✔") + COUNTIF(AA18:AA37, "v") + COUNTIF(AA18:AA37, "V")) + COUNTIF(AA18:AA37, "✗") + COUNTIF(AA18:AA37, "x") + COUNTIF(AA18:AA37, "X")) &gt; 0, (COUNTIF(AA18:AA37, "✓") + COUNTIF(AA18:AA37, "✔") + COUNTIF(AA18:AA37, "v") + COUNTIF(AA18:AA37, "V")) &amp; "/" &amp; ((COUNTIF(AA18:AA37, "✓") + COUNTIF(AA18:AA37, "✔") + COUNTIF(AA18:AA37, "v") + COUNTIF(AA18:AA37, "V")) + COUNTIF(AA18:AA37, "✗") + COUNTIF(AA18:AA37, "x") + COUNTIF(AA18:AA37, "X")), "")</f>
        <v/>
      </c>
      <c r="AB38" s="33">
        <f>IF(((COUNTIF(AB18:AB37, "✓") + COUNTIF(AB18:AB37, "✔") + COUNTIF(AB18:AB37, "v") + COUNTIF(AB18:AB37, "V")) + COUNTIF(AB18:AB37, "✗") + COUNTIF(AB18:AB37, "x") + COUNTIF(AB18:AB37, "X")) &gt; 0, (COUNTIF(AB18:AB37, "✓") + COUNTIF(AB18:AB37, "✔") + COUNTIF(AB18:AB37, "v") + COUNTIF(AB18:AB37, "V")) &amp; "/" &amp; ((COUNTIF(AB18:AB37, "✓") + COUNTIF(AB18:AB37, "✔") + COUNTIF(AB18:AB37, "v") + COUNTIF(AB18:AB37, "V")) + COUNTIF(AB18:AB37, "✗") + COUNTIF(AB18:AB37, "x") + COUNTIF(AB18:AB37, "X")), "")</f>
        <v/>
      </c>
      <c r="AC38" s="33">
        <f>IF(((COUNTIF(AC18:AC37, "✓") + COUNTIF(AC18:AC37, "✔") + COUNTIF(AC18:AC37, "v") + COUNTIF(AC18:AC37, "V")) + COUNTIF(AC18:AC37, "✗") + COUNTIF(AC18:AC37, "x") + COUNTIF(AC18:AC37, "X")) &gt; 0, (COUNTIF(AC18:AC37, "✓") + COUNTIF(AC18:AC37, "✔") + COUNTIF(AC18:AC37, "v") + COUNTIF(AC18:AC37, "V")) &amp; "/" &amp; ((COUNTIF(AC18:AC37, "✓") + COUNTIF(AC18:AC37, "✔") + COUNTIF(AC18:AC37, "v") + COUNTIF(AC18:AC37, "V")) + COUNTIF(AC18:AC37, "✗") + COUNTIF(AC18:AC37, "x") + COUNTIF(AC18:AC37, "X")), "")</f>
        <v/>
      </c>
      <c r="AD38" s="33">
        <f>IF(((COUNTIF(AD18:AD37, "✓") + COUNTIF(AD18:AD37, "✔") + COUNTIF(AD18:AD37, "v") + COUNTIF(AD18:AD37, "V")) + COUNTIF(AD18:AD37, "✗") + COUNTIF(AD18:AD37, "x") + COUNTIF(AD18:AD37, "X")) &gt; 0, (COUNTIF(AD18:AD37, "✓") + COUNTIF(AD18:AD37, "✔") + COUNTIF(AD18:AD37, "v") + COUNTIF(AD18:AD37, "V")) &amp; "/" &amp; ((COUNTIF(AD18:AD37, "✓") + COUNTIF(AD18:AD37, "✔") + COUNTIF(AD18:AD37, "v") + COUNTIF(AD18:AD37, "V")) + COUNTIF(AD18:AD37, "✗") + COUNTIF(AD18:AD37, "x") + COUNTIF(AD18:AD37, "X")), "")</f>
        <v/>
      </c>
      <c r="AE38" s="33">
        <f>IF(((COUNTIF(AE18:AE37, "✓") + COUNTIF(AE18:AE37, "✔") + COUNTIF(AE18:AE37, "v") + COUNTIF(AE18:AE37, "V")) + COUNTIF(AE18:AE37, "✗") + COUNTIF(AE18:AE37, "x") + COUNTIF(AE18:AE37, "X")) &gt; 0, (COUNTIF(AE18:AE37, "✓") + COUNTIF(AE18:AE37, "✔") + COUNTIF(AE18:AE37, "v") + COUNTIF(AE18:AE37, "V")) &amp; "/" &amp; ((COUNTIF(AE18:AE37, "✓") + COUNTIF(AE18:AE37, "✔") + COUNTIF(AE18:AE37, "v") + COUNTIF(AE18:AE37, "V")) + COUNTIF(AE18:AE37, "✗") + COUNTIF(AE18:AE37, "x") + COUNTIF(AE18:AE37, "X")), "")</f>
        <v/>
      </c>
      <c r="AF38" s="33">
        <f>IF(((COUNTIF(AF18:AF37, "✓") + COUNTIF(AF18:AF37, "✔") + COUNTIF(AF18:AF37, "v") + COUNTIF(AF18:AF37, "V")) + COUNTIF(AF18:AF37, "✗") + COUNTIF(AF18:AF37, "x") + COUNTIF(AF18:AF37, "X")) &gt; 0, (COUNTIF(AF18:AF37, "✓") + COUNTIF(AF18:AF37, "✔") + COUNTIF(AF18:AF37, "v") + COUNTIF(AF18:AF37, "V")) &amp; "/" &amp; ((COUNTIF(AF18:AF37, "✓") + COUNTIF(AF18:AF37, "✔") + COUNTIF(AF18:AF37, "v") + COUNTIF(AF18:AF37, "V")) + COUNTIF(AF18:AF37, "✗") + COUNTIF(AF18:AF37, "x") + COUNTIF(AF18:AF37, "X")), "")</f>
        <v/>
      </c>
      <c r="AG38" s="33">
        <f>IF(((COUNTIF(AG18:AG37, "✓") + COUNTIF(AG18:AG37, "✔") + COUNTIF(AG18:AG37, "v") + COUNTIF(AG18:AG37, "V")) + COUNTIF(AG18:AG37, "✗") + COUNTIF(AG18:AG37, "x") + COUNTIF(AG18:AG37, "X")) &gt; 0, (COUNTIF(AG18:AG37, "✓") + COUNTIF(AG18:AG37, "✔") + COUNTIF(AG18:AG37, "v") + COUNTIF(AG18:AG37, "V")) &amp; "/" &amp; ((COUNTIF(AG18:AG37, "✓") + COUNTIF(AG18:AG37, "✔") + COUNTIF(AG18:AG37, "v") + COUNTIF(AG18:AG37, "V")) + COUNTIF(AG18:AG37, "✗") + COUNTIF(AG18:AG37, "x") + COUNTIF(AG18:AG37, "X")), "")</f>
        <v/>
      </c>
      <c r="AH38" s="33">
        <f>IF(((COUNTIF(AH18:AH37, "✓") + COUNTIF(AH18:AH37, "✔") + COUNTIF(AH18:AH37, "v") + COUNTIF(AH18:AH37, "V")) + COUNTIF(AH18:AH37, "✗") + COUNTIF(AH18:AH37, "x") + COUNTIF(AH18:AH37, "X")) &gt; 0, (COUNTIF(AH18:AH37, "✓") + COUNTIF(AH18:AH37, "✔") + COUNTIF(AH18:AH37, "v") + COUNTIF(AH18:AH37, "V")) &amp; "/" &amp; ((COUNTIF(AH18:AH37, "✓") + COUNTIF(AH18:AH37, "✔") + COUNTIF(AH18:AH37, "v") + COUNTIF(AH18:AH37, "V")) + COUNTIF(AH18:AH37, "✗") + COUNTIF(AH18:AH37, "x") + COUNTIF(AH18:AH37, "X")), "")</f>
        <v/>
      </c>
      <c r="AI38" s="33">
        <f>IF(((COUNTIF(AI18:AI37, "✓") + COUNTIF(AI18:AI37, "✔") + COUNTIF(AI18:AI37, "v") + COUNTIF(AI18:AI37, "V")) + COUNTIF(AI18:AI37, "✗") + COUNTIF(AI18:AI37, "x") + COUNTIF(AI18:AI37, "X")) &gt; 0, (COUNTIF(AI18:AI37, "✓") + COUNTIF(AI18:AI37, "✔") + COUNTIF(AI18:AI37, "v") + COUNTIF(AI18:AI37, "V")) &amp; "/" &amp; ((COUNTIF(AI18:AI37, "✓") + COUNTIF(AI18:AI37, "✔") + COUNTIF(AI18:AI37, "v") + COUNTIF(AI18:AI37, "V")) + COUNTIF(AI18:AI37, "✗") + COUNTIF(AI18:AI37, "x") + COUNTIF(AI18:AI37, "X")), "")</f>
        <v/>
      </c>
      <c r="AJ38" s="133">
        <f>IF(SUM(D18:D37) &gt; 0, SUM(AM18:AM37) / SUM(D18:D37), "")</f>
        <v/>
      </c>
      <c r="AK38" s="33">
        <f>IF(SUM(D18:D37) &gt; 0, SUM(AM18:AM37) &amp; "/" &amp; SUM(D18:D37), "")</f>
        <v/>
      </c>
      <c r="AL38" s="54" t="n"/>
    </row>
    <row r="39" ht="18" customHeight="1">
      <c r="A39" s="132" t="inlineStr">
        <is>
          <t>DAILY SUCCESS %</t>
        </is>
      </c>
      <c r="B39" s="54" t="n"/>
      <c r="C39" s="54" t="n"/>
      <c r="D39" s="54" t="n"/>
      <c r="E39" s="134">
        <f>IF(((COUNTIF(E18:E37, "✓") + COUNTIF(E18:E37, "✔") + COUNTIF(E18:E37, "v") + COUNTIF(E18:E37, "V")) + COUNTIF(E18:E37, "✗") + COUNTIF(E18:E37, "x") + COUNTIF(E18:E37, "X")) &gt; 0, (COUNTIF(E18:E37, "✓") + COUNTIF(E18:E37, "✔") + COUNTIF(E18:E37, "v") + COUNTIF(E18:E37, "V")) / ((COUNTIF(E18:E37, "✓") + COUNTIF(E18:E37, "✔") + COUNTIF(E18:E37, "v") + COUNTIF(E18:E37, "V")) + COUNTIF(E18:E37, "✗") + COUNTIF(E18:E37, "x") + COUNTIF(E18:E37, "X")), "")</f>
        <v/>
      </c>
      <c r="F39" s="134">
        <f>IF(((COUNTIF(F18:F37, "✓") + COUNTIF(F18:F37, "✔") + COUNTIF(F18:F37, "v") + COUNTIF(F18:F37, "V")) + COUNTIF(F18:F37, "✗") + COUNTIF(F18:F37, "x") + COUNTIF(F18:F37, "X")) &gt; 0, (COUNTIF(F18:F37, "✓") + COUNTIF(F18:F37, "✔") + COUNTIF(F18:F37, "v") + COUNTIF(F18:F37, "V")) / ((COUNTIF(F18:F37, "✓") + COUNTIF(F18:F37, "✔") + COUNTIF(F18:F37, "v") + COUNTIF(F18:F37, "V")) + COUNTIF(F18:F37, "✗") + COUNTIF(F18:F37, "x") + COUNTIF(F18:F37, "X")), "")</f>
        <v/>
      </c>
      <c r="G39" s="134">
        <f>IF(((COUNTIF(G18:G37, "✓") + COUNTIF(G18:G37, "✔") + COUNTIF(G18:G37, "v") + COUNTIF(G18:G37, "V")) + COUNTIF(G18:G37, "✗") + COUNTIF(G18:G37, "x") + COUNTIF(G18:G37, "X")) &gt; 0, (COUNTIF(G18:G37, "✓") + COUNTIF(G18:G37, "✔") + COUNTIF(G18:G37, "v") + COUNTIF(G18:G37, "V")) / ((COUNTIF(G18:G37, "✓") + COUNTIF(G18:G37, "✔") + COUNTIF(G18:G37, "v") + COUNTIF(G18:G37, "V")) + COUNTIF(G18:G37, "✗") + COUNTIF(G18:G37, "x") + COUNTIF(G18:G37, "X")), "")</f>
        <v/>
      </c>
      <c r="H39" s="134">
        <f>IF(((COUNTIF(H18:H37, "✓") + COUNTIF(H18:H37, "✔") + COUNTIF(H18:H37, "v") + COUNTIF(H18:H37, "V")) + COUNTIF(H18:H37, "✗") + COUNTIF(H18:H37, "x") + COUNTIF(H18:H37, "X")) &gt; 0, (COUNTIF(H18:H37, "✓") + COUNTIF(H18:H37, "✔") + COUNTIF(H18:H37, "v") + COUNTIF(H18:H37, "V")) / ((COUNTIF(H18:H37, "✓") + COUNTIF(H18:H37, "✔") + COUNTIF(H18:H37, "v") + COUNTIF(H18:H37, "V")) + COUNTIF(H18:H37, "✗") + COUNTIF(H18:H37, "x") + COUNTIF(H18:H37, "X")), "")</f>
        <v/>
      </c>
      <c r="I39" s="134">
        <f>IF(((COUNTIF(I18:I37, "✓") + COUNTIF(I18:I37, "✔") + COUNTIF(I18:I37, "v") + COUNTIF(I18:I37, "V")) + COUNTIF(I18:I37, "✗") + COUNTIF(I18:I37, "x") + COUNTIF(I18:I37, "X")) &gt; 0, (COUNTIF(I18:I37, "✓") + COUNTIF(I18:I37, "✔") + COUNTIF(I18:I37, "v") + COUNTIF(I18:I37, "V")) / ((COUNTIF(I18:I37, "✓") + COUNTIF(I18:I37, "✔") + COUNTIF(I18:I37, "v") + COUNTIF(I18:I37, "V")) + COUNTIF(I18:I37, "✗") + COUNTIF(I18:I37, "x") + COUNTIF(I18:I37, "X")), "")</f>
        <v/>
      </c>
      <c r="J39" s="134">
        <f>IF(((COUNTIF(J18:J37, "✓") + COUNTIF(J18:J37, "✔") + COUNTIF(J18:J37, "v") + COUNTIF(J18:J37, "V")) + COUNTIF(J18:J37, "✗") + COUNTIF(J18:J37, "x") + COUNTIF(J18:J37, "X")) &gt; 0, (COUNTIF(J18:J37, "✓") + COUNTIF(J18:J37, "✔") + COUNTIF(J18:J37, "v") + COUNTIF(J18:J37, "V")) / ((COUNTIF(J18:J37, "✓") + COUNTIF(J18:J37, "✔") + COUNTIF(J18:J37, "v") + COUNTIF(J18:J37, "V")) + COUNTIF(J18:J37, "✗") + COUNTIF(J18:J37, "x") + COUNTIF(J18:J37, "X")), "")</f>
        <v/>
      </c>
      <c r="K39" s="134">
        <f>IF(((COUNTIF(K18:K37, "✓") + COUNTIF(K18:K37, "✔") + COUNTIF(K18:K37, "v") + COUNTIF(K18:K37, "V")) + COUNTIF(K18:K37, "✗") + COUNTIF(K18:K37, "x") + COUNTIF(K18:K37, "X")) &gt; 0, (COUNTIF(K18:K37, "✓") + COUNTIF(K18:K37, "✔") + COUNTIF(K18:K37, "v") + COUNTIF(K18:K37, "V")) / ((COUNTIF(K18:K37, "✓") + COUNTIF(K18:K37, "✔") + COUNTIF(K18:K37, "v") + COUNTIF(K18:K37, "V")) + COUNTIF(K18:K37, "✗") + COUNTIF(K18:K37, "x") + COUNTIF(K18:K37, "X")), "")</f>
        <v/>
      </c>
      <c r="L39" s="134">
        <f>IF(((COUNTIF(L18:L37, "✓") + COUNTIF(L18:L37, "✔") + COUNTIF(L18:L37, "v") + COUNTIF(L18:L37, "V")) + COUNTIF(L18:L37, "✗") + COUNTIF(L18:L37, "x") + COUNTIF(L18:L37, "X")) &gt; 0, (COUNTIF(L18:L37, "✓") + COUNTIF(L18:L37, "✔") + COUNTIF(L18:L37, "v") + COUNTIF(L18:L37, "V")) / ((COUNTIF(L18:L37, "✓") + COUNTIF(L18:L37, "✔") + COUNTIF(L18:L37, "v") + COUNTIF(L18:L37, "V")) + COUNTIF(L18:L37, "✗") + COUNTIF(L18:L37, "x") + COUNTIF(L18:L37, "X")), "")</f>
        <v/>
      </c>
      <c r="M39" s="134">
        <f>IF(((COUNTIF(M18:M37, "✓") + COUNTIF(M18:M37, "✔") + COUNTIF(M18:M37, "v") + COUNTIF(M18:M37, "V")) + COUNTIF(M18:M37, "✗") + COUNTIF(M18:M37, "x") + COUNTIF(M18:M37, "X")) &gt; 0, (COUNTIF(M18:M37, "✓") + COUNTIF(M18:M37, "✔") + COUNTIF(M18:M37, "v") + COUNTIF(M18:M37, "V")) / ((COUNTIF(M18:M37, "✓") + COUNTIF(M18:M37, "✔") + COUNTIF(M18:M37, "v") + COUNTIF(M18:M37, "V")) + COUNTIF(M18:M37, "✗") + COUNTIF(M18:M37, "x") + COUNTIF(M18:M37, "X")), "")</f>
        <v/>
      </c>
      <c r="N39" s="134">
        <f>IF(((COUNTIF(N18:N37, "✓") + COUNTIF(N18:N37, "✔") + COUNTIF(N18:N37, "v") + COUNTIF(N18:N37, "V")) + COUNTIF(N18:N37, "✗") + COUNTIF(N18:N37, "x") + COUNTIF(N18:N37, "X")) &gt; 0, (COUNTIF(N18:N37, "✓") + COUNTIF(N18:N37, "✔") + COUNTIF(N18:N37, "v") + COUNTIF(N18:N37, "V")) / ((COUNTIF(N18:N37, "✓") + COUNTIF(N18:N37, "✔") + COUNTIF(N18:N37, "v") + COUNTIF(N18:N37, "V")) + COUNTIF(N18:N37, "✗") + COUNTIF(N18:N37, "x") + COUNTIF(N18:N37, "X")), "")</f>
        <v/>
      </c>
      <c r="O39" s="134">
        <f>IF(((COUNTIF(O18:O37, "✓") + COUNTIF(O18:O37, "✔") + COUNTIF(O18:O37, "v") + COUNTIF(O18:O37, "V")) + COUNTIF(O18:O37, "✗") + COUNTIF(O18:O37, "x") + COUNTIF(O18:O37, "X")) &gt; 0, (COUNTIF(O18:O37, "✓") + COUNTIF(O18:O37, "✔") + COUNTIF(O18:O37, "v") + COUNTIF(O18:O37, "V")) / ((COUNTIF(O18:O37, "✓") + COUNTIF(O18:O37, "✔") + COUNTIF(O18:O37, "v") + COUNTIF(O18:O37, "V")) + COUNTIF(O18:O37, "✗") + COUNTIF(O18:O37, "x") + COUNTIF(O18:O37, "X")), "")</f>
        <v/>
      </c>
      <c r="P39" s="134">
        <f>IF(((COUNTIF(P18:P37, "✓") + COUNTIF(P18:P37, "✔") + COUNTIF(P18:P37, "v") + COUNTIF(P18:P37, "V")) + COUNTIF(P18:P37, "✗") + COUNTIF(P18:P37, "x") + COUNTIF(P18:P37, "X")) &gt; 0, (COUNTIF(P18:P37, "✓") + COUNTIF(P18:P37, "✔") + COUNTIF(P18:P37, "v") + COUNTIF(P18:P37, "V")) / ((COUNTIF(P18:P37, "✓") + COUNTIF(P18:P37, "✔") + COUNTIF(P18:P37, "v") + COUNTIF(P18:P37, "V")) + COUNTIF(P18:P37, "✗") + COUNTIF(P18:P37, "x") + COUNTIF(P18:P37, "X")), "")</f>
        <v/>
      </c>
      <c r="Q39" s="134">
        <f>IF(((COUNTIF(Q18:Q37, "✓") + COUNTIF(Q18:Q37, "✔") + COUNTIF(Q18:Q37, "v") + COUNTIF(Q18:Q37, "V")) + COUNTIF(Q18:Q37, "✗") + COUNTIF(Q18:Q37, "x") + COUNTIF(Q18:Q37, "X")) &gt; 0, (COUNTIF(Q18:Q37, "✓") + COUNTIF(Q18:Q37, "✔") + COUNTIF(Q18:Q37, "v") + COUNTIF(Q18:Q37, "V")) / ((COUNTIF(Q18:Q37, "✓") + COUNTIF(Q18:Q37, "✔") + COUNTIF(Q18:Q37, "v") + COUNTIF(Q18:Q37, "V")) + COUNTIF(Q18:Q37, "✗") + COUNTIF(Q18:Q37, "x") + COUNTIF(Q18:Q37, "X")), "")</f>
        <v/>
      </c>
      <c r="R39" s="134">
        <f>IF(((COUNTIF(R18:R37, "✓") + COUNTIF(R18:R37, "✔") + COUNTIF(R18:R37, "v") + COUNTIF(R18:R37, "V")) + COUNTIF(R18:R37, "✗") + COUNTIF(R18:R37, "x") + COUNTIF(R18:R37, "X")) &gt; 0, (COUNTIF(R18:R37, "✓") + COUNTIF(R18:R37, "✔") + COUNTIF(R18:R37, "v") + COUNTIF(R18:R37, "V")) / ((COUNTIF(R18:R37, "✓") + COUNTIF(R18:R37, "✔") + COUNTIF(R18:R37, "v") + COUNTIF(R18:R37, "V")) + COUNTIF(R18:R37, "✗") + COUNTIF(R18:R37, "x") + COUNTIF(R18:R37, "X")), "")</f>
        <v/>
      </c>
      <c r="S39" s="134">
        <f>IF(((COUNTIF(S18:S37, "✓") + COUNTIF(S18:S37, "✔") + COUNTIF(S18:S37, "v") + COUNTIF(S18:S37, "V")) + COUNTIF(S18:S37, "✗") + COUNTIF(S18:S37, "x") + COUNTIF(S18:S37, "X")) &gt; 0, (COUNTIF(S18:S37, "✓") + COUNTIF(S18:S37, "✔") + COUNTIF(S18:S37, "v") + COUNTIF(S18:S37, "V")) / ((COUNTIF(S18:S37, "✓") + COUNTIF(S18:S37, "✔") + COUNTIF(S18:S37, "v") + COUNTIF(S18:S37, "V")) + COUNTIF(S18:S37, "✗") + COUNTIF(S18:S37, "x") + COUNTIF(S18:S37, "X")), "")</f>
        <v/>
      </c>
      <c r="T39" s="134">
        <f>IF(((COUNTIF(T18:T37, "✓") + COUNTIF(T18:T37, "✔") + COUNTIF(T18:T37, "v") + COUNTIF(T18:T37, "V")) + COUNTIF(T18:T37, "✗") + COUNTIF(T18:T37, "x") + COUNTIF(T18:T37, "X")) &gt; 0, (COUNTIF(T18:T37, "✓") + COUNTIF(T18:T37, "✔") + COUNTIF(T18:T37, "v") + COUNTIF(T18:T37, "V")) / ((COUNTIF(T18:T37, "✓") + COUNTIF(T18:T37, "✔") + COUNTIF(T18:T37, "v") + COUNTIF(T18:T37, "V")) + COUNTIF(T18:T37, "✗") + COUNTIF(T18:T37, "x") + COUNTIF(T18:T37, "X")), "")</f>
        <v/>
      </c>
      <c r="U39" s="134">
        <f>IF(((COUNTIF(U18:U37, "✓") + COUNTIF(U18:U37, "✔") + COUNTIF(U18:U37, "v") + COUNTIF(U18:U37, "V")) + COUNTIF(U18:U37, "✗") + COUNTIF(U18:U37, "x") + COUNTIF(U18:U37, "X")) &gt; 0, (COUNTIF(U18:U37, "✓") + COUNTIF(U18:U37, "✔") + COUNTIF(U18:U37, "v") + COUNTIF(U18:U37, "V")) / ((COUNTIF(U18:U37, "✓") + COUNTIF(U18:U37, "✔") + COUNTIF(U18:U37, "v") + COUNTIF(U18:U37, "V")) + COUNTIF(U18:U37, "✗") + COUNTIF(U18:U37, "x") + COUNTIF(U18:U37, "X")), "")</f>
        <v/>
      </c>
      <c r="V39" s="134">
        <f>IF(((COUNTIF(V18:V37, "✓") + COUNTIF(V18:V37, "✔") + COUNTIF(V18:V37, "v") + COUNTIF(V18:V37, "V")) + COUNTIF(V18:V37, "✗") + COUNTIF(V18:V37, "x") + COUNTIF(V18:V37, "X")) &gt; 0, (COUNTIF(V18:V37, "✓") + COUNTIF(V18:V37, "✔") + COUNTIF(V18:V37, "v") + COUNTIF(V18:V37, "V")) / ((COUNTIF(V18:V37, "✓") + COUNTIF(V18:V37, "✔") + COUNTIF(V18:V37, "v") + COUNTIF(V18:V37, "V")) + COUNTIF(V18:V37, "✗") + COUNTIF(V18:V37, "x") + COUNTIF(V18:V37, "X")), "")</f>
        <v/>
      </c>
      <c r="W39" s="134">
        <f>IF(((COUNTIF(W18:W37, "✓") + COUNTIF(W18:W37, "✔") + COUNTIF(W18:W37, "v") + COUNTIF(W18:W37, "V")) + COUNTIF(W18:W37, "✗") + COUNTIF(W18:W37, "x") + COUNTIF(W18:W37, "X")) &gt; 0, (COUNTIF(W18:W37, "✓") + COUNTIF(W18:W37, "✔") + COUNTIF(W18:W37, "v") + COUNTIF(W18:W37, "V")) / ((COUNTIF(W18:W37, "✓") + COUNTIF(W18:W37, "✔") + COUNTIF(W18:W37, "v") + COUNTIF(W18:W37, "V")) + COUNTIF(W18:W37, "✗") + COUNTIF(W18:W37, "x") + COUNTIF(W18:W37, "X")), "")</f>
        <v/>
      </c>
      <c r="X39" s="134">
        <f>IF(((COUNTIF(X18:X37, "✓") + COUNTIF(X18:X37, "✔") + COUNTIF(X18:X37, "v") + COUNTIF(X18:X37, "V")) + COUNTIF(X18:X37, "✗") + COUNTIF(X18:X37, "x") + COUNTIF(X18:X37, "X")) &gt; 0, (COUNTIF(X18:X37, "✓") + COUNTIF(X18:X37, "✔") + COUNTIF(X18:X37, "v") + COUNTIF(X18:X37, "V")) / ((COUNTIF(X18:X37, "✓") + COUNTIF(X18:X37, "✔") + COUNTIF(X18:X37, "v") + COUNTIF(X18:X37, "V")) + COUNTIF(X18:X37, "✗") + COUNTIF(X18:X37, "x") + COUNTIF(X18:X37, "X")), "")</f>
        <v/>
      </c>
      <c r="Y39" s="134">
        <f>IF(((COUNTIF(Y18:Y37, "✓") + COUNTIF(Y18:Y37, "✔") + COUNTIF(Y18:Y37, "v") + COUNTIF(Y18:Y37, "V")) + COUNTIF(Y18:Y37, "✗") + COUNTIF(Y18:Y37, "x") + COUNTIF(Y18:Y37, "X")) &gt; 0, (COUNTIF(Y18:Y37, "✓") + COUNTIF(Y18:Y37, "✔") + COUNTIF(Y18:Y37, "v") + COUNTIF(Y18:Y37, "V")) / ((COUNTIF(Y18:Y37, "✓") + COUNTIF(Y18:Y37, "✔") + COUNTIF(Y18:Y37, "v") + COUNTIF(Y18:Y37, "V")) + COUNTIF(Y18:Y37, "✗") + COUNTIF(Y18:Y37, "x") + COUNTIF(Y18:Y37, "X")), "")</f>
        <v/>
      </c>
      <c r="Z39" s="134">
        <f>IF(((COUNTIF(Z18:Z37, "✓") + COUNTIF(Z18:Z37, "✔") + COUNTIF(Z18:Z37, "v") + COUNTIF(Z18:Z37, "V")) + COUNTIF(Z18:Z37, "✗") + COUNTIF(Z18:Z37, "x") + COUNTIF(Z18:Z37, "X")) &gt; 0, (COUNTIF(Z18:Z37, "✓") + COUNTIF(Z18:Z37, "✔") + COUNTIF(Z18:Z37, "v") + COUNTIF(Z18:Z37, "V")) / ((COUNTIF(Z18:Z37, "✓") + COUNTIF(Z18:Z37, "✔") + COUNTIF(Z18:Z37, "v") + COUNTIF(Z18:Z37, "V")) + COUNTIF(Z18:Z37, "✗") + COUNTIF(Z18:Z37, "x") + COUNTIF(Z18:Z37, "X")), "")</f>
        <v/>
      </c>
      <c r="AA39" s="134">
        <f>IF(((COUNTIF(AA18:AA37, "✓") + COUNTIF(AA18:AA37, "✔") + COUNTIF(AA18:AA37, "v") + COUNTIF(AA18:AA37, "V")) + COUNTIF(AA18:AA37, "✗") + COUNTIF(AA18:AA37, "x") + COUNTIF(AA18:AA37, "X")) &gt; 0, (COUNTIF(AA18:AA37, "✓") + COUNTIF(AA18:AA37, "✔") + COUNTIF(AA18:AA37, "v") + COUNTIF(AA18:AA37, "V")) / ((COUNTIF(AA18:AA37, "✓") + COUNTIF(AA18:AA37, "✔") + COUNTIF(AA18:AA37, "v") + COUNTIF(AA18:AA37, "V")) + COUNTIF(AA18:AA37, "✗") + COUNTIF(AA18:AA37, "x") + COUNTIF(AA18:AA37, "X")), "")</f>
        <v/>
      </c>
      <c r="AB39" s="134">
        <f>IF(((COUNTIF(AB18:AB37, "✓") + COUNTIF(AB18:AB37, "✔") + COUNTIF(AB18:AB37, "v") + COUNTIF(AB18:AB37, "V")) + COUNTIF(AB18:AB37, "✗") + COUNTIF(AB18:AB37, "x") + COUNTIF(AB18:AB37, "X")) &gt; 0, (COUNTIF(AB18:AB37, "✓") + COUNTIF(AB18:AB37, "✔") + COUNTIF(AB18:AB37, "v") + COUNTIF(AB18:AB37, "V")) / ((COUNTIF(AB18:AB37, "✓") + COUNTIF(AB18:AB37, "✔") + COUNTIF(AB18:AB37, "v") + COUNTIF(AB18:AB37, "V")) + COUNTIF(AB18:AB37, "✗") + COUNTIF(AB18:AB37, "x") + COUNTIF(AB18:AB37, "X")), "")</f>
        <v/>
      </c>
      <c r="AC39" s="134">
        <f>IF(((COUNTIF(AC18:AC37, "✓") + COUNTIF(AC18:AC37, "✔") + COUNTIF(AC18:AC37, "v") + COUNTIF(AC18:AC37, "V")) + COUNTIF(AC18:AC37, "✗") + COUNTIF(AC18:AC37, "x") + COUNTIF(AC18:AC37, "X")) &gt; 0, (COUNTIF(AC18:AC37, "✓") + COUNTIF(AC18:AC37, "✔") + COUNTIF(AC18:AC37, "v") + COUNTIF(AC18:AC37, "V")) / ((COUNTIF(AC18:AC37, "✓") + COUNTIF(AC18:AC37, "✔") + COUNTIF(AC18:AC37, "v") + COUNTIF(AC18:AC37, "V")) + COUNTIF(AC18:AC37, "✗") + COUNTIF(AC18:AC37, "x") + COUNTIF(AC18:AC37, "X")), "")</f>
        <v/>
      </c>
      <c r="AD39" s="134">
        <f>IF(((COUNTIF(AD18:AD37, "✓") + COUNTIF(AD18:AD37, "✔") + COUNTIF(AD18:AD37, "v") + COUNTIF(AD18:AD37, "V")) + COUNTIF(AD18:AD37, "✗") + COUNTIF(AD18:AD37, "x") + COUNTIF(AD18:AD37, "X")) &gt; 0, (COUNTIF(AD18:AD37, "✓") + COUNTIF(AD18:AD37, "✔") + COUNTIF(AD18:AD37, "v") + COUNTIF(AD18:AD37, "V")) / ((COUNTIF(AD18:AD37, "✓") + COUNTIF(AD18:AD37, "✔") + COUNTIF(AD18:AD37, "v") + COUNTIF(AD18:AD37, "V")) + COUNTIF(AD18:AD37, "✗") + COUNTIF(AD18:AD37, "x") + COUNTIF(AD18:AD37, "X")), "")</f>
        <v/>
      </c>
      <c r="AE39" s="134">
        <f>IF(((COUNTIF(AE18:AE37, "✓") + COUNTIF(AE18:AE37, "✔") + COUNTIF(AE18:AE37, "v") + COUNTIF(AE18:AE37, "V")) + COUNTIF(AE18:AE37, "✗") + COUNTIF(AE18:AE37, "x") + COUNTIF(AE18:AE37, "X")) &gt; 0, (COUNTIF(AE18:AE37, "✓") + COUNTIF(AE18:AE37, "✔") + COUNTIF(AE18:AE37, "v") + COUNTIF(AE18:AE37, "V")) / ((COUNTIF(AE18:AE37, "✓") + COUNTIF(AE18:AE37, "✔") + COUNTIF(AE18:AE37, "v") + COUNTIF(AE18:AE37, "V")) + COUNTIF(AE18:AE37, "✗") + COUNTIF(AE18:AE37, "x") + COUNTIF(AE18:AE37, "X")), "")</f>
        <v/>
      </c>
      <c r="AF39" s="134">
        <f>IF(((COUNTIF(AF18:AF37, "✓") + COUNTIF(AF18:AF37, "✔") + COUNTIF(AF18:AF37, "v") + COUNTIF(AF18:AF37, "V")) + COUNTIF(AF18:AF37, "✗") + COUNTIF(AF18:AF37, "x") + COUNTIF(AF18:AF37, "X")) &gt; 0, (COUNTIF(AF18:AF37, "✓") + COUNTIF(AF18:AF37, "✔") + COUNTIF(AF18:AF37, "v") + COUNTIF(AF18:AF37, "V")) / ((COUNTIF(AF18:AF37, "✓") + COUNTIF(AF18:AF37, "✔") + COUNTIF(AF18:AF37, "v") + COUNTIF(AF18:AF37, "V")) + COUNTIF(AF18:AF37, "✗") + COUNTIF(AF18:AF37, "x") + COUNTIF(AF18:AF37, "X")), "")</f>
        <v/>
      </c>
      <c r="AG39" s="134">
        <f>IF(((COUNTIF(AG18:AG37, "✓") + COUNTIF(AG18:AG37, "✔") + COUNTIF(AG18:AG37, "v") + COUNTIF(AG18:AG37, "V")) + COUNTIF(AG18:AG37, "✗") + COUNTIF(AG18:AG37, "x") + COUNTIF(AG18:AG37, "X")) &gt; 0, (COUNTIF(AG18:AG37, "✓") + COUNTIF(AG18:AG37, "✔") + COUNTIF(AG18:AG37, "v") + COUNTIF(AG18:AG37, "V")) / ((COUNTIF(AG18:AG37, "✓") + COUNTIF(AG18:AG37, "✔") + COUNTIF(AG18:AG37, "v") + COUNTIF(AG18:AG37, "V")) + COUNTIF(AG18:AG37, "✗") + COUNTIF(AG18:AG37, "x") + COUNTIF(AG18:AG37, "X")), "")</f>
        <v/>
      </c>
      <c r="AH39" s="134">
        <f>IF(((COUNTIF(AH18:AH37, "✓") + COUNTIF(AH18:AH37, "✔") + COUNTIF(AH18:AH37, "v") + COUNTIF(AH18:AH37, "V")) + COUNTIF(AH18:AH37, "✗") + COUNTIF(AH18:AH37, "x") + COUNTIF(AH18:AH37, "X")) &gt; 0, (COUNTIF(AH18:AH37, "✓") + COUNTIF(AH18:AH37, "✔") + COUNTIF(AH18:AH37, "v") + COUNTIF(AH18:AH37, "V")) / ((COUNTIF(AH18:AH37, "✓") + COUNTIF(AH18:AH37, "✔") + COUNTIF(AH18:AH37, "v") + COUNTIF(AH18:AH37, "V")) + COUNTIF(AH18:AH37, "✗") + COUNTIF(AH18:AH37, "x") + COUNTIF(AH18:AH37, "X")), "")</f>
        <v/>
      </c>
      <c r="AI39" s="134">
        <f>IF(((COUNTIF(AI18:AI37, "✓") + COUNTIF(AI18:AI37, "✔") + COUNTIF(AI18:AI37, "v") + COUNTIF(AI18:AI37, "V")) + COUNTIF(AI18:AI37, "✗") + COUNTIF(AI18:AI37, "x") + COUNTIF(AI18:AI37, "X")) &gt; 0, (COUNTIF(AI18:AI37, "✓") + COUNTIF(AI18:AI37, "✔") + COUNTIF(AI18:AI37, "v") + COUNTIF(AI18:AI37, "V")) / ((COUNTIF(AI18:AI37, "✓") + COUNTIF(AI18:AI37, "✔") + COUNTIF(AI18:AI37, "v") + COUNTIF(AI18:AI37, "V")) + COUNTIF(AI18:AI37, "✗") + COUNTIF(AI18:AI37, "x") + COUNTIF(AI18:AI37, "X")), "")</f>
        <v/>
      </c>
      <c r="AJ39" s="133">
        <f>IF(COUNT(E39:AI39) &gt; 0, AVERAGE(E39:AI39), "")</f>
        <v/>
      </c>
      <c r="AK39" s="54" t="n"/>
      <c r="AL39" s="54" t="n"/>
    </row>
    <row r="40" ht="6" customHeight="1"/>
    <row r="41" ht="15" customHeight="1">
      <c r="A41" s="135" t="inlineStr">
        <is>
          <t>IF SUCCESS &lt; 80%, PUNISHMENT: ________________________________________________</t>
        </is>
      </c>
    </row>
    <row r="42" ht="15" customHeight="1">
      <c r="A42" s="136" t="inlineStr">
        <is>
          <t>IF SUCCESS &gt; 90%, REWARD: __________________________________________________</t>
        </is>
      </c>
    </row>
    <row r="43" ht="10" customHeight="1"/>
    <row r="44" ht="10" customHeight="1"/>
    <row r="45" ht="15" customHeight="1">
      <c r="A45" s="51" t="inlineStr">
        <is>
          <t>Sleep Tracking</t>
        </is>
      </c>
      <c r="B45" s="52" t="n"/>
      <c r="C45" s="52" t="n"/>
      <c r="D45" s="52" t="n"/>
      <c r="E45" s="137" t="n">
        <v>1</v>
      </c>
      <c r="F45" s="137" t="n">
        <v>2</v>
      </c>
      <c r="G45" s="137" t="n">
        <v>3</v>
      </c>
      <c r="H45" s="137" t="n">
        <v>4</v>
      </c>
      <c r="I45" s="137" t="n">
        <v>5</v>
      </c>
      <c r="J45" s="138" t="n">
        <v>6</v>
      </c>
      <c r="K45" s="137" t="n">
        <v>7</v>
      </c>
      <c r="L45" s="137" t="n">
        <v>8</v>
      </c>
      <c r="M45" s="137" t="n">
        <v>9</v>
      </c>
      <c r="N45" s="137" t="n">
        <v>10</v>
      </c>
      <c r="O45" s="137" t="n">
        <v>11</v>
      </c>
      <c r="P45" s="137" t="n">
        <v>12</v>
      </c>
      <c r="Q45" s="138" t="n">
        <v>13</v>
      </c>
      <c r="R45" s="137" t="n">
        <v>14</v>
      </c>
      <c r="S45" s="137" t="n">
        <v>15</v>
      </c>
      <c r="T45" s="137" t="n">
        <v>16</v>
      </c>
      <c r="U45" s="137" t="n">
        <v>17</v>
      </c>
      <c r="V45" s="137" t="n">
        <v>18</v>
      </c>
      <c r="W45" s="137" t="n">
        <v>19</v>
      </c>
      <c r="X45" s="138" t="n">
        <v>20</v>
      </c>
      <c r="Y45" s="137" t="n">
        <v>21</v>
      </c>
      <c r="Z45" s="137" t="n">
        <v>22</v>
      </c>
      <c r="AA45" s="137" t="n">
        <v>23</v>
      </c>
      <c r="AB45" s="137" t="n">
        <v>24</v>
      </c>
      <c r="AC45" s="137" t="n">
        <v>25</v>
      </c>
      <c r="AD45" s="137" t="n">
        <v>26</v>
      </c>
      <c r="AE45" s="138" t="n">
        <v>27</v>
      </c>
      <c r="AF45" s="137" t="n">
        <v>28</v>
      </c>
      <c r="AG45" s="137" t="n">
        <v>29</v>
      </c>
      <c r="AH45" s="137" t="n">
        <v>30</v>
      </c>
      <c r="AI45" s="137" t="n">
        <v>31</v>
      </c>
    </row>
    <row r="46" ht="15" customHeight="1">
      <c r="A46" s="52" t="n"/>
      <c r="B46" s="52" t="n"/>
      <c r="C46" s="52" t="n"/>
      <c r="D46" s="52" t="n"/>
      <c r="E46" s="139" t="inlineStr">
        <is>
          <t>T</t>
        </is>
      </c>
      <c r="F46" s="139" t="inlineStr">
        <is>
          <t>W</t>
        </is>
      </c>
      <c r="G46" s="139" t="inlineStr">
        <is>
          <t>Th</t>
        </is>
      </c>
      <c r="H46" s="139" t="inlineStr">
        <is>
          <t>F</t>
        </is>
      </c>
      <c r="I46" s="139" t="inlineStr">
        <is>
          <t>Sa</t>
        </is>
      </c>
      <c r="J46" s="140" t="inlineStr">
        <is>
          <t>Su</t>
        </is>
      </c>
      <c r="K46" s="139" t="inlineStr">
        <is>
          <t>M</t>
        </is>
      </c>
      <c r="L46" s="139" t="inlineStr">
        <is>
          <t>T</t>
        </is>
      </c>
      <c r="M46" s="139" t="inlineStr">
        <is>
          <t>W</t>
        </is>
      </c>
      <c r="N46" s="139" t="inlineStr">
        <is>
          <t>Th</t>
        </is>
      </c>
      <c r="O46" s="139" t="inlineStr">
        <is>
          <t>F</t>
        </is>
      </c>
      <c r="P46" s="139" t="inlineStr">
        <is>
          <t>Sa</t>
        </is>
      </c>
      <c r="Q46" s="140" t="inlineStr">
        <is>
          <t>Su</t>
        </is>
      </c>
      <c r="R46" s="139" t="inlineStr">
        <is>
          <t>M</t>
        </is>
      </c>
      <c r="S46" s="139" t="inlineStr">
        <is>
          <t>T</t>
        </is>
      </c>
      <c r="T46" s="139" t="inlineStr">
        <is>
          <t>W</t>
        </is>
      </c>
      <c r="U46" s="139" t="inlineStr">
        <is>
          <t>Th</t>
        </is>
      </c>
      <c r="V46" s="139" t="inlineStr">
        <is>
          <t>F</t>
        </is>
      </c>
      <c r="W46" s="139" t="inlineStr">
        <is>
          <t>Sa</t>
        </is>
      </c>
      <c r="X46" s="140" t="inlineStr">
        <is>
          <t>Su</t>
        </is>
      </c>
      <c r="Y46" s="139" t="inlineStr">
        <is>
          <t>M</t>
        </is>
      </c>
      <c r="Z46" s="139" t="inlineStr">
        <is>
          <t>T</t>
        </is>
      </c>
      <c r="AA46" s="139" t="inlineStr">
        <is>
          <t>W</t>
        </is>
      </c>
      <c r="AB46" s="139" t="inlineStr">
        <is>
          <t>Th</t>
        </is>
      </c>
      <c r="AC46" s="139" t="inlineStr">
        <is>
          <t>F</t>
        </is>
      </c>
      <c r="AD46" s="139" t="inlineStr">
        <is>
          <t>Sa</t>
        </is>
      </c>
      <c r="AE46" s="140" t="inlineStr">
        <is>
          <t>Su</t>
        </is>
      </c>
      <c r="AF46" s="139" t="inlineStr">
        <is>
          <t>M</t>
        </is>
      </c>
      <c r="AG46" s="139" t="inlineStr">
        <is>
          <t>T</t>
        </is>
      </c>
      <c r="AH46" s="139" t="inlineStr">
        <is>
          <t>W</t>
        </is>
      </c>
      <c r="AI46" s="139" t="inlineStr">
        <is>
          <t>Th</t>
        </is>
      </c>
    </row>
    <row r="47" ht="20" customHeight="1">
      <c r="A47" s="141" t="inlineStr">
        <is>
          <t>Sleep Hours (1-24)</t>
        </is>
      </c>
      <c r="B47" s="142" t="n"/>
      <c r="C47" s="142" t="n"/>
      <c r="D47" s="142" t="n"/>
      <c r="E47" s="143" t="n"/>
      <c r="F47" s="143" t="n"/>
      <c r="G47" s="143" t="n"/>
      <c r="H47" s="143" t="n"/>
      <c r="I47" s="143" t="n"/>
      <c r="J47" s="144" t="n"/>
      <c r="K47" s="143" t="n"/>
      <c r="L47" s="143" t="n"/>
      <c r="M47" s="143" t="n"/>
      <c r="N47" s="143" t="n"/>
      <c r="O47" s="143" t="n"/>
      <c r="P47" s="143" t="n"/>
      <c r="Q47" s="144" t="n"/>
      <c r="R47" s="143" t="n"/>
      <c r="S47" s="143" t="n"/>
      <c r="T47" s="143" t="n"/>
      <c r="U47" s="143" t="n"/>
      <c r="V47" s="143" t="n"/>
      <c r="W47" s="143" t="n"/>
      <c r="X47" s="144" t="n"/>
      <c r="Y47" s="143" t="n"/>
      <c r="Z47" s="143" t="n"/>
      <c r="AA47" s="143" t="n"/>
      <c r="AB47" s="143" t="n"/>
      <c r="AC47" s="143" t="n"/>
      <c r="AD47" s="143" t="n"/>
      <c r="AE47" s="144" t="n"/>
      <c r="AF47" s="143" t="n"/>
      <c r="AG47" s="143" t="n"/>
      <c r="AH47" s="143" t="n"/>
      <c r="AI47" s="143" t="n"/>
    </row>
    <row r="48" ht="6" customHeight="1"/>
    <row r="49" ht="14" customHeight="1"/>
    <row r="50" ht="14" customHeight="1"/>
    <row r="51" ht="14" customHeight="1"/>
    <row r="52" ht="14" customHeight="1"/>
    <row r="53" ht="14" customHeight="1"/>
    <row r="54" ht="14" customHeight="1"/>
    <row r="55" ht="14" customHeight="1"/>
    <row r="56" ht="14" customHeight="1"/>
    <row r="57" ht="14" customHeight="1"/>
    <row r="58" ht="14" customHeight="1"/>
    <row r="59" ht="14" customHeight="1"/>
    <row r="60" ht="14" customHeight="1"/>
    <row r="61" ht="14" customHeight="1"/>
    <row r="62" ht="14" customHeight="1"/>
    <row r="63" ht="14" customHeight="1"/>
    <row r="64" ht="14" customHeight="1"/>
    <row r="65" ht="14" customHeight="1"/>
    <row r="66" ht="8" customHeight="1"/>
    <row r="67">
      <c r="A67" s="145" t="inlineStr">
        <is>
          <t>MONTHLY SUCCESS RATE</t>
        </is>
      </c>
      <c r="B67" s="9" t="n"/>
      <c r="C67" s="9" t="n"/>
      <c r="D67" s="9" t="n"/>
      <c r="F67" s="146" t="inlineStr">
        <is>
          <t>ACTIVE PROTOCOLS</t>
        </is>
      </c>
      <c r="G67" s="11" t="n"/>
      <c r="H67" s="11" t="n"/>
      <c r="I67" s="11" t="n"/>
      <c r="K67" s="147" t="inlineStr">
        <is>
          <t>PERFECT DAYS (100%)</t>
        </is>
      </c>
      <c r="L67" s="13" t="n"/>
      <c r="M67" s="13" t="n"/>
      <c r="N67" s="13" t="n"/>
      <c r="P67" s="148" t="inlineStr">
        <is>
          <t>AVG SLEEP DURATION</t>
        </is>
      </c>
      <c r="Q67" s="15" t="n"/>
      <c r="R67" s="15" t="n"/>
      <c r="S67" s="15" t="n"/>
    </row>
    <row r="68">
      <c r="A68" s="149">
        <f>IF(SUM(D18:D37)&gt;0, SUM(AM18:AM37)/SUM(D18:D37), 0)</f>
        <v/>
      </c>
      <c r="B68" s="9" t="n"/>
      <c r="C68" s="9" t="n"/>
      <c r="D68" s="9" t="n"/>
      <c r="F68" s="150">
        <f>COUNTA(B18:B37) &amp; " / 20"</f>
        <v/>
      </c>
      <c r="G68" s="11" t="n"/>
      <c r="H68" s="11" t="n"/>
      <c r="I68" s="11" t="n"/>
      <c r="K68" s="151">
        <f>COUNTIF(E39:AI39, 1) &amp; " Days"</f>
        <v/>
      </c>
      <c r="L68" s="13" t="n"/>
      <c r="M68" s="13" t="n"/>
      <c r="N68" s="13" t="n"/>
      <c r="P68" s="152">
        <f>IFERROR(TEXT(AVERAGE(E47:AI47), "0.0") &amp; " hrs", "-")</f>
        <v/>
      </c>
      <c r="Q68" s="15" t="n"/>
      <c r="R68" s="15" t="n"/>
      <c r="S68" s="15" t="n"/>
    </row>
    <row r="69">
      <c r="A69" s="9" t="n"/>
      <c r="B69" s="9" t="n"/>
      <c r="C69" s="9" t="n"/>
      <c r="D69" s="9" t="n"/>
      <c r="F69" s="11" t="n"/>
      <c r="G69" s="11" t="n"/>
      <c r="H69" s="11" t="n"/>
      <c r="I69" s="11" t="n"/>
      <c r="K69" s="13" t="n"/>
      <c r="L69" s="13" t="n"/>
      <c r="M69" s="13" t="n"/>
      <c r="N69" s="13" t="n"/>
      <c r="P69" s="15" t="n"/>
      <c r="Q69" s="15" t="n"/>
      <c r="R69" s="15" t="n"/>
      <c r="S69" s="15" t="n"/>
    </row>
    <row r="70">
      <c r="A70" s="9" t="n"/>
      <c r="B70" s="9" t="n"/>
      <c r="C70" s="9" t="n"/>
      <c r="D70" s="9" t="n"/>
      <c r="F70" s="11" t="n"/>
      <c r="G70" s="11" t="n"/>
      <c r="H70" s="11" t="n"/>
      <c r="I70" s="11" t="n"/>
      <c r="K70" s="13" t="n"/>
      <c r="L70" s="13" t="n"/>
      <c r="M70" s="13" t="n"/>
      <c r="N70" s="13" t="n"/>
      <c r="P70" s="15" t="n"/>
      <c r="Q70" s="15" t="n"/>
      <c r="R70" s="15" t="n"/>
      <c r="S70" s="15" t="n"/>
    </row>
    <row r="71">
      <c r="A71" s="153" t="inlineStr">
        <is>
          <t>Target Completion</t>
        </is>
      </c>
      <c r="B71" s="9" t="n"/>
      <c r="C71" s="9" t="n"/>
      <c r="D71" s="9" t="n"/>
      <c r="F71" s="154" t="inlineStr">
        <is>
          <t>Habits Tracked</t>
        </is>
      </c>
      <c r="G71" s="11" t="n"/>
      <c r="H71" s="11" t="n"/>
      <c r="I71" s="11" t="n"/>
      <c r="K71" s="155" t="inlineStr">
        <is>
          <t>All Marked Habits Completed</t>
        </is>
      </c>
      <c r="L71" s="13" t="n"/>
      <c r="M71" s="13" t="n"/>
      <c r="N71" s="13" t="n"/>
      <c r="P71" s="156" t="inlineStr">
        <is>
          <t>Nightly Rest Average</t>
        </is>
      </c>
      <c r="Q71" s="15" t="n"/>
      <c r="R71" s="15" t="n"/>
      <c r="S71" s="15" t="n"/>
    </row>
    <row r="72" ht="8" customHeight="1"/>
    <row r="73" ht="6" customHeight="1"/>
    <row r="74">
      <c r="A74" s="67" t="inlineStr">
        <is>
          <t>WEEKLY PERFORMANCE (SLUMP DETECTOR)</t>
        </is>
      </c>
      <c r="B74" s="29" t="n"/>
      <c r="C74" s="29" t="n"/>
      <c r="D74" s="29" t="n"/>
      <c r="E74" s="29" t="n"/>
      <c r="N74" s="157" t="inlineStr">
        <is>
          <t>LIFE DOMAIN / CATEGORY BREAKDOWN</t>
        </is>
      </c>
      <c r="O74" s="158" t="n"/>
      <c r="P74" s="158" t="n"/>
      <c r="Q74" s="158" t="n"/>
      <c r="R74" s="158" t="n"/>
      <c r="S74" s="158" t="n"/>
    </row>
    <row r="75" ht="15" customHeight="1">
      <c r="A75" s="53" t="inlineStr">
        <is>
          <t>Week</t>
        </is>
      </c>
      <c r="B75" s="53" t="inlineStr">
        <is>
          <t>Days Range</t>
        </is>
      </c>
      <c r="C75" s="53" t="inlineStr">
        <is>
          <t>Checks Done</t>
        </is>
      </c>
      <c r="D75" s="53" t="inlineStr">
        <is>
          <t>Evaluated</t>
        </is>
      </c>
      <c r="E75" s="53" t="inlineStr">
        <is>
          <t>Success %</t>
        </is>
      </c>
      <c r="N75" s="53" t="inlineStr">
        <is>
          <t>Domain / Category</t>
        </is>
      </c>
      <c r="O75" s="54" t="n"/>
      <c r="P75" s="53" t="inlineStr">
        <is>
          <t>Active Habits</t>
        </is>
      </c>
      <c r="Q75" s="53" t="inlineStr">
        <is>
          <t>Target Days</t>
        </is>
      </c>
      <c r="R75" s="53" t="inlineStr">
        <is>
          <t>Done Checks</t>
        </is>
      </c>
      <c r="S75" s="53" t="inlineStr">
        <is>
          <t>Success %</t>
        </is>
      </c>
    </row>
    <row r="76" ht="14" customHeight="1">
      <c r="A76" s="33" t="inlineStr">
        <is>
          <t>Week 1</t>
        </is>
      </c>
      <c r="B76" s="34" t="inlineStr">
        <is>
          <t>Days 1 - 7</t>
        </is>
      </c>
      <c r="C76" s="34">
        <f>COUNTIF(E18:K37, "✓")</f>
        <v/>
      </c>
      <c r="D76" s="34">
        <f>COUNTIF(E18:K37, "✓") + COUNTIF(E18:K37, "✗")</f>
        <v/>
      </c>
      <c r="E76" s="35">
        <f>IFERROR(C76/D76, 0)</f>
        <v/>
      </c>
      <c r="N76" s="60" t="inlineStr">
        <is>
          <t>Health &amp; Fitness</t>
        </is>
      </c>
      <c r="O76" s="54" t="n"/>
      <c r="P76" s="34">
        <f>COUNTIF($C$18:$C$37, "Health &amp; Fitness")</f>
        <v/>
      </c>
      <c r="Q76" s="34">
        <f>SUMIF($C$18:$C$37, "Health &amp; Fitness", $D$18:$D$37)</f>
        <v/>
      </c>
      <c r="R76" s="34">
        <f>SUMIF($C$18:$C$37, "Health &amp; Fitness", $AM$18:$AM$37)</f>
        <v/>
      </c>
      <c r="S76" s="35">
        <f>IFERROR(R76/Q76, 0)</f>
        <v/>
      </c>
    </row>
    <row r="77" ht="14" customHeight="1">
      <c r="A77" s="33" t="inlineStr">
        <is>
          <t>Week 2</t>
        </is>
      </c>
      <c r="B77" s="34" t="inlineStr">
        <is>
          <t>Days 8 - 14</t>
        </is>
      </c>
      <c r="C77" s="34">
        <f>COUNTIF(L18:R37, "✓")</f>
        <v/>
      </c>
      <c r="D77" s="34">
        <f>COUNTIF(L18:R37, "✓") + COUNTIF(L18:R37, "✗")</f>
        <v/>
      </c>
      <c r="E77" s="35">
        <f>IFERROR(C77/D77, 0)</f>
        <v/>
      </c>
      <c r="N77" s="60" t="inlineStr">
        <is>
          <t>Mindset &amp; Learning</t>
        </is>
      </c>
      <c r="O77" s="54" t="n"/>
      <c r="P77" s="34">
        <f>COUNTIF($C$18:$C$37, "Mindset &amp; Learning")</f>
        <v/>
      </c>
      <c r="Q77" s="34">
        <f>SUMIF($C$18:$C$37, "Mindset &amp; Learning", $D$18:$D$37)</f>
        <v/>
      </c>
      <c r="R77" s="34">
        <f>SUMIF($C$18:$C$37, "Mindset &amp; Learning", $AM$18:$AM$37)</f>
        <v/>
      </c>
      <c r="S77" s="35">
        <f>IFERROR(R77/Q77, 0)</f>
        <v/>
      </c>
    </row>
    <row r="78" ht="14" customHeight="1">
      <c r="A78" s="33" t="inlineStr">
        <is>
          <t>Week 3</t>
        </is>
      </c>
      <c r="B78" s="34" t="inlineStr">
        <is>
          <t>Days 15 - 21</t>
        </is>
      </c>
      <c r="C78" s="34">
        <f>COUNTIF(S18:Y37, "✓")</f>
        <v/>
      </c>
      <c r="D78" s="34">
        <f>COUNTIF(S18:Y37, "✓") + COUNTIF(S18:Y37, "✗")</f>
        <v/>
      </c>
      <c r="E78" s="35">
        <f>IFERROR(C78/D78, 0)</f>
        <v/>
      </c>
      <c r="N78" s="60" t="inlineStr">
        <is>
          <t>Career &amp; Focus</t>
        </is>
      </c>
      <c r="O78" s="54" t="n"/>
      <c r="P78" s="34">
        <f>COUNTIF($C$18:$C$37, "Career &amp; Focus")</f>
        <v/>
      </c>
      <c r="Q78" s="34">
        <f>SUMIF($C$18:$C$37, "Career &amp; Focus", $D$18:$D$37)</f>
        <v/>
      </c>
      <c r="R78" s="34">
        <f>SUMIF($C$18:$C$37, "Career &amp; Focus", $AM$18:$AM$37)</f>
        <v/>
      </c>
      <c r="S78" s="35">
        <f>IFERROR(R78/Q78, 0)</f>
        <v/>
      </c>
    </row>
    <row r="79" ht="14" customHeight="1">
      <c r="A79" s="33" t="inlineStr">
        <is>
          <t>Week 4</t>
        </is>
      </c>
      <c r="B79" s="34" t="inlineStr">
        <is>
          <t>Days 22 - 28</t>
        </is>
      </c>
      <c r="C79" s="34">
        <f>COUNTIF(Z18:AF37, "✓")</f>
        <v/>
      </c>
      <c r="D79" s="34">
        <f>COUNTIF(Z18:AF37, "✓") + COUNTIF(Z18:AF37, "✗")</f>
        <v/>
      </c>
      <c r="E79" s="35">
        <f>IFERROR(C79/D79, 0)</f>
        <v/>
      </c>
      <c r="N79" s="60" t="inlineStr">
        <is>
          <t>Personal &amp; Home</t>
        </is>
      </c>
      <c r="O79" s="54" t="n"/>
      <c r="P79" s="34">
        <f>COUNTIF($C$18:$C$37, "Personal &amp; Home")</f>
        <v/>
      </c>
      <c r="Q79" s="34">
        <f>SUMIF($C$18:$C$37, "Personal &amp; Home", $D$18:$D$37)</f>
        <v/>
      </c>
      <c r="R79" s="34">
        <f>SUMIF($C$18:$C$37, "Personal &amp; Home", $AM$18:$AM$37)</f>
        <v/>
      </c>
      <c r="S79" s="35">
        <f>IFERROR(R79/Q79, 0)</f>
        <v/>
      </c>
    </row>
    <row r="80" ht="14" customHeight="1">
      <c r="A80" s="33" t="inlineStr">
        <is>
          <t>Week 5</t>
        </is>
      </c>
      <c r="B80" s="34" t="inlineStr">
        <is>
          <t>Days 29 - 31</t>
        </is>
      </c>
      <c r="C80" s="34">
        <f>COUNTIF(AG18:AI37, "✓")</f>
        <v/>
      </c>
      <c r="D80" s="34">
        <f>COUNTIF(AG18:AI37, "✓") + COUNTIF(AG18:AI37, "✗")</f>
        <v/>
      </c>
      <c r="E80" s="35">
        <f>IFERROR(C80/D80, 0)</f>
        <v/>
      </c>
      <c r="N80" s="60" t="inlineStr">
        <is>
          <t>Finance &amp; Wealth</t>
        </is>
      </c>
      <c r="O80" s="54" t="n"/>
      <c r="P80" s="34">
        <f>COUNTIF($C$18:$C$37, "Finance &amp; Wealth")</f>
        <v/>
      </c>
      <c r="Q80" s="34">
        <f>SUMIF($C$18:$C$37, "Finance &amp; Wealth", $D$18:$D$37)</f>
        <v/>
      </c>
      <c r="R80" s="34">
        <f>SUMIF($C$18:$C$37, "Finance &amp; Wealth", $AM$18:$AM$37)</f>
        <v/>
      </c>
      <c r="S80" s="35">
        <f>IFERROR(R80/Q80, 0)</f>
        <v/>
      </c>
    </row>
    <row r="81" ht="14" customHeight="1">
      <c r="A81" s="33" t="inlineStr">
        <is>
          <t>Total / Avg</t>
        </is>
      </c>
      <c r="B81" s="159" t="inlineStr">
        <is>
          <t>Month Total</t>
        </is>
      </c>
      <c r="C81" s="33">
        <f>SUM(C76:C80)</f>
        <v/>
      </c>
      <c r="D81" s="33">
        <f>SUM(D76:D80)</f>
        <v/>
      </c>
      <c r="E81" s="133">
        <f>IFERROR(C81/D81, 0)</f>
        <v/>
      </c>
    </row>
    <row r="82" ht="10" customHeight="1"/>
    <row r="83" ht="10" customHeight="1"/>
    <row r="84">
      <c r="A84" s="51" t="inlineStr">
        <is>
          <t>SLEEP &amp; PRODUCTIVITY CORRELATION ANALYSIS</t>
        </is>
      </c>
      <c r="B84" s="52" t="n"/>
      <c r="C84" s="52" t="n"/>
      <c r="D84" s="52" t="n"/>
      <c r="E84" s="52" t="n"/>
      <c r="F84" s="52" t="n"/>
      <c r="G84" s="52" t="n"/>
      <c r="H84" s="52" t="n"/>
      <c r="I84" s="52" t="n"/>
      <c r="J84" s="52" t="n"/>
      <c r="K84" s="52" t="n"/>
      <c r="L84" s="52" t="n"/>
      <c r="M84" s="52" t="n"/>
      <c r="N84" s="52" t="n"/>
      <c r="O84" s="52" t="n"/>
      <c r="P84" s="52" t="n"/>
      <c r="Q84" s="52" t="n"/>
      <c r="R84" s="52" t="n"/>
      <c r="S84" s="52" t="n"/>
      <c r="T84" s="52" t="n"/>
      <c r="U84" s="52" t="n"/>
      <c r="V84" s="52" t="n"/>
      <c r="W84" s="52" t="n"/>
      <c r="X84" s="52" t="n"/>
      <c r="Y84" s="52" t="n"/>
      <c r="Z84" s="52" t="n"/>
      <c r="AA84" s="52" t="n"/>
      <c r="AB84" s="52" t="n"/>
      <c r="AC84" s="52" t="n"/>
      <c r="AD84" s="52" t="n"/>
      <c r="AE84" s="52" t="n"/>
      <c r="AF84" s="52" t="n"/>
      <c r="AG84" s="52" t="n"/>
      <c r="AH84" s="52" t="n"/>
      <c r="AI84" s="52" t="n"/>
      <c r="AJ84" s="52" t="n"/>
      <c r="AK84" s="52" t="n"/>
      <c r="AL84" s="52" t="n"/>
    </row>
    <row r="85" ht="15" customHeight="1">
      <c r="A85" s="53" t="inlineStr">
        <is>
          <t>Rest Category</t>
        </is>
      </c>
      <c r="B85" s="54" t="n"/>
      <c r="C85" s="54" t="n"/>
      <c r="D85" s="53" t="inlineStr">
        <is>
          <t>Day Criteria</t>
        </is>
      </c>
      <c r="E85" s="54" t="n"/>
      <c r="F85" s="54" t="n"/>
      <c r="G85" s="53" t="inlineStr">
        <is>
          <t>Days Logged</t>
        </is>
      </c>
      <c r="H85" s="54" t="n"/>
      <c r="I85" s="54" t="n"/>
      <c r="J85" s="53" t="inlineStr">
        <is>
          <t>Avg Sleep Duration</t>
        </is>
      </c>
      <c r="K85" s="54" t="n"/>
      <c r="L85" s="54" t="n"/>
      <c r="M85" s="54" t="n"/>
      <c r="N85" s="53" t="inlineStr">
        <is>
          <t>Avg Habit Success %</t>
        </is>
      </c>
      <c r="O85" s="54" t="n"/>
      <c r="P85" s="54" t="n"/>
      <c r="Q85" s="54" t="n"/>
      <c r="R85" s="53" t="inlineStr">
        <is>
          <t>Productivity Delta</t>
        </is>
      </c>
      <c r="S85" s="54" t="n"/>
      <c r="T85" s="54" t="n"/>
      <c r="U85" s="54" t="n"/>
    </row>
    <row r="86" ht="15" customHeight="1">
      <c r="A86" s="160" t="inlineStr">
        <is>
          <t>Optimal Rest</t>
        </is>
      </c>
      <c r="B86" s="161" t="n"/>
      <c r="C86" s="56" t="n"/>
      <c r="D86" s="34" t="inlineStr">
        <is>
          <t>&gt;= 7 Hours / Night</t>
        </is>
      </c>
      <c r="E86" s="161" t="n"/>
      <c r="F86" s="56" t="n"/>
      <c r="G86" s="33">
        <f>COUNTIF(E47:AI47, "&gt;=7")</f>
        <v/>
      </c>
      <c r="H86" s="161" t="n"/>
      <c r="I86" s="56" t="n"/>
      <c r="J86" s="34">
        <f>IFERROR(TEXT(AVERAGEIF(E47:AI47, "&gt;=7"), "0.0") &amp; " hrs", "-")</f>
        <v/>
      </c>
      <c r="K86" s="161" t="n"/>
      <c r="L86" s="161" t="n"/>
      <c r="M86" s="56" t="n"/>
      <c r="N86" s="42">
        <f>IFERROR(AVERAGEIFS(E39:AI39, E47:AI47, "&gt;=7", E39:AI39, "&gt;0"), 0)</f>
        <v/>
      </c>
      <c r="O86" s="161" t="n"/>
      <c r="P86" s="161" t="n"/>
      <c r="Q86" s="56" t="n"/>
      <c r="R86" s="159" t="inlineStr">
        <is>
          <t>Baseline (Target)</t>
        </is>
      </c>
      <c r="S86" s="161" t="n"/>
      <c r="T86" s="161" t="n"/>
      <c r="U86" s="56" t="n"/>
    </row>
    <row r="87" ht="15" customHeight="1">
      <c r="A87" s="162" t="inlineStr">
        <is>
          <t>Sleep Deficit</t>
        </is>
      </c>
      <c r="B87" s="161" t="n"/>
      <c r="C87" s="56" t="n"/>
      <c r="D87" s="34" t="inlineStr">
        <is>
          <t>&lt; 7 Hours / Night</t>
        </is>
      </c>
      <c r="E87" s="161" t="n"/>
      <c r="F87" s="56" t="n"/>
      <c r="G87" s="33">
        <f>COUNTIF(E47:AI47, "&lt;7") - COUNTIF(E47:AI47, "")</f>
        <v/>
      </c>
      <c r="H87" s="161" t="n"/>
      <c r="I87" s="56" t="n"/>
      <c r="J87" s="34">
        <f>IFERROR(TEXT(AVERAGEIFS(E47:AI47, E47:AI47, "&lt;7", E47:AI47, "&gt;0"), "0.0") &amp; " hrs", "-")</f>
        <v/>
      </c>
      <c r="K87" s="161" t="n"/>
      <c r="L87" s="161" t="n"/>
      <c r="M87" s="56" t="n"/>
      <c r="N87" s="163">
        <f>IFERROR(AVERAGEIFS(E39:AI39, E47:AI47, "&lt;7", E39:AI39, "&gt;0"), 0)</f>
        <v/>
      </c>
      <c r="O87" s="161" t="n"/>
      <c r="P87" s="161" t="n"/>
      <c r="Q87" s="56" t="n"/>
      <c r="R87" s="160">
        <f>IFERROR(TEXT(N86 - N87, "+0.0%;-0.0%;0.0%") &amp; " Rest Advantage", "-")</f>
        <v/>
      </c>
      <c r="S87" s="161" t="n"/>
      <c r="T87" s="161" t="n"/>
      <c r="U87" s="56" t="n"/>
    </row>
    <row r="88" ht="18" customHeight="1">
      <c r="A88" s="164">
        <f>IF(AND(ISNUMBER(N86), ISNUMBER(N87), N86&gt;0, N87&gt;0), "💡 Sleep Correlation Insight: You complete " &amp; TEXT(ABS(N86-N87), "0.0%") &amp; IF(N86&gt;=N87, " MORE habits on days with 7+ hours of sleep!", " fewer habits on days with 7+ hours of sleep."), "💡 Log both habits and sleep hours daily to unlock automatic AI correlation insights!")</f>
        <v/>
      </c>
      <c r="B88" s="161" t="n"/>
      <c r="C88" s="161" t="n"/>
      <c r="D88" s="161" t="n"/>
      <c r="E88" s="161" t="n"/>
      <c r="F88" s="161" t="n"/>
      <c r="G88" s="161" t="n"/>
      <c r="H88" s="161" t="n"/>
      <c r="I88" s="161" t="n"/>
      <c r="J88" s="161" t="n"/>
      <c r="K88" s="161" t="n"/>
      <c r="L88" s="161" t="n"/>
      <c r="M88" s="161" t="n"/>
      <c r="N88" s="161" t="n"/>
      <c r="O88" s="161" t="n"/>
      <c r="P88" s="161" t="n"/>
      <c r="Q88" s="161" t="n"/>
      <c r="R88" s="161" t="n"/>
      <c r="S88" s="161" t="n"/>
      <c r="T88" s="161" t="n"/>
      <c r="U88" s="161" t="n"/>
      <c r="V88" s="161" t="n"/>
      <c r="W88" s="161" t="n"/>
      <c r="X88" s="161" t="n"/>
      <c r="Y88" s="161" t="n"/>
      <c r="Z88" s="161" t="n"/>
      <c r="AA88" s="161" t="n"/>
      <c r="AB88" s="161" t="n"/>
      <c r="AC88" s="161" t="n"/>
      <c r="AD88" s="161" t="n"/>
      <c r="AE88" s="161" t="n"/>
      <c r="AF88" s="161" t="n"/>
      <c r="AG88" s="161" t="n"/>
      <c r="AH88" s="161" t="n"/>
      <c r="AI88" s="161" t="n"/>
      <c r="AJ88" s="161" t="n"/>
      <c r="AK88" s="161" t="n"/>
      <c r="AL88" s="56" t="n"/>
    </row>
    <row r="89" ht="10" customHeight="1"/>
    <row r="90">
      <c r="A90" s="43" t="inlineStr">
        <is>
          <t>STANDARDIZED DATA BRIDGE (FOR ANNUAL &amp; QUARTERLY REVIEW SHEETS)</t>
        </is>
      </c>
      <c r="B90" s="44" t="n"/>
      <c r="C90" s="44" t="n"/>
      <c r="D90" s="44" t="n"/>
      <c r="E90" s="44" t="n"/>
      <c r="F90" s="44" t="n"/>
      <c r="G90" s="44" t="n"/>
      <c r="H90" s="44" t="n"/>
      <c r="I90" s="44" t="n"/>
      <c r="J90" s="44" t="n"/>
      <c r="K90" s="44" t="n"/>
      <c r="L90" s="44" t="n"/>
      <c r="M90" s="44" t="n"/>
      <c r="N90" s="44" t="n"/>
      <c r="O90" s="44" t="n"/>
      <c r="P90" s="44" t="n"/>
      <c r="Q90" s="44" t="n"/>
      <c r="R90" s="44" t="n"/>
      <c r="S90" s="44" t="n"/>
      <c r="T90" s="44" t="n"/>
      <c r="U90" s="44" t="n"/>
      <c r="V90" s="44" t="n"/>
      <c r="W90" s="44" t="n"/>
      <c r="X90" s="44" t="n"/>
      <c r="Y90" s="44" t="n"/>
      <c r="Z90" s="44" t="n"/>
      <c r="AA90" s="44" t="n"/>
      <c r="AB90" s="44" t="n"/>
      <c r="AC90" s="44" t="n"/>
      <c r="AD90" s="44" t="n"/>
      <c r="AE90" s="44" t="n"/>
      <c r="AF90" s="44" t="n"/>
      <c r="AG90" s="44" t="n"/>
      <c r="AH90" s="44" t="n"/>
      <c r="AI90" s="44" t="n"/>
      <c r="AJ90" s="44" t="n"/>
      <c r="AK90" s="44" t="n"/>
      <c r="AL90" s="44" t="n"/>
    </row>
    <row r="91" ht="15" customHeight="1">
      <c r="A91" s="53" t="inlineStr">
        <is>
          <t>Month</t>
        </is>
      </c>
      <c r="B91" s="54" t="n"/>
      <c r="C91" s="53" t="inlineStr">
        <is>
          <t>Year</t>
        </is>
      </c>
      <c r="D91" s="54" t="n"/>
      <c r="E91" s="53" t="inlineStr">
        <is>
          <t>Active Habits</t>
        </is>
      </c>
      <c r="F91" s="54" t="n"/>
      <c r="G91" s="53" t="inlineStr">
        <is>
          <t>Target Days</t>
        </is>
      </c>
      <c r="H91" s="54" t="n"/>
      <c r="I91" s="53" t="inlineStr">
        <is>
          <t>Done Checks</t>
        </is>
      </c>
      <c r="J91" s="54" t="n"/>
      <c r="K91" s="53" t="inlineStr">
        <is>
          <t>Success %</t>
        </is>
      </c>
      <c r="L91" s="54" t="n"/>
      <c r="M91" s="53" t="inlineStr">
        <is>
          <t>Perfect Days</t>
        </is>
      </c>
      <c r="N91" s="54" t="n"/>
      <c r="O91" s="53" t="inlineStr">
        <is>
          <t>Avg Sleep</t>
        </is>
      </c>
      <c r="P91" s="54" t="n"/>
      <c r="Q91" s="53" t="inlineStr">
        <is>
          <t>Best Week</t>
        </is>
      </c>
      <c r="R91" s="54" t="n"/>
      <c r="S91" s="54" t="n"/>
      <c r="T91" s="53" t="inlineStr">
        <is>
          <t>Top Life Domain</t>
        </is>
      </c>
      <c r="U91" s="54" t="n"/>
      <c r="V91" s="54" t="n"/>
      <c r="W91" s="54" t="n"/>
    </row>
    <row r="92" ht="16" customHeight="1">
      <c r="A92" s="165" t="inlineStr">
        <is>
          <t>Dec</t>
        </is>
      </c>
      <c r="B92" s="56" t="n"/>
      <c r="C92" s="165" t="n">
        <v>2026</v>
      </c>
      <c r="D92" s="56" t="n"/>
      <c r="E92" s="166">
        <f>COUNTA(B18:B37)</f>
        <v/>
      </c>
      <c r="F92" s="56" t="n"/>
      <c r="G92" s="166">
        <f>SUM(D18:D37)</f>
        <v/>
      </c>
      <c r="H92" s="56" t="n"/>
      <c r="I92" s="166">
        <f>SUM(AM18:AM37)</f>
        <v/>
      </c>
      <c r="J92" s="56" t="n"/>
      <c r="K92" s="167">
        <f>IF(G92&gt;0, I92/G92, 0)</f>
        <v/>
      </c>
      <c r="L92" s="56" t="n"/>
      <c r="M92" s="166">
        <f>COUNTIF(E39:AI39, 1)</f>
        <v/>
      </c>
      <c r="N92" s="56" t="n"/>
      <c r="O92" s="168">
        <f>IFERROR(AVERAGE(E47:AI47), 0)</f>
        <v/>
      </c>
      <c r="P92" s="56" t="n"/>
      <c r="Q92" s="166">
        <f>INDEX(A76:A80, MATCH(MAX(E76:E80), E76:E80, 0))</f>
        <v/>
      </c>
      <c r="R92" s="161" t="n"/>
      <c r="S92" s="56" t="n"/>
      <c r="T92" s="166">
        <f>INDEX(N76:N80, MATCH(MAX(S76:S80), S76:S80, 0))</f>
        <v/>
      </c>
      <c r="U92" s="161" t="n"/>
      <c r="V92" s="161" t="n"/>
      <c r="W92" s="56" t="n"/>
    </row>
    <row r="93" ht="14" customHeight="1">
      <c r="A93" s="169" t="inlineStr">
        <is>
          <t>📋 Note: Reference or copy Row 92 directly into an Annual / Quarterly review dashboard to track yearly habit trends.</t>
        </is>
      </c>
    </row>
    <row r="94" ht="8" customHeight="1"/>
    <row r="95">
      <c r="A95" s="170" t="inlineStr">
        <is>
          <t>🏆 MONTHLY WINS &amp; HIGHLIGHTS</t>
        </is>
      </c>
      <c r="J95" s="171" t="inlineStr">
        <is>
          <t>⚠️ FRICTION POINTS &amp; ROOT CAUSES</t>
        </is>
      </c>
      <c r="S95" s="172" t="inlineStr">
        <is>
          <t>🎯 3 KEY ADJUSTMENTS FOR NEXT MONTH</t>
        </is>
      </c>
    </row>
    <row r="96">
      <c r="A96" s="173" t="inlineStr">
        <is>
          <t>1. What went exceptionally well this month?
2. Which habit felt effortless and consistent?
3. Major milestone achieved:</t>
        </is>
      </c>
      <c r="B96" s="174" t="n"/>
      <c r="C96" s="174" t="n"/>
      <c r="D96" s="174" t="n"/>
      <c r="E96" s="174" t="n"/>
      <c r="F96" s="174" t="n"/>
      <c r="G96" s="174" t="n"/>
      <c r="H96" s="174" t="n"/>
      <c r="J96" s="175" t="inlineStr">
        <is>
          <t>1. What caused missed or skipped days?
2. Main triggers / energy drains encountered:
3. Which habit had the lowest consistency and why?</t>
        </is>
      </c>
      <c r="K96" s="176" t="n"/>
      <c r="L96" s="176" t="n"/>
      <c r="M96" s="176" t="n"/>
      <c r="N96" s="176" t="n"/>
      <c r="O96" s="176" t="n"/>
      <c r="P96" s="176" t="n"/>
      <c r="Q96" s="176" t="n"/>
      <c r="S96" s="177" t="inlineStr">
        <is>
          <t>1. Habit Stacking or time adjustment for next month:
2. Environment design change to eliminate friction:
3. One non-negotiable priority protocol:</t>
        </is>
      </c>
      <c r="T96" s="178" t="n"/>
      <c r="U96" s="178" t="n"/>
      <c r="V96" s="178" t="n"/>
      <c r="W96" s="178" t="n"/>
      <c r="X96" s="178" t="n"/>
      <c r="Y96" s="178" t="n"/>
      <c r="Z96" s="178" t="n"/>
    </row>
    <row r="97">
      <c r="A97" s="174" t="n"/>
      <c r="B97" s="174" t="n"/>
      <c r="C97" s="174" t="n"/>
      <c r="D97" s="174" t="n"/>
      <c r="E97" s="174" t="n"/>
      <c r="F97" s="174" t="n"/>
      <c r="G97" s="174" t="n"/>
      <c r="H97" s="174" t="n"/>
      <c r="J97" s="176" t="n"/>
      <c r="K97" s="176" t="n"/>
      <c r="L97" s="176" t="n"/>
      <c r="M97" s="176" t="n"/>
      <c r="N97" s="176" t="n"/>
      <c r="O97" s="176" t="n"/>
      <c r="P97" s="176" t="n"/>
      <c r="Q97" s="176" t="n"/>
      <c r="S97" s="178" t="n"/>
      <c r="T97" s="178" t="n"/>
      <c r="U97" s="178" t="n"/>
      <c r="V97" s="178" t="n"/>
      <c r="W97" s="178" t="n"/>
      <c r="X97" s="178" t="n"/>
      <c r="Y97" s="178" t="n"/>
      <c r="Z97" s="178" t="n"/>
    </row>
    <row r="98">
      <c r="A98" s="174" t="n"/>
      <c r="B98" s="174" t="n"/>
      <c r="C98" s="174" t="n"/>
      <c r="D98" s="174" t="n"/>
      <c r="E98" s="174" t="n"/>
      <c r="F98" s="174" t="n"/>
      <c r="G98" s="174" t="n"/>
      <c r="H98" s="174" t="n"/>
      <c r="J98" s="176" t="n"/>
      <c r="K98" s="176" t="n"/>
      <c r="L98" s="176" t="n"/>
      <c r="M98" s="176" t="n"/>
      <c r="N98" s="176" t="n"/>
      <c r="O98" s="176" t="n"/>
      <c r="P98" s="176" t="n"/>
      <c r="Q98" s="176" t="n"/>
      <c r="S98" s="178" t="n"/>
      <c r="T98" s="178" t="n"/>
      <c r="U98" s="178" t="n"/>
      <c r="V98" s="178" t="n"/>
      <c r="W98" s="178" t="n"/>
      <c r="X98" s="178" t="n"/>
      <c r="Y98" s="178" t="n"/>
      <c r="Z98" s="178" t="n"/>
    </row>
    <row r="99">
      <c r="A99" s="174" t="n"/>
      <c r="B99" s="174" t="n"/>
      <c r="C99" s="174" t="n"/>
      <c r="D99" s="174" t="n"/>
      <c r="E99" s="174" t="n"/>
      <c r="F99" s="174" t="n"/>
      <c r="G99" s="174" t="n"/>
      <c r="H99" s="174" t="n"/>
      <c r="J99" s="176" t="n"/>
      <c r="K99" s="176" t="n"/>
      <c r="L99" s="176" t="n"/>
      <c r="M99" s="176" t="n"/>
      <c r="N99" s="176" t="n"/>
      <c r="O99" s="176" t="n"/>
      <c r="P99" s="176" t="n"/>
      <c r="Q99" s="176" t="n"/>
      <c r="S99" s="178" t="n"/>
      <c r="T99" s="178" t="n"/>
      <c r="U99" s="178" t="n"/>
      <c r="V99" s="178" t="n"/>
      <c r="W99" s="178" t="n"/>
      <c r="X99" s="178" t="n"/>
      <c r="Y99" s="178" t="n"/>
      <c r="Z99" s="178" t="n"/>
    </row>
    <row r="100">
      <c r="A100" s="174" t="n"/>
      <c r="B100" s="174" t="n"/>
      <c r="C100" s="174" t="n"/>
      <c r="D100" s="174" t="n"/>
      <c r="E100" s="174" t="n"/>
      <c r="F100" s="174" t="n"/>
      <c r="G100" s="174" t="n"/>
      <c r="H100" s="174" t="n"/>
      <c r="J100" s="176" t="n"/>
      <c r="K100" s="176" t="n"/>
      <c r="L100" s="176" t="n"/>
      <c r="M100" s="176" t="n"/>
      <c r="N100" s="176" t="n"/>
      <c r="O100" s="176" t="n"/>
      <c r="P100" s="176" t="n"/>
      <c r="Q100" s="176" t="n"/>
      <c r="S100" s="178" t="n"/>
      <c r="T100" s="178" t="n"/>
      <c r="U100" s="178" t="n"/>
      <c r="V100" s="178" t="n"/>
      <c r="W100" s="178" t="n"/>
      <c r="X100" s="178" t="n"/>
      <c r="Y100" s="178" t="n"/>
      <c r="Z100" s="178" t="n"/>
    </row>
    <row r="101">
      <c r="A101" s="174" t="n"/>
      <c r="B101" s="174" t="n"/>
      <c r="C101" s="174" t="n"/>
      <c r="D101" s="174" t="n"/>
      <c r="E101" s="174" t="n"/>
      <c r="F101" s="174" t="n"/>
      <c r="G101" s="174" t="n"/>
      <c r="H101" s="174" t="n"/>
      <c r="J101" s="176" t="n"/>
      <c r="K101" s="176" t="n"/>
      <c r="L101" s="176" t="n"/>
      <c r="M101" s="176" t="n"/>
      <c r="N101" s="176" t="n"/>
      <c r="O101" s="176" t="n"/>
      <c r="P101" s="176" t="n"/>
      <c r="Q101" s="176" t="n"/>
      <c r="S101" s="178" t="n"/>
      <c r="T101" s="178" t="n"/>
      <c r="U101" s="178" t="n"/>
      <c r="V101" s="178" t="n"/>
      <c r="W101" s="178" t="n"/>
      <c r="X101" s="178" t="n"/>
      <c r="Y101" s="178" t="n"/>
      <c r="Z101" s="178" t="n"/>
    </row>
    <row r="102">
      <c r="A102" s="174" t="n"/>
      <c r="B102" s="174" t="n"/>
      <c r="C102" s="174" t="n"/>
      <c r="D102" s="174" t="n"/>
      <c r="E102" s="174" t="n"/>
      <c r="F102" s="174" t="n"/>
      <c r="G102" s="174" t="n"/>
      <c r="H102" s="174" t="n"/>
      <c r="J102" s="176" t="n"/>
      <c r="K102" s="176" t="n"/>
      <c r="L102" s="176" t="n"/>
      <c r="M102" s="176" t="n"/>
      <c r="N102" s="176" t="n"/>
      <c r="O102" s="176" t="n"/>
      <c r="P102" s="176" t="n"/>
      <c r="Q102" s="176" t="n"/>
      <c r="S102" s="178" t="n"/>
      <c r="T102" s="178" t="n"/>
      <c r="U102" s="178" t="n"/>
      <c r="V102" s="178" t="n"/>
      <c r="W102" s="178" t="n"/>
      <c r="X102" s="178" t="n"/>
      <c r="Y102" s="178" t="n"/>
      <c r="Z102" s="178" t="n"/>
    </row>
    <row r="103">
      <c r="A103" s="174" t="n"/>
      <c r="B103" s="174" t="n"/>
      <c r="C103" s="174" t="n"/>
      <c r="D103" s="174" t="n"/>
      <c r="E103" s="174" t="n"/>
      <c r="F103" s="174" t="n"/>
      <c r="G103" s="174" t="n"/>
      <c r="H103" s="174" t="n"/>
      <c r="J103" s="176" t="n"/>
      <c r="K103" s="176" t="n"/>
      <c r="L103" s="176" t="n"/>
      <c r="M103" s="176" t="n"/>
      <c r="N103" s="176" t="n"/>
      <c r="O103" s="176" t="n"/>
      <c r="P103" s="176" t="n"/>
      <c r="Q103" s="176" t="n"/>
      <c r="S103" s="178" t="n"/>
      <c r="T103" s="178" t="n"/>
      <c r="U103" s="178" t="n"/>
      <c r="V103" s="178" t="n"/>
      <c r="W103" s="178" t="n"/>
      <c r="X103" s="178" t="n"/>
      <c r="Y103" s="178" t="n"/>
      <c r="Z103" s="178" t="n"/>
    </row>
  </sheetData>
  <sheetProtection selectLockedCells="1" selectUnlockedCells="1" sheet="1" objects="0" insertRows="1" insertHyperlinks="1" autoFilter="1" scenarios="0" formatColumns="1" deleteColumns="1" insertColumns="1" pivotTables="1" deleteRows="1" formatCells="1" formatRows="1" sort="1"/>
  <mergeCells count="94">
    <mergeCell ref="A9:N9"/>
    <mergeCell ref="N76:O76"/>
    <mergeCell ref="F67:I67"/>
    <mergeCell ref="G87:I87"/>
    <mergeCell ref="A16:A17"/>
    <mergeCell ref="A45:D46"/>
    <mergeCell ref="C16:C17"/>
    <mergeCell ref="N75:O75"/>
    <mergeCell ref="N77:O77"/>
    <mergeCell ref="AE2:AL2"/>
    <mergeCell ref="P9:AL9"/>
    <mergeCell ref="P68:S70"/>
    <mergeCell ref="D16:D17"/>
    <mergeCell ref="N85:Q85"/>
    <mergeCell ref="A95:H95"/>
    <mergeCell ref="A84:AL84"/>
    <mergeCell ref="Q91:S91"/>
    <mergeCell ref="E91:F91"/>
    <mergeCell ref="A8:N8"/>
    <mergeCell ref="A42:AL42"/>
    <mergeCell ref="G91:H91"/>
    <mergeCell ref="J86:M86"/>
    <mergeCell ref="H3:AD3"/>
    <mergeCell ref="K67:N67"/>
    <mergeCell ref="S95:Z95"/>
    <mergeCell ref="N79:O79"/>
    <mergeCell ref="K92:L92"/>
    <mergeCell ref="C92:D92"/>
    <mergeCell ref="M92:N92"/>
    <mergeCell ref="F71:I71"/>
    <mergeCell ref="A88:AL88"/>
    <mergeCell ref="K68:N70"/>
    <mergeCell ref="T91:W91"/>
    <mergeCell ref="A41:AL41"/>
    <mergeCell ref="A90:AL90"/>
    <mergeCell ref="J95:Q95"/>
    <mergeCell ref="D85:F85"/>
    <mergeCell ref="N74:S74"/>
    <mergeCell ref="H2:AD2"/>
    <mergeCell ref="F68:I70"/>
    <mergeCell ref="A91:B91"/>
    <mergeCell ref="N78:O78"/>
    <mergeCell ref="C91:D91"/>
    <mergeCell ref="M91:N91"/>
    <mergeCell ref="O91:P91"/>
    <mergeCell ref="R86:U86"/>
    <mergeCell ref="N80:O80"/>
    <mergeCell ref="B16:B17"/>
    <mergeCell ref="A71:D71"/>
    <mergeCell ref="J85:M85"/>
    <mergeCell ref="D86:F86"/>
    <mergeCell ref="A92:B92"/>
    <mergeCell ref="N87:Q87"/>
    <mergeCell ref="A1:B1"/>
    <mergeCell ref="E92:F92"/>
    <mergeCell ref="AL16:AL17"/>
    <mergeCell ref="A68:D70"/>
    <mergeCell ref="P71:S71"/>
    <mergeCell ref="A86:C86"/>
    <mergeCell ref="D87:F87"/>
    <mergeCell ref="O92:P92"/>
    <mergeCell ref="A6:N6"/>
    <mergeCell ref="A39:D39"/>
    <mergeCell ref="P8:AL8"/>
    <mergeCell ref="P7:AL7"/>
    <mergeCell ref="G86:I86"/>
    <mergeCell ref="A96:H103"/>
    <mergeCell ref="P67:S67"/>
    <mergeCell ref="T92:W92"/>
    <mergeCell ref="R85:U85"/>
    <mergeCell ref="K71:N71"/>
    <mergeCell ref="S96:Z103"/>
    <mergeCell ref="A93:AL93"/>
    <mergeCell ref="A38:D38"/>
    <mergeCell ref="A67:D67"/>
    <mergeCell ref="I91:J91"/>
    <mergeCell ref="A85:C85"/>
    <mergeCell ref="K91:L91"/>
    <mergeCell ref="N86:Q86"/>
    <mergeCell ref="A7:N7"/>
    <mergeCell ref="P6:AL6"/>
    <mergeCell ref="A74:E74"/>
    <mergeCell ref="G85:I85"/>
    <mergeCell ref="G92:H92"/>
    <mergeCell ref="I92:J92"/>
    <mergeCell ref="R87:U87"/>
    <mergeCell ref="AK16:AK17"/>
    <mergeCell ref="J87:M87"/>
    <mergeCell ref="AJ16:AJ17"/>
    <mergeCell ref="J96:Q103"/>
    <mergeCell ref="A12:AL14"/>
    <mergeCell ref="Q92:S92"/>
    <mergeCell ref="A87:C87"/>
    <mergeCell ref="A47:D47"/>
  </mergeCells>
  <conditionalFormatting sqref="AJ18:AJ37">
    <cfRule type="dataBar" priority="1">
      <dataBar>
        <cfvo type="num" val="0"/>
        <cfvo type="num" val="1"/>
        <color rgb="0010B981"/>
      </dataBar>
    </cfRule>
  </conditionalFormatting>
  <conditionalFormatting sqref="E18:AI37">
    <cfRule type="cellIs" priority="2" operator="equal" dxfId="0">
      <formula>"✓"</formula>
    </cfRule>
    <cfRule type="cellIs" priority="3" operator="equal" dxfId="0">
      <formula>"✔"</formula>
    </cfRule>
    <cfRule type="cellIs" priority="4" operator="equal" dxfId="1">
      <formula>"✗"</formula>
    </cfRule>
    <cfRule type="cellIs" priority="5" operator="equal" dxfId="1">
      <formula>"x"</formula>
    </cfRule>
    <cfRule type="cellIs" priority="6" operator="equal" dxfId="1">
      <formula>"X"</formula>
    </cfRule>
  </conditionalFormatting>
  <conditionalFormatting sqref="E16:E17">
    <cfRule type="expression" priority="7" dxfId="2">
      <formula>AND(DAY(TODAY())=1, MONTH(TODAY())=12, YEAR(TODAY())=2026)</formula>
    </cfRule>
  </conditionalFormatting>
  <conditionalFormatting sqref="F16:F17">
    <cfRule type="expression" priority="8" dxfId="2">
      <formula>AND(DAY(TODAY())=2, MONTH(TODAY())=12, YEAR(TODAY())=2026)</formula>
    </cfRule>
  </conditionalFormatting>
  <conditionalFormatting sqref="G16:G17">
    <cfRule type="expression" priority="9" dxfId="2">
      <formula>AND(DAY(TODAY())=3, MONTH(TODAY())=12, YEAR(TODAY())=2026)</formula>
    </cfRule>
  </conditionalFormatting>
  <conditionalFormatting sqref="H16:H17">
    <cfRule type="expression" priority="10" dxfId="2">
      <formula>AND(DAY(TODAY())=4, MONTH(TODAY())=12, YEAR(TODAY())=2026)</formula>
    </cfRule>
  </conditionalFormatting>
  <conditionalFormatting sqref="I16:I17">
    <cfRule type="expression" priority="11" dxfId="2">
      <formula>AND(DAY(TODAY())=5, MONTH(TODAY())=12, YEAR(TODAY())=2026)</formula>
    </cfRule>
  </conditionalFormatting>
  <conditionalFormatting sqref="J16:J17">
    <cfRule type="expression" priority="12" dxfId="2">
      <formula>AND(DAY(TODAY())=6, MONTH(TODAY())=12, YEAR(TODAY())=2026)</formula>
    </cfRule>
  </conditionalFormatting>
  <conditionalFormatting sqref="K16:K17">
    <cfRule type="expression" priority="13" dxfId="2">
      <formula>AND(DAY(TODAY())=7, MONTH(TODAY())=12, YEAR(TODAY())=2026)</formula>
    </cfRule>
  </conditionalFormatting>
  <conditionalFormatting sqref="L16:L17">
    <cfRule type="expression" priority="14" dxfId="2">
      <formula>AND(DAY(TODAY())=8, MONTH(TODAY())=12, YEAR(TODAY())=2026)</formula>
    </cfRule>
  </conditionalFormatting>
  <conditionalFormatting sqref="M16:M17">
    <cfRule type="expression" priority="15" dxfId="2">
      <formula>AND(DAY(TODAY())=9, MONTH(TODAY())=12, YEAR(TODAY())=2026)</formula>
    </cfRule>
  </conditionalFormatting>
  <conditionalFormatting sqref="N16:N17">
    <cfRule type="expression" priority="16" dxfId="2">
      <formula>AND(DAY(TODAY())=10, MONTH(TODAY())=12, YEAR(TODAY())=2026)</formula>
    </cfRule>
  </conditionalFormatting>
  <conditionalFormatting sqref="O16:O17">
    <cfRule type="expression" priority="17" dxfId="2">
      <formula>AND(DAY(TODAY())=11, MONTH(TODAY())=12, YEAR(TODAY())=2026)</formula>
    </cfRule>
  </conditionalFormatting>
  <conditionalFormatting sqref="P16:P17">
    <cfRule type="expression" priority="18" dxfId="2">
      <formula>AND(DAY(TODAY())=12, MONTH(TODAY())=12, YEAR(TODAY())=2026)</formula>
    </cfRule>
  </conditionalFormatting>
  <conditionalFormatting sqref="Q16:Q17">
    <cfRule type="expression" priority="19" dxfId="2">
      <formula>AND(DAY(TODAY())=13, MONTH(TODAY())=12, YEAR(TODAY())=2026)</formula>
    </cfRule>
  </conditionalFormatting>
  <conditionalFormatting sqref="R16:R17">
    <cfRule type="expression" priority="20" dxfId="2">
      <formula>AND(DAY(TODAY())=14, MONTH(TODAY())=12, YEAR(TODAY())=2026)</formula>
    </cfRule>
  </conditionalFormatting>
  <conditionalFormatting sqref="S16:S17">
    <cfRule type="expression" priority="21" dxfId="2">
      <formula>AND(DAY(TODAY())=15, MONTH(TODAY())=12, YEAR(TODAY())=2026)</formula>
    </cfRule>
  </conditionalFormatting>
  <conditionalFormatting sqref="T16:T17">
    <cfRule type="expression" priority="22" dxfId="2">
      <formula>AND(DAY(TODAY())=16, MONTH(TODAY())=12, YEAR(TODAY())=2026)</formula>
    </cfRule>
  </conditionalFormatting>
  <conditionalFormatting sqref="U16:U17">
    <cfRule type="expression" priority="23" dxfId="2">
      <formula>AND(DAY(TODAY())=17, MONTH(TODAY())=12, YEAR(TODAY())=2026)</formula>
    </cfRule>
  </conditionalFormatting>
  <conditionalFormatting sqref="V16:V17">
    <cfRule type="expression" priority="24" dxfId="2">
      <formula>AND(DAY(TODAY())=18, MONTH(TODAY())=12, YEAR(TODAY())=2026)</formula>
    </cfRule>
  </conditionalFormatting>
  <conditionalFormatting sqref="W16:W17">
    <cfRule type="expression" priority="25" dxfId="2">
      <formula>AND(DAY(TODAY())=19, MONTH(TODAY())=12, YEAR(TODAY())=2026)</formula>
    </cfRule>
  </conditionalFormatting>
  <conditionalFormatting sqref="X16:X17">
    <cfRule type="expression" priority="26" dxfId="2">
      <formula>AND(DAY(TODAY())=20, MONTH(TODAY())=12, YEAR(TODAY())=2026)</formula>
    </cfRule>
  </conditionalFormatting>
  <conditionalFormatting sqref="Y16:Y17">
    <cfRule type="expression" priority="27" dxfId="2">
      <formula>AND(DAY(TODAY())=21, MONTH(TODAY())=12, YEAR(TODAY())=2026)</formula>
    </cfRule>
  </conditionalFormatting>
  <conditionalFormatting sqref="Z16:Z17">
    <cfRule type="expression" priority="28" dxfId="2">
      <formula>AND(DAY(TODAY())=22, MONTH(TODAY())=12, YEAR(TODAY())=2026)</formula>
    </cfRule>
  </conditionalFormatting>
  <conditionalFormatting sqref="AA16:AA17">
    <cfRule type="expression" priority="29" dxfId="2">
      <formula>AND(DAY(TODAY())=23, MONTH(TODAY())=12, YEAR(TODAY())=2026)</formula>
    </cfRule>
  </conditionalFormatting>
  <conditionalFormatting sqref="AB16:AB17">
    <cfRule type="expression" priority="30" dxfId="2">
      <formula>AND(DAY(TODAY())=24, MONTH(TODAY())=12, YEAR(TODAY())=2026)</formula>
    </cfRule>
  </conditionalFormatting>
  <conditionalFormatting sqref="AC16:AC17">
    <cfRule type="expression" priority="31" dxfId="2">
      <formula>AND(DAY(TODAY())=25, MONTH(TODAY())=12, YEAR(TODAY())=2026)</formula>
    </cfRule>
  </conditionalFormatting>
  <conditionalFormatting sqref="AD16:AD17">
    <cfRule type="expression" priority="32" dxfId="2">
      <formula>AND(DAY(TODAY())=26, MONTH(TODAY())=12, YEAR(TODAY())=2026)</formula>
    </cfRule>
  </conditionalFormatting>
  <conditionalFormatting sqref="AE16:AE17">
    <cfRule type="expression" priority="33" dxfId="2">
      <formula>AND(DAY(TODAY())=27, MONTH(TODAY())=12, YEAR(TODAY())=2026)</formula>
    </cfRule>
  </conditionalFormatting>
  <conditionalFormatting sqref="AF16:AF17">
    <cfRule type="expression" priority="34" dxfId="2">
      <formula>AND(DAY(TODAY())=28, MONTH(TODAY())=12, YEAR(TODAY())=2026)</formula>
    </cfRule>
  </conditionalFormatting>
  <conditionalFormatting sqref="AG16:AG17">
    <cfRule type="expression" priority="35" dxfId="2">
      <formula>AND(DAY(TODAY())=29, MONTH(TODAY())=12, YEAR(TODAY())=2026)</formula>
    </cfRule>
  </conditionalFormatting>
  <conditionalFormatting sqref="AH16:AH17">
    <cfRule type="expression" priority="36" dxfId="2">
      <formula>AND(DAY(TODAY())=30, MONTH(TODAY())=12, YEAR(TODAY())=2026)</formula>
    </cfRule>
  </conditionalFormatting>
  <conditionalFormatting sqref="AI16:AI17">
    <cfRule type="expression" priority="37" dxfId="2">
      <formula>AND(DAY(TODAY())=31, MONTH(TODAY())=12, YEAR(TODAY())=2026)</formula>
    </cfRule>
  </conditionalFormatting>
  <dataValidations count="4">
    <dataValidation sqref="C18:C37" showDropDown="0" showInputMessage="0" showErrorMessage="0" allowBlank="1" type="list">
      <formula1>"Health &amp; Fitness,Mindset &amp; Learning,Career &amp; Focus,Personal &amp; Home,Finance &amp; Wealth,Other"</formula1>
    </dataValidation>
    <dataValidation sqref="D18:D37" showDropDown="0" showInputMessage="0" showErrorMessage="0" allowBlank="1" type="list">
      <formula1>"1,2,3,4,5,6,7,8,9,10,11,12,13,14,15,16,17,18,19,20,21,22,23,24,25,26,27,28,29,30,31"</formula1>
    </dataValidation>
    <dataValidation sqref="E18:AI37" showDropDown="0" showInputMessage="0" showErrorMessage="0" allowBlank="1" type="list">
      <formula1>"✓,✗"</formula1>
    </dataValidation>
    <dataValidation sqref="E47:AI47" showDropDown="0" showInputMessage="0" showErrorMessage="0" allowBlank="1" type="list">
      <formula1>"1,2,3,4,5,6,7,8,9,10,11,12,13,14,15,16,17,18,19,20,21,22,23,24"</formula1>
    </dataValidation>
  </dataValidations>
  <hyperlinks>
    <hyperlink xmlns:r="http://schemas.openxmlformats.org/officeDocument/2006/relationships" ref="A1" r:id="rId1"/>
    <hyperlink xmlns:r="http://schemas.openxmlformats.org/officeDocument/2006/relationships" ref="C1" r:id="rId2"/>
    <hyperlink xmlns:r="http://schemas.openxmlformats.org/officeDocument/2006/relationships" ref="D1" r:id="rId3"/>
    <hyperlink xmlns:r="http://schemas.openxmlformats.org/officeDocument/2006/relationships" ref="E1" r:id="rId4"/>
    <hyperlink xmlns:r="http://schemas.openxmlformats.org/officeDocument/2006/relationships" ref="F1" r:id="rId5"/>
    <hyperlink xmlns:r="http://schemas.openxmlformats.org/officeDocument/2006/relationships" ref="G1" r:id="rId6"/>
    <hyperlink xmlns:r="http://schemas.openxmlformats.org/officeDocument/2006/relationships" ref="H1" r:id="rId7"/>
    <hyperlink xmlns:r="http://schemas.openxmlformats.org/officeDocument/2006/relationships" ref="I1" r:id="rId8"/>
    <hyperlink xmlns:r="http://schemas.openxmlformats.org/officeDocument/2006/relationships" ref="J1" r:id="rId9"/>
    <hyperlink xmlns:r="http://schemas.openxmlformats.org/officeDocument/2006/relationships" ref="K1" r:id="rId10"/>
  </hyperlinks>
  <printOptions horizontalCentered="1" verticalCentered="0"/>
  <pageMargins left="0.75" right="0.75" top="1" bottom="1" header="0.5" footer="0.5"/>
  <pageSetup orientation="landscape" paperSize="9" fitToHeight="0" fitToWidth="1"/>
  <drawing xmlns:r="http://schemas.openxmlformats.org/officeDocument/2006/relationships" r:id="rId11"/>
</worksheet>
</file>

<file path=xl/worksheets/sheet8.xml><?xml version="1.0" encoding="utf-8"?>
<worksheet xmlns="http://schemas.openxmlformats.org/spreadsheetml/2006/main">
  <sheetPr>
    <outlinePr summaryBelow="1" summaryRight="1"/>
    <pageSetUpPr fitToPage="1"/>
  </sheetPr>
  <dimension ref="A1:AM103"/>
  <sheetViews>
    <sheetView showGridLines="1" workbookViewId="0">
      <selection activeCell="A1" sqref="A1"/>
    </sheetView>
  </sheetViews>
  <sheetFormatPr baseColWidth="8" defaultRowHeight="15"/>
  <cols>
    <col width="6" customWidth="1" min="1" max="1"/>
    <col width="25" customWidth="1" min="2" max="2"/>
    <col width="16.5" customWidth="1" min="3" max="3"/>
    <col width="8" customWidth="1" min="4" max="4"/>
    <col width="4.8" customWidth="1" min="5" max="5"/>
    <col width="4.8" customWidth="1" min="6" max="6"/>
    <col width="4.8" customWidth="1" min="7" max="7"/>
    <col width="4.8" customWidth="1" min="8" max="8"/>
    <col width="4.8" customWidth="1" min="9" max="9"/>
    <col width="4.8" customWidth="1" min="10" max="10"/>
    <col width="4.8" customWidth="1" min="11" max="11"/>
    <col width="4.8" customWidth="1" min="12" max="12"/>
    <col width="4.8" customWidth="1" min="13" max="13"/>
    <col width="4.8" customWidth="1" min="14" max="14"/>
    <col width="4.8" customWidth="1" min="15" max="15"/>
    <col width="4.8" customWidth="1" min="16" max="16"/>
    <col width="4.8" customWidth="1" min="17" max="17"/>
    <col width="4.8" customWidth="1" min="18" max="18"/>
    <col width="4.8" customWidth="1" min="19" max="19"/>
    <col width="4.8" customWidth="1" min="20" max="20"/>
    <col width="4.8" customWidth="1" min="21" max="21"/>
    <col width="4.8" customWidth="1" min="22" max="22"/>
    <col width="4.8" customWidth="1" min="23" max="23"/>
    <col width="4.8" customWidth="1" min="24" max="24"/>
    <col width="4.8" customWidth="1" min="25" max="25"/>
    <col width="4.8" customWidth="1" min="26" max="26"/>
    <col width="4.8" customWidth="1" min="27" max="27"/>
    <col width="4.8" customWidth="1" min="28" max="28"/>
    <col width="4.8" customWidth="1" min="29" max="29"/>
    <col width="4.8" customWidth="1" min="30" max="30"/>
    <col width="4.8" customWidth="1" min="31" max="31"/>
    <col width="4.8" customWidth="1" min="32" max="32"/>
    <col width="4.8" customWidth="1" min="33" max="33"/>
    <col width="4.8" customWidth="1" min="34" max="34"/>
    <col width="4.8" customWidth="1" min="35" max="35"/>
    <col width="11.5" customWidth="1" min="36" max="36"/>
    <col width="12" customWidth="1" min="37" max="37"/>
    <col width="13.5" customWidth="1" min="38" max="38"/>
    <col hidden="1" width="8" customWidth="1" min="39" max="39"/>
  </cols>
  <sheetData>
    <row r="1" ht="18" customHeight="1">
      <c r="A1" s="76" t="inlineStr">
        <is>
          <t>🏠 Master Dashboard</t>
        </is>
      </c>
      <c r="B1" s="40" t="n"/>
      <c r="C1" s="77" t="inlineStr">
        <is>
          <t>🏛️ Quarterly Hub</t>
        </is>
      </c>
      <c r="D1" s="78" t="inlineStr">
        <is>
          <t>📚 Habit Library</t>
        </is>
      </c>
      <c r="E1" s="80" t="inlineStr">
        <is>
          <t>2026</t>
        </is>
      </c>
      <c r="F1" s="79" t="inlineStr">
        <is>
          <t>2027</t>
        </is>
      </c>
      <c r="G1" s="80" t="inlineStr">
        <is>
          <t>2028</t>
        </is>
      </c>
      <c r="H1" s="80" t="inlineStr">
        <is>
          <t>2029</t>
        </is>
      </c>
      <c r="I1" s="80" t="inlineStr">
        <is>
          <t>2030</t>
        </is>
      </c>
      <c r="J1" s="82" t="inlineStr">
        <is>
          <t>◀ Prev</t>
        </is>
      </c>
      <c r="K1" s="82" t="inlineStr">
        <is>
          <t>Next ▶</t>
        </is>
      </c>
    </row>
    <row r="2" ht="24" customHeight="1">
      <c r="A2" s="83" t="inlineStr">
        <is>
          <t>Habit Tracker</t>
        </is>
      </c>
      <c r="H2" s="84" t="inlineStr">
        <is>
          <t>"Small daily improvements lead to stunning results."</t>
        </is>
      </c>
      <c r="AE2" s="85" t="inlineStr">
        <is>
          <t>@surajvansh</t>
        </is>
      </c>
    </row>
    <row r="3" ht="18" customHeight="1">
      <c r="A3" s="86" t="inlineStr">
        <is>
          <t>January 2027</t>
        </is>
      </c>
      <c r="H3" s="87" t="inlineStr">
        <is>
          <t>31 Days Dashboard</t>
        </is>
      </c>
    </row>
    <row r="4" ht="5" customHeight="1"/>
    <row r="5" ht="16" customHeight="1">
      <c r="A5" s="88" t="inlineStr">
        <is>
          <t>MONTHLY TARGETS</t>
        </is>
      </c>
    </row>
    <row r="6" ht="13" customHeight="1">
      <c r="A6" s="89" t="inlineStr">
        <is>
          <t>1. ____________________ : ____________________</t>
        </is>
      </c>
      <c r="P6" s="89" t="inlineStr">
        <is>
          <t>5. ____________________ : ____________________</t>
        </is>
      </c>
    </row>
    <row r="7" ht="13" customHeight="1">
      <c r="A7" s="89" t="inlineStr">
        <is>
          <t>2. ____________________ : ____________________</t>
        </is>
      </c>
      <c r="P7" s="89" t="inlineStr">
        <is>
          <t>6. ____________________ : ____________________</t>
        </is>
      </c>
    </row>
    <row r="8" ht="13" customHeight="1">
      <c r="A8" s="89" t="inlineStr">
        <is>
          <t>3. ____________________ : ____________________</t>
        </is>
      </c>
      <c r="P8" s="89" t="inlineStr">
        <is>
          <t>7. ____________________ : ____________________</t>
        </is>
      </c>
    </row>
    <row r="9" ht="13" customHeight="1">
      <c r="A9" s="89" t="inlineStr">
        <is>
          <t>4. ____________________ : ____________________</t>
        </is>
      </c>
      <c r="P9" s="89" t="inlineStr">
        <is>
          <t>8. ____________________ : ____________________</t>
        </is>
      </c>
    </row>
    <row r="10" ht="5" customHeight="1"/>
    <row r="11" ht="15" customHeight="1">
      <c r="A11" s="88" t="inlineStr">
        <is>
          <t>NOTES:</t>
        </is>
      </c>
    </row>
    <row r="12" ht="13" customHeight="1">
      <c r="A12" s="90" t="n"/>
      <c r="B12" s="91" t="n"/>
      <c r="C12" s="91" t="n"/>
      <c r="D12" s="91" t="n"/>
      <c r="E12" s="91" t="n"/>
      <c r="F12" s="91" t="n"/>
      <c r="G12" s="91" t="n"/>
      <c r="H12" s="91" t="n"/>
      <c r="I12" s="91" t="n"/>
      <c r="J12" s="91" t="n"/>
      <c r="K12" s="91" t="n"/>
      <c r="L12" s="91" t="n"/>
      <c r="M12" s="91" t="n"/>
      <c r="N12" s="91" t="n"/>
      <c r="O12" s="91" t="n"/>
      <c r="P12" s="91" t="n"/>
      <c r="Q12" s="91" t="n"/>
      <c r="R12" s="91" t="n"/>
      <c r="S12" s="91" t="n"/>
      <c r="T12" s="91" t="n"/>
      <c r="U12" s="91" t="n"/>
      <c r="V12" s="91" t="n"/>
      <c r="W12" s="91" t="n"/>
      <c r="X12" s="91" t="n"/>
      <c r="Y12" s="91" t="n"/>
      <c r="Z12" s="91" t="n"/>
      <c r="AA12" s="91" t="n"/>
      <c r="AB12" s="91" t="n"/>
      <c r="AC12" s="91" t="n"/>
      <c r="AD12" s="91" t="n"/>
      <c r="AE12" s="91" t="n"/>
      <c r="AF12" s="91" t="n"/>
      <c r="AG12" s="91" t="n"/>
      <c r="AH12" s="91" t="n"/>
      <c r="AI12" s="91" t="n"/>
      <c r="AJ12" s="91" t="n"/>
      <c r="AK12" s="91" t="n"/>
      <c r="AL12" s="91" t="n"/>
    </row>
    <row r="13" ht="13" customHeight="1">
      <c r="A13" s="91" t="n"/>
      <c r="B13" s="91" t="n"/>
      <c r="C13" s="91" t="n"/>
      <c r="D13" s="91" t="n"/>
      <c r="E13" s="91" t="n"/>
      <c r="F13" s="91" t="n"/>
      <c r="G13" s="91" t="n"/>
      <c r="H13" s="91" t="n"/>
      <c r="I13" s="91" t="n"/>
      <c r="J13" s="91" t="n"/>
      <c r="K13" s="91" t="n"/>
      <c r="L13" s="91" t="n"/>
      <c r="M13" s="91" t="n"/>
      <c r="N13" s="91" t="n"/>
      <c r="O13" s="91" t="n"/>
      <c r="P13" s="91" t="n"/>
      <c r="Q13" s="91" t="n"/>
      <c r="R13" s="91" t="n"/>
      <c r="S13" s="91" t="n"/>
      <c r="T13" s="91" t="n"/>
      <c r="U13" s="91" t="n"/>
      <c r="V13" s="91" t="n"/>
      <c r="W13" s="91" t="n"/>
      <c r="X13" s="91" t="n"/>
      <c r="Y13" s="91" t="n"/>
      <c r="Z13" s="91" t="n"/>
      <c r="AA13" s="91" t="n"/>
      <c r="AB13" s="91" t="n"/>
      <c r="AC13" s="91" t="n"/>
      <c r="AD13" s="91" t="n"/>
      <c r="AE13" s="91" t="n"/>
      <c r="AF13" s="91" t="n"/>
      <c r="AG13" s="91" t="n"/>
      <c r="AH13" s="91" t="n"/>
      <c r="AI13" s="91" t="n"/>
      <c r="AJ13" s="91" t="n"/>
      <c r="AK13" s="91" t="n"/>
      <c r="AL13" s="91" t="n"/>
    </row>
    <row r="14" ht="13" customHeight="1">
      <c r="A14" s="91" t="n"/>
      <c r="B14" s="91" t="n"/>
      <c r="C14" s="91" t="n"/>
      <c r="D14" s="91" t="n"/>
      <c r="E14" s="91" t="n"/>
      <c r="F14" s="91" t="n"/>
      <c r="G14" s="91" t="n"/>
      <c r="H14" s="91" t="n"/>
      <c r="I14" s="91" t="n"/>
      <c r="J14" s="91" t="n"/>
      <c r="K14" s="91" t="n"/>
      <c r="L14" s="91" t="n"/>
      <c r="M14" s="91" t="n"/>
      <c r="N14" s="91" t="n"/>
      <c r="O14" s="91" t="n"/>
      <c r="P14" s="91" t="n"/>
      <c r="Q14" s="91" t="n"/>
      <c r="R14" s="91" t="n"/>
      <c r="S14" s="91" t="n"/>
      <c r="T14" s="91" t="n"/>
      <c r="U14" s="91" t="n"/>
      <c r="V14" s="91" t="n"/>
      <c r="W14" s="91" t="n"/>
      <c r="X14" s="91" t="n"/>
      <c r="Y14" s="91" t="n"/>
      <c r="Z14" s="91" t="n"/>
      <c r="AA14" s="91" t="n"/>
      <c r="AB14" s="91" t="n"/>
      <c r="AC14" s="91" t="n"/>
      <c r="AD14" s="91" t="n"/>
      <c r="AE14" s="91" t="n"/>
      <c r="AF14" s="91" t="n"/>
      <c r="AG14" s="91" t="n"/>
      <c r="AH14" s="91" t="n"/>
      <c r="AI14" s="91" t="n"/>
      <c r="AJ14" s="91" t="n"/>
      <c r="AK14" s="91" t="n"/>
      <c r="AL14" s="91" t="n"/>
    </row>
    <row r="15" ht="8" customHeight="1"/>
    <row r="16" ht="15" customHeight="1">
      <c r="A16" s="33" t="inlineStr">
        <is>
          <t>S.No.</t>
        </is>
      </c>
      <c r="B16" s="33" t="inlineStr">
        <is>
          <t>Protocols</t>
        </is>
      </c>
      <c r="C16" s="33" t="inlineStr">
        <is>
          <t>Category</t>
        </is>
      </c>
      <c r="D16" s="33" t="inlineStr">
        <is>
          <t>Target</t>
        </is>
      </c>
      <c r="E16" s="92" t="n">
        <v>1</v>
      </c>
      <c r="F16" s="92" t="n">
        <v>2</v>
      </c>
      <c r="G16" s="93" t="n">
        <v>3</v>
      </c>
      <c r="H16" s="92" t="n">
        <v>4</v>
      </c>
      <c r="I16" s="92" t="n">
        <v>5</v>
      </c>
      <c r="J16" s="92" t="n">
        <v>6</v>
      </c>
      <c r="K16" s="92" t="n">
        <v>7</v>
      </c>
      <c r="L16" s="92" t="n">
        <v>8</v>
      </c>
      <c r="M16" s="92" t="n">
        <v>9</v>
      </c>
      <c r="N16" s="93" t="n">
        <v>10</v>
      </c>
      <c r="O16" s="92" t="n">
        <v>11</v>
      </c>
      <c r="P16" s="92" t="n">
        <v>12</v>
      </c>
      <c r="Q16" s="92" t="n">
        <v>13</v>
      </c>
      <c r="R16" s="92" t="n">
        <v>14</v>
      </c>
      <c r="S16" s="92" t="n">
        <v>15</v>
      </c>
      <c r="T16" s="92" t="n">
        <v>16</v>
      </c>
      <c r="U16" s="93" t="n">
        <v>17</v>
      </c>
      <c r="V16" s="92" t="n">
        <v>18</v>
      </c>
      <c r="W16" s="92" t="n">
        <v>19</v>
      </c>
      <c r="X16" s="92" t="n">
        <v>20</v>
      </c>
      <c r="Y16" s="92" t="n">
        <v>21</v>
      </c>
      <c r="Z16" s="92" t="n">
        <v>22</v>
      </c>
      <c r="AA16" s="92" t="n">
        <v>23</v>
      </c>
      <c r="AB16" s="93" t="n">
        <v>24</v>
      </c>
      <c r="AC16" s="92" t="n">
        <v>25</v>
      </c>
      <c r="AD16" s="92" t="n">
        <v>26</v>
      </c>
      <c r="AE16" s="92" t="n">
        <v>27</v>
      </c>
      <c r="AF16" s="92" t="n">
        <v>28</v>
      </c>
      <c r="AG16" s="92" t="n">
        <v>29</v>
      </c>
      <c r="AH16" s="92" t="n">
        <v>30</v>
      </c>
      <c r="AI16" s="93" t="n">
        <v>31</v>
      </c>
      <c r="AJ16" s="94" t="inlineStr">
        <is>
          <t>Success %</t>
        </is>
      </c>
      <c r="AK16" s="94" t="inlineStr">
        <is>
          <t>Done / Target</t>
        </is>
      </c>
      <c r="AL16" s="94" t="inlineStr">
        <is>
          <t>Status</t>
        </is>
      </c>
      <c r="AM16" t="inlineStr">
        <is>
          <t>Done Count</t>
        </is>
      </c>
    </row>
    <row r="17" ht="15" customHeight="1">
      <c r="A17" s="54" t="n"/>
      <c r="B17" s="54" t="n"/>
      <c r="C17" s="54" t="n"/>
      <c r="D17" s="54" t="n"/>
      <c r="E17" s="95" t="inlineStr">
        <is>
          <t>F</t>
        </is>
      </c>
      <c r="F17" s="95" t="inlineStr">
        <is>
          <t>Sa</t>
        </is>
      </c>
      <c r="G17" s="96" t="inlineStr">
        <is>
          <t>Su</t>
        </is>
      </c>
      <c r="H17" s="95" t="inlineStr">
        <is>
          <t>M</t>
        </is>
      </c>
      <c r="I17" s="95" t="inlineStr">
        <is>
          <t>T</t>
        </is>
      </c>
      <c r="J17" s="95" t="inlineStr">
        <is>
          <t>W</t>
        </is>
      </c>
      <c r="K17" s="95" t="inlineStr">
        <is>
          <t>Th</t>
        </is>
      </c>
      <c r="L17" s="95" t="inlineStr">
        <is>
          <t>F</t>
        </is>
      </c>
      <c r="M17" s="95" t="inlineStr">
        <is>
          <t>Sa</t>
        </is>
      </c>
      <c r="N17" s="96" t="inlineStr">
        <is>
          <t>Su</t>
        </is>
      </c>
      <c r="O17" s="95" t="inlineStr">
        <is>
          <t>M</t>
        </is>
      </c>
      <c r="P17" s="95" t="inlineStr">
        <is>
          <t>T</t>
        </is>
      </c>
      <c r="Q17" s="95" t="inlineStr">
        <is>
          <t>W</t>
        </is>
      </c>
      <c r="R17" s="95" t="inlineStr">
        <is>
          <t>Th</t>
        </is>
      </c>
      <c r="S17" s="95" t="inlineStr">
        <is>
          <t>F</t>
        </is>
      </c>
      <c r="T17" s="95" t="inlineStr">
        <is>
          <t>Sa</t>
        </is>
      </c>
      <c r="U17" s="96" t="inlineStr">
        <is>
          <t>Su</t>
        </is>
      </c>
      <c r="V17" s="95" t="inlineStr">
        <is>
          <t>M</t>
        </is>
      </c>
      <c r="W17" s="95" t="inlineStr">
        <is>
          <t>T</t>
        </is>
      </c>
      <c r="X17" s="95" t="inlineStr">
        <is>
          <t>W</t>
        </is>
      </c>
      <c r="Y17" s="95" t="inlineStr">
        <is>
          <t>Th</t>
        </is>
      </c>
      <c r="Z17" s="95" t="inlineStr">
        <is>
          <t>F</t>
        </is>
      </c>
      <c r="AA17" s="95" t="inlineStr">
        <is>
          <t>Sa</t>
        </is>
      </c>
      <c r="AB17" s="96" t="inlineStr">
        <is>
          <t>Su</t>
        </is>
      </c>
      <c r="AC17" s="95" t="inlineStr">
        <is>
          <t>M</t>
        </is>
      </c>
      <c r="AD17" s="95" t="inlineStr">
        <is>
          <t>T</t>
        </is>
      </c>
      <c r="AE17" s="95" t="inlineStr">
        <is>
          <t>W</t>
        </is>
      </c>
      <c r="AF17" s="95" t="inlineStr">
        <is>
          <t>Th</t>
        </is>
      </c>
      <c r="AG17" s="95" t="inlineStr">
        <is>
          <t>F</t>
        </is>
      </c>
      <c r="AH17" s="95" t="inlineStr">
        <is>
          <t>Sa</t>
        </is>
      </c>
      <c r="AI17" s="96" t="inlineStr">
        <is>
          <t>Su</t>
        </is>
      </c>
      <c r="AJ17" s="54" t="n"/>
      <c r="AK17" s="54" t="n"/>
      <c r="AL17" s="54" t="n"/>
    </row>
    <row r="18" ht="14.5" customHeight="1">
      <c r="A18" s="97" t="n">
        <v>1</v>
      </c>
      <c r="B18" s="98" t="n"/>
      <c r="C18" s="99" t="n"/>
      <c r="D18" s="99" t="n"/>
      <c r="E18" s="100" t="n"/>
      <c r="F18" s="100" t="n"/>
      <c r="G18" s="101" t="n"/>
      <c r="H18" s="100" t="n"/>
      <c r="I18" s="100" t="n"/>
      <c r="J18" s="100" t="n"/>
      <c r="K18" s="100" t="n"/>
      <c r="L18" s="100" t="n"/>
      <c r="M18" s="100" t="n"/>
      <c r="N18" s="101" t="n"/>
      <c r="O18" s="100" t="n"/>
      <c r="P18" s="100" t="n"/>
      <c r="Q18" s="100" t="n"/>
      <c r="R18" s="100" t="n"/>
      <c r="S18" s="100" t="n"/>
      <c r="T18" s="100" t="n"/>
      <c r="U18" s="101" t="n"/>
      <c r="V18" s="100" t="n"/>
      <c r="W18" s="100" t="n"/>
      <c r="X18" s="100" t="n"/>
      <c r="Y18" s="100" t="n"/>
      <c r="Z18" s="100" t="n"/>
      <c r="AA18" s="100" t="n"/>
      <c r="AB18" s="101" t="n"/>
      <c r="AC18" s="100" t="n"/>
      <c r="AD18" s="100" t="n"/>
      <c r="AE18" s="100" t="n"/>
      <c r="AF18" s="100" t="n"/>
      <c r="AG18" s="100" t="n"/>
      <c r="AH18" s="100" t="n"/>
      <c r="AI18" s="101" t="n"/>
      <c r="AJ18" s="102">
        <f>IF(ISBLANK(B18), "", IF(ISNUMBER(D18), IF(D18&gt;0, (COUNTIF(E18:AI18, "✓") + COUNTIF(E18:AI18, "✔") + COUNTIF(E18:AI18, "v") + COUNTIF(E18:AI18, "V"))/D18, 0), IF(((COUNTIF(E18:AI18, "✓") + COUNTIF(E18:AI18, "✔") + COUNTIF(E18:AI18, "v") + COUNTIF(E18:AI18, "V")) + COUNTIF(E18:AI18, "✗") + COUNTIF(E18:AI18, "x") + COUNTIF(E18:AI18, "X"))&gt;0, (COUNTIF(E18:AI18, "✓") + COUNTIF(E18:AI18, "✔") + COUNTIF(E18:AI18, "v") + COUNTIF(E18:AI18, "V"))/((COUNTIF(E18:AI18, "✓") + COUNTIF(E18:AI18, "✔") + COUNTIF(E18:AI18, "v") + COUNTIF(E18:AI18, "V")) + COUNTIF(E18:AI18, "✗") + COUNTIF(E18:AI18, "x") + COUNTIF(E18:AI18, "X")), "")))</f>
        <v/>
      </c>
      <c r="AK18" s="103">
        <f>IF(ISBLANK(B18), "", IF(ISNUMBER(D18), IF(D18&gt;0, (COUNTIF(E18:AI18, "✓") + COUNTIF(E18:AI18, "✔") + COUNTIF(E18:AI18, "v") + COUNTIF(E18:AI18, "V")) &amp; "/" &amp; D18, (COUNTIF(E18:AI18, "✓") + COUNTIF(E18:AI18, "✔") + COUNTIF(E18:AI18, "v") + COUNTIF(E18:AI18, "V")) &amp; "/0"), IF(((COUNTIF(E18:AI18, "✓") + COUNTIF(E18:AI18, "✔") + COUNTIF(E18:AI18, "v") + COUNTIF(E18:AI18, "V")) + COUNTIF(E18:AI18, "✗") + COUNTIF(E18:AI18, "x") + COUNTIF(E18:AI18, "X"))&gt;0, (COUNTIF(E18:AI18, "✓") + COUNTIF(E18:AI18, "✔") + COUNTIF(E18:AI18, "v") + COUNTIF(E18:AI18, "V")) &amp; "/" &amp; ((COUNTIF(E18:AI18, "✓") + COUNTIF(E18:AI18, "✔") + COUNTIF(E18:AI18, "v") + COUNTIF(E18:AI18, "V")) + COUNTIF(E18:AI18, "✗") + COUNTIF(E18:AI18, "x") + COUNTIF(E18:AI18, "X")), "")))</f>
        <v/>
      </c>
      <c r="AL18" s="103">
        <f>IF(ISBLANK(B18), "", IF(AJ18&gt;=0.85, "🔥 Mastered", IF(AJ18&gt;=0.7, "⚡ Consistent", "⚠️ Needs Focus")))</f>
        <v/>
      </c>
      <c r="AM18">
        <f>COUNTIF(E18:AI18, "✓")</f>
        <v/>
      </c>
    </row>
    <row r="19" ht="14.5" customHeight="1">
      <c r="A19" s="97" t="n">
        <v>2</v>
      </c>
      <c r="B19" s="98" t="n"/>
      <c r="C19" s="99" t="n"/>
      <c r="D19" s="99" t="n"/>
      <c r="E19" s="100" t="n"/>
      <c r="F19" s="100" t="n"/>
      <c r="G19" s="101" t="n"/>
      <c r="H19" s="100" t="n"/>
      <c r="I19" s="100" t="n"/>
      <c r="J19" s="100" t="n"/>
      <c r="K19" s="100" t="n"/>
      <c r="L19" s="100" t="n"/>
      <c r="M19" s="100" t="n"/>
      <c r="N19" s="101" t="n"/>
      <c r="O19" s="100" t="n"/>
      <c r="P19" s="100" t="n"/>
      <c r="Q19" s="100" t="n"/>
      <c r="R19" s="100" t="n"/>
      <c r="S19" s="100" t="n"/>
      <c r="T19" s="100" t="n"/>
      <c r="U19" s="101" t="n"/>
      <c r="V19" s="100" t="n"/>
      <c r="W19" s="100" t="n"/>
      <c r="X19" s="100" t="n"/>
      <c r="Y19" s="100" t="n"/>
      <c r="Z19" s="100" t="n"/>
      <c r="AA19" s="100" t="n"/>
      <c r="AB19" s="101" t="n"/>
      <c r="AC19" s="100" t="n"/>
      <c r="AD19" s="100" t="n"/>
      <c r="AE19" s="100" t="n"/>
      <c r="AF19" s="100" t="n"/>
      <c r="AG19" s="100" t="n"/>
      <c r="AH19" s="100" t="n"/>
      <c r="AI19" s="101" t="n"/>
      <c r="AJ19" s="102">
        <f>IF(ISBLANK(B19), "", IF(ISNUMBER(D19), IF(D19&gt;0, (COUNTIF(E19:AI19, "✓") + COUNTIF(E19:AI19, "✔") + COUNTIF(E19:AI19, "v") + COUNTIF(E19:AI19, "V"))/D19, 0), IF(((COUNTIF(E19:AI19, "✓") + COUNTIF(E19:AI19, "✔") + COUNTIF(E19:AI19, "v") + COUNTIF(E19:AI19, "V")) + COUNTIF(E19:AI19, "✗") + COUNTIF(E19:AI19, "x") + COUNTIF(E19:AI19, "X"))&gt;0, (COUNTIF(E19:AI19, "✓") + COUNTIF(E19:AI19, "✔") + COUNTIF(E19:AI19, "v") + COUNTIF(E19:AI19, "V"))/((COUNTIF(E19:AI19, "✓") + COUNTIF(E19:AI19, "✔") + COUNTIF(E19:AI19, "v") + COUNTIF(E19:AI19, "V")) + COUNTIF(E19:AI19, "✗") + COUNTIF(E19:AI19, "x") + COUNTIF(E19:AI19, "X")), "")))</f>
        <v/>
      </c>
      <c r="AK19" s="103">
        <f>IF(ISBLANK(B19), "", IF(ISNUMBER(D19), IF(D19&gt;0, (COUNTIF(E19:AI19, "✓") + COUNTIF(E19:AI19, "✔") + COUNTIF(E19:AI19, "v") + COUNTIF(E19:AI19, "V")) &amp; "/" &amp; D19, (COUNTIF(E19:AI19, "✓") + COUNTIF(E19:AI19, "✔") + COUNTIF(E19:AI19, "v") + COUNTIF(E19:AI19, "V")) &amp; "/0"), IF(((COUNTIF(E19:AI19, "✓") + COUNTIF(E19:AI19, "✔") + COUNTIF(E19:AI19, "v") + COUNTIF(E19:AI19, "V")) + COUNTIF(E19:AI19, "✗") + COUNTIF(E19:AI19, "x") + COUNTIF(E19:AI19, "X"))&gt;0, (COUNTIF(E19:AI19, "✓") + COUNTIF(E19:AI19, "✔") + COUNTIF(E19:AI19, "v") + COUNTIF(E19:AI19, "V")) &amp; "/" &amp; ((COUNTIF(E19:AI19, "✓") + COUNTIF(E19:AI19, "✔") + COUNTIF(E19:AI19, "v") + COUNTIF(E19:AI19, "V")) + COUNTIF(E19:AI19, "✗") + COUNTIF(E19:AI19, "x") + COUNTIF(E19:AI19, "X")), "")))</f>
        <v/>
      </c>
      <c r="AL19" s="103">
        <f>IF(ISBLANK(B19), "", IF(AJ19&gt;=0.85, "🔥 Mastered", IF(AJ19&gt;=0.7, "⚡ Consistent", "⚠️ Needs Focus")))</f>
        <v/>
      </c>
      <c r="AM19">
        <f>COUNTIF(E19:AI19, "✓")</f>
        <v/>
      </c>
    </row>
    <row r="20" ht="14.5" customHeight="1">
      <c r="A20" s="97" t="n">
        <v>3</v>
      </c>
      <c r="B20" s="98" t="n"/>
      <c r="C20" s="99" t="n"/>
      <c r="D20" s="99" t="n"/>
      <c r="E20" s="100" t="n"/>
      <c r="F20" s="100" t="n"/>
      <c r="G20" s="101" t="n"/>
      <c r="H20" s="100" t="n"/>
      <c r="I20" s="100" t="n"/>
      <c r="J20" s="100" t="n"/>
      <c r="K20" s="100" t="n"/>
      <c r="L20" s="100" t="n"/>
      <c r="M20" s="100" t="n"/>
      <c r="N20" s="101" t="n"/>
      <c r="O20" s="100" t="n"/>
      <c r="P20" s="100" t="n"/>
      <c r="Q20" s="100" t="n"/>
      <c r="R20" s="100" t="n"/>
      <c r="S20" s="100" t="n"/>
      <c r="T20" s="100" t="n"/>
      <c r="U20" s="101" t="n"/>
      <c r="V20" s="100" t="n"/>
      <c r="W20" s="100" t="n"/>
      <c r="X20" s="100" t="n"/>
      <c r="Y20" s="100" t="n"/>
      <c r="Z20" s="100" t="n"/>
      <c r="AA20" s="100" t="n"/>
      <c r="AB20" s="101" t="n"/>
      <c r="AC20" s="100" t="n"/>
      <c r="AD20" s="100" t="n"/>
      <c r="AE20" s="100" t="n"/>
      <c r="AF20" s="100" t="n"/>
      <c r="AG20" s="100" t="n"/>
      <c r="AH20" s="100" t="n"/>
      <c r="AI20" s="101" t="n"/>
      <c r="AJ20" s="102">
        <f>IF(ISBLANK(B20), "", IF(ISNUMBER(D20), IF(D20&gt;0, (COUNTIF(E20:AI20, "✓") + COUNTIF(E20:AI20, "✔") + COUNTIF(E20:AI20, "v") + COUNTIF(E20:AI20, "V"))/D20, 0), IF(((COUNTIF(E20:AI20, "✓") + COUNTIF(E20:AI20, "✔") + COUNTIF(E20:AI20, "v") + COUNTIF(E20:AI20, "V")) + COUNTIF(E20:AI20, "✗") + COUNTIF(E20:AI20, "x") + COUNTIF(E20:AI20, "X"))&gt;0, (COUNTIF(E20:AI20, "✓") + COUNTIF(E20:AI20, "✔") + COUNTIF(E20:AI20, "v") + COUNTIF(E20:AI20, "V"))/((COUNTIF(E20:AI20, "✓") + COUNTIF(E20:AI20, "✔") + COUNTIF(E20:AI20, "v") + COUNTIF(E20:AI20, "V")) + COUNTIF(E20:AI20, "✗") + COUNTIF(E20:AI20, "x") + COUNTIF(E20:AI20, "X")), "")))</f>
        <v/>
      </c>
      <c r="AK20" s="103">
        <f>IF(ISBLANK(B20), "", IF(ISNUMBER(D20), IF(D20&gt;0, (COUNTIF(E20:AI20, "✓") + COUNTIF(E20:AI20, "✔") + COUNTIF(E20:AI20, "v") + COUNTIF(E20:AI20, "V")) &amp; "/" &amp; D20, (COUNTIF(E20:AI20, "✓") + COUNTIF(E20:AI20, "✔") + COUNTIF(E20:AI20, "v") + COUNTIF(E20:AI20, "V")) &amp; "/0"), IF(((COUNTIF(E20:AI20, "✓") + COUNTIF(E20:AI20, "✔") + COUNTIF(E20:AI20, "v") + COUNTIF(E20:AI20, "V")) + COUNTIF(E20:AI20, "✗") + COUNTIF(E20:AI20, "x") + COUNTIF(E20:AI20, "X"))&gt;0, (COUNTIF(E20:AI20, "✓") + COUNTIF(E20:AI20, "✔") + COUNTIF(E20:AI20, "v") + COUNTIF(E20:AI20, "V")) &amp; "/" &amp; ((COUNTIF(E20:AI20, "✓") + COUNTIF(E20:AI20, "✔") + COUNTIF(E20:AI20, "v") + COUNTIF(E20:AI20, "V")) + COUNTIF(E20:AI20, "✗") + COUNTIF(E20:AI20, "x") + COUNTIF(E20:AI20, "X")), "")))</f>
        <v/>
      </c>
      <c r="AL20" s="103">
        <f>IF(ISBLANK(B20), "", IF(AJ20&gt;=0.85, "🔥 Mastered", IF(AJ20&gt;=0.7, "⚡ Consistent", "⚠️ Needs Focus")))</f>
        <v/>
      </c>
      <c r="AM20">
        <f>COUNTIF(E20:AI20, "✓")</f>
        <v/>
      </c>
    </row>
    <row r="21" ht="14.5" customHeight="1">
      <c r="A21" s="97" t="n">
        <v>4</v>
      </c>
      <c r="B21" s="98" t="n"/>
      <c r="C21" s="99" t="n"/>
      <c r="D21" s="99" t="n"/>
      <c r="E21" s="100" t="n"/>
      <c r="F21" s="100" t="n"/>
      <c r="G21" s="101" t="n"/>
      <c r="H21" s="100" t="n"/>
      <c r="I21" s="100" t="n"/>
      <c r="J21" s="100" t="n"/>
      <c r="K21" s="100" t="n"/>
      <c r="L21" s="100" t="n"/>
      <c r="M21" s="100" t="n"/>
      <c r="N21" s="101" t="n"/>
      <c r="O21" s="100" t="n"/>
      <c r="P21" s="100" t="n"/>
      <c r="Q21" s="100" t="n"/>
      <c r="R21" s="100" t="n"/>
      <c r="S21" s="100" t="n"/>
      <c r="T21" s="100" t="n"/>
      <c r="U21" s="101" t="n"/>
      <c r="V21" s="100" t="n"/>
      <c r="W21" s="100" t="n"/>
      <c r="X21" s="100" t="n"/>
      <c r="Y21" s="100" t="n"/>
      <c r="Z21" s="100" t="n"/>
      <c r="AA21" s="100" t="n"/>
      <c r="AB21" s="101" t="n"/>
      <c r="AC21" s="100" t="n"/>
      <c r="AD21" s="100" t="n"/>
      <c r="AE21" s="100" t="n"/>
      <c r="AF21" s="100" t="n"/>
      <c r="AG21" s="100" t="n"/>
      <c r="AH21" s="100" t="n"/>
      <c r="AI21" s="101" t="n"/>
      <c r="AJ21" s="102">
        <f>IF(ISBLANK(B21), "", IF(ISNUMBER(D21), IF(D21&gt;0, (COUNTIF(E21:AI21, "✓") + COUNTIF(E21:AI21, "✔") + COUNTIF(E21:AI21, "v") + COUNTIF(E21:AI21, "V"))/D21, 0), IF(((COUNTIF(E21:AI21, "✓") + COUNTIF(E21:AI21, "✔") + COUNTIF(E21:AI21, "v") + COUNTIF(E21:AI21, "V")) + COUNTIF(E21:AI21, "✗") + COUNTIF(E21:AI21, "x") + COUNTIF(E21:AI21, "X"))&gt;0, (COUNTIF(E21:AI21, "✓") + COUNTIF(E21:AI21, "✔") + COUNTIF(E21:AI21, "v") + COUNTIF(E21:AI21, "V"))/((COUNTIF(E21:AI21, "✓") + COUNTIF(E21:AI21, "✔") + COUNTIF(E21:AI21, "v") + COUNTIF(E21:AI21, "V")) + COUNTIF(E21:AI21, "✗") + COUNTIF(E21:AI21, "x") + COUNTIF(E21:AI21, "X")), "")))</f>
        <v/>
      </c>
      <c r="AK21" s="103">
        <f>IF(ISBLANK(B21), "", IF(ISNUMBER(D21), IF(D21&gt;0, (COUNTIF(E21:AI21, "✓") + COUNTIF(E21:AI21, "✔") + COUNTIF(E21:AI21, "v") + COUNTIF(E21:AI21, "V")) &amp; "/" &amp; D21, (COUNTIF(E21:AI21, "✓") + COUNTIF(E21:AI21, "✔") + COUNTIF(E21:AI21, "v") + COUNTIF(E21:AI21, "V")) &amp; "/0"), IF(((COUNTIF(E21:AI21, "✓") + COUNTIF(E21:AI21, "✔") + COUNTIF(E21:AI21, "v") + COUNTIF(E21:AI21, "V")) + COUNTIF(E21:AI21, "✗") + COUNTIF(E21:AI21, "x") + COUNTIF(E21:AI21, "X"))&gt;0, (COUNTIF(E21:AI21, "✓") + COUNTIF(E21:AI21, "✔") + COUNTIF(E21:AI21, "v") + COUNTIF(E21:AI21, "V")) &amp; "/" &amp; ((COUNTIF(E21:AI21, "✓") + COUNTIF(E21:AI21, "✔") + COUNTIF(E21:AI21, "v") + COUNTIF(E21:AI21, "V")) + COUNTIF(E21:AI21, "✗") + COUNTIF(E21:AI21, "x") + COUNTIF(E21:AI21, "X")), "")))</f>
        <v/>
      </c>
      <c r="AL21" s="103">
        <f>IF(ISBLANK(B21), "", IF(AJ21&gt;=0.85, "🔥 Mastered", IF(AJ21&gt;=0.7, "⚡ Consistent", "⚠️ Needs Focus")))</f>
        <v/>
      </c>
      <c r="AM21">
        <f>COUNTIF(E21:AI21, "✓")</f>
        <v/>
      </c>
    </row>
    <row r="22" ht="14.5" customHeight="1">
      <c r="A22" s="104" t="n">
        <v>5</v>
      </c>
      <c r="B22" s="105" t="n"/>
      <c r="C22" s="106" t="n"/>
      <c r="D22" s="106" t="n"/>
      <c r="E22" s="107" t="n"/>
      <c r="F22" s="107" t="n"/>
      <c r="G22" s="108" t="n"/>
      <c r="H22" s="107" t="n"/>
      <c r="I22" s="107" t="n"/>
      <c r="J22" s="107" t="n"/>
      <c r="K22" s="107" t="n"/>
      <c r="L22" s="107" t="n"/>
      <c r="M22" s="107" t="n"/>
      <c r="N22" s="108" t="n"/>
      <c r="O22" s="107" t="n"/>
      <c r="P22" s="107" t="n"/>
      <c r="Q22" s="107" t="n"/>
      <c r="R22" s="107" t="n"/>
      <c r="S22" s="107" t="n"/>
      <c r="T22" s="107" t="n"/>
      <c r="U22" s="108" t="n"/>
      <c r="V22" s="107" t="n"/>
      <c r="W22" s="107" t="n"/>
      <c r="X22" s="107" t="n"/>
      <c r="Y22" s="107" t="n"/>
      <c r="Z22" s="107" t="n"/>
      <c r="AA22" s="107" t="n"/>
      <c r="AB22" s="108" t="n"/>
      <c r="AC22" s="107" t="n"/>
      <c r="AD22" s="107" t="n"/>
      <c r="AE22" s="107" t="n"/>
      <c r="AF22" s="107" t="n"/>
      <c r="AG22" s="107" t="n"/>
      <c r="AH22" s="107" t="n"/>
      <c r="AI22" s="108" t="n"/>
      <c r="AJ22" s="109">
        <f>IF(ISBLANK(B22), "", IF(ISNUMBER(D22), IF(D22&gt;0, (COUNTIF(E22:AI22, "✓") + COUNTIF(E22:AI22, "✔") + COUNTIF(E22:AI22, "v") + COUNTIF(E22:AI22, "V"))/D22, 0), IF(((COUNTIF(E22:AI22, "✓") + COUNTIF(E22:AI22, "✔") + COUNTIF(E22:AI22, "v") + COUNTIF(E22:AI22, "V")) + COUNTIF(E22:AI22, "✗") + COUNTIF(E22:AI22, "x") + COUNTIF(E22:AI22, "X"))&gt;0, (COUNTIF(E22:AI22, "✓") + COUNTIF(E22:AI22, "✔") + COUNTIF(E22:AI22, "v") + COUNTIF(E22:AI22, "V"))/((COUNTIF(E22:AI22, "✓") + COUNTIF(E22:AI22, "✔") + COUNTIF(E22:AI22, "v") + COUNTIF(E22:AI22, "V")) + COUNTIF(E22:AI22, "✗") + COUNTIF(E22:AI22, "x") + COUNTIF(E22:AI22, "X")), "")))</f>
        <v/>
      </c>
      <c r="AK22" s="110">
        <f>IF(ISBLANK(B22), "", IF(ISNUMBER(D22), IF(D22&gt;0, (COUNTIF(E22:AI22, "✓") + COUNTIF(E22:AI22, "✔") + COUNTIF(E22:AI22, "v") + COUNTIF(E22:AI22, "V")) &amp; "/" &amp; D22, (COUNTIF(E22:AI22, "✓") + COUNTIF(E22:AI22, "✔") + COUNTIF(E22:AI22, "v") + COUNTIF(E22:AI22, "V")) &amp; "/0"), IF(((COUNTIF(E22:AI22, "✓") + COUNTIF(E22:AI22, "✔") + COUNTIF(E22:AI22, "v") + COUNTIF(E22:AI22, "V")) + COUNTIF(E22:AI22, "✗") + COUNTIF(E22:AI22, "x") + COUNTIF(E22:AI22, "X"))&gt;0, (COUNTIF(E22:AI22, "✓") + COUNTIF(E22:AI22, "✔") + COUNTIF(E22:AI22, "v") + COUNTIF(E22:AI22, "V")) &amp; "/" &amp; ((COUNTIF(E22:AI22, "✓") + COUNTIF(E22:AI22, "✔") + COUNTIF(E22:AI22, "v") + COUNTIF(E22:AI22, "V")) + COUNTIF(E22:AI22, "✗") + COUNTIF(E22:AI22, "x") + COUNTIF(E22:AI22, "X")), "")))</f>
        <v/>
      </c>
      <c r="AL22" s="110">
        <f>IF(ISBLANK(B22), "", IF(AJ22&gt;=0.85, "🔥 Mastered", IF(AJ22&gt;=0.7, "⚡ Consistent", "⚠️ Needs Focus")))</f>
        <v/>
      </c>
      <c r="AM22">
        <f>COUNTIF(E22:AI22, "✓")</f>
        <v/>
      </c>
    </row>
    <row r="23" ht="14.5" customHeight="1">
      <c r="A23" s="104" t="n">
        <v>6</v>
      </c>
      <c r="B23" s="105" t="n"/>
      <c r="C23" s="106" t="n"/>
      <c r="D23" s="106" t="n"/>
      <c r="E23" s="107" t="n"/>
      <c r="F23" s="107" t="n"/>
      <c r="G23" s="108" t="n"/>
      <c r="H23" s="107" t="n"/>
      <c r="I23" s="107" t="n"/>
      <c r="J23" s="107" t="n"/>
      <c r="K23" s="107" t="n"/>
      <c r="L23" s="107" t="n"/>
      <c r="M23" s="107" t="n"/>
      <c r="N23" s="108" t="n"/>
      <c r="O23" s="107" t="n"/>
      <c r="P23" s="107" t="n"/>
      <c r="Q23" s="107" t="n"/>
      <c r="R23" s="107" t="n"/>
      <c r="S23" s="107" t="n"/>
      <c r="T23" s="107" t="n"/>
      <c r="U23" s="108" t="n"/>
      <c r="V23" s="107" t="n"/>
      <c r="W23" s="107" t="n"/>
      <c r="X23" s="107" t="n"/>
      <c r="Y23" s="107" t="n"/>
      <c r="Z23" s="107" t="n"/>
      <c r="AA23" s="107" t="n"/>
      <c r="AB23" s="108" t="n"/>
      <c r="AC23" s="107" t="n"/>
      <c r="AD23" s="107" t="n"/>
      <c r="AE23" s="107" t="n"/>
      <c r="AF23" s="107" t="n"/>
      <c r="AG23" s="107" t="n"/>
      <c r="AH23" s="107" t="n"/>
      <c r="AI23" s="108" t="n"/>
      <c r="AJ23" s="109">
        <f>IF(ISBLANK(B23), "", IF(ISNUMBER(D23), IF(D23&gt;0, (COUNTIF(E23:AI23, "✓") + COUNTIF(E23:AI23, "✔") + COUNTIF(E23:AI23, "v") + COUNTIF(E23:AI23, "V"))/D23, 0), IF(((COUNTIF(E23:AI23, "✓") + COUNTIF(E23:AI23, "✔") + COUNTIF(E23:AI23, "v") + COUNTIF(E23:AI23, "V")) + COUNTIF(E23:AI23, "✗") + COUNTIF(E23:AI23, "x") + COUNTIF(E23:AI23, "X"))&gt;0, (COUNTIF(E23:AI23, "✓") + COUNTIF(E23:AI23, "✔") + COUNTIF(E23:AI23, "v") + COUNTIF(E23:AI23, "V"))/((COUNTIF(E23:AI23, "✓") + COUNTIF(E23:AI23, "✔") + COUNTIF(E23:AI23, "v") + COUNTIF(E23:AI23, "V")) + COUNTIF(E23:AI23, "✗") + COUNTIF(E23:AI23, "x") + COUNTIF(E23:AI23, "X")), "")))</f>
        <v/>
      </c>
      <c r="AK23" s="110">
        <f>IF(ISBLANK(B23), "", IF(ISNUMBER(D23), IF(D23&gt;0, (COUNTIF(E23:AI23, "✓") + COUNTIF(E23:AI23, "✔") + COUNTIF(E23:AI23, "v") + COUNTIF(E23:AI23, "V")) &amp; "/" &amp; D23, (COUNTIF(E23:AI23, "✓") + COUNTIF(E23:AI23, "✔") + COUNTIF(E23:AI23, "v") + COUNTIF(E23:AI23, "V")) &amp; "/0"), IF(((COUNTIF(E23:AI23, "✓") + COUNTIF(E23:AI23, "✔") + COUNTIF(E23:AI23, "v") + COUNTIF(E23:AI23, "V")) + COUNTIF(E23:AI23, "✗") + COUNTIF(E23:AI23, "x") + COUNTIF(E23:AI23, "X"))&gt;0, (COUNTIF(E23:AI23, "✓") + COUNTIF(E23:AI23, "✔") + COUNTIF(E23:AI23, "v") + COUNTIF(E23:AI23, "V")) &amp; "/" &amp; ((COUNTIF(E23:AI23, "✓") + COUNTIF(E23:AI23, "✔") + COUNTIF(E23:AI23, "v") + COUNTIF(E23:AI23, "V")) + COUNTIF(E23:AI23, "✗") + COUNTIF(E23:AI23, "x") + COUNTIF(E23:AI23, "X")), "")))</f>
        <v/>
      </c>
      <c r="AL23" s="110">
        <f>IF(ISBLANK(B23), "", IF(AJ23&gt;=0.85, "🔥 Mastered", IF(AJ23&gt;=0.7, "⚡ Consistent", "⚠️ Needs Focus")))</f>
        <v/>
      </c>
      <c r="AM23">
        <f>COUNTIF(E23:AI23, "✓")</f>
        <v/>
      </c>
    </row>
    <row r="24" ht="14.5" customHeight="1">
      <c r="A24" s="104" t="n">
        <v>7</v>
      </c>
      <c r="B24" s="105" t="n"/>
      <c r="C24" s="106" t="n"/>
      <c r="D24" s="106" t="n"/>
      <c r="E24" s="107" t="n"/>
      <c r="F24" s="107" t="n"/>
      <c r="G24" s="108" t="n"/>
      <c r="H24" s="107" t="n"/>
      <c r="I24" s="107" t="n"/>
      <c r="J24" s="107" t="n"/>
      <c r="K24" s="107" t="n"/>
      <c r="L24" s="107" t="n"/>
      <c r="M24" s="107" t="n"/>
      <c r="N24" s="108" t="n"/>
      <c r="O24" s="107" t="n"/>
      <c r="P24" s="107" t="n"/>
      <c r="Q24" s="107" t="n"/>
      <c r="R24" s="107" t="n"/>
      <c r="S24" s="107" t="n"/>
      <c r="T24" s="107" t="n"/>
      <c r="U24" s="108" t="n"/>
      <c r="V24" s="107" t="n"/>
      <c r="W24" s="107" t="n"/>
      <c r="X24" s="107" t="n"/>
      <c r="Y24" s="107" t="n"/>
      <c r="Z24" s="107" t="n"/>
      <c r="AA24" s="107" t="n"/>
      <c r="AB24" s="108" t="n"/>
      <c r="AC24" s="107" t="n"/>
      <c r="AD24" s="107" t="n"/>
      <c r="AE24" s="107" t="n"/>
      <c r="AF24" s="107" t="n"/>
      <c r="AG24" s="107" t="n"/>
      <c r="AH24" s="107" t="n"/>
      <c r="AI24" s="108" t="n"/>
      <c r="AJ24" s="109">
        <f>IF(ISBLANK(B24), "", IF(ISNUMBER(D24), IF(D24&gt;0, (COUNTIF(E24:AI24, "✓") + COUNTIF(E24:AI24, "✔") + COUNTIF(E24:AI24, "v") + COUNTIF(E24:AI24, "V"))/D24, 0), IF(((COUNTIF(E24:AI24, "✓") + COUNTIF(E24:AI24, "✔") + COUNTIF(E24:AI24, "v") + COUNTIF(E24:AI24, "V")) + COUNTIF(E24:AI24, "✗") + COUNTIF(E24:AI24, "x") + COUNTIF(E24:AI24, "X"))&gt;0, (COUNTIF(E24:AI24, "✓") + COUNTIF(E24:AI24, "✔") + COUNTIF(E24:AI24, "v") + COUNTIF(E24:AI24, "V"))/((COUNTIF(E24:AI24, "✓") + COUNTIF(E24:AI24, "✔") + COUNTIF(E24:AI24, "v") + COUNTIF(E24:AI24, "V")) + COUNTIF(E24:AI24, "✗") + COUNTIF(E24:AI24, "x") + COUNTIF(E24:AI24, "X")), "")))</f>
        <v/>
      </c>
      <c r="AK24" s="110">
        <f>IF(ISBLANK(B24), "", IF(ISNUMBER(D24), IF(D24&gt;0, (COUNTIF(E24:AI24, "✓") + COUNTIF(E24:AI24, "✔") + COUNTIF(E24:AI24, "v") + COUNTIF(E24:AI24, "V")) &amp; "/" &amp; D24, (COUNTIF(E24:AI24, "✓") + COUNTIF(E24:AI24, "✔") + COUNTIF(E24:AI24, "v") + COUNTIF(E24:AI24, "V")) &amp; "/0"), IF(((COUNTIF(E24:AI24, "✓") + COUNTIF(E24:AI24, "✔") + COUNTIF(E24:AI24, "v") + COUNTIF(E24:AI24, "V")) + COUNTIF(E24:AI24, "✗") + COUNTIF(E24:AI24, "x") + COUNTIF(E24:AI24, "X"))&gt;0, (COUNTIF(E24:AI24, "✓") + COUNTIF(E24:AI24, "✔") + COUNTIF(E24:AI24, "v") + COUNTIF(E24:AI24, "V")) &amp; "/" &amp; ((COUNTIF(E24:AI24, "✓") + COUNTIF(E24:AI24, "✔") + COUNTIF(E24:AI24, "v") + COUNTIF(E24:AI24, "V")) + COUNTIF(E24:AI24, "✗") + COUNTIF(E24:AI24, "x") + COUNTIF(E24:AI24, "X")), "")))</f>
        <v/>
      </c>
      <c r="AL24" s="110">
        <f>IF(ISBLANK(B24), "", IF(AJ24&gt;=0.85, "🔥 Mastered", IF(AJ24&gt;=0.7, "⚡ Consistent", "⚠️ Needs Focus")))</f>
        <v/>
      </c>
      <c r="AM24">
        <f>COUNTIF(E24:AI24, "✓")</f>
        <v/>
      </c>
    </row>
    <row r="25" ht="14.5" customHeight="1">
      <c r="A25" s="104" t="n">
        <v>8</v>
      </c>
      <c r="B25" s="105" t="n"/>
      <c r="C25" s="106" t="n"/>
      <c r="D25" s="106" t="n"/>
      <c r="E25" s="107" t="n"/>
      <c r="F25" s="107" t="n"/>
      <c r="G25" s="108" t="n"/>
      <c r="H25" s="107" t="n"/>
      <c r="I25" s="107" t="n"/>
      <c r="J25" s="107" t="n"/>
      <c r="K25" s="107" t="n"/>
      <c r="L25" s="107" t="n"/>
      <c r="M25" s="107" t="n"/>
      <c r="N25" s="108" t="n"/>
      <c r="O25" s="107" t="n"/>
      <c r="P25" s="107" t="n"/>
      <c r="Q25" s="107" t="n"/>
      <c r="R25" s="107" t="n"/>
      <c r="S25" s="107" t="n"/>
      <c r="T25" s="107" t="n"/>
      <c r="U25" s="108" t="n"/>
      <c r="V25" s="107" t="n"/>
      <c r="W25" s="107" t="n"/>
      <c r="X25" s="107" t="n"/>
      <c r="Y25" s="107" t="n"/>
      <c r="Z25" s="107" t="n"/>
      <c r="AA25" s="107" t="n"/>
      <c r="AB25" s="108" t="n"/>
      <c r="AC25" s="107" t="n"/>
      <c r="AD25" s="107" t="n"/>
      <c r="AE25" s="107" t="n"/>
      <c r="AF25" s="107" t="n"/>
      <c r="AG25" s="107" t="n"/>
      <c r="AH25" s="107" t="n"/>
      <c r="AI25" s="108" t="n"/>
      <c r="AJ25" s="109">
        <f>IF(ISBLANK(B25), "", IF(ISNUMBER(D25), IF(D25&gt;0, (COUNTIF(E25:AI25, "✓") + COUNTIF(E25:AI25, "✔") + COUNTIF(E25:AI25, "v") + COUNTIF(E25:AI25, "V"))/D25, 0), IF(((COUNTIF(E25:AI25, "✓") + COUNTIF(E25:AI25, "✔") + COUNTIF(E25:AI25, "v") + COUNTIF(E25:AI25, "V")) + COUNTIF(E25:AI25, "✗") + COUNTIF(E25:AI25, "x") + COUNTIF(E25:AI25, "X"))&gt;0, (COUNTIF(E25:AI25, "✓") + COUNTIF(E25:AI25, "✔") + COUNTIF(E25:AI25, "v") + COUNTIF(E25:AI25, "V"))/((COUNTIF(E25:AI25, "✓") + COUNTIF(E25:AI25, "✔") + COUNTIF(E25:AI25, "v") + COUNTIF(E25:AI25, "V")) + COUNTIF(E25:AI25, "✗") + COUNTIF(E25:AI25, "x") + COUNTIF(E25:AI25, "X")), "")))</f>
        <v/>
      </c>
      <c r="AK25" s="110">
        <f>IF(ISBLANK(B25), "", IF(ISNUMBER(D25), IF(D25&gt;0, (COUNTIF(E25:AI25, "✓") + COUNTIF(E25:AI25, "✔") + COUNTIF(E25:AI25, "v") + COUNTIF(E25:AI25, "V")) &amp; "/" &amp; D25, (COUNTIF(E25:AI25, "✓") + COUNTIF(E25:AI25, "✔") + COUNTIF(E25:AI25, "v") + COUNTIF(E25:AI25, "V")) &amp; "/0"), IF(((COUNTIF(E25:AI25, "✓") + COUNTIF(E25:AI25, "✔") + COUNTIF(E25:AI25, "v") + COUNTIF(E25:AI25, "V")) + COUNTIF(E25:AI25, "✗") + COUNTIF(E25:AI25, "x") + COUNTIF(E25:AI25, "X"))&gt;0, (COUNTIF(E25:AI25, "✓") + COUNTIF(E25:AI25, "✔") + COUNTIF(E25:AI25, "v") + COUNTIF(E25:AI25, "V")) &amp; "/" &amp; ((COUNTIF(E25:AI25, "✓") + COUNTIF(E25:AI25, "✔") + COUNTIF(E25:AI25, "v") + COUNTIF(E25:AI25, "V")) + COUNTIF(E25:AI25, "✗") + COUNTIF(E25:AI25, "x") + COUNTIF(E25:AI25, "X")), "")))</f>
        <v/>
      </c>
      <c r="AL25" s="110">
        <f>IF(ISBLANK(B25), "", IF(AJ25&gt;=0.85, "🔥 Mastered", IF(AJ25&gt;=0.7, "⚡ Consistent", "⚠️ Needs Focus")))</f>
        <v/>
      </c>
      <c r="AM25">
        <f>COUNTIF(E25:AI25, "✓")</f>
        <v/>
      </c>
    </row>
    <row r="26" ht="14.5" customHeight="1">
      <c r="A26" s="111" t="n">
        <v>9</v>
      </c>
      <c r="B26" s="112" t="n"/>
      <c r="C26" s="113" t="n"/>
      <c r="D26" s="113" t="n"/>
      <c r="E26" s="114" t="n"/>
      <c r="F26" s="114" t="n"/>
      <c r="G26" s="115" t="n"/>
      <c r="H26" s="114" t="n"/>
      <c r="I26" s="114" t="n"/>
      <c r="J26" s="114" t="n"/>
      <c r="K26" s="114" t="n"/>
      <c r="L26" s="114" t="n"/>
      <c r="M26" s="114" t="n"/>
      <c r="N26" s="115" t="n"/>
      <c r="O26" s="114" t="n"/>
      <c r="P26" s="114" t="n"/>
      <c r="Q26" s="114" t="n"/>
      <c r="R26" s="114" t="n"/>
      <c r="S26" s="114" t="n"/>
      <c r="T26" s="114" t="n"/>
      <c r="U26" s="115" t="n"/>
      <c r="V26" s="114" t="n"/>
      <c r="W26" s="114" t="n"/>
      <c r="X26" s="114" t="n"/>
      <c r="Y26" s="114" t="n"/>
      <c r="Z26" s="114" t="n"/>
      <c r="AA26" s="114" t="n"/>
      <c r="AB26" s="115" t="n"/>
      <c r="AC26" s="114" t="n"/>
      <c r="AD26" s="114" t="n"/>
      <c r="AE26" s="114" t="n"/>
      <c r="AF26" s="114" t="n"/>
      <c r="AG26" s="114" t="n"/>
      <c r="AH26" s="114" t="n"/>
      <c r="AI26" s="115" t="n"/>
      <c r="AJ26" s="116">
        <f>IF(ISBLANK(B26), "", IF(ISNUMBER(D26), IF(D26&gt;0, (COUNTIF(E26:AI26, "✓") + COUNTIF(E26:AI26, "✔") + COUNTIF(E26:AI26, "v") + COUNTIF(E26:AI26, "V"))/D26, 0), IF(((COUNTIF(E26:AI26, "✓") + COUNTIF(E26:AI26, "✔") + COUNTIF(E26:AI26, "v") + COUNTIF(E26:AI26, "V")) + COUNTIF(E26:AI26, "✗") + COUNTIF(E26:AI26, "x") + COUNTIF(E26:AI26, "X"))&gt;0, (COUNTIF(E26:AI26, "✓") + COUNTIF(E26:AI26, "✔") + COUNTIF(E26:AI26, "v") + COUNTIF(E26:AI26, "V"))/((COUNTIF(E26:AI26, "✓") + COUNTIF(E26:AI26, "✔") + COUNTIF(E26:AI26, "v") + COUNTIF(E26:AI26, "V")) + COUNTIF(E26:AI26, "✗") + COUNTIF(E26:AI26, "x") + COUNTIF(E26:AI26, "X")), "")))</f>
        <v/>
      </c>
      <c r="AK26" s="117">
        <f>IF(ISBLANK(B26), "", IF(ISNUMBER(D26), IF(D26&gt;0, (COUNTIF(E26:AI26, "✓") + COUNTIF(E26:AI26, "✔") + COUNTIF(E26:AI26, "v") + COUNTIF(E26:AI26, "V")) &amp; "/" &amp; D26, (COUNTIF(E26:AI26, "✓") + COUNTIF(E26:AI26, "✔") + COUNTIF(E26:AI26, "v") + COUNTIF(E26:AI26, "V")) &amp; "/0"), IF(((COUNTIF(E26:AI26, "✓") + COUNTIF(E26:AI26, "✔") + COUNTIF(E26:AI26, "v") + COUNTIF(E26:AI26, "V")) + COUNTIF(E26:AI26, "✗") + COUNTIF(E26:AI26, "x") + COUNTIF(E26:AI26, "X"))&gt;0, (COUNTIF(E26:AI26, "✓") + COUNTIF(E26:AI26, "✔") + COUNTIF(E26:AI26, "v") + COUNTIF(E26:AI26, "V")) &amp; "/" &amp; ((COUNTIF(E26:AI26, "✓") + COUNTIF(E26:AI26, "✔") + COUNTIF(E26:AI26, "v") + COUNTIF(E26:AI26, "V")) + COUNTIF(E26:AI26, "✗") + COUNTIF(E26:AI26, "x") + COUNTIF(E26:AI26, "X")), "")))</f>
        <v/>
      </c>
      <c r="AL26" s="117">
        <f>IF(ISBLANK(B26), "", IF(AJ26&gt;=0.85, "🔥 Mastered", IF(AJ26&gt;=0.7, "⚡ Consistent", "⚠️ Needs Focus")))</f>
        <v/>
      </c>
      <c r="AM26">
        <f>COUNTIF(E26:AI26, "✓")</f>
        <v/>
      </c>
    </row>
    <row r="27" ht="14.5" customHeight="1">
      <c r="A27" s="111" t="n">
        <v>10</v>
      </c>
      <c r="B27" s="112" t="n"/>
      <c r="C27" s="113" t="n"/>
      <c r="D27" s="113" t="n"/>
      <c r="E27" s="114" t="n"/>
      <c r="F27" s="114" t="n"/>
      <c r="G27" s="115" t="n"/>
      <c r="H27" s="114" t="n"/>
      <c r="I27" s="114" t="n"/>
      <c r="J27" s="114" t="n"/>
      <c r="K27" s="114" t="n"/>
      <c r="L27" s="114" t="n"/>
      <c r="M27" s="114" t="n"/>
      <c r="N27" s="115" t="n"/>
      <c r="O27" s="114" t="n"/>
      <c r="P27" s="114" t="n"/>
      <c r="Q27" s="114" t="n"/>
      <c r="R27" s="114" t="n"/>
      <c r="S27" s="114" t="n"/>
      <c r="T27" s="114" t="n"/>
      <c r="U27" s="115" t="n"/>
      <c r="V27" s="114" t="n"/>
      <c r="W27" s="114" t="n"/>
      <c r="X27" s="114" t="n"/>
      <c r="Y27" s="114" t="n"/>
      <c r="Z27" s="114" t="n"/>
      <c r="AA27" s="114" t="n"/>
      <c r="AB27" s="115" t="n"/>
      <c r="AC27" s="114" t="n"/>
      <c r="AD27" s="114" t="n"/>
      <c r="AE27" s="114" t="n"/>
      <c r="AF27" s="114" t="n"/>
      <c r="AG27" s="114" t="n"/>
      <c r="AH27" s="114" t="n"/>
      <c r="AI27" s="115" t="n"/>
      <c r="AJ27" s="116">
        <f>IF(ISBLANK(B27), "", IF(ISNUMBER(D27), IF(D27&gt;0, (COUNTIF(E27:AI27, "✓") + COUNTIF(E27:AI27, "✔") + COUNTIF(E27:AI27, "v") + COUNTIF(E27:AI27, "V"))/D27, 0), IF(((COUNTIF(E27:AI27, "✓") + COUNTIF(E27:AI27, "✔") + COUNTIF(E27:AI27, "v") + COUNTIF(E27:AI27, "V")) + COUNTIF(E27:AI27, "✗") + COUNTIF(E27:AI27, "x") + COUNTIF(E27:AI27, "X"))&gt;0, (COUNTIF(E27:AI27, "✓") + COUNTIF(E27:AI27, "✔") + COUNTIF(E27:AI27, "v") + COUNTIF(E27:AI27, "V"))/((COUNTIF(E27:AI27, "✓") + COUNTIF(E27:AI27, "✔") + COUNTIF(E27:AI27, "v") + COUNTIF(E27:AI27, "V")) + COUNTIF(E27:AI27, "✗") + COUNTIF(E27:AI27, "x") + COUNTIF(E27:AI27, "X")), "")))</f>
        <v/>
      </c>
      <c r="AK27" s="117">
        <f>IF(ISBLANK(B27), "", IF(ISNUMBER(D27), IF(D27&gt;0, (COUNTIF(E27:AI27, "✓") + COUNTIF(E27:AI27, "✔") + COUNTIF(E27:AI27, "v") + COUNTIF(E27:AI27, "V")) &amp; "/" &amp; D27, (COUNTIF(E27:AI27, "✓") + COUNTIF(E27:AI27, "✔") + COUNTIF(E27:AI27, "v") + COUNTIF(E27:AI27, "V")) &amp; "/0"), IF(((COUNTIF(E27:AI27, "✓") + COUNTIF(E27:AI27, "✔") + COUNTIF(E27:AI27, "v") + COUNTIF(E27:AI27, "V")) + COUNTIF(E27:AI27, "✗") + COUNTIF(E27:AI27, "x") + COUNTIF(E27:AI27, "X"))&gt;0, (COUNTIF(E27:AI27, "✓") + COUNTIF(E27:AI27, "✔") + COUNTIF(E27:AI27, "v") + COUNTIF(E27:AI27, "V")) &amp; "/" &amp; ((COUNTIF(E27:AI27, "✓") + COUNTIF(E27:AI27, "✔") + COUNTIF(E27:AI27, "v") + COUNTIF(E27:AI27, "V")) + COUNTIF(E27:AI27, "✗") + COUNTIF(E27:AI27, "x") + COUNTIF(E27:AI27, "X")), "")))</f>
        <v/>
      </c>
      <c r="AL27" s="117">
        <f>IF(ISBLANK(B27), "", IF(AJ27&gt;=0.85, "🔥 Mastered", IF(AJ27&gt;=0.7, "⚡ Consistent", "⚠️ Needs Focus")))</f>
        <v/>
      </c>
      <c r="AM27">
        <f>COUNTIF(E27:AI27, "✓")</f>
        <v/>
      </c>
    </row>
    <row r="28" ht="14.5" customHeight="1">
      <c r="A28" s="111" t="n">
        <v>11</v>
      </c>
      <c r="B28" s="112" t="n"/>
      <c r="C28" s="113" t="n"/>
      <c r="D28" s="113" t="n"/>
      <c r="E28" s="114" t="n"/>
      <c r="F28" s="114" t="n"/>
      <c r="G28" s="115" t="n"/>
      <c r="H28" s="114" t="n"/>
      <c r="I28" s="114" t="n"/>
      <c r="J28" s="114" t="n"/>
      <c r="K28" s="114" t="n"/>
      <c r="L28" s="114" t="n"/>
      <c r="M28" s="114" t="n"/>
      <c r="N28" s="115" t="n"/>
      <c r="O28" s="114" t="n"/>
      <c r="P28" s="114" t="n"/>
      <c r="Q28" s="114" t="n"/>
      <c r="R28" s="114" t="n"/>
      <c r="S28" s="114" t="n"/>
      <c r="T28" s="114" t="n"/>
      <c r="U28" s="115" t="n"/>
      <c r="V28" s="114" t="n"/>
      <c r="W28" s="114" t="n"/>
      <c r="X28" s="114" t="n"/>
      <c r="Y28" s="114" t="n"/>
      <c r="Z28" s="114" t="n"/>
      <c r="AA28" s="114" t="n"/>
      <c r="AB28" s="115" t="n"/>
      <c r="AC28" s="114" t="n"/>
      <c r="AD28" s="114" t="n"/>
      <c r="AE28" s="114" t="n"/>
      <c r="AF28" s="114" t="n"/>
      <c r="AG28" s="114" t="n"/>
      <c r="AH28" s="114" t="n"/>
      <c r="AI28" s="115" t="n"/>
      <c r="AJ28" s="116">
        <f>IF(ISBLANK(B28), "", IF(ISNUMBER(D28), IF(D28&gt;0, (COUNTIF(E28:AI28, "✓") + COUNTIF(E28:AI28, "✔") + COUNTIF(E28:AI28, "v") + COUNTIF(E28:AI28, "V"))/D28, 0), IF(((COUNTIF(E28:AI28, "✓") + COUNTIF(E28:AI28, "✔") + COUNTIF(E28:AI28, "v") + COUNTIF(E28:AI28, "V")) + COUNTIF(E28:AI28, "✗") + COUNTIF(E28:AI28, "x") + COUNTIF(E28:AI28, "X"))&gt;0, (COUNTIF(E28:AI28, "✓") + COUNTIF(E28:AI28, "✔") + COUNTIF(E28:AI28, "v") + COUNTIF(E28:AI28, "V"))/((COUNTIF(E28:AI28, "✓") + COUNTIF(E28:AI28, "✔") + COUNTIF(E28:AI28, "v") + COUNTIF(E28:AI28, "V")) + COUNTIF(E28:AI28, "✗") + COUNTIF(E28:AI28, "x") + COUNTIF(E28:AI28, "X")), "")))</f>
        <v/>
      </c>
      <c r="AK28" s="117">
        <f>IF(ISBLANK(B28), "", IF(ISNUMBER(D28), IF(D28&gt;0, (COUNTIF(E28:AI28, "✓") + COUNTIF(E28:AI28, "✔") + COUNTIF(E28:AI28, "v") + COUNTIF(E28:AI28, "V")) &amp; "/" &amp; D28, (COUNTIF(E28:AI28, "✓") + COUNTIF(E28:AI28, "✔") + COUNTIF(E28:AI28, "v") + COUNTIF(E28:AI28, "V")) &amp; "/0"), IF(((COUNTIF(E28:AI28, "✓") + COUNTIF(E28:AI28, "✔") + COUNTIF(E28:AI28, "v") + COUNTIF(E28:AI28, "V")) + COUNTIF(E28:AI28, "✗") + COUNTIF(E28:AI28, "x") + COUNTIF(E28:AI28, "X"))&gt;0, (COUNTIF(E28:AI28, "✓") + COUNTIF(E28:AI28, "✔") + COUNTIF(E28:AI28, "v") + COUNTIF(E28:AI28, "V")) &amp; "/" &amp; ((COUNTIF(E28:AI28, "✓") + COUNTIF(E28:AI28, "✔") + COUNTIF(E28:AI28, "v") + COUNTIF(E28:AI28, "V")) + COUNTIF(E28:AI28, "✗") + COUNTIF(E28:AI28, "x") + COUNTIF(E28:AI28, "X")), "")))</f>
        <v/>
      </c>
      <c r="AL28" s="117">
        <f>IF(ISBLANK(B28), "", IF(AJ28&gt;=0.85, "🔥 Mastered", IF(AJ28&gt;=0.7, "⚡ Consistent", "⚠️ Needs Focus")))</f>
        <v/>
      </c>
      <c r="AM28">
        <f>COUNTIF(E28:AI28, "✓")</f>
        <v/>
      </c>
    </row>
    <row r="29" ht="14.5" customHeight="1">
      <c r="A29" s="111" t="n">
        <v>12</v>
      </c>
      <c r="B29" s="112" t="n"/>
      <c r="C29" s="113" t="n"/>
      <c r="D29" s="113" t="n"/>
      <c r="E29" s="114" t="n"/>
      <c r="F29" s="114" t="n"/>
      <c r="G29" s="115" t="n"/>
      <c r="H29" s="114" t="n"/>
      <c r="I29" s="114" t="n"/>
      <c r="J29" s="114" t="n"/>
      <c r="K29" s="114" t="n"/>
      <c r="L29" s="114" t="n"/>
      <c r="M29" s="114" t="n"/>
      <c r="N29" s="115" t="n"/>
      <c r="O29" s="114" t="n"/>
      <c r="P29" s="114" t="n"/>
      <c r="Q29" s="114" t="n"/>
      <c r="R29" s="114" t="n"/>
      <c r="S29" s="114" t="n"/>
      <c r="T29" s="114" t="n"/>
      <c r="U29" s="115" t="n"/>
      <c r="V29" s="114" t="n"/>
      <c r="W29" s="114" t="n"/>
      <c r="X29" s="114" t="n"/>
      <c r="Y29" s="114" t="n"/>
      <c r="Z29" s="114" t="n"/>
      <c r="AA29" s="114" t="n"/>
      <c r="AB29" s="115" t="n"/>
      <c r="AC29" s="114" t="n"/>
      <c r="AD29" s="114" t="n"/>
      <c r="AE29" s="114" t="n"/>
      <c r="AF29" s="114" t="n"/>
      <c r="AG29" s="114" t="n"/>
      <c r="AH29" s="114" t="n"/>
      <c r="AI29" s="115" t="n"/>
      <c r="AJ29" s="116">
        <f>IF(ISBLANK(B29), "", IF(ISNUMBER(D29), IF(D29&gt;0, (COUNTIF(E29:AI29, "✓") + COUNTIF(E29:AI29, "✔") + COUNTIF(E29:AI29, "v") + COUNTIF(E29:AI29, "V"))/D29, 0), IF(((COUNTIF(E29:AI29, "✓") + COUNTIF(E29:AI29, "✔") + COUNTIF(E29:AI29, "v") + COUNTIF(E29:AI29, "V")) + COUNTIF(E29:AI29, "✗") + COUNTIF(E29:AI29, "x") + COUNTIF(E29:AI29, "X"))&gt;0, (COUNTIF(E29:AI29, "✓") + COUNTIF(E29:AI29, "✔") + COUNTIF(E29:AI29, "v") + COUNTIF(E29:AI29, "V"))/((COUNTIF(E29:AI29, "✓") + COUNTIF(E29:AI29, "✔") + COUNTIF(E29:AI29, "v") + COUNTIF(E29:AI29, "V")) + COUNTIF(E29:AI29, "✗") + COUNTIF(E29:AI29, "x") + COUNTIF(E29:AI29, "X")), "")))</f>
        <v/>
      </c>
      <c r="AK29" s="117">
        <f>IF(ISBLANK(B29), "", IF(ISNUMBER(D29), IF(D29&gt;0, (COUNTIF(E29:AI29, "✓") + COUNTIF(E29:AI29, "✔") + COUNTIF(E29:AI29, "v") + COUNTIF(E29:AI29, "V")) &amp; "/" &amp; D29, (COUNTIF(E29:AI29, "✓") + COUNTIF(E29:AI29, "✔") + COUNTIF(E29:AI29, "v") + COUNTIF(E29:AI29, "V")) &amp; "/0"), IF(((COUNTIF(E29:AI29, "✓") + COUNTIF(E29:AI29, "✔") + COUNTIF(E29:AI29, "v") + COUNTIF(E29:AI29, "V")) + COUNTIF(E29:AI29, "✗") + COUNTIF(E29:AI29, "x") + COUNTIF(E29:AI29, "X"))&gt;0, (COUNTIF(E29:AI29, "✓") + COUNTIF(E29:AI29, "✔") + COUNTIF(E29:AI29, "v") + COUNTIF(E29:AI29, "V")) &amp; "/" &amp; ((COUNTIF(E29:AI29, "✓") + COUNTIF(E29:AI29, "✔") + COUNTIF(E29:AI29, "v") + COUNTIF(E29:AI29, "V")) + COUNTIF(E29:AI29, "✗") + COUNTIF(E29:AI29, "x") + COUNTIF(E29:AI29, "X")), "")))</f>
        <v/>
      </c>
      <c r="AL29" s="117">
        <f>IF(ISBLANK(B29), "", IF(AJ29&gt;=0.85, "🔥 Mastered", IF(AJ29&gt;=0.7, "⚡ Consistent", "⚠️ Needs Focus")))</f>
        <v/>
      </c>
      <c r="AM29">
        <f>COUNTIF(E29:AI29, "✓")</f>
        <v/>
      </c>
    </row>
    <row r="30" ht="14.5" customHeight="1">
      <c r="A30" s="118" t="n">
        <v>13</v>
      </c>
      <c r="B30" s="119" t="n"/>
      <c r="C30" s="120" t="n"/>
      <c r="D30" s="120" t="n"/>
      <c r="E30" s="121" t="n"/>
      <c r="F30" s="121" t="n"/>
      <c r="G30" s="122" t="n"/>
      <c r="H30" s="121" t="n"/>
      <c r="I30" s="121" t="n"/>
      <c r="J30" s="121" t="n"/>
      <c r="K30" s="121" t="n"/>
      <c r="L30" s="121" t="n"/>
      <c r="M30" s="121" t="n"/>
      <c r="N30" s="122" t="n"/>
      <c r="O30" s="121" t="n"/>
      <c r="P30" s="121" t="n"/>
      <c r="Q30" s="121" t="n"/>
      <c r="R30" s="121" t="n"/>
      <c r="S30" s="121" t="n"/>
      <c r="T30" s="121" t="n"/>
      <c r="U30" s="122" t="n"/>
      <c r="V30" s="121" t="n"/>
      <c r="W30" s="121" t="n"/>
      <c r="X30" s="121" t="n"/>
      <c r="Y30" s="121" t="n"/>
      <c r="Z30" s="121" t="n"/>
      <c r="AA30" s="121" t="n"/>
      <c r="AB30" s="122" t="n"/>
      <c r="AC30" s="121" t="n"/>
      <c r="AD30" s="121" t="n"/>
      <c r="AE30" s="121" t="n"/>
      <c r="AF30" s="121" t="n"/>
      <c r="AG30" s="121" t="n"/>
      <c r="AH30" s="121" t="n"/>
      <c r="AI30" s="122" t="n"/>
      <c r="AJ30" s="123">
        <f>IF(ISBLANK(B30), "", IF(ISNUMBER(D30), IF(D30&gt;0, (COUNTIF(E30:AI30, "✓") + COUNTIF(E30:AI30, "✔") + COUNTIF(E30:AI30, "v") + COUNTIF(E30:AI30, "V"))/D30, 0), IF(((COUNTIF(E30:AI30, "✓") + COUNTIF(E30:AI30, "✔") + COUNTIF(E30:AI30, "v") + COUNTIF(E30:AI30, "V")) + COUNTIF(E30:AI30, "✗") + COUNTIF(E30:AI30, "x") + COUNTIF(E30:AI30, "X"))&gt;0, (COUNTIF(E30:AI30, "✓") + COUNTIF(E30:AI30, "✔") + COUNTIF(E30:AI30, "v") + COUNTIF(E30:AI30, "V"))/((COUNTIF(E30:AI30, "✓") + COUNTIF(E30:AI30, "✔") + COUNTIF(E30:AI30, "v") + COUNTIF(E30:AI30, "V")) + COUNTIF(E30:AI30, "✗") + COUNTIF(E30:AI30, "x") + COUNTIF(E30:AI30, "X")), "")))</f>
        <v/>
      </c>
      <c r="AK30" s="124">
        <f>IF(ISBLANK(B30), "", IF(ISNUMBER(D30), IF(D30&gt;0, (COUNTIF(E30:AI30, "✓") + COUNTIF(E30:AI30, "✔") + COUNTIF(E30:AI30, "v") + COUNTIF(E30:AI30, "V")) &amp; "/" &amp; D30, (COUNTIF(E30:AI30, "✓") + COUNTIF(E30:AI30, "✔") + COUNTIF(E30:AI30, "v") + COUNTIF(E30:AI30, "V")) &amp; "/0"), IF(((COUNTIF(E30:AI30, "✓") + COUNTIF(E30:AI30, "✔") + COUNTIF(E30:AI30, "v") + COUNTIF(E30:AI30, "V")) + COUNTIF(E30:AI30, "✗") + COUNTIF(E30:AI30, "x") + COUNTIF(E30:AI30, "X"))&gt;0, (COUNTIF(E30:AI30, "✓") + COUNTIF(E30:AI30, "✔") + COUNTIF(E30:AI30, "v") + COUNTIF(E30:AI30, "V")) &amp; "/" &amp; ((COUNTIF(E30:AI30, "✓") + COUNTIF(E30:AI30, "✔") + COUNTIF(E30:AI30, "v") + COUNTIF(E30:AI30, "V")) + COUNTIF(E30:AI30, "✗") + COUNTIF(E30:AI30, "x") + COUNTIF(E30:AI30, "X")), "")))</f>
        <v/>
      </c>
      <c r="AL30" s="124">
        <f>IF(ISBLANK(B30), "", IF(AJ30&gt;=0.85, "🔥 Mastered", IF(AJ30&gt;=0.7, "⚡ Consistent", "⚠️ Needs Focus")))</f>
        <v/>
      </c>
      <c r="AM30">
        <f>COUNTIF(E30:AI30, "✓")</f>
        <v/>
      </c>
    </row>
    <row r="31" ht="14.5" customHeight="1">
      <c r="A31" s="118" t="n">
        <v>14</v>
      </c>
      <c r="B31" s="119" t="n"/>
      <c r="C31" s="120" t="n"/>
      <c r="D31" s="120" t="n"/>
      <c r="E31" s="121" t="n"/>
      <c r="F31" s="121" t="n"/>
      <c r="G31" s="122" t="n"/>
      <c r="H31" s="121" t="n"/>
      <c r="I31" s="121" t="n"/>
      <c r="J31" s="121" t="n"/>
      <c r="K31" s="121" t="n"/>
      <c r="L31" s="121" t="n"/>
      <c r="M31" s="121" t="n"/>
      <c r="N31" s="122" t="n"/>
      <c r="O31" s="121" t="n"/>
      <c r="P31" s="121" t="n"/>
      <c r="Q31" s="121" t="n"/>
      <c r="R31" s="121" t="n"/>
      <c r="S31" s="121" t="n"/>
      <c r="T31" s="121" t="n"/>
      <c r="U31" s="122" t="n"/>
      <c r="V31" s="121" t="n"/>
      <c r="W31" s="121" t="n"/>
      <c r="X31" s="121" t="n"/>
      <c r="Y31" s="121" t="n"/>
      <c r="Z31" s="121" t="n"/>
      <c r="AA31" s="121" t="n"/>
      <c r="AB31" s="122" t="n"/>
      <c r="AC31" s="121" t="n"/>
      <c r="AD31" s="121" t="n"/>
      <c r="AE31" s="121" t="n"/>
      <c r="AF31" s="121" t="n"/>
      <c r="AG31" s="121" t="n"/>
      <c r="AH31" s="121" t="n"/>
      <c r="AI31" s="122" t="n"/>
      <c r="AJ31" s="123">
        <f>IF(ISBLANK(B31), "", IF(ISNUMBER(D31), IF(D31&gt;0, (COUNTIF(E31:AI31, "✓") + COUNTIF(E31:AI31, "✔") + COUNTIF(E31:AI31, "v") + COUNTIF(E31:AI31, "V"))/D31, 0), IF(((COUNTIF(E31:AI31, "✓") + COUNTIF(E31:AI31, "✔") + COUNTIF(E31:AI31, "v") + COUNTIF(E31:AI31, "V")) + COUNTIF(E31:AI31, "✗") + COUNTIF(E31:AI31, "x") + COUNTIF(E31:AI31, "X"))&gt;0, (COUNTIF(E31:AI31, "✓") + COUNTIF(E31:AI31, "✔") + COUNTIF(E31:AI31, "v") + COUNTIF(E31:AI31, "V"))/((COUNTIF(E31:AI31, "✓") + COUNTIF(E31:AI31, "✔") + COUNTIF(E31:AI31, "v") + COUNTIF(E31:AI31, "V")) + COUNTIF(E31:AI31, "✗") + COUNTIF(E31:AI31, "x") + COUNTIF(E31:AI31, "X")), "")))</f>
        <v/>
      </c>
      <c r="AK31" s="124">
        <f>IF(ISBLANK(B31), "", IF(ISNUMBER(D31), IF(D31&gt;0, (COUNTIF(E31:AI31, "✓") + COUNTIF(E31:AI31, "✔") + COUNTIF(E31:AI31, "v") + COUNTIF(E31:AI31, "V")) &amp; "/" &amp; D31, (COUNTIF(E31:AI31, "✓") + COUNTIF(E31:AI31, "✔") + COUNTIF(E31:AI31, "v") + COUNTIF(E31:AI31, "V")) &amp; "/0"), IF(((COUNTIF(E31:AI31, "✓") + COUNTIF(E31:AI31, "✔") + COUNTIF(E31:AI31, "v") + COUNTIF(E31:AI31, "V")) + COUNTIF(E31:AI31, "✗") + COUNTIF(E31:AI31, "x") + COUNTIF(E31:AI31, "X"))&gt;0, (COUNTIF(E31:AI31, "✓") + COUNTIF(E31:AI31, "✔") + COUNTIF(E31:AI31, "v") + COUNTIF(E31:AI31, "V")) &amp; "/" &amp; ((COUNTIF(E31:AI31, "✓") + COUNTIF(E31:AI31, "✔") + COUNTIF(E31:AI31, "v") + COUNTIF(E31:AI31, "V")) + COUNTIF(E31:AI31, "✗") + COUNTIF(E31:AI31, "x") + COUNTIF(E31:AI31, "X")), "")))</f>
        <v/>
      </c>
      <c r="AL31" s="124">
        <f>IF(ISBLANK(B31), "", IF(AJ31&gt;=0.85, "🔥 Mastered", IF(AJ31&gt;=0.7, "⚡ Consistent", "⚠️ Needs Focus")))</f>
        <v/>
      </c>
      <c r="AM31">
        <f>COUNTIF(E31:AI31, "✓")</f>
        <v/>
      </c>
    </row>
    <row r="32" ht="14.5" customHeight="1">
      <c r="A32" s="118" t="n">
        <v>15</v>
      </c>
      <c r="B32" s="119" t="n"/>
      <c r="C32" s="120" t="n"/>
      <c r="D32" s="120" t="n"/>
      <c r="E32" s="121" t="n"/>
      <c r="F32" s="121" t="n"/>
      <c r="G32" s="122" t="n"/>
      <c r="H32" s="121" t="n"/>
      <c r="I32" s="121" t="n"/>
      <c r="J32" s="121" t="n"/>
      <c r="K32" s="121" t="n"/>
      <c r="L32" s="121" t="n"/>
      <c r="M32" s="121" t="n"/>
      <c r="N32" s="122" t="n"/>
      <c r="O32" s="121" t="n"/>
      <c r="P32" s="121" t="n"/>
      <c r="Q32" s="121" t="n"/>
      <c r="R32" s="121" t="n"/>
      <c r="S32" s="121" t="n"/>
      <c r="T32" s="121" t="n"/>
      <c r="U32" s="122" t="n"/>
      <c r="V32" s="121" t="n"/>
      <c r="W32" s="121" t="n"/>
      <c r="X32" s="121" t="n"/>
      <c r="Y32" s="121" t="n"/>
      <c r="Z32" s="121" t="n"/>
      <c r="AA32" s="121" t="n"/>
      <c r="AB32" s="122" t="n"/>
      <c r="AC32" s="121" t="n"/>
      <c r="AD32" s="121" t="n"/>
      <c r="AE32" s="121" t="n"/>
      <c r="AF32" s="121" t="n"/>
      <c r="AG32" s="121" t="n"/>
      <c r="AH32" s="121" t="n"/>
      <c r="AI32" s="122" t="n"/>
      <c r="AJ32" s="123">
        <f>IF(ISBLANK(B32), "", IF(ISNUMBER(D32), IF(D32&gt;0, (COUNTIF(E32:AI32, "✓") + COUNTIF(E32:AI32, "✔") + COUNTIF(E32:AI32, "v") + COUNTIF(E32:AI32, "V"))/D32, 0), IF(((COUNTIF(E32:AI32, "✓") + COUNTIF(E32:AI32, "✔") + COUNTIF(E32:AI32, "v") + COUNTIF(E32:AI32, "V")) + COUNTIF(E32:AI32, "✗") + COUNTIF(E32:AI32, "x") + COUNTIF(E32:AI32, "X"))&gt;0, (COUNTIF(E32:AI32, "✓") + COUNTIF(E32:AI32, "✔") + COUNTIF(E32:AI32, "v") + COUNTIF(E32:AI32, "V"))/((COUNTIF(E32:AI32, "✓") + COUNTIF(E32:AI32, "✔") + COUNTIF(E32:AI32, "v") + COUNTIF(E32:AI32, "V")) + COUNTIF(E32:AI32, "✗") + COUNTIF(E32:AI32, "x") + COUNTIF(E32:AI32, "X")), "")))</f>
        <v/>
      </c>
      <c r="AK32" s="124">
        <f>IF(ISBLANK(B32), "", IF(ISNUMBER(D32), IF(D32&gt;0, (COUNTIF(E32:AI32, "✓") + COUNTIF(E32:AI32, "✔") + COUNTIF(E32:AI32, "v") + COUNTIF(E32:AI32, "V")) &amp; "/" &amp; D32, (COUNTIF(E32:AI32, "✓") + COUNTIF(E32:AI32, "✔") + COUNTIF(E32:AI32, "v") + COUNTIF(E32:AI32, "V")) &amp; "/0"), IF(((COUNTIF(E32:AI32, "✓") + COUNTIF(E32:AI32, "✔") + COUNTIF(E32:AI32, "v") + COUNTIF(E32:AI32, "V")) + COUNTIF(E32:AI32, "✗") + COUNTIF(E32:AI32, "x") + COUNTIF(E32:AI32, "X"))&gt;0, (COUNTIF(E32:AI32, "✓") + COUNTIF(E32:AI32, "✔") + COUNTIF(E32:AI32, "v") + COUNTIF(E32:AI32, "V")) &amp; "/" &amp; ((COUNTIF(E32:AI32, "✓") + COUNTIF(E32:AI32, "✔") + COUNTIF(E32:AI32, "v") + COUNTIF(E32:AI32, "V")) + COUNTIF(E32:AI32, "✗") + COUNTIF(E32:AI32, "x") + COUNTIF(E32:AI32, "X")), "")))</f>
        <v/>
      </c>
      <c r="AL32" s="124">
        <f>IF(ISBLANK(B32), "", IF(AJ32&gt;=0.85, "🔥 Mastered", IF(AJ32&gt;=0.7, "⚡ Consistent", "⚠️ Needs Focus")))</f>
        <v/>
      </c>
      <c r="AM32">
        <f>COUNTIF(E32:AI32, "✓")</f>
        <v/>
      </c>
    </row>
    <row r="33" ht="14.5" customHeight="1">
      <c r="A33" s="118" t="n">
        <v>16</v>
      </c>
      <c r="B33" s="119" t="n"/>
      <c r="C33" s="120" t="n"/>
      <c r="D33" s="120" t="n"/>
      <c r="E33" s="121" t="n"/>
      <c r="F33" s="121" t="n"/>
      <c r="G33" s="122" t="n"/>
      <c r="H33" s="121" t="n"/>
      <c r="I33" s="121" t="n"/>
      <c r="J33" s="121" t="n"/>
      <c r="K33" s="121" t="n"/>
      <c r="L33" s="121" t="n"/>
      <c r="M33" s="121" t="n"/>
      <c r="N33" s="122" t="n"/>
      <c r="O33" s="121" t="n"/>
      <c r="P33" s="121" t="n"/>
      <c r="Q33" s="121" t="n"/>
      <c r="R33" s="121" t="n"/>
      <c r="S33" s="121" t="n"/>
      <c r="T33" s="121" t="n"/>
      <c r="U33" s="122" t="n"/>
      <c r="V33" s="121" t="n"/>
      <c r="W33" s="121" t="n"/>
      <c r="X33" s="121" t="n"/>
      <c r="Y33" s="121" t="n"/>
      <c r="Z33" s="121" t="n"/>
      <c r="AA33" s="121" t="n"/>
      <c r="AB33" s="122" t="n"/>
      <c r="AC33" s="121" t="n"/>
      <c r="AD33" s="121" t="n"/>
      <c r="AE33" s="121" t="n"/>
      <c r="AF33" s="121" t="n"/>
      <c r="AG33" s="121" t="n"/>
      <c r="AH33" s="121" t="n"/>
      <c r="AI33" s="122" t="n"/>
      <c r="AJ33" s="123">
        <f>IF(ISBLANK(B33), "", IF(ISNUMBER(D33), IF(D33&gt;0, (COUNTIF(E33:AI33, "✓") + COUNTIF(E33:AI33, "✔") + COUNTIF(E33:AI33, "v") + COUNTIF(E33:AI33, "V"))/D33, 0), IF(((COUNTIF(E33:AI33, "✓") + COUNTIF(E33:AI33, "✔") + COUNTIF(E33:AI33, "v") + COUNTIF(E33:AI33, "V")) + COUNTIF(E33:AI33, "✗") + COUNTIF(E33:AI33, "x") + COUNTIF(E33:AI33, "X"))&gt;0, (COUNTIF(E33:AI33, "✓") + COUNTIF(E33:AI33, "✔") + COUNTIF(E33:AI33, "v") + COUNTIF(E33:AI33, "V"))/((COUNTIF(E33:AI33, "✓") + COUNTIF(E33:AI33, "✔") + COUNTIF(E33:AI33, "v") + COUNTIF(E33:AI33, "V")) + COUNTIF(E33:AI33, "✗") + COUNTIF(E33:AI33, "x") + COUNTIF(E33:AI33, "X")), "")))</f>
        <v/>
      </c>
      <c r="AK33" s="124">
        <f>IF(ISBLANK(B33), "", IF(ISNUMBER(D33), IF(D33&gt;0, (COUNTIF(E33:AI33, "✓") + COUNTIF(E33:AI33, "✔") + COUNTIF(E33:AI33, "v") + COUNTIF(E33:AI33, "V")) &amp; "/" &amp; D33, (COUNTIF(E33:AI33, "✓") + COUNTIF(E33:AI33, "✔") + COUNTIF(E33:AI33, "v") + COUNTIF(E33:AI33, "V")) &amp; "/0"), IF(((COUNTIF(E33:AI33, "✓") + COUNTIF(E33:AI33, "✔") + COUNTIF(E33:AI33, "v") + COUNTIF(E33:AI33, "V")) + COUNTIF(E33:AI33, "✗") + COUNTIF(E33:AI33, "x") + COUNTIF(E33:AI33, "X"))&gt;0, (COUNTIF(E33:AI33, "✓") + COUNTIF(E33:AI33, "✔") + COUNTIF(E33:AI33, "v") + COUNTIF(E33:AI33, "V")) &amp; "/" &amp; ((COUNTIF(E33:AI33, "✓") + COUNTIF(E33:AI33, "✔") + COUNTIF(E33:AI33, "v") + COUNTIF(E33:AI33, "V")) + COUNTIF(E33:AI33, "✗") + COUNTIF(E33:AI33, "x") + COUNTIF(E33:AI33, "X")), "")))</f>
        <v/>
      </c>
      <c r="AL33" s="124">
        <f>IF(ISBLANK(B33), "", IF(AJ33&gt;=0.85, "🔥 Mastered", IF(AJ33&gt;=0.7, "⚡ Consistent", "⚠️ Needs Focus")))</f>
        <v/>
      </c>
      <c r="AM33">
        <f>COUNTIF(E33:AI33, "✓")</f>
        <v/>
      </c>
    </row>
    <row r="34" ht="14.5" customHeight="1">
      <c r="A34" s="125" t="n">
        <v>17</v>
      </c>
      <c r="B34" s="126" t="n"/>
      <c r="C34" s="127" t="n"/>
      <c r="D34" s="127" t="n"/>
      <c r="E34" s="128" t="n"/>
      <c r="F34" s="128" t="n"/>
      <c r="G34" s="129" t="n"/>
      <c r="H34" s="128" t="n"/>
      <c r="I34" s="128" t="n"/>
      <c r="J34" s="128" t="n"/>
      <c r="K34" s="128" t="n"/>
      <c r="L34" s="128" t="n"/>
      <c r="M34" s="128" t="n"/>
      <c r="N34" s="129" t="n"/>
      <c r="O34" s="128" t="n"/>
      <c r="P34" s="128" t="n"/>
      <c r="Q34" s="128" t="n"/>
      <c r="R34" s="128" t="n"/>
      <c r="S34" s="128" t="n"/>
      <c r="T34" s="128" t="n"/>
      <c r="U34" s="129" t="n"/>
      <c r="V34" s="128" t="n"/>
      <c r="W34" s="128" t="n"/>
      <c r="X34" s="128" t="n"/>
      <c r="Y34" s="128" t="n"/>
      <c r="Z34" s="128" t="n"/>
      <c r="AA34" s="128" t="n"/>
      <c r="AB34" s="129" t="n"/>
      <c r="AC34" s="128" t="n"/>
      <c r="AD34" s="128" t="n"/>
      <c r="AE34" s="128" t="n"/>
      <c r="AF34" s="128" t="n"/>
      <c r="AG34" s="128" t="n"/>
      <c r="AH34" s="128" t="n"/>
      <c r="AI34" s="129" t="n"/>
      <c r="AJ34" s="130">
        <f>IF(ISBLANK(B34), "", IF(ISNUMBER(D34), IF(D34&gt;0, (COUNTIF(E34:AI34, "✓") + COUNTIF(E34:AI34, "✔") + COUNTIF(E34:AI34, "v") + COUNTIF(E34:AI34, "V"))/D34, 0), IF(((COUNTIF(E34:AI34, "✓") + COUNTIF(E34:AI34, "✔") + COUNTIF(E34:AI34, "v") + COUNTIF(E34:AI34, "V")) + COUNTIF(E34:AI34, "✗") + COUNTIF(E34:AI34, "x") + COUNTIF(E34:AI34, "X"))&gt;0, (COUNTIF(E34:AI34, "✓") + COUNTIF(E34:AI34, "✔") + COUNTIF(E34:AI34, "v") + COUNTIF(E34:AI34, "V"))/((COUNTIF(E34:AI34, "✓") + COUNTIF(E34:AI34, "✔") + COUNTIF(E34:AI34, "v") + COUNTIF(E34:AI34, "V")) + COUNTIF(E34:AI34, "✗") + COUNTIF(E34:AI34, "x") + COUNTIF(E34:AI34, "X")), "")))</f>
        <v/>
      </c>
      <c r="AK34" s="131">
        <f>IF(ISBLANK(B34), "", IF(ISNUMBER(D34), IF(D34&gt;0, (COUNTIF(E34:AI34, "✓") + COUNTIF(E34:AI34, "✔") + COUNTIF(E34:AI34, "v") + COUNTIF(E34:AI34, "V")) &amp; "/" &amp; D34, (COUNTIF(E34:AI34, "✓") + COUNTIF(E34:AI34, "✔") + COUNTIF(E34:AI34, "v") + COUNTIF(E34:AI34, "V")) &amp; "/0"), IF(((COUNTIF(E34:AI34, "✓") + COUNTIF(E34:AI34, "✔") + COUNTIF(E34:AI34, "v") + COUNTIF(E34:AI34, "V")) + COUNTIF(E34:AI34, "✗") + COUNTIF(E34:AI34, "x") + COUNTIF(E34:AI34, "X"))&gt;0, (COUNTIF(E34:AI34, "✓") + COUNTIF(E34:AI34, "✔") + COUNTIF(E34:AI34, "v") + COUNTIF(E34:AI34, "V")) &amp; "/" &amp; ((COUNTIF(E34:AI34, "✓") + COUNTIF(E34:AI34, "✔") + COUNTIF(E34:AI34, "v") + COUNTIF(E34:AI34, "V")) + COUNTIF(E34:AI34, "✗") + COUNTIF(E34:AI34, "x") + COUNTIF(E34:AI34, "X")), "")))</f>
        <v/>
      </c>
      <c r="AL34" s="131">
        <f>IF(ISBLANK(B34), "", IF(AJ34&gt;=0.85, "🔥 Mastered", IF(AJ34&gt;=0.7, "⚡ Consistent", "⚠️ Needs Focus")))</f>
        <v/>
      </c>
      <c r="AM34">
        <f>COUNTIF(E34:AI34, "✓")</f>
        <v/>
      </c>
    </row>
    <row r="35" ht="14.5" customHeight="1">
      <c r="A35" s="125" t="n">
        <v>18</v>
      </c>
      <c r="B35" s="126" t="n"/>
      <c r="C35" s="127" t="n"/>
      <c r="D35" s="127" t="n"/>
      <c r="E35" s="128" t="n"/>
      <c r="F35" s="128" t="n"/>
      <c r="G35" s="129" t="n"/>
      <c r="H35" s="128" t="n"/>
      <c r="I35" s="128" t="n"/>
      <c r="J35" s="128" t="n"/>
      <c r="K35" s="128" t="n"/>
      <c r="L35" s="128" t="n"/>
      <c r="M35" s="128" t="n"/>
      <c r="N35" s="129" t="n"/>
      <c r="O35" s="128" t="n"/>
      <c r="P35" s="128" t="n"/>
      <c r="Q35" s="128" t="n"/>
      <c r="R35" s="128" t="n"/>
      <c r="S35" s="128" t="n"/>
      <c r="T35" s="128" t="n"/>
      <c r="U35" s="129" t="n"/>
      <c r="V35" s="128" t="n"/>
      <c r="W35" s="128" t="n"/>
      <c r="X35" s="128" t="n"/>
      <c r="Y35" s="128" t="n"/>
      <c r="Z35" s="128" t="n"/>
      <c r="AA35" s="128" t="n"/>
      <c r="AB35" s="129" t="n"/>
      <c r="AC35" s="128" t="n"/>
      <c r="AD35" s="128" t="n"/>
      <c r="AE35" s="128" t="n"/>
      <c r="AF35" s="128" t="n"/>
      <c r="AG35" s="128" t="n"/>
      <c r="AH35" s="128" t="n"/>
      <c r="AI35" s="129" t="n"/>
      <c r="AJ35" s="130">
        <f>IF(ISBLANK(B35), "", IF(ISNUMBER(D35), IF(D35&gt;0, (COUNTIF(E35:AI35, "✓") + COUNTIF(E35:AI35, "✔") + COUNTIF(E35:AI35, "v") + COUNTIF(E35:AI35, "V"))/D35, 0), IF(((COUNTIF(E35:AI35, "✓") + COUNTIF(E35:AI35, "✔") + COUNTIF(E35:AI35, "v") + COUNTIF(E35:AI35, "V")) + COUNTIF(E35:AI35, "✗") + COUNTIF(E35:AI35, "x") + COUNTIF(E35:AI35, "X"))&gt;0, (COUNTIF(E35:AI35, "✓") + COUNTIF(E35:AI35, "✔") + COUNTIF(E35:AI35, "v") + COUNTIF(E35:AI35, "V"))/((COUNTIF(E35:AI35, "✓") + COUNTIF(E35:AI35, "✔") + COUNTIF(E35:AI35, "v") + COUNTIF(E35:AI35, "V")) + COUNTIF(E35:AI35, "✗") + COUNTIF(E35:AI35, "x") + COUNTIF(E35:AI35, "X")), "")))</f>
        <v/>
      </c>
      <c r="AK35" s="131">
        <f>IF(ISBLANK(B35), "", IF(ISNUMBER(D35), IF(D35&gt;0, (COUNTIF(E35:AI35, "✓") + COUNTIF(E35:AI35, "✔") + COUNTIF(E35:AI35, "v") + COUNTIF(E35:AI35, "V")) &amp; "/" &amp; D35, (COUNTIF(E35:AI35, "✓") + COUNTIF(E35:AI35, "✔") + COUNTIF(E35:AI35, "v") + COUNTIF(E35:AI35, "V")) &amp; "/0"), IF(((COUNTIF(E35:AI35, "✓") + COUNTIF(E35:AI35, "✔") + COUNTIF(E35:AI35, "v") + COUNTIF(E35:AI35, "V")) + COUNTIF(E35:AI35, "✗") + COUNTIF(E35:AI35, "x") + COUNTIF(E35:AI35, "X"))&gt;0, (COUNTIF(E35:AI35, "✓") + COUNTIF(E35:AI35, "✔") + COUNTIF(E35:AI35, "v") + COUNTIF(E35:AI35, "V")) &amp; "/" &amp; ((COUNTIF(E35:AI35, "✓") + COUNTIF(E35:AI35, "✔") + COUNTIF(E35:AI35, "v") + COUNTIF(E35:AI35, "V")) + COUNTIF(E35:AI35, "✗") + COUNTIF(E35:AI35, "x") + COUNTIF(E35:AI35, "X")), "")))</f>
        <v/>
      </c>
      <c r="AL35" s="131">
        <f>IF(ISBLANK(B35), "", IF(AJ35&gt;=0.85, "🔥 Mastered", IF(AJ35&gt;=0.7, "⚡ Consistent", "⚠️ Needs Focus")))</f>
        <v/>
      </c>
      <c r="AM35">
        <f>COUNTIF(E35:AI35, "✓")</f>
        <v/>
      </c>
    </row>
    <row r="36" ht="14.5" customHeight="1">
      <c r="A36" s="125" t="n">
        <v>19</v>
      </c>
      <c r="B36" s="126" t="n"/>
      <c r="C36" s="127" t="n"/>
      <c r="D36" s="127" t="n"/>
      <c r="E36" s="128" t="n"/>
      <c r="F36" s="128" t="n"/>
      <c r="G36" s="129" t="n"/>
      <c r="H36" s="128" t="n"/>
      <c r="I36" s="128" t="n"/>
      <c r="J36" s="128" t="n"/>
      <c r="K36" s="128" t="n"/>
      <c r="L36" s="128" t="n"/>
      <c r="M36" s="128" t="n"/>
      <c r="N36" s="129" t="n"/>
      <c r="O36" s="128" t="n"/>
      <c r="P36" s="128" t="n"/>
      <c r="Q36" s="128" t="n"/>
      <c r="R36" s="128" t="n"/>
      <c r="S36" s="128" t="n"/>
      <c r="T36" s="128" t="n"/>
      <c r="U36" s="129" t="n"/>
      <c r="V36" s="128" t="n"/>
      <c r="W36" s="128" t="n"/>
      <c r="X36" s="128" t="n"/>
      <c r="Y36" s="128" t="n"/>
      <c r="Z36" s="128" t="n"/>
      <c r="AA36" s="128" t="n"/>
      <c r="AB36" s="129" t="n"/>
      <c r="AC36" s="128" t="n"/>
      <c r="AD36" s="128" t="n"/>
      <c r="AE36" s="128" t="n"/>
      <c r="AF36" s="128" t="n"/>
      <c r="AG36" s="128" t="n"/>
      <c r="AH36" s="128" t="n"/>
      <c r="AI36" s="129" t="n"/>
      <c r="AJ36" s="130">
        <f>IF(ISBLANK(B36), "", IF(ISNUMBER(D36), IF(D36&gt;0, (COUNTIF(E36:AI36, "✓") + COUNTIF(E36:AI36, "✔") + COUNTIF(E36:AI36, "v") + COUNTIF(E36:AI36, "V"))/D36, 0), IF(((COUNTIF(E36:AI36, "✓") + COUNTIF(E36:AI36, "✔") + COUNTIF(E36:AI36, "v") + COUNTIF(E36:AI36, "V")) + COUNTIF(E36:AI36, "✗") + COUNTIF(E36:AI36, "x") + COUNTIF(E36:AI36, "X"))&gt;0, (COUNTIF(E36:AI36, "✓") + COUNTIF(E36:AI36, "✔") + COUNTIF(E36:AI36, "v") + COUNTIF(E36:AI36, "V"))/((COUNTIF(E36:AI36, "✓") + COUNTIF(E36:AI36, "✔") + COUNTIF(E36:AI36, "v") + COUNTIF(E36:AI36, "V")) + COUNTIF(E36:AI36, "✗") + COUNTIF(E36:AI36, "x") + COUNTIF(E36:AI36, "X")), "")))</f>
        <v/>
      </c>
      <c r="AK36" s="131">
        <f>IF(ISBLANK(B36), "", IF(ISNUMBER(D36), IF(D36&gt;0, (COUNTIF(E36:AI36, "✓") + COUNTIF(E36:AI36, "✔") + COUNTIF(E36:AI36, "v") + COUNTIF(E36:AI36, "V")) &amp; "/" &amp; D36, (COUNTIF(E36:AI36, "✓") + COUNTIF(E36:AI36, "✔") + COUNTIF(E36:AI36, "v") + COUNTIF(E36:AI36, "V")) &amp; "/0"), IF(((COUNTIF(E36:AI36, "✓") + COUNTIF(E36:AI36, "✔") + COUNTIF(E36:AI36, "v") + COUNTIF(E36:AI36, "V")) + COUNTIF(E36:AI36, "✗") + COUNTIF(E36:AI36, "x") + COUNTIF(E36:AI36, "X"))&gt;0, (COUNTIF(E36:AI36, "✓") + COUNTIF(E36:AI36, "✔") + COUNTIF(E36:AI36, "v") + COUNTIF(E36:AI36, "V")) &amp; "/" &amp; ((COUNTIF(E36:AI36, "✓") + COUNTIF(E36:AI36, "✔") + COUNTIF(E36:AI36, "v") + COUNTIF(E36:AI36, "V")) + COUNTIF(E36:AI36, "✗") + COUNTIF(E36:AI36, "x") + COUNTIF(E36:AI36, "X")), "")))</f>
        <v/>
      </c>
      <c r="AL36" s="131">
        <f>IF(ISBLANK(B36), "", IF(AJ36&gt;=0.85, "🔥 Mastered", IF(AJ36&gt;=0.7, "⚡ Consistent", "⚠️ Needs Focus")))</f>
        <v/>
      </c>
      <c r="AM36">
        <f>COUNTIF(E36:AI36, "✓")</f>
        <v/>
      </c>
    </row>
    <row r="37" ht="14.5" customHeight="1">
      <c r="A37" s="125" t="n">
        <v>20</v>
      </c>
      <c r="B37" s="126" t="n"/>
      <c r="C37" s="127" t="n"/>
      <c r="D37" s="127" t="n"/>
      <c r="E37" s="128" t="n"/>
      <c r="F37" s="128" t="n"/>
      <c r="G37" s="129" t="n"/>
      <c r="H37" s="128" t="n"/>
      <c r="I37" s="128" t="n"/>
      <c r="J37" s="128" t="n"/>
      <c r="K37" s="128" t="n"/>
      <c r="L37" s="128" t="n"/>
      <c r="M37" s="128" t="n"/>
      <c r="N37" s="129" t="n"/>
      <c r="O37" s="128" t="n"/>
      <c r="P37" s="128" t="n"/>
      <c r="Q37" s="128" t="n"/>
      <c r="R37" s="128" t="n"/>
      <c r="S37" s="128" t="n"/>
      <c r="T37" s="128" t="n"/>
      <c r="U37" s="129" t="n"/>
      <c r="V37" s="128" t="n"/>
      <c r="W37" s="128" t="n"/>
      <c r="X37" s="128" t="n"/>
      <c r="Y37" s="128" t="n"/>
      <c r="Z37" s="128" t="n"/>
      <c r="AA37" s="128" t="n"/>
      <c r="AB37" s="129" t="n"/>
      <c r="AC37" s="128" t="n"/>
      <c r="AD37" s="128" t="n"/>
      <c r="AE37" s="128" t="n"/>
      <c r="AF37" s="128" t="n"/>
      <c r="AG37" s="128" t="n"/>
      <c r="AH37" s="128" t="n"/>
      <c r="AI37" s="129" t="n"/>
      <c r="AJ37" s="130">
        <f>IF(ISBLANK(B37), "", IF(ISNUMBER(D37), IF(D37&gt;0, (COUNTIF(E37:AI37, "✓") + COUNTIF(E37:AI37, "✔") + COUNTIF(E37:AI37, "v") + COUNTIF(E37:AI37, "V"))/D37, 0), IF(((COUNTIF(E37:AI37, "✓") + COUNTIF(E37:AI37, "✔") + COUNTIF(E37:AI37, "v") + COUNTIF(E37:AI37, "V")) + COUNTIF(E37:AI37, "✗") + COUNTIF(E37:AI37, "x") + COUNTIF(E37:AI37, "X"))&gt;0, (COUNTIF(E37:AI37, "✓") + COUNTIF(E37:AI37, "✔") + COUNTIF(E37:AI37, "v") + COUNTIF(E37:AI37, "V"))/((COUNTIF(E37:AI37, "✓") + COUNTIF(E37:AI37, "✔") + COUNTIF(E37:AI37, "v") + COUNTIF(E37:AI37, "V")) + COUNTIF(E37:AI37, "✗") + COUNTIF(E37:AI37, "x") + COUNTIF(E37:AI37, "X")), "")))</f>
        <v/>
      </c>
      <c r="AK37" s="131">
        <f>IF(ISBLANK(B37), "", IF(ISNUMBER(D37), IF(D37&gt;0, (COUNTIF(E37:AI37, "✓") + COUNTIF(E37:AI37, "✔") + COUNTIF(E37:AI37, "v") + COUNTIF(E37:AI37, "V")) &amp; "/" &amp; D37, (COUNTIF(E37:AI37, "✓") + COUNTIF(E37:AI37, "✔") + COUNTIF(E37:AI37, "v") + COUNTIF(E37:AI37, "V")) &amp; "/0"), IF(((COUNTIF(E37:AI37, "✓") + COUNTIF(E37:AI37, "✔") + COUNTIF(E37:AI37, "v") + COUNTIF(E37:AI37, "V")) + COUNTIF(E37:AI37, "✗") + COUNTIF(E37:AI37, "x") + COUNTIF(E37:AI37, "X"))&gt;0, (COUNTIF(E37:AI37, "✓") + COUNTIF(E37:AI37, "✔") + COUNTIF(E37:AI37, "v") + COUNTIF(E37:AI37, "V")) &amp; "/" &amp; ((COUNTIF(E37:AI37, "✓") + COUNTIF(E37:AI37, "✔") + COUNTIF(E37:AI37, "v") + COUNTIF(E37:AI37, "V")) + COUNTIF(E37:AI37, "✗") + COUNTIF(E37:AI37, "x") + COUNTIF(E37:AI37, "X")), "")))</f>
        <v/>
      </c>
      <c r="AL37" s="131">
        <f>IF(ISBLANK(B37), "", IF(AJ37&gt;=0.85, "🔥 Mastered", IF(AJ37&gt;=0.7, "⚡ Consistent", "⚠️ Needs Focus")))</f>
        <v/>
      </c>
      <c r="AM37">
        <f>COUNTIF(E37:AI37, "✓")</f>
        <v/>
      </c>
    </row>
    <row r="38" ht="18" customHeight="1">
      <c r="A38" s="132" t="inlineStr">
        <is>
          <t>DAILY TOTAL SCORE</t>
        </is>
      </c>
      <c r="B38" s="54" t="n"/>
      <c r="C38" s="54" t="n"/>
      <c r="D38" s="54" t="n"/>
      <c r="E38" s="33">
        <f>IF(((COUNTIF(E18:E37, "✓") + COUNTIF(E18:E37, "✔") + COUNTIF(E18:E37, "v") + COUNTIF(E18:E37, "V")) + COUNTIF(E18:E37, "✗") + COUNTIF(E18:E37, "x") + COUNTIF(E18:E37, "X")) &gt; 0, (COUNTIF(E18:E37, "✓") + COUNTIF(E18:E37, "✔") + COUNTIF(E18:E37, "v") + COUNTIF(E18:E37, "V")) &amp; "/" &amp; ((COUNTIF(E18:E37, "✓") + COUNTIF(E18:E37, "✔") + COUNTIF(E18:E37, "v") + COUNTIF(E18:E37, "V")) + COUNTIF(E18:E37, "✗") + COUNTIF(E18:E37, "x") + COUNTIF(E18:E37, "X")), "")</f>
        <v/>
      </c>
      <c r="F38" s="33">
        <f>IF(((COUNTIF(F18:F37, "✓") + COUNTIF(F18:F37, "✔") + COUNTIF(F18:F37, "v") + COUNTIF(F18:F37, "V")) + COUNTIF(F18:F37, "✗") + COUNTIF(F18:F37, "x") + COUNTIF(F18:F37, "X")) &gt; 0, (COUNTIF(F18:F37, "✓") + COUNTIF(F18:F37, "✔") + COUNTIF(F18:F37, "v") + COUNTIF(F18:F37, "V")) &amp; "/" &amp; ((COUNTIF(F18:F37, "✓") + COUNTIF(F18:F37, "✔") + COUNTIF(F18:F37, "v") + COUNTIF(F18:F37, "V")) + COUNTIF(F18:F37, "✗") + COUNTIF(F18:F37, "x") + COUNTIF(F18:F37, "X")), "")</f>
        <v/>
      </c>
      <c r="G38" s="33">
        <f>IF(((COUNTIF(G18:G37, "✓") + COUNTIF(G18:G37, "✔") + COUNTIF(G18:G37, "v") + COUNTIF(G18:G37, "V")) + COUNTIF(G18:G37, "✗") + COUNTIF(G18:G37, "x") + COUNTIF(G18:G37, "X")) &gt; 0, (COUNTIF(G18:G37, "✓") + COUNTIF(G18:G37, "✔") + COUNTIF(G18:G37, "v") + COUNTIF(G18:G37, "V")) &amp; "/" &amp; ((COUNTIF(G18:G37, "✓") + COUNTIF(G18:G37, "✔") + COUNTIF(G18:G37, "v") + COUNTIF(G18:G37, "V")) + COUNTIF(G18:G37, "✗") + COUNTIF(G18:G37, "x") + COUNTIF(G18:G37, "X")), "")</f>
        <v/>
      </c>
      <c r="H38" s="33">
        <f>IF(((COUNTIF(H18:H37, "✓") + COUNTIF(H18:H37, "✔") + COUNTIF(H18:H37, "v") + COUNTIF(H18:H37, "V")) + COUNTIF(H18:H37, "✗") + COUNTIF(H18:H37, "x") + COUNTIF(H18:H37, "X")) &gt; 0, (COUNTIF(H18:H37, "✓") + COUNTIF(H18:H37, "✔") + COUNTIF(H18:H37, "v") + COUNTIF(H18:H37, "V")) &amp; "/" &amp; ((COUNTIF(H18:H37, "✓") + COUNTIF(H18:H37, "✔") + COUNTIF(H18:H37, "v") + COUNTIF(H18:H37, "V")) + COUNTIF(H18:H37, "✗") + COUNTIF(H18:H37, "x") + COUNTIF(H18:H37, "X")), "")</f>
        <v/>
      </c>
      <c r="I38" s="33">
        <f>IF(((COUNTIF(I18:I37, "✓") + COUNTIF(I18:I37, "✔") + COUNTIF(I18:I37, "v") + COUNTIF(I18:I37, "V")) + COUNTIF(I18:I37, "✗") + COUNTIF(I18:I37, "x") + COUNTIF(I18:I37, "X")) &gt; 0, (COUNTIF(I18:I37, "✓") + COUNTIF(I18:I37, "✔") + COUNTIF(I18:I37, "v") + COUNTIF(I18:I37, "V")) &amp; "/" &amp; ((COUNTIF(I18:I37, "✓") + COUNTIF(I18:I37, "✔") + COUNTIF(I18:I37, "v") + COUNTIF(I18:I37, "V")) + COUNTIF(I18:I37, "✗") + COUNTIF(I18:I37, "x") + COUNTIF(I18:I37, "X")), "")</f>
        <v/>
      </c>
      <c r="J38" s="33">
        <f>IF(((COUNTIF(J18:J37, "✓") + COUNTIF(J18:J37, "✔") + COUNTIF(J18:J37, "v") + COUNTIF(J18:J37, "V")) + COUNTIF(J18:J37, "✗") + COUNTIF(J18:J37, "x") + COUNTIF(J18:J37, "X")) &gt; 0, (COUNTIF(J18:J37, "✓") + COUNTIF(J18:J37, "✔") + COUNTIF(J18:J37, "v") + COUNTIF(J18:J37, "V")) &amp; "/" &amp; ((COUNTIF(J18:J37, "✓") + COUNTIF(J18:J37, "✔") + COUNTIF(J18:J37, "v") + COUNTIF(J18:J37, "V")) + COUNTIF(J18:J37, "✗") + COUNTIF(J18:J37, "x") + COUNTIF(J18:J37, "X")), "")</f>
        <v/>
      </c>
      <c r="K38" s="33">
        <f>IF(((COUNTIF(K18:K37, "✓") + COUNTIF(K18:K37, "✔") + COUNTIF(K18:K37, "v") + COUNTIF(K18:K37, "V")) + COUNTIF(K18:K37, "✗") + COUNTIF(K18:K37, "x") + COUNTIF(K18:K37, "X")) &gt; 0, (COUNTIF(K18:K37, "✓") + COUNTIF(K18:K37, "✔") + COUNTIF(K18:K37, "v") + COUNTIF(K18:K37, "V")) &amp; "/" &amp; ((COUNTIF(K18:K37, "✓") + COUNTIF(K18:K37, "✔") + COUNTIF(K18:K37, "v") + COUNTIF(K18:K37, "V")) + COUNTIF(K18:K37, "✗") + COUNTIF(K18:K37, "x") + COUNTIF(K18:K37, "X")), "")</f>
        <v/>
      </c>
      <c r="L38" s="33">
        <f>IF(((COUNTIF(L18:L37, "✓") + COUNTIF(L18:L37, "✔") + COUNTIF(L18:L37, "v") + COUNTIF(L18:L37, "V")) + COUNTIF(L18:L37, "✗") + COUNTIF(L18:L37, "x") + COUNTIF(L18:L37, "X")) &gt; 0, (COUNTIF(L18:L37, "✓") + COUNTIF(L18:L37, "✔") + COUNTIF(L18:L37, "v") + COUNTIF(L18:L37, "V")) &amp; "/" &amp; ((COUNTIF(L18:L37, "✓") + COUNTIF(L18:L37, "✔") + COUNTIF(L18:L37, "v") + COUNTIF(L18:L37, "V")) + COUNTIF(L18:L37, "✗") + COUNTIF(L18:L37, "x") + COUNTIF(L18:L37, "X")), "")</f>
        <v/>
      </c>
      <c r="M38" s="33">
        <f>IF(((COUNTIF(M18:M37, "✓") + COUNTIF(M18:M37, "✔") + COUNTIF(M18:M37, "v") + COUNTIF(M18:M37, "V")) + COUNTIF(M18:M37, "✗") + COUNTIF(M18:M37, "x") + COUNTIF(M18:M37, "X")) &gt; 0, (COUNTIF(M18:M37, "✓") + COUNTIF(M18:M37, "✔") + COUNTIF(M18:M37, "v") + COUNTIF(M18:M37, "V")) &amp; "/" &amp; ((COUNTIF(M18:M37, "✓") + COUNTIF(M18:M37, "✔") + COUNTIF(M18:M37, "v") + COUNTIF(M18:M37, "V")) + COUNTIF(M18:M37, "✗") + COUNTIF(M18:M37, "x") + COUNTIF(M18:M37, "X")), "")</f>
        <v/>
      </c>
      <c r="N38" s="33">
        <f>IF(((COUNTIF(N18:N37, "✓") + COUNTIF(N18:N37, "✔") + COUNTIF(N18:N37, "v") + COUNTIF(N18:N37, "V")) + COUNTIF(N18:N37, "✗") + COUNTIF(N18:N37, "x") + COUNTIF(N18:N37, "X")) &gt; 0, (COUNTIF(N18:N37, "✓") + COUNTIF(N18:N37, "✔") + COUNTIF(N18:N37, "v") + COUNTIF(N18:N37, "V")) &amp; "/" &amp; ((COUNTIF(N18:N37, "✓") + COUNTIF(N18:N37, "✔") + COUNTIF(N18:N37, "v") + COUNTIF(N18:N37, "V")) + COUNTIF(N18:N37, "✗") + COUNTIF(N18:N37, "x") + COUNTIF(N18:N37, "X")), "")</f>
        <v/>
      </c>
      <c r="O38" s="33">
        <f>IF(((COUNTIF(O18:O37, "✓") + COUNTIF(O18:O37, "✔") + COUNTIF(O18:O37, "v") + COUNTIF(O18:O37, "V")) + COUNTIF(O18:O37, "✗") + COUNTIF(O18:O37, "x") + COUNTIF(O18:O37, "X")) &gt; 0, (COUNTIF(O18:O37, "✓") + COUNTIF(O18:O37, "✔") + COUNTIF(O18:O37, "v") + COUNTIF(O18:O37, "V")) &amp; "/" &amp; ((COUNTIF(O18:O37, "✓") + COUNTIF(O18:O37, "✔") + COUNTIF(O18:O37, "v") + COUNTIF(O18:O37, "V")) + COUNTIF(O18:O37, "✗") + COUNTIF(O18:O37, "x") + COUNTIF(O18:O37, "X")), "")</f>
        <v/>
      </c>
      <c r="P38" s="33">
        <f>IF(((COUNTIF(P18:P37, "✓") + COUNTIF(P18:P37, "✔") + COUNTIF(P18:P37, "v") + COUNTIF(P18:P37, "V")) + COUNTIF(P18:P37, "✗") + COUNTIF(P18:P37, "x") + COUNTIF(P18:P37, "X")) &gt; 0, (COUNTIF(P18:P37, "✓") + COUNTIF(P18:P37, "✔") + COUNTIF(P18:P37, "v") + COUNTIF(P18:P37, "V")) &amp; "/" &amp; ((COUNTIF(P18:P37, "✓") + COUNTIF(P18:P37, "✔") + COUNTIF(P18:P37, "v") + COUNTIF(P18:P37, "V")) + COUNTIF(P18:P37, "✗") + COUNTIF(P18:P37, "x") + COUNTIF(P18:P37, "X")), "")</f>
        <v/>
      </c>
      <c r="Q38" s="33">
        <f>IF(((COUNTIF(Q18:Q37, "✓") + COUNTIF(Q18:Q37, "✔") + COUNTIF(Q18:Q37, "v") + COUNTIF(Q18:Q37, "V")) + COUNTIF(Q18:Q37, "✗") + COUNTIF(Q18:Q37, "x") + COUNTIF(Q18:Q37, "X")) &gt; 0, (COUNTIF(Q18:Q37, "✓") + COUNTIF(Q18:Q37, "✔") + COUNTIF(Q18:Q37, "v") + COUNTIF(Q18:Q37, "V")) &amp; "/" &amp; ((COUNTIF(Q18:Q37, "✓") + COUNTIF(Q18:Q37, "✔") + COUNTIF(Q18:Q37, "v") + COUNTIF(Q18:Q37, "V")) + COUNTIF(Q18:Q37, "✗") + COUNTIF(Q18:Q37, "x") + COUNTIF(Q18:Q37, "X")), "")</f>
        <v/>
      </c>
      <c r="R38" s="33">
        <f>IF(((COUNTIF(R18:R37, "✓") + COUNTIF(R18:R37, "✔") + COUNTIF(R18:R37, "v") + COUNTIF(R18:R37, "V")) + COUNTIF(R18:R37, "✗") + COUNTIF(R18:R37, "x") + COUNTIF(R18:R37, "X")) &gt; 0, (COUNTIF(R18:R37, "✓") + COUNTIF(R18:R37, "✔") + COUNTIF(R18:R37, "v") + COUNTIF(R18:R37, "V")) &amp; "/" &amp; ((COUNTIF(R18:R37, "✓") + COUNTIF(R18:R37, "✔") + COUNTIF(R18:R37, "v") + COUNTIF(R18:R37, "V")) + COUNTIF(R18:R37, "✗") + COUNTIF(R18:R37, "x") + COUNTIF(R18:R37, "X")), "")</f>
        <v/>
      </c>
      <c r="S38" s="33">
        <f>IF(((COUNTIF(S18:S37, "✓") + COUNTIF(S18:S37, "✔") + COUNTIF(S18:S37, "v") + COUNTIF(S18:S37, "V")) + COUNTIF(S18:S37, "✗") + COUNTIF(S18:S37, "x") + COUNTIF(S18:S37, "X")) &gt; 0, (COUNTIF(S18:S37, "✓") + COUNTIF(S18:S37, "✔") + COUNTIF(S18:S37, "v") + COUNTIF(S18:S37, "V")) &amp; "/" &amp; ((COUNTIF(S18:S37, "✓") + COUNTIF(S18:S37, "✔") + COUNTIF(S18:S37, "v") + COUNTIF(S18:S37, "V")) + COUNTIF(S18:S37, "✗") + COUNTIF(S18:S37, "x") + COUNTIF(S18:S37, "X")), "")</f>
        <v/>
      </c>
      <c r="T38" s="33">
        <f>IF(((COUNTIF(T18:T37, "✓") + COUNTIF(T18:T37, "✔") + COUNTIF(T18:T37, "v") + COUNTIF(T18:T37, "V")) + COUNTIF(T18:T37, "✗") + COUNTIF(T18:T37, "x") + COUNTIF(T18:T37, "X")) &gt; 0, (COUNTIF(T18:T37, "✓") + COUNTIF(T18:T37, "✔") + COUNTIF(T18:T37, "v") + COUNTIF(T18:T37, "V")) &amp; "/" &amp; ((COUNTIF(T18:T37, "✓") + COUNTIF(T18:T37, "✔") + COUNTIF(T18:T37, "v") + COUNTIF(T18:T37, "V")) + COUNTIF(T18:T37, "✗") + COUNTIF(T18:T37, "x") + COUNTIF(T18:T37, "X")), "")</f>
        <v/>
      </c>
      <c r="U38" s="33">
        <f>IF(((COUNTIF(U18:U37, "✓") + COUNTIF(U18:U37, "✔") + COUNTIF(U18:U37, "v") + COUNTIF(U18:U37, "V")) + COUNTIF(U18:U37, "✗") + COUNTIF(U18:U37, "x") + COUNTIF(U18:U37, "X")) &gt; 0, (COUNTIF(U18:U37, "✓") + COUNTIF(U18:U37, "✔") + COUNTIF(U18:U37, "v") + COUNTIF(U18:U37, "V")) &amp; "/" &amp; ((COUNTIF(U18:U37, "✓") + COUNTIF(U18:U37, "✔") + COUNTIF(U18:U37, "v") + COUNTIF(U18:U37, "V")) + COUNTIF(U18:U37, "✗") + COUNTIF(U18:U37, "x") + COUNTIF(U18:U37, "X")), "")</f>
        <v/>
      </c>
      <c r="V38" s="33">
        <f>IF(((COUNTIF(V18:V37, "✓") + COUNTIF(V18:V37, "✔") + COUNTIF(V18:V37, "v") + COUNTIF(V18:V37, "V")) + COUNTIF(V18:V37, "✗") + COUNTIF(V18:V37, "x") + COUNTIF(V18:V37, "X")) &gt; 0, (COUNTIF(V18:V37, "✓") + COUNTIF(V18:V37, "✔") + COUNTIF(V18:V37, "v") + COUNTIF(V18:V37, "V")) &amp; "/" &amp; ((COUNTIF(V18:V37, "✓") + COUNTIF(V18:V37, "✔") + COUNTIF(V18:V37, "v") + COUNTIF(V18:V37, "V")) + COUNTIF(V18:V37, "✗") + COUNTIF(V18:V37, "x") + COUNTIF(V18:V37, "X")), "")</f>
        <v/>
      </c>
      <c r="W38" s="33">
        <f>IF(((COUNTIF(W18:W37, "✓") + COUNTIF(W18:W37, "✔") + COUNTIF(W18:W37, "v") + COUNTIF(W18:W37, "V")) + COUNTIF(W18:W37, "✗") + COUNTIF(W18:W37, "x") + COUNTIF(W18:W37, "X")) &gt; 0, (COUNTIF(W18:W37, "✓") + COUNTIF(W18:W37, "✔") + COUNTIF(W18:W37, "v") + COUNTIF(W18:W37, "V")) &amp; "/" &amp; ((COUNTIF(W18:W37, "✓") + COUNTIF(W18:W37, "✔") + COUNTIF(W18:W37, "v") + COUNTIF(W18:W37, "V")) + COUNTIF(W18:W37, "✗") + COUNTIF(W18:W37, "x") + COUNTIF(W18:W37, "X")), "")</f>
        <v/>
      </c>
      <c r="X38" s="33">
        <f>IF(((COUNTIF(X18:X37, "✓") + COUNTIF(X18:X37, "✔") + COUNTIF(X18:X37, "v") + COUNTIF(X18:X37, "V")) + COUNTIF(X18:X37, "✗") + COUNTIF(X18:X37, "x") + COUNTIF(X18:X37, "X")) &gt; 0, (COUNTIF(X18:X37, "✓") + COUNTIF(X18:X37, "✔") + COUNTIF(X18:X37, "v") + COUNTIF(X18:X37, "V")) &amp; "/" &amp; ((COUNTIF(X18:X37, "✓") + COUNTIF(X18:X37, "✔") + COUNTIF(X18:X37, "v") + COUNTIF(X18:X37, "V")) + COUNTIF(X18:X37, "✗") + COUNTIF(X18:X37, "x") + COUNTIF(X18:X37, "X")), "")</f>
        <v/>
      </c>
      <c r="Y38" s="33">
        <f>IF(((COUNTIF(Y18:Y37, "✓") + COUNTIF(Y18:Y37, "✔") + COUNTIF(Y18:Y37, "v") + COUNTIF(Y18:Y37, "V")) + COUNTIF(Y18:Y37, "✗") + COUNTIF(Y18:Y37, "x") + COUNTIF(Y18:Y37, "X")) &gt; 0, (COUNTIF(Y18:Y37, "✓") + COUNTIF(Y18:Y37, "✔") + COUNTIF(Y18:Y37, "v") + COUNTIF(Y18:Y37, "V")) &amp; "/" &amp; ((COUNTIF(Y18:Y37, "✓") + COUNTIF(Y18:Y37, "✔") + COUNTIF(Y18:Y37, "v") + COUNTIF(Y18:Y37, "V")) + COUNTIF(Y18:Y37, "✗") + COUNTIF(Y18:Y37, "x") + COUNTIF(Y18:Y37, "X")), "")</f>
        <v/>
      </c>
      <c r="Z38" s="33">
        <f>IF(((COUNTIF(Z18:Z37, "✓") + COUNTIF(Z18:Z37, "✔") + COUNTIF(Z18:Z37, "v") + COUNTIF(Z18:Z37, "V")) + COUNTIF(Z18:Z37, "✗") + COUNTIF(Z18:Z37, "x") + COUNTIF(Z18:Z37, "X")) &gt; 0, (COUNTIF(Z18:Z37, "✓") + COUNTIF(Z18:Z37, "✔") + COUNTIF(Z18:Z37, "v") + COUNTIF(Z18:Z37, "V")) &amp; "/" &amp; ((COUNTIF(Z18:Z37, "✓") + COUNTIF(Z18:Z37, "✔") + COUNTIF(Z18:Z37, "v") + COUNTIF(Z18:Z37, "V")) + COUNTIF(Z18:Z37, "✗") + COUNTIF(Z18:Z37, "x") + COUNTIF(Z18:Z37, "X")), "")</f>
        <v/>
      </c>
      <c r="AA38" s="33">
        <f>IF(((COUNTIF(AA18:AA37, "✓") + COUNTIF(AA18:AA37, "✔") + COUNTIF(AA18:AA37, "v") + COUNTIF(AA18:AA37, "V")) + COUNTIF(AA18:AA37, "✗") + COUNTIF(AA18:AA37, "x") + COUNTIF(AA18:AA37, "X")) &gt; 0, (COUNTIF(AA18:AA37, "✓") + COUNTIF(AA18:AA37, "✔") + COUNTIF(AA18:AA37, "v") + COUNTIF(AA18:AA37, "V")) &amp; "/" &amp; ((COUNTIF(AA18:AA37, "✓") + COUNTIF(AA18:AA37, "✔") + COUNTIF(AA18:AA37, "v") + COUNTIF(AA18:AA37, "V")) + COUNTIF(AA18:AA37, "✗") + COUNTIF(AA18:AA37, "x") + COUNTIF(AA18:AA37, "X")), "")</f>
        <v/>
      </c>
      <c r="AB38" s="33">
        <f>IF(((COUNTIF(AB18:AB37, "✓") + COUNTIF(AB18:AB37, "✔") + COUNTIF(AB18:AB37, "v") + COUNTIF(AB18:AB37, "V")) + COUNTIF(AB18:AB37, "✗") + COUNTIF(AB18:AB37, "x") + COUNTIF(AB18:AB37, "X")) &gt; 0, (COUNTIF(AB18:AB37, "✓") + COUNTIF(AB18:AB37, "✔") + COUNTIF(AB18:AB37, "v") + COUNTIF(AB18:AB37, "V")) &amp; "/" &amp; ((COUNTIF(AB18:AB37, "✓") + COUNTIF(AB18:AB37, "✔") + COUNTIF(AB18:AB37, "v") + COUNTIF(AB18:AB37, "V")) + COUNTIF(AB18:AB37, "✗") + COUNTIF(AB18:AB37, "x") + COUNTIF(AB18:AB37, "X")), "")</f>
        <v/>
      </c>
      <c r="AC38" s="33">
        <f>IF(((COUNTIF(AC18:AC37, "✓") + COUNTIF(AC18:AC37, "✔") + COUNTIF(AC18:AC37, "v") + COUNTIF(AC18:AC37, "V")) + COUNTIF(AC18:AC37, "✗") + COUNTIF(AC18:AC37, "x") + COUNTIF(AC18:AC37, "X")) &gt; 0, (COUNTIF(AC18:AC37, "✓") + COUNTIF(AC18:AC37, "✔") + COUNTIF(AC18:AC37, "v") + COUNTIF(AC18:AC37, "V")) &amp; "/" &amp; ((COUNTIF(AC18:AC37, "✓") + COUNTIF(AC18:AC37, "✔") + COUNTIF(AC18:AC37, "v") + COUNTIF(AC18:AC37, "V")) + COUNTIF(AC18:AC37, "✗") + COUNTIF(AC18:AC37, "x") + COUNTIF(AC18:AC37, "X")), "")</f>
        <v/>
      </c>
      <c r="AD38" s="33">
        <f>IF(((COUNTIF(AD18:AD37, "✓") + COUNTIF(AD18:AD37, "✔") + COUNTIF(AD18:AD37, "v") + COUNTIF(AD18:AD37, "V")) + COUNTIF(AD18:AD37, "✗") + COUNTIF(AD18:AD37, "x") + COUNTIF(AD18:AD37, "X")) &gt; 0, (COUNTIF(AD18:AD37, "✓") + COUNTIF(AD18:AD37, "✔") + COUNTIF(AD18:AD37, "v") + COUNTIF(AD18:AD37, "V")) &amp; "/" &amp; ((COUNTIF(AD18:AD37, "✓") + COUNTIF(AD18:AD37, "✔") + COUNTIF(AD18:AD37, "v") + COUNTIF(AD18:AD37, "V")) + COUNTIF(AD18:AD37, "✗") + COUNTIF(AD18:AD37, "x") + COUNTIF(AD18:AD37, "X")), "")</f>
        <v/>
      </c>
      <c r="AE38" s="33">
        <f>IF(((COUNTIF(AE18:AE37, "✓") + COUNTIF(AE18:AE37, "✔") + COUNTIF(AE18:AE37, "v") + COUNTIF(AE18:AE37, "V")) + COUNTIF(AE18:AE37, "✗") + COUNTIF(AE18:AE37, "x") + COUNTIF(AE18:AE37, "X")) &gt; 0, (COUNTIF(AE18:AE37, "✓") + COUNTIF(AE18:AE37, "✔") + COUNTIF(AE18:AE37, "v") + COUNTIF(AE18:AE37, "V")) &amp; "/" &amp; ((COUNTIF(AE18:AE37, "✓") + COUNTIF(AE18:AE37, "✔") + COUNTIF(AE18:AE37, "v") + COUNTIF(AE18:AE37, "V")) + COUNTIF(AE18:AE37, "✗") + COUNTIF(AE18:AE37, "x") + COUNTIF(AE18:AE37, "X")), "")</f>
        <v/>
      </c>
      <c r="AF38" s="33">
        <f>IF(((COUNTIF(AF18:AF37, "✓") + COUNTIF(AF18:AF37, "✔") + COUNTIF(AF18:AF37, "v") + COUNTIF(AF18:AF37, "V")) + COUNTIF(AF18:AF37, "✗") + COUNTIF(AF18:AF37, "x") + COUNTIF(AF18:AF37, "X")) &gt; 0, (COUNTIF(AF18:AF37, "✓") + COUNTIF(AF18:AF37, "✔") + COUNTIF(AF18:AF37, "v") + COUNTIF(AF18:AF37, "V")) &amp; "/" &amp; ((COUNTIF(AF18:AF37, "✓") + COUNTIF(AF18:AF37, "✔") + COUNTIF(AF18:AF37, "v") + COUNTIF(AF18:AF37, "V")) + COUNTIF(AF18:AF37, "✗") + COUNTIF(AF18:AF37, "x") + COUNTIF(AF18:AF37, "X")), "")</f>
        <v/>
      </c>
      <c r="AG38" s="33">
        <f>IF(((COUNTIF(AG18:AG37, "✓") + COUNTIF(AG18:AG37, "✔") + COUNTIF(AG18:AG37, "v") + COUNTIF(AG18:AG37, "V")) + COUNTIF(AG18:AG37, "✗") + COUNTIF(AG18:AG37, "x") + COUNTIF(AG18:AG37, "X")) &gt; 0, (COUNTIF(AG18:AG37, "✓") + COUNTIF(AG18:AG37, "✔") + COUNTIF(AG18:AG37, "v") + COUNTIF(AG18:AG37, "V")) &amp; "/" &amp; ((COUNTIF(AG18:AG37, "✓") + COUNTIF(AG18:AG37, "✔") + COUNTIF(AG18:AG37, "v") + COUNTIF(AG18:AG37, "V")) + COUNTIF(AG18:AG37, "✗") + COUNTIF(AG18:AG37, "x") + COUNTIF(AG18:AG37, "X")), "")</f>
        <v/>
      </c>
      <c r="AH38" s="33">
        <f>IF(((COUNTIF(AH18:AH37, "✓") + COUNTIF(AH18:AH37, "✔") + COUNTIF(AH18:AH37, "v") + COUNTIF(AH18:AH37, "V")) + COUNTIF(AH18:AH37, "✗") + COUNTIF(AH18:AH37, "x") + COUNTIF(AH18:AH37, "X")) &gt; 0, (COUNTIF(AH18:AH37, "✓") + COUNTIF(AH18:AH37, "✔") + COUNTIF(AH18:AH37, "v") + COUNTIF(AH18:AH37, "V")) &amp; "/" &amp; ((COUNTIF(AH18:AH37, "✓") + COUNTIF(AH18:AH37, "✔") + COUNTIF(AH18:AH37, "v") + COUNTIF(AH18:AH37, "V")) + COUNTIF(AH18:AH37, "✗") + COUNTIF(AH18:AH37, "x") + COUNTIF(AH18:AH37, "X")), "")</f>
        <v/>
      </c>
      <c r="AI38" s="33">
        <f>IF(((COUNTIF(AI18:AI37, "✓") + COUNTIF(AI18:AI37, "✔") + COUNTIF(AI18:AI37, "v") + COUNTIF(AI18:AI37, "V")) + COUNTIF(AI18:AI37, "✗") + COUNTIF(AI18:AI37, "x") + COUNTIF(AI18:AI37, "X")) &gt; 0, (COUNTIF(AI18:AI37, "✓") + COUNTIF(AI18:AI37, "✔") + COUNTIF(AI18:AI37, "v") + COUNTIF(AI18:AI37, "V")) &amp; "/" &amp; ((COUNTIF(AI18:AI37, "✓") + COUNTIF(AI18:AI37, "✔") + COUNTIF(AI18:AI37, "v") + COUNTIF(AI18:AI37, "V")) + COUNTIF(AI18:AI37, "✗") + COUNTIF(AI18:AI37, "x") + COUNTIF(AI18:AI37, "X")), "")</f>
        <v/>
      </c>
      <c r="AJ38" s="133">
        <f>IF(SUM(D18:D37) &gt; 0, SUM(AM18:AM37) / SUM(D18:D37), "")</f>
        <v/>
      </c>
      <c r="AK38" s="33">
        <f>IF(SUM(D18:D37) &gt; 0, SUM(AM18:AM37) &amp; "/" &amp; SUM(D18:D37), "")</f>
        <v/>
      </c>
      <c r="AL38" s="54" t="n"/>
    </row>
    <row r="39" ht="18" customHeight="1">
      <c r="A39" s="132" t="inlineStr">
        <is>
          <t>DAILY SUCCESS %</t>
        </is>
      </c>
      <c r="B39" s="54" t="n"/>
      <c r="C39" s="54" t="n"/>
      <c r="D39" s="54" t="n"/>
      <c r="E39" s="134">
        <f>IF(((COUNTIF(E18:E37, "✓") + COUNTIF(E18:E37, "✔") + COUNTIF(E18:E37, "v") + COUNTIF(E18:E37, "V")) + COUNTIF(E18:E37, "✗") + COUNTIF(E18:E37, "x") + COUNTIF(E18:E37, "X")) &gt; 0, (COUNTIF(E18:E37, "✓") + COUNTIF(E18:E37, "✔") + COUNTIF(E18:E37, "v") + COUNTIF(E18:E37, "V")) / ((COUNTIF(E18:E37, "✓") + COUNTIF(E18:E37, "✔") + COUNTIF(E18:E37, "v") + COUNTIF(E18:E37, "V")) + COUNTIF(E18:E37, "✗") + COUNTIF(E18:E37, "x") + COUNTIF(E18:E37, "X")), "")</f>
        <v/>
      </c>
      <c r="F39" s="134">
        <f>IF(((COUNTIF(F18:F37, "✓") + COUNTIF(F18:F37, "✔") + COUNTIF(F18:F37, "v") + COUNTIF(F18:F37, "V")) + COUNTIF(F18:F37, "✗") + COUNTIF(F18:F37, "x") + COUNTIF(F18:F37, "X")) &gt; 0, (COUNTIF(F18:F37, "✓") + COUNTIF(F18:F37, "✔") + COUNTIF(F18:F37, "v") + COUNTIF(F18:F37, "V")) / ((COUNTIF(F18:F37, "✓") + COUNTIF(F18:F37, "✔") + COUNTIF(F18:F37, "v") + COUNTIF(F18:F37, "V")) + COUNTIF(F18:F37, "✗") + COUNTIF(F18:F37, "x") + COUNTIF(F18:F37, "X")), "")</f>
        <v/>
      </c>
      <c r="G39" s="134">
        <f>IF(((COUNTIF(G18:G37, "✓") + COUNTIF(G18:G37, "✔") + COUNTIF(G18:G37, "v") + COUNTIF(G18:G37, "V")) + COUNTIF(G18:G37, "✗") + COUNTIF(G18:G37, "x") + COUNTIF(G18:G37, "X")) &gt; 0, (COUNTIF(G18:G37, "✓") + COUNTIF(G18:G37, "✔") + COUNTIF(G18:G37, "v") + COUNTIF(G18:G37, "V")) / ((COUNTIF(G18:G37, "✓") + COUNTIF(G18:G37, "✔") + COUNTIF(G18:G37, "v") + COUNTIF(G18:G37, "V")) + COUNTIF(G18:G37, "✗") + COUNTIF(G18:G37, "x") + COUNTIF(G18:G37, "X")), "")</f>
        <v/>
      </c>
      <c r="H39" s="134">
        <f>IF(((COUNTIF(H18:H37, "✓") + COUNTIF(H18:H37, "✔") + COUNTIF(H18:H37, "v") + COUNTIF(H18:H37, "V")) + COUNTIF(H18:H37, "✗") + COUNTIF(H18:H37, "x") + COUNTIF(H18:H37, "X")) &gt; 0, (COUNTIF(H18:H37, "✓") + COUNTIF(H18:H37, "✔") + COUNTIF(H18:H37, "v") + COUNTIF(H18:H37, "V")) / ((COUNTIF(H18:H37, "✓") + COUNTIF(H18:H37, "✔") + COUNTIF(H18:H37, "v") + COUNTIF(H18:H37, "V")) + COUNTIF(H18:H37, "✗") + COUNTIF(H18:H37, "x") + COUNTIF(H18:H37, "X")), "")</f>
        <v/>
      </c>
      <c r="I39" s="134">
        <f>IF(((COUNTIF(I18:I37, "✓") + COUNTIF(I18:I37, "✔") + COUNTIF(I18:I37, "v") + COUNTIF(I18:I37, "V")) + COUNTIF(I18:I37, "✗") + COUNTIF(I18:I37, "x") + COUNTIF(I18:I37, "X")) &gt; 0, (COUNTIF(I18:I37, "✓") + COUNTIF(I18:I37, "✔") + COUNTIF(I18:I37, "v") + COUNTIF(I18:I37, "V")) / ((COUNTIF(I18:I37, "✓") + COUNTIF(I18:I37, "✔") + COUNTIF(I18:I37, "v") + COUNTIF(I18:I37, "V")) + COUNTIF(I18:I37, "✗") + COUNTIF(I18:I37, "x") + COUNTIF(I18:I37, "X")), "")</f>
        <v/>
      </c>
      <c r="J39" s="134">
        <f>IF(((COUNTIF(J18:J37, "✓") + COUNTIF(J18:J37, "✔") + COUNTIF(J18:J37, "v") + COUNTIF(J18:J37, "V")) + COUNTIF(J18:J37, "✗") + COUNTIF(J18:J37, "x") + COUNTIF(J18:J37, "X")) &gt; 0, (COUNTIF(J18:J37, "✓") + COUNTIF(J18:J37, "✔") + COUNTIF(J18:J37, "v") + COUNTIF(J18:J37, "V")) / ((COUNTIF(J18:J37, "✓") + COUNTIF(J18:J37, "✔") + COUNTIF(J18:J37, "v") + COUNTIF(J18:J37, "V")) + COUNTIF(J18:J37, "✗") + COUNTIF(J18:J37, "x") + COUNTIF(J18:J37, "X")), "")</f>
        <v/>
      </c>
      <c r="K39" s="134">
        <f>IF(((COUNTIF(K18:K37, "✓") + COUNTIF(K18:K37, "✔") + COUNTIF(K18:K37, "v") + COUNTIF(K18:K37, "V")) + COUNTIF(K18:K37, "✗") + COUNTIF(K18:K37, "x") + COUNTIF(K18:K37, "X")) &gt; 0, (COUNTIF(K18:K37, "✓") + COUNTIF(K18:K37, "✔") + COUNTIF(K18:K37, "v") + COUNTIF(K18:K37, "V")) / ((COUNTIF(K18:K37, "✓") + COUNTIF(K18:K37, "✔") + COUNTIF(K18:K37, "v") + COUNTIF(K18:K37, "V")) + COUNTIF(K18:K37, "✗") + COUNTIF(K18:K37, "x") + COUNTIF(K18:K37, "X")), "")</f>
        <v/>
      </c>
      <c r="L39" s="134">
        <f>IF(((COUNTIF(L18:L37, "✓") + COUNTIF(L18:L37, "✔") + COUNTIF(L18:L37, "v") + COUNTIF(L18:L37, "V")) + COUNTIF(L18:L37, "✗") + COUNTIF(L18:L37, "x") + COUNTIF(L18:L37, "X")) &gt; 0, (COUNTIF(L18:L37, "✓") + COUNTIF(L18:L37, "✔") + COUNTIF(L18:L37, "v") + COUNTIF(L18:L37, "V")) / ((COUNTIF(L18:L37, "✓") + COUNTIF(L18:L37, "✔") + COUNTIF(L18:L37, "v") + COUNTIF(L18:L37, "V")) + COUNTIF(L18:L37, "✗") + COUNTIF(L18:L37, "x") + COUNTIF(L18:L37, "X")), "")</f>
        <v/>
      </c>
      <c r="M39" s="134">
        <f>IF(((COUNTIF(M18:M37, "✓") + COUNTIF(M18:M37, "✔") + COUNTIF(M18:M37, "v") + COUNTIF(M18:M37, "V")) + COUNTIF(M18:M37, "✗") + COUNTIF(M18:M37, "x") + COUNTIF(M18:M37, "X")) &gt; 0, (COUNTIF(M18:M37, "✓") + COUNTIF(M18:M37, "✔") + COUNTIF(M18:M37, "v") + COUNTIF(M18:M37, "V")) / ((COUNTIF(M18:M37, "✓") + COUNTIF(M18:M37, "✔") + COUNTIF(M18:M37, "v") + COUNTIF(M18:M37, "V")) + COUNTIF(M18:M37, "✗") + COUNTIF(M18:M37, "x") + COUNTIF(M18:M37, "X")), "")</f>
        <v/>
      </c>
      <c r="N39" s="134">
        <f>IF(((COUNTIF(N18:N37, "✓") + COUNTIF(N18:N37, "✔") + COUNTIF(N18:N37, "v") + COUNTIF(N18:N37, "V")) + COUNTIF(N18:N37, "✗") + COUNTIF(N18:N37, "x") + COUNTIF(N18:N37, "X")) &gt; 0, (COUNTIF(N18:N37, "✓") + COUNTIF(N18:N37, "✔") + COUNTIF(N18:N37, "v") + COUNTIF(N18:N37, "V")) / ((COUNTIF(N18:N37, "✓") + COUNTIF(N18:N37, "✔") + COUNTIF(N18:N37, "v") + COUNTIF(N18:N37, "V")) + COUNTIF(N18:N37, "✗") + COUNTIF(N18:N37, "x") + COUNTIF(N18:N37, "X")), "")</f>
        <v/>
      </c>
      <c r="O39" s="134">
        <f>IF(((COUNTIF(O18:O37, "✓") + COUNTIF(O18:O37, "✔") + COUNTIF(O18:O37, "v") + COUNTIF(O18:O37, "V")) + COUNTIF(O18:O37, "✗") + COUNTIF(O18:O37, "x") + COUNTIF(O18:O37, "X")) &gt; 0, (COUNTIF(O18:O37, "✓") + COUNTIF(O18:O37, "✔") + COUNTIF(O18:O37, "v") + COUNTIF(O18:O37, "V")) / ((COUNTIF(O18:O37, "✓") + COUNTIF(O18:O37, "✔") + COUNTIF(O18:O37, "v") + COUNTIF(O18:O37, "V")) + COUNTIF(O18:O37, "✗") + COUNTIF(O18:O37, "x") + COUNTIF(O18:O37, "X")), "")</f>
        <v/>
      </c>
      <c r="P39" s="134">
        <f>IF(((COUNTIF(P18:P37, "✓") + COUNTIF(P18:P37, "✔") + COUNTIF(P18:P37, "v") + COUNTIF(P18:P37, "V")) + COUNTIF(P18:P37, "✗") + COUNTIF(P18:P37, "x") + COUNTIF(P18:P37, "X")) &gt; 0, (COUNTIF(P18:P37, "✓") + COUNTIF(P18:P37, "✔") + COUNTIF(P18:P37, "v") + COUNTIF(P18:P37, "V")) / ((COUNTIF(P18:P37, "✓") + COUNTIF(P18:P37, "✔") + COUNTIF(P18:P37, "v") + COUNTIF(P18:P37, "V")) + COUNTIF(P18:P37, "✗") + COUNTIF(P18:P37, "x") + COUNTIF(P18:P37, "X")), "")</f>
        <v/>
      </c>
      <c r="Q39" s="134">
        <f>IF(((COUNTIF(Q18:Q37, "✓") + COUNTIF(Q18:Q37, "✔") + COUNTIF(Q18:Q37, "v") + COUNTIF(Q18:Q37, "V")) + COUNTIF(Q18:Q37, "✗") + COUNTIF(Q18:Q37, "x") + COUNTIF(Q18:Q37, "X")) &gt; 0, (COUNTIF(Q18:Q37, "✓") + COUNTIF(Q18:Q37, "✔") + COUNTIF(Q18:Q37, "v") + COUNTIF(Q18:Q37, "V")) / ((COUNTIF(Q18:Q37, "✓") + COUNTIF(Q18:Q37, "✔") + COUNTIF(Q18:Q37, "v") + COUNTIF(Q18:Q37, "V")) + COUNTIF(Q18:Q37, "✗") + COUNTIF(Q18:Q37, "x") + COUNTIF(Q18:Q37, "X")), "")</f>
        <v/>
      </c>
      <c r="R39" s="134">
        <f>IF(((COUNTIF(R18:R37, "✓") + COUNTIF(R18:R37, "✔") + COUNTIF(R18:R37, "v") + COUNTIF(R18:R37, "V")) + COUNTIF(R18:R37, "✗") + COUNTIF(R18:R37, "x") + COUNTIF(R18:R37, "X")) &gt; 0, (COUNTIF(R18:R37, "✓") + COUNTIF(R18:R37, "✔") + COUNTIF(R18:R37, "v") + COUNTIF(R18:R37, "V")) / ((COUNTIF(R18:R37, "✓") + COUNTIF(R18:R37, "✔") + COUNTIF(R18:R37, "v") + COUNTIF(R18:R37, "V")) + COUNTIF(R18:R37, "✗") + COUNTIF(R18:R37, "x") + COUNTIF(R18:R37, "X")), "")</f>
        <v/>
      </c>
      <c r="S39" s="134">
        <f>IF(((COUNTIF(S18:S37, "✓") + COUNTIF(S18:S37, "✔") + COUNTIF(S18:S37, "v") + COUNTIF(S18:S37, "V")) + COUNTIF(S18:S37, "✗") + COUNTIF(S18:S37, "x") + COUNTIF(S18:S37, "X")) &gt; 0, (COUNTIF(S18:S37, "✓") + COUNTIF(S18:S37, "✔") + COUNTIF(S18:S37, "v") + COUNTIF(S18:S37, "V")) / ((COUNTIF(S18:S37, "✓") + COUNTIF(S18:S37, "✔") + COUNTIF(S18:S37, "v") + COUNTIF(S18:S37, "V")) + COUNTIF(S18:S37, "✗") + COUNTIF(S18:S37, "x") + COUNTIF(S18:S37, "X")), "")</f>
        <v/>
      </c>
      <c r="T39" s="134">
        <f>IF(((COUNTIF(T18:T37, "✓") + COUNTIF(T18:T37, "✔") + COUNTIF(T18:T37, "v") + COUNTIF(T18:T37, "V")) + COUNTIF(T18:T37, "✗") + COUNTIF(T18:T37, "x") + COUNTIF(T18:T37, "X")) &gt; 0, (COUNTIF(T18:T37, "✓") + COUNTIF(T18:T37, "✔") + COUNTIF(T18:T37, "v") + COUNTIF(T18:T37, "V")) / ((COUNTIF(T18:T37, "✓") + COUNTIF(T18:T37, "✔") + COUNTIF(T18:T37, "v") + COUNTIF(T18:T37, "V")) + COUNTIF(T18:T37, "✗") + COUNTIF(T18:T37, "x") + COUNTIF(T18:T37, "X")), "")</f>
        <v/>
      </c>
      <c r="U39" s="134">
        <f>IF(((COUNTIF(U18:U37, "✓") + COUNTIF(U18:U37, "✔") + COUNTIF(U18:U37, "v") + COUNTIF(U18:U37, "V")) + COUNTIF(U18:U37, "✗") + COUNTIF(U18:U37, "x") + COUNTIF(U18:U37, "X")) &gt; 0, (COUNTIF(U18:U37, "✓") + COUNTIF(U18:U37, "✔") + COUNTIF(U18:U37, "v") + COUNTIF(U18:U37, "V")) / ((COUNTIF(U18:U37, "✓") + COUNTIF(U18:U37, "✔") + COUNTIF(U18:U37, "v") + COUNTIF(U18:U37, "V")) + COUNTIF(U18:U37, "✗") + COUNTIF(U18:U37, "x") + COUNTIF(U18:U37, "X")), "")</f>
        <v/>
      </c>
      <c r="V39" s="134">
        <f>IF(((COUNTIF(V18:V37, "✓") + COUNTIF(V18:V37, "✔") + COUNTIF(V18:V37, "v") + COUNTIF(V18:V37, "V")) + COUNTIF(V18:V37, "✗") + COUNTIF(V18:V37, "x") + COUNTIF(V18:V37, "X")) &gt; 0, (COUNTIF(V18:V37, "✓") + COUNTIF(V18:V37, "✔") + COUNTIF(V18:V37, "v") + COUNTIF(V18:V37, "V")) / ((COUNTIF(V18:V37, "✓") + COUNTIF(V18:V37, "✔") + COUNTIF(V18:V37, "v") + COUNTIF(V18:V37, "V")) + COUNTIF(V18:V37, "✗") + COUNTIF(V18:V37, "x") + COUNTIF(V18:V37, "X")), "")</f>
        <v/>
      </c>
      <c r="W39" s="134">
        <f>IF(((COUNTIF(W18:W37, "✓") + COUNTIF(W18:W37, "✔") + COUNTIF(W18:W37, "v") + COUNTIF(W18:W37, "V")) + COUNTIF(W18:W37, "✗") + COUNTIF(W18:W37, "x") + COUNTIF(W18:W37, "X")) &gt; 0, (COUNTIF(W18:W37, "✓") + COUNTIF(W18:W37, "✔") + COUNTIF(W18:W37, "v") + COUNTIF(W18:W37, "V")) / ((COUNTIF(W18:W37, "✓") + COUNTIF(W18:W37, "✔") + COUNTIF(W18:W37, "v") + COUNTIF(W18:W37, "V")) + COUNTIF(W18:W37, "✗") + COUNTIF(W18:W37, "x") + COUNTIF(W18:W37, "X")), "")</f>
        <v/>
      </c>
      <c r="X39" s="134">
        <f>IF(((COUNTIF(X18:X37, "✓") + COUNTIF(X18:X37, "✔") + COUNTIF(X18:X37, "v") + COUNTIF(X18:X37, "V")) + COUNTIF(X18:X37, "✗") + COUNTIF(X18:X37, "x") + COUNTIF(X18:X37, "X")) &gt; 0, (COUNTIF(X18:X37, "✓") + COUNTIF(X18:X37, "✔") + COUNTIF(X18:X37, "v") + COUNTIF(X18:X37, "V")) / ((COUNTIF(X18:X37, "✓") + COUNTIF(X18:X37, "✔") + COUNTIF(X18:X37, "v") + COUNTIF(X18:X37, "V")) + COUNTIF(X18:X37, "✗") + COUNTIF(X18:X37, "x") + COUNTIF(X18:X37, "X")), "")</f>
        <v/>
      </c>
      <c r="Y39" s="134">
        <f>IF(((COUNTIF(Y18:Y37, "✓") + COUNTIF(Y18:Y37, "✔") + COUNTIF(Y18:Y37, "v") + COUNTIF(Y18:Y37, "V")) + COUNTIF(Y18:Y37, "✗") + COUNTIF(Y18:Y37, "x") + COUNTIF(Y18:Y37, "X")) &gt; 0, (COUNTIF(Y18:Y37, "✓") + COUNTIF(Y18:Y37, "✔") + COUNTIF(Y18:Y37, "v") + COUNTIF(Y18:Y37, "V")) / ((COUNTIF(Y18:Y37, "✓") + COUNTIF(Y18:Y37, "✔") + COUNTIF(Y18:Y37, "v") + COUNTIF(Y18:Y37, "V")) + COUNTIF(Y18:Y37, "✗") + COUNTIF(Y18:Y37, "x") + COUNTIF(Y18:Y37, "X")), "")</f>
        <v/>
      </c>
      <c r="Z39" s="134">
        <f>IF(((COUNTIF(Z18:Z37, "✓") + COUNTIF(Z18:Z37, "✔") + COUNTIF(Z18:Z37, "v") + COUNTIF(Z18:Z37, "V")) + COUNTIF(Z18:Z37, "✗") + COUNTIF(Z18:Z37, "x") + COUNTIF(Z18:Z37, "X")) &gt; 0, (COUNTIF(Z18:Z37, "✓") + COUNTIF(Z18:Z37, "✔") + COUNTIF(Z18:Z37, "v") + COUNTIF(Z18:Z37, "V")) / ((COUNTIF(Z18:Z37, "✓") + COUNTIF(Z18:Z37, "✔") + COUNTIF(Z18:Z37, "v") + COUNTIF(Z18:Z37, "V")) + COUNTIF(Z18:Z37, "✗") + COUNTIF(Z18:Z37, "x") + COUNTIF(Z18:Z37, "X")), "")</f>
        <v/>
      </c>
      <c r="AA39" s="134">
        <f>IF(((COUNTIF(AA18:AA37, "✓") + COUNTIF(AA18:AA37, "✔") + COUNTIF(AA18:AA37, "v") + COUNTIF(AA18:AA37, "V")) + COUNTIF(AA18:AA37, "✗") + COUNTIF(AA18:AA37, "x") + COUNTIF(AA18:AA37, "X")) &gt; 0, (COUNTIF(AA18:AA37, "✓") + COUNTIF(AA18:AA37, "✔") + COUNTIF(AA18:AA37, "v") + COUNTIF(AA18:AA37, "V")) / ((COUNTIF(AA18:AA37, "✓") + COUNTIF(AA18:AA37, "✔") + COUNTIF(AA18:AA37, "v") + COUNTIF(AA18:AA37, "V")) + COUNTIF(AA18:AA37, "✗") + COUNTIF(AA18:AA37, "x") + COUNTIF(AA18:AA37, "X")), "")</f>
        <v/>
      </c>
      <c r="AB39" s="134">
        <f>IF(((COUNTIF(AB18:AB37, "✓") + COUNTIF(AB18:AB37, "✔") + COUNTIF(AB18:AB37, "v") + COUNTIF(AB18:AB37, "V")) + COUNTIF(AB18:AB37, "✗") + COUNTIF(AB18:AB37, "x") + COUNTIF(AB18:AB37, "X")) &gt; 0, (COUNTIF(AB18:AB37, "✓") + COUNTIF(AB18:AB37, "✔") + COUNTIF(AB18:AB37, "v") + COUNTIF(AB18:AB37, "V")) / ((COUNTIF(AB18:AB37, "✓") + COUNTIF(AB18:AB37, "✔") + COUNTIF(AB18:AB37, "v") + COUNTIF(AB18:AB37, "V")) + COUNTIF(AB18:AB37, "✗") + COUNTIF(AB18:AB37, "x") + COUNTIF(AB18:AB37, "X")), "")</f>
        <v/>
      </c>
      <c r="AC39" s="134">
        <f>IF(((COUNTIF(AC18:AC37, "✓") + COUNTIF(AC18:AC37, "✔") + COUNTIF(AC18:AC37, "v") + COUNTIF(AC18:AC37, "V")) + COUNTIF(AC18:AC37, "✗") + COUNTIF(AC18:AC37, "x") + COUNTIF(AC18:AC37, "X")) &gt; 0, (COUNTIF(AC18:AC37, "✓") + COUNTIF(AC18:AC37, "✔") + COUNTIF(AC18:AC37, "v") + COUNTIF(AC18:AC37, "V")) / ((COUNTIF(AC18:AC37, "✓") + COUNTIF(AC18:AC37, "✔") + COUNTIF(AC18:AC37, "v") + COUNTIF(AC18:AC37, "V")) + COUNTIF(AC18:AC37, "✗") + COUNTIF(AC18:AC37, "x") + COUNTIF(AC18:AC37, "X")), "")</f>
        <v/>
      </c>
      <c r="AD39" s="134">
        <f>IF(((COUNTIF(AD18:AD37, "✓") + COUNTIF(AD18:AD37, "✔") + COUNTIF(AD18:AD37, "v") + COUNTIF(AD18:AD37, "V")) + COUNTIF(AD18:AD37, "✗") + COUNTIF(AD18:AD37, "x") + COUNTIF(AD18:AD37, "X")) &gt; 0, (COUNTIF(AD18:AD37, "✓") + COUNTIF(AD18:AD37, "✔") + COUNTIF(AD18:AD37, "v") + COUNTIF(AD18:AD37, "V")) / ((COUNTIF(AD18:AD37, "✓") + COUNTIF(AD18:AD37, "✔") + COUNTIF(AD18:AD37, "v") + COUNTIF(AD18:AD37, "V")) + COUNTIF(AD18:AD37, "✗") + COUNTIF(AD18:AD37, "x") + COUNTIF(AD18:AD37, "X")), "")</f>
        <v/>
      </c>
      <c r="AE39" s="134">
        <f>IF(((COUNTIF(AE18:AE37, "✓") + COUNTIF(AE18:AE37, "✔") + COUNTIF(AE18:AE37, "v") + COUNTIF(AE18:AE37, "V")) + COUNTIF(AE18:AE37, "✗") + COUNTIF(AE18:AE37, "x") + COUNTIF(AE18:AE37, "X")) &gt; 0, (COUNTIF(AE18:AE37, "✓") + COUNTIF(AE18:AE37, "✔") + COUNTIF(AE18:AE37, "v") + COUNTIF(AE18:AE37, "V")) / ((COUNTIF(AE18:AE37, "✓") + COUNTIF(AE18:AE37, "✔") + COUNTIF(AE18:AE37, "v") + COUNTIF(AE18:AE37, "V")) + COUNTIF(AE18:AE37, "✗") + COUNTIF(AE18:AE37, "x") + COUNTIF(AE18:AE37, "X")), "")</f>
        <v/>
      </c>
      <c r="AF39" s="134">
        <f>IF(((COUNTIF(AF18:AF37, "✓") + COUNTIF(AF18:AF37, "✔") + COUNTIF(AF18:AF37, "v") + COUNTIF(AF18:AF37, "V")) + COUNTIF(AF18:AF37, "✗") + COUNTIF(AF18:AF37, "x") + COUNTIF(AF18:AF37, "X")) &gt; 0, (COUNTIF(AF18:AF37, "✓") + COUNTIF(AF18:AF37, "✔") + COUNTIF(AF18:AF37, "v") + COUNTIF(AF18:AF37, "V")) / ((COUNTIF(AF18:AF37, "✓") + COUNTIF(AF18:AF37, "✔") + COUNTIF(AF18:AF37, "v") + COUNTIF(AF18:AF37, "V")) + COUNTIF(AF18:AF37, "✗") + COUNTIF(AF18:AF37, "x") + COUNTIF(AF18:AF37, "X")), "")</f>
        <v/>
      </c>
      <c r="AG39" s="134">
        <f>IF(((COUNTIF(AG18:AG37, "✓") + COUNTIF(AG18:AG37, "✔") + COUNTIF(AG18:AG37, "v") + COUNTIF(AG18:AG37, "V")) + COUNTIF(AG18:AG37, "✗") + COUNTIF(AG18:AG37, "x") + COUNTIF(AG18:AG37, "X")) &gt; 0, (COUNTIF(AG18:AG37, "✓") + COUNTIF(AG18:AG37, "✔") + COUNTIF(AG18:AG37, "v") + COUNTIF(AG18:AG37, "V")) / ((COUNTIF(AG18:AG37, "✓") + COUNTIF(AG18:AG37, "✔") + COUNTIF(AG18:AG37, "v") + COUNTIF(AG18:AG37, "V")) + COUNTIF(AG18:AG37, "✗") + COUNTIF(AG18:AG37, "x") + COUNTIF(AG18:AG37, "X")), "")</f>
        <v/>
      </c>
      <c r="AH39" s="134">
        <f>IF(((COUNTIF(AH18:AH37, "✓") + COUNTIF(AH18:AH37, "✔") + COUNTIF(AH18:AH37, "v") + COUNTIF(AH18:AH37, "V")) + COUNTIF(AH18:AH37, "✗") + COUNTIF(AH18:AH37, "x") + COUNTIF(AH18:AH37, "X")) &gt; 0, (COUNTIF(AH18:AH37, "✓") + COUNTIF(AH18:AH37, "✔") + COUNTIF(AH18:AH37, "v") + COUNTIF(AH18:AH37, "V")) / ((COUNTIF(AH18:AH37, "✓") + COUNTIF(AH18:AH37, "✔") + COUNTIF(AH18:AH37, "v") + COUNTIF(AH18:AH37, "V")) + COUNTIF(AH18:AH37, "✗") + COUNTIF(AH18:AH37, "x") + COUNTIF(AH18:AH37, "X")), "")</f>
        <v/>
      </c>
      <c r="AI39" s="134">
        <f>IF(((COUNTIF(AI18:AI37, "✓") + COUNTIF(AI18:AI37, "✔") + COUNTIF(AI18:AI37, "v") + COUNTIF(AI18:AI37, "V")) + COUNTIF(AI18:AI37, "✗") + COUNTIF(AI18:AI37, "x") + COUNTIF(AI18:AI37, "X")) &gt; 0, (COUNTIF(AI18:AI37, "✓") + COUNTIF(AI18:AI37, "✔") + COUNTIF(AI18:AI37, "v") + COUNTIF(AI18:AI37, "V")) / ((COUNTIF(AI18:AI37, "✓") + COUNTIF(AI18:AI37, "✔") + COUNTIF(AI18:AI37, "v") + COUNTIF(AI18:AI37, "V")) + COUNTIF(AI18:AI37, "✗") + COUNTIF(AI18:AI37, "x") + COUNTIF(AI18:AI37, "X")), "")</f>
        <v/>
      </c>
      <c r="AJ39" s="133">
        <f>IF(COUNT(E39:AI39) &gt; 0, AVERAGE(E39:AI39), "")</f>
        <v/>
      </c>
      <c r="AK39" s="54" t="n"/>
      <c r="AL39" s="54" t="n"/>
    </row>
    <row r="40" ht="6" customHeight="1"/>
    <row r="41" ht="15" customHeight="1">
      <c r="A41" s="135" t="inlineStr">
        <is>
          <t>IF SUCCESS &lt; 80%, PUNISHMENT: ________________________________________________</t>
        </is>
      </c>
    </row>
    <row r="42" ht="15" customHeight="1">
      <c r="A42" s="136" t="inlineStr">
        <is>
          <t>IF SUCCESS &gt; 90%, REWARD: __________________________________________________</t>
        </is>
      </c>
    </row>
    <row r="43" ht="10" customHeight="1"/>
    <row r="44" ht="10" customHeight="1"/>
    <row r="45" ht="15" customHeight="1">
      <c r="A45" s="51" t="inlineStr">
        <is>
          <t>Sleep Tracking</t>
        </is>
      </c>
      <c r="B45" s="52" t="n"/>
      <c r="C45" s="52" t="n"/>
      <c r="D45" s="52" t="n"/>
      <c r="E45" s="137" t="n">
        <v>1</v>
      </c>
      <c r="F45" s="137" t="n">
        <v>2</v>
      </c>
      <c r="G45" s="138" t="n">
        <v>3</v>
      </c>
      <c r="H45" s="137" t="n">
        <v>4</v>
      </c>
      <c r="I45" s="137" t="n">
        <v>5</v>
      </c>
      <c r="J45" s="137" t="n">
        <v>6</v>
      </c>
      <c r="K45" s="137" t="n">
        <v>7</v>
      </c>
      <c r="L45" s="137" t="n">
        <v>8</v>
      </c>
      <c r="M45" s="137" t="n">
        <v>9</v>
      </c>
      <c r="N45" s="138" t="n">
        <v>10</v>
      </c>
      <c r="O45" s="137" t="n">
        <v>11</v>
      </c>
      <c r="P45" s="137" t="n">
        <v>12</v>
      </c>
      <c r="Q45" s="137" t="n">
        <v>13</v>
      </c>
      <c r="R45" s="137" t="n">
        <v>14</v>
      </c>
      <c r="S45" s="137" t="n">
        <v>15</v>
      </c>
      <c r="T45" s="137" t="n">
        <v>16</v>
      </c>
      <c r="U45" s="138" t="n">
        <v>17</v>
      </c>
      <c r="V45" s="137" t="n">
        <v>18</v>
      </c>
      <c r="W45" s="137" t="n">
        <v>19</v>
      </c>
      <c r="X45" s="137" t="n">
        <v>20</v>
      </c>
      <c r="Y45" s="137" t="n">
        <v>21</v>
      </c>
      <c r="Z45" s="137" t="n">
        <v>22</v>
      </c>
      <c r="AA45" s="137" t="n">
        <v>23</v>
      </c>
      <c r="AB45" s="138" t="n">
        <v>24</v>
      </c>
      <c r="AC45" s="137" t="n">
        <v>25</v>
      </c>
      <c r="AD45" s="137" t="n">
        <v>26</v>
      </c>
      <c r="AE45" s="137" t="n">
        <v>27</v>
      </c>
      <c r="AF45" s="137" t="n">
        <v>28</v>
      </c>
      <c r="AG45" s="137" t="n">
        <v>29</v>
      </c>
      <c r="AH45" s="137" t="n">
        <v>30</v>
      </c>
      <c r="AI45" s="138" t="n">
        <v>31</v>
      </c>
    </row>
    <row r="46" ht="15" customHeight="1">
      <c r="A46" s="52" t="n"/>
      <c r="B46" s="52" t="n"/>
      <c r="C46" s="52" t="n"/>
      <c r="D46" s="52" t="n"/>
      <c r="E46" s="139" t="inlineStr">
        <is>
          <t>F</t>
        </is>
      </c>
      <c r="F46" s="139" t="inlineStr">
        <is>
          <t>Sa</t>
        </is>
      </c>
      <c r="G46" s="140" t="inlineStr">
        <is>
          <t>Su</t>
        </is>
      </c>
      <c r="H46" s="139" t="inlineStr">
        <is>
          <t>M</t>
        </is>
      </c>
      <c r="I46" s="139" t="inlineStr">
        <is>
          <t>T</t>
        </is>
      </c>
      <c r="J46" s="139" t="inlineStr">
        <is>
          <t>W</t>
        </is>
      </c>
      <c r="K46" s="139" t="inlineStr">
        <is>
          <t>Th</t>
        </is>
      </c>
      <c r="L46" s="139" t="inlineStr">
        <is>
          <t>F</t>
        </is>
      </c>
      <c r="M46" s="139" t="inlineStr">
        <is>
          <t>Sa</t>
        </is>
      </c>
      <c r="N46" s="140" t="inlineStr">
        <is>
          <t>Su</t>
        </is>
      </c>
      <c r="O46" s="139" t="inlineStr">
        <is>
          <t>M</t>
        </is>
      </c>
      <c r="P46" s="139" t="inlineStr">
        <is>
          <t>T</t>
        </is>
      </c>
      <c r="Q46" s="139" t="inlineStr">
        <is>
          <t>W</t>
        </is>
      </c>
      <c r="R46" s="139" t="inlineStr">
        <is>
          <t>Th</t>
        </is>
      </c>
      <c r="S46" s="139" t="inlineStr">
        <is>
          <t>F</t>
        </is>
      </c>
      <c r="T46" s="139" t="inlineStr">
        <is>
          <t>Sa</t>
        </is>
      </c>
      <c r="U46" s="140" t="inlineStr">
        <is>
          <t>Su</t>
        </is>
      </c>
      <c r="V46" s="139" t="inlineStr">
        <is>
          <t>M</t>
        </is>
      </c>
      <c r="W46" s="139" t="inlineStr">
        <is>
          <t>T</t>
        </is>
      </c>
      <c r="X46" s="139" t="inlineStr">
        <is>
          <t>W</t>
        </is>
      </c>
      <c r="Y46" s="139" t="inlineStr">
        <is>
          <t>Th</t>
        </is>
      </c>
      <c r="Z46" s="139" t="inlineStr">
        <is>
          <t>F</t>
        </is>
      </c>
      <c r="AA46" s="139" t="inlineStr">
        <is>
          <t>Sa</t>
        </is>
      </c>
      <c r="AB46" s="140" t="inlineStr">
        <is>
          <t>Su</t>
        </is>
      </c>
      <c r="AC46" s="139" t="inlineStr">
        <is>
          <t>M</t>
        </is>
      </c>
      <c r="AD46" s="139" t="inlineStr">
        <is>
          <t>T</t>
        </is>
      </c>
      <c r="AE46" s="139" t="inlineStr">
        <is>
          <t>W</t>
        </is>
      </c>
      <c r="AF46" s="139" t="inlineStr">
        <is>
          <t>Th</t>
        </is>
      </c>
      <c r="AG46" s="139" t="inlineStr">
        <is>
          <t>F</t>
        </is>
      </c>
      <c r="AH46" s="139" t="inlineStr">
        <is>
          <t>Sa</t>
        </is>
      </c>
      <c r="AI46" s="140" t="inlineStr">
        <is>
          <t>Su</t>
        </is>
      </c>
    </row>
    <row r="47" ht="20" customHeight="1">
      <c r="A47" s="141" t="inlineStr">
        <is>
          <t>Sleep Hours (1-24)</t>
        </is>
      </c>
      <c r="B47" s="142" t="n"/>
      <c r="C47" s="142" t="n"/>
      <c r="D47" s="142" t="n"/>
      <c r="E47" s="143" t="n"/>
      <c r="F47" s="143" t="n"/>
      <c r="G47" s="144" t="n"/>
      <c r="H47" s="143" t="n"/>
      <c r="I47" s="143" t="n"/>
      <c r="J47" s="143" t="n"/>
      <c r="K47" s="143" t="n"/>
      <c r="L47" s="143" t="n"/>
      <c r="M47" s="143" t="n"/>
      <c r="N47" s="144" t="n"/>
      <c r="O47" s="143" t="n"/>
      <c r="P47" s="143" t="n"/>
      <c r="Q47" s="143" t="n"/>
      <c r="R47" s="143" t="n"/>
      <c r="S47" s="143" t="n"/>
      <c r="T47" s="143" t="n"/>
      <c r="U47" s="144" t="n"/>
      <c r="V47" s="143" t="n"/>
      <c r="W47" s="143" t="n"/>
      <c r="X47" s="143" t="n"/>
      <c r="Y47" s="143" t="n"/>
      <c r="Z47" s="143" t="n"/>
      <c r="AA47" s="143" t="n"/>
      <c r="AB47" s="144" t="n"/>
      <c r="AC47" s="143" t="n"/>
      <c r="AD47" s="143" t="n"/>
      <c r="AE47" s="143" t="n"/>
      <c r="AF47" s="143" t="n"/>
      <c r="AG47" s="143" t="n"/>
      <c r="AH47" s="143" t="n"/>
      <c r="AI47" s="144" t="n"/>
    </row>
    <row r="48" ht="6" customHeight="1"/>
    <row r="49" ht="14" customHeight="1"/>
    <row r="50" ht="14" customHeight="1"/>
    <row r="51" ht="14" customHeight="1"/>
    <row r="52" ht="14" customHeight="1"/>
    <row r="53" ht="14" customHeight="1"/>
    <row r="54" ht="14" customHeight="1"/>
    <row r="55" ht="14" customHeight="1"/>
    <row r="56" ht="14" customHeight="1"/>
    <row r="57" ht="14" customHeight="1"/>
    <row r="58" ht="14" customHeight="1"/>
    <row r="59" ht="14" customHeight="1"/>
    <row r="60" ht="14" customHeight="1"/>
    <row r="61" ht="14" customHeight="1"/>
    <row r="62" ht="14" customHeight="1"/>
    <row r="63" ht="14" customHeight="1"/>
    <row r="64" ht="14" customHeight="1"/>
    <row r="65" ht="14" customHeight="1"/>
    <row r="66" ht="8" customHeight="1"/>
    <row r="67">
      <c r="A67" s="145" t="inlineStr">
        <is>
          <t>MONTHLY SUCCESS RATE</t>
        </is>
      </c>
      <c r="B67" s="9" t="n"/>
      <c r="C67" s="9" t="n"/>
      <c r="D67" s="9" t="n"/>
      <c r="F67" s="146" t="inlineStr">
        <is>
          <t>ACTIVE PROTOCOLS</t>
        </is>
      </c>
      <c r="G67" s="11" t="n"/>
      <c r="H67" s="11" t="n"/>
      <c r="I67" s="11" t="n"/>
      <c r="K67" s="147" t="inlineStr">
        <is>
          <t>PERFECT DAYS (100%)</t>
        </is>
      </c>
      <c r="L67" s="13" t="n"/>
      <c r="M67" s="13" t="n"/>
      <c r="N67" s="13" t="n"/>
      <c r="P67" s="148" t="inlineStr">
        <is>
          <t>AVG SLEEP DURATION</t>
        </is>
      </c>
      <c r="Q67" s="15" t="n"/>
      <c r="R67" s="15" t="n"/>
      <c r="S67" s="15" t="n"/>
    </row>
    <row r="68">
      <c r="A68" s="149">
        <f>IF(SUM(D18:D37)&gt;0, SUM(AM18:AM37)/SUM(D18:D37), 0)</f>
        <v/>
      </c>
      <c r="B68" s="9" t="n"/>
      <c r="C68" s="9" t="n"/>
      <c r="D68" s="9" t="n"/>
      <c r="F68" s="150">
        <f>COUNTA(B18:B37) &amp; " / 20"</f>
        <v/>
      </c>
      <c r="G68" s="11" t="n"/>
      <c r="H68" s="11" t="n"/>
      <c r="I68" s="11" t="n"/>
      <c r="K68" s="151">
        <f>COUNTIF(E39:AI39, 1) &amp; " Days"</f>
        <v/>
      </c>
      <c r="L68" s="13" t="n"/>
      <c r="M68" s="13" t="n"/>
      <c r="N68" s="13" t="n"/>
      <c r="P68" s="152">
        <f>IFERROR(TEXT(AVERAGE(E47:AI47), "0.0") &amp; " hrs", "-")</f>
        <v/>
      </c>
      <c r="Q68" s="15" t="n"/>
      <c r="R68" s="15" t="n"/>
      <c r="S68" s="15" t="n"/>
    </row>
    <row r="69">
      <c r="A69" s="9" t="n"/>
      <c r="B69" s="9" t="n"/>
      <c r="C69" s="9" t="n"/>
      <c r="D69" s="9" t="n"/>
      <c r="F69" s="11" t="n"/>
      <c r="G69" s="11" t="n"/>
      <c r="H69" s="11" t="n"/>
      <c r="I69" s="11" t="n"/>
      <c r="K69" s="13" t="n"/>
      <c r="L69" s="13" t="n"/>
      <c r="M69" s="13" t="n"/>
      <c r="N69" s="13" t="n"/>
      <c r="P69" s="15" t="n"/>
      <c r="Q69" s="15" t="n"/>
      <c r="R69" s="15" t="n"/>
      <c r="S69" s="15" t="n"/>
    </row>
    <row r="70">
      <c r="A70" s="9" t="n"/>
      <c r="B70" s="9" t="n"/>
      <c r="C70" s="9" t="n"/>
      <c r="D70" s="9" t="n"/>
      <c r="F70" s="11" t="n"/>
      <c r="G70" s="11" t="n"/>
      <c r="H70" s="11" t="n"/>
      <c r="I70" s="11" t="n"/>
      <c r="K70" s="13" t="n"/>
      <c r="L70" s="13" t="n"/>
      <c r="M70" s="13" t="n"/>
      <c r="N70" s="13" t="n"/>
      <c r="P70" s="15" t="n"/>
      <c r="Q70" s="15" t="n"/>
      <c r="R70" s="15" t="n"/>
      <c r="S70" s="15" t="n"/>
    </row>
    <row r="71">
      <c r="A71" s="153" t="inlineStr">
        <is>
          <t>Target Completion</t>
        </is>
      </c>
      <c r="B71" s="9" t="n"/>
      <c r="C71" s="9" t="n"/>
      <c r="D71" s="9" t="n"/>
      <c r="F71" s="154" t="inlineStr">
        <is>
          <t>Habits Tracked</t>
        </is>
      </c>
      <c r="G71" s="11" t="n"/>
      <c r="H71" s="11" t="n"/>
      <c r="I71" s="11" t="n"/>
      <c r="K71" s="155" t="inlineStr">
        <is>
          <t>All Marked Habits Completed</t>
        </is>
      </c>
      <c r="L71" s="13" t="n"/>
      <c r="M71" s="13" t="n"/>
      <c r="N71" s="13" t="n"/>
      <c r="P71" s="156" t="inlineStr">
        <is>
          <t>Nightly Rest Average</t>
        </is>
      </c>
      <c r="Q71" s="15" t="n"/>
      <c r="R71" s="15" t="n"/>
      <c r="S71" s="15" t="n"/>
    </row>
    <row r="72" ht="8" customHeight="1"/>
    <row r="73" ht="6" customHeight="1"/>
    <row r="74">
      <c r="A74" s="67" t="inlineStr">
        <is>
          <t>WEEKLY PERFORMANCE (SLUMP DETECTOR)</t>
        </is>
      </c>
      <c r="B74" s="29" t="n"/>
      <c r="C74" s="29" t="n"/>
      <c r="D74" s="29" t="n"/>
      <c r="E74" s="29" t="n"/>
      <c r="N74" s="157" t="inlineStr">
        <is>
          <t>LIFE DOMAIN / CATEGORY BREAKDOWN</t>
        </is>
      </c>
      <c r="O74" s="158" t="n"/>
      <c r="P74" s="158" t="n"/>
      <c r="Q74" s="158" t="n"/>
      <c r="R74" s="158" t="n"/>
      <c r="S74" s="158" t="n"/>
    </row>
    <row r="75" ht="15" customHeight="1">
      <c r="A75" s="53" t="inlineStr">
        <is>
          <t>Week</t>
        </is>
      </c>
      <c r="B75" s="53" t="inlineStr">
        <is>
          <t>Days Range</t>
        </is>
      </c>
      <c r="C75" s="53" t="inlineStr">
        <is>
          <t>Checks Done</t>
        </is>
      </c>
      <c r="D75" s="53" t="inlineStr">
        <is>
          <t>Evaluated</t>
        </is>
      </c>
      <c r="E75" s="53" t="inlineStr">
        <is>
          <t>Success %</t>
        </is>
      </c>
      <c r="N75" s="53" t="inlineStr">
        <is>
          <t>Domain / Category</t>
        </is>
      </c>
      <c r="O75" s="54" t="n"/>
      <c r="P75" s="53" t="inlineStr">
        <is>
          <t>Active Habits</t>
        </is>
      </c>
      <c r="Q75" s="53" t="inlineStr">
        <is>
          <t>Target Days</t>
        </is>
      </c>
      <c r="R75" s="53" t="inlineStr">
        <is>
          <t>Done Checks</t>
        </is>
      </c>
      <c r="S75" s="53" t="inlineStr">
        <is>
          <t>Success %</t>
        </is>
      </c>
    </row>
    <row r="76" ht="14" customHeight="1">
      <c r="A76" s="33" t="inlineStr">
        <is>
          <t>Week 1</t>
        </is>
      </c>
      <c r="B76" s="34" t="inlineStr">
        <is>
          <t>Days 1 - 7</t>
        </is>
      </c>
      <c r="C76" s="34">
        <f>COUNTIF(E18:K37, "✓")</f>
        <v/>
      </c>
      <c r="D76" s="34">
        <f>COUNTIF(E18:K37, "✓") + COUNTIF(E18:K37, "✗")</f>
        <v/>
      </c>
      <c r="E76" s="35">
        <f>IFERROR(C76/D76, 0)</f>
        <v/>
      </c>
      <c r="N76" s="60" t="inlineStr">
        <is>
          <t>Health &amp; Fitness</t>
        </is>
      </c>
      <c r="O76" s="54" t="n"/>
      <c r="P76" s="34">
        <f>COUNTIF($C$18:$C$37, "Health &amp; Fitness")</f>
        <v/>
      </c>
      <c r="Q76" s="34">
        <f>SUMIF($C$18:$C$37, "Health &amp; Fitness", $D$18:$D$37)</f>
        <v/>
      </c>
      <c r="R76" s="34">
        <f>SUMIF($C$18:$C$37, "Health &amp; Fitness", $AM$18:$AM$37)</f>
        <v/>
      </c>
      <c r="S76" s="35">
        <f>IFERROR(R76/Q76, 0)</f>
        <v/>
      </c>
    </row>
    <row r="77" ht="14" customHeight="1">
      <c r="A77" s="33" t="inlineStr">
        <is>
          <t>Week 2</t>
        </is>
      </c>
      <c r="B77" s="34" t="inlineStr">
        <is>
          <t>Days 8 - 14</t>
        </is>
      </c>
      <c r="C77" s="34">
        <f>COUNTIF(L18:R37, "✓")</f>
        <v/>
      </c>
      <c r="D77" s="34">
        <f>COUNTIF(L18:R37, "✓") + COUNTIF(L18:R37, "✗")</f>
        <v/>
      </c>
      <c r="E77" s="35">
        <f>IFERROR(C77/D77, 0)</f>
        <v/>
      </c>
      <c r="N77" s="60" t="inlineStr">
        <is>
          <t>Mindset &amp; Learning</t>
        </is>
      </c>
      <c r="O77" s="54" t="n"/>
      <c r="P77" s="34">
        <f>COUNTIF($C$18:$C$37, "Mindset &amp; Learning")</f>
        <v/>
      </c>
      <c r="Q77" s="34">
        <f>SUMIF($C$18:$C$37, "Mindset &amp; Learning", $D$18:$D$37)</f>
        <v/>
      </c>
      <c r="R77" s="34">
        <f>SUMIF($C$18:$C$37, "Mindset &amp; Learning", $AM$18:$AM$37)</f>
        <v/>
      </c>
      <c r="S77" s="35">
        <f>IFERROR(R77/Q77, 0)</f>
        <v/>
      </c>
    </row>
    <row r="78" ht="14" customHeight="1">
      <c r="A78" s="33" t="inlineStr">
        <is>
          <t>Week 3</t>
        </is>
      </c>
      <c r="B78" s="34" t="inlineStr">
        <is>
          <t>Days 15 - 21</t>
        </is>
      </c>
      <c r="C78" s="34">
        <f>COUNTIF(S18:Y37, "✓")</f>
        <v/>
      </c>
      <c r="D78" s="34">
        <f>COUNTIF(S18:Y37, "✓") + COUNTIF(S18:Y37, "✗")</f>
        <v/>
      </c>
      <c r="E78" s="35">
        <f>IFERROR(C78/D78, 0)</f>
        <v/>
      </c>
      <c r="N78" s="60" t="inlineStr">
        <is>
          <t>Career &amp; Focus</t>
        </is>
      </c>
      <c r="O78" s="54" t="n"/>
      <c r="P78" s="34">
        <f>COUNTIF($C$18:$C$37, "Career &amp; Focus")</f>
        <v/>
      </c>
      <c r="Q78" s="34">
        <f>SUMIF($C$18:$C$37, "Career &amp; Focus", $D$18:$D$37)</f>
        <v/>
      </c>
      <c r="R78" s="34">
        <f>SUMIF($C$18:$C$37, "Career &amp; Focus", $AM$18:$AM$37)</f>
        <v/>
      </c>
      <c r="S78" s="35">
        <f>IFERROR(R78/Q78, 0)</f>
        <v/>
      </c>
    </row>
    <row r="79" ht="14" customHeight="1">
      <c r="A79" s="33" t="inlineStr">
        <is>
          <t>Week 4</t>
        </is>
      </c>
      <c r="B79" s="34" t="inlineStr">
        <is>
          <t>Days 22 - 28</t>
        </is>
      </c>
      <c r="C79" s="34">
        <f>COUNTIF(Z18:AF37, "✓")</f>
        <v/>
      </c>
      <c r="D79" s="34">
        <f>COUNTIF(Z18:AF37, "✓") + COUNTIF(Z18:AF37, "✗")</f>
        <v/>
      </c>
      <c r="E79" s="35">
        <f>IFERROR(C79/D79, 0)</f>
        <v/>
      </c>
      <c r="N79" s="60" t="inlineStr">
        <is>
          <t>Personal &amp; Home</t>
        </is>
      </c>
      <c r="O79" s="54" t="n"/>
      <c r="P79" s="34">
        <f>COUNTIF($C$18:$C$37, "Personal &amp; Home")</f>
        <v/>
      </c>
      <c r="Q79" s="34">
        <f>SUMIF($C$18:$C$37, "Personal &amp; Home", $D$18:$D$37)</f>
        <v/>
      </c>
      <c r="R79" s="34">
        <f>SUMIF($C$18:$C$37, "Personal &amp; Home", $AM$18:$AM$37)</f>
        <v/>
      </c>
      <c r="S79" s="35">
        <f>IFERROR(R79/Q79, 0)</f>
        <v/>
      </c>
    </row>
    <row r="80" ht="14" customHeight="1">
      <c r="A80" s="33" t="inlineStr">
        <is>
          <t>Week 5</t>
        </is>
      </c>
      <c r="B80" s="34" t="inlineStr">
        <is>
          <t>Days 29 - 31</t>
        </is>
      </c>
      <c r="C80" s="34">
        <f>COUNTIF(AG18:AI37, "✓")</f>
        <v/>
      </c>
      <c r="D80" s="34">
        <f>COUNTIF(AG18:AI37, "✓") + COUNTIF(AG18:AI37, "✗")</f>
        <v/>
      </c>
      <c r="E80" s="35">
        <f>IFERROR(C80/D80, 0)</f>
        <v/>
      </c>
      <c r="N80" s="60" t="inlineStr">
        <is>
          <t>Finance &amp; Wealth</t>
        </is>
      </c>
      <c r="O80" s="54" t="n"/>
      <c r="P80" s="34">
        <f>COUNTIF($C$18:$C$37, "Finance &amp; Wealth")</f>
        <v/>
      </c>
      <c r="Q80" s="34">
        <f>SUMIF($C$18:$C$37, "Finance &amp; Wealth", $D$18:$D$37)</f>
        <v/>
      </c>
      <c r="R80" s="34">
        <f>SUMIF($C$18:$C$37, "Finance &amp; Wealth", $AM$18:$AM$37)</f>
        <v/>
      </c>
      <c r="S80" s="35">
        <f>IFERROR(R80/Q80, 0)</f>
        <v/>
      </c>
    </row>
    <row r="81" ht="14" customHeight="1">
      <c r="A81" s="33" t="inlineStr">
        <is>
          <t>Total / Avg</t>
        </is>
      </c>
      <c r="B81" s="159" t="inlineStr">
        <is>
          <t>Month Total</t>
        </is>
      </c>
      <c r="C81" s="33">
        <f>SUM(C76:C80)</f>
        <v/>
      </c>
      <c r="D81" s="33">
        <f>SUM(D76:D80)</f>
        <v/>
      </c>
      <c r="E81" s="133">
        <f>IFERROR(C81/D81, 0)</f>
        <v/>
      </c>
    </row>
    <row r="82" ht="10" customHeight="1"/>
    <row r="83" ht="10" customHeight="1"/>
    <row r="84">
      <c r="A84" s="51" t="inlineStr">
        <is>
          <t>SLEEP &amp; PRODUCTIVITY CORRELATION ANALYSIS</t>
        </is>
      </c>
      <c r="B84" s="52" t="n"/>
      <c r="C84" s="52" t="n"/>
      <c r="D84" s="52" t="n"/>
      <c r="E84" s="52" t="n"/>
      <c r="F84" s="52" t="n"/>
      <c r="G84" s="52" t="n"/>
      <c r="H84" s="52" t="n"/>
      <c r="I84" s="52" t="n"/>
      <c r="J84" s="52" t="n"/>
      <c r="K84" s="52" t="n"/>
      <c r="L84" s="52" t="n"/>
      <c r="M84" s="52" t="n"/>
      <c r="N84" s="52" t="n"/>
      <c r="O84" s="52" t="n"/>
      <c r="P84" s="52" t="n"/>
      <c r="Q84" s="52" t="n"/>
      <c r="R84" s="52" t="n"/>
      <c r="S84" s="52" t="n"/>
      <c r="T84" s="52" t="n"/>
      <c r="U84" s="52" t="n"/>
      <c r="V84" s="52" t="n"/>
      <c r="W84" s="52" t="n"/>
      <c r="X84" s="52" t="n"/>
      <c r="Y84" s="52" t="n"/>
      <c r="Z84" s="52" t="n"/>
      <c r="AA84" s="52" t="n"/>
      <c r="AB84" s="52" t="n"/>
      <c r="AC84" s="52" t="n"/>
      <c r="AD84" s="52" t="n"/>
      <c r="AE84" s="52" t="n"/>
      <c r="AF84" s="52" t="n"/>
      <c r="AG84" s="52" t="n"/>
      <c r="AH84" s="52" t="n"/>
      <c r="AI84" s="52" t="n"/>
      <c r="AJ84" s="52" t="n"/>
      <c r="AK84" s="52" t="n"/>
      <c r="AL84" s="52" t="n"/>
    </row>
    <row r="85" ht="15" customHeight="1">
      <c r="A85" s="53" t="inlineStr">
        <is>
          <t>Rest Category</t>
        </is>
      </c>
      <c r="B85" s="54" t="n"/>
      <c r="C85" s="54" t="n"/>
      <c r="D85" s="53" t="inlineStr">
        <is>
          <t>Day Criteria</t>
        </is>
      </c>
      <c r="E85" s="54" t="n"/>
      <c r="F85" s="54" t="n"/>
      <c r="G85" s="53" t="inlineStr">
        <is>
          <t>Days Logged</t>
        </is>
      </c>
      <c r="H85" s="54" t="n"/>
      <c r="I85" s="54" t="n"/>
      <c r="J85" s="53" t="inlineStr">
        <is>
          <t>Avg Sleep Duration</t>
        </is>
      </c>
      <c r="K85" s="54" t="n"/>
      <c r="L85" s="54" t="n"/>
      <c r="M85" s="54" t="n"/>
      <c r="N85" s="53" t="inlineStr">
        <is>
          <t>Avg Habit Success %</t>
        </is>
      </c>
      <c r="O85" s="54" t="n"/>
      <c r="P85" s="54" t="n"/>
      <c r="Q85" s="54" t="n"/>
      <c r="R85" s="53" t="inlineStr">
        <is>
          <t>Productivity Delta</t>
        </is>
      </c>
      <c r="S85" s="54" t="n"/>
      <c r="T85" s="54" t="n"/>
      <c r="U85" s="54" t="n"/>
    </row>
    <row r="86" ht="15" customHeight="1">
      <c r="A86" s="160" t="inlineStr">
        <is>
          <t>Optimal Rest</t>
        </is>
      </c>
      <c r="B86" s="161" t="n"/>
      <c r="C86" s="56" t="n"/>
      <c r="D86" s="34" t="inlineStr">
        <is>
          <t>&gt;= 7 Hours / Night</t>
        </is>
      </c>
      <c r="E86" s="161" t="n"/>
      <c r="F86" s="56" t="n"/>
      <c r="G86" s="33">
        <f>COUNTIF(E47:AI47, "&gt;=7")</f>
        <v/>
      </c>
      <c r="H86" s="161" t="n"/>
      <c r="I86" s="56" t="n"/>
      <c r="J86" s="34">
        <f>IFERROR(TEXT(AVERAGEIF(E47:AI47, "&gt;=7"), "0.0") &amp; " hrs", "-")</f>
        <v/>
      </c>
      <c r="K86" s="161" t="n"/>
      <c r="L86" s="161" t="n"/>
      <c r="M86" s="56" t="n"/>
      <c r="N86" s="42">
        <f>IFERROR(AVERAGEIFS(E39:AI39, E47:AI47, "&gt;=7", E39:AI39, "&gt;0"), 0)</f>
        <v/>
      </c>
      <c r="O86" s="161" t="n"/>
      <c r="P86" s="161" t="n"/>
      <c r="Q86" s="56" t="n"/>
      <c r="R86" s="159" t="inlineStr">
        <is>
          <t>Baseline (Target)</t>
        </is>
      </c>
      <c r="S86" s="161" t="n"/>
      <c r="T86" s="161" t="n"/>
      <c r="U86" s="56" t="n"/>
    </row>
    <row r="87" ht="15" customHeight="1">
      <c r="A87" s="162" t="inlineStr">
        <is>
          <t>Sleep Deficit</t>
        </is>
      </c>
      <c r="B87" s="161" t="n"/>
      <c r="C87" s="56" t="n"/>
      <c r="D87" s="34" t="inlineStr">
        <is>
          <t>&lt; 7 Hours / Night</t>
        </is>
      </c>
      <c r="E87" s="161" t="n"/>
      <c r="F87" s="56" t="n"/>
      <c r="G87" s="33">
        <f>COUNTIF(E47:AI47, "&lt;7") - COUNTIF(E47:AI47, "")</f>
        <v/>
      </c>
      <c r="H87" s="161" t="n"/>
      <c r="I87" s="56" t="n"/>
      <c r="J87" s="34">
        <f>IFERROR(TEXT(AVERAGEIFS(E47:AI47, E47:AI47, "&lt;7", E47:AI47, "&gt;0"), "0.0") &amp; " hrs", "-")</f>
        <v/>
      </c>
      <c r="K87" s="161" t="n"/>
      <c r="L87" s="161" t="n"/>
      <c r="M87" s="56" t="n"/>
      <c r="N87" s="163">
        <f>IFERROR(AVERAGEIFS(E39:AI39, E47:AI47, "&lt;7", E39:AI39, "&gt;0"), 0)</f>
        <v/>
      </c>
      <c r="O87" s="161" t="n"/>
      <c r="P87" s="161" t="n"/>
      <c r="Q87" s="56" t="n"/>
      <c r="R87" s="160">
        <f>IFERROR(TEXT(N86 - N87, "+0.0%;-0.0%;0.0%") &amp; " Rest Advantage", "-")</f>
        <v/>
      </c>
      <c r="S87" s="161" t="n"/>
      <c r="T87" s="161" t="n"/>
      <c r="U87" s="56" t="n"/>
    </row>
    <row r="88" ht="18" customHeight="1">
      <c r="A88" s="164">
        <f>IF(AND(ISNUMBER(N86), ISNUMBER(N87), N86&gt;0, N87&gt;0), "💡 Sleep Correlation Insight: You complete " &amp; TEXT(ABS(N86-N87), "0.0%") &amp; IF(N86&gt;=N87, " MORE habits on days with 7+ hours of sleep!", " fewer habits on days with 7+ hours of sleep."), "💡 Log both habits and sleep hours daily to unlock automatic AI correlation insights!")</f>
        <v/>
      </c>
      <c r="B88" s="161" t="n"/>
      <c r="C88" s="161" t="n"/>
      <c r="D88" s="161" t="n"/>
      <c r="E88" s="161" t="n"/>
      <c r="F88" s="161" t="n"/>
      <c r="G88" s="161" t="n"/>
      <c r="H88" s="161" t="n"/>
      <c r="I88" s="161" t="n"/>
      <c r="J88" s="161" t="n"/>
      <c r="K88" s="161" t="n"/>
      <c r="L88" s="161" t="n"/>
      <c r="M88" s="161" t="n"/>
      <c r="N88" s="161" t="n"/>
      <c r="O88" s="161" t="n"/>
      <c r="P88" s="161" t="n"/>
      <c r="Q88" s="161" t="n"/>
      <c r="R88" s="161" t="n"/>
      <c r="S88" s="161" t="n"/>
      <c r="T88" s="161" t="n"/>
      <c r="U88" s="161" t="n"/>
      <c r="V88" s="161" t="n"/>
      <c r="W88" s="161" t="n"/>
      <c r="X88" s="161" t="n"/>
      <c r="Y88" s="161" t="n"/>
      <c r="Z88" s="161" t="n"/>
      <c r="AA88" s="161" t="n"/>
      <c r="AB88" s="161" t="n"/>
      <c r="AC88" s="161" t="n"/>
      <c r="AD88" s="161" t="n"/>
      <c r="AE88" s="161" t="n"/>
      <c r="AF88" s="161" t="n"/>
      <c r="AG88" s="161" t="n"/>
      <c r="AH88" s="161" t="n"/>
      <c r="AI88" s="161" t="n"/>
      <c r="AJ88" s="161" t="n"/>
      <c r="AK88" s="161" t="n"/>
      <c r="AL88" s="56" t="n"/>
    </row>
    <row r="89" ht="10" customHeight="1"/>
    <row r="90">
      <c r="A90" s="43" t="inlineStr">
        <is>
          <t>STANDARDIZED DATA BRIDGE (FOR ANNUAL &amp; QUARTERLY REVIEW SHEETS)</t>
        </is>
      </c>
      <c r="B90" s="44" t="n"/>
      <c r="C90" s="44" t="n"/>
      <c r="D90" s="44" t="n"/>
      <c r="E90" s="44" t="n"/>
      <c r="F90" s="44" t="n"/>
      <c r="G90" s="44" t="n"/>
      <c r="H90" s="44" t="n"/>
      <c r="I90" s="44" t="n"/>
      <c r="J90" s="44" t="n"/>
      <c r="K90" s="44" t="n"/>
      <c r="L90" s="44" t="n"/>
      <c r="M90" s="44" t="n"/>
      <c r="N90" s="44" t="n"/>
      <c r="O90" s="44" t="n"/>
      <c r="P90" s="44" t="n"/>
      <c r="Q90" s="44" t="n"/>
      <c r="R90" s="44" t="n"/>
      <c r="S90" s="44" t="n"/>
      <c r="T90" s="44" t="n"/>
      <c r="U90" s="44" t="n"/>
      <c r="V90" s="44" t="n"/>
      <c r="W90" s="44" t="n"/>
      <c r="X90" s="44" t="n"/>
      <c r="Y90" s="44" t="n"/>
      <c r="Z90" s="44" t="n"/>
      <c r="AA90" s="44" t="n"/>
      <c r="AB90" s="44" t="n"/>
      <c r="AC90" s="44" t="n"/>
      <c r="AD90" s="44" t="n"/>
      <c r="AE90" s="44" t="n"/>
      <c r="AF90" s="44" t="n"/>
      <c r="AG90" s="44" t="n"/>
      <c r="AH90" s="44" t="n"/>
      <c r="AI90" s="44" t="n"/>
      <c r="AJ90" s="44" t="n"/>
      <c r="AK90" s="44" t="n"/>
      <c r="AL90" s="44" t="n"/>
    </row>
    <row r="91" ht="15" customHeight="1">
      <c r="A91" s="53" t="inlineStr">
        <is>
          <t>Month</t>
        </is>
      </c>
      <c r="B91" s="54" t="n"/>
      <c r="C91" s="53" t="inlineStr">
        <is>
          <t>Year</t>
        </is>
      </c>
      <c r="D91" s="54" t="n"/>
      <c r="E91" s="53" t="inlineStr">
        <is>
          <t>Active Habits</t>
        </is>
      </c>
      <c r="F91" s="54" t="n"/>
      <c r="G91" s="53" t="inlineStr">
        <is>
          <t>Target Days</t>
        </is>
      </c>
      <c r="H91" s="54" t="n"/>
      <c r="I91" s="53" t="inlineStr">
        <is>
          <t>Done Checks</t>
        </is>
      </c>
      <c r="J91" s="54" t="n"/>
      <c r="K91" s="53" t="inlineStr">
        <is>
          <t>Success %</t>
        </is>
      </c>
      <c r="L91" s="54" t="n"/>
      <c r="M91" s="53" t="inlineStr">
        <is>
          <t>Perfect Days</t>
        </is>
      </c>
      <c r="N91" s="54" t="n"/>
      <c r="O91" s="53" t="inlineStr">
        <is>
          <t>Avg Sleep</t>
        </is>
      </c>
      <c r="P91" s="54" t="n"/>
      <c r="Q91" s="53" t="inlineStr">
        <is>
          <t>Best Week</t>
        </is>
      </c>
      <c r="R91" s="54" t="n"/>
      <c r="S91" s="54" t="n"/>
      <c r="T91" s="53" t="inlineStr">
        <is>
          <t>Top Life Domain</t>
        </is>
      </c>
      <c r="U91" s="54" t="n"/>
      <c r="V91" s="54" t="n"/>
      <c r="W91" s="54" t="n"/>
    </row>
    <row r="92" ht="16" customHeight="1">
      <c r="A92" s="165" t="inlineStr">
        <is>
          <t>Jan</t>
        </is>
      </c>
      <c r="B92" s="56" t="n"/>
      <c r="C92" s="165" t="n">
        <v>2027</v>
      </c>
      <c r="D92" s="56" t="n"/>
      <c r="E92" s="166">
        <f>COUNTA(B18:B37)</f>
        <v/>
      </c>
      <c r="F92" s="56" t="n"/>
      <c r="G92" s="166">
        <f>SUM(D18:D37)</f>
        <v/>
      </c>
      <c r="H92" s="56" t="n"/>
      <c r="I92" s="166">
        <f>SUM(AM18:AM37)</f>
        <v/>
      </c>
      <c r="J92" s="56" t="n"/>
      <c r="K92" s="167">
        <f>IF(G92&gt;0, I92/G92, 0)</f>
        <v/>
      </c>
      <c r="L92" s="56" t="n"/>
      <c r="M92" s="166">
        <f>COUNTIF(E39:AI39, 1)</f>
        <v/>
      </c>
      <c r="N92" s="56" t="n"/>
      <c r="O92" s="168">
        <f>IFERROR(AVERAGE(E47:AI47), 0)</f>
        <v/>
      </c>
      <c r="P92" s="56" t="n"/>
      <c r="Q92" s="166">
        <f>INDEX(A76:A80, MATCH(MAX(E76:E80), E76:E80, 0))</f>
        <v/>
      </c>
      <c r="R92" s="161" t="n"/>
      <c r="S92" s="56" t="n"/>
      <c r="T92" s="166">
        <f>INDEX(N76:N80, MATCH(MAX(S76:S80), S76:S80, 0))</f>
        <v/>
      </c>
      <c r="U92" s="161" t="n"/>
      <c r="V92" s="161" t="n"/>
      <c r="W92" s="56" t="n"/>
    </row>
    <row r="93" ht="14" customHeight="1">
      <c r="A93" s="169" t="inlineStr">
        <is>
          <t>📋 Note: Reference or copy Row 92 directly into an Annual / Quarterly review dashboard to track yearly habit trends.</t>
        </is>
      </c>
    </row>
    <row r="94" ht="8" customHeight="1"/>
    <row r="95">
      <c r="A95" s="170" t="inlineStr">
        <is>
          <t>🏆 MONTHLY WINS &amp; HIGHLIGHTS</t>
        </is>
      </c>
      <c r="J95" s="171" t="inlineStr">
        <is>
          <t>⚠️ FRICTION POINTS &amp; ROOT CAUSES</t>
        </is>
      </c>
      <c r="S95" s="172" t="inlineStr">
        <is>
          <t>🎯 3 KEY ADJUSTMENTS FOR NEXT MONTH</t>
        </is>
      </c>
    </row>
    <row r="96">
      <c r="A96" s="173" t="inlineStr">
        <is>
          <t>1. What went exceptionally well this month?
2. Which habit felt effortless and consistent?
3. Major milestone achieved:</t>
        </is>
      </c>
      <c r="B96" s="174" t="n"/>
      <c r="C96" s="174" t="n"/>
      <c r="D96" s="174" t="n"/>
      <c r="E96" s="174" t="n"/>
      <c r="F96" s="174" t="n"/>
      <c r="G96" s="174" t="n"/>
      <c r="H96" s="174" t="n"/>
      <c r="J96" s="175" t="inlineStr">
        <is>
          <t>1. What caused missed or skipped days?
2. Main triggers / energy drains encountered:
3. Which habit had the lowest consistency and why?</t>
        </is>
      </c>
      <c r="K96" s="176" t="n"/>
      <c r="L96" s="176" t="n"/>
      <c r="M96" s="176" t="n"/>
      <c r="N96" s="176" t="n"/>
      <c r="O96" s="176" t="n"/>
      <c r="P96" s="176" t="n"/>
      <c r="Q96" s="176" t="n"/>
      <c r="S96" s="177" t="inlineStr">
        <is>
          <t>1. Habit Stacking or time adjustment for next month:
2. Environment design change to eliminate friction:
3. One non-negotiable priority protocol:</t>
        </is>
      </c>
      <c r="T96" s="178" t="n"/>
      <c r="U96" s="178" t="n"/>
      <c r="V96" s="178" t="n"/>
      <c r="W96" s="178" t="n"/>
      <c r="X96" s="178" t="n"/>
      <c r="Y96" s="178" t="n"/>
      <c r="Z96" s="178" t="n"/>
    </row>
    <row r="97">
      <c r="A97" s="174" t="n"/>
      <c r="B97" s="174" t="n"/>
      <c r="C97" s="174" t="n"/>
      <c r="D97" s="174" t="n"/>
      <c r="E97" s="174" t="n"/>
      <c r="F97" s="174" t="n"/>
      <c r="G97" s="174" t="n"/>
      <c r="H97" s="174" t="n"/>
      <c r="J97" s="176" t="n"/>
      <c r="K97" s="176" t="n"/>
      <c r="L97" s="176" t="n"/>
      <c r="M97" s="176" t="n"/>
      <c r="N97" s="176" t="n"/>
      <c r="O97" s="176" t="n"/>
      <c r="P97" s="176" t="n"/>
      <c r="Q97" s="176" t="n"/>
      <c r="S97" s="178" t="n"/>
      <c r="T97" s="178" t="n"/>
      <c r="U97" s="178" t="n"/>
      <c r="V97" s="178" t="n"/>
      <c r="W97" s="178" t="n"/>
      <c r="X97" s="178" t="n"/>
      <c r="Y97" s="178" t="n"/>
      <c r="Z97" s="178" t="n"/>
    </row>
    <row r="98">
      <c r="A98" s="174" t="n"/>
      <c r="B98" s="174" t="n"/>
      <c r="C98" s="174" t="n"/>
      <c r="D98" s="174" t="n"/>
      <c r="E98" s="174" t="n"/>
      <c r="F98" s="174" t="n"/>
      <c r="G98" s="174" t="n"/>
      <c r="H98" s="174" t="n"/>
      <c r="J98" s="176" t="n"/>
      <c r="K98" s="176" t="n"/>
      <c r="L98" s="176" t="n"/>
      <c r="M98" s="176" t="n"/>
      <c r="N98" s="176" t="n"/>
      <c r="O98" s="176" t="n"/>
      <c r="P98" s="176" t="n"/>
      <c r="Q98" s="176" t="n"/>
      <c r="S98" s="178" t="n"/>
      <c r="T98" s="178" t="n"/>
      <c r="U98" s="178" t="n"/>
      <c r="V98" s="178" t="n"/>
      <c r="W98" s="178" t="n"/>
      <c r="X98" s="178" t="n"/>
      <c r="Y98" s="178" t="n"/>
      <c r="Z98" s="178" t="n"/>
    </row>
    <row r="99">
      <c r="A99" s="174" t="n"/>
      <c r="B99" s="174" t="n"/>
      <c r="C99" s="174" t="n"/>
      <c r="D99" s="174" t="n"/>
      <c r="E99" s="174" t="n"/>
      <c r="F99" s="174" t="n"/>
      <c r="G99" s="174" t="n"/>
      <c r="H99" s="174" t="n"/>
      <c r="J99" s="176" t="n"/>
      <c r="K99" s="176" t="n"/>
      <c r="L99" s="176" t="n"/>
      <c r="M99" s="176" t="n"/>
      <c r="N99" s="176" t="n"/>
      <c r="O99" s="176" t="n"/>
      <c r="P99" s="176" t="n"/>
      <c r="Q99" s="176" t="n"/>
      <c r="S99" s="178" t="n"/>
      <c r="T99" s="178" t="n"/>
      <c r="U99" s="178" t="n"/>
      <c r="V99" s="178" t="n"/>
      <c r="W99" s="178" t="n"/>
      <c r="X99" s="178" t="n"/>
      <c r="Y99" s="178" t="n"/>
      <c r="Z99" s="178" t="n"/>
    </row>
    <row r="100">
      <c r="A100" s="174" t="n"/>
      <c r="B100" s="174" t="n"/>
      <c r="C100" s="174" t="n"/>
      <c r="D100" s="174" t="n"/>
      <c r="E100" s="174" t="n"/>
      <c r="F100" s="174" t="n"/>
      <c r="G100" s="174" t="n"/>
      <c r="H100" s="174" t="n"/>
      <c r="J100" s="176" t="n"/>
      <c r="K100" s="176" t="n"/>
      <c r="L100" s="176" t="n"/>
      <c r="M100" s="176" t="n"/>
      <c r="N100" s="176" t="n"/>
      <c r="O100" s="176" t="n"/>
      <c r="P100" s="176" t="n"/>
      <c r="Q100" s="176" t="n"/>
      <c r="S100" s="178" t="n"/>
      <c r="T100" s="178" t="n"/>
      <c r="U100" s="178" t="n"/>
      <c r="V100" s="178" t="n"/>
      <c r="W100" s="178" t="n"/>
      <c r="X100" s="178" t="n"/>
      <c r="Y100" s="178" t="n"/>
      <c r="Z100" s="178" t="n"/>
    </row>
    <row r="101">
      <c r="A101" s="174" t="n"/>
      <c r="B101" s="174" t="n"/>
      <c r="C101" s="174" t="n"/>
      <c r="D101" s="174" t="n"/>
      <c r="E101" s="174" t="n"/>
      <c r="F101" s="174" t="n"/>
      <c r="G101" s="174" t="n"/>
      <c r="H101" s="174" t="n"/>
      <c r="J101" s="176" t="n"/>
      <c r="K101" s="176" t="n"/>
      <c r="L101" s="176" t="n"/>
      <c r="M101" s="176" t="n"/>
      <c r="N101" s="176" t="n"/>
      <c r="O101" s="176" t="n"/>
      <c r="P101" s="176" t="n"/>
      <c r="Q101" s="176" t="n"/>
      <c r="S101" s="178" t="n"/>
      <c r="T101" s="178" t="n"/>
      <c r="U101" s="178" t="n"/>
      <c r="V101" s="178" t="n"/>
      <c r="W101" s="178" t="n"/>
      <c r="X101" s="178" t="n"/>
      <c r="Y101" s="178" t="n"/>
      <c r="Z101" s="178" t="n"/>
    </row>
    <row r="102">
      <c r="A102" s="174" t="n"/>
      <c r="B102" s="174" t="n"/>
      <c r="C102" s="174" t="n"/>
      <c r="D102" s="174" t="n"/>
      <c r="E102" s="174" t="n"/>
      <c r="F102" s="174" t="n"/>
      <c r="G102" s="174" t="n"/>
      <c r="H102" s="174" t="n"/>
      <c r="J102" s="176" t="n"/>
      <c r="K102" s="176" t="n"/>
      <c r="L102" s="176" t="n"/>
      <c r="M102" s="176" t="n"/>
      <c r="N102" s="176" t="n"/>
      <c r="O102" s="176" t="n"/>
      <c r="P102" s="176" t="n"/>
      <c r="Q102" s="176" t="n"/>
      <c r="S102" s="178" t="n"/>
      <c r="T102" s="178" t="n"/>
      <c r="U102" s="178" t="n"/>
      <c r="V102" s="178" t="n"/>
      <c r="W102" s="178" t="n"/>
      <c r="X102" s="178" t="n"/>
      <c r="Y102" s="178" t="n"/>
      <c r="Z102" s="178" t="n"/>
    </row>
    <row r="103">
      <c r="A103" s="174" t="n"/>
      <c r="B103" s="174" t="n"/>
      <c r="C103" s="174" t="n"/>
      <c r="D103" s="174" t="n"/>
      <c r="E103" s="174" t="n"/>
      <c r="F103" s="174" t="n"/>
      <c r="G103" s="174" t="n"/>
      <c r="H103" s="174" t="n"/>
      <c r="J103" s="176" t="n"/>
      <c r="K103" s="176" t="n"/>
      <c r="L103" s="176" t="n"/>
      <c r="M103" s="176" t="n"/>
      <c r="N103" s="176" t="n"/>
      <c r="O103" s="176" t="n"/>
      <c r="P103" s="176" t="n"/>
      <c r="Q103" s="176" t="n"/>
      <c r="S103" s="178" t="n"/>
      <c r="T103" s="178" t="n"/>
      <c r="U103" s="178" t="n"/>
      <c r="V103" s="178" t="n"/>
      <c r="W103" s="178" t="n"/>
      <c r="X103" s="178" t="n"/>
      <c r="Y103" s="178" t="n"/>
      <c r="Z103" s="178" t="n"/>
    </row>
  </sheetData>
  <sheetProtection selectLockedCells="1" selectUnlockedCells="1" sheet="1" objects="0" insertRows="1" insertHyperlinks="1" autoFilter="1" scenarios="0" formatColumns="1" deleteColumns="1" insertColumns="1" pivotTables="1" deleteRows="1" formatCells="1" formatRows="1" sort="1"/>
  <mergeCells count="94">
    <mergeCell ref="A9:N9"/>
    <mergeCell ref="N76:O76"/>
    <mergeCell ref="F67:I67"/>
    <mergeCell ref="G87:I87"/>
    <mergeCell ref="A16:A17"/>
    <mergeCell ref="A45:D46"/>
    <mergeCell ref="C16:C17"/>
    <mergeCell ref="N75:O75"/>
    <mergeCell ref="N77:O77"/>
    <mergeCell ref="AE2:AL2"/>
    <mergeCell ref="P9:AL9"/>
    <mergeCell ref="P68:S70"/>
    <mergeCell ref="D16:D17"/>
    <mergeCell ref="N85:Q85"/>
    <mergeCell ref="A95:H95"/>
    <mergeCell ref="A84:AL84"/>
    <mergeCell ref="Q91:S91"/>
    <mergeCell ref="E91:F91"/>
    <mergeCell ref="A8:N8"/>
    <mergeCell ref="A42:AL42"/>
    <mergeCell ref="G91:H91"/>
    <mergeCell ref="J86:M86"/>
    <mergeCell ref="H3:AD3"/>
    <mergeCell ref="K67:N67"/>
    <mergeCell ref="S95:Z95"/>
    <mergeCell ref="N79:O79"/>
    <mergeCell ref="K92:L92"/>
    <mergeCell ref="C92:D92"/>
    <mergeCell ref="M92:N92"/>
    <mergeCell ref="F71:I71"/>
    <mergeCell ref="A88:AL88"/>
    <mergeCell ref="K68:N70"/>
    <mergeCell ref="T91:W91"/>
    <mergeCell ref="A41:AL41"/>
    <mergeCell ref="A90:AL90"/>
    <mergeCell ref="J95:Q95"/>
    <mergeCell ref="D85:F85"/>
    <mergeCell ref="N74:S74"/>
    <mergeCell ref="H2:AD2"/>
    <mergeCell ref="F68:I70"/>
    <mergeCell ref="A91:B91"/>
    <mergeCell ref="N78:O78"/>
    <mergeCell ref="C91:D91"/>
    <mergeCell ref="M91:N91"/>
    <mergeCell ref="O91:P91"/>
    <mergeCell ref="R86:U86"/>
    <mergeCell ref="N80:O80"/>
    <mergeCell ref="B16:B17"/>
    <mergeCell ref="A71:D71"/>
    <mergeCell ref="J85:M85"/>
    <mergeCell ref="D86:F86"/>
    <mergeCell ref="A92:B92"/>
    <mergeCell ref="N87:Q87"/>
    <mergeCell ref="A1:B1"/>
    <mergeCell ref="E92:F92"/>
    <mergeCell ref="AL16:AL17"/>
    <mergeCell ref="A68:D70"/>
    <mergeCell ref="P71:S71"/>
    <mergeCell ref="A86:C86"/>
    <mergeCell ref="D87:F87"/>
    <mergeCell ref="O92:P92"/>
    <mergeCell ref="A6:N6"/>
    <mergeCell ref="A39:D39"/>
    <mergeCell ref="P8:AL8"/>
    <mergeCell ref="P7:AL7"/>
    <mergeCell ref="G86:I86"/>
    <mergeCell ref="A96:H103"/>
    <mergeCell ref="P67:S67"/>
    <mergeCell ref="T92:W92"/>
    <mergeCell ref="R85:U85"/>
    <mergeCell ref="K71:N71"/>
    <mergeCell ref="S96:Z103"/>
    <mergeCell ref="A93:AL93"/>
    <mergeCell ref="A38:D38"/>
    <mergeCell ref="A67:D67"/>
    <mergeCell ref="I91:J91"/>
    <mergeCell ref="A85:C85"/>
    <mergeCell ref="K91:L91"/>
    <mergeCell ref="N86:Q86"/>
    <mergeCell ref="A7:N7"/>
    <mergeCell ref="P6:AL6"/>
    <mergeCell ref="A74:E74"/>
    <mergeCell ref="G85:I85"/>
    <mergeCell ref="G92:H92"/>
    <mergeCell ref="I92:J92"/>
    <mergeCell ref="R87:U87"/>
    <mergeCell ref="AK16:AK17"/>
    <mergeCell ref="J87:M87"/>
    <mergeCell ref="AJ16:AJ17"/>
    <mergeCell ref="J96:Q103"/>
    <mergeCell ref="A12:AL14"/>
    <mergeCell ref="Q92:S92"/>
    <mergeCell ref="A87:C87"/>
    <mergeCell ref="A47:D47"/>
  </mergeCells>
  <conditionalFormatting sqref="AJ18:AJ37">
    <cfRule type="dataBar" priority="1">
      <dataBar>
        <cfvo type="num" val="0"/>
        <cfvo type="num" val="1"/>
        <color rgb="0010B981"/>
      </dataBar>
    </cfRule>
  </conditionalFormatting>
  <conditionalFormatting sqref="E18:AI37">
    <cfRule type="cellIs" priority="2" operator="equal" dxfId="0">
      <formula>"✓"</formula>
    </cfRule>
    <cfRule type="cellIs" priority="3" operator="equal" dxfId="0">
      <formula>"✔"</formula>
    </cfRule>
    <cfRule type="cellIs" priority="4" operator="equal" dxfId="1">
      <formula>"✗"</formula>
    </cfRule>
    <cfRule type="cellIs" priority="5" operator="equal" dxfId="1">
      <formula>"x"</formula>
    </cfRule>
    <cfRule type="cellIs" priority="6" operator="equal" dxfId="1">
      <formula>"X"</formula>
    </cfRule>
  </conditionalFormatting>
  <conditionalFormatting sqref="E16:E17">
    <cfRule type="expression" priority="7" dxfId="2">
      <formula>AND(DAY(TODAY())=1, MONTH(TODAY())=1, YEAR(TODAY())=2027)</formula>
    </cfRule>
  </conditionalFormatting>
  <conditionalFormatting sqref="F16:F17">
    <cfRule type="expression" priority="8" dxfId="2">
      <formula>AND(DAY(TODAY())=2, MONTH(TODAY())=1, YEAR(TODAY())=2027)</formula>
    </cfRule>
  </conditionalFormatting>
  <conditionalFormatting sqref="G16:G17">
    <cfRule type="expression" priority="9" dxfId="2">
      <formula>AND(DAY(TODAY())=3, MONTH(TODAY())=1, YEAR(TODAY())=2027)</formula>
    </cfRule>
  </conditionalFormatting>
  <conditionalFormatting sqref="H16:H17">
    <cfRule type="expression" priority="10" dxfId="2">
      <formula>AND(DAY(TODAY())=4, MONTH(TODAY())=1, YEAR(TODAY())=2027)</formula>
    </cfRule>
  </conditionalFormatting>
  <conditionalFormatting sqref="I16:I17">
    <cfRule type="expression" priority="11" dxfId="2">
      <formula>AND(DAY(TODAY())=5, MONTH(TODAY())=1, YEAR(TODAY())=2027)</formula>
    </cfRule>
  </conditionalFormatting>
  <conditionalFormatting sqref="J16:J17">
    <cfRule type="expression" priority="12" dxfId="2">
      <formula>AND(DAY(TODAY())=6, MONTH(TODAY())=1, YEAR(TODAY())=2027)</formula>
    </cfRule>
  </conditionalFormatting>
  <conditionalFormatting sqref="K16:K17">
    <cfRule type="expression" priority="13" dxfId="2">
      <formula>AND(DAY(TODAY())=7, MONTH(TODAY())=1, YEAR(TODAY())=2027)</formula>
    </cfRule>
  </conditionalFormatting>
  <conditionalFormatting sqref="L16:L17">
    <cfRule type="expression" priority="14" dxfId="2">
      <formula>AND(DAY(TODAY())=8, MONTH(TODAY())=1, YEAR(TODAY())=2027)</formula>
    </cfRule>
  </conditionalFormatting>
  <conditionalFormatting sqref="M16:M17">
    <cfRule type="expression" priority="15" dxfId="2">
      <formula>AND(DAY(TODAY())=9, MONTH(TODAY())=1, YEAR(TODAY())=2027)</formula>
    </cfRule>
  </conditionalFormatting>
  <conditionalFormatting sqref="N16:N17">
    <cfRule type="expression" priority="16" dxfId="2">
      <formula>AND(DAY(TODAY())=10, MONTH(TODAY())=1, YEAR(TODAY())=2027)</formula>
    </cfRule>
  </conditionalFormatting>
  <conditionalFormatting sqref="O16:O17">
    <cfRule type="expression" priority="17" dxfId="2">
      <formula>AND(DAY(TODAY())=11, MONTH(TODAY())=1, YEAR(TODAY())=2027)</formula>
    </cfRule>
  </conditionalFormatting>
  <conditionalFormatting sqref="P16:P17">
    <cfRule type="expression" priority="18" dxfId="2">
      <formula>AND(DAY(TODAY())=12, MONTH(TODAY())=1, YEAR(TODAY())=2027)</formula>
    </cfRule>
  </conditionalFormatting>
  <conditionalFormatting sqref="Q16:Q17">
    <cfRule type="expression" priority="19" dxfId="2">
      <formula>AND(DAY(TODAY())=13, MONTH(TODAY())=1, YEAR(TODAY())=2027)</formula>
    </cfRule>
  </conditionalFormatting>
  <conditionalFormatting sqref="R16:R17">
    <cfRule type="expression" priority="20" dxfId="2">
      <formula>AND(DAY(TODAY())=14, MONTH(TODAY())=1, YEAR(TODAY())=2027)</formula>
    </cfRule>
  </conditionalFormatting>
  <conditionalFormatting sqref="S16:S17">
    <cfRule type="expression" priority="21" dxfId="2">
      <formula>AND(DAY(TODAY())=15, MONTH(TODAY())=1, YEAR(TODAY())=2027)</formula>
    </cfRule>
  </conditionalFormatting>
  <conditionalFormatting sqref="T16:T17">
    <cfRule type="expression" priority="22" dxfId="2">
      <formula>AND(DAY(TODAY())=16, MONTH(TODAY())=1, YEAR(TODAY())=2027)</formula>
    </cfRule>
  </conditionalFormatting>
  <conditionalFormatting sqref="U16:U17">
    <cfRule type="expression" priority="23" dxfId="2">
      <formula>AND(DAY(TODAY())=17, MONTH(TODAY())=1, YEAR(TODAY())=2027)</formula>
    </cfRule>
  </conditionalFormatting>
  <conditionalFormatting sqref="V16:V17">
    <cfRule type="expression" priority="24" dxfId="2">
      <formula>AND(DAY(TODAY())=18, MONTH(TODAY())=1, YEAR(TODAY())=2027)</formula>
    </cfRule>
  </conditionalFormatting>
  <conditionalFormatting sqref="W16:W17">
    <cfRule type="expression" priority="25" dxfId="2">
      <formula>AND(DAY(TODAY())=19, MONTH(TODAY())=1, YEAR(TODAY())=2027)</formula>
    </cfRule>
  </conditionalFormatting>
  <conditionalFormatting sqref="X16:X17">
    <cfRule type="expression" priority="26" dxfId="2">
      <formula>AND(DAY(TODAY())=20, MONTH(TODAY())=1, YEAR(TODAY())=2027)</formula>
    </cfRule>
  </conditionalFormatting>
  <conditionalFormatting sqref="Y16:Y17">
    <cfRule type="expression" priority="27" dxfId="2">
      <formula>AND(DAY(TODAY())=21, MONTH(TODAY())=1, YEAR(TODAY())=2027)</formula>
    </cfRule>
  </conditionalFormatting>
  <conditionalFormatting sqref="Z16:Z17">
    <cfRule type="expression" priority="28" dxfId="2">
      <formula>AND(DAY(TODAY())=22, MONTH(TODAY())=1, YEAR(TODAY())=2027)</formula>
    </cfRule>
  </conditionalFormatting>
  <conditionalFormatting sqref="AA16:AA17">
    <cfRule type="expression" priority="29" dxfId="2">
      <formula>AND(DAY(TODAY())=23, MONTH(TODAY())=1, YEAR(TODAY())=2027)</formula>
    </cfRule>
  </conditionalFormatting>
  <conditionalFormatting sqref="AB16:AB17">
    <cfRule type="expression" priority="30" dxfId="2">
      <formula>AND(DAY(TODAY())=24, MONTH(TODAY())=1, YEAR(TODAY())=2027)</formula>
    </cfRule>
  </conditionalFormatting>
  <conditionalFormatting sqref="AC16:AC17">
    <cfRule type="expression" priority="31" dxfId="2">
      <formula>AND(DAY(TODAY())=25, MONTH(TODAY())=1, YEAR(TODAY())=2027)</formula>
    </cfRule>
  </conditionalFormatting>
  <conditionalFormatting sqref="AD16:AD17">
    <cfRule type="expression" priority="32" dxfId="2">
      <formula>AND(DAY(TODAY())=26, MONTH(TODAY())=1, YEAR(TODAY())=2027)</formula>
    </cfRule>
  </conditionalFormatting>
  <conditionalFormatting sqref="AE16:AE17">
    <cfRule type="expression" priority="33" dxfId="2">
      <formula>AND(DAY(TODAY())=27, MONTH(TODAY())=1, YEAR(TODAY())=2027)</formula>
    </cfRule>
  </conditionalFormatting>
  <conditionalFormatting sqref="AF16:AF17">
    <cfRule type="expression" priority="34" dxfId="2">
      <formula>AND(DAY(TODAY())=28, MONTH(TODAY())=1, YEAR(TODAY())=2027)</formula>
    </cfRule>
  </conditionalFormatting>
  <conditionalFormatting sqref="AG16:AG17">
    <cfRule type="expression" priority="35" dxfId="2">
      <formula>AND(DAY(TODAY())=29, MONTH(TODAY())=1, YEAR(TODAY())=2027)</formula>
    </cfRule>
  </conditionalFormatting>
  <conditionalFormatting sqref="AH16:AH17">
    <cfRule type="expression" priority="36" dxfId="2">
      <formula>AND(DAY(TODAY())=30, MONTH(TODAY())=1, YEAR(TODAY())=2027)</formula>
    </cfRule>
  </conditionalFormatting>
  <conditionalFormatting sqref="AI16:AI17">
    <cfRule type="expression" priority="37" dxfId="2">
      <formula>AND(DAY(TODAY())=31, MONTH(TODAY())=1, YEAR(TODAY())=2027)</formula>
    </cfRule>
  </conditionalFormatting>
  <dataValidations count="4">
    <dataValidation sqref="C18:C37" showDropDown="0" showInputMessage="0" showErrorMessage="0" allowBlank="1" type="list">
      <formula1>"Health &amp; Fitness,Mindset &amp; Learning,Career &amp; Focus,Personal &amp; Home,Finance &amp; Wealth,Other"</formula1>
    </dataValidation>
    <dataValidation sqref="D18:D37" showDropDown="0" showInputMessage="0" showErrorMessage="0" allowBlank="1" type="list">
      <formula1>"1,2,3,4,5,6,7,8,9,10,11,12,13,14,15,16,17,18,19,20,21,22,23,24,25,26,27,28,29,30,31"</formula1>
    </dataValidation>
    <dataValidation sqref="E18:AI37" showDropDown="0" showInputMessage="0" showErrorMessage="0" allowBlank="1" type="list">
      <formula1>"✓,✗"</formula1>
    </dataValidation>
    <dataValidation sqref="E47:AI47" showDropDown="0" showInputMessage="0" showErrorMessage="0" allowBlank="1" type="list">
      <formula1>"1,2,3,4,5,6,7,8,9,10,11,12,13,14,15,16,17,18,19,20,21,22,23,24"</formula1>
    </dataValidation>
  </dataValidations>
  <hyperlinks>
    <hyperlink xmlns:r="http://schemas.openxmlformats.org/officeDocument/2006/relationships" ref="A1" r:id="rId1"/>
    <hyperlink xmlns:r="http://schemas.openxmlformats.org/officeDocument/2006/relationships" ref="C1" r:id="rId2"/>
    <hyperlink xmlns:r="http://schemas.openxmlformats.org/officeDocument/2006/relationships" ref="D1" r:id="rId3"/>
    <hyperlink xmlns:r="http://schemas.openxmlformats.org/officeDocument/2006/relationships" ref="E1" r:id="rId4"/>
    <hyperlink xmlns:r="http://schemas.openxmlformats.org/officeDocument/2006/relationships" ref="F1" r:id="rId5"/>
    <hyperlink xmlns:r="http://schemas.openxmlformats.org/officeDocument/2006/relationships" ref="G1" r:id="rId6"/>
    <hyperlink xmlns:r="http://schemas.openxmlformats.org/officeDocument/2006/relationships" ref="H1" r:id="rId7"/>
    <hyperlink xmlns:r="http://schemas.openxmlformats.org/officeDocument/2006/relationships" ref="I1" r:id="rId8"/>
    <hyperlink xmlns:r="http://schemas.openxmlformats.org/officeDocument/2006/relationships" ref="J1" r:id="rId9"/>
    <hyperlink xmlns:r="http://schemas.openxmlformats.org/officeDocument/2006/relationships" ref="K1" r:id="rId10"/>
  </hyperlinks>
  <printOptions horizontalCentered="1" verticalCentered="0"/>
  <pageMargins left="0.75" right="0.75" top="1" bottom="1" header="0.5" footer="0.5"/>
  <pageSetup orientation="landscape" paperSize="9" fitToHeight="0" fitToWidth="1"/>
  <drawing xmlns:r="http://schemas.openxmlformats.org/officeDocument/2006/relationships" r:id="rId11"/>
</worksheet>
</file>

<file path=xl/worksheets/sheet9.xml><?xml version="1.0" encoding="utf-8"?>
<worksheet xmlns="http://schemas.openxmlformats.org/spreadsheetml/2006/main">
  <sheetPr>
    <outlinePr summaryBelow="1" summaryRight="1"/>
    <pageSetUpPr fitToPage="1"/>
  </sheetPr>
  <dimension ref="A1:AJ103"/>
  <sheetViews>
    <sheetView showGridLines="1" workbookViewId="0">
      <selection activeCell="A1" sqref="A1"/>
    </sheetView>
  </sheetViews>
  <sheetFormatPr baseColWidth="8" defaultRowHeight="15"/>
  <cols>
    <col width="6" customWidth="1" min="1" max="1"/>
    <col width="25" customWidth="1" min="2" max="2"/>
    <col width="16.5" customWidth="1" min="3" max="3"/>
    <col width="8" customWidth="1" min="4" max="4"/>
    <col width="4.8" customWidth="1" min="5" max="5"/>
    <col width="4.8" customWidth="1" min="6" max="6"/>
    <col width="4.8" customWidth="1" min="7" max="7"/>
    <col width="4.8" customWidth="1" min="8" max="8"/>
    <col width="4.8" customWidth="1" min="9" max="9"/>
    <col width="4.8" customWidth="1" min="10" max="10"/>
    <col width="4.8" customWidth="1" min="11" max="11"/>
    <col width="4.8" customWidth="1" min="12" max="12"/>
    <col width="4.8" customWidth="1" min="13" max="13"/>
    <col width="4.8" customWidth="1" min="14" max="14"/>
    <col width="4.8" customWidth="1" min="15" max="15"/>
    <col width="4.8" customWidth="1" min="16" max="16"/>
    <col width="4.8" customWidth="1" min="17" max="17"/>
    <col width="4.8" customWidth="1" min="18" max="18"/>
    <col width="4.8" customWidth="1" min="19" max="19"/>
    <col width="4.8" customWidth="1" min="20" max="20"/>
    <col width="4.8" customWidth="1" min="21" max="21"/>
    <col width="4.8" customWidth="1" min="22" max="22"/>
    <col width="4.8" customWidth="1" min="23" max="23"/>
    <col width="4.8" customWidth="1" min="24" max="24"/>
    <col width="4.8" customWidth="1" min="25" max="25"/>
    <col width="4.8" customWidth="1" min="26" max="26"/>
    <col width="4.8" customWidth="1" min="27" max="27"/>
    <col width="4.8" customWidth="1" min="28" max="28"/>
    <col width="4.8" customWidth="1" min="29" max="29"/>
    <col width="4.8" customWidth="1" min="30" max="30"/>
    <col width="4.8" customWidth="1" min="31" max="31"/>
    <col width="4.8" customWidth="1" min="32" max="32"/>
    <col width="11.5" customWidth="1" min="33" max="33"/>
    <col width="12" customWidth="1" min="34" max="34"/>
    <col width="13.5" customWidth="1" min="35" max="35"/>
    <col hidden="1" width="8" customWidth="1" min="36" max="36"/>
  </cols>
  <sheetData>
    <row r="1" ht="18" customHeight="1">
      <c r="A1" s="76" t="inlineStr">
        <is>
          <t>🏠 Master Dashboard</t>
        </is>
      </c>
      <c r="B1" s="40" t="n"/>
      <c r="C1" s="77" t="inlineStr">
        <is>
          <t>🏛️ Quarterly Hub</t>
        </is>
      </c>
      <c r="D1" s="78" t="inlineStr">
        <is>
          <t>📚 Habit Library</t>
        </is>
      </c>
      <c r="E1" s="80" t="inlineStr">
        <is>
          <t>2026</t>
        </is>
      </c>
      <c r="F1" s="79" t="inlineStr">
        <is>
          <t>2027</t>
        </is>
      </c>
      <c r="G1" s="80" t="inlineStr">
        <is>
          <t>2028</t>
        </is>
      </c>
      <c r="H1" s="80" t="inlineStr">
        <is>
          <t>2029</t>
        </is>
      </c>
      <c r="I1" s="80" t="inlineStr">
        <is>
          <t>2030</t>
        </is>
      </c>
      <c r="J1" s="82" t="inlineStr">
        <is>
          <t>◀ Prev</t>
        </is>
      </c>
      <c r="K1" s="82" t="inlineStr">
        <is>
          <t>Next ▶</t>
        </is>
      </c>
    </row>
    <row r="2" ht="24" customHeight="1">
      <c r="A2" s="83" t="inlineStr">
        <is>
          <t>Habit Tracker</t>
        </is>
      </c>
      <c r="H2" s="84" t="inlineStr">
        <is>
          <t>"We are what we repeatedly do."</t>
        </is>
      </c>
      <c r="AB2" s="85" t="inlineStr">
        <is>
          <t>@surajvansh</t>
        </is>
      </c>
    </row>
    <row r="3" ht="18" customHeight="1">
      <c r="A3" s="86" t="inlineStr">
        <is>
          <t>February 2027</t>
        </is>
      </c>
      <c r="H3" s="87" t="inlineStr">
        <is>
          <t>28 Days Dashboard</t>
        </is>
      </c>
    </row>
    <row r="4" ht="5" customHeight="1"/>
    <row r="5" ht="16" customHeight="1">
      <c r="A5" s="88" t="inlineStr">
        <is>
          <t>MONTHLY TARGETS</t>
        </is>
      </c>
    </row>
    <row r="6" ht="13" customHeight="1">
      <c r="A6" s="89" t="inlineStr">
        <is>
          <t>1. ____________________ : ____________________</t>
        </is>
      </c>
      <c r="P6" s="89" t="inlineStr">
        <is>
          <t>5. ____________________ : ____________________</t>
        </is>
      </c>
    </row>
    <row r="7" ht="13" customHeight="1">
      <c r="A7" s="89" t="inlineStr">
        <is>
          <t>2. ____________________ : ____________________</t>
        </is>
      </c>
      <c r="P7" s="89" t="inlineStr">
        <is>
          <t>6. ____________________ : ____________________</t>
        </is>
      </c>
    </row>
    <row r="8" ht="13" customHeight="1">
      <c r="A8" s="89" t="inlineStr">
        <is>
          <t>3. ____________________ : ____________________</t>
        </is>
      </c>
      <c r="P8" s="89" t="inlineStr">
        <is>
          <t>7. ____________________ : ____________________</t>
        </is>
      </c>
    </row>
    <row r="9" ht="13" customHeight="1">
      <c r="A9" s="89" t="inlineStr">
        <is>
          <t>4. ____________________ : ____________________</t>
        </is>
      </c>
      <c r="P9" s="89" t="inlineStr">
        <is>
          <t>8. ____________________ : ____________________</t>
        </is>
      </c>
    </row>
    <row r="10" ht="5" customHeight="1"/>
    <row r="11" ht="15" customHeight="1">
      <c r="A11" s="88" t="inlineStr">
        <is>
          <t>NOTES:</t>
        </is>
      </c>
    </row>
    <row r="12" ht="13" customHeight="1">
      <c r="A12" s="90" t="n"/>
      <c r="B12" s="91" t="n"/>
      <c r="C12" s="91" t="n"/>
      <c r="D12" s="91" t="n"/>
      <c r="E12" s="91" t="n"/>
      <c r="F12" s="91" t="n"/>
      <c r="G12" s="91" t="n"/>
      <c r="H12" s="91" t="n"/>
      <c r="I12" s="91" t="n"/>
      <c r="J12" s="91" t="n"/>
      <c r="K12" s="91" t="n"/>
      <c r="L12" s="91" t="n"/>
      <c r="M12" s="91" t="n"/>
      <c r="N12" s="91" t="n"/>
      <c r="O12" s="91" t="n"/>
      <c r="P12" s="91" t="n"/>
      <c r="Q12" s="91" t="n"/>
      <c r="R12" s="91" t="n"/>
      <c r="S12" s="91" t="n"/>
      <c r="T12" s="91" t="n"/>
      <c r="U12" s="91" t="n"/>
      <c r="V12" s="91" t="n"/>
      <c r="W12" s="91" t="n"/>
      <c r="X12" s="91" t="n"/>
      <c r="Y12" s="91" t="n"/>
      <c r="Z12" s="91" t="n"/>
      <c r="AA12" s="91" t="n"/>
      <c r="AB12" s="91" t="n"/>
      <c r="AC12" s="91" t="n"/>
      <c r="AD12" s="91" t="n"/>
      <c r="AE12" s="91" t="n"/>
      <c r="AF12" s="91" t="n"/>
      <c r="AG12" s="91" t="n"/>
      <c r="AH12" s="91" t="n"/>
      <c r="AI12" s="91" t="n"/>
    </row>
    <row r="13" ht="13" customHeight="1">
      <c r="A13" s="91" t="n"/>
      <c r="B13" s="91" t="n"/>
      <c r="C13" s="91" t="n"/>
      <c r="D13" s="91" t="n"/>
      <c r="E13" s="91" t="n"/>
      <c r="F13" s="91" t="n"/>
      <c r="G13" s="91" t="n"/>
      <c r="H13" s="91" t="n"/>
      <c r="I13" s="91" t="n"/>
      <c r="J13" s="91" t="n"/>
      <c r="K13" s="91" t="n"/>
      <c r="L13" s="91" t="n"/>
      <c r="M13" s="91" t="n"/>
      <c r="N13" s="91" t="n"/>
      <c r="O13" s="91" t="n"/>
      <c r="P13" s="91" t="n"/>
      <c r="Q13" s="91" t="n"/>
      <c r="R13" s="91" t="n"/>
      <c r="S13" s="91" t="n"/>
      <c r="T13" s="91" t="n"/>
      <c r="U13" s="91" t="n"/>
      <c r="V13" s="91" t="n"/>
      <c r="W13" s="91" t="n"/>
      <c r="X13" s="91" t="n"/>
      <c r="Y13" s="91" t="n"/>
      <c r="Z13" s="91" t="n"/>
      <c r="AA13" s="91" t="n"/>
      <c r="AB13" s="91" t="n"/>
      <c r="AC13" s="91" t="n"/>
      <c r="AD13" s="91" t="n"/>
      <c r="AE13" s="91" t="n"/>
      <c r="AF13" s="91" t="n"/>
      <c r="AG13" s="91" t="n"/>
      <c r="AH13" s="91" t="n"/>
      <c r="AI13" s="91" t="n"/>
    </row>
    <row r="14" ht="13" customHeight="1">
      <c r="A14" s="91" t="n"/>
      <c r="B14" s="91" t="n"/>
      <c r="C14" s="91" t="n"/>
      <c r="D14" s="91" t="n"/>
      <c r="E14" s="91" t="n"/>
      <c r="F14" s="91" t="n"/>
      <c r="G14" s="91" t="n"/>
      <c r="H14" s="91" t="n"/>
      <c r="I14" s="91" t="n"/>
      <c r="J14" s="91" t="n"/>
      <c r="K14" s="91" t="n"/>
      <c r="L14" s="91" t="n"/>
      <c r="M14" s="91" t="n"/>
      <c r="N14" s="91" t="n"/>
      <c r="O14" s="91" t="n"/>
      <c r="P14" s="91" t="n"/>
      <c r="Q14" s="91" t="n"/>
      <c r="R14" s="91" t="n"/>
      <c r="S14" s="91" t="n"/>
      <c r="T14" s="91" t="n"/>
      <c r="U14" s="91" t="n"/>
      <c r="V14" s="91" t="n"/>
      <c r="W14" s="91" t="n"/>
      <c r="X14" s="91" t="n"/>
      <c r="Y14" s="91" t="n"/>
      <c r="Z14" s="91" t="n"/>
      <c r="AA14" s="91" t="n"/>
      <c r="AB14" s="91" t="n"/>
      <c r="AC14" s="91" t="n"/>
      <c r="AD14" s="91" t="n"/>
      <c r="AE14" s="91" t="n"/>
      <c r="AF14" s="91" t="n"/>
      <c r="AG14" s="91" t="n"/>
      <c r="AH14" s="91" t="n"/>
      <c r="AI14" s="91" t="n"/>
    </row>
    <row r="15" ht="8" customHeight="1"/>
    <row r="16" ht="15" customHeight="1">
      <c r="A16" s="33" t="inlineStr">
        <is>
          <t>S.No.</t>
        </is>
      </c>
      <c r="B16" s="33" t="inlineStr">
        <is>
          <t>Protocols</t>
        </is>
      </c>
      <c r="C16" s="33" t="inlineStr">
        <is>
          <t>Category</t>
        </is>
      </c>
      <c r="D16" s="33" t="inlineStr">
        <is>
          <t>Target</t>
        </is>
      </c>
      <c r="E16" s="92" t="n">
        <v>1</v>
      </c>
      <c r="F16" s="92" t="n">
        <v>2</v>
      </c>
      <c r="G16" s="92" t="n">
        <v>3</v>
      </c>
      <c r="H16" s="92" t="n">
        <v>4</v>
      </c>
      <c r="I16" s="92" t="n">
        <v>5</v>
      </c>
      <c r="J16" s="92" t="n">
        <v>6</v>
      </c>
      <c r="K16" s="93" t="n">
        <v>7</v>
      </c>
      <c r="L16" s="92" t="n">
        <v>8</v>
      </c>
      <c r="M16" s="92" t="n">
        <v>9</v>
      </c>
      <c r="N16" s="92" t="n">
        <v>10</v>
      </c>
      <c r="O16" s="92" t="n">
        <v>11</v>
      </c>
      <c r="P16" s="92" t="n">
        <v>12</v>
      </c>
      <c r="Q16" s="92" t="n">
        <v>13</v>
      </c>
      <c r="R16" s="93" t="n">
        <v>14</v>
      </c>
      <c r="S16" s="92" t="n">
        <v>15</v>
      </c>
      <c r="T16" s="92" t="n">
        <v>16</v>
      </c>
      <c r="U16" s="92" t="n">
        <v>17</v>
      </c>
      <c r="V16" s="92" t="n">
        <v>18</v>
      </c>
      <c r="W16" s="92" t="n">
        <v>19</v>
      </c>
      <c r="X16" s="92" t="n">
        <v>20</v>
      </c>
      <c r="Y16" s="93" t="n">
        <v>21</v>
      </c>
      <c r="Z16" s="92" t="n">
        <v>22</v>
      </c>
      <c r="AA16" s="92" t="n">
        <v>23</v>
      </c>
      <c r="AB16" s="92" t="n">
        <v>24</v>
      </c>
      <c r="AC16" s="92" t="n">
        <v>25</v>
      </c>
      <c r="AD16" s="92" t="n">
        <v>26</v>
      </c>
      <c r="AE16" s="92" t="n">
        <v>27</v>
      </c>
      <c r="AF16" s="93" t="n">
        <v>28</v>
      </c>
      <c r="AG16" s="94" t="inlineStr">
        <is>
          <t>Success %</t>
        </is>
      </c>
      <c r="AH16" s="94" t="inlineStr">
        <is>
          <t>Done / Target</t>
        </is>
      </c>
      <c r="AI16" s="94" t="inlineStr">
        <is>
          <t>Status</t>
        </is>
      </c>
      <c r="AJ16" t="inlineStr">
        <is>
          <t>Done Count</t>
        </is>
      </c>
    </row>
    <row r="17" ht="15" customHeight="1">
      <c r="A17" s="54" t="n"/>
      <c r="B17" s="54" t="n"/>
      <c r="C17" s="54" t="n"/>
      <c r="D17" s="54" t="n"/>
      <c r="E17" s="95" t="inlineStr">
        <is>
          <t>M</t>
        </is>
      </c>
      <c r="F17" s="95" t="inlineStr">
        <is>
          <t>T</t>
        </is>
      </c>
      <c r="G17" s="95" t="inlineStr">
        <is>
          <t>W</t>
        </is>
      </c>
      <c r="H17" s="95" t="inlineStr">
        <is>
          <t>Th</t>
        </is>
      </c>
      <c r="I17" s="95" t="inlineStr">
        <is>
          <t>F</t>
        </is>
      </c>
      <c r="J17" s="95" t="inlineStr">
        <is>
          <t>Sa</t>
        </is>
      </c>
      <c r="K17" s="96" t="inlineStr">
        <is>
          <t>Su</t>
        </is>
      </c>
      <c r="L17" s="95" t="inlineStr">
        <is>
          <t>M</t>
        </is>
      </c>
      <c r="M17" s="95" t="inlineStr">
        <is>
          <t>T</t>
        </is>
      </c>
      <c r="N17" s="95" t="inlineStr">
        <is>
          <t>W</t>
        </is>
      </c>
      <c r="O17" s="95" t="inlineStr">
        <is>
          <t>Th</t>
        </is>
      </c>
      <c r="P17" s="95" t="inlineStr">
        <is>
          <t>F</t>
        </is>
      </c>
      <c r="Q17" s="95" t="inlineStr">
        <is>
          <t>Sa</t>
        </is>
      </c>
      <c r="R17" s="96" t="inlineStr">
        <is>
          <t>Su</t>
        </is>
      </c>
      <c r="S17" s="95" t="inlineStr">
        <is>
          <t>M</t>
        </is>
      </c>
      <c r="T17" s="95" t="inlineStr">
        <is>
          <t>T</t>
        </is>
      </c>
      <c r="U17" s="95" t="inlineStr">
        <is>
          <t>W</t>
        </is>
      </c>
      <c r="V17" s="95" t="inlineStr">
        <is>
          <t>Th</t>
        </is>
      </c>
      <c r="W17" s="95" t="inlineStr">
        <is>
          <t>F</t>
        </is>
      </c>
      <c r="X17" s="95" t="inlineStr">
        <is>
          <t>Sa</t>
        </is>
      </c>
      <c r="Y17" s="96" t="inlineStr">
        <is>
          <t>Su</t>
        </is>
      </c>
      <c r="Z17" s="95" t="inlineStr">
        <is>
          <t>M</t>
        </is>
      </c>
      <c r="AA17" s="95" t="inlineStr">
        <is>
          <t>T</t>
        </is>
      </c>
      <c r="AB17" s="95" t="inlineStr">
        <is>
          <t>W</t>
        </is>
      </c>
      <c r="AC17" s="95" t="inlineStr">
        <is>
          <t>Th</t>
        </is>
      </c>
      <c r="AD17" s="95" t="inlineStr">
        <is>
          <t>F</t>
        </is>
      </c>
      <c r="AE17" s="95" t="inlineStr">
        <is>
          <t>Sa</t>
        </is>
      </c>
      <c r="AF17" s="96" t="inlineStr">
        <is>
          <t>Su</t>
        </is>
      </c>
      <c r="AG17" s="54" t="n"/>
      <c r="AH17" s="54" t="n"/>
      <c r="AI17" s="54" t="n"/>
    </row>
    <row r="18" ht="14.5" customHeight="1">
      <c r="A18" s="97" t="n">
        <v>1</v>
      </c>
      <c r="B18" s="98" t="n"/>
      <c r="C18" s="99" t="n"/>
      <c r="D18" s="99" t="n"/>
      <c r="E18" s="100" t="n"/>
      <c r="F18" s="100" t="n"/>
      <c r="G18" s="100" t="n"/>
      <c r="H18" s="100" t="n"/>
      <c r="I18" s="100" t="n"/>
      <c r="J18" s="100" t="n"/>
      <c r="K18" s="101" t="n"/>
      <c r="L18" s="100" t="n"/>
      <c r="M18" s="100" t="n"/>
      <c r="N18" s="100" t="n"/>
      <c r="O18" s="100" t="n"/>
      <c r="P18" s="100" t="n"/>
      <c r="Q18" s="100" t="n"/>
      <c r="R18" s="101" t="n"/>
      <c r="S18" s="100" t="n"/>
      <c r="T18" s="100" t="n"/>
      <c r="U18" s="100" t="n"/>
      <c r="V18" s="100" t="n"/>
      <c r="W18" s="100" t="n"/>
      <c r="X18" s="100" t="n"/>
      <c r="Y18" s="101" t="n"/>
      <c r="Z18" s="100" t="n"/>
      <c r="AA18" s="100" t="n"/>
      <c r="AB18" s="100" t="n"/>
      <c r="AC18" s="100" t="n"/>
      <c r="AD18" s="100" t="n"/>
      <c r="AE18" s="100" t="n"/>
      <c r="AF18" s="101" t="n"/>
      <c r="AG18" s="102">
        <f>IF(ISBLANK(B18), "", IF(ISNUMBER(D18), IF(D18&gt;0, (COUNTIF(E18:AF18, "✓") + COUNTIF(E18:AF18, "✔") + COUNTIF(E18:AF18, "v") + COUNTIF(E18:AF18, "V"))/D18, 0), IF(((COUNTIF(E18:AF18, "✓") + COUNTIF(E18:AF18, "✔") + COUNTIF(E18:AF18, "v") + COUNTIF(E18:AF18, "V")) + COUNTIF(E18:AF18, "✗") + COUNTIF(E18:AF18, "x") + COUNTIF(E18:AF18, "X"))&gt;0, (COUNTIF(E18:AF18, "✓") + COUNTIF(E18:AF18, "✔") + COUNTIF(E18:AF18, "v") + COUNTIF(E18:AF18, "V"))/((COUNTIF(E18:AF18, "✓") + COUNTIF(E18:AF18, "✔") + COUNTIF(E18:AF18, "v") + COUNTIF(E18:AF18, "V")) + COUNTIF(E18:AF18, "✗") + COUNTIF(E18:AF18, "x") + COUNTIF(E18:AF18, "X")), "")))</f>
        <v/>
      </c>
      <c r="AH18" s="103">
        <f>IF(ISBLANK(B18), "", IF(ISNUMBER(D18), IF(D18&gt;0, (COUNTIF(E18:AF18, "✓") + COUNTIF(E18:AF18, "✔") + COUNTIF(E18:AF18, "v") + COUNTIF(E18:AF18, "V")) &amp; "/" &amp; D18, (COUNTIF(E18:AF18, "✓") + COUNTIF(E18:AF18, "✔") + COUNTIF(E18:AF18, "v") + COUNTIF(E18:AF18, "V")) &amp; "/0"), IF(((COUNTIF(E18:AF18, "✓") + COUNTIF(E18:AF18, "✔") + COUNTIF(E18:AF18, "v") + COUNTIF(E18:AF18, "V")) + COUNTIF(E18:AF18, "✗") + COUNTIF(E18:AF18, "x") + COUNTIF(E18:AF18, "X"))&gt;0, (COUNTIF(E18:AF18, "✓") + COUNTIF(E18:AF18, "✔") + COUNTIF(E18:AF18, "v") + COUNTIF(E18:AF18, "V")) &amp; "/" &amp; ((COUNTIF(E18:AF18, "✓") + COUNTIF(E18:AF18, "✔") + COUNTIF(E18:AF18, "v") + COUNTIF(E18:AF18, "V")) + COUNTIF(E18:AF18, "✗") + COUNTIF(E18:AF18, "x") + COUNTIF(E18:AF18, "X")), "")))</f>
        <v/>
      </c>
      <c r="AI18" s="103">
        <f>IF(ISBLANK(B18), "", IF(AG18&gt;=0.85, "🔥 Mastered", IF(AG18&gt;=0.7, "⚡ Consistent", "⚠️ Needs Focus")))</f>
        <v/>
      </c>
      <c r="AJ18">
        <f>COUNTIF(E18:AF18, "✓")</f>
        <v/>
      </c>
    </row>
    <row r="19" ht="14.5" customHeight="1">
      <c r="A19" s="97" t="n">
        <v>2</v>
      </c>
      <c r="B19" s="98" t="n"/>
      <c r="C19" s="99" t="n"/>
      <c r="D19" s="99" t="n"/>
      <c r="E19" s="100" t="n"/>
      <c r="F19" s="100" t="n"/>
      <c r="G19" s="100" t="n"/>
      <c r="H19" s="100" t="n"/>
      <c r="I19" s="100" t="n"/>
      <c r="J19" s="100" t="n"/>
      <c r="K19" s="101" t="n"/>
      <c r="L19" s="100" t="n"/>
      <c r="M19" s="100" t="n"/>
      <c r="N19" s="100" t="n"/>
      <c r="O19" s="100" t="n"/>
      <c r="P19" s="100" t="n"/>
      <c r="Q19" s="100" t="n"/>
      <c r="R19" s="101" t="n"/>
      <c r="S19" s="100" t="n"/>
      <c r="T19" s="100" t="n"/>
      <c r="U19" s="100" t="n"/>
      <c r="V19" s="100" t="n"/>
      <c r="W19" s="100" t="n"/>
      <c r="X19" s="100" t="n"/>
      <c r="Y19" s="101" t="n"/>
      <c r="Z19" s="100" t="n"/>
      <c r="AA19" s="100" t="n"/>
      <c r="AB19" s="100" t="n"/>
      <c r="AC19" s="100" t="n"/>
      <c r="AD19" s="100" t="n"/>
      <c r="AE19" s="100" t="n"/>
      <c r="AF19" s="101" t="n"/>
      <c r="AG19" s="102">
        <f>IF(ISBLANK(B19), "", IF(ISNUMBER(D19), IF(D19&gt;0, (COUNTIF(E19:AF19, "✓") + COUNTIF(E19:AF19, "✔") + COUNTIF(E19:AF19, "v") + COUNTIF(E19:AF19, "V"))/D19, 0), IF(((COUNTIF(E19:AF19, "✓") + COUNTIF(E19:AF19, "✔") + COUNTIF(E19:AF19, "v") + COUNTIF(E19:AF19, "V")) + COUNTIF(E19:AF19, "✗") + COUNTIF(E19:AF19, "x") + COUNTIF(E19:AF19, "X"))&gt;0, (COUNTIF(E19:AF19, "✓") + COUNTIF(E19:AF19, "✔") + COUNTIF(E19:AF19, "v") + COUNTIF(E19:AF19, "V"))/((COUNTIF(E19:AF19, "✓") + COUNTIF(E19:AF19, "✔") + COUNTIF(E19:AF19, "v") + COUNTIF(E19:AF19, "V")) + COUNTIF(E19:AF19, "✗") + COUNTIF(E19:AF19, "x") + COUNTIF(E19:AF19, "X")), "")))</f>
        <v/>
      </c>
      <c r="AH19" s="103">
        <f>IF(ISBLANK(B19), "", IF(ISNUMBER(D19), IF(D19&gt;0, (COUNTIF(E19:AF19, "✓") + COUNTIF(E19:AF19, "✔") + COUNTIF(E19:AF19, "v") + COUNTIF(E19:AF19, "V")) &amp; "/" &amp; D19, (COUNTIF(E19:AF19, "✓") + COUNTIF(E19:AF19, "✔") + COUNTIF(E19:AF19, "v") + COUNTIF(E19:AF19, "V")) &amp; "/0"), IF(((COUNTIF(E19:AF19, "✓") + COUNTIF(E19:AF19, "✔") + COUNTIF(E19:AF19, "v") + COUNTIF(E19:AF19, "V")) + COUNTIF(E19:AF19, "✗") + COUNTIF(E19:AF19, "x") + COUNTIF(E19:AF19, "X"))&gt;0, (COUNTIF(E19:AF19, "✓") + COUNTIF(E19:AF19, "✔") + COUNTIF(E19:AF19, "v") + COUNTIF(E19:AF19, "V")) &amp; "/" &amp; ((COUNTIF(E19:AF19, "✓") + COUNTIF(E19:AF19, "✔") + COUNTIF(E19:AF19, "v") + COUNTIF(E19:AF19, "V")) + COUNTIF(E19:AF19, "✗") + COUNTIF(E19:AF19, "x") + COUNTIF(E19:AF19, "X")), "")))</f>
        <v/>
      </c>
      <c r="AI19" s="103">
        <f>IF(ISBLANK(B19), "", IF(AG19&gt;=0.85, "🔥 Mastered", IF(AG19&gt;=0.7, "⚡ Consistent", "⚠️ Needs Focus")))</f>
        <v/>
      </c>
      <c r="AJ19">
        <f>COUNTIF(E19:AF19, "✓")</f>
        <v/>
      </c>
    </row>
    <row r="20" ht="14.5" customHeight="1">
      <c r="A20" s="97" t="n">
        <v>3</v>
      </c>
      <c r="B20" s="98" t="n"/>
      <c r="C20" s="99" t="n"/>
      <c r="D20" s="99" t="n"/>
      <c r="E20" s="100" t="n"/>
      <c r="F20" s="100" t="n"/>
      <c r="G20" s="100" t="n"/>
      <c r="H20" s="100" t="n"/>
      <c r="I20" s="100" t="n"/>
      <c r="J20" s="100" t="n"/>
      <c r="K20" s="101" t="n"/>
      <c r="L20" s="100" t="n"/>
      <c r="M20" s="100" t="n"/>
      <c r="N20" s="100" t="n"/>
      <c r="O20" s="100" t="n"/>
      <c r="P20" s="100" t="n"/>
      <c r="Q20" s="100" t="n"/>
      <c r="R20" s="101" t="n"/>
      <c r="S20" s="100" t="n"/>
      <c r="T20" s="100" t="n"/>
      <c r="U20" s="100" t="n"/>
      <c r="V20" s="100" t="n"/>
      <c r="W20" s="100" t="n"/>
      <c r="X20" s="100" t="n"/>
      <c r="Y20" s="101" t="n"/>
      <c r="Z20" s="100" t="n"/>
      <c r="AA20" s="100" t="n"/>
      <c r="AB20" s="100" t="n"/>
      <c r="AC20" s="100" t="n"/>
      <c r="AD20" s="100" t="n"/>
      <c r="AE20" s="100" t="n"/>
      <c r="AF20" s="101" t="n"/>
      <c r="AG20" s="102">
        <f>IF(ISBLANK(B20), "", IF(ISNUMBER(D20), IF(D20&gt;0, (COUNTIF(E20:AF20, "✓") + COUNTIF(E20:AF20, "✔") + COUNTIF(E20:AF20, "v") + COUNTIF(E20:AF20, "V"))/D20, 0), IF(((COUNTIF(E20:AF20, "✓") + COUNTIF(E20:AF20, "✔") + COUNTIF(E20:AF20, "v") + COUNTIF(E20:AF20, "V")) + COUNTIF(E20:AF20, "✗") + COUNTIF(E20:AF20, "x") + COUNTIF(E20:AF20, "X"))&gt;0, (COUNTIF(E20:AF20, "✓") + COUNTIF(E20:AF20, "✔") + COUNTIF(E20:AF20, "v") + COUNTIF(E20:AF20, "V"))/((COUNTIF(E20:AF20, "✓") + COUNTIF(E20:AF20, "✔") + COUNTIF(E20:AF20, "v") + COUNTIF(E20:AF20, "V")) + COUNTIF(E20:AF20, "✗") + COUNTIF(E20:AF20, "x") + COUNTIF(E20:AF20, "X")), "")))</f>
        <v/>
      </c>
      <c r="AH20" s="103">
        <f>IF(ISBLANK(B20), "", IF(ISNUMBER(D20), IF(D20&gt;0, (COUNTIF(E20:AF20, "✓") + COUNTIF(E20:AF20, "✔") + COUNTIF(E20:AF20, "v") + COUNTIF(E20:AF20, "V")) &amp; "/" &amp; D20, (COUNTIF(E20:AF20, "✓") + COUNTIF(E20:AF20, "✔") + COUNTIF(E20:AF20, "v") + COUNTIF(E20:AF20, "V")) &amp; "/0"), IF(((COUNTIF(E20:AF20, "✓") + COUNTIF(E20:AF20, "✔") + COUNTIF(E20:AF20, "v") + COUNTIF(E20:AF20, "V")) + COUNTIF(E20:AF20, "✗") + COUNTIF(E20:AF20, "x") + COUNTIF(E20:AF20, "X"))&gt;0, (COUNTIF(E20:AF20, "✓") + COUNTIF(E20:AF20, "✔") + COUNTIF(E20:AF20, "v") + COUNTIF(E20:AF20, "V")) &amp; "/" &amp; ((COUNTIF(E20:AF20, "✓") + COUNTIF(E20:AF20, "✔") + COUNTIF(E20:AF20, "v") + COUNTIF(E20:AF20, "V")) + COUNTIF(E20:AF20, "✗") + COUNTIF(E20:AF20, "x") + COUNTIF(E20:AF20, "X")), "")))</f>
        <v/>
      </c>
      <c r="AI20" s="103">
        <f>IF(ISBLANK(B20), "", IF(AG20&gt;=0.85, "🔥 Mastered", IF(AG20&gt;=0.7, "⚡ Consistent", "⚠️ Needs Focus")))</f>
        <v/>
      </c>
      <c r="AJ20">
        <f>COUNTIF(E20:AF20, "✓")</f>
        <v/>
      </c>
    </row>
    <row r="21" ht="14.5" customHeight="1">
      <c r="A21" s="97" t="n">
        <v>4</v>
      </c>
      <c r="B21" s="98" t="n"/>
      <c r="C21" s="99" t="n"/>
      <c r="D21" s="99" t="n"/>
      <c r="E21" s="100" t="n"/>
      <c r="F21" s="100" t="n"/>
      <c r="G21" s="100" t="n"/>
      <c r="H21" s="100" t="n"/>
      <c r="I21" s="100" t="n"/>
      <c r="J21" s="100" t="n"/>
      <c r="K21" s="101" t="n"/>
      <c r="L21" s="100" t="n"/>
      <c r="M21" s="100" t="n"/>
      <c r="N21" s="100" t="n"/>
      <c r="O21" s="100" t="n"/>
      <c r="P21" s="100" t="n"/>
      <c r="Q21" s="100" t="n"/>
      <c r="R21" s="101" t="n"/>
      <c r="S21" s="100" t="n"/>
      <c r="T21" s="100" t="n"/>
      <c r="U21" s="100" t="n"/>
      <c r="V21" s="100" t="n"/>
      <c r="W21" s="100" t="n"/>
      <c r="X21" s="100" t="n"/>
      <c r="Y21" s="101" t="n"/>
      <c r="Z21" s="100" t="n"/>
      <c r="AA21" s="100" t="n"/>
      <c r="AB21" s="100" t="n"/>
      <c r="AC21" s="100" t="n"/>
      <c r="AD21" s="100" t="n"/>
      <c r="AE21" s="100" t="n"/>
      <c r="AF21" s="101" t="n"/>
      <c r="AG21" s="102">
        <f>IF(ISBLANK(B21), "", IF(ISNUMBER(D21), IF(D21&gt;0, (COUNTIF(E21:AF21, "✓") + COUNTIF(E21:AF21, "✔") + COUNTIF(E21:AF21, "v") + COUNTIF(E21:AF21, "V"))/D21, 0), IF(((COUNTIF(E21:AF21, "✓") + COUNTIF(E21:AF21, "✔") + COUNTIF(E21:AF21, "v") + COUNTIF(E21:AF21, "V")) + COUNTIF(E21:AF21, "✗") + COUNTIF(E21:AF21, "x") + COUNTIF(E21:AF21, "X"))&gt;0, (COUNTIF(E21:AF21, "✓") + COUNTIF(E21:AF21, "✔") + COUNTIF(E21:AF21, "v") + COUNTIF(E21:AF21, "V"))/((COUNTIF(E21:AF21, "✓") + COUNTIF(E21:AF21, "✔") + COUNTIF(E21:AF21, "v") + COUNTIF(E21:AF21, "V")) + COUNTIF(E21:AF21, "✗") + COUNTIF(E21:AF21, "x") + COUNTIF(E21:AF21, "X")), "")))</f>
        <v/>
      </c>
      <c r="AH21" s="103">
        <f>IF(ISBLANK(B21), "", IF(ISNUMBER(D21), IF(D21&gt;0, (COUNTIF(E21:AF21, "✓") + COUNTIF(E21:AF21, "✔") + COUNTIF(E21:AF21, "v") + COUNTIF(E21:AF21, "V")) &amp; "/" &amp; D21, (COUNTIF(E21:AF21, "✓") + COUNTIF(E21:AF21, "✔") + COUNTIF(E21:AF21, "v") + COUNTIF(E21:AF21, "V")) &amp; "/0"), IF(((COUNTIF(E21:AF21, "✓") + COUNTIF(E21:AF21, "✔") + COUNTIF(E21:AF21, "v") + COUNTIF(E21:AF21, "V")) + COUNTIF(E21:AF21, "✗") + COUNTIF(E21:AF21, "x") + COUNTIF(E21:AF21, "X"))&gt;0, (COUNTIF(E21:AF21, "✓") + COUNTIF(E21:AF21, "✔") + COUNTIF(E21:AF21, "v") + COUNTIF(E21:AF21, "V")) &amp; "/" &amp; ((COUNTIF(E21:AF21, "✓") + COUNTIF(E21:AF21, "✔") + COUNTIF(E21:AF21, "v") + COUNTIF(E21:AF21, "V")) + COUNTIF(E21:AF21, "✗") + COUNTIF(E21:AF21, "x") + COUNTIF(E21:AF21, "X")), "")))</f>
        <v/>
      </c>
      <c r="AI21" s="103">
        <f>IF(ISBLANK(B21), "", IF(AG21&gt;=0.85, "🔥 Mastered", IF(AG21&gt;=0.7, "⚡ Consistent", "⚠️ Needs Focus")))</f>
        <v/>
      </c>
      <c r="AJ21">
        <f>COUNTIF(E21:AF21, "✓")</f>
        <v/>
      </c>
    </row>
    <row r="22" ht="14.5" customHeight="1">
      <c r="A22" s="104" t="n">
        <v>5</v>
      </c>
      <c r="B22" s="105" t="n"/>
      <c r="C22" s="106" t="n"/>
      <c r="D22" s="106" t="n"/>
      <c r="E22" s="107" t="n"/>
      <c r="F22" s="107" t="n"/>
      <c r="G22" s="107" t="n"/>
      <c r="H22" s="107" t="n"/>
      <c r="I22" s="107" t="n"/>
      <c r="J22" s="107" t="n"/>
      <c r="K22" s="108" t="n"/>
      <c r="L22" s="107" t="n"/>
      <c r="M22" s="107" t="n"/>
      <c r="N22" s="107" t="n"/>
      <c r="O22" s="107" t="n"/>
      <c r="P22" s="107" t="n"/>
      <c r="Q22" s="107" t="n"/>
      <c r="R22" s="108" t="n"/>
      <c r="S22" s="107" t="n"/>
      <c r="T22" s="107" t="n"/>
      <c r="U22" s="107" t="n"/>
      <c r="V22" s="107" t="n"/>
      <c r="W22" s="107" t="n"/>
      <c r="X22" s="107" t="n"/>
      <c r="Y22" s="108" t="n"/>
      <c r="Z22" s="107" t="n"/>
      <c r="AA22" s="107" t="n"/>
      <c r="AB22" s="107" t="n"/>
      <c r="AC22" s="107" t="n"/>
      <c r="AD22" s="107" t="n"/>
      <c r="AE22" s="107" t="n"/>
      <c r="AF22" s="108" t="n"/>
      <c r="AG22" s="109">
        <f>IF(ISBLANK(B22), "", IF(ISNUMBER(D22), IF(D22&gt;0, (COUNTIF(E22:AF22, "✓") + COUNTIF(E22:AF22, "✔") + COUNTIF(E22:AF22, "v") + COUNTIF(E22:AF22, "V"))/D22, 0), IF(((COUNTIF(E22:AF22, "✓") + COUNTIF(E22:AF22, "✔") + COUNTIF(E22:AF22, "v") + COUNTIF(E22:AF22, "V")) + COUNTIF(E22:AF22, "✗") + COUNTIF(E22:AF22, "x") + COUNTIF(E22:AF22, "X"))&gt;0, (COUNTIF(E22:AF22, "✓") + COUNTIF(E22:AF22, "✔") + COUNTIF(E22:AF22, "v") + COUNTIF(E22:AF22, "V"))/((COUNTIF(E22:AF22, "✓") + COUNTIF(E22:AF22, "✔") + COUNTIF(E22:AF22, "v") + COUNTIF(E22:AF22, "V")) + COUNTIF(E22:AF22, "✗") + COUNTIF(E22:AF22, "x") + COUNTIF(E22:AF22, "X")), "")))</f>
        <v/>
      </c>
      <c r="AH22" s="110">
        <f>IF(ISBLANK(B22), "", IF(ISNUMBER(D22), IF(D22&gt;0, (COUNTIF(E22:AF22, "✓") + COUNTIF(E22:AF22, "✔") + COUNTIF(E22:AF22, "v") + COUNTIF(E22:AF22, "V")) &amp; "/" &amp; D22, (COUNTIF(E22:AF22, "✓") + COUNTIF(E22:AF22, "✔") + COUNTIF(E22:AF22, "v") + COUNTIF(E22:AF22, "V")) &amp; "/0"), IF(((COUNTIF(E22:AF22, "✓") + COUNTIF(E22:AF22, "✔") + COUNTIF(E22:AF22, "v") + COUNTIF(E22:AF22, "V")) + COUNTIF(E22:AF22, "✗") + COUNTIF(E22:AF22, "x") + COUNTIF(E22:AF22, "X"))&gt;0, (COUNTIF(E22:AF22, "✓") + COUNTIF(E22:AF22, "✔") + COUNTIF(E22:AF22, "v") + COUNTIF(E22:AF22, "V")) &amp; "/" &amp; ((COUNTIF(E22:AF22, "✓") + COUNTIF(E22:AF22, "✔") + COUNTIF(E22:AF22, "v") + COUNTIF(E22:AF22, "V")) + COUNTIF(E22:AF22, "✗") + COUNTIF(E22:AF22, "x") + COUNTIF(E22:AF22, "X")), "")))</f>
        <v/>
      </c>
      <c r="AI22" s="110">
        <f>IF(ISBLANK(B22), "", IF(AG22&gt;=0.85, "🔥 Mastered", IF(AG22&gt;=0.7, "⚡ Consistent", "⚠️ Needs Focus")))</f>
        <v/>
      </c>
      <c r="AJ22">
        <f>COUNTIF(E22:AF22, "✓")</f>
        <v/>
      </c>
    </row>
    <row r="23" ht="14.5" customHeight="1">
      <c r="A23" s="104" t="n">
        <v>6</v>
      </c>
      <c r="B23" s="105" t="n"/>
      <c r="C23" s="106" t="n"/>
      <c r="D23" s="106" t="n"/>
      <c r="E23" s="107" t="n"/>
      <c r="F23" s="107" t="n"/>
      <c r="G23" s="107" t="n"/>
      <c r="H23" s="107" t="n"/>
      <c r="I23" s="107" t="n"/>
      <c r="J23" s="107" t="n"/>
      <c r="K23" s="108" t="n"/>
      <c r="L23" s="107" t="n"/>
      <c r="M23" s="107" t="n"/>
      <c r="N23" s="107" t="n"/>
      <c r="O23" s="107" t="n"/>
      <c r="P23" s="107" t="n"/>
      <c r="Q23" s="107" t="n"/>
      <c r="R23" s="108" t="n"/>
      <c r="S23" s="107" t="n"/>
      <c r="T23" s="107" t="n"/>
      <c r="U23" s="107" t="n"/>
      <c r="V23" s="107" t="n"/>
      <c r="W23" s="107" t="n"/>
      <c r="X23" s="107" t="n"/>
      <c r="Y23" s="108" t="n"/>
      <c r="Z23" s="107" t="n"/>
      <c r="AA23" s="107" t="n"/>
      <c r="AB23" s="107" t="n"/>
      <c r="AC23" s="107" t="n"/>
      <c r="AD23" s="107" t="n"/>
      <c r="AE23" s="107" t="n"/>
      <c r="AF23" s="108" t="n"/>
      <c r="AG23" s="109">
        <f>IF(ISBLANK(B23), "", IF(ISNUMBER(D23), IF(D23&gt;0, (COUNTIF(E23:AF23, "✓") + COUNTIF(E23:AF23, "✔") + COUNTIF(E23:AF23, "v") + COUNTIF(E23:AF23, "V"))/D23, 0), IF(((COUNTIF(E23:AF23, "✓") + COUNTIF(E23:AF23, "✔") + COUNTIF(E23:AF23, "v") + COUNTIF(E23:AF23, "V")) + COUNTIF(E23:AF23, "✗") + COUNTIF(E23:AF23, "x") + COUNTIF(E23:AF23, "X"))&gt;0, (COUNTIF(E23:AF23, "✓") + COUNTIF(E23:AF23, "✔") + COUNTIF(E23:AF23, "v") + COUNTIF(E23:AF23, "V"))/((COUNTIF(E23:AF23, "✓") + COUNTIF(E23:AF23, "✔") + COUNTIF(E23:AF23, "v") + COUNTIF(E23:AF23, "V")) + COUNTIF(E23:AF23, "✗") + COUNTIF(E23:AF23, "x") + COUNTIF(E23:AF23, "X")), "")))</f>
        <v/>
      </c>
      <c r="AH23" s="110">
        <f>IF(ISBLANK(B23), "", IF(ISNUMBER(D23), IF(D23&gt;0, (COUNTIF(E23:AF23, "✓") + COUNTIF(E23:AF23, "✔") + COUNTIF(E23:AF23, "v") + COUNTIF(E23:AF23, "V")) &amp; "/" &amp; D23, (COUNTIF(E23:AF23, "✓") + COUNTIF(E23:AF23, "✔") + COUNTIF(E23:AF23, "v") + COUNTIF(E23:AF23, "V")) &amp; "/0"), IF(((COUNTIF(E23:AF23, "✓") + COUNTIF(E23:AF23, "✔") + COUNTIF(E23:AF23, "v") + COUNTIF(E23:AF23, "V")) + COUNTIF(E23:AF23, "✗") + COUNTIF(E23:AF23, "x") + COUNTIF(E23:AF23, "X"))&gt;0, (COUNTIF(E23:AF23, "✓") + COUNTIF(E23:AF23, "✔") + COUNTIF(E23:AF23, "v") + COUNTIF(E23:AF23, "V")) &amp; "/" &amp; ((COUNTIF(E23:AF23, "✓") + COUNTIF(E23:AF23, "✔") + COUNTIF(E23:AF23, "v") + COUNTIF(E23:AF23, "V")) + COUNTIF(E23:AF23, "✗") + COUNTIF(E23:AF23, "x") + COUNTIF(E23:AF23, "X")), "")))</f>
        <v/>
      </c>
      <c r="AI23" s="110">
        <f>IF(ISBLANK(B23), "", IF(AG23&gt;=0.85, "🔥 Mastered", IF(AG23&gt;=0.7, "⚡ Consistent", "⚠️ Needs Focus")))</f>
        <v/>
      </c>
      <c r="AJ23">
        <f>COUNTIF(E23:AF23, "✓")</f>
        <v/>
      </c>
    </row>
    <row r="24" ht="14.5" customHeight="1">
      <c r="A24" s="104" t="n">
        <v>7</v>
      </c>
      <c r="B24" s="105" t="n"/>
      <c r="C24" s="106" t="n"/>
      <c r="D24" s="106" t="n"/>
      <c r="E24" s="107" t="n"/>
      <c r="F24" s="107" t="n"/>
      <c r="G24" s="107" t="n"/>
      <c r="H24" s="107" t="n"/>
      <c r="I24" s="107" t="n"/>
      <c r="J24" s="107" t="n"/>
      <c r="K24" s="108" t="n"/>
      <c r="L24" s="107" t="n"/>
      <c r="M24" s="107" t="n"/>
      <c r="N24" s="107" t="n"/>
      <c r="O24" s="107" t="n"/>
      <c r="P24" s="107" t="n"/>
      <c r="Q24" s="107" t="n"/>
      <c r="R24" s="108" t="n"/>
      <c r="S24" s="107" t="n"/>
      <c r="T24" s="107" t="n"/>
      <c r="U24" s="107" t="n"/>
      <c r="V24" s="107" t="n"/>
      <c r="W24" s="107" t="n"/>
      <c r="X24" s="107" t="n"/>
      <c r="Y24" s="108" t="n"/>
      <c r="Z24" s="107" t="n"/>
      <c r="AA24" s="107" t="n"/>
      <c r="AB24" s="107" t="n"/>
      <c r="AC24" s="107" t="n"/>
      <c r="AD24" s="107" t="n"/>
      <c r="AE24" s="107" t="n"/>
      <c r="AF24" s="108" t="n"/>
      <c r="AG24" s="109">
        <f>IF(ISBLANK(B24), "", IF(ISNUMBER(D24), IF(D24&gt;0, (COUNTIF(E24:AF24, "✓") + COUNTIF(E24:AF24, "✔") + COUNTIF(E24:AF24, "v") + COUNTIF(E24:AF24, "V"))/D24, 0), IF(((COUNTIF(E24:AF24, "✓") + COUNTIF(E24:AF24, "✔") + COUNTIF(E24:AF24, "v") + COUNTIF(E24:AF24, "V")) + COUNTIF(E24:AF24, "✗") + COUNTIF(E24:AF24, "x") + COUNTIF(E24:AF24, "X"))&gt;0, (COUNTIF(E24:AF24, "✓") + COUNTIF(E24:AF24, "✔") + COUNTIF(E24:AF24, "v") + COUNTIF(E24:AF24, "V"))/((COUNTIF(E24:AF24, "✓") + COUNTIF(E24:AF24, "✔") + COUNTIF(E24:AF24, "v") + COUNTIF(E24:AF24, "V")) + COUNTIF(E24:AF24, "✗") + COUNTIF(E24:AF24, "x") + COUNTIF(E24:AF24, "X")), "")))</f>
        <v/>
      </c>
      <c r="AH24" s="110">
        <f>IF(ISBLANK(B24), "", IF(ISNUMBER(D24), IF(D24&gt;0, (COUNTIF(E24:AF24, "✓") + COUNTIF(E24:AF24, "✔") + COUNTIF(E24:AF24, "v") + COUNTIF(E24:AF24, "V")) &amp; "/" &amp; D24, (COUNTIF(E24:AF24, "✓") + COUNTIF(E24:AF24, "✔") + COUNTIF(E24:AF24, "v") + COUNTIF(E24:AF24, "V")) &amp; "/0"), IF(((COUNTIF(E24:AF24, "✓") + COUNTIF(E24:AF24, "✔") + COUNTIF(E24:AF24, "v") + COUNTIF(E24:AF24, "V")) + COUNTIF(E24:AF24, "✗") + COUNTIF(E24:AF24, "x") + COUNTIF(E24:AF24, "X"))&gt;0, (COUNTIF(E24:AF24, "✓") + COUNTIF(E24:AF24, "✔") + COUNTIF(E24:AF24, "v") + COUNTIF(E24:AF24, "V")) &amp; "/" &amp; ((COUNTIF(E24:AF24, "✓") + COUNTIF(E24:AF24, "✔") + COUNTIF(E24:AF24, "v") + COUNTIF(E24:AF24, "V")) + COUNTIF(E24:AF24, "✗") + COUNTIF(E24:AF24, "x") + COUNTIF(E24:AF24, "X")), "")))</f>
        <v/>
      </c>
      <c r="AI24" s="110">
        <f>IF(ISBLANK(B24), "", IF(AG24&gt;=0.85, "🔥 Mastered", IF(AG24&gt;=0.7, "⚡ Consistent", "⚠️ Needs Focus")))</f>
        <v/>
      </c>
      <c r="AJ24">
        <f>COUNTIF(E24:AF24, "✓")</f>
        <v/>
      </c>
    </row>
    <row r="25" ht="14.5" customHeight="1">
      <c r="A25" s="104" t="n">
        <v>8</v>
      </c>
      <c r="B25" s="105" t="n"/>
      <c r="C25" s="106" t="n"/>
      <c r="D25" s="106" t="n"/>
      <c r="E25" s="107" t="n"/>
      <c r="F25" s="107" t="n"/>
      <c r="G25" s="107" t="n"/>
      <c r="H25" s="107" t="n"/>
      <c r="I25" s="107" t="n"/>
      <c r="J25" s="107" t="n"/>
      <c r="K25" s="108" t="n"/>
      <c r="L25" s="107" t="n"/>
      <c r="M25" s="107" t="n"/>
      <c r="N25" s="107" t="n"/>
      <c r="O25" s="107" t="n"/>
      <c r="P25" s="107" t="n"/>
      <c r="Q25" s="107" t="n"/>
      <c r="R25" s="108" t="n"/>
      <c r="S25" s="107" t="n"/>
      <c r="T25" s="107" t="n"/>
      <c r="U25" s="107" t="n"/>
      <c r="V25" s="107" t="n"/>
      <c r="W25" s="107" t="n"/>
      <c r="X25" s="107" t="n"/>
      <c r="Y25" s="108" t="n"/>
      <c r="Z25" s="107" t="n"/>
      <c r="AA25" s="107" t="n"/>
      <c r="AB25" s="107" t="n"/>
      <c r="AC25" s="107" t="n"/>
      <c r="AD25" s="107" t="n"/>
      <c r="AE25" s="107" t="n"/>
      <c r="AF25" s="108" t="n"/>
      <c r="AG25" s="109">
        <f>IF(ISBLANK(B25), "", IF(ISNUMBER(D25), IF(D25&gt;0, (COUNTIF(E25:AF25, "✓") + COUNTIF(E25:AF25, "✔") + COUNTIF(E25:AF25, "v") + COUNTIF(E25:AF25, "V"))/D25, 0), IF(((COUNTIF(E25:AF25, "✓") + COUNTIF(E25:AF25, "✔") + COUNTIF(E25:AF25, "v") + COUNTIF(E25:AF25, "V")) + COUNTIF(E25:AF25, "✗") + COUNTIF(E25:AF25, "x") + COUNTIF(E25:AF25, "X"))&gt;0, (COUNTIF(E25:AF25, "✓") + COUNTIF(E25:AF25, "✔") + COUNTIF(E25:AF25, "v") + COUNTIF(E25:AF25, "V"))/((COUNTIF(E25:AF25, "✓") + COUNTIF(E25:AF25, "✔") + COUNTIF(E25:AF25, "v") + COUNTIF(E25:AF25, "V")) + COUNTIF(E25:AF25, "✗") + COUNTIF(E25:AF25, "x") + COUNTIF(E25:AF25, "X")), "")))</f>
        <v/>
      </c>
      <c r="AH25" s="110">
        <f>IF(ISBLANK(B25), "", IF(ISNUMBER(D25), IF(D25&gt;0, (COUNTIF(E25:AF25, "✓") + COUNTIF(E25:AF25, "✔") + COUNTIF(E25:AF25, "v") + COUNTIF(E25:AF25, "V")) &amp; "/" &amp; D25, (COUNTIF(E25:AF25, "✓") + COUNTIF(E25:AF25, "✔") + COUNTIF(E25:AF25, "v") + COUNTIF(E25:AF25, "V")) &amp; "/0"), IF(((COUNTIF(E25:AF25, "✓") + COUNTIF(E25:AF25, "✔") + COUNTIF(E25:AF25, "v") + COUNTIF(E25:AF25, "V")) + COUNTIF(E25:AF25, "✗") + COUNTIF(E25:AF25, "x") + COUNTIF(E25:AF25, "X"))&gt;0, (COUNTIF(E25:AF25, "✓") + COUNTIF(E25:AF25, "✔") + COUNTIF(E25:AF25, "v") + COUNTIF(E25:AF25, "V")) &amp; "/" &amp; ((COUNTIF(E25:AF25, "✓") + COUNTIF(E25:AF25, "✔") + COUNTIF(E25:AF25, "v") + COUNTIF(E25:AF25, "V")) + COUNTIF(E25:AF25, "✗") + COUNTIF(E25:AF25, "x") + COUNTIF(E25:AF25, "X")), "")))</f>
        <v/>
      </c>
      <c r="AI25" s="110">
        <f>IF(ISBLANK(B25), "", IF(AG25&gt;=0.85, "🔥 Mastered", IF(AG25&gt;=0.7, "⚡ Consistent", "⚠️ Needs Focus")))</f>
        <v/>
      </c>
      <c r="AJ25">
        <f>COUNTIF(E25:AF25, "✓")</f>
        <v/>
      </c>
    </row>
    <row r="26" ht="14.5" customHeight="1">
      <c r="A26" s="111" t="n">
        <v>9</v>
      </c>
      <c r="B26" s="112" t="n"/>
      <c r="C26" s="113" t="n"/>
      <c r="D26" s="113" t="n"/>
      <c r="E26" s="114" t="n"/>
      <c r="F26" s="114" t="n"/>
      <c r="G26" s="114" t="n"/>
      <c r="H26" s="114" t="n"/>
      <c r="I26" s="114" t="n"/>
      <c r="J26" s="114" t="n"/>
      <c r="K26" s="115" t="n"/>
      <c r="L26" s="114" t="n"/>
      <c r="M26" s="114" t="n"/>
      <c r="N26" s="114" t="n"/>
      <c r="O26" s="114" t="n"/>
      <c r="P26" s="114" t="n"/>
      <c r="Q26" s="114" t="n"/>
      <c r="R26" s="115" t="n"/>
      <c r="S26" s="114" t="n"/>
      <c r="T26" s="114" t="n"/>
      <c r="U26" s="114" t="n"/>
      <c r="V26" s="114" t="n"/>
      <c r="W26" s="114" t="n"/>
      <c r="X26" s="114" t="n"/>
      <c r="Y26" s="115" t="n"/>
      <c r="Z26" s="114" t="n"/>
      <c r="AA26" s="114" t="n"/>
      <c r="AB26" s="114" t="n"/>
      <c r="AC26" s="114" t="n"/>
      <c r="AD26" s="114" t="n"/>
      <c r="AE26" s="114" t="n"/>
      <c r="AF26" s="115" t="n"/>
      <c r="AG26" s="116">
        <f>IF(ISBLANK(B26), "", IF(ISNUMBER(D26), IF(D26&gt;0, (COUNTIF(E26:AF26, "✓") + COUNTIF(E26:AF26, "✔") + COUNTIF(E26:AF26, "v") + COUNTIF(E26:AF26, "V"))/D26, 0), IF(((COUNTIF(E26:AF26, "✓") + COUNTIF(E26:AF26, "✔") + COUNTIF(E26:AF26, "v") + COUNTIF(E26:AF26, "V")) + COUNTIF(E26:AF26, "✗") + COUNTIF(E26:AF26, "x") + COUNTIF(E26:AF26, "X"))&gt;0, (COUNTIF(E26:AF26, "✓") + COUNTIF(E26:AF26, "✔") + COUNTIF(E26:AF26, "v") + COUNTIF(E26:AF26, "V"))/((COUNTIF(E26:AF26, "✓") + COUNTIF(E26:AF26, "✔") + COUNTIF(E26:AF26, "v") + COUNTIF(E26:AF26, "V")) + COUNTIF(E26:AF26, "✗") + COUNTIF(E26:AF26, "x") + COUNTIF(E26:AF26, "X")), "")))</f>
        <v/>
      </c>
      <c r="AH26" s="117">
        <f>IF(ISBLANK(B26), "", IF(ISNUMBER(D26), IF(D26&gt;0, (COUNTIF(E26:AF26, "✓") + COUNTIF(E26:AF26, "✔") + COUNTIF(E26:AF26, "v") + COUNTIF(E26:AF26, "V")) &amp; "/" &amp; D26, (COUNTIF(E26:AF26, "✓") + COUNTIF(E26:AF26, "✔") + COUNTIF(E26:AF26, "v") + COUNTIF(E26:AF26, "V")) &amp; "/0"), IF(((COUNTIF(E26:AF26, "✓") + COUNTIF(E26:AF26, "✔") + COUNTIF(E26:AF26, "v") + COUNTIF(E26:AF26, "V")) + COUNTIF(E26:AF26, "✗") + COUNTIF(E26:AF26, "x") + COUNTIF(E26:AF26, "X"))&gt;0, (COUNTIF(E26:AF26, "✓") + COUNTIF(E26:AF26, "✔") + COUNTIF(E26:AF26, "v") + COUNTIF(E26:AF26, "V")) &amp; "/" &amp; ((COUNTIF(E26:AF26, "✓") + COUNTIF(E26:AF26, "✔") + COUNTIF(E26:AF26, "v") + COUNTIF(E26:AF26, "V")) + COUNTIF(E26:AF26, "✗") + COUNTIF(E26:AF26, "x") + COUNTIF(E26:AF26, "X")), "")))</f>
        <v/>
      </c>
      <c r="AI26" s="117">
        <f>IF(ISBLANK(B26), "", IF(AG26&gt;=0.85, "🔥 Mastered", IF(AG26&gt;=0.7, "⚡ Consistent", "⚠️ Needs Focus")))</f>
        <v/>
      </c>
      <c r="AJ26">
        <f>COUNTIF(E26:AF26, "✓")</f>
        <v/>
      </c>
    </row>
    <row r="27" ht="14.5" customHeight="1">
      <c r="A27" s="111" t="n">
        <v>10</v>
      </c>
      <c r="B27" s="112" t="n"/>
      <c r="C27" s="113" t="n"/>
      <c r="D27" s="113" t="n"/>
      <c r="E27" s="114" t="n"/>
      <c r="F27" s="114" t="n"/>
      <c r="G27" s="114" t="n"/>
      <c r="H27" s="114" t="n"/>
      <c r="I27" s="114" t="n"/>
      <c r="J27" s="114" t="n"/>
      <c r="K27" s="115" t="n"/>
      <c r="L27" s="114" t="n"/>
      <c r="M27" s="114" t="n"/>
      <c r="N27" s="114" t="n"/>
      <c r="O27" s="114" t="n"/>
      <c r="P27" s="114" t="n"/>
      <c r="Q27" s="114" t="n"/>
      <c r="R27" s="115" t="n"/>
      <c r="S27" s="114" t="n"/>
      <c r="T27" s="114" t="n"/>
      <c r="U27" s="114" t="n"/>
      <c r="V27" s="114" t="n"/>
      <c r="W27" s="114" t="n"/>
      <c r="X27" s="114" t="n"/>
      <c r="Y27" s="115" t="n"/>
      <c r="Z27" s="114" t="n"/>
      <c r="AA27" s="114" t="n"/>
      <c r="AB27" s="114" t="n"/>
      <c r="AC27" s="114" t="n"/>
      <c r="AD27" s="114" t="n"/>
      <c r="AE27" s="114" t="n"/>
      <c r="AF27" s="115" t="n"/>
      <c r="AG27" s="116">
        <f>IF(ISBLANK(B27), "", IF(ISNUMBER(D27), IF(D27&gt;0, (COUNTIF(E27:AF27, "✓") + COUNTIF(E27:AF27, "✔") + COUNTIF(E27:AF27, "v") + COUNTIF(E27:AF27, "V"))/D27, 0), IF(((COUNTIF(E27:AF27, "✓") + COUNTIF(E27:AF27, "✔") + COUNTIF(E27:AF27, "v") + COUNTIF(E27:AF27, "V")) + COUNTIF(E27:AF27, "✗") + COUNTIF(E27:AF27, "x") + COUNTIF(E27:AF27, "X"))&gt;0, (COUNTIF(E27:AF27, "✓") + COUNTIF(E27:AF27, "✔") + COUNTIF(E27:AF27, "v") + COUNTIF(E27:AF27, "V"))/((COUNTIF(E27:AF27, "✓") + COUNTIF(E27:AF27, "✔") + COUNTIF(E27:AF27, "v") + COUNTIF(E27:AF27, "V")) + COUNTIF(E27:AF27, "✗") + COUNTIF(E27:AF27, "x") + COUNTIF(E27:AF27, "X")), "")))</f>
        <v/>
      </c>
      <c r="AH27" s="117">
        <f>IF(ISBLANK(B27), "", IF(ISNUMBER(D27), IF(D27&gt;0, (COUNTIF(E27:AF27, "✓") + COUNTIF(E27:AF27, "✔") + COUNTIF(E27:AF27, "v") + COUNTIF(E27:AF27, "V")) &amp; "/" &amp; D27, (COUNTIF(E27:AF27, "✓") + COUNTIF(E27:AF27, "✔") + COUNTIF(E27:AF27, "v") + COUNTIF(E27:AF27, "V")) &amp; "/0"), IF(((COUNTIF(E27:AF27, "✓") + COUNTIF(E27:AF27, "✔") + COUNTIF(E27:AF27, "v") + COUNTIF(E27:AF27, "V")) + COUNTIF(E27:AF27, "✗") + COUNTIF(E27:AF27, "x") + COUNTIF(E27:AF27, "X"))&gt;0, (COUNTIF(E27:AF27, "✓") + COUNTIF(E27:AF27, "✔") + COUNTIF(E27:AF27, "v") + COUNTIF(E27:AF27, "V")) &amp; "/" &amp; ((COUNTIF(E27:AF27, "✓") + COUNTIF(E27:AF27, "✔") + COUNTIF(E27:AF27, "v") + COUNTIF(E27:AF27, "V")) + COUNTIF(E27:AF27, "✗") + COUNTIF(E27:AF27, "x") + COUNTIF(E27:AF27, "X")), "")))</f>
        <v/>
      </c>
      <c r="AI27" s="117">
        <f>IF(ISBLANK(B27), "", IF(AG27&gt;=0.85, "🔥 Mastered", IF(AG27&gt;=0.7, "⚡ Consistent", "⚠️ Needs Focus")))</f>
        <v/>
      </c>
      <c r="AJ27">
        <f>COUNTIF(E27:AF27, "✓")</f>
        <v/>
      </c>
    </row>
    <row r="28" ht="14.5" customHeight="1">
      <c r="A28" s="111" t="n">
        <v>11</v>
      </c>
      <c r="B28" s="112" t="n"/>
      <c r="C28" s="113" t="n"/>
      <c r="D28" s="113" t="n"/>
      <c r="E28" s="114" t="n"/>
      <c r="F28" s="114" t="n"/>
      <c r="G28" s="114" t="n"/>
      <c r="H28" s="114" t="n"/>
      <c r="I28" s="114" t="n"/>
      <c r="J28" s="114" t="n"/>
      <c r="K28" s="115" t="n"/>
      <c r="L28" s="114" t="n"/>
      <c r="M28" s="114" t="n"/>
      <c r="N28" s="114" t="n"/>
      <c r="O28" s="114" t="n"/>
      <c r="P28" s="114" t="n"/>
      <c r="Q28" s="114" t="n"/>
      <c r="R28" s="115" t="n"/>
      <c r="S28" s="114" t="n"/>
      <c r="T28" s="114" t="n"/>
      <c r="U28" s="114" t="n"/>
      <c r="V28" s="114" t="n"/>
      <c r="W28" s="114" t="n"/>
      <c r="X28" s="114" t="n"/>
      <c r="Y28" s="115" t="n"/>
      <c r="Z28" s="114" t="n"/>
      <c r="AA28" s="114" t="n"/>
      <c r="AB28" s="114" t="n"/>
      <c r="AC28" s="114" t="n"/>
      <c r="AD28" s="114" t="n"/>
      <c r="AE28" s="114" t="n"/>
      <c r="AF28" s="115" t="n"/>
      <c r="AG28" s="116">
        <f>IF(ISBLANK(B28), "", IF(ISNUMBER(D28), IF(D28&gt;0, (COUNTIF(E28:AF28, "✓") + COUNTIF(E28:AF28, "✔") + COUNTIF(E28:AF28, "v") + COUNTIF(E28:AF28, "V"))/D28, 0), IF(((COUNTIF(E28:AF28, "✓") + COUNTIF(E28:AF28, "✔") + COUNTIF(E28:AF28, "v") + COUNTIF(E28:AF28, "V")) + COUNTIF(E28:AF28, "✗") + COUNTIF(E28:AF28, "x") + COUNTIF(E28:AF28, "X"))&gt;0, (COUNTIF(E28:AF28, "✓") + COUNTIF(E28:AF28, "✔") + COUNTIF(E28:AF28, "v") + COUNTIF(E28:AF28, "V"))/((COUNTIF(E28:AF28, "✓") + COUNTIF(E28:AF28, "✔") + COUNTIF(E28:AF28, "v") + COUNTIF(E28:AF28, "V")) + COUNTIF(E28:AF28, "✗") + COUNTIF(E28:AF28, "x") + COUNTIF(E28:AF28, "X")), "")))</f>
        <v/>
      </c>
      <c r="AH28" s="117">
        <f>IF(ISBLANK(B28), "", IF(ISNUMBER(D28), IF(D28&gt;0, (COUNTIF(E28:AF28, "✓") + COUNTIF(E28:AF28, "✔") + COUNTIF(E28:AF28, "v") + COUNTIF(E28:AF28, "V")) &amp; "/" &amp; D28, (COUNTIF(E28:AF28, "✓") + COUNTIF(E28:AF28, "✔") + COUNTIF(E28:AF28, "v") + COUNTIF(E28:AF28, "V")) &amp; "/0"), IF(((COUNTIF(E28:AF28, "✓") + COUNTIF(E28:AF28, "✔") + COUNTIF(E28:AF28, "v") + COUNTIF(E28:AF28, "V")) + COUNTIF(E28:AF28, "✗") + COUNTIF(E28:AF28, "x") + COUNTIF(E28:AF28, "X"))&gt;0, (COUNTIF(E28:AF28, "✓") + COUNTIF(E28:AF28, "✔") + COUNTIF(E28:AF28, "v") + COUNTIF(E28:AF28, "V")) &amp; "/" &amp; ((COUNTIF(E28:AF28, "✓") + COUNTIF(E28:AF28, "✔") + COUNTIF(E28:AF28, "v") + COUNTIF(E28:AF28, "V")) + COUNTIF(E28:AF28, "✗") + COUNTIF(E28:AF28, "x") + COUNTIF(E28:AF28, "X")), "")))</f>
        <v/>
      </c>
      <c r="AI28" s="117">
        <f>IF(ISBLANK(B28), "", IF(AG28&gt;=0.85, "🔥 Mastered", IF(AG28&gt;=0.7, "⚡ Consistent", "⚠️ Needs Focus")))</f>
        <v/>
      </c>
      <c r="AJ28">
        <f>COUNTIF(E28:AF28, "✓")</f>
        <v/>
      </c>
    </row>
    <row r="29" ht="14.5" customHeight="1">
      <c r="A29" s="111" t="n">
        <v>12</v>
      </c>
      <c r="B29" s="112" t="n"/>
      <c r="C29" s="113" t="n"/>
      <c r="D29" s="113" t="n"/>
      <c r="E29" s="114" t="n"/>
      <c r="F29" s="114" t="n"/>
      <c r="G29" s="114" t="n"/>
      <c r="H29" s="114" t="n"/>
      <c r="I29" s="114" t="n"/>
      <c r="J29" s="114" t="n"/>
      <c r="K29" s="115" t="n"/>
      <c r="L29" s="114" t="n"/>
      <c r="M29" s="114" t="n"/>
      <c r="N29" s="114" t="n"/>
      <c r="O29" s="114" t="n"/>
      <c r="P29" s="114" t="n"/>
      <c r="Q29" s="114" t="n"/>
      <c r="R29" s="115" t="n"/>
      <c r="S29" s="114" t="n"/>
      <c r="T29" s="114" t="n"/>
      <c r="U29" s="114" t="n"/>
      <c r="V29" s="114" t="n"/>
      <c r="W29" s="114" t="n"/>
      <c r="X29" s="114" t="n"/>
      <c r="Y29" s="115" t="n"/>
      <c r="Z29" s="114" t="n"/>
      <c r="AA29" s="114" t="n"/>
      <c r="AB29" s="114" t="n"/>
      <c r="AC29" s="114" t="n"/>
      <c r="AD29" s="114" t="n"/>
      <c r="AE29" s="114" t="n"/>
      <c r="AF29" s="115" t="n"/>
      <c r="AG29" s="116">
        <f>IF(ISBLANK(B29), "", IF(ISNUMBER(D29), IF(D29&gt;0, (COUNTIF(E29:AF29, "✓") + COUNTIF(E29:AF29, "✔") + COUNTIF(E29:AF29, "v") + COUNTIF(E29:AF29, "V"))/D29, 0), IF(((COUNTIF(E29:AF29, "✓") + COUNTIF(E29:AF29, "✔") + COUNTIF(E29:AF29, "v") + COUNTIF(E29:AF29, "V")) + COUNTIF(E29:AF29, "✗") + COUNTIF(E29:AF29, "x") + COUNTIF(E29:AF29, "X"))&gt;0, (COUNTIF(E29:AF29, "✓") + COUNTIF(E29:AF29, "✔") + COUNTIF(E29:AF29, "v") + COUNTIF(E29:AF29, "V"))/((COUNTIF(E29:AF29, "✓") + COUNTIF(E29:AF29, "✔") + COUNTIF(E29:AF29, "v") + COUNTIF(E29:AF29, "V")) + COUNTIF(E29:AF29, "✗") + COUNTIF(E29:AF29, "x") + COUNTIF(E29:AF29, "X")), "")))</f>
        <v/>
      </c>
      <c r="AH29" s="117">
        <f>IF(ISBLANK(B29), "", IF(ISNUMBER(D29), IF(D29&gt;0, (COUNTIF(E29:AF29, "✓") + COUNTIF(E29:AF29, "✔") + COUNTIF(E29:AF29, "v") + COUNTIF(E29:AF29, "V")) &amp; "/" &amp; D29, (COUNTIF(E29:AF29, "✓") + COUNTIF(E29:AF29, "✔") + COUNTIF(E29:AF29, "v") + COUNTIF(E29:AF29, "V")) &amp; "/0"), IF(((COUNTIF(E29:AF29, "✓") + COUNTIF(E29:AF29, "✔") + COUNTIF(E29:AF29, "v") + COUNTIF(E29:AF29, "V")) + COUNTIF(E29:AF29, "✗") + COUNTIF(E29:AF29, "x") + COUNTIF(E29:AF29, "X"))&gt;0, (COUNTIF(E29:AF29, "✓") + COUNTIF(E29:AF29, "✔") + COUNTIF(E29:AF29, "v") + COUNTIF(E29:AF29, "V")) &amp; "/" &amp; ((COUNTIF(E29:AF29, "✓") + COUNTIF(E29:AF29, "✔") + COUNTIF(E29:AF29, "v") + COUNTIF(E29:AF29, "V")) + COUNTIF(E29:AF29, "✗") + COUNTIF(E29:AF29, "x") + COUNTIF(E29:AF29, "X")), "")))</f>
        <v/>
      </c>
      <c r="AI29" s="117">
        <f>IF(ISBLANK(B29), "", IF(AG29&gt;=0.85, "🔥 Mastered", IF(AG29&gt;=0.7, "⚡ Consistent", "⚠️ Needs Focus")))</f>
        <v/>
      </c>
      <c r="AJ29">
        <f>COUNTIF(E29:AF29, "✓")</f>
        <v/>
      </c>
    </row>
    <row r="30" ht="14.5" customHeight="1">
      <c r="A30" s="118" t="n">
        <v>13</v>
      </c>
      <c r="B30" s="119" t="n"/>
      <c r="C30" s="120" t="n"/>
      <c r="D30" s="120" t="n"/>
      <c r="E30" s="121" t="n"/>
      <c r="F30" s="121" t="n"/>
      <c r="G30" s="121" t="n"/>
      <c r="H30" s="121" t="n"/>
      <c r="I30" s="121" t="n"/>
      <c r="J30" s="121" t="n"/>
      <c r="K30" s="122" t="n"/>
      <c r="L30" s="121" t="n"/>
      <c r="M30" s="121" t="n"/>
      <c r="N30" s="121" t="n"/>
      <c r="O30" s="121" t="n"/>
      <c r="P30" s="121" t="n"/>
      <c r="Q30" s="121" t="n"/>
      <c r="R30" s="122" t="n"/>
      <c r="S30" s="121" t="n"/>
      <c r="T30" s="121" t="n"/>
      <c r="U30" s="121" t="n"/>
      <c r="V30" s="121" t="n"/>
      <c r="W30" s="121" t="n"/>
      <c r="X30" s="121" t="n"/>
      <c r="Y30" s="122" t="n"/>
      <c r="Z30" s="121" t="n"/>
      <c r="AA30" s="121" t="n"/>
      <c r="AB30" s="121" t="n"/>
      <c r="AC30" s="121" t="n"/>
      <c r="AD30" s="121" t="n"/>
      <c r="AE30" s="121" t="n"/>
      <c r="AF30" s="122" t="n"/>
      <c r="AG30" s="123">
        <f>IF(ISBLANK(B30), "", IF(ISNUMBER(D30), IF(D30&gt;0, (COUNTIF(E30:AF30, "✓") + COUNTIF(E30:AF30, "✔") + COUNTIF(E30:AF30, "v") + COUNTIF(E30:AF30, "V"))/D30, 0), IF(((COUNTIF(E30:AF30, "✓") + COUNTIF(E30:AF30, "✔") + COUNTIF(E30:AF30, "v") + COUNTIF(E30:AF30, "V")) + COUNTIF(E30:AF30, "✗") + COUNTIF(E30:AF30, "x") + COUNTIF(E30:AF30, "X"))&gt;0, (COUNTIF(E30:AF30, "✓") + COUNTIF(E30:AF30, "✔") + COUNTIF(E30:AF30, "v") + COUNTIF(E30:AF30, "V"))/((COUNTIF(E30:AF30, "✓") + COUNTIF(E30:AF30, "✔") + COUNTIF(E30:AF30, "v") + COUNTIF(E30:AF30, "V")) + COUNTIF(E30:AF30, "✗") + COUNTIF(E30:AF30, "x") + COUNTIF(E30:AF30, "X")), "")))</f>
        <v/>
      </c>
      <c r="AH30" s="124">
        <f>IF(ISBLANK(B30), "", IF(ISNUMBER(D30), IF(D30&gt;0, (COUNTIF(E30:AF30, "✓") + COUNTIF(E30:AF30, "✔") + COUNTIF(E30:AF30, "v") + COUNTIF(E30:AF30, "V")) &amp; "/" &amp; D30, (COUNTIF(E30:AF30, "✓") + COUNTIF(E30:AF30, "✔") + COUNTIF(E30:AF30, "v") + COUNTIF(E30:AF30, "V")) &amp; "/0"), IF(((COUNTIF(E30:AF30, "✓") + COUNTIF(E30:AF30, "✔") + COUNTIF(E30:AF30, "v") + COUNTIF(E30:AF30, "V")) + COUNTIF(E30:AF30, "✗") + COUNTIF(E30:AF30, "x") + COUNTIF(E30:AF30, "X"))&gt;0, (COUNTIF(E30:AF30, "✓") + COUNTIF(E30:AF30, "✔") + COUNTIF(E30:AF30, "v") + COUNTIF(E30:AF30, "V")) &amp; "/" &amp; ((COUNTIF(E30:AF30, "✓") + COUNTIF(E30:AF30, "✔") + COUNTIF(E30:AF30, "v") + COUNTIF(E30:AF30, "V")) + COUNTIF(E30:AF30, "✗") + COUNTIF(E30:AF30, "x") + COUNTIF(E30:AF30, "X")), "")))</f>
        <v/>
      </c>
      <c r="AI30" s="124">
        <f>IF(ISBLANK(B30), "", IF(AG30&gt;=0.85, "🔥 Mastered", IF(AG30&gt;=0.7, "⚡ Consistent", "⚠️ Needs Focus")))</f>
        <v/>
      </c>
      <c r="AJ30">
        <f>COUNTIF(E30:AF30, "✓")</f>
        <v/>
      </c>
    </row>
    <row r="31" ht="14.5" customHeight="1">
      <c r="A31" s="118" t="n">
        <v>14</v>
      </c>
      <c r="B31" s="119" t="n"/>
      <c r="C31" s="120" t="n"/>
      <c r="D31" s="120" t="n"/>
      <c r="E31" s="121" t="n"/>
      <c r="F31" s="121" t="n"/>
      <c r="G31" s="121" t="n"/>
      <c r="H31" s="121" t="n"/>
      <c r="I31" s="121" t="n"/>
      <c r="J31" s="121" t="n"/>
      <c r="K31" s="122" t="n"/>
      <c r="L31" s="121" t="n"/>
      <c r="M31" s="121" t="n"/>
      <c r="N31" s="121" t="n"/>
      <c r="O31" s="121" t="n"/>
      <c r="P31" s="121" t="n"/>
      <c r="Q31" s="121" t="n"/>
      <c r="R31" s="122" t="n"/>
      <c r="S31" s="121" t="n"/>
      <c r="T31" s="121" t="n"/>
      <c r="U31" s="121" t="n"/>
      <c r="V31" s="121" t="n"/>
      <c r="W31" s="121" t="n"/>
      <c r="X31" s="121" t="n"/>
      <c r="Y31" s="122" t="n"/>
      <c r="Z31" s="121" t="n"/>
      <c r="AA31" s="121" t="n"/>
      <c r="AB31" s="121" t="n"/>
      <c r="AC31" s="121" t="n"/>
      <c r="AD31" s="121" t="n"/>
      <c r="AE31" s="121" t="n"/>
      <c r="AF31" s="122" t="n"/>
      <c r="AG31" s="123">
        <f>IF(ISBLANK(B31), "", IF(ISNUMBER(D31), IF(D31&gt;0, (COUNTIF(E31:AF31, "✓") + COUNTIF(E31:AF31, "✔") + COUNTIF(E31:AF31, "v") + COUNTIF(E31:AF31, "V"))/D31, 0), IF(((COUNTIF(E31:AF31, "✓") + COUNTIF(E31:AF31, "✔") + COUNTIF(E31:AF31, "v") + COUNTIF(E31:AF31, "V")) + COUNTIF(E31:AF31, "✗") + COUNTIF(E31:AF31, "x") + COUNTIF(E31:AF31, "X"))&gt;0, (COUNTIF(E31:AF31, "✓") + COUNTIF(E31:AF31, "✔") + COUNTIF(E31:AF31, "v") + COUNTIF(E31:AF31, "V"))/((COUNTIF(E31:AF31, "✓") + COUNTIF(E31:AF31, "✔") + COUNTIF(E31:AF31, "v") + COUNTIF(E31:AF31, "V")) + COUNTIF(E31:AF31, "✗") + COUNTIF(E31:AF31, "x") + COUNTIF(E31:AF31, "X")), "")))</f>
        <v/>
      </c>
      <c r="AH31" s="124">
        <f>IF(ISBLANK(B31), "", IF(ISNUMBER(D31), IF(D31&gt;0, (COUNTIF(E31:AF31, "✓") + COUNTIF(E31:AF31, "✔") + COUNTIF(E31:AF31, "v") + COUNTIF(E31:AF31, "V")) &amp; "/" &amp; D31, (COUNTIF(E31:AF31, "✓") + COUNTIF(E31:AF31, "✔") + COUNTIF(E31:AF31, "v") + COUNTIF(E31:AF31, "V")) &amp; "/0"), IF(((COUNTIF(E31:AF31, "✓") + COUNTIF(E31:AF31, "✔") + COUNTIF(E31:AF31, "v") + COUNTIF(E31:AF31, "V")) + COUNTIF(E31:AF31, "✗") + COUNTIF(E31:AF31, "x") + COUNTIF(E31:AF31, "X"))&gt;0, (COUNTIF(E31:AF31, "✓") + COUNTIF(E31:AF31, "✔") + COUNTIF(E31:AF31, "v") + COUNTIF(E31:AF31, "V")) &amp; "/" &amp; ((COUNTIF(E31:AF31, "✓") + COUNTIF(E31:AF31, "✔") + COUNTIF(E31:AF31, "v") + COUNTIF(E31:AF31, "V")) + COUNTIF(E31:AF31, "✗") + COUNTIF(E31:AF31, "x") + COUNTIF(E31:AF31, "X")), "")))</f>
        <v/>
      </c>
      <c r="AI31" s="124">
        <f>IF(ISBLANK(B31), "", IF(AG31&gt;=0.85, "🔥 Mastered", IF(AG31&gt;=0.7, "⚡ Consistent", "⚠️ Needs Focus")))</f>
        <v/>
      </c>
      <c r="AJ31">
        <f>COUNTIF(E31:AF31, "✓")</f>
        <v/>
      </c>
    </row>
    <row r="32" ht="14.5" customHeight="1">
      <c r="A32" s="118" t="n">
        <v>15</v>
      </c>
      <c r="B32" s="119" t="n"/>
      <c r="C32" s="120" t="n"/>
      <c r="D32" s="120" t="n"/>
      <c r="E32" s="121" t="n"/>
      <c r="F32" s="121" t="n"/>
      <c r="G32" s="121" t="n"/>
      <c r="H32" s="121" t="n"/>
      <c r="I32" s="121" t="n"/>
      <c r="J32" s="121" t="n"/>
      <c r="K32" s="122" t="n"/>
      <c r="L32" s="121" t="n"/>
      <c r="M32" s="121" t="n"/>
      <c r="N32" s="121" t="n"/>
      <c r="O32" s="121" t="n"/>
      <c r="P32" s="121" t="n"/>
      <c r="Q32" s="121" t="n"/>
      <c r="R32" s="122" t="n"/>
      <c r="S32" s="121" t="n"/>
      <c r="T32" s="121" t="n"/>
      <c r="U32" s="121" t="n"/>
      <c r="V32" s="121" t="n"/>
      <c r="W32" s="121" t="n"/>
      <c r="X32" s="121" t="n"/>
      <c r="Y32" s="122" t="n"/>
      <c r="Z32" s="121" t="n"/>
      <c r="AA32" s="121" t="n"/>
      <c r="AB32" s="121" t="n"/>
      <c r="AC32" s="121" t="n"/>
      <c r="AD32" s="121" t="n"/>
      <c r="AE32" s="121" t="n"/>
      <c r="AF32" s="122" t="n"/>
      <c r="AG32" s="123">
        <f>IF(ISBLANK(B32), "", IF(ISNUMBER(D32), IF(D32&gt;0, (COUNTIF(E32:AF32, "✓") + COUNTIF(E32:AF32, "✔") + COUNTIF(E32:AF32, "v") + COUNTIF(E32:AF32, "V"))/D32, 0), IF(((COUNTIF(E32:AF32, "✓") + COUNTIF(E32:AF32, "✔") + COUNTIF(E32:AF32, "v") + COUNTIF(E32:AF32, "V")) + COUNTIF(E32:AF32, "✗") + COUNTIF(E32:AF32, "x") + COUNTIF(E32:AF32, "X"))&gt;0, (COUNTIF(E32:AF32, "✓") + COUNTIF(E32:AF32, "✔") + COUNTIF(E32:AF32, "v") + COUNTIF(E32:AF32, "V"))/((COUNTIF(E32:AF32, "✓") + COUNTIF(E32:AF32, "✔") + COUNTIF(E32:AF32, "v") + COUNTIF(E32:AF32, "V")) + COUNTIF(E32:AF32, "✗") + COUNTIF(E32:AF32, "x") + COUNTIF(E32:AF32, "X")), "")))</f>
        <v/>
      </c>
      <c r="AH32" s="124">
        <f>IF(ISBLANK(B32), "", IF(ISNUMBER(D32), IF(D32&gt;0, (COUNTIF(E32:AF32, "✓") + COUNTIF(E32:AF32, "✔") + COUNTIF(E32:AF32, "v") + COUNTIF(E32:AF32, "V")) &amp; "/" &amp; D32, (COUNTIF(E32:AF32, "✓") + COUNTIF(E32:AF32, "✔") + COUNTIF(E32:AF32, "v") + COUNTIF(E32:AF32, "V")) &amp; "/0"), IF(((COUNTIF(E32:AF32, "✓") + COUNTIF(E32:AF32, "✔") + COUNTIF(E32:AF32, "v") + COUNTIF(E32:AF32, "V")) + COUNTIF(E32:AF32, "✗") + COUNTIF(E32:AF32, "x") + COUNTIF(E32:AF32, "X"))&gt;0, (COUNTIF(E32:AF32, "✓") + COUNTIF(E32:AF32, "✔") + COUNTIF(E32:AF32, "v") + COUNTIF(E32:AF32, "V")) &amp; "/" &amp; ((COUNTIF(E32:AF32, "✓") + COUNTIF(E32:AF32, "✔") + COUNTIF(E32:AF32, "v") + COUNTIF(E32:AF32, "V")) + COUNTIF(E32:AF32, "✗") + COUNTIF(E32:AF32, "x") + COUNTIF(E32:AF32, "X")), "")))</f>
        <v/>
      </c>
      <c r="AI32" s="124">
        <f>IF(ISBLANK(B32), "", IF(AG32&gt;=0.85, "🔥 Mastered", IF(AG32&gt;=0.7, "⚡ Consistent", "⚠️ Needs Focus")))</f>
        <v/>
      </c>
      <c r="AJ32">
        <f>COUNTIF(E32:AF32, "✓")</f>
        <v/>
      </c>
    </row>
    <row r="33" ht="14.5" customHeight="1">
      <c r="A33" s="118" t="n">
        <v>16</v>
      </c>
      <c r="B33" s="119" t="n"/>
      <c r="C33" s="120" t="n"/>
      <c r="D33" s="120" t="n"/>
      <c r="E33" s="121" t="n"/>
      <c r="F33" s="121" t="n"/>
      <c r="G33" s="121" t="n"/>
      <c r="H33" s="121" t="n"/>
      <c r="I33" s="121" t="n"/>
      <c r="J33" s="121" t="n"/>
      <c r="K33" s="122" t="n"/>
      <c r="L33" s="121" t="n"/>
      <c r="M33" s="121" t="n"/>
      <c r="N33" s="121" t="n"/>
      <c r="O33" s="121" t="n"/>
      <c r="P33" s="121" t="n"/>
      <c r="Q33" s="121" t="n"/>
      <c r="R33" s="122" t="n"/>
      <c r="S33" s="121" t="n"/>
      <c r="T33" s="121" t="n"/>
      <c r="U33" s="121" t="n"/>
      <c r="V33" s="121" t="n"/>
      <c r="W33" s="121" t="n"/>
      <c r="X33" s="121" t="n"/>
      <c r="Y33" s="122" t="n"/>
      <c r="Z33" s="121" t="n"/>
      <c r="AA33" s="121" t="n"/>
      <c r="AB33" s="121" t="n"/>
      <c r="AC33" s="121" t="n"/>
      <c r="AD33" s="121" t="n"/>
      <c r="AE33" s="121" t="n"/>
      <c r="AF33" s="122" t="n"/>
      <c r="AG33" s="123">
        <f>IF(ISBLANK(B33), "", IF(ISNUMBER(D33), IF(D33&gt;0, (COUNTIF(E33:AF33, "✓") + COUNTIF(E33:AF33, "✔") + COUNTIF(E33:AF33, "v") + COUNTIF(E33:AF33, "V"))/D33, 0), IF(((COUNTIF(E33:AF33, "✓") + COUNTIF(E33:AF33, "✔") + COUNTIF(E33:AF33, "v") + COUNTIF(E33:AF33, "V")) + COUNTIF(E33:AF33, "✗") + COUNTIF(E33:AF33, "x") + COUNTIF(E33:AF33, "X"))&gt;0, (COUNTIF(E33:AF33, "✓") + COUNTIF(E33:AF33, "✔") + COUNTIF(E33:AF33, "v") + COUNTIF(E33:AF33, "V"))/((COUNTIF(E33:AF33, "✓") + COUNTIF(E33:AF33, "✔") + COUNTIF(E33:AF33, "v") + COUNTIF(E33:AF33, "V")) + COUNTIF(E33:AF33, "✗") + COUNTIF(E33:AF33, "x") + COUNTIF(E33:AF33, "X")), "")))</f>
        <v/>
      </c>
      <c r="AH33" s="124">
        <f>IF(ISBLANK(B33), "", IF(ISNUMBER(D33), IF(D33&gt;0, (COUNTIF(E33:AF33, "✓") + COUNTIF(E33:AF33, "✔") + COUNTIF(E33:AF33, "v") + COUNTIF(E33:AF33, "V")) &amp; "/" &amp; D33, (COUNTIF(E33:AF33, "✓") + COUNTIF(E33:AF33, "✔") + COUNTIF(E33:AF33, "v") + COUNTIF(E33:AF33, "V")) &amp; "/0"), IF(((COUNTIF(E33:AF33, "✓") + COUNTIF(E33:AF33, "✔") + COUNTIF(E33:AF33, "v") + COUNTIF(E33:AF33, "V")) + COUNTIF(E33:AF33, "✗") + COUNTIF(E33:AF33, "x") + COUNTIF(E33:AF33, "X"))&gt;0, (COUNTIF(E33:AF33, "✓") + COUNTIF(E33:AF33, "✔") + COUNTIF(E33:AF33, "v") + COUNTIF(E33:AF33, "V")) &amp; "/" &amp; ((COUNTIF(E33:AF33, "✓") + COUNTIF(E33:AF33, "✔") + COUNTIF(E33:AF33, "v") + COUNTIF(E33:AF33, "V")) + COUNTIF(E33:AF33, "✗") + COUNTIF(E33:AF33, "x") + COUNTIF(E33:AF33, "X")), "")))</f>
        <v/>
      </c>
      <c r="AI33" s="124">
        <f>IF(ISBLANK(B33), "", IF(AG33&gt;=0.85, "🔥 Mastered", IF(AG33&gt;=0.7, "⚡ Consistent", "⚠️ Needs Focus")))</f>
        <v/>
      </c>
      <c r="AJ33">
        <f>COUNTIF(E33:AF33, "✓")</f>
        <v/>
      </c>
    </row>
    <row r="34" ht="14.5" customHeight="1">
      <c r="A34" s="125" t="n">
        <v>17</v>
      </c>
      <c r="B34" s="126" t="n"/>
      <c r="C34" s="127" t="n"/>
      <c r="D34" s="127" t="n"/>
      <c r="E34" s="128" t="n"/>
      <c r="F34" s="128" t="n"/>
      <c r="G34" s="128" t="n"/>
      <c r="H34" s="128" t="n"/>
      <c r="I34" s="128" t="n"/>
      <c r="J34" s="128" t="n"/>
      <c r="K34" s="129" t="n"/>
      <c r="L34" s="128" t="n"/>
      <c r="M34" s="128" t="n"/>
      <c r="N34" s="128" t="n"/>
      <c r="O34" s="128" t="n"/>
      <c r="P34" s="128" t="n"/>
      <c r="Q34" s="128" t="n"/>
      <c r="R34" s="129" t="n"/>
      <c r="S34" s="128" t="n"/>
      <c r="T34" s="128" t="n"/>
      <c r="U34" s="128" t="n"/>
      <c r="V34" s="128" t="n"/>
      <c r="W34" s="128" t="n"/>
      <c r="X34" s="128" t="n"/>
      <c r="Y34" s="129" t="n"/>
      <c r="Z34" s="128" t="n"/>
      <c r="AA34" s="128" t="n"/>
      <c r="AB34" s="128" t="n"/>
      <c r="AC34" s="128" t="n"/>
      <c r="AD34" s="128" t="n"/>
      <c r="AE34" s="128" t="n"/>
      <c r="AF34" s="129" t="n"/>
      <c r="AG34" s="130">
        <f>IF(ISBLANK(B34), "", IF(ISNUMBER(D34), IF(D34&gt;0, (COUNTIF(E34:AF34, "✓") + COUNTIF(E34:AF34, "✔") + COUNTIF(E34:AF34, "v") + COUNTIF(E34:AF34, "V"))/D34, 0), IF(((COUNTIF(E34:AF34, "✓") + COUNTIF(E34:AF34, "✔") + COUNTIF(E34:AF34, "v") + COUNTIF(E34:AF34, "V")) + COUNTIF(E34:AF34, "✗") + COUNTIF(E34:AF34, "x") + COUNTIF(E34:AF34, "X"))&gt;0, (COUNTIF(E34:AF34, "✓") + COUNTIF(E34:AF34, "✔") + COUNTIF(E34:AF34, "v") + COUNTIF(E34:AF34, "V"))/((COUNTIF(E34:AF34, "✓") + COUNTIF(E34:AF34, "✔") + COUNTIF(E34:AF34, "v") + COUNTIF(E34:AF34, "V")) + COUNTIF(E34:AF34, "✗") + COUNTIF(E34:AF34, "x") + COUNTIF(E34:AF34, "X")), "")))</f>
        <v/>
      </c>
      <c r="AH34" s="131">
        <f>IF(ISBLANK(B34), "", IF(ISNUMBER(D34), IF(D34&gt;0, (COUNTIF(E34:AF34, "✓") + COUNTIF(E34:AF34, "✔") + COUNTIF(E34:AF34, "v") + COUNTIF(E34:AF34, "V")) &amp; "/" &amp; D34, (COUNTIF(E34:AF34, "✓") + COUNTIF(E34:AF34, "✔") + COUNTIF(E34:AF34, "v") + COUNTIF(E34:AF34, "V")) &amp; "/0"), IF(((COUNTIF(E34:AF34, "✓") + COUNTIF(E34:AF34, "✔") + COUNTIF(E34:AF34, "v") + COUNTIF(E34:AF34, "V")) + COUNTIF(E34:AF34, "✗") + COUNTIF(E34:AF34, "x") + COUNTIF(E34:AF34, "X"))&gt;0, (COUNTIF(E34:AF34, "✓") + COUNTIF(E34:AF34, "✔") + COUNTIF(E34:AF34, "v") + COUNTIF(E34:AF34, "V")) &amp; "/" &amp; ((COUNTIF(E34:AF34, "✓") + COUNTIF(E34:AF34, "✔") + COUNTIF(E34:AF34, "v") + COUNTIF(E34:AF34, "V")) + COUNTIF(E34:AF34, "✗") + COUNTIF(E34:AF34, "x") + COUNTIF(E34:AF34, "X")), "")))</f>
        <v/>
      </c>
      <c r="AI34" s="131">
        <f>IF(ISBLANK(B34), "", IF(AG34&gt;=0.85, "🔥 Mastered", IF(AG34&gt;=0.7, "⚡ Consistent", "⚠️ Needs Focus")))</f>
        <v/>
      </c>
      <c r="AJ34">
        <f>COUNTIF(E34:AF34, "✓")</f>
        <v/>
      </c>
    </row>
    <row r="35" ht="14.5" customHeight="1">
      <c r="A35" s="125" t="n">
        <v>18</v>
      </c>
      <c r="B35" s="126" t="n"/>
      <c r="C35" s="127" t="n"/>
      <c r="D35" s="127" t="n"/>
      <c r="E35" s="128" t="n"/>
      <c r="F35" s="128" t="n"/>
      <c r="G35" s="128" t="n"/>
      <c r="H35" s="128" t="n"/>
      <c r="I35" s="128" t="n"/>
      <c r="J35" s="128" t="n"/>
      <c r="K35" s="129" t="n"/>
      <c r="L35" s="128" t="n"/>
      <c r="M35" s="128" t="n"/>
      <c r="N35" s="128" t="n"/>
      <c r="O35" s="128" t="n"/>
      <c r="P35" s="128" t="n"/>
      <c r="Q35" s="128" t="n"/>
      <c r="R35" s="129" t="n"/>
      <c r="S35" s="128" t="n"/>
      <c r="T35" s="128" t="n"/>
      <c r="U35" s="128" t="n"/>
      <c r="V35" s="128" t="n"/>
      <c r="W35" s="128" t="n"/>
      <c r="X35" s="128" t="n"/>
      <c r="Y35" s="129" t="n"/>
      <c r="Z35" s="128" t="n"/>
      <c r="AA35" s="128" t="n"/>
      <c r="AB35" s="128" t="n"/>
      <c r="AC35" s="128" t="n"/>
      <c r="AD35" s="128" t="n"/>
      <c r="AE35" s="128" t="n"/>
      <c r="AF35" s="129" t="n"/>
      <c r="AG35" s="130">
        <f>IF(ISBLANK(B35), "", IF(ISNUMBER(D35), IF(D35&gt;0, (COUNTIF(E35:AF35, "✓") + COUNTIF(E35:AF35, "✔") + COUNTIF(E35:AF35, "v") + COUNTIF(E35:AF35, "V"))/D35, 0), IF(((COUNTIF(E35:AF35, "✓") + COUNTIF(E35:AF35, "✔") + COUNTIF(E35:AF35, "v") + COUNTIF(E35:AF35, "V")) + COUNTIF(E35:AF35, "✗") + COUNTIF(E35:AF35, "x") + COUNTIF(E35:AF35, "X"))&gt;0, (COUNTIF(E35:AF35, "✓") + COUNTIF(E35:AF35, "✔") + COUNTIF(E35:AF35, "v") + COUNTIF(E35:AF35, "V"))/((COUNTIF(E35:AF35, "✓") + COUNTIF(E35:AF35, "✔") + COUNTIF(E35:AF35, "v") + COUNTIF(E35:AF35, "V")) + COUNTIF(E35:AF35, "✗") + COUNTIF(E35:AF35, "x") + COUNTIF(E35:AF35, "X")), "")))</f>
        <v/>
      </c>
      <c r="AH35" s="131">
        <f>IF(ISBLANK(B35), "", IF(ISNUMBER(D35), IF(D35&gt;0, (COUNTIF(E35:AF35, "✓") + COUNTIF(E35:AF35, "✔") + COUNTIF(E35:AF35, "v") + COUNTIF(E35:AF35, "V")) &amp; "/" &amp; D35, (COUNTIF(E35:AF35, "✓") + COUNTIF(E35:AF35, "✔") + COUNTIF(E35:AF35, "v") + COUNTIF(E35:AF35, "V")) &amp; "/0"), IF(((COUNTIF(E35:AF35, "✓") + COUNTIF(E35:AF35, "✔") + COUNTIF(E35:AF35, "v") + COUNTIF(E35:AF35, "V")) + COUNTIF(E35:AF35, "✗") + COUNTIF(E35:AF35, "x") + COUNTIF(E35:AF35, "X"))&gt;0, (COUNTIF(E35:AF35, "✓") + COUNTIF(E35:AF35, "✔") + COUNTIF(E35:AF35, "v") + COUNTIF(E35:AF35, "V")) &amp; "/" &amp; ((COUNTIF(E35:AF35, "✓") + COUNTIF(E35:AF35, "✔") + COUNTIF(E35:AF35, "v") + COUNTIF(E35:AF35, "V")) + COUNTIF(E35:AF35, "✗") + COUNTIF(E35:AF35, "x") + COUNTIF(E35:AF35, "X")), "")))</f>
        <v/>
      </c>
      <c r="AI35" s="131">
        <f>IF(ISBLANK(B35), "", IF(AG35&gt;=0.85, "🔥 Mastered", IF(AG35&gt;=0.7, "⚡ Consistent", "⚠️ Needs Focus")))</f>
        <v/>
      </c>
      <c r="AJ35">
        <f>COUNTIF(E35:AF35, "✓")</f>
        <v/>
      </c>
    </row>
    <row r="36" ht="14.5" customHeight="1">
      <c r="A36" s="125" t="n">
        <v>19</v>
      </c>
      <c r="B36" s="126" t="n"/>
      <c r="C36" s="127" t="n"/>
      <c r="D36" s="127" t="n"/>
      <c r="E36" s="128" t="n"/>
      <c r="F36" s="128" t="n"/>
      <c r="G36" s="128" t="n"/>
      <c r="H36" s="128" t="n"/>
      <c r="I36" s="128" t="n"/>
      <c r="J36" s="128" t="n"/>
      <c r="K36" s="129" t="n"/>
      <c r="L36" s="128" t="n"/>
      <c r="M36" s="128" t="n"/>
      <c r="N36" s="128" t="n"/>
      <c r="O36" s="128" t="n"/>
      <c r="P36" s="128" t="n"/>
      <c r="Q36" s="128" t="n"/>
      <c r="R36" s="129" t="n"/>
      <c r="S36" s="128" t="n"/>
      <c r="T36" s="128" t="n"/>
      <c r="U36" s="128" t="n"/>
      <c r="V36" s="128" t="n"/>
      <c r="W36" s="128" t="n"/>
      <c r="X36" s="128" t="n"/>
      <c r="Y36" s="129" t="n"/>
      <c r="Z36" s="128" t="n"/>
      <c r="AA36" s="128" t="n"/>
      <c r="AB36" s="128" t="n"/>
      <c r="AC36" s="128" t="n"/>
      <c r="AD36" s="128" t="n"/>
      <c r="AE36" s="128" t="n"/>
      <c r="AF36" s="129" t="n"/>
      <c r="AG36" s="130">
        <f>IF(ISBLANK(B36), "", IF(ISNUMBER(D36), IF(D36&gt;0, (COUNTIF(E36:AF36, "✓") + COUNTIF(E36:AF36, "✔") + COUNTIF(E36:AF36, "v") + COUNTIF(E36:AF36, "V"))/D36, 0), IF(((COUNTIF(E36:AF36, "✓") + COUNTIF(E36:AF36, "✔") + COUNTIF(E36:AF36, "v") + COUNTIF(E36:AF36, "V")) + COUNTIF(E36:AF36, "✗") + COUNTIF(E36:AF36, "x") + COUNTIF(E36:AF36, "X"))&gt;0, (COUNTIF(E36:AF36, "✓") + COUNTIF(E36:AF36, "✔") + COUNTIF(E36:AF36, "v") + COUNTIF(E36:AF36, "V"))/((COUNTIF(E36:AF36, "✓") + COUNTIF(E36:AF36, "✔") + COUNTIF(E36:AF36, "v") + COUNTIF(E36:AF36, "V")) + COUNTIF(E36:AF36, "✗") + COUNTIF(E36:AF36, "x") + COUNTIF(E36:AF36, "X")), "")))</f>
        <v/>
      </c>
      <c r="AH36" s="131">
        <f>IF(ISBLANK(B36), "", IF(ISNUMBER(D36), IF(D36&gt;0, (COUNTIF(E36:AF36, "✓") + COUNTIF(E36:AF36, "✔") + COUNTIF(E36:AF36, "v") + COUNTIF(E36:AF36, "V")) &amp; "/" &amp; D36, (COUNTIF(E36:AF36, "✓") + COUNTIF(E36:AF36, "✔") + COUNTIF(E36:AF36, "v") + COUNTIF(E36:AF36, "V")) &amp; "/0"), IF(((COUNTIF(E36:AF36, "✓") + COUNTIF(E36:AF36, "✔") + COUNTIF(E36:AF36, "v") + COUNTIF(E36:AF36, "V")) + COUNTIF(E36:AF36, "✗") + COUNTIF(E36:AF36, "x") + COUNTIF(E36:AF36, "X"))&gt;0, (COUNTIF(E36:AF36, "✓") + COUNTIF(E36:AF36, "✔") + COUNTIF(E36:AF36, "v") + COUNTIF(E36:AF36, "V")) &amp; "/" &amp; ((COUNTIF(E36:AF36, "✓") + COUNTIF(E36:AF36, "✔") + COUNTIF(E36:AF36, "v") + COUNTIF(E36:AF36, "V")) + COUNTIF(E36:AF36, "✗") + COUNTIF(E36:AF36, "x") + COUNTIF(E36:AF36, "X")), "")))</f>
        <v/>
      </c>
      <c r="AI36" s="131">
        <f>IF(ISBLANK(B36), "", IF(AG36&gt;=0.85, "🔥 Mastered", IF(AG36&gt;=0.7, "⚡ Consistent", "⚠️ Needs Focus")))</f>
        <v/>
      </c>
      <c r="AJ36">
        <f>COUNTIF(E36:AF36, "✓")</f>
        <v/>
      </c>
    </row>
    <row r="37" ht="14.5" customHeight="1">
      <c r="A37" s="125" t="n">
        <v>20</v>
      </c>
      <c r="B37" s="126" t="n"/>
      <c r="C37" s="127" t="n"/>
      <c r="D37" s="127" t="n"/>
      <c r="E37" s="128" t="n"/>
      <c r="F37" s="128" t="n"/>
      <c r="G37" s="128" t="n"/>
      <c r="H37" s="128" t="n"/>
      <c r="I37" s="128" t="n"/>
      <c r="J37" s="128" t="n"/>
      <c r="K37" s="129" t="n"/>
      <c r="L37" s="128" t="n"/>
      <c r="M37" s="128" t="n"/>
      <c r="N37" s="128" t="n"/>
      <c r="O37" s="128" t="n"/>
      <c r="P37" s="128" t="n"/>
      <c r="Q37" s="128" t="n"/>
      <c r="R37" s="129" t="n"/>
      <c r="S37" s="128" t="n"/>
      <c r="T37" s="128" t="n"/>
      <c r="U37" s="128" t="n"/>
      <c r="V37" s="128" t="n"/>
      <c r="W37" s="128" t="n"/>
      <c r="X37" s="128" t="n"/>
      <c r="Y37" s="129" t="n"/>
      <c r="Z37" s="128" t="n"/>
      <c r="AA37" s="128" t="n"/>
      <c r="AB37" s="128" t="n"/>
      <c r="AC37" s="128" t="n"/>
      <c r="AD37" s="128" t="n"/>
      <c r="AE37" s="128" t="n"/>
      <c r="AF37" s="129" t="n"/>
      <c r="AG37" s="130">
        <f>IF(ISBLANK(B37), "", IF(ISNUMBER(D37), IF(D37&gt;0, (COUNTIF(E37:AF37, "✓") + COUNTIF(E37:AF37, "✔") + COUNTIF(E37:AF37, "v") + COUNTIF(E37:AF37, "V"))/D37, 0), IF(((COUNTIF(E37:AF37, "✓") + COUNTIF(E37:AF37, "✔") + COUNTIF(E37:AF37, "v") + COUNTIF(E37:AF37, "V")) + COUNTIF(E37:AF37, "✗") + COUNTIF(E37:AF37, "x") + COUNTIF(E37:AF37, "X"))&gt;0, (COUNTIF(E37:AF37, "✓") + COUNTIF(E37:AF37, "✔") + COUNTIF(E37:AF37, "v") + COUNTIF(E37:AF37, "V"))/((COUNTIF(E37:AF37, "✓") + COUNTIF(E37:AF37, "✔") + COUNTIF(E37:AF37, "v") + COUNTIF(E37:AF37, "V")) + COUNTIF(E37:AF37, "✗") + COUNTIF(E37:AF37, "x") + COUNTIF(E37:AF37, "X")), "")))</f>
        <v/>
      </c>
      <c r="AH37" s="131">
        <f>IF(ISBLANK(B37), "", IF(ISNUMBER(D37), IF(D37&gt;0, (COUNTIF(E37:AF37, "✓") + COUNTIF(E37:AF37, "✔") + COUNTIF(E37:AF37, "v") + COUNTIF(E37:AF37, "V")) &amp; "/" &amp; D37, (COUNTIF(E37:AF37, "✓") + COUNTIF(E37:AF37, "✔") + COUNTIF(E37:AF37, "v") + COUNTIF(E37:AF37, "V")) &amp; "/0"), IF(((COUNTIF(E37:AF37, "✓") + COUNTIF(E37:AF37, "✔") + COUNTIF(E37:AF37, "v") + COUNTIF(E37:AF37, "V")) + COUNTIF(E37:AF37, "✗") + COUNTIF(E37:AF37, "x") + COUNTIF(E37:AF37, "X"))&gt;0, (COUNTIF(E37:AF37, "✓") + COUNTIF(E37:AF37, "✔") + COUNTIF(E37:AF37, "v") + COUNTIF(E37:AF37, "V")) &amp; "/" &amp; ((COUNTIF(E37:AF37, "✓") + COUNTIF(E37:AF37, "✔") + COUNTIF(E37:AF37, "v") + COUNTIF(E37:AF37, "V")) + COUNTIF(E37:AF37, "✗") + COUNTIF(E37:AF37, "x") + COUNTIF(E37:AF37, "X")), "")))</f>
        <v/>
      </c>
      <c r="AI37" s="131">
        <f>IF(ISBLANK(B37), "", IF(AG37&gt;=0.85, "🔥 Mastered", IF(AG37&gt;=0.7, "⚡ Consistent", "⚠️ Needs Focus")))</f>
        <v/>
      </c>
      <c r="AJ37">
        <f>COUNTIF(E37:AF37, "✓")</f>
        <v/>
      </c>
    </row>
    <row r="38" ht="18" customHeight="1">
      <c r="A38" s="132" t="inlineStr">
        <is>
          <t>DAILY TOTAL SCORE</t>
        </is>
      </c>
      <c r="B38" s="54" t="n"/>
      <c r="C38" s="54" t="n"/>
      <c r="D38" s="54" t="n"/>
      <c r="E38" s="33">
        <f>IF(((COUNTIF(E18:E37, "✓") + COUNTIF(E18:E37, "✔") + COUNTIF(E18:E37, "v") + COUNTIF(E18:E37, "V")) + COUNTIF(E18:E37, "✗") + COUNTIF(E18:E37, "x") + COUNTIF(E18:E37, "X")) &gt; 0, (COUNTIF(E18:E37, "✓") + COUNTIF(E18:E37, "✔") + COUNTIF(E18:E37, "v") + COUNTIF(E18:E37, "V")) &amp; "/" &amp; ((COUNTIF(E18:E37, "✓") + COUNTIF(E18:E37, "✔") + COUNTIF(E18:E37, "v") + COUNTIF(E18:E37, "V")) + COUNTIF(E18:E37, "✗") + COUNTIF(E18:E37, "x") + COUNTIF(E18:E37, "X")), "")</f>
        <v/>
      </c>
      <c r="F38" s="33">
        <f>IF(((COUNTIF(F18:F37, "✓") + COUNTIF(F18:F37, "✔") + COUNTIF(F18:F37, "v") + COUNTIF(F18:F37, "V")) + COUNTIF(F18:F37, "✗") + COUNTIF(F18:F37, "x") + COUNTIF(F18:F37, "X")) &gt; 0, (COUNTIF(F18:F37, "✓") + COUNTIF(F18:F37, "✔") + COUNTIF(F18:F37, "v") + COUNTIF(F18:F37, "V")) &amp; "/" &amp; ((COUNTIF(F18:F37, "✓") + COUNTIF(F18:F37, "✔") + COUNTIF(F18:F37, "v") + COUNTIF(F18:F37, "V")) + COUNTIF(F18:F37, "✗") + COUNTIF(F18:F37, "x") + COUNTIF(F18:F37, "X")), "")</f>
        <v/>
      </c>
      <c r="G38" s="33">
        <f>IF(((COUNTIF(G18:G37, "✓") + COUNTIF(G18:G37, "✔") + COUNTIF(G18:G37, "v") + COUNTIF(G18:G37, "V")) + COUNTIF(G18:G37, "✗") + COUNTIF(G18:G37, "x") + COUNTIF(G18:G37, "X")) &gt; 0, (COUNTIF(G18:G37, "✓") + COUNTIF(G18:G37, "✔") + COUNTIF(G18:G37, "v") + COUNTIF(G18:G37, "V")) &amp; "/" &amp; ((COUNTIF(G18:G37, "✓") + COUNTIF(G18:G37, "✔") + COUNTIF(G18:G37, "v") + COUNTIF(G18:G37, "V")) + COUNTIF(G18:G37, "✗") + COUNTIF(G18:G37, "x") + COUNTIF(G18:G37, "X")), "")</f>
        <v/>
      </c>
      <c r="H38" s="33">
        <f>IF(((COUNTIF(H18:H37, "✓") + COUNTIF(H18:H37, "✔") + COUNTIF(H18:H37, "v") + COUNTIF(H18:H37, "V")) + COUNTIF(H18:H37, "✗") + COUNTIF(H18:H37, "x") + COUNTIF(H18:H37, "X")) &gt; 0, (COUNTIF(H18:H37, "✓") + COUNTIF(H18:H37, "✔") + COUNTIF(H18:H37, "v") + COUNTIF(H18:H37, "V")) &amp; "/" &amp; ((COUNTIF(H18:H37, "✓") + COUNTIF(H18:H37, "✔") + COUNTIF(H18:H37, "v") + COUNTIF(H18:H37, "V")) + COUNTIF(H18:H37, "✗") + COUNTIF(H18:H37, "x") + COUNTIF(H18:H37, "X")), "")</f>
        <v/>
      </c>
      <c r="I38" s="33">
        <f>IF(((COUNTIF(I18:I37, "✓") + COUNTIF(I18:I37, "✔") + COUNTIF(I18:I37, "v") + COUNTIF(I18:I37, "V")) + COUNTIF(I18:I37, "✗") + COUNTIF(I18:I37, "x") + COUNTIF(I18:I37, "X")) &gt; 0, (COUNTIF(I18:I37, "✓") + COUNTIF(I18:I37, "✔") + COUNTIF(I18:I37, "v") + COUNTIF(I18:I37, "V")) &amp; "/" &amp; ((COUNTIF(I18:I37, "✓") + COUNTIF(I18:I37, "✔") + COUNTIF(I18:I37, "v") + COUNTIF(I18:I37, "V")) + COUNTIF(I18:I37, "✗") + COUNTIF(I18:I37, "x") + COUNTIF(I18:I37, "X")), "")</f>
        <v/>
      </c>
      <c r="J38" s="33">
        <f>IF(((COUNTIF(J18:J37, "✓") + COUNTIF(J18:J37, "✔") + COUNTIF(J18:J37, "v") + COUNTIF(J18:J37, "V")) + COUNTIF(J18:J37, "✗") + COUNTIF(J18:J37, "x") + COUNTIF(J18:J37, "X")) &gt; 0, (COUNTIF(J18:J37, "✓") + COUNTIF(J18:J37, "✔") + COUNTIF(J18:J37, "v") + COUNTIF(J18:J37, "V")) &amp; "/" &amp; ((COUNTIF(J18:J37, "✓") + COUNTIF(J18:J37, "✔") + COUNTIF(J18:J37, "v") + COUNTIF(J18:J37, "V")) + COUNTIF(J18:J37, "✗") + COUNTIF(J18:J37, "x") + COUNTIF(J18:J37, "X")), "")</f>
        <v/>
      </c>
      <c r="K38" s="33">
        <f>IF(((COUNTIF(K18:K37, "✓") + COUNTIF(K18:K37, "✔") + COUNTIF(K18:K37, "v") + COUNTIF(K18:K37, "V")) + COUNTIF(K18:K37, "✗") + COUNTIF(K18:K37, "x") + COUNTIF(K18:K37, "X")) &gt; 0, (COUNTIF(K18:K37, "✓") + COUNTIF(K18:K37, "✔") + COUNTIF(K18:K37, "v") + COUNTIF(K18:K37, "V")) &amp; "/" &amp; ((COUNTIF(K18:K37, "✓") + COUNTIF(K18:K37, "✔") + COUNTIF(K18:K37, "v") + COUNTIF(K18:K37, "V")) + COUNTIF(K18:K37, "✗") + COUNTIF(K18:K37, "x") + COUNTIF(K18:K37, "X")), "")</f>
        <v/>
      </c>
      <c r="L38" s="33">
        <f>IF(((COUNTIF(L18:L37, "✓") + COUNTIF(L18:L37, "✔") + COUNTIF(L18:L37, "v") + COUNTIF(L18:L37, "V")) + COUNTIF(L18:L37, "✗") + COUNTIF(L18:L37, "x") + COUNTIF(L18:L37, "X")) &gt; 0, (COUNTIF(L18:L37, "✓") + COUNTIF(L18:L37, "✔") + COUNTIF(L18:L37, "v") + COUNTIF(L18:L37, "V")) &amp; "/" &amp; ((COUNTIF(L18:L37, "✓") + COUNTIF(L18:L37, "✔") + COUNTIF(L18:L37, "v") + COUNTIF(L18:L37, "V")) + COUNTIF(L18:L37, "✗") + COUNTIF(L18:L37, "x") + COUNTIF(L18:L37, "X")), "")</f>
        <v/>
      </c>
      <c r="M38" s="33">
        <f>IF(((COUNTIF(M18:M37, "✓") + COUNTIF(M18:M37, "✔") + COUNTIF(M18:M37, "v") + COUNTIF(M18:M37, "V")) + COUNTIF(M18:M37, "✗") + COUNTIF(M18:M37, "x") + COUNTIF(M18:M37, "X")) &gt; 0, (COUNTIF(M18:M37, "✓") + COUNTIF(M18:M37, "✔") + COUNTIF(M18:M37, "v") + COUNTIF(M18:M37, "V")) &amp; "/" &amp; ((COUNTIF(M18:M37, "✓") + COUNTIF(M18:M37, "✔") + COUNTIF(M18:M37, "v") + COUNTIF(M18:M37, "V")) + COUNTIF(M18:M37, "✗") + COUNTIF(M18:M37, "x") + COUNTIF(M18:M37, "X")), "")</f>
        <v/>
      </c>
      <c r="N38" s="33">
        <f>IF(((COUNTIF(N18:N37, "✓") + COUNTIF(N18:N37, "✔") + COUNTIF(N18:N37, "v") + COUNTIF(N18:N37, "V")) + COUNTIF(N18:N37, "✗") + COUNTIF(N18:N37, "x") + COUNTIF(N18:N37, "X")) &gt; 0, (COUNTIF(N18:N37, "✓") + COUNTIF(N18:N37, "✔") + COUNTIF(N18:N37, "v") + COUNTIF(N18:N37, "V")) &amp; "/" &amp; ((COUNTIF(N18:N37, "✓") + COUNTIF(N18:N37, "✔") + COUNTIF(N18:N37, "v") + COUNTIF(N18:N37, "V")) + COUNTIF(N18:N37, "✗") + COUNTIF(N18:N37, "x") + COUNTIF(N18:N37, "X")), "")</f>
        <v/>
      </c>
      <c r="O38" s="33">
        <f>IF(((COUNTIF(O18:O37, "✓") + COUNTIF(O18:O37, "✔") + COUNTIF(O18:O37, "v") + COUNTIF(O18:O37, "V")) + COUNTIF(O18:O37, "✗") + COUNTIF(O18:O37, "x") + COUNTIF(O18:O37, "X")) &gt; 0, (COUNTIF(O18:O37, "✓") + COUNTIF(O18:O37, "✔") + COUNTIF(O18:O37, "v") + COUNTIF(O18:O37, "V")) &amp; "/" &amp; ((COUNTIF(O18:O37, "✓") + COUNTIF(O18:O37, "✔") + COUNTIF(O18:O37, "v") + COUNTIF(O18:O37, "V")) + COUNTIF(O18:O37, "✗") + COUNTIF(O18:O37, "x") + COUNTIF(O18:O37, "X")), "")</f>
        <v/>
      </c>
      <c r="P38" s="33">
        <f>IF(((COUNTIF(P18:P37, "✓") + COUNTIF(P18:P37, "✔") + COUNTIF(P18:P37, "v") + COUNTIF(P18:P37, "V")) + COUNTIF(P18:P37, "✗") + COUNTIF(P18:P37, "x") + COUNTIF(P18:P37, "X")) &gt; 0, (COUNTIF(P18:P37, "✓") + COUNTIF(P18:P37, "✔") + COUNTIF(P18:P37, "v") + COUNTIF(P18:P37, "V")) &amp; "/" &amp; ((COUNTIF(P18:P37, "✓") + COUNTIF(P18:P37, "✔") + COUNTIF(P18:P37, "v") + COUNTIF(P18:P37, "V")) + COUNTIF(P18:P37, "✗") + COUNTIF(P18:P37, "x") + COUNTIF(P18:P37, "X")), "")</f>
        <v/>
      </c>
      <c r="Q38" s="33">
        <f>IF(((COUNTIF(Q18:Q37, "✓") + COUNTIF(Q18:Q37, "✔") + COUNTIF(Q18:Q37, "v") + COUNTIF(Q18:Q37, "V")) + COUNTIF(Q18:Q37, "✗") + COUNTIF(Q18:Q37, "x") + COUNTIF(Q18:Q37, "X")) &gt; 0, (COUNTIF(Q18:Q37, "✓") + COUNTIF(Q18:Q37, "✔") + COUNTIF(Q18:Q37, "v") + COUNTIF(Q18:Q37, "V")) &amp; "/" &amp; ((COUNTIF(Q18:Q37, "✓") + COUNTIF(Q18:Q37, "✔") + COUNTIF(Q18:Q37, "v") + COUNTIF(Q18:Q37, "V")) + COUNTIF(Q18:Q37, "✗") + COUNTIF(Q18:Q37, "x") + COUNTIF(Q18:Q37, "X")), "")</f>
        <v/>
      </c>
      <c r="R38" s="33">
        <f>IF(((COUNTIF(R18:R37, "✓") + COUNTIF(R18:R37, "✔") + COUNTIF(R18:R37, "v") + COUNTIF(R18:R37, "V")) + COUNTIF(R18:R37, "✗") + COUNTIF(R18:R37, "x") + COUNTIF(R18:R37, "X")) &gt; 0, (COUNTIF(R18:R37, "✓") + COUNTIF(R18:R37, "✔") + COUNTIF(R18:R37, "v") + COUNTIF(R18:R37, "V")) &amp; "/" &amp; ((COUNTIF(R18:R37, "✓") + COUNTIF(R18:R37, "✔") + COUNTIF(R18:R37, "v") + COUNTIF(R18:R37, "V")) + COUNTIF(R18:R37, "✗") + COUNTIF(R18:R37, "x") + COUNTIF(R18:R37, "X")), "")</f>
        <v/>
      </c>
      <c r="S38" s="33">
        <f>IF(((COUNTIF(S18:S37, "✓") + COUNTIF(S18:S37, "✔") + COUNTIF(S18:S37, "v") + COUNTIF(S18:S37, "V")) + COUNTIF(S18:S37, "✗") + COUNTIF(S18:S37, "x") + COUNTIF(S18:S37, "X")) &gt; 0, (COUNTIF(S18:S37, "✓") + COUNTIF(S18:S37, "✔") + COUNTIF(S18:S37, "v") + COUNTIF(S18:S37, "V")) &amp; "/" &amp; ((COUNTIF(S18:S37, "✓") + COUNTIF(S18:S37, "✔") + COUNTIF(S18:S37, "v") + COUNTIF(S18:S37, "V")) + COUNTIF(S18:S37, "✗") + COUNTIF(S18:S37, "x") + COUNTIF(S18:S37, "X")), "")</f>
        <v/>
      </c>
      <c r="T38" s="33">
        <f>IF(((COUNTIF(T18:T37, "✓") + COUNTIF(T18:T37, "✔") + COUNTIF(T18:T37, "v") + COUNTIF(T18:T37, "V")) + COUNTIF(T18:T37, "✗") + COUNTIF(T18:T37, "x") + COUNTIF(T18:T37, "X")) &gt; 0, (COUNTIF(T18:T37, "✓") + COUNTIF(T18:T37, "✔") + COUNTIF(T18:T37, "v") + COUNTIF(T18:T37, "V")) &amp; "/" &amp; ((COUNTIF(T18:T37, "✓") + COUNTIF(T18:T37, "✔") + COUNTIF(T18:T37, "v") + COUNTIF(T18:T37, "V")) + COUNTIF(T18:T37, "✗") + COUNTIF(T18:T37, "x") + COUNTIF(T18:T37, "X")), "")</f>
        <v/>
      </c>
      <c r="U38" s="33">
        <f>IF(((COUNTIF(U18:U37, "✓") + COUNTIF(U18:U37, "✔") + COUNTIF(U18:U37, "v") + COUNTIF(U18:U37, "V")) + COUNTIF(U18:U37, "✗") + COUNTIF(U18:U37, "x") + COUNTIF(U18:U37, "X")) &gt; 0, (COUNTIF(U18:U37, "✓") + COUNTIF(U18:U37, "✔") + COUNTIF(U18:U37, "v") + COUNTIF(U18:U37, "V")) &amp; "/" &amp; ((COUNTIF(U18:U37, "✓") + COUNTIF(U18:U37, "✔") + COUNTIF(U18:U37, "v") + COUNTIF(U18:U37, "V")) + COUNTIF(U18:U37, "✗") + COUNTIF(U18:U37, "x") + COUNTIF(U18:U37, "X")), "")</f>
        <v/>
      </c>
      <c r="V38" s="33">
        <f>IF(((COUNTIF(V18:V37, "✓") + COUNTIF(V18:V37, "✔") + COUNTIF(V18:V37, "v") + COUNTIF(V18:V37, "V")) + COUNTIF(V18:V37, "✗") + COUNTIF(V18:V37, "x") + COUNTIF(V18:V37, "X")) &gt; 0, (COUNTIF(V18:V37, "✓") + COUNTIF(V18:V37, "✔") + COUNTIF(V18:V37, "v") + COUNTIF(V18:V37, "V")) &amp; "/" &amp; ((COUNTIF(V18:V37, "✓") + COUNTIF(V18:V37, "✔") + COUNTIF(V18:V37, "v") + COUNTIF(V18:V37, "V")) + COUNTIF(V18:V37, "✗") + COUNTIF(V18:V37, "x") + COUNTIF(V18:V37, "X")), "")</f>
        <v/>
      </c>
      <c r="W38" s="33">
        <f>IF(((COUNTIF(W18:W37, "✓") + COUNTIF(W18:W37, "✔") + COUNTIF(W18:W37, "v") + COUNTIF(W18:W37, "V")) + COUNTIF(W18:W37, "✗") + COUNTIF(W18:W37, "x") + COUNTIF(W18:W37, "X")) &gt; 0, (COUNTIF(W18:W37, "✓") + COUNTIF(W18:W37, "✔") + COUNTIF(W18:W37, "v") + COUNTIF(W18:W37, "V")) &amp; "/" &amp; ((COUNTIF(W18:W37, "✓") + COUNTIF(W18:W37, "✔") + COUNTIF(W18:W37, "v") + COUNTIF(W18:W37, "V")) + COUNTIF(W18:W37, "✗") + COUNTIF(W18:W37, "x") + COUNTIF(W18:W37, "X")), "")</f>
        <v/>
      </c>
      <c r="X38" s="33">
        <f>IF(((COUNTIF(X18:X37, "✓") + COUNTIF(X18:X37, "✔") + COUNTIF(X18:X37, "v") + COUNTIF(X18:X37, "V")) + COUNTIF(X18:X37, "✗") + COUNTIF(X18:X37, "x") + COUNTIF(X18:X37, "X")) &gt; 0, (COUNTIF(X18:X37, "✓") + COUNTIF(X18:X37, "✔") + COUNTIF(X18:X37, "v") + COUNTIF(X18:X37, "V")) &amp; "/" &amp; ((COUNTIF(X18:X37, "✓") + COUNTIF(X18:X37, "✔") + COUNTIF(X18:X37, "v") + COUNTIF(X18:X37, "V")) + COUNTIF(X18:X37, "✗") + COUNTIF(X18:X37, "x") + COUNTIF(X18:X37, "X")), "")</f>
        <v/>
      </c>
      <c r="Y38" s="33">
        <f>IF(((COUNTIF(Y18:Y37, "✓") + COUNTIF(Y18:Y37, "✔") + COUNTIF(Y18:Y37, "v") + COUNTIF(Y18:Y37, "V")) + COUNTIF(Y18:Y37, "✗") + COUNTIF(Y18:Y37, "x") + COUNTIF(Y18:Y37, "X")) &gt; 0, (COUNTIF(Y18:Y37, "✓") + COUNTIF(Y18:Y37, "✔") + COUNTIF(Y18:Y37, "v") + COUNTIF(Y18:Y37, "V")) &amp; "/" &amp; ((COUNTIF(Y18:Y37, "✓") + COUNTIF(Y18:Y37, "✔") + COUNTIF(Y18:Y37, "v") + COUNTIF(Y18:Y37, "V")) + COUNTIF(Y18:Y37, "✗") + COUNTIF(Y18:Y37, "x") + COUNTIF(Y18:Y37, "X")), "")</f>
        <v/>
      </c>
      <c r="Z38" s="33">
        <f>IF(((COUNTIF(Z18:Z37, "✓") + COUNTIF(Z18:Z37, "✔") + COUNTIF(Z18:Z37, "v") + COUNTIF(Z18:Z37, "V")) + COUNTIF(Z18:Z37, "✗") + COUNTIF(Z18:Z37, "x") + COUNTIF(Z18:Z37, "X")) &gt; 0, (COUNTIF(Z18:Z37, "✓") + COUNTIF(Z18:Z37, "✔") + COUNTIF(Z18:Z37, "v") + COUNTIF(Z18:Z37, "V")) &amp; "/" &amp; ((COUNTIF(Z18:Z37, "✓") + COUNTIF(Z18:Z37, "✔") + COUNTIF(Z18:Z37, "v") + COUNTIF(Z18:Z37, "V")) + COUNTIF(Z18:Z37, "✗") + COUNTIF(Z18:Z37, "x") + COUNTIF(Z18:Z37, "X")), "")</f>
        <v/>
      </c>
      <c r="AA38" s="33">
        <f>IF(((COUNTIF(AA18:AA37, "✓") + COUNTIF(AA18:AA37, "✔") + COUNTIF(AA18:AA37, "v") + COUNTIF(AA18:AA37, "V")) + COUNTIF(AA18:AA37, "✗") + COUNTIF(AA18:AA37, "x") + COUNTIF(AA18:AA37, "X")) &gt; 0, (COUNTIF(AA18:AA37, "✓") + COUNTIF(AA18:AA37, "✔") + COUNTIF(AA18:AA37, "v") + COUNTIF(AA18:AA37, "V")) &amp; "/" &amp; ((COUNTIF(AA18:AA37, "✓") + COUNTIF(AA18:AA37, "✔") + COUNTIF(AA18:AA37, "v") + COUNTIF(AA18:AA37, "V")) + COUNTIF(AA18:AA37, "✗") + COUNTIF(AA18:AA37, "x") + COUNTIF(AA18:AA37, "X")), "")</f>
        <v/>
      </c>
      <c r="AB38" s="33">
        <f>IF(((COUNTIF(AB18:AB37, "✓") + COUNTIF(AB18:AB37, "✔") + COUNTIF(AB18:AB37, "v") + COUNTIF(AB18:AB37, "V")) + COUNTIF(AB18:AB37, "✗") + COUNTIF(AB18:AB37, "x") + COUNTIF(AB18:AB37, "X")) &gt; 0, (COUNTIF(AB18:AB37, "✓") + COUNTIF(AB18:AB37, "✔") + COUNTIF(AB18:AB37, "v") + COUNTIF(AB18:AB37, "V")) &amp; "/" &amp; ((COUNTIF(AB18:AB37, "✓") + COUNTIF(AB18:AB37, "✔") + COUNTIF(AB18:AB37, "v") + COUNTIF(AB18:AB37, "V")) + COUNTIF(AB18:AB37, "✗") + COUNTIF(AB18:AB37, "x") + COUNTIF(AB18:AB37, "X")), "")</f>
        <v/>
      </c>
      <c r="AC38" s="33">
        <f>IF(((COUNTIF(AC18:AC37, "✓") + COUNTIF(AC18:AC37, "✔") + COUNTIF(AC18:AC37, "v") + COUNTIF(AC18:AC37, "V")) + COUNTIF(AC18:AC37, "✗") + COUNTIF(AC18:AC37, "x") + COUNTIF(AC18:AC37, "X")) &gt; 0, (COUNTIF(AC18:AC37, "✓") + COUNTIF(AC18:AC37, "✔") + COUNTIF(AC18:AC37, "v") + COUNTIF(AC18:AC37, "V")) &amp; "/" &amp; ((COUNTIF(AC18:AC37, "✓") + COUNTIF(AC18:AC37, "✔") + COUNTIF(AC18:AC37, "v") + COUNTIF(AC18:AC37, "V")) + COUNTIF(AC18:AC37, "✗") + COUNTIF(AC18:AC37, "x") + COUNTIF(AC18:AC37, "X")), "")</f>
        <v/>
      </c>
      <c r="AD38" s="33">
        <f>IF(((COUNTIF(AD18:AD37, "✓") + COUNTIF(AD18:AD37, "✔") + COUNTIF(AD18:AD37, "v") + COUNTIF(AD18:AD37, "V")) + COUNTIF(AD18:AD37, "✗") + COUNTIF(AD18:AD37, "x") + COUNTIF(AD18:AD37, "X")) &gt; 0, (COUNTIF(AD18:AD37, "✓") + COUNTIF(AD18:AD37, "✔") + COUNTIF(AD18:AD37, "v") + COUNTIF(AD18:AD37, "V")) &amp; "/" &amp; ((COUNTIF(AD18:AD37, "✓") + COUNTIF(AD18:AD37, "✔") + COUNTIF(AD18:AD37, "v") + COUNTIF(AD18:AD37, "V")) + COUNTIF(AD18:AD37, "✗") + COUNTIF(AD18:AD37, "x") + COUNTIF(AD18:AD37, "X")), "")</f>
        <v/>
      </c>
      <c r="AE38" s="33">
        <f>IF(((COUNTIF(AE18:AE37, "✓") + COUNTIF(AE18:AE37, "✔") + COUNTIF(AE18:AE37, "v") + COUNTIF(AE18:AE37, "V")) + COUNTIF(AE18:AE37, "✗") + COUNTIF(AE18:AE37, "x") + COUNTIF(AE18:AE37, "X")) &gt; 0, (COUNTIF(AE18:AE37, "✓") + COUNTIF(AE18:AE37, "✔") + COUNTIF(AE18:AE37, "v") + COUNTIF(AE18:AE37, "V")) &amp; "/" &amp; ((COUNTIF(AE18:AE37, "✓") + COUNTIF(AE18:AE37, "✔") + COUNTIF(AE18:AE37, "v") + COUNTIF(AE18:AE37, "V")) + COUNTIF(AE18:AE37, "✗") + COUNTIF(AE18:AE37, "x") + COUNTIF(AE18:AE37, "X")), "")</f>
        <v/>
      </c>
      <c r="AF38" s="33">
        <f>IF(((COUNTIF(AF18:AF37, "✓") + COUNTIF(AF18:AF37, "✔") + COUNTIF(AF18:AF37, "v") + COUNTIF(AF18:AF37, "V")) + COUNTIF(AF18:AF37, "✗") + COUNTIF(AF18:AF37, "x") + COUNTIF(AF18:AF37, "X")) &gt; 0, (COUNTIF(AF18:AF37, "✓") + COUNTIF(AF18:AF37, "✔") + COUNTIF(AF18:AF37, "v") + COUNTIF(AF18:AF37, "V")) &amp; "/" &amp; ((COUNTIF(AF18:AF37, "✓") + COUNTIF(AF18:AF37, "✔") + COUNTIF(AF18:AF37, "v") + COUNTIF(AF18:AF37, "V")) + COUNTIF(AF18:AF37, "✗") + COUNTIF(AF18:AF37, "x") + COUNTIF(AF18:AF37, "X")), "")</f>
        <v/>
      </c>
      <c r="AG38" s="133">
        <f>IF(SUM(D18:D37) &gt; 0, SUM(AJ18:AJ37) / SUM(D18:D37), "")</f>
        <v/>
      </c>
      <c r="AH38" s="33">
        <f>IF(SUM(D18:D37) &gt; 0, SUM(AJ18:AJ37) &amp; "/" &amp; SUM(D18:D37), "")</f>
        <v/>
      </c>
      <c r="AI38" s="54" t="n"/>
    </row>
    <row r="39" ht="18" customHeight="1">
      <c r="A39" s="132" t="inlineStr">
        <is>
          <t>DAILY SUCCESS %</t>
        </is>
      </c>
      <c r="B39" s="54" t="n"/>
      <c r="C39" s="54" t="n"/>
      <c r="D39" s="54" t="n"/>
      <c r="E39" s="134">
        <f>IF(((COUNTIF(E18:E37, "✓") + COUNTIF(E18:E37, "✔") + COUNTIF(E18:E37, "v") + COUNTIF(E18:E37, "V")) + COUNTIF(E18:E37, "✗") + COUNTIF(E18:E37, "x") + COUNTIF(E18:E37, "X")) &gt; 0, (COUNTIF(E18:E37, "✓") + COUNTIF(E18:E37, "✔") + COUNTIF(E18:E37, "v") + COUNTIF(E18:E37, "V")) / ((COUNTIF(E18:E37, "✓") + COUNTIF(E18:E37, "✔") + COUNTIF(E18:E37, "v") + COUNTIF(E18:E37, "V")) + COUNTIF(E18:E37, "✗") + COUNTIF(E18:E37, "x") + COUNTIF(E18:E37, "X")), "")</f>
        <v/>
      </c>
      <c r="F39" s="134">
        <f>IF(((COUNTIF(F18:F37, "✓") + COUNTIF(F18:F37, "✔") + COUNTIF(F18:F37, "v") + COUNTIF(F18:F37, "V")) + COUNTIF(F18:F37, "✗") + COUNTIF(F18:F37, "x") + COUNTIF(F18:F37, "X")) &gt; 0, (COUNTIF(F18:F37, "✓") + COUNTIF(F18:F37, "✔") + COUNTIF(F18:F37, "v") + COUNTIF(F18:F37, "V")) / ((COUNTIF(F18:F37, "✓") + COUNTIF(F18:F37, "✔") + COUNTIF(F18:F37, "v") + COUNTIF(F18:F37, "V")) + COUNTIF(F18:F37, "✗") + COUNTIF(F18:F37, "x") + COUNTIF(F18:F37, "X")), "")</f>
        <v/>
      </c>
      <c r="G39" s="134">
        <f>IF(((COUNTIF(G18:G37, "✓") + COUNTIF(G18:G37, "✔") + COUNTIF(G18:G37, "v") + COUNTIF(G18:G37, "V")) + COUNTIF(G18:G37, "✗") + COUNTIF(G18:G37, "x") + COUNTIF(G18:G37, "X")) &gt; 0, (COUNTIF(G18:G37, "✓") + COUNTIF(G18:G37, "✔") + COUNTIF(G18:G37, "v") + COUNTIF(G18:G37, "V")) / ((COUNTIF(G18:G37, "✓") + COUNTIF(G18:G37, "✔") + COUNTIF(G18:G37, "v") + COUNTIF(G18:G37, "V")) + COUNTIF(G18:G37, "✗") + COUNTIF(G18:G37, "x") + COUNTIF(G18:G37, "X")), "")</f>
        <v/>
      </c>
      <c r="H39" s="134">
        <f>IF(((COUNTIF(H18:H37, "✓") + COUNTIF(H18:H37, "✔") + COUNTIF(H18:H37, "v") + COUNTIF(H18:H37, "V")) + COUNTIF(H18:H37, "✗") + COUNTIF(H18:H37, "x") + COUNTIF(H18:H37, "X")) &gt; 0, (COUNTIF(H18:H37, "✓") + COUNTIF(H18:H37, "✔") + COUNTIF(H18:H37, "v") + COUNTIF(H18:H37, "V")) / ((COUNTIF(H18:H37, "✓") + COUNTIF(H18:H37, "✔") + COUNTIF(H18:H37, "v") + COUNTIF(H18:H37, "V")) + COUNTIF(H18:H37, "✗") + COUNTIF(H18:H37, "x") + COUNTIF(H18:H37, "X")), "")</f>
        <v/>
      </c>
      <c r="I39" s="134">
        <f>IF(((COUNTIF(I18:I37, "✓") + COUNTIF(I18:I37, "✔") + COUNTIF(I18:I37, "v") + COUNTIF(I18:I37, "V")) + COUNTIF(I18:I37, "✗") + COUNTIF(I18:I37, "x") + COUNTIF(I18:I37, "X")) &gt; 0, (COUNTIF(I18:I37, "✓") + COUNTIF(I18:I37, "✔") + COUNTIF(I18:I37, "v") + COUNTIF(I18:I37, "V")) / ((COUNTIF(I18:I37, "✓") + COUNTIF(I18:I37, "✔") + COUNTIF(I18:I37, "v") + COUNTIF(I18:I37, "V")) + COUNTIF(I18:I37, "✗") + COUNTIF(I18:I37, "x") + COUNTIF(I18:I37, "X")), "")</f>
        <v/>
      </c>
      <c r="J39" s="134">
        <f>IF(((COUNTIF(J18:J37, "✓") + COUNTIF(J18:J37, "✔") + COUNTIF(J18:J37, "v") + COUNTIF(J18:J37, "V")) + COUNTIF(J18:J37, "✗") + COUNTIF(J18:J37, "x") + COUNTIF(J18:J37, "X")) &gt; 0, (COUNTIF(J18:J37, "✓") + COUNTIF(J18:J37, "✔") + COUNTIF(J18:J37, "v") + COUNTIF(J18:J37, "V")) / ((COUNTIF(J18:J37, "✓") + COUNTIF(J18:J37, "✔") + COUNTIF(J18:J37, "v") + COUNTIF(J18:J37, "V")) + COUNTIF(J18:J37, "✗") + COUNTIF(J18:J37, "x") + COUNTIF(J18:J37, "X")), "")</f>
        <v/>
      </c>
      <c r="K39" s="134">
        <f>IF(((COUNTIF(K18:K37, "✓") + COUNTIF(K18:K37, "✔") + COUNTIF(K18:K37, "v") + COUNTIF(K18:K37, "V")) + COUNTIF(K18:K37, "✗") + COUNTIF(K18:K37, "x") + COUNTIF(K18:K37, "X")) &gt; 0, (COUNTIF(K18:K37, "✓") + COUNTIF(K18:K37, "✔") + COUNTIF(K18:K37, "v") + COUNTIF(K18:K37, "V")) / ((COUNTIF(K18:K37, "✓") + COUNTIF(K18:K37, "✔") + COUNTIF(K18:K37, "v") + COUNTIF(K18:K37, "V")) + COUNTIF(K18:K37, "✗") + COUNTIF(K18:K37, "x") + COUNTIF(K18:K37, "X")), "")</f>
        <v/>
      </c>
      <c r="L39" s="134">
        <f>IF(((COUNTIF(L18:L37, "✓") + COUNTIF(L18:L37, "✔") + COUNTIF(L18:L37, "v") + COUNTIF(L18:L37, "V")) + COUNTIF(L18:L37, "✗") + COUNTIF(L18:L37, "x") + COUNTIF(L18:L37, "X")) &gt; 0, (COUNTIF(L18:L37, "✓") + COUNTIF(L18:L37, "✔") + COUNTIF(L18:L37, "v") + COUNTIF(L18:L37, "V")) / ((COUNTIF(L18:L37, "✓") + COUNTIF(L18:L37, "✔") + COUNTIF(L18:L37, "v") + COUNTIF(L18:L37, "V")) + COUNTIF(L18:L37, "✗") + COUNTIF(L18:L37, "x") + COUNTIF(L18:L37, "X")), "")</f>
        <v/>
      </c>
      <c r="M39" s="134">
        <f>IF(((COUNTIF(M18:M37, "✓") + COUNTIF(M18:M37, "✔") + COUNTIF(M18:M37, "v") + COUNTIF(M18:M37, "V")) + COUNTIF(M18:M37, "✗") + COUNTIF(M18:M37, "x") + COUNTIF(M18:M37, "X")) &gt; 0, (COUNTIF(M18:M37, "✓") + COUNTIF(M18:M37, "✔") + COUNTIF(M18:M37, "v") + COUNTIF(M18:M37, "V")) / ((COUNTIF(M18:M37, "✓") + COUNTIF(M18:M37, "✔") + COUNTIF(M18:M37, "v") + COUNTIF(M18:M37, "V")) + COUNTIF(M18:M37, "✗") + COUNTIF(M18:M37, "x") + COUNTIF(M18:M37, "X")), "")</f>
        <v/>
      </c>
      <c r="N39" s="134">
        <f>IF(((COUNTIF(N18:N37, "✓") + COUNTIF(N18:N37, "✔") + COUNTIF(N18:N37, "v") + COUNTIF(N18:N37, "V")) + COUNTIF(N18:N37, "✗") + COUNTIF(N18:N37, "x") + COUNTIF(N18:N37, "X")) &gt; 0, (COUNTIF(N18:N37, "✓") + COUNTIF(N18:N37, "✔") + COUNTIF(N18:N37, "v") + COUNTIF(N18:N37, "V")) / ((COUNTIF(N18:N37, "✓") + COUNTIF(N18:N37, "✔") + COUNTIF(N18:N37, "v") + COUNTIF(N18:N37, "V")) + COUNTIF(N18:N37, "✗") + COUNTIF(N18:N37, "x") + COUNTIF(N18:N37, "X")), "")</f>
        <v/>
      </c>
      <c r="O39" s="134">
        <f>IF(((COUNTIF(O18:O37, "✓") + COUNTIF(O18:O37, "✔") + COUNTIF(O18:O37, "v") + COUNTIF(O18:O37, "V")) + COUNTIF(O18:O37, "✗") + COUNTIF(O18:O37, "x") + COUNTIF(O18:O37, "X")) &gt; 0, (COUNTIF(O18:O37, "✓") + COUNTIF(O18:O37, "✔") + COUNTIF(O18:O37, "v") + COUNTIF(O18:O37, "V")) / ((COUNTIF(O18:O37, "✓") + COUNTIF(O18:O37, "✔") + COUNTIF(O18:O37, "v") + COUNTIF(O18:O37, "V")) + COUNTIF(O18:O37, "✗") + COUNTIF(O18:O37, "x") + COUNTIF(O18:O37, "X")), "")</f>
        <v/>
      </c>
      <c r="P39" s="134">
        <f>IF(((COUNTIF(P18:P37, "✓") + COUNTIF(P18:P37, "✔") + COUNTIF(P18:P37, "v") + COUNTIF(P18:P37, "V")) + COUNTIF(P18:P37, "✗") + COUNTIF(P18:P37, "x") + COUNTIF(P18:P37, "X")) &gt; 0, (COUNTIF(P18:P37, "✓") + COUNTIF(P18:P37, "✔") + COUNTIF(P18:P37, "v") + COUNTIF(P18:P37, "V")) / ((COUNTIF(P18:P37, "✓") + COUNTIF(P18:P37, "✔") + COUNTIF(P18:P37, "v") + COUNTIF(P18:P37, "V")) + COUNTIF(P18:P37, "✗") + COUNTIF(P18:P37, "x") + COUNTIF(P18:P37, "X")), "")</f>
        <v/>
      </c>
      <c r="Q39" s="134">
        <f>IF(((COUNTIF(Q18:Q37, "✓") + COUNTIF(Q18:Q37, "✔") + COUNTIF(Q18:Q37, "v") + COUNTIF(Q18:Q37, "V")) + COUNTIF(Q18:Q37, "✗") + COUNTIF(Q18:Q37, "x") + COUNTIF(Q18:Q37, "X")) &gt; 0, (COUNTIF(Q18:Q37, "✓") + COUNTIF(Q18:Q37, "✔") + COUNTIF(Q18:Q37, "v") + COUNTIF(Q18:Q37, "V")) / ((COUNTIF(Q18:Q37, "✓") + COUNTIF(Q18:Q37, "✔") + COUNTIF(Q18:Q37, "v") + COUNTIF(Q18:Q37, "V")) + COUNTIF(Q18:Q37, "✗") + COUNTIF(Q18:Q37, "x") + COUNTIF(Q18:Q37, "X")), "")</f>
        <v/>
      </c>
      <c r="R39" s="134">
        <f>IF(((COUNTIF(R18:R37, "✓") + COUNTIF(R18:R37, "✔") + COUNTIF(R18:R37, "v") + COUNTIF(R18:R37, "V")) + COUNTIF(R18:R37, "✗") + COUNTIF(R18:R37, "x") + COUNTIF(R18:R37, "X")) &gt; 0, (COUNTIF(R18:R37, "✓") + COUNTIF(R18:R37, "✔") + COUNTIF(R18:R37, "v") + COUNTIF(R18:R37, "V")) / ((COUNTIF(R18:R37, "✓") + COUNTIF(R18:R37, "✔") + COUNTIF(R18:R37, "v") + COUNTIF(R18:R37, "V")) + COUNTIF(R18:R37, "✗") + COUNTIF(R18:R37, "x") + COUNTIF(R18:R37, "X")), "")</f>
        <v/>
      </c>
      <c r="S39" s="134">
        <f>IF(((COUNTIF(S18:S37, "✓") + COUNTIF(S18:S37, "✔") + COUNTIF(S18:S37, "v") + COUNTIF(S18:S37, "V")) + COUNTIF(S18:S37, "✗") + COUNTIF(S18:S37, "x") + COUNTIF(S18:S37, "X")) &gt; 0, (COUNTIF(S18:S37, "✓") + COUNTIF(S18:S37, "✔") + COUNTIF(S18:S37, "v") + COUNTIF(S18:S37, "V")) / ((COUNTIF(S18:S37, "✓") + COUNTIF(S18:S37, "✔") + COUNTIF(S18:S37, "v") + COUNTIF(S18:S37, "V")) + COUNTIF(S18:S37, "✗") + COUNTIF(S18:S37, "x") + COUNTIF(S18:S37, "X")), "")</f>
        <v/>
      </c>
      <c r="T39" s="134">
        <f>IF(((COUNTIF(T18:T37, "✓") + COUNTIF(T18:T37, "✔") + COUNTIF(T18:T37, "v") + COUNTIF(T18:T37, "V")) + COUNTIF(T18:T37, "✗") + COUNTIF(T18:T37, "x") + COUNTIF(T18:T37, "X")) &gt; 0, (COUNTIF(T18:T37, "✓") + COUNTIF(T18:T37, "✔") + COUNTIF(T18:T37, "v") + COUNTIF(T18:T37, "V")) / ((COUNTIF(T18:T37, "✓") + COUNTIF(T18:T37, "✔") + COUNTIF(T18:T37, "v") + COUNTIF(T18:T37, "V")) + COUNTIF(T18:T37, "✗") + COUNTIF(T18:T37, "x") + COUNTIF(T18:T37, "X")), "")</f>
        <v/>
      </c>
      <c r="U39" s="134">
        <f>IF(((COUNTIF(U18:U37, "✓") + COUNTIF(U18:U37, "✔") + COUNTIF(U18:U37, "v") + COUNTIF(U18:U37, "V")) + COUNTIF(U18:U37, "✗") + COUNTIF(U18:U37, "x") + COUNTIF(U18:U37, "X")) &gt; 0, (COUNTIF(U18:U37, "✓") + COUNTIF(U18:U37, "✔") + COUNTIF(U18:U37, "v") + COUNTIF(U18:U37, "V")) / ((COUNTIF(U18:U37, "✓") + COUNTIF(U18:U37, "✔") + COUNTIF(U18:U37, "v") + COUNTIF(U18:U37, "V")) + COUNTIF(U18:U37, "✗") + COUNTIF(U18:U37, "x") + COUNTIF(U18:U37, "X")), "")</f>
        <v/>
      </c>
      <c r="V39" s="134">
        <f>IF(((COUNTIF(V18:V37, "✓") + COUNTIF(V18:V37, "✔") + COUNTIF(V18:V37, "v") + COUNTIF(V18:V37, "V")) + COUNTIF(V18:V37, "✗") + COUNTIF(V18:V37, "x") + COUNTIF(V18:V37, "X")) &gt; 0, (COUNTIF(V18:V37, "✓") + COUNTIF(V18:V37, "✔") + COUNTIF(V18:V37, "v") + COUNTIF(V18:V37, "V")) / ((COUNTIF(V18:V37, "✓") + COUNTIF(V18:V37, "✔") + COUNTIF(V18:V37, "v") + COUNTIF(V18:V37, "V")) + COUNTIF(V18:V37, "✗") + COUNTIF(V18:V37, "x") + COUNTIF(V18:V37, "X")), "")</f>
        <v/>
      </c>
      <c r="W39" s="134">
        <f>IF(((COUNTIF(W18:W37, "✓") + COUNTIF(W18:W37, "✔") + COUNTIF(W18:W37, "v") + COUNTIF(W18:W37, "V")) + COUNTIF(W18:W37, "✗") + COUNTIF(W18:W37, "x") + COUNTIF(W18:W37, "X")) &gt; 0, (COUNTIF(W18:W37, "✓") + COUNTIF(W18:W37, "✔") + COUNTIF(W18:W37, "v") + COUNTIF(W18:W37, "V")) / ((COUNTIF(W18:W37, "✓") + COUNTIF(W18:W37, "✔") + COUNTIF(W18:W37, "v") + COUNTIF(W18:W37, "V")) + COUNTIF(W18:W37, "✗") + COUNTIF(W18:W37, "x") + COUNTIF(W18:W37, "X")), "")</f>
        <v/>
      </c>
      <c r="X39" s="134">
        <f>IF(((COUNTIF(X18:X37, "✓") + COUNTIF(X18:X37, "✔") + COUNTIF(X18:X37, "v") + COUNTIF(X18:X37, "V")) + COUNTIF(X18:X37, "✗") + COUNTIF(X18:X37, "x") + COUNTIF(X18:X37, "X")) &gt; 0, (COUNTIF(X18:X37, "✓") + COUNTIF(X18:X37, "✔") + COUNTIF(X18:X37, "v") + COUNTIF(X18:X37, "V")) / ((COUNTIF(X18:X37, "✓") + COUNTIF(X18:X37, "✔") + COUNTIF(X18:X37, "v") + COUNTIF(X18:X37, "V")) + COUNTIF(X18:X37, "✗") + COUNTIF(X18:X37, "x") + COUNTIF(X18:X37, "X")), "")</f>
        <v/>
      </c>
      <c r="Y39" s="134">
        <f>IF(((COUNTIF(Y18:Y37, "✓") + COUNTIF(Y18:Y37, "✔") + COUNTIF(Y18:Y37, "v") + COUNTIF(Y18:Y37, "V")) + COUNTIF(Y18:Y37, "✗") + COUNTIF(Y18:Y37, "x") + COUNTIF(Y18:Y37, "X")) &gt; 0, (COUNTIF(Y18:Y37, "✓") + COUNTIF(Y18:Y37, "✔") + COUNTIF(Y18:Y37, "v") + COUNTIF(Y18:Y37, "V")) / ((COUNTIF(Y18:Y37, "✓") + COUNTIF(Y18:Y37, "✔") + COUNTIF(Y18:Y37, "v") + COUNTIF(Y18:Y37, "V")) + COUNTIF(Y18:Y37, "✗") + COUNTIF(Y18:Y37, "x") + COUNTIF(Y18:Y37, "X")), "")</f>
        <v/>
      </c>
      <c r="Z39" s="134">
        <f>IF(((COUNTIF(Z18:Z37, "✓") + COUNTIF(Z18:Z37, "✔") + COUNTIF(Z18:Z37, "v") + COUNTIF(Z18:Z37, "V")) + COUNTIF(Z18:Z37, "✗") + COUNTIF(Z18:Z37, "x") + COUNTIF(Z18:Z37, "X")) &gt; 0, (COUNTIF(Z18:Z37, "✓") + COUNTIF(Z18:Z37, "✔") + COUNTIF(Z18:Z37, "v") + COUNTIF(Z18:Z37, "V")) / ((COUNTIF(Z18:Z37, "✓") + COUNTIF(Z18:Z37, "✔") + COUNTIF(Z18:Z37, "v") + COUNTIF(Z18:Z37, "V")) + COUNTIF(Z18:Z37, "✗") + COUNTIF(Z18:Z37, "x") + COUNTIF(Z18:Z37, "X")), "")</f>
        <v/>
      </c>
      <c r="AA39" s="134">
        <f>IF(((COUNTIF(AA18:AA37, "✓") + COUNTIF(AA18:AA37, "✔") + COUNTIF(AA18:AA37, "v") + COUNTIF(AA18:AA37, "V")) + COUNTIF(AA18:AA37, "✗") + COUNTIF(AA18:AA37, "x") + COUNTIF(AA18:AA37, "X")) &gt; 0, (COUNTIF(AA18:AA37, "✓") + COUNTIF(AA18:AA37, "✔") + COUNTIF(AA18:AA37, "v") + COUNTIF(AA18:AA37, "V")) / ((COUNTIF(AA18:AA37, "✓") + COUNTIF(AA18:AA37, "✔") + COUNTIF(AA18:AA37, "v") + COUNTIF(AA18:AA37, "V")) + COUNTIF(AA18:AA37, "✗") + COUNTIF(AA18:AA37, "x") + COUNTIF(AA18:AA37, "X")), "")</f>
        <v/>
      </c>
      <c r="AB39" s="134">
        <f>IF(((COUNTIF(AB18:AB37, "✓") + COUNTIF(AB18:AB37, "✔") + COUNTIF(AB18:AB37, "v") + COUNTIF(AB18:AB37, "V")) + COUNTIF(AB18:AB37, "✗") + COUNTIF(AB18:AB37, "x") + COUNTIF(AB18:AB37, "X")) &gt; 0, (COUNTIF(AB18:AB37, "✓") + COUNTIF(AB18:AB37, "✔") + COUNTIF(AB18:AB37, "v") + COUNTIF(AB18:AB37, "V")) / ((COUNTIF(AB18:AB37, "✓") + COUNTIF(AB18:AB37, "✔") + COUNTIF(AB18:AB37, "v") + COUNTIF(AB18:AB37, "V")) + COUNTIF(AB18:AB37, "✗") + COUNTIF(AB18:AB37, "x") + COUNTIF(AB18:AB37, "X")), "")</f>
        <v/>
      </c>
      <c r="AC39" s="134">
        <f>IF(((COUNTIF(AC18:AC37, "✓") + COUNTIF(AC18:AC37, "✔") + COUNTIF(AC18:AC37, "v") + COUNTIF(AC18:AC37, "V")) + COUNTIF(AC18:AC37, "✗") + COUNTIF(AC18:AC37, "x") + COUNTIF(AC18:AC37, "X")) &gt; 0, (COUNTIF(AC18:AC37, "✓") + COUNTIF(AC18:AC37, "✔") + COUNTIF(AC18:AC37, "v") + COUNTIF(AC18:AC37, "V")) / ((COUNTIF(AC18:AC37, "✓") + COUNTIF(AC18:AC37, "✔") + COUNTIF(AC18:AC37, "v") + COUNTIF(AC18:AC37, "V")) + COUNTIF(AC18:AC37, "✗") + COUNTIF(AC18:AC37, "x") + COUNTIF(AC18:AC37, "X")), "")</f>
        <v/>
      </c>
      <c r="AD39" s="134">
        <f>IF(((COUNTIF(AD18:AD37, "✓") + COUNTIF(AD18:AD37, "✔") + COUNTIF(AD18:AD37, "v") + COUNTIF(AD18:AD37, "V")) + COUNTIF(AD18:AD37, "✗") + COUNTIF(AD18:AD37, "x") + COUNTIF(AD18:AD37, "X")) &gt; 0, (COUNTIF(AD18:AD37, "✓") + COUNTIF(AD18:AD37, "✔") + COUNTIF(AD18:AD37, "v") + COUNTIF(AD18:AD37, "V")) / ((COUNTIF(AD18:AD37, "✓") + COUNTIF(AD18:AD37, "✔") + COUNTIF(AD18:AD37, "v") + COUNTIF(AD18:AD37, "V")) + COUNTIF(AD18:AD37, "✗") + COUNTIF(AD18:AD37, "x") + COUNTIF(AD18:AD37, "X")), "")</f>
        <v/>
      </c>
      <c r="AE39" s="134">
        <f>IF(((COUNTIF(AE18:AE37, "✓") + COUNTIF(AE18:AE37, "✔") + COUNTIF(AE18:AE37, "v") + COUNTIF(AE18:AE37, "V")) + COUNTIF(AE18:AE37, "✗") + COUNTIF(AE18:AE37, "x") + COUNTIF(AE18:AE37, "X")) &gt; 0, (COUNTIF(AE18:AE37, "✓") + COUNTIF(AE18:AE37, "✔") + COUNTIF(AE18:AE37, "v") + COUNTIF(AE18:AE37, "V")) / ((COUNTIF(AE18:AE37, "✓") + COUNTIF(AE18:AE37, "✔") + COUNTIF(AE18:AE37, "v") + COUNTIF(AE18:AE37, "V")) + COUNTIF(AE18:AE37, "✗") + COUNTIF(AE18:AE37, "x") + COUNTIF(AE18:AE37, "X")), "")</f>
        <v/>
      </c>
      <c r="AF39" s="134">
        <f>IF(((COUNTIF(AF18:AF37, "✓") + COUNTIF(AF18:AF37, "✔") + COUNTIF(AF18:AF37, "v") + COUNTIF(AF18:AF37, "V")) + COUNTIF(AF18:AF37, "✗") + COUNTIF(AF18:AF37, "x") + COUNTIF(AF18:AF37, "X")) &gt; 0, (COUNTIF(AF18:AF37, "✓") + COUNTIF(AF18:AF37, "✔") + COUNTIF(AF18:AF37, "v") + COUNTIF(AF18:AF37, "V")) / ((COUNTIF(AF18:AF37, "✓") + COUNTIF(AF18:AF37, "✔") + COUNTIF(AF18:AF37, "v") + COUNTIF(AF18:AF37, "V")) + COUNTIF(AF18:AF37, "✗") + COUNTIF(AF18:AF37, "x") + COUNTIF(AF18:AF37, "X")), "")</f>
        <v/>
      </c>
      <c r="AG39" s="133">
        <f>IF(COUNT(E39:AF39) &gt; 0, AVERAGE(E39:AF39), "")</f>
        <v/>
      </c>
      <c r="AH39" s="54" t="n"/>
      <c r="AI39" s="54" t="n"/>
    </row>
    <row r="40" ht="6" customHeight="1"/>
    <row r="41" ht="15" customHeight="1">
      <c r="A41" s="135" t="inlineStr">
        <is>
          <t>IF SUCCESS &lt; 80%, PUNISHMENT: ________________________________________________</t>
        </is>
      </c>
    </row>
    <row r="42" ht="15" customHeight="1">
      <c r="A42" s="136" t="inlineStr">
        <is>
          <t>IF SUCCESS &gt; 90%, REWARD: __________________________________________________</t>
        </is>
      </c>
    </row>
    <row r="43" ht="10" customHeight="1"/>
    <row r="44" ht="10" customHeight="1"/>
    <row r="45" ht="15" customHeight="1">
      <c r="A45" s="51" t="inlineStr">
        <is>
          <t>Sleep Tracking</t>
        </is>
      </c>
      <c r="B45" s="52" t="n"/>
      <c r="C45" s="52" t="n"/>
      <c r="D45" s="52" t="n"/>
      <c r="E45" s="137" t="n">
        <v>1</v>
      </c>
      <c r="F45" s="137" t="n">
        <v>2</v>
      </c>
      <c r="G45" s="137" t="n">
        <v>3</v>
      </c>
      <c r="H45" s="137" t="n">
        <v>4</v>
      </c>
      <c r="I45" s="137" t="n">
        <v>5</v>
      </c>
      <c r="J45" s="137" t="n">
        <v>6</v>
      </c>
      <c r="K45" s="138" t="n">
        <v>7</v>
      </c>
      <c r="L45" s="137" t="n">
        <v>8</v>
      </c>
      <c r="M45" s="137" t="n">
        <v>9</v>
      </c>
      <c r="N45" s="137" t="n">
        <v>10</v>
      </c>
      <c r="O45" s="137" t="n">
        <v>11</v>
      </c>
      <c r="P45" s="137" t="n">
        <v>12</v>
      </c>
      <c r="Q45" s="137" t="n">
        <v>13</v>
      </c>
      <c r="R45" s="138" t="n">
        <v>14</v>
      </c>
      <c r="S45" s="137" t="n">
        <v>15</v>
      </c>
      <c r="T45" s="137" t="n">
        <v>16</v>
      </c>
      <c r="U45" s="137" t="n">
        <v>17</v>
      </c>
      <c r="V45" s="137" t="n">
        <v>18</v>
      </c>
      <c r="W45" s="137" t="n">
        <v>19</v>
      </c>
      <c r="X45" s="137" t="n">
        <v>20</v>
      </c>
      <c r="Y45" s="138" t="n">
        <v>21</v>
      </c>
      <c r="Z45" s="137" t="n">
        <v>22</v>
      </c>
      <c r="AA45" s="137" t="n">
        <v>23</v>
      </c>
      <c r="AB45" s="137" t="n">
        <v>24</v>
      </c>
      <c r="AC45" s="137" t="n">
        <v>25</v>
      </c>
      <c r="AD45" s="137" t="n">
        <v>26</v>
      </c>
      <c r="AE45" s="137" t="n">
        <v>27</v>
      </c>
      <c r="AF45" s="138" t="n">
        <v>28</v>
      </c>
    </row>
    <row r="46" ht="15" customHeight="1">
      <c r="A46" s="52" t="n"/>
      <c r="B46" s="52" t="n"/>
      <c r="C46" s="52" t="n"/>
      <c r="D46" s="52" t="n"/>
      <c r="E46" s="139" t="inlineStr">
        <is>
          <t>M</t>
        </is>
      </c>
      <c r="F46" s="139" t="inlineStr">
        <is>
          <t>T</t>
        </is>
      </c>
      <c r="G46" s="139" t="inlineStr">
        <is>
          <t>W</t>
        </is>
      </c>
      <c r="H46" s="139" t="inlineStr">
        <is>
          <t>Th</t>
        </is>
      </c>
      <c r="I46" s="139" t="inlineStr">
        <is>
          <t>F</t>
        </is>
      </c>
      <c r="J46" s="139" t="inlineStr">
        <is>
          <t>Sa</t>
        </is>
      </c>
      <c r="K46" s="140" t="inlineStr">
        <is>
          <t>Su</t>
        </is>
      </c>
      <c r="L46" s="139" t="inlineStr">
        <is>
          <t>M</t>
        </is>
      </c>
      <c r="M46" s="139" t="inlineStr">
        <is>
          <t>T</t>
        </is>
      </c>
      <c r="N46" s="139" t="inlineStr">
        <is>
          <t>W</t>
        </is>
      </c>
      <c r="O46" s="139" t="inlineStr">
        <is>
          <t>Th</t>
        </is>
      </c>
      <c r="P46" s="139" t="inlineStr">
        <is>
          <t>F</t>
        </is>
      </c>
      <c r="Q46" s="139" t="inlineStr">
        <is>
          <t>Sa</t>
        </is>
      </c>
      <c r="R46" s="140" t="inlineStr">
        <is>
          <t>Su</t>
        </is>
      </c>
      <c r="S46" s="139" t="inlineStr">
        <is>
          <t>M</t>
        </is>
      </c>
      <c r="T46" s="139" t="inlineStr">
        <is>
          <t>T</t>
        </is>
      </c>
      <c r="U46" s="139" t="inlineStr">
        <is>
          <t>W</t>
        </is>
      </c>
      <c r="V46" s="139" t="inlineStr">
        <is>
          <t>Th</t>
        </is>
      </c>
      <c r="W46" s="139" t="inlineStr">
        <is>
          <t>F</t>
        </is>
      </c>
      <c r="X46" s="139" t="inlineStr">
        <is>
          <t>Sa</t>
        </is>
      </c>
      <c r="Y46" s="140" t="inlineStr">
        <is>
          <t>Su</t>
        </is>
      </c>
      <c r="Z46" s="139" t="inlineStr">
        <is>
          <t>M</t>
        </is>
      </c>
      <c r="AA46" s="139" t="inlineStr">
        <is>
          <t>T</t>
        </is>
      </c>
      <c r="AB46" s="139" t="inlineStr">
        <is>
          <t>W</t>
        </is>
      </c>
      <c r="AC46" s="139" t="inlineStr">
        <is>
          <t>Th</t>
        </is>
      </c>
      <c r="AD46" s="139" t="inlineStr">
        <is>
          <t>F</t>
        </is>
      </c>
      <c r="AE46" s="139" t="inlineStr">
        <is>
          <t>Sa</t>
        </is>
      </c>
      <c r="AF46" s="140" t="inlineStr">
        <is>
          <t>Su</t>
        </is>
      </c>
    </row>
    <row r="47" ht="20" customHeight="1">
      <c r="A47" s="141" t="inlineStr">
        <is>
          <t>Sleep Hours (1-24)</t>
        </is>
      </c>
      <c r="B47" s="142" t="n"/>
      <c r="C47" s="142" t="n"/>
      <c r="D47" s="142" t="n"/>
      <c r="E47" s="143" t="n"/>
      <c r="F47" s="143" t="n"/>
      <c r="G47" s="143" t="n"/>
      <c r="H47" s="143" t="n"/>
      <c r="I47" s="143" t="n"/>
      <c r="J47" s="143" t="n"/>
      <c r="K47" s="144" t="n"/>
      <c r="L47" s="143" t="n"/>
      <c r="M47" s="143" t="n"/>
      <c r="N47" s="143" t="n"/>
      <c r="O47" s="143" t="n"/>
      <c r="P47" s="143" t="n"/>
      <c r="Q47" s="143" t="n"/>
      <c r="R47" s="144" t="n"/>
      <c r="S47" s="143" t="n"/>
      <c r="T47" s="143" t="n"/>
      <c r="U47" s="143" t="n"/>
      <c r="V47" s="143" t="n"/>
      <c r="W47" s="143" t="n"/>
      <c r="X47" s="143" t="n"/>
      <c r="Y47" s="144" t="n"/>
      <c r="Z47" s="143" t="n"/>
      <c r="AA47" s="143" t="n"/>
      <c r="AB47" s="143" t="n"/>
      <c r="AC47" s="143" t="n"/>
      <c r="AD47" s="143" t="n"/>
      <c r="AE47" s="143" t="n"/>
      <c r="AF47" s="144" t="n"/>
    </row>
    <row r="48" ht="6" customHeight="1"/>
    <row r="49" ht="14" customHeight="1"/>
    <row r="50" ht="14" customHeight="1"/>
    <row r="51" ht="14" customHeight="1"/>
    <row r="52" ht="14" customHeight="1"/>
    <row r="53" ht="14" customHeight="1"/>
    <row r="54" ht="14" customHeight="1"/>
    <row r="55" ht="14" customHeight="1"/>
    <row r="56" ht="14" customHeight="1"/>
    <row r="57" ht="14" customHeight="1"/>
    <row r="58" ht="14" customHeight="1"/>
    <row r="59" ht="14" customHeight="1"/>
    <row r="60" ht="14" customHeight="1"/>
    <row r="61" ht="14" customHeight="1"/>
    <row r="62" ht="14" customHeight="1"/>
    <row r="63" ht="14" customHeight="1"/>
    <row r="64" ht="14" customHeight="1"/>
    <row r="65" ht="14" customHeight="1"/>
    <row r="66" ht="8" customHeight="1"/>
    <row r="67">
      <c r="A67" s="145" t="inlineStr">
        <is>
          <t>MONTHLY SUCCESS RATE</t>
        </is>
      </c>
      <c r="B67" s="9" t="n"/>
      <c r="C67" s="9" t="n"/>
      <c r="D67" s="9" t="n"/>
      <c r="F67" s="146" t="inlineStr">
        <is>
          <t>ACTIVE PROTOCOLS</t>
        </is>
      </c>
      <c r="G67" s="11" t="n"/>
      <c r="H67" s="11" t="n"/>
      <c r="I67" s="11" t="n"/>
      <c r="K67" s="147" t="inlineStr">
        <is>
          <t>PERFECT DAYS (100%)</t>
        </is>
      </c>
      <c r="L67" s="13" t="n"/>
      <c r="M67" s="13" t="n"/>
      <c r="N67" s="13" t="n"/>
      <c r="P67" s="148" t="inlineStr">
        <is>
          <t>AVG SLEEP DURATION</t>
        </is>
      </c>
      <c r="Q67" s="15" t="n"/>
      <c r="R67" s="15" t="n"/>
      <c r="S67" s="15" t="n"/>
    </row>
    <row r="68">
      <c r="A68" s="149">
        <f>IF(SUM(D18:D37)&gt;0, SUM(AJ18:AJ37)/SUM(D18:D37), 0)</f>
        <v/>
      </c>
      <c r="B68" s="9" t="n"/>
      <c r="C68" s="9" t="n"/>
      <c r="D68" s="9" t="n"/>
      <c r="F68" s="150">
        <f>COUNTA(B18:B37) &amp; " / 20"</f>
        <v/>
      </c>
      <c r="G68" s="11" t="n"/>
      <c r="H68" s="11" t="n"/>
      <c r="I68" s="11" t="n"/>
      <c r="K68" s="151">
        <f>COUNTIF(E39:AF39, 1) &amp; " Days"</f>
        <v/>
      </c>
      <c r="L68" s="13" t="n"/>
      <c r="M68" s="13" t="n"/>
      <c r="N68" s="13" t="n"/>
      <c r="P68" s="152">
        <f>IFERROR(TEXT(AVERAGE(E47:AF47), "0.0") &amp; " hrs", "-")</f>
        <v/>
      </c>
      <c r="Q68" s="15" t="n"/>
      <c r="R68" s="15" t="n"/>
      <c r="S68" s="15" t="n"/>
    </row>
    <row r="69">
      <c r="A69" s="9" t="n"/>
      <c r="B69" s="9" t="n"/>
      <c r="C69" s="9" t="n"/>
      <c r="D69" s="9" t="n"/>
      <c r="F69" s="11" t="n"/>
      <c r="G69" s="11" t="n"/>
      <c r="H69" s="11" t="n"/>
      <c r="I69" s="11" t="n"/>
      <c r="K69" s="13" t="n"/>
      <c r="L69" s="13" t="n"/>
      <c r="M69" s="13" t="n"/>
      <c r="N69" s="13" t="n"/>
      <c r="P69" s="15" t="n"/>
      <c r="Q69" s="15" t="n"/>
      <c r="R69" s="15" t="n"/>
      <c r="S69" s="15" t="n"/>
    </row>
    <row r="70">
      <c r="A70" s="9" t="n"/>
      <c r="B70" s="9" t="n"/>
      <c r="C70" s="9" t="n"/>
      <c r="D70" s="9" t="n"/>
      <c r="F70" s="11" t="n"/>
      <c r="G70" s="11" t="n"/>
      <c r="H70" s="11" t="n"/>
      <c r="I70" s="11" t="n"/>
      <c r="K70" s="13" t="n"/>
      <c r="L70" s="13" t="n"/>
      <c r="M70" s="13" t="n"/>
      <c r="N70" s="13" t="n"/>
      <c r="P70" s="15" t="n"/>
      <c r="Q70" s="15" t="n"/>
      <c r="R70" s="15" t="n"/>
      <c r="S70" s="15" t="n"/>
    </row>
    <row r="71">
      <c r="A71" s="153" t="inlineStr">
        <is>
          <t>Target Completion</t>
        </is>
      </c>
      <c r="B71" s="9" t="n"/>
      <c r="C71" s="9" t="n"/>
      <c r="D71" s="9" t="n"/>
      <c r="F71" s="154" t="inlineStr">
        <is>
          <t>Habits Tracked</t>
        </is>
      </c>
      <c r="G71" s="11" t="n"/>
      <c r="H71" s="11" t="n"/>
      <c r="I71" s="11" t="n"/>
      <c r="K71" s="155" t="inlineStr">
        <is>
          <t>All Marked Habits Completed</t>
        </is>
      </c>
      <c r="L71" s="13" t="n"/>
      <c r="M71" s="13" t="n"/>
      <c r="N71" s="13" t="n"/>
      <c r="P71" s="156" t="inlineStr">
        <is>
          <t>Nightly Rest Average</t>
        </is>
      </c>
      <c r="Q71" s="15" t="n"/>
      <c r="R71" s="15" t="n"/>
      <c r="S71" s="15" t="n"/>
    </row>
    <row r="72" ht="8" customHeight="1"/>
    <row r="73" ht="6" customHeight="1"/>
    <row r="74">
      <c r="A74" s="67" t="inlineStr">
        <is>
          <t>WEEKLY PERFORMANCE (SLUMP DETECTOR)</t>
        </is>
      </c>
      <c r="B74" s="29" t="n"/>
      <c r="C74" s="29" t="n"/>
      <c r="D74" s="29" t="n"/>
      <c r="E74" s="29" t="n"/>
      <c r="N74" s="157" t="inlineStr">
        <is>
          <t>LIFE DOMAIN / CATEGORY BREAKDOWN</t>
        </is>
      </c>
      <c r="O74" s="158" t="n"/>
      <c r="P74" s="158" t="n"/>
      <c r="Q74" s="158" t="n"/>
      <c r="R74" s="158" t="n"/>
      <c r="S74" s="158" t="n"/>
    </row>
    <row r="75" ht="15" customHeight="1">
      <c r="A75" s="53" t="inlineStr">
        <is>
          <t>Week</t>
        </is>
      </c>
      <c r="B75" s="53" t="inlineStr">
        <is>
          <t>Days Range</t>
        </is>
      </c>
      <c r="C75" s="53" t="inlineStr">
        <is>
          <t>Checks Done</t>
        </is>
      </c>
      <c r="D75" s="53" t="inlineStr">
        <is>
          <t>Evaluated</t>
        </is>
      </c>
      <c r="E75" s="53" t="inlineStr">
        <is>
          <t>Success %</t>
        </is>
      </c>
      <c r="N75" s="53" t="inlineStr">
        <is>
          <t>Domain / Category</t>
        </is>
      </c>
      <c r="O75" s="54" t="n"/>
      <c r="P75" s="53" t="inlineStr">
        <is>
          <t>Active Habits</t>
        </is>
      </c>
      <c r="Q75" s="53" t="inlineStr">
        <is>
          <t>Target Days</t>
        </is>
      </c>
      <c r="R75" s="53" t="inlineStr">
        <is>
          <t>Done Checks</t>
        </is>
      </c>
      <c r="S75" s="53" t="inlineStr">
        <is>
          <t>Success %</t>
        </is>
      </c>
    </row>
    <row r="76" ht="14" customHeight="1">
      <c r="A76" s="33" t="inlineStr">
        <is>
          <t>Week 1</t>
        </is>
      </c>
      <c r="B76" s="34" t="inlineStr">
        <is>
          <t>Days 1 - 7</t>
        </is>
      </c>
      <c r="C76" s="34">
        <f>COUNTIF(E18:K37, "✓")</f>
        <v/>
      </c>
      <c r="D76" s="34">
        <f>COUNTIF(E18:K37, "✓") + COUNTIF(E18:K37, "✗")</f>
        <v/>
      </c>
      <c r="E76" s="35">
        <f>IFERROR(C76/D76, 0)</f>
        <v/>
      </c>
      <c r="N76" s="60" t="inlineStr">
        <is>
          <t>Health &amp; Fitness</t>
        </is>
      </c>
      <c r="O76" s="54" t="n"/>
      <c r="P76" s="34">
        <f>COUNTIF($C$18:$C$37, "Health &amp; Fitness")</f>
        <v/>
      </c>
      <c r="Q76" s="34">
        <f>SUMIF($C$18:$C$37, "Health &amp; Fitness", $D$18:$D$37)</f>
        <v/>
      </c>
      <c r="R76" s="34">
        <f>SUMIF($C$18:$C$37, "Health &amp; Fitness", $AJ$18:$AJ$37)</f>
        <v/>
      </c>
      <c r="S76" s="35">
        <f>IFERROR(R76/Q76, 0)</f>
        <v/>
      </c>
    </row>
    <row r="77" ht="14" customHeight="1">
      <c r="A77" s="33" t="inlineStr">
        <is>
          <t>Week 2</t>
        </is>
      </c>
      <c r="B77" s="34" t="inlineStr">
        <is>
          <t>Days 8 - 14</t>
        </is>
      </c>
      <c r="C77" s="34">
        <f>COUNTIF(L18:R37, "✓")</f>
        <v/>
      </c>
      <c r="D77" s="34">
        <f>COUNTIF(L18:R37, "✓") + COUNTIF(L18:R37, "✗")</f>
        <v/>
      </c>
      <c r="E77" s="35">
        <f>IFERROR(C77/D77, 0)</f>
        <v/>
      </c>
      <c r="N77" s="60" t="inlineStr">
        <is>
          <t>Mindset &amp; Learning</t>
        </is>
      </c>
      <c r="O77" s="54" t="n"/>
      <c r="P77" s="34">
        <f>COUNTIF($C$18:$C$37, "Mindset &amp; Learning")</f>
        <v/>
      </c>
      <c r="Q77" s="34">
        <f>SUMIF($C$18:$C$37, "Mindset &amp; Learning", $D$18:$D$37)</f>
        <v/>
      </c>
      <c r="R77" s="34">
        <f>SUMIF($C$18:$C$37, "Mindset &amp; Learning", $AJ$18:$AJ$37)</f>
        <v/>
      </c>
      <c r="S77" s="35">
        <f>IFERROR(R77/Q77, 0)</f>
        <v/>
      </c>
    </row>
    <row r="78" ht="14" customHeight="1">
      <c r="A78" s="33" t="inlineStr">
        <is>
          <t>Week 3</t>
        </is>
      </c>
      <c r="B78" s="34" t="inlineStr">
        <is>
          <t>Days 15 - 21</t>
        </is>
      </c>
      <c r="C78" s="34">
        <f>COUNTIF(S18:Y37, "✓")</f>
        <v/>
      </c>
      <c r="D78" s="34">
        <f>COUNTIF(S18:Y37, "✓") + COUNTIF(S18:Y37, "✗")</f>
        <v/>
      </c>
      <c r="E78" s="35">
        <f>IFERROR(C78/D78, 0)</f>
        <v/>
      </c>
      <c r="N78" s="60" t="inlineStr">
        <is>
          <t>Career &amp; Focus</t>
        </is>
      </c>
      <c r="O78" s="54" t="n"/>
      <c r="P78" s="34">
        <f>COUNTIF($C$18:$C$37, "Career &amp; Focus")</f>
        <v/>
      </c>
      <c r="Q78" s="34">
        <f>SUMIF($C$18:$C$37, "Career &amp; Focus", $D$18:$D$37)</f>
        <v/>
      </c>
      <c r="R78" s="34">
        <f>SUMIF($C$18:$C$37, "Career &amp; Focus", $AJ$18:$AJ$37)</f>
        <v/>
      </c>
      <c r="S78" s="35">
        <f>IFERROR(R78/Q78, 0)</f>
        <v/>
      </c>
    </row>
    <row r="79" ht="14" customHeight="1">
      <c r="A79" s="33" t="inlineStr">
        <is>
          <t>Week 4</t>
        </is>
      </c>
      <c r="B79" s="34" t="inlineStr">
        <is>
          <t>Days 22 - 28</t>
        </is>
      </c>
      <c r="C79" s="34">
        <f>COUNTIF(Z18:AF37, "✓")</f>
        <v/>
      </c>
      <c r="D79" s="34">
        <f>COUNTIF(Z18:AF37, "✓") + COUNTIF(Z18:AF37, "✗")</f>
        <v/>
      </c>
      <c r="E79" s="35">
        <f>IFERROR(C79/D79, 0)</f>
        <v/>
      </c>
      <c r="N79" s="60" t="inlineStr">
        <is>
          <t>Personal &amp; Home</t>
        </is>
      </c>
      <c r="O79" s="54" t="n"/>
      <c r="P79" s="34">
        <f>COUNTIF($C$18:$C$37, "Personal &amp; Home")</f>
        <v/>
      </c>
      <c r="Q79" s="34">
        <f>SUMIF($C$18:$C$37, "Personal &amp; Home", $D$18:$D$37)</f>
        <v/>
      </c>
      <c r="R79" s="34">
        <f>SUMIF($C$18:$C$37, "Personal &amp; Home", $AJ$18:$AJ$37)</f>
        <v/>
      </c>
      <c r="S79" s="35">
        <f>IFERROR(R79/Q79, 0)</f>
        <v/>
      </c>
    </row>
    <row r="80" ht="14" customHeight="1">
      <c r="A80" s="33" t="inlineStr">
        <is>
          <t>Week 5</t>
        </is>
      </c>
      <c r="B80" s="34" t="inlineStr">
        <is>
          <t>N/A</t>
        </is>
      </c>
      <c r="C80" s="34" t="n">
        <v>0</v>
      </c>
      <c r="D80" s="34" t="n">
        <v>0</v>
      </c>
      <c r="E80" s="35" t="n">
        <v>0</v>
      </c>
      <c r="N80" s="60" t="inlineStr">
        <is>
          <t>Finance &amp; Wealth</t>
        </is>
      </c>
      <c r="O80" s="54" t="n"/>
      <c r="P80" s="34">
        <f>COUNTIF($C$18:$C$37, "Finance &amp; Wealth")</f>
        <v/>
      </c>
      <c r="Q80" s="34">
        <f>SUMIF($C$18:$C$37, "Finance &amp; Wealth", $D$18:$D$37)</f>
        <v/>
      </c>
      <c r="R80" s="34">
        <f>SUMIF($C$18:$C$37, "Finance &amp; Wealth", $AJ$18:$AJ$37)</f>
        <v/>
      </c>
      <c r="S80" s="35">
        <f>IFERROR(R80/Q80, 0)</f>
        <v/>
      </c>
    </row>
    <row r="81" ht="14" customHeight="1">
      <c r="A81" s="33" t="inlineStr">
        <is>
          <t>Total / Avg</t>
        </is>
      </c>
      <c r="B81" s="159" t="inlineStr">
        <is>
          <t>Month Total</t>
        </is>
      </c>
      <c r="C81" s="33">
        <f>SUM(C76:C80)</f>
        <v/>
      </c>
      <c r="D81" s="33">
        <f>SUM(D76:D80)</f>
        <v/>
      </c>
      <c r="E81" s="133">
        <f>IFERROR(C81/D81, 0)</f>
        <v/>
      </c>
    </row>
    <row r="82" ht="10" customHeight="1"/>
    <row r="83" ht="10" customHeight="1"/>
    <row r="84">
      <c r="A84" s="51" t="inlineStr">
        <is>
          <t>SLEEP &amp; PRODUCTIVITY CORRELATION ANALYSIS</t>
        </is>
      </c>
      <c r="B84" s="52" t="n"/>
      <c r="C84" s="52" t="n"/>
      <c r="D84" s="52" t="n"/>
      <c r="E84" s="52" t="n"/>
      <c r="F84" s="52" t="n"/>
      <c r="G84" s="52" t="n"/>
      <c r="H84" s="52" t="n"/>
      <c r="I84" s="52" t="n"/>
      <c r="J84" s="52" t="n"/>
      <c r="K84" s="52" t="n"/>
      <c r="L84" s="52" t="n"/>
      <c r="M84" s="52" t="n"/>
      <c r="N84" s="52" t="n"/>
      <c r="O84" s="52" t="n"/>
      <c r="P84" s="52" t="n"/>
      <c r="Q84" s="52" t="n"/>
      <c r="R84" s="52" t="n"/>
      <c r="S84" s="52" t="n"/>
      <c r="T84" s="52" t="n"/>
      <c r="U84" s="52" t="n"/>
      <c r="V84" s="52" t="n"/>
      <c r="W84" s="52" t="n"/>
      <c r="X84" s="52" t="n"/>
      <c r="Y84" s="52" t="n"/>
      <c r="Z84" s="52" t="n"/>
      <c r="AA84" s="52" t="n"/>
      <c r="AB84" s="52" t="n"/>
      <c r="AC84" s="52" t="n"/>
      <c r="AD84" s="52" t="n"/>
      <c r="AE84" s="52" t="n"/>
      <c r="AF84" s="52" t="n"/>
      <c r="AG84" s="52" t="n"/>
      <c r="AH84" s="52" t="n"/>
      <c r="AI84" s="52" t="n"/>
    </row>
    <row r="85" ht="15" customHeight="1">
      <c r="A85" s="53" t="inlineStr">
        <is>
          <t>Rest Category</t>
        </is>
      </c>
      <c r="B85" s="54" t="n"/>
      <c r="C85" s="54" t="n"/>
      <c r="D85" s="53" t="inlineStr">
        <is>
          <t>Day Criteria</t>
        </is>
      </c>
      <c r="E85" s="54" t="n"/>
      <c r="F85" s="54" t="n"/>
      <c r="G85" s="53" t="inlineStr">
        <is>
          <t>Days Logged</t>
        </is>
      </c>
      <c r="H85" s="54" t="n"/>
      <c r="I85" s="54" t="n"/>
      <c r="J85" s="53" t="inlineStr">
        <is>
          <t>Avg Sleep Duration</t>
        </is>
      </c>
      <c r="K85" s="54" t="n"/>
      <c r="L85" s="54" t="n"/>
      <c r="M85" s="54" t="n"/>
      <c r="N85" s="53" t="inlineStr">
        <is>
          <t>Avg Habit Success %</t>
        </is>
      </c>
      <c r="O85" s="54" t="n"/>
      <c r="P85" s="54" t="n"/>
      <c r="Q85" s="54" t="n"/>
      <c r="R85" s="53" t="inlineStr">
        <is>
          <t>Productivity Delta</t>
        </is>
      </c>
      <c r="S85" s="54" t="n"/>
      <c r="T85" s="54" t="n"/>
      <c r="U85" s="54" t="n"/>
    </row>
    <row r="86" ht="15" customHeight="1">
      <c r="A86" s="160" t="inlineStr">
        <is>
          <t>Optimal Rest</t>
        </is>
      </c>
      <c r="B86" s="161" t="n"/>
      <c r="C86" s="56" t="n"/>
      <c r="D86" s="34" t="inlineStr">
        <is>
          <t>&gt;= 7 Hours / Night</t>
        </is>
      </c>
      <c r="E86" s="161" t="n"/>
      <c r="F86" s="56" t="n"/>
      <c r="G86" s="33">
        <f>COUNTIF(E47:AF47, "&gt;=7")</f>
        <v/>
      </c>
      <c r="H86" s="161" t="n"/>
      <c r="I86" s="56" t="n"/>
      <c r="J86" s="34">
        <f>IFERROR(TEXT(AVERAGEIF(E47:AF47, "&gt;=7"), "0.0") &amp; " hrs", "-")</f>
        <v/>
      </c>
      <c r="K86" s="161" t="n"/>
      <c r="L86" s="161" t="n"/>
      <c r="M86" s="56" t="n"/>
      <c r="N86" s="42">
        <f>IFERROR(AVERAGEIFS(E39:AF39, E47:AF47, "&gt;=7", E39:AF39, "&gt;0"), 0)</f>
        <v/>
      </c>
      <c r="O86" s="161" t="n"/>
      <c r="P86" s="161" t="n"/>
      <c r="Q86" s="56" t="n"/>
      <c r="R86" s="159" t="inlineStr">
        <is>
          <t>Baseline (Target)</t>
        </is>
      </c>
      <c r="S86" s="161" t="n"/>
      <c r="T86" s="161" t="n"/>
      <c r="U86" s="56" t="n"/>
    </row>
    <row r="87" ht="15" customHeight="1">
      <c r="A87" s="162" t="inlineStr">
        <is>
          <t>Sleep Deficit</t>
        </is>
      </c>
      <c r="B87" s="161" t="n"/>
      <c r="C87" s="56" t="n"/>
      <c r="D87" s="34" t="inlineStr">
        <is>
          <t>&lt; 7 Hours / Night</t>
        </is>
      </c>
      <c r="E87" s="161" t="n"/>
      <c r="F87" s="56" t="n"/>
      <c r="G87" s="33">
        <f>COUNTIF(E47:AF47, "&lt;7") - COUNTIF(E47:AF47, "")</f>
        <v/>
      </c>
      <c r="H87" s="161" t="n"/>
      <c r="I87" s="56" t="n"/>
      <c r="J87" s="34">
        <f>IFERROR(TEXT(AVERAGEIFS(E47:AF47, E47:AF47, "&lt;7", E47:AF47, "&gt;0"), "0.0") &amp; " hrs", "-")</f>
        <v/>
      </c>
      <c r="K87" s="161" t="n"/>
      <c r="L87" s="161" t="n"/>
      <c r="M87" s="56" t="n"/>
      <c r="N87" s="163">
        <f>IFERROR(AVERAGEIFS(E39:AF39, E47:AF47, "&lt;7", E39:AF39, "&gt;0"), 0)</f>
        <v/>
      </c>
      <c r="O87" s="161" t="n"/>
      <c r="P87" s="161" t="n"/>
      <c r="Q87" s="56" t="n"/>
      <c r="R87" s="160">
        <f>IFERROR(TEXT(N86 - N87, "+0.0%;-0.0%;0.0%") &amp; " Rest Advantage", "-")</f>
        <v/>
      </c>
      <c r="S87" s="161" t="n"/>
      <c r="T87" s="161" t="n"/>
      <c r="U87" s="56" t="n"/>
    </row>
    <row r="88" ht="18" customHeight="1">
      <c r="A88" s="164">
        <f>IF(AND(ISNUMBER(N86), ISNUMBER(N87), N86&gt;0, N87&gt;0), "💡 Sleep Correlation Insight: You complete " &amp; TEXT(ABS(N86-N87), "0.0%") &amp; IF(N86&gt;=N87, " MORE habits on days with 7+ hours of sleep!", " fewer habits on days with 7+ hours of sleep."), "💡 Log both habits and sleep hours daily to unlock automatic AI correlation insights!")</f>
        <v/>
      </c>
      <c r="B88" s="161" t="n"/>
      <c r="C88" s="161" t="n"/>
      <c r="D88" s="161" t="n"/>
      <c r="E88" s="161" t="n"/>
      <c r="F88" s="161" t="n"/>
      <c r="G88" s="161" t="n"/>
      <c r="H88" s="161" t="n"/>
      <c r="I88" s="161" t="n"/>
      <c r="J88" s="161" t="n"/>
      <c r="K88" s="161" t="n"/>
      <c r="L88" s="161" t="n"/>
      <c r="M88" s="161" t="n"/>
      <c r="N88" s="161" t="n"/>
      <c r="O88" s="161" t="n"/>
      <c r="P88" s="161" t="n"/>
      <c r="Q88" s="161" t="n"/>
      <c r="R88" s="161" t="n"/>
      <c r="S88" s="161" t="n"/>
      <c r="T88" s="161" t="n"/>
      <c r="U88" s="161" t="n"/>
      <c r="V88" s="161" t="n"/>
      <c r="W88" s="161" t="n"/>
      <c r="X88" s="161" t="n"/>
      <c r="Y88" s="161" t="n"/>
      <c r="Z88" s="161" t="n"/>
      <c r="AA88" s="161" t="n"/>
      <c r="AB88" s="161" t="n"/>
      <c r="AC88" s="161" t="n"/>
      <c r="AD88" s="161" t="n"/>
      <c r="AE88" s="161" t="n"/>
      <c r="AF88" s="161" t="n"/>
      <c r="AG88" s="161" t="n"/>
      <c r="AH88" s="161" t="n"/>
      <c r="AI88" s="56" t="n"/>
    </row>
    <row r="89" ht="10" customHeight="1"/>
    <row r="90">
      <c r="A90" s="43" t="inlineStr">
        <is>
          <t>STANDARDIZED DATA BRIDGE (FOR ANNUAL &amp; QUARTERLY REVIEW SHEETS)</t>
        </is>
      </c>
      <c r="B90" s="44" t="n"/>
      <c r="C90" s="44" t="n"/>
      <c r="D90" s="44" t="n"/>
      <c r="E90" s="44" t="n"/>
      <c r="F90" s="44" t="n"/>
      <c r="G90" s="44" t="n"/>
      <c r="H90" s="44" t="n"/>
      <c r="I90" s="44" t="n"/>
      <c r="J90" s="44" t="n"/>
      <c r="K90" s="44" t="n"/>
      <c r="L90" s="44" t="n"/>
      <c r="M90" s="44" t="n"/>
      <c r="N90" s="44" t="n"/>
      <c r="O90" s="44" t="n"/>
      <c r="P90" s="44" t="n"/>
      <c r="Q90" s="44" t="n"/>
      <c r="R90" s="44" t="n"/>
      <c r="S90" s="44" t="n"/>
      <c r="T90" s="44" t="n"/>
      <c r="U90" s="44" t="n"/>
      <c r="V90" s="44" t="n"/>
      <c r="W90" s="44" t="n"/>
      <c r="X90" s="44" t="n"/>
      <c r="Y90" s="44" t="n"/>
      <c r="Z90" s="44" t="n"/>
      <c r="AA90" s="44" t="n"/>
      <c r="AB90" s="44" t="n"/>
      <c r="AC90" s="44" t="n"/>
      <c r="AD90" s="44" t="n"/>
      <c r="AE90" s="44" t="n"/>
      <c r="AF90" s="44" t="n"/>
      <c r="AG90" s="44" t="n"/>
      <c r="AH90" s="44" t="n"/>
      <c r="AI90" s="44" t="n"/>
    </row>
    <row r="91" ht="15" customHeight="1">
      <c r="A91" s="53" t="inlineStr">
        <is>
          <t>Month</t>
        </is>
      </c>
      <c r="B91" s="54" t="n"/>
      <c r="C91" s="53" t="inlineStr">
        <is>
          <t>Year</t>
        </is>
      </c>
      <c r="D91" s="54" t="n"/>
      <c r="E91" s="53" t="inlineStr">
        <is>
          <t>Active Habits</t>
        </is>
      </c>
      <c r="F91" s="54" t="n"/>
      <c r="G91" s="53" t="inlineStr">
        <is>
          <t>Target Days</t>
        </is>
      </c>
      <c r="H91" s="54" t="n"/>
      <c r="I91" s="53" t="inlineStr">
        <is>
          <t>Done Checks</t>
        </is>
      </c>
      <c r="J91" s="54" t="n"/>
      <c r="K91" s="53" t="inlineStr">
        <is>
          <t>Success %</t>
        </is>
      </c>
      <c r="L91" s="54" t="n"/>
      <c r="M91" s="53" t="inlineStr">
        <is>
          <t>Perfect Days</t>
        </is>
      </c>
      <c r="N91" s="54" t="n"/>
      <c r="O91" s="53" t="inlineStr">
        <is>
          <t>Avg Sleep</t>
        </is>
      </c>
      <c r="P91" s="54" t="n"/>
      <c r="Q91" s="53" t="inlineStr">
        <is>
          <t>Best Week</t>
        </is>
      </c>
      <c r="R91" s="54" t="n"/>
      <c r="S91" s="54" t="n"/>
      <c r="T91" s="53" t="inlineStr">
        <is>
          <t>Top Life Domain</t>
        </is>
      </c>
      <c r="U91" s="54" t="n"/>
      <c r="V91" s="54" t="n"/>
      <c r="W91" s="54" t="n"/>
    </row>
    <row r="92" ht="16" customHeight="1">
      <c r="A92" s="165" t="inlineStr">
        <is>
          <t>Feb</t>
        </is>
      </c>
      <c r="B92" s="56" t="n"/>
      <c r="C92" s="165" t="n">
        <v>2027</v>
      </c>
      <c r="D92" s="56" t="n"/>
      <c r="E92" s="166">
        <f>COUNTA(B18:B37)</f>
        <v/>
      </c>
      <c r="F92" s="56" t="n"/>
      <c r="G92" s="166">
        <f>SUM(D18:D37)</f>
        <v/>
      </c>
      <c r="H92" s="56" t="n"/>
      <c r="I92" s="166">
        <f>SUM(AJ18:AJ37)</f>
        <v/>
      </c>
      <c r="J92" s="56" t="n"/>
      <c r="K92" s="167">
        <f>IF(G92&gt;0, I92/G92, 0)</f>
        <v/>
      </c>
      <c r="L92" s="56" t="n"/>
      <c r="M92" s="166">
        <f>COUNTIF(E39:AF39, 1)</f>
        <v/>
      </c>
      <c r="N92" s="56" t="n"/>
      <c r="O92" s="168">
        <f>IFERROR(AVERAGE(E47:AF47), 0)</f>
        <v/>
      </c>
      <c r="P92" s="56" t="n"/>
      <c r="Q92" s="166">
        <f>INDEX(A76:A80, MATCH(MAX(E76:E80), E76:E80, 0))</f>
        <v/>
      </c>
      <c r="R92" s="161" t="n"/>
      <c r="S92" s="56" t="n"/>
      <c r="T92" s="166">
        <f>INDEX(N76:N80, MATCH(MAX(S76:S80), S76:S80, 0))</f>
        <v/>
      </c>
      <c r="U92" s="161" t="n"/>
      <c r="V92" s="161" t="n"/>
      <c r="W92" s="56" t="n"/>
    </row>
    <row r="93" ht="14" customHeight="1">
      <c r="A93" s="169" t="inlineStr">
        <is>
          <t>📋 Note: Reference or copy Row 92 directly into an Annual / Quarterly review dashboard to track yearly habit trends.</t>
        </is>
      </c>
    </row>
    <row r="94" ht="8" customHeight="1"/>
    <row r="95">
      <c r="A95" s="170" t="inlineStr">
        <is>
          <t>🏆 MONTHLY WINS &amp; HIGHLIGHTS</t>
        </is>
      </c>
      <c r="J95" s="171" t="inlineStr">
        <is>
          <t>⚠️ FRICTION POINTS &amp; ROOT CAUSES</t>
        </is>
      </c>
      <c r="S95" s="172" t="inlineStr">
        <is>
          <t>🎯 3 KEY ADJUSTMENTS FOR NEXT MONTH</t>
        </is>
      </c>
    </row>
    <row r="96">
      <c r="A96" s="173" t="inlineStr">
        <is>
          <t>1. What went exceptionally well this month?
2. Which habit felt effortless and consistent?
3. Major milestone achieved:</t>
        </is>
      </c>
      <c r="B96" s="174" t="n"/>
      <c r="C96" s="174" t="n"/>
      <c r="D96" s="174" t="n"/>
      <c r="E96" s="174" t="n"/>
      <c r="F96" s="174" t="n"/>
      <c r="G96" s="174" t="n"/>
      <c r="H96" s="174" t="n"/>
      <c r="J96" s="175" t="inlineStr">
        <is>
          <t>1. What caused missed or skipped days?
2. Main triggers / energy drains encountered:
3. Which habit had the lowest consistency and why?</t>
        </is>
      </c>
      <c r="K96" s="176" t="n"/>
      <c r="L96" s="176" t="n"/>
      <c r="M96" s="176" t="n"/>
      <c r="N96" s="176" t="n"/>
      <c r="O96" s="176" t="n"/>
      <c r="P96" s="176" t="n"/>
      <c r="Q96" s="176" t="n"/>
      <c r="S96" s="177" t="inlineStr">
        <is>
          <t>1. Habit Stacking or time adjustment for next month:
2. Environment design change to eliminate friction:
3. One non-negotiable priority protocol:</t>
        </is>
      </c>
      <c r="T96" s="178" t="n"/>
      <c r="U96" s="178" t="n"/>
      <c r="V96" s="178" t="n"/>
      <c r="W96" s="178" t="n"/>
      <c r="X96" s="178" t="n"/>
      <c r="Y96" s="178" t="n"/>
      <c r="Z96" s="178" t="n"/>
    </row>
    <row r="97">
      <c r="A97" s="174" t="n"/>
      <c r="B97" s="174" t="n"/>
      <c r="C97" s="174" t="n"/>
      <c r="D97" s="174" t="n"/>
      <c r="E97" s="174" t="n"/>
      <c r="F97" s="174" t="n"/>
      <c r="G97" s="174" t="n"/>
      <c r="H97" s="174" t="n"/>
      <c r="J97" s="176" t="n"/>
      <c r="K97" s="176" t="n"/>
      <c r="L97" s="176" t="n"/>
      <c r="M97" s="176" t="n"/>
      <c r="N97" s="176" t="n"/>
      <c r="O97" s="176" t="n"/>
      <c r="P97" s="176" t="n"/>
      <c r="Q97" s="176" t="n"/>
      <c r="S97" s="178" t="n"/>
      <c r="T97" s="178" t="n"/>
      <c r="U97" s="178" t="n"/>
      <c r="V97" s="178" t="n"/>
      <c r="W97" s="178" t="n"/>
      <c r="X97" s="178" t="n"/>
      <c r="Y97" s="178" t="n"/>
      <c r="Z97" s="178" t="n"/>
    </row>
    <row r="98">
      <c r="A98" s="174" t="n"/>
      <c r="B98" s="174" t="n"/>
      <c r="C98" s="174" t="n"/>
      <c r="D98" s="174" t="n"/>
      <c r="E98" s="174" t="n"/>
      <c r="F98" s="174" t="n"/>
      <c r="G98" s="174" t="n"/>
      <c r="H98" s="174" t="n"/>
      <c r="J98" s="176" t="n"/>
      <c r="K98" s="176" t="n"/>
      <c r="L98" s="176" t="n"/>
      <c r="M98" s="176" t="n"/>
      <c r="N98" s="176" t="n"/>
      <c r="O98" s="176" t="n"/>
      <c r="P98" s="176" t="n"/>
      <c r="Q98" s="176" t="n"/>
      <c r="S98" s="178" t="n"/>
      <c r="T98" s="178" t="n"/>
      <c r="U98" s="178" t="n"/>
      <c r="V98" s="178" t="n"/>
      <c r="W98" s="178" t="n"/>
      <c r="X98" s="178" t="n"/>
      <c r="Y98" s="178" t="n"/>
      <c r="Z98" s="178" t="n"/>
    </row>
    <row r="99">
      <c r="A99" s="174" t="n"/>
      <c r="B99" s="174" t="n"/>
      <c r="C99" s="174" t="n"/>
      <c r="D99" s="174" t="n"/>
      <c r="E99" s="174" t="n"/>
      <c r="F99" s="174" t="n"/>
      <c r="G99" s="174" t="n"/>
      <c r="H99" s="174" t="n"/>
      <c r="J99" s="176" t="n"/>
      <c r="K99" s="176" t="n"/>
      <c r="L99" s="176" t="n"/>
      <c r="M99" s="176" t="n"/>
      <c r="N99" s="176" t="n"/>
      <c r="O99" s="176" t="n"/>
      <c r="P99" s="176" t="n"/>
      <c r="Q99" s="176" t="n"/>
      <c r="S99" s="178" t="n"/>
      <c r="T99" s="178" t="n"/>
      <c r="U99" s="178" t="n"/>
      <c r="V99" s="178" t="n"/>
      <c r="W99" s="178" t="n"/>
      <c r="X99" s="178" t="n"/>
      <c r="Y99" s="178" t="n"/>
      <c r="Z99" s="178" t="n"/>
    </row>
    <row r="100">
      <c r="A100" s="174" t="n"/>
      <c r="B100" s="174" t="n"/>
      <c r="C100" s="174" t="n"/>
      <c r="D100" s="174" t="n"/>
      <c r="E100" s="174" t="n"/>
      <c r="F100" s="174" t="n"/>
      <c r="G100" s="174" t="n"/>
      <c r="H100" s="174" t="n"/>
      <c r="J100" s="176" t="n"/>
      <c r="K100" s="176" t="n"/>
      <c r="L100" s="176" t="n"/>
      <c r="M100" s="176" t="n"/>
      <c r="N100" s="176" t="n"/>
      <c r="O100" s="176" t="n"/>
      <c r="P100" s="176" t="n"/>
      <c r="Q100" s="176" t="n"/>
      <c r="S100" s="178" t="n"/>
      <c r="T100" s="178" t="n"/>
      <c r="U100" s="178" t="n"/>
      <c r="V100" s="178" t="n"/>
      <c r="W100" s="178" t="n"/>
      <c r="X100" s="178" t="n"/>
      <c r="Y100" s="178" t="n"/>
      <c r="Z100" s="178" t="n"/>
    </row>
    <row r="101">
      <c r="A101" s="174" t="n"/>
      <c r="B101" s="174" t="n"/>
      <c r="C101" s="174" t="n"/>
      <c r="D101" s="174" t="n"/>
      <c r="E101" s="174" t="n"/>
      <c r="F101" s="174" t="n"/>
      <c r="G101" s="174" t="n"/>
      <c r="H101" s="174" t="n"/>
      <c r="J101" s="176" t="n"/>
      <c r="K101" s="176" t="n"/>
      <c r="L101" s="176" t="n"/>
      <c r="M101" s="176" t="n"/>
      <c r="N101" s="176" t="n"/>
      <c r="O101" s="176" t="n"/>
      <c r="P101" s="176" t="n"/>
      <c r="Q101" s="176" t="n"/>
      <c r="S101" s="178" t="n"/>
      <c r="T101" s="178" t="n"/>
      <c r="U101" s="178" t="n"/>
      <c r="V101" s="178" t="n"/>
      <c r="W101" s="178" t="n"/>
      <c r="X101" s="178" t="n"/>
      <c r="Y101" s="178" t="n"/>
      <c r="Z101" s="178" t="n"/>
    </row>
    <row r="102">
      <c r="A102" s="174" t="n"/>
      <c r="B102" s="174" t="n"/>
      <c r="C102" s="174" t="n"/>
      <c r="D102" s="174" t="n"/>
      <c r="E102" s="174" t="n"/>
      <c r="F102" s="174" t="n"/>
      <c r="G102" s="174" t="n"/>
      <c r="H102" s="174" t="n"/>
      <c r="J102" s="176" t="n"/>
      <c r="K102" s="176" t="n"/>
      <c r="L102" s="176" t="n"/>
      <c r="M102" s="176" t="n"/>
      <c r="N102" s="176" t="n"/>
      <c r="O102" s="176" t="n"/>
      <c r="P102" s="176" t="n"/>
      <c r="Q102" s="176" t="n"/>
      <c r="S102" s="178" t="n"/>
      <c r="T102" s="178" t="n"/>
      <c r="U102" s="178" t="n"/>
      <c r="V102" s="178" t="n"/>
      <c r="W102" s="178" t="n"/>
      <c r="X102" s="178" t="n"/>
      <c r="Y102" s="178" t="n"/>
      <c r="Z102" s="178" t="n"/>
    </row>
    <row r="103">
      <c r="A103" s="174" t="n"/>
      <c r="B103" s="174" t="n"/>
      <c r="C103" s="174" t="n"/>
      <c r="D103" s="174" t="n"/>
      <c r="E103" s="174" t="n"/>
      <c r="F103" s="174" t="n"/>
      <c r="G103" s="174" t="n"/>
      <c r="H103" s="174" t="n"/>
      <c r="J103" s="176" t="n"/>
      <c r="K103" s="176" t="n"/>
      <c r="L103" s="176" t="n"/>
      <c r="M103" s="176" t="n"/>
      <c r="N103" s="176" t="n"/>
      <c r="O103" s="176" t="n"/>
      <c r="P103" s="176" t="n"/>
      <c r="Q103" s="176" t="n"/>
      <c r="S103" s="178" t="n"/>
      <c r="T103" s="178" t="n"/>
      <c r="U103" s="178" t="n"/>
      <c r="V103" s="178" t="n"/>
      <c r="W103" s="178" t="n"/>
      <c r="X103" s="178" t="n"/>
      <c r="Y103" s="178" t="n"/>
      <c r="Z103" s="178" t="n"/>
    </row>
  </sheetData>
  <sheetProtection selectLockedCells="1" selectUnlockedCells="1" sheet="1" objects="0" insertRows="1" insertHyperlinks="1" autoFilter="1" scenarios="0" formatColumns="1" deleteColumns="1" insertColumns="1" pivotTables="1" deleteRows="1" formatCells="1" formatRows="1" sort="1"/>
  <mergeCells count="94">
    <mergeCell ref="A9:N9"/>
    <mergeCell ref="N76:O76"/>
    <mergeCell ref="F67:I67"/>
    <mergeCell ref="A93:AI93"/>
    <mergeCell ref="G87:I87"/>
    <mergeCell ref="A16:A17"/>
    <mergeCell ref="A45:D46"/>
    <mergeCell ref="C16:C17"/>
    <mergeCell ref="N75:O75"/>
    <mergeCell ref="N77:O77"/>
    <mergeCell ref="P68:S70"/>
    <mergeCell ref="P6:AI6"/>
    <mergeCell ref="D16:D17"/>
    <mergeCell ref="N85:Q85"/>
    <mergeCell ref="A95:H95"/>
    <mergeCell ref="Q91:S91"/>
    <mergeCell ref="P7:AI7"/>
    <mergeCell ref="E91:F91"/>
    <mergeCell ref="A8:N8"/>
    <mergeCell ref="G91:H91"/>
    <mergeCell ref="J86:M86"/>
    <mergeCell ref="A12:AI14"/>
    <mergeCell ref="K67:N67"/>
    <mergeCell ref="S95:Z95"/>
    <mergeCell ref="N79:O79"/>
    <mergeCell ref="K92:L92"/>
    <mergeCell ref="C92:D92"/>
    <mergeCell ref="M92:N92"/>
    <mergeCell ref="F71:I71"/>
    <mergeCell ref="P9:AI9"/>
    <mergeCell ref="K68:N70"/>
    <mergeCell ref="T91:W91"/>
    <mergeCell ref="AG16:AG17"/>
    <mergeCell ref="AI16:AI17"/>
    <mergeCell ref="J95:Q95"/>
    <mergeCell ref="A84:AI84"/>
    <mergeCell ref="D85:F85"/>
    <mergeCell ref="N74:S74"/>
    <mergeCell ref="F68:I70"/>
    <mergeCell ref="A91:B91"/>
    <mergeCell ref="N78:O78"/>
    <mergeCell ref="C91:D91"/>
    <mergeCell ref="M91:N91"/>
    <mergeCell ref="O91:P91"/>
    <mergeCell ref="R86:U86"/>
    <mergeCell ref="N80:O80"/>
    <mergeCell ref="B16:B17"/>
    <mergeCell ref="A71:D71"/>
    <mergeCell ref="J85:M85"/>
    <mergeCell ref="D86:F86"/>
    <mergeCell ref="A92:B92"/>
    <mergeCell ref="N87:Q87"/>
    <mergeCell ref="A1:B1"/>
    <mergeCell ref="E92:F92"/>
    <mergeCell ref="A68:D70"/>
    <mergeCell ref="P71:S71"/>
    <mergeCell ref="A86:C86"/>
    <mergeCell ref="D87:F87"/>
    <mergeCell ref="O92:P92"/>
    <mergeCell ref="A6:N6"/>
    <mergeCell ref="A88:AI88"/>
    <mergeCell ref="A39:D39"/>
    <mergeCell ref="A41:AI41"/>
    <mergeCell ref="A90:AI90"/>
    <mergeCell ref="H2:AA2"/>
    <mergeCell ref="G86:I86"/>
    <mergeCell ref="A96:H103"/>
    <mergeCell ref="P67:S67"/>
    <mergeCell ref="A42:AI42"/>
    <mergeCell ref="AH16:AH17"/>
    <mergeCell ref="T92:W92"/>
    <mergeCell ref="H3:AA3"/>
    <mergeCell ref="R85:U85"/>
    <mergeCell ref="K71:N71"/>
    <mergeCell ref="S96:Z103"/>
    <mergeCell ref="A38:D38"/>
    <mergeCell ref="A67:D67"/>
    <mergeCell ref="I91:J91"/>
    <mergeCell ref="A85:C85"/>
    <mergeCell ref="K91:L91"/>
    <mergeCell ref="N86:Q86"/>
    <mergeCell ref="A7:N7"/>
    <mergeCell ref="P8:AI8"/>
    <mergeCell ref="A74:E74"/>
    <mergeCell ref="G85:I85"/>
    <mergeCell ref="G92:H92"/>
    <mergeCell ref="I92:J92"/>
    <mergeCell ref="R87:U87"/>
    <mergeCell ref="AB2:AI2"/>
    <mergeCell ref="J87:M87"/>
    <mergeCell ref="J96:Q103"/>
    <mergeCell ref="Q92:S92"/>
    <mergeCell ref="A87:C87"/>
    <mergeCell ref="A47:D47"/>
  </mergeCells>
  <conditionalFormatting sqref="AG18:AG37">
    <cfRule type="dataBar" priority="1">
      <dataBar>
        <cfvo type="num" val="0"/>
        <cfvo type="num" val="1"/>
        <color rgb="0010B981"/>
      </dataBar>
    </cfRule>
  </conditionalFormatting>
  <conditionalFormatting sqref="E18:AF37">
    <cfRule type="cellIs" priority="2" operator="equal" dxfId="0">
      <formula>"✓"</formula>
    </cfRule>
    <cfRule type="cellIs" priority="3" operator="equal" dxfId="0">
      <formula>"✔"</formula>
    </cfRule>
    <cfRule type="cellIs" priority="4" operator="equal" dxfId="1">
      <formula>"✗"</formula>
    </cfRule>
    <cfRule type="cellIs" priority="5" operator="equal" dxfId="1">
      <formula>"x"</formula>
    </cfRule>
    <cfRule type="cellIs" priority="6" operator="equal" dxfId="1">
      <formula>"X"</formula>
    </cfRule>
  </conditionalFormatting>
  <conditionalFormatting sqref="E16:E17">
    <cfRule type="expression" priority="7" dxfId="2">
      <formula>AND(DAY(TODAY())=1, MONTH(TODAY())=2, YEAR(TODAY())=2027)</formula>
    </cfRule>
  </conditionalFormatting>
  <conditionalFormatting sqref="F16:F17">
    <cfRule type="expression" priority="8" dxfId="2">
      <formula>AND(DAY(TODAY())=2, MONTH(TODAY())=2, YEAR(TODAY())=2027)</formula>
    </cfRule>
  </conditionalFormatting>
  <conditionalFormatting sqref="G16:G17">
    <cfRule type="expression" priority="9" dxfId="2">
      <formula>AND(DAY(TODAY())=3, MONTH(TODAY())=2, YEAR(TODAY())=2027)</formula>
    </cfRule>
  </conditionalFormatting>
  <conditionalFormatting sqref="H16:H17">
    <cfRule type="expression" priority="10" dxfId="2">
      <formula>AND(DAY(TODAY())=4, MONTH(TODAY())=2, YEAR(TODAY())=2027)</formula>
    </cfRule>
  </conditionalFormatting>
  <conditionalFormatting sqref="I16:I17">
    <cfRule type="expression" priority="11" dxfId="2">
      <formula>AND(DAY(TODAY())=5, MONTH(TODAY())=2, YEAR(TODAY())=2027)</formula>
    </cfRule>
  </conditionalFormatting>
  <conditionalFormatting sqref="J16:J17">
    <cfRule type="expression" priority="12" dxfId="2">
      <formula>AND(DAY(TODAY())=6, MONTH(TODAY())=2, YEAR(TODAY())=2027)</formula>
    </cfRule>
  </conditionalFormatting>
  <conditionalFormatting sqref="K16:K17">
    <cfRule type="expression" priority="13" dxfId="2">
      <formula>AND(DAY(TODAY())=7, MONTH(TODAY())=2, YEAR(TODAY())=2027)</formula>
    </cfRule>
  </conditionalFormatting>
  <conditionalFormatting sqref="L16:L17">
    <cfRule type="expression" priority="14" dxfId="2">
      <formula>AND(DAY(TODAY())=8, MONTH(TODAY())=2, YEAR(TODAY())=2027)</formula>
    </cfRule>
  </conditionalFormatting>
  <conditionalFormatting sqref="M16:M17">
    <cfRule type="expression" priority="15" dxfId="2">
      <formula>AND(DAY(TODAY())=9, MONTH(TODAY())=2, YEAR(TODAY())=2027)</formula>
    </cfRule>
  </conditionalFormatting>
  <conditionalFormatting sqref="N16:N17">
    <cfRule type="expression" priority="16" dxfId="2">
      <formula>AND(DAY(TODAY())=10, MONTH(TODAY())=2, YEAR(TODAY())=2027)</formula>
    </cfRule>
  </conditionalFormatting>
  <conditionalFormatting sqref="O16:O17">
    <cfRule type="expression" priority="17" dxfId="2">
      <formula>AND(DAY(TODAY())=11, MONTH(TODAY())=2, YEAR(TODAY())=2027)</formula>
    </cfRule>
  </conditionalFormatting>
  <conditionalFormatting sqref="P16:P17">
    <cfRule type="expression" priority="18" dxfId="2">
      <formula>AND(DAY(TODAY())=12, MONTH(TODAY())=2, YEAR(TODAY())=2027)</formula>
    </cfRule>
  </conditionalFormatting>
  <conditionalFormatting sqref="Q16:Q17">
    <cfRule type="expression" priority="19" dxfId="2">
      <formula>AND(DAY(TODAY())=13, MONTH(TODAY())=2, YEAR(TODAY())=2027)</formula>
    </cfRule>
  </conditionalFormatting>
  <conditionalFormatting sqref="R16:R17">
    <cfRule type="expression" priority="20" dxfId="2">
      <formula>AND(DAY(TODAY())=14, MONTH(TODAY())=2, YEAR(TODAY())=2027)</formula>
    </cfRule>
  </conditionalFormatting>
  <conditionalFormatting sqref="S16:S17">
    <cfRule type="expression" priority="21" dxfId="2">
      <formula>AND(DAY(TODAY())=15, MONTH(TODAY())=2, YEAR(TODAY())=2027)</formula>
    </cfRule>
  </conditionalFormatting>
  <conditionalFormatting sqref="T16:T17">
    <cfRule type="expression" priority="22" dxfId="2">
      <formula>AND(DAY(TODAY())=16, MONTH(TODAY())=2, YEAR(TODAY())=2027)</formula>
    </cfRule>
  </conditionalFormatting>
  <conditionalFormatting sqref="U16:U17">
    <cfRule type="expression" priority="23" dxfId="2">
      <formula>AND(DAY(TODAY())=17, MONTH(TODAY())=2, YEAR(TODAY())=2027)</formula>
    </cfRule>
  </conditionalFormatting>
  <conditionalFormatting sqref="V16:V17">
    <cfRule type="expression" priority="24" dxfId="2">
      <formula>AND(DAY(TODAY())=18, MONTH(TODAY())=2, YEAR(TODAY())=2027)</formula>
    </cfRule>
  </conditionalFormatting>
  <conditionalFormatting sqref="W16:W17">
    <cfRule type="expression" priority="25" dxfId="2">
      <formula>AND(DAY(TODAY())=19, MONTH(TODAY())=2, YEAR(TODAY())=2027)</formula>
    </cfRule>
  </conditionalFormatting>
  <conditionalFormatting sqref="X16:X17">
    <cfRule type="expression" priority="26" dxfId="2">
      <formula>AND(DAY(TODAY())=20, MONTH(TODAY())=2, YEAR(TODAY())=2027)</formula>
    </cfRule>
  </conditionalFormatting>
  <conditionalFormatting sqref="Y16:Y17">
    <cfRule type="expression" priority="27" dxfId="2">
      <formula>AND(DAY(TODAY())=21, MONTH(TODAY())=2, YEAR(TODAY())=2027)</formula>
    </cfRule>
  </conditionalFormatting>
  <conditionalFormatting sqref="Z16:Z17">
    <cfRule type="expression" priority="28" dxfId="2">
      <formula>AND(DAY(TODAY())=22, MONTH(TODAY())=2, YEAR(TODAY())=2027)</formula>
    </cfRule>
  </conditionalFormatting>
  <conditionalFormatting sqref="AA16:AA17">
    <cfRule type="expression" priority="29" dxfId="2">
      <formula>AND(DAY(TODAY())=23, MONTH(TODAY())=2, YEAR(TODAY())=2027)</formula>
    </cfRule>
  </conditionalFormatting>
  <conditionalFormatting sqref="AB16:AB17">
    <cfRule type="expression" priority="30" dxfId="2">
      <formula>AND(DAY(TODAY())=24, MONTH(TODAY())=2, YEAR(TODAY())=2027)</formula>
    </cfRule>
  </conditionalFormatting>
  <conditionalFormatting sqref="AC16:AC17">
    <cfRule type="expression" priority="31" dxfId="2">
      <formula>AND(DAY(TODAY())=25, MONTH(TODAY())=2, YEAR(TODAY())=2027)</formula>
    </cfRule>
  </conditionalFormatting>
  <conditionalFormatting sqref="AD16:AD17">
    <cfRule type="expression" priority="32" dxfId="2">
      <formula>AND(DAY(TODAY())=26, MONTH(TODAY())=2, YEAR(TODAY())=2027)</formula>
    </cfRule>
  </conditionalFormatting>
  <conditionalFormatting sqref="AE16:AE17">
    <cfRule type="expression" priority="33" dxfId="2">
      <formula>AND(DAY(TODAY())=27, MONTH(TODAY())=2, YEAR(TODAY())=2027)</formula>
    </cfRule>
  </conditionalFormatting>
  <conditionalFormatting sqref="AF16:AF17">
    <cfRule type="expression" priority="34" dxfId="2">
      <formula>AND(DAY(TODAY())=28, MONTH(TODAY())=2, YEAR(TODAY())=2027)</formula>
    </cfRule>
  </conditionalFormatting>
  <dataValidations count="4">
    <dataValidation sqref="C18:C37" showDropDown="0" showInputMessage="0" showErrorMessage="0" allowBlank="1" type="list">
      <formula1>"Health &amp; Fitness,Mindset &amp; Learning,Career &amp; Focus,Personal &amp; Home,Finance &amp; Wealth,Other"</formula1>
    </dataValidation>
    <dataValidation sqref="D18:D37" showDropDown="0" showInputMessage="0" showErrorMessage="0" allowBlank="1" type="list">
      <formula1>"1,2,3,4,5,6,7,8,9,10,11,12,13,14,15,16,17,18,19,20,21,22,23,24,25,26,27,28,29,30,31"</formula1>
    </dataValidation>
    <dataValidation sqref="E18:AF37" showDropDown="0" showInputMessage="0" showErrorMessage="0" allowBlank="1" type="list">
      <formula1>"✓,✗"</formula1>
    </dataValidation>
    <dataValidation sqref="E47:AF47" showDropDown="0" showInputMessage="0" showErrorMessage="0" allowBlank="1" type="list">
      <formula1>"1,2,3,4,5,6,7,8,9,10,11,12,13,14,15,16,17,18,19,20,21,22,23,24"</formula1>
    </dataValidation>
  </dataValidations>
  <hyperlinks>
    <hyperlink xmlns:r="http://schemas.openxmlformats.org/officeDocument/2006/relationships" ref="A1" r:id="rId1"/>
    <hyperlink xmlns:r="http://schemas.openxmlformats.org/officeDocument/2006/relationships" ref="C1" r:id="rId2"/>
    <hyperlink xmlns:r="http://schemas.openxmlformats.org/officeDocument/2006/relationships" ref="D1" r:id="rId3"/>
    <hyperlink xmlns:r="http://schemas.openxmlformats.org/officeDocument/2006/relationships" ref="E1" r:id="rId4"/>
    <hyperlink xmlns:r="http://schemas.openxmlformats.org/officeDocument/2006/relationships" ref="F1" r:id="rId5"/>
    <hyperlink xmlns:r="http://schemas.openxmlformats.org/officeDocument/2006/relationships" ref="G1" r:id="rId6"/>
    <hyperlink xmlns:r="http://schemas.openxmlformats.org/officeDocument/2006/relationships" ref="H1" r:id="rId7"/>
    <hyperlink xmlns:r="http://schemas.openxmlformats.org/officeDocument/2006/relationships" ref="I1" r:id="rId8"/>
    <hyperlink xmlns:r="http://schemas.openxmlformats.org/officeDocument/2006/relationships" ref="J1" r:id="rId9"/>
    <hyperlink xmlns:r="http://schemas.openxmlformats.org/officeDocument/2006/relationships" ref="K1" r:id="rId10"/>
  </hyperlinks>
  <printOptions horizontalCentered="1" verticalCentered="0"/>
  <pageMargins left="0.75" right="0.75" top="1" bottom="1" header="0.5" footer="0.5"/>
  <pageSetup orientation="landscape" paperSize="9" fitToHeight="0" fitToWidth="1"/>
  <drawing xmlns:r="http://schemas.openxmlformats.org/officeDocument/2006/relationships" r:id="rId11"/>
</worksheet>
</file>

<file path=xl/worksheets/sheet10.xml><?xml version="1.0" encoding="utf-8"?>
<worksheet xmlns="http://schemas.openxmlformats.org/spreadsheetml/2006/main">
  <sheetPr>
    <outlinePr summaryBelow="1" summaryRight="1"/>
    <pageSetUpPr fitToPage="1"/>
  </sheetPr>
  <dimension ref="A1:AM103"/>
  <sheetViews>
    <sheetView showGridLines="1" workbookViewId="0">
      <selection activeCell="A1" sqref="A1"/>
    </sheetView>
  </sheetViews>
  <sheetFormatPr baseColWidth="8" defaultRowHeight="15"/>
  <cols>
    <col width="6" customWidth="1" min="1" max="1"/>
    <col width="25" customWidth="1" min="2" max="2"/>
    <col width="16.5" customWidth="1" min="3" max="3"/>
    <col width="8" customWidth="1" min="4" max="4"/>
    <col width="4.8" customWidth="1" min="5" max="5"/>
    <col width="4.8" customWidth="1" min="6" max="6"/>
    <col width="4.8" customWidth="1" min="7" max="7"/>
    <col width="4.8" customWidth="1" min="8" max="8"/>
    <col width="4.8" customWidth="1" min="9" max="9"/>
    <col width="4.8" customWidth="1" min="10" max="10"/>
    <col width="4.8" customWidth="1" min="11" max="11"/>
    <col width="4.8" customWidth="1" min="12" max="12"/>
    <col width="4.8" customWidth="1" min="13" max="13"/>
    <col width="4.8" customWidth="1" min="14" max="14"/>
    <col width="4.8" customWidth="1" min="15" max="15"/>
    <col width="4.8" customWidth="1" min="16" max="16"/>
    <col width="4.8" customWidth="1" min="17" max="17"/>
    <col width="4.8" customWidth="1" min="18" max="18"/>
    <col width="4.8" customWidth="1" min="19" max="19"/>
    <col width="4.8" customWidth="1" min="20" max="20"/>
    <col width="4.8" customWidth="1" min="21" max="21"/>
    <col width="4.8" customWidth="1" min="22" max="22"/>
    <col width="4.8" customWidth="1" min="23" max="23"/>
    <col width="4.8" customWidth="1" min="24" max="24"/>
    <col width="4.8" customWidth="1" min="25" max="25"/>
    <col width="4.8" customWidth="1" min="26" max="26"/>
    <col width="4.8" customWidth="1" min="27" max="27"/>
    <col width="4.8" customWidth="1" min="28" max="28"/>
    <col width="4.8" customWidth="1" min="29" max="29"/>
    <col width="4.8" customWidth="1" min="30" max="30"/>
    <col width="4.8" customWidth="1" min="31" max="31"/>
    <col width="4.8" customWidth="1" min="32" max="32"/>
    <col width="4.8" customWidth="1" min="33" max="33"/>
    <col width="4.8" customWidth="1" min="34" max="34"/>
    <col width="4.8" customWidth="1" min="35" max="35"/>
    <col width="11.5" customWidth="1" min="36" max="36"/>
    <col width="12" customWidth="1" min="37" max="37"/>
    <col width="13.5" customWidth="1" min="38" max="38"/>
    <col hidden="1" width="8" customWidth="1" min="39" max="39"/>
  </cols>
  <sheetData>
    <row r="1" ht="18" customHeight="1">
      <c r="A1" s="76" t="inlineStr">
        <is>
          <t>🏠 Master Dashboard</t>
        </is>
      </c>
      <c r="B1" s="40" t="n"/>
      <c r="C1" s="77" t="inlineStr">
        <is>
          <t>🏛️ Quarterly Hub</t>
        </is>
      </c>
      <c r="D1" s="78" t="inlineStr">
        <is>
          <t>📚 Habit Library</t>
        </is>
      </c>
      <c r="E1" s="80" t="inlineStr">
        <is>
          <t>2026</t>
        </is>
      </c>
      <c r="F1" s="79" t="inlineStr">
        <is>
          <t>2027</t>
        </is>
      </c>
      <c r="G1" s="80" t="inlineStr">
        <is>
          <t>2028</t>
        </is>
      </c>
      <c r="H1" s="80" t="inlineStr">
        <is>
          <t>2029</t>
        </is>
      </c>
      <c r="I1" s="80" t="inlineStr">
        <is>
          <t>2030</t>
        </is>
      </c>
      <c r="J1" s="82" t="inlineStr">
        <is>
          <t>◀ Prev</t>
        </is>
      </c>
      <c r="K1" s="82" t="inlineStr">
        <is>
          <t>Next ▶</t>
        </is>
      </c>
    </row>
    <row r="2" ht="24" customHeight="1">
      <c r="A2" s="83" t="inlineStr">
        <is>
          <t>Habit Tracker</t>
        </is>
      </c>
      <c r="H2" s="84" t="inlineStr">
        <is>
          <t>"Action is the foundational key to all success."</t>
        </is>
      </c>
      <c r="AE2" s="85" t="inlineStr">
        <is>
          <t>@surajvansh</t>
        </is>
      </c>
    </row>
    <row r="3" ht="18" customHeight="1">
      <c r="A3" s="86" t="inlineStr">
        <is>
          <t>March 2027</t>
        </is>
      </c>
      <c r="H3" s="87" t="inlineStr">
        <is>
          <t>31 Days Dashboard</t>
        </is>
      </c>
    </row>
    <row r="4" ht="5" customHeight="1"/>
    <row r="5" ht="16" customHeight="1">
      <c r="A5" s="88" t="inlineStr">
        <is>
          <t>MONTHLY TARGETS</t>
        </is>
      </c>
    </row>
    <row r="6" ht="13" customHeight="1">
      <c r="A6" s="89" t="inlineStr">
        <is>
          <t>1. ____________________ : ____________________</t>
        </is>
      </c>
      <c r="P6" s="89" t="inlineStr">
        <is>
          <t>5. ____________________ : ____________________</t>
        </is>
      </c>
    </row>
    <row r="7" ht="13" customHeight="1">
      <c r="A7" s="89" t="inlineStr">
        <is>
          <t>2. ____________________ : ____________________</t>
        </is>
      </c>
      <c r="P7" s="89" t="inlineStr">
        <is>
          <t>6. ____________________ : ____________________</t>
        </is>
      </c>
    </row>
    <row r="8" ht="13" customHeight="1">
      <c r="A8" s="89" t="inlineStr">
        <is>
          <t>3. ____________________ : ____________________</t>
        </is>
      </c>
      <c r="P8" s="89" t="inlineStr">
        <is>
          <t>7. ____________________ : ____________________</t>
        </is>
      </c>
    </row>
    <row r="9" ht="13" customHeight="1">
      <c r="A9" s="89" t="inlineStr">
        <is>
          <t>4. ____________________ : ____________________</t>
        </is>
      </c>
      <c r="P9" s="89" t="inlineStr">
        <is>
          <t>8. ____________________ : ____________________</t>
        </is>
      </c>
    </row>
    <row r="10" ht="5" customHeight="1"/>
    <row r="11" ht="15" customHeight="1">
      <c r="A11" s="88" t="inlineStr">
        <is>
          <t>NOTES:</t>
        </is>
      </c>
    </row>
    <row r="12" ht="13" customHeight="1">
      <c r="A12" s="90" t="n"/>
      <c r="B12" s="91" t="n"/>
      <c r="C12" s="91" t="n"/>
      <c r="D12" s="91" t="n"/>
      <c r="E12" s="91" t="n"/>
      <c r="F12" s="91" t="n"/>
      <c r="G12" s="91" t="n"/>
      <c r="H12" s="91" t="n"/>
      <c r="I12" s="91" t="n"/>
      <c r="J12" s="91" t="n"/>
      <c r="K12" s="91" t="n"/>
      <c r="L12" s="91" t="n"/>
      <c r="M12" s="91" t="n"/>
      <c r="N12" s="91" t="n"/>
      <c r="O12" s="91" t="n"/>
      <c r="P12" s="91" t="n"/>
      <c r="Q12" s="91" t="n"/>
      <c r="R12" s="91" t="n"/>
      <c r="S12" s="91" t="n"/>
      <c r="T12" s="91" t="n"/>
      <c r="U12" s="91" t="n"/>
      <c r="V12" s="91" t="n"/>
      <c r="W12" s="91" t="n"/>
      <c r="X12" s="91" t="n"/>
      <c r="Y12" s="91" t="n"/>
      <c r="Z12" s="91" t="n"/>
      <c r="AA12" s="91" t="n"/>
      <c r="AB12" s="91" t="n"/>
      <c r="AC12" s="91" t="n"/>
      <c r="AD12" s="91" t="n"/>
      <c r="AE12" s="91" t="n"/>
      <c r="AF12" s="91" t="n"/>
      <c r="AG12" s="91" t="n"/>
      <c r="AH12" s="91" t="n"/>
      <c r="AI12" s="91" t="n"/>
      <c r="AJ12" s="91" t="n"/>
      <c r="AK12" s="91" t="n"/>
      <c r="AL12" s="91" t="n"/>
    </row>
    <row r="13" ht="13" customHeight="1">
      <c r="A13" s="91" t="n"/>
      <c r="B13" s="91" t="n"/>
      <c r="C13" s="91" t="n"/>
      <c r="D13" s="91" t="n"/>
      <c r="E13" s="91" t="n"/>
      <c r="F13" s="91" t="n"/>
      <c r="G13" s="91" t="n"/>
      <c r="H13" s="91" t="n"/>
      <c r="I13" s="91" t="n"/>
      <c r="J13" s="91" t="n"/>
      <c r="K13" s="91" t="n"/>
      <c r="L13" s="91" t="n"/>
      <c r="M13" s="91" t="n"/>
      <c r="N13" s="91" t="n"/>
      <c r="O13" s="91" t="n"/>
      <c r="P13" s="91" t="n"/>
      <c r="Q13" s="91" t="n"/>
      <c r="R13" s="91" t="n"/>
      <c r="S13" s="91" t="n"/>
      <c r="T13" s="91" t="n"/>
      <c r="U13" s="91" t="n"/>
      <c r="V13" s="91" t="n"/>
      <c r="W13" s="91" t="n"/>
      <c r="X13" s="91" t="n"/>
      <c r="Y13" s="91" t="n"/>
      <c r="Z13" s="91" t="n"/>
      <c r="AA13" s="91" t="n"/>
      <c r="AB13" s="91" t="n"/>
      <c r="AC13" s="91" t="n"/>
      <c r="AD13" s="91" t="n"/>
      <c r="AE13" s="91" t="n"/>
      <c r="AF13" s="91" t="n"/>
      <c r="AG13" s="91" t="n"/>
      <c r="AH13" s="91" t="n"/>
      <c r="AI13" s="91" t="n"/>
      <c r="AJ13" s="91" t="n"/>
      <c r="AK13" s="91" t="n"/>
      <c r="AL13" s="91" t="n"/>
    </row>
    <row r="14" ht="13" customHeight="1">
      <c r="A14" s="91" t="n"/>
      <c r="B14" s="91" t="n"/>
      <c r="C14" s="91" t="n"/>
      <c r="D14" s="91" t="n"/>
      <c r="E14" s="91" t="n"/>
      <c r="F14" s="91" t="n"/>
      <c r="G14" s="91" t="n"/>
      <c r="H14" s="91" t="n"/>
      <c r="I14" s="91" t="n"/>
      <c r="J14" s="91" t="n"/>
      <c r="K14" s="91" t="n"/>
      <c r="L14" s="91" t="n"/>
      <c r="M14" s="91" t="n"/>
      <c r="N14" s="91" t="n"/>
      <c r="O14" s="91" t="n"/>
      <c r="P14" s="91" t="n"/>
      <c r="Q14" s="91" t="n"/>
      <c r="R14" s="91" t="n"/>
      <c r="S14" s="91" t="n"/>
      <c r="T14" s="91" t="n"/>
      <c r="U14" s="91" t="n"/>
      <c r="V14" s="91" t="n"/>
      <c r="W14" s="91" t="n"/>
      <c r="X14" s="91" t="n"/>
      <c r="Y14" s="91" t="n"/>
      <c r="Z14" s="91" t="n"/>
      <c r="AA14" s="91" t="n"/>
      <c r="AB14" s="91" t="n"/>
      <c r="AC14" s="91" t="n"/>
      <c r="AD14" s="91" t="n"/>
      <c r="AE14" s="91" t="n"/>
      <c r="AF14" s="91" t="n"/>
      <c r="AG14" s="91" t="n"/>
      <c r="AH14" s="91" t="n"/>
      <c r="AI14" s="91" t="n"/>
      <c r="AJ14" s="91" t="n"/>
      <c r="AK14" s="91" t="n"/>
      <c r="AL14" s="91" t="n"/>
    </row>
    <row r="15" ht="8" customHeight="1"/>
    <row r="16" ht="15" customHeight="1">
      <c r="A16" s="33" t="inlineStr">
        <is>
          <t>S.No.</t>
        </is>
      </c>
      <c r="B16" s="33" t="inlineStr">
        <is>
          <t>Protocols</t>
        </is>
      </c>
      <c r="C16" s="33" t="inlineStr">
        <is>
          <t>Category</t>
        </is>
      </c>
      <c r="D16" s="33" t="inlineStr">
        <is>
          <t>Target</t>
        </is>
      </c>
      <c r="E16" s="92" t="n">
        <v>1</v>
      </c>
      <c r="F16" s="92" t="n">
        <v>2</v>
      </c>
      <c r="G16" s="92" t="n">
        <v>3</v>
      </c>
      <c r="H16" s="92" t="n">
        <v>4</v>
      </c>
      <c r="I16" s="92" t="n">
        <v>5</v>
      </c>
      <c r="J16" s="92" t="n">
        <v>6</v>
      </c>
      <c r="K16" s="93" t="n">
        <v>7</v>
      </c>
      <c r="L16" s="92" t="n">
        <v>8</v>
      </c>
      <c r="M16" s="92" t="n">
        <v>9</v>
      </c>
      <c r="N16" s="92" t="n">
        <v>10</v>
      </c>
      <c r="O16" s="92" t="n">
        <v>11</v>
      </c>
      <c r="P16" s="92" t="n">
        <v>12</v>
      </c>
      <c r="Q16" s="92" t="n">
        <v>13</v>
      </c>
      <c r="R16" s="93" t="n">
        <v>14</v>
      </c>
      <c r="S16" s="92" t="n">
        <v>15</v>
      </c>
      <c r="T16" s="92" t="n">
        <v>16</v>
      </c>
      <c r="U16" s="92" t="n">
        <v>17</v>
      </c>
      <c r="V16" s="92" t="n">
        <v>18</v>
      </c>
      <c r="W16" s="92" t="n">
        <v>19</v>
      </c>
      <c r="X16" s="92" t="n">
        <v>20</v>
      </c>
      <c r="Y16" s="93" t="n">
        <v>21</v>
      </c>
      <c r="Z16" s="92" t="n">
        <v>22</v>
      </c>
      <c r="AA16" s="92" t="n">
        <v>23</v>
      </c>
      <c r="AB16" s="92" t="n">
        <v>24</v>
      </c>
      <c r="AC16" s="92" t="n">
        <v>25</v>
      </c>
      <c r="AD16" s="92" t="n">
        <v>26</v>
      </c>
      <c r="AE16" s="92" t="n">
        <v>27</v>
      </c>
      <c r="AF16" s="93" t="n">
        <v>28</v>
      </c>
      <c r="AG16" s="92" t="n">
        <v>29</v>
      </c>
      <c r="AH16" s="92" t="n">
        <v>30</v>
      </c>
      <c r="AI16" s="92" t="n">
        <v>31</v>
      </c>
      <c r="AJ16" s="94" t="inlineStr">
        <is>
          <t>Success %</t>
        </is>
      </c>
      <c r="AK16" s="94" t="inlineStr">
        <is>
          <t>Done / Target</t>
        </is>
      </c>
      <c r="AL16" s="94" t="inlineStr">
        <is>
          <t>Status</t>
        </is>
      </c>
      <c r="AM16" t="inlineStr">
        <is>
          <t>Done Count</t>
        </is>
      </c>
    </row>
    <row r="17" ht="15" customHeight="1">
      <c r="A17" s="54" t="n"/>
      <c r="B17" s="54" t="n"/>
      <c r="C17" s="54" t="n"/>
      <c r="D17" s="54" t="n"/>
      <c r="E17" s="95" t="inlineStr">
        <is>
          <t>M</t>
        </is>
      </c>
      <c r="F17" s="95" t="inlineStr">
        <is>
          <t>T</t>
        </is>
      </c>
      <c r="G17" s="95" t="inlineStr">
        <is>
          <t>W</t>
        </is>
      </c>
      <c r="H17" s="95" t="inlineStr">
        <is>
          <t>Th</t>
        </is>
      </c>
      <c r="I17" s="95" t="inlineStr">
        <is>
          <t>F</t>
        </is>
      </c>
      <c r="J17" s="95" t="inlineStr">
        <is>
          <t>Sa</t>
        </is>
      </c>
      <c r="K17" s="96" t="inlineStr">
        <is>
          <t>Su</t>
        </is>
      </c>
      <c r="L17" s="95" t="inlineStr">
        <is>
          <t>M</t>
        </is>
      </c>
      <c r="M17" s="95" t="inlineStr">
        <is>
          <t>T</t>
        </is>
      </c>
      <c r="N17" s="95" t="inlineStr">
        <is>
          <t>W</t>
        </is>
      </c>
      <c r="O17" s="95" t="inlineStr">
        <is>
          <t>Th</t>
        </is>
      </c>
      <c r="P17" s="95" t="inlineStr">
        <is>
          <t>F</t>
        </is>
      </c>
      <c r="Q17" s="95" t="inlineStr">
        <is>
          <t>Sa</t>
        </is>
      </c>
      <c r="R17" s="96" t="inlineStr">
        <is>
          <t>Su</t>
        </is>
      </c>
      <c r="S17" s="95" t="inlineStr">
        <is>
          <t>M</t>
        </is>
      </c>
      <c r="T17" s="95" t="inlineStr">
        <is>
          <t>T</t>
        </is>
      </c>
      <c r="U17" s="95" t="inlineStr">
        <is>
          <t>W</t>
        </is>
      </c>
      <c r="V17" s="95" t="inlineStr">
        <is>
          <t>Th</t>
        </is>
      </c>
      <c r="W17" s="95" t="inlineStr">
        <is>
          <t>F</t>
        </is>
      </c>
      <c r="X17" s="95" t="inlineStr">
        <is>
          <t>Sa</t>
        </is>
      </c>
      <c r="Y17" s="96" t="inlineStr">
        <is>
          <t>Su</t>
        </is>
      </c>
      <c r="Z17" s="95" t="inlineStr">
        <is>
          <t>M</t>
        </is>
      </c>
      <c r="AA17" s="95" t="inlineStr">
        <is>
          <t>T</t>
        </is>
      </c>
      <c r="AB17" s="95" t="inlineStr">
        <is>
          <t>W</t>
        </is>
      </c>
      <c r="AC17" s="95" t="inlineStr">
        <is>
          <t>Th</t>
        </is>
      </c>
      <c r="AD17" s="95" t="inlineStr">
        <is>
          <t>F</t>
        </is>
      </c>
      <c r="AE17" s="95" t="inlineStr">
        <is>
          <t>Sa</t>
        </is>
      </c>
      <c r="AF17" s="96" t="inlineStr">
        <is>
          <t>Su</t>
        </is>
      </c>
      <c r="AG17" s="95" t="inlineStr">
        <is>
          <t>M</t>
        </is>
      </c>
      <c r="AH17" s="95" t="inlineStr">
        <is>
          <t>T</t>
        </is>
      </c>
      <c r="AI17" s="95" t="inlineStr">
        <is>
          <t>W</t>
        </is>
      </c>
      <c r="AJ17" s="54" t="n"/>
      <c r="AK17" s="54" t="n"/>
      <c r="AL17" s="54" t="n"/>
    </row>
    <row r="18" ht="14.5" customHeight="1">
      <c r="A18" s="97" t="n">
        <v>1</v>
      </c>
      <c r="B18" s="98" t="n"/>
      <c r="C18" s="99" t="n"/>
      <c r="D18" s="99" t="n"/>
      <c r="E18" s="100" t="n"/>
      <c r="F18" s="100" t="n"/>
      <c r="G18" s="100" t="n"/>
      <c r="H18" s="100" t="n"/>
      <c r="I18" s="100" t="n"/>
      <c r="J18" s="100" t="n"/>
      <c r="K18" s="101" t="n"/>
      <c r="L18" s="100" t="n"/>
      <c r="M18" s="100" t="n"/>
      <c r="N18" s="100" t="n"/>
      <c r="O18" s="100" t="n"/>
      <c r="P18" s="100" t="n"/>
      <c r="Q18" s="100" t="n"/>
      <c r="R18" s="101" t="n"/>
      <c r="S18" s="100" t="n"/>
      <c r="T18" s="100" t="n"/>
      <c r="U18" s="100" t="n"/>
      <c r="V18" s="100" t="n"/>
      <c r="W18" s="100" t="n"/>
      <c r="X18" s="100" t="n"/>
      <c r="Y18" s="101" t="n"/>
      <c r="Z18" s="100" t="n"/>
      <c r="AA18" s="100" t="n"/>
      <c r="AB18" s="100" t="n"/>
      <c r="AC18" s="100" t="n"/>
      <c r="AD18" s="100" t="n"/>
      <c r="AE18" s="100" t="n"/>
      <c r="AF18" s="101" t="n"/>
      <c r="AG18" s="100" t="n"/>
      <c r="AH18" s="100" t="n"/>
      <c r="AI18" s="100" t="n"/>
      <c r="AJ18" s="102">
        <f>IF(ISBLANK(B18), "", IF(ISNUMBER(D18), IF(D18&gt;0, (COUNTIF(E18:AI18, "✓") + COUNTIF(E18:AI18, "✔") + COUNTIF(E18:AI18, "v") + COUNTIF(E18:AI18, "V"))/D18, 0), IF(((COUNTIF(E18:AI18, "✓") + COUNTIF(E18:AI18, "✔") + COUNTIF(E18:AI18, "v") + COUNTIF(E18:AI18, "V")) + COUNTIF(E18:AI18, "✗") + COUNTIF(E18:AI18, "x") + COUNTIF(E18:AI18, "X"))&gt;0, (COUNTIF(E18:AI18, "✓") + COUNTIF(E18:AI18, "✔") + COUNTIF(E18:AI18, "v") + COUNTIF(E18:AI18, "V"))/((COUNTIF(E18:AI18, "✓") + COUNTIF(E18:AI18, "✔") + COUNTIF(E18:AI18, "v") + COUNTIF(E18:AI18, "V")) + COUNTIF(E18:AI18, "✗") + COUNTIF(E18:AI18, "x") + COUNTIF(E18:AI18, "X")), "")))</f>
        <v/>
      </c>
      <c r="AK18" s="103">
        <f>IF(ISBLANK(B18), "", IF(ISNUMBER(D18), IF(D18&gt;0, (COUNTIF(E18:AI18, "✓") + COUNTIF(E18:AI18, "✔") + COUNTIF(E18:AI18, "v") + COUNTIF(E18:AI18, "V")) &amp; "/" &amp; D18, (COUNTIF(E18:AI18, "✓") + COUNTIF(E18:AI18, "✔") + COUNTIF(E18:AI18, "v") + COUNTIF(E18:AI18, "V")) &amp; "/0"), IF(((COUNTIF(E18:AI18, "✓") + COUNTIF(E18:AI18, "✔") + COUNTIF(E18:AI18, "v") + COUNTIF(E18:AI18, "V")) + COUNTIF(E18:AI18, "✗") + COUNTIF(E18:AI18, "x") + COUNTIF(E18:AI18, "X"))&gt;0, (COUNTIF(E18:AI18, "✓") + COUNTIF(E18:AI18, "✔") + COUNTIF(E18:AI18, "v") + COUNTIF(E18:AI18, "V")) &amp; "/" &amp; ((COUNTIF(E18:AI18, "✓") + COUNTIF(E18:AI18, "✔") + COUNTIF(E18:AI18, "v") + COUNTIF(E18:AI18, "V")) + COUNTIF(E18:AI18, "✗") + COUNTIF(E18:AI18, "x") + COUNTIF(E18:AI18, "X")), "")))</f>
        <v/>
      </c>
      <c r="AL18" s="103">
        <f>IF(ISBLANK(B18), "", IF(AJ18&gt;=0.85, "🔥 Mastered", IF(AJ18&gt;=0.7, "⚡ Consistent", "⚠️ Needs Focus")))</f>
        <v/>
      </c>
      <c r="AM18">
        <f>COUNTIF(E18:AI18, "✓")</f>
        <v/>
      </c>
    </row>
    <row r="19" ht="14.5" customHeight="1">
      <c r="A19" s="97" t="n">
        <v>2</v>
      </c>
      <c r="B19" s="98" t="n"/>
      <c r="C19" s="99" t="n"/>
      <c r="D19" s="99" t="n"/>
      <c r="E19" s="100" t="n"/>
      <c r="F19" s="100" t="n"/>
      <c r="G19" s="100" t="n"/>
      <c r="H19" s="100" t="n"/>
      <c r="I19" s="100" t="n"/>
      <c r="J19" s="100" t="n"/>
      <c r="K19" s="101" t="n"/>
      <c r="L19" s="100" t="n"/>
      <c r="M19" s="100" t="n"/>
      <c r="N19" s="100" t="n"/>
      <c r="O19" s="100" t="n"/>
      <c r="P19" s="100" t="n"/>
      <c r="Q19" s="100" t="n"/>
      <c r="R19" s="101" t="n"/>
      <c r="S19" s="100" t="n"/>
      <c r="T19" s="100" t="n"/>
      <c r="U19" s="100" t="n"/>
      <c r="V19" s="100" t="n"/>
      <c r="W19" s="100" t="n"/>
      <c r="X19" s="100" t="n"/>
      <c r="Y19" s="101" t="n"/>
      <c r="Z19" s="100" t="n"/>
      <c r="AA19" s="100" t="n"/>
      <c r="AB19" s="100" t="n"/>
      <c r="AC19" s="100" t="n"/>
      <c r="AD19" s="100" t="n"/>
      <c r="AE19" s="100" t="n"/>
      <c r="AF19" s="101" t="n"/>
      <c r="AG19" s="100" t="n"/>
      <c r="AH19" s="100" t="n"/>
      <c r="AI19" s="100" t="n"/>
      <c r="AJ19" s="102">
        <f>IF(ISBLANK(B19), "", IF(ISNUMBER(D19), IF(D19&gt;0, (COUNTIF(E19:AI19, "✓") + COUNTIF(E19:AI19, "✔") + COUNTIF(E19:AI19, "v") + COUNTIF(E19:AI19, "V"))/D19, 0), IF(((COUNTIF(E19:AI19, "✓") + COUNTIF(E19:AI19, "✔") + COUNTIF(E19:AI19, "v") + COUNTIF(E19:AI19, "V")) + COUNTIF(E19:AI19, "✗") + COUNTIF(E19:AI19, "x") + COUNTIF(E19:AI19, "X"))&gt;0, (COUNTIF(E19:AI19, "✓") + COUNTIF(E19:AI19, "✔") + COUNTIF(E19:AI19, "v") + COUNTIF(E19:AI19, "V"))/((COUNTIF(E19:AI19, "✓") + COUNTIF(E19:AI19, "✔") + COUNTIF(E19:AI19, "v") + COUNTIF(E19:AI19, "V")) + COUNTIF(E19:AI19, "✗") + COUNTIF(E19:AI19, "x") + COUNTIF(E19:AI19, "X")), "")))</f>
        <v/>
      </c>
      <c r="AK19" s="103">
        <f>IF(ISBLANK(B19), "", IF(ISNUMBER(D19), IF(D19&gt;0, (COUNTIF(E19:AI19, "✓") + COUNTIF(E19:AI19, "✔") + COUNTIF(E19:AI19, "v") + COUNTIF(E19:AI19, "V")) &amp; "/" &amp; D19, (COUNTIF(E19:AI19, "✓") + COUNTIF(E19:AI19, "✔") + COUNTIF(E19:AI19, "v") + COUNTIF(E19:AI19, "V")) &amp; "/0"), IF(((COUNTIF(E19:AI19, "✓") + COUNTIF(E19:AI19, "✔") + COUNTIF(E19:AI19, "v") + COUNTIF(E19:AI19, "V")) + COUNTIF(E19:AI19, "✗") + COUNTIF(E19:AI19, "x") + COUNTIF(E19:AI19, "X"))&gt;0, (COUNTIF(E19:AI19, "✓") + COUNTIF(E19:AI19, "✔") + COUNTIF(E19:AI19, "v") + COUNTIF(E19:AI19, "V")) &amp; "/" &amp; ((COUNTIF(E19:AI19, "✓") + COUNTIF(E19:AI19, "✔") + COUNTIF(E19:AI19, "v") + COUNTIF(E19:AI19, "V")) + COUNTIF(E19:AI19, "✗") + COUNTIF(E19:AI19, "x") + COUNTIF(E19:AI19, "X")), "")))</f>
        <v/>
      </c>
      <c r="AL19" s="103">
        <f>IF(ISBLANK(B19), "", IF(AJ19&gt;=0.85, "🔥 Mastered", IF(AJ19&gt;=0.7, "⚡ Consistent", "⚠️ Needs Focus")))</f>
        <v/>
      </c>
      <c r="AM19">
        <f>COUNTIF(E19:AI19, "✓")</f>
        <v/>
      </c>
    </row>
    <row r="20" ht="14.5" customHeight="1">
      <c r="A20" s="97" t="n">
        <v>3</v>
      </c>
      <c r="B20" s="98" t="n"/>
      <c r="C20" s="99" t="n"/>
      <c r="D20" s="99" t="n"/>
      <c r="E20" s="100" t="n"/>
      <c r="F20" s="100" t="n"/>
      <c r="G20" s="100" t="n"/>
      <c r="H20" s="100" t="n"/>
      <c r="I20" s="100" t="n"/>
      <c r="J20" s="100" t="n"/>
      <c r="K20" s="101" t="n"/>
      <c r="L20" s="100" t="n"/>
      <c r="M20" s="100" t="n"/>
      <c r="N20" s="100" t="n"/>
      <c r="O20" s="100" t="n"/>
      <c r="P20" s="100" t="n"/>
      <c r="Q20" s="100" t="n"/>
      <c r="R20" s="101" t="n"/>
      <c r="S20" s="100" t="n"/>
      <c r="T20" s="100" t="n"/>
      <c r="U20" s="100" t="n"/>
      <c r="V20" s="100" t="n"/>
      <c r="W20" s="100" t="n"/>
      <c r="X20" s="100" t="n"/>
      <c r="Y20" s="101" t="n"/>
      <c r="Z20" s="100" t="n"/>
      <c r="AA20" s="100" t="n"/>
      <c r="AB20" s="100" t="n"/>
      <c r="AC20" s="100" t="n"/>
      <c r="AD20" s="100" t="n"/>
      <c r="AE20" s="100" t="n"/>
      <c r="AF20" s="101" t="n"/>
      <c r="AG20" s="100" t="n"/>
      <c r="AH20" s="100" t="n"/>
      <c r="AI20" s="100" t="n"/>
      <c r="AJ20" s="102">
        <f>IF(ISBLANK(B20), "", IF(ISNUMBER(D20), IF(D20&gt;0, (COUNTIF(E20:AI20, "✓") + COUNTIF(E20:AI20, "✔") + COUNTIF(E20:AI20, "v") + COUNTIF(E20:AI20, "V"))/D20, 0), IF(((COUNTIF(E20:AI20, "✓") + COUNTIF(E20:AI20, "✔") + COUNTIF(E20:AI20, "v") + COUNTIF(E20:AI20, "V")) + COUNTIF(E20:AI20, "✗") + COUNTIF(E20:AI20, "x") + COUNTIF(E20:AI20, "X"))&gt;0, (COUNTIF(E20:AI20, "✓") + COUNTIF(E20:AI20, "✔") + COUNTIF(E20:AI20, "v") + COUNTIF(E20:AI20, "V"))/((COUNTIF(E20:AI20, "✓") + COUNTIF(E20:AI20, "✔") + COUNTIF(E20:AI20, "v") + COUNTIF(E20:AI20, "V")) + COUNTIF(E20:AI20, "✗") + COUNTIF(E20:AI20, "x") + COUNTIF(E20:AI20, "X")), "")))</f>
        <v/>
      </c>
      <c r="AK20" s="103">
        <f>IF(ISBLANK(B20), "", IF(ISNUMBER(D20), IF(D20&gt;0, (COUNTIF(E20:AI20, "✓") + COUNTIF(E20:AI20, "✔") + COUNTIF(E20:AI20, "v") + COUNTIF(E20:AI20, "V")) &amp; "/" &amp; D20, (COUNTIF(E20:AI20, "✓") + COUNTIF(E20:AI20, "✔") + COUNTIF(E20:AI20, "v") + COUNTIF(E20:AI20, "V")) &amp; "/0"), IF(((COUNTIF(E20:AI20, "✓") + COUNTIF(E20:AI20, "✔") + COUNTIF(E20:AI20, "v") + COUNTIF(E20:AI20, "V")) + COUNTIF(E20:AI20, "✗") + COUNTIF(E20:AI20, "x") + COUNTIF(E20:AI20, "X"))&gt;0, (COUNTIF(E20:AI20, "✓") + COUNTIF(E20:AI20, "✔") + COUNTIF(E20:AI20, "v") + COUNTIF(E20:AI20, "V")) &amp; "/" &amp; ((COUNTIF(E20:AI20, "✓") + COUNTIF(E20:AI20, "✔") + COUNTIF(E20:AI20, "v") + COUNTIF(E20:AI20, "V")) + COUNTIF(E20:AI20, "✗") + COUNTIF(E20:AI20, "x") + COUNTIF(E20:AI20, "X")), "")))</f>
        <v/>
      </c>
      <c r="AL20" s="103">
        <f>IF(ISBLANK(B20), "", IF(AJ20&gt;=0.85, "🔥 Mastered", IF(AJ20&gt;=0.7, "⚡ Consistent", "⚠️ Needs Focus")))</f>
        <v/>
      </c>
      <c r="AM20">
        <f>COUNTIF(E20:AI20, "✓")</f>
        <v/>
      </c>
    </row>
    <row r="21" ht="14.5" customHeight="1">
      <c r="A21" s="97" t="n">
        <v>4</v>
      </c>
      <c r="B21" s="98" t="n"/>
      <c r="C21" s="99" t="n"/>
      <c r="D21" s="99" t="n"/>
      <c r="E21" s="100" t="n"/>
      <c r="F21" s="100" t="n"/>
      <c r="G21" s="100" t="n"/>
      <c r="H21" s="100" t="n"/>
      <c r="I21" s="100" t="n"/>
      <c r="J21" s="100" t="n"/>
      <c r="K21" s="101" t="n"/>
      <c r="L21" s="100" t="n"/>
      <c r="M21" s="100" t="n"/>
      <c r="N21" s="100" t="n"/>
      <c r="O21" s="100" t="n"/>
      <c r="P21" s="100" t="n"/>
      <c r="Q21" s="100" t="n"/>
      <c r="R21" s="101" t="n"/>
      <c r="S21" s="100" t="n"/>
      <c r="T21" s="100" t="n"/>
      <c r="U21" s="100" t="n"/>
      <c r="V21" s="100" t="n"/>
      <c r="W21" s="100" t="n"/>
      <c r="X21" s="100" t="n"/>
      <c r="Y21" s="101" t="n"/>
      <c r="Z21" s="100" t="n"/>
      <c r="AA21" s="100" t="n"/>
      <c r="AB21" s="100" t="n"/>
      <c r="AC21" s="100" t="n"/>
      <c r="AD21" s="100" t="n"/>
      <c r="AE21" s="100" t="n"/>
      <c r="AF21" s="101" t="n"/>
      <c r="AG21" s="100" t="n"/>
      <c r="AH21" s="100" t="n"/>
      <c r="AI21" s="100" t="n"/>
      <c r="AJ21" s="102">
        <f>IF(ISBLANK(B21), "", IF(ISNUMBER(D21), IF(D21&gt;0, (COUNTIF(E21:AI21, "✓") + COUNTIF(E21:AI21, "✔") + COUNTIF(E21:AI21, "v") + COUNTIF(E21:AI21, "V"))/D21, 0), IF(((COUNTIF(E21:AI21, "✓") + COUNTIF(E21:AI21, "✔") + COUNTIF(E21:AI21, "v") + COUNTIF(E21:AI21, "V")) + COUNTIF(E21:AI21, "✗") + COUNTIF(E21:AI21, "x") + COUNTIF(E21:AI21, "X"))&gt;0, (COUNTIF(E21:AI21, "✓") + COUNTIF(E21:AI21, "✔") + COUNTIF(E21:AI21, "v") + COUNTIF(E21:AI21, "V"))/((COUNTIF(E21:AI21, "✓") + COUNTIF(E21:AI21, "✔") + COUNTIF(E21:AI21, "v") + COUNTIF(E21:AI21, "V")) + COUNTIF(E21:AI21, "✗") + COUNTIF(E21:AI21, "x") + COUNTIF(E21:AI21, "X")), "")))</f>
        <v/>
      </c>
      <c r="AK21" s="103">
        <f>IF(ISBLANK(B21), "", IF(ISNUMBER(D21), IF(D21&gt;0, (COUNTIF(E21:AI21, "✓") + COUNTIF(E21:AI21, "✔") + COUNTIF(E21:AI21, "v") + COUNTIF(E21:AI21, "V")) &amp; "/" &amp; D21, (COUNTIF(E21:AI21, "✓") + COUNTIF(E21:AI21, "✔") + COUNTIF(E21:AI21, "v") + COUNTIF(E21:AI21, "V")) &amp; "/0"), IF(((COUNTIF(E21:AI21, "✓") + COUNTIF(E21:AI21, "✔") + COUNTIF(E21:AI21, "v") + COUNTIF(E21:AI21, "V")) + COUNTIF(E21:AI21, "✗") + COUNTIF(E21:AI21, "x") + COUNTIF(E21:AI21, "X"))&gt;0, (COUNTIF(E21:AI21, "✓") + COUNTIF(E21:AI21, "✔") + COUNTIF(E21:AI21, "v") + COUNTIF(E21:AI21, "V")) &amp; "/" &amp; ((COUNTIF(E21:AI21, "✓") + COUNTIF(E21:AI21, "✔") + COUNTIF(E21:AI21, "v") + COUNTIF(E21:AI21, "V")) + COUNTIF(E21:AI21, "✗") + COUNTIF(E21:AI21, "x") + COUNTIF(E21:AI21, "X")), "")))</f>
        <v/>
      </c>
      <c r="AL21" s="103">
        <f>IF(ISBLANK(B21), "", IF(AJ21&gt;=0.85, "🔥 Mastered", IF(AJ21&gt;=0.7, "⚡ Consistent", "⚠️ Needs Focus")))</f>
        <v/>
      </c>
      <c r="AM21">
        <f>COUNTIF(E21:AI21, "✓")</f>
        <v/>
      </c>
    </row>
    <row r="22" ht="14.5" customHeight="1">
      <c r="A22" s="104" t="n">
        <v>5</v>
      </c>
      <c r="B22" s="105" t="n"/>
      <c r="C22" s="106" t="n"/>
      <c r="D22" s="106" t="n"/>
      <c r="E22" s="107" t="n"/>
      <c r="F22" s="107" t="n"/>
      <c r="G22" s="107" t="n"/>
      <c r="H22" s="107" t="n"/>
      <c r="I22" s="107" t="n"/>
      <c r="J22" s="107" t="n"/>
      <c r="K22" s="108" t="n"/>
      <c r="L22" s="107" t="n"/>
      <c r="M22" s="107" t="n"/>
      <c r="N22" s="107" t="n"/>
      <c r="O22" s="107" t="n"/>
      <c r="P22" s="107" t="n"/>
      <c r="Q22" s="107" t="n"/>
      <c r="R22" s="108" t="n"/>
      <c r="S22" s="107" t="n"/>
      <c r="T22" s="107" t="n"/>
      <c r="U22" s="107" t="n"/>
      <c r="V22" s="107" t="n"/>
      <c r="W22" s="107" t="n"/>
      <c r="X22" s="107" t="n"/>
      <c r="Y22" s="108" t="n"/>
      <c r="Z22" s="107" t="n"/>
      <c r="AA22" s="107" t="n"/>
      <c r="AB22" s="107" t="n"/>
      <c r="AC22" s="107" t="n"/>
      <c r="AD22" s="107" t="n"/>
      <c r="AE22" s="107" t="n"/>
      <c r="AF22" s="108" t="n"/>
      <c r="AG22" s="107" t="n"/>
      <c r="AH22" s="107" t="n"/>
      <c r="AI22" s="107" t="n"/>
      <c r="AJ22" s="109">
        <f>IF(ISBLANK(B22), "", IF(ISNUMBER(D22), IF(D22&gt;0, (COUNTIF(E22:AI22, "✓") + COUNTIF(E22:AI22, "✔") + COUNTIF(E22:AI22, "v") + COUNTIF(E22:AI22, "V"))/D22, 0), IF(((COUNTIF(E22:AI22, "✓") + COUNTIF(E22:AI22, "✔") + COUNTIF(E22:AI22, "v") + COUNTIF(E22:AI22, "V")) + COUNTIF(E22:AI22, "✗") + COUNTIF(E22:AI22, "x") + COUNTIF(E22:AI22, "X"))&gt;0, (COUNTIF(E22:AI22, "✓") + COUNTIF(E22:AI22, "✔") + COUNTIF(E22:AI22, "v") + COUNTIF(E22:AI22, "V"))/((COUNTIF(E22:AI22, "✓") + COUNTIF(E22:AI22, "✔") + COUNTIF(E22:AI22, "v") + COUNTIF(E22:AI22, "V")) + COUNTIF(E22:AI22, "✗") + COUNTIF(E22:AI22, "x") + COUNTIF(E22:AI22, "X")), "")))</f>
        <v/>
      </c>
      <c r="AK22" s="110">
        <f>IF(ISBLANK(B22), "", IF(ISNUMBER(D22), IF(D22&gt;0, (COUNTIF(E22:AI22, "✓") + COUNTIF(E22:AI22, "✔") + COUNTIF(E22:AI22, "v") + COUNTIF(E22:AI22, "V")) &amp; "/" &amp; D22, (COUNTIF(E22:AI22, "✓") + COUNTIF(E22:AI22, "✔") + COUNTIF(E22:AI22, "v") + COUNTIF(E22:AI22, "V")) &amp; "/0"), IF(((COUNTIF(E22:AI22, "✓") + COUNTIF(E22:AI22, "✔") + COUNTIF(E22:AI22, "v") + COUNTIF(E22:AI22, "V")) + COUNTIF(E22:AI22, "✗") + COUNTIF(E22:AI22, "x") + COUNTIF(E22:AI22, "X"))&gt;0, (COUNTIF(E22:AI22, "✓") + COUNTIF(E22:AI22, "✔") + COUNTIF(E22:AI22, "v") + COUNTIF(E22:AI22, "V")) &amp; "/" &amp; ((COUNTIF(E22:AI22, "✓") + COUNTIF(E22:AI22, "✔") + COUNTIF(E22:AI22, "v") + COUNTIF(E22:AI22, "V")) + COUNTIF(E22:AI22, "✗") + COUNTIF(E22:AI22, "x") + COUNTIF(E22:AI22, "X")), "")))</f>
        <v/>
      </c>
      <c r="AL22" s="110">
        <f>IF(ISBLANK(B22), "", IF(AJ22&gt;=0.85, "🔥 Mastered", IF(AJ22&gt;=0.7, "⚡ Consistent", "⚠️ Needs Focus")))</f>
        <v/>
      </c>
      <c r="AM22">
        <f>COUNTIF(E22:AI22, "✓")</f>
        <v/>
      </c>
    </row>
    <row r="23" ht="14.5" customHeight="1">
      <c r="A23" s="104" t="n">
        <v>6</v>
      </c>
      <c r="B23" s="105" t="n"/>
      <c r="C23" s="106" t="n"/>
      <c r="D23" s="106" t="n"/>
      <c r="E23" s="107" t="n"/>
      <c r="F23" s="107" t="n"/>
      <c r="G23" s="107" t="n"/>
      <c r="H23" s="107" t="n"/>
      <c r="I23" s="107" t="n"/>
      <c r="J23" s="107" t="n"/>
      <c r="K23" s="108" t="n"/>
      <c r="L23" s="107" t="n"/>
      <c r="M23" s="107" t="n"/>
      <c r="N23" s="107" t="n"/>
      <c r="O23" s="107" t="n"/>
      <c r="P23" s="107" t="n"/>
      <c r="Q23" s="107" t="n"/>
      <c r="R23" s="108" t="n"/>
      <c r="S23" s="107" t="n"/>
      <c r="T23" s="107" t="n"/>
      <c r="U23" s="107" t="n"/>
      <c r="V23" s="107" t="n"/>
      <c r="W23" s="107" t="n"/>
      <c r="X23" s="107" t="n"/>
      <c r="Y23" s="108" t="n"/>
      <c r="Z23" s="107" t="n"/>
      <c r="AA23" s="107" t="n"/>
      <c r="AB23" s="107" t="n"/>
      <c r="AC23" s="107" t="n"/>
      <c r="AD23" s="107" t="n"/>
      <c r="AE23" s="107" t="n"/>
      <c r="AF23" s="108" t="n"/>
      <c r="AG23" s="107" t="n"/>
      <c r="AH23" s="107" t="n"/>
      <c r="AI23" s="107" t="n"/>
      <c r="AJ23" s="109">
        <f>IF(ISBLANK(B23), "", IF(ISNUMBER(D23), IF(D23&gt;0, (COUNTIF(E23:AI23, "✓") + COUNTIF(E23:AI23, "✔") + COUNTIF(E23:AI23, "v") + COUNTIF(E23:AI23, "V"))/D23, 0), IF(((COUNTIF(E23:AI23, "✓") + COUNTIF(E23:AI23, "✔") + COUNTIF(E23:AI23, "v") + COUNTIF(E23:AI23, "V")) + COUNTIF(E23:AI23, "✗") + COUNTIF(E23:AI23, "x") + COUNTIF(E23:AI23, "X"))&gt;0, (COUNTIF(E23:AI23, "✓") + COUNTIF(E23:AI23, "✔") + COUNTIF(E23:AI23, "v") + COUNTIF(E23:AI23, "V"))/((COUNTIF(E23:AI23, "✓") + COUNTIF(E23:AI23, "✔") + COUNTIF(E23:AI23, "v") + COUNTIF(E23:AI23, "V")) + COUNTIF(E23:AI23, "✗") + COUNTIF(E23:AI23, "x") + COUNTIF(E23:AI23, "X")), "")))</f>
        <v/>
      </c>
      <c r="AK23" s="110">
        <f>IF(ISBLANK(B23), "", IF(ISNUMBER(D23), IF(D23&gt;0, (COUNTIF(E23:AI23, "✓") + COUNTIF(E23:AI23, "✔") + COUNTIF(E23:AI23, "v") + COUNTIF(E23:AI23, "V")) &amp; "/" &amp; D23, (COUNTIF(E23:AI23, "✓") + COUNTIF(E23:AI23, "✔") + COUNTIF(E23:AI23, "v") + COUNTIF(E23:AI23, "V")) &amp; "/0"), IF(((COUNTIF(E23:AI23, "✓") + COUNTIF(E23:AI23, "✔") + COUNTIF(E23:AI23, "v") + COUNTIF(E23:AI23, "V")) + COUNTIF(E23:AI23, "✗") + COUNTIF(E23:AI23, "x") + COUNTIF(E23:AI23, "X"))&gt;0, (COUNTIF(E23:AI23, "✓") + COUNTIF(E23:AI23, "✔") + COUNTIF(E23:AI23, "v") + COUNTIF(E23:AI23, "V")) &amp; "/" &amp; ((COUNTIF(E23:AI23, "✓") + COUNTIF(E23:AI23, "✔") + COUNTIF(E23:AI23, "v") + COUNTIF(E23:AI23, "V")) + COUNTIF(E23:AI23, "✗") + COUNTIF(E23:AI23, "x") + COUNTIF(E23:AI23, "X")), "")))</f>
        <v/>
      </c>
      <c r="AL23" s="110">
        <f>IF(ISBLANK(B23), "", IF(AJ23&gt;=0.85, "🔥 Mastered", IF(AJ23&gt;=0.7, "⚡ Consistent", "⚠️ Needs Focus")))</f>
        <v/>
      </c>
      <c r="AM23">
        <f>COUNTIF(E23:AI23, "✓")</f>
        <v/>
      </c>
    </row>
    <row r="24" ht="14.5" customHeight="1">
      <c r="A24" s="104" t="n">
        <v>7</v>
      </c>
      <c r="B24" s="105" t="n"/>
      <c r="C24" s="106" t="n"/>
      <c r="D24" s="106" t="n"/>
      <c r="E24" s="107" t="n"/>
      <c r="F24" s="107" t="n"/>
      <c r="G24" s="107" t="n"/>
      <c r="H24" s="107" t="n"/>
      <c r="I24" s="107" t="n"/>
      <c r="J24" s="107" t="n"/>
      <c r="K24" s="108" t="n"/>
      <c r="L24" s="107" t="n"/>
      <c r="M24" s="107" t="n"/>
      <c r="N24" s="107" t="n"/>
      <c r="O24" s="107" t="n"/>
      <c r="P24" s="107" t="n"/>
      <c r="Q24" s="107" t="n"/>
      <c r="R24" s="108" t="n"/>
      <c r="S24" s="107" t="n"/>
      <c r="T24" s="107" t="n"/>
      <c r="U24" s="107" t="n"/>
      <c r="V24" s="107" t="n"/>
      <c r="W24" s="107" t="n"/>
      <c r="X24" s="107" t="n"/>
      <c r="Y24" s="108" t="n"/>
      <c r="Z24" s="107" t="n"/>
      <c r="AA24" s="107" t="n"/>
      <c r="AB24" s="107" t="n"/>
      <c r="AC24" s="107" t="n"/>
      <c r="AD24" s="107" t="n"/>
      <c r="AE24" s="107" t="n"/>
      <c r="AF24" s="108" t="n"/>
      <c r="AG24" s="107" t="n"/>
      <c r="AH24" s="107" t="n"/>
      <c r="AI24" s="107" t="n"/>
      <c r="AJ24" s="109">
        <f>IF(ISBLANK(B24), "", IF(ISNUMBER(D24), IF(D24&gt;0, (COUNTIF(E24:AI24, "✓") + COUNTIF(E24:AI24, "✔") + COUNTIF(E24:AI24, "v") + COUNTIF(E24:AI24, "V"))/D24, 0), IF(((COUNTIF(E24:AI24, "✓") + COUNTIF(E24:AI24, "✔") + COUNTIF(E24:AI24, "v") + COUNTIF(E24:AI24, "V")) + COUNTIF(E24:AI24, "✗") + COUNTIF(E24:AI24, "x") + COUNTIF(E24:AI24, "X"))&gt;0, (COUNTIF(E24:AI24, "✓") + COUNTIF(E24:AI24, "✔") + COUNTIF(E24:AI24, "v") + COUNTIF(E24:AI24, "V"))/((COUNTIF(E24:AI24, "✓") + COUNTIF(E24:AI24, "✔") + COUNTIF(E24:AI24, "v") + COUNTIF(E24:AI24, "V")) + COUNTIF(E24:AI24, "✗") + COUNTIF(E24:AI24, "x") + COUNTIF(E24:AI24, "X")), "")))</f>
        <v/>
      </c>
      <c r="AK24" s="110">
        <f>IF(ISBLANK(B24), "", IF(ISNUMBER(D24), IF(D24&gt;0, (COUNTIF(E24:AI24, "✓") + COUNTIF(E24:AI24, "✔") + COUNTIF(E24:AI24, "v") + COUNTIF(E24:AI24, "V")) &amp; "/" &amp; D24, (COUNTIF(E24:AI24, "✓") + COUNTIF(E24:AI24, "✔") + COUNTIF(E24:AI24, "v") + COUNTIF(E24:AI24, "V")) &amp; "/0"), IF(((COUNTIF(E24:AI24, "✓") + COUNTIF(E24:AI24, "✔") + COUNTIF(E24:AI24, "v") + COUNTIF(E24:AI24, "V")) + COUNTIF(E24:AI24, "✗") + COUNTIF(E24:AI24, "x") + COUNTIF(E24:AI24, "X"))&gt;0, (COUNTIF(E24:AI24, "✓") + COUNTIF(E24:AI24, "✔") + COUNTIF(E24:AI24, "v") + COUNTIF(E24:AI24, "V")) &amp; "/" &amp; ((COUNTIF(E24:AI24, "✓") + COUNTIF(E24:AI24, "✔") + COUNTIF(E24:AI24, "v") + COUNTIF(E24:AI24, "V")) + COUNTIF(E24:AI24, "✗") + COUNTIF(E24:AI24, "x") + COUNTIF(E24:AI24, "X")), "")))</f>
        <v/>
      </c>
      <c r="AL24" s="110">
        <f>IF(ISBLANK(B24), "", IF(AJ24&gt;=0.85, "🔥 Mastered", IF(AJ24&gt;=0.7, "⚡ Consistent", "⚠️ Needs Focus")))</f>
        <v/>
      </c>
      <c r="AM24">
        <f>COUNTIF(E24:AI24, "✓")</f>
        <v/>
      </c>
    </row>
    <row r="25" ht="14.5" customHeight="1">
      <c r="A25" s="104" t="n">
        <v>8</v>
      </c>
      <c r="B25" s="105" t="n"/>
      <c r="C25" s="106" t="n"/>
      <c r="D25" s="106" t="n"/>
      <c r="E25" s="107" t="n"/>
      <c r="F25" s="107" t="n"/>
      <c r="G25" s="107" t="n"/>
      <c r="H25" s="107" t="n"/>
      <c r="I25" s="107" t="n"/>
      <c r="J25" s="107" t="n"/>
      <c r="K25" s="108" t="n"/>
      <c r="L25" s="107" t="n"/>
      <c r="M25" s="107" t="n"/>
      <c r="N25" s="107" t="n"/>
      <c r="O25" s="107" t="n"/>
      <c r="P25" s="107" t="n"/>
      <c r="Q25" s="107" t="n"/>
      <c r="R25" s="108" t="n"/>
      <c r="S25" s="107" t="n"/>
      <c r="T25" s="107" t="n"/>
      <c r="U25" s="107" t="n"/>
      <c r="V25" s="107" t="n"/>
      <c r="W25" s="107" t="n"/>
      <c r="X25" s="107" t="n"/>
      <c r="Y25" s="108" t="n"/>
      <c r="Z25" s="107" t="n"/>
      <c r="AA25" s="107" t="n"/>
      <c r="AB25" s="107" t="n"/>
      <c r="AC25" s="107" t="n"/>
      <c r="AD25" s="107" t="n"/>
      <c r="AE25" s="107" t="n"/>
      <c r="AF25" s="108" t="n"/>
      <c r="AG25" s="107" t="n"/>
      <c r="AH25" s="107" t="n"/>
      <c r="AI25" s="107" t="n"/>
      <c r="AJ25" s="109">
        <f>IF(ISBLANK(B25), "", IF(ISNUMBER(D25), IF(D25&gt;0, (COUNTIF(E25:AI25, "✓") + COUNTIF(E25:AI25, "✔") + COUNTIF(E25:AI25, "v") + COUNTIF(E25:AI25, "V"))/D25, 0), IF(((COUNTIF(E25:AI25, "✓") + COUNTIF(E25:AI25, "✔") + COUNTIF(E25:AI25, "v") + COUNTIF(E25:AI25, "V")) + COUNTIF(E25:AI25, "✗") + COUNTIF(E25:AI25, "x") + COUNTIF(E25:AI25, "X"))&gt;0, (COUNTIF(E25:AI25, "✓") + COUNTIF(E25:AI25, "✔") + COUNTIF(E25:AI25, "v") + COUNTIF(E25:AI25, "V"))/((COUNTIF(E25:AI25, "✓") + COUNTIF(E25:AI25, "✔") + COUNTIF(E25:AI25, "v") + COUNTIF(E25:AI25, "V")) + COUNTIF(E25:AI25, "✗") + COUNTIF(E25:AI25, "x") + COUNTIF(E25:AI25, "X")), "")))</f>
        <v/>
      </c>
      <c r="AK25" s="110">
        <f>IF(ISBLANK(B25), "", IF(ISNUMBER(D25), IF(D25&gt;0, (COUNTIF(E25:AI25, "✓") + COUNTIF(E25:AI25, "✔") + COUNTIF(E25:AI25, "v") + COUNTIF(E25:AI25, "V")) &amp; "/" &amp; D25, (COUNTIF(E25:AI25, "✓") + COUNTIF(E25:AI25, "✔") + COUNTIF(E25:AI25, "v") + COUNTIF(E25:AI25, "V")) &amp; "/0"), IF(((COUNTIF(E25:AI25, "✓") + COUNTIF(E25:AI25, "✔") + COUNTIF(E25:AI25, "v") + COUNTIF(E25:AI25, "V")) + COUNTIF(E25:AI25, "✗") + COUNTIF(E25:AI25, "x") + COUNTIF(E25:AI25, "X"))&gt;0, (COUNTIF(E25:AI25, "✓") + COUNTIF(E25:AI25, "✔") + COUNTIF(E25:AI25, "v") + COUNTIF(E25:AI25, "V")) &amp; "/" &amp; ((COUNTIF(E25:AI25, "✓") + COUNTIF(E25:AI25, "✔") + COUNTIF(E25:AI25, "v") + COUNTIF(E25:AI25, "V")) + COUNTIF(E25:AI25, "✗") + COUNTIF(E25:AI25, "x") + COUNTIF(E25:AI25, "X")), "")))</f>
        <v/>
      </c>
      <c r="AL25" s="110">
        <f>IF(ISBLANK(B25), "", IF(AJ25&gt;=0.85, "🔥 Mastered", IF(AJ25&gt;=0.7, "⚡ Consistent", "⚠️ Needs Focus")))</f>
        <v/>
      </c>
      <c r="AM25">
        <f>COUNTIF(E25:AI25, "✓")</f>
        <v/>
      </c>
    </row>
    <row r="26" ht="14.5" customHeight="1">
      <c r="A26" s="111" t="n">
        <v>9</v>
      </c>
      <c r="B26" s="112" t="n"/>
      <c r="C26" s="113" t="n"/>
      <c r="D26" s="113" t="n"/>
      <c r="E26" s="114" t="n"/>
      <c r="F26" s="114" t="n"/>
      <c r="G26" s="114" t="n"/>
      <c r="H26" s="114" t="n"/>
      <c r="I26" s="114" t="n"/>
      <c r="J26" s="114" t="n"/>
      <c r="K26" s="115" t="n"/>
      <c r="L26" s="114" t="n"/>
      <c r="M26" s="114" t="n"/>
      <c r="N26" s="114" t="n"/>
      <c r="O26" s="114" t="n"/>
      <c r="P26" s="114" t="n"/>
      <c r="Q26" s="114" t="n"/>
      <c r="R26" s="115" t="n"/>
      <c r="S26" s="114" t="n"/>
      <c r="T26" s="114" t="n"/>
      <c r="U26" s="114" t="n"/>
      <c r="V26" s="114" t="n"/>
      <c r="W26" s="114" t="n"/>
      <c r="X26" s="114" t="n"/>
      <c r="Y26" s="115" t="n"/>
      <c r="Z26" s="114" t="n"/>
      <c r="AA26" s="114" t="n"/>
      <c r="AB26" s="114" t="n"/>
      <c r="AC26" s="114" t="n"/>
      <c r="AD26" s="114" t="n"/>
      <c r="AE26" s="114" t="n"/>
      <c r="AF26" s="115" t="n"/>
      <c r="AG26" s="114" t="n"/>
      <c r="AH26" s="114" t="n"/>
      <c r="AI26" s="114" t="n"/>
      <c r="AJ26" s="116">
        <f>IF(ISBLANK(B26), "", IF(ISNUMBER(D26), IF(D26&gt;0, (COUNTIF(E26:AI26, "✓") + COUNTIF(E26:AI26, "✔") + COUNTIF(E26:AI26, "v") + COUNTIF(E26:AI26, "V"))/D26, 0), IF(((COUNTIF(E26:AI26, "✓") + COUNTIF(E26:AI26, "✔") + COUNTIF(E26:AI26, "v") + COUNTIF(E26:AI26, "V")) + COUNTIF(E26:AI26, "✗") + COUNTIF(E26:AI26, "x") + COUNTIF(E26:AI26, "X"))&gt;0, (COUNTIF(E26:AI26, "✓") + COUNTIF(E26:AI26, "✔") + COUNTIF(E26:AI26, "v") + COUNTIF(E26:AI26, "V"))/((COUNTIF(E26:AI26, "✓") + COUNTIF(E26:AI26, "✔") + COUNTIF(E26:AI26, "v") + COUNTIF(E26:AI26, "V")) + COUNTIF(E26:AI26, "✗") + COUNTIF(E26:AI26, "x") + COUNTIF(E26:AI26, "X")), "")))</f>
        <v/>
      </c>
      <c r="AK26" s="117">
        <f>IF(ISBLANK(B26), "", IF(ISNUMBER(D26), IF(D26&gt;0, (COUNTIF(E26:AI26, "✓") + COUNTIF(E26:AI26, "✔") + COUNTIF(E26:AI26, "v") + COUNTIF(E26:AI26, "V")) &amp; "/" &amp; D26, (COUNTIF(E26:AI26, "✓") + COUNTIF(E26:AI26, "✔") + COUNTIF(E26:AI26, "v") + COUNTIF(E26:AI26, "V")) &amp; "/0"), IF(((COUNTIF(E26:AI26, "✓") + COUNTIF(E26:AI26, "✔") + COUNTIF(E26:AI26, "v") + COUNTIF(E26:AI26, "V")) + COUNTIF(E26:AI26, "✗") + COUNTIF(E26:AI26, "x") + COUNTIF(E26:AI26, "X"))&gt;0, (COUNTIF(E26:AI26, "✓") + COUNTIF(E26:AI26, "✔") + COUNTIF(E26:AI26, "v") + COUNTIF(E26:AI26, "V")) &amp; "/" &amp; ((COUNTIF(E26:AI26, "✓") + COUNTIF(E26:AI26, "✔") + COUNTIF(E26:AI26, "v") + COUNTIF(E26:AI26, "V")) + COUNTIF(E26:AI26, "✗") + COUNTIF(E26:AI26, "x") + COUNTIF(E26:AI26, "X")), "")))</f>
        <v/>
      </c>
      <c r="AL26" s="117">
        <f>IF(ISBLANK(B26), "", IF(AJ26&gt;=0.85, "🔥 Mastered", IF(AJ26&gt;=0.7, "⚡ Consistent", "⚠️ Needs Focus")))</f>
        <v/>
      </c>
      <c r="AM26">
        <f>COUNTIF(E26:AI26, "✓")</f>
        <v/>
      </c>
    </row>
    <row r="27" ht="14.5" customHeight="1">
      <c r="A27" s="111" t="n">
        <v>10</v>
      </c>
      <c r="B27" s="112" t="n"/>
      <c r="C27" s="113" t="n"/>
      <c r="D27" s="113" t="n"/>
      <c r="E27" s="114" t="n"/>
      <c r="F27" s="114" t="n"/>
      <c r="G27" s="114" t="n"/>
      <c r="H27" s="114" t="n"/>
      <c r="I27" s="114" t="n"/>
      <c r="J27" s="114" t="n"/>
      <c r="K27" s="115" t="n"/>
      <c r="L27" s="114" t="n"/>
      <c r="M27" s="114" t="n"/>
      <c r="N27" s="114" t="n"/>
      <c r="O27" s="114" t="n"/>
      <c r="P27" s="114" t="n"/>
      <c r="Q27" s="114" t="n"/>
      <c r="R27" s="115" t="n"/>
      <c r="S27" s="114" t="n"/>
      <c r="T27" s="114" t="n"/>
      <c r="U27" s="114" t="n"/>
      <c r="V27" s="114" t="n"/>
      <c r="W27" s="114" t="n"/>
      <c r="X27" s="114" t="n"/>
      <c r="Y27" s="115" t="n"/>
      <c r="Z27" s="114" t="n"/>
      <c r="AA27" s="114" t="n"/>
      <c r="AB27" s="114" t="n"/>
      <c r="AC27" s="114" t="n"/>
      <c r="AD27" s="114" t="n"/>
      <c r="AE27" s="114" t="n"/>
      <c r="AF27" s="115" t="n"/>
      <c r="AG27" s="114" t="n"/>
      <c r="AH27" s="114" t="n"/>
      <c r="AI27" s="114" t="n"/>
      <c r="AJ27" s="116">
        <f>IF(ISBLANK(B27), "", IF(ISNUMBER(D27), IF(D27&gt;0, (COUNTIF(E27:AI27, "✓") + COUNTIF(E27:AI27, "✔") + COUNTIF(E27:AI27, "v") + COUNTIF(E27:AI27, "V"))/D27, 0), IF(((COUNTIF(E27:AI27, "✓") + COUNTIF(E27:AI27, "✔") + COUNTIF(E27:AI27, "v") + COUNTIF(E27:AI27, "V")) + COUNTIF(E27:AI27, "✗") + COUNTIF(E27:AI27, "x") + COUNTIF(E27:AI27, "X"))&gt;0, (COUNTIF(E27:AI27, "✓") + COUNTIF(E27:AI27, "✔") + COUNTIF(E27:AI27, "v") + COUNTIF(E27:AI27, "V"))/((COUNTIF(E27:AI27, "✓") + COUNTIF(E27:AI27, "✔") + COUNTIF(E27:AI27, "v") + COUNTIF(E27:AI27, "V")) + COUNTIF(E27:AI27, "✗") + COUNTIF(E27:AI27, "x") + COUNTIF(E27:AI27, "X")), "")))</f>
        <v/>
      </c>
      <c r="AK27" s="117">
        <f>IF(ISBLANK(B27), "", IF(ISNUMBER(D27), IF(D27&gt;0, (COUNTIF(E27:AI27, "✓") + COUNTIF(E27:AI27, "✔") + COUNTIF(E27:AI27, "v") + COUNTIF(E27:AI27, "V")) &amp; "/" &amp; D27, (COUNTIF(E27:AI27, "✓") + COUNTIF(E27:AI27, "✔") + COUNTIF(E27:AI27, "v") + COUNTIF(E27:AI27, "V")) &amp; "/0"), IF(((COUNTIF(E27:AI27, "✓") + COUNTIF(E27:AI27, "✔") + COUNTIF(E27:AI27, "v") + COUNTIF(E27:AI27, "V")) + COUNTIF(E27:AI27, "✗") + COUNTIF(E27:AI27, "x") + COUNTIF(E27:AI27, "X"))&gt;0, (COUNTIF(E27:AI27, "✓") + COUNTIF(E27:AI27, "✔") + COUNTIF(E27:AI27, "v") + COUNTIF(E27:AI27, "V")) &amp; "/" &amp; ((COUNTIF(E27:AI27, "✓") + COUNTIF(E27:AI27, "✔") + COUNTIF(E27:AI27, "v") + COUNTIF(E27:AI27, "V")) + COUNTIF(E27:AI27, "✗") + COUNTIF(E27:AI27, "x") + COUNTIF(E27:AI27, "X")), "")))</f>
        <v/>
      </c>
      <c r="AL27" s="117">
        <f>IF(ISBLANK(B27), "", IF(AJ27&gt;=0.85, "🔥 Mastered", IF(AJ27&gt;=0.7, "⚡ Consistent", "⚠️ Needs Focus")))</f>
        <v/>
      </c>
      <c r="AM27">
        <f>COUNTIF(E27:AI27, "✓")</f>
        <v/>
      </c>
    </row>
    <row r="28" ht="14.5" customHeight="1">
      <c r="A28" s="111" t="n">
        <v>11</v>
      </c>
      <c r="B28" s="112" t="n"/>
      <c r="C28" s="113" t="n"/>
      <c r="D28" s="113" t="n"/>
      <c r="E28" s="114" t="n"/>
      <c r="F28" s="114" t="n"/>
      <c r="G28" s="114" t="n"/>
      <c r="H28" s="114" t="n"/>
      <c r="I28" s="114" t="n"/>
      <c r="J28" s="114" t="n"/>
      <c r="K28" s="115" t="n"/>
      <c r="L28" s="114" t="n"/>
      <c r="M28" s="114" t="n"/>
      <c r="N28" s="114" t="n"/>
      <c r="O28" s="114" t="n"/>
      <c r="P28" s="114" t="n"/>
      <c r="Q28" s="114" t="n"/>
      <c r="R28" s="115" t="n"/>
      <c r="S28" s="114" t="n"/>
      <c r="T28" s="114" t="n"/>
      <c r="U28" s="114" t="n"/>
      <c r="V28" s="114" t="n"/>
      <c r="W28" s="114" t="n"/>
      <c r="X28" s="114" t="n"/>
      <c r="Y28" s="115" t="n"/>
      <c r="Z28" s="114" t="n"/>
      <c r="AA28" s="114" t="n"/>
      <c r="AB28" s="114" t="n"/>
      <c r="AC28" s="114" t="n"/>
      <c r="AD28" s="114" t="n"/>
      <c r="AE28" s="114" t="n"/>
      <c r="AF28" s="115" t="n"/>
      <c r="AG28" s="114" t="n"/>
      <c r="AH28" s="114" t="n"/>
      <c r="AI28" s="114" t="n"/>
      <c r="AJ28" s="116">
        <f>IF(ISBLANK(B28), "", IF(ISNUMBER(D28), IF(D28&gt;0, (COUNTIF(E28:AI28, "✓") + COUNTIF(E28:AI28, "✔") + COUNTIF(E28:AI28, "v") + COUNTIF(E28:AI28, "V"))/D28, 0), IF(((COUNTIF(E28:AI28, "✓") + COUNTIF(E28:AI28, "✔") + COUNTIF(E28:AI28, "v") + COUNTIF(E28:AI28, "V")) + COUNTIF(E28:AI28, "✗") + COUNTIF(E28:AI28, "x") + COUNTIF(E28:AI28, "X"))&gt;0, (COUNTIF(E28:AI28, "✓") + COUNTIF(E28:AI28, "✔") + COUNTIF(E28:AI28, "v") + COUNTIF(E28:AI28, "V"))/((COUNTIF(E28:AI28, "✓") + COUNTIF(E28:AI28, "✔") + COUNTIF(E28:AI28, "v") + COUNTIF(E28:AI28, "V")) + COUNTIF(E28:AI28, "✗") + COUNTIF(E28:AI28, "x") + COUNTIF(E28:AI28, "X")), "")))</f>
        <v/>
      </c>
      <c r="AK28" s="117">
        <f>IF(ISBLANK(B28), "", IF(ISNUMBER(D28), IF(D28&gt;0, (COUNTIF(E28:AI28, "✓") + COUNTIF(E28:AI28, "✔") + COUNTIF(E28:AI28, "v") + COUNTIF(E28:AI28, "V")) &amp; "/" &amp; D28, (COUNTIF(E28:AI28, "✓") + COUNTIF(E28:AI28, "✔") + COUNTIF(E28:AI28, "v") + COUNTIF(E28:AI28, "V")) &amp; "/0"), IF(((COUNTIF(E28:AI28, "✓") + COUNTIF(E28:AI28, "✔") + COUNTIF(E28:AI28, "v") + COUNTIF(E28:AI28, "V")) + COUNTIF(E28:AI28, "✗") + COUNTIF(E28:AI28, "x") + COUNTIF(E28:AI28, "X"))&gt;0, (COUNTIF(E28:AI28, "✓") + COUNTIF(E28:AI28, "✔") + COUNTIF(E28:AI28, "v") + COUNTIF(E28:AI28, "V")) &amp; "/" &amp; ((COUNTIF(E28:AI28, "✓") + COUNTIF(E28:AI28, "✔") + COUNTIF(E28:AI28, "v") + COUNTIF(E28:AI28, "V")) + COUNTIF(E28:AI28, "✗") + COUNTIF(E28:AI28, "x") + COUNTIF(E28:AI28, "X")), "")))</f>
        <v/>
      </c>
      <c r="AL28" s="117">
        <f>IF(ISBLANK(B28), "", IF(AJ28&gt;=0.85, "🔥 Mastered", IF(AJ28&gt;=0.7, "⚡ Consistent", "⚠️ Needs Focus")))</f>
        <v/>
      </c>
      <c r="AM28">
        <f>COUNTIF(E28:AI28, "✓")</f>
        <v/>
      </c>
    </row>
    <row r="29" ht="14.5" customHeight="1">
      <c r="A29" s="111" t="n">
        <v>12</v>
      </c>
      <c r="B29" s="112" t="n"/>
      <c r="C29" s="113" t="n"/>
      <c r="D29" s="113" t="n"/>
      <c r="E29" s="114" t="n"/>
      <c r="F29" s="114" t="n"/>
      <c r="G29" s="114" t="n"/>
      <c r="H29" s="114" t="n"/>
      <c r="I29" s="114" t="n"/>
      <c r="J29" s="114" t="n"/>
      <c r="K29" s="115" t="n"/>
      <c r="L29" s="114" t="n"/>
      <c r="M29" s="114" t="n"/>
      <c r="N29" s="114" t="n"/>
      <c r="O29" s="114" t="n"/>
      <c r="P29" s="114" t="n"/>
      <c r="Q29" s="114" t="n"/>
      <c r="R29" s="115" t="n"/>
      <c r="S29" s="114" t="n"/>
      <c r="T29" s="114" t="n"/>
      <c r="U29" s="114" t="n"/>
      <c r="V29" s="114" t="n"/>
      <c r="W29" s="114" t="n"/>
      <c r="X29" s="114" t="n"/>
      <c r="Y29" s="115" t="n"/>
      <c r="Z29" s="114" t="n"/>
      <c r="AA29" s="114" t="n"/>
      <c r="AB29" s="114" t="n"/>
      <c r="AC29" s="114" t="n"/>
      <c r="AD29" s="114" t="n"/>
      <c r="AE29" s="114" t="n"/>
      <c r="AF29" s="115" t="n"/>
      <c r="AG29" s="114" t="n"/>
      <c r="AH29" s="114" t="n"/>
      <c r="AI29" s="114" t="n"/>
      <c r="AJ29" s="116">
        <f>IF(ISBLANK(B29), "", IF(ISNUMBER(D29), IF(D29&gt;0, (COUNTIF(E29:AI29, "✓") + COUNTIF(E29:AI29, "✔") + COUNTIF(E29:AI29, "v") + COUNTIF(E29:AI29, "V"))/D29, 0), IF(((COUNTIF(E29:AI29, "✓") + COUNTIF(E29:AI29, "✔") + COUNTIF(E29:AI29, "v") + COUNTIF(E29:AI29, "V")) + COUNTIF(E29:AI29, "✗") + COUNTIF(E29:AI29, "x") + COUNTIF(E29:AI29, "X"))&gt;0, (COUNTIF(E29:AI29, "✓") + COUNTIF(E29:AI29, "✔") + COUNTIF(E29:AI29, "v") + COUNTIF(E29:AI29, "V"))/((COUNTIF(E29:AI29, "✓") + COUNTIF(E29:AI29, "✔") + COUNTIF(E29:AI29, "v") + COUNTIF(E29:AI29, "V")) + COUNTIF(E29:AI29, "✗") + COUNTIF(E29:AI29, "x") + COUNTIF(E29:AI29, "X")), "")))</f>
        <v/>
      </c>
      <c r="AK29" s="117">
        <f>IF(ISBLANK(B29), "", IF(ISNUMBER(D29), IF(D29&gt;0, (COUNTIF(E29:AI29, "✓") + COUNTIF(E29:AI29, "✔") + COUNTIF(E29:AI29, "v") + COUNTIF(E29:AI29, "V")) &amp; "/" &amp; D29, (COUNTIF(E29:AI29, "✓") + COUNTIF(E29:AI29, "✔") + COUNTIF(E29:AI29, "v") + COUNTIF(E29:AI29, "V")) &amp; "/0"), IF(((COUNTIF(E29:AI29, "✓") + COUNTIF(E29:AI29, "✔") + COUNTIF(E29:AI29, "v") + COUNTIF(E29:AI29, "V")) + COUNTIF(E29:AI29, "✗") + COUNTIF(E29:AI29, "x") + COUNTIF(E29:AI29, "X"))&gt;0, (COUNTIF(E29:AI29, "✓") + COUNTIF(E29:AI29, "✔") + COUNTIF(E29:AI29, "v") + COUNTIF(E29:AI29, "V")) &amp; "/" &amp; ((COUNTIF(E29:AI29, "✓") + COUNTIF(E29:AI29, "✔") + COUNTIF(E29:AI29, "v") + COUNTIF(E29:AI29, "V")) + COUNTIF(E29:AI29, "✗") + COUNTIF(E29:AI29, "x") + COUNTIF(E29:AI29, "X")), "")))</f>
        <v/>
      </c>
      <c r="AL29" s="117">
        <f>IF(ISBLANK(B29), "", IF(AJ29&gt;=0.85, "🔥 Mastered", IF(AJ29&gt;=0.7, "⚡ Consistent", "⚠️ Needs Focus")))</f>
        <v/>
      </c>
      <c r="AM29">
        <f>COUNTIF(E29:AI29, "✓")</f>
        <v/>
      </c>
    </row>
    <row r="30" ht="14.5" customHeight="1">
      <c r="A30" s="118" t="n">
        <v>13</v>
      </c>
      <c r="B30" s="119" t="n"/>
      <c r="C30" s="120" t="n"/>
      <c r="D30" s="120" t="n"/>
      <c r="E30" s="121" t="n"/>
      <c r="F30" s="121" t="n"/>
      <c r="G30" s="121" t="n"/>
      <c r="H30" s="121" t="n"/>
      <c r="I30" s="121" t="n"/>
      <c r="J30" s="121" t="n"/>
      <c r="K30" s="122" t="n"/>
      <c r="L30" s="121" t="n"/>
      <c r="M30" s="121" t="n"/>
      <c r="N30" s="121" t="n"/>
      <c r="O30" s="121" t="n"/>
      <c r="P30" s="121" t="n"/>
      <c r="Q30" s="121" t="n"/>
      <c r="R30" s="122" t="n"/>
      <c r="S30" s="121" t="n"/>
      <c r="T30" s="121" t="n"/>
      <c r="U30" s="121" t="n"/>
      <c r="V30" s="121" t="n"/>
      <c r="W30" s="121" t="n"/>
      <c r="X30" s="121" t="n"/>
      <c r="Y30" s="122" t="n"/>
      <c r="Z30" s="121" t="n"/>
      <c r="AA30" s="121" t="n"/>
      <c r="AB30" s="121" t="n"/>
      <c r="AC30" s="121" t="n"/>
      <c r="AD30" s="121" t="n"/>
      <c r="AE30" s="121" t="n"/>
      <c r="AF30" s="122" t="n"/>
      <c r="AG30" s="121" t="n"/>
      <c r="AH30" s="121" t="n"/>
      <c r="AI30" s="121" t="n"/>
      <c r="AJ30" s="123">
        <f>IF(ISBLANK(B30), "", IF(ISNUMBER(D30), IF(D30&gt;0, (COUNTIF(E30:AI30, "✓") + COUNTIF(E30:AI30, "✔") + COUNTIF(E30:AI30, "v") + COUNTIF(E30:AI30, "V"))/D30, 0), IF(((COUNTIF(E30:AI30, "✓") + COUNTIF(E30:AI30, "✔") + COUNTIF(E30:AI30, "v") + COUNTIF(E30:AI30, "V")) + COUNTIF(E30:AI30, "✗") + COUNTIF(E30:AI30, "x") + COUNTIF(E30:AI30, "X"))&gt;0, (COUNTIF(E30:AI30, "✓") + COUNTIF(E30:AI30, "✔") + COUNTIF(E30:AI30, "v") + COUNTIF(E30:AI30, "V"))/((COUNTIF(E30:AI30, "✓") + COUNTIF(E30:AI30, "✔") + COUNTIF(E30:AI30, "v") + COUNTIF(E30:AI30, "V")) + COUNTIF(E30:AI30, "✗") + COUNTIF(E30:AI30, "x") + COUNTIF(E30:AI30, "X")), "")))</f>
        <v/>
      </c>
      <c r="AK30" s="124">
        <f>IF(ISBLANK(B30), "", IF(ISNUMBER(D30), IF(D30&gt;0, (COUNTIF(E30:AI30, "✓") + COUNTIF(E30:AI30, "✔") + COUNTIF(E30:AI30, "v") + COUNTIF(E30:AI30, "V")) &amp; "/" &amp; D30, (COUNTIF(E30:AI30, "✓") + COUNTIF(E30:AI30, "✔") + COUNTIF(E30:AI30, "v") + COUNTIF(E30:AI30, "V")) &amp; "/0"), IF(((COUNTIF(E30:AI30, "✓") + COUNTIF(E30:AI30, "✔") + COUNTIF(E30:AI30, "v") + COUNTIF(E30:AI30, "V")) + COUNTIF(E30:AI30, "✗") + COUNTIF(E30:AI30, "x") + COUNTIF(E30:AI30, "X"))&gt;0, (COUNTIF(E30:AI30, "✓") + COUNTIF(E30:AI30, "✔") + COUNTIF(E30:AI30, "v") + COUNTIF(E30:AI30, "V")) &amp; "/" &amp; ((COUNTIF(E30:AI30, "✓") + COUNTIF(E30:AI30, "✔") + COUNTIF(E30:AI30, "v") + COUNTIF(E30:AI30, "V")) + COUNTIF(E30:AI30, "✗") + COUNTIF(E30:AI30, "x") + COUNTIF(E30:AI30, "X")), "")))</f>
        <v/>
      </c>
      <c r="AL30" s="124">
        <f>IF(ISBLANK(B30), "", IF(AJ30&gt;=0.85, "🔥 Mastered", IF(AJ30&gt;=0.7, "⚡ Consistent", "⚠️ Needs Focus")))</f>
        <v/>
      </c>
      <c r="AM30">
        <f>COUNTIF(E30:AI30, "✓")</f>
        <v/>
      </c>
    </row>
    <row r="31" ht="14.5" customHeight="1">
      <c r="A31" s="118" t="n">
        <v>14</v>
      </c>
      <c r="B31" s="119" t="n"/>
      <c r="C31" s="120" t="n"/>
      <c r="D31" s="120" t="n"/>
      <c r="E31" s="121" t="n"/>
      <c r="F31" s="121" t="n"/>
      <c r="G31" s="121" t="n"/>
      <c r="H31" s="121" t="n"/>
      <c r="I31" s="121" t="n"/>
      <c r="J31" s="121" t="n"/>
      <c r="K31" s="122" t="n"/>
      <c r="L31" s="121" t="n"/>
      <c r="M31" s="121" t="n"/>
      <c r="N31" s="121" t="n"/>
      <c r="O31" s="121" t="n"/>
      <c r="P31" s="121" t="n"/>
      <c r="Q31" s="121" t="n"/>
      <c r="R31" s="122" t="n"/>
      <c r="S31" s="121" t="n"/>
      <c r="T31" s="121" t="n"/>
      <c r="U31" s="121" t="n"/>
      <c r="V31" s="121" t="n"/>
      <c r="W31" s="121" t="n"/>
      <c r="X31" s="121" t="n"/>
      <c r="Y31" s="122" t="n"/>
      <c r="Z31" s="121" t="n"/>
      <c r="AA31" s="121" t="n"/>
      <c r="AB31" s="121" t="n"/>
      <c r="AC31" s="121" t="n"/>
      <c r="AD31" s="121" t="n"/>
      <c r="AE31" s="121" t="n"/>
      <c r="AF31" s="122" t="n"/>
      <c r="AG31" s="121" t="n"/>
      <c r="AH31" s="121" t="n"/>
      <c r="AI31" s="121" t="n"/>
      <c r="AJ31" s="123">
        <f>IF(ISBLANK(B31), "", IF(ISNUMBER(D31), IF(D31&gt;0, (COUNTIF(E31:AI31, "✓") + COUNTIF(E31:AI31, "✔") + COUNTIF(E31:AI31, "v") + COUNTIF(E31:AI31, "V"))/D31, 0), IF(((COUNTIF(E31:AI31, "✓") + COUNTIF(E31:AI31, "✔") + COUNTIF(E31:AI31, "v") + COUNTIF(E31:AI31, "V")) + COUNTIF(E31:AI31, "✗") + COUNTIF(E31:AI31, "x") + COUNTIF(E31:AI31, "X"))&gt;0, (COUNTIF(E31:AI31, "✓") + COUNTIF(E31:AI31, "✔") + COUNTIF(E31:AI31, "v") + COUNTIF(E31:AI31, "V"))/((COUNTIF(E31:AI31, "✓") + COUNTIF(E31:AI31, "✔") + COUNTIF(E31:AI31, "v") + COUNTIF(E31:AI31, "V")) + COUNTIF(E31:AI31, "✗") + COUNTIF(E31:AI31, "x") + COUNTIF(E31:AI31, "X")), "")))</f>
        <v/>
      </c>
      <c r="AK31" s="124">
        <f>IF(ISBLANK(B31), "", IF(ISNUMBER(D31), IF(D31&gt;0, (COUNTIF(E31:AI31, "✓") + COUNTIF(E31:AI31, "✔") + COUNTIF(E31:AI31, "v") + COUNTIF(E31:AI31, "V")) &amp; "/" &amp; D31, (COUNTIF(E31:AI31, "✓") + COUNTIF(E31:AI31, "✔") + COUNTIF(E31:AI31, "v") + COUNTIF(E31:AI31, "V")) &amp; "/0"), IF(((COUNTIF(E31:AI31, "✓") + COUNTIF(E31:AI31, "✔") + COUNTIF(E31:AI31, "v") + COUNTIF(E31:AI31, "V")) + COUNTIF(E31:AI31, "✗") + COUNTIF(E31:AI31, "x") + COUNTIF(E31:AI31, "X"))&gt;0, (COUNTIF(E31:AI31, "✓") + COUNTIF(E31:AI31, "✔") + COUNTIF(E31:AI31, "v") + COUNTIF(E31:AI31, "V")) &amp; "/" &amp; ((COUNTIF(E31:AI31, "✓") + COUNTIF(E31:AI31, "✔") + COUNTIF(E31:AI31, "v") + COUNTIF(E31:AI31, "V")) + COUNTIF(E31:AI31, "✗") + COUNTIF(E31:AI31, "x") + COUNTIF(E31:AI31, "X")), "")))</f>
        <v/>
      </c>
      <c r="AL31" s="124">
        <f>IF(ISBLANK(B31), "", IF(AJ31&gt;=0.85, "🔥 Mastered", IF(AJ31&gt;=0.7, "⚡ Consistent", "⚠️ Needs Focus")))</f>
        <v/>
      </c>
      <c r="AM31">
        <f>COUNTIF(E31:AI31, "✓")</f>
        <v/>
      </c>
    </row>
    <row r="32" ht="14.5" customHeight="1">
      <c r="A32" s="118" t="n">
        <v>15</v>
      </c>
      <c r="B32" s="119" t="n"/>
      <c r="C32" s="120" t="n"/>
      <c r="D32" s="120" t="n"/>
      <c r="E32" s="121" t="n"/>
      <c r="F32" s="121" t="n"/>
      <c r="G32" s="121" t="n"/>
      <c r="H32" s="121" t="n"/>
      <c r="I32" s="121" t="n"/>
      <c r="J32" s="121" t="n"/>
      <c r="K32" s="122" t="n"/>
      <c r="L32" s="121" t="n"/>
      <c r="M32" s="121" t="n"/>
      <c r="N32" s="121" t="n"/>
      <c r="O32" s="121" t="n"/>
      <c r="P32" s="121" t="n"/>
      <c r="Q32" s="121" t="n"/>
      <c r="R32" s="122" t="n"/>
      <c r="S32" s="121" t="n"/>
      <c r="T32" s="121" t="n"/>
      <c r="U32" s="121" t="n"/>
      <c r="V32" s="121" t="n"/>
      <c r="W32" s="121" t="n"/>
      <c r="X32" s="121" t="n"/>
      <c r="Y32" s="122" t="n"/>
      <c r="Z32" s="121" t="n"/>
      <c r="AA32" s="121" t="n"/>
      <c r="AB32" s="121" t="n"/>
      <c r="AC32" s="121" t="n"/>
      <c r="AD32" s="121" t="n"/>
      <c r="AE32" s="121" t="n"/>
      <c r="AF32" s="122" t="n"/>
      <c r="AG32" s="121" t="n"/>
      <c r="AH32" s="121" t="n"/>
      <c r="AI32" s="121" t="n"/>
      <c r="AJ32" s="123">
        <f>IF(ISBLANK(B32), "", IF(ISNUMBER(D32), IF(D32&gt;0, (COUNTIF(E32:AI32, "✓") + COUNTIF(E32:AI32, "✔") + COUNTIF(E32:AI32, "v") + COUNTIF(E32:AI32, "V"))/D32, 0), IF(((COUNTIF(E32:AI32, "✓") + COUNTIF(E32:AI32, "✔") + COUNTIF(E32:AI32, "v") + COUNTIF(E32:AI32, "V")) + COUNTIF(E32:AI32, "✗") + COUNTIF(E32:AI32, "x") + COUNTIF(E32:AI32, "X"))&gt;0, (COUNTIF(E32:AI32, "✓") + COUNTIF(E32:AI32, "✔") + COUNTIF(E32:AI32, "v") + COUNTIF(E32:AI32, "V"))/((COUNTIF(E32:AI32, "✓") + COUNTIF(E32:AI32, "✔") + COUNTIF(E32:AI32, "v") + COUNTIF(E32:AI32, "V")) + COUNTIF(E32:AI32, "✗") + COUNTIF(E32:AI32, "x") + COUNTIF(E32:AI32, "X")), "")))</f>
        <v/>
      </c>
      <c r="AK32" s="124">
        <f>IF(ISBLANK(B32), "", IF(ISNUMBER(D32), IF(D32&gt;0, (COUNTIF(E32:AI32, "✓") + COUNTIF(E32:AI32, "✔") + COUNTIF(E32:AI32, "v") + COUNTIF(E32:AI32, "V")) &amp; "/" &amp; D32, (COUNTIF(E32:AI32, "✓") + COUNTIF(E32:AI32, "✔") + COUNTIF(E32:AI32, "v") + COUNTIF(E32:AI32, "V")) &amp; "/0"), IF(((COUNTIF(E32:AI32, "✓") + COUNTIF(E32:AI32, "✔") + COUNTIF(E32:AI32, "v") + COUNTIF(E32:AI32, "V")) + COUNTIF(E32:AI32, "✗") + COUNTIF(E32:AI32, "x") + COUNTIF(E32:AI32, "X"))&gt;0, (COUNTIF(E32:AI32, "✓") + COUNTIF(E32:AI32, "✔") + COUNTIF(E32:AI32, "v") + COUNTIF(E32:AI32, "V")) &amp; "/" &amp; ((COUNTIF(E32:AI32, "✓") + COUNTIF(E32:AI32, "✔") + COUNTIF(E32:AI32, "v") + COUNTIF(E32:AI32, "V")) + COUNTIF(E32:AI32, "✗") + COUNTIF(E32:AI32, "x") + COUNTIF(E32:AI32, "X")), "")))</f>
        <v/>
      </c>
      <c r="AL32" s="124">
        <f>IF(ISBLANK(B32), "", IF(AJ32&gt;=0.85, "🔥 Mastered", IF(AJ32&gt;=0.7, "⚡ Consistent", "⚠️ Needs Focus")))</f>
        <v/>
      </c>
      <c r="AM32">
        <f>COUNTIF(E32:AI32, "✓")</f>
        <v/>
      </c>
    </row>
    <row r="33" ht="14.5" customHeight="1">
      <c r="A33" s="118" t="n">
        <v>16</v>
      </c>
      <c r="B33" s="119" t="n"/>
      <c r="C33" s="120" t="n"/>
      <c r="D33" s="120" t="n"/>
      <c r="E33" s="121" t="n"/>
      <c r="F33" s="121" t="n"/>
      <c r="G33" s="121" t="n"/>
      <c r="H33" s="121" t="n"/>
      <c r="I33" s="121" t="n"/>
      <c r="J33" s="121" t="n"/>
      <c r="K33" s="122" t="n"/>
      <c r="L33" s="121" t="n"/>
      <c r="M33" s="121" t="n"/>
      <c r="N33" s="121" t="n"/>
      <c r="O33" s="121" t="n"/>
      <c r="P33" s="121" t="n"/>
      <c r="Q33" s="121" t="n"/>
      <c r="R33" s="122" t="n"/>
      <c r="S33" s="121" t="n"/>
      <c r="T33" s="121" t="n"/>
      <c r="U33" s="121" t="n"/>
      <c r="V33" s="121" t="n"/>
      <c r="W33" s="121" t="n"/>
      <c r="X33" s="121" t="n"/>
      <c r="Y33" s="122" t="n"/>
      <c r="Z33" s="121" t="n"/>
      <c r="AA33" s="121" t="n"/>
      <c r="AB33" s="121" t="n"/>
      <c r="AC33" s="121" t="n"/>
      <c r="AD33" s="121" t="n"/>
      <c r="AE33" s="121" t="n"/>
      <c r="AF33" s="122" t="n"/>
      <c r="AG33" s="121" t="n"/>
      <c r="AH33" s="121" t="n"/>
      <c r="AI33" s="121" t="n"/>
      <c r="AJ33" s="123">
        <f>IF(ISBLANK(B33), "", IF(ISNUMBER(D33), IF(D33&gt;0, (COUNTIF(E33:AI33, "✓") + COUNTIF(E33:AI33, "✔") + COUNTIF(E33:AI33, "v") + COUNTIF(E33:AI33, "V"))/D33, 0), IF(((COUNTIF(E33:AI33, "✓") + COUNTIF(E33:AI33, "✔") + COUNTIF(E33:AI33, "v") + COUNTIF(E33:AI33, "V")) + COUNTIF(E33:AI33, "✗") + COUNTIF(E33:AI33, "x") + COUNTIF(E33:AI33, "X"))&gt;0, (COUNTIF(E33:AI33, "✓") + COUNTIF(E33:AI33, "✔") + COUNTIF(E33:AI33, "v") + COUNTIF(E33:AI33, "V"))/((COUNTIF(E33:AI33, "✓") + COUNTIF(E33:AI33, "✔") + COUNTIF(E33:AI33, "v") + COUNTIF(E33:AI33, "V")) + COUNTIF(E33:AI33, "✗") + COUNTIF(E33:AI33, "x") + COUNTIF(E33:AI33, "X")), "")))</f>
        <v/>
      </c>
      <c r="AK33" s="124">
        <f>IF(ISBLANK(B33), "", IF(ISNUMBER(D33), IF(D33&gt;0, (COUNTIF(E33:AI33, "✓") + COUNTIF(E33:AI33, "✔") + COUNTIF(E33:AI33, "v") + COUNTIF(E33:AI33, "V")) &amp; "/" &amp; D33, (COUNTIF(E33:AI33, "✓") + COUNTIF(E33:AI33, "✔") + COUNTIF(E33:AI33, "v") + COUNTIF(E33:AI33, "V")) &amp; "/0"), IF(((COUNTIF(E33:AI33, "✓") + COUNTIF(E33:AI33, "✔") + COUNTIF(E33:AI33, "v") + COUNTIF(E33:AI33, "V")) + COUNTIF(E33:AI33, "✗") + COUNTIF(E33:AI33, "x") + COUNTIF(E33:AI33, "X"))&gt;0, (COUNTIF(E33:AI33, "✓") + COUNTIF(E33:AI33, "✔") + COUNTIF(E33:AI33, "v") + COUNTIF(E33:AI33, "V")) &amp; "/" &amp; ((COUNTIF(E33:AI33, "✓") + COUNTIF(E33:AI33, "✔") + COUNTIF(E33:AI33, "v") + COUNTIF(E33:AI33, "V")) + COUNTIF(E33:AI33, "✗") + COUNTIF(E33:AI33, "x") + COUNTIF(E33:AI33, "X")), "")))</f>
        <v/>
      </c>
      <c r="AL33" s="124">
        <f>IF(ISBLANK(B33), "", IF(AJ33&gt;=0.85, "🔥 Mastered", IF(AJ33&gt;=0.7, "⚡ Consistent", "⚠️ Needs Focus")))</f>
        <v/>
      </c>
      <c r="AM33">
        <f>COUNTIF(E33:AI33, "✓")</f>
        <v/>
      </c>
    </row>
    <row r="34" ht="14.5" customHeight="1">
      <c r="A34" s="125" t="n">
        <v>17</v>
      </c>
      <c r="B34" s="126" t="n"/>
      <c r="C34" s="127" t="n"/>
      <c r="D34" s="127" t="n"/>
      <c r="E34" s="128" t="n"/>
      <c r="F34" s="128" t="n"/>
      <c r="G34" s="128" t="n"/>
      <c r="H34" s="128" t="n"/>
      <c r="I34" s="128" t="n"/>
      <c r="J34" s="128" t="n"/>
      <c r="K34" s="129" t="n"/>
      <c r="L34" s="128" t="n"/>
      <c r="M34" s="128" t="n"/>
      <c r="N34" s="128" t="n"/>
      <c r="O34" s="128" t="n"/>
      <c r="P34" s="128" t="n"/>
      <c r="Q34" s="128" t="n"/>
      <c r="R34" s="129" t="n"/>
      <c r="S34" s="128" t="n"/>
      <c r="T34" s="128" t="n"/>
      <c r="U34" s="128" t="n"/>
      <c r="V34" s="128" t="n"/>
      <c r="W34" s="128" t="n"/>
      <c r="X34" s="128" t="n"/>
      <c r="Y34" s="129" t="n"/>
      <c r="Z34" s="128" t="n"/>
      <c r="AA34" s="128" t="n"/>
      <c r="AB34" s="128" t="n"/>
      <c r="AC34" s="128" t="n"/>
      <c r="AD34" s="128" t="n"/>
      <c r="AE34" s="128" t="n"/>
      <c r="AF34" s="129" t="n"/>
      <c r="AG34" s="128" t="n"/>
      <c r="AH34" s="128" t="n"/>
      <c r="AI34" s="128" t="n"/>
      <c r="AJ34" s="130">
        <f>IF(ISBLANK(B34), "", IF(ISNUMBER(D34), IF(D34&gt;0, (COUNTIF(E34:AI34, "✓") + COUNTIF(E34:AI34, "✔") + COUNTIF(E34:AI34, "v") + COUNTIF(E34:AI34, "V"))/D34, 0), IF(((COUNTIF(E34:AI34, "✓") + COUNTIF(E34:AI34, "✔") + COUNTIF(E34:AI34, "v") + COUNTIF(E34:AI34, "V")) + COUNTIF(E34:AI34, "✗") + COUNTIF(E34:AI34, "x") + COUNTIF(E34:AI34, "X"))&gt;0, (COUNTIF(E34:AI34, "✓") + COUNTIF(E34:AI34, "✔") + COUNTIF(E34:AI34, "v") + COUNTIF(E34:AI34, "V"))/((COUNTIF(E34:AI34, "✓") + COUNTIF(E34:AI34, "✔") + COUNTIF(E34:AI34, "v") + COUNTIF(E34:AI34, "V")) + COUNTIF(E34:AI34, "✗") + COUNTIF(E34:AI34, "x") + COUNTIF(E34:AI34, "X")), "")))</f>
        <v/>
      </c>
      <c r="AK34" s="131">
        <f>IF(ISBLANK(B34), "", IF(ISNUMBER(D34), IF(D34&gt;0, (COUNTIF(E34:AI34, "✓") + COUNTIF(E34:AI34, "✔") + COUNTIF(E34:AI34, "v") + COUNTIF(E34:AI34, "V")) &amp; "/" &amp; D34, (COUNTIF(E34:AI34, "✓") + COUNTIF(E34:AI34, "✔") + COUNTIF(E34:AI34, "v") + COUNTIF(E34:AI34, "V")) &amp; "/0"), IF(((COUNTIF(E34:AI34, "✓") + COUNTIF(E34:AI34, "✔") + COUNTIF(E34:AI34, "v") + COUNTIF(E34:AI34, "V")) + COUNTIF(E34:AI34, "✗") + COUNTIF(E34:AI34, "x") + COUNTIF(E34:AI34, "X"))&gt;0, (COUNTIF(E34:AI34, "✓") + COUNTIF(E34:AI34, "✔") + COUNTIF(E34:AI34, "v") + COUNTIF(E34:AI34, "V")) &amp; "/" &amp; ((COUNTIF(E34:AI34, "✓") + COUNTIF(E34:AI34, "✔") + COUNTIF(E34:AI34, "v") + COUNTIF(E34:AI34, "V")) + COUNTIF(E34:AI34, "✗") + COUNTIF(E34:AI34, "x") + COUNTIF(E34:AI34, "X")), "")))</f>
        <v/>
      </c>
      <c r="AL34" s="131">
        <f>IF(ISBLANK(B34), "", IF(AJ34&gt;=0.85, "🔥 Mastered", IF(AJ34&gt;=0.7, "⚡ Consistent", "⚠️ Needs Focus")))</f>
        <v/>
      </c>
      <c r="AM34">
        <f>COUNTIF(E34:AI34, "✓")</f>
        <v/>
      </c>
    </row>
    <row r="35" ht="14.5" customHeight="1">
      <c r="A35" s="125" t="n">
        <v>18</v>
      </c>
      <c r="B35" s="126" t="n"/>
      <c r="C35" s="127" t="n"/>
      <c r="D35" s="127" t="n"/>
      <c r="E35" s="128" t="n"/>
      <c r="F35" s="128" t="n"/>
      <c r="G35" s="128" t="n"/>
      <c r="H35" s="128" t="n"/>
      <c r="I35" s="128" t="n"/>
      <c r="J35" s="128" t="n"/>
      <c r="K35" s="129" t="n"/>
      <c r="L35" s="128" t="n"/>
      <c r="M35" s="128" t="n"/>
      <c r="N35" s="128" t="n"/>
      <c r="O35" s="128" t="n"/>
      <c r="P35" s="128" t="n"/>
      <c r="Q35" s="128" t="n"/>
      <c r="R35" s="129" t="n"/>
      <c r="S35" s="128" t="n"/>
      <c r="T35" s="128" t="n"/>
      <c r="U35" s="128" t="n"/>
      <c r="V35" s="128" t="n"/>
      <c r="W35" s="128" t="n"/>
      <c r="X35" s="128" t="n"/>
      <c r="Y35" s="129" t="n"/>
      <c r="Z35" s="128" t="n"/>
      <c r="AA35" s="128" t="n"/>
      <c r="AB35" s="128" t="n"/>
      <c r="AC35" s="128" t="n"/>
      <c r="AD35" s="128" t="n"/>
      <c r="AE35" s="128" t="n"/>
      <c r="AF35" s="129" t="n"/>
      <c r="AG35" s="128" t="n"/>
      <c r="AH35" s="128" t="n"/>
      <c r="AI35" s="128" t="n"/>
      <c r="AJ35" s="130">
        <f>IF(ISBLANK(B35), "", IF(ISNUMBER(D35), IF(D35&gt;0, (COUNTIF(E35:AI35, "✓") + COUNTIF(E35:AI35, "✔") + COUNTIF(E35:AI35, "v") + COUNTIF(E35:AI35, "V"))/D35, 0), IF(((COUNTIF(E35:AI35, "✓") + COUNTIF(E35:AI35, "✔") + COUNTIF(E35:AI35, "v") + COUNTIF(E35:AI35, "V")) + COUNTIF(E35:AI35, "✗") + COUNTIF(E35:AI35, "x") + COUNTIF(E35:AI35, "X"))&gt;0, (COUNTIF(E35:AI35, "✓") + COUNTIF(E35:AI35, "✔") + COUNTIF(E35:AI35, "v") + COUNTIF(E35:AI35, "V"))/((COUNTIF(E35:AI35, "✓") + COUNTIF(E35:AI35, "✔") + COUNTIF(E35:AI35, "v") + COUNTIF(E35:AI35, "V")) + COUNTIF(E35:AI35, "✗") + COUNTIF(E35:AI35, "x") + COUNTIF(E35:AI35, "X")), "")))</f>
        <v/>
      </c>
      <c r="AK35" s="131">
        <f>IF(ISBLANK(B35), "", IF(ISNUMBER(D35), IF(D35&gt;0, (COUNTIF(E35:AI35, "✓") + COUNTIF(E35:AI35, "✔") + COUNTIF(E35:AI35, "v") + COUNTIF(E35:AI35, "V")) &amp; "/" &amp; D35, (COUNTIF(E35:AI35, "✓") + COUNTIF(E35:AI35, "✔") + COUNTIF(E35:AI35, "v") + COUNTIF(E35:AI35, "V")) &amp; "/0"), IF(((COUNTIF(E35:AI35, "✓") + COUNTIF(E35:AI35, "✔") + COUNTIF(E35:AI35, "v") + COUNTIF(E35:AI35, "V")) + COUNTIF(E35:AI35, "✗") + COUNTIF(E35:AI35, "x") + COUNTIF(E35:AI35, "X"))&gt;0, (COUNTIF(E35:AI35, "✓") + COUNTIF(E35:AI35, "✔") + COUNTIF(E35:AI35, "v") + COUNTIF(E35:AI35, "V")) &amp; "/" &amp; ((COUNTIF(E35:AI35, "✓") + COUNTIF(E35:AI35, "✔") + COUNTIF(E35:AI35, "v") + COUNTIF(E35:AI35, "V")) + COUNTIF(E35:AI35, "✗") + COUNTIF(E35:AI35, "x") + COUNTIF(E35:AI35, "X")), "")))</f>
        <v/>
      </c>
      <c r="AL35" s="131">
        <f>IF(ISBLANK(B35), "", IF(AJ35&gt;=0.85, "🔥 Mastered", IF(AJ35&gt;=0.7, "⚡ Consistent", "⚠️ Needs Focus")))</f>
        <v/>
      </c>
      <c r="AM35">
        <f>COUNTIF(E35:AI35, "✓")</f>
        <v/>
      </c>
    </row>
    <row r="36" ht="14.5" customHeight="1">
      <c r="A36" s="125" t="n">
        <v>19</v>
      </c>
      <c r="B36" s="126" t="n"/>
      <c r="C36" s="127" t="n"/>
      <c r="D36" s="127" t="n"/>
      <c r="E36" s="128" t="n"/>
      <c r="F36" s="128" t="n"/>
      <c r="G36" s="128" t="n"/>
      <c r="H36" s="128" t="n"/>
      <c r="I36" s="128" t="n"/>
      <c r="J36" s="128" t="n"/>
      <c r="K36" s="129" t="n"/>
      <c r="L36" s="128" t="n"/>
      <c r="M36" s="128" t="n"/>
      <c r="N36" s="128" t="n"/>
      <c r="O36" s="128" t="n"/>
      <c r="P36" s="128" t="n"/>
      <c r="Q36" s="128" t="n"/>
      <c r="R36" s="129" t="n"/>
      <c r="S36" s="128" t="n"/>
      <c r="T36" s="128" t="n"/>
      <c r="U36" s="128" t="n"/>
      <c r="V36" s="128" t="n"/>
      <c r="W36" s="128" t="n"/>
      <c r="X36" s="128" t="n"/>
      <c r="Y36" s="129" t="n"/>
      <c r="Z36" s="128" t="n"/>
      <c r="AA36" s="128" t="n"/>
      <c r="AB36" s="128" t="n"/>
      <c r="AC36" s="128" t="n"/>
      <c r="AD36" s="128" t="n"/>
      <c r="AE36" s="128" t="n"/>
      <c r="AF36" s="129" t="n"/>
      <c r="AG36" s="128" t="n"/>
      <c r="AH36" s="128" t="n"/>
      <c r="AI36" s="128" t="n"/>
      <c r="AJ36" s="130">
        <f>IF(ISBLANK(B36), "", IF(ISNUMBER(D36), IF(D36&gt;0, (COUNTIF(E36:AI36, "✓") + COUNTIF(E36:AI36, "✔") + COUNTIF(E36:AI36, "v") + COUNTIF(E36:AI36, "V"))/D36, 0), IF(((COUNTIF(E36:AI36, "✓") + COUNTIF(E36:AI36, "✔") + COUNTIF(E36:AI36, "v") + COUNTIF(E36:AI36, "V")) + COUNTIF(E36:AI36, "✗") + COUNTIF(E36:AI36, "x") + COUNTIF(E36:AI36, "X"))&gt;0, (COUNTIF(E36:AI36, "✓") + COUNTIF(E36:AI36, "✔") + COUNTIF(E36:AI36, "v") + COUNTIF(E36:AI36, "V"))/((COUNTIF(E36:AI36, "✓") + COUNTIF(E36:AI36, "✔") + COUNTIF(E36:AI36, "v") + COUNTIF(E36:AI36, "V")) + COUNTIF(E36:AI36, "✗") + COUNTIF(E36:AI36, "x") + COUNTIF(E36:AI36, "X")), "")))</f>
        <v/>
      </c>
      <c r="AK36" s="131">
        <f>IF(ISBLANK(B36), "", IF(ISNUMBER(D36), IF(D36&gt;0, (COUNTIF(E36:AI36, "✓") + COUNTIF(E36:AI36, "✔") + COUNTIF(E36:AI36, "v") + COUNTIF(E36:AI36, "V")) &amp; "/" &amp; D36, (COUNTIF(E36:AI36, "✓") + COUNTIF(E36:AI36, "✔") + COUNTIF(E36:AI36, "v") + COUNTIF(E36:AI36, "V")) &amp; "/0"), IF(((COUNTIF(E36:AI36, "✓") + COUNTIF(E36:AI36, "✔") + COUNTIF(E36:AI36, "v") + COUNTIF(E36:AI36, "V")) + COUNTIF(E36:AI36, "✗") + COUNTIF(E36:AI36, "x") + COUNTIF(E36:AI36, "X"))&gt;0, (COUNTIF(E36:AI36, "✓") + COUNTIF(E36:AI36, "✔") + COUNTIF(E36:AI36, "v") + COUNTIF(E36:AI36, "V")) &amp; "/" &amp; ((COUNTIF(E36:AI36, "✓") + COUNTIF(E36:AI36, "✔") + COUNTIF(E36:AI36, "v") + COUNTIF(E36:AI36, "V")) + COUNTIF(E36:AI36, "✗") + COUNTIF(E36:AI36, "x") + COUNTIF(E36:AI36, "X")), "")))</f>
        <v/>
      </c>
      <c r="AL36" s="131">
        <f>IF(ISBLANK(B36), "", IF(AJ36&gt;=0.85, "🔥 Mastered", IF(AJ36&gt;=0.7, "⚡ Consistent", "⚠️ Needs Focus")))</f>
        <v/>
      </c>
      <c r="AM36">
        <f>COUNTIF(E36:AI36, "✓")</f>
        <v/>
      </c>
    </row>
    <row r="37" ht="14.5" customHeight="1">
      <c r="A37" s="125" t="n">
        <v>20</v>
      </c>
      <c r="B37" s="126" t="n"/>
      <c r="C37" s="127" t="n"/>
      <c r="D37" s="127" t="n"/>
      <c r="E37" s="128" t="n"/>
      <c r="F37" s="128" t="n"/>
      <c r="G37" s="128" t="n"/>
      <c r="H37" s="128" t="n"/>
      <c r="I37" s="128" t="n"/>
      <c r="J37" s="128" t="n"/>
      <c r="K37" s="129" t="n"/>
      <c r="L37" s="128" t="n"/>
      <c r="M37" s="128" t="n"/>
      <c r="N37" s="128" t="n"/>
      <c r="O37" s="128" t="n"/>
      <c r="P37" s="128" t="n"/>
      <c r="Q37" s="128" t="n"/>
      <c r="R37" s="129" t="n"/>
      <c r="S37" s="128" t="n"/>
      <c r="T37" s="128" t="n"/>
      <c r="U37" s="128" t="n"/>
      <c r="V37" s="128" t="n"/>
      <c r="W37" s="128" t="n"/>
      <c r="X37" s="128" t="n"/>
      <c r="Y37" s="129" t="n"/>
      <c r="Z37" s="128" t="n"/>
      <c r="AA37" s="128" t="n"/>
      <c r="AB37" s="128" t="n"/>
      <c r="AC37" s="128" t="n"/>
      <c r="AD37" s="128" t="n"/>
      <c r="AE37" s="128" t="n"/>
      <c r="AF37" s="129" t="n"/>
      <c r="AG37" s="128" t="n"/>
      <c r="AH37" s="128" t="n"/>
      <c r="AI37" s="128" t="n"/>
      <c r="AJ37" s="130">
        <f>IF(ISBLANK(B37), "", IF(ISNUMBER(D37), IF(D37&gt;0, (COUNTIF(E37:AI37, "✓") + COUNTIF(E37:AI37, "✔") + COUNTIF(E37:AI37, "v") + COUNTIF(E37:AI37, "V"))/D37, 0), IF(((COUNTIF(E37:AI37, "✓") + COUNTIF(E37:AI37, "✔") + COUNTIF(E37:AI37, "v") + COUNTIF(E37:AI37, "V")) + COUNTIF(E37:AI37, "✗") + COUNTIF(E37:AI37, "x") + COUNTIF(E37:AI37, "X"))&gt;0, (COUNTIF(E37:AI37, "✓") + COUNTIF(E37:AI37, "✔") + COUNTIF(E37:AI37, "v") + COUNTIF(E37:AI37, "V"))/((COUNTIF(E37:AI37, "✓") + COUNTIF(E37:AI37, "✔") + COUNTIF(E37:AI37, "v") + COUNTIF(E37:AI37, "V")) + COUNTIF(E37:AI37, "✗") + COUNTIF(E37:AI37, "x") + COUNTIF(E37:AI37, "X")), "")))</f>
        <v/>
      </c>
      <c r="AK37" s="131">
        <f>IF(ISBLANK(B37), "", IF(ISNUMBER(D37), IF(D37&gt;0, (COUNTIF(E37:AI37, "✓") + COUNTIF(E37:AI37, "✔") + COUNTIF(E37:AI37, "v") + COUNTIF(E37:AI37, "V")) &amp; "/" &amp; D37, (COUNTIF(E37:AI37, "✓") + COUNTIF(E37:AI37, "✔") + COUNTIF(E37:AI37, "v") + COUNTIF(E37:AI37, "V")) &amp; "/0"), IF(((COUNTIF(E37:AI37, "✓") + COUNTIF(E37:AI37, "✔") + COUNTIF(E37:AI37, "v") + COUNTIF(E37:AI37, "V")) + COUNTIF(E37:AI37, "✗") + COUNTIF(E37:AI37, "x") + COUNTIF(E37:AI37, "X"))&gt;0, (COUNTIF(E37:AI37, "✓") + COUNTIF(E37:AI37, "✔") + COUNTIF(E37:AI37, "v") + COUNTIF(E37:AI37, "V")) &amp; "/" &amp; ((COUNTIF(E37:AI37, "✓") + COUNTIF(E37:AI37, "✔") + COUNTIF(E37:AI37, "v") + COUNTIF(E37:AI37, "V")) + COUNTIF(E37:AI37, "✗") + COUNTIF(E37:AI37, "x") + COUNTIF(E37:AI37, "X")), "")))</f>
        <v/>
      </c>
      <c r="AL37" s="131">
        <f>IF(ISBLANK(B37), "", IF(AJ37&gt;=0.85, "🔥 Mastered", IF(AJ37&gt;=0.7, "⚡ Consistent", "⚠️ Needs Focus")))</f>
        <v/>
      </c>
      <c r="AM37">
        <f>COUNTIF(E37:AI37, "✓")</f>
        <v/>
      </c>
    </row>
    <row r="38" ht="18" customHeight="1">
      <c r="A38" s="132" t="inlineStr">
        <is>
          <t>DAILY TOTAL SCORE</t>
        </is>
      </c>
      <c r="B38" s="54" t="n"/>
      <c r="C38" s="54" t="n"/>
      <c r="D38" s="54" t="n"/>
      <c r="E38" s="33">
        <f>IF(((COUNTIF(E18:E37, "✓") + COUNTIF(E18:E37, "✔") + COUNTIF(E18:E37, "v") + COUNTIF(E18:E37, "V")) + COUNTIF(E18:E37, "✗") + COUNTIF(E18:E37, "x") + COUNTIF(E18:E37, "X")) &gt; 0, (COUNTIF(E18:E37, "✓") + COUNTIF(E18:E37, "✔") + COUNTIF(E18:E37, "v") + COUNTIF(E18:E37, "V")) &amp; "/" &amp; ((COUNTIF(E18:E37, "✓") + COUNTIF(E18:E37, "✔") + COUNTIF(E18:E37, "v") + COUNTIF(E18:E37, "V")) + COUNTIF(E18:E37, "✗") + COUNTIF(E18:E37, "x") + COUNTIF(E18:E37, "X")), "")</f>
        <v/>
      </c>
      <c r="F38" s="33">
        <f>IF(((COUNTIF(F18:F37, "✓") + COUNTIF(F18:F37, "✔") + COUNTIF(F18:F37, "v") + COUNTIF(F18:F37, "V")) + COUNTIF(F18:F37, "✗") + COUNTIF(F18:F37, "x") + COUNTIF(F18:F37, "X")) &gt; 0, (COUNTIF(F18:F37, "✓") + COUNTIF(F18:F37, "✔") + COUNTIF(F18:F37, "v") + COUNTIF(F18:F37, "V")) &amp; "/" &amp; ((COUNTIF(F18:F37, "✓") + COUNTIF(F18:F37, "✔") + COUNTIF(F18:F37, "v") + COUNTIF(F18:F37, "V")) + COUNTIF(F18:F37, "✗") + COUNTIF(F18:F37, "x") + COUNTIF(F18:F37, "X")), "")</f>
        <v/>
      </c>
      <c r="G38" s="33">
        <f>IF(((COUNTIF(G18:G37, "✓") + COUNTIF(G18:G37, "✔") + COUNTIF(G18:G37, "v") + COUNTIF(G18:G37, "V")) + COUNTIF(G18:G37, "✗") + COUNTIF(G18:G37, "x") + COUNTIF(G18:G37, "X")) &gt; 0, (COUNTIF(G18:G37, "✓") + COUNTIF(G18:G37, "✔") + COUNTIF(G18:G37, "v") + COUNTIF(G18:G37, "V")) &amp; "/" &amp; ((COUNTIF(G18:G37, "✓") + COUNTIF(G18:G37, "✔") + COUNTIF(G18:G37, "v") + COUNTIF(G18:G37, "V")) + COUNTIF(G18:G37, "✗") + COUNTIF(G18:G37, "x") + COUNTIF(G18:G37, "X")), "")</f>
        <v/>
      </c>
      <c r="H38" s="33">
        <f>IF(((COUNTIF(H18:H37, "✓") + COUNTIF(H18:H37, "✔") + COUNTIF(H18:H37, "v") + COUNTIF(H18:H37, "V")) + COUNTIF(H18:H37, "✗") + COUNTIF(H18:H37, "x") + COUNTIF(H18:H37, "X")) &gt; 0, (COUNTIF(H18:H37, "✓") + COUNTIF(H18:H37, "✔") + COUNTIF(H18:H37, "v") + COUNTIF(H18:H37, "V")) &amp; "/" &amp; ((COUNTIF(H18:H37, "✓") + COUNTIF(H18:H37, "✔") + COUNTIF(H18:H37, "v") + COUNTIF(H18:H37, "V")) + COUNTIF(H18:H37, "✗") + COUNTIF(H18:H37, "x") + COUNTIF(H18:H37, "X")), "")</f>
        <v/>
      </c>
      <c r="I38" s="33">
        <f>IF(((COUNTIF(I18:I37, "✓") + COUNTIF(I18:I37, "✔") + COUNTIF(I18:I37, "v") + COUNTIF(I18:I37, "V")) + COUNTIF(I18:I37, "✗") + COUNTIF(I18:I37, "x") + COUNTIF(I18:I37, "X")) &gt; 0, (COUNTIF(I18:I37, "✓") + COUNTIF(I18:I37, "✔") + COUNTIF(I18:I37, "v") + COUNTIF(I18:I37, "V")) &amp; "/" &amp; ((COUNTIF(I18:I37, "✓") + COUNTIF(I18:I37, "✔") + COUNTIF(I18:I37, "v") + COUNTIF(I18:I37, "V")) + COUNTIF(I18:I37, "✗") + COUNTIF(I18:I37, "x") + COUNTIF(I18:I37, "X")), "")</f>
        <v/>
      </c>
      <c r="J38" s="33">
        <f>IF(((COUNTIF(J18:J37, "✓") + COUNTIF(J18:J37, "✔") + COUNTIF(J18:J37, "v") + COUNTIF(J18:J37, "V")) + COUNTIF(J18:J37, "✗") + COUNTIF(J18:J37, "x") + COUNTIF(J18:J37, "X")) &gt; 0, (COUNTIF(J18:J37, "✓") + COUNTIF(J18:J37, "✔") + COUNTIF(J18:J37, "v") + COUNTIF(J18:J37, "V")) &amp; "/" &amp; ((COUNTIF(J18:J37, "✓") + COUNTIF(J18:J37, "✔") + COUNTIF(J18:J37, "v") + COUNTIF(J18:J37, "V")) + COUNTIF(J18:J37, "✗") + COUNTIF(J18:J37, "x") + COUNTIF(J18:J37, "X")), "")</f>
        <v/>
      </c>
      <c r="K38" s="33">
        <f>IF(((COUNTIF(K18:K37, "✓") + COUNTIF(K18:K37, "✔") + COUNTIF(K18:K37, "v") + COUNTIF(K18:K37, "V")) + COUNTIF(K18:K37, "✗") + COUNTIF(K18:K37, "x") + COUNTIF(K18:K37, "X")) &gt; 0, (COUNTIF(K18:K37, "✓") + COUNTIF(K18:K37, "✔") + COUNTIF(K18:K37, "v") + COUNTIF(K18:K37, "V")) &amp; "/" &amp; ((COUNTIF(K18:K37, "✓") + COUNTIF(K18:K37, "✔") + COUNTIF(K18:K37, "v") + COUNTIF(K18:K37, "V")) + COUNTIF(K18:K37, "✗") + COUNTIF(K18:K37, "x") + COUNTIF(K18:K37, "X")), "")</f>
        <v/>
      </c>
      <c r="L38" s="33">
        <f>IF(((COUNTIF(L18:L37, "✓") + COUNTIF(L18:L37, "✔") + COUNTIF(L18:L37, "v") + COUNTIF(L18:L37, "V")) + COUNTIF(L18:L37, "✗") + COUNTIF(L18:L37, "x") + COUNTIF(L18:L37, "X")) &gt; 0, (COUNTIF(L18:L37, "✓") + COUNTIF(L18:L37, "✔") + COUNTIF(L18:L37, "v") + COUNTIF(L18:L37, "V")) &amp; "/" &amp; ((COUNTIF(L18:L37, "✓") + COUNTIF(L18:L37, "✔") + COUNTIF(L18:L37, "v") + COUNTIF(L18:L37, "V")) + COUNTIF(L18:L37, "✗") + COUNTIF(L18:L37, "x") + COUNTIF(L18:L37, "X")), "")</f>
        <v/>
      </c>
      <c r="M38" s="33">
        <f>IF(((COUNTIF(M18:M37, "✓") + COUNTIF(M18:M37, "✔") + COUNTIF(M18:M37, "v") + COUNTIF(M18:M37, "V")) + COUNTIF(M18:M37, "✗") + COUNTIF(M18:M37, "x") + COUNTIF(M18:M37, "X")) &gt; 0, (COUNTIF(M18:M37, "✓") + COUNTIF(M18:M37, "✔") + COUNTIF(M18:M37, "v") + COUNTIF(M18:M37, "V")) &amp; "/" &amp; ((COUNTIF(M18:M37, "✓") + COUNTIF(M18:M37, "✔") + COUNTIF(M18:M37, "v") + COUNTIF(M18:M37, "V")) + COUNTIF(M18:M37, "✗") + COUNTIF(M18:M37, "x") + COUNTIF(M18:M37, "X")), "")</f>
        <v/>
      </c>
      <c r="N38" s="33">
        <f>IF(((COUNTIF(N18:N37, "✓") + COUNTIF(N18:N37, "✔") + COUNTIF(N18:N37, "v") + COUNTIF(N18:N37, "V")) + COUNTIF(N18:N37, "✗") + COUNTIF(N18:N37, "x") + COUNTIF(N18:N37, "X")) &gt; 0, (COUNTIF(N18:N37, "✓") + COUNTIF(N18:N37, "✔") + COUNTIF(N18:N37, "v") + COUNTIF(N18:N37, "V")) &amp; "/" &amp; ((COUNTIF(N18:N37, "✓") + COUNTIF(N18:N37, "✔") + COUNTIF(N18:N37, "v") + COUNTIF(N18:N37, "V")) + COUNTIF(N18:N37, "✗") + COUNTIF(N18:N37, "x") + COUNTIF(N18:N37, "X")), "")</f>
        <v/>
      </c>
      <c r="O38" s="33">
        <f>IF(((COUNTIF(O18:O37, "✓") + COUNTIF(O18:O37, "✔") + COUNTIF(O18:O37, "v") + COUNTIF(O18:O37, "V")) + COUNTIF(O18:O37, "✗") + COUNTIF(O18:O37, "x") + COUNTIF(O18:O37, "X")) &gt; 0, (COUNTIF(O18:O37, "✓") + COUNTIF(O18:O37, "✔") + COUNTIF(O18:O37, "v") + COUNTIF(O18:O37, "V")) &amp; "/" &amp; ((COUNTIF(O18:O37, "✓") + COUNTIF(O18:O37, "✔") + COUNTIF(O18:O37, "v") + COUNTIF(O18:O37, "V")) + COUNTIF(O18:O37, "✗") + COUNTIF(O18:O37, "x") + COUNTIF(O18:O37, "X")), "")</f>
        <v/>
      </c>
      <c r="P38" s="33">
        <f>IF(((COUNTIF(P18:P37, "✓") + COUNTIF(P18:P37, "✔") + COUNTIF(P18:P37, "v") + COUNTIF(P18:P37, "V")) + COUNTIF(P18:P37, "✗") + COUNTIF(P18:P37, "x") + COUNTIF(P18:P37, "X")) &gt; 0, (COUNTIF(P18:P37, "✓") + COUNTIF(P18:P37, "✔") + COUNTIF(P18:P37, "v") + COUNTIF(P18:P37, "V")) &amp; "/" &amp; ((COUNTIF(P18:P37, "✓") + COUNTIF(P18:P37, "✔") + COUNTIF(P18:P37, "v") + COUNTIF(P18:P37, "V")) + COUNTIF(P18:P37, "✗") + COUNTIF(P18:P37, "x") + COUNTIF(P18:P37, "X")), "")</f>
        <v/>
      </c>
      <c r="Q38" s="33">
        <f>IF(((COUNTIF(Q18:Q37, "✓") + COUNTIF(Q18:Q37, "✔") + COUNTIF(Q18:Q37, "v") + COUNTIF(Q18:Q37, "V")) + COUNTIF(Q18:Q37, "✗") + COUNTIF(Q18:Q37, "x") + COUNTIF(Q18:Q37, "X")) &gt; 0, (COUNTIF(Q18:Q37, "✓") + COUNTIF(Q18:Q37, "✔") + COUNTIF(Q18:Q37, "v") + COUNTIF(Q18:Q37, "V")) &amp; "/" &amp; ((COUNTIF(Q18:Q37, "✓") + COUNTIF(Q18:Q37, "✔") + COUNTIF(Q18:Q37, "v") + COUNTIF(Q18:Q37, "V")) + COUNTIF(Q18:Q37, "✗") + COUNTIF(Q18:Q37, "x") + COUNTIF(Q18:Q37, "X")), "")</f>
        <v/>
      </c>
      <c r="R38" s="33">
        <f>IF(((COUNTIF(R18:R37, "✓") + COUNTIF(R18:R37, "✔") + COUNTIF(R18:R37, "v") + COUNTIF(R18:R37, "V")) + COUNTIF(R18:R37, "✗") + COUNTIF(R18:R37, "x") + COUNTIF(R18:R37, "X")) &gt; 0, (COUNTIF(R18:R37, "✓") + COUNTIF(R18:R37, "✔") + COUNTIF(R18:R37, "v") + COUNTIF(R18:R37, "V")) &amp; "/" &amp; ((COUNTIF(R18:R37, "✓") + COUNTIF(R18:R37, "✔") + COUNTIF(R18:R37, "v") + COUNTIF(R18:R37, "V")) + COUNTIF(R18:R37, "✗") + COUNTIF(R18:R37, "x") + COUNTIF(R18:R37, "X")), "")</f>
        <v/>
      </c>
      <c r="S38" s="33">
        <f>IF(((COUNTIF(S18:S37, "✓") + COUNTIF(S18:S37, "✔") + COUNTIF(S18:S37, "v") + COUNTIF(S18:S37, "V")) + COUNTIF(S18:S37, "✗") + COUNTIF(S18:S37, "x") + COUNTIF(S18:S37, "X")) &gt; 0, (COUNTIF(S18:S37, "✓") + COUNTIF(S18:S37, "✔") + COUNTIF(S18:S37, "v") + COUNTIF(S18:S37, "V")) &amp; "/" &amp; ((COUNTIF(S18:S37, "✓") + COUNTIF(S18:S37, "✔") + COUNTIF(S18:S37, "v") + COUNTIF(S18:S37, "V")) + COUNTIF(S18:S37, "✗") + COUNTIF(S18:S37, "x") + COUNTIF(S18:S37, "X")), "")</f>
        <v/>
      </c>
      <c r="T38" s="33">
        <f>IF(((COUNTIF(T18:T37, "✓") + COUNTIF(T18:T37, "✔") + COUNTIF(T18:T37, "v") + COUNTIF(T18:T37, "V")) + COUNTIF(T18:T37, "✗") + COUNTIF(T18:T37, "x") + COUNTIF(T18:T37, "X")) &gt; 0, (COUNTIF(T18:T37, "✓") + COUNTIF(T18:T37, "✔") + COUNTIF(T18:T37, "v") + COUNTIF(T18:T37, "V")) &amp; "/" &amp; ((COUNTIF(T18:T37, "✓") + COUNTIF(T18:T37, "✔") + COUNTIF(T18:T37, "v") + COUNTIF(T18:T37, "V")) + COUNTIF(T18:T37, "✗") + COUNTIF(T18:T37, "x") + COUNTIF(T18:T37, "X")), "")</f>
        <v/>
      </c>
      <c r="U38" s="33">
        <f>IF(((COUNTIF(U18:U37, "✓") + COUNTIF(U18:U37, "✔") + COUNTIF(U18:U37, "v") + COUNTIF(U18:U37, "V")) + COUNTIF(U18:U37, "✗") + COUNTIF(U18:U37, "x") + COUNTIF(U18:U37, "X")) &gt; 0, (COUNTIF(U18:U37, "✓") + COUNTIF(U18:U37, "✔") + COUNTIF(U18:U37, "v") + COUNTIF(U18:U37, "V")) &amp; "/" &amp; ((COUNTIF(U18:U37, "✓") + COUNTIF(U18:U37, "✔") + COUNTIF(U18:U37, "v") + COUNTIF(U18:U37, "V")) + COUNTIF(U18:U37, "✗") + COUNTIF(U18:U37, "x") + COUNTIF(U18:U37, "X")), "")</f>
        <v/>
      </c>
      <c r="V38" s="33">
        <f>IF(((COUNTIF(V18:V37, "✓") + COUNTIF(V18:V37, "✔") + COUNTIF(V18:V37, "v") + COUNTIF(V18:V37, "V")) + COUNTIF(V18:V37, "✗") + COUNTIF(V18:V37, "x") + COUNTIF(V18:V37, "X")) &gt; 0, (COUNTIF(V18:V37, "✓") + COUNTIF(V18:V37, "✔") + COUNTIF(V18:V37, "v") + COUNTIF(V18:V37, "V")) &amp; "/" &amp; ((COUNTIF(V18:V37, "✓") + COUNTIF(V18:V37, "✔") + COUNTIF(V18:V37, "v") + COUNTIF(V18:V37, "V")) + COUNTIF(V18:V37, "✗") + COUNTIF(V18:V37, "x") + COUNTIF(V18:V37, "X")), "")</f>
        <v/>
      </c>
      <c r="W38" s="33">
        <f>IF(((COUNTIF(W18:W37, "✓") + COUNTIF(W18:W37, "✔") + COUNTIF(W18:W37, "v") + COUNTIF(W18:W37, "V")) + COUNTIF(W18:W37, "✗") + COUNTIF(W18:W37, "x") + COUNTIF(W18:W37, "X")) &gt; 0, (COUNTIF(W18:W37, "✓") + COUNTIF(W18:W37, "✔") + COUNTIF(W18:W37, "v") + COUNTIF(W18:W37, "V")) &amp; "/" &amp; ((COUNTIF(W18:W37, "✓") + COUNTIF(W18:W37, "✔") + COUNTIF(W18:W37, "v") + COUNTIF(W18:W37, "V")) + COUNTIF(W18:W37, "✗") + COUNTIF(W18:W37, "x") + COUNTIF(W18:W37, "X")), "")</f>
        <v/>
      </c>
      <c r="X38" s="33">
        <f>IF(((COUNTIF(X18:X37, "✓") + COUNTIF(X18:X37, "✔") + COUNTIF(X18:X37, "v") + COUNTIF(X18:X37, "V")) + COUNTIF(X18:X37, "✗") + COUNTIF(X18:X37, "x") + COUNTIF(X18:X37, "X")) &gt; 0, (COUNTIF(X18:X37, "✓") + COUNTIF(X18:X37, "✔") + COUNTIF(X18:X37, "v") + COUNTIF(X18:X37, "V")) &amp; "/" &amp; ((COUNTIF(X18:X37, "✓") + COUNTIF(X18:X37, "✔") + COUNTIF(X18:X37, "v") + COUNTIF(X18:X37, "V")) + COUNTIF(X18:X37, "✗") + COUNTIF(X18:X37, "x") + COUNTIF(X18:X37, "X")), "")</f>
        <v/>
      </c>
      <c r="Y38" s="33">
        <f>IF(((COUNTIF(Y18:Y37, "✓") + COUNTIF(Y18:Y37, "✔") + COUNTIF(Y18:Y37, "v") + COUNTIF(Y18:Y37, "V")) + COUNTIF(Y18:Y37, "✗") + COUNTIF(Y18:Y37, "x") + COUNTIF(Y18:Y37, "X")) &gt; 0, (COUNTIF(Y18:Y37, "✓") + COUNTIF(Y18:Y37, "✔") + COUNTIF(Y18:Y37, "v") + COUNTIF(Y18:Y37, "V")) &amp; "/" &amp; ((COUNTIF(Y18:Y37, "✓") + COUNTIF(Y18:Y37, "✔") + COUNTIF(Y18:Y37, "v") + COUNTIF(Y18:Y37, "V")) + COUNTIF(Y18:Y37, "✗") + COUNTIF(Y18:Y37, "x") + COUNTIF(Y18:Y37, "X")), "")</f>
        <v/>
      </c>
      <c r="Z38" s="33">
        <f>IF(((COUNTIF(Z18:Z37, "✓") + COUNTIF(Z18:Z37, "✔") + COUNTIF(Z18:Z37, "v") + COUNTIF(Z18:Z37, "V")) + COUNTIF(Z18:Z37, "✗") + COUNTIF(Z18:Z37, "x") + COUNTIF(Z18:Z37, "X")) &gt; 0, (COUNTIF(Z18:Z37, "✓") + COUNTIF(Z18:Z37, "✔") + COUNTIF(Z18:Z37, "v") + COUNTIF(Z18:Z37, "V")) &amp; "/" &amp; ((COUNTIF(Z18:Z37, "✓") + COUNTIF(Z18:Z37, "✔") + COUNTIF(Z18:Z37, "v") + COUNTIF(Z18:Z37, "V")) + COUNTIF(Z18:Z37, "✗") + COUNTIF(Z18:Z37, "x") + COUNTIF(Z18:Z37, "X")), "")</f>
        <v/>
      </c>
      <c r="AA38" s="33">
        <f>IF(((COUNTIF(AA18:AA37, "✓") + COUNTIF(AA18:AA37, "✔") + COUNTIF(AA18:AA37, "v") + COUNTIF(AA18:AA37, "V")) + COUNTIF(AA18:AA37, "✗") + COUNTIF(AA18:AA37, "x") + COUNTIF(AA18:AA37, "X")) &gt; 0, (COUNTIF(AA18:AA37, "✓") + COUNTIF(AA18:AA37, "✔") + COUNTIF(AA18:AA37, "v") + COUNTIF(AA18:AA37, "V")) &amp; "/" &amp; ((COUNTIF(AA18:AA37, "✓") + COUNTIF(AA18:AA37, "✔") + COUNTIF(AA18:AA37, "v") + COUNTIF(AA18:AA37, "V")) + COUNTIF(AA18:AA37, "✗") + COUNTIF(AA18:AA37, "x") + COUNTIF(AA18:AA37, "X")), "")</f>
        <v/>
      </c>
      <c r="AB38" s="33">
        <f>IF(((COUNTIF(AB18:AB37, "✓") + COUNTIF(AB18:AB37, "✔") + COUNTIF(AB18:AB37, "v") + COUNTIF(AB18:AB37, "V")) + COUNTIF(AB18:AB37, "✗") + COUNTIF(AB18:AB37, "x") + COUNTIF(AB18:AB37, "X")) &gt; 0, (COUNTIF(AB18:AB37, "✓") + COUNTIF(AB18:AB37, "✔") + COUNTIF(AB18:AB37, "v") + COUNTIF(AB18:AB37, "V")) &amp; "/" &amp; ((COUNTIF(AB18:AB37, "✓") + COUNTIF(AB18:AB37, "✔") + COUNTIF(AB18:AB37, "v") + COUNTIF(AB18:AB37, "V")) + COUNTIF(AB18:AB37, "✗") + COUNTIF(AB18:AB37, "x") + COUNTIF(AB18:AB37, "X")), "")</f>
        <v/>
      </c>
      <c r="AC38" s="33">
        <f>IF(((COUNTIF(AC18:AC37, "✓") + COUNTIF(AC18:AC37, "✔") + COUNTIF(AC18:AC37, "v") + COUNTIF(AC18:AC37, "V")) + COUNTIF(AC18:AC37, "✗") + COUNTIF(AC18:AC37, "x") + COUNTIF(AC18:AC37, "X")) &gt; 0, (COUNTIF(AC18:AC37, "✓") + COUNTIF(AC18:AC37, "✔") + COUNTIF(AC18:AC37, "v") + COUNTIF(AC18:AC37, "V")) &amp; "/" &amp; ((COUNTIF(AC18:AC37, "✓") + COUNTIF(AC18:AC37, "✔") + COUNTIF(AC18:AC37, "v") + COUNTIF(AC18:AC37, "V")) + COUNTIF(AC18:AC37, "✗") + COUNTIF(AC18:AC37, "x") + COUNTIF(AC18:AC37, "X")), "")</f>
        <v/>
      </c>
      <c r="AD38" s="33">
        <f>IF(((COUNTIF(AD18:AD37, "✓") + COUNTIF(AD18:AD37, "✔") + COUNTIF(AD18:AD37, "v") + COUNTIF(AD18:AD37, "V")) + COUNTIF(AD18:AD37, "✗") + COUNTIF(AD18:AD37, "x") + COUNTIF(AD18:AD37, "X")) &gt; 0, (COUNTIF(AD18:AD37, "✓") + COUNTIF(AD18:AD37, "✔") + COUNTIF(AD18:AD37, "v") + COUNTIF(AD18:AD37, "V")) &amp; "/" &amp; ((COUNTIF(AD18:AD37, "✓") + COUNTIF(AD18:AD37, "✔") + COUNTIF(AD18:AD37, "v") + COUNTIF(AD18:AD37, "V")) + COUNTIF(AD18:AD37, "✗") + COUNTIF(AD18:AD37, "x") + COUNTIF(AD18:AD37, "X")), "")</f>
        <v/>
      </c>
      <c r="AE38" s="33">
        <f>IF(((COUNTIF(AE18:AE37, "✓") + COUNTIF(AE18:AE37, "✔") + COUNTIF(AE18:AE37, "v") + COUNTIF(AE18:AE37, "V")) + COUNTIF(AE18:AE37, "✗") + COUNTIF(AE18:AE37, "x") + COUNTIF(AE18:AE37, "X")) &gt; 0, (COUNTIF(AE18:AE37, "✓") + COUNTIF(AE18:AE37, "✔") + COUNTIF(AE18:AE37, "v") + COUNTIF(AE18:AE37, "V")) &amp; "/" &amp; ((COUNTIF(AE18:AE37, "✓") + COUNTIF(AE18:AE37, "✔") + COUNTIF(AE18:AE37, "v") + COUNTIF(AE18:AE37, "V")) + COUNTIF(AE18:AE37, "✗") + COUNTIF(AE18:AE37, "x") + COUNTIF(AE18:AE37, "X")), "")</f>
        <v/>
      </c>
      <c r="AF38" s="33">
        <f>IF(((COUNTIF(AF18:AF37, "✓") + COUNTIF(AF18:AF37, "✔") + COUNTIF(AF18:AF37, "v") + COUNTIF(AF18:AF37, "V")) + COUNTIF(AF18:AF37, "✗") + COUNTIF(AF18:AF37, "x") + COUNTIF(AF18:AF37, "X")) &gt; 0, (COUNTIF(AF18:AF37, "✓") + COUNTIF(AF18:AF37, "✔") + COUNTIF(AF18:AF37, "v") + COUNTIF(AF18:AF37, "V")) &amp; "/" &amp; ((COUNTIF(AF18:AF37, "✓") + COUNTIF(AF18:AF37, "✔") + COUNTIF(AF18:AF37, "v") + COUNTIF(AF18:AF37, "V")) + COUNTIF(AF18:AF37, "✗") + COUNTIF(AF18:AF37, "x") + COUNTIF(AF18:AF37, "X")), "")</f>
        <v/>
      </c>
      <c r="AG38" s="33">
        <f>IF(((COUNTIF(AG18:AG37, "✓") + COUNTIF(AG18:AG37, "✔") + COUNTIF(AG18:AG37, "v") + COUNTIF(AG18:AG37, "V")) + COUNTIF(AG18:AG37, "✗") + COUNTIF(AG18:AG37, "x") + COUNTIF(AG18:AG37, "X")) &gt; 0, (COUNTIF(AG18:AG37, "✓") + COUNTIF(AG18:AG37, "✔") + COUNTIF(AG18:AG37, "v") + COUNTIF(AG18:AG37, "V")) &amp; "/" &amp; ((COUNTIF(AG18:AG37, "✓") + COUNTIF(AG18:AG37, "✔") + COUNTIF(AG18:AG37, "v") + COUNTIF(AG18:AG37, "V")) + COUNTIF(AG18:AG37, "✗") + COUNTIF(AG18:AG37, "x") + COUNTIF(AG18:AG37, "X")), "")</f>
        <v/>
      </c>
      <c r="AH38" s="33">
        <f>IF(((COUNTIF(AH18:AH37, "✓") + COUNTIF(AH18:AH37, "✔") + COUNTIF(AH18:AH37, "v") + COUNTIF(AH18:AH37, "V")) + COUNTIF(AH18:AH37, "✗") + COUNTIF(AH18:AH37, "x") + COUNTIF(AH18:AH37, "X")) &gt; 0, (COUNTIF(AH18:AH37, "✓") + COUNTIF(AH18:AH37, "✔") + COUNTIF(AH18:AH37, "v") + COUNTIF(AH18:AH37, "V")) &amp; "/" &amp; ((COUNTIF(AH18:AH37, "✓") + COUNTIF(AH18:AH37, "✔") + COUNTIF(AH18:AH37, "v") + COUNTIF(AH18:AH37, "V")) + COUNTIF(AH18:AH37, "✗") + COUNTIF(AH18:AH37, "x") + COUNTIF(AH18:AH37, "X")), "")</f>
        <v/>
      </c>
      <c r="AI38" s="33">
        <f>IF(((COUNTIF(AI18:AI37, "✓") + COUNTIF(AI18:AI37, "✔") + COUNTIF(AI18:AI37, "v") + COUNTIF(AI18:AI37, "V")) + COUNTIF(AI18:AI37, "✗") + COUNTIF(AI18:AI37, "x") + COUNTIF(AI18:AI37, "X")) &gt; 0, (COUNTIF(AI18:AI37, "✓") + COUNTIF(AI18:AI37, "✔") + COUNTIF(AI18:AI37, "v") + COUNTIF(AI18:AI37, "V")) &amp; "/" &amp; ((COUNTIF(AI18:AI37, "✓") + COUNTIF(AI18:AI37, "✔") + COUNTIF(AI18:AI37, "v") + COUNTIF(AI18:AI37, "V")) + COUNTIF(AI18:AI37, "✗") + COUNTIF(AI18:AI37, "x") + COUNTIF(AI18:AI37, "X")), "")</f>
        <v/>
      </c>
      <c r="AJ38" s="133">
        <f>IF(SUM(D18:D37) &gt; 0, SUM(AM18:AM37) / SUM(D18:D37), "")</f>
        <v/>
      </c>
      <c r="AK38" s="33">
        <f>IF(SUM(D18:D37) &gt; 0, SUM(AM18:AM37) &amp; "/" &amp; SUM(D18:D37), "")</f>
        <v/>
      </c>
      <c r="AL38" s="54" t="n"/>
    </row>
    <row r="39" ht="18" customHeight="1">
      <c r="A39" s="132" t="inlineStr">
        <is>
          <t>DAILY SUCCESS %</t>
        </is>
      </c>
      <c r="B39" s="54" t="n"/>
      <c r="C39" s="54" t="n"/>
      <c r="D39" s="54" t="n"/>
      <c r="E39" s="134">
        <f>IF(((COUNTIF(E18:E37, "✓") + COUNTIF(E18:E37, "✔") + COUNTIF(E18:E37, "v") + COUNTIF(E18:E37, "V")) + COUNTIF(E18:E37, "✗") + COUNTIF(E18:E37, "x") + COUNTIF(E18:E37, "X")) &gt; 0, (COUNTIF(E18:E37, "✓") + COUNTIF(E18:E37, "✔") + COUNTIF(E18:E37, "v") + COUNTIF(E18:E37, "V")) / ((COUNTIF(E18:E37, "✓") + COUNTIF(E18:E37, "✔") + COUNTIF(E18:E37, "v") + COUNTIF(E18:E37, "V")) + COUNTIF(E18:E37, "✗") + COUNTIF(E18:E37, "x") + COUNTIF(E18:E37, "X")), "")</f>
        <v/>
      </c>
      <c r="F39" s="134">
        <f>IF(((COUNTIF(F18:F37, "✓") + COUNTIF(F18:F37, "✔") + COUNTIF(F18:F37, "v") + COUNTIF(F18:F37, "V")) + COUNTIF(F18:F37, "✗") + COUNTIF(F18:F37, "x") + COUNTIF(F18:F37, "X")) &gt; 0, (COUNTIF(F18:F37, "✓") + COUNTIF(F18:F37, "✔") + COUNTIF(F18:F37, "v") + COUNTIF(F18:F37, "V")) / ((COUNTIF(F18:F37, "✓") + COUNTIF(F18:F37, "✔") + COUNTIF(F18:F37, "v") + COUNTIF(F18:F37, "V")) + COUNTIF(F18:F37, "✗") + COUNTIF(F18:F37, "x") + COUNTIF(F18:F37, "X")), "")</f>
        <v/>
      </c>
      <c r="G39" s="134">
        <f>IF(((COUNTIF(G18:G37, "✓") + COUNTIF(G18:G37, "✔") + COUNTIF(G18:G37, "v") + COUNTIF(G18:G37, "V")) + COUNTIF(G18:G37, "✗") + COUNTIF(G18:G37, "x") + COUNTIF(G18:G37, "X")) &gt; 0, (COUNTIF(G18:G37, "✓") + COUNTIF(G18:G37, "✔") + COUNTIF(G18:G37, "v") + COUNTIF(G18:G37, "V")) / ((COUNTIF(G18:G37, "✓") + COUNTIF(G18:G37, "✔") + COUNTIF(G18:G37, "v") + COUNTIF(G18:G37, "V")) + COUNTIF(G18:G37, "✗") + COUNTIF(G18:G37, "x") + COUNTIF(G18:G37, "X")), "")</f>
        <v/>
      </c>
      <c r="H39" s="134">
        <f>IF(((COUNTIF(H18:H37, "✓") + COUNTIF(H18:H37, "✔") + COUNTIF(H18:H37, "v") + COUNTIF(H18:H37, "V")) + COUNTIF(H18:H37, "✗") + COUNTIF(H18:H37, "x") + COUNTIF(H18:H37, "X")) &gt; 0, (COUNTIF(H18:H37, "✓") + COUNTIF(H18:H37, "✔") + COUNTIF(H18:H37, "v") + COUNTIF(H18:H37, "V")) / ((COUNTIF(H18:H37, "✓") + COUNTIF(H18:H37, "✔") + COUNTIF(H18:H37, "v") + COUNTIF(H18:H37, "V")) + COUNTIF(H18:H37, "✗") + COUNTIF(H18:H37, "x") + COUNTIF(H18:H37, "X")), "")</f>
        <v/>
      </c>
      <c r="I39" s="134">
        <f>IF(((COUNTIF(I18:I37, "✓") + COUNTIF(I18:I37, "✔") + COUNTIF(I18:I37, "v") + COUNTIF(I18:I37, "V")) + COUNTIF(I18:I37, "✗") + COUNTIF(I18:I37, "x") + COUNTIF(I18:I37, "X")) &gt; 0, (COUNTIF(I18:I37, "✓") + COUNTIF(I18:I37, "✔") + COUNTIF(I18:I37, "v") + COUNTIF(I18:I37, "V")) / ((COUNTIF(I18:I37, "✓") + COUNTIF(I18:I37, "✔") + COUNTIF(I18:I37, "v") + COUNTIF(I18:I37, "V")) + COUNTIF(I18:I37, "✗") + COUNTIF(I18:I37, "x") + COUNTIF(I18:I37, "X")), "")</f>
        <v/>
      </c>
      <c r="J39" s="134">
        <f>IF(((COUNTIF(J18:J37, "✓") + COUNTIF(J18:J37, "✔") + COUNTIF(J18:J37, "v") + COUNTIF(J18:J37, "V")) + COUNTIF(J18:J37, "✗") + COUNTIF(J18:J37, "x") + COUNTIF(J18:J37, "X")) &gt; 0, (COUNTIF(J18:J37, "✓") + COUNTIF(J18:J37, "✔") + COUNTIF(J18:J37, "v") + COUNTIF(J18:J37, "V")) / ((COUNTIF(J18:J37, "✓") + COUNTIF(J18:J37, "✔") + COUNTIF(J18:J37, "v") + COUNTIF(J18:J37, "V")) + COUNTIF(J18:J37, "✗") + COUNTIF(J18:J37, "x") + COUNTIF(J18:J37, "X")), "")</f>
        <v/>
      </c>
      <c r="K39" s="134">
        <f>IF(((COUNTIF(K18:K37, "✓") + COUNTIF(K18:K37, "✔") + COUNTIF(K18:K37, "v") + COUNTIF(K18:K37, "V")) + COUNTIF(K18:K37, "✗") + COUNTIF(K18:K37, "x") + COUNTIF(K18:K37, "X")) &gt; 0, (COUNTIF(K18:K37, "✓") + COUNTIF(K18:K37, "✔") + COUNTIF(K18:K37, "v") + COUNTIF(K18:K37, "V")) / ((COUNTIF(K18:K37, "✓") + COUNTIF(K18:K37, "✔") + COUNTIF(K18:K37, "v") + COUNTIF(K18:K37, "V")) + COUNTIF(K18:K37, "✗") + COUNTIF(K18:K37, "x") + COUNTIF(K18:K37, "X")), "")</f>
        <v/>
      </c>
      <c r="L39" s="134">
        <f>IF(((COUNTIF(L18:L37, "✓") + COUNTIF(L18:L37, "✔") + COUNTIF(L18:L37, "v") + COUNTIF(L18:L37, "V")) + COUNTIF(L18:L37, "✗") + COUNTIF(L18:L37, "x") + COUNTIF(L18:L37, "X")) &gt; 0, (COUNTIF(L18:L37, "✓") + COUNTIF(L18:L37, "✔") + COUNTIF(L18:L37, "v") + COUNTIF(L18:L37, "V")) / ((COUNTIF(L18:L37, "✓") + COUNTIF(L18:L37, "✔") + COUNTIF(L18:L37, "v") + COUNTIF(L18:L37, "V")) + COUNTIF(L18:L37, "✗") + COUNTIF(L18:L37, "x") + COUNTIF(L18:L37, "X")), "")</f>
        <v/>
      </c>
      <c r="M39" s="134">
        <f>IF(((COUNTIF(M18:M37, "✓") + COUNTIF(M18:M37, "✔") + COUNTIF(M18:M37, "v") + COUNTIF(M18:M37, "V")) + COUNTIF(M18:M37, "✗") + COUNTIF(M18:M37, "x") + COUNTIF(M18:M37, "X")) &gt; 0, (COUNTIF(M18:M37, "✓") + COUNTIF(M18:M37, "✔") + COUNTIF(M18:M37, "v") + COUNTIF(M18:M37, "V")) / ((COUNTIF(M18:M37, "✓") + COUNTIF(M18:M37, "✔") + COUNTIF(M18:M37, "v") + COUNTIF(M18:M37, "V")) + COUNTIF(M18:M37, "✗") + COUNTIF(M18:M37, "x") + COUNTIF(M18:M37, "X")), "")</f>
        <v/>
      </c>
      <c r="N39" s="134">
        <f>IF(((COUNTIF(N18:N37, "✓") + COUNTIF(N18:N37, "✔") + COUNTIF(N18:N37, "v") + COUNTIF(N18:N37, "V")) + COUNTIF(N18:N37, "✗") + COUNTIF(N18:N37, "x") + COUNTIF(N18:N37, "X")) &gt; 0, (COUNTIF(N18:N37, "✓") + COUNTIF(N18:N37, "✔") + COUNTIF(N18:N37, "v") + COUNTIF(N18:N37, "V")) / ((COUNTIF(N18:N37, "✓") + COUNTIF(N18:N37, "✔") + COUNTIF(N18:N37, "v") + COUNTIF(N18:N37, "V")) + COUNTIF(N18:N37, "✗") + COUNTIF(N18:N37, "x") + COUNTIF(N18:N37, "X")), "")</f>
        <v/>
      </c>
      <c r="O39" s="134">
        <f>IF(((COUNTIF(O18:O37, "✓") + COUNTIF(O18:O37, "✔") + COUNTIF(O18:O37, "v") + COUNTIF(O18:O37, "V")) + COUNTIF(O18:O37, "✗") + COUNTIF(O18:O37, "x") + COUNTIF(O18:O37, "X")) &gt; 0, (COUNTIF(O18:O37, "✓") + COUNTIF(O18:O37, "✔") + COUNTIF(O18:O37, "v") + COUNTIF(O18:O37, "V")) / ((COUNTIF(O18:O37, "✓") + COUNTIF(O18:O37, "✔") + COUNTIF(O18:O37, "v") + COUNTIF(O18:O37, "V")) + COUNTIF(O18:O37, "✗") + COUNTIF(O18:O37, "x") + COUNTIF(O18:O37, "X")), "")</f>
        <v/>
      </c>
      <c r="P39" s="134">
        <f>IF(((COUNTIF(P18:P37, "✓") + COUNTIF(P18:P37, "✔") + COUNTIF(P18:P37, "v") + COUNTIF(P18:P37, "V")) + COUNTIF(P18:P37, "✗") + COUNTIF(P18:P37, "x") + COUNTIF(P18:P37, "X")) &gt; 0, (COUNTIF(P18:P37, "✓") + COUNTIF(P18:P37, "✔") + COUNTIF(P18:P37, "v") + COUNTIF(P18:P37, "V")) / ((COUNTIF(P18:P37, "✓") + COUNTIF(P18:P37, "✔") + COUNTIF(P18:P37, "v") + COUNTIF(P18:P37, "V")) + COUNTIF(P18:P37, "✗") + COUNTIF(P18:P37, "x") + COUNTIF(P18:P37, "X")), "")</f>
        <v/>
      </c>
      <c r="Q39" s="134">
        <f>IF(((COUNTIF(Q18:Q37, "✓") + COUNTIF(Q18:Q37, "✔") + COUNTIF(Q18:Q37, "v") + COUNTIF(Q18:Q37, "V")) + COUNTIF(Q18:Q37, "✗") + COUNTIF(Q18:Q37, "x") + COUNTIF(Q18:Q37, "X")) &gt; 0, (COUNTIF(Q18:Q37, "✓") + COUNTIF(Q18:Q37, "✔") + COUNTIF(Q18:Q37, "v") + COUNTIF(Q18:Q37, "V")) / ((COUNTIF(Q18:Q37, "✓") + COUNTIF(Q18:Q37, "✔") + COUNTIF(Q18:Q37, "v") + COUNTIF(Q18:Q37, "V")) + COUNTIF(Q18:Q37, "✗") + COUNTIF(Q18:Q37, "x") + COUNTIF(Q18:Q37, "X")), "")</f>
        <v/>
      </c>
      <c r="R39" s="134">
        <f>IF(((COUNTIF(R18:R37, "✓") + COUNTIF(R18:R37, "✔") + COUNTIF(R18:R37, "v") + COUNTIF(R18:R37, "V")) + COUNTIF(R18:R37, "✗") + COUNTIF(R18:R37, "x") + COUNTIF(R18:R37, "X")) &gt; 0, (COUNTIF(R18:R37, "✓") + COUNTIF(R18:R37, "✔") + COUNTIF(R18:R37, "v") + COUNTIF(R18:R37, "V")) / ((COUNTIF(R18:R37, "✓") + COUNTIF(R18:R37, "✔") + COUNTIF(R18:R37, "v") + COUNTIF(R18:R37, "V")) + COUNTIF(R18:R37, "✗") + COUNTIF(R18:R37, "x") + COUNTIF(R18:R37, "X")), "")</f>
        <v/>
      </c>
      <c r="S39" s="134">
        <f>IF(((COUNTIF(S18:S37, "✓") + COUNTIF(S18:S37, "✔") + COUNTIF(S18:S37, "v") + COUNTIF(S18:S37, "V")) + COUNTIF(S18:S37, "✗") + COUNTIF(S18:S37, "x") + COUNTIF(S18:S37, "X")) &gt; 0, (COUNTIF(S18:S37, "✓") + COUNTIF(S18:S37, "✔") + COUNTIF(S18:S37, "v") + COUNTIF(S18:S37, "V")) / ((COUNTIF(S18:S37, "✓") + COUNTIF(S18:S37, "✔") + COUNTIF(S18:S37, "v") + COUNTIF(S18:S37, "V")) + COUNTIF(S18:S37, "✗") + COUNTIF(S18:S37, "x") + COUNTIF(S18:S37, "X")), "")</f>
        <v/>
      </c>
      <c r="T39" s="134">
        <f>IF(((COUNTIF(T18:T37, "✓") + COUNTIF(T18:T37, "✔") + COUNTIF(T18:T37, "v") + COUNTIF(T18:T37, "V")) + COUNTIF(T18:T37, "✗") + COUNTIF(T18:T37, "x") + COUNTIF(T18:T37, "X")) &gt; 0, (COUNTIF(T18:T37, "✓") + COUNTIF(T18:T37, "✔") + COUNTIF(T18:T37, "v") + COUNTIF(T18:T37, "V")) / ((COUNTIF(T18:T37, "✓") + COUNTIF(T18:T37, "✔") + COUNTIF(T18:T37, "v") + COUNTIF(T18:T37, "V")) + COUNTIF(T18:T37, "✗") + COUNTIF(T18:T37, "x") + COUNTIF(T18:T37, "X")), "")</f>
        <v/>
      </c>
      <c r="U39" s="134">
        <f>IF(((COUNTIF(U18:U37, "✓") + COUNTIF(U18:U37, "✔") + COUNTIF(U18:U37, "v") + COUNTIF(U18:U37, "V")) + COUNTIF(U18:U37, "✗") + COUNTIF(U18:U37, "x") + COUNTIF(U18:U37, "X")) &gt; 0, (COUNTIF(U18:U37, "✓") + COUNTIF(U18:U37, "✔") + COUNTIF(U18:U37, "v") + COUNTIF(U18:U37, "V")) / ((COUNTIF(U18:U37, "✓") + COUNTIF(U18:U37, "✔") + COUNTIF(U18:U37, "v") + COUNTIF(U18:U37, "V")) + COUNTIF(U18:U37, "✗") + COUNTIF(U18:U37, "x") + COUNTIF(U18:U37, "X")), "")</f>
        <v/>
      </c>
      <c r="V39" s="134">
        <f>IF(((COUNTIF(V18:V37, "✓") + COUNTIF(V18:V37, "✔") + COUNTIF(V18:V37, "v") + COUNTIF(V18:V37, "V")) + COUNTIF(V18:V37, "✗") + COUNTIF(V18:V37, "x") + COUNTIF(V18:V37, "X")) &gt; 0, (COUNTIF(V18:V37, "✓") + COUNTIF(V18:V37, "✔") + COUNTIF(V18:V37, "v") + COUNTIF(V18:V37, "V")) / ((COUNTIF(V18:V37, "✓") + COUNTIF(V18:V37, "✔") + COUNTIF(V18:V37, "v") + COUNTIF(V18:V37, "V")) + COUNTIF(V18:V37, "✗") + COUNTIF(V18:V37, "x") + COUNTIF(V18:V37, "X")), "")</f>
        <v/>
      </c>
      <c r="W39" s="134">
        <f>IF(((COUNTIF(W18:W37, "✓") + COUNTIF(W18:W37, "✔") + COUNTIF(W18:W37, "v") + COUNTIF(W18:W37, "V")) + COUNTIF(W18:W37, "✗") + COUNTIF(W18:W37, "x") + COUNTIF(W18:W37, "X")) &gt; 0, (COUNTIF(W18:W37, "✓") + COUNTIF(W18:W37, "✔") + COUNTIF(W18:W37, "v") + COUNTIF(W18:W37, "V")) / ((COUNTIF(W18:W37, "✓") + COUNTIF(W18:W37, "✔") + COUNTIF(W18:W37, "v") + COUNTIF(W18:W37, "V")) + COUNTIF(W18:W37, "✗") + COUNTIF(W18:W37, "x") + COUNTIF(W18:W37, "X")), "")</f>
        <v/>
      </c>
      <c r="X39" s="134">
        <f>IF(((COUNTIF(X18:X37, "✓") + COUNTIF(X18:X37, "✔") + COUNTIF(X18:X37, "v") + COUNTIF(X18:X37, "V")) + COUNTIF(X18:X37, "✗") + COUNTIF(X18:X37, "x") + COUNTIF(X18:X37, "X")) &gt; 0, (COUNTIF(X18:X37, "✓") + COUNTIF(X18:X37, "✔") + COUNTIF(X18:X37, "v") + COUNTIF(X18:X37, "V")) / ((COUNTIF(X18:X37, "✓") + COUNTIF(X18:X37, "✔") + COUNTIF(X18:X37, "v") + COUNTIF(X18:X37, "V")) + COUNTIF(X18:X37, "✗") + COUNTIF(X18:X37, "x") + COUNTIF(X18:X37, "X")), "")</f>
        <v/>
      </c>
      <c r="Y39" s="134">
        <f>IF(((COUNTIF(Y18:Y37, "✓") + COUNTIF(Y18:Y37, "✔") + COUNTIF(Y18:Y37, "v") + COUNTIF(Y18:Y37, "V")) + COUNTIF(Y18:Y37, "✗") + COUNTIF(Y18:Y37, "x") + COUNTIF(Y18:Y37, "X")) &gt; 0, (COUNTIF(Y18:Y37, "✓") + COUNTIF(Y18:Y37, "✔") + COUNTIF(Y18:Y37, "v") + COUNTIF(Y18:Y37, "V")) / ((COUNTIF(Y18:Y37, "✓") + COUNTIF(Y18:Y37, "✔") + COUNTIF(Y18:Y37, "v") + COUNTIF(Y18:Y37, "V")) + COUNTIF(Y18:Y37, "✗") + COUNTIF(Y18:Y37, "x") + COUNTIF(Y18:Y37, "X")), "")</f>
        <v/>
      </c>
      <c r="Z39" s="134">
        <f>IF(((COUNTIF(Z18:Z37, "✓") + COUNTIF(Z18:Z37, "✔") + COUNTIF(Z18:Z37, "v") + COUNTIF(Z18:Z37, "V")) + COUNTIF(Z18:Z37, "✗") + COUNTIF(Z18:Z37, "x") + COUNTIF(Z18:Z37, "X")) &gt; 0, (COUNTIF(Z18:Z37, "✓") + COUNTIF(Z18:Z37, "✔") + COUNTIF(Z18:Z37, "v") + COUNTIF(Z18:Z37, "V")) / ((COUNTIF(Z18:Z37, "✓") + COUNTIF(Z18:Z37, "✔") + COUNTIF(Z18:Z37, "v") + COUNTIF(Z18:Z37, "V")) + COUNTIF(Z18:Z37, "✗") + COUNTIF(Z18:Z37, "x") + COUNTIF(Z18:Z37, "X")), "")</f>
        <v/>
      </c>
      <c r="AA39" s="134">
        <f>IF(((COUNTIF(AA18:AA37, "✓") + COUNTIF(AA18:AA37, "✔") + COUNTIF(AA18:AA37, "v") + COUNTIF(AA18:AA37, "V")) + COUNTIF(AA18:AA37, "✗") + COUNTIF(AA18:AA37, "x") + COUNTIF(AA18:AA37, "X")) &gt; 0, (COUNTIF(AA18:AA37, "✓") + COUNTIF(AA18:AA37, "✔") + COUNTIF(AA18:AA37, "v") + COUNTIF(AA18:AA37, "V")) / ((COUNTIF(AA18:AA37, "✓") + COUNTIF(AA18:AA37, "✔") + COUNTIF(AA18:AA37, "v") + COUNTIF(AA18:AA37, "V")) + COUNTIF(AA18:AA37, "✗") + COUNTIF(AA18:AA37, "x") + COUNTIF(AA18:AA37, "X")), "")</f>
        <v/>
      </c>
      <c r="AB39" s="134">
        <f>IF(((COUNTIF(AB18:AB37, "✓") + COUNTIF(AB18:AB37, "✔") + COUNTIF(AB18:AB37, "v") + COUNTIF(AB18:AB37, "V")) + COUNTIF(AB18:AB37, "✗") + COUNTIF(AB18:AB37, "x") + COUNTIF(AB18:AB37, "X")) &gt; 0, (COUNTIF(AB18:AB37, "✓") + COUNTIF(AB18:AB37, "✔") + COUNTIF(AB18:AB37, "v") + COUNTIF(AB18:AB37, "V")) / ((COUNTIF(AB18:AB37, "✓") + COUNTIF(AB18:AB37, "✔") + COUNTIF(AB18:AB37, "v") + COUNTIF(AB18:AB37, "V")) + COUNTIF(AB18:AB37, "✗") + COUNTIF(AB18:AB37, "x") + COUNTIF(AB18:AB37, "X")), "")</f>
        <v/>
      </c>
      <c r="AC39" s="134">
        <f>IF(((COUNTIF(AC18:AC37, "✓") + COUNTIF(AC18:AC37, "✔") + COUNTIF(AC18:AC37, "v") + COUNTIF(AC18:AC37, "V")) + COUNTIF(AC18:AC37, "✗") + COUNTIF(AC18:AC37, "x") + COUNTIF(AC18:AC37, "X")) &gt; 0, (COUNTIF(AC18:AC37, "✓") + COUNTIF(AC18:AC37, "✔") + COUNTIF(AC18:AC37, "v") + COUNTIF(AC18:AC37, "V")) / ((COUNTIF(AC18:AC37, "✓") + COUNTIF(AC18:AC37, "✔") + COUNTIF(AC18:AC37, "v") + COUNTIF(AC18:AC37, "V")) + COUNTIF(AC18:AC37, "✗") + COUNTIF(AC18:AC37, "x") + COUNTIF(AC18:AC37, "X")), "")</f>
        <v/>
      </c>
      <c r="AD39" s="134">
        <f>IF(((COUNTIF(AD18:AD37, "✓") + COUNTIF(AD18:AD37, "✔") + COUNTIF(AD18:AD37, "v") + COUNTIF(AD18:AD37, "V")) + COUNTIF(AD18:AD37, "✗") + COUNTIF(AD18:AD37, "x") + COUNTIF(AD18:AD37, "X")) &gt; 0, (COUNTIF(AD18:AD37, "✓") + COUNTIF(AD18:AD37, "✔") + COUNTIF(AD18:AD37, "v") + COUNTIF(AD18:AD37, "V")) / ((COUNTIF(AD18:AD37, "✓") + COUNTIF(AD18:AD37, "✔") + COUNTIF(AD18:AD37, "v") + COUNTIF(AD18:AD37, "V")) + COUNTIF(AD18:AD37, "✗") + COUNTIF(AD18:AD37, "x") + COUNTIF(AD18:AD37, "X")), "")</f>
        <v/>
      </c>
      <c r="AE39" s="134">
        <f>IF(((COUNTIF(AE18:AE37, "✓") + COUNTIF(AE18:AE37, "✔") + COUNTIF(AE18:AE37, "v") + COUNTIF(AE18:AE37, "V")) + COUNTIF(AE18:AE37, "✗") + COUNTIF(AE18:AE37, "x") + COUNTIF(AE18:AE37, "X")) &gt; 0, (COUNTIF(AE18:AE37, "✓") + COUNTIF(AE18:AE37, "✔") + COUNTIF(AE18:AE37, "v") + COUNTIF(AE18:AE37, "V")) / ((COUNTIF(AE18:AE37, "✓") + COUNTIF(AE18:AE37, "✔") + COUNTIF(AE18:AE37, "v") + COUNTIF(AE18:AE37, "V")) + COUNTIF(AE18:AE37, "✗") + COUNTIF(AE18:AE37, "x") + COUNTIF(AE18:AE37, "X")), "")</f>
        <v/>
      </c>
      <c r="AF39" s="134">
        <f>IF(((COUNTIF(AF18:AF37, "✓") + COUNTIF(AF18:AF37, "✔") + COUNTIF(AF18:AF37, "v") + COUNTIF(AF18:AF37, "V")) + COUNTIF(AF18:AF37, "✗") + COUNTIF(AF18:AF37, "x") + COUNTIF(AF18:AF37, "X")) &gt; 0, (COUNTIF(AF18:AF37, "✓") + COUNTIF(AF18:AF37, "✔") + COUNTIF(AF18:AF37, "v") + COUNTIF(AF18:AF37, "V")) / ((COUNTIF(AF18:AF37, "✓") + COUNTIF(AF18:AF37, "✔") + COUNTIF(AF18:AF37, "v") + COUNTIF(AF18:AF37, "V")) + COUNTIF(AF18:AF37, "✗") + COUNTIF(AF18:AF37, "x") + COUNTIF(AF18:AF37, "X")), "")</f>
        <v/>
      </c>
      <c r="AG39" s="134">
        <f>IF(((COUNTIF(AG18:AG37, "✓") + COUNTIF(AG18:AG37, "✔") + COUNTIF(AG18:AG37, "v") + COUNTIF(AG18:AG37, "V")) + COUNTIF(AG18:AG37, "✗") + COUNTIF(AG18:AG37, "x") + COUNTIF(AG18:AG37, "X")) &gt; 0, (COUNTIF(AG18:AG37, "✓") + COUNTIF(AG18:AG37, "✔") + COUNTIF(AG18:AG37, "v") + COUNTIF(AG18:AG37, "V")) / ((COUNTIF(AG18:AG37, "✓") + COUNTIF(AG18:AG37, "✔") + COUNTIF(AG18:AG37, "v") + COUNTIF(AG18:AG37, "V")) + COUNTIF(AG18:AG37, "✗") + COUNTIF(AG18:AG37, "x") + COUNTIF(AG18:AG37, "X")), "")</f>
        <v/>
      </c>
      <c r="AH39" s="134">
        <f>IF(((COUNTIF(AH18:AH37, "✓") + COUNTIF(AH18:AH37, "✔") + COUNTIF(AH18:AH37, "v") + COUNTIF(AH18:AH37, "V")) + COUNTIF(AH18:AH37, "✗") + COUNTIF(AH18:AH37, "x") + COUNTIF(AH18:AH37, "X")) &gt; 0, (COUNTIF(AH18:AH37, "✓") + COUNTIF(AH18:AH37, "✔") + COUNTIF(AH18:AH37, "v") + COUNTIF(AH18:AH37, "V")) / ((COUNTIF(AH18:AH37, "✓") + COUNTIF(AH18:AH37, "✔") + COUNTIF(AH18:AH37, "v") + COUNTIF(AH18:AH37, "V")) + COUNTIF(AH18:AH37, "✗") + COUNTIF(AH18:AH37, "x") + COUNTIF(AH18:AH37, "X")), "")</f>
        <v/>
      </c>
      <c r="AI39" s="134">
        <f>IF(((COUNTIF(AI18:AI37, "✓") + COUNTIF(AI18:AI37, "✔") + COUNTIF(AI18:AI37, "v") + COUNTIF(AI18:AI37, "V")) + COUNTIF(AI18:AI37, "✗") + COUNTIF(AI18:AI37, "x") + COUNTIF(AI18:AI37, "X")) &gt; 0, (COUNTIF(AI18:AI37, "✓") + COUNTIF(AI18:AI37, "✔") + COUNTIF(AI18:AI37, "v") + COUNTIF(AI18:AI37, "V")) / ((COUNTIF(AI18:AI37, "✓") + COUNTIF(AI18:AI37, "✔") + COUNTIF(AI18:AI37, "v") + COUNTIF(AI18:AI37, "V")) + COUNTIF(AI18:AI37, "✗") + COUNTIF(AI18:AI37, "x") + COUNTIF(AI18:AI37, "X")), "")</f>
        <v/>
      </c>
      <c r="AJ39" s="133">
        <f>IF(COUNT(E39:AI39) &gt; 0, AVERAGE(E39:AI39), "")</f>
        <v/>
      </c>
      <c r="AK39" s="54" t="n"/>
      <c r="AL39" s="54" t="n"/>
    </row>
    <row r="40" ht="6" customHeight="1"/>
    <row r="41" ht="15" customHeight="1">
      <c r="A41" s="135" t="inlineStr">
        <is>
          <t>IF SUCCESS &lt; 80%, PUNISHMENT: ________________________________________________</t>
        </is>
      </c>
    </row>
    <row r="42" ht="15" customHeight="1">
      <c r="A42" s="136" t="inlineStr">
        <is>
          <t>IF SUCCESS &gt; 90%, REWARD: __________________________________________________</t>
        </is>
      </c>
    </row>
    <row r="43" ht="10" customHeight="1"/>
    <row r="44" ht="10" customHeight="1"/>
    <row r="45" ht="15" customHeight="1">
      <c r="A45" s="51" t="inlineStr">
        <is>
          <t>Sleep Tracking</t>
        </is>
      </c>
      <c r="B45" s="52" t="n"/>
      <c r="C45" s="52" t="n"/>
      <c r="D45" s="52" t="n"/>
      <c r="E45" s="137" t="n">
        <v>1</v>
      </c>
      <c r="F45" s="137" t="n">
        <v>2</v>
      </c>
      <c r="G45" s="137" t="n">
        <v>3</v>
      </c>
      <c r="H45" s="137" t="n">
        <v>4</v>
      </c>
      <c r="I45" s="137" t="n">
        <v>5</v>
      </c>
      <c r="J45" s="137" t="n">
        <v>6</v>
      </c>
      <c r="K45" s="138" t="n">
        <v>7</v>
      </c>
      <c r="L45" s="137" t="n">
        <v>8</v>
      </c>
      <c r="M45" s="137" t="n">
        <v>9</v>
      </c>
      <c r="N45" s="137" t="n">
        <v>10</v>
      </c>
      <c r="O45" s="137" t="n">
        <v>11</v>
      </c>
      <c r="P45" s="137" t="n">
        <v>12</v>
      </c>
      <c r="Q45" s="137" t="n">
        <v>13</v>
      </c>
      <c r="R45" s="138" t="n">
        <v>14</v>
      </c>
      <c r="S45" s="137" t="n">
        <v>15</v>
      </c>
      <c r="T45" s="137" t="n">
        <v>16</v>
      </c>
      <c r="U45" s="137" t="n">
        <v>17</v>
      </c>
      <c r="V45" s="137" t="n">
        <v>18</v>
      </c>
      <c r="W45" s="137" t="n">
        <v>19</v>
      </c>
      <c r="X45" s="137" t="n">
        <v>20</v>
      </c>
      <c r="Y45" s="138" t="n">
        <v>21</v>
      </c>
      <c r="Z45" s="137" t="n">
        <v>22</v>
      </c>
      <c r="AA45" s="137" t="n">
        <v>23</v>
      </c>
      <c r="AB45" s="137" t="n">
        <v>24</v>
      </c>
      <c r="AC45" s="137" t="n">
        <v>25</v>
      </c>
      <c r="AD45" s="137" t="n">
        <v>26</v>
      </c>
      <c r="AE45" s="137" t="n">
        <v>27</v>
      </c>
      <c r="AF45" s="138" t="n">
        <v>28</v>
      </c>
      <c r="AG45" s="137" t="n">
        <v>29</v>
      </c>
      <c r="AH45" s="137" t="n">
        <v>30</v>
      </c>
      <c r="AI45" s="137" t="n">
        <v>31</v>
      </c>
    </row>
    <row r="46" ht="15" customHeight="1">
      <c r="A46" s="52" t="n"/>
      <c r="B46" s="52" t="n"/>
      <c r="C46" s="52" t="n"/>
      <c r="D46" s="52" t="n"/>
      <c r="E46" s="139" t="inlineStr">
        <is>
          <t>M</t>
        </is>
      </c>
      <c r="F46" s="139" t="inlineStr">
        <is>
          <t>T</t>
        </is>
      </c>
      <c r="G46" s="139" t="inlineStr">
        <is>
          <t>W</t>
        </is>
      </c>
      <c r="H46" s="139" t="inlineStr">
        <is>
          <t>Th</t>
        </is>
      </c>
      <c r="I46" s="139" t="inlineStr">
        <is>
          <t>F</t>
        </is>
      </c>
      <c r="J46" s="139" t="inlineStr">
        <is>
          <t>Sa</t>
        </is>
      </c>
      <c r="K46" s="140" t="inlineStr">
        <is>
          <t>Su</t>
        </is>
      </c>
      <c r="L46" s="139" t="inlineStr">
        <is>
          <t>M</t>
        </is>
      </c>
      <c r="M46" s="139" t="inlineStr">
        <is>
          <t>T</t>
        </is>
      </c>
      <c r="N46" s="139" t="inlineStr">
        <is>
          <t>W</t>
        </is>
      </c>
      <c r="O46" s="139" t="inlineStr">
        <is>
          <t>Th</t>
        </is>
      </c>
      <c r="P46" s="139" t="inlineStr">
        <is>
          <t>F</t>
        </is>
      </c>
      <c r="Q46" s="139" t="inlineStr">
        <is>
          <t>Sa</t>
        </is>
      </c>
      <c r="R46" s="140" t="inlineStr">
        <is>
          <t>Su</t>
        </is>
      </c>
      <c r="S46" s="139" t="inlineStr">
        <is>
          <t>M</t>
        </is>
      </c>
      <c r="T46" s="139" t="inlineStr">
        <is>
          <t>T</t>
        </is>
      </c>
      <c r="U46" s="139" t="inlineStr">
        <is>
          <t>W</t>
        </is>
      </c>
      <c r="V46" s="139" t="inlineStr">
        <is>
          <t>Th</t>
        </is>
      </c>
      <c r="W46" s="139" t="inlineStr">
        <is>
          <t>F</t>
        </is>
      </c>
      <c r="X46" s="139" t="inlineStr">
        <is>
          <t>Sa</t>
        </is>
      </c>
      <c r="Y46" s="140" t="inlineStr">
        <is>
          <t>Su</t>
        </is>
      </c>
      <c r="Z46" s="139" t="inlineStr">
        <is>
          <t>M</t>
        </is>
      </c>
      <c r="AA46" s="139" t="inlineStr">
        <is>
          <t>T</t>
        </is>
      </c>
      <c r="AB46" s="139" t="inlineStr">
        <is>
          <t>W</t>
        </is>
      </c>
      <c r="AC46" s="139" t="inlineStr">
        <is>
          <t>Th</t>
        </is>
      </c>
      <c r="AD46" s="139" t="inlineStr">
        <is>
          <t>F</t>
        </is>
      </c>
      <c r="AE46" s="139" t="inlineStr">
        <is>
          <t>Sa</t>
        </is>
      </c>
      <c r="AF46" s="140" t="inlineStr">
        <is>
          <t>Su</t>
        </is>
      </c>
      <c r="AG46" s="139" t="inlineStr">
        <is>
          <t>M</t>
        </is>
      </c>
      <c r="AH46" s="139" t="inlineStr">
        <is>
          <t>T</t>
        </is>
      </c>
      <c r="AI46" s="139" t="inlineStr">
        <is>
          <t>W</t>
        </is>
      </c>
    </row>
    <row r="47" ht="20" customHeight="1">
      <c r="A47" s="141" t="inlineStr">
        <is>
          <t>Sleep Hours (1-24)</t>
        </is>
      </c>
      <c r="B47" s="142" t="n"/>
      <c r="C47" s="142" t="n"/>
      <c r="D47" s="142" t="n"/>
      <c r="E47" s="143" t="n"/>
      <c r="F47" s="143" t="n"/>
      <c r="G47" s="143" t="n"/>
      <c r="H47" s="143" t="n"/>
      <c r="I47" s="143" t="n"/>
      <c r="J47" s="143" t="n"/>
      <c r="K47" s="144" t="n"/>
      <c r="L47" s="143" t="n"/>
      <c r="M47" s="143" t="n"/>
      <c r="N47" s="143" t="n"/>
      <c r="O47" s="143" t="n"/>
      <c r="P47" s="143" t="n"/>
      <c r="Q47" s="143" t="n"/>
      <c r="R47" s="144" t="n"/>
      <c r="S47" s="143" t="n"/>
      <c r="T47" s="143" t="n"/>
      <c r="U47" s="143" t="n"/>
      <c r="V47" s="143" t="n"/>
      <c r="W47" s="143" t="n"/>
      <c r="X47" s="143" t="n"/>
      <c r="Y47" s="144" t="n"/>
      <c r="Z47" s="143" t="n"/>
      <c r="AA47" s="143" t="n"/>
      <c r="AB47" s="143" t="n"/>
      <c r="AC47" s="143" t="n"/>
      <c r="AD47" s="143" t="n"/>
      <c r="AE47" s="143" t="n"/>
      <c r="AF47" s="144" t="n"/>
      <c r="AG47" s="143" t="n"/>
      <c r="AH47" s="143" t="n"/>
      <c r="AI47" s="143" t="n"/>
    </row>
    <row r="48" ht="6" customHeight="1"/>
    <row r="49" ht="14" customHeight="1"/>
    <row r="50" ht="14" customHeight="1"/>
    <row r="51" ht="14" customHeight="1"/>
    <row r="52" ht="14" customHeight="1"/>
    <row r="53" ht="14" customHeight="1"/>
    <row r="54" ht="14" customHeight="1"/>
    <row r="55" ht="14" customHeight="1"/>
    <row r="56" ht="14" customHeight="1"/>
    <row r="57" ht="14" customHeight="1"/>
    <row r="58" ht="14" customHeight="1"/>
    <row r="59" ht="14" customHeight="1"/>
    <row r="60" ht="14" customHeight="1"/>
    <row r="61" ht="14" customHeight="1"/>
    <row r="62" ht="14" customHeight="1"/>
    <row r="63" ht="14" customHeight="1"/>
    <row r="64" ht="14" customHeight="1"/>
    <row r="65" ht="14" customHeight="1"/>
    <row r="66" ht="8" customHeight="1"/>
    <row r="67">
      <c r="A67" s="145" t="inlineStr">
        <is>
          <t>MONTHLY SUCCESS RATE</t>
        </is>
      </c>
      <c r="B67" s="9" t="n"/>
      <c r="C67" s="9" t="n"/>
      <c r="D67" s="9" t="n"/>
      <c r="F67" s="146" t="inlineStr">
        <is>
          <t>ACTIVE PROTOCOLS</t>
        </is>
      </c>
      <c r="G67" s="11" t="n"/>
      <c r="H67" s="11" t="n"/>
      <c r="I67" s="11" t="n"/>
      <c r="K67" s="147" t="inlineStr">
        <is>
          <t>PERFECT DAYS (100%)</t>
        </is>
      </c>
      <c r="L67" s="13" t="n"/>
      <c r="M67" s="13" t="n"/>
      <c r="N67" s="13" t="n"/>
      <c r="P67" s="148" t="inlineStr">
        <is>
          <t>AVG SLEEP DURATION</t>
        </is>
      </c>
      <c r="Q67" s="15" t="n"/>
      <c r="R67" s="15" t="n"/>
      <c r="S67" s="15" t="n"/>
    </row>
    <row r="68">
      <c r="A68" s="149">
        <f>IF(SUM(D18:D37)&gt;0, SUM(AM18:AM37)/SUM(D18:D37), 0)</f>
        <v/>
      </c>
      <c r="B68" s="9" t="n"/>
      <c r="C68" s="9" t="n"/>
      <c r="D68" s="9" t="n"/>
      <c r="F68" s="150">
        <f>COUNTA(B18:B37) &amp; " / 20"</f>
        <v/>
      </c>
      <c r="G68" s="11" t="n"/>
      <c r="H68" s="11" t="n"/>
      <c r="I68" s="11" t="n"/>
      <c r="K68" s="151">
        <f>COUNTIF(E39:AI39, 1) &amp; " Days"</f>
        <v/>
      </c>
      <c r="L68" s="13" t="n"/>
      <c r="M68" s="13" t="n"/>
      <c r="N68" s="13" t="n"/>
      <c r="P68" s="152">
        <f>IFERROR(TEXT(AVERAGE(E47:AI47), "0.0") &amp; " hrs", "-")</f>
        <v/>
      </c>
      <c r="Q68" s="15" t="n"/>
      <c r="R68" s="15" t="n"/>
      <c r="S68" s="15" t="n"/>
    </row>
    <row r="69">
      <c r="A69" s="9" t="n"/>
      <c r="B69" s="9" t="n"/>
      <c r="C69" s="9" t="n"/>
      <c r="D69" s="9" t="n"/>
      <c r="F69" s="11" t="n"/>
      <c r="G69" s="11" t="n"/>
      <c r="H69" s="11" t="n"/>
      <c r="I69" s="11" t="n"/>
      <c r="K69" s="13" t="n"/>
      <c r="L69" s="13" t="n"/>
      <c r="M69" s="13" t="n"/>
      <c r="N69" s="13" t="n"/>
      <c r="P69" s="15" t="n"/>
      <c r="Q69" s="15" t="n"/>
      <c r="R69" s="15" t="n"/>
      <c r="S69" s="15" t="n"/>
    </row>
    <row r="70">
      <c r="A70" s="9" t="n"/>
      <c r="B70" s="9" t="n"/>
      <c r="C70" s="9" t="n"/>
      <c r="D70" s="9" t="n"/>
      <c r="F70" s="11" t="n"/>
      <c r="G70" s="11" t="n"/>
      <c r="H70" s="11" t="n"/>
      <c r="I70" s="11" t="n"/>
      <c r="K70" s="13" t="n"/>
      <c r="L70" s="13" t="n"/>
      <c r="M70" s="13" t="n"/>
      <c r="N70" s="13" t="n"/>
      <c r="P70" s="15" t="n"/>
      <c r="Q70" s="15" t="n"/>
      <c r="R70" s="15" t="n"/>
      <c r="S70" s="15" t="n"/>
    </row>
    <row r="71">
      <c r="A71" s="153" t="inlineStr">
        <is>
          <t>Target Completion</t>
        </is>
      </c>
      <c r="B71" s="9" t="n"/>
      <c r="C71" s="9" t="n"/>
      <c r="D71" s="9" t="n"/>
      <c r="F71" s="154" t="inlineStr">
        <is>
          <t>Habits Tracked</t>
        </is>
      </c>
      <c r="G71" s="11" t="n"/>
      <c r="H71" s="11" t="n"/>
      <c r="I71" s="11" t="n"/>
      <c r="K71" s="155" t="inlineStr">
        <is>
          <t>All Marked Habits Completed</t>
        </is>
      </c>
      <c r="L71" s="13" t="n"/>
      <c r="M71" s="13" t="n"/>
      <c r="N71" s="13" t="n"/>
      <c r="P71" s="156" t="inlineStr">
        <is>
          <t>Nightly Rest Average</t>
        </is>
      </c>
      <c r="Q71" s="15" t="n"/>
      <c r="R71" s="15" t="n"/>
      <c r="S71" s="15" t="n"/>
    </row>
    <row r="72" ht="8" customHeight="1"/>
    <row r="73" ht="6" customHeight="1"/>
    <row r="74">
      <c r="A74" s="67" t="inlineStr">
        <is>
          <t>WEEKLY PERFORMANCE (SLUMP DETECTOR)</t>
        </is>
      </c>
      <c r="B74" s="29" t="n"/>
      <c r="C74" s="29" t="n"/>
      <c r="D74" s="29" t="n"/>
      <c r="E74" s="29" t="n"/>
      <c r="N74" s="157" t="inlineStr">
        <is>
          <t>LIFE DOMAIN / CATEGORY BREAKDOWN</t>
        </is>
      </c>
      <c r="O74" s="158" t="n"/>
      <c r="P74" s="158" t="n"/>
      <c r="Q74" s="158" t="n"/>
      <c r="R74" s="158" t="n"/>
      <c r="S74" s="158" t="n"/>
    </row>
    <row r="75" ht="15" customHeight="1">
      <c r="A75" s="53" t="inlineStr">
        <is>
          <t>Week</t>
        </is>
      </c>
      <c r="B75" s="53" t="inlineStr">
        <is>
          <t>Days Range</t>
        </is>
      </c>
      <c r="C75" s="53" t="inlineStr">
        <is>
          <t>Checks Done</t>
        </is>
      </c>
      <c r="D75" s="53" t="inlineStr">
        <is>
          <t>Evaluated</t>
        </is>
      </c>
      <c r="E75" s="53" t="inlineStr">
        <is>
          <t>Success %</t>
        </is>
      </c>
      <c r="N75" s="53" t="inlineStr">
        <is>
          <t>Domain / Category</t>
        </is>
      </c>
      <c r="O75" s="54" t="n"/>
      <c r="P75" s="53" t="inlineStr">
        <is>
          <t>Active Habits</t>
        </is>
      </c>
      <c r="Q75" s="53" t="inlineStr">
        <is>
          <t>Target Days</t>
        </is>
      </c>
      <c r="R75" s="53" t="inlineStr">
        <is>
          <t>Done Checks</t>
        </is>
      </c>
      <c r="S75" s="53" t="inlineStr">
        <is>
          <t>Success %</t>
        </is>
      </c>
    </row>
    <row r="76" ht="14" customHeight="1">
      <c r="A76" s="33" t="inlineStr">
        <is>
          <t>Week 1</t>
        </is>
      </c>
      <c r="B76" s="34" t="inlineStr">
        <is>
          <t>Days 1 - 7</t>
        </is>
      </c>
      <c r="C76" s="34">
        <f>COUNTIF(E18:K37, "✓")</f>
        <v/>
      </c>
      <c r="D76" s="34">
        <f>COUNTIF(E18:K37, "✓") + COUNTIF(E18:K37, "✗")</f>
        <v/>
      </c>
      <c r="E76" s="35">
        <f>IFERROR(C76/D76, 0)</f>
        <v/>
      </c>
      <c r="N76" s="60" t="inlineStr">
        <is>
          <t>Health &amp; Fitness</t>
        </is>
      </c>
      <c r="O76" s="54" t="n"/>
      <c r="P76" s="34">
        <f>COUNTIF($C$18:$C$37, "Health &amp; Fitness")</f>
        <v/>
      </c>
      <c r="Q76" s="34">
        <f>SUMIF($C$18:$C$37, "Health &amp; Fitness", $D$18:$D$37)</f>
        <v/>
      </c>
      <c r="R76" s="34">
        <f>SUMIF($C$18:$C$37, "Health &amp; Fitness", $AM$18:$AM$37)</f>
        <v/>
      </c>
      <c r="S76" s="35">
        <f>IFERROR(R76/Q76, 0)</f>
        <v/>
      </c>
    </row>
    <row r="77" ht="14" customHeight="1">
      <c r="A77" s="33" t="inlineStr">
        <is>
          <t>Week 2</t>
        </is>
      </c>
      <c r="B77" s="34" t="inlineStr">
        <is>
          <t>Days 8 - 14</t>
        </is>
      </c>
      <c r="C77" s="34">
        <f>COUNTIF(L18:R37, "✓")</f>
        <v/>
      </c>
      <c r="D77" s="34">
        <f>COUNTIF(L18:R37, "✓") + COUNTIF(L18:R37, "✗")</f>
        <v/>
      </c>
      <c r="E77" s="35">
        <f>IFERROR(C77/D77, 0)</f>
        <v/>
      </c>
      <c r="N77" s="60" t="inlineStr">
        <is>
          <t>Mindset &amp; Learning</t>
        </is>
      </c>
      <c r="O77" s="54" t="n"/>
      <c r="P77" s="34">
        <f>COUNTIF($C$18:$C$37, "Mindset &amp; Learning")</f>
        <v/>
      </c>
      <c r="Q77" s="34">
        <f>SUMIF($C$18:$C$37, "Mindset &amp; Learning", $D$18:$D$37)</f>
        <v/>
      </c>
      <c r="R77" s="34">
        <f>SUMIF($C$18:$C$37, "Mindset &amp; Learning", $AM$18:$AM$37)</f>
        <v/>
      </c>
      <c r="S77" s="35">
        <f>IFERROR(R77/Q77, 0)</f>
        <v/>
      </c>
    </row>
    <row r="78" ht="14" customHeight="1">
      <c r="A78" s="33" t="inlineStr">
        <is>
          <t>Week 3</t>
        </is>
      </c>
      <c r="B78" s="34" t="inlineStr">
        <is>
          <t>Days 15 - 21</t>
        </is>
      </c>
      <c r="C78" s="34">
        <f>COUNTIF(S18:Y37, "✓")</f>
        <v/>
      </c>
      <c r="D78" s="34">
        <f>COUNTIF(S18:Y37, "✓") + COUNTIF(S18:Y37, "✗")</f>
        <v/>
      </c>
      <c r="E78" s="35">
        <f>IFERROR(C78/D78, 0)</f>
        <v/>
      </c>
      <c r="N78" s="60" t="inlineStr">
        <is>
          <t>Career &amp; Focus</t>
        </is>
      </c>
      <c r="O78" s="54" t="n"/>
      <c r="P78" s="34">
        <f>COUNTIF($C$18:$C$37, "Career &amp; Focus")</f>
        <v/>
      </c>
      <c r="Q78" s="34">
        <f>SUMIF($C$18:$C$37, "Career &amp; Focus", $D$18:$D$37)</f>
        <v/>
      </c>
      <c r="R78" s="34">
        <f>SUMIF($C$18:$C$37, "Career &amp; Focus", $AM$18:$AM$37)</f>
        <v/>
      </c>
      <c r="S78" s="35">
        <f>IFERROR(R78/Q78, 0)</f>
        <v/>
      </c>
    </row>
    <row r="79" ht="14" customHeight="1">
      <c r="A79" s="33" t="inlineStr">
        <is>
          <t>Week 4</t>
        </is>
      </c>
      <c r="B79" s="34" t="inlineStr">
        <is>
          <t>Days 22 - 28</t>
        </is>
      </c>
      <c r="C79" s="34">
        <f>COUNTIF(Z18:AF37, "✓")</f>
        <v/>
      </c>
      <c r="D79" s="34">
        <f>COUNTIF(Z18:AF37, "✓") + COUNTIF(Z18:AF37, "✗")</f>
        <v/>
      </c>
      <c r="E79" s="35">
        <f>IFERROR(C79/D79, 0)</f>
        <v/>
      </c>
      <c r="N79" s="60" t="inlineStr">
        <is>
          <t>Personal &amp; Home</t>
        </is>
      </c>
      <c r="O79" s="54" t="n"/>
      <c r="P79" s="34">
        <f>COUNTIF($C$18:$C$37, "Personal &amp; Home")</f>
        <v/>
      </c>
      <c r="Q79" s="34">
        <f>SUMIF($C$18:$C$37, "Personal &amp; Home", $D$18:$D$37)</f>
        <v/>
      </c>
      <c r="R79" s="34">
        <f>SUMIF($C$18:$C$37, "Personal &amp; Home", $AM$18:$AM$37)</f>
        <v/>
      </c>
      <c r="S79" s="35">
        <f>IFERROR(R79/Q79, 0)</f>
        <v/>
      </c>
    </row>
    <row r="80" ht="14" customHeight="1">
      <c r="A80" s="33" t="inlineStr">
        <is>
          <t>Week 5</t>
        </is>
      </c>
      <c r="B80" s="34" t="inlineStr">
        <is>
          <t>Days 29 - 31</t>
        </is>
      </c>
      <c r="C80" s="34">
        <f>COUNTIF(AG18:AI37, "✓")</f>
        <v/>
      </c>
      <c r="D80" s="34">
        <f>COUNTIF(AG18:AI37, "✓") + COUNTIF(AG18:AI37, "✗")</f>
        <v/>
      </c>
      <c r="E80" s="35">
        <f>IFERROR(C80/D80, 0)</f>
        <v/>
      </c>
      <c r="N80" s="60" t="inlineStr">
        <is>
          <t>Finance &amp; Wealth</t>
        </is>
      </c>
      <c r="O80" s="54" t="n"/>
      <c r="P80" s="34">
        <f>COUNTIF($C$18:$C$37, "Finance &amp; Wealth")</f>
        <v/>
      </c>
      <c r="Q80" s="34">
        <f>SUMIF($C$18:$C$37, "Finance &amp; Wealth", $D$18:$D$37)</f>
        <v/>
      </c>
      <c r="R80" s="34">
        <f>SUMIF($C$18:$C$37, "Finance &amp; Wealth", $AM$18:$AM$37)</f>
        <v/>
      </c>
      <c r="S80" s="35">
        <f>IFERROR(R80/Q80, 0)</f>
        <v/>
      </c>
    </row>
    <row r="81" ht="14" customHeight="1">
      <c r="A81" s="33" t="inlineStr">
        <is>
          <t>Total / Avg</t>
        </is>
      </c>
      <c r="B81" s="159" t="inlineStr">
        <is>
          <t>Month Total</t>
        </is>
      </c>
      <c r="C81" s="33">
        <f>SUM(C76:C80)</f>
        <v/>
      </c>
      <c r="D81" s="33">
        <f>SUM(D76:D80)</f>
        <v/>
      </c>
      <c r="E81" s="133">
        <f>IFERROR(C81/D81, 0)</f>
        <v/>
      </c>
    </row>
    <row r="82" ht="10" customHeight="1"/>
    <row r="83" ht="10" customHeight="1"/>
    <row r="84">
      <c r="A84" s="51" t="inlineStr">
        <is>
          <t>SLEEP &amp; PRODUCTIVITY CORRELATION ANALYSIS</t>
        </is>
      </c>
      <c r="B84" s="52" t="n"/>
      <c r="C84" s="52" t="n"/>
      <c r="D84" s="52" t="n"/>
      <c r="E84" s="52" t="n"/>
      <c r="F84" s="52" t="n"/>
      <c r="G84" s="52" t="n"/>
      <c r="H84" s="52" t="n"/>
      <c r="I84" s="52" t="n"/>
      <c r="J84" s="52" t="n"/>
      <c r="K84" s="52" t="n"/>
      <c r="L84" s="52" t="n"/>
      <c r="M84" s="52" t="n"/>
      <c r="N84" s="52" t="n"/>
      <c r="O84" s="52" t="n"/>
      <c r="P84" s="52" t="n"/>
      <c r="Q84" s="52" t="n"/>
      <c r="R84" s="52" t="n"/>
      <c r="S84" s="52" t="n"/>
      <c r="T84" s="52" t="n"/>
      <c r="U84" s="52" t="n"/>
      <c r="V84" s="52" t="n"/>
      <c r="W84" s="52" t="n"/>
      <c r="X84" s="52" t="n"/>
      <c r="Y84" s="52" t="n"/>
      <c r="Z84" s="52" t="n"/>
      <c r="AA84" s="52" t="n"/>
      <c r="AB84" s="52" t="n"/>
      <c r="AC84" s="52" t="n"/>
      <c r="AD84" s="52" t="n"/>
      <c r="AE84" s="52" t="n"/>
      <c r="AF84" s="52" t="n"/>
      <c r="AG84" s="52" t="n"/>
      <c r="AH84" s="52" t="n"/>
      <c r="AI84" s="52" t="n"/>
      <c r="AJ84" s="52" t="n"/>
      <c r="AK84" s="52" t="n"/>
      <c r="AL84" s="52" t="n"/>
    </row>
    <row r="85" ht="15" customHeight="1">
      <c r="A85" s="53" t="inlineStr">
        <is>
          <t>Rest Category</t>
        </is>
      </c>
      <c r="B85" s="54" t="n"/>
      <c r="C85" s="54" t="n"/>
      <c r="D85" s="53" t="inlineStr">
        <is>
          <t>Day Criteria</t>
        </is>
      </c>
      <c r="E85" s="54" t="n"/>
      <c r="F85" s="54" t="n"/>
      <c r="G85" s="53" t="inlineStr">
        <is>
          <t>Days Logged</t>
        </is>
      </c>
      <c r="H85" s="54" t="n"/>
      <c r="I85" s="54" t="n"/>
      <c r="J85" s="53" t="inlineStr">
        <is>
          <t>Avg Sleep Duration</t>
        </is>
      </c>
      <c r="K85" s="54" t="n"/>
      <c r="L85" s="54" t="n"/>
      <c r="M85" s="54" t="n"/>
      <c r="N85" s="53" t="inlineStr">
        <is>
          <t>Avg Habit Success %</t>
        </is>
      </c>
      <c r="O85" s="54" t="n"/>
      <c r="P85" s="54" t="n"/>
      <c r="Q85" s="54" t="n"/>
      <c r="R85" s="53" t="inlineStr">
        <is>
          <t>Productivity Delta</t>
        </is>
      </c>
      <c r="S85" s="54" t="n"/>
      <c r="T85" s="54" t="n"/>
      <c r="U85" s="54" t="n"/>
    </row>
    <row r="86" ht="15" customHeight="1">
      <c r="A86" s="160" t="inlineStr">
        <is>
          <t>Optimal Rest</t>
        </is>
      </c>
      <c r="B86" s="161" t="n"/>
      <c r="C86" s="56" t="n"/>
      <c r="D86" s="34" t="inlineStr">
        <is>
          <t>&gt;= 7 Hours / Night</t>
        </is>
      </c>
      <c r="E86" s="161" t="n"/>
      <c r="F86" s="56" t="n"/>
      <c r="G86" s="33">
        <f>COUNTIF(E47:AI47, "&gt;=7")</f>
        <v/>
      </c>
      <c r="H86" s="161" t="n"/>
      <c r="I86" s="56" t="n"/>
      <c r="J86" s="34">
        <f>IFERROR(TEXT(AVERAGEIF(E47:AI47, "&gt;=7"), "0.0") &amp; " hrs", "-")</f>
        <v/>
      </c>
      <c r="K86" s="161" t="n"/>
      <c r="L86" s="161" t="n"/>
      <c r="M86" s="56" t="n"/>
      <c r="N86" s="42">
        <f>IFERROR(AVERAGEIFS(E39:AI39, E47:AI47, "&gt;=7", E39:AI39, "&gt;0"), 0)</f>
        <v/>
      </c>
      <c r="O86" s="161" t="n"/>
      <c r="P86" s="161" t="n"/>
      <c r="Q86" s="56" t="n"/>
      <c r="R86" s="159" t="inlineStr">
        <is>
          <t>Baseline (Target)</t>
        </is>
      </c>
      <c r="S86" s="161" t="n"/>
      <c r="T86" s="161" t="n"/>
      <c r="U86" s="56" t="n"/>
    </row>
    <row r="87" ht="15" customHeight="1">
      <c r="A87" s="162" t="inlineStr">
        <is>
          <t>Sleep Deficit</t>
        </is>
      </c>
      <c r="B87" s="161" t="n"/>
      <c r="C87" s="56" t="n"/>
      <c r="D87" s="34" t="inlineStr">
        <is>
          <t>&lt; 7 Hours / Night</t>
        </is>
      </c>
      <c r="E87" s="161" t="n"/>
      <c r="F87" s="56" t="n"/>
      <c r="G87" s="33">
        <f>COUNTIF(E47:AI47, "&lt;7") - COUNTIF(E47:AI47, "")</f>
        <v/>
      </c>
      <c r="H87" s="161" t="n"/>
      <c r="I87" s="56" t="n"/>
      <c r="J87" s="34">
        <f>IFERROR(TEXT(AVERAGEIFS(E47:AI47, E47:AI47, "&lt;7", E47:AI47, "&gt;0"), "0.0") &amp; " hrs", "-")</f>
        <v/>
      </c>
      <c r="K87" s="161" t="n"/>
      <c r="L87" s="161" t="n"/>
      <c r="M87" s="56" t="n"/>
      <c r="N87" s="163">
        <f>IFERROR(AVERAGEIFS(E39:AI39, E47:AI47, "&lt;7", E39:AI39, "&gt;0"), 0)</f>
        <v/>
      </c>
      <c r="O87" s="161" t="n"/>
      <c r="P87" s="161" t="n"/>
      <c r="Q87" s="56" t="n"/>
      <c r="R87" s="160">
        <f>IFERROR(TEXT(N86 - N87, "+0.0%;-0.0%;0.0%") &amp; " Rest Advantage", "-")</f>
        <v/>
      </c>
      <c r="S87" s="161" t="n"/>
      <c r="T87" s="161" t="n"/>
      <c r="U87" s="56" t="n"/>
    </row>
    <row r="88" ht="18" customHeight="1">
      <c r="A88" s="164">
        <f>IF(AND(ISNUMBER(N86), ISNUMBER(N87), N86&gt;0, N87&gt;0), "💡 Sleep Correlation Insight: You complete " &amp; TEXT(ABS(N86-N87), "0.0%") &amp; IF(N86&gt;=N87, " MORE habits on days with 7+ hours of sleep!", " fewer habits on days with 7+ hours of sleep."), "💡 Log both habits and sleep hours daily to unlock automatic AI correlation insights!")</f>
        <v/>
      </c>
      <c r="B88" s="161" t="n"/>
      <c r="C88" s="161" t="n"/>
      <c r="D88" s="161" t="n"/>
      <c r="E88" s="161" t="n"/>
      <c r="F88" s="161" t="n"/>
      <c r="G88" s="161" t="n"/>
      <c r="H88" s="161" t="n"/>
      <c r="I88" s="161" t="n"/>
      <c r="J88" s="161" t="n"/>
      <c r="K88" s="161" t="n"/>
      <c r="L88" s="161" t="n"/>
      <c r="M88" s="161" t="n"/>
      <c r="N88" s="161" t="n"/>
      <c r="O88" s="161" t="n"/>
      <c r="P88" s="161" t="n"/>
      <c r="Q88" s="161" t="n"/>
      <c r="R88" s="161" t="n"/>
      <c r="S88" s="161" t="n"/>
      <c r="T88" s="161" t="n"/>
      <c r="U88" s="161" t="n"/>
      <c r="V88" s="161" t="n"/>
      <c r="W88" s="161" t="n"/>
      <c r="X88" s="161" t="n"/>
      <c r="Y88" s="161" t="n"/>
      <c r="Z88" s="161" t="n"/>
      <c r="AA88" s="161" t="n"/>
      <c r="AB88" s="161" t="n"/>
      <c r="AC88" s="161" t="n"/>
      <c r="AD88" s="161" t="n"/>
      <c r="AE88" s="161" t="n"/>
      <c r="AF88" s="161" t="n"/>
      <c r="AG88" s="161" t="n"/>
      <c r="AH88" s="161" t="n"/>
      <c r="AI88" s="161" t="n"/>
      <c r="AJ88" s="161" t="n"/>
      <c r="AK88" s="161" t="n"/>
      <c r="AL88" s="56" t="n"/>
    </row>
    <row r="89" ht="10" customHeight="1"/>
    <row r="90">
      <c r="A90" s="43" t="inlineStr">
        <is>
          <t>STANDARDIZED DATA BRIDGE (FOR ANNUAL &amp; QUARTERLY REVIEW SHEETS)</t>
        </is>
      </c>
      <c r="B90" s="44" t="n"/>
      <c r="C90" s="44" t="n"/>
      <c r="D90" s="44" t="n"/>
      <c r="E90" s="44" t="n"/>
      <c r="F90" s="44" t="n"/>
      <c r="G90" s="44" t="n"/>
      <c r="H90" s="44" t="n"/>
      <c r="I90" s="44" t="n"/>
      <c r="J90" s="44" t="n"/>
      <c r="K90" s="44" t="n"/>
      <c r="L90" s="44" t="n"/>
      <c r="M90" s="44" t="n"/>
      <c r="N90" s="44" t="n"/>
      <c r="O90" s="44" t="n"/>
      <c r="P90" s="44" t="n"/>
      <c r="Q90" s="44" t="n"/>
      <c r="R90" s="44" t="n"/>
      <c r="S90" s="44" t="n"/>
      <c r="T90" s="44" t="n"/>
      <c r="U90" s="44" t="n"/>
      <c r="V90" s="44" t="n"/>
      <c r="W90" s="44" t="n"/>
      <c r="X90" s="44" t="n"/>
      <c r="Y90" s="44" t="n"/>
      <c r="Z90" s="44" t="n"/>
      <c r="AA90" s="44" t="n"/>
      <c r="AB90" s="44" t="n"/>
      <c r="AC90" s="44" t="n"/>
      <c r="AD90" s="44" t="n"/>
      <c r="AE90" s="44" t="n"/>
      <c r="AF90" s="44" t="n"/>
      <c r="AG90" s="44" t="n"/>
      <c r="AH90" s="44" t="n"/>
      <c r="AI90" s="44" t="n"/>
      <c r="AJ90" s="44" t="n"/>
      <c r="AK90" s="44" t="n"/>
      <c r="AL90" s="44" t="n"/>
    </row>
    <row r="91" ht="15" customHeight="1">
      <c r="A91" s="53" t="inlineStr">
        <is>
          <t>Month</t>
        </is>
      </c>
      <c r="B91" s="54" t="n"/>
      <c r="C91" s="53" t="inlineStr">
        <is>
          <t>Year</t>
        </is>
      </c>
      <c r="D91" s="54" t="n"/>
      <c r="E91" s="53" t="inlineStr">
        <is>
          <t>Active Habits</t>
        </is>
      </c>
      <c r="F91" s="54" t="n"/>
      <c r="G91" s="53" t="inlineStr">
        <is>
          <t>Target Days</t>
        </is>
      </c>
      <c r="H91" s="54" t="n"/>
      <c r="I91" s="53" t="inlineStr">
        <is>
          <t>Done Checks</t>
        </is>
      </c>
      <c r="J91" s="54" t="n"/>
      <c r="K91" s="53" t="inlineStr">
        <is>
          <t>Success %</t>
        </is>
      </c>
      <c r="L91" s="54" t="n"/>
      <c r="M91" s="53" t="inlineStr">
        <is>
          <t>Perfect Days</t>
        </is>
      </c>
      <c r="N91" s="54" t="n"/>
      <c r="O91" s="53" t="inlineStr">
        <is>
          <t>Avg Sleep</t>
        </is>
      </c>
      <c r="P91" s="54" t="n"/>
      <c r="Q91" s="53" t="inlineStr">
        <is>
          <t>Best Week</t>
        </is>
      </c>
      <c r="R91" s="54" t="n"/>
      <c r="S91" s="54" t="n"/>
      <c r="T91" s="53" t="inlineStr">
        <is>
          <t>Top Life Domain</t>
        </is>
      </c>
      <c r="U91" s="54" t="n"/>
      <c r="V91" s="54" t="n"/>
      <c r="W91" s="54" t="n"/>
    </row>
    <row r="92" ht="16" customHeight="1">
      <c r="A92" s="165" t="inlineStr">
        <is>
          <t>Mar</t>
        </is>
      </c>
      <c r="B92" s="56" t="n"/>
      <c r="C92" s="165" t="n">
        <v>2027</v>
      </c>
      <c r="D92" s="56" t="n"/>
      <c r="E92" s="166">
        <f>COUNTA(B18:B37)</f>
        <v/>
      </c>
      <c r="F92" s="56" t="n"/>
      <c r="G92" s="166">
        <f>SUM(D18:D37)</f>
        <v/>
      </c>
      <c r="H92" s="56" t="n"/>
      <c r="I92" s="166">
        <f>SUM(AM18:AM37)</f>
        <v/>
      </c>
      <c r="J92" s="56" t="n"/>
      <c r="K92" s="167">
        <f>IF(G92&gt;0, I92/G92, 0)</f>
        <v/>
      </c>
      <c r="L92" s="56" t="n"/>
      <c r="M92" s="166">
        <f>COUNTIF(E39:AI39, 1)</f>
        <v/>
      </c>
      <c r="N92" s="56" t="n"/>
      <c r="O92" s="168">
        <f>IFERROR(AVERAGE(E47:AI47), 0)</f>
        <v/>
      </c>
      <c r="P92" s="56" t="n"/>
      <c r="Q92" s="166">
        <f>INDEX(A76:A80, MATCH(MAX(E76:E80), E76:E80, 0))</f>
        <v/>
      </c>
      <c r="R92" s="161" t="n"/>
      <c r="S92" s="56" t="n"/>
      <c r="T92" s="166">
        <f>INDEX(N76:N80, MATCH(MAX(S76:S80), S76:S80, 0))</f>
        <v/>
      </c>
      <c r="U92" s="161" t="n"/>
      <c r="V92" s="161" t="n"/>
      <c r="W92" s="56" t="n"/>
    </row>
    <row r="93" ht="14" customHeight="1">
      <c r="A93" s="169" t="inlineStr">
        <is>
          <t>📋 Note: Reference or copy Row 92 directly into an Annual / Quarterly review dashboard to track yearly habit trends.</t>
        </is>
      </c>
    </row>
    <row r="94" ht="8" customHeight="1"/>
    <row r="95">
      <c r="A95" s="170" t="inlineStr">
        <is>
          <t>🏆 MONTHLY WINS &amp; HIGHLIGHTS</t>
        </is>
      </c>
      <c r="J95" s="171" t="inlineStr">
        <is>
          <t>⚠️ FRICTION POINTS &amp; ROOT CAUSES</t>
        </is>
      </c>
      <c r="S95" s="172" t="inlineStr">
        <is>
          <t>🎯 3 KEY ADJUSTMENTS FOR NEXT MONTH</t>
        </is>
      </c>
    </row>
    <row r="96">
      <c r="A96" s="173" t="inlineStr">
        <is>
          <t>1. What went exceptionally well this month?
2. Which habit felt effortless and consistent?
3. Major milestone achieved:</t>
        </is>
      </c>
      <c r="B96" s="174" t="n"/>
      <c r="C96" s="174" t="n"/>
      <c r="D96" s="174" t="n"/>
      <c r="E96" s="174" t="n"/>
      <c r="F96" s="174" t="n"/>
      <c r="G96" s="174" t="n"/>
      <c r="H96" s="174" t="n"/>
      <c r="J96" s="175" t="inlineStr">
        <is>
          <t>1. What caused missed or skipped days?
2. Main triggers / energy drains encountered:
3. Which habit had the lowest consistency and why?</t>
        </is>
      </c>
      <c r="K96" s="176" t="n"/>
      <c r="L96" s="176" t="n"/>
      <c r="M96" s="176" t="n"/>
      <c r="N96" s="176" t="n"/>
      <c r="O96" s="176" t="n"/>
      <c r="P96" s="176" t="n"/>
      <c r="Q96" s="176" t="n"/>
      <c r="S96" s="177" t="inlineStr">
        <is>
          <t>1. Habit Stacking or time adjustment for next month:
2. Environment design change to eliminate friction:
3. One non-negotiable priority protocol:</t>
        </is>
      </c>
      <c r="T96" s="178" t="n"/>
      <c r="U96" s="178" t="n"/>
      <c r="V96" s="178" t="n"/>
      <c r="W96" s="178" t="n"/>
      <c r="X96" s="178" t="n"/>
      <c r="Y96" s="178" t="n"/>
      <c r="Z96" s="178" t="n"/>
    </row>
    <row r="97">
      <c r="A97" s="174" t="n"/>
      <c r="B97" s="174" t="n"/>
      <c r="C97" s="174" t="n"/>
      <c r="D97" s="174" t="n"/>
      <c r="E97" s="174" t="n"/>
      <c r="F97" s="174" t="n"/>
      <c r="G97" s="174" t="n"/>
      <c r="H97" s="174" t="n"/>
      <c r="J97" s="176" t="n"/>
      <c r="K97" s="176" t="n"/>
      <c r="L97" s="176" t="n"/>
      <c r="M97" s="176" t="n"/>
      <c r="N97" s="176" t="n"/>
      <c r="O97" s="176" t="n"/>
      <c r="P97" s="176" t="n"/>
      <c r="Q97" s="176" t="n"/>
      <c r="S97" s="178" t="n"/>
      <c r="T97" s="178" t="n"/>
      <c r="U97" s="178" t="n"/>
      <c r="V97" s="178" t="n"/>
      <c r="W97" s="178" t="n"/>
      <c r="X97" s="178" t="n"/>
      <c r="Y97" s="178" t="n"/>
      <c r="Z97" s="178" t="n"/>
    </row>
    <row r="98">
      <c r="A98" s="174" t="n"/>
      <c r="B98" s="174" t="n"/>
      <c r="C98" s="174" t="n"/>
      <c r="D98" s="174" t="n"/>
      <c r="E98" s="174" t="n"/>
      <c r="F98" s="174" t="n"/>
      <c r="G98" s="174" t="n"/>
      <c r="H98" s="174" t="n"/>
      <c r="J98" s="176" t="n"/>
      <c r="K98" s="176" t="n"/>
      <c r="L98" s="176" t="n"/>
      <c r="M98" s="176" t="n"/>
      <c r="N98" s="176" t="n"/>
      <c r="O98" s="176" t="n"/>
      <c r="P98" s="176" t="n"/>
      <c r="Q98" s="176" t="n"/>
      <c r="S98" s="178" t="n"/>
      <c r="T98" s="178" t="n"/>
      <c r="U98" s="178" t="n"/>
      <c r="V98" s="178" t="n"/>
      <c r="W98" s="178" t="n"/>
      <c r="X98" s="178" t="n"/>
      <c r="Y98" s="178" t="n"/>
      <c r="Z98" s="178" t="n"/>
    </row>
    <row r="99">
      <c r="A99" s="174" t="n"/>
      <c r="B99" s="174" t="n"/>
      <c r="C99" s="174" t="n"/>
      <c r="D99" s="174" t="n"/>
      <c r="E99" s="174" t="n"/>
      <c r="F99" s="174" t="n"/>
      <c r="G99" s="174" t="n"/>
      <c r="H99" s="174" t="n"/>
      <c r="J99" s="176" t="n"/>
      <c r="K99" s="176" t="n"/>
      <c r="L99" s="176" t="n"/>
      <c r="M99" s="176" t="n"/>
      <c r="N99" s="176" t="n"/>
      <c r="O99" s="176" t="n"/>
      <c r="P99" s="176" t="n"/>
      <c r="Q99" s="176" t="n"/>
      <c r="S99" s="178" t="n"/>
      <c r="T99" s="178" t="n"/>
      <c r="U99" s="178" t="n"/>
      <c r="V99" s="178" t="n"/>
      <c r="W99" s="178" t="n"/>
      <c r="X99" s="178" t="n"/>
      <c r="Y99" s="178" t="n"/>
      <c r="Z99" s="178" t="n"/>
    </row>
    <row r="100">
      <c r="A100" s="174" t="n"/>
      <c r="B100" s="174" t="n"/>
      <c r="C100" s="174" t="n"/>
      <c r="D100" s="174" t="n"/>
      <c r="E100" s="174" t="n"/>
      <c r="F100" s="174" t="n"/>
      <c r="G100" s="174" t="n"/>
      <c r="H100" s="174" t="n"/>
      <c r="J100" s="176" t="n"/>
      <c r="K100" s="176" t="n"/>
      <c r="L100" s="176" t="n"/>
      <c r="M100" s="176" t="n"/>
      <c r="N100" s="176" t="n"/>
      <c r="O100" s="176" t="n"/>
      <c r="P100" s="176" t="n"/>
      <c r="Q100" s="176" t="n"/>
      <c r="S100" s="178" t="n"/>
      <c r="T100" s="178" t="n"/>
      <c r="U100" s="178" t="n"/>
      <c r="V100" s="178" t="n"/>
      <c r="W100" s="178" t="n"/>
      <c r="X100" s="178" t="n"/>
      <c r="Y100" s="178" t="n"/>
      <c r="Z100" s="178" t="n"/>
    </row>
    <row r="101">
      <c r="A101" s="174" t="n"/>
      <c r="B101" s="174" t="n"/>
      <c r="C101" s="174" t="n"/>
      <c r="D101" s="174" t="n"/>
      <c r="E101" s="174" t="n"/>
      <c r="F101" s="174" t="n"/>
      <c r="G101" s="174" t="n"/>
      <c r="H101" s="174" t="n"/>
      <c r="J101" s="176" t="n"/>
      <c r="K101" s="176" t="n"/>
      <c r="L101" s="176" t="n"/>
      <c r="M101" s="176" t="n"/>
      <c r="N101" s="176" t="n"/>
      <c r="O101" s="176" t="n"/>
      <c r="P101" s="176" t="n"/>
      <c r="Q101" s="176" t="n"/>
      <c r="S101" s="178" t="n"/>
      <c r="T101" s="178" t="n"/>
      <c r="U101" s="178" t="n"/>
      <c r="V101" s="178" t="n"/>
      <c r="W101" s="178" t="n"/>
      <c r="X101" s="178" t="n"/>
      <c r="Y101" s="178" t="n"/>
      <c r="Z101" s="178" t="n"/>
    </row>
    <row r="102">
      <c r="A102" s="174" t="n"/>
      <c r="B102" s="174" t="n"/>
      <c r="C102" s="174" t="n"/>
      <c r="D102" s="174" t="n"/>
      <c r="E102" s="174" t="n"/>
      <c r="F102" s="174" t="n"/>
      <c r="G102" s="174" t="n"/>
      <c r="H102" s="174" t="n"/>
      <c r="J102" s="176" t="n"/>
      <c r="K102" s="176" t="n"/>
      <c r="L102" s="176" t="n"/>
      <c r="M102" s="176" t="n"/>
      <c r="N102" s="176" t="n"/>
      <c r="O102" s="176" t="n"/>
      <c r="P102" s="176" t="n"/>
      <c r="Q102" s="176" t="n"/>
      <c r="S102" s="178" t="n"/>
      <c r="T102" s="178" t="n"/>
      <c r="U102" s="178" t="n"/>
      <c r="V102" s="178" t="n"/>
      <c r="W102" s="178" t="n"/>
      <c r="X102" s="178" t="n"/>
      <c r="Y102" s="178" t="n"/>
      <c r="Z102" s="178" t="n"/>
    </row>
    <row r="103">
      <c r="A103" s="174" t="n"/>
      <c r="B103" s="174" t="n"/>
      <c r="C103" s="174" t="n"/>
      <c r="D103" s="174" t="n"/>
      <c r="E103" s="174" t="n"/>
      <c r="F103" s="174" t="n"/>
      <c r="G103" s="174" t="n"/>
      <c r="H103" s="174" t="n"/>
      <c r="J103" s="176" t="n"/>
      <c r="K103" s="176" t="n"/>
      <c r="L103" s="176" t="n"/>
      <c r="M103" s="176" t="n"/>
      <c r="N103" s="176" t="n"/>
      <c r="O103" s="176" t="n"/>
      <c r="P103" s="176" t="n"/>
      <c r="Q103" s="176" t="n"/>
      <c r="S103" s="178" t="n"/>
      <c r="T103" s="178" t="n"/>
      <c r="U103" s="178" t="n"/>
      <c r="V103" s="178" t="n"/>
      <c r="W103" s="178" t="n"/>
      <c r="X103" s="178" t="n"/>
      <c r="Y103" s="178" t="n"/>
      <c r="Z103" s="178" t="n"/>
    </row>
  </sheetData>
  <sheetProtection selectLockedCells="1" selectUnlockedCells="1" sheet="1" objects="0" insertRows="1" insertHyperlinks="1" autoFilter="1" scenarios="0" formatColumns="1" deleteColumns="1" insertColumns="1" pivotTables="1" deleteRows="1" formatCells="1" formatRows="1" sort="1"/>
  <mergeCells count="94">
    <mergeCell ref="A9:N9"/>
    <mergeCell ref="N76:O76"/>
    <mergeCell ref="F67:I67"/>
    <mergeCell ref="G87:I87"/>
    <mergeCell ref="A16:A17"/>
    <mergeCell ref="A45:D46"/>
    <mergeCell ref="C16:C17"/>
    <mergeCell ref="N75:O75"/>
    <mergeCell ref="N77:O77"/>
    <mergeCell ref="AE2:AL2"/>
    <mergeCell ref="P9:AL9"/>
    <mergeCell ref="P68:S70"/>
    <mergeCell ref="D16:D17"/>
    <mergeCell ref="N85:Q85"/>
    <mergeCell ref="A95:H95"/>
    <mergeCell ref="A84:AL84"/>
    <mergeCell ref="Q91:S91"/>
    <mergeCell ref="E91:F91"/>
    <mergeCell ref="A8:N8"/>
    <mergeCell ref="A42:AL42"/>
    <mergeCell ref="G91:H91"/>
    <mergeCell ref="J86:M86"/>
    <mergeCell ref="H3:AD3"/>
    <mergeCell ref="K67:N67"/>
    <mergeCell ref="S95:Z95"/>
    <mergeCell ref="N79:O79"/>
    <mergeCell ref="K92:L92"/>
    <mergeCell ref="C92:D92"/>
    <mergeCell ref="M92:N92"/>
    <mergeCell ref="F71:I71"/>
    <mergeCell ref="A88:AL88"/>
    <mergeCell ref="K68:N70"/>
    <mergeCell ref="T91:W91"/>
    <mergeCell ref="A41:AL41"/>
    <mergeCell ref="A90:AL90"/>
    <mergeCell ref="J95:Q95"/>
    <mergeCell ref="D85:F85"/>
    <mergeCell ref="N74:S74"/>
    <mergeCell ref="H2:AD2"/>
    <mergeCell ref="F68:I70"/>
    <mergeCell ref="A91:B91"/>
    <mergeCell ref="N78:O78"/>
    <mergeCell ref="C91:D91"/>
    <mergeCell ref="M91:N91"/>
    <mergeCell ref="O91:P91"/>
    <mergeCell ref="R86:U86"/>
    <mergeCell ref="N80:O80"/>
    <mergeCell ref="B16:B17"/>
    <mergeCell ref="A71:D71"/>
    <mergeCell ref="J85:M85"/>
    <mergeCell ref="D86:F86"/>
    <mergeCell ref="A92:B92"/>
    <mergeCell ref="N87:Q87"/>
    <mergeCell ref="A1:B1"/>
    <mergeCell ref="E92:F92"/>
    <mergeCell ref="AL16:AL17"/>
    <mergeCell ref="A68:D70"/>
    <mergeCell ref="P71:S71"/>
    <mergeCell ref="A86:C86"/>
    <mergeCell ref="D87:F87"/>
    <mergeCell ref="O92:P92"/>
    <mergeCell ref="A6:N6"/>
    <mergeCell ref="A39:D39"/>
    <mergeCell ref="P8:AL8"/>
    <mergeCell ref="P7:AL7"/>
    <mergeCell ref="G86:I86"/>
    <mergeCell ref="A96:H103"/>
    <mergeCell ref="P67:S67"/>
    <mergeCell ref="T92:W92"/>
    <mergeCell ref="R85:U85"/>
    <mergeCell ref="K71:N71"/>
    <mergeCell ref="S96:Z103"/>
    <mergeCell ref="A93:AL93"/>
    <mergeCell ref="A38:D38"/>
    <mergeCell ref="A67:D67"/>
    <mergeCell ref="I91:J91"/>
    <mergeCell ref="A85:C85"/>
    <mergeCell ref="K91:L91"/>
    <mergeCell ref="N86:Q86"/>
    <mergeCell ref="A7:N7"/>
    <mergeCell ref="P6:AL6"/>
    <mergeCell ref="A74:E74"/>
    <mergeCell ref="G85:I85"/>
    <mergeCell ref="G92:H92"/>
    <mergeCell ref="I92:J92"/>
    <mergeCell ref="R87:U87"/>
    <mergeCell ref="AK16:AK17"/>
    <mergeCell ref="J87:M87"/>
    <mergeCell ref="AJ16:AJ17"/>
    <mergeCell ref="J96:Q103"/>
    <mergeCell ref="A12:AL14"/>
    <mergeCell ref="Q92:S92"/>
    <mergeCell ref="A87:C87"/>
    <mergeCell ref="A47:D47"/>
  </mergeCells>
  <conditionalFormatting sqref="AJ18:AJ37">
    <cfRule type="dataBar" priority="1">
      <dataBar>
        <cfvo type="num" val="0"/>
        <cfvo type="num" val="1"/>
        <color rgb="0010B981"/>
      </dataBar>
    </cfRule>
  </conditionalFormatting>
  <conditionalFormatting sqref="E18:AI37">
    <cfRule type="cellIs" priority="2" operator="equal" dxfId="0">
      <formula>"✓"</formula>
    </cfRule>
    <cfRule type="cellIs" priority="3" operator="equal" dxfId="0">
      <formula>"✔"</formula>
    </cfRule>
    <cfRule type="cellIs" priority="4" operator="equal" dxfId="1">
      <formula>"✗"</formula>
    </cfRule>
    <cfRule type="cellIs" priority="5" operator="equal" dxfId="1">
      <formula>"x"</formula>
    </cfRule>
    <cfRule type="cellIs" priority="6" operator="equal" dxfId="1">
      <formula>"X"</formula>
    </cfRule>
  </conditionalFormatting>
  <conditionalFormatting sqref="E16:E17">
    <cfRule type="expression" priority="7" dxfId="2">
      <formula>AND(DAY(TODAY())=1, MONTH(TODAY())=3, YEAR(TODAY())=2027)</formula>
    </cfRule>
  </conditionalFormatting>
  <conditionalFormatting sqref="F16:F17">
    <cfRule type="expression" priority="8" dxfId="2">
      <formula>AND(DAY(TODAY())=2, MONTH(TODAY())=3, YEAR(TODAY())=2027)</formula>
    </cfRule>
  </conditionalFormatting>
  <conditionalFormatting sqref="G16:G17">
    <cfRule type="expression" priority="9" dxfId="2">
      <formula>AND(DAY(TODAY())=3, MONTH(TODAY())=3, YEAR(TODAY())=2027)</formula>
    </cfRule>
  </conditionalFormatting>
  <conditionalFormatting sqref="H16:H17">
    <cfRule type="expression" priority="10" dxfId="2">
      <formula>AND(DAY(TODAY())=4, MONTH(TODAY())=3, YEAR(TODAY())=2027)</formula>
    </cfRule>
  </conditionalFormatting>
  <conditionalFormatting sqref="I16:I17">
    <cfRule type="expression" priority="11" dxfId="2">
      <formula>AND(DAY(TODAY())=5, MONTH(TODAY())=3, YEAR(TODAY())=2027)</formula>
    </cfRule>
  </conditionalFormatting>
  <conditionalFormatting sqref="J16:J17">
    <cfRule type="expression" priority="12" dxfId="2">
      <formula>AND(DAY(TODAY())=6, MONTH(TODAY())=3, YEAR(TODAY())=2027)</formula>
    </cfRule>
  </conditionalFormatting>
  <conditionalFormatting sqref="K16:K17">
    <cfRule type="expression" priority="13" dxfId="2">
      <formula>AND(DAY(TODAY())=7, MONTH(TODAY())=3, YEAR(TODAY())=2027)</formula>
    </cfRule>
  </conditionalFormatting>
  <conditionalFormatting sqref="L16:L17">
    <cfRule type="expression" priority="14" dxfId="2">
      <formula>AND(DAY(TODAY())=8, MONTH(TODAY())=3, YEAR(TODAY())=2027)</formula>
    </cfRule>
  </conditionalFormatting>
  <conditionalFormatting sqref="M16:M17">
    <cfRule type="expression" priority="15" dxfId="2">
      <formula>AND(DAY(TODAY())=9, MONTH(TODAY())=3, YEAR(TODAY())=2027)</formula>
    </cfRule>
  </conditionalFormatting>
  <conditionalFormatting sqref="N16:N17">
    <cfRule type="expression" priority="16" dxfId="2">
      <formula>AND(DAY(TODAY())=10, MONTH(TODAY())=3, YEAR(TODAY())=2027)</formula>
    </cfRule>
  </conditionalFormatting>
  <conditionalFormatting sqref="O16:O17">
    <cfRule type="expression" priority="17" dxfId="2">
      <formula>AND(DAY(TODAY())=11, MONTH(TODAY())=3, YEAR(TODAY())=2027)</formula>
    </cfRule>
  </conditionalFormatting>
  <conditionalFormatting sqref="P16:P17">
    <cfRule type="expression" priority="18" dxfId="2">
      <formula>AND(DAY(TODAY())=12, MONTH(TODAY())=3, YEAR(TODAY())=2027)</formula>
    </cfRule>
  </conditionalFormatting>
  <conditionalFormatting sqref="Q16:Q17">
    <cfRule type="expression" priority="19" dxfId="2">
      <formula>AND(DAY(TODAY())=13, MONTH(TODAY())=3, YEAR(TODAY())=2027)</formula>
    </cfRule>
  </conditionalFormatting>
  <conditionalFormatting sqref="R16:R17">
    <cfRule type="expression" priority="20" dxfId="2">
      <formula>AND(DAY(TODAY())=14, MONTH(TODAY())=3, YEAR(TODAY())=2027)</formula>
    </cfRule>
  </conditionalFormatting>
  <conditionalFormatting sqref="S16:S17">
    <cfRule type="expression" priority="21" dxfId="2">
      <formula>AND(DAY(TODAY())=15, MONTH(TODAY())=3, YEAR(TODAY())=2027)</formula>
    </cfRule>
  </conditionalFormatting>
  <conditionalFormatting sqref="T16:T17">
    <cfRule type="expression" priority="22" dxfId="2">
      <formula>AND(DAY(TODAY())=16, MONTH(TODAY())=3, YEAR(TODAY())=2027)</formula>
    </cfRule>
  </conditionalFormatting>
  <conditionalFormatting sqref="U16:U17">
    <cfRule type="expression" priority="23" dxfId="2">
      <formula>AND(DAY(TODAY())=17, MONTH(TODAY())=3, YEAR(TODAY())=2027)</formula>
    </cfRule>
  </conditionalFormatting>
  <conditionalFormatting sqref="V16:V17">
    <cfRule type="expression" priority="24" dxfId="2">
      <formula>AND(DAY(TODAY())=18, MONTH(TODAY())=3, YEAR(TODAY())=2027)</formula>
    </cfRule>
  </conditionalFormatting>
  <conditionalFormatting sqref="W16:W17">
    <cfRule type="expression" priority="25" dxfId="2">
      <formula>AND(DAY(TODAY())=19, MONTH(TODAY())=3, YEAR(TODAY())=2027)</formula>
    </cfRule>
  </conditionalFormatting>
  <conditionalFormatting sqref="X16:X17">
    <cfRule type="expression" priority="26" dxfId="2">
      <formula>AND(DAY(TODAY())=20, MONTH(TODAY())=3, YEAR(TODAY())=2027)</formula>
    </cfRule>
  </conditionalFormatting>
  <conditionalFormatting sqref="Y16:Y17">
    <cfRule type="expression" priority="27" dxfId="2">
      <formula>AND(DAY(TODAY())=21, MONTH(TODAY())=3, YEAR(TODAY())=2027)</formula>
    </cfRule>
  </conditionalFormatting>
  <conditionalFormatting sqref="Z16:Z17">
    <cfRule type="expression" priority="28" dxfId="2">
      <formula>AND(DAY(TODAY())=22, MONTH(TODAY())=3, YEAR(TODAY())=2027)</formula>
    </cfRule>
  </conditionalFormatting>
  <conditionalFormatting sqref="AA16:AA17">
    <cfRule type="expression" priority="29" dxfId="2">
      <formula>AND(DAY(TODAY())=23, MONTH(TODAY())=3, YEAR(TODAY())=2027)</formula>
    </cfRule>
  </conditionalFormatting>
  <conditionalFormatting sqref="AB16:AB17">
    <cfRule type="expression" priority="30" dxfId="2">
      <formula>AND(DAY(TODAY())=24, MONTH(TODAY())=3, YEAR(TODAY())=2027)</formula>
    </cfRule>
  </conditionalFormatting>
  <conditionalFormatting sqref="AC16:AC17">
    <cfRule type="expression" priority="31" dxfId="2">
      <formula>AND(DAY(TODAY())=25, MONTH(TODAY())=3, YEAR(TODAY())=2027)</formula>
    </cfRule>
  </conditionalFormatting>
  <conditionalFormatting sqref="AD16:AD17">
    <cfRule type="expression" priority="32" dxfId="2">
      <formula>AND(DAY(TODAY())=26, MONTH(TODAY())=3, YEAR(TODAY())=2027)</formula>
    </cfRule>
  </conditionalFormatting>
  <conditionalFormatting sqref="AE16:AE17">
    <cfRule type="expression" priority="33" dxfId="2">
      <formula>AND(DAY(TODAY())=27, MONTH(TODAY())=3, YEAR(TODAY())=2027)</formula>
    </cfRule>
  </conditionalFormatting>
  <conditionalFormatting sqref="AF16:AF17">
    <cfRule type="expression" priority="34" dxfId="2">
      <formula>AND(DAY(TODAY())=28, MONTH(TODAY())=3, YEAR(TODAY())=2027)</formula>
    </cfRule>
  </conditionalFormatting>
  <conditionalFormatting sqref="AG16:AG17">
    <cfRule type="expression" priority="35" dxfId="2">
      <formula>AND(DAY(TODAY())=29, MONTH(TODAY())=3, YEAR(TODAY())=2027)</formula>
    </cfRule>
  </conditionalFormatting>
  <conditionalFormatting sqref="AH16:AH17">
    <cfRule type="expression" priority="36" dxfId="2">
      <formula>AND(DAY(TODAY())=30, MONTH(TODAY())=3, YEAR(TODAY())=2027)</formula>
    </cfRule>
  </conditionalFormatting>
  <conditionalFormatting sqref="AI16:AI17">
    <cfRule type="expression" priority="37" dxfId="2">
      <formula>AND(DAY(TODAY())=31, MONTH(TODAY())=3, YEAR(TODAY())=2027)</formula>
    </cfRule>
  </conditionalFormatting>
  <dataValidations count="4">
    <dataValidation sqref="C18:C37" showDropDown="0" showInputMessage="0" showErrorMessage="0" allowBlank="1" type="list">
      <formula1>"Health &amp; Fitness,Mindset &amp; Learning,Career &amp; Focus,Personal &amp; Home,Finance &amp; Wealth,Other"</formula1>
    </dataValidation>
    <dataValidation sqref="D18:D37" showDropDown="0" showInputMessage="0" showErrorMessage="0" allowBlank="1" type="list">
      <formula1>"1,2,3,4,5,6,7,8,9,10,11,12,13,14,15,16,17,18,19,20,21,22,23,24,25,26,27,28,29,30,31"</formula1>
    </dataValidation>
    <dataValidation sqref="E18:AI37" showDropDown="0" showInputMessage="0" showErrorMessage="0" allowBlank="1" type="list">
      <formula1>"✓,✗"</formula1>
    </dataValidation>
    <dataValidation sqref="E47:AI47" showDropDown="0" showInputMessage="0" showErrorMessage="0" allowBlank="1" type="list">
      <formula1>"1,2,3,4,5,6,7,8,9,10,11,12,13,14,15,16,17,18,19,20,21,22,23,24"</formula1>
    </dataValidation>
  </dataValidations>
  <hyperlinks>
    <hyperlink xmlns:r="http://schemas.openxmlformats.org/officeDocument/2006/relationships" ref="A1" r:id="rId1"/>
    <hyperlink xmlns:r="http://schemas.openxmlformats.org/officeDocument/2006/relationships" ref="C1" r:id="rId2"/>
    <hyperlink xmlns:r="http://schemas.openxmlformats.org/officeDocument/2006/relationships" ref="D1" r:id="rId3"/>
    <hyperlink xmlns:r="http://schemas.openxmlformats.org/officeDocument/2006/relationships" ref="E1" r:id="rId4"/>
    <hyperlink xmlns:r="http://schemas.openxmlformats.org/officeDocument/2006/relationships" ref="F1" r:id="rId5"/>
    <hyperlink xmlns:r="http://schemas.openxmlformats.org/officeDocument/2006/relationships" ref="G1" r:id="rId6"/>
    <hyperlink xmlns:r="http://schemas.openxmlformats.org/officeDocument/2006/relationships" ref="H1" r:id="rId7"/>
    <hyperlink xmlns:r="http://schemas.openxmlformats.org/officeDocument/2006/relationships" ref="I1" r:id="rId8"/>
    <hyperlink xmlns:r="http://schemas.openxmlformats.org/officeDocument/2006/relationships" ref="J1" r:id="rId9"/>
    <hyperlink xmlns:r="http://schemas.openxmlformats.org/officeDocument/2006/relationships" ref="K1" r:id="rId10"/>
  </hyperlinks>
  <printOptions horizontalCentered="1" verticalCentered="0"/>
  <pageMargins left="0.75" right="0.75" top="1" bottom="1" header="0.5" footer="0.5"/>
  <pageSetup orientation="landscape" paperSize="9" fitToHeight="0" fitToWidth="1"/>
  <drawing xmlns:r="http://schemas.openxmlformats.org/officeDocument/2006/relationships" r:id="rId11"/>
</worksheet>
</file>

<file path=xl/worksheets/sheet11.xml><?xml version="1.0" encoding="utf-8"?>
<worksheet xmlns="http://schemas.openxmlformats.org/spreadsheetml/2006/main">
  <sheetPr>
    <outlinePr summaryBelow="1" summaryRight="1"/>
    <pageSetUpPr fitToPage="1"/>
  </sheetPr>
  <dimension ref="A1:AL103"/>
  <sheetViews>
    <sheetView showGridLines="1" workbookViewId="0">
      <selection activeCell="A1" sqref="A1"/>
    </sheetView>
  </sheetViews>
  <sheetFormatPr baseColWidth="8" defaultRowHeight="15"/>
  <cols>
    <col width="6" customWidth="1" min="1" max="1"/>
    <col width="25" customWidth="1" min="2" max="2"/>
    <col width="16.5" customWidth="1" min="3" max="3"/>
    <col width="8" customWidth="1" min="4" max="4"/>
    <col width="4.8" customWidth="1" min="5" max="5"/>
    <col width="4.8" customWidth="1" min="6" max="6"/>
    <col width="4.8" customWidth="1" min="7" max="7"/>
    <col width="4.8" customWidth="1" min="8" max="8"/>
    <col width="4.8" customWidth="1" min="9" max="9"/>
    <col width="4.8" customWidth="1" min="10" max="10"/>
    <col width="4.8" customWidth="1" min="11" max="11"/>
    <col width="4.8" customWidth="1" min="12" max="12"/>
    <col width="4.8" customWidth="1" min="13" max="13"/>
    <col width="4.8" customWidth="1" min="14" max="14"/>
    <col width="4.8" customWidth="1" min="15" max="15"/>
    <col width="4.8" customWidth="1" min="16" max="16"/>
    <col width="4.8" customWidth="1" min="17" max="17"/>
    <col width="4.8" customWidth="1" min="18" max="18"/>
    <col width="4.8" customWidth="1" min="19" max="19"/>
    <col width="4.8" customWidth="1" min="20" max="20"/>
    <col width="4.8" customWidth="1" min="21" max="21"/>
    <col width="4.8" customWidth="1" min="22" max="22"/>
    <col width="4.8" customWidth="1" min="23" max="23"/>
    <col width="4.8" customWidth="1" min="24" max="24"/>
    <col width="4.8" customWidth="1" min="25" max="25"/>
    <col width="4.8" customWidth="1" min="26" max="26"/>
    <col width="4.8" customWidth="1" min="27" max="27"/>
    <col width="4.8" customWidth="1" min="28" max="28"/>
    <col width="4.8" customWidth="1" min="29" max="29"/>
    <col width="4.8" customWidth="1" min="30" max="30"/>
    <col width="4.8" customWidth="1" min="31" max="31"/>
    <col width="4.8" customWidth="1" min="32" max="32"/>
    <col width="4.8" customWidth="1" min="33" max="33"/>
    <col width="4.8" customWidth="1" min="34" max="34"/>
    <col width="11.5" customWidth="1" min="35" max="35"/>
    <col width="12" customWidth="1" min="36" max="36"/>
    <col width="13.5" customWidth="1" min="37" max="37"/>
    <col hidden="1" width="8" customWidth="1" min="38" max="38"/>
  </cols>
  <sheetData>
    <row r="1" ht="18" customHeight="1">
      <c r="A1" s="76" t="inlineStr">
        <is>
          <t>🏠 Master Dashboard</t>
        </is>
      </c>
      <c r="B1" s="40" t="n"/>
      <c r="C1" s="77" t="inlineStr">
        <is>
          <t>🏛️ Quarterly Hub</t>
        </is>
      </c>
      <c r="D1" s="78" t="inlineStr">
        <is>
          <t>📚 Habit Library</t>
        </is>
      </c>
      <c r="E1" s="80" t="inlineStr">
        <is>
          <t>2026</t>
        </is>
      </c>
      <c r="F1" s="79" t="inlineStr">
        <is>
          <t>2027</t>
        </is>
      </c>
      <c r="G1" s="80" t="inlineStr">
        <is>
          <t>2028</t>
        </is>
      </c>
      <c r="H1" s="80" t="inlineStr">
        <is>
          <t>2029</t>
        </is>
      </c>
      <c r="I1" s="80" t="inlineStr">
        <is>
          <t>2030</t>
        </is>
      </c>
      <c r="J1" s="82" t="inlineStr">
        <is>
          <t>◀ Prev</t>
        </is>
      </c>
      <c r="K1" s="82" t="inlineStr">
        <is>
          <t>Next ▶</t>
        </is>
      </c>
    </row>
    <row r="2" ht="24" customHeight="1">
      <c r="A2" s="83" t="inlineStr">
        <is>
          <t>Habit Tracker</t>
        </is>
      </c>
      <c r="H2" s="84" t="inlineStr">
        <is>
          <t>"Success is the sum of small efforts repeated daily."</t>
        </is>
      </c>
      <c r="AD2" s="85" t="inlineStr">
        <is>
          <t>@surajvansh</t>
        </is>
      </c>
    </row>
    <row r="3" ht="18" customHeight="1">
      <c r="A3" s="86" t="inlineStr">
        <is>
          <t>April 2027</t>
        </is>
      </c>
      <c r="H3" s="87" t="inlineStr">
        <is>
          <t>30 Days Dashboard</t>
        </is>
      </c>
    </row>
    <row r="4" ht="5" customHeight="1"/>
    <row r="5" ht="16" customHeight="1">
      <c r="A5" s="88" t="inlineStr">
        <is>
          <t>MONTHLY TARGETS</t>
        </is>
      </c>
    </row>
    <row r="6" ht="13" customHeight="1">
      <c r="A6" s="89" t="inlineStr">
        <is>
          <t>1. ____________________ : ____________________</t>
        </is>
      </c>
      <c r="P6" s="89" t="inlineStr">
        <is>
          <t>5. ____________________ : ____________________</t>
        </is>
      </c>
    </row>
    <row r="7" ht="13" customHeight="1">
      <c r="A7" s="89" t="inlineStr">
        <is>
          <t>2. ____________________ : ____________________</t>
        </is>
      </c>
      <c r="P7" s="89" t="inlineStr">
        <is>
          <t>6. ____________________ : ____________________</t>
        </is>
      </c>
    </row>
    <row r="8" ht="13" customHeight="1">
      <c r="A8" s="89" t="inlineStr">
        <is>
          <t>3. ____________________ : ____________________</t>
        </is>
      </c>
      <c r="P8" s="89" t="inlineStr">
        <is>
          <t>7. ____________________ : ____________________</t>
        </is>
      </c>
    </row>
    <row r="9" ht="13" customHeight="1">
      <c r="A9" s="89" t="inlineStr">
        <is>
          <t>4. ____________________ : ____________________</t>
        </is>
      </c>
      <c r="P9" s="89" t="inlineStr">
        <is>
          <t>8. ____________________ : ____________________</t>
        </is>
      </c>
    </row>
    <row r="10" ht="5" customHeight="1"/>
    <row r="11" ht="15" customHeight="1">
      <c r="A11" s="88" t="inlineStr">
        <is>
          <t>NOTES:</t>
        </is>
      </c>
    </row>
    <row r="12" ht="13" customHeight="1">
      <c r="A12" s="90" t="n"/>
      <c r="B12" s="91" t="n"/>
      <c r="C12" s="91" t="n"/>
      <c r="D12" s="91" t="n"/>
      <c r="E12" s="91" t="n"/>
      <c r="F12" s="91" t="n"/>
      <c r="G12" s="91" t="n"/>
      <c r="H12" s="91" t="n"/>
      <c r="I12" s="91" t="n"/>
      <c r="J12" s="91" t="n"/>
      <c r="K12" s="91" t="n"/>
      <c r="L12" s="91" t="n"/>
      <c r="M12" s="91" t="n"/>
      <c r="N12" s="91" t="n"/>
      <c r="O12" s="91" t="n"/>
      <c r="P12" s="91" t="n"/>
      <c r="Q12" s="91" t="n"/>
      <c r="R12" s="91" t="n"/>
      <c r="S12" s="91" t="n"/>
      <c r="T12" s="91" t="n"/>
      <c r="U12" s="91" t="n"/>
      <c r="V12" s="91" t="n"/>
      <c r="W12" s="91" t="n"/>
      <c r="X12" s="91" t="n"/>
      <c r="Y12" s="91" t="n"/>
      <c r="Z12" s="91" t="n"/>
      <c r="AA12" s="91" t="n"/>
      <c r="AB12" s="91" t="n"/>
      <c r="AC12" s="91" t="n"/>
      <c r="AD12" s="91" t="n"/>
      <c r="AE12" s="91" t="n"/>
      <c r="AF12" s="91" t="n"/>
      <c r="AG12" s="91" t="n"/>
      <c r="AH12" s="91" t="n"/>
      <c r="AI12" s="91" t="n"/>
      <c r="AJ12" s="91" t="n"/>
      <c r="AK12" s="91" t="n"/>
    </row>
    <row r="13" ht="13" customHeight="1">
      <c r="A13" s="91" t="n"/>
      <c r="B13" s="91" t="n"/>
      <c r="C13" s="91" t="n"/>
      <c r="D13" s="91" t="n"/>
      <c r="E13" s="91" t="n"/>
      <c r="F13" s="91" t="n"/>
      <c r="G13" s="91" t="n"/>
      <c r="H13" s="91" t="n"/>
      <c r="I13" s="91" t="n"/>
      <c r="J13" s="91" t="n"/>
      <c r="K13" s="91" t="n"/>
      <c r="L13" s="91" t="n"/>
      <c r="M13" s="91" t="n"/>
      <c r="N13" s="91" t="n"/>
      <c r="O13" s="91" t="n"/>
      <c r="P13" s="91" t="n"/>
      <c r="Q13" s="91" t="n"/>
      <c r="R13" s="91" t="n"/>
      <c r="S13" s="91" t="n"/>
      <c r="T13" s="91" t="n"/>
      <c r="U13" s="91" t="n"/>
      <c r="V13" s="91" t="n"/>
      <c r="W13" s="91" t="n"/>
      <c r="X13" s="91" t="n"/>
      <c r="Y13" s="91" t="n"/>
      <c r="Z13" s="91" t="n"/>
      <c r="AA13" s="91" t="n"/>
      <c r="AB13" s="91" t="n"/>
      <c r="AC13" s="91" t="n"/>
      <c r="AD13" s="91" t="n"/>
      <c r="AE13" s="91" t="n"/>
      <c r="AF13" s="91" t="n"/>
      <c r="AG13" s="91" t="n"/>
      <c r="AH13" s="91" t="n"/>
      <c r="AI13" s="91" t="n"/>
      <c r="AJ13" s="91" t="n"/>
      <c r="AK13" s="91" t="n"/>
    </row>
    <row r="14" ht="13" customHeight="1">
      <c r="A14" s="91" t="n"/>
      <c r="B14" s="91" t="n"/>
      <c r="C14" s="91" t="n"/>
      <c r="D14" s="91" t="n"/>
      <c r="E14" s="91" t="n"/>
      <c r="F14" s="91" t="n"/>
      <c r="G14" s="91" t="n"/>
      <c r="H14" s="91" t="n"/>
      <c r="I14" s="91" t="n"/>
      <c r="J14" s="91" t="n"/>
      <c r="K14" s="91" t="n"/>
      <c r="L14" s="91" t="n"/>
      <c r="M14" s="91" t="n"/>
      <c r="N14" s="91" t="n"/>
      <c r="O14" s="91" t="n"/>
      <c r="P14" s="91" t="n"/>
      <c r="Q14" s="91" t="n"/>
      <c r="R14" s="91" t="n"/>
      <c r="S14" s="91" t="n"/>
      <c r="T14" s="91" t="n"/>
      <c r="U14" s="91" t="n"/>
      <c r="V14" s="91" t="n"/>
      <c r="W14" s="91" t="n"/>
      <c r="X14" s="91" t="n"/>
      <c r="Y14" s="91" t="n"/>
      <c r="Z14" s="91" t="n"/>
      <c r="AA14" s="91" t="n"/>
      <c r="AB14" s="91" t="n"/>
      <c r="AC14" s="91" t="n"/>
      <c r="AD14" s="91" t="n"/>
      <c r="AE14" s="91" t="n"/>
      <c r="AF14" s="91" t="n"/>
      <c r="AG14" s="91" t="n"/>
      <c r="AH14" s="91" t="n"/>
      <c r="AI14" s="91" t="n"/>
      <c r="AJ14" s="91" t="n"/>
      <c r="AK14" s="91" t="n"/>
    </row>
    <row r="15" ht="8" customHeight="1"/>
    <row r="16" ht="15" customHeight="1">
      <c r="A16" s="33" t="inlineStr">
        <is>
          <t>S.No.</t>
        </is>
      </c>
      <c r="B16" s="33" t="inlineStr">
        <is>
          <t>Protocols</t>
        </is>
      </c>
      <c r="C16" s="33" t="inlineStr">
        <is>
          <t>Category</t>
        </is>
      </c>
      <c r="D16" s="33" t="inlineStr">
        <is>
          <t>Target</t>
        </is>
      </c>
      <c r="E16" s="92" t="n">
        <v>1</v>
      </c>
      <c r="F16" s="92" t="n">
        <v>2</v>
      </c>
      <c r="G16" s="92" t="n">
        <v>3</v>
      </c>
      <c r="H16" s="93" t="n">
        <v>4</v>
      </c>
      <c r="I16" s="92" t="n">
        <v>5</v>
      </c>
      <c r="J16" s="92" t="n">
        <v>6</v>
      </c>
      <c r="K16" s="92" t="n">
        <v>7</v>
      </c>
      <c r="L16" s="92" t="n">
        <v>8</v>
      </c>
      <c r="M16" s="92" t="n">
        <v>9</v>
      </c>
      <c r="N16" s="92" t="n">
        <v>10</v>
      </c>
      <c r="O16" s="93" t="n">
        <v>11</v>
      </c>
      <c r="P16" s="92" t="n">
        <v>12</v>
      </c>
      <c r="Q16" s="92" t="n">
        <v>13</v>
      </c>
      <c r="R16" s="92" t="n">
        <v>14</v>
      </c>
      <c r="S16" s="92" t="n">
        <v>15</v>
      </c>
      <c r="T16" s="92" t="n">
        <v>16</v>
      </c>
      <c r="U16" s="92" t="n">
        <v>17</v>
      </c>
      <c r="V16" s="93" t="n">
        <v>18</v>
      </c>
      <c r="W16" s="92" t="n">
        <v>19</v>
      </c>
      <c r="X16" s="92" t="n">
        <v>20</v>
      </c>
      <c r="Y16" s="92" t="n">
        <v>21</v>
      </c>
      <c r="Z16" s="92" t="n">
        <v>22</v>
      </c>
      <c r="AA16" s="92" t="n">
        <v>23</v>
      </c>
      <c r="AB16" s="92" t="n">
        <v>24</v>
      </c>
      <c r="AC16" s="93" t="n">
        <v>25</v>
      </c>
      <c r="AD16" s="92" t="n">
        <v>26</v>
      </c>
      <c r="AE16" s="92" t="n">
        <v>27</v>
      </c>
      <c r="AF16" s="92" t="n">
        <v>28</v>
      </c>
      <c r="AG16" s="92" t="n">
        <v>29</v>
      </c>
      <c r="AH16" s="92" t="n">
        <v>30</v>
      </c>
      <c r="AI16" s="94" t="inlineStr">
        <is>
          <t>Success %</t>
        </is>
      </c>
      <c r="AJ16" s="94" t="inlineStr">
        <is>
          <t>Done / Target</t>
        </is>
      </c>
      <c r="AK16" s="94" t="inlineStr">
        <is>
          <t>Status</t>
        </is>
      </c>
      <c r="AL16" t="inlineStr">
        <is>
          <t>Done Count</t>
        </is>
      </c>
    </row>
    <row r="17" ht="15" customHeight="1">
      <c r="A17" s="54" t="n"/>
      <c r="B17" s="54" t="n"/>
      <c r="C17" s="54" t="n"/>
      <c r="D17" s="54" t="n"/>
      <c r="E17" s="95" t="inlineStr">
        <is>
          <t>Th</t>
        </is>
      </c>
      <c r="F17" s="95" t="inlineStr">
        <is>
          <t>F</t>
        </is>
      </c>
      <c r="G17" s="95" t="inlineStr">
        <is>
          <t>Sa</t>
        </is>
      </c>
      <c r="H17" s="96" t="inlineStr">
        <is>
          <t>Su</t>
        </is>
      </c>
      <c r="I17" s="95" t="inlineStr">
        <is>
          <t>M</t>
        </is>
      </c>
      <c r="J17" s="95" t="inlineStr">
        <is>
          <t>T</t>
        </is>
      </c>
      <c r="K17" s="95" t="inlineStr">
        <is>
          <t>W</t>
        </is>
      </c>
      <c r="L17" s="95" t="inlineStr">
        <is>
          <t>Th</t>
        </is>
      </c>
      <c r="M17" s="95" t="inlineStr">
        <is>
          <t>F</t>
        </is>
      </c>
      <c r="N17" s="95" t="inlineStr">
        <is>
          <t>Sa</t>
        </is>
      </c>
      <c r="O17" s="96" t="inlineStr">
        <is>
          <t>Su</t>
        </is>
      </c>
      <c r="P17" s="95" t="inlineStr">
        <is>
          <t>M</t>
        </is>
      </c>
      <c r="Q17" s="95" t="inlineStr">
        <is>
          <t>T</t>
        </is>
      </c>
      <c r="R17" s="95" t="inlineStr">
        <is>
          <t>W</t>
        </is>
      </c>
      <c r="S17" s="95" t="inlineStr">
        <is>
          <t>Th</t>
        </is>
      </c>
      <c r="T17" s="95" t="inlineStr">
        <is>
          <t>F</t>
        </is>
      </c>
      <c r="U17" s="95" t="inlineStr">
        <is>
          <t>Sa</t>
        </is>
      </c>
      <c r="V17" s="96" t="inlineStr">
        <is>
          <t>Su</t>
        </is>
      </c>
      <c r="W17" s="95" t="inlineStr">
        <is>
          <t>M</t>
        </is>
      </c>
      <c r="X17" s="95" t="inlineStr">
        <is>
          <t>T</t>
        </is>
      </c>
      <c r="Y17" s="95" t="inlineStr">
        <is>
          <t>W</t>
        </is>
      </c>
      <c r="Z17" s="95" t="inlineStr">
        <is>
          <t>Th</t>
        </is>
      </c>
      <c r="AA17" s="95" t="inlineStr">
        <is>
          <t>F</t>
        </is>
      </c>
      <c r="AB17" s="95" t="inlineStr">
        <is>
          <t>Sa</t>
        </is>
      </c>
      <c r="AC17" s="96" t="inlineStr">
        <is>
          <t>Su</t>
        </is>
      </c>
      <c r="AD17" s="95" t="inlineStr">
        <is>
          <t>M</t>
        </is>
      </c>
      <c r="AE17" s="95" t="inlineStr">
        <is>
          <t>T</t>
        </is>
      </c>
      <c r="AF17" s="95" t="inlineStr">
        <is>
          <t>W</t>
        </is>
      </c>
      <c r="AG17" s="95" t="inlineStr">
        <is>
          <t>Th</t>
        </is>
      </c>
      <c r="AH17" s="95" t="inlineStr">
        <is>
          <t>F</t>
        </is>
      </c>
      <c r="AI17" s="54" t="n"/>
      <c r="AJ17" s="54" t="n"/>
      <c r="AK17" s="54" t="n"/>
    </row>
    <row r="18" ht="14.5" customHeight="1">
      <c r="A18" s="97" t="n">
        <v>1</v>
      </c>
      <c r="B18" s="98" t="n"/>
      <c r="C18" s="99" t="n"/>
      <c r="D18" s="99" t="n"/>
      <c r="E18" s="100" t="n"/>
      <c r="F18" s="100" t="n"/>
      <c r="G18" s="100" t="n"/>
      <c r="H18" s="101" t="n"/>
      <c r="I18" s="100" t="n"/>
      <c r="J18" s="100" t="n"/>
      <c r="K18" s="100" t="n"/>
      <c r="L18" s="100" t="n"/>
      <c r="M18" s="100" t="n"/>
      <c r="N18" s="100" t="n"/>
      <c r="O18" s="101" t="n"/>
      <c r="P18" s="100" t="n"/>
      <c r="Q18" s="100" t="n"/>
      <c r="R18" s="100" t="n"/>
      <c r="S18" s="100" t="n"/>
      <c r="T18" s="100" t="n"/>
      <c r="U18" s="100" t="n"/>
      <c r="V18" s="101" t="n"/>
      <c r="W18" s="100" t="n"/>
      <c r="X18" s="100" t="n"/>
      <c r="Y18" s="100" t="n"/>
      <c r="Z18" s="100" t="n"/>
      <c r="AA18" s="100" t="n"/>
      <c r="AB18" s="100" t="n"/>
      <c r="AC18" s="101" t="n"/>
      <c r="AD18" s="100" t="n"/>
      <c r="AE18" s="100" t="n"/>
      <c r="AF18" s="100" t="n"/>
      <c r="AG18" s="100" t="n"/>
      <c r="AH18" s="100" t="n"/>
      <c r="AI18" s="102">
        <f>IF(ISBLANK(B18), "", IF(ISNUMBER(D18), IF(D18&gt;0, (COUNTIF(E18:AH18, "✓") + COUNTIF(E18:AH18, "✔") + COUNTIF(E18:AH18, "v") + COUNTIF(E18:AH18, "V"))/D18, 0), IF(((COUNTIF(E18:AH18, "✓") + COUNTIF(E18:AH18, "✔") + COUNTIF(E18:AH18, "v") + COUNTIF(E18:AH18, "V")) + COUNTIF(E18:AH18, "✗") + COUNTIF(E18:AH18, "x") + COUNTIF(E18:AH18, "X"))&gt;0, (COUNTIF(E18:AH18, "✓") + COUNTIF(E18:AH18, "✔") + COUNTIF(E18:AH18, "v") + COUNTIF(E18:AH18, "V"))/((COUNTIF(E18:AH18, "✓") + COUNTIF(E18:AH18, "✔") + COUNTIF(E18:AH18, "v") + COUNTIF(E18:AH18, "V")) + COUNTIF(E18:AH18, "✗") + COUNTIF(E18:AH18, "x") + COUNTIF(E18:AH18, "X")), "")))</f>
        <v/>
      </c>
      <c r="AJ18" s="103">
        <f>IF(ISBLANK(B18), "", IF(ISNUMBER(D18), IF(D18&gt;0, (COUNTIF(E18:AH18, "✓") + COUNTIF(E18:AH18, "✔") + COUNTIF(E18:AH18, "v") + COUNTIF(E18:AH18, "V")) &amp; "/" &amp; D18, (COUNTIF(E18:AH18, "✓") + COUNTIF(E18:AH18, "✔") + COUNTIF(E18:AH18, "v") + COUNTIF(E18:AH18, "V")) &amp; "/0"), IF(((COUNTIF(E18:AH18, "✓") + COUNTIF(E18:AH18, "✔") + COUNTIF(E18:AH18, "v") + COUNTIF(E18:AH18, "V")) + COUNTIF(E18:AH18, "✗") + COUNTIF(E18:AH18, "x") + COUNTIF(E18:AH18, "X"))&gt;0, (COUNTIF(E18:AH18, "✓") + COUNTIF(E18:AH18, "✔") + COUNTIF(E18:AH18, "v") + COUNTIF(E18:AH18, "V")) &amp; "/" &amp; ((COUNTIF(E18:AH18, "✓") + COUNTIF(E18:AH18, "✔") + COUNTIF(E18:AH18, "v") + COUNTIF(E18:AH18, "V")) + COUNTIF(E18:AH18, "✗") + COUNTIF(E18:AH18, "x") + COUNTIF(E18:AH18, "X")), "")))</f>
        <v/>
      </c>
      <c r="AK18" s="103">
        <f>IF(ISBLANK(B18), "", IF(AI18&gt;=0.85, "🔥 Mastered", IF(AI18&gt;=0.7, "⚡ Consistent", "⚠️ Needs Focus")))</f>
        <v/>
      </c>
      <c r="AL18">
        <f>COUNTIF(E18:AH18, "✓")</f>
        <v/>
      </c>
    </row>
    <row r="19" ht="14.5" customHeight="1">
      <c r="A19" s="97" t="n">
        <v>2</v>
      </c>
      <c r="B19" s="98" t="n"/>
      <c r="C19" s="99" t="n"/>
      <c r="D19" s="99" t="n"/>
      <c r="E19" s="100" t="n"/>
      <c r="F19" s="100" t="n"/>
      <c r="G19" s="100" t="n"/>
      <c r="H19" s="101" t="n"/>
      <c r="I19" s="100" t="n"/>
      <c r="J19" s="100" t="n"/>
      <c r="K19" s="100" t="n"/>
      <c r="L19" s="100" t="n"/>
      <c r="M19" s="100" t="n"/>
      <c r="N19" s="100" t="n"/>
      <c r="O19" s="101" t="n"/>
      <c r="P19" s="100" t="n"/>
      <c r="Q19" s="100" t="n"/>
      <c r="R19" s="100" t="n"/>
      <c r="S19" s="100" t="n"/>
      <c r="T19" s="100" t="n"/>
      <c r="U19" s="100" t="n"/>
      <c r="V19" s="101" t="n"/>
      <c r="W19" s="100" t="n"/>
      <c r="X19" s="100" t="n"/>
      <c r="Y19" s="100" t="n"/>
      <c r="Z19" s="100" t="n"/>
      <c r="AA19" s="100" t="n"/>
      <c r="AB19" s="100" t="n"/>
      <c r="AC19" s="101" t="n"/>
      <c r="AD19" s="100" t="n"/>
      <c r="AE19" s="100" t="n"/>
      <c r="AF19" s="100" t="n"/>
      <c r="AG19" s="100" t="n"/>
      <c r="AH19" s="100" t="n"/>
      <c r="AI19" s="102">
        <f>IF(ISBLANK(B19), "", IF(ISNUMBER(D19), IF(D19&gt;0, (COUNTIF(E19:AH19, "✓") + COUNTIF(E19:AH19, "✔") + COUNTIF(E19:AH19, "v") + COUNTIF(E19:AH19, "V"))/D19, 0), IF(((COUNTIF(E19:AH19, "✓") + COUNTIF(E19:AH19, "✔") + COUNTIF(E19:AH19, "v") + COUNTIF(E19:AH19, "V")) + COUNTIF(E19:AH19, "✗") + COUNTIF(E19:AH19, "x") + COUNTIF(E19:AH19, "X"))&gt;0, (COUNTIF(E19:AH19, "✓") + COUNTIF(E19:AH19, "✔") + COUNTIF(E19:AH19, "v") + COUNTIF(E19:AH19, "V"))/((COUNTIF(E19:AH19, "✓") + COUNTIF(E19:AH19, "✔") + COUNTIF(E19:AH19, "v") + COUNTIF(E19:AH19, "V")) + COUNTIF(E19:AH19, "✗") + COUNTIF(E19:AH19, "x") + COUNTIF(E19:AH19, "X")), "")))</f>
        <v/>
      </c>
      <c r="AJ19" s="103">
        <f>IF(ISBLANK(B19), "", IF(ISNUMBER(D19), IF(D19&gt;0, (COUNTIF(E19:AH19, "✓") + COUNTIF(E19:AH19, "✔") + COUNTIF(E19:AH19, "v") + COUNTIF(E19:AH19, "V")) &amp; "/" &amp; D19, (COUNTIF(E19:AH19, "✓") + COUNTIF(E19:AH19, "✔") + COUNTIF(E19:AH19, "v") + COUNTIF(E19:AH19, "V")) &amp; "/0"), IF(((COUNTIF(E19:AH19, "✓") + COUNTIF(E19:AH19, "✔") + COUNTIF(E19:AH19, "v") + COUNTIF(E19:AH19, "V")) + COUNTIF(E19:AH19, "✗") + COUNTIF(E19:AH19, "x") + COUNTIF(E19:AH19, "X"))&gt;0, (COUNTIF(E19:AH19, "✓") + COUNTIF(E19:AH19, "✔") + COUNTIF(E19:AH19, "v") + COUNTIF(E19:AH19, "V")) &amp; "/" &amp; ((COUNTIF(E19:AH19, "✓") + COUNTIF(E19:AH19, "✔") + COUNTIF(E19:AH19, "v") + COUNTIF(E19:AH19, "V")) + COUNTIF(E19:AH19, "✗") + COUNTIF(E19:AH19, "x") + COUNTIF(E19:AH19, "X")), "")))</f>
        <v/>
      </c>
      <c r="AK19" s="103">
        <f>IF(ISBLANK(B19), "", IF(AI19&gt;=0.85, "🔥 Mastered", IF(AI19&gt;=0.7, "⚡ Consistent", "⚠️ Needs Focus")))</f>
        <v/>
      </c>
      <c r="AL19">
        <f>COUNTIF(E19:AH19, "✓")</f>
        <v/>
      </c>
    </row>
    <row r="20" ht="14.5" customHeight="1">
      <c r="A20" s="97" t="n">
        <v>3</v>
      </c>
      <c r="B20" s="98" t="n"/>
      <c r="C20" s="99" t="n"/>
      <c r="D20" s="99" t="n"/>
      <c r="E20" s="100" t="n"/>
      <c r="F20" s="100" t="n"/>
      <c r="G20" s="100" t="n"/>
      <c r="H20" s="101" t="n"/>
      <c r="I20" s="100" t="n"/>
      <c r="J20" s="100" t="n"/>
      <c r="K20" s="100" t="n"/>
      <c r="L20" s="100" t="n"/>
      <c r="M20" s="100" t="n"/>
      <c r="N20" s="100" t="n"/>
      <c r="O20" s="101" t="n"/>
      <c r="P20" s="100" t="n"/>
      <c r="Q20" s="100" t="n"/>
      <c r="R20" s="100" t="n"/>
      <c r="S20" s="100" t="n"/>
      <c r="T20" s="100" t="n"/>
      <c r="U20" s="100" t="n"/>
      <c r="V20" s="101" t="n"/>
      <c r="W20" s="100" t="n"/>
      <c r="X20" s="100" t="n"/>
      <c r="Y20" s="100" t="n"/>
      <c r="Z20" s="100" t="n"/>
      <c r="AA20" s="100" t="n"/>
      <c r="AB20" s="100" t="n"/>
      <c r="AC20" s="101" t="n"/>
      <c r="AD20" s="100" t="n"/>
      <c r="AE20" s="100" t="n"/>
      <c r="AF20" s="100" t="n"/>
      <c r="AG20" s="100" t="n"/>
      <c r="AH20" s="100" t="n"/>
      <c r="AI20" s="102">
        <f>IF(ISBLANK(B20), "", IF(ISNUMBER(D20), IF(D20&gt;0, (COUNTIF(E20:AH20, "✓") + COUNTIF(E20:AH20, "✔") + COUNTIF(E20:AH20, "v") + COUNTIF(E20:AH20, "V"))/D20, 0), IF(((COUNTIF(E20:AH20, "✓") + COUNTIF(E20:AH20, "✔") + COUNTIF(E20:AH20, "v") + COUNTIF(E20:AH20, "V")) + COUNTIF(E20:AH20, "✗") + COUNTIF(E20:AH20, "x") + COUNTIF(E20:AH20, "X"))&gt;0, (COUNTIF(E20:AH20, "✓") + COUNTIF(E20:AH20, "✔") + COUNTIF(E20:AH20, "v") + COUNTIF(E20:AH20, "V"))/((COUNTIF(E20:AH20, "✓") + COUNTIF(E20:AH20, "✔") + COUNTIF(E20:AH20, "v") + COUNTIF(E20:AH20, "V")) + COUNTIF(E20:AH20, "✗") + COUNTIF(E20:AH20, "x") + COUNTIF(E20:AH20, "X")), "")))</f>
        <v/>
      </c>
      <c r="AJ20" s="103">
        <f>IF(ISBLANK(B20), "", IF(ISNUMBER(D20), IF(D20&gt;0, (COUNTIF(E20:AH20, "✓") + COUNTIF(E20:AH20, "✔") + COUNTIF(E20:AH20, "v") + COUNTIF(E20:AH20, "V")) &amp; "/" &amp; D20, (COUNTIF(E20:AH20, "✓") + COUNTIF(E20:AH20, "✔") + COUNTIF(E20:AH20, "v") + COUNTIF(E20:AH20, "V")) &amp; "/0"), IF(((COUNTIF(E20:AH20, "✓") + COUNTIF(E20:AH20, "✔") + COUNTIF(E20:AH20, "v") + COUNTIF(E20:AH20, "V")) + COUNTIF(E20:AH20, "✗") + COUNTIF(E20:AH20, "x") + COUNTIF(E20:AH20, "X"))&gt;0, (COUNTIF(E20:AH20, "✓") + COUNTIF(E20:AH20, "✔") + COUNTIF(E20:AH20, "v") + COUNTIF(E20:AH20, "V")) &amp; "/" &amp; ((COUNTIF(E20:AH20, "✓") + COUNTIF(E20:AH20, "✔") + COUNTIF(E20:AH20, "v") + COUNTIF(E20:AH20, "V")) + COUNTIF(E20:AH20, "✗") + COUNTIF(E20:AH20, "x") + COUNTIF(E20:AH20, "X")), "")))</f>
        <v/>
      </c>
      <c r="AK20" s="103">
        <f>IF(ISBLANK(B20), "", IF(AI20&gt;=0.85, "🔥 Mastered", IF(AI20&gt;=0.7, "⚡ Consistent", "⚠️ Needs Focus")))</f>
        <v/>
      </c>
      <c r="AL20">
        <f>COUNTIF(E20:AH20, "✓")</f>
        <v/>
      </c>
    </row>
    <row r="21" ht="14.5" customHeight="1">
      <c r="A21" s="97" t="n">
        <v>4</v>
      </c>
      <c r="B21" s="98" t="n"/>
      <c r="C21" s="99" t="n"/>
      <c r="D21" s="99" t="n"/>
      <c r="E21" s="100" t="n"/>
      <c r="F21" s="100" t="n"/>
      <c r="G21" s="100" t="n"/>
      <c r="H21" s="101" t="n"/>
      <c r="I21" s="100" t="n"/>
      <c r="J21" s="100" t="n"/>
      <c r="K21" s="100" t="n"/>
      <c r="L21" s="100" t="n"/>
      <c r="M21" s="100" t="n"/>
      <c r="N21" s="100" t="n"/>
      <c r="O21" s="101" t="n"/>
      <c r="P21" s="100" t="n"/>
      <c r="Q21" s="100" t="n"/>
      <c r="R21" s="100" t="n"/>
      <c r="S21" s="100" t="n"/>
      <c r="T21" s="100" t="n"/>
      <c r="U21" s="100" t="n"/>
      <c r="V21" s="101" t="n"/>
      <c r="W21" s="100" t="n"/>
      <c r="X21" s="100" t="n"/>
      <c r="Y21" s="100" t="n"/>
      <c r="Z21" s="100" t="n"/>
      <c r="AA21" s="100" t="n"/>
      <c r="AB21" s="100" t="n"/>
      <c r="AC21" s="101" t="n"/>
      <c r="AD21" s="100" t="n"/>
      <c r="AE21" s="100" t="n"/>
      <c r="AF21" s="100" t="n"/>
      <c r="AG21" s="100" t="n"/>
      <c r="AH21" s="100" t="n"/>
      <c r="AI21" s="102">
        <f>IF(ISBLANK(B21), "", IF(ISNUMBER(D21), IF(D21&gt;0, (COUNTIF(E21:AH21, "✓") + COUNTIF(E21:AH21, "✔") + COUNTIF(E21:AH21, "v") + COUNTIF(E21:AH21, "V"))/D21, 0), IF(((COUNTIF(E21:AH21, "✓") + COUNTIF(E21:AH21, "✔") + COUNTIF(E21:AH21, "v") + COUNTIF(E21:AH21, "V")) + COUNTIF(E21:AH21, "✗") + COUNTIF(E21:AH21, "x") + COUNTIF(E21:AH21, "X"))&gt;0, (COUNTIF(E21:AH21, "✓") + COUNTIF(E21:AH21, "✔") + COUNTIF(E21:AH21, "v") + COUNTIF(E21:AH21, "V"))/((COUNTIF(E21:AH21, "✓") + COUNTIF(E21:AH21, "✔") + COUNTIF(E21:AH21, "v") + COUNTIF(E21:AH21, "V")) + COUNTIF(E21:AH21, "✗") + COUNTIF(E21:AH21, "x") + COUNTIF(E21:AH21, "X")), "")))</f>
        <v/>
      </c>
      <c r="AJ21" s="103">
        <f>IF(ISBLANK(B21), "", IF(ISNUMBER(D21), IF(D21&gt;0, (COUNTIF(E21:AH21, "✓") + COUNTIF(E21:AH21, "✔") + COUNTIF(E21:AH21, "v") + COUNTIF(E21:AH21, "V")) &amp; "/" &amp; D21, (COUNTIF(E21:AH21, "✓") + COUNTIF(E21:AH21, "✔") + COUNTIF(E21:AH21, "v") + COUNTIF(E21:AH21, "V")) &amp; "/0"), IF(((COUNTIF(E21:AH21, "✓") + COUNTIF(E21:AH21, "✔") + COUNTIF(E21:AH21, "v") + COUNTIF(E21:AH21, "V")) + COUNTIF(E21:AH21, "✗") + COUNTIF(E21:AH21, "x") + COUNTIF(E21:AH21, "X"))&gt;0, (COUNTIF(E21:AH21, "✓") + COUNTIF(E21:AH21, "✔") + COUNTIF(E21:AH21, "v") + COUNTIF(E21:AH21, "V")) &amp; "/" &amp; ((COUNTIF(E21:AH21, "✓") + COUNTIF(E21:AH21, "✔") + COUNTIF(E21:AH21, "v") + COUNTIF(E21:AH21, "V")) + COUNTIF(E21:AH21, "✗") + COUNTIF(E21:AH21, "x") + COUNTIF(E21:AH21, "X")), "")))</f>
        <v/>
      </c>
      <c r="AK21" s="103">
        <f>IF(ISBLANK(B21), "", IF(AI21&gt;=0.85, "🔥 Mastered", IF(AI21&gt;=0.7, "⚡ Consistent", "⚠️ Needs Focus")))</f>
        <v/>
      </c>
      <c r="AL21">
        <f>COUNTIF(E21:AH21, "✓")</f>
        <v/>
      </c>
    </row>
    <row r="22" ht="14.5" customHeight="1">
      <c r="A22" s="104" t="n">
        <v>5</v>
      </c>
      <c r="B22" s="105" t="n"/>
      <c r="C22" s="106" t="n"/>
      <c r="D22" s="106" t="n"/>
      <c r="E22" s="107" t="n"/>
      <c r="F22" s="107" t="n"/>
      <c r="G22" s="107" t="n"/>
      <c r="H22" s="108" t="n"/>
      <c r="I22" s="107" t="n"/>
      <c r="J22" s="107" t="n"/>
      <c r="K22" s="107" t="n"/>
      <c r="L22" s="107" t="n"/>
      <c r="M22" s="107" t="n"/>
      <c r="N22" s="107" t="n"/>
      <c r="O22" s="108" t="n"/>
      <c r="P22" s="107" t="n"/>
      <c r="Q22" s="107" t="n"/>
      <c r="R22" s="107" t="n"/>
      <c r="S22" s="107" t="n"/>
      <c r="T22" s="107" t="n"/>
      <c r="U22" s="107" t="n"/>
      <c r="V22" s="108" t="n"/>
      <c r="W22" s="107" t="n"/>
      <c r="X22" s="107" t="n"/>
      <c r="Y22" s="107" t="n"/>
      <c r="Z22" s="107" t="n"/>
      <c r="AA22" s="107" t="n"/>
      <c r="AB22" s="107" t="n"/>
      <c r="AC22" s="108" t="n"/>
      <c r="AD22" s="107" t="n"/>
      <c r="AE22" s="107" t="n"/>
      <c r="AF22" s="107" t="n"/>
      <c r="AG22" s="107" t="n"/>
      <c r="AH22" s="107" t="n"/>
      <c r="AI22" s="109">
        <f>IF(ISBLANK(B22), "", IF(ISNUMBER(D22), IF(D22&gt;0, (COUNTIF(E22:AH22, "✓") + COUNTIF(E22:AH22, "✔") + COUNTIF(E22:AH22, "v") + COUNTIF(E22:AH22, "V"))/D22, 0), IF(((COUNTIF(E22:AH22, "✓") + COUNTIF(E22:AH22, "✔") + COUNTIF(E22:AH22, "v") + COUNTIF(E22:AH22, "V")) + COUNTIF(E22:AH22, "✗") + COUNTIF(E22:AH22, "x") + COUNTIF(E22:AH22, "X"))&gt;0, (COUNTIF(E22:AH22, "✓") + COUNTIF(E22:AH22, "✔") + COUNTIF(E22:AH22, "v") + COUNTIF(E22:AH22, "V"))/((COUNTIF(E22:AH22, "✓") + COUNTIF(E22:AH22, "✔") + COUNTIF(E22:AH22, "v") + COUNTIF(E22:AH22, "V")) + COUNTIF(E22:AH22, "✗") + COUNTIF(E22:AH22, "x") + COUNTIF(E22:AH22, "X")), "")))</f>
        <v/>
      </c>
      <c r="AJ22" s="110">
        <f>IF(ISBLANK(B22), "", IF(ISNUMBER(D22), IF(D22&gt;0, (COUNTIF(E22:AH22, "✓") + COUNTIF(E22:AH22, "✔") + COUNTIF(E22:AH22, "v") + COUNTIF(E22:AH22, "V")) &amp; "/" &amp; D22, (COUNTIF(E22:AH22, "✓") + COUNTIF(E22:AH22, "✔") + COUNTIF(E22:AH22, "v") + COUNTIF(E22:AH22, "V")) &amp; "/0"), IF(((COUNTIF(E22:AH22, "✓") + COUNTIF(E22:AH22, "✔") + COUNTIF(E22:AH22, "v") + COUNTIF(E22:AH22, "V")) + COUNTIF(E22:AH22, "✗") + COUNTIF(E22:AH22, "x") + COUNTIF(E22:AH22, "X"))&gt;0, (COUNTIF(E22:AH22, "✓") + COUNTIF(E22:AH22, "✔") + COUNTIF(E22:AH22, "v") + COUNTIF(E22:AH22, "V")) &amp; "/" &amp; ((COUNTIF(E22:AH22, "✓") + COUNTIF(E22:AH22, "✔") + COUNTIF(E22:AH22, "v") + COUNTIF(E22:AH22, "V")) + COUNTIF(E22:AH22, "✗") + COUNTIF(E22:AH22, "x") + COUNTIF(E22:AH22, "X")), "")))</f>
        <v/>
      </c>
      <c r="AK22" s="110">
        <f>IF(ISBLANK(B22), "", IF(AI22&gt;=0.85, "🔥 Mastered", IF(AI22&gt;=0.7, "⚡ Consistent", "⚠️ Needs Focus")))</f>
        <v/>
      </c>
      <c r="AL22">
        <f>COUNTIF(E22:AH22, "✓")</f>
        <v/>
      </c>
    </row>
    <row r="23" ht="14.5" customHeight="1">
      <c r="A23" s="104" t="n">
        <v>6</v>
      </c>
      <c r="B23" s="105" t="n"/>
      <c r="C23" s="106" t="n"/>
      <c r="D23" s="106" t="n"/>
      <c r="E23" s="107" t="n"/>
      <c r="F23" s="107" t="n"/>
      <c r="G23" s="107" t="n"/>
      <c r="H23" s="108" t="n"/>
      <c r="I23" s="107" t="n"/>
      <c r="J23" s="107" t="n"/>
      <c r="K23" s="107" t="n"/>
      <c r="L23" s="107" t="n"/>
      <c r="M23" s="107" t="n"/>
      <c r="N23" s="107" t="n"/>
      <c r="O23" s="108" t="n"/>
      <c r="P23" s="107" t="n"/>
      <c r="Q23" s="107" t="n"/>
      <c r="R23" s="107" t="n"/>
      <c r="S23" s="107" t="n"/>
      <c r="T23" s="107" t="n"/>
      <c r="U23" s="107" t="n"/>
      <c r="V23" s="108" t="n"/>
      <c r="W23" s="107" t="n"/>
      <c r="X23" s="107" t="n"/>
      <c r="Y23" s="107" t="n"/>
      <c r="Z23" s="107" t="n"/>
      <c r="AA23" s="107" t="n"/>
      <c r="AB23" s="107" t="n"/>
      <c r="AC23" s="108" t="n"/>
      <c r="AD23" s="107" t="n"/>
      <c r="AE23" s="107" t="n"/>
      <c r="AF23" s="107" t="n"/>
      <c r="AG23" s="107" t="n"/>
      <c r="AH23" s="107" t="n"/>
      <c r="AI23" s="109">
        <f>IF(ISBLANK(B23), "", IF(ISNUMBER(D23), IF(D23&gt;0, (COUNTIF(E23:AH23, "✓") + COUNTIF(E23:AH23, "✔") + COUNTIF(E23:AH23, "v") + COUNTIF(E23:AH23, "V"))/D23, 0), IF(((COUNTIF(E23:AH23, "✓") + COUNTIF(E23:AH23, "✔") + COUNTIF(E23:AH23, "v") + COUNTIF(E23:AH23, "V")) + COUNTIF(E23:AH23, "✗") + COUNTIF(E23:AH23, "x") + COUNTIF(E23:AH23, "X"))&gt;0, (COUNTIF(E23:AH23, "✓") + COUNTIF(E23:AH23, "✔") + COUNTIF(E23:AH23, "v") + COUNTIF(E23:AH23, "V"))/((COUNTIF(E23:AH23, "✓") + COUNTIF(E23:AH23, "✔") + COUNTIF(E23:AH23, "v") + COUNTIF(E23:AH23, "V")) + COUNTIF(E23:AH23, "✗") + COUNTIF(E23:AH23, "x") + COUNTIF(E23:AH23, "X")), "")))</f>
        <v/>
      </c>
      <c r="AJ23" s="110">
        <f>IF(ISBLANK(B23), "", IF(ISNUMBER(D23), IF(D23&gt;0, (COUNTIF(E23:AH23, "✓") + COUNTIF(E23:AH23, "✔") + COUNTIF(E23:AH23, "v") + COUNTIF(E23:AH23, "V")) &amp; "/" &amp; D23, (COUNTIF(E23:AH23, "✓") + COUNTIF(E23:AH23, "✔") + COUNTIF(E23:AH23, "v") + COUNTIF(E23:AH23, "V")) &amp; "/0"), IF(((COUNTIF(E23:AH23, "✓") + COUNTIF(E23:AH23, "✔") + COUNTIF(E23:AH23, "v") + COUNTIF(E23:AH23, "V")) + COUNTIF(E23:AH23, "✗") + COUNTIF(E23:AH23, "x") + COUNTIF(E23:AH23, "X"))&gt;0, (COUNTIF(E23:AH23, "✓") + COUNTIF(E23:AH23, "✔") + COUNTIF(E23:AH23, "v") + COUNTIF(E23:AH23, "V")) &amp; "/" &amp; ((COUNTIF(E23:AH23, "✓") + COUNTIF(E23:AH23, "✔") + COUNTIF(E23:AH23, "v") + COUNTIF(E23:AH23, "V")) + COUNTIF(E23:AH23, "✗") + COUNTIF(E23:AH23, "x") + COUNTIF(E23:AH23, "X")), "")))</f>
        <v/>
      </c>
      <c r="AK23" s="110">
        <f>IF(ISBLANK(B23), "", IF(AI23&gt;=0.85, "🔥 Mastered", IF(AI23&gt;=0.7, "⚡ Consistent", "⚠️ Needs Focus")))</f>
        <v/>
      </c>
      <c r="AL23">
        <f>COUNTIF(E23:AH23, "✓")</f>
        <v/>
      </c>
    </row>
    <row r="24" ht="14.5" customHeight="1">
      <c r="A24" s="104" t="n">
        <v>7</v>
      </c>
      <c r="B24" s="105" t="n"/>
      <c r="C24" s="106" t="n"/>
      <c r="D24" s="106" t="n"/>
      <c r="E24" s="107" t="n"/>
      <c r="F24" s="107" t="n"/>
      <c r="G24" s="107" t="n"/>
      <c r="H24" s="108" t="n"/>
      <c r="I24" s="107" t="n"/>
      <c r="J24" s="107" t="n"/>
      <c r="K24" s="107" t="n"/>
      <c r="L24" s="107" t="n"/>
      <c r="M24" s="107" t="n"/>
      <c r="N24" s="107" t="n"/>
      <c r="O24" s="108" t="n"/>
      <c r="P24" s="107" t="n"/>
      <c r="Q24" s="107" t="n"/>
      <c r="R24" s="107" t="n"/>
      <c r="S24" s="107" t="n"/>
      <c r="T24" s="107" t="n"/>
      <c r="U24" s="107" t="n"/>
      <c r="V24" s="108" t="n"/>
      <c r="W24" s="107" t="n"/>
      <c r="X24" s="107" t="n"/>
      <c r="Y24" s="107" t="n"/>
      <c r="Z24" s="107" t="n"/>
      <c r="AA24" s="107" t="n"/>
      <c r="AB24" s="107" t="n"/>
      <c r="AC24" s="108" t="n"/>
      <c r="AD24" s="107" t="n"/>
      <c r="AE24" s="107" t="n"/>
      <c r="AF24" s="107" t="n"/>
      <c r="AG24" s="107" t="n"/>
      <c r="AH24" s="107" t="n"/>
      <c r="AI24" s="109">
        <f>IF(ISBLANK(B24), "", IF(ISNUMBER(D24), IF(D24&gt;0, (COUNTIF(E24:AH24, "✓") + COUNTIF(E24:AH24, "✔") + COUNTIF(E24:AH24, "v") + COUNTIF(E24:AH24, "V"))/D24, 0), IF(((COUNTIF(E24:AH24, "✓") + COUNTIF(E24:AH24, "✔") + COUNTIF(E24:AH24, "v") + COUNTIF(E24:AH24, "V")) + COUNTIF(E24:AH24, "✗") + COUNTIF(E24:AH24, "x") + COUNTIF(E24:AH24, "X"))&gt;0, (COUNTIF(E24:AH24, "✓") + COUNTIF(E24:AH24, "✔") + COUNTIF(E24:AH24, "v") + COUNTIF(E24:AH24, "V"))/((COUNTIF(E24:AH24, "✓") + COUNTIF(E24:AH24, "✔") + COUNTIF(E24:AH24, "v") + COUNTIF(E24:AH24, "V")) + COUNTIF(E24:AH24, "✗") + COUNTIF(E24:AH24, "x") + COUNTIF(E24:AH24, "X")), "")))</f>
        <v/>
      </c>
      <c r="AJ24" s="110">
        <f>IF(ISBLANK(B24), "", IF(ISNUMBER(D24), IF(D24&gt;0, (COUNTIF(E24:AH24, "✓") + COUNTIF(E24:AH24, "✔") + COUNTIF(E24:AH24, "v") + COUNTIF(E24:AH24, "V")) &amp; "/" &amp; D24, (COUNTIF(E24:AH24, "✓") + COUNTIF(E24:AH24, "✔") + COUNTIF(E24:AH24, "v") + COUNTIF(E24:AH24, "V")) &amp; "/0"), IF(((COUNTIF(E24:AH24, "✓") + COUNTIF(E24:AH24, "✔") + COUNTIF(E24:AH24, "v") + COUNTIF(E24:AH24, "V")) + COUNTIF(E24:AH24, "✗") + COUNTIF(E24:AH24, "x") + COUNTIF(E24:AH24, "X"))&gt;0, (COUNTIF(E24:AH24, "✓") + COUNTIF(E24:AH24, "✔") + COUNTIF(E24:AH24, "v") + COUNTIF(E24:AH24, "V")) &amp; "/" &amp; ((COUNTIF(E24:AH24, "✓") + COUNTIF(E24:AH24, "✔") + COUNTIF(E24:AH24, "v") + COUNTIF(E24:AH24, "V")) + COUNTIF(E24:AH24, "✗") + COUNTIF(E24:AH24, "x") + COUNTIF(E24:AH24, "X")), "")))</f>
        <v/>
      </c>
      <c r="AK24" s="110">
        <f>IF(ISBLANK(B24), "", IF(AI24&gt;=0.85, "🔥 Mastered", IF(AI24&gt;=0.7, "⚡ Consistent", "⚠️ Needs Focus")))</f>
        <v/>
      </c>
      <c r="AL24">
        <f>COUNTIF(E24:AH24, "✓")</f>
        <v/>
      </c>
    </row>
    <row r="25" ht="14.5" customHeight="1">
      <c r="A25" s="104" t="n">
        <v>8</v>
      </c>
      <c r="B25" s="105" t="n"/>
      <c r="C25" s="106" t="n"/>
      <c r="D25" s="106" t="n"/>
      <c r="E25" s="107" t="n"/>
      <c r="F25" s="107" t="n"/>
      <c r="G25" s="107" t="n"/>
      <c r="H25" s="108" t="n"/>
      <c r="I25" s="107" t="n"/>
      <c r="J25" s="107" t="n"/>
      <c r="K25" s="107" t="n"/>
      <c r="L25" s="107" t="n"/>
      <c r="M25" s="107" t="n"/>
      <c r="N25" s="107" t="n"/>
      <c r="O25" s="108" t="n"/>
      <c r="P25" s="107" t="n"/>
      <c r="Q25" s="107" t="n"/>
      <c r="R25" s="107" t="n"/>
      <c r="S25" s="107" t="n"/>
      <c r="T25" s="107" t="n"/>
      <c r="U25" s="107" t="n"/>
      <c r="V25" s="108" t="n"/>
      <c r="W25" s="107" t="n"/>
      <c r="X25" s="107" t="n"/>
      <c r="Y25" s="107" t="n"/>
      <c r="Z25" s="107" t="n"/>
      <c r="AA25" s="107" t="n"/>
      <c r="AB25" s="107" t="n"/>
      <c r="AC25" s="108" t="n"/>
      <c r="AD25" s="107" t="n"/>
      <c r="AE25" s="107" t="n"/>
      <c r="AF25" s="107" t="n"/>
      <c r="AG25" s="107" t="n"/>
      <c r="AH25" s="107" t="n"/>
      <c r="AI25" s="109">
        <f>IF(ISBLANK(B25), "", IF(ISNUMBER(D25), IF(D25&gt;0, (COUNTIF(E25:AH25, "✓") + COUNTIF(E25:AH25, "✔") + COUNTIF(E25:AH25, "v") + COUNTIF(E25:AH25, "V"))/D25, 0), IF(((COUNTIF(E25:AH25, "✓") + COUNTIF(E25:AH25, "✔") + COUNTIF(E25:AH25, "v") + COUNTIF(E25:AH25, "V")) + COUNTIF(E25:AH25, "✗") + COUNTIF(E25:AH25, "x") + COUNTIF(E25:AH25, "X"))&gt;0, (COUNTIF(E25:AH25, "✓") + COUNTIF(E25:AH25, "✔") + COUNTIF(E25:AH25, "v") + COUNTIF(E25:AH25, "V"))/((COUNTIF(E25:AH25, "✓") + COUNTIF(E25:AH25, "✔") + COUNTIF(E25:AH25, "v") + COUNTIF(E25:AH25, "V")) + COUNTIF(E25:AH25, "✗") + COUNTIF(E25:AH25, "x") + COUNTIF(E25:AH25, "X")), "")))</f>
        <v/>
      </c>
      <c r="AJ25" s="110">
        <f>IF(ISBLANK(B25), "", IF(ISNUMBER(D25), IF(D25&gt;0, (COUNTIF(E25:AH25, "✓") + COUNTIF(E25:AH25, "✔") + COUNTIF(E25:AH25, "v") + COUNTIF(E25:AH25, "V")) &amp; "/" &amp; D25, (COUNTIF(E25:AH25, "✓") + COUNTIF(E25:AH25, "✔") + COUNTIF(E25:AH25, "v") + COUNTIF(E25:AH25, "V")) &amp; "/0"), IF(((COUNTIF(E25:AH25, "✓") + COUNTIF(E25:AH25, "✔") + COUNTIF(E25:AH25, "v") + COUNTIF(E25:AH25, "V")) + COUNTIF(E25:AH25, "✗") + COUNTIF(E25:AH25, "x") + COUNTIF(E25:AH25, "X"))&gt;0, (COUNTIF(E25:AH25, "✓") + COUNTIF(E25:AH25, "✔") + COUNTIF(E25:AH25, "v") + COUNTIF(E25:AH25, "V")) &amp; "/" &amp; ((COUNTIF(E25:AH25, "✓") + COUNTIF(E25:AH25, "✔") + COUNTIF(E25:AH25, "v") + COUNTIF(E25:AH25, "V")) + COUNTIF(E25:AH25, "✗") + COUNTIF(E25:AH25, "x") + COUNTIF(E25:AH25, "X")), "")))</f>
        <v/>
      </c>
      <c r="AK25" s="110">
        <f>IF(ISBLANK(B25), "", IF(AI25&gt;=0.85, "🔥 Mastered", IF(AI25&gt;=0.7, "⚡ Consistent", "⚠️ Needs Focus")))</f>
        <v/>
      </c>
      <c r="AL25">
        <f>COUNTIF(E25:AH25, "✓")</f>
        <v/>
      </c>
    </row>
    <row r="26" ht="14.5" customHeight="1">
      <c r="A26" s="111" t="n">
        <v>9</v>
      </c>
      <c r="B26" s="112" t="n"/>
      <c r="C26" s="113" t="n"/>
      <c r="D26" s="113" t="n"/>
      <c r="E26" s="114" t="n"/>
      <c r="F26" s="114" t="n"/>
      <c r="G26" s="114" t="n"/>
      <c r="H26" s="115" t="n"/>
      <c r="I26" s="114" t="n"/>
      <c r="J26" s="114" t="n"/>
      <c r="K26" s="114" t="n"/>
      <c r="L26" s="114" t="n"/>
      <c r="M26" s="114" t="n"/>
      <c r="N26" s="114" t="n"/>
      <c r="O26" s="115" t="n"/>
      <c r="P26" s="114" t="n"/>
      <c r="Q26" s="114" t="n"/>
      <c r="R26" s="114" t="n"/>
      <c r="S26" s="114" t="n"/>
      <c r="T26" s="114" t="n"/>
      <c r="U26" s="114" t="n"/>
      <c r="V26" s="115" t="n"/>
      <c r="W26" s="114" t="n"/>
      <c r="X26" s="114" t="n"/>
      <c r="Y26" s="114" t="n"/>
      <c r="Z26" s="114" t="n"/>
      <c r="AA26" s="114" t="n"/>
      <c r="AB26" s="114" t="n"/>
      <c r="AC26" s="115" t="n"/>
      <c r="AD26" s="114" t="n"/>
      <c r="AE26" s="114" t="n"/>
      <c r="AF26" s="114" t="n"/>
      <c r="AG26" s="114" t="n"/>
      <c r="AH26" s="114" t="n"/>
      <c r="AI26" s="116">
        <f>IF(ISBLANK(B26), "", IF(ISNUMBER(D26), IF(D26&gt;0, (COUNTIF(E26:AH26, "✓") + COUNTIF(E26:AH26, "✔") + COUNTIF(E26:AH26, "v") + COUNTIF(E26:AH26, "V"))/D26, 0), IF(((COUNTIF(E26:AH26, "✓") + COUNTIF(E26:AH26, "✔") + COUNTIF(E26:AH26, "v") + COUNTIF(E26:AH26, "V")) + COUNTIF(E26:AH26, "✗") + COUNTIF(E26:AH26, "x") + COUNTIF(E26:AH26, "X"))&gt;0, (COUNTIF(E26:AH26, "✓") + COUNTIF(E26:AH26, "✔") + COUNTIF(E26:AH26, "v") + COUNTIF(E26:AH26, "V"))/((COUNTIF(E26:AH26, "✓") + COUNTIF(E26:AH26, "✔") + COUNTIF(E26:AH26, "v") + COUNTIF(E26:AH26, "V")) + COUNTIF(E26:AH26, "✗") + COUNTIF(E26:AH26, "x") + COUNTIF(E26:AH26, "X")), "")))</f>
        <v/>
      </c>
      <c r="AJ26" s="117">
        <f>IF(ISBLANK(B26), "", IF(ISNUMBER(D26), IF(D26&gt;0, (COUNTIF(E26:AH26, "✓") + COUNTIF(E26:AH26, "✔") + COUNTIF(E26:AH26, "v") + COUNTIF(E26:AH26, "V")) &amp; "/" &amp; D26, (COUNTIF(E26:AH26, "✓") + COUNTIF(E26:AH26, "✔") + COUNTIF(E26:AH26, "v") + COUNTIF(E26:AH26, "V")) &amp; "/0"), IF(((COUNTIF(E26:AH26, "✓") + COUNTIF(E26:AH26, "✔") + COUNTIF(E26:AH26, "v") + COUNTIF(E26:AH26, "V")) + COUNTIF(E26:AH26, "✗") + COUNTIF(E26:AH26, "x") + COUNTIF(E26:AH26, "X"))&gt;0, (COUNTIF(E26:AH26, "✓") + COUNTIF(E26:AH26, "✔") + COUNTIF(E26:AH26, "v") + COUNTIF(E26:AH26, "V")) &amp; "/" &amp; ((COUNTIF(E26:AH26, "✓") + COUNTIF(E26:AH26, "✔") + COUNTIF(E26:AH26, "v") + COUNTIF(E26:AH26, "V")) + COUNTIF(E26:AH26, "✗") + COUNTIF(E26:AH26, "x") + COUNTIF(E26:AH26, "X")), "")))</f>
        <v/>
      </c>
      <c r="AK26" s="117">
        <f>IF(ISBLANK(B26), "", IF(AI26&gt;=0.85, "🔥 Mastered", IF(AI26&gt;=0.7, "⚡ Consistent", "⚠️ Needs Focus")))</f>
        <v/>
      </c>
      <c r="AL26">
        <f>COUNTIF(E26:AH26, "✓")</f>
        <v/>
      </c>
    </row>
    <row r="27" ht="14.5" customHeight="1">
      <c r="A27" s="111" t="n">
        <v>10</v>
      </c>
      <c r="B27" s="112" t="n"/>
      <c r="C27" s="113" t="n"/>
      <c r="D27" s="113" t="n"/>
      <c r="E27" s="114" t="n"/>
      <c r="F27" s="114" t="n"/>
      <c r="G27" s="114" t="n"/>
      <c r="H27" s="115" t="n"/>
      <c r="I27" s="114" t="n"/>
      <c r="J27" s="114" t="n"/>
      <c r="K27" s="114" t="n"/>
      <c r="L27" s="114" t="n"/>
      <c r="M27" s="114" t="n"/>
      <c r="N27" s="114" t="n"/>
      <c r="O27" s="115" t="n"/>
      <c r="P27" s="114" t="n"/>
      <c r="Q27" s="114" t="n"/>
      <c r="R27" s="114" t="n"/>
      <c r="S27" s="114" t="n"/>
      <c r="T27" s="114" t="n"/>
      <c r="U27" s="114" t="n"/>
      <c r="V27" s="115" t="n"/>
      <c r="W27" s="114" t="n"/>
      <c r="X27" s="114" t="n"/>
      <c r="Y27" s="114" t="n"/>
      <c r="Z27" s="114" t="n"/>
      <c r="AA27" s="114" t="n"/>
      <c r="AB27" s="114" t="n"/>
      <c r="AC27" s="115" t="n"/>
      <c r="AD27" s="114" t="n"/>
      <c r="AE27" s="114" t="n"/>
      <c r="AF27" s="114" t="n"/>
      <c r="AG27" s="114" t="n"/>
      <c r="AH27" s="114" t="n"/>
      <c r="AI27" s="116">
        <f>IF(ISBLANK(B27), "", IF(ISNUMBER(D27), IF(D27&gt;0, (COUNTIF(E27:AH27, "✓") + COUNTIF(E27:AH27, "✔") + COUNTIF(E27:AH27, "v") + COUNTIF(E27:AH27, "V"))/D27, 0), IF(((COUNTIF(E27:AH27, "✓") + COUNTIF(E27:AH27, "✔") + COUNTIF(E27:AH27, "v") + COUNTIF(E27:AH27, "V")) + COUNTIF(E27:AH27, "✗") + COUNTIF(E27:AH27, "x") + COUNTIF(E27:AH27, "X"))&gt;0, (COUNTIF(E27:AH27, "✓") + COUNTIF(E27:AH27, "✔") + COUNTIF(E27:AH27, "v") + COUNTIF(E27:AH27, "V"))/((COUNTIF(E27:AH27, "✓") + COUNTIF(E27:AH27, "✔") + COUNTIF(E27:AH27, "v") + COUNTIF(E27:AH27, "V")) + COUNTIF(E27:AH27, "✗") + COUNTIF(E27:AH27, "x") + COUNTIF(E27:AH27, "X")), "")))</f>
        <v/>
      </c>
      <c r="AJ27" s="117">
        <f>IF(ISBLANK(B27), "", IF(ISNUMBER(D27), IF(D27&gt;0, (COUNTIF(E27:AH27, "✓") + COUNTIF(E27:AH27, "✔") + COUNTIF(E27:AH27, "v") + COUNTIF(E27:AH27, "V")) &amp; "/" &amp; D27, (COUNTIF(E27:AH27, "✓") + COUNTIF(E27:AH27, "✔") + COUNTIF(E27:AH27, "v") + COUNTIF(E27:AH27, "V")) &amp; "/0"), IF(((COUNTIF(E27:AH27, "✓") + COUNTIF(E27:AH27, "✔") + COUNTIF(E27:AH27, "v") + COUNTIF(E27:AH27, "V")) + COUNTIF(E27:AH27, "✗") + COUNTIF(E27:AH27, "x") + COUNTIF(E27:AH27, "X"))&gt;0, (COUNTIF(E27:AH27, "✓") + COUNTIF(E27:AH27, "✔") + COUNTIF(E27:AH27, "v") + COUNTIF(E27:AH27, "V")) &amp; "/" &amp; ((COUNTIF(E27:AH27, "✓") + COUNTIF(E27:AH27, "✔") + COUNTIF(E27:AH27, "v") + COUNTIF(E27:AH27, "V")) + COUNTIF(E27:AH27, "✗") + COUNTIF(E27:AH27, "x") + COUNTIF(E27:AH27, "X")), "")))</f>
        <v/>
      </c>
      <c r="AK27" s="117">
        <f>IF(ISBLANK(B27), "", IF(AI27&gt;=0.85, "🔥 Mastered", IF(AI27&gt;=0.7, "⚡ Consistent", "⚠️ Needs Focus")))</f>
        <v/>
      </c>
      <c r="AL27">
        <f>COUNTIF(E27:AH27, "✓")</f>
        <v/>
      </c>
    </row>
    <row r="28" ht="14.5" customHeight="1">
      <c r="A28" s="111" t="n">
        <v>11</v>
      </c>
      <c r="B28" s="112" t="n"/>
      <c r="C28" s="113" t="n"/>
      <c r="D28" s="113" t="n"/>
      <c r="E28" s="114" t="n"/>
      <c r="F28" s="114" t="n"/>
      <c r="G28" s="114" t="n"/>
      <c r="H28" s="115" t="n"/>
      <c r="I28" s="114" t="n"/>
      <c r="J28" s="114" t="n"/>
      <c r="K28" s="114" t="n"/>
      <c r="L28" s="114" t="n"/>
      <c r="M28" s="114" t="n"/>
      <c r="N28" s="114" t="n"/>
      <c r="O28" s="115" t="n"/>
      <c r="P28" s="114" t="n"/>
      <c r="Q28" s="114" t="n"/>
      <c r="R28" s="114" t="n"/>
      <c r="S28" s="114" t="n"/>
      <c r="T28" s="114" t="n"/>
      <c r="U28" s="114" t="n"/>
      <c r="V28" s="115" t="n"/>
      <c r="W28" s="114" t="n"/>
      <c r="X28" s="114" t="n"/>
      <c r="Y28" s="114" t="n"/>
      <c r="Z28" s="114" t="n"/>
      <c r="AA28" s="114" t="n"/>
      <c r="AB28" s="114" t="n"/>
      <c r="AC28" s="115" t="n"/>
      <c r="AD28" s="114" t="n"/>
      <c r="AE28" s="114" t="n"/>
      <c r="AF28" s="114" t="n"/>
      <c r="AG28" s="114" t="n"/>
      <c r="AH28" s="114" t="n"/>
      <c r="AI28" s="116">
        <f>IF(ISBLANK(B28), "", IF(ISNUMBER(D28), IF(D28&gt;0, (COUNTIF(E28:AH28, "✓") + COUNTIF(E28:AH28, "✔") + COUNTIF(E28:AH28, "v") + COUNTIF(E28:AH28, "V"))/D28, 0), IF(((COUNTIF(E28:AH28, "✓") + COUNTIF(E28:AH28, "✔") + COUNTIF(E28:AH28, "v") + COUNTIF(E28:AH28, "V")) + COUNTIF(E28:AH28, "✗") + COUNTIF(E28:AH28, "x") + COUNTIF(E28:AH28, "X"))&gt;0, (COUNTIF(E28:AH28, "✓") + COUNTIF(E28:AH28, "✔") + COUNTIF(E28:AH28, "v") + COUNTIF(E28:AH28, "V"))/((COUNTIF(E28:AH28, "✓") + COUNTIF(E28:AH28, "✔") + COUNTIF(E28:AH28, "v") + COUNTIF(E28:AH28, "V")) + COUNTIF(E28:AH28, "✗") + COUNTIF(E28:AH28, "x") + COUNTIF(E28:AH28, "X")), "")))</f>
        <v/>
      </c>
      <c r="AJ28" s="117">
        <f>IF(ISBLANK(B28), "", IF(ISNUMBER(D28), IF(D28&gt;0, (COUNTIF(E28:AH28, "✓") + COUNTIF(E28:AH28, "✔") + COUNTIF(E28:AH28, "v") + COUNTIF(E28:AH28, "V")) &amp; "/" &amp; D28, (COUNTIF(E28:AH28, "✓") + COUNTIF(E28:AH28, "✔") + COUNTIF(E28:AH28, "v") + COUNTIF(E28:AH28, "V")) &amp; "/0"), IF(((COUNTIF(E28:AH28, "✓") + COUNTIF(E28:AH28, "✔") + COUNTIF(E28:AH28, "v") + COUNTIF(E28:AH28, "V")) + COUNTIF(E28:AH28, "✗") + COUNTIF(E28:AH28, "x") + COUNTIF(E28:AH28, "X"))&gt;0, (COUNTIF(E28:AH28, "✓") + COUNTIF(E28:AH28, "✔") + COUNTIF(E28:AH28, "v") + COUNTIF(E28:AH28, "V")) &amp; "/" &amp; ((COUNTIF(E28:AH28, "✓") + COUNTIF(E28:AH28, "✔") + COUNTIF(E28:AH28, "v") + COUNTIF(E28:AH28, "V")) + COUNTIF(E28:AH28, "✗") + COUNTIF(E28:AH28, "x") + COUNTIF(E28:AH28, "X")), "")))</f>
        <v/>
      </c>
      <c r="AK28" s="117">
        <f>IF(ISBLANK(B28), "", IF(AI28&gt;=0.85, "🔥 Mastered", IF(AI28&gt;=0.7, "⚡ Consistent", "⚠️ Needs Focus")))</f>
        <v/>
      </c>
      <c r="AL28">
        <f>COUNTIF(E28:AH28, "✓")</f>
        <v/>
      </c>
    </row>
    <row r="29" ht="14.5" customHeight="1">
      <c r="A29" s="111" t="n">
        <v>12</v>
      </c>
      <c r="B29" s="112" t="n"/>
      <c r="C29" s="113" t="n"/>
      <c r="D29" s="113" t="n"/>
      <c r="E29" s="114" t="n"/>
      <c r="F29" s="114" t="n"/>
      <c r="G29" s="114" t="n"/>
      <c r="H29" s="115" t="n"/>
      <c r="I29" s="114" t="n"/>
      <c r="J29" s="114" t="n"/>
      <c r="K29" s="114" t="n"/>
      <c r="L29" s="114" t="n"/>
      <c r="M29" s="114" t="n"/>
      <c r="N29" s="114" t="n"/>
      <c r="O29" s="115" t="n"/>
      <c r="P29" s="114" t="n"/>
      <c r="Q29" s="114" t="n"/>
      <c r="R29" s="114" t="n"/>
      <c r="S29" s="114" t="n"/>
      <c r="T29" s="114" t="n"/>
      <c r="U29" s="114" t="n"/>
      <c r="V29" s="115" t="n"/>
      <c r="W29" s="114" t="n"/>
      <c r="X29" s="114" t="n"/>
      <c r="Y29" s="114" t="n"/>
      <c r="Z29" s="114" t="n"/>
      <c r="AA29" s="114" t="n"/>
      <c r="AB29" s="114" t="n"/>
      <c r="AC29" s="115" t="n"/>
      <c r="AD29" s="114" t="n"/>
      <c r="AE29" s="114" t="n"/>
      <c r="AF29" s="114" t="n"/>
      <c r="AG29" s="114" t="n"/>
      <c r="AH29" s="114" t="n"/>
      <c r="AI29" s="116">
        <f>IF(ISBLANK(B29), "", IF(ISNUMBER(D29), IF(D29&gt;0, (COUNTIF(E29:AH29, "✓") + COUNTIF(E29:AH29, "✔") + COUNTIF(E29:AH29, "v") + COUNTIF(E29:AH29, "V"))/D29, 0), IF(((COUNTIF(E29:AH29, "✓") + COUNTIF(E29:AH29, "✔") + COUNTIF(E29:AH29, "v") + COUNTIF(E29:AH29, "V")) + COUNTIF(E29:AH29, "✗") + COUNTIF(E29:AH29, "x") + COUNTIF(E29:AH29, "X"))&gt;0, (COUNTIF(E29:AH29, "✓") + COUNTIF(E29:AH29, "✔") + COUNTIF(E29:AH29, "v") + COUNTIF(E29:AH29, "V"))/((COUNTIF(E29:AH29, "✓") + COUNTIF(E29:AH29, "✔") + COUNTIF(E29:AH29, "v") + COUNTIF(E29:AH29, "V")) + COUNTIF(E29:AH29, "✗") + COUNTIF(E29:AH29, "x") + COUNTIF(E29:AH29, "X")), "")))</f>
        <v/>
      </c>
      <c r="AJ29" s="117">
        <f>IF(ISBLANK(B29), "", IF(ISNUMBER(D29), IF(D29&gt;0, (COUNTIF(E29:AH29, "✓") + COUNTIF(E29:AH29, "✔") + COUNTIF(E29:AH29, "v") + COUNTIF(E29:AH29, "V")) &amp; "/" &amp; D29, (COUNTIF(E29:AH29, "✓") + COUNTIF(E29:AH29, "✔") + COUNTIF(E29:AH29, "v") + COUNTIF(E29:AH29, "V")) &amp; "/0"), IF(((COUNTIF(E29:AH29, "✓") + COUNTIF(E29:AH29, "✔") + COUNTIF(E29:AH29, "v") + COUNTIF(E29:AH29, "V")) + COUNTIF(E29:AH29, "✗") + COUNTIF(E29:AH29, "x") + COUNTIF(E29:AH29, "X"))&gt;0, (COUNTIF(E29:AH29, "✓") + COUNTIF(E29:AH29, "✔") + COUNTIF(E29:AH29, "v") + COUNTIF(E29:AH29, "V")) &amp; "/" &amp; ((COUNTIF(E29:AH29, "✓") + COUNTIF(E29:AH29, "✔") + COUNTIF(E29:AH29, "v") + COUNTIF(E29:AH29, "V")) + COUNTIF(E29:AH29, "✗") + COUNTIF(E29:AH29, "x") + COUNTIF(E29:AH29, "X")), "")))</f>
        <v/>
      </c>
      <c r="AK29" s="117">
        <f>IF(ISBLANK(B29), "", IF(AI29&gt;=0.85, "🔥 Mastered", IF(AI29&gt;=0.7, "⚡ Consistent", "⚠️ Needs Focus")))</f>
        <v/>
      </c>
      <c r="AL29">
        <f>COUNTIF(E29:AH29, "✓")</f>
        <v/>
      </c>
    </row>
    <row r="30" ht="14.5" customHeight="1">
      <c r="A30" s="118" t="n">
        <v>13</v>
      </c>
      <c r="B30" s="119" t="n"/>
      <c r="C30" s="120" t="n"/>
      <c r="D30" s="120" t="n"/>
      <c r="E30" s="121" t="n"/>
      <c r="F30" s="121" t="n"/>
      <c r="G30" s="121" t="n"/>
      <c r="H30" s="122" t="n"/>
      <c r="I30" s="121" t="n"/>
      <c r="J30" s="121" t="n"/>
      <c r="K30" s="121" t="n"/>
      <c r="L30" s="121" t="n"/>
      <c r="M30" s="121" t="n"/>
      <c r="N30" s="121" t="n"/>
      <c r="O30" s="122" t="n"/>
      <c r="P30" s="121" t="n"/>
      <c r="Q30" s="121" t="n"/>
      <c r="R30" s="121" t="n"/>
      <c r="S30" s="121" t="n"/>
      <c r="T30" s="121" t="n"/>
      <c r="U30" s="121" t="n"/>
      <c r="V30" s="122" t="n"/>
      <c r="W30" s="121" t="n"/>
      <c r="X30" s="121" t="n"/>
      <c r="Y30" s="121" t="n"/>
      <c r="Z30" s="121" t="n"/>
      <c r="AA30" s="121" t="n"/>
      <c r="AB30" s="121" t="n"/>
      <c r="AC30" s="122" t="n"/>
      <c r="AD30" s="121" t="n"/>
      <c r="AE30" s="121" t="n"/>
      <c r="AF30" s="121" t="n"/>
      <c r="AG30" s="121" t="n"/>
      <c r="AH30" s="121" t="n"/>
      <c r="AI30" s="123">
        <f>IF(ISBLANK(B30), "", IF(ISNUMBER(D30), IF(D30&gt;0, (COUNTIF(E30:AH30, "✓") + COUNTIF(E30:AH30, "✔") + COUNTIF(E30:AH30, "v") + COUNTIF(E30:AH30, "V"))/D30, 0), IF(((COUNTIF(E30:AH30, "✓") + COUNTIF(E30:AH30, "✔") + COUNTIF(E30:AH30, "v") + COUNTIF(E30:AH30, "V")) + COUNTIF(E30:AH30, "✗") + COUNTIF(E30:AH30, "x") + COUNTIF(E30:AH30, "X"))&gt;0, (COUNTIF(E30:AH30, "✓") + COUNTIF(E30:AH30, "✔") + COUNTIF(E30:AH30, "v") + COUNTIF(E30:AH30, "V"))/((COUNTIF(E30:AH30, "✓") + COUNTIF(E30:AH30, "✔") + COUNTIF(E30:AH30, "v") + COUNTIF(E30:AH30, "V")) + COUNTIF(E30:AH30, "✗") + COUNTIF(E30:AH30, "x") + COUNTIF(E30:AH30, "X")), "")))</f>
        <v/>
      </c>
      <c r="AJ30" s="124">
        <f>IF(ISBLANK(B30), "", IF(ISNUMBER(D30), IF(D30&gt;0, (COUNTIF(E30:AH30, "✓") + COUNTIF(E30:AH30, "✔") + COUNTIF(E30:AH30, "v") + COUNTIF(E30:AH30, "V")) &amp; "/" &amp; D30, (COUNTIF(E30:AH30, "✓") + COUNTIF(E30:AH30, "✔") + COUNTIF(E30:AH30, "v") + COUNTIF(E30:AH30, "V")) &amp; "/0"), IF(((COUNTIF(E30:AH30, "✓") + COUNTIF(E30:AH30, "✔") + COUNTIF(E30:AH30, "v") + COUNTIF(E30:AH30, "V")) + COUNTIF(E30:AH30, "✗") + COUNTIF(E30:AH30, "x") + COUNTIF(E30:AH30, "X"))&gt;0, (COUNTIF(E30:AH30, "✓") + COUNTIF(E30:AH30, "✔") + COUNTIF(E30:AH30, "v") + COUNTIF(E30:AH30, "V")) &amp; "/" &amp; ((COUNTIF(E30:AH30, "✓") + COUNTIF(E30:AH30, "✔") + COUNTIF(E30:AH30, "v") + COUNTIF(E30:AH30, "V")) + COUNTIF(E30:AH30, "✗") + COUNTIF(E30:AH30, "x") + COUNTIF(E30:AH30, "X")), "")))</f>
        <v/>
      </c>
      <c r="AK30" s="124">
        <f>IF(ISBLANK(B30), "", IF(AI30&gt;=0.85, "🔥 Mastered", IF(AI30&gt;=0.7, "⚡ Consistent", "⚠️ Needs Focus")))</f>
        <v/>
      </c>
      <c r="AL30">
        <f>COUNTIF(E30:AH30, "✓")</f>
        <v/>
      </c>
    </row>
    <row r="31" ht="14.5" customHeight="1">
      <c r="A31" s="118" t="n">
        <v>14</v>
      </c>
      <c r="B31" s="119" t="n"/>
      <c r="C31" s="120" t="n"/>
      <c r="D31" s="120" t="n"/>
      <c r="E31" s="121" t="n"/>
      <c r="F31" s="121" t="n"/>
      <c r="G31" s="121" t="n"/>
      <c r="H31" s="122" t="n"/>
      <c r="I31" s="121" t="n"/>
      <c r="J31" s="121" t="n"/>
      <c r="K31" s="121" t="n"/>
      <c r="L31" s="121" t="n"/>
      <c r="M31" s="121" t="n"/>
      <c r="N31" s="121" t="n"/>
      <c r="O31" s="122" t="n"/>
      <c r="P31" s="121" t="n"/>
      <c r="Q31" s="121" t="n"/>
      <c r="R31" s="121" t="n"/>
      <c r="S31" s="121" t="n"/>
      <c r="T31" s="121" t="n"/>
      <c r="U31" s="121" t="n"/>
      <c r="V31" s="122" t="n"/>
      <c r="W31" s="121" t="n"/>
      <c r="X31" s="121" t="n"/>
      <c r="Y31" s="121" t="n"/>
      <c r="Z31" s="121" t="n"/>
      <c r="AA31" s="121" t="n"/>
      <c r="AB31" s="121" t="n"/>
      <c r="AC31" s="122" t="n"/>
      <c r="AD31" s="121" t="n"/>
      <c r="AE31" s="121" t="n"/>
      <c r="AF31" s="121" t="n"/>
      <c r="AG31" s="121" t="n"/>
      <c r="AH31" s="121" t="n"/>
      <c r="AI31" s="123">
        <f>IF(ISBLANK(B31), "", IF(ISNUMBER(D31), IF(D31&gt;0, (COUNTIF(E31:AH31, "✓") + COUNTIF(E31:AH31, "✔") + COUNTIF(E31:AH31, "v") + COUNTIF(E31:AH31, "V"))/D31, 0), IF(((COUNTIF(E31:AH31, "✓") + COUNTIF(E31:AH31, "✔") + COUNTIF(E31:AH31, "v") + COUNTIF(E31:AH31, "V")) + COUNTIF(E31:AH31, "✗") + COUNTIF(E31:AH31, "x") + COUNTIF(E31:AH31, "X"))&gt;0, (COUNTIF(E31:AH31, "✓") + COUNTIF(E31:AH31, "✔") + COUNTIF(E31:AH31, "v") + COUNTIF(E31:AH31, "V"))/((COUNTIF(E31:AH31, "✓") + COUNTIF(E31:AH31, "✔") + COUNTIF(E31:AH31, "v") + COUNTIF(E31:AH31, "V")) + COUNTIF(E31:AH31, "✗") + COUNTIF(E31:AH31, "x") + COUNTIF(E31:AH31, "X")), "")))</f>
        <v/>
      </c>
      <c r="AJ31" s="124">
        <f>IF(ISBLANK(B31), "", IF(ISNUMBER(D31), IF(D31&gt;0, (COUNTIF(E31:AH31, "✓") + COUNTIF(E31:AH31, "✔") + COUNTIF(E31:AH31, "v") + COUNTIF(E31:AH31, "V")) &amp; "/" &amp; D31, (COUNTIF(E31:AH31, "✓") + COUNTIF(E31:AH31, "✔") + COUNTIF(E31:AH31, "v") + COUNTIF(E31:AH31, "V")) &amp; "/0"), IF(((COUNTIF(E31:AH31, "✓") + COUNTIF(E31:AH31, "✔") + COUNTIF(E31:AH31, "v") + COUNTIF(E31:AH31, "V")) + COUNTIF(E31:AH31, "✗") + COUNTIF(E31:AH31, "x") + COUNTIF(E31:AH31, "X"))&gt;0, (COUNTIF(E31:AH31, "✓") + COUNTIF(E31:AH31, "✔") + COUNTIF(E31:AH31, "v") + COUNTIF(E31:AH31, "V")) &amp; "/" &amp; ((COUNTIF(E31:AH31, "✓") + COUNTIF(E31:AH31, "✔") + COUNTIF(E31:AH31, "v") + COUNTIF(E31:AH31, "V")) + COUNTIF(E31:AH31, "✗") + COUNTIF(E31:AH31, "x") + COUNTIF(E31:AH31, "X")), "")))</f>
        <v/>
      </c>
      <c r="AK31" s="124">
        <f>IF(ISBLANK(B31), "", IF(AI31&gt;=0.85, "🔥 Mastered", IF(AI31&gt;=0.7, "⚡ Consistent", "⚠️ Needs Focus")))</f>
        <v/>
      </c>
      <c r="AL31">
        <f>COUNTIF(E31:AH31, "✓")</f>
        <v/>
      </c>
    </row>
    <row r="32" ht="14.5" customHeight="1">
      <c r="A32" s="118" t="n">
        <v>15</v>
      </c>
      <c r="B32" s="119" t="n"/>
      <c r="C32" s="120" t="n"/>
      <c r="D32" s="120" t="n"/>
      <c r="E32" s="121" t="n"/>
      <c r="F32" s="121" t="n"/>
      <c r="G32" s="121" t="n"/>
      <c r="H32" s="122" t="n"/>
      <c r="I32" s="121" t="n"/>
      <c r="J32" s="121" t="n"/>
      <c r="K32" s="121" t="n"/>
      <c r="L32" s="121" t="n"/>
      <c r="M32" s="121" t="n"/>
      <c r="N32" s="121" t="n"/>
      <c r="O32" s="122" t="n"/>
      <c r="P32" s="121" t="n"/>
      <c r="Q32" s="121" t="n"/>
      <c r="R32" s="121" t="n"/>
      <c r="S32" s="121" t="n"/>
      <c r="T32" s="121" t="n"/>
      <c r="U32" s="121" t="n"/>
      <c r="V32" s="122" t="n"/>
      <c r="W32" s="121" t="n"/>
      <c r="X32" s="121" t="n"/>
      <c r="Y32" s="121" t="n"/>
      <c r="Z32" s="121" t="n"/>
      <c r="AA32" s="121" t="n"/>
      <c r="AB32" s="121" t="n"/>
      <c r="AC32" s="122" t="n"/>
      <c r="AD32" s="121" t="n"/>
      <c r="AE32" s="121" t="n"/>
      <c r="AF32" s="121" t="n"/>
      <c r="AG32" s="121" t="n"/>
      <c r="AH32" s="121" t="n"/>
      <c r="AI32" s="123">
        <f>IF(ISBLANK(B32), "", IF(ISNUMBER(D32), IF(D32&gt;0, (COUNTIF(E32:AH32, "✓") + COUNTIF(E32:AH32, "✔") + COUNTIF(E32:AH32, "v") + COUNTIF(E32:AH32, "V"))/D32, 0), IF(((COUNTIF(E32:AH32, "✓") + COUNTIF(E32:AH32, "✔") + COUNTIF(E32:AH32, "v") + COUNTIF(E32:AH32, "V")) + COUNTIF(E32:AH32, "✗") + COUNTIF(E32:AH32, "x") + COUNTIF(E32:AH32, "X"))&gt;0, (COUNTIF(E32:AH32, "✓") + COUNTIF(E32:AH32, "✔") + COUNTIF(E32:AH32, "v") + COUNTIF(E32:AH32, "V"))/((COUNTIF(E32:AH32, "✓") + COUNTIF(E32:AH32, "✔") + COUNTIF(E32:AH32, "v") + COUNTIF(E32:AH32, "V")) + COUNTIF(E32:AH32, "✗") + COUNTIF(E32:AH32, "x") + COUNTIF(E32:AH32, "X")), "")))</f>
        <v/>
      </c>
      <c r="AJ32" s="124">
        <f>IF(ISBLANK(B32), "", IF(ISNUMBER(D32), IF(D32&gt;0, (COUNTIF(E32:AH32, "✓") + COUNTIF(E32:AH32, "✔") + COUNTIF(E32:AH32, "v") + COUNTIF(E32:AH32, "V")) &amp; "/" &amp; D32, (COUNTIF(E32:AH32, "✓") + COUNTIF(E32:AH32, "✔") + COUNTIF(E32:AH32, "v") + COUNTIF(E32:AH32, "V")) &amp; "/0"), IF(((COUNTIF(E32:AH32, "✓") + COUNTIF(E32:AH32, "✔") + COUNTIF(E32:AH32, "v") + COUNTIF(E32:AH32, "V")) + COUNTIF(E32:AH32, "✗") + COUNTIF(E32:AH32, "x") + COUNTIF(E32:AH32, "X"))&gt;0, (COUNTIF(E32:AH32, "✓") + COUNTIF(E32:AH32, "✔") + COUNTIF(E32:AH32, "v") + COUNTIF(E32:AH32, "V")) &amp; "/" &amp; ((COUNTIF(E32:AH32, "✓") + COUNTIF(E32:AH32, "✔") + COUNTIF(E32:AH32, "v") + COUNTIF(E32:AH32, "V")) + COUNTIF(E32:AH32, "✗") + COUNTIF(E32:AH32, "x") + COUNTIF(E32:AH32, "X")), "")))</f>
        <v/>
      </c>
      <c r="AK32" s="124">
        <f>IF(ISBLANK(B32), "", IF(AI32&gt;=0.85, "🔥 Mastered", IF(AI32&gt;=0.7, "⚡ Consistent", "⚠️ Needs Focus")))</f>
        <v/>
      </c>
      <c r="AL32">
        <f>COUNTIF(E32:AH32, "✓")</f>
        <v/>
      </c>
    </row>
    <row r="33" ht="14.5" customHeight="1">
      <c r="A33" s="118" t="n">
        <v>16</v>
      </c>
      <c r="B33" s="119" t="n"/>
      <c r="C33" s="120" t="n"/>
      <c r="D33" s="120" t="n"/>
      <c r="E33" s="121" t="n"/>
      <c r="F33" s="121" t="n"/>
      <c r="G33" s="121" t="n"/>
      <c r="H33" s="122" t="n"/>
      <c r="I33" s="121" t="n"/>
      <c r="J33" s="121" t="n"/>
      <c r="K33" s="121" t="n"/>
      <c r="L33" s="121" t="n"/>
      <c r="M33" s="121" t="n"/>
      <c r="N33" s="121" t="n"/>
      <c r="O33" s="122" t="n"/>
      <c r="P33" s="121" t="n"/>
      <c r="Q33" s="121" t="n"/>
      <c r="R33" s="121" t="n"/>
      <c r="S33" s="121" t="n"/>
      <c r="T33" s="121" t="n"/>
      <c r="U33" s="121" t="n"/>
      <c r="V33" s="122" t="n"/>
      <c r="W33" s="121" t="n"/>
      <c r="X33" s="121" t="n"/>
      <c r="Y33" s="121" t="n"/>
      <c r="Z33" s="121" t="n"/>
      <c r="AA33" s="121" t="n"/>
      <c r="AB33" s="121" t="n"/>
      <c r="AC33" s="122" t="n"/>
      <c r="AD33" s="121" t="n"/>
      <c r="AE33" s="121" t="n"/>
      <c r="AF33" s="121" t="n"/>
      <c r="AG33" s="121" t="n"/>
      <c r="AH33" s="121" t="n"/>
      <c r="AI33" s="123">
        <f>IF(ISBLANK(B33), "", IF(ISNUMBER(D33), IF(D33&gt;0, (COUNTIF(E33:AH33, "✓") + COUNTIF(E33:AH33, "✔") + COUNTIF(E33:AH33, "v") + COUNTIF(E33:AH33, "V"))/D33, 0), IF(((COUNTIF(E33:AH33, "✓") + COUNTIF(E33:AH33, "✔") + COUNTIF(E33:AH33, "v") + COUNTIF(E33:AH33, "V")) + COUNTIF(E33:AH33, "✗") + COUNTIF(E33:AH33, "x") + COUNTIF(E33:AH33, "X"))&gt;0, (COUNTIF(E33:AH33, "✓") + COUNTIF(E33:AH33, "✔") + COUNTIF(E33:AH33, "v") + COUNTIF(E33:AH33, "V"))/((COUNTIF(E33:AH33, "✓") + COUNTIF(E33:AH33, "✔") + COUNTIF(E33:AH33, "v") + COUNTIF(E33:AH33, "V")) + COUNTIF(E33:AH33, "✗") + COUNTIF(E33:AH33, "x") + COUNTIF(E33:AH33, "X")), "")))</f>
        <v/>
      </c>
      <c r="AJ33" s="124">
        <f>IF(ISBLANK(B33), "", IF(ISNUMBER(D33), IF(D33&gt;0, (COUNTIF(E33:AH33, "✓") + COUNTIF(E33:AH33, "✔") + COUNTIF(E33:AH33, "v") + COUNTIF(E33:AH33, "V")) &amp; "/" &amp; D33, (COUNTIF(E33:AH33, "✓") + COUNTIF(E33:AH33, "✔") + COUNTIF(E33:AH33, "v") + COUNTIF(E33:AH33, "V")) &amp; "/0"), IF(((COUNTIF(E33:AH33, "✓") + COUNTIF(E33:AH33, "✔") + COUNTIF(E33:AH33, "v") + COUNTIF(E33:AH33, "V")) + COUNTIF(E33:AH33, "✗") + COUNTIF(E33:AH33, "x") + COUNTIF(E33:AH33, "X"))&gt;0, (COUNTIF(E33:AH33, "✓") + COUNTIF(E33:AH33, "✔") + COUNTIF(E33:AH33, "v") + COUNTIF(E33:AH33, "V")) &amp; "/" &amp; ((COUNTIF(E33:AH33, "✓") + COUNTIF(E33:AH33, "✔") + COUNTIF(E33:AH33, "v") + COUNTIF(E33:AH33, "V")) + COUNTIF(E33:AH33, "✗") + COUNTIF(E33:AH33, "x") + COUNTIF(E33:AH33, "X")), "")))</f>
        <v/>
      </c>
      <c r="AK33" s="124">
        <f>IF(ISBLANK(B33), "", IF(AI33&gt;=0.85, "🔥 Mastered", IF(AI33&gt;=0.7, "⚡ Consistent", "⚠️ Needs Focus")))</f>
        <v/>
      </c>
      <c r="AL33">
        <f>COUNTIF(E33:AH33, "✓")</f>
        <v/>
      </c>
    </row>
    <row r="34" ht="14.5" customHeight="1">
      <c r="A34" s="125" t="n">
        <v>17</v>
      </c>
      <c r="B34" s="126" t="n"/>
      <c r="C34" s="127" t="n"/>
      <c r="D34" s="127" t="n"/>
      <c r="E34" s="128" t="n"/>
      <c r="F34" s="128" t="n"/>
      <c r="G34" s="128" t="n"/>
      <c r="H34" s="129" t="n"/>
      <c r="I34" s="128" t="n"/>
      <c r="J34" s="128" t="n"/>
      <c r="K34" s="128" t="n"/>
      <c r="L34" s="128" t="n"/>
      <c r="M34" s="128" t="n"/>
      <c r="N34" s="128" t="n"/>
      <c r="O34" s="129" t="n"/>
      <c r="P34" s="128" t="n"/>
      <c r="Q34" s="128" t="n"/>
      <c r="R34" s="128" t="n"/>
      <c r="S34" s="128" t="n"/>
      <c r="T34" s="128" t="n"/>
      <c r="U34" s="128" t="n"/>
      <c r="V34" s="129" t="n"/>
      <c r="W34" s="128" t="n"/>
      <c r="X34" s="128" t="n"/>
      <c r="Y34" s="128" t="n"/>
      <c r="Z34" s="128" t="n"/>
      <c r="AA34" s="128" t="n"/>
      <c r="AB34" s="128" t="n"/>
      <c r="AC34" s="129" t="n"/>
      <c r="AD34" s="128" t="n"/>
      <c r="AE34" s="128" t="n"/>
      <c r="AF34" s="128" t="n"/>
      <c r="AG34" s="128" t="n"/>
      <c r="AH34" s="128" t="n"/>
      <c r="AI34" s="130">
        <f>IF(ISBLANK(B34), "", IF(ISNUMBER(D34), IF(D34&gt;0, (COUNTIF(E34:AH34, "✓") + COUNTIF(E34:AH34, "✔") + COUNTIF(E34:AH34, "v") + COUNTIF(E34:AH34, "V"))/D34, 0), IF(((COUNTIF(E34:AH34, "✓") + COUNTIF(E34:AH34, "✔") + COUNTIF(E34:AH34, "v") + COUNTIF(E34:AH34, "V")) + COUNTIF(E34:AH34, "✗") + COUNTIF(E34:AH34, "x") + COUNTIF(E34:AH34, "X"))&gt;0, (COUNTIF(E34:AH34, "✓") + COUNTIF(E34:AH34, "✔") + COUNTIF(E34:AH34, "v") + COUNTIF(E34:AH34, "V"))/((COUNTIF(E34:AH34, "✓") + COUNTIF(E34:AH34, "✔") + COUNTIF(E34:AH34, "v") + COUNTIF(E34:AH34, "V")) + COUNTIF(E34:AH34, "✗") + COUNTIF(E34:AH34, "x") + COUNTIF(E34:AH34, "X")), "")))</f>
        <v/>
      </c>
      <c r="AJ34" s="131">
        <f>IF(ISBLANK(B34), "", IF(ISNUMBER(D34), IF(D34&gt;0, (COUNTIF(E34:AH34, "✓") + COUNTIF(E34:AH34, "✔") + COUNTIF(E34:AH34, "v") + COUNTIF(E34:AH34, "V")) &amp; "/" &amp; D34, (COUNTIF(E34:AH34, "✓") + COUNTIF(E34:AH34, "✔") + COUNTIF(E34:AH34, "v") + COUNTIF(E34:AH34, "V")) &amp; "/0"), IF(((COUNTIF(E34:AH34, "✓") + COUNTIF(E34:AH34, "✔") + COUNTIF(E34:AH34, "v") + COUNTIF(E34:AH34, "V")) + COUNTIF(E34:AH34, "✗") + COUNTIF(E34:AH34, "x") + COUNTIF(E34:AH34, "X"))&gt;0, (COUNTIF(E34:AH34, "✓") + COUNTIF(E34:AH34, "✔") + COUNTIF(E34:AH34, "v") + COUNTIF(E34:AH34, "V")) &amp; "/" &amp; ((COUNTIF(E34:AH34, "✓") + COUNTIF(E34:AH34, "✔") + COUNTIF(E34:AH34, "v") + COUNTIF(E34:AH34, "V")) + COUNTIF(E34:AH34, "✗") + COUNTIF(E34:AH34, "x") + COUNTIF(E34:AH34, "X")), "")))</f>
        <v/>
      </c>
      <c r="AK34" s="131">
        <f>IF(ISBLANK(B34), "", IF(AI34&gt;=0.85, "🔥 Mastered", IF(AI34&gt;=0.7, "⚡ Consistent", "⚠️ Needs Focus")))</f>
        <v/>
      </c>
      <c r="AL34">
        <f>COUNTIF(E34:AH34, "✓")</f>
        <v/>
      </c>
    </row>
    <row r="35" ht="14.5" customHeight="1">
      <c r="A35" s="125" t="n">
        <v>18</v>
      </c>
      <c r="B35" s="126" t="n"/>
      <c r="C35" s="127" t="n"/>
      <c r="D35" s="127" t="n"/>
      <c r="E35" s="128" t="n"/>
      <c r="F35" s="128" t="n"/>
      <c r="G35" s="128" t="n"/>
      <c r="H35" s="129" t="n"/>
      <c r="I35" s="128" t="n"/>
      <c r="J35" s="128" t="n"/>
      <c r="K35" s="128" t="n"/>
      <c r="L35" s="128" t="n"/>
      <c r="M35" s="128" t="n"/>
      <c r="N35" s="128" t="n"/>
      <c r="O35" s="129" t="n"/>
      <c r="P35" s="128" t="n"/>
      <c r="Q35" s="128" t="n"/>
      <c r="R35" s="128" t="n"/>
      <c r="S35" s="128" t="n"/>
      <c r="T35" s="128" t="n"/>
      <c r="U35" s="128" t="n"/>
      <c r="V35" s="129" t="n"/>
      <c r="W35" s="128" t="n"/>
      <c r="X35" s="128" t="n"/>
      <c r="Y35" s="128" t="n"/>
      <c r="Z35" s="128" t="n"/>
      <c r="AA35" s="128" t="n"/>
      <c r="AB35" s="128" t="n"/>
      <c r="AC35" s="129" t="n"/>
      <c r="AD35" s="128" t="n"/>
      <c r="AE35" s="128" t="n"/>
      <c r="AF35" s="128" t="n"/>
      <c r="AG35" s="128" t="n"/>
      <c r="AH35" s="128" t="n"/>
      <c r="AI35" s="130">
        <f>IF(ISBLANK(B35), "", IF(ISNUMBER(D35), IF(D35&gt;0, (COUNTIF(E35:AH35, "✓") + COUNTIF(E35:AH35, "✔") + COUNTIF(E35:AH35, "v") + COUNTIF(E35:AH35, "V"))/D35, 0), IF(((COUNTIF(E35:AH35, "✓") + COUNTIF(E35:AH35, "✔") + COUNTIF(E35:AH35, "v") + COUNTIF(E35:AH35, "V")) + COUNTIF(E35:AH35, "✗") + COUNTIF(E35:AH35, "x") + COUNTIF(E35:AH35, "X"))&gt;0, (COUNTIF(E35:AH35, "✓") + COUNTIF(E35:AH35, "✔") + COUNTIF(E35:AH35, "v") + COUNTIF(E35:AH35, "V"))/((COUNTIF(E35:AH35, "✓") + COUNTIF(E35:AH35, "✔") + COUNTIF(E35:AH35, "v") + COUNTIF(E35:AH35, "V")) + COUNTIF(E35:AH35, "✗") + COUNTIF(E35:AH35, "x") + COUNTIF(E35:AH35, "X")), "")))</f>
        <v/>
      </c>
      <c r="AJ35" s="131">
        <f>IF(ISBLANK(B35), "", IF(ISNUMBER(D35), IF(D35&gt;0, (COUNTIF(E35:AH35, "✓") + COUNTIF(E35:AH35, "✔") + COUNTIF(E35:AH35, "v") + COUNTIF(E35:AH35, "V")) &amp; "/" &amp; D35, (COUNTIF(E35:AH35, "✓") + COUNTIF(E35:AH35, "✔") + COUNTIF(E35:AH35, "v") + COUNTIF(E35:AH35, "V")) &amp; "/0"), IF(((COUNTIF(E35:AH35, "✓") + COUNTIF(E35:AH35, "✔") + COUNTIF(E35:AH35, "v") + COUNTIF(E35:AH35, "V")) + COUNTIF(E35:AH35, "✗") + COUNTIF(E35:AH35, "x") + COUNTIF(E35:AH35, "X"))&gt;0, (COUNTIF(E35:AH35, "✓") + COUNTIF(E35:AH35, "✔") + COUNTIF(E35:AH35, "v") + COUNTIF(E35:AH35, "V")) &amp; "/" &amp; ((COUNTIF(E35:AH35, "✓") + COUNTIF(E35:AH35, "✔") + COUNTIF(E35:AH35, "v") + COUNTIF(E35:AH35, "V")) + COUNTIF(E35:AH35, "✗") + COUNTIF(E35:AH35, "x") + COUNTIF(E35:AH35, "X")), "")))</f>
        <v/>
      </c>
      <c r="AK35" s="131">
        <f>IF(ISBLANK(B35), "", IF(AI35&gt;=0.85, "🔥 Mastered", IF(AI35&gt;=0.7, "⚡ Consistent", "⚠️ Needs Focus")))</f>
        <v/>
      </c>
      <c r="AL35">
        <f>COUNTIF(E35:AH35, "✓")</f>
        <v/>
      </c>
    </row>
    <row r="36" ht="14.5" customHeight="1">
      <c r="A36" s="125" t="n">
        <v>19</v>
      </c>
      <c r="B36" s="126" t="n"/>
      <c r="C36" s="127" t="n"/>
      <c r="D36" s="127" t="n"/>
      <c r="E36" s="128" t="n"/>
      <c r="F36" s="128" t="n"/>
      <c r="G36" s="128" t="n"/>
      <c r="H36" s="129" t="n"/>
      <c r="I36" s="128" t="n"/>
      <c r="J36" s="128" t="n"/>
      <c r="K36" s="128" t="n"/>
      <c r="L36" s="128" t="n"/>
      <c r="M36" s="128" t="n"/>
      <c r="N36" s="128" t="n"/>
      <c r="O36" s="129" t="n"/>
      <c r="P36" s="128" t="n"/>
      <c r="Q36" s="128" t="n"/>
      <c r="R36" s="128" t="n"/>
      <c r="S36" s="128" t="n"/>
      <c r="T36" s="128" t="n"/>
      <c r="U36" s="128" t="n"/>
      <c r="V36" s="129" t="n"/>
      <c r="W36" s="128" t="n"/>
      <c r="X36" s="128" t="n"/>
      <c r="Y36" s="128" t="n"/>
      <c r="Z36" s="128" t="n"/>
      <c r="AA36" s="128" t="n"/>
      <c r="AB36" s="128" t="n"/>
      <c r="AC36" s="129" t="n"/>
      <c r="AD36" s="128" t="n"/>
      <c r="AE36" s="128" t="n"/>
      <c r="AF36" s="128" t="n"/>
      <c r="AG36" s="128" t="n"/>
      <c r="AH36" s="128" t="n"/>
      <c r="AI36" s="130">
        <f>IF(ISBLANK(B36), "", IF(ISNUMBER(D36), IF(D36&gt;0, (COUNTIF(E36:AH36, "✓") + COUNTIF(E36:AH36, "✔") + COUNTIF(E36:AH36, "v") + COUNTIF(E36:AH36, "V"))/D36, 0), IF(((COUNTIF(E36:AH36, "✓") + COUNTIF(E36:AH36, "✔") + COUNTIF(E36:AH36, "v") + COUNTIF(E36:AH36, "V")) + COUNTIF(E36:AH36, "✗") + COUNTIF(E36:AH36, "x") + COUNTIF(E36:AH36, "X"))&gt;0, (COUNTIF(E36:AH36, "✓") + COUNTIF(E36:AH36, "✔") + COUNTIF(E36:AH36, "v") + COUNTIF(E36:AH36, "V"))/((COUNTIF(E36:AH36, "✓") + COUNTIF(E36:AH36, "✔") + COUNTIF(E36:AH36, "v") + COUNTIF(E36:AH36, "V")) + COUNTIF(E36:AH36, "✗") + COUNTIF(E36:AH36, "x") + COUNTIF(E36:AH36, "X")), "")))</f>
        <v/>
      </c>
      <c r="AJ36" s="131">
        <f>IF(ISBLANK(B36), "", IF(ISNUMBER(D36), IF(D36&gt;0, (COUNTIF(E36:AH36, "✓") + COUNTIF(E36:AH36, "✔") + COUNTIF(E36:AH36, "v") + COUNTIF(E36:AH36, "V")) &amp; "/" &amp; D36, (COUNTIF(E36:AH36, "✓") + COUNTIF(E36:AH36, "✔") + COUNTIF(E36:AH36, "v") + COUNTIF(E36:AH36, "V")) &amp; "/0"), IF(((COUNTIF(E36:AH36, "✓") + COUNTIF(E36:AH36, "✔") + COUNTIF(E36:AH36, "v") + COUNTIF(E36:AH36, "V")) + COUNTIF(E36:AH36, "✗") + COUNTIF(E36:AH36, "x") + COUNTIF(E36:AH36, "X"))&gt;0, (COUNTIF(E36:AH36, "✓") + COUNTIF(E36:AH36, "✔") + COUNTIF(E36:AH36, "v") + COUNTIF(E36:AH36, "V")) &amp; "/" &amp; ((COUNTIF(E36:AH36, "✓") + COUNTIF(E36:AH36, "✔") + COUNTIF(E36:AH36, "v") + COUNTIF(E36:AH36, "V")) + COUNTIF(E36:AH36, "✗") + COUNTIF(E36:AH36, "x") + COUNTIF(E36:AH36, "X")), "")))</f>
        <v/>
      </c>
      <c r="AK36" s="131">
        <f>IF(ISBLANK(B36), "", IF(AI36&gt;=0.85, "🔥 Mastered", IF(AI36&gt;=0.7, "⚡ Consistent", "⚠️ Needs Focus")))</f>
        <v/>
      </c>
      <c r="AL36">
        <f>COUNTIF(E36:AH36, "✓")</f>
        <v/>
      </c>
    </row>
    <row r="37" ht="14.5" customHeight="1">
      <c r="A37" s="125" t="n">
        <v>20</v>
      </c>
      <c r="B37" s="126" t="n"/>
      <c r="C37" s="127" t="n"/>
      <c r="D37" s="127" t="n"/>
      <c r="E37" s="128" t="n"/>
      <c r="F37" s="128" t="n"/>
      <c r="G37" s="128" t="n"/>
      <c r="H37" s="129" t="n"/>
      <c r="I37" s="128" t="n"/>
      <c r="J37" s="128" t="n"/>
      <c r="K37" s="128" t="n"/>
      <c r="L37" s="128" t="n"/>
      <c r="M37" s="128" t="n"/>
      <c r="N37" s="128" t="n"/>
      <c r="O37" s="129" t="n"/>
      <c r="P37" s="128" t="n"/>
      <c r="Q37" s="128" t="n"/>
      <c r="R37" s="128" t="n"/>
      <c r="S37" s="128" t="n"/>
      <c r="T37" s="128" t="n"/>
      <c r="U37" s="128" t="n"/>
      <c r="V37" s="129" t="n"/>
      <c r="W37" s="128" t="n"/>
      <c r="X37" s="128" t="n"/>
      <c r="Y37" s="128" t="n"/>
      <c r="Z37" s="128" t="n"/>
      <c r="AA37" s="128" t="n"/>
      <c r="AB37" s="128" t="n"/>
      <c r="AC37" s="129" t="n"/>
      <c r="AD37" s="128" t="n"/>
      <c r="AE37" s="128" t="n"/>
      <c r="AF37" s="128" t="n"/>
      <c r="AG37" s="128" t="n"/>
      <c r="AH37" s="128" t="n"/>
      <c r="AI37" s="130">
        <f>IF(ISBLANK(B37), "", IF(ISNUMBER(D37), IF(D37&gt;0, (COUNTIF(E37:AH37, "✓") + COUNTIF(E37:AH37, "✔") + COUNTIF(E37:AH37, "v") + COUNTIF(E37:AH37, "V"))/D37, 0), IF(((COUNTIF(E37:AH37, "✓") + COUNTIF(E37:AH37, "✔") + COUNTIF(E37:AH37, "v") + COUNTIF(E37:AH37, "V")) + COUNTIF(E37:AH37, "✗") + COUNTIF(E37:AH37, "x") + COUNTIF(E37:AH37, "X"))&gt;0, (COUNTIF(E37:AH37, "✓") + COUNTIF(E37:AH37, "✔") + COUNTIF(E37:AH37, "v") + COUNTIF(E37:AH37, "V"))/((COUNTIF(E37:AH37, "✓") + COUNTIF(E37:AH37, "✔") + COUNTIF(E37:AH37, "v") + COUNTIF(E37:AH37, "V")) + COUNTIF(E37:AH37, "✗") + COUNTIF(E37:AH37, "x") + COUNTIF(E37:AH37, "X")), "")))</f>
        <v/>
      </c>
      <c r="AJ37" s="131">
        <f>IF(ISBLANK(B37), "", IF(ISNUMBER(D37), IF(D37&gt;0, (COUNTIF(E37:AH37, "✓") + COUNTIF(E37:AH37, "✔") + COUNTIF(E37:AH37, "v") + COUNTIF(E37:AH37, "V")) &amp; "/" &amp; D37, (COUNTIF(E37:AH37, "✓") + COUNTIF(E37:AH37, "✔") + COUNTIF(E37:AH37, "v") + COUNTIF(E37:AH37, "V")) &amp; "/0"), IF(((COUNTIF(E37:AH37, "✓") + COUNTIF(E37:AH37, "✔") + COUNTIF(E37:AH37, "v") + COUNTIF(E37:AH37, "V")) + COUNTIF(E37:AH37, "✗") + COUNTIF(E37:AH37, "x") + COUNTIF(E37:AH37, "X"))&gt;0, (COUNTIF(E37:AH37, "✓") + COUNTIF(E37:AH37, "✔") + COUNTIF(E37:AH37, "v") + COUNTIF(E37:AH37, "V")) &amp; "/" &amp; ((COUNTIF(E37:AH37, "✓") + COUNTIF(E37:AH37, "✔") + COUNTIF(E37:AH37, "v") + COUNTIF(E37:AH37, "V")) + COUNTIF(E37:AH37, "✗") + COUNTIF(E37:AH37, "x") + COUNTIF(E37:AH37, "X")), "")))</f>
        <v/>
      </c>
      <c r="AK37" s="131">
        <f>IF(ISBLANK(B37), "", IF(AI37&gt;=0.85, "🔥 Mastered", IF(AI37&gt;=0.7, "⚡ Consistent", "⚠️ Needs Focus")))</f>
        <v/>
      </c>
      <c r="AL37">
        <f>COUNTIF(E37:AH37, "✓")</f>
        <v/>
      </c>
    </row>
    <row r="38" ht="18" customHeight="1">
      <c r="A38" s="132" t="inlineStr">
        <is>
          <t>DAILY TOTAL SCORE</t>
        </is>
      </c>
      <c r="B38" s="54" t="n"/>
      <c r="C38" s="54" t="n"/>
      <c r="D38" s="54" t="n"/>
      <c r="E38" s="33">
        <f>IF(((COUNTIF(E18:E37, "✓") + COUNTIF(E18:E37, "✔") + COUNTIF(E18:E37, "v") + COUNTIF(E18:E37, "V")) + COUNTIF(E18:E37, "✗") + COUNTIF(E18:E37, "x") + COUNTIF(E18:E37, "X")) &gt; 0, (COUNTIF(E18:E37, "✓") + COUNTIF(E18:E37, "✔") + COUNTIF(E18:E37, "v") + COUNTIF(E18:E37, "V")) &amp; "/" &amp; ((COUNTIF(E18:E37, "✓") + COUNTIF(E18:E37, "✔") + COUNTIF(E18:E37, "v") + COUNTIF(E18:E37, "V")) + COUNTIF(E18:E37, "✗") + COUNTIF(E18:E37, "x") + COUNTIF(E18:E37, "X")), "")</f>
        <v/>
      </c>
      <c r="F38" s="33">
        <f>IF(((COUNTIF(F18:F37, "✓") + COUNTIF(F18:F37, "✔") + COUNTIF(F18:F37, "v") + COUNTIF(F18:F37, "V")) + COUNTIF(F18:F37, "✗") + COUNTIF(F18:F37, "x") + COUNTIF(F18:F37, "X")) &gt; 0, (COUNTIF(F18:F37, "✓") + COUNTIF(F18:F37, "✔") + COUNTIF(F18:F37, "v") + COUNTIF(F18:F37, "V")) &amp; "/" &amp; ((COUNTIF(F18:F37, "✓") + COUNTIF(F18:F37, "✔") + COUNTIF(F18:F37, "v") + COUNTIF(F18:F37, "V")) + COUNTIF(F18:F37, "✗") + COUNTIF(F18:F37, "x") + COUNTIF(F18:F37, "X")), "")</f>
        <v/>
      </c>
      <c r="G38" s="33">
        <f>IF(((COUNTIF(G18:G37, "✓") + COUNTIF(G18:G37, "✔") + COUNTIF(G18:G37, "v") + COUNTIF(G18:G37, "V")) + COUNTIF(G18:G37, "✗") + COUNTIF(G18:G37, "x") + COUNTIF(G18:G37, "X")) &gt; 0, (COUNTIF(G18:G37, "✓") + COUNTIF(G18:G37, "✔") + COUNTIF(G18:G37, "v") + COUNTIF(G18:G37, "V")) &amp; "/" &amp; ((COUNTIF(G18:G37, "✓") + COUNTIF(G18:G37, "✔") + COUNTIF(G18:G37, "v") + COUNTIF(G18:G37, "V")) + COUNTIF(G18:G37, "✗") + COUNTIF(G18:G37, "x") + COUNTIF(G18:G37, "X")), "")</f>
        <v/>
      </c>
      <c r="H38" s="33">
        <f>IF(((COUNTIF(H18:H37, "✓") + COUNTIF(H18:H37, "✔") + COUNTIF(H18:H37, "v") + COUNTIF(H18:H37, "V")) + COUNTIF(H18:H37, "✗") + COUNTIF(H18:H37, "x") + COUNTIF(H18:H37, "X")) &gt; 0, (COUNTIF(H18:H37, "✓") + COUNTIF(H18:H37, "✔") + COUNTIF(H18:H37, "v") + COUNTIF(H18:H37, "V")) &amp; "/" &amp; ((COUNTIF(H18:H37, "✓") + COUNTIF(H18:H37, "✔") + COUNTIF(H18:H37, "v") + COUNTIF(H18:H37, "V")) + COUNTIF(H18:H37, "✗") + COUNTIF(H18:H37, "x") + COUNTIF(H18:H37, "X")), "")</f>
        <v/>
      </c>
      <c r="I38" s="33">
        <f>IF(((COUNTIF(I18:I37, "✓") + COUNTIF(I18:I37, "✔") + COUNTIF(I18:I37, "v") + COUNTIF(I18:I37, "V")) + COUNTIF(I18:I37, "✗") + COUNTIF(I18:I37, "x") + COUNTIF(I18:I37, "X")) &gt; 0, (COUNTIF(I18:I37, "✓") + COUNTIF(I18:I37, "✔") + COUNTIF(I18:I37, "v") + COUNTIF(I18:I37, "V")) &amp; "/" &amp; ((COUNTIF(I18:I37, "✓") + COUNTIF(I18:I37, "✔") + COUNTIF(I18:I37, "v") + COUNTIF(I18:I37, "V")) + COUNTIF(I18:I37, "✗") + COUNTIF(I18:I37, "x") + COUNTIF(I18:I37, "X")), "")</f>
        <v/>
      </c>
      <c r="J38" s="33">
        <f>IF(((COUNTIF(J18:J37, "✓") + COUNTIF(J18:J37, "✔") + COUNTIF(J18:J37, "v") + COUNTIF(J18:J37, "V")) + COUNTIF(J18:J37, "✗") + COUNTIF(J18:J37, "x") + COUNTIF(J18:J37, "X")) &gt; 0, (COUNTIF(J18:J37, "✓") + COUNTIF(J18:J37, "✔") + COUNTIF(J18:J37, "v") + COUNTIF(J18:J37, "V")) &amp; "/" &amp; ((COUNTIF(J18:J37, "✓") + COUNTIF(J18:J37, "✔") + COUNTIF(J18:J37, "v") + COUNTIF(J18:J37, "V")) + COUNTIF(J18:J37, "✗") + COUNTIF(J18:J37, "x") + COUNTIF(J18:J37, "X")), "")</f>
        <v/>
      </c>
      <c r="K38" s="33">
        <f>IF(((COUNTIF(K18:K37, "✓") + COUNTIF(K18:K37, "✔") + COUNTIF(K18:K37, "v") + COUNTIF(K18:K37, "V")) + COUNTIF(K18:K37, "✗") + COUNTIF(K18:K37, "x") + COUNTIF(K18:K37, "X")) &gt; 0, (COUNTIF(K18:K37, "✓") + COUNTIF(K18:K37, "✔") + COUNTIF(K18:K37, "v") + COUNTIF(K18:K37, "V")) &amp; "/" &amp; ((COUNTIF(K18:K37, "✓") + COUNTIF(K18:K37, "✔") + COUNTIF(K18:K37, "v") + COUNTIF(K18:K37, "V")) + COUNTIF(K18:K37, "✗") + COUNTIF(K18:K37, "x") + COUNTIF(K18:K37, "X")), "")</f>
        <v/>
      </c>
      <c r="L38" s="33">
        <f>IF(((COUNTIF(L18:L37, "✓") + COUNTIF(L18:L37, "✔") + COUNTIF(L18:L37, "v") + COUNTIF(L18:L37, "V")) + COUNTIF(L18:L37, "✗") + COUNTIF(L18:L37, "x") + COUNTIF(L18:L37, "X")) &gt; 0, (COUNTIF(L18:L37, "✓") + COUNTIF(L18:L37, "✔") + COUNTIF(L18:L37, "v") + COUNTIF(L18:L37, "V")) &amp; "/" &amp; ((COUNTIF(L18:L37, "✓") + COUNTIF(L18:L37, "✔") + COUNTIF(L18:L37, "v") + COUNTIF(L18:L37, "V")) + COUNTIF(L18:L37, "✗") + COUNTIF(L18:L37, "x") + COUNTIF(L18:L37, "X")), "")</f>
        <v/>
      </c>
      <c r="M38" s="33">
        <f>IF(((COUNTIF(M18:M37, "✓") + COUNTIF(M18:M37, "✔") + COUNTIF(M18:M37, "v") + COUNTIF(M18:M37, "V")) + COUNTIF(M18:M37, "✗") + COUNTIF(M18:M37, "x") + COUNTIF(M18:M37, "X")) &gt; 0, (COUNTIF(M18:M37, "✓") + COUNTIF(M18:M37, "✔") + COUNTIF(M18:M37, "v") + COUNTIF(M18:M37, "V")) &amp; "/" &amp; ((COUNTIF(M18:M37, "✓") + COUNTIF(M18:M37, "✔") + COUNTIF(M18:M37, "v") + COUNTIF(M18:M37, "V")) + COUNTIF(M18:M37, "✗") + COUNTIF(M18:M37, "x") + COUNTIF(M18:M37, "X")), "")</f>
        <v/>
      </c>
      <c r="N38" s="33">
        <f>IF(((COUNTIF(N18:N37, "✓") + COUNTIF(N18:N37, "✔") + COUNTIF(N18:N37, "v") + COUNTIF(N18:N37, "V")) + COUNTIF(N18:N37, "✗") + COUNTIF(N18:N37, "x") + COUNTIF(N18:N37, "X")) &gt; 0, (COUNTIF(N18:N37, "✓") + COUNTIF(N18:N37, "✔") + COUNTIF(N18:N37, "v") + COUNTIF(N18:N37, "V")) &amp; "/" &amp; ((COUNTIF(N18:N37, "✓") + COUNTIF(N18:N37, "✔") + COUNTIF(N18:N37, "v") + COUNTIF(N18:N37, "V")) + COUNTIF(N18:N37, "✗") + COUNTIF(N18:N37, "x") + COUNTIF(N18:N37, "X")), "")</f>
        <v/>
      </c>
      <c r="O38" s="33">
        <f>IF(((COUNTIF(O18:O37, "✓") + COUNTIF(O18:O37, "✔") + COUNTIF(O18:O37, "v") + COUNTIF(O18:O37, "V")) + COUNTIF(O18:O37, "✗") + COUNTIF(O18:O37, "x") + COUNTIF(O18:O37, "X")) &gt; 0, (COUNTIF(O18:O37, "✓") + COUNTIF(O18:O37, "✔") + COUNTIF(O18:O37, "v") + COUNTIF(O18:O37, "V")) &amp; "/" &amp; ((COUNTIF(O18:O37, "✓") + COUNTIF(O18:O37, "✔") + COUNTIF(O18:O37, "v") + COUNTIF(O18:O37, "V")) + COUNTIF(O18:O37, "✗") + COUNTIF(O18:O37, "x") + COUNTIF(O18:O37, "X")), "")</f>
        <v/>
      </c>
      <c r="P38" s="33">
        <f>IF(((COUNTIF(P18:P37, "✓") + COUNTIF(P18:P37, "✔") + COUNTIF(P18:P37, "v") + COUNTIF(P18:P37, "V")) + COUNTIF(P18:P37, "✗") + COUNTIF(P18:P37, "x") + COUNTIF(P18:P37, "X")) &gt; 0, (COUNTIF(P18:P37, "✓") + COUNTIF(P18:P37, "✔") + COUNTIF(P18:P37, "v") + COUNTIF(P18:P37, "V")) &amp; "/" &amp; ((COUNTIF(P18:P37, "✓") + COUNTIF(P18:P37, "✔") + COUNTIF(P18:P37, "v") + COUNTIF(P18:P37, "V")) + COUNTIF(P18:P37, "✗") + COUNTIF(P18:P37, "x") + COUNTIF(P18:P37, "X")), "")</f>
        <v/>
      </c>
      <c r="Q38" s="33">
        <f>IF(((COUNTIF(Q18:Q37, "✓") + COUNTIF(Q18:Q37, "✔") + COUNTIF(Q18:Q37, "v") + COUNTIF(Q18:Q37, "V")) + COUNTIF(Q18:Q37, "✗") + COUNTIF(Q18:Q37, "x") + COUNTIF(Q18:Q37, "X")) &gt; 0, (COUNTIF(Q18:Q37, "✓") + COUNTIF(Q18:Q37, "✔") + COUNTIF(Q18:Q37, "v") + COUNTIF(Q18:Q37, "V")) &amp; "/" &amp; ((COUNTIF(Q18:Q37, "✓") + COUNTIF(Q18:Q37, "✔") + COUNTIF(Q18:Q37, "v") + COUNTIF(Q18:Q37, "V")) + COUNTIF(Q18:Q37, "✗") + COUNTIF(Q18:Q37, "x") + COUNTIF(Q18:Q37, "X")), "")</f>
        <v/>
      </c>
      <c r="R38" s="33">
        <f>IF(((COUNTIF(R18:R37, "✓") + COUNTIF(R18:R37, "✔") + COUNTIF(R18:R37, "v") + COUNTIF(R18:R37, "V")) + COUNTIF(R18:R37, "✗") + COUNTIF(R18:R37, "x") + COUNTIF(R18:R37, "X")) &gt; 0, (COUNTIF(R18:R37, "✓") + COUNTIF(R18:R37, "✔") + COUNTIF(R18:R37, "v") + COUNTIF(R18:R37, "V")) &amp; "/" &amp; ((COUNTIF(R18:R37, "✓") + COUNTIF(R18:R37, "✔") + COUNTIF(R18:R37, "v") + COUNTIF(R18:R37, "V")) + COUNTIF(R18:R37, "✗") + COUNTIF(R18:R37, "x") + COUNTIF(R18:R37, "X")), "")</f>
        <v/>
      </c>
      <c r="S38" s="33">
        <f>IF(((COUNTIF(S18:S37, "✓") + COUNTIF(S18:S37, "✔") + COUNTIF(S18:S37, "v") + COUNTIF(S18:S37, "V")) + COUNTIF(S18:S37, "✗") + COUNTIF(S18:S37, "x") + COUNTIF(S18:S37, "X")) &gt; 0, (COUNTIF(S18:S37, "✓") + COUNTIF(S18:S37, "✔") + COUNTIF(S18:S37, "v") + COUNTIF(S18:S37, "V")) &amp; "/" &amp; ((COUNTIF(S18:S37, "✓") + COUNTIF(S18:S37, "✔") + COUNTIF(S18:S37, "v") + COUNTIF(S18:S37, "V")) + COUNTIF(S18:S37, "✗") + COUNTIF(S18:S37, "x") + COUNTIF(S18:S37, "X")), "")</f>
        <v/>
      </c>
      <c r="T38" s="33">
        <f>IF(((COUNTIF(T18:T37, "✓") + COUNTIF(T18:T37, "✔") + COUNTIF(T18:T37, "v") + COUNTIF(T18:T37, "V")) + COUNTIF(T18:T37, "✗") + COUNTIF(T18:T37, "x") + COUNTIF(T18:T37, "X")) &gt; 0, (COUNTIF(T18:T37, "✓") + COUNTIF(T18:T37, "✔") + COUNTIF(T18:T37, "v") + COUNTIF(T18:T37, "V")) &amp; "/" &amp; ((COUNTIF(T18:T37, "✓") + COUNTIF(T18:T37, "✔") + COUNTIF(T18:T37, "v") + COUNTIF(T18:T37, "V")) + COUNTIF(T18:T37, "✗") + COUNTIF(T18:T37, "x") + COUNTIF(T18:T37, "X")), "")</f>
        <v/>
      </c>
      <c r="U38" s="33">
        <f>IF(((COUNTIF(U18:U37, "✓") + COUNTIF(U18:U37, "✔") + COUNTIF(U18:U37, "v") + COUNTIF(U18:U37, "V")) + COUNTIF(U18:U37, "✗") + COUNTIF(U18:U37, "x") + COUNTIF(U18:U37, "X")) &gt; 0, (COUNTIF(U18:U37, "✓") + COUNTIF(U18:U37, "✔") + COUNTIF(U18:U37, "v") + COUNTIF(U18:U37, "V")) &amp; "/" &amp; ((COUNTIF(U18:U37, "✓") + COUNTIF(U18:U37, "✔") + COUNTIF(U18:U37, "v") + COUNTIF(U18:U37, "V")) + COUNTIF(U18:U37, "✗") + COUNTIF(U18:U37, "x") + COUNTIF(U18:U37, "X")), "")</f>
        <v/>
      </c>
      <c r="V38" s="33">
        <f>IF(((COUNTIF(V18:V37, "✓") + COUNTIF(V18:V37, "✔") + COUNTIF(V18:V37, "v") + COUNTIF(V18:V37, "V")) + COUNTIF(V18:V37, "✗") + COUNTIF(V18:V37, "x") + COUNTIF(V18:V37, "X")) &gt; 0, (COUNTIF(V18:V37, "✓") + COUNTIF(V18:V37, "✔") + COUNTIF(V18:V37, "v") + COUNTIF(V18:V37, "V")) &amp; "/" &amp; ((COUNTIF(V18:V37, "✓") + COUNTIF(V18:V37, "✔") + COUNTIF(V18:V37, "v") + COUNTIF(V18:V37, "V")) + COUNTIF(V18:V37, "✗") + COUNTIF(V18:V37, "x") + COUNTIF(V18:V37, "X")), "")</f>
        <v/>
      </c>
      <c r="W38" s="33">
        <f>IF(((COUNTIF(W18:W37, "✓") + COUNTIF(W18:W37, "✔") + COUNTIF(W18:W37, "v") + COUNTIF(W18:W37, "V")) + COUNTIF(W18:W37, "✗") + COUNTIF(W18:W37, "x") + COUNTIF(W18:W37, "X")) &gt; 0, (COUNTIF(W18:W37, "✓") + COUNTIF(W18:W37, "✔") + COUNTIF(W18:W37, "v") + COUNTIF(W18:W37, "V")) &amp; "/" &amp; ((COUNTIF(W18:W37, "✓") + COUNTIF(W18:W37, "✔") + COUNTIF(W18:W37, "v") + COUNTIF(W18:W37, "V")) + COUNTIF(W18:W37, "✗") + COUNTIF(W18:W37, "x") + COUNTIF(W18:W37, "X")), "")</f>
        <v/>
      </c>
      <c r="X38" s="33">
        <f>IF(((COUNTIF(X18:X37, "✓") + COUNTIF(X18:X37, "✔") + COUNTIF(X18:X37, "v") + COUNTIF(X18:X37, "V")) + COUNTIF(X18:X37, "✗") + COUNTIF(X18:X37, "x") + COUNTIF(X18:X37, "X")) &gt; 0, (COUNTIF(X18:X37, "✓") + COUNTIF(X18:X37, "✔") + COUNTIF(X18:X37, "v") + COUNTIF(X18:X37, "V")) &amp; "/" &amp; ((COUNTIF(X18:X37, "✓") + COUNTIF(X18:X37, "✔") + COUNTIF(X18:X37, "v") + COUNTIF(X18:X37, "V")) + COUNTIF(X18:X37, "✗") + COUNTIF(X18:X37, "x") + COUNTIF(X18:X37, "X")), "")</f>
        <v/>
      </c>
      <c r="Y38" s="33">
        <f>IF(((COUNTIF(Y18:Y37, "✓") + COUNTIF(Y18:Y37, "✔") + COUNTIF(Y18:Y37, "v") + COUNTIF(Y18:Y37, "V")) + COUNTIF(Y18:Y37, "✗") + COUNTIF(Y18:Y37, "x") + COUNTIF(Y18:Y37, "X")) &gt; 0, (COUNTIF(Y18:Y37, "✓") + COUNTIF(Y18:Y37, "✔") + COUNTIF(Y18:Y37, "v") + COUNTIF(Y18:Y37, "V")) &amp; "/" &amp; ((COUNTIF(Y18:Y37, "✓") + COUNTIF(Y18:Y37, "✔") + COUNTIF(Y18:Y37, "v") + COUNTIF(Y18:Y37, "V")) + COUNTIF(Y18:Y37, "✗") + COUNTIF(Y18:Y37, "x") + COUNTIF(Y18:Y37, "X")), "")</f>
        <v/>
      </c>
      <c r="Z38" s="33">
        <f>IF(((COUNTIF(Z18:Z37, "✓") + COUNTIF(Z18:Z37, "✔") + COUNTIF(Z18:Z37, "v") + COUNTIF(Z18:Z37, "V")) + COUNTIF(Z18:Z37, "✗") + COUNTIF(Z18:Z37, "x") + COUNTIF(Z18:Z37, "X")) &gt; 0, (COUNTIF(Z18:Z37, "✓") + COUNTIF(Z18:Z37, "✔") + COUNTIF(Z18:Z37, "v") + COUNTIF(Z18:Z37, "V")) &amp; "/" &amp; ((COUNTIF(Z18:Z37, "✓") + COUNTIF(Z18:Z37, "✔") + COUNTIF(Z18:Z37, "v") + COUNTIF(Z18:Z37, "V")) + COUNTIF(Z18:Z37, "✗") + COUNTIF(Z18:Z37, "x") + COUNTIF(Z18:Z37, "X")), "")</f>
        <v/>
      </c>
      <c r="AA38" s="33">
        <f>IF(((COUNTIF(AA18:AA37, "✓") + COUNTIF(AA18:AA37, "✔") + COUNTIF(AA18:AA37, "v") + COUNTIF(AA18:AA37, "V")) + COUNTIF(AA18:AA37, "✗") + COUNTIF(AA18:AA37, "x") + COUNTIF(AA18:AA37, "X")) &gt; 0, (COUNTIF(AA18:AA37, "✓") + COUNTIF(AA18:AA37, "✔") + COUNTIF(AA18:AA37, "v") + COUNTIF(AA18:AA37, "V")) &amp; "/" &amp; ((COUNTIF(AA18:AA37, "✓") + COUNTIF(AA18:AA37, "✔") + COUNTIF(AA18:AA37, "v") + COUNTIF(AA18:AA37, "V")) + COUNTIF(AA18:AA37, "✗") + COUNTIF(AA18:AA37, "x") + COUNTIF(AA18:AA37, "X")), "")</f>
        <v/>
      </c>
      <c r="AB38" s="33">
        <f>IF(((COUNTIF(AB18:AB37, "✓") + COUNTIF(AB18:AB37, "✔") + COUNTIF(AB18:AB37, "v") + COUNTIF(AB18:AB37, "V")) + COUNTIF(AB18:AB37, "✗") + COUNTIF(AB18:AB37, "x") + COUNTIF(AB18:AB37, "X")) &gt; 0, (COUNTIF(AB18:AB37, "✓") + COUNTIF(AB18:AB37, "✔") + COUNTIF(AB18:AB37, "v") + COUNTIF(AB18:AB37, "V")) &amp; "/" &amp; ((COUNTIF(AB18:AB37, "✓") + COUNTIF(AB18:AB37, "✔") + COUNTIF(AB18:AB37, "v") + COUNTIF(AB18:AB37, "V")) + COUNTIF(AB18:AB37, "✗") + COUNTIF(AB18:AB37, "x") + COUNTIF(AB18:AB37, "X")), "")</f>
        <v/>
      </c>
      <c r="AC38" s="33">
        <f>IF(((COUNTIF(AC18:AC37, "✓") + COUNTIF(AC18:AC37, "✔") + COUNTIF(AC18:AC37, "v") + COUNTIF(AC18:AC37, "V")) + COUNTIF(AC18:AC37, "✗") + COUNTIF(AC18:AC37, "x") + COUNTIF(AC18:AC37, "X")) &gt; 0, (COUNTIF(AC18:AC37, "✓") + COUNTIF(AC18:AC37, "✔") + COUNTIF(AC18:AC37, "v") + COUNTIF(AC18:AC37, "V")) &amp; "/" &amp; ((COUNTIF(AC18:AC37, "✓") + COUNTIF(AC18:AC37, "✔") + COUNTIF(AC18:AC37, "v") + COUNTIF(AC18:AC37, "V")) + COUNTIF(AC18:AC37, "✗") + COUNTIF(AC18:AC37, "x") + COUNTIF(AC18:AC37, "X")), "")</f>
        <v/>
      </c>
      <c r="AD38" s="33">
        <f>IF(((COUNTIF(AD18:AD37, "✓") + COUNTIF(AD18:AD37, "✔") + COUNTIF(AD18:AD37, "v") + COUNTIF(AD18:AD37, "V")) + COUNTIF(AD18:AD37, "✗") + COUNTIF(AD18:AD37, "x") + COUNTIF(AD18:AD37, "X")) &gt; 0, (COUNTIF(AD18:AD37, "✓") + COUNTIF(AD18:AD37, "✔") + COUNTIF(AD18:AD37, "v") + COUNTIF(AD18:AD37, "V")) &amp; "/" &amp; ((COUNTIF(AD18:AD37, "✓") + COUNTIF(AD18:AD37, "✔") + COUNTIF(AD18:AD37, "v") + COUNTIF(AD18:AD37, "V")) + COUNTIF(AD18:AD37, "✗") + COUNTIF(AD18:AD37, "x") + COUNTIF(AD18:AD37, "X")), "")</f>
        <v/>
      </c>
      <c r="AE38" s="33">
        <f>IF(((COUNTIF(AE18:AE37, "✓") + COUNTIF(AE18:AE37, "✔") + COUNTIF(AE18:AE37, "v") + COUNTIF(AE18:AE37, "V")) + COUNTIF(AE18:AE37, "✗") + COUNTIF(AE18:AE37, "x") + COUNTIF(AE18:AE37, "X")) &gt; 0, (COUNTIF(AE18:AE37, "✓") + COUNTIF(AE18:AE37, "✔") + COUNTIF(AE18:AE37, "v") + COUNTIF(AE18:AE37, "V")) &amp; "/" &amp; ((COUNTIF(AE18:AE37, "✓") + COUNTIF(AE18:AE37, "✔") + COUNTIF(AE18:AE37, "v") + COUNTIF(AE18:AE37, "V")) + COUNTIF(AE18:AE37, "✗") + COUNTIF(AE18:AE37, "x") + COUNTIF(AE18:AE37, "X")), "")</f>
        <v/>
      </c>
      <c r="AF38" s="33">
        <f>IF(((COUNTIF(AF18:AF37, "✓") + COUNTIF(AF18:AF37, "✔") + COUNTIF(AF18:AF37, "v") + COUNTIF(AF18:AF37, "V")) + COUNTIF(AF18:AF37, "✗") + COUNTIF(AF18:AF37, "x") + COUNTIF(AF18:AF37, "X")) &gt; 0, (COUNTIF(AF18:AF37, "✓") + COUNTIF(AF18:AF37, "✔") + COUNTIF(AF18:AF37, "v") + COUNTIF(AF18:AF37, "V")) &amp; "/" &amp; ((COUNTIF(AF18:AF37, "✓") + COUNTIF(AF18:AF37, "✔") + COUNTIF(AF18:AF37, "v") + COUNTIF(AF18:AF37, "V")) + COUNTIF(AF18:AF37, "✗") + COUNTIF(AF18:AF37, "x") + COUNTIF(AF18:AF37, "X")), "")</f>
        <v/>
      </c>
      <c r="AG38" s="33">
        <f>IF(((COUNTIF(AG18:AG37, "✓") + COUNTIF(AG18:AG37, "✔") + COUNTIF(AG18:AG37, "v") + COUNTIF(AG18:AG37, "V")) + COUNTIF(AG18:AG37, "✗") + COUNTIF(AG18:AG37, "x") + COUNTIF(AG18:AG37, "X")) &gt; 0, (COUNTIF(AG18:AG37, "✓") + COUNTIF(AG18:AG37, "✔") + COUNTIF(AG18:AG37, "v") + COUNTIF(AG18:AG37, "V")) &amp; "/" &amp; ((COUNTIF(AG18:AG37, "✓") + COUNTIF(AG18:AG37, "✔") + COUNTIF(AG18:AG37, "v") + COUNTIF(AG18:AG37, "V")) + COUNTIF(AG18:AG37, "✗") + COUNTIF(AG18:AG37, "x") + COUNTIF(AG18:AG37, "X")), "")</f>
        <v/>
      </c>
      <c r="AH38" s="33">
        <f>IF(((COUNTIF(AH18:AH37, "✓") + COUNTIF(AH18:AH37, "✔") + COUNTIF(AH18:AH37, "v") + COUNTIF(AH18:AH37, "V")) + COUNTIF(AH18:AH37, "✗") + COUNTIF(AH18:AH37, "x") + COUNTIF(AH18:AH37, "X")) &gt; 0, (COUNTIF(AH18:AH37, "✓") + COUNTIF(AH18:AH37, "✔") + COUNTIF(AH18:AH37, "v") + COUNTIF(AH18:AH37, "V")) &amp; "/" &amp; ((COUNTIF(AH18:AH37, "✓") + COUNTIF(AH18:AH37, "✔") + COUNTIF(AH18:AH37, "v") + COUNTIF(AH18:AH37, "V")) + COUNTIF(AH18:AH37, "✗") + COUNTIF(AH18:AH37, "x") + COUNTIF(AH18:AH37, "X")), "")</f>
        <v/>
      </c>
      <c r="AI38" s="133">
        <f>IF(SUM(D18:D37) &gt; 0, SUM(AL18:AL37) / SUM(D18:D37), "")</f>
        <v/>
      </c>
      <c r="AJ38" s="33">
        <f>IF(SUM(D18:D37) &gt; 0, SUM(AL18:AL37) &amp; "/" &amp; SUM(D18:D37), "")</f>
        <v/>
      </c>
      <c r="AK38" s="54" t="n"/>
    </row>
    <row r="39" ht="18" customHeight="1">
      <c r="A39" s="132" t="inlineStr">
        <is>
          <t>DAILY SUCCESS %</t>
        </is>
      </c>
      <c r="B39" s="54" t="n"/>
      <c r="C39" s="54" t="n"/>
      <c r="D39" s="54" t="n"/>
      <c r="E39" s="134">
        <f>IF(((COUNTIF(E18:E37, "✓") + COUNTIF(E18:E37, "✔") + COUNTIF(E18:E37, "v") + COUNTIF(E18:E37, "V")) + COUNTIF(E18:E37, "✗") + COUNTIF(E18:E37, "x") + COUNTIF(E18:E37, "X")) &gt; 0, (COUNTIF(E18:E37, "✓") + COUNTIF(E18:E37, "✔") + COUNTIF(E18:E37, "v") + COUNTIF(E18:E37, "V")) / ((COUNTIF(E18:E37, "✓") + COUNTIF(E18:E37, "✔") + COUNTIF(E18:E37, "v") + COUNTIF(E18:E37, "V")) + COUNTIF(E18:E37, "✗") + COUNTIF(E18:E37, "x") + COUNTIF(E18:E37, "X")), "")</f>
        <v/>
      </c>
      <c r="F39" s="134">
        <f>IF(((COUNTIF(F18:F37, "✓") + COUNTIF(F18:F37, "✔") + COUNTIF(F18:F37, "v") + COUNTIF(F18:F37, "V")) + COUNTIF(F18:F37, "✗") + COUNTIF(F18:F37, "x") + COUNTIF(F18:F37, "X")) &gt; 0, (COUNTIF(F18:F37, "✓") + COUNTIF(F18:F37, "✔") + COUNTIF(F18:F37, "v") + COUNTIF(F18:F37, "V")) / ((COUNTIF(F18:F37, "✓") + COUNTIF(F18:F37, "✔") + COUNTIF(F18:F37, "v") + COUNTIF(F18:F37, "V")) + COUNTIF(F18:F37, "✗") + COUNTIF(F18:F37, "x") + COUNTIF(F18:F37, "X")), "")</f>
        <v/>
      </c>
      <c r="G39" s="134">
        <f>IF(((COUNTIF(G18:G37, "✓") + COUNTIF(G18:G37, "✔") + COUNTIF(G18:G37, "v") + COUNTIF(G18:G37, "V")) + COUNTIF(G18:G37, "✗") + COUNTIF(G18:G37, "x") + COUNTIF(G18:G37, "X")) &gt; 0, (COUNTIF(G18:G37, "✓") + COUNTIF(G18:G37, "✔") + COUNTIF(G18:G37, "v") + COUNTIF(G18:G37, "V")) / ((COUNTIF(G18:G37, "✓") + COUNTIF(G18:G37, "✔") + COUNTIF(G18:G37, "v") + COUNTIF(G18:G37, "V")) + COUNTIF(G18:G37, "✗") + COUNTIF(G18:G37, "x") + COUNTIF(G18:G37, "X")), "")</f>
        <v/>
      </c>
      <c r="H39" s="134">
        <f>IF(((COUNTIF(H18:H37, "✓") + COUNTIF(H18:H37, "✔") + COUNTIF(H18:H37, "v") + COUNTIF(H18:H37, "V")) + COUNTIF(H18:H37, "✗") + COUNTIF(H18:H37, "x") + COUNTIF(H18:H37, "X")) &gt; 0, (COUNTIF(H18:H37, "✓") + COUNTIF(H18:H37, "✔") + COUNTIF(H18:H37, "v") + COUNTIF(H18:H37, "V")) / ((COUNTIF(H18:H37, "✓") + COUNTIF(H18:H37, "✔") + COUNTIF(H18:H37, "v") + COUNTIF(H18:H37, "V")) + COUNTIF(H18:H37, "✗") + COUNTIF(H18:H37, "x") + COUNTIF(H18:H37, "X")), "")</f>
        <v/>
      </c>
      <c r="I39" s="134">
        <f>IF(((COUNTIF(I18:I37, "✓") + COUNTIF(I18:I37, "✔") + COUNTIF(I18:I37, "v") + COUNTIF(I18:I37, "V")) + COUNTIF(I18:I37, "✗") + COUNTIF(I18:I37, "x") + COUNTIF(I18:I37, "X")) &gt; 0, (COUNTIF(I18:I37, "✓") + COUNTIF(I18:I37, "✔") + COUNTIF(I18:I37, "v") + COUNTIF(I18:I37, "V")) / ((COUNTIF(I18:I37, "✓") + COUNTIF(I18:I37, "✔") + COUNTIF(I18:I37, "v") + COUNTIF(I18:I37, "V")) + COUNTIF(I18:I37, "✗") + COUNTIF(I18:I37, "x") + COUNTIF(I18:I37, "X")), "")</f>
        <v/>
      </c>
      <c r="J39" s="134">
        <f>IF(((COUNTIF(J18:J37, "✓") + COUNTIF(J18:J37, "✔") + COUNTIF(J18:J37, "v") + COUNTIF(J18:J37, "V")) + COUNTIF(J18:J37, "✗") + COUNTIF(J18:J37, "x") + COUNTIF(J18:J37, "X")) &gt; 0, (COUNTIF(J18:J37, "✓") + COUNTIF(J18:J37, "✔") + COUNTIF(J18:J37, "v") + COUNTIF(J18:J37, "V")) / ((COUNTIF(J18:J37, "✓") + COUNTIF(J18:J37, "✔") + COUNTIF(J18:J37, "v") + COUNTIF(J18:J37, "V")) + COUNTIF(J18:J37, "✗") + COUNTIF(J18:J37, "x") + COUNTIF(J18:J37, "X")), "")</f>
        <v/>
      </c>
      <c r="K39" s="134">
        <f>IF(((COUNTIF(K18:K37, "✓") + COUNTIF(K18:K37, "✔") + COUNTIF(K18:K37, "v") + COUNTIF(K18:K37, "V")) + COUNTIF(K18:K37, "✗") + COUNTIF(K18:K37, "x") + COUNTIF(K18:K37, "X")) &gt; 0, (COUNTIF(K18:K37, "✓") + COUNTIF(K18:K37, "✔") + COUNTIF(K18:K37, "v") + COUNTIF(K18:K37, "V")) / ((COUNTIF(K18:K37, "✓") + COUNTIF(K18:K37, "✔") + COUNTIF(K18:K37, "v") + COUNTIF(K18:K37, "V")) + COUNTIF(K18:K37, "✗") + COUNTIF(K18:K37, "x") + COUNTIF(K18:K37, "X")), "")</f>
        <v/>
      </c>
      <c r="L39" s="134">
        <f>IF(((COUNTIF(L18:L37, "✓") + COUNTIF(L18:L37, "✔") + COUNTIF(L18:L37, "v") + COUNTIF(L18:L37, "V")) + COUNTIF(L18:L37, "✗") + COUNTIF(L18:L37, "x") + COUNTIF(L18:L37, "X")) &gt; 0, (COUNTIF(L18:L37, "✓") + COUNTIF(L18:L37, "✔") + COUNTIF(L18:L37, "v") + COUNTIF(L18:L37, "V")) / ((COUNTIF(L18:L37, "✓") + COUNTIF(L18:L37, "✔") + COUNTIF(L18:L37, "v") + COUNTIF(L18:L37, "V")) + COUNTIF(L18:L37, "✗") + COUNTIF(L18:L37, "x") + COUNTIF(L18:L37, "X")), "")</f>
        <v/>
      </c>
      <c r="M39" s="134">
        <f>IF(((COUNTIF(M18:M37, "✓") + COUNTIF(M18:M37, "✔") + COUNTIF(M18:M37, "v") + COUNTIF(M18:M37, "V")) + COUNTIF(M18:M37, "✗") + COUNTIF(M18:M37, "x") + COUNTIF(M18:M37, "X")) &gt; 0, (COUNTIF(M18:M37, "✓") + COUNTIF(M18:M37, "✔") + COUNTIF(M18:M37, "v") + COUNTIF(M18:M37, "V")) / ((COUNTIF(M18:M37, "✓") + COUNTIF(M18:M37, "✔") + COUNTIF(M18:M37, "v") + COUNTIF(M18:M37, "V")) + COUNTIF(M18:M37, "✗") + COUNTIF(M18:M37, "x") + COUNTIF(M18:M37, "X")), "")</f>
        <v/>
      </c>
      <c r="N39" s="134">
        <f>IF(((COUNTIF(N18:N37, "✓") + COUNTIF(N18:N37, "✔") + COUNTIF(N18:N37, "v") + COUNTIF(N18:N37, "V")) + COUNTIF(N18:N37, "✗") + COUNTIF(N18:N37, "x") + COUNTIF(N18:N37, "X")) &gt; 0, (COUNTIF(N18:N37, "✓") + COUNTIF(N18:N37, "✔") + COUNTIF(N18:N37, "v") + COUNTIF(N18:N37, "V")) / ((COUNTIF(N18:N37, "✓") + COUNTIF(N18:N37, "✔") + COUNTIF(N18:N37, "v") + COUNTIF(N18:N37, "V")) + COUNTIF(N18:N37, "✗") + COUNTIF(N18:N37, "x") + COUNTIF(N18:N37, "X")), "")</f>
        <v/>
      </c>
      <c r="O39" s="134">
        <f>IF(((COUNTIF(O18:O37, "✓") + COUNTIF(O18:O37, "✔") + COUNTIF(O18:O37, "v") + COUNTIF(O18:O37, "V")) + COUNTIF(O18:O37, "✗") + COUNTIF(O18:O37, "x") + COUNTIF(O18:O37, "X")) &gt; 0, (COUNTIF(O18:O37, "✓") + COUNTIF(O18:O37, "✔") + COUNTIF(O18:O37, "v") + COUNTIF(O18:O37, "V")) / ((COUNTIF(O18:O37, "✓") + COUNTIF(O18:O37, "✔") + COUNTIF(O18:O37, "v") + COUNTIF(O18:O37, "V")) + COUNTIF(O18:O37, "✗") + COUNTIF(O18:O37, "x") + COUNTIF(O18:O37, "X")), "")</f>
        <v/>
      </c>
      <c r="P39" s="134">
        <f>IF(((COUNTIF(P18:P37, "✓") + COUNTIF(P18:P37, "✔") + COUNTIF(P18:P37, "v") + COUNTIF(P18:P37, "V")) + COUNTIF(P18:P37, "✗") + COUNTIF(P18:P37, "x") + COUNTIF(P18:P37, "X")) &gt; 0, (COUNTIF(P18:P37, "✓") + COUNTIF(P18:P37, "✔") + COUNTIF(P18:P37, "v") + COUNTIF(P18:P37, "V")) / ((COUNTIF(P18:P37, "✓") + COUNTIF(P18:P37, "✔") + COUNTIF(P18:P37, "v") + COUNTIF(P18:P37, "V")) + COUNTIF(P18:P37, "✗") + COUNTIF(P18:P37, "x") + COUNTIF(P18:P37, "X")), "")</f>
        <v/>
      </c>
      <c r="Q39" s="134">
        <f>IF(((COUNTIF(Q18:Q37, "✓") + COUNTIF(Q18:Q37, "✔") + COUNTIF(Q18:Q37, "v") + COUNTIF(Q18:Q37, "V")) + COUNTIF(Q18:Q37, "✗") + COUNTIF(Q18:Q37, "x") + COUNTIF(Q18:Q37, "X")) &gt; 0, (COUNTIF(Q18:Q37, "✓") + COUNTIF(Q18:Q37, "✔") + COUNTIF(Q18:Q37, "v") + COUNTIF(Q18:Q37, "V")) / ((COUNTIF(Q18:Q37, "✓") + COUNTIF(Q18:Q37, "✔") + COUNTIF(Q18:Q37, "v") + COUNTIF(Q18:Q37, "V")) + COUNTIF(Q18:Q37, "✗") + COUNTIF(Q18:Q37, "x") + COUNTIF(Q18:Q37, "X")), "")</f>
        <v/>
      </c>
      <c r="R39" s="134">
        <f>IF(((COUNTIF(R18:R37, "✓") + COUNTIF(R18:R37, "✔") + COUNTIF(R18:R37, "v") + COUNTIF(R18:R37, "V")) + COUNTIF(R18:R37, "✗") + COUNTIF(R18:R37, "x") + COUNTIF(R18:R37, "X")) &gt; 0, (COUNTIF(R18:R37, "✓") + COUNTIF(R18:R37, "✔") + COUNTIF(R18:R37, "v") + COUNTIF(R18:R37, "V")) / ((COUNTIF(R18:R37, "✓") + COUNTIF(R18:R37, "✔") + COUNTIF(R18:R37, "v") + COUNTIF(R18:R37, "V")) + COUNTIF(R18:R37, "✗") + COUNTIF(R18:R37, "x") + COUNTIF(R18:R37, "X")), "")</f>
        <v/>
      </c>
      <c r="S39" s="134">
        <f>IF(((COUNTIF(S18:S37, "✓") + COUNTIF(S18:S37, "✔") + COUNTIF(S18:S37, "v") + COUNTIF(S18:S37, "V")) + COUNTIF(S18:S37, "✗") + COUNTIF(S18:S37, "x") + COUNTIF(S18:S37, "X")) &gt; 0, (COUNTIF(S18:S37, "✓") + COUNTIF(S18:S37, "✔") + COUNTIF(S18:S37, "v") + COUNTIF(S18:S37, "V")) / ((COUNTIF(S18:S37, "✓") + COUNTIF(S18:S37, "✔") + COUNTIF(S18:S37, "v") + COUNTIF(S18:S37, "V")) + COUNTIF(S18:S37, "✗") + COUNTIF(S18:S37, "x") + COUNTIF(S18:S37, "X")), "")</f>
        <v/>
      </c>
      <c r="T39" s="134">
        <f>IF(((COUNTIF(T18:T37, "✓") + COUNTIF(T18:T37, "✔") + COUNTIF(T18:T37, "v") + COUNTIF(T18:T37, "V")) + COUNTIF(T18:T37, "✗") + COUNTIF(T18:T37, "x") + COUNTIF(T18:T37, "X")) &gt; 0, (COUNTIF(T18:T37, "✓") + COUNTIF(T18:T37, "✔") + COUNTIF(T18:T37, "v") + COUNTIF(T18:T37, "V")) / ((COUNTIF(T18:T37, "✓") + COUNTIF(T18:T37, "✔") + COUNTIF(T18:T37, "v") + COUNTIF(T18:T37, "V")) + COUNTIF(T18:T37, "✗") + COUNTIF(T18:T37, "x") + COUNTIF(T18:T37, "X")), "")</f>
        <v/>
      </c>
      <c r="U39" s="134">
        <f>IF(((COUNTIF(U18:U37, "✓") + COUNTIF(U18:U37, "✔") + COUNTIF(U18:U37, "v") + COUNTIF(U18:U37, "V")) + COUNTIF(U18:U37, "✗") + COUNTIF(U18:U37, "x") + COUNTIF(U18:U37, "X")) &gt; 0, (COUNTIF(U18:U37, "✓") + COUNTIF(U18:U37, "✔") + COUNTIF(U18:U37, "v") + COUNTIF(U18:U37, "V")) / ((COUNTIF(U18:U37, "✓") + COUNTIF(U18:U37, "✔") + COUNTIF(U18:U37, "v") + COUNTIF(U18:U37, "V")) + COUNTIF(U18:U37, "✗") + COUNTIF(U18:U37, "x") + COUNTIF(U18:U37, "X")), "")</f>
        <v/>
      </c>
      <c r="V39" s="134">
        <f>IF(((COUNTIF(V18:V37, "✓") + COUNTIF(V18:V37, "✔") + COUNTIF(V18:V37, "v") + COUNTIF(V18:V37, "V")) + COUNTIF(V18:V37, "✗") + COUNTIF(V18:V37, "x") + COUNTIF(V18:V37, "X")) &gt; 0, (COUNTIF(V18:V37, "✓") + COUNTIF(V18:V37, "✔") + COUNTIF(V18:V37, "v") + COUNTIF(V18:V37, "V")) / ((COUNTIF(V18:V37, "✓") + COUNTIF(V18:V37, "✔") + COUNTIF(V18:V37, "v") + COUNTIF(V18:V37, "V")) + COUNTIF(V18:V37, "✗") + COUNTIF(V18:V37, "x") + COUNTIF(V18:V37, "X")), "")</f>
        <v/>
      </c>
      <c r="W39" s="134">
        <f>IF(((COUNTIF(W18:W37, "✓") + COUNTIF(W18:W37, "✔") + COUNTIF(W18:W37, "v") + COUNTIF(W18:W37, "V")) + COUNTIF(W18:W37, "✗") + COUNTIF(W18:W37, "x") + COUNTIF(W18:W37, "X")) &gt; 0, (COUNTIF(W18:W37, "✓") + COUNTIF(W18:W37, "✔") + COUNTIF(W18:W37, "v") + COUNTIF(W18:W37, "V")) / ((COUNTIF(W18:W37, "✓") + COUNTIF(W18:W37, "✔") + COUNTIF(W18:W37, "v") + COUNTIF(W18:W37, "V")) + COUNTIF(W18:W37, "✗") + COUNTIF(W18:W37, "x") + COUNTIF(W18:W37, "X")), "")</f>
        <v/>
      </c>
      <c r="X39" s="134">
        <f>IF(((COUNTIF(X18:X37, "✓") + COUNTIF(X18:X37, "✔") + COUNTIF(X18:X37, "v") + COUNTIF(X18:X37, "V")) + COUNTIF(X18:X37, "✗") + COUNTIF(X18:X37, "x") + COUNTIF(X18:X37, "X")) &gt; 0, (COUNTIF(X18:X37, "✓") + COUNTIF(X18:X37, "✔") + COUNTIF(X18:X37, "v") + COUNTIF(X18:X37, "V")) / ((COUNTIF(X18:X37, "✓") + COUNTIF(X18:X37, "✔") + COUNTIF(X18:X37, "v") + COUNTIF(X18:X37, "V")) + COUNTIF(X18:X37, "✗") + COUNTIF(X18:X37, "x") + COUNTIF(X18:X37, "X")), "")</f>
        <v/>
      </c>
      <c r="Y39" s="134">
        <f>IF(((COUNTIF(Y18:Y37, "✓") + COUNTIF(Y18:Y37, "✔") + COUNTIF(Y18:Y37, "v") + COUNTIF(Y18:Y37, "V")) + COUNTIF(Y18:Y37, "✗") + COUNTIF(Y18:Y37, "x") + COUNTIF(Y18:Y37, "X")) &gt; 0, (COUNTIF(Y18:Y37, "✓") + COUNTIF(Y18:Y37, "✔") + COUNTIF(Y18:Y37, "v") + COUNTIF(Y18:Y37, "V")) / ((COUNTIF(Y18:Y37, "✓") + COUNTIF(Y18:Y37, "✔") + COUNTIF(Y18:Y37, "v") + COUNTIF(Y18:Y37, "V")) + COUNTIF(Y18:Y37, "✗") + COUNTIF(Y18:Y37, "x") + COUNTIF(Y18:Y37, "X")), "")</f>
        <v/>
      </c>
      <c r="Z39" s="134">
        <f>IF(((COUNTIF(Z18:Z37, "✓") + COUNTIF(Z18:Z37, "✔") + COUNTIF(Z18:Z37, "v") + COUNTIF(Z18:Z37, "V")) + COUNTIF(Z18:Z37, "✗") + COUNTIF(Z18:Z37, "x") + COUNTIF(Z18:Z37, "X")) &gt; 0, (COUNTIF(Z18:Z37, "✓") + COUNTIF(Z18:Z37, "✔") + COUNTIF(Z18:Z37, "v") + COUNTIF(Z18:Z37, "V")) / ((COUNTIF(Z18:Z37, "✓") + COUNTIF(Z18:Z37, "✔") + COUNTIF(Z18:Z37, "v") + COUNTIF(Z18:Z37, "V")) + COUNTIF(Z18:Z37, "✗") + COUNTIF(Z18:Z37, "x") + COUNTIF(Z18:Z37, "X")), "")</f>
        <v/>
      </c>
      <c r="AA39" s="134">
        <f>IF(((COUNTIF(AA18:AA37, "✓") + COUNTIF(AA18:AA37, "✔") + COUNTIF(AA18:AA37, "v") + COUNTIF(AA18:AA37, "V")) + COUNTIF(AA18:AA37, "✗") + COUNTIF(AA18:AA37, "x") + COUNTIF(AA18:AA37, "X")) &gt; 0, (COUNTIF(AA18:AA37, "✓") + COUNTIF(AA18:AA37, "✔") + COUNTIF(AA18:AA37, "v") + COUNTIF(AA18:AA37, "V")) / ((COUNTIF(AA18:AA37, "✓") + COUNTIF(AA18:AA37, "✔") + COUNTIF(AA18:AA37, "v") + COUNTIF(AA18:AA37, "V")) + COUNTIF(AA18:AA37, "✗") + COUNTIF(AA18:AA37, "x") + COUNTIF(AA18:AA37, "X")), "")</f>
        <v/>
      </c>
      <c r="AB39" s="134">
        <f>IF(((COUNTIF(AB18:AB37, "✓") + COUNTIF(AB18:AB37, "✔") + COUNTIF(AB18:AB37, "v") + COUNTIF(AB18:AB37, "V")) + COUNTIF(AB18:AB37, "✗") + COUNTIF(AB18:AB37, "x") + COUNTIF(AB18:AB37, "X")) &gt; 0, (COUNTIF(AB18:AB37, "✓") + COUNTIF(AB18:AB37, "✔") + COUNTIF(AB18:AB37, "v") + COUNTIF(AB18:AB37, "V")) / ((COUNTIF(AB18:AB37, "✓") + COUNTIF(AB18:AB37, "✔") + COUNTIF(AB18:AB37, "v") + COUNTIF(AB18:AB37, "V")) + COUNTIF(AB18:AB37, "✗") + COUNTIF(AB18:AB37, "x") + COUNTIF(AB18:AB37, "X")), "")</f>
        <v/>
      </c>
      <c r="AC39" s="134">
        <f>IF(((COUNTIF(AC18:AC37, "✓") + COUNTIF(AC18:AC37, "✔") + COUNTIF(AC18:AC37, "v") + COUNTIF(AC18:AC37, "V")) + COUNTIF(AC18:AC37, "✗") + COUNTIF(AC18:AC37, "x") + COUNTIF(AC18:AC37, "X")) &gt; 0, (COUNTIF(AC18:AC37, "✓") + COUNTIF(AC18:AC37, "✔") + COUNTIF(AC18:AC37, "v") + COUNTIF(AC18:AC37, "V")) / ((COUNTIF(AC18:AC37, "✓") + COUNTIF(AC18:AC37, "✔") + COUNTIF(AC18:AC37, "v") + COUNTIF(AC18:AC37, "V")) + COUNTIF(AC18:AC37, "✗") + COUNTIF(AC18:AC37, "x") + COUNTIF(AC18:AC37, "X")), "")</f>
        <v/>
      </c>
      <c r="AD39" s="134">
        <f>IF(((COUNTIF(AD18:AD37, "✓") + COUNTIF(AD18:AD37, "✔") + COUNTIF(AD18:AD37, "v") + COUNTIF(AD18:AD37, "V")) + COUNTIF(AD18:AD37, "✗") + COUNTIF(AD18:AD37, "x") + COUNTIF(AD18:AD37, "X")) &gt; 0, (COUNTIF(AD18:AD37, "✓") + COUNTIF(AD18:AD37, "✔") + COUNTIF(AD18:AD37, "v") + COUNTIF(AD18:AD37, "V")) / ((COUNTIF(AD18:AD37, "✓") + COUNTIF(AD18:AD37, "✔") + COUNTIF(AD18:AD37, "v") + COUNTIF(AD18:AD37, "V")) + COUNTIF(AD18:AD37, "✗") + COUNTIF(AD18:AD37, "x") + COUNTIF(AD18:AD37, "X")), "")</f>
        <v/>
      </c>
      <c r="AE39" s="134">
        <f>IF(((COUNTIF(AE18:AE37, "✓") + COUNTIF(AE18:AE37, "✔") + COUNTIF(AE18:AE37, "v") + COUNTIF(AE18:AE37, "V")) + COUNTIF(AE18:AE37, "✗") + COUNTIF(AE18:AE37, "x") + COUNTIF(AE18:AE37, "X")) &gt; 0, (COUNTIF(AE18:AE37, "✓") + COUNTIF(AE18:AE37, "✔") + COUNTIF(AE18:AE37, "v") + COUNTIF(AE18:AE37, "V")) / ((COUNTIF(AE18:AE37, "✓") + COUNTIF(AE18:AE37, "✔") + COUNTIF(AE18:AE37, "v") + COUNTIF(AE18:AE37, "V")) + COUNTIF(AE18:AE37, "✗") + COUNTIF(AE18:AE37, "x") + COUNTIF(AE18:AE37, "X")), "")</f>
        <v/>
      </c>
      <c r="AF39" s="134">
        <f>IF(((COUNTIF(AF18:AF37, "✓") + COUNTIF(AF18:AF37, "✔") + COUNTIF(AF18:AF37, "v") + COUNTIF(AF18:AF37, "V")) + COUNTIF(AF18:AF37, "✗") + COUNTIF(AF18:AF37, "x") + COUNTIF(AF18:AF37, "X")) &gt; 0, (COUNTIF(AF18:AF37, "✓") + COUNTIF(AF18:AF37, "✔") + COUNTIF(AF18:AF37, "v") + COUNTIF(AF18:AF37, "V")) / ((COUNTIF(AF18:AF37, "✓") + COUNTIF(AF18:AF37, "✔") + COUNTIF(AF18:AF37, "v") + COUNTIF(AF18:AF37, "V")) + COUNTIF(AF18:AF37, "✗") + COUNTIF(AF18:AF37, "x") + COUNTIF(AF18:AF37, "X")), "")</f>
        <v/>
      </c>
      <c r="AG39" s="134">
        <f>IF(((COUNTIF(AG18:AG37, "✓") + COUNTIF(AG18:AG37, "✔") + COUNTIF(AG18:AG37, "v") + COUNTIF(AG18:AG37, "V")) + COUNTIF(AG18:AG37, "✗") + COUNTIF(AG18:AG37, "x") + COUNTIF(AG18:AG37, "X")) &gt; 0, (COUNTIF(AG18:AG37, "✓") + COUNTIF(AG18:AG37, "✔") + COUNTIF(AG18:AG37, "v") + COUNTIF(AG18:AG37, "V")) / ((COUNTIF(AG18:AG37, "✓") + COUNTIF(AG18:AG37, "✔") + COUNTIF(AG18:AG37, "v") + COUNTIF(AG18:AG37, "V")) + COUNTIF(AG18:AG37, "✗") + COUNTIF(AG18:AG37, "x") + COUNTIF(AG18:AG37, "X")), "")</f>
        <v/>
      </c>
      <c r="AH39" s="134">
        <f>IF(((COUNTIF(AH18:AH37, "✓") + COUNTIF(AH18:AH37, "✔") + COUNTIF(AH18:AH37, "v") + COUNTIF(AH18:AH37, "V")) + COUNTIF(AH18:AH37, "✗") + COUNTIF(AH18:AH37, "x") + COUNTIF(AH18:AH37, "X")) &gt; 0, (COUNTIF(AH18:AH37, "✓") + COUNTIF(AH18:AH37, "✔") + COUNTIF(AH18:AH37, "v") + COUNTIF(AH18:AH37, "V")) / ((COUNTIF(AH18:AH37, "✓") + COUNTIF(AH18:AH37, "✔") + COUNTIF(AH18:AH37, "v") + COUNTIF(AH18:AH37, "V")) + COUNTIF(AH18:AH37, "✗") + COUNTIF(AH18:AH37, "x") + COUNTIF(AH18:AH37, "X")), "")</f>
        <v/>
      </c>
      <c r="AI39" s="133">
        <f>IF(COUNT(E39:AH39) &gt; 0, AVERAGE(E39:AH39), "")</f>
        <v/>
      </c>
      <c r="AJ39" s="54" t="n"/>
      <c r="AK39" s="54" t="n"/>
    </row>
    <row r="40" ht="6" customHeight="1"/>
    <row r="41" ht="15" customHeight="1">
      <c r="A41" s="135" t="inlineStr">
        <is>
          <t>IF SUCCESS &lt; 80%, PUNISHMENT: ________________________________________________</t>
        </is>
      </c>
    </row>
    <row r="42" ht="15" customHeight="1">
      <c r="A42" s="136" t="inlineStr">
        <is>
          <t>IF SUCCESS &gt; 90%, REWARD: __________________________________________________</t>
        </is>
      </c>
    </row>
    <row r="43" ht="10" customHeight="1"/>
    <row r="44" ht="10" customHeight="1"/>
    <row r="45" ht="15" customHeight="1">
      <c r="A45" s="51" t="inlineStr">
        <is>
          <t>Sleep Tracking</t>
        </is>
      </c>
      <c r="B45" s="52" t="n"/>
      <c r="C45" s="52" t="n"/>
      <c r="D45" s="52" t="n"/>
      <c r="E45" s="137" t="n">
        <v>1</v>
      </c>
      <c r="F45" s="137" t="n">
        <v>2</v>
      </c>
      <c r="G45" s="137" t="n">
        <v>3</v>
      </c>
      <c r="H45" s="138" t="n">
        <v>4</v>
      </c>
      <c r="I45" s="137" t="n">
        <v>5</v>
      </c>
      <c r="J45" s="137" t="n">
        <v>6</v>
      </c>
      <c r="K45" s="137" t="n">
        <v>7</v>
      </c>
      <c r="L45" s="137" t="n">
        <v>8</v>
      </c>
      <c r="M45" s="137" t="n">
        <v>9</v>
      </c>
      <c r="N45" s="137" t="n">
        <v>10</v>
      </c>
      <c r="O45" s="138" t="n">
        <v>11</v>
      </c>
      <c r="P45" s="137" t="n">
        <v>12</v>
      </c>
      <c r="Q45" s="137" t="n">
        <v>13</v>
      </c>
      <c r="R45" s="137" t="n">
        <v>14</v>
      </c>
      <c r="S45" s="137" t="n">
        <v>15</v>
      </c>
      <c r="T45" s="137" t="n">
        <v>16</v>
      </c>
      <c r="U45" s="137" t="n">
        <v>17</v>
      </c>
      <c r="V45" s="138" t="n">
        <v>18</v>
      </c>
      <c r="W45" s="137" t="n">
        <v>19</v>
      </c>
      <c r="X45" s="137" t="n">
        <v>20</v>
      </c>
      <c r="Y45" s="137" t="n">
        <v>21</v>
      </c>
      <c r="Z45" s="137" t="n">
        <v>22</v>
      </c>
      <c r="AA45" s="137" t="n">
        <v>23</v>
      </c>
      <c r="AB45" s="137" t="n">
        <v>24</v>
      </c>
      <c r="AC45" s="138" t="n">
        <v>25</v>
      </c>
      <c r="AD45" s="137" t="n">
        <v>26</v>
      </c>
      <c r="AE45" s="137" t="n">
        <v>27</v>
      </c>
      <c r="AF45" s="137" t="n">
        <v>28</v>
      </c>
      <c r="AG45" s="137" t="n">
        <v>29</v>
      </c>
      <c r="AH45" s="137" t="n">
        <v>30</v>
      </c>
    </row>
    <row r="46" ht="15" customHeight="1">
      <c r="A46" s="52" t="n"/>
      <c r="B46" s="52" t="n"/>
      <c r="C46" s="52" t="n"/>
      <c r="D46" s="52" t="n"/>
      <c r="E46" s="139" t="inlineStr">
        <is>
          <t>Th</t>
        </is>
      </c>
      <c r="F46" s="139" t="inlineStr">
        <is>
          <t>F</t>
        </is>
      </c>
      <c r="G46" s="139" t="inlineStr">
        <is>
          <t>Sa</t>
        </is>
      </c>
      <c r="H46" s="140" t="inlineStr">
        <is>
          <t>Su</t>
        </is>
      </c>
      <c r="I46" s="139" t="inlineStr">
        <is>
          <t>M</t>
        </is>
      </c>
      <c r="J46" s="139" t="inlineStr">
        <is>
          <t>T</t>
        </is>
      </c>
      <c r="K46" s="139" t="inlineStr">
        <is>
          <t>W</t>
        </is>
      </c>
      <c r="L46" s="139" t="inlineStr">
        <is>
          <t>Th</t>
        </is>
      </c>
      <c r="M46" s="139" t="inlineStr">
        <is>
          <t>F</t>
        </is>
      </c>
      <c r="N46" s="139" t="inlineStr">
        <is>
          <t>Sa</t>
        </is>
      </c>
      <c r="O46" s="140" t="inlineStr">
        <is>
          <t>Su</t>
        </is>
      </c>
      <c r="P46" s="139" t="inlineStr">
        <is>
          <t>M</t>
        </is>
      </c>
      <c r="Q46" s="139" t="inlineStr">
        <is>
          <t>T</t>
        </is>
      </c>
      <c r="R46" s="139" t="inlineStr">
        <is>
          <t>W</t>
        </is>
      </c>
      <c r="S46" s="139" t="inlineStr">
        <is>
          <t>Th</t>
        </is>
      </c>
      <c r="T46" s="139" t="inlineStr">
        <is>
          <t>F</t>
        </is>
      </c>
      <c r="U46" s="139" t="inlineStr">
        <is>
          <t>Sa</t>
        </is>
      </c>
      <c r="V46" s="140" t="inlineStr">
        <is>
          <t>Su</t>
        </is>
      </c>
      <c r="W46" s="139" t="inlineStr">
        <is>
          <t>M</t>
        </is>
      </c>
      <c r="X46" s="139" t="inlineStr">
        <is>
          <t>T</t>
        </is>
      </c>
      <c r="Y46" s="139" t="inlineStr">
        <is>
          <t>W</t>
        </is>
      </c>
      <c r="Z46" s="139" t="inlineStr">
        <is>
          <t>Th</t>
        </is>
      </c>
      <c r="AA46" s="139" t="inlineStr">
        <is>
          <t>F</t>
        </is>
      </c>
      <c r="AB46" s="139" t="inlineStr">
        <is>
          <t>Sa</t>
        </is>
      </c>
      <c r="AC46" s="140" t="inlineStr">
        <is>
          <t>Su</t>
        </is>
      </c>
      <c r="AD46" s="139" t="inlineStr">
        <is>
          <t>M</t>
        </is>
      </c>
      <c r="AE46" s="139" t="inlineStr">
        <is>
          <t>T</t>
        </is>
      </c>
      <c r="AF46" s="139" t="inlineStr">
        <is>
          <t>W</t>
        </is>
      </c>
      <c r="AG46" s="139" t="inlineStr">
        <is>
          <t>Th</t>
        </is>
      </c>
      <c r="AH46" s="139" t="inlineStr">
        <is>
          <t>F</t>
        </is>
      </c>
    </row>
    <row r="47" ht="20" customHeight="1">
      <c r="A47" s="141" t="inlineStr">
        <is>
          <t>Sleep Hours (1-24)</t>
        </is>
      </c>
      <c r="B47" s="142" t="n"/>
      <c r="C47" s="142" t="n"/>
      <c r="D47" s="142" t="n"/>
      <c r="E47" s="143" t="n"/>
      <c r="F47" s="143" t="n"/>
      <c r="G47" s="143" t="n"/>
      <c r="H47" s="144" t="n"/>
      <c r="I47" s="143" t="n"/>
      <c r="J47" s="143" t="n"/>
      <c r="K47" s="143" t="n"/>
      <c r="L47" s="143" t="n"/>
      <c r="M47" s="143" t="n"/>
      <c r="N47" s="143" t="n"/>
      <c r="O47" s="144" t="n"/>
      <c r="P47" s="143" t="n"/>
      <c r="Q47" s="143" t="n"/>
      <c r="R47" s="143" t="n"/>
      <c r="S47" s="143" t="n"/>
      <c r="T47" s="143" t="n"/>
      <c r="U47" s="143" t="n"/>
      <c r="V47" s="144" t="n"/>
      <c r="W47" s="143" t="n"/>
      <c r="X47" s="143" t="n"/>
      <c r="Y47" s="143" t="n"/>
      <c r="Z47" s="143" t="n"/>
      <c r="AA47" s="143" t="n"/>
      <c r="AB47" s="143" t="n"/>
      <c r="AC47" s="144" t="n"/>
      <c r="AD47" s="143" t="n"/>
      <c r="AE47" s="143" t="n"/>
      <c r="AF47" s="143" t="n"/>
      <c r="AG47" s="143" t="n"/>
      <c r="AH47" s="143" t="n"/>
    </row>
    <row r="48" ht="6" customHeight="1"/>
    <row r="49" ht="14" customHeight="1"/>
    <row r="50" ht="14" customHeight="1"/>
    <row r="51" ht="14" customHeight="1"/>
    <row r="52" ht="14" customHeight="1"/>
    <row r="53" ht="14" customHeight="1"/>
    <row r="54" ht="14" customHeight="1"/>
    <row r="55" ht="14" customHeight="1"/>
    <row r="56" ht="14" customHeight="1"/>
    <row r="57" ht="14" customHeight="1"/>
    <row r="58" ht="14" customHeight="1"/>
    <row r="59" ht="14" customHeight="1"/>
    <row r="60" ht="14" customHeight="1"/>
    <row r="61" ht="14" customHeight="1"/>
    <row r="62" ht="14" customHeight="1"/>
    <row r="63" ht="14" customHeight="1"/>
    <row r="64" ht="14" customHeight="1"/>
    <row r="65" ht="14" customHeight="1"/>
    <row r="66" ht="8" customHeight="1"/>
    <row r="67">
      <c r="A67" s="145" t="inlineStr">
        <is>
          <t>MONTHLY SUCCESS RATE</t>
        </is>
      </c>
      <c r="B67" s="9" t="n"/>
      <c r="C67" s="9" t="n"/>
      <c r="D67" s="9" t="n"/>
      <c r="F67" s="146" t="inlineStr">
        <is>
          <t>ACTIVE PROTOCOLS</t>
        </is>
      </c>
      <c r="G67" s="11" t="n"/>
      <c r="H67" s="11" t="n"/>
      <c r="I67" s="11" t="n"/>
      <c r="K67" s="147" t="inlineStr">
        <is>
          <t>PERFECT DAYS (100%)</t>
        </is>
      </c>
      <c r="L67" s="13" t="n"/>
      <c r="M67" s="13" t="n"/>
      <c r="N67" s="13" t="n"/>
      <c r="P67" s="148" t="inlineStr">
        <is>
          <t>AVG SLEEP DURATION</t>
        </is>
      </c>
      <c r="Q67" s="15" t="n"/>
      <c r="R67" s="15" t="n"/>
      <c r="S67" s="15" t="n"/>
    </row>
    <row r="68">
      <c r="A68" s="149">
        <f>IF(SUM(D18:D37)&gt;0, SUM(AL18:AL37)/SUM(D18:D37), 0)</f>
        <v/>
      </c>
      <c r="B68" s="9" t="n"/>
      <c r="C68" s="9" t="n"/>
      <c r="D68" s="9" t="n"/>
      <c r="F68" s="150">
        <f>COUNTA(B18:B37) &amp; " / 20"</f>
        <v/>
      </c>
      <c r="G68" s="11" t="n"/>
      <c r="H68" s="11" t="n"/>
      <c r="I68" s="11" t="n"/>
      <c r="K68" s="151">
        <f>COUNTIF(E39:AH39, 1) &amp; " Days"</f>
        <v/>
      </c>
      <c r="L68" s="13" t="n"/>
      <c r="M68" s="13" t="n"/>
      <c r="N68" s="13" t="n"/>
      <c r="P68" s="152">
        <f>IFERROR(TEXT(AVERAGE(E47:AH47), "0.0") &amp; " hrs", "-")</f>
        <v/>
      </c>
      <c r="Q68" s="15" t="n"/>
      <c r="R68" s="15" t="n"/>
      <c r="S68" s="15" t="n"/>
    </row>
    <row r="69">
      <c r="A69" s="9" t="n"/>
      <c r="B69" s="9" t="n"/>
      <c r="C69" s="9" t="n"/>
      <c r="D69" s="9" t="n"/>
      <c r="F69" s="11" t="n"/>
      <c r="G69" s="11" t="n"/>
      <c r="H69" s="11" t="n"/>
      <c r="I69" s="11" t="n"/>
      <c r="K69" s="13" t="n"/>
      <c r="L69" s="13" t="n"/>
      <c r="M69" s="13" t="n"/>
      <c r="N69" s="13" t="n"/>
      <c r="P69" s="15" t="n"/>
      <c r="Q69" s="15" t="n"/>
      <c r="R69" s="15" t="n"/>
      <c r="S69" s="15" t="n"/>
    </row>
    <row r="70">
      <c r="A70" s="9" t="n"/>
      <c r="B70" s="9" t="n"/>
      <c r="C70" s="9" t="n"/>
      <c r="D70" s="9" t="n"/>
      <c r="F70" s="11" t="n"/>
      <c r="G70" s="11" t="n"/>
      <c r="H70" s="11" t="n"/>
      <c r="I70" s="11" t="n"/>
      <c r="K70" s="13" t="n"/>
      <c r="L70" s="13" t="n"/>
      <c r="M70" s="13" t="n"/>
      <c r="N70" s="13" t="n"/>
      <c r="P70" s="15" t="n"/>
      <c r="Q70" s="15" t="n"/>
      <c r="R70" s="15" t="n"/>
      <c r="S70" s="15" t="n"/>
    </row>
    <row r="71">
      <c r="A71" s="153" t="inlineStr">
        <is>
          <t>Target Completion</t>
        </is>
      </c>
      <c r="B71" s="9" t="n"/>
      <c r="C71" s="9" t="n"/>
      <c r="D71" s="9" t="n"/>
      <c r="F71" s="154" t="inlineStr">
        <is>
          <t>Habits Tracked</t>
        </is>
      </c>
      <c r="G71" s="11" t="n"/>
      <c r="H71" s="11" t="n"/>
      <c r="I71" s="11" t="n"/>
      <c r="K71" s="155" t="inlineStr">
        <is>
          <t>All Marked Habits Completed</t>
        </is>
      </c>
      <c r="L71" s="13" t="n"/>
      <c r="M71" s="13" t="n"/>
      <c r="N71" s="13" t="n"/>
      <c r="P71" s="156" t="inlineStr">
        <is>
          <t>Nightly Rest Average</t>
        </is>
      </c>
      <c r="Q71" s="15" t="n"/>
      <c r="R71" s="15" t="n"/>
      <c r="S71" s="15" t="n"/>
    </row>
    <row r="72" ht="8" customHeight="1"/>
    <row r="73" ht="6" customHeight="1"/>
    <row r="74">
      <c r="A74" s="67" t="inlineStr">
        <is>
          <t>WEEKLY PERFORMANCE (SLUMP DETECTOR)</t>
        </is>
      </c>
      <c r="B74" s="29" t="n"/>
      <c r="C74" s="29" t="n"/>
      <c r="D74" s="29" t="n"/>
      <c r="E74" s="29" t="n"/>
      <c r="N74" s="157" t="inlineStr">
        <is>
          <t>LIFE DOMAIN / CATEGORY BREAKDOWN</t>
        </is>
      </c>
      <c r="O74" s="158" t="n"/>
      <c r="P74" s="158" t="n"/>
      <c r="Q74" s="158" t="n"/>
      <c r="R74" s="158" t="n"/>
      <c r="S74" s="158" t="n"/>
    </row>
    <row r="75" ht="15" customHeight="1">
      <c r="A75" s="53" t="inlineStr">
        <is>
          <t>Week</t>
        </is>
      </c>
      <c r="B75" s="53" t="inlineStr">
        <is>
          <t>Days Range</t>
        </is>
      </c>
      <c r="C75" s="53" t="inlineStr">
        <is>
          <t>Checks Done</t>
        </is>
      </c>
      <c r="D75" s="53" t="inlineStr">
        <is>
          <t>Evaluated</t>
        </is>
      </c>
      <c r="E75" s="53" t="inlineStr">
        <is>
          <t>Success %</t>
        </is>
      </c>
      <c r="N75" s="53" t="inlineStr">
        <is>
          <t>Domain / Category</t>
        </is>
      </c>
      <c r="O75" s="54" t="n"/>
      <c r="P75" s="53" t="inlineStr">
        <is>
          <t>Active Habits</t>
        </is>
      </c>
      <c r="Q75" s="53" t="inlineStr">
        <is>
          <t>Target Days</t>
        </is>
      </c>
      <c r="R75" s="53" t="inlineStr">
        <is>
          <t>Done Checks</t>
        </is>
      </c>
      <c r="S75" s="53" t="inlineStr">
        <is>
          <t>Success %</t>
        </is>
      </c>
    </row>
    <row r="76" ht="14" customHeight="1">
      <c r="A76" s="33" t="inlineStr">
        <is>
          <t>Week 1</t>
        </is>
      </c>
      <c r="B76" s="34" t="inlineStr">
        <is>
          <t>Days 1 - 7</t>
        </is>
      </c>
      <c r="C76" s="34">
        <f>COUNTIF(E18:K37, "✓")</f>
        <v/>
      </c>
      <c r="D76" s="34">
        <f>COUNTIF(E18:K37, "✓") + COUNTIF(E18:K37, "✗")</f>
        <v/>
      </c>
      <c r="E76" s="35">
        <f>IFERROR(C76/D76, 0)</f>
        <v/>
      </c>
      <c r="N76" s="60" t="inlineStr">
        <is>
          <t>Health &amp; Fitness</t>
        </is>
      </c>
      <c r="O76" s="54" t="n"/>
      <c r="P76" s="34">
        <f>COUNTIF($C$18:$C$37, "Health &amp; Fitness")</f>
        <v/>
      </c>
      <c r="Q76" s="34">
        <f>SUMIF($C$18:$C$37, "Health &amp; Fitness", $D$18:$D$37)</f>
        <v/>
      </c>
      <c r="R76" s="34">
        <f>SUMIF($C$18:$C$37, "Health &amp; Fitness", $AL$18:$AL$37)</f>
        <v/>
      </c>
      <c r="S76" s="35">
        <f>IFERROR(R76/Q76, 0)</f>
        <v/>
      </c>
    </row>
    <row r="77" ht="14" customHeight="1">
      <c r="A77" s="33" t="inlineStr">
        <is>
          <t>Week 2</t>
        </is>
      </c>
      <c r="B77" s="34" t="inlineStr">
        <is>
          <t>Days 8 - 14</t>
        </is>
      </c>
      <c r="C77" s="34">
        <f>COUNTIF(L18:R37, "✓")</f>
        <v/>
      </c>
      <c r="D77" s="34">
        <f>COUNTIF(L18:R37, "✓") + COUNTIF(L18:R37, "✗")</f>
        <v/>
      </c>
      <c r="E77" s="35">
        <f>IFERROR(C77/D77, 0)</f>
        <v/>
      </c>
      <c r="N77" s="60" t="inlineStr">
        <is>
          <t>Mindset &amp; Learning</t>
        </is>
      </c>
      <c r="O77" s="54" t="n"/>
      <c r="P77" s="34">
        <f>COUNTIF($C$18:$C$37, "Mindset &amp; Learning")</f>
        <v/>
      </c>
      <c r="Q77" s="34">
        <f>SUMIF($C$18:$C$37, "Mindset &amp; Learning", $D$18:$D$37)</f>
        <v/>
      </c>
      <c r="R77" s="34">
        <f>SUMIF($C$18:$C$37, "Mindset &amp; Learning", $AL$18:$AL$37)</f>
        <v/>
      </c>
      <c r="S77" s="35">
        <f>IFERROR(R77/Q77, 0)</f>
        <v/>
      </c>
    </row>
    <row r="78" ht="14" customHeight="1">
      <c r="A78" s="33" t="inlineStr">
        <is>
          <t>Week 3</t>
        </is>
      </c>
      <c r="B78" s="34" t="inlineStr">
        <is>
          <t>Days 15 - 21</t>
        </is>
      </c>
      <c r="C78" s="34">
        <f>COUNTIF(S18:Y37, "✓")</f>
        <v/>
      </c>
      <c r="D78" s="34">
        <f>COUNTIF(S18:Y37, "✓") + COUNTIF(S18:Y37, "✗")</f>
        <v/>
      </c>
      <c r="E78" s="35">
        <f>IFERROR(C78/D78, 0)</f>
        <v/>
      </c>
      <c r="N78" s="60" t="inlineStr">
        <is>
          <t>Career &amp; Focus</t>
        </is>
      </c>
      <c r="O78" s="54" t="n"/>
      <c r="P78" s="34">
        <f>COUNTIF($C$18:$C$37, "Career &amp; Focus")</f>
        <v/>
      </c>
      <c r="Q78" s="34">
        <f>SUMIF($C$18:$C$37, "Career &amp; Focus", $D$18:$D$37)</f>
        <v/>
      </c>
      <c r="R78" s="34">
        <f>SUMIF($C$18:$C$37, "Career &amp; Focus", $AL$18:$AL$37)</f>
        <v/>
      </c>
      <c r="S78" s="35">
        <f>IFERROR(R78/Q78, 0)</f>
        <v/>
      </c>
    </row>
    <row r="79" ht="14" customHeight="1">
      <c r="A79" s="33" t="inlineStr">
        <is>
          <t>Week 4</t>
        </is>
      </c>
      <c r="B79" s="34" t="inlineStr">
        <is>
          <t>Days 22 - 28</t>
        </is>
      </c>
      <c r="C79" s="34">
        <f>COUNTIF(Z18:AF37, "✓")</f>
        <v/>
      </c>
      <c r="D79" s="34">
        <f>COUNTIF(Z18:AF37, "✓") + COUNTIF(Z18:AF37, "✗")</f>
        <v/>
      </c>
      <c r="E79" s="35">
        <f>IFERROR(C79/D79, 0)</f>
        <v/>
      </c>
      <c r="N79" s="60" t="inlineStr">
        <is>
          <t>Personal &amp; Home</t>
        </is>
      </c>
      <c r="O79" s="54" t="n"/>
      <c r="P79" s="34">
        <f>COUNTIF($C$18:$C$37, "Personal &amp; Home")</f>
        <v/>
      </c>
      <c r="Q79" s="34">
        <f>SUMIF($C$18:$C$37, "Personal &amp; Home", $D$18:$D$37)</f>
        <v/>
      </c>
      <c r="R79" s="34">
        <f>SUMIF($C$18:$C$37, "Personal &amp; Home", $AL$18:$AL$37)</f>
        <v/>
      </c>
      <c r="S79" s="35">
        <f>IFERROR(R79/Q79, 0)</f>
        <v/>
      </c>
    </row>
    <row r="80" ht="14" customHeight="1">
      <c r="A80" s="33" t="inlineStr">
        <is>
          <t>Week 5</t>
        </is>
      </c>
      <c r="B80" s="34" t="inlineStr">
        <is>
          <t>Days 29 - 30</t>
        </is>
      </c>
      <c r="C80" s="34">
        <f>COUNTIF(AG18:AH37, "✓")</f>
        <v/>
      </c>
      <c r="D80" s="34">
        <f>COUNTIF(AG18:AH37, "✓") + COUNTIF(AG18:AH37, "✗")</f>
        <v/>
      </c>
      <c r="E80" s="35">
        <f>IFERROR(C80/D80, 0)</f>
        <v/>
      </c>
      <c r="N80" s="60" t="inlineStr">
        <is>
          <t>Finance &amp; Wealth</t>
        </is>
      </c>
      <c r="O80" s="54" t="n"/>
      <c r="P80" s="34">
        <f>COUNTIF($C$18:$C$37, "Finance &amp; Wealth")</f>
        <v/>
      </c>
      <c r="Q80" s="34">
        <f>SUMIF($C$18:$C$37, "Finance &amp; Wealth", $D$18:$D$37)</f>
        <v/>
      </c>
      <c r="R80" s="34">
        <f>SUMIF($C$18:$C$37, "Finance &amp; Wealth", $AL$18:$AL$37)</f>
        <v/>
      </c>
      <c r="S80" s="35">
        <f>IFERROR(R80/Q80, 0)</f>
        <v/>
      </c>
    </row>
    <row r="81" ht="14" customHeight="1">
      <c r="A81" s="33" t="inlineStr">
        <is>
          <t>Total / Avg</t>
        </is>
      </c>
      <c r="B81" s="159" t="inlineStr">
        <is>
          <t>Month Total</t>
        </is>
      </c>
      <c r="C81" s="33">
        <f>SUM(C76:C80)</f>
        <v/>
      </c>
      <c r="D81" s="33">
        <f>SUM(D76:D80)</f>
        <v/>
      </c>
      <c r="E81" s="133">
        <f>IFERROR(C81/D81, 0)</f>
        <v/>
      </c>
    </row>
    <row r="82" ht="10" customHeight="1"/>
    <row r="83" ht="10" customHeight="1"/>
    <row r="84">
      <c r="A84" s="51" t="inlineStr">
        <is>
          <t>SLEEP &amp; PRODUCTIVITY CORRELATION ANALYSIS</t>
        </is>
      </c>
      <c r="B84" s="52" t="n"/>
      <c r="C84" s="52" t="n"/>
      <c r="D84" s="52" t="n"/>
      <c r="E84" s="52" t="n"/>
      <c r="F84" s="52" t="n"/>
      <c r="G84" s="52" t="n"/>
      <c r="H84" s="52" t="n"/>
      <c r="I84" s="52" t="n"/>
      <c r="J84" s="52" t="n"/>
      <c r="K84" s="52" t="n"/>
      <c r="L84" s="52" t="n"/>
      <c r="M84" s="52" t="n"/>
      <c r="N84" s="52" t="n"/>
      <c r="O84" s="52" t="n"/>
      <c r="P84" s="52" t="n"/>
      <c r="Q84" s="52" t="n"/>
      <c r="R84" s="52" t="n"/>
      <c r="S84" s="52" t="n"/>
      <c r="T84" s="52" t="n"/>
      <c r="U84" s="52" t="n"/>
      <c r="V84" s="52" t="n"/>
      <c r="W84" s="52" t="n"/>
      <c r="X84" s="52" t="n"/>
      <c r="Y84" s="52" t="n"/>
      <c r="Z84" s="52" t="n"/>
      <c r="AA84" s="52" t="n"/>
      <c r="AB84" s="52" t="n"/>
      <c r="AC84" s="52" t="n"/>
      <c r="AD84" s="52" t="n"/>
      <c r="AE84" s="52" t="n"/>
      <c r="AF84" s="52" t="n"/>
      <c r="AG84" s="52" t="n"/>
      <c r="AH84" s="52" t="n"/>
      <c r="AI84" s="52" t="n"/>
      <c r="AJ84" s="52" t="n"/>
      <c r="AK84" s="52" t="n"/>
    </row>
    <row r="85" ht="15" customHeight="1">
      <c r="A85" s="53" t="inlineStr">
        <is>
          <t>Rest Category</t>
        </is>
      </c>
      <c r="B85" s="54" t="n"/>
      <c r="C85" s="54" t="n"/>
      <c r="D85" s="53" t="inlineStr">
        <is>
          <t>Day Criteria</t>
        </is>
      </c>
      <c r="E85" s="54" t="n"/>
      <c r="F85" s="54" t="n"/>
      <c r="G85" s="53" t="inlineStr">
        <is>
          <t>Days Logged</t>
        </is>
      </c>
      <c r="H85" s="54" t="n"/>
      <c r="I85" s="54" t="n"/>
      <c r="J85" s="53" t="inlineStr">
        <is>
          <t>Avg Sleep Duration</t>
        </is>
      </c>
      <c r="K85" s="54" t="n"/>
      <c r="L85" s="54" t="n"/>
      <c r="M85" s="54" t="n"/>
      <c r="N85" s="53" t="inlineStr">
        <is>
          <t>Avg Habit Success %</t>
        </is>
      </c>
      <c r="O85" s="54" t="n"/>
      <c r="P85" s="54" t="n"/>
      <c r="Q85" s="54" t="n"/>
      <c r="R85" s="53" t="inlineStr">
        <is>
          <t>Productivity Delta</t>
        </is>
      </c>
      <c r="S85" s="54" t="n"/>
      <c r="T85" s="54" t="n"/>
      <c r="U85" s="54" t="n"/>
    </row>
    <row r="86" ht="15" customHeight="1">
      <c r="A86" s="160" t="inlineStr">
        <is>
          <t>Optimal Rest</t>
        </is>
      </c>
      <c r="B86" s="161" t="n"/>
      <c r="C86" s="56" t="n"/>
      <c r="D86" s="34" t="inlineStr">
        <is>
          <t>&gt;= 7 Hours / Night</t>
        </is>
      </c>
      <c r="E86" s="161" t="n"/>
      <c r="F86" s="56" t="n"/>
      <c r="G86" s="33">
        <f>COUNTIF(E47:AH47, "&gt;=7")</f>
        <v/>
      </c>
      <c r="H86" s="161" t="n"/>
      <c r="I86" s="56" t="n"/>
      <c r="J86" s="34">
        <f>IFERROR(TEXT(AVERAGEIF(E47:AH47, "&gt;=7"), "0.0") &amp; " hrs", "-")</f>
        <v/>
      </c>
      <c r="K86" s="161" t="n"/>
      <c r="L86" s="161" t="n"/>
      <c r="M86" s="56" t="n"/>
      <c r="N86" s="42">
        <f>IFERROR(AVERAGEIFS(E39:AH39, E47:AH47, "&gt;=7", E39:AH39, "&gt;0"), 0)</f>
        <v/>
      </c>
      <c r="O86" s="161" t="n"/>
      <c r="P86" s="161" t="n"/>
      <c r="Q86" s="56" t="n"/>
      <c r="R86" s="159" t="inlineStr">
        <is>
          <t>Baseline (Target)</t>
        </is>
      </c>
      <c r="S86" s="161" t="n"/>
      <c r="T86" s="161" t="n"/>
      <c r="U86" s="56" t="n"/>
    </row>
    <row r="87" ht="15" customHeight="1">
      <c r="A87" s="162" t="inlineStr">
        <is>
          <t>Sleep Deficit</t>
        </is>
      </c>
      <c r="B87" s="161" t="n"/>
      <c r="C87" s="56" t="n"/>
      <c r="D87" s="34" t="inlineStr">
        <is>
          <t>&lt; 7 Hours / Night</t>
        </is>
      </c>
      <c r="E87" s="161" t="n"/>
      <c r="F87" s="56" t="n"/>
      <c r="G87" s="33">
        <f>COUNTIF(E47:AH47, "&lt;7") - COUNTIF(E47:AH47, "")</f>
        <v/>
      </c>
      <c r="H87" s="161" t="n"/>
      <c r="I87" s="56" t="n"/>
      <c r="J87" s="34">
        <f>IFERROR(TEXT(AVERAGEIFS(E47:AH47, E47:AH47, "&lt;7", E47:AH47, "&gt;0"), "0.0") &amp; " hrs", "-")</f>
        <v/>
      </c>
      <c r="K87" s="161" t="n"/>
      <c r="L87" s="161" t="n"/>
      <c r="M87" s="56" t="n"/>
      <c r="N87" s="163">
        <f>IFERROR(AVERAGEIFS(E39:AH39, E47:AH47, "&lt;7", E39:AH39, "&gt;0"), 0)</f>
        <v/>
      </c>
      <c r="O87" s="161" t="n"/>
      <c r="P87" s="161" t="n"/>
      <c r="Q87" s="56" t="n"/>
      <c r="R87" s="160">
        <f>IFERROR(TEXT(N86 - N87, "+0.0%;-0.0%;0.0%") &amp; " Rest Advantage", "-")</f>
        <v/>
      </c>
      <c r="S87" s="161" t="n"/>
      <c r="T87" s="161" t="n"/>
      <c r="U87" s="56" t="n"/>
    </row>
    <row r="88" ht="18" customHeight="1">
      <c r="A88" s="164">
        <f>IF(AND(ISNUMBER(N86), ISNUMBER(N87), N86&gt;0, N87&gt;0), "💡 Sleep Correlation Insight: You complete " &amp; TEXT(ABS(N86-N87), "0.0%") &amp; IF(N86&gt;=N87, " MORE habits on days with 7+ hours of sleep!", " fewer habits on days with 7+ hours of sleep."), "💡 Log both habits and sleep hours daily to unlock automatic AI correlation insights!")</f>
        <v/>
      </c>
      <c r="B88" s="161" t="n"/>
      <c r="C88" s="161" t="n"/>
      <c r="D88" s="161" t="n"/>
      <c r="E88" s="161" t="n"/>
      <c r="F88" s="161" t="n"/>
      <c r="G88" s="161" t="n"/>
      <c r="H88" s="161" t="n"/>
      <c r="I88" s="161" t="n"/>
      <c r="J88" s="161" t="n"/>
      <c r="K88" s="161" t="n"/>
      <c r="L88" s="161" t="n"/>
      <c r="M88" s="161" t="n"/>
      <c r="N88" s="161" t="n"/>
      <c r="O88" s="161" t="n"/>
      <c r="P88" s="161" t="n"/>
      <c r="Q88" s="161" t="n"/>
      <c r="R88" s="161" t="n"/>
      <c r="S88" s="161" t="n"/>
      <c r="T88" s="161" t="n"/>
      <c r="U88" s="161" t="n"/>
      <c r="V88" s="161" t="n"/>
      <c r="W88" s="161" t="n"/>
      <c r="X88" s="161" t="n"/>
      <c r="Y88" s="161" t="n"/>
      <c r="Z88" s="161" t="n"/>
      <c r="AA88" s="161" t="n"/>
      <c r="AB88" s="161" t="n"/>
      <c r="AC88" s="161" t="n"/>
      <c r="AD88" s="161" t="n"/>
      <c r="AE88" s="161" t="n"/>
      <c r="AF88" s="161" t="n"/>
      <c r="AG88" s="161" t="n"/>
      <c r="AH88" s="161" t="n"/>
      <c r="AI88" s="161" t="n"/>
      <c r="AJ88" s="161" t="n"/>
      <c r="AK88" s="56" t="n"/>
    </row>
    <row r="89" ht="10" customHeight="1"/>
    <row r="90">
      <c r="A90" s="43" t="inlineStr">
        <is>
          <t>STANDARDIZED DATA BRIDGE (FOR ANNUAL &amp; QUARTERLY REVIEW SHEETS)</t>
        </is>
      </c>
      <c r="B90" s="44" t="n"/>
      <c r="C90" s="44" t="n"/>
      <c r="D90" s="44" t="n"/>
      <c r="E90" s="44" t="n"/>
      <c r="F90" s="44" t="n"/>
      <c r="G90" s="44" t="n"/>
      <c r="H90" s="44" t="n"/>
      <c r="I90" s="44" t="n"/>
      <c r="J90" s="44" t="n"/>
      <c r="K90" s="44" t="n"/>
      <c r="L90" s="44" t="n"/>
      <c r="M90" s="44" t="n"/>
      <c r="N90" s="44" t="n"/>
      <c r="O90" s="44" t="n"/>
      <c r="P90" s="44" t="n"/>
      <c r="Q90" s="44" t="n"/>
      <c r="R90" s="44" t="n"/>
      <c r="S90" s="44" t="n"/>
      <c r="T90" s="44" t="n"/>
      <c r="U90" s="44" t="n"/>
      <c r="V90" s="44" t="n"/>
      <c r="W90" s="44" t="n"/>
      <c r="X90" s="44" t="n"/>
      <c r="Y90" s="44" t="n"/>
      <c r="Z90" s="44" t="n"/>
      <c r="AA90" s="44" t="n"/>
      <c r="AB90" s="44" t="n"/>
      <c r="AC90" s="44" t="n"/>
      <c r="AD90" s="44" t="n"/>
      <c r="AE90" s="44" t="n"/>
      <c r="AF90" s="44" t="n"/>
      <c r="AG90" s="44" t="n"/>
      <c r="AH90" s="44" t="n"/>
      <c r="AI90" s="44" t="n"/>
      <c r="AJ90" s="44" t="n"/>
      <c r="AK90" s="44" t="n"/>
    </row>
    <row r="91" ht="15" customHeight="1">
      <c r="A91" s="53" t="inlineStr">
        <is>
          <t>Month</t>
        </is>
      </c>
      <c r="B91" s="54" t="n"/>
      <c r="C91" s="53" t="inlineStr">
        <is>
          <t>Year</t>
        </is>
      </c>
      <c r="D91" s="54" t="n"/>
      <c r="E91" s="53" t="inlineStr">
        <is>
          <t>Active Habits</t>
        </is>
      </c>
      <c r="F91" s="54" t="n"/>
      <c r="G91" s="53" t="inlineStr">
        <is>
          <t>Target Days</t>
        </is>
      </c>
      <c r="H91" s="54" t="n"/>
      <c r="I91" s="53" t="inlineStr">
        <is>
          <t>Done Checks</t>
        </is>
      </c>
      <c r="J91" s="54" t="n"/>
      <c r="K91" s="53" t="inlineStr">
        <is>
          <t>Success %</t>
        </is>
      </c>
      <c r="L91" s="54" t="n"/>
      <c r="M91" s="53" t="inlineStr">
        <is>
          <t>Perfect Days</t>
        </is>
      </c>
      <c r="N91" s="54" t="n"/>
      <c r="O91" s="53" t="inlineStr">
        <is>
          <t>Avg Sleep</t>
        </is>
      </c>
      <c r="P91" s="54" t="n"/>
      <c r="Q91" s="53" t="inlineStr">
        <is>
          <t>Best Week</t>
        </is>
      </c>
      <c r="R91" s="54" t="n"/>
      <c r="S91" s="54" t="n"/>
      <c r="T91" s="53" t="inlineStr">
        <is>
          <t>Top Life Domain</t>
        </is>
      </c>
      <c r="U91" s="54" t="n"/>
      <c r="V91" s="54" t="n"/>
      <c r="W91" s="54" t="n"/>
    </row>
    <row r="92" ht="16" customHeight="1">
      <c r="A92" s="165" t="inlineStr">
        <is>
          <t>Apr</t>
        </is>
      </c>
      <c r="B92" s="56" t="n"/>
      <c r="C92" s="165" t="n">
        <v>2027</v>
      </c>
      <c r="D92" s="56" t="n"/>
      <c r="E92" s="166">
        <f>COUNTA(B18:B37)</f>
        <v/>
      </c>
      <c r="F92" s="56" t="n"/>
      <c r="G92" s="166">
        <f>SUM(D18:D37)</f>
        <v/>
      </c>
      <c r="H92" s="56" t="n"/>
      <c r="I92" s="166">
        <f>SUM(AL18:AL37)</f>
        <v/>
      </c>
      <c r="J92" s="56" t="n"/>
      <c r="K92" s="167">
        <f>IF(G92&gt;0, I92/G92, 0)</f>
        <v/>
      </c>
      <c r="L92" s="56" t="n"/>
      <c r="M92" s="166">
        <f>COUNTIF(E39:AH39, 1)</f>
        <v/>
      </c>
      <c r="N92" s="56" t="n"/>
      <c r="O92" s="168">
        <f>IFERROR(AVERAGE(E47:AH47), 0)</f>
        <v/>
      </c>
      <c r="P92" s="56" t="n"/>
      <c r="Q92" s="166">
        <f>INDEX(A76:A80, MATCH(MAX(E76:E80), E76:E80, 0))</f>
        <v/>
      </c>
      <c r="R92" s="161" t="n"/>
      <c r="S92" s="56" t="n"/>
      <c r="T92" s="166">
        <f>INDEX(N76:N80, MATCH(MAX(S76:S80), S76:S80, 0))</f>
        <v/>
      </c>
      <c r="U92" s="161" t="n"/>
      <c r="V92" s="161" t="n"/>
      <c r="W92" s="56" t="n"/>
    </row>
    <row r="93" ht="14" customHeight="1">
      <c r="A93" s="169" t="inlineStr">
        <is>
          <t>📋 Note: Reference or copy Row 92 directly into an Annual / Quarterly review dashboard to track yearly habit trends.</t>
        </is>
      </c>
    </row>
    <row r="94" ht="8" customHeight="1"/>
    <row r="95">
      <c r="A95" s="170" t="inlineStr">
        <is>
          <t>🏆 MONTHLY WINS &amp; HIGHLIGHTS</t>
        </is>
      </c>
      <c r="J95" s="171" t="inlineStr">
        <is>
          <t>⚠️ FRICTION POINTS &amp; ROOT CAUSES</t>
        </is>
      </c>
      <c r="S95" s="172" t="inlineStr">
        <is>
          <t>🎯 3 KEY ADJUSTMENTS FOR NEXT MONTH</t>
        </is>
      </c>
    </row>
    <row r="96">
      <c r="A96" s="173" t="inlineStr">
        <is>
          <t>1. What went exceptionally well this month?
2. Which habit felt effortless and consistent?
3. Major milestone achieved:</t>
        </is>
      </c>
      <c r="B96" s="174" t="n"/>
      <c r="C96" s="174" t="n"/>
      <c r="D96" s="174" t="n"/>
      <c r="E96" s="174" t="n"/>
      <c r="F96" s="174" t="n"/>
      <c r="G96" s="174" t="n"/>
      <c r="H96" s="174" t="n"/>
      <c r="J96" s="175" t="inlineStr">
        <is>
          <t>1. What caused missed or skipped days?
2. Main triggers / energy drains encountered:
3. Which habit had the lowest consistency and why?</t>
        </is>
      </c>
      <c r="K96" s="176" t="n"/>
      <c r="L96" s="176" t="n"/>
      <c r="M96" s="176" t="n"/>
      <c r="N96" s="176" t="n"/>
      <c r="O96" s="176" t="n"/>
      <c r="P96" s="176" t="n"/>
      <c r="Q96" s="176" t="n"/>
      <c r="S96" s="177" t="inlineStr">
        <is>
          <t>1. Habit Stacking or time adjustment for next month:
2. Environment design change to eliminate friction:
3. One non-negotiable priority protocol:</t>
        </is>
      </c>
      <c r="T96" s="178" t="n"/>
      <c r="U96" s="178" t="n"/>
      <c r="V96" s="178" t="n"/>
      <c r="W96" s="178" t="n"/>
      <c r="X96" s="178" t="n"/>
      <c r="Y96" s="178" t="n"/>
      <c r="Z96" s="178" t="n"/>
    </row>
    <row r="97">
      <c r="A97" s="174" t="n"/>
      <c r="B97" s="174" t="n"/>
      <c r="C97" s="174" t="n"/>
      <c r="D97" s="174" t="n"/>
      <c r="E97" s="174" t="n"/>
      <c r="F97" s="174" t="n"/>
      <c r="G97" s="174" t="n"/>
      <c r="H97" s="174" t="n"/>
      <c r="J97" s="176" t="n"/>
      <c r="K97" s="176" t="n"/>
      <c r="L97" s="176" t="n"/>
      <c r="M97" s="176" t="n"/>
      <c r="N97" s="176" t="n"/>
      <c r="O97" s="176" t="n"/>
      <c r="P97" s="176" t="n"/>
      <c r="Q97" s="176" t="n"/>
      <c r="S97" s="178" t="n"/>
      <c r="T97" s="178" t="n"/>
      <c r="U97" s="178" t="n"/>
      <c r="V97" s="178" t="n"/>
      <c r="W97" s="178" t="n"/>
      <c r="X97" s="178" t="n"/>
      <c r="Y97" s="178" t="n"/>
      <c r="Z97" s="178" t="n"/>
    </row>
    <row r="98">
      <c r="A98" s="174" t="n"/>
      <c r="B98" s="174" t="n"/>
      <c r="C98" s="174" t="n"/>
      <c r="D98" s="174" t="n"/>
      <c r="E98" s="174" t="n"/>
      <c r="F98" s="174" t="n"/>
      <c r="G98" s="174" t="n"/>
      <c r="H98" s="174" t="n"/>
      <c r="J98" s="176" t="n"/>
      <c r="K98" s="176" t="n"/>
      <c r="L98" s="176" t="n"/>
      <c r="M98" s="176" t="n"/>
      <c r="N98" s="176" t="n"/>
      <c r="O98" s="176" t="n"/>
      <c r="P98" s="176" t="n"/>
      <c r="Q98" s="176" t="n"/>
      <c r="S98" s="178" t="n"/>
      <c r="T98" s="178" t="n"/>
      <c r="U98" s="178" t="n"/>
      <c r="V98" s="178" t="n"/>
      <c r="W98" s="178" t="n"/>
      <c r="X98" s="178" t="n"/>
      <c r="Y98" s="178" t="n"/>
      <c r="Z98" s="178" t="n"/>
    </row>
    <row r="99">
      <c r="A99" s="174" t="n"/>
      <c r="B99" s="174" t="n"/>
      <c r="C99" s="174" t="n"/>
      <c r="D99" s="174" t="n"/>
      <c r="E99" s="174" t="n"/>
      <c r="F99" s="174" t="n"/>
      <c r="G99" s="174" t="n"/>
      <c r="H99" s="174" t="n"/>
      <c r="J99" s="176" t="n"/>
      <c r="K99" s="176" t="n"/>
      <c r="L99" s="176" t="n"/>
      <c r="M99" s="176" t="n"/>
      <c r="N99" s="176" t="n"/>
      <c r="O99" s="176" t="n"/>
      <c r="P99" s="176" t="n"/>
      <c r="Q99" s="176" t="n"/>
      <c r="S99" s="178" t="n"/>
      <c r="T99" s="178" t="n"/>
      <c r="U99" s="178" t="n"/>
      <c r="V99" s="178" t="n"/>
      <c r="W99" s="178" t="n"/>
      <c r="X99" s="178" t="n"/>
      <c r="Y99" s="178" t="n"/>
      <c r="Z99" s="178" t="n"/>
    </row>
    <row r="100">
      <c r="A100" s="174" t="n"/>
      <c r="B100" s="174" t="n"/>
      <c r="C100" s="174" t="n"/>
      <c r="D100" s="174" t="n"/>
      <c r="E100" s="174" t="n"/>
      <c r="F100" s="174" t="n"/>
      <c r="G100" s="174" t="n"/>
      <c r="H100" s="174" t="n"/>
      <c r="J100" s="176" t="n"/>
      <c r="K100" s="176" t="n"/>
      <c r="L100" s="176" t="n"/>
      <c r="M100" s="176" t="n"/>
      <c r="N100" s="176" t="n"/>
      <c r="O100" s="176" t="n"/>
      <c r="P100" s="176" t="n"/>
      <c r="Q100" s="176" t="n"/>
      <c r="S100" s="178" t="n"/>
      <c r="T100" s="178" t="n"/>
      <c r="U100" s="178" t="n"/>
      <c r="V100" s="178" t="n"/>
      <c r="W100" s="178" t="n"/>
      <c r="X100" s="178" t="n"/>
      <c r="Y100" s="178" t="n"/>
      <c r="Z100" s="178" t="n"/>
    </row>
    <row r="101">
      <c r="A101" s="174" t="n"/>
      <c r="B101" s="174" t="n"/>
      <c r="C101" s="174" t="n"/>
      <c r="D101" s="174" t="n"/>
      <c r="E101" s="174" t="n"/>
      <c r="F101" s="174" t="n"/>
      <c r="G101" s="174" t="n"/>
      <c r="H101" s="174" t="n"/>
      <c r="J101" s="176" t="n"/>
      <c r="K101" s="176" t="n"/>
      <c r="L101" s="176" t="n"/>
      <c r="M101" s="176" t="n"/>
      <c r="N101" s="176" t="n"/>
      <c r="O101" s="176" t="n"/>
      <c r="P101" s="176" t="n"/>
      <c r="Q101" s="176" t="n"/>
      <c r="S101" s="178" t="n"/>
      <c r="T101" s="178" t="n"/>
      <c r="U101" s="178" t="n"/>
      <c r="V101" s="178" t="n"/>
      <c r="W101" s="178" t="n"/>
      <c r="X101" s="178" t="n"/>
      <c r="Y101" s="178" t="n"/>
      <c r="Z101" s="178" t="n"/>
    </row>
    <row r="102">
      <c r="A102" s="174" t="n"/>
      <c r="B102" s="174" t="n"/>
      <c r="C102" s="174" t="n"/>
      <c r="D102" s="174" t="n"/>
      <c r="E102" s="174" t="n"/>
      <c r="F102" s="174" t="n"/>
      <c r="G102" s="174" t="n"/>
      <c r="H102" s="174" t="n"/>
      <c r="J102" s="176" t="n"/>
      <c r="K102" s="176" t="n"/>
      <c r="L102" s="176" t="n"/>
      <c r="M102" s="176" t="n"/>
      <c r="N102" s="176" t="n"/>
      <c r="O102" s="176" t="n"/>
      <c r="P102" s="176" t="n"/>
      <c r="Q102" s="176" t="n"/>
      <c r="S102" s="178" t="n"/>
      <c r="T102" s="178" t="n"/>
      <c r="U102" s="178" t="n"/>
      <c r="V102" s="178" t="n"/>
      <c r="W102" s="178" t="n"/>
      <c r="X102" s="178" t="n"/>
      <c r="Y102" s="178" t="n"/>
      <c r="Z102" s="178" t="n"/>
    </row>
    <row r="103">
      <c r="A103" s="174" t="n"/>
      <c r="B103" s="174" t="n"/>
      <c r="C103" s="174" t="n"/>
      <c r="D103" s="174" t="n"/>
      <c r="E103" s="174" t="n"/>
      <c r="F103" s="174" t="n"/>
      <c r="G103" s="174" t="n"/>
      <c r="H103" s="174" t="n"/>
      <c r="J103" s="176" t="n"/>
      <c r="K103" s="176" t="n"/>
      <c r="L103" s="176" t="n"/>
      <c r="M103" s="176" t="n"/>
      <c r="N103" s="176" t="n"/>
      <c r="O103" s="176" t="n"/>
      <c r="P103" s="176" t="n"/>
      <c r="Q103" s="176" t="n"/>
      <c r="S103" s="178" t="n"/>
      <c r="T103" s="178" t="n"/>
      <c r="U103" s="178" t="n"/>
      <c r="V103" s="178" t="n"/>
      <c r="W103" s="178" t="n"/>
      <c r="X103" s="178" t="n"/>
      <c r="Y103" s="178" t="n"/>
      <c r="Z103" s="178" t="n"/>
    </row>
  </sheetData>
  <sheetProtection selectLockedCells="1" selectUnlockedCells="1" sheet="1" objects="0" insertRows="1" insertHyperlinks="1" autoFilter="1" scenarios="0" formatColumns="1" deleteColumns="1" insertColumns="1" pivotTables="1" deleteRows="1" formatCells="1" formatRows="1" sort="1"/>
  <mergeCells count="94">
    <mergeCell ref="A9:N9"/>
    <mergeCell ref="N76:O76"/>
    <mergeCell ref="F67:I67"/>
    <mergeCell ref="G87:I87"/>
    <mergeCell ref="A16:A17"/>
    <mergeCell ref="A45:D46"/>
    <mergeCell ref="C16:C17"/>
    <mergeCell ref="N75:O75"/>
    <mergeCell ref="N77:O77"/>
    <mergeCell ref="P68:S70"/>
    <mergeCell ref="A93:AK93"/>
    <mergeCell ref="D16:D17"/>
    <mergeCell ref="N85:Q85"/>
    <mergeCell ref="A95:H95"/>
    <mergeCell ref="Q91:S91"/>
    <mergeCell ref="P6:AK6"/>
    <mergeCell ref="E91:F91"/>
    <mergeCell ref="A8:N8"/>
    <mergeCell ref="G91:H91"/>
    <mergeCell ref="P8:AK8"/>
    <mergeCell ref="J86:M86"/>
    <mergeCell ref="S95:Z95"/>
    <mergeCell ref="K67:N67"/>
    <mergeCell ref="N79:O79"/>
    <mergeCell ref="K92:L92"/>
    <mergeCell ref="P7:AK7"/>
    <mergeCell ref="C92:D92"/>
    <mergeCell ref="F71:I71"/>
    <mergeCell ref="M92:N92"/>
    <mergeCell ref="A12:AK14"/>
    <mergeCell ref="K68:N70"/>
    <mergeCell ref="T91:W91"/>
    <mergeCell ref="AI16:AI17"/>
    <mergeCell ref="J95:Q95"/>
    <mergeCell ref="D85:F85"/>
    <mergeCell ref="N74:S74"/>
    <mergeCell ref="P9:AK9"/>
    <mergeCell ref="F68:I70"/>
    <mergeCell ref="A91:B91"/>
    <mergeCell ref="N78:O78"/>
    <mergeCell ref="C91:D91"/>
    <mergeCell ref="M91:N91"/>
    <mergeCell ref="O91:P91"/>
    <mergeCell ref="R86:U86"/>
    <mergeCell ref="A84:AK84"/>
    <mergeCell ref="N80:O80"/>
    <mergeCell ref="B16:B17"/>
    <mergeCell ref="A71:D71"/>
    <mergeCell ref="J85:M85"/>
    <mergeCell ref="D86:F86"/>
    <mergeCell ref="A92:B92"/>
    <mergeCell ref="N87:Q87"/>
    <mergeCell ref="A1:B1"/>
    <mergeCell ref="E92:F92"/>
    <mergeCell ref="A68:D70"/>
    <mergeCell ref="P71:S71"/>
    <mergeCell ref="A86:C86"/>
    <mergeCell ref="D87:F87"/>
    <mergeCell ref="O92:P92"/>
    <mergeCell ref="A6:N6"/>
    <mergeCell ref="A39:D39"/>
    <mergeCell ref="G86:I86"/>
    <mergeCell ref="A96:H103"/>
    <mergeCell ref="P67:S67"/>
    <mergeCell ref="A41:AK41"/>
    <mergeCell ref="T92:W92"/>
    <mergeCell ref="R85:U85"/>
    <mergeCell ref="H2:AC2"/>
    <mergeCell ref="K71:N71"/>
    <mergeCell ref="S96:Z103"/>
    <mergeCell ref="A38:D38"/>
    <mergeCell ref="A42:AK42"/>
    <mergeCell ref="H3:AC3"/>
    <mergeCell ref="A67:D67"/>
    <mergeCell ref="I91:J91"/>
    <mergeCell ref="A85:C85"/>
    <mergeCell ref="K91:L91"/>
    <mergeCell ref="N86:Q86"/>
    <mergeCell ref="A7:N7"/>
    <mergeCell ref="A74:E74"/>
    <mergeCell ref="G85:I85"/>
    <mergeCell ref="G92:H92"/>
    <mergeCell ref="I92:J92"/>
    <mergeCell ref="R87:U87"/>
    <mergeCell ref="AK16:AK17"/>
    <mergeCell ref="J87:M87"/>
    <mergeCell ref="AD2:AK2"/>
    <mergeCell ref="AJ16:AJ17"/>
    <mergeCell ref="J96:Q103"/>
    <mergeCell ref="A88:AK88"/>
    <mergeCell ref="A90:AK90"/>
    <mergeCell ref="Q92:S92"/>
    <mergeCell ref="A87:C87"/>
    <mergeCell ref="A47:D47"/>
  </mergeCells>
  <conditionalFormatting sqref="AI18:AI37">
    <cfRule type="dataBar" priority="1">
      <dataBar>
        <cfvo type="num" val="0"/>
        <cfvo type="num" val="1"/>
        <color rgb="0010B981"/>
      </dataBar>
    </cfRule>
  </conditionalFormatting>
  <conditionalFormatting sqref="E18:AH37">
    <cfRule type="cellIs" priority="2" operator="equal" dxfId="0">
      <formula>"✓"</formula>
    </cfRule>
    <cfRule type="cellIs" priority="3" operator="equal" dxfId="0">
      <formula>"✔"</formula>
    </cfRule>
    <cfRule type="cellIs" priority="4" operator="equal" dxfId="1">
      <formula>"✗"</formula>
    </cfRule>
    <cfRule type="cellIs" priority="5" operator="equal" dxfId="1">
      <formula>"x"</formula>
    </cfRule>
    <cfRule type="cellIs" priority="6" operator="equal" dxfId="1">
      <formula>"X"</formula>
    </cfRule>
  </conditionalFormatting>
  <conditionalFormatting sqref="E16:E17">
    <cfRule type="expression" priority="7" dxfId="2">
      <formula>AND(DAY(TODAY())=1, MONTH(TODAY())=4, YEAR(TODAY())=2027)</formula>
    </cfRule>
  </conditionalFormatting>
  <conditionalFormatting sqref="F16:F17">
    <cfRule type="expression" priority="8" dxfId="2">
      <formula>AND(DAY(TODAY())=2, MONTH(TODAY())=4, YEAR(TODAY())=2027)</formula>
    </cfRule>
  </conditionalFormatting>
  <conditionalFormatting sqref="G16:G17">
    <cfRule type="expression" priority="9" dxfId="2">
      <formula>AND(DAY(TODAY())=3, MONTH(TODAY())=4, YEAR(TODAY())=2027)</formula>
    </cfRule>
  </conditionalFormatting>
  <conditionalFormatting sqref="H16:H17">
    <cfRule type="expression" priority="10" dxfId="2">
      <formula>AND(DAY(TODAY())=4, MONTH(TODAY())=4, YEAR(TODAY())=2027)</formula>
    </cfRule>
  </conditionalFormatting>
  <conditionalFormatting sqref="I16:I17">
    <cfRule type="expression" priority="11" dxfId="2">
      <formula>AND(DAY(TODAY())=5, MONTH(TODAY())=4, YEAR(TODAY())=2027)</formula>
    </cfRule>
  </conditionalFormatting>
  <conditionalFormatting sqref="J16:J17">
    <cfRule type="expression" priority="12" dxfId="2">
      <formula>AND(DAY(TODAY())=6, MONTH(TODAY())=4, YEAR(TODAY())=2027)</formula>
    </cfRule>
  </conditionalFormatting>
  <conditionalFormatting sqref="K16:K17">
    <cfRule type="expression" priority="13" dxfId="2">
      <formula>AND(DAY(TODAY())=7, MONTH(TODAY())=4, YEAR(TODAY())=2027)</formula>
    </cfRule>
  </conditionalFormatting>
  <conditionalFormatting sqref="L16:L17">
    <cfRule type="expression" priority="14" dxfId="2">
      <formula>AND(DAY(TODAY())=8, MONTH(TODAY())=4, YEAR(TODAY())=2027)</formula>
    </cfRule>
  </conditionalFormatting>
  <conditionalFormatting sqref="M16:M17">
    <cfRule type="expression" priority="15" dxfId="2">
      <formula>AND(DAY(TODAY())=9, MONTH(TODAY())=4, YEAR(TODAY())=2027)</formula>
    </cfRule>
  </conditionalFormatting>
  <conditionalFormatting sqref="N16:N17">
    <cfRule type="expression" priority="16" dxfId="2">
      <formula>AND(DAY(TODAY())=10, MONTH(TODAY())=4, YEAR(TODAY())=2027)</formula>
    </cfRule>
  </conditionalFormatting>
  <conditionalFormatting sqref="O16:O17">
    <cfRule type="expression" priority="17" dxfId="2">
      <formula>AND(DAY(TODAY())=11, MONTH(TODAY())=4, YEAR(TODAY())=2027)</formula>
    </cfRule>
  </conditionalFormatting>
  <conditionalFormatting sqref="P16:P17">
    <cfRule type="expression" priority="18" dxfId="2">
      <formula>AND(DAY(TODAY())=12, MONTH(TODAY())=4, YEAR(TODAY())=2027)</formula>
    </cfRule>
  </conditionalFormatting>
  <conditionalFormatting sqref="Q16:Q17">
    <cfRule type="expression" priority="19" dxfId="2">
      <formula>AND(DAY(TODAY())=13, MONTH(TODAY())=4, YEAR(TODAY())=2027)</formula>
    </cfRule>
  </conditionalFormatting>
  <conditionalFormatting sqref="R16:R17">
    <cfRule type="expression" priority="20" dxfId="2">
      <formula>AND(DAY(TODAY())=14, MONTH(TODAY())=4, YEAR(TODAY())=2027)</formula>
    </cfRule>
  </conditionalFormatting>
  <conditionalFormatting sqref="S16:S17">
    <cfRule type="expression" priority="21" dxfId="2">
      <formula>AND(DAY(TODAY())=15, MONTH(TODAY())=4, YEAR(TODAY())=2027)</formula>
    </cfRule>
  </conditionalFormatting>
  <conditionalFormatting sqref="T16:T17">
    <cfRule type="expression" priority="22" dxfId="2">
      <formula>AND(DAY(TODAY())=16, MONTH(TODAY())=4, YEAR(TODAY())=2027)</formula>
    </cfRule>
  </conditionalFormatting>
  <conditionalFormatting sqref="U16:U17">
    <cfRule type="expression" priority="23" dxfId="2">
      <formula>AND(DAY(TODAY())=17, MONTH(TODAY())=4, YEAR(TODAY())=2027)</formula>
    </cfRule>
  </conditionalFormatting>
  <conditionalFormatting sqref="V16:V17">
    <cfRule type="expression" priority="24" dxfId="2">
      <formula>AND(DAY(TODAY())=18, MONTH(TODAY())=4, YEAR(TODAY())=2027)</formula>
    </cfRule>
  </conditionalFormatting>
  <conditionalFormatting sqref="W16:W17">
    <cfRule type="expression" priority="25" dxfId="2">
      <formula>AND(DAY(TODAY())=19, MONTH(TODAY())=4, YEAR(TODAY())=2027)</formula>
    </cfRule>
  </conditionalFormatting>
  <conditionalFormatting sqref="X16:X17">
    <cfRule type="expression" priority="26" dxfId="2">
      <formula>AND(DAY(TODAY())=20, MONTH(TODAY())=4, YEAR(TODAY())=2027)</formula>
    </cfRule>
  </conditionalFormatting>
  <conditionalFormatting sqref="Y16:Y17">
    <cfRule type="expression" priority="27" dxfId="2">
      <formula>AND(DAY(TODAY())=21, MONTH(TODAY())=4, YEAR(TODAY())=2027)</formula>
    </cfRule>
  </conditionalFormatting>
  <conditionalFormatting sqref="Z16:Z17">
    <cfRule type="expression" priority="28" dxfId="2">
      <formula>AND(DAY(TODAY())=22, MONTH(TODAY())=4, YEAR(TODAY())=2027)</formula>
    </cfRule>
  </conditionalFormatting>
  <conditionalFormatting sqref="AA16:AA17">
    <cfRule type="expression" priority="29" dxfId="2">
      <formula>AND(DAY(TODAY())=23, MONTH(TODAY())=4, YEAR(TODAY())=2027)</formula>
    </cfRule>
  </conditionalFormatting>
  <conditionalFormatting sqref="AB16:AB17">
    <cfRule type="expression" priority="30" dxfId="2">
      <formula>AND(DAY(TODAY())=24, MONTH(TODAY())=4, YEAR(TODAY())=2027)</formula>
    </cfRule>
  </conditionalFormatting>
  <conditionalFormatting sqref="AC16:AC17">
    <cfRule type="expression" priority="31" dxfId="2">
      <formula>AND(DAY(TODAY())=25, MONTH(TODAY())=4, YEAR(TODAY())=2027)</formula>
    </cfRule>
  </conditionalFormatting>
  <conditionalFormatting sqref="AD16:AD17">
    <cfRule type="expression" priority="32" dxfId="2">
      <formula>AND(DAY(TODAY())=26, MONTH(TODAY())=4, YEAR(TODAY())=2027)</formula>
    </cfRule>
  </conditionalFormatting>
  <conditionalFormatting sqref="AE16:AE17">
    <cfRule type="expression" priority="33" dxfId="2">
      <formula>AND(DAY(TODAY())=27, MONTH(TODAY())=4, YEAR(TODAY())=2027)</formula>
    </cfRule>
  </conditionalFormatting>
  <conditionalFormatting sqref="AF16:AF17">
    <cfRule type="expression" priority="34" dxfId="2">
      <formula>AND(DAY(TODAY())=28, MONTH(TODAY())=4, YEAR(TODAY())=2027)</formula>
    </cfRule>
  </conditionalFormatting>
  <conditionalFormatting sqref="AG16:AG17">
    <cfRule type="expression" priority="35" dxfId="2">
      <formula>AND(DAY(TODAY())=29, MONTH(TODAY())=4, YEAR(TODAY())=2027)</formula>
    </cfRule>
  </conditionalFormatting>
  <conditionalFormatting sqref="AH16:AH17">
    <cfRule type="expression" priority="36" dxfId="2">
      <formula>AND(DAY(TODAY())=30, MONTH(TODAY())=4, YEAR(TODAY())=2027)</formula>
    </cfRule>
  </conditionalFormatting>
  <dataValidations count="4">
    <dataValidation sqref="C18:C37" showDropDown="0" showInputMessage="0" showErrorMessage="0" allowBlank="1" type="list">
      <formula1>"Health &amp; Fitness,Mindset &amp; Learning,Career &amp; Focus,Personal &amp; Home,Finance &amp; Wealth,Other"</formula1>
    </dataValidation>
    <dataValidation sqref="D18:D37" showDropDown="0" showInputMessage="0" showErrorMessage="0" allowBlank="1" type="list">
      <formula1>"1,2,3,4,5,6,7,8,9,10,11,12,13,14,15,16,17,18,19,20,21,22,23,24,25,26,27,28,29,30,31"</formula1>
    </dataValidation>
    <dataValidation sqref="E18:AH37" showDropDown="0" showInputMessage="0" showErrorMessage="0" allowBlank="1" type="list">
      <formula1>"✓,✗"</formula1>
    </dataValidation>
    <dataValidation sqref="E47:AH47" showDropDown="0" showInputMessage="0" showErrorMessage="0" allowBlank="1" type="list">
      <formula1>"1,2,3,4,5,6,7,8,9,10,11,12,13,14,15,16,17,18,19,20,21,22,23,24"</formula1>
    </dataValidation>
  </dataValidations>
  <hyperlinks>
    <hyperlink xmlns:r="http://schemas.openxmlformats.org/officeDocument/2006/relationships" ref="A1" r:id="rId1"/>
    <hyperlink xmlns:r="http://schemas.openxmlformats.org/officeDocument/2006/relationships" ref="C1" r:id="rId2"/>
    <hyperlink xmlns:r="http://schemas.openxmlformats.org/officeDocument/2006/relationships" ref="D1" r:id="rId3"/>
    <hyperlink xmlns:r="http://schemas.openxmlformats.org/officeDocument/2006/relationships" ref="E1" r:id="rId4"/>
    <hyperlink xmlns:r="http://schemas.openxmlformats.org/officeDocument/2006/relationships" ref="F1" r:id="rId5"/>
    <hyperlink xmlns:r="http://schemas.openxmlformats.org/officeDocument/2006/relationships" ref="G1" r:id="rId6"/>
    <hyperlink xmlns:r="http://schemas.openxmlformats.org/officeDocument/2006/relationships" ref="H1" r:id="rId7"/>
    <hyperlink xmlns:r="http://schemas.openxmlformats.org/officeDocument/2006/relationships" ref="I1" r:id="rId8"/>
    <hyperlink xmlns:r="http://schemas.openxmlformats.org/officeDocument/2006/relationships" ref="J1" r:id="rId9"/>
    <hyperlink xmlns:r="http://schemas.openxmlformats.org/officeDocument/2006/relationships" ref="K1" r:id="rId10"/>
  </hyperlinks>
  <printOptions horizontalCentered="1" verticalCentered="0"/>
  <pageMargins left="0.75" right="0.75" top="1" bottom="1" header="0.5" footer="0.5"/>
  <pageSetup orientation="landscape" paperSize="9" fitToHeight="0" fitToWidth="1"/>
  <drawing xmlns:r="http://schemas.openxmlformats.org/officeDocument/2006/relationships" r:id="rId11"/>
</worksheet>
</file>

<file path=xl/worksheets/sheet12.xml><?xml version="1.0" encoding="utf-8"?>
<worksheet xmlns="http://schemas.openxmlformats.org/spreadsheetml/2006/main">
  <sheetPr>
    <outlinePr summaryBelow="1" summaryRight="1"/>
    <pageSetUpPr fitToPage="1"/>
  </sheetPr>
  <dimension ref="A1:AM103"/>
  <sheetViews>
    <sheetView showGridLines="1" workbookViewId="0">
      <selection activeCell="A1" sqref="A1"/>
    </sheetView>
  </sheetViews>
  <sheetFormatPr baseColWidth="8" defaultRowHeight="15"/>
  <cols>
    <col width="6" customWidth="1" min="1" max="1"/>
    <col width="25" customWidth="1" min="2" max="2"/>
    <col width="16.5" customWidth="1" min="3" max="3"/>
    <col width="8" customWidth="1" min="4" max="4"/>
    <col width="4.8" customWidth="1" min="5" max="5"/>
    <col width="4.8" customWidth="1" min="6" max="6"/>
    <col width="4.8" customWidth="1" min="7" max="7"/>
    <col width="4.8" customWidth="1" min="8" max="8"/>
    <col width="4.8" customWidth="1" min="9" max="9"/>
    <col width="4.8" customWidth="1" min="10" max="10"/>
    <col width="4.8" customWidth="1" min="11" max="11"/>
    <col width="4.8" customWidth="1" min="12" max="12"/>
    <col width="4.8" customWidth="1" min="13" max="13"/>
    <col width="4.8" customWidth="1" min="14" max="14"/>
    <col width="4.8" customWidth="1" min="15" max="15"/>
    <col width="4.8" customWidth="1" min="16" max="16"/>
    <col width="4.8" customWidth="1" min="17" max="17"/>
    <col width="4.8" customWidth="1" min="18" max="18"/>
    <col width="4.8" customWidth="1" min="19" max="19"/>
    <col width="4.8" customWidth="1" min="20" max="20"/>
    <col width="4.8" customWidth="1" min="21" max="21"/>
    <col width="4.8" customWidth="1" min="22" max="22"/>
    <col width="4.8" customWidth="1" min="23" max="23"/>
    <col width="4.8" customWidth="1" min="24" max="24"/>
    <col width="4.8" customWidth="1" min="25" max="25"/>
    <col width="4.8" customWidth="1" min="26" max="26"/>
    <col width="4.8" customWidth="1" min="27" max="27"/>
    <col width="4.8" customWidth="1" min="28" max="28"/>
    <col width="4.8" customWidth="1" min="29" max="29"/>
    <col width="4.8" customWidth="1" min="30" max="30"/>
    <col width="4.8" customWidth="1" min="31" max="31"/>
    <col width="4.8" customWidth="1" min="32" max="32"/>
    <col width="4.8" customWidth="1" min="33" max="33"/>
    <col width="4.8" customWidth="1" min="34" max="34"/>
    <col width="4.8" customWidth="1" min="35" max="35"/>
    <col width="11.5" customWidth="1" min="36" max="36"/>
    <col width="12" customWidth="1" min="37" max="37"/>
    <col width="13.5" customWidth="1" min="38" max="38"/>
    <col hidden="1" width="8" customWidth="1" min="39" max="39"/>
  </cols>
  <sheetData>
    <row r="1" ht="18" customHeight="1">
      <c r="A1" s="76" t="inlineStr">
        <is>
          <t>🏠 Master Dashboard</t>
        </is>
      </c>
      <c r="B1" s="40" t="n"/>
      <c r="C1" s="77" t="inlineStr">
        <is>
          <t>🏛️ Quarterly Hub</t>
        </is>
      </c>
      <c r="D1" s="78" t="inlineStr">
        <is>
          <t>📚 Habit Library</t>
        </is>
      </c>
      <c r="E1" s="80" t="inlineStr">
        <is>
          <t>2026</t>
        </is>
      </c>
      <c r="F1" s="79" t="inlineStr">
        <is>
          <t>2027</t>
        </is>
      </c>
      <c r="G1" s="80" t="inlineStr">
        <is>
          <t>2028</t>
        </is>
      </c>
      <c r="H1" s="80" t="inlineStr">
        <is>
          <t>2029</t>
        </is>
      </c>
      <c r="I1" s="80" t="inlineStr">
        <is>
          <t>2030</t>
        </is>
      </c>
      <c r="J1" s="82" t="inlineStr">
        <is>
          <t>◀ Prev</t>
        </is>
      </c>
      <c r="K1" s="82" t="inlineStr">
        <is>
          <t>Next ▶</t>
        </is>
      </c>
    </row>
    <row r="2" ht="24" customHeight="1">
      <c r="A2" s="83" t="inlineStr">
        <is>
          <t>Habit Tracker</t>
        </is>
      </c>
      <c r="H2" s="84" t="inlineStr">
        <is>
          <t>"Energy flows where attention goes."</t>
        </is>
      </c>
      <c r="AE2" s="85" t="inlineStr">
        <is>
          <t>@surajvansh</t>
        </is>
      </c>
    </row>
    <row r="3" ht="18" customHeight="1">
      <c r="A3" s="86" t="inlineStr">
        <is>
          <t>May 2027</t>
        </is>
      </c>
      <c r="H3" s="87" t="inlineStr">
        <is>
          <t>31 Days Dashboard</t>
        </is>
      </c>
    </row>
    <row r="4" ht="5" customHeight="1"/>
    <row r="5" ht="16" customHeight="1">
      <c r="A5" s="88" t="inlineStr">
        <is>
          <t>MONTHLY TARGETS</t>
        </is>
      </c>
    </row>
    <row r="6" ht="13" customHeight="1">
      <c r="A6" s="89" t="inlineStr">
        <is>
          <t>1. ____________________ : ____________________</t>
        </is>
      </c>
      <c r="P6" s="89" t="inlineStr">
        <is>
          <t>5. ____________________ : ____________________</t>
        </is>
      </c>
    </row>
    <row r="7" ht="13" customHeight="1">
      <c r="A7" s="89" t="inlineStr">
        <is>
          <t>2. ____________________ : ____________________</t>
        </is>
      </c>
      <c r="P7" s="89" t="inlineStr">
        <is>
          <t>6. ____________________ : ____________________</t>
        </is>
      </c>
    </row>
    <row r="8" ht="13" customHeight="1">
      <c r="A8" s="89" t="inlineStr">
        <is>
          <t>3. ____________________ : ____________________</t>
        </is>
      </c>
      <c r="P8" s="89" t="inlineStr">
        <is>
          <t>7. ____________________ : ____________________</t>
        </is>
      </c>
    </row>
    <row r="9" ht="13" customHeight="1">
      <c r="A9" s="89" t="inlineStr">
        <is>
          <t>4. ____________________ : ____________________</t>
        </is>
      </c>
      <c r="P9" s="89" t="inlineStr">
        <is>
          <t>8. ____________________ : ____________________</t>
        </is>
      </c>
    </row>
    <row r="10" ht="5" customHeight="1"/>
    <row r="11" ht="15" customHeight="1">
      <c r="A11" s="88" t="inlineStr">
        <is>
          <t>NOTES:</t>
        </is>
      </c>
    </row>
    <row r="12" ht="13" customHeight="1">
      <c r="A12" s="90" t="n"/>
      <c r="B12" s="91" t="n"/>
      <c r="C12" s="91" t="n"/>
      <c r="D12" s="91" t="n"/>
      <c r="E12" s="91" t="n"/>
      <c r="F12" s="91" t="n"/>
      <c r="G12" s="91" t="n"/>
      <c r="H12" s="91" t="n"/>
      <c r="I12" s="91" t="n"/>
      <c r="J12" s="91" t="n"/>
      <c r="K12" s="91" t="n"/>
      <c r="L12" s="91" t="n"/>
      <c r="M12" s="91" t="n"/>
      <c r="N12" s="91" t="n"/>
      <c r="O12" s="91" t="n"/>
      <c r="P12" s="91" t="n"/>
      <c r="Q12" s="91" t="n"/>
      <c r="R12" s="91" t="n"/>
      <c r="S12" s="91" t="n"/>
      <c r="T12" s="91" t="n"/>
      <c r="U12" s="91" t="n"/>
      <c r="V12" s="91" t="n"/>
      <c r="W12" s="91" t="n"/>
      <c r="X12" s="91" t="n"/>
      <c r="Y12" s="91" t="n"/>
      <c r="Z12" s="91" t="n"/>
      <c r="AA12" s="91" t="n"/>
      <c r="AB12" s="91" t="n"/>
      <c r="AC12" s="91" t="n"/>
      <c r="AD12" s="91" t="n"/>
      <c r="AE12" s="91" t="n"/>
      <c r="AF12" s="91" t="n"/>
      <c r="AG12" s="91" t="n"/>
      <c r="AH12" s="91" t="n"/>
      <c r="AI12" s="91" t="n"/>
      <c r="AJ12" s="91" t="n"/>
      <c r="AK12" s="91" t="n"/>
      <c r="AL12" s="91" t="n"/>
    </row>
    <row r="13" ht="13" customHeight="1">
      <c r="A13" s="91" t="n"/>
      <c r="B13" s="91" t="n"/>
      <c r="C13" s="91" t="n"/>
      <c r="D13" s="91" t="n"/>
      <c r="E13" s="91" t="n"/>
      <c r="F13" s="91" t="n"/>
      <c r="G13" s="91" t="n"/>
      <c r="H13" s="91" t="n"/>
      <c r="I13" s="91" t="n"/>
      <c r="J13" s="91" t="n"/>
      <c r="K13" s="91" t="n"/>
      <c r="L13" s="91" t="n"/>
      <c r="M13" s="91" t="n"/>
      <c r="N13" s="91" t="n"/>
      <c r="O13" s="91" t="n"/>
      <c r="P13" s="91" t="n"/>
      <c r="Q13" s="91" t="n"/>
      <c r="R13" s="91" t="n"/>
      <c r="S13" s="91" t="n"/>
      <c r="T13" s="91" t="n"/>
      <c r="U13" s="91" t="n"/>
      <c r="V13" s="91" t="n"/>
      <c r="W13" s="91" t="n"/>
      <c r="X13" s="91" t="n"/>
      <c r="Y13" s="91" t="n"/>
      <c r="Z13" s="91" t="n"/>
      <c r="AA13" s="91" t="n"/>
      <c r="AB13" s="91" t="n"/>
      <c r="AC13" s="91" t="n"/>
      <c r="AD13" s="91" t="n"/>
      <c r="AE13" s="91" t="n"/>
      <c r="AF13" s="91" t="n"/>
      <c r="AG13" s="91" t="n"/>
      <c r="AH13" s="91" t="n"/>
      <c r="AI13" s="91" t="n"/>
      <c r="AJ13" s="91" t="n"/>
      <c r="AK13" s="91" t="n"/>
      <c r="AL13" s="91" t="n"/>
    </row>
    <row r="14" ht="13" customHeight="1">
      <c r="A14" s="91" t="n"/>
      <c r="B14" s="91" t="n"/>
      <c r="C14" s="91" t="n"/>
      <c r="D14" s="91" t="n"/>
      <c r="E14" s="91" t="n"/>
      <c r="F14" s="91" t="n"/>
      <c r="G14" s="91" t="n"/>
      <c r="H14" s="91" t="n"/>
      <c r="I14" s="91" t="n"/>
      <c r="J14" s="91" t="n"/>
      <c r="K14" s="91" t="n"/>
      <c r="L14" s="91" t="n"/>
      <c r="M14" s="91" t="n"/>
      <c r="N14" s="91" t="n"/>
      <c r="O14" s="91" t="n"/>
      <c r="P14" s="91" t="n"/>
      <c r="Q14" s="91" t="n"/>
      <c r="R14" s="91" t="n"/>
      <c r="S14" s="91" t="n"/>
      <c r="T14" s="91" t="n"/>
      <c r="U14" s="91" t="n"/>
      <c r="V14" s="91" t="n"/>
      <c r="W14" s="91" t="n"/>
      <c r="X14" s="91" t="n"/>
      <c r="Y14" s="91" t="n"/>
      <c r="Z14" s="91" t="n"/>
      <c r="AA14" s="91" t="n"/>
      <c r="AB14" s="91" t="n"/>
      <c r="AC14" s="91" t="n"/>
      <c r="AD14" s="91" t="n"/>
      <c r="AE14" s="91" t="n"/>
      <c r="AF14" s="91" t="n"/>
      <c r="AG14" s="91" t="n"/>
      <c r="AH14" s="91" t="n"/>
      <c r="AI14" s="91" t="n"/>
      <c r="AJ14" s="91" t="n"/>
      <c r="AK14" s="91" t="n"/>
      <c r="AL14" s="91" t="n"/>
    </row>
    <row r="15" ht="8" customHeight="1"/>
    <row r="16" ht="15" customHeight="1">
      <c r="A16" s="33" t="inlineStr">
        <is>
          <t>S.No.</t>
        </is>
      </c>
      <c r="B16" s="33" t="inlineStr">
        <is>
          <t>Protocols</t>
        </is>
      </c>
      <c r="C16" s="33" t="inlineStr">
        <is>
          <t>Category</t>
        </is>
      </c>
      <c r="D16" s="33" t="inlineStr">
        <is>
          <t>Target</t>
        </is>
      </c>
      <c r="E16" s="92" t="n">
        <v>1</v>
      </c>
      <c r="F16" s="93" t="n">
        <v>2</v>
      </c>
      <c r="G16" s="92" t="n">
        <v>3</v>
      </c>
      <c r="H16" s="92" t="n">
        <v>4</v>
      </c>
      <c r="I16" s="92" t="n">
        <v>5</v>
      </c>
      <c r="J16" s="92" t="n">
        <v>6</v>
      </c>
      <c r="K16" s="92" t="n">
        <v>7</v>
      </c>
      <c r="L16" s="92" t="n">
        <v>8</v>
      </c>
      <c r="M16" s="93" t="n">
        <v>9</v>
      </c>
      <c r="N16" s="92" t="n">
        <v>10</v>
      </c>
      <c r="O16" s="92" t="n">
        <v>11</v>
      </c>
      <c r="P16" s="92" t="n">
        <v>12</v>
      </c>
      <c r="Q16" s="92" t="n">
        <v>13</v>
      </c>
      <c r="R16" s="92" t="n">
        <v>14</v>
      </c>
      <c r="S16" s="92" t="n">
        <v>15</v>
      </c>
      <c r="T16" s="93" t="n">
        <v>16</v>
      </c>
      <c r="U16" s="92" t="n">
        <v>17</v>
      </c>
      <c r="V16" s="92" t="n">
        <v>18</v>
      </c>
      <c r="W16" s="92" t="n">
        <v>19</v>
      </c>
      <c r="X16" s="92" t="n">
        <v>20</v>
      </c>
      <c r="Y16" s="92" t="n">
        <v>21</v>
      </c>
      <c r="Z16" s="92" t="n">
        <v>22</v>
      </c>
      <c r="AA16" s="93" t="n">
        <v>23</v>
      </c>
      <c r="AB16" s="92" t="n">
        <v>24</v>
      </c>
      <c r="AC16" s="92" t="n">
        <v>25</v>
      </c>
      <c r="AD16" s="92" t="n">
        <v>26</v>
      </c>
      <c r="AE16" s="92" t="n">
        <v>27</v>
      </c>
      <c r="AF16" s="92" t="n">
        <v>28</v>
      </c>
      <c r="AG16" s="92" t="n">
        <v>29</v>
      </c>
      <c r="AH16" s="93" t="n">
        <v>30</v>
      </c>
      <c r="AI16" s="92" t="n">
        <v>31</v>
      </c>
      <c r="AJ16" s="94" t="inlineStr">
        <is>
          <t>Success %</t>
        </is>
      </c>
      <c r="AK16" s="94" t="inlineStr">
        <is>
          <t>Done / Target</t>
        </is>
      </c>
      <c r="AL16" s="94" t="inlineStr">
        <is>
          <t>Status</t>
        </is>
      </c>
      <c r="AM16" t="inlineStr">
        <is>
          <t>Done Count</t>
        </is>
      </c>
    </row>
    <row r="17" ht="15" customHeight="1">
      <c r="A17" s="54" t="n"/>
      <c r="B17" s="54" t="n"/>
      <c r="C17" s="54" t="n"/>
      <c r="D17" s="54" t="n"/>
      <c r="E17" s="95" t="inlineStr">
        <is>
          <t>Sa</t>
        </is>
      </c>
      <c r="F17" s="96" t="inlineStr">
        <is>
          <t>Su</t>
        </is>
      </c>
      <c r="G17" s="95" t="inlineStr">
        <is>
          <t>M</t>
        </is>
      </c>
      <c r="H17" s="95" t="inlineStr">
        <is>
          <t>T</t>
        </is>
      </c>
      <c r="I17" s="95" t="inlineStr">
        <is>
          <t>W</t>
        </is>
      </c>
      <c r="J17" s="95" t="inlineStr">
        <is>
          <t>Th</t>
        </is>
      </c>
      <c r="K17" s="95" t="inlineStr">
        <is>
          <t>F</t>
        </is>
      </c>
      <c r="L17" s="95" t="inlineStr">
        <is>
          <t>Sa</t>
        </is>
      </c>
      <c r="M17" s="96" t="inlineStr">
        <is>
          <t>Su</t>
        </is>
      </c>
      <c r="N17" s="95" t="inlineStr">
        <is>
          <t>M</t>
        </is>
      </c>
      <c r="O17" s="95" t="inlineStr">
        <is>
          <t>T</t>
        </is>
      </c>
      <c r="P17" s="95" t="inlineStr">
        <is>
          <t>W</t>
        </is>
      </c>
      <c r="Q17" s="95" t="inlineStr">
        <is>
          <t>Th</t>
        </is>
      </c>
      <c r="R17" s="95" t="inlineStr">
        <is>
          <t>F</t>
        </is>
      </c>
      <c r="S17" s="95" t="inlineStr">
        <is>
          <t>Sa</t>
        </is>
      </c>
      <c r="T17" s="96" t="inlineStr">
        <is>
          <t>Su</t>
        </is>
      </c>
      <c r="U17" s="95" t="inlineStr">
        <is>
          <t>M</t>
        </is>
      </c>
      <c r="V17" s="95" t="inlineStr">
        <is>
          <t>T</t>
        </is>
      </c>
      <c r="W17" s="95" t="inlineStr">
        <is>
          <t>W</t>
        </is>
      </c>
      <c r="X17" s="95" t="inlineStr">
        <is>
          <t>Th</t>
        </is>
      </c>
      <c r="Y17" s="95" t="inlineStr">
        <is>
          <t>F</t>
        </is>
      </c>
      <c r="Z17" s="95" t="inlineStr">
        <is>
          <t>Sa</t>
        </is>
      </c>
      <c r="AA17" s="96" t="inlineStr">
        <is>
          <t>Su</t>
        </is>
      </c>
      <c r="AB17" s="95" t="inlineStr">
        <is>
          <t>M</t>
        </is>
      </c>
      <c r="AC17" s="95" t="inlineStr">
        <is>
          <t>T</t>
        </is>
      </c>
      <c r="AD17" s="95" t="inlineStr">
        <is>
          <t>W</t>
        </is>
      </c>
      <c r="AE17" s="95" t="inlineStr">
        <is>
          <t>Th</t>
        </is>
      </c>
      <c r="AF17" s="95" t="inlineStr">
        <is>
          <t>F</t>
        </is>
      </c>
      <c r="AG17" s="95" t="inlineStr">
        <is>
          <t>Sa</t>
        </is>
      </c>
      <c r="AH17" s="96" t="inlineStr">
        <is>
          <t>Su</t>
        </is>
      </c>
      <c r="AI17" s="95" t="inlineStr">
        <is>
          <t>M</t>
        </is>
      </c>
      <c r="AJ17" s="54" t="n"/>
      <c r="AK17" s="54" t="n"/>
      <c r="AL17" s="54" t="n"/>
    </row>
    <row r="18" ht="14.5" customHeight="1">
      <c r="A18" s="97" t="n">
        <v>1</v>
      </c>
      <c r="B18" s="98" t="n"/>
      <c r="C18" s="99" t="n"/>
      <c r="D18" s="99" t="n"/>
      <c r="E18" s="100" t="n"/>
      <c r="F18" s="101" t="n"/>
      <c r="G18" s="100" t="n"/>
      <c r="H18" s="100" t="n"/>
      <c r="I18" s="100" t="n"/>
      <c r="J18" s="100" t="n"/>
      <c r="K18" s="100" t="n"/>
      <c r="L18" s="100" t="n"/>
      <c r="M18" s="101" t="n"/>
      <c r="N18" s="100" t="n"/>
      <c r="O18" s="100" t="n"/>
      <c r="P18" s="100" t="n"/>
      <c r="Q18" s="100" t="n"/>
      <c r="R18" s="100" t="n"/>
      <c r="S18" s="100" t="n"/>
      <c r="T18" s="101" t="n"/>
      <c r="U18" s="100" t="n"/>
      <c r="V18" s="100" t="n"/>
      <c r="W18" s="100" t="n"/>
      <c r="X18" s="100" t="n"/>
      <c r="Y18" s="100" t="n"/>
      <c r="Z18" s="100" t="n"/>
      <c r="AA18" s="101" t="n"/>
      <c r="AB18" s="100" t="n"/>
      <c r="AC18" s="100" t="n"/>
      <c r="AD18" s="100" t="n"/>
      <c r="AE18" s="100" t="n"/>
      <c r="AF18" s="100" t="n"/>
      <c r="AG18" s="100" t="n"/>
      <c r="AH18" s="101" t="n"/>
      <c r="AI18" s="100" t="n"/>
      <c r="AJ18" s="102">
        <f>IF(ISBLANK(B18), "", IF(ISNUMBER(D18), IF(D18&gt;0, (COUNTIF(E18:AI18, "✓") + COUNTIF(E18:AI18, "✔") + COUNTIF(E18:AI18, "v") + COUNTIF(E18:AI18, "V"))/D18, 0), IF(((COUNTIF(E18:AI18, "✓") + COUNTIF(E18:AI18, "✔") + COUNTIF(E18:AI18, "v") + COUNTIF(E18:AI18, "V")) + COUNTIF(E18:AI18, "✗") + COUNTIF(E18:AI18, "x") + COUNTIF(E18:AI18, "X"))&gt;0, (COUNTIF(E18:AI18, "✓") + COUNTIF(E18:AI18, "✔") + COUNTIF(E18:AI18, "v") + COUNTIF(E18:AI18, "V"))/((COUNTIF(E18:AI18, "✓") + COUNTIF(E18:AI18, "✔") + COUNTIF(E18:AI18, "v") + COUNTIF(E18:AI18, "V")) + COUNTIF(E18:AI18, "✗") + COUNTIF(E18:AI18, "x") + COUNTIF(E18:AI18, "X")), "")))</f>
        <v/>
      </c>
      <c r="AK18" s="103">
        <f>IF(ISBLANK(B18), "", IF(ISNUMBER(D18), IF(D18&gt;0, (COUNTIF(E18:AI18, "✓") + COUNTIF(E18:AI18, "✔") + COUNTIF(E18:AI18, "v") + COUNTIF(E18:AI18, "V")) &amp; "/" &amp; D18, (COUNTIF(E18:AI18, "✓") + COUNTIF(E18:AI18, "✔") + COUNTIF(E18:AI18, "v") + COUNTIF(E18:AI18, "V")) &amp; "/0"), IF(((COUNTIF(E18:AI18, "✓") + COUNTIF(E18:AI18, "✔") + COUNTIF(E18:AI18, "v") + COUNTIF(E18:AI18, "V")) + COUNTIF(E18:AI18, "✗") + COUNTIF(E18:AI18, "x") + COUNTIF(E18:AI18, "X"))&gt;0, (COUNTIF(E18:AI18, "✓") + COUNTIF(E18:AI18, "✔") + COUNTIF(E18:AI18, "v") + COUNTIF(E18:AI18, "V")) &amp; "/" &amp; ((COUNTIF(E18:AI18, "✓") + COUNTIF(E18:AI18, "✔") + COUNTIF(E18:AI18, "v") + COUNTIF(E18:AI18, "V")) + COUNTIF(E18:AI18, "✗") + COUNTIF(E18:AI18, "x") + COUNTIF(E18:AI18, "X")), "")))</f>
        <v/>
      </c>
      <c r="AL18" s="103">
        <f>IF(ISBLANK(B18), "", IF(AJ18&gt;=0.85, "🔥 Mastered", IF(AJ18&gt;=0.7, "⚡ Consistent", "⚠️ Needs Focus")))</f>
        <v/>
      </c>
      <c r="AM18">
        <f>COUNTIF(E18:AI18, "✓")</f>
        <v/>
      </c>
    </row>
    <row r="19" ht="14.5" customHeight="1">
      <c r="A19" s="97" t="n">
        <v>2</v>
      </c>
      <c r="B19" s="98" t="n"/>
      <c r="C19" s="99" t="n"/>
      <c r="D19" s="99" t="n"/>
      <c r="E19" s="100" t="n"/>
      <c r="F19" s="101" t="n"/>
      <c r="G19" s="100" t="n"/>
      <c r="H19" s="100" t="n"/>
      <c r="I19" s="100" t="n"/>
      <c r="J19" s="100" t="n"/>
      <c r="K19" s="100" t="n"/>
      <c r="L19" s="100" t="n"/>
      <c r="M19" s="101" t="n"/>
      <c r="N19" s="100" t="n"/>
      <c r="O19" s="100" t="n"/>
      <c r="P19" s="100" t="n"/>
      <c r="Q19" s="100" t="n"/>
      <c r="R19" s="100" t="n"/>
      <c r="S19" s="100" t="n"/>
      <c r="T19" s="101" t="n"/>
      <c r="U19" s="100" t="n"/>
      <c r="V19" s="100" t="n"/>
      <c r="W19" s="100" t="n"/>
      <c r="X19" s="100" t="n"/>
      <c r="Y19" s="100" t="n"/>
      <c r="Z19" s="100" t="n"/>
      <c r="AA19" s="101" t="n"/>
      <c r="AB19" s="100" t="n"/>
      <c r="AC19" s="100" t="n"/>
      <c r="AD19" s="100" t="n"/>
      <c r="AE19" s="100" t="n"/>
      <c r="AF19" s="100" t="n"/>
      <c r="AG19" s="100" t="n"/>
      <c r="AH19" s="101" t="n"/>
      <c r="AI19" s="100" t="n"/>
      <c r="AJ19" s="102">
        <f>IF(ISBLANK(B19), "", IF(ISNUMBER(D19), IF(D19&gt;0, (COUNTIF(E19:AI19, "✓") + COUNTIF(E19:AI19, "✔") + COUNTIF(E19:AI19, "v") + COUNTIF(E19:AI19, "V"))/D19, 0), IF(((COUNTIF(E19:AI19, "✓") + COUNTIF(E19:AI19, "✔") + COUNTIF(E19:AI19, "v") + COUNTIF(E19:AI19, "V")) + COUNTIF(E19:AI19, "✗") + COUNTIF(E19:AI19, "x") + COUNTIF(E19:AI19, "X"))&gt;0, (COUNTIF(E19:AI19, "✓") + COUNTIF(E19:AI19, "✔") + COUNTIF(E19:AI19, "v") + COUNTIF(E19:AI19, "V"))/((COUNTIF(E19:AI19, "✓") + COUNTIF(E19:AI19, "✔") + COUNTIF(E19:AI19, "v") + COUNTIF(E19:AI19, "V")) + COUNTIF(E19:AI19, "✗") + COUNTIF(E19:AI19, "x") + COUNTIF(E19:AI19, "X")), "")))</f>
        <v/>
      </c>
      <c r="AK19" s="103">
        <f>IF(ISBLANK(B19), "", IF(ISNUMBER(D19), IF(D19&gt;0, (COUNTIF(E19:AI19, "✓") + COUNTIF(E19:AI19, "✔") + COUNTIF(E19:AI19, "v") + COUNTIF(E19:AI19, "V")) &amp; "/" &amp; D19, (COUNTIF(E19:AI19, "✓") + COUNTIF(E19:AI19, "✔") + COUNTIF(E19:AI19, "v") + COUNTIF(E19:AI19, "V")) &amp; "/0"), IF(((COUNTIF(E19:AI19, "✓") + COUNTIF(E19:AI19, "✔") + COUNTIF(E19:AI19, "v") + COUNTIF(E19:AI19, "V")) + COUNTIF(E19:AI19, "✗") + COUNTIF(E19:AI19, "x") + COUNTIF(E19:AI19, "X"))&gt;0, (COUNTIF(E19:AI19, "✓") + COUNTIF(E19:AI19, "✔") + COUNTIF(E19:AI19, "v") + COUNTIF(E19:AI19, "V")) &amp; "/" &amp; ((COUNTIF(E19:AI19, "✓") + COUNTIF(E19:AI19, "✔") + COUNTIF(E19:AI19, "v") + COUNTIF(E19:AI19, "V")) + COUNTIF(E19:AI19, "✗") + COUNTIF(E19:AI19, "x") + COUNTIF(E19:AI19, "X")), "")))</f>
        <v/>
      </c>
      <c r="AL19" s="103">
        <f>IF(ISBLANK(B19), "", IF(AJ19&gt;=0.85, "🔥 Mastered", IF(AJ19&gt;=0.7, "⚡ Consistent", "⚠️ Needs Focus")))</f>
        <v/>
      </c>
      <c r="AM19">
        <f>COUNTIF(E19:AI19, "✓")</f>
        <v/>
      </c>
    </row>
    <row r="20" ht="14.5" customHeight="1">
      <c r="A20" s="97" t="n">
        <v>3</v>
      </c>
      <c r="B20" s="98" t="n"/>
      <c r="C20" s="99" t="n"/>
      <c r="D20" s="99" t="n"/>
      <c r="E20" s="100" t="n"/>
      <c r="F20" s="101" t="n"/>
      <c r="G20" s="100" t="n"/>
      <c r="H20" s="100" t="n"/>
      <c r="I20" s="100" t="n"/>
      <c r="J20" s="100" t="n"/>
      <c r="K20" s="100" t="n"/>
      <c r="L20" s="100" t="n"/>
      <c r="M20" s="101" t="n"/>
      <c r="N20" s="100" t="n"/>
      <c r="O20" s="100" t="n"/>
      <c r="P20" s="100" t="n"/>
      <c r="Q20" s="100" t="n"/>
      <c r="R20" s="100" t="n"/>
      <c r="S20" s="100" t="n"/>
      <c r="T20" s="101" t="n"/>
      <c r="U20" s="100" t="n"/>
      <c r="V20" s="100" t="n"/>
      <c r="W20" s="100" t="n"/>
      <c r="X20" s="100" t="n"/>
      <c r="Y20" s="100" t="n"/>
      <c r="Z20" s="100" t="n"/>
      <c r="AA20" s="101" t="n"/>
      <c r="AB20" s="100" t="n"/>
      <c r="AC20" s="100" t="n"/>
      <c r="AD20" s="100" t="n"/>
      <c r="AE20" s="100" t="n"/>
      <c r="AF20" s="100" t="n"/>
      <c r="AG20" s="100" t="n"/>
      <c r="AH20" s="101" t="n"/>
      <c r="AI20" s="100" t="n"/>
      <c r="AJ20" s="102">
        <f>IF(ISBLANK(B20), "", IF(ISNUMBER(D20), IF(D20&gt;0, (COUNTIF(E20:AI20, "✓") + COUNTIF(E20:AI20, "✔") + COUNTIF(E20:AI20, "v") + COUNTIF(E20:AI20, "V"))/D20, 0), IF(((COUNTIF(E20:AI20, "✓") + COUNTIF(E20:AI20, "✔") + COUNTIF(E20:AI20, "v") + COUNTIF(E20:AI20, "V")) + COUNTIF(E20:AI20, "✗") + COUNTIF(E20:AI20, "x") + COUNTIF(E20:AI20, "X"))&gt;0, (COUNTIF(E20:AI20, "✓") + COUNTIF(E20:AI20, "✔") + COUNTIF(E20:AI20, "v") + COUNTIF(E20:AI20, "V"))/((COUNTIF(E20:AI20, "✓") + COUNTIF(E20:AI20, "✔") + COUNTIF(E20:AI20, "v") + COUNTIF(E20:AI20, "V")) + COUNTIF(E20:AI20, "✗") + COUNTIF(E20:AI20, "x") + COUNTIF(E20:AI20, "X")), "")))</f>
        <v/>
      </c>
      <c r="AK20" s="103">
        <f>IF(ISBLANK(B20), "", IF(ISNUMBER(D20), IF(D20&gt;0, (COUNTIF(E20:AI20, "✓") + COUNTIF(E20:AI20, "✔") + COUNTIF(E20:AI20, "v") + COUNTIF(E20:AI20, "V")) &amp; "/" &amp; D20, (COUNTIF(E20:AI20, "✓") + COUNTIF(E20:AI20, "✔") + COUNTIF(E20:AI20, "v") + COUNTIF(E20:AI20, "V")) &amp; "/0"), IF(((COUNTIF(E20:AI20, "✓") + COUNTIF(E20:AI20, "✔") + COUNTIF(E20:AI20, "v") + COUNTIF(E20:AI20, "V")) + COUNTIF(E20:AI20, "✗") + COUNTIF(E20:AI20, "x") + COUNTIF(E20:AI20, "X"))&gt;0, (COUNTIF(E20:AI20, "✓") + COUNTIF(E20:AI20, "✔") + COUNTIF(E20:AI20, "v") + COUNTIF(E20:AI20, "V")) &amp; "/" &amp; ((COUNTIF(E20:AI20, "✓") + COUNTIF(E20:AI20, "✔") + COUNTIF(E20:AI20, "v") + COUNTIF(E20:AI20, "V")) + COUNTIF(E20:AI20, "✗") + COUNTIF(E20:AI20, "x") + COUNTIF(E20:AI20, "X")), "")))</f>
        <v/>
      </c>
      <c r="AL20" s="103">
        <f>IF(ISBLANK(B20), "", IF(AJ20&gt;=0.85, "🔥 Mastered", IF(AJ20&gt;=0.7, "⚡ Consistent", "⚠️ Needs Focus")))</f>
        <v/>
      </c>
      <c r="AM20">
        <f>COUNTIF(E20:AI20, "✓")</f>
        <v/>
      </c>
    </row>
    <row r="21" ht="14.5" customHeight="1">
      <c r="A21" s="97" t="n">
        <v>4</v>
      </c>
      <c r="B21" s="98" t="n"/>
      <c r="C21" s="99" t="n"/>
      <c r="D21" s="99" t="n"/>
      <c r="E21" s="100" t="n"/>
      <c r="F21" s="101" t="n"/>
      <c r="G21" s="100" t="n"/>
      <c r="H21" s="100" t="n"/>
      <c r="I21" s="100" t="n"/>
      <c r="J21" s="100" t="n"/>
      <c r="K21" s="100" t="n"/>
      <c r="L21" s="100" t="n"/>
      <c r="M21" s="101" t="n"/>
      <c r="N21" s="100" t="n"/>
      <c r="O21" s="100" t="n"/>
      <c r="P21" s="100" t="n"/>
      <c r="Q21" s="100" t="n"/>
      <c r="R21" s="100" t="n"/>
      <c r="S21" s="100" t="n"/>
      <c r="T21" s="101" t="n"/>
      <c r="U21" s="100" t="n"/>
      <c r="V21" s="100" t="n"/>
      <c r="W21" s="100" t="n"/>
      <c r="X21" s="100" t="n"/>
      <c r="Y21" s="100" t="n"/>
      <c r="Z21" s="100" t="n"/>
      <c r="AA21" s="101" t="n"/>
      <c r="AB21" s="100" t="n"/>
      <c r="AC21" s="100" t="n"/>
      <c r="AD21" s="100" t="n"/>
      <c r="AE21" s="100" t="n"/>
      <c r="AF21" s="100" t="n"/>
      <c r="AG21" s="100" t="n"/>
      <c r="AH21" s="101" t="n"/>
      <c r="AI21" s="100" t="n"/>
      <c r="AJ21" s="102">
        <f>IF(ISBLANK(B21), "", IF(ISNUMBER(D21), IF(D21&gt;0, (COUNTIF(E21:AI21, "✓") + COUNTIF(E21:AI21, "✔") + COUNTIF(E21:AI21, "v") + COUNTIF(E21:AI21, "V"))/D21, 0), IF(((COUNTIF(E21:AI21, "✓") + COUNTIF(E21:AI21, "✔") + COUNTIF(E21:AI21, "v") + COUNTIF(E21:AI21, "V")) + COUNTIF(E21:AI21, "✗") + COUNTIF(E21:AI21, "x") + COUNTIF(E21:AI21, "X"))&gt;0, (COUNTIF(E21:AI21, "✓") + COUNTIF(E21:AI21, "✔") + COUNTIF(E21:AI21, "v") + COUNTIF(E21:AI21, "V"))/((COUNTIF(E21:AI21, "✓") + COUNTIF(E21:AI21, "✔") + COUNTIF(E21:AI21, "v") + COUNTIF(E21:AI21, "V")) + COUNTIF(E21:AI21, "✗") + COUNTIF(E21:AI21, "x") + COUNTIF(E21:AI21, "X")), "")))</f>
        <v/>
      </c>
      <c r="AK21" s="103">
        <f>IF(ISBLANK(B21), "", IF(ISNUMBER(D21), IF(D21&gt;0, (COUNTIF(E21:AI21, "✓") + COUNTIF(E21:AI21, "✔") + COUNTIF(E21:AI21, "v") + COUNTIF(E21:AI21, "V")) &amp; "/" &amp; D21, (COUNTIF(E21:AI21, "✓") + COUNTIF(E21:AI21, "✔") + COUNTIF(E21:AI21, "v") + COUNTIF(E21:AI21, "V")) &amp; "/0"), IF(((COUNTIF(E21:AI21, "✓") + COUNTIF(E21:AI21, "✔") + COUNTIF(E21:AI21, "v") + COUNTIF(E21:AI21, "V")) + COUNTIF(E21:AI21, "✗") + COUNTIF(E21:AI21, "x") + COUNTIF(E21:AI21, "X"))&gt;0, (COUNTIF(E21:AI21, "✓") + COUNTIF(E21:AI21, "✔") + COUNTIF(E21:AI21, "v") + COUNTIF(E21:AI21, "V")) &amp; "/" &amp; ((COUNTIF(E21:AI21, "✓") + COUNTIF(E21:AI21, "✔") + COUNTIF(E21:AI21, "v") + COUNTIF(E21:AI21, "V")) + COUNTIF(E21:AI21, "✗") + COUNTIF(E21:AI21, "x") + COUNTIF(E21:AI21, "X")), "")))</f>
        <v/>
      </c>
      <c r="AL21" s="103">
        <f>IF(ISBLANK(B21), "", IF(AJ21&gt;=0.85, "🔥 Mastered", IF(AJ21&gt;=0.7, "⚡ Consistent", "⚠️ Needs Focus")))</f>
        <v/>
      </c>
      <c r="AM21">
        <f>COUNTIF(E21:AI21, "✓")</f>
        <v/>
      </c>
    </row>
    <row r="22" ht="14.5" customHeight="1">
      <c r="A22" s="104" t="n">
        <v>5</v>
      </c>
      <c r="B22" s="105" t="n"/>
      <c r="C22" s="106" t="n"/>
      <c r="D22" s="106" t="n"/>
      <c r="E22" s="107" t="n"/>
      <c r="F22" s="108" t="n"/>
      <c r="G22" s="107" t="n"/>
      <c r="H22" s="107" t="n"/>
      <c r="I22" s="107" t="n"/>
      <c r="J22" s="107" t="n"/>
      <c r="K22" s="107" t="n"/>
      <c r="L22" s="107" t="n"/>
      <c r="M22" s="108" t="n"/>
      <c r="N22" s="107" t="n"/>
      <c r="O22" s="107" t="n"/>
      <c r="P22" s="107" t="n"/>
      <c r="Q22" s="107" t="n"/>
      <c r="R22" s="107" t="n"/>
      <c r="S22" s="107" t="n"/>
      <c r="T22" s="108" t="n"/>
      <c r="U22" s="107" t="n"/>
      <c r="V22" s="107" t="n"/>
      <c r="W22" s="107" t="n"/>
      <c r="X22" s="107" t="n"/>
      <c r="Y22" s="107" t="n"/>
      <c r="Z22" s="107" t="n"/>
      <c r="AA22" s="108" t="n"/>
      <c r="AB22" s="107" t="n"/>
      <c r="AC22" s="107" t="n"/>
      <c r="AD22" s="107" t="n"/>
      <c r="AE22" s="107" t="n"/>
      <c r="AF22" s="107" t="n"/>
      <c r="AG22" s="107" t="n"/>
      <c r="AH22" s="108" t="n"/>
      <c r="AI22" s="107" t="n"/>
      <c r="AJ22" s="109">
        <f>IF(ISBLANK(B22), "", IF(ISNUMBER(D22), IF(D22&gt;0, (COUNTIF(E22:AI22, "✓") + COUNTIF(E22:AI22, "✔") + COUNTIF(E22:AI22, "v") + COUNTIF(E22:AI22, "V"))/D22, 0), IF(((COUNTIF(E22:AI22, "✓") + COUNTIF(E22:AI22, "✔") + COUNTIF(E22:AI22, "v") + COUNTIF(E22:AI22, "V")) + COUNTIF(E22:AI22, "✗") + COUNTIF(E22:AI22, "x") + COUNTIF(E22:AI22, "X"))&gt;0, (COUNTIF(E22:AI22, "✓") + COUNTIF(E22:AI22, "✔") + COUNTIF(E22:AI22, "v") + COUNTIF(E22:AI22, "V"))/((COUNTIF(E22:AI22, "✓") + COUNTIF(E22:AI22, "✔") + COUNTIF(E22:AI22, "v") + COUNTIF(E22:AI22, "V")) + COUNTIF(E22:AI22, "✗") + COUNTIF(E22:AI22, "x") + COUNTIF(E22:AI22, "X")), "")))</f>
        <v/>
      </c>
      <c r="AK22" s="110">
        <f>IF(ISBLANK(B22), "", IF(ISNUMBER(D22), IF(D22&gt;0, (COUNTIF(E22:AI22, "✓") + COUNTIF(E22:AI22, "✔") + COUNTIF(E22:AI22, "v") + COUNTIF(E22:AI22, "V")) &amp; "/" &amp; D22, (COUNTIF(E22:AI22, "✓") + COUNTIF(E22:AI22, "✔") + COUNTIF(E22:AI22, "v") + COUNTIF(E22:AI22, "V")) &amp; "/0"), IF(((COUNTIF(E22:AI22, "✓") + COUNTIF(E22:AI22, "✔") + COUNTIF(E22:AI22, "v") + COUNTIF(E22:AI22, "V")) + COUNTIF(E22:AI22, "✗") + COUNTIF(E22:AI22, "x") + COUNTIF(E22:AI22, "X"))&gt;0, (COUNTIF(E22:AI22, "✓") + COUNTIF(E22:AI22, "✔") + COUNTIF(E22:AI22, "v") + COUNTIF(E22:AI22, "V")) &amp; "/" &amp; ((COUNTIF(E22:AI22, "✓") + COUNTIF(E22:AI22, "✔") + COUNTIF(E22:AI22, "v") + COUNTIF(E22:AI22, "V")) + COUNTIF(E22:AI22, "✗") + COUNTIF(E22:AI22, "x") + COUNTIF(E22:AI22, "X")), "")))</f>
        <v/>
      </c>
      <c r="AL22" s="110">
        <f>IF(ISBLANK(B22), "", IF(AJ22&gt;=0.85, "🔥 Mastered", IF(AJ22&gt;=0.7, "⚡ Consistent", "⚠️ Needs Focus")))</f>
        <v/>
      </c>
      <c r="AM22">
        <f>COUNTIF(E22:AI22, "✓")</f>
        <v/>
      </c>
    </row>
    <row r="23" ht="14.5" customHeight="1">
      <c r="A23" s="104" t="n">
        <v>6</v>
      </c>
      <c r="B23" s="105" t="n"/>
      <c r="C23" s="106" t="n"/>
      <c r="D23" s="106" t="n"/>
      <c r="E23" s="107" t="n"/>
      <c r="F23" s="108" t="n"/>
      <c r="G23" s="107" t="n"/>
      <c r="H23" s="107" t="n"/>
      <c r="I23" s="107" t="n"/>
      <c r="J23" s="107" t="n"/>
      <c r="K23" s="107" t="n"/>
      <c r="L23" s="107" t="n"/>
      <c r="M23" s="108" t="n"/>
      <c r="N23" s="107" t="n"/>
      <c r="O23" s="107" t="n"/>
      <c r="P23" s="107" t="n"/>
      <c r="Q23" s="107" t="n"/>
      <c r="R23" s="107" t="n"/>
      <c r="S23" s="107" t="n"/>
      <c r="T23" s="108" t="n"/>
      <c r="U23" s="107" t="n"/>
      <c r="V23" s="107" t="n"/>
      <c r="W23" s="107" t="n"/>
      <c r="X23" s="107" t="n"/>
      <c r="Y23" s="107" t="n"/>
      <c r="Z23" s="107" t="n"/>
      <c r="AA23" s="108" t="n"/>
      <c r="AB23" s="107" t="n"/>
      <c r="AC23" s="107" t="n"/>
      <c r="AD23" s="107" t="n"/>
      <c r="AE23" s="107" t="n"/>
      <c r="AF23" s="107" t="n"/>
      <c r="AG23" s="107" t="n"/>
      <c r="AH23" s="108" t="n"/>
      <c r="AI23" s="107" t="n"/>
      <c r="AJ23" s="109">
        <f>IF(ISBLANK(B23), "", IF(ISNUMBER(D23), IF(D23&gt;0, (COUNTIF(E23:AI23, "✓") + COUNTIF(E23:AI23, "✔") + COUNTIF(E23:AI23, "v") + COUNTIF(E23:AI23, "V"))/D23, 0), IF(((COUNTIF(E23:AI23, "✓") + COUNTIF(E23:AI23, "✔") + COUNTIF(E23:AI23, "v") + COUNTIF(E23:AI23, "V")) + COUNTIF(E23:AI23, "✗") + COUNTIF(E23:AI23, "x") + COUNTIF(E23:AI23, "X"))&gt;0, (COUNTIF(E23:AI23, "✓") + COUNTIF(E23:AI23, "✔") + COUNTIF(E23:AI23, "v") + COUNTIF(E23:AI23, "V"))/((COUNTIF(E23:AI23, "✓") + COUNTIF(E23:AI23, "✔") + COUNTIF(E23:AI23, "v") + COUNTIF(E23:AI23, "V")) + COUNTIF(E23:AI23, "✗") + COUNTIF(E23:AI23, "x") + COUNTIF(E23:AI23, "X")), "")))</f>
        <v/>
      </c>
      <c r="AK23" s="110">
        <f>IF(ISBLANK(B23), "", IF(ISNUMBER(D23), IF(D23&gt;0, (COUNTIF(E23:AI23, "✓") + COUNTIF(E23:AI23, "✔") + COUNTIF(E23:AI23, "v") + COUNTIF(E23:AI23, "V")) &amp; "/" &amp; D23, (COUNTIF(E23:AI23, "✓") + COUNTIF(E23:AI23, "✔") + COUNTIF(E23:AI23, "v") + COUNTIF(E23:AI23, "V")) &amp; "/0"), IF(((COUNTIF(E23:AI23, "✓") + COUNTIF(E23:AI23, "✔") + COUNTIF(E23:AI23, "v") + COUNTIF(E23:AI23, "V")) + COUNTIF(E23:AI23, "✗") + COUNTIF(E23:AI23, "x") + COUNTIF(E23:AI23, "X"))&gt;0, (COUNTIF(E23:AI23, "✓") + COUNTIF(E23:AI23, "✔") + COUNTIF(E23:AI23, "v") + COUNTIF(E23:AI23, "V")) &amp; "/" &amp; ((COUNTIF(E23:AI23, "✓") + COUNTIF(E23:AI23, "✔") + COUNTIF(E23:AI23, "v") + COUNTIF(E23:AI23, "V")) + COUNTIF(E23:AI23, "✗") + COUNTIF(E23:AI23, "x") + COUNTIF(E23:AI23, "X")), "")))</f>
        <v/>
      </c>
      <c r="AL23" s="110">
        <f>IF(ISBLANK(B23), "", IF(AJ23&gt;=0.85, "🔥 Mastered", IF(AJ23&gt;=0.7, "⚡ Consistent", "⚠️ Needs Focus")))</f>
        <v/>
      </c>
      <c r="AM23">
        <f>COUNTIF(E23:AI23, "✓")</f>
        <v/>
      </c>
    </row>
    <row r="24" ht="14.5" customHeight="1">
      <c r="A24" s="104" t="n">
        <v>7</v>
      </c>
      <c r="B24" s="105" t="n"/>
      <c r="C24" s="106" t="n"/>
      <c r="D24" s="106" t="n"/>
      <c r="E24" s="107" t="n"/>
      <c r="F24" s="108" t="n"/>
      <c r="G24" s="107" t="n"/>
      <c r="H24" s="107" t="n"/>
      <c r="I24" s="107" t="n"/>
      <c r="J24" s="107" t="n"/>
      <c r="K24" s="107" t="n"/>
      <c r="L24" s="107" t="n"/>
      <c r="M24" s="108" t="n"/>
      <c r="N24" s="107" t="n"/>
      <c r="O24" s="107" t="n"/>
      <c r="P24" s="107" t="n"/>
      <c r="Q24" s="107" t="n"/>
      <c r="R24" s="107" t="n"/>
      <c r="S24" s="107" t="n"/>
      <c r="T24" s="108" t="n"/>
      <c r="U24" s="107" t="n"/>
      <c r="V24" s="107" t="n"/>
      <c r="W24" s="107" t="n"/>
      <c r="X24" s="107" t="n"/>
      <c r="Y24" s="107" t="n"/>
      <c r="Z24" s="107" t="n"/>
      <c r="AA24" s="108" t="n"/>
      <c r="AB24" s="107" t="n"/>
      <c r="AC24" s="107" t="n"/>
      <c r="AD24" s="107" t="n"/>
      <c r="AE24" s="107" t="n"/>
      <c r="AF24" s="107" t="n"/>
      <c r="AG24" s="107" t="n"/>
      <c r="AH24" s="108" t="n"/>
      <c r="AI24" s="107" t="n"/>
      <c r="AJ24" s="109">
        <f>IF(ISBLANK(B24), "", IF(ISNUMBER(D24), IF(D24&gt;0, (COUNTIF(E24:AI24, "✓") + COUNTIF(E24:AI24, "✔") + COUNTIF(E24:AI24, "v") + COUNTIF(E24:AI24, "V"))/D24, 0), IF(((COUNTIF(E24:AI24, "✓") + COUNTIF(E24:AI24, "✔") + COUNTIF(E24:AI24, "v") + COUNTIF(E24:AI24, "V")) + COUNTIF(E24:AI24, "✗") + COUNTIF(E24:AI24, "x") + COUNTIF(E24:AI24, "X"))&gt;0, (COUNTIF(E24:AI24, "✓") + COUNTIF(E24:AI24, "✔") + COUNTIF(E24:AI24, "v") + COUNTIF(E24:AI24, "V"))/((COUNTIF(E24:AI24, "✓") + COUNTIF(E24:AI24, "✔") + COUNTIF(E24:AI24, "v") + COUNTIF(E24:AI24, "V")) + COUNTIF(E24:AI24, "✗") + COUNTIF(E24:AI24, "x") + COUNTIF(E24:AI24, "X")), "")))</f>
        <v/>
      </c>
      <c r="AK24" s="110">
        <f>IF(ISBLANK(B24), "", IF(ISNUMBER(D24), IF(D24&gt;0, (COUNTIF(E24:AI24, "✓") + COUNTIF(E24:AI24, "✔") + COUNTIF(E24:AI24, "v") + COUNTIF(E24:AI24, "V")) &amp; "/" &amp; D24, (COUNTIF(E24:AI24, "✓") + COUNTIF(E24:AI24, "✔") + COUNTIF(E24:AI24, "v") + COUNTIF(E24:AI24, "V")) &amp; "/0"), IF(((COUNTIF(E24:AI24, "✓") + COUNTIF(E24:AI24, "✔") + COUNTIF(E24:AI24, "v") + COUNTIF(E24:AI24, "V")) + COUNTIF(E24:AI24, "✗") + COUNTIF(E24:AI24, "x") + COUNTIF(E24:AI24, "X"))&gt;0, (COUNTIF(E24:AI24, "✓") + COUNTIF(E24:AI24, "✔") + COUNTIF(E24:AI24, "v") + COUNTIF(E24:AI24, "V")) &amp; "/" &amp; ((COUNTIF(E24:AI24, "✓") + COUNTIF(E24:AI24, "✔") + COUNTIF(E24:AI24, "v") + COUNTIF(E24:AI24, "V")) + COUNTIF(E24:AI24, "✗") + COUNTIF(E24:AI24, "x") + COUNTIF(E24:AI24, "X")), "")))</f>
        <v/>
      </c>
      <c r="AL24" s="110">
        <f>IF(ISBLANK(B24), "", IF(AJ24&gt;=0.85, "🔥 Mastered", IF(AJ24&gt;=0.7, "⚡ Consistent", "⚠️ Needs Focus")))</f>
        <v/>
      </c>
      <c r="AM24">
        <f>COUNTIF(E24:AI24, "✓")</f>
        <v/>
      </c>
    </row>
    <row r="25" ht="14.5" customHeight="1">
      <c r="A25" s="104" t="n">
        <v>8</v>
      </c>
      <c r="B25" s="105" t="n"/>
      <c r="C25" s="106" t="n"/>
      <c r="D25" s="106" t="n"/>
      <c r="E25" s="107" t="n"/>
      <c r="F25" s="108" t="n"/>
      <c r="G25" s="107" t="n"/>
      <c r="H25" s="107" t="n"/>
      <c r="I25" s="107" t="n"/>
      <c r="J25" s="107" t="n"/>
      <c r="K25" s="107" t="n"/>
      <c r="L25" s="107" t="n"/>
      <c r="M25" s="108" t="n"/>
      <c r="N25" s="107" t="n"/>
      <c r="O25" s="107" t="n"/>
      <c r="P25" s="107" t="n"/>
      <c r="Q25" s="107" t="n"/>
      <c r="R25" s="107" t="n"/>
      <c r="S25" s="107" t="n"/>
      <c r="T25" s="108" t="n"/>
      <c r="U25" s="107" t="n"/>
      <c r="V25" s="107" t="n"/>
      <c r="W25" s="107" t="n"/>
      <c r="X25" s="107" t="n"/>
      <c r="Y25" s="107" t="n"/>
      <c r="Z25" s="107" t="n"/>
      <c r="AA25" s="108" t="n"/>
      <c r="AB25" s="107" t="n"/>
      <c r="AC25" s="107" t="n"/>
      <c r="AD25" s="107" t="n"/>
      <c r="AE25" s="107" t="n"/>
      <c r="AF25" s="107" t="n"/>
      <c r="AG25" s="107" t="n"/>
      <c r="AH25" s="108" t="n"/>
      <c r="AI25" s="107" t="n"/>
      <c r="AJ25" s="109">
        <f>IF(ISBLANK(B25), "", IF(ISNUMBER(D25), IF(D25&gt;0, (COUNTIF(E25:AI25, "✓") + COUNTIF(E25:AI25, "✔") + COUNTIF(E25:AI25, "v") + COUNTIF(E25:AI25, "V"))/D25, 0), IF(((COUNTIF(E25:AI25, "✓") + COUNTIF(E25:AI25, "✔") + COUNTIF(E25:AI25, "v") + COUNTIF(E25:AI25, "V")) + COUNTIF(E25:AI25, "✗") + COUNTIF(E25:AI25, "x") + COUNTIF(E25:AI25, "X"))&gt;0, (COUNTIF(E25:AI25, "✓") + COUNTIF(E25:AI25, "✔") + COUNTIF(E25:AI25, "v") + COUNTIF(E25:AI25, "V"))/((COUNTIF(E25:AI25, "✓") + COUNTIF(E25:AI25, "✔") + COUNTIF(E25:AI25, "v") + COUNTIF(E25:AI25, "V")) + COUNTIF(E25:AI25, "✗") + COUNTIF(E25:AI25, "x") + COUNTIF(E25:AI25, "X")), "")))</f>
        <v/>
      </c>
      <c r="AK25" s="110">
        <f>IF(ISBLANK(B25), "", IF(ISNUMBER(D25), IF(D25&gt;0, (COUNTIF(E25:AI25, "✓") + COUNTIF(E25:AI25, "✔") + COUNTIF(E25:AI25, "v") + COUNTIF(E25:AI25, "V")) &amp; "/" &amp; D25, (COUNTIF(E25:AI25, "✓") + COUNTIF(E25:AI25, "✔") + COUNTIF(E25:AI25, "v") + COUNTIF(E25:AI25, "V")) &amp; "/0"), IF(((COUNTIF(E25:AI25, "✓") + COUNTIF(E25:AI25, "✔") + COUNTIF(E25:AI25, "v") + COUNTIF(E25:AI25, "V")) + COUNTIF(E25:AI25, "✗") + COUNTIF(E25:AI25, "x") + COUNTIF(E25:AI25, "X"))&gt;0, (COUNTIF(E25:AI25, "✓") + COUNTIF(E25:AI25, "✔") + COUNTIF(E25:AI25, "v") + COUNTIF(E25:AI25, "V")) &amp; "/" &amp; ((COUNTIF(E25:AI25, "✓") + COUNTIF(E25:AI25, "✔") + COUNTIF(E25:AI25, "v") + COUNTIF(E25:AI25, "V")) + COUNTIF(E25:AI25, "✗") + COUNTIF(E25:AI25, "x") + COUNTIF(E25:AI25, "X")), "")))</f>
        <v/>
      </c>
      <c r="AL25" s="110">
        <f>IF(ISBLANK(B25), "", IF(AJ25&gt;=0.85, "🔥 Mastered", IF(AJ25&gt;=0.7, "⚡ Consistent", "⚠️ Needs Focus")))</f>
        <v/>
      </c>
      <c r="AM25">
        <f>COUNTIF(E25:AI25, "✓")</f>
        <v/>
      </c>
    </row>
    <row r="26" ht="14.5" customHeight="1">
      <c r="A26" s="111" t="n">
        <v>9</v>
      </c>
      <c r="B26" s="112" t="n"/>
      <c r="C26" s="113" t="n"/>
      <c r="D26" s="113" t="n"/>
      <c r="E26" s="114" t="n"/>
      <c r="F26" s="115" t="n"/>
      <c r="G26" s="114" t="n"/>
      <c r="H26" s="114" t="n"/>
      <c r="I26" s="114" t="n"/>
      <c r="J26" s="114" t="n"/>
      <c r="K26" s="114" t="n"/>
      <c r="L26" s="114" t="n"/>
      <c r="M26" s="115" t="n"/>
      <c r="N26" s="114" t="n"/>
      <c r="O26" s="114" t="n"/>
      <c r="P26" s="114" t="n"/>
      <c r="Q26" s="114" t="n"/>
      <c r="R26" s="114" t="n"/>
      <c r="S26" s="114" t="n"/>
      <c r="T26" s="115" t="n"/>
      <c r="U26" s="114" t="n"/>
      <c r="V26" s="114" t="n"/>
      <c r="W26" s="114" t="n"/>
      <c r="X26" s="114" t="n"/>
      <c r="Y26" s="114" t="n"/>
      <c r="Z26" s="114" t="n"/>
      <c r="AA26" s="115" t="n"/>
      <c r="AB26" s="114" t="n"/>
      <c r="AC26" s="114" t="n"/>
      <c r="AD26" s="114" t="n"/>
      <c r="AE26" s="114" t="n"/>
      <c r="AF26" s="114" t="n"/>
      <c r="AG26" s="114" t="n"/>
      <c r="AH26" s="115" t="n"/>
      <c r="AI26" s="114" t="n"/>
      <c r="AJ26" s="116">
        <f>IF(ISBLANK(B26), "", IF(ISNUMBER(D26), IF(D26&gt;0, (COUNTIF(E26:AI26, "✓") + COUNTIF(E26:AI26, "✔") + COUNTIF(E26:AI26, "v") + COUNTIF(E26:AI26, "V"))/D26, 0), IF(((COUNTIF(E26:AI26, "✓") + COUNTIF(E26:AI26, "✔") + COUNTIF(E26:AI26, "v") + COUNTIF(E26:AI26, "V")) + COUNTIF(E26:AI26, "✗") + COUNTIF(E26:AI26, "x") + COUNTIF(E26:AI26, "X"))&gt;0, (COUNTIF(E26:AI26, "✓") + COUNTIF(E26:AI26, "✔") + COUNTIF(E26:AI26, "v") + COUNTIF(E26:AI26, "V"))/((COUNTIF(E26:AI26, "✓") + COUNTIF(E26:AI26, "✔") + COUNTIF(E26:AI26, "v") + COUNTIF(E26:AI26, "V")) + COUNTIF(E26:AI26, "✗") + COUNTIF(E26:AI26, "x") + COUNTIF(E26:AI26, "X")), "")))</f>
        <v/>
      </c>
      <c r="AK26" s="117">
        <f>IF(ISBLANK(B26), "", IF(ISNUMBER(D26), IF(D26&gt;0, (COUNTIF(E26:AI26, "✓") + COUNTIF(E26:AI26, "✔") + COUNTIF(E26:AI26, "v") + COUNTIF(E26:AI26, "V")) &amp; "/" &amp; D26, (COUNTIF(E26:AI26, "✓") + COUNTIF(E26:AI26, "✔") + COUNTIF(E26:AI26, "v") + COUNTIF(E26:AI26, "V")) &amp; "/0"), IF(((COUNTIF(E26:AI26, "✓") + COUNTIF(E26:AI26, "✔") + COUNTIF(E26:AI26, "v") + COUNTIF(E26:AI26, "V")) + COUNTIF(E26:AI26, "✗") + COUNTIF(E26:AI26, "x") + COUNTIF(E26:AI26, "X"))&gt;0, (COUNTIF(E26:AI26, "✓") + COUNTIF(E26:AI26, "✔") + COUNTIF(E26:AI26, "v") + COUNTIF(E26:AI26, "V")) &amp; "/" &amp; ((COUNTIF(E26:AI26, "✓") + COUNTIF(E26:AI26, "✔") + COUNTIF(E26:AI26, "v") + COUNTIF(E26:AI26, "V")) + COUNTIF(E26:AI26, "✗") + COUNTIF(E26:AI26, "x") + COUNTIF(E26:AI26, "X")), "")))</f>
        <v/>
      </c>
      <c r="AL26" s="117">
        <f>IF(ISBLANK(B26), "", IF(AJ26&gt;=0.85, "🔥 Mastered", IF(AJ26&gt;=0.7, "⚡ Consistent", "⚠️ Needs Focus")))</f>
        <v/>
      </c>
      <c r="AM26">
        <f>COUNTIF(E26:AI26, "✓")</f>
        <v/>
      </c>
    </row>
    <row r="27" ht="14.5" customHeight="1">
      <c r="A27" s="111" t="n">
        <v>10</v>
      </c>
      <c r="B27" s="112" t="n"/>
      <c r="C27" s="113" t="n"/>
      <c r="D27" s="113" t="n"/>
      <c r="E27" s="114" t="n"/>
      <c r="F27" s="115" t="n"/>
      <c r="G27" s="114" t="n"/>
      <c r="H27" s="114" t="n"/>
      <c r="I27" s="114" t="n"/>
      <c r="J27" s="114" t="n"/>
      <c r="K27" s="114" t="n"/>
      <c r="L27" s="114" t="n"/>
      <c r="M27" s="115" t="n"/>
      <c r="N27" s="114" t="n"/>
      <c r="O27" s="114" t="n"/>
      <c r="P27" s="114" t="n"/>
      <c r="Q27" s="114" t="n"/>
      <c r="R27" s="114" t="n"/>
      <c r="S27" s="114" t="n"/>
      <c r="T27" s="115" t="n"/>
      <c r="U27" s="114" t="n"/>
      <c r="V27" s="114" t="n"/>
      <c r="W27" s="114" t="n"/>
      <c r="X27" s="114" t="n"/>
      <c r="Y27" s="114" t="n"/>
      <c r="Z27" s="114" t="n"/>
      <c r="AA27" s="115" t="n"/>
      <c r="AB27" s="114" t="n"/>
      <c r="AC27" s="114" t="n"/>
      <c r="AD27" s="114" t="n"/>
      <c r="AE27" s="114" t="n"/>
      <c r="AF27" s="114" t="n"/>
      <c r="AG27" s="114" t="n"/>
      <c r="AH27" s="115" t="n"/>
      <c r="AI27" s="114" t="n"/>
      <c r="AJ27" s="116">
        <f>IF(ISBLANK(B27), "", IF(ISNUMBER(D27), IF(D27&gt;0, (COUNTIF(E27:AI27, "✓") + COUNTIF(E27:AI27, "✔") + COUNTIF(E27:AI27, "v") + COUNTIF(E27:AI27, "V"))/D27, 0), IF(((COUNTIF(E27:AI27, "✓") + COUNTIF(E27:AI27, "✔") + COUNTIF(E27:AI27, "v") + COUNTIF(E27:AI27, "V")) + COUNTIF(E27:AI27, "✗") + COUNTIF(E27:AI27, "x") + COUNTIF(E27:AI27, "X"))&gt;0, (COUNTIF(E27:AI27, "✓") + COUNTIF(E27:AI27, "✔") + COUNTIF(E27:AI27, "v") + COUNTIF(E27:AI27, "V"))/((COUNTIF(E27:AI27, "✓") + COUNTIF(E27:AI27, "✔") + COUNTIF(E27:AI27, "v") + COUNTIF(E27:AI27, "V")) + COUNTIF(E27:AI27, "✗") + COUNTIF(E27:AI27, "x") + COUNTIF(E27:AI27, "X")), "")))</f>
        <v/>
      </c>
      <c r="AK27" s="117">
        <f>IF(ISBLANK(B27), "", IF(ISNUMBER(D27), IF(D27&gt;0, (COUNTIF(E27:AI27, "✓") + COUNTIF(E27:AI27, "✔") + COUNTIF(E27:AI27, "v") + COUNTIF(E27:AI27, "V")) &amp; "/" &amp; D27, (COUNTIF(E27:AI27, "✓") + COUNTIF(E27:AI27, "✔") + COUNTIF(E27:AI27, "v") + COUNTIF(E27:AI27, "V")) &amp; "/0"), IF(((COUNTIF(E27:AI27, "✓") + COUNTIF(E27:AI27, "✔") + COUNTIF(E27:AI27, "v") + COUNTIF(E27:AI27, "V")) + COUNTIF(E27:AI27, "✗") + COUNTIF(E27:AI27, "x") + COUNTIF(E27:AI27, "X"))&gt;0, (COUNTIF(E27:AI27, "✓") + COUNTIF(E27:AI27, "✔") + COUNTIF(E27:AI27, "v") + COUNTIF(E27:AI27, "V")) &amp; "/" &amp; ((COUNTIF(E27:AI27, "✓") + COUNTIF(E27:AI27, "✔") + COUNTIF(E27:AI27, "v") + COUNTIF(E27:AI27, "V")) + COUNTIF(E27:AI27, "✗") + COUNTIF(E27:AI27, "x") + COUNTIF(E27:AI27, "X")), "")))</f>
        <v/>
      </c>
      <c r="AL27" s="117">
        <f>IF(ISBLANK(B27), "", IF(AJ27&gt;=0.85, "🔥 Mastered", IF(AJ27&gt;=0.7, "⚡ Consistent", "⚠️ Needs Focus")))</f>
        <v/>
      </c>
      <c r="AM27">
        <f>COUNTIF(E27:AI27, "✓")</f>
        <v/>
      </c>
    </row>
    <row r="28" ht="14.5" customHeight="1">
      <c r="A28" s="111" t="n">
        <v>11</v>
      </c>
      <c r="B28" s="112" t="n"/>
      <c r="C28" s="113" t="n"/>
      <c r="D28" s="113" t="n"/>
      <c r="E28" s="114" t="n"/>
      <c r="F28" s="115" t="n"/>
      <c r="G28" s="114" t="n"/>
      <c r="H28" s="114" t="n"/>
      <c r="I28" s="114" t="n"/>
      <c r="J28" s="114" t="n"/>
      <c r="K28" s="114" t="n"/>
      <c r="L28" s="114" t="n"/>
      <c r="M28" s="115" t="n"/>
      <c r="N28" s="114" t="n"/>
      <c r="O28" s="114" t="n"/>
      <c r="P28" s="114" t="n"/>
      <c r="Q28" s="114" t="n"/>
      <c r="R28" s="114" t="n"/>
      <c r="S28" s="114" t="n"/>
      <c r="T28" s="115" t="n"/>
      <c r="U28" s="114" t="n"/>
      <c r="V28" s="114" t="n"/>
      <c r="W28" s="114" t="n"/>
      <c r="X28" s="114" t="n"/>
      <c r="Y28" s="114" t="n"/>
      <c r="Z28" s="114" t="n"/>
      <c r="AA28" s="115" t="n"/>
      <c r="AB28" s="114" t="n"/>
      <c r="AC28" s="114" t="n"/>
      <c r="AD28" s="114" t="n"/>
      <c r="AE28" s="114" t="n"/>
      <c r="AF28" s="114" t="n"/>
      <c r="AG28" s="114" t="n"/>
      <c r="AH28" s="115" t="n"/>
      <c r="AI28" s="114" t="n"/>
      <c r="AJ28" s="116">
        <f>IF(ISBLANK(B28), "", IF(ISNUMBER(D28), IF(D28&gt;0, (COUNTIF(E28:AI28, "✓") + COUNTIF(E28:AI28, "✔") + COUNTIF(E28:AI28, "v") + COUNTIF(E28:AI28, "V"))/D28, 0), IF(((COUNTIF(E28:AI28, "✓") + COUNTIF(E28:AI28, "✔") + COUNTIF(E28:AI28, "v") + COUNTIF(E28:AI28, "V")) + COUNTIF(E28:AI28, "✗") + COUNTIF(E28:AI28, "x") + COUNTIF(E28:AI28, "X"))&gt;0, (COUNTIF(E28:AI28, "✓") + COUNTIF(E28:AI28, "✔") + COUNTIF(E28:AI28, "v") + COUNTIF(E28:AI28, "V"))/((COUNTIF(E28:AI28, "✓") + COUNTIF(E28:AI28, "✔") + COUNTIF(E28:AI28, "v") + COUNTIF(E28:AI28, "V")) + COUNTIF(E28:AI28, "✗") + COUNTIF(E28:AI28, "x") + COUNTIF(E28:AI28, "X")), "")))</f>
        <v/>
      </c>
      <c r="AK28" s="117">
        <f>IF(ISBLANK(B28), "", IF(ISNUMBER(D28), IF(D28&gt;0, (COUNTIF(E28:AI28, "✓") + COUNTIF(E28:AI28, "✔") + COUNTIF(E28:AI28, "v") + COUNTIF(E28:AI28, "V")) &amp; "/" &amp; D28, (COUNTIF(E28:AI28, "✓") + COUNTIF(E28:AI28, "✔") + COUNTIF(E28:AI28, "v") + COUNTIF(E28:AI28, "V")) &amp; "/0"), IF(((COUNTIF(E28:AI28, "✓") + COUNTIF(E28:AI28, "✔") + COUNTIF(E28:AI28, "v") + COUNTIF(E28:AI28, "V")) + COUNTIF(E28:AI28, "✗") + COUNTIF(E28:AI28, "x") + COUNTIF(E28:AI28, "X"))&gt;0, (COUNTIF(E28:AI28, "✓") + COUNTIF(E28:AI28, "✔") + COUNTIF(E28:AI28, "v") + COUNTIF(E28:AI28, "V")) &amp; "/" &amp; ((COUNTIF(E28:AI28, "✓") + COUNTIF(E28:AI28, "✔") + COUNTIF(E28:AI28, "v") + COUNTIF(E28:AI28, "V")) + COUNTIF(E28:AI28, "✗") + COUNTIF(E28:AI28, "x") + COUNTIF(E28:AI28, "X")), "")))</f>
        <v/>
      </c>
      <c r="AL28" s="117">
        <f>IF(ISBLANK(B28), "", IF(AJ28&gt;=0.85, "🔥 Mastered", IF(AJ28&gt;=0.7, "⚡ Consistent", "⚠️ Needs Focus")))</f>
        <v/>
      </c>
      <c r="AM28">
        <f>COUNTIF(E28:AI28, "✓")</f>
        <v/>
      </c>
    </row>
    <row r="29" ht="14.5" customHeight="1">
      <c r="A29" s="111" t="n">
        <v>12</v>
      </c>
      <c r="B29" s="112" t="n"/>
      <c r="C29" s="113" t="n"/>
      <c r="D29" s="113" t="n"/>
      <c r="E29" s="114" t="n"/>
      <c r="F29" s="115" t="n"/>
      <c r="G29" s="114" t="n"/>
      <c r="H29" s="114" t="n"/>
      <c r="I29" s="114" t="n"/>
      <c r="J29" s="114" t="n"/>
      <c r="K29" s="114" t="n"/>
      <c r="L29" s="114" t="n"/>
      <c r="M29" s="115" t="n"/>
      <c r="N29" s="114" t="n"/>
      <c r="O29" s="114" t="n"/>
      <c r="P29" s="114" t="n"/>
      <c r="Q29" s="114" t="n"/>
      <c r="R29" s="114" t="n"/>
      <c r="S29" s="114" t="n"/>
      <c r="T29" s="115" t="n"/>
      <c r="U29" s="114" t="n"/>
      <c r="V29" s="114" t="n"/>
      <c r="W29" s="114" t="n"/>
      <c r="X29" s="114" t="n"/>
      <c r="Y29" s="114" t="n"/>
      <c r="Z29" s="114" t="n"/>
      <c r="AA29" s="115" t="n"/>
      <c r="AB29" s="114" t="n"/>
      <c r="AC29" s="114" t="n"/>
      <c r="AD29" s="114" t="n"/>
      <c r="AE29" s="114" t="n"/>
      <c r="AF29" s="114" t="n"/>
      <c r="AG29" s="114" t="n"/>
      <c r="AH29" s="115" t="n"/>
      <c r="AI29" s="114" t="n"/>
      <c r="AJ29" s="116">
        <f>IF(ISBLANK(B29), "", IF(ISNUMBER(D29), IF(D29&gt;0, (COUNTIF(E29:AI29, "✓") + COUNTIF(E29:AI29, "✔") + COUNTIF(E29:AI29, "v") + COUNTIF(E29:AI29, "V"))/D29, 0), IF(((COUNTIF(E29:AI29, "✓") + COUNTIF(E29:AI29, "✔") + COUNTIF(E29:AI29, "v") + COUNTIF(E29:AI29, "V")) + COUNTIF(E29:AI29, "✗") + COUNTIF(E29:AI29, "x") + COUNTIF(E29:AI29, "X"))&gt;0, (COUNTIF(E29:AI29, "✓") + COUNTIF(E29:AI29, "✔") + COUNTIF(E29:AI29, "v") + COUNTIF(E29:AI29, "V"))/((COUNTIF(E29:AI29, "✓") + COUNTIF(E29:AI29, "✔") + COUNTIF(E29:AI29, "v") + COUNTIF(E29:AI29, "V")) + COUNTIF(E29:AI29, "✗") + COUNTIF(E29:AI29, "x") + COUNTIF(E29:AI29, "X")), "")))</f>
        <v/>
      </c>
      <c r="AK29" s="117">
        <f>IF(ISBLANK(B29), "", IF(ISNUMBER(D29), IF(D29&gt;0, (COUNTIF(E29:AI29, "✓") + COUNTIF(E29:AI29, "✔") + COUNTIF(E29:AI29, "v") + COUNTIF(E29:AI29, "V")) &amp; "/" &amp; D29, (COUNTIF(E29:AI29, "✓") + COUNTIF(E29:AI29, "✔") + COUNTIF(E29:AI29, "v") + COUNTIF(E29:AI29, "V")) &amp; "/0"), IF(((COUNTIF(E29:AI29, "✓") + COUNTIF(E29:AI29, "✔") + COUNTIF(E29:AI29, "v") + COUNTIF(E29:AI29, "V")) + COUNTIF(E29:AI29, "✗") + COUNTIF(E29:AI29, "x") + COUNTIF(E29:AI29, "X"))&gt;0, (COUNTIF(E29:AI29, "✓") + COUNTIF(E29:AI29, "✔") + COUNTIF(E29:AI29, "v") + COUNTIF(E29:AI29, "V")) &amp; "/" &amp; ((COUNTIF(E29:AI29, "✓") + COUNTIF(E29:AI29, "✔") + COUNTIF(E29:AI29, "v") + COUNTIF(E29:AI29, "V")) + COUNTIF(E29:AI29, "✗") + COUNTIF(E29:AI29, "x") + COUNTIF(E29:AI29, "X")), "")))</f>
        <v/>
      </c>
      <c r="AL29" s="117">
        <f>IF(ISBLANK(B29), "", IF(AJ29&gt;=0.85, "🔥 Mastered", IF(AJ29&gt;=0.7, "⚡ Consistent", "⚠️ Needs Focus")))</f>
        <v/>
      </c>
      <c r="AM29">
        <f>COUNTIF(E29:AI29, "✓")</f>
        <v/>
      </c>
    </row>
    <row r="30" ht="14.5" customHeight="1">
      <c r="A30" s="118" t="n">
        <v>13</v>
      </c>
      <c r="B30" s="119" t="n"/>
      <c r="C30" s="120" t="n"/>
      <c r="D30" s="120" t="n"/>
      <c r="E30" s="121" t="n"/>
      <c r="F30" s="122" t="n"/>
      <c r="G30" s="121" t="n"/>
      <c r="H30" s="121" t="n"/>
      <c r="I30" s="121" t="n"/>
      <c r="J30" s="121" t="n"/>
      <c r="K30" s="121" t="n"/>
      <c r="L30" s="121" t="n"/>
      <c r="M30" s="122" t="n"/>
      <c r="N30" s="121" t="n"/>
      <c r="O30" s="121" t="n"/>
      <c r="P30" s="121" t="n"/>
      <c r="Q30" s="121" t="n"/>
      <c r="R30" s="121" t="n"/>
      <c r="S30" s="121" t="n"/>
      <c r="T30" s="122" t="n"/>
      <c r="U30" s="121" t="n"/>
      <c r="V30" s="121" t="n"/>
      <c r="W30" s="121" t="n"/>
      <c r="X30" s="121" t="n"/>
      <c r="Y30" s="121" t="n"/>
      <c r="Z30" s="121" t="n"/>
      <c r="AA30" s="122" t="n"/>
      <c r="AB30" s="121" t="n"/>
      <c r="AC30" s="121" t="n"/>
      <c r="AD30" s="121" t="n"/>
      <c r="AE30" s="121" t="n"/>
      <c r="AF30" s="121" t="n"/>
      <c r="AG30" s="121" t="n"/>
      <c r="AH30" s="122" t="n"/>
      <c r="AI30" s="121" t="n"/>
      <c r="AJ30" s="123">
        <f>IF(ISBLANK(B30), "", IF(ISNUMBER(D30), IF(D30&gt;0, (COUNTIF(E30:AI30, "✓") + COUNTIF(E30:AI30, "✔") + COUNTIF(E30:AI30, "v") + COUNTIF(E30:AI30, "V"))/D30, 0), IF(((COUNTIF(E30:AI30, "✓") + COUNTIF(E30:AI30, "✔") + COUNTIF(E30:AI30, "v") + COUNTIF(E30:AI30, "V")) + COUNTIF(E30:AI30, "✗") + COUNTIF(E30:AI30, "x") + COUNTIF(E30:AI30, "X"))&gt;0, (COUNTIF(E30:AI30, "✓") + COUNTIF(E30:AI30, "✔") + COUNTIF(E30:AI30, "v") + COUNTIF(E30:AI30, "V"))/((COUNTIF(E30:AI30, "✓") + COUNTIF(E30:AI30, "✔") + COUNTIF(E30:AI30, "v") + COUNTIF(E30:AI30, "V")) + COUNTIF(E30:AI30, "✗") + COUNTIF(E30:AI30, "x") + COUNTIF(E30:AI30, "X")), "")))</f>
        <v/>
      </c>
      <c r="AK30" s="124">
        <f>IF(ISBLANK(B30), "", IF(ISNUMBER(D30), IF(D30&gt;0, (COUNTIF(E30:AI30, "✓") + COUNTIF(E30:AI30, "✔") + COUNTIF(E30:AI30, "v") + COUNTIF(E30:AI30, "V")) &amp; "/" &amp; D30, (COUNTIF(E30:AI30, "✓") + COUNTIF(E30:AI30, "✔") + COUNTIF(E30:AI30, "v") + COUNTIF(E30:AI30, "V")) &amp; "/0"), IF(((COUNTIF(E30:AI30, "✓") + COUNTIF(E30:AI30, "✔") + COUNTIF(E30:AI30, "v") + COUNTIF(E30:AI30, "V")) + COUNTIF(E30:AI30, "✗") + COUNTIF(E30:AI30, "x") + COUNTIF(E30:AI30, "X"))&gt;0, (COUNTIF(E30:AI30, "✓") + COUNTIF(E30:AI30, "✔") + COUNTIF(E30:AI30, "v") + COUNTIF(E30:AI30, "V")) &amp; "/" &amp; ((COUNTIF(E30:AI30, "✓") + COUNTIF(E30:AI30, "✔") + COUNTIF(E30:AI30, "v") + COUNTIF(E30:AI30, "V")) + COUNTIF(E30:AI30, "✗") + COUNTIF(E30:AI30, "x") + COUNTIF(E30:AI30, "X")), "")))</f>
        <v/>
      </c>
      <c r="AL30" s="124">
        <f>IF(ISBLANK(B30), "", IF(AJ30&gt;=0.85, "🔥 Mastered", IF(AJ30&gt;=0.7, "⚡ Consistent", "⚠️ Needs Focus")))</f>
        <v/>
      </c>
      <c r="AM30">
        <f>COUNTIF(E30:AI30, "✓")</f>
        <v/>
      </c>
    </row>
    <row r="31" ht="14.5" customHeight="1">
      <c r="A31" s="118" t="n">
        <v>14</v>
      </c>
      <c r="B31" s="119" t="n"/>
      <c r="C31" s="120" t="n"/>
      <c r="D31" s="120" t="n"/>
      <c r="E31" s="121" t="n"/>
      <c r="F31" s="122" t="n"/>
      <c r="G31" s="121" t="n"/>
      <c r="H31" s="121" t="n"/>
      <c r="I31" s="121" t="n"/>
      <c r="J31" s="121" t="n"/>
      <c r="K31" s="121" t="n"/>
      <c r="L31" s="121" t="n"/>
      <c r="M31" s="122" t="n"/>
      <c r="N31" s="121" t="n"/>
      <c r="O31" s="121" t="n"/>
      <c r="P31" s="121" t="n"/>
      <c r="Q31" s="121" t="n"/>
      <c r="R31" s="121" t="n"/>
      <c r="S31" s="121" t="n"/>
      <c r="T31" s="122" t="n"/>
      <c r="U31" s="121" t="n"/>
      <c r="V31" s="121" t="n"/>
      <c r="W31" s="121" t="n"/>
      <c r="X31" s="121" t="n"/>
      <c r="Y31" s="121" t="n"/>
      <c r="Z31" s="121" t="n"/>
      <c r="AA31" s="122" t="n"/>
      <c r="AB31" s="121" t="n"/>
      <c r="AC31" s="121" t="n"/>
      <c r="AD31" s="121" t="n"/>
      <c r="AE31" s="121" t="n"/>
      <c r="AF31" s="121" t="n"/>
      <c r="AG31" s="121" t="n"/>
      <c r="AH31" s="122" t="n"/>
      <c r="AI31" s="121" t="n"/>
      <c r="AJ31" s="123">
        <f>IF(ISBLANK(B31), "", IF(ISNUMBER(D31), IF(D31&gt;0, (COUNTIF(E31:AI31, "✓") + COUNTIF(E31:AI31, "✔") + COUNTIF(E31:AI31, "v") + COUNTIF(E31:AI31, "V"))/D31, 0), IF(((COUNTIF(E31:AI31, "✓") + COUNTIF(E31:AI31, "✔") + COUNTIF(E31:AI31, "v") + COUNTIF(E31:AI31, "V")) + COUNTIF(E31:AI31, "✗") + COUNTIF(E31:AI31, "x") + COUNTIF(E31:AI31, "X"))&gt;0, (COUNTIF(E31:AI31, "✓") + COUNTIF(E31:AI31, "✔") + COUNTIF(E31:AI31, "v") + COUNTIF(E31:AI31, "V"))/((COUNTIF(E31:AI31, "✓") + COUNTIF(E31:AI31, "✔") + COUNTIF(E31:AI31, "v") + COUNTIF(E31:AI31, "V")) + COUNTIF(E31:AI31, "✗") + COUNTIF(E31:AI31, "x") + COUNTIF(E31:AI31, "X")), "")))</f>
        <v/>
      </c>
      <c r="AK31" s="124">
        <f>IF(ISBLANK(B31), "", IF(ISNUMBER(D31), IF(D31&gt;0, (COUNTIF(E31:AI31, "✓") + COUNTIF(E31:AI31, "✔") + COUNTIF(E31:AI31, "v") + COUNTIF(E31:AI31, "V")) &amp; "/" &amp; D31, (COUNTIF(E31:AI31, "✓") + COUNTIF(E31:AI31, "✔") + COUNTIF(E31:AI31, "v") + COUNTIF(E31:AI31, "V")) &amp; "/0"), IF(((COUNTIF(E31:AI31, "✓") + COUNTIF(E31:AI31, "✔") + COUNTIF(E31:AI31, "v") + COUNTIF(E31:AI31, "V")) + COUNTIF(E31:AI31, "✗") + COUNTIF(E31:AI31, "x") + COUNTIF(E31:AI31, "X"))&gt;0, (COUNTIF(E31:AI31, "✓") + COUNTIF(E31:AI31, "✔") + COUNTIF(E31:AI31, "v") + COUNTIF(E31:AI31, "V")) &amp; "/" &amp; ((COUNTIF(E31:AI31, "✓") + COUNTIF(E31:AI31, "✔") + COUNTIF(E31:AI31, "v") + COUNTIF(E31:AI31, "V")) + COUNTIF(E31:AI31, "✗") + COUNTIF(E31:AI31, "x") + COUNTIF(E31:AI31, "X")), "")))</f>
        <v/>
      </c>
      <c r="AL31" s="124">
        <f>IF(ISBLANK(B31), "", IF(AJ31&gt;=0.85, "🔥 Mastered", IF(AJ31&gt;=0.7, "⚡ Consistent", "⚠️ Needs Focus")))</f>
        <v/>
      </c>
      <c r="AM31">
        <f>COUNTIF(E31:AI31, "✓")</f>
        <v/>
      </c>
    </row>
    <row r="32" ht="14.5" customHeight="1">
      <c r="A32" s="118" t="n">
        <v>15</v>
      </c>
      <c r="B32" s="119" t="n"/>
      <c r="C32" s="120" t="n"/>
      <c r="D32" s="120" t="n"/>
      <c r="E32" s="121" t="n"/>
      <c r="F32" s="122" t="n"/>
      <c r="G32" s="121" t="n"/>
      <c r="H32" s="121" t="n"/>
      <c r="I32" s="121" t="n"/>
      <c r="J32" s="121" t="n"/>
      <c r="K32" s="121" t="n"/>
      <c r="L32" s="121" t="n"/>
      <c r="M32" s="122" t="n"/>
      <c r="N32" s="121" t="n"/>
      <c r="O32" s="121" t="n"/>
      <c r="P32" s="121" t="n"/>
      <c r="Q32" s="121" t="n"/>
      <c r="R32" s="121" t="n"/>
      <c r="S32" s="121" t="n"/>
      <c r="T32" s="122" t="n"/>
      <c r="U32" s="121" t="n"/>
      <c r="V32" s="121" t="n"/>
      <c r="W32" s="121" t="n"/>
      <c r="X32" s="121" t="n"/>
      <c r="Y32" s="121" t="n"/>
      <c r="Z32" s="121" t="n"/>
      <c r="AA32" s="122" t="n"/>
      <c r="AB32" s="121" t="n"/>
      <c r="AC32" s="121" t="n"/>
      <c r="AD32" s="121" t="n"/>
      <c r="AE32" s="121" t="n"/>
      <c r="AF32" s="121" t="n"/>
      <c r="AG32" s="121" t="n"/>
      <c r="AH32" s="122" t="n"/>
      <c r="AI32" s="121" t="n"/>
      <c r="AJ32" s="123">
        <f>IF(ISBLANK(B32), "", IF(ISNUMBER(D32), IF(D32&gt;0, (COUNTIF(E32:AI32, "✓") + COUNTIF(E32:AI32, "✔") + COUNTIF(E32:AI32, "v") + COUNTIF(E32:AI32, "V"))/D32, 0), IF(((COUNTIF(E32:AI32, "✓") + COUNTIF(E32:AI32, "✔") + COUNTIF(E32:AI32, "v") + COUNTIF(E32:AI32, "V")) + COUNTIF(E32:AI32, "✗") + COUNTIF(E32:AI32, "x") + COUNTIF(E32:AI32, "X"))&gt;0, (COUNTIF(E32:AI32, "✓") + COUNTIF(E32:AI32, "✔") + COUNTIF(E32:AI32, "v") + COUNTIF(E32:AI32, "V"))/((COUNTIF(E32:AI32, "✓") + COUNTIF(E32:AI32, "✔") + COUNTIF(E32:AI32, "v") + COUNTIF(E32:AI32, "V")) + COUNTIF(E32:AI32, "✗") + COUNTIF(E32:AI32, "x") + COUNTIF(E32:AI32, "X")), "")))</f>
        <v/>
      </c>
      <c r="AK32" s="124">
        <f>IF(ISBLANK(B32), "", IF(ISNUMBER(D32), IF(D32&gt;0, (COUNTIF(E32:AI32, "✓") + COUNTIF(E32:AI32, "✔") + COUNTIF(E32:AI32, "v") + COUNTIF(E32:AI32, "V")) &amp; "/" &amp; D32, (COUNTIF(E32:AI32, "✓") + COUNTIF(E32:AI32, "✔") + COUNTIF(E32:AI32, "v") + COUNTIF(E32:AI32, "V")) &amp; "/0"), IF(((COUNTIF(E32:AI32, "✓") + COUNTIF(E32:AI32, "✔") + COUNTIF(E32:AI32, "v") + COUNTIF(E32:AI32, "V")) + COUNTIF(E32:AI32, "✗") + COUNTIF(E32:AI32, "x") + COUNTIF(E32:AI32, "X"))&gt;0, (COUNTIF(E32:AI32, "✓") + COUNTIF(E32:AI32, "✔") + COUNTIF(E32:AI32, "v") + COUNTIF(E32:AI32, "V")) &amp; "/" &amp; ((COUNTIF(E32:AI32, "✓") + COUNTIF(E32:AI32, "✔") + COUNTIF(E32:AI32, "v") + COUNTIF(E32:AI32, "V")) + COUNTIF(E32:AI32, "✗") + COUNTIF(E32:AI32, "x") + COUNTIF(E32:AI32, "X")), "")))</f>
        <v/>
      </c>
      <c r="AL32" s="124">
        <f>IF(ISBLANK(B32), "", IF(AJ32&gt;=0.85, "🔥 Mastered", IF(AJ32&gt;=0.7, "⚡ Consistent", "⚠️ Needs Focus")))</f>
        <v/>
      </c>
      <c r="AM32">
        <f>COUNTIF(E32:AI32, "✓")</f>
        <v/>
      </c>
    </row>
    <row r="33" ht="14.5" customHeight="1">
      <c r="A33" s="118" t="n">
        <v>16</v>
      </c>
      <c r="B33" s="119" t="n"/>
      <c r="C33" s="120" t="n"/>
      <c r="D33" s="120" t="n"/>
      <c r="E33" s="121" t="n"/>
      <c r="F33" s="122" t="n"/>
      <c r="G33" s="121" t="n"/>
      <c r="H33" s="121" t="n"/>
      <c r="I33" s="121" t="n"/>
      <c r="J33" s="121" t="n"/>
      <c r="K33" s="121" t="n"/>
      <c r="L33" s="121" t="n"/>
      <c r="M33" s="122" t="n"/>
      <c r="N33" s="121" t="n"/>
      <c r="O33" s="121" t="n"/>
      <c r="P33" s="121" t="n"/>
      <c r="Q33" s="121" t="n"/>
      <c r="R33" s="121" t="n"/>
      <c r="S33" s="121" t="n"/>
      <c r="T33" s="122" t="n"/>
      <c r="U33" s="121" t="n"/>
      <c r="V33" s="121" t="n"/>
      <c r="W33" s="121" t="n"/>
      <c r="X33" s="121" t="n"/>
      <c r="Y33" s="121" t="n"/>
      <c r="Z33" s="121" t="n"/>
      <c r="AA33" s="122" t="n"/>
      <c r="AB33" s="121" t="n"/>
      <c r="AC33" s="121" t="n"/>
      <c r="AD33" s="121" t="n"/>
      <c r="AE33" s="121" t="n"/>
      <c r="AF33" s="121" t="n"/>
      <c r="AG33" s="121" t="n"/>
      <c r="AH33" s="122" t="n"/>
      <c r="AI33" s="121" t="n"/>
      <c r="AJ33" s="123">
        <f>IF(ISBLANK(B33), "", IF(ISNUMBER(D33), IF(D33&gt;0, (COUNTIF(E33:AI33, "✓") + COUNTIF(E33:AI33, "✔") + COUNTIF(E33:AI33, "v") + COUNTIF(E33:AI33, "V"))/D33, 0), IF(((COUNTIF(E33:AI33, "✓") + COUNTIF(E33:AI33, "✔") + COUNTIF(E33:AI33, "v") + COUNTIF(E33:AI33, "V")) + COUNTIF(E33:AI33, "✗") + COUNTIF(E33:AI33, "x") + COUNTIF(E33:AI33, "X"))&gt;0, (COUNTIF(E33:AI33, "✓") + COUNTIF(E33:AI33, "✔") + COUNTIF(E33:AI33, "v") + COUNTIF(E33:AI33, "V"))/((COUNTIF(E33:AI33, "✓") + COUNTIF(E33:AI33, "✔") + COUNTIF(E33:AI33, "v") + COUNTIF(E33:AI33, "V")) + COUNTIF(E33:AI33, "✗") + COUNTIF(E33:AI33, "x") + COUNTIF(E33:AI33, "X")), "")))</f>
        <v/>
      </c>
      <c r="AK33" s="124">
        <f>IF(ISBLANK(B33), "", IF(ISNUMBER(D33), IF(D33&gt;0, (COUNTIF(E33:AI33, "✓") + COUNTIF(E33:AI33, "✔") + COUNTIF(E33:AI33, "v") + COUNTIF(E33:AI33, "V")) &amp; "/" &amp; D33, (COUNTIF(E33:AI33, "✓") + COUNTIF(E33:AI33, "✔") + COUNTIF(E33:AI33, "v") + COUNTIF(E33:AI33, "V")) &amp; "/0"), IF(((COUNTIF(E33:AI33, "✓") + COUNTIF(E33:AI33, "✔") + COUNTIF(E33:AI33, "v") + COUNTIF(E33:AI33, "V")) + COUNTIF(E33:AI33, "✗") + COUNTIF(E33:AI33, "x") + COUNTIF(E33:AI33, "X"))&gt;0, (COUNTIF(E33:AI33, "✓") + COUNTIF(E33:AI33, "✔") + COUNTIF(E33:AI33, "v") + COUNTIF(E33:AI33, "V")) &amp; "/" &amp; ((COUNTIF(E33:AI33, "✓") + COUNTIF(E33:AI33, "✔") + COUNTIF(E33:AI33, "v") + COUNTIF(E33:AI33, "V")) + COUNTIF(E33:AI33, "✗") + COUNTIF(E33:AI33, "x") + COUNTIF(E33:AI33, "X")), "")))</f>
        <v/>
      </c>
      <c r="AL33" s="124">
        <f>IF(ISBLANK(B33), "", IF(AJ33&gt;=0.85, "🔥 Mastered", IF(AJ33&gt;=0.7, "⚡ Consistent", "⚠️ Needs Focus")))</f>
        <v/>
      </c>
      <c r="AM33">
        <f>COUNTIF(E33:AI33, "✓")</f>
        <v/>
      </c>
    </row>
    <row r="34" ht="14.5" customHeight="1">
      <c r="A34" s="125" t="n">
        <v>17</v>
      </c>
      <c r="B34" s="126" t="n"/>
      <c r="C34" s="127" t="n"/>
      <c r="D34" s="127" t="n"/>
      <c r="E34" s="128" t="n"/>
      <c r="F34" s="129" t="n"/>
      <c r="G34" s="128" t="n"/>
      <c r="H34" s="128" t="n"/>
      <c r="I34" s="128" t="n"/>
      <c r="J34" s="128" t="n"/>
      <c r="K34" s="128" t="n"/>
      <c r="L34" s="128" t="n"/>
      <c r="M34" s="129" t="n"/>
      <c r="N34" s="128" t="n"/>
      <c r="O34" s="128" t="n"/>
      <c r="P34" s="128" t="n"/>
      <c r="Q34" s="128" t="n"/>
      <c r="R34" s="128" t="n"/>
      <c r="S34" s="128" t="n"/>
      <c r="T34" s="129" t="n"/>
      <c r="U34" s="128" t="n"/>
      <c r="V34" s="128" t="n"/>
      <c r="W34" s="128" t="n"/>
      <c r="X34" s="128" t="n"/>
      <c r="Y34" s="128" t="n"/>
      <c r="Z34" s="128" t="n"/>
      <c r="AA34" s="129" t="n"/>
      <c r="AB34" s="128" t="n"/>
      <c r="AC34" s="128" t="n"/>
      <c r="AD34" s="128" t="n"/>
      <c r="AE34" s="128" t="n"/>
      <c r="AF34" s="128" t="n"/>
      <c r="AG34" s="128" t="n"/>
      <c r="AH34" s="129" t="n"/>
      <c r="AI34" s="128" t="n"/>
      <c r="AJ34" s="130">
        <f>IF(ISBLANK(B34), "", IF(ISNUMBER(D34), IF(D34&gt;0, (COUNTIF(E34:AI34, "✓") + COUNTIF(E34:AI34, "✔") + COUNTIF(E34:AI34, "v") + COUNTIF(E34:AI34, "V"))/D34, 0), IF(((COUNTIF(E34:AI34, "✓") + COUNTIF(E34:AI34, "✔") + COUNTIF(E34:AI34, "v") + COUNTIF(E34:AI34, "V")) + COUNTIF(E34:AI34, "✗") + COUNTIF(E34:AI34, "x") + COUNTIF(E34:AI34, "X"))&gt;0, (COUNTIF(E34:AI34, "✓") + COUNTIF(E34:AI34, "✔") + COUNTIF(E34:AI34, "v") + COUNTIF(E34:AI34, "V"))/((COUNTIF(E34:AI34, "✓") + COUNTIF(E34:AI34, "✔") + COUNTIF(E34:AI34, "v") + COUNTIF(E34:AI34, "V")) + COUNTIF(E34:AI34, "✗") + COUNTIF(E34:AI34, "x") + COUNTIF(E34:AI34, "X")), "")))</f>
        <v/>
      </c>
      <c r="AK34" s="131">
        <f>IF(ISBLANK(B34), "", IF(ISNUMBER(D34), IF(D34&gt;0, (COUNTIF(E34:AI34, "✓") + COUNTIF(E34:AI34, "✔") + COUNTIF(E34:AI34, "v") + COUNTIF(E34:AI34, "V")) &amp; "/" &amp; D34, (COUNTIF(E34:AI34, "✓") + COUNTIF(E34:AI34, "✔") + COUNTIF(E34:AI34, "v") + COUNTIF(E34:AI34, "V")) &amp; "/0"), IF(((COUNTIF(E34:AI34, "✓") + COUNTIF(E34:AI34, "✔") + COUNTIF(E34:AI34, "v") + COUNTIF(E34:AI34, "V")) + COUNTIF(E34:AI34, "✗") + COUNTIF(E34:AI34, "x") + COUNTIF(E34:AI34, "X"))&gt;0, (COUNTIF(E34:AI34, "✓") + COUNTIF(E34:AI34, "✔") + COUNTIF(E34:AI34, "v") + COUNTIF(E34:AI34, "V")) &amp; "/" &amp; ((COUNTIF(E34:AI34, "✓") + COUNTIF(E34:AI34, "✔") + COUNTIF(E34:AI34, "v") + COUNTIF(E34:AI34, "V")) + COUNTIF(E34:AI34, "✗") + COUNTIF(E34:AI34, "x") + COUNTIF(E34:AI34, "X")), "")))</f>
        <v/>
      </c>
      <c r="AL34" s="131">
        <f>IF(ISBLANK(B34), "", IF(AJ34&gt;=0.85, "🔥 Mastered", IF(AJ34&gt;=0.7, "⚡ Consistent", "⚠️ Needs Focus")))</f>
        <v/>
      </c>
      <c r="AM34">
        <f>COUNTIF(E34:AI34, "✓")</f>
        <v/>
      </c>
    </row>
    <row r="35" ht="14.5" customHeight="1">
      <c r="A35" s="125" t="n">
        <v>18</v>
      </c>
      <c r="B35" s="126" t="n"/>
      <c r="C35" s="127" t="n"/>
      <c r="D35" s="127" t="n"/>
      <c r="E35" s="128" t="n"/>
      <c r="F35" s="129" t="n"/>
      <c r="G35" s="128" t="n"/>
      <c r="H35" s="128" t="n"/>
      <c r="I35" s="128" t="n"/>
      <c r="J35" s="128" t="n"/>
      <c r="K35" s="128" t="n"/>
      <c r="L35" s="128" t="n"/>
      <c r="M35" s="129" t="n"/>
      <c r="N35" s="128" t="n"/>
      <c r="O35" s="128" t="n"/>
      <c r="P35" s="128" t="n"/>
      <c r="Q35" s="128" t="n"/>
      <c r="R35" s="128" t="n"/>
      <c r="S35" s="128" t="n"/>
      <c r="T35" s="129" t="n"/>
      <c r="U35" s="128" t="n"/>
      <c r="V35" s="128" t="n"/>
      <c r="W35" s="128" t="n"/>
      <c r="X35" s="128" t="n"/>
      <c r="Y35" s="128" t="n"/>
      <c r="Z35" s="128" t="n"/>
      <c r="AA35" s="129" t="n"/>
      <c r="AB35" s="128" t="n"/>
      <c r="AC35" s="128" t="n"/>
      <c r="AD35" s="128" t="n"/>
      <c r="AE35" s="128" t="n"/>
      <c r="AF35" s="128" t="n"/>
      <c r="AG35" s="128" t="n"/>
      <c r="AH35" s="129" t="n"/>
      <c r="AI35" s="128" t="n"/>
      <c r="AJ35" s="130">
        <f>IF(ISBLANK(B35), "", IF(ISNUMBER(D35), IF(D35&gt;0, (COUNTIF(E35:AI35, "✓") + COUNTIF(E35:AI35, "✔") + COUNTIF(E35:AI35, "v") + COUNTIF(E35:AI35, "V"))/D35, 0), IF(((COUNTIF(E35:AI35, "✓") + COUNTIF(E35:AI35, "✔") + COUNTIF(E35:AI35, "v") + COUNTIF(E35:AI35, "V")) + COUNTIF(E35:AI35, "✗") + COUNTIF(E35:AI35, "x") + COUNTIF(E35:AI35, "X"))&gt;0, (COUNTIF(E35:AI35, "✓") + COUNTIF(E35:AI35, "✔") + COUNTIF(E35:AI35, "v") + COUNTIF(E35:AI35, "V"))/((COUNTIF(E35:AI35, "✓") + COUNTIF(E35:AI35, "✔") + COUNTIF(E35:AI35, "v") + COUNTIF(E35:AI35, "V")) + COUNTIF(E35:AI35, "✗") + COUNTIF(E35:AI35, "x") + COUNTIF(E35:AI35, "X")), "")))</f>
        <v/>
      </c>
      <c r="AK35" s="131">
        <f>IF(ISBLANK(B35), "", IF(ISNUMBER(D35), IF(D35&gt;0, (COUNTIF(E35:AI35, "✓") + COUNTIF(E35:AI35, "✔") + COUNTIF(E35:AI35, "v") + COUNTIF(E35:AI35, "V")) &amp; "/" &amp; D35, (COUNTIF(E35:AI35, "✓") + COUNTIF(E35:AI35, "✔") + COUNTIF(E35:AI35, "v") + COUNTIF(E35:AI35, "V")) &amp; "/0"), IF(((COUNTIF(E35:AI35, "✓") + COUNTIF(E35:AI35, "✔") + COUNTIF(E35:AI35, "v") + COUNTIF(E35:AI35, "V")) + COUNTIF(E35:AI35, "✗") + COUNTIF(E35:AI35, "x") + COUNTIF(E35:AI35, "X"))&gt;0, (COUNTIF(E35:AI35, "✓") + COUNTIF(E35:AI35, "✔") + COUNTIF(E35:AI35, "v") + COUNTIF(E35:AI35, "V")) &amp; "/" &amp; ((COUNTIF(E35:AI35, "✓") + COUNTIF(E35:AI35, "✔") + COUNTIF(E35:AI35, "v") + COUNTIF(E35:AI35, "V")) + COUNTIF(E35:AI35, "✗") + COUNTIF(E35:AI35, "x") + COUNTIF(E35:AI35, "X")), "")))</f>
        <v/>
      </c>
      <c r="AL35" s="131">
        <f>IF(ISBLANK(B35), "", IF(AJ35&gt;=0.85, "🔥 Mastered", IF(AJ35&gt;=0.7, "⚡ Consistent", "⚠️ Needs Focus")))</f>
        <v/>
      </c>
      <c r="AM35">
        <f>COUNTIF(E35:AI35, "✓")</f>
        <v/>
      </c>
    </row>
    <row r="36" ht="14.5" customHeight="1">
      <c r="A36" s="125" t="n">
        <v>19</v>
      </c>
      <c r="B36" s="126" t="n"/>
      <c r="C36" s="127" t="n"/>
      <c r="D36" s="127" t="n"/>
      <c r="E36" s="128" t="n"/>
      <c r="F36" s="129" t="n"/>
      <c r="G36" s="128" t="n"/>
      <c r="H36" s="128" t="n"/>
      <c r="I36" s="128" t="n"/>
      <c r="J36" s="128" t="n"/>
      <c r="K36" s="128" t="n"/>
      <c r="L36" s="128" t="n"/>
      <c r="M36" s="129" t="n"/>
      <c r="N36" s="128" t="n"/>
      <c r="O36" s="128" t="n"/>
      <c r="P36" s="128" t="n"/>
      <c r="Q36" s="128" t="n"/>
      <c r="R36" s="128" t="n"/>
      <c r="S36" s="128" t="n"/>
      <c r="T36" s="129" t="n"/>
      <c r="U36" s="128" t="n"/>
      <c r="V36" s="128" t="n"/>
      <c r="W36" s="128" t="n"/>
      <c r="X36" s="128" t="n"/>
      <c r="Y36" s="128" t="n"/>
      <c r="Z36" s="128" t="n"/>
      <c r="AA36" s="129" t="n"/>
      <c r="AB36" s="128" t="n"/>
      <c r="AC36" s="128" t="n"/>
      <c r="AD36" s="128" t="n"/>
      <c r="AE36" s="128" t="n"/>
      <c r="AF36" s="128" t="n"/>
      <c r="AG36" s="128" t="n"/>
      <c r="AH36" s="129" t="n"/>
      <c r="AI36" s="128" t="n"/>
      <c r="AJ36" s="130">
        <f>IF(ISBLANK(B36), "", IF(ISNUMBER(D36), IF(D36&gt;0, (COUNTIF(E36:AI36, "✓") + COUNTIF(E36:AI36, "✔") + COUNTIF(E36:AI36, "v") + COUNTIF(E36:AI36, "V"))/D36, 0), IF(((COUNTIF(E36:AI36, "✓") + COUNTIF(E36:AI36, "✔") + COUNTIF(E36:AI36, "v") + COUNTIF(E36:AI36, "V")) + COUNTIF(E36:AI36, "✗") + COUNTIF(E36:AI36, "x") + COUNTIF(E36:AI36, "X"))&gt;0, (COUNTIF(E36:AI36, "✓") + COUNTIF(E36:AI36, "✔") + COUNTIF(E36:AI36, "v") + COUNTIF(E36:AI36, "V"))/((COUNTIF(E36:AI36, "✓") + COUNTIF(E36:AI36, "✔") + COUNTIF(E36:AI36, "v") + COUNTIF(E36:AI36, "V")) + COUNTIF(E36:AI36, "✗") + COUNTIF(E36:AI36, "x") + COUNTIF(E36:AI36, "X")), "")))</f>
        <v/>
      </c>
      <c r="AK36" s="131">
        <f>IF(ISBLANK(B36), "", IF(ISNUMBER(D36), IF(D36&gt;0, (COUNTIF(E36:AI36, "✓") + COUNTIF(E36:AI36, "✔") + COUNTIF(E36:AI36, "v") + COUNTIF(E36:AI36, "V")) &amp; "/" &amp; D36, (COUNTIF(E36:AI36, "✓") + COUNTIF(E36:AI36, "✔") + COUNTIF(E36:AI36, "v") + COUNTIF(E36:AI36, "V")) &amp; "/0"), IF(((COUNTIF(E36:AI36, "✓") + COUNTIF(E36:AI36, "✔") + COUNTIF(E36:AI36, "v") + COUNTIF(E36:AI36, "V")) + COUNTIF(E36:AI36, "✗") + COUNTIF(E36:AI36, "x") + COUNTIF(E36:AI36, "X"))&gt;0, (COUNTIF(E36:AI36, "✓") + COUNTIF(E36:AI36, "✔") + COUNTIF(E36:AI36, "v") + COUNTIF(E36:AI36, "V")) &amp; "/" &amp; ((COUNTIF(E36:AI36, "✓") + COUNTIF(E36:AI36, "✔") + COUNTIF(E36:AI36, "v") + COUNTIF(E36:AI36, "V")) + COUNTIF(E36:AI36, "✗") + COUNTIF(E36:AI36, "x") + COUNTIF(E36:AI36, "X")), "")))</f>
        <v/>
      </c>
      <c r="AL36" s="131">
        <f>IF(ISBLANK(B36), "", IF(AJ36&gt;=0.85, "🔥 Mastered", IF(AJ36&gt;=0.7, "⚡ Consistent", "⚠️ Needs Focus")))</f>
        <v/>
      </c>
      <c r="AM36">
        <f>COUNTIF(E36:AI36, "✓")</f>
        <v/>
      </c>
    </row>
    <row r="37" ht="14.5" customHeight="1">
      <c r="A37" s="125" t="n">
        <v>20</v>
      </c>
      <c r="B37" s="126" t="n"/>
      <c r="C37" s="127" t="n"/>
      <c r="D37" s="127" t="n"/>
      <c r="E37" s="128" t="n"/>
      <c r="F37" s="129" t="n"/>
      <c r="G37" s="128" t="n"/>
      <c r="H37" s="128" t="n"/>
      <c r="I37" s="128" t="n"/>
      <c r="J37" s="128" t="n"/>
      <c r="K37" s="128" t="n"/>
      <c r="L37" s="128" t="n"/>
      <c r="M37" s="129" t="n"/>
      <c r="N37" s="128" t="n"/>
      <c r="O37" s="128" t="n"/>
      <c r="P37" s="128" t="n"/>
      <c r="Q37" s="128" t="n"/>
      <c r="R37" s="128" t="n"/>
      <c r="S37" s="128" t="n"/>
      <c r="T37" s="129" t="n"/>
      <c r="U37" s="128" t="n"/>
      <c r="V37" s="128" t="n"/>
      <c r="W37" s="128" t="n"/>
      <c r="X37" s="128" t="n"/>
      <c r="Y37" s="128" t="n"/>
      <c r="Z37" s="128" t="n"/>
      <c r="AA37" s="129" t="n"/>
      <c r="AB37" s="128" t="n"/>
      <c r="AC37" s="128" t="n"/>
      <c r="AD37" s="128" t="n"/>
      <c r="AE37" s="128" t="n"/>
      <c r="AF37" s="128" t="n"/>
      <c r="AG37" s="128" t="n"/>
      <c r="AH37" s="129" t="n"/>
      <c r="AI37" s="128" t="n"/>
      <c r="AJ37" s="130">
        <f>IF(ISBLANK(B37), "", IF(ISNUMBER(D37), IF(D37&gt;0, (COUNTIF(E37:AI37, "✓") + COUNTIF(E37:AI37, "✔") + COUNTIF(E37:AI37, "v") + COUNTIF(E37:AI37, "V"))/D37, 0), IF(((COUNTIF(E37:AI37, "✓") + COUNTIF(E37:AI37, "✔") + COUNTIF(E37:AI37, "v") + COUNTIF(E37:AI37, "V")) + COUNTIF(E37:AI37, "✗") + COUNTIF(E37:AI37, "x") + COUNTIF(E37:AI37, "X"))&gt;0, (COUNTIF(E37:AI37, "✓") + COUNTIF(E37:AI37, "✔") + COUNTIF(E37:AI37, "v") + COUNTIF(E37:AI37, "V"))/((COUNTIF(E37:AI37, "✓") + COUNTIF(E37:AI37, "✔") + COUNTIF(E37:AI37, "v") + COUNTIF(E37:AI37, "V")) + COUNTIF(E37:AI37, "✗") + COUNTIF(E37:AI37, "x") + COUNTIF(E37:AI37, "X")), "")))</f>
        <v/>
      </c>
      <c r="AK37" s="131">
        <f>IF(ISBLANK(B37), "", IF(ISNUMBER(D37), IF(D37&gt;0, (COUNTIF(E37:AI37, "✓") + COUNTIF(E37:AI37, "✔") + COUNTIF(E37:AI37, "v") + COUNTIF(E37:AI37, "V")) &amp; "/" &amp; D37, (COUNTIF(E37:AI37, "✓") + COUNTIF(E37:AI37, "✔") + COUNTIF(E37:AI37, "v") + COUNTIF(E37:AI37, "V")) &amp; "/0"), IF(((COUNTIF(E37:AI37, "✓") + COUNTIF(E37:AI37, "✔") + COUNTIF(E37:AI37, "v") + COUNTIF(E37:AI37, "V")) + COUNTIF(E37:AI37, "✗") + COUNTIF(E37:AI37, "x") + COUNTIF(E37:AI37, "X"))&gt;0, (COUNTIF(E37:AI37, "✓") + COUNTIF(E37:AI37, "✔") + COUNTIF(E37:AI37, "v") + COUNTIF(E37:AI37, "V")) &amp; "/" &amp; ((COUNTIF(E37:AI37, "✓") + COUNTIF(E37:AI37, "✔") + COUNTIF(E37:AI37, "v") + COUNTIF(E37:AI37, "V")) + COUNTIF(E37:AI37, "✗") + COUNTIF(E37:AI37, "x") + COUNTIF(E37:AI37, "X")), "")))</f>
        <v/>
      </c>
      <c r="AL37" s="131">
        <f>IF(ISBLANK(B37), "", IF(AJ37&gt;=0.85, "🔥 Mastered", IF(AJ37&gt;=0.7, "⚡ Consistent", "⚠️ Needs Focus")))</f>
        <v/>
      </c>
      <c r="AM37">
        <f>COUNTIF(E37:AI37, "✓")</f>
        <v/>
      </c>
    </row>
    <row r="38" ht="18" customHeight="1">
      <c r="A38" s="132" t="inlineStr">
        <is>
          <t>DAILY TOTAL SCORE</t>
        </is>
      </c>
      <c r="B38" s="54" t="n"/>
      <c r="C38" s="54" t="n"/>
      <c r="D38" s="54" t="n"/>
      <c r="E38" s="33">
        <f>IF(((COUNTIF(E18:E37, "✓") + COUNTIF(E18:E37, "✔") + COUNTIF(E18:E37, "v") + COUNTIF(E18:E37, "V")) + COUNTIF(E18:E37, "✗") + COUNTIF(E18:E37, "x") + COUNTIF(E18:E37, "X")) &gt; 0, (COUNTIF(E18:E37, "✓") + COUNTIF(E18:E37, "✔") + COUNTIF(E18:E37, "v") + COUNTIF(E18:E37, "V")) &amp; "/" &amp; ((COUNTIF(E18:E37, "✓") + COUNTIF(E18:E37, "✔") + COUNTIF(E18:E37, "v") + COUNTIF(E18:E37, "V")) + COUNTIF(E18:E37, "✗") + COUNTIF(E18:E37, "x") + COUNTIF(E18:E37, "X")), "")</f>
        <v/>
      </c>
      <c r="F38" s="33">
        <f>IF(((COUNTIF(F18:F37, "✓") + COUNTIF(F18:F37, "✔") + COUNTIF(F18:F37, "v") + COUNTIF(F18:F37, "V")) + COUNTIF(F18:F37, "✗") + COUNTIF(F18:F37, "x") + COUNTIF(F18:F37, "X")) &gt; 0, (COUNTIF(F18:F37, "✓") + COUNTIF(F18:F37, "✔") + COUNTIF(F18:F37, "v") + COUNTIF(F18:F37, "V")) &amp; "/" &amp; ((COUNTIF(F18:F37, "✓") + COUNTIF(F18:F37, "✔") + COUNTIF(F18:F37, "v") + COUNTIF(F18:F37, "V")) + COUNTIF(F18:F37, "✗") + COUNTIF(F18:F37, "x") + COUNTIF(F18:F37, "X")), "")</f>
        <v/>
      </c>
      <c r="G38" s="33">
        <f>IF(((COUNTIF(G18:G37, "✓") + COUNTIF(G18:G37, "✔") + COUNTIF(G18:G37, "v") + COUNTIF(G18:G37, "V")) + COUNTIF(G18:G37, "✗") + COUNTIF(G18:G37, "x") + COUNTIF(G18:G37, "X")) &gt; 0, (COUNTIF(G18:G37, "✓") + COUNTIF(G18:G37, "✔") + COUNTIF(G18:G37, "v") + COUNTIF(G18:G37, "V")) &amp; "/" &amp; ((COUNTIF(G18:G37, "✓") + COUNTIF(G18:G37, "✔") + COUNTIF(G18:G37, "v") + COUNTIF(G18:G37, "V")) + COUNTIF(G18:G37, "✗") + COUNTIF(G18:G37, "x") + COUNTIF(G18:G37, "X")), "")</f>
        <v/>
      </c>
      <c r="H38" s="33">
        <f>IF(((COUNTIF(H18:H37, "✓") + COUNTIF(H18:H37, "✔") + COUNTIF(H18:H37, "v") + COUNTIF(H18:H37, "V")) + COUNTIF(H18:H37, "✗") + COUNTIF(H18:H37, "x") + COUNTIF(H18:H37, "X")) &gt; 0, (COUNTIF(H18:H37, "✓") + COUNTIF(H18:H37, "✔") + COUNTIF(H18:H37, "v") + COUNTIF(H18:H37, "V")) &amp; "/" &amp; ((COUNTIF(H18:H37, "✓") + COUNTIF(H18:H37, "✔") + COUNTIF(H18:H37, "v") + COUNTIF(H18:H37, "V")) + COUNTIF(H18:H37, "✗") + COUNTIF(H18:H37, "x") + COUNTIF(H18:H37, "X")), "")</f>
        <v/>
      </c>
      <c r="I38" s="33">
        <f>IF(((COUNTIF(I18:I37, "✓") + COUNTIF(I18:I37, "✔") + COUNTIF(I18:I37, "v") + COUNTIF(I18:I37, "V")) + COUNTIF(I18:I37, "✗") + COUNTIF(I18:I37, "x") + COUNTIF(I18:I37, "X")) &gt; 0, (COUNTIF(I18:I37, "✓") + COUNTIF(I18:I37, "✔") + COUNTIF(I18:I37, "v") + COUNTIF(I18:I37, "V")) &amp; "/" &amp; ((COUNTIF(I18:I37, "✓") + COUNTIF(I18:I37, "✔") + COUNTIF(I18:I37, "v") + COUNTIF(I18:I37, "V")) + COUNTIF(I18:I37, "✗") + COUNTIF(I18:I37, "x") + COUNTIF(I18:I37, "X")), "")</f>
        <v/>
      </c>
      <c r="J38" s="33">
        <f>IF(((COUNTIF(J18:J37, "✓") + COUNTIF(J18:J37, "✔") + COUNTIF(J18:J37, "v") + COUNTIF(J18:J37, "V")) + COUNTIF(J18:J37, "✗") + COUNTIF(J18:J37, "x") + COUNTIF(J18:J37, "X")) &gt; 0, (COUNTIF(J18:J37, "✓") + COUNTIF(J18:J37, "✔") + COUNTIF(J18:J37, "v") + COUNTIF(J18:J37, "V")) &amp; "/" &amp; ((COUNTIF(J18:J37, "✓") + COUNTIF(J18:J37, "✔") + COUNTIF(J18:J37, "v") + COUNTIF(J18:J37, "V")) + COUNTIF(J18:J37, "✗") + COUNTIF(J18:J37, "x") + COUNTIF(J18:J37, "X")), "")</f>
        <v/>
      </c>
      <c r="K38" s="33">
        <f>IF(((COUNTIF(K18:K37, "✓") + COUNTIF(K18:K37, "✔") + COUNTIF(K18:K37, "v") + COUNTIF(K18:K37, "V")) + COUNTIF(K18:K37, "✗") + COUNTIF(K18:K37, "x") + COUNTIF(K18:K37, "X")) &gt; 0, (COUNTIF(K18:K37, "✓") + COUNTIF(K18:K37, "✔") + COUNTIF(K18:K37, "v") + COUNTIF(K18:K37, "V")) &amp; "/" &amp; ((COUNTIF(K18:K37, "✓") + COUNTIF(K18:K37, "✔") + COUNTIF(K18:K37, "v") + COUNTIF(K18:K37, "V")) + COUNTIF(K18:K37, "✗") + COUNTIF(K18:K37, "x") + COUNTIF(K18:K37, "X")), "")</f>
        <v/>
      </c>
      <c r="L38" s="33">
        <f>IF(((COUNTIF(L18:L37, "✓") + COUNTIF(L18:L37, "✔") + COUNTIF(L18:L37, "v") + COUNTIF(L18:L37, "V")) + COUNTIF(L18:L37, "✗") + COUNTIF(L18:L37, "x") + COUNTIF(L18:L37, "X")) &gt; 0, (COUNTIF(L18:L37, "✓") + COUNTIF(L18:L37, "✔") + COUNTIF(L18:L37, "v") + COUNTIF(L18:L37, "V")) &amp; "/" &amp; ((COUNTIF(L18:L37, "✓") + COUNTIF(L18:L37, "✔") + COUNTIF(L18:L37, "v") + COUNTIF(L18:L37, "V")) + COUNTIF(L18:L37, "✗") + COUNTIF(L18:L37, "x") + COUNTIF(L18:L37, "X")), "")</f>
        <v/>
      </c>
      <c r="M38" s="33">
        <f>IF(((COUNTIF(M18:M37, "✓") + COUNTIF(M18:M37, "✔") + COUNTIF(M18:M37, "v") + COUNTIF(M18:M37, "V")) + COUNTIF(M18:M37, "✗") + COUNTIF(M18:M37, "x") + COUNTIF(M18:M37, "X")) &gt; 0, (COUNTIF(M18:M37, "✓") + COUNTIF(M18:M37, "✔") + COUNTIF(M18:M37, "v") + COUNTIF(M18:M37, "V")) &amp; "/" &amp; ((COUNTIF(M18:M37, "✓") + COUNTIF(M18:M37, "✔") + COUNTIF(M18:M37, "v") + COUNTIF(M18:M37, "V")) + COUNTIF(M18:M37, "✗") + COUNTIF(M18:M37, "x") + COUNTIF(M18:M37, "X")), "")</f>
        <v/>
      </c>
      <c r="N38" s="33">
        <f>IF(((COUNTIF(N18:N37, "✓") + COUNTIF(N18:N37, "✔") + COUNTIF(N18:N37, "v") + COUNTIF(N18:N37, "V")) + COUNTIF(N18:N37, "✗") + COUNTIF(N18:N37, "x") + COUNTIF(N18:N37, "X")) &gt; 0, (COUNTIF(N18:N37, "✓") + COUNTIF(N18:N37, "✔") + COUNTIF(N18:N37, "v") + COUNTIF(N18:N37, "V")) &amp; "/" &amp; ((COUNTIF(N18:N37, "✓") + COUNTIF(N18:N37, "✔") + COUNTIF(N18:N37, "v") + COUNTIF(N18:N37, "V")) + COUNTIF(N18:N37, "✗") + COUNTIF(N18:N37, "x") + COUNTIF(N18:N37, "X")), "")</f>
        <v/>
      </c>
      <c r="O38" s="33">
        <f>IF(((COUNTIF(O18:O37, "✓") + COUNTIF(O18:O37, "✔") + COUNTIF(O18:O37, "v") + COUNTIF(O18:O37, "V")) + COUNTIF(O18:O37, "✗") + COUNTIF(O18:O37, "x") + COUNTIF(O18:O37, "X")) &gt; 0, (COUNTIF(O18:O37, "✓") + COUNTIF(O18:O37, "✔") + COUNTIF(O18:O37, "v") + COUNTIF(O18:O37, "V")) &amp; "/" &amp; ((COUNTIF(O18:O37, "✓") + COUNTIF(O18:O37, "✔") + COUNTIF(O18:O37, "v") + COUNTIF(O18:O37, "V")) + COUNTIF(O18:O37, "✗") + COUNTIF(O18:O37, "x") + COUNTIF(O18:O37, "X")), "")</f>
        <v/>
      </c>
      <c r="P38" s="33">
        <f>IF(((COUNTIF(P18:P37, "✓") + COUNTIF(P18:P37, "✔") + COUNTIF(P18:P37, "v") + COUNTIF(P18:P37, "V")) + COUNTIF(P18:P37, "✗") + COUNTIF(P18:P37, "x") + COUNTIF(P18:P37, "X")) &gt; 0, (COUNTIF(P18:P37, "✓") + COUNTIF(P18:P37, "✔") + COUNTIF(P18:P37, "v") + COUNTIF(P18:P37, "V")) &amp; "/" &amp; ((COUNTIF(P18:P37, "✓") + COUNTIF(P18:P37, "✔") + COUNTIF(P18:P37, "v") + COUNTIF(P18:P37, "V")) + COUNTIF(P18:P37, "✗") + COUNTIF(P18:P37, "x") + COUNTIF(P18:P37, "X")), "")</f>
        <v/>
      </c>
      <c r="Q38" s="33">
        <f>IF(((COUNTIF(Q18:Q37, "✓") + COUNTIF(Q18:Q37, "✔") + COUNTIF(Q18:Q37, "v") + COUNTIF(Q18:Q37, "V")) + COUNTIF(Q18:Q37, "✗") + COUNTIF(Q18:Q37, "x") + COUNTIF(Q18:Q37, "X")) &gt; 0, (COUNTIF(Q18:Q37, "✓") + COUNTIF(Q18:Q37, "✔") + COUNTIF(Q18:Q37, "v") + COUNTIF(Q18:Q37, "V")) &amp; "/" &amp; ((COUNTIF(Q18:Q37, "✓") + COUNTIF(Q18:Q37, "✔") + COUNTIF(Q18:Q37, "v") + COUNTIF(Q18:Q37, "V")) + COUNTIF(Q18:Q37, "✗") + COUNTIF(Q18:Q37, "x") + COUNTIF(Q18:Q37, "X")), "")</f>
        <v/>
      </c>
      <c r="R38" s="33">
        <f>IF(((COUNTIF(R18:R37, "✓") + COUNTIF(R18:R37, "✔") + COUNTIF(R18:R37, "v") + COUNTIF(R18:R37, "V")) + COUNTIF(R18:R37, "✗") + COUNTIF(R18:R37, "x") + COUNTIF(R18:R37, "X")) &gt; 0, (COUNTIF(R18:R37, "✓") + COUNTIF(R18:R37, "✔") + COUNTIF(R18:R37, "v") + COUNTIF(R18:R37, "V")) &amp; "/" &amp; ((COUNTIF(R18:R37, "✓") + COUNTIF(R18:R37, "✔") + COUNTIF(R18:R37, "v") + COUNTIF(R18:R37, "V")) + COUNTIF(R18:R37, "✗") + COUNTIF(R18:R37, "x") + COUNTIF(R18:R37, "X")), "")</f>
        <v/>
      </c>
      <c r="S38" s="33">
        <f>IF(((COUNTIF(S18:S37, "✓") + COUNTIF(S18:S37, "✔") + COUNTIF(S18:S37, "v") + COUNTIF(S18:S37, "V")) + COUNTIF(S18:S37, "✗") + COUNTIF(S18:S37, "x") + COUNTIF(S18:S37, "X")) &gt; 0, (COUNTIF(S18:S37, "✓") + COUNTIF(S18:S37, "✔") + COUNTIF(S18:S37, "v") + COUNTIF(S18:S37, "V")) &amp; "/" &amp; ((COUNTIF(S18:S37, "✓") + COUNTIF(S18:S37, "✔") + COUNTIF(S18:S37, "v") + COUNTIF(S18:S37, "V")) + COUNTIF(S18:S37, "✗") + COUNTIF(S18:S37, "x") + COUNTIF(S18:S37, "X")), "")</f>
        <v/>
      </c>
      <c r="T38" s="33">
        <f>IF(((COUNTIF(T18:T37, "✓") + COUNTIF(T18:T37, "✔") + COUNTIF(T18:T37, "v") + COUNTIF(T18:T37, "V")) + COUNTIF(T18:T37, "✗") + COUNTIF(T18:T37, "x") + COUNTIF(T18:T37, "X")) &gt; 0, (COUNTIF(T18:T37, "✓") + COUNTIF(T18:T37, "✔") + COUNTIF(T18:T37, "v") + COUNTIF(T18:T37, "V")) &amp; "/" &amp; ((COUNTIF(T18:T37, "✓") + COUNTIF(T18:T37, "✔") + COUNTIF(T18:T37, "v") + COUNTIF(T18:T37, "V")) + COUNTIF(T18:T37, "✗") + COUNTIF(T18:T37, "x") + COUNTIF(T18:T37, "X")), "")</f>
        <v/>
      </c>
      <c r="U38" s="33">
        <f>IF(((COUNTIF(U18:U37, "✓") + COUNTIF(U18:U37, "✔") + COUNTIF(U18:U37, "v") + COUNTIF(U18:U37, "V")) + COUNTIF(U18:U37, "✗") + COUNTIF(U18:U37, "x") + COUNTIF(U18:U37, "X")) &gt; 0, (COUNTIF(U18:U37, "✓") + COUNTIF(U18:U37, "✔") + COUNTIF(U18:U37, "v") + COUNTIF(U18:U37, "V")) &amp; "/" &amp; ((COUNTIF(U18:U37, "✓") + COUNTIF(U18:U37, "✔") + COUNTIF(U18:U37, "v") + COUNTIF(U18:U37, "V")) + COUNTIF(U18:U37, "✗") + COUNTIF(U18:U37, "x") + COUNTIF(U18:U37, "X")), "")</f>
        <v/>
      </c>
      <c r="V38" s="33">
        <f>IF(((COUNTIF(V18:V37, "✓") + COUNTIF(V18:V37, "✔") + COUNTIF(V18:V37, "v") + COUNTIF(V18:V37, "V")) + COUNTIF(V18:V37, "✗") + COUNTIF(V18:V37, "x") + COUNTIF(V18:V37, "X")) &gt; 0, (COUNTIF(V18:V37, "✓") + COUNTIF(V18:V37, "✔") + COUNTIF(V18:V37, "v") + COUNTIF(V18:V37, "V")) &amp; "/" &amp; ((COUNTIF(V18:V37, "✓") + COUNTIF(V18:V37, "✔") + COUNTIF(V18:V37, "v") + COUNTIF(V18:V37, "V")) + COUNTIF(V18:V37, "✗") + COUNTIF(V18:V37, "x") + COUNTIF(V18:V37, "X")), "")</f>
        <v/>
      </c>
      <c r="W38" s="33">
        <f>IF(((COUNTIF(W18:W37, "✓") + COUNTIF(W18:W37, "✔") + COUNTIF(W18:W37, "v") + COUNTIF(W18:W37, "V")) + COUNTIF(W18:W37, "✗") + COUNTIF(W18:W37, "x") + COUNTIF(W18:W37, "X")) &gt; 0, (COUNTIF(W18:W37, "✓") + COUNTIF(W18:W37, "✔") + COUNTIF(W18:W37, "v") + COUNTIF(W18:W37, "V")) &amp; "/" &amp; ((COUNTIF(W18:W37, "✓") + COUNTIF(W18:W37, "✔") + COUNTIF(W18:W37, "v") + COUNTIF(W18:W37, "V")) + COUNTIF(W18:W37, "✗") + COUNTIF(W18:W37, "x") + COUNTIF(W18:W37, "X")), "")</f>
        <v/>
      </c>
      <c r="X38" s="33">
        <f>IF(((COUNTIF(X18:X37, "✓") + COUNTIF(X18:X37, "✔") + COUNTIF(X18:X37, "v") + COUNTIF(X18:X37, "V")) + COUNTIF(X18:X37, "✗") + COUNTIF(X18:X37, "x") + COUNTIF(X18:X37, "X")) &gt; 0, (COUNTIF(X18:X37, "✓") + COUNTIF(X18:X37, "✔") + COUNTIF(X18:X37, "v") + COUNTIF(X18:X37, "V")) &amp; "/" &amp; ((COUNTIF(X18:X37, "✓") + COUNTIF(X18:X37, "✔") + COUNTIF(X18:X37, "v") + COUNTIF(X18:X37, "V")) + COUNTIF(X18:X37, "✗") + COUNTIF(X18:X37, "x") + COUNTIF(X18:X37, "X")), "")</f>
        <v/>
      </c>
      <c r="Y38" s="33">
        <f>IF(((COUNTIF(Y18:Y37, "✓") + COUNTIF(Y18:Y37, "✔") + COUNTIF(Y18:Y37, "v") + COUNTIF(Y18:Y37, "V")) + COUNTIF(Y18:Y37, "✗") + COUNTIF(Y18:Y37, "x") + COUNTIF(Y18:Y37, "X")) &gt; 0, (COUNTIF(Y18:Y37, "✓") + COUNTIF(Y18:Y37, "✔") + COUNTIF(Y18:Y37, "v") + COUNTIF(Y18:Y37, "V")) &amp; "/" &amp; ((COUNTIF(Y18:Y37, "✓") + COUNTIF(Y18:Y37, "✔") + COUNTIF(Y18:Y37, "v") + COUNTIF(Y18:Y37, "V")) + COUNTIF(Y18:Y37, "✗") + COUNTIF(Y18:Y37, "x") + COUNTIF(Y18:Y37, "X")), "")</f>
        <v/>
      </c>
      <c r="Z38" s="33">
        <f>IF(((COUNTIF(Z18:Z37, "✓") + COUNTIF(Z18:Z37, "✔") + COUNTIF(Z18:Z37, "v") + COUNTIF(Z18:Z37, "V")) + COUNTIF(Z18:Z37, "✗") + COUNTIF(Z18:Z37, "x") + COUNTIF(Z18:Z37, "X")) &gt; 0, (COUNTIF(Z18:Z37, "✓") + COUNTIF(Z18:Z37, "✔") + COUNTIF(Z18:Z37, "v") + COUNTIF(Z18:Z37, "V")) &amp; "/" &amp; ((COUNTIF(Z18:Z37, "✓") + COUNTIF(Z18:Z37, "✔") + COUNTIF(Z18:Z37, "v") + COUNTIF(Z18:Z37, "V")) + COUNTIF(Z18:Z37, "✗") + COUNTIF(Z18:Z37, "x") + COUNTIF(Z18:Z37, "X")), "")</f>
        <v/>
      </c>
      <c r="AA38" s="33">
        <f>IF(((COUNTIF(AA18:AA37, "✓") + COUNTIF(AA18:AA37, "✔") + COUNTIF(AA18:AA37, "v") + COUNTIF(AA18:AA37, "V")) + COUNTIF(AA18:AA37, "✗") + COUNTIF(AA18:AA37, "x") + COUNTIF(AA18:AA37, "X")) &gt; 0, (COUNTIF(AA18:AA37, "✓") + COUNTIF(AA18:AA37, "✔") + COUNTIF(AA18:AA37, "v") + COUNTIF(AA18:AA37, "V")) &amp; "/" &amp; ((COUNTIF(AA18:AA37, "✓") + COUNTIF(AA18:AA37, "✔") + COUNTIF(AA18:AA37, "v") + COUNTIF(AA18:AA37, "V")) + COUNTIF(AA18:AA37, "✗") + COUNTIF(AA18:AA37, "x") + COUNTIF(AA18:AA37, "X")), "")</f>
        <v/>
      </c>
      <c r="AB38" s="33">
        <f>IF(((COUNTIF(AB18:AB37, "✓") + COUNTIF(AB18:AB37, "✔") + COUNTIF(AB18:AB37, "v") + COUNTIF(AB18:AB37, "V")) + COUNTIF(AB18:AB37, "✗") + COUNTIF(AB18:AB37, "x") + COUNTIF(AB18:AB37, "X")) &gt; 0, (COUNTIF(AB18:AB37, "✓") + COUNTIF(AB18:AB37, "✔") + COUNTIF(AB18:AB37, "v") + COUNTIF(AB18:AB37, "V")) &amp; "/" &amp; ((COUNTIF(AB18:AB37, "✓") + COUNTIF(AB18:AB37, "✔") + COUNTIF(AB18:AB37, "v") + COUNTIF(AB18:AB37, "V")) + COUNTIF(AB18:AB37, "✗") + COUNTIF(AB18:AB37, "x") + COUNTIF(AB18:AB37, "X")), "")</f>
        <v/>
      </c>
      <c r="AC38" s="33">
        <f>IF(((COUNTIF(AC18:AC37, "✓") + COUNTIF(AC18:AC37, "✔") + COUNTIF(AC18:AC37, "v") + COUNTIF(AC18:AC37, "V")) + COUNTIF(AC18:AC37, "✗") + COUNTIF(AC18:AC37, "x") + COUNTIF(AC18:AC37, "X")) &gt; 0, (COUNTIF(AC18:AC37, "✓") + COUNTIF(AC18:AC37, "✔") + COUNTIF(AC18:AC37, "v") + COUNTIF(AC18:AC37, "V")) &amp; "/" &amp; ((COUNTIF(AC18:AC37, "✓") + COUNTIF(AC18:AC37, "✔") + COUNTIF(AC18:AC37, "v") + COUNTIF(AC18:AC37, "V")) + COUNTIF(AC18:AC37, "✗") + COUNTIF(AC18:AC37, "x") + COUNTIF(AC18:AC37, "X")), "")</f>
        <v/>
      </c>
      <c r="AD38" s="33">
        <f>IF(((COUNTIF(AD18:AD37, "✓") + COUNTIF(AD18:AD37, "✔") + COUNTIF(AD18:AD37, "v") + COUNTIF(AD18:AD37, "V")) + COUNTIF(AD18:AD37, "✗") + COUNTIF(AD18:AD37, "x") + COUNTIF(AD18:AD37, "X")) &gt; 0, (COUNTIF(AD18:AD37, "✓") + COUNTIF(AD18:AD37, "✔") + COUNTIF(AD18:AD37, "v") + COUNTIF(AD18:AD37, "V")) &amp; "/" &amp; ((COUNTIF(AD18:AD37, "✓") + COUNTIF(AD18:AD37, "✔") + COUNTIF(AD18:AD37, "v") + COUNTIF(AD18:AD37, "V")) + COUNTIF(AD18:AD37, "✗") + COUNTIF(AD18:AD37, "x") + COUNTIF(AD18:AD37, "X")), "")</f>
        <v/>
      </c>
      <c r="AE38" s="33">
        <f>IF(((COUNTIF(AE18:AE37, "✓") + COUNTIF(AE18:AE37, "✔") + COUNTIF(AE18:AE37, "v") + COUNTIF(AE18:AE37, "V")) + COUNTIF(AE18:AE37, "✗") + COUNTIF(AE18:AE37, "x") + COUNTIF(AE18:AE37, "X")) &gt; 0, (COUNTIF(AE18:AE37, "✓") + COUNTIF(AE18:AE37, "✔") + COUNTIF(AE18:AE37, "v") + COUNTIF(AE18:AE37, "V")) &amp; "/" &amp; ((COUNTIF(AE18:AE37, "✓") + COUNTIF(AE18:AE37, "✔") + COUNTIF(AE18:AE37, "v") + COUNTIF(AE18:AE37, "V")) + COUNTIF(AE18:AE37, "✗") + COUNTIF(AE18:AE37, "x") + COUNTIF(AE18:AE37, "X")), "")</f>
        <v/>
      </c>
      <c r="AF38" s="33">
        <f>IF(((COUNTIF(AF18:AF37, "✓") + COUNTIF(AF18:AF37, "✔") + COUNTIF(AF18:AF37, "v") + COUNTIF(AF18:AF37, "V")) + COUNTIF(AF18:AF37, "✗") + COUNTIF(AF18:AF37, "x") + COUNTIF(AF18:AF37, "X")) &gt; 0, (COUNTIF(AF18:AF37, "✓") + COUNTIF(AF18:AF37, "✔") + COUNTIF(AF18:AF37, "v") + COUNTIF(AF18:AF37, "V")) &amp; "/" &amp; ((COUNTIF(AF18:AF37, "✓") + COUNTIF(AF18:AF37, "✔") + COUNTIF(AF18:AF37, "v") + COUNTIF(AF18:AF37, "V")) + COUNTIF(AF18:AF37, "✗") + COUNTIF(AF18:AF37, "x") + COUNTIF(AF18:AF37, "X")), "")</f>
        <v/>
      </c>
      <c r="AG38" s="33">
        <f>IF(((COUNTIF(AG18:AG37, "✓") + COUNTIF(AG18:AG37, "✔") + COUNTIF(AG18:AG37, "v") + COUNTIF(AG18:AG37, "V")) + COUNTIF(AG18:AG37, "✗") + COUNTIF(AG18:AG37, "x") + COUNTIF(AG18:AG37, "X")) &gt; 0, (COUNTIF(AG18:AG37, "✓") + COUNTIF(AG18:AG37, "✔") + COUNTIF(AG18:AG37, "v") + COUNTIF(AG18:AG37, "V")) &amp; "/" &amp; ((COUNTIF(AG18:AG37, "✓") + COUNTIF(AG18:AG37, "✔") + COUNTIF(AG18:AG37, "v") + COUNTIF(AG18:AG37, "V")) + COUNTIF(AG18:AG37, "✗") + COUNTIF(AG18:AG37, "x") + COUNTIF(AG18:AG37, "X")), "")</f>
        <v/>
      </c>
      <c r="AH38" s="33">
        <f>IF(((COUNTIF(AH18:AH37, "✓") + COUNTIF(AH18:AH37, "✔") + COUNTIF(AH18:AH37, "v") + COUNTIF(AH18:AH37, "V")) + COUNTIF(AH18:AH37, "✗") + COUNTIF(AH18:AH37, "x") + COUNTIF(AH18:AH37, "X")) &gt; 0, (COUNTIF(AH18:AH37, "✓") + COUNTIF(AH18:AH37, "✔") + COUNTIF(AH18:AH37, "v") + COUNTIF(AH18:AH37, "V")) &amp; "/" &amp; ((COUNTIF(AH18:AH37, "✓") + COUNTIF(AH18:AH37, "✔") + COUNTIF(AH18:AH37, "v") + COUNTIF(AH18:AH37, "V")) + COUNTIF(AH18:AH37, "✗") + COUNTIF(AH18:AH37, "x") + COUNTIF(AH18:AH37, "X")), "")</f>
        <v/>
      </c>
      <c r="AI38" s="33">
        <f>IF(((COUNTIF(AI18:AI37, "✓") + COUNTIF(AI18:AI37, "✔") + COUNTIF(AI18:AI37, "v") + COUNTIF(AI18:AI37, "V")) + COUNTIF(AI18:AI37, "✗") + COUNTIF(AI18:AI37, "x") + COUNTIF(AI18:AI37, "X")) &gt; 0, (COUNTIF(AI18:AI37, "✓") + COUNTIF(AI18:AI37, "✔") + COUNTIF(AI18:AI37, "v") + COUNTIF(AI18:AI37, "V")) &amp; "/" &amp; ((COUNTIF(AI18:AI37, "✓") + COUNTIF(AI18:AI37, "✔") + COUNTIF(AI18:AI37, "v") + COUNTIF(AI18:AI37, "V")) + COUNTIF(AI18:AI37, "✗") + COUNTIF(AI18:AI37, "x") + COUNTIF(AI18:AI37, "X")), "")</f>
        <v/>
      </c>
      <c r="AJ38" s="133">
        <f>IF(SUM(D18:D37) &gt; 0, SUM(AM18:AM37) / SUM(D18:D37), "")</f>
        <v/>
      </c>
      <c r="AK38" s="33">
        <f>IF(SUM(D18:D37) &gt; 0, SUM(AM18:AM37) &amp; "/" &amp; SUM(D18:D37), "")</f>
        <v/>
      </c>
      <c r="AL38" s="54" t="n"/>
    </row>
    <row r="39" ht="18" customHeight="1">
      <c r="A39" s="132" t="inlineStr">
        <is>
          <t>DAILY SUCCESS %</t>
        </is>
      </c>
      <c r="B39" s="54" t="n"/>
      <c r="C39" s="54" t="n"/>
      <c r="D39" s="54" t="n"/>
      <c r="E39" s="134">
        <f>IF(((COUNTIF(E18:E37, "✓") + COUNTIF(E18:E37, "✔") + COUNTIF(E18:E37, "v") + COUNTIF(E18:E37, "V")) + COUNTIF(E18:E37, "✗") + COUNTIF(E18:E37, "x") + COUNTIF(E18:E37, "X")) &gt; 0, (COUNTIF(E18:E37, "✓") + COUNTIF(E18:E37, "✔") + COUNTIF(E18:E37, "v") + COUNTIF(E18:E37, "V")) / ((COUNTIF(E18:E37, "✓") + COUNTIF(E18:E37, "✔") + COUNTIF(E18:E37, "v") + COUNTIF(E18:E37, "V")) + COUNTIF(E18:E37, "✗") + COUNTIF(E18:E37, "x") + COUNTIF(E18:E37, "X")), "")</f>
        <v/>
      </c>
      <c r="F39" s="134">
        <f>IF(((COUNTIF(F18:F37, "✓") + COUNTIF(F18:F37, "✔") + COUNTIF(F18:F37, "v") + COUNTIF(F18:F37, "V")) + COUNTIF(F18:F37, "✗") + COUNTIF(F18:F37, "x") + COUNTIF(F18:F37, "X")) &gt; 0, (COUNTIF(F18:F37, "✓") + COUNTIF(F18:F37, "✔") + COUNTIF(F18:F37, "v") + COUNTIF(F18:F37, "V")) / ((COUNTIF(F18:F37, "✓") + COUNTIF(F18:F37, "✔") + COUNTIF(F18:F37, "v") + COUNTIF(F18:F37, "V")) + COUNTIF(F18:F37, "✗") + COUNTIF(F18:F37, "x") + COUNTIF(F18:F37, "X")), "")</f>
        <v/>
      </c>
      <c r="G39" s="134">
        <f>IF(((COUNTIF(G18:G37, "✓") + COUNTIF(G18:G37, "✔") + COUNTIF(G18:G37, "v") + COUNTIF(G18:G37, "V")) + COUNTIF(G18:G37, "✗") + COUNTIF(G18:G37, "x") + COUNTIF(G18:G37, "X")) &gt; 0, (COUNTIF(G18:G37, "✓") + COUNTIF(G18:G37, "✔") + COUNTIF(G18:G37, "v") + COUNTIF(G18:G37, "V")) / ((COUNTIF(G18:G37, "✓") + COUNTIF(G18:G37, "✔") + COUNTIF(G18:G37, "v") + COUNTIF(G18:G37, "V")) + COUNTIF(G18:G37, "✗") + COUNTIF(G18:G37, "x") + COUNTIF(G18:G37, "X")), "")</f>
        <v/>
      </c>
      <c r="H39" s="134">
        <f>IF(((COUNTIF(H18:H37, "✓") + COUNTIF(H18:H37, "✔") + COUNTIF(H18:H37, "v") + COUNTIF(H18:H37, "V")) + COUNTIF(H18:H37, "✗") + COUNTIF(H18:H37, "x") + COUNTIF(H18:H37, "X")) &gt; 0, (COUNTIF(H18:H37, "✓") + COUNTIF(H18:H37, "✔") + COUNTIF(H18:H37, "v") + COUNTIF(H18:H37, "V")) / ((COUNTIF(H18:H37, "✓") + COUNTIF(H18:H37, "✔") + COUNTIF(H18:H37, "v") + COUNTIF(H18:H37, "V")) + COUNTIF(H18:H37, "✗") + COUNTIF(H18:H37, "x") + COUNTIF(H18:H37, "X")), "")</f>
        <v/>
      </c>
      <c r="I39" s="134">
        <f>IF(((COUNTIF(I18:I37, "✓") + COUNTIF(I18:I37, "✔") + COUNTIF(I18:I37, "v") + COUNTIF(I18:I37, "V")) + COUNTIF(I18:I37, "✗") + COUNTIF(I18:I37, "x") + COUNTIF(I18:I37, "X")) &gt; 0, (COUNTIF(I18:I37, "✓") + COUNTIF(I18:I37, "✔") + COUNTIF(I18:I37, "v") + COUNTIF(I18:I37, "V")) / ((COUNTIF(I18:I37, "✓") + COUNTIF(I18:I37, "✔") + COUNTIF(I18:I37, "v") + COUNTIF(I18:I37, "V")) + COUNTIF(I18:I37, "✗") + COUNTIF(I18:I37, "x") + COUNTIF(I18:I37, "X")), "")</f>
        <v/>
      </c>
      <c r="J39" s="134">
        <f>IF(((COUNTIF(J18:J37, "✓") + COUNTIF(J18:J37, "✔") + COUNTIF(J18:J37, "v") + COUNTIF(J18:J37, "V")) + COUNTIF(J18:J37, "✗") + COUNTIF(J18:J37, "x") + COUNTIF(J18:J37, "X")) &gt; 0, (COUNTIF(J18:J37, "✓") + COUNTIF(J18:J37, "✔") + COUNTIF(J18:J37, "v") + COUNTIF(J18:J37, "V")) / ((COUNTIF(J18:J37, "✓") + COUNTIF(J18:J37, "✔") + COUNTIF(J18:J37, "v") + COUNTIF(J18:J37, "V")) + COUNTIF(J18:J37, "✗") + COUNTIF(J18:J37, "x") + COUNTIF(J18:J37, "X")), "")</f>
        <v/>
      </c>
      <c r="K39" s="134">
        <f>IF(((COUNTIF(K18:K37, "✓") + COUNTIF(K18:K37, "✔") + COUNTIF(K18:K37, "v") + COUNTIF(K18:K37, "V")) + COUNTIF(K18:K37, "✗") + COUNTIF(K18:K37, "x") + COUNTIF(K18:K37, "X")) &gt; 0, (COUNTIF(K18:K37, "✓") + COUNTIF(K18:K37, "✔") + COUNTIF(K18:K37, "v") + COUNTIF(K18:K37, "V")) / ((COUNTIF(K18:K37, "✓") + COUNTIF(K18:K37, "✔") + COUNTIF(K18:K37, "v") + COUNTIF(K18:K37, "V")) + COUNTIF(K18:K37, "✗") + COUNTIF(K18:K37, "x") + COUNTIF(K18:K37, "X")), "")</f>
        <v/>
      </c>
      <c r="L39" s="134">
        <f>IF(((COUNTIF(L18:L37, "✓") + COUNTIF(L18:L37, "✔") + COUNTIF(L18:L37, "v") + COUNTIF(L18:L37, "V")) + COUNTIF(L18:L37, "✗") + COUNTIF(L18:L37, "x") + COUNTIF(L18:L37, "X")) &gt; 0, (COUNTIF(L18:L37, "✓") + COUNTIF(L18:L37, "✔") + COUNTIF(L18:L37, "v") + COUNTIF(L18:L37, "V")) / ((COUNTIF(L18:L37, "✓") + COUNTIF(L18:L37, "✔") + COUNTIF(L18:L37, "v") + COUNTIF(L18:L37, "V")) + COUNTIF(L18:L37, "✗") + COUNTIF(L18:L37, "x") + COUNTIF(L18:L37, "X")), "")</f>
        <v/>
      </c>
      <c r="M39" s="134">
        <f>IF(((COUNTIF(M18:M37, "✓") + COUNTIF(M18:M37, "✔") + COUNTIF(M18:M37, "v") + COUNTIF(M18:M37, "V")) + COUNTIF(M18:M37, "✗") + COUNTIF(M18:M37, "x") + COUNTIF(M18:M37, "X")) &gt; 0, (COUNTIF(M18:M37, "✓") + COUNTIF(M18:M37, "✔") + COUNTIF(M18:M37, "v") + COUNTIF(M18:M37, "V")) / ((COUNTIF(M18:M37, "✓") + COUNTIF(M18:M37, "✔") + COUNTIF(M18:M37, "v") + COUNTIF(M18:M37, "V")) + COUNTIF(M18:M37, "✗") + COUNTIF(M18:M37, "x") + COUNTIF(M18:M37, "X")), "")</f>
        <v/>
      </c>
      <c r="N39" s="134">
        <f>IF(((COUNTIF(N18:N37, "✓") + COUNTIF(N18:N37, "✔") + COUNTIF(N18:N37, "v") + COUNTIF(N18:N37, "V")) + COUNTIF(N18:N37, "✗") + COUNTIF(N18:N37, "x") + COUNTIF(N18:N37, "X")) &gt; 0, (COUNTIF(N18:N37, "✓") + COUNTIF(N18:N37, "✔") + COUNTIF(N18:N37, "v") + COUNTIF(N18:N37, "V")) / ((COUNTIF(N18:N37, "✓") + COUNTIF(N18:N37, "✔") + COUNTIF(N18:N37, "v") + COUNTIF(N18:N37, "V")) + COUNTIF(N18:N37, "✗") + COUNTIF(N18:N37, "x") + COUNTIF(N18:N37, "X")), "")</f>
        <v/>
      </c>
      <c r="O39" s="134">
        <f>IF(((COUNTIF(O18:O37, "✓") + COUNTIF(O18:O37, "✔") + COUNTIF(O18:O37, "v") + COUNTIF(O18:O37, "V")) + COUNTIF(O18:O37, "✗") + COUNTIF(O18:O37, "x") + COUNTIF(O18:O37, "X")) &gt; 0, (COUNTIF(O18:O37, "✓") + COUNTIF(O18:O37, "✔") + COUNTIF(O18:O37, "v") + COUNTIF(O18:O37, "V")) / ((COUNTIF(O18:O37, "✓") + COUNTIF(O18:O37, "✔") + COUNTIF(O18:O37, "v") + COUNTIF(O18:O37, "V")) + COUNTIF(O18:O37, "✗") + COUNTIF(O18:O37, "x") + COUNTIF(O18:O37, "X")), "")</f>
        <v/>
      </c>
      <c r="P39" s="134">
        <f>IF(((COUNTIF(P18:P37, "✓") + COUNTIF(P18:P37, "✔") + COUNTIF(P18:P37, "v") + COUNTIF(P18:P37, "V")) + COUNTIF(P18:P37, "✗") + COUNTIF(P18:P37, "x") + COUNTIF(P18:P37, "X")) &gt; 0, (COUNTIF(P18:P37, "✓") + COUNTIF(P18:P37, "✔") + COUNTIF(P18:P37, "v") + COUNTIF(P18:P37, "V")) / ((COUNTIF(P18:P37, "✓") + COUNTIF(P18:P37, "✔") + COUNTIF(P18:P37, "v") + COUNTIF(P18:P37, "V")) + COUNTIF(P18:P37, "✗") + COUNTIF(P18:P37, "x") + COUNTIF(P18:P37, "X")), "")</f>
        <v/>
      </c>
      <c r="Q39" s="134">
        <f>IF(((COUNTIF(Q18:Q37, "✓") + COUNTIF(Q18:Q37, "✔") + COUNTIF(Q18:Q37, "v") + COUNTIF(Q18:Q37, "V")) + COUNTIF(Q18:Q37, "✗") + COUNTIF(Q18:Q37, "x") + COUNTIF(Q18:Q37, "X")) &gt; 0, (COUNTIF(Q18:Q37, "✓") + COUNTIF(Q18:Q37, "✔") + COUNTIF(Q18:Q37, "v") + COUNTIF(Q18:Q37, "V")) / ((COUNTIF(Q18:Q37, "✓") + COUNTIF(Q18:Q37, "✔") + COUNTIF(Q18:Q37, "v") + COUNTIF(Q18:Q37, "V")) + COUNTIF(Q18:Q37, "✗") + COUNTIF(Q18:Q37, "x") + COUNTIF(Q18:Q37, "X")), "")</f>
        <v/>
      </c>
      <c r="R39" s="134">
        <f>IF(((COUNTIF(R18:R37, "✓") + COUNTIF(R18:R37, "✔") + COUNTIF(R18:R37, "v") + COUNTIF(R18:R37, "V")) + COUNTIF(R18:R37, "✗") + COUNTIF(R18:R37, "x") + COUNTIF(R18:R37, "X")) &gt; 0, (COUNTIF(R18:R37, "✓") + COUNTIF(R18:R37, "✔") + COUNTIF(R18:R37, "v") + COUNTIF(R18:R37, "V")) / ((COUNTIF(R18:R37, "✓") + COUNTIF(R18:R37, "✔") + COUNTIF(R18:R37, "v") + COUNTIF(R18:R37, "V")) + COUNTIF(R18:R37, "✗") + COUNTIF(R18:R37, "x") + COUNTIF(R18:R37, "X")), "")</f>
        <v/>
      </c>
      <c r="S39" s="134">
        <f>IF(((COUNTIF(S18:S37, "✓") + COUNTIF(S18:S37, "✔") + COUNTIF(S18:S37, "v") + COUNTIF(S18:S37, "V")) + COUNTIF(S18:S37, "✗") + COUNTIF(S18:S37, "x") + COUNTIF(S18:S37, "X")) &gt; 0, (COUNTIF(S18:S37, "✓") + COUNTIF(S18:S37, "✔") + COUNTIF(S18:S37, "v") + COUNTIF(S18:S37, "V")) / ((COUNTIF(S18:S37, "✓") + COUNTIF(S18:S37, "✔") + COUNTIF(S18:S37, "v") + COUNTIF(S18:S37, "V")) + COUNTIF(S18:S37, "✗") + COUNTIF(S18:S37, "x") + COUNTIF(S18:S37, "X")), "")</f>
        <v/>
      </c>
      <c r="T39" s="134">
        <f>IF(((COUNTIF(T18:T37, "✓") + COUNTIF(T18:T37, "✔") + COUNTIF(T18:T37, "v") + COUNTIF(T18:T37, "V")) + COUNTIF(T18:T37, "✗") + COUNTIF(T18:T37, "x") + COUNTIF(T18:T37, "X")) &gt; 0, (COUNTIF(T18:T37, "✓") + COUNTIF(T18:T37, "✔") + COUNTIF(T18:T37, "v") + COUNTIF(T18:T37, "V")) / ((COUNTIF(T18:T37, "✓") + COUNTIF(T18:T37, "✔") + COUNTIF(T18:T37, "v") + COUNTIF(T18:T37, "V")) + COUNTIF(T18:T37, "✗") + COUNTIF(T18:T37, "x") + COUNTIF(T18:T37, "X")), "")</f>
        <v/>
      </c>
      <c r="U39" s="134">
        <f>IF(((COUNTIF(U18:U37, "✓") + COUNTIF(U18:U37, "✔") + COUNTIF(U18:U37, "v") + COUNTIF(U18:U37, "V")) + COUNTIF(U18:U37, "✗") + COUNTIF(U18:U37, "x") + COUNTIF(U18:U37, "X")) &gt; 0, (COUNTIF(U18:U37, "✓") + COUNTIF(U18:U37, "✔") + COUNTIF(U18:U37, "v") + COUNTIF(U18:U37, "V")) / ((COUNTIF(U18:U37, "✓") + COUNTIF(U18:U37, "✔") + COUNTIF(U18:U37, "v") + COUNTIF(U18:U37, "V")) + COUNTIF(U18:U37, "✗") + COUNTIF(U18:U37, "x") + COUNTIF(U18:U37, "X")), "")</f>
        <v/>
      </c>
      <c r="V39" s="134">
        <f>IF(((COUNTIF(V18:V37, "✓") + COUNTIF(V18:V37, "✔") + COUNTIF(V18:V37, "v") + COUNTIF(V18:V37, "V")) + COUNTIF(V18:V37, "✗") + COUNTIF(V18:V37, "x") + COUNTIF(V18:V37, "X")) &gt; 0, (COUNTIF(V18:V37, "✓") + COUNTIF(V18:V37, "✔") + COUNTIF(V18:V37, "v") + COUNTIF(V18:V37, "V")) / ((COUNTIF(V18:V37, "✓") + COUNTIF(V18:V37, "✔") + COUNTIF(V18:V37, "v") + COUNTIF(V18:V37, "V")) + COUNTIF(V18:V37, "✗") + COUNTIF(V18:V37, "x") + COUNTIF(V18:V37, "X")), "")</f>
        <v/>
      </c>
      <c r="W39" s="134">
        <f>IF(((COUNTIF(W18:W37, "✓") + COUNTIF(W18:W37, "✔") + COUNTIF(W18:W37, "v") + COUNTIF(W18:W37, "V")) + COUNTIF(W18:W37, "✗") + COUNTIF(W18:W37, "x") + COUNTIF(W18:W37, "X")) &gt; 0, (COUNTIF(W18:W37, "✓") + COUNTIF(W18:W37, "✔") + COUNTIF(W18:W37, "v") + COUNTIF(W18:W37, "V")) / ((COUNTIF(W18:W37, "✓") + COUNTIF(W18:W37, "✔") + COUNTIF(W18:W37, "v") + COUNTIF(W18:W37, "V")) + COUNTIF(W18:W37, "✗") + COUNTIF(W18:W37, "x") + COUNTIF(W18:W37, "X")), "")</f>
        <v/>
      </c>
      <c r="X39" s="134">
        <f>IF(((COUNTIF(X18:X37, "✓") + COUNTIF(X18:X37, "✔") + COUNTIF(X18:X37, "v") + COUNTIF(X18:X37, "V")) + COUNTIF(X18:X37, "✗") + COUNTIF(X18:X37, "x") + COUNTIF(X18:X37, "X")) &gt; 0, (COUNTIF(X18:X37, "✓") + COUNTIF(X18:X37, "✔") + COUNTIF(X18:X37, "v") + COUNTIF(X18:X37, "V")) / ((COUNTIF(X18:X37, "✓") + COUNTIF(X18:X37, "✔") + COUNTIF(X18:X37, "v") + COUNTIF(X18:X37, "V")) + COUNTIF(X18:X37, "✗") + COUNTIF(X18:X37, "x") + COUNTIF(X18:X37, "X")), "")</f>
        <v/>
      </c>
      <c r="Y39" s="134">
        <f>IF(((COUNTIF(Y18:Y37, "✓") + COUNTIF(Y18:Y37, "✔") + COUNTIF(Y18:Y37, "v") + COUNTIF(Y18:Y37, "V")) + COUNTIF(Y18:Y37, "✗") + COUNTIF(Y18:Y37, "x") + COUNTIF(Y18:Y37, "X")) &gt; 0, (COUNTIF(Y18:Y37, "✓") + COUNTIF(Y18:Y37, "✔") + COUNTIF(Y18:Y37, "v") + COUNTIF(Y18:Y37, "V")) / ((COUNTIF(Y18:Y37, "✓") + COUNTIF(Y18:Y37, "✔") + COUNTIF(Y18:Y37, "v") + COUNTIF(Y18:Y37, "V")) + COUNTIF(Y18:Y37, "✗") + COUNTIF(Y18:Y37, "x") + COUNTIF(Y18:Y37, "X")), "")</f>
        <v/>
      </c>
      <c r="Z39" s="134">
        <f>IF(((COUNTIF(Z18:Z37, "✓") + COUNTIF(Z18:Z37, "✔") + COUNTIF(Z18:Z37, "v") + COUNTIF(Z18:Z37, "V")) + COUNTIF(Z18:Z37, "✗") + COUNTIF(Z18:Z37, "x") + COUNTIF(Z18:Z37, "X")) &gt; 0, (COUNTIF(Z18:Z37, "✓") + COUNTIF(Z18:Z37, "✔") + COUNTIF(Z18:Z37, "v") + COUNTIF(Z18:Z37, "V")) / ((COUNTIF(Z18:Z37, "✓") + COUNTIF(Z18:Z37, "✔") + COUNTIF(Z18:Z37, "v") + COUNTIF(Z18:Z37, "V")) + COUNTIF(Z18:Z37, "✗") + COUNTIF(Z18:Z37, "x") + COUNTIF(Z18:Z37, "X")), "")</f>
        <v/>
      </c>
      <c r="AA39" s="134">
        <f>IF(((COUNTIF(AA18:AA37, "✓") + COUNTIF(AA18:AA37, "✔") + COUNTIF(AA18:AA37, "v") + COUNTIF(AA18:AA37, "V")) + COUNTIF(AA18:AA37, "✗") + COUNTIF(AA18:AA37, "x") + COUNTIF(AA18:AA37, "X")) &gt; 0, (COUNTIF(AA18:AA37, "✓") + COUNTIF(AA18:AA37, "✔") + COUNTIF(AA18:AA37, "v") + COUNTIF(AA18:AA37, "V")) / ((COUNTIF(AA18:AA37, "✓") + COUNTIF(AA18:AA37, "✔") + COUNTIF(AA18:AA37, "v") + COUNTIF(AA18:AA37, "V")) + COUNTIF(AA18:AA37, "✗") + COUNTIF(AA18:AA37, "x") + COUNTIF(AA18:AA37, "X")), "")</f>
        <v/>
      </c>
      <c r="AB39" s="134">
        <f>IF(((COUNTIF(AB18:AB37, "✓") + COUNTIF(AB18:AB37, "✔") + COUNTIF(AB18:AB37, "v") + COUNTIF(AB18:AB37, "V")) + COUNTIF(AB18:AB37, "✗") + COUNTIF(AB18:AB37, "x") + COUNTIF(AB18:AB37, "X")) &gt; 0, (COUNTIF(AB18:AB37, "✓") + COUNTIF(AB18:AB37, "✔") + COUNTIF(AB18:AB37, "v") + COUNTIF(AB18:AB37, "V")) / ((COUNTIF(AB18:AB37, "✓") + COUNTIF(AB18:AB37, "✔") + COUNTIF(AB18:AB37, "v") + COUNTIF(AB18:AB37, "V")) + COUNTIF(AB18:AB37, "✗") + COUNTIF(AB18:AB37, "x") + COUNTIF(AB18:AB37, "X")), "")</f>
        <v/>
      </c>
      <c r="AC39" s="134">
        <f>IF(((COUNTIF(AC18:AC37, "✓") + COUNTIF(AC18:AC37, "✔") + COUNTIF(AC18:AC37, "v") + COUNTIF(AC18:AC37, "V")) + COUNTIF(AC18:AC37, "✗") + COUNTIF(AC18:AC37, "x") + COUNTIF(AC18:AC37, "X")) &gt; 0, (COUNTIF(AC18:AC37, "✓") + COUNTIF(AC18:AC37, "✔") + COUNTIF(AC18:AC37, "v") + COUNTIF(AC18:AC37, "V")) / ((COUNTIF(AC18:AC37, "✓") + COUNTIF(AC18:AC37, "✔") + COUNTIF(AC18:AC37, "v") + COUNTIF(AC18:AC37, "V")) + COUNTIF(AC18:AC37, "✗") + COUNTIF(AC18:AC37, "x") + COUNTIF(AC18:AC37, "X")), "")</f>
        <v/>
      </c>
      <c r="AD39" s="134">
        <f>IF(((COUNTIF(AD18:AD37, "✓") + COUNTIF(AD18:AD37, "✔") + COUNTIF(AD18:AD37, "v") + COUNTIF(AD18:AD37, "V")) + COUNTIF(AD18:AD37, "✗") + COUNTIF(AD18:AD37, "x") + COUNTIF(AD18:AD37, "X")) &gt; 0, (COUNTIF(AD18:AD37, "✓") + COUNTIF(AD18:AD37, "✔") + COUNTIF(AD18:AD37, "v") + COUNTIF(AD18:AD37, "V")) / ((COUNTIF(AD18:AD37, "✓") + COUNTIF(AD18:AD37, "✔") + COUNTIF(AD18:AD37, "v") + COUNTIF(AD18:AD37, "V")) + COUNTIF(AD18:AD37, "✗") + COUNTIF(AD18:AD37, "x") + COUNTIF(AD18:AD37, "X")), "")</f>
        <v/>
      </c>
      <c r="AE39" s="134">
        <f>IF(((COUNTIF(AE18:AE37, "✓") + COUNTIF(AE18:AE37, "✔") + COUNTIF(AE18:AE37, "v") + COUNTIF(AE18:AE37, "V")) + COUNTIF(AE18:AE37, "✗") + COUNTIF(AE18:AE37, "x") + COUNTIF(AE18:AE37, "X")) &gt; 0, (COUNTIF(AE18:AE37, "✓") + COUNTIF(AE18:AE37, "✔") + COUNTIF(AE18:AE37, "v") + COUNTIF(AE18:AE37, "V")) / ((COUNTIF(AE18:AE37, "✓") + COUNTIF(AE18:AE37, "✔") + COUNTIF(AE18:AE37, "v") + COUNTIF(AE18:AE37, "V")) + COUNTIF(AE18:AE37, "✗") + COUNTIF(AE18:AE37, "x") + COUNTIF(AE18:AE37, "X")), "")</f>
        <v/>
      </c>
      <c r="AF39" s="134">
        <f>IF(((COUNTIF(AF18:AF37, "✓") + COUNTIF(AF18:AF37, "✔") + COUNTIF(AF18:AF37, "v") + COUNTIF(AF18:AF37, "V")) + COUNTIF(AF18:AF37, "✗") + COUNTIF(AF18:AF37, "x") + COUNTIF(AF18:AF37, "X")) &gt; 0, (COUNTIF(AF18:AF37, "✓") + COUNTIF(AF18:AF37, "✔") + COUNTIF(AF18:AF37, "v") + COUNTIF(AF18:AF37, "V")) / ((COUNTIF(AF18:AF37, "✓") + COUNTIF(AF18:AF37, "✔") + COUNTIF(AF18:AF37, "v") + COUNTIF(AF18:AF37, "V")) + COUNTIF(AF18:AF37, "✗") + COUNTIF(AF18:AF37, "x") + COUNTIF(AF18:AF37, "X")), "")</f>
        <v/>
      </c>
      <c r="AG39" s="134">
        <f>IF(((COUNTIF(AG18:AG37, "✓") + COUNTIF(AG18:AG37, "✔") + COUNTIF(AG18:AG37, "v") + COUNTIF(AG18:AG37, "V")) + COUNTIF(AG18:AG37, "✗") + COUNTIF(AG18:AG37, "x") + COUNTIF(AG18:AG37, "X")) &gt; 0, (COUNTIF(AG18:AG37, "✓") + COUNTIF(AG18:AG37, "✔") + COUNTIF(AG18:AG37, "v") + COUNTIF(AG18:AG37, "V")) / ((COUNTIF(AG18:AG37, "✓") + COUNTIF(AG18:AG37, "✔") + COUNTIF(AG18:AG37, "v") + COUNTIF(AG18:AG37, "V")) + COUNTIF(AG18:AG37, "✗") + COUNTIF(AG18:AG37, "x") + COUNTIF(AG18:AG37, "X")), "")</f>
        <v/>
      </c>
      <c r="AH39" s="134">
        <f>IF(((COUNTIF(AH18:AH37, "✓") + COUNTIF(AH18:AH37, "✔") + COUNTIF(AH18:AH37, "v") + COUNTIF(AH18:AH37, "V")) + COUNTIF(AH18:AH37, "✗") + COUNTIF(AH18:AH37, "x") + COUNTIF(AH18:AH37, "X")) &gt; 0, (COUNTIF(AH18:AH37, "✓") + COUNTIF(AH18:AH37, "✔") + COUNTIF(AH18:AH37, "v") + COUNTIF(AH18:AH37, "V")) / ((COUNTIF(AH18:AH37, "✓") + COUNTIF(AH18:AH37, "✔") + COUNTIF(AH18:AH37, "v") + COUNTIF(AH18:AH37, "V")) + COUNTIF(AH18:AH37, "✗") + COUNTIF(AH18:AH37, "x") + COUNTIF(AH18:AH37, "X")), "")</f>
        <v/>
      </c>
      <c r="AI39" s="134">
        <f>IF(((COUNTIF(AI18:AI37, "✓") + COUNTIF(AI18:AI37, "✔") + COUNTIF(AI18:AI37, "v") + COUNTIF(AI18:AI37, "V")) + COUNTIF(AI18:AI37, "✗") + COUNTIF(AI18:AI37, "x") + COUNTIF(AI18:AI37, "X")) &gt; 0, (COUNTIF(AI18:AI37, "✓") + COUNTIF(AI18:AI37, "✔") + COUNTIF(AI18:AI37, "v") + COUNTIF(AI18:AI37, "V")) / ((COUNTIF(AI18:AI37, "✓") + COUNTIF(AI18:AI37, "✔") + COUNTIF(AI18:AI37, "v") + COUNTIF(AI18:AI37, "V")) + COUNTIF(AI18:AI37, "✗") + COUNTIF(AI18:AI37, "x") + COUNTIF(AI18:AI37, "X")), "")</f>
        <v/>
      </c>
      <c r="AJ39" s="133">
        <f>IF(COUNT(E39:AI39) &gt; 0, AVERAGE(E39:AI39), "")</f>
        <v/>
      </c>
      <c r="AK39" s="54" t="n"/>
      <c r="AL39" s="54" t="n"/>
    </row>
    <row r="40" ht="6" customHeight="1"/>
    <row r="41" ht="15" customHeight="1">
      <c r="A41" s="135" t="inlineStr">
        <is>
          <t>IF SUCCESS &lt; 80%, PUNISHMENT: ________________________________________________</t>
        </is>
      </c>
    </row>
    <row r="42" ht="15" customHeight="1">
      <c r="A42" s="136" t="inlineStr">
        <is>
          <t>IF SUCCESS &gt; 90%, REWARD: __________________________________________________</t>
        </is>
      </c>
    </row>
    <row r="43" ht="10" customHeight="1"/>
    <row r="44" ht="10" customHeight="1"/>
    <row r="45" ht="15" customHeight="1">
      <c r="A45" s="51" t="inlineStr">
        <is>
          <t>Sleep Tracking</t>
        </is>
      </c>
      <c r="B45" s="52" t="n"/>
      <c r="C45" s="52" t="n"/>
      <c r="D45" s="52" t="n"/>
      <c r="E45" s="137" t="n">
        <v>1</v>
      </c>
      <c r="F45" s="138" t="n">
        <v>2</v>
      </c>
      <c r="G45" s="137" t="n">
        <v>3</v>
      </c>
      <c r="H45" s="137" t="n">
        <v>4</v>
      </c>
      <c r="I45" s="137" t="n">
        <v>5</v>
      </c>
      <c r="J45" s="137" t="n">
        <v>6</v>
      </c>
      <c r="K45" s="137" t="n">
        <v>7</v>
      </c>
      <c r="L45" s="137" t="n">
        <v>8</v>
      </c>
      <c r="M45" s="138" t="n">
        <v>9</v>
      </c>
      <c r="N45" s="137" t="n">
        <v>10</v>
      </c>
      <c r="O45" s="137" t="n">
        <v>11</v>
      </c>
      <c r="P45" s="137" t="n">
        <v>12</v>
      </c>
      <c r="Q45" s="137" t="n">
        <v>13</v>
      </c>
      <c r="R45" s="137" t="n">
        <v>14</v>
      </c>
      <c r="S45" s="137" t="n">
        <v>15</v>
      </c>
      <c r="T45" s="138" t="n">
        <v>16</v>
      </c>
      <c r="U45" s="137" t="n">
        <v>17</v>
      </c>
      <c r="V45" s="137" t="n">
        <v>18</v>
      </c>
      <c r="W45" s="137" t="n">
        <v>19</v>
      </c>
      <c r="X45" s="137" t="n">
        <v>20</v>
      </c>
      <c r="Y45" s="137" t="n">
        <v>21</v>
      </c>
      <c r="Z45" s="137" t="n">
        <v>22</v>
      </c>
      <c r="AA45" s="138" t="n">
        <v>23</v>
      </c>
      <c r="AB45" s="137" t="n">
        <v>24</v>
      </c>
      <c r="AC45" s="137" t="n">
        <v>25</v>
      </c>
      <c r="AD45" s="137" t="n">
        <v>26</v>
      </c>
      <c r="AE45" s="137" t="n">
        <v>27</v>
      </c>
      <c r="AF45" s="137" t="n">
        <v>28</v>
      </c>
      <c r="AG45" s="137" t="n">
        <v>29</v>
      </c>
      <c r="AH45" s="138" t="n">
        <v>30</v>
      </c>
      <c r="AI45" s="137" t="n">
        <v>31</v>
      </c>
    </row>
    <row r="46" ht="15" customHeight="1">
      <c r="A46" s="52" t="n"/>
      <c r="B46" s="52" t="n"/>
      <c r="C46" s="52" t="n"/>
      <c r="D46" s="52" t="n"/>
      <c r="E46" s="139" t="inlineStr">
        <is>
          <t>Sa</t>
        </is>
      </c>
      <c r="F46" s="140" t="inlineStr">
        <is>
          <t>Su</t>
        </is>
      </c>
      <c r="G46" s="139" t="inlineStr">
        <is>
          <t>M</t>
        </is>
      </c>
      <c r="H46" s="139" t="inlineStr">
        <is>
          <t>T</t>
        </is>
      </c>
      <c r="I46" s="139" t="inlineStr">
        <is>
          <t>W</t>
        </is>
      </c>
      <c r="J46" s="139" t="inlineStr">
        <is>
          <t>Th</t>
        </is>
      </c>
      <c r="K46" s="139" t="inlineStr">
        <is>
          <t>F</t>
        </is>
      </c>
      <c r="L46" s="139" t="inlineStr">
        <is>
          <t>Sa</t>
        </is>
      </c>
      <c r="M46" s="140" t="inlineStr">
        <is>
          <t>Su</t>
        </is>
      </c>
      <c r="N46" s="139" t="inlineStr">
        <is>
          <t>M</t>
        </is>
      </c>
      <c r="O46" s="139" t="inlineStr">
        <is>
          <t>T</t>
        </is>
      </c>
      <c r="P46" s="139" t="inlineStr">
        <is>
          <t>W</t>
        </is>
      </c>
      <c r="Q46" s="139" t="inlineStr">
        <is>
          <t>Th</t>
        </is>
      </c>
      <c r="R46" s="139" t="inlineStr">
        <is>
          <t>F</t>
        </is>
      </c>
      <c r="S46" s="139" t="inlineStr">
        <is>
          <t>Sa</t>
        </is>
      </c>
      <c r="T46" s="140" t="inlineStr">
        <is>
          <t>Su</t>
        </is>
      </c>
      <c r="U46" s="139" t="inlineStr">
        <is>
          <t>M</t>
        </is>
      </c>
      <c r="V46" s="139" t="inlineStr">
        <is>
          <t>T</t>
        </is>
      </c>
      <c r="W46" s="139" t="inlineStr">
        <is>
          <t>W</t>
        </is>
      </c>
      <c r="X46" s="139" t="inlineStr">
        <is>
          <t>Th</t>
        </is>
      </c>
      <c r="Y46" s="139" t="inlineStr">
        <is>
          <t>F</t>
        </is>
      </c>
      <c r="Z46" s="139" t="inlineStr">
        <is>
          <t>Sa</t>
        </is>
      </c>
      <c r="AA46" s="140" t="inlineStr">
        <is>
          <t>Su</t>
        </is>
      </c>
      <c r="AB46" s="139" t="inlineStr">
        <is>
          <t>M</t>
        </is>
      </c>
      <c r="AC46" s="139" t="inlineStr">
        <is>
          <t>T</t>
        </is>
      </c>
      <c r="AD46" s="139" t="inlineStr">
        <is>
          <t>W</t>
        </is>
      </c>
      <c r="AE46" s="139" t="inlineStr">
        <is>
          <t>Th</t>
        </is>
      </c>
      <c r="AF46" s="139" t="inlineStr">
        <is>
          <t>F</t>
        </is>
      </c>
      <c r="AG46" s="139" t="inlineStr">
        <is>
          <t>Sa</t>
        </is>
      </c>
      <c r="AH46" s="140" t="inlineStr">
        <is>
          <t>Su</t>
        </is>
      </c>
      <c r="AI46" s="139" t="inlineStr">
        <is>
          <t>M</t>
        </is>
      </c>
    </row>
    <row r="47" ht="20" customHeight="1">
      <c r="A47" s="141" t="inlineStr">
        <is>
          <t>Sleep Hours (1-24)</t>
        </is>
      </c>
      <c r="B47" s="142" t="n"/>
      <c r="C47" s="142" t="n"/>
      <c r="D47" s="142" t="n"/>
      <c r="E47" s="143" t="n"/>
      <c r="F47" s="144" t="n"/>
      <c r="G47" s="143" t="n"/>
      <c r="H47" s="143" t="n"/>
      <c r="I47" s="143" t="n"/>
      <c r="J47" s="143" t="n"/>
      <c r="K47" s="143" t="n"/>
      <c r="L47" s="143" t="n"/>
      <c r="M47" s="144" t="n"/>
      <c r="N47" s="143" t="n"/>
      <c r="O47" s="143" t="n"/>
      <c r="P47" s="143" t="n"/>
      <c r="Q47" s="143" t="n"/>
      <c r="R47" s="143" t="n"/>
      <c r="S47" s="143" t="n"/>
      <c r="T47" s="144" t="n"/>
      <c r="U47" s="143" t="n"/>
      <c r="V47" s="143" t="n"/>
      <c r="W47" s="143" t="n"/>
      <c r="X47" s="143" t="n"/>
      <c r="Y47" s="143" t="n"/>
      <c r="Z47" s="143" t="n"/>
      <c r="AA47" s="144" t="n"/>
      <c r="AB47" s="143" t="n"/>
      <c r="AC47" s="143" t="n"/>
      <c r="AD47" s="143" t="n"/>
      <c r="AE47" s="143" t="n"/>
      <c r="AF47" s="143" t="n"/>
      <c r="AG47" s="143" t="n"/>
      <c r="AH47" s="144" t="n"/>
      <c r="AI47" s="143" t="n"/>
    </row>
    <row r="48" ht="6" customHeight="1"/>
    <row r="49" ht="14" customHeight="1"/>
    <row r="50" ht="14" customHeight="1"/>
    <row r="51" ht="14" customHeight="1"/>
    <row r="52" ht="14" customHeight="1"/>
    <row r="53" ht="14" customHeight="1"/>
    <row r="54" ht="14" customHeight="1"/>
    <row r="55" ht="14" customHeight="1"/>
    <row r="56" ht="14" customHeight="1"/>
    <row r="57" ht="14" customHeight="1"/>
    <row r="58" ht="14" customHeight="1"/>
    <row r="59" ht="14" customHeight="1"/>
    <row r="60" ht="14" customHeight="1"/>
    <row r="61" ht="14" customHeight="1"/>
    <row r="62" ht="14" customHeight="1"/>
    <row r="63" ht="14" customHeight="1"/>
    <row r="64" ht="14" customHeight="1"/>
    <row r="65" ht="14" customHeight="1"/>
    <row r="66" ht="8" customHeight="1"/>
    <row r="67">
      <c r="A67" s="145" t="inlineStr">
        <is>
          <t>MONTHLY SUCCESS RATE</t>
        </is>
      </c>
      <c r="B67" s="9" t="n"/>
      <c r="C67" s="9" t="n"/>
      <c r="D67" s="9" t="n"/>
      <c r="F67" s="146" t="inlineStr">
        <is>
          <t>ACTIVE PROTOCOLS</t>
        </is>
      </c>
      <c r="G67" s="11" t="n"/>
      <c r="H67" s="11" t="n"/>
      <c r="I67" s="11" t="n"/>
      <c r="K67" s="147" t="inlineStr">
        <is>
          <t>PERFECT DAYS (100%)</t>
        </is>
      </c>
      <c r="L67" s="13" t="n"/>
      <c r="M67" s="13" t="n"/>
      <c r="N67" s="13" t="n"/>
      <c r="P67" s="148" t="inlineStr">
        <is>
          <t>AVG SLEEP DURATION</t>
        </is>
      </c>
      <c r="Q67" s="15" t="n"/>
      <c r="R67" s="15" t="n"/>
      <c r="S67" s="15" t="n"/>
    </row>
    <row r="68">
      <c r="A68" s="149">
        <f>IF(SUM(D18:D37)&gt;0, SUM(AM18:AM37)/SUM(D18:D37), 0)</f>
        <v/>
      </c>
      <c r="B68" s="9" t="n"/>
      <c r="C68" s="9" t="n"/>
      <c r="D68" s="9" t="n"/>
      <c r="F68" s="150">
        <f>COUNTA(B18:B37) &amp; " / 20"</f>
        <v/>
      </c>
      <c r="G68" s="11" t="n"/>
      <c r="H68" s="11" t="n"/>
      <c r="I68" s="11" t="n"/>
      <c r="K68" s="151">
        <f>COUNTIF(E39:AI39, 1) &amp; " Days"</f>
        <v/>
      </c>
      <c r="L68" s="13" t="n"/>
      <c r="M68" s="13" t="n"/>
      <c r="N68" s="13" t="n"/>
      <c r="P68" s="152">
        <f>IFERROR(TEXT(AVERAGE(E47:AI47), "0.0") &amp; " hrs", "-")</f>
        <v/>
      </c>
      <c r="Q68" s="15" t="n"/>
      <c r="R68" s="15" t="n"/>
      <c r="S68" s="15" t="n"/>
    </row>
    <row r="69">
      <c r="A69" s="9" t="n"/>
      <c r="B69" s="9" t="n"/>
      <c r="C69" s="9" t="n"/>
      <c r="D69" s="9" t="n"/>
      <c r="F69" s="11" t="n"/>
      <c r="G69" s="11" t="n"/>
      <c r="H69" s="11" t="n"/>
      <c r="I69" s="11" t="n"/>
      <c r="K69" s="13" t="n"/>
      <c r="L69" s="13" t="n"/>
      <c r="M69" s="13" t="n"/>
      <c r="N69" s="13" t="n"/>
      <c r="P69" s="15" t="n"/>
      <c r="Q69" s="15" t="n"/>
      <c r="R69" s="15" t="n"/>
      <c r="S69" s="15" t="n"/>
    </row>
    <row r="70">
      <c r="A70" s="9" t="n"/>
      <c r="B70" s="9" t="n"/>
      <c r="C70" s="9" t="n"/>
      <c r="D70" s="9" t="n"/>
      <c r="F70" s="11" t="n"/>
      <c r="G70" s="11" t="n"/>
      <c r="H70" s="11" t="n"/>
      <c r="I70" s="11" t="n"/>
      <c r="K70" s="13" t="n"/>
      <c r="L70" s="13" t="n"/>
      <c r="M70" s="13" t="n"/>
      <c r="N70" s="13" t="n"/>
      <c r="P70" s="15" t="n"/>
      <c r="Q70" s="15" t="n"/>
      <c r="R70" s="15" t="n"/>
      <c r="S70" s="15" t="n"/>
    </row>
    <row r="71">
      <c r="A71" s="153" t="inlineStr">
        <is>
          <t>Target Completion</t>
        </is>
      </c>
      <c r="B71" s="9" t="n"/>
      <c r="C71" s="9" t="n"/>
      <c r="D71" s="9" t="n"/>
      <c r="F71" s="154" t="inlineStr">
        <is>
          <t>Habits Tracked</t>
        </is>
      </c>
      <c r="G71" s="11" t="n"/>
      <c r="H71" s="11" t="n"/>
      <c r="I71" s="11" t="n"/>
      <c r="K71" s="155" t="inlineStr">
        <is>
          <t>All Marked Habits Completed</t>
        </is>
      </c>
      <c r="L71" s="13" t="n"/>
      <c r="M71" s="13" t="n"/>
      <c r="N71" s="13" t="n"/>
      <c r="P71" s="156" t="inlineStr">
        <is>
          <t>Nightly Rest Average</t>
        </is>
      </c>
      <c r="Q71" s="15" t="n"/>
      <c r="R71" s="15" t="n"/>
      <c r="S71" s="15" t="n"/>
    </row>
    <row r="72" ht="8" customHeight="1"/>
    <row r="73" ht="6" customHeight="1"/>
    <row r="74">
      <c r="A74" s="67" t="inlineStr">
        <is>
          <t>WEEKLY PERFORMANCE (SLUMP DETECTOR)</t>
        </is>
      </c>
      <c r="B74" s="29" t="n"/>
      <c r="C74" s="29" t="n"/>
      <c r="D74" s="29" t="n"/>
      <c r="E74" s="29" t="n"/>
      <c r="N74" s="157" t="inlineStr">
        <is>
          <t>LIFE DOMAIN / CATEGORY BREAKDOWN</t>
        </is>
      </c>
      <c r="O74" s="158" t="n"/>
      <c r="P74" s="158" t="n"/>
      <c r="Q74" s="158" t="n"/>
      <c r="R74" s="158" t="n"/>
      <c r="S74" s="158" t="n"/>
    </row>
    <row r="75" ht="15" customHeight="1">
      <c r="A75" s="53" t="inlineStr">
        <is>
          <t>Week</t>
        </is>
      </c>
      <c r="B75" s="53" t="inlineStr">
        <is>
          <t>Days Range</t>
        </is>
      </c>
      <c r="C75" s="53" t="inlineStr">
        <is>
          <t>Checks Done</t>
        </is>
      </c>
      <c r="D75" s="53" t="inlineStr">
        <is>
          <t>Evaluated</t>
        </is>
      </c>
      <c r="E75" s="53" t="inlineStr">
        <is>
          <t>Success %</t>
        </is>
      </c>
      <c r="N75" s="53" t="inlineStr">
        <is>
          <t>Domain / Category</t>
        </is>
      </c>
      <c r="O75" s="54" t="n"/>
      <c r="P75" s="53" t="inlineStr">
        <is>
          <t>Active Habits</t>
        </is>
      </c>
      <c r="Q75" s="53" t="inlineStr">
        <is>
          <t>Target Days</t>
        </is>
      </c>
      <c r="R75" s="53" t="inlineStr">
        <is>
          <t>Done Checks</t>
        </is>
      </c>
      <c r="S75" s="53" t="inlineStr">
        <is>
          <t>Success %</t>
        </is>
      </c>
    </row>
    <row r="76" ht="14" customHeight="1">
      <c r="A76" s="33" t="inlineStr">
        <is>
          <t>Week 1</t>
        </is>
      </c>
      <c r="B76" s="34" t="inlineStr">
        <is>
          <t>Days 1 - 7</t>
        </is>
      </c>
      <c r="C76" s="34">
        <f>COUNTIF(E18:K37, "✓")</f>
        <v/>
      </c>
      <c r="D76" s="34">
        <f>COUNTIF(E18:K37, "✓") + COUNTIF(E18:K37, "✗")</f>
        <v/>
      </c>
      <c r="E76" s="35">
        <f>IFERROR(C76/D76, 0)</f>
        <v/>
      </c>
      <c r="N76" s="60" t="inlineStr">
        <is>
          <t>Health &amp; Fitness</t>
        </is>
      </c>
      <c r="O76" s="54" t="n"/>
      <c r="P76" s="34">
        <f>COUNTIF($C$18:$C$37, "Health &amp; Fitness")</f>
        <v/>
      </c>
      <c r="Q76" s="34">
        <f>SUMIF($C$18:$C$37, "Health &amp; Fitness", $D$18:$D$37)</f>
        <v/>
      </c>
      <c r="R76" s="34">
        <f>SUMIF($C$18:$C$37, "Health &amp; Fitness", $AM$18:$AM$37)</f>
        <v/>
      </c>
      <c r="S76" s="35">
        <f>IFERROR(R76/Q76, 0)</f>
        <v/>
      </c>
    </row>
    <row r="77" ht="14" customHeight="1">
      <c r="A77" s="33" t="inlineStr">
        <is>
          <t>Week 2</t>
        </is>
      </c>
      <c r="B77" s="34" t="inlineStr">
        <is>
          <t>Days 8 - 14</t>
        </is>
      </c>
      <c r="C77" s="34">
        <f>COUNTIF(L18:R37, "✓")</f>
        <v/>
      </c>
      <c r="D77" s="34">
        <f>COUNTIF(L18:R37, "✓") + COUNTIF(L18:R37, "✗")</f>
        <v/>
      </c>
      <c r="E77" s="35">
        <f>IFERROR(C77/D77, 0)</f>
        <v/>
      </c>
      <c r="N77" s="60" t="inlineStr">
        <is>
          <t>Mindset &amp; Learning</t>
        </is>
      </c>
      <c r="O77" s="54" t="n"/>
      <c r="P77" s="34">
        <f>COUNTIF($C$18:$C$37, "Mindset &amp; Learning")</f>
        <v/>
      </c>
      <c r="Q77" s="34">
        <f>SUMIF($C$18:$C$37, "Mindset &amp; Learning", $D$18:$D$37)</f>
        <v/>
      </c>
      <c r="R77" s="34">
        <f>SUMIF($C$18:$C$37, "Mindset &amp; Learning", $AM$18:$AM$37)</f>
        <v/>
      </c>
      <c r="S77" s="35">
        <f>IFERROR(R77/Q77, 0)</f>
        <v/>
      </c>
    </row>
    <row r="78" ht="14" customHeight="1">
      <c r="A78" s="33" t="inlineStr">
        <is>
          <t>Week 3</t>
        </is>
      </c>
      <c r="B78" s="34" t="inlineStr">
        <is>
          <t>Days 15 - 21</t>
        </is>
      </c>
      <c r="C78" s="34">
        <f>COUNTIF(S18:Y37, "✓")</f>
        <v/>
      </c>
      <c r="D78" s="34">
        <f>COUNTIF(S18:Y37, "✓") + COUNTIF(S18:Y37, "✗")</f>
        <v/>
      </c>
      <c r="E78" s="35">
        <f>IFERROR(C78/D78, 0)</f>
        <v/>
      </c>
      <c r="N78" s="60" t="inlineStr">
        <is>
          <t>Career &amp; Focus</t>
        </is>
      </c>
      <c r="O78" s="54" t="n"/>
      <c r="P78" s="34">
        <f>COUNTIF($C$18:$C$37, "Career &amp; Focus")</f>
        <v/>
      </c>
      <c r="Q78" s="34">
        <f>SUMIF($C$18:$C$37, "Career &amp; Focus", $D$18:$D$37)</f>
        <v/>
      </c>
      <c r="R78" s="34">
        <f>SUMIF($C$18:$C$37, "Career &amp; Focus", $AM$18:$AM$37)</f>
        <v/>
      </c>
      <c r="S78" s="35">
        <f>IFERROR(R78/Q78, 0)</f>
        <v/>
      </c>
    </row>
    <row r="79" ht="14" customHeight="1">
      <c r="A79" s="33" t="inlineStr">
        <is>
          <t>Week 4</t>
        </is>
      </c>
      <c r="B79" s="34" t="inlineStr">
        <is>
          <t>Days 22 - 28</t>
        </is>
      </c>
      <c r="C79" s="34">
        <f>COUNTIF(Z18:AF37, "✓")</f>
        <v/>
      </c>
      <c r="D79" s="34">
        <f>COUNTIF(Z18:AF37, "✓") + COUNTIF(Z18:AF37, "✗")</f>
        <v/>
      </c>
      <c r="E79" s="35">
        <f>IFERROR(C79/D79, 0)</f>
        <v/>
      </c>
      <c r="N79" s="60" t="inlineStr">
        <is>
          <t>Personal &amp; Home</t>
        </is>
      </c>
      <c r="O79" s="54" t="n"/>
      <c r="P79" s="34">
        <f>COUNTIF($C$18:$C$37, "Personal &amp; Home")</f>
        <v/>
      </c>
      <c r="Q79" s="34">
        <f>SUMIF($C$18:$C$37, "Personal &amp; Home", $D$18:$D$37)</f>
        <v/>
      </c>
      <c r="R79" s="34">
        <f>SUMIF($C$18:$C$37, "Personal &amp; Home", $AM$18:$AM$37)</f>
        <v/>
      </c>
      <c r="S79" s="35">
        <f>IFERROR(R79/Q79, 0)</f>
        <v/>
      </c>
    </row>
    <row r="80" ht="14" customHeight="1">
      <c r="A80" s="33" t="inlineStr">
        <is>
          <t>Week 5</t>
        </is>
      </c>
      <c r="B80" s="34" t="inlineStr">
        <is>
          <t>Days 29 - 31</t>
        </is>
      </c>
      <c r="C80" s="34">
        <f>COUNTIF(AG18:AI37, "✓")</f>
        <v/>
      </c>
      <c r="D80" s="34">
        <f>COUNTIF(AG18:AI37, "✓") + COUNTIF(AG18:AI37, "✗")</f>
        <v/>
      </c>
      <c r="E80" s="35">
        <f>IFERROR(C80/D80, 0)</f>
        <v/>
      </c>
      <c r="N80" s="60" t="inlineStr">
        <is>
          <t>Finance &amp; Wealth</t>
        </is>
      </c>
      <c r="O80" s="54" t="n"/>
      <c r="P80" s="34">
        <f>COUNTIF($C$18:$C$37, "Finance &amp; Wealth")</f>
        <v/>
      </c>
      <c r="Q80" s="34">
        <f>SUMIF($C$18:$C$37, "Finance &amp; Wealth", $D$18:$D$37)</f>
        <v/>
      </c>
      <c r="R80" s="34">
        <f>SUMIF($C$18:$C$37, "Finance &amp; Wealth", $AM$18:$AM$37)</f>
        <v/>
      </c>
      <c r="S80" s="35">
        <f>IFERROR(R80/Q80, 0)</f>
        <v/>
      </c>
    </row>
    <row r="81" ht="14" customHeight="1">
      <c r="A81" s="33" t="inlineStr">
        <is>
          <t>Total / Avg</t>
        </is>
      </c>
      <c r="B81" s="159" t="inlineStr">
        <is>
          <t>Month Total</t>
        </is>
      </c>
      <c r="C81" s="33">
        <f>SUM(C76:C80)</f>
        <v/>
      </c>
      <c r="D81" s="33">
        <f>SUM(D76:D80)</f>
        <v/>
      </c>
      <c r="E81" s="133">
        <f>IFERROR(C81/D81, 0)</f>
        <v/>
      </c>
    </row>
    <row r="82" ht="10" customHeight="1"/>
    <row r="83" ht="10" customHeight="1"/>
    <row r="84">
      <c r="A84" s="51" t="inlineStr">
        <is>
          <t>SLEEP &amp; PRODUCTIVITY CORRELATION ANALYSIS</t>
        </is>
      </c>
      <c r="B84" s="52" t="n"/>
      <c r="C84" s="52" t="n"/>
      <c r="D84" s="52" t="n"/>
      <c r="E84" s="52" t="n"/>
      <c r="F84" s="52" t="n"/>
      <c r="G84" s="52" t="n"/>
      <c r="H84" s="52" t="n"/>
      <c r="I84" s="52" t="n"/>
      <c r="J84" s="52" t="n"/>
      <c r="K84" s="52" t="n"/>
      <c r="L84" s="52" t="n"/>
      <c r="M84" s="52" t="n"/>
      <c r="N84" s="52" t="n"/>
      <c r="O84" s="52" t="n"/>
      <c r="P84" s="52" t="n"/>
      <c r="Q84" s="52" t="n"/>
      <c r="R84" s="52" t="n"/>
      <c r="S84" s="52" t="n"/>
      <c r="T84" s="52" t="n"/>
      <c r="U84" s="52" t="n"/>
      <c r="V84" s="52" t="n"/>
      <c r="W84" s="52" t="n"/>
      <c r="X84" s="52" t="n"/>
      <c r="Y84" s="52" t="n"/>
      <c r="Z84" s="52" t="n"/>
      <c r="AA84" s="52" t="n"/>
      <c r="AB84" s="52" t="n"/>
      <c r="AC84" s="52" t="n"/>
      <c r="AD84" s="52" t="n"/>
      <c r="AE84" s="52" t="n"/>
      <c r="AF84" s="52" t="n"/>
      <c r="AG84" s="52" t="n"/>
      <c r="AH84" s="52" t="n"/>
      <c r="AI84" s="52" t="n"/>
      <c r="AJ84" s="52" t="n"/>
      <c r="AK84" s="52" t="n"/>
      <c r="AL84" s="52" t="n"/>
    </row>
    <row r="85" ht="15" customHeight="1">
      <c r="A85" s="53" t="inlineStr">
        <is>
          <t>Rest Category</t>
        </is>
      </c>
      <c r="B85" s="54" t="n"/>
      <c r="C85" s="54" t="n"/>
      <c r="D85" s="53" t="inlineStr">
        <is>
          <t>Day Criteria</t>
        </is>
      </c>
      <c r="E85" s="54" t="n"/>
      <c r="F85" s="54" t="n"/>
      <c r="G85" s="53" t="inlineStr">
        <is>
          <t>Days Logged</t>
        </is>
      </c>
      <c r="H85" s="54" t="n"/>
      <c r="I85" s="54" t="n"/>
      <c r="J85" s="53" t="inlineStr">
        <is>
          <t>Avg Sleep Duration</t>
        </is>
      </c>
      <c r="K85" s="54" t="n"/>
      <c r="L85" s="54" t="n"/>
      <c r="M85" s="54" t="n"/>
      <c r="N85" s="53" t="inlineStr">
        <is>
          <t>Avg Habit Success %</t>
        </is>
      </c>
      <c r="O85" s="54" t="n"/>
      <c r="P85" s="54" t="n"/>
      <c r="Q85" s="54" t="n"/>
      <c r="R85" s="53" t="inlineStr">
        <is>
          <t>Productivity Delta</t>
        </is>
      </c>
      <c r="S85" s="54" t="n"/>
      <c r="T85" s="54" t="n"/>
      <c r="U85" s="54" t="n"/>
    </row>
    <row r="86" ht="15" customHeight="1">
      <c r="A86" s="160" t="inlineStr">
        <is>
          <t>Optimal Rest</t>
        </is>
      </c>
      <c r="B86" s="161" t="n"/>
      <c r="C86" s="56" t="n"/>
      <c r="D86" s="34" t="inlineStr">
        <is>
          <t>&gt;= 7 Hours / Night</t>
        </is>
      </c>
      <c r="E86" s="161" t="n"/>
      <c r="F86" s="56" t="n"/>
      <c r="G86" s="33">
        <f>COUNTIF(E47:AI47, "&gt;=7")</f>
        <v/>
      </c>
      <c r="H86" s="161" t="n"/>
      <c r="I86" s="56" t="n"/>
      <c r="J86" s="34">
        <f>IFERROR(TEXT(AVERAGEIF(E47:AI47, "&gt;=7"), "0.0") &amp; " hrs", "-")</f>
        <v/>
      </c>
      <c r="K86" s="161" t="n"/>
      <c r="L86" s="161" t="n"/>
      <c r="M86" s="56" t="n"/>
      <c r="N86" s="42">
        <f>IFERROR(AVERAGEIFS(E39:AI39, E47:AI47, "&gt;=7", E39:AI39, "&gt;0"), 0)</f>
        <v/>
      </c>
      <c r="O86" s="161" t="n"/>
      <c r="P86" s="161" t="n"/>
      <c r="Q86" s="56" t="n"/>
      <c r="R86" s="159" t="inlineStr">
        <is>
          <t>Baseline (Target)</t>
        </is>
      </c>
      <c r="S86" s="161" t="n"/>
      <c r="T86" s="161" t="n"/>
      <c r="U86" s="56" t="n"/>
    </row>
    <row r="87" ht="15" customHeight="1">
      <c r="A87" s="162" t="inlineStr">
        <is>
          <t>Sleep Deficit</t>
        </is>
      </c>
      <c r="B87" s="161" t="n"/>
      <c r="C87" s="56" t="n"/>
      <c r="D87" s="34" t="inlineStr">
        <is>
          <t>&lt; 7 Hours / Night</t>
        </is>
      </c>
      <c r="E87" s="161" t="n"/>
      <c r="F87" s="56" t="n"/>
      <c r="G87" s="33">
        <f>COUNTIF(E47:AI47, "&lt;7") - COUNTIF(E47:AI47, "")</f>
        <v/>
      </c>
      <c r="H87" s="161" t="n"/>
      <c r="I87" s="56" t="n"/>
      <c r="J87" s="34">
        <f>IFERROR(TEXT(AVERAGEIFS(E47:AI47, E47:AI47, "&lt;7", E47:AI47, "&gt;0"), "0.0") &amp; " hrs", "-")</f>
        <v/>
      </c>
      <c r="K87" s="161" t="n"/>
      <c r="L87" s="161" t="n"/>
      <c r="M87" s="56" t="n"/>
      <c r="N87" s="163">
        <f>IFERROR(AVERAGEIFS(E39:AI39, E47:AI47, "&lt;7", E39:AI39, "&gt;0"), 0)</f>
        <v/>
      </c>
      <c r="O87" s="161" t="n"/>
      <c r="P87" s="161" t="n"/>
      <c r="Q87" s="56" t="n"/>
      <c r="R87" s="160">
        <f>IFERROR(TEXT(N86 - N87, "+0.0%;-0.0%;0.0%") &amp; " Rest Advantage", "-")</f>
        <v/>
      </c>
      <c r="S87" s="161" t="n"/>
      <c r="T87" s="161" t="n"/>
      <c r="U87" s="56" t="n"/>
    </row>
    <row r="88" ht="18" customHeight="1">
      <c r="A88" s="164">
        <f>IF(AND(ISNUMBER(N86), ISNUMBER(N87), N86&gt;0, N87&gt;0), "💡 Sleep Correlation Insight: You complete " &amp; TEXT(ABS(N86-N87), "0.0%") &amp; IF(N86&gt;=N87, " MORE habits on days with 7+ hours of sleep!", " fewer habits on days with 7+ hours of sleep."), "💡 Log both habits and sleep hours daily to unlock automatic AI correlation insights!")</f>
        <v/>
      </c>
      <c r="B88" s="161" t="n"/>
      <c r="C88" s="161" t="n"/>
      <c r="D88" s="161" t="n"/>
      <c r="E88" s="161" t="n"/>
      <c r="F88" s="161" t="n"/>
      <c r="G88" s="161" t="n"/>
      <c r="H88" s="161" t="n"/>
      <c r="I88" s="161" t="n"/>
      <c r="J88" s="161" t="n"/>
      <c r="K88" s="161" t="n"/>
      <c r="L88" s="161" t="n"/>
      <c r="M88" s="161" t="n"/>
      <c r="N88" s="161" t="n"/>
      <c r="O88" s="161" t="n"/>
      <c r="P88" s="161" t="n"/>
      <c r="Q88" s="161" t="n"/>
      <c r="R88" s="161" t="n"/>
      <c r="S88" s="161" t="n"/>
      <c r="T88" s="161" t="n"/>
      <c r="U88" s="161" t="n"/>
      <c r="V88" s="161" t="n"/>
      <c r="W88" s="161" t="n"/>
      <c r="X88" s="161" t="n"/>
      <c r="Y88" s="161" t="n"/>
      <c r="Z88" s="161" t="n"/>
      <c r="AA88" s="161" t="n"/>
      <c r="AB88" s="161" t="n"/>
      <c r="AC88" s="161" t="n"/>
      <c r="AD88" s="161" t="n"/>
      <c r="AE88" s="161" t="n"/>
      <c r="AF88" s="161" t="n"/>
      <c r="AG88" s="161" t="n"/>
      <c r="AH88" s="161" t="n"/>
      <c r="AI88" s="161" t="n"/>
      <c r="AJ88" s="161" t="n"/>
      <c r="AK88" s="161" t="n"/>
      <c r="AL88" s="56" t="n"/>
    </row>
    <row r="89" ht="10" customHeight="1"/>
    <row r="90">
      <c r="A90" s="43" t="inlineStr">
        <is>
          <t>STANDARDIZED DATA BRIDGE (FOR ANNUAL &amp; QUARTERLY REVIEW SHEETS)</t>
        </is>
      </c>
      <c r="B90" s="44" t="n"/>
      <c r="C90" s="44" t="n"/>
      <c r="D90" s="44" t="n"/>
      <c r="E90" s="44" t="n"/>
      <c r="F90" s="44" t="n"/>
      <c r="G90" s="44" t="n"/>
      <c r="H90" s="44" t="n"/>
      <c r="I90" s="44" t="n"/>
      <c r="J90" s="44" t="n"/>
      <c r="K90" s="44" t="n"/>
      <c r="L90" s="44" t="n"/>
      <c r="M90" s="44" t="n"/>
      <c r="N90" s="44" t="n"/>
      <c r="O90" s="44" t="n"/>
      <c r="P90" s="44" t="n"/>
      <c r="Q90" s="44" t="n"/>
      <c r="R90" s="44" t="n"/>
      <c r="S90" s="44" t="n"/>
      <c r="T90" s="44" t="n"/>
      <c r="U90" s="44" t="n"/>
      <c r="V90" s="44" t="n"/>
      <c r="W90" s="44" t="n"/>
      <c r="X90" s="44" t="n"/>
      <c r="Y90" s="44" t="n"/>
      <c r="Z90" s="44" t="n"/>
      <c r="AA90" s="44" t="n"/>
      <c r="AB90" s="44" t="n"/>
      <c r="AC90" s="44" t="n"/>
      <c r="AD90" s="44" t="n"/>
      <c r="AE90" s="44" t="n"/>
      <c r="AF90" s="44" t="n"/>
      <c r="AG90" s="44" t="n"/>
      <c r="AH90" s="44" t="n"/>
      <c r="AI90" s="44" t="n"/>
      <c r="AJ90" s="44" t="n"/>
      <c r="AK90" s="44" t="n"/>
      <c r="AL90" s="44" t="n"/>
    </row>
    <row r="91" ht="15" customHeight="1">
      <c r="A91" s="53" t="inlineStr">
        <is>
          <t>Month</t>
        </is>
      </c>
      <c r="B91" s="54" t="n"/>
      <c r="C91" s="53" t="inlineStr">
        <is>
          <t>Year</t>
        </is>
      </c>
      <c r="D91" s="54" t="n"/>
      <c r="E91" s="53" t="inlineStr">
        <is>
          <t>Active Habits</t>
        </is>
      </c>
      <c r="F91" s="54" t="n"/>
      <c r="G91" s="53" t="inlineStr">
        <is>
          <t>Target Days</t>
        </is>
      </c>
      <c r="H91" s="54" t="n"/>
      <c r="I91" s="53" t="inlineStr">
        <is>
          <t>Done Checks</t>
        </is>
      </c>
      <c r="J91" s="54" t="n"/>
      <c r="K91" s="53" t="inlineStr">
        <is>
          <t>Success %</t>
        </is>
      </c>
      <c r="L91" s="54" t="n"/>
      <c r="M91" s="53" t="inlineStr">
        <is>
          <t>Perfect Days</t>
        </is>
      </c>
      <c r="N91" s="54" t="n"/>
      <c r="O91" s="53" t="inlineStr">
        <is>
          <t>Avg Sleep</t>
        </is>
      </c>
      <c r="P91" s="54" t="n"/>
      <c r="Q91" s="53" t="inlineStr">
        <is>
          <t>Best Week</t>
        </is>
      </c>
      <c r="R91" s="54" t="n"/>
      <c r="S91" s="54" t="n"/>
      <c r="T91" s="53" t="inlineStr">
        <is>
          <t>Top Life Domain</t>
        </is>
      </c>
      <c r="U91" s="54" t="n"/>
      <c r="V91" s="54" t="n"/>
      <c r="W91" s="54" t="n"/>
    </row>
    <row r="92" ht="16" customHeight="1">
      <c r="A92" s="165" t="inlineStr">
        <is>
          <t>May</t>
        </is>
      </c>
      <c r="B92" s="56" t="n"/>
      <c r="C92" s="165" t="n">
        <v>2027</v>
      </c>
      <c r="D92" s="56" t="n"/>
      <c r="E92" s="166">
        <f>COUNTA(B18:B37)</f>
        <v/>
      </c>
      <c r="F92" s="56" t="n"/>
      <c r="G92" s="166">
        <f>SUM(D18:D37)</f>
        <v/>
      </c>
      <c r="H92" s="56" t="n"/>
      <c r="I92" s="166">
        <f>SUM(AM18:AM37)</f>
        <v/>
      </c>
      <c r="J92" s="56" t="n"/>
      <c r="K92" s="167">
        <f>IF(G92&gt;0, I92/G92, 0)</f>
        <v/>
      </c>
      <c r="L92" s="56" t="n"/>
      <c r="M92" s="166">
        <f>COUNTIF(E39:AI39, 1)</f>
        <v/>
      </c>
      <c r="N92" s="56" t="n"/>
      <c r="O92" s="168">
        <f>IFERROR(AVERAGE(E47:AI47), 0)</f>
        <v/>
      </c>
      <c r="P92" s="56" t="n"/>
      <c r="Q92" s="166">
        <f>INDEX(A76:A80, MATCH(MAX(E76:E80), E76:E80, 0))</f>
        <v/>
      </c>
      <c r="R92" s="161" t="n"/>
      <c r="S92" s="56" t="n"/>
      <c r="T92" s="166">
        <f>INDEX(N76:N80, MATCH(MAX(S76:S80), S76:S80, 0))</f>
        <v/>
      </c>
      <c r="U92" s="161" t="n"/>
      <c r="V92" s="161" t="n"/>
      <c r="W92" s="56" t="n"/>
    </row>
    <row r="93" ht="14" customHeight="1">
      <c r="A93" s="169" t="inlineStr">
        <is>
          <t>📋 Note: Reference or copy Row 92 directly into an Annual / Quarterly review dashboard to track yearly habit trends.</t>
        </is>
      </c>
    </row>
    <row r="94" ht="8" customHeight="1"/>
    <row r="95">
      <c r="A95" s="170" t="inlineStr">
        <is>
          <t>🏆 MONTHLY WINS &amp; HIGHLIGHTS</t>
        </is>
      </c>
      <c r="J95" s="171" t="inlineStr">
        <is>
          <t>⚠️ FRICTION POINTS &amp; ROOT CAUSES</t>
        </is>
      </c>
      <c r="S95" s="172" t="inlineStr">
        <is>
          <t>🎯 3 KEY ADJUSTMENTS FOR NEXT MONTH</t>
        </is>
      </c>
    </row>
    <row r="96">
      <c r="A96" s="173" t="inlineStr">
        <is>
          <t>1. What went exceptionally well this month?
2. Which habit felt effortless and consistent?
3. Major milestone achieved:</t>
        </is>
      </c>
      <c r="B96" s="174" t="n"/>
      <c r="C96" s="174" t="n"/>
      <c r="D96" s="174" t="n"/>
      <c r="E96" s="174" t="n"/>
      <c r="F96" s="174" t="n"/>
      <c r="G96" s="174" t="n"/>
      <c r="H96" s="174" t="n"/>
      <c r="J96" s="175" t="inlineStr">
        <is>
          <t>1. What caused missed or skipped days?
2. Main triggers / energy drains encountered:
3. Which habit had the lowest consistency and why?</t>
        </is>
      </c>
      <c r="K96" s="176" t="n"/>
      <c r="L96" s="176" t="n"/>
      <c r="M96" s="176" t="n"/>
      <c r="N96" s="176" t="n"/>
      <c r="O96" s="176" t="n"/>
      <c r="P96" s="176" t="n"/>
      <c r="Q96" s="176" t="n"/>
      <c r="S96" s="177" t="inlineStr">
        <is>
          <t>1. Habit Stacking or time adjustment for next month:
2. Environment design change to eliminate friction:
3. One non-negotiable priority protocol:</t>
        </is>
      </c>
      <c r="T96" s="178" t="n"/>
      <c r="U96" s="178" t="n"/>
      <c r="V96" s="178" t="n"/>
      <c r="W96" s="178" t="n"/>
      <c r="X96" s="178" t="n"/>
      <c r="Y96" s="178" t="n"/>
      <c r="Z96" s="178" t="n"/>
    </row>
    <row r="97">
      <c r="A97" s="174" t="n"/>
      <c r="B97" s="174" t="n"/>
      <c r="C97" s="174" t="n"/>
      <c r="D97" s="174" t="n"/>
      <c r="E97" s="174" t="n"/>
      <c r="F97" s="174" t="n"/>
      <c r="G97" s="174" t="n"/>
      <c r="H97" s="174" t="n"/>
      <c r="J97" s="176" t="n"/>
      <c r="K97" s="176" t="n"/>
      <c r="L97" s="176" t="n"/>
      <c r="M97" s="176" t="n"/>
      <c r="N97" s="176" t="n"/>
      <c r="O97" s="176" t="n"/>
      <c r="P97" s="176" t="n"/>
      <c r="Q97" s="176" t="n"/>
      <c r="S97" s="178" t="n"/>
      <c r="T97" s="178" t="n"/>
      <c r="U97" s="178" t="n"/>
      <c r="V97" s="178" t="n"/>
      <c r="W97" s="178" t="n"/>
      <c r="X97" s="178" t="n"/>
      <c r="Y97" s="178" t="n"/>
      <c r="Z97" s="178" t="n"/>
    </row>
    <row r="98">
      <c r="A98" s="174" t="n"/>
      <c r="B98" s="174" t="n"/>
      <c r="C98" s="174" t="n"/>
      <c r="D98" s="174" t="n"/>
      <c r="E98" s="174" t="n"/>
      <c r="F98" s="174" t="n"/>
      <c r="G98" s="174" t="n"/>
      <c r="H98" s="174" t="n"/>
      <c r="J98" s="176" t="n"/>
      <c r="K98" s="176" t="n"/>
      <c r="L98" s="176" t="n"/>
      <c r="M98" s="176" t="n"/>
      <c r="N98" s="176" t="n"/>
      <c r="O98" s="176" t="n"/>
      <c r="P98" s="176" t="n"/>
      <c r="Q98" s="176" t="n"/>
      <c r="S98" s="178" t="n"/>
      <c r="T98" s="178" t="n"/>
      <c r="U98" s="178" t="n"/>
      <c r="V98" s="178" t="n"/>
      <c r="W98" s="178" t="n"/>
      <c r="X98" s="178" t="n"/>
      <c r="Y98" s="178" t="n"/>
      <c r="Z98" s="178" t="n"/>
    </row>
    <row r="99">
      <c r="A99" s="174" t="n"/>
      <c r="B99" s="174" t="n"/>
      <c r="C99" s="174" t="n"/>
      <c r="D99" s="174" t="n"/>
      <c r="E99" s="174" t="n"/>
      <c r="F99" s="174" t="n"/>
      <c r="G99" s="174" t="n"/>
      <c r="H99" s="174" t="n"/>
      <c r="J99" s="176" t="n"/>
      <c r="K99" s="176" t="n"/>
      <c r="L99" s="176" t="n"/>
      <c r="M99" s="176" t="n"/>
      <c r="N99" s="176" t="n"/>
      <c r="O99" s="176" t="n"/>
      <c r="P99" s="176" t="n"/>
      <c r="Q99" s="176" t="n"/>
      <c r="S99" s="178" t="n"/>
      <c r="T99" s="178" t="n"/>
      <c r="U99" s="178" t="n"/>
      <c r="V99" s="178" t="n"/>
      <c r="W99" s="178" t="n"/>
      <c r="X99" s="178" t="n"/>
      <c r="Y99" s="178" t="n"/>
      <c r="Z99" s="178" t="n"/>
    </row>
    <row r="100">
      <c r="A100" s="174" t="n"/>
      <c r="B100" s="174" t="n"/>
      <c r="C100" s="174" t="n"/>
      <c r="D100" s="174" t="n"/>
      <c r="E100" s="174" t="n"/>
      <c r="F100" s="174" t="n"/>
      <c r="G100" s="174" t="n"/>
      <c r="H100" s="174" t="n"/>
      <c r="J100" s="176" t="n"/>
      <c r="K100" s="176" t="n"/>
      <c r="L100" s="176" t="n"/>
      <c r="M100" s="176" t="n"/>
      <c r="N100" s="176" t="n"/>
      <c r="O100" s="176" t="n"/>
      <c r="P100" s="176" t="n"/>
      <c r="Q100" s="176" t="n"/>
      <c r="S100" s="178" t="n"/>
      <c r="T100" s="178" t="n"/>
      <c r="U100" s="178" t="n"/>
      <c r="V100" s="178" t="n"/>
      <c r="W100" s="178" t="n"/>
      <c r="X100" s="178" t="n"/>
      <c r="Y100" s="178" t="n"/>
      <c r="Z100" s="178" t="n"/>
    </row>
    <row r="101">
      <c r="A101" s="174" t="n"/>
      <c r="B101" s="174" t="n"/>
      <c r="C101" s="174" t="n"/>
      <c r="D101" s="174" t="n"/>
      <c r="E101" s="174" t="n"/>
      <c r="F101" s="174" t="n"/>
      <c r="G101" s="174" t="n"/>
      <c r="H101" s="174" t="n"/>
      <c r="J101" s="176" t="n"/>
      <c r="K101" s="176" t="n"/>
      <c r="L101" s="176" t="n"/>
      <c r="M101" s="176" t="n"/>
      <c r="N101" s="176" t="n"/>
      <c r="O101" s="176" t="n"/>
      <c r="P101" s="176" t="n"/>
      <c r="Q101" s="176" t="n"/>
      <c r="S101" s="178" t="n"/>
      <c r="T101" s="178" t="n"/>
      <c r="U101" s="178" t="n"/>
      <c r="V101" s="178" t="n"/>
      <c r="W101" s="178" t="n"/>
      <c r="X101" s="178" t="n"/>
      <c r="Y101" s="178" t="n"/>
      <c r="Z101" s="178" t="n"/>
    </row>
    <row r="102">
      <c r="A102" s="174" t="n"/>
      <c r="B102" s="174" t="n"/>
      <c r="C102" s="174" t="n"/>
      <c r="D102" s="174" t="n"/>
      <c r="E102" s="174" t="n"/>
      <c r="F102" s="174" t="n"/>
      <c r="G102" s="174" t="n"/>
      <c r="H102" s="174" t="n"/>
      <c r="J102" s="176" t="n"/>
      <c r="K102" s="176" t="n"/>
      <c r="L102" s="176" t="n"/>
      <c r="M102" s="176" t="n"/>
      <c r="N102" s="176" t="n"/>
      <c r="O102" s="176" t="n"/>
      <c r="P102" s="176" t="n"/>
      <c r="Q102" s="176" t="n"/>
      <c r="S102" s="178" t="n"/>
      <c r="T102" s="178" t="n"/>
      <c r="U102" s="178" t="n"/>
      <c r="V102" s="178" t="n"/>
      <c r="W102" s="178" t="n"/>
      <c r="X102" s="178" t="n"/>
      <c r="Y102" s="178" t="n"/>
      <c r="Z102" s="178" t="n"/>
    </row>
    <row r="103">
      <c r="A103" s="174" t="n"/>
      <c r="B103" s="174" t="n"/>
      <c r="C103" s="174" t="n"/>
      <c r="D103" s="174" t="n"/>
      <c r="E103" s="174" t="n"/>
      <c r="F103" s="174" t="n"/>
      <c r="G103" s="174" t="n"/>
      <c r="H103" s="174" t="n"/>
      <c r="J103" s="176" t="n"/>
      <c r="K103" s="176" t="n"/>
      <c r="L103" s="176" t="n"/>
      <c r="M103" s="176" t="n"/>
      <c r="N103" s="176" t="n"/>
      <c r="O103" s="176" t="n"/>
      <c r="P103" s="176" t="n"/>
      <c r="Q103" s="176" t="n"/>
      <c r="S103" s="178" t="n"/>
      <c r="T103" s="178" t="n"/>
      <c r="U103" s="178" t="n"/>
      <c r="V103" s="178" t="n"/>
      <c r="W103" s="178" t="n"/>
      <c r="X103" s="178" t="n"/>
      <c r="Y103" s="178" t="n"/>
      <c r="Z103" s="178" t="n"/>
    </row>
  </sheetData>
  <sheetProtection selectLockedCells="1" selectUnlockedCells="1" sheet="1" objects="0" insertRows="1" insertHyperlinks="1" autoFilter="1" scenarios="0" formatColumns="1" deleteColumns="1" insertColumns="1" pivotTables="1" deleteRows="1" formatCells="1" formatRows="1" sort="1"/>
  <mergeCells count="94">
    <mergeCell ref="A9:N9"/>
    <mergeCell ref="N76:O76"/>
    <mergeCell ref="F67:I67"/>
    <mergeCell ref="G87:I87"/>
    <mergeCell ref="A16:A17"/>
    <mergeCell ref="A45:D46"/>
    <mergeCell ref="C16:C17"/>
    <mergeCell ref="N75:O75"/>
    <mergeCell ref="N77:O77"/>
    <mergeCell ref="AE2:AL2"/>
    <mergeCell ref="P9:AL9"/>
    <mergeCell ref="P68:S70"/>
    <mergeCell ref="D16:D17"/>
    <mergeCell ref="N85:Q85"/>
    <mergeCell ref="A95:H95"/>
    <mergeCell ref="A84:AL84"/>
    <mergeCell ref="Q91:S91"/>
    <mergeCell ref="E91:F91"/>
    <mergeCell ref="A8:N8"/>
    <mergeCell ref="A42:AL42"/>
    <mergeCell ref="G91:H91"/>
    <mergeCell ref="J86:M86"/>
    <mergeCell ref="H3:AD3"/>
    <mergeCell ref="K67:N67"/>
    <mergeCell ref="S95:Z95"/>
    <mergeCell ref="N79:O79"/>
    <mergeCell ref="K92:L92"/>
    <mergeCell ref="C92:D92"/>
    <mergeCell ref="M92:N92"/>
    <mergeCell ref="F71:I71"/>
    <mergeCell ref="A88:AL88"/>
    <mergeCell ref="K68:N70"/>
    <mergeCell ref="T91:W91"/>
    <mergeCell ref="A41:AL41"/>
    <mergeCell ref="A90:AL90"/>
    <mergeCell ref="J95:Q95"/>
    <mergeCell ref="D85:F85"/>
    <mergeCell ref="N74:S74"/>
    <mergeCell ref="H2:AD2"/>
    <mergeCell ref="F68:I70"/>
    <mergeCell ref="A91:B91"/>
    <mergeCell ref="N78:O78"/>
    <mergeCell ref="C91:D91"/>
    <mergeCell ref="M91:N91"/>
    <mergeCell ref="O91:P91"/>
    <mergeCell ref="R86:U86"/>
    <mergeCell ref="N80:O80"/>
    <mergeCell ref="B16:B17"/>
    <mergeCell ref="A71:D71"/>
    <mergeCell ref="J85:M85"/>
    <mergeCell ref="D86:F86"/>
    <mergeCell ref="A92:B92"/>
    <mergeCell ref="N87:Q87"/>
    <mergeCell ref="A1:B1"/>
    <mergeCell ref="E92:F92"/>
    <mergeCell ref="AL16:AL17"/>
    <mergeCell ref="A68:D70"/>
    <mergeCell ref="P71:S71"/>
    <mergeCell ref="A86:C86"/>
    <mergeCell ref="D87:F87"/>
    <mergeCell ref="O92:P92"/>
    <mergeCell ref="A6:N6"/>
    <mergeCell ref="A39:D39"/>
    <mergeCell ref="P8:AL8"/>
    <mergeCell ref="P7:AL7"/>
    <mergeCell ref="G86:I86"/>
    <mergeCell ref="A96:H103"/>
    <mergeCell ref="P67:S67"/>
    <mergeCell ref="T92:W92"/>
    <mergeCell ref="R85:U85"/>
    <mergeCell ref="K71:N71"/>
    <mergeCell ref="S96:Z103"/>
    <mergeCell ref="A93:AL93"/>
    <mergeCell ref="A38:D38"/>
    <mergeCell ref="A67:D67"/>
    <mergeCell ref="I91:J91"/>
    <mergeCell ref="A85:C85"/>
    <mergeCell ref="K91:L91"/>
    <mergeCell ref="N86:Q86"/>
    <mergeCell ref="A7:N7"/>
    <mergeCell ref="P6:AL6"/>
    <mergeCell ref="A74:E74"/>
    <mergeCell ref="G85:I85"/>
    <mergeCell ref="G92:H92"/>
    <mergeCell ref="I92:J92"/>
    <mergeCell ref="R87:U87"/>
    <mergeCell ref="AK16:AK17"/>
    <mergeCell ref="J87:M87"/>
    <mergeCell ref="AJ16:AJ17"/>
    <mergeCell ref="J96:Q103"/>
    <mergeCell ref="A12:AL14"/>
    <mergeCell ref="Q92:S92"/>
    <mergeCell ref="A87:C87"/>
    <mergeCell ref="A47:D47"/>
  </mergeCells>
  <conditionalFormatting sqref="AJ18:AJ37">
    <cfRule type="dataBar" priority="1">
      <dataBar>
        <cfvo type="num" val="0"/>
        <cfvo type="num" val="1"/>
        <color rgb="0010B981"/>
      </dataBar>
    </cfRule>
  </conditionalFormatting>
  <conditionalFormatting sqref="E18:AI37">
    <cfRule type="cellIs" priority="2" operator="equal" dxfId="0">
      <formula>"✓"</formula>
    </cfRule>
    <cfRule type="cellIs" priority="3" operator="equal" dxfId="0">
      <formula>"✔"</formula>
    </cfRule>
    <cfRule type="cellIs" priority="4" operator="equal" dxfId="1">
      <formula>"✗"</formula>
    </cfRule>
    <cfRule type="cellIs" priority="5" operator="equal" dxfId="1">
      <formula>"x"</formula>
    </cfRule>
    <cfRule type="cellIs" priority="6" operator="equal" dxfId="1">
      <formula>"X"</formula>
    </cfRule>
  </conditionalFormatting>
  <conditionalFormatting sqref="E16:E17">
    <cfRule type="expression" priority="7" dxfId="2">
      <formula>AND(DAY(TODAY())=1, MONTH(TODAY())=5, YEAR(TODAY())=2027)</formula>
    </cfRule>
  </conditionalFormatting>
  <conditionalFormatting sqref="F16:F17">
    <cfRule type="expression" priority="8" dxfId="2">
      <formula>AND(DAY(TODAY())=2, MONTH(TODAY())=5, YEAR(TODAY())=2027)</formula>
    </cfRule>
  </conditionalFormatting>
  <conditionalFormatting sqref="G16:G17">
    <cfRule type="expression" priority="9" dxfId="2">
      <formula>AND(DAY(TODAY())=3, MONTH(TODAY())=5, YEAR(TODAY())=2027)</formula>
    </cfRule>
  </conditionalFormatting>
  <conditionalFormatting sqref="H16:H17">
    <cfRule type="expression" priority="10" dxfId="2">
      <formula>AND(DAY(TODAY())=4, MONTH(TODAY())=5, YEAR(TODAY())=2027)</formula>
    </cfRule>
  </conditionalFormatting>
  <conditionalFormatting sqref="I16:I17">
    <cfRule type="expression" priority="11" dxfId="2">
      <formula>AND(DAY(TODAY())=5, MONTH(TODAY())=5, YEAR(TODAY())=2027)</formula>
    </cfRule>
  </conditionalFormatting>
  <conditionalFormatting sqref="J16:J17">
    <cfRule type="expression" priority="12" dxfId="2">
      <formula>AND(DAY(TODAY())=6, MONTH(TODAY())=5, YEAR(TODAY())=2027)</formula>
    </cfRule>
  </conditionalFormatting>
  <conditionalFormatting sqref="K16:K17">
    <cfRule type="expression" priority="13" dxfId="2">
      <formula>AND(DAY(TODAY())=7, MONTH(TODAY())=5, YEAR(TODAY())=2027)</formula>
    </cfRule>
  </conditionalFormatting>
  <conditionalFormatting sqref="L16:L17">
    <cfRule type="expression" priority="14" dxfId="2">
      <formula>AND(DAY(TODAY())=8, MONTH(TODAY())=5, YEAR(TODAY())=2027)</formula>
    </cfRule>
  </conditionalFormatting>
  <conditionalFormatting sqref="M16:M17">
    <cfRule type="expression" priority="15" dxfId="2">
      <formula>AND(DAY(TODAY())=9, MONTH(TODAY())=5, YEAR(TODAY())=2027)</formula>
    </cfRule>
  </conditionalFormatting>
  <conditionalFormatting sqref="N16:N17">
    <cfRule type="expression" priority="16" dxfId="2">
      <formula>AND(DAY(TODAY())=10, MONTH(TODAY())=5, YEAR(TODAY())=2027)</formula>
    </cfRule>
  </conditionalFormatting>
  <conditionalFormatting sqref="O16:O17">
    <cfRule type="expression" priority="17" dxfId="2">
      <formula>AND(DAY(TODAY())=11, MONTH(TODAY())=5, YEAR(TODAY())=2027)</formula>
    </cfRule>
  </conditionalFormatting>
  <conditionalFormatting sqref="P16:P17">
    <cfRule type="expression" priority="18" dxfId="2">
      <formula>AND(DAY(TODAY())=12, MONTH(TODAY())=5, YEAR(TODAY())=2027)</formula>
    </cfRule>
  </conditionalFormatting>
  <conditionalFormatting sqref="Q16:Q17">
    <cfRule type="expression" priority="19" dxfId="2">
      <formula>AND(DAY(TODAY())=13, MONTH(TODAY())=5, YEAR(TODAY())=2027)</formula>
    </cfRule>
  </conditionalFormatting>
  <conditionalFormatting sqref="R16:R17">
    <cfRule type="expression" priority="20" dxfId="2">
      <formula>AND(DAY(TODAY())=14, MONTH(TODAY())=5, YEAR(TODAY())=2027)</formula>
    </cfRule>
  </conditionalFormatting>
  <conditionalFormatting sqref="S16:S17">
    <cfRule type="expression" priority="21" dxfId="2">
      <formula>AND(DAY(TODAY())=15, MONTH(TODAY())=5, YEAR(TODAY())=2027)</formula>
    </cfRule>
  </conditionalFormatting>
  <conditionalFormatting sqref="T16:T17">
    <cfRule type="expression" priority="22" dxfId="2">
      <formula>AND(DAY(TODAY())=16, MONTH(TODAY())=5, YEAR(TODAY())=2027)</formula>
    </cfRule>
  </conditionalFormatting>
  <conditionalFormatting sqref="U16:U17">
    <cfRule type="expression" priority="23" dxfId="2">
      <formula>AND(DAY(TODAY())=17, MONTH(TODAY())=5, YEAR(TODAY())=2027)</formula>
    </cfRule>
  </conditionalFormatting>
  <conditionalFormatting sqref="V16:V17">
    <cfRule type="expression" priority="24" dxfId="2">
      <formula>AND(DAY(TODAY())=18, MONTH(TODAY())=5, YEAR(TODAY())=2027)</formula>
    </cfRule>
  </conditionalFormatting>
  <conditionalFormatting sqref="W16:W17">
    <cfRule type="expression" priority="25" dxfId="2">
      <formula>AND(DAY(TODAY())=19, MONTH(TODAY())=5, YEAR(TODAY())=2027)</formula>
    </cfRule>
  </conditionalFormatting>
  <conditionalFormatting sqref="X16:X17">
    <cfRule type="expression" priority="26" dxfId="2">
      <formula>AND(DAY(TODAY())=20, MONTH(TODAY())=5, YEAR(TODAY())=2027)</formula>
    </cfRule>
  </conditionalFormatting>
  <conditionalFormatting sqref="Y16:Y17">
    <cfRule type="expression" priority="27" dxfId="2">
      <formula>AND(DAY(TODAY())=21, MONTH(TODAY())=5, YEAR(TODAY())=2027)</formula>
    </cfRule>
  </conditionalFormatting>
  <conditionalFormatting sqref="Z16:Z17">
    <cfRule type="expression" priority="28" dxfId="2">
      <formula>AND(DAY(TODAY())=22, MONTH(TODAY())=5, YEAR(TODAY())=2027)</formula>
    </cfRule>
  </conditionalFormatting>
  <conditionalFormatting sqref="AA16:AA17">
    <cfRule type="expression" priority="29" dxfId="2">
      <formula>AND(DAY(TODAY())=23, MONTH(TODAY())=5, YEAR(TODAY())=2027)</formula>
    </cfRule>
  </conditionalFormatting>
  <conditionalFormatting sqref="AB16:AB17">
    <cfRule type="expression" priority="30" dxfId="2">
      <formula>AND(DAY(TODAY())=24, MONTH(TODAY())=5, YEAR(TODAY())=2027)</formula>
    </cfRule>
  </conditionalFormatting>
  <conditionalFormatting sqref="AC16:AC17">
    <cfRule type="expression" priority="31" dxfId="2">
      <formula>AND(DAY(TODAY())=25, MONTH(TODAY())=5, YEAR(TODAY())=2027)</formula>
    </cfRule>
  </conditionalFormatting>
  <conditionalFormatting sqref="AD16:AD17">
    <cfRule type="expression" priority="32" dxfId="2">
      <formula>AND(DAY(TODAY())=26, MONTH(TODAY())=5, YEAR(TODAY())=2027)</formula>
    </cfRule>
  </conditionalFormatting>
  <conditionalFormatting sqref="AE16:AE17">
    <cfRule type="expression" priority="33" dxfId="2">
      <formula>AND(DAY(TODAY())=27, MONTH(TODAY())=5, YEAR(TODAY())=2027)</formula>
    </cfRule>
  </conditionalFormatting>
  <conditionalFormatting sqref="AF16:AF17">
    <cfRule type="expression" priority="34" dxfId="2">
      <formula>AND(DAY(TODAY())=28, MONTH(TODAY())=5, YEAR(TODAY())=2027)</formula>
    </cfRule>
  </conditionalFormatting>
  <conditionalFormatting sqref="AG16:AG17">
    <cfRule type="expression" priority="35" dxfId="2">
      <formula>AND(DAY(TODAY())=29, MONTH(TODAY())=5, YEAR(TODAY())=2027)</formula>
    </cfRule>
  </conditionalFormatting>
  <conditionalFormatting sqref="AH16:AH17">
    <cfRule type="expression" priority="36" dxfId="2">
      <formula>AND(DAY(TODAY())=30, MONTH(TODAY())=5, YEAR(TODAY())=2027)</formula>
    </cfRule>
  </conditionalFormatting>
  <conditionalFormatting sqref="AI16:AI17">
    <cfRule type="expression" priority="37" dxfId="2">
      <formula>AND(DAY(TODAY())=31, MONTH(TODAY())=5, YEAR(TODAY())=2027)</formula>
    </cfRule>
  </conditionalFormatting>
  <dataValidations count="4">
    <dataValidation sqref="C18:C37" showDropDown="0" showInputMessage="0" showErrorMessage="0" allowBlank="1" type="list">
      <formula1>"Health &amp; Fitness,Mindset &amp; Learning,Career &amp; Focus,Personal &amp; Home,Finance &amp; Wealth,Other"</formula1>
    </dataValidation>
    <dataValidation sqref="D18:D37" showDropDown="0" showInputMessage="0" showErrorMessage="0" allowBlank="1" type="list">
      <formula1>"1,2,3,4,5,6,7,8,9,10,11,12,13,14,15,16,17,18,19,20,21,22,23,24,25,26,27,28,29,30,31"</formula1>
    </dataValidation>
    <dataValidation sqref="E18:AI37" showDropDown="0" showInputMessage="0" showErrorMessage="0" allowBlank="1" type="list">
      <formula1>"✓,✗"</formula1>
    </dataValidation>
    <dataValidation sqref="E47:AI47" showDropDown="0" showInputMessage="0" showErrorMessage="0" allowBlank="1" type="list">
      <formula1>"1,2,3,4,5,6,7,8,9,10,11,12,13,14,15,16,17,18,19,20,21,22,23,24"</formula1>
    </dataValidation>
  </dataValidations>
  <hyperlinks>
    <hyperlink xmlns:r="http://schemas.openxmlformats.org/officeDocument/2006/relationships" ref="A1" r:id="rId1"/>
    <hyperlink xmlns:r="http://schemas.openxmlformats.org/officeDocument/2006/relationships" ref="C1" r:id="rId2"/>
    <hyperlink xmlns:r="http://schemas.openxmlformats.org/officeDocument/2006/relationships" ref="D1" r:id="rId3"/>
    <hyperlink xmlns:r="http://schemas.openxmlformats.org/officeDocument/2006/relationships" ref="E1" r:id="rId4"/>
    <hyperlink xmlns:r="http://schemas.openxmlformats.org/officeDocument/2006/relationships" ref="F1" r:id="rId5"/>
    <hyperlink xmlns:r="http://schemas.openxmlformats.org/officeDocument/2006/relationships" ref="G1" r:id="rId6"/>
    <hyperlink xmlns:r="http://schemas.openxmlformats.org/officeDocument/2006/relationships" ref="H1" r:id="rId7"/>
    <hyperlink xmlns:r="http://schemas.openxmlformats.org/officeDocument/2006/relationships" ref="I1" r:id="rId8"/>
    <hyperlink xmlns:r="http://schemas.openxmlformats.org/officeDocument/2006/relationships" ref="J1" r:id="rId9"/>
    <hyperlink xmlns:r="http://schemas.openxmlformats.org/officeDocument/2006/relationships" ref="K1" r:id="rId10"/>
  </hyperlinks>
  <printOptions horizontalCentered="1" verticalCentered="0"/>
  <pageMargins left="0.75" right="0.75" top="1" bottom="1" header="0.5" footer="0.5"/>
  <pageSetup orientation="landscape" paperSize="9" fitToHeight="0" fitToWidth="1"/>
  <drawing xmlns:r="http://schemas.openxmlformats.org/officeDocument/2006/relationships" r:id="rId11"/>
</worksheet>
</file>

<file path=xl/worksheets/sheet13.xml><?xml version="1.0" encoding="utf-8"?>
<worksheet xmlns="http://schemas.openxmlformats.org/spreadsheetml/2006/main">
  <sheetPr>
    <outlinePr summaryBelow="1" summaryRight="1"/>
    <pageSetUpPr fitToPage="1"/>
  </sheetPr>
  <dimension ref="A1:AL103"/>
  <sheetViews>
    <sheetView showGridLines="1" workbookViewId="0">
      <selection activeCell="A1" sqref="A1"/>
    </sheetView>
  </sheetViews>
  <sheetFormatPr baseColWidth="8" defaultRowHeight="15"/>
  <cols>
    <col width="6" customWidth="1" min="1" max="1"/>
    <col width="25" customWidth="1" min="2" max="2"/>
    <col width="16.5" customWidth="1" min="3" max="3"/>
    <col width="8" customWidth="1" min="4" max="4"/>
    <col width="4.8" customWidth="1" min="5" max="5"/>
    <col width="4.8" customWidth="1" min="6" max="6"/>
    <col width="4.8" customWidth="1" min="7" max="7"/>
    <col width="4.8" customWidth="1" min="8" max="8"/>
    <col width="4.8" customWidth="1" min="9" max="9"/>
    <col width="4.8" customWidth="1" min="10" max="10"/>
    <col width="4.8" customWidth="1" min="11" max="11"/>
    <col width="4.8" customWidth="1" min="12" max="12"/>
    <col width="4.8" customWidth="1" min="13" max="13"/>
    <col width="4.8" customWidth="1" min="14" max="14"/>
    <col width="4.8" customWidth="1" min="15" max="15"/>
    <col width="4.8" customWidth="1" min="16" max="16"/>
    <col width="4.8" customWidth="1" min="17" max="17"/>
    <col width="4.8" customWidth="1" min="18" max="18"/>
    <col width="4.8" customWidth="1" min="19" max="19"/>
    <col width="4.8" customWidth="1" min="20" max="20"/>
    <col width="4.8" customWidth="1" min="21" max="21"/>
    <col width="4.8" customWidth="1" min="22" max="22"/>
    <col width="4.8" customWidth="1" min="23" max="23"/>
    <col width="4.8" customWidth="1" min="24" max="24"/>
    <col width="4.8" customWidth="1" min="25" max="25"/>
    <col width="4.8" customWidth="1" min="26" max="26"/>
    <col width="4.8" customWidth="1" min="27" max="27"/>
    <col width="4.8" customWidth="1" min="28" max="28"/>
    <col width="4.8" customWidth="1" min="29" max="29"/>
    <col width="4.8" customWidth="1" min="30" max="30"/>
    <col width="4.8" customWidth="1" min="31" max="31"/>
    <col width="4.8" customWidth="1" min="32" max="32"/>
    <col width="4.8" customWidth="1" min="33" max="33"/>
    <col width="4.8" customWidth="1" min="34" max="34"/>
    <col width="11.5" customWidth="1" min="35" max="35"/>
    <col width="12" customWidth="1" min="36" max="36"/>
    <col width="13.5" customWidth="1" min="37" max="37"/>
    <col hidden="1" width="8" customWidth="1" min="38" max="38"/>
  </cols>
  <sheetData>
    <row r="1" ht="18" customHeight="1">
      <c r="A1" s="76" t="inlineStr">
        <is>
          <t>🏠 Master Dashboard</t>
        </is>
      </c>
      <c r="B1" s="40" t="n"/>
      <c r="C1" s="77" t="inlineStr">
        <is>
          <t>🏛️ Quarterly Hub</t>
        </is>
      </c>
      <c r="D1" s="78" t="inlineStr">
        <is>
          <t>📚 Habit Library</t>
        </is>
      </c>
      <c r="E1" s="80" t="inlineStr">
        <is>
          <t>2026</t>
        </is>
      </c>
      <c r="F1" s="79" t="inlineStr">
        <is>
          <t>2027</t>
        </is>
      </c>
      <c r="G1" s="80" t="inlineStr">
        <is>
          <t>2028</t>
        </is>
      </c>
      <c r="H1" s="80" t="inlineStr">
        <is>
          <t>2029</t>
        </is>
      </c>
      <c r="I1" s="80" t="inlineStr">
        <is>
          <t>2030</t>
        </is>
      </c>
      <c r="J1" s="82" t="inlineStr">
        <is>
          <t>◀ Prev</t>
        </is>
      </c>
      <c r="K1" s="82" t="inlineStr">
        <is>
          <t>Next ▶</t>
        </is>
      </c>
    </row>
    <row r="2" ht="24" customHeight="1">
      <c r="A2" s="83" t="inlineStr">
        <is>
          <t>Habit Tracker</t>
        </is>
      </c>
      <c r="H2" s="84" t="inlineStr">
        <is>
          <t>"Your future is created by what you do today."</t>
        </is>
      </c>
      <c r="AD2" s="85" t="inlineStr">
        <is>
          <t>@surajvansh</t>
        </is>
      </c>
    </row>
    <row r="3" ht="18" customHeight="1">
      <c r="A3" s="86" t="inlineStr">
        <is>
          <t>June 2027</t>
        </is>
      </c>
      <c r="H3" s="87" t="inlineStr">
        <is>
          <t>30 Days Dashboard</t>
        </is>
      </c>
    </row>
    <row r="4" ht="5" customHeight="1"/>
    <row r="5" ht="16" customHeight="1">
      <c r="A5" s="88" t="inlineStr">
        <is>
          <t>MONTHLY TARGETS</t>
        </is>
      </c>
    </row>
    <row r="6" ht="13" customHeight="1">
      <c r="A6" s="89" t="inlineStr">
        <is>
          <t>1. ____________________ : ____________________</t>
        </is>
      </c>
      <c r="P6" s="89" t="inlineStr">
        <is>
          <t>5. ____________________ : ____________________</t>
        </is>
      </c>
    </row>
    <row r="7" ht="13" customHeight="1">
      <c r="A7" s="89" t="inlineStr">
        <is>
          <t>2. ____________________ : ____________________</t>
        </is>
      </c>
      <c r="P7" s="89" t="inlineStr">
        <is>
          <t>6. ____________________ : ____________________</t>
        </is>
      </c>
    </row>
    <row r="8" ht="13" customHeight="1">
      <c r="A8" s="89" t="inlineStr">
        <is>
          <t>3. ____________________ : ____________________</t>
        </is>
      </c>
      <c r="P8" s="89" t="inlineStr">
        <is>
          <t>7. ____________________ : ____________________</t>
        </is>
      </c>
    </row>
    <row r="9" ht="13" customHeight="1">
      <c r="A9" s="89" t="inlineStr">
        <is>
          <t>4. ____________________ : ____________________</t>
        </is>
      </c>
      <c r="P9" s="89" t="inlineStr">
        <is>
          <t>8. ____________________ : ____________________</t>
        </is>
      </c>
    </row>
    <row r="10" ht="5" customHeight="1"/>
    <row r="11" ht="15" customHeight="1">
      <c r="A11" s="88" t="inlineStr">
        <is>
          <t>NOTES:</t>
        </is>
      </c>
    </row>
    <row r="12" ht="13" customHeight="1">
      <c r="A12" s="90" t="n"/>
      <c r="B12" s="91" t="n"/>
      <c r="C12" s="91" t="n"/>
      <c r="D12" s="91" t="n"/>
      <c r="E12" s="91" t="n"/>
      <c r="F12" s="91" t="n"/>
      <c r="G12" s="91" t="n"/>
      <c r="H12" s="91" t="n"/>
      <c r="I12" s="91" t="n"/>
      <c r="J12" s="91" t="n"/>
      <c r="K12" s="91" t="n"/>
      <c r="L12" s="91" t="n"/>
      <c r="M12" s="91" t="n"/>
      <c r="N12" s="91" t="n"/>
      <c r="O12" s="91" t="n"/>
      <c r="P12" s="91" t="n"/>
      <c r="Q12" s="91" t="n"/>
      <c r="R12" s="91" t="n"/>
      <c r="S12" s="91" t="n"/>
      <c r="T12" s="91" t="n"/>
      <c r="U12" s="91" t="n"/>
      <c r="V12" s="91" t="n"/>
      <c r="W12" s="91" t="n"/>
      <c r="X12" s="91" t="n"/>
      <c r="Y12" s="91" t="n"/>
      <c r="Z12" s="91" t="n"/>
      <c r="AA12" s="91" t="n"/>
      <c r="AB12" s="91" t="n"/>
      <c r="AC12" s="91" t="n"/>
      <c r="AD12" s="91" t="n"/>
      <c r="AE12" s="91" t="n"/>
      <c r="AF12" s="91" t="n"/>
      <c r="AG12" s="91" t="n"/>
      <c r="AH12" s="91" t="n"/>
      <c r="AI12" s="91" t="n"/>
      <c r="AJ12" s="91" t="n"/>
      <c r="AK12" s="91" t="n"/>
    </row>
    <row r="13" ht="13" customHeight="1">
      <c r="A13" s="91" t="n"/>
      <c r="B13" s="91" t="n"/>
      <c r="C13" s="91" t="n"/>
      <c r="D13" s="91" t="n"/>
      <c r="E13" s="91" t="n"/>
      <c r="F13" s="91" t="n"/>
      <c r="G13" s="91" t="n"/>
      <c r="H13" s="91" t="n"/>
      <c r="I13" s="91" t="n"/>
      <c r="J13" s="91" t="n"/>
      <c r="K13" s="91" t="n"/>
      <c r="L13" s="91" t="n"/>
      <c r="M13" s="91" t="n"/>
      <c r="N13" s="91" t="n"/>
      <c r="O13" s="91" t="n"/>
      <c r="P13" s="91" t="n"/>
      <c r="Q13" s="91" t="n"/>
      <c r="R13" s="91" t="n"/>
      <c r="S13" s="91" t="n"/>
      <c r="T13" s="91" t="n"/>
      <c r="U13" s="91" t="n"/>
      <c r="V13" s="91" t="n"/>
      <c r="W13" s="91" t="n"/>
      <c r="X13" s="91" t="n"/>
      <c r="Y13" s="91" t="n"/>
      <c r="Z13" s="91" t="n"/>
      <c r="AA13" s="91" t="n"/>
      <c r="AB13" s="91" t="n"/>
      <c r="AC13" s="91" t="n"/>
      <c r="AD13" s="91" t="n"/>
      <c r="AE13" s="91" t="n"/>
      <c r="AF13" s="91" t="n"/>
      <c r="AG13" s="91" t="n"/>
      <c r="AH13" s="91" t="n"/>
      <c r="AI13" s="91" t="n"/>
      <c r="AJ13" s="91" t="n"/>
      <c r="AK13" s="91" t="n"/>
    </row>
    <row r="14" ht="13" customHeight="1">
      <c r="A14" s="91" t="n"/>
      <c r="B14" s="91" t="n"/>
      <c r="C14" s="91" t="n"/>
      <c r="D14" s="91" t="n"/>
      <c r="E14" s="91" t="n"/>
      <c r="F14" s="91" t="n"/>
      <c r="G14" s="91" t="n"/>
      <c r="H14" s="91" t="n"/>
      <c r="I14" s="91" t="n"/>
      <c r="J14" s="91" t="n"/>
      <c r="K14" s="91" t="n"/>
      <c r="L14" s="91" t="n"/>
      <c r="M14" s="91" t="n"/>
      <c r="N14" s="91" t="n"/>
      <c r="O14" s="91" t="n"/>
      <c r="P14" s="91" t="n"/>
      <c r="Q14" s="91" t="n"/>
      <c r="R14" s="91" t="n"/>
      <c r="S14" s="91" t="n"/>
      <c r="T14" s="91" t="n"/>
      <c r="U14" s="91" t="n"/>
      <c r="V14" s="91" t="n"/>
      <c r="W14" s="91" t="n"/>
      <c r="X14" s="91" t="n"/>
      <c r="Y14" s="91" t="n"/>
      <c r="Z14" s="91" t="n"/>
      <c r="AA14" s="91" t="n"/>
      <c r="AB14" s="91" t="n"/>
      <c r="AC14" s="91" t="n"/>
      <c r="AD14" s="91" t="n"/>
      <c r="AE14" s="91" t="n"/>
      <c r="AF14" s="91" t="n"/>
      <c r="AG14" s="91" t="n"/>
      <c r="AH14" s="91" t="n"/>
      <c r="AI14" s="91" t="n"/>
      <c r="AJ14" s="91" t="n"/>
      <c r="AK14" s="91" t="n"/>
    </row>
    <row r="15" ht="8" customHeight="1"/>
    <row r="16" ht="15" customHeight="1">
      <c r="A16" s="33" t="inlineStr">
        <is>
          <t>S.No.</t>
        </is>
      </c>
      <c r="B16" s="33" t="inlineStr">
        <is>
          <t>Protocols</t>
        </is>
      </c>
      <c r="C16" s="33" t="inlineStr">
        <is>
          <t>Category</t>
        </is>
      </c>
      <c r="D16" s="33" t="inlineStr">
        <is>
          <t>Target</t>
        </is>
      </c>
      <c r="E16" s="92" t="n">
        <v>1</v>
      </c>
      <c r="F16" s="92" t="n">
        <v>2</v>
      </c>
      <c r="G16" s="92" t="n">
        <v>3</v>
      </c>
      <c r="H16" s="92" t="n">
        <v>4</v>
      </c>
      <c r="I16" s="92" t="n">
        <v>5</v>
      </c>
      <c r="J16" s="93" t="n">
        <v>6</v>
      </c>
      <c r="K16" s="92" t="n">
        <v>7</v>
      </c>
      <c r="L16" s="92" t="n">
        <v>8</v>
      </c>
      <c r="M16" s="92" t="n">
        <v>9</v>
      </c>
      <c r="N16" s="92" t="n">
        <v>10</v>
      </c>
      <c r="O16" s="92" t="n">
        <v>11</v>
      </c>
      <c r="P16" s="92" t="n">
        <v>12</v>
      </c>
      <c r="Q16" s="93" t="n">
        <v>13</v>
      </c>
      <c r="R16" s="92" t="n">
        <v>14</v>
      </c>
      <c r="S16" s="92" t="n">
        <v>15</v>
      </c>
      <c r="T16" s="92" t="n">
        <v>16</v>
      </c>
      <c r="U16" s="92" t="n">
        <v>17</v>
      </c>
      <c r="V16" s="92" t="n">
        <v>18</v>
      </c>
      <c r="W16" s="92" t="n">
        <v>19</v>
      </c>
      <c r="X16" s="93" t="n">
        <v>20</v>
      </c>
      <c r="Y16" s="92" t="n">
        <v>21</v>
      </c>
      <c r="Z16" s="92" t="n">
        <v>22</v>
      </c>
      <c r="AA16" s="92" t="n">
        <v>23</v>
      </c>
      <c r="AB16" s="92" t="n">
        <v>24</v>
      </c>
      <c r="AC16" s="92" t="n">
        <v>25</v>
      </c>
      <c r="AD16" s="92" t="n">
        <v>26</v>
      </c>
      <c r="AE16" s="93" t="n">
        <v>27</v>
      </c>
      <c r="AF16" s="92" t="n">
        <v>28</v>
      </c>
      <c r="AG16" s="92" t="n">
        <v>29</v>
      </c>
      <c r="AH16" s="92" t="n">
        <v>30</v>
      </c>
      <c r="AI16" s="94" t="inlineStr">
        <is>
          <t>Success %</t>
        </is>
      </c>
      <c r="AJ16" s="94" t="inlineStr">
        <is>
          <t>Done / Target</t>
        </is>
      </c>
      <c r="AK16" s="94" t="inlineStr">
        <is>
          <t>Status</t>
        </is>
      </c>
      <c r="AL16" t="inlineStr">
        <is>
          <t>Done Count</t>
        </is>
      </c>
    </row>
    <row r="17" ht="15" customHeight="1">
      <c r="A17" s="54" t="n"/>
      <c r="B17" s="54" t="n"/>
      <c r="C17" s="54" t="n"/>
      <c r="D17" s="54" t="n"/>
      <c r="E17" s="95" t="inlineStr">
        <is>
          <t>T</t>
        </is>
      </c>
      <c r="F17" s="95" t="inlineStr">
        <is>
          <t>W</t>
        </is>
      </c>
      <c r="G17" s="95" t="inlineStr">
        <is>
          <t>Th</t>
        </is>
      </c>
      <c r="H17" s="95" t="inlineStr">
        <is>
          <t>F</t>
        </is>
      </c>
      <c r="I17" s="95" t="inlineStr">
        <is>
          <t>Sa</t>
        </is>
      </c>
      <c r="J17" s="96" t="inlineStr">
        <is>
          <t>Su</t>
        </is>
      </c>
      <c r="K17" s="95" t="inlineStr">
        <is>
          <t>M</t>
        </is>
      </c>
      <c r="L17" s="95" t="inlineStr">
        <is>
          <t>T</t>
        </is>
      </c>
      <c r="M17" s="95" t="inlineStr">
        <is>
          <t>W</t>
        </is>
      </c>
      <c r="N17" s="95" t="inlineStr">
        <is>
          <t>Th</t>
        </is>
      </c>
      <c r="O17" s="95" t="inlineStr">
        <is>
          <t>F</t>
        </is>
      </c>
      <c r="P17" s="95" t="inlineStr">
        <is>
          <t>Sa</t>
        </is>
      </c>
      <c r="Q17" s="96" t="inlineStr">
        <is>
          <t>Su</t>
        </is>
      </c>
      <c r="R17" s="95" t="inlineStr">
        <is>
          <t>M</t>
        </is>
      </c>
      <c r="S17" s="95" t="inlineStr">
        <is>
          <t>T</t>
        </is>
      </c>
      <c r="T17" s="95" t="inlineStr">
        <is>
          <t>W</t>
        </is>
      </c>
      <c r="U17" s="95" t="inlineStr">
        <is>
          <t>Th</t>
        </is>
      </c>
      <c r="V17" s="95" t="inlineStr">
        <is>
          <t>F</t>
        </is>
      </c>
      <c r="W17" s="95" t="inlineStr">
        <is>
          <t>Sa</t>
        </is>
      </c>
      <c r="X17" s="96" t="inlineStr">
        <is>
          <t>Su</t>
        </is>
      </c>
      <c r="Y17" s="95" t="inlineStr">
        <is>
          <t>M</t>
        </is>
      </c>
      <c r="Z17" s="95" t="inlineStr">
        <is>
          <t>T</t>
        </is>
      </c>
      <c r="AA17" s="95" t="inlineStr">
        <is>
          <t>W</t>
        </is>
      </c>
      <c r="AB17" s="95" t="inlineStr">
        <is>
          <t>Th</t>
        </is>
      </c>
      <c r="AC17" s="95" t="inlineStr">
        <is>
          <t>F</t>
        </is>
      </c>
      <c r="AD17" s="95" t="inlineStr">
        <is>
          <t>Sa</t>
        </is>
      </c>
      <c r="AE17" s="96" t="inlineStr">
        <is>
          <t>Su</t>
        </is>
      </c>
      <c r="AF17" s="95" t="inlineStr">
        <is>
          <t>M</t>
        </is>
      </c>
      <c r="AG17" s="95" t="inlineStr">
        <is>
          <t>T</t>
        </is>
      </c>
      <c r="AH17" s="95" t="inlineStr">
        <is>
          <t>W</t>
        </is>
      </c>
      <c r="AI17" s="54" t="n"/>
      <c r="AJ17" s="54" t="n"/>
      <c r="AK17" s="54" t="n"/>
    </row>
    <row r="18" ht="14.5" customHeight="1">
      <c r="A18" s="97" t="n">
        <v>1</v>
      </c>
      <c r="B18" s="98" t="n"/>
      <c r="C18" s="99" t="n"/>
      <c r="D18" s="99" t="n"/>
      <c r="E18" s="100" t="n"/>
      <c r="F18" s="100" t="n"/>
      <c r="G18" s="100" t="n"/>
      <c r="H18" s="100" t="n"/>
      <c r="I18" s="100" t="n"/>
      <c r="J18" s="101" t="n"/>
      <c r="K18" s="100" t="n"/>
      <c r="L18" s="100" t="n"/>
      <c r="M18" s="100" t="n"/>
      <c r="N18" s="100" t="n"/>
      <c r="O18" s="100" t="n"/>
      <c r="P18" s="100" t="n"/>
      <c r="Q18" s="101" t="n"/>
      <c r="R18" s="100" t="n"/>
      <c r="S18" s="100" t="n"/>
      <c r="T18" s="100" t="n"/>
      <c r="U18" s="100" t="n"/>
      <c r="V18" s="100" t="n"/>
      <c r="W18" s="100" t="n"/>
      <c r="X18" s="101" t="n"/>
      <c r="Y18" s="100" t="n"/>
      <c r="Z18" s="100" t="n"/>
      <c r="AA18" s="100" t="n"/>
      <c r="AB18" s="100" t="n"/>
      <c r="AC18" s="100" t="n"/>
      <c r="AD18" s="100" t="n"/>
      <c r="AE18" s="101" t="n"/>
      <c r="AF18" s="100" t="n"/>
      <c r="AG18" s="100" t="n"/>
      <c r="AH18" s="100" t="n"/>
      <c r="AI18" s="102">
        <f>IF(ISBLANK(B18), "", IF(ISNUMBER(D18), IF(D18&gt;0, (COUNTIF(E18:AH18, "✓") + COUNTIF(E18:AH18, "✔") + COUNTIF(E18:AH18, "v") + COUNTIF(E18:AH18, "V"))/D18, 0), IF(((COUNTIF(E18:AH18, "✓") + COUNTIF(E18:AH18, "✔") + COUNTIF(E18:AH18, "v") + COUNTIF(E18:AH18, "V")) + COUNTIF(E18:AH18, "✗") + COUNTIF(E18:AH18, "x") + COUNTIF(E18:AH18, "X"))&gt;0, (COUNTIF(E18:AH18, "✓") + COUNTIF(E18:AH18, "✔") + COUNTIF(E18:AH18, "v") + COUNTIF(E18:AH18, "V"))/((COUNTIF(E18:AH18, "✓") + COUNTIF(E18:AH18, "✔") + COUNTIF(E18:AH18, "v") + COUNTIF(E18:AH18, "V")) + COUNTIF(E18:AH18, "✗") + COUNTIF(E18:AH18, "x") + COUNTIF(E18:AH18, "X")), "")))</f>
        <v/>
      </c>
      <c r="AJ18" s="103">
        <f>IF(ISBLANK(B18), "", IF(ISNUMBER(D18), IF(D18&gt;0, (COUNTIF(E18:AH18, "✓") + COUNTIF(E18:AH18, "✔") + COUNTIF(E18:AH18, "v") + COUNTIF(E18:AH18, "V")) &amp; "/" &amp; D18, (COUNTIF(E18:AH18, "✓") + COUNTIF(E18:AH18, "✔") + COUNTIF(E18:AH18, "v") + COUNTIF(E18:AH18, "V")) &amp; "/0"), IF(((COUNTIF(E18:AH18, "✓") + COUNTIF(E18:AH18, "✔") + COUNTIF(E18:AH18, "v") + COUNTIF(E18:AH18, "V")) + COUNTIF(E18:AH18, "✗") + COUNTIF(E18:AH18, "x") + COUNTIF(E18:AH18, "X"))&gt;0, (COUNTIF(E18:AH18, "✓") + COUNTIF(E18:AH18, "✔") + COUNTIF(E18:AH18, "v") + COUNTIF(E18:AH18, "V")) &amp; "/" &amp; ((COUNTIF(E18:AH18, "✓") + COUNTIF(E18:AH18, "✔") + COUNTIF(E18:AH18, "v") + COUNTIF(E18:AH18, "V")) + COUNTIF(E18:AH18, "✗") + COUNTIF(E18:AH18, "x") + COUNTIF(E18:AH18, "X")), "")))</f>
        <v/>
      </c>
      <c r="AK18" s="103">
        <f>IF(ISBLANK(B18), "", IF(AI18&gt;=0.85, "🔥 Mastered", IF(AI18&gt;=0.7, "⚡ Consistent", "⚠️ Needs Focus")))</f>
        <v/>
      </c>
      <c r="AL18">
        <f>COUNTIF(E18:AH18, "✓")</f>
        <v/>
      </c>
    </row>
    <row r="19" ht="14.5" customHeight="1">
      <c r="A19" s="97" t="n">
        <v>2</v>
      </c>
      <c r="B19" s="98" t="n"/>
      <c r="C19" s="99" t="n"/>
      <c r="D19" s="99" t="n"/>
      <c r="E19" s="100" t="n"/>
      <c r="F19" s="100" t="n"/>
      <c r="G19" s="100" t="n"/>
      <c r="H19" s="100" t="n"/>
      <c r="I19" s="100" t="n"/>
      <c r="J19" s="101" t="n"/>
      <c r="K19" s="100" t="n"/>
      <c r="L19" s="100" t="n"/>
      <c r="M19" s="100" t="n"/>
      <c r="N19" s="100" t="n"/>
      <c r="O19" s="100" t="n"/>
      <c r="P19" s="100" t="n"/>
      <c r="Q19" s="101" t="n"/>
      <c r="R19" s="100" t="n"/>
      <c r="S19" s="100" t="n"/>
      <c r="T19" s="100" t="n"/>
      <c r="U19" s="100" t="n"/>
      <c r="V19" s="100" t="n"/>
      <c r="W19" s="100" t="n"/>
      <c r="X19" s="101" t="n"/>
      <c r="Y19" s="100" t="n"/>
      <c r="Z19" s="100" t="n"/>
      <c r="AA19" s="100" t="n"/>
      <c r="AB19" s="100" t="n"/>
      <c r="AC19" s="100" t="n"/>
      <c r="AD19" s="100" t="n"/>
      <c r="AE19" s="101" t="n"/>
      <c r="AF19" s="100" t="n"/>
      <c r="AG19" s="100" t="n"/>
      <c r="AH19" s="100" t="n"/>
      <c r="AI19" s="102">
        <f>IF(ISBLANK(B19), "", IF(ISNUMBER(D19), IF(D19&gt;0, (COUNTIF(E19:AH19, "✓") + COUNTIF(E19:AH19, "✔") + COUNTIF(E19:AH19, "v") + COUNTIF(E19:AH19, "V"))/D19, 0), IF(((COUNTIF(E19:AH19, "✓") + COUNTIF(E19:AH19, "✔") + COUNTIF(E19:AH19, "v") + COUNTIF(E19:AH19, "V")) + COUNTIF(E19:AH19, "✗") + COUNTIF(E19:AH19, "x") + COUNTIF(E19:AH19, "X"))&gt;0, (COUNTIF(E19:AH19, "✓") + COUNTIF(E19:AH19, "✔") + COUNTIF(E19:AH19, "v") + COUNTIF(E19:AH19, "V"))/((COUNTIF(E19:AH19, "✓") + COUNTIF(E19:AH19, "✔") + COUNTIF(E19:AH19, "v") + COUNTIF(E19:AH19, "V")) + COUNTIF(E19:AH19, "✗") + COUNTIF(E19:AH19, "x") + COUNTIF(E19:AH19, "X")), "")))</f>
        <v/>
      </c>
      <c r="AJ19" s="103">
        <f>IF(ISBLANK(B19), "", IF(ISNUMBER(D19), IF(D19&gt;0, (COUNTIF(E19:AH19, "✓") + COUNTIF(E19:AH19, "✔") + COUNTIF(E19:AH19, "v") + COUNTIF(E19:AH19, "V")) &amp; "/" &amp; D19, (COUNTIF(E19:AH19, "✓") + COUNTIF(E19:AH19, "✔") + COUNTIF(E19:AH19, "v") + COUNTIF(E19:AH19, "V")) &amp; "/0"), IF(((COUNTIF(E19:AH19, "✓") + COUNTIF(E19:AH19, "✔") + COUNTIF(E19:AH19, "v") + COUNTIF(E19:AH19, "V")) + COUNTIF(E19:AH19, "✗") + COUNTIF(E19:AH19, "x") + COUNTIF(E19:AH19, "X"))&gt;0, (COUNTIF(E19:AH19, "✓") + COUNTIF(E19:AH19, "✔") + COUNTIF(E19:AH19, "v") + COUNTIF(E19:AH19, "V")) &amp; "/" &amp; ((COUNTIF(E19:AH19, "✓") + COUNTIF(E19:AH19, "✔") + COUNTIF(E19:AH19, "v") + COUNTIF(E19:AH19, "V")) + COUNTIF(E19:AH19, "✗") + COUNTIF(E19:AH19, "x") + COUNTIF(E19:AH19, "X")), "")))</f>
        <v/>
      </c>
      <c r="AK19" s="103">
        <f>IF(ISBLANK(B19), "", IF(AI19&gt;=0.85, "🔥 Mastered", IF(AI19&gt;=0.7, "⚡ Consistent", "⚠️ Needs Focus")))</f>
        <v/>
      </c>
      <c r="AL19">
        <f>COUNTIF(E19:AH19, "✓")</f>
        <v/>
      </c>
    </row>
    <row r="20" ht="14.5" customHeight="1">
      <c r="A20" s="97" t="n">
        <v>3</v>
      </c>
      <c r="B20" s="98" t="n"/>
      <c r="C20" s="99" t="n"/>
      <c r="D20" s="99" t="n"/>
      <c r="E20" s="100" t="n"/>
      <c r="F20" s="100" t="n"/>
      <c r="G20" s="100" t="n"/>
      <c r="H20" s="100" t="n"/>
      <c r="I20" s="100" t="n"/>
      <c r="J20" s="101" t="n"/>
      <c r="K20" s="100" t="n"/>
      <c r="L20" s="100" t="n"/>
      <c r="M20" s="100" t="n"/>
      <c r="N20" s="100" t="n"/>
      <c r="O20" s="100" t="n"/>
      <c r="P20" s="100" t="n"/>
      <c r="Q20" s="101" t="n"/>
      <c r="R20" s="100" t="n"/>
      <c r="S20" s="100" t="n"/>
      <c r="T20" s="100" t="n"/>
      <c r="U20" s="100" t="n"/>
      <c r="V20" s="100" t="n"/>
      <c r="W20" s="100" t="n"/>
      <c r="X20" s="101" t="n"/>
      <c r="Y20" s="100" t="n"/>
      <c r="Z20" s="100" t="n"/>
      <c r="AA20" s="100" t="n"/>
      <c r="AB20" s="100" t="n"/>
      <c r="AC20" s="100" t="n"/>
      <c r="AD20" s="100" t="n"/>
      <c r="AE20" s="101" t="n"/>
      <c r="AF20" s="100" t="n"/>
      <c r="AG20" s="100" t="n"/>
      <c r="AH20" s="100" t="n"/>
      <c r="AI20" s="102">
        <f>IF(ISBLANK(B20), "", IF(ISNUMBER(D20), IF(D20&gt;0, (COUNTIF(E20:AH20, "✓") + COUNTIF(E20:AH20, "✔") + COUNTIF(E20:AH20, "v") + COUNTIF(E20:AH20, "V"))/D20, 0), IF(((COUNTIF(E20:AH20, "✓") + COUNTIF(E20:AH20, "✔") + COUNTIF(E20:AH20, "v") + COUNTIF(E20:AH20, "V")) + COUNTIF(E20:AH20, "✗") + COUNTIF(E20:AH20, "x") + COUNTIF(E20:AH20, "X"))&gt;0, (COUNTIF(E20:AH20, "✓") + COUNTIF(E20:AH20, "✔") + COUNTIF(E20:AH20, "v") + COUNTIF(E20:AH20, "V"))/((COUNTIF(E20:AH20, "✓") + COUNTIF(E20:AH20, "✔") + COUNTIF(E20:AH20, "v") + COUNTIF(E20:AH20, "V")) + COUNTIF(E20:AH20, "✗") + COUNTIF(E20:AH20, "x") + COUNTIF(E20:AH20, "X")), "")))</f>
        <v/>
      </c>
      <c r="AJ20" s="103">
        <f>IF(ISBLANK(B20), "", IF(ISNUMBER(D20), IF(D20&gt;0, (COUNTIF(E20:AH20, "✓") + COUNTIF(E20:AH20, "✔") + COUNTIF(E20:AH20, "v") + COUNTIF(E20:AH20, "V")) &amp; "/" &amp; D20, (COUNTIF(E20:AH20, "✓") + COUNTIF(E20:AH20, "✔") + COUNTIF(E20:AH20, "v") + COUNTIF(E20:AH20, "V")) &amp; "/0"), IF(((COUNTIF(E20:AH20, "✓") + COUNTIF(E20:AH20, "✔") + COUNTIF(E20:AH20, "v") + COUNTIF(E20:AH20, "V")) + COUNTIF(E20:AH20, "✗") + COUNTIF(E20:AH20, "x") + COUNTIF(E20:AH20, "X"))&gt;0, (COUNTIF(E20:AH20, "✓") + COUNTIF(E20:AH20, "✔") + COUNTIF(E20:AH20, "v") + COUNTIF(E20:AH20, "V")) &amp; "/" &amp; ((COUNTIF(E20:AH20, "✓") + COUNTIF(E20:AH20, "✔") + COUNTIF(E20:AH20, "v") + COUNTIF(E20:AH20, "V")) + COUNTIF(E20:AH20, "✗") + COUNTIF(E20:AH20, "x") + COUNTIF(E20:AH20, "X")), "")))</f>
        <v/>
      </c>
      <c r="AK20" s="103">
        <f>IF(ISBLANK(B20), "", IF(AI20&gt;=0.85, "🔥 Mastered", IF(AI20&gt;=0.7, "⚡ Consistent", "⚠️ Needs Focus")))</f>
        <v/>
      </c>
      <c r="AL20">
        <f>COUNTIF(E20:AH20, "✓")</f>
        <v/>
      </c>
    </row>
    <row r="21" ht="14.5" customHeight="1">
      <c r="A21" s="97" t="n">
        <v>4</v>
      </c>
      <c r="B21" s="98" t="n"/>
      <c r="C21" s="99" t="n"/>
      <c r="D21" s="99" t="n"/>
      <c r="E21" s="100" t="n"/>
      <c r="F21" s="100" t="n"/>
      <c r="G21" s="100" t="n"/>
      <c r="H21" s="100" t="n"/>
      <c r="I21" s="100" t="n"/>
      <c r="J21" s="101" t="n"/>
      <c r="K21" s="100" t="n"/>
      <c r="L21" s="100" t="n"/>
      <c r="M21" s="100" t="n"/>
      <c r="N21" s="100" t="n"/>
      <c r="O21" s="100" t="n"/>
      <c r="P21" s="100" t="n"/>
      <c r="Q21" s="101" t="n"/>
      <c r="R21" s="100" t="n"/>
      <c r="S21" s="100" t="n"/>
      <c r="T21" s="100" t="n"/>
      <c r="U21" s="100" t="n"/>
      <c r="V21" s="100" t="n"/>
      <c r="W21" s="100" t="n"/>
      <c r="X21" s="101" t="n"/>
      <c r="Y21" s="100" t="n"/>
      <c r="Z21" s="100" t="n"/>
      <c r="AA21" s="100" t="n"/>
      <c r="AB21" s="100" t="n"/>
      <c r="AC21" s="100" t="n"/>
      <c r="AD21" s="100" t="n"/>
      <c r="AE21" s="101" t="n"/>
      <c r="AF21" s="100" t="n"/>
      <c r="AG21" s="100" t="n"/>
      <c r="AH21" s="100" t="n"/>
      <c r="AI21" s="102">
        <f>IF(ISBLANK(B21), "", IF(ISNUMBER(D21), IF(D21&gt;0, (COUNTIF(E21:AH21, "✓") + COUNTIF(E21:AH21, "✔") + COUNTIF(E21:AH21, "v") + COUNTIF(E21:AH21, "V"))/D21, 0), IF(((COUNTIF(E21:AH21, "✓") + COUNTIF(E21:AH21, "✔") + COUNTIF(E21:AH21, "v") + COUNTIF(E21:AH21, "V")) + COUNTIF(E21:AH21, "✗") + COUNTIF(E21:AH21, "x") + COUNTIF(E21:AH21, "X"))&gt;0, (COUNTIF(E21:AH21, "✓") + COUNTIF(E21:AH21, "✔") + COUNTIF(E21:AH21, "v") + COUNTIF(E21:AH21, "V"))/((COUNTIF(E21:AH21, "✓") + COUNTIF(E21:AH21, "✔") + COUNTIF(E21:AH21, "v") + COUNTIF(E21:AH21, "V")) + COUNTIF(E21:AH21, "✗") + COUNTIF(E21:AH21, "x") + COUNTIF(E21:AH21, "X")), "")))</f>
        <v/>
      </c>
      <c r="AJ21" s="103">
        <f>IF(ISBLANK(B21), "", IF(ISNUMBER(D21), IF(D21&gt;0, (COUNTIF(E21:AH21, "✓") + COUNTIF(E21:AH21, "✔") + COUNTIF(E21:AH21, "v") + COUNTIF(E21:AH21, "V")) &amp; "/" &amp; D21, (COUNTIF(E21:AH21, "✓") + COUNTIF(E21:AH21, "✔") + COUNTIF(E21:AH21, "v") + COUNTIF(E21:AH21, "V")) &amp; "/0"), IF(((COUNTIF(E21:AH21, "✓") + COUNTIF(E21:AH21, "✔") + COUNTIF(E21:AH21, "v") + COUNTIF(E21:AH21, "V")) + COUNTIF(E21:AH21, "✗") + COUNTIF(E21:AH21, "x") + COUNTIF(E21:AH21, "X"))&gt;0, (COUNTIF(E21:AH21, "✓") + COUNTIF(E21:AH21, "✔") + COUNTIF(E21:AH21, "v") + COUNTIF(E21:AH21, "V")) &amp; "/" &amp; ((COUNTIF(E21:AH21, "✓") + COUNTIF(E21:AH21, "✔") + COUNTIF(E21:AH21, "v") + COUNTIF(E21:AH21, "V")) + COUNTIF(E21:AH21, "✗") + COUNTIF(E21:AH21, "x") + COUNTIF(E21:AH21, "X")), "")))</f>
        <v/>
      </c>
      <c r="AK21" s="103">
        <f>IF(ISBLANK(B21), "", IF(AI21&gt;=0.85, "🔥 Mastered", IF(AI21&gt;=0.7, "⚡ Consistent", "⚠️ Needs Focus")))</f>
        <v/>
      </c>
      <c r="AL21">
        <f>COUNTIF(E21:AH21, "✓")</f>
        <v/>
      </c>
    </row>
    <row r="22" ht="14.5" customHeight="1">
      <c r="A22" s="104" t="n">
        <v>5</v>
      </c>
      <c r="B22" s="105" t="n"/>
      <c r="C22" s="106" t="n"/>
      <c r="D22" s="106" t="n"/>
      <c r="E22" s="107" t="n"/>
      <c r="F22" s="107" t="n"/>
      <c r="G22" s="107" t="n"/>
      <c r="H22" s="107" t="n"/>
      <c r="I22" s="107" t="n"/>
      <c r="J22" s="108" t="n"/>
      <c r="K22" s="107" t="n"/>
      <c r="L22" s="107" t="n"/>
      <c r="M22" s="107" t="n"/>
      <c r="N22" s="107" t="n"/>
      <c r="O22" s="107" t="n"/>
      <c r="P22" s="107" t="n"/>
      <c r="Q22" s="108" t="n"/>
      <c r="R22" s="107" t="n"/>
      <c r="S22" s="107" t="n"/>
      <c r="T22" s="107" t="n"/>
      <c r="U22" s="107" t="n"/>
      <c r="V22" s="107" t="n"/>
      <c r="W22" s="107" t="n"/>
      <c r="X22" s="108" t="n"/>
      <c r="Y22" s="107" t="n"/>
      <c r="Z22" s="107" t="n"/>
      <c r="AA22" s="107" t="n"/>
      <c r="AB22" s="107" t="n"/>
      <c r="AC22" s="107" t="n"/>
      <c r="AD22" s="107" t="n"/>
      <c r="AE22" s="108" t="n"/>
      <c r="AF22" s="107" t="n"/>
      <c r="AG22" s="107" t="n"/>
      <c r="AH22" s="107" t="n"/>
      <c r="AI22" s="109">
        <f>IF(ISBLANK(B22), "", IF(ISNUMBER(D22), IF(D22&gt;0, (COUNTIF(E22:AH22, "✓") + COUNTIF(E22:AH22, "✔") + COUNTIF(E22:AH22, "v") + COUNTIF(E22:AH22, "V"))/D22, 0), IF(((COUNTIF(E22:AH22, "✓") + COUNTIF(E22:AH22, "✔") + COUNTIF(E22:AH22, "v") + COUNTIF(E22:AH22, "V")) + COUNTIF(E22:AH22, "✗") + COUNTIF(E22:AH22, "x") + COUNTIF(E22:AH22, "X"))&gt;0, (COUNTIF(E22:AH22, "✓") + COUNTIF(E22:AH22, "✔") + COUNTIF(E22:AH22, "v") + COUNTIF(E22:AH22, "V"))/((COUNTIF(E22:AH22, "✓") + COUNTIF(E22:AH22, "✔") + COUNTIF(E22:AH22, "v") + COUNTIF(E22:AH22, "V")) + COUNTIF(E22:AH22, "✗") + COUNTIF(E22:AH22, "x") + COUNTIF(E22:AH22, "X")), "")))</f>
        <v/>
      </c>
      <c r="AJ22" s="110">
        <f>IF(ISBLANK(B22), "", IF(ISNUMBER(D22), IF(D22&gt;0, (COUNTIF(E22:AH22, "✓") + COUNTIF(E22:AH22, "✔") + COUNTIF(E22:AH22, "v") + COUNTIF(E22:AH22, "V")) &amp; "/" &amp; D22, (COUNTIF(E22:AH22, "✓") + COUNTIF(E22:AH22, "✔") + COUNTIF(E22:AH22, "v") + COUNTIF(E22:AH22, "V")) &amp; "/0"), IF(((COUNTIF(E22:AH22, "✓") + COUNTIF(E22:AH22, "✔") + COUNTIF(E22:AH22, "v") + COUNTIF(E22:AH22, "V")) + COUNTIF(E22:AH22, "✗") + COUNTIF(E22:AH22, "x") + COUNTIF(E22:AH22, "X"))&gt;0, (COUNTIF(E22:AH22, "✓") + COUNTIF(E22:AH22, "✔") + COUNTIF(E22:AH22, "v") + COUNTIF(E22:AH22, "V")) &amp; "/" &amp; ((COUNTIF(E22:AH22, "✓") + COUNTIF(E22:AH22, "✔") + COUNTIF(E22:AH22, "v") + COUNTIF(E22:AH22, "V")) + COUNTIF(E22:AH22, "✗") + COUNTIF(E22:AH22, "x") + COUNTIF(E22:AH22, "X")), "")))</f>
        <v/>
      </c>
      <c r="AK22" s="110">
        <f>IF(ISBLANK(B22), "", IF(AI22&gt;=0.85, "🔥 Mastered", IF(AI22&gt;=0.7, "⚡ Consistent", "⚠️ Needs Focus")))</f>
        <v/>
      </c>
      <c r="AL22">
        <f>COUNTIF(E22:AH22, "✓")</f>
        <v/>
      </c>
    </row>
    <row r="23" ht="14.5" customHeight="1">
      <c r="A23" s="104" t="n">
        <v>6</v>
      </c>
      <c r="B23" s="105" t="n"/>
      <c r="C23" s="106" t="n"/>
      <c r="D23" s="106" t="n"/>
      <c r="E23" s="107" t="n"/>
      <c r="F23" s="107" t="n"/>
      <c r="G23" s="107" t="n"/>
      <c r="H23" s="107" t="n"/>
      <c r="I23" s="107" t="n"/>
      <c r="J23" s="108" t="n"/>
      <c r="K23" s="107" t="n"/>
      <c r="L23" s="107" t="n"/>
      <c r="M23" s="107" t="n"/>
      <c r="N23" s="107" t="n"/>
      <c r="O23" s="107" t="n"/>
      <c r="P23" s="107" t="n"/>
      <c r="Q23" s="108" t="n"/>
      <c r="R23" s="107" t="n"/>
      <c r="S23" s="107" t="n"/>
      <c r="T23" s="107" t="n"/>
      <c r="U23" s="107" t="n"/>
      <c r="V23" s="107" t="n"/>
      <c r="W23" s="107" t="n"/>
      <c r="X23" s="108" t="n"/>
      <c r="Y23" s="107" t="n"/>
      <c r="Z23" s="107" t="n"/>
      <c r="AA23" s="107" t="n"/>
      <c r="AB23" s="107" t="n"/>
      <c r="AC23" s="107" t="n"/>
      <c r="AD23" s="107" t="n"/>
      <c r="AE23" s="108" t="n"/>
      <c r="AF23" s="107" t="n"/>
      <c r="AG23" s="107" t="n"/>
      <c r="AH23" s="107" t="n"/>
      <c r="AI23" s="109">
        <f>IF(ISBLANK(B23), "", IF(ISNUMBER(D23), IF(D23&gt;0, (COUNTIF(E23:AH23, "✓") + COUNTIF(E23:AH23, "✔") + COUNTIF(E23:AH23, "v") + COUNTIF(E23:AH23, "V"))/D23, 0), IF(((COUNTIF(E23:AH23, "✓") + COUNTIF(E23:AH23, "✔") + COUNTIF(E23:AH23, "v") + COUNTIF(E23:AH23, "V")) + COUNTIF(E23:AH23, "✗") + COUNTIF(E23:AH23, "x") + COUNTIF(E23:AH23, "X"))&gt;0, (COUNTIF(E23:AH23, "✓") + COUNTIF(E23:AH23, "✔") + COUNTIF(E23:AH23, "v") + COUNTIF(E23:AH23, "V"))/((COUNTIF(E23:AH23, "✓") + COUNTIF(E23:AH23, "✔") + COUNTIF(E23:AH23, "v") + COUNTIF(E23:AH23, "V")) + COUNTIF(E23:AH23, "✗") + COUNTIF(E23:AH23, "x") + COUNTIF(E23:AH23, "X")), "")))</f>
        <v/>
      </c>
      <c r="AJ23" s="110">
        <f>IF(ISBLANK(B23), "", IF(ISNUMBER(D23), IF(D23&gt;0, (COUNTIF(E23:AH23, "✓") + COUNTIF(E23:AH23, "✔") + COUNTIF(E23:AH23, "v") + COUNTIF(E23:AH23, "V")) &amp; "/" &amp; D23, (COUNTIF(E23:AH23, "✓") + COUNTIF(E23:AH23, "✔") + COUNTIF(E23:AH23, "v") + COUNTIF(E23:AH23, "V")) &amp; "/0"), IF(((COUNTIF(E23:AH23, "✓") + COUNTIF(E23:AH23, "✔") + COUNTIF(E23:AH23, "v") + COUNTIF(E23:AH23, "V")) + COUNTIF(E23:AH23, "✗") + COUNTIF(E23:AH23, "x") + COUNTIF(E23:AH23, "X"))&gt;0, (COUNTIF(E23:AH23, "✓") + COUNTIF(E23:AH23, "✔") + COUNTIF(E23:AH23, "v") + COUNTIF(E23:AH23, "V")) &amp; "/" &amp; ((COUNTIF(E23:AH23, "✓") + COUNTIF(E23:AH23, "✔") + COUNTIF(E23:AH23, "v") + COUNTIF(E23:AH23, "V")) + COUNTIF(E23:AH23, "✗") + COUNTIF(E23:AH23, "x") + COUNTIF(E23:AH23, "X")), "")))</f>
        <v/>
      </c>
      <c r="AK23" s="110">
        <f>IF(ISBLANK(B23), "", IF(AI23&gt;=0.85, "🔥 Mastered", IF(AI23&gt;=0.7, "⚡ Consistent", "⚠️ Needs Focus")))</f>
        <v/>
      </c>
      <c r="AL23">
        <f>COUNTIF(E23:AH23, "✓")</f>
        <v/>
      </c>
    </row>
    <row r="24" ht="14.5" customHeight="1">
      <c r="A24" s="104" t="n">
        <v>7</v>
      </c>
      <c r="B24" s="105" t="n"/>
      <c r="C24" s="106" t="n"/>
      <c r="D24" s="106" t="n"/>
      <c r="E24" s="107" t="n"/>
      <c r="F24" s="107" t="n"/>
      <c r="G24" s="107" t="n"/>
      <c r="H24" s="107" t="n"/>
      <c r="I24" s="107" t="n"/>
      <c r="J24" s="108" t="n"/>
      <c r="K24" s="107" t="n"/>
      <c r="L24" s="107" t="n"/>
      <c r="M24" s="107" t="n"/>
      <c r="N24" s="107" t="n"/>
      <c r="O24" s="107" t="n"/>
      <c r="P24" s="107" t="n"/>
      <c r="Q24" s="108" t="n"/>
      <c r="R24" s="107" t="n"/>
      <c r="S24" s="107" t="n"/>
      <c r="T24" s="107" t="n"/>
      <c r="U24" s="107" t="n"/>
      <c r="V24" s="107" t="n"/>
      <c r="W24" s="107" t="n"/>
      <c r="X24" s="108" t="n"/>
      <c r="Y24" s="107" t="n"/>
      <c r="Z24" s="107" t="n"/>
      <c r="AA24" s="107" t="n"/>
      <c r="AB24" s="107" t="n"/>
      <c r="AC24" s="107" t="n"/>
      <c r="AD24" s="107" t="n"/>
      <c r="AE24" s="108" t="n"/>
      <c r="AF24" s="107" t="n"/>
      <c r="AG24" s="107" t="n"/>
      <c r="AH24" s="107" t="n"/>
      <c r="AI24" s="109">
        <f>IF(ISBLANK(B24), "", IF(ISNUMBER(D24), IF(D24&gt;0, (COUNTIF(E24:AH24, "✓") + COUNTIF(E24:AH24, "✔") + COUNTIF(E24:AH24, "v") + COUNTIF(E24:AH24, "V"))/D24, 0), IF(((COUNTIF(E24:AH24, "✓") + COUNTIF(E24:AH24, "✔") + COUNTIF(E24:AH24, "v") + COUNTIF(E24:AH24, "V")) + COUNTIF(E24:AH24, "✗") + COUNTIF(E24:AH24, "x") + COUNTIF(E24:AH24, "X"))&gt;0, (COUNTIF(E24:AH24, "✓") + COUNTIF(E24:AH24, "✔") + COUNTIF(E24:AH24, "v") + COUNTIF(E24:AH24, "V"))/((COUNTIF(E24:AH24, "✓") + COUNTIF(E24:AH24, "✔") + COUNTIF(E24:AH24, "v") + COUNTIF(E24:AH24, "V")) + COUNTIF(E24:AH24, "✗") + COUNTIF(E24:AH24, "x") + COUNTIF(E24:AH24, "X")), "")))</f>
        <v/>
      </c>
      <c r="AJ24" s="110">
        <f>IF(ISBLANK(B24), "", IF(ISNUMBER(D24), IF(D24&gt;0, (COUNTIF(E24:AH24, "✓") + COUNTIF(E24:AH24, "✔") + COUNTIF(E24:AH24, "v") + COUNTIF(E24:AH24, "V")) &amp; "/" &amp; D24, (COUNTIF(E24:AH24, "✓") + COUNTIF(E24:AH24, "✔") + COUNTIF(E24:AH24, "v") + COUNTIF(E24:AH24, "V")) &amp; "/0"), IF(((COUNTIF(E24:AH24, "✓") + COUNTIF(E24:AH24, "✔") + COUNTIF(E24:AH24, "v") + COUNTIF(E24:AH24, "V")) + COUNTIF(E24:AH24, "✗") + COUNTIF(E24:AH24, "x") + COUNTIF(E24:AH24, "X"))&gt;0, (COUNTIF(E24:AH24, "✓") + COUNTIF(E24:AH24, "✔") + COUNTIF(E24:AH24, "v") + COUNTIF(E24:AH24, "V")) &amp; "/" &amp; ((COUNTIF(E24:AH24, "✓") + COUNTIF(E24:AH24, "✔") + COUNTIF(E24:AH24, "v") + COUNTIF(E24:AH24, "V")) + COUNTIF(E24:AH24, "✗") + COUNTIF(E24:AH24, "x") + COUNTIF(E24:AH24, "X")), "")))</f>
        <v/>
      </c>
      <c r="AK24" s="110">
        <f>IF(ISBLANK(B24), "", IF(AI24&gt;=0.85, "🔥 Mastered", IF(AI24&gt;=0.7, "⚡ Consistent", "⚠️ Needs Focus")))</f>
        <v/>
      </c>
      <c r="AL24">
        <f>COUNTIF(E24:AH24, "✓")</f>
        <v/>
      </c>
    </row>
    <row r="25" ht="14.5" customHeight="1">
      <c r="A25" s="104" t="n">
        <v>8</v>
      </c>
      <c r="B25" s="105" t="n"/>
      <c r="C25" s="106" t="n"/>
      <c r="D25" s="106" t="n"/>
      <c r="E25" s="107" t="n"/>
      <c r="F25" s="107" t="n"/>
      <c r="G25" s="107" t="n"/>
      <c r="H25" s="107" t="n"/>
      <c r="I25" s="107" t="n"/>
      <c r="J25" s="108" t="n"/>
      <c r="K25" s="107" t="n"/>
      <c r="L25" s="107" t="n"/>
      <c r="M25" s="107" t="n"/>
      <c r="N25" s="107" t="n"/>
      <c r="O25" s="107" t="n"/>
      <c r="P25" s="107" t="n"/>
      <c r="Q25" s="108" t="n"/>
      <c r="R25" s="107" t="n"/>
      <c r="S25" s="107" t="n"/>
      <c r="T25" s="107" t="n"/>
      <c r="U25" s="107" t="n"/>
      <c r="V25" s="107" t="n"/>
      <c r="W25" s="107" t="n"/>
      <c r="X25" s="108" t="n"/>
      <c r="Y25" s="107" t="n"/>
      <c r="Z25" s="107" t="n"/>
      <c r="AA25" s="107" t="n"/>
      <c r="AB25" s="107" t="n"/>
      <c r="AC25" s="107" t="n"/>
      <c r="AD25" s="107" t="n"/>
      <c r="AE25" s="108" t="n"/>
      <c r="AF25" s="107" t="n"/>
      <c r="AG25" s="107" t="n"/>
      <c r="AH25" s="107" t="n"/>
      <c r="AI25" s="109">
        <f>IF(ISBLANK(B25), "", IF(ISNUMBER(D25), IF(D25&gt;0, (COUNTIF(E25:AH25, "✓") + COUNTIF(E25:AH25, "✔") + COUNTIF(E25:AH25, "v") + COUNTIF(E25:AH25, "V"))/D25, 0), IF(((COUNTIF(E25:AH25, "✓") + COUNTIF(E25:AH25, "✔") + COUNTIF(E25:AH25, "v") + COUNTIF(E25:AH25, "V")) + COUNTIF(E25:AH25, "✗") + COUNTIF(E25:AH25, "x") + COUNTIF(E25:AH25, "X"))&gt;0, (COUNTIF(E25:AH25, "✓") + COUNTIF(E25:AH25, "✔") + COUNTIF(E25:AH25, "v") + COUNTIF(E25:AH25, "V"))/((COUNTIF(E25:AH25, "✓") + COUNTIF(E25:AH25, "✔") + COUNTIF(E25:AH25, "v") + COUNTIF(E25:AH25, "V")) + COUNTIF(E25:AH25, "✗") + COUNTIF(E25:AH25, "x") + COUNTIF(E25:AH25, "X")), "")))</f>
        <v/>
      </c>
      <c r="AJ25" s="110">
        <f>IF(ISBLANK(B25), "", IF(ISNUMBER(D25), IF(D25&gt;0, (COUNTIF(E25:AH25, "✓") + COUNTIF(E25:AH25, "✔") + COUNTIF(E25:AH25, "v") + COUNTIF(E25:AH25, "V")) &amp; "/" &amp; D25, (COUNTIF(E25:AH25, "✓") + COUNTIF(E25:AH25, "✔") + COUNTIF(E25:AH25, "v") + COUNTIF(E25:AH25, "V")) &amp; "/0"), IF(((COUNTIF(E25:AH25, "✓") + COUNTIF(E25:AH25, "✔") + COUNTIF(E25:AH25, "v") + COUNTIF(E25:AH25, "V")) + COUNTIF(E25:AH25, "✗") + COUNTIF(E25:AH25, "x") + COUNTIF(E25:AH25, "X"))&gt;0, (COUNTIF(E25:AH25, "✓") + COUNTIF(E25:AH25, "✔") + COUNTIF(E25:AH25, "v") + COUNTIF(E25:AH25, "V")) &amp; "/" &amp; ((COUNTIF(E25:AH25, "✓") + COUNTIF(E25:AH25, "✔") + COUNTIF(E25:AH25, "v") + COUNTIF(E25:AH25, "V")) + COUNTIF(E25:AH25, "✗") + COUNTIF(E25:AH25, "x") + COUNTIF(E25:AH25, "X")), "")))</f>
        <v/>
      </c>
      <c r="AK25" s="110">
        <f>IF(ISBLANK(B25), "", IF(AI25&gt;=0.85, "🔥 Mastered", IF(AI25&gt;=0.7, "⚡ Consistent", "⚠️ Needs Focus")))</f>
        <v/>
      </c>
      <c r="AL25">
        <f>COUNTIF(E25:AH25, "✓")</f>
        <v/>
      </c>
    </row>
    <row r="26" ht="14.5" customHeight="1">
      <c r="A26" s="111" t="n">
        <v>9</v>
      </c>
      <c r="B26" s="112" t="n"/>
      <c r="C26" s="113" t="n"/>
      <c r="D26" s="113" t="n"/>
      <c r="E26" s="114" t="n"/>
      <c r="F26" s="114" t="n"/>
      <c r="G26" s="114" t="n"/>
      <c r="H26" s="114" t="n"/>
      <c r="I26" s="114" t="n"/>
      <c r="J26" s="115" t="n"/>
      <c r="K26" s="114" t="n"/>
      <c r="L26" s="114" t="n"/>
      <c r="M26" s="114" t="n"/>
      <c r="N26" s="114" t="n"/>
      <c r="O26" s="114" t="n"/>
      <c r="P26" s="114" t="n"/>
      <c r="Q26" s="115" t="n"/>
      <c r="R26" s="114" t="n"/>
      <c r="S26" s="114" t="n"/>
      <c r="T26" s="114" t="n"/>
      <c r="U26" s="114" t="n"/>
      <c r="V26" s="114" t="n"/>
      <c r="W26" s="114" t="n"/>
      <c r="X26" s="115" t="n"/>
      <c r="Y26" s="114" t="n"/>
      <c r="Z26" s="114" t="n"/>
      <c r="AA26" s="114" t="n"/>
      <c r="AB26" s="114" t="n"/>
      <c r="AC26" s="114" t="n"/>
      <c r="AD26" s="114" t="n"/>
      <c r="AE26" s="115" t="n"/>
      <c r="AF26" s="114" t="n"/>
      <c r="AG26" s="114" t="n"/>
      <c r="AH26" s="114" t="n"/>
      <c r="AI26" s="116">
        <f>IF(ISBLANK(B26), "", IF(ISNUMBER(D26), IF(D26&gt;0, (COUNTIF(E26:AH26, "✓") + COUNTIF(E26:AH26, "✔") + COUNTIF(E26:AH26, "v") + COUNTIF(E26:AH26, "V"))/D26, 0), IF(((COUNTIF(E26:AH26, "✓") + COUNTIF(E26:AH26, "✔") + COUNTIF(E26:AH26, "v") + COUNTIF(E26:AH26, "V")) + COUNTIF(E26:AH26, "✗") + COUNTIF(E26:AH26, "x") + COUNTIF(E26:AH26, "X"))&gt;0, (COUNTIF(E26:AH26, "✓") + COUNTIF(E26:AH26, "✔") + COUNTIF(E26:AH26, "v") + COUNTIF(E26:AH26, "V"))/((COUNTIF(E26:AH26, "✓") + COUNTIF(E26:AH26, "✔") + COUNTIF(E26:AH26, "v") + COUNTIF(E26:AH26, "V")) + COUNTIF(E26:AH26, "✗") + COUNTIF(E26:AH26, "x") + COUNTIF(E26:AH26, "X")), "")))</f>
        <v/>
      </c>
      <c r="AJ26" s="117">
        <f>IF(ISBLANK(B26), "", IF(ISNUMBER(D26), IF(D26&gt;0, (COUNTIF(E26:AH26, "✓") + COUNTIF(E26:AH26, "✔") + COUNTIF(E26:AH26, "v") + COUNTIF(E26:AH26, "V")) &amp; "/" &amp; D26, (COUNTIF(E26:AH26, "✓") + COUNTIF(E26:AH26, "✔") + COUNTIF(E26:AH26, "v") + COUNTIF(E26:AH26, "V")) &amp; "/0"), IF(((COUNTIF(E26:AH26, "✓") + COUNTIF(E26:AH26, "✔") + COUNTIF(E26:AH26, "v") + COUNTIF(E26:AH26, "V")) + COUNTIF(E26:AH26, "✗") + COUNTIF(E26:AH26, "x") + COUNTIF(E26:AH26, "X"))&gt;0, (COUNTIF(E26:AH26, "✓") + COUNTIF(E26:AH26, "✔") + COUNTIF(E26:AH26, "v") + COUNTIF(E26:AH26, "V")) &amp; "/" &amp; ((COUNTIF(E26:AH26, "✓") + COUNTIF(E26:AH26, "✔") + COUNTIF(E26:AH26, "v") + COUNTIF(E26:AH26, "V")) + COUNTIF(E26:AH26, "✗") + COUNTIF(E26:AH26, "x") + COUNTIF(E26:AH26, "X")), "")))</f>
        <v/>
      </c>
      <c r="AK26" s="117">
        <f>IF(ISBLANK(B26), "", IF(AI26&gt;=0.85, "🔥 Mastered", IF(AI26&gt;=0.7, "⚡ Consistent", "⚠️ Needs Focus")))</f>
        <v/>
      </c>
      <c r="AL26">
        <f>COUNTIF(E26:AH26, "✓")</f>
        <v/>
      </c>
    </row>
    <row r="27" ht="14.5" customHeight="1">
      <c r="A27" s="111" t="n">
        <v>10</v>
      </c>
      <c r="B27" s="112" t="n"/>
      <c r="C27" s="113" t="n"/>
      <c r="D27" s="113" t="n"/>
      <c r="E27" s="114" t="n"/>
      <c r="F27" s="114" t="n"/>
      <c r="G27" s="114" t="n"/>
      <c r="H27" s="114" t="n"/>
      <c r="I27" s="114" t="n"/>
      <c r="J27" s="115" t="n"/>
      <c r="K27" s="114" t="n"/>
      <c r="L27" s="114" t="n"/>
      <c r="M27" s="114" t="n"/>
      <c r="N27" s="114" t="n"/>
      <c r="O27" s="114" t="n"/>
      <c r="P27" s="114" t="n"/>
      <c r="Q27" s="115" t="n"/>
      <c r="R27" s="114" t="n"/>
      <c r="S27" s="114" t="n"/>
      <c r="T27" s="114" t="n"/>
      <c r="U27" s="114" t="n"/>
      <c r="V27" s="114" t="n"/>
      <c r="W27" s="114" t="n"/>
      <c r="X27" s="115" t="n"/>
      <c r="Y27" s="114" t="n"/>
      <c r="Z27" s="114" t="n"/>
      <c r="AA27" s="114" t="n"/>
      <c r="AB27" s="114" t="n"/>
      <c r="AC27" s="114" t="n"/>
      <c r="AD27" s="114" t="n"/>
      <c r="AE27" s="115" t="n"/>
      <c r="AF27" s="114" t="n"/>
      <c r="AG27" s="114" t="n"/>
      <c r="AH27" s="114" t="n"/>
      <c r="AI27" s="116">
        <f>IF(ISBLANK(B27), "", IF(ISNUMBER(D27), IF(D27&gt;0, (COUNTIF(E27:AH27, "✓") + COUNTIF(E27:AH27, "✔") + COUNTIF(E27:AH27, "v") + COUNTIF(E27:AH27, "V"))/D27, 0), IF(((COUNTIF(E27:AH27, "✓") + COUNTIF(E27:AH27, "✔") + COUNTIF(E27:AH27, "v") + COUNTIF(E27:AH27, "V")) + COUNTIF(E27:AH27, "✗") + COUNTIF(E27:AH27, "x") + COUNTIF(E27:AH27, "X"))&gt;0, (COUNTIF(E27:AH27, "✓") + COUNTIF(E27:AH27, "✔") + COUNTIF(E27:AH27, "v") + COUNTIF(E27:AH27, "V"))/((COUNTIF(E27:AH27, "✓") + COUNTIF(E27:AH27, "✔") + COUNTIF(E27:AH27, "v") + COUNTIF(E27:AH27, "V")) + COUNTIF(E27:AH27, "✗") + COUNTIF(E27:AH27, "x") + COUNTIF(E27:AH27, "X")), "")))</f>
        <v/>
      </c>
      <c r="AJ27" s="117">
        <f>IF(ISBLANK(B27), "", IF(ISNUMBER(D27), IF(D27&gt;0, (COUNTIF(E27:AH27, "✓") + COUNTIF(E27:AH27, "✔") + COUNTIF(E27:AH27, "v") + COUNTIF(E27:AH27, "V")) &amp; "/" &amp; D27, (COUNTIF(E27:AH27, "✓") + COUNTIF(E27:AH27, "✔") + COUNTIF(E27:AH27, "v") + COUNTIF(E27:AH27, "V")) &amp; "/0"), IF(((COUNTIF(E27:AH27, "✓") + COUNTIF(E27:AH27, "✔") + COUNTIF(E27:AH27, "v") + COUNTIF(E27:AH27, "V")) + COUNTIF(E27:AH27, "✗") + COUNTIF(E27:AH27, "x") + COUNTIF(E27:AH27, "X"))&gt;0, (COUNTIF(E27:AH27, "✓") + COUNTIF(E27:AH27, "✔") + COUNTIF(E27:AH27, "v") + COUNTIF(E27:AH27, "V")) &amp; "/" &amp; ((COUNTIF(E27:AH27, "✓") + COUNTIF(E27:AH27, "✔") + COUNTIF(E27:AH27, "v") + COUNTIF(E27:AH27, "V")) + COUNTIF(E27:AH27, "✗") + COUNTIF(E27:AH27, "x") + COUNTIF(E27:AH27, "X")), "")))</f>
        <v/>
      </c>
      <c r="AK27" s="117">
        <f>IF(ISBLANK(B27), "", IF(AI27&gt;=0.85, "🔥 Mastered", IF(AI27&gt;=0.7, "⚡ Consistent", "⚠️ Needs Focus")))</f>
        <v/>
      </c>
      <c r="AL27">
        <f>COUNTIF(E27:AH27, "✓")</f>
        <v/>
      </c>
    </row>
    <row r="28" ht="14.5" customHeight="1">
      <c r="A28" s="111" t="n">
        <v>11</v>
      </c>
      <c r="B28" s="112" t="n"/>
      <c r="C28" s="113" t="n"/>
      <c r="D28" s="113" t="n"/>
      <c r="E28" s="114" t="n"/>
      <c r="F28" s="114" t="n"/>
      <c r="G28" s="114" t="n"/>
      <c r="H28" s="114" t="n"/>
      <c r="I28" s="114" t="n"/>
      <c r="J28" s="115" t="n"/>
      <c r="K28" s="114" t="n"/>
      <c r="L28" s="114" t="n"/>
      <c r="M28" s="114" t="n"/>
      <c r="N28" s="114" t="n"/>
      <c r="O28" s="114" t="n"/>
      <c r="P28" s="114" t="n"/>
      <c r="Q28" s="115" t="n"/>
      <c r="R28" s="114" t="n"/>
      <c r="S28" s="114" t="n"/>
      <c r="T28" s="114" t="n"/>
      <c r="U28" s="114" t="n"/>
      <c r="V28" s="114" t="n"/>
      <c r="W28" s="114" t="n"/>
      <c r="X28" s="115" t="n"/>
      <c r="Y28" s="114" t="n"/>
      <c r="Z28" s="114" t="n"/>
      <c r="AA28" s="114" t="n"/>
      <c r="AB28" s="114" t="n"/>
      <c r="AC28" s="114" t="n"/>
      <c r="AD28" s="114" t="n"/>
      <c r="AE28" s="115" t="n"/>
      <c r="AF28" s="114" t="n"/>
      <c r="AG28" s="114" t="n"/>
      <c r="AH28" s="114" t="n"/>
      <c r="AI28" s="116">
        <f>IF(ISBLANK(B28), "", IF(ISNUMBER(D28), IF(D28&gt;0, (COUNTIF(E28:AH28, "✓") + COUNTIF(E28:AH28, "✔") + COUNTIF(E28:AH28, "v") + COUNTIF(E28:AH28, "V"))/D28, 0), IF(((COUNTIF(E28:AH28, "✓") + COUNTIF(E28:AH28, "✔") + COUNTIF(E28:AH28, "v") + COUNTIF(E28:AH28, "V")) + COUNTIF(E28:AH28, "✗") + COUNTIF(E28:AH28, "x") + COUNTIF(E28:AH28, "X"))&gt;0, (COUNTIF(E28:AH28, "✓") + COUNTIF(E28:AH28, "✔") + COUNTIF(E28:AH28, "v") + COUNTIF(E28:AH28, "V"))/((COUNTIF(E28:AH28, "✓") + COUNTIF(E28:AH28, "✔") + COUNTIF(E28:AH28, "v") + COUNTIF(E28:AH28, "V")) + COUNTIF(E28:AH28, "✗") + COUNTIF(E28:AH28, "x") + COUNTIF(E28:AH28, "X")), "")))</f>
        <v/>
      </c>
      <c r="AJ28" s="117">
        <f>IF(ISBLANK(B28), "", IF(ISNUMBER(D28), IF(D28&gt;0, (COUNTIF(E28:AH28, "✓") + COUNTIF(E28:AH28, "✔") + COUNTIF(E28:AH28, "v") + COUNTIF(E28:AH28, "V")) &amp; "/" &amp; D28, (COUNTIF(E28:AH28, "✓") + COUNTIF(E28:AH28, "✔") + COUNTIF(E28:AH28, "v") + COUNTIF(E28:AH28, "V")) &amp; "/0"), IF(((COUNTIF(E28:AH28, "✓") + COUNTIF(E28:AH28, "✔") + COUNTIF(E28:AH28, "v") + COUNTIF(E28:AH28, "V")) + COUNTIF(E28:AH28, "✗") + COUNTIF(E28:AH28, "x") + COUNTIF(E28:AH28, "X"))&gt;0, (COUNTIF(E28:AH28, "✓") + COUNTIF(E28:AH28, "✔") + COUNTIF(E28:AH28, "v") + COUNTIF(E28:AH28, "V")) &amp; "/" &amp; ((COUNTIF(E28:AH28, "✓") + COUNTIF(E28:AH28, "✔") + COUNTIF(E28:AH28, "v") + COUNTIF(E28:AH28, "V")) + COUNTIF(E28:AH28, "✗") + COUNTIF(E28:AH28, "x") + COUNTIF(E28:AH28, "X")), "")))</f>
        <v/>
      </c>
      <c r="AK28" s="117">
        <f>IF(ISBLANK(B28), "", IF(AI28&gt;=0.85, "🔥 Mastered", IF(AI28&gt;=0.7, "⚡ Consistent", "⚠️ Needs Focus")))</f>
        <v/>
      </c>
      <c r="AL28">
        <f>COUNTIF(E28:AH28, "✓")</f>
        <v/>
      </c>
    </row>
    <row r="29" ht="14.5" customHeight="1">
      <c r="A29" s="111" t="n">
        <v>12</v>
      </c>
      <c r="B29" s="112" t="n"/>
      <c r="C29" s="113" t="n"/>
      <c r="D29" s="113" t="n"/>
      <c r="E29" s="114" t="n"/>
      <c r="F29" s="114" t="n"/>
      <c r="G29" s="114" t="n"/>
      <c r="H29" s="114" t="n"/>
      <c r="I29" s="114" t="n"/>
      <c r="J29" s="115" t="n"/>
      <c r="K29" s="114" t="n"/>
      <c r="L29" s="114" t="n"/>
      <c r="M29" s="114" t="n"/>
      <c r="N29" s="114" t="n"/>
      <c r="O29" s="114" t="n"/>
      <c r="P29" s="114" t="n"/>
      <c r="Q29" s="115" t="n"/>
      <c r="R29" s="114" t="n"/>
      <c r="S29" s="114" t="n"/>
      <c r="T29" s="114" t="n"/>
      <c r="U29" s="114" t="n"/>
      <c r="V29" s="114" t="n"/>
      <c r="W29" s="114" t="n"/>
      <c r="X29" s="115" t="n"/>
      <c r="Y29" s="114" t="n"/>
      <c r="Z29" s="114" t="n"/>
      <c r="AA29" s="114" t="n"/>
      <c r="AB29" s="114" t="n"/>
      <c r="AC29" s="114" t="n"/>
      <c r="AD29" s="114" t="n"/>
      <c r="AE29" s="115" t="n"/>
      <c r="AF29" s="114" t="n"/>
      <c r="AG29" s="114" t="n"/>
      <c r="AH29" s="114" t="n"/>
      <c r="AI29" s="116">
        <f>IF(ISBLANK(B29), "", IF(ISNUMBER(D29), IF(D29&gt;0, (COUNTIF(E29:AH29, "✓") + COUNTIF(E29:AH29, "✔") + COUNTIF(E29:AH29, "v") + COUNTIF(E29:AH29, "V"))/D29, 0), IF(((COUNTIF(E29:AH29, "✓") + COUNTIF(E29:AH29, "✔") + COUNTIF(E29:AH29, "v") + COUNTIF(E29:AH29, "V")) + COUNTIF(E29:AH29, "✗") + COUNTIF(E29:AH29, "x") + COUNTIF(E29:AH29, "X"))&gt;0, (COUNTIF(E29:AH29, "✓") + COUNTIF(E29:AH29, "✔") + COUNTIF(E29:AH29, "v") + COUNTIF(E29:AH29, "V"))/((COUNTIF(E29:AH29, "✓") + COUNTIF(E29:AH29, "✔") + COUNTIF(E29:AH29, "v") + COUNTIF(E29:AH29, "V")) + COUNTIF(E29:AH29, "✗") + COUNTIF(E29:AH29, "x") + COUNTIF(E29:AH29, "X")), "")))</f>
        <v/>
      </c>
      <c r="AJ29" s="117">
        <f>IF(ISBLANK(B29), "", IF(ISNUMBER(D29), IF(D29&gt;0, (COUNTIF(E29:AH29, "✓") + COUNTIF(E29:AH29, "✔") + COUNTIF(E29:AH29, "v") + COUNTIF(E29:AH29, "V")) &amp; "/" &amp; D29, (COUNTIF(E29:AH29, "✓") + COUNTIF(E29:AH29, "✔") + COUNTIF(E29:AH29, "v") + COUNTIF(E29:AH29, "V")) &amp; "/0"), IF(((COUNTIF(E29:AH29, "✓") + COUNTIF(E29:AH29, "✔") + COUNTIF(E29:AH29, "v") + COUNTIF(E29:AH29, "V")) + COUNTIF(E29:AH29, "✗") + COUNTIF(E29:AH29, "x") + COUNTIF(E29:AH29, "X"))&gt;0, (COUNTIF(E29:AH29, "✓") + COUNTIF(E29:AH29, "✔") + COUNTIF(E29:AH29, "v") + COUNTIF(E29:AH29, "V")) &amp; "/" &amp; ((COUNTIF(E29:AH29, "✓") + COUNTIF(E29:AH29, "✔") + COUNTIF(E29:AH29, "v") + COUNTIF(E29:AH29, "V")) + COUNTIF(E29:AH29, "✗") + COUNTIF(E29:AH29, "x") + COUNTIF(E29:AH29, "X")), "")))</f>
        <v/>
      </c>
      <c r="AK29" s="117">
        <f>IF(ISBLANK(B29), "", IF(AI29&gt;=0.85, "🔥 Mastered", IF(AI29&gt;=0.7, "⚡ Consistent", "⚠️ Needs Focus")))</f>
        <v/>
      </c>
      <c r="AL29">
        <f>COUNTIF(E29:AH29, "✓")</f>
        <v/>
      </c>
    </row>
    <row r="30" ht="14.5" customHeight="1">
      <c r="A30" s="118" t="n">
        <v>13</v>
      </c>
      <c r="B30" s="119" t="n"/>
      <c r="C30" s="120" t="n"/>
      <c r="D30" s="120" t="n"/>
      <c r="E30" s="121" t="n"/>
      <c r="F30" s="121" t="n"/>
      <c r="G30" s="121" t="n"/>
      <c r="H30" s="121" t="n"/>
      <c r="I30" s="121" t="n"/>
      <c r="J30" s="122" t="n"/>
      <c r="K30" s="121" t="n"/>
      <c r="L30" s="121" t="n"/>
      <c r="M30" s="121" t="n"/>
      <c r="N30" s="121" t="n"/>
      <c r="O30" s="121" t="n"/>
      <c r="P30" s="121" t="n"/>
      <c r="Q30" s="122" t="n"/>
      <c r="R30" s="121" t="n"/>
      <c r="S30" s="121" t="n"/>
      <c r="T30" s="121" t="n"/>
      <c r="U30" s="121" t="n"/>
      <c r="V30" s="121" t="n"/>
      <c r="W30" s="121" t="n"/>
      <c r="X30" s="122" t="n"/>
      <c r="Y30" s="121" t="n"/>
      <c r="Z30" s="121" t="n"/>
      <c r="AA30" s="121" t="n"/>
      <c r="AB30" s="121" t="n"/>
      <c r="AC30" s="121" t="n"/>
      <c r="AD30" s="121" t="n"/>
      <c r="AE30" s="122" t="n"/>
      <c r="AF30" s="121" t="n"/>
      <c r="AG30" s="121" t="n"/>
      <c r="AH30" s="121" t="n"/>
      <c r="AI30" s="123">
        <f>IF(ISBLANK(B30), "", IF(ISNUMBER(D30), IF(D30&gt;0, (COUNTIF(E30:AH30, "✓") + COUNTIF(E30:AH30, "✔") + COUNTIF(E30:AH30, "v") + COUNTIF(E30:AH30, "V"))/D30, 0), IF(((COUNTIF(E30:AH30, "✓") + COUNTIF(E30:AH30, "✔") + COUNTIF(E30:AH30, "v") + COUNTIF(E30:AH30, "V")) + COUNTIF(E30:AH30, "✗") + COUNTIF(E30:AH30, "x") + COUNTIF(E30:AH30, "X"))&gt;0, (COUNTIF(E30:AH30, "✓") + COUNTIF(E30:AH30, "✔") + COUNTIF(E30:AH30, "v") + COUNTIF(E30:AH30, "V"))/((COUNTIF(E30:AH30, "✓") + COUNTIF(E30:AH30, "✔") + COUNTIF(E30:AH30, "v") + COUNTIF(E30:AH30, "V")) + COUNTIF(E30:AH30, "✗") + COUNTIF(E30:AH30, "x") + COUNTIF(E30:AH30, "X")), "")))</f>
        <v/>
      </c>
      <c r="AJ30" s="124">
        <f>IF(ISBLANK(B30), "", IF(ISNUMBER(D30), IF(D30&gt;0, (COUNTIF(E30:AH30, "✓") + COUNTIF(E30:AH30, "✔") + COUNTIF(E30:AH30, "v") + COUNTIF(E30:AH30, "V")) &amp; "/" &amp; D30, (COUNTIF(E30:AH30, "✓") + COUNTIF(E30:AH30, "✔") + COUNTIF(E30:AH30, "v") + COUNTIF(E30:AH30, "V")) &amp; "/0"), IF(((COUNTIF(E30:AH30, "✓") + COUNTIF(E30:AH30, "✔") + COUNTIF(E30:AH30, "v") + COUNTIF(E30:AH30, "V")) + COUNTIF(E30:AH30, "✗") + COUNTIF(E30:AH30, "x") + COUNTIF(E30:AH30, "X"))&gt;0, (COUNTIF(E30:AH30, "✓") + COUNTIF(E30:AH30, "✔") + COUNTIF(E30:AH30, "v") + COUNTIF(E30:AH30, "V")) &amp; "/" &amp; ((COUNTIF(E30:AH30, "✓") + COUNTIF(E30:AH30, "✔") + COUNTIF(E30:AH30, "v") + COUNTIF(E30:AH30, "V")) + COUNTIF(E30:AH30, "✗") + COUNTIF(E30:AH30, "x") + COUNTIF(E30:AH30, "X")), "")))</f>
        <v/>
      </c>
      <c r="AK30" s="124">
        <f>IF(ISBLANK(B30), "", IF(AI30&gt;=0.85, "🔥 Mastered", IF(AI30&gt;=0.7, "⚡ Consistent", "⚠️ Needs Focus")))</f>
        <v/>
      </c>
      <c r="AL30">
        <f>COUNTIF(E30:AH30, "✓")</f>
        <v/>
      </c>
    </row>
    <row r="31" ht="14.5" customHeight="1">
      <c r="A31" s="118" t="n">
        <v>14</v>
      </c>
      <c r="B31" s="119" t="n"/>
      <c r="C31" s="120" t="n"/>
      <c r="D31" s="120" t="n"/>
      <c r="E31" s="121" t="n"/>
      <c r="F31" s="121" t="n"/>
      <c r="G31" s="121" t="n"/>
      <c r="H31" s="121" t="n"/>
      <c r="I31" s="121" t="n"/>
      <c r="J31" s="122" t="n"/>
      <c r="K31" s="121" t="n"/>
      <c r="L31" s="121" t="n"/>
      <c r="M31" s="121" t="n"/>
      <c r="N31" s="121" t="n"/>
      <c r="O31" s="121" t="n"/>
      <c r="P31" s="121" t="n"/>
      <c r="Q31" s="122" t="n"/>
      <c r="R31" s="121" t="n"/>
      <c r="S31" s="121" t="n"/>
      <c r="T31" s="121" t="n"/>
      <c r="U31" s="121" t="n"/>
      <c r="V31" s="121" t="n"/>
      <c r="W31" s="121" t="n"/>
      <c r="X31" s="122" t="n"/>
      <c r="Y31" s="121" t="n"/>
      <c r="Z31" s="121" t="n"/>
      <c r="AA31" s="121" t="n"/>
      <c r="AB31" s="121" t="n"/>
      <c r="AC31" s="121" t="n"/>
      <c r="AD31" s="121" t="n"/>
      <c r="AE31" s="122" t="n"/>
      <c r="AF31" s="121" t="n"/>
      <c r="AG31" s="121" t="n"/>
      <c r="AH31" s="121" t="n"/>
      <c r="AI31" s="123">
        <f>IF(ISBLANK(B31), "", IF(ISNUMBER(D31), IF(D31&gt;0, (COUNTIF(E31:AH31, "✓") + COUNTIF(E31:AH31, "✔") + COUNTIF(E31:AH31, "v") + COUNTIF(E31:AH31, "V"))/D31, 0), IF(((COUNTIF(E31:AH31, "✓") + COUNTIF(E31:AH31, "✔") + COUNTIF(E31:AH31, "v") + COUNTIF(E31:AH31, "V")) + COUNTIF(E31:AH31, "✗") + COUNTIF(E31:AH31, "x") + COUNTIF(E31:AH31, "X"))&gt;0, (COUNTIF(E31:AH31, "✓") + COUNTIF(E31:AH31, "✔") + COUNTIF(E31:AH31, "v") + COUNTIF(E31:AH31, "V"))/((COUNTIF(E31:AH31, "✓") + COUNTIF(E31:AH31, "✔") + COUNTIF(E31:AH31, "v") + COUNTIF(E31:AH31, "V")) + COUNTIF(E31:AH31, "✗") + COUNTIF(E31:AH31, "x") + COUNTIF(E31:AH31, "X")), "")))</f>
        <v/>
      </c>
      <c r="AJ31" s="124">
        <f>IF(ISBLANK(B31), "", IF(ISNUMBER(D31), IF(D31&gt;0, (COUNTIF(E31:AH31, "✓") + COUNTIF(E31:AH31, "✔") + COUNTIF(E31:AH31, "v") + COUNTIF(E31:AH31, "V")) &amp; "/" &amp; D31, (COUNTIF(E31:AH31, "✓") + COUNTIF(E31:AH31, "✔") + COUNTIF(E31:AH31, "v") + COUNTIF(E31:AH31, "V")) &amp; "/0"), IF(((COUNTIF(E31:AH31, "✓") + COUNTIF(E31:AH31, "✔") + COUNTIF(E31:AH31, "v") + COUNTIF(E31:AH31, "V")) + COUNTIF(E31:AH31, "✗") + COUNTIF(E31:AH31, "x") + COUNTIF(E31:AH31, "X"))&gt;0, (COUNTIF(E31:AH31, "✓") + COUNTIF(E31:AH31, "✔") + COUNTIF(E31:AH31, "v") + COUNTIF(E31:AH31, "V")) &amp; "/" &amp; ((COUNTIF(E31:AH31, "✓") + COUNTIF(E31:AH31, "✔") + COUNTIF(E31:AH31, "v") + COUNTIF(E31:AH31, "V")) + COUNTIF(E31:AH31, "✗") + COUNTIF(E31:AH31, "x") + COUNTIF(E31:AH31, "X")), "")))</f>
        <v/>
      </c>
      <c r="AK31" s="124">
        <f>IF(ISBLANK(B31), "", IF(AI31&gt;=0.85, "🔥 Mastered", IF(AI31&gt;=0.7, "⚡ Consistent", "⚠️ Needs Focus")))</f>
        <v/>
      </c>
      <c r="AL31">
        <f>COUNTIF(E31:AH31, "✓")</f>
        <v/>
      </c>
    </row>
    <row r="32" ht="14.5" customHeight="1">
      <c r="A32" s="118" t="n">
        <v>15</v>
      </c>
      <c r="B32" s="119" t="n"/>
      <c r="C32" s="120" t="n"/>
      <c r="D32" s="120" t="n"/>
      <c r="E32" s="121" t="n"/>
      <c r="F32" s="121" t="n"/>
      <c r="G32" s="121" t="n"/>
      <c r="H32" s="121" t="n"/>
      <c r="I32" s="121" t="n"/>
      <c r="J32" s="122" t="n"/>
      <c r="K32" s="121" t="n"/>
      <c r="L32" s="121" t="n"/>
      <c r="M32" s="121" t="n"/>
      <c r="N32" s="121" t="n"/>
      <c r="O32" s="121" t="n"/>
      <c r="P32" s="121" t="n"/>
      <c r="Q32" s="122" t="n"/>
      <c r="R32" s="121" t="n"/>
      <c r="S32" s="121" t="n"/>
      <c r="T32" s="121" t="n"/>
      <c r="U32" s="121" t="n"/>
      <c r="V32" s="121" t="n"/>
      <c r="W32" s="121" t="n"/>
      <c r="X32" s="122" t="n"/>
      <c r="Y32" s="121" t="n"/>
      <c r="Z32" s="121" t="n"/>
      <c r="AA32" s="121" t="n"/>
      <c r="AB32" s="121" t="n"/>
      <c r="AC32" s="121" t="n"/>
      <c r="AD32" s="121" t="n"/>
      <c r="AE32" s="122" t="n"/>
      <c r="AF32" s="121" t="n"/>
      <c r="AG32" s="121" t="n"/>
      <c r="AH32" s="121" t="n"/>
      <c r="AI32" s="123">
        <f>IF(ISBLANK(B32), "", IF(ISNUMBER(D32), IF(D32&gt;0, (COUNTIF(E32:AH32, "✓") + COUNTIF(E32:AH32, "✔") + COUNTIF(E32:AH32, "v") + COUNTIF(E32:AH32, "V"))/D32, 0), IF(((COUNTIF(E32:AH32, "✓") + COUNTIF(E32:AH32, "✔") + COUNTIF(E32:AH32, "v") + COUNTIF(E32:AH32, "V")) + COUNTIF(E32:AH32, "✗") + COUNTIF(E32:AH32, "x") + COUNTIF(E32:AH32, "X"))&gt;0, (COUNTIF(E32:AH32, "✓") + COUNTIF(E32:AH32, "✔") + COUNTIF(E32:AH32, "v") + COUNTIF(E32:AH32, "V"))/((COUNTIF(E32:AH32, "✓") + COUNTIF(E32:AH32, "✔") + COUNTIF(E32:AH32, "v") + COUNTIF(E32:AH32, "V")) + COUNTIF(E32:AH32, "✗") + COUNTIF(E32:AH32, "x") + COUNTIF(E32:AH32, "X")), "")))</f>
        <v/>
      </c>
      <c r="AJ32" s="124">
        <f>IF(ISBLANK(B32), "", IF(ISNUMBER(D32), IF(D32&gt;0, (COUNTIF(E32:AH32, "✓") + COUNTIF(E32:AH32, "✔") + COUNTIF(E32:AH32, "v") + COUNTIF(E32:AH32, "V")) &amp; "/" &amp; D32, (COUNTIF(E32:AH32, "✓") + COUNTIF(E32:AH32, "✔") + COUNTIF(E32:AH32, "v") + COUNTIF(E32:AH32, "V")) &amp; "/0"), IF(((COUNTIF(E32:AH32, "✓") + COUNTIF(E32:AH32, "✔") + COUNTIF(E32:AH32, "v") + COUNTIF(E32:AH32, "V")) + COUNTIF(E32:AH32, "✗") + COUNTIF(E32:AH32, "x") + COUNTIF(E32:AH32, "X"))&gt;0, (COUNTIF(E32:AH32, "✓") + COUNTIF(E32:AH32, "✔") + COUNTIF(E32:AH32, "v") + COUNTIF(E32:AH32, "V")) &amp; "/" &amp; ((COUNTIF(E32:AH32, "✓") + COUNTIF(E32:AH32, "✔") + COUNTIF(E32:AH32, "v") + COUNTIF(E32:AH32, "V")) + COUNTIF(E32:AH32, "✗") + COUNTIF(E32:AH32, "x") + COUNTIF(E32:AH32, "X")), "")))</f>
        <v/>
      </c>
      <c r="AK32" s="124">
        <f>IF(ISBLANK(B32), "", IF(AI32&gt;=0.85, "🔥 Mastered", IF(AI32&gt;=0.7, "⚡ Consistent", "⚠️ Needs Focus")))</f>
        <v/>
      </c>
      <c r="AL32">
        <f>COUNTIF(E32:AH32, "✓")</f>
        <v/>
      </c>
    </row>
    <row r="33" ht="14.5" customHeight="1">
      <c r="A33" s="118" t="n">
        <v>16</v>
      </c>
      <c r="B33" s="119" t="n"/>
      <c r="C33" s="120" t="n"/>
      <c r="D33" s="120" t="n"/>
      <c r="E33" s="121" t="n"/>
      <c r="F33" s="121" t="n"/>
      <c r="G33" s="121" t="n"/>
      <c r="H33" s="121" t="n"/>
      <c r="I33" s="121" t="n"/>
      <c r="J33" s="122" t="n"/>
      <c r="K33" s="121" t="n"/>
      <c r="L33" s="121" t="n"/>
      <c r="M33" s="121" t="n"/>
      <c r="N33" s="121" t="n"/>
      <c r="O33" s="121" t="n"/>
      <c r="P33" s="121" t="n"/>
      <c r="Q33" s="122" t="n"/>
      <c r="R33" s="121" t="n"/>
      <c r="S33" s="121" t="n"/>
      <c r="T33" s="121" t="n"/>
      <c r="U33" s="121" t="n"/>
      <c r="V33" s="121" t="n"/>
      <c r="W33" s="121" t="n"/>
      <c r="X33" s="122" t="n"/>
      <c r="Y33" s="121" t="n"/>
      <c r="Z33" s="121" t="n"/>
      <c r="AA33" s="121" t="n"/>
      <c r="AB33" s="121" t="n"/>
      <c r="AC33" s="121" t="n"/>
      <c r="AD33" s="121" t="n"/>
      <c r="AE33" s="122" t="n"/>
      <c r="AF33" s="121" t="n"/>
      <c r="AG33" s="121" t="n"/>
      <c r="AH33" s="121" t="n"/>
      <c r="AI33" s="123">
        <f>IF(ISBLANK(B33), "", IF(ISNUMBER(D33), IF(D33&gt;0, (COUNTIF(E33:AH33, "✓") + COUNTIF(E33:AH33, "✔") + COUNTIF(E33:AH33, "v") + COUNTIF(E33:AH33, "V"))/D33, 0), IF(((COUNTIF(E33:AH33, "✓") + COUNTIF(E33:AH33, "✔") + COUNTIF(E33:AH33, "v") + COUNTIF(E33:AH33, "V")) + COUNTIF(E33:AH33, "✗") + COUNTIF(E33:AH33, "x") + COUNTIF(E33:AH33, "X"))&gt;0, (COUNTIF(E33:AH33, "✓") + COUNTIF(E33:AH33, "✔") + COUNTIF(E33:AH33, "v") + COUNTIF(E33:AH33, "V"))/((COUNTIF(E33:AH33, "✓") + COUNTIF(E33:AH33, "✔") + COUNTIF(E33:AH33, "v") + COUNTIF(E33:AH33, "V")) + COUNTIF(E33:AH33, "✗") + COUNTIF(E33:AH33, "x") + COUNTIF(E33:AH33, "X")), "")))</f>
        <v/>
      </c>
      <c r="AJ33" s="124">
        <f>IF(ISBLANK(B33), "", IF(ISNUMBER(D33), IF(D33&gt;0, (COUNTIF(E33:AH33, "✓") + COUNTIF(E33:AH33, "✔") + COUNTIF(E33:AH33, "v") + COUNTIF(E33:AH33, "V")) &amp; "/" &amp; D33, (COUNTIF(E33:AH33, "✓") + COUNTIF(E33:AH33, "✔") + COUNTIF(E33:AH33, "v") + COUNTIF(E33:AH33, "V")) &amp; "/0"), IF(((COUNTIF(E33:AH33, "✓") + COUNTIF(E33:AH33, "✔") + COUNTIF(E33:AH33, "v") + COUNTIF(E33:AH33, "V")) + COUNTIF(E33:AH33, "✗") + COUNTIF(E33:AH33, "x") + COUNTIF(E33:AH33, "X"))&gt;0, (COUNTIF(E33:AH33, "✓") + COUNTIF(E33:AH33, "✔") + COUNTIF(E33:AH33, "v") + COUNTIF(E33:AH33, "V")) &amp; "/" &amp; ((COUNTIF(E33:AH33, "✓") + COUNTIF(E33:AH33, "✔") + COUNTIF(E33:AH33, "v") + COUNTIF(E33:AH33, "V")) + COUNTIF(E33:AH33, "✗") + COUNTIF(E33:AH33, "x") + COUNTIF(E33:AH33, "X")), "")))</f>
        <v/>
      </c>
      <c r="AK33" s="124">
        <f>IF(ISBLANK(B33), "", IF(AI33&gt;=0.85, "🔥 Mastered", IF(AI33&gt;=0.7, "⚡ Consistent", "⚠️ Needs Focus")))</f>
        <v/>
      </c>
      <c r="AL33">
        <f>COUNTIF(E33:AH33, "✓")</f>
        <v/>
      </c>
    </row>
    <row r="34" ht="14.5" customHeight="1">
      <c r="A34" s="125" t="n">
        <v>17</v>
      </c>
      <c r="B34" s="126" t="n"/>
      <c r="C34" s="127" t="n"/>
      <c r="D34" s="127" t="n"/>
      <c r="E34" s="128" t="n"/>
      <c r="F34" s="128" t="n"/>
      <c r="G34" s="128" t="n"/>
      <c r="H34" s="128" t="n"/>
      <c r="I34" s="128" t="n"/>
      <c r="J34" s="129" t="n"/>
      <c r="K34" s="128" t="n"/>
      <c r="L34" s="128" t="n"/>
      <c r="M34" s="128" t="n"/>
      <c r="N34" s="128" t="n"/>
      <c r="O34" s="128" t="n"/>
      <c r="P34" s="128" t="n"/>
      <c r="Q34" s="129" t="n"/>
      <c r="R34" s="128" t="n"/>
      <c r="S34" s="128" t="n"/>
      <c r="T34" s="128" t="n"/>
      <c r="U34" s="128" t="n"/>
      <c r="V34" s="128" t="n"/>
      <c r="W34" s="128" t="n"/>
      <c r="X34" s="129" t="n"/>
      <c r="Y34" s="128" t="n"/>
      <c r="Z34" s="128" t="n"/>
      <c r="AA34" s="128" t="n"/>
      <c r="AB34" s="128" t="n"/>
      <c r="AC34" s="128" t="n"/>
      <c r="AD34" s="128" t="n"/>
      <c r="AE34" s="129" t="n"/>
      <c r="AF34" s="128" t="n"/>
      <c r="AG34" s="128" t="n"/>
      <c r="AH34" s="128" t="n"/>
      <c r="AI34" s="130">
        <f>IF(ISBLANK(B34), "", IF(ISNUMBER(D34), IF(D34&gt;0, (COUNTIF(E34:AH34, "✓") + COUNTIF(E34:AH34, "✔") + COUNTIF(E34:AH34, "v") + COUNTIF(E34:AH34, "V"))/D34, 0), IF(((COUNTIF(E34:AH34, "✓") + COUNTIF(E34:AH34, "✔") + COUNTIF(E34:AH34, "v") + COUNTIF(E34:AH34, "V")) + COUNTIF(E34:AH34, "✗") + COUNTIF(E34:AH34, "x") + COUNTIF(E34:AH34, "X"))&gt;0, (COUNTIF(E34:AH34, "✓") + COUNTIF(E34:AH34, "✔") + COUNTIF(E34:AH34, "v") + COUNTIF(E34:AH34, "V"))/((COUNTIF(E34:AH34, "✓") + COUNTIF(E34:AH34, "✔") + COUNTIF(E34:AH34, "v") + COUNTIF(E34:AH34, "V")) + COUNTIF(E34:AH34, "✗") + COUNTIF(E34:AH34, "x") + COUNTIF(E34:AH34, "X")), "")))</f>
        <v/>
      </c>
      <c r="AJ34" s="131">
        <f>IF(ISBLANK(B34), "", IF(ISNUMBER(D34), IF(D34&gt;0, (COUNTIF(E34:AH34, "✓") + COUNTIF(E34:AH34, "✔") + COUNTIF(E34:AH34, "v") + COUNTIF(E34:AH34, "V")) &amp; "/" &amp; D34, (COUNTIF(E34:AH34, "✓") + COUNTIF(E34:AH34, "✔") + COUNTIF(E34:AH34, "v") + COUNTIF(E34:AH34, "V")) &amp; "/0"), IF(((COUNTIF(E34:AH34, "✓") + COUNTIF(E34:AH34, "✔") + COUNTIF(E34:AH34, "v") + COUNTIF(E34:AH34, "V")) + COUNTIF(E34:AH34, "✗") + COUNTIF(E34:AH34, "x") + COUNTIF(E34:AH34, "X"))&gt;0, (COUNTIF(E34:AH34, "✓") + COUNTIF(E34:AH34, "✔") + COUNTIF(E34:AH34, "v") + COUNTIF(E34:AH34, "V")) &amp; "/" &amp; ((COUNTIF(E34:AH34, "✓") + COUNTIF(E34:AH34, "✔") + COUNTIF(E34:AH34, "v") + COUNTIF(E34:AH34, "V")) + COUNTIF(E34:AH34, "✗") + COUNTIF(E34:AH34, "x") + COUNTIF(E34:AH34, "X")), "")))</f>
        <v/>
      </c>
      <c r="AK34" s="131">
        <f>IF(ISBLANK(B34), "", IF(AI34&gt;=0.85, "🔥 Mastered", IF(AI34&gt;=0.7, "⚡ Consistent", "⚠️ Needs Focus")))</f>
        <v/>
      </c>
      <c r="AL34">
        <f>COUNTIF(E34:AH34, "✓")</f>
        <v/>
      </c>
    </row>
    <row r="35" ht="14.5" customHeight="1">
      <c r="A35" s="125" t="n">
        <v>18</v>
      </c>
      <c r="B35" s="126" t="n"/>
      <c r="C35" s="127" t="n"/>
      <c r="D35" s="127" t="n"/>
      <c r="E35" s="128" t="n"/>
      <c r="F35" s="128" t="n"/>
      <c r="G35" s="128" t="n"/>
      <c r="H35" s="128" t="n"/>
      <c r="I35" s="128" t="n"/>
      <c r="J35" s="129" t="n"/>
      <c r="K35" s="128" t="n"/>
      <c r="L35" s="128" t="n"/>
      <c r="M35" s="128" t="n"/>
      <c r="N35" s="128" t="n"/>
      <c r="O35" s="128" t="n"/>
      <c r="P35" s="128" t="n"/>
      <c r="Q35" s="129" t="n"/>
      <c r="R35" s="128" t="n"/>
      <c r="S35" s="128" t="n"/>
      <c r="T35" s="128" t="n"/>
      <c r="U35" s="128" t="n"/>
      <c r="V35" s="128" t="n"/>
      <c r="W35" s="128" t="n"/>
      <c r="X35" s="129" t="n"/>
      <c r="Y35" s="128" t="n"/>
      <c r="Z35" s="128" t="n"/>
      <c r="AA35" s="128" t="n"/>
      <c r="AB35" s="128" t="n"/>
      <c r="AC35" s="128" t="n"/>
      <c r="AD35" s="128" t="n"/>
      <c r="AE35" s="129" t="n"/>
      <c r="AF35" s="128" t="n"/>
      <c r="AG35" s="128" t="n"/>
      <c r="AH35" s="128" t="n"/>
      <c r="AI35" s="130">
        <f>IF(ISBLANK(B35), "", IF(ISNUMBER(D35), IF(D35&gt;0, (COUNTIF(E35:AH35, "✓") + COUNTIF(E35:AH35, "✔") + COUNTIF(E35:AH35, "v") + COUNTIF(E35:AH35, "V"))/D35, 0), IF(((COUNTIF(E35:AH35, "✓") + COUNTIF(E35:AH35, "✔") + COUNTIF(E35:AH35, "v") + COUNTIF(E35:AH35, "V")) + COUNTIF(E35:AH35, "✗") + COUNTIF(E35:AH35, "x") + COUNTIF(E35:AH35, "X"))&gt;0, (COUNTIF(E35:AH35, "✓") + COUNTIF(E35:AH35, "✔") + COUNTIF(E35:AH35, "v") + COUNTIF(E35:AH35, "V"))/((COUNTIF(E35:AH35, "✓") + COUNTIF(E35:AH35, "✔") + COUNTIF(E35:AH35, "v") + COUNTIF(E35:AH35, "V")) + COUNTIF(E35:AH35, "✗") + COUNTIF(E35:AH35, "x") + COUNTIF(E35:AH35, "X")), "")))</f>
        <v/>
      </c>
      <c r="AJ35" s="131">
        <f>IF(ISBLANK(B35), "", IF(ISNUMBER(D35), IF(D35&gt;0, (COUNTIF(E35:AH35, "✓") + COUNTIF(E35:AH35, "✔") + COUNTIF(E35:AH35, "v") + COUNTIF(E35:AH35, "V")) &amp; "/" &amp; D35, (COUNTIF(E35:AH35, "✓") + COUNTIF(E35:AH35, "✔") + COUNTIF(E35:AH35, "v") + COUNTIF(E35:AH35, "V")) &amp; "/0"), IF(((COUNTIF(E35:AH35, "✓") + COUNTIF(E35:AH35, "✔") + COUNTIF(E35:AH35, "v") + COUNTIF(E35:AH35, "V")) + COUNTIF(E35:AH35, "✗") + COUNTIF(E35:AH35, "x") + COUNTIF(E35:AH35, "X"))&gt;0, (COUNTIF(E35:AH35, "✓") + COUNTIF(E35:AH35, "✔") + COUNTIF(E35:AH35, "v") + COUNTIF(E35:AH35, "V")) &amp; "/" &amp; ((COUNTIF(E35:AH35, "✓") + COUNTIF(E35:AH35, "✔") + COUNTIF(E35:AH35, "v") + COUNTIF(E35:AH35, "V")) + COUNTIF(E35:AH35, "✗") + COUNTIF(E35:AH35, "x") + COUNTIF(E35:AH35, "X")), "")))</f>
        <v/>
      </c>
      <c r="AK35" s="131">
        <f>IF(ISBLANK(B35), "", IF(AI35&gt;=0.85, "🔥 Mastered", IF(AI35&gt;=0.7, "⚡ Consistent", "⚠️ Needs Focus")))</f>
        <v/>
      </c>
      <c r="AL35">
        <f>COUNTIF(E35:AH35, "✓")</f>
        <v/>
      </c>
    </row>
    <row r="36" ht="14.5" customHeight="1">
      <c r="A36" s="125" t="n">
        <v>19</v>
      </c>
      <c r="B36" s="126" t="n"/>
      <c r="C36" s="127" t="n"/>
      <c r="D36" s="127" t="n"/>
      <c r="E36" s="128" t="n"/>
      <c r="F36" s="128" t="n"/>
      <c r="G36" s="128" t="n"/>
      <c r="H36" s="128" t="n"/>
      <c r="I36" s="128" t="n"/>
      <c r="J36" s="129" t="n"/>
      <c r="K36" s="128" t="n"/>
      <c r="L36" s="128" t="n"/>
      <c r="M36" s="128" t="n"/>
      <c r="N36" s="128" t="n"/>
      <c r="O36" s="128" t="n"/>
      <c r="P36" s="128" t="n"/>
      <c r="Q36" s="129" t="n"/>
      <c r="R36" s="128" t="n"/>
      <c r="S36" s="128" t="n"/>
      <c r="T36" s="128" t="n"/>
      <c r="U36" s="128" t="n"/>
      <c r="V36" s="128" t="n"/>
      <c r="W36" s="128" t="n"/>
      <c r="X36" s="129" t="n"/>
      <c r="Y36" s="128" t="n"/>
      <c r="Z36" s="128" t="n"/>
      <c r="AA36" s="128" t="n"/>
      <c r="AB36" s="128" t="n"/>
      <c r="AC36" s="128" t="n"/>
      <c r="AD36" s="128" t="n"/>
      <c r="AE36" s="129" t="n"/>
      <c r="AF36" s="128" t="n"/>
      <c r="AG36" s="128" t="n"/>
      <c r="AH36" s="128" t="n"/>
      <c r="AI36" s="130">
        <f>IF(ISBLANK(B36), "", IF(ISNUMBER(D36), IF(D36&gt;0, (COUNTIF(E36:AH36, "✓") + COUNTIF(E36:AH36, "✔") + COUNTIF(E36:AH36, "v") + COUNTIF(E36:AH36, "V"))/D36, 0), IF(((COUNTIF(E36:AH36, "✓") + COUNTIF(E36:AH36, "✔") + COUNTIF(E36:AH36, "v") + COUNTIF(E36:AH36, "V")) + COUNTIF(E36:AH36, "✗") + COUNTIF(E36:AH36, "x") + COUNTIF(E36:AH36, "X"))&gt;0, (COUNTIF(E36:AH36, "✓") + COUNTIF(E36:AH36, "✔") + COUNTIF(E36:AH36, "v") + COUNTIF(E36:AH36, "V"))/((COUNTIF(E36:AH36, "✓") + COUNTIF(E36:AH36, "✔") + COUNTIF(E36:AH36, "v") + COUNTIF(E36:AH36, "V")) + COUNTIF(E36:AH36, "✗") + COUNTIF(E36:AH36, "x") + COUNTIF(E36:AH36, "X")), "")))</f>
        <v/>
      </c>
      <c r="AJ36" s="131">
        <f>IF(ISBLANK(B36), "", IF(ISNUMBER(D36), IF(D36&gt;0, (COUNTIF(E36:AH36, "✓") + COUNTIF(E36:AH36, "✔") + COUNTIF(E36:AH36, "v") + COUNTIF(E36:AH36, "V")) &amp; "/" &amp; D36, (COUNTIF(E36:AH36, "✓") + COUNTIF(E36:AH36, "✔") + COUNTIF(E36:AH36, "v") + COUNTIF(E36:AH36, "V")) &amp; "/0"), IF(((COUNTIF(E36:AH36, "✓") + COUNTIF(E36:AH36, "✔") + COUNTIF(E36:AH36, "v") + COUNTIF(E36:AH36, "V")) + COUNTIF(E36:AH36, "✗") + COUNTIF(E36:AH36, "x") + COUNTIF(E36:AH36, "X"))&gt;0, (COUNTIF(E36:AH36, "✓") + COUNTIF(E36:AH36, "✔") + COUNTIF(E36:AH36, "v") + COUNTIF(E36:AH36, "V")) &amp; "/" &amp; ((COUNTIF(E36:AH36, "✓") + COUNTIF(E36:AH36, "✔") + COUNTIF(E36:AH36, "v") + COUNTIF(E36:AH36, "V")) + COUNTIF(E36:AH36, "✗") + COUNTIF(E36:AH36, "x") + COUNTIF(E36:AH36, "X")), "")))</f>
        <v/>
      </c>
      <c r="AK36" s="131">
        <f>IF(ISBLANK(B36), "", IF(AI36&gt;=0.85, "🔥 Mastered", IF(AI36&gt;=0.7, "⚡ Consistent", "⚠️ Needs Focus")))</f>
        <v/>
      </c>
      <c r="AL36">
        <f>COUNTIF(E36:AH36, "✓")</f>
        <v/>
      </c>
    </row>
    <row r="37" ht="14.5" customHeight="1">
      <c r="A37" s="125" t="n">
        <v>20</v>
      </c>
      <c r="B37" s="126" t="n"/>
      <c r="C37" s="127" t="n"/>
      <c r="D37" s="127" t="n"/>
      <c r="E37" s="128" t="n"/>
      <c r="F37" s="128" t="n"/>
      <c r="G37" s="128" t="n"/>
      <c r="H37" s="128" t="n"/>
      <c r="I37" s="128" t="n"/>
      <c r="J37" s="129" t="n"/>
      <c r="K37" s="128" t="n"/>
      <c r="L37" s="128" t="n"/>
      <c r="M37" s="128" t="n"/>
      <c r="N37" s="128" t="n"/>
      <c r="O37" s="128" t="n"/>
      <c r="P37" s="128" t="n"/>
      <c r="Q37" s="129" t="n"/>
      <c r="R37" s="128" t="n"/>
      <c r="S37" s="128" t="n"/>
      <c r="T37" s="128" t="n"/>
      <c r="U37" s="128" t="n"/>
      <c r="V37" s="128" t="n"/>
      <c r="W37" s="128" t="n"/>
      <c r="X37" s="129" t="n"/>
      <c r="Y37" s="128" t="n"/>
      <c r="Z37" s="128" t="n"/>
      <c r="AA37" s="128" t="n"/>
      <c r="AB37" s="128" t="n"/>
      <c r="AC37" s="128" t="n"/>
      <c r="AD37" s="128" t="n"/>
      <c r="AE37" s="129" t="n"/>
      <c r="AF37" s="128" t="n"/>
      <c r="AG37" s="128" t="n"/>
      <c r="AH37" s="128" t="n"/>
      <c r="AI37" s="130">
        <f>IF(ISBLANK(B37), "", IF(ISNUMBER(D37), IF(D37&gt;0, (COUNTIF(E37:AH37, "✓") + COUNTIF(E37:AH37, "✔") + COUNTIF(E37:AH37, "v") + COUNTIF(E37:AH37, "V"))/D37, 0), IF(((COUNTIF(E37:AH37, "✓") + COUNTIF(E37:AH37, "✔") + COUNTIF(E37:AH37, "v") + COUNTIF(E37:AH37, "V")) + COUNTIF(E37:AH37, "✗") + COUNTIF(E37:AH37, "x") + COUNTIF(E37:AH37, "X"))&gt;0, (COUNTIF(E37:AH37, "✓") + COUNTIF(E37:AH37, "✔") + COUNTIF(E37:AH37, "v") + COUNTIF(E37:AH37, "V"))/((COUNTIF(E37:AH37, "✓") + COUNTIF(E37:AH37, "✔") + COUNTIF(E37:AH37, "v") + COUNTIF(E37:AH37, "V")) + COUNTIF(E37:AH37, "✗") + COUNTIF(E37:AH37, "x") + COUNTIF(E37:AH37, "X")), "")))</f>
        <v/>
      </c>
      <c r="AJ37" s="131">
        <f>IF(ISBLANK(B37), "", IF(ISNUMBER(D37), IF(D37&gt;0, (COUNTIF(E37:AH37, "✓") + COUNTIF(E37:AH37, "✔") + COUNTIF(E37:AH37, "v") + COUNTIF(E37:AH37, "V")) &amp; "/" &amp; D37, (COUNTIF(E37:AH37, "✓") + COUNTIF(E37:AH37, "✔") + COUNTIF(E37:AH37, "v") + COUNTIF(E37:AH37, "V")) &amp; "/0"), IF(((COUNTIF(E37:AH37, "✓") + COUNTIF(E37:AH37, "✔") + COUNTIF(E37:AH37, "v") + COUNTIF(E37:AH37, "V")) + COUNTIF(E37:AH37, "✗") + COUNTIF(E37:AH37, "x") + COUNTIF(E37:AH37, "X"))&gt;0, (COUNTIF(E37:AH37, "✓") + COUNTIF(E37:AH37, "✔") + COUNTIF(E37:AH37, "v") + COUNTIF(E37:AH37, "V")) &amp; "/" &amp; ((COUNTIF(E37:AH37, "✓") + COUNTIF(E37:AH37, "✔") + COUNTIF(E37:AH37, "v") + COUNTIF(E37:AH37, "V")) + COUNTIF(E37:AH37, "✗") + COUNTIF(E37:AH37, "x") + COUNTIF(E37:AH37, "X")), "")))</f>
        <v/>
      </c>
      <c r="AK37" s="131">
        <f>IF(ISBLANK(B37), "", IF(AI37&gt;=0.85, "🔥 Mastered", IF(AI37&gt;=0.7, "⚡ Consistent", "⚠️ Needs Focus")))</f>
        <v/>
      </c>
      <c r="AL37">
        <f>COUNTIF(E37:AH37, "✓")</f>
        <v/>
      </c>
    </row>
    <row r="38" ht="18" customHeight="1">
      <c r="A38" s="132" t="inlineStr">
        <is>
          <t>DAILY TOTAL SCORE</t>
        </is>
      </c>
      <c r="B38" s="54" t="n"/>
      <c r="C38" s="54" t="n"/>
      <c r="D38" s="54" t="n"/>
      <c r="E38" s="33">
        <f>IF(((COUNTIF(E18:E37, "✓") + COUNTIF(E18:E37, "✔") + COUNTIF(E18:E37, "v") + COUNTIF(E18:E37, "V")) + COUNTIF(E18:E37, "✗") + COUNTIF(E18:E37, "x") + COUNTIF(E18:E37, "X")) &gt; 0, (COUNTIF(E18:E37, "✓") + COUNTIF(E18:E37, "✔") + COUNTIF(E18:E37, "v") + COUNTIF(E18:E37, "V")) &amp; "/" &amp; ((COUNTIF(E18:E37, "✓") + COUNTIF(E18:E37, "✔") + COUNTIF(E18:E37, "v") + COUNTIF(E18:E37, "V")) + COUNTIF(E18:E37, "✗") + COUNTIF(E18:E37, "x") + COUNTIF(E18:E37, "X")), "")</f>
        <v/>
      </c>
      <c r="F38" s="33">
        <f>IF(((COUNTIF(F18:F37, "✓") + COUNTIF(F18:F37, "✔") + COUNTIF(F18:F37, "v") + COUNTIF(F18:F37, "V")) + COUNTIF(F18:F37, "✗") + COUNTIF(F18:F37, "x") + COUNTIF(F18:F37, "X")) &gt; 0, (COUNTIF(F18:F37, "✓") + COUNTIF(F18:F37, "✔") + COUNTIF(F18:F37, "v") + COUNTIF(F18:F37, "V")) &amp; "/" &amp; ((COUNTIF(F18:F37, "✓") + COUNTIF(F18:F37, "✔") + COUNTIF(F18:F37, "v") + COUNTIF(F18:F37, "V")) + COUNTIF(F18:F37, "✗") + COUNTIF(F18:F37, "x") + COUNTIF(F18:F37, "X")), "")</f>
        <v/>
      </c>
      <c r="G38" s="33">
        <f>IF(((COUNTIF(G18:G37, "✓") + COUNTIF(G18:G37, "✔") + COUNTIF(G18:G37, "v") + COUNTIF(G18:G37, "V")) + COUNTIF(G18:G37, "✗") + COUNTIF(G18:G37, "x") + COUNTIF(G18:G37, "X")) &gt; 0, (COUNTIF(G18:G37, "✓") + COUNTIF(G18:G37, "✔") + COUNTIF(G18:G37, "v") + COUNTIF(G18:G37, "V")) &amp; "/" &amp; ((COUNTIF(G18:G37, "✓") + COUNTIF(G18:G37, "✔") + COUNTIF(G18:G37, "v") + COUNTIF(G18:G37, "V")) + COUNTIF(G18:G37, "✗") + COUNTIF(G18:G37, "x") + COUNTIF(G18:G37, "X")), "")</f>
        <v/>
      </c>
      <c r="H38" s="33">
        <f>IF(((COUNTIF(H18:H37, "✓") + COUNTIF(H18:H37, "✔") + COUNTIF(H18:H37, "v") + COUNTIF(H18:H37, "V")) + COUNTIF(H18:H37, "✗") + COUNTIF(H18:H37, "x") + COUNTIF(H18:H37, "X")) &gt; 0, (COUNTIF(H18:H37, "✓") + COUNTIF(H18:H37, "✔") + COUNTIF(H18:H37, "v") + COUNTIF(H18:H37, "V")) &amp; "/" &amp; ((COUNTIF(H18:H37, "✓") + COUNTIF(H18:H37, "✔") + COUNTIF(H18:H37, "v") + COUNTIF(H18:H37, "V")) + COUNTIF(H18:H37, "✗") + COUNTIF(H18:H37, "x") + COUNTIF(H18:H37, "X")), "")</f>
        <v/>
      </c>
      <c r="I38" s="33">
        <f>IF(((COUNTIF(I18:I37, "✓") + COUNTIF(I18:I37, "✔") + COUNTIF(I18:I37, "v") + COUNTIF(I18:I37, "V")) + COUNTIF(I18:I37, "✗") + COUNTIF(I18:I37, "x") + COUNTIF(I18:I37, "X")) &gt; 0, (COUNTIF(I18:I37, "✓") + COUNTIF(I18:I37, "✔") + COUNTIF(I18:I37, "v") + COUNTIF(I18:I37, "V")) &amp; "/" &amp; ((COUNTIF(I18:I37, "✓") + COUNTIF(I18:I37, "✔") + COUNTIF(I18:I37, "v") + COUNTIF(I18:I37, "V")) + COUNTIF(I18:I37, "✗") + COUNTIF(I18:I37, "x") + COUNTIF(I18:I37, "X")), "")</f>
        <v/>
      </c>
      <c r="J38" s="33">
        <f>IF(((COUNTIF(J18:J37, "✓") + COUNTIF(J18:J37, "✔") + COUNTIF(J18:J37, "v") + COUNTIF(J18:J37, "V")) + COUNTIF(J18:J37, "✗") + COUNTIF(J18:J37, "x") + COUNTIF(J18:J37, "X")) &gt; 0, (COUNTIF(J18:J37, "✓") + COUNTIF(J18:J37, "✔") + COUNTIF(J18:J37, "v") + COUNTIF(J18:J37, "V")) &amp; "/" &amp; ((COUNTIF(J18:J37, "✓") + COUNTIF(J18:J37, "✔") + COUNTIF(J18:J37, "v") + COUNTIF(J18:J37, "V")) + COUNTIF(J18:J37, "✗") + COUNTIF(J18:J37, "x") + COUNTIF(J18:J37, "X")), "")</f>
        <v/>
      </c>
      <c r="K38" s="33">
        <f>IF(((COUNTIF(K18:K37, "✓") + COUNTIF(K18:K37, "✔") + COUNTIF(K18:K37, "v") + COUNTIF(K18:K37, "V")) + COUNTIF(K18:K37, "✗") + COUNTIF(K18:K37, "x") + COUNTIF(K18:K37, "X")) &gt; 0, (COUNTIF(K18:K37, "✓") + COUNTIF(K18:K37, "✔") + COUNTIF(K18:K37, "v") + COUNTIF(K18:K37, "V")) &amp; "/" &amp; ((COUNTIF(K18:K37, "✓") + COUNTIF(K18:K37, "✔") + COUNTIF(K18:K37, "v") + COUNTIF(K18:K37, "V")) + COUNTIF(K18:K37, "✗") + COUNTIF(K18:K37, "x") + COUNTIF(K18:K37, "X")), "")</f>
        <v/>
      </c>
      <c r="L38" s="33">
        <f>IF(((COUNTIF(L18:L37, "✓") + COUNTIF(L18:L37, "✔") + COUNTIF(L18:L37, "v") + COUNTIF(L18:L37, "V")) + COUNTIF(L18:L37, "✗") + COUNTIF(L18:L37, "x") + COUNTIF(L18:L37, "X")) &gt; 0, (COUNTIF(L18:L37, "✓") + COUNTIF(L18:L37, "✔") + COUNTIF(L18:L37, "v") + COUNTIF(L18:L37, "V")) &amp; "/" &amp; ((COUNTIF(L18:L37, "✓") + COUNTIF(L18:L37, "✔") + COUNTIF(L18:L37, "v") + COUNTIF(L18:L37, "V")) + COUNTIF(L18:L37, "✗") + COUNTIF(L18:L37, "x") + COUNTIF(L18:L37, "X")), "")</f>
        <v/>
      </c>
      <c r="M38" s="33">
        <f>IF(((COUNTIF(M18:M37, "✓") + COUNTIF(M18:M37, "✔") + COUNTIF(M18:M37, "v") + COUNTIF(M18:M37, "V")) + COUNTIF(M18:M37, "✗") + COUNTIF(M18:M37, "x") + COUNTIF(M18:M37, "X")) &gt; 0, (COUNTIF(M18:M37, "✓") + COUNTIF(M18:M37, "✔") + COUNTIF(M18:M37, "v") + COUNTIF(M18:M37, "V")) &amp; "/" &amp; ((COUNTIF(M18:M37, "✓") + COUNTIF(M18:M37, "✔") + COUNTIF(M18:M37, "v") + COUNTIF(M18:M37, "V")) + COUNTIF(M18:M37, "✗") + COUNTIF(M18:M37, "x") + COUNTIF(M18:M37, "X")), "")</f>
        <v/>
      </c>
      <c r="N38" s="33">
        <f>IF(((COUNTIF(N18:N37, "✓") + COUNTIF(N18:N37, "✔") + COUNTIF(N18:N37, "v") + COUNTIF(N18:N37, "V")) + COUNTIF(N18:N37, "✗") + COUNTIF(N18:N37, "x") + COUNTIF(N18:N37, "X")) &gt; 0, (COUNTIF(N18:N37, "✓") + COUNTIF(N18:N37, "✔") + COUNTIF(N18:N37, "v") + COUNTIF(N18:N37, "V")) &amp; "/" &amp; ((COUNTIF(N18:N37, "✓") + COUNTIF(N18:N37, "✔") + COUNTIF(N18:N37, "v") + COUNTIF(N18:N37, "V")) + COUNTIF(N18:N37, "✗") + COUNTIF(N18:N37, "x") + COUNTIF(N18:N37, "X")), "")</f>
        <v/>
      </c>
      <c r="O38" s="33">
        <f>IF(((COUNTIF(O18:O37, "✓") + COUNTIF(O18:O37, "✔") + COUNTIF(O18:O37, "v") + COUNTIF(O18:O37, "V")) + COUNTIF(O18:O37, "✗") + COUNTIF(O18:O37, "x") + COUNTIF(O18:O37, "X")) &gt; 0, (COUNTIF(O18:O37, "✓") + COUNTIF(O18:O37, "✔") + COUNTIF(O18:O37, "v") + COUNTIF(O18:O37, "V")) &amp; "/" &amp; ((COUNTIF(O18:O37, "✓") + COUNTIF(O18:O37, "✔") + COUNTIF(O18:O37, "v") + COUNTIF(O18:O37, "V")) + COUNTIF(O18:O37, "✗") + COUNTIF(O18:O37, "x") + COUNTIF(O18:O37, "X")), "")</f>
        <v/>
      </c>
      <c r="P38" s="33">
        <f>IF(((COUNTIF(P18:P37, "✓") + COUNTIF(P18:P37, "✔") + COUNTIF(P18:P37, "v") + COUNTIF(P18:P37, "V")) + COUNTIF(P18:P37, "✗") + COUNTIF(P18:P37, "x") + COUNTIF(P18:P37, "X")) &gt; 0, (COUNTIF(P18:P37, "✓") + COUNTIF(P18:P37, "✔") + COUNTIF(P18:P37, "v") + COUNTIF(P18:P37, "V")) &amp; "/" &amp; ((COUNTIF(P18:P37, "✓") + COUNTIF(P18:P37, "✔") + COUNTIF(P18:P37, "v") + COUNTIF(P18:P37, "V")) + COUNTIF(P18:P37, "✗") + COUNTIF(P18:P37, "x") + COUNTIF(P18:P37, "X")), "")</f>
        <v/>
      </c>
      <c r="Q38" s="33">
        <f>IF(((COUNTIF(Q18:Q37, "✓") + COUNTIF(Q18:Q37, "✔") + COUNTIF(Q18:Q37, "v") + COUNTIF(Q18:Q37, "V")) + COUNTIF(Q18:Q37, "✗") + COUNTIF(Q18:Q37, "x") + COUNTIF(Q18:Q37, "X")) &gt; 0, (COUNTIF(Q18:Q37, "✓") + COUNTIF(Q18:Q37, "✔") + COUNTIF(Q18:Q37, "v") + COUNTIF(Q18:Q37, "V")) &amp; "/" &amp; ((COUNTIF(Q18:Q37, "✓") + COUNTIF(Q18:Q37, "✔") + COUNTIF(Q18:Q37, "v") + COUNTIF(Q18:Q37, "V")) + COUNTIF(Q18:Q37, "✗") + COUNTIF(Q18:Q37, "x") + COUNTIF(Q18:Q37, "X")), "")</f>
        <v/>
      </c>
      <c r="R38" s="33">
        <f>IF(((COUNTIF(R18:R37, "✓") + COUNTIF(R18:R37, "✔") + COUNTIF(R18:R37, "v") + COUNTIF(R18:R37, "V")) + COUNTIF(R18:R37, "✗") + COUNTIF(R18:R37, "x") + COUNTIF(R18:R37, "X")) &gt; 0, (COUNTIF(R18:R37, "✓") + COUNTIF(R18:R37, "✔") + COUNTIF(R18:R37, "v") + COUNTIF(R18:R37, "V")) &amp; "/" &amp; ((COUNTIF(R18:R37, "✓") + COUNTIF(R18:R37, "✔") + COUNTIF(R18:R37, "v") + COUNTIF(R18:R37, "V")) + COUNTIF(R18:R37, "✗") + COUNTIF(R18:R37, "x") + COUNTIF(R18:R37, "X")), "")</f>
        <v/>
      </c>
      <c r="S38" s="33">
        <f>IF(((COUNTIF(S18:S37, "✓") + COUNTIF(S18:S37, "✔") + COUNTIF(S18:S37, "v") + COUNTIF(S18:S37, "V")) + COUNTIF(S18:S37, "✗") + COUNTIF(S18:S37, "x") + COUNTIF(S18:S37, "X")) &gt; 0, (COUNTIF(S18:S37, "✓") + COUNTIF(S18:S37, "✔") + COUNTIF(S18:S37, "v") + COUNTIF(S18:S37, "V")) &amp; "/" &amp; ((COUNTIF(S18:S37, "✓") + COUNTIF(S18:S37, "✔") + COUNTIF(S18:S37, "v") + COUNTIF(S18:S37, "V")) + COUNTIF(S18:S37, "✗") + COUNTIF(S18:S37, "x") + COUNTIF(S18:S37, "X")), "")</f>
        <v/>
      </c>
      <c r="T38" s="33">
        <f>IF(((COUNTIF(T18:T37, "✓") + COUNTIF(T18:T37, "✔") + COUNTIF(T18:T37, "v") + COUNTIF(T18:T37, "V")) + COUNTIF(T18:T37, "✗") + COUNTIF(T18:T37, "x") + COUNTIF(T18:T37, "X")) &gt; 0, (COUNTIF(T18:T37, "✓") + COUNTIF(T18:T37, "✔") + COUNTIF(T18:T37, "v") + COUNTIF(T18:T37, "V")) &amp; "/" &amp; ((COUNTIF(T18:T37, "✓") + COUNTIF(T18:T37, "✔") + COUNTIF(T18:T37, "v") + COUNTIF(T18:T37, "V")) + COUNTIF(T18:T37, "✗") + COUNTIF(T18:T37, "x") + COUNTIF(T18:T37, "X")), "")</f>
        <v/>
      </c>
      <c r="U38" s="33">
        <f>IF(((COUNTIF(U18:U37, "✓") + COUNTIF(U18:U37, "✔") + COUNTIF(U18:U37, "v") + COUNTIF(U18:U37, "V")) + COUNTIF(U18:U37, "✗") + COUNTIF(U18:U37, "x") + COUNTIF(U18:U37, "X")) &gt; 0, (COUNTIF(U18:U37, "✓") + COUNTIF(U18:U37, "✔") + COUNTIF(U18:U37, "v") + COUNTIF(U18:U37, "V")) &amp; "/" &amp; ((COUNTIF(U18:U37, "✓") + COUNTIF(U18:U37, "✔") + COUNTIF(U18:U37, "v") + COUNTIF(U18:U37, "V")) + COUNTIF(U18:U37, "✗") + COUNTIF(U18:U37, "x") + COUNTIF(U18:U37, "X")), "")</f>
        <v/>
      </c>
      <c r="V38" s="33">
        <f>IF(((COUNTIF(V18:V37, "✓") + COUNTIF(V18:V37, "✔") + COUNTIF(V18:V37, "v") + COUNTIF(V18:V37, "V")) + COUNTIF(V18:V37, "✗") + COUNTIF(V18:V37, "x") + COUNTIF(V18:V37, "X")) &gt; 0, (COUNTIF(V18:V37, "✓") + COUNTIF(V18:V37, "✔") + COUNTIF(V18:V37, "v") + COUNTIF(V18:V37, "V")) &amp; "/" &amp; ((COUNTIF(V18:V37, "✓") + COUNTIF(V18:V37, "✔") + COUNTIF(V18:V37, "v") + COUNTIF(V18:V37, "V")) + COUNTIF(V18:V37, "✗") + COUNTIF(V18:V37, "x") + COUNTIF(V18:V37, "X")), "")</f>
        <v/>
      </c>
      <c r="W38" s="33">
        <f>IF(((COUNTIF(W18:W37, "✓") + COUNTIF(W18:W37, "✔") + COUNTIF(W18:W37, "v") + COUNTIF(W18:W37, "V")) + COUNTIF(W18:W37, "✗") + COUNTIF(W18:W37, "x") + COUNTIF(W18:W37, "X")) &gt; 0, (COUNTIF(W18:W37, "✓") + COUNTIF(W18:W37, "✔") + COUNTIF(W18:W37, "v") + COUNTIF(W18:W37, "V")) &amp; "/" &amp; ((COUNTIF(W18:W37, "✓") + COUNTIF(W18:W37, "✔") + COUNTIF(W18:W37, "v") + COUNTIF(W18:W37, "V")) + COUNTIF(W18:W37, "✗") + COUNTIF(W18:W37, "x") + COUNTIF(W18:W37, "X")), "")</f>
        <v/>
      </c>
      <c r="X38" s="33">
        <f>IF(((COUNTIF(X18:X37, "✓") + COUNTIF(X18:X37, "✔") + COUNTIF(X18:X37, "v") + COUNTIF(X18:X37, "V")) + COUNTIF(X18:X37, "✗") + COUNTIF(X18:X37, "x") + COUNTIF(X18:X37, "X")) &gt; 0, (COUNTIF(X18:X37, "✓") + COUNTIF(X18:X37, "✔") + COUNTIF(X18:X37, "v") + COUNTIF(X18:X37, "V")) &amp; "/" &amp; ((COUNTIF(X18:X37, "✓") + COUNTIF(X18:X37, "✔") + COUNTIF(X18:X37, "v") + COUNTIF(X18:X37, "V")) + COUNTIF(X18:X37, "✗") + COUNTIF(X18:X37, "x") + COUNTIF(X18:X37, "X")), "")</f>
        <v/>
      </c>
      <c r="Y38" s="33">
        <f>IF(((COUNTIF(Y18:Y37, "✓") + COUNTIF(Y18:Y37, "✔") + COUNTIF(Y18:Y37, "v") + COUNTIF(Y18:Y37, "V")) + COUNTIF(Y18:Y37, "✗") + COUNTIF(Y18:Y37, "x") + COUNTIF(Y18:Y37, "X")) &gt; 0, (COUNTIF(Y18:Y37, "✓") + COUNTIF(Y18:Y37, "✔") + COUNTIF(Y18:Y37, "v") + COUNTIF(Y18:Y37, "V")) &amp; "/" &amp; ((COUNTIF(Y18:Y37, "✓") + COUNTIF(Y18:Y37, "✔") + COUNTIF(Y18:Y37, "v") + COUNTIF(Y18:Y37, "V")) + COUNTIF(Y18:Y37, "✗") + COUNTIF(Y18:Y37, "x") + COUNTIF(Y18:Y37, "X")), "")</f>
        <v/>
      </c>
      <c r="Z38" s="33">
        <f>IF(((COUNTIF(Z18:Z37, "✓") + COUNTIF(Z18:Z37, "✔") + COUNTIF(Z18:Z37, "v") + COUNTIF(Z18:Z37, "V")) + COUNTIF(Z18:Z37, "✗") + COUNTIF(Z18:Z37, "x") + COUNTIF(Z18:Z37, "X")) &gt; 0, (COUNTIF(Z18:Z37, "✓") + COUNTIF(Z18:Z37, "✔") + COUNTIF(Z18:Z37, "v") + COUNTIF(Z18:Z37, "V")) &amp; "/" &amp; ((COUNTIF(Z18:Z37, "✓") + COUNTIF(Z18:Z37, "✔") + COUNTIF(Z18:Z37, "v") + COUNTIF(Z18:Z37, "V")) + COUNTIF(Z18:Z37, "✗") + COUNTIF(Z18:Z37, "x") + COUNTIF(Z18:Z37, "X")), "")</f>
        <v/>
      </c>
      <c r="AA38" s="33">
        <f>IF(((COUNTIF(AA18:AA37, "✓") + COUNTIF(AA18:AA37, "✔") + COUNTIF(AA18:AA37, "v") + COUNTIF(AA18:AA37, "V")) + COUNTIF(AA18:AA37, "✗") + COUNTIF(AA18:AA37, "x") + COUNTIF(AA18:AA37, "X")) &gt; 0, (COUNTIF(AA18:AA37, "✓") + COUNTIF(AA18:AA37, "✔") + COUNTIF(AA18:AA37, "v") + COUNTIF(AA18:AA37, "V")) &amp; "/" &amp; ((COUNTIF(AA18:AA37, "✓") + COUNTIF(AA18:AA37, "✔") + COUNTIF(AA18:AA37, "v") + COUNTIF(AA18:AA37, "V")) + COUNTIF(AA18:AA37, "✗") + COUNTIF(AA18:AA37, "x") + COUNTIF(AA18:AA37, "X")), "")</f>
        <v/>
      </c>
      <c r="AB38" s="33">
        <f>IF(((COUNTIF(AB18:AB37, "✓") + COUNTIF(AB18:AB37, "✔") + COUNTIF(AB18:AB37, "v") + COUNTIF(AB18:AB37, "V")) + COUNTIF(AB18:AB37, "✗") + COUNTIF(AB18:AB37, "x") + COUNTIF(AB18:AB37, "X")) &gt; 0, (COUNTIF(AB18:AB37, "✓") + COUNTIF(AB18:AB37, "✔") + COUNTIF(AB18:AB37, "v") + COUNTIF(AB18:AB37, "V")) &amp; "/" &amp; ((COUNTIF(AB18:AB37, "✓") + COUNTIF(AB18:AB37, "✔") + COUNTIF(AB18:AB37, "v") + COUNTIF(AB18:AB37, "V")) + COUNTIF(AB18:AB37, "✗") + COUNTIF(AB18:AB37, "x") + COUNTIF(AB18:AB37, "X")), "")</f>
        <v/>
      </c>
      <c r="AC38" s="33">
        <f>IF(((COUNTIF(AC18:AC37, "✓") + COUNTIF(AC18:AC37, "✔") + COUNTIF(AC18:AC37, "v") + COUNTIF(AC18:AC37, "V")) + COUNTIF(AC18:AC37, "✗") + COUNTIF(AC18:AC37, "x") + COUNTIF(AC18:AC37, "X")) &gt; 0, (COUNTIF(AC18:AC37, "✓") + COUNTIF(AC18:AC37, "✔") + COUNTIF(AC18:AC37, "v") + COUNTIF(AC18:AC37, "V")) &amp; "/" &amp; ((COUNTIF(AC18:AC37, "✓") + COUNTIF(AC18:AC37, "✔") + COUNTIF(AC18:AC37, "v") + COUNTIF(AC18:AC37, "V")) + COUNTIF(AC18:AC37, "✗") + COUNTIF(AC18:AC37, "x") + COUNTIF(AC18:AC37, "X")), "")</f>
        <v/>
      </c>
      <c r="AD38" s="33">
        <f>IF(((COUNTIF(AD18:AD37, "✓") + COUNTIF(AD18:AD37, "✔") + COUNTIF(AD18:AD37, "v") + COUNTIF(AD18:AD37, "V")) + COUNTIF(AD18:AD37, "✗") + COUNTIF(AD18:AD37, "x") + COUNTIF(AD18:AD37, "X")) &gt; 0, (COUNTIF(AD18:AD37, "✓") + COUNTIF(AD18:AD37, "✔") + COUNTIF(AD18:AD37, "v") + COUNTIF(AD18:AD37, "V")) &amp; "/" &amp; ((COUNTIF(AD18:AD37, "✓") + COUNTIF(AD18:AD37, "✔") + COUNTIF(AD18:AD37, "v") + COUNTIF(AD18:AD37, "V")) + COUNTIF(AD18:AD37, "✗") + COUNTIF(AD18:AD37, "x") + COUNTIF(AD18:AD37, "X")), "")</f>
        <v/>
      </c>
      <c r="AE38" s="33">
        <f>IF(((COUNTIF(AE18:AE37, "✓") + COUNTIF(AE18:AE37, "✔") + COUNTIF(AE18:AE37, "v") + COUNTIF(AE18:AE37, "V")) + COUNTIF(AE18:AE37, "✗") + COUNTIF(AE18:AE37, "x") + COUNTIF(AE18:AE37, "X")) &gt; 0, (COUNTIF(AE18:AE37, "✓") + COUNTIF(AE18:AE37, "✔") + COUNTIF(AE18:AE37, "v") + COUNTIF(AE18:AE37, "V")) &amp; "/" &amp; ((COUNTIF(AE18:AE37, "✓") + COUNTIF(AE18:AE37, "✔") + COUNTIF(AE18:AE37, "v") + COUNTIF(AE18:AE37, "V")) + COUNTIF(AE18:AE37, "✗") + COUNTIF(AE18:AE37, "x") + COUNTIF(AE18:AE37, "X")), "")</f>
        <v/>
      </c>
      <c r="AF38" s="33">
        <f>IF(((COUNTIF(AF18:AF37, "✓") + COUNTIF(AF18:AF37, "✔") + COUNTIF(AF18:AF37, "v") + COUNTIF(AF18:AF37, "V")) + COUNTIF(AF18:AF37, "✗") + COUNTIF(AF18:AF37, "x") + COUNTIF(AF18:AF37, "X")) &gt; 0, (COUNTIF(AF18:AF37, "✓") + COUNTIF(AF18:AF37, "✔") + COUNTIF(AF18:AF37, "v") + COUNTIF(AF18:AF37, "V")) &amp; "/" &amp; ((COUNTIF(AF18:AF37, "✓") + COUNTIF(AF18:AF37, "✔") + COUNTIF(AF18:AF37, "v") + COUNTIF(AF18:AF37, "V")) + COUNTIF(AF18:AF37, "✗") + COUNTIF(AF18:AF37, "x") + COUNTIF(AF18:AF37, "X")), "")</f>
        <v/>
      </c>
      <c r="AG38" s="33">
        <f>IF(((COUNTIF(AG18:AG37, "✓") + COUNTIF(AG18:AG37, "✔") + COUNTIF(AG18:AG37, "v") + COUNTIF(AG18:AG37, "V")) + COUNTIF(AG18:AG37, "✗") + COUNTIF(AG18:AG37, "x") + COUNTIF(AG18:AG37, "X")) &gt; 0, (COUNTIF(AG18:AG37, "✓") + COUNTIF(AG18:AG37, "✔") + COUNTIF(AG18:AG37, "v") + COUNTIF(AG18:AG37, "V")) &amp; "/" &amp; ((COUNTIF(AG18:AG37, "✓") + COUNTIF(AG18:AG37, "✔") + COUNTIF(AG18:AG37, "v") + COUNTIF(AG18:AG37, "V")) + COUNTIF(AG18:AG37, "✗") + COUNTIF(AG18:AG37, "x") + COUNTIF(AG18:AG37, "X")), "")</f>
        <v/>
      </c>
      <c r="AH38" s="33">
        <f>IF(((COUNTIF(AH18:AH37, "✓") + COUNTIF(AH18:AH37, "✔") + COUNTIF(AH18:AH37, "v") + COUNTIF(AH18:AH37, "V")) + COUNTIF(AH18:AH37, "✗") + COUNTIF(AH18:AH37, "x") + COUNTIF(AH18:AH37, "X")) &gt; 0, (COUNTIF(AH18:AH37, "✓") + COUNTIF(AH18:AH37, "✔") + COUNTIF(AH18:AH37, "v") + COUNTIF(AH18:AH37, "V")) &amp; "/" &amp; ((COUNTIF(AH18:AH37, "✓") + COUNTIF(AH18:AH37, "✔") + COUNTIF(AH18:AH37, "v") + COUNTIF(AH18:AH37, "V")) + COUNTIF(AH18:AH37, "✗") + COUNTIF(AH18:AH37, "x") + COUNTIF(AH18:AH37, "X")), "")</f>
        <v/>
      </c>
      <c r="AI38" s="133">
        <f>IF(SUM(D18:D37) &gt; 0, SUM(AL18:AL37) / SUM(D18:D37), "")</f>
        <v/>
      </c>
      <c r="AJ38" s="33">
        <f>IF(SUM(D18:D37) &gt; 0, SUM(AL18:AL37) &amp; "/" &amp; SUM(D18:D37), "")</f>
        <v/>
      </c>
      <c r="AK38" s="54" t="n"/>
    </row>
    <row r="39" ht="18" customHeight="1">
      <c r="A39" s="132" t="inlineStr">
        <is>
          <t>DAILY SUCCESS %</t>
        </is>
      </c>
      <c r="B39" s="54" t="n"/>
      <c r="C39" s="54" t="n"/>
      <c r="D39" s="54" t="n"/>
      <c r="E39" s="134">
        <f>IF(((COUNTIF(E18:E37, "✓") + COUNTIF(E18:E37, "✔") + COUNTIF(E18:E37, "v") + COUNTIF(E18:E37, "V")) + COUNTIF(E18:E37, "✗") + COUNTIF(E18:E37, "x") + COUNTIF(E18:E37, "X")) &gt; 0, (COUNTIF(E18:E37, "✓") + COUNTIF(E18:E37, "✔") + COUNTIF(E18:E37, "v") + COUNTIF(E18:E37, "V")) / ((COUNTIF(E18:E37, "✓") + COUNTIF(E18:E37, "✔") + COUNTIF(E18:E37, "v") + COUNTIF(E18:E37, "V")) + COUNTIF(E18:E37, "✗") + COUNTIF(E18:E37, "x") + COUNTIF(E18:E37, "X")), "")</f>
        <v/>
      </c>
      <c r="F39" s="134">
        <f>IF(((COUNTIF(F18:F37, "✓") + COUNTIF(F18:F37, "✔") + COUNTIF(F18:F37, "v") + COUNTIF(F18:F37, "V")) + COUNTIF(F18:F37, "✗") + COUNTIF(F18:F37, "x") + COUNTIF(F18:F37, "X")) &gt; 0, (COUNTIF(F18:F37, "✓") + COUNTIF(F18:F37, "✔") + COUNTIF(F18:F37, "v") + COUNTIF(F18:F37, "V")) / ((COUNTIF(F18:F37, "✓") + COUNTIF(F18:F37, "✔") + COUNTIF(F18:F37, "v") + COUNTIF(F18:F37, "V")) + COUNTIF(F18:F37, "✗") + COUNTIF(F18:F37, "x") + COUNTIF(F18:F37, "X")), "")</f>
        <v/>
      </c>
      <c r="G39" s="134">
        <f>IF(((COUNTIF(G18:G37, "✓") + COUNTIF(G18:G37, "✔") + COUNTIF(G18:G37, "v") + COUNTIF(G18:G37, "V")) + COUNTIF(G18:G37, "✗") + COUNTIF(G18:G37, "x") + COUNTIF(G18:G37, "X")) &gt; 0, (COUNTIF(G18:G37, "✓") + COUNTIF(G18:G37, "✔") + COUNTIF(G18:G37, "v") + COUNTIF(G18:G37, "V")) / ((COUNTIF(G18:G37, "✓") + COUNTIF(G18:G37, "✔") + COUNTIF(G18:G37, "v") + COUNTIF(G18:G37, "V")) + COUNTIF(G18:G37, "✗") + COUNTIF(G18:G37, "x") + COUNTIF(G18:G37, "X")), "")</f>
        <v/>
      </c>
      <c r="H39" s="134">
        <f>IF(((COUNTIF(H18:H37, "✓") + COUNTIF(H18:H37, "✔") + COUNTIF(H18:H37, "v") + COUNTIF(H18:H37, "V")) + COUNTIF(H18:H37, "✗") + COUNTIF(H18:H37, "x") + COUNTIF(H18:H37, "X")) &gt; 0, (COUNTIF(H18:H37, "✓") + COUNTIF(H18:H37, "✔") + COUNTIF(H18:H37, "v") + COUNTIF(H18:H37, "V")) / ((COUNTIF(H18:H37, "✓") + COUNTIF(H18:H37, "✔") + COUNTIF(H18:H37, "v") + COUNTIF(H18:H37, "V")) + COUNTIF(H18:H37, "✗") + COUNTIF(H18:H37, "x") + COUNTIF(H18:H37, "X")), "")</f>
        <v/>
      </c>
      <c r="I39" s="134">
        <f>IF(((COUNTIF(I18:I37, "✓") + COUNTIF(I18:I37, "✔") + COUNTIF(I18:I37, "v") + COUNTIF(I18:I37, "V")) + COUNTIF(I18:I37, "✗") + COUNTIF(I18:I37, "x") + COUNTIF(I18:I37, "X")) &gt; 0, (COUNTIF(I18:I37, "✓") + COUNTIF(I18:I37, "✔") + COUNTIF(I18:I37, "v") + COUNTIF(I18:I37, "V")) / ((COUNTIF(I18:I37, "✓") + COUNTIF(I18:I37, "✔") + COUNTIF(I18:I37, "v") + COUNTIF(I18:I37, "V")) + COUNTIF(I18:I37, "✗") + COUNTIF(I18:I37, "x") + COUNTIF(I18:I37, "X")), "")</f>
        <v/>
      </c>
      <c r="J39" s="134">
        <f>IF(((COUNTIF(J18:J37, "✓") + COUNTIF(J18:J37, "✔") + COUNTIF(J18:J37, "v") + COUNTIF(J18:J37, "V")) + COUNTIF(J18:J37, "✗") + COUNTIF(J18:J37, "x") + COUNTIF(J18:J37, "X")) &gt; 0, (COUNTIF(J18:J37, "✓") + COUNTIF(J18:J37, "✔") + COUNTIF(J18:J37, "v") + COUNTIF(J18:J37, "V")) / ((COUNTIF(J18:J37, "✓") + COUNTIF(J18:J37, "✔") + COUNTIF(J18:J37, "v") + COUNTIF(J18:J37, "V")) + COUNTIF(J18:J37, "✗") + COUNTIF(J18:J37, "x") + COUNTIF(J18:J37, "X")), "")</f>
        <v/>
      </c>
      <c r="K39" s="134">
        <f>IF(((COUNTIF(K18:K37, "✓") + COUNTIF(K18:K37, "✔") + COUNTIF(K18:K37, "v") + COUNTIF(K18:K37, "V")) + COUNTIF(K18:K37, "✗") + COUNTIF(K18:K37, "x") + COUNTIF(K18:K37, "X")) &gt; 0, (COUNTIF(K18:K37, "✓") + COUNTIF(K18:K37, "✔") + COUNTIF(K18:K37, "v") + COUNTIF(K18:K37, "V")) / ((COUNTIF(K18:K37, "✓") + COUNTIF(K18:K37, "✔") + COUNTIF(K18:K37, "v") + COUNTIF(K18:K37, "V")) + COUNTIF(K18:K37, "✗") + COUNTIF(K18:K37, "x") + COUNTIF(K18:K37, "X")), "")</f>
        <v/>
      </c>
      <c r="L39" s="134">
        <f>IF(((COUNTIF(L18:L37, "✓") + COUNTIF(L18:L37, "✔") + COUNTIF(L18:L37, "v") + COUNTIF(L18:L37, "V")) + COUNTIF(L18:L37, "✗") + COUNTIF(L18:L37, "x") + COUNTIF(L18:L37, "X")) &gt; 0, (COUNTIF(L18:L37, "✓") + COUNTIF(L18:L37, "✔") + COUNTIF(L18:L37, "v") + COUNTIF(L18:L37, "V")) / ((COUNTIF(L18:L37, "✓") + COUNTIF(L18:L37, "✔") + COUNTIF(L18:L37, "v") + COUNTIF(L18:L37, "V")) + COUNTIF(L18:L37, "✗") + COUNTIF(L18:L37, "x") + COUNTIF(L18:L37, "X")), "")</f>
        <v/>
      </c>
      <c r="M39" s="134">
        <f>IF(((COUNTIF(M18:M37, "✓") + COUNTIF(M18:M37, "✔") + COUNTIF(M18:M37, "v") + COUNTIF(M18:M37, "V")) + COUNTIF(M18:M37, "✗") + COUNTIF(M18:M37, "x") + COUNTIF(M18:M37, "X")) &gt; 0, (COUNTIF(M18:M37, "✓") + COUNTIF(M18:M37, "✔") + COUNTIF(M18:M37, "v") + COUNTIF(M18:M37, "V")) / ((COUNTIF(M18:M37, "✓") + COUNTIF(M18:M37, "✔") + COUNTIF(M18:M37, "v") + COUNTIF(M18:M37, "V")) + COUNTIF(M18:M37, "✗") + COUNTIF(M18:M37, "x") + COUNTIF(M18:M37, "X")), "")</f>
        <v/>
      </c>
      <c r="N39" s="134">
        <f>IF(((COUNTIF(N18:N37, "✓") + COUNTIF(N18:N37, "✔") + COUNTIF(N18:N37, "v") + COUNTIF(N18:N37, "V")) + COUNTIF(N18:N37, "✗") + COUNTIF(N18:N37, "x") + COUNTIF(N18:N37, "X")) &gt; 0, (COUNTIF(N18:N37, "✓") + COUNTIF(N18:N37, "✔") + COUNTIF(N18:N37, "v") + COUNTIF(N18:N37, "V")) / ((COUNTIF(N18:N37, "✓") + COUNTIF(N18:N37, "✔") + COUNTIF(N18:N37, "v") + COUNTIF(N18:N37, "V")) + COUNTIF(N18:N37, "✗") + COUNTIF(N18:N37, "x") + COUNTIF(N18:N37, "X")), "")</f>
        <v/>
      </c>
      <c r="O39" s="134">
        <f>IF(((COUNTIF(O18:O37, "✓") + COUNTIF(O18:O37, "✔") + COUNTIF(O18:O37, "v") + COUNTIF(O18:O37, "V")) + COUNTIF(O18:O37, "✗") + COUNTIF(O18:O37, "x") + COUNTIF(O18:O37, "X")) &gt; 0, (COUNTIF(O18:O37, "✓") + COUNTIF(O18:O37, "✔") + COUNTIF(O18:O37, "v") + COUNTIF(O18:O37, "V")) / ((COUNTIF(O18:O37, "✓") + COUNTIF(O18:O37, "✔") + COUNTIF(O18:O37, "v") + COUNTIF(O18:O37, "V")) + COUNTIF(O18:O37, "✗") + COUNTIF(O18:O37, "x") + COUNTIF(O18:O37, "X")), "")</f>
        <v/>
      </c>
      <c r="P39" s="134">
        <f>IF(((COUNTIF(P18:P37, "✓") + COUNTIF(P18:P37, "✔") + COUNTIF(P18:P37, "v") + COUNTIF(P18:P37, "V")) + COUNTIF(P18:P37, "✗") + COUNTIF(P18:P37, "x") + COUNTIF(P18:P37, "X")) &gt; 0, (COUNTIF(P18:P37, "✓") + COUNTIF(P18:P37, "✔") + COUNTIF(P18:P37, "v") + COUNTIF(P18:P37, "V")) / ((COUNTIF(P18:P37, "✓") + COUNTIF(P18:P37, "✔") + COUNTIF(P18:P37, "v") + COUNTIF(P18:P37, "V")) + COUNTIF(P18:P37, "✗") + COUNTIF(P18:P37, "x") + COUNTIF(P18:P37, "X")), "")</f>
        <v/>
      </c>
      <c r="Q39" s="134">
        <f>IF(((COUNTIF(Q18:Q37, "✓") + COUNTIF(Q18:Q37, "✔") + COUNTIF(Q18:Q37, "v") + COUNTIF(Q18:Q37, "V")) + COUNTIF(Q18:Q37, "✗") + COUNTIF(Q18:Q37, "x") + COUNTIF(Q18:Q37, "X")) &gt; 0, (COUNTIF(Q18:Q37, "✓") + COUNTIF(Q18:Q37, "✔") + COUNTIF(Q18:Q37, "v") + COUNTIF(Q18:Q37, "V")) / ((COUNTIF(Q18:Q37, "✓") + COUNTIF(Q18:Q37, "✔") + COUNTIF(Q18:Q37, "v") + COUNTIF(Q18:Q37, "V")) + COUNTIF(Q18:Q37, "✗") + COUNTIF(Q18:Q37, "x") + COUNTIF(Q18:Q37, "X")), "")</f>
        <v/>
      </c>
      <c r="R39" s="134">
        <f>IF(((COUNTIF(R18:R37, "✓") + COUNTIF(R18:R37, "✔") + COUNTIF(R18:R37, "v") + COUNTIF(R18:R37, "V")) + COUNTIF(R18:R37, "✗") + COUNTIF(R18:R37, "x") + COUNTIF(R18:R37, "X")) &gt; 0, (COUNTIF(R18:R37, "✓") + COUNTIF(R18:R37, "✔") + COUNTIF(R18:R37, "v") + COUNTIF(R18:R37, "V")) / ((COUNTIF(R18:R37, "✓") + COUNTIF(R18:R37, "✔") + COUNTIF(R18:R37, "v") + COUNTIF(R18:R37, "V")) + COUNTIF(R18:R37, "✗") + COUNTIF(R18:R37, "x") + COUNTIF(R18:R37, "X")), "")</f>
        <v/>
      </c>
      <c r="S39" s="134">
        <f>IF(((COUNTIF(S18:S37, "✓") + COUNTIF(S18:S37, "✔") + COUNTIF(S18:S37, "v") + COUNTIF(S18:S37, "V")) + COUNTIF(S18:S37, "✗") + COUNTIF(S18:S37, "x") + COUNTIF(S18:S37, "X")) &gt; 0, (COUNTIF(S18:S37, "✓") + COUNTIF(S18:S37, "✔") + COUNTIF(S18:S37, "v") + COUNTIF(S18:S37, "V")) / ((COUNTIF(S18:S37, "✓") + COUNTIF(S18:S37, "✔") + COUNTIF(S18:S37, "v") + COUNTIF(S18:S37, "V")) + COUNTIF(S18:S37, "✗") + COUNTIF(S18:S37, "x") + COUNTIF(S18:S37, "X")), "")</f>
        <v/>
      </c>
      <c r="T39" s="134">
        <f>IF(((COUNTIF(T18:T37, "✓") + COUNTIF(T18:T37, "✔") + COUNTIF(T18:T37, "v") + COUNTIF(T18:T37, "V")) + COUNTIF(T18:T37, "✗") + COUNTIF(T18:T37, "x") + COUNTIF(T18:T37, "X")) &gt; 0, (COUNTIF(T18:T37, "✓") + COUNTIF(T18:T37, "✔") + COUNTIF(T18:T37, "v") + COUNTIF(T18:T37, "V")) / ((COUNTIF(T18:T37, "✓") + COUNTIF(T18:T37, "✔") + COUNTIF(T18:T37, "v") + COUNTIF(T18:T37, "V")) + COUNTIF(T18:T37, "✗") + COUNTIF(T18:T37, "x") + COUNTIF(T18:T37, "X")), "")</f>
        <v/>
      </c>
      <c r="U39" s="134">
        <f>IF(((COUNTIF(U18:U37, "✓") + COUNTIF(U18:U37, "✔") + COUNTIF(U18:U37, "v") + COUNTIF(U18:U37, "V")) + COUNTIF(U18:U37, "✗") + COUNTIF(U18:U37, "x") + COUNTIF(U18:U37, "X")) &gt; 0, (COUNTIF(U18:U37, "✓") + COUNTIF(U18:U37, "✔") + COUNTIF(U18:U37, "v") + COUNTIF(U18:U37, "V")) / ((COUNTIF(U18:U37, "✓") + COUNTIF(U18:U37, "✔") + COUNTIF(U18:U37, "v") + COUNTIF(U18:U37, "V")) + COUNTIF(U18:U37, "✗") + COUNTIF(U18:U37, "x") + COUNTIF(U18:U37, "X")), "")</f>
        <v/>
      </c>
      <c r="V39" s="134">
        <f>IF(((COUNTIF(V18:V37, "✓") + COUNTIF(V18:V37, "✔") + COUNTIF(V18:V37, "v") + COUNTIF(V18:V37, "V")) + COUNTIF(V18:V37, "✗") + COUNTIF(V18:V37, "x") + COUNTIF(V18:V37, "X")) &gt; 0, (COUNTIF(V18:V37, "✓") + COUNTIF(V18:V37, "✔") + COUNTIF(V18:V37, "v") + COUNTIF(V18:V37, "V")) / ((COUNTIF(V18:V37, "✓") + COUNTIF(V18:V37, "✔") + COUNTIF(V18:V37, "v") + COUNTIF(V18:V37, "V")) + COUNTIF(V18:V37, "✗") + COUNTIF(V18:V37, "x") + COUNTIF(V18:V37, "X")), "")</f>
        <v/>
      </c>
      <c r="W39" s="134">
        <f>IF(((COUNTIF(W18:W37, "✓") + COUNTIF(W18:W37, "✔") + COUNTIF(W18:W37, "v") + COUNTIF(W18:W37, "V")) + COUNTIF(W18:W37, "✗") + COUNTIF(W18:W37, "x") + COUNTIF(W18:W37, "X")) &gt; 0, (COUNTIF(W18:W37, "✓") + COUNTIF(W18:W37, "✔") + COUNTIF(W18:W37, "v") + COUNTIF(W18:W37, "V")) / ((COUNTIF(W18:W37, "✓") + COUNTIF(W18:W37, "✔") + COUNTIF(W18:W37, "v") + COUNTIF(W18:W37, "V")) + COUNTIF(W18:W37, "✗") + COUNTIF(W18:W37, "x") + COUNTIF(W18:W37, "X")), "")</f>
        <v/>
      </c>
      <c r="X39" s="134">
        <f>IF(((COUNTIF(X18:X37, "✓") + COUNTIF(X18:X37, "✔") + COUNTIF(X18:X37, "v") + COUNTIF(X18:X37, "V")) + COUNTIF(X18:X37, "✗") + COUNTIF(X18:X37, "x") + COUNTIF(X18:X37, "X")) &gt; 0, (COUNTIF(X18:X37, "✓") + COUNTIF(X18:X37, "✔") + COUNTIF(X18:X37, "v") + COUNTIF(X18:X37, "V")) / ((COUNTIF(X18:X37, "✓") + COUNTIF(X18:X37, "✔") + COUNTIF(X18:X37, "v") + COUNTIF(X18:X37, "V")) + COUNTIF(X18:X37, "✗") + COUNTIF(X18:X37, "x") + COUNTIF(X18:X37, "X")), "")</f>
        <v/>
      </c>
      <c r="Y39" s="134">
        <f>IF(((COUNTIF(Y18:Y37, "✓") + COUNTIF(Y18:Y37, "✔") + COUNTIF(Y18:Y37, "v") + COUNTIF(Y18:Y37, "V")) + COUNTIF(Y18:Y37, "✗") + COUNTIF(Y18:Y37, "x") + COUNTIF(Y18:Y37, "X")) &gt; 0, (COUNTIF(Y18:Y37, "✓") + COUNTIF(Y18:Y37, "✔") + COUNTIF(Y18:Y37, "v") + COUNTIF(Y18:Y37, "V")) / ((COUNTIF(Y18:Y37, "✓") + COUNTIF(Y18:Y37, "✔") + COUNTIF(Y18:Y37, "v") + COUNTIF(Y18:Y37, "V")) + COUNTIF(Y18:Y37, "✗") + COUNTIF(Y18:Y37, "x") + COUNTIF(Y18:Y37, "X")), "")</f>
        <v/>
      </c>
      <c r="Z39" s="134">
        <f>IF(((COUNTIF(Z18:Z37, "✓") + COUNTIF(Z18:Z37, "✔") + COUNTIF(Z18:Z37, "v") + COUNTIF(Z18:Z37, "V")) + COUNTIF(Z18:Z37, "✗") + COUNTIF(Z18:Z37, "x") + COUNTIF(Z18:Z37, "X")) &gt; 0, (COUNTIF(Z18:Z37, "✓") + COUNTIF(Z18:Z37, "✔") + COUNTIF(Z18:Z37, "v") + COUNTIF(Z18:Z37, "V")) / ((COUNTIF(Z18:Z37, "✓") + COUNTIF(Z18:Z37, "✔") + COUNTIF(Z18:Z37, "v") + COUNTIF(Z18:Z37, "V")) + COUNTIF(Z18:Z37, "✗") + COUNTIF(Z18:Z37, "x") + COUNTIF(Z18:Z37, "X")), "")</f>
        <v/>
      </c>
      <c r="AA39" s="134">
        <f>IF(((COUNTIF(AA18:AA37, "✓") + COUNTIF(AA18:AA37, "✔") + COUNTIF(AA18:AA37, "v") + COUNTIF(AA18:AA37, "V")) + COUNTIF(AA18:AA37, "✗") + COUNTIF(AA18:AA37, "x") + COUNTIF(AA18:AA37, "X")) &gt; 0, (COUNTIF(AA18:AA37, "✓") + COUNTIF(AA18:AA37, "✔") + COUNTIF(AA18:AA37, "v") + COUNTIF(AA18:AA37, "V")) / ((COUNTIF(AA18:AA37, "✓") + COUNTIF(AA18:AA37, "✔") + COUNTIF(AA18:AA37, "v") + COUNTIF(AA18:AA37, "V")) + COUNTIF(AA18:AA37, "✗") + COUNTIF(AA18:AA37, "x") + COUNTIF(AA18:AA37, "X")), "")</f>
        <v/>
      </c>
      <c r="AB39" s="134">
        <f>IF(((COUNTIF(AB18:AB37, "✓") + COUNTIF(AB18:AB37, "✔") + COUNTIF(AB18:AB37, "v") + COUNTIF(AB18:AB37, "V")) + COUNTIF(AB18:AB37, "✗") + COUNTIF(AB18:AB37, "x") + COUNTIF(AB18:AB37, "X")) &gt; 0, (COUNTIF(AB18:AB37, "✓") + COUNTIF(AB18:AB37, "✔") + COUNTIF(AB18:AB37, "v") + COUNTIF(AB18:AB37, "V")) / ((COUNTIF(AB18:AB37, "✓") + COUNTIF(AB18:AB37, "✔") + COUNTIF(AB18:AB37, "v") + COUNTIF(AB18:AB37, "V")) + COUNTIF(AB18:AB37, "✗") + COUNTIF(AB18:AB37, "x") + COUNTIF(AB18:AB37, "X")), "")</f>
        <v/>
      </c>
      <c r="AC39" s="134">
        <f>IF(((COUNTIF(AC18:AC37, "✓") + COUNTIF(AC18:AC37, "✔") + COUNTIF(AC18:AC37, "v") + COUNTIF(AC18:AC37, "V")) + COUNTIF(AC18:AC37, "✗") + COUNTIF(AC18:AC37, "x") + COUNTIF(AC18:AC37, "X")) &gt; 0, (COUNTIF(AC18:AC37, "✓") + COUNTIF(AC18:AC37, "✔") + COUNTIF(AC18:AC37, "v") + COUNTIF(AC18:AC37, "V")) / ((COUNTIF(AC18:AC37, "✓") + COUNTIF(AC18:AC37, "✔") + COUNTIF(AC18:AC37, "v") + COUNTIF(AC18:AC37, "V")) + COUNTIF(AC18:AC37, "✗") + COUNTIF(AC18:AC37, "x") + COUNTIF(AC18:AC37, "X")), "")</f>
        <v/>
      </c>
      <c r="AD39" s="134">
        <f>IF(((COUNTIF(AD18:AD37, "✓") + COUNTIF(AD18:AD37, "✔") + COUNTIF(AD18:AD37, "v") + COUNTIF(AD18:AD37, "V")) + COUNTIF(AD18:AD37, "✗") + COUNTIF(AD18:AD37, "x") + COUNTIF(AD18:AD37, "X")) &gt; 0, (COUNTIF(AD18:AD37, "✓") + COUNTIF(AD18:AD37, "✔") + COUNTIF(AD18:AD37, "v") + COUNTIF(AD18:AD37, "V")) / ((COUNTIF(AD18:AD37, "✓") + COUNTIF(AD18:AD37, "✔") + COUNTIF(AD18:AD37, "v") + COUNTIF(AD18:AD37, "V")) + COUNTIF(AD18:AD37, "✗") + COUNTIF(AD18:AD37, "x") + COUNTIF(AD18:AD37, "X")), "")</f>
        <v/>
      </c>
      <c r="AE39" s="134">
        <f>IF(((COUNTIF(AE18:AE37, "✓") + COUNTIF(AE18:AE37, "✔") + COUNTIF(AE18:AE37, "v") + COUNTIF(AE18:AE37, "V")) + COUNTIF(AE18:AE37, "✗") + COUNTIF(AE18:AE37, "x") + COUNTIF(AE18:AE37, "X")) &gt; 0, (COUNTIF(AE18:AE37, "✓") + COUNTIF(AE18:AE37, "✔") + COUNTIF(AE18:AE37, "v") + COUNTIF(AE18:AE37, "V")) / ((COUNTIF(AE18:AE37, "✓") + COUNTIF(AE18:AE37, "✔") + COUNTIF(AE18:AE37, "v") + COUNTIF(AE18:AE37, "V")) + COUNTIF(AE18:AE37, "✗") + COUNTIF(AE18:AE37, "x") + COUNTIF(AE18:AE37, "X")), "")</f>
        <v/>
      </c>
      <c r="AF39" s="134">
        <f>IF(((COUNTIF(AF18:AF37, "✓") + COUNTIF(AF18:AF37, "✔") + COUNTIF(AF18:AF37, "v") + COUNTIF(AF18:AF37, "V")) + COUNTIF(AF18:AF37, "✗") + COUNTIF(AF18:AF37, "x") + COUNTIF(AF18:AF37, "X")) &gt; 0, (COUNTIF(AF18:AF37, "✓") + COUNTIF(AF18:AF37, "✔") + COUNTIF(AF18:AF37, "v") + COUNTIF(AF18:AF37, "V")) / ((COUNTIF(AF18:AF37, "✓") + COUNTIF(AF18:AF37, "✔") + COUNTIF(AF18:AF37, "v") + COUNTIF(AF18:AF37, "V")) + COUNTIF(AF18:AF37, "✗") + COUNTIF(AF18:AF37, "x") + COUNTIF(AF18:AF37, "X")), "")</f>
        <v/>
      </c>
      <c r="AG39" s="134">
        <f>IF(((COUNTIF(AG18:AG37, "✓") + COUNTIF(AG18:AG37, "✔") + COUNTIF(AG18:AG37, "v") + COUNTIF(AG18:AG37, "V")) + COUNTIF(AG18:AG37, "✗") + COUNTIF(AG18:AG37, "x") + COUNTIF(AG18:AG37, "X")) &gt; 0, (COUNTIF(AG18:AG37, "✓") + COUNTIF(AG18:AG37, "✔") + COUNTIF(AG18:AG37, "v") + COUNTIF(AG18:AG37, "V")) / ((COUNTIF(AG18:AG37, "✓") + COUNTIF(AG18:AG37, "✔") + COUNTIF(AG18:AG37, "v") + COUNTIF(AG18:AG37, "V")) + COUNTIF(AG18:AG37, "✗") + COUNTIF(AG18:AG37, "x") + COUNTIF(AG18:AG37, "X")), "")</f>
        <v/>
      </c>
      <c r="AH39" s="134">
        <f>IF(((COUNTIF(AH18:AH37, "✓") + COUNTIF(AH18:AH37, "✔") + COUNTIF(AH18:AH37, "v") + COUNTIF(AH18:AH37, "V")) + COUNTIF(AH18:AH37, "✗") + COUNTIF(AH18:AH37, "x") + COUNTIF(AH18:AH37, "X")) &gt; 0, (COUNTIF(AH18:AH37, "✓") + COUNTIF(AH18:AH37, "✔") + COUNTIF(AH18:AH37, "v") + COUNTIF(AH18:AH37, "V")) / ((COUNTIF(AH18:AH37, "✓") + COUNTIF(AH18:AH37, "✔") + COUNTIF(AH18:AH37, "v") + COUNTIF(AH18:AH37, "V")) + COUNTIF(AH18:AH37, "✗") + COUNTIF(AH18:AH37, "x") + COUNTIF(AH18:AH37, "X")), "")</f>
        <v/>
      </c>
      <c r="AI39" s="133">
        <f>IF(COUNT(E39:AH39) &gt; 0, AVERAGE(E39:AH39), "")</f>
        <v/>
      </c>
      <c r="AJ39" s="54" t="n"/>
      <c r="AK39" s="54" t="n"/>
    </row>
    <row r="40" ht="6" customHeight="1"/>
    <row r="41" ht="15" customHeight="1">
      <c r="A41" s="135" t="inlineStr">
        <is>
          <t>IF SUCCESS &lt; 80%, PUNISHMENT: ________________________________________________</t>
        </is>
      </c>
    </row>
    <row r="42" ht="15" customHeight="1">
      <c r="A42" s="136" t="inlineStr">
        <is>
          <t>IF SUCCESS &gt; 90%, REWARD: __________________________________________________</t>
        </is>
      </c>
    </row>
    <row r="43" ht="10" customHeight="1"/>
    <row r="44" ht="10" customHeight="1"/>
    <row r="45" ht="15" customHeight="1">
      <c r="A45" s="51" t="inlineStr">
        <is>
          <t>Sleep Tracking</t>
        </is>
      </c>
      <c r="B45" s="52" t="n"/>
      <c r="C45" s="52" t="n"/>
      <c r="D45" s="52" t="n"/>
      <c r="E45" s="137" t="n">
        <v>1</v>
      </c>
      <c r="F45" s="137" t="n">
        <v>2</v>
      </c>
      <c r="G45" s="137" t="n">
        <v>3</v>
      </c>
      <c r="H45" s="137" t="n">
        <v>4</v>
      </c>
      <c r="I45" s="137" t="n">
        <v>5</v>
      </c>
      <c r="J45" s="138" t="n">
        <v>6</v>
      </c>
      <c r="K45" s="137" t="n">
        <v>7</v>
      </c>
      <c r="L45" s="137" t="n">
        <v>8</v>
      </c>
      <c r="M45" s="137" t="n">
        <v>9</v>
      </c>
      <c r="N45" s="137" t="n">
        <v>10</v>
      </c>
      <c r="O45" s="137" t="n">
        <v>11</v>
      </c>
      <c r="P45" s="137" t="n">
        <v>12</v>
      </c>
      <c r="Q45" s="138" t="n">
        <v>13</v>
      </c>
      <c r="R45" s="137" t="n">
        <v>14</v>
      </c>
      <c r="S45" s="137" t="n">
        <v>15</v>
      </c>
      <c r="T45" s="137" t="n">
        <v>16</v>
      </c>
      <c r="U45" s="137" t="n">
        <v>17</v>
      </c>
      <c r="V45" s="137" t="n">
        <v>18</v>
      </c>
      <c r="W45" s="137" t="n">
        <v>19</v>
      </c>
      <c r="X45" s="138" t="n">
        <v>20</v>
      </c>
      <c r="Y45" s="137" t="n">
        <v>21</v>
      </c>
      <c r="Z45" s="137" t="n">
        <v>22</v>
      </c>
      <c r="AA45" s="137" t="n">
        <v>23</v>
      </c>
      <c r="AB45" s="137" t="n">
        <v>24</v>
      </c>
      <c r="AC45" s="137" t="n">
        <v>25</v>
      </c>
      <c r="AD45" s="137" t="n">
        <v>26</v>
      </c>
      <c r="AE45" s="138" t="n">
        <v>27</v>
      </c>
      <c r="AF45" s="137" t="n">
        <v>28</v>
      </c>
      <c r="AG45" s="137" t="n">
        <v>29</v>
      </c>
      <c r="AH45" s="137" t="n">
        <v>30</v>
      </c>
    </row>
    <row r="46" ht="15" customHeight="1">
      <c r="A46" s="52" t="n"/>
      <c r="B46" s="52" t="n"/>
      <c r="C46" s="52" t="n"/>
      <c r="D46" s="52" t="n"/>
      <c r="E46" s="139" t="inlineStr">
        <is>
          <t>T</t>
        </is>
      </c>
      <c r="F46" s="139" t="inlineStr">
        <is>
          <t>W</t>
        </is>
      </c>
      <c r="G46" s="139" t="inlineStr">
        <is>
          <t>Th</t>
        </is>
      </c>
      <c r="H46" s="139" t="inlineStr">
        <is>
          <t>F</t>
        </is>
      </c>
      <c r="I46" s="139" t="inlineStr">
        <is>
          <t>Sa</t>
        </is>
      </c>
      <c r="J46" s="140" t="inlineStr">
        <is>
          <t>Su</t>
        </is>
      </c>
      <c r="K46" s="139" t="inlineStr">
        <is>
          <t>M</t>
        </is>
      </c>
      <c r="L46" s="139" t="inlineStr">
        <is>
          <t>T</t>
        </is>
      </c>
      <c r="M46" s="139" t="inlineStr">
        <is>
          <t>W</t>
        </is>
      </c>
      <c r="N46" s="139" t="inlineStr">
        <is>
          <t>Th</t>
        </is>
      </c>
      <c r="O46" s="139" t="inlineStr">
        <is>
          <t>F</t>
        </is>
      </c>
      <c r="P46" s="139" t="inlineStr">
        <is>
          <t>Sa</t>
        </is>
      </c>
      <c r="Q46" s="140" t="inlineStr">
        <is>
          <t>Su</t>
        </is>
      </c>
      <c r="R46" s="139" t="inlineStr">
        <is>
          <t>M</t>
        </is>
      </c>
      <c r="S46" s="139" t="inlineStr">
        <is>
          <t>T</t>
        </is>
      </c>
      <c r="T46" s="139" t="inlineStr">
        <is>
          <t>W</t>
        </is>
      </c>
      <c r="U46" s="139" t="inlineStr">
        <is>
          <t>Th</t>
        </is>
      </c>
      <c r="V46" s="139" t="inlineStr">
        <is>
          <t>F</t>
        </is>
      </c>
      <c r="W46" s="139" t="inlineStr">
        <is>
          <t>Sa</t>
        </is>
      </c>
      <c r="X46" s="140" t="inlineStr">
        <is>
          <t>Su</t>
        </is>
      </c>
      <c r="Y46" s="139" t="inlineStr">
        <is>
          <t>M</t>
        </is>
      </c>
      <c r="Z46" s="139" t="inlineStr">
        <is>
          <t>T</t>
        </is>
      </c>
      <c r="AA46" s="139" t="inlineStr">
        <is>
          <t>W</t>
        </is>
      </c>
      <c r="AB46" s="139" t="inlineStr">
        <is>
          <t>Th</t>
        </is>
      </c>
      <c r="AC46" s="139" t="inlineStr">
        <is>
          <t>F</t>
        </is>
      </c>
      <c r="AD46" s="139" t="inlineStr">
        <is>
          <t>Sa</t>
        </is>
      </c>
      <c r="AE46" s="140" t="inlineStr">
        <is>
          <t>Su</t>
        </is>
      </c>
      <c r="AF46" s="139" t="inlineStr">
        <is>
          <t>M</t>
        </is>
      </c>
      <c r="AG46" s="139" t="inlineStr">
        <is>
          <t>T</t>
        </is>
      </c>
      <c r="AH46" s="139" t="inlineStr">
        <is>
          <t>W</t>
        </is>
      </c>
    </row>
    <row r="47" ht="20" customHeight="1">
      <c r="A47" s="141" t="inlineStr">
        <is>
          <t>Sleep Hours (1-24)</t>
        </is>
      </c>
      <c r="B47" s="142" t="n"/>
      <c r="C47" s="142" t="n"/>
      <c r="D47" s="142" t="n"/>
      <c r="E47" s="143" t="n"/>
      <c r="F47" s="143" t="n"/>
      <c r="G47" s="143" t="n"/>
      <c r="H47" s="143" t="n"/>
      <c r="I47" s="143" t="n"/>
      <c r="J47" s="144" t="n"/>
      <c r="K47" s="143" t="n"/>
      <c r="L47" s="143" t="n"/>
      <c r="M47" s="143" t="n"/>
      <c r="N47" s="143" t="n"/>
      <c r="O47" s="143" t="n"/>
      <c r="P47" s="143" t="n"/>
      <c r="Q47" s="144" t="n"/>
      <c r="R47" s="143" t="n"/>
      <c r="S47" s="143" t="n"/>
      <c r="T47" s="143" t="n"/>
      <c r="U47" s="143" t="n"/>
      <c r="V47" s="143" t="n"/>
      <c r="W47" s="143" t="n"/>
      <c r="X47" s="144" t="n"/>
      <c r="Y47" s="143" t="n"/>
      <c r="Z47" s="143" t="n"/>
      <c r="AA47" s="143" t="n"/>
      <c r="AB47" s="143" t="n"/>
      <c r="AC47" s="143" t="n"/>
      <c r="AD47" s="143" t="n"/>
      <c r="AE47" s="144" t="n"/>
      <c r="AF47" s="143" t="n"/>
      <c r="AG47" s="143" t="n"/>
      <c r="AH47" s="143" t="n"/>
    </row>
    <row r="48" ht="6" customHeight="1"/>
    <row r="49" ht="14" customHeight="1"/>
    <row r="50" ht="14" customHeight="1"/>
    <row r="51" ht="14" customHeight="1"/>
    <row r="52" ht="14" customHeight="1"/>
    <row r="53" ht="14" customHeight="1"/>
    <row r="54" ht="14" customHeight="1"/>
    <row r="55" ht="14" customHeight="1"/>
    <row r="56" ht="14" customHeight="1"/>
    <row r="57" ht="14" customHeight="1"/>
    <row r="58" ht="14" customHeight="1"/>
    <row r="59" ht="14" customHeight="1"/>
    <row r="60" ht="14" customHeight="1"/>
    <row r="61" ht="14" customHeight="1"/>
    <row r="62" ht="14" customHeight="1"/>
    <row r="63" ht="14" customHeight="1"/>
    <row r="64" ht="14" customHeight="1"/>
    <row r="65" ht="14" customHeight="1"/>
    <row r="66" ht="8" customHeight="1"/>
    <row r="67">
      <c r="A67" s="145" t="inlineStr">
        <is>
          <t>MONTHLY SUCCESS RATE</t>
        </is>
      </c>
      <c r="B67" s="9" t="n"/>
      <c r="C67" s="9" t="n"/>
      <c r="D67" s="9" t="n"/>
      <c r="F67" s="146" t="inlineStr">
        <is>
          <t>ACTIVE PROTOCOLS</t>
        </is>
      </c>
      <c r="G67" s="11" t="n"/>
      <c r="H67" s="11" t="n"/>
      <c r="I67" s="11" t="n"/>
      <c r="K67" s="147" t="inlineStr">
        <is>
          <t>PERFECT DAYS (100%)</t>
        </is>
      </c>
      <c r="L67" s="13" t="n"/>
      <c r="M67" s="13" t="n"/>
      <c r="N67" s="13" t="n"/>
      <c r="P67" s="148" t="inlineStr">
        <is>
          <t>AVG SLEEP DURATION</t>
        </is>
      </c>
      <c r="Q67" s="15" t="n"/>
      <c r="R67" s="15" t="n"/>
      <c r="S67" s="15" t="n"/>
    </row>
    <row r="68">
      <c r="A68" s="149">
        <f>IF(SUM(D18:D37)&gt;0, SUM(AL18:AL37)/SUM(D18:D37), 0)</f>
        <v/>
      </c>
      <c r="B68" s="9" t="n"/>
      <c r="C68" s="9" t="n"/>
      <c r="D68" s="9" t="n"/>
      <c r="F68" s="150">
        <f>COUNTA(B18:B37) &amp; " / 20"</f>
        <v/>
      </c>
      <c r="G68" s="11" t="n"/>
      <c r="H68" s="11" t="n"/>
      <c r="I68" s="11" t="n"/>
      <c r="K68" s="151">
        <f>COUNTIF(E39:AH39, 1) &amp; " Days"</f>
        <v/>
      </c>
      <c r="L68" s="13" t="n"/>
      <c r="M68" s="13" t="n"/>
      <c r="N68" s="13" t="n"/>
      <c r="P68" s="152">
        <f>IFERROR(TEXT(AVERAGE(E47:AH47), "0.0") &amp; " hrs", "-")</f>
        <v/>
      </c>
      <c r="Q68" s="15" t="n"/>
      <c r="R68" s="15" t="n"/>
      <c r="S68" s="15" t="n"/>
    </row>
    <row r="69">
      <c r="A69" s="9" t="n"/>
      <c r="B69" s="9" t="n"/>
      <c r="C69" s="9" t="n"/>
      <c r="D69" s="9" t="n"/>
      <c r="F69" s="11" t="n"/>
      <c r="G69" s="11" t="n"/>
      <c r="H69" s="11" t="n"/>
      <c r="I69" s="11" t="n"/>
      <c r="K69" s="13" t="n"/>
      <c r="L69" s="13" t="n"/>
      <c r="M69" s="13" t="n"/>
      <c r="N69" s="13" t="n"/>
      <c r="P69" s="15" t="n"/>
      <c r="Q69" s="15" t="n"/>
      <c r="R69" s="15" t="n"/>
      <c r="S69" s="15" t="n"/>
    </row>
    <row r="70">
      <c r="A70" s="9" t="n"/>
      <c r="B70" s="9" t="n"/>
      <c r="C70" s="9" t="n"/>
      <c r="D70" s="9" t="n"/>
      <c r="F70" s="11" t="n"/>
      <c r="G70" s="11" t="n"/>
      <c r="H70" s="11" t="n"/>
      <c r="I70" s="11" t="n"/>
      <c r="K70" s="13" t="n"/>
      <c r="L70" s="13" t="n"/>
      <c r="M70" s="13" t="n"/>
      <c r="N70" s="13" t="n"/>
      <c r="P70" s="15" t="n"/>
      <c r="Q70" s="15" t="n"/>
      <c r="R70" s="15" t="n"/>
      <c r="S70" s="15" t="n"/>
    </row>
    <row r="71">
      <c r="A71" s="153" t="inlineStr">
        <is>
          <t>Target Completion</t>
        </is>
      </c>
      <c r="B71" s="9" t="n"/>
      <c r="C71" s="9" t="n"/>
      <c r="D71" s="9" t="n"/>
      <c r="F71" s="154" t="inlineStr">
        <is>
          <t>Habits Tracked</t>
        </is>
      </c>
      <c r="G71" s="11" t="n"/>
      <c r="H71" s="11" t="n"/>
      <c r="I71" s="11" t="n"/>
      <c r="K71" s="155" t="inlineStr">
        <is>
          <t>All Marked Habits Completed</t>
        </is>
      </c>
      <c r="L71" s="13" t="n"/>
      <c r="M71" s="13" t="n"/>
      <c r="N71" s="13" t="n"/>
      <c r="P71" s="156" t="inlineStr">
        <is>
          <t>Nightly Rest Average</t>
        </is>
      </c>
      <c r="Q71" s="15" t="n"/>
      <c r="R71" s="15" t="n"/>
      <c r="S71" s="15" t="n"/>
    </row>
    <row r="72" ht="8" customHeight="1"/>
    <row r="73" ht="6" customHeight="1"/>
    <row r="74">
      <c r="A74" s="67" t="inlineStr">
        <is>
          <t>WEEKLY PERFORMANCE (SLUMP DETECTOR)</t>
        </is>
      </c>
      <c r="B74" s="29" t="n"/>
      <c r="C74" s="29" t="n"/>
      <c r="D74" s="29" t="n"/>
      <c r="E74" s="29" t="n"/>
      <c r="N74" s="157" t="inlineStr">
        <is>
          <t>LIFE DOMAIN / CATEGORY BREAKDOWN</t>
        </is>
      </c>
      <c r="O74" s="158" t="n"/>
      <c r="P74" s="158" t="n"/>
      <c r="Q74" s="158" t="n"/>
      <c r="R74" s="158" t="n"/>
      <c r="S74" s="158" t="n"/>
    </row>
    <row r="75" ht="15" customHeight="1">
      <c r="A75" s="53" t="inlineStr">
        <is>
          <t>Week</t>
        </is>
      </c>
      <c r="B75" s="53" t="inlineStr">
        <is>
          <t>Days Range</t>
        </is>
      </c>
      <c r="C75" s="53" t="inlineStr">
        <is>
          <t>Checks Done</t>
        </is>
      </c>
      <c r="D75" s="53" t="inlineStr">
        <is>
          <t>Evaluated</t>
        </is>
      </c>
      <c r="E75" s="53" t="inlineStr">
        <is>
          <t>Success %</t>
        </is>
      </c>
      <c r="N75" s="53" t="inlineStr">
        <is>
          <t>Domain / Category</t>
        </is>
      </c>
      <c r="O75" s="54" t="n"/>
      <c r="P75" s="53" t="inlineStr">
        <is>
          <t>Active Habits</t>
        </is>
      </c>
      <c r="Q75" s="53" t="inlineStr">
        <is>
          <t>Target Days</t>
        </is>
      </c>
      <c r="R75" s="53" t="inlineStr">
        <is>
          <t>Done Checks</t>
        </is>
      </c>
      <c r="S75" s="53" t="inlineStr">
        <is>
          <t>Success %</t>
        </is>
      </c>
    </row>
    <row r="76" ht="14" customHeight="1">
      <c r="A76" s="33" t="inlineStr">
        <is>
          <t>Week 1</t>
        </is>
      </c>
      <c r="B76" s="34" t="inlineStr">
        <is>
          <t>Days 1 - 7</t>
        </is>
      </c>
      <c r="C76" s="34">
        <f>COUNTIF(E18:K37, "✓")</f>
        <v/>
      </c>
      <c r="D76" s="34">
        <f>COUNTIF(E18:K37, "✓") + COUNTIF(E18:K37, "✗")</f>
        <v/>
      </c>
      <c r="E76" s="35">
        <f>IFERROR(C76/D76, 0)</f>
        <v/>
      </c>
      <c r="N76" s="60" t="inlineStr">
        <is>
          <t>Health &amp; Fitness</t>
        </is>
      </c>
      <c r="O76" s="54" t="n"/>
      <c r="P76" s="34">
        <f>COUNTIF($C$18:$C$37, "Health &amp; Fitness")</f>
        <v/>
      </c>
      <c r="Q76" s="34">
        <f>SUMIF($C$18:$C$37, "Health &amp; Fitness", $D$18:$D$37)</f>
        <v/>
      </c>
      <c r="R76" s="34">
        <f>SUMIF($C$18:$C$37, "Health &amp; Fitness", $AL$18:$AL$37)</f>
        <v/>
      </c>
      <c r="S76" s="35">
        <f>IFERROR(R76/Q76, 0)</f>
        <v/>
      </c>
    </row>
    <row r="77" ht="14" customHeight="1">
      <c r="A77" s="33" t="inlineStr">
        <is>
          <t>Week 2</t>
        </is>
      </c>
      <c r="B77" s="34" t="inlineStr">
        <is>
          <t>Days 8 - 14</t>
        </is>
      </c>
      <c r="C77" s="34">
        <f>COUNTIF(L18:R37, "✓")</f>
        <v/>
      </c>
      <c r="D77" s="34">
        <f>COUNTIF(L18:R37, "✓") + COUNTIF(L18:R37, "✗")</f>
        <v/>
      </c>
      <c r="E77" s="35">
        <f>IFERROR(C77/D77, 0)</f>
        <v/>
      </c>
      <c r="N77" s="60" t="inlineStr">
        <is>
          <t>Mindset &amp; Learning</t>
        </is>
      </c>
      <c r="O77" s="54" t="n"/>
      <c r="P77" s="34">
        <f>COUNTIF($C$18:$C$37, "Mindset &amp; Learning")</f>
        <v/>
      </c>
      <c r="Q77" s="34">
        <f>SUMIF($C$18:$C$37, "Mindset &amp; Learning", $D$18:$D$37)</f>
        <v/>
      </c>
      <c r="R77" s="34">
        <f>SUMIF($C$18:$C$37, "Mindset &amp; Learning", $AL$18:$AL$37)</f>
        <v/>
      </c>
      <c r="S77" s="35">
        <f>IFERROR(R77/Q77, 0)</f>
        <v/>
      </c>
    </row>
    <row r="78" ht="14" customHeight="1">
      <c r="A78" s="33" t="inlineStr">
        <is>
          <t>Week 3</t>
        </is>
      </c>
      <c r="B78" s="34" t="inlineStr">
        <is>
          <t>Days 15 - 21</t>
        </is>
      </c>
      <c r="C78" s="34">
        <f>COUNTIF(S18:Y37, "✓")</f>
        <v/>
      </c>
      <c r="D78" s="34">
        <f>COUNTIF(S18:Y37, "✓") + COUNTIF(S18:Y37, "✗")</f>
        <v/>
      </c>
      <c r="E78" s="35">
        <f>IFERROR(C78/D78, 0)</f>
        <v/>
      </c>
      <c r="N78" s="60" t="inlineStr">
        <is>
          <t>Career &amp; Focus</t>
        </is>
      </c>
      <c r="O78" s="54" t="n"/>
      <c r="P78" s="34">
        <f>COUNTIF($C$18:$C$37, "Career &amp; Focus")</f>
        <v/>
      </c>
      <c r="Q78" s="34">
        <f>SUMIF($C$18:$C$37, "Career &amp; Focus", $D$18:$D$37)</f>
        <v/>
      </c>
      <c r="R78" s="34">
        <f>SUMIF($C$18:$C$37, "Career &amp; Focus", $AL$18:$AL$37)</f>
        <v/>
      </c>
      <c r="S78" s="35">
        <f>IFERROR(R78/Q78, 0)</f>
        <v/>
      </c>
    </row>
    <row r="79" ht="14" customHeight="1">
      <c r="A79" s="33" t="inlineStr">
        <is>
          <t>Week 4</t>
        </is>
      </c>
      <c r="B79" s="34" t="inlineStr">
        <is>
          <t>Days 22 - 28</t>
        </is>
      </c>
      <c r="C79" s="34">
        <f>COUNTIF(Z18:AF37, "✓")</f>
        <v/>
      </c>
      <c r="D79" s="34">
        <f>COUNTIF(Z18:AF37, "✓") + COUNTIF(Z18:AF37, "✗")</f>
        <v/>
      </c>
      <c r="E79" s="35">
        <f>IFERROR(C79/D79, 0)</f>
        <v/>
      </c>
      <c r="N79" s="60" t="inlineStr">
        <is>
          <t>Personal &amp; Home</t>
        </is>
      </c>
      <c r="O79" s="54" t="n"/>
      <c r="P79" s="34">
        <f>COUNTIF($C$18:$C$37, "Personal &amp; Home")</f>
        <v/>
      </c>
      <c r="Q79" s="34">
        <f>SUMIF($C$18:$C$37, "Personal &amp; Home", $D$18:$D$37)</f>
        <v/>
      </c>
      <c r="R79" s="34">
        <f>SUMIF($C$18:$C$37, "Personal &amp; Home", $AL$18:$AL$37)</f>
        <v/>
      </c>
      <c r="S79" s="35">
        <f>IFERROR(R79/Q79, 0)</f>
        <v/>
      </c>
    </row>
    <row r="80" ht="14" customHeight="1">
      <c r="A80" s="33" t="inlineStr">
        <is>
          <t>Week 5</t>
        </is>
      </c>
      <c r="B80" s="34" t="inlineStr">
        <is>
          <t>Days 29 - 30</t>
        </is>
      </c>
      <c r="C80" s="34">
        <f>COUNTIF(AG18:AH37, "✓")</f>
        <v/>
      </c>
      <c r="D80" s="34">
        <f>COUNTIF(AG18:AH37, "✓") + COUNTIF(AG18:AH37, "✗")</f>
        <v/>
      </c>
      <c r="E80" s="35">
        <f>IFERROR(C80/D80, 0)</f>
        <v/>
      </c>
      <c r="N80" s="60" t="inlineStr">
        <is>
          <t>Finance &amp; Wealth</t>
        </is>
      </c>
      <c r="O80" s="54" t="n"/>
      <c r="P80" s="34">
        <f>COUNTIF($C$18:$C$37, "Finance &amp; Wealth")</f>
        <v/>
      </c>
      <c r="Q80" s="34">
        <f>SUMIF($C$18:$C$37, "Finance &amp; Wealth", $D$18:$D$37)</f>
        <v/>
      </c>
      <c r="R80" s="34">
        <f>SUMIF($C$18:$C$37, "Finance &amp; Wealth", $AL$18:$AL$37)</f>
        <v/>
      </c>
      <c r="S80" s="35">
        <f>IFERROR(R80/Q80, 0)</f>
        <v/>
      </c>
    </row>
    <row r="81" ht="14" customHeight="1">
      <c r="A81" s="33" t="inlineStr">
        <is>
          <t>Total / Avg</t>
        </is>
      </c>
      <c r="B81" s="159" t="inlineStr">
        <is>
          <t>Month Total</t>
        </is>
      </c>
      <c r="C81" s="33">
        <f>SUM(C76:C80)</f>
        <v/>
      </c>
      <c r="D81" s="33">
        <f>SUM(D76:D80)</f>
        <v/>
      </c>
      <c r="E81" s="133">
        <f>IFERROR(C81/D81, 0)</f>
        <v/>
      </c>
    </row>
    <row r="82" ht="10" customHeight="1"/>
    <row r="83" ht="10" customHeight="1"/>
    <row r="84">
      <c r="A84" s="51" t="inlineStr">
        <is>
          <t>SLEEP &amp; PRODUCTIVITY CORRELATION ANALYSIS</t>
        </is>
      </c>
      <c r="B84" s="52" t="n"/>
      <c r="C84" s="52" t="n"/>
      <c r="D84" s="52" t="n"/>
      <c r="E84" s="52" t="n"/>
      <c r="F84" s="52" t="n"/>
      <c r="G84" s="52" t="n"/>
      <c r="H84" s="52" t="n"/>
      <c r="I84" s="52" t="n"/>
      <c r="J84" s="52" t="n"/>
      <c r="K84" s="52" t="n"/>
      <c r="L84" s="52" t="n"/>
      <c r="M84" s="52" t="n"/>
      <c r="N84" s="52" t="n"/>
      <c r="O84" s="52" t="n"/>
      <c r="P84" s="52" t="n"/>
      <c r="Q84" s="52" t="n"/>
      <c r="R84" s="52" t="n"/>
      <c r="S84" s="52" t="n"/>
      <c r="T84" s="52" t="n"/>
      <c r="U84" s="52" t="n"/>
      <c r="V84" s="52" t="n"/>
      <c r="W84" s="52" t="n"/>
      <c r="X84" s="52" t="n"/>
      <c r="Y84" s="52" t="n"/>
      <c r="Z84" s="52" t="n"/>
      <c r="AA84" s="52" t="n"/>
      <c r="AB84" s="52" t="n"/>
      <c r="AC84" s="52" t="n"/>
      <c r="AD84" s="52" t="n"/>
      <c r="AE84" s="52" t="n"/>
      <c r="AF84" s="52" t="n"/>
      <c r="AG84" s="52" t="n"/>
      <c r="AH84" s="52" t="n"/>
      <c r="AI84" s="52" t="n"/>
      <c r="AJ84" s="52" t="n"/>
      <c r="AK84" s="52" t="n"/>
    </row>
    <row r="85" ht="15" customHeight="1">
      <c r="A85" s="53" t="inlineStr">
        <is>
          <t>Rest Category</t>
        </is>
      </c>
      <c r="B85" s="54" t="n"/>
      <c r="C85" s="54" t="n"/>
      <c r="D85" s="53" t="inlineStr">
        <is>
          <t>Day Criteria</t>
        </is>
      </c>
      <c r="E85" s="54" t="n"/>
      <c r="F85" s="54" t="n"/>
      <c r="G85" s="53" t="inlineStr">
        <is>
          <t>Days Logged</t>
        </is>
      </c>
      <c r="H85" s="54" t="n"/>
      <c r="I85" s="54" t="n"/>
      <c r="J85" s="53" t="inlineStr">
        <is>
          <t>Avg Sleep Duration</t>
        </is>
      </c>
      <c r="K85" s="54" t="n"/>
      <c r="L85" s="54" t="n"/>
      <c r="M85" s="54" t="n"/>
      <c r="N85" s="53" t="inlineStr">
        <is>
          <t>Avg Habit Success %</t>
        </is>
      </c>
      <c r="O85" s="54" t="n"/>
      <c r="P85" s="54" t="n"/>
      <c r="Q85" s="54" t="n"/>
      <c r="R85" s="53" t="inlineStr">
        <is>
          <t>Productivity Delta</t>
        </is>
      </c>
      <c r="S85" s="54" t="n"/>
      <c r="T85" s="54" t="n"/>
      <c r="U85" s="54" t="n"/>
    </row>
    <row r="86" ht="15" customHeight="1">
      <c r="A86" s="160" t="inlineStr">
        <is>
          <t>Optimal Rest</t>
        </is>
      </c>
      <c r="B86" s="161" t="n"/>
      <c r="C86" s="56" t="n"/>
      <c r="D86" s="34" t="inlineStr">
        <is>
          <t>&gt;= 7 Hours / Night</t>
        </is>
      </c>
      <c r="E86" s="161" t="n"/>
      <c r="F86" s="56" t="n"/>
      <c r="G86" s="33">
        <f>COUNTIF(E47:AH47, "&gt;=7")</f>
        <v/>
      </c>
      <c r="H86" s="161" t="n"/>
      <c r="I86" s="56" t="n"/>
      <c r="J86" s="34">
        <f>IFERROR(TEXT(AVERAGEIF(E47:AH47, "&gt;=7"), "0.0") &amp; " hrs", "-")</f>
        <v/>
      </c>
      <c r="K86" s="161" t="n"/>
      <c r="L86" s="161" t="n"/>
      <c r="M86" s="56" t="n"/>
      <c r="N86" s="42">
        <f>IFERROR(AVERAGEIFS(E39:AH39, E47:AH47, "&gt;=7", E39:AH39, "&gt;0"), 0)</f>
        <v/>
      </c>
      <c r="O86" s="161" t="n"/>
      <c r="P86" s="161" t="n"/>
      <c r="Q86" s="56" t="n"/>
      <c r="R86" s="159" t="inlineStr">
        <is>
          <t>Baseline (Target)</t>
        </is>
      </c>
      <c r="S86" s="161" t="n"/>
      <c r="T86" s="161" t="n"/>
      <c r="U86" s="56" t="n"/>
    </row>
    <row r="87" ht="15" customHeight="1">
      <c r="A87" s="162" t="inlineStr">
        <is>
          <t>Sleep Deficit</t>
        </is>
      </c>
      <c r="B87" s="161" t="n"/>
      <c r="C87" s="56" t="n"/>
      <c r="D87" s="34" t="inlineStr">
        <is>
          <t>&lt; 7 Hours / Night</t>
        </is>
      </c>
      <c r="E87" s="161" t="n"/>
      <c r="F87" s="56" t="n"/>
      <c r="G87" s="33">
        <f>COUNTIF(E47:AH47, "&lt;7") - COUNTIF(E47:AH47, "")</f>
        <v/>
      </c>
      <c r="H87" s="161" t="n"/>
      <c r="I87" s="56" t="n"/>
      <c r="J87" s="34">
        <f>IFERROR(TEXT(AVERAGEIFS(E47:AH47, E47:AH47, "&lt;7", E47:AH47, "&gt;0"), "0.0") &amp; " hrs", "-")</f>
        <v/>
      </c>
      <c r="K87" s="161" t="n"/>
      <c r="L87" s="161" t="n"/>
      <c r="M87" s="56" t="n"/>
      <c r="N87" s="163">
        <f>IFERROR(AVERAGEIFS(E39:AH39, E47:AH47, "&lt;7", E39:AH39, "&gt;0"), 0)</f>
        <v/>
      </c>
      <c r="O87" s="161" t="n"/>
      <c r="P87" s="161" t="n"/>
      <c r="Q87" s="56" t="n"/>
      <c r="R87" s="160">
        <f>IFERROR(TEXT(N86 - N87, "+0.0%;-0.0%;0.0%") &amp; " Rest Advantage", "-")</f>
        <v/>
      </c>
      <c r="S87" s="161" t="n"/>
      <c r="T87" s="161" t="n"/>
      <c r="U87" s="56" t="n"/>
    </row>
    <row r="88" ht="18" customHeight="1">
      <c r="A88" s="164">
        <f>IF(AND(ISNUMBER(N86), ISNUMBER(N87), N86&gt;0, N87&gt;0), "💡 Sleep Correlation Insight: You complete " &amp; TEXT(ABS(N86-N87), "0.0%") &amp; IF(N86&gt;=N87, " MORE habits on days with 7+ hours of sleep!", " fewer habits on days with 7+ hours of sleep."), "💡 Log both habits and sleep hours daily to unlock automatic AI correlation insights!")</f>
        <v/>
      </c>
      <c r="B88" s="161" t="n"/>
      <c r="C88" s="161" t="n"/>
      <c r="D88" s="161" t="n"/>
      <c r="E88" s="161" t="n"/>
      <c r="F88" s="161" t="n"/>
      <c r="G88" s="161" t="n"/>
      <c r="H88" s="161" t="n"/>
      <c r="I88" s="161" t="n"/>
      <c r="J88" s="161" t="n"/>
      <c r="K88" s="161" t="n"/>
      <c r="L88" s="161" t="n"/>
      <c r="M88" s="161" t="n"/>
      <c r="N88" s="161" t="n"/>
      <c r="O88" s="161" t="n"/>
      <c r="P88" s="161" t="n"/>
      <c r="Q88" s="161" t="n"/>
      <c r="R88" s="161" t="n"/>
      <c r="S88" s="161" t="n"/>
      <c r="T88" s="161" t="n"/>
      <c r="U88" s="161" t="n"/>
      <c r="V88" s="161" t="n"/>
      <c r="W88" s="161" t="n"/>
      <c r="X88" s="161" t="n"/>
      <c r="Y88" s="161" t="n"/>
      <c r="Z88" s="161" t="n"/>
      <c r="AA88" s="161" t="n"/>
      <c r="AB88" s="161" t="n"/>
      <c r="AC88" s="161" t="n"/>
      <c r="AD88" s="161" t="n"/>
      <c r="AE88" s="161" t="n"/>
      <c r="AF88" s="161" t="n"/>
      <c r="AG88" s="161" t="n"/>
      <c r="AH88" s="161" t="n"/>
      <c r="AI88" s="161" t="n"/>
      <c r="AJ88" s="161" t="n"/>
      <c r="AK88" s="56" t="n"/>
    </row>
    <row r="89" ht="10" customHeight="1"/>
    <row r="90">
      <c r="A90" s="43" t="inlineStr">
        <is>
          <t>STANDARDIZED DATA BRIDGE (FOR ANNUAL &amp; QUARTERLY REVIEW SHEETS)</t>
        </is>
      </c>
      <c r="B90" s="44" t="n"/>
      <c r="C90" s="44" t="n"/>
      <c r="D90" s="44" t="n"/>
      <c r="E90" s="44" t="n"/>
      <c r="F90" s="44" t="n"/>
      <c r="G90" s="44" t="n"/>
      <c r="H90" s="44" t="n"/>
      <c r="I90" s="44" t="n"/>
      <c r="J90" s="44" t="n"/>
      <c r="K90" s="44" t="n"/>
      <c r="L90" s="44" t="n"/>
      <c r="M90" s="44" t="n"/>
      <c r="N90" s="44" t="n"/>
      <c r="O90" s="44" t="n"/>
      <c r="P90" s="44" t="n"/>
      <c r="Q90" s="44" t="n"/>
      <c r="R90" s="44" t="n"/>
      <c r="S90" s="44" t="n"/>
      <c r="T90" s="44" t="n"/>
      <c r="U90" s="44" t="n"/>
      <c r="V90" s="44" t="n"/>
      <c r="W90" s="44" t="n"/>
      <c r="X90" s="44" t="n"/>
      <c r="Y90" s="44" t="n"/>
      <c r="Z90" s="44" t="n"/>
      <c r="AA90" s="44" t="n"/>
      <c r="AB90" s="44" t="n"/>
      <c r="AC90" s="44" t="n"/>
      <c r="AD90" s="44" t="n"/>
      <c r="AE90" s="44" t="n"/>
      <c r="AF90" s="44" t="n"/>
      <c r="AG90" s="44" t="n"/>
      <c r="AH90" s="44" t="n"/>
      <c r="AI90" s="44" t="n"/>
      <c r="AJ90" s="44" t="n"/>
      <c r="AK90" s="44" t="n"/>
    </row>
    <row r="91" ht="15" customHeight="1">
      <c r="A91" s="53" t="inlineStr">
        <is>
          <t>Month</t>
        </is>
      </c>
      <c r="B91" s="54" t="n"/>
      <c r="C91" s="53" t="inlineStr">
        <is>
          <t>Year</t>
        </is>
      </c>
      <c r="D91" s="54" t="n"/>
      <c r="E91" s="53" t="inlineStr">
        <is>
          <t>Active Habits</t>
        </is>
      </c>
      <c r="F91" s="54" t="n"/>
      <c r="G91" s="53" t="inlineStr">
        <is>
          <t>Target Days</t>
        </is>
      </c>
      <c r="H91" s="54" t="n"/>
      <c r="I91" s="53" t="inlineStr">
        <is>
          <t>Done Checks</t>
        </is>
      </c>
      <c r="J91" s="54" t="n"/>
      <c r="K91" s="53" t="inlineStr">
        <is>
          <t>Success %</t>
        </is>
      </c>
      <c r="L91" s="54" t="n"/>
      <c r="M91" s="53" t="inlineStr">
        <is>
          <t>Perfect Days</t>
        </is>
      </c>
      <c r="N91" s="54" t="n"/>
      <c r="O91" s="53" t="inlineStr">
        <is>
          <t>Avg Sleep</t>
        </is>
      </c>
      <c r="P91" s="54" t="n"/>
      <c r="Q91" s="53" t="inlineStr">
        <is>
          <t>Best Week</t>
        </is>
      </c>
      <c r="R91" s="54" t="n"/>
      <c r="S91" s="54" t="n"/>
      <c r="T91" s="53" t="inlineStr">
        <is>
          <t>Top Life Domain</t>
        </is>
      </c>
      <c r="U91" s="54" t="n"/>
      <c r="V91" s="54" t="n"/>
      <c r="W91" s="54" t="n"/>
    </row>
    <row r="92" ht="16" customHeight="1">
      <c r="A92" s="165" t="inlineStr">
        <is>
          <t>Jun</t>
        </is>
      </c>
      <c r="B92" s="56" t="n"/>
      <c r="C92" s="165" t="n">
        <v>2027</v>
      </c>
      <c r="D92" s="56" t="n"/>
      <c r="E92" s="166">
        <f>COUNTA(B18:B37)</f>
        <v/>
      </c>
      <c r="F92" s="56" t="n"/>
      <c r="G92" s="166">
        <f>SUM(D18:D37)</f>
        <v/>
      </c>
      <c r="H92" s="56" t="n"/>
      <c r="I92" s="166">
        <f>SUM(AL18:AL37)</f>
        <v/>
      </c>
      <c r="J92" s="56" t="n"/>
      <c r="K92" s="167">
        <f>IF(G92&gt;0, I92/G92, 0)</f>
        <v/>
      </c>
      <c r="L92" s="56" t="n"/>
      <c r="M92" s="166">
        <f>COUNTIF(E39:AH39, 1)</f>
        <v/>
      </c>
      <c r="N92" s="56" t="n"/>
      <c r="O92" s="168">
        <f>IFERROR(AVERAGE(E47:AH47), 0)</f>
        <v/>
      </c>
      <c r="P92" s="56" t="n"/>
      <c r="Q92" s="166">
        <f>INDEX(A76:A80, MATCH(MAX(E76:E80), E76:E80, 0))</f>
        <v/>
      </c>
      <c r="R92" s="161" t="n"/>
      <c r="S92" s="56" t="n"/>
      <c r="T92" s="166">
        <f>INDEX(N76:N80, MATCH(MAX(S76:S80), S76:S80, 0))</f>
        <v/>
      </c>
      <c r="U92" s="161" t="n"/>
      <c r="V92" s="161" t="n"/>
      <c r="W92" s="56" t="n"/>
    </row>
    <row r="93" ht="14" customHeight="1">
      <c r="A93" s="169" t="inlineStr">
        <is>
          <t>📋 Note: Reference or copy Row 92 directly into an Annual / Quarterly review dashboard to track yearly habit trends.</t>
        </is>
      </c>
    </row>
    <row r="94" ht="8" customHeight="1"/>
    <row r="95">
      <c r="A95" s="170" t="inlineStr">
        <is>
          <t>🏆 MONTHLY WINS &amp; HIGHLIGHTS</t>
        </is>
      </c>
      <c r="J95" s="171" t="inlineStr">
        <is>
          <t>⚠️ FRICTION POINTS &amp; ROOT CAUSES</t>
        </is>
      </c>
      <c r="S95" s="172" t="inlineStr">
        <is>
          <t>🎯 3 KEY ADJUSTMENTS FOR NEXT MONTH</t>
        </is>
      </c>
    </row>
    <row r="96">
      <c r="A96" s="173" t="inlineStr">
        <is>
          <t>1. What went exceptionally well this month?
2. Which habit felt effortless and consistent?
3. Major milestone achieved:</t>
        </is>
      </c>
      <c r="B96" s="174" t="n"/>
      <c r="C96" s="174" t="n"/>
      <c r="D96" s="174" t="n"/>
      <c r="E96" s="174" t="n"/>
      <c r="F96" s="174" t="n"/>
      <c r="G96" s="174" t="n"/>
      <c r="H96" s="174" t="n"/>
      <c r="J96" s="175" t="inlineStr">
        <is>
          <t>1. What caused missed or skipped days?
2. Main triggers / energy drains encountered:
3. Which habit had the lowest consistency and why?</t>
        </is>
      </c>
      <c r="K96" s="176" t="n"/>
      <c r="L96" s="176" t="n"/>
      <c r="M96" s="176" t="n"/>
      <c r="N96" s="176" t="n"/>
      <c r="O96" s="176" t="n"/>
      <c r="P96" s="176" t="n"/>
      <c r="Q96" s="176" t="n"/>
      <c r="S96" s="177" t="inlineStr">
        <is>
          <t>1. Habit Stacking or time adjustment for next month:
2. Environment design change to eliminate friction:
3. One non-negotiable priority protocol:</t>
        </is>
      </c>
      <c r="T96" s="178" t="n"/>
      <c r="U96" s="178" t="n"/>
      <c r="V96" s="178" t="n"/>
      <c r="W96" s="178" t="n"/>
      <c r="X96" s="178" t="n"/>
      <c r="Y96" s="178" t="n"/>
      <c r="Z96" s="178" t="n"/>
    </row>
    <row r="97">
      <c r="A97" s="174" t="n"/>
      <c r="B97" s="174" t="n"/>
      <c r="C97" s="174" t="n"/>
      <c r="D97" s="174" t="n"/>
      <c r="E97" s="174" t="n"/>
      <c r="F97" s="174" t="n"/>
      <c r="G97" s="174" t="n"/>
      <c r="H97" s="174" t="n"/>
      <c r="J97" s="176" t="n"/>
      <c r="K97" s="176" t="n"/>
      <c r="L97" s="176" t="n"/>
      <c r="M97" s="176" t="n"/>
      <c r="N97" s="176" t="n"/>
      <c r="O97" s="176" t="n"/>
      <c r="P97" s="176" t="n"/>
      <c r="Q97" s="176" t="n"/>
      <c r="S97" s="178" t="n"/>
      <c r="T97" s="178" t="n"/>
      <c r="U97" s="178" t="n"/>
      <c r="V97" s="178" t="n"/>
      <c r="W97" s="178" t="n"/>
      <c r="X97" s="178" t="n"/>
      <c r="Y97" s="178" t="n"/>
      <c r="Z97" s="178" t="n"/>
    </row>
    <row r="98">
      <c r="A98" s="174" t="n"/>
      <c r="B98" s="174" t="n"/>
      <c r="C98" s="174" t="n"/>
      <c r="D98" s="174" t="n"/>
      <c r="E98" s="174" t="n"/>
      <c r="F98" s="174" t="n"/>
      <c r="G98" s="174" t="n"/>
      <c r="H98" s="174" t="n"/>
      <c r="J98" s="176" t="n"/>
      <c r="K98" s="176" t="n"/>
      <c r="L98" s="176" t="n"/>
      <c r="M98" s="176" t="n"/>
      <c r="N98" s="176" t="n"/>
      <c r="O98" s="176" t="n"/>
      <c r="P98" s="176" t="n"/>
      <c r="Q98" s="176" t="n"/>
      <c r="S98" s="178" t="n"/>
      <c r="T98" s="178" t="n"/>
      <c r="U98" s="178" t="n"/>
      <c r="V98" s="178" t="n"/>
      <c r="W98" s="178" t="n"/>
      <c r="X98" s="178" t="n"/>
      <c r="Y98" s="178" t="n"/>
      <c r="Z98" s="178" t="n"/>
    </row>
    <row r="99">
      <c r="A99" s="174" t="n"/>
      <c r="B99" s="174" t="n"/>
      <c r="C99" s="174" t="n"/>
      <c r="D99" s="174" t="n"/>
      <c r="E99" s="174" t="n"/>
      <c r="F99" s="174" t="n"/>
      <c r="G99" s="174" t="n"/>
      <c r="H99" s="174" t="n"/>
      <c r="J99" s="176" t="n"/>
      <c r="K99" s="176" t="n"/>
      <c r="L99" s="176" t="n"/>
      <c r="M99" s="176" t="n"/>
      <c r="N99" s="176" t="n"/>
      <c r="O99" s="176" t="n"/>
      <c r="P99" s="176" t="n"/>
      <c r="Q99" s="176" t="n"/>
      <c r="S99" s="178" t="n"/>
      <c r="T99" s="178" t="n"/>
      <c r="U99" s="178" t="n"/>
      <c r="V99" s="178" t="n"/>
      <c r="W99" s="178" t="n"/>
      <c r="X99" s="178" t="n"/>
      <c r="Y99" s="178" t="n"/>
      <c r="Z99" s="178" t="n"/>
    </row>
    <row r="100">
      <c r="A100" s="174" t="n"/>
      <c r="B100" s="174" t="n"/>
      <c r="C100" s="174" t="n"/>
      <c r="D100" s="174" t="n"/>
      <c r="E100" s="174" t="n"/>
      <c r="F100" s="174" t="n"/>
      <c r="G100" s="174" t="n"/>
      <c r="H100" s="174" t="n"/>
      <c r="J100" s="176" t="n"/>
      <c r="K100" s="176" t="n"/>
      <c r="L100" s="176" t="n"/>
      <c r="M100" s="176" t="n"/>
      <c r="N100" s="176" t="n"/>
      <c r="O100" s="176" t="n"/>
      <c r="P100" s="176" t="n"/>
      <c r="Q100" s="176" t="n"/>
      <c r="S100" s="178" t="n"/>
      <c r="T100" s="178" t="n"/>
      <c r="U100" s="178" t="n"/>
      <c r="V100" s="178" t="n"/>
      <c r="W100" s="178" t="n"/>
      <c r="X100" s="178" t="n"/>
      <c r="Y100" s="178" t="n"/>
      <c r="Z100" s="178" t="n"/>
    </row>
    <row r="101">
      <c r="A101" s="174" t="n"/>
      <c r="B101" s="174" t="n"/>
      <c r="C101" s="174" t="n"/>
      <c r="D101" s="174" t="n"/>
      <c r="E101" s="174" t="n"/>
      <c r="F101" s="174" t="n"/>
      <c r="G101" s="174" t="n"/>
      <c r="H101" s="174" t="n"/>
      <c r="J101" s="176" t="n"/>
      <c r="K101" s="176" t="n"/>
      <c r="L101" s="176" t="n"/>
      <c r="M101" s="176" t="n"/>
      <c r="N101" s="176" t="n"/>
      <c r="O101" s="176" t="n"/>
      <c r="P101" s="176" t="n"/>
      <c r="Q101" s="176" t="n"/>
      <c r="S101" s="178" t="n"/>
      <c r="T101" s="178" t="n"/>
      <c r="U101" s="178" t="n"/>
      <c r="V101" s="178" t="n"/>
      <c r="W101" s="178" t="n"/>
      <c r="X101" s="178" t="n"/>
      <c r="Y101" s="178" t="n"/>
      <c r="Z101" s="178" t="n"/>
    </row>
    <row r="102">
      <c r="A102" s="174" t="n"/>
      <c r="B102" s="174" t="n"/>
      <c r="C102" s="174" t="n"/>
      <c r="D102" s="174" t="n"/>
      <c r="E102" s="174" t="n"/>
      <c r="F102" s="174" t="n"/>
      <c r="G102" s="174" t="n"/>
      <c r="H102" s="174" t="n"/>
      <c r="J102" s="176" t="n"/>
      <c r="K102" s="176" t="n"/>
      <c r="L102" s="176" t="n"/>
      <c r="M102" s="176" t="n"/>
      <c r="N102" s="176" t="n"/>
      <c r="O102" s="176" t="n"/>
      <c r="P102" s="176" t="n"/>
      <c r="Q102" s="176" t="n"/>
      <c r="S102" s="178" t="n"/>
      <c r="T102" s="178" t="n"/>
      <c r="U102" s="178" t="n"/>
      <c r="V102" s="178" t="n"/>
      <c r="W102" s="178" t="n"/>
      <c r="X102" s="178" t="n"/>
      <c r="Y102" s="178" t="n"/>
      <c r="Z102" s="178" t="n"/>
    </row>
    <row r="103">
      <c r="A103" s="174" t="n"/>
      <c r="B103" s="174" t="n"/>
      <c r="C103" s="174" t="n"/>
      <c r="D103" s="174" t="n"/>
      <c r="E103" s="174" t="n"/>
      <c r="F103" s="174" t="n"/>
      <c r="G103" s="174" t="n"/>
      <c r="H103" s="174" t="n"/>
      <c r="J103" s="176" t="n"/>
      <c r="K103" s="176" t="n"/>
      <c r="L103" s="176" t="n"/>
      <c r="M103" s="176" t="n"/>
      <c r="N103" s="176" t="n"/>
      <c r="O103" s="176" t="n"/>
      <c r="P103" s="176" t="n"/>
      <c r="Q103" s="176" t="n"/>
      <c r="S103" s="178" t="n"/>
      <c r="T103" s="178" t="n"/>
      <c r="U103" s="178" t="n"/>
      <c r="V103" s="178" t="n"/>
      <c r="W103" s="178" t="n"/>
      <c r="X103" s="178" t="n"/>
      <c r="Y103" s="178" t="n"/>
      <c r="Z103" s="178" t="n"/>
    </row>
  </sheetData>
  <sheetProtection selectLockedCells="1" selectUnlockedCells="1" sheet="1" objects="0" insertRows="1" insertHyperlinks="1" autoFilter="1" scenarios="0" formatColumns="1" deleteColumns="1" insertColumns="1" pivotTables="1" deleteRows="1" formatCells="1" formatRows="1" sort="1"/>
  <mergeCells count="94">
    <mergeCell ref="A9:N9"/>
    <mergeCell ref="N76:O76"/>
    <mergeCell ref="F67:I67"/>
    <mergeCell ref="G87:I87"/>
    <mergeCell ref="A16:A17"/>
    <mergeCell ref="A45:D46"/>
    <mergeCell ref="C16:C17"/>
    <mergeCell ref="N75:O75"/>
    <mergeCell ref="N77:O77"/>
    <mergeCell ref="P68:S70"/>
    <mergeCell ref="A93:AK93"/>
    <mergeCell ref="D16:D17"/>
    <mergeCell ref="N85:Q85"/>
    <mergeCell ref="A95:H95"/>
    <mergeCell ref="Q91:S91"/>
    <mergeCell ref="P6:AK6"/>
    <mergeCell ref="E91:F91"/>
    <mergeCell ref="A8:N8"/>
    <mergeCell ref="G91:H91"/>
    <mergeCell ref="P8:AK8"/>
    <mergeCell ref="J86:M86"/>
    <mergeCell ref="S95:Z95"/>
    <mergeCell ref="K67:N67"/>
    <mergeCell ref="N79:O79"/>
    <mergeCell ref="K92:L92"/>
    <mergeCell ref="P7:AK7"/>
    <mergeCell ref="C92:D92"/>
    <mergeCell ref="F71:I71"/>
    <mergeCell ref="M92:N92"/>
    <mergeCell ref="A12:AK14"/>
    <mergeCell ref="K68:N70"/>
    <mergeCell ref="T91:W91"/>
    <mergeCell ref="AI16:AI17"/>
    <mergeCell ref="J95:Q95"/>
    <mergeCell ref="D85:F85"/>
    <mergeCell ref="N74:S74"/>
    <mergeCell ref="P9:AK9"/>
    <mergeCell ref="F68:I70"/>
    <mergeCell ref="A91:B91"/>
    <mergeCell ref="N78:O78"/>
    <mergeCell ref="C91:D91"/>
    <mergeCell ref="M91:N91"/>
    <mergeCell ref="O91:P91"/>
    <mergeCell ref="R86:U86"/>
    <mergeCell ref="A84:AK84"/>
    <mergeCell ref="N80:O80"/>
    <mergeCell ref="B16:B17"/>
    <mergeCell ref="A71:D71"/>
    <mergeCell ref="J85:M85"/>
    <mergeCell ref="D86:F86"/>
    <mergeCell ref="A92:B92"/>
    <mergeCell ref="N87:Q87"/>
    <mergeCell ref="A1:B1"/>
    <mergeCell ref="E92:F92"/>
    <mergeCell ref="A68:D70"/>
    <mergeCell ref="P71:S71"/>
    <mergeCell ref="A86:C86"/>
    <mergeCell ref="D87:F87"/>
    <mergeCell ref="O92:P92"/>
    <mergeCell ref="A6:N6"/>
    <mergeCell ref="A39:D39"/>
    <mergeCell ref="G86:I86"/>
    <mergeCell ref="A96:H103"/>
    <mergeCell ref="P67:S67"/>
    <mergeCell ref="A41:AK41"/>
    <mergeCell ref="T92:W92"/>
    <mergeCell ref="R85:U85"/>
    <mergeCell ref="H2:AC2"/>
    <mergeCell ref="K71:N71"/>
    <mergeCell ref="S96:Z103"/>
    <mergeCell ref="A38:D38"/>
    <mergeCell ref="A42:AK42"/>
    <mergeCell ref="H3:AC3"/>
    <mergeCell ref="A67:D67"/>
    <mergeCell ref="I91:J91"/>
    <mergeCell ref="A85:C85"/>
    <mergeCell ref="K91:L91"/>
    <mergeCell ref="N86:Q86"/>
    <mergeCell ref="A7:N7"/>
    <mergeCell ref="A74:E74"/>
    <mergeCell ref="G85:I85"/>
    <mergeCell ref="G92:H92"/>
    <mergeCell ref="I92:J92"/>
    <mergeCell ref="R87:U87"/>
    <mergeCell ref="AK16:AK17"/>
    <mergeCell ref="J87:M87"/>
    <mergeCell ref="AD2:AK2"/>
    <mergeCell ref="AJ16:AJ17"/>
    <mergeCell ref="J96:Q103"/>
    <mergeCell ref="A88:AK88"/>
    <mergeCell ref="A90:AK90"/>
    <mergeCell ref="Q92:S92"/>
    <mergeCell ref="A87:C87"/>
    <mergeCell ref="A47:D47"/>
  </mergeCells>
  <conditionalFormatting sqref="AI18:AI37">
    <cfRule type="dataBar" priority="1">
      <dataBar>
        <cfvo type="num" val="0"/>
        <cfvo type="num" val="1"/>
        <color rgb="0010B981"/>
      </dataBar>
    </cfRule>
  </conditionalFormatting>
  <conditionalFormatting sqref="E18:AH37">
    <cfRule type="cellIs" priority="2" operator="equal" dxfId="0">
      <formula>"✓"</formula>
    </cfRule>
    <cfRule type="cellIs" priority="3" operator="equal" dxfId="0">
      <formula>"✔"</formula>
    </cfRule>
    <cfRule type="cellIs" priority="4" operator="equal" dxfId="1">
      <formula>"✗"</formula>
    </cfRule>
    <cfRule type="cellIs" priority="5" operator="equal" dxfId="1">
      <formula>"x"</formula>
    </cfRule>
    <cfRule type="cellIs" priority="6" operator="equal" dxfId="1">
      <formula>"X"</formula>
    </cfRule>
  </conditionalFormatting>
  <conditionalFormatting sqref="E16:E17">
    <cfRule type="expression" priority="7" dxfId="2">
      <formula>AND(DAY(TODAY())=1, MONTH(TODAY())=6, YEAR(TODAY())=2027)</formula>
    </cfRule>
  </conditionalFormatting>
  <conditionalFormatting sqref="F16:F17">
    <cfRule type="expression" priority="8" dxfId="2">
      <formula>AND(DAY(TODAY())=2, MONTH(TODAY())=6, YEAR(TODAY())=2027)</formula>
    </cfRule>
  </conditionalFormatting>
  <conditionalFormatting sqref="G16:G17">
    <cfRule type="expression" priority="9" dxfId="2">
      <formula>AND(DAY(TODAY())=3, MONTH(TODAY())=6, YEAR(TODAY())=2027)</formula>
    </cfRule>
  </conditionalFormatting>
  <conditionalFormatting sqref="H16:H17">
    <cfRule type="expression" priority="10" dxfId="2">
      <formula>AND(DAY(TODAY())=4, MONTH(TODAY())=6, YEAR(TODAY())=2027)</formula>
    </cfRule>
  </conditionalFormatting>
  <conditionalFormatting sqref="I16:I17">
    <cfRule type="expression" priority="11" dxfId="2">
      <formula>AND(DAY(TODAY())=5, MONTH(TODAY())=6, YEAR(TODAY())=2027)</formula>
    </cfRule>
  </conditionalFormatting>
  <conditionalFormatting sqref="J16:J17">
    <cfRule type="expression" priority="12" dxfId="2">
      <formula>AND(DAY(TODAY())=6, MONTH(TODAY())=6, YEAR(TODAY())=2027)</formula>
    </cfRule>
  </conditionalFormatting>
  <conditionalFormatting sqref="K16:K17">
    <cfRule type="expression" priority="13" dxfId="2">
      <formula>AND(DAY(TODAY())=7, MONTH(TODAY())=6, YEAR(TODAY())=2027)</formula>
    </cfRule>
  </conditionalFormatting>
  <conditionalFormatting sqref="L16:L17">
    <cfRule type="expression" priority="14" dxfId="2">
      <formula>AND(DAY(TODAY())=8, MONTH(TODAY())=6, YEAR(TODAY())=2027)</formula>
    </cfRule>
  </conditionalFormatting>
  <conditionalFormatting sqref="M16:M17">
    <cfRule type="expression" priority="15" dxfId="2">
      <formula>AND(DAY(TODAY())=9, MONTH(TODAY())=6, YEAR(TODAY())=2027)</formula>
    </cfRule>
  </conditionalFormatting>
  <conditionalFormatting sqref="N16:N17">
    <cfRule type="expression" priority="16" dxfId="2">
      <formula>AND(DAY(TODAY())=10, MONTH(TODAY())=6, YEAR(TODAY())=2027)</formula>
    </cfRule>
  </conditionalFormatting>
  <conditionalFormatting sqref="O16:O17">
    <cfRule type="expression" priority="17" dxfId="2">
      <formula>AND(DAY(TODAY())=11, MONTH(TODAY())=6, YEAR(TODAY())=2027)</formula>
    </cfRule>
  </conditionalFormatting>
  <conditionalFormatting sqref="P16:P17">
    <cfRule type="expression" priority="18" dxfId="2">
      <formula>AND(DAY(TODAY())=12, MONTH(TODAY())=6, YEAR(TODAY())=2027)</formula>
    </cfRule>
  </conditionalFormatting>
  <conditionalFormatting sqref="Q16:Q17">
    <cfRule type="expression" priority="19" dxfId="2">
      <formula>AND(DAY(TODAY())=13, MONTH(TODAY())=6, YEAR(TODAY())=2027)</formula>
    </cfRule>
  </conditionalFormatting>
  <conditionalFormatting sqref="R16:R17">
    <cfRule type="expression" priority="20" dxfId="2">
      <formula>AND(DAY(TODAY())=14, MONTH(TODAY())=6, YEAR(TODAY())=2027)</formula>
    </cfRule>
  </conditionalFormatting>
  <conditionalFormatting sqref="S16:S17">
    <cfRule type="expression" priority="21" dxfId="2">
      <formula>AND(DAY(TODAY())=15, MONTH(TODAY())=6, YEAR(TODAY())=2027)</formula>
    </cfRule>
  </conditionalFormatting>
  <conditionalFormatting sqref="T16:T17">
    <cfRule type="expression" priority="22" dxfId="2">
      <formula>AND(DAY(TODAY())=16, MONTH(TODAY())=6, YEAR(TODAY())=2027)</formula>
    </cfRule>
  </conditionalFormatting>
  <conditionalFormatting sqref="U16:U17">
    <cfRule type="expression" priority="23" dxfId="2">
      <formula>AND(DAY(TODAY())=17, MONTH(TODAY())=6, YEAR(TODAY())=2027)</formula>
    </cfRule>
  </conditionalFormatting>
  <conditionalFormatting sqref="V16:V17">
    <cfRule type="expression" priority="24" dxfId="2">
      <formula>AND(DAY(TODAY())=18, MONTH(TODAY())=6, YEAR(TODAY())=2027)</formula>
    </cfRule>
  </conditionalFormatting>
  <conditionalFormatting sqref="W16:W17">
    <cfRule type="expression" priority="25" dxfId="2">
      <formula>AND(DAY(TODAY())=19, MONTH(TODAY())=6, YEAR(TODAY())=2027)</formula>
    </cfRule>
  </conditionalFormatting>
  <conditionalFormatting sqref="X16:X17">
    <cfRule type="expression" priority="26" dxfId="2">
      <formula>AND(DAY(TODAY())=20, MONTH(TODAY())=6, YEAR(TODAY())=2027)</formula>
    </cfRule>
  </conditionalFormatting>
  <conditionalFormatting sqref="Y16:Y17">
    <cfRule type="expression" priority="27" dxfId="2">
      <formula>AND(DAY(TODAY())=21, MONTH(TODAY())=6, YEAR(TODAY())=2027)</formula>
    </cfRule>
  </conditionalFormatting>
  <conditionalFormatting sqref="Z16:Z17">
    <cfRule type="expression" priority="28" dxfId="2">
      <formula>AND(DAY(TODAY())=22, MONTH(TODAY())=6, YEAR(TODAY())=2027)</formula>
    </cfRule>
  </conditionalFormatting>
  <conditionalFormatting sqref="AA16:AA17">
    <cfRule type="expression" priority="29" dxfId="2">
      <formula>AND(DAY(TODAY())=23, MONTH(TODAY())=6, YEAR(TODAY())=2027)</formula>
    </cfRule>
  </conditionalFormatting>
  <conditionalFormatting sqref="AB16:AB17">
    <cfRule type="expression" priority="30" dxfId="2">
      <formula>AND(DAY(TODAY())=24, MONTH(TODAY())=6, YEAR(TODAY())=2027)</formula>
    </cfRule>
  </conditionalFormatting>
  <conditionalFormatting sqref="AC16:AC17">
    <cfRule type="expression" priority="31" dxfId="2">
      <formula>AND(DAY(TODAY())=25, MONTH(TODAY())=6, YEAR(TODAY())=2027)</formula>
    </cfRule>
  </conditionalFormatting>
  <conditionalFormatting sqref="AD16:AD17">
    <cfRule type="expression" priority="32" dxfId="2">
      <formula>AND(DAY(TODAY())=26, MONTH(TODAY())=6, YEAR(TODAY())=2027)</formula>
    </cfRule>
  </conditionalFormatting>
  <conditionalFormatting sqref="AE16:AE17">
    <cfRule type="expression" priority="33" dxfId="2">
      <formula>AND(DAY(TODAY())=27, MONTH(TODAY())=6, YEAR(TODAY())=2027)</formula>
    </cfRule>
  </conditionalFormatting>
  <conditionalFormatting sqref="AF16:AF17">
    <cfRule type="expression" priority="34" dxfId="2">
      <formula>AND(DAY(TODAY())=28, MONTH(TODAY())=6, YEAR(TODAY())=2027)</formula>
    </cfRule>
  </conditionalFormatting>
  <conditionalFormatting sqref="AG16:AG17">
    <cfRule type="expression" priority="35" dxfId="2">
      <formula>AND(DAY(TODAY())=29, MONTH(TODAY())=6, YEAR(TODAY())=2027)</formula>
    </cfRule>
  </conditionalFormatting>
  <conditionalFormatting sqref="AH16:AH17">
    <cfRule type="expression" priority="36" dxfId="2">
      <formula>AND(DAY(TODAY())=30, MONTH(TODAY())=6, YEAR(TODAY())=2027)</formula>
    </cfRule>
  </conditionalFormatting>
  <dataValidations count="4">
    <dataValidation sqref="C18:C37" showDropDown="0" showInputMessage="0" showErrorMessage="0" allowBlank="1" type="list">
      <formula1>"Health &amp; Fitness,Mindset &amp; Learning,Career &amp; Focus,Personal &amp; Home,Finance &amp; Wealth,Other"</formula1>
    </dataValidation>
    <dataValidation sqref="D18:D37" showDropDown="0" showInputMessage="0" showErrorMessage="0" allowBlank="1" type="list">
      <formula1>"1,2,3,4,5,6,7,8,9,10,11,12,13,14,15,16,17,18,19,20,21,22,23,24,25,26,27,28,29,30,31"</formula1>
    </dataValidation>
    <dataValidation sqref="E18:AH37" showDropDown="0" showInputMessage="0" showErrorMessage="0" allowBlank="1" type="list">
      <formula1>"✓,✗"</formula1>
    </dataValidation>
    <dataValidation sqref="E47:AH47" showDropDown="0" showInputMessage="0" showErrorMessage="0" allowBlank="1" type="list">
      <formula1>"1,2,3,4,5,6,7,8,9,10,11,12,13,14,15,16,17,18,19,20,21,22,23,24"</formula1>
    </dataValidation>
  </dataValidations>
  <hyperlinks>
    <hyperlink xmlns:r="http://schemas.openxmlformats.org/officeDocument/2006/relationships" ref="A1" r:id="rId1"/>
    <hyperlink xmlns:r="http://schemas.openxmlformats.org/officeDocument/2006/relationships" ref="C1" r:id="rId2"/>
    <hyperlink xmlns:r="http://schemas.openxmlformats.org/officeDocument/2006/relationships" ref="D1" r:id="rId3"/>
    <hyperlink xmlns:r="http://schemas.openxmlformats.org/officeDocument/2006/relationships" ref="E1" r:id="rId4"/>
    <hyperlink xmlns:r="http://schemas.openxmlformats.org/officeDocument/2006/relationships" ref="F1" r:id="rId5"/>
    <hyperlink xmlns:r="http://schemas.openxmlformats.org/officeDocument/2006/relationships" ref="G1" r:id="rId6"/>
    <hyperlink xmlns:r="http://schemas.openxmlformats.org/officeDocument/2006/relationships" ref="H1" r:id="rId7"/>
    <hyperlink xmlns:r="http://schemas.openxmlformats.org/officeDocument/2006/relationships" ref="I1" r:id="rId8"/>
    <hyperlink xmlns:r="http://schemas.openxmlformats.org/officeDocument/2006/relationships" ref="J1" r:id="rId9"/>
    <hyperlink xmlns:r="http://schemas.openxmlformats.org/officeDocument/2006/relationships" ref="K1" r:id="rId10"/>
  </hyperlinks>
  <printOptions horizontalCentered="1" verticalCentered="0"/>
  <pageMargins left="0.75" right="0.75" top="1" bottom="1" header="0.5" footer="0.5"/>
  <pageSetup orientation="landscape" paperSize="9" fitToHeight="0" fitToWidth="1"/>
  <drawing xmlns:r="http://schemas.openxmlformats.org/officeDocument/2006/relationships" r:id="rId11"/>
</worksheet>
</file>

<file path=xl/worksheets/sheet14.xml><?xml version="1.0" encoding="utf-8"?>
<worksheet xmlns="http://schemas.openxmlformats.org/spreadsheetml/2006/main">
  <sheetPr>
    <outlinePr summaryBelow="1" summaryRight="1"/>
    <pageSetUpPr fitToPage="1"/>
  </sheetPr>
  <dimension ref="A1:AM103"/>
  <sheetViews>
    <sheetView showGridLines="1" workbookViewId="0">
      <selection activeCell="A1" sqref="A1"/>
    </sheetView>
  </sheetViews>
  <sheetFormatPr baseColWidth="8" defaultRowHeight="15"/>
  <cols>
    <col width="6" customWidth="1" min="1" max="1"/>
    <col width="25" customWidth="1" min="2" max="2"/>
    <col width="16.5" customWidth="1" min="3" max="3"/>
    <col width="8" customWidth="1" min="4" max="4"/>
    <col width="4.8" customWidth="1" min="5" max="5"/>
    <col width="4.8" customWidth="1" min="6" max="6"/>
    <col width="4.8" customWidth="1" min="7" max="7"/>
    <col width="4.8" customWidth="1" min="8" max="8"/>
    <col width="4.8" customWidth="1" min="9" max="9"/>
    <col width="4.8" customWidth="1" min="10" max="10"/>
    <col width="4.8" customWidth="1" min="11" max="11"/>
    <col width="4.8" customWidth="1" min="12" max="12"/>
    <col width="4.8" customWidth="1" min="13" max="13"/>
    <col width="4.8" customWidth="1" min="14" max="14"/>
    <col width="4.8" customWidth="1" min="15" max="15"/>
    <col width="4.8" customWidth="1" min="16" max="16"/>
    <col width="4.8" customWidth="1" min="17" max="17"/>
    <col width="4.8" customWidth="1" min="18" max="18"/>
    <col width="4.8" customWidth="1" min="19" max="19"/>
    <col width="4.8" customWidth="1" min="20" max="20"/>
    <col width="4.8" customWidth="1" min="21" max="21"/>
    <col width="4.8" customWidth="1" min="22" max="22"/>
    <col width="4.8" customWidth="1" min="23" max="23"/>
    <col width="4.8" customWidth="1" min="24" max="24"/>
    <col width="4.8" customWidth="1" min="25" max="25"/>
    <col width="4.8" customWidth="1" min="26" max="26"/>
    <col width="4.8" customWidth="1" min="27" max="27"/>
    <col width="4.8" customWidth="1" min="28" max="28"/>
    <col width="4.8" customWidth="1" min="29" max="29"/>
    <col width="4.8" customWidth="1" min="30" max="30"/>
    <col width="4.8" customWidth="1" min="31" max="31"/>
    <col width="4.8" customWidth="1" min="32" max="32"/>
    <col width="4.8" customWidth="1" min="33" max="33"/>
    <col width="4.8" customWidth="1" min="34" max="34"/>
    <col width="4.8" customWidth="1" min="35" max="35"/>
    <col width="11.5" customWidth="1" min="36" max="36"/>
    <col width="12" customWidth="1" min="37" max="37"/>
    <col width="13.5" customWidth="1" min="38" max="38"/>
    <col hidden="1" width="8" customWidth="1" min="39" max="39"/>
  </cols>
  <sheetData>
    <row r="1" ht="18" customHeight="1">
      <c r="A1" s="76" t="inlineStr">
        <is>
          <t>🏠 Master Dashboard</t>
        </is>
      </c>
      <c r="B1" s="40" t="n"/>
      <c r="C1" s="77" t="inlineStr">
        <is>
          <t>🏛️ Quarterly Hub</t>
        </is>
      </c>
      <c r="D1" s="78" t="inlineStr">
        <is>
          <t>📚 Habit Library</t>
        </is>
      </c>
      <c r="E1" s="80" t="inlineStr">
        <is>
          <t>2026</t>
        </is>
      </c>
      <c r="F1" s="79" t="inlineStr">
        <is>
          <t>2027</t>
        </is>
      </c>
      <c r="G1" s="80" t="inlineStr">
        <is>
          <t>2028</t>
        </is>
      </c>
      <c r="H1" s="80" t="inlineStr">
        <is>
          <t>2029</t>
        </is>
      </c>
      <c r="I1" s="80" t="inlineStr">
        <is>
          <t>2030</t>
        </is>
      </c>
      <c r="J1" s="82" t="inlineStr">
        <is>
          <t>◀ Prev</t>
        </is>
      </c>
      <c r="K1" s="82" t="inlineStr">
        <is>
          <t>Next ▶</t>
        </is>
      </c>
    </row>
    <row r="2" ht="24" customHeight="1">
      <c r="A2" s="83" t="inlineStr">
        <is>
          <t>Habit Tracker</t>
        </is>
      </c>
      <c r="H2" s="84" t="inlineStr">
        <is>
          <t>"Mastery is a journey, not a destination."</t>
        </is>
      </c>
      <c r="AE2" s="85" t="inlineStr">
        <is>
          <t>@surajvansh</t>
        </is>
      </c>
    </row>
    <row r="3" ht="18" customHeight="1">
      <c r="A3" s="86" t="inlineStr">
        <is>
          <t>July 2027</t>
        </is>
      </c>
      <c r="H3" s="87" t="inlineStr">
        <is>
          <t>31 Days Dashboard</t>
        </is>
      </c>
    </row>
    <row r="4" ht="5" customHeight="1"/>
    <row r="5" ht="16" customHeight="1">
      <c r="A5" s="88" t="inlineStr">
        <is>
          <t>MONTHLY TARGETS</t>
        </is>
      </c>
    </row>
    <row r="6" ht="13" customHeight="1">
      <c r="A6" s="89" t="inlineStr">
        <is>
          <t>1. ____________________ : ____________________</t>
        </is>
      </c>
      <c r="P6" s="89" t="inlineStr">
        <is>
          <t>5. ____________________ : ____________________</t>
        </is>
      </c>
    </row>
    <row r="7" ht="13" customHeight="1">
      <c r="A7" s="89" t="inlineStr">
        <is>
          <t>2. ____________________ : ____________________</t>
        </is>
      </c>
      <c r="P7" s="89" t="inlineStr">
        <is>
          <t>6. ____________________ : ____________________</t>
        </is>
      </c>
    </row>
    <row r="8" ht="13" customHeight="1">
      <c r="A8" s="89" t="inlineStr">
        <is>
          <t>3. ____________________ : ____________________</t>
        </is>
      </c>
      <c r="P8" s="89" t="inlineStr">
        <is>
          <t>7. ____________________ : ____________________</t>
        </is>
      </c>
    </row>
    <row r="9" ht="13" customHeight="1">
      <c r="A9" s="89" t="inlineStr">
        <is>
          <t>4. ____________________ : ____________________</t>
        </is>
      </c>
      <c r="P9" s="89" t="inlineStr">
        <is>
          <t>8. ____________________ : ____________________</t>
        </is>
      </c>
    </row>
    <row r="10" ht="5" customHeight="1"/>
    <row r="11" ht="15" customHeight="1">
      <c r="A11" s="88" t="inlineStr">
        <is>
          <t>NOTES:</t>
        </is>
      </c>
    </row>
    <row r="12" ht="13" customHeight="1">
      <c r="A12" s="90" t="n"/>
      <c r="B12" s="91" t="n"/>
      <c r="C12" s="91" t="n"/>
      <c r="D12" s="91" t="n"/>
      <c r="E12" s="91" t="n"/>
      <c r="F12" s="91" t="n"/>
      <c r="G12" s="91" t="n"/>
      <c r="H12" s="91" t="n"/>
      <c r="I12" s="91" t="n"/>
      <c r="J12" s="91" t="n"/>
      <c r="K12" s="91" t="n"/>
      <c r="L12" s="91" t="n"/>
      <c r="M12" s="91" t="n"/>
      <c r="N12" s="91" t="n"/>
      <c r="O12" s="91" t="n"/>
      <c r="P12" s="91" t="n"/>
      <c r="Q12" s="91" t="n"/>
      <c r="R12" s="91" t="n"/>
      <c r="S12" s="91" t="n"/>
      <c r="T12" s="91" t="n"/>
      <c r="U12" s="91" t="n"/>
      <c r="V12" s="91" t="n"/>
      <c r="W12" s="91" t="n"/>
      <c r="X12" s="91" t="n"/>
      <c r="Y12" s="91" t="n"/>
      <c r="Z12" s="91" t="n"/>
      <c r="AA12" s="91" t="n"/>
      <c r="AB12" s="91" t="n"/>
      <c r="AC12" s="91" t="n"/>
      <c r="AD12" s="91" t="n"/>
      <c r="AE12" s="91" t="n"/>
      <c r="AF12" s="91" t="n"/>
      <c r="AG12" s="91" t="n"/>
      <c r="AH12" s="91" t="n"/>
      <c r="AI12" s="91" t="n"/>
      <c r="AJ12" s="91" t="n"/>
      <c r="AK12" s="91" t="n"/>
      <c r="AL12" s="91" t="n"/>
    </row>
    <row r="13" ht="13" customHeight="1">
      <c r="A13" s="91" t="n"/>
      <c r="B13" s="91" t="n"/>
      <c r="C13" s="91" t="n"/>
      <c r="D13" s="91" t="n"/>
      <c r="E13" s="91" t="n"/>
      <c r="F13" s="91" t="n"/>
      <c r="G13" s="91" t="n"/>
      <c r="H13" s="91" t="n"/>
      <c r="I13" s="91" t="n"/>
      <c r="J13" s="91" t="n"/>
      <c r="K13" s="91" t="n"/>
      <c r="L13" s="91" t="n"/>
      <c r="M13" s="91" t="n"/>
      <c r="N13" s="91" t="n"/>
      <c r="O13" s="91" t="n"/>
      <c r="P13" s="91" t="n"/>
      <c r="Q13" s="91" t="n"/>
      <c r="R13" s="91" t="n"/>
      <c r="S13" s="91" t="n"/>
      <c r="T13" s="91" t="n"/>
      <c r="U13" s="91" t="n"/>
      <c r="V13" s="91" t="n"/>
      <c r="W13" s="91" t="n"/>
      <c r="X13" s="91" t="n"/>
      <c r="Y13" s="91" t="n"/>
      <c r="Z13" s="91" t="n"/>
      <c r="AA13" s="91" t="n"/>
      <c r="AB13" s="91" t="n"/>
      <c r="AC13" s="91" t="n"/>
      <c r="AD13" s="91" t="n"/>
      <c r="AE13" s="91" t="n"/>
      <c r="AF13" s="91" t="n"/>
      <c r="AG13" s="91" t="n"/>
      <c r="AH13" s="91" t="n"/>
      <c r="AI13" s="91" t="n"/>
      <c r="AJ13" s="91" t="n"/>
      <c r="AK13" s="91" t="n"/>
      <c r="AL13" s="91" t="n"/>
    </row>
    <row r="14" ht="13" customHeight="1">
      <c r="A14" s="91" t="n"/>
      <c r="B14" s="91" t="n"/>
      <c r="C14" s="91" t="n"/>
      <c r="D14" s="91" t="n"/>
      <c r="E14" s="91" t="n"/>
      <c r="F14" s="91" t="n"/>
      <c r="G14" s="91" t="n"/>
      <c r="H14" s="91" t="n"/>
      <c r="I14" s="91" t="n"/>
      <c r="J14" s="91" t="n"/>
      <c r="K14" s="91" t="n"/>
      <c r="L14" s="91" t="n"/>
      <c r="M14" s="91" t="n"/>
      <c r="N14" s="91" t="n"/>
      <c r="O14" s="91" t="n"/>
      <c r="P14" s="91" t="n"/>
      <c r="Q14" s="91" t="n"/>
      <c r="R14" s="91" t="n"/>
      <c r="S14" s="91" t="n"/>
      <c r="T14" s="91" t="n"/>
      <c r="U14" s="91" t="n"/>
      <c r="V14" s="91" t="n"/>
      <c r="W14" s="91" t="n"/>
      <c r="X14" s="91" t="n"/>
      <c r="Y14" s="91" t="n"/>
      <c r="Z14" s="91" t="n"/>
      <c r="AA14" s="91" t="n"/>
      <c r="AB14" s="91" t="n"/>
      <c r="AC14" s="91" t="n"/>
      <c r="AD14" s="91" t="n"/>
      <c r="AE14" s="91" t="n"/>
      <c r="AF14" s="91" t="n"/>
      <c r="AG14" s="91" t="n"/>
      <c r="AH14" s="91" t="n"/>
      <c r="AI14" s="91" t="n"/>
      <c r="AJ14" s="91" t="n"/>
      <c r="AK14" s="91" t="n"/>
      <c r="AL14" s="91" t="n"/>
    </row>
    <row r="15" ht="8" customHeight="1"/>
    <row r="16" ht="15" customHeight="1">
      <c r="A16" s="33" t="inlineStr">
        <is>
          <t>S.No.</t>
        </is>
      </c>
      <c r="B16" s="33" t="inlineStr">
        <is>
          <t>Protocols</t>
        </is>
      </c>
      <c r="C16" s="33" t="inlineStr">
        <is>
          <t>Category</t>
        </is>
      </c>
      <c r="D16" s="33" t="inlineStr">
        <is>
          <t>Target</t>
        </is>
      </c>
      <c r="E16" s="92" t="n">
        <v>1</v>
      </c>
      <c r="F16" s="92" t="n">
        <v>2</v>
      </c>
      <c r="G16" s="92" t="n">
        <v>3</v>
      </c>
      <c r="H16" s="93" t="n">
        <v>4</v>
      </c>
      <c r="I16" s="92" t="n">
        <v>5</v>
      </c>
      <c r="J16" s="92" t="n">
        <v>6</v>
      </c>
      <c r="K16" s="92" t="n">
        <v>7</v>
      </c>
      <c r="L16" s="92" t="n">
        <v>8</v>
      </c>
      <c r="M16" s="92" t="n">
        <v>9</v>
      </c>
      <c r="N16" s="92" t="n">
        <v>10</v>
      </c>
      <c r="O16" s="93" t="n">
        <v>11</v>
      </c>
      <c r="P16" s="92" t="n">
        <v>12</v>
      </c>
      <c r="Q16" s="92" t="n">
        <v>13</v>
      </c>
      <c r="R16" s="92" t="n">
        <v>14</v>
      </c>
      <c r="S16" s="92" t="n">
        <v>15</v>
      </c>
      <c r="T16" s="92" t="n">
        <v>16</v>
      </c>
      <c r="U16" s="92" t="n">
        <v>17</v>
      </c>
      <c r="V16" s="93" t="n">
        <v>18</v>
      </c>
      <c r="W16" s="92" t="n">
        <v>19</v>
      </c>
      <c r="X16" s="92" t="n">
        <v>20</v>
      </c>
      <c r="Y16" s="92" t="n">
        <v>21</v>
      </c>
      <c r="Z16" s="92" t="n">
        <v>22</v>
      </c>
      <c r="AA16" s="92" t="n">
        <v>23</v>
      </c>
      <c r="AB16" s="92" t="n">
        <v>24</v>
      </c>
      <c r="AC16" s="93" t="n">
        <v>25</v>
      </c>
      <c r="AD16" s="92" t="n">
        <v>26</v>
      </c>
      <c r="AE16" s="92" t="n">
        <v>27</v>
      </c>
      <c r="AF16" s="92" t="n">
        <v>28</v>
      </c>
      <c r="AG16" s="92" t="n">
        <v>29</v>
      </c>
      <c r="AH16" s="92" t="n">
        <v>30</v>
      </c>
      <c r="AI16" s="92" t="n">
        <v>31</v>
      </c>
      <c r="AJ16" s="94" t="inlineStr">
        <is>
          <t>Success %</t>
        </is>
      </c>
      <c r="AK16" s="94" t="inlineStr">
        <is>
          <t>Done / Target</t>
        </is>
      </c>
      <c r="AL16" s="94" t="inlineStr">
        <is>
          <t>Status</t>
        </is>
      </c>
      <c r="AM16" t="inlineStr">
        <is>
          <t>Done Count</t>
        </is>
      </c>
    </row>
    <row r="17" ht="15" customHeight="1">
      <c r="A17" s="54" t="n"/>
      <c r="B17" s="54" t="n"/>
      <c r="C17" s="54" t="n"/>
      <c r="D17" s="54" t="n"/>
      <c r="E17" s="95" t="inlineStr">
        <is>
          <t>Th</t>
        </is>
      </c>
      <c r="F17" s="95" t="inlineStr">
        <is>
          <t>F</t>
        </is>
      </c>
      <c r="G17" s="95" t="inlineStr">
        <is>
          <t>Sa</t>
        </is>
      </c>
      <c r="H17" s="96" t="inlineStr">
        <is>
          <t>Su</t>
        </is>
      </c>
      <c r="I17" s="95" t="inlineStr">
        <is>
          <t>M</t>
        </is>
      </c>
      <c r="J17" s="95" t="inlineStr">
        <is>
          <t>T</t>
        </is>
      </c>
      <c r="K17" s="95" t="inlineStr">
        <is>
          <t>W</t>
        </is>
      </c>
      <c r="L17" s="95" t="inlineStr">
        <is>
          <t>Th</t>
        </is>
      </c>
      <c r="M17" s="95" t="inlineStr">
        <is>
          <t>F</t>
        </is>
      </c>
      <c r="N17" s="95" t="inlineStr">
        <is>
          <t>Sa</t>
        </is>
      </c>
      <c r="O17" s="96" t="inlineStr">
        <is>
          <t>Su</t>
        </is>
      </c>
      <c r="P17" s="95" t="inlineStr">
        <is>
          <t>M</t>
        </is>
      </c>
      <c r="Q17" s="95" t="inlineStr">
        <is>
          <t>T</t>
        </is>
      </c>
      <c r="R17" s="95" t="inlineStr">
        <is>
          <t>W</t>
        </is>
      </c>
      <c r="S17" s="95" t="inlineStr">
        <is>
          <t>Th</t>
        </is>
      </c>
      <c r="T17" s="95" t="inlineStr">
        <is>
          <t>F</t>
        </is>
      </c>
      <c r="U17" s="95" t="inlineStr">
        <is>
          <t>Sa</t>
        </is>
      </c>
      <c r="V17" s="96" t="inlineStr">
        <is>
          <t>Su</t>
        </is>
      </c>
      <c r="W17" s="95" t="inlineStr">
        <is>
          <t>M</t>
        </is>
      </c>
      <c r="X17" s="95" t="inlineStr">
        <is>
          <t>T</t>
        </is>
      </c>
      <c r="Y17" s="95" t="inlineStr">
        <is>
          <t>W</t>
        </is>
      </c>
      <c r="Z17" s="95" t="inlineStr">
        <is>
          <t>Th</t>
        </is>
      </c>
      <c r="AA17" s="95" t="inlineStr">
        <is>
          <t>F</t>
        </is>
      </c>
      <c r="AB17" s="95" t="inlineStr">
        <is>
          <t>Sa</t>
        </is>
      </c>
      <c r="AC17" s="96" t="inlineStr">
        <is>
          <t>Su</t>
        </is>
      </c>
      <c r="AD17" s="95" t="inlineStr">
        <is>
          <t>M</t>
        </is>
      </c>
      <c r="AE17" s="95" t="inlineStr">
        <is>
          <t>T</t>
        </is>
      </c>
      <c r="AF17" s="95" t="inlineStr">
        <is>
          <t>W</t>
        </is>
      </c>
      <c r="AG17" s="95" t="inlineStr">
        <is>
          <t>Th</t>
        </is>
      </c>
      <c r="AH17" s="95" t="inlineStr">
        <is>
          <t>F</t>
        </is>
      </c>
      <c r="AI17" s="95" t="inlineStr">
        <is>
          <t>Sa</t>
        </is>
      </c>
      <c r="AJ17" s="54" t="n"/>
      <c r="AK17" s="54" t="n"/>
      <c r="AL17" s="54" t="n"/>
    </row>
    <row r="18" ht="14.5" customHeight="1">
      <c r="A18" s="97" t="n">
        <v>1</v>
      </c>
      <c r="B18" s="98" t="n"/>
      <c r="C18" s="99" t="n"/>
      <c r="D18" s="99" t="n"/>
      <c r="E18" s="100" t="n"/>
      <c r="F18" s="100" t="n"/>
      <c r="G18" s="100" t="n"/>
      <c r="H18" s="101" t="n"/>
      <c r="I18" s="100" t="n"/>
      <c r="J18" s="100" t="n"/>
      <c r="K18" s="100" t="n"/>
      <c r="L18" s="100" t="n"/>
      <c r="M18" s="100" t="n"/>
      <c r="N18" s="100" t="n"/>
      <c r="O18" s="101" t="n"/>
      <c r="P18" s="100" t="n"/>
      <c r="Q18" s="100" t="n"/>
      <c r="R18" s="100" t="n"/>
      <c r="S18" s="100" t="n"/>
      <c r="T18" s="100" t="n"/>
      <c r="U18" s="100" t="n"/>
      <c r="V18" s="101" t="n"/>
      <c r="W18" s="100" t="n"/>
      <c r="X18" s="100" t="n"/>
      <c r="Y18" s="100" t="n"/>
      <c r="Z18" s="100" t="n"/>
      <c r="AA18" s="100" t="n"/>
      <c r="AB18" s="100" t="n"/>
      <c r="AC18" s="101" t="n"/>
      <c r="AD18" s="100" t="n"/>
      <c r="AE18" s="100" t="n"/>
      <c r="AF18" s="100" t="n"/>
      <c r="AG18" s="100" t="n"/>
      <c r="AH18" s="100" t="n"/>
      <c r="AI18" s="100" t="n"/>
      <c r="AJ18" s="102">
        <f>IF(ISBLANK(B18), "", IF(ISNUMBER(D18), IF(D18&gt;0, (COUNTIF(E18:AI18, "✓") + COUNTIF(E18:AI18, "✔") + COUNTIF(E18:AI18, "v") + COUNTIF(E18:AI18, "V"))/D18, 0), IF(((COUNTIF(E18:AI18, "✓") + COUNTIF(E18:AI18, "✔") + COUNTIF(E18:AI18, "v") + COUNTIF(E18:AI18, "V")) + COUNTIF(E18:AI18, "✗") + COUNTIF(E18:AI18, "x") + COUNTIF(E18:AI18, "X"))&gt;0, (COUNTIF(E18:AI18, "✓") + COUNTIF(E18:AI18, "✔") + COUNTIF(E18:AI18, "v") + COUNTIF(E18:AI18, "V"))/((COUNTIF(E18:AI18, "✓") + COUNTIF(E18:AI18, "✔") + COUNTIF(E18:AI18, "v") + COUNTIF(E18:AI18, "V")) + COUNTIF(E18:AI18, "✗") + COUNTIF(E18:AI18, "x") + COUNTIF(E18:AI18, "X")), "")))</f>
        <v/>
      </c>
      <c r="AK18" s="103">
        <f>IF(ISBLANK(B18), "", IF(ISNUMBER(D18), IF(D18&gt;0, (COUNTIF(E18:AI18, "✓") + COUNTIF(E18:AI18, "✔") + COUNTIF(E18:AI18, "v") + COUNTIF(E18:AI18, "V")) &amp; "/" &amp; D18, (COUNTIF(E18:AI18, "✓") + COUNTIF(E18:AI18, "✔") + COUNTIF(E18:AI18, "v") + COUNTIF(E18:AI18, "V")) &amp; "/0"), IF(((COUNTIF(E18:AI18, "✓") + COUNTIF(E18:AI18, "✔") + COUNTIF(E18:AI18, "v") + COUNTIF(E18:AI18, "V")) + COUNTIF(E18:AI18, "✗") + COUNTIF(E18:AI18, "x") + COUNTIF(E18:AI18, "X"))&gt;0, (COUNTIF(E18:AI18, "✓") + COUNTIF(E18:AI18, "✔") + COUNTIF(E18:AI18, "v") + COUNTIF(E18:AI18, "V")) &amp; "/" &amp; ((COUNTIF(E18:AI18, "✓") + COUNTIF(E18:AI18, "✔") + COUNTIF(E18:AI18, "v") + COUNTIF(E18:AI18, "V")) + COUNTIF(E18:AI18, "✗") + COUNTIF(E18:AI18, "x") + COUNTIF(E18:AI18, "X")), "")))</f>
        <v/>
      </c>
      <c r="AL18" s="103">
        <f>IF(ISBLANK(B18), "", IF(AJ18&gt;=0.85, "🔥 Mastered", IF(AJ18&gt;=0.7, "⚡ Consistent", "⚠️ Needs Focus")))</f>
        <v/>
      </c>
      <c r="AM18">
        <f>COUNTIF(E18:AI18, "✓")</f>
        <v/>
      </c>
    </row>
    <row r="19" ht="14.5" customHeight="1">
      <c r="A19" s="97" t="n">
        <v>2</v>
      </c>
      <c r="B19" s="98" t="n"/>
      <c r="C19" s="99" t="n"/>
      <c r="D19" s="99" t="n"/>
      <c r="E19" s="100" t="n"/>
      <c r="F19" s="100" t="n"/>
      <c r="G19" s="100" t="n"/>
      <c r="H19" s="101" t="n"/>
      <c r="I19" s="100" t="n"/>
      <c r="J19" s="100" t="n"/>
      <c r="K19" s="100" t="n"/>
      <c r="L19" s="100" t="n"/>
      <c r="M19" s="100" t="n"/>
      <c r="N19" s="100" t="n"/>
      <c r="O19" s="101" t="n"/>
      <c r="P19" s="100" t="n"/>
      <c r="Q19" s="100" t="n"/>
      <c r="R19" s="100" t="n"/>
      <c r="S19" s="100" t="n"/>
      <c r="T19" s="100" t="n"/>
      <c r="U19" s="100" t="n"/>
      <c r="V19" s="101" t="n"/>
      <c r="W19" s="100" t="n"/>
      <c r="X19" s="100" t="n"/>
      <c r="Y19" s="100" t="n"/>
      <c r="Z19" s="100" t="n"/>
      <c r="AA19" s="100" t="n"/>
      <c r="AB19" s="100" t="n"/>
      <c r="AC19" s="101" t="n"/>
      <c r="AD19" s="100" t="n"/>
      <c r="AE19" s="100" t="n"/>
      <c r="AF19" s="100" t="n"/>
      <c r="AG19" s="100" t="n"/>
      <c r="AH19" s="100" t="n"/>
      <c r="AI19" s="100" t="n"/>
      <c r="AJ19" s="102">
        <f>IF(ISBLANK(B19), "", IF(ISNUMBER(D19), IF(D19&gt;0, (COUNTIF(E19:AI19, "✓") + COUNTIF(E19:AI19, "✔") + COUNTIF(E19:AI19, "v") + COUNTIF(E19:AI19, "V"))/D19, 0), IF(((COUNTIF(E19:AI19, "✓") + COUNTIF(E19:AI19, "✔") + COUNTIF(E19:AI19, "v") + COUNTIF(E19:AI19, "V")) + COUNTIF(E19:AI19, "✗") + COUNTIF(E19:AI19, "x") + COUNTIF(E19:AI19, "X"))&gt;0, (COUNTIF(E19:AI19, "✓") + COUNTIF(E19:AI19, "✔") + COUNTIF(E19:AI19, "v") + COUNTIF(E19:AI19, "V"))/((COUNTIF(E19:AI19, "✓") + COUNTIF(E19:AI19, "✔") + COUNTIF(E19:AI19, "v") + COUNTIF(E19:AI19, "V")) + COUNTIF(E19:AI19, "✗") + COUNTIF(E19:AI19, "x") + COUNTIF(E19:AI19, "X")), "")))</f>
        <v/>
      </c>
      <c r="AK19" s="103">
        <f>IF(ISBLANK(B19), "", IF(ISNUMBER(D19), IF(D19&gt;0, (COUNTIF(E19:AI19, "✓") + COUNTIF(E19:AI19, "✔") + COUNTIF(E19:AI19, "v") + COUNTIF(E19:AI19, "V")) &amp; "/" &amp; D19, (COUNTIF(E19:AI19, "✓") + COUNTIF(E19:AI19, "✔") + COUNTIF(E19:AI19, "v") + COUNTIF(E19:AI19, "V")) &amp; "/0"), IF(((COUNTIF(E19:AI19, "✓") + COUNTIF(E19:AI19, "✔") + COUNTIF(E19:AI19, "v") + COUNTIF(E19:AI19, "V")) + COUNTIF(E19:AI19, "✗") + COUNTIF(E19:AI19, "x") + COUNTIF(E19:AI19, "X"))&gt;0, (COUNTIF(E19:AI19, "✓") + COUNTIF(E19:AI19, "✔") + COUNTIF(E19:AI19, "v") + COUNTIF(E19:AI19, "V")) &amp; "/" &amp; ((COUNTIF(E19:AI19, "✓") + COUNTIF(E19:AI19, "✔") + COUNTIF(E19:AI19, "v") + COUNTIF(E19:AI19, "V")) + COUNTIF(E19:AI19, "✗") + COUNTIF(E19:AI19, "x") + COUNTIF(E19:AI19, "X")), "")))</f>
        <v/>
      </c>
      <c r="AL19" s="103">
        <f>IF(ISBLANK(B19), "", IF(AJ19&gt;=0.85, "🔥 Mastered", IF(AJ19&gt;=0.7, "⚡ Consistent", "⚠️ Needs Focus")))</f>
        <v/>
      </c>
      <c r="AM19">
        <f>COUNTIF(E19:AI19, "✓")</f>
        <v/>
      </c>
    </row>
    <row r="20" ht="14.5" customHeight="1">
      <c r="A20" s="97" t="n">
        <v>3</v>
      </c>
      <c r="B20" s="98" t="n"/>
      <c r="C20" s="99" t="n"/>
      <c r="D20" s="99" t="n"/>
      <c r="E20" s="100" t="n"/>
      <c r="F20" s="100" t="n"/>
      <c r="G20" s="100" t="n"/>
      <c r="H20" s="101" t="n"/>
      <c r="I20" s="100" t="n"/>
      <c r="J20" s="100" t="n"/>
      <c r="K20" s="100" t="n"/>
      <c r="L20" s="100" t="n"/>
      <c r="M20" s="100" t="n"/>
      <c r="N20" s="100" t="n"/>
      <c r="O20" s="101" t="n"/>
      <c r="P20" s="100" t="n"/>
      <c r="Q20" s="100" t="n"/>
      <c r="R20" s="100" t="n"/>
      <c r="S20" s="100" t="n"/>
      <c r="T20" s="100" t="n"/>
      <c r="U20" s="100" t="n"/>
      <c r="V20" s="101" t="n"/>
      <c r="W20" s="100" t="n"/>
      <c r="X20" s="100" t="n"/>
      <c r="Y20" s="100" t="n"/>
      <c r="Z20" s="100" t="n"/>
      <c r="AA20" s="100" t="n"/>
      <c r="AB20" s="100" t="n"/>
      <c r="AC20" s="101" t="n"/>
      <c r="AD20" s="100" t="n"/>
      <c r="AE20" s="100" t="n"/>
      <c r="AF20" s="100" t="n"/>
      <c r="AG20" s="100" t="n"/>
      <c r="AH20" s="100" t="n"/>
      <c r="AI20" s="100" t="n"/>
      <c r="AJ20" s="102">
        <f>IF(ISBLANK(B20), "", IF(ISNUMBER(D20), IF(D20&gt;0, (COUNTIF(E20:AI20, "✓") + COUNTIF(E20:AI20, "✔") + COUNTIF(E20:AI20, "v") + COUNTIF(E20:AI20, "V"))/D20, 0), IF(((COUNTIF(E20:AI20, "✓") + COUNTIF(E20:AI20, "✔") + COUNTIF(E20:AI20, "v") + COUNTIF(E20:AI20, "V")) + COUNTIF(E20:AI20, "✗") + COUNTIF(E20:AI20, "x") + COUNTIF(E20:AI20, "X"))&gt;0, (COUNTIF(E20:AI20, "✓") + COUNTIF(E20:AI20, "✔") + COUNTIF(E20:AI20, "v") + COUNTIF(E20:AI20, "V"))/((COUNTIF(E20:AI20, "✓") + COUNTIF(E20:AI20, "✔") + COUNTIF(E20:AI20, "v") + COUNTIF(E20:AI20, "V")) + COUNTIF(E20:AI20, "✗") + COUNTIF(E20:AI20, "x") + COUNTIF(E20:AI20, "X")), "")))</f>
        <v/>
      </c>
      <c r="AK20" s="103">
        <f>IF(ISBLANK(B20), "", IF(ISNUMBER(D20), IF(D20&gt;0, (COUNTIF(E20:AI20, "✓") + COUNTIF(E20:AI20, "✔") + COUNTIF(E20:AI20, "v") + COUNTIF(E20:AI20, "V")) &amp; "/" &amp; D20, (COUNTIF(E20:AI20, "✓") + COUNTIF(E20:AI20, "✔") + COUNTIF(E20:AI20, "v") + COUNTIF(E20:AI20, "V")) &amp; "/0"), IF(((COUNTIF(E20:AI20, "✓") + COUNTIF(E20:AI20, "✔") + COUNTIF(E20:AI20, "v") + COUNTIF(E20:AI20, "V")) + COUNTIF(E20:AI20, "✗") + COUNTIF(E20:AI20, "x") + COUNTIF(E20:AI20, "X"))&gt;0, (COUNTIF(E20:AI20, "✓") + COUNTIF(E20:AI20, "✔") + COUNTIF(E20:AI20, "v") + COUNTIF(E20:AI20, "V")) &amp; "/" &amp; ((COUNTIF(E20:AI20, "✓") + COUNTIF(E20:AI20, "✔") + COUNTIF(E20:AI20, "v") + COUNTIF(E20:AI20, "V")) + COUNTIF(E20:AI20, "✗") + COUNTIF(E20:AI20, "x") + COUNTIF(E20:AI20, "X")), "")))</f>
        <v/>
      </c>
      <c r="AL20" s="103">
        <f>IF(ISBLANK(B20), "", IF(AJ20&gt;=0.85, "🔥 Mastered", IF(AJ20&gt;=0.7, "⚡ Consistent", "⚠️ Needs Focus")))</f>
        <v/>
      </c>
      <c r="AM20">
        <f>COUNTIF(E20:AI20, "✓")</f>
        <v/>
      </c>
    </row>
    <row r="21" ht="14.5" customHeight="1">
      <c r="A21" s="97" t="n">
        <v>4</v>
      </c>
      <c r="B21" s="98" t="n"/>
      <c r="C21" s="99" t="n"/>
      <c r="D21" s="99" t="n"/>
      <c r="E21" s="100" t="n"/>
      <c r="F21" s="100" t="n"/>
      <c r="G21" s="100" t="n"/>
      <c r="H21" s="101" t="n"/>
      <c r="I21" s="100" t="n"/>
      <c r="J21" s="100" t="n"/>
      <c r="K21" s="100" t="n"/>
      <c r="L21" s="100" t="n"/>
      <c r="M21" s="100" t="n"/>
      <c r="N21" s="100" t="n"/>
      <c r="O21" s="101" t="n"/>
      <c r="P21" s="100" t="n"/>
      <c r="Q21" s="100" t="n"/>
      <c r="R21" s="100" t="n"/>
      <c r="S21" s="100" t="n"/>
      <c r="T21" s="100" t="n"/>
      <c r="U21" s="100" t="n"/>
      <c r="V21" s="101" t="n"/>
      <c r="W21" s="100" t="n"/>
      <c r="X21" s="100" t="n"/>
      <c r="Y21" s="100" t="n"/>
      <c r="Z21" s="100" t="n"/>
      <c r="AA21" s="100" t="n"/>
      <c r="AB21" s="100" t="n"/>
      <c r="AC21" s="101" t="n"/>
      <c r="AD21" s="100" t="n"/>
      <c r="AE21" s="100" t="n"/>
      <c r="AF21" s="100" t="n"/>
      <c r="AG21" s="100" t="n"/>
      <c r="AH21" s="100" t="n"/>
      <c r="AI21" s="100" t="n"/>
      <c r="AJ21" s="102">
        <f>IF(ISBLANK(B21), "", IF(ISNUMBER(D21), IF(D21&gt;0, (COUNTIF(E21:AI21, "✓") + COUNTIF(E21:AI21, "✔") + COUNTIF(E21:AI21, "v") + COUNTIF(E21:AI21, "V"))/D21, 0), IF(((COUNTIF(E21:AI21, "✓") + COUNTIF(E21:AI21, "✔") + COUNTIF(E21:AI21, "v") + COUNTIF(E21:AI21, "V")) + COUNTIF(E21:AI21, "✗") + COUNTIF(E21:AI21, "x") + COUNTIF(E21:AI21, "X"))&gt;0, (COUNTIF(E21:AI21, "✓") + COUNTIF(E21:AI21, "✔") + COUNTIF(E21:AI21, "v") + COUNTIF(E21:AI21, "V"))/((COUNTIF(E21:AI21, "✓") + COUNTIF(E21:AI21, "✔") + COUNTIF(E21:AI21, "v") + COUNTIF(E21:AI21, "V")) + COUNTIF(E21:AI21, "✗") + COUNTIF(E21:AI21, "x") + COUNTIF(E21:AI21, "X")), "")))</f>
        <v/>
      </c>
      <c r="AK21" s="103">
        <f>IF(ISBLANK(B21), "", IF(ISNUMBER(D21), IF(D21&gt;0, (COUNTIF(E21:AI21, "✓") + COUNTIF(E21:AI21, "✔") + COUNTIF(E21:AI21, "v") + COUNTIF(E21:AI21, "V")) &amp; "/" &amp; D21, (COUNTIF(E21:AI21, "✓") + COUNTIF(E21:AI21, "✔") + COUNTIF(E21:AI21, "v") + COUNTIF(E21:AI21, "V")) &amp; "/0"), IF(((COUNTIF(E21:AI21, "✓") + COUNTIF(E21:AI21, "✔") + COUNTIF(E21:AI21, "v") + COUNTIF(E21:AI21, "V")) + COUNTIF(E21:AI21, "✗") + COUNTIF(E21:AI21, "x") + COUNTIF(E21:AI21, "X"))&gt;0, (COUNTIF(E21:AI21, "✓") + COUNTIF(E21:AI21, "✔") + COUNTIF(E21:AI21, "v") + COUNTIF(E21:AI21, "V")) &amp; "/" &amp; ((COUNTIF(E21:AI21, "✓") + COUNTIF(E21:AI21, "✔") + COUNTIF(E21:AI21, "v") + COUNTIF(E21:AI21, "V")) + COUNTIF(E21:AI21, "✗") + COUNTIF(E21:AI21, "x") + COUNTIF(E21:AI21, "X")), "")))</f>
        <v/>
      </c>
      <c r="AL21" s="103">
        <f>IF(ISBLANK(B21), "", IF(AJ21&gt;=0.85, "🔥 Mastered", IF(AJ21&gt;=0.7, "⚡ Consistent", "⚠️ Needs Focus")))</f>
        <v/>
      </c>
      <c r="AM21">
        <f>COUNTIF(E21:AI21, "✓")</f>
        <v/>
      </c>
    </row>
    <row r="22" ht="14.5" customHeight="1">
      <c r="A22" s="104" t="n">
        <v>5</v>
      </c>
      <c r="B22" s="105" t="n"/>
      <c r="C22" s="106" t="n"/>
      <c r="D22" s="106" t="n"/>
      <c r="E22" s="107" t="n"/>
      <c r="F22" s="107" t="n"/>
      <c r="G22" s="107" t="n"/>
      <c r="H22" s="108" t="n"/>
      <c r="I22" s="107" t="n"/>
      <c r="J22" s="107" t="n"/>
      <c r="K22" s="107" t="n"/>
      <c r="L22" s="107" t="n"/>
      <c r="M22" s="107" t="n"/>
      <c r="N22" s="107" t="n"/>
      <c r="O22" s="108" t="n"/>
      <c r="P22" s="107" t="n"/>
      <c r="Q22" s="107" t="n"/>
      <c r="R22" s="107" t="n"/>
      <c r="S22" s="107" t="n"/>
      <c r="T22" s="107" t="n"/>
      <c r="U22" s="107" t="n"/>
      <c r="V22" s="108" t="n"/>
      <c r="W22" s="107" t="n"/>
      <c r="X22" s="107" t="n"/>
      <c r="Y22" s="107" t="n"/>
      <c r="Z22" s="107" t="n"/>
      <c r="AA22" s="107" t="n"/>
      <c r="AB22" s="107" t="n"/>
      <c r="AC22" s="108" t="n"/>
      <c r="AD22" s="107" t="n"/>
      <c r="AE22" s="107" t="n"/>
      <c r="AF22" s="107" t="n"/>
      <c r="AG22" s="107" t="n"/>
      <c r="AH22" s="107" t="n"/>
      <c r="AI22" s="107" t="n"/>
      <c r="AJ22" s="109">
        <f>IF(ISBLANK(B22), "", IF(ISNUMBER(D22), IF(D22&gt;0, (COUNTIF(E22:AI22, "✓") + COUNTIF(E22:AI22, "✔") + COUNTIF(E22:AI22, "v") + COUNTIF(E22:AI22, "V"))/D22, 0), IF(((COUNTIF(E22:AI22, "✓") + COUNTIF(E22:AI22, "✔") + COUNTIF(E22:AI22, "v") + COUNTIF(E22:AI22, "V")) + COUNTIF(E22:AI22, "✗") + COUNTIF(E22:AI22, "x") + COUNTIF(E22:AI22, "X"))&gt;0, (COUNTIF(E22:AI22, "✓") + COUNTIF(E22:AI22, "✔") + COUNTIF(E22:AI22, "v") + COUNTIF(E22:AI22, "V"))/((COUNTIF(E22:AI22, "✓") + COUNTIF(E22:AI22, "✔") + COUNTIF(E22:AI22, "v") + COUNTIF(E22:AI22, "V")) + COUNTIF(E22:AI22, "✗") + COUNTIF(E22:AI22, "x") + COUNTIF(E22:AI22, "X")), "")))</f>
        <v/>
      </c>
      <c r="AK22" s="110">
        <f>IF(ISBLANK(B22), "", IF(ISNUMBER(D22), IF(D22&gt;0, (COUNTIF(E22:AI22, "✓") + COUNTIF(E22:AI22, "✔") + COUNTIF(E22:AI22, "v") + COUNTIF(E22:AI22, "V")) &amp; "/" &amp; D22, (COUNTIF(E22:AI22, "✓") + COUNTIF(E22:AI22, "✔") + COUNTIF(E22:AI22, "v") + COUNTIF(E22:AI22, "V")) &amp; "/0"), IF(((COUNTIF(E22:AI22, "✓") + COUNTIF(E22:AI22, "✔") + COUNTIF(E22:AI22, "v") + COUNTIF(E22:AI22, "V")) + COUNTIF(E22:AI22, "✗") + COUNTIF(E22:AI22, "x") + COUNTIF(E22:AI22, "X"))&gt;0, (COUNTIF(E22:AI22, "✓") + COUNTIF(E22:AI22, "✔") + COUNTIF(E22:AI22, "v") + COUNTIF(E22:AI22, "V")) &amp; "/" &amp; ((COUNTIF(E22:AI22, "✓") + COUNTIF(E22:AI22, "✔") + COUNTIF(E22:AI22, "v") + COUNTIF(E22:AI22, "V")) + COUNTIF(E22:AI22, "✗") + COUNTIF(E22:AI22, "x") + COUNTIF(E22:AI22, "X")), "")))</f>
        <v/>
      </c>
      <c r="AL22" s="110">
        <f>IF(ISBLANK(B22), "", IF(AJ22&gt;=0.85, "🔥 Mastered", IF(AJ22&gt;=0.7, "⚡ Consistent", "⚠️ Needs Focus")))</f>
        <v/>
      </c>
      <c r="AM22">
        <f>COUNTIF(E22:AI22, "✓")</f>
        <v/>
      </c>
    </row>
    <row r="23" ht="14.5" customHeight="1">
      <c r="A23" s="104" t="n">
        <v>6</v>
      </c>
      <c r="B23" s="105" t="n"/>
      <c r="C23" s="106" t="n"/>
      <c r="D23" s="106" t="n"/>
      <c r="E23" s="107" t="n"/>
      <c r="F23" s="107" t="n"/>
      <c r="G23" s="107" t="n"/>
      <c r="H23" s="108" t="n"/>
      <c r="I23" s="107" t="n"/>
      <c r="J23" s="107" t="n"/>
      <c r="K23" s="107" t="n"/>
      <c r="L23" s="107" t="n"/>
      <c r="M23" s="107" t="n"/>
      <c r="N23" s="107" t="n"/>
      <c r="O23" s="108" t="n"/>
      <c r="P23" s="107" t="n"/>
      <c r="Q23" s="107" t="n"/>
      <c r="R23" s="107" t="n"/>
      <c r="S23" s="107" t="n"/>
      <c r="T23" s="107" t="n"/>
      <c r="U23" s="107" t="n"/>
      <c r="V23" s="108" t="n"/>
      <c r="W23" s="107" t="n"/>
      <c r="X23" s="107" t="n"/>
      <c r="Y23" s="107" t="n"/>
      <c r="Z23" s="107" t="n"/>
      <c r="AA23" s="107" t="n"/>
      <c r="AB23" s="107" t="n"/>
      <c r="AC23" s="108" t="n"/>
      <c r="AD23" s="107" t="n"/>
      <c r="AE23" s="107" t="n"/>
      <c r="AF23" s="107" t="n"/>
      <c r="AG23" s="107" t="n"/>
      <c r="AH23" s="107" t="n"/>
      <c r="AI23" s="107" t="n"/>
      <c r="AJ23" s="109">
        <f>IF(ISBLANK(B23), "", IF(ISNUMBER(D23), IF(D23&gt;0, (COUNTIF(E23:AI23, "✓") + COUNTIF(E23:AI23, "✔") + COUNTIF(E23:AI23, "v") + COUNTIF(E23:AI23, "V"))/D23, 0), IF(((COUNTIF(E23:AI23, "✓") + COUNTIF(E23:AI23, "✔") + COUNTIF(E23:AI23, "v") + COUNTIF(E23:AI23, "V")) + COUNTIF(E23:AI23, "✗") + COUNTIF(E23:AI23, "x") + COUNTIF(E23:AI23, "X"))&gt;0, (COUNTIF(E23:AI23, "✓") + COUNTIF(E23:AI23, "✔") + COUNTIF(E23:AI23, "v") + COUNTIF(E23:AI23, "V"))/((COUNTIF(E23:AI23, "✓") + COUNTIF(E23:AI23, "✔") + COUNTIF(E23:AI23, "v") + COUNTIF(E23:AI23, "V")) + COUNTIF(E23:AI23, "✗") + COUNTIF(E23:AI23, "x") + COUNTIF(E23:AI23, "X")), "")))</f>
        <v/>
      </c>
      <c r="AK23" s="110">
        <f>IF(ISBLANK(B23), "", IF(ISNUMBER(D23), IF(D23&gt;0, (COUNTIF(E23:AI23, "✓") + COUNTIF(E23:AI23, "✔") + COUNTIF(E23:AI23, "v") + COUNTIF(E23:AI23, "V")) &amp; "/" &amp; D23, (COUNTIF(E23:AI23, "✓") + COUNTIF(E23:AI23, "✔") + COUNTIF(E23:AI23, "v") + COUNTIF(E23:AI23, "V")) &amp; "/0"), IF(((COUNTIF(E23:AI23, "✓") + COUNTIF(E23:AI23, "✔") + COUNTIF(E23:AI23, "v") + COUNTIF(E23:AI23, "V")) + COUNTIF(E23:AI23, "✗") + COUNTIF(E23:AI23, "x") + COUNTIF(E23:AI23, "X"))&gt;0, (COUNTIF(E23:AI23, "✓") + COUNTIF(E23:AI23, "✔") + COUNTIF(E23:AI23, "v") + COUNTIF(E23:AI23, "V")) &amp; "/" &amp; ((COUNTIF(E23:AI23, "✓") + COUNTIF(E23:AI23, "✔") + COUNTIF(E23:AI23, "v") + COUNTIF(E23:AI23, "V")) + COUNTIF(E23:AI23, "✗") + COUNTIF(E23:AI23, "x") + COUNTIF(E23:AI23, "X")), "")))</f>
        <v/>
      </c>
      <c r="AL23" s="110">
        <f>IF(ISBLANK(B23), "", IF(AJ23&gt;=0.85, "🔥 Mastered", IF(AJ23&gt;=0.7, "⚡ Consistent", "⚠️ Needs Focus")))</f>
        <v/>
      </c>
      <c r="AM23">
        <f>COUNTIF(E23:AI23, "✓")</f>
        <v/>
      </c>
    </row>
    <row r="24" ht="14.5" customHeight="1">
      <c r="A24" s="104" t="n">
        <v>7</v>
      </c>
      <c r="B24" s="105" t="n"/>
      <c r="C24" s="106" t="n"/>
      <c r="D24" s="106" t="n"/>
      <c r="E24" s="107" t="n"/>
      <c r="F24" s="107" t="n"/>
      <c r="G24" s="107" t="n"/>
      <c r="H24" s="108" t="n"/>
      <c r="I24" s="107" t="n"/>
      <c r="J24" s="107" t="n"/>
      <c r="K24" s="107" t="n"/>
      <c r="L24" s="107" t="n"/>
      <c r="M24" s="107" t="n"/>
      <c r="N24" s="107" t="n"/>
      <c r="O24" s="108" t="n"/>
      <c r="P24" s="107" t="n"/>
      <c r="Q24" s="107" t="n"/>
      <c r="R24" s="107" t="n"/>
      <c r="S24" s="107" t="n"/>
      <c r="T24" s="107" t="n"/>
      <c r="U24" s="107" t="n"/>
      <c r="V24" s="108" t="n"/>
      <c r="W24" s="107" t="n"/>
      <c r="X24" s="107" t="n"/>
      <c r="Y24" s="107" t="n"/>
      <c r="Z24" s="107" t="n"/>
      <c r="AA24" s="107" t="n"/>
      <c r="AB24" s="107" t="n"/>
      <c r="AC24" s="108" t="n"/>
      <c r="AD24" s="107" t="n"/>
      <c r="AE24" s="107" t="n"/>
      <c r="AF24" s="107" t="n"/>
      <c r="AG24" s="107" t="n"/>
      <c r="AH24" s="107" t="n"/>
      <c r="AI24" s="107" t="n"/>
      <c r="AJ24" s="109">
        <f>IF(ISBLANK(B24), "", IF(ISNUMBER(D24), IF(D24&gt;0, (COUNTIF(E24:AI24, "✓") + COUNTIF(E24:AI24, "✔") + COUNTIF(E24:AI24, "v") + COUNTIF(E24:AI24, "V"))/D24, 0), IF(((COUNTIF(E24:AI24, "✓") + COUNTIF(E24:AI24, "✔") + COUNTIF(E24:AI24, "v") + COUNTIF(E24:AI24, "V")) + COUNTIF(E24:AI24, "✗") + COUNTIF(E24:AI24, "x") + COUNTIF(E24:AI24, "X"))&gt;0, (COUNTIF(E24:AI24, "✓") + COUNTIF(E24:AI24, "✔") + COUNTIF(E24:AI24, "v") + COUNTIF(E24:AI24, "V"))/((COUNTIF(E24:AI24, "✓") + COUNTIF(E24:AI24, "✔") + COUNTIF(E24:AI24, "v") + COUNTIF(E24:AI24, "V")) + COUNTIF(E24:AI24, "✗") + COUNTIF(E24:AI24, "x") + COUNTIF(E24:AI24, "X")), "")))</f>
        <v/>
      </c>
      <c r="AK24" s="110">
        <f>IF(ISBLANK(B24), "", IF(ISNUMBER(D24), IF(D24&gt;0, (COUNTIF(E24:AI24, "✓") + COUNTIF(E24:AI24, "✔") + COUNTIF(E24:AI24, "v") + COUNTIF(E24:AI24, "V")) &amp; "/" &amp; D24, (COUNTIF(E24:AI24, "✓") + COUNTIF(E24:AI24, "✔") + COUNTIF(E24:AI24, "v") + COUNTIF(E24:AI24, "V")) &amp; "/0"), IF(((COUNTIF(E24:AI24, "✓") + COUNTIF(E24:AI24, "✔") + COUNTIF(E24:AI24, "v") + COUNTIF(E24:AI24, "V")) + COUNTIF(E24:AI24, "✗") + COUNTIF(E24:AI24, "x") + COUNTIF(E24:AI24, "X"))&gt;0, (COUNTIF(E24:AI24, "✓") + COUNTIF(E24:AI24, "✔") + COUNTIF(E24:AI24, "v") + COUNTIF(E24:AI24, "V")) &amp; "/" &amp; ((COUNTIF(E24:AI24, "✓") + COUNTIF(E24:AI24, "✔") + COUNTIF(E24:AI24, "v") + COUNTIF(E24:AI24, "V")) + COUNTIF(E24:AI24, "✗") + COUNTIF(E24:AI24, "x") + COUNTIF(E24:AI24, "X")), "")))</f>
        <v/>
      </c>
      <c r="AL24" s="110">
        <f>IF(ISBLANK(B24), "", IF(AJ24&gt;=0.85, "🔥 Mastered", IF(AJ24&gt;=0.7, "⚡ Consistent", "⚠️ Needs Focus")))</f>
        <v/>
      </c>
      <c r="AM24">
        <f>COUNTIF(E24:AI24, "✓")</f>
        <v/>
      </c>
    </row>
    <row r="25" ht="14.5" customHeight="1">
      <c r="A25" s="104" t="n">
        <v>8</v>
      </c>
      <c r="B25" s="105" t="n"/>
      <c r="C25" s="106" t="n"/>
      <c r="D25" s="106" t="n"/>
      <c r="E25" s="107" t="n"/>
      <c r="F25" s="107" t="n"/>
      <c r="G25" s="107" t="n"/>
      <c r="H25" s="108" t="n"/>
      <c r="I25" s="107" t="n"/>
      <c r="J25" s="107" t="n"/>
      <c r="K25" s="107" t="n"/>
      <c r="L25" s="107" t="n"/>
      <c r="M25" s="107" t="n"/>
      <c r="N25" s="107" t="n"/>
      <c r="O25" s="108" t="n"/>
      <c r="P25" s="107" t="n"/>
      <c r="Q25" s="107" t="n"/>
      <c r="R25" s="107" t="n"/>
      <c r="S25" s="107" t="n"/>
      <c r="T25" s="107" t="n"/>
      <c r="U25" s="107" t="n"/>
      <c r="V25" s="108" t="n"/>
      <c r="W25" s="107" t="n"/>
      <c r="X25" s="107" t="n"/>
      <c r="Y25" s="107" t="n"/>
      <c r="Z25" s="107" t="n"/>
      <c r="AA25" s="107" t="n"/>
      <c r="AB25" s="107" t="n"/>
      <c r="AC25" s="108" t="n"/>
      <c r="AD25" s="107" t="n"/>
      <c r="AE25" s="107" t="n"/>
      <c r="AF25" s="107" t="n"/>
      <c r="AG25" s="107" t="n"/>
      <c r="AH25" s="107" t="n"/>
      <c r="AI25" s="107" t="n"/>
      <c r="AJ25" s="109">
        <f>IF(ISBLANK(B25), "", IF(ISNUMBER(D25), IF(D25&gt;0, (COUNTIF(E25:AI25, "✓") + COUNTIF(E25:AI25, "✔") + COUNTIF(E25:AI25, "v") + COUNTIF(E25:AI25, "V"))/D25, 0), IF(((COUNTIF(E25:AI25, "✓") + COUNTIF(E25:AI25, "✔") + COUNTIF(E25:AI25, "v") + COUNTIF(E25:AI25, "V")) + COUNTIF(E25:AI25, "✗") + COUNTIF(E25:AI25, "x") + COUNTIF(E25:AI25, "X"))&gt;0, (COUNTIF(E25:AI25, "✓") + COUNTIF(E25:AI25, "✔") + COUNTIF(E25:AI25, "v") + COUNTIF(E25:AI25, "V"))/((COUNTIF(E25:AI25, "✓") + COUNTIF(E25:AI25, "✔") + COUNTIF(E25:AI25, "v") + COUNTIF(E25:AI25, "V")) + COUNTIF(E25:AI25, "✗") + COUNTIF(E25:AI25, "x") + COUNTIF(E25:AI25, "X")), "")))</f>
        <v/>
      </c>
      <c r="AK25" s="110">
        <f>IF(ISBLANK(B25), "", IF(ISNUMBER(D25), IF(D25&gt;0, (COUNTIF(E25:AI25, "✓") + COUNTIF(E25:AI25, "✔") + COUNTIF(E25:AI25, "v") + COUNTIF(E25:AI25, "V")) &amp; "/" &amp; D25, (COUNTIF(E25:AI25, "✓") + COUNTIF(E25:AI25, "✔") + COUNTIF(E25:AI25, "v") + COUNTIF(E25:AI25, "V")) &amp; "/0"), IF(((COUNTIF(E25:AI25, "✓") + COUNTIF(E25:AI25, "✔") + COUNTIF(E25:AI25, "v") + COUNTIF(E25:AI25, "V")) + COUNTIF(E25:AI25, "✗") + COUNTIF(E25:AI25, "x") + COUNTIF(E25:AI25, "X"))&gt;0, (COUNTIF(E25:AI25, "✓") + COUNTIF(E25:AI25, "✔") + COUNTIF(E25:AI25, "v") + COUNTIF(E25:AI25, "V")) &amp; "/" &amp; ((COUNTIF(E25:AI25, "✓") + COUNTIF(E25:AI25, "✔") + COUNTIF(E25:AI25, "v") + COUNTIF(E25:AI25, "V")) + COUNTIF(E25:AI25, "✗") + COUNTIF(E25:AI25, "x") + COUNTIF(E25:AI25, "X")), "")))</f>
        <v/>
      </c>
      <c r="AL25" s="110">
        <f>IF(ISBLANK(B25), "", IF(AJ25&gt;=0.85, "🔥 Mastered", IF(AJ25&gt;=0.7, "⚡ Consistent", "⚠️ Needs Focus")))</f>
        <v/>
      </c>
      <c r="AM25">
        <f>COUNTIF(E25:AI25, "✓")</f>
        <v/>
      </c>
    </row>
    <row r="26" ht="14.5" customHeight="1">
      <c r="A26" s="111" t="n">
        <v>9</v>
      </c>
      <c r="B26" s="112" t="n"/>
      <c r="C26" s="113" t="n"/>
      <c r="D26" s="113" t="n"/>
      <c r="E26" s="114" t="n"/>
      <c r="F26" s="114" t="n"/>
      <c r="G26" s="114" t="n"/>
      <c r="H26" s="115" t="n"/>
      <c r="I26" s="114" t="n"/>
      <c r="J26" s="114" t="n"/>
      <c r="K26" s="114" t="n"/>
      <c r="L26" s="114" t="n"/>
      <c r="M26" s="114" t="n"/>
      <c r="N26" s="114" t="n"/>
      <c r="O26" s="115" t="n"/>
      <c r="P26" s="114" t="n"/>
      <c r="Q26" s="114" t="n"/>
      <c r="R26" s="114" t="n"/>
      <c r="S26" s="114" t="n"/>
      <c r="T26" s="114" t="n"/>
      <c r="U26" s="114" t="n"/>
      <c r="V26" s="115" t="n"/>
      <c r="W26" s="114" t="n"/>
      <c r="X26" s="114" t="n"/>
      <c r="Y26" s="114" t="n"/>
      <c r="Z26" s="114" t="n"/>
      <c r="AA26" s="114" t="n"/>
      <c r="AB26" s="114" t="n"/>
      <c r="AC26" s="115" t="n"/>
      <c r="AD26" s="114" t="n"/>
      <c r="AE26" s="114" t="n"/>
      <c r="AF26" s="114" t="n"/>
      <c r="AG26" s="114" t="n"/>
      <c r="AH26" s="114" t="n"/>
      <c r="AI26" s="114" t="n"/>
      <c r="AJ26" s="116">
        <f>IF(ISBLANK(B26), "", IF(ISNUMBER(D26), IF(D26&gt;0, (COUNTIF(E26:AI26, "✓") + COUNTIF(E26:AI26, "✔") + COUNTIF(E26:AI26, "v") + COUNTIF(E26:AI26, "V"))/D26, 0), IF(((COUNTIF(E26:AI26, "✓") + COUNTIF(E26:AI26, "✔") + COUNTIF(E26:AI26, "v") + COUNTIF(E26:AI26, "V")) + COUNTIF(E26:AI26, "✗") + COUNTIF(E26:AI26, "x") + COUNTIF(E26:AI26, "X"))&gt;0, (COUNTIF(E26:AI26, "✓") + COUNTIF(E26:AI26, "✔") + COUNTIF(E26:AI26, "v") + COUNTIF(E26:AI26, "V"))/((COUNTIF(E26:AI26, "✓") + COUNTIF(E26:AI26, "✔") + COUNTIF(E26:AI26, "v") + COUNTIF(E26:AI26, "V")) + COUNTIF(E26:AI26, "✗") + COUNTIF(E26:AI26, "x") + COUNTIF(E26:AI26, "X")), "")))</f>
        <v/>
      </c>
      <c r="AK26" s="117">
        <f>IF(ISBLANK(B26), "", IF(ISNUMBER(D26), IF(D26&gt;0, (COUNTIF(E26:AI26, "✓") + COUNTIF(E26:AI26, "✔") + COUNTIF(E26:AI26, "v") + COUNTIF(E26:AI26, "V")) &amp; "/" &amp; D26, (COUNTIF(E26:AI26, "✓") + COUNTIF(E26:AI26, "✔") + COUNTIF(E26:AI26, "v") + COUNTIF(E26:AI26, "V")) &amp; "/0"), IF(((COUNTIF(E26:AI26, "✓") + COUNTIF(E26:AI26, "✔") + COUNTIF(E26:AI26, "v") + COUNTIF(E26:AI26, "V")) + COUNTIF(E26:AI26, "✗") + COUNTIF(E26:AI26, "x") + COUNTIF(E26:AI26, "X"))&gt;0, (COUNTIF(E26:AI26, "✓") + COUNTIF(E26:AI26, "✔") + COUNTIF(E26:AI26, "v") + COUNTIF(E26:AI26, "V")) &amp; "/" &amp; ((COUNTIF(E26:AI26, "✓") + COUNTIF(E26:AI26, "✔") + COUNTIF(E26:AI26, "v") + COUNTIF(E26:AI26, "V")) + COUNTIF(E26:AI26, "✗") + COUNTIF(E26:AI26, "x") + COUNTIF(E26:AI26, "X")), "")))</f>
        <v/>
      </c>
      <c r="AL26" s="117">
        <f>IF(ISBLANK(B26), "", IF(AJ26&gt;=0.85, "🔥 Mastered", IF(AJ26&gt;=0.7, "⚡ Consistent", "⚠️ Needs Focus")))</f>
        <v/>
      </c>
      <c r="AM26">
        <f>COUNTIF(E26:AI26, "✓")</f>
        <v/>
      </c>
    </row>
    <row r="27" ht="14.5" customHeight="1">
      <c r="A27" s="111" t="n">
        <v>10</v>
      </c>
      <c r="B27" s="112" t="n"/>
      <c r="C27" s="113" t="n"/>
      <c r="D27" s="113" t="n"/>
      <c r="E27" s="114" t="n"/>
      <c r="F27" s="114" t="n"/>
      <c r="G27" s="114" t="n"/>
      <c r="H27" s="115" t="n"/>
      <c r="I27" s="114" t="n"/>
      <c r="J27" s="114" t="n"/>
      <c r="K27" s="114" t="n"/>
      <c r="L27" s="114" t="n"/>
      <c r="M27" s="114" t="n"/>
      <c r="N27" s="114" t="n"/>
      <c r="O27" s="115" t="n"/>
      <c r="P27" s="114" t="n"/>
      <c r="Q27" s="114" t="n"/>
      <c r="R27" s="114" t="n"/>
      <c r="S27" s="114" t="n"/>
      <c r="T27" s="114" t="n"/>
      <c r="U27" s="114" t="n"/>
      <c r="V27" s="115" t="n"/>
      <c r="W27" s="114" t="n"/>
      <c r="X27" s="114" t="n"/>
      <c r="Y27" s="114" t="n"/>
      <c r="Z27" s="114" t="n"/>
      <c r="AA27" s="114" t="n"/>
      <c r="AB27" s="114" t="n"/>
      <c r="AC27" s="115" t="n"/>
      <c r="AD27" s="114" t="n"/>
      <c r="AE27" s="114" t="n"/>
      <c r="AF27" s="114" t="n"/>
      <c r="AG27" s="114" t="n"/>
      <c r="AH27" s="114" t="n"/>
      <c r="AI27" s="114" t="n"/>
      <c r="AJ27" s="116">
        <f>IF(ISBLANK(B27), "", IF(ISNUMBER(D27), IF(D27&gt;0, (COUNTIF(E27:AI27, "✓") + COUNTIF(E27:AI27, "✔") + COUNTIF(E27:AI27, "v") + COUNTIF(E27:AI27, "V"))/D27, 0), IF(((COUNTIF(E27:AI27, "✓") + COUNTIF(E27:AI27, "✔") + COUNTIF(E27:AI27, "v") + COUNTIF(E27:AI27, "V")) + COUNTIF(E27:AI27, "✗") + COUNTIF(E27:AI27, "x") + COUNTIF(E27:AI27, "X"))&gt;0, (COUNTIF(E27:AI27, "✓") + COUNTIF(E27:AI27, "✔") + COUNTIF(E27:AI27, "v") + COUNTIF(E27:AI27, "V"))/((COUNTIF(E27:AI27, "✓") + COUNTIF(E27:AI27, "✔") + COUNTIF(E27:AI27, "v") + COUNTIF(E27:AI27, "V")) + COUNTIF(E27:AI27, "✗") + COUNTIF(E27:AI27, "x") + COUNTIF(E27:AI27, "X")), "")))</f>
        <v/>
      </c>
      <c r="AK27" s="117">
        <f>IF(ISBLANK(B27), "", IF(ISNUMBER(D27), IF(D27&gt;0, (COUNTIF(E27:AI27, "✓") + COUNTIF(E27:AI27, "✔") + COUNTIF(E27:AI27, "v") + COUNTIF(E27:AI27, "V")) &amp; "/" &amp; D27, (COUNTIF(E27:AI27, "✓") + COUNTIF(E27:AI27, "✔") + COUNTIF(E27:AI27, "v") + COUNTIF(E27:AI27, "V")) &amp; "/0"), IF(((COUNTIF(E27:AI27, "✓") + COUNTIF(E27:AI27, "✔") + COUNTIF(E27:AI27, "v") + COUNTIF(E27:AI27, "V")) + COUNTIF(E27:AI27, "✗") + COUNTIF(E27:AI27, "x") + COUNTIF(E27:AI27, "X"))&gt;0, (COUNTIF(E27:AI27, "✓") + COUNTIF(E27:AI27, "✔") + COUNTIF(E27:AI27, "v") + COUNTIF(E27:AI27, "V")) &amp; "/" &amp; ((COUNTIF(E27:AI27, "✓") + COUNTIF(E27:AI27, "✔") + COUNTIF(E27:AI27, "v") + COUNTIF(E27:AI27, "V")) + COUNTIF(E27:AI27, "✗") + COUNTIF(E27:AI27, "x") + COUNTIF(E27:AI27, "X")), "")))</f>
        <v/>
      </c>
      <c r="AL27" s="117">
        <f>IF(ISBLANK(B27), "", IF(AJ27&gt;=0.85, "🔥 Mastered", IF(AJ27&gt;=0.7, "⚡ Consistent", "⚠️ Needs Focus")))</f>
        <v/>
      </c>
      <c r="AM27">
        <f>COUNTIF(E27:AI27, "✓")</f>
        <v/>
      </c>
    </row>
    <row r="28" ht="14.5" customHeight="1">
      <c r="A28" s="111" t="n">
        <v>11</v>
      </c>
      <c r="B28" s="112" t="n"/>
      <c r="C28" s="113" t="n"/>
      <c r="D28" s="113" t="n"/>
      <c r="E28" s="114" t="n"/>
      <c r="F28" s="114" t="n"/>
      <c r="G28" s="114" t="n"/>
      <c r="H28" s="115" t="n"/>
      <c r="I28" s="114" t="n"/>
      <c r="J28" s="114" t="n"/>
      <c r="K28" s="114" t="n"/>
      <c r="L28" s="114" t="n"/>
      <c r="M28" s="114" t="n"/>
      <c r="N28" s="114" t="n"/>
      <c r="O28" s="115" t="n"/>
      <c r="P28" s="114" t="n"/>
      <c r="Q28" s="114" t="n"/>
      <c r="R28" s="114" t="n"/>
      <c r="S28" s="114" t="n"/>
      <c r="T28" s="114" t="n"/>
      <c r="U28" s="114" t="n"/>
      <c r="V28" s="115" t="n"/>
      <c r="W28" s="114" t="n"/>
      <c r="X28" s="114" t="n"/>
      <c r="Y28" s="114" t="n"/>
      <c r="Z28" s="114" t="n"/>
      <c r="AA28" s="114" t="n"/>
      <c r="AB28" s="114" t="n"/>
      <c r="AC28" s="115" t="n"/>
      <c r="AD28" s="114" t="n"/>
      <c r="AE28" s="114" t="n"/>
      <c r="AF28" s="114" t="n"/>
      <c r="AG28" s="114" t="n"/>
      <c r="AH28" s="114" t="n"/>
      <c r="AI28" s="114" t="n"/>
      <c r="AJ28" s="116">
        <f>IF(ISBLANK(B28), "", IF(ISNUMBER(D28), IF(D28&gt;0, (COUNTIF(E28:AI28, "✓") + COUNTIF(E28:AI28, "✔") + COUNTIF(E28:AI28, "v") + COUNTIF(E28:AI28, "V"))/D28, 0), IF(((COUNTIF(E28:AI28, "✓") + COUNTIF(E28:AI28, "✔") + COUNTIF(E28:AI28, "v") + COUNTIF(E28:AI28, "V")) + COUNTIF(E28:AI28, "✗") + COUNTIF(E28:AI28, "x") + COUNTIF(E28:AI28, "X"))&gt;0, (COUNTIF(E28:AI28, "✓") + COUNTIF(E28:AI28, "✔") + COUNTIF(E28:AI28, "v") + COUNTIF(E28:AI28, "V"))/((COUNTIF(E28:AI28, "✓") + COUNTIF(E28:AI28, "✔") + COUNTIF(E28:AI28, "v") + COUNTIF(E28:AI28, "V")) + COUNTIF(E28:AI28, "✗") + COUNTIF(E28:AI28, "x") + COUNTIF(E28:AI28, "X")), "")))</f>
        <v/>
      </c>
      <c r="AK28" s="117">
        <f>IF(ISBLANK(B28), "", IF(ISNUMBER(D28), IF(D28&gt;0, (COUNTIF(E28:AI28, "✓") + COUNTIF(E28:AI28, "✔") + COUNTIF(E28:AI28, "v") + COUNTIF(E28:AI28, "V")) &amp; "/" &amp; D28, (COUNTIF(E28:AI28, "✓") + COUNTIF(E28:AI28, "✔") + COUNTIF(E28:AI28, "v") + COUNTIF(E28:AI28, "V")) &amp; "/0"), IF(((COUNTIF(E28:AI28, "✓") + COUNTIF(E28:AI28, "✔") + COUNTIF(E28:AI28, "v") + COUNTIF(E28:AI28, "V")) + COUNTIF(E28:AI28, "✗") + COUNTIF(E28:AI28, "x") + COUNTIF(E28:AI28, "X"))&gt;0, (COUNTIF(E28:AI28, "✓") + COUNTIF(E28:AI28, "✔") + COUNTIF(E28:AI28, "v") + COUNTIF(E28:AI28, "V")) &amp; "/" &amp; ((COUNTIF(E28:AI28, "✓") + COUNTIF(E28:AI28, "✔") + COUNTIF(E28:AI28, "v") + COUNTIF(E28:AI28, "V")) + COUNTIF(E28:AI28, "✗") + COUNTIF(E28:AI28, "x") + COUNTIF(E28:AI28, "X")), "")))</f>
        <v/>
      </c>
      <c r="AL28" s="117">
        <f>IF(ISBLANK(B28), "", IF(AJ28&gt;=0.85, "🔥 Mastered", IF(AJ28&gt;=0.7, "⚡ Consistent", "⚠️ Needs Focus")))</f>
        <v/>
      </c>
      <c r="AM28">
        <f>COUNTIF(E28:AI28, "✓")</f>
        <v/>
      </c>
    </row>
    <row r="29" ht="14.5" customHeight="1">
      <c r="A29" s="111" t="n">
        <v>12</v>
      </c>
      <c r="B29" s="112" t="n"/>
      <c r="C29" s="113" t="n"/>
      <c r="D29" s="113" t="n"/>
      <c r="E29" s="114" t="n"/>
      <c r="F29" s="114" t="n"/>
      <c r="G29" s="114" t="n"/>
      <c r="H29" s="115" t="n"/>
      <c r="I29" s="114" t="n"/>
      <c r="J29" s="114" t="n"/>
      <c r="K29" s="114" t="n"/>
      <c r="L29" s="114" t="n"/>
      <c r="M29" s="114" t="n"/>
      <c r="N29" s="114" t="n"/>
      <c r="O29" s="115" t="n"/>
      <c r="P29" s="114" t="n"/>
      <c r="Q29" s="114" t="n"/>
      <c r="R29" s="114" t="n"/>
      <c r="S29" s="114" t="n"/>
      <c r="T29" s="114" t="n"/>
      <c r="U29" s="114" t="n"/>
      <c r="V29" s="115" t="n"/>
      <c r="W29" s="114" t="n"/>
      <c r="X29" s="114" t="n"/>
      <c r="Y29" s="114" t="n"/>
      <c r="Z29" s="114" t="n"/>
      <c r="AA29" s="114" t="n"/>
      <c r="AB29" s="114" t="n"/>
      <c r="AC29" s="115" t="n"/>
      <c r="AD29" s="114" t="n"/>
      <c r="AE29" s="114" t="n"/>
      <c r="AF29" s="114" t="n"/>
      <c r="AG29" s="114" t="n"/>
      <c r="AH29" s="114" t="n"/>
      <c r="AI29" s="114" t="n"/>
      <c r="AJ29" s="116">
        <f>IF(ISBLANK(B29), "", IF(ISNUMBER(D29), IF(D29&gt;0, (COUNTIF(E29:AI29, "✓") + COUNTIF(E29:AI29, "✔") + COUNTIF(E29:AI29, "v") + COUNTIF(E29:AI29, "V"))/D29, 0), IF(((COUNTIF(E29:AI29, "✓") + COUNTIF(E29:AI29, "✔") + COUNTIF(E29:AI29, "v") + COUNTIF(E29:AI29, "V")) + COUNTIF(E29:AI29, "✗") + COUNTIF(E29:AI29, "x") + COUNTIF(E29:AI29, "X"))&gt;0, (COUNTIF(E29:AI29, "✓") + COUNTIF(E29:AI29, "✔") + COUNTIF(E29:AI29, "v") + COUNTIF(E29:AI29, "V"))/((COUNTIF(E29:AI29, "✓") + COUNTIF(E29:AI29, "✔") + COUNTIF(E29:AI29, "v") + COUNTIF(E29:AI29, "V")) + COUNTIF(E29:AI29, "✗") + COUNTIF(E29:AI29, "x") + COUNTIF(E29:AI29, "X")), "")))</f>
        <v/>
      </c>
      <c r="AK29" s="117">
        <f>IF(ISBLANK(B29), "", IF(ISNUMBER(D29), IF(D29&gt;0, (COUNTIF(E29:AI29, "✓") + COUNTIF(E29:AI29, "✔") + COUNTIF(E29:AI29, "v") + COUNTIF(E29:AI29, "V")) &amp; "/" &amp; D29, (COUNTIF(E29:AI29, "✓") + COUNTIF(E29:AI29, "✔") + COUNTIF(E29:AI29, "v") + COUNTIF(E29:AI29, "V")) &amp; "/0"), IF(((COUNTIF(E29:AI29, "✓") + COUNTIF(E29:AI29, "✔") + COUNTIF(E29:AI29, "v") + COUNTIF(E29:AI29, "V")) + COUNTIF(E29:AI29, "✗") + COUNTIF(E29:AI29, "x") + COUNTIF(E29:AI29, "X"))&gt;0, (COUNTIF(E29:AI29, "✓") + COUNTIF(E29:AI29, "✔") + COUNTIF(E29:AI29, "v") + COUNTIF(E29:AI29, "V")) &amp; "/" &amp; ((COUNTIF(E29:AI29, "✓") + COUNTIF(E29:AI29, "✔") + COUNTIF(E29:AI29, "v") + COUNTIF(E29:AI29, "V")) + COUNTIF(E29:AI29, "✗") + COUNTIF(E29:AI29, "x") + COUNTIF(E29:AI29, "X")), "")))</f>
        <v/>
      </c>
      <c r="AL29" s="117">
        <f>IF(ISBLANK(B29), "", IF(AJ29&gt;=0.85, "🔥 Mastered", IF(AJ29&gt;=0.7, "⚡ Consistent", "⚠️ Needs Focus")))</f>
        <v/>
      </c>
      <c r="AM29">
        <f>COUNTIF(E29:AI29, "✓")</f>
        <v/>
      </c>
    </row>
    <row r="30" ht="14.5" customHeight="1">
      <c r="A30" s="118" t="n">
        <v>13</v>
      </c>
      <c r="B30" s="119" t="n"/>
      <c r="C30" s="120" t="n"/>
      <c r="D30" s="120" t="n"/>
      <c r="E30" s="121" t="n"/>
      <c r="F30" s="121" t="n"/>
      <c r="G30" s="121" t="n"/>
      <c r="H30" s="122" t="n"/>
      <c r="I30" s="121" t="n"/>
      <c r="J30" s="121" t="n"/>
      <c r="K30" s="121" t="n"/>
      <c r="L30" s="121" t="n"/>
      <c r="M30" s="121" t="n"/>
      <c r="N30" s="121" t="n"/>
      <c r="O30" s="122" t="n"/>
      <c r="P30" s="121" t="n"/>
      <c r="Q30" s="121" t="n"/>
      <c r="R30" s="121" t="n"/>
      <c r="S30" s="121" t="n"/>
      <c r="T30" s="121" t="n"/>
      <c r="U30" s="121" t="n"/>
      <c r="V30" s="122" t="n"/>
      <c r="W30" s="121" t="n"/>
      <c r="X30" s="121" t="n"/>
      <c r="Y30" s="121" t="n"/>
      <c r="Z30" s="121" t="n"/>
      <c r="AA30" s="121" t="n"/>
      <c r="AB30" s="121" t="n"/>
      <c r="AC30" s="122" t="n"/>
      <c r="AD30" s="121" t="n"/>
      <c r="AE30" s="121" t="n"/>
      <c r="AF30" s="121" t="n"/>
      <c r="AG30" s="121" t="n"/>
      <c r="AH30" s="121" t="n"/>
      <c r="AI30" s="121" t="n"/>
      <c r="AJ30" s="123">
        <f>IF(ISBLANK(B30), "", IF(ISNUMBER(D30), IF(D30&gt;0, (COUNTIF(E30:AI30, "✓") + COUNTIF(E30:AI30, "✔") + COUNTIF(E30:AI30, "v") + COUNTIF(E30:AI30, "V"))/D30, 0), IF(((COUNTIF(E30:AI30, "✓") + COUNTIF(E30:AI30, "✔") + COUNTIF(E30:AI30, "v") + COUNTIF(E30:AI30, "V")) + COUNTIF(E30:AI30, "✗") + COUNTIF(E30:AI30, "x") + COUNTIF(E30:AI30, "X"))&gt;0, (COUNTIF(E30:AI30, "✓") + COUNTIF(E30:AI30, "✔") + COUNTIF(E30:AI30, "v") + COUNTIF(E30:AI30, "V"))/((COUNTIF(E30:AI30, "✓") + COUNTIF(E30:AI30, "✔") + COUNTIF(E30:AI30, "v") + COUNTIF(E30:AI30, "V")) + COUNTIF(E30:AI30, "✗") + COUNTIF(E30:AI30, "x") + COUNTIF(E30:AI30, "X")), "")))</f>
        <v/>
      </c>
      <c r="AK30" s="124">
        <f>IF(ISBLANK(B30), "", IF(ISNUMBER(D30), IF(D30&gt;0, (COUNTIF(E30:AI30, "✓") + COUNTIF(E30:AI30, "✔") + COUNTIF(E30:AI30, "v") + COUNTIF(E30:AI30, "V")) &amp; "/" &amp; D30, (COUNTIF(E30:AI30, "✓") + COUNTIF(E30:AI30, "✔") + COUNTIF(E30:AI30, "v") + COUNTIF(E30:AI30, "V")) &amp; "/0"), IF(((COUNTIF(E30:AI30, "✓") + COUNTIF(E30:AI30, "✔") + COUNTIF(E30:AI30, "v") + COUNTIF(E30:AI30, "V")) + COUNTIF(E30:AI30, "✗") + COUNTIF(E30:AI30, "x") + COUNTIF(E30:AI30, "X"))&gt;0, (COUNTIF(E30:AI30, "✓") + COUNTIF(E30:AI30, "✔") + COUNTIF(E30:AI30, "v") + COUNTIF(E30:AI30, "V")) &amp; "/" &amp; ((COUNTIF(E30:AI30, "✓") + COUNTIF(E30:AI30, "✔") + COUNTIF(E30:AI30, "v") + COUNTIF(E30:AI30, "V")) + COUNTIF(E30:AI30, "✗") + COUNTIF(E30:AI30, "x") + COUNTIF(E30:AI30, "X")), "")))</f>
        <v/>
      </c>
      <c r="AL30" s="124">
        <f>IF(ISBLANK(B30), "", IF(AJ30&gt;=0.85, "🔥 Mastered", IF(AJ30&gt;=0.7, "⚡ Consistent", "⚠️ Needs Focus")))</f>
        <v/>
      </c>
      <c r="AM30">
        <f>COUNTIF(E30:AI30, "✓")</f>
        <v/>
      </c>
    </row>
    <row r="31" ht="14.5" customHeight="1">
      <c r="A31" s="118" t="n">
        <v>14</v>
      </c>
      <c r="B31" s="119" t="n"/>
      <c r="C31" s="120" t="n"/>
      <c r="D31" s="120" t="n"/>
      <c r="E31" s="121" t="n"/>
      <c r="F31" s="121" t="n"/>
      <c r="G31" s="121" t="n"/>
      <c r="H31" s="122" t="n"/>
      <c r="I31" s="121" t="n"/>
      <c r="J31" s="121" t="n"/>
      <c r="K31" s="121" t="n"/>
      <c r="L31" s="121" t="n"/>
      <c r="M31" s="121" t="n"/>
      <c r="N31" s="121" t="n"/>
      <c r="O31" s="122" t="n"/>
      <c r="P31" s="121" t="n"/>
      <c r="Q31" s="121" t="n"/>
      <c r="R31" s="121" t="n"/>
      <c r="S31" s="121" t="n"/>
      <c r="T31" s="121" t="n"/>
      <c r="U31" s="121" t="n"/>
      <c r="V31" s="122" t="n"/>
      <c r="W31" s="121" t="n"/>
      <c r="X31" s="121" t="n"/>
      <c r="Y31" s="121" t="n"/>
      <c r="Z31" s="121" t="n"/>
      <c r="AA31" s="121" t="n"/>
      <c r="AB31" s="121" t="n"/>
      <c r="AC31" s="122" t="n"/>
      <c r="AD31" s="121" t="n"/>
      <c r="AE31" s="121" t="n"/>
      <c r="AF31" s="121" t="n"/>
      <c r="AG31" s="121" t="n"/>
      <c r="AH31" s="121" t="n"/>
      <c r="AI31" s="121" t="n"/>
      <c r="AJ31" s="123">
        <f>IF(ISBLANK(B31), "", IF(ISNUMBER(D31), IF(D31&gt;0, (COUNTIF(E31:AI31, "✓") + COUNTIF(E31:AI31, "✔") + COUNTIF(E31:AI31, "v") + COUNTIF(E31:AI31, "V"))/D31, 0), IF(((COUNTIF(E31:AI31, "✓") + COUNTIF(E31:AI31, "✔") + COUNTIF(E31:AI31, "v") + COUNTIF(E31:AI31, "V")) + COUNTIF(E31:AI31, "✗") + COUNTIF(E31:AI31, "x") + COUNTIF(E31:AI31, "X"))&gt;0, (COUNTIF(E31:AI31, "✓") + COUNTIF(E31:AI31, "✔") + COUNTIF(E31:AI31, "v") + COUNTIF(E31:AI31, "V"))/((COUNTIF(E31:AI31, "✓") + COUNTIF(E31:AI31, "✔") + COUNTIF(E31:AI31, "v") + COUNTIF(E31:AI31, "V")) + COUNTIF(E31:AI31, "✗") + COUNTIF(E31:AI31, "x") + COUNTIF(E31:AI31, "X")), "")))</f>
        <v/>
      </c>
      <c r="AK31" s="124">
        <f>IF(ISBLANK(B31), "", IF(ISNUMBER(D31), IF(D31&gt;0, (COUNTIF(E31:AI31, "✓") + COUNTIF(E31:AI31, "✔") + COUNTIF(E31:AI31, "v") + COUNTIF(E31:AI31, "V")) &amp; "/" &amp; D31, (COUNTIF(E31:AI31, "✓") + COUNTIF(E31:AI31, "✔") + COUNTIF(E31:AI31, "v") + COUNTIF(E31:AI31, "V")) &amp; "/0"), IF(((COUNTIF(E31:AI31, "✓") + COUNTIF(E31:AI31, "✔") + COUNTIF(E31:AI31, "v") + COUNTIF(E31:AI31, "V")) + COUNTIF(E31:AI31, "✗") + COUNTIF(E31:AI31, "x") + COUNTIF(E31:AI31, "X"))&gt;0, (COUNTIF(E31:AI31, "✓") + COUNTIF(E31:AI31, "✔") + COUNTIF(E31:AI31, "v") + COUNTIF(E31:AI31, "V")) &amp; "/" &amp; ((COUNTIF(E31:AI31, "✓") + COUNTIF(E31:AI31, "✔") + COUNTIF(E31:AI31, "v") + COUNTIF(E31:AI31, "V")) + COUNTIF(E31:AI31, "✗") + COUNTIF(E31:AI31, "x") + COUNTIF(E31:AI31, "X")), "")))</f>
        <v/>
      </c>
      <c r="AL31" s="124">
        <f>IF(ISBLANK(B31), "", IF(AJ31&gt;=0.85, "🔥 Mastered", IF(AJ31&gt;=0.7, "⚡ Consistent", "⚠️ Needs Focus")))</f>
        <v/>
      </c>
      <c r="AM31">
        <f>COUNTIF(E31:AI31, "✓")</f>
        <v/>
      </c>
    </row>
    <row r="32" ht="14.5" customHeight="1">
      <c r="A32" s="118" t="n">
        <v>15</v>
      </c>
      <c r="B32" s="119" t="n"/>
      <c r="C32" s="120" t="n"/>
      <c r="D32" s="120" t="n"/>
      <c r="E32" s="121" t="n"/>
      <c r="F32" s="121" t="n"/>
      <c r="G32" s="121" t="n"/>
      <c r="H32" s="122" t="n"/>
      <c r="I32" s="121" t="n"/>
      <c r="J32" s="121" t="n"/>
      <c r="K32" s="121" t="n"/>
      <c r="L32" s="121" t="n"/>
      <c r="M32" s="121" t="n"/>
      <c r="N32" s="121" t="n"/>
      <c r="O32" s="122" t="n"/>
      <c r="P32" s="121" t="n"/>
      <c r="Q32" s="121" t="n"/>
      <c r="R32" s="121" t="n"/>
      <c r="S32" s="121" t="n"/>
      <c r="T32" s="121" t="n"/>
      <c r="U32" s="121" t="n"/>
      <c r="V32" s="122" t="n"/>
      <c r="W32" s="121" t="n"/>
      <c r="X32" s="121" t="n"/>
      <c r="Y32" s="121" t="n"/>
      <c r="Z32" s="121" t="n"/>
      <c r="AA32" s="121" t="n"/>
      <c r="AB32" s="121" t="n"/>
      <c r="AC32" s="122" t="n"/>
      <c r="AD32" s="121" t="n"/>
      <c r="AE32" s="121" t="n"/>
      <c r="AF32" s="121" t="n"/>
      <c r="AG32" s="121" t="n"/>
      <c r="AH32" s="121" t="n"/>
      <c r="AI32" s="121" t="n"/>
      <c r="AJ32" s="123">
        <f>IF(ISBLANK(B32), "", IF(ISNUMBER(D32), IF(D32&gt;0, (COUNTIF(E32:AI32, "✓") + COUNTIF(E32:AI32, "✔") + COUNTIF(E32:AI32, "v") + COUNTIF(E32:AI32, "V"))/D32, 0), IF(((COUNTIF(E32:AI32, "✓") + COUNTIF(E32:AI32, "✔") + COUNTIF(E32:AI32, "v") + COUNTIF(E32:AI32, "V")) + COUNTIF(E32:AI32, "✗") + COUNTIF(E32:AI32, "x") + COUNTIF(E32:AI32, "X"))&gt;0, (COUNTIF(E32:AI32, "✓") + COUNTIF(E32:AI32, "✔") + COUNTIF(E32:AI32, "v") + COUNTIF(E32:AI32, "V"))/((COUNTIF(E32:AI32, "✓") + COUNTIF(E32:AI32, "✔") + COUNTIF(E32:AI32, "v") + COUNTIF(E32:AI32, "V")) + COUNTIF(E32:AI32, "✗") + COUNTIF(E32:AI32, "x") + COUNTIF(E32:AI32, "X")), "")))</f>
        <v/>
      </c>
      <c r="AK32" s="124">
        <f>IF(ISBLANK(B32), "", IF(ISNUMBER(D32), IF(D32&gt;0, (COUNTIF(E32:AI32, "✓") + COUNTIF(E32:AI32, "✔") + COUNTIF(E32:AI32, "v") + COUNTIF(E32:AI32, "V")) &amp; "/" &amp; D32, (COUNTIF(E32:AI32, "✓") + COUNTIF(E32:AI32, "✔") + COUNTIF(E32:AI32, "v") + COUNTIF(E32:AI32, "V")) &amp; "/0"), IF(((COUNTIF(E32:AI32, "✓") + COUNTIF(E32:AI32, "✔") + COUNTIF(E32:AI32, "v") + COUNTIF(E32:AI32, "V")) + COUNTIF(E32:AI32, "✗") + COUNTIF(E32:AI32, "x") + COUNTIF(E32:AI32, "X"))&gt;0, (COUNTIF(E32:AI32, "✓") + COUNTIF(E32:AI32, "✔") + COUNTIF(E32:AI32, "v") + COUNTIF(E32:AI32, "V")) &amp; "/" &amp; ((COUNTIF(E32:AI32, "✓") + COUNTIF(E32:AI32, "✔") + COUNTIF(E32:AI32, "v") + COUNTIF(E32:AI32, "V")) + COUNTIF(E32:AI32, "✗") + COUNTIF(E32:AI32, "x") + COUNTIF(E32:AI32, "X")), "")))</f>
        <v/>
      </c>
      <c r="AL32" s="124">
        <f>IF(ISBLANK(B32), "", IF(AJ32&gt;=0.85, "🔥 Mastered", IF(AJ32&gt;=0.7, "⚡ Consistent", "⚠️ Needs Focus")))</f>
        <v/>
      </c>
      <c r="AM32">
        <f>COUNTIF(E32:AI32, "✓")</f>
        <v/>
      </c>
    </row>
    <row r="33" ht="14.5" customHeight="1">
      <c r="A33" s="118" t="n">
        <v>16</v>
      </c>
      <c r="B33" s="119" t="n"/>
      <c r="C33" s="120" t="n"/>
      <c r="D33" s="120" t="n"/>
      <c r="E33" s="121" t="n"/>
      <c r="F33" s="121" t="n"/>
      <c r="G33" s="121" t="n"/>
      <c r="H33" s="122" t="n"/>
      <c r="I33" s="121" t="n"/>
      <c r="J33" s="121" t="n"/>
      <c r="K33" s="121" t="n"/>
      <c r="L33" s="121" t="n"/>
      <c r="M33" s="121" t="n"/>
      <c r="N33" s="121" t="n"/>
      <c r="O33" s="122" t="n"/>
      <c r="P33" s="121" t="n"/>
      <c r="Q33" s="121" t="n"/>
      <c r="R33" s="121" t="n"/>
      <c r="S33" s="121" t="n"/>
      <c r="T33" s="121" t="n"/>
      <c r="U33" s="121" t="n"/>
      <c r="V33" s="122" t="n"/>
      <c r="W33" s="121" t="n"/>
      <c r="X33" s="121" t="n"/>
      <c r="Y33" s="121" t="n"/>
      <c r="Z33" s="121" t="n"/>
      <c r="AA33" s="121" t="n"/>
      <c r="AB33" s="121" t="n"/>
      <c r="AC33" s="122" t="n"/>
      <c r="AD33" s="121" t="n"/>
      <c r="AE33" s="121" t="n"/>
      <c r="AF33" s="121" t="n"/>
      <c r="AG33" s="121" t="n"/>
      <c r="AH33" s="121" t="n"/>
      <c r="AI33" s="121" t="n"/>
      <c r="AJ33" s="123">
        <f>IF(ISBLANK(B33), "", IF(ISNUMBER(D33), IF(D33&gt;0, (COUNTIF(E33:AI33, "✓") + COUNTIF(E33:AI33, "✔") + COUNTIF(E33:AI33, "v") + COUNTIF(E33:AI33, "V"))/D33, 0), IF(((COUNTIF(E33:AI33, "✓") + COUNTIF(E33:AI33, "✔") + COUNTIF(E33:AI33, "v") + COUNTIF(E33:AI33, "V")) + COUNTIF(E33:AI33, "✗") + COUNTIF(E33:AI33, "x") + COUNTIF(E33:AI33, "X"))&gt;0, (COUNTIF(E33:AI33, "✓") + COUNTIF(E33:AI33, "✔") + COUNTIF(E33:AI33, "v") + COUNTIF(E33:AI33, "V"))/((COUNTIF(E33:AI33, "✓") + COUNTIF(E33:AI33, "✔") + COUNTIF(E33:AI33, "v") + COUNTIF(E33:AI33, "V")) + COUNTIF(E33:AI33, "✗") + COUNTIF(E33:AI33, "x") + COUNTIF(E33:AI33, "X")), "")))</f>
        <v/>
      </c>
      <c r="AK33" s="124">
        <f>IF(ISBLANK(B33), "", IF(ISNUMBER(D33), IF(D33&gt;0, (COUNTIF(E33:AI33, "✓") + COUNTIF(E33:AI33, "✔") + COUNTIF(E33:AI33, "v") + COUNTIF(E33:AI33, "V")) &amp; "/" &amp; D33, (COUNTIF(E33:AI33, "✓") + COUNTIF(E33:AI33, "✔") + COUNTIF(E33:AI33, "v") + COUNTIF(E33:AI33, "V")) &amp; "/0"), IF(((COUNTIF(E33:AI33, "✓") + COUNTIF(E33:AI33, "✔") + COUNTIF(E33:AI33, "v") + COUNTIF(E33:AI33, "V")) + COUNTIF(E33:AI33, "✗") + COUNTIF(E33:AI33, "x") + COUNTIF(E33:AI33, "X"))&gt;0, (COUNTIF(E33:AI33, "✓") + COUNTIF(E33:AI33, "✔") + COUNTIF(E33:AI33, "v") + COUNTIF(E33:AI33, "V")) &amp; "/" &amp; ((COUNTIF(E33:AI33, "✓") + COUNTIF(E33:AI33, "✔") + COUNTIF(E33:AI33, "v") + COUNTIF(E33:AI33, "V")) + COUNTIF(E33:AI33, "✗") + COUNTIF(E33:AI33, "x") + COUNTIF(E33:AI33, "X")), "")))</f>
        <v/>
      </c>
      <c r="AL33" s="124">
        <f>IF(ISBLANK(B33), "", IF(AJ33&gt;=0.85, "🔥 Mastered", IF(AJ33&gt;=0.7, "⚡ Consistent", "⚠️ Needs Focus")))</f>
        <v/>
      </c>
      <c r="AM33">
        <f>COUNTIF(E33:AI33, "✓")</f>
        <v/>
      </c>
    </row>
    <row r="34" ht="14.5" customHeight="1">
      <c r="A34" s="125" t="n">
        <v>17</v>
      </c>
      <c r="B34" s="126" t="n"/>
      <c r="C34" s="127" t="n"/>
      <c r="D34" s="127" t="n"/>
      <c r="E34" s="128" t="n"/>
      <c r="F34" s="128" t="n"/>
      <c r="G34" s="128" t="n"/>
      <c r="H34" s="129" t="n"/>
      <c r="I34" s="128" t="n"/>
      <c r="J34" s="128" t="n"/>
      <c r="K34" s="128" t="n"/>
      <c r="L34" s="128" t="n"/>
      <c r="M34" s="128" t="n"/>
      <c r="N34" s="128" t="n"/>
      <c r="O34" s="129" t="n"/>
      <c r="P34" s="128" t="n"/>
      <c r="Q34" s="128" t="n"/>
      <c r="R34" s="128" t="n"/>
      <c r="S34" s="128" t="n"/>
      <c r="T34" s="128" t="n"/>
      <c r="U34" s="128" t="n"/>
      <c r="V34" s="129" t="n"/>
      <c r="W34" s="128" t="n"/>
      <c r="X34" s="128" t="n"/>
      <c r="Y34" s="128" t="n"/>
      <c r="Z34" s="128" t="n"/>
      <c r="AA34" s="128" t="n"/>
      <c r="AB34" s="128" t="n"/>
      <c r="AC34" s="129" t="n"/>
      <c r="AD34" s="128" t="n"/>
      <c r="AE34" s="128" t="n"/>
      <c r="AF34" s="128" t="n"/>
      <c r="AG34" s="128" t="n"/>
      <c r="AH34" s="128" t="n"/>
      <c r="AI34" s="128" t="n"/>
      <c r="AJ34" s="130">
        <f>IF(ISBLANK(B34), "", IF(ISNUMBER(D34), IF(D34&gt;0, (COUNTIF(E34:AI34, "✓") + COUNTIF(E34:AI34, "✔") + COUNTIF(E34:AI34, "v") + COUNTIF(E34:AI34, "V"))/D34, 0), IF(((COUNTIF(E34:AI34, "✓") + COUNTIF(E34:AI34, "✔") + COUNTIF(E34:AI34, "v") + COUNTIF(E34:AI34, "V")) + COUNTIF(E34:AI34, "✗") + COUNTIF(E34:AI34, "x") + COUNTIF(E34:AI34, "X"))&gt;0, (COUNTIF(E34:AI34, "✓") + COUNTIF(E34:AI34, "✔") + COUNTIF(E34:AI34, "v") + COUNTIF(E34:AI34, "V"))/((COUNTIF(E34:AI34, "✓") + COUNTIF(E34:AI34, "✔") + COUNTIF(E34:AI34, "v") + COUNTIF(E34:AI34, "V")) + COUNTIF(E34:AI34, "✗") + COUNTIF(E34:AI34, "x") + COUNTIF(E34:AI34, "X")), "")))</f>
        <v/>
      </c>
      <c r="AK34" s="131">
        <f>IF(ISBLANK(B34), "", IF(ISNUMBER(D34), IF(D34&gt;0, (COUNTIF(E34:AI34, "✓") + COUNTIF(E34:AI34, "✔") + COUNTIF(E34:AI34, "v") + COUNTIF(E34:AI34, "V")) &amp; "/" &amp; D34, (COUNTIF(E34:AI34, "✓") + COUNTIF(E34:AI34, "✔") + COUNTIF(E34:AI34, "v") + COUNTIF(E34:AI34, "V")) &amp; "/0"), IF(((COUNTIF(E34:AI34, "✓") + COUNTIF(E34:AI34, "✔") + COUNTIF(E34:AI34, "v") + COUNTIF(E34:AI34, "V")) + COUNTIF(E34:AI34, "✗") + COUNTIF(E34:AI34, "x") + COUNTIF(E34:AI34, "X"))&gt;0, (COUNTIF(E34:AI34, "✓") + COUNTIF(E34:AI34, "✔") + COUNTIF(E34:AI34, "v") + COUNTIF(E34:AI34, "V")) &amp; "/" &amp; ((COUNTIF(E34:AI34, "✓") + COUNTIF(E34:AI34, "✔") + COUNTIF(E34:AI34, "v") + COUNTIF(E34:AI34, "V")) + COUNTIF(E34:AI34, "✗") + COUNTIF(E34:AI34, "x") + COUNTIF(E34:AI34, "X")), "")))</f>
        <v/>
      </c>
      <c r="AL34" s="131">
        <f>IF(ISBLANK(B34), "", IF(AJ34&gt;=0.85, "🔥 Mastered", IF(AJ34&gt;=0.7, "⚡ Consistent", "⚠️ Needs Focus")))</f>
        <v/>
      </c>
      <c r="AM34">
        <f>COUNTIF(E34:AI34, "✓")</f>
        <v/>
      </c>
    </row>
    <row r="35" ht="14.5" customHeight="1">
      <c r="A35" s="125" t="n">
        <v>18</v>
      </c>
      <c r="B35" s="126" t="n"/>
      <c r="C35" s="127" t="n"/>
      <c r="D35" s="127" t="n"/>
      <c r="E35" s="128" t="n"/>
      <c r="F35" s="128" t="n"/>
      <c r="G35" s="128" t="n"/>
      <c r="H35" s="129" t="n"/>
      <c r="I35" s="128" t="n"/>
      <c r="J35" s="128" t="n"/>
      <c r="K35" s="128" t="n"/>
      <c r="L35" s="128" t="n"/>
      <c r="M35" s="128" t="n"/>
      <c r="N35" s="128" t="n"/>
      <c r="O35" s="129" t="n"/>
      <c r="P35" s="128" t="n"/>
      <c r="Q35" s="128" t="n"/>
      <c r="R35" s="128" t="n"/>
      <c r="S35" s="128" t="n"/>
      <c r="T35" s="128" t="n"/>
      <c r="U35" s="128" t="n"/>
      <c r="V35" s="129" t="n"/>
      <c r="W35" s="128" t="n"/>
      <c r="X35" s="128" t="n"/>
      <c r="Y35" s="128" t="n"/>
      <c r="Z35" s="128" t="n"/>
      <c r="AA35" s="128" t="n"/>
      <c r="AB35" s="128" t="n"/>
      <c r="AC35" s="129" t="n"/>
      <c r="AD35" s="128" t="n"/>
      <c r="AE35" s="128" t="n"/>
      <c r="AF35" s="128" t="n"/>
      <c r="AG35" s="128" t="n"/>
      <c r="AH35" s="128" t="n"/>
      <c r="AI35" s="128" t="n"/>
      <c r="AJ35" s="130">
        <f>IF(ISBLANK(B35), "", IF(ISNUMBER(D35), IF(D35&gt;0, (COUNTIF(E35:AI35, "✓") + COUNTIF(E35:AI35, "✔") + COUNTIF(E35:AI35, "v") + COUNTIF(E35:AI35, "V"))/D35, 0), IF(((COUNTIF(E35:AI35, "✓") + COUNTIF(E35:AI35, "✔") + COUNTIF(E35:AI35, "v") + COUNTIF(E35:AI35, "V")) + COUNTIF(E35:AI35, "✗") + COUNTIF(E35:AI35, "x") + COUNTIF(E35:AI35, "X"))&gt;0, (COUNTIF(E35:AI35, "✓") + COUNTIF(E35:AI35, "✔") + COUNTIF(E35:AI35, "v") + COUNTIF(E35:AI35, "V"))/((COUNTIF(E35:AI35, "✓") + COUNTIF(E35:AI35, "✔") + COUNTIF(E35:AI35, "v") + COUNTIF(E35:AI35, "V")) + COUNTIF(E35:AI35, "✗") + COUNTIF(E35:AI35, "x") + COUNTIF(E35:AI35, "X")), "")))</f>
        <v/>
      </c>
      <c r="AK35" s="131">
        <f>IF(ISBLANK(B35), "", IF(ISNUMBER(D35), IF(D35&gt;0, (COUNTIF(E35:AI35, "✓") + COUNTIF(E35:AI35, "✔") + COUNTIF(E35:AI35, "v") + COUNTIF(E35:AI35, "V")) &amp; "/" &amp; D35, (COUNTIF(E35:AI35, "✓") + COUNTIF(E35:AI35, "✔") + COUNTIF(E35:AI35, "v") + COUNTIF(E35:AI35, "V")) &amp; "/0"), IF(((COUNTIF(E35:AI35, "✓") + COUNTIF(E35:AI35, "✔") + COUNTIF(E35:AI35, "v") + COUNTIF(E35:AI35, "V")) + COUNTIF(E35:AI35, "✗") + COUNTIF(E35:AI35, "x") + COUNTIF(E35:AI35, "X"))&gt;0, (COUNTIF(E35:AI35, "✓") + COUNTIF(E35:AI35, "✔") + COUNTIF(E35:AI35, "v") + COUNTIF(E35:AI35, "V")) &amp; "/" &amp; ((COUNTIF(E35:AI35, "✓") + COUNTIF(E35:AI35, "✔") + COUNTIF(E35:AI35, "v") + COUNTIF(E35:AI35, "V")) + COUNTIF(E35:AI35, "✗") + COUNTIF(E35:AI35, "x") + COUNTIF(E35:AI35, "X")), "")))</f>
        <v/>
      </c>
      <c r="AL35" s="131">
        <f>IF(ISBLANK(B35), "", IF(AJ35&gt;=0.85, "🔥 Mastered", IF(AJ35&gt;=0.7, "⚡ Consistent", "⚠️ Needs Focus")))</f>
        <v/>
      </c>
      <c r="AM35">
        <f>COUNTIF(E35:AI35, "✓")</f>
        <v/>
      </c>
    </row>
    <row r="36" ht="14.5" customHeight="1">
      <c r="A36" s="125" t="n">
        <v>19</v>
      </c>
      <c r="B36" s="126" t="n"/>
      <c r="C36" s="127" t="n"/>
      <c r="D36" s="127" t="n"/>
      <c r="E36" s="128" t="n"/>
      <c r="F36" s="128" t="n"/>
      <c r="G36" s="128" t="n"/>
      <c r="H36" s="129" t="n"/>
      <c r="I36" s="128" t="n"/>
      <c r="J36" s="128" t="n"/>
      <c r="K36" s="128" t="n"/>
      <c r="L36" s="128" t="n"/>
      <c r="M36" s="128" t="n"/>
      <c r="N36" s="128" t="n"/>
      <c r="O36" s="129" t="n"/>
      <c r="P36" s="128" t="n"/>
      <c r="Q36" s="128" t="n"/>
      <c r="R36" s="128" t="n"/>
      <c r="S36" s="128" t="n"/>
      <c r="T36" s="128" t="n"/>
      <c r="U36" s="128" t="n"/>
      <c r="V36" s="129" t="n"/>
      <c r="W36" s="128" t="n"/>
      <c r="X36" s="128" t="n"/>
      <c r="Y36" s="128" t="n"/>
      <c r="Z36" s="128" t="n"/>
      <c r="AA36" s="128" t="n"/>
      <c r="AB36" s="128" t="n"/>
      <c r="AC36" s="129" t="n"/>
      <c r="AD36" s="128" t="n"/>
      <c r="AE36" s="128" t="n"/>
      <c r="AF36" s="128" t="n"/>
      <c r="AG36" s="128" t="n"/>
      <c r="AH36" s="128" t="n"/>
      <c r="AI36" s="128" t="n"/>
      <c r="AJ36" s="130">
        <f>IF(ISBLANK(B36), "", IF(ISNUMBER(D36), IF(D36&gt;0, (COUNTIF(E36:AI36, "✓") + COUNTIF(E36:AI36, "✔") + COUNTIF(E36:AI36, "v") + COUNTIF(E36:AI36, "V"))/D36, 0), IF(((COUNTIF(E36:AI36, "✓") + COUNTIF(E36:AI36, "✔") + COUNTIF(E36:AI36, "v") + COUNTIF(E36:AI36, "V")) + COUNTIF(E36:AI36, "✗") + COUNTIF(E36:AI36, "x") + COUNTIF(E36:AI36, "X"))&gt;0, (COUNTIF(E36:AI36, "✓") + COUNTIF(E36:AI36, "✔") + COUNTIF(E36:AI36, "v") + COUNTIF(E36:AI36, "V"))/((COUNTIF(E36:AI36, "✓") + COUNTIF(E36:AI36, "✔") + COUNTIF(E36:AI36, "v") + COUNTIF(E36:AI36, "V")) + COUNTIF(E36:AI36, "✗") + COUNTIF(E36:AI36, "x") + COUNTIF(E36:AI36, "X")), "")))</f>
        <v/>
      </c>
      <c r="AK36" s="131">
        <f>IF(ISBLANK(B36), "", IF(ISNUMBER(D36), IF(D36&gt;0, (COUNTIF(E36:AI36, "✓") + COUNTIF(E36:AI36, "✔") + COUNTIF(E36:AI36, "v") + COUNTIF(E36:AI36, "V")) &amp; "/" &amp; D36, (COUNTIF(E36:AI36, "✓") + COUNTIF(E36:AI36, "✔") + COUNTIF(E36:AI36, "v") + COUNTIF(E36:AI36, "V")) &amp; "/0"), IF(((COUNTIF(E36:AI36, "✓") + COUNTIF(E36:AI36, "✔") + COUNTIF(E36:AI36, "v") + COUNTIF(E36:AI36, "V")) + COUNTIF(E36:AI36, "✗") + COUNTIF(E36:AI36, "x") + COUNTIF(E36:AI36, "X"))&gt;0, (COUNTIF(E36:AI36, "✓") + COUNTIF(E36:AI36, "✔") + COUNTIF(E36:AI36, "v") + COUNTIF(E36:AI36, "V")) &amp; "/" &amp; ((COUNTIF(E36:AI36, "✓") + COUNTIF(E36:AI36, "✔") + COUNTIF(E36:AI36, "v") + COUNTIF(E36:AI36, "V")) + COUNTIF(E36:AI36, "✗") + COUNTIF(E36:AI36, "x") + COUNTIF(E36:AI36, "X")), "")))</f>
        <v/>
      </c>
      <c r="AL36" s="131">
        <f>IF(ISBLANK(B36), "", IF(AJ36&gt;=0.85, "🔥 Mastered", IF(AJ36&gt;=0.7, "⚡ Consistent", "⚠️ Needs Focus")))</f>
        <v/>
      </c>
      <c r="AM36">
        <f>COUNTIF(E36:AI36, "✓")</f>
        <v/>
      </c>
    </row>
    <row r="37" ht="14.5" customHeight="1">
      <c r="A37" s="125" t="n">
        <v>20</v>
      </c>
      <c r="B37" s="126" t="n"/>
      <c r="C37" s="127" t="n"/>
      <c r="D37" s="127" t="n"/>
      <c r="E37" s="128" t="n"/>
      <c r="F37" s="128" t="n"/>
      <c r="G37" s="128" t="n"/>
      <c r="H37" s="129" t="n"/>
      <c r="I37" s="128" t="n"/>
      <c r="J37" s="128" t="n"/>
      <c r="K37" s="128" t="n"/>
      <c r="L37" s="128" t="n"/>
      <c r="M37" s="128" t="n"/>
      <c r="N37" s="128" t="n"/>
      <c r="O37" s="129" t="n"/>
      <c r="P37" s="128" t="n"/>
      <c r="Q37" s="128" t="n"/>
      <c r="R37" s="128" t="n"/>
      <c r="S37" s="128" t="n"/>
      <c r="T37" s="128" t="n"/>
      <c r="U37" s="128" t="n"/>
      <c r="V37" s="129" t="n"/>
      <c r="W37" s="128" t="n"/>
      <c r="X37" s="128" t="n"/>
      <c r="Y37" s="128" t="n"/>
      <c r="Z37" s="128" t="n"/>
      <c r="AA37" s="128" t="n"/>
      <c r="AB37" s="128" t="n"/>
      <c r="AC37" s="129" t="n"/>
      <c r="AD37" s="128" t="n"/>
      <c r="AE37" s="128" t="n"/>
      <c r="AF37" s="128" t="n"/>
      <c r="AG37" s="128" t="n"/>
      <c r="AH37" s="128" t="n"/>
      <c r="AI37" s="128" t="n"/>
      <c r="AJ37" s="130">
        <f>IF(ISBLANK(B37), "", IF(ISNUMBER(D37), IF(D37&gt;0, (COUNTIF(E37:AI37, "✓") + COUNTIF(E37:AI37, "✔") + COUNTIF(E37:AI37, "v") + COUNTIF(E37:AI37, "V"))/D37, 0), IF(((COUNTIF(E37:AI37, "✓") + COUNTIF(E37:AI37, "✔") + COUNTIF(E37:AI37, "v") + COUNTIF(E37:AI37, "V")) + COUNTIF(E37:AI37, "✗") + COUNTIF(E37:AI37, "x") + COUNTIF(E37:AI37, "X"))&gt;0, (COUNTIF(E37:AI37, "✓") + COUNTIF(E37:AI37, "✔") + COUNTIF(E37:AI37, "v") + COUNTIF(E37:AI37, "V"))/((COUNTIF(E37:AI37, "✓") + COUNTIF(E37:AI37, "✔") + COUNTIF(E37:AI37, "v") + COUNTIF(E37:AI37, "V")) + COUNTIF(E37:AI37, "✗") + COUNTIF(E37:AI37, "x") + COUNTIF(E37:AI37, "X")), "")))</f>
        <v/>
      </c>
      <c r="AK37" s="131">
        <f>IF(ISBLANK(B37), "", IF(ISNUMBER(D37), IF(D37&gt;0, (COUNTIF(E37:AI37, "✓") + COUNTIF(E37:AI37, "✔") + COUNTIF(E37:AI37, "v") + COUNTIF(E37:AI37, "V")) &amp; "/" &amp; D37, (COUNTIF(E37:AI37, "✓") + COUNTIF(E37:AI37, "✔") + COUNTIF(E37:AI37, "v") + COUNTIF(E37:AI37, "V")) &amp; "/0"), IF(((COUNTIF(E37:AI37, "✓") + COUNTIF(E37:AI37, "✔") + COUNTIF(E37:AI37, "v") + COUNTIF(E37:AI37, "V")) + COUNTIF(E37:AI37, "✗") + COUNTIF(E37:AI37, "x") + COUNTIF(E37:AI37, "X"))&gt;0, (COUNTIF(E37:AI37, "✓") + COUNTIF(E37:AI37, "✔") + COUNTIF(E37:AI37, "v") + COUNTIF(E37:AI37, "V")) &amp; "/" &amp; ((COUNTIF(E37:AI37, "✓") + COUNTIF(E37:AI37, "✔") + COUNTIF(E37:AI37, "v") + COUNTIF(E37:AI37, "V")) + COUNTIF(E37:AI37, "✗") + COUNTIF(E37:AI37, "x") + COUNTIF(E37:AI37, "X")), "")))</f>
        <v/>
      </c>
      <c r="AL37" s="131">
        <f>IF(ISBLANK(B37), "", IF(AJ37&gt;=0.85, "🔥 Mastered", IF(AJ37&gt;=0.7, "⚡ Consistent", "⚠️ Needs Focus")))</f>
        <v/>
      </c>
      <c r="AM37">
        <f>COUNTIF(E37:AI37, "✓")</f>
        <v/>
      </c>
    </row>
    <row r="38" ht="18" customHeight="1">
      <c r="A38" s="132" t="inlineStr">
        <is>
          <t>DAILY TOTAL SCORE</t>
        </is>
      </c>
      <c r="B38" s="54" t="n"/>
      <c r="C38" s="54" t="n"/>
      <c r="D38" s="54" t="n"/>
      <c r="E38" s="33">
        <f>IF(((COUNTIF(E18:E37, "✓") + COUNTIF(E18:E37, "✔") + COUNTIF(E18:E37, "v") + COUNTIF(E18:E37, "V")) + COUNTIF(E18:E37, "✗") + COUNTIF(E18:E37, "x") + COUNTIF(E18:E37, "X")) &gt; 0, (COUNTIF(E18:E37, "✓") + COUNTIF(E18:E37, "✔") + COUNTIF(E18:E37, "v") + COUNTIF(E18:E37, "V")) &amp; "/" &amp; ((COUNTIF(E18:E37, "✓") + COUNTIF(E18:E37, "✔") + COUNTIF(E18:E37, "v") + COUNTIF(E18:E37, "V")) + COUNTIF(E18:E37, "✗") + COUNTIF(E18:E37, "x") + COUNTIF(E18:E37, "X")), "")</f>
        <v/>
      </c>
      <c r="F38" s="33">
        <f>IF(((COUNTIF(F18:F37, "✓") + COUNTIF(F18:F37, "✔") + COUNTIF(F18:F37, "v") + COUNTIF(F18:F37, "V")) + COUNTIF(F18:F37, "✗") + COUNTIF(F18:F37, "x") + COUNTIF(F18:F37, "X")) &gt; 0, (COUNTIF(F18:F37, "✓") + COUNTIF(F18:F37, "✔") + COUNTIF(F18:F37, "v") + COUNTIF(F18:F37, "V")) &amp; "/" &amp; ((COUNTIF(F18:F37, "✓") + COUNTIF(F18:F37, "✔") + COUNTIF(F18:F37, "v") + COUNTIF(F18:F37, "V")) + COUNTIF(F18:F37, "✗") + COUNTIF(F18:F37, "x") + COUNTIF(F18:F37, "X")), "")</f>
        <v/>
      </c>
      <c r="G38" s="33">
        <f>IF(((COUNTIF(G18:G37, "✓") + COUNTIF(G18:G37, "✔") + COUNTIF(G18:G37, "v") + COUNTIF(G18:G37, "V")) + COUNTIF(G18:G37, "✗") + COUNTIF(G18:G37, "x") + COUNTIF(G18:G37, "X")) &gt; 0, (COUNTIF(G18:G37, "✓") + COUNTIF(G18:G37, "✔") + COUNTIF(G18:G37, "v") + COUNTIF(G18:G37, "V")) &amp; "/" &amp; ((COUNTIF(G18:G37, "✓") + COUNTIF(G18:G37, "✔") + COUNTIF(G18:G37, "v") + COUNTIF(G18:G37, "V")) + COUNTIF(G18:G37, "✗") + COUNTIF(G18:G37, "x") + COUNTIF(G18:G37, "X")), "")</f>
        <v/>
      </c>
      <c r="H38" s="33">
        <f>IF(((COUNTIF(H18:H37, "✓") + COUNTIF(H18:H37, "✔") + COUNTIF(H18:H37, "v") + COUNTIF(H18:H37, "V")) + COUNTIF(H18:H37, "✗") + COUNTIF(H18:H37, "x") + COUNTIF(H18:H37, "X")) &gt; 0, (COUNTIF(H18:H37, "✓") + COUNTIF(H18:H37, "✔") + COUNTIF(H18:H37, "v") + COUNTIF(H18:H37, "V")) &amp; "/" &amp; ((COUNTIF(H18:H37, "✓") + COUNTIF(H18:H37, "✔") + COUNTIF(H18:H37, "v") + COUNTIF(H18:H37, "V")) + COUNTIF(H18:H37, "✗") + COUNTIF(H18:H37, "x") + COUNTIF(H18:H37, "X")), "")</f>
        <v/>
      </c>
      <c r="I38" s="33">
        <f>IF(((COUNTIF(I18:I37, "✓") + COUNTIF(I18:I37, "✔") + COUNTIF(I18:I37, "v") + COUNTIF(I18:I37, "V")) + COUNTIF(I18:I37, "✗") + COUNTIF(I18:I37, "x") + COUNTIF(I18:I37, "X")) &gt; 0, (COUNTIF(I18:I37, "✓") + COUNTIF(I18:I37, "✔") + COUNTIF(I18:I37, "v") + COUNTIF(I18:I37, "V")) &amp; "/" &amp; ((COUNTIF(I18:I37, "✓") + COUNTIF(I18:I37, "✔") + COUNTIF(I18:I37, "v") + COUNTIF(I18:I37, "V")) + COUNTIF(I18:I37, "✗") + COUNTIF(I18:I37, "x") + COUNTIF(I18:I37, "X")), "")</f>
        <v/>
      </c>
      <c r="J38" s="33">
        <f>IF(((COUNTIF(J18:J37, "✓") + COUNTIF(J18:J37, "✔") + COUNTIF(J18:J37, "v") + COUNTIF(J18:J37, "V")) + COUNTIF(J18:J37, "✗") + COUNTIF(J18:J37, "x") + COUNTIF(J18:J37, "X")) &gt; 0, (COUNTIF(J18:J37, "✓") + COUNTIF(J18:J37, "✔") + COUNTIF(J18:J37, "v") + COUNTIF(J18:J37, "V")) &amp; "/" &amp; ((COUNTIF(J18:J37, "✓") + COUNTIF(J18:J37, "✔") + COUNTIF(J18:J37, "v") + COUNTIF(J18:J37, "V")) + COUNTIF(J18:J37, "✗") + COUNTIF(J18:J37, "x") + COUNTIF(J18:J37, "X")), "")</f>
        <v/>
      </c>
      <c r="K38" s="33">
        <f>IF(((COUNTIF(K18:K37, "✓") + COUNTIF(K18:K37, "✔") + COUNTIF(K18:K37, "v") + COUNTIF(K18:K37, "V")) + COUNTIF(K18:K37, "✗") + COUNTIF(K18:K37, "x") + COUNTIF(K18:K37, "X")) &gt; 0, (COUNTIF(K18:K37, "✓") + COUNTIF(K18:K37, "✔") + COUNTIF(K18:K37, "v") + COUNTIF(K18:K37, "V")) &amp; "/" &amp; ((COUNTIF(K18:K37, "✓") + COUNTIF(K18:K37, "✔") + COUNTIF(K18:K37, "v") + COUNTIF(K18:K37, "V")) + COUNTIF(K18:K37, "✗") + COUNTIF(K18:K37, "x") + COUNTIF(K18:K37, "X")), "")</f>
        <v/>
      </c>
      <c r="L38" s="33">
        <f>IF(((COUNTIF(L18:L37, "✓") + COUNTIF(L18:L37, "✔") + COUNTIF(L18:L37, "v") + COUNTIF(L18:L37, "V")) + COUNTIF(L18:L37, "✗") + COUNTIF(L18:L37, "x") + COUNTIF(L18:L37, "X")) &gt; 0, (COUNTIF(L18:L37, "✓") + COUNTIF(L18:L37, "✔") + COUNTIF(L18:L37, "v") + COUNTIF(L18:L37, "V")) &amp; "/" &amp; ((COUNTIF(L18:L37, "✓") + COUNTIF(L18:L37, "✔") + COUNTIF(L18:L37, "v") + COUNTIF(L18:L37, "V")) + COUNTIF(L18:L37, "✗") + COUNTIF(L18:L37, "x") + COUNTIF(L18:L37, "X")), "")</f>
        <v/>
      </c>
      <c r="M38" s="33">
        <f>IF(((COUNTIF(M18:M37, "✓") + COUNTIF(M18:M37, "✔") + COUNTIF(M18:M37, "v") + COUNTIF(M18:M37, "V")) + COUNTIF(M18:M37, "✗") + COUNTIF(M18:M37, "x") + COUNTIF(M18:M37, "X")) &gt; 0, (COUNTIF(M18:M37, "✓") + COUNTIF(M18:M37, "✔") + COUNTIF(M18:M37, "v") + COUNTIF(M18:M37, "V")) &amp; "/" &amp; ((COUNTIF(M18:M37, "✓") + COUNTIF(M18:M37, "✔") + COUNTIF(M18:M37, "v") + COUNTIF(M18:M37, "V")) + COUNTIF(M18:M37, "✗") + COUNTIF(M18:M37, "x") + COUNTIF(M18:M37, "X")), "")</f>
        <v/>
      </c>
      <c r="N38" s="33">
        <f>IF(((COUNTIF(N18:N37, "✓") + COUNTIF(N18:N37, "✔") + COUNTIF(N18:N37, "v") + COUNTIF(N18:N37, "V")) + COUNTIF(N18:N37, "✗") + COUNTIF(N18:N37, "x") + COUNTIF(N18:N37, "X")) &gt; 0, (COUNTIF(N18:N37, "✓") + COUNTIF(N18:N37, "✔") + COUNTIF(N18:N37, "v") + COUNTIF(N18:N37, "V")) &amp; "/" &amp; ((COUNTIF(N18:N37, "✓") + COUNTIF(N18:N37, "✔") + COUNTIF(N18:N37, "v") + COUNTIF(N18:N37, "V")) + COUNTIF(N18:N37, "✗") + COUNTIF(N18:N37, "x") + COUNTIF(N18:N37, "X")), "")</f>
        <v/>
      </c>
      <c r="O38" s="33">
        <f>IF(((COUNTIF(O18:O37, "✓") + COUNTIF(O18:O37, "✔") + COUNTIF(O18:O37, "v") + COUNTIF(O18:O37, "V")) + COUNTIF(O18:O37, "✗") + COUNTIF(O18:O37, "x") + COUNTIF(O18:O37, "X")) &gt; 0, (COUNTIF(O18:O37, "✓") + COUNTIF(O18:O37, "✔") + COUNTIF(O18:O37, "v") + COUNTIF(O18:O37, "V")) &amp; "/" &amp; ((COUNTIF(O18:O37, "✓") + COUNTIF(O18:O37, "✔") + COUNTIF(O18:O37, "v") + COUNTIF(O18:O37, "V")) + COUNTIF(O18:O37, "✗") + COUNTIF(O18:O37, "x") + COUNTIF(O18:O37, "X")), "")</f>
        <v/>
      </c>
      <c r="P38" s="33">
        <f>IF(((COUNTIF(P18:P37, "✓") + COUNTIF(P18:P37, "✔") + COUNTIF(P18:P37, "v") + COUNTIF(P18:P37, "V")) + COUNTIF(P18:P37, "✗") + COUNTIF(P18:P37, "x") + COUNTIF(P18:P37, "X")) &gt; 0, (COUNTIF(P18:P37, "✓") + COUNTIF(P18:P37, "✔") + COUNTIF(P18:P37, "v") + COUNTIF(P18:P37, "V")) &amp; "/" &amp; ((COUNTIF(P18:P37, "✓") + COUNTIF(P18:P37, "✔") + COUNTIF(P18:P37, "v") + COUNTIF(P18:P37, "V")) + COUNTIF(P18:P37, "✗") + COUNTIF(P18:P37, "x") + COUNTIF(P18:P37, "X")), "")</f>
        <v/>
      </c>
      <c r="Q38" s="33">
        <f>IF(((COUNTIF(Q18:Q37, "✓") + COUNTIF(Q18:Q37, "✔") + COUNTIF(Q18:Q37, "v") + COUNTIF(Q18:Q37, "V")) + COUNTIF(Q18:Q37, "✗") + COUNTIF(Q18:Q37, "x") + COUNTIF(Q18:Q37, "X")) &gt; 0, (COUNTIF(Q18:Q37, "✓") + COUNTIF(Q18:Q37, "✔") + COUNTIF(Q18:Q37, "v") + COUNTIF(Q18:Q37, "V")) &amp; "/" &amp; ((COUNTIF(Q18:Q37, "✓") + COUNTIF(Q18:Q37, "✔") + COUNTIF(Q18:Q37, "v") + COUNTIF(Q18:Q37, "V")) + COUNTIF(Q18:Q37, "✗") + COUNTIF(Q18:Q37, "x") + COUNTIF(Q18:Q37, "X")), "")</f>
        <v/>
      </c>
      <c r="R38" s="33">
        <f>IF(((COUNTIF(R18:R37, "✓") + COUNTIF(R18:R37, "✔") + COUNTIF(R18:R37, "v") + COUNTIF(R18:R37, "V")) + COUNTIF(R18:R37, "✗") + COUNTIF(R18:R37, "x") + COUNTIF(R18:R37, "X")) &gt; 0, (COUNTIF(R18:R37, "✓") + COUNTIF(R18:R37, "✔") + COUNTIF(R18:R37, "v") + COUNTIF(R18:R37, "V")) &amp; "/" &amp; ((COUNTIF(R18:R37, "✓") + COUNTIF(R18:R37, "✔") + COUNTIF(R18:R37, "v") + COUNTIF(R18:R37, "V")) + COUNTIF(R18:R37, "✗") + COUNTIF(R18:R37, "x") + COUNTIF(R18:R37, "X")), "")</f>
        <v/>
      </c>
      <c r="S38" s="33">
        <f>IF(((COUNTIF(S18:S37, "✓") + COUNTIF(S18:S37, "✔") + COUNTIF(S18:S37, "v") + COUNTIF(S18:S37, "V")) + COUNTIF(S18:S37, "✗") + COUNTIF(S18:S37, "x") + COUNTIF(S18:S37, "X")) &gt; 0, (COUNTIF(S18:S37, "✓") + COUNTIF(S18:S37, "✔") + COUNTIF(S18:S37, "v") + COUNTIF(S18:S37, "V")) &amp; "/" &amp; ((COUNTIF(S18:S37, "✓") + COUNTIF(S18:S37, "✔") + COUNTIF(S18:S37, "v") + COUNTIF(S18:S37, "V")) + COUNTIF(S18:S37, "✗") + COUNTIF(S18:S37, "x") + COUNTIF(S18:S37, "X")), "")</f>
        <v/>
      </c>
      <c r="T38" s="33">
        <f>IF(((COUNTIF(T18:T37, "✓") + COUNTIF(T18:T37, "✔") + COUNTIF(T18:T37, "v") + COUNTIF(T18:T37, "V")) + COUNTIF(T18:T37, "✗") + COUNTIF(T18:T37, "x") + COUNTIF(T18:T37, "X")) &gt; 0, (COUNTIF(T18:T37, "✓") + COUNTIF(T18:T37, "✔") + COUNTIF(T18:T37, "v") + COUNTIF(T18:T37, "V")) &amp; "/" &amp; ((COUNTIF(T18:T37, "✓") + COUNTIF(T18:T37, "✔") + COUNTIF(T18:T37, "v") + COUNTIF(T18:T37, "V")) + COUNTIF(T18:T37, "✗") + COUNTIF(T18:T37, "x") + COUNTIF(T18:T37, "X")), "")</f>
        <v/>
      </c>
      <c r="U38" s="33">
        <f>IF(((COUNTIF(U18:U37, "✓") + COUNTIF(U18:U37, "✔") + COUNTIF(U18:U37, "v") + COUNTIF(U18:U37, "V")) + COUNTIF(U18:U37, "✗") + COUNTIF(U18:U37, "x") + COUNTIF(U18:U37, "X")) &gt; 0, (COUNTIF(U18:U37, "✓") + COUNTIF(U18:U37, "✔") + COUNTIF(U18:U37, "v") + COUNTIF(U18:U37, "V")) &amp; "/" &amp; ((COUNTIF(U18:U37, "✓") + COUNTIF(U18:U37, "✔") + COUNTIF(U18:U37, "v") + COUNTIF(U18:U37, "V")) + COUNTIF(U18:U37, "✗") + COUNTIF(U18:U37, "x") + COUNTIF(U18:U37, "X")), "")</f>
        <v/>
      </c>
      <c r="V38" s="33">
        <f>IF(((COUNTIF(V18:V37, "✓") + COUNTIF(V18:V37, "✔") + COUNTIF(V18:V37, "v") + COUNTIF(V18:V37, "V")) + COUNTIF(V18:V37, "✗") + COUNTIF(V18:V37, "x") + COUNTIF(V18:V37, "X")) &gt; 0, (COUNTIF(V18:V37, "✓") + COUNTIF(V18:V37, "✔") + COUNTIF(V18:V37, "v") + COUNTIF(V18:V37, "V")) &amp; "/" &amp; ((COUNTIF(V18:V37, "✓") + COUNTIF(V18:V37, "✔") + COUNTIF(V18:V37, "v") + COUNTIF(V18:V37, "V")) + COUNTIF(V18:V37, "✗") + COUNTIF(V18:V37, "x") + COUNTIF(V18:V37, "X")), "")</f>
        <v/>
      </c>
      <c r="W38" s="33">
        <f>IF(((COUNTIF(W18:W37, "✓") + COUNTIF(W18:W37, "✔") + COUNTIF(W18:W37, "v") + COUNTIF(W18:W37, "V")) + COUNTIF(W18:W37, "✗") + COUNTIF(W18:W37, "x") + COUNTIF(W18:W37, "X")) &gt; 0, (COUNTIF(W18:W37, "✓") + COUNTIF(W18:W37, "✔") + COUNTIF(W18:W37, "v") + COUNTIF(W18:W37, "V")) &amp; "/" &amp; ((COUNTIF(W18:W37, "✓") + COUNTIF(W18:W37, "✔") + COUNTIF(W18:W37, "v") + COUNTIF(W18:W37, "V")) + COUNTIF(W18:W37, "✗") + COUNTIF(W18:W37, "x") + COUNTIF(W18:W37, "X")), "")</f>
        <v/>
      </c>
      <c r="X38" s="33">
        <f>IF(((COUNTIF(X18:X37, "✓") + COUNTIF(X18:X37, "✔") + COUNTIF(X18:X37, "v") + COUNTIF(X18:X37, "V")) + COUNTIF(X18:X37, "✗") + COUNTIF(X18:X37, "x") + COUNTIF(X18:X37, "X")) &gt; 0, (COUNTIF(X18:X37, "✓") + COUNTIF(X18:X37, "✔") + COUNTIF(X18:X37, "v") + COUNTIF(X18:X37, "V")) &amp; "/" &amp; ((COUNTIF(X18:X37, "✓") + COUNTIF(X18:X37, "✔") + COUNTIF(X18:X37, "v") + COUNTIF(X18:X37, "V")) + COUNTIF(X18:X37, "✗") + COUNTIF(X18:X37, "x") + COUNTIF(X18:X37, "X")), "")</f>
        <v/>
      </c>
      <c r="Y38" s="33">
        <f>IF(((COUNTIF(Y18:Y37, "✓") + COUNTIF(Y18:Y37, "✔") + COUNTIF(Y18:Y37, "v") + COUNTIF(Y18:Y37, "V")) + COUNTIF(Y18:Y37, "✗") + COUNTIF(Y18:Y37, "x") + COUNTIF(Y18:Y37, "X")) &gt; 0, (COUNTIF(Y18:Y37, "✓") + COUNTIF(Y18:Y37, "✔") + COUNTIF(Y18:Y37, "v") + COUNTIF(Y18:Y37, "V")) &amp; "/" &amp; ((COUNTIF(Y18:Y37, "✓") + COUNTIF(Y18:Y37, "✔") + COUNTIF(Y18:Y37, "v") + COUNTIF(Y18:Y37, "V")) + COUNTIF(Y18:Y37, "✗") + COUNTIF(Y18:Y37, "x") + COUNTIF(Y18:Y37, "X")), "")</f>
        <v/>
      </c>
      <c r="Z38" s="33">
        <f>IF(((COUNTIF(Z18:Z37, "✓") + COUNTIF(Z18:Z37, "✔") + COUNTIF(Z18:Z37, "v") + COUNTIF(Z18:Z37, "V")) + COUNTIF(Z18:Z37, "✗") + COUNTIF(Z18:Z37, "x") + COUNTIF(Z18:Z37, "X")) &gt; 0, (COUNTIF(Z18:Z37, "✓") + COUNTIF(Z18:Z37, "✔") + COUNTIF(Z18:Z37, "v") + COUNTIF(Z18:Z37, "V")) &amp; "/" &amp; ((COUNTIF(Z18:Z37, "✓") + COUNTIF(Z18:Z37, "✔") + COUNTIF(Z18:Z37, "v") + COUNTIF(Z18:Z37, "V")) + COUNTIF(Z18:Z37, "✗") + COUNTIF(Z18:Z37, "x") + COUNTIF(Z18:Z37, "X")), "")</f>
        <v/>
      </c>
      <c r="AA38" s="33">
        <f>IF(((COUNTIF(AA18:AA37, "✓") + COUNTIF(AA18:AA37, "✔") + COUNTIF(AA18:AA37, "v") + COUNTIF(AA18:AA37, "V")) + COUNTIF(AA18:AA37, "✗") + COUNTIF(AA18:AA37, "x") + COUNTIF(AA18:AA37, "X")) &gt; 0, (COUNTIF(AA18:AA37, "✓") + COUNTIF(AA18:AA37, "✔") + COUNTIF(AA18:AA37, "v") + COUNTIF(AA18:AA37, "V")) &amp; "/" &amp; ((COUNTIF(AA18:AA37, "✓") + COUNTIF(AA18:AA37, "✔") + COUNTIF(AA18:AA37, "v") + COUNTIF(AA18:AA37, "V")) + COUNTIF(AA18:AA37, "✗") + COUNTIF(AA18:AA37, "x") + COUNTIF(AA18:AA37, "X")), "")</f>
        <v/>
      </c>
      <c r="AB38" s="33">
        <f>IF(((COUNTIF(AB18:AB37, "✓") + COUNTIF(AB18:AB37, "✔") + COUNTIF(AB18:AB37, "v") + COUNTIF(AB18:AB37, "V")) + COUNTIF(AB18:AB37, "✗") + COUNTIF(AB18:AB37, "x") + COUNTIF(AB18:AB37, "X")) &gt; 0, (COUNTIF(AB18:AB37, "✓") + COUNTIF(AB18:AB37, "✔") + COUNTIF(AB18:AB37, "v") + COUNTIF(AB18:AB37, "V")) &amp; "/" &amp; ((COUNTIF(AB18:AB37, "✓") + COUNTIF(AB18:AB37, "✔") + COUNTIF(AB18:AB37, "v") + COUNTIF(AB18:AB37, "V")) + COUNTIF(AB18:AB37, "✗") + COUNTIF(AB18:AB37, "x") + COUNTIF(AB18:AB37, "X")), "")</f>
        <v/>
      </c>
      <c r="AC38" s="33">
        <f>IF(((COUNTIF(AC18:AC37, "✓") + COUNTIF(AC18:AC37, "✔") + COUNTIF(AC18:AC37, "v") + COUNTIF(AC18:AC37, "V")) + COUNTIF(AC18:AC37, "✗") + COUNTIF(AC18:AC37, "x") + COUNTIF(AC18:AC37, "X")) &gt; 0, (COUNTIF(AC18:AC37, "✓") + COUNTIF(AC18:AC37, "✔") + COUNTIF(AC18:AC37, "v") + COUNTIF(AC18:AC37, "V")) &amp; "/" &amp; ((COUNTIF(AC18:AC37, "✓") + COUNTIF(AC18:AC37, "✔") + COUNTIF(AC18:AC37, "v") + COUNTIF(AC18:AC37, "V")) + COUNTIF(AC18:AC37, "✗") + COUNTIF(AC18:AC37, "x") + COUNTIF(AC18:AC37, "X")), "")</f>
        <v/>
      </c>
      <c r="AD38" s="33">
        <f>IF(((COUNTIF(AD18:AD37, "✓") + COUNTIF(AD18:AD37, "✔") + COUNTIF(AD18:AD37, "v") + COUNTIF(AD18:AD37, "V")) + COUNTIF(AD18:AD37, "✗") + COUNTIF(AD18:AD37, "x") + COUNTIF(AD18:AD37, "X")) &gt; 0, (COUNTIF(AD18:AD37, "✓") + COUNTIF(AD18:AD37, "✔") + COUNTIF(AD18:AD37, "v") + COUNTIF(AD18:AD37, "V")) &amp; "/" &amp; ((COUNTIF(AD18:AD37, "✓") + COUNTIF(AD18:AD37, "✔") + COUNTIF(AD18:AD37, "v") + COUNTIF(AD18:AD37, "V")) + COUNTIF(AD18:AD37, "✗") + COUNTIF(AD18:AD37, "x") + COUNTIF(AD18:AD37, "X")), "")</f>
        <v/>
      </c>
      <c r="AE38" s="33">
        <f>IF(((COUNTIF(AE18:AE37, "✓") + COUNTIF(AE18:AE37, "✔") + COUNTIF(AE18:AE37, "v") + COUNTIF(AE18:AE37, "V")) + COUNTIF(AE18:AE37, "✗") + COUNTIF(AE18:AE37, "x") + COUNTIF(AE18:AE37, "X")) &gt; 0, (COUNTIF(AE18:AE37, "✓") + COUNTIF(AE18:AE37, "✔") + COUNTIF(AE18:AE37, "v") + COUNTIF(AE18:AE37, "V")) &amp; "/" &amp; ((COUNTIF(AE18:AE37, "✓") + COUNTIF(AE18:AE37, "✔") + COUNTIF(AE18:AE37, "v") + COUNTIF(AE18:AE37, "V")) + COUNTIF(AE18:AE37, "✗") + COUNTIF(AE18:AE37, "x") + COUNTIF(AE18:AE37, "X")), "")</f>
        <v/>
      </c>
      <c r="AF38" s="33">
        <f>IF(((COUNTIF(AF18:AF37, "✓") + COUNTIF(AF18:AF37, "✔") + COUNTIF(AF18:AF37, "v") + COUNTIF(AF18:AF37, "V")) + COUNTIF(AF18:AF37, "✗") + COUNTIF(AF18:AF37, "x") + COUNTIF(AF18:AF37, "X")) &gt; 0, (COUNTIF(AF18:AF37, "✓") + COUNTIF(AF18:AF37, "✔") + COUNTIF(AF18:AF37, "v") + COUNTIF(AF18:AF37, "V")) &amp; "/" &amp; ((COUNTIF(AF18:AF37, "✓") + COUNTIF(AF18:AF37, "✔") + COUNTIF(AF18:AF37, "v") + COUNTIF(AF18:AF37, "V")) + COUNTIF(AF18:AF37, "✗") + COUNTIF(AF18:AF37, "x") + COUNTIF(AF18:AF37, "X")), "")</f>
        <v/>
      </c>
      <c r="AG38" s="33">
        <f>IF(((COUNTIF(AG18:AG37, "✓") + COUNTIF(AG18:AG37, "✔") + COUNTIF(AG18:AG37, "v") + COUNTIF(AG18:AG37, "V")) + COUNTIF(AG18:AG37, "✗") + COUNTIF(AG18:AG37, "x") + COUNTIF(AG18:AG37, "X")) &gt; 0, (COUNTIF(AG18:AG37, "✓") + COUNTIF(AG18:AG37, "✔") + COUNTIF(AG18:AG37, "v") + COUNTIF(AG18:AG37, "V")) &amp; "/" &amp; ((COUNTIF(AG18:AG37, "✓") + COUNTIF(AG18:AG37, "✔") + COUNTIF(AG18:AG37, "v") + COUNTIF(AG18:AG37, "V")) + COUNTIF(AG18:AG37, "✗") + COUNTIF(AG18:AG37, "x") + COUNTIF(AG18:AG37, "X")), "")</f>
        <v/>
      </c>
      <c r="AH38" s="33">
        <f>IF(((COUNTIF(AH18:AH37, "✓") + COUNTIF(AH18:AH37, "✔") + COUNTIF(AH18:AH37, "v") + COUNTIF(AH18:AH37, "V")) + COUNTIF(AH18:AH37, "✗") + COUNTIF(AH18:AH37, "x") + COUNTIF(AH18:AH37, "X")) &gt; 0, (COUNTIF(AH18:AH37, "✓") + COUNTIF(AH18:AH37, "✔") + COUNTIF(AH18:AH37, "v") + COUNTIF(AH18:AH37, "V")) &amp; "/" &amp; ((COUNTIF(AH18:AH37, "✓") + COUNTIF(AH18:AH37, "✔") + COUNTIF(AH18:AH37, "v") + COUNTIF(AH18:AH37, "V")) + COUNTIF(AH18:AH37, "✗") + COUNTIF(AH18:AH37, "x") + COUNTIF(AH18:AH37, "X")), "")</f>
        <v/>
      </c>
      <c r="AI38" s="33">
        <f>IF(((COUNTIF(AI18:AI37, "✓") + COUNTIF(AI18:AI37, "✔") + COUNTIF(AI18:AI37, "v") + COUNTIF(AI18:AI37, "V")) + COUNTIF(AI18:AI37, "✗") + COUNTIF(AI18:AI37, "x") + COUNTIF(AI18:AI37, "X")) &gt; 0, (COUNTIF(AI18:AI37, "✓") + COUNTIF(AI18:AI37, "✔") + COUNTIF(AI18:AI37, "v") + COUNTIF(AI18:AI37, "V")) &amp; "/" &amp; ((COUNTIF(AI18:AI37, "✓") + COUNTIF(AI18:AI37, "✔") + COUNTIF(AI18:AI37, "v") + COUNTIF(AI18:AI37, "V")) + COUNTIF(AI18:AI37, "✗") + COUNTIF(AI18:AI37, "x") + COUNTIF(AI18:AI37, "X")), "")</f>
        <v/>
      </c>
      <c r="AJ38" s="133">
        <f>IF(SUM(D18:D37) &gt; 0, SUM(AM18:AM37) / SUM(D18:D37), "")</f>
        <v/>
      </c>
      <c r="AK38" s="33">
        <f>IF(SUM(D18:D37) &gt; 0, SUM(AM18:AM37) &amp; "/" &amp; SUM(D18:D37), "")</f>
        <v/>
      </c>
      <c r="AL38" s="54" t="n"/>
    </row>
    <row r="39" ht="18" customHeight="1">
      <c r="A39" s="132" t="inlineStr">
        <is>
          <t>DAILY SUCCESS %</t>
        </is>
      </c>
      <c r="B39" s="54" t="n"/>
      <c r="C39" s="54" t="n"/>
      <c r="D39" s="54" t="n"/>
      <c r="E39" s="134">
        <f>IF(((COUNTIF(E18:E37, "✓") + COUNTIF(E18:E37, "✔") + COUNTIF(E18:E37, "v") + COUNTIF(E18:E37, "V")) + COUNTIF(E18:E37, "✗") + COUNTIF(E18:E37, "x") + COUNTIF(E18:E37, "X")) &gt; 0, (COUNTIF(E18:E37, "✓") + COUNTIF(E18:E37, "✔") + COUNTIF(E18:E37, "v") + COUNTIF(E18:E37, "V")) / ((COUNTIF(E18:E37, "✓") + COUNTIF(E18:E37, "✔") + COUNTIF(E18:E37, "v") + COUNTIF(E18:E37, "V")) + COUNTIF(E18:E37, "✗") + COUNTIF(E18:E37, "x") + COUNTIF(E18:E37, "X")), "")</f>
        <v/>
      </c>
      <c r="F39" s="134">
        <f>IF(((COUNTIF(F18:F37, "✓") + COUNTIF(F18:F37, "✔") + COUNTIF(F18:F37, "v") + COUNTIF(F18:F37, "V")) + COUNTIF(F18:F37, "✗") + COUNTIF(F18:F37, "x") + COUNTIF(F18:F37, "X")) &gt; 0, (COUNTIF(F18:F37, "✓") + COUNTIF(F18:F37, "✔") + COUNTIF(F18:F37, "v") + COUNTIF(F18:F37, "V")) / ((COUNTIF(F18:F37, "✓") + COUNTIF(F18:F37, "✔") + COUNTIF(F18:F37, "v") + COUNTIF(F18:F37, "V")) + COUNTIF(F18:F37, "✗") + COUNTIF(F18:F37, "x") + COUNTIF(F18:F37, "X")), "")</f>
        <v/>
      </c>
      <c r="G39" s="134">
        <f>IF(((COUNTIF(G18:G37, "✓") + COUNTIF(G18:G37, "✔") + COUNTIF(G18:G37, "v") + COUNTIF(G18:G37, "V")) + COUNTIF(G18:G37, "✗") + COUNTIF(G18:G37, "x") + COUNTIF(G18:G37, "X")) &gt; 0, (COUNTIF(G18:G37, "✓") + COUNTIF(G18:G37, "✔") + COUNTIF(G18:G37, "v") + COUNTIF(G18:G37, "V")) / ((COUNTIF(G18:G37, "✓") + COUNTIF(G18:G37, "✔") + COUNTIF(G18:G37, "v") + COUNTIF(G18:G37, "V")) + COUNTIF(G18:G37, "✗") + COUNTIF(G18:G37, "x") + COUNTIF(G18:G37, "X")), "")</f>
        <v/>
      </c>
      <c r="H39" s="134">
        <f>IF(((COUNTIF(H18:H37, "✓") + COUNTIF(H18:H37, "✔") + COUNTIF(H18:H37, "v") + COUNTIF(H18:H37, "V")) + COUNTIF(H18:H37, "✗") + COUNTIF(H18:H37, "x") + COUNTIF(H18:H37, "X")) &gt; 0, (COUNTIF(H18:H37, "✓") + COUNTIF(H18:H37, "✔") + COUNTIF(H18:H37, "v") + COUNTIF(H18:H37, "V")) / ((COUNTIF(H18:H37, "✓") + COUNTIF(H18:H37, "✔") + COUNTIF(H18:H37, "v") + COUNTIF(H18:H37, "V")) + COUNTIF(H18:H37, "✗") + COUNTIF(H18:H37, "x") + COUNTIF(H18:H37, "X")), "")</f>
        <v/>
      </c>
      <c r="I39" s="134">
        <f>IF(((COUNTIF(I18:I37, "✓") + COUNTIF(I18:I37, "✔") + COUNTIF(I18:I37, "v") + COUNTIF(I18:I37, "V")) + COUNTIF(I18:I37, "✗") + COUNTIF(I18:I37, "x") + COUNTIF(I18:I37, "X")) &gt; 0, (COUNTIF(I18:I37, "✓") + COUNTIF(I18:I37, "✔") + COUNTIF(I18:I37, "v") + COUNTIF(I18:I37, "V")) / ((COUNTIF(I18:I37, "✓") + COUNTIF(I18:I37, "✔") + COUNTIF(I18:I37, "v") + COUNTIF(I18:I37, "V")) + COUNTIF(I18:I37, "✗") + COUNTIF(I18:I37, "x") + COUNTIF(I18:I37, "X")), "")</f>
        <v/>
      </c>
      <c r="J39" s="134">
        <f>IF(((COUNTIF(J18:J37, "✓") + COUNTIF(J18:J37, "✔") + COUNTIF(J18:J37, "v") + COUNTIF(J18:J37, "V")) + COUNTIF(J18:J37, "✗") + COUNTIF(J18:J37, "x") + COUNTIF(J18:J37, "X")) &gt; 0, (COUNTIF(J18:J37, "✓") + COUNTIF(J18:J37, "✔") + COUNTIF(J18:J37, "v") + COUNTIF(J18:J37, "V")) / ((COUNTIF(J18:J37, "✓") + COUNTIF(J18:J37, "✔") + COUNTIF(J18:J37, "v") + COUNTIF(J18:J37, "V")) + COUNTIF(J18:J37, "✗") + COUNTIF(J18:J37, "x") + COUNTIF(J18:J37, "X")), "")</f>
        <v/>
      </c>
      <c r="K39" s="134">
        <f>IF(((COUNTIF(K18:K37, "✓") + COUNTIF(K18:K37, "✔") + COUNTIF(K18:K37, "v") + COUNTIF(K18:K37, "V")) + COUNTIF(K18:K37, "✗") + COUNTIF(K18:K37, "x") + COUNTIF(K18:K37, "X")) &gt; 0, (COUNTIF(K18:K37, "✓") + COUNTIF(K18:K37, "✔") + COUNTIF(K18:K37, "v") + COUNTIF(K18:K37, "V")) / ((COUNTIF(K18:K37, "✓") + COUNTIF(K18:K37, "✔") + COUNTIF(K18:K37, "v") + COUNTIF(K18:K37, "V")) + COUNTIF(K18:K37, "✗") + COUNTIF(K18:K37, "x") + COUNTIF(K18:K37, "X")), "")</f>
        <v/>
      </c>
      <c r="L39" s="134">
        <f>IF(((COUNTIF(L18:L37, "✓") + COUNTIF(L18:L37, "✔") + COUNTIF(L18:L37, "v") + COUNTIF(L18:L37, "V")) + COUNTIF(L18:L37, "✗") + COUNTIF(L18:L37, "x") + COUNTIF(L18:L37, "X")) &gt; 0, (COUNTIF(L18:L37, "✓") + COUNTIF(L18:L37, "✔") + COUNTIF(L18:L37, "v") + COUNTIF(L18:L37, "V")) / ((COUNTIF(L18:L37, "✓") + COUNTIF(L18:L37, "✔") + COUNTIF(L18:L37, "v") + COUNTIF(L18:L37, "V")) + COUNTIF(L18:L37, "✗") + COUNTIF(L18:L37, "x") + COUNTIF(L18:L37, "X")), "")</f>
        <v/>
      </c>
      <c r="M39" s="134">
        <f>IF(((COUNTIF(M18:M37, "✓") + COUNTIF(M18:M37, "✔") + COUNTIF(M18:M37, "v") + COUNTIF(M18:M37, "V")) + COUNTIF(M18:M37, "✗") + COUNTIF(M18:M37, "x") + COUNTIF(M18:M37, "X")) &gt; 0, (COUNTIF(M18:M37, "✓") + COUNTIF(M18:M37, "✔") + COUNTIF(M18:M37, "v") + COUNTIF(M18:M37, "V")) / ((COUNTIF(M18:M37, "✓") + COUNTIF(M18:M37, "✔") + COUNTIF(M18:M37, "v") + COUNTIF(M18:M37, "V")) + COUNTIF(M18:M37, "✗") + COUNTIF(M18:M37, "x") + COUNTIF(M18:M37, "X")), "")</f>
        <v/>
      </c>
      <c r="N39" s="134">
        <f>IF(((COUNTIF(N18:N37, "✓") + COUNTIF(N18:N37, "✔") + COUNTIF(N18:N37, "v") + COUNTIF(N18:N37, "V")) + COUNTIF(N18:N37, "✗") + COUNTIF(N18:N37, "x") + COUNTIF(N18:N37, "X")) &gt; 0, (COUNTIF(N18:N37, "✓") + COUNTIF(N18:N37, "✔") + COUNTIF(N18:N37, "v") + COUNTIF(N18:N37, "V")) / ((COUNTIF(N18:N37, "✓") + COUNTIF(N18:N37, "✔") + COUNTIF(N18:N37, "v") + COUNTIF(N18:N37, "V")) + COUNTIF(N18:N37, "✗") + COUNTIF(N18:N37, "x") + COUNTIF(N18:N37, "X")), "")</f>
        <v/>
      </c>
      <c r="O39" s="134">
        <f>IF(((COUNTIF(O18:O37, "✓") + COUNTIF(O18:O37, "✔") + COUNTIF(O18:O37, "v") + COUNTIF(O18:O37, "V")) + COUNTIF(O18:O37, "✗") + COUNTIF(O18:O37, "x") + COUNTIF(O18:O37, "X")) &gt; 0, (COUNTIF(O18:O37, "✓") + COUNTIF(O18:O37, "✔") + COUNTIF(O18:O37, "v") + COUNTIF(O18:O37, "V")) / ((COUNTIF(O18:O37, "✓") + COUNTIF(O18:O37, "✔") + COUNTIF(O18:O37, "v") + COUNTIF(O18:O37, "V")) + COUNTIF(O18:O37, "✗") + COUNTIF(O18:O37, "x") + COUNTIF(O18:O37, "X")), "")</f>
        <v/>
      </c>
      <c r="P39" s="134">
        <f>IF(((COUNTIF(P18:P37, "✓") + COUNTIF(P18:P37, "✔") + COUNTIF(P18:P37, "v") + COUNTIF(P18:P37, "V")) + COUNTIF(P18:P37, "✗") + COUNTIF(P18:P37, "x") + COUNTIF(P18:P37, "X")) &gt; 0, (COUNTIF(P18:P37, "✓") + COUNTIF(P18:P37, "✔") + COUNTIF(P18:P37, "v") + COUNTIF(P18:P37, "V")) / ((COUNTIF(P18:P37, "✓") + COUNTIF(P18:P37, "✔") + COUNTIF(P18:P37, "v") + COUNTIF(P18:P37, "V")) + COUNTIF(P18:P37, "✗") + COUNTIF(P18:P37, "x") + COUNTIF(P18:P37, "X")), "")</f>
        <v/>
      </c>
      <c r="Q39" s="134">
        <f>IF(((COUNTIF(Q18:Q37, "✓") + COUNTIF(Q18:Q37, "✔") + COUNTIF(Q18:Q37, "v") + COUNTIF(Q18:Q37, "V")) + COUNTIF(Q18:Q37, "✗") + COUNTIF(Q18:Q37, "x") + COUNTIF(Q18:Q37, "X")) &gt; 0, (COUNTIF(Q18:Q37, "✓") + COUNTIF(Q18:Q37, "✔") + COUNTIF(Q18:Q37, "v") + COUNTIF(Q18:Q37, "V")) / ((COUNTIF(Q18:Q37, "✓") + COUNTIF(Q18:Q37, "✔") + COUNTIF(Q18:Q37, "v") + COUNTIF(Q18:Q37, "V")) + COUNTIF(Q18:Q37, "✗") + COUNTIF(Q18:Q37, "x") + COUNTIF(Q18:Q37, "X")), "")</f>
        <v/>
      </c>
      <c r="R39" s="134">
        <f>IF(((COUNTIF(R18:R37, "✓") + COUNTIF(R18:R37, "✔") + COUNTIF(R18:R37, "v") + COUNTIF(R18:R37, "V")) + COUNTIF(R18:R37, "✗") + COUNTIF(R18:R37, "x") + COUNTIF(R18:R37, "X")) &gt; 0, (COUNTIF(R18:R37, "✓") + COUNTIF(R18:R37, "✔") + COUNTIF(R18:R37, "v") + COUNTIF(R18:R37, "V")) / ((COUNTIF(R18:R37, "✓") + COUNTIF(R18:R37, "✔") + COUNTIF(R18:R37, "v") + COUNTIF(R18:R37, "V")) + COUNTIF(R18:R37, "✗") + COUNTIF(R18:R37, "x") + COUNTIF(R18:R37, "X")), "")</f>
        <v/>
      </c>
      <c r="S39" s="134">
        <f>IF(((COUNTIF(S18:S37, "✓") + COUNTIF(S18:S37, "✔") + COUNTIF(S18:S37, "v") + COUNTIF(S18:S37, "V")) + COUNTIF(S18:S37, "✗") + COUNTIF(S18:S37, "x") + COUNTIF(S18:S37, "X")) &gt; 0, (COUNTIF(S18:S37, "✓") + COUNTIF(S18:S37, "✔") + COUNTIF(S18:S37, "v") + COUNTIF(S18:S37, "V")) / ((COUNTIF(S18:S37, "✓") + COUNTIF(S18:S37, "✔") + COUNTIF(S18:S37, "v") + COUNTIF(S18:S37, "V")) + COUNTIF(S18:S37, "✗") + COUNTIF(S18:S37, "x") + COUNTIF(S18:S37, "X")), "")</f>
        <v/>
      </c>
      <c r="T39" s="134">
        <f>IF(((COUNTIF(T18:T37, "✓") + COUNTIF(T18:T37, "✔") + COUNTIF(T18:T37, "v") + COUNTIF(T18:T37, "V")) + COUNTIF(T18:T37, "✗") + COUNTIF(T18:T37, "x") + COUNTIF(T18:T37, "X")) &gt; 0, (COUNTIF(T18:T37, "✓") + COUNTIF(T18:T37, "✔") + COUNTIF(T18:T37, "v") + COUNTIF(T18:T37, "V")) / ((COUNTIF(T18:T37, "✓") + COUNTIF(T18:T37, "✔") + COUNTIF(T18:T37, "v") + COUNTIF(T18:T37, "V")) + COUNTIF(T18:T37, "✗") + COUNTIF(T18:T37, "x") + COUNTIF(T18:T37, "X")), "")</f>
        <v/>
      </c>
      <c r="U39" s="134">
        <f>IF(((COUNTIF(U18:U37, "✓") + COUNTIF(U18:U37, "✔") + COUNTIF(U18:U37, "v") + COUNTIF(U18:U37, "V")) + COUNTIF(U18:U37, "✗") + COUNTIF(U18:U37, "x") + COUNTIF(U18:U37, "X")) &gt; 0, (COUNTIF(U18:U37, "✓") + COUNTIF(U18:U37, "✔") + COUNTIF(U18:U37, "v") + COUNTIF(U18:U37, "V")) / ((COUNTIF(U18:U37, "✓") + COUNTIF(U18:U37, "✔") + COUNTIF(U18:U37, "v") + COUNTIF(U18:U37, "V")) + COUNTIF(U18:U37, "✗") + COUNTIF(U18:U37, "x") + COUNTIF(U18:U37, "X")), "")</f>
        <v/>
      </c>
      <c r="V39" s="134">
        <f>IF(((COUNTIF(V18:V37, "✓") + COUNTIF(V18:V37, "✔") + COUNTIF(V18:V37, "v") + COUNTIF(V18:V37, "V")) + COUNTIF(V18:V37, "✗") + COUNTIF(V18:V37, "x") + COUNTIF(V18:V37, "X")) &gt; 0, (COUNTIF(V18:V37, "✓") + COUNTIF(V18:V37, "✔") + COUNTIF(V18:V37, "v") + COUNTIF(V18:V37, "V")) / ((COUNTIF(V18:V37, "✓") + COUNTIF(V18:V37, "✔") + COUNTIF(V18:V37, "v") + COUNTIF(V18:V37, "V")) + COUNTIF(V18:V37, "✗") + COUNTIF(V18:V37, "x") + COUNTIF(V18:V37, "X")), "")</f>
        <v/>
      </c>
      <c r="W39" s="134">
        <f>IF(((COUNTIF(W18:W37, "✓") + COUNTIF(W18:W37, "✔") + COUNTIF(W18:W37, "v") + COUNTIF(W18:W37, "V")) + COUNTIF(W18:W37, "✗") + COUNTIF(W18:W37, "x") + COUNTIF(W18:W37, "X")) &gt; 0, (COUNTIF(W18:W37, "✓") + COUNTIF(W18:W37, "✔") + COUNTIF(W18:W37, "v") + COUNTIF(W18:W37, "V")) / ((COUNTIF(W18:W37, "✓") + COUNTIF(W18:W37, "✔") + COUNTIF(W18:W37, "v") + COUNTIF(W18:W37, "V")) + COUNTIF(W18:W37, "✗") + COUNTIF(W18:W37, "x") + COUNTIF(W18:W37, "X")), "")</f>
        <v/>
      </c>
      <c r="X39" s="134">
        <f>IF(((COUNTIF(X18:X37, "✓") + COUNTIF(X18:X37, "✔") + COUNTIF(X18:X37, "v") + COUNTIF(X18:X37, "V")) + COUNTIF(X18:X37, "✗") + COUNTIF(X18:X37, "x") + COUNTIF(X18:X37, "X")) &gt; 0, (COUNTIF(X18:X37, "✓") + COUNTIF(X18:X37, "✔") + COUNTIF(X18:X37, "v") + COUNTIF(X18:X37, "V")) / ((COUNTIF(X18:X37, "✓") + COUNTIF(X18:X37, "✔") + COUNTIF(X18:X37, "v") + COUNTIF(X18:X37, "V")) + COUNTIF(X18:X37, "✗") + COUNTIF(X18:X37, "x") + COUNTIF(X18:X37, "X")), "")</f>
        <v/>
      </c>
      <c r="Y39" s="134">
        <f>IF(((COUNTIF(Y18:Y37, "✓") + COUNTIF(Y18:Y37, "✔") + COUNTIF(Y18:Y37, "v") + COUNTIF(Y18:Y37, "V")) + COUNTIF(Y18:Y37, "✗") + COUNTIF(Y18:Y37, "x") + COUNTIF(Y18:Y37, "X")) &gt; 0, (COUNTIF(Y18:Y37, "✓") + COUNTIF(Y18:Y37, "✔") + COUNTIF(Y18:Y37, "v") + COUNTIF(Y18:Y37, "V")) / ((COUNTIF(Y18:Y37, "✓") + COUNTIF(Y18:Y37, "✔") + COUNTIF(Y18:Y37, "v") + COUNTIF(Y18:Y37, "V")) + COUNTIF(Y18:Y37, "✗") + COUNTIF(Y18:Y37, "x") + COUNTIF(Y18:Y37, "X")), "")</f>
        <v/>
      </c>
      <c r="Z39" s="134">
        <f>IF(((COUNTIF(Z18:Z37, "✓") + COUNTIF(Z18:Z37, "✔") + COUNTIF(Z18:Z37, "v") + COUNTIF(Z18:Z37, "V")) + COUNTIF(Z18:Z37, "✗") + COUNTIF(Z18:Z37, "x") + COUNTIF(Z18:Z37, "X")) &gt; 0, (COUNTIF(Z18:Z37, "✓") + COUNTIF(Z18:Z37, "✔") + COUNTIF(Z18:Z37, "v") + COUNTIF(Z18:Z37, "V")) / ((COUNTIF(Z18:Z37, "✓") + COUNTIF(Z18:Z37, "✔") + COUNTIF(Z18:Z37, "v") + COUNTIF(Z18:Z37, "V")) + COUNTIF(Z18:Z37, "✗") + COUNTIF(Z18:Z37, "x") + COUNTIF(Z18:Z37, "X")), "")</f>
        <v/>
      </c>
      <c r="AA39" s="134">
        <f>IF(((COUNTIF(AA18:AA37, "✓") + COUNTIF(AA18:AA37, "✔") + COUNTIF(AA18:AA37, "v") + COUNTIF(AA18:AA37, "V")) + COUNTIF(AA18:AA37, "✗") + COUNTIF(AA18:AA37, "x") + COUNTIF(AA18:AA37, "X")) &gt; 0, (COUNTIF(AA18:AA37, "✓") + COUNTIF(AA18:AA37, "✔") + COUNTIF(AA18:AA37, "v") + COUNTIF(AA18:AA37, "V")) / ((COUNTIF(AA18:AA37, "✓") + COUNTIF(AA18:AA37, "✔") + COUNTIF(AA18:AA37, "v") + COUNTIF(AA18:AA37, "V")) + COUNTIF(AA18:AA37, "✗") + COUNTIF(AA18:AA37, "x") + COUNTIF(AA18:AA37, "X")), "")</f>
        <v/>
      </c>
      <c r="AB39" s="134">
        <f>IF(((COUNTIF(AB18:AB37, "✓") + COUNTIF(AB18:AB37, "✔") + COUNTIF(AB18:AB37, "v") + COUNTIF(AB18:AB37, "V")) + COUNTIF(AB18:AB37, "✗") + COUNTIF(AB18:AB37, "x") + COUNTIF(AB18:AB37, "X")) &gt; 0, (COUNTIF(AB18:AB37, "✓") + COUNTIF(AB18:AB37, "✔") + COUNTIF(AB18:AB37, "v") + COUNTIF(AB18:AB37, "V")) / ((COUNTIF(AB18:AB37, "✓") + COUNTIF(AB18:AB37, "✔") + COUNTIF(AB18:AB37, "v") + COUNTIF(AB18:AB37, "V")) + COUNTIF(AB18:AB37, "✗") + COUNTIF(AB18:AB37, "x") + COUNTIF(AB18:AB37, "X")), "")</f>
        <v/>
      </c>
      <c r="AC39" s="134">
        <f>IF(((COUNTIF(AC18:AC37, "✓") + COUNTIF(AC18:AC37, "✔") + COUNTIF(AC18:AC37, "v") + COUNTIF(AC18:AC37, "V")) + COUNTIF(AC18:AC37, "✗") + COUNTIF(AC18:AC37, "x") + COUNTIF(AC18:AC37, "X")) &gt; 0, (COUNTIF(AC18:AC37, "✓") + COUNTIF(AC18:AC37, "✔") + COUNTIF(AC18:AC37, "v") + COUNTIF(AC18:AC37, "V")) / ((COUNTIF(AC18:AC37, "✓") + COUNTIF(AC18:AC37, "✔") + COUNTIF(AC18:AC37, "v") + COUNTIF(AC18:AC37, "V")) + COUNTIF(AC18:AC37, "✗") + COUNTIF(AC18:AC37, "x") + COUNTIF(AC18:AC37, "X")), "")</f>
        <v/>
      </c>
      <c r="AD39" s="134">
        <f>IF(((COUNTIF(AD18:AD37, "✓") + COUNTIF(AD18:AD37, "✔") + COUNTIF(AD18:AD37, "v") + COUNTIF(AD18:AD37, "V")) + COUNTIF(AD18:AD37, "✗") + COUNTIF(AD18:AD37, "x") + COUNTIF(AD18:AD37, "X")) &gt; 0, (COUNTIF(AD18:AD37, "✓") + COUNTIF(AD18:AD37, "✔") + COUNTIF(AD18:AD37, "v") + COUNTIF(AD18:AD37, "V")) / ((COUNTIF(AD18:AD37, "✓") + COUNTIF(AD18:AD37, "✔") + COUNTIF(AD18:AD37, "v") + COUNTIF(AD18:AD37, "V")) + COUNTIF(AD18:AD37, "✗") + COUNTIF(AD18:AD37, "x") + COUNTIF(AD18:AD37, "X")), "")</f>
        <v/>
      </c>
      <c r="AE39" s="134">
        <f>IF(((COUNTIF(AE18:AE37, "✓") + COUNTIF(AE18:AE37, "✔") + COUNTIF(AE18:AE37, "v") + COUNTIF(AE18:AE37, "V")) + COUNTIF(AE18:AE37, "✗") + COUNTIF(AE18:AE37, "x") + COUNTIF(AE18:AE37, "X")) &gt; 0, (COUNTIF(AE18:AE37, "✓") + COUNTIF(AE18:AE37, "✔") + COUNTIF(AE18:AE37, "v") + COUNTIF(AE18:AE37, "V")) / ((COUNTIF(AE18:AE37, "✓") + COUNTIF(AE18:AE37, "✔") + COUNTIF(AE18:AE37, "v") + COUNTIF(AE18:AE37, "V")) + COUNTIF(AE18:AE37, "✗") + COUNTIF(AE18:AE37, "x") + COUNTIF(AE18:AE37, "X")), "")</f>
        <v/>
      </c>
      <c r="AF39" s="134">
        <f>IF(((COUNTIF(AF18:AF37, "✓") + COUNTIF(AF18:AF37, "✔") + COUNTIF(AF18:AF37, "v") + COUNTIF(AF18:AF37, "V")) + COUNTIF(AF18:AF37, "✗") + COUNTIF(AF18:AF37, "x") + COUNTIF(AF18:AF37, "X")) &gt; 0, (COUNTIF(AF18:AF37, "✓") + COUNTIF(AF18:AF37, "✔") + COUNTIF(AF18:AF37, "v") + COUNTIF(AF18:AF37, "V")) / ((COUNTIF(AF18:AF37, "✓") + COUNTIF(AF18:AF37, "✔") + COUNTIF(AF18:AF37, "v") + COUNTIF(AF18:AF37, "V")) + COUNTIF(AF18:AF37, "✗") + COUNTIF(AF18:AF37, "x") + COUNTIF(AF18:AF37, "X")), "")</f>
        <v/>
      </c>
      <c r="AG39" s="134">
        <f>IF(((COUNTIF(AG18:AG37, "✓") + COUNTIF(AG18:AG37, "✔") + COUNTIF(AG18:AG37, "v") + COUNTIF(AG18:AG37, "V")) + COUNTIF(AG18:AG37, "✗") + COUNTIF(AG18:AG37, "x") + COUNTIF(AG18:AG37, "X")) &gt; 0, (COUNTIF(AG18:AG37, "✓") + COUNTIF(AG18:AG37, "✔") + COUNTIF(AG18:AG37, "v") + COUNTIF(AG18:AG37, "V")) / ((COUNTIF(AG18:AG37, "✓") + COUNTIF(AG18:AG37, "✔") + COUNTIF(AG18:AG37, "v") + COUNTIF(AG18:AG37, "V")) + COUNTIF(AG18:AG37, "✗") + COUNTIF(AG18:AG37, "x") + COUNTIF(AG18:AG37, "X")), "")</f>
        <v/>
      </c>
      <c r="AH39" s="134">
        <f>IF(((COUNTIF(AH18:AH37, "✓") + COUNTIF(AH18:AH37, "✔") + COUNTIF(AH18:AH37, "v") + COUNTIF(AH18:AH37, "V")) + COUNTIF(AH18:AH37, "✗") + COUNTIF(AH18:AH37, "x") + COUNTIF(AH18:AH37, "X")) &gt; 0, (COUNTIF(AH18:AH37, "✓") + COUNTIF(AH18:AH37, "✔") + COUNTIF(AH18:AH37, "v") + COUNTIF(AH18:AH37, "V")) / ((COUNTIF(AH18:AH37, "✓") + COUNTIF(AH18:AH37, "✔") + COUNTIF(AH18:AH37, "v") + COUNTIF(AH18:AH37, "V")) + COUNTIF(AH18:AH37, "✗") + COUNTIF(AH18:AH37, "x") + COUNTIF(AH18:AH37, "X")), "")</f>
        <v/>
      </c>
      <c r="AI39" s="134">
        <f>IF(((COUNTIF(AI18:AI37, "✓") + COUNTIF(AI18:AI37, "✔") + COUNTIF(AI18:AI37, "v") + COUNTIF(AI18:AI37, "V")) + COUNTIF(AI18:AI37, "✗") + COUNTIF(AI18:AI37, "x") + COUNTIF(AI18:AI37, "X")) &gt; 0, (COUNTIF(AI18:AI37, "✓") + COUNTIF(AI18:AI37, "✔") + COUNTIF(AI18:AI37, "v") + COUNTIF(AI18:AI37, "V")) / ((COUNTIF(AI18:AI37, "✓") + COUNTIF(AI18:AI37, "✔") + COUNTIF(AI18:AI37, "v") + COUNTIF(AI18:AI37, "V")) + COUNTIF(AI18:AI37, "✗") + COUNTIF(AI18:AI37, "x") + COUNTIF(AI18:AI37, "X")), "")</f>
        <v/>
      </c>
      <c r="AJ39" s="133">
        <f>IF(COUNT(E39:AI39) &gt; 0, AVERAGE(E39:AI39), "")</f>
        <v/>
      </c>
      <c r="AK39" s="54" t="n"/>
      <c r="AL39" s="54" t="n"/>
    </row>
    <row r="40" ht="6" customHeight="1"/>
    <row r="41" ht="15" customHeight="1">
      <c r="A41" s="135" t="inlineStr">
        <is>
          <t>IF SUCCESS &lt; 80%, PUNISHMENT: ________________________________________________</t>
        </is>
      </c>
    </row>
    <row r="42" ht="15" customHeight="1">
      <c r="A42" s="136" t="inlineStr">
        <is>
          <t>IF SUCCESS &gt; 90%, REWARD: __________________________________________________</t>
        </is>
      </c>
    </row>
    <row r="43" ht="10" customHeight="1"/>
    <row r="44" ht="10" customHeight="1"/>
    <row r="45" ht="15" customHeight="1">
      <c r="A45" s="51" t="inlineStr">
        <is>
          <t>Sleep Tracking</t>
        </is>
      </c>
      <c r="B45" s="52" t="n"/>
      <c r="C45" s="52" t="n"/>
      <c r="D45" s="52" t="n"/>
      <c r="E45" s="137" t="n">
        <v>1</v>
      </c>
      <c r="F45" s="137" t="n">
        <v>2</v>
      </c>
      <c r="G45" s="137" t="n">
        <v>3</v>
      </c>
      <c r="H45" s="138" t="n">
        <v>4</v>
      </c>
      <c r="I45" s="137" t="n">
        <v>5</v>
      </c>
      <c r="J45" s="137" t="n">
        <v>6</v>
      </c>
      <c r="K45" s="137" t="n">
        <v>7</v>
      </c>
      <c r="L45" s="137" t="n">
        <v>8</v>
      </c>
      <c r="M45" s="137" t="n">
        <v>9</v>
      </c>
      <c r="N45" s="137" t="n">
        <v>10</v>
      </c>
      <c r="O45" s="138" t="n">
        <v>11</v>
      </c>
      <c r="P45" s="137" t="n">
        <v>12</v>
      </c>
      <c r="Q45" s="137" t="n">
        <v>13</v>
      </c>
      <c r="R45" s="137" t="n">
        <v>14</v>
      </c>
      <c r="S45" s="137" t="n">
        <v>15</v>
      </c>
      <c r="T45" s="137" t="n">
        <v>16</v>
      </c>
      <c r="U45" s="137" t="n">
        <v>17</v>
      </c>
      <c r="V45" s="138" t="n">
        <v>18</v>
      </c>
      <c r="W45" s="137" t="n">
        <v>19</v>
      </c>
      <c r="X45" s="137" t="n">
        <v>20</v>
      </c>
      <c r="Y45" s="137" t="n">
        <v>21</v>
      </c>
      <c r="Z45" s="137" t="n">
        <v>22</v>
      </c>
      <c r="AA45" s="137" t="n">
        <v>23</v>
      </c>
      <c r="AB45" s="137" t="n">
        <v>24</v>
      </c>
      <c r="AC45" s="138" t="n">
        <v>25</v>
      </c>
      <c r="AD45" s="137" t="n">
        <v>26</v>
      </c>
      <c r="AE45" s="137" t="n">
        <v>27</v>
      </c>
      <c r="AF45" s="137" t="n">
        <v>28</v>
      </c>
      <c r="AG45" s="137" t="n">
        <v>29</v>
      </c>
      <c r="AH45" s="137" t="n">
        <v>30</v>
      </c>
      <c r="AI45" s="137" t="n">
        <v>31</v>
      </c>
    </row>
    <row r="46" ht="15" customHeight="1">
      <c r="A46" s="52" t="n"/>
      <c r="B46" s="52" t="n"/>
      <c r="C46" s="52" t="n"/>
      <c r="D46" s="52" t="n"/>
      <c r="E46" s="139" t="inlineStr">
        <is>
          <t>Th</t>
        </is>
      </c>
      <c r="F46" s="139" t="inlineStr">
        <is>
          <t>F</t>
        </is>
      </c>
      <c r="G46" s="139" t="inlineStr">
        <is>
          <t>Sa</t>
        </is>
      </c>
      <c r="H46" s="140" t="inlineStr">
        <is>
          <t>Su</t>
        </is>
      </c>
      <c r="I46" s="139" t="inlineStr">
        <is>
          <t>M</t>
        </is>
      </c>
      <c r="J46" s="139" t="inlineStr">
        <is>
          <t>T</t>
        </is>
      </c>
      <c r="K46" s="139" t="inlineStr">
        <is>
          <t>W</t>
        </is>
      </c>
      <c r="L46" s="139" t="inlineStr">
        <is>
          <t>Th</t>
        </is>
      </c>
      <c r="M46" s="139" t="inlineStr">
        <is>
          <t>F</t>
        </is>
      </c>
      <c r="N46" s="139" t="inlineStr">
        <is>
          <t>Sa</t>
        </is>
      </c>
      <c r="O46" s="140" t="inlineStr">
        <is>
          <t>Su</t>
        </is>
      </c>
      <c r="P46" s="139" t="inlineStr">
        <is>
          <t>M</t>
        </is>
      </c>
      <c r="Q46" s="139" t="inlineStr">
        <is>
          <t>T</t>
        </is>
      </c>
      <c r="R46" s="139" t="inlineStr">
        <is>
          <t>W</t>
        </is>
      </c>
      <c r="S46" s="139" t="inlineStr">
        <is>
          <t>Th</t>
        </is>
      </c>
      <c r="T46" s="139" t="inlineStr">
        <is>
          <t>F</t>
        </is>
      </c>
      <c r="U46" s="139" t="inlineStr">
        <is>
          <t>Sa</t>
        </is>
      </c>
      <c r="V46" s="140" t="inlineStr">
        <is>
          <t>Su</t>
        </is>
      </c>
      <c r="W46" s="139" t="inlineStr">
        <is>
          <t>M</t>
        </is>
      </c>
      <c r="X46" s="139" t="inlineStr">
        <is>
          <t>T</t>
        </is>
      </c>
      <c r="Y46" s="139" t="inlineStr">
        <is>
          <t>W</t>
        </is>
      </c>
      <c r="Z46" s="139" t="inlineStr">
        <is>
          <t>Th</t>
        </is>
      </c>
      <c r="AA46" s="139" t="inlineStr">
        <is>
          <t>F</t>
        </is>
      </c>
      <c r="AB46" s="139" t="inlineStr">
        <is>
          <t>Sa</t>
        </is>
      </c>
      <c r="AC46" s="140" t="inlineStr">
        <is>
          <t>Su</t>
        </is>
      </c>
      <c r="AD46" s="139" t="inlineStr">
        <is>
          <t>M</t>
        </is>
      </c>
      <c r="AE46" s="139" t="inlineStr">
        <is>
          <t>T</t>
        </is>
      </c>
      <c r="AF46" s="139" t="inlineStr">
        <is>
          <t>W</t>
        </is>
      </c>
      <c r="AG46" s="139" t="inlineStr">
        <is>
          <t>Th</t>
        </is>
      </c>
      <c r="AH46" s="139" t="inlineStr">
        <is>
          <t>F</t>
        </is>
      </c>
      <c r="AI46" s="139" t="inlineStr">
        <is>
          <t>Sa</t>
        </is>
      </c>
    </row>
    <row r="47" ht="20" customHeight="1">
      <c r="A47" s="141" t="inlineStr">
        <is>
          <t>Sleep Hours (1-24)</t>
        </is>
      </c>
      <c r="B47" s="142" t="n"/>
      <c r="C47" s="142" t="n"/>
      <c r="D47" s="142" t="n"/>
      <c r="E47" s="143" t="n"/>
      <c r="F47" s="143" t="n"/>
      <c r="G47" s="143" t="n"/>
      <c r="H47" s="144" t="n"/>
      <c r="I47" s="143" t="n"/>
      <c r="J47" s="143" t="n"/>
      <c r="K47" s="143" t="n"/>
      <c r="L47" s="143" t="n"/>
      <c r="M47" s="143" t="n"/>
      <c r="N47" s="143" t="n"/>
      <c r="O47" s="144" t="n"/>
      <c r="P47" s="143" t="n"/>
      <c r="Q47" s="143" t="n"/>
      <c r="R47" s="143" t="n"/>
      <c r="S47" s="143" t="n"/>
      <c r="T47" s="143" t="n"/>
      <c r="U47" s="143" t="n"/>
      <c r="V47" s="144" t="n"/>
      <c r="W47" s="143" t="n"/>
      <c r="X47" s="143" t="n"/>
      <c r="Y47" s="143" t="n"/>
      <c r="Z47" s="143" t="n"/>
      <c r="AA47" s="143" t="n"/>
      <c r="AB47" s="143" t="n"/>
      <c r="AC47" s="144" t="n"/>
      <c r="AD47" s="143" t="n"/>
      <c r="AE47" s="143" t="n"/>
      <c r="AF47" s="143" t="n"/>
      <c r="AG47" s="143" t="n"/>
      <c r="AH47" s="143" t="n"/>
      <c r="AI47" s="143" t="n"/>
    </row>
    <row r="48" ht="6" customHeight="1"/>
    <row r="49" ht="14" customHeight="1"/>
    <row r="50" ht="14" customHeight="1"/>
    <row r="51" ht="14" customHeight="1"/>
    <row r="52" ht="14" customHeight="1"/>
    <row r="53" ht="14" customHeight="1"/>
    <row r="54" ht="14" customHeight="1"/>
    <row r="55" ht="14" customHeight="1"/>
    <row r="56" ht="14" customHeight="1"/>
    <row r="57" ht="14" customHeight="1"/>
    <row r="58" ht="14" customHeight="1"/>
    <row r="59" ht="14" customHeight="1"/>
    <row r="60" ht="14" customHeight="1"/>
    <row r="61" ht="14" customHeight="1"/>
    <row r="62" ht="14" customHeight="1"/>
    <row r="63" ht="14" customHeight="1"/>
    <row r="64" ht="14" customHeight="1"/>
    <row r="65" ht="14" customHeight="1"/>
    <row r="66" ht="8" customHeight="1"/>
    <row r="67">
      <c r="A67" s="145" t="inlineStr">
        <is>
          <t>MONTHLY SUCCESS RATE</t>
        </is>
      </c>
      <c r="B67" s="9" t="n"/>
      <c r="C67" s="9" t="n"/>
      <c r="D67" s="9" t="n"/>
      <c r="F67" s="146" t="inlineStr">
        <is>
          <t>ACTIVE PROTOCOLS</t>
        </is>
      </c>
      <c r="G67" s="11" t="n"/>
      <c r="H67" s="11" t="n"/>
      <c r="I67" s="11" t="n"/>
      <c r="K67" s="147" t="inlineStr">
        <is>
          <t>PERFECT DAYS (100%)</t>
        </is>
      </c>
      <c r="L67" s="13" t="n"/>
      <c r="M67" s="13" t="n"/>
      <c r="N67" s="13" t="n"/>
      <c r="P67" s="148" t="inlineStr">
        <is>
          <t>AVG SLEEP DURATION</t>
        </is>
      </c>
      <c r="Q67" s="15" t="n"/>
      <c r="R67" s="15" t="n"/>
      <c r="S67" s="15" t="n"/>
    </row>
    <row r="68">
      <c r="A68" s="149">
        <f>IF(SUM(D18:D37)&gt;0, SUM(AM18:AM37)/SUM(D18:D37), 0)</f>
        <v/>
      </c>
      <c r="B68" s="9" t="n"/>
      <c r="C68" s="9" t="n"/>
      <c r="D68" s="9" t="n"/>
      <c r="F68" s="150">
        <f>COUNTA(B18:B37) &amp; " / 20"</f>
        <v/>
      </c>
      <c r="G68" s="11" t="n"/>
      <c r="H68" s="11" t="n"/>
      <c r="I68" s="11" t="n"/>
      <c r="K68" s="151">
        <f>COUNTIF(E39:AI39, 1) &amp; " Days"</f>
        <v/>
      </c>
      <c r="L68" s="13" t="n"/>
      <c r="M68" s="13" t="n"/>
      <c r="N68" s="13" t="n"/>
      <c r="P68" s="152">
        <f>IFERROR(TEXT(AVERAGE(E47:AI47), "0.0") &amp; " hrs", "-")</f>
        <v/>
      </c>
      <c r="Q68" s="15" t="n"/>
      <c r="R68" s="15" t="n"/>
      <c r="S68" s="15" t="n"/>
    </row>
    <row r="69">
      <c r="A69" s="9" t="n"/>
      <c r="B69" s="9" t="n"/>
      <c r="C69" s="9" t="n"/>
      <c r="D69" s="9" t="n"/>
      <c r="F69" s="11" t="n"/>
      <c r="G69" s="11" t="n"/>
      <c r="H69" s="11" t="n"/>
      <c r="I69" s="11" t="n"/>
      <c r="K69" s="13" t="n"/>
      <c r="L69" s="13" t="n"/>
      <c r="M69" s="13" t="n"/>
      <c r="N69" s="13" t="n"/>
      <c r="P69" s="15" t="n"/>
      <c r="Q69" s="15" t="n"/>
      <c r="R69" s="15" t="n"/>
      <c r="S69" s="15" t="n"/>
    </row>
    <row r="70">
      <c r="A70" s="9" t="n"/>
      <c r="B70" s="9" t="n"/>
      <c r="C70" s="9" t="n"/>
      <c r="D70" s="9" t="n"/>
      <c r="F70" s="11" t="n"/>
      <c r="G70" s="11" t="n"/>
      <c r="H70" s="11" t="n"/>
      <c r="I70" s="11" t="n"/>
      <c r="K70" s="13" t="n"/>
      <c r="L70" s="13" t="n"/>
      <c r="M70" s="13" t="n"/>
      <c r="N70" s="13" t="n"/>
      <c r="P70" s="15" t="n"/>
      <c r="Q70" s="15" t="n"/>
      <c r="R70" s="15" t="n"/>
      <c r="S70" s="15" t="n"/>
    </row>
    <row r="71">
      <c r="A71" s="153" t="inlineStr">
        <is>
          <t>Target Completion</t>
        </is>
      </c>
      <c r="B71" s="9" t="n"/>
      <c r="C71" s="9" t="n"/>
      <c r="D71" s="9" t="n"/>
      <c r="F71" s="154" t="inlineStr">
        <is>
          <t>Habits Tracked</t>
        </is>
      </c>
      <c r="G71" s="11" t="n"/>
      <c r="H71" s="11" t="n"/>
      <c r="I71" s="11" t="n"/>
      <c r="K71" s="155" t="inlineStr">
        <is>
          <t>All Marked Habits Completed</t>
        </is>
      </c>
      <c r="L71" s="13" t="n"/>
      <c r="M71" s="13" t="n"/>
      <c r="N71" s="13" t="n"/>
      <c r="P71" s="156" t="inlineStr">
        <is>
          <t>Nightly Rest Average</t>
        </is>
      </c>
      <c r="Q71" s="15" t="n"/>
      <c r="R71" s="15" t="n"/>
      <c r="S71" s="15" t="n"/>
    </row>
    <row r="72" ht="8" customHeight="1"/>
    <row r="73" ht="6" customHeight="1"/>
    <row r="74">
      <c r="A74" s="67" t="inlineStr">
        <is>
          <t>WEEKLY PERFORMANCE (SLUMP DETECTOR)</t>
        </is>
      </c>
      <c r="B74" s="29" t="n"/>
      <c r="C74" s="29" t="n"/>
      <c r="D74" s="29" t="n"/>
      <c r="E74" s="29" t="n"/>
      <c r="N74" s="157" t="inlineStr">
        <is>
          <t>LIFE DOMAIN / CATEGORY BREAKDOWN</t>
        </is>
      </c>
      <c r="O74" s="158" t="n"/>
      <c r="P74" s="158" t="n"/>
      <c r="Q74" s="158" t="n"/>
      <c r="R74" s="158" t="n"/>
      <c r="S74" s="158" t="n"/>
    </row>
    <row r="75" ht="15" customHeight="1">
      <c r="A75" s="53" t="inlineStr">
        <is>
          <t>Week</t>
        </is>
      </c>
      <c r="B75" s="53" t="inlineStr">
        <is>
          <t>Days Range</t>
        </is>
      </c>
      <c r="C75" s="53" t="inlineStr">
        <is>
          <t>Checks Done</t>
        </is>
      </c>
      <c r="D75" s="53" t="inlineStr">
        <is>
          <t>Evaluated</t>
        </is>
      </c>
      <c r="E75" s="53" t="inlineStr">
        <is>
          <t>Success %</t>
        </is>
      </c>
      <c r="N75" s="53" t="inlineStr">
        <is>
          <t>Domain / Category</t>
        </is>
      </c>
      <c r="O75" s="54" t="n"/>
      <c r="P75" s="53" t="inlineStr">
        <is>
          <t>Active Habits</t>
        </is>
      </c>
      <c r="Q75" s="53" t="inlineStr">
        <is>
          <t>Target Days</t>
        </is>
      </c>
      <c r="R75" s="53" t="inlineStr">
        <is>
          <t>Done Checks</t>
        </is>
      </c>
      <c r="S75" s="53" t="inlineStr">
        <is>
          <t>Success %</t>
        </is>
      </c>
    </row>
    <row r="76" ht="14" customHeight="1">
      <c r="A76" s="33" t="inlineStr">
        <is>
          <t>Week 1</t>
        </is>
      </c>
      <c r="B76" s="34" t="inlineStr">
        <is>
          <t>Days 1 - 7</t>
        </is>
      </c>
      <c r="C76" s="34">
        <f>COUNTIF(E18:K37, "✓")</f>
        <v/>
      </c>
      <c r="D76" s="34">
        <f>COUNTIF(E18:K37, "✓") + COUNTIF(E18:K37, "✗")</f>
        <v/>
      </c>
      <c r="E76" s="35">
        <f>IFERROR(C76/D76, 0)</f>
        <v/>
      </c>
      <c r="N76" s="60" t="inlineStr">
        <is>
          <t>Health &amp; Fitness</t>
        </is>
      </c>
      <c r="O76" s="54" t="n"/>
      <c r="P76" s="34">
        <f>COUNTIF($C$18:$C$37, "Health &amp; Fitness")</f>
        <v/>
      </c>
      <c r="Q76" s="34">
        <f>SUMIF($C$18:$C$37, "Health &amp; Fitness", $D$18:$D$37)</f>
        <v/>
      </c>
      <c r="R76" s="34">
        <f>SUMIF($C$18:$C$37, "Health &amp; Fitness", $AM$18:$AM$37)</f>
        <v/>
      </c>
      <c r="S76" s="35">
        <f>IFERROR(R76/Q76, 0)</f>
        <v/>
      </c>
    </row>
    <row r="77" ht="14" customHeight="1">
      <c r="A77" s="33" t="inlineStr">
        <is>
          <t>Week 2</t>
        </is>
      </c>
      <c r="B77" s="34" t="inlineStr">
        <is>
          <t>Days 8 - 14</t>
        </is>
      </c>
      <c r="C77" s="34">
        <f>COUNTIF(L18:R37, "✓")</f>
        <v/>
      </c>
      <c r="D77" s="34">
        <f>COUNTIF(L18:R37, "✓") + COUNTIF(L18:R37, "✗")</f>
        <v/>
      </c>
      <c r="E77" s="35">
        <f>IFERROR(C77/D77, 0)</f>
        <v/>
      </c>
      <c r="N77" s="60" t="inlineStr">
        <is>
          <t>Mindset &amp; Learning</t>
        </is>
      </c>
      <c r="O77" s="54" t="n"/>
      <c r="P77" s="34">
        <f>COUNTIF($C$18:$C$37, "Mindset &amp; Learning")</f>
        <v/>
      </c>
      <c r="Q77" s="34">
        <f>SUMIF($C$18:$C$37, "Mindset &amp; Learning", $D$18:$D$37)</f>
        <v/>
      </c>
      <c r="R77" s="34">
        <f>SUMIF($C$18:$C$37, "Mindset &amp; Learning", $AM$18:$AM$37)</f>
        <v/>
      </c>
      <c r="S77" s="35">
        <f>IFERROR(R77/Q77, 0)</f>
        <v/>
      </c>
    </row>
    <row r="78" ht="14" customHeight="1">
      <c r="A78" s="33" t="inlineStr">
        <is>
          <t>Week 3</t>
        </is>
      </c>
      <c r="B78" s="34" t="inlineStr">
        <is>
          <t>Days 15 - 21</t>
        </is>
      </c>
      <c r="C78" s="34">
        <f>COUNTIF(S18:Y37, "✓")</f>
        <v/>
      </c>
      <c r="D78" s="34">
        <f>COUNTIF(S18:Y37, "✓") + COUNTIF(S18:Y37, "✗")</f>
        <v/>
      </c>
      <c r="E78" s="35">
        <f>IFERROR(C78/D78, 0)</f>
        <v/>
      </c>
      <c r="N78" s="60" t="inlineStr">
        <is>
          <t>Career &amp; Focus</t>
        </is>
      </c>
      <c r="O78" s="54" t="n"/>
      <c r="P78" s="34">
        <f>COUNTIF($C$18:$C$37, "Career &amp; Focus")</f>
        <v/>
      </c>
      <c r="Q78" s="34">
        <f>SUMIF($C$18:$C$37, "Career &amp; Focus", $D$18:$D$37)</f>
        <v/>
      </c>
      <c r="R78" s="34">
        <f>SUMIF($C$18:$C$37, "Career &amp; Focus", $AM$18:$AM$37)</f>
        <v/>
      </c>
      <c r="S78" s="35">
        <f>IFERROR(R78/Q78, 0)</f>
        <v/>
      </c>
    </row>
    <row r="79" ht="14" customHeight="1">
      <c r="A79" s="33" t="inlineStr">
        <is>
          <t>Week 4</t>
        </is>
      </c>
      <c r="B79" s="34" t="inlineStr">
        <is>
          <t>Days 22 - 28</t>
        </is>
      </c>
      <c r="C79" s="34">
        <f>COUNTIF(Z18:AF37, "✓")</f>
        <v/>
      </c>
      <c r="D79" s="34">
        <f>COUNTIF(Z18:AF37, "✓") + COUNTIF(Z18:AF37, "✗")</f>
        <v/>
      </c>
      <c r="E79" s="35">
        <f>IFERROR(C79/D79, 0)</f>
        <v/>
      </c>
      <c r="N79" s="60" t="inlineStr">
        <is>
          <t>Personal &amp; Home</t>
        </is>
      </c>
      <c r="O79" s="54" t="n"/>
      <c r="P79" s="34">
        <f>COUNTIF($C$18:$C$37, "Personal &amp; Home")</f>
        <v/>
      </c>
      <c r="Q79" s="34">
        <f>SUMIF($C$18:$C$37, "Personal &amp; Home", $D$18:$D$37)</f>
        <v/>
      </c>
      <c r="R79" s="34">
        <f>SUMIF($C$18:$C$37, "Personal &amp; Home", $AM$18:$AM$37)</f>
        <v/>
      </c>
      <c r="S79" s="35">
        <f>IFERROR(R79/Q79, 0)</f>
        <v/>
      </c>
    </row>
    <row r="80" ht="14" customHeight="1">
      <c r="A80" s="33" t="inlineStr">
        <is>
          <t>Week 5</t>
        </is>
      </c>
      <c r="B80" s="34" t="inlineStr">
        <is>
          <t>Days 29 - 31</t>
        </is>
      </c>
      <c r="C80" s="34">
        <f>COUNTIF(AG18:AI37, "✓")</f>
        <v/>
      </c>
      <c r="D80" s="34">
        <f>COUNTIF(AG18:AI37, "✓") + COUNTIF(AG18:AI37, "✗")</f>
        <v/>
      </c>
      <c r="E80" s="35">
        <f>IFERROR(C80/D80, 0)</f>
        <v/>
      </c>
      <c r="N80" s="60" t="inlineStr">
        <is>
          <t>Finance &amp; Wealth</t>
        </is>
      </c>
      <c r="O80" s="54" t="n"/>
      <c r="P80" s="34">
        <f>COUNTIF($C$18:$C$37, "Finance &amp; Wealth")</f>
        <v/>
      </c>
      <c r="Q80" s="34">
        <f>SUMIF($C$18:$C$37, "Finance &amp; Wealth", $D$18:$D$37)</f>
        <v/>
      </c>
      <c r="R80" s="34">
        <f>SUMIF($C$18:$C$37, "Finance &amp; Wealth", $AM$18:$AM$37)</f>
        <v/>
      </c>
      <c r="S80" s="35">
        <f>IFERROR(R80/Q80, 0)</f>
        <v/>
      </c>
    </row>
    <row r="81" ht="14" customHeight="1">
      <c r="A81" s="33" t="inlineStr">
        <is>
          <t>Total / Avg</t>
        </is>
      </c>
      <c r="B81" s="159" t="inlineStr">
        <is>
          <t>Month Total</t>
        </is>
      </c>
      <c r="C81" s="33">
        <f>SUM(C76:C80)</f>
        <v/>
      </c>
      <c r="D81" s="33">
        <f>SUM(D76:D80)</f>
        <v/>
      </c>
      <c r="E81" s="133">
        <f>IFERROR(C81/D81, 0)</f>
        <v/>
      </c>
    </row>
    <row r="82" ht="10" customHeight="1"/>
    <row r="83" ht="10" customHeight="1"/>
    <row r="84">
      <c r="A84" s="51" t="inlineStr">
        <is>
          <t>SLEEP &amp; PRODUCTIVITY CORRELATION ANALYSIS</t>
        </is>
      </c>
      <c r="B84" s="52" t="n"/>
      <c r="C84" s="52" t="n"/>
      <c r="D84" s="52" t="n"/>
      <c r="E84" s="52" t="n"/>
      <c r="F84" s="52" t="n"/>
      <c r="G84" s="52" t="n"/>
      <c r="H84" s="52" t="n"/>
      <c r="I84" s="52" t="n"/>
      <c r="J84" s="52" t="n"/>
      <c r="K84" s="52" t="n"/>
      <c r="L84" s="52" t="n"/>
      <c r="M84" s="52" t="n"/>
      <c r="N84" s="52" t="n"/>
      <c r="O84" s="52" t="n"/>
      <c r="P84" s="52" t="n"/>
      <c r="Q84" s="52" t="n"/>
      <c r="R84" s="52" t="n"/>
      <c r="S84" s="52" t="n"/>
      <c r="T84" s="52" t="n"/>
      <c r="U84" s="52" t="n"/>
      <c r="V84" s="52" t="n"/>
      <c r="W84" s="52" t="n"/>
      <c r="X84" s="52" t="n"/>
      <c r="Y84" s="52" t="n"/>
      <c r="Z84" s="52" t="n"/>
      <c r="AA84" s="52" t="n"/>
      <c r="AB84" s="52" t="n"/>
      <c r="AC84" s="52" t="n"/>
      <c r="AD84" s="52" t="n"/>
      <c r="AE84" s="52" t="n"/>
      <c r="AF84" s="52" t="n"/>
      <c r="AG84" s="52" t="n"/>
      <c r="AH84" s="52" t="n"/>
      <c r="AI84" s="52" t="n"/>
      <c r="AJ84" s="52" t="n"/>
      <c r="AK84" s="52" t="n"/>
      <c r="AL84" s="52" t="n"/>
    </row>
    <row r="85" ht="15" customHeight="1">
      <c r="A85" s="53" t="inlineStr">
        <is>
          <t>Rest Category</t>
        </is>
      </c>
      <c r="B85" s="54" t="n"/>
      <c r="C85" s="54" t="n"/>
      <c r="D85" s="53" t="inlineStr">
        <is>
          <t>Day Criteria</t>
        </is>
      </c>
      <c r="E85" s="54" t="n"/>
      <c r="F85" s="54" t="n"/>
      <c r="G85" s="53" t="inlineStr">
        <is>
          <t>Days Logged</t>
        </is>
      </c>
      <c r="H85" s="54" t="n"/>
      <c r="I85" s="54" t="n"/>
      <c r="J85" s="53" t="inlineStr">
        <is>
          <t>Avg Sleep Duration</t>
        </is>
      </c>
      <c r="K85" s="54" t="n"/>
      <c r="L85" s="54" t="n"/>
      <c r="M85" s="54" t="n"/>
      <c r="N85" s="53" t="inlineStr">
        <is>
          <t>Avg Habit Success %</t>
        </is>
      </c>
      <c r="O85" s="54" t="n"/>
      <c r="P85" s="54" t="n"/>
      <c r="Q85" s="54" t="n"/>
      <c r="R85" s="53" t="inlineStr">
        <is>
          <t>Productivity Delta</t>
        </is>
      </c>
      <c r="S85" s="54" t="n"/>
      <c r="T85" s="54" t="n"/>
      <c r="U85" s="54" t="n"/>
    </row>
    <row r="86" ht="15" customHeight="1">
      <c r="A86" s="160" t="inlineStr">
        <is>
          <t>Optimal Rest</t>
        </is>
      </c>
      <c r="B86" s="161" t="n"/>
      <c r="C86" s="56" t="n"/>
      <c r="D86" s="34" t="inlineStr">
        <is>
          <t>&gt;= 7 Hours / Night</t>
        </is>
      </c>
      <c r="E86" s="161" t="n"/>
      <c r="F86" s="56" t="n"/>
      <c r="G86" s="33">
        <f>COUNTIF(E47:AI47, "&gt;=7")</f>
        <v/>
      </c>
      <c r="H86" s="161" t="n"/>
      <c r="I86" s="56" t="n"/>
      <c r="J86" s="34">
        <f>IFERROR(TEXT(AVERAGEIF(E47:AI47, "&gt;=7"), "0.0") &amp; " hrs", "-")</f>
        <v/>
      </c>
      <c r="K86" s="161" t="n"/>
      <c r="L86" s="161" t="n"/>
      <c r="M86" s="56" t="n"/>
      <c r="N86" s="42">
        <f>IFERROR(AVERAGEIFS(E39:AI39, E47:AI47, "&gt;=7", E39:AI39, "&gt;0"), 0)</f>
        <v/>
      </c>
      <c r="O86" s="161" t="n"/>
      <c r="P86" s="161" t="n"/>
      <c r="Q86" s="56" t="n"/>
      <c r="R86" s="159" t="inlineStr">
        <is>
          <t>Baseline (Target)</t>
        </is>
      </c>
      <c r="S86" s="161" t="n"/>
      <c r="T86" s="161" t="n"/>
      <c r="U86" s="56" t="n"/>
    </row>
    <row r="87" ht="15" customHeight="1">
      <c r="A87" s="162" t="inlineStr">
        <is>
          <t>Sleep Deficit</t>
        </is>
      </c>
      <c r="B87" s="161" t="n"/>
      <c r="C87" s="56" t="n"/>
      <c r="D87" s="34" t="inlineStr">
        <is>
          <t>&lt; 7 Hours / Night</t>
        </is>
      </c>
      <c r="E87" s="161" t="n"/>
      <c r="F87" s="56" t="n"/>
      <c r="G87" s="33">
        <f>COUNTIF(E47:AI47, "&lt;7") - COUNTIF(E47:AI47, "")</f>
        <v/>
      </c>
      <c r="H87" s="161" t="n"/>
      <c r="I87" s="56" t="n"/>
      <c r="J87" s="34">
        <f>IFERROR(TEXT(AVERAGEIFS(E47:AI47, E47:AI47, "&lt;7", E47:AI47, "&gt;0"), "0.0") &amp; " hrs", "-")</f>
        <v/>
      </c>
      <c r="K87" s="161" t="n"/>
      <c r="L87" s="161" t="n"/>
      <c r="M87" s="56" t="n"/>
      <c r="N87" s="163">
        <f>IFERROR(AVERAGEIFS(E39:AI39, E47:AI47, "&lt;7", E39:AI39, "&gt;0"), 0)</f>
        <v/>
      </c>
      <c r="O87" s="161" t="n"/>
      <c r="P87" s="161" t="n"/>
      <c r="Q87" s="56" t="n"/>
      <c r="R87" s="160">
        <f>IFERROR(TEXT(N86 - N87, "+0.0%;-0.0%;0.0%") &amp; " Rest Advantage", "-")</f>
        <v/>
      </c>
      <c r="S87" s="161" t="n"/>
      <c r="T87" s="161" t="n"/>
      <c r="U87" s="56" t="n"/>
    </row>
    <row r="88" ht="18" customHeight="1">
      <c r="A88" s="164">
        <f>IF(AND(ISNUMBER(N86), ISNUMBER(N87), N86&gt;0, N87&gt;0), "💡 Sleep Correlation Insight: You complete " &amp; TEXT(ABS(N86-N87), "0.0%") &amp; IF(N86&gt;=N87, " MORE habits on days with 7+ hours of sleep!", " fewer habits on days with 7+ hours of sleep."), "💡 Log both habits and sleep hours daily to unlock automatic AI correlation insights!")</f>
        <v/>
      </c>
      <c r="B88" s="161" t="n"/>
      <c r="C88" s="161" t="n"/>
      <c r="D88" s="161" t="n"/>
      <c r="E88" s="161" t="n"/>
      <c r="F88" s="161" t="n"/>
      <c r="G88" s="161" t="n"/>
      <c r="H88" s="161" t="n"/>
      <c r="I88" s="161" t="n"/>
      <c r="J88" s="161" t="n"/>
      <c r="K88" s="161" t="n"/>
      <c r="L88" s="161" t="n"/>
      <c r="M88" s="161" t="n"/>
      <c r="N88" s="161" t="n"/>
      <c r="O88" s="161" t="n"/>
      <c r="P88" s="161" t="n"/>
      <c r="Q88" s="161" t="n"/>
      <c r="R88" s="161" t="n"/>
      <c r="S88" s="161" t="n"/>
      <c r="T88" s="161" t="n"/>
      <c r="U88" s="161" t="n"/>
      <c r="V88" s="161" t="n"/>
      <c r="W88" s="161" t="n"/>
      <c r="X88" s="161" t="n"/>
      <c r="Y88" s="161" t="n"/>
      <c r="Z88" s="161" t="n"/>
      <c r="AA88" s="161" t="n"/>
      <c r="AB88" s="161" t="n"/>
      <c r="AC88" s="161" t="n"/>
      <c r="AD88" s="161" t="n"/>
      <c r="AE88" s="161" t="n"/>
      <c r="AF88" s="161" t="n"/>
      <c r="AG88" s="161" t="n"/>
      <c r="AH88" s="161" t="n"/>
      <c r="AI88" s="161" t="n"/>
      <c r="AJ88" s="161" t="n"/>
      <c r="AK88" s="161" t="n"/>
      <c r="AL88" s="56" t="n"/>
    </row>
    <row r="89" ht="10" customHeight="1"/>
    <row r="90">
      <c r="A90" s="43" t="inlineStr">
        <is>
          <t>STANDARDIZED DATA BRIDGE (FOR ANNUAL &amp; QUARTERLY REVIEW SHEETS)</t>
        </is>
      </c>
      <c r="B90" s="44" t="n"/>
      <c r="C90" s="44" t="n"/>
      <c r="D90" s="44" t="n"/>
      <c r="E90" s="44" t="n"/>
      <c r="F90" s="44" t="n"/>
      <c r="G90" s="44" t="n"/>
      <c r="H90" s="44" t="n"/>
      <c r="I90" s="44" t="n"/>
      <c r="J90" s="44" t="n"/>
      <c r="K90" s="44" t="n"/>
      <c r="L90" s="44" t="n"/>
      <c r="M90" s="44" t="n"/>
      <c r="N90" s="44" t="n"/>
      <c r="O90" s="44" t="n"/>
      <c r="P90" s="44" t="n"/>
      <c r="Q90" s="44" t="n"/>
      <c r="R90" s="44" t="n"/>
      <c r="S90" s="44" t="n"/>
      <c r="T90" s="44" t="n"/>
      <c r="U90" s="44" t="n"/>
      <c r="V90" s="44" t="n"/>
      <c r="W90" s="44" t="n"/>
      <c r="X90" s="44" t="n"/>
      <c r="Y90" s="44" t="n"/>
      <c r="Z90" s="44" t="n"/>
      <c r="AA90" s="44" t="n"/>
      <c r="AB90" s="44" t="n"/>
      <c r="AC90" s="44" t="n"/>
      <c r="AD90" s="44" t="n"/>
      <c r="AE90" s="44" t="n"/>
      <c r="AF90" s="44" t="n"/>
      <c r="AG90" s="44" t="n"/>
      <c r="AH90" s="44" t="n"/>
      <c r="AI90" s="44" t="n"/>
      <c r="AJ90" s="44" t="n"/>
      <c r="AK90" s="44" t="n"/>
      <c r="AL90" s="44" t="n"/>
    </row>
    <row r="91" ht="15" customHeight="1">
      <c r="A91" s="53" t="inlineStr">
        <is>
          <t>Month</t>
        </is>
      </c>
      <c r="B91" s="54" t="n"/>
      <c r="C91" s="53" t="inlineStr">
        <is>
          <t>Year</t>
        </is>
      </c>
      <c r="D91" s="54" t="n"/>
      <c r="E91" s="53" t="inlineStr">
        <is>
          <t>Active Habits</t>
        </is>
      </c>
      <c r="F91" s="54" t="n"/>
      <c r="G91" s="53" t="inlineStr">
        <is>
          <t>Target Days</t>
        </is>
      </c>
      <c r="H91" s="54" t="n"/>
      <c r="I91" s="53" t="inlineStr">
        <is>
          <t>Done Checks</t>
        </is>
      </c>
      <c r="J91" s="54" t="n"/>
      <c r="K91" s="53" t="inlineStr">
        <is>
          <t>Success %</t>
        </is>
      </c>
      <c r="L91" s="54" t="n"/>
      <c r="M91" s="53" t="inlineStr">
        <is>
          <t>Perfect Days</t>
        </is>
      </c>
      <c r="N91" s="54" t="n"/>
      <c r="O91" s="53" t="inlineStr">
        <is>
          <t>Avg Sleep</t>
        </is>
      </c>
      <c r="P91" s="54" t="n"/>
      <c r="Q91" s="53" t="inlineStr">
        <is>
          <t>Best Week</t>
        </is>
      </c>
      <c r="R91" s="54" t="n"/>
      <c r="S91" s="54" t="n"/>
      <c r="T91" s="53" t="inlineStr">
        <is>
          <t>Top Life Domain</t>
        </is>
      </c>
      <c r="U91" s="54" t="n"/>
      <c r="V91" s="54" t="n"/>
      <c r="W91" s="54" t="n"/>
    </row>
    <row r="92" ht="16" customHeight="1">
      <c r="A92" s="165" t="inlineStr">
        <is>
          <t>Jul</t>
        </is>
      </c>
      <c r="B92" s="56" t="n"/>
      <c r="C92" s="165" t="n">
        <v>2027</v>
      </c>
      <c r="D92" s="56" t="n"/>
      <c r="E92" s="166">
        <f>COUNTA(B18:B37)</f>
        <v/>
      </c>
      <c r="F92" s="56" t="n"/>
      <c r="G92" s="166">
        <f>SUM(D18:D37)</f>
        <v/>
      </c>
      <c r="H92" s="56" t="n"/>
      <c r="I92" s="166">
        <f>SUM(AM18:AM37)</f>
        <v/>
      </c>
      <c r="J92" s="56" t="n"/>
      <c r="K92" s="167">
        <f>IF(G92&gt;0, I92/G92, 0)</f>
        <v/>
      </c>
      <c r="L92" s="56" t="n"/>
      <c r="M92" s="166">
        <f>COUNTIF(E39:AI39, 1)</f>
        <v/>
      </c>
      <c r="N92" s="56" t="n"/>
      <c r="O92" s="168">
        <f>IFERROR(AVERAGE(E47:AI47), 0)</f>
        <v/>
      </c>
      <c r="P92" s="56" t="n"/>
      <c r="Q92" s="166">
        <f>INDEX(A76:A80, MATCH(MAX(E76:E80), E76:E80, 0))</f>
        <v/>
      </c>
      <c r="R92" s="161" t="n"/>
      <c r="S92" s="56" t="n"/>
      <c r="T92" s="166">
        <f>INDEX(N76:N80, MATCH(MAX(S76:S80), S76:S80, 0))</f>
        <v/>
      </c>
      <c r="U92" s="161" t="n"/>
      <c r="V92" s="161" t="n"/>
      <c r="W92" s="56" t="n"/>
    </row>
    <row r="93" ht="14" customHeight="1">
      <c r="A93" s="169" t="inlineStr">
        <is>
          <t>📋 Note: Reference or copy Row 92 directly into an Annual / Quarterly review dashboard to track yearly habit trends.</t>
        </is>
      </c>
    </row>
    <row r="94" ht="8" customHeight="1"/>
    <row r="95">
      <c r="A95" s="170" t="inlineStr">
        <is>
          <t>🏆 MONTHLY WINS &amp; HIGHLIGHTS</t>
        </is>
      </c>
      <c r="J95" s="171" t="inlineStr">
        <is>
          <t>⚠️ FRICTION POINTS &amp; ROOT CAUSES</t>
        </is>
      </c>
      <c r="S95" s="172" t="inlineStr">
        <is>
          <t>🎯 3 KEY ADJUSTMENTS FOR NEXT MONTH</t>
        </is>
      </c>
    </row>
    <row r="96">
      <c r="A96" s="173" t="inlineStr">
        <is>
          <t>1. What went exceptionally well this month?
2. Which habit felt effortless and consistent?
3. Major milestone achieved:</t>
        </is>
      </c>
      <c r="B96" s="174" t="n"/>
      <c r="C96" s="174" t="n"/>
      <c r="D96" s="174" t="n"/>
      <c r="E96" s="174" t="n"/>
      <c r="F96" s="174" t="n"/>
      <c r="G96" s="174" t="n"/>
      <c r="H96" s="174" t="n"/>
      <c r="J96" s="175" t="inlineStr">
        <is>
          <t>1. What caused missed or skipped days?
2. Main triggers / energy drains encountered:
3. Which habit had the lowest consistency and why?</t>
        </is>
      </c>
      <c r="K96" s="176" t="n"/>
      <c r="L96" s="176" t="n"/>
      <c r="M96" s="176" t="n"/>
      <c r="N96" s="176" t="n"/>
      <c r="O96" s="176" t="n"/>
      <c r="P96" s="176" t="n"/>
      <c r="Q96" s="176" t="n"/>
      <c r="S96" s="177" t="inlineStr">
        <is>
          <t>1. Habit Stacking or time adjustment for next month:
2. Environment design change to eliminate friction:
3. One non-negotiable priority protocol:</t>
        </is>
      </c>
      <c r="T96" s="178" t="n"/>
      <c r="U96" s="178" t="n"/>
      <c r="V96" s="178" t="n"/>
      <c r="W96" s="178" t="n"/>
      <c r="X96" s="178" t="n"/>
      <c r="Y96" s="178" t="n"/>
      <c r="Z96" s="178" t="n"/>
    </row>
    <row r="97">
      <c r="A97" s="174" t="n"/>
      <c r="B97" s="174" t="n"/>
      <c r="C97" s="174" t="n"/>
      <c r="D97" s="174" t="n"/>
      <c r="E97" s="174" t="n"/>
      <c r="F97" s="174" t="n"/>
      <c r="G97" s="174" t="n"/>
      <c r="H97" s="174" t="n"/>
      <c r="J97" s="176" t="n"/>
      <c r="K97" s="176" t="n"/>
      <c r="L97" s="176" t="n"/>
      <c r="M97" s="176" t="n"/>
      <c r="N97" s="176" t="n"/>
      <c r="O97" s="176" t="n"/>
      <c r="P97" s="176" t="n"/>
      <c r="Q97" s="176" t="n"/>
      <c r="S97" s="178" t="n"/>
      <c r="T97" s="178" t="n"/>
      <c r="U97" s="178" t="n"/>
      <c r="V97" s="178" t="n"/>
      <c r="W97" s="178" t="n"/>
      <c r="X97" s="178" t="n"/>
      <c r="Y97" s="178" t="n"/>
      <c r="Z97" s="178" t="n"/>
    </row>
    <row r="98">
      <c r="A98" s="174" t="n"/>
      <c r="B98" s="174" t="n"/>
      <c r="C98" s="174" t="n"/>
      <c r="D98" s="174" t="n"/>
      <c r="E98" s="174" t="n"/>
      <c r="F98" s="174" t="n"/>
      <c r="G98" s="174" t="n"/>
      <c r="H98" s="174" t="n"/>
      <c r="J98" s="176" t="n"/>
      <c r="K98" s="176" t="n"/>
      <c r="L98" s="176" t="n"/>
      <c r="M98" s="176" t="n"/>
      <c r="N98" s="176" t="n"/>
      <c r="O98" s="176" t="n"/>
      <c r="P98" s="176" t="n"/>
      <c r="Q98" s="176" t="n"/>
      <c r="S98" s="178" t="n"/>
      <c r="T98" s="178" t="n"/>
      <c r="U98" s="178" t="n"/>
      <c r="V98" s="178" t="n"/>
      <c r="W98" s="178" t="n"/>
      <c r="X98" s="178" t="n"/>
      <c r="Y98" s="178" t="n"/>
      <c r="Z98" s="178" t="n"/>
    </row>
    <row r="99">
      <c r="A99" s="174" t="n"/>
      <c r="B99" s="174" t="n"/>
      <c r="C99" s="174" t="n"/>
      <c r="D99" s="174" t="n"/>
      <c r="E99" s="174" t="n"/>
      <c r="F99" s="174" t="n"/>
      <c r="G99" s="174" t="n"/>
      <c r="H99" s="174" t="n"/>
      <c r="J99" s="176" t="n"/>
      <c r="K99" s="176" t="n"/>
      <c r="L99" s="176" t="n"/>
      <c r="M99" s="176" t="n"/>
      <c r="N99" s="176" t="n"/>
      <c r="O99" s="176" t="n"/>
      <c r="P99" s="176" t="n"/>
      <c r="Q99" s="176" t="n"/>
      <c r="S99" s="178" t="n"/>
      <c r="T99" s="178" t="n"/>
      <c r="U99" s="178" t="n"/>
      <c r="V99" s="178" t="n"/>
      <c r="W99" s="178" t="n"/>
      <c r="X99" s="178" t="n"/>
      <c r="Y99" s="178" t="n"/>
      <c r="Z99" s="178" t="n"/>
    </row>
    <row r="100">
      <c r="A100" s="174" t="n"/>
      <c r="B100" s="174" t="n"/>
      <c r="C100" s="174" t="n"/>
      <c r="D100" s="174" t="n"/>
      <c r="E100" s="174" t="n"/>
      <c r="F100" s="174" t="n"/>
      <c r="G100" s="174" t="n"/>
      <c r="H100" s="174" t="n"/>
      <c r="J100" s="176" t="n"/>
      <c r="K100" s="176" t="n"/>
      <c r="L100" s="176" t="n"/>
      <c r="M100" s="176" t="n"/>
      <c r="N100" s="176" t="n"/>
      <c r="O100" s="176" t="n"/>
      <c r="P100" s="176" t="n"/>
      <c r="Q100" s="176" t="n"/>
      <c r="S100" s="178" t="n"/>
      <c r="T100" s="178" t="n"/>
      <c r="U100" s="178" t="n"/>
      <c r="V100" s="178" t="n"/>
      <c r="W100" s="178" t="n"/>
      <c r="X100" s="178" t="n"/>
      <c r="Y100" s="178" t="n"/>
      <c r="Z100" s="178" t="n"/>
    </row>
    <row r="101">
      <c r="A101" s="174" t="n"/>
      <c r="B101" s="174" t="n"/>
      <c r="C101" s="174" t="n"/>
      <c r="D101" s="174" t="n"/>
      <c r="E101" s="174" t="n"/>
      <c r="F101" s="174" t="n"/>
      <c r="G101" s="174" t="n"/>
      <c r="H101" s="174" t="n"/>
      <c r="J101" s="176" t="n"/>
      <c r="K101" s="176" t="n"/>
      <c r="L101" s="176" t="n"/>
      <c r="M101" s="176" t="n"/>
      <c r="N101" s="176" t="n"/>
      <c r="O101" s="176" t="n"/>
      <c r="P101" s="176" t="n"/>
      <c r="Q101" s="176" t="n"/>
      <c r="S101" s="178" t="n"/>
      <c r="T101" s="178" t="n"/>
      <c r="U101" s="178" t="n"/>
      <c r="V101" s="178" t="n"/>
      <c r="W101" s="178" t="n"/>
      <c r="X101" s="178" t="n"/>
      <c r="Y101" s="178" t="n"/>
      <c r="Z101" s="178" t="n"/>
    </row>
    <row r="102">
      <c r="A102" s="174" t="n"/>
      <c r="B102" s="174" t="n"/>
      <c r="C102" s="174" t="n"/>
      <c r="D102" s="174" t="n"/>
      <c r="E102" s="174" t="n"/>
      <c r="F102" s="174" t="n"/>
      <c r="G102" s="174" t="n"/>
      <c r="H102" s="174" t="n"/>
      <c r="J102" s="176" t="n"/>
      <c r="K102" s="176" t="n"/>
      <c r="L102" s="176" t="n"/>
      <c r="M102" s="176" t="n"/>
      <c r="N102" s="176" t="n"/>
      <c r="O102" s="176" t="n"/>
      <c r="P102" s="176" t="n"/>
      <c r="Q102" s="176" t="n"/>
      <c r="S102" s="178" t="n"/>
      <c r="T102" s="178" t="n"/>
      <c r="U102" s="178" t="n"/>
      <c r="V102" s="178" t="n"/>
      <c r="W102" s="178" t="n"/>
      <c r="X102" s="178" t="n"/>
      <c r="Y102" s="178" t="n"/>
      <c r="Z102" s="178" t="n"/>
    </row>
    <row r="103">
      <c r="A103" s="174" t="n"/>
      <c r="B103" s="174" t="n"/>
      <c r="C103" s="174" t="n"/>
      <c r="D103" s="174" t="n"/>
      <c r="E103" s="174" t="n"/>
      <c r="F103" s="174" t="n"/>
      <c r="G103" s="174" t="n"/>
      <c r="H103" s="174" t="n"/>
      <c r="J103" s="176" t="n"/>
      <c r="K103" s="176" t="n"/>
      <c r="L103" s="176" t="n"/>
      <c r="M103" s="176" t="n"/>
      <c r="N103" s="176" t="n"/>
      <c r="O103" s="176" t="n"/>
      <c r="P103" s="176" t="n"/>
      <c r="Q103" s="176" t="n"/>
      <c r="S103" s="178" t="n"/>
      <c r="T103" s="178" t="n"/>
      <c r="U103" s="178" t="n"/>
      <c r="V103" s="178" t="n"/>
      <c r="W103" s="178" t="n"/>
      <c r="X103" s="178" t="n"/>
      <c r="Y103" s="178" t="n"/>
      <c r="Z103" s="178" t="n"/>
    </row>
  </sheetData>
  <sheetProtection selectLockedCells="1" selectUnlockedCells="1" sheet="1" objects="0" insertRows="1" insertHyperlinks="1" autoFilter="1" scenarios="0" formatColumns="1" deleteColumns="1" insertColumns="1" pivotTables="1" deleteRows="1" formatCells="1" formatRows="1" sort="1"/>
  <mergeCells count="94">
    <mergeCell ref="A9:N9"/>
    <mergeCell ref="N76:O76"/>
    <mergeCell ref="F67:I67"/>
    <mergeCell ref="G87:I87"/>
    <mergeCell ref="A16:A17"/>
    <mergeCell ref="A45:D46"/>
    <mergeCell ref="C16:C17"/>
    <mergeCell ref="N75:O75"/>
    <mergeCell ref="N77:O77"/>
    <mergeCell ref="AE2:AL2"/>
    <mergeCell ref="P9:AL9"/>
    <mergeCell ref="P68:S70"/>
    <mergeCell ref="D16:D17"/>
    <mergeCell ref="N85:Q85"/>
    <mergeCell ref="A95:H95"/>
    <mergeCell ref="A84:AL84"/>
    <mergeCell ref="Q91:S91"/>
    <mergeCell ref="E91:F91"/>
    <mergeCell ref="A8:N8"/>
    <mergeCell ref="A42:AL42"/>
    <mergeCell ref="G91:H91"/>
    <mergeCell ref="J86:M86"/>
    <mergeCell ref="H3:AD3"/>
    <mergeCell ref="K67:N67"/>
    <mergeCell ref="S95:Z95"/>
    <mergeCell ref="N79:O79"/>
    <mergeCell ref="K92:L92"/>
    <mergeCell ref="C92:D92"/>
    <mergeCell ref="M92:N92"/>
    <mergeCell ref="F71:I71"/>
    <mergeCell ref="A88:AL88"/>
    <mergeCell ref="K68:N70"/>
    <mergeCell ref="T91:W91"/>
    <mergeCell ref="A41:AL41"/>
    <mergeCell ref="A90:AL90"/>
    <mergeCell ref="J95:Q95"/>
    <mergeCell ref="D85:F85"/>
    <mergeCell ref="N74:S74"/>
    <mergeCell ref="H2:AD2"/>
    <mergeCell ref="F68:I70"/>
    <mergeCell ref="A91:B91"/>
    <mergeCell ref="N78:O78"/>
    <mergeCell ref="C91:D91"/>
    <mergeCell ref="M91:N91"/>
    <mergeCell ref="O91:P91"/>
    <mergeCell ref="R86:U86"/>
    <mergeCell ref="N80:O80"/>
    <mergeCell ref="B16:B17"/>
    <mergeCell ref="A71:D71"/>
    <mergeCell ref="J85:M85"/>
    <mergeCell ref="D86:F86"/>
    <mergeCell ref="A92:B92"/>
    <mergeCell ref="N87:Q87"/>
    <mergeCell ref="A1:B1"/>
    <mergeCell ref="E92:F92"/>
    <mergeCell ref="AL16:AL17"/>
    <mergeCell ref="A68:D70"/>
    <mergeCell ref="P71:S71"/>
    <mergeCell ref="A86:C86"/>
    <mergeCell ref="D87:F87"/>
    <mergeCell ref="O92:P92"/>
    <mergeCell ref="A6:N6"/>
    <mergeCell ref="A39:D39"/>
    <mergeCell ref="P8:AL8"/>
    <mergeCell ref="P7:AL7"/>
    <mergeCell ref="G86:I86"/>
    <mergeCell ref="A96:H103"/>
    <mergeCell ref="P67:S67"/>
    <mergeCell ref="T92:W92"/>
    <mergeCell ref="R85:U85"/>
    <mergeCell ref="K71:N71"/>
    <mergeCell ref="S96:Z103"/>
    <mergeCell ref="A93:AL93"/>
    <mergeCell ref="A38:D38"/>
    <mergeCell ref="A67:D67"/>
    <mergeCell ref="I91:J91"/>
    <mergeCell ref="A85:C85"/>
    <mergeCell ref="K91:L91"/>
    <mergeCell ref="N86:Q86"/>
    <mergeCell ref="A7:N7"/>
    <mergeCell ref="P6:AL6"/>
    <mergeCell ref="A74:E74"/>
    <mergeCell ref="G85:I85"/>
    <mergeCell ref="G92:H92"/>
    <mergeCell ref="I92:J92"/>
    <mergeCell ref="R87:U87"/>
    <mergeCell ref="AK16:AK17"/>
    <mergeCell ref="J87:M87"/>
    <mergeCell ref="AJ16:AJ17"/>
    <mergeCell ref="J96:Q103"/>
    <mergeCell ref="A12:AL14"/>
    <mergeCell ref="Q92:S92"/>
    <mergeCell ref="A87:C87"/>
    <mergeCell ref="A47:D47"/>
  </mergeCells>
  <conditionalFormatting sqref="AJ18:AJ37">
    <cfRule type="dataBar" priority="1">
      <dataBar>
        <cfvo type="num" val="0"/>
        <cfvo type="num" val="1"/>
        <color rgb="0010B981"/>
      </dataBar>
    </cfRule>
  </conditionalFormatting>
  <conditionalFormatting sqref="E18:AI37">
    <cfRule type="cellIs" priority="2" operator="equal" dxfId="0">
      <formula>"✓"</formula>
    </cfRule>
    <cfRule type="cellIs" priority="3" operator="equal" dxfId="0">
      <formula>"✔"</formula>
    </cfRule>
    <cfRule type="cellIs" priority="4" operator="equal" dxfId="1">
      <formula>"✗"</formula>
    </cfRule>
    <cfRule type="cellIs" priority="5" operator="equal" dxfId="1">
      <formula>"x"</formula>
    </cfRule>
    <cfRule type="cellIs" priority="6" operator="equal" dxfId="1">
      <formula>"X"</formula>
    </cfRule>
  </conditionalFormatting>
  <conditionalFormatting sqref="E16:E17">
    <cfRule type="expression" priority="7" dxfId="2">
      <formula>AND(DAY(TODAY())=1, MONTH(TODAY())=7, YEAR(TODAY())=2027)</formula>
    </cfRule>
  </conditionalFormatting>
  <conditionalFormatting sqref="F16:F17">
    <cfRule type="expression" priority="8" dxfId="2">
      <formula>AND(DAY(TODAY())=2, MONTH(TODAY())=7, YEAR(TODAY())=2027)</formula>
    </cfRule>
  </conditionalFormatting>
  <conditionalFormatting sqref="G16:G17">
    <cfRule type="expression" priority="9" dxfId="2">
      <formula>AND(DAY(TODAY())=3, MONTH(TODAY())=7, YEAR(TODAY())=2027)</formula>
    </cfRule>
  </conditionalFormatting>
  <conditionalFormatting sqref="H16:H17">
    <cfRule type="expression" priority="10" dxfId="2">
      <formula>AND(DAY(TODAY())=4, MONTH(TODAY())=7, YEAR(TODAY())=2027)</formula>
    </cfRule>
  </conditionalFormatting>
  <conditionalFormatting sqref="I16:I17">
    <cfRule type="expression" priority="11" dxfId="2">
      <formula>AND(DAY(TODAY())=5, MONTH(TODAY())=7, YEAR(TODAY())=2027)</formula>
    </cfRule>
  </conditionalFormatting>
  <conditionalFormatting sqref="J16:J17">
    <cfRule type="expression" priority="12" dxfId="2">
      <formula>AND(DAY(TODAY())=6, MONTH(TODAY())=7, YEAR(TODAY())=2027)</formula>
    </cfRule>
  </conditionalFormatting>
  <conditionalFormatting sqref="K16:K17">
    <cfRule type="expression" priority="13" dxfId="2">
      <formula>AND(DAY(TODAY())=7, MONTH(TODAY())=7, YEAR(TODAY())=2027)</formula>
    </cfRule>
  </conditionalFormatting>
  <conditionalFormatting sqref="L16:L17">
    <cfRule type="expression" priority="14" dxfId="2">
      <formula>AND(DAY(TODAY())=8, MONTH(TODAY())=7, YEAR(TODAY())=2027)</formula>
    </cfRule>
  </conditionalFormatting>
  <conditionalFormatting sqref="M16:M17">
    <cfRule type="expression" priority="15" dxfId="2">
      <formula>AND(DAY(TODAY())=9, MONTH(TODAY())=7, YEAR(TODAY())=2027)</formula>
    </cfRule>
  </conditionalFormatting>
  <conditionalFormatting sqref="N16:N17">
    <cfRule type="expression" priority="16" dxfId="2">
      <formula>AND(DAY(TODAY())=10, MONTH(TODAY())=7, YEAR(TODAY())=2027)</formula>
    </cfRule>
  </conditionalFormatting>
  <conditionalFormatting sqref="O16:O17">
    <cfRule type="expression" priority="17" dxfId="2">
      <formula>AND(DAY(TODAY())=11, MONTH(TODAY())=7, YEAR(TODAY())=2027)</formula>
    </cfRule>
  </conditionalFormatting>
  <conditionalFormatting sqref="P16:P17">
    <cfRule type="expression" priority="18" dxfId="2">
      <formula>AND(DAY(TODAY())=12, MONTH(TODAY())=7, YEAR(TODAY())=2027)</formula>
    </cfRule>
  </conditionalFormatting>
  <conditionalFormatting sqref="Q16:Q17">
    <cfRule type="expression" priority="19" dxfId="2">
      <formula>AND(DAY(TODAY())=13, MONTH(TODAY())=7, YEAR(TODAY())=2027)</formula>
    </cfRule>
  </conditionalFormatting>
  <conditionalFormatting sqref="R16:R17">
    <cfRule type="expression" priority="20" dxfId="2">
      <formula>AND(DAY(TODAY())=14, MONTH(TODAY())=7, YEAR(TODAY())=2027)</formula>
    </cfRule>
  </conditionalFormatting>
  <conditionalFormatting sqref="S16:S17">
    <cfRule type="expression" priority="21" dxfId="2">
      <formula>AND(DAY(TODAY())=15, MONTH(TODAY())=7, YEAR(TODAY())=2027)</formula>
    </cfRule>
  </conditionalFormatting>
  <conditionalFormatting sqref="T16:T17">
    <cfRule type="expression" priority="22" dxfId="2">
      <formula>AND(DAY(TODAY())=16, MONTH(TODAY())=7, YEAR(TODAY())=2027)</formula>
    </cfRule>
  </conditionalFormatting>
  <conditionalFormatting sqref="U16:U17">
    <cfRule type="expression" priority="23" dxfId="2">
      <formula>AND(DAY(TODAY())=17, MONTH(TODAY())=7, YEAR(TODAY())=2027)</formula>
    </cfRule>
  </conditionalFormatting>
  <conditionalFormatting sqref="V16:V17">
    <cfRule type="expression" priority="24" dxfId="2">
      <formula>AND(DAY(TODAY())=18, MONTH(TODAY())=7, YEAR(TODAY())=2027)</formula>
    </cfRule>
  </conditionalFormatting>
  <conditionalFormatting sqref="W16:W17">
    <cfRule type="expression" priority="25" dxfId="2">
      <formula>AND(DAY(TODAY())=19, MONTH(TODAY())=7, YEAR(TODAY())=2027)</formula>
    </cfRule>
  </conditionalFormatting>
  <conditionalFormatting sqref="X16:X17">
    <cfRule type="expression" priority="26" dxfId="2">
      <formula>AND(DAY(TODAY())=20, MONTH(TODAY())=7, YEAR(TODAY())=2027)</formula>
    </cfRule>
  </conditionalFormatting>
  <conditionalFormatting sqref="Y16:Y17">
    <cfRule type="expression" priority="27" dxfId="2">
      <formula>AND(DAY(TODAY())=21, MONTH(TODAY())=7, YEAR(TODAY())=2027)</formula>
    </cfRule>
  </conditionalFormatting>
  <conditionalFormatting sqref="Z16:Z17">
    <cfRule type="expression" priority="28" dxfId="2">
      <formula>AND(DAY(TODAY())=22, MONTH(TODAY())=7, YEAR(TODAY())=2027)</formula>
    </cfRule>
  </conditionalFormatting>
  <conditionalFormatting sqref="AA16:AA17">
    <cfRule type="expression" priority="29" dxfId="2">
      <formula>AND(DAY(TODAY())=23, MONTH(TODAY())=7, YEAR(TODAY())=2027)</formula>
    </cfRule>
  </conditionalFormatting>
  <conditionalFormatting sqref="AB16:AB17">
    <cfRule type="expression" priority="30" dxfId="2">
      <formula>AND(DAY(TODAY())=24, MONTH(TODAY())=7, YEAR(TODAY())=2027)</formula>
    </cfRule>
  </conditionalFormatting>
  <conditionalFormatting sqref="AC16:AC17">
    <cfRule type="expression" priority="31" dxfId="2">
      <formula>AND(DAY(TODAY())=25, MONTH(TODAY())=7, YEAR(TODAY())=2027)</formula>
    </cfRule>
  </conditionalFormatting>
  <conditionalFormatting sqref="AD16:AD17">
    <cfRule type="expression" priority="32" dxfId="2">
      <formula>AND(DAY(TODAY())=26, MONTH(TODAY())=7, YEAR(TODAY())=2027)</formula>
    </cfRule>
  </conditionalFormatting>
  <conditionalFormatting sqref="AE16:AE17">
    <cfRule type="expression" priority="33" dxfId="2">
      <formula>AND(DAY(TODAY())=27, MONTH(TODAY())=7, YEAR(TODAY())=2027)</formula>
    </cfRule>
  </conditionalFormatting>
  <conditionalFormatting sqref="AF16:AF17">
    <cfRule type="expression" priority="34" dxfId="2">
      <formula>AND(DAY(TODAY())=28, MONTH(TODAY())=7, YEAR(TODAY())=2027)</formula>
    </cfRule>
  </conditionalFormatting>
  <conditionalFormatting sqref="AG16:AG17">
    <cfRule type="expression" priority="35" dxfId="2">
      <formula>AND(DAY(TODAY())=29, MONTH(TODAY())=7, YEAR(TODAY())=2027)</formula>
    </cfRule>
  </conditionalFormatting>
  <conditionalFormatting sqref="AH16:AH17">
    <cfRule type="expression" priority="36" dxfId="2">
      <formula>AND(DAY(TODAY())=30, MONTH(TODAY())=7, YEAR(TODAY())=2027)</formula>
    </cfRule>
  </conditionalFormatting>
  <conditionalFormatting sqref="AI16:AI17">
    <cfRule type="expression" priority="37" dxfId="2">
      <formula>AND(DAY(TODAY())=31, MONTH(TODAY())=7, YEAR(TODAY())=2027)</formula>
    </cfRule>
  </conditionalFormatting>
  <dataValidations count="4">
    <dataValidation sqref="C18:C37" showDropDown="0" showInputMessage="0" showErrorMessage="0" allowBlank="1" type="list">
      <formula1>"Health &amp; Fitness,Mindset &amp; Learning,Career &amp; Focus,Personal &amp; Home,Finance &amp; Wealth,Other"</formula1>
    </dataValidation>
    <dataValidation sqref="D18:D37" showDropDown="0" showInputMessage="0" showErrorMessage="0" allowBlank="1" type="list">
      <formula1>"1,2,3,4,5,6,7,8,9,10,11,12,13,14,15,16,17,18,19,20,21,22,23,24,25,26,27,28,29,30,31"</formula1>
    </dataValidation>
    <dataValidation sqref="E18:AI37" showDropDown="0" showInputMessage="0" showErrorMessage="0" allowBlank="1" type="list">
      <formula1>"✓,✗"</formula1>
    </dataValidation>
    <dataValidation sqref="E47:AI47" showDropDown="0" showInputMessage="0" showErrorMessage="0" allowBlank="1" type="list">
      <formula1>"1,2,3,4,5,6,7,8,9,10,11,12,13,14,15,16,17,18,19,20,21,22,23,24"</formula1>
    </dataValidation>
  </dataValidations>
  <hyperlinks>
    <hyperlink xmlns:r="http://schemas.openxmlformats.org/officeDocument/2006/relationships" ref="A1" r:id="rId1"/>
    <hyperlink xmlns:r="http://schemas.openxmlformats.org/officeDocument/2006/relationships" ref="C1" r:id="rId2"/>
    <hyperlink xmlns:r="http://schemas.openxmlformats.org/officeDocument/2006/relationships" ref="D1" r:id="rId3"/>
    <hyperlink xmlns:r="http://schemas.openxmlformats.org/officeDocument/2006/relationships" ref="E1" r:id="rId4"/>
    <hyperlink xmlns:r="http://schemas.openxmlformats.org/officeDocument/2006/relationships" ref="F1" r:id="rId5"/>
    <hyperlink xmlns:r="http://schemas.openxmlformats.org/officeDocument/2006/relationships" ref="G1" r:id="rId6"/>
    <hyperlink xmlns:r="http://schemas.openxmlformats.org/officeDocument/2006/relationships" ref="H1" r:id="rId7"/>
    <hyperlink xmlns:r="http://schemas.openxmlformats.org/officeDocument/2006/relationships" ref="I1" r:id="rId8"/>
    <hyperlink xmlns:r="http://schemas.openxmlformats.org/officeDocument/2006/relationships" ref="J1" r:id="rId9"/>
    <hyperlink xmlns:r="http://schemas.openxmlformats.org/officeDocument/2006/relationships" ref="K1" r:id="rId10"/>
  </hyperlinks>
  <printOptions horizontalCentered="1" verticalCentered="0"/>
  <pageMargins left="0.75" right="0.75" top="1" bottom="1" header="0.5" footer="0.5"/>
  <pageSetup orientation="landscape" paperSize="9" fitToHeight="0" fitToWidth="1"/>
  <drawing xmlns:r="http://schemas.openxmlformats.org/officeDocument/2006/relationships" r:id="rId11"/>
</worksheet>
</file>

<file path=xl/worksheets/sheet15.xml><?xml version="1.0" encoding="utf-8"?>
<worksheet xmlns="http://schemas.openxmlformats.org/spreadsheetml/2006/main">
  <sheetPr>
    <outlinePr summaryBelow="1" summaryRight="1"/>
    <pageSetUpPr fitToPage="1"/>
  </sheetPr>
  <dimension ref="A1:AM103"/>
  <sheetViews>
    <sheetView showGridLines="1" workbookViewId="0">
      <selection activeCell="A1" sqref="A1"/>
    </sheetView>
  </sheetViews>
  <sheetFormatPr baseColWidth="8" defaultRowHeight="15"/>
  <cols>
    <col width="6" customWidth="1" min="1" max="1"/>
    <col width="25" customWidth="1" min="2" max="2"/>
    <col width="16.5" customWidth="1" min="3" max="3"/>
    <col width="8" customWidth="1" min="4" max="4"/>
    <col width="4.8" customWidth="1" min="5" max="5"/>
    <col width="4.8" customWidth="1" min="6" max="6"/>
    <col width="4.8" customWidth="1" min="7" max="7"/>
    <col width="4.8" customWidth="1" min="8" max="8"/>
    <col width="4.8" customWidth="1" min="9" max="9"/>
    <col width="4.8" customWidth="1" min="10" max="10"/>
    <col width="4.8" customWidth="1" min="11" max="11"/>
    <col width="4.8" customWidth="1" min="12" max="12"/>
    <col width="4.8" customWidth="1" min="13" max="13"/>
    <col width="4.8" customWidth="1" min="14" max="14"/>
    <col width="4.8" customWidth="1" min="15" max="15"/>
    <col width="4.8" customWidth="1" min="16" max="16"/>
    <col width="4.8" customWidth="1" min="17" max="17"/>
    <col width="4.8" customWidth="1" min="18" max="18"/>
    <col width="4.8" customWidth="1" min="19" max="19"/>
    <col width="4.8" customWidth="1" min="20" max="20"/>
    <col width="4.8" customWidth="1" min="21" max="21"/>
    <col width="4.8" customWidth="1" min="22" max="22"/>
    <col width="4.8" customWidth="1" min="23" max="23"/>
    <col width="4.8" customWidth="1" min="24" max="24"/>
    <col width="4.8" customWidth="1" min="25" max="25"/>
    <col width="4.8" customWidth="1" min="26" max="26"/>
    <col width="4.8" customWidth="1" min="27" max="27"/>
    <col width="4.8" customWidth="1" min="28" max="28"/>
    <col width="4.8" customWidth="1" min="29" max="29"/>
    <col width="4.8" customWidth="1" min="30" max="30"/>
    <col width="4.8" customWidth="1" min="31" max="31"/>
    <col width="4.8" customWidth="1" min="32" max="32"/>
    <col width="4.8" customWidth="1" min="33" max="33"/>
    <col width="4.8" customWidth="1" min="34" max="34"/>
    <col width="4.8" customWidth="1" min="35" max="35"/>
    <col width="11.5" customWidth="1" min="36" max="36"/>
    <col width="12" customWidth="1" min="37" max="37"/>
    <col width="13.5" customWidth="1" min="38" max="38"/>
    <col hidden="1" width="8" customWidth="1" min="39" max="39"/>
  </cols>
  <sheetData>
    <row r="1" ht="18" customHeight="1">
      <c r="A1" s="76" t="inlineStr">
        <is>
          <t>🏠 Master Dashboard</t>
        </is>
      </c>
      <c r="B1" s="40" t="n"/>
      <c r="C1" s="77" t="inlineStr">
        <is>
          <t>🏛️ Quarterly Hub</t>
        </is>
      </c>
      <c r="D1" s="78" t="inlineStr">
        <is>
          <t>📚 Habit Library</t>
        </is>
      </c>
      <c r="E1" s="80" t="inlineStr">
        <is>
          <t>2026</t>
        </is>
      </c>
      <c r="F1" s="79" t="inlineStr">
        <is>
          <t>2027</t>
        </is>
      </c>
      <c r="G1" s="80" t="inlineStr">
        <is>
          <t>2028</t>
        </is>
      </c>
      <c r="H1" s="80" t="inlineStr">
        <is>
          <t>2029</t>
        </is>
      </c>
      <c r="I1" s="80" t="inlineStr">
        <is>
          <t>2030</t>
        </is>
      </c>
      <c r="J1" s="82" t="inlineStr">
        <is>
          <t>◀ Prev</t>
        </is>
      </c>
      <c r="K1" s="82" t="inlineStr">
        <is>
          <t>Next ▶</t>
        </is>
      </c>
    </row>
    <row r="2" ht="24" customHeight="1">
      <c r="A2" s="83" t="inlineStr">
        <is>
          <t>Habit Tracker</t>
        </is>
      </c>
      <c r="H2" s="84" t="inlineStr">
        <is>
          <t>"Consistency creates momentum."</t>
        </is>
      </c>
      <c r="AE2" s="85" t="inlineStr">
        <is>
          <t>@surajvansh</t>
        </is>
      </c>
    </row>
    <row r="3" ht="18" customHeight="1">
      <c r="A3" s="86" t="inlineStr">
        <is>
          <t>August 2027</t>
        </is>
      </c>
      <c r="H3" s="87" t="inlineStr">
        <is>
          <t>31 Days Dashboard</t>
        </is>
      </c>
    </row>
    <row r="4" ht="5" customHeight="1"/>
    <row r="5" ht="16" customHeight="1">
      <c r="A5" s="88" t="inlineStr">
        <is>
          <t>MONTHLY TARGETS</t>
        </is>
      </c>
    </row>
    <row r="6" ht="13" customHeight="1">
      <c r="A6" s="89" t="inlineStr">
        <is>
          <t>1. ____________________ : ____________________</t>
        </is>
      </c>
      <c r="P6" s="89" t="inlineStr">
        <is>
          <t>5. ____________________ : ____________________</t>
        </is>
      </c>
    </row>
    <row r="7" ht="13" customHeight="1">
      <c r="A7" s="89" t="inlineStr">
        <is>
          <t>2. ____________________ : ____________________</t>
        </is>
      </c>
      <c r="P7" s="89" t="inlineStr">
        <is>
          <t>6. ____________________ : ____________________</t>
        </is>
      </c>
    </row>
    <row r="8" ht="13" customHeight="1">
      <c r="A8" s="89" t="inlineStr">
        <is>
          <t>3. ____________________ : ____________________</t>
        </is>
      </c>
      <c r="P8" s="89" t="inlineStr">
        <is>
          <t>7. ____________________ : ____________________</t>
        </is>
      </c>
    </row>
    <row r="9" ht="13" customHeight="1">
      <c r="A9" s="89" t="inlineStr">
        <is>
          <t>4. ____________________ : ____________________</t>
        </is>
      </c>
      <c r="P9" s="89" t="inlineStr">
        <is>
          <t>8. ____________________ : ____________________</t>
        </is>
      </c>
    </row>
    <row r="10" ht="5" customHeight="1"/>
    <row r="11" ht="15" customHeight="1">
      <c r="A11" s="88" t="inlineStr">
        <is>
          <t>NOTES:</t>
        </is>
      </c>
    </row>
    <row r="12" ht="13" customHeight="1">
      <c r="A12" s="90" t="n"/>
      <c r="B12" s="91" t="n"/>
      <c r="C12" s="91" t="n"/>
      <c r="D12" s="91" t="n"/>
      <c r="E12" s="91" t="n"/>
      <c r="F12" s="91" t="n"/>
      <c r="G12" s="91" t="n"/>
      <c r="H12" s="91" t="n"/>
      <c r="I12" s="91" t="n"/>
      <c r="J12" s="91" t="n"/>
      <c r="K12" s="91" t="n"/>
      <c r="L12" s="91" t="n"/>
      <c r="M12" s="91" t="n"/>
      <c r="N12" s="91" t="n"/>
      <c r="O12" s="91" t="n"/>
      <c r="P12" s="91" t="n"/>
      <c r="Q12" s="91" t="n"/>
      <c r="R12" s="91" t="n"/>
      <c r="S12" s="91" t="n"/>
      <c r="T12" s="91" t="n"/>
      <c r="U12" s="91" t="n"/>
      <c r="V12" s="91" t="n"/>
      <c r="W12" s="91" t="n"/>
      <c r="X12" s="91" t="n"/>
      <c r="Y12" s="91" t="n"/>
      <c r="Z12" s="91" t="n"/>
      <c r="AA12" s="91" t="n"/>
      <c r="AB12" s="91" t="n"/>
      <c r="AC12" s="91" t="n"/>
      <c r="AD12" s="91" t="n"/>
      <c r="AE12" s="91" t="n"/>
      <c r="AF12" s="91" t="n"/>
      <c r="AG12" s="91" t="n"/>
      <c r="AH12" s="91" t="n"/>
      <c r="AI12" s="91" t="n"/>
      <c r="AJ12" s="91" t="n"/>
      <c r="AK12" s="91" t="n"/>
      <c r="AL12" s="91" t="n"/>
    </row>
    <row r="13" ht="13" customHeight="1">
      <c r="A13" s="91" t="n"/>
      <c r="B13" s="91" t="n"/>
      <c r="C13" s="91" t="n"/>
      <c r="D13" s="91" t="n"/>
      <c r="E13" s="91" t="n"/>
      <c r="F13" s="91" t="n"/>
      <c r="G13" s="91" t="n"/>
      <c r="H13" s="91" t="n"/>
      <c r="I13" s="91" t="n"/>
      <c r="J13" s="91" t="n"/>
      <c r="K13" s="91" t="n"/>
      <c r="L13" s="91" t="n"/>
      <c r="M13" s="91" t="n"/>
      <c r="N13" s="91" t="n"/>
      <c r="O13" s="91" t="n"/>
      <c r="P13" s="91" t="n"/>
      <c r="Q13" s="91" t="n"/>
      <c r="R13" s="91" t="n"/>
      <c r="S13" s="91" t="n"/>
      <c r="T13" s="91" t="n"/>
      <c r="U13" s="91" t="n"/>
      <c r="V13" s="91" t="n"/>
      <c r="W13" s="91" t="n"/>
      <c r="X13" s="91" t="n"/>
      <c r="Y13" s="91" t="n"/>
      <c r="Z13" s="91" t="n"/>
      <c r="AA13" s="91" t="n"/>
      <c r="AB13" s="91" t="n"/>
      <c r="AC13" s="91" t="n"/>
      <c r="AD13" s="91" t="n"/>
      <c r="AE13" s="91" t="n"/>
      <c r="AF13" s="91" t="n"/>
      <c r="AG13" s="91" t="n"/>
      <c r="AH13" s="91" t="n"/>
      <c r="AI13" s="91" t="n"/>
      <c r="AJ13" s="91" t="n"/>
      <c r="AK13" s="91" t="n"/>
      <c r="AL13" s="91" t="n"/>
    </row>
    <row r="14" ht="13" customHeight="1">
      <c r="A14" s="91" t="n"/>
      <c r="B14" s="91" t="n"/>
      <c r="C14" s="91" t="n"/>
      <c r="D14" s="91" t="n"/>
      <c r="E14" s="91" t="n"/>
      <c r="F14" s="91" t="n"/>
      <c r="G14" s="91" t="n"/>
      <c r="H14" s="91" t="n"/>
      <c r="I14" s="91" t="n"/>
      <c r="J14" s="91" t="n"/>
      <c r="K14" s="91" t="n"/>
      <c r="L14" s="91" t="n"/>
      <c r="M14" s="91" t="n"/>
      <c r="N14" s="91" t="n"/>
      <c r="O14" s="91" t="n"/>
      <c r="P14" s="91" t="n"/>
      <c r="Q14" s="91" t="n"/>
      <c r="R14" s="91" t="n"/>
      <c r="S14" s="91" t="n"/>
      <c r="T14" s="91" t="n"/>
      <c r="U14" s="91" t="n"/>
      <c r="V14" s="91" t="n"/>
      <c r="W14" s="91" t="n"/>
      <c r="X14" s="91" t="n"/>
      <c r="Y14" s="91" t="n"/>
      <c r="Z14" s="91" t="n"/>
      <c r="AA14" s="91" t="n"/>
      <c r="AB14" s="91" t="n"/>
      <c r="AC14" s="91" t="n"/>
      <c r="AD14" s="91" t="n"/>
      <c r="AE14" s="91" t="n"/>
      <c r="AF14" s="91" t="n"/>
      <c r="AG14" s="91" t="n"/>
      <c r="AH14" s="91" t="n"/>
      <c r="AI14" s="91" t="n"/>
      <c r="AJ14" s="91" t="n"/>
      <c r="AK14" s="91" t="n"/>
      <c r="AL14" s="91" t="n"/>
    </row>
    <row r="15" ht="8" customHeight="1"/>
    <row r="16" ht="15" customHeight="1">
      <c r="A16" s="33" t="inlineStr">
        <is>
          <t>S.No.</t>
        </is>
      </c>
      <c r="B16" s="33" t="inlineStr">
        <is>
          <t>Protocols</t>
        </is>
      </c>
      <c r="C16" s="33" t="inlineStr">
        <is>
          <t>Category</t>
        </is>
      </c>
      <c r="D16" s="33" t="inlineStr">
        <is>
          <t>Target</t>
        </is>
      </c>
      <c r="E16" s="93" t="n">
        <v>1</v>
      </c>
      <c r="F16" s="92" t="n">
        <v>2</v>
      </c>
      <c r="G16" s="92" t="n">
        <v>3</v>
      </c>
      <c r="H16" s="92" t="n">
        <v>4</v>
      </c>
      <c r="I16" s="92" t="n">
        <v>5</v>
      </c>
      <c r="J16" s="92" t="n">
        <v>6</v>
      </c>
      <c r="K16" s="92" t="n">
        <v>7</v>
      </c>
      <c r="L16" s="93" t="n">
        <v>8</v>
      </c>
      <c r="M16" s="92" t="n">
        <v>9</v>
      </c>
      <c r="N16" s="92" t="n">
        <v>10</v>
      </c>
      <c r="O16" s="92" t="n">
        <v>11</v>
      </c>
      <c r="P16" s="92" t="n">
        <v>12</v>
      </c>
      <c r="Q16" s="92" t="n">
        <v>13</v>
      </c>
      <c r="R16" s="92" t="n">
        <v>14</v>
      </c>
      <c r="S16" s="93" t="n">
        <v>15</v>
      </c>
      <c r="T16" s="92" t="n">
        <v>16</v>
      </c>
      <c r="U16" s="92" t="n">
        <v>17</v>
      </c>
      <c r="V16" s="92" t="n">
        <v>18</v>
      </c>
      <c r="W16" s="92" t="n">
        <v>19</v>
      </c>
      <c r="X16" s="92" t="n">
        <v>20</v>
      </c>
      <c r="Y16" s="92" t="n">
        <v>21</v>
      </c>
      <c r="Z16" s="93" t="n">
        <v>22</v>
      </c>
      <c r="AA16" s="92" t="n">
        <v>23</v>
      </c>
      <c r="AB16" s="92" t="n">
        <v>24</v>
      </c>
      <c r="AC16" s="92" t="n">
        <v>25</v>
      </c>
      <c r="AD16" s="92" t="n">
        <v>26</v>
      </c>
      <c r="AE16" s="92" t="n">
        <v>27</v>
      </c>
      <c r="AF16" s="92" t="n">
        <v>28</v>
      </c>
      <c r="AG16" s="93" t="n">
        <v>29</v>
      </c>
      <c r="AH16" s="92" t="n">
        <v>30</v>
      </c>
      <c r="AI16" s="92" t="n">
        <v>31</v>
      </c>
      <c r="AJ16" s="94" t="inlineStr">
        <is>
          <t>Success %</t>
        </is>
      </c>
      <c r="AK16" s="94" t="inlineStr">
        <is>
          <t>Done / Target</t>
        </is>
      </c>
      <c r="AL16" s="94" t="inlineStr">
        <is>
          <t>Status</t>
        </is>
      </c>
      <c r="AM16" t="inlineStr">
        <is>
          <t>Done Count</t>
        </is>
      </c>
    </row>
    <row r="17" ht="15" customHeight="1">
      <c r="A17" s="54" t="n"/>
      <c r="B17" s="54" t="n"/>
      <c r="C17" s="54" t="n"/>
      <c r="D17" s="54" t="n"/>
      <c r="E17" s="96" t="inlineStr">
        <is>
          <t>Su</t>
        </is>
      </c>
      <c r="F17" s="95" t="inlineStr">
        <is>
          <t>M</t>
        </is>
      </c>
      <c r="G17" s="95" t="inlineStr">
        <is>
          <t>T</t>
        </is>
      </c>
      <c r="H17" s="95" t="inlineStr">
        <is>
          <t>W</t>
        </is>
      </c>
      <c r="I17" s="95" t="inlineStr">
        <is>
          <t>Th</t>
        </is>
      </c>
      <c r="J17" s="95" t="inlineStr">
        <is>
          <t>F</t>
        </is>
      </c>
      <c r="K17" s="95" t="inlineStr">
        <is>
          <t>Sa</t>
        </is>
      </c>
      <c r="L17" s="96" t="inlineStr">
        <is>
          <t>Su</t>
        </is>
      </c>
      <c r="M17" s="95" t="inlineStr">
        <is>
          <t>M</t>
        </is>
      </c>
      <c r="N17" s="95" t="inlineStr">
        <is>
          <t>T</t>
        </is>
      </c>
      <c r="O17" s="95" t="inlineStr">
        <is>
          <t>W</t>
        </is>
      </c>
      <c r="P17" s="95" t="inlineStr">
        <is>
          <t>Th</t>
        </is>
      </c>
      <c r="Q17" s="95" t="inlineStr">
        <is>
          <t>F</t>
        </is>
      </c>
      <c r="R17" s="95" t="inlineStr">
        <is>
          <t>Sa</t>
        </is>
      </c>
      <c r="S17" s="96" t="inlineStr">
        <is>
          <t>Su</t>
        </is>
      </c>
      <c r="T17" s="95" t="inlineStr">
        <is>
          <t>M</t>
        </is>
      </c>
      <c r="U17" s="95" t="inlineStr">
        <is>
          <t>T</t>
        </is>
      </c>
      <c r="V17" s="95" t="inlineStr">
        <is>
          <t>W</t>
        </is>
      </c>
      <c r="W17" s="95" t="inlineStr">
        <is>
          <t>Th</t>
        </is>
      </c>
      <c r="X17" s="95" t="inlineStr">
        <is>
          <t>F</t>
        </is>
      </c>
      <c r="Y17" s="95" t="inlineStr">
        <is>
          <t>Sa</t>
        </is>
      </c>
      <c r="Z17" s="96" t="inlineStr">
        <is>
          <t>Su</t>
        </is>
      </c>
      <c r="AA17" s="95" t="inlineStr">
        <is>
          <t>M</t>
        </is>
      </c>
      <c r="AB17" s="95" t="inlineStr">
        <is>
          <t>T</t>
        </is>
      </c>
      <c r="AC17" s="95" t="inlineStr">
        <is>
          <t>W</t>
        </is>
      </c>
      <c r="AD17" s="95" t="inlineStr">
        <is>
          <t>Th</t>
        </is>
      </c>
      <c r="AE17" s="95" t="inlineStr">
        <is>
          <t>F</t>
        </is>
      </c>
      <c r="AF17" s="95" t="inlineStr">
        <is>
          <t>Sa</t>
        </is>
      </c>
      <c r="AG17" s="96" t="inlineStr">
        <is>
          <t>Su</t>
        </is>
      </c>
      <c r="AH17" s="95" t="inlineStr">
        <is>
          <t>M</t>
        </is>
      </c>
      <c r="AI17" s="95" t="inlineStr">
        <is>
          <t>T</t>
        </is>
      </c>
      <c r="AJ17" s="54" t="n"/>
      <c r="AK17" s="54" t="n"/>
      <c r="AL17" s="54" t="n"/>
    </row>
    <row r="18" ht="14.5" customHeight="1">
      <c r="A18" s="97" t="n">
        <v>1</v>
      </c>
      <c r="B18" s="98" t="n"/>
      <c r="C18" s="99" t="n"/>
      <c r="D18" s="99" t="n"/>
      <c r="E18" s="101" t="n"/>
      <c r="F18" s="100" t="n"/>
      <c r="G18" s="100" t="n"/>
      <c r="H18" s="100" t="n"/>
      <c r="I18" s="100" t="n"/>
      <c r="J18" s="100" t="n"/>
      <c r="K18" s="100" t="n"/>
      <c r="L18" s="101" t="n"/>
      <c r="M18" s="100" t="n"/>
      <c r="N18" s="100" t="n"/>
      <c r="O18" s="100" t="n"/>
      <c r="P18" s="100" t="n"/>
      <c r="Q18" s="100" t="n"/>
      <c r="R18" s="100" t="n"/>
      <c r="S18" s="101" t="n"/>
      <c r="T18" s="100" t="n"/>
      <c r="U18" s="100" t="n"/>
      <c r="V18" s="100" t="n"/>
      <c r="W18" s="100" t="n"/>
      <c r="X18" s="100" t="n"/>
      <c r="Y18" s="100" t="n"/>
      <c r="Z18" s="101" t="n"/>
      <c r="AA18" s="100" t="n"/>
      <c r="AB18" s="100" t="n"/>
      <c r="AC18" s="100" t="n"/>
      <c r="AD18" s="100" t="n"/>
      <c r="AE18" s="100" t="n"/>
      <c r="AF18" s="100" t="n"/>
      <c r="AG18" s="101" t="n"/>
      <c r="AH18" s="100" t="n"/>
      <c r="AI18" s="100" t="n"/>
      <c r="AJ18" s="102">
        <f>IF(ISBLANK(B18), "", IF(ISNUMBER(D18), IF(D18&gt;0, (COUNTIF(E18:AI18, "✓") + COUNTIF(E18:AI18, "✔") + COUNTIF(E18:AI18, "v") + COUNTIF(E18:AI18, "V"))/D18, 0), IF(((COUNTIF(E18:AI18, "✓") + COUNTIF(E18:AI18, "✔") + COUNTIF(E18:AI18, "v") + COUNTIF(E18:AI18, "V")) + COUNTIF(E18:AI18, "✗") + COUNTIF(E18:AI18, "x") + COUNTIF(E18:AI18, "X"))&gt;0, (COUNTIF(E18:AI18, "✓") + COUNTIF(E18:AI18, "✔") + COUNTIF(E18:AI18, "v") + COUNTIF(E18:AI18, "V"))/((COUNTIF(E18:AI18, "✓") + COUNTIF(E18:AI18, "✔") + COUNTIF(E18:AI18, "v") + COUNTIF(E18:AI18, "V")) + COUNTIF(E18:AI18, "✗") + COUNTIF(E18:AI18, "x") + COUNTIF(E18:AI18, "X")), "")))</f>
        <v/>
      </c>
      <c r="AK18" s="103">
        <f>IF(ISBLANK(B18), "", IF(ISNUMBER(D18), IF(D18&gt;0, (COUNTIF(E18:AI18, "✓") + COUNTIF(E18:AI18, "✔") + COUNTIF(E18:AI18, "v") + COUNTIF(E18:AI18, "V")) &amp; "/" &amp; D18, (COUNTIF(E18:AI18, "✓") + COUNTIF(E18:AI18, "✔") + COUNTIF(E18:AI18, "v") + COUNTIF(E18:AI18, "V")) &amp; "/0"), IF(((COUNTIF(E18:AI18, "✓") + COUNTIF(E18:AI18, "✔") + COUNTIF(E18:AI18, "v") + COUNTIF(E18:AI18, "V")) + COUNTIF(E18:AI18, "✗") + COUNTIF(E18:AI18, "x") + COUNTIF(E18:AI18, "X"))&gt;0, (COUNTIF(E18:AI18, "✓") + COUNTIF(E18:AI18, "✔") + COUNTIF(E18:AI18, "v") + COUNTIF(E18:AI18, "V")) &amp; "/" &amp; ((COUNTIF(E18:AI18, "✓") + COUNTIF(E18:AI18, "✔") + COUNTIF(E18:AI18, "v") + COUNTIF(E18:AI18, "V")) + COUNTIF(E18:AI18, "✗") + COUNTIF(E18:AI18, "x") + COUNTIF(E18:AI18, "X")), "")))</f>
        <v/>
      </c>
      <c r="AL18" s="103">
        <f>IF(ISBLANK(B18), "", IF(AJ18&gt;=0.85, "🔥 Mastered", IF(AJ18&gt;=0.7, "⚡ Consistent", "⚠️ Needs Focus")))</f>
        <v/>
      </c>
      <c r="AM18">
        <f>COUNTIF(E18:AI18, "✓")</f>
        <v/>
      </c>
    </row>
    <row r="19" ht="14.5" customHeight="1">
      <c r="A19" s="97" t="n">
        <v>2</v>
      </c>
      <c r="B19" s="98" t="n"/>
      <c r="C19" s="99" t="n"/>
      <c r="D19" s="99" t="n"/>
      <c r="E19" s="101" t="n"/>
      <c r="F19" s="100" t="n"/>
      <c r="G19" s="100" t="n"/>
      <c r="H19" s="100" t="n"/>
      <c r="I19" s="100" t="n"/>
      <c r="J19" s="100" t="n"/>
      <c r="K19" s="100" t="n"/>
      <c r="L19" s="101" t="n"/>
      <c r="M19" s="100" t="n"/>
      <c r="N19" s="100" t="n"/>
      <c r="O19" s="100" t="n"/>
      <c r="P19" s="100" t="n"/>
      <c r="Q19" s="100" t="n"/>
      <c r="R19" s="100" t="n"/>
      <c r="S19" s="101" t="n"/>
      <c r="T19" s="100" t="n"/>
      <c r="U19" s="100" t="n"/>
      <c r="V19" s="100" t="n"/>
      <c r="W19" s="100" t="n"/>
      <c r="X19" s="100" t="n"/>
      <c r="Y19" s="100" t="n"/>
      <c r="Z19" s="101" t="n"/>
      <c r="AA19" s="100" t="n"/>
      <c r="AB19" s="100" t="n"/>
      <c r="AC19" s="100" t="n"/>
      <c r="AD19" s="100" t="n"/>
      <c r="AE19" s="100" t="n"/>
      <c r="AF19" s="100" t="n"/>
      <c r="AG19" s="101" t="n"/>
      <c r="AH19" s="100" t="n"/>
      <c r="AI19" s="100" t="n"/>
      <c r="AJ19" s="102">
        <f>IF(ISBLANK(B19), "", IF(ISNUMBER(D19), IF(D19&gt;0, (COUNTIF(E19:AI19, "✓") + COUNTIF(E19:AI19, "✔") + COUNTIF(E19:AI19, "v") + COUNTIF(E19:AI19, "V"))/D19, 0), IF(((COUNTIF(E19:AI19, "✓") + COUNTIF(E19:AI19, "✔") + COUNTIF(E19:AI19, "v") + COUNTIF(E19:AI19, "V")) + COUNTIF(E19:AI19, "✗") + COUNTIF(E19:AI19, "x") + COUNTIF(E19:AI19, "X"))&gt;0, (COUNTIF(E19:AI19, "✓") + COUNTIF(E19:AI19, "✔") + COUNTIF(E19:AI19, "v") + COUNTIF(E19:AI19, "V"))/((COUNTIF(E19:AI19, "✓") + COUNTIF(E19:AI19, "✔") + COUNTIF(E19:AI19, "v") + COUNTIF(E19:AI19, "V")) + COUNTIF(E19:AI19, "✗") + COUNTIF(E19:AI19, "x") + COUNTIF(E19:AI19, "X")), "")))</f>
        <v/>
      </c>
      <c r="AK19" s="103">
        <f>IF(ISBLANK(B19), "", IF(ISNUMBER(D19), IF(D19&gt;0, (COUNTIF(E19:AI19, "✓") + COUNTIF(E19:AI19, "✔") + COUNTIF(E19:AI19, "v") + COUNTIF(E19:AI19, "V")) &amp; "/" &amp; D19, (COUNTIF(E19:AI19, "✓") + COUNTIF(E19:AI19, "✔") + COUNTIF(E19:AI19, "v") + COUNTIF(E19:AI19, "V")) &amp; "/0"), IF(((COUNTIF(E19:AI19, "✓") + COUNTIF(E19:AI19, "✔") + COUNTIF(E19:AI19, "v") + COUNTIF(E19:AI19, "V")) + COUNTIF(E19:AI19, "✗") + COUNTIF(E19:AI19, "x") + COUNTIF(E19:AI19, "X"))&gt;0, (COUNTIF(E19:AI19, "✓") + COUNTIF(E19:AI19, "✔") + COUNTIF(E19:AI19, "v") + COUNTIF(E19:AI19, "V")) &amp; "/" &amp; ((COUNTIF(E19:AI19, "✓") + COUNTIF(E19:AI19, "✔") + COUNTIF(E19:AI19, "v") + COUNTIF(E19:AI19, "V")) + COUNTIF(E19:AI19, "✗") + COUNTIF(E19:AI19, "x") + COUNTIF(E19:AI19, "X")), "")))</f>
        <v/>
      </c>
      <c r="AL19" s="103">
        <f>IF(ISBLANK(B19), "", IF(AJ19&gt;=0.85, "🔥 Mastered", IF(AJ19&gt;=0.7, "⚡ Consistent", "⚠️ Needs Focus")))</f>
        <v/>
      </c>
      <c r="AM19">
        <f>COUNTIF(E19:AI19, "✓")</f>
        <v/>
      </c>
    </row>
    <row r="20" ht="14.5" customHeight="1">
      <c r="A20" s="97" t="n">
        <v>3</v>
      </c>
      <c r="B20" s="98" t="n"/>
      <c r="C20" s="99" t="n"/>
      <c r="D20" s="99" t="n"/>
      <c r="E20" s="101" t="n"/>
      <c r="F20" s="100" t="n"/>
      <c r="G20" s="100" t="n"/>
      <c r="H20" s="100" t="n"/>
      <c r="I20" s="100" t="n"/>
      <c r="J20" s="100" t="n"/>
      <c r="K20" s="100" t="n"/>
      <c r="L20" s="101" t="n"/>
      <c r="M20" s="100" t="n"/>
      <c r="N20" s="100" t="n"/>
      <c r="O20" s="100" t="n"/>
      <c r="P20" s="100" t="n"/>
      <c r="Q20" s="100" t="n"/>
      <c r="R20" s="100" t="n"/>
      <c r="S20" s="101" t="n"/>
      <c r="T20" s="100" t="n"/>
      <c r="U20" s="100" t="n"/>
      <c r="V20" s="100" t="n"/>
      <c r="W20" s="100" t="n"/>
      <c r="X20" s="100" t="n"/>
      <c r="Y20" s="100" t="n"/>
      <c r="Z20" s="101" t="n"/>
      <c r="AA20" s="100" t="n"/>
      <c r="AB20" s="100" t="n"/>
      <c r="AC20" s="100" t="n"/>
      <c r="AD20" s="100" t="n"/>
      <c r="AE20" s="100" t="n"/>
      <c r="AF20" s="100" t="n"/>
      <c r="AG20" s="101" t="n"/>
      <c r="AH20" s="100" t="n"/>
      <c r="AI20" s="100" t="n"/>
      <c r="AJ20" s="102">
        <f>IF(ISBLANK(B20), "", IF(ISNUMBER(D20), IF(D20&gt;0, (COUNTIF(E20:AI20, "✓") + COUNTIF(E20:AI20, "✔") + COUNTIF(E20:AI20, "v") + COUNTIF(E20:AI20, "V"))/D20, 0), IF(((COUNTIF(E20:AI20, "✓") + COUNTIF(E20:AI20, "✔") + COUNTIF(E20:AI20, "v") + COUNTIF(E20:AI20, "V")) + COUNTIF(E20:AI20, "✗") + COUNTIF(E20:AI20, "x") + COUNTIF(E20:AI20, "X"))&gt;0, (COUNTIF(E20:AI20, "✓") + COUNTIF(E20:AI20, "✔") + COUNTIF(E20:AI20, "v") + COUNTIF(E20:AI20, "V"))/((COUNTIF(E20:AI20, "✓") + COUNTIF(E20:AI20, "✔") + COUNTIF(E20:AI20, "v") + COUNTIF(E20:AI20, "V")) + COUNTIF(E20:AI20, "✗") + COUNTIF(E20:AI20, "x") + COUNTIF(E20:AI20, "X")), "")))</f>
        <v/>
      </c>
      <c r="AK20" s="103">
        <f>IF(ISBLANK(B20), "", IF(ISNUMBER(D20), IF(D20&gt;0, (COUNTIF(E20:AI20, "✓") + COUNTIF(E20:AI20, "✔") + COUNTIF(E20:AI20, "v") + COUNTIF(E20:AI20, "V")) &amp; "/" &amp; D20, (COUNTIF(E20:AI20, "✓") + COUNTIF(E20:AI20, "✔") + COUNTIF(E20:AI20, "v") + COUNTIF(E20:AI20, "V")) &amp; "/0"), IF(((COUNTIF(E20:AI20, "✓") + COUNTIF(E20:AI20, "✔") + COUNTIF(E20:AI20, "v") + COUNTIF(E20:AI20, "V")) + COUNTIF(E20:AI20, "✗") + COUNTIF(E20:AI20, "x") + COUNTIF(E20:AI20, "X"))&gt;0, (COUNTIF(E20:AI20, "✓") + COUNTIF(E20:AI20, "✔") + COUNTIF(E20:AI20, "v") + COUNTIF(E20:AI20, "V")) &amp; "/" &amp; ((COUNTIF(E20:AI20, "✓") + COUNTIF(E20:AI20, "✔") + COUNTIF(E20:AI20, "v") + COUNTIF(E20:AI20, "V")) + COUNTIF(E20:AI20, "✗") + COUNTIF(E20:AI20, "x") + COUNTIF(E20:AI20, "X")), "")))</f>
        <v/>
      </c>
      <c r="AL20" s="103">
        <f>IF(ISBLANK(B20), "", IF(AJ20&gt;=0.85, "🔥 Mastered", IF(AJ20&gt;=0.7, "⚡ Consistent", "⚠️ Needs Focus")))</f>
        <v/>
      </c>
      <c r="AM20">
        <f>COUNTIF(E20:AI20, "✓")</f>
        <v/>
      </c>
    </row>
    <row r="21" ht="14.5" customHeight="1">
      <c r="A21" s="97" t="n">
        <v>4</v>
      </c>
      <c r="B21" s="98" t="n"/>
      <c r="C21" s="99" t="n"/>
      <c r="D21" s="99" t="n"/>
      <c r="E21" s="101" t="n"/>
      <c r="F21" s="100" t="n"/>
      <c r="G21" s="100" t="n"/>
      <c r="H21" s="100" t="n"/>
      <c r="I21" s="100" t="n"/>
      <c r="J21" s="100" t="n"/>
      <c r="K21" s="100" t="n"/>
      <c r="L21" s="101" t="n"/>
      <c r="M21" s="100" t="n"/>
      <c r="N21" s="100" t="n"/>
      <c r="O21" s="100" t="n"/>
      <c r="P21" s="100" t="n"/>
      <c r="Q21" s="100" t="n"/>
      <c r="R21" s="100" t="n"/>
      <c r="S21" s="101" t="n"/>
      <c r="T21" s="100" t="n"/>
      <c r="U21" s="100" t="n"/>
      <c r="V21" s="100" t="n"/>
      <c r="W21" s="100" t="n"/>
      <c r="X21" s="100" t="n"/>
      <c r="Y21" s="100" t="n"/>
      <c r="Z21" s="101" t="n"/>
      <c r="AA21" s="100" t="n"/>
      <c r="AB21" s="100" t="n"/>
      <c r="AC21" s="100" t="n"/>
      <c r="AD21" s="100" t="n"/>
      <c r="AE21" s="100" t="n"/>
      <c r="AF21" s="100" t="n"/>
      <c r="AG21" s="101" t="n"/>
      <c r="AH21" s="100" t="n"/>
      <c r="AI21" s="100" t="n"/>
      <c r="AJ21" s="102">
        <f>IF(ISBLANK(B21), "", IF(ISNUMBER(D21), IF(D21&gt;0, (COUNTIF(E21:AI21, "✓") + COUNTIF(E21:AI21, "✔") + COUNTIF(E21:AI21, "v") + COUNTIF(E21:AI21, "V"))/D21, 0), IF(((COUNTIF(E21:AI21, "✓") + COUNTIF(E21:AI21, "✔") + COUNTIF(E21:AI21, "v") + COUNTIF(E21:AI21, "V")) + COUNTIF(E21:AI21, "✗") + COUNTIF(E21:AI21, "x") + COUNTIF(E21:AI21, "X"))&gt;0, (COUNTIF(E21:AI21, "✓") + COUNTIF(E21:AI21, "✔") + COUNTIF(E21:AI21, "v") + COUNTIF(E21:AI21, "V"))/((COUNTIF(E21:AI21, "✓") + COUNTIF(E21:AI21, "✔") + COUNTIF(E21:AI21, "v") + COUNTIF(E21:AI21, "V")) + COUNTIF(E21:AI21, "✗") + COUNTIF(E21:AI21, "x") + COUNTIF(E21:AI21, "X")), "")))</f>
        <v/>
      </c>
      <c r="AK21" s="103">
        <f>IF(ISBLANK(B21), "", IF(ISNUMBER(D21), IF(D21&gt;0, (COUNTIF(E21:AI21, "✓") + COUNTIF(E21:AI21, "✔") + COUNTIF(E21:AI21, "v") + COUNTIF(E21:AI21, "V")) &amp; "/" &amp; D21, (COUNTIF(E21:AI21, "✓") + COUNTIF(E21:AI21, "✔") + COUNTIF(E21:AI21, "v") + COUNTIF(E21:AI21, "V")) &amp; "/0"), IF(((COUNTIF(E21:AI21, "✓") + COUNTIF(E21:AI21, "✔") + COUNTIF(E21:AI21, "v") + COUNTIF(E21:AI21, "V")) + COUNTIF(E21:AI21, "✗") + COUNTIF(E21:AI21, "x") + COUNTIF(E21:AI21, "X"))&gt;0, (COUNTIF(E21:AI21, "✓") + COUNTIF(E21:AI21, "✔") + COUNTIF(E21:AI21, "v") + COUNTIF(E21:AI21, "V")) &amp; "/" &amp; ((COUNTIF(E21:AI21, "✓") + COUNTIF(E21:AI21, "✔") + COUNTIF(E21:AI21, "v") + COUNTIF(E21:AI21, "V")) + COUNTIF(E21:AI21, "✗") + COUNTIF(E21:AI21, "x") + COUNTIF(E21:AI21, "X")), "")))</f>
        <v/>
      </c>
      <c r="AL21" s="103">
        <f>IF(ISBLANK(B21), "", IF(AJ21&gt;=0.85, "🔥 Mastered", IF(AJ21&gt;=0.7, "⚡ Consistent", "⚠️ Needs Focus")))</f>
        <v/>
      </c>
      <c r="AM21">
        <f>COUNTIF(E21:AI21, "✓")</f>
        <v/>
      </c>
    </row>
    <row r="22" ht="14.5" customHeight="1">
      <c r="A22" s="104" t="n">
        <v>5</v>
      </c>
      <c r="B22" s="105" t="n"/>
      <c r="C22" s="106" t="n"/>
      <c r="D22" s="106" t="n"/>
      <c r="E22" s="108" t="n"/>
      <c r="F22" s="107" t="n"/>
      <c r="G22" s="107" t="n"/>
      <c r="H22" s="107" t="n"/>
      <c r="I22" s="107" t="n"/>
      <c r="J22" s="107" t="n"/>
      <c r="K22" s="107" t="n"/>
      <c r="L22" s="108" t="n"/>
      <c r="M22" s="107" t="n"/>
      <c r="N22" s="107" t="n"/>
      <c r="O22" s="107" t="n"/>
      <c r="P22" s="107" t="n"/>
      <c r="Q22" s="107" t="n"/>
      <c r="R22" s="107" t="n"/>
      <c r="S22" s="108" t="n"/>
      <c r="T22" s="107" t="n"/>
      <c r="U22" s="107" t="n"/>
      <c r="V22" s="107" t="n"/>
      <c r="W22" s="107" t="n"/>
      <c r="X22" s="107" t="n"/>
      <c r="Y22" s="107" t="n"/>
      <c r="Z22" s="108" t="n"/>
      <c r="AA22" s="107" t="n"/>
      <c r="AB22" s="107" t="n"/>
      <c r="AC22" s="107" t="n"/>
      <c r="AD22" s="107" t="n"/>
      <c r="AE22" s="107" t="n"/>
      <c r="AF22" s="107" t="n"/>
      <c r="AG22" s="108" t="n"/>
      <c r="AH22" s="107" t="n"/>
      <c r="AI22" s="107" t="n"/>
      <c r="AJ22" s="109">
        <f>IF(ISBLANK(B22), "", IF(ISNUMBER(D22), IF(D22&gt;0, (COUNTIF(E22:AI22, "✓") + COUNTIF(E22:AI22, "✔") + COUNTIF(E22:AI22, "v") + COUNTIF(E22:AI22, "V"))/D22, 0), IF(((COUNTIF(E22:AI22, "✓") + COUNTIF(E22:AI22, "✔") + COUNTIF(E22:AI22, "v") + COUNTIF(E22:AI22, "V")) + COUNTIF(E22:AI22, "✗") + COUNTIF(E22:AI22, "x") + COUNTIF(E22:AI22, "X"))&gt;0, (COUNTIF(E22:AI22, "✓") + COUNTIF(E22:AI22, "✔") + COUNTIF(E22:AI22, "v") + COUNTIF(E22:AI22, "V"))/((COUNTIF(E22:AI22, "✓") + COUNTIF(E22:AI22, "✔") + COUNTIF(E22:AI22, "v") + COUNTIF(E22:AI22, "V")) + COUNTIF(E22:AI22, "✗") + COUNTIF(E22:AI22, "x") + COUNTIF(E22:AI22, "X")), "")))</f>
        <v/>
      </c>
      <c r="AK22" s="110">
        <f>IF(ISBLANK(B22), "", IF(ISNUMBER(D22), IF(D22&gt;0, (COUNTIF(E22:AI22, "✓") + COUNTIF(E22:AI22, "✔") + COUNTIF(E22:AI22, "v") + COUNTIF(E22:AI22, "V")) &amp; "/" &amp; D22, (COUNTIF(E22:AI22, "✓") + COUNTIF(E22:AI22, "✔") + COUNTIF(E22:AI22, "v") + COUNTIF(E22:AI22, "V")) &amp; "/0"), IF(((COUNTIF(E22:AI22, "✓") + COUNTIF(E22:AI22, "✔") + COUNTIF(E22:AI22, "v") + COUNTIF(E22:AI22, "V")) + COUNTIF(E22:AI22, "✗") + COUNTIF(E22:AI22, "x") + COUNTIF(E22:AI22, "X"))&gt;0, (COUNTIF(E22:AI22, "✓") + COUNTIF(E22:AI22, "✔") + COUNTIF(E22:AI22, "v") + COUNTIF(E22:AI22, "V")) &amp; "/" &amp; ((COUNTIF(E22:AI22, "✓") + COUNTIF(E22:AI22, "✔") + COUNTIF(E22:AI22, "v") + COUNTIF(E22:AI22, "V")) + COUNTIF(E22:AI22, "✗") + COUNTIF(E22:AI22, "x") + COUNTIF(E22:AI22, "X")), "")))</f>
        <v/>
      </c>
      <c r="AL22" s="110">
        <f>IF(ISBLANK(B22), "", IF(AJ22&gt;=0.85, "🔥 Mastered", IF(AJ22&gt;=0.7, "⚡ Consistent", "⚠️ Needs Focus")))</f>
        <v/>
      </c>
      <c r="AM22">
        <f>COUNTIF(E22:AI22, "✓")</f>
        <v/>
      </c>
    </row>
    <row r="23" ht="14.5" customHeight="1">
      <c r="A23" s="104" t="n">
        <v>6</v>
      </c>
      <c r="B23" s="105" t="n"/>
      <c r="C23" s="106" t="n"/>
      <c r="D23" s="106" t="n"/>
      <c r="E23" s="108" t="n"/>
      <c r="F23" s="107" t="n"/>
      <c r="G23" s="107" t="n"/>
      <c r="H23" s="107" t="n"/>
      <c r="I23" s="107" t="n"/>
      <c r="J23" s="107" t="n"/>
      <c r="K23" s="107" t="n"/>
      <c r="L23" s="108" t="n"/>
      <c r="M23" s="107" t="n"/>
      <c r="N23" s="107" t="n"/>
      <c r="O23" s="107" t="n"/>
      <c r="P23" s="107" t="n"/>
      <c r="Q23" s="107" t="n"/>
      <c r="R23" s="107" t="n"/>
      <c r="S23" s="108" t="n"/>
      <c r="T23" s="107" t="n"/>
      <c r="U23" s="107" t="n"/>
      <c r="V23" s="107" t="n"/>
      <c r="W23" s="107" t="n"/>
      <c r="X23" s="107" t="n"/>
      <c r="Y23" s="107" t="n"/>
      <c r="Z23" s="108" t="n"/>
      <c r="AA23" s="107" t="n"/>
      <c r="AB23" s="107" t="n"/>
      <c r="AC23" s="107" t="n"/>
      <c r="AD23" s="107" t="n"/>
      <c r="AE23" s="107" t="n"/>
      <c r="AF23" s="107" t="n"/>
      <c r="AG23" s="108" t="n"/>
      <c r="AH23" s="107" t="n"/>
      <c r="AI23" s="107" t="n"/>
      <c r="AJ23" s="109">
        <f>IF(ISBLANK(B23), "", IF(ISNUMBER(D23), IF(D23&gt;0, (COUNTIF(E23:AI23, "✓") + COUNTIF(E23:AI23, "✔") + COUNTIF(E23:AI23, "v") + COUNTIF(E23:AI23, "V"))/D23, 0), IF(((COUNTIF(E23:AI23, "✓") + COUNTIF(E23:AI23, "✔") + COUNTIF(E23:AI23, "v") + COUNTIF(E23:AI23, "V")) + COUNTIF(E23:AI23, "✗") + COUNTIF(E23:AI23, "x") + COUNTIF(E23:AI23, "X"))&gt;0, (COUNTIF(E23:AI23, "✓") + COUNTIF(E23:AI23, "✔") + COUNTIF(E23:AI23, "v") + COUNTIF(E23:AI23, "V"))/((COUNTIF(E23:AI23, "✓") + COUNTIF(E23:AI23, "✔") + COUNTIF(E23:AI23, "v") + COUNTIF(E23:AI23, "V")) + COUNTIF(E23:AI23, "✗") + COUNTIF(E23:AI23, "x") + COUNTIF(E23:AI23, "X")), "")))</f>
        <v/>
      </c>
      <c r="AK23" s="110">
        <f>IF(ISBLANK(B23), "", IF(ISNUMBER(D23), IF(D23&gt;0, (COUNTIF(E23:AI23, "✓") + COUNTIF(E23:AI23, "✔") + COUNTIF(E23:AI23, "v") + COUNTIF(E23:AI23, "V")) &amp; "/" &amp; D23, (COUNTIF(E23:AI23, "✓") + COUNTIF(E23:AI23, "✔") + COUNTIF(E23:AI23, "v") + COUNTIF(E23:AI23, "V")) &amp; "/0"), IF(((COUNTIF(E23:AI23, "✓") + COUNTIF(E23:AI23, "✔") + COUNTIF(E23:AI23, "v") + COUNTIF(E23:AI23, "V")) + COUNTIF(E23:AI23, "✗") + COUNTIF(E23:AI23, "x") + COUNTIF(E23:AI23, "X"))&gt;0, (COUNTIF(E23:AI23, "✓") + COUNTIF(E23:AI23, "✔") + COUNTIF(E23:AI23, "v") + COUNTIF(E23:AI23, "V")) &amp; "/" &amp; ((COUNTIF(E23:AI23, "✓") + COUNTIF(E23:AI23, "✔") + COUNTIF(E23:AI23, "v") + COUNTIF(E23:AI23, "V")) + COUNTIF(E23:AI23, "✗") + COUNTIF(E23:AI23, "x") + COUNTIF(E23:AI23, "X")), "")))</f>
        <v/>
      </c>
      <c r="AL23" s="110">
        <f>IF(ISBLANK(B23), "", IF(AJ23&gt;=0.85, "🔥 Mastered", IF(AJ23&gt;=0.7, "⚡ Consistent", "⚠️ Needs Focus")))</f>
        <v/>
      </c>
      <c r="AM23">
        <f>COUNTIF(E23:AI23, "✓")</f>
        <v/>
      </c>
    </row>
    <row r="24" ht="14.5" customHeight="1">
      <c r="A24" s="104" t="n">
        <v>7</v>
      </c>
      <c r="B24" s="105" t="n"/>
      <c r="C24" s="106" t="n"/>
      <c r="D24" s="106" t="n"/>
      <c r="E24" s="108" t="n"/>
      <c r="F24" s="107" t="n"/>
      <c r="G24" s="107" t="n"/>
      <c r="H24" s="107" t="n"/>
      <c r="I24" s="107" t="n"/>
      <c r="J24" s="107" t="n"/>
      <c r="K24" s="107" t="n"/>
      <c r="L24" s="108" t="n"/>
      <c r="M24" s="107" t="n"/>
      <c r="N24" s="107" t="n"/>
      <c r="O24" s="107" t="n"/>
      <c r="P24" s="107" t="n"/>
      <c r="Q24" s="107" t="n"/>
      <c r="R24" s="107" t="n"/>
      <c r="S24" s="108" t="n"/>
      <c r="T24" s="107" t="n"/>
      <c r="U24" s="107" t="n"/>
      <c r="V24" s="107" t="n"/>
      <c r="W24" s="107" t="n"/>
      <c r="X24" s="107" t="n"/>
      <c r="Y24" s="107" t="n"/>
      <c r="Z24" s="108" t="n"/>
      <c r="AA24" s="107" t="n"/>
      <c r="AB24" s="107" t="n"/>
      <c r="AC24" s="107" t="n"/>
      <c r="AD24" s="107" t="n"/>
      <c r="AE24" s="107" t="n"/>
      <c r="AF24" s="107" t="n"/>
      <c r="AG24" s="108" t="n"/>
      <c r="AH24" s="107" t="n"/>
      <c r="AI24" s="107" t="n"/>
      <c r="AJ24" s="109">
        <f>IF(ISBLANK(B24), "", IF(ISNUMBER(D24), IF(D24&gt;0, (COUNTIF(E24:AI24, "✓") + COUNTIF(E24:AI24, "✔") + COUNTIF(E24:AI24, "v") + COUNTIF(E24:AI24, "V"))/D24, 0), IF(((COUNTIF(E24:AI24, "✓") + COUNTIF(E24:AI24, "✔") + COUNTIF(E24:AI24, "v") + COUNTIF(E24:AI24, "V")) + COUNTIF(E24:AI24, "✗") + COUNTIF(E24:AI24, "x") + COUNTIF(E24:AI24, "X"))&gt;0, (COUNTIF(E24:AI24, "✓") + COUNTIF(E24:AI24, "✔") + COUNTIF(E24:AI24, "v") + COUNTIF(E24:AI24, "V"))/((COUNTIF(E24:AI24, "✓") + COUNTIF(E24:AI24, "✔") + COUNTIF(E24:AI24, "v") + COUNTIF(E24:AI24, "V")) + COUNTIF(E24:AI24, "✗") + COUNTIF(E24:AI24, "x") + COUNTIF(E24:AI24, "X")), "")))</f>
        <v/>
      </c>
      <c r="AK24" s="110">
        <f>IF(ISBLANK(B24), "", IF(ISNUMBER(D24), IF(D24&gt;0, (COUNTIF(E24:AI24, "✓") + COUNTIF(E24:AI24, "✔") + COUNTIF(E24:AI24, "v") + COUNTIF(E24:AI24, "V")) &amp; "/" &amp; D24, (COUNTIF(E24:AI24, "✓") + COUNTIF(E24:AI24, "✔") + COUNTIF(E24:AI24, "v") + COUNTIF(E24:AI24, "V")) &amp; "/0"), IF(((COUNTIF(E24:AI24, "✓") + COUNTIF(E24:AI24, "✔") + COUNTIF(E24:AI24, "v") + COUNTIF(E24:AI24, "V")) + COUNTIF(E24:AI24, "✗") + COUNTIF(E24:AI24, "x") + COUNTIF(E24:AI24, "X"))&gt;0, (COUNTIF(E24:AI24, "✓") + COUNTIF(E24:AI24, "✔") + COUNTIF(E24:AI24, "v") + COUNTIF(E24:AI24, "V")) &amp; "/" &amp; ((COUNTIF(E24:AI24, "✓") + COUNTIF(E24:AI24, "✔") + COUNTIF(E24:AI24, "v") + COUNTIF(E24:AI24, "V")) + COUNTIF(E24:AI24, "✗") + COUNTIF(E24:AI24, "x") + COUNTIF(E24:AI24, "X")), "")))</f>
        <v/>
      </c>
      <c r="AL24" s="110">
        <f>IF(ISBLANK(B24), "", IF(AJ24&gt;=0.85, "🔥 Mastered", IF(AJ24&gt;=0.7, "⚡ Consistent", "⚠️ Needs Focus")))</f>
        <v/>
      </c>
      <c r="AM24">
        <f>COUNTIF(E24:AI24, "✓")</f>
        <v/>
      </c>
    </row>
    <row r="25" ht="14.5" customHeight="1">
      <c r="A25" s="104" t="n">
        <v>8</v>
      </c>
      <c r="B25" s="105" t="n"/>
      <c r="C25" s="106" t="n"/>
      <c r="D25" s="106" t="n"/>
      <c r="E25" s="108" t="n"/>
      <c r="F25" s="107" t="n"/>
      <c r="G25" s="107" t="n"/>
      <c r="H25" s="107" t="n"/>
      <c r="I25" s="107" t="n"/>
      <c r="J25" s="107" t="n"/>
      <c r="K25" s="107" t="n"/>
      <c r="L25" s="108" t="n"/>
      <c r="M25" s="107" t="n"/>
      <c r="N25" s="107" t="n"/>
      <c r="O25" s="107" t="n"/>
      <c r="P25" s="107" t="n"/>
      <c r="Q25" s="107" t="n"/>
      <c r="R25" s="107" t="n"/>
      <c r="S25" s="108" t="n"/>
      <c r="T25" s="107" t="n"/>
      <c r="U25" s="107" t="n"/>
      <c r="V25" s="107" t="n"/>
      <c r="W25" s="107" t="n"/>
      <c r="X25" s="107" t="n"/>
      <c r="Y25" s="107" t="n"/>
      <c r="Z25" s="108" t="n"/>
      <c r="AA25" s="107" t="n"/>
      <c r="AB25" s="107" t="n"/>
      <c r="AC25" s="107" t="n"/>
      <c r="AD25" s="107" t="n"/>
      <c r="AE25" s="107" t="n"/>
      <c r="AF25" s="107" t="n"/>
      <c r="AG25" s="108" t="n"/>
      <c r="AH25" s="107" t="n"/>
      <c r="AI25" s="107" t="n"/>
      <c r="AJ25" s="109">
        <f>IF(ISBLANK(B25), "", IF(ISNUMBER(D25), IF(D25&gt;0, (COUNTIF(E25:AI25, "✓") + COUNTIF(E25:AI25, "✔") + COUNTIF(E25:AI25, "v") + COUNTIF(E25:AI25, "V"))/D25, 0), IF(((COUNTIF(E25:AI25, "✓") + COUNTIF(E25:AI25, "✔") + COUNTIF(E25:AI25, "v") + COUNTIF(E25:AI25, "V")) + COUNTIF(E25:AI25, "✗") + COUNTIF(E25:AI25, "x") + COUNTIF(E25:AI25, "X"))&gt;0, (COUNTIF(E25:AI25, "✓") + COUNTIF(E25:AI25, "✔") + COUNTIF(E25:AI25, "v") + COUNTIF(E25:AI25, "V"))/((COUNTIF(E25:AI25, "✓") + COUNTIF(E25:AI25, "✔") + COUNTIF(E25:AI25, "v") + COUNTIF(E25:AI25, "V")) + COUNTIF(E25:AI25, "✗") + COUNTIF(E25:AI25, "x") + COUNTIF(E25:AI25, "X")), "")))</f>
        <v/>
      </c>
      <c r="AK25" s="110">
        <f>IF(ISBLANK(B25), "", IF(ISNUMBER(D25), IF(D25&gt;0, (COUNTIF(E25:AI25, "✓") + COUNTIF(E25:AI25, "✔") + COUNTIF(E25:AI25, "v") + COUNTIF(E25:AI25, "V")) &amp; "/" &amp; D25, (COUNTIF(E25:AI25, "✓") + COUNTIF(E25:AI25, "✔") + COUNTIF(E25:AI25, "v") + COUNTIF(E25:AI25, "V")) &amp; "/0"), IF(((COUNTIF(E25:AI25, "✓") + COUNTIF(E25:AI25, "✔") + COUNTIF(E25:AI25, "v") + COUNTIF(E25:AI25, "V")) + COUNTIF(E25:AI25, "✗") + COUNTIF(E25:AI25, "x") + COUNTIF(E25:AI25, "X"))&gt;0, (COUNTIF(E25:AI25, "✓") + COUNTIF(E25:AI25, "✔") + COUNTIF(E25:AI25, "v") + COUNTIF(E25:AI25, "V")) &amp; "/" &amp; ((COUNTIF(E25:AI25, "✓") + COUNTIF(E25:AI25, "✔") + COUNTIF(E25:AI25, "v") + COUNTIF(E25:AI25, "V")) + COUNTIF(E25:AI25, "✗") + COUNTIF(E25:AI25, "x") + COUNTIF(E25:AI25, "X")), "")))</f>
        <v/>
      </c>
      <c r="AL25" s="110">
        <f>IF(ISBLANK(B25), "", IF(AJ25&gt;=0.85, "🔥 Mastered", IF(AJ25&gt;=0.7, "⚡ Consistent", "⚠️ Needs Focus")))</f>
        <v/>
      </c>
      <c r="AM25">
        <f>COUNTIF(E25:AI25, "✓")</f>
        <v/>
      </c>
    </row>
    <row r="26" ht="14.5" customHeight="1">
      <c r="A26" s="111" t="n">
        <v>9</v>
      </c>
      <c r="B26" s="112" t="n"/>
      <c r="C26" s="113" t="n"/>
      <c r="D26" s="113" t="n"/>
      <c r="E26" s="115" t="n"/>
      <c r="F26" s="114" t="n"/>
      <c r="G26" s="114" t="n"/>
      <c r="H26" s="114" t="n"/>
      <c r="I26" s="114" t="n"/>
      <c r="J26" s="114" t="n"/>
      <c r="K26" s="114" t="n"/>
      <c r="L26" s="115" t="n"/>
      <c r="M26" s="114" t="n"/>
      <c r="N26" s="114" t="n"/>
      <c r="O26" s="114" t="n"/>
      <c r="P26" s="114" t="n"/>
      <c r="Q26" s="114" t="n"/>
      <c r="R26" s="114" t="n"/>
      <c r="S26" s="115" t="n"/>
      <c r="T26" s="114" t="n"/>
      <c r="U26" s="114" t="n"/>
      <c r="V26" s="114" t="n"/>
      <c r="W26" s="114" t="n"/>
      <c r="X26" s="114" t="n"/>
      <c r="Y26" s="114" t="n"/>
      <c r="Z26" s="115" t="n"/>
      <c r="AA26" s="114" t="n"/>
      <c r="AB26" s="114" t="n"/>
      <c r="AC26" s="114" t="n"/>
      <c r="AD26" s="114" t="n"/>
      <c r="AE26" s="114" t="n"/>
      <c r="AF26" s="114" t="n"/>
      <c r="AG26" s="115" t="n"/>
      <c r="AH26" s="114" t="n"/>
      <c r="AI26" s="114" t="n"/>
      <c r="AJ26" s="116">
        <f>IF(ISBLANK(B26), "", IF(ISNUMBER(D26), IF(D26&gt;0, (COUNTIF(E26:AI26, "✓") + COUNTIF(E26:AI26, "✔") + COUNTIF(E26:AI26, "v") + COUNTIF(E26:AI26, "V"))/D26, 0), IF(((COUNTIF(E26:AI26, "✓") + COUNTIF(E26:AI26, "✔") + COUNTIF(E26:AI26, "v") + COUNTIF(E26:AI26, "V")) + COUNTIF(E26:AI26, "✗") + COUNTIF(E26:AI26, "x") + COUNTIF(E26:AI26, "X"))&gt;0, (COUNTIF(E26:AI26, "✓") + COUNTIF(E26:AI26, "✔") + COUNTIF(E26:AI26, "v") + COUNTIF(E26:AI26, "V"))/((COUNTIF(E26:AI26, "✓") + COUNTIF(E26:AI26, "✔") + COUNTIF(E26:AI26, "v") + COUNTIF(E26:AI26, "V")) + COUNTIF(E26:AI26, "✗") + COUNTIF(E26:AI26, "x") + COUNTIF(E26:AI26, "X")), "")))</f>
        <v/>
      </c>
      <c r="AK26" s="117">
        <f>IF(ISBLANK(B26), "", IF(ISNUMBER(D26), IF(D26&gt;0, (COUNTIF(E26:AI26, "✓") + COUNTIF(E26:AI26, "✔") + COUNTIF(E26:AI26, "v") + COUNTIF(E26:AI26, "V")) &amp; "/" &amp; D26, (COUNTIF(E26:AI26, "✓") + COUNTIF(E26:AI26, "✔") + COUNTIF(E26:AI26, "v") + COUNTIF(E26:AI26, "V")) &amp; "/0"), IF(((COUNTIF(E26:AI26, "✓") + COUNTIF(E26:AI26, "✔") + COUNTIF(E26:AI26, "v") + COUNTIF(E26:AI26, "V")) + COUNTIF(E26:AI26, "✗") + COUNTIF(E26:AI26, "x") + COUNTIF(E26:AI26, "X"))&gt;0, (COUNTIF(E26:AI26, "✓") + COUNTIF(E26:AI26, "✔") + COUNTIF(E26:AI26, "v") + COUNTIF(E26:AI26, "V")) &amp; "/" &amp; ((COUNTIF(E26:AI26, "✓") + COUNTIF(E26:AI26, "✔") + COUNTIF(E26:AI26, "v") + COUNTIF(E26:AI26, "V")) + COUNTIF(E26:AI26, "✗") + COUNTIF(E26:AI26, "x") + COUNTIF(E26:AI26, "X")), "")))</f>
        <v/>
      </c>
      <c r="AL26" s="117">
        <f>IF(ISBLANK(B26), "", IF(AJ26&gt;=0.85, "🔥 Mastered", IF(AJ26&gt;=0.7, "⚡ Consistent", "⚠️ Needs Focus")))</f>
        <v/>
      </c>
      <c r="AM26">
        <f>COUNTIF(E26:AI26, "✓")</f>
        <v/>
      </c>
    </row>
    <row r="27" ht="14.5" customHeight="1">
      <c r="A27" s="111" t="n">
        <v>10</v>
      </c>
      <c r="B27" s="112" t="n"/>
      <c r="C27" s="113" t="n"/>
      <c r="D27" s="113" t="n"/>
      <c r="E27" s="115" t="n"/>
      <c r="F27" s="114" t="n"/>
      <c r="G27" s="114" t="n"/>
      <c r="H27" s="114" t="n"/>
      <c r="I27" s="114" t="n"/>
      <c r="J27" s="114" t="n"/>
      <c r="K27" s="114" t="n"/>
      <c r="L27" s="115" t="n"/>
      <c r="M27" s="114" t="n"/>
      <c r="N27" s="114" t="n"/>
      <c r="O27" s="114" t="n"/>
      <c r="P27" s="114" t="n"/>
      <c r="Q27" s="114" t="n"/>
      <c r="R27" s="114" t="n"/>
      <c r="S27" s="115" t="n"/>
      <c r="T27" s="114" t="n"/>
      <c r="U27" s="114" t="n"/>
      <c r="V27" s="114" t="n"/>
      <c r="W27" s="114" t="n"/>
      <c r="X27" s="114" t="n"/>
      <c r="Y27" s="114" t="n"/>
      <c r="Z27" s="115" t="n"/>
      <c r="AA27" s="114" t="n"/>
      <c r="AB27" s="114" t="n"/>
      <c r="AC27" s="114" t="n"/>
      <c r="AD27" s="114" t="n"/>
      <c r="AE27" s="114" t="n"/>
      <c r="AF27" s="114" t="n"/>
      <c r="AG27" s="115" t="n"/>
      <c r="AH27" s="114" t="n"/>
      <c r="AI27" s="114" t="n"/>
      <c r="AJ27" s="116">
        <f>IF(ISBLANK(B27), "", IF(ISNUMBER(D27), IF(D27&gt;0, (COUNTIF(E27:AI27, "✓") + COUNTIF(E27:AI27, "✔") + COUNTIF(E27:AI27, "v") + COUNTIF(E27:AI27, "V"))/D27, 0), IF(((COUNTIF(E27:AI27, "✓") + COUNTIF(E27:AI27, "✔") + COUNTIF(E27:AI27, "v") + COUNTIF(E27:AI27, "V")) + COUNTIF(E27:AI27, "✗") + COUNTIF(E27:AI27, "x") + COUNTIF(E27:AI27, "X"))&gt;0, (COUNTIF(E27:AI27, "✓") + COUNTIF(E27:AI27, "✔") + COUNTIF(E27:AI27, "v") + COUNTIF(E27:AI27, "V"))/((COUNTIF(E27:AI27, "✓") + COUNTIF(E27:AI27, "✔") + COUNTIF(E27:AI27, "v") + COUNTIF(E27:AI27, "V")) + COUNTIF(E27:AI27, "✗") + COUNTIF(E27:AI27, "x") + COUNTIF(E27:AI27, "X")), "")))</f>
        <v/>
      </c>
      <c r="AK27" s="117">
        <f>IF(ISBLANK(B27), "", IF(ISNUMBER(D27), IF(D27&gt;0, (COUNTIF(E27:AI27, "✓") + COUNTIF(E27:AI27, "✔") + COUNTIF(E27:AI27, "v") + COUNTIF(E27:AI27, "V")) &amp; "/" &amp; D27, (COUNTIF(E27:AI27, "✓") + COUNTIF(E27:AI27, "✔") + COUNTIF(E27:AI27, "v") + COUNTIF(E27:AI27, "V")) &amp; "/0"), IF(((COUNTIF(E27:AI27, "✓") + COUNTIF(E27:AI27, "✔") + COUNTIF(E27:AI27, "v") + COUNTIF(E27:AI27, "V")) + COUNTIF(E27:AI27, "✗") + COUNTIF(E27:AI27, "x") + COUNTIF(E27:AI27, "X"))&gt;0, (COUNTIF(E27:AI27, "✓") + COUNTIF(E27:AI27, "✔") + COUNTIF(E27:AI27, "v") + COUNTIF(E27:AI27, "V")) &amp; "/" &amp; ((COUNTIF(E27:AI27, "✓") + COUNTIF(E27:AI27, "✔") + COUNTIF(E27:AI27, "v") + COUNTIF(E27:AI27, "V")) + COUNTIF(E27:AI27, "✗") + COUNTIF(E27:AI27, "x") + COUNTIF(E27:AI27, "X")), "")))</f>
        <v/>
      </c>
      <c r="AL27" s="117">
        <f>IF(ISBLANK(B27), "", IF(AJ27&gt;=0.85, "🔥 Mastered", IF(AJ27&gt;=0.7, "⚡ Consistent", "⚠️ Needs Focus")))</f>
        <v/>
      </c>
      <c r="AM27">
        <f>COUNTIF(E27:AI27, "✓")</f>
        <v/>
      </c>
    </row>
    <row r="28" ht="14.5" customHeight="1">
      <c r="A28" s="111" t="n">
        <v>11</v>
      </c>
      <c r="B28" s="112" t="n"/>
      <c r="C28" s="113" t="n"/>
      <c r="D28" s="113" t="n"/>
      <c r="E28" s="115" t="n"/>
      <c r="F28" s="114" t="n"/>
      <c r="G28" s="114" t="n"/>
      <c r="H28" s="114" t="n"/>
      <c r="I28" s="114" t="n"/>
      <c r="J28" s="114" t="n"/>
      <c r="K28" s="114" t="n"/>
      <c r="L28" s="115" t="n"/>
      <c r="M28" s="114" t="n"/>
      <c r="N28" s="114" t="n"/>
      <c r="O28" s="114" t="n"/>
      <c r="P28" s="114" t="n"/>
      <c r="Q28" s="114" t="n"/>
      <c r="R28" s="114" t="n"/>
      <c r="S28" s="115" t="n"/>
      <c r="T28" s="114" t="n"/>
      <c r="U28" s="114" t="n"/>
      <c r="V28" s="114" t="n"/>
      <c r="W28" s="114" t="n"/>
      <c r="X28" s="114" t="n"/>
      <c r="Y28" s="114" t="n"/>
      <c r="Z28" s="115" t="n"/>
      <c r="AA28" s="114" t="n"/>
      <c r="AB28" s="114" t="n"/>
      <c r="AC28" s="114" t="n"/>
      <c r="AD28" s="114" t="n"/>
      <c r="AE28" s="114" t="n"/>
      <c r="AF28" s="114" t="n"/>
      <c r="AG28" s="115" t="n"/>
      <c r="AH28" s="114" t="n"/>
      <c r="AI28" s="114" t="n"/>
      <c r="AJ28" s="116">
        <f>IF(ISBLANK(B28), "", IF(ISNUMBER(D28), IF(D28&gt;0, (COUNTIF(E28:AI28, "✓") + COUNTIF(E28:AI28, "✔") + COUNTIF(E28:AI28, "v") + COUNTIF(E28:AI28, "V"))/D28, 0), IF(((COUNTIF(E28:AI28, "✓") + COUNTIF(E28:AI28, "✔") + COUNTIF(E28:AI28, "v") + COUNTIF(E28:AI28, "V")) + COUNTIF(E28:AI28, "✗") + COUNTIF(E28:AI28, "x") + COUNTIF(E28:AI28, "X"))&gt;0, (COUNTIF(E28:AI28, "✓") + COUNTIF(E28:AI28, "✔") + COUNTIF(E28:AI28, "v") + COUNTIF(E28:AI28, "V"))/((COUNTIF(E28:AI28, "✓") + COUNTIF(E28:AI28, "✔") + COUNTIF(E28:AI28, "v") + COUNTIF(E28:AI28, "V")) + COUNTIF(E28:AI28, "✗") + COUNTIF(E28:AI28, "x") + COUNTIF(E28:AI28, "X")), "")))</f>
        <v/>
      </c>
      <c r="AK28" s="117">
        <f>IF(ISBLANK(B28), "", IF(ISNUMBER(D28), IF(D28&gt;0, (COUNTIF(E28:AI28, "✓") + COUNTIF(E28:AI28, "✔") + COUNTIF(E28:AI28, "v") + COUNTIF(E28:AI28, "V")) &amp; "/" &amp; D28, (COUNTIF(E28:AI28, "✓") + COUNTIF(E28:AI28, "✔") + COUNTIF(E28:AI28, "v") + COUNTIF(E28:AI28, "V")) &amp; "/0"), IF(((COUNTIF(E28:AI28, "✓") + COUNTIF(E28:AI28, "✔") + COUNTIF(E28:AI28, "v") + COUNTIF(E28:AI28, "V")) + COUNTIF(E28:AI28, "✗") + COUNTIF(E28:AI28, "x") + COUNTIF(E28:AI28, "X"))&gt;0, (COUNTIF(E28:AI28, "✓") + COUNTIF(E28:AI28, "✔") + COUNTIF(E28:AI28, "v") + COUNTIF(E28:AI28, "V")) &amp; "/" &amp; ((COUNTIF(E28:AI28, "✓") + COUNTIF(E28:AI28, "✔") + COUNTIF(E28:AI28, "v") + COUNTIF(E28:AI28, "V")) + COUNTIF(E28:AI28, "✗") + COUNTIF(E28:AI28, "x") + COUNTIF(E28:AI28, "X")), "")))</f>
        <v/>
      </c>
      <c r="AL28" s="117">
        <f>IF(ISBLANK(B28), "", IF(AJ28&gt;=0.85, "🔥 Mastered", IF(AJ28&gt;=0.7, "⚡ Consistent", "⚠️ Needs Focus")))</f>
        <v/>
      </c>
      <c r="AM28">
        <f>COUNTIF(E28:AI28, "✓")</f>
        <v/>
      </c>
    </row>
    <row r="29" ht="14.5" customHeight="1">
      <c r="A29" s="111" t="n">
        <v>12</v>
      </c>
      <c r="B29" s="112" t="n"/>
      <c r="C29" s="113" t="n"/>
      <c r="D29" s="113" t="n"/>
      <c r="E29" s="115" t="n"/>
      <c r="F29" s="114" t="n"/>
      <c r="G29" s="114" t="n"/>
      <c r="H29" s="114" t="n"/>
      <c r="I29" s="114" t="n"/>
      <c r="J29" s="114" t="n"/>
      <c r="K29" s="114" t="n"/>
      <c r="L29" s="115" t="n"/>
      <c r="M29" s="114" t="n"/>
      <c r="N29" s="114" t="n"/>
      <c r="O29" s="114" t="n"/>
      <c r="P29" s="114" t="n"/>
      <c r="Q29" s="114" t="n"/>
      <c r="R29" s="114" t="n"/>
      <c r="S29" s="115" t="n"/>
      <c r="T29" s="114" t="n"/>
      <c r="U29" s="114" t="n"/>
      <c r="V29" s="114" t="n"/>
      <c r="W29" s="114" t="n"/>
      <c r="X29" s="114" t="n"/>
      <c r="Y29" s="114" t="n"/>
      <c r="Z29" s="115" t="n"/>
      <c r="AA29" s="114" t="n"/>
      <c r="AB29" s="114" t="n"/>
      <c r="AC29" s="114" t="n"/>
      <c r="AD29" s="114" t="n"/>
      <c r="AE29" s="114" t="n"/>
      <c r="AF29" s="114" t="n"/>
      <c r="AG29" s="115" t="n"/>
      <c r="AH29" s="114" t="n"/>
      <c r="AI29" s="114" t="n"/>
      <c r="AJ29" s="116">
        <f>IF(ISBLANK(B29), "", IF(ISNUMBER(D29), IF(D29&gt;0, (COUNTIF(E29:AI29, "✓") + COUNTIF(E29:AI29, "✔") + COUNTIF(E29:AI29, "v") + COUNTIF(E29:AI29, "V"))/D29, 0), IF(((COUNTIF(E29:AI29, "✓") + COUNTIF(E29:AI29, "✔") + COUNTIF(E29:AI29, "v") + COUNTIF(E29:AI29, "V")) + COUNTIF(E29:AI29, "✗") + COUNTIF(E29:AI29, "x") + COUNTIF(E29:AI29, "X"))&gt;0, (COUNTIF(E29:AI29, "✓") + COUNTIF(E29:AI29, "✔") + COUNTIF(E29:AI29, "v") + COUNTIF(E29:AI29, "V"))/((COUNTIF(E29:AI29, "✓") + COUNTIF(E29:AI29, "✔") + COUNTIF(E29:AI29, "v") + COUNTIF(E29:AI29, "V")) + COUNTIF(E29:AI29, "✗") + COUNTIF(E29:AI29, "x") + COUNTIF(E29:AI29, "X")), "")))</f>
        <v/>
      </c>
      <c r="AK29" s="117">
        <f>IF(ISBLANK(B29), "", IF(ISNUMBER(D29), IF(D29&gt;0, (COUNTIF(E29:AI29, "✓") + COUNTIF(E29:AI29, "✔") + COUNTIF(E29:AI29, "v") + COUNTIF(E29:AI29, "V")) &amp; "/" &amp; D29, (COUNTIF(E29:AI29, "✓") + COUNTIF(E29:AI29, "✔") + COUNTIF(E29:AI29, "v") + COUNTIF(E29:AI29, "V")) &amp; "/0"), IF(((COUNTIF(E29:AI29, "✓") + COUNTIF(E29:AI29, "✔") + COUNTIF(E29:AI29, "v") + COUNTIF(E29:AI29, "V")) + COUNTIF(E29:AI29, "✗") + COUNTIF(E29:AI29, "x") + COUNTIF(E29:AI29, "X"))&gt;0, (COUNTIF(E29:AI29, "✓") + COUNTIF(E29:AI29, "✔") + COUNTIF(E29:AI29, "v") + COUNTIF(E29:AI29, "V")) &amp; "/" &amp; ((COUNTIF(E29:AI29, "✓") + COUNTIF(E29:AI29, "✔") + COUNTIF(E29:AI29, "v") + COUNTIF(E29:AI29, "V")) + COUNTIF(E29:AI29, "✗") + COUNTIF(E29:AI29, "x") + COUNTIF(E29:AI29, "X")), "")))</f>
        <v/>
      </c>
      <c r="AL29" s="117">
        <f>IF(ISBLANK(B29), "", IF(AJ29&gt;=0.85, "🔥 Mastered", IF(AJ29&gt;=0.7, "⚡ Consistent", "⚠️ Needs Focus")))</f>
        <v/>
      </c>
      <c r="AM29">
        <f>COUNTIF(E29:AI29, "✓")</f>
        <v/>
      </c>
    </row>
    <row r="30" ht="14.5" customHeight="1">
      <c r="A30" s="118" t="n">
        <v>13</v>
      </c>
      <c r="B30" s="119" t="n"/>
      <c r="C30" s="120" t="n"/>
      <c r="D30" s="120" t="n"/>
      <c r="E30" s="122" t="n"/>
      <c r="F30" s="121" t="n"/>
      <c r="G30" s="121" t="n"/>
      <c r="H30" s="121" t="n"/>
      <c r="I30" s="121" t="n"/>
      <c r="J30" s="121" t="n"/>
      <c r="K30" s="121" t="n"/>
      <c r="L30" s="122" t="n"/>
      <c r="M30" s="121" t="n"/>
      <c r="N30" s="121" t="n"/>
      <c r="O30" s="121" t="n"/>
      <c r="P30" s="121" t="n"/>
      <c r="Q30" s="121" t="n"/>
      <c r="R30" s="121" t="n"/>
      <c r="S30" s="122" t="n"/>
      <c r="T30" s="121" t="n"/>
      <c r="U30" s="121" t="n"/>
      <c r="V30" s="121" t="n"/>
      <c r="W30" s="121" t="n"/>
      <c r="X30" s="121" t="n"/>
      <c r="Y30" s="121" t="n"/>
      <c r="Z30" s="122" t="n"/>
      <c r="AA30" s="121" t="n"/>
      <c r="AB30" s="121" t="n"/>
      <c r="AC30" s="121" t="n"/>
      <c r="AD30" s="121" t="n"/>
      <c r="AE30" s="121" t="n"/>
      <c r="AF30" s="121" t="n"/>
      <c r="AG30" s="122" t="n"/>
      <c r="AH30" s="121" t="n"/>
      <c r="AI30" s="121" t="n"/>
      <c r="AJ30" s="123">
        <f>IF(ISBLANK(B30), "", IF(ISNUMBER(D30), IF(D30&gt;0, (COUNTIF(E30:AI30, "✓") + COUNTIF(E30:AI30, "✔") + COUNTIF(E30:AI30, "v") + COUNTIF(E30:AI30, "V"))/D30, 0), IF(((COUNTIF(E30:AI30, "✓") + COUNTIF(E30:AI30, "✔") + COUNTIF(E30:AI30, "v") + COUNTIF(E30:AI30, "V")) + COUNTIF(E30:AI30, "✗") + COUNTIF(E30:AI30, "x") + COUNTIF(E30:AI30, "X"))&gt;0, (COUNTIF(E30:AI30, "✓") + COUNTIF(E30:AI30, "✔") + COUNTIF(E30:AI30, "v") + COUNTIF(E30:AI30, "V"))/((COUNTIF(E30:AI30, "✓") + COUNTIF(E30:AI30, "✔") + COUNTIF(E30:AI30, "v") + COUNTIF(E30:AI30, "V")) + COUNTIF(E30:AI30, "✗") + COUNTIF(E30:AI30, "x") + COUNTIF(E30:AI30, "X")), "")))</f>
        <v/>
      </c>
      <c r="AK30" s="124">
        <f>IF(ISBLANK(B30), "", IF(ISNUMBER(D30), IF(D30&gt;0, (COUNTIF(E30:AI30, "✓") + COUNTIF(E30:AI30, "✔") + COUNTIF(E30:AI30, "v") + COUNTIF(E30:AI30, "V")) &amp; "/" &amp; D30, (COUNTIF(E30:AI30, "✓") + COUNTIF(E30:AI30, "✔") + COUNTIF(E30:AI30, "v") + COUNTIF(E30:AI30, "V")) &amp; "/0"), IF(((COUNTIF(E30:AI30, "✓") + COUNTIF(E30:AI30, "✔") + COUNTIF(E30:AI30, "v") + COUNTIF(E30:AI30, "V")) + COUNTIF(E30:AI30, "✗") + COUNTIF(E30:AI30, "x") + COUNTIF(E30:AI30, "X"))&gt;0, (COUNTIF(E30:AI30, "✓") + COUNTIF(E30:AI30, "✔") + COUNTIF(E30:AI30, "v") + COUNTIF(E30:AI30, "V")) &amp; "/" &amp; ((COUNTIF(E30:AI30, "✓") + COUNTIF(E30:AI30, "✔") + COUNTIF(E30:AI30, "v") + COUNTIF(E30:AI30, "V")) + COUNTIF(E30:AI30, "✗") + COUNTIF(E30:AI30, "x") + COUNTIF(E30:AI30, "X")), "")))</f>
        <v/>
      </c>
      <c r="AL30" s="124">
        <f>IF(ISBLANK(B30), "", IF(AJ30&gt;=0.85, "🔥 Mastered", IF(AJ30&gt;=0.7, "⚡ Consistent", "⚠️ Needs Focus")))</f>
        <v/>
      </c>
      <c r="AM30">
        <f>COUNTIF(E30:AI30, "✓")</f>
        <v/>
      </c>
    </row>
    <row r="31" ht="14.5" customHeight="1">
      <c r="A31" s="118" t="n">
        <v>14</v>
      </c>
      <c r="B31" s="119" t="n"/>
      <c r="C31" s="120" t="n"/>
      <c r="D31" s="120" t="n"/>
      <c r="E31" s="122" t="n"/>
      <c r="F31" s="121" t="n"/>
      <c r="G31" s="121" t="n"/>
      <c r="H31" s="121" t="n"/>
      <c r="I31" s="121" t="n"/>
      <c r="J31" s="121" t="n"/>
      <c r="K31" s="121" t="n"/>
      <c r="L31" s="122" t="n"/>
      <c r="M31" s="121" t="n"/>
      <c r="N31" s="121" t="n"/>
      <c r="O31" s="121" t="n"/>
      <c r="P31" s="121" t="n"/>
      <c r="Q31" s="121" t="n"/>
      <c r="R31" s="121" t="n"/>
      <c r="S31" s="122" t="n"/>
      <c r="T31" s="121" t="n"/>
      <c r="U31" s="121" t="n"/>
      <c r="V31" s="121" t="n"/>
      <c r="W31" s="121" t="n"/>
      <c r="X31" s="121" t="n"/>
      <c r="Y31" s="121" t="n"/>
      <c r="Z31" s="122" t="n"/>
      <c r="AA31" s="121" t="n"/>
      <c r="AB31" s="121" t="n"/>
      <c r="AC31" s="121" t="n"/>
      <c r="AD31" s="121" t="n"/>
      <c r="AE31" s="121" t="n"/>
      <c r="AF31" s="121" t="n"/>
      <c r="AG31" s="122" t="n"/>
      <c r="AH31" s="121" t="n"/>
      <c r="AI31" s="121" t="n"/>
      <c r="AJ31" s="123">
        <f>IF(ISBLANK(B31), "", IF(ISNUMBER(D31), IF(D31&gt;0, (COUNTIF(E31:AI31, "✓") + COUNTIF(E31:AI31, "✔") + COUNTIF(E31:AI31, "v") + COUNTIF(E31:AI31, "V"))/D31, 0), IF(((COUNTIF(E31:AI31, "✓") + COUNTIF(E31:AI31, "✔") + COUNTIF(E31:AI31, "v") + COUNTIF(E31:AI31, "V")) + COUNTIF(E31:AI31, "✗") + COUNTIF(E31:AI31, "x") + COUNTIF(E31:AI31, "X"))&gt;0, (COUNTIF(E31:AI31, "✓") + COUNTIF(E31:AI31, "✔") + COUNTIF(E31:AI31, "v") + COUNTIF(E31:AI31, "V"))/((COUNTIF(E31:AI31, "✓") + COUNTIF(E31:AI31, "✔") + COUNTIF(E31:AI31, "v") + COUNTIF(E31:AI31, "V")) + COUNTIF(E31:AI31, "✗") + COUNTIF(E31:AI31, "x") + COUNTIF(E31:AI31, "X")), "")))</f>
        <v/>
      </c>
      <c r="AK31" s="124">
        <f>IF(ISBLANK(B31), "", IF(ISNUMBER(D31), IF(D31&gt;0, (COUNTIF(E31:AI31, "✓") + COUNTIF(E31:AI31, "✔") + COUNTIF(E31:AI31, "v") + COUNTIF(E31:AI31, "V")) &amp; "/" &amp; D31, (COUNTIF(E31:AI31, "✓") + COUNTIF(E31:AI31, "✔") + COUNTIF(E31:AI31, "v") + COUNTIF(E31:AI31, "V")) &amp; "/0"), IF(((COUNTIF(E31:AI31, "✓") + COUNTIF(E31:AI31, "✔") + COUNTIF(E31:AI31, "v") + COUNTIF(E31:AI31, "V")) + COUNTIF(E31:AI31, "✗") + COUNTIF(E31:AI31, "x") + COUNTIF(E31:AI31, "X"))&gt;0, (COUNTIF(E31:AI31, "✓") + COUNTIF(E31:AI31, "✔") + COUNTIF(E31:AI31, "v") + COUNTIF(E31:AI31, "V")) &amp; "/" &amp; ((COUNTIF(E31:AI31, "✓") + COUNTIF(E31:AI31, "✔") + COUNTIF(E31:AI31, "v") + COUNTIF(E31:AI31, "V")) + COUNTIF(E31:AI31, "✗") + COUNTIF(E31:AI31, "x") + COUNTIF(E31:AI31, "X")), "")))</f>
        <v/>
      </c>
      <c r="AL31" s="124">
        <f>IF(ISBLANK(B31), "", IF(AJ31&gt;=0.85, "🔥 Mastered", IF(AJ31&gt;=0.7, "⚡ Consistent", "⚠️ Needs Focus")))</f>
        <v/>
      </c>
      <c r="AM31">
        <f>COUNTIF(E31:AI31, "✓")</f>
        <v/>
      </c>
    </row>
    <row r="32" ht="14.5" customHeight="1">
      <c r="A32" s="118" t="n">
        <v>15</v>
      </c>
      <c r="B32" s="119" t="n"/>
      <c r="C32" s="120" t="n"/>
      <c r="D32" s="120" t="n"/>
      <c r="E32" s="122" t="n"/>
      <c r="F32" s="121" t="n"/>
      <c r="G32" s="121" t="n"/>
      <c r="H32" s="121" t="n"/>
      <c r="I32" s="121" t="n"/>
      <c r="J32" s="121" t="n"/>
      <c r="K32" s="121" t="n"/>
      <c r="L32" s="122" t="n"/>
      <c r="M32" s="121" t="n"/>
      <c r="N32" s="121" t="n"/>
      <c r="O32" s="121" t="n"/>
      <c r="P32" s="121" t="n"/>
      <c r="Q32" s="121" t="n"/>
      <c r="R32" s="121" t="n"/>
      <c r="S32" s="122" t="n"/>
      <c r="T32" s="121" t="n"/>
      <c r="U32" s="121" t="n"/>
      <c r="V32" s="121" t="n"/>
      <c r="W32" s="121" t="n"/>
      <c r="X32" s="121" t="n"/>
      <c r="Y32" s="121" t="n"/>
      <c r="Z32" s="122" t="n"/>
      <c r="AA32" s="121" t="n"/>
      <c r="AB32" s="121" t="n"/>
      <c r="AC32" s="121" t="n"/>
      <c r="AD32" s="121" t="n"/>
      <c r="AE32" s="121" t="n"/>
      <c r="AF32" s="121" t="n"/>
      <c r="AG32" s="122" t="n"/>
      <c r="AH32" s="121" t="n"/>
      <c r="AI32" s="121" t="n"/>
      <c r="AJ32" s="123">
        <f>IF(ISBLANK(B32), "", IF(ISNUMBER(D32), IF(D32&gt;0, (COUNTIF(E32:AI32, "✓") + COUNTIF(E32:AI32, "✔") + COUNTIF(E32:AI32, "v") + COUNTIF(E32:AI32, "V"))/D32, 0), IF(((COUNTIF(E32:AI32, "✓") + COUNTIF(E32:AI32, "✔") + COUNTIF(E32:AI32, "v") + COUNTIF(E32:AI32, "V")) + COUNTIF(E32:AI32, "✗") + COUNTIF(E32:AI32, "x") + COUNTIF(E32:AI32, "X"))&gt;0, (COUNTIF(E32:AI32, "✓") + COUNTIF(E32:AI32, "✔") + COUNTIF(E32:AI32, "v") + COUNTIF(E32:AI32, "V"))/((COUNTIF(E32:AI32, "✓") + COUNTIF(E32:AI32, "✔") + COUNTIF(E32:AI32, "v") + COUNTIF(E32:AI32, "V")) + COUNTIF(E32:AI32, "✗") + COUNTIF(E32:AI32, "x") + COUNTIF(E32:AI32, "X")), "")))</f>
        <v/>
      </c>
      <c r="AK32" s="124">
        <f>IF(ISBLANK(B32), "", IF(ISNUMBER(D32), IF(D32&gt;0, (COUNTIF(E32:AI32, "✓") + COUNTIF(E32:AI32, "✔") + COUNTIF(E32:AI32, "v") + COUNTIF(E32:AI32, "V")) &amp; "/" &amp; D32, (COUNTIF(E32:AI32, "✓") + COUNTIF(E32:AI32, "✔") + COUNTIF(E32:AI32, "v") + COUNTIF(E32:AI32, "V")) &amp; "/0"), IF(((COUNTIF(E32:AI32, "✓") + COUNTIF(E32:AI32, "✔") + COUNTIF(E32:AI32, "v") + COUNTIF(E32:AI32, "V")) + COUNTIF(E32:AI32, "✗") + COUNTIF(E32:AI32, "x") + COUNTIF(E32:AI32, "X"))&gt;0, (COUNTIF(E32:AI32, "✓") + COUNTIF(E32:AI32, "✔") + COUNTIF(E32:AI32, "v") + COUNTIF(E32:AI32, "V")) &amp; "/" &amp; ((COUNTIF(E32:AI32, "✓") + COUNTIF(E32:AI32, "✔") + COUNTIF(E32:AI32, "v") + COUNTIF(E32:AI32, "V")) + COUNTIF(E32:AI32, "✗") + COUNTIF(E32:AI32, "x") + COUNTIF(E32:AI32, "X")), "")))</f>
        <v/>
      </c>
      <c r="AL32" s="124">
        <f>IF(ISBLANK(B32), "", IF(AJ32&gt;=0.85, "🔥 Mastered", IF(AJ32&gt;=0.7, "⚡ Consistent", "⚠️ Needs Focus")))</f>
        <v/>
      </c>
      <c r="AM32">
        <f>COUNTIF(E32:AI32, "✓")</f>
        <v/>
      </c>
    </row>
    <row r="33" ht="14.5" customHeight="1">
      <c r="A33" s="118" t="n">
        <v>16</v>
      </c>
      <c r="B33" s="119" t="n"/>
      <c r="C33" s="120" t="n"/>
      <c r="D33" s="120" t="n"/>
      <c r="E33" s="122" t="n"/>
      <c r="F33" s="121" t="n"/>
      <c r="G33" s="121" t="n"/>
      <c r="H33" s="121" t="n"/>
      <c r="I33" s="121" t="n"/>
      <c r="J33" s="121" t="n"/>
      <c r="K33" s="121" t="n"/>
      <c r="L33" s="122" t="n"/>
      <c r="M33" s="121" t="n"/>
      <c r="N33" s="121" t="n"/>
      <c r="O33" s="121" t="n"/>
      <c r="P33" s="121" t="n"/>
      <c r="Q33" s="121" t="n"/>
      <c r="R33" s="121" t="n"/>
      <c r="S33" s="122" t="n"/>
      <c r="T33" s="121" t="n"/>
      <c r="U33" s="121" t="n"/>
      <c r="V33" s="121" t="n"/>
      <c r="W33" s="121" t="n"/>
      <c r="X33" s="121" t="n"/>
      <c r="Y33" s="121" t="n"/>
      <c r="Z33" s="122" t="n"/>
      <c r="AA33" s="121" t="n"/>
      <c r="AB33" s="121" t="n"/>
      <c r="AC33" s="121" t="n"/>
      <c r="AD33" s="121" t="n"/>
      <c r="AE33" s="121" t="n"/>
      <c r="AF33" s="121" t="n"/>
      <c r="AG33" s="122" t="n"/>
      <c r="AH33" s="121" t="n"/>
      <c r="AI33" s="121" t="n"/>
      <c r="AJ33" s="123">
        <f>IF(ISBLANK(B33), "", IF(ISNUMBER(D33), IF(D33&gt;0, (COUNTIF(E33:AI33, "✓") + COUNTIF(E33:AI33, "✔") + COUNTIF(E33:AI33, "v") + COUNTIF(E33:AI33, "V"))/D33, 0), IF(((COUNTIF(E33:AI33, "✓") + COUNTIF(E33:AI33, "✔") + COUNTIF(E33:AI33, "v") + COUNTIF(E33:AI33, "V")) + COUNTIF(E33:AI33, "✗") + COUNTIF(E33:AI33, "x") + COUNTIF(E33:AI33, "X"))&gt;0, (COUNTIF(E33:AI33, "✓") + COUNTIF(E33:AI33, "✔") + COUNTIF(E33:AI33, "v") + COUNTIF(E33:AI33, "V"))/((COUNTIF(E33:AI33, "✓") + COUNTIF(E33:AI33, "✔") + COUNTIF(E33:AI33, "v") + COUNTIF(E33:AI33, "V")) + COUNTIF(E33:AI33, "✗") + COUNTIF(E33:AI33, "x") + COUNTIF(E33:AI33, "X")), "")))</f>
        <v/>
      </c>
      <c r="AK33" s="124">
        <f>IF(ISBLANK(B33), "", IF(ISNUMBER(D33), IF(D33&gt;0, (COUNTIF(E33:AI33, "✓") + COUNTIF(E33:AI33, "✔") + COUNTIF(E33:AI33, "v") + COUNTIF(E33:AI33, "V")) &amp; "/" &amp; D33, (COUNTIF(E33:AI33, "✓") + COUNTIF(E33:AI33, "✔") + COUNTIF(E33:AI33, "v") + COUNTIF(E33:AI33, "V")) &amp; "/0"), IF(((COUNTIF(E33:AI33, "✓") + COUNTIF(E33:AI33, "✔") + COUNTIF(E33:AI33, "v") + COUNTIF(E33:AI33, "V")) + COUNTIF(E33:AI33, "✗") + COUNTIF(E33:AI33, "x") + COUNTIF(E33:AI33, "X"))&gt;0, (COUNTIF(E33:AI33, "✓") + COUNTIF(E33:AI33, "✔") + COUNTIF(E33:AI33, "v") + COUNTIF(E33:AI33, "V")) &amp; "/" &amp; ((COUNTIF(E33:AI33, "✓") + COUNTIF(E33:AI33, "✔") + COUNTIF(E33:AI33, "v") + COUNTIF(E33:AI33, "V")) + COUNTIF(E33:AI33, "✗") + COUNTIF(E33:AI33, "x") + COUNTIF(E33:AI33, "X")), "")))</f>
        <v/>
      </c>
      <c r="AL33" s="124">
        <f>IF(ISBLANK(B33), "", IF(AJ33&gt;=0.85, "🔥 Mastered", IF(AJ33&gt;=0.7, "⚡ Consistent", "⚠️ Needs Focus")))</f>
        <v/>
      </c>
      <c r="AM33">
        <f>COUNTIF(E33:AI33, "✓")</f>
        <v/>
      </c>
    </row>
    <row r="34" ht="14.5" customHeight="1">
      <c r="A34" s="125" t="n">
        <v>17</v>
      </c>
      <c r="B34" s="126" t="n"/>
      <c r="C34" s="127" t="n"/>
      <c r="D34" s="127" t="n"/>
      <c r="E34" s="129" t="n"/>
      <c r="F34" s="128" t="n"/>
      <c r="G34" s="128" t="n"/>
      <c r="H34" s="128" t="n"/>
      <c r="I34" s="128" t="n"/>
      <c r="J34" s="128" t="n"/>
      <c r="K34" s="128" t="n"/>
      <c r="L34" s="129" t="n"/>
      <c r="M34" s="128" t="n"/>
      <c r="N34" s="128" t="n"/>
      <c r="O34" s="128" t="n"/>
      <c r="P34" s="128" t="n"/>
      <c r="Q34" s="128" t="n"/>
      <c r="R34" s="128" t="n"/>
      <c r="S34" s="129" t="n"/>
      <c r="T34" s="128" t="n"/>
      <c r="U34" s="128" t="n"/>
      <c r="V34" s="128" t="n"/>
      <c r="W34" s="128" t="n"/>
      <c r="X34" s="128" t="n"/>
      <c r="Y34" s="128" t="n"/>
      <c r="Z34" s="129" t="n"/>
      <c r="AA34" s="128" t="n"/>
      <c r="AB34" s="128" t="n"/>
      <c r="AC34" s="128" t="n"/>
      <c r="AD34" s="128" t="n"/>
      <c r="AE34" s="128" t="n"/>
      <c r="AF34" s="128" t="n"/>
      <c r="AG34" s="129" t="n"/>
      <c r="AH34" s="128" t="n"/>
      <c r="AI34" s="128" t="n"/>
      <c r="AJ34" s="130">
        <f>IF(ISBLANK(B34), "", IF(ISNUMBER(D34), IF(D34&gt;0, (COUNTIF(E34:AI34, "✓") + COUNTIF(E34:AI34, "✔") + COUNTIF(E34:AI34, "v") + COUNTIF(E34:AI34, "V"))/D34, 0), IF(((COUNTIF(E34:AI34, "✓") + COUNTIF(E34:AI34, "✔") + COUNTIF(E34:AI34, "v") + COUNTIF(E34:AI34, "V")) + COUNTIF(E34:AI34, "✗") + COUNTIF(E34:AI34, "x") + COUNTIF(E34:AI34, "X"))&gt;0, (COUNTIF(E34:AI34, "✓") + COUNTIF(E34:AI34, "✔") + COUNTIF(E34:AI34, "v") + COUNTIF(E34:AI34, "V"))/((COUNTIF(E34:AI34, "✓") + COUNTIF(E34:AI34, "✔") + COUNTIF(E34:AI34, "v") + COUNTIF(E34:AI34, "V")) + COUNTIF(E34:AI34, "✗") + COUNTIF(E34:AI34, "x") + COUNTIF(E34:AI34, "X")), "")))</f>
        <v/>
      </c>
      <c r="AK34" s="131">
        <f>IF(ISBLANK(B34), "", IF(ISNUMBER(D34), IF(D34&gt;0, (COUNTIF(E34:AI34, "✓") + COUNTIF(E34:AI34, "✔") + COUNTIF(E34:AI34, "v") + COUNTIF(E34:AI34, "V")) &amp; "/" &amp; D34, (COUNTIF(E34:AI34, "✓") + COUNTIF(E34:AI34, "✔") + COUNTIF(E34:AI34, "v") + COUNTIF(E34:AI34, "V")) &amp; "/0"), IF(((COUNTIF(E34:AI34, "✓") + COUNTIF(E34:AI34, "✔") + COUNTIF(E34:AI34, "v") + COUNTIF(E34:AI34, "V")) + COUNTIF(E34:AI34, "✗") + COUNTIF(E34:AI34, "x") + COUNTIF(E34:AI34, "X"))&gt;0, (COUNTIF(E34:AI34, "✓") + COUNTIF(E34:AI34, "✔") + COUNTIF(E34:AI34, "v") + COUNTIF(E34:AI34, "V")) &amp; "/" &amp; ((COUNTIF(E34:AI34, "✓") + COUNTIF(E34:AI34, "✔") + COUNTIF(E34:AI34, "v") + COUNTIF(E34:AI34, "V")) + COUNTIF(E34:AI34, "✗") + COUNTIF(E34:AI34, "x") + COUNTIF(E34:AI34, "X")), "")))</f>
        <v/>
      </c>
      <c r="AL34" s="131">
        <f>IF(ISBLANK(B34), "", IF(AJ34&gt;=0.85, "🔥 Mastered", IF(AJ34&gt;=0.7, "⚡ Consistent", "⚠️ Needs Focus")))</f>
        <v/>
      </c>
      <c r="AM34">
        <f>COUNTIF(E34:AI34, "✓")</f>
        <v/>
      </c>
    </row>
    <row r="35" ht="14.5" customHeight="1">
      <c r="A35" s="125" t="n">
        <v>18</v>
      </c>
      <c r="B35" s="126" t="n"/>
      <c r="C35" s="127" t="n"/>
      <c r="D35" s="127" t="n"/>
      <c r="E35" s="129" t="n"/>
      <c r="F35" s="128" t="n"/>
      <c r="G35" s="128" t="n"/>
      <c r="H35" s="128" t="n"/>
      <c r="I35" s="128" t="n"/>
      <c r="J35" s="128" t="n"/>
      <c r="K35" s="128" t="n"/>
      <c r="L35" s="129" t="n"/>
      <c r="M35" s="128" t="n"/>
      <c r="N35" s="128" t="n"/>
      <c r="O35" s="128" t="n"/>
      <c r="P35" s="128" t="n"/>
      <c r="Q35" s="128" t="n"/>
      <c r="R35" s="128" t="n"/>
      <c r="S35" s="129" t="n"/>
      <c r="T35" s="128" t="n"/>
      <c r="U35" s="128" t="n"/>
      <c r="V35" s="128" t="n"/>
      <c r="W35" s="128" t="n"/>
      <c r="X35" s="128" t="n"/>
      <c r="Y35" s="128" t="n"/>
      <c r="Z35" s="129" t="n"/>
      <c r="AA35" s="128" t="n"/>
      <c r="AB35" s="128" t="n"/>
      <c r="AC35" s="128" t="n"/>
      <c r="AD35" s="128" t="n"/>
      <c r="AE35" s="128" t="n"/>
      <c r="AF35" s="128" t="n"/>
      <c r="AG35" s="129" t="n"/>
      <c r="AH35" s="128" t="n"/>
      <c r="AI35" s="128" t="n"/>
      <c r="AJ35" s="130">
        <f>IF(ISBLANK(B35), "", IF(ISNUMBER(D35), IF(D35&gt;0, (COUNTIF(E35:AI35, "✓") + COUNTIF(E35:AI35, "✔") + COUNTIF(E35:AI35, "v") + COUNTIF(E35:AI35, "V"))/D35, 0), IF(((COUNTIF(E35:AI35, "✓") + COUNTIF(E35:AI35, "✔") + COUNTIF(E35:AI35, "v") + COUNTIF(E35:AI35, "V")) + COUNTIF(E35:AI35, "✗") + COUNTIF(E35:AI35, "x") + COUNTIF(E35:AI35, "X"))&gt;0, (COUNTIF(E35:AI35, "✓") + COUNTIF(E35:AI35, "✔") + COUNTIF(E35:AI35, "v") + COUNTIF(E35:AI35, "V"))/((COUNTIF(E35:AI35, "✓") + COUNTIF(E35:AI35, "✔") + COUNTIF(E35:AI35, "v") + COUNTIF(E35:AI35, "V")) + COUNTIF(E35:AI35, "✗") + COUNTIF(E35:AI35, "x") + COUNTIF(E35:AI35, "X")), "")))</f>
        <v/>
      </c>
      <c r="AK35" s="131">
        <f>IF(ISBLANK(B35), "", IF(ISNUMBER(D35), IF(D35&gt;0, (COUNTIF(E35:AI35, "✓") + COUNTIF(E35:AI35, "✔") + COUNTIF(E35:AI35, "v") + COUNTIF(E35:AI35, "V")) &amp; "/" &amp; D35, (COUNTIF(E35:AI35, "✓") + COUNTIF(E35:AI35, "✔") + COUNTIF(E35:AI35, "v") + COUNTIF(E35:AI35, "V")) &amp; "/0"), IF(((COUNTIF(E35:AI35, "✓") + COUNTIF(E35:AI35, "✔") + COUNTIF(E35:AI35, "v") + COUNTIF(E35:AI35, "V")) + COUNTIF(E35:AI35, "✗") + COUNTIF(E35:AI35, "x") + COUNTIF(E35:AI35, "X"))&gt;0, (COUNTIF(E35:AI35, "✓") + COUNTIF(E35:AI35, "✔") + COUNTIF(E35:AI35, "v") + COUNTIF(E35:AI35, "V")) &amp; "/" &amp; ((COUNTIF(E35:AI35, "✓") + COUNTIF(E35:AI35, "✔") + COUNTIF(E35:AI35, "v") + COUNTIF(E35:AI35, "V")) + COUNTIF(E35:AI35, "✗") + COUNTIF(E35:AI35, "x") + COUNTIF(E35:AI35, "X")), "")))</f>
        <v/>
      </c>
      <c r="AL35" s="131">
        <f>IF(ISBLANK(B35), "", IF(AJ35&gt;=0.85, "🔥 Mastered", IF(AJ35&gt;=0.7, "⚡ Consistent", "⚠️ Needs Focus")))</f>
        <v/>
      </c>
      <c r="AM35">
        <f>COUNTIF(E35:AI35, "✓")</f>
        <v/>
      </c>
    </row>
    <row r="36" ht="14.5" customHeight="1">
      <c r="A36" s="125" t="n">
        <v>19</v>
      </c>
      <c r="B36" s="126" t="n"/>
      <c r="C36" s="127" t="n"/>
      <c r="D36" s="127" t="n"/>
      <c r="E36" s="129" t="n"/>
      <c r="F36" s="128" t="n"/>
      <c r="G36" s="128" t="n"/>
      <c r="H36" s="128" t="n"/>
      <c r="I36" s="128" t="n"/>
      <c r="J36" s="128" t="n"/>
      <c r="K36" s="128" t="n"/>
      <c r="L36" s="129" t="n"/>
      <c r="M36" s="128" t="n"/>
      <c r="N36" s="128" t="n"/>
      <c r="O36" s="128" t="n"/>
      <c r="P36" s="128" t="n"/>
      <c r="Q36" s="128" t="n"/>
      <c r="R36" s="128" t="n"/>
      <c r="S36" s="129" t="n"/>
      <c r="T36" s="128" t="n"/>
      <c r="U36" s="128" t="n"/>
      <c r="V36" s="128" t="n"/>
      <c r="W36" s="128" t="n"/>
      <c r="X36" s="128" t="n"/>
      <c r="Y36" s="128" t="n"/>
      <c r="Z36" s="129" t="n"/>
      <c r="AA36" s="128" t="n"/>
      <c r="AB36" s="128" t="n"/>
      <c r="AC36" s="128" t="n"/>
      <c r="AD36" s="128" t="n"/>
      <c r="AE36" s="128" t="n"/>
      <c r="AF36" s="128" t="n"/>
      <c r="AG36" s="129" t="n"/>
      <c r="AH36" s="128" t="n"/>
      <c r="AI36" s="128" t="n"/>
      <c r="AJ36" s="130">
        <f>IF(ISBLANK(B36), "", IF(ISNUMBER(D36), IF(D36&gt;0, (COUNTIF(E36:AI36, "✓") + COUNTIF(E36:AI36, "✔") + COUNTIF(E36:AI36, "v") + COUNTIF(E36:AI36, "V"))/D36, 0), IF(((COUNTIF(E36:AI36, "✓") + COUNTIF(E36:AI36, "✔") + COUNTIF(E36:AI36, "v") + COUNTIF(E36:AI36, "V")) + COUNTIF(E36:AI36, "✗") + COUNTIF(E36:AI36, "x") + COUNTIF(E36:AI36, "X"))&gt;0, (COUNTIF(E36:AI36, "✓") + COUNTIF(E36:AI36, "✔") + COUNTIF(E36:AI36, "v") + COUNTIF(E36:AI36, "V"))/((COUNTIF(E36:AI36, "✓") + COUNTIF(E36:AI36, "✔") + COUNTIF(E36:AI36, "v") + COUNTIF(E36:AI36, "V")) + COUNTIF(E36:AI36, "✗") + COUNTIF(E36:AI36, "x") + COUNTIF(E36:AI36, "X")), "")))</f>
        <v/>
      </c>
      <c r="AK36" s="131">
        <f>IF(ISBLANK(B36), "", IF(ISNUMBER(D36), IF(D36&gt;0, (COUNTIF(E36:AI36, "✓") + COUNTIF(E36:AI36, "✔") + COUNTIF(E36:AI36, "v") + COUNTIF(E36:AI36, "V")) &amp; "/" &amp; D36, (COUNTIF(E36:AI36, "✓") + COUNTIF(E36:AI36, "✔") + COUNTIF(E36:AI36, "v") + COUNTIF(E36:AI36, "V")) &amp; "/0"), IF(((COUNTIF(E36:AI36, "✓") + COUNTIF(E36:AI36, "✔") + COUNTIF(E36:AI36, "v") + COUNTIF(E36:AI36, "V")) + COUNTIF(E36:AI36, "✗") + COUNTIF(E36:AI36, "x") + COUNTIF(E36:AI36, "X"))&gt;0, (COUNTIF(E36:AI36, "✓") + COUNTIF(E36:AI36, "✔") + COUNTIF(E36:AI36, "v") + COUNTIF(E36:AI36, "V")) &amp; "/" &amp; ((COUNTIF(E36:AI36, "✓") + COUNTIF(E36:AI36, "✔") + COUNTIF(E36:AI36, "v") + COUNTIF(E36:AI36, "V")) + COUNTIF(E36:AI36, "✗") + COUNTIF(E36:AI36, "x") + COUNTIF(E36:AI36, "X")), "")))</f>
        <v/>
      </c>
      <c r="AL36" s="131">
        <f>IF(ISBLANK(B36), "", IF(AJ36&gt;=0.85, "🔥 Mastered", IF(AJ36&gt;=0.7, "⚡ Consistent", "⚠️ Needs Focus")))</f>
        <v/>
      </c>
      <c r="AM36">
        <f>COUNTIF(E36:AI36, "✓")</f>
        <v/>
      </c>
    </row>
    <row r="37" ht="14.5" customHeight="1">
      <c r="A37" s="125" t="n">
        <v>20</v>
      </c>
      <c r="B37" s="126" t="n"/>
      <c r="C37" s="127" t="n"/>
      <c r="D37" s="127" t="n"/>
      <c r="E37" s="129" t="n"/>
      <c r="F37" s="128" t="n"/>
      <c r="G37" s="128" t="n"/>
      <c r="H37" s="128" t="n"/>
      <c r="I37" s="128" t="n"/>
      <c r="J37" s="128" t="n"/>
      <c r="K37" s="128" t="n"/>
      <c r="L37" s="129" t="n"/>
      <c r="M37" s="128" t="n"/>
      <c r="N37" s="128" t="n"/>
      <c r="O37" s="128" t="n"/>
      <c r="P37" s="128" t="n"/>
      <c r="Q37" s="128" t="n"/>
      <c r="R37" s="128" t="n"/>
      <c r="S37" s="129" t="n"/>
      <c r="T37" s="128" t="n"/>
      <c r="U37" s="128" t="n"/>
      <c r="V37" s="128" t="n"/>
      <c r="W37" s="128" t="n"/>
      <c r="X37" s="128" t="n"/>
      <c r="Y37" s="128" t="n"/>
      <c r="Z37" s="129" t="n"/>
      <c r="AA37" s="128" t="n"/>
      <c r="AB37" s="128" t="n"/>
      <c r="AC37" s="128" t="n"/>
      <c r="AD37" s="128" t="n"/>
      <c r="AE37" s="128" t="n"/>
      <c r="AF37" s="128" t="n"/>
      <c r="AG37" s="129" t="n"/>
      <c r="AH37" s="128" t="n"/>
      <c r="AI37" s="128" t="n"/>
      <c r="AJ37" s="130">
        <f>IF(ISBLANK(B37), "", IF(ISNUMBER(D37), IF(D37&gt;0, (COUNTIF(E37:AI37, "✓") + COUNTIF(E37:AI37, "✔") + COUNTIF(E37:AI37, "v") + COUNTIF(E37:AI37, "V"))/D37, 0), IF(((COUNTIF(E37:AI37, "✓") + COUNTIF(E37:AI37, "✔") + COUNTIF(E37:AI37, "v") + COUNTIF(E37:AI37, "V")) + COUNTIF(E37:AI37, "✗") + COUNTIF(E37:AI37, "x") + COUNTIF(E37:AI37, "X"))&gt;0, (COUNTIF(E37:AI37, "✓") + COUNTIF(E37:AI37, "✔") + COUNTIF(E37:AI37, "v") + COUNTIF(E37:AI37, "V"))/((COUNTIF(E37:AI37, "✓") + COUNTIF(E37:AI37, "✔") + COUNTIF(E37:AI37, "v") + COUNTIF(E37:AI37, "V")) + COUNTIF(E37:AI37, "✗") + COUNTIF(E37:AI37, "x") + COUNTIF(E37:AI37, "X")), "")))</f>
        <v/>
      </c>
      <c r="AK37" s="131">
        <f>IF(ISBLANK(B37), "", IF(ISNUMBER(D37), IF(D37&gt;0, (COUNTIF(E37:AI37, "✓") + COUNTIF(E37:AI37, "✔") + COUNTIF(E37:AI37, "v") + COUNTIF(E37:AI37, "V")) &amp; "/" &amp; D37, (COUNTIF(E37:AI37, "✓") + COUNTIF(E37:AI37, "✔") + COUNTIF(E37:AI37, "v") + COUNTIF(E37:AI37, "V")) &amp; "/0"), IF(((COUNTIF(E37:AI37, "✓") + COUNTIF(E37:AI37, "✔") + COUNTIF(E37:AI37, "v") + COUNTIF(E37:AI37, "V")) + COUNTIF(E37:AI37, "✗") + COUNTIF(E37:AI37, "x") + COUNTIF(E37:AI37, "X"))&gt;0, (COUNTIF(E37:AI37, "✓") + COUNTIF(E37:AI37, "✔") + COUNTIF(E37:AI37, "v") + COUNTIF(E37:AI37, "V")) &amp; "/" &amp; ((COUNTIF(E37:AI37, "✓") + COUNTIF(E37:AI37, "✔") + COUNTIF(E37:AI37, "v") + COUNTIF(E37:AI37, "V")) + COUNTIF(E37:AI37, "✗") + COUNTIF(E37:AI37, "x") + COUNTIF(E37:AI37, "X")), "")))</f>
        <v/>
      </c>
      <c r="AL37" s="131">
        <f>IF(ISBLANK(B37), "", IF(AJ37&gt;=0.85, "🔥 Mastered", IF(AJ37&gt;=0.7, "⚡ Consistent", "⚠️ Needs Focus")))</f>
        <v/>
      </c>
      <c r="AM37">
        <f>COUNTIF(E37:AI37, "✓")</f>
        <v/>
      </c>
    </row>
    <row r="38" ht="18" customHeight="1">
      <c r="A38" s="132" t="inlineStr">
        <is>
          <t>DAILY TOTAL SCORE</t>
        </is>
      </c>
      <c r="B38" s="54" t="n"/>
      <c r="C38" s="54" t="n"/>
      <c r="D38" s="54" t="n"/>
      <c r="E38" s="33">
        <f>IF(((COUNTIF(E18:E37, "✓") + COUNTIF(E18:E37, "✔") + COUNTIF(E18:E37, "v") + COUNTIF(E18:E37, "V")) + COUNTIF(E18:E37, "✗") + COUNTIF(E18:E37, "x") + COUNTIF(E18:E37, "X")) &gt; 0, (COUNTIF(E18:E37, "✓") + COUNTIF(E18:E37, "✔") + COUNTIF(E18:E37, "v") + COUNTIF(E18:E37, "V")) &amp; "/" &amp; ((COUNTIF(E18:E37, "✓") + COUNTIF(E18:E37, "✔") + COUNTIF(E18:E37, "v") + COUNTIF(E18:E37, "V")) + COUNTIF(E18:E37, "✗") + COUNTIF(E18:E37, "x") + COUNTIF(E18:E37, "X")), "")</f>
        <v/>
      </c>
      <c r="F38" s="33">
        <f>IF(((COUNTIF(F18:F37, "✓") + COUNTIF(F18:F37, "✔") + COUNTIF(F18:F37, "v") + COUNTIF(F18:F37, "V")) + COUNTIF(F18:F37, "✗") + COUNTIF(F18:F37, "x") + COUNTIF(F18:F37, "X")) &gt; 0, (COUNTIF(F18:F37, "✓") + COUNTIF(F18:F37, "✔") + COUNTIF(F18:F37, "v") + COUNTIF(F18:F37, "V")) &amp; "/" &amp; ((COUNTIF(F18:F37, "✓") + COUNTIF(F18:F37, "✔") + COUNTIF(F18:F37, "v") + COUNTIF(F18:F37, "V")) + COUNTIF(F18:F37, "✗") + COUNTIF(F18:F37, "x") + COUNTIF(F18:F37, "X")), "")</f>
        <v/>
      </c>
      <c r="G38" s="33">
        <f>IF(((COUNTIF(G18:G37, "✓") + COUNTIF(G18:G37, "✔") + COUNTIF(G18:G37, "v") + COUNTIF(G18:G37, "V")) + COUNTIF(G18:G37, "✗") + COUNTIF(G18:G37, "x") + COUNTIF(G18:G37, "X")) &gt; 0, (COUNTIF(G18:G37, "✓") + COUNTIF(G18:G37, "✔") + COUNTIF(G18:G37, "v") + COUNTIF(G18:G37, "V")) &amp; "/" &amp; ((COUNTIF(G18:G37, "✓") + COUNTIF(G18:G37, "✔") + COUNTIF(G18:G37, "v") + COUNTIF(G18:G37, "V")) + COUNTIF(G18:G37, "✗") + COUNTIF(G18:G37, "x") + COUNTIF(G18:G37, "X")), "")</f>
        <v/>
      </c>
      <c r="H38" s="33">
        <f>IF(((COUNTIF(H18:H37, "✓") + COUNTIF(H18:H37, "✔") + COUNTIF(H18:H37, "v") + COUNTIF(H18:H37, "V")) + COUNTIF(H18:H37, "✗") + COUNTIF(H18:H37, "x") + COUNTIF(H18:H37, "X")) &gt; 0, (COUNTIF(H18:H37, "✓") + COUNTIF(H18:H37, "✔") + COUNTIF(H18:H37, "v") + COUNTIF(H18:H37, "V")) &amp; "/" &amp; ((COUNTIF(H18:H37, "✓") + COUNTIF(H18:H37, "✔") + COUNTIF(H18:H37, "v") + COUNTIF(H18:H37, "V")) + COUNTIF(H18:H37, "✗") + COUNTIF(H18:H37, "x") + COUNTIF(H18:H37, "X")), "")</f>
        <v/>
      </c>
      <c r="I38" s="33">
        <f>IF(((COUNTIF(I18:I37, "✓") + COUNTIF(I18:I37, "✔") + COUNTIF(I18:I37, "v") + COUNTIF(I18:I37, "V")) + COUNTIF(I18:I37, "✗") + COUNTIF(I18:I37, "x") + COUNTIF(I18:I37, "X")) &gt; 0, (COUNTIF(I18:I37, "✓") + COUNTIF(I18:I37, "✔") + COUNTIF(I18:I37, "v") + COUNTIF(I18:I37, "V")) &amp; "/" &amp; ((COUNTIF(I18:I37, "✓") + COUNTIF(I18:I37, "✔") + COUNTIF(I18:I37, "v") + COUNTIF(I18:I37, "V")) + COUNTIF(I18:I37, "✗") + COUNTIF(I18:I37, "x") + COUNTIF(I18:I37, "X")), "")</f>
        <v/>
      </c>
      <c r="J38" s="33">
        <f>IF(((COUNTIF(J18:J37, "✓") + COUNTIF(J18:J37, "✔") + COUNTIF(J18:J37, "v") + COUNTIF(J18:J37, "V")) + COUNTIF(J18:J37, "✗") + COUNTIF(J18:J37, "x") + COUNTIF(J18:J37, "X")) &gt; 0, (COUNTIF(J18:J37, "✓") + COUNTIF(J18:J37, "✔") + COUNTIF(J18:J37, "v") + COUNTIF(J18:J37, "V")) &amp; "/" &amp; ((COUNTIF(J18:J37, "✓") + COUNTIF(J18:J37, "✔") + COUNTIF(J18:J37, "v") + COUNTIF(J18:J37, "V")) + COUNTIF(J18:J37, "✗") + COUNTIF(J18:J37, "x") + COUNTIF(J18:J37, "X")), "")</f>
        <v/>
      </c>
      <c r="K38" s="33">
        <f>IF(((COUNTIF(K18:K37, "✓") + COUNTIF(K18:K37, "✔") + COUNTIF(K18:K37, "v") + COUNTIF(K18:K37, "V")) + COUNTIF(K18:K37, "✗") + COUNTIF(K18:K37, "x") + COUNTIF(K18:K37, "X")) &gt; 0, (COUNTIF(K18:K37, "✓") + COUNTIF(K18:K37, "✔") + COUNTIF(K18:K37, "v") + COUNTIF(K18:K37, "V")) &amp; "/" &amp; ((COUNTIF(K18:K37, "✓") + COUNTIF(K18:K37, "✔") + COUNTIF(K18:K37, "v") + COUNTIF(K18:K37, "V")) + COUNTIF(K18:K37, "✗") + COUNTIF(K18:K37, "x") + COUNTIF(K18:K37, "X")), "")</f>
        <v/>
      </c>
      <c r="L38" s="33">
        <f>IF(((COUNTIF(L18:L37, "✓") + COUNTIF(L18:L37, "✔") + COUNTIF(L18:L37, "v") + COUNTIF(L18:L37, "V")) + COUNTIF(L18:L37, "✗") + COUNTIF(L18:L37, "x") + COUNTIF(L18:L37, "X")) &gt; 0, (COUNTIF(L18:L37, "✓") + COUNTIF(L18:L37, "✔") + COUNTIF(L18:L37, "v") + COUNTIF(L18:L37, "V")) &amp; "/" &amp; ((COUNTIF(L18:L37, "✓") + COUNTIF(L18:L37, "✔") + COUNTIF(L18:L37, "v") + COUNTIF(L18:L37, "V")) + COUNTIF(L18:L37, "✗") + COUNTIF(L18:L37, "x") + COUNTIF(L18:L37, "X")), "")</f>
        <v/>
      </c>
      <c r="M38" s="33">
        <f>IF(((COUNTIF(M18:M37, "✓") + COUNTIF(M18:M37, "✔") + COUNTIF(M18:M37, "v") + COUNTIF(M18:M37, "V")) + COUNTIF(M18:M37, "✗") + COUNTIF(M18:M37, "x") + COUNTIF(M18:M37, "X")) &gt; 0, (COUNTIF(M18:M37, "✓") + COUNTIF(M18:M37, "✔") + COUNTIF(M18:M37, "v") + COUNTIF(M18:M37, "V")) &amp; "/" &amp; ((COUNTIF(M18:M37, "✓") + COUNTIF(M18:M37, "✔") + COUNTIF(M18:M37, "v") + COUNTIF(M18:M37, "V")) + COUNTIF(M18:M37, "✗") + COUNTIF(M18:M37, "x") + COUNTIF(M18:M37, "X")), "")</f>
        <v/>
      </c>
      <c r="N38" s="33">
        <f>IF(((COUNTIF(N18:N37, "✓") + COUNTIF(N18:N37, "✔") + COUNTIF(N18:N37, "v") + COUNTIF(N18:N37, "V")) + COUNTIF(N18:N37, "✗") + COUNTIF(N18:N37, "x") + COUNTIF(N18:N37, "X")) &gt; 0, (COUNTIF(N18:N37, "✓") + COUNTIF(N18:N37, "✔") + COUNTIF(N18:N37, "v") + COUNTIF(N18:N37, "V")) &amp; "/" &amp; ((COUNTIF(N18:N37, "✓") + COUNTIF(N18:N37, "✔") + COUNTIF(N18:N37, "v") + COUNTIF(N18:N37, "V")) + COUNTIF(N18:N37, "✗") + COUNTIF(N18:N37, "x") + COUNTIF(N18:N37, "X")), "")</f>
        <v/>
      </c>
      <c r="O38" s="33">
        <f>IF(((COUNTIF(O18:O37, "✓") + COUNTIF(O18:O37, "✔") + COUNTIF(O18:O37, "v") + COUNTIF(O18:O37, "V")) + COUNTIF(O18:O37, "✗") + COUNTIF(O18:O37, "x") + COUNTIF(O18:O37, "X")) &gt; 0, (COUNTIF(O18:O37, "✓") + COUNTIF(O18:O37, "✔") + COUNTIF(O18:O37, "v") + COUNTIF(O18:O37, "V")) &amp; "/" &amp; ((COUNTIF(O18:O37, "✓") + COUNTIF(O18:O37, "✔") + COUNTIF(O18:O37, "v") + COUNTIF(O18:O37, "V")) + COUNTIF(O18:O37, "✗") + COUNTIF(O18:O37, "x") + COUNTIF(O18:O37, "X")), "")</f>
        <v/>
      </c>
      <c r="P38" s="33">
        <f>IF(((COUNTIF(P18:P37, "✓") + COUNTIF(P18:P37, "✔") + COUNTIF(P18:P37, "v") + COUNTIF(P18:P37, "V")) + COUNTIF(P18:P37, "✗") + COUNTIF(P18:P37, "x") + COUNTIF(P18:P37, "X")) &gt; 0, (COUNTIF(P18:P37, "✓") + COUNTIF(P18:P37, "✔") + COUNTIF(P18:P37, "v") + COUNTIF(P18:P37, "V")) &amp; "/" &amp; ((COUNTIF(P18:P37, "✓") + COUNTIF(P18:P37, "✔") + COUNTIF(P18:P37, "v") + COUNTIF(P18:P37, "V")) + COUNTIF(P18:P37, "✗") + COUNTIF(P18:P37, "x") + COUNTIF(P18:P37, "X")), "")</f>
        <v/>
      </c>
      <c r="Q38" s="33">
        <f>IF(((COUNTIF(Q18:Q37, "✓") + COUNTIF(Q18:Q37, "✔") + COUNTIF(Q18:Q37, "v") + COUNTIF(Q18:Q37, "V")) + COUNTIF(Q18:Q37, "✗") + COUNTIF(Q18:Q37, "x") + COUNTIF(Q18:Q37, "X")) &gt; 0, (COUNTIF(Q18:Q37, "✓") + COUNTIF(Q18:Q37, "✔") + COUNTIF(Q18:Q37, "v") + COUNTIF(Q18:Q37, "V")) &amp; "/" &amp; ((COUNTIF(Q18:Q37, "✓") + COUNTIF(Q18:Q37, "✔") + COUNTIF(Q18:Q37, "v") + COUNTIF(Q18:Q37, "V")) + COUNTIF(Q18:Q37, "✗") + COUNTIF(Q18:Q37, "x") + COUNTIF(Q18:Q37, "X")), "")</f>
        <v/>
      </c>
      <c r="R38" s="33">
        <f>IF(((COUNTIF(R18:R37, "✓") + COUNTIF(R18:R37, "✔") + COUNTIF(R18:R37, "v") + COUNTIF(R18:R37, "V")) + COUNTIF(R18:R37, "✗") + COUNTIF(R18:R37, "x") + COUNTIF(R18:R37, "X")) &gt; 0, (COUNTIF(R18:R37, "✓") + COUNTIF(R18:R37, "✔") + COUNTIF(R18:R37, "v") + COUNTIF(R18:R37, "V")) &amp; "/" &amp; ((COUNTIF(R18:R37, "✓") + COUNTIF(R18:R37, "✔") + COUNTIF(R18:R37, "v") + COUNTIF(R18:R37, "V")) + COUNTIF(R18:R37, "✗") + COUNTIF(R18:R37, "x") + COUNTIF(R18:R37, "X")), "")</f>
        <v/>
      </c>
      <c r="S38" s="33">
        <f>IF(((COUNTIF(S18:S37, "✓") + COUNTIF(S18:S37, "✔") + COUNTIF(S18:S37, "v") + COUNTIF(S18:S37, "V")) + COUNTIF(S18:S37, "✗") + COUNTIF(S18:S37, "x") + COUNTIF(S18:S37, "X")) &gt; 0, (COUNTIF(S18:S37, "✓") + COUNTIF(S18:S37, "✔") + COUNTIF(S18:S37, "v") + COUNTIF(S18:S37, "V")) &amp; "/" &amp; ((COUNTIF(S18:S37, "✓") + COUNTIF(S18:S37, "✔") + COUNTIF(S18:S37, "v") + COUNTIF(S18:S37, "V")) + COUNTIF(S18:S37, "✗") + COUNTIF(S18:S37, "x") + COUNTIF(S18:S37, "X")), "")</f>
        <v/>
      </c>
      <c r="T38" s="33">
        <f>IF(((COUNTIF(T18:T37, "✓") + COUNTIF(T18:T37, "✔") + COUNTIF(T18:T37, "v") + COUNTIF(T18:T37, "V")) + COUNTIF(T18:T37, "✗") + COUNTIF(T18:T37, "x") + COUNTIF(T18:T37, "X")) &gt; 0, (COUNTIF(T18:T37, "✓") + COUNTIF(T18:T37, "✔") + COUNTIF(T18:T37, "v") + COUNTIF(T18:T37, "V")) &amp; "/" &amp; ((COUNTIF(T18:T37, "✓") + COUNTIF(T18:T37, "✔") + COUNTIF(T18:T37, "v") + COUNTIF(T18:T37, "V")) + COUNTIF(T18:T37, "✗") + COUNTIF(T18:T37, "x") + COUNTIF(T18:T37, "X")), "")</f>
        <v/>
      </c>
      <c r="U38" s="33">
        <f>IF(((COUNTIF(U18:U37, "✓") + COUNTIF(U18:U37, "✔") + COUNTIF(U18:U37, "v") + COUNTIF(U18:U37, "V")) + COUNTIF(U18:U37, "✗") + COUNTIF(U18:U37, "x") + COUNTIF(U18:U37, "X")) &gt; 0, (COUNTIF(U18:U37, "✓") + COUNTIF(U18:U37, "✔") + COUNTIF(U18:U37, "v") + COUNTIF(U18:U37, "V")) &amp; "/" &amp; ((COUNTIF(U18:U37, "✓") + COUNTIF(U18:U37, "✔") + COUNTIF(U18:U37, "v") + COUNTIF(U18:U37, "V")) + COUNTIF(U18:U37, "✗") + COUNTIF(U18:U37, "x") + COUNTIF(U18:U37, "X")), "")</f>
        <v/>
      </c>
      <c r="V38" s="33">
        <f>IF(((COUNTIF(V18:V37, "✓") + COUNTIF(V18:V37, "✔") + COUNTIF(V18:V37, "v") + COUNTIF(V18:V37, "V")) + COUNTIF(V18:V37, "✗") + COUNTIF(V18:V37, "x") + COUNTIF(V18:V37, "X")) &gt; 0, (COUNTIF(V18:V37, "✓") + COUNTIF(V18:V37, "✔") + COUNTIF(V18:V37, "v") + COUNTIF(V18:V37, "V")) &amp; "/" &amp; ((COUNTIF(V18:V37, "✓") + COUNTIF(V18:V37, "✔") + COUNTIF(V18:V37, "v") + COUNTIF(V18:V37, "V")) + COUNTIF(V18:V37, "✗") + COUNTIF(V18:V37, "x") + COUNTIF(V18:V37, "X")), "")</f>
        <v/>
      </c>
      <c r="W38" s="33">
        <f>IF(((COUNTIF(W18:W37, "✓") + COUNTIF(W18:W37, "✔") + COUNTIF(W18:W37, "v") + COUNTIF(W18:W37, "V")) + COUNTIF(W18:W37, "✗") + COUNTIF(W18:W37, "x") + COUNTIF(W18:W37, "X")) &gt; 0, (COUNTIF(W18:W37, "✓") + COUNTIF(W18:W37, "✔") + COUNTIF(W18:W37, "v") + COUNTIF(W18:W37, "V")) &amp; "/" &amp; ((COUNTIF(W18:W37, "✓") + COUNTIF(W18:W37, "✔") + COUNTIF(W18:W37, "v") + COUNTIF(W18:W37, "V")) + COUNTIF(W18:W37, "✗") + COUNTIF(W18:W37, "x") + COUNTIF(W18:W37, "X")), "")</f>
        <v/>
      </c>
      <c r="X38" s="33">
        <f>IF(((COUNTIF(X18:X37, "✓") + COUNTIF(X18:X37, "✔") + COUNTIF(X18:X37, "v") + COUNTIF(X18:X37, "V")) + COUNTIF(X18:X37, "✗") + COUNTIF(X18:X37, "x") + COUNTIF(X18:X37, "X")) &gt; 0, (COUNTIF(X18:X37, "✓") + COUNTIF(X18:X37, "✔") + COUNTIF(X18:X37, "v") + COUNTIF(X18:X37, "V")) &amp; "/" &amp; ((COUNTIF(X18:X37, "✓") + COUNTIF(X18:X37, "✔") + COUNTIF(X18:X37, "v") + COUNTIF(X18:X37, "V")) + COUNTIF(X18:X37, "✗") + COUNTIF(X18:X37, "x") + COUNTIF(X18:X37, "X")), "")</f>
        <v/>
      </c>
      <c r="Y38" s="33">
        <f>IF(((COUNTIF(Y18:Y37, "✓") + COUNTIF(Y18:Y37, "✔") + COUNTIF(Y18:Y37, "v") + COUNTIF(Y18:Y37, "V")) + COUNTIF(Y18:Y37, "✗") + COUNTIF(Y18:Y37, "x") + COUNTIF(Y18:Y37, "X")) &gt; 0, (COUNTIF(Y18:Y37, "✓") + COUNTIF(Y18:Y37, "✔") + COUNTIF(Y18:Y37, "v") + COUNTIF(Y18:Y37, "V")) &amp; "/" &amp; ((COUNTIF(Y18:Y37, "✓") + COUNTIF(Y18:Y37, "✔") + COUNTIF(Y18:Y37, "v") + COUNTIF(Y18:Y37, "V")) + COUNTIF(Y18:Y37, "✗") + COUNTIF(Y18:Y37, "x") + COUNTIF(Y18:Y37, "X")), "")</f>
        <v/>
      </c>
      <c r="Z38" s="33">
        <f>IF(((COUNTIF(Z18:Z37, "✓") + COUNTIF(Z18:Z37, "✔") + COUNTIF(Z18:Z37, "v") + COUNTIF(Z18:Z37, "V")) + COUNTIF(Z18:Z37, "✗") + COUNTIF(Z18:Z37, "x") + COUNTIF(Z18:Z37, "X")) &gt; 0, (COUNTIF(Z18:Z37, "✓") + COUNTIF(Z18:Z37, "✔") + COUNTIF(Z18:Z37, "v") + COUNTIF(Z18:Z37, "V")) &amp; "/" &amp; ((COUNTIF(Z18:Z37, "✓") + COUNTIF(Z18:Z37, "✔") + COUNTIF(Z18:Z37, "v") + COUNTIF(Z18:Z37, "V")) + COUNTIF(Z18:Z37, "✗") + COUNTIF(Z18:Z37, "x") + COUNTIF(Z18:Z37, "X")), "")</f>
        <v/>
      </c>
      <c r="AA38" s="33">
        <f>IF(((COUNTIF(AA18:AA37, "✓") + COUNTIF(AA18:AA37, "✔") + COUNTIF(AA18:AA37, "v") + COUNTIF(AA18:AA37, "V")) + COUNTIF(AA18:AA37, "✗") + COUNTIF(AA18:AA37, "x") + COUNTIF(AA18:AA37, "X")) &gt; 0, (COUNTIF(AA18:AA37, "✓") + COUNTIF(AA18:AA37, "✔") + COUNTIF(AA18:AA37, "v") + COUNTIF(AA18:AA37, "V")) &amp; "/" &amp; ((COUNTIF(AA18:AA37, "✓") + COUNTIF(AA18:AA37, "✔") + COUNTIF(AA18:AA37, "v") + COUNTIF(AA18:AA37, "V")) + COUNTIF(AA18:AA37, "✗") + COUNTIF(AA18:AA37, "x") + COUNTIF(AA18:AA37, "X")), "")</f>
        <v/>
      </c>
      <c r="AB38" s="33">
        <f>IF(((COUNTIF(AB18:AB37, "✓") + COUNTIF(AB18:AB37, "✔") + COUNTIF(AB18:AB37, "v") + COUNTIF(AB18:AB37, "V")) + COUNTIF(AB18:AB37, "✗") + COUNTIF(AB18:AB37, "x") + COUNTIF(AB18:AB37, "X")) &gt; 0, (COUNTIF(AB18:AB37, "✓") + COUNTIF(AB18:AB37, "✔") + COUNTIF(AB18:AB37, "v") + COUNTIF(AB18:AB37, "V")) &amp; "/" &amp; ((COUNTIF(AB18:AB37, "✓") + COUNTIF(AB18:AB37, "✔") + COUNTIF(AB18:AB37, "v") + COUNTIF(AB18:AB37, "V")) + COUNTIF(AB18:AB37, "✗") + COUNTIF(AB18:AB37, "x") + COUNTIF(AB18:AB37, "X")), "")</f>
        <v/>
      </c>
      <c r="AC38" s="33">
        <f>IF(((COUNTIF(AC18:AC37, "✓") + COUNTIF(AC18:AC37, "✔") + COUNTIF(AC18:AC37, "v") + COUNTIF(AC18:AC37, "V")) + COUNTIF(AC18:AC37, "✗") + COUNTIF(AC18:AC37, "x") + COUNTIF(AC18:AC37, "X")) &gt; 0, (COUNTIF(AC18:AC37, "✓") + COUNTIF(AC18:AC37, "✔") + COUNTIF(AC18:AC37, "v") + COUNTIF(AC18:AC37, "V")) &amp; "/" &amp; ((COUNTIF(AC18:AC37, "✓") + COUNTIF(AC18:AC37, "✔") + COUNTIF(AC18:AC37, "v") + COUNTIF(AC18:AC37, "V")) + COUNTIF(AC18:AC37, "✗") + COUNTIF(AC18:AC37, "x") + COUNTIF(AC18:AC37, "X")), "")</f>
        <v/>
      </c>
      <c r="AD38" s="33">
        <f>IF(((COUNTIF(AD18:AD37, "✓") + COUNTIF(AD18:AD37, "✔") + COUNTIF(AD18:AD37, "v") + COUNTIF(AD18:AD37, "V")) + COUNTIF(AD18:AD37, "✗") + COUNTIF(AD18:AD37, "x") + COUNTIF(AD18:AD37, "X")) &gt; 0, (COUNTIF(AD18:AD37, "✓") + COUNTIF(AD18:AD37, "✔") + COUNTIF(AD18:AD37, "v") + COUNTIF(AD18:AD37, "V")) &amp; "/" &amp; ((COUNTIF(AD18:AD37, "✓") + COUNTIF(AD18:AD37, "✔") + COUNTIF(AD18:AD37, "v") + COUNTIF(AD18:AD37, "V")) + COUNTIF(AD18:AD37, "✗") + COUNTIF(AD18:AD37, "x") + COUNTIF(AD18:AD37, "X")), "")</f>
        <v/>
      </c>
      <c r="AE38" s="33">
        <f>IF(((COUNTIF(AE18:AE37, "✓") + COUNTIF(AE18:AE37, "✔") + COUNTIF(AE18:AE37, "v") + COUNTIF(AE18:AE37, "V")) + COUNTIF(AE18:AE37, "✗") + COUNTIF(AE18:AE37, "x") + COUNTIF(AE18:AE37, "X")) &gt; 0, (COUNTIF(AE18:AE37, "✓") + COUNTIF(AE18:AE37, "✔") + COUNTIF(AE18:AE37, "v") + COUNTIF(AE18:AE37, "V")) &amp; "/" &amp; ((COUNTIF(AE18:AE37, "✓") + COUNTIF(AE18:AE37, "✔") + COUNTIF(AE18:AE37, "v") + COUNTIF(AE18:AE37, "V")) + COUNTIF(AE18:AE37, "✗") + COUNTIF(AE18:AE37, "x") + COUNTIF(AE18:AE37, "X")), "")</f>
        <v/>
      </c>
      <c r="AF38" s="33">
        <f>IF(((COUNTIF(AF18:AF37, "✓") + COUNTIF(AF18:AF37, "✔") + COUNTIF(AF18:AF37, "v") + COUNTIF(AF18:AF37, "V")) + COUNTIF(AF18:AF37, "✗") + COUNTIF(AF18:AF37, "x") + COUNTIF(AF18:AF37, "X")) &gt; 0, (COUNTIF(AF18:AF37, "✓") + COUNTIF(AF18:AF37, "✔") + COUNTIF(AF18:AF37, "v") + COUNTIF(AF18:AF37, "V")) &amp; "/" &amp; ((COUNTIF(AF18:AF37, "✓") + COUNTIF(AF18:AF37, "✔") + COUNTIF(AF18:AF37, "v") + COUNTIF(AF18:AF37, "V")) + COUNTIF(AF18:AF37, "✗") + COUNTIF(AF18:AF37, "x") + COUNTIF(AF18:AF37, "X")), "")</f>
        <v/>
      </c>
      <c r="AG38" s="33">
        <f>IF(((COUNTIF(AG18:AG37, "✓") + COUNTIF(AG18:AG37, "✔") + COUNTIF(AG18:AG37, "v") + COUNTIF(AG18:AG37, "V")) + COUNTIF(AG18:AG37, "✗") + COUNTIF(AG18:AG37, "x") + COUNTIF(AG18:AG37, "X")) &gt; 0, (COUNTIF(AG18:AG37, "✓") + COUNTIF(AG18:AG37, "✔") + COUNTIF(AG18:AG37, "v") + COUNTIF(AG18:AG37, "V")) &amp; "/" &amp; ((COUNTIF(AG18:AG37, "✓") + COUNTIF(AG18:AG37, "✔") + COUNTIF(AG18:AG37, "v") + COUNTIF(AG18:AG37, "V")) + COUNTIF(AG18:AG37, "✗") + COUNTIF(AG18:AG37, "x") + COUNTIF(AG18:AG37, "X")), "")</f>
        <v/>
      </c>
      <c r="AH38" s="33">
        <f>IF(((COUNTIF(AH18:AH37, "✓") + COUNTIF(AH18:AH37, "✔") + COUNTIF(AH18:AH37, "v") + COUNTIF(AH18:AH37, "V")) + COUNTIF(AH18:AH37, "✗") + COUNTIF(AH18:AH37, "x") + COUNTIF(AH18:AH37, "X")) &gt; 0, (COUNTIF(AH18:AH37, "✓") + COUNTIF(AH18:AH37, "✔") + COUNTIF(AH18:AH37, "v") + COUNTIF(AH18:AH37, "V")) &amp; "/" &amp; ((COUNTIF(AH18:AH37, "✓") + COUNTIF(AH18:AH37, "✔") + COUNTIF(AH18:AH37, "v") + COUNTIF(AH18:AH37, "V")) + COUNTIF(AH18:AH37, "✗") + COUNTIF(AH18:AH37, "x") + COUNTIF(AH18:AH37, "X")), "")</f>
        <v/>
      </c>
      <c r="AI38" s="33">
        <f>IF(((COUNTIF(AI18:AI37, "✓") + COUNTIF(AI18:AI37, "✔") + COUNTIF(AI18:AI37, "v") + COUNTIF(AI18:AI37, "V")) + COUNTIF(AI18:AI37, "✗") + COUNTIF(AI18:AI37, "x") + COUNTIF(AI18:AI37, "X")) &gt; 0, (COUNTIF(AI18:AI37, "✓") + COUNTIF(AI18:AI37, "✔") + COUNTIF(AI18:AI37, "v") + COUNTIF(AI18:AI37, "V")) &amp; "/" &amp; ((COUNTIF(AI18:AI37, "✓") + COUNTIF(AI18:AI37, "✔") + COUNTIF(AI18:AI37, "v") + COUNTIF(AI18:AI37, "V")) + COUNTIF(AI18:AI37, "✗") + COUNTIF(AI18:AI37, "x") + COUNTIF(AI18:AI37, "X")), "")</f>
        <v/>
      </c>
      <c r="AJ38" s="133">
        <f>IF(SUM(D18:D37) &gt; 0, SUM(AM18:AM37) / SUM(D18:D37), "")</f>
        <v/>
      </c>
      <c r="AK38" s="33">
        <f>IF(SUM(D18:D37) &gt; 0, SUM(AM18:AM37) &amp; "/" &amp; SUM(D18:D37), "")</f>
        <v/>
      </c>
      <c r="AL38" s="54" t="n"/>
    </row>
    <row r="39" ht="18" customHeight="1">
      <c r="A39" s="132" t="inlineStr">
        <is>
          <t>DAILY SUCCESS %</t>
        </is>
      </c>
      <c r="B39" s="54" t="n"/>
      <c r="C39" s="54" t="n"/>
      <c r="D39" s="54" t="n"/>
      <c r="E39" s="134">
        <f>IF(((COUNTIF(E18:E37, "✓") + COUNTIF(E18:E37, "✔") + COUNTIF(E18:E37, "v") + COUNTIF(E18:E37, "V")) + COUNTIF(E18:E37, "✗") + COUNTIF(E18:E37, "x") + COUNTIF(E18:E37, "X")) &gt; 0, (COUNTIF(E18:E37, "✓") + COUNTIF(E18:E37, "✔") + COUNTIF(E18:E37, "v") + COUNTIF(E18:E37, "V")) / ((COUNTIF(E18:E37, "✓") + COUNTIF(E18:E37, "✔") + COUNTIF(E18:E37, "v") + COUNTIF(E18:E37, "V")) + COUNTIF(E18:E37, "✗") + COUNTIF(E18:E37, "x") + COUNTIF(E18:E37, "X")), "")</f>
        <v/>
      </c>
      <c r="F39" s="134">
        <f>IF(((COUNTIF(F18:F37, "✓") + COUNTIF(F18:F37, "✔") + COUNTIF(F18:F37, "v") + COUNTIF(F18:F37, "V")) + COUNTIF(F18:F37, "✗") + COUNTIF(F18:F37, "x") + COUNTIF(F18:F37, "X")) &gt; 0, (COUNTIF(F18:F37, "✓") + COUNTIF(F18:F37, "✔") + COUNTIF(F18:F37, "v") + COUNTIF(F18:F37, "V")) / ((COUNTIF(F18:F37, "✓") + COUNTIF(F18:F37, "✔") + COUNTIF(F18:F37, "v") + COUNTIF(F18:F37, "V")) + COUNTIF(F18:F37, "✗") + COUNTIF(F18:F37, "x") + COUNTIF(F18:F37, "X")), "")</f>
        <v/>
      </c>
      <c r="G39" s="134">
        <f>IF(((COUNTIF(G18:G37, "✓") + COUNTIF(G18:G37, "✔") + COUNTIF(G18:G37, "v") + COUNTIF(G18:G37, "V")) + COUNTIF(G18:G37, "✗") + COUNTIF(G18:G37, "x") + COUNTIF(G18:G37, "X")) &gt; 0, (COUNTIF(G18:G37, "✓") + COUNTIF(G18:G37, "✔") + COUNTIF(G18:G37, "v") + COUNTIF(G18:G37, "V")) / ((COUNTIF(G18:G37, "✓") + COUNTIF(G18:G37, "✔") + COUNTIF(G18:G37, "v") + COUNTIF(G18:G37, "V")) + COUNTIF(G18:G37, "✗") + COUNTIF(G18:G37, "x") + COUNTIF(G18:G37, "X")), "")</f>
        <v/>
      </c>
      <c r="H39" s="134">
        <f>IF(((COUNTIF(H18:H37, "✓") + COUNTIF(H18:H37, "✔") + COUNTIF(H18:H37, "v") + COUNTIF(H18:H37, "V")) + COUNTIF(H18:H37, "✗") + COUNTIF(H18:H37, "x") + COUNTIF(H18:H37, "X")) &gt; 0, (COUNTIF(H18:H37, "✓") + COUNTIF(H18:H37, "✔") + COUNTIF(H18:H37, "v") + COUNTIF(H18:H37, "V")) / ((COUNTIF(H18:H37, "✓") + COUNTIF(H18:H37, "✔") + COUNTIF(H18:H37, "v") + COUNTIF(H18:H37, "V")) + COUNTIF(H18:H37, "✗") + COUNTIF(H18:H37, "x") + COUNTIF(H18:H37, "X")), "")</f>
        <v/>
      </c>
      <c r="I39" s="134">
        <f>IF(((COUNTIF(I18:I37, "✓") + COUNTIF(I18:I37, "✔") + COUNTIF(I18:I37, "v") + COUNTIF(I18:I37, "V")) + COUNTIF(I18:I37, "✗") + COUNTIF(I18:I37, "x") + COUNTIF(I18:I37, "X")) &gt; 0, (COUNTIF(I18:I37, "✓") + COUNTIF(I18:I37, "✔") + COUNTIF(I18:I37, "v") + COUNTIF(I18:I37, "V")) / ((COUNTIF(I18:I37, "✓") + COUNTIF(I18:I37, "✔") + COUNTIF(I18:I37, "v") + COUNTIF(I18:I37, "V")) + COUNTIF(I18:I37, "✗") + COUNTIF(I18:I37, "x") + COUNTIF(I18:I37, "X")), "")</f>
        <v/>
      </c>
      <c r="J39" s="134">
        <f>IF(((COUNTIF(J18:J37, "✓") + COUNTIF(J18:J37, "✔") + COUNTIF(J18:J37, "v") + COUNTIF(J18:J37, "V")) + COUNTIF(J18:J37, "✗") + COUNTIF(J18:J37, "x") + COUNTIF(J18:J37, "X")) &gt; 0, (COUNTIF(J18:J37, "✓") + COUNTIF(J18:J37, "✔") + COUNTIF(J18:J37, "v") + COUNTIF(J18:J37, "V")) / ((COUNTIF(J18:J37, "✓") + COUNTIF(J18:J37, "✔") + COUNTIF(J18:J37, "v") + COUNTIF(J18:J37, "V")) + COUNTIF(J18:J37, "✗") + COUNTIF(J18:J37, "x") + COUNTIF(J18:J37, "X")), "")</f>
        <v/>
      </c>
      <c r="K39" s="134">
        <f>IF(((COUNTIF(K18:K37, "✓") + COUNTIF(K18:K37, "✔") + COUNTIF(K18:K37, "v") + COUNTIF(K18:K37, "V")) + COUNTIF(K18:K37, "✗") + COUNTIF(K18:K37, "x") + COUNTIF(K18:K37, "X")) &gt; 0, (COUNTIF(K18:K37, "✓") + COUNTIF(K18:K37, "✔") + COUNTIF(K18:K37, "v") + COUNTIF(K18:K37, "V")) / ((COUNTIF(K18:K37, "✓") + COUNTIF(K18:K37, "✔") + COUNTIF(K18:K37, "v") + COUNTIF(K18:K37, "V")) + COUNTIF(K18:K37, "✗") + COUNTIF(K18:K37, "x") + COUNTIF(K18:K37, "X")), "")</f>
        <v/>
      </c>
      <c r="L39" s="134">
        <f>IF(((COUNTIF(L18:L37, "✓") + COUNTIF(L18:L37, "✔") + COUNTIF(L18:L37, "v") + COUNTIF(L18:L37, "V")) + COUNTIF(L18:L37, "✗") + COUNTIF(L18:L37, "x") + COUNTIF(L18:L37, "X")) &gt; 0, (COUNTIF(L18:L37, "✓") + COUNTIF(L18:L37, "✔") + COUNTIF(L18:L37, "v") + COUNTIF(L18:L37, "V")) / ((COUNTIF(L18:L37, "✓") + COUNTIF(L18:L37, "✔") + COUNTIF(L18:L37, "v") + COUNTIF(L18:L37, "V")) + COUNTIF(L18:L37, "✗") + COUNTIF(L18:L37, "x") + COUNTIF(L18:L37, "X")), "")</f>
        <v/>
      </c>
      <c r="M39" s="134">
        <f>IF(((COUNTIF(M18:M37, "✓") + COUNTIF(M18:M37, "✔") + COUNTIF(M18:M37, "v") + COUNTIF(M18:M37, "V")) + COUNTIF(M18:M37, "✗") + COUNTIF(M18:M37, "x") + COUNTIF(M18:M37, "X")) &gt; 0, (COUNTIF(M18:M37, "✓") + COUNTIF(M18:M37, "✔") + COUNTIF(M18:M37, "v") + COUNTIF(M18:M37, "V")) / ((COUNTIF(M18:M37, "✓") + COUNTIF(M18:M37, "✔") + COUNTIF(M18:M37, "v") + COUNTIF(M18:M37, "V")) + COUNTIF(M18:M37, "✗") + COUNTIF(M18:M37, "x") + COUNTIF(M18:M37, "X")), "")</f>
        <v/>
      </c>
      <c r="N39" s="134">
        <f>IF(((COUNTIF(N18:N37, "✓") + COUNTIF(N18:N37, "✔") + COUNTIF(N18:N37, "v") + COUNTIF(N18:N37, "V")) + COUNTIF(N18:N37, "✗") + COUNTIF(N18:N37, "x") + COUNTIF(N18:N37, "X")) &gt; 0, (COUNTIF(N18:N37, "✓") + COUNTIF(N18:N37, "✔") + COUNTIF(N18:N37, "v") + COUNTIF(N18:N37, "V")) / ((COUNTIF(N18:N37, "✓") + COUNTIF(N18:N37, "✔") + COUNTIF(N18:N37, "v") + COUNTIF(N18:N37, "V")) + COUNTIF(N18:N37, "✗") + COUNTIF(N18:N37, "x") + COUNTIF(N18:N37, "X")), "")</f>
        <v/>
      </c>
      <c r="O39" s="134">
        <f>IF(((COUNTIF(O18:O37, "✓") + COUNTIF(O18:O37, "✔") + COUNTIF(O18:O37, "v") + COUNTIF(O18:O37, "V")) + COUNTIF(O18:O37, "✗") + COUNTIF(O18:O37, "x") + COUNTIF(O18:O37, "X")) &gt; 0, (COUNTIF(O18:O37, "✓") + COUNTIF(O18:O37, "✔") + COUNTIF(O18:O37, "v") + COUNTIF(O18:O37, "V")) / ((COUNTIF(O18:O37, "✓") + COUNTIF(O18:O37, "✔") + COUNTIF(O18:O37, "v") + COUNTIF(O18:O37, "V")) + COUNTIF(O18:O37, "✗") + COUNTIF(O18:O37, "x") + COUNTIF(O18:O37, "X")), "")</f>
        <v/>
      </c>
      <c r="P39" s="134">
        <f>IF(((COUNTIF(P18:P37, "✓") + COUNTIF(P18:P37, "✔") + COUNTIF(P18:P37, "v") + COUNTIF(P18:P37, "V")) + COUNTIF(P18:P37, "✗") + COUNTIF(P18:P37, "x") + COUNTIF(P18:P37, "X")) &gt; 0, (COUNTIF(P18:P37, "✓") + COUNTIF(P18:P37, "✔") + COUNTIF(P18:P37, "v") + COUNTIF(P18:P37, "V")) / ((COUNTIF(P18:P37, "✓") + COUNTIF(P18:P37, "✔") + COUNTIF(P18:P37, "v") + COUNTIF(P18:P37, "V")) + COUNTIF(P18:P37, "✗") + COUNTIF(P18:P37, "x") + COUNTIF(P18:P37, "X")), "")</f>
        <v/>
      </c>
      <c r="Q39" s="134">
        <f>IF(((COUNTIF(Q18:Q37, "✓") + COUNTIF(Q18:Q37, "✔") + COUNTIF(Q18:Q37, "v") + COUNTIF(Q18:Q37, "V")) + COUNTIF(Q18:Q37, "✗") + COUNTIF(Q18:Q37, "x") + COUNTIF(Q18:Q37, "X")) &gt; 0, (COUNTIF(Q18:Q37, "✓") + COUNTIF(Q18:Q37, "✔") + COUNTIF(Q18:Q37, "v") + COUNTIF(Q18:Q37, "V")) / ((COUNTIF(Q18:Q37, "✓") + COUNTIF(Q18:Q37, "✔") + COUNTIF(Q18:Q37, "v") + COUNTIF(Q18:Q37, "V")) + COUNTIF(Q18:Q37, "✗") + COUNTIF(Q18:Q37, "x") + COUNTIF(Q18:Q37, "X")), "")</f>
        <v/>
      </c>
      <c r="R39" s="134">
        <f>IF(((COUNTIF(R18:R37, "✓") + COUNTIF(R18:R37, "✔") + COUNTIF(R18:R37, "v") + COUNTIF(R18:R37, "V")) + COUNTIF(R18:R37, "✗") + COUNTIF(R18:R37, "x") + COUNTIF(R18:R37, "X")) &gt; 0, (COUNTIF(R18:R37, "✓") + COUNTIF(R18:R37, "✔") + COUNTIF(R18:R37, "v") + COUNTIF(R18:R37, "V")) / ((COUNTIF(R18:R37, "✓") + COUNTIF(R18:R37, "✔") + COUNTIF(R18:R37, "v") + COUNTIF(R18:R37, "V")) + COUNTIF(R18:R37, "✗") + COUNTIF(R18:R37, "x") + COUNTIF(R18:R37, "X")), "")</f>
        <v/>
      </c>
      <c r="S39" s="134">
        <f>IF(((COUNTIF(S18:S37, "✓") + COUNTIF(S18:S37, "✔") + COUNTIF(S18:S37, "v") + COUNTIF(S18:S37, "V")) + COUNTIF(S18:S37, "✗") + COUNTIF(S18:S37, "x") + COUNTIF(S18:S37, "X")) &gt; 0, (COUNTIF(S18:S37, "✓") + COUNTIF(S18:S37, "✔") + COUNTIF(S18:S37, "v") + COUNTIF(S18:S37, "V")) / ((COUNTIF(S18:S37, "✓") + COUNTIF(S18:S37, "✔") + COUNTIF(S18:S37, "v") + COUNTIF(S18:S37, "V")) + COUNTIF(S18:S37, "✗") + COUNTIF(S18:S37, "x") + COUNTIF(S18:S37, "X")), "")</f>
        <v/>
      </c>
      <c r="T39" s="134">
        <f>IF(((COUNTIF(T18:T37, "✓") + COUNTIF(T18:T37, "✔") + COUNTIF(T18:T37, "v") + COUNTIF(T18:T37, "V")) + COUNTIF(T18:T37, "✗") + COUNTIF(T18:T37, "x") + COUNTIF(T18:T37, "X")) &gt; 0, (COUNTIF(T18:T37, "✓") + COUNTIF(T18:T37, "✔") + COUNTIF(T18:T37, "v") + COUNTIF(T18:T37, "V")) / ((COUNTIF(T18:T37, "✓") + COUNTIF(T18:T37, "✔") + COUNTIF(T18:T37, "v") + COUNTIF(T18:T37, "V")) + COUNTIF(T18:T37, "✗") + COUNTIF(T18:T37, "x") + COUNTIF(T18:T37, "X")), "")</f>
        <v/>
      </c>
      <c r="U39" s="134">
        <f>IF(((COUNTIF(U18:U37, "✓") + COUNTIF(U18:U37, "✔") + COUNTIF(U18:U37, "v") + COUNTIF(U18:U37, "V")) + COUNTIF(U18:U37, "✗") + COUNTIF(U18:U37, "x") + COUNTIF(U18:U37, "X")) &gt; 0, (COUNTIF(U18:U37, "✓") + COUNTIF(U18:U37, "✔") + COUNTIF(U18:U37, "v") + COUNTIF(U18:U37, "V")) / ((COUNTIF(U18:U37, "✓") + COUNTIF(U18:U37, "✔") + COUNTIF(U18:U37, "v") + COUNTIF(U18:U37, "V")) + COUNTIF(U18:U37, "✗") + COUNTIF(U18:U37, "x") + COUNTIF(U18:U37, "X")), "")</f>
        <v/>
      </c>
      <c r="V39" s="134">
        <f>IF(((COUNTIF(V18:V37, "✓") + COUNTIF(V18:V37, "✔") + COUNTIF(V18:V37, "v") + COUNTIF(V18:V37, "V")) + COUNTIF(V18:V37, "✗") + COUNTIF(V18:V37, "x") + COUNTIF(V18:V37, "X")) &gt; 0, (COUNTIF(V18:V37, "✓") + COUNTIF(V18:V37, "✔") + COUNTIF(V18:V37, "v") + COUNTIF(V18:V37, "V")) / ((COUNTIF(V18:V37, "✓") + COUNTIF(V18:V37, "✔") + COUNTIF(V18:V37, "v") + COUNTIF(V18:V37, "V")) + COUNTIF(V18:V37, "✗") + COUNTIF(V18:V37, "x") + COUNTIF(V18:V37, "X")), "")</f>
        <v/>
      </c>
      <c r="W39" s="134">
        <f>IF(((COUNTIF(W18:W37, "✓") + COUNTIF(W18:W37, "✔") + COUNTIF(W18:W37, "v") + COUNTIF(W18:W37, "V")) + COUNTIF(W18:W37, "✗") + COUNTIF(W18:W37, "x") + COUNTIF(W18:W37, "X")) &gt; 0, (COUNTIF(W18:W37, "✓") + COUNTIF(W18:W37, "✔") + COUNTIF(W18:W37, "v") + COUNTIF(W18:W37, "V")) / ((COUNTIF(W18:W37, "✓") + COUNTIF(W18:W37, "✔") + COUNTIF(W18:W37, "v") + COUNTIF(W18:W37, "V")) + COUNTIF(W18:W37, "✗") + COUNTIF(W18:W37, "x") + COUNTIF(W18:W37, "X")), "")</f>
        <v/>
      </c>
      <c r="X39" s="134">
        <f>IF(((COUNTIF(X18:X37, "✓") + COUNTIF(X18:X37, "✔") + COUNTIF(X18:X37, "v") + COUNTIF(X18:X37, "V")) + COUNTIF(X18:X37, "✗") + COUNTIF(X18:X37, "x") + COUNTIF(X18:X37, "X")) &gt; 0, (COUNTIF(X18:X37, "✓") + COUNTIF(X18:X37, "✔") + COUNTIF(X18:X37, "v") + COUNTIF(X18:X37, "V")) / ((COUNTIF(X18:X37, "✓") + COUNTIF(X18:X37, "✔") + COUNTIF(X18:X37, "v") + COUNTIF(X18:X37, "V")) + COUNTIF(X18:X37, "✗") + COUNTIF(X18:X37, "x") + COUNTIF(X18:X37, "X")), "")</f>
        <v/>
      </c>
      <c r="Y39" s="134">
        <f>IF(((COUNTIF(Y18:Y37, "✓") + COUNTIF(Y18:Y37, "✔") + COUNTIF(Y18:Y37, "v") + COUNTIF(Y18:Y37, "V")) + COUNTIF(Y18:Y37, "✗") + COUNTIF(Y18:Y37, "x") + COUNTIF(Y18:Y37, "X")) &gt; 0, (COUNTIF(Y18:Y37, "✓") + COUNTIF(Y18:Y37, "✔") + COUNTIF(Y18:Y37, "v") + COUNTIF(Y18:Y37, "V")) / ((COUNTIF(Y18:Y37, "✓") + COUNTIF(Y18:Y37, "✔") + COUNTIF(Y18:Y37, "v") + COUNTIF(Y18:Y37, "V")) + COUNTIF(Y18:Y37, "✗") + COUNTIF(Y18:Y37, "x") + COUNTIF(Y18:Y37, "X")), "")</f>
        <v/>
      </c>
      <c r="Z39" s="134">
        <f>IF(((COUNTIF(Z18:Z37, "✓") + COUNTIF(Z18:Z37, "✔") + COUNTIF(Z18:Z37, "v") + COUNTIF(Z18:Z37, "V")) + COUNTIF(Z18:Z37, "✗") + COUNTIF(Z18:Z37, "x") + COUNTIF(Z18:Z37, "X")) &gt; 0, (COUNTIF(Z18:Z37, "✓") + COUNTIF(Z18:Z37, "✔") + COUNTIF(Z18:Z37, "v") + COUNTIF(Z18:Z37, "V")) / ((COUNTIF(Z18:Z37, "✓") + COUNTIF(Z18:Z37, "✔") + COUNTIF(Z18:Z37, "v") + COUNTIF(Z18:Z37, "V")) + COUNTIF(Z18:Z37, "✗") + COUNTIF(Z18:Z37, "x") + COUNTIF(Z18:Z37, "X")), "")</f>
        <v/>
      </c>
      <c r="AA39" s="134">
        <f>IF(((COUNTIF(AA18:AA37, "✓") + COUNTIF(AA18:AA37, "✔") + COUNTIF(AA18:AA37, "v") + COUNTIF(AA18:AA37, "V")) + COUNTIF(AA18:AA37, "✗") + COUNTIF(AA18:AA37, "x") + COUNTIF(AA18:AA37, "X")) &gt; 0, (COUNTIF(AA18:AA37, "✓") + COUNTIF(AA18:AA37, "✔") + COUNTIF(AA18:AA37, "v") + COUNTIF(AA18:AA37, "V")) / ((COUNTIF(AA18:AA37, "✓") + COUNTIF(AA18:AA37, "✔") + COUNTIF(AA18:AA37, "v") + COUNTIF(AA18:AA37, "V")) + COUNTIF(AA18:AA37, "✗") + COUNTIF(AA18:AA37, "x") + COUNTIF(AA18:AA37, "X")), "")</f>
        <v/>
      </c>
      <c r="AB39" s="134">
        <f>IF(((COUNTIF(AB18:AB37, "✓") + COUNTIF(AB18:AB37, "✔") + COUNTIF(AB18:AB37, "v") + COUNTIF(AB18:AB37, "V")) + COUNTIF(AB18:AB37, "✗") + COUNTIF(AB18:AB37, "x") + COUNTIF(AB18:AB37, "X")) &gt; 0, (COUNTIF(AB18:AB37, "✓") + COUNTIF(AB18:AB37, "✔") + COUNTIF(AB18:AB37, "v") + COUNTIF(AB18:AB37, "V")) / ((COUNTIF(AB18:AB37, "✓") + COUNTIF(AB18:AB37, "✔") + COUNTIF(AB18:AB37, "v") + COUNTIF(AB18:AB37, "V")) + COUNTIF(AB18:AB37, "✗") + COUNTIF(AB18:AB37, "x") + COUNTIF(AB18:AB37, "X")), "")</f>
        <v/>
      </c>
      <c r="AC39" s="134">
        <f>IF(((COUNTIF(AC18:AC37, "✓") + COUNTIF(AC18:AC37, "✔") + COUNTIF(AC18:AC37, "v") + COUNTIF(AC18:AC37, "V")) + COUNTIF(AC18:AC37, "✗") + COUNTIF(AC18:AC37, "x") + COUNTIF(AC18:AC37, "X")) &gt; 0, (COUNTIF(AC18:AC37, "✓") + COUNTIF(AC18:AC37, "✔") + COUNTIF(AC18:AC37, "v") + COUNTIF(AC18:AC37, "V")) / ((COUNTIF(AC18:AC37, "✓") + COUNTIF(AC18:AC37, "✔") + COUNTIF(AC18:AC37, "v") + COUNTIF(AC18:AC37, "V")) + COUNTIF(AC18:AC37, "✗") + COUNTIF(AC18:AC37, "x") + COUNTIF(AC18:AC37, "X")), "")</f>
        <v/>
      </c>
      <c r="AD39" s="134">
        <f>IF(((COUNTIF(AD18:AD37, "✓") + COUNTIF(AD18:AD37, "✔") + COUNTIF(AD18:AD37, "v") + COUNTIF(AD18:AD37, "V")) + COUNTIF(AD18:AD37, "✗") + COUNTIF(AD18:AD37, "x") + COUNTIF(AD18:AD37, "X")) &gt; 0, (COUNTIF(AD18:AD37, "✓") + COUNTIF(AD18:AD37, "✔") + COUNTIF(AD18:AD37, "v") + COUNTIF(AD18:AD37, "V")) / ((COUNTIF(AD18:AD37, "✓") + COUNTIF(AD18:AD37, "✔") + COUNTIF(AD18:AD37, "v") + COUNTIF(AD18:AD37, "V")) + COUNTIF(AD18:AD37, "✗") + COUNTIF(AD18:AD37, "x") + COUNTIF(AD18:AD37, "X")), "")</f>
        <v/>
      </c>
      <c r="AE39" s="134">
        <f>IF(((COUNTIF(AE18:AE37, "✓") + COUNTIF(AE18:AE37, "✔") + COUNTIF(AE18:AE37, "v") + COUNTIF(AE18:AE37, "V")) + COUNTIF(AE18:AE37, "✗") + COUNTIF(AE18:AE37, "x") + COUNTIF(AE18:AE37, "X")) &gt; 0, (COUNTIF(AE18:AE37, "✓") + COUNTIF(AE18:AE37, "✔") + COUNTIF(AE18:AE37, "v") + COUNTIF(AE18:AE37, "V")) / ((COUNTIF(AE18:AE37, "✓") + COUNTIF(AE18:AE37, "✔") + COUNTIF(AE18:AE37, "v") + COUNTIF(AE18:AE37, "V")) + COUNTIF(AE18:AE37, "✗") + COUNTIF(AE18:AE37, "x") + COUNTIF(AE18:AE37, "X")), "")</f>
        <v/>
      </c>
      <c r="AF39" s="134">
        <f>IF(((COUNTIF(AF18:AF37, "✓") + COUNTIF(AF18:AF37, "✔") + COUNTIF(AF18:AF37, "v") + COUNTIF(AF18:AF37, "V")) + COUNTIF(AF18:AF37, "✗") + COUNTIF(AF18:AF37, "x") + COUNTIF(AF18:AF37, "X")) &gt; 0, (COUNTIF(AF18:AF37, "✓") + COUNTIF(AF18:AF37, "✔") + COUNTIF(AF18:AF37, "v") + COUNTIF(AF18:AF37, "V")) / ((COUNTIF(AF18:AF37, "✓") + COUNTIF(AF18:AF37, "✔") + COUNTIF(AF18:AF37, "v") + COUNTIF(AF18:AF37, "V")) + COUNTIF(AF18:AF37, "✗") + COUNTIF(AF18:AF37, "x") + COUNTIF(AF18:AF37, "X")), "")</f>
        <v/>
      </c>
      <c r="AG39" s="134">
        <f>IF(((COUNTIF(AG18:AG37, "✓") + COUNTIF(AG18:AG37, "✔") + COUNTIF(AG18:AG37, "v") + COUNTIF(AG18:AG37, "V")) + COUNTIF(AG18:AG37, "✗") + COUNTIF(AG18:AG37, "x") + COUNTIF(AG18:AG37, "X")) &gt; 0, (COUNTIF(AG18:AG37, "✓") + COUNTIF(AG18:AG37, "✔") + COUNTIF(AG18:AG37, "v") + COUNTIF(AG18:AG37, "V")) / ((COUNTIF(AG18:AG37, "✓") + COUNTIF(AG18:AG37, "✔") + COUNTIF(AG18:AG37, "v") + COUNTIF(AG18:AG37, "V")) + COUNTIF(AG18:AG37, "✗") + COUNTIF(AG18:AG37, "x") + COUNTIF(AG18:AG37, "X")), "")</f>
        <v/>
      </c>
      <c r="AH39" s="134">
        <f>IF(((COUNTIF(AH18:AH37, "✓") + COUNTIF(AH18:AH37, "✔") + COUNTIF(AH18:AH37, "v") + COUNTIF(AH18:AH37, "V")) + COUNTIF(AH18:AH37, "✗") + COUNTIF(AH18:AH37, "x") + COUNTIF(AH18:AH37, "X")) &gt; 0, (COUNTIF(AH18:AH37, "✓") + COUNTIF(AH18:AH37, "✔") + COUNTIF(AH18:AH37, "v") + COUNTIF(AH18:AH37, "V")) / ((COUNTIF(AH18:AH37, "✓") + COUNTIF(AH18:AH37, "✔") + COUNTIF(AH18:AH37, "v") + COUNTIF(AH18:AH37, "V")) + COUNTIF(AH18:AH37, "✗") + COUNTIF(AH18:AH37, "x") + COUNTIF(AH18:AH37, "X")), "")</f>
        <v/>
      </c>
      <c r="AI39" s="134">
        <f>IF(((COUNTIF(AI18:AI37, "✓") + COUNTIF(AI18:AI37, "✔") + COUNTIF(AI18:AI37, "v") + COUNTIF(AI18:AI37, "V")) + COUNTIF(AI18:AI37, "✗") + COUNTIF(AI18:AI37, "x") + COUNTIF(AI18:AI37, "X")) &gt; 0, (COUNTIF(AI18:AI37, "✓") + COUNTIF(AI18:AI37, "✔") + COUNTIF(AI18:AI37, "v") + COUNTIF(AI18:AI37, "V")) / ((COUNTIF(AI18:AI37, "✓") + COUNTIF(AI18:AI37, "✔") + COUNTIF(AI18:AI37, "v") + COUNTIF(AI18:AI37, "V")) + COUNTIF(AI18:AI37, "✗") + COUNTIF(AI18:AI37, "x") + COUNTIF(AI18:AI37, "X")), "")</f>
        <v/>
      </c>
      <c r="AJ39" s="133">
        <f>IF(COUNT(E39:AI39) &gt; 0, AVERAGE(E39:AI39), "")</f>
        <v/>
      </c>
      <c r="AK39" s="54" t="n"/>
      <c r="AL39" s="54" t="n"/>
    </row>
    <row r="40" ht="6" customHeight="1"/>
    <row r="41" ht="15" customHeight="1">
      <c r="A41" s="135" t="inlineStr">
        <is>
          <t>IF SUCCESS &lt; 80%, PUNISHMENT: ________________________________________________</t>
        </is>
      </c>
    </row>
    <row r="42" ht="15" customHeight="1">
      <c r="A42" s="136" t="inlineStr">
        <is>
          <t>IF SUCCESS &gt; 90%, REWARD: __________________________________________________</t>
        </is>
      </c>
    </row>
    <row r="43" ht="10" customHeight="1"/>
    <row r="44" ht="10" customHeight="1"/>
    <row r="45" ht="15" customHeight="1">
      <c r="A45" s="51" t="inlineStr">
        <is>
          <t>Sleep Tracking</t>
        </is>
      </c>
      <c r="B45" s="52" t="n"/>
      <c r="C45" s="52" t="n"/>
      <c r="D45" s="52" t="n"/>
      <c r="E45" s="138" t="n">
        <v>1</v>
      </c>
      <c r="F45" s="137" t="n">
        <v>2</v>
      </c>
      <c r="G45" s="137" t="n">
        <v>3</v>
      </c>
      <c r="H45" s="137" t="n">
        <v>4</v>
      </c>
      <c r="I45" s="137" t="n">
        <v>5</v>
      </c>
      <c r="J45" s="137" t="n">
        <v>6</v>
      </c>
      <c r="K45" s="137" t="n">
        <v>7</v>
      </c>
      <c r="L45" s="138" t="n">
        <v>8</v>
      </c>
      <c r="M45" s="137" t="n">
        <v>9</v>
      </c>
      <c r="N45" s="137" t="n">
        <v>10</v>
      </c>
      <c r="O45" s="137" t="n">
        <v>11</v>
      </c>
      <c r="P45" s="137" t="n">
        <v>12</v>
      </c>
      <c r="Q45" s="137" t="n">
        <v>13</v>
      </c>
      <c r="R45" s="137" t="n">
        <v>14</v>
      </c>
      <c r="S45" s="138" t="n">
        <v>15</v>
      </c>
      <c r="T45" s="137" t="n">
        <v>16</v>
      </c>
      <c r="U45" s="137" t="n">
        <v>17</v>
      </c>
      <c r="V45" s="137" t="n">
        <v>18</v>
      </c>
      <c r="W45" s="137" t="n">
        <v>19</v>
      </c>
      <c r="X45" s="137" t="n">
        <v>20</v>
      </c>
      <c r="Y45" s="137" t="n">
        <v>21</v>
      </c>
      <c r="Z45" s="138" t="n">
        <v>22</v>
      </c>
      <c r="AA45" s="137" t="n">
        <v>23</v>
      </c>
      <c r="AB45" s="137" t="n">
        <v>24</v>
      </c>
      <c r="AC45" s="137" t="n">
        <v>25</v>
      </c>
      <c r="AD45" s="137" t="n">
        <v>26</v>
      </c>
      <c r="AE45" s="137" t="n">
        <v>27</v>
      </c>
      <c r="AF45" s="137" t="n">
        <v>28</v>
      </c>
      <c r="AG45" s="138" t="n">
        <v>29</v>
      </c>
      <c r="AH45" s="137" t="n">
        <v>30</v>
      </c>
      <c r="AI45" s="137" t="n">
        <v>31</v>
      </c>
    </row>
    <row r="46" ht="15" customHeight="1">
      <c r="A46" s="52" t="n"/>
      <c r="B46" s="52" t="n"/>
      <c r="C46" s="52" t="n"/>
      <c r="D46" s="52" t="n"/>
      <c r="E46" s="140" t="inlineStr">
        <is>
          <t>Su</t>
        </is>
      </c>
      <c r="F46" s="139" t="inlineStr">
        <is>
          <t>M</t>
        </is>
      </c>
      <c r="G46" s="139" t="inlineStr">
        <is>
          <t>T</t>
        </is>
      </c>
      <c r="H46" s="139" t="inlineStr">
        <is>
          <t>W</t>
        </is>
      </c>
      <c r="I46" s="139" t="inlineStr">
        <is>
          <t>Th</t>
        </is>
      </c>
      <c r="J46" s="139" t="inlineStr">
        <is>
          <t>F</t>
        </is>
      </c>
      <c r="K46" s="139" t="inlineStr">
        <is>
          <t>Sa</t>
        </is>
      </c>
      <c r="L46" s="140" t="inlineStr">
        <is>
          <t>Su</t>
        </is>
      </c>
      <c r="M46" s="139" t="inlineStr">
        <is>
          <t>M</t>
        </is>
      </c>
      <c r="N46" s="139" t="inlineStr">
        <is>
          <t>T</t>
        </is>
      </c>
      <c r="O46" s="139" t="inlineStr">
        <is>
          <t>W</t>
        </is>
      </c>
      <c r="P46" s="139" t="inlineStr">
        <is>
          <t>Th</t>
        </is>
      </c>
      <c r="Q46" s="139" t="inlineStr">
        <is>
          <t>F</t>
        </is>
      </c>
      <c r="R46" s="139" t="inlineStr">
        <is>
          <t>Sa</t>
        </is>
      </c>
      <c r="S46" s="140" t="inlineStr">
        <is>
          <t>Su</t>
        </is>
      </c>
      <c r="T46" s="139" t="inlineStr">
        <is>
          <t>M</t>
        </is>
      </c>
      <c r="U46" s="139" t="inlineStr">
        <is>
          <t>T</t>
        </is>
      </c>
      <c r="V46" s="139" t="inlineStr">
        <is>
          <t>W</t>
        </is>
      </c>
      <c r="W46" s="139" t="inlineStr">
        <is>
          <t>Th</t>
        </is>
      </c>
      <c r="X46" s="139" t="inlineStr">
        <is>
          <t>F</t>
        </is>
      </c>
      <c r="Y46" s="139" t="inlineStr">
        <is>
          <t>Sa</t>
        </is>
      </c>
      <c r="Z46" s="140" t="inlineStr">
        <is>
          <t>Su</t>
        </is>
      </c>
      <c r="AA46" s="139" t="inlineStr">
        <is>
          <t>M</t>
        </is>
      </c>
      <c r="AB46" s="139" t="inlineStr">
        <is>
          <t>T</t>
        </is>
      </c>
      <c r="AC46" s="139" t="inlineStr">
        <is>
          <t>W</t>
        </is>
      </c>
      <c r="AD46" s="139" t="inlineStr">
        <is>
          <t>Th</t>
        </is>
      </c>
      <c r="AE46" s="139" t="inlineStr">
        <is>
          <t>F</t>
        </is>
      </c>
      <c r="AF46" s="139" t="inlineStr">
        <is>
          <t>Sa</t>
        </is>
      </c>
      <c r="AG46" s="140" t="inlineStr">
        <is>
          <t>Su</t>
        </is>
      </c>
      <c r="AH46" s="139" t="inlineStr">
        <is>
          <t>M</t>
        </is>
      </c>
      <c r="AI46" s="139" t="inlineStr">
        <is>
          <t>T</t>
        </is>
      </c>
    </row>
    <row r="47" ht="20" customHeight="1">
      <c r="A47" s="141" t="inlineStr">
        <is>
          <t>Sleep Hours (1-24)</t>
        </is>
      </c>
      <c r="B47" s="142" t="n"/>
      <c r="C47" s="142" t="n"/>
      <c r="D47" s="142" t="n"/>
      <c r="E47" s="144" t="n"/>
      <c r="F47" s="143" t="n"/>
      <c r="G47" s="143" t="n"/>
      <c r="H47" s="143" t="n"/>
      <c r="I47" s="143" t="n"/>
      <c r="J47" s="143" t="n"/>
      <c r="K47" s="143" t="n"/>
      <c r="L47" s="144" t="n"/>
      <c r="M47" s="143" t="n"/>
      <c r="N47" s="143" t="n"/>
      <c r="O47" s="143" t="n"/>
      <c r="P47" s="143" t="n"/>
      <c r="Q47" s="143" t="n"/>
      <c r="R47" s="143" t="n"/>
      <c r="S47" s="144" t="n"/>
      <c r="T47" s="143" t="n"/>
      <c r="U47" s="143" t="n"/>
      <c r="V47" s="143" t="n"/>
      <c r="W47" s="143" t="n"/>
      <c r="X47" s="143" t="n"/>
      <c r="Y47" s="143" t="n"/>
      <c r="Z47" s="144" t="n"/>
      <c r="AA47" s="143" t="n"/>
      <c r="AB47" s="143" t="n"/>
      <c r="AC47" s="143" t="n"/>
      <c r="AD47" s="143" t="n"/>
      <c r="AE47" s="143" t="n"/>
      <c r="AF47" s="143" t="n"/>
      <c r="AG47" s="144" t="n"/>
      <c r="AH47" s="143" t="n"/>
      <c r="AI47" s="143" t="n"/>
    </row>
    <row r="48" ht="6" customHeight="1"/>
    <row r="49" ht="14" customHeight="1"/>
    <row r="50" ht="14" customHeight="1"/>
    <row r="51" ht="14" customHeight="1"/>
    <row r="52" ht="14" customHeight="1"/>
    <row r="53" ht="14" customHeight="1"/>
    <row r="54" ht="14" customHeight="1"/>
    <row r="55" ht="14" customHeight="1"/>
    <row r="56" ht="14" customHeight="1"/>
    <row r="57" ht="14" customHeight="1"/>
    <row r="58" ht="14" customHeight="1"/>
    <row r="59" ht="14" customHeight="1"/>
    <row r="60" ht="14" customHeight="1"/>
    <row r="61" ht="14" customHeight="1"/>
    <row r="62" ht="14" customHeight="1"/>
    <row r="63" ht="14" customHeight="1"/>
    <row r="64" ht="14" customHeight="1"/>
    <row r="65" ht="14" customHeight="1"/>
    <row r="66" ht="8" customHeight="1"/>
    <row r="67">
      <c r="A67" s="145" t="inlineStr">
        <is>
          <t>MONTHLY SUCCESS RATE</t>
        </is>
      </c>
      <c r="B67" s="9" t="n"/>
      <c r="C67" s="9" t="n"/>
      <c r="D67" s="9" t="n"/>
      <c r="F67" s="146" t="inlineStr">
        <is>
          <t>ACTIVE PROTOCOLS</t>
        </is>
      </c>
      <c r="G67" s="11" t="n"/>
      <c r="H67" s="11" t="n"/>
      <c r="I67" s="11" t="n"/>
      <c r="K67" s="147" t="inlineStr">
        <is>
          <t>PERFECT DAYS (100%)</t>
        </is>
      </c>
      <c r="L67" s="13" t="n"/>
      <c r="M67" s="13" t="n"/>
      <c r="N67" s="13" t="n"/>
      <c r="P67" s="148" t="inlineStr">
        <is>
          <t>AVG SLEEP DURATION</t>
        </is>
      </c>
      <c r="Q67" s="15" t="n"/>
      <c r="R67" s="15" t="n"/>
      <c r="S67" s="15" t="n"/>
    </row>
    <row r="68">
      <c r="A68" s="149">
        <f>IF(SUM(D18:D37)&gt;0, SUM(AM18:AM37)/SUM(D18:D37), 0)</f>
        <v/>
      </c>
      <c r="B68" s="9" t="n"/>
      <c r="C68" s="9" t="n"/>
      <c r="D68" s="9" t="n"/>
      <c r="F68" s="150">
        <f>COUNTA(B18:B37) &amp; " / 20"</f>
        <v/>
      </c>
      <c r="G68" s="11" t="n"/>
      <c r="H68" s="11" t="n"/>
      <c r="I68" s="11" t="n"/>
      <c r="K68" s="151">
        <f>COUNTIF(E39:AI39, 1) &amp; " Days"</f>
        <v/>
      </c>
      <c r="L68" s="13" t="n"/>
      <c r="M68" s="13" t="n"/>
      <c r="N68" s="13" t="n"/>
      <c r="P68" s="152">
        <f>IFERROR(TEXT(AVERAGE(E47:AI47), "0.0") &amp; " hrs", "-")</f>
        <v/>
      </c>
      <c r="Q68" s="15" t="n"/>
      <c r="R68" s="15" t="n"/>
      <c r="S68" s="15" t="n"/>
    </row>
    <row r="69">
      <c r="A69" s="9" t="n"/>
      <c r="B69" s="9" t="n"/>
      <c r="C69" s="9" t="n"/>
      <c r="D69" s="9" t="n"/>
      <c r="F69" s="11" t="n"/>
      <c r="G69" s="11" t="n"/>
      <c r="H69" s="11" t="n"/>
      <c r="I69" s="11" t="n"/>
      <c r="K69" s="13" t="n"/>
      <c r="L69" s="13" t="n"/>
      <c r="M69" s="13" t="n"/>
      <c r="N69" s="13" t="n"/>
      <c r="P69" s="15" t="n"/>
      <c r="Q69" s="15" t="n"/>
      <c r="R69" s="15" t="n"/>
      <c r="S69" s="15" t="n"/>
    </row>
    <row r="70">
      <c r="A70" s="9" t="n"/>
      <c r="B70" s="9" t="n"/>
      <c r="C70" s="9" t="n"/>
      <c r="D70" s="9" t="n"/>
      <c r="F70" s="11" t="n"/>
      <c r="G70" s="11" t="n"/>
      <c r="H70" s="11" t="n"/>
      <c r="I70" s="11" t="n"/>
      <c r="K70" s="13" t="n"/>
      <c r="L70" s="13" t="n"/>
      <c r="M70" s="13" t="n"/>
      <c r="N70" s="13" t="n"/>
      <c r="P70" s="15" t="n"/>
      <c r="Q70" s="15" t="n"/>
      <c r="R70" s="15" t="n"/>
      <c r="S70" s="15" t="n"/>
    </row>
    <row r="71">
      <c r="A71" s="153" t="inlineStr">
        <is>
          <t>Target Completion</t>
        </is>
      </c>
      <c r="B71" s="9" t="n"/>
      <c r="C71" s="9" t="n"/>
      <c r="D71" s="9" t="n"/>
      <c r="F71" s="154" t="inlineStr">
        <is>
          <t>Habits Tracked</t>
        </is>
      </c>
      <c r="G71" s="11" t="n"/>
      <c r="H71" s="11" t="n"/>
      <c r="I71" s="11" t="n"/>
      <c r="K71" s="155" t="inlineStr">
        <is>
          <t>All Marked Habits Completed</t>
        </is>
      </c>
      <c r="L71" s="13" t="n"/>
      <c r="M71" s="13" t="n"/>
      <c r="N71" s="13" t="n"/>
      <c r="P71" s="156" t="inlineStr">
        <is>
          <t>Nightly Rest Average</t>
        </is>
      </c>
      <c r="Q71" s="15" t="n"/>
      <c r="R71" s="15" t="n"/>
      <c r="S71" s="15" t="n"/>
    </row>
    <row r="72" ht="8" customHeight="1"/>
    <row r="73" ht="6" customHeight="1"/>
    <row r="74">
      <c r="A74" s="67" t="inlineStr">
        <is>
          <t>WEEKLY PERFORMANCE (SLUMP DETECTOR)</t>
        </is>
      </c>
      <c r="B74" s="29" t="n"/>
      <c r="C74" s="29" t="n"/>
      <c r="D74" s="29" t="n"/>
      <c r="E74" s="29" t="n"/>
      <c r="N74" s="157" t="inlineStr">
        <is>
          <t>LIFE DOMAIN / CATEGORY BREAKDOWN</t>
        </is>
      </c>
      <c r="O74" s="158" t="n"/>
      <c r="P74" s="158" t="n"/>
      <c r="Q74" s="158" t="n"/>
      <c r="R74" s="158" t="n"/>
      <c r="S74" s="158" t="n"/>
    </row>
    <row r="75" ht="15" customHeight="1">
      <c r="A75" s="53" t="inlineStr">
        <is>
          <t>Week</t>
        </is>
      </c>
      <c r="B75" s="53" t="inlineStr">
        <is>
          <t>Days Range</t>
        </is>
      </c>
      <c r="C75" s="53" t="inlineStr">
        <is>
          <t>Checks Done</t>
        </is>
      </c>
      <c r="D75" s="53" t="inlineStr">
        <is>
          <t>Evaluated</t>
        </is>
      </c>
      <c r="E75" s="53" t="inlineStr">
        <is>
          <t>Success %</t>
        </is>
      </c>
      <c r="N75" s="53" t="inlineStr">
        <is>
          <t>Domain / Category</t>
        </is>
      </c>
      <c r="O75" s="54" t="n"/>
      <c r="P75" s="53" t="inlineStr">
        <is>
          <t>Active Habits</t>
        </is>
      </c>
      <c r="Q75" s="53" t="inlineStr">
        <is>
          <t>Target Days</t>
        </is>
      </c>
      <c r="R75" s="53" t="inlineStr">
        <is>
          <t>Done Checks</t>
        </is>
      </c>
      <c r="S75" s="53" t="inlineStr">
        <is>
          <t>Success %</t>
        </is>
      </c>
    </row>
    <row r="76" ht="14" customHeight="1">
      <c r="A76" s="33" t="inlineStr">
        <is>
          <t>Week 1</t>
        </is>
      </c>
      <c r="B76" s="34" t="inlineStr">
        <is>
          <t>Days 1 - 7</t>
        </is>
      </c>
      <c r="C76" s="34">
        <f>COUNTIF(E18:K37, "✓")</f>
        <v/>
      </c>
      <c r="D76" s="34">
        <f>COUNTIF(E18:K37, "✓") + COUNTIF(E18:K37, "✗")</f>
        <v/>
      </c>
      <c r="E76" s="35">
        <f>IFERROR(C76/D76, 0)</f>
        <v/>
      </c>
      <c r="N76" s="60" t="inlineStr">
        <is>
          <t>Health &amp; Fitness</t>
        </is>
      </c>
      <c r="O76" s="54" t="n"/>
      <c r="P76" s="34">
        <f>COUNTIF($C$18:$C$37, "Health &amp; Fitness")</f>
        <v/>
      </c>
      <c r="Q76" s="34">
        <f>SUMIF($C$18:$C$37, "Health &amp; Fitness", $D$18:$D$37)</f>
        <v/>
      </c>
      <c r="R76" s="34">
        <f>SUMIF($C$18:$C$37, "Health &amp; Fitness", $AM$18:$AM$37)</f>
        <v/>
      </c>
      <c r="S76" s="35">
        <f>IFERROR(R76/Q76, 0)</f>
        <v/>
      </c>
    </row>
    <row r="77" ht="14" customHeight="1">
      <c r="A77" s="33" t="inlineStr">
        <is>
          <t>Week 2</t>
        </is>
      </c>
      <c r="B77" s="34" t="inlineStr">
        <is>
          <t>Days 8 - 14</t>
        </is>
      </c>
      <c r="C77" s="34">
        <f>COUNTIF(L18:R37, "✓")</f>
        <v/>
      </c>
      <c r="D77" s="34">
        <f>COUNTIF(L18:R37, "✓") + COUNTIF(L18:R37, "✗")</f>
        <v/>
      </c>
      <c r="E77" s="35">
        <f>IFERROR(C77/D77, 0)</f>
        <v/>
      </c>
      <c r="N77" s="60" t="inlineStr">
        <is>
          <t>Mindset &amp; Learning</t>
        </is>
      </c>
      <c r="O77" s="54" t="n"/>
      <c r="P77" s="34">
        <f>COUNTIF($C$18:$C$37, "Mindset &amp; Learning")</f>
        <v/>
      </c>
      <c r="Q77" s="34">
        <f>SUMIF($C$18:$C$37, "Mindset &amp; Learning", $D$18:$D$37)</f>
        <v/>
      </c>
      <c r="R77" s="34">
        <f>SUMIF($C$18:$C$37, "Mindset &amp; Learning", $AM$18:$AM$37)</f>
        <v/>
      </c>
      <c r="S77" s="35">
        <f>IFERROR(R77/Q77, 0)</f>
        <v/>
      </c>
    </row>
    <row r="78" ht="14" customHeight="1">
      <c r="A78" s="33" t="inlineStr">
        <is>
          <t>Week 3</t>
        </is>
      </c>
      <c r="B78" s="34" t="inlineStr">
        <is>
          <t>Days 15 - 21</t>
        </is>
      </c>
      <c r="C78" s="34">
        <f>COUNTIF(S18:Y37, "✓")</f>
        <v/>
      </c>
      <c r="D78" s="34">
        <f>COUNTIF(S18:Y37, "✓") + COUNTIF(S18:Y37, "✗")</f>
        <v/>
      </c>
      <c r="E78" s="35">
        <f>IFERROR(C78/D78, 0)</f>
        <v/>
      </c>
      <c r="N78" s="60" t="inlineStr">
        <is>
          <t>Career &amp; Focus</t>
        </is>
      </c>
      <c r="O78" s="54" t="n"/>
      <c r="P78" s="34">
        <f>COUNTIF($C$18:$C$37, "Career &amp; Focus")</f>
        <v/>
      </c>
      <c r="Q78" s="34">
        <f>SUMIF($C$18:$C$37, "Career &amp; Focus", $D$18:$D$37)</f>
        <v/>
      </c>
      <c r="R78" s="34">
        <f>SUMIF($C$18:$C$37, "Career &amp; Focus", $AM$18:$AM$37)</f>
        <v/>
      </c>
      <c r="S78" s="35">
        <f>IFERROR(R78/Q78, 0)</f>
        <v/>
      </c>
    </row>
    <row r="79" ht="14" customHeight="1">
      <c r="A79" s="33" t="inlineStr">
        <is>
          <t>Week 4</t>
        </is>
      </c>
      <c r="B79" s="34" t="inlineStr">
        <is>
          <t>Days 22 - 28</t>
        </is>
      </c>
      <c r="C79" s="34">
        <f>COUNTIF(Z18:AF37, "✓")</f>
        <v/>
      </c>
      <c r="D79" s="34">
        <f>COUNTIF(Z18:AF37, "✓") + COUNTIF(Z18:AF37, "✗")</f>
        <v/>
      </c>
      <c r="E79" s="35">
        <f>IFERROR(C79/D79, 0)</f>
        <v/>
      </c>
      <c r="N79" s="60" t="inlineStr">
        <is>
          <t>Personal &amp; Home</t>
        </is>
      </c>
      <c r="O79" s="54" t="n"/>
      <c r="P79" s="34">
        <f>COUNTIF($C$18:$C$37, "Personal &amp; Home")</f>
        <v/>
      </c>
      <c r="Q79" s="34">
        <f>SUMIF($C$18:$C$37, "Personal &amp; Home", $D$18:$D$37)</f>
        <v/>
      </c>
      <c r="R79" s="34">
        <f>SUMIF($C$18:$C$37, "Personal &amp; Home", $AM$18:$AM$37)</f>
        <v/>
      </c>
      <c r="S79" s="35">
        <f>IFERROR(R79/Q79, 0)</f>
        <v/>
      </c>
    </row>
    <row r="80" ht="14" customHeight="1">
      <c r="A80" s="33" t="inlineStr">
        <is>
          <t>Week 5</t>
        </is>
      </c>
      <c r="B80" s="34" t="inlineStr">
        <is>
          <t>Days 29 - 31</t>
        </is>
      </c>
      <c r="C80" s="34">
        <f>COUNTIF(AG18:AI37, "✓")</f>
        <v/>
      </c>
      <c r="D80" s="34">
        <f>COUNTIF(AG18:AI37, "✓") + COUNTIF(AG18:AI37, "✗")</f>
        <v/>
      </c>
      <c r="E80" s="35">
        <f>IFERROR(C80/D80, 0)</f>
        <v/>
      </c>
      <c r="N80" s="60" t="inlineStr">
        <is>
          <t>Finance &amp; Wealth</t>
        </is>
      </c>
      <c r="O80" s="54" t="n"/>
      <c r="P80" s="34">
        <f>COUNTIF($C$18:$C$37, "Finance &amp; Wealth")</f>
        <v/>
      </c>
      <c r="Q80" s="34">
        <f>SUMIF($C$18:$C$37, "Finance &amp; Wealth", $D$18:$D$37)</f>
        <v/>
      </c>
      <c r="R80" s="34">
        <f>SUMIF($C$18:$C$37, "Finance &amp; Wealth", $AM$18:$AM$37)</f>
        <v/>
      </c>
      <c r="S80" s="35">
        <f>IFERROR(R80/Q80, 0)</f>
        <v/>
      </c>
    </row>
    <row r="81" ht="14" customHeight="1">
      <c r="A81" s="33" t="inlineStr">
        <is>
          <t>Total / Avg</t>
        </is>
      </c>
      <c r="B81" s="159" t="inlineStr">
        <is>
          <t>Month Total</t>
        </is>
      </c>
      <c r="C81" s="33">
        <f>SUM(C76:C80)</f>
        <v/>
      </c>
      <c r="D81" s="33">
        <f>SUM(D76:D80)</f>
        <v/>
      </c>
      <c r="E81" s="133">
        <f>IFERROR(C81/D81, 0)</f>
        <v/>
      </c>
    </row>
    <row r="82" ht="10" customHeight="1"/>
    <row r="83" ht="10" customHeight="1"/>
    <row r="84">
      <c r="A84" s="51" t="inlineStr">
        <is>
          <t>SLEEP &amp; PRODUCTIVITY CORRELATION ANALYSIS</t>
        </is>
      </c>
      <c r="B84" s="52" t="n"/>
      <c r="C84" s="52" t="n"/>
      <c r="D84" s="52" t="n"/>
      <c r="E84" s="52" t="n"/>
      <c r="F84" s="52" t="n"/>
      <c r="G84" s="52" t="n"/>
      <c r="H84" s="52" t="n"/>
      <c r="I84" s="52" t="n"/>
      <c r="J84" s="52" t="n"/>
      <c r="K84" s="52" t="n"/>
      <c r="L84" s="52" t="n"/>
      <c r="M84" s="52" t="n"/>
      <c r="N84" s="52" t="n"/>
      <c r="O84" s="52" t="n"/>
      <c r="P84" s="52" t="n"/>
      <c r="Q84" s="52" t="n"/>
      <c r="R84" s="52" t="n"/>
      <c r="S84" s="52" t="n"/>
      <c r="T84" s="52" t="n"/>
      <c r="U84" s="52" t="n"/>
      <c r="V84" s="52" t="n"/>
      <c r="W84" s="52" t="n"/>
      <c r="X84" s="52" t="n"/>
      <c r="Y84" s="52" t="n"/>
      <c r="Z84" s="52" t="n"/>
      <c r="AA84" s="52" t="n"/>
      <c r="AB84" s="52" t="n"/>
      <c r="AC84" s="52" t="n"/>
      <c r="AD84" s="52" t="n"/>
      <c r="AE84" s="52" t="n"/>
      <c r="AF84" s="52" t="n"/>
      <c r="AG84" s="52" t="n"/>
      <c r="AH84" s="52" t="n"/>
      <c r="AI84" s="52" t="n"/>
      <c r="AJ84" s="52" t="n"/>
      <c r="AK84" s="52" t="n"/>
      <c r="AL84" s="52" t="n"/>
    </row>
    <row r="85" ht="15" customHeight="1">
      <c r="A85" s="53" t="inlineStr">
        <is>
          <t>Rest Category</t>
        </is>
      </c>
      <c r="B85" s="54" t="n"/>
      <c r="C85" s="54" t="n"/>
      <c r="D85" s="53" t="inlineStr">
        <is>
          <t>Day Criteria</t>
        </is>
      </c>
      <c r="E85" s="54" t="n"/>
      <c r="F85" s="54" t="n"/>
      <c r="G85" s="53" t="inlineStr">
        <is>
          <t>Days Logged</t>
        </is>
      </c>
      <c r="H85" s="54" t="n"/>
      <c r="I85" s="54" t="n"/>
      <c r="J85" s="53" t="inlineStr">
        <is>
          <t>Avg Sleep Duration</t>
        </is>
      </c>
      <c r="K85" s="54" t="n"/>
      <c r="L85" s="54" t="n"/>
      <c r="M85" s="54" t="n"/>
      <c r="N85" s="53" t="inlineStr">
        <is>
          <t>Avg Habit Success %</t>
        </is>
      </c>
      <c r="O85" s="54" t="n"/>
      <c r="P85" s="54" t="n"/>
      <c r="Q85" s="54" t="n"/>
      <c r="R85" s="53" t="inlineStr">
        <is>
          <t>Productivity Delta</t>
        </is>
      </c>
      <c r="S85" s="54" t="n"/>
      <c r="T85" s="54" t="n"/>
      <c r="U85" s="54" t="n"/>
    </row>
    <row r="86" ht="15" customHeight="1">
      <c r="A86" s="160" t="inlineStr">
        <is>
          <t>Optimal Rest</t>
        </is>
      </c>
      <c r="B86" s="161" t="n"/>
      <c r="C86" s="56" t="n"/>
      <c r="D86" s="34" t="inlineStr">
        <is>
          <t>&gt;= 7 Hours / Night</t>
        </is>
      </c>
      <c r="E86" s="161" t="n"/>
      <c r="F86" s="56" t="n"/>
      <c r="G86" s="33">
        <f>COUNTIF(E47:AI47, "&gt;=7")</f>
        <v/>
      </c>
      <c r="H86" s="161" t="n"/>
      <c r="I86" s="56" t="n"/>
      <c r="J86" s="34">
        <f>IFERROR(TEXT(AVERAGEIF(E47:AI47, "&gt;=7"), "0.0") &amp; " hrs", "-")</f>
        <v/>
      </c>
      <c r="K86" s="161" t="n"/>
      <c r="L86" s="161" t="n"/>
      <c r="M86" s="56" t="n"/>
      <c r="N86" s="42">
        <f>IFERROR(AVERAGEIFS(E39:AI39, E47:AI47, "&gt;=7", E39:AI39, "&gt;0"), 0)</f>
        <v/>
      </c>
      <c r="O86" s="161" t="n"/>
      <c r="P86" s="161" t="n"/>
      <c r="Q86" s="56" t="n"/>
      <c r="R86" s="159" t="inlineStr">
        <is>
          <t>Baseline (Target)</t>
        </is>
      </c>
      <c r="S86" s="161" t="n"/>
      <c r="T86" s="161" t="n"/>
      <c r="U86" s="56" t="n"/>
    </row>
    <row r="87" ht="15" customHeight="1">
      <c r="A87" s="162" t="inlineStr">
        <is>
          <t>Sleep Deficit</t>
        </is>
      </c>
      <c r="B87" s="161" t="n"/>
      <c r="C87" s="56" t="n"/>
      <c r="D87" s="34" t="inlineStr">
        <is>
          <t>&lt; 7 Hours / Night</t>
        </is>
      </c>
      <c r="E87" s="161" t="n"/>
      <c r="F87" s="56" t="n"/>
      <c r="G87" s="33">
        <f>COUNTIF(E47:AI47, "&lt;7") - COUNTIF(E47:AI47, "")</f>
        <v/>
      </c>
      <c r="H87" s="161" t="n"/>
      <c r="I87" s="56" t="n"/>
      <c r="J87" s="34">
        <f>IFERROR(TEXT(AVERAGEIFS(E47:AI47, E47:AI47, "&lt;7", E47:AI47, "&gt;0"), "0.0") &amp; " hrs", "-")</f>
        <v/>
      </c>
      <c r="K87" s="161" t="n"/>
      <c r="L87" s="161" t="n"/>
      <c r="M87" s="56" t="n"/>
      <c r="N87" s="163">
        <f>IFERROR(AVERAGEIFS(E39:AI39, E47:AI47, "&lt;7", E39:AI39, "&gt;0"), 0)</f>
        <v/>
      </c>
      <c r="O87" s="161" t="n"/>
      <c r="P87" s="161" t="n"/>
      <c r="Q87" s="56" t="n"/>
      <c r="R87" s="160">
        <f>IFERROR(TEXT(N86 - N87, "+0.0%;-0.0%;0.0%") &amp; " Rest Advantage", "-")</f>
        <v/>
      </c>
      <c r="S87" s="161" t="n"/>
      <c r="T87" s="161" t="n"/>
      <c r="U87" s="56" t="n"/>
    </row>
    <row r="88" ht="18" customHeight="1">
      <c r="A88" s="164">
        <f>IF(AND(ISNUMBER(N86), ISNUMBER(N87), N86&gt;0, N87&gt;0), "💡 Sleep Correlation Insight: You complete " &amp; TEXT(ABS(N86-N87), "0.0%") &amp; IF(N86&gt;=N87, " MORE habits on days with 7+ hours of sleep!", " fewer habits on days with 7+ hours of sleep."), "💡 Log both habits and sleep hours daily to unlock automatic AI correlation insights!")</f>
        <v/>
      </c>
      <c r="B88" s="161" t="n"/>
      <c r="C88" s="161" t="n"/>
      <c r="D88" s="161" t="n"/>
      <c r="E88" s="161" t="n"/>
      <c r="F88" s="161" t="n"/>
      <c r="G88" s="161" t="n"/>
      <c r="H88" s="161" t="n"/>
      <c r="I88" s="161" t="n"/>
      <c r="J88" s="161" t="n"/>
      <c r="K88" s="161" t="n"/>
      <c r="L88" s="161" t="n"/>
      <c r="M88" s="161" t="n"/>
      <c r="N88" s="161" t="n"/>
      <c r="O88" s="161" t="n"/>
      <c r="P88" s="161" t="n"/>
      <c r="Q88" s="161" t="n"/>
      <c r="R88" s="161" t="n"/>
      <c r="S88" s="161" t="n"/>
      <c r="T88" s="161" t="n"/>
      <c r="U88" s="161" t="n"/>
      <c r="V88" s="161" t="n"/>
      <c r="W88" s="161" t="n"/>
      <c r="X88" s="161" t="n"/>
      <c r="Y88" s="161" t="n"/>
      <c r="Z88" s="161" t="n"/>
      <c r="AA88" s="161" t="n"/>
      <c r="AB88" s="161" t="n"/>
      <c r="AC88" s="161" t="n"/>
      <c r="AD88" s="161" t="n"/>
      <c r="AE88" s="161" t="n"/>
      <c r="AF88" s="161" t="n"/>
      <c r="AG88" s="161" t="n"/>
      <c r="AH88" s="161" t="n"/>
      <c r="AI88" s="161" t="n"/>
      <c r="AJ88" s="161" t="n"/>
      <c r="AK88" s="161" t="n"/>
      <c r="AL88" s="56" t="n"/>
    </row>
    <row r="89" ht="10" customHeight="1"/>
    <row r="90">
      <c r="A90" s="43" t="inlineStr">
        <is>
          <t>STANDARDIZED DATA BRIDGE (FOR ANNUAL &amp; QUARTERLY REVIEW SHEETS)</t>
        </is>
      </c>
      <c r="B90" s="44" t="n"/>
      <c r="C90" s="44" t="n"/>
      <c r="D90" s="44" t="n"/>
      <c r="E90" s="44" t="n"/>
      <c r="F90" s="44" t="n"/>
      <c r="G90" s="44" t="n"/>
      <c r="H90" s="44" t="n"/>
      <c r="I90" s="44" t="n"/>
      <c r="J90" s="44" t="n"/>
      <c r="K90" s="44" t="n"/>
      <c r="L90" s="44" t="n"/>
      <c r="M90" s="44" t="n"/>
      <c r="N90" s="44" t="n"/>
      <c r="O90" s="44" t="n"/>
      <c r="P90" s="44" t="n"/>
      <c r="Q90" s="44" t="n"/>
      <c r="R90" s="44" t="n"/>
      <c r="S90" s="44" t="n"/>
      <c r="T90" s="44" t="n"/>
      <c r="U90" s="44" t="n"/>
      <c r="V90" s="44" t="n"/>
      <c r="W90" s="44" t="n"/>
      <c r="X90" s="44" t="n"/>
      <c r="Y90" s="44" t="n"/>
      <c r="Z90" s="44" t="n"/>
      <c r="AA90" s="44" t="n"/>
      <c r="AB90" s="44" t="n"/>
      <c r="AC90" s="44" t="n"/>
      <c r="AD90" s="44" t="n"/>
      <c r="AE90" s="44" t="n"/>
      <c r="AF90" s="44" t="n"/>
      <c r="AG90" s="44" t="n"/>
      <c r="AH90" s="44" t="n"/>
      <c r="AI90" s="44" t="n"/>
      <c r="AJ90" s="44" t="n"/>
      <c r="AK90" s="44" t="n"/>
      <c r="AL90" s="44" t="n"/>
    </row>
    <row r="91" ht="15" customHeight="1">
      <c r="A91" s="53" t="inlineStr">
        <is>
          <t>Month</t>
        </is>
      </c>
      <c r="B91" s="54" t="n"/>
      <c r="C91" s="53" t="inlineStr">
        <is>
          <t>Year</t>
        </is>
      </c>
      <c r="D91" s="54" t="n"/>
      <c r="E91" s="53" t="inlineStr">
        <is>
          <t>Active Habits</t>
        </is>
      </c>
      <c r="F91" s="54" t="n"/>
      <c r="G91" s="53" t="inlineStr">
        <is>
          <t>Target Days</t>
        </is>
      </c>
      <c r="H91" s="54" t="n"/>
      <c r="I91" s="53" t="inlineStr">
        <is>
          <t>Done Checks</t>
        </is>
      </c>
      <c r="J91" s="54" t="n"/>
      <c r="K91" s="53" t="inlineStr">
        <is>
          <t>Success %</t>
        </is>
      </c>
      <c r="L91" s="54" t="n"/>
      <c r="M91" s="53" t="inlineStr">
        <is>
          <t>Perfect Days</t>
        </is>
      </c>
      <c r="N91" s="54" t="n"/>
      <c r="O91" s="53" t="inlineStr">
        <is>
          <t>Avg Sleep</t>
        </is>
      </c>
      <c r="P91" s="54" t="n"/>
      <c r="Q91" s="53" t="inlineStr">
        <is>
          <t>Best Week</t>
        </is>
      </c>
      <c r="R91" s="54" t="n"/>
      <c r="S91" s="54" t="n"/>
      <c r="T91" s="53" t="inlineStr">
        <is>
          <t>Top Life Domain</t>
        </is>
      </c>
      <c r="U91" s="54" t="n"/>
      <c r="V91" s="54" t="n"/>
      <c r="W91" s="54" t="n"/>
    </row>
    <row r="92" ht="16" customHeight="1">
      <c r="A92" s="165" t="inlineStr">
        <is>
          <t>Aug</t>
        </is>
      </c>
      <c r="B92" s="56" t="n"/>
      <c r="C92" s="165" t="n">
        <v>2027</v>
      </c>
      <c r="D92" s="56" t="n"/>
      <c r="E92" s="166">
        <f>COUNTA(B18:B37)</f>
        <v/>
      </c>
      <c r="F92" s="56" t="n"/>
      <c r="G92" s="166">
        <f>SUM(D18:D37)</f>
        <v/>
      </c>
      <c r="H92" s="56" t="n"/>
      <c r="I92" s="166">
        <f>SUM(AM18:AM37)</f>
        <v/>
      </c>
      <c r="J92" s="56" t="n"/>
      <c r="K92" s="167">
        <f>IF(G92&gt;0, I92/G92, 0)</f>
        <v/>
      </c>
      <c r="L92" s="56" t="n"/>
      <c r="M92" s="166">
        <f>COUNTIF(E39:AI39, 1)</f>
        <v/>
      </c>
      <c r="N92" s="56" t="n"/>
      <c r="O92" s="168">
        <f>IFERROR(AVERAGE(E47:AI47), 0)</f>
        <v/>
      </c>
      <c r="P92" s="56" t="n"/>
      <c r="Q92" s="166">
        <f>INDEX(A76:A80, MATCH(MAX(E76:E80), E76:E80, 0))</f>
        <v/>
      </c>
      <c r="R92" s="161" t="n"/>
      <c r="S92" s="56" t="n"/>
      <c r="T92" s="166">
        <f>INDEX(N76:N80, MATCH(MAX(S76:S80), S76:S80, 0))</f>
        <v/>
      </c>
      <c r="U92" s="161" t="n"/>
      <c r="V92" s="161" t="n"/>
      <c r="W92" s="56" t="n"/>
    </row>
    <row r="93" ht="14" customHeight="1">
      <c r="A93" s="169" t="inlineStr">
        <is>
          <t>📋 Note: Reference or copy Row 92 directly into an Annual / Quarterly review dashboard to track yearly habit trends.</t>
        </is>
      </c>
    </row>
    <row r="94" ht="8" customHeight="1"/>
    <row r="95">
      <c r="A95" s="170" t="inlineStr">
        <is>
          <t>🏆 MONTHLY WINS &amp; HIGHLIGHTS</t>
        </is>
      </c>
      <c r="J95" s="171" t="inlineStr">
        <is>
          <t>⚠️ FRICTION POINTS &amp; ROOT CAUSES</t>
        </is>
      </c>
      <c r="S95" s="172" t="inlineStr">
        <is>
          <t>🎯 3 KEY ADJUSTMENTS FOR NEXT MONTH</t>
        </is>
      </c>
    </row>
    <row r="96">
      <c r="A96" s="173" t="inlineStr">
        <is>
          <t>1. What went exceptionally well this month?
2. Which habit felt effortless and consistent?
3. Major milestone achieved:</t>
        </is>
      </c>
      <c r="B96" s="174" t="n"/>
      <c r="C96" s="174" t="n"/>
      <c r="D96" s="174" t="n"/>
      <c r="E96" s="174" t="n"/>
      <c r="F96" s="174" t="n"/>
      <c r="G96" s="174" t="n"/>
      <c r="H96" s="174" t="n"/>
      <c r="J96" s="175" t="inlineStr">
        <is>
          <t>1. What caused missed or skipped days?
2. Main triggers / energy drains encountered:
3. Which habit had the lowest consistency and why?</t>
        </is>
      </c>
      <c r="K96" s="176" t="n"/>
      <c r="L96" s="176" t="n"/>
      <c r="M96" s="176" t="n"/>
      <c r="N96" s="176" t="n"/>
      <c r="O96" s="176" t="n"/>
      <c r="P96" s="176" t="n"/>
      <c r="Q96" s="176" t="n"/>
      <c r="S96" s="177" t="inlineStr">
        <is>
          <t>1. Habit Stacking or time adjustment for next month:
2. Environment design change to eliminate friction:
3. One non-negotiable priority protocol:</t>
        </is>
      </c>
      <c r="T96" s="178" t="n"/>
      <c r="U96" s="178" t="n"/>
      <c r="V96" s="178" t="n"/>
      <c r="W96" s="178" t="n"/>
      <c r="X96" s="178" t="n"/>
      <c r="Y96" s="178" t="n"/>
      <c r="Z96" s="178" t="n"/>
    </row>
    <row r="97">
      <c r="A97" s="174" t="n"/>
      <c r="B97" s="174" t="n"/>
      <c r="C97" s="174" t="n"/>
      <c r="D97" s="174" t="n"/>
      <c r="E97" s="174" t="n"/>
      <c r="F97" s="174" t="n"/>
      <c r="G97" s="174" t="n"/>
      <c r="H97" s="174" t="n"/>
      <c r="J97" s="176" t="n"/>
      <c r="K97" s="176" t="n"/>
      <c r="L97" s="176" t="n"/>
      <c r="M97" s="176" t="n"/>
      <c r="N97" s="176" t="n"/>
      <c r="O97" s="176" t="n"/>
      <c r="P97" s="176" t="n"/>
      <c r="Q97" s="176" t="n"/>
      <c r="S97" s="178" t="n"/>
      <c r="T97" s="178" t="n"/>
      <c r="U97" s="178" t="n"/>
      <c r="V97" s="178" t="n"/>
      <c r="W97" s="178" t="n"/>
      <c r="X97" s="178" t="n"/>
      <c r="Y97" s="178" t="n"/>
      <c r="Z97" s="178" t="n"/>
    </row>
    <row r="98">
      <c r="A98" s="174" t="n"/>
      <c r="B98" s="174" t="n"/>
      <c r="C98" s="174" t="n"/>
      <c r="D98" s="174" t="n"/>
      <c r="E98" s="174" t="n"/>
      <c r="F98" s="174" t="n"/>
      <c r="G98" s="174" t="n"/>
      <c r="H98" s="174" t="n"/>
      <c r="J98" s="176" t="n"/>
      <c r="K98" s="176" t="n"/>
      <c r="L98" s="176" t="n"/>
      <c r="M98" s="176" t="n"/>
      <c r="N98" s="176" t="n"/>
      <c r="O98" s="176" t="n"/>
      <c r="P98" s="176" t="n"/>
      <c r="Q98" s="176" t="n"/>
      <c r="S98" s="178" t="n"/>
      <c r="T98" s="178" t="n"/>
      <c r="U98" s="178" t="n"/>
      <c r="V98" s="178" t="n"/>
      <c r="W98" s="178" t="n"/>
      <c r="X98" s="178" t="n"/>
      <c r="Y98" s="178" t="n"/>
      <c r="Z98" s="178" t="n"/>
    </row>
    <row r="99">
      <c r="A99" s="174" t="n"/>
      <c r="B99" s="174" t="n"/>
      <c r="C99" s="174" t="n"/>
      <c r="D99" s="174" t="n"/>
      <c r="E99" s="174" t="n"/>
      <c r="F99" s="174" t="n"/>
      <c r="G99" s="174" t="n"/>
      <c r="H99" s="174" t="n"/>
      <c r="J99" s="176" t="n"/>
      <c r="K99" s="176" t="n"/>
      <c r="L99" s="176" t="n"/>
      <c r="M99" s="176" t="n"/>
      <c r="N99" s="176" t="n"/>
      <c r="O99" s="176" t="n"/>
      <c r="P99" s="176" t="n"/>
      <c r="Q99" s="176" t="n"/>
      <c r="S99" s="178" t="n"/>
      <c r="T99" s="178" t="n"/>
      <c r="U99" s="178" t="n"/>
      <c r="V99" s="178" t="n"/>
      <c r="W99" s="178" t="n"/>
      <c r="X99" s="178" t="n"/>
      <c r="Y99" s="178" t="n"/>
      <c r="Z99" s="178" t="n"/>
    </row>
    <row r="100">
      <c r="A100" s="174" t="n"/>
      <c r="B100" s="174" t="n"/>
      <c r="C100" s="174" t="n"/>
      <c r="D100" s="174" t="n"/>
      <c r="E100" s="174" t="n"/>
      <c r="F100" s="174" t="n"/>
      <c r="G100" s="174" t="n"/>
      <c r="H100" s="174" t="n"/>
      <c r="J100" s="176" t="n"/>
      <c r="K100" s="176" t="n"/>
      <c r="L100" s="176" t="n"/>
      <c r="M100" s="176" t="n"/>
      <c r="N100" s="176" t="n"/>
      <c r="O100" s="176" t="n"/>
      <c r="P100" s="176" t="n"/>
      <c r="Q100" s="176" t="n"/>
      <c r="S100" s="178" t="n"/>
      <c r="T100" s="178" t="n"/>
      <c r="U100" s="178" t="n"/>
      <c r="V100" s="178" t="n"/>
      <c r="W100" s="178" t="n"/>
      <c r="X100" s="178" t="n"/>
      <c r="Y100" s="178" t="n"/>
      <c r="Z100" s="178" t="n"/>
    </row>
    <row r="101">
      <c r="A101" s="174" t="n"/>
      <c r="B101" s="174" t="n"/>
      <c r="C101" s="174" t="n"/>
      <c r="D101" s="174" t="n"/>
      <c r="E101" s="174" t="n"/>
      <c r="F101" s="174" t="n"/>
      <c r="G101" s="174" t="n"/>
      <c r="H101" s="174" t="n"/>
      <c r="J101" s="176" t="n"/>
      <c r="K101" s="176" t="n"/>
      <c r="L101" s="176" t="n"/>
      <c r="M101" s="176" t="n"/>
      <c r="N101" s="176" t="n"/>
      <c r="O101" s="176" t="n"/>
      <c r="P101" s="176" t="n"/>
      <c r="Q101" s="176" t="n"/>
      <c r="S101" s="178" t="n"/>
      <c r="T101" s="178" t="n"/>
      <c r="U101" s="178" t="n"/>
      <c r="V101" s="178" t="n"/>
      <c r="W101" s="178" t="n"/>
      <c r="X101" s="178" t="n"/>
      <c r="Y101" s="178" t="n"/>
      <c r="Z101" s="178" t="n"/>
    </row>
    <row r="102">
      <c r="A102" s="174" t="n"/>
      <c r="B102" s="174" t="n"/>
      <c r="C102" s="174" t="n"/>
      <c r="D102" s="174" t="n"/>
      <c r="E102" s="174" t="n"/>
      <c r="F102" s="174" t="n"/>
      <c r="G102" s="174" t="n"/>
      <c r="H102" s="174" t="n"/>
      <c r="J102" s="176" t="n"/>
      <c r="K102" s="176" t="n"/>
      <c r="L102" s="176" t="n"/>
      <c r="M102" s="176" t="n"/>
      <c r="N102" s="176" t="n"/>
      <c r="O102" s="176" t="n"/>
      <c r="P102" s="176" t="n"/>
      <c r="Q102" s="176" t="n"/>
      <c r="S102" s="178" t="n"/>
      <c r="T102" s="178" t="n"/>
      <c r="U102" s="178" t="n"/>
      <c r="V102" s="178" t="n"/>
      <c r="W102" s="178" t="n"/>
      <c r="X102" s="178" t="n"/>
      <c r="Y102" s="178" t="n"/>
      <c r="Z102" s="178" t="n"/>
    </row>
    <row r="103">
      <c r="A103" s="174" t="n"/>
      <c r="B103" s="174" t="n"/>
      <c r="C103" s="174" t="n"/>
      <c r="D103" s="174" t="n"/>
      <c r="E103" s="174" t="n"/>
      <c r="F103" s="174" t="n"/>
      <c r="G103" s="174" t="n"/>
      <c r="H103" s="174" t="n"/>
      <c r="J103" s="176" t="n"/>
      <c r="K103" s="176" t="n"/>
      <c r="L103" s="176" t="n"/>
      <c r="M103" s="176" t="n"/>
      <c r="N103" s="176" t="n"/>
      <c r="O103" s="176" t="n"/>
      <c r="P103" s="176" t="n"/>
      <c r="Q103" s="176" t="n"/>
      <c r="S103" s="178" t="n"/>
      <c r="T103" s="178" t="n"/>
      <c r="U103" s="178" t="n"/>
      <c r="V103" s="178" t="n"/>
      <c r="W103" s="178" t="n"/>
      <c r="X103" s="178" t="n"/>
      <c r="Y103" s="178" t="n"/>
      <c r="Z103" s="178" t="n"/>
    </row>
  </sheetData>
  <sheetProtection selectLockedCells="1" selectUnlockedCells="1" sheet="1" objects="0" insertRows="1" insertHyperlinks="1" autoFilter="1" scenarios="0" formatColumns="1" deleteColumns="1" insertColumns="1" pivotTables="1" deleteRows="1" formatCells="1" formatRows="1" sort="1"/>
  <mergeCells count="94">
    <mergeCell ref="A9:N9"/>
    <mergeCell ref="N76:O76"/>
    <mergeCell ref="F67:I67"/>
    <mergeCell ref="G87:I87"/>
    <mergeCell ref="A16:A17"/>
    <mergeCell ref="A45:D46"/>
    <mergeCell ref="C16:C17"/>
    <mergeCell ref="N75:O75"/>
    <mergeCell ref="N77:O77"/>
    <mergeCell ref="AE2:AL2"/>
    <mergeCell ref="P9:AL9"/>
    <mergeCell ref="P68:S70"/>
    <mergeCell ref="D16:D17"/>
    <mergeCell ref="N85:Q85"/>
    <mergeCell ref="A95:H95"/>
    <mergeCell ref="A84:AL84"/>
    <mergeCell ref="Q91:S91"/>
    <mergeCell ref="E91:F91"/>
    <mergeCell ref="A8:N8"/>
    <mergeCell ref="A42:AL42"/>
    <mergeCell ref="G91:H91"/>
    <mergeCell ref="J86:M86"/>
    <mergeCell ref="H3:AD3"/>
    <mergeCell ref="K67:N67"/>
    <mergeCell ref="S95:Z95"/>
    <mergeCell ref="N79:O79"/>
    <mergeCell ref="K92:L92"/>
    <mergeCell ref="C92:D92"/>
    <mergeCell ref="M92:N92"/>
    <mergeCell ref="F71:I71"/>
    <mergeCell ref="A88:AL88"/>
    <mergeCell ref="K68:N70"/>
    <mergeCell ref="T91:W91"/>
    <mergeCell ref="A41:AL41"/>
    <mergeCell ref="A90:AL90"/>
    <mergeCell ref="J95:Q95"/>
    <mergeCell ref="D85:F85"/>
    <mergeCell ref="N74:S74"/>
    <mergeCell ref="H2:AD2"/>
    <mergeCell ref="F68:I70"/>
    <mergeCell ref="A91:B91"/>
    <mergeCell ref="N78:O78"/>
    <mergeCell ref="C91:D91"/>
    <mergeCell ref="M91:N91"/>
    <mergeCell ref="O91:P91"/>
    <mergeCell ref="R86:U86"/>
    <mergeCell ref="N80:O80"/>
    <mergeCell ref="B16:B17"/>
    <mergeCell ref="A71:D71"/>
    <mergeCell ref="J85:M85"/>
    <mergeCell ref="D86:F86"/>
    <mergeCell ref="A92:B92"/>
    <mergeCell ref="N87:Q87"/>
    <mergeCell ref="A1:B1"/>
    <mergeCell ref="E92:F92"/>
    <mergeCell ref="AL16:AL17"/>
    <mergeCell ref="A68:D70"/>
    <mergeCell ref="P71:S71"/>
    <mergeCell ref="A86:C86"/>
    <mergeCell ref="D87:F87"/>
    <mergeCell ref="O92:P92"/>
    <mergeCell ref="A6:N6"/>
    <mergeCell ref="A39:D39"/>
    <mergeCell ref="P8:AL8"/>
    <mergeCell ref="P7:AL7"/>
    <mergeCell ref="G86:I86"/>
    <mergeCell ref="A96:H103"/>
    <mergeCell ref="P67:S67"/>
    <mergeCell ref="T92:W92"/>
    <mergeCell ref="R85:U85"/>
    <mergeCell ref="K71:N71"/>
    <mergeCell ref="S96:Z103"/>
    <mergeCell ref="A93:AL93"/>
    <mergeCell ref="A38:D38"/>
    <mergeCell ref="A67:D67"/>
    <mergeCell ref="I91:J91"/>
    <mergeCell ref="A85:C85"/>
    <mergeCell ref="K91:L91"/>
    <mergeCell ref="N86:Q86"/>
    <mergeCell ref="A7:N7"/>
    <mergeCell ref="P6:AL6"/>
    <mergeCell ref="A74:E74"/>
    <mergeCell ref="G85:I85"/>
    <mergeCell ref="G92:H92"/>
    <mergeCell ref="I92:J92"/>
    <mergeCell ref="R87:U87"/>
    <mergeCell ref="AK16:AK17"/>
    <mergeCell ref="J87:M87"/>
    <mergeCell ref="AJ16:AJ17"/>
    <mergeCell ref="J96:Q103"/>
    <mergeCell ref="A12:AL14"/>
    <mergeCell ref="Q92:S92"/>
    <mergeCell ref="A87:C87"/>
    <mergeCell ref="A47:D47"/>
  </mergeCells>
  <conditionalFormatting sqref="AJ18:AJ37">
    <cfRule type="dataBar" priority="1">
      <dataBar>
        <cfvo type="num" val="0"/>
        <cfvo type="num" val="1"/>
        <color rgb="0010B981"/>
      </dataBar>
    </cfRule>
  </conditionalFormatting>
  <conditionalFormatting sqref="E18:AI37">
    <cfRule type="cellIs" priority="2" operator="equal" dxfId="0">
      <formula>"✓"</formula>
    </cfRule>
    <cfRule type="cellIs" priority="3" operator="equal" dxfId="0">
      <formula>"✔"</formula>
    </cfRule>
    <cfRule type="cellIs" priority="4" operator="equal" dxfId="1">
      <formula>"✗"</formula>
    </cfRule>
    <cfRule type="cellIs" priority="5" operator="equal" dxfId="1">
      <formula>"x"</formula>
    </cfRule>
    <cfRule type="cellIs" priority="6" operator="equal" dxfId="1">
      <formula>"X"</formula>
    </cfRule>
  </conditionalFormatting>
  <conditionalFormatting sqref="E16:E17">
    <cfRule type="expression" priority="7" dxfId="2">
      <formula>AND(DAY(TODAY())=1, MONTH(TODAY())=8, YEAR(TODAY())=2027)</formula>
    </cfRule>
  </conditionalFormatting>
  <conditionalFormatting sqref="F16:F17">
    <cfRule type="expression" priority="8" dxfId="2">
      <formula>AND(DAY(TODAY())=2, MONTH(TODAY())=8, YEAR(TODAY())=2027)</formula>
    </cfRule>
  </conditionalFormatting>
  <conditionalFormatting sqref="G16:G17">
    <cfRule type="expression" priority="9" dxfId="2">
      <formula>AND(DAY(TODAY())=3, MONTH(TODAY())=8, YEAR(TODAY())=2027)</formula>
    </cfRule>
  </conditionalFormatting>
  <conditionalFormatting sqref="H16:H17">
    <cfRule type="expression" priority="10" dxfId="2">
      <formula>AND(DAY(TODAY())=4, MONTH(TODAY())=8, YEAR(TODAY())=2027)</formula>
    </cfRule>
  </conditionalFormatting>
  <conditionalFormatting sqref="I16:I17">
    <cfRule type="expression" priority="11" dxfId="2">
      <formula>AND(DAY(TODAY())=5, MONTH(TODAY())=8, YEAR(TODAY())=2027)</formula>
    </cfRule>
  </conditionalFormatting>
  <conditionalFormatting sqref="J16:J17">
    <cfRule type="expression" priority="12" dxfId="2">
      <formula>AND(DAY(TODAY())=6, MONTH(TODAY())=8, YEAR(TODAY())=2027)</formula>
    </cfRule>
  </conditionalFormatting>
  <conditionalFormatting sqref="K16:K17">
    <cfRule type="expression" priority="13" dxfId="2">
      <formula>AND(DAY(TODAY())=7, MONTH(TODAY())=8, YEAR(TODAY())=2027)</formula>
    </cfRule>
  </conditionalFormatting>
  <conditionalFormatting sqref="L16:L17">
    <cfRule type="expression" priority="14" dxfId="2">
      <formula>AND(DAY(TODAY())=8, MONTH(TODAY())=8, YEAR(TODAY())=2027)</formula>
    </cfRule>
  </conditionalFormatting>
  <conditionalFormatting sqref="M16:M17">
    <cfRule type="expression" priority="15" dxfId="2">
      <formula>AND(DAY(TODAY())=9, MONTH(TODAY())=8, YEAR(TODAY())=2027)</formula>
    </cfRule>
  </conditionalFormatting>
  <conditionalFormatting sqref="N16:N17">
    <cfRule type="expression" priority="16" dxfId="2">
      <formula>AND(DAY(TODAY())=10, MONTH(TODAY())=8, YEAR(TODAY())=2027)</formula>
    </cfRule>
  </conditionalFormatting>
  <conditionalFormatting sqref="O16:O17">
    <cfRule type="expression" priority="17" dxfId="2">
      <formula>AND(DAY(TODAY())=11, MONTH(TODAY())=8, YEAR(TODAY())=2027)</formula>
    </cfRule>
  </conditionalFormatting>
  <conditionalFormatting sqref="P16:P17">
    <cfRule type="expression" priority="18" dxfId="2">
      <formula>AND(DAY(TODAY())=12, MONTH(TODAY())=8, YEAR(TODAY())=2027)</formula>
    </cfRule>
  </conditionalFormatting>
  <conditionalFormatting sqref="Q16:Q17">
    <cfRule type="expression" priority="19" dxfId="2">
      <formula>AND(DAY(TODAY())=13, MONTH(TODAY())=8, YEAR(TODAY())=2027)</formula>
    </cfRule>
  </conditionalFormatting>
  <conditionalFormatting sqref="R16:R17">
    <cfRule type="expression" priority="20" dxfId="2">
      <formula>AND(DAY(TODAY())=14, MONTH(TODAY())=8, YEAR(TODAY())=2027)</formula>
    </cfRule>
  </conditionalFormatting>
  <conditionalFormatting sqref="S16:S17">
    <cfRule type="expression" priority="21" dxfId="2">
      <formula>AND(DAY(TODAY())=15, MONTH(TODAY())=8, YEAR(TODAY())=2027)</formula>
    </cfRule>
  </conditionalFormatting>
  <conditionalFormatting sqref="T16:T17">
    <cfRule type="expression" priority="22" dxfId="2">
      <formula>AND(DAY(TODAY())=16, MONTH(TODAY())=8, YEAR(TODAY())=2027)</formula>
    </cfRule>
  </conditionalFormatting>
  <conditionalFormatting sqref="U16:U17">
    <cfRule type="expression" priority="23" dxfId="2">
      <formula>AND(DAY(TODAY())=17, MONTH(TODAY())=8, YEAR(TODAY())=2027)</formula>
    </cfRule>
  </conditionalFormatting>
  <conditionalFormatting sqref="V16:V17">
    <cfRule type="expression" priority="24" dxfId="2">
      <formula>AND(DAY(TODAY())=18, MONTH(TODAY())=8, YEAR(TODAY())=2027)</formula>
    </cfRule>
  </conditionalFormatting>
  <conditionalFormatting sqref="W16:W17">
    <cfRule type="expression" priority="25" dxfId="2">
      <formula>AND(DAY(TODAY())=19, MONTH(TODAY())=8, YEAR(TODAY())=2027)</formula>
    </cfRule>
  </conditionalFormatting>
  <conditionalFormatting sqref="X16:X17">
    <cfRule type="expression" priority="26" dxfId="2">
      <formula>AND(DAY(TODAY())=20, MONTH(TODAY())=8, YEAR(TODAY())=2027)</formula>
    </cfRule>
  </conditionalFormatting>
  <conditionalFormatting sqref="Y16:Y17">
    <cfRule type="expression" priority="27" dxfId="2">
      <formula>AND(DAY(TODAY())=21, MONTH(TODAY())=8, YEAR(TODAY())=2027)</formula>
    </cfRule>
  </conditionalFormatting>
  <conditionalFormatting sqref="Z16:Z17">
    <cfRule type="expression" priority="28" dxfId="2">
      <formula>AND(DAY(TODAY())=22, MONTH(TODAY())=8, YEAR(TODAY())=2027)</formula>
    </cfRule>
  </conditionalFormatting>
  <conditionalFormatting sqref="AA16:AA17">
    <cfRule type="expression" priority="29" dxfId="2">
      <formula>AND(DAY(TODAY())=23, MONTH(TODAY())=8, YEAR(TODAY())=2027)</formula>
    </cfRule>
  </conditionalFormatting>
  <conditionalFormatting sqref="AB16:AB17">
    <cfRule type="expression" priority="30" dxfId="2">
      <formula>AND(DAY(TODAY())=24, MONTH(TODAY())=8, YEAR(TODAY())=2027)</formula>
    </cfRule>
  </conditionalFormatting>
  <conditionalFormatting sqref="AC16:AC17">
    <cfRule type="expression" priority="31" dxfId="2">
      <formula>AND(DAY(TODAY())=25, MONTH(TODAY())=8, YEAR(TODAY())=2027)</formula>
    </cfRule>
  </conditionalFormatting>
  <conditionalFormatting sqref="AD16:AD17">
    <cfRule type="expression" priority="32" dxfId="2">
      <formula>AND(DAY(TODAY())=26, MONTH(TODAY())=8, YEAR(TODAY())=2027)</formula>
    </cfRule>
  </conditionalFormatting>
  <conditionalFormatting sqref="AE16:AE17">
    <cfRule type="expression" priority="33" dxfId="2">
      <formula>AND(DAY(TODAY())=27, MONTH(TODAY())=8, YEAR(TODAY())=2027)</formula>
    </cfRule>
  </conditionalFormatting>
  <conditionalFormatting sqref="AF16:AF17">
    <cfRule type="expression" priority="34" dxfId="2">
      <formula>AND(DAY(TODAY())=28, MONTH(TODAY())=8, YEAR(TODAY())=2027)</formula>
    </cfRule>
  </conditionalFormatting>
  <conditionalFormatting sqref="AG16:AG17">
    <cfRule type="expression" priority="35" dxfId="2">
      <formula>AND(DAY(TODAY())=29, MONTH(TODAY())=8, YEAR(TODAY())=2027)</formula>
    </cfRule>
  </conditionalFormatting>
  <conditionalFormatting sqref="AH16:AH17">
    <cfRule type="expression" priority="36" dxfId="2">
      <formula>AND(DAY(TODAY())=30, MONTH(TODAY())=8, YEAR(TODAY())=2027)</formula>
    </cfRule>
  </conditionalFormatting>
  <conditionalFormatting sqref="AI16:AI17">
    <cfRule type="expression" priority="37" dxfId="2">
      <formula>AND(DAY(TODAY())=31, MONTH(TODAY())=8, YEAR(TODAY())=2027)</formula>
    </cfRule>
  </conditionalFormatting>
  <dataValidations count="4">
    <dataValidation sqref="C18:C37" showDropDown="0" showInputMessage="0" showErrorMessage="0" allowBlank="1" type="list">
      <formula1>"Health &amp; Fitness,Mindset &amp; Learning,Career &amp; Focus,Personal &amp; Home,Finance &amp; Wealth,Other"</formula1>
    </dataValidation>
    <dataValidation sqref="D18:D37" showDropDown="0" showInputMessage="0" showErrorMessage="0" allowBlank="1" type="list">
      <formula1>"1,2,3,4,5,6,7,8,9,10,11,12,13,14,15,16,17,18,19,20,21,22,23,24,25,26,27,28,29,30,31"</formula1>
    </dataValidation>
    <dataValidation sqref="E18:AI37" showDropDown="0" showInputMessage="0" showErrorMessage="0" allowBlank="1" type="list">
      <formula1>"✓,✗"</formula1>
    </dataValidation>
    <dataValidation sqref="E47:AI47" showDropDown="0" showInputMessage="0" showErrorMessage="0" allowBlank="1" type="list">
      <formula1>"1,2,3,4,5,6,7,8,9,10,11,12,13,14,15,16,17,18,19,20,21,22,23,24"</formula1>
    </dataValidation>
  </dataValidations>
  <hyperlinks>
    <hyperlink xmlns:r="http://schemas.openxmlformats.org/officeDocument/2006/relationships" ref="A1" r:id="rId1"/>
    <hyperlink xmlns:r="http://schemas.openxmlformats.org/officeDocument/2006/relationships" ref="C1" r:id="rId2"/>
    <hyperlink xmlns:r="http://schemas.openxmlformats.org/officeDocument/2006/relationships" ref="D1" r:id="rId3"/>
    <hyperlink xmlns:r="http://schemas.openxmlformats.org/officeDocument/2006/relationships" ref="E1" r:id="rId4"/>
    <hyperlink xmlns:r="http://schemas.openxmlformats.org/officeDocument/2006/relationships" ref="F1" r:id="rId5"/>
    <hyperlink xmlns:r="http://schemas.openxmlformats.org/officeDocument/2006/relationships" ref="G1" r:id="rId6"/>
    <hyperlink xmlns:r="http://schemas.openxmlformats.org/officeDocument/2006/relationships" ref="H1" r:id="rId7"/>
    <hyperlink xmlns:r="http://schemas.openxmlformats.org/officeDocument/2006/relationships" ref="I1" r:id="rId8"/>
    <hyperlink xmlns:r="http://schemas.openxmlformats.org/officeDocument/2006/relationships" ref="J1" r:id="rId9"/>
    <hyperlink xmlns:r="http://schemas.openxmlformats.org/officeDocument/2006/relationships" ref="K1" r:id="rId10"/>
  </hyperlinks>
  <printOptions horizontalCentered="1" verticalCentered="0"/>
  <pageMargins left="0.75" right="0.75" top="1" bottom="1" header="0.5" footer="0.5"/>
  <pageSetup orientation="landscape" paperSize="9" fitToHeight="0" fitToWidth="1"/>
  <drawing xmlns:r="http://schemas.openxmlformats.org/officeDocument/2006/relationships" r:id="rId11"/>
</worksheet>
</file>

<file path=xl/worksheets/sheet16.xml><?xml version="1.0" encoding="utf-8"?>
<worksheet xmlns="http://schemas.openxmlformats.org/spreadsheetml/2006/main">
  <sheetPr>
    <outlinePr summaryBelow="1" summaryRight="1"/>
    <pageSetUpPr fitToPage="1"/>
  </sheetPr>
  <dimension ref="A1:AL103"/>
  <sheetViews>
    <sheetView showGridLines="1" workbookViewId="0">
      <selection activeCell="A1" sqref="A1"/>
    </sheetView>
  </sheetViews>
  <sheetFormatPr baseColWidth="8" defaultRowHeight="15"/>
  <cols>
    <col width="6" customWidth="1" min="1" max="1"/>
    <col width="25" customWidth="1" min="2" max="2"/>
    <col width="16.5" customWidth="1" min="3" max="3"/>
    <col width="8" customWidth="1" min="4" max="4"/>
    <col width="4.8" customWidth="1" min="5" max="5"/>
    <col width="4.8" customWidth="1" min="6" max="6"/>
    <col width="4.8" customWidth="1" min="7" max="7"/>
    <col width="4.8" customWidth="1" min="8" max="8"/>
    <col width="4.8" customWidth="1" min="9" max="9"/>
    <col width="4.8" customWidth="1" min="10" max="10"/>
    <col width="4.8" customWidth="1" min="11" max="11"/>
    <col width="4.8" customWidth="1" min="12" max="12"/>
    <col width="4.8" customWidth="1" min="13" max="13"/>
    <col width="4.8" customWidth="1" min="14" max="14"/>
    <col width="4.8" customWidth="1" min="15" max="15"/>
    <col width="4.8" customWidth="1" min="16" max="16"/>
    <col width="4.8" customWidth="1" min="17" max="17"/>
    <col width="4.8" customWidth="1" min="18" max="18"/>
    <col width="4.8" customWidth="1" min="19" max="19"/>
    <col width="4.8" customWidth="1" min="20" max="20"/>
    <col width="4.8" customWidth="1" min="21" max="21"/>
    <col width="4.8" customWidth="1" min="22" max="22"/>
    <col width="4.8" customWidth="1" min="23" max="23"/>
    <col width="4.8" customWidth="1" min="24" max="24"/>
    <col width="4.8" customWidth="1" min="25" max="25"/>
    <col width="4.8" customWidth="1" min="26" max="26"/>
    <col width="4.8" customWidth="1" min="27" max="27"/>
    <col width="4.8" customWidth="1" min="28" max="28"/>
    <col width="4.8" customWidth="1" min="29" max="29"/>
    <col width="4.8" customWidth="1" min="30" max="30"/>
    <col width="4.8" customWidth="1" min="31" max="31"/>
    <col width="4.8" customWidth="1" min="32" max="32"/>
    <col width="4.8" customWidth="1" min="33" max="33"/>
    <col width="4.8" customWidth="1" min="34" max="34"/>
    <col width="11.5" customWidth="1" min="35" max="35"/>
    <col width="12" customWidth="1" min="36" max="36"/>
    <col width="13.5" customWidth="1" min="37" max="37"/>
    <col hidden="1" width="8" customWidth="1" min="38" max="38"/>
  </cols>
  <sheetData>
    <row r="1" ht="18" customHeight="1">
      <c r="A1" s="76" t="inlineStr">
        <is>
          <t>🏠 Master Dashboard</t>
        </is>
      </c>
      <c r="B1" s="40" t="n"/>
      <c r="C1" s="77" t="inlineStr">
        <is>
          <t>🏛️ Quarterly Hub</t>
        </is>
      </c>
      <c r="D1" s="78" t="inlineStr">
        <is>
          <t>📚 Habit Library</t>
        </is>
      </c>
      <c r="E1" s="80" t="inlineStr">
        <is>
          <t>2026</t>
        </is>
      </c>
      <c r="F1" s="79" t="inlineStr">
        <is>
          <t>2027</t>
        </is>
      </c>
      <c r="G1" s="80" t="inlineStr">
        <is>
          <t>2028</t>
        </is>
      </c>
      <c r="H1" s="80" t="inlineStr">
        <is>
          <t>2029</t>
        </is>
      </c>
      <c r="I1" s="80" t="inlineStr">
        <is>
          <t>2030</t>
        </is>
      </c>
      <c r="J1" s="82" t="inlineStr">
        <is>
          <t>◀ Prev</t>
        </is>
      </c>
      <c r="K1" s="82" t="inlineStr">
        <is>
          <t>Next ▶</t>
        </is>
      </c>
    </row>
    <row r="2" ht="24" customHeight="1">
      <c r="A2" s="83" t="inlineStr">
        <is>
          <t>Habit Tracker</t>
        </is>
      </c>
      <c r="H2" s="84" t="inlineStr">
        <is>
          <t>"Win the morning, win the day."</t>
        </is>
      </c>
      <c r="AD2" s="85" t="inlineStr">
        <is>
          <t>@surajvansh</t>
        </is>
      </c>
    </row>
    <row r="3" ht="18" customHeight="1">
      <c r="A3" s="86" t="inlineStr">
        <is>
          <t>September 2027</t>
        </is>
      </c>
      <c r="H3" s="87" t="inlineStr">
        <is>
          <t>30 Days Dashboard</t>
        </is>
      </c>
    </row>
    <row r="4" ht="5" customHeight="1"/>
    <row r="5" ht="16" customHeight="1">
      <c r="A5" s="88" t="inlineStr">
        <is>
          <t>MONTHLY TARGETS</t>
        </is>
      </c>
    </row>
    <row r="6" ht="13" customHeight="1">
      <c r="A6" s="89" t="inlineStr">
        <is>
          <t>1. ____________________ : ____________________</t>
        </is>
      </c>
      <c r="P6" s="89" t="inlineStr">
        <is>
          <t>5. ____________________ : ____________________</t>
        </is>
      </c>
    </row>
    <row r="7" ht="13" customHeight="1">
      <c r="A7" s="89" t="inlineStr">
        <is>
          <t>2. ____________________ : ____________________</t>
        </is>
      </c>
      <c r="P7" s="89" t="inlineStr">
        <is>
          <t>6. ____________________ : ____________________</t>
        </is>
      </c>
    </row>
    <row r="8" ht="13" customHeight="1">
      <c r="A8" s="89" t="inlineStr">
        <is>
          <t>3. ____________________ : ____________________</t>
        </is>
      </c>
      <c r="P8" s="89" t="inlineStr">
        <is>
          <t>7. ____________________ : ____________________</t>
        </is>
      </c>
    </row>
    <row r="9" ht="13" customHeight="1">
      <c r="A9" s="89" t="inlineStr">
        <is>
          <t>4. ____________________ : ____________________</t>
        </is>
      </c>
      <c r="P9" s="89" t="inlineStr">
        <is>
          <t>8. ____________________ : ____________________</t>
        </is>
      </c>
    </row>
    <row r="10" ht="5" customHeight="1"/>
    <row r="11" ht="15" customHeight="1">
      <c r="A11" s="88" t="inlineStr">
        <is>
          <t>NOTES:</t>
        </is>
      </c>
    </row>
    <row r="12" ht="13" customHeight="1">
      <c r="A12" s="90" t="n"/>
      <c r="B12" s="91" t="n"/>
      <c r="C12" s="91" t="n"/>
      <c r="D12" s="91" t="n"/>
      <c r="E12" s="91" t="n"/>
      <c r="F12" s="91" t="n"/>
      <c r="G12" s="91" t="n"/>
      <c r="H12" s="91" t="n"/>
      <c r="I12" s="91" t="n"/>
      <c r="J12" s="91" t="n"/>
      <c r="K12" s="91" t="n"/>
      <c r="L12" s="91" t="n"/>
      <c r="M12" s="91" t="n"/>
      <c r="N12" s="91" t="n"/>
      <c r="O12" s="91" t="n"/>
      <c r="P12" s="91" t="n"/>
      <c r="Q12" s="91" t="n"/>
      <c r="R12" s="91" t="n"/>
      <c r="S12" s="91" t="n"/>
      <c r="T12" s="91" t="n"/>
      <c r="U12" s="91" t="n"/>
      <c r="V12" s="91" t="n"/>
      <c r="W12" s="91" t="n"/>
      <c r="X12" s="91" t="n"/>
      <c r="Y12" s="91" t="n"/>
      <c r="Z12" s="91" t="n"/>
      <c r="AA12" s="91" t="n"/>
      <c r="AB12" s="91" t="n"/>
      <c r="AC12" s="91" t="n"/>
      <c r="AD12" s="91" t="n"/>
      <c r="AE12" s="91" t="n"/>
      <c r="AF12" s="91" t="n"/>
      <c r="AG12" s="91" t="n"/>
      <c r="AH12" s="91" t="n"/>
      <c r="AI12" s="91" t="n"/>
      <c r="AJ12" s="91" t="n"/>
      <c r="AK12" s="91" t="n"/>
    </row>
    <row r="13" ht="13" customHeight="1">
      <c r="A13" s="91" t="n"/>
      <c r="B13" s="91" t="n"/>
      <c r="C13" s="91" t="n"/>
      <c r="D13" s="91" t="n"/>
      <c r="E13" s="91" t="n"/>
      <c r="F13" s="91" t="n"/>
      <c r="G13" s="91" t="n"/>
      <c r="H13" s="91" t="n"/>
      <c r="I13" s="91" t="n"/>
      <c r="J13" s="91" t="n"/>
      <c r="K13" s="91" t="n"/>
      <c r="L13" s="91" t="n"/>
      <c r="M13" s="91" t="n"/>
      <c r="N13" s="91" t="n"/>
      <c r="O13" s="91" t="n"/>
      <c r="P13" s="91" t="n"/>
      <c r="Q13" s="91" t="n"/>
      <c r="R13" s="91" t="n"/>
      <c r="S13" s="91" t="n"/>
      <c r="T13" s="91" t="n"/>
      <c r="U13" s="91" t="n"/>
      <c r="V13" s="91" t="n"/>
      <c r="W13" s="91" t="n"/>
      <c r="X13" s="91" t="n"/>
      <c r="Y13" s="91" t="n"/>
      <c r="Z13" s="91" t="n"/>
      <c r="AA13" s="91" t="n"/>
      <c r="AB13" s="91" t="n"/>
      <c r="AC13" s="91" t="n"/>
      <c r="AD13" s="91" t="n"/>
      <c r="AE13" s="91" t="n"/>
      <c r="AF13" s="91" t="n"/>
      <c r="AG13" s="91" t="n"/>
      <c r="AH13" s="91" t="n"/>
      <c r="AI13" s="91" t="n"/>
      <c r="AJ13" s="91" t="n"/>
      <c r="AK13" s="91" t="n"/>
    </row>
    <row r="14" ht="13" customHeight="1">
      <c r="A14" s="91" t="n"/>
      <c r="B14" s="91" t="n"/>
      <c r="C14" s="91" t="n"/>
      <c r="D14" s="91" t="n"/>
      <c r="E14" s="91" t="n"/>
      <c r="F14" s="91" t="n"/>
      <c r="G14" s="91" t="n"/>
      <c r="H14" s="91" t="n"/>
      <c r="I14" s="91" t="n"/>
      <c r="J14" s="91" t="n"/>
      <c r="K14" s="91" t="n"/>
      <c r="L14" s="91" t="n"/>
      <c r="M14" s="91" t="n"/>
      <c r="N14" s="91" t="n"/>
      <c r="O14" s="91" t="n"/>
      <c r="P14" s="91" t="n"/>
      <c r="Q14" s="91" t="n"/>
      <c r="R14" s="91" t="n"/>
      <c r="S14" s="91" t="n"/>
      <c r="T14" s="91" t="n"/>
      <c r="U14" s="91" t="n"/>
      <c r="V14" s="91" t="n"/>
      <c r="W14" s="91" t="n"/>
      <c r="X14" s="91" t="n"/>
      <c r="Y14" s="91" t="n"/>
      <c r="Z14" s="91" t="n"/>
      <c r="AA14" s="91" t="n"/>
      <c r="AB14" s="91" t="n"/>
      <c r="AC14" s="91" t="n"/>
      <c r="AD14" s="91" t="n"/>
      <c r="AE14" s="91" t="n"/>
      <c r="AF14" s="91" t="n"/>
      <c r="AG14" s="91" t="n"/>
      <c r="AH14" s="91" t="n"/>
      <c r="AI14" s="91" t="n"/>
      <c r="AJ14" s="91" t="n"/>
      <c r="AK14" s="91" t="n"/>
    </row>
    <row r="15" ht="8" customHeight="1"/>
    <row r="16" ht="15" customHeight="1">
      <c r="A16" s="33" t="inlineStr">
        <is>
          <t>S.No.</t>
        </is>
      </c>
      <c r="B16" s="33" t="inlineStr">
        <is>
          <t>Protocols</t>
        </is>
      </c>
      <c r="C16" s="33" t="inlineStr">
        <is>
          <t>Category</t>
        </is>
      </c>
      <c r="D16" s="33" t="inlineStr">
        <is>
          <t>Target</t>
        </is>
      </c>
      <c r="E16" s="92" t="n">
        <v>1</v>
      </c>
      <c r="F16" s="92" t="n">
        <v>2</v>
      </c>
      <c r="G16" s="92" t="n">
        <v>3</v>
      </c>
      <c r="H16" s="92" t="n">
        <v>4</v>
      </c>
      <c r="I16" s="93" t="n">
        <v>5</v>
      </c>
      <c r="J16" s="92" t="n">
        <v>6</v>
      </c>
      <c r="K16" s="92" t="n">
        <v>7</v>
      </c>
      <c r="L16" s="92" t="n">
        <v>8</v>
      </c>
      <c r="M16" s="92" t="n">
        <v>9</v>
      </c>
      <c r="N16" s="92" t="n">
        <v>10</v>
      </c>
      <c r="O16" s="92" t="n">
        <v>11</v>
      </c>
      <c r="P16" s="93" t="n">
        <v>12</v>
      </c>
      <c r="Q16" s="92" t="n">
        <v>13</v>
      </c>
      <c r="R16" s="92" t="n">
        <v>14</v>
      </c>
      <c r="S16" s="92" t="n">
        <v>15</v>
      </c>
      <c r="T16" s="92" t="n">
        <v>16</v>
      </c>
      <c r="U16" s="92" t="n">
        <v>17</v>
      </c>
      <c r="V16" s="92" t="n">
        <v>18</v>
      </c>
      <c r="W16" s="93" t="n">
        <v>19</v>
      </c>
      <c r="X16" s="92" t="n">
        <v>20</v>
      </c>
      <c r="Y16" s="92" t="n">
        <v>21</v>
      </c>
      <c r="Z16" s="92" t="n">
        <v>22</v>
      </c>
      <c r="AA16" s="92" t="n">
        <v>23</v>
      </c>
      <c r="AB16" s="92" t="n">
        <v>24</v>
      </c>
      <c r="AC16" s="92" t="n">
        <v>25</v>
      </c>
      <c r="AD16" s="93" t="n">
        <v>26</v>
      </c>
      <c r="AE16" s="92" t="n">
        <v>27</v>
      </c>
      <c r="AF16" s="92" t="n">
        <v>28</v>
      </c>
      <c r="AG16" s="92" t="n">
        <v>29</v>
      </c>
      <c r="AH16" s="92" t="n">
        <v>30</v>
      </c>
      <c r="AI16" s="94" t="inlineStr">
        <is>
          <t>Success %</t>
        </is>
      </c>
      <c r="AJ16" s="94" t="inlineStr">
        <is>
          <t>Done / Target</t>
        </is>
      </c>
      <c r="AK16" s="94" t="inlineStr">
        <is>
          <t>Status</t>
        </is>
      </c>
      <c r="AL16" t="inlineStr">
        <is>
          <t>Done Count</t>
        </is>
      </c>
    </row>
    <row r="17" ht="15" customHeight="1">
      <c r="A17" s="54" t="n"/>
      <c r="B17" s="54" t="n"/>
      <c r="C17" s="54" t="n"/>
      <c r="D17" s="54" t="n"/>
      <c r="E17" s="95" t="inlineStr">
        <is>
          <t>W</t>
        </is>
      </c>
      <c r="F17" s="95" t="inlineStr">
        <is>
          <t>Th</t>
        </is>
      </c>
      <c r="G17" s="95" t="inlineStr">
        <is>
          <t>F</t>
        </is>
      </c>
      <c r="H17" s="95" t="inlineStr">
        <is>
          <t>Sa</t>
        </is>
      </c>
      <c r="I17" s="96" t="inlineStr">
        <is>
          <t>Su</t>
        </is>
      </c>
      <c r="J17" s="95" t="inlineStr">
        <is>
          <t>M</t>
        </is>
      </c>
      <c r="K17" s="95" t="inlineStr">
        <is>
          <t>T</t>
        </is>
      </c>
      <c r="L17" s="95" t="inlineStr">
        <is>
          <t>W</t>
        </is>
      </c>
      <c r="M17" s="95" t="inlineStr">
        <is>
          <t>Th</t>
        </is>
      </c>
      <c r="N17" s="95" t="inlineStr">
        <is>
          <t>F</t>
        </is>
      </c>
      <c r="O17" s="95" t="inlineStr">
        <is>
          <t>Sa</t>
        </is>
      </c>
      <c r="P17" s="96" t="inlineStr">
        <is>
          <t>Su</t>
        </is>
      </c>
      <c r="Q17" s="95" t="inlineStr">
        <is>
          <t>M</t>
        </is>
      </c>
      <c r="R17" s="95" t="inlineStr">
        <is>
          <t>T</t>
        </is>
      </c>
      <c r="S17" s="95" t="inlineStr">
        <is>
          <t>W</t>
        </is>
      </c>
      <c r="T17" s="95" t="inlineStr">
        <is>
          <t>Th</t>
        </is>
      </c>
      <c r="U17" s="95" t="inlineStr">
        <is>
          <t>F</t>
        </is>
      </c>
      <c r="V17" s="95" t="inlineStr">
        <is>
          <t>Sa</t>
        </is>
      </c>
      <c r="W17" s="96" t="inlineStr">
        <is>
          <t>Su</t>
        </is>
      </c>
      <c r="X17" s="95" t="inlineStr">
        <is>
          <t>M</t>
        </is>
      </c>
      <c r="Y17" s="95" t="inlineStr">
        <is>
          <t>T</t>
        </is>
      </c>
      <c r="Z17" s="95" t="inlineStr">
        <is>
          <t>W</t>
        </is>
      </c>
      <c r="AA17" s="95" t="inlineStr">
        <is>
          <t>Th</t>
        </is>
      </c>
      <c r="AB17" s="95" t="inlineStr">
        <is>
          <t>F</t>
        </is>
      </c>
      <c r="AC17" s="95" t="inlineStr">
        <is>
          <t>Sa</t>
        </is>
      </c>
      <c r="AD17" s="96" t="inlineStr">
        <is>
          <t>Su</t>
        </is>
      </c>
      <c r="AE17" s="95" t="inlineStr">
        <is>
          <t>M</t>
        </is>
      </c>
      <c r="AF17" s="95" t="inlineStr">
        <is>
          <t>T</t>
        </is>
      </c>
      <c r="AG17" s="95" t="inlineStr">
        <is>
          <t>W</t>
        </is>
      </c>
      <c r="AH17" s="95" t="inlineStr">
        <is>
          <t>Th</t>
        </is>
      </c>
      <c r="AI17" s="54" t="n"/>
      <c r="AJ17" s="54" t="n"/>
      <c r="AK17" s="54" t="n"/>
    </row>
    <row r="18" ht="14.5" customHeight="1">
      <c r="A18" s="97" t="n">
        <v>1</v>
      </c>
      <c r="B18" s="98" t="n"/>
      <c r="C18" s="99" t="n"/>
      <c r="D18" s="99" t="n"/>
      <c r="E18" s="100" t="n"/>
      <c r="F18" s="100" t="n"/>
      <c r="G18" s="100" t="n"/>
      <c r="H18" s="100" t="n"/>
      <c r="I18" s="101" t="n"/>
      <c r="J18" s="100" t="n"/>
      <c r="K18" s="100" t="n"/>
      <c r="L18" s="100" t="n"/>
      <c r="M18" s="100" t="n"/>
      <c r="N18" s="100" t="n"/>
      <c r="O18" s="100" t="n"/>
      <c r="P18" s="101" t="n"/>
      <c r="Q18" s="100" t="n"/>
      <c r="R18" s="100" t="n"/>
      <c r="S18" s="100" t="n"/>
      <c r="T18" s="100" t="n"/>
      <c r="U18" s="100" t="n"/>
      <c r="V18" s="100" t="n"/>
      <c r="W18" s="101" t="n"/>
      <c r="X18" s="100" t="n"/>
      <c r="Y18" s="100" t="n"/>
      <c r="Z18" s="100" t="n"/>
      <c r="AA18" s="100" t="n"/>
      <c r="AB18" s="100" t="n"/>
      <c r="AC18" s="100" t="n"/>
      <c r="AD18" s="101" t="n"/>
      <c r="AE18" s="100" t="n"/>
      <c r="AF18" s="100" t="n"/>
      <c r="AG18" s="100" t="n"/>
      <c r="AH18" s="100" t="n"/>
      <c r="AI18" s="102">
        <f>IF(ISBLANK(B18), "", IF(ISNUMBER(D18), IF(D18&gt;0, (COUNTIF(E18:AH18, "✓") + COUNTIF(E18:AH18, "✔") + COUNTIF(E18:AH18, "v") + COUNTIF(E18:AH18, "V"))/D18, 0), IF(((COUNTIF(E18:AH18, "✓") + COUNTIF(E18:AH18, "✔") + COUNTIF(E18:AH18, "v") + COUNTIF(E18:AH18, "V")) + COUNTIF(E18:AH18, "✗") + COUNTIF(E18:AH18, "x") + COUNTIF(E18:AH18, "X"))&gt;0, (COUNTIF(E18:AH18, "✓") + COUNTIF(E18:AH18, "✔") + COUNTIF(E18:AH18, "v") + COUNTIF(E18:AH18, "V"))/((COUNTIF(E18:AH18, "✓") + COUNTIF(E18:AH18, "✔") + COUNTIF(E18:AH18, "v") + COUNTIF(E18:AH18, "V")) + COUNTIF(E18:AH18, "✗") + COUNTIF(E18:AH18, "x") + COUNTIF(E18:AH18, "X")), "")))</f>
        <v/>
      </c>
      <c r="AJ18" s="103">
        <f>IF(ISBLANK(B18), "", IF(ISNUMBER(D18), IF(D18&gt;0, (COUNTIF(E18:AH18, "✓") + COUNTIF(E18:AH18, "✔") + COUNTIF(E18:AH18, "v") + COUNTIF(E18:AH18, "V")) &amp; "/" &amp; D18, (COUNTIF(E18:AH18, "✓") + COUNTIF(E18:AH18, "✔") + COUNTIF(E18:AH18, "v") + COUNTIF(E18:AH18, "V")) &amp; "/0"), IF(((COUNTIF(E18:AH18, "✓") + COUNTIF(E18:AH18, "✔") + COUNTIF(E18:AH18, "v") + COUNTIF(E18:AH18, "V")) + COUNTIF(E18:AH18, "✗") + COUNTIF(E18:AH18, "x") + COUNTIF(E18:AH18, "X"))&gt;0, (COUNTIF(E18:AH18, "✓") + COUNTIF(E18:AH18, "✔") + COUNTIF(E18:AH18, "v") + COUNTIF(E18:AH18, "V")) &amp; "/" &amp; ((COUNTIF(E18:AH18, "✓") + COUNTIF(E18:AH18, "✔") + COUNTIF(E18:AH18, "v") + COUNTIF(E18:AH18, "V")) + COUNTIF(E18:AH18, "✗") + COUNTIF(E18:AH18, "x") + COUNTIF(E18:AH18, "X")), "")))</f>
        <v/>
      </c>
      <c r="AK18" s="103">
        <f>IF(ISBLANK(B18), "", IF(AI18&gt;=0.85, "🔥 Mastered", IF(AI18&gt;=0.7, "⚡ Consistent", "⚠️ Needs Focus")))</f>
        <v/>
      </c>
      <c r="AL18">
        <f>COUNTIF(E18:AH18, "✓")</f>
        <v/>
      </c>
    </row>
    <row r="19" ht="14.5" customHeight="1">
      <c r="A19" s="97" t="n">
        <v>2</v>
      </c>
      <c r="B19" s="98" t="n"/>
      <c r="C19" s="99" t="n"/>
      <c r="D19" s="99" t="n"/>
      <c r="E19" s="100" t="n"/>
      <c r="F19" s="100" t="n"/>
      <c r="G19" s="100" t="n"/>
      <c r="H19" s="100" t="n"/>
      <c r="I19" s="101" t="n"/>
      <c r="J19" s="100" t="n"/>
      <c r="K19" s="100" t="n"/>
      <c r="L19" s="100" t="n"/>
      <c r="M19" s="100" t="n"/>
      <c r="N19" s="100" t="n"/>
      <c r="O19" s="100" t="n"/>
      <c r="P19" s="101" t="n"/>
      <c r="Q19" s="100" t="n"/>
      <c r="R19" s="100" t="n"/>
      <c r="S19" s="100" t="n"/>
      <c r="T19" s="100" t="n"/>
      <c r="U19" s="100" t="n"/>
      <c r="V19" s="100" t="n"/>
      <c r="W19" s="101" t="n"/>
      <c r="X19" s="100" t="n"/>
      <c r="Y19" s="100" t="n"/>
      <c r="Z19" s="100" t="n"/>
      <c r="AA19" s="100" t="n"/>
      <c r="AB19" s="100" t="n"/>
      <c r="AC19" s="100" t="n"/>
      <c r="AD19" s="101" t="n"/>
      <c r="AE19" s="100" t="n"/>
      <c r="AF19" s="100" t="n"/>
      <c r="AG19" s="100" t="n"/>
      <c r="AH19" s="100" t="n"/>
      <c r="AI19" s="102">
        <f>IF(ISBLANK(B19), "", IF(ISNUMBER(D19), IF(D19&gt;0, (COUNTIF(E19:AH19, "✓") + COUNTIF(E19:AH19, "✔") + COUNTIF(E19:AH19, "v") + COUNTIF(E19:AH19, "V"))/D19, 0), IF(((COUNTIF(E19:AH19, "✓") + COUNTIF(E19:AH19, "✔") + COUNTIF(E19:AH19, "v") + COUNTIF(E19:AH19, "V")) + COUNTIF(E19:AH19, "✗") + COUNTIF(E19:AH19, "x") + COUNTIF(E19:AH19, "X"))&gt;0, (COUNTIF(E19:AH19, "✓") + COUNTIF(E19:AH19, "✔") + COUNTIF(E19:AH19, "v") + COUNTIF(E19:AH19, "V"))/((COUNTIF(E19:AH19, "✓") + COUNTIF(E19:AH19, "✔") + COUNTIF(E19:AH19, "v") + COUNTIF(E19:AH19, "V")) + COUNTIF(E19:AH19, "✗") + COUNTIF(E19:AH19, "x") + COUNTIF(E19:AH19, "X")), "")))</f>
        <v/>
      </c>
      <c r="AJ19" s="103">
        <f>IF(ISBLANK(B19), "", IF(ISNUMBER(D19), IF(D19&gt;0, (COUNTIF(E19:AH19, "✓") + COUNTIF(E19:AH19, "✔") + COUNTIF(E19:AH19, "v") + COUNTIF(E19:AH19, "V")) &amp; "/" &amp; D19, (COUNTIF(E19:AH19, "✓") + COUNTIF(E19:AH19, "✔") + COUNTIF(E19:AH19, "v") + COUNTIF(E19:AH19, "V")) &amp; "/0"), IF(((COUNTIF(E19:AH19, "✓") + COUNTIF(E19:AH19, "✔") + COUNTIF(E19:AH19, "v") + COUNTIF(E19:AH19, "V")) + COUNTIF(E19:AH19, "✗") + COUNTIF(E19:AH19, "x") + COUNTIF(E19:AH19, "X"))&gt;0, (COUNTIF(E19:AH19, "✓") + COUNTIF(E19:AH19, "✔") + COUNTIF(E19:AH19, "v") + COUNTIF(E19:AH19, "V")) &amp; "/" &amp; ((COUNTIF(E19:AH19, "✓") + COUNTIF(E19:AH19, "✔") + COUNTIF(E19:AH19, "v") + COUNTIF(E19:AH19, "V")) + COUNTIF(E19:AH19, "✗") + COUNTIF(E19:AH19, "x") + COUNTIF(E19:AH19, "X")), "")))</f>
        <v/>
      </c>
      <c r="AK19" s="103">
        <f>IF(ISBLANK(B19), "", IF(AI19&gt;=0.85, "🔥 Mastered", IF(AI19&gt;=0.7, "⚡ Consistent", "⚠️ Needs Focus")))</f>
        <v/>
      </c>
      <c r="AL19">
        <f>COUNTIF(E19:AH19, "✓")</f>
        <v/>
      </c>
    </row>
    <row r="20" ht="14.5" customHeight="1">
      <c r="A20" s="97" t="n">
        <v>3</v>
      </c>
      <c r="B20" s="98" t="n"/>
      <c r="C20" s="99" t="n"/>
      <c r="D20" s="99" t="n"/>
      <c r="E20" s="100" t="n"/>
      <c r="F20" s="100" t="n"/>
      <c r="G20" s="100" t="n"/>
      <c r="H20" s="100" t="n"/>
      <c r="I20" s="101" t="n"/>
      <c r="J20" s="100" t="n"/>
      <c r="K20" s="100" t="n"/>
      <c r="L20" s="100" t="n"/>
      <c r="M20" s="100" t="n"/>
      <c r="N20" s="100" t="n"/>
      <c r="O20" s="100" t="n"/>
      <c r="P20" s="101" t="n"/>
      <c r="Q20" s="100" t="n"/>
      <c r="R20" s="100" t="n"/>
      <c r="S20" s="100" t="n"/>
      <c r="T20" s="100" t="n"/>
      <c r="U20" s="100" t="n"/>
      <c r="V20" s="100" t="n"/>
      <c r="W20" s="101" t="n"/>
      <c r="X20" s="100" t="n"/>
      <c r="Y20" s="100" t="n"/>
      <c r="Z20" s="100" t="n"/>
      <c r="AA20" s="100" t="n"/>
      <c r="AB20" s="100" t="n"/>
      <c r="AC20" s="100" t="n"/>
      <c r="AD20" s="101" t="n"/>
      <c r="AE20" s="100" t="n"/>
      <c r="AF20" s="100" t="n"/>
      <c r="AG20" s="100" t="n"/>
      <c r="AH20" s="100" t="n"/>
      <c r="AI20" s="102">
        <f>IF(ISBLANK(B20), "", IF(ISNUMBER(D20), IF(D20&gt;0, (COUNTIF(E20:AH20, "✓") + COUNTIF(E20:AH20, "✔") + COUNTIF(E20:AH20, "v") + COUNTIF(E20:AH20, "V"))/D20, 0), IF(((COUNTIF(E20:AH20, "✓") + COUNTIF(E20:AH20, "✔") + COUNTIF(E20:AH20, "v") + COUNTIF(E20:AH20, "V")) + COUNTIF(E20:AH20, "✗") + COUNTIF(E20:AH20, "x") + COUNTIF(E20:AH20, "X"))&gt;0, (COUNTIF(E20:AH20, "✓") + COUNTIF(E20:AH20, "✔") + COUNTIF(E20:AH20, "v") + COUNTIF(E20:AH20, "V"))/((COUNTIF(E20:AH20, "✓") + COUNTIF(E20:AH20, "✔") + COUNTIF(E20:AH20, "v") + COUNTIF(E20:AH20, "V")) + COUNTIF(E20:AH20, "✗") + COUNTIF(E20:AH20, "x") + COUNTIF(E20:AH20, "X")), "")))</f>
        <v/>
      </c>
      <c r="AJ20" s="103">
        <f>IF(ISBLANK(B20), "", IF(ISNUMBER(D20), IF(D20&gt;0, (COUNTIF(E20:AH20, "✓") + COUNTIF(E20:AH20, "✔") + COUNTIF(E20:AH20, "v") + COUNTIF(E20:AH20, "V")) &amp; "/" &amp; D20, (COUNTIF(E20:AH20, "✓") + COUNTIF(E20:AH20, "✔") + COUNTIF(E20:AH20, "v") + COUNTIF(E20:AH20, "V")) &amp; "/0"), IF(((COUNTIF(E20:AH20, "✓") + COUNTIF(E20:AH20, "✔") + COUNTIF(E20:AH20, "v") + COUNTIF(E20:AH20, "V")) + COUNTIF(E20:AH20, "✗") + COUNTIF(E20:AH20, "x") + COUNTIF(E20:AH20, "X"))&gt;0, (COUNTIF(E20:AH20, "✓") + COUNTIF(E20:AH20, "✔") + COUNTIF(E20:AH20, "v") + COUNTIF(E20:AH20, "V")) &amp; "/" &amp; ((COUNTIF(E20:AH20, "✓") + COUNTIF(E20:AH20, "✔") + COUNTIF(E20:AH20, "v") + COUNTIF(E20:AH20, "V")) + COUNTIF(E20:AH20, "✗") + COUNTIF(E20:AH20, "x") + COUNTIF(E20:AH20, "X")), "")))</f>
        <v/>
      </c>
      <c r="AK20" s="103">
        <f>IF(ISBLANK(B20), "", IF(AI20&gt;=0.85, "🔥 Mastered", IF(AI20&gt;=0.7, "⚡ Consistent", "⚠️ Needs Focus")))</f>
        <v/>
      </c>
      <c r="AL20">
        <f>COUNTIF(E20:AH20, "✓")</f>
        <v/>
      </c>
    </row>
    <row r="21" ht="14.5" customHeight="1">
      <c r="A21" s="97" t="n">
        <v>4</v>
      </c>
      <c r="B21" s="98" t="n"/>
      <c r="C21" s="99" t="n"/>
      <c r="D21" s="99" t="n"/>
      <c r="E21" s="100" t="n"/>
      <c r="F21" s="100" t="n"/>
      <c r="G21" s="100" t="n"/>
      <c r="H21" s="100" t="n"/>
      <c r="I21" s="101" t="n"/>
      <c r="J21" s="100" t="n"/>
      <c r="K21" s="100" t="n"/>
      <c r="L21" s="100" t="n"/>
      <c r="M21" s="100" t="n"/>
      <c r="N21" s="100" t="n"/>
      <c r="O21" s="100" t="n"/>
      <c r="P21" s="101" t="n"/>
      <c r="Q21" s="100" t="n"/>
      <c r="R21" s="100" t="n"/>
      <c r="S21" s="100" t="n"/>
      <c r="T21" s="100" t="n"/>
      <c r="U21" s="100" t="n"/>
      <c r="V21" s="100" t="n"/>
      <c r="W21" s="101" t="n"/>
      <c r="X21" s="100" t="n"/>
      <c r="Y21" s="100" t="n"/>
      <c r="Z21" s="100" t="n"/>
      <c r="AA21" s="100" t="n"/>
      <c r="AB21" s="100" t="n"/>
      <c r="AC21" s="100" t="n"/>
      <c r="AD21" s="101" t="n"/>
      <c r="AE21" s="100" t="n"/>
      <c r="AF21" s="100" t="n"/>
      <c r="AG21" s="100" t="n"/>
      <c r="AH21" s="100" t="n"/>
      <c r="AI21" s="102">
        <f>IF(ISBLANK(B21), "", IF(ISNUMBER(D21), IF(D21&gt;0, (COUNTIF(E21:AH21, "✓") + COUNTIF(E21:AH21, "✔") + COUNTIF(E21:AH21, "v") + COUNTIF(E21:AH21, "V"))/D21, 0), IF(((COUNTIF(E21:AH21, "✓") + COUNTIF(E21:AH21, "✔") + COUNTIF(E21:AH21, "v") + COUNTIF(E21:AH21, "V")) + COUNTIF(E21:AH21, "✗") + COUNTIF(E21:AH21, "x") + COUNTIF(E21:AH21, "X"))&gt;0, (COUNTIF(E21:AH21, "✓") + COUNTIF(E21:AH21, "✔") + COUNTIF(E21:AH21, "v") + COUNTIF(E21:AH21, "V"))/((COUNTIF(E21:AH21, "✓") + COUNTIF(E21:AH21, "✔") + COUNTIF(E21:AH21, "v") + COUNTIF(E21:AH21, "V")) + COUNTIF(E21:AH21, "✗") + COUNTIF(E21:AH21, "x") + COUNTIF(E21:AH21, "X")), "")))</f>
        <v/>
      </c>
      <c r="AJ21" s="103">
        <f>IF(ISBLANK(B21), "", IF(ISNUMBER(D21), IF(D21&gt;0, (COUNTIF(E21:AH21, "✓") + COUNTIF(E21:AH21, "✔") + COUNTIF(E21:AH21, "v") + COUNTIF(E21:AH21, "V")) &amp; "/" &amp; D21, (COUNTIF(E21:AH21, "✓") + COUNTIF(E21:AH21, "✔") + COUNTIF(E21:AH21, "v") + COUNTIF(E21:AH21, "V")) &amp; "/0"), IF(((COUNTIF(E21:AH21, "✓") + COUNTIF(E21:AH21, "✔") + COUNTIF(E21:AH21, "v") + COUNTIF(E21:AH21, "V")) + COUNTIF(E21:AH21, "✗") + COUNTIF(E21:AH21, "x") + COUNTIF(E21:AH21, "X"))&gt;0, (COUNTIF(E21:AH21, "✓") + COUNTIF(E21:AH21, "✔") + COUNTIF(E21:AH21, "v") + COUNTIF(E21:AH21, "V")) &amp; "/" &amp; ((COUNTIF(E21:AH21, "✓") + COUNTIF(E21:AH21, "✔") + COUNTIF(E21:AH21, "v") + COUNTIF(E21:AH21, "V")) + COUNTIF(E21:AH21, "✗") + COUNTIF(E21:AH21, "x") + COUNTIF(E21:AH21, "X")), "")))</f>
        <v/>
      </c>
      <c r="AK21" s="103">
        <f>IF(ISBLANK(B21), "", IF(AI21&gt;=0.85, "🔥 Mastered", IF(AI21&gt;=0.7, "⚡ Consistent", "⚠️ Needs Focus")))</f>
        <v/>
      </c>
      <c r="AL21">
        <f>COUNTIF(E21:AH21, "✓")</f>
        <v/>
      </c>
    </row>
    <row r="22" ht="14.5" customHeight="1">
      <c r="A22" s="104" t="n">
        <v>5</v>
      </c>
      <c r="B22" s="105" t="n"/>
      <c r="C22" s="106" t="n"/>
      <c r="D22" s="106" t="n"/>
      <c r="E22" s="107" t="n"/>
      <c r="F22" s="107" t="n"/>
      <c r="G22" s="107" t="n"/>
      <c r="H22" s="107" t="n"/>
      <c r="I22" s="108" t="n"/>
      <c r="J22" s="107" t="n"/>
      <c r="K22" s="107" t="n"/>
      <c r="L22" s="107" t="n"/>
      <c r="M22" s="107" t="n"/>
      <c r="N22" s="107" t="n"/>
      <c r="O22" s="107" t="n"/>
      <c r="P22" s="108" t="n"/>
      <c r="Q22" s="107" t="n"/>
      <c r="R22" s="107" t="n"/>
      <c r="S22" s="107" t="n"/>
      <c r="T22" s="107" t="n"/>
      <c r="U22" s="107" t="n"/>
      <c r="V22" s="107" t="n"/>
      <c r="W22" s="108" t="n"/>
      <c r="X22" s="107" t="n"/>
      <c r="Y22" s="107" t="n"/>
      <c r="Z22" s="107" t="n"/>
      <c r="AA22" s="107" t="n"/>
      <c r="AB22" s="107" t="n"/>
      <c r="AC22" s="107" t="n"/>
      <c r="AD22" s="108" t="n"/>
      <c r="AE22" s="107" t="n"/>
      <c r="AF22" s="107" t="n"/>
      <c r="AG22" s="107" t="n"/>
      <c r="AH22" s="107" t="n"/>
      <c r="AI22" s="109">
        <f>IF(ISBLANK(B22), "", IF(ISNUMBER(D22), IF(D22&gt;0, (COUNTIF(E22:AH22, "✓") + COUNTIF(E22:AH22, "✔") + COUNTIF(E22:AH22, "v") + COUNTIF(E22:AH22, "V"))/D22, 0), IF(((COUNTIF(E22:AH22, "✓") + COUNTIF(E22:AH22, "✔") + COUNTIF(E22:AH22, "v") + COUNTIF(E22:AH22, "V")) + COUNTIF(E22:AH22, "✗") + COUNTIF(E22:AH22, "x") + COUNTIF(E22:AH22, "X"))&gt;0, (COUNTIF(E22:AH22, "✓") + COUNTIF(E22:AH22, "✔") + COUNTIF(E22:AH22, "v") + COUNTIF(E22:AH22, "V"))/((COUNTIF(E22:AH22, "✓") + COUNTIF(E22:AH22, "✔") + COUNTIF(E22:AH22, "v") + COUNTIF(E22:AH22, "V")) + COUNTIF(E22:AH22, "✗") + COUNTIF(E22:AH22, "x") + COUNTIF(E22:AH22, "X")), "")))</f>
        <v/>
      </c>
      <c r="AJ22" s="110">
        <f>IF(ISBLANK(B22), "", IF(ISNUMBER(D22), IF(D22&gt;0, (COUNTIF(E22:AH22, "✓") + COUNTIF(E22:AH22, "✔") + COUNTIF(E22:AH22, "v") + COUNTIF(E22:AH22, "V")) &amp; "/" &amp; D22, (COUNTIF(E22:AH22, "✓") + COUNTIF(E22:AH22, "✔") + COUNTIF(E22:AH22, "v") + COUNTIF(E22:AH22, "V")) &amp; "/0"), IF(((COUNTIF(E22:AH22, "✓") + COUNTIF(E22:AH22, "✔") + COUNTIF(E22:AH22, "v") + COUNTIF(E22:AH22, "V")) + COUNTIF(E22:AH22, "✗") + COUNTIF(E22:AH22, "x") + COUNTIF(E22:AH22, "X"))&gt;0, (COUNTIF(E22:AH22, "✓") + COUNTIF(E22:AH22, "✔") + COUNTIF(E22:AH22, "v") + COUNTIF(E22:AH22, "V")) &amp; "/" &amp; ((COUNTIF(E22:AH22, "✓") + COUNTIF(E22:AH22, "✔") + COUNTIF(E22:AH22, "v") + COUNTIF(E22:AH22, "V")) + COUNTIF(E22:AH22, "✗") + COUNTIF(E22:AH22, "x") + COUNTIF(E22:AH22, "X")), "")))</f>
        <v/>
      </c>
      <c r="AK22" s="110">
        <f>IF(ISBLANK(B22), "", IF(AI22&gt;=0.85, "🔥 Mastered", IF(AI22&gt;=0.7, "⚡ Consistent", "⚠️ Needs Focus")))</f>
        <v/>
      </c>
      <c r="AL22">
        <f>COUNTIF(E22:AH22, "✓")</f>
        <v/>
      </c>
    </row>
    <row r="23" ht="14.5" customHeight="1">
      <c r="A23" s="104" t="n">
        <v>6</v>
      </c>
      <c r="B23" s="105" t="n"/>
      <c r="C23" s="106" t="n"/>
      <c r="D23" s="106" t="n"/>
      <c r="E23" s="107" t="n"/>
      <c r="F23" s="107" t="n"/>
      <c r="G23" s="107" t="n"/>
      <c r="H23" s="107" t="n"/>
      <c r="I23" s="108" t="n"/>
      <c r="J23" s="107" t="n"/>
      <c r="K23" s="107" t="n"/>
      <c r="L23" s="107" t="n"/>
      <c r="M23" s="107" t="n"/>
      <c r="N23" s="107" t="n"/>
      <c r="O23" s="107" t="n"/>
      <c r="P23" s="108" t="n"/>
      <c r="Q23" s="107" t="n"/>
      <c r="R23" s="107" t="n"/>
      <c r="S23" s="107" t="n"/>
      <c r="T23" s="107" t="n"/>
      <c r="U23" s="107" t="n"/>
      <c r="V23" s="107" t="n"/>
      <c r="W23" s="108" t="n"/>
      <c r="X23" s="107" t="n"/>
      <c r="Y23" s="107" t="n"/>
      <c r="Z23" s="107" t="n"/>
      <c r="AA23" s="107" t="n"/>
      <c r="AB23" s="107" t="n"/>
      <c r="AC23" s="107" t="n"/>
      <c r="AD23" s="108" t="n"/>
      <c r="AE23" s="107" t="n"/>
      <c r="AF23" s="107" t="n"/>
      <c r="AG23" s="107" t="n"/>
      <c r="AH23" s="107" t="n"/>
      <c r="AI23" s="109">
        <f>IF(ISBLANK(B23), "", IF(ISNUMBER(D23), IF(D23&gt;0, (COUNTIF(E23:AH23, "✓") + COUNTIF(E23:AH23, "✔") + COUNTIF(E23:AH23, "v") + COUNTIF(E23:AH23, "V"))/D23, 0), IF(((COUNTIF(E23:AH23, "✓") + COUNTIF(E23:AH23, "✔") + COUNTIF(E23:AH23, "v") + COUNTIF(E23:AH23, "V")) + COUNTIF(E23:AH23, "✗") + COUNTIF(E23:AH23, "x") + COUNTIF(E23:AH23, "X"))&gt;0, (COUNTIF(E23:AH23, "✓") + COUNTIF(E23:AH23, "✔") + COUNTIF(E23:AH23, "v") + COUNTIF(E23:AH23, "V"))/((COUNTIF(E23:AH23, "✓") + COUNTIF(E23:AH23, "✔") + COUNTIF(E23:AH23, "v") + COUNTIF(E23:AH23, "V")) + COUNTIF(E23:AH23, "✗") + COUNTIF(E23:AH23, "x") + COUNTIF(E23:AH23, "X")), "")))</f>
        <v/>
      </c>
      <c r="AJ23" s="110">
        <f>IF(ISBLANK(B23), "", IF(ISNUMBER(D23), IF(D23&gt;0, (COUNTIF(E23:AH23, "✓") + COUNTIF(E23:AH23, "✔") + COUNTIF(E23:AH23, "v") + COUNTIF(E23:AH23, "V")) &amp; "/" &amp; D23, (COUNTIF(E23:AH23, "✓") + COUNTIF(E23:AH23, "✔") + COUNTIF(E23:AH23, "v") + COUNTIF(E23:AH23, "V")) &amp; "/0"), IF(((COUNTIF(E23:AH23, "✓") + COUNTIF(E23:AH23, "✔") + COUNTIF(E23:AH23, "v") + COUNTIF(E23:AH23, "V")) + COUNTIF(E23:AH23, "✗") + COUNTIF(E23:AH23, "x") + COUNTIF(E23:AH23, "X"))&gt;0, (COUNTIF(E23:AH23, "✓") + COUNTIF(E23:AH23, "✔") + COUNTIF(E23:AH23, "v") + COUNTIF(E23:AH23, "V")) &amp; "/" &amp; ((COUNTIF(E23:AH23, "✓") + COUNTIF(E23:AH23, "✔") + COUNTIF(E23:AH23, "v") + COUNTIF(E23:AH23, "V")) + COUNTIF(E23:AH23, "✗") + COUNTIF(E23:AH23, "x") + COUNTIF(E23:AH23, "X")), "")))</f>
        <v/>
      </c>
      <c r="AK23" s="110">
        <f>IF(ISBLANK(B23), "", IF(AI23&gt;=0.85, "🔥 Mastered", IF(AI23&gt;=0.7, "⚡ Consistent", "⚠️ Needs Focus")))</f>
        <v/>
      </c>
      <c r="AL23">
        <f>COUNTIF(E23:AH23, "✓")</f>
        <v/>
      </c>
    </row>
    <row r="24" ht="14.5" customHeight="1">
      <c r="A24" s="104" t="n">
        <v>7</v>
      </c>
      <c r="B24" s="105" t="n"/>
      <c r="C24" s="106" t="n"/>
      <c r="D24" s="106" t="n"/>
      <c r="E24" s="107" t="n"/>
      <c r="F24" s="107" t="n"/>
      <c r="G24" s="107" t="n"/>
      <c r="H24" s="107" t="n"/>
      <c r="I24" s="108" t="n"/>
      <c r="J24" s="107" t="n"/>
      <c r="K24" s="107" t="n"/>
      <c r="L24" s="107" t="n"/>
      <c r="M24" s="107" t="n"/>
      <c r="N24" s="107" t="n"/>
      <c r="O24" s="107" t="n"/>
      <c r="P24" s="108" t="n"/>
      <c r="Q24" s="107" t="n"/>
      <c r="R24" s="107" t="n"/>
      <c r="S24" s="107" t="n"/>
      <c r="T24" s="107" t="n"/>
      <c r="U24" s="107" t="n"/>
      <c r="V24" s="107" t="n"/>
      <c r="W24" s="108" t="n"/>
      <c r="X24" s="107" t="n"/>
      <c r="Y24" s="107" t="n"/>
      <c r="Z24" s="107" t="n"/>
      <c r="AA24" s="107" t="n"/>
      <c r="AB24" s="107" t="n"/>
      <c r="AC24" s="107" t="n"/>
      <c r="AD24" s="108" t="n"/>
      <c r="AE24" s="107" t="n"/>
      <c r="AF24" s="107" t="n"/>
      <c r="AG24" s="107" t="n"/>
      <c r="AH24" s="107" t="n"/>
      <c r="AI24" s="109">
        <f>IF(ISBLANK(B24), "", IF(ISNUMBER(D24), IF(D24&gt;0, (COUNTIF(E24:AH24, "✓") + COUNTIF(E24:AH24, "✔") + COUNTIF(E24:AH24, "v") + COUNTIF(E24:AH24, "V"))/D24, 0), IF(((COUNTIF(E24:AH24, "✓") + COUNTIF(E24:AH24, "✔") + COUNTIF(E24:AH24, "v") + COUNTIF(E24:AH24, "V")) + COUNTIF(E24:AH24, "✗") + COUNTIF(E24:AH24, "x") + COUNTIF(E24:AH24, "X"))&gt;0, (COUNTIF(E24:AH24, "✓") + COUNTIF(E24:AH24, "✔") + COUNTIF(E24:AH24, "v") + COUNTIF(E24:AH24, "V"))/((COUNTIF(E24:AH24, "✓") + COUNTIF(E24:AH24, "✔") + COUNTIF(E24:AH24, "v") + COUNTIF(E24:AH24, "V")) + COUNTIF(E24:AH24, "✗") + COUNTIF(E24:AH24, "x") + COUNTIF(E24:AH24, "X")), "")))</f>
        <v/>
      </c>
      <c r="AJ24" s="110">
        <f>IF(ISBLANK(B24), "", IF(ISNUMBER(D24), IF(D24&gt;0, (COUNTIF(E24:AH24, "✓") + COUNTIF(E24:AH24, "✔") + COUNTIF(E24:AH24, "v") + COUNTIF(E24:AH24, "V")) &amp; "/" &amp; D24, (COUNTIF(E24:AH24, "✓") + COUNTIF(E24:AH24, "✔") + COUNTIF(E24:AH24, "v") + COUNTIF(E24:AH24, "V")) &amp; "/0"), IF(((COUNTIF(E24:AH24, "✓") + COUNTIF(E24:AH24, "✔") + COUNTIF(E24:AH24, "v") + COUNTIF(E24:AH24, "V")) + COUNTIF(E24:AH24, "✗") + COUNTIF(E24:AH24, "x") + COUNTIF(E24:AH24, "X"))&gt;0, (COUNTIF(E24:AH24, "✓") + COUNTIF(E24:AH24, "✔") + COUNTIF(E24:AH24, "v") + COUNTIF(E24:AH24, "V")) &amp; "/" &amp; ((COUNTIF(E24:AH24, "✓") + COUNTIF(E24:AH24, "✔") + COUNTIF(E24:AH24, "v") + COUNTIF(E24:AH24, "V")) + COUNTIF(E24:AH24, "✗") + COUNTIF(E24:AH24, "x") + COUNTIF(E24:AH24, "X")), "")))</f>
        <v/>
      </c>
      <c r="AK24" s="110">
        <f>IF(ISBLANK(B24), "", IF(AI24&gt;=0.85, "🔥 Mastered", IF(AI24&gt;=0.7, "⚡ Consistent", "⚠️ Needs Focus")))</f>
        <v/>
      </c>
      <c r="AL24">
        <f>COUNTIF(E24:AH24, "✓")</f>
        <v/>
      </c>
    </row>
    <row r="25" ht="14.5" customHeight="1">
      <c r="A25" s="104" t="n">
        <v>8</v>
      </c>
      <c r="B25" s="105" t="n"/>
      <c r="C25" s="106" t="n"/>
      <c r="D25" s="106" t="n"/>
      <c r="E25" s="107" t="n"/>
      <c r="F25" s="107" t="n"/>
      <c r="G25" s="107" t="n"/>
      <c r="H25" s="107" t="n"/>
      <c r="I25" s="108" t="n"/>
      <c r="J25" s="107" t="n"/>
      <c r="K25" s="107" t="n"/>
      <c r="L25" s="107" t="n"/>
      <c r="M25" s="107" t="n"/>
      <c r="N25" s="107" t="n"/>
      <c r="O25" s="107" t="n"/>
      <c r="P25" s="108" t="n"/>
      <c r="Q25" s="107" t="n"/>
      <c r="R25" s="107" t="n"/>
      <c r="S25" s="107" t="n"/>
      <c r="T25" s="107" t="n"/>
      <c r="U25" s="107" t="n"/>
      <c r="V25" s="107" t="n"/>
      <c r="W25" s="108" t="n"/>
      <c r="X25" s="107" t="n"/>
      <c r="Y25" s="107" t="n"/>
      <c r="Z25" s="107" t="n"/>
      <c r="AA25" s="107" t="n"/>
      <c r="AB25" s="107" t="n"/>
      <c r="AC25" s="107" t="n"/>
      <c r="AD25" s="108" t="n"/>
      <c r="AE25" s="107" t="n"/>
      <c r="AF25" s="107" t="n"/>
      <c r="AG25" s="107" t="n"/>
      <c r="AH25" s="107" t="n"/>
      <c r="AI25" s="109">
        <f>IF(ISBLANK(B25), "", IF(ISNUMBER(D25), IF(D25&gt;0, (COUNTIF(E25:AH25, "✓") + COUNTIF(E25:AH25, "✔") + COUNTIF(E25:AH25, "v") + COUNTIF(E25:AH25, "V"))/D25, 0), IF(((COUNTIF(E25:AH25, "✓") + COUNTIF(E25:AH25, "✔") + COUNTIF(E25:AH25, "v") + COUNTIF(E25:AH25, "V")) + COUNTIF(E25:AH25, "✗") + COUNTIF(E25:AH25, "x") + COUNTIF(E25:AH25, "X"))&gt;0, (COUNTIF(E25:AH25, "✓") + COUNTIF(E25:AH25, "✔") + COUNTIF(E25:AH25, "v") + COUNTIF(E25:AH25, "V"))/((COUNTIF(E25:AH25, "✓") + COUNTIF(E25:AH25, "✔") + COUNTIF(E25:AH25, "v") + COUNTIF(E25:AH25, "V")) + COUNTIF(E25:AH25, "✗") + COUNTIF(E25:AH25, "x") + COUNTIF(E25:AH25, "X")), "")))</f>
        <v/>
      </c>
      <c r="AJ25" s="110">
        <f>IF(ISBLANK(B25), "", IF(ISNUMBER(D25), IF(D25&gt;0, (COUNTIF(E25:AH25, "✓") + COUNTIF(E25:AH25, "✔") + COUNTIF(E25:AH25, "v") + COUNTIF(E25:AH25, "V")) &amp; "/" &amp; D25, (COUNTIF(E25:AH25, "✓") + COUNTIF(E25:AH25, "✔") + COUNTIF(E25:AH25, "v") + COUNTIF(E25:AH25, "V")) &amp; "/0"), IF(((COUNTIF(E25:AH25, "✓") + COUNTIF(E25:AH25, "✔") + COUNTIF(E25:AH25, "v") + COUNTIF(E25:AH25, "V")) + COUNTIF(E25:AH25, "✗") + COUNTIF(E25:AH25, "x") + COUNTIF(E25:AH25, "X"))&gt;0, (COUNTIF(E25:AH25, "✓") + COUNTIF(E25:AH25, "✔") + COUNTIF(E25:AH25, "v") + COUNTIF(E25:AH25, "V")) &amp; "/" &amp; ((COUNTIF(E25:AH25, "✓") + COUNTIF(E25:AH25, "✔") + COUNTIF(E25:AH25, "v") + COUNTIF(E25:AH25, "V")) + COUNTIF(E25:AH25, "✗") + COUNTIF(E25:AH25, "x") + COUNTIF(E25:AH25, "X")), "")))</f>
        <v/>
      </c>
      <c r="AK25" s="110">
        <f>IF(ISBLANK(B25), "", IF(AI25&gt;=0.85, "🔥 Mastered", IF(AI25&gt;=0.7, "⚡ Consistent", "⚠️ Needs Focus")))</f>
        <v/>
      </c>
      <c r="AL25">
        <f>COUNTIF(E25:AH25, "✓")</f>
        <v/>
      </c>
    </row>
    <row r="26" ht="14.5" customHeight="1">
      <c r="A26" s="111" t="n">
        <v>9</v>
      </c>
      <c r="B26" s="112" t="n"/>
      <c r="C26" s="113" t="n"/>
      <c r="D26" s="113" t="n"/>
      <c r="E26" s="114" t="n"/>
      <c r="F26" s="114" t="n"/>
      <c r="G26" s="114" t="n"/>
      <c r="H26" s="114" t="n"/>
      <c r="I26" s="115" t="n"/>
      <c r="J26" s="114" t="n"/>
      <c r="K26" s="114" t="n"/>
      <c r="L26" s="114" t="n"/>
      <c r="M26" s="114" t="n"/>
      <c r="N26" s="114" t="n"/>
      <c r="O26" s="114" t="n"/>
      <c r="P26" s="115" t="n"/>
      <c r="Q26" s="114" t="n"/>
      <c r="R26" s="114" t="n"/>
      <c r="S26" s="114" t="n"/>
      <c r="T26" s="114" t="n"/>
      <c r="U26" s="114" t="n"/>
      <c r="V26" s="114" t="n"/>
      <c r="W26" s="115" t="n"/>
      <c r="X26" s="114" t="n"/>
      <c r="Y26" s="114" t="n"/>
      <c r="Z26" s="114" t="n"/>
      <c r="AA26" s="114" t="n"/>
      <c r="AB26" s="114" t="n"/>
      <c r="AC26" s="114" t="n"/>
      <c r="AD26" s="115" t="n"/>
      <c r="AE26" s="114" t="n"/>
      <c r="AF26" s="114" t="n"/>
      <c r="AG26" s="114" t="n"/>
      <c r="AH26" s="114" t="n"/>
      <c r="AI26" s="116">
        <f>IF(ISBLANK(B26), "", IF(ISNUMBER(D26), IF(D26&gt;0, (COUNTIF(E26:AH26, "✓") + COUNTIF(E26:AH26, "✔") + COUNTIF(E26:AH26, "v") + COUNTIF(E26:AH26, "V"))/D26, 0), IF(((COUNTIF(E26:AH26, "✓") + COUNTIF(E26:AH26, "✔") + COUNTIF(E26:AH26, "v") + COUNTIF(E26:AH26, "V")) + COUNTIF(E26:AH26, "✗") + COUNTIF(E26:AH26, "x") + COUNTIF(E26:AH26, "X"))&gt;0, (COUNTIF(E26:AH26, "✓") + COUNTIF(E26:AH26, "✔") + COUNTIF(E26:AH26, "v") + COUNTIF(E26:AH26, "V"))/((COUNTIF(E26:AH26, "✓") + COUNTIF(E26:AH26, "✔") + COUNTIF(E26:AH26, "v") + COUNTIF(E26:AH26, "V")) + COUNTIF(E26:AH26, "✗") + COUNTIF(E26:AH26, "x") + COUNTIF(E26:AH26, "X")), "")))</f>
        <v/>
      </c>
      <c r="AJ26" s="117">
        <f>IF(ISBLANK(B26), "", IF(ISNUMBER(D26), IF(D26&gt;0, (COUNTIF(E26:AH26, "✓") + COUNTIF(E26:AH26, "✔") + COUNTIF(E26:AH26, "v") + COUNTIF(E26:AH26, "V")) &amp; "/" &amp; D26, (COUNTIF(E26:AH26, "✓") + COUNTIF(E26:AH26, "✔") + COUNTIF(E26:AH26, "v") + COUNTIF(E26:AH26, "V")) &amp; "/0"), IF(((COUNTIF(E26:AH26, "✓") + COUNTIF(E26:AH26, "✔") + COUNTIF(E26:AH26, "v") + COUNTIF(E26:AH26, "V")) + COUNTIF(E26:AH26, "✗") + COUNTIF(E26:AH26, "x") + COUNTIF(E26:AH26, "X"))&gt;0, (COUNTIF(E26:AH26, "✓") + COUNTIF(E26:AH26, "✔") + COUNTIF(E26:AH26, "v") + COUNTIF(E26:AH26, "V")) &amp; "/" &amp; ((COUNTIF(E26:AH26, "✓") + COUNTIF(E26:AH26, "✔") + COUNTIF(E26:AH26, "v") + COUNTIF(E26:AH26, "V")) + COUNTIF(E26:AH26, "✗") + COUNTIF(E26:AH26, "x") + COUNTIF(E26:AH26, "X")), "")))</f>
        <v/>
      </c>
      <c r="AK26" s="117">
        <f>IF(ISBLANK(B26), "", IF(AI26&gt;=0.85, "🔥 Mastered", IF(AI26&gt;=0.7, "⚡ Consistent", "⚠️ Needs Focus")))</f>
        <v/>
      </c>
      <c r="AL26">
        <f>COUNTIF(E26:AH26, "✓")</f>
        <v/>
      </c>
    </row>
    <row r="27" ht="14.5" customHeight="1">
      <c r="A27" s="111" t="n">
        <v>10</v>
      </c>
      <c r="B27" s="112" t="n"/>
      <c r="C27" s="113" t="n"/>
      <c r="D27" s="113" t="n"/>
      <c r="E27" s="114" t="n"/>
      <c r="F27" s="114" t="n"/>
      <c r="G27" s="114" t="n"/>
      <c r="H27" s="114" t="n"/>
      <c r="I27" s="115" t="n"/>
      <c r="J27" s="114" t="n"/>
      <c r="K27" s="114" t="n"/>
      <c r="L27" s="114" t="n"/>
      <c r="M27" s="114" t="n"/>
      <c r="N27" s="114" t="n"/>
      <c r="O27" s="114" t="n"/>
      <c r="P27" s="115" t="n"/>
      <c r="Q27" s="114" t="n"/>
      <c r="R27" s="114" t="n"/>
      <c r="S27" s="114" t="n"/>
      <c r="T27" s="114" t="n"/>
      <c r="U27" s="114" t="n"/>
      <c r="V27" s="114" t="n"/>
      <c r="W27" s="115" t="n"/>
      <c r="X27" s="114" t="n"/>
      <c r="Y27" s="114" t="n"/>
      <c r="Z27" s="114" t="n"/>
      <c r="AA27" s="114" t="n"/>
      <c r="AB27" s="114" t="n"/>
      <c r="AC27" s="114" t="n"/>
      <c r="AD27" s="115" t="n"/>
      <c r="AE27" s="114" t="n"/>
      <c r="AF27" s="114" t="n"/>
      <c r="AG27" s="114" t="n"/>
      <c r="AH27" s="114" t="n"/>
      <c r="AI27" s="116">
        <f>IF(ISBLANK(B27), "", IF(ISNUMBER(D27), IF(D27&gt;0, (COUNTIF(E27:AH27, "✓") + COUNTIF(E27:AH27, "✔") + COUNTIF(E27:AH27, "v") + COUNTIF(E27:AH27, "V"))/D27, 0), IF(((COUNTIF(E27:AH27, "✓") + COUNTIF(E27:AH27, "✔") + COUNTIF(E27:AH27, "v") + COUNTIF(E27:AH27, "V")) + COUNTIF(E27:AH27, "✗") + COUNTIF(E27:AH27, "x") + COUNTIF(E27:AH27, "X"))&gt;0, (COUNTIF(E27:AH27, "✓") + COUNTIF(E27:AH27, "✔") + COUNTIF(E27:AH27, "v") + COUNTIF(E27:AH27, "V"))/((COUNTIF(E27:AH27, "✓") + COUNTIF(E27:AH27, "✔") + COUNTIF(E27:AH27, "v") + COUNTIF(E27:AH27, "V")) + COUNTIF(E27:AH27, "✗") + COUNTIF(E27:AH27, "x") + COUNTIF(E27:AH27, "X")), "")))</f>
        <v/>
      </c>
      <c r="AJ27" s="117">
        <f>IF(ISBLANK(B27), "", IF(ISNUMBER(D27), IF(D27&gt;0, (COUNTIF(E27:AH27, "✓") + COUNTIF(E27:AH27, "✔") + COUNTIF(E27:AH27, "v") + COUNTIF(E27:AH27, "V")) &amp; "/" &amp; D27, (COUNTIF(E27:AH27, "✓") + COUNTIF(E27:AH27, "✔") + COUNTIF(E27:AH27, "v") + COUNTIF(E27:AH27, "V")) &amp; "/0"), IF(((COUNTIF(E27:AH27, "✓") + COUNTIF(E27:AH27, "✔") + COUNTIF(E27:AH27, "v") + COUNTIF(E27:AH27, "V")) + COUNTIF(E27:AH27, "✗") + COUNTIF(E27:AH27, "x") + COUNTIF(E27:AH27, "X"))&gt;0, (COUNTIF(E27:AH27, "✓") + COUNTIF(E27:AH27, "✔") + COUNTIF(E27:AH27, "v") + COUNTIF(E27:AH27, "V")) &amp; "/" &amp; ((COUNTIF(E27:AH27, "✓") + COUNTIF(E27:AH27, "✔") + COUNTIF(E27:AH27, "v") + COUNTIF(E27:AH27, "V")) + COUNTIF(E27:AH27, "✗") + COUNTIF(E27:AH27, "x") + COUNTIF(E27:AH27, "X")), "")))</f>
        <v/>
      </c>
      <c r="AK27" s="117">
        <f>IF(ISBLANK(B27), "", IF(AI27&gt;=0.85, "🔥 Mastered", IF(AI27&gt;=0.7, "⚡ Consistent", "⚠️ Needs Focus")))</f>
        <v/>
      </c>
      <c r="AL27">
        <f>COUNTIF(E27:AH27, "✓")</f>
        <v/>
      </c>
    </row>
    <row r="28" ht="14.5" customHeight="1">
      <c r="A28" s="111" t="n">
        <v>11</v>
      </c>
      <c r="B28" s="112" t="n"/>
      <c r="C28" s="113" t="n"/>
      <c r="D28" s="113" t="n"/>
      <c r="E28" s="114" t="n"/>
      <c r="F28" s="114" t="n"/>
      <c r="G28" s="114" t="n"/>
      <c r="H28" s="114" t="n"/>
      <c r="I28" s="115" t="n"/>
      <c r="J28" s="114" t="n"/>
      <c r="K28" s="114" t="n"/>
      <c r="L28" s="114" t="n"/>
      <c r="M28" s="114" t="n"/>
      <c r="N28" s="114" t="n"/>
      <c r="O28" s="114" t="n"/>
      <c r="P28" s="115" t="n"/>
      <c r="Q28" s="114" t="n"/>
      <c r="R28" s="114" t="n"/>
      <c r="S28" s="114" t="n"/>
      <c r="T28" s="114" t="n"/>
      <c r="U28" s="114" t="n"/>
      <c r="V28" s="114" t="n"/>
      <c r="W28" s="115" t="n"/>
      <c r="X28" s="114" t="n"/>
      <c r="Y28" s="114" t="n"/>
      <c r="Z28" s="114" t="n"/>
      <c r="AA28" s="114" t="n"/>
      <c r="AB28" s="114" t="n"/>
      <c r="AC28" s="114" t="n"/>
      <c r="AD28" s="115" t="n"/>
      <c r="AE28" s="114" t="n"/>
      <c r="AF28" s="114" t="n"/>
      <c r="AG28" s="114" t="n"/>
      <c r="AH28" s="114" t="n"/>
      <c r="AI28" s="116">
        <f>IF(ISBLANK(B28), "", IF(ISNUMBER(D28), IF(D28&gt;0, (COUNTIF(E28:AH28, "✓") + COUNTIF(E28:AH28, "✔") + COUNTIF(E28:AH28, "v") + COUNTIF(E28:AH28, "V"))/D28, 0), IF(((COUNTIF(E28:AH28, "✓") + COUNTIF(E28:AH28, "✔") + COUNTIF(E28:AH28, "v") + COUNTIF(E28:AH28, "V")) + COUNTIF(E28:AH28, "✗") + COUNTIF(E28:AH28, "x") + COUNTIF(E28:AH28, "X"))&gt;0, (COUNTIF(E28:AH28, "✓") + COUNTIF(E28:AH28, "✔") + COUNTIF(E28:AH28, "v") + COUNTIF(E28:AH28, "V"))/((COUNTIF(E28:AH28, "✓") + COUNTIF(E28:AH28, "✔") + COUNTIF(E28:AH28, "v") + COUNTIF(E28:AH28, "V")) + COUNTIF(E28:AH28, "✗") + COUNTIF(E28:AH28, "x") + COUNTIF(E28:AH28, "X")), "")))</f>
        <v/>
      </c>
      <c r="AJ28" s="117">
        <f>IF(ISBLANK(B28), "", IF(ISNUMBER(D28), IF(D28&gt;0, (COUNTIF(E28:AH28, "✓") + COUNTIF(E28:AH28, "✔") + COUNTIF(E28:AH28, "v") + COUNTIF(E28:AH28, "V")) &amp; "/" &amp; D28, (COUNTIF(E28:AH28, "✓") + COUNTIF(E28:AH28, "✔") + COUNTIF(E28:AH28, "v") + COUNTIF(E28:AH28, "V")) &amp; "/0"), IF(((COUNTIF(E28:AH28, "✓") + COUNTIF(E28:AH28, "✔") + COUNTIF(E28:AH28, "v") + COUNTIF(E28:AH28, "V")) + COUNTIF(E28:AH28, "✗") + COUNTIF(E28:AH28, "x") + COUNTIF(E28:AH28, "X"))&gt;0, (COUNTIF(E28:AH28, "✓") + COUNTIF(E28:AH28, "✔") + COUNTIF(E28:AH28, "v") + COUNTIF(E28:AH28, "V")) &amp; "/" &amp; ((COUNTIF(E28:AH28, "✓") + COUNTIF(E28:AH28, "✔") + COUNTIF(E28:AH28, "v") + COUNTIF(E28:AH28, "V")) + COUNTIF(E28:AH28, "✗") + COUNTIF(E28:AH28, "x") + COUNTIF(E28:AH28, "X")), "")))</f>
        <v/>
      </c>
      <c r="AK28" s="117">
        <f>IF(ISBLANK(B28), "", IF(AI28&gt;=0.85, "🔥 Mastered", IF(AI28&gt;=0.7, "⚡ Consistent", "⚠️ Needs Focus")))</f>
        <v/>
      </c>
      <c r="AL28">
        <f>COUNTIF(E28:AH28, "✓")</f>
        <v/>
      </c>
    </row>
    <row r="29" ht="14.5" customHeight="1">
      <c r="A29" s="111" t="n">
        <v>12</v>
      </c>
      <c r="B29" s="112" t="n"/>
      <c r="C29" s="113" t="n"/>
      <c r="D29" s="113" t="n"/>
      <c r="E29" s="114" t="n"/>
      <c r="F29" s="114" t="n"/>
      <c r="G29" s="114" t="n"/>
      <c r="H29" s="114" t="n"/>
      <c r="I29" s="115" t="n"/>
      <c r="J29" s="114" t="n"/>
      <c r="K29" s="114" t="n"/>
      <c r="L29" s="114" t="n"/>
      <c r="M29" s="114" t="n"/>
      <c r="N29" s="114" t="n"/>
      <c r="O29" s="114" t="n"/>
      <c r="P29" s="115" t="n"/>
      <c r="Q29" s="114" t="n"/>
      <c r="R29" s="114" t="n"/>
      <c r="S29" s="114" t="n"/>
      <c r="T29" s="114" t="n"/>
      <c r="U29" s="114" t="n"/>
      <c r="V29" s="114" t="n"/>
      <c r="W29" s="115" t="n"/>
      <c r="X29" s="114" t="n"/>
      <c r="Y29" s="114" t="n"/>
      <c r="Z29" s="114" t="n"/>
      <c r="AA29" s="114" t="n"/>
      <c r="AB29" s="114" t="n"/>
      <c r="AC29" s="114" t="n"/>
      <c r="AD29" s="115" t="n"/>
      <c r="AE29" s="114" t="n"/>
      <c r="AF29" s="114" t="n"/>
      <c r="AG29" s="114" t="n"/>
      <c r="AH29" s="114" t="n"/>
      <c r="AI29" s="116">
        <f>IF(ISBLANK(B29), "", IF(ISNUMBER(D29), IF(D29&gt;0, (COUNTIF(E29:AH29, "✓") + COUNTIF(E29:AH29, "✔") + COUNTIF(E29:AH29, "v") + COUNTIF(E29:AH29, "V"))/D29, 0), IF(((COUNTIF(E29:AH29, "✓") + COUNTIF(E29:AH29, "✔") + COUNTIF(E29:AH29, "v") + COUNTIF(E29:AH29, "V")) + COUNTIF(E29:AH29, "✗") + COUNTIF(E29:AH29, "x") + COUNTIF(E29:AH29, "X"))&gt;0, (COUNTIF(E29:AH29, "✓") + COUNTIF(E29:AH29, "✔") + COUNTIF(E29:AH29, "v") + COUNTIF(E29:AH29, "V"))/((COUNTIF(E29:AH29, "✓") + COUNTIF(E29:AH29, "✔") + COUNTIF(E29:AH29, "v") + COUNTIF(E29:AH29, "V")) + COUNTIF(E29:AH29, "✗") + COUNTIF(E29:AH29, "x") + COUNTIF(E29:AH29, "X")), "")))</f>
        <v/>
      </c>
      <c r="AJ29" s="117">
        <f>IF(ISBLANK(B29), "", IF(ISNUMBER(D29), IF(D29&gt;0, (COUNTIF(E29:AH29, "✓") + COUNTIF(E29:AH29, "✔") + COUNTIF(E29:AH29, "v") + COUNTIF(E29:AH29, "V")) &amp; "/" &amp; D29, (COUNTIF(E29:AH29, "✓") + COUNTIF(E29:AH29, "✔") + COUNTIF(E29:AH29, "v") + COUNTIF(E29:AH29, "V")) &amp; "/0"), IF(((COUNTIF(E29:AH29, "✓") + COUNTIF(E29:AH29, "✔") + COUNTIF(E29:AH29, "v") + COUNTIF(E29:AH29, "V")) + COUNTIF(E29:AH29, "✗") + COUNTIF(E29:AH29, "x") + COUNTIF(E29:AH29, "X"))&gt;0, (COUNTIF(E29:AH29, "✓") + COUNTIF(E29:AH29, "✔") + COUNTIF(E29:AH29, "v") + COUNTIF(E29:AH29, "V")) &amp; "/" &amp; ((COUNTIF(E29:AH29, "✓") + COUNTIF(E29:AH29, "✔") + COUNTIF(E29:AH29, "v") + COUNTIF(E29:AH29, "V")) + COUNTIF(E29:AH29, "✗") + COUNTIF(E29:AH29, "x") + COUNTIF(E29:AH29, "X")), "")))</f>
        <v/>
      </c>
      <c r="AK29" s="117">
        <f>IF(ISBLANK(B29), "", IF(AI29&gt;=0.85, "🔥 Mastered", IF(AI29&gt;=0.7, "⚡ Consistent", "⚠️ Needs Focus")))</f>
        <v/>
      </c>
      <c r="AL29">
        <f>COUNTIF(E29:AH29, "✓")</f>
        <v/>
      </c>
    </row>
    <row r="30" ht="14.5" customHeight="1">
      <c r="A30" s="118" t="n">
        <v>13</v>
      </c>
      <c r="B30" s="119" t="n"/>
      <c r="C30" s="120" t="n"/>
      <c r="D30" s="120" t="n"/>
      <c r="E30" s="121" t="n"/>
      <c r="F30" s="121" t="n"/>
      <c r="G30" s="121" t="n"/>
      <c r="H30" s="121" t="n"/>
      <c r="I30" s="122" t="n"/>
      <c r="J30" s="121" t="n"/>
      <c r="K30" s="121" t="n"/>
      <c r="L30" s="121" t="n"/>
      <c r="M30" s="121" t="n"/>
      <c r="N30" s="121" t="n"/>
      <c r="O30" s="121" t="n"/>
      <c r="P30" s="122" t="n"/>
      <c r="Q30" s="121" t="n"/>
      <c r="R30" s="121" t="n"/>
      <c r="S30" s="121" t="n"/>
      <c r="T30" s="121" t="n"/>
      <c r="U30" s="121" t="n"/>
      <c r="V30" s="121" t="n"/>
      <c r="W30" s="122" t="n"/>
      <c r="X30" s="121" t="n"/>
      <c r="Y30" s="121" t="n"/>
      <c r="Z30" s="121" t="n"/>
      <c r="AA30" s="121" t="n"/>
      <c r="AB30" s="121" t="n"/>
      <c r="AC30" s="121" t="n"/>
      <c r="AD30" s="122" t="n"/>
      <c r="AE30" s="121" t="n"/>
      <c r="AF30" s="121" t="n"/>
      <c r="AG30" s="121" t="n"/>
      <c r="AH30" s="121" t="n"/>
      <c r="AI30" s="123">
        <f>IF(ISBLANK(B30), "", IF(ISNUMBER(D30), IF(D30&gt;0, (COUNTIF(E30:AH30, "✓") + COUNTIF(E30:AH30, "✔") + COUNTIF(E30:AH30, "v") + COUNTIF(E30:AH30, "V"))/D30, 0), IF(((COUNTIF(E30:AH30, "✓") + COUNTIF(E30:AH30, "✔") + COUNTIF(E30:AH30, "v") + COUNTIF(E30:AH30, "V")) + COUNTIF(E30:AH30, "✗") + COUNTIF(E30:AH30, "x") + COUNTIF(E30:AH30, "X"))&gt;0, (COUNTIF(E30:AH30, "✓") + COUNTIF(E30:AH30, "✔") + COUNTIF(E30:AH30, "v") + COUNTIF(E30:AH30, "V"))/((COUNTIF(E30:AH30, "✓") + COUNTIF(E30:AH30, "✔") + COUNTIF(E30:AH30, "v") + COUNTIF(E30:AH30, "V")) + COUNTIF(E30:AH30, "✗") + COUNTIF(E30:AH30, "x") + COUNTIF(E30:AH30, "X")), "")))</f>
        <v/>
      </c>
      <c r="AJ30" s="124">
        <f>IF(ISBLANK(B30), "", IF(ISNUMBER(D30), IF(D30&gt;0, (COUNTIF(E30:AH30, "✓") + COUNTIF(E30:AH30, "✔") + COUNTIF(E30:AH30, "v") + COUNTIF(E30:AH30, "V")) &amp; "/" &amp; D30, (COUNTIF(E30:AH30, "✓") + COUNTIF(E30:AH30, "✔") + COUNTIF(E30:AH30, "v") + COUNTIF(E30:AH30, "V")) &amp; "/0"), IF(((COUNTIF(E30:AH30, "✓") + COUNTIF(E30:AH30, "✔") + COUNTIF(E30:AH30, "v") + COUNTIF(E30:AH30, "V")) + COUNTIF(E30:AH30, "✗") + COUNTIF(E30:AH30, "x") + COUNTIF(E30:AH30, "X"))&gt;0, (COUNTIF(E30:AH30, "✓") + COUNTIF(E30:AH30, "✔") + COUNTIF(E30:AH30, "v") + COUNTIF(E30:AH30, "V")) &amp; "/" &amp; ((COUNTIF(E30:AH30, "✓") + COUNTIF(E30:AH30, "✔") + COUNTIF(E30:AH30, "v") + COUNTIF(E30:AH30, "V")) + COUNTIF(E30:AH30, "✗") + COUNTIF(E30:AH30, "x") + COUNTIF(E30:AH30, "X")), "")))</f>
        <v/>
      </c>
      <c r="AK30" s="124">
        <f>IF(ISBLANK(B30), "", IF(AI30&gt;=0.85, "🔥 Mastered", IF(AI30&gt;=0.7, "⚡ Consistent", "⚠️ Needs Focus")))</f>
        <v/>
      </c>
      <c r="AL30">
        <f>COUNTIF(E30:AH30, "✓")</f>
        <v/>
      </c>
    </row>
    <row r="31" ht="14.5" customHeight="1">
      <c r="A31" s="118" t="n">
        <v>14</v>
      </c>
      <c r="B31" s="119" t="n"/>
      <c r="C31" s="120" t="n"/>
      <c r="D31" s="120" t="n"/>
      <c r="E31" s="121" t="n"/>
      <c r="F31" s="121" t="n"/>
      <c r="G31" s="121" t="n"/>
      <c r="H31" s="121" t="n"/>
      <c r="I31" s="122" t="n"/>
      <c r="J31" s="121" t="n"/>
      <c r="K31" s="121" t="n"/>
      <c r="L31" s="121" t="n"/>
      <c r="M31" s="121" t="n"/>
      <c r="N31" s="121" t="n"/>
      <c r="O31" s="121" t="n"/>
      <c r="P31" s="122" t="n"/>
      <c r="Q31" s="121" t="n"/>
      <c r="R31" s="121" t="n"/>
      <c r="S31" s="121" t="n"/>
      <c r="T31" s="121" t="n"/>
      <c r="U31" s="121" t="n"/>
      <c r="V31" s="121" t="n"/>
      <c r="W31" s="122" t="n"/>
      <c r="X31" s="121" t="n"/>
      <c r="Y31" s="121" t="n"/>
      <c r="Z31" s="121" t="n"/>
      <c r="AA31" s="121" t="n"/>
      <c r="AB31" s="121" t="n"/>
      <c r="AC31" s="121" t="n"/>
      <c r="AD31" s="122" t="n"/>
      <c r="AE31" s="121" t="n"/>
      <c r="AF31" s="121" t="n"/>
      <c r="AG31" s="121" t="n"/>
      <c r="AH31" s="121" t="n"/>
      <c r="AI31" s="123">
        <f>IF(ISBLANK(B31), "", IF(ISNUMBER(D31), IF(D31&gt;0, (COUNTIF(E31:AH31, "✓") + COUNTIF(E31:AH31, "✔") + COUNTIF(E31:AH31, "v") + COUNTIF(E31:AH31, "V"))/D31, 0), IF(((COUNTIF(E31:AH31, "✓") + COUNTIF(E31:AH31, "✔") + COUNTIF(E31:AH31, "v") + COUNTIF(E31:AH31, "V")) + COUNTIF(E31:AH31, "✗") + COUNTIF(E31:AH31, "x") + COUNTIF(E31:AH31, "X"))&gt;0, (COUNTIF(E31:AH31, "✓") + COUNTIF(E31:AH31, "✔") + COUNTIF(E31:AH31, "v") + COUNTIF(E31:AH31, "V"))/((COUNTIF(E31:AH31, "✓") + COUNTIF(E31:AH31, "✔") + COUNTIF(E31:AH31, "v") + COUNTIF(E31:AH31, "V")) + COUNTIF(E31:AH31, "✗") + COUNTIF(E31:AH31, "x") + COUNTIF(E31:AH31, "X")), "")))</f>
        <v/>
      </c>
      <c r="AJ31" s="124">
        <f>IF(ISBLANK(B31), "", IF(ISNUMBER(D31), IF(D31&gt;0, (COUNTIF(E31:AH31, "✓") + COUNTIF(E31:AH31, "✔") + COUNTIF(E31:AH31, "v") + COUNTIF(E31:AH31, "V")) &amp; "/" &amp; D31, (COUNTIF(E31:AH31, "✓") + COUNTIF(E31:AH31, "✔") + COUNTIF(E31:AH31, "v") + COUNTIF(E31:AH31, "V")) &amp; "/0"), IF(((COUNTIF(E31:AH31, "✓") + COUNTIF(E31:AH31, "✔") + COUNTIF(E31:AH31, "v") + COUNTIF(E31:AH31, "V")) + COUNTIF(E31:AH31, "✗") + COUNTIF(E31:AH31, "x") + COUNTIF(E31:AH31, "X"))&gt;0, (COUNTIF(E31:AH31, "✓") + COUNTIF(E31:AH31, "✔") + COUNTIF(E31:AH31, "v") + COUNTIF(E31:AH31, "V")) &amp; "/" &amp; ((COUNTIF(E31:AH31, "✓") + COUNTIF(E31:AH31, "✔") + COUNTIF(E31:AH31, "v") + COUNTIF(E31:AH31, "V")) + COUNTIF(E31:AH31, "✗") + COUNTIF(E31:AH31, "x") + COUNTIF(E31:AH31, "X")), "")))</f>
        <v/>
      </c>
      <c r="AK31" s="124">
        <f>IF(ISBLANK(B31), "", IF(AI31&gt;=0.85, "🔥 Mastered", IF(AI31&gt;=0.7, "⚡ Consistent", "⚠️ Needs Focus")))</f>
        <v/>
      </c>
      <c r="AL31">
        <f>COUNTIF(E31:AH31, "✓")</f>
        <v/>
      </c>
    </row>
    <row r="32" ht="14.5" customHeight="1">
      <c r="A32" s="118" t="n">
        <v>15</v>
      </c>
      <c r="B32" s="119" t="n"/>
      <c r="C32" s="120" t="n"/>
      <c r="D32" s="120" t="n"/>
      <c r="E32" s="121" t="n"/>
      <c r="F32" s="121" t="n"/>
      <c r="G32" s="121" t="n"/>
      <c r="H32" s="121" t="n"/>
      <c r="I32" s="122" t="n"/>
      <c r="J32" s="121" t="n"/>
      <c r="K32" s="121" t="n"/>
      <c r="L32" s="121" t="n"/>
      <c r="M32" s="121" t="n"/>
      <c r="N32" s="121" t="n"/>
      <c r="O32" s="121" t="n"/>
      <c r="P32" s="122" t="n"/>
      <c r="Q32" s="121" t="n"/>
      <c r="R32" s="121" t="n"/>
      <c r="S32" s="121" t="n"/>
      <c r="T32" s="121" t="n"/>
      <c r="U32" s="121" t="n"/>
      <c r="V32" s="121" t="n"/>
      <c r="W32" s="122" t="n"/>
      <c r="X32" s="121" t="n"/>
      <c r="Y32" s="121" t="n"/>
      <c r="Z32" s="121" t="n"/>
      <c r="AA32" s="121" t="n"/>
      <c r="AB32" s="121" t="n"/>
      <c r="AC32" s="121" t="n"/>
      <c r="AD32" s="122" t="n"/>
      <c r="AE32" s="121" t="n"/>
      <c r="AF32" s="121" t="n"/>
      <c r="AG32" s="121" t="n"/>
      <c r="AH32" s="121" t="n"/>
      <c r="AI32" s="123">
        <f>IF(ISBLANK(B32), "", IF(ISNUMBER(D32), IF(D32&gt;0, (COUNTIF(E32:AH32, "✓") + COUNTIF(E32:AH32, "✔") + COUNTIF(E32:AH32, "v") + COUNTIF(E32:AH32, "V"))/D32, 0), IF(((COUNTIF(E32:AH32, "✓") + COUNTIF(E32:AH32, "✔") + COUNTIF(E32:AH32, "v") + COUNTIF(E32:AH32, "V")) + COUNTIF(E32:AH32, "✗") + COUNTIF(E32:AH32, "x") + COUNTIF(E32:AH32, "X"))&gt;0, (COUNTIF(E32:AH32, "✓") + COUNTIF(E32:AH32, "✔") + COUNTIF(E32:AH32, "v") + COUNTIF(E32:AH32, "V"))/((COUNTIF(E32:AH32, "✓") + COUNTIF(E32:AH32, "✔") + COUNTIF(E32:AH32, "v") + COUNTIF(E32:AH32, "V")) + COUNTIF(E32:AH32, "✗") + COUNTIF(E32:AH32, "x") + COUNTIF(E32:AH32, "X")), "")))</f>
        <v/>
      </c>
      <c r="AJ32" s="124">
        <f>IF(ISBLANK(B32), "", IF(ISNUMBER(D32), IF(D32&gt;0, (COUNTIF(E32:AH32, "✓") + COUNTIF(E32:AH32, "✔") + COUNTIF(E32:AH32, "v") + COUNTIF(E32:AH32, "V")) &amp; "/" &amp; D32, (COUNTIF(E32:AH32, "✓") + COUNTIF(E32:AH32, "✔") + COUNTIF(E32:AH32, "v") + COUNTIF(E32:AH32, "V")) &amp; "/0"), IF(((COUNTIF(E32:AH32, "✓") + COUNTIF(E32:AH32, "✔") + COUNTIF(E32:AH32, "v") + COUNTIF(E32:AH32, "V")) + COUNTIF(E32:AH32, "✗") + COUNTIF(E32:AH32, "x") + COUNTIF(E32:AH32, "X"))&gt;0, (COUNTIF(E32:AH32, "✓") + COUNTIF(E32:AH32, "✔") + COUNTIF(E32:AH32, "v") + COUNTIF(E32:AH32, "V")) &amp; "/" &amp; ((COUNTIF(E32:AH32, "✓") + COUNTIF(E32:AH32, "✔") + COUNTIF(E32:AH32, "v") + COUNTIF(E32:AH32, "V")) + COUNTIF(E32:AH32, "✗") + COUNTIF(E32:AH32, "x") + COUNTIF(E32:AH32, "X")), "")))</f>
        <v/>
      </c>
      <c r="AK32" s="124">
        <f>IF(ISBLANK(B32), "", IF(AI32&gt;=0.85, "🔥 Mastered", IF(AI32&gt;=0.7, "⚡ Consistent", "⚠️ Needs Focus")))</f>
        <v/>
      </c>
      <c r="AL32">
        <f>COUNTIF(E32:AH32, "✓")</f>
        <v/>
      </c>
    </row>
    <row r="33" ht="14.5" customHeight="1">
      <c r="A33" s="118" t="n">
        <v>16</v>
      </c>
      <c r="B33" s="119" t="n"/>
      <c r="C33" s="120" t="n"/>
      <c r="D33" s="120" t="n"/>
      <c r="E33" s="121" t="n"/>
      <c r="F33" s="121" t="n"/>
      <c r="G33" s="121" t="n"/>
      <c r="H33" s="121" t="n"/>
      <c r="I33" s="122" t="n"/>
      <c r="J33" s="121" t="n"/>
      <c r="K33" s="121" t="n"/>
      <c r="L33" s="121" t="n"/>
      <c r="M33" s="121" t="n"/>
      <c r="N33" s="121" t="n"/>
      <c r="O33" s="121" t="n"/>
      <c r="P33" s="122" t="n"/>
      <c r="Q33" s="121" t="n"/>
      <c r="R33" s="121" t="n"/>
      <c r="S33" s="121" t="n"/>
      <c r="T33" s="121" t="n"/>
      <c r="U33" s="121" t="n"/>
      <c r="V33" s="121" t="n"/>
      <c r="W33" s="122" t="n"/>
      <c r="X33" s="121" t="n"/>
      <c r="Y33" s="121" t="n"/>
      <c r="Z33" s="121" t="n"/>
      <c r="AA33" s="121" t="n"/>
      <c r="AB33" s="121" t="n"/>
      <c r="AC33" s="121" t="n"/>
      <c r="AD33" s="122" t="n"/>
      <c r="AE33" s="121" t="n"/>
      <c r="AF33" s="121" t="n"/>
      <c r="AG33" s="121" t="n"/>
      <c r="AH33" s="121" t="n"/>
      <c r="AI33" s="123">
        <f>IF(ISBLANK(B33), "", IF(ISNUMBER(D33), IF(D33&gt;0, (COUNTIF(E33:AH33, "✓") + COUNTIF(E33:AH33, "✔") + COUNTIF(E33:AH33, "v") + COUNTIF(E33:AH33, "V"))/D33, 0), IF(((COUNTIF(E33:AH33, "✓") + COUNTIF(E33:AH33, "✔") + COUNTIF(E33:AH33, "v") + COUNTIF(E33:AH33, "V")) + COUNTIF(E33:AH33, "✗") + COUNTIF(E33:AH33, "x") + COUNTIF(E33:AH33, "X"))&gt;0, (COUNTIF(E33:AH33, "✓") + COUNTIF(E33:AH33, "✔") + COUNTIF(E33:AH33, "v") + COUNTIF(E33:AH33, "V"))/((COUNTIF(E33:AH33, "✓") + COUNTIF(E33:AH33, "✔") + COUNTIF(E33:AH33, "v") + COUNTIF(E33:AH33, "V")) + COUNTIF(E33:AH33, "✗") + COUNTIF(E33:AH33, "x") + COUNTIF(E33:AH33, "X")), "")))</f>
        <v/>
      </c>
      <c r="AJ33" s="124">
        <f>IF(ISBLANK(B33), "", IF(ISNUMBER(D33), IF(D33&gt;0, (COUNTIF(E33:AH33, "✓") + COUNTIF(E33:AH33, "✔") + COUNTIF(E33:AH33, "v") + COUNTIF(E33:AH33, "V")) &amp; "/" &amp; D33, (COUNTIF(E33:AH33, "✓") + COUNTIF(E33:AH33, "✔") + COUNTIF(E33:AH33, "v") + COUNTIF(E33:AH33, "V")) &amp; "/0"), IF(((COUNTIF(E33:AH33, "✓") + COUNTIF(E33:AH33, "✔") + COUNTIF(E33:AH33, "v") + COUNTIF(E33:AH33, "V")) + COUNTIF(E33:AH33, "✗") + COUNTIF(E33:AH33, "x") + COUNTIF(E33:AH33, "X"))&gt;0, (COUNTIF(E33:AH33, "✓") + COUNTIF(E33:AH33, "✔") + COUNTIF(E33:AH33, "v") + COUNTIF(E33:AH33, "V")) &amp; "/" &amp; ((COUNTIF(E33:AH33, "✓") + COUNTIF(E33:AH33, "✔") + COUNTIF(E33:AH33, "v") + COUNTIF(E33:AH33, "V")) + COUNTIF(E33:AH33, "✗") + COUNTIF(E33:AH33, "x") + COUNTIF(E33:AH33, "X")), "")))</f>
        <v/>
      </c>
      <c r="AK33" s="124">
        <f>IF(ISBLANK(B33), "", IF(AI33&gt;=0.85, "🔥 Mastered", IF(AI33&gt;=0.7, "⚡ Consistent", "⚠️ Needs Focus")))</f>
        <v/>
      </c>
      <c r="AL33">
        <f>COUNTIF(E33:AH33, "✓")</f>
        <v/>
      </c>
    </row>
    <row r="34" ht="14.5" customHeight="1">
      <c r="A34" s="125" t="n">
        <v>17</v>
      </c>
      <c r="B34" s="126" t="n"/>
      <c r="C34" s="127" t="n"/>
      <c r="D34" s="127" t="n"/>
      <c r="E34" s="128" t="n"/>
      <c r="F34" s="128" t="n"/>
      <c r="G34" s="128" t="n"/>
      <c r="H34" s="128" t="n"/>
      <c r="I34" s="129" t="n"/>
      <c r="J34" s="128" t="n"/>
      <c r="K34" s="128" t="n"/>
      <c r="L34" s="128" t="n"/>
      <c r="M34" s="128" t="n"/>
      <c r="N34" s="128" t="n"/>
      <c r="O34" s="128" t="n"/>
      <c r="P34" s="129" t="n"/>
      <c r="Q34" s="128" t="n"/>
      <c r="R34" s="128" t="n"/>
      <c r="S34" s="128" t="n"/>
      <c r="T34" s="128" t="n"/>
      <c r="U34" s="128" t="n"/>
      <c r="V34" s="128" t="n"/>
      <c r="W34" s="129" t="n"/>
      <c r="X34" s="128" t="n"/>
      <c r="Y34" s="128" t="n"/>
      <c r="Z34" s="128" t="n"/>
      <c r="AA34" s="128" t="n"/>
      <c r="AB34" s="128" t="n"/>
      <c r="AC34" s="128" t="n"/>
      <c r="AD34" s="129" t="n"/>
      <c r="AE34" s="128" t="n"/>
      <c r="AF34" s="128" t="n"/>
      <c r="AG34" s="128" t="n"/>
      <c r="AH34" s="128" t="n"/>
      <c r="AI34" s="130">
        <f>IF(ISBLANK(B34), "", IF(ISNUMBER(D34), IF(D34&gt;0, (COUNTIF(E34:AH34, "✓") + COUNTIF(E34:AH34, "✔") + COUNTIF(E34:AH34, "v") + COUNTIF(E34:AH34, "V"))/D34, 0), IF(((COUNTIF(E34:AH34, "✓") + COUNTIF(E34:AH34, "✔") + COUNTIF(E34:AH34, "v") + COUNTIF(E34:AH34, "V")) + COUNTIF(E34:AH34, "✗") + COUNTIF(E34:AH34, "x") + COUNTIF(E34:AH34, "X"))&gt;0, (COUNTIF(E34:AH34, "✓") + COUNTIF(E34:AH34, "✔") + COUNTIF(E34:AH34, "v") + COUNTIF(E34:AH34, "V"))/((COUNTIF(E34:AH34, "✓") + COUNTIF(E34:AH34, "✔") + COUNTIF(E34:AH34, "v") + COUNTIF(E34:AH34, "V")) + COUNTIF(E34:AH34, "✗") + COUNTIF(E34:AH34, "x") + COUNTIF(E34:AH34, "X")), "")))</f>
        <v/>
      </c>
      <c r="AJ34" s="131">
        <f>IF(ISBLANK(B34), "", IF(ISNUMBER(D34), IF(D34&gt;0, (COUNTIF(E34:AH34, "✓") + COUNTIF(E34:AH34, "✔") + COUNTIF(E34:AH34, "v") + COUNTIF(E34:AH34, "V")) &amp; "/" &amp; D34, (COUNTIF(E34:AH34, "✓") + COUNTIF(E34:AH34, "✔") + COUNTIF(E34:AH34, "v") + COUNTIF(E34:AH34, "V")) &amp; "/0"), IF(((COUNTIF(E34:AH34, "✓") + COUNTIF(E34:AH34, "✔") + COUNTIF(E34:AH34, "v") + COUNTIF(E34:AH34, "V")) + COUNTIF(E34:AH34, "✗") + COUNTIF(E34:AH34, "x") + COUNTIF(E34:AH34, "X"))&gt;0, (COUNTIF(E34:AH34, "✓") + COUNTIF(E34:AH34, "✔") + COUNTIF(E34:AH34, "v") + COUNTIF(E34:AH34, "V")) &amp; "/" &amp; ((COUNTIF(E34:AH34, "✓") + COUNTIF(E34:AH34, "✔") + COUNTIF(E34:AH34, "v") + COUNTIF(E34:AH34, "V")) + COUNTIF(E34:AH34, "✗") + COUNTIF(E34:AH34, "x") + COUNTIF(E34:AH34, "X")), "")))</f>
        <v/>
      </c>
      <c r="AK34" s="131">
        <f>IF(ISBLANK(B34), "", IF(AI34&gt;=0.85, "🔥 Mastered", IF(AI34&gt;=0.7, "⚡ Consistent", "⚠️ Needs Focus")))</f>
        <v/>
      </c>
      <c r="AL34">
        <f>COUNTIF(E34:AH34, "✓")</f>
        <v/>
      </c>
    </row>
    <row r="35" ht="14.5" customHeight="1">
      <c r="A35" s="125" t="n">
        <v>18</v>
      </c>
      <c r="B35" s="126" t="n"/>
      <c r="C35" s="127" t="n"/>
      <c r="D35" s="127" t="n"/>
      <c r="E35" s="128" t="n"/>
      <c r="F35" s="128" t="n"/>
      <c r="G35" s="128" t="n"/>
      <c r="H35" s="128" t="n"/>
      <c r="I35" s="129" t="n"/>
      <c r="J35" s="128" t="n"/>
      <c r="K35" s="128" t="n"/>
      <c r="L35" s="128" t="n"/>
      <c r="M35" s="128" t="n"/>
      <c r="N35" s="128" t="n"/>
      <c r="O35" s="128" t="n"/>
      <c r="P35" s="129" t="n"/>
      <c r="Q35" s="128" t="n"/>
      <c r="R35" s="128" t="n"/>
      <c r="S35" s="128" t="n"/>
      <c r="T35" s="128" t="n"/>
      <c r="U35" s="128" t="n"/>
      <c r="V35" s="128" t="n"/>
      <c r="W35" s="129" t="n"/>
      <c r="X35" s="128" t="n"/>
      <c r="Y35" s="128" t="n"/>
      <c r="Z35" s="128" t="n"/>
      <c r="AA35" s="128" t="n"/>
      <c r="AB35" s="128" t="n"/>
      <c r="AC35" s="128" t="n"/>
      <c r="AD35" s="129" t="n"/>
      <c r="AE35" s="128" t="n"/>
      <c r="AF35" s="128" t="n"/>
      <c r="AG35" s="128" t="n"/>
      <c r="AH35" s="128" t="n"/>
      <c r="AI35" s="130">
        <f>IF(ISBLANK(B35), "", IF(ISNUMBER(D35), IF(D35&gt;0, (COUNTIF(E35:AH35, "✓") + COUNTIF(E35:AH35, "✔") + COUNTIF(E35:AH35, "v") + COUNTIF(E35:AH35, "V"))/D35, 0), IF(((COUNTIF(E35:AH35, "✓") + COUNTIF(E35:AH35, "✔") + COUNTIF(E35:AH35, "v") + COUNTIF(E35:AH35, "V")) + COUNTIF(E35:AH35, "✗") + COUNTIF(E35:AH35, "x") + COUNTIF(E35:AH35, "X"))&gt;0, (COUNTIF(E35:AH35, "✓") + COUNTIF(E35:AH35, "✔") + COUNTIF(E35:AH35, "v") + COUNTIF(E35:AH35, "V"))/((COUNTIF(E35:AH35, "✓") + COUNTIF(E35:AH35, "✔") + COUNTIF(E35:AH35, "v") + COUNTIF(E35:AH35, "V")) + COUNTIF(E35:AH35, "✗") + COUNTIF(E35:AH35, "x") + COUNTIF(E35:AH35, "X")), "")))</f>
        <v/>
      </c>
      <c r="AJ35" s="131">
        <f>IF(ISBLANK(B35), "", IF(ISNUMBER(D35), IF(D35&gt;0, (COUNTIF(E35:AH35, "✓") + COUNTIF(E35:AH35, "✔") + COUNTIF(E35:AH35, "v") + COUNTIF(E35:AH35, "V")) &amp; "/" &amp; D35, (COUNTIF(E35:AH35, "✓") + COUNTIF(E35:AH35, "✔") + COUNTIF(E35:AH35, "v") + COUNTIF(E35:AH35, "V")) &amp; "/0"), IF(((COUNTIF(E35:AH35, "✓") + COUNTIF(E35:AH35, "✔") + COUNTIF(E35:AH35, "v") + COUNTIF(E35:AH35, "V")) + COUNTIF(E35:AH35, "✗") + COUNTIF(E35:AH35, "x") + COUNTIF(E35:AH35, "X"))&gt;0, (COUNTIF(E35:AH35, "✓") + COUNTIF(E35:AH35, "✔") + COUNTIF(E35:AH35, "v") + COUNTIF(E35:AH35, "V")) &amp; "/" &amp; ((COUNTIF(E35:AH35, "✓") + COUNTIF(E35:AH35, "✔") + COUNTIF(E35:AH35, "v") + COUNTIF(E35:AH35, "V")) + COUNTIF(E35:AH35, "✗") + COUNTIF(E35:AH35, "x") + COUNTIF(E35:AH35, "X")), "")))</f>
        <v/>
      </c>
      <c r="AK35" s="131">
        <f>IF(ISBLANK(B35), "", IF(AI35&gt;=0.85, "🔥 Mastered", IF(AI35&gt;=0.7, "⚡ Consistent", "⚠️ Needs Focus")))</f>
        <v/>
      </c>
      <c r="AL35">
        <f>COUNTIF(E35:AH35, "✓")</f>
        <v/>
      </c>
    </row>
    <row r="36" ht="14.5" customHeight="1">
      <c r="A36" s="125" t="n">
        <v>19</v>
      </c>
      <c r="B36" s="126" t="n"/>
      <c r="C36" s="127" t="n"/>
      <c r="D36" s="127" t="n"/>
      <c r="E36" s="128" t="n"/>
      <c r="F36" s="128" t="n"/>
      <c r="G36" s="128" t="n"/>
      <c r="H36" s="128" t="n"/>
      <c r="I36" s="129" t="n"/>
      <c r="J36" s="128" t="n"/>
      <c r="K36" s="128" t="n"/>
      <c r="L36" s="128" t="n"/>
      <c r="M36" s="128" t="n"/>
      <c r="N36" s="128" t="n"/>
      <c r="O36" s="128" t="n"/>
      <c r="P36" s="129" t="n"/>
      <c r="Q36" s="128" t="n"/>
      <c r="R36" s="128" t="n"/>
      <c r="S36" s="128" t="n"/>
      <c r="T36" s="128" t="n"/>
      <c r="U36" s="128" t="n"/>
      <c r="V36" s="128" t="n"/>
      <c r="W36" s="129" t="n"/>
      <c r="X36" s="128" t="n"/>
      <c r="Y36" s="128" t="n"/>
      <c r="Z36" s="128" t="n"/>
      <c r="AA36" s="128" t="n"/>
      <c r="AB36" s="128" t="n"/>
      <c r="AC36" s="128" t="n"/>
      <c r="AD36" s="129" t="n"/>
      <c r="AE36" s="128" t="n"/>
      <c r="AF36" s="128" t="n"/>
      <c r="AG36" s="128" t="n"/>
      <c r="AH36" s="128" t="n"/>
      <c r="AI36" s="130">
        <f>IF(ISBLANK(B36), "", IF(ISNUMBER(D36), IF(D36&gt;0, (COUNTIF(E36:AH36, "✓") + COUNTIF(E36:AH36, "✔") + COUNTIF(E36:AH36, "v") + COUNTIF(E36:AH36, "V"))/D36, 0), IF(((COUNTIF(E36:AH36, "✓") + COUNTIF(E36:AH36, "✔") + COUNTIF(E36:AH36, "v") + COUNTIF(E36:AH36, "V")) + COUNTIF(E36:AH36, "✗") + COUNTIF(E36:AH36, "x") + COUNTIF(E36:AH36, "X"))&gt;0, (COUNTIF(E36:AH36, "✓") + COUNTIF(E36:AH36, "✔") + COUNTIF(E36:AH36, "v") + COUNTIF(E36:AH36, "V"))/((COUNTIF(E36:AH36, "✓") + COUNTIF(E36:AH36, "✔") + COUNTIF(E36:AH36, "v") + COUNTIF(E36:AH36, "V")) + COUNTIF(E36:AH36, "✗") + COUNTIF(E36:AH36, "x") + COUNTIF(E36:AH36, "X")), "")))</f>
        <v/>
      </c>
      <c r="AJ36" s="131">
        <f>IF(ISBLANK(B36), "", IF(ISNUMBER(D36), IF(D36&gt;0, (COUNTIF(E36:AH36, "✓") + COUNTIF(E36:AH36, "✔") + COUNTIF(E36:AH36, "v") + COUNTIF(E36:AH36, "V")) &amp; "/" &amp; D36, (COUNTIF(E36:AH36, "✓") + COUNTIF(E36:AH36, "✔") + COUNTIF(E36:AH36, "v") + COUNTIF(E36:AH36, "V")) &amp; "/0"), IF(((COUNTIF(E36:AH36, "✓") + COUNTIF(E36:AH36, "✔") + COUNTIF(E36:AH36, "v") + COUNTIF(E36:AH36, "V")) + COUNTIF(E36:AH36, "✗") + COUNTIF(E36:AH36, "x") + COUNTIF(E36:AH36, "X"))&gt;0, (COUNTIF(E36:AH36, "✓") + COUNTIF(E36:AH36, "✔") + COUNTIF(E36:AH36, "v") + COUNTIF(E36:AH36, "V")) &amp; "/" &amp; ((COUNTIF(E36:AH36, "✓") + COUNTIF(E36:AH36, "✔") + COUNTIF(E36:AH36, "v") + COUNTIF(E36:AH36, "V")) + COUNTIF(E36:AH36, "✗") + COUNTIF(E36:AH36, "x") + COUNTIF(E36:AH36, "X")), "")))</f>
        <v/>
      </c>
      <c r="AK36" s="131">
        <f>IF(ISBLANK(B36), "", IF(AI36&gt;=0.85, "🔥 Mastered", IF(AI36&gt;=0.7, "⚡ Consistent", "⚠️ Needs Focus")))</f>
        <v/>
      </c>
      <c r="AL36">
        <f>COUNTIF(E36:AH36, "✓")</f>
        <v/>
      </c>
    </row>
    <row r="37" ht="14.5" customHeight="1">
      <c r="A37" s="125" t="n">
        <v>20</v>
      </c>
      <c r="B37" s="126" t="n"/>
      <c r="C37" s="127" t="n"/>
      <c r="D37" s="127" t="n"/>
      <c r="E37" s="128" t="n"/>
      <c r="F37" s="128" t="n"/>
      <c r="G37" s="128" t="n"/>
      <c r="H37" s="128" t="n"/>
      <c r="I37" s="129" t="n"/>
      <c r="J37" s="128" t="n"/>
      <c r="K37" s="128" t="n"/>
      <c r="L37" s="128" t="n"/>
      <c r="M37" s="128" t="n"/>
      <c r="N37" s="128" t="n"/>
      <c r="O37" s="128" t="n"/>
      <c r="P37" s="129" t="n"/>
      <c r="Q37" s="128" t="n"/>
      <c r="R37" s="128" t="n"/>
      <c r="S37" s="128" t="n"/>
      <c r="T37" s="128" t="n"/>
      <c r="U37" s="128" t="n"/>
      <c r="V37" s="128" t="n"/>
      <c r="W37" s="129" t="n"/>
      <c r="X37" s="128" t="n"/>
      <c r="Y37" s="128" t="n"/>
      <c r="Z37" s="128" t="n"/>
      <c r="AA37" s="128" t="n"/>
      <c r="AB37" s="128" t="n"/>
      <c r="AC37" s="128" t="n"/>
      <c r="AD37" s="129" t="n"/>
      <c r="AE37" s="128" t="n"/>
      <c r="AF37" s="128" t="n"/>
      <c r="AG37" s="128" t="n"/>
      <c r="AH37" s="128" t="n"/>
      <c r="AI37" s="130">
        <f>IF(ISBLANK(B37), "", IF(ISNUMBER(D37), IF(D37&gt;0, (COUNTIF(E37:AH37, "✓") + COUNTIF(E37:AH37, "✔") + COUNTIF(E37:AH37, "v") + COUNTIF(E37:AH37, "V"))/D37, 0), IF(((COUNTIF(E37:AH37, "✓") + COUNTIF(E37:AH37, "✔") + COUNTIF(E37:AH37, "v") + COUNTIF(E37:AH37, "V")) + COUNTIF(E37:AH37, "✗") + COUNTIF(E37:AH37, "x") + COUNTIF(E37:AH37, "X"))&gt;0, (COUNTIF(E37:AH37, "✓") + COUNTIF(E37:AH37, "✔") + COUNTIF(E37:AH37, "v") + COUNTIF(E37:AH37, "V"))/((COUNTIF(E37:AH37, "✓") + COUNTIF(E37:AH37, "✔") + COUNTIF(E37:AH37, "v") + COUNTIF(E37:AH37, "V")) + COUNTIF(E37:AH37, "✗") + COUNTIF(E37:AH37, "x") + COUNTIF(E37:AH37, "X")), "")))</f>
        <v/>
      </c>
      <c r="AJ37" s="131">
        <f>IF(ISBLANK(B37), "", IF(ISNUMBER(D37), IF(D37&gt;0, (COUNTIF(E37:AH37, "✓") + COUNTIF(E37:AH37, "✔") + COUNTIF(E37:AH37, "v") + COUNTIF(E37:AH37, "V")) &amp; "/" &amp; D37, (COUNTIF(E37:AH37, "✓") + COUNTIF(E37:AH37, "✔") + COUNTIF(E37:AH37, "v") + COUNTIF(E37:AH37, "V")) &amp; "/0"), IF(((COUNTIF(E37:AH37, "✓") + COUNTIF(E37:AH37, "✔") + COUNTIF(E37:AH37, "v") + COUNTIF(E37:AH37, "V")) + COUNTIF(E37:AH37, "✗") + COUNTIF(E37:AH37, "x") + COUNTIF(E37:AH37, "X"))&gt;0, (COUNTIF(E37:AH37, "✓") + COUNTIF(E37:AH37, "✔") + COUNTIF(E37:AH37, "v") + COUNTIF(E37:AH37, "V")) &amp; "/" &amp; ((COUNTIF(E37:AH37, "✓") + COUNTIF(E37:AH37, "✔") + COUNTIF(E37:AH37, "v") + COUNTIF(E37:AH37, "V")) + COUNTIF(E37:AH37, "✗") + COUNTIF(E37:AH37, "x") + COUNTIF(E37:AH37, "X")), "")))</f>
        <v/>
      </c>
      <c r="AK37" s="131">
        <f>IF(ISBLANK(B37), "", IF(AI37&gt;=0.85, "🔥 Mastered", IF(AI37&gt;=0.7, "⚡ Consistent", "⚠️ Needs Focus")))</f>
        <v/>
      </c>
      <c r="AL37">
        <f>COUNTIF(E37:AH37, "✓")</f>
        <v/>
      </c>
    </row>
    <row r="38" ht="18" customHeight="1">
      <c r="A38" s="132" t="inlineStr">
        <is>
          <t>DAILY TOTAL SCORE</t>
        </is>
      </c>
      <c r="B38" s="54" t="n"/>
      <c r="C38" s="54" t="n"/>
      <c r="D38" s="54" t="n"/>
      <c r="E38" s="33">
        <f>IF(((COUNTIF(E18:E37, "✓") + COUNTIF(E18:E37, "✔") + COUNTIF(E18:E37, "v") + COUNTIF(E18:E37, "V")) + COUNTIF(E18:E37, "✗") + COUNTIF(E18:E37, "x") + COUNTIF(E18:E37, "X")) &gt; 0, (COUNTIF(E18:E37, "✓") + COUNTIF(E18:E37, "✔") + COUNTIF(E18:E37, "v") + COUNTIF(E18:E37, "V")) &amp; "/" &amp; ((COUNTIF(E18:E37, "✓") + COUNTIF(E18:E37, "✔") + COUNTIF(E18:E37, "v") + COUNTIF(E18:E37, "V")) + COUNTIF(E18:E37, "✗") + COUNTIF(E18:E37, "x") + COUNTIF(E18:E37, "X")), "")</f>
        <v/>
      </c>
      <c r="F38" s="33">
        <f>IF(((COUNTIF(F18:F37, "✓") + COUNTIF(F18:F37, "✔") + COUNTIF(F18:F37, "v") + COUNTIF(F18:F37, "V")) + COUNTIF(F18:F37, "✗") + COUNTIF(F18:F37, "x") + COUNTIF(F18:F37, "X")) &gt; 0, (COUNTIF(F18:F37, "✓") + COUNTIF(F18:F37, "✔") + COUNTIF(F18:F37, "v") + COUNTIF(F18:F37, "V")) &amp; "/" &amp; ((COUNTIF(F18:F37, "✓") + COUNTIF(F18:F37, "✔") + COUNTIF(F18:F37, "v") + COUNTIF(F18:F37, "V")) + COUNTIF(F18:F37, "✗") + COUNTIF(F18:F37, "x") + COUNTIF(F18:F37, "X")), "")</f>
        <v/>
      </c>
      <c r="G38" s="33">
        <f>IF(((COUNTIF(G18:G37, "✓") + COUNTIF(G18:G37, "✔") + COUNTIF(G18:G37, "v") + COUNTIF(G18:G37, "V")) + COUNTIF(G18:G37, "✗") + COUNTIF(G18:G37, "x") + COUNTIF(G18:G37, "X")) &gt; 0, (COUNTIF(G18:G37, "✓") + COUNTIF(G18:G37, "✔") + COUNTIF(G18:G37, "v") + COUNTIF(G18:G37, "V")) &amp; "/" &amp; ((COUNTIF(G18:G37, "✓") + COUNTIF(G18:G37, "✔") + COUNTIF(G18:G37, "v") + COUNTIF(G18:G37, "V")) + COUNTIF(G18:G37, "✗") + COUNTIF(G18:G37, "x") + COUNTIF(G18:G37, "X")), "")</f>
        <v/>
      </c>
      <c r="H38" s="33">
        <f>IF(((COUNTIF(H18:H37, "✓") + COUNTIF(H18:H37, "✔") + COUNTIF(H18:H37, "v") + COUNTIF(H18:H37, "V")) + COUNTIF(H18:H37, "✗") + COUNTIF(H18:H37, "x") + COUNTIF(H18:H37, "X")) &gt; 0, (COUNTIF(H18:H37, "✓") + COUNTIF(H18:H37, "✔") + COUNTIF(H18:H37, "v") + COUNTIF(H18:H37, "V")) &amp; "/" &amp; ((COUNTIF(H18:H37, "✓") + COUNTIF(H18:H37, "✔") + COUNTIF(H18:H37, "v") + COUNTIF(H18:H37, "V")) + COUNTIF(H18:H37, "✗") + COUNTIF(H18:H37, "x") + COUNTIF(H18:H37, "X")), "")</f>
        <v/>
      </c>
      <c r="I38" s="33">
        <f>IF(((COUNTIF(I18:I37, "✓") + COUNTIF(I18:I37, "✔") + COUNTIF(I18:I37, "v") + COUNTIF(I18:I37, "V")) + COUNTIF(I18:I37, "✗") + COUNTIF(I18:I37, "x") + COUNTIF(I18:I37, "X")) &gt; 0, (COUNTIF(I18:I37, "✓") + COUNTIF(I18:I37, "✔") + COUNTIF(I18:I37, "v") + COUNTIF(I18:I37, "V")) &amp; "/" &amp; ((COUNTIF(I18:I37, "✓") + COUNTIF(I18:I37, "✔") + COUNTIF(I18:I37, "v") + COUNTIF(I18:I37, "V")) + COUNTIF(I18:I37, "✗") + COUNTIF(I18:I37, "x") + COUNTIF(I18:I37, "X")), "")</f>
        <v/>
      </c>
      <c r="J38" s="33">
        <f>IF(((COUNTIF(J18:J37, "✓") + COUNTIF(J18:J37, "✔") + COUNTIF(J18:J37, "v") + COUNTIF(J18:J37, "V")) + COUNTIF(J18:J37, "✗") + COUNTIF(J18:J37, "x") + COUNTIF(J18:J37, "X")) &gt; 0, (COUNTIF(J18:J37, "✓") + COUNTIF(J18:J37, "✔") + COUNTIF(J18:J37, "v") + COUNTIF(J18:J37, "V")) &amp; "/" &amp; ((COUNTIF(J18:J37, "✓") + COUNTIF(J18:J37, "✔") + COUNTIF(J18:J37, "v") + COUNTIF(J18:J37, "V")) + COUNTIF(J18:J37, "✗") + COUNTIF(J18:J37, "x") + COUNTIF(J18:J37, "X")), "")</f>
        <v/>
      </c>
      <c r="K38" s="33">
        <f>IF(((COUNTIF(K18:K37, "✓") + COUNTIF(K18:K37, "✔") + COUNTIF(K18:K37, "v") + COUNTIF(K18:K37, "V")) + COUNTIF(K18:K37, "✗") + COUNTIF(K18:K37, "x") + COUNTIF(K18:K37, "X")) &gt; 0, (COUNTIF(K18:K37, "✓") + COUNTIF(K18:K37, "✔") + COUNTIF(K18:K37, "v") + COUNTIF(K18:K37, "V")) &amp; "/" &amp; ((COUNTIF(K18:K37, "✓") + COUNTIF(K18:K37, "✔") + COUNTIF(K18:K37, "v") + COUNTIF(K18:K37, "V")) + COUNTIF(K18:K37, "✗") + COUNTIF(K18:K37, "x") + COUNTIF(K18:K37, "X")), "")</f>
        <v/>
      </c>
      <c r="L38" s="33">
        <f>IF(((COUNTIF(L18:L37, "✓") + COUNTIF(L18:L37, "✔") + COUNTIF(L18:L37, "v") + COUNTIF(L18:L37, "V")) + COUNTIF(L18:L37, "✗") + COUNTIF(L18:L37, "x") + COUNTIF(L18:L37, "X")) &gt; 0, (COUNTIF(L18:L37, "✓") + COUNTIF(L18:L37, "✔") + COUNTIF(L18:L37, "v") + COUNTIF(L18:L37, "V")) &amp; "/" &amp; ((COUNTIF(L18:L37, "✓") + COUNTIF(L18:L37, "✔") + COUNTIF(L18:L37, "v") + COUNTIF(L18:L37, "V")) + COUNTIF(L18:L37, "✗") + COUNTIF(L18:L37, "x") + COUNTIF(L18:L37, "X")), "")</f>
        <v/>
      </c>
      <c r="M38" s="33">
        <f>IF(((COUNTIF(M18:M37, "✓") + COUNTIF(M18:M37, "✔") + COUNTIF(M18:M37, "v") + COUNTIF(M18:M37, "V")) + COUNTIF(M18:M37, "✗") + COUNTIF(M18:M37, "x") + COUNTIF(M18:M37, "X")) &gt; 0, (COUNTIF(M18:M37, "✓") + COUNTIF(M18:M37, "✔") + COUNTIF(M18:M37, "v") + COUNTIF(M18:M37, "V")) &amp; "/" &amp; ((COUNTIF(M18:M37, "✓") + COUNTIF(M18:M37, "✔") + COUNTIF(M18:M37, "v") + COUNTIF(M18:M37, "V")) + COUNTIF(M18:M37, "✗") + COUNTIF(M18:M37, "x") + COUNTIF(M18:M37, "X")), "")</f>
        <v/>
      </c>
      <c r="N38" s="33">
        <f>IF(((COUNTIF(N18:N37, "✓") + COUNTIF(N18:N37, "✔") + COUNTIF(N18:N37, "v") + COUNTIF(N18:N37, "V")) + COUNTIF(N18:N37, "✗") + COUNTIF(N18:N37, "x") + COUNTIF(N18:N37, "X")) &gt; 0, (COUNTIF(N18:N37, "✓") + COUNTIF(N18:N37, "✔") + COUNTIF(N18:N37, "v") + COUNTIF(N18:N37, "V")) &amp; "/" &amp; ((COUNTIF(N18:N37, "✓") + COUNTIF(N18:N37, "✔") + COUNTIF(N18:N37, "v") + COUNTIF(N18:N37, "V")) + COUNTIF(N18:N37, "✗") + COUNTIF(N18:N37, "x") + COUNTIF(N18:N37, "X")), "")</f>
        <v/>
      </c>
      <c r="O38" s="33">
        <f>IF(((COUNTIF(O18:O37, "✓") + COUNTIF(O18:O37, "✔") + COUNTIF(O18:O37, "v") + COUNTIF(O18:O37, "V")) + COUNTIF(O18:O37, "✗") + COUNTIF(O18:O37, "x") + COUNTIF(O18:O37, "X")) &gt; 0, (COUNTIF(O18:O37, "✓") + COUNTIF(O18:O37, "✔") + COUNTIF(O18:O37, "v") + COUNTIF(O18:O37, "V")) &amp; "/" &amp; ((COUNTIF(O18:O37, "✓") + COUNTIF(O18:O37, "✔") + COUNTIF(O18:O37, "v") + COUNTIF(O18:O37, "V")) + COUNTIF(O18:O37, "✗") + COUNTIF(O18:O37, "x") + COUNTIF(O18:O37, "X")), "")</f>
        <v/>
      </c>
      <c r="P38" s="33">
        <f>IF(((COUNTIF(P18:P37, "✓") + COUNTIF(P18:P37, "✔") + COUNTIF(P18:P37, "v") + COUNTIF(P18:P37, "V")) + COUNTIF(P18:P37, "✗") + COUNTIF(P18:P37, "x") + COUNTIF(P18:P37, "X")) &gt; 0, (COUNTIF(P18:P37, "✓") + COUNTIF(P18:P37, "✔") + COUNTIF(P18:P37, "v") + COUNTIF(P18:P37, "V")) &amp; "/" &amp; ((COUNTIF(P18:P37, "✓") + COUNTIF(P18:P37, "✔") + COUNTIF(P18:P37, "v") + COUNTIF(P18:P37, "V")) + COUNTIF(P18:P37, "✗") + COUNTIF(P18:P37, "x") + COUNTIF(P18:P37, "X")), "")</f>
        <v/>
      </c>
      <c r="Q38" s="33">
        <f>IF(((COUNTIF(Q18:Q37, "✓") + COUNTIF(Q18:Q37, "✔") + COUNTIF(Q18:Q37, "v") + COUNTIF(Q18:Q37, "V")) + COUNTIF(Q18:Q37, "✗") + COUNTIF(Q18:Q37, "x") + COUNTIF(Q18:Q37, "X")) &gt; 0, (COUNTIF(Q18:Q37, "✓") + COUNTIF(Q18:Q37, "✔") + COUNTIF(Q18:Q37, "v") + COUNTIF(Q18:Q37, "V")) &amp; "/" &amp; ((COUNTIF(Q18:Q37, "✓") + COUNTIF(Q18:Q37, "✔") + COUNTIF(Q18:Q37, "v") + COUNTIF(Q18:Q37, "V")) + COUNTIF(Q18:Q37, "✗") + COUNTIF(Q18:Q37, "x") + COUNTIF(Q18:Q37, "X")), "")</f>
        <v/>
      </c>
      <c r="R38" s="33">
        <f>IF(((COUNTIF(R18:R37, "✓") + COUNTIF(R18:R37, "✔") + COUNTIF(R18:R37, "v") + COUNTIF(R18:R37, "V")) + COUNTIF(R18:R37, "✗") + COUNTIF(R18:R37, "x") + COUNTIF(R18:R37, "X")) &gt; 0, (COUNTIF(R18:R37, "✓") + COUNTIF(R18:R37, "✔") + COUNTIF(R18:R37, "v") + COUNTIF(R18:R37, "V")) &amp; "/" &amp; ((COUNTIF(R18:R37, "✓") + COUNTIF(R18:R37, "✔") + COUNTIF(R18:R37, "v") + COUNTIF(R18:R37, "V")) + COUNTIF(R18:R37, "✗") + COUNTIF(R18:R37, "x") + COUNTIF(R18:R37, "X")), "")</f>
        <v/>
      </c>
      <c r="S38" s="33">
        <f>IF(((COUNTIF(S18:S37, "✓") + COUNTIF(S18:S37, "✔") + COUNTIF(S18:S37, "v") + COUNTIF(S18:S37, "V")) + COUNTIF(S18:S37, "✗") + COUNTIF(S18:S37, "x") + COUNTIF(S18:S37, "X")) &gt; 0, (COUNTIF(S18:S37, "✓") + COUNTIF(S18:S37, "✔") + COUNTIF(S18:S37, "v") + COUNTIF(S18:S37, "V")) &amp; "/" &amp; ((COUNTIF(S18:S37, "✓") + COUNTIF(S18:S37, "✔") + COUNTIF(S18:S37, "v") + COUNTIF(S18:S37, "V")) + COUNTIF(S18:S37, "✗") + COUNTIF(S18:S37, "x") + COUNTIF(S18:S37, "X")), "")</f>
        <v/>
      </c>
      <c r="T38" s="33">
        <f>IF(((COUNTIF(T18:T37, "✓") + COUNTIF(T18:T37, "✔") + COUNTIF(T18:T37, "v") + COUNTIF(T18:T37, "V")) + COUNTIF(T18:T37, "✗") + COUNTIF(T18:T37, "x") + COUNTIF(T18:T37, "X")) &gt; 0, (COUNTIF(T18:T37, "✓") + COUNTIF(T18:T37, "✔") + COUNTIF(T18:T37, "v") + COUNTIF(T18:T37, "V")) &amp; "/" &amp; ((COUNTIF(T18:T37, "✓") + COUNTIF(T18:T37, "✔") + COUNTIF(T18:T37, "v") + COUNTIF(T18:T37, "V")) + COUNTIF(T18:T37, "✗") + COUNTIF(T18:T37, "x") + COUNTIF(T18:T37, "X")), "")</f>
        <v/>
      </c>
      <c r="U38" s="33">
        <f>IF(((COUNTIF(U18:U37, "✓") + COUNTIF(U18:U37, "✔") + COUNTIF(U18:U37, "v") + COUNTIF(U18:U37, "V")) + COUNTIF(U18:U37, "✗") + COUNTIF(U18:U37, "x") + COUNTIF(U18:U37, "X")) &gt; 0, (COUNTIF(U18:U37, "✓") + COUNTIF(U18:U37, "✔") + COUNTIF(U18:U37, "v") + COUNTIF(U18:U37, "V")) &amp; "/" &amp; ((COUNTIF(U18:U37, "✓") + COUNTIF(U18:U37, "✔") + COUNTIF(U18:U37, "v") + COUNTIF(U18:U37, "V")) + COUNTIF(U18:U37, "✗") + COUNTIF(U18:U37, "x") + COUNTIF(U18:U37, "X")), "")</f>
        <v/>
      </c>
      <c r="V38" s="33">
        <f>IF(((COUNTIF(V18:V37, "✓") + COUNTIF(V18:V37, "✔") + COUNTIF(V18:V37, "v") + COUNTIF(V18:V37, "V")) + COUNTIF(V18:V37, "✗") + COUNTIF(V18:V37, "x") + COUNTIF(V18:V37, "X")) &gt; 0, (COUNTIF(V18:V37, "✓") + COUNTIF(V18:V37, "✔") + COUNTIF(V18:V37, "v") + COUNTIF(V18:V37, "V")) &amp; "/" &amp; ((COUNTIF(V18:V37, "✓") + COUNTIF(V18:V37, "✔") + COUNTIF(V18:V37, "v") + COUNTIF(V18:V37, "V")) + COUNTIF(V18:V37, "✗") + COUNTIF(V18:V37, "x") + COUNTIF(V18:V37, "X")), "")</f>
        <v/>
      </c>
      <c r="W38" s="33">
        <f>IF(((COUNTIF(W18:W37, "✓") + COUNTIF(W18:W37, "✔") + COUNTIF(W18:W37, "v") + COUNTIF(W18:W37, "V")) + COUNTIF(W18:W37, "✗") + COUNTIF(W18:W37, "x") + COUNTIF(W18:W37, "X")) &gt; 0, (COUNTIF(W18:W37, "✓") + COUNTIF(W18:W37, "✔") + COUNTIF(W18:W37, "v") + COUNTIF(W18:W37, "V")) &amp; "/" &amp; ((COUNTIF(W18:W37, "✓") + COUNTIF(W18:W37, "✔") + COUNTIF(W18:W37, "v") + COUNTIF(W18:W37, "V")) + COUNTIF(W18:W37, "✗") + COUNTIF(W18:W37, "x") + COUNTIF(W18:W37, "X")), "")</f>
        <v/>
      </c>
      <c r="X38" s="33">
        <f>IF(((COUNTIF(X18:X37, "✓") + COUNTIF(X18:X37, "✔") + COUNTIF(X18:X37, "v") + COUNTIF(X18:X37, "V")) + COUNTIF(X18:X37, "✗") + COUNTIF(X18:X37, "x") + COUNTIF(X18:X37, "X")) &gt; 0, (COUNTIF(X18:X37, "✓") + COUNTIF(X18:X37, "✔") + COUNTIF(X18:X37, "v") + COUNTIF(X18:X37, "V")) &amp; "/" &amp; ((COUNTIF(X18:X37, "✓") + COUNTIF(X18:X37, "✔") + COUNTIF(X18:X37, "v") + COUNTIF(X18:X37, "V")) + COUNTIF(X18:X37, "✗") + COUNTIF(X18:X37, "x") + COUNTIF(X18:X37, "X")), "")</f>
        <v/>
      </c>
      <c r="Y38" s="33">
        <f>IF(((COUNTIF(Y18:Y37, "✓") + COUNTIF(Y18:Y37, "✔") + COUNTIF(Y18:Y37, "v") + COUNTIF(Y18:Y37, "V")) + COUNTIF(Y18:Y37, "✗") + COUNTIF(Y18:Y37, "x") + COUNTIF(Y18:Y37, "X")) &gt; 0, (COUNTIF(Y18:Y37, "✓") + COUNTIF(Y18:Y37, "✔") + COUNTIF(Y18:Y37, "v") + COUNTIF(Y18:Y37, "V")) &amp; "/" &amp; ((COUNTIF(Y18:Y37, "✓") + COUNTIF(Y18:Y37, "✔") + COUNTIF(Y18:Y37, "v") + COUNTIF(Y18:Y37, "V")) + COUNTIF(Y18:Y37, "✗") + COUNTIF(Y18:Y37, "x") + COUNTIF(Y18:Y37, "X")), "")</f>
        <v/>
      </c>
      <c r="Z38" s="33">
        <f>IF(((COUNTIF(Z18:Z37, "✓") + COUNTIF(Z18:Z37, "✔") + COUNTIF(Z18:Z37, "v") + COUNTIF(Z18:Z37, "V")) + COUNTIF(Z18:Z37, "✗") + COUNTIF(Z18:Z37, "x") + COUNTIF(Z18:Z37, "X")) &gt; 0, (COUNTIF(Z18:Z37, "✓") + COUNTIF(Z18:Z37, "✔") + COUNTIF(Z18:Z37, "v") + COUNTIF(Z18:Z37, "V")) &amp; "/" &amp; ((COUNTIF(Z18:Z37, "✓") + COUNTIF(Z18:Z37, "✔") + COUNTIF(Z18:Z37, "v") + COUNTIF(Z18:Z37, "V")) + COUNTIF(Z18:Z37, "✗") + COUNTIF(Z18:Z37, "x") + COUNTIF(Z18:Z37, "X")), "")</f>
        <v/>
      </c>
      <c r="AA38" s="33">
        <f>IF(((COUNTIF(AA18:AA37, "✓") + COUNTIF(AA18:AA37, "✔") + COUNTIF(AA18:AA37, "v") + COUNTIF(AA18:AA37, "V")) + COUNTIF(AA18:AA37, "✗") + COUNTIF(AA18:AA37, "x") + COUNTIF(AA18:AA37, "X")) &gt; 0, (COUNTIF(AA18:AA37, "✓") + COUNTIF(AA18:AA37, "✔") + COUNTIF(AA18:AA37, "v") + COUNTIF(AA18:AA37, "V")) &amp; "/" &amp; ((COUNTIF(AA18:AA37, "✓") + COUNTIF(AA18:AA37, "✔") + COUNTIF(AA18:AA37, "v") + COUNTIF(AA18:AA37, "V")) + COUNTIF(AA18:AA37, "✗") + COUNTIF(AA18:AA37, "x") + COUNTIF(AA18:AA37, "X")), "")</f>
        <v/>
      </c>
      <c r="AB38" s="33">
        <f>IF(((COUNTIF(AB18:AB37, "✓") + COUNTIF(AB18:AB37, "✔") + COUNTIF(AB18:AB37, "v") + COUNTIF(AB18:AB37, "V")) + COUNTIF(AB18:AB37, "✗") + COUNTIF(AB18:AB37, "x") + COUNTIF(AB18:AB37, "X")) &gt; 0, (COUNTIF(AB18:AB37, "✓") + COUNTIF(AB18:AB37, "✔") + COUNTIF(AB18:AB37, "v") + COUNTIF(AB18:AB37, "V")) &amp; "/" &amp; ((COUNTIF(AB18:AB37, "✓") + COUNTIF(AB18:AB37, "✔") + COUNTIF(AB18:AB37, "v") + COUNTIF(AB18:AB37, "V")) + COUNTIF(AB18:AB37, "✗") + COUNTIF(AB18:AB37, "x") + COUNTIF(AB18:AB37, "X")), "")</f>
        <v/>
      </c>
      <c r="AC38" s="33">
        <f>IF(((COUNTIF(AC18:AC37, "✓") + COUNTIF(AC18:AC37, "✔") + COUNTIF(AC18:AC37, "v") + COUNTIF(AC18:AC37, "V")) + COUNTIF(AC18:AC37, "✗") + COUNTIF(AC18:AC37, "x") + COUNTIF(AC18:AC37, "X")) &gt; 0, (COUNTIF(AC18:AC37, "✓") + COUNTIF(AC18:AC37, "✔") + COUNTIF(AC18:AC37, "v") + COUNTIF(AC18:AC37, "V")) &amp; "/" &amp; ((COUNTIF(AC18:AC37, "✓") + COUNTIF(AC18:AC37, "✔") + COUNTIF(AC18:AC37, "v") + COUNTIF(AC18:AC37, "V")) + COUNTIF(AC18:AC37, "✗") + COUNTIF(AC18:AC37, "x") + COUNTIF(AC18:AC37, "X")), "")</f>
        <v/>
      </c>
      <c r="AD38" s="33">
        <f>IF(((COUNTIF(AD18:AD37, "✓") + COUNTIF(AD18:AD37, "✔") + COUNTIF(AD18:AD37, "v") + COUNTIF(AD18:AD37, "V")) + COUNTIF(AD18:AD37, "✗") + COUNTIF(AD18:AD37, "x") + COUNTIF(AD18:AD37, "X")) &gt; 0, (COUNTIF(AD18:AD37, "✓") + COUNTIF(AD18:AD37, "✔") + COUNTIF(AD18:AD37, "v") + COUNTIF(AD18:AD37, "V")) &amp; "/" &amp; ((COUNTIF(AD18:AD37, "✓") + COUNTIF(AD18:AD37, "✔") + COUNTIF(AD18:AD37, "v") + COUNTIF(AD18:AD37, "V")) + COUNTIF(AD18:AD37, "✗") + COUNTIF(AD18:AD37, "x") + COUNTIF(AD18:AD37, "X")), "")</f>
        <v/>
      </c>
      <c r="AE38" s="33">
        <f>IF(((COUNTIF(AE18:AE37, "✓") + COUNTIF(AE18:AE37, "✔") + COUNTIF(AE18:AE37, "v") + COUNTIF(AE18:AE37, "V")) + COUNTIF(AE18:AE37, "✗") + COUNTIF(AE18:AE37, "x") + COUNTIF(AE18:AE37, "X")) &gt; 0, (COUNTIF(AE18:AE37, "✓") + COUNTIF(AE18:AE37, "✔") + COUNTIF(AE18:AE37, "v") + COUNTIF(AE18:AE37, "V")) &amp; "/" &amp; ((COUNTIF(AE18:AE37, "✓") + COUNTIF(AE18:AE37, "✔") + COUNTIF(AE18:AE37, "v") + COUNTIF(AE18:AE37, "V")) + COUNTIF(AE18:AE37, "✗") + COUNTIF(AE18:AE37, "x") + COUNTIF(AE18:AE37, "X")), "")</f>
        <v/>
      </c>
      <c r="AF38" s="33">
        <f>IF(((COUNTIF(AF18:AF37, "✓") + COUNTIF(AF18:AF37, "✔") + COUNTIF(AF18:AF37, "v") + COUNTIF(AF18:AF37, "V")) + COUNTIF(AF18:AF37, "✗") + COUNTIF(AF18:AF37, "x") + COUNTIF(AF18:AF37, "X")) &gt; 0, (COUNTIF(AF18:AF37, "✓") + COUNTIF(AF18:AF37, "✔") + COUNTIF(AF18:AF37, "v") + COUNTIF(AF18:AF37, "V")) &amp; "/" &amp; ((COUNTIF(AF18:AF37, "✓") + COUNTIF(AF18:AF37, "✔") + COUNTIF(AF18:AF37, "v") + COUNTIF(AF18:AF37, "V")) + COUNTIF(AF18:AF37, "✗") + COUNTIF(AF18:AF37, "x") + COUNTIF(AF18:AF37, "X")), "")</f>
        <v/>
      </c>
      <c r="AG38" s="33">
        <f>IF(((COUNTIF(AG18:AG37, "✓") + COUNTIF(AG18:AG37, "✔") + COUNTIF(AG18:AG37, "v") + COUNTIF(AG18:AG37, "V")) + COUNTIF(AG18:AG37, "✗") + COUNTIF(AG18:AG37, "x") + COUNTIF(AG18:AG37, "X")) &gt; 0, (COUNTIF(AG18:AG37, "✓") + COUNTIF(AG18:AG37, "✔") + COUNTIF(AG18:AG37, "v") + COUNTIF(AG18:AG37, "V")) &amp; "/" &amp; ((COUNTIF(AG18:AG37, "✓") + COUNTIF(AG18:AG37, "✔") + COUNTIF(AG18:AG37, "v") + COUNTIF(AG18:AG37, "V")) + COUNTIF(AG18:AG37, "✗") + COUNTIF(AG18:AG37, "x") + COUNTIF(AG18:AG37, "X")), "")</f>
        <v/>
      </c>
      <c r="AH38" s="33">
        <f>IF(((COUNTIF(AH18:AH37, "✓") + COUNTIF(AH18:AH37, "✔") + COUNTIF(AH18:AH37, "v") + COUNTIF(AH18:AH37, "V")) + COUNTIF(AH18:AH37, "✗") + COUNTIF(AH18:AH37, "x") + COUNTIF(AH18:AH37, "X")) &gt; 0, (COUNTIF(AH18:AH37, "✓") + COUNTIF(AH18:AH37, "✔") + COUNTIF(AH18:AH37, "v") + COUNTIF(AH18:AH37, "V")) &amp; "/" &amp; ((COUNTIF(AH18:AH37, "✓") + COUNTIF(AH18:AH37, "✔") + COUNTIF(AH18:AH37, "v") + COUNTIF(AH18:AH37, "V")) + COUNTIF(AH18:AH37, "✗") + COUNTIF(AH18:AH37, "x") + COUNTIF(AH18:AH37, "X")), "")</f>
        <v/>
      </c>
      <c r="AI38" s="133">
        <f>IF(SUM(D18:D37) &gt; 0, SUM(AL18:AL37) / SUM(D18:D37), "")</f>
        <v/>
      </c>
      <c r="AJ38" s="33">
        <f>IF(SUM(D18:D37) &gt; 0, SUM(AL18:AL37) &amp; "/" &amp; SUM(D18:D37), "")</f>
        <v/>
      </c>
      <c r="AK38" s="54" t="n"/>
    </row>
    <row r="39" ht="18" customHeight="1">
      <c r="A39" s="132" t="inlineStr">
        <is>
          <t>DAILY SUCCESS %</t>
        </is>
      </c>
      <c r="B39" s="54" t="n"/>
      <c r="C39" s="54" t="n"/>
      <c r="D39" s="54" t="n"/>
      <c r="E39" s="134">
        <f>IF(((COUNTIF(E18:E37, "✓") + COUNTIF(E18:E37, "✔") + COUNTIF(E18:E37, "v") + COUNTIF(E18:E37, "V")) + COUNTIF(E18:E37, "✗") + COUNTIF(E18:E37, "x") + COUNTIF(E18:E37, "X")) &gt; 0, (COUNTIF(E18:E37, "✓") + COUNTIF(E18:E37, "✔") + COUNTIF(E18:E37, "v") + COUNTIF(E18:E37, "V")) / ((COUNTIF(E18:E37, "✓") + COUNTIF(E18:E37, "✔") + COUNTIF(E18:E37, "v") + COUNTIF(E18:E37, "V")) + COUNTIF(E18:E37, "✗") + COUNTIF(E18:E37, "x") + COUNTIF(E18:E37, "X")), "")</f>
        <v/>
      </c>
      <c r="F39" s="134">
        <f>IF(((COUNTIF(F18:F37, "✓") + COUNTIF(F18:F37, "✔") + COUNTIF(F18:F37, "v") + COUNTIF(F18:F37, "V")) + COUNTIF(F18:F37, "✗") + COUNTIF(F18:F37, "x") + COUNTIF(F18:F37, "X")) &gt; 0, (COUNTIF(F18:F37, "✓") + COUNTIF(F18:F37, "✔") + COUNTIF(F18:F37, "v") + COUNTIF(F18:F37, "V")) / ((COUNTIF(F18:F37, "✓") + COUNTIF(F18:F37, "✔") + COUNTIF(F18:F37, "v") + COUNTIF(F18:F37, "V")) + COUNTIF(F18:F37, "✗") + COUNTIF(F18:F37, "x") + COUNTIF(F18:F37, "X")), "")</f>
        <v/>
      </c>
      <c r="G39" s="134">
        <f>IF(((COUNTIF(G18:G37, "✓") + COUNTIF(G18:G37, "✔") + COUNTIF(G18:G37, "v") + COUNTIF(G18:G37, "V")) + COUNTIF(G18:G37, "✗") + COUNTIF(G18:G37, "x") + COUNTIF(G18:G37, "X")) &gt; 0, (COUNTIF(G18:G37, "✓") + COUNTIF(G18:G37, "✔") + COUNTIF(G18:G37, "v") + COUNTIF(G18:G37, "V")) / ((COUNTIF(G18:G37, "✓") + COUNTIF(G18:G37, "✔") + COUNTIF(G18:G37, "v") + COUNTIF(G18:G37, "V")) + COUNTIF(G18:G37, "✗") + COUNTIF(G18:G37, "x") + COUNTIF(G18:G37, "X")), "")</f>
        <v/>
      </c>
      <c r="H39" s="134">
        <f>IF(((COUNTIF(H18:H37, "✓") + COUNTIF(H18:H37, "✔") + COUNTIF(H18:H37, "v") + COUNTIF(H18:H37, "V")) + COUNTIF(H18:H37, "✗") + COUNTIF(H18:H37, "x") + COUNTIF(H18:H37, "X")) &gt; 0, (COUNTIF(H18:H37, "✓") + COUNTIF(H18:H37, "✔") + COUNTIF(H18:H37, "v") + COUNTIF(H18:H37, "V")) / ((COUNTIF(H18:H37, "✓") + COUNTIF(H18:H37, "✔") + COUNTIF(H18:H37, "v") + COUNTIF(H18:H37, "V")) + COUNTIF(H18:H37, "✗") + COUNTIF(H18:H37, "x") + COUNTIF(H18:H37, "X")), "")</f>
        <v/>
      </c>
      <c r="I39" s="134">
        <f>IF(((COUNTIF(I18:I37, "✓") + COUNTIF(I18:I37, "✔") + COUNTIF(I18:I37, "v") + COUNTIF(I18:I37, "V")) + COUNTIF(I18:I37, "✗") + COUNTIF(I18:I37, "x") + COUNTIF(I18:I37, "X")) &gt; 0, (COUNTIF(I18:I37, "✓") + COUNTIF(I18:I37, "✔") + COUNTIF(I18:I37, "v") + COUNTIF(I18:I37, "V")) / ((COUNTIF(I18:I37, "✓") + COUNTIF(I18:I37, "✔") + COUNTIF(I18:I37, "v") + COUNTIF(I18:I37, "V")) + COUNTIF(I18:I37, "✗") + COUNTIF(I18:I37, "x") + COUNTIF(I18:I37, "X")), "")</f>
        <v/>
      </c>
      <c r="J39" s="134">
        <f>IF(((COUNTIF(J18:J37, "✓") + COUNTIF(J18:J37, "✔") + COUNTIF(J18:J37, "v") + COUNTIF(J18:J37, "V")) + COUNTIF(J18:J37, "✗") + COUNTIF(J18:J37, "x") + COUNTIF(J18:J37, "X")) &gt; 0, (COUNTIF(J18:J37, "✓") + COUNTIF(J18:J37, "✔") + COUNTIF(J18:J37, "v") + COUNTIF(J18:J37, "V")) / ((COUNTIF(J18:J37, "✓") + COUNTIF(J18:J37, "✔") + COUNTIF(J18:J37, "v") + COUNTIF(J18:J37, "V")) + COUNTIF(J18:J37, "✗") + COUNTIF(J18:J37, "x") + COUNTIF(J18:J37, "X")), "")</f>
        <v/>
      </c>
      <c r="K39" s="134">
        <f>IF(((COUNTIF(K18:K37, "✓") + COUNTIF(K18:K37, "✔") + COUNTIF(K18:K37, "v") + COUNTIF(K18:K37, "V")) + COUNTIF(K18:K37, "✗") + COUNTIF(K18:K37, "x") + COUNTIF(K18:K37, "X")) &gt; 0, (COUNTIF(K18:K37, "✓") + COUNTIF(K18:K37, "✔") + COUNTIF(K18:K37, "v") + COUNTIF(K18:K37, "V")) / ((COUNTIF(K18:K37, "✓") + COUNTIF(K18:K37, "✔") + COUNTIF(K18:K37, "v") + COUNTIF(K18:K37, "V")) + COUNTIF(K18:K37, "✗") + COUNTIF(K18:K37, "x") + COUNTIF(K18:K37, "X")), "")</f>
        <v/>
      </c>
      <c r="L39" s="134">
        <f>IF(((COUNTIF(L18:L37, "✓") + COUNTIF(L18:L37, "✔") + COUNTIF(L18:L37, "v") + COUNTIF(L18:L37, "V")) + COUNTIF(L18:L37, "✗") + COUNTIF(L18:L37, "x") + COUNTIF(L18:L37, "X")) &gt; 0, (COUNTIF(L18:L37, "✓") + COUNTIF(L18:L37, "✔") + COUNTIF(L18:L37, "v") + COUNTIF(L18:L37, "V")) / ((COUNTIF(L18:L37, "✓") + COUNTIF(L18:L37, "✔") + COUNTIF(L18:L37, "v") + COUNTIF(L18:L37, "V")) + COUNTIF(L18:L37, "✗") + COUNTIF(L18:L37, "x") + COUNTIF(L18:L37, "X")), "")</f>
        <v/>
      </c>
      <c r="M39" s="134">
        <f>IF(((COUNTIF(M18:M37, "✓") + COUNTIF(M18:M37, "✔") + COUNTIF(M18:M37, "v") + COUNTIF(M18:M37, "V")) + COUNTIF(M18:M37, "✗") + COUNTIF(M18:M37, "x") + COUNTIF(M18:M37, "X")) &gt; 0, (COUNTIF(M18:M37, "✓") + COUNTIF(M18:M37, "✔") + COUNTIF(M18:M37, "v") + COUNTIF(M18:M37, "V")) / ((COUNTIF(M18:M37, "✓") + COUNTIF(M18:M37, "✔") + COUNTIF(M18:M37, "v") + COUNTIF(M18:M37, "V")) + COUNTIF(M18:M37, "✗") + COUNTIF(M18:M37, "x") + COUNTIF(M18:M37, "X")), "")</f>
        <v/>
      </c>
      <c r="N39" s="134">
        <f>IF(((COUNTIF(N18:N37, "✓") + COUNTIF(N18:N37, "✔") + COUNTIF(N18:N37, "v") + COUNTIF(N18:N37, "V")) + COUNTIF(N18:N37, "✗") + COUNTIF(N18:N37, "x") + COUNTIF(N18:N37, "X")) &gt; 0, (COUNTIF(N18:N37, "✓") + COUNTIF(N18:N37, "✔") + COUNTIF(N18:N37, "v") + COUNTIF(N18:N37, "V")) / ((COUNTIF(N18:N37, "✓") + COUNTIF(N18:N37, "✔") + COUNTIF(N18:N37, "v") + COUNTIF(N18:N37, "V")) + COUNTIF(N18:N37, "✗") + COUNTIF(N18:N37, "x") + COUNTIF(N18:N37, "X")), "")</f>
        <v/>
      </c>
      <c r="O39" s="134">
        <f>IF(((COUNTIF(O18:O37, "✓") + COUNTIF(O18:O37, "✔") + COUNTIF(O18:O37, "v") + COUNTIF(O18:O37, "V")) + COUNTIF(O18:O37, "✗") + COUNTIF(O18:O37, "x") + COUNTIF(O18:O37, "X")) &gt; 0, (COUNTIF(O18:O37, "✓") + COUNTIF(O18:O37, "✔") + COUNTIF(O18:O37, "v") + COUNTIF(O18:O37, "V")) / ((COUNTIF(O18:O37, "✓") + COUNTIF(O18:O37, "✔") + COUNTIF(O18:O37, "v") + COUNTIF(O18:O37, "V")) + COUNTIF(O18:O37, "✗") + COUNTIF(O18:O37, "x") + COUNTIF(O18:O37, "X")), "")</f>
        <v/>
      </c>
      <c r="P39" s="134">
        <f>IF(((COUNTIF(P18:P37, "✓") + COUNTIF(P18:P37, "✔") + COUNTIF(P18:P37, "v") + COUNTIF(P18:P37, "V")) + COUNTIF(P18:P37, "✗") + COUNTIF(P18:P37, "x") + COUNTIF(P18:P37, "X")) &gt; 0, (COUNTIF(P18:P37, "✓") + COUNTIF(P18:P37, "✔") + COUNTIF(P18:P37, "v") + COUNTIF(P18:P37, "V")) / ((COUNTIF(P18:P37, "✓") + COUNTIF(P18:P37, "✔") + COUNTIF(P18:P37, "v") + COUNTIF(P18:P37, "V")) + COUNTIF(P18:P37, "✗") + COUNTIF(P18:P37, "x") + COUNTIF(P18:P37, "X")), "")</f>
        <v/>
      </c>
      <c r="Q39" s="134">
        <f>IF(((COUNTIF(Q18:Q37, "✓") + COUNTIF(Q18:Q37, "✔") + COUNTIF(Q18:Q37, "v") + COUNTIF(Q18:Q37, "V")) + COUNTIF(Q18:Q37, "✗") + COUNTIF(Q18:Q37, "x") + COUNTIF(Q18:Q37, "X")) &gt; 0, (COUNTIF(Q18:Q37, "✓") + COUNTIF(Q18:Q37, "✔") + COUNTIF(Q18:Q37, "v") + COUNTIF(Q18:Q37, "V")) / ((COUNTIF(Q18:Q37, "✓") + COUNTIF(Q18:Q37, "✔") + COUNTIF(Q18:Q37, "v") + COUNTIF(Q18:Q37, "V")) + COUNTIF(Q18:Q37, "✗") + COUNTIF(Q18:Q37, "x") + COUNTIF(Q18:Q37, "X")), "")</f>
        <v/>
      </c>
      <c r="R39" s="134">
        <f>IF(((COUNTIF(R18:R37, "✓") + COUNTIF(R18:R37, "✔") + COUNTIF(R18:R37, "v") + COUNTIF(R18:R37, "V")) + COUNTIF(R18:R37, "✗") + COUNTIF(R18:R37, "x") + COUNTIF(R18:R37, "X")) &gt; 0, (COUNTIF(R18:R37, "✓") + COUNTIF(R18:R37, "✔") + COUNTIF(R18:R37, "v") + COUNTIF(R18:R37, "V")) / ((COUNTIF(R18:R37, "✓") + COUNTIF(R18:R37, "✔") + COUNTIF(R18:R37, "v") + COUNTIF(R18:R37, "V")) + COUNTIF(R18:R37, "✗") + COUNTIF(R18:R37, "x") + COUNTIF(R18:R37, "X")), "")</f>
        <v/>
      </c>
      <c r="S39" s="134">
        <f>IF(((COUNTIF(S18:S37, "✓") + COUNTIF(S18:S37, "✔") + COUNTIF(S18:S37, "v") + COUNTIF(S18:S37, "V")) + COUNTIF(S18:S37, "✗") + COUNTIF(S18:S37, "x") + COUNTIF(S18:S37, "X")) &gt; 0, (COUNTIF(S18:S37, "✓") + COUNTIF(S18:S37, "✔") + COUNTIF(S18:S37, "v") + COUNTIF(S18:S37, "V")) / ((COUNTIF(S18:S37, "✓") + COUNTIF(S18:S37, "✔") + COUNTIF(S18:S37, "v") + COUNTIF(S18:S37, "V")) + COUNTIF(S18:S37, "✗") + COUNTIF(S18:S37, "x") + COUNTIF(S18:S37, "X")), "")</f>
        <v/>
      </c>
      <c r="T39" s="134">
        <f>IF(((COUNTIF(T18:T37, "✓") + COUNTIF(T18:T37, "✔") + COUNTIF(T18:T37, "v") + COUNTIF(T18:T37, "V")) + COUNTIF(T18:T37, "✗") + COUNTIF(T18:T37, "x") + COUNTIF(T18:T37, "X")) &gt; 0, (COUNTIF(T18:T37, "✓") + COUNTIF(T18:T37, "✔") + COUNTIF(T18:T37, "v") + COUNTIF(T18:T37, "V")) / ((COUNTIF(T18:T37, "✓") + COUNTIF(T18:T37, "✔") + COUNTIF(T18:T37, "v") + COUNTIF(T18:T37, "V")) + COUNTIF(T18:T37, "✗") + COUNTIF(T18:T37, "x") + COUNTIF(T18:T37, "X")), "")</f>
        <v/>
      </c>
      <c r="U39" s="134">
        <f>IF(((COUNTIF(U18:U37, "✓") + COUNTIF(U18:U37, "✔") + COUNTIF(U18:U37, "v") + COUNTIF(U18:U37, "V")) + COUNTIF(U18:U37, "✗") + COUNTIF(U18:U37, "x") + COUNTIF(U18:U37, "X")) &gt; 0, (COUNTIF(U18:U37, "✓") + COUNTIF(U18:U37, "✔") + COUNTIF(U18:U37, "v") + COUNTIF(U18:U37, "V")) / ((COUNTIF(U18:U37, "✓") + COUNTIF(U18:U37, "✔") + COUNTIF(U18:U37, "v") + COUNTIF(U18:U37, "V")) + COUNTIF(U18:U37, "✗") + COUNTIF(U18:U37, "x") + COUNTIF(U18:U37, "X")), "")</f>
        <v/>
      </c>
      <c r="V39" s="134">
        <f>IF(((COUNTIF(V18:V37, "✓") + COUNTIF(V18:V37, "✔") + COUNTIF(V18:V37, "v") + COUNTIF(V18:V37, "V")) + COUNTIF(V18:V37, "✗") + COUNTIF(V18:V37, "x") + COUNTIF(V18:V37, "X")) &gt; 0, (COUNTIF(V18:V37, "✓") + COUNTIF(V18:V37, "✔") + COUNTIF(V18:V37, "v") + COUNTIF(V18:V37, "V")) / ((COUNTIF(V18:V37, "✓") + COUNTIF(V18:V37, "✔") + COUNTIF(V18:V37, "v") + COUNTIF(V18:V37, "V")) + COUNTIF(V18:V37, "✗") + COUNTIF(V18:V37, "x") + COUNTIF(V18:V37, "X")), "")</f>
        <v/>
      </c>
      <c r="W39" s="134">
        <f>IF(((COUNTIF(W18:W37, "✓") + COUNTIF(W18:W37, "✔") + COUNTIF(W18:W37, "v") + COUNTIF(W18:W37, "V")) + COUNTIF(W18:W37, "✗") + COUNTIF(W18:W37, "x") + COUNTIF(W18:W37, "X")) &gt; 0, (COUNTIF(W18:W37, "✓") + COUNTIF(W18:W37, "✔") + COUNTIF(W18:W37, "v") + COUNTIF(W18:W37, "V")) / ((COUNTIF(W18:W37, "✓") + COUNTIF(W18:W37, "✔") + COUNTIF(W18:W37, "v") + COUNTIF(W18:W37, "V")) + COUNTIF(W18:W37, "✗") + COUNTIF(W18:W37, "x") + COUNTIF(W18:W37, "X")), "")</f>
        <v/>
      </c>
      <c r="X39" s="134">
        <f>IF(((COUNTIF(X18:X37, "✓") + COUNTIF(X18:X37, "✔") + COUNTIF(X18:X37, "v") + COUNTIF(X18:X37, "V")) + COUNTIF(X18:X37, "✗") + COUNTIF(X18:X37, "x") + COUNTIF(X18:X37, "X")) &gt; 0, (COUNTIF(X18:X37, "✓") + COUNTIF(X18:X37, "✔") + COUNTIF(X18:X37, "v") + COUNTIF(X18:X37, "V")) / ((COUNTIF(X18:X37, "✓") + COUNTIF(X18:X37, "✔") + COUNTIF(X18:X37, "v") + COUNTIF(X18:X37, "V")) + COUNTIF(X18:X37, "✗") + COUNTIF(X18:X37, "x") + COUNTIF(X18:X37, "X")), "")</f>
        <v/>
      </c>
      <c r="Y39" s="134">
        <f>IF(((COUNTIF(Y18:Y37, "✓") + COUNTIF(Y18:Y37, "✔") + COUNTIF(Y18:Y37, "v") + COUNTIF(Y18:Y37, "V")) + COUNTIF(Y18:Y37, "✗") + COUNTIF(Y18:Y37, "x") + COUNTIF(Y18:Y37, "X")) &gt; 0, (COUNTIF(Y18:Y37, "✓") + COUNTIF(Y18:Y37, "✔") + COUNTIF(Y18:Y37, "v") + COUNTIF(Y18:Y37, "V")) / ((COUNTIF(Y18:Y37, "✓") + COUNTIF(Y18:Y37, "✔") + COUNTIF(Y18:Y37, "v") + COUNTIF(Y18:Y37, "V")) + COUNTIF(Y18:Y37, "✗") + COUNTIF(Y18:Y37, "x") + COUNTIF(Y18:Y37, "X")), "")</f>
        <v/>
      </c>
      <c r="Z39" s="134">
        <f>IF(((COUNTIF(Z18:Z37, "✓") + COUNTIF(Z18:Z37, "✔") + COUNTIF(Z18:Z37, "v") + COUNTIF(Z18:Z37, "V")) + COUNTIF(Z18:Z37, "✗") + COUNTIF(Z18:Z37, "x") + COUNTIF(Z18:Z37, "X")) &gt; 0, (COUNTIF(Z18:Z37, "✓") + COUNTIF(Z18:Z37, "✔") + COUNTIF(Z18:Z37, "v") + COUNTIF(Z18:Z37, "V")) / ((COUNTIF(Z18:Z37, "✓") + COUNTIF(Z18:Z37, "✔") + COUNTIF(Z18:Z37, "v") + COUNTIF(Z18:Z37, "V")) + COUNTIF(Z18:Z37, "✗") + COUNTIF(Z18:Z37, "x") + COUNTIF(Z18:Z37, "X")), "")</f>
        <v/>
      </c>
      <c r="AA39" s="134">
        <f>IF(((COUNTIF(AA18:AA37, "✓") + COUNTIF(AA18:AA37, "✔") + COUNTIF(AA18:AA37, "v") + COUNTIF(AA18:AA37, "V")) + COUNTIF(AA18:AA37, "✗") + COUNTIF(AA18:AA37, "x") + COUNTIF(AA18:AA37, "X")) &gt; 0, (COUNTIF(AA18:AA37, "✓") + COUNTIF(AA18:AA37, "✔") + COUNTIF(AA18:AA37, "v") + COUNTIF(AA18:AA37, "V")) / ((COUNTIF(AA18:AA37, "✓") + COUNTIF(AA18:AA37, "✔") + COUNTIF(AA18:AA37, "v") + COUNTIF(AA18:AA37, "V")) + COUNTIF(AA18:AA37, "✗") + COUNTIF(AA18:AA37, "x") + COUNTIF(AA18:AA37, "X")), "")</f>
        <v/>
      </c>
      <c r="AB39" s="134">
        <f>IF(((COUNTIF(AB18:AB37, "✓") + COUNTIF(AB18:AB37, "✔") + COUNTIF(AB18:AB37, "v") + COUNTIF(AB18:AB37, "V")) + COUNTIF(AB18:AB37, "✗") + COUNTIF(AB18:AB37, "x") + COUNTIF(AB18:AB37, "X")) &gt; 0, (COUNTIF(AB18:AB37, "✓") + COUNTIF(AB18:AB37, "✔") + COUNTIF(AB18:AB37, "v") + COUNTIF(AB18:AB37, "V")) / ((COUNTIF(AB18:AB37, "✓") + COUNTIF(AB18:AB37, "✔") + COUNTIF(AB18:AB37, "v") + COUNTIF(AB18:AB37, "V")) + COUNTIF(AB18:AB37, "✗") + COUNTIF(AB18:AB37, "x") + COUNTIF(AB18:AB37, "X")), "")</f>
        <v/>
      </c>
      <c r="AC39" s="134">
        <f>IF(((COUNTIF(AC18:AC37, "✓") + COUNTIF(AC18:AC37, "✔") + COUNTIF(AC18:AC37, "v") + COUNTIF(AC18:AC37, "V")) + COUNTIF(AC18:AC37, "✗") + COUNTIF(AC18:AC37, "x") + COUNTIF(AC18:AC37, "X")) &gt; 0, (COUNTIF(AC18:AC37, "✓") + COUNTIF(AC18:AC37, "✔") + COUNTIF(AC18:AC37, "v") + COUNTIF(AC18:AC37, "V")) / ((COUNTIF(AC18:AC37, "✓") + COUNTIF(AC18:AC37, "✔") + COUNTIF(AC18:AC37, "v") + COUNTIF(AC18:AC37, "V")) + COUNTIF(AC18:AC37, "✗") + COUNTIF(AC18:AC37, "x") + COUNTIF(AC18:AC37, "X")), "")</f>
        <v/>
      </c>
      <c r="AD39" s="134">
        <f>IF(((COUNTIF(AD18:AD37, "✓") + COUNTIF(AD18:AD37, "✔") + COUNTIF(AD18:AD37, "v") + COUNTIF(AD18:AD37, "V")) + COUNTIF(AD18:AD37, "✗") + COUNTIF(AD18:AD37, "x") + COUNTIF(AD18:AD37, "X")) &gt; 0, (COUNTIF(AD18:AD37, "✓") + COUNTIF(AD18:AD37, "✔") + COUNTIF(AD18:AD37, "v") + COUNTIF(AD18:AD37, "V")) / ((COUNTIF(AD18:AD37, "✓") + COUNTIF(AD18:AD37, "✔") + COUNTIF(AD18:AD37, "v") + COUNTIF(AD18:AD37, "V")) + COUNTIF(AD18:AD37, "✗") + COUNTIF(AD18:AD37, "x") + COUNTIF(AD18:AD37, "X")), "")</f>
        <v/>
      </c>
      <c r="AE39" s="134">
        <f>IF(((COUNTIF(AE18:AE37, "✓") + COUNTIF(AE18:AE37, "✔") + COUNTIF(AE18:AE37, "v") + COUNTIF(AE18:AE37, "V")) + COUNTIF(AE18:AE37, "✗") + COUNTIF(AE18:AE37, "x") + COUNTIF(AE18:AE37, "X")) &gt; 0, (COUNTIF(AE18:AE37, "✓") + COUNTIF(AE18:AE37, "✔") + COUNTIF(AE18:AE37, "v") + COUNTIF(AE18:AE37, "V")) / ((COUNTIF(AE18:AE37, "✓") + COUNTIF(AE18:AE37, "✔") + COUNTIF(AE18:AE37, "v") + COUNTIF(AE18:AE37, "V")) + COUNTIF(AE18:AE37, "✗") + COUNTIF(AE18:AE37, "x") + COUNTIF(AE18:AE37, "X")), "")</f>
        <v/>
      </c>
      <c r="AF39" s="134">
        <f>IF(((COUNTIF(AF18:AF37, "✓") + COUNTIF(AF18:AF37, "✔") + COUNTIF(AF18:AF37, "v") + COUNTIF(AF18:AF37, "V")) + COUNTIF(AF18:AF37, "✗") + COUNTIF(AF18:AF37, "x") + COUNTIF(AF18:AF37, "X")) &gt; 0, (COUNTIF(AF18:AF37, "✓") + COUNTIF(AF18:AF37, "✔") + COUNTIF(AF18:AF37, "v") + COUNTIF(AF18:AF37, "V")) / ((COUNTIF(AF18:AF37, "✓") + COUNTIF(AF18:AF37, "✔") + COUNTIF(AF18:AF37, "v") + COUNTIF(AF18:AF37, "V")) + COUNTIF(AF18:AF37, "✗") + COUNTIF(AF18:AF37, "x") + COUNTIF(AF18:AF37, "X")), "")</f>
        <v/>
      </c>
      <c r="AG39" s="134">
        <f>IF(((COUNTIF(AG18:AG37, "✓") + COUNTIF(AG18:AG37, "✔") + COUNTIF(AG18:AG37, "v") + COUNTIF(AG18:AG37, "V")) + COUNTIF(AG18:AG37, "✗") + COUNTIF(AG18:AG37, "x") + COUNTIF(AG18:AG37, "X")) &gt; 0, (COUNTIF(AG18:AG37, "✓") + COUNTIF(AG18:AG37, "✔") + COUNTIF(AG18:AG37, "v") + COUNTIF(AG18:AG37, "V")) / ((COUNTIF(AG18:AG37, "✓") + COUNTIF(AG18:AG37, "✔") + COUNTIF(AG18:AG37, "v") + COUNTIF(AG18:AG37, "V")) + COUNTIF(AG18:AG37, "✗") + COUNTIF(AG18:AG37, "x") + COUNTIF(AG18:AG37, "X")), "")</f>
        <v/>
      </c>
      <c r="AH39" s="134">
        <f>IF(((COUNTIF(AH18:AH37, "✓") + COUNTIF(AH18:AH37, "✔") + COUNTIF(AH18:AH37, "v") + COUNTIF(AH18:AH37, "V")) + COUNTIF(AH18:AH37, "✗") + COUNTIF(AH18:AH37, "x") + COUNTIF(AH18:AH37, "X")) &gt; 0, (COUNTIF(AH18:AH37, "✓") + COUNTIF(AH18:AH37, "✔") + COUNTIF(AH18:AH37, "v") + COUNTIF(AH18:AH37, "V")) / ((COUNTIF(AH18:AH37, "✓") + COUNTIF(AH18:AH37, "✔") + COUNTIF(AH18:AH37, "v") + COUNTIF(AH18:AH37, "V")) + COUNTIF(AH18:AH37, "✗") + COUNTIF(AH18:AH37, "x") + COUNTIF(AH18:AH37, "X")), "")</f>
        <v/>
      </c>
      <c r="AI39" s="133">
        <f>IF(COUNT(E39:AH39) &gt; 0, AVERAGE(E39:AH39), "")</f>
        <v/>
      </c>
      <c r="AJ39" s="54" t="n"/>
      <c r="AK39" s="54" t="n"/>
    </row>
    <row r="40" ht="6" customHeight="1"/>
    <row r="41" ht="15" customHeight="1">
      <c r="A41" s="135" t="inlineStr">
        <is>
          <t>IF SUCCESS &lt; 80%, PUNISHMENT: ________________________________________________</t>
        </is>
      </c>
    </row>
    <row r="42" ht="15" customHeight="1">
      <c r="A42" s="136" t="inlineStr">
        <is>
          <t>IF SUCCESS &gt; 90%, REWARD: __________________________________________________</t>
        </is>
      </c>
    </row>
    <row r="43" ht="10" customHeight="1"/>
    <row r="44" ht="10" customHeight="1"/>
    <row r="45" ht="15" customHeight="1">
      <c r="A45" s="51" t="inlineStr">
        <is>
          <t>Sleep Tracking</t>
        </is>
      </c>
      <c r="B45" s="52" t="n"/>
      <c r="C45" s="52" t="n"/>
      <c r="D45" s="52" t="n"/>
      <c r="E45" s="137" t="n">
        <v>1</v>
      </c>
      <c r="F45" s="137" t="n">
        <v>2</v>
      </c>
      <c r="G45" s="137" t="n">
        <v>3</v>
      </c>
      <c r="H45" s="137" t="n">
        <v>4</v>
      </c>
      <c r="I45" s="138" t="n">
        <v>5</v>
      </c>
      <c r="J45" s="137" t="n">
        <v>6</v>
      </c>
      <c r="K45" s="137" t="n">
        <v>7</v>
      </c>
      <c r="L45" s="137" t="n">
        <v>8</v>
      </c>
      <c r="M45" s="137" t="n">
        <v>9</v>
      </c>
      <c r="N45" s="137" t="n">
        <v>10</v>
      </c>
      <c r="O45" s="137" t="n">
        <v>11</v>
      </c>
      <c r="P45" s="138" t="n">
        <v>12</v>
      </c>
      <c r="Q45" s="137" t="n">
        <v>13</v>
      </c>
      <c r="R45" s="137" t="n">
        <v>14</v>
      </c>
      <c r="S45" s="137" t="n">
        <v>15</v>
      </c>
      <c r="T45" s="137" t="n">
        <v>16</v>
      </c>
      <c r="U45" s="137" t="n">
        <v>17</v>
      </c>
      <c r="V45" s="137" t="n">
        <v>18</v>
      </c>
      <c r="W45" s="138" t="n">
        <v>19</v>
      </c>
      <c r="X45" s="137" t="n">
        <v>20</v>
      </c>
      <c r="Y45" s="137" t="n">
        <v>21</v>
      </c>
      <c r="Z45" s="137" t="n">
        <v>22</v>
      </c>
      <c r="AA45" s="137" t="n">
        <v>23</v>
      </c>
      <c r="AB45" s="137" t="n">
        <v>24</v>
      </c>
      <c r="AC45" s="137" t="n">
        <v>25</v>
      </c>
      <c r="AD45" s="138" t="n">
        <v>26</v>
      </c>
      <c r="AE45" s="137" t="n">
        <v>27</v>
      </c>
      <c r="AF45" s="137" t="n">
        <v>28</v>
      </c>
      <c r="AG45" s="137" t="n">
        <v>29</v>
      </c>
      <c r="AH45" s="137" t="n">
        <v>30</v>
      </c>
    </row>
    <row r="46" ht="15" customHeight="1">
      <c r="A46" s="52" t="n"/>
      <c r="B46" s="52" t="n"/>
      <c r="C46" s="52" t="n"/>
      <c r="D46" s="52" t="n"/>
      <c r="E46" s="139" t="inlineStr">
        <is>
          <t>W</t>
        </is>
      </c>
      <c r="F46" s="139" t="inlineStr">
        <is>
          <t>Th</t>
        </is>
      </c>
      <c r="G46" s="139" t="inlineStr">
        <is>
          <t>F</t>
        </is>
      </c>
      <c r="H46" s="139" t="inlineStr">
        <is>
          <t>Sa</t>
        </is>
      </c>
      <c r="I46" s="140" t="inlineStr">
        <is>
          <t>Su</t>
        </is>
      </c>
      <c r="J46" s="139" t="inlineStr">
        <is>
          <t>M</t>
        </is>
      </c>
      <c r="K46" s="139" t="inlineStr">
        <is>
          <t>T</t>
        </is>
      </c>
      <c r="L46" s="139" t="inlineStr">
        <is>
          <t>W</t>
        </is>
      </c>
      <c r="M46" s="139" t="inlineStr">
        <is>
          <t>Th</t>
        </is>
      </c>
      <c r="N46" s="139" t="inlineStr">
        <is>
          <t>F</t>
        </is>
      </c>
      <c r="O46" s="139" t="inlineStr">
        <is>
          <t>Sa</t>
        </is>
      </c>
      <c r="P46" s="140" t="inlineStr">
        <is>
          <t>Su</t>
        </is>
      </c>
      <c r="Q46" s="139" t="inlineStr">
        <is>
          <t>M</t>
        </is>
      </c>
      <c r="R46" s="139" t="inlineStr">
        <is>
          <t>T</t>
        </is>
      </c>
      <c r="S46" s="139" t="inlineStr">
        <is>
          <t>W</t>
        </is>
      </c>
      <c r="T46" s="139" t="inlineStr">
        <is>
          <t>Th</t>
        </is>
      </c>
      <c r="U46" s="139" t="inlineStr">
        <is>
          <t>F</t>
        </is>
      </c>
      <c r="V46" s="139" t="inlineStr">
        <is>
          <t>Sa</t>
        </is>
      </c>
      <c r="W46" s="140" t="inlineStr">
        <is>
          <t>Su</t>
        </is>
      </c>
      <c r="X46" s="139" t="inlineStr">
        <is>
          <t>M</t>
        </is>
      </c>
      <c r="Y46" s="139" t="inlineStr">
        <is>
          <t>T</t>
        </is>
      </c>
      <c r="Z46" s="139" t="inlineStr">
        <is>
          <t>W</t>
        </is>
      </c>
      <c r="AA46" s="139" t="inlineStr">
        <is>
          <t>Th</t>
        </is>
      </c>
      <c r="AB46" s="139" t="inlineStr">
        <is>
          <t>F</t>
        </is>
      </c>
      <c r="AC46" s="139" t="inlineStr">
        <is>
          <t>Sa</t>
        </is>
      </c>
      <c r="AD46" s="140" t="inlineStr">
        <is>
          <t>Su</t>
        </is>
      </c>
      <c r="AE46" s="139" t="inlineStr">
        <is>
          <t>M</t>
        </is>
      </c>
      <c r="AF46" s="139" t="inlineStr">
        <is>
          <t>T</t>
        </is>
      </c>
      <c r="AG46" s="139" t="inlineStr">
        <is>
          <t>W</t>
        </is>
      </c>
      <c r="AH46" s="139" t="inlineStr">
        <is>
          <t>Th</t>
        </is>
      </c>
    </row>
    <row r="47" ht="20" customHeight="1">
      <c r="A47" s="141" t="inlineStr">
        <is>
          <t>Sleep Hours (1-24)</t>
        </is>
      </c>
      <c r="B47" s="142" t="n"/>
      <c r="C47" s="142" t="n"/>
      <c r="D47" s="142" t="n"/>
      <c r="E47" s="143" t="n"/>
      <c r="F47" s="143" t="n"/>
      <c r="G47" s="143" t="n"/>
      <c r="H47" s="143" t="n"/>
      <c r="I47" s="144" t="n"/>
      <c r="J47" s="143" t="n"/>
      <c r="K47" s="143" t="n"/>
      <c r="L47" s="143" t="n"/>
      <c r="M47" s="143" t="n"/>
      <c r="N47" s="143" t="n"/>
      <c r="O47" s="143" t="n"/>
      <c r="P47" s="144" t="n"/>
      <c r="Q47" s="143" t="n"/>
      <c r="R47" s="143" t="n"/>
      <c r="S47" s="143" t="n"/>
      <c r="T47" s="143" t="n"/>
      <c r="U47" s="143" t="n"/>
      <c r="V47" s="143" t="n"/>
      <c r="W47" s="144" t="n"/>
      <c r="X47" s="143" t="n"/>
      <c r="Y47" s="143" t="n"/>
      <c r="Z47" s="143" t="n"/>
      <c r="AA47" s="143" t="n"/>
      <c r="AB47" s="143" t="n"/>
      <c r="AC47" s="143" t="n"/>
      <c r="AD47" s="144" t="n"/>
      <c r="AE47" s="143" t="n"/>
      <c r="AF47" s="143" t="n"/>
      <c r="AG47" s="143" t="n"/>
      <c r="AH47" s="143" t="n"/>
    </row>
    <row r="48" ht="6" customHeight="1"/>
    <row r="49" ht="14" customHeight="1"/>
    <row r="50" ht="14" customHeight="1"/>
    <row r="51" ht="14" customHeight="1"/>
    <row r="52" ht="14" customHeight="1"/>
    <row r="53" ht="14" customHeight="1"/>
    <row r="54" ht="14" customHeight="1"/>
    <row r="55" ht="14" customHeight="1"/>
    <row r="56" ht="14" customHeight="1"/>
    <row r="57" ht="14" customHeight="1"/>
    <row r="58" ht="14" customHeight="1"/>
    <row r="59" ht="14" customHeight="1"/>
    <row r="60" ht="14" customHeight="1"/>
    <row r="61" ht="14" customHeight="1"/>
    <row r="62" ht="14" customHeight="1"/>
    <row r="63" ht="14" customHeight="1"/>
    <row r="64" ht="14" customHeight="1"/>
    <row r="65" ht="14" customHeight="1"/>
    <row r="66" ht="8" customHeight="1"/>
    <row r="67">
      <c r="A67" s="145" t="inlineStr">
        <is>
          <t>MONTHLY SUCCESS RATE</t>
        </is>
      </c>
      <c r="B67" s="9" t="n"/>
      <c r="C67" s="9" t="n"/>
      <c r="D67" s="9" t="n"/>
      <c r="F67" s="146" t="inlineStr">
        <is>
          <t>ACTIVE PROTOCOLS</t>
        </is>
      </c>
      <c r="G67" s="11" t="n"/>
      <c r="H67" s="11" t="n"/>
      <c r="I67" s="11" t="n"/>
      <c r="K67" s="147" t="inlineStr">
        <is>
          <t>PERFECT DAYS (100%)</t>
        </is>
      </c>
      <c r="L67" s="13" t="n"/>
      <c r="M67" s="13" t="n"/>
      <c r="N67" s="13" t="n"/>
      <c r="P67" s="148" t="inlineStr">
        <is>
          <t>AVG SLEEP DURATION</t>
        </is>
      </c>
      <c r="Q67" s="15" t="n"/>
      <c r="R67" s="15" t="n"/>
      <c r="S67" s="15" t="n"/>
    </row>
    <row r="68">
      <c r="A68" s="149">
        <f>IF(SUM(D18:D37)&gt;0, SUM(AL18:AL37)/SUM(D18:D37), 0)</f>
        <v/>
      </c>
      <c r="B68" s="9" t="n"/>
      <c r="C68" s="9" t="n"/>
      <c r="D68" s="9" t="n"/>
      <c r="F68" s="150">
        <f>COUNTA(B18:B37) &amp; " / 20"</f>
        <v/>
      </c>
      <c r="G68" s="11" t="n"/>
      <c r="H68" s="11" t="n"/>
      <c r="I68" s="11" t="n"/>
      <c r="K68" s="151">
        <f>COUNTIF(E39:AH39, 1) &amp; " Days"</f>
        <v/>
      </c>
      <c r="L68" s="13" t="n"/>
      <c r="M68" s="13" t="n"/>
      <c r="N68" s="13" t="n"/>
      <c r="P68" s="152">
        <f>IFERROR(TEXT(AVERAGE(E47:AH47), "0.0") &amp; " hrs", "-")</f>
        <v/>
      </c>
      <c r="Q68" s="15" t="n"/>
      <c r="R68" s="15" t="n"/>
      <c r="S68" s="15" t="n"/>
    </row>
    <row r="69">
      <c r="A69" s="9" t="n"/>
      <c r="B69" s="9" t="n"/>
      <c r="C69" s="9" t="n"/>
      <c r="D69" s="9" t="n"/>
      <c r="F69" s="11" t="n"/>
      <c r="G69" s="11" t="n"/>
      <c r="H69" s="11" t="n"/>
      <c r="I69" s="11" t="n"/>
      <c r="K69" s="13" t="n"/>
      <c r="L69" s="13" t="n"/>
      <c r="M69" s="13" t="n"/>
      <c r="N69" s="13" t="n"/>
      <c r="P69" s="15" t="n"/>
      <c r="Q69" s="15" t="n"/>
      <c r="R69" s="15" t="n"/>
      <c r="S69" s="15" t="n"/>
    </row>
    <row r="70">
      <c r="A70" s="9" t="n"/>
      <c r="B70" s="9" t="n"/>
      <c r="C70" s="9" t="n"/>
      <c r="D70" s="9" t="n"/>
      <c r="F70" s="11" t="n"/>
      <c r="G70" s="11" t="n"/>
      <c r="H70" s="11" t="n"/>
      <c r="I70" s="11" t="n"/>
      <c r="K70" s="13" t="n"/>
      <c r="L70" s="13" t="n"/>
      <c r="M70" s="13" t="n"/>
      <c r="N70" s="13" t="n"/>
      <c r="P70" s="15" t="n"/>
      <c r="Q70" s="15" t="n"/>
      <c r="R70" s="15" t="n"/>
      <c r="S70" s="15" t="n"/>
    </row>
    <row r="71">
      <c r="A71" s="153" t="inlineStr">
        <is>
          <t>Target Completion</t>
        </is>
      </c>
      <c r="B71" s="9" t="n"/>
      <c r="C71" s="9" t="n"/>
      <c r="D71" s="9" t="n"/>
      <c r="F71" s="154" t="inlineStr">
        <is>
          <t>Habits Tracked</t>
        </is>
      </c>
      <c r="G71" s="11" t="n"/>
      <c r="H71" s="11" t="n"/>
      <c r="I71" s="11" t="n"/>
      <c r="K71" s="155" t="inlineStr">
        <is>
          <t>All Marked Habits Completed</t>
        </is>
      </c>
      <c r="L71" s="13" t="n"/>
      <c r="M71" s="13" t="n"/>
      <c r="N71" s="13" t="n"/>
      <c r="P71" s="156" t="inlineStr">
        <is>
          <t>Nightly Rest Average</t>
        </is>
      </c>
      <c r="Q71" s="15" t="n"/>
      <c r="R71" s="15" t="n"/>
      <c r="S71" s="15" t="n"/>
    </row>
    <row r="72" ht="8" customHeight="1"/>
    <row r="73" ht="6" customHeight="1"/>
    <row r="74">
      <c r="A74" s="67" t="inlineStr">
        <is>
          <t>WEEKLY PERFORMANCE (SLUMP DETECTOR)</t>
        </is>
      </c>
      <c r="B74" s="29" t="n"/>
      <c r="C74" s="29" t="n"/>
      <c r="D74" s="29" t="n"/>
      <c r="E74" s="29" t="n"/>
      <c r="N74" s="157" t="inlineStr">
        <is>
          <t>LIFE DOMAIN / CATEGORY BREAKDOWN</t>
        </is>
      </c>
      <c r="O74" s="158" t="n"/>
      <c r="P74" s="158" t="n"/>
      <c r="Q74" s="158" t="n"/>
      <c r="R74" s="158" t="n"/>
      <c r="S74" s="158" t="n"/>
    </row>
    <row r="75" ht="15" customHeight="1">
      <c r="A75" s="53" t="inlineStr">
        <is>
          <t>Week</t>
        </is>
      </c>
      <c r="B75" s="53" t="inlineStr">
        <is>
          <t>Days Range</t>
        </is>
      </c>
      <c r="C75" s="53" t="inlineStr">
        <is>
          <t>Checks Done</t>
        </is>
      </c>
      <c r="D75" s="53" t="inlineStr">
        <is>
          <t>Evaluated</t>
        </is>
      </c>
      <c r="E75" s="53" t="inlineStr">
        <is>
          <t>Success %</t>
        </is>
      </c>
      <c r="N75" s="53" t="inlineStr">
        <is>
          <t>Domain / Category</t>
        </is>
      </c>
      <c r="O75" s="54" t="n"/>
      <c r="P75" s="53" t="inlineStr">
        <is>
          <t>Active Habits</t>
        </is>
      </c>
      <c r="Q75" s="53" t="inlineStr">
        <is>
          <t>Target Days</t>
        </is>
      </c>
      <c r="R75" s="53" t="inlineStr">
        <is>
          <t>Done Checks</t>
        </is>
      </c>
      <c r="S75" s="53" t="inlineStr">
        <is>
          <t>Success %</t>
        </is>
      </c>
    </row>
    <row r="76" ht="14" customHeight="1">
      <c r="A76" s="33" t="inlineStr">
        <is>
          <t>Week 1</t>
        </is>
      </c>
      <c r="B76" s="34" t="inlineStr">
        <is>
          <t>Days 1 - 7</t>
        </is>
      </c>
      <c r="C76" s="34">
        <f>COUNTIF(E18:K37, "✓")</f>
        <v/>
      </c>
      <c r="D76" s="34">
        <f>COUNTIF(E18:K37, "✓") + COUNTIF(E18:K37, "✗")</f>
        <v/>
      </c>
      <c r="E76" s="35">
        <f>IFERROR(C76/D76, 0)</f>
        <v/>
      </c>
      <c r="N76" s="60" t="inlineStr">
        <is>
          <t>Health &amp; Fitness</t>
        </is>
      </c>
      <c r="O76" s="54" t="n"/>
      <c r="P76" s="34">
        <f>COUNTIF($C$18:$C$37, "Health &amp; Fitness")</f>
        <v/>
      </c>
      <c r="Q76" s="34">
        <f>SUMIF($C$18:$C$37, "Health &amp; Fitness", $D$18:$D$37)</f>
        <v/>
      </c>
      <c r="R76" s="34">
        <f>SUMIF($C$18:$C$37, "Health &amp; Fitness", $AL$18:$AL$37)</f>
        <v/>
      </c>
      <c r="S76" s="35">
        <f>IFERROR(R76/Q76, 0)</f>
        <v/>
      </c>
    </row>
    <row r="77" ht="14" customHeight="1">
      <c r="A77" s="33" t="inlineStr">
        <is>
          <t>Week 2</t>
        </is>
      </c>
      <c r="B77" s="34" t="inlineStr">
        <is>
          <t>Days 8 - 14</t>
        </is>
      </c>
      <c r="C77" s="34">
        <f>COUNTIF(L18:R37, "✓")</f>
        <v/>
      </c>
      <c r="D77" s="34">
        <f>COUNTIF(L18:R37, "✓") + COUNTIF(L18:R37, "✗")</f>
        <v/>
      </c>
      <c r="E77" s="35">
        <f>IFERROR(C77/D77, 0)</f>
        <v/>
      </c>
      <c r="N77" s="60" t="inlineStr">
        <is>
          <t>Mindset &amp; Learning</t>
        </is>
      </c>
      <c r="O77" s="54" t="n"/>
      <c r="P77" s="34">
        <f>COUNTIF($C$18:$C$37, "Mindset &amp; Learning")</f>
        <v/>
      </c>
      <c r="Q77" s="34">
        <f>SUMIF($C$18:$C$37, "Mindset &amp; Learning", $D$18:$D$37)</f>
        <v/>
      </c>
      <c r="R77" s="34">
        <f>SUMIF($C$18:$C$37, "Mindset &amp; Learning", $AL$18:$AL$37)</f>
        <v/>
      </c>
      <c r="S77" s="35">
        <f>IFERROR(R77/Q77, 0)</f>
        <v/>
      </c>
    </row>
    <row r="78" ht="14" customHeight="1">
      <c r="A78" s="33" t="inlineStr">
        <is>
          <t>Week 3</t>
        </is>
      </c>
      <c r="B78" s="34" t="inlineStr">
        <is>
          <t>Days 15 - 21</t>
        </is>
      </c>
      <c r="C78" s="34">
        <f>COUNTIF(S18:Y37, "✓")</f>
        <v/>
      </c>
      <c r="D78" s="34">
        <f>COUNTIF(S18:Y37, "✓") + COUNTIF(S18:Y37, "✗")</f>
        <v/>
      </c>
      <c r="E78" s="35">
        <f>IFERROR(C78/D78, 0)</f>
        <v/>
      </c>
      <c r="N78" s="60" t="inlineStr">
        <is>
          <t>Career &amp; Focus</t>
        </is>
      </c>
      <c r="O78" s="54" t="n"/>
      <c r="P78" s="34">
        <f>COUNTIF($C$18:$C$37, "Career &amp; Focus")</f>
        <v/>
      </c>
      <c r="Q78" s="34">
        <f>SUMIF($C$18:$C$37, "Career &amp; Focus", $D$18:$D$37)</f>
        <v/>
      </c>
      <c r="R78" s="34">
        <f>SUMIF($C$18:$C$37, "Career &amp; Focus", $AL$18:$AL$37)</f>
        <v/>
      </c>
      <c r="S78" s="35">
        <f>IFERROR(R78/Q78, 0)</f>
        <v/>
      </c>
    </row>
    <row r="79" ht="14" customHeight="1">
      <c r="A79" s="33" t="inlineStr">
        <is>
          <t>Week 4</t>
        </is>
      </c>
      <c r="B79" s="34" t="inlineStr">
        <is>
          <t>Days 22 - 28</t>
        </is>
      </c>
      <c r="C79" s="34">
        <f>COUNTIF(Z18:AF37, "✓")</f>
        <v/>
      </c>
      <c r="D79" s="34">
        <f>COUNTIF(Z18:AF37, "✓") + COUNTIF(Z18:AF37, "✗")</f>
        <v/>
      </c>
      <c r="E79" s="35">
        <f>IFERROR(C79/D79, 0)</f>
        <v/>
      </c>
      <c r="N79" s="60" t="inlineStr">
        <is>
          <t>Personal &amp; Home</t>
        </is>
      </c>
      <c r="O79" s="54" t="n"/>
      <c r="P79" s="34">
        <f>COUNTIF($C$18:$C$37, "Personal &amp; Home")</f>
        <v/>
      </c>
      <c r="Q79" s="34">
        <f>SUMIF($C$18:$C$37, "Personal &amp; Home", $D$18:$D$37)</f>
        <v/>
      </c>
      <c r="R79" s="34">
        <f>SUMIF($C$18:$C$37, "Personal &amp; Home", $AL$18:$AL$37)</f>
        <v/>
      </c>
      <c r="S79" s="35">
        <f>IFERROR(R79/Q79, 0)</f>
        <v/>
      </c>
    </row>
    <row r="80" ht="14" customHeight="1">
      <c r="A80" s="33" t="inlineStr">
        <is>
          <t>Week 5</t>
        </is>
      </c>
      <c r="B80" s="34" t="inlineStr">
        <is>
          <t>Days 29 - 30</t>
        </is>
      </c>
      <c r="C80" s="34">
        <f>COUNTIF(AG18:AH37, "✓")</f>
        <v/>
      </c>
      <c r="D80" s="34">
        <f>COUNTIF(AG18:AH37, "✓") + COUNTIF(AG18:AH37, "✗")</f>
        <v/>
      </c>
      <c r="E80" s="35">
        <f>IFERROR(C80/D80, 0)</f>
        <v/>
      </c>
      <c r="N80" s="60" t="inlineStr">
        <is>
          <t>Finance &amp; Wealth</t>
        </is>
      </c>
      <c r="O80" s="54" t="n"/>
      <c r="P80" s="34">
        <f>COUNTIF($C$18:$C$37, "Finance &amp; Wealth")</f>
        <v/>
      </c>
      <c r="Q80" s="34">
        <f>SUMIF($C$18:$C$37, "Finance &amp; Wealth", $D$18:$D$37)</f>
        <v/>
      </c>
      <c r="R80" s="34">
        <f>SUMIF($C$18:$C$37, "Finance &amp; Wealth", $AL$18:$AL$37)</f>
        <v/>
      </c>
      <c r="S80" s="35">
        <f>IFERROR(R80/Q80, 0)</f>
        <v/>
      </c>
    </row>
    <row r="81" ht="14" customHeight="1">
      <c r="A81" s="33" t="inlineStr">
        <is>
          <t>Total / Avg</t>
        </is>
      </c>
      <c r="B81" s="159" t="inlineStr">
        <is>
          <t>Month Total</t>
        </is>
      </c>
      <c r="C81" s="33">
        <f>SUM(C76:C80)</f>
        <v/>
      </c>
      <c r="D81" s="33">
        <f>SUM(D76:D80)</f>
        <v/>
      </c>
      <c r="E81" s="133">
        <f>IFERROR(C81/D81, 0)</f>
        <v/>
      </c>
    </row>
    <row r="82" ht="10" customHeight="1"/>
    <row r="83" ht="10" customHeight="1"/>
    <row r="84">
      <c r="A84" s="51" t="inlineStr">
        <is>
          <t>SLEEP &amp; PRODUCTIVITY CORRELATION ANALYSIS</t>
        </is>
      </c>
      <c r="B84" s="52" t="n"/>
      <c r="C84" s="52" t="n"/>
      <c r="D84" s="52" t="n"/>
      <c r="E84" s="52" t="n"/>
      <c r="F84" s="52" t="n"/>
      <c r="G84" s="52" t="n"/>
      <c r="H84" s="52" t="n"/>
      <c r="I84" s="52" t="n"/>
      <c r="J84" s="52" t="n"/>
      <c r="K84" s="52" t="n"/>
      <c r="L84" s="52" t="n"/>
      <c r="M84" s="52" t="n"/>
      <c r="N84" s="52" t="n"/>
      <c r="O84" s="52" t="n"/>
      <c r="P84" s="52" t="n"/>
      <c r="Q84" s="52" t="n"/>
      <c r="R84" s="52" t="n"/>
      <c r="S84" s="52" t="n"/>
      <c r="T84" s="52" t="n"/>
      <c r="U84" s="52" t="n"/>
      <c r="V84" s="52" t="n"/>
      <c r="W84" s="52" t="n"/>
      <c r="X84" s="52" t="n"/>
      <c r="Y84" s="52" t="n"/>
      <c r="Z84" s="52" t="n"/>
      <c r="AA84" s="52" t="n"/>
      <c r="AB84" s="52" t="n"/>
      <c r="AC84" s="52" t="n"/>
      <c r="AD84" s="52" t="n"/>
      <c r="AE84" s="52" t="n"/>
      <c r="AF84" s="52" t="n"/>
      <c r="AG84" s="52" t="n"/>
      <c r="AH84" s="52" t="n"/>
      <c r="AI84" s="52" t="n"/>
      <c r="AJ84" s="52" t="n"/>
      <c r="AK84" s="52" t="n"/>
    </row>
    <row r="85" ht="15" customHeight="1">
      <c r="A85" s="53" t="inlineStr">
        <is>
          <t>Rest Category</t>
        </is>
      </c>
      <c r="B85" s="54" t="n"/>
      <c r="C85" s="54" t="n"/>
      <c r="D85" s="53" t="inlineStr">
        <is>
          <t>Day Criteria</t>
        </is>
      </c>
      <c r="E85" s="54" t="n"/>
      <c r="F85" s="54" t="n"/>
      <c r="G85" s="53" t="inlineStr">
        <is>
          <t>Days Logged</t>
        </is>
      </c>
      <c r="H85" s="54" t="n"/>
      <c r="I85" s="54" t="n"/>
      <c r="J85" s="53" t="inlineStr">
        <is>
          <t>Avg Sleep Duration</t>
        </is>
      </c>
      <c r="K85" s="54" t="n"/>
      <c r="L85" s="54" t="n"/>
      <c r="M85" s="54" t="n"/>
      <c r="N85" s="53" t="inlineStr">
        <is>
          <t>Avg Habit Success %</t>
        </is>
      </c>
      <c r="O85" s="54" t="n"/>
      <c r="P85" s="54" t="n"/>
      <c r="Q85" s="54" t="n"/>
      <c r="R85" s="53" t="inlineStr">
        <is>
          <t>Productivity Delta</t>
        </is>
      </c>
      <c r="S85" s="54" t="n"/>
      <c r="T85" s="54" t="n"/>
      <c r="U85" s="54" t="n"/>
    </row>
    <row r="86" ht="15" customHeight="1">
      <c r="A86" s="160" t="inlineStr">
        <is>
          <t>Optimal Rest</t>
        </is>
      </c>
      <c r="B86" s="161" t="n"/>
      <c r="C86" s="56" t="n"/>
      <c r="D86" s="34" t="inlineStr">
        <is>
          <t>&gt;= 7 Hours / Night</t>
        </is>
      </c>
      <c r="E86" s="161" t="n"/>
      <c r="F86" s="56" t="n"/>
      <c r="G86" s="33">
        <f>COUNTIF(E47:AH47, "&gt;=7")</f>
        <v/>
      </c>
      <c r="H86" s="161" t="n"/>
      <c r="I86" s="56" t="n"/>
      <c r="J86" s="34">
        <f>IFERROR(TEXT(AVERAGEIF(E47:AH47, "&gt;=7"), "0.0") &amp; " hrs", "-")</f>
        <v/>
      </c>
      <c r="K86" s="161" t="n"/>
      <c r="L86" s="161" t="n"/>
      <c r="M86" s="56" t="n"/>
      <c r="N86" s="42">
        <f>IFERROR(AVERAGEIFS(E39:AH39, E47:AH47, "&gt;=7", E39:AH39, "&gt;0"), 0)</f>
        <v/>
      </c>
      <c r="O86" s="161" t="n"/>
      <c r="P86" s="161" t="n"/>
      <c r="Q86" s="56" t="n"/>
      <c r="R86" s="159" t="inlineStr">
        <is>
          <t>Baseline (Target)</t>
        </is>
      </c>
      <c r="S86" s="161" t="n"/>
      <c r="T86" s="161" t="n"/>
      <c r="U86" s="56" t="n"/>
    </row>
    <row r="87" ht="15" customHeight="1">
      <c r="A87" s="162" t="inlineStr">
        <is>
          <t>Sleep Deficit</t>
        </is>
      </c>
      <c r="B87" s="161" t="n"/>
      <c r="C87" s="56" t="n"/>
      <c r="D87" s="34" t="inlineStr">
        <is>
          <t>&lt; 7 Hours / Night</t>
        </is>
      </c>
      <c r="E87" s="161" t="n"/>
      <c r="F87" s="56" t="n"/>
      <c r="G87" s="33">
        <f>COUNTIF(E47:AH47, "&lt;7") - COUNTIF(E47:AH47, "")</f>
        <v/>
      </c>
      <c r="H87" s="161" t="n"/>
      <c r="I87" s="56" t="n"/>
      <c r="J87" s="34">
        <f>IFERROR(TEXT(AVERAGEIFS(E47:AH47, E47:AH47, "&lt;7", E47:AH47, "&gt;0"), "0.0") &amp; " hrs", "-")</f>
        <v/>
      </c>
      <c r="K87" s="161" t="n"/>
      <c r="L87" s="161" t="n"/>
      <c r="M87" s="56" t="n"/>
      <c r="N87" s="163">
        <f>IFERROR(AVERAGEIFS(E39:AH39, E47:AH47, "&lt;7", E39:AH39, "&gt;0"), 0)</f>
        <v/>
      </c>
      <c r="O87" s="161" t="n"/>
      <c r="P87" s="161" t="n"/>
      <c r="Q87" s="56" t="n"/>
      <c r="R87" s="160">
        <f>IFERROR(TEXT(N86 - N87, "+0.0%;-0.0%;0.0%") &amp; " Rest Advantage", "-")</f>
        <v/>
      </c>
      <c r="S87" s="161" t="n"/>
      <c r="T87" s="161" t="n"/>
      <c r="U87" s="56" t="n"/>
    </row>
    <row r="88" ht="18" customHeight="1">
      <c r="A88" s="164">
        <f>IF(AND(ISNUMBER(N86), ISNUMBER(N87), N86&gt;0, N87&gt;0), "💡 Sleep Correlation Insight: You complete " &amp; TEXT(ABS(N86-N87), "0.0%") &amp; IF(N86&gt;=N87, " MORE habits on days with 7+ hours of sleep!", " fewer habits on days with 7+ hours of sleep."), "💡 Log both habits and sleep hours daily to unlock automatic AI correlation insights!")</f>
        <v/>
      </c>
      <c r="B88" s="161" t="n"/>
      <c r="C88" s="161" t="n"/>
      <c r="D88" s="161" t="n"/>
      <c r="E88" s="161" t="n"/>
      <c r="F88" s="161" t="n"/>
      <c r="G88" s="161" t="n"/>
      <c r="H88" s="161" t="n"/>
      <c r="I88" s="161" t="n"/>
      <c r="J88" s="161" t="n"/>
      <c r="K88" s="161" t="n"/>
      <c r="L88" s="161" t="n"/>
      <c r="M88" s="161" t="n"/>
      <c r="N88" s="161" t="n"/>
      <c r="O88" s="161" t="n"/>
      <c r="P88" s="161" t="n"/>
      <c r="Q88" s="161" t="n"/>
      <c r="R88" s="161" t="n"/>
      <c r="S88" s="161" t="n"/>
      <c r="T88" s="161" t="n"/>
      <c r="U88" s="161" t="n"/>
      <c r="V88" s="161" t="n"/>
      <c r="W88" s="161" t="n"/>
      <c r="X88" s="161" t="n"/>
      <c r="Y88" s="161" t="n"/>
      <c r="Z88" s="161" t="n"/>
      <c r="AA88" s="161" t="n"/>
      <c r="AB88" s="161" t="n"/>
      <c r="AC88" s="161" t="n"/>
      <c r="AD88" s="161" t="n"/>
      <c r="AE88" s="161" t="n"/>
      <c r="AF88" s="161" t="n"/>
      <c r="AG88" s="161" t="n"/>
      <c r="AH88" s="161" t="n"/>
      <c r="AI88" s="161" t="n"/>
      <c r="AJ88" s="161" t="n"/>
      <c r="AK88" s="56" t="n"/>
    </row>
    <row r="89" ht="10" customHeight="1"/>
    <row r="90">
      <c r="A90" s="43" t="inlineStr">
        <is>
          <t>STANDARDIZED DATA BRIDGE (FOR ANNUAL &amp; QUARTERLY REVIEW SHEETS)</t>
        </is>
      </c>
      <c r="B90" s="44" t="n"/>
      <c r="C90" s="44" t="n"/>
      <c r="D90" s="44" t="n"/>
      <c r="E90" s="44" t="n"/>
      <c r="F90" s="44" t="n"/>
      <c r="G90" s="44" t="n"/>
      <c r="H90" s="44" t="n"/>
      <c r="I90" s="44" t="n"/>
      <c r="J90" s="44" t="n"/>
      <c r="K90" s="44" t="n"/>
      <c r="L90" s="44" t="n"/>
      <c r="M90" s="44" t="n"/>
      <c r="N90" s="44" t="n"/>
      <c r="O90" s="44" t="n"/>
      <c r="P90" s="44" t="n"/>
      <c r="Q90" s="44" t="n"/>
      <c r="R90" s="44" t="n"/>
      <c r="S90" s="44" t="n"/>
      <c r="T90" s="44" t="n"/>
      <c r="U90" s="44" t="n"/>
      <c r="V90" s="44" t="n"/>
      <c r="W90" s="44" t="n"/>
      <c r="X90" s="44" t="n"/>
      <c r="Y90" s="44" t="n"/>
      <c r="Z90" s="44" t="n"/>
      <c r="AA90" s="44" t="n"/>
      <c r="AB90" s="44" t="n"/>
      <c r="AC90" s="44" t="n"/>
      <c r="AD90" s="44" t="n"/>
      <c r="AE90" s="44" t="n"/>
      <c r="AF90" s="44" t="n"/>
      <c r="AG90" s="44" t="n"/>
      <c r="AH90" s="44" t="n"/>
      <c r="AI90" s="44" t="n"/>
      <c r="AJ90" s="44" t="n"/>
      <c r="AK90" s="44" t="n"/>
    </row>
    <row r="91" ht="15" customHeight="1">
      <c r="A91" s="53" t="inlineStr">
        <is>
          <t>Month</t>
        </is>
      </c>
      <c r="B91" s="54" t="n"/>
      <c r="C91" s="53" t="inlineStr">
        <is>
          <t>Year</t>
        </is>
      </c>
      <c r="D91" s="54" t="n"/>
      <c r="E91" s="53" t="inlineStr">
        <is>
          <t>Active Habits</t>
        </is>
      </c>
      <c r="F91" s="54" t="n"/>
      <c r="G91" s="53" t="inlineStr">
        <is>
          <t>Target Days</t>
        </is>
      </c>
      <c r="H91" s="54" t="n"/>
      <c r="I91" s="53" t="inlineStr">
        <is>
          <t>Done Checks</t>
        </is>
      </c>
      <c r="J91" s="54" t="n"/>
      <c r="K91" s="53" t="inlineStr">
        <is>
          <t>Success %</t>
        </is>
      </c>
      <c r="L91" s="54" t="n"/>
      <c r="M91" s="53" t="inlineStr">
        <is>
          <t>Perfect Days</t>
        </is>
      </c>
      <c r="N91" s="54" t="n"/>
      <c r="O91" s="53" t="inlineStr">
        <is>
          <t>Avg Sleep</t>
        </is>
      </c>
      <c r="P91" s="54" t="n"/>
      <c r="Q91" s="53" t="inlineStr">
        <is>
          <t>Best Week</t>
        </is>
      </c>
      <c r="R91" s="54" t="n"/>
      <c r="S91" s="54" t="n"/>
      <c r="T91" s="53" t="inlineStr">
        <is>
          <t>Top Life Domain</t>
        </is>
      </c>
      <c r="U91" s="54" t="n"/>
      <c r="V91" s="54" t="n"/>
      <c r="W91" s="54" t="n"/>
    </row>
    <row r="92" ht="16" customHeight="1">
      <c r="A92" s="165" t="inlineStr">
        <is>
          <t>Sep</t>
        </is>
      </c>
      <c r="B92" s="56" t="n"/>
      <c r="C92" s="165" t="n">
        <v>2027</v>
      </c>
      <c r="D92" s="56" t="n"/>
      <c r="E92" s="166">
        <f>COUNTA(B18:B37)</f>
        <v/>
      </c>
      <c r="F92" s="56" t="n"/>
      <c r="G92" s="166">
        <f>SUM(D18:D37)</f>
        <v/>
      </c>
      <c r="H92" s="56" t="n"/>
      <c r="I92" s="166">
        <f>SUM(AL18:AL37)</f>
        <v/>
      </c>
      <c r="J92" s="56" t="n"/>
      <c r="K92" s="167">
        <f>IF(G92&gt;0, I92/G92, 0)</f>
        <v/>
      </c>
      <c r="L92" s="56" t="n"/>
      <c r="M92" s="166">
        <f>COUNTIF(E39:AH39, 1)</f>
        <v/>
      </c>
      <c r="N92" s="56" t="n"/>
      <c r="O92" s="168">
        <f>IFERROR(AVERAGE(E47:AH47), 0)</f>
        <v/>
      </c>
      <c r="P92" s="56" t="n"/>
      <c r="Q92" s="166">
        <f>INDEX(A76:A80, MATCH(MAX(E76:E80), E76:E80, 0))</f>
        <v/>
      </c>
      <c r="R92" s="161" t="n"/>
      <c r="S92" s="56" t="n"/>
      <c r="T92" s="166">
        <f>INDEX(N76:N80, MATCH(MAX(S76:S80), S76:S80, 0))</f>
        <v/>
      </c>
      <c r="U92" s="161" t="n"/>
      <c r="V92" s="161" t="n"/>
      <c r="W92" s="56" t="n"/>
    </row>
    <row r="93" ht="14" customHeight="1">
      <c r="A93" s="169" t="inlineStr">
        <is>
          <t>📋 Note: Reference or copy Row 92 directly into an Annual / Quarterly review dashboard to track yearly habit trends.</t>
        </is>
      </c>
    </row>
    <row r="94" ht="8" customHeight="1"/>
    <row r="95">
      <c r="A95" s="170" t="inlineStr">
        <is>
          <t>🏆 MONTHLY WINS &amp; HIGHLIGHTS</t>
        </is>
      </c>
      <c r="J95" s="171" t="inlineStr">
        <is>
          <t>⚠️ FRICTION POINTS &amp; ROOT CAUSES</t>
        </is>
      </c>
      <c r="S95" s="172" t="inlineStr">
        <is>
          <t>🎯 3 KEY ADJUSTMENTS FOR NEXT MONTH</t>
        </is>
      </c>
    </row>
    <row r="96">
      <c r="A96" s="173" t="inlineStr">
        <is>
          <t>1. What went exceptionally well this month?
2. Which habit felt effortless and consistent?
3. Major milestone achieved:</t>
        </is>
      </c>
      <c r="B96" s="174" t="n"/>
      <c r="C96" s="174" t="n"/>
      <c r="D96" s="174" t="n"/>
      <c r="E96" s="174" t="n"/>
      <c r="F96" s="174" t="n"/>
      <c r="G96" s="174" t="n"/>
      <c r="H96" s="174" t="n"/>
      <c r="J96" s="175" t="inlineStr">
        <is>
          <t>1. What caused missed or skipped days?
2. Main triggers / energy drains encountered:
3. Which habit had the lowest consistency and why?</t>
        </is>
      </c>
      <c r="K96" s="176" t="n"/>
      <c r="L96" s="176" t="n"/>
      <c r="M96" s="176" t="n"/>
      <c r="N96" s="176" t="n"/>
      <c r="O96" s="176" t="n"/>
      <c r="P96" s="176" t="n"/>
      <c r="Q96" s="176" t="n"/>
      <c r="S96" s="177" t="inlineStr">
        <is>
          <t>1. Habit Stacking or time adjustment for next month:
2. Environment design change to eliminate friction:
3. One non-negotiable priority protocol:</t>
        </is>
      </c>
      <c r="T96" s="178" t="n"/>
      <c r="U96" s="178" t="n"/>
      <c r="V96" s="178" t="n"/>
      <c r="W96" s="178" t="n"/>
      <c r="X96" s="178" t="n"/>
      <c r="Y96" s="178" t="n"/>
      <c r="Z96" s="178" t="n"/>
    </row>
    <row r="97">
      <c r="A97" s="174" t="n"/>
      <c r="B97" s="174" t="n"/>
      <c r="C97" s="174" t="n"/>
      <c r="D97" s="174" t="n"/>
      <c r="E97" s="174" t="n"/>
      <c r="F97" s="174" t="n"/>
      <c r="G97" s="174" t="n"/>
      <c r="H97" s="174" t="n"/>
      <c r="J97" s="176" t="n"/>
      <c r="K97" s="176" t="n"/>
      <c r="L97" s="176" t="n"/>
      <c r="M97" s="176" t="n"/>
      <c r="N97" s="176" t="n"/>
      <c r="O97" s="176" t="n"/>
      <c r="P97" s="176" t="n"/>
      <c r="Q97" s="176" t="n"/>
      <c r="S97" s="178" t="n"/>
      <c r="T97" s="178" t="n"/>
      <c r="U97" s="178" t="n"/>
      <c r="V97" s="178" t="n"/>
      <c r="W97" s="178" t="n"/>
      <c r="X97" s="178" t="n"/>
      <c r="Y97" s="178" t="n"/>
      <c r="Z97" s="178" t="n"/>
    </row>
    <row r="98">
      <c r="A98" s="174" t="n"/>
      <c r="B98" s="174" t="n"/>
      <c r="C98" s="174" t="n"/>
      <c r="D98" s="174" t="n"/>
      <c r="E98" s="174" t="n"/>
      <c r="F98" s="174" t="n"/>
      <c r="G98" s="174" t="n"/>
      <c r="H98" s="174" t="n"/>
      <c r="J98" s="176" t="n"/>
      <c r="K98" s="176" t="n"/>
      <c r="L98" s="176" t="n"/>
      <c r="M98" s="176" t="n"/>
      <c r="N98" s="176" t="n"/>
      <c r="O98" s="176" t="n"/>
      <c r="P98" s="176" t="n"/>
      <c r="Q98" s="176" t="n"/>
      <c r="S98" s="178" t="n"/>
      <c r="T98" s="178" t="n"/>
      <c r="U98" s="178" t="n"/>
      <c r="V98" s="178" t="n"/>
      <c r="W98" s="178" t="n"/>
      <c r="X98" s="178" t="n"/>
      <c r="Y98" s="178" t="n"/>
      <c r="Z98" s="178" t="n"/>
    </row>
    <row r="99">
      <c r="A99" s="174" t="n"/>
      <c r="B99" s="174" t="n"/>
      <c r="C99" s="174" t="n"/>
      <c r="D99" s="174" t="n"/>
      <c r="E99" s="174" t="n"/>
      <c r="F99" s="174" t="n"/>
      <c r="G99" s="174" t="n"/>
      <c r="H99" s="174" t="n"/>
      <c r="J99" s="176" t="n"/>
      <c r="K99" s="176" t="n"/>
      <c r="L99" s="176" t="n"/>
      <c r="M99" s="176" t="n"/>
      <c r="N99" s="176" t="n"/>
      <c r="O99" s="176" t="n"/>
      <c r="P99" s="176" t="n"/>
      <c r="Q99" s="176" t="n"/>
      <c r="S99" s="178" t="n"/>
      <c r="T99" s="178" t="n"/>
      <c r="U99" s="178" t="n"/>
      <c r="V99" s="178" t="n"/>
      <c r="W99" s="178" t="n"/>
      <c r="X99" s="178" t="n"/>
      <c r="Y99" s="178" t="n"/>
      <c r="Z99" s="178" t="n"/>
    </row>
    <row r="100">
      <c r="A100" s="174" t="n"/>
      <c r="B100" s="174" t="n"/>
      <c r="C100" s="174" t="n"/>
      <c r="D100" s="174" t="n"/>
      <c r="E100" s="174" t="n"/>
      <c r="F100" s="174" t="n"/>
      <c r="G100" s="174" t="n"/>
      <c r="H100" s="174" t="n"/>
      <c r="J100" s="176" t="n"/>
      <c r="K100" s="176" t="n"/>
      <c r="L100" s="176" t="n"/>
      <c r="M100" s="176" t="n"/>
      <c r="N100" s="176" t="n"/>
      <c r="O100" s="176" t="n"/>
      <c r="P100" s="176" t="n"/>
      <c r="Q100" s="176" t="n"/>
      <c r="S100" s="178" t="n"/>
      <c r="T100" s="178" t="n"/>
      <c r="U100" s="178" t="n"/>
      <c r="V100" s="178" t="n"/>
      <c r="W100" s="178" t="n"/>
      <c r="X100" s="178" t="n"/>
      <c r="Y100" s="178" t="n"/>
      <c r="Z100" s="178" t="n"/>
    </row>
    <row r="101">
      <c r="A101" s="174" t="n"/>
      <c r="B101" s="174" t="n"/>
      <c r="C101" s="174" t="n"/>
      <c r="D101" s="174" t="n"/>
      <c r="E101" s="174" t="n"/>
      <c r="F101" s="174" t="n"/>
      <c r="G101" s="174" t="n"/>
      <c r="H101" s="174" t="n"/>
      <c r="J101" s="176" t="n"/>
      <c r="K101" s="176" t="n"/>
      <c r="L101" s="176" t="n"/>
      <c r="M101" s="176" t="n"/>
      <c r="N101" s="176" t="n"/>
      <c r="O101" s="176" t="n"/>
      <c r="P101" s="176" t="n"/>
      <c r="Q101" s="176" t="n"/>
      <c r="S101" s="178" t="n"/>
      <c r="T101" s="178" t="n"/>
      <c r="U101" s="178" t="n"/>
      <c r="V101" s="178" t="n"/>
      <c r="W101" s="178" t="n"/>
      <c r="X101" s="178" t="n"/>
      <c r="Y101" s="178" t="n"/>
      <c r="Z101" s="178" t="n"/>
    </row>
    <row r="102">
      <c r="A102" s="174" t="n"/>
      <c r="B102" s="174" t="n"/>
      <c r="C102" s="174" t="n"/>
      <c r="D102" s="174" t="n"/>
      <c r="E102" s="174" t="n"/>
      <c r="F102" s="174" t="n"/>
      <c r="G102" s="174" t="n"/>
      <c r="H102" s="174" t="n"/>
      <c r="J102" s="176" t="n"/>
      <c r="K102" s="176" t="n"/>
      <c r="L102" s="176" t="n"/>
      <c r="M102" s="176" t="n"/>
      <c r="N102" s="176" t="n"/>
      <c r="O102" s="176" t="n"/>
      <c r="P102" s="176" t="n"/>
      <c r="Q102" s="176" t="n"/>
      <c r="S102" s="178" t="n"/>
      <c r="T102" s="178" t="n"/>
      <c r="U102" s="178" t="n"/>
      <c r="V102" s="178" t="n"/>
      <c r="W102" s="178" t="n"/>
      <c r="X102" s="178" t="n"/>
      <c r="Y102" s="178" t="n"/>
      <c r="Z102" s="178" t="n"/>
    </row>
    <row r="103">
      <c r="A103" s="174" t="n"/>
      <c r="B103" s="174" t="n"/>
      <c r="C103" s="174" t="n"/>
      <c r="D103" s="174" t="n"/>
      <c r="E103" s="174" t="n"/>
      <c r="F103" s="174" t="n"/>
      <c r="G103" s="174" t="n"/>
      <c r="H103" s="174" t="n"/>
      <c r="J103" s="176" t="n"/>
      <c r="K103" s="176" t="n"/>
      <c r="L103" s="176" t="n"/>
      <c r="M103" s="176" t="n"/>
      <c r="N103" s="176" t="n"/>
      <c r="O103" s="176" t="n"/>
      <c r="P103" s="176" t="n"/>
      <c r="Q103" s="176" t="n"/>
      <c r="S103" s="178" t="n"/>
      <c r="T103" s="178" t="n"/>
      <c r="U103" s="178" t="n"/>
      <c r="V103" s="178" t="n"/>
      <c r="W103" s="178" t="n"/>
      <c r="X103" s="178" t="n"/>
      <c r="Y103" s="178" t="n"/>
      <c r="Z103" s="178" t="n"/>
    </row>
  </sheetData>
  <sheetProtection selectLockedCells="1" selectUnlockedCells="1" sheet="1" objects="0" insertRows="1" insertHyperlinks="1" autoFilter="1" scenarios="0" formatColumns="1" deleteColumns="1" insertColumns="1" pivotTables="1" deleteRows="1" formatCells="1" formatRows="1" sort="1"/>
  <mergeCells count="94">
    <mergeCell ref="A9:N9"/>
    <mergeCell ref="N76:O76"/>
    <mergeCell ref="F67:I67"/>
    <mergeCell ref="G87:I87"/>
    <mergeCell ref="A16:A17"/>
    <mergeCell ref="A45:D46"/>
    <mergeCell ref="C16:C17"/>
    <mergeCell ref="N75:O75"/>
    <mergeCell ref="N77:O77"/>
    <mergeCell ref="P68:S70"/>
    <mergeCell ref="A93:AK93"/>
    <mergeCell ref="D16:D17"/>
    <mergeCell ref="N85:Q85"/>
    <mergeCell ref="A95:H95"/>
    <mergeCell ref="Q91:S91"/>
    <mergeCell ref="P6:AK6"/>
    <mergeCell ref="E91:F91"/>
    <mergeCell ref="A8:N8"/>
    <mergeCell ref="G91:H91"/>
    <mergeCell ref="P8:AK8"/>
    <mergeCell ref="J86:M86"/>
    <mergeCell ref="S95:Z95"/>
    <mergeCell ref="K67:N67"/>
    <mergeCell ref="N79:O79"/>
    <mergeCell ref="K92:L92"/>
    <mergeCell ref="P7:AK7"/>
    <mergeCell ref="C92:D92"/>
    <mergeCell ref="F71:I71"/>
    <mergeCell ref="M92:N92"/>
    <mergeCell ref="A12:AK14"/>
    <mergeCell ref="K68:N70"/>
    <mergeCell ref="T91:W91"/>
    <mergeCell ref="AI16:AI17"/>
    <mergeCell ref="J95:Q95"/>
    <mergeCell ref="D85:F85"/>
    <mergeCell ref="N74:S74"/>
    <mergeCell ref="P9:AK9"/>
    <mergeCell ref="F68:I70"/>
    <mergeCell ref="A91:B91"/>
    <mergeCell ref="N78:O78"/>
    <mergeCell ref="C91:D91"/>
    <mergeCell ref="M91:N91"/>
    <mergeCell ref="O91:P91"/>
    <mergeCell ref="R86:U86"/>
    <mergeCell ref="A84:AK84"/>
    <mergeCell ref="N80:O80"/>
    <mergeCell ref="B16:B17"/>
    <mergeCell ref="A71:D71"/>
    <mergeCell ref="J85:M85"/>
    <mergeCell ref="D86:F86"/>
    <mergeCell ref="A92:B92"/>
    <mergeCell ref="N87:Q87"/>
    <mergeCell ref="A1:B1"/>
    <mergeCell ref="E92:F92"/>
    <mergeCell ref="A68:D70"/>
    <mergeCell ref="P71:S71"/>
    <mergeCell ref="A86:C86"/>
    <mergeCell ref="D87:F87"/>
    <mergeCell ref="O92:P92"/>
    <mergeCell ref="A6:N6"/>
    <mergeCell ref="A39:D39"/>
    <mergeCell ref="G86:I86"/>
    <mergeCell ref="A96:H103"/>
    <mergeCell ref="P67:S67"/>
    <mergeCell ref="A41:AK41"/>
    <mergeCell ref="T92:W92"/>
    <mergeCell ref="R85:U85"/>
    <mergeCell ref="H2:AC2"/>
    <mergeCell ref="K71:N71"/>
    <mergeCell ref="S96:Z103"/>
    <mergeCell ref="A38:D38"/>
    <mergeCell ref="A42:AK42"/>
    <mergeCell ref="H3:AC3"/>
    <mergeCell ref="A67:D67"/>
    <mergeCell ref="I91:J91"/>
    <mergeCell ref="A85:C85"/>
    <mergeCell ref="K91:L91"/>
    <mergeCell ref="N86:Q86"/>
    <mergeCell ref="A7:N7"/>
    <mergeCell ref="A74:E74"/>
    <mergeCell ref="G85:I85"/>
    <mergeCell ref="G92:H92"/>
    <mergeCell ref="I92:J92"/>
    <mergeCell ref="R87:U87"/>
    <mergeCell ref="AK16:AK17"/>
    <mergeCell ref="J87:M87"/>
    <mergeCell ref="AD2:AK2"/>
    <mergeCell ref="AJ16:AJ17"/>
    <mergeCell ref="J96:Q103"/>
    <mergeCell ref="A88:AK88"/>
    <mergeCell ref="A90:AK90"/>
    <mergeCell ref="Q92:S92"/>
    <mergeCell ref="A87:C87"/>
    <mergeCell ref="A47:D47"/>
  </mergeCells>
  <conditionalFormatting sqref="AI18:AI37">
    <cfRule type="dataBar" priority="1">
      <dataBar>
        <cfvo type="num" val="0"/>
        <cfvo type="num" val="1"/>
        <color rgb="0010B981"/>
      </dataBar>
    </cfRule>
  </conditionalFormatting>
  <conditionalFormatting sqref="E18:AH37">
    <cfRule type="cellIs" priority="2" operator="equal" dxfId="0">
      <formula>"✓"</formula>
    </cfRule>
    <cfRule type="cellIs" priority="3" operator="equal" dxfId="0">
      <formula>"✔"</formula>
    </cfRule>
    <cfRule type="cellIs" priority="4" operator="equal" dxfId="1">
      <formula>"✗"</formula>
    </cfRule>
    <cfRule type="cellIs" priority="5" operator="equal" dxfId="1">
      <formula>"x"</formula>
    </cfRule>
    <cfRule type="cellIs" priority="6" operator="equal" dxfId="1">
      <formula>"X"</formula>
    </cfRule>
  </conditionalFormatting>
  <conditionalFormatting sqref="E16:E17">
    <cfRule type="expression" priority="7" dxfId="2">
      <formula>AND(DAY(TODAY())=1, MONTH(TODAY())=9, YEAR(TODAY())=2027)</formula>
    </cfRule>
  </conditionalFormatting>
  <conditionalFormatting sqref="F16:F17">
    <cfRule type="expression" priority="8" dxfId="2">
      <formula>AND(DAY(TODAY())=2, MONTH(TODAY())=9, YEAR(TODAY())=2027)</formula>
    </cfRule>
  </conditionalFormatting>
  <conditionalFormatting sqref="G16:G17">
    <cfRule type="expression" priority="9" dxfId="2">
      <formula>AND(DAY(TODAY())=3, MONTH(TODAY())=9, YEAR(TODAY())=2027)</formula>
    </cfRule>
  </conditionalFormatting>
  <conditionalFormatting sqref="H16:H17">
    <cfRule type="expression" priority="10" dxfId="2">
      <formula>AND(DAY(TODAY())=4, MONTH(TODAY())=9, YEAR(TODAY())=2027)</formula>
    </cfRule>
  </conditionalFormatting>
  <conditionalFormatting sqref="I16:I17">
    <cfRule type="expression" priority="11" dxfId="2">
      <formula>AND(DAY(TODAY())=5, MONTH(TODAY())=9, YEAR(TODAY())=2027)</formula>
    </cfRule>
  </conditionalFormatting>
  <conditionalFormatting sqref="J16:J17">
    <cfRule type="expression" priority="12" dxfId="2">
      <formula>AND(DAY(TODAY())=6, MONTH(TODAY())=9, YEAR(TODAY())=2027)</formula>
    </cfRule>
  </conditionalFormatting>
  <conditionalFormatting sqref="K16:K17">
    <cfRule type="expression" priority="13" dxfId="2">
      <formula>AND(DAY(TODAY())=7, MONTH(TODAY())=9, YEAR(TODAY())=2027)</formula>
    </cfRule>
  </conditionalFormatting>
  <conditionalFormatting sqref="L16:L17">
    <cfRule type="expression" priority="14" dxfId="2">
      <formula>AND(DAY(TODAY())=8, MONTH(TODAY())=9, YEAR(TODAY())=2027)</formula>
    </cfRule>
  </conditionalFormatting>
  <conditionalFormatting sqref="M16:M17">
    <cfRule type="expression" priority="15" dxfId="2">
      <formula>AND(DAY(TODAY())=9, MONTH(TODAY())=9, YEAR(TODAY())=2027)</formula>
    </cfRule>
  </conditionalFormatting>
  <conditionalFormatting sqref="N16:N17">
    <cfRule type="expression" priority="16" dxfId="2">
      <formula>AND(DAY(TODAY())=10, MONTH(TODAY())=9, YEAR(TODAY())=2027)</formula>
    </cfRule>
  </conditionalFormatting>
  <conditionalFormatting sqref="O16:O17">
    <cfRule type="expression" priority="17" dxfId="2">
      <formula>AND(DAY(TODAY())=11, MONTH(TODAY())=9, YEAR(TODAY())=2027)</formula>
    </cfRule>
  </conditionalFormatting>
  <conditionalFormatting sqref="P16:P17">
    <cfRule type="expression" priority="18" dxfId="2">
      <formula>AND(DAY(TODAY())=12, MONTH(TODAY())=9, YEAR(TODAY())=2027)</formula>
    </cfRule>
  </conditionalFormatting>
  <conditionalFormatting sqref="Q16:Q17">
    <cfRule type="expression" priority="19" dxfId="2">
      <formula>AND(DAY(TODAY())=13, MONTH(TODAY())=9, YEAR(TODAY())=2027)</formula>
    </cfRule>
  </conditionalFormatting>
  <conditionalFormatting sqref="R16:R17">
    <cfRule type="expression" priority="20" dxfId="2">
      <formula>AND(DAY(TODAY())=14, MONTH(TODAY())=9, YEAR(TODAY())=2027)</formula>
    </cfRule>
  </conditionalFormatting>
  <conditionalFormatting sqref="S16:S17">
    <cfRule type="expression" priority="21" dxfId="2">
      <formula>AND(DAY(TODAY())=15, MONTH(TODAY())=9, YEAR(TODAY())=2027)</formula>
    </cfRule>
  </conditionalFormatting>
  <conditionalFormatting sqref="T16:T17">
    <cfRule type="expression" priority="22" dxfId="2">
      <formula>AND(DAY(TODAY())=16, MONTH(TODAY())=9, YEAR(TODAY())=2027)</formula>
    </cfRule>
  </conditionalFormatting>
  <conditionalFormatting sqref="U16:U17">
    <cfRule type="expression" priority="23" dxfId="2">
      <formula>AND(DAY(TODAY())=17, MONTH(TODAY())=9, YEAR(TODAY())=2027)</formula>
    </cfRule>
  </conditionalFormatting>
  <conditionalFormatting sqref="V16:V17">
    <cfRule type="expression" priority="24" dxfId="2">
      <formula>AND(DAY(TODAY())=18, MONTH(TODAY())=9, YEAR(TODAY())=2027)</formula>
    </cfRule>
  </conditionalFormatting>
  <conditionalFormatting sqref="W16:W17">
    <cfRule type="expression" priority="25" dxfId="2">
      <formula>AND(DAY(TODAY())=19, MONTH(TODAY())=9, YEAR(TODAY())=2027)</formula>
    </cfRule>
  </conditionalFormatting>
  <conditionalFormatting sqref="X16:X17">
    <cfRule type="expression" priority="26" dxfId="2">
      <formula>AND(DAY(TODAY())=20, MONTH(TODAY())=9, YEAR(TODAY())=2027)</formula>
    </cfRule>
  </conditionalFormatting>
  <conditionalFormatting sqref="Y16:Y17">
    <cfRule type="expression" priority="27" dxfId="2">
      <formula>AND(DAY(TODAY())=21, MONTH(TODAY())=9, YEAR(TODAY())=2027)</formula>
    </cfRule>
  </conditionalFormatting>
  <conditionalFormatting sqref="Z16:Z17">
    <cfRule type="expression" priority="28" dxfId="2">
      <formula>AND(DAY(TODAY())=22, MONTH(TODAY())=9, YEAR(TODAY())=2027)</formula>
    </cfRule>
  </conditionalFormatting>
  <conditionalFormatting sqref="AA16:AA17">
    <cfRule type="expression" priority="29" dxfId="2">
      <formula>AND(DAY(TODAY())=23, MONTH(TODAY())=9, YEAR(TODAY())=2027)</formula>
    </cfRule>
  </conditionalFormatting>
  <conditionalFormatting sqref="AB16:AB17">
    <cfRule type="expression" priority="30" dxfId="2">
      <formula>AND(DAY(TODAY())=24, MONTH(TODAY())=9, YEAR(TODAY())=2027)</formula>
    </cfRule>
  </conditionalFormatting>
  <conditionalFormatting sqref="AC16:AC17">
    <cfRule type="expression" priority="31" dxfId="2">
      <formula>AND(DAY(TODAY())=25, MONTH(TODAY())=9, YEAR(TODAY())=2027)</formula>
    </cfRule>
  </conditionalFormatting>
  <conditionalFormatting sqref="AD16:AD17">
    <cfRule type="expression" priority="32" dxfId="2">
      <formula>AND(DAY(TODAY())=26, MONTH(TODAY())=9, YEAR(TODAY())=2027)</formula>
    </cfRule>
  </conditionalFormatting>
  <conditionalFormatting sqref="AE16:AE17">
    <cfRule type="expression" priority="33" dxfId="2">
      <formula>AND(DAY(TODAY())=27, MONTH(TODAY())=9, YEAR(TODAY())=2027)</formula>
    </cfRule>
  </conditionalFormatting>
  <conditionalFormatting sqref="AF16:AF17">
    <cfRule type="expression" priority="34" dxfId="2">
      <formula>AND(DAY(TODAY())=28, MONTH(TODAY())=9, YEAR(TODAY())=2027)</formula>
    </cfRule>
  </conditionalFormatting>
  <conditionalFormatting sqref="AG16:AG17">
    <cfRule type="expression" priority="35" dxfId="2">
      <formula>AND(DAY(TODAY())=29, MONTH(TODAY())=9, YEAR(TODAY())=2027)</formula>
    </cfRule>
  </conditionalFormatting>
  <conditionalFormatting sqref="AH16:AH17">
    <cfRule type="expression" priority="36" dxfId="2">
      <formula>AND(DAY(TODAY())=30, MONTH(TODAY())=9, YEAR(TODAY())=2027)</formula>
    </cfRule>
  </conditionalFormatting>
  <dataValidations count="4">
    <dataValidation sqref="C18:C37" showDropDown="0" showInputMessage="0" showErrorMessage="0" allowBlank="1" type="list">
      <formula1>"Health &amp; Fitness,Mindset &amp; Learning,Career &amp; Focus,Personal &amp; Home,Finance &amp; Wealth,Other"</formula1>
    </dataValidation>
    <dataValidation sqref="D18:D37" showDropDown="0" showInputMessage="0" showErrorMessage="0" allowBlank="1" type="list">
      <formula1>"1,2,3,4,5,6,7,8,9,10,11,12,13,14,15,16,17,18,19,20,21,22,23,24,25,26,27,28,29,30,31"</formula1>
    </dataValidation>
    <dataValidation sqref="E18:AH37" showDropDown="0" showInputMessage="0" showErrorMessage="0" allowBlank="1" type="list">
      <formula1>"✓,✗"</formula1>
    </dataValidation>
    <dataValidation sqref="E47:AH47" showDropDown="0" showInputMessage="0" showErrorMessage="0" allowBlank="1" type="list">
      <formula1>"1,2,3,4,5,6,7,8,9,10,11,12,13,14,15,16,17,18,19,20,21,22,23,24"</formula1>
    </dataValidation>
  </dataValidations>
  <hyperlinks>
    <hyperlink xmlns:r="http://schemas.openxmlformats.org/officeDocument/2006/relationships" ref="A1" r:id="rId1"/>
    <hyperlink xmlns:r="http://schemas.openxmlformats.org/officeDocument/2006/relationships" ref="C1" r:id="rId2"/>
    <hyperlink xmlns:r="http://schemas.openxmlformats.org/officeDocument/2006/relationships" ref="D1" r:id="rId3"/>
    <hyperlink xmlns:r="http://schemas.openxmlformats.org/officeDocument/2006/relationships" ref="E1" r:id="rId4"/>
    <hyperlink xmlns:r="http://schemas.openxmlformats.org/officeDocument/2006/relationships" ref="F1" r:id="rId5"/>
    <hyperlink xmlns:r="http://schemas.openxmlformats.org/officeDocument/2006/relationships" ref="G1" r:id="rId6"/>
    <hyperlink xmlns:r="http://schemas.openxmlformats.org/officeDocument/2006/relationships" ref="H1" r:id="rId7"/>
    <hyperlink xmlns:r="http://schemas.openxmlformats.org/officeDocument/2006/relationships" ref="I1" r:id="rId8"/>
    <hyperlink xmlns:r="http://schemas.openxmlformats.org/officeDocument/2006/relationships" ref="J1" r:id="rId9"/>
    <hyperlink xmlns:r="http://schemas.openxmlformats.org/officeDocument/2006/relationships" ref="K1" r:id="rId10"/>
  </hyperlinks>
  <printOptions horizontalCentered="1" verticalCentered="0"/>
  <pageMargins left="0.75" right="0.75" top="1" bottom="1" header="0.5" footer="0.5"/>
  <pageSetup orientation="landscape" paperSize="9" fitToHeight="0" fitToWidth="1"/>
  <drawing xmlns:r="http://schemas.openxmlformats.org/officeDocument/2006/relationships" r:id="rId11"/>
</worksheet>
</file>

<file path=xl/worksheets/sheet17.xml><?xml version="1.0" encoding="utf-8"?>
<worksheet xmlns="http://schemas.openxmlformats.org/spreadsheetml/2006/main">
  <sheetPr>
    <outlinePr summaryBelow="1" summaryRight="1"/>
    <pageSetUpPr fitToPage="1"/>
  </sheetPr>
  <dimension ref="A1:AM103"/>
  <sheetViews>
    <sheetView showGridLines="1" workbookViewId="0">
      <selection activeCell="A1" sqref="A1"/>
    </sheetView>
  </sheetViews>
  <sheetFormatPr baseColWidth="8" defaultRowHeight="15"/>
  <cols>
    <col width="6" customWidth="1" min="1" max="1"/>
    <col width="25" customWidth="1" min="2" max="2"/>
    <col width="16.5" customWidth="1" min="3" max="3"/>
    <col width="8" customWidth="1" min="4" max="4"/>
    <col width="4.8" customWidth="1" min="5" max="5"/>
    <col width="4.8" customWidth="1" min="6" max="6"/>
    <col width="4.8" customWidth="1" min="7" max="7"/>
    <col width="4.8" customWidth="1" min="8" max="8"/>
    <col width="4.8" customWidth="1" min="9" max="9"/>
    <col width="4.8" customWidth="1" min="10" max="10"/>
    <col width="4.8" customWidth="1" min="11" max="11"/>
    <col width="4.8" customWidth="1" min="12" max="12"/>
    <col width="4.8" customWidth="1" min="13" max="13"/>
    <col width="4.8" customWidth="1" min="14" max="14"/>
    <col width="4.8" customWidth="1" min="15" max="15"/>
    <col width="4.8" customWidth="1" min="16" max="16"/>
    <col width="4.8" customWidth="1" min="17" max="17"/>
    <col width="4.8" customWidth="1" min="18" max="18"/>
    <col width="4.8" customWidth="1" min="19" max="19"/>
    <col width="4.8" customWidth="1" min="20" max="20"/>
    <col width="4.8" customWidth="1" min="21" max="21"/>
    <col width="4.8" customWidth="1" min="22" max="22"/>
    <col width="4.8" customWidth="1" min="23" max="23"/>
    <col width="4.8" customWidth="1" min="24" max="24"/>
    <col width="4.8" customWidth="1" min="25" max="25"/>
    <col width="4.8" customWidth="1" min="26" max="26"/>
    <col width="4.8" customWidth="1" min="27" max="27"/>
    <col width="4.8" customWidth="1" min="28" max="28"/>
    <col width="4.8" customWidth="1" min="29" max="29"/>
    <col width="4.8" customWidth="1" min="30" max="30"/>
    <col width="4.8" customWidth="1" min="31" max="31"/>
    <col width="4.8" customWidth="1" min="32" max="32"/>
    <col width="4.8" customWidth="1" min="33" max="33"/>
    <col width="4.8" customWidth="1" min="34" max="34"/>
    <col width="4.8" customWidth="1" min="35" max="35"/>
    <col width="11.5" customWidth="1" min="36" max="36"/>
    <col width="12" customWidth="1" min="37" max="37"/>
    <col width="13.5" customWidth="1" min="38" max="38"/>
    <col hidden="1" width="8" customWidth="1" min="39" max="39"/>
  </cols>
  <sheetData>
    <row r="1" ht="18" customHeight="1">
      <c r="A1" s="76" t="inlineStr">
        <is>
          <t>🏠 Master Dashboard</t>
        </is>
      </c>
      <c r="B1" s="40" t="n"/>
      <c r="C1" s="77" t="inlineStr">
        <is>
          <t>🏛️ Quarterly Hub</t>
        </is>
      </c>
      <c r="D1" s="78" t="inlineStr">
        <is>
          <t>📚 Habit Library</t>
        </is>
      </c>
      <c r="E1" s="80" t="inlineStr">
        <is>
          <t>2026</t>
        </is>
      </c>
      <c r="F1" s="79" t="inlineStr">
        <is>
          <t>2027</t>
        </is>
      </c>
      <c r="G1" s="80" t="inlineStr">
        <is>
          <t>2028</t>
        </is>
      </c>
      <c r="H1" s="80" t="inlineStr">
        <is>
          <t>2029</t>
        </is>
      </c>
      <c r="I1" s="80" t="inlineStr">
        <is>
          <t>2030</t>
        </is>
      </c>
      <c r="J1" s="82" t="inlineStr">
        <is>
          <t>◀ Prev</t>
        </is>
      </c>
      <c r="K1" s="82" t="inlineStr">
        <is>
          <t>Next ▶</t>
        </is>
      </c>
    </row>
    <row r="2" ht="24" customHeight="1">
      <c r="A2" s="83" t="inlineStr">
        <is>
          <t>Habit Tracker</t>
        </is>
      </c>
      <c r="H2" s="84" t="inlineStr">
        <is>
          <t>"Discipline equals freedom."</t>
        </is>
      </c>
      <c r="AE2" s="85" t="inlineStr">
        <is>
          <t>@surajvansh</t>
        </is>
      </c>
    </row>
    <row r="3" ht="18" customHeight="1">
      <c r="A3" s="86" t="inlineStr">
        <is>
          <t>October 2027</t>
        </is>
      </c>
      <c r="H3" s="87" t="inlineStr">
        <is>
          <t>31 Days Dashboard</t>
        </is>
      </c>
    </row>
    <row r="4" ht="5" customHeight="1"/>
    <row r="5" ht="16" customHeight="1">
      <c r="A5" s="88" t="inlineStr">
        <is>
          <t>MONTHLY TARGETS</t>
        </is>
      </c>
    </row>
    <row r="6" ht="13" customHeight="1">
      <c r="A6" s="89" t="inlineStr">
        <is>
          <t>1. ____________________ : ____________________</t>
        </is>
      </c>
      <c r="P6" s="89" t="inlineStr">
        <is>
          <t>5. ____________________ : ____________________</t>
        </is>
      </c>
    </row>
    <row r="7" ht="13" customHeight="1">
      <c r="A7" s="89" t="inlineStr">
        <is>
          <t>2. ____________________ : ____________________</t>
        </is>
      </c>
      <c r="P7" s="89" t="inlineStr">
        <is>
          <t>6. ____________________ : ____________________</t>
        </is>
      </c>
    </row>
    <row r="8" ht="13" customHeight="1">
      <c r="A8" s="89" t="inlineStr">
        <is>
          <t>3. ____________________ : ____________________</t>
        </is>
      </c>
      <c r="P8" s="89" t="inlineStr">
        <is>
          <t>7. ____________________ : ____________________</t>
        </is>
      </c>
    </row>
    <row r="9" ht="13" customHeight="1">
      <c r="A9" s="89" t="inlineStr">
        <is>
          <t>4. ____________________ : ____________________</t>
        </is>
      </c>
      <c r="P9" s="89" t="inlineStr">
        <is>
          <t>8. ____________________ : ____________________</t>
        </is>
      </c>
    </row>
    <row r="10" ht="5" customHeight="1"/>
    <row r="11" ht="15" customHeight="1">
      <c r="A11" s="88" t="inlineStr">
        <is>
          <t>NOTES:</t>
        </is>
      </c>
    </row>
    <row r="12" ht="13" customHeight="1">
      <c r="A12" s="90" t="n"/>
      <c r="B12" s="91" t="n"/>
      <c r="C12" s="91" t="n"/>
      <c r="D12" s="91" t="n"/>
      <c r="E12" s="91" t="n"/>
      <c r="F12" s="91" t="n"/>
      <c r="G12" s="91" t="n"/>
      <c r="H12" s="91" t="n"/>
      <c r="I12" s="91" t="n"/>
      <c r="J12" s="91" t="n"/>
      <c r="K12" s="91" t="n"/>
      <c r="L12" s="91" t="n"/>
      <c r="M12" s="91" t="n"/>
      <c r="N12" s="91" t="n"/>
      <c r="O12" s="91" t="n"/>
      <c r="P12" s="91" t="n"/>
      <c r="Q12" s="91" t="n"/>
      <c r="R12" s="91" t="n"/>
      <c r="S12" s="91" t="n"/>
      <c r="T12" s="91" t="n"/>
      <c r="U12" s="91" t="n"/>
      <c r="V12" s="91" t="n"/>
      <c r="W12" s="91" t="n"/>
      <c r="X12" s="91" t="n"/>
      <c r="Y12" s="91" t="n"/>
      <c r="Z12" s="91" t="n"/>
      <c r="AA12" s="91" t="n"/>
      <c r="AB12" s="91" t="n"/>
      <c r="AC12" s="91" t="n"/>
      <c r="AD12" s="91" t="n"/>
      <c r="AE12" s="91" t="n"/>
      <c r="AF12" s="91" t="n"/>
      <c r="AG12" s="91" t="n"/>
      <c r="AH12" s="91" t="n"/>
      <c r="AI12" s="91" t="n"/>
      <c r="AJ12" s="91" t="n"/>
      <c r="AK12" s="91" t="n"/>
      <c r="AL12" s="91" t="n"/>
    </row>
    <row r="13" ht="13" customHeight="1">
      <c r="A13" s="91" t="n"/>
      <c r="B13" s="91" t="n"/>
      <c r="C13" s="91" t="n"/>
      <c r="D13" s="91" t="n"/>
      <c r="E13" s="91" t="n"/>
      <c r="F13" s="91" t="n"/>
      <c r="G13" s="91" t="n"/>
      <c r="H13" s="91" t="n"/>
      <c r="I13" s="91" t="n"/>
      <c r="J13" s="91" t="n"/>
      <c r="K13" s="91" t="n"/>
      <c r="L13" s="91" t="n"/>
      <c r="M13" s="91" t="n"/>
      <c r="N13" s="91" t="n"/>
      <c r="O13" s="91" t="n"/>
      <c r="P13" s="91" t="n"/>
      <c r="Q13" s="91" t="n"/>
      <c r="R13" s="91" t="n"/>
      <c r="S13" s="91" t="n"/>
      <c r="T13" s="91" t="n"/>
      <c r="U13" s="91" t="n"/>
      <c r="V13" s="91" t="n"/>
      <c r="W13" s="91" t="n"/>
      <c r="X13" s="91" t="n"/>
      <c r="Y13" s="91" t="n"/>
      <c r="Z13" s="91" t="n"/>
      <c r="AA13" s="91" t="n"/>
      <c r="AB13" s="91" t="n"/>
      <c r="AC13" s="91" t="n"/>
      <c r="AD13" s="91" t="n"/>
      <c r="AE13" s="91" t="n"/>
      <c r="AF13" s="91" t="n"/>
      <c r="AG13" s="91" t="n"/>
      <c r="AH13" s="91" t="n"/>
      <c r="AI13" s="91" t="n"/>
      <c r="AJ13" s="91" t="n"/>
      <c r="AK13" s="91" t="n"/>
      <c r="AL13" s="91" t="n"/>
    </row>
    <row r="14" ht="13" customHeight="1">
      <c r="A14" s="91" t="n"/>
      <c r="B14" s="91" t="n"/>
      <c r="C14" s="91" t="n"/>
      <c r="D14" s="91" t="n"/>
      <c r="E14" s="91" t="n"/>
      <c r="F14" s="91" t="n"/>
      <c r="G14" s="91" t="n"/>
      <c r="H14" s="91" t="n"/>
      <c r="I14" s="91" t="n"/>
      <c r="J14" s="91" t="n"/>
      <c r="K14" s="91" t="n"/>
      <c r="L14" s="91" t="n"/>
      <c r="M14" s="91" t="n"/>
      <c r="N14" s="91" t="n"/>
      <c r="O14" s="91" t="n"/>
      <c r="P14" s="91" t="n"/>
      <c r="Q14" s="91" t="n"/>
      <c r="R14" s="91" t="n"/>
      <c r="S14" s="91" t="n"/>
      <c r="T14" s="91" t="n"/>
      <c r="U14" s="91" t="n"/>
      <c r="V14" s="91" t="n"/>
      <c r="W14" s="91" t="n"/>
      <c r="X14" s="91" t="n"/>
      <c r="Y14" s="91" t="n"/>
      <c r="Z14" s="91" t="n"/>
      <c r="AA14" s="91" t="n"/>
      <c r="AB14" s="91" t="n"/>
      <c r="AC14" s="91" t="n"/>
      <c r="AD14" s="91" t="n"/>
      <c r="AE14" s="91" t="n"/>
      <c r="AF14" s="91" t="n"/>
      <c r="AG14" s="91" t="n"/>
      <c r="AH14" s="91" t="n"/>
      <c r="AI14" s="91" t="n"/>
      <c r="AJ14" s="91" t="n"/>
      <c r="AK14" s="91" t="n"/>
      <c r="AL14" s="91" t="n"/>
    </row>
    <row r="15" ht="8" customHeight="1"/>
    <row r="16" ht="15" customHeight="1">
      <c r="A16" s="33" t="inlineStr">
        <is>
          <t>S.No.</t>
        </is>
      </c>
      <c r="B16" s="33" t="inlineStr">
        <is>
          <t>Protocols</t>
        </is>
      </c>
      <c r="C16" s="33" t="inlineStr">
        <is>
          <t>Category</t>
        </is>
      </c>
      <c r="D16" s="33" t="inlineStr">
        <is>
          <t>Target</t>
        </is>
      </c>
      <c r="E16" s="92" t="n">
        <v>1</v>
      </c>
      <c r="F16" s="92" t="n">
        <v>2</v>
      </c>
      <c r="G16" s="93" t="n">
        <v>3</v>
      </c>
      <c r="H16" s="92" t="n">
        <v>4</v>
      </c>
      <c r="I16" s="92" t="n">
        <v>5</v>
      </c>
      <c r="J16" s="92" t="n">
        <v>6</v>
      </c>
      <c r="K16" s="92" t="n">
        <v>7</v>
      </c>
      <c r="L16" s="92" t="n">
        <v>8</v>
      </c>
      <c r="M16" s="92" t="n">
        <v>9</v>
      </c>
      <c r="N16" s="93" t="n">
        <v>10</v>
      </c>
      <c r="O16" s="92" t="n">
        <v>11</v>
      </c>
      <c r="P16" s="92" t="n">
        <v>12</v>
      </c>
      <c r="Q16" s="92" t="n">
        <v>13</v>
      </c>
      <c r="R16" s="92" t="n">
        <v>14</v>
      </c>
      <c r="S16" s="92" t="n">
        <v>15</v>
      </c>
      <c r="T16" s="92" t="n">
        <v>16</v>
      </c>
      <c r="U16" s="93" t="n">
        <v>17</v>
      </c>
      <c r="V16" s="92" t="n">
        <v>18</v>
      </c>
      <c r="W16" s="92" t="n">
        <v>19</v>
      </c>
      <c r="X16" s="92" t="n">
        <v>20</v>
      </c>
      <c r="Y16" s="92" t="n">
        <v>21</v>
      </c>
      <c r="Z16" s="92" t="n">
        <v>22</v>
      </c>
      <c r="AA16" s="92" t="n">
        <v>23</v>
      </c>
      <c r="AB16" s="93" t="n">
        <v>24</v>
      </c>
      <c r="AC16" s="92" t="n">
        <v>25</v>
      </c>
      <c r="AD16" s="92" t="n">
        <v>26</v>
      </c>
      <c r="AE16" s="92" t="n">
        <v>27</v>
      </c>
      <c r="AF16" s="92" t="n">
        <v>28</v>
      </c>
      <c r="AG16" s="92" t="n">
        <v>29</v>
      </c>
      <c r="AH16" s="92" t="n">
        <v>30</v>
      </c>
      <c r="AI16" s="93" t="n">
        <v>31</v>
      </c>
      <c r="AJ16" s="94" t="inlineStr">
        <is>
          <t>Success %</t>
        </is>
      </c>
      <c r="AK16" s="94" t="inlineStr">
        <is>
          <t>Done / Target</t>
        </is>
      </c>
      <c r="AL16" s="94" t="inlineStr">
        <is>
          <t>Status</t>
        </is>
      </c>
      <c r="AM16" t="inlineStr">
        <is>
          <t>Done Count</t>
        </is>
      </c>
    </row>
    <row r="17" ht="15" customHeight="1">
      <c r="A17" s="54" t="n"/>
      <c r="B17" s="54" t="n"/>
      <c r="C17" s="54" t="n"/>
      <c r="D17" s="54" t="n"/>
      <c r="E17" s="95" t="inlineStr">
        <is>
          <t>F</t>
        </is>
      </c>
      <c r="F17" s="95" t="inlineStr">
        <is>
          <t>Sa</t>
        </is>
      </c>
      <c r="G17" s="96" t="inlineStr">
        <is>
          <t>Su</t>
        </is>
      </c>
      <c r="H17" s="95" t="inlineStr">
        <is>
          <t>M</t>
        </is>
      </c>
      <c r="I17" s="95" t="inlineStr">
        <is>
          <t>T</t>
        </is>
      </c>
      <c r="J17" s="95" t="inlineStr">
        <is>
          <t>W</t>
        </is>
      </c>
      <c r="K17" s="95" t="inlineStr">
        <is>
          <t>Th</t>
        </is>
      </c>
      <c r="L17" s="95" t="inlineStr">
        <is>
          <t>F</t>
        </is>
      </c>
      <c r="M17" s="95" t="inlineStr">
        <is>
          <t>Sa</t>
        </is>
      </c>
      <c r="N17" s="96" t="inlineStr">
        <is>
          <t>Su</t>
        </is>
      </c>
      <c r="O17" s="95" t="inlineStr">
        <is>
          <t>M</t>
        </is>
      </c>
      <c r="P17" s="95" t="inlineStr">
        <is>
          <t>T</t>
        </is>
      </c>
      <c r="Q17" s="95" t="inlineStr">
        <is>
          <t>W</t>
        </is>
      </c>
      <c r="R17" s="95" t="inlineStr">
        <is>
          <t>Th</t>
        </is>
      </c>
      <c r="S17" s="95" t="inlineStr">
        <is>
          <t>F</t>
        </is>
      </c>
      <c r="T17" s="95" t="inlineStr">
        <is>
          <t>Sa</t>
        </is>
      </c>
      <c r="U17" s="96" t="inlineStr">
        <is>
          <t>Su</t>
        </is>
      </c>
      <c r="V17" s="95" t="inlineStr">
        <is>
          <t>M</t>
        </is>
      </c>
      <c r="W17" s="95" t="inlineStr">
        <is>
          <t>T</t>
        </is>
      </c>
      <c r="X17" s="95" t="inlineStr">
        <is>
          <t>W</t>
        </is>
      </c>
      <c r="Y17" s="95" t="inlineStr">
        <is>
          <t>Th</t>
        </is>
      </c>
      <c r="Z17" s="95" t="inlineStr">
        <is>
          <t>F</t>
        </is>
      </c>
      <c r="AA17" s="95" t="inlineStr">
        <is>
          <t>Sa</t>
        </is>
      </c>
      <c r="AB17" s="96" t="inlineStr">
        <is>
          <t>Su</t>
        </is>
      </c>
      <c r="AC17" s="95" t="inlineStr">
        <is>
          <t>M</t>
        </is>
      </c>
      <c r="AD17" s="95" t="inlineStr">
        <is>
          <t>T</t>
        </is>
      </c>
      <c r="AE17" s="95" t="inlineStr">
        <is>
          <t>W</t>
        </is>
      </c>
      <c r="AF17" s="95" t="inlineStr">
        <is>
          <t>Th</t>
        </is>
      </c>
      <c r="AG17" s="95" t="inlineStr">
        <is>
          <t>F</t>
        </is>
      </c>
      <c r="AH17" s="95" t="inlineStr">
        <is>
          <t>Sa</t>
        </is>
      </c>
      <c r="AI17" s="96" t="inlineStr">
        <is>
          <t>Su</t>
        </is>
      </c>
      <c r="AJ17" s="54" t="n"/>
      <c r="AK17" s="54" t="n"/>
      <c r="AL17" s="54" t="n"/>
    </row>
    <row r="18" ht="14.5" customHeight="1">
      <c r="A18" s="97" t="n">
        <v>1</v>
      </c>
      <c r="B18" s="98" t="n"/>
      <c r="C18" s="99" t="n"/>
      <c r="D18" s="99" t="n"/>
      <c r="E18" s="100" t="n"/>
      <c r="F18" s="100" t="n"/>
      <c r="G18" s="101" t="n"/>
      <c r="H18" s="100" t="n"/>
      <c r="I18" s="100" t="n"/>
      <c r="J18" s="100" t="n"/>
      <c r="K18" s="100" t="n"/>
      <c r="L18" s="100" t="n"/>
      <c r="M18" s="100" t="n"/>
      <c r="N18" s="101" t="n"/>
      <c r="O18" s="100" t="n"/>
      <c r="P18" s="100" t="n"/>
      <c r="Q18" s="100" t="n"/>
      <c r="R18" s="100" t="n"/>
      <c r="S18" s="100" t="n"/>
      <c r="T18" s="100" t="n"/>
      <c r="U18" s="101" t="n"/>
      <c r="V18" s="100" t="n"/>
      <c r="W18" s="100" t="n"/>
      <c r="X18" s="100" t="n"/>
      <c r="Y18" s="100" t="n"/>
      <c r="Z18" s="100" t="n"/>
      <c r="AA18" s="100" t="n"/>
      <c r="AB18" s="101" t="n"/>
      <c r="AC18" s="100" t="n"/>
      <c r="AD18" s="100" t="n"/>
      <c r="AE18" s="100" t="n"/>
      <c r="AF18" s="100" t="n"/>
      <c r="AG18" s="100" t="n"/>
      <c r="AH18" s="100" t="n"/>
      <c r="AI18" s="101" t="n"/>
      <c r="AJ18" s="102">
        <f>IF(ISBLANK(B18), "", IF(ISNUMBER(D18), IF(D18&gt;0, (COUNTIF(E18:AI18, "✓") + COUNTIF(E18:AI18, "✔") + COUNTIF(E18:AI18, "v") + COUNTIF(E18:AI18, "V"))/D18, 0), IF(((COUNTIF(E18:AI18, "✓") + COUNTIF(E18:AI18, "✔") + COUNTIF(E18:AI18, "v") + COUNTIF(E18:AI18, "V")) + COUNTIF(E18:AI18, "✗") + COUNTIF(E18:AI18, "x") + COUNTIF(E18:AI18, "X"))&gt;0, (COUNTIF(E18:AI18, "✓") + COUNTIF(E18:AI18, "✔") + COUNTIF(E18:AI18, "v") + COUNTIF(E18:AI18, "V"))/((COUNTIF(E18:AI18, "✓") + COUNTIF(E18:AI18, "✔") + COUNTIF(E18:AI18, "v") + COUNTIF(E18:AI18, "V")) + COUNTIF(E18:AI18, "✗") + COUNTIF(E18:AI18, "x") + COUNTIF(E18:AI18, "X")), "")))</f>
        <v/>
      </c>
      <c r="AK18" s="103">
        <f>IF(ISBLANK(B18), "", IF(ISNUMBER(D18), IF(D18&gt;0, (COUNTIF(E18:AI18, "✓") + COUNTIF(E18:AI18, "✔") + COUNTIF(E18:AI18, "v") + COUNTIF(E18:AI18, "V")) &amp; "/" &amp; D18, (COUNTIF(E18:AI18, "✓") + COUNTIF(E18:AI18, "✔") + COUNTIF(E18:AI18, "v") + COUNTIF(E18:AI18, "V")) &amp; "/0"), IF(((COUNTIF(E18:AI18, "✓") + COUNTIF(E18:AI18, "✔") + COUNTIF(E18:AI18, "v") + COUNTIF(E18:AI18, "V")) + COUNTIF(E18:AI18, "✗") + COUNTIF(E18:AI18, "x") + COUNTIF(E18:AI18, "X"))&gt;0, (COUNTIF(E18:AI18, "✓") + COUNTIF(E18:AI18, "✔") + COUNTIF(E18:AI18, "v") + COUNTIF(E18:AI18, "V")) &amp; "/" &amp; ((COUNTIF(E18:AI18, "✓") + COUNTIF(E18:AI18, "✔") + COUNTIF(E18:AI18, "v") + COUNTIF(E18:AI18, "V")) + COUNTIF(E18:AI18, "✗") + COUNTIF(E18:AI18, "x") + COUNTIF(E18:AI18, "X")), "")))</f>
        <v/>
      </c>
      <c r="AL18" s="103">
        <f>IF(ISBLANK(B18), "", IF(AJ18&gt;=0.85, "🔥 Mastered", IF(AJ18&gt;=0.7, "⚡ Consistent", "⚠️ Needs Focus")))</f>
        <v/>
      </c>
      <c r="AM18">
        <f>COUNTIF(E18:AI18, "✓")</f>
        <v/>
      </c>
    </row>
    <row r="19" ht="14.5" customHeight="1">
      <c r="A19" s="97" t="n">
        <v>2</v>
      </c>
      <c r="B19" s="98" t="n"/>
      <c r="C19" s="99" t="n"/>
      <c r="D19" s="99" t="n"/>
      <c r="E19" s="100" t="n"/>
      <c r="F19" s="100" t="n"/>
      <c r="G19" s="101" t="n"/>
      <c r="H19" s="100" t="n"/>
      <c r="I19" s="100" t="n"/>
      <c r="J19" s="100" t="n"/>
      <c r="K19" s="100" t="n"/>
      <c r="L19" s="100" t="n"/>
      <c r="M19" s="100" t="n"/>
      <c r="N19" s="101" t="n"/>
      <c r="O19" s="100" t="n"/>
      <c r="P19" s="100" t="n"/>
      <c r="Q19" s="100" t="n"/>
      <c r="R19" s="100" t="n"/>
      <c r="S19" s="100" t="n"/>
      <c r="T19" s="100" t="n"/>
      <c r="U19" s="101" t="n"/>
      <c r="V19" s="100" t="n"/>
      <c r="W19" s="100" t="n"/>
      <c r="X19" s="100" t="n"/>
      <c r="Y19" s="100" t="n"/>
      <c r="Z19" s="100" t="n"/>
      <c r="AA19" s="100" t="n"/>
      <c r="AB19" s="101" t="n"/>
      <c r="AC19" s="100" t="n"/>
      <c r="AD19" s="100" t="n"/>
      <c r="AE19" s="100" t="n"/>
      <c r="AF19" s="100" t="n"/>
      <c r="AG19" s="100" t="n"/>
      <c r="AH19" s="100" t="n"/>
      <c r="AI19" s="101" t="n"/>
      <c r="AJ19" s="102">
        <f>IF(ISBLANK(B19), "", IF(ISNUMBER(D19), IF(D19&gt;0, (COUNTIF(E19:AI19, "✓") + COUNTIF(E19:AI19, "✔") + COUNTIF(E19:AI19, "v") + COUNTIF(E19:AI19, "V"))/D19, 0), IF(((COUNTIF(E19:AI19, "✓") + COUNTIF(E19:AI19, "✔") + COUNTIF(E19:AI19, "v") + COUNTIF(E19:AI19, "V")) + COUNTIF(E19:AI19, "✗") + COUNTIF(E19:AI19, "x") + COUNTIF(E19:AI19, "X"))&gt;0, (COUNTIF(E19:AI19, "✓") + COUNTIF(E19:AI19, "✔") + COUNTIF(E19:AI19, "v") + COUNTIF(E19:AI19, "V"))/((COUNTIF(E19:AI19, "✓") + COUNTIF(E19:AI19, "✔") + COUNTIF(E19:AI19, "v") + COUNTIF(E19:AI19, "V")) + COUNTIF(E19:AI19, "✗") + COUNTIF(E19:AI19, "x") + COUNTIF(E19:AI19, "X")), "")))</f>
        <v/>
      </c>
      <c r="AK19" s="103">
        <f>IF(ISBLANK(B19), "", IF(ISNUMBER(D19), IF(D19&gt;0, (COUNTIF(E19:AI19, "✓") + COUNTIF(E19:AI19, "✔") + COUNTIF(E19:AI19, "v") + COUNTIF(E19:AI19, "V")) &amp; "/" &amp; D19, (COUNTIF(E19:AI19, "✓") + COUNTIF(E19:AI19, "✔") + COUNTIF(E19:AI19, "v") + COUNTIF(E19:AI19, "V")) &amp; "/0"), IF(((COUNTIF(E19:AI19, "✓") + COUNTIF(E19:AI19, "✔") + COUNTIF(E19:AI19, "v") + COUNTIF(E19:AI19, "V")) + COUNTIF(E19:AI19, "✗") + COUNTIF(E19:AI19, "x") + COUNTIF(E19:AI19, "X"))&gt;0, (COUNTIF(E19:AI19, "✓") + COUNTIF(E19:AI19, "✔") + COUNTIF(E19:AI19, "v") + COUNTIF(E19:AI19, "V")) &amp; "/" &amp; ((COUNTIF(E19:AI19, "✓") + COUNTIF(E19:AI19, "✔") + COUNTIF(E19:AI19, "v") + COUNTIF(E19:AI19, "V")) + COUNTIF(E19:AI19, "✗") + COUNTIF(E19:AI19, "x") + COUNTIF(E19:AI19, "X")), "")))</f>
        <v/>
      </c>
      <c r="AL19" s="103">
        <f>IF(ISBLANK(B19), "", IF(AJ19&gt;=0.85, "🔥 Mastered", IF(AJ19&gt;=0.7, "⚡ Consistent", "⚠️ Needs Focus")))</f>
        <v/>
      </c>
      <c r="AM19">
        <f>COUNTIF(E19:AI19, "✓")</f>
        <v/>
      </c>
    </row>
    <row r="20" ht="14.5" customHeight="1">
      <c r="A20" s="97" t="n">
        <v>3</v>
      </c>
      <c r="B20" s="98" t="n"/>
      <c r="C20" s="99" t="n"/>
      <c r="D20" s="99" t="n"/>
      <c r="E20" s="100" t="n"/>
      <c r="F20" s="100" t="n"/>
      <c r="G20" s="101" t="n"/>
      <c r="H20" s="100" t="n"/>
      <c r="I20" s="100" t="n"/>
      <c r="J20" s="100" t="n"/>
      <c r="K20" s="100" t="n"/>
      <c r="L20" s="100" t="n"/>
      <c r="M20" s="100" t="n"/>
      <c r="N20" s="101" t="n"/>
      <c r="O20" s="100" t="n"/>
      <c r="P20" s="100" t="n"/>
      <c r="Q20" s="100" t="n"/>
      <c r="R20" s="100" t="n"/>
      <c r="S20" s="100" t="n"/>
      <c r="T20" s="100" t="n"/>
      <c r="U20" s="101" t="n"/>
      <c r="V20" s="100" t="n"/>
      <c r="W20" s="100" t="n"/>
      <c r="X20" s="100" t="n"/>
      <c r="Y20" s="100" t="n"/>
      <c r="Z20" s="100" t="n"/>
      <c r="AA20" s="100" t="n"/>
      <c r="AB20" s="101" t="n"/>
      <c r="AC20" s="100" t="n"/>
      <c r="AD20" s="100" t="n"/>
      <c r="AE20" s="100" t="n"/>
      <c r="AF20" s="100" t="n"/>
      <c r="AG20" s="100" t="n"/>
      <c r="AH20" s="100" t="n"/>
      <c r="AI20" s="101" t="n"/>
      <c r="AJ20" s="102">
        <f>IF(ISBLANK(B20), "", IF(ISNUMBER(D20), IF(D20&gt;0, (COUNTIF(E20:AI20, "✓") + COUNTIF(E20:AI20, "✔") + COUNTIF(E20:AI20, "v") + COUNTIF(E20:AI20, "V"))/D20, 0), IF(((COUNTIF(E20:AI20, "✓") + COUNTIF(E20:AI20, "✔") + COUNTIF(E20:AI20, "v") + COUNTIF(E20:AI20, "V")) + COUNTIF(E20:AI20, "✗") + COUNTIF(E20:AI20, "x") + COUNTIF(E20:AI20, "X"))&gt;0, (COUNTIF(E20:AI20, "✓") + COUNTIF(E20:AI20, "✔") + COUNTIF(E20:AI20, "v") + COUNTIF(E20:AI20, "V"))/((COUNTIF(E20:AI20, "✓") + COUNTIF(E20:AI20, "✔") + COUNTIF(E20:AI20, "v") + COUNTIF(E20:AI20, "V")) + COUNTIF(E20:AI20, "✗") + COUNTIF(E20:AI20, "x") + COUNTIF(E20:AI20, "X")), "")))</f>
        <v/>
      </c>
      <c r="AK20" s="103">
        <f>IF(ISBLANK(B20), "", IF(ISNUMBER(D20), IF(D20&gt;0, (COUNTIF(E20:AI20, "✓") + COUNTIF(E20:AI20, "✔") + COUNTIF(E20:AI20, "v") + COUNTIF(E20:AI20, "V")) &amp; "/" &amp; D20, (COUNTIF(E20:AI20, "✓") + COUNTIF(E20:AI20, "✔") + COUNTIF(E20:AI20, "v") + COUNTIF(E20:AI20, "V")) &amp; "/0"), IF(((COUNTIF(E20:AI20, "✓") + COUNTIF(E20:AI20, "✔") + COUNTIF(E20:AI20, "v") + COUNTIF(E20:AI20, "V")) + COUNTIF(E20:AI20, "✗") + COUNTIF(E20:AI20, "x") + COUNTIF(E20:AI20, "X"))&gt;0, (COUNTIF(E20:AI20, "✓") + COUNTIF(E20:AI20, "✔") + COUNTIF(E20:AI20, "v") + COUNTIF(E20:AI20, "V")) &amp; "/" &amp; ((COUNTIF(E20:AI20, "✓") + COUNTIF(E20:AI20, "✔") + COUNTIF(E20:AI20, "v") + COUNTIF(E20:AI20, "V")) + COUNTIF(E20:AI20, "✗") + COUNTIF(E20:AI20, "x") + COUNTIF(E20:AI20, "X")), "")))</f>
        <v/>
      </c>
      <c r="AL20" s="103">
        <f>IF(ISBLANK(B20), "", IF(AJ20&gt;=0.85, "🔥 Mastered", IF(AJ20&gt;=0.7, "⚡ Consistent", "⚠️ Needs Focus")))</f>
        <v/>
      </c>
      <c r="AM20">
        <f>COUNTIF(E20:AI20, "✓")</f>
        <v/>
      </c>
    </row>
    <row r="21" ht="14.5" customHeight="1">
      <c r="A21" s="97" t="n">
        <v>4</v>
      </c>
      <c r="B21" s="98" t="n"/>
      <c r="C21" s="99" t="n"/>
      <c r="D21" s="99" t="n"/>
      <c r="E21" s="100" t="n"/>
      <c r="F21" s="100" t="n"/>
      <c r="G21" s="101" t="n"/>
      <c r="H21" s="100" t="n"/>
      <c r="I21" s="100" t="n"/>
      <c r="J21" s="100" t="n"/>
      <c r="K21" s="100" t="n"/>
      <c r="L21" s="100" t="n"/>
      <c r="M21" s="100" t="n"/>
      <c r="N21" s="101" t="n"/>
      <c r="O21" s="100" t="n"/>
      <c r="P21" s="100" t="n"/>
      <c r="Q21" s="100" t="n"/>
      <c r="R21" s="100" t="n"/>
      <c r="S21" s="100" t="n"/>
      <c r="T21" s="100" t="n"/>
      <c r="U21" s="101" t="n"/>
      <c r="V21" s="100" t="n"/>
      <c r="W21" s="100" t="n"/>
      <c r="X21" s="100" t="n"/>
      <c r="Y21" s="100" t="n"/>
      <c r="Z21" s="100" t="n"/>
      <c r="AA21" s="100" t="n"/>
      <c r="AB21" s="101" t="n"/>
      <c r="AC21" s="100" t="n"/>
      <c r="AD21" s="100" t="n"/>
      <c r="AE21" s="100" t="n"/>
      <c r="AF21" s="100" t="n"/>
      <c r="AG21" s="100" t="n"/>
      <c r="AH21" s="100" t="n"/>
      <c r="AI21" s="101" t="n"/>
      <c r="AJ21" s="102">
        <f>IF(ISBLANK(B21), "", IF(ISNUMBER(D21), IF(D21&gt;0, (COUNTIF(E21:AI21, "✓") + COUNTIF(E21:AI21, "✔") + COUNTIF(E21:AI21, "v") + COUNTIF(E21:AI21, "V"))/D21, 0), IF(((COUNTIF(E21:AI21, "✓") + COUNTIF(E21:AI21, "✔") + COUNTIF(E21:AI21, "v") + COUNTIF(E21:AI21, "V")) + COUNTIF(E21:AI21, "✗") + COUNTIF(E21:AI21, "x") + COUNTIF(E21:AI21, "X"))&gt;0, (COUNTIF(E21:AI21, "✓") + COUNTIF(E21:AI21, "✔") + COUNTIF(E21:AI21, "v") + COUNTIF(E21:AI21, "V"))/((COUNTIF(E21:AI21, "✓") + COUNTIF(E21:AI21, "✔") + COUNTIF(E21:AI21, "v") + COUNTIF(E21:AI21, "V")) + COUNTIF(E21:AI21, "✗") + COUNTIF(E21:AI21, "x") + COUNTIF(E21:AI21, "X")), "")))</f>
        <v/>
      </c>
      <c r="AK21" s="103">
        <f>IF(ISBLANK(B21), "", IF(ISNUMBER(D21), IF(D21&gt;0, (COUNTIF(E21:AI21, "✓") + COUNTIF(E21:AI21, "✔") + COUNTIF(E21:AI21, "v") + COUNTIF(E21:AI21, "V")) &amp; "/" &amp; D21, (COUNTIF(E21:AI21, "✓") + COUNTIF(E21:AI21, "✔") + COUNTIF(E21:AI21, "v") + COUNTIF(E21:AI21, "V")) &amp; "/0"), IF(((COUNTIF(E21:AI21, "✓") + COUNTIF(E21:AI21, "✔") + COUNTIF(E21:AI21, "v") + COUNTIF(E21:AI21, "V")) + COUNTIF(E21:AI21, "✗") + COUNTIF(E21:AI21, "x") + COUNTIF(E21:AI21, "X"))&gt;0, (COUNTIF(E21:AI21, "✓") + COUNTIF(E21:AI21, "✔") + COUNTIF(E21:AI21, "v") + COUNTIF(E21:AI21, "V")) &amp; "/" &amp; ((COUNTIF(E21:AI21, "✓") + COUNTIF(E21:AI21, "✔") + COUNTIF(E21:AI21, "v") + COUNTIF(E21:AI21, "V")) + COUNTIF(E21:AI21, "✗") + COUNTIF(E21:AI21, "x") + COUNTIF(E21:AI21, "X")), "")))</f>
        <v/>
      </c>
      <c r="AL21" s="103">
        <f>IF(ISBLANK(B21), "", IF(AJ21&gt;=0.85, "🔥 Mastered", IF(AJ21&gt;=0.7, "⚡ Consistent", "⚠️ Needs Focus")))</f>
        <v/>
      </c>
      <c r="AM21">
        <f>COUNTIF(E21:AI21, "✓")</f>
        <v/>
      </c>
    </row>
    <row r="22" ht="14.5" customHeight="1">
      <c r="A22" s="104" t="n">
        <v>5</v>
      </c>
      <c r="B22" s="105" t="n"/>
      <c r="C22" s="106" t="n"/>
      <c r="D22" s="106" t="n"/>
      <c r="E22" s="107" t="n"/>
      <c r="F22" s="107" t="n"/>
      <c r="G22" s="108" t="n"/>
      <c r="H22" s="107" t="n"/>
      <c r="I22" s="107" t="n"/>
      <c r="J22" s="107" t="n"/>
      <c r="K22" s="107" t="n"/>
      <c r="L22" s="107" t="n"/>
      <c r="M22" s="107" t="n"/>
      <c r="N22" s="108" t="n"/>
      <c r="O22" s="107" t="n"/>
      <c r="P22" s="107" t="n"/>
      <c r="Q22" s="107" t="n"/>
      <c r="R22" s="107" t="n"/>
      <c r="S22" s="107" t="n"/>
      <c r="T22" s="107" t="n"/>
      <c r="U22" s="108" t="n"/>
      <c r="V22" s="107" t="n"/>
      <c r="W22" s="107" t="n"/>
      <c r="X22" s="107" t="n"/>
      <c r="Y22" s="107" t="n"/>
      <c r="Z22" s="107" t="n"/>
      <c r="AA22" s="107" t="n"/>
      <c r="AB22" s="108" t="n"/>
      <c r="AC22" s="107" t="n"/>
      <c r="AD22" s="107" t="n"/>
      <c r="AE22" s="107" t="n"/>
      <c r="AF22" s="107" t="n"/>
      <c r="AG22" s="107" t="n"/>
      <c r="AH22" s="107" t="n"/>
      <c r="AI22" s="108" t="n"/>
      <c r="AJ22" s="109">
        <f>IF(ISBLANK(B22), "", IF(ISNUMBER(D22), IF(D22&gt;0, (COUNTIF(E22:AI22, "✓") + COUNTIF(E22:AI22, "✔") + COUNTIF(E22:AI22, "v") + COUNTIF(E22:AI22, "V"))/D22, 0), IF(((COUNTIF(E22:AI22, "✓") + COUNTIF(E22:AI22, "✔") + COUNTIF(E22:AI22, "v") + COUNTIF(E22:AI22, "V")) + COUNTIF(E22:AI22, "✗") + COUNTIF(E22:AI22, "x") + COUNTIF(E22:AI22, "X"))&gt;0, (COUNTIF(E22:AI22, "✓") + COUNTIF(E22:AI22, "✔") + COUNTIF(E22:AI22, "v") + COUNTIF(E22:AI22, "V"))/((COUNTIF(E22:AI22, "✓") + COUNTIF(E22:AI22, "✔") + COUNTIF(E22:AI22, "v") + COUNTIF(E22:AI22, "V")) + COUNTIF(E22:AI22, "✗") + COUNTIF(E22:AI22, "x") + COUNTIF(E22:AI22, "X")), "")))</f>
        <v/>
      </c>
      <c r="AK22" s="110">
        <f>IF(ISBLANK(B22), "", IF(ISNUMBER(D22), IF(D22&gt;0, (COUNTIF(E22:AI22, "✓") + COUNTIF(E22:AI22, "✔") + COUNTIF(E22:AI22, "v") + COUNTIF(E22:AI22, "V")) &amp; "/" &amp; D22, (COUNTIF(E22:AI22, "✓") + COUNTIF(E22:AI22, "✔") + COUNTIF(E22:AI22, "v") + COUNTIF(E22:AI22, "V")) &amp; "/0"), IF(((COUNTIF(E22:AI22, "✓") + COUNTIF(E22:AI22, "✔") + COUNTIF(E22:AI22, "v") + COUNTIF(E22:AI22, "V")) + COUNTIF(E22:AI22, "✗") + COUNTIF(E22:AI22, "x") + COUNTIF(E22:AI22, "X"))&gt;0, (COUNTIF(E22:AI22, "✓") + COUNTIF(E22:AI22, "✔") + COUNTIF(E22:AI22, "v") + COUNTIF(E22:AI22, "V")) &amp; "/" &amp; ((COUNTIF(E22:AI22, "✓") + COUNTIF(E22:AI22, "✔") + COUNTIF(E22:AI22, "v") + COUNTIF(E22:AI22, "V")) + COUNTIF(E22:AI22, "✗") + COUNTIF(E22:AI22, "x") + COUNTIF(E22:AI22, "X")), "")))</f>
        <v/>
      </c>
      <c r="AL22" s="110">
        <f>IF(ISBLANK(B22), "", IF(AJ22&gt;=0.85, "🔥 Mastered", IF(AJ22&gt;=0.7, "⚡ Consistent", "⚠️ Needs Focus")))</f>
        <v/>
      </c>
      <c r="AM22">
        <f>COUNTIF(E22:AI22, "✓")</f>
        <v/>
      </c>
    </row>
    <row r="23" ht="14.5" customHeight="1">
      <c r="A23" s="104" t="n">
        <v>6</v>
      </c>
      <c r="B23" s="105" t="n"/>
      <c r="C23" s="106" t="n"/>
      <c r="D23" s="106" t="n"/>
      <c r="E23" s="107" t="n"/>
      <c r="F23" s="107" t="n"/>
      <c r="G23" s="108" t="n"/>
      <c r="H23" s="107" t="n"/>
      <c r="I23" s="107" t="n"/>
      <c r="J23" s="107" t="n"/>
      <c r="K23" s="107" t="n"/>
      <c r="L23" s="107" t="n"/>
      <c r="M23" s="107" t="n"/>
      <c r="N23" s="108" t="n"/>
      <c r="O23" s="107" t="n"/>
      <c r="P23" s="107" t="n"/>
      <c r="Q23" s="107" t="n"/>
      <c r="R23" s="107" t="n"/>
      <c r="S23" s="107" t="n"/>
      <c r="T23" s="107" t="n"/>
      <c r="U23" s="108" t="n"/>
      <c r="V23" s="107" t="n"/>
      <c r="W23" s="107" t="n"/>
      <c r="X23" s="107" t="n"/>
      <c r="Y23" s="107" t="n"/>
      <c r="Z23" s="107" t="n"/>
      <c r="AA23" s="107" t="n"/>
      <c r="AB23" s="108" t="n"/>
      <c r="AC23" s="107" t="n"/>
      <c r="AD23" s="107" t="n"/>
      <c r="AE23" s="107" t="n"/>
      <c r="AF23" s="107" t="n"/>
      <c r="AG23" s="107" t="n"/>
      <c r="AH23" s="107" t="n"/>
      <c r="AI23" s="108" t="n"/>
      <c r="AJ23" s="109">
        <f>IF(ISBLANK(B23), "", IF(ISNUMBER(D23), IF(D23&gt;0, (COUNTIF(E23:AI23, "✓") + COUNTIF(E23:AI23, "✔") + COUNTIF(E23:AI23, "v") + COUNTIF(E23:AI23, "V"))/D23, 0), IF(((COUNTIF(E23:AI23, "✓") + COUNTIF(E23:AI23, "✔") + COUNTIF(E23:AI23, "v") + COUNTIF(E23:AI23, "V")) + COUNTIF(E23:AI23, "✗") + COUNTIF(E23:AI23, "x") + COUNTIF(E23:AI23, "X"))&gt;0, (COUNTIF(E23:AI23, "✓") + COUNTIF(E23:AI23, "✔") + COUNTIF(E23:AI23, "v") + COUNTIF(E23:AI23, "V"))/((COUNTIF(E23:AI23, "✓") + COUNTIF(E23:AI23, "✔") + COUNTIF(E23:AI23, "v") + COUNTIF(E23:AI23, "V")) + COUNTIF(E23:AI23, "✗") + COUNTIF(E23:AI23, "x") + COUNTIF(E23:AI23, "X")), "")))</f>
        <v/>
      </c>
      <c r="AK23" s="110">
        <f>IF(ISBLANK(B23), "", IF(ISNUMBER(D23), IF(D23&gt;0, (COUNTIF(E23:AI23, "✓") + COUNTIF(E23:AI23, "✔") + COUNTIF(E23:AI23, "v") + COUNTIF(E23:AI23, "V")) &amp; "/" &amp; D23, (COUNTIF(E23:AI23, "✓") + COUNTIF(E23:AI23, "✔") + COUNTIF(E23:AI23, "v") + COUNTIF(E23:AI23, "V")) &amp; "/0"), IF(((COUNTIF(E23:AI23, "✓") + COUNTIF(E23:AI23, "✔") + COUNTIF(E23:AI23, "v") + COUNTIF(E23:AI23, "V")) + COUNTIF(E23:AI23, "✗") + COUNTIF(E23:AI23, "x") + COUNTIF(E23:AI23, "X"))&gt;0, (COUNTIF(E23:AI23, "✓") + COUNTIF(E23:AI23, "✔") + COUNTIF(E23:AI23, "v") + COUNTIF(E23:AI23, "V")) &amp; "/" &amp; ((COUNTIF(E23:AI23, "✓") + COUNTIF(E23:AI23, "✔") + COUNTIF(E23:AI23, "v") + COUNTIF(E23:AI23, "V")) + COUNTIF(E23:AI23, "✗") + COUNTIF(E23:AI23, "x") + COUNTIF(E23:AI23, "X")), "")))</f>
        <v/>
      </c>
      <c r="AL23" s="110">
        <f>IF(ISBLANK(B23), "", IF(AJ23&gt;=0.85, "🔥 Mastered", IF(AJ23&gt;=0.7, "⚡ Consistent", "⚠️ Needs Focus")))</f>
        <v/>
      </c>
      <c r="AM23">
        <f>COUNTIF(E23:AI23, "✓")</f>
        <v/>
      </c>
    </row>
    <row r="24" ht="14.5" customHeight="1">
      <c r="A24" s="104" t="n">
        <v>7</v>
      </c>
      <c r="B24" s="105" t="n"/>
      <c r="C24" s="106" t="n"/>
      <c r="D24" s="106" t="n"/>
      <c r="E24" s="107" t="n"/>
      <c r="F24" s="107" t="n"/>
      <c r="G24" s="108" t="n"/>
      <c r="H24" s="107" t="n"/>
      <c r="I24" s="107" t="n"/>
      <c r="J24" s="107" t="n"/>
      <c r="K24" s="107" t="n"/>
      <c r="L24" s="107" t="n"/>
      <c r="M24" s="107" t="n"/>
      <c r="N24" s="108" t="n"/>
      <c r="O24" s="107" t="n"/>
      <c r="P24" s="107" t="n"/>
      <c r="Q24" s="107" t="n"/>
      <c r="R24" s="107" t="n"/>
      <c r="S24" s="107" t="n"/>
      <c r="T24" s="107" t="n"/>
      <c r="U24" s="108" t="n"/>
      <c r="V24" s="107" t="n"/>
      <c r="W24" s="107" t="n"/>
      <c r="X24" s="107" t="n"/>
      <c r="Y24" s="107" t="n"/>
      <c r="Z24" s="107" t="n"/>
      <c r="AA24" s="107" t="n"/>
      <c r="AB24" s="108" t="n"/>
      <c r="AC24" s="107" t="n"/>
      <c r="AD24" s="107" t="n"/>
      <c r="AE24" s="107" t="n"/>
      <c r="AF24" s="107" t="n"/>
      <c r="AG24" s="107" t="n"/>
      <c r="AH24" s="107" t="n"/>
      <c r="AI24" s="108" t="n"/>
      <c r="AJ24" s="109">
        <f>IF(ISBLANK(B24), "", IF(ISNUMBER(D24), IF(D24&gt;0, (COUNTIF(E24:AI24, "✓") + COUNTIF(E24:AI24, "✔") + COUNTIF(E24:AI24, "v") + COUNTIF(E24:AI24, "V"))/D24, 0), IF(((COUNTIF(E24:AI24, "✓") + COUNTIF(E24:AI24, "✔") + COUNTIF(E24:AI24, "v") + COUNTIF(E24:AI24, "V")) + COUNTIF(E24:AI24, "✗") + COUNTIF(E24:AI24, "x") + COUNTIF(E24:AI24, "X"))&gt;0, (COUNTIF(E24:AI24, "✓") + COUNTIF(E24:AI24, "✔") + COUNTIF(E24:AI24, "v") + COUNTIF(E24:AI24, "V"))/((COUNTIF(E24:AI24, "✓") + COUNTIF(E24:AI24, "✔") + COUNTIF(E24:AI24, "v") + COUNTIF(E24:AI24, "V")) + COUNTIF(E24:AI24, "✗") + COUNTIF(E24:AI24, "x") + COUNTIF(E24:AI24, "X")), "")))</f>
        <v/>
      </c>
      <c r="AK24" s="110">
        <f>IF(ISBLANK(B24), "", IF(ISNUMBER(D24), IF(D24&gt;0, (COUNTIF(E24:AI24, "✓") + COUNTIF(E24:AI24, "✔") + COUNTIF(E24:AI24, "v") + COUNTIF(E24:AI24, "V")) &amp; "/" &amp; D24, (COUNTIF(E24:AI24, "✓") + COUNTIF(E24:AI24, "✔") + COUNTIF(E24:AI24, "v") + COUNTIF(E24:AI24, "V")) &amp; "/0"), IF(((COUNTIF(E24:AI24, "✓") + COUNTIF(E24:AI24, "✔") + COUNTIF(E24:AI24, "v") + COUNTIF(E24:AI24, "V")) + COUNTIF(E24:AI24, "✗") + COUNTIF(E24:AI24, "x") + COUNTIF(E24:AI24, "X"))&gt;0, (COUNTIF(E24:AI24, "✓") + COUNTIF(E24:AI24, "✔") + COUNTIF(E24:AI24, "v") + COUNTIF(E24:AI24, "V")) &amp; "/" &amp; ((COUNTIF(E24:AI24, "✓") + COUNTIF(E24:AI24, "✔") + COUNTIF(E24:AI24, "v") + COUNTIF(E24:AI24, "V")) + COUNTIF(E24:AI24, "✗") + COUNTIF(E24:AI24, "x") + COUNTIF(E24:AI24, "X")), "")))</f>
        <v/>
      </c>
      <c r="AL24" s="110">
        <f>IF(ISBLANK(B24), "", IF(AJ24&gt;=0.85, "🔥 Mastered", IF(AJ24&gt;=0.7, "⚡ Consistent", "⚠️ Needs Focus")))</f>
        <v/>
      </c>
      <c r="AM24">
        <f>COUNTIF(E24:AI24, "✓")</f>
        <v/>
      </c>
    </row>
    <row r="25" ht="14.5" customHeight="1">
      <c r="A25" s="104" t="n">
        <v>8</v>
      </c>
      <c r="B25" s="105" t="n"/>
      <c r="C25" s="106" t="n"/>
      <c r="D25" s="106" t="n"/>
      <c r="E25" s="107" t="n"/>
      <c r="F25" s="107" t="n"/>
      <c r="G25" s="108" t="n"/>
      <c r="H25" s="107" t="n"/>
      <c r="I25" s="107" t="n"/>
      <c r="J25" s="107" t="n"/>
      <c r="K25" s="107" t="n"/>
      <c r="L25" s="107" t="n"/>
      <c r="M25" s="107" t="n"/>
      <c r="N25" s="108" t="n"/>
      <c r="O25" s="107" t="n"/>
      <c r="P25" s="107" t="n"/>
      <c r="Q25" s="107" t="n"/>
      <c r="R25" s="107" t="n"/>
      <c r="S25" s="107" t="n"/>
      <c r="T25" s="107" t="n"/>
      <c r="U25" s="108" t="n"/>
      <c r="V25" s="107" t="n"/>
      <c r="W25" s="107" t="n"/>
      <c r="X25" s="107" t="n"/>
      <c r="Y25" s="107" t="n"/>
      <c r="Z25" s="107" t="n"/>
      <c r="AA25" s="107" t="n"/>
      <c r="AB25" s="108" t="n"/>
      <c r="AC25" s="107" t="n"/>
      <c r="AD25" s="107" t="n"/>
      <c r="AE25" s="107" t="n"/>
      <c r="AF25" s="107" t="n"/>
      <c r="AG25" s="107" t="n"/>
      <c r="AH25" s="107" t="n"/>
      <c r="AI25" s="108" t="n"/>
      <c r="AJ25" s="109">
        <f>IF(ISBLANK(B25), "", IF(ISNUMBER(D25), IF(D25&gt;0, (COUNTIF(E25:AI25, "✓") + COUNTIF(E25:AI25, "✔") + COUNTIF(E25:AI25, "v") + COUNTIF(E25:AI25, "V"))/D25, 0), IF(((COUNTIF(E25:AI25, "✓") + COUNTIF(E25:AI25, "✔") + COUNTIF(E25:AI25, "v") + COUNTIF(E25:AI25, "V")) + COUNTIF(E25:AI25, "✗") + COUNTIF(E25:AI25, "x") + COUNTIF(E25:AI25, "X"))&gt;0, (COUNTIF(E25:AI25, "✓") + COUNTIF(E25:AI25, "✔") + COUNTIF(E25:AI25, "v") + COUNTIF(E25:AI25, "V"))/((COUNTIF(E25:AI25, "✓") + COUNTIF(E25:AI25, "✔") + COUNTIF(E25:AI25, "v") + COUNTIF(E25:AI25, "V")) + COUNTIF(E25:AI25, "✗") + COUNTIF(E25:AI25, "x") + COUNTIF(E25:AI25, "X")), "")))</f>
        <v/>
      </c>
      <c r="AK25" s="110">
        <f>IF(ISBLANK(B25), "", IF(ISNUMBER(D25), IF(D25&gt;0, (COUNTIF(E25:AI25, "✓") + COUNTIF(E25:AI25, "✔") + COUNTIF(E25:AI25, "v") + COUNTIF(E25:AI25, "V")) &amp; "/" &amp; D25, (COUNTIF(E25:AI25, "✓") + COUNTIF(E25:AI25, "✔") + COUNTIF(E25:AI25, "v") + COUNTIF(E25:AI25, "V")) &amp; "/0"), IF(((COUNTIF(E25:AI25, "✓") + COUNTIF(E25:AI25, "✔") + COUNTIF(E25:AI25, "v") + COUNTIF(E25:AI25, "V")) + COUNTIF(E25:AI25, "✗") + COUNTIF(E25:AI25, "x") + COUNTIF(E25:AI25, "X"))&gt;0, (COUNTIF(E25:AI25, "✓") + COUNTIF(E25:AI25, "✔") + COUNTIF(E25:AI25, "v") + COUNTIF(E25:AI25, "V")) &amp; "/" &amp; ((COUNTIF(E25:AI25, "✓") + COUNTIF(E25:AI25, "✔") + COUNTIF(E25:AI25, "v") + COUNTIF(E25:AI25, "V")) + COUNTIF(E25:AI25, "✗") + COUNTIF(E25:AI25, "x") + COUNTIF(E25:AI25, "X")), "")))</f>
        <v/>
      </c>
      <c r="AL25" s="110">
        <f>IF(ISBLANK(B25), "", IF(AJ25&gt;=0.85, "🔥 Mastered", IF(AJ25&gt;=0.7, "⚡ Consistent", "⚠️ Needs Focus")))</f>
        <v/>
      </c>
      <c r="AM25">
        <f>COUNTIF(E25:AI25, "✓")</f>
        <v/>
      </c>
    </row>
    <row r="26" ht="14.5" customHeight="1">
      <c r="A26" s="111" t="n">
        <v>9</v>
      </c>
      <c r="B26" s="112" t="n"/>
      <c r="C26" s="113" t="n"/>
      <c r="D26" s="113" t="n"/>
      <c r="E26" s="114" t="n"/>
      <c r="F26" s="114" t="n"/>
      <c r="G26" s="115" t="n"/>
      <c r="H26" s="114" t="n"/>
      <c r="I26" s="114" t="n"/>
      <c r="J26" s="114" t="n"/>
      <c r="K26" s="114" t="n"/>
      <c r="L26" s="114" t="n"/>
      <c r="M26" s="114" t="n"/>
      <c r="N26" s="115" t="n"/>
      <c r="O26" s="114" t="n"/>
      <c r="P26" s="114" t="n"/>
      <c r="Q26" s="114" t="n"/>
      <c r="R26" s="114" t="n"/>
      <c r="S26" s="114" t="n"/>
      <c r="T26" s="114" t="n"/>
      <c r="U26" s="115" t="n"/>
      <c r="V26" s="114" t="n"/>
      <c r="W26" s="114" t="n"/>
      <c r="X26" s="114" t="n"/>
      <c r="Y26" s="114" t="n"/>
      <c r="Z26" s="114" t="n"/>
      <c r="AA26" s="114" t="n"/>
      <c r="AB26" s="115" t="n"/>
      <c r="AC26" s="114" t="n"/>
      <c r="AD26" s="114" t="n"/>
      <c r="AE26" s="114" t="n"/>
      <c r="AF26" s="114" t="n"/>
      <c r="AG26" s="114" t="n"/>
      <c r="AH26" s="114" t="n"/>
      <c r="AI26" s="115" t="n"/>
      <c r="AJ26" s="116">
        <f>IF(ISBLANK(B26), "", IF(ISNUMBER(D26), IF(D26&gt;0, (COUNTIF(E26:AI26, "✓") + COUNTIF(E26:AI26, "✔") + COUNTIF(E26:AI26, "v") + COUNTIF(E26:AI26, "V"))/D26, 0), IF(((COUNTIF(E26:AI26, "✓") + COUNTIF(E26:AI26, "✔") + COUNTIF(E26:AI26, "v") + COUNTIF(E26:AI26, "V")) + COUNTIF(E26:AI26, "✗") + COUNTIF(E26:AI26, "x") + COUNTIF(E26:AI26, "X"))&gt;0, (COUNTIF(E26:AI26, "✓") + COUNTIF(E26:AI26, "✔") + COUNTIF(E26:AI26, "v") + COUNTIF(E26:AI26, "V"))/((COUNTIF(E26:AI26, "✓") + COUNTIF(E26:AI26, "✔") + COUNTIF(E26:AI26, "v") + COUNTIF(E26:AI26, "V")) + COUNTIF(E26:AI26, "✗") + COUNTIF(E26:AI26, "x") + COUNTIF(E26:AI26, "X")), "")))</f>
        <v/>
      </c>
      <c r="AK26" s="117">
        <f>IF(ISBLANK(B26), "", IF(ISNUMBER(D26), IF(D26&gt;0, (COUNTIF(E26:AI26, "✓") + COUNTIF(E26:AI26, "✔") + COUNTIF(E26:AI26, "v") + COUNTIF(E26:AI26, "V")) &amp; "/" &amp; D26, (COUNTIF(E26:AI26, "✓") + COUNTIF(E26:AI26, "✔") + COUNTIF(E26:AI26, "v") + COUNTIF(E26:AI26, "V")) &amp; "/0"), IF(((COUNTIF(E26:AI26, "✓") + COUNTIF(E26:AI26, "✔") + COUNTIF(E26:AI26, "v") + COUNTIF(E26:AI26, "V")) + COUNTIF(E26:AI26, "✗") + COUNTIF(E26:AI26, "x") + COUNTIF(E26:AI26, "X"))&gt;0, (COUNTIF(E26:AI26, "✓") + COUNTIF(E26:AI26, "✔") + COUNTIF(E26:AI26, "v") + COUNTIF(E26:AI26, "V")) &amp; "/" &amp; ((COUNTIF(E26:AI26, "✓") + COUNTIF(E26:AI26, "✔") + COUNTIF(E26:AI26, "v") + COUNTIF(E26:AI26, "V")) + COUNTIF(E26:AI26, "✗") + COUNTIF(E26:AI26, "x") + COUNTIF(E26:AI26, "X")), "")))</f>
        <v/>
      </c>
      <c r="AL26" s="117">
        <f>IF(ISBLANK(B26), "", IF(AJ26&gt;=0.85, "🔥 Mastered", IF(AJ26&gt;=0.7, "⚡ Consistent", "⚠️ Needs Focus")))</f>
        <v/>
      </c>
      <c r="AM26">
        <f>COUNTIF(E26:AI26, "✓")</f>
        <v/>
      </c>
    </row>
    <row r="27" ht="14.5" customHeight="1">
      <c r="A27" s="111" t="n">
        <v>10</v>
      </c>
      <c r="B27" s="112" t="n"/>
      <c r="C27" s="113" t="n"/>
      <c r="D27" s="113" t="n"/>
      <c r="E27" s="114" t="n"/>
      <c r="F27" s="114" t="n"/>
      <c r="G27" s="115" t="n"/>
      <c r="H27" s="114" t="n"/>
      <c r="I27" s="114" t="n"/>
      <c r="J27" s="114" t="n"/>
      <c r="K27" s="114" t="n"/>
      <c r="L27" s="114" t="n"/>
      <c r="M27" s="114" t="n"/>
      <c r="N27" s="115" t="n"/>
      <c r="O27" s="114" t="n"/>
      <c r="P27" s="114" t="n"/>
      <c r="Q27" s="114" t="n"/>
      <c r="R27" s="114" t="n"/>
      <c r="S27" s="114" t="n"/>
      <c r="T27" s="114" t="n"/>
      <c r="U27" s="115" t="n"/>
      <c r="V27" s="114" t="n"/>
      <c r="W27" s="114" t="n"/>
      <c r="X27" s="114" t="n"/>
      <c r="Y27" s="114" t="n"/>
      <c r="Z27" s="114" t="n"/>
      <c r="AA27" s="114" t="n"/>
      <c r="AB27" s="115" t="n"/>
      <c r="AC27" s="114" t="n"/>
      <c r="AD27" s="114" t="n"/>
      <c r="AE27" s="114" t="n"/>
      <c r="AF27" s="114" t="n"/>
      <c r="AG27" s="114" t="n"/>
      <c r="AH27" s="114" t="n"/>
      <c r="AI27" s="115" t="n"/>
      <c r="AJ27" s="116">
        <f>IF(ISBLANK(B27), "", IF(ISNUMBER(D27), IF(D27&gt;0, (COUNTIF(E27:AI27, "✓") + COUNTIF(E27:AI27, "✔") + COUNTIF(E27:AI27, "v") + COUNTIF(E27:AI27, "V"))/D27, 0), IF(((COUNTIF(E27:AI27, "✓") + COUNTIF(E27:AI27, "✔") + COUNTIF(E27:AI27, "v") + COUNTIF(E27:AI27, "V")) + COUNTIF(E27:AI27, "✗") + COUNTIF(E27:AI27, "x") + COUNTIF(E27:AI27, "X"))&gt;0, (COUNTIF(E27:AI27, "✓") + COUNTIF(E27:AI27, "✔") + COUNTIF(E27:AI27, "v") + COUNTIF(E27:AI27, "V"))/((COUNTIF(E27:AI27, "✓") + COUNTIF(E27:AI27, "✔") + COUNTIF(E27:AI27, "v") + COUNTIF(E27:AI27, "V")) + COUNTIF(E27:AI27, "✗") + COUNTIF(E27:AI27, "x") + COUNTIF(E27:AI27, "X")), "")))</f>
        <v/>
      </c>
      <c r="AK27" s="117">
        <f>IF(ISBLANK(B27), "", IF(ISNUMBER(D27), IF(D27&gt;0, (COUNTIF(E27:AI27, "✓") + COUNTIF(E27:AI27, "✔") + COUNTIF(E27:AI27, "v") + COUNTIF(E27:AI27, "V")) &amp; "/" &amp; D27, (COUNTIF(E27:AI27, "✓") + COUNTIF(E27:AI27, "✔") + COUNTIF(E27:AI27, "v") + COUNTIF(E27:AI27, "V")) &amp; "/0"), IF(((COUNTIF(E27:AI27, "✓") + COUNTIF(E27:AI27, "✔") + COUNTIF(E27:AI27, "v") + COUNTIF(E27:AI27, "V")) + COUNTIF(E27:AI27, "✗") + COUNTIF(E27:AI27, "x") + COUNTIF(E27:AI27, "X"))&gt;0, (COUNTIF(E27:AI27, "✓") + COUNTIF(E27:AI27, "✔") + COUNTIF(E27:AI27, "v") + COUNTIF(E27:AI27, "V")) &amp; "/" &amp; ((COUNTIF(E27:AI27, "✓") + COUNTIF(E27:AI27, "✔") + COUNTIF(E27:AI27, "v") + COUNTIF(E27:AI27, "V")) + COUNTIF(E27:AI27, "✗") + COUNTIF(E27:AI27, "x") + COUNTIF(E27:AI27, "X")), "")))</f>
        <v/>
      </c>
      <c r="AL27" s="117">
        <f>IF(ISBLANK(B27), "", IF(AJ27&gt;=0.85, "🔥 Mastered", IF(AJ27&gt;=0.7, "⚡ Consistent", "⚠️ Needs Focus")))</f>
        <v/>
      </c>
      <c r="AM27">
        <f>COUNTIF(E27:AI27, "✓")</f>
        <v/>
      </c>
    </row>
    <row r="28" ht="14.5" customHeight="1">
      <c r="A28" s="111" t="n">
        <v>11</v>
      </c>
      <c r="B28" s="112" t="n"/>
      <c r="C28" s="113" t="n"/>
      <c r="D28" s="113" t="n"/>
      <c r="E28" s="114" t="n"/>
      <c r="F28" s="114" t="n"/>
      <c r="G28" s="115" t="n"/>
      <c r="H28" s="114" t="n"/>
      <c r="I28" s="114" t="n"/>
      <c r="J28" s="114" t="n"/>
      <c r="K28" s="114" t="n"/>
      <c r="L28" s="114" t="n"/>
      <c r="M28" s="114" t="n"/>
      <c r="N28" s="115" t="n"/>
      <c r="O28" s="114" t="n"/>
      <c r="P28" s="114" t="n"/>
      <c r="Q28" s="114" t="n"/>
      <c r="R28" s="114" t="n"/>
      <c r="S28" s="114" t="n"/>
      <c r="T28" s="114" t="n"/>
      <c r="U28" s="115" t="n"/>
      <c r="V28" s="114" t="n"/>
      <c r="W28" s="114" t="n"/>
      <c r="X28" s="114" t="n"/>
      <c r="Y28" s="114" t="n"/>
      <c r="Z28" s="114" t="n"/>
      <c r="AA28" s="114" t="n"/>
      <c r="AB28" s="115" t="n"/>
      <c r="AC28" s="114" t="n"/>
      <c r="AD28" s="114" t="n"/>
      <c r="AE28" s="114" t="n"/>
      <c r="AF28" s="114" t="n"/>
      <c r="AG28" s="114" t="n"/>
      <c r="AH28" s="114" t="n"/>
      <c r="AI28" s="115" t="n"/>
      <c r="AJ28" s="116">
        <f>IF(ISBLANK(B28), "", IF(ISNUMBER(D28), IF(D28&gt;0, (COUNTIF(E28:AI28, "✓") + COUNTIF(E28:AI28, "✔") + COUNTIF(E28:AI28, "v") + COUNTIF(E28:AI28, "V"))/D28, 0), IF(((COUNTIF(E28:AI28, "✓") + COUNTIF(E28:AI28, "✔") + COUNTIF(E28:AI28, "v") + COUNTIF(E28:AI28, "V")) + COUNTIF(E28:AI28, "✗") + COUNTIF(E28:AI28, "x") + COUNTIF(E28:AI28, "X"))&gt;0, (COUNTIF(E28:AI28, "✓") + COUNTIF(E28:AI28, "✔") + COUNTIF(E28:AI28, "v") + COUNTIF(E28:AI28, "V"))/((COUNTIF(E28:AI28, "✓") + COUNTIF(E28:AI28, "✔") + COUNTIF(E28:AI28, "v") + COUNTIF(E28:AI28, "V")) + COUNTIF(E28:AI28, "✗") + COUNTIF(E28:AI28, "x") + COUNTIF(E28:AI28, "X")), "")))</f>
        <v/>
      </c>
      <c r="AK28" s="117">
        <f>IF(ISBLANK(B28), "", IF(ISNUMBER(D28), IF(D28&gt;0, (COUNTIF(E28:AI28, "✓") + COUNTIF(E28:AI28, "✔") + COUNTIF(E28:AI28, "v") + COUNTIF(E28:AI28, "V")) &amp; "/" &amp; D28, (COUNTIF(E28:AI28, "✓") + COUNTIF(E28:AI28, "✔") + COUNTIF(E28:AI28, "v") + COUNTIF(E28:AI28, "V")) &amp; "/0"), IF(((COUNTIF(E28:AI28, "✓") + COUNTIF(E28:AI28, "✔") + COUNTIF(E28:AI28, "v") + COUNTIF(E28:AI28, "V")) + COUNTIF(E28:AI28, "✗") + COUNTIF(E28:AI28, "x") + COUNTIF(E28:AI28, "X"))&gt;0, (COUNTIF(E28:AI28, "✓") + COUNTIF(E28:AI28, "✔") + COUNTIF(E28:AI28, "v") + COUNTIF(E28:AI28, "V")) &amp; "/" &amp; ((COUNTIF(E28:AI28, "✓") + COUNTIF(E28:AI28, "✔") + COUNTIF(E28:AI28, "v") + COUNTIF(E28:AI28, "V")) + COUNTIF(E28:AI28, "✗") + COUNTIF(E28:AI28, "x") + COUNTIF(E28:AI28, "X")), "")))</f>
        <v/>
      </c>
      <c r="AL28" s="117">
        <f>IF(ISBLANK(B28), "", IF(AJ28&gt;=0.85, "🔥 Mastered", IF(AJ28&gt;=0.7, "⚡ Consistent", "⚠️ Needs Focus")))</f>
        <v/>
      </c>
      <c r="AM28">
        <f>COUNTIF(E28:AI28, "✓")</f>
        <v/>
      </c>
    </row>
    <row r="29" ht="14.5" customHeight="1">
      <c r="A29" s="111" t="n">
        <v>12</v>
      </c>
      <c r="B29" s="112" t="n"/>
      <c r="C29" s="113" t="n"/>
      <c r="D29" s="113" t="n"/>
      <c r="E29" s="114" t="n"/>
      <c r="F29" s="114" t="n"/>
      <c r="G29" s="115" t="n"/>
      <c r="H29" s="114" t="n"/>
      <c r="I29" s="114" t="n"/>
      <c r="J29" s="114" t="n"/>
      <c r="K29" s="114" t="n"/>
      <c r="L29" s="114" t="n"/>
      <c r="M29" s="114" t="n"/>
      <c r="N29" s="115" t="n"/>
      <c r="O29" s="114" t="n"/>
      <c r="P29" s="114" t="n"/>
      <c r="Q29" s="114" t="n"/>
      <c r="R29" s="114" t="n"/>
      <c r="S29" s="114" t="n"/>
      <c r="T29" s="114" t="n"/>
      <c r="U29" s="115" t="n"/>
      <c r="V29" s="114" t="n"/>
      <c r="W29" s="114" t="n"/>
      <c r="X29" s="114" t="n"/>
      <c r="Y29" s="114" t="n"/>
      <c r="Z29" s="114" t="n"/>
      <c r="AA29" s="114" t="n"/>
      <c r="AB29" s="115" t="n"/>
      <c r="AC29" s="114" t="n"/>
      <c r="AD29" s="114" t="n"/>
      <c r="AE29" s="114" t="n"/>
      <c r="AF29" s="114" t="n"/>
      <c r="AG29" s="114" t="n"/>
      <c r="AH29" s="114" t="n"/>
      <c r="AI29" s="115" t="n"/>
      <c r="AJ29" s="116">
        <f>IF(ISBLANK(B29), "", IF(ISNUMBER(D29), IF(D29&gt;0, (COUNTIF(E29:AI29, "✓") + COUNTIF(E29:AI29, "✔") + COUNTIF(E29:AI29, "v") + COUNTIF(E29:AI29, "V"))/D29, 0), IF(((COUNTIF(E29:AI29, "✓") + COUNTIF(E29:AI29, "✔") + COUNTIF(E29:AI29, "v") + COUNTIF(E29:AI29, "V")) + COUNTIF(E29:AI29, "✗") + COUNTIF(E29:AI29, "x") + COUNTIF(E29:AI29, "X"))&gt;0, (COUNTIF(E29:AI29, "✓") + COUNTIF(E29:AI29, "✔") + COUNTIF(E29:AI29, "v") + COUNTIF(E29:AI29, "V"))/((COUNTIF(E29:AI29, "✓") + COUNTIF(E29:AI29, "✔") + COUNTIF(E29:AI29, "v") + COUNTIF(E29:AI29, "V")) + COUNTIF(E29:AI29, "✗") + COUNTIF(E29:AI29, "x") + COUNTIF(E29:AI29, "X")), "")))</f>
        <v/>
      </c>
      <c r="AK29" s="117">
        <f>IF(ISBLANK(B29), "", IF(ISNUMBER(D29), IF(D29&gt;0, (COUNTIF(E29:AI29, "✓") + COUNTIF(E29:AI29, "✔") + COUNTIF(E29:AI29, "v") + COUNTIF(E29:AI29, "V")) &amp; "/" &amp; D29, (COUNTIF(E29:AI29, "✓") + COUNTIF(E29:AI29, "✔") + COUNTIF(E29:AI29, "v") + COUNTIF(E29:AI29, "V")) &amp; "/0"), IF(((COUNTIF(E29:AI29, "✓") + COUNTIF(E29:AI29, "✔") + COUNTIF(E29:AI29, "v") + COUNTIF(E29:AI29, "V")) + COUNTIF(E29:AI29, "✗") + COUNTIF(E29:AI29, "x") + COUNTIF(E29:AI29, "X"))&gt;0, (COUNTIF(E29:AI29, "✓") + COUNTIF(E29:AI29, "✔") + COUNTIF(E29:AI29, "v") + COUNTIF(E29:AI29, "V")) &amp; "/" &amp; ((COUNTIF(E29:AI29, "✓") + COUNTIF(E29:AI29, "✔") + COUNTIF(E29:AI29, "v") + COUNTIF(E29:AI29, "V")) + COUNTIF(E29:AI29, "✗") + COUNTIF(E29:AI29, "x") + COUNTIF(E29:AI29, "X")), "")))</f>
        <v/>
      </c>
      <c r="AL29" s="117">
        <f>IF(ISBLANK(B29), "", IF(AJ29&gt;=0.85, "🔥 Mastered", IF(AJ29&gt;=0.7, "⚡ Consistent", "⚠️ Needs Focus")))</f>
        <v/>
      </c>
      <c r="AM29">
        <f>COUNTIF(E29:AI29, "✓")</f>
        <v/>
      </c>
    </row>
    <row r="30" ht="14.5" customHeight="1">
      <c r="A30" s="118" t="n">
        <v>13</v>
      </c>
      <c r="B30" s="119" t="n"/>
      <c r="C30" s="120" t="n"/>
      <c r="D30" s="120" t="n"/>
      <c r="E30" s="121" t="n"/>
      <c r="F30" s="121" t="n"/>
      <c r="G30" s="122" t="n"/>
      <c r="H30" s="121" t="n"/>
      <c r="I30" s="121" t="n"/>
      <c r="J30" s="121" t="n"/>
      <c r="K30" s="121" t="n"/>
      <c r="L30" s="121" t="n"/>
      <c r="M30" s="121" t="n"/>
      <c r="N30" s="122" t="n"/>
      <c r="O30" s="121" t="n"/>
      <c r="P30" s="121" t="n"/>
      <c r="Q30" s="121" t="n"/>
      <c r="R30" s="121" t="n"/>
      <c r="S30" s="121" t="n"/>
      <c r="T30" s="121" t="n"/>
      <c r="U30" s="122" t="n"/>
      <c r="V30" s="121" t="n"/>
      <c r="W30" s="121" t="n"/>
      <c r="X30" s="121" t="n"/>
      <c r="Y30" s="121" t="n"/>
      <c r="Z30" s="121" t="n"/>
      <c r="AA30" s="121" t="n"/>
      <c r="AB30" s="122" t="n"/>
      <c r="AC30" s="121" t="n"/>
      <c r="AD30" s="121" t="n"/>
      <c r="AE30" s="121" t="n"/>
      <c r="AF30" s="121" t="n"/>
      <c r="AG30" s="121" t="n"/>
      <c r="AH30" s="121" t="n"/>
      <c r="AI30" s="122" t="n"/>
      <c r="AJ30" s="123">
        <f>IF(ISBLANK(B30), "", IF(ISNUMBER(D30), IF(D30&gt;0, (COUNTIF(E30:AI30, "✓") + COUNTIF(E30:AI30, "✔") + COUNTIF(E30:AI30, "v") + COUNTIF(E30:AI30, "V"))/D30, 0), IF(((COUNTIF(E30:AI30, "✓") + COUNTIF(E30:AI30, "✔") + COUNTIF(E30:AI30, "v") + COUNTIF(E30:AI30, "V")) + COUNTIF(E30:AI30, "✗") + COUNTIF(E30:AI30, "x") + COUNTIF(E30:AI30, "X"))&gt;0, (COUNTIF(E30:AI30, "✓") + COUNTIF(E30:AI30, "✔") + COUNTIF(E30:AI30, "v") + COUNTIF(E30:AI30, "V"))/((COUNTIF(E30:AI30, "✓") + COUNTIF(E30:AI30, "✔") + COUNTIF(E30:AI30, "v") + COUNTIF(E30:AI30, "V")) + COUNTIF(E30:AI30, "✗") + COUNTIF(E30:AI30, "x") + COUNTIF(E30:AI30, "X")), "")))</f>
        <v/>
      </c>
      <c r="AK30" s="124">
        <f>IF(ISBLANK(B30), "", IF(ISNUMBER(D30), IF(D30&gt;0, (COUNTIF(E30:AI30, "✓") + COUNTIF(E30:AI30, "✔") + COUNTIF(E30:AI30, "v") + COUNTIF(E30:AI30, "V")) &amp; "/" &amp; D30, (COUNTIF(E30:AI30, "✓") + COUNTIF(E30:AI30, "✔") + COUNTIF(E30:AI30, "v") + COUNTIF(E30:AI30, "V")) &amp; "/0"), IF(((COUNTIF(E30:AI30, "✓") + COUNTIF(E30:AI30, "✔") + COUNTIF(E30:AI30, "v") + COUNTIF(E30:AI30, "V")) + COUNTIF(E30:AI30, "✗") + COUNTIF(E30:AI30, "x") + COUNTIF(E30:AI30, "X"))&gt;0, (COUNTIF(E30:AI30, "✓") + COUNTIF(E30:AI30, "✔") + COUNTIF(E30:AI30, "v") + COUNTIF(E30:AI30, "V")) &amp; "/" &amp; ((COUNTIF(E30:AI30, "✓") + COUNTIF(E30:AI30, "✔") + COUNTIF(E30:AI30, "v") + COUNTIF(E30:AI30, "V")) + COUNTIF(E30:AI30, "✗") + COUNTIF(E30:AI30, "x") + COUNTIF(E30:AI30, "X")), "")))</f>
        <v/>
      </c>
      <c r="AL30" s="124">
        <f>IF(ISBLANK(B30), "", IF(AJ30&gt;=0.85, "🔥 Mastered", IF(AJ30&gt;=0.7, "⚡ Consistent", "⚠️ Needs Focus")))</f>
        <v/>
      </c>
      <c r="AM30">
        <f>COUNTIF(E30:AI30, "✓")</f>
        <v/>
      </c>
    </row>
    <row r="31" ht="14.5" customHeight="1">
      <c r="A31" s="118" t="n">
        <v>14</v>
      </c>
      <c r="B31" s="119" t="n"/>
      <c r="C31" s="120" t="n"/>
      <c r="D31" s="120" t="n"/>
      <c r="E31" s="121" t="n"/>
      <c r="F31" s="121" t="n"/>
      <c r="G31" s="122" t="n"/>
      <c r="H31" s="121" t="n"/>
      <c r="I31" s="121" t="n"/>
      <c r="J31" s="121" t="n"/>
      <c r="K31" s="121" t="n"/>
      <c r="L31" s="121" t="n"/>
      <c r="M31" s="121" t="n"/>
      <c r="N31" s="122" t="n"/>
      <c r="O31" s="121" t="n"/>
      <c r="P31" s="121" t="n"/>
      <c r="Q31" s="121" t="n"/>
      <c r="R31" s="121" t="n"/>
      <c r="S31" s="121" t="n"/>
      <c r="T31" s="121" t="n"/>
      <c r="U31" s="122" t="n"/>
      <c r="V31" s="121" t="n"/>
      <c r="W31" s="121" t="n"/>
      <c r="X31" s="121" t="n"/>
      <c r="Y31" s="121" t="n"/>
      <c r="Z31" s="121" t="n"/>
      <c r="AA31" s="121" t="n"/>
      <c r="AB31" s="122" t="n"/>
      <c r="AC31" s="121" t="n"/>
      <c r="AD31" s="121" t="n"/>
      <c r="AE31" s="121" t="n"/>
      <c r="AF31" s="121" t="n"/>
      <c r="AG31" s="121" t="n"/>
      <c r="AH31" s="121" t="n"/>
      <c r="AI31" s="122" t="n"/>
      <c r="AJ31" s="123">
        <f>IF(ISBLANK(B31), "", IF(ISNUMBER(D31), IF(D31&gt;0, (COUNTIF(E31:AI31, "✓") + COUNTIF(E31:AI31, "✔") + COUNTIF(E31:AI31, "v") + COUNTIF(E31:AI31, "V"))/D31, 0), IF(((COUNTIF(E31:AI31, "✓") + COUNTIF(E31:AI31, "✔") + COUNTIF(E31:AI31, "v") + COUNTIF(E31:AI31, "V")) + COUNTIF(E31:AI31, "✗") + COUNTIF(E31:AI31, "x") + COUNTIF(E31:AI31, "X"))&gt;0, (COUNTIF(E31:AI31, "✓") + COUNTIF(E31:AI31, "✔") + COUNTIF(E31:AI31, "v") + COUNTIF(E31:AI31, "V"))/((COUNTIF(E31:AI31, "✓") + COUNTIF(E31:AI31, "✔") + COUNTIF(E31:AI31, "v") + COUNTIF(E31:AI31, "V")) + COUNTIF(E31:AI31, "✗") + COUNTIF(E31:AI31, "x") + COUNTIF(E31:AI31, "X")), "")))</f>
        <v/>
      </c>
      <c r="AK31" s="124">
        <f>IF(ISBLANK(B31), "", IF(ISNUMBER(D31), IF(D31&gt;0, (COUNTIF(E31:AI31, "✓") + COUNTIF(E31:AI31, "✔") + COUNTIF(E31:AI31, "v") + COUNTIF(E31:AI31, "V")) &amp; "/" &amp; D31, (COUNTIF(E31:AI31, "✓") + COUNTIF(E31:AI31, "✔") + COUNTIF(E31:AI31, "v") + COUNTIF(E31:AI31, "V")) &amp; "/0"), IF(((COUNTIF(E31:AI31, "✓") + COUNTIF(E31:AI31, "✔") + COUNTIF(E31:AI31, "v") + COUNTIF(E31:AI31, "V")) + COUNTIF(E31:AI31, "✗") + COUNTIF(E31:AI31, "x") + COUNTIF(E31:AI31, "X"))&gt;0, (COUNTIF(E31:AI31, "✓") + COUNTIF(E31:AI31, "✔") + COUNTIF(E31:AI31, "v") + COUNTIF(E31:AI31, "V")) &amp; "/" &amp; ((COUNTIF(E31:AI31, "✓") + COUNTIF(E31:AI31, "✔") + COUNTIF(E31:AI31, "v") + COUNTIF(E31:AI31, "V")) + COUNTIF(E31:AI31, "✗") + COUNTIF(E31:AI31, "x") + COUNTIF(E31:AI31, "X")), "")))</f>
        <v/>
      </c>
      <c r="AL31" s="124">
        <f>IF(ISBLANK(B31), "", IF(AJ31&gt;=0.85, "🔥 Mastered", IF(AJ31&gt;=0.7, "⚡ Consistent", "⚠️ Needs Focus")))</f>
        <v/>
      </c>
      <c r="AM31">
        <f>COUNTIF(E31:AI31, "✓")</f>
        <v/>
      </c>
    </row>
    <row r="32" ht="14.5" customHeight="1">
      <c r="A32" s="118" t="n">
        <v>15</v>
      </c>
      <c r="B32" s="119" t="n"/>
      <c r="C32" s="120" t="n"/>
      <c r="D32" s="120" t="n"/>
      <c r="E32" s="121" t="n"/>
      <c r="F32" s="121" t="n"/>
      <c r="G32" s="122" t="n"/>
      <c r="H32" s="121" t="n"/>
      <c r="I32" s="121" t="n"/>
      <c r="J32" s="121" t="n"/>
      <c r="K32" s="121" t="n"/>
      <c r="L32" s="121" t="n"/>
      <c r="M32" s="121" t="n"/>
      <c r="N32" s="122" t="n"/>
      <c r="O32" s="121" t="n"/>
      <c r="P32" s="121" t="n"/>
      <c r="Q32" s="121" t="n"/>
      <c r="R32" s="121" t="n"/>
      <c r="S32" s="121" t="n"/>
      <c r="T32" s="121" t="n"/>
      <c r="U32" s="122" t="n"/>
      <c r="V32" s="121" t="n"/>
      <c r="W32" s="121" t="n"/>
      <c r="X32" s="121" t="n"/>
      <c r="Y32" s="121" t="n"/>
      <c r="Z32" s="121" t="n"/>
      <c r="AA32" s="121" t="n"/>
      <c r="AB32" s="122" t="n"/>
      <c r="AC32" s="121" t="n"/>
      <c r="AD32" s="121" t="n"/>
      <c r="AE32" s="121" t="n"/>
      <c r="AF32" s="121" t="n"/>
      <c r="AG32" s="121" t="n"/>
      <c r="AH32" s="121" t="n"/>
      <c r="AI32" s="122" t="n"/>
      <c r="AJ32" s="123">
        <f>IF(ISBLANK(B32), "", IF(ISNUMBER(D32), IF(D32&gt;0, (COUNTIF(E32:AI32, "✓") + COUNTIF(E32:AI32, "✔") + COUNTIF(E32:AI32, "v") + COUNTIF(E32:AI32, "V"))/D32, 0), IF(((COUNTIF(E32:AI32, "✓") + COUNTIF(E32:AI32, "✔") + COUNTIF(E32:AI32, "v") + COUNTIF(E32:AI32, "V")) + COUNTIF(E32:AI32, "✗") + COUNTIF(E32:AI32, "x") + COUNTIF(E32:AI32, "X"))&gt;0, (COUNTIF(E32:AI32, "✓") + COUNTIF(E32:AI32, "✔") + COUNTIF(E32:AI32, "v") + COUNTIF(E32:AI32, "V"))/((COUNTIF(E32:AI32, "✓") + COUNTIF(E32:AI32, "✔") + COUNTIF(E32:AI32, "v") + COUNTIF(E32:AI32, "V")) + COUNTIF(E32:AI32, "✗") + COUNTIF(E32:AI32, "x") + COUNTIF(E32:AI32, "X")), "")))</f>
        <v/>
      </c>
      <c r="AK32" s="124">
        <f>IF(ISBLANK(B32), "", IF(ISNUMBER(D32), IF(D32&gt;0, (COUNTIF(E32:AI32, "✓") + COUNTIF(E32:AI32, "✔") + COUNTIF(E32:AI32, "v") + COUNTIF(E32:AI32, "V")) &amp; "/" &amp; D32, (COUNTIF(E32:AI32, "✓") + COUNTIF(E32:AI32, "✔") + COUNTIF(E32:AI32, "v") + COUNTIF(E32:AI32, "V")) &amp; "/0"), IF(((COUNTIF(E32:AI32, "✓") + COUNTIF(E32:AI32, "✔") + COUNTIF(E32:AI32, "v") + COUNTIF(E32:AI32, "V")) + COUNTIF(E32:AI32, "✗") + COUNTIF(E32:AI32, "x") + COUNTIF(E32:AI32, "X"))&gt;0, (COUNTIF(E32:AI32, "✓") + COUNTIF(E32:AI32, "✔") + COUNTIF(E32:AI32, "v") + COUNTIF(E32:AI32, "V")) &amp; "/" &amp; ((COUNTIF(E32:AI32, "✓") + COUNTIF(E32:AI32, "✔") + COUNTIF(E32:AI32, "v") + COUNTIF(E32:AI32, "V")) + COUNTIF(E32:AI32, "✗") + COUNTIF(E32:AI32, "x") + COUNTIF(E32:AI32, "X")), "")))</f>
        <v/>
      </c>
      <c r="AL32" s="124">
        <f>IF(ISBLANK(B32), "", IF(AJ32&gt;=0.85, "🔥 Mastered", IF(AJ32&gt;=0.7, "⚡ Consistent", "⚠️ Needs Focus")))</f>
        <v/>
      </c>
      <c r="AM32">
        <f>COUNTIF(E32:AI32, "✓")</f>
        <v/>
      </c>
    </row>
    <row r="33" ht="14.5" customHeight="1">
      <c r="A33" s="118" t="n">
        <v>16</v>
      </c>
      <c r="B33" s="119" t="n"/>
      <c r="C33" s="120" t="n"/>
      <c r="D33" s="120" t="n"/>
      <c r="E33" s="121" t="n"/>
      <c r="F33" s="121" t="n"/>
      <c r="G33" s="122" t="n"/>
      <c r="H33" s="121" t="n"/>
      <c r="I33" s="121" t="n"/>
      <c r="J33" s="121" t="n"/>
      <c r="K33" s="121" t="n"/>
      <c r="L33" s="121" t="n"/>
      <c r="M33" s="121" t="n"/>
      <c r="N33" s="122" t="n"/>
      <c r="O33" s="121" t="n"/>
      <c r="P33" s="121" t="n"/>
      <c r="Q33" s="121" t="n"/>
      <c r="R33" s="121" t="n"/>
      <c r="S33" s="121" t="n"/>
      <c r="T33" s="121" t="n"/>
      <c r="U33" s="122" t="n"/>
      <c r="V33" s="121" t="n"/>
      <c r="W33" s="121" t="n"/>
      <c r="X33" s="121" t="n"/>
      <c r="Y33" s="121" t="n"/>
      <c r="Z33" s="121" t="n"/>
      <c r="AA33" s="121" t="n"/>
      <c r="AB33" s="122" t="n"/>
      <c r="AC33" s="121" t="n"/>
      <c r="AD33" s="121" t="n"/>
      <c r="AE33" s="121" t="n"/>
      <c r="AF33" s="121" t="n"/>
      <c r="AG33" s="121" t="n"/>
      <c r="AH33" s="121" t="n"/>
      <c r="AI33" s="122" t="n"/>
      <c r="AJ33" s="123">
        <f>IF(ISBLANK(B33), "", IF(ISNUMBER(D33), IF(D33&gt;0, (COUNTIF(E33:AI33, "✓") + COUNTIF(E33:AI33, "✔") + COUNTIF(E33:AI33, "v") + COUNTIF(E33:AI33, "V"))/D33, 0), IF(((COUNTIF(E33:AI33, "✓") + COUNTIF(E33:AI33, "✔") + COUNTIF(E33:AI33, "v") + COUNTIF(E33:AI33, "V")) + COUNTIF(E33:AI33, "✗") + COUNTIF(E33:AI33, "x") + COUNTIF(E33:AI33, "X"))&gt;0, (COUNTIF(E33:AI33, "✓") + COUNTIF(E33:AI33, "✔") + COUNTIF(E33:AI33, "v") + COUNTIF(E33:AI33, "V"))/((COUNTIF(E33:AI33, "✓") + COUNTIF(E33:AI33, "✔") + COUNTIF(E33:AI33, "v") + COUNTIF(E33:AI33, "V")) + COUNTIF(E33:AI33, "✗") + COUNTIF(E33:AI33, "x") + COUNTIF(E33:AI33, "X")), "")))</f>
        <v/>
      </c>
      <c r="AK33" s="124">
        <f>IF(ISBLANK(B33), "", IF(ISNUMBER(D33), IF(D33&gt;0, (COUNTIF(E33:AI33, "✓") + COUNTIF(E33:AI33, "✔") + COUNTIF(E33:AI33, "v") + COUNTIF(E33:AI33, "V")) &amp; "/" &amp; D33, (COUNTIF(E33:AI33, "✓") + COUNTIF(E33:AI33, "✔") + COUNTIF(E33:AI33, "v") + COUNTIF(E33:AI33, "V")) &amp; "/0"), IF(((COUNTIF(E33:AI33, "✓") + COUNTIF(E33:AI33, "✔") + COUNTIF(E33:AI33, "v") + COUNTIF(E33:AI33, "V")) + COUNTIF(E33:AI33, "✗") + COUNTIF(E33:AI33, "x") + COUNTIF(E33:AI33, "X"))&gt;0, (COUNTIF(E33:AI33, "✓") + COUNTIF(E33:AI33, "✔") + COUNTIF(E33:AI33, "v") + COUNTIF(E33:AI33, "V")) &amp; "/" &amp; ((COUNTIF(E33:AI33, "✓") + COUNTIF(E33:AI33, "✔") + COUNTIF(E33:AI33, "v") + COUNTIF(E33:AI33, "V")) + COUNTIF(E33:AI33, "✗") + COUNTIF(E33:AI33, "x") + COUNTIF(E33:AI33, "X")), "")))</f>
        <v/>
      </c>
      <c r="AL33" s="124">
        <f>IF(ISBLANK(B33), "", IF(AJ33&gt;=0.85, "🔥 Mastered", IF(AJ33&gt;=0.7, "⚡ Consistent", "⚠️ Needs Focus")))</f>
        <v/>
      </c>
      <c r="AM33">
        <f>COUNTIF(E33:AI33, "✓")</f>
        <v/>
      </c>
    </row>
    <row r="34" ht="14.5" customHeight="1">
      <c r="A34" s="125" t="n">
        <v>17</v>
      </c>
      <c r="B34" s="126" t="n"/>
      <c r="C34" s="127" t="n"/>
      <c r="D34" s="127" t="n"/>
      <c r="E34" s="128" t="n"/>
      <c r="F34" s="128" t="n"/>
      <c r="G34" s="129" t="n"/>
      <c r="H34" s="128" t="n"/>
      <c r="I34" s="128" t="n"/>
      <c r="J34" s="128" t="n"/>
      <c r="K34" s="128" t="n"/>
      <c r="L34" s="128" t="n"/>
      <c r="M34" s="128" t="n"/>
      <c r="N34" s="129" t="n"/>
      <c r="O34" s="128" t="n"/>
      <c r="P34" s="128" t="n"/>
      <c r="Q34" s="128" t="n"/>
      <c r="R34" s="128" t="n"/>
      <c r="S34" s="128" t="n"/>
      <c r="T34" s="128" t="n"/>
      <c r="U34" s="129" t="n"/>
      <c r="V34" s="128" t="n"/>
      <c r="W34" s="128" t="n"/>
      <c r="X34" s="128" t="n"/>
      <c r="Y34" s="128" t="n"/>
      <c r="Z34" s="128" t="n"/>
      <c r="AA34" s="128" t="n"/>
      <c r="AB34" s="129" t="n"/>
      <c r="AC34" s="128" t="n"/>
      <c r="AD34" s="128" t="n"/>
      <c r="AE34" s="128" t="n"/>
      <c r="AF34" s="128" t="n"/>
      <c r="AG34" s="128" t="n"/>
      <c r="AH34" s="128" t="n"/>
      <c r="AI34" s="129" t="n"/>
      <c r="AJ34" s="130">
        <f>IF(ISBLANK(B34), "", IF(ISNUMBER(D34), IF(D34&gt;0, (COUNTIF(E34:AI34, "✓") + COUNTIF(E34:AI34, "✔") + COUNTIF(E34:AI34, "v") + COUNTIF(E34:AI34, "V"))/D34, 0), IF(((COUNTIF(E34:AI34, "✓") + COUNTIF(E34:AI34, "✔") + COUNTIF(E34:AI34, "v") + COUNTIF(E34:AI34, "V")) + COUNTIF(E34:AI34, "✗") + COUNTIF(E34:AI34, "x") + COUNTIF(E34:AI34, "X"))&gt;0, (COUNTIF(E34:AI34, "✓") + COUNTIF(E34:AI34, "✔") + COUNTIF(E34:AI34, "v") + COUNTIF(E34:AI34, "V"))/((COUNTIF(E34:AI34, "✓") + COUNTIF(E34:AI34, "✔") + COUNTIF(E34:AI34, "v") + COUNTIF(E34:AI34, "V")) + COUNTIF(E34:AI34, "✗") + COUNTIF(E34:AI34, "x") + COUNTIF(E34:AI34, "X")), "")))</f>
        <v/>
      </c>
      <c r="AK34" s="131">
        <f>IF(ISBLANK(B34), "", IF(ISNUMBER(D34), IF(D34&gt;0, (COUNTIF(E34:AI34, "✓") + COUNTIF(E34:AI34, "✔") + COUNTIF(E34:AI34, "v") + COUNTIF(E34:AI34, "V")) &amp; "/" &amp; D34, (COUNTIF(E34:AI34, "✓") + COUNTIF(E34:AI34, "✔") + COUNTIF(E34:AI34, "v") + COUNTIF(E34:AI34, "V")) &amp; "/0"), IF(((COUNTIF(E34:AI34, "✓") + COUNTIF(E34:AI34, "✔") + COUNTIF(E34:AI34, "v") + COUNTIF(E34:AI34, "V")) + COUNTIF(E34:AI34, "✗") + COUNTIF(E34:AI34, "x") + COUNTIF(E34:AI34, "X"))&gt;0, (COUNTIF(E34:AI34, "✓") + COUNTIF(E34:AI34, "✔") + COUNTIF(E34:AI34, "v") + COUNTIF(E34:AI34, "V")) &amp; "/" &amp; ((COUNTIF(E34:AI34, "✓") + COUNTIF(E34:AI34, "✔") + COUNTIF(E34:AI34, "v") + COUNTIF(E34:AI34, "V")) + COUNTIF(E34:AI34, "✗") + COUNTIF(E34:AI34, "x") + COUNTIF(E34:AI34, "X")), "")))</f>
        <v/>
      </c>
      <c r="AL34" s="131">
        <f>IF(ISBLANK(B34), "", IF(AJ34&gt;=0.85, "🔥 Mastered", IF(AJ34&gt;=0.7, "⚡ Consistent", "⚠️ Needs Focus")))</f>
        <v/>
      </c>
      <c r="AM34">
        <f>COUNTIF(E34:AI34, "✓")</f>
        <v/>
      </c>
    </row>
    <row r="35" ht="14.5" customHeight="1">
      <c r="A35" s="125" t="n">
        <v>18</v>
      </c>
      <c r="B35" s="126" t="n"/>
      <c r="C35" s="127" t="n"/>
      <c r="D35" s="127" t="n"/>
      <c r="E35" s="128" t="n"/>
      <c r="F35" s="128" t="n"/>
      <c r="G35" s="129" t="n"/>
      <c r="H35" s="128" t="n"/>
      <c r="I35" s="128" t="n"/>
      <c r="J35" s="128" t="n"/>
      <c r="K35" s="128" t="n"/>
      <c r="L35" s="128" t="n"/>
      <c r="M35" s="128" t="n"/>
      <c r="N35" s="129" t="n"/>
      <c r="O35" s="128" t="n"/>
      <c r="P35" s="128" t="n"/>
      <c r="Q35" s="128" t="n"/>
      <c r="R35" s="128" t="n"/>
      <c r="S35" s="128" t="n"/>
      <c r="T35" s="128" t="n"/>
      <c r="U35" s="129" t="n"/>
      <c r="V35" s="128" t="n"/>
      <c r="W35" s="128" t="n"/>
      <c r="X35" s="128" t="n"/>
      <c r="Y35" s="128" t="n"/>
      <c r="Z35" s="128" t="n"/>
      <c r="AA35" s="128" t="n"/>
      <c r="AB35" s="129" t="n"/>
      <c r="AC35" s="128" t="n"/>
      <c r="AD35" s="128" t="n"/>
      <c r="AE35" s="128" t="n"/>
      <c r="AF35" s="128" t="n"/>
      <c r="AG35" s="128" t="n"/>
      <c r="AH35" s="128" t="n"/>
      <c r="AI35" s="129" t="n"/>
      <c r="AJ35" s="130">
        <f>IF(ISBLANK(B35), "", IF(ISNUMBER(D35), IF(D35&gt;0, (COUNTIF(E35:AI35, "✓") + COUNTIF(E35:AI35, "✔") + COUNTIF(E35:AI35, "v") + COUNTIF(E35:AI35, "V"))/D35, 0), IF(((COUNTIF(E35:AI35, "✓") + COUNTIF(E35:AI35, "✔") + COUNTIF(E35:AI35, "v") + COUNTIF(E35:AI35, "V")) + COUNTIF(E35:AI35, "✗") + COUNTIF(E35:AI35, "x") + COUNTIF(E35:AI35, "X"))&gt;0, (COUNTIF(E35:AI35, "✓") + COUNTIF(E35:AI35, "✔") + COUNTIF(E35:AI35, "v") + COUNTIF(E35:AI35, "V"))/((COUNTIF(E35:AI35, "✓") + COUNTIF(E35:AI35, "✔") + COUNTIF(E35:AI35, "v") + COUNTIF(E35:AI35, "V")) + COUNTIF(E35:AI35, "✗") + COUNTIF(E35:AI35, "x") + COUNTIF(E35:AI35, "X")), "")))</f>
        <v/>
      </c>
      <c r="AK35" s="131">
        <f>IF(ISBLANK(B35), "", IF(ISNUMBER(D35), IF(D35&gt;0, (COUNTIF(E35:AI35, "✓") + COUNTIF(E35:AI35, "✔") + COUNTIF(E35:AI35, "v") + COUNTIF(E35:AI35, "V")) &amp; "/" &amp; D35, (COUNTIF(E35:AI35, "✓") + COUNTIF(E35:AI35, "✔") + COUNTIF(E35:AI35, "v") + COUNTIF(E35:AI35, "V")) &amp; "/0"), IF(((COUNTIF(E35:AI35, "✓") + COUNTIF(E35:AI35, "✔") + COUNTIF(E35:AI35, "v") + COUNTIF(E35:AI35, "V")) + COUNTIF(E35:AI35, "✗") + COUNTIF(E35:AI35, "x") + COUNTIF(E35:AI35, "X"))&gt;0, (COUNTIF(E35:AI35, "✓") + COUNTIF(E35:AI35, "✔") + COUNTIF(E35:AI35, "v") + COUNTIF(E35:AI35, "V")) &amp; "/" &amp; ((COUNTIF(E35:AI35, "✓") + COUNTIF(E35:AI35, "✔") + COUNTIF(E35:AI35, "v") + COUNTIF(E35:AI35, "V")) + COUNTIF(E35:AI35, "✗") + COUNTIF(E35:AI35, "x") + COUNTIF(E35:AI35, "X")), "")))</f>
        <v/>
      </c>
      <c r="AL35" s="131">
        <f>IF(ISBLANK(B35), "", IF(AJ35&gt;=0.85, "🔥 Mastered", IF(AJ35&gt;=0.7, "⚡ Consistent", "⚠️ Needs Focus")))</f>
        <v/>
      </c>
      <c r="AM35">
        <f>COUNTIF(E35:AI35, "✓")</f>
        <v/>
      </c>
    </row>
    <row r="36" ht="14.5" customHeight="1">
      <c r="A36" s="125" t="n">
        <v>19</v>
      </c>
      <c r="B36" s="126" t="n"/>
      <c r="C36" s="127" t="n"/>
      <c r="D36" s="127" t="n"/>
      <c r="E36" s="128" t="n"/>
      <c r="F36" s="128" t="n"/>
      <c r="G36" s="129" t="n"/>
      <c r="H36" s="128" t="n"/>
      <c r="I36" s="128" t="n"/>
      <c r="J36" s="128" t="n"/>
      <c r="K36" s="128" t="n"/>
      <c r="L36" s="128" t="n"/>
      <c r="M36" s="128" t="n"/>
      <c r="N36" s="129" t="n"/>
      <c r="O36" s="128" t="n"/>
      <c r="P36" s="128" t="n"/>
      <c r="Q36" s="128" t="n"/>
      <c r="R36" s="128" t="n"/>
      <c r="S36" s="128" t="n"/>
      <c r="T36" s="128" t="n"/>
      <c r="U36" s="129" t="n"/>
      <c r="V36" s="128" t="n"/>
      <c r="W36" s="128" t="n"/>
      <c r="X36" s="128" t="n"/>
      <c r="Y36" s="128" t="n"/>
      <c r="Z36" s="128" t="n"/>
      <c r="AA36" s="128" t="n"/>
      <c r="AB36" s="129" t="n"/>
      <c r="AC36" s="128" t="n"/>
      <c r="AD36" s="128" t="n"/>
      <c r="AE36" s="128" t="n"/>
      <c r="AF36" s="128" t="n"/>
      <c r="AG36" s="128" t="n"/>
      <c r="AH36" s="128" t="n"/>
      <c r="AI36" s="129" t="n"/>
      <c r="AJ36" s="130">
        <f>IF(ISBLANK(B36), "", IF(ISNUMBER(D36), IF(D36&gt;0, (COUNTIF(E36:AI36, "✓") + COUNTIF(E36:AI36, "✔") + COUNTIF(E36:AI36, "v") + COUNTIF(E36:AI36, "V"))/D36, 0), IF(((COUNTIF(E36:AI36, "✓") + COUNTIF(E36:AI36, "✔") + COUNTIF(E36:AI36, "v") + COUNTIF(E36:AI36, "V")) + COUNTIF(E36:AI36, "✗") + COUNTIF(E36:AI36, "x") + COUNTIF(E36:AI36, "X"))&gt;0, (COUNTIF(E36:AI36, "✓") + COUNTIF(E36:AI36, "✔") + COUNTIF(E36:AI36, "v") + COUNTIF(E36:AI36, "V"))/((COUNTIF(E36:AI36, "✓") + COUNTIF(E36:AI36, "✔") + COUNTIF(E36:AI36, "v") + COUNTIF(E36:AI36, "V")) + COUNTIF(E36:AI36, "✗") + COUNTIF(E36:AI36, "x") + COUNTIF(E36:AI36, "X")), "")))</f>
        <v/>
      </c>
      <c r="AK36" s="131">
        <f>IF(ISBLANK(B36), "", IF(ISNUMBER(D36), IF(D36&gt;0, (COUNTIF(E36:AI36, "✓") + COUNTIF(E36:AI36, "✔") + COUNTIF(E36:AI36, "v") + COUNTIF(E36:AI36, "V")) &amp; "/" &amp; D36, (COUNTIF(E36:AI36, "✓") + COUNTIF(E36:AI36, "✔") + COUNTIF(E36:AI36, "v") + COUNTIF(E36:AI36, "V")) &amp; "/0"), IF(((COUNTIF(E36:AI36, "✓") + COUNTIF(E36:AI36, "✔") + COUNTIF(E36:AI36, "v") + COUNTIF(E36:AI36, "V")) + COUNTIF(E36:AI36, "✗") + COUNTIF(E36:AI36, "x") + COUNTIF(E36:AI36, "X"))&gt;0, (COUNTIF(E36:AI36, "✓") + COUNTIF(E36:AI36, "✔") + COUNTIF(E36:AI36, "v") + COUNTIF(E36:AI36, "V")) &amp; "/" &amp; ((COUNTIF(E36:AI36, "✓") + COUNTIF(E36:AI36, "✔") + COUNTIF(E36:AI36, "v") + COUNTIF(E36:AI36, "V")) + COUNTIF(E36:AI36, "✗") + COUNTIF(E36:AI36, "x") + COUNTIF(E36:AI36, "X")), "")))</f>
        <v/>
      </c>
      <c r="AL36" s="131">
        <f>IF(ISBLANK(B36), "", IF(AJ36&gt;=0.85, "🔥 Mastered", IF(AJ36&gt;=0.7, "⚡ Consistent", "⚠️ Needs Focus")))</f>
        <v/>
      </c>
      <c r="AM36">
        <f>COUNTIF(E36:AI36, "✓")</f>
        <v/>
      </c>
    </row>
    <row r="37" ht="14.5" customHeight="1">
      <c r="A37" s="125" t="n">
        <v>20</v>
      </c>
      <c r="B37" s="126" t="n"/>
      <c r="C37" s="127" t="n"/>
      <c r="D37" s="127" t="n"/>
      <c r="E37" s="128" t="n"/>
      <c r="F37" s="128" t="n"/>
      <c r="G37" s="129" t="n"/>
      <c r="H37" s="128" t="n"/>
      <c r="I37" s="128" t="n"/>
      <c r="J37" s="128" t="n"/>
      <c r="K37" s="128" t="n"/>
      <c r="L37" s="128" t="n"/>
      <c r="M37" s="128" t="n"/>
      <c r="N37" s="129" t="n"/>
      <c r="O37" s="128" t="n"/>
      <c r="P37" s="128" t="n"/>
      <c r="Q37" s="128" t="n"/>
      <c r="R37" s="128" t="n"/>
      <c r="S37" s="128" t="n"/>
      <c r="T37" s="128" t="n"/>
      <c r="U37" s="129" t="n"/>
      <c r="V37" s="128" t="n"/>
      <c r="W37" s="128" t="n"/>
      <c r="X37" s="128" t="n"/>
      <c r="Y37" s="128" t="n"/>
      <c r="Z37" s="128" t="n"/>
      <c r="AA37" s="128" t="n"/>
      <c r="AB37" s="129" t="n"/>
      <c r="AC37" s="128" t="n"/>
      <c r="AD37" s="128" t="n"/>
      <c r="AE37" s="128" t="n"/>
      <c r="AF37" s="128" t="n"/>
      <c r="AG37" s="128" t="n"/>
      <c r="AH37" s="128" t="n"/>
      <c r="AI37" s="129" t="n"/>
      <c r="AJ37" s="130">
        <f>IF(ISBLANK(B37), "", IF(ISNUMBER(D37), IF(D37&gt;0, (COUNTIF(E37:AI37, "✓") + COUNTIF(E37:AI37, "✔") + COUNTIF(E37:AI37, "v") + COUNTIF(E37:AI37, "V"))/D37, 0), IF(((COUNTIF(E37:AI37, "✓") + COUNTIF(E37:AI37, "✔") + COUNTIF(E37:AI37, "v") + COUNTIF(E37:AI37, "V")) + COUNTIF(E37:AI37, "✗") + COUNTIF(E37:AI37, "x") + COUNTIF(E37:AI37, "X"))&gt;0, (COUNTIF(E37:AI37, "✓") + COUNTIF(E37:AI37, "✔") + COUNTIF(E37:AI37, "v") + COUNTIF(E37:AI37, "V"))/((COUNTIF(E37:AI37, "✓") + COUNTIF(E37:AI37, "✔") + COUNTIF(E37:AI37, "v") + COUNTIF(E37:AI37, "V")) + COUNTIF(E37:AI37, "✗") + COUNTIF(E37:AI37, "x") + COUNTIF(E37:AI37, "X")), "")))</f>
        <v/>
      </c>
      <c r="AK37" s="131">
        <f>IF(ISBLANK(B37), "", IF(ISNUMBER(D37), IF(D37&gt;0, (COUNTIF(E37:AI37, "✓") + COUNTIF(E37:AI37, "✔") + COUNTIF(E37:AI37, "v") + COUNTIF(E37:AI37, "V")) &amp; "/" &amp; D37, (COUNTIF(E37:AI37, "✓") + COUNTIF(E37:AI37, "✔") + COUNTIF(E37:AI37, "v") + COUNTIF(E37:AI37, "V")) &amp; "/0"), IF(((COUNTIF(E37:AI37, "✓") + COUNTIF(E37:AI37, "✔") + COUNTIF(E37:AI37, "v") + COUNTIF(E37:AI37, "V")) + COUNTIF(E37:AI37, "✗") + COUNTIF(E37:AI37, "x") + COUNTIF(E37:AI37, "X"))&gt;0, (COUNTIF(E37:AI37, "✓") + COUNTIF(E37:AI37, "✔") + COUNTIF(E37:AI37, "v") + COUNTIF(E37:AI37, "V")) &amp; "/" &amp; ((COUNTIF(E37:AI37, "✓") + COUNTIF(E37:AI37, "✔") + COUNTIF(E37:AI37, "v") + COUNTIF(E37:AI37, "V")) + COUNTIF(E37:AI37, "✗") + COUNTIF(E37:AI37, "x") + COUNTIF(E37:AI37, "X")), "")))</f>
        <v/>
      </c>
      <c r="AL37" s="131">
        <f>IF(ISBLANK(B37), "", IF(AJ37&gt;=0.85, "🔥 Mastered", IF(AJ37&gt;=0.7, "⚡ Consistent", "⚠️ Needs Focus")))</f>
        <v/>
      </c>
      <c r="AM37">
        <f>COUNTIF(E37:AI37, "✓")</f>
        <v/>
      </c>
    </row>
    <row r="38" ht="18" customHeight="1">
      <c r="A38" s="132" t="inlineStr">
        <is>
          <t>DAILY TOTAL SCORE</t>
        </is>
      </c>
      <c r="B38" s="54" t="n"/>
      <c r="C38" s="54" t="n"/>
      <c r="D38" s="54" t="n"/>
      <c r="E38" s="33">
        <f>IF(((COUNTIF(E18:E37, "✓") + COUNTIF(E18:E37, "✔") + COUNTIF(E18:E37, "v") + COUNTIF(E18:E37, "V")) + COUNTIF(E18:E37, "✗") + COUNTIF(E18:E37, "x") + COUNTIF(E18:E37, "X")) &gt; 0, (COUNTIF(E18:E37, "✓") + COUNTIF(E18:E37, "✔") + COUNTIF(E18:E37, "v") + COUNTIF(E18:E37, "V")) &amp; "/" &amp; ((COUNTIF(E18:E37, "✓") + COUNTIF(E18:E37, "✔") + COUNTIF(E18:E37, "v") + COUNTIF(E18:E37, "V")) + COUNTIF(E18:E37, "✗") + COUNTIF(E18:E37, "x") + COUNTIF(E18:E37, "X")), "")</f>
        <v/>
      </c>
      <c r="F38" s="33">
        <f>IF(((COUNTIF(F18:F37, "✓") + COUNTIF(F18:F37, "✔") + COUNTIF(F18:F37, "v") + COUNTIF(F18:F37, "V")) + COUNTIF(F18:F37, "✗") + COUNTIF(F18:F37, "x") + COUNTIF(F18:F37, "X")) &gt; 0, (COUNTIF(F18:F37, "✓") + COUNTIF(F18:F37, "✔") + COUNTIF(F18:F37, "v") + COUNTIF(F18:F37, "V")) &amp; "/" &amp; ((COUNTIF(F18:F37, "✓") + COUNTIF(F18:F37, "✔") + COUNTIF(F18:F37, "v") + COUNTIF(F18:F37, "V")) + COUNTIF(F18:F37, "✗") + COUNTIF(F18:F37, "x") + COUNTIF(F18:F37, "X")), "")</f>
        <v/>
      </c>
      <c r="G38" s="33">
        <f>IF(((COUNTIF(G18:G37, "✓") + COUNTIF(G18:G37, "✔") + COUNTIF(G18:G37, "v") + COUNTIF(G18:G37, "V")) + COUNTIF(G18:G37, "✗") + COUNTIF(G18:G37, "x") + COUNTIF(G18:G37, "X")) &gt; 0, (COUNTIF(G18:G37, "✓") + COUNTIF(G18:G37, "✔") + COUNTIF(G18:G37, "v") + COUNTIF(G18:G37, "V")) &amp; "/" &amp; ((COUNTIF(G18:G37, "✓") + COUNTIF(G18:G37, "✔") + COUNTIF(G18:G37, "v") + COUNTIF(G18:G37, "V")) + COUNTIF(G18:G37, "✗") + COUNTIF(G18:G37, "x") + COUNTIF(G18:G37, "X")), "")</f>
        <v/>
      </c>
      <c r="H38" s="33">
        <f>IF(((COUNTIF(H18:H37, "✓") + COUNTIF(H18:H37, "✔") + COUNTIF(H18:H37, "v") + COUNTIF(H18:H37, "V")) + COUNTIF(H18:H37, "✗") + COUNTIF(H18:H37, "x") + COUNTIF(H18:H37, "X")) &gt; 0, (COUNTIF(H18:H37, "✓") + COUNTIF(H18:H37, "✔") + COUNTIF(H18:H37, "v") + COUNTIF(H18:H37, "V")) &amp; "/" &amp; ((COUNTIF(H18:H37, "✓") + COUNTIF(H18:H37, "✔") + COUNTIF(H18:H37, "v") + COUNTIF(H18:H37, "V")) + COUNTIF(H18:H37, "✗") + COUNTIF(H18:H37, "x") + COUNTIF(H18:H37, "X")), "")</f>
        <v/>
      </c>
      <c r="I38" s="33">
        <f>IF(((COUNTIF(I18:I37, "✓") + COUNTIF(I18:I37, "✔") + COUNTIF(I18:I37, "v") + COUNTIF(I18:I37, "V")) + COUNTIF(I18:I37, "✗") + COUNTIF(I18:I37, "x") + COUNTIF(I18:I37, "X")) &gt; 0, (COUNTIF(I18:I37, "✓") + COUNTIF(I18:I37, "✔") + COUNTIF(I18:I37, "v") + COUNTIF(I18:I37, "V")) &amp; "/" &amp; ((COUNTIF(I18:I37, "✓") + COUNTIF(I18:I37, "✔") + COUNTIF(I18:I37, "v") + COUNTIF(I18:I37, "V")) + COUNTIF(I18:I37, "✗") + COUNTIF(I18:I37, "x") + COUNTIF(I18:I37, "X")), "")</f>
        <v/>
      </c>
      <c r="J38" s="33">
        <f>IF(((COUNTIF(J18:J37, "✓") + COUNTIF(J18:J37, "✔") + COUNTIF(J18:J37, "v") + COUNTIF(J18:J37, "V")) + COUNTIF(J18:J37, "✗") + COUNTIF(J18:J37, "x") + COUNTIF(J18:J37, "X")) &gt; 0, (COUNTIF(J18:J37, "✓") + COUNTIF(J18:J37, "✔") + COUNTIF(J18:J37, "v") + COUNTIF(J18:J37, "V")) &amp; "/" &amp; ((COUNTIF(J18:J37, "✓") + COUNTIF(J18:J37, "✔") + COUNTIF(J18:J37, "v") + COUNTIF(J18:J37, "V")) + COUNTIF(J18:J37, "✗") + COUNTIF(J18:J37, "x") + COUNTIF(J18:J37, "X")), "")</f>
        <v/>
      </c>
      <c r="K38" s="33">
        <f>IF(((COUNTIF(K18:K37, "✓") + COUNTIF(K18:K37, "✔") + COUNTIF(K18:K37, "v") + COUNTIF(K18:K37, "V")) + COUNTIF(K18:K37, "✗") + COUNTIF(K18:K37, "x") + COUNTIF(K18:K37, "X")) &gt; 0, (COUNTIF(K18:K37, "✓") + COUNTIF(K18:K37, "✔") + COUNTIF(K18:K37, "v") + COUNTIF(K18:K37, "V")) &amp; "/" &amp; ((COUNTIF(K18:K37, "✓") + COUNTIF(K18:K37, "✔") + COUNTIF(K18:K37, "v") + COUNTIF(K18:K37, "V")) + COUNTIF(K18:K37, "✗") + COUNTIF(K18:K37, "x") + COUNTIF(K18:K37, "X")), "")</f>
        <v/>
      </c>
      <c r="L38" s="33">
        <f>IF(((COUNTIF(L18:L37, "✓") + COUNTIF(L18:L37, "✔") + COUNTIF(L18:L37, "v") + COUNTIF(L18:L37, "V")) + COUNTIF(L18:L37, "✗") + COUNTIF(L18:L37, "x") + COUNTIF(L18:L37, "X")) &gt; 0, (COUNTIF(L18:L37, "✓") + COUNTIF(L18:L37, "✔") + COUNTIF(L18:L37, "v") + COUNTIF(L18:L37, "V")) &amp; "/" &amp; ((COUNTIF(L18:L37, "✓") + COUNTIF(L18:L37, "✔") + COUNTIF(L18:L37, "v") + COUNTIF(L18:L37, "V")) + COUNTIF(L18:L37, "✗") + COUNTIF(L18:L37, "x") + COUNTIF(L18:L37, "X")), "")</f>
        <v/>
      </c>
      <c r="M38" s="33">
        <f>IF(((COUNTIF(M18:M37, "✓") + COUNTIF(M18:M37, "✔") + COUNTIF(M18:M37, "v") + COUNTIF(M18:M37, "V")) + COUNTIF(M18:M37, "✗") + COUNTIF(M18:M37, "x") + COUNTIF(M18:M37, "X")) &gt; 0, (COUNTIF(M18:M37, "✓") + COUNTIF(M18:M37, "✔") + COUNTIF(M18:M37, "v") + COUNTIF(M18:M37, "V")) &amp; "/" &amp; ((COUNTIF(M18:M37, "✓") + COUNTIF(M18:M37, "✔") + COUNTIF(M18:M37, "v") + COUNTIF(M18:M37, "V")) + COUNTIF(M18:M37, "✗") + COUNTIF(M18:M37, "x") + COUNTIF(M18:M37, "X")), "")</f>
        <v/>
      </c>
      <c r="N38" s="33">
        <f>IF(((COUNTIF(N18:N37, "✓") + COUNTIF(N18:N37, "✔") + COUNTIF(N18:N37, "v") + COUNTIF(N18:N37, "V")) + COUNTIF(N18:N37, "✗") + COUNTIF(N18:N37, "x") + COUNTIF(N18:N37, "X")) &gt; 0, (COUNTIF(N18:N37, "✓") + COUNTIF(N18:N37, "✔") + COUNTIF(N18:N37, "v") + COUNTIF(N18:N37, "V")) &amp; "/" &amp; ((COUNTIF(N18:N37, "✓") + COUNTIF(N18:N37, "✔") + COUNTIF(N18:N37, "v") + COUNTIF(N18:N37, "V")) + COUNTIF(N18:N37, "✗") + COUNTIF(N18:N37, "x") + COUNTIF(N18:N37, "X")), "")</f>
        <v/>
      </c>
      <c r="O38" s="33">
        <f>IF(((COUNTIF(O18:O37, "✓") + COUNTIF(O18:O37, "✔") + COUNTIF(O18:O37, "v") + COUNTIF(O18:O37, "V")) + COUNTIF(O18:O37, "✗") + COUNTIF(O18:O37, "x") + COUNTIF(O18:O37, "X")) &gt; 0, (COUNTIF(O18:O37, "✓") + COUNTIF(O18:O37, "✔") + COUNTIF(O18:O37, "v") + COUNTIF(O18:O37, "V")) &amp; "/" &amp; ((COUNTIF(O18:O37, "✓") + COUNTIF(O18:O37, "✔") + COUNTIF(O18:O37, "v") + COUNTIF(O18:O37, "V")) + COUNTIF(O18:O37, "✗") + COUNTIF(O18:O37, "x") + COUNTIF(O18:O37, "X")), "")</f>
        <v/>
      </c>
      <c r="P38" s="33">
        <f>IF(((COUNTIF(P18:P37, "✓") + COUNTIF(P18:P37, "✔") + COUNTIF(P18:P37, "v") + COUNTIF(P18:P37, "V")) + COUNTIF(P18:P37, "✗") + COUNTIF(P18:P37, "x") + COUNTIF(P18:P37, "X")) &gt; 0, (COUNTIF(P18:P37, "✓") + COUNTIF(P18:P37, "✔") + COUNTIF(P18:P37, "v") + COUNTIF(P18:P37, "V")) &amp; "/" &amp; ((COUNTIF(P18:P37, "✓") + COUNTIF(P18:P37, "✔") + COUNTIF(P18:P37, "v") + COUNTIF(P18:P37, "V")) + COUNTIF(P18:P37, "✗") + COUNTIF(P18:P37, "x") + COUNTIF(P18:P37, "X")), "")</f>
        <v/>
      </c>
      <c r="Q38" s="33">
        <f>IF(((COUNTIF(Q18:Q37, "✓") + COUNTIF(Q18:Q37, "✔") + COUNTIF(Q18:Q37, "v") + COUNTIF(Q18:Q37, "V")) + COUNTIF(Q18:Q37, "✗") + COUNTIF(Q18:Q37, "x") + COUNTIF(Q18:Q37, "X")) &gt; 0, (COUNTIF(Q18:Q37, "✓") + COUNTIF(Q18:Q37, "✔") + COUNTIF(Q18:Q37, "v") + COUNTIF(Q18:Q37, "V")) &amp; "/" &amp; ((COUNTIF(Q18:Q37, "✓") + COUNTIF(Q18:Q37, "✔") + COUNTIF(Q18:Q37, "v") + COUNTIF(Q18:Q37, "V")) + COUNTIF(Q18:Q37, "✗") + COUNTIF(Q18:Q37, "x") + COUNTIF(Q18:Q37, "X")), "")</f>
        <v/>
      </c>
      <c r="R38" s="33">
        <f>IF(((COUNTIF(R18:R37, "✓") + COUNTIF(R18:R37, "✔") + COUNTIF(R18:R37, "v") + COUNTIF(R18:R37, "V")) + COUNTIF(R18:R37, "✗") + COUNTIF(R18:R37, "x") + COUNTIF(R18:R37, "X")) &gt; 0, (COUNTIF(R18:R37, "✓") + COUNTIF(R18:R37, "✔") + COUNTIF(R18:R37, "v") + COUNTIF(R18:R37, "V")) &amp; "/" &amp; ((COUNTIF(R18:R37, "✓") + COUNTIF(R18:R37, "✔") + COUNTIF(R18:R37, "v") + COUNTIF(R18:R37, "V")) + COUNTIF(R18:R37, "✗") + COUNTIF(R18:R37, "x") + COUNTIF(R18:R37, "X")), "")</f>
        <v/>
      </c>
      <c r="S38" s="33">
        <f>IF(((COUNTIF(S18:S37, "✓") + COUNTIF(S18:S37, "✔") + COUNTIF(S18:S37, "v") + COUNTIF(S18:S37, "V")) + COUNTIF(S18:S37, "✗") + COUNTIF(S18:S37, "x") + COUNTIF(S18:S37, "X")) &gt; 0, (COUNTIF(S18:S37, "✓") + COUNTIF(S18:S37, "✔") + COUNTIF(S18:S37, "v") + COUNTIF(S18:S37, "V")) &amp; "/" &amp; ((COUNTIF(S18:S37, "✓") + COUNTIF(S18:S37, "✔") + COUNTIF(S18:S37, "v") + COUNTIF(S18:S37, "V")) + COUNTIF(S18:S37, "✗") + COUNTIF(S18:S37, "x") + COUNTIF(S18:S37, "X")), "")</f>
        <v/>
      </c>
      <c r="T38" s="33">
        <f>IF(((COUNTIF(T18:T37, "✓") + COUNTIF(T18:T37, "✔") + COUNTIF(T18:T37, "v") + COUNTIF(T18:T37, "V")) + COUNTIF(T18:T37, "✗") + COUNTIF(T18:T37, "x") + COUNTIF(T18:T37, "X")) &gt; 0, (COUNTIF(T18:T37, "✓") + COUNTIF(T18:T37, "✔") + COUNTIF(T18:T37, "v") + COUNTIF(T18:T37, "V")) &amp; "/" &amp; ((COUNTIF(T18:T37, "✓") + COUNTIF(T18:T37, "✔") + COUNTIF(T18:T37, "v") + COUNTIF(T18:T37, "V")) + COUNTIF(T18:T37, "✗") + COUNTIF(T18:T37, "x") + COUNTIF(T18:T37, "X")), "")</f>
        <v/>
      </c>
      <c r="U38" s="33">
        <f>IF(((COUNTIF(U18:U37, "✓") + COUNTIF(U18:U37, "✔") + COUNTIF(U18:U37, "v") + COUNTIF(U18:U37, "V")) + COUNTIF(U18:U37, "✗") + COUNTIF(U18:U37, "x") + COUNTIF(U18:U37, "X")) &gt; 0, (COUNTIF(U18:U37, "✓") + COUNTIF(U18:U37, "✔") + COUNTIF(U18:U37, "v") + COUNTIF(U18:U37, "V")) &amp; "/" &amp; ((COUNTIF(U18:U37, "✓") + COUNTIF(U18:U37, "✔") + COUNTIF(U18:U37, "v") + COUNTIF(U18:U37, "V")) + COUNTIF(U18:U37, "✗") + COUNTIF(U18:U37, "x") + COUNTIF(U18:U37, "X")), "")</f>
        <v/>
      </c>
      <c r="V38" s="33">
        <f>IF(((COUNTIF(V18:V37, "✓") + COUNTIF(V18:V37, "✔") + COUNTIF(V18:V37, "v") + COUNTIF(V18:V37, "V")) + COUNTIF(V18:V37, "✗") + COUNTIF(V18:V37, "x") + COUNTIF(V18:V37, "X")) &gt; 0, (COUNTIF(V18:V37, "✓") + COUNTIF(V18:V37, "✔") + COUNTIF(V18:V37, "v") + COUNTIF(V18:V37, "V")) &amp; "/" &amp; ((COUNTIF(V18:V37, "✓") + COUNTIF(V18:V37, "✔") + COUNTIF(V18:V37, "v") + COUNTIF(V18:V37, "V")) + COUNTIF(V18:V37, "✗") + COUNTIF(V18:V37, "x") + COUNTIF(V18:V37, "X")), "")</f>
        <v/>
      </c>
      <c r="W38" s="33">
        <f>IF(((COUNTIF(W18:W37, "✓") + COUNTIF(W18:W37, "✔") + COUNTIF(W18:W37, "v") + COUNTIF(W18:W37, "V")) + COUNTIF(W18:W37, "✗") + COUNTIF(W18:W37, "x") + COUNTIF(W18:W37, "X")) &gt; 0, (COUNTIF(W18:W37, "✓") + COUNTIF(W18:W37, "✔") + COUNTIF(W18:W37, "v") + COUNTIF(W18:W37, "V")) &amp; "/" &amp; ((COUNTIF(W18:W37, "✓") + COUNTIF(W18:W37, "✔") + COUNTIF(W18:W37, "v") + COUNTIF(W18:W37, "V")) + COUNTIF(W18:W37, "✗") + COUNTIF(W18:W37, "x") + COUNTIF(W18:W37, "X")), "")</f>
        <v/>
      </c>
      <c r="X38" s="33">
        <f>IF(((COUNTIF(X18:X37, "✓") + COUNTIF(X18:X37, "✔") + COUNTIF(X18:X37, "v") + COUNTIF(X18:X37, "V")) + COUNTIF(X18:X37, "✗") + COUNTIF(X18:X37, "x") + COUNTIF(X18:X37, "X")) &gt; 0, (COUNTIF(X18:X37, "✓") + COUNTIF(X18:X37, "✔") + COUNTIF(X18:X37, "v") + COUNTIF(X18:X37, "V")) &amp; "/" &amp; ((COUNTIF(X18:X37, "✓") + COUNTIF(X18:X37, "✔") + COUNTIF(X18:X37, "v") + COUNTIF(X18:X37, "V")) + COUNTIF(X18:X37, "✗") + COUNTIF(X18:X37, "x") + COUNTIF(X18:X37, "X")), "")</f>
        <v/>
      </c>
      <c r="Y38" s="33">
        <f>IF(((COUNTIF(Y18:Y37, "✓") + COUNTIF(Y18:Y37, "✔") + COUNTIF(Y18:Y37, "v") + COUNTIF(Y18:Y37, "V")) + COUNTIF(Y18:Y37, "✗") + COUNTIF(Y18:Y37, "x") + COUNTIF(Y18:Y37, "X")) &gt; 0, (COUNTIF(Y18:Y37, "✓") + COUNTIF(Y18:Y37, "✔") + COUNTIF(Y18:Y37, "v") + COUNTIF(Y18:Y37, "V")) &amp; "/" &amp; ((COUNTIF(Y18:Y37, "✓") + COUNTIF(Y18:Y37, "✔") + COUNTIF(Y18:Y37, "v") + COUNTIF(Y18:Y37, "V")) + COUNTIF(Y18:Y37, "✗") + COUNTIF(Y18:Y37, "x") + COUNTIF(Y18:Y37, "X")), "")</f>
        <v/>
      </c>
      <c r="Z38" s="33">
        <f>IF(((COUNTIF(Z18:Z37, "✓") + COUNTIF(Z18:Z37, "✔") + COUNTIF(Z18:Z37, "v") + COUNTIF(Z18:Z37, "V")) + COUNTIF(Z18:Z37, "✗") + COUNTIF(Z18:Z37, "x") + COUNTIF(Z18:Z37, "X")) &gt; 0, (COUNTIF(Z18:Z37, "✓") + COUNTIF(Z18:Z37, "✔") + COUNTIF(Z18:Z37, "v") + COUNTIF(Z18:Z37, "V")) &amp; "/" &amp; ((COUNTIF(Z18:Z37, "✓") + COUNTIF(Z18:Z37, "✔") + COUNTIF(Z18:Z37, "v") + COUNTIF(Z18:Z37, "V")) + COUNTIF(Z18:Z37, "✗") + COUNTIF(Z18:Z37, "x") + COUNTIF(Z18:Z37, "X")), "")</f>
        <v/>
      </c>
      <c r="AA38" s="33">
        <f>IF(((COUNTIF(AA18:AA37, "✓") + COUNTIF(AA18:AA37, "✔") + COUNTIF(AA18:AA37, "v") + COUNTIF(AA18:AA37, "V")) + COUNTIF(AA18:AA37, "✗") + COUNTIF(AA18:AA37, "x") + COUNTIF(AA18:AA37, "X")) &gt; 0, (COUNTIF(AA18:AA37, "✓") + COUNTIF(AA18:AA37, "✔") + COUNTIF(AA18:AA37, "v") + COUNTIF(AA18:AA37, "V")) &amp; "/" &amp; ((COUNTIF(AA18:AA37, "✓") + COUNTIF(AA18:AA37, "✔") + COUNTIF(AA18:AA37, "v") + COUNTIF(AA18:AA37, "V")) + COUNTIF(AA18:AA37, "✗") + COUNTIF(AA18:AA37, "x") + COUNTIF(AA18:AA37, "X")), "")</f>
        <v/>
      </c>
      <c r="AB38" s="33">
        <f>IF(((COUNTIF(AB18:AB37, "✓") + COUNTIF(AB18:AB37, "✔") + COUNTIF(AB18:AB37, "v") + COUNTIF(AB18:AB37, "V")) + COUNTIF(AB18:AB37, "✗") + COUNTIF(AB18:AB37, "x") + COUNTIF(AB18:AB37, "X")) &gt; 0, (COUNTIF(AB18:AB37, "✓") + COUNTIF(AB18:AB37, "✔") + COUNTIF(AB18:AB37, "v") + COUNTIF(AB18:AB37, "V")) &amp; "/" &amp; ((COUNTIF(AB18:AB37, "✓") + COUNTIF(AB18:AB37, "✔") + COUNTIF(AB18:AB37, "v") + COUNTIF(AB18:AB37, "V")) + COUNTIF(AB18:AB37, "✗") + COUNTIF(AB18:AB37, "x") + COUNTIF(AB18:AB37, "X")), "")</f>
        <v/>
      </c>
      <c r="AC38" s="33">
        <f>IF(((COUNTIF(AC18:AC37, "✓") + COUNTIF(AC18:AC37, "✔") + COUNTIF(AC18:AC37, "v") + COUNTIF(AC18:AC37, "V")) + COUNTIF(AC18:AC37, "✗") + COUNTIF(AC18:AC37, "x") + COUNTIF(AC18:AC37, "X")) &gt; 0, (COUNTIF(AC18:AC37, "✓") + COUNTIF(AC18:AC37, "✔") + COUNTIF(AC18:AC37, "v") + COUNTIF(AC18:AC37, "V")) &amp; "/" &amp; ((COUNTIF(AC18:AC37, "✓") + COUNTIF(AC18:AC37, "✔") + COUNTIF(AC18:AC37, "v") + COUNTIF(AC18:AC37, "V")) + COUNTIF(AC18:AC37, "✗") + COUNTIF(AC18:AC37, "x") + COUNTIF(AC18:AC37, "X")), "")</f>
        <v/>
      </c>
      <c r="AD38" s="33">
        <f>IF(((COUNTIF(AD18:AD37, "✓") + COUNTIF(AD18:AD37, "✔") + COUNTIF(AD18:AD37, "v") + COUNTIF(AD18:AD37, "V")) + COUNTIF(AD18:AD37, "✗") + COUNTIF(AD18:AD37, "x") + COUNTIF(AD18:AD37, "X")) &gt; 0, (COUNTIF(AD18:AD37, "✓") + COUNTIF(AD18:AD37, "✔") + COUNTIF(AD18:AD37, "v") + COUNTIF(AD18:AD37, "V")) &amp; "/" &amp; ((COUNTIF(AD18:AD37, "✓") + COUNTIF(AD18:AD37, "✔") + COUNTIF(AD18:AD37, "v") + COUNTIF(AD18:AD37, "V")) + COUNTIF(AD18:AD37, "✗") + COUNTIF(AD18:AD37, "x") + COUNTIF(AD18:AD37, "X")), "")</f>
        <v/>
      </c>
      <c r="AE38" s="33">
        <f>IF(((COUNTIF(AE18:AE37, "✓") + COUNTIF(AE18:AE37, "✔") + COUNTIF(AE18:AE37, "v") + COUNTIF(AE18:AE37, "V")) + COUNTIF(AE18:AE37, "✗") + COUNTIF(AE18:AE37, "x") + COUNTIF(AE18:AE37, "X")) &gt; 0, (COUNTIF(AE18:AE37, "✓") + COUNTIF(AE18:AE37, "✔") + COUNTIF(AE18:AE37, "v") + COUNTIF(AE18:AE37, "V")) &amp; "/" &amp; ((COUNTIF(AE18:AE37, "✓") + COUNTIF(AE18:AE37, "✔") + COUNTIF(AE18:AE37, "v") + COUNTIF(AE18:AE37, "V")) + COUNTIF(AE18:AE37, "✗") + COUNTIF(AE18:AE37, "x") + COUNTIF(AE18:AE37, "X")), "")</f>
        <v/>
      </c>
      <c r="AF38" s="33">
        <f>IF(((COUNTIF(AF18:AF37, "✓") + COUNTIF(AF18:AF37, "✔") + COUNTIF(AF18:AF37, "v") + COUNTIF(AF18:AF37, "V")) + COUNTIF(AF18:AF37, "✗") + COUNTIF(AF18:AF37, "x") + COUNTIF(AF18:AF37, "X")) &gt; 0, (COUNTIF(AF18:AF37, "✓") + COUNTIF(AF18:AF37, "✔") + COUNTIF(AF18:AF37, "v") + COUNTIF(AF18:AF37, "V")) &amp; "/" &amp; ((COUNTIF(AF18:AF37, "✓") + COUNTIF(AF18:AF37, "✔") + COUNTIF(AF18:AF37, "v") + COUNTIF(AF18:AF37, "V")) + COUNTIF(AF18:AF37, "✗") + COUNTIF(AF18:AF37, "x") + COUNTIF(AF18:AF37, "X")), "")</f>
        <v/>
      </c>
      <c r="AG38" s="33">
        <f>IF(((COUNTIF(AG18:AG37, "✓") + COUNTIF(AG18:AG37, "✔") + COUNTIF(AG18:AG37, "v") + COUNTIF(AG18:AG37, "V")) + COUNTIF(AG18:AG37, "✗") + COUNTIF(AG18:AG37, "x") + COUNTIF(AG18:AG37, "X")) &gt; 0, (COUNTIF(AG18:AG37, "✓") + COUNTIF(AG18:AG37, "✔") + COUNTIF(AG18:AG37, "v") + COUNTIF(AG18:AG37, "V")) &amp; "/" &amp; ((COUNTIF(AG18:AG37, "✓") + COUNTIF(AG18:AG37, "✔") + COUNTIF(AG18:AG37, "v") + COUNTIF(AG18:AG37, "V")) + COUNTIF(AG18:AG37, "✗") + COUNTIF(AG18:AG37, "x") + COUNTIF(AG18:AG37, "X")), "")</f>
        <v/>
      </c>
      <c r="AH38" s="33">
        <f>IF(((COUNTIF(AH18:AH37, "✓") + COUNTIF(AH18:AH37, "✔") + COUNTIF(AH18:AH37, "v") + COUNTIF(AH18:AH37, "V")) + COUNTIF(AH18:AH37, "✗") + COUNTIF(AH18:AH37, "x") + COUNTIF(AH18:AH37, "X")) &gt; 0, (COUNTIF(AH18:AH37, "✓") + COUNTIF(AH18:AH37, "✔") + COUNTIF(AH18:AH37, "v") + COUNTIF(AH18:AH37, "V")) &amp; "/" &amp; ((COUNTIF(AH18:AH37, "✓") + COUNTIF(AH18:AH37, "✔") + COUNTIF(AH18:AH37, "v") + COUNTIF(AH18:AH37, "V")) + COUNTIF(AH18:AH37, "✗") + COUNTIF(AH18:AH37, "x") + COUNTIF(AH18:AH37, "X")), "")</f>
        <v/>
      </c>
      <c r="AI38" s="33">
        <f>IF(((COUNTIF(AI18:AI37, "✓") + COUNTIF(AI18:AI37, "✔") + COUNTIF(AI18:AI37, "v") + COUNTIF(AI18:AI37, "V")) + COUNTIF(AI18:AI37, "✗") + COUNTIF(AI18:AI37, "x") + COUNTIF(AI18:AI37, "X")) &gt; 0, (COUNTIF(AI18:AI37, "✓") + COUNTIF(AI18:AI37, "✔") + COUNTIF(AI18:AI37, "v") + COUNTIF(AI18:AI37, "V")) &amp; "/" &amp; ((COUNTIF(AI18:AI37, "✓") + COUNTIF(AI18:AI37, "✔") + COUNTIF(AI18:AI37, "v") + COUNTIF(AI18:AI37, "V")) + COUNTIF(AI18:AI37, "✗") + COUNTIF(AI18:AI37, "x") + COUNTIF(AI18:AI37, "X")), "")</f>
        <v/>
      </c>
      <c r="AJ38" s="133">
        <f>IF(SUM(D18:D37) &gt; 0, SUM(AM18:AM37) / SUM(D18:D37), "")</f>
        <v/>
      </c>
      <c r="AK38" s="33">
        <f>IF(SUM(D18:D37) &gt; 0, SUM(AM18:AM37) &amp; "/" &amp; SUM(D18:D37), "")</f>
        <v/>
      </c>
      <c r="AL38" s="54" t="n"/>
    </row>
    <row r="39" ht="18" customHeight="1">
      <c r="A39" s="132" t="inlineStr">
        <is>
          <t>DAILY SUCCESS %</t>
        </is>
      </c>
      <c r="B39" s="54" t="n"/>
      <c r="C39" s="54" t="n"/>
      <c r="D39" s="54" t="n"/>
      <c r="E39" s="134">
        <f>IF(((COUNTIF(E18:E37, "✓") + COUNTIF(E18:E37, "✔") + COUNTIF(E18:E37, "v") + COUNTIF(E18:E37, "V")) + COUNTIF(E18:E37, "✗") + COUNTIF(E18:E37, "x") + COUNTIF(E18:E37, "X")) &gt; 0, (COUNTIF(E18:E37, "✓") + COUNTIF(E18:E37, "✔") + COUNTIF(E18:E37, "v") + COUNTIF(E18:E37, "V")) / ((COUNTIF(E18:E37, "✓") + COUNTIF(E18:E37, "✔") + COUNTIF(E18:E37, "v") + COUNTIF(E18:E37, "V")) + COUNTIF(E18:E37, "✗") + COUNTIF(E18:E37, "x") + COUNTIF(E18:E37, "X")), "")</f>
        <v/>
      </c>
      <c r="F39" s="134">
        <f>IF(((COUNTIF(F18:F37, "✓") + COUNTIF(F18:F37, "✔") + COUNTIF(F18:F37, "v") + COUNTIF(F18:F37, "V")) + COUNTIF(F18:F37, "✗") + COUNTIF(F18:F37, "x") + COUNTIF(F18:F37, "X")) &gt; 0, (COUNTIF(F18:F37, "✓") + COUNTIF(F18:F37, "✔") + COUNTIF(F18:F37, "v") + COUNTIF(F18:F37, "V")) / ((COUNTIF(F18:F37, "✓") + COUNTIF(F18:F37, "✔") + COUNTIF(F18:F37, "v") + COUNTIF(F18:F37, "V")) + COUNTIF(F18:F37, "✗") + COUNTIF(F18:F37, "x") + COUNTIF(F18:F37, "X")), "")</f>
        <v/>
      </c>
      <c r="G39" s="134">
        <f>IF(((COUNTIF(G18:G37, "✓") + COUNTIF(G18:G37, "✔") + COUNTIF(G18:G37, "v") + COUNTIF(G18:G37, "V")) + COUNTIF(G18:G37, "✗") + COUNTIF(G18:G37, "x") + COUNTIF(G18:G37, "X")) &gt; 0, (COUNTIF(G18:G37, "✓") + COUNTIF(G18:G37, "✔") + COUNTIF(G18:G37, "v") + COUNTIF(G18:G37, "V")) / ((COUNTIF(G18:G37, "✓") + COUNTIF(G18:G37, "✔") + COUNTIF(G18:G37, "v") + COUNTIF(G18:G37, "V")) + COUNTIF(G18:G37, "✗") + COUNTIF(G18:G37, "x") + COUNTIF(G18:G37, "X")), "")</f>
        <v/>
      </c>
      <c r="H39" s="134">
        <f>IF(((COUNTIF(H18:H37, "✓") + COUNTIF(H18:H37, "✔") + COUNTIF(H18:H37, "v") + COUNTIF(H18:H37, "V")) + COUNTIF(H18:H37, "✗") + COUNTIF(H18:H37, "x") + COUNTIF(H18:H37, "X")) &gt; 0, (COUNTIF(H18:H37, "✓") + COUNTIF(H18:H37, "✔") + COUNTIF(H18:H37, "v") + COUNTIF(H18:H37, "V")) / ((COUNTIF(H18:H37, "✓") + COUNTIF(H18:H37, "✔") + COUNTIF(H18:H37, "v") + COUNTIF(H18:H37, "V")) + COUNTIF(H18:H37, "✗") + COUNTIF(H18:H37, "x") + COUNTIF(H18:H37, "X")), "")</f>
        <v/>
      </c>
      <c r="I39" s="134">
        <f>IF(((COUNTIF(I18:I37, "✓") + COUNTIF(I18:I37, "✔") + COUNTIF(I18:I37, "v") + COUNTIF(I18:I37, "V")) + COUNTIF(I18:I37, "✗") + COUNTIF(I18:I37, "x") + COUNTIF(I18:I37, "X")) &gt; 0, (COUNTIF(I18:I37, "✓") + COUNTIF(I18:I37, "✔") + COUNTIF(I18:I37, "v") + COUNTIF(I18:I37, "V")) / ((COUNTIF(I18:I37, "✓") + COUNTIF(I18:I37, "✔") + COUNTIF(I18:I37, "v") + COUNTIF(I18:I37, "V")) + COUNTIF(I18:I37, "✗") + COUNTIF(I18:I37, "x") + COUNTIF(I18:I37, "X")), "")</f>
        <v/>
      </c>
      <c r="J39" s="134">
        <f>IF(((COUNTIF(J18:J37, "✓") + COUNTIF(J18:J37, "✔") + COUNTIF(J18:J37, "v") + COUNTIF(J18:J37, "V")) + COUNTIF(J18:J37, "✗") + COUNTIF(J18:J37, "x") + COUNTIF(J18:J37, "X")) &gt; 0, (COUNTIF(J18:J37, "✓") + COUNTIF(J18:J37, "✔") + COUNTIF(J18:J37, "v") + COUNTIF(J18:J37, "V")) / ((COUNTIF(J18:J37, "✓") + COUNTIF(J18:J37, "✔") + COUNTIF(J18:J37, "v") + COUNTIF(J18:J37, "V")) + COUNTIF(J18:J37, "✗") + COUNTIF(J18:J37, "x") + COUNTIF(J18:J37, "X")), "")</f>
        <v/>
      </c>
      <c r="K39" s="134">
        <f>IF(((COUNTIF(K18:K37, "✓") + COUNTIF(K18:K37, "✔") + COUNTIF(K18:K37, "v") + COUNTIF(K18:K37, "V")) + COUNTIF(K18:K37, "✗") + COUNTIF(K18:K37, "x") + COUNTIF(K18:K37, "X")) &gt; 0, (COUNTIF(K18:K37, "✓") + COUNTIF(K18:K37, "✔") + COUNTIF(K18:K37, "v") + COUNTIF(K18:K37, "V")) / ((COUNTIF(K18:K37, "✓") + COUNTIF(K18:K37, "✔") + COUNTIF(K18:K37, "v") + COUNTIF(K18:K37, "V")) + COUNTIF(K18:K37, "✗") + COUNTIF(K18:K37, "x") + COUNTIF(K18:K37, "X")), "")</f>
        <v/>
      </c>
      <c r="L39" s="134">
        <f>IF(((COUNTIF(L18:L37, "✓") + COUNTIF(L18:L37, "✔") + COUNTIF(L18:L37, "v") + COUNTIF(L18:L37, "V")) + COUNTIF(L18:L37, "✗") + COUNTIF(L18:L37, "x") + COUNTIF(L18:L37, "X")) &gt; 0, (COUNTIF(L18:L37, "✓") + COUNTIF(L18:L37, "✔") + COUNTIF(L18:L37, "v") + COUNTIF(L18:L37, "V")) / ((COUNTIF(L18:L37, "✓") + COUNTIF(L18:L37, "✔") + COUNTIF(L18:L37, "v") + COUNTIF(L18:L37, "V")) + COUNTIF(L18:L37, "✗") + COUNTIF(L18:L37, "x") + COUNTIF(L18:L37, "X")), "")</f>
        <v/>
      </c>
      <c r="M39" s="134">
        <f>IF(((COUNTIF(M18:M37, "✓") + COUNTIF(M18:M37, "✔") + COUNTIF(M18:M37, "v") + COUNTIF(M18:M37, "V")) + COUNTIF(M18:M37, "✗") + COUNTIF(M18:M37, "x") + COUNTIF(M18:M37, "X")) &gt; 0, (COUNTIF(M18:M37, "✓") + COUNTIF(M18:M37, "✔") + COUNTIF(M18:M37, "v") + COUNTIF(M18:M37, "V")) / ((COUNTIF(M18:M37, "✓") + COUNTIF(M18:M37, "✔") + COUNTIF(M18:M37, "v") + COUNTIF(M18:M37, "V")) + COUNTIF(M18:M37, "✗") + COUNTIF(M18:M37, "x") + COUNTIF(M18:M37, "X")), "")</f>
        <v/>
      </c>
      <c r="N39" s="134">
        <f>IF(((COUNTIF(N18:N37, "✓") + COUNTIF(N18:N37, "✔") + COUNTIF(N18:N37, "v") + COUNTIF(N18:N37, "V")) + COUNTIF(N18:N37, "✗") + COUNTIF(N18:N37, "x") + COUNTIF(N18:N37, "X")) &gt; 0, (COUNTIF(N18:N37, "✓") + COUNTIF(N18:N37, "✔") + COUNTIF(N18:N37, "v") + COUNTIF(N18:N37, "V")) / ((COUNTIF(N18:N37, "✓") + COUNTIF(N18:N37, "✔") + COUNTIF(N18:N37, "v") + COUNTIF(N18:N37, "V")) + COUNTIF(N18:N37, "✗") + COUNTIF(N18:N37, "x") + COUNTIF(N18:N37, "X")), "")</f>
        <v/>
      </c>
      <c r="O39" s="134">
        <f>IF(((COUNTIF(O18:O37, "✓") + COUNTIF(O18:O37, "✔") + COUNTIF(O18:O37, "v") + COUNTIF(O18:O37, "V")) + COUNTIF(O18:O37, "✗") + COUNTIF(O18:O37, "x") + COUNTIF(O18:O37, "X")) &gt; 0, (COUNTIF(O18:O37, "✓") + COUNTIF(O18:O37, "✔") + COUNTIF(O18:O37, "v") + COUNTIF(O18:O37, "V")) / ((COUNTIF(O18:O37, "✓") + COUNTIF(O18:O37, "✔") + COUNTIF(O18:O37, "v") + COUNTIF(O18:O37, "V")) + COUNTIF(O18:O37, "✗") + COUNTIF(O18:O37, "x") + COUNTIF(O18:O37, "X")), "")</f>
        <v/>
      </c>
      <c r="P39" s="134">
        <f>IF(((COUNTIF(P18:P37, "✓") + COUNTIF(P18:P37, "✔") + COUNTIF(P18:P37, "v") + COUNTIF(P18:P37, "V")) + COUNTIF(P18:P37, "✗") + COUNTIF(P18:P37, "x") + COUNTIF(P18:P37, "X")) &gt; 0, (COUNTIF(P18:P37, "✓") + COUNTIF(P18:P37, "✔") + COUNTIF(P18:P37, "v") + COUNTIF(P18:P37, "V")) / ((COUNTIF(P18:P37, "✓") + COUNTIF(P18:P37, "✔") + COUNTIF(P18:P37, "v") + COUNTIF(P18:P37, "V")) + COUNTIF(P18:P37, "✗") + COUNTIF(P18:P37, "x") + COUNTIF(P18:P37, "X")), "")</f>
        <v/>
      </c>
      <c r="Q39" s="134">
        <f>IF(((COUNTIF(Q18:Q37, "✓") + COUNTIF(Q18:Q37, "✔") + COUNTIF(Q18:Q37, "v") + COUNTIF(Q18:Q37, "V")) + COUNTIF(Q18:Q37, "✗") + COUNTIF(Q18:Q37, "x") + COUNTIF(Q18:Q37, "X")) &gt; 0, (COUNTIF(Q18:Q37, "✓") + COUNTIF(Q18:Q37, "✔") + COUNTIF(Q18:Q37, "v") + COUNTIF(Q18:Q37, "V")) / ((COUNTIF(Q18:Q37, "✓") + COUNTIF(Q18:Q37, "✔") + COUNTIF(Q18:Q37, "v") + COUNTIF(Q18:Q37, "V")) + COUNTIF(Q18:Q37, "✗") + COUNTIF(Q18:Q37, "x") + COUNTIF(Q18:Q37, "X")), "")</f>
        <v/>
      </c>
      <c r="R39" s="134">
        <f>IF(((COUNTIF(R18:R37, "✓") + COUNTIF(R18:R37, "✔") + COUNTIF(R18:R37, "v") + COUNTIF(R18:R37, "V")) + COUNTIF(R18:R37, "✗") + COUNTIF(R18:R37, "x") + COUNTIF(R18:R37, "X")) &gt; 0, (COUNTIF(R18:R37, "✓") + COUNTIF(R18:R37, "✔") + COUNTIF(R18:R37, "v") + COUNTIF(R18:R37, "V")) / ((COUNTIF(R18:R37, "✓") + COUNTIF(R18:R37, "✔") + COUNTIF(R18:R37, "v") + COUNTIF(R18:R37, "V")) + COUNTIF(R18:R37, "✗") + COUNTIF(R18:R37, "x") + COUNTIF(R18:R37, "X")), "")</f>
        <v/>
      </c>
      <c r="S39" s="134">
        <f>IF(((COUNTIF(S18:S37, "✓") + COUNTIF(S18:S37, "✔") + COUNTIF(S18:S37, "v") + COUNTIF(S18:S37, "V")) + COUNTIF(S18:S37, "✗") + COUNTIF(S18:S37, "x") + COUNTIF(S18:S37, "X")) &gt; 0, (COUNTIF(S18:S37, "✓") + COUNTIF(S18:S37, "✔") + COUNTIF(S18:S37, "v") + COUNTIF(S18:S37, "V")) / ((COUNTIF(S18:S37, "✓") + COUNTIF(S18:S37, "✔") + COUNTIF(S18:S37, "v") + COUNTIF(S18:S37, "V")) + COUNTIF(S18:S37, "✗") + COUNTIF(S18:S37, "x") + COUNTIF(S18:S37, "X")), "")</f>
        <v/>
      </c>
      <c r="T39" s="134">
        <f>IF(((COUNTIF(T18:T37, "✓") + COUNTIF(T18:T37, "✔") + COUNTIF(T18:T37, "v") + COUNTIF(T18:T37, "V")) + COUNTIF(T18:T37, "✗") + COUNTIF(T18:T37, "x") + COUNTIF(T18:T37, "X")) &gt; 0, (COUNTIF(T18:T37, "✓") + COUNTIF(T18:T37, "✔") + COUNTIF(T18:T37, "v") + COUNTIF(T18:T37, "V")) / ((COUNTIF(T18:T37, "✓") + COUNTIF(T18:T37, "✔") + COUNTIF(T18:T37, "v") + COUNTIF(T18:T37, "V")) + COUNTIF(T18:T37, "✗") + COUNTIF(T18:T37, "x") + COUNTIF(T18:T37, "X")), "")</f>
        <v/>
      </c>
      <c r="U39" s="134">
        <f>IF(((COUNTIF(U18:U37, "✓") + COUNTIF(U18:U37, "✔") + COUNTIF(U18:U37, "v") + COUNTIF(U18:U37, "V")) + COUNTIF(U18:U37, "✗") + COUNTIF(U18:U37, "x") + COUNTIF(U18:U37, "X")) &gt; 0, (COUNTIF(U18:U37, "✓") + COUNTIF(U18:U37, "✔") + COUNTIF(U18:U37, "v") + COUNTIF(U18:U37, "V")) / ((COUNTIF(U18:U37, "✓") + COUNTIF(U18:U37, "✔") + COUNTIF(U18:U37, "v") + COUNTIF(U18:U37, "V")) + COUNTIF(U18:U37, "✗") + COUNTIF(U18:U37, "x") + COUNTIF(U18:U37, "X")), "")</f>
        <v/>
      </c>
      <c r="V39" s="134">
        <f>IF(((COUNTIF(V18:V37, "✓") + COUNTIF(V18:V37, "✔") + COUNTIF(V18:V37, "v") + COUNTIF(V18:V37, "V")) + COUNTIF(V18:V37, "✗") + COUNTIF(V18:V37, "x") + COUNTIF(V18:V37, "X")) &gt; 0, (COUNTIF(V18:V37, "✓") + COUNTIF(V18:V37, "✔") + COUNTIF(V18:V37, "v") + COUNTIF(V18:V37, "V")) / ((COUNTIF(V18:V37, "✓") + COUNTIF(V18:V37, "✔") + COUNTIF(V18:V37, "v") + COUNTIF(V18:V37, "V")) + COUNTIF(V18:V37, "✗") + COUNTIF(V18:V37, "x") + COUNTIF(V18:V37, "X")), "")</f>
        <v/>
      </c>
      <c r="W39" s="134">
        <f>IF(((COUNTIF(W18:W37, "✓") + COUNTIF(W18:W37, "✔") + COUNTIF(W18:W37, "v") + COUNTIF(W18:W37, "V")) + COUNTIF(W18:W37, "✗") + COUNTIF(W18:W37, "x") + COUNTIF(W18:W37, "X")) &gt; 0, (COUNTIF(W18:W37, "✓") + COUNTIF(W18:W37, "✔") + COUNTIF(W18:W37, "v") + COUNTIF(W18:W37, "V")) / ((COUNTIF(W18:W37, "✓") + COUNTIF(W18:W37, "✔") + COUNTIF(W18:W37, "v") + COUNTIF(W18:W37, "V")) + COUNTIF(W18:W37, "✗") + COUNTIF(W18:W37, "x") + COUNTIF(W18:W37, "X")), "")</f>
        <v/>
      </c>
      <c r="X39" s="134">
        <f>IF(((COUNTIF(X18:X37, "✓") + COUNTIF(X18:X37, "✔") + COUNTIF(X18:X37, "v") + COUNTIF(X18:X37, "V")) + COUNTIF(X18:X37, "✗") + COUNTIF(X18:X37, "x") + COUNTIF(X18:X37, "X")) &gt; 0, (COUNTIF(X18:X37, "✓") + COUNTIF(X18:X37, "✔") + COUNTIF(X18:X37, "v") + COUNTIF(X18:X37, "V")) / ((COUNTIF(X18:X37, "✓") + COUNTIF(X18:X37, "✔") + COUNTIF(X18:X37, "v") + COUNTIF(X18:X37, "V")) + COUNTIF(X18:X37, "✗") + COUNTIF(X18:X37, "x") + COUNTIF(X18:X37, "X")), "")</f>
        <v/>
      </c>
      <c r="Y39" s="134">
        <f>IF(((COUNTIF(Y18:Y37, "✓") + COUNTIF(Y18:Y37, "✔") + COUNTIF(Y18:Y37, "v") + COUNTIF(Y18:Y37, "V")) + COUNTIF(Y18:Y37, "✗") + COUNTIF(Y18:Y37, "x") + COUNTIF(Y18:Y37, "X")) &gt; 0, (COUNTIF(Y18:Y37, "✓") + COUNTIF(Y18:Y37, "✔") + COUNTIF(Y18:Y37, "v") + COUNTIF(Y18:Y37, "V")) / ((COUNTIF(Y18:Y37, "✓") + COUNTIF(Y18:Y37, "✔") + COUNTIF(Y18:Y37, "v") + COUNTIF(Y18:Y37, "V")) + COUNTIF(Y18:Y37, "✗") + COUNTIF(Y18:Y37, "x") + COUNTIF(Y18:Y37, "X")), "")</f>
        <v/>
      </c>
      <c r="Z39" s="134">
        <f>IF(((COUNTIF(Z18:Z37, "✓") + COUNTIF(Z18:Z37, "✔") + COUNTIF(Z18:Z37, "v") + COUNTIF(Z18:Z37, "V")) + COUNTIF(Z18:Z37, "✗") + COUNTIF(Z18:Z37, "x") + COUNTIF(Z18:Z37, "X")) &gt; 0, (COUNTIF(Z18:Z37, "✓") + COUNTIF(Z18:Z37, "✔") + COUNTIF(Z18:Z37, "v") + COUNTIF(Z18:Z37, "V")) / ((COUNTIF(Z18:Z37, "✓") + COUNTIF(Z18:Z37, "✔") + COUNTIF(Z18:Z37, "v") + COUNTIF(Z18:Z37, "V")) + COUNTIF(Z18:Z37, "✗") + COUNTIF(Z18:Z37, "x") + COUNTIF(Z18:Z37, "X")), "")</f>
        <v/>
      </c>
      <c r="AA39" s="134">
        <f>IF(((COUNTIF(AA18:AA37, "✓") + COUNTIF(AA18:AA37, "✔") + COUNTIF(AA18:AA37, "v") + COUNTIF(AA18:AA37, "V")) + COUNTIF(AA18:AA37, "✗") + COUNTIF(AA18:AA37, "x") + COUNTIF(AA18:AA37, "X")) &gt; 0, (COUNTIF(AA18:AA37, "✓") + COUNTIF(AA18:AA37, "✔") + COUNTIF(AA18:AA37, "v") + COUNTIF(AA18:AA37, "V")) / ((COUNTIF(AA18:AA37, "✓") + COUNTIF(AA18:AA37, "✔") + COUNTIF(AA18:AA37, "v") + COUNTIF(AA18:AA37, "V")) + COUNTIF(AA18:AA37, "✗") + COUNTIF(AA18:AA37, "x") + COUNTIF(AA18:AA37, "X")), "")</f>
        <v/>
      </c>
      <c r="AB39" s="134">
        <f>IF(((COUNTIF(AB18:AB37, "✓") + COUNTIF(AB18:AB37, "✔") + COUNTIF(AB18:AB37, "v") + COUNTIF(AB18:AB37, "V")) + COUNTIF(AB18:AB37, "✗") + COUNTIF(AB18:AB37, "x") + COUNTIF(AB18:AB37, "X")) &gt; 0, (COUNTIF(AB18:AB37, "✓") + COUNTIF(AB18:AB37, "✔") + COUNTIF(AB18:AB37, "v") + COUNTIF(AB18:AB37, "V")) / ((COUNTIF(AB18:AB37, "✓") + COUNTIF(AB18:AB37, "✔") + COUNTIF(AB18:AB37, "v") + COUNTIF(AB18:AB37, "V")) + COUNTIF(AB18:AB37, "✗") + COUNTIF(AB18:AB37, "x") + COUNTIF(AB18:AB37, "X")), "")</f>
        <v/>
      </c>
      <c r="AC39" s="134">
        <f>IF(((COUNTIF(AC18:AC37, "✓") + COUNTIF(AC18:AC37, "✔") + COUNTIF(AC18:AC37, "v") + COUNTIF(AC18:AC37, "V")) + COUNTIF(AC18:AC37, "✗") + COUNTIF(AC18:AC37, "x") + COUNTIF(AC18:AC37, "X")) &gt; 0, (COUNTIF(AC18:AC37, "✓") + COUNTIF(AC18:AC37, "✔") + COUNTIF(AC18:AC37, "v") + COUNTIF(AC18:AC37, "V")) / ((COUNTIF(AC18:AC37, "✓") + COUNTIF(AC18:AC37, "✔") + COUNTIF(AC18:AC37, "v") + COUNTIF(AC18:AC37, "V")) + COUNTIF(AC18:AC37, "✗") + COUNTIF(AC18:AC37, "x") + COUNTIF(AC18:AC37, "X")), "")</f>
        <v/>
      </c>
      <c r="AD39" s="134">
        <f>IF(((COUNTIF(AD18:AD37, "✓") + COUNTIF(AD18:AD37, "✔") + COUNTIF(AD18:AD37, "v") + COUNTIF(AD18:AD37, "V")) + COUNTIF(AD18:AD37, "✗") + COUNTIF(AD18:AD37, "x") + COUNTIF(AD18:AD37, "X")) &gt; 0, (COUNTIF(AD18:AD37, "✓") + COUNTIF(AD18:AD37, "✔") + COUNTIF(AD18:AD37, "v") + COUNTIF(AD18:AD37, "V")) / ((COUNTIF(AD18:AD37, "✓") + COUNTIF(AD18:AD37, "✔") + COUNTIF(AD18:AD37, "v") + COUNTIF(AD18:AD37, "V")) + COUNTIF(AD18:AD37, "✗") + COUNTIF(AD18:AD37, "x") + COUNTIF(AD18:AD37, "X")), "")</f>
        <v/>
      </c>
      <c r="AE39" s="134">
        <f>IF(((COUNTIF(AE18:AE37, "✓") + COUNTIF(AE18:AE37, "✔") + COUNTIF(AE18:AE37, "v") + COUNTIF(AE18:AE37, "V")) + COUNTIF(AE18:AE37, "✗") + COUNTIF(AE18:AE37, "x") + COUNTIF(AE18:AE37, "X")) &gt; 0, (COUNTIF(AE18:AE37, "✓") + COUNTIF(AE18:AE37, "✔") + COUNTIF(AE18:AE37, "v") + COUNTIF(AE18:AE37, "V")) / ((COUNTIF(AE18:AE37, "✓") + COUNTIF(AE18:AE37, "✔") + COUNTIF(AE18:AE37, "v") + COUNTIF(AE18:AE37, "V")) + COUNTIF(AE18:AE37, "✗") + COUNTIF(AE18:AE37, "x") + COUNTIF(AE18:AE37, "X")), "")</f>
        <v/>
      </c>
      <c r="AF39" s="134">
        <f>IF(((COUNTIF(AF18:AF37, "✓") + COUNTIF(AF18:AF37, "✔") + COUNTIF(AF18:AF37, "v") + COUNTIF(AF18:AF37, "V")) + COUNTIF(AF18:AF37, "✗") + COUNTIF(AF18:AF37, "x") + COUNTIF(AF18:AF37, "X")) &gt; 0, (COUNTIF(AF18:AF37, "✓") + COUNTIF(AF18:AF37, "✔") + COUNTIF(AF18:AF37, "v") + COUNTIF(AF18:AF37, "V")) / ((COUNTIF(AF18:AF37, "✓") + COUNTIF(AF18:AF37, "✔") + COUNTIF(AF18:AF37, "v") + COUNTIF(AF18:AF37, "V")) + COUNTIF(AF18:AF37, "✗") + COUNTIF(AF18:AF37, "x") + COUNTIF(AF18:AF37, "X")), "")</f>
        <v/>
      </c>
      <c r="AG39" s="134">
        <f>IF(((COUNTIF(AG18:AG37, "✓") + COUNTIF(AG18:AG37, "✔") + COUNTIF(AG18:AG37, "v") + COUNTIF(AG18:AG37, "V")) + COUNTIF(AG18:AG37, "✗") + COUNTIF(AG18:AG37, "x") + COUNTIF(AG18:AG37, "X")) &gt; 0, (COUNTIF(AG18:AG37, "✓") + COUNTIF(AG18:AG37, "✔") + COUNTIF(AG18:AG37, "v") + COUNTIF(AG18:AG37, "V")) / ((COUNTIF(AG18:AG37, "✓") + COUNTIF(AG18:AG37, "✔") + COUNTIF(AG18:AG37, "v") + COUNTIF(AG18:AG37, "V")) + COUNTIF(AG18:AG37, "✗") + COUNTIF(AG18:AG37, "x") + COUNTIF(AG18:AG37, "X")), "")</f>
        <v/>
      </c>
      <c r="AH39" s="134">
        <f>IF(((COUNTIF(AH18:AH37, "✓") + COUNTIF(AH18:AH37, "✔") + COUNTIF(AH18:AH37, "v") + COUNTIF(AH18:AH37, "V")) + COUNTIF(AH18:AH37, "✗") + COUNTIF(AH18:AH37, "x") + COUNTIF(AH18:AH37, "X")) &gt; 0, (COUNTIF(AH18:AH37, "✓") + COUNTIF(AH18:AH37, "✔") + COUNTIF(AH18:AH37, "v") + COUNTIF(AH18:AH37, "V")) / ((COUNTIF(AH18:AH37, "✓") + COUNTIF(AH18:AH37, "✔") + COUNTIF(AH18:AH37, "v") + COUNTIF(AH18:AH37, "V")) + COUNTIF(AH18:AH37, "✗") + COUNTIF(AH18:AH37, "x") + COUNTIF(AH18:AH37, "X")), "")</f>
        <v/>
      </c>
      <c r="AI39" s="134">
        <f>IF(((COUNTIF(AI18:AI37, "✓") + COUNTIF(AI18:AI37, "✔") + COUNTIF(AI18:AI37, "v") + COUNTIF(AI18:AI37, "V")) + COUNTIF(AI18:AI37, "✗") + COUNTIF(AI18:AI37, "x") + COUNTIF(AI18:AI37, "X")) &gt; 0, (COUNTIF(AI18:AI37, "✓") + COUNTIF(AI18:AI37, "✔") + COUNTIF(AI18:AI37, "v") + COUNTIF(AI18:AI37, "V")) / ((COUNTIF(AI18:AI37, "✓") + COUNTIF(AI18:AI37, "✔") + COUNTIF(AI18:AI37, "v") + COUNTIF(AI18:AI37, "V")) + COUNTIF(AI18:AI37, "✗") + COUNTIF(AI18:AI37, "x") + COUNTIF(AI18:AI37, "X")), "")</f>
        <v/>
      </c>
      <c r="AJ39" s="133">
        <f>IF(COUNT(E39:AI39) &gt; 0, AVERAGE(E39:AI39), "")</f>
        <v/>
      </c>
      <c r="AK39" s="54" t="n"/>
      <c r="AL39" s="54" t="n"/>
    </row>
    <row r="40" ht="6" customHeight="1"/>
    <row r="41" ht="15" customHeight="1">
      <c r="A41" s="135" t="inlineStr">
        <is>
          <t>IF SUCCESS &lt; 80%, PUNISHMENT: ________________________________________________</t>
        </is>
      </c>
    </row>
    <row r="42" ht="15" customHeight="1">
      <c r="A42" s="136" t="inlineStr">
        <is>
          <t>IF SUCCESS &gt; 90%, REWARD: __________________________________________________</t>
        </is>
      </c>
    </row>
    <row r="43" ht="10" customHeight="1"/>
    <row r="44" ht="10" customHeight="1"/>
    <row r="45" ht="15" customHeight="1">
      <c r="A45" s="51" t="inlineStr">
        <is>
          <t>Sleep Tracking</t>
        </is>
      </c>
      <c r="B45" s="52" t="n"/>
      <c r="C45" s="52" t="n"/>
      <c r="D45" s="52" t="n"/>
      <c r="E45" s="137" t="n">
        <v>1</v>
      </c>
      <c r="F45" s="137" t="n">
        <v>2</v>
      </c>
      <c r="G45" s="138" t="n">
        <v>3</v>
      </c>
      <c r="H45" s="137" t="n">
        <v>4</v>
      </c>
      <c r="I45" s="137" t="n">
        <v>5</v>
      </c>
      <c r="J45" s="137" t="n">
        <v>6</v>
      </c>
      <c r="K45" s="137" t="n">
        <v>7</v>
      </c>
      <c r="L45" s="137" t="n">
        <v>8</v>
      </c>
      <c r="M45" s="137" t="n">
        <v>9</v>
      </c>
      <c r="N45" s="138" t="n">
        <v>10</v>
      </c>
      <c r="O45" s="137" t="n">
        <v>11</v>
      </c>
      <c r="P45" s="137" t="n">
        <v>12</v>
      </c>
      <c r="Q45" s="137" t="n">
        <v>13</v>
      </c>
      <c r="R45" s="137" t="n">
        <v>14</v>
      </c>
      <c r="S45" s="137" t="n">
        <v>15</v>
      </c>
      <c r="T45" s="137" t="n">
        <v>16</v>
      </c>
      <c r="U45" s="138" t="n">
        <v>17</v>
      </c>
      <c r="V45" s="137" t="n">
        <v>18</v>
      </c>
      <c r="W45" s="137" t="n">
        <v>19</v>
      </c>
      <c r="X45" s="137" t="n">
        <v>20</v>
      </c>
      <c r="Y45" s="137" t="n">
        <v>21</v>
      </c>
      <c r="Z45" s="137" t="n">
        <v>22</v>
      </c>
      <c r="AA45" s="137" t="n">
        <v>23</v>
      </c>
      <c r="AB45" s="138" t="n">
        <v>24</v>
      </c>
      <c r="AC45" s="137" t="n">
        <v>25</v>
      </c>
      <c r="AD45" s="137" t="n">
        <v>26</v>
      </c>
      <c r="AE45" s="137" t="n">
        <v>27</v>
      </c>
      <c r="AF45" s="137" t="n">
        <v>28</v>
      </c>
      <c r="AG45" s="137" t="n">
        <v>29</v>
      </c>
      <c r="AH45" s="137" t="n">
        <v>30</v>
      </c>
      <c r="AI45" s="138" t="n">
        <v>31</v>
      </c>
    </row>
    <row r="46" ht="15" customHeight="1">
      <c r="A46" s="52" t="n"/>
      <c r="B46" s="52" t="n"/>
      <c r="C46" s="52" t="n"/>
      <c r="D46" s="52" t="n"/>
      <c r="E46" s="139" t="inlineStr">
        <is>
          <t>F</t>
        </is>
      </c>
      <c r="F46" s="139" t="inlineStr">
        <is>
          <t>Sa</t>
        </is>
      </c>
      <c r="G46" s="140" t="inlineStr">
        <is>
          <t>Su</t>
        </is>
      </c>
      <c r="H46" s="139" t="inlineStr">
        <is>
          <t>M</t>
        </is>
      </c>
      <c r="I46" s="139" t="inlineStr">
        <is>
          <t>T</t>
        </is>
      </c>
      <c r="J46" s="139" t="inlineStr">
        <is>
          <t>W</t>
        </is>
      </c>
      <c r="K46" s="139" t="inlineStr">
        <is>
          <t>Th</t>
        </is>
      </c>
      <c r="L46" s="139" t="inlineStr">
        <is>
          <t>F</t>
        </is>
      </c>
      <c r="M46" s="139" t="inlineStr">
        <is>
          <t>Sa</t>
        </is>
      </c>
      <c r="N46" s="140" t="inlineStr">
        <is>
          <t>Su</t>
        </is>
      </c>
      <c r="O46" s="139" t="inlineStr">
        <is>
          <t>M</t>
        </is>
      </c>
      <c r="P46" s="139" t="inlineStr">
        <is>
          <t>T</t>
        </is>
      </c>
      <c r="Q46" s="139" t="inlineStr">
        <is>
          <t>W</t>
        </is>
      </c>
      <c r="R46" s="139" t="inlineStr">
        <is>
          <t>Th</t>
        </is>
      </c>
      <c r="S46" s="139" t="inlineStr">
        <is>
          <t>F</t>
        </is>
      </c>
      <c r="T46" s="139" t="inlineStr">
        <is>
          <t>Sa</t>
        </is>
      </c>
      <c r="U46" s="140" t="inlineStr">
        <is>
          <t>Su</t>
        </is>
      </c>
      <c r="V46" s="139" t="inlineStr">
        <is>
          <t>M</t>
        </is>
      </c>
      <c r="W46" s="139" t="inlineStr">
        <is>
          <t>T</t>
        </is>
      </c>
      <c r="X46" s="139" t="inlineStr">
        <is>
          <t>W</t>
        </is>
      </c>
      <c r="Y46" s="139" t="inlineStr">
        <is>
          <t>Th</t>
        </is>
      </c>
      <c r="Z46" s="139" t="inlineStr">
        <is>
          <t>F</t>
        </is>
      </c>
      <c r="AA46" s="139" t="inlineStr">
        <is>
          <t>Sa</t>
        </is>
      </c>
      <c r="AB46" s="140" t="inlineStr">
        <is>
          <t>Su</t>
        </is>
      </c>
      <c r="AC46" s="139" t="inlineStr">
        <is>
          <t>M</t>
        </is>
      </c>
      <c r="AD46" s="139" t="inlineStr">
        <is>
          <t>T</t>
        </is>
      </c>
      <c r="AE46" s="139" t="inlineStr">
        <is>
          <t>W</t>
        </is>
      </c>
      <c r="AF46" s="139" t="inlineStr">
        <is>
          <t>Th</t>
        </is>
      </c>
      <c r="AG46" s="139" t="inlineStr">
        <is>
          <t>F</t>
        </is>
      </c>
      <c r="AH46" s="139" t="inlineStr">
        <is>
          <t>Sa</t>
        </is>
      </c>
      <c r="AI46" s="140" t="inlineStr">
        <is>
          <t>Su</t>
        </is>
      </c>
    </row>
    <row r="47" ht="20" customHeight="1">
      <c r="A47" s="141" t="inlineStr">
        <is>
          <t>Sleep Hours (1-24)</t>
        </is>
      </c>
      <c r="B47" s="142" t="n"/>
      <c r="C47" s="142" t="n"/>
      <c r="D47" s="142" t="n"/>
      <c r="E47" s="143" t="n"/>
      <c r="F47" s="143" t="n"/>
      <c r="G47" s="144" t="n"/>
      <c r="H47" s="143" t="n"/>
      <c r="I47" s="143" t="n"/>
      <c r="J47" s="143" t="n"/>
      <c r="K47" s="143" t="n"/>
      <c r="L47" s="143" t="n"/>
      <c r="M47" s="143" t="n"/>
      <c r="N47" s="144" t="n"/>
      <c r="O47" s="143" t="n"/>
      <c r="P47" s="143" t="n"/>
      <c r="Q47" s="143" t="n"/>
      <c r="R47" s="143" t="n"/>
      <c r="S47" s="143" t="n"/>
      <c r="T47" s="143" t="n"/>
      <c r="U47" s="144" t="n"/>
      <c r="V47" s="143" t="n"/>
      <c r="W47" s="143" t="n"/>
      <c r="X47" s="143" t="n"/>
      <c r="Y47" s="143" t="n"/>
      <c r="Z47" s="143" t="n"/>
      <c r="AA47" s="143" t="n"/>
      <c r="AB47" s="144" t="n"/>
      <c r="AC47" s="143" t="n"/>
      <c r="AD47" s="143" t="n"/>
      <c r="AE47" s="143" t="n"/>
      <c r="AF47" s="143" t="n"/>
      <c r="AG47" s="143" t="n"/>
      <c r="AH47" s="143" t="n"/>
      <c r="AI47" s="144" t="n"/>
    </row>
    <row r="48" ht="6" customHeight="1"/>
    <row r="49" ht="14" customHeight="1"/>
    <row r="50" ht="14" customHeight="1"/>
    <row r="51" ht="14" customHeight="1"/>
    <row r="52" ht="14" customHeight="1"/>
    <row r="53" ht="14" customHeight="1"/>
    <row r="54" ht="14" customHeight="1"/>
    <row r="55" ht="14" customHeight="1"/>
    <row r="56" ht="14" customHeight="1"/>
    <row r="57" ht="14" customHeight="1"/>
    <row r="58" ht="14" customHeight="1"/>
    <row r="59" ht="14" customHeight="1"/>
    <row r="60" ht="14" customHeight="1"/>
    <row r="61" ht="14" customHeight="1"/>
    <row r="62" ht="14" customHeight="1"/>
    <row r="63" ht="14" customHeight="1"/>
    <row r="64" ht="14" customHeight="1"/>
    <row r="65" ht="14" customHeight="1"/>
    <row r="66" ht="8" customHeight="1"/>
    <row r="67">
      <c r="A67" s="145" t="inlineStr">
        <is>
          <t>MONTHLY SUCCESS RATE</t>
        </is>
      </c>
      <c r="B67" s="9" t="n"/>
      <c r="C67" s="9" t="n"/>
      <c r="D67" s="9" t="n"/>
      <c r="F67" s="146" t="inlineStr">
        <is>
          <t>ACTIVE PROTOCOLS</t>
        </is>
      </c>
      <c r="G67" s="11" t="n"/>
      <c r="H67" s="11" t="n"/>
      <c r="I67" s="11" t="n"/>
      <c r="K67" s="147" t="inlineStr">
        <is>
          <t>PERFECT DAYS (100%)</t>
        </is>
      </c>
      <c r="L67" s="13" t="n"/>
      <c r="M67" s="13" t="n"/>
      <c r="N67" s="13" t="n"/>
      <c r="P67" s="148" t="inlineStr">
        <is>
          <t>AVG SLEEP DURATION</t>
        </is>
      </c>
      <c r="Q67" s="15" t="n"/>
      <c r="R67" s="15" t="n"/>
      <c r="S67" s="15" t="n"/>
    </row>
    <row r="68">
      <c r="A68" s="149">
        <f>IF(SUM(D18:D37)&gt;0, SUM(AM18:AM37)/SUM(D18:D37), 0)</f>
        <v/>
      </c>
      <c r="B68" s="9" t="n"/>
      <c r="C68" s="9" t="n"/>
      <c r="D68" s="9" t="n"/>
      <c r="F68" s="150">
        <f>COUNTA(B18:B37) &amp; " / 20"</f>
        <v/>
      </c>
      <c r="G68" s="11" t="n"/>
      <c r="H68" s="11" t="n"/>
      <c r="I68" s="11" t="n"/>
      <c r="K68" s="151">
        <f>COUNTIF(E39:AI39, 1) &amp; " Days"</f>
        <v/>
      </c>
      <c r="L68" s="13" t="n"/>
      <c r="M68" s="13" t="n"/>
      <c r="N68" s="13" t="n"/>
      <c r="P68" s="152">
        <f>IFERROR(TEXT(AVERAGE(E47:AI47), "0.0") &amp; " hrs", "-")</f>
        <v/>
      </c>
      <c r="Q68" s="15" t="n"/>
      <c r="R68" s="15" t="n"/>
      <c r="S68" s="15" t="n"/>
    </row>
    <row r="69">
      <c r="A69" s="9" t="n"/>
      <c r="B69" s="9" t="n"/>
      <c r="C69" s="9" t="n"/>
      <c r="D69" s="9" t="n"/>
      <c r="F69" s="11" t="n"/>
      <c r="G69" s="11" t="n"/>
      <c r="H69" s="11" t="n"/>
      <c r="I69" s="11" t="n"/>
      <c r="K69" s="13" t="n"/>
      <c r="L69" s="13" t="n"/>
      <c r="M69" s="13" t="n"/>
      <c r="N69" s="13" t="n"/>
      <c r="P69" s="15" t="n"/>
      <c r="Q69" s="15" t="n"/>
      <c r="R69" s="15" t="n"/>
      <c r="S69" s="15" t="n"/>
    </row>
    <row r="70">
      <c r="A70" s="9" t="n"/>
      <c r="B70" s="9" t="n"/>
      <c r="C70" s="9" t="n"/>
      <c r="D70" s="9" t="n"/>
      <c r="F70" s="11" t="n"/>
      <c r="G70" s="11" t="n"/>
      <c r="H70" s="11" t="n"/>
      <c r="I70" s="11" t="n"/>
      <c r="K70" s="13" t="n"/>
      <c r="L70" s="13" t="n"/>
      <c r="M70" s="13" t="n"/>
      <c r="N70" s="13" t="n"/>
      <c r="P70" s="15" t="n"/>
      <c r="Q70" s="15" t="n"/>
      <c r="R70" s="15" t="n"/>
      <c r="S70" s="15" t="n"/>
    </row>
    <row r="71">
      <c r="A71" s="153" t="inlineStr">
        <is>
          <t>Target Completion</t>
        </is>
      </c>
      <c r="B71" s="9" t="n"/>
      <c r="C71" s="9" t="n"/>
      <c r="D71" s="9" t="n"/>
      <c r="F71" s="154" t="inlineStr">
        <is>
          <t>Habits Tracked</t>
        </is>
      </c>
      <c r="G71" s="11" t="n"/>
      <c r="H71" s="11" t="n"/>
      <c r="I71" s="11" t="n"/>
      <c r="K71" s="155" t="inlineStr">
        <is>
          <t>All Marked Habits Completed</t>
        </is>
      </c>
      <c r="L71" s="13" t="n"/>
      <c r="M71" s="13" t="n"/>
      <c r="N71" s="13" t="n"/>
      <c r="P71" s="156" t="inlineStr">
        <is>
          <t>Nightly Rest Average</t>
        </is>
      </c>
      <c r="Q71" s="15" t="n"/>
      <c r="R71" s="15" t="n"/>
      <c r="S71" s="15" t="n"/>
    </row>
    <row r="72" ht="8" customHeight="1"/>
    <row r="73" ht="6" customHeight="1"/>
    <row r="74">
      <c r="A74" s="67" t="inlineStr">
        <is>
          <t>WEEKLY PERFORMANCE (SLUMP DETECTOR)</t>
        </is>
      </c>
      <c r="B74" s="29" t="n"/>
      <c r="C74" s="29" t="n"/>
      <c r="D74" s="29" t="n"/>
      <c r="E74" s="29" t="n"/>
      <c r="N74" s="157" t="inlineStr">
        <is>
          <t>LIFE DOMAIN / CATEGORY BREAKDOWN</t>
        </is>
      </c>
      <c r="O74" s="158" t="n"/>
      <c r="P74" s="158" t="n"/>
      <c r="Q74" s="158" t="n"/>
      <c r="R74" s="158" t="n"/>
      <c r="S74" s="158" t="n"/>
    </row>
    <row r="75" ht="15" customHeight="1">
      <c r="A75" s="53" t="inlineStr">
        <is>
          <t>Week</t>
        </is>
      </c>
      <c r="B75" s="53" t="inlineStr">
        <is>
          <t>Days Range</t>
        </is>
      </c>
      <c r="C75" s="53" t="inlineStr">
        <is>
          <t>Checks Done</t>
        </is>
      </c>
      <c r="D75" s="53" t="inlineStr">
        <is>
          <t>Evaluated</t>
        </is>
      </c>
      <c r="E75" s="53" t="inlineStr">
        <is>
          <t>Success %</t>
        </is>
      </c>
      <c r="N75" s="53" t="inlineStr">
        <is>
          <t>Domain / Category</t>
        </is>
      </c>
      <c r="O75" s="54" t="n"/>
      <c r="P75" s="53" t="inlineStr">
        <is>
          <t>Active Habits</t>
        </is>
      </c>
      <c r="Q75" s="53" t="inlineStr">
        <is>
          <t>Target Days</t>
        </is>
      </c>
      <c r="R75" s="53" t="inlineStr">
        <is>
          <t>Done Checks</t>
        </is>
      </c>
      <c r="S75" s="53" t="inlineStr">
        <is>
          <t>Success %</t>
        </is>
      </c>
    </row>
    <row r="76" ht="14" customHeight="1">
      <c r="A76" s="33" t="inlineStr">
        <is>
          <t>Week 1</t>
        </is>
      </c>
      <c r="B76" s="34" t="inlineStr">
        <is>
          <t>Days 1 - 7</t>
        </is>
      </c>
      <c r="C76" s="34">
        <f>COUNTIF(E18:K37, "✓")</f>
        <v/>
      </c>
      <c r="D76" s="34">
        <f>COUNTIF(E18:K37, "✓") + COUNTIF(E18:K37, "✗")</f>
        <v/>
      </c>
      <c r="E76" s="35">
        <f>IFERROR(C76/D76, 0)</f>
        <v/>
      </c>
      <c r="N76" s="60" t="inlineStr">
        <is>
          <t>Health &amp; Fitness</t>
        </is>
      </c>
      <c r="O76" s="54" t="n"/>
      <c r="P76" s="34">
        <f>COUNTIF($C$18:$C$37, "Health &amp; Fitness")</f>
        <v/>
      </c>
      <c r="Q76" s="34">
        <f>SUMIF($C$18:$C$37, "Health &amp; Fitness", $D$18:$D$37)</f>
        <v/>
      </c>
      <c r="R76" s="34">
        <f>SUMIF($C$18:$C$37, "Health &amp; Fitness", $AM$18:$AM$37)</f>
        <v/>
      </c>
      <c r="S76" s="35">
        <f>IFERROR(R76/Q76, 0)</f>
        <v/>
      </c>
    </row>
    <row r="77" ht="14" customHeight="1">
      <c r="A77" s="33" t="inlineStr">
        <is>
          <t>Week 2</t>
        </is>
      </c>
      <c r="B77" s="34" t="inlineStr">
        <is>
          <t>Days 8 - 14</t>
        </is>
      </c>
      <c r="C77" s="34">
        <f>COUNTIF(L18:R37, "✓")</f>
        <v/>
      </c>
      <c r="D77" s="34">
        <f>COUNTIF(L18:R37, "✓") + COUNTIF(L18:R37, "✗")</f>
        <v/>
      </c>
      <c r="E77" s="35">
        <f>IFERROR(C77/D77, 0)</f>
        <v/>
      </c>
      <c r="N77" s="60" t="inlineStr">
        <is>
          <t>Mindset &amp; Learning</t>
        </is>
      </c>
      <c r="O77" s="54" t="n"/>
      <c r="P77" s="34">
        <f>COUNTIF($C$18:$C$37, "Mindset &amp; Learning")</f>
        <v/>
      </c>
      <c r="Q77" s="34">
        <f>SUMIF($C$18:$C$37, "Mindset &amp; Learning", $D$18:$D$37)</f>
        <v/>
      </c>
      <c r="R77" s="34">
        <f>SUMIF($C$18:$C$37, "Mindset &amp; Learning", $AM$18:$AM$37)</f>
        <v/>
      </c>
      <c r="S77" s="35">
        <f>IFERROR(R77/Q77, 0)</f>
        <v/>
      </c>
    </row>
    <row r="78" ht="14" customHeight="1">
      <c r="A78" s="33" t="inlineStr">
        <is>
          <t>Week 3</t>
        </is>
      </c>
      <c r="B78" s="34" t="inlineStr">
        <is>
          <t>Days 15 - 21</t>
        </is>
      </c>
      <c r="C78" s="34">
        <f>COUNTIF(S18:Y37, "✓")</f>
        <v/>
      </c>
      <c r="D78" s="34">
        <f>COUNTIF(S18:Y37, "✓") + COUNTIF(S18:Y37, "✗")</f>
        <v/>
      </c>
      <c r="E78" s="35">
        <f>IFERROR(C78/D78, 0)</f>
        <v/>
      </c>
      <c r="N78" s="60" t="inlineStr">
        <is>
          <t>Career &amp; Focus</t>
        </is>
      </c>
      <c r="O78" s="54" t="n"/>
      <c r="P78" s="34">
        <f>COUNTIF($C$18:$C$37, "Career &amp; Focus")</f>
        <v/>
      </c>
      <c r="Q78" s="34">
        <f>SUMIF($C$18:$C$37, "Career &amp; Focus", $D$18:$D$37)</f>
        <v/>
      </c>
      <c r="R78" s="34">
        <f>SUMIF($C$18:$C$37, "Career &amp; Focus", $AM$18:$AM$37)</f>
        <v/>
      </c>
      <c r="S78" s="35">
        <f>IFERROR(R78/Q78, 0)</f>
        <v/>
      </c>
    </row>
    <row r="79" ht="14" customHeight="1">
      <c r="A79" s="33" t="inlineStr">
        <is>
          <t>Week 4</t>
        </is>
      </c>
      <c r="B79" s="34" t="inlineStr">
        <is>
          <t>Days 22 - 28</t>
        </is>
      </c>
      <c r="C79" s="34">
        <f>COUNTIF(Z18:AF37, "✓")</f>
        <v/>
      </c>
      <c r="D79" s="34">
        <f>COUNTIF(Z18:AF37, "✓") + COUNTIF(Z18:AF37, "✗")</f>
        <v/>
      </c>
      <c r="E79" s="35">
        <f>IFERROR(C79/D79, 0)</f>
        <v/>
      </c>
      <c r="N79" s="60" t="inlineStr">
        <is>
          <t>Personal &amp; Home</t>
        </is>
      </c>
      <c r="O79" s="54" t="n"/>
      <c r="P79" s="34">
        <f>COUNTIF($C$18:$C$37, "Personal &amp; Home")</f>
        <v/>
      </c>
      <c r="Q79" s="34">
        <f>SUMIF($C$18:$C$37, "Personal &amp; Home", $D$18:$D$37)</f>
        <v/>
      </c>
      <c r="R79" s="34">
        <f>SUMIF($C$18:$C$37, "Personal &amp; Home", $AM$18:$AM$37)</f>
        <v/>
      </c>
      <c r="S79" s="35">
        <f>IFERROR(R79/Q79, 0)</f>
        <v/>
      </c>
    </row>
    <row r="80" ht="14" customHeight="1">
      <c r="A80" s="33" t="inlineStr">
        <is>
          <t>Week 5</t>
        </is>
      </c>
      <c r="B80" s="34" t="inlineStr">
        <is>
          <t>Days 29 - 31</t>
        </is>
      </c>
      <c r="C80" s="34">
        <f>COUNTIF(AG18:AI37, "✓")</f>
        <v/>
      </c>
      <c r="D80" s="34">
        <f>COUNTIF(AG18:AI37, "✓") + COUNTIF(AG18:AI37, "✗")</f>
        <v/>
      </c>
      <c r="E80" s="35">
        <f>IFERROR(C80/D80, 0)</f>
        <v/>
      </c>
      <c r="N80" s="60" t="inlineStr">
        <is>
          <t>Finance &amp; Wealth</t>
        </is>
      </c>
      <c r="O80" s="54" t="n"/>
      <c r="P80" s="34">
        <f>COUNTIF($C$18:$C$37, "Finance &amp; Wealth")</f>
        <v/>
      </c>
      <c r="Q80" s="34">
        <f>SUMIF($C$18:$C$37, "Finance &amp; Wealth", $D$18:$D$37)</f>
        <v/>
      </c>
      <c r="R80" s="34">
        <f>SUMIF($C$18:$C$37, "Finance &amp; Wealth", $AM$18:$AM$37)</f>
        <v/>
      </c>
      <c r="S80" s="35">
        <f>IFERROR(R80/Q80, 0)</f>
        <v/>
      </c>
    </row>
    <row r="81" ht="14" customHeight="1">
      <c r="A81" s="33" t="inlineStr">
        <is>
          <t>Total / Avg</t>
        </is>
      </c>
      <c r="B81" s="159" t="inlineStr">
        <is>
          <t>Month Total</t>
        </is>
      </c>
      <c r="C81" s="33">
        <f>SUM(C76:C80)</f>
        <v/>
      </c>
      <c r="D81" s="33">
        <f>SUM(D76:D80)</f>
        <v/>
      </c>
      <c r="E81" s="133">
        <f>IFERROR(C81/D81, 0)</f>
        <v/>
      </c>
    </row>
    <row r="82" ht="10" customHeight="1"/>
    <row r="83" ht="10" customHeight="1"/>
    <row r="84">
      <c r="A84" s="51" t="inlineStr">
        <is>
          <t>SLEEP &amp; PRODUCTIVITY CORRELATION ANALYSIS</t>
        </is>
      </c>
      <c r="B84" s="52" t="n"/>
      <c r="C84" s="52" t="n"/>
      <c r="D84" s="52" t="n"/>
      <c r="E84" s="52" t="n"/>
      <c r="F84" s="52" t="n"/>
      <c r="G84" s="52" t="n"/>
      <c r="H84" s="52" t="n"/>
      <c r="I84" s="52" t="n"/>
      <c r="J84" s="52" t="n"/>
      <c r="K84" s="52" t="n"/>
      <c r="L84" s="52" t="n"/>
      <c r="M84" s="52" t="n"/>
      <c r="N84" s="52" t="n"/>
      <c r="O84" s="52" t="n"/>
      <c r="P84" s="52" t="n"/>
      <c r="Q84" s="52" t="n"/>
      <c r="R84" s="52" t="n"/>
      <c r="S84" s="52" t="n"/>
      <c r="T84" s="52" t="n"/>
      <c r="U84" s="52" t="n"/>
      <c r="V84" s="52" t="n"/>
      <c r="W84" s="52" t="n"/>
      <c r="X84" s="52" t="n"/>
      <c r="Y84" s="52" t="n"/>
      <c r="Z84" s="52" t="n"/>
      <c r="AA84" s="52" t="n"/>
      <c r="AB84" s="52" t="n"/>
      <c r="AC84" s="52" t="n"/>
      <c r="AD84" s="52" t="n"/>
      <c r="AE84" s="52" t="n"/>
      <c r="AF84" s="52" t="n"/>
      <c r="AG84" s="52" t="n"/>
      <c r="AH84" s="52" t="n"/>
      <c r="AI84" s="52" t="n"/>
      <c r="AJ84" s="52" t="n"/>
      <c r="AK84" s="52" t="n"/>
      <c r="AL84" s="52" t="n"/>
    </row>
    <row r="85" ht="15" customHeight="1">
      <c r="A85" s="53" t="inlineStr">
        <is>
          <t>Rest Category</t>
        </is>
      </c>
      <c r="B85" s="54" t="n"/>
      <c r="C85" s="54" t="n"/>
      <c r="D85" s="53" t="inlineStr">
        <is>
          <t>Day Criteria</t>
        </is>
      </c>
      <c r="E85" s="54" t="n"/>
      <c r="F85" s="54" t="n"/>
      <c r="G85" s="53" t="inlineStr">
        <is>
          <t>Days Logged</t>
        </is>
      </c>
      <c r="H85" s="54" t="n"/>
      <c r="I85" s="54" t="n"/>
      <c r="J85" s="53" t="inlineStr">
        <is>
          <t>Avg Sleep Duration</t>
        </is>
      </c>
      <c r="K85" s="54" t="n"/>
      <c r="L85" s="54" t="n"/>
      <c r="M85" s="54" t="n"/>
      <c r="N85" s="53" t="inlineStr">
        <is>
          <t>Avg Habit Success %</t>
        </is>
      </c>
      <c r="O85" s="54" t="n"/>
      <c r="P85" s="54" t="n"/>
      <c r="Q85" s="54" t="n"/>
      <c r="R85" s="53" t="inlineStr">
        <is>
          <t>Productivity Delta</t>
        </is>
      </c>
      <c r="S85" s="54" t="n"/>
      <c r="T85" s="54" t="n"/>
      <c r="U85" s="54" t="n"/>
    </row>
    <row r="86" ht="15" customHeight="1">
      <c r="A86" s="160" t="inlineStr">
        <is>
          <t>Optimal Rest</t>
        </is>
      </c>
      <c r="B86" s="161" t="n"/>
      <c r="C86" s="56" t="n"/>
      <c r="D86" s="34" t="inlineStr">
        <is>
          <t>&gt;= 7 Hours / Night</t>
        </is>
      </c>
      <c r="E86" s="161" t="n"/>
      <c r="F86" s="56" t="n"/>
      <c r="G86" s="33">
        <f>COUNTIF(E47:AI47, "&gt;=7")</f>
        <v/>
      </c>
      <c r="H86" s="161" t="n"/>
      <c r="I86" s="56" t="n"/>
      <c r="J86" s="34">
        <f>IFERROR(TEXT(AVERAGEIF(E47:AI47, "&gt;=7"), "0.0") &amp; " hrs", "-")</f>
        <v/>
      </c>
      <c r="K86" s="161" t="n"/>
      <c r="L86" s="161" t="n"/>
      <c r="M86" s="56" t="n"/>
      <c r="N86" s="42">
        <f>IFERROR(AVERAGEIFS(E39:AI39, E47:AI47, "&gt;=7", E39:AI39, "&gt;0"), 0)</f>
        <v/>
      </c>
      <c r="O86" s="161" t="n"/>
      <c r="P86" s="161" t="n"/>
      <c r="Q86" s="56" t="n"/>
      <c r="R86" s="159" t="inlineStr">
        <is>
          <t>Baseline (Target)</t>
        </is>
      </c>
      <c r="S86" s="161" t="n"/>
      <c r="T86" s="161" t="n"/>
      <c r="U86" s="56" t="n"/>
    </row>
    <row r="87" ht="15" customHeight="1">
      <c r="A87" s="162" t="inlineStr">
        <is>
          <t>Sleep Deficit</t>
        </is>
      </c>
      <c r="B87" s="161" t="n"/>
      <c r="C87" s="56" t="n"/>
      <c r="D87" s="34" t="inlineStr">
        <is>
          <t>&lt; 7 Hours / Night</t>
        </is>
      </c>
      <c r="E87" s="161" t="n"/>
      <c r="F87" s="56" t="n"/>
      <c r="G87" s="33">
        <f>COUNTIF(E47:AI47, "&lt;7") - COUNTIF(E47:AI47, "")</f>
        <v/>
      </c>
      <c r="H87" s="161" t="n"/>
      <c r="I87" s="56" t="n"/>
      <c r="J87" s="34">
        <f>IFERROR(TEXT(AVERAGEIFS(E47:AI47, E47:AI47, "&lt;7", E47:AI47, "&gt;0"), "0.0") &amp; " hrs", "-")</f>
        <v/>
      </c>
      <c r="K87" s="161" t="n"/>
      <c r="L87" s="161" t="n"/>
      <c r="M87" s="56" t="n"/>
      <c r="N87" s="163">
        <f>IFERROR(AVERAGEIFS(E39:AI39, E47:AI47, "&lt;7", E39:AI39, "&gt;0"), 0)</f>
        <v/>
      </c>
      <c r="O87" s="161" t="n"/>
      <c r="P87" s="161" t="n"/>
      <c r="Q87" s="56" t="n"/>
      <c r="R87" s="160">
        <f>IFERROR(TEXT(N86 - N87, "+0.0%;-0.0%;0.0%") &amp; " Rest Advantage", "-")</f>
        <v/>
      </c>
      <c r="S87" s="161" t="n"/>
      <c r="T87" s="161" t="n"/>
      <c r="U87" s="56" t="n"/>
    </row>
    <row r="88" ht="18" customHeight="1">
      <c r="A88" s="164">
        <f>IF(AND(ISNUMBER(N86), ISNUMBER(N87), N86&gt;0, N87&gt;0), "💡 Sleep Correlation Insight: You complete " &amp; TEXT(ABS(N86-N87), "0.0%") &amp; IF(N86&gt;=N87, " MORE habits on days with 7+ hours of sleep!", " fewer habits on days with 7+ hours of sleep."), "💡 Log both habits and sleep hours daily to unlock automatic AI correlation insights!")</f>
        <v/>
      </c>
      <c r="B88" s="161" t="n"/>
      <c r="C88" s="161" t="n"/>
      <c r="D88" s="161" t="n"/>
      <c r="E88" s="161" t="n"/>
      <c r="F88" s="161" t="n"/>
      <c r="G88" s="161" t="n"/>
      <c r="H88" s="161" t="n"/>
      <c r="I88" s="161" t="n"/>
      <c r="J88" s="161" t="n"/>
      <c r="K88" s="161" t="n"/>
      <c r="L88" s="161" t="n"/>
      <c r="M88" s="161" t="n"/>
      <c r="N88" s="161" t="n"/>
      <c r="O88" s="161" t="n"/>
      <c r="P88" s="161" t="n"/>
      <c r="Q88" s="161" t="n"/>
      <c r="R88" s="161" t="n"/>
      <c r="S88" s="161" t="n"/>
      <c r="T88" s="161" t="n"/>
      <c r="U88" s="161" t="n"/>
      <c r="V88" s="161" t="n"/>
      <c r="W88" s="161" t="n"/>
      <c r="X88" s="161" t="n"/>
      <c r="Y88" s="161" t="n"/>
      <c r="Z88" s="161" t="n"/>
      <c r="AA88" s="161" t="n"/>
      <c r="AB88" s="161" t="n"/>
      <c r="AC88" s="161" t="n"/>
      <c r="AD88" s="161" t="n"/>
      <c r="AE88" s="161" t="n"/>
      <c r="AF88" s="161" t="n"/>
      <c r="AG88" s="161" t="n"/>
      <c r="AH88" s="161" t="n"/>
      <c r="AI88" s="161" t="n"/>
      <c r="AJ88" s="161" t="n"/>
      <c r="AK88" s="161" t="n"/>
      <c r="AL88" s="56" t="n"/>
    </row>
    <row r="89" ht="10" customHeight="1"/>
    <row r="90">
      <c r="A90" s="43" t="inlineStr">
        <is>
          <t>STANDARDIZED DATA BRIDGE (FOR ANNUAL &amp; QUARTERLY REVIEW SHEETS)</t>
        </is>
      </c>
      <c r="B90" s="44" t="n"/>
      <c r="C90" s="44" t="n"/>
      <c r="D90" s="44" t="n"/>
      <c r="E90" s="44" t="n"/>
      <c r="F90" s="44" t="n"/>
      <c r="G90" s="44" t="n"/>
      <c r="H90" s="44" t="n"/>
      <c r="I90" s="44" t="n"/>
      <c r="J90" s="44" t="n"/>
      <c r="K90" s="44" t="n"/>
      <c r="L90" s="44" t="n"/>
      <c r="M90" s="44" t="n"/>
      <c r="N90" s="44" t="n"/>
      <c r="O90" s="44" t="n"/>
      <c r="P90" s="44" t="n"/>
      <c r="Q90" s="44" t="n"/>
      <c r="R90" s="44" t="n"/>
      <c r="S90" s="44" t="n"/>
      <c r="T90" s="44" t="n"/>
      <c r="U90" s="44" t="n"/>
      <c r="V90" s="44" t="n"/>
      <c r="W90" s="44" t="n"/>
      <c r="X90" s="44" t="n"/>
      <c r="Y90" s="44" t="n"/>
      <c r="Z90" s="44" t="n"/>
      <c r="AA90" s="44" t="n"/>
      <c r="AB90" s="44" t="n"/>
      <c r="AC90" s="44" t="n"/>
      <c r="AD90" s="44" t="n"/>
      <c r="AE90" s="44" t="n"/>
      <c r="AF90" s="44" t="n"/>
      <c r="AG90" s="44" t="n"/>
      <c r="AH90" s="44" t="n"/>
      <c r="AI90" s="44" t="n"/>
      <c r="AJ90" s="44" t="n"/>
      <c r="AK90" s="44" t="n"/>
      <c r="AL90" s="44" t="n"/>
    </row>
    <row r="91" ht="15" customHeight="1">
      <c r="A91" s="53" t="inlineStr">
        <is>
          <t>Month</t>
        </is>
      </c>
      <c r="B91" s="54" t="n"/>
      <c r="C91" s="53" t="inlineStr">
        <is>
          <t>Year</t>
        </is>
      </c>
      <c r="D91" s="54" t="n"/>
      <c r="E91" s="53" t="inlineStr">
        <is>
          <t>Active Habits</t>
        </is>
      </c>
      <c r="F91" s="54" t="n"/>
      <c r="G91" s="53" t="inlineStr">
        <is>
          <t>Target Days</t>
        </is>
      </c>
      <c r="H91" s="54" t="n"/>
      <c r="I91" s="53" t="inlineStr">
        <is>
          <t>Done Checks</t>
        </is>
      </c>
      <c r="J91" s="54" t="n"/>
      <c r="K91" s="53" t="inlineStr">
        <is>
          <t>Success %</t>
        </is>
      </c>
      <c r="L91" s="54" t="n"/>
      <c r="M91" s="53" t="inlineStr">
        <is>
          <t>Perfect Days</t>
        </is>
      </c>
      <c r="N91" s="54" t="n"/>
      <c r="O91" s="53" t="inlineStr">
        <is>
          <t>Avg Sleep</t>
        </is>
      </c>
      <c r="P91" s="54" t="n"/>
      <c r="Q91" s="53" t="inlineStr">
        <is>
          <t>Best Week</t>
        </is>
      </c>
      <c r="R91" s="54" t="n"/>
      <c r="S91" s="54" t="n"/>
      <c r="T91" s="53" t="inlineStr">
        <is>
          <t>Top Life Domain</t>
        </is>
      </c>
      <c r="U91" s="54" t="n"/>
      <c r="V91" s="54" t="n"/>
      <c r="W91" s="54" t="n"/>
    </row>
    <row r="92" ht="16" customHeight="1">
      <c r="A92" s="165" t="inlineStr">
        <is>
          <t>Oct</t>
        </is>
      </c>
      <c r="B92" s="56" t="n"/>
      <c r="C92" s="165" t="n">
        <v>2027</v>
      </c>
      <c r="D92" s="56" t="n"/>
      <c r="E92" s="166">
        <f>COUNTA(B18:B37)</f>
        <v/>
      </c>
      <c r="F92" s="56" t="n"/>
      <c r="G92" s="166">
        <f>SUM(D18:D37)</f>
        <v/>
      </c>
      <c r="H92" s="56" t="n"/>
      <c r="I92" s="166">
        <f>SUM(AM18:AM37)</f>
        <v/>
      </c>
      <c r="J92" s="56" t="n"/>
      <c r="K92" s="167">
        <f>IF(G92&gt;0, I92/G92, 0)</f>
        <v/>
      </c>
      <c r="L92" s="56" t="n"/>
      <c r="M92" s="166">
        <f>COUNTIF(E39:AI39, 1)</f>
        <v/>
      </c>
      <c r="N92" s="56" t="n"/>
      <c r="O92" s="168">
        <f>IFERROR(AVERAGE(E47:AI47), 0)</f>
        <v/>
      </c>
      <c r="P92" s="56" t="n"/>
      <c r="Q92" s="166">
        <f>INDEX(A76:A80, MATCH(MAX(E76:E80), E76:E80, 0))</f>
        <v/>
      </c>
      <c r="R92" s="161" t="n"/>
      <c r="S92" s="56" t="n"/>
      <c r="T92" s="166">
        <f>INDEX(N76:N80, MATCH(MAX(S76:S80), S76:S80, 0))</f>
        <v/>
      </c>
      <c r="U92" s="161" t="n"/>
      <c r="V92" s="161" t="n"/>
      <c r="W92" s="56" t="n"/>
    </row>
    <row r="93" ht="14" customHeight="1">
      <c r="A93" s="169" t="inlineStr">
        <is>
          <t>📋 Note: Reference or copy Row 92 directly into an Annual / Quarterly review dashboard to track yearly habit trends.</t>
        </is>
      </c>
    </row>
    <row r="94" ht="8" customHeight="1"/>
    <row r="95">
      <c r="A95" s="170" t="inlineStr">
        <is>
          <t>🏆 MONTHLY WINS &amp; HIGHLIGHTS</t>
        </is>
      </c>
      <c r="J95" s="171" t="inlineStr">
        <is>
          <t>⚠️ FRICTION POINTS &amp; ROOT CAUSES</t>
        </is>
      </c>
      <c r="S95" s="172" t="inlineStr">
        <is>
          <t>🎯 3 KEY ADJUSTMENTS FOR NEXT MONTH</t>
        </is>
      </c>
    </row>
    <row r="96">
      <c r="A96" s="173" t="inlineStr">
        <is>
          <t>1. What went exceptionally well this month?
2. Which habit felt effortless and consistent?
3. Major milestone achieved:</t>
        </is>
      </c>
      <c r="B96" s="174" t="n"/>
      <c r="C96" s="174" t="n"/>
      <c r="D96" s="174" t="n"/>
      <c r="E96" s="174" t="n"/>
      <c r="F96" s="174" t="n"/>
      <c r="G96" s="174" t="n"/>
      <c r="H96" s="174" t="n"/>
      <c r="J96" s="175" t="inlineStr">
        <is>
          <t>1. What caused missed or skipped days?
2. Main triggers / energy drains encountered:
3. Which habit had the lowest consistency and why?</t>
        </is>
      </c>
      <c r="K96" s="176" t="n"/>
      <c r="L96" s="176" t="n"/>
      <c r="M96" s="176" t="n"/>
      <c r="N96" s="176" t="n"/>
      <c r="O96" s="176" t="n"/>
      <c r="P96" s="176" t="n"/>
      <c r="Q96" s="176" t="n"/>
      <c r="S96" s="177" t="inlineStr">
        <is>
          <t>1. Habit Stacking or time adjustment for next month:
2. Environment design change to eliminate friction:
3. One non-negotiable priority protocol:</t>
        </is>
      </c>
      <c r="T96" s="178" t="n"/>
      <c r="U96" s="178" t="n"/>
      <c r="V96" s="178" t="n"/>
      <c r="W96" s="178" t="n"/>
      <c r="X96" s="178" t="n"/>
      <c r="Y96" s="178" t="n"/>
      <c r="Z96" s="178" t="n"/>
    </row>
    <row r="97">
      <c r="A97" s="174" t="n"/>
      <c r="B97" s="174" t="n"/>
      <c r="C97" s="174" t="n"/>
      <c r="D97" s="174" t="n"/>
      <c r="E97" s="174" t="n"/>
      <c r="F97" s="174" t="n"/>
      <c r="G97" s="174" t="n"/>
      <c r="H97" s="174" t="n"/>
      <c r="J97" s="176" t="n"/>
      <c r="K97" s="176" t="n"/>
      <c r="L97" s="176" t="n"/>
      <c r="M97" s="176" t="n"/>
      <c r="N97" s="176" t="n"/>
      <c r="O97" s="176" t="n"/>
      <c r="P97" s="176" t="n"/>
      <c r="Q97" s="176" t="n"/>
      <c r="S97" s="178" t="n"/>
      <c r="T97" s="178" t="n"/>
      <c r="U97" s="178" t="n"/>
      <c r="V97" s="178" t="n"/>
      <c r="W97" s="178" t="n"/>
      <c r="X97" s="178" t="n"/>
      <c r="Y97" s="178" t="n"/>
      <c r="Z97" s="178" t="n"/>
    </row>
    <row r="98">
      <c r="A98" s="174" t="n"/>
      <c r="B98" s="174" t="n"/>
      <c r="C98" s="174" t="n"/>
      <c r="D98" s="174" t="n"/>
      <c r="E98" s="174" t="n"/>
      <c r="F98" s="174" t="n"/>
      <c r="G98" s="174" t="n"/>
      <c r="H98" s="174" t="n"/>
      <c r="J98" s="176" t="n"/>
      <c r="K98" s="176" t="n"/>
      <c r="L98" s="176" t="n"/>
      <c r="M98" s="176" t="n"/>
      <c r="N98" s="176" t="n"/>
      <c r="O98" s="176" t="n"/>
      <c r="P98" s="176" t="n"/>
      <c r="Q98" s="176" t="n"/>
      <c r="S98" s="178" t="n"/>
      <c r="T98" s="178" t="n"/>
      <c r="U98" s="178" t="n"/>
      <c r="V98" s="178" t="n"/>
      <c r="W98" s="178" t="n"/>
      <c r="X98" s="178" t="n"/>
      <c r="Y98" s="178" t="n"/>
      <c r="Z98" s="178" t="n"/>
    </row>
    <row r="99">
      <c r="A99" s="174" t="n"/>
      <c r="B99" s="174" t="n"/>
      <c r="C99" s="174" t="n"/>
      <c r="D99" s="174" t="n"/>
      <c r="E99" s="174" t="n"/>
      <c r="F99" s="174" t="n"/>
      <c r="G99" s="174" t="n"/>
      <c r="H99" s="174" t="n"/>
      <c r="J99" s="176" t="n"/>
      <c r="K99" s="176" t="n"/>
      <c r="L99" s="176" t="n"/>
      <c r="M99" s="176" t="n"/>
      <c r="N99" s="176" t="n"/>
      <c r="O99" s="176" t="n"/>
      <c r="P99" s="176" t="n"/>
      <c r="Q99" s="176" t="n"/>
      <c r="S99" s="178" t="n"/>
      <c r="T99" s="178" t="n"/>
      <c r="U99" s="178" t="n"/>
      <c r="V99" s="178" t="n"/>
      <c r="W99" s="178" t="n"/>
      <c r="X99" s="178" t="n"/>
      <c r="Y99" s="178" t="n"/>
      <c r="Z99" s="178" t="n"/>
    </row>
    <row r="100">
      <c r="A100" s="174" t="n"/>
      <c r="B100" s="174" t="n"/>
      <c r="C100" s="174" t="n"/>
      <c r="D100" s="174" t="n"/>
      <c r="E100" s="174" t="n"/>
      <c r="F100" s="174" t="n"/>
      <c r="G100" s="174" t="n"/>
      <c r="H100" s="174" t="n"/>
      <c r="J100" s="176" t="n"/>
      <c r="K100" s="176" t="n"/>
      <c r="L100" s="176" t="n"/>
      <c r="M100" s="176" t="n"/>
      <c r="N100" s="176" t="n"/>
      <c r="O100" s="176" t="n"/>
      <c r="P100" s="176" t="n"/>
      <c r="Q100" s="176" t="n"/>
      <c r="S100" s="178" t="n"/>
      <c r="T100" s="178" t="n"/>
      <c r="U100" s="178" t="n"/>
      <c r="V100" s="178" t="n"/>
      <c r="W100" s="178" t="n"/>
      <c r="X100" s="178" t="n"/>
      <c r="Y100" s="178" t="n"/>
      <c r="Z100" s="178" t="n"/>
    </row>
    <row r="101">
      <c r="A101" s="174" t="n"/>
      <c r="B101" s="174" t="n"/>
      <c r="C101" s="174" t="n"/>
      <c r="D101" s="174" t="n"/>
      <c r="E101" s="174" t="n"/>
      <c r="F101" s="174" t="n"/>
      <c r="G101" s="174" t="n"/>
      <c r="H101" s="174" t="n"/>
      <c r="J101" s="176" t="n"/>
      <c r="K101" s="176" t="n"/>
      <c r="L101" s="176" t="n"/>
      <c r="M101" s="176" t="n"/>
      <c r="N101" s="176" t="n"/>
      <c r="O101" s="176" t="n"/>
      <c r="P101" s="176" t="n"/>
      <c r="Q101" s="176" t="n"/>
      <c r="S101" s="178" t="n"/>
      <c r="T101" s="178" t="n"/>
      <c r="U101" s="178" t="n"/>
      <c r="V101" s="178" t="n"/>
      <c r="W101" s="178" t="n"/>
      <c r="X101" s="178" t="n"/>
      <c r="Y101" s="178" t="n"/>
      <c r="Z101" s="178" t="n"/>
    </row>
    <row r="102">
      <c r="A102" s="174" t="n"/>
      <c r="B102" s="174" t="n"/>
      <c r="C102" s="174" t="n"/>
      <c r="D102" s="174" t="n"/>
      <c r="E102" s="174" t="n"/>
      <c r="F102" s="174" t="n"/>
      <c r="G102" s="174" t="n"/>
      <c r="H102" s="174" t="n"/>
      <c r="J102" s="176" t="n"/>
      <c r="K102" s="176" t="n"/>
      <c r="L102" s="176" t="n"/>
      <c r="M102" s="176" t="n"/>
      <c r="N102" s="176" t="n"/>
      <c r="O102" s="176" t="n"/>
      <c r="P102" s="176" t="n"/>
      <c r="Q102" s="176" t="n"/>
      <c r="S102" s="178" t="n"/>
      <c r="T102" s="178" t="n"/>
      <c r="U102" s="178" t="n"/>
      <c r="V102" s="178" t="n"/>
      <c r="W102" s="178" t="n"/>
      <c r="X102" s="178" t="n"/>
      <c r="Y102" s="178" t="n"/>
      <c r="Z102" s="178" t="n"/>
    </row>
    <row r="103">
      <c r="A103" s="174" t="n"/>
      <c r="B103" s="174" t="n"/>
      <c r="C103" s="174" t="n"/>
      <c r="D103" s="174" t="n"/>
      <c r="E103" s="174" t="n"/>
      <c r="F103" s="174" t="n"/>
      <c r="G103" s="174" t="n"/>
      <c r="H103" s="174" t="n"/>
      <c r="J103" s="176" t="n"/>
      <c r="K103" s="176" t="n"/>
      <c r="L103" s="176" t="n"/>
      <c r="M103" s="176" t="n"/>
      <c r="N103" s="176" t="n"/>
      <c r="O103" s="176" t="n"/>
      <c r="P103" s="176" t="n"/>
      <c r="Q103" s="176" t="n"/>
      <c r="S103" s="178" t="n"/>
      <c r="T103" s="178" t="n"/>
      <c r="U103" s="178" t="n"/>
      <c r="V103" s="178" t="n"/>
      <c r="W103" s="178" t="n"/>
      <c r="X103" s="178" t="n"/>
      <c r="Y103" s="178" t="n"/>
      <c r="Z103" s="178" t="n"/>
    </row>
  </sheetData>
  <sheetProtection selectLockedCells="1" selectUnlockedCells="1" sheet="1" objects="0" insertRows="1" insertHyperlinks="1" autoFilter="1" scenarios="0" formatColumns="1" deleteColumns="1" insertColumns="1" pivotTables="1" deleteRows="1" formatCells="1" formatRows="1" sort="1"/>
  <mergeCells count="94">
    <mergeCell ref="A9:N9"/>
    <mergeCell ref="N76:O76"/>
    <mergeCell ref="F67:I67"/>
    <mergeCell ref="G87:I87"/>
    <mergeCell ref="A16:A17"/>
    <mergeCell ref="A45:D46"/>
    <mergeCell ref="C16:C17"/>
    <mergeCell ref="N75:O75"/>
    <mergeCell ref="N77:O77"/>
    <mergeCell ref="AE2:AL2"/>
    <mergeCell ref="P9:AL9"/>
    <mergeCell ref="P68:S70"/>
    <mergeCell ref="D16:D17"/>
    <mergeCell ref="N85:Q85"/>
    <mergeCell ref="A95:H95"/>
    <mergeCell ref="A84:AL84"/>
    <mergeCell ref="Q91:S91"/>
    <mergeCell ref="E91:F91"/>
    <mergeCell ref="A8:N8"/>
    <mergeCell ref="A42:AL42"/>
    <mergeCell ref="G91:H91"/>
    <mergeCell ref="J86:M86"/>
    <mergeCell ref="H3:AD3"/>
    <mergeCell ref="K67:N67"/>
    <mergeCell ref="S95:Z95"/>
    <mergeCell ref="N79:O79"/>
    <mergeCell ref="K92:L92"/>
    <mergeCell ref="C92:D92"/>
    <mergeCell ref="M92:N92"/>
    <mergeCell ref="F71:I71"/>
    <mergeCell ref="A88:AL88"/>
    <mergeCell ref="K68:N70"/>
    <mergeCell ref="T91:W91"/>
    <mergeCell ref="A41:AL41"/>
    <mergeCell ref="A90:AL90"/>
    <mergeCell ref="J95:Q95"/>
    <mergeCell ref="D85:F85"/>
    <mergeCell ref="N74:S74"/>
    <mergeCell ref="H2:AD2"/>
    <mergeCell ref="F68:I70"/>
    <mergeCell ref="A91:B91"/>
    <mergeCell ref="N78:O78"/>
    <mergeCell ref="C91:D91"/>
    <mergeCell ref="M91:N91"/>
    <mergeCell ref="O91:P91"/>
    <mergeCell ref="R86:U86"/>
    <mergeCell ref="N80:O80"/>
    <mergeCell ref="B16:B17"/>
    <mergeCell ref="A71:D71"/>
    <mergeCell ref="J85:M85"/>
    <mergeCell ref="D86:F86"/>
    <mergeCell ref="A92:B92"/>
    <mergeCell ref="N87:Q87"/>
    <mergeCell ref="A1:B1"/>
    <mergeCell ref="E92:F92"/>
    <mergeCell ref="AL16:AL17"/>
    <mergeCell ref="A68:D70"/>
    <mergeCell ref="P71:S71"/>
    <mergeCell ref="A86:C86"/>
    <mergeCell ref="D87:F87"/>
    <mergeCell ref="O92:P92"/>
    <mergeCell ref="A6:N6"/>
    <mergeCell ref="A39:D39"/>
    <mergeCell ref="P8:AL8"/>
    <mergeCell ref="P7:AL7"/>
    <mergeCell ref="G86:I86"/>
    <mergeCell ref="A96:H103"/>
    <mergeCell ref="P67:S67"/>
    <mergeCell ref="T92:W92"/>
    <mergeCell ref="R85:U85"/>
    <mergeCell ref="K71:N71"/>
    <mergeCell ref="S96:Z103"/>
    <mergeCell ref="A93:AL93"/>
    <mergeCell ref="A38:D38"/>
    <mergeCell ref="A67:D67"/>
    <mergeCell ref="I91:J91"/>
    <mergeCell ref="A85:C85"/>
    <mergeCell ref="K91:L91"/>
    <mergeCell ref="N86:Q86"/>
    <mergeCell ref="A7:N7"/>
    <mergeCell ref="P6:AL6"/>
    <mergeCell ref="A74:E74"/>
    <mergeCell ref="G85:I85"/>
    <mergeCell ref="G92:H92"/>
    <mergeCell ref="I92:J92"/>
    <mergeCell ref="R87:U87"/>
    <mergeCell ref="AK16:AK17"/>
    <mergeCell ref="J87:M87"/>
    <mergeCell ref="AJ16:AJ17"/>
    <mergeCell ref="J96:Q103"/>
    <mergeCell ref="A12:AL14"/>
    <mergeCell ref="Q92:S92"/>
    <mergeCell ref="A87:C87"/>
    <mergeCell ref="A47:D47"/>
  </mergeCells>
  <conditionalFormatting sqref="AJ18:AJ37">
    <cfRule type="dataBar" priority="1">
      <dataBar>
        <cfvo type="num" val="0"/>
        <cfvo type="num" val="1"/>
        <color rgb="0010B981"/>
      </dataBar>
    </cfRule>
  </conditionalFormatting>
  <conditionalFormatting sqref="E18:AI37">
    <cfRule type="cellIs" priority="2" operator="equal" dxfId="0">
      <formula>"✓"</formula>
    </cfRule>
    <cfRule type="cellIs" priority="3" operator="equal" dxfId="0">
      <formula>"✔"</formula>
    </cfRule>
    <cfRule type="cellIs" priority="4" operator="equal" dxfId="1">
      <formula>"✗"</formula>
    </cfRule>
    <cfRule type="cellIs" priority="5" operator="equal" dxfId="1">
      <formula>"x"</formula>
    </cfRule>
    <cfRule type="cellIs" priority="6" operator="equal" dxfId="1">
      <formula>"X"</formula>
    </cfRule>
  </conditionalFormatting>
  <conditionalFormatting sqref="E16:E17">
    <cfRule type="expression" priority="7" dxfId="2">
      <formula>AND(DAY(TODAY())=1, MONTH(TODAY())=10, YEAR(TODAY())=2027)</formula>
    </cfRule>
  </conditionalFormatting>
  <conditionalFormatting sqref="F16:F17">
    <cfRule type="expression" priority="8" dxfId="2">
      <formula>AND(DAY(TODAY())=2, MONTH(TODAY())=10, YEAR(TODAY())=2027)</formula>
    </cfRule>
  </conditionalFormatting>
  <conditionalFormatting sqref="G16:G17">
    <cfRule type="expression" priority="9" dxfId="2">
      <formula>AND(DAY(TODAY())=3, MONTH(TODAY())=10, YEAR(TODAY())=2027)</formula>
    </cfRule>
  </conditionalFormatting>
  <conditionalFormatting sqref="H16:H17">
    <cfRule type="expression" priority="10" dxfId="2">
      <formula>AND(DAY(TODAY())=4, MONTH(TODAY())=10, YEAR(TODAY())=2027)</formula>
    </cfRule>
  </conditionalFormatting>
  <conditionalFormatting sqref="I16:I17">
    <cfRule type="expression" priority="11" dxfId="2">
      <formula>AND(DAY(TODAY())=5, MONTH(TODAY())=10, YEAR(TODAY())=2027)</formula>
    </cfRule>
  </conditionalFormatting>
  <conditionalFormatting sqref="J16:J17">
    <cfRule type="expression" priority="12" dxfId="2">
      <formula>AND(DAY(TODAY())=6, MONTH(TODAY())=10, YEAR(TODAY())=2027)</formula>
    </cfRule>
  </conditionalFormatting>
  <conditionalFormatting sqref="K16:K17">
    <cfRule type="expression" priority="13" dxfId="2">
      <formula>AND(DAY(TODAY())=7, MONTH(TODAY())=10, YEAR(TODAY())=2027)</formula>
    </cfRule>
  </conditionalFormatting>
  <conditionalFormatting sqref="L16:L17">
    <cfRule type="expression" priority="14" dxfId="2">
      <formula>AND(DAY(TODAY())=8, MONTH(TODAY())=10, YEAR(TODAY())=2027)</formula>
    </cfRule>
  </conditionalFormatting>
  <conditionalFormatting sqref="M16:M17">
    <cfRule type="expression" priority="15" dxfId="2">
      <formula>AND(DAY(TODAY())=9, MONTH(TODAY())=10, YEAR(TODAY())=2027)</formula>
    </cfRule>
  </conditionalFormatting>
  <conditionalFormatting sqref="N16:N17">
    <cfRule type="expression" priority="16" dxfId="2">
      <formula>AND(DAY(TODAY())=10, MONTH(TODAY())=10, YEAR(TODAY())=2027)</formula>
    </cfRule>
  </conditionalFormatting>
  <conditionalFormatting sqref="O16:O17">
    <cfRule type="expression" priority="17" dxfId="2">
      <formula>AND(DAY(TODAY())=11, MONTH(TODAY())=10, YEAR(TODAY())=2027)</formula>
    </cfRule>
  </conditionalFormatting>
  <conditionalFormatting sqref="P16:P17">
    <cfRule type="expression" priority="18" dxfId="2">
      <formula>AND(DAY(TODAY())=12, MONTH(TODAY())=10, YEAR(TODAY())=2027)</formula>
    </cfRule>
  </conditionalFormatting>
  <conditionalFormatting sqref="Q16:Q17">
    <cfRule type="expression" priority="19" dxfId="2">
      <formula>AND(DAY(TODAY())=13, MONTH(TODAY())=10, YEAR(TODAY())=2027)</formula>
    </cfRule>
  </conditionalFormatting>
  <conditionalFormatting sqref="R16:R17">
    <cfRule type="expression" priority="20" dxfId="2">
      <formula>AND(DAY(TODAY())=14, MONTH(TODAY())=10, YEAR(TODAY())=2027)</formula>
    </cfRule>
  </conditionalFormatting>
  <conditionalFormatting sqref="S16:S17">
    <cfRule type="expression" priority="21" dxfId="2">
      <formula>AND(DAY(TODAY())=15, MONTH(TODAY())=10, YEAR(TODAY())=2027)</formula>
    </cfRule>
  </conditionalFormatting>
  <conditionalFormatting sqref="T16:T17">
    <cfRule type="expression" priority="22" dxfId="2">
      <formula>AND(DAY(TODAY())=16, MONTH(TODAY())=10, YEAR(TODAY())=2027)</formula>
    </cfRule>
  </conditionalFormatting>
  <conditionalFormatting sqref="U16:U17">
    <cfRule type="expression" priority="23" dxfId="2">
      <formula>AND(DAY(TODAY())=17, MONTH(TODAY())=10, YEAR(TODAY())=2027)</formula>
    </cfRule>
  </conditionalFormatting>
  <conditionalFormatting sqref="V16:V17">
    <cfRule type="expression" priority="24" dxfId="2">
      <formula>AND(DAY(TODAY())=18, MONTH(TODAY())=10, YEAR(TODAY())=2027)</formula>
    </cfRule>
  </conditionalFormatting>
  <conditionalFormatting sqref="W16:W17">
    <cfRule type="expression" priority="25" dxfId="2">
      <formula>AND(DAY(TODAY())=19, MONTH(TODAY())=10, YEAR(TODAY())=2027)</formula>
    </cfRule>
  </conditionalFormatting>
  <conditionalFormatting sqref="X16:X17">
    <cfRule type="expression" priority="26" dxfId="2">
      <formula>AND(DAY(TODAY())=20, MONTH(TODAY())=10, YEAR(TODAY())=2027)</formula>
    </cfRule>
  </conditionalFormatting>
  <conditionalFormatting sqref="Y16:Y17">
    <cfRule type="expression" priority="27" dxfId="2">
      <formula>AND(DAY(TODAY())=21, MONTH(TODAY())=10, YEAR(TODAY())=2027)</formula>
    </cfRule>
  </conditionalFormatting>
  <conditionalFormatting sqref="Z16:Z17">
    <cfRule type="expression" priority="28" dxfId="2">
      <formula>AND(DAY(TODAY())=22, MONTH(TODAY())=10, YEAR(TODAY())=2027)</formula>
    </cfRule>
  </conditionalFormatting>
  <conditionalFormatting sqref="AA16:AA17">
    <cfRule type="expression" priority="29" dxfId="2">
      <formula>AND(DAY(TODAY())=23, MONTH(TODAY())=10, YEAR(TODAY())=2027)</formula>
    </cfRule>
  </conditionalFormatting>
  <conditionalFormatting sqref="AB16:AB17">
    <cfRule type="expression" priority="30" dxfId="2">
      <formula>AND(DAY(TODAY())=24, MONTH(TODAY())=10, YEAR(TODAY())=2027)</formula>
    </cfRule>
  </conditionalFormatting>
  <conditionalFormatting sqref="AC16:AC17">
    <cfRule type="expression" priority="31" dxfId="2">
      <formula>AND(DAY(TODAY())=25, MONTH(TODAY())=10, YEAR(TODAY())=2027)</formula>
    </cfRule>
  </conditionalFormatting>
  <conditionalFormatting sqref="AD16:AD17">
    <cfRule type="expression" priority="32" dxfId="2">
      <formula>AND(DAY(TODAY())=26, MONTH(TODAY())=10, YEAR(TODAY())=2027)</formula>
    </cfRule>
  </conditionalFormatting>
  <conditionalFormatting sqref="AE16:AE17">
    <cfRule type="expression" priority="33" dxfId="2">
      <formula>AND(DAY(TODAY())=27, MONTH(TODAY())=10, YEAR(TODAY())=2027)</formula>
    </cfRule>
  </conditionalFormatting>
  <conditionalFormatting sqref="AF16:AF17">
    <cfRule type="expression" priority="34" dxfId="2">
      <formula>AND(DAY(TODAY())=28, MONTH(TODAY())=10, YEAR(TODAY())=2027)</formula>
    </cfRule>
  </conditionalFormatting>
  <conditionalFormatting sqref="AG16:AG17">
    <cfRule type="expression" priority="35" dxfId="2">
      <formula>AND(DAY(TODAY())=29, MONTH(TODAY())=10, YEAR(TODAY())=2027)</formula>
    </cfRule>
  </conditionalFormatting>
  <conditionalFormatting sqref="AH16:AH17">
    <cfRule type="expression" priority="36" dxfId="2">
      <formula>AND(DAY(TODAY())=30, MONTH(TODAY())=10, YEAR(TODAY())=2027)</formula>
    </cfRule>
  </conditionalFormatting>
  <conditionalFormatting sqref="AI16:AI17">
    <cfRule type="expression" priority="37" dxfId="2">
      <formula>AND(DAY(TODAY())=31, MONTH(TODAY())=10, YEAR(TODAY())=2027)</formula>
    </cfRule>
  </conditionalFormatting>
  <dataValidations count="4">
    <dataValidation sqref="C18:C37" showDropDown="0" showInputMessage="0" showErrorMessage="0" allowBlank="1" type="list">
      <formula1>"Health &amp; Fitness,Mindset &amp; Learning,Career &amp; Focus,Personal &amp; Home,Finance &amp; Wealth,Other"</formula1>
    </dataValidation>
    <dataValidation sqref="D18:D37" showDropDown="0" showInputMessage="0" showErrorMessage="0" allowBlank="1" type="list">
      <formula1>"1,2,3,4,5,6,7,8,9,10,11,12,13,14,15,16,17,18,19,20,21,22,23,24,25,26,27,28,29,30,31"</formula1>
    </dataValidation>
    <dataValidation sqref="E18:AI37" showDropDown="0" showInputMessage="0" showErrorMessage="0" allowBlank="1" type="list">
      <formula1>"✓,✗"</formula1>
    </dataValidation>
    <dataValidation sqref="E47:AI47" showDropDown="0" showInputMessage="0" showErrorMessage="0" allowBlank="1" type="list">
      <formula1>"1,2,3,4,5,6,7,8,9,10,11,12,13,14,15,16,17,18,19,20,21,22,23,24"</formula1>
    </dataValidation>
  </dataValidations>
  <hyperlinks>
    <hyperlink xmlns:r="http://schemas.openxmlformats.org/officeDocument/2006/relationships" ref="A1" r:id="rId1"/>
    <hyperlink xmlns:r="http://schemas.openxmlformats.org/officeDocument/2006/relationships" ref="C1" r:id="rId2"/>
    <hyperlink xmlns:r="http://schemas.openxmlformats.org/officeDocument/2006/relationships" ref="D1" r:id="rId3"/>
    <hyperlink xmlns:r="http://schemas.openxmlformats.org/officeDocument/2006/relationships" ref="E1" r:id="rId4"/>
    <hyperlink xmlns:r="http://schemas.openxmlformats.org/officeDocument/2006/relationships" ref="F1" r:id="rId5"/>
    <hyperlink xmlns:r="http://schemas.openxmlformats.org/officeDocument/2006/relationships" ref="G1" r:id="rId6"/>
    <hyperlink xmlns:r="http://schemas.openxmlformats.org/officeDocument/2006/relationships" ref="H1" r:id="rId7"/>
    <hyperlink xmlns:r="http://schemas.openxmlformats.org/officeDocument/2006/relationships" ref="I1" r:id="rId8"/>
    <hyperlink xmlns:r="http://schemas.openxmlformats.org/officeDocument/2006/relationships" ref="J1" r:id="rId9"/>
    <hyperlink xmlns:r="http://schemas.openxmlformats.org/officeDocument/2006/relationships" ref="K1" r:id="rId10"/>
  </hyperlinks>
  <printOptions horizontalCentered="1" verticalCentered="0"/>
  <pageMargins left="0.75" right="0.75" top="1" bottom="1" header="0.5" footer="0.5"/>
  <pageSetup orientation="landscape" paperSize="9" fitToHeight="0" fitToWidth="1"/>
  <drawing xmlns:r="http://schemas.openxmlformats.org/officeDocument/2006/relationships" r:id="rId11"/>
</worksheet>
</file>

<file path=xl/worksheets/sheet18.xml><?xml version="1.0" encoding="utf-8"?>
<worksheet xmlns="http://schemas.openxmlformats.org/spreadsheetml/2006/main">
  <sheetPr>
    <outlinePr summaryBelow="1" summaryRight="1"/>
    <pageSetUpPr fitToPage="1"/>
  </sheetPr>
  <dimension ref="A1:AL103"/>
  <sheetViews>
    <sheetView showGridLines="1" workbookViewId="0">
      <selection activeCell="A1" sqref="A1"/>
    </sheetView>
  </sheetViews>
  <sheetFormatPr baseColWidth="8" defaultRowHeight="15"/>
  <cols>
    <col width="6" customWidth="1" min="1" max="1"/>
    <col width="25" customWidth="1" min="2" max="2"/>
    <col width="16.5" customWidth="1" min="3" max="3"/>
    <col width="8" customWidth="1" min="4" max="4"/>
    <col width="4.8" customWidth="1" min="5" max="5"/>
    <col width="4.8" customWidth="1" min="6" max="6"/>
    <col width="4.8" customWidth="1" min="7" max="7"/>
    <col width="4.8" customWidth="1" min="8" max="8"/>
    <col width="4.8" customWidth="1" min="9" max="9"/>
    <col width="4.8" customWidth="1" min="10" max="10"/>
    <col width="4.8" customWidth="1" min="11" max="11"/>
    <col width="4.8" customWidth="1" min="12" max="12"/>
    <col width="4.8" customWidth="1" min="13" max="13"/>
    <col width="4.8" customWidth="1" min="14" max="14"/>
    <col width="4.8" customWidth="1" min="15" max="15"/>
    <col width="4.8" customWidth="1" min="16" max="16"/>
    <col width="4.8" customWidth="1" min="17" max="17"/>
    <col width="4.8" customWidth="1" min="18" max="18"/>
    <col width="4.8" customWidth="1" min="19" max="19"/>
    <col width="4.8" customWidth="1" min="20" max="20"/>
    <col width="4.8" customWidth="1" min="21" max="21"/>
    <col width="4.8" customWidth="1" min="22" max="22"/>
    <col width="4.8" customWidth="1" min="23" max="23"/>
    <col width="4.8" customWidth="1" min="24" max="24"/>
    <col width="4.8" customWidth="1" min="25" max="25"/>
    <col width="4.8" customWidth="1" min="26" max="26"/>
    <col width="4.8" customWidth="1" min="27" max="27"/>
    <col width="4.8" customWidth="1" min="28" max="28"/>
    <col width="4.8" customWidth="1" min="29" max="29"/>
    <col width="4.8" customWidth="1" min="30" max="30"/>
    <col width="4.8" customWidth="1" min="31" max="31"/>
    <col width="4.8" customWidth="1" min="32" max="32"/>
    <col width="4.8" customWidth="1" min="33" max="33"/>
    <col width="4.8" customWidth="1" min="34" max="34"/>
    <col width="11.5" customWidth="1" min="35" max="35"/>
    <col width="12" customWidth="1" min="36" max="36"/>
    <col width="13.5" customWidth="1" min="37" max="37"/>
    <col hidden="1" width="8" customWidth="1" min="38" max="38"/>
  </cols>
  <sheetData>
    <row r="1" ht="18" customHeight="1">
      <c r="A1" s="76" t="inlineStr">
        <is>
          <t>🏠 Master Dashboard</t>
        </is>
      </c>
      <c r="B1" s="40" t="n"/>
      <c r="C1" s="77" t="inlineStr">
        <is>
          <t>🏛️ Quarterly Hub</t>
        </is>
      </c>
      <c r="D1" s="78" t="inlineStr">
        <is>
          <t>📚 Habit Library</t>
        </is>
      </c>
      <c r="E1" s="80" t="inlineStr">
        <is>
          <t>2026</t>
        </is>
      </c>
      <c r="F1" s="79" t="inlineStr">
        <is>
          <t>2027</t>
        </is>
      </c>
      <c r="G1" s="80" t="inlineStr">
        <is>
          <t>2028</t>
        </is>
      </c>
      <c r="H1" s="80" t="inlineStr">
        <is>
          <t>2029</t>
        </is>
      </c>
      <c r="I1" s="80" t="inlineStr">
        <is>
          <t>2030</t>
        </is>
      </c>
      <c r="J1" s="82" t="inlineStr">
        <is>
          <t>◀ Prev</t>
        </is>
      </c>
      <c r="K1" s="82" t="inlineStr">
        <is>
          <t>Next ▶</t>
        </is>
      </c>
    </row>
    <row r="2" ht="24" customHeight="1">
      <c r="A2" s="83" t="inlineStr">
        <is>
          <t>Habit Tracker</t>
        </is>
      </c>
      <c r="H2" s="84" t="inlineStr">
        <is>
          <t>"Focus on the process."</t>
        </is>
      </c>
      <c r="AD2" s="85" t="inlineStr">
        <is>
          <t>@surajvansh</t>
        </is>
      </c>
    </row>
    <row r="3" ht="18" customHeight="1">
      <c r="A3" s="86" t="inlineStr">
        <is>
          <t>November 2027</t>
        </is>
      </c>
      <c r="H3" s="87" t="inlineStr">
        <is>
          <t>30 Days Dashboard</t>
        </is>
      </c>
    </row>
    <row r="4" ht="5" customHeight="1"/>
    <row r="5" ht="16" customHeight="1">
      <c r="A5" s="88" t="inlineStr">
        <is>
          <t>MONTHLY TARGETS</t>
        </is>
      </c>
    </row>
    <row r="6" ht="13" customHeight="1">
      <c r="A6" s="89" t="inlineStr">
        <is>
          <t>1. ____________________ : ____________________</t>
        </is>
      </c>
      <c r="P6" s="89" t="inlineStr">
        <is>
          <t>5. ____________________ : ____________________</t>
        </is>
      </c>
    </row>
    <row r="7" ht="13" customHeight="1">
      <c r="A7" s="89" t="inlineStr">
        <is>
          <t>2. ____________________ : ____________________</t>
        </is>
      </c>
      <c r="P7" s="89" t="inlineStr">
        <is>
          <t>6. ____________________ : ____________________</t>
        </is>
      </c>
    </row>
    <row r="8" ht="13" customHeight="1">
      <c r="A8" s="89" t="inlineStr">
        <is>
          <t>3. ____________________ : ____________________</t>
        </is>
      </c>
      <c r="P8" s="89" t="inlineStr">
        <is>
          <t>7. ____________________ : ____________________</t>
        </is>
      </c>
    </row>
    <row r="9" ht="13" customHeight="1">
      <c r="A9" s="89" t="inlineStr">
        <is>
          <t>4. ____________________ : ____________________</t>
        </is>
      </c>
      <c r="P9" s="89" t="inlineStr">
        <is>
          <t>8. ____________________ : ____________________</t>
        </is>
      </c>
    </row>
    <row r="10" ht="5" customHeight="1"/>
    <row r="11" ht="15" customHeight="1">
      <c r="A11" s="88" t="inlineStr">
        <is>
          <t>NOTES:</t>
        </is>
      </c>
    </row>
    <row r="12" ht="13" customHeight="1">
      <c r="A12" s="90" t="n"/>
      <c r="B12" s="91" t="n"/>
      <c r="C12" s="91" t="n"/>
      <c r="D12" s="91" t="n"/>
      <c r="E12" s="91" t="n"/>
      <c r="F12" s="91" t="n"/>
      <c r="G12" s="91" t="n"/>
      <c r="H12" s="91" t="n"/>
      <c r="I12" s="91" t="n"/>
      <c r="J12" s="91" t="n"/>
      <c r="K12" s="91" t="n"/>
      <c r="L12" s="91" t="n"/>
      <c r="M12" s="91" t="n"/>
      <c r="N12" s="91" t="n"/>
      <c r="O12" s="91" t="n"/>
      <c r="P12" s="91" t="n"/>
      <c r="Q12" s="91" t="n"/>
      <c r="R12" s="91" t="n"/>
      <c r="S12" s="91" t="n"/>
      <c r="T12" s="91" t="n"/>
      <c r="U12" s="91" t="n"/>
      <c r="V12" s="91" t="n"/>
      <c r="W12" s="91" t="n"/>
      <c r="X12" s="91" t="n"/>
      <c r="Y12" s="91" t="n"/>
      <c r="Z12" s="91" t="n"/>
      <c r="AA12" s="91" t="n"/>
      <c r="AB12" s="91" t="n"/>
      <c r="AC12" s="91" t="n"/>
      <c r="AD12" s="91" t="n"/>
      <c r="AE12" s="91" t="n"/>
      <c r="AF12" s="91" t="n"/>
      <c r="AG12" s="91" t="n"/>
      <c r="AH12" s="91" t="n"/>
      <c r="AI12" s="91" t="n"/>
      <c r="AJ12" s="91" t="n"/>
      <c r="AK12" s="91" t="n"/>
    </row>
    <row r="13" ht="13" customHeight="1">
      <c r="A13" s="91" t="n"/>
      <c r="B13" s="91" t="n"/>
      <c r="C13" s="91" t="n"/>
      <c r="D13" s="91" t="n"/>
      <c r="E13" s="91" t="n"/>
      <c r="F13" s="91" t="n"/>
      <c r="G13" s="91" t="n"/>
      <c r="H13" s="91" t="n"/>
      <c r="I13" s="91" t="n"/>
      <c r="J13" s="91" t="n"/>
      <c r="K13" s="91" t="n"/>
      <c r="L13" s="91" t="n"/>
      <c r="M13" s="91" t="n"/>
      <c r="N13" s="91" t="n"/>
      <c r="O13" s="91" t="n"/>
      <c r="P13" s="91" t="n"/>
      <c r="Q13" s="91" t="n"/>
      <c r="R13" s="91" t="n"/>
      <c r="S13" s="91" t="n"/>
      <c r="T13" s="91" t="n"/>
      <c r="U13" s="91" t="n"/>
      <c r="V13" s="91" t="n"/>
      <c r="W13" s="91" t="n"/>
      <c r="X13" s="91" t="n"/>
      <c r="Y13" s="91" t="n"/>
      <c r="Z13" s="91" t="n"/>
      <c r="AA13" s="91" t="n"/>
      <c r="AB13" s="91" t="n"/>
      <c r="AC13" s="91" t="n"/>
      <c r="AD13" s="91" t="n"/>
      <c r="AE13" s="91" t="n"/>
      <c r="AF13" s="91" t="n"/>
      <c r="AG13" s="91" t="n"/>
      <c r="AH13" s="91" t="n"/>
      <c r="AI13" s="91" t="n"/>
      <c r="AJ13" s="91" t="n"/>
      <c r="AK13" s="91" t="n"/>
    </row>
    <row r="14" ht="13" customHeight="1">
      <c r="A14" s="91" t="n"/>
      <c r="B14" s="91" t="n"/>
      <c r="C14" s="91" t="n"/>
      <c r="D14" s="91" t="n"/>
      <c r="E14" s="91" t="n"/>
      <c r="F14" s="91" t="n"/>
      <c r="G14" s="91" t="n"/>
      <c r="H14" s="91" t="n"/>
      <c r="I14" s="91" t="n"/>
      <c r="J14" s="91" t="n"/>
      <c r="K14" s="91" t="n"/>
      <c r="L14" s="91" t="n"/>
      <c r="M14" s="91" t="n"/>
      <c r="N14" s="91" t="n"/>
      <c r="O14" s="91" t="n"/>
      <c r="P14" s="91" t="n"/>
      <c r="Q14" s="91" t="n"/>
      <c r="R14" s="91" t="n"/>
      <c r="S14" s="91" t="n"/>
      <c r="T14" s="91" t="n"/>
      <c r="U14" s="91" t="n"/>
      <c r="V14" s="91" t="n"/>
      <c r="W14" s="91" t="n"/>
      <c r="X14" s="91" t="n"/>
      <c r="Y14" s="91" t="n"/>
      <c r="Z14" s="91" t="n"/>
      <c r="AA14" s="91" t="n"/>
      <c r="AB14" s="91" t="n"/>
      <c r="AC14" s="91" t="n"/>
      <c r="AD14" s="91" t="n"/>
      <c r="AE14" s="91" t="n"/>
      <c r="AF14" s="91" t="n"/>
      <c r="AG14" s="91" t="n"/>
      <c r="AH14" s="91" t="n"/>
      <c r="AI14" s="91" t="n"/>
      <c r="AJ14" s="91" t="n"/>
      <c r="AK14" s="91" t="n"/>
    </row>
    <row r="15" ht="8" customHeight="1"/>
    <row r="16" ht="15" customHeight="1">
      <c r="A16" s="33" t="inlineStr">
        <is>
          <t>S.No.</t>
        </is>
      </c>
      <c r="B16" s="33" t="inlineStr">
        <is>
          <t>Protocols</t>
        </is>
      </c>
      <c r="C16" s="33" t="inlineStr">
        <is>
          <t>Category</t>
        </is>
      </c>
      <c r="D16" s="33" t="inlineStr">
        <is>
          <t>Target</t>
        </is>
      </c>
      <c r="E16" s="92" t="n">
        <v>1</v>
      </c>
      <c r="F16" s="92" t="n">
        <v>2</v>
      </c>
      <c r="G16" s="92" t="n">
        <v>3</v>
      </c>
      <c r="H16" s="92" t="n">
        <v>4</v>
      </c>
      <c r="I16" s="92" t="n">
        <v>5</v>
      </c>
      <c r="J16" s="92" t="n">
        <v>6</v>
      </c>
      <c r="K16" s="93" t="n">
        <v>7</v>
      </c>
      <c r="L16" s="92" t="n">
        <v>8</v>
      </c>
      <c r="M16" s="92" t="n">
        <v>9</v>
      </c>
      <c r="N16" s="92" t="n">
        <v>10</v>
      </c>
      <c r="O16" s="92" t="n">
        <v>11</v>
      </c>
      <c r="P16" s="92" t="n">
        <v>12</v>
      </c>
      <c r="Q16" s="92" t="n">
        <v>13</v>
      </c>
      <c r="R16" s="93" t="n">
        <v>14</v>
      </c>
      <c r="S16" s="92" t="n">
        <v>15</v>
      </c>
      <c r="T16" s="92" t="n">
        <v>16</v>
      </c>
      <c r="U16" s="92" t="n">
        <v>17</v>
      </c>
      <c r="V16" s="92" t="n">
        <v>18</v>
      </c>
      <c r="W16" s="92" t="n">
        <v>19</v>
      </c>
      <c r="X16" s="92" t="n">
        <v>20</v>
      </c>
      <c r="Y16" s="93" t="n">
        <v>21</v>
      </c>
      <c r="Z16" s="92" t="n">
        <v>22</v>
      </c>
      <c r="AA16" s="92" t="n">
        <v>23</v>
      </c>
      <c r="AB16" s="92" t="n">
        <v>24</v>
      </c>
      <c r="AC16" s="92" t="n">
        <v>25</v>
      </c>
      <c r="AD16" s="92" t="n">
        <v>26</v>
      </c>
      <c r="AE16" s="92" t="n">
        <v>27</v>
      </c>
      <c r="AF16" s="93" t="n">
        <v>28</v>
      </c>
      <c r="AG16" s="92" t="n">
        <v>29</v>
      </c>
      <c r="AH16" s="92" t="n">
        <v>30</v>
      </c>
      <c r="AI16" s="94" t="inlineStr">
        <is>
          <t>Success %</t>
        </is>
      </c>
      <c r="AJ16" s="94" t="inlineStr">
        <is>
          <t>Done / Target</t>
        </is>
      </c>
      <c r="AK16" s="94" t="inlineStr">
        <is>
          <t>Status</t>
        </is>
      </c>
      <c r="AL16" t="inlineStr">
        <is>
          <t>Done Count</t>
        </is>
      </c>
    </row>
    <row r="17" ht="15" customHeight="1">
      <c r="A17" s="54" t="n"/>
      <c r="B17" s="54" t="n"/>
      <c r="C17" s="54" t="n"/>
      <c r="D17" s="54" t="n"/>
      <c r="E17" s="95" t="inlineStr">
        <is>
          <t>M</t>
        </is>
      </c>
      <c r="F17" s="95" t="inlineStr">
        <is>
          <t>T</t>
        </is>
      </c>
      <c r="G17" s="95" t="inlineStr">
        <is>
          <t>W</t>
        </is>
      </c>
      <c r="H17" s="95" t="inlineStr">
        <is>
          <t>Th</t>
        </is>
      </c>
      <c r="I17" s="95" t="inlineStr">
        <is>
          <t>F</t>
        </is>
      </c>
      <c r="J17" s="95" t="inlineStr">
        <is>
          <t>Sa</t>
        </is>
      </c>
      <c r="K17" s="96" t="inlineStr">
        <is>
          <t>Su</t>
        </is>
      </c>
      <c r="L17" s="95" t="inlineStr">
        <is>
          <t>M</t>
        </is>
      </c>
      <c r="M17" s="95" t="inlineStr">
        <is>
          <t>T</t>
        </is>
      </c>
      <c r="N17" s="95" t="inlineStr">
        <is>
          <t>W</t>
        </is>
      </c>
      <c r="O17" s="95" t="inlineStr">
        <is>
          <t>Th</t>
        </is>
      </c>
      <c r="P17" s="95" t="inlineStr">
        <is>
          <t>F</t>
        </is>
      </c>
      <c r="Q17" s="95" t="inlineStr">
        <is>
          <t>Sa</t>
        </is>
      </c>
      <c r="R17" s="96" t="inlineStr">
        <is>
          <t>Su</t>
        </is>
      </c>
      <c r="S17" s="95" t="inlineStr">
        <is>
          <t>M</t>
        </is>
      </c>
      <c r="T17" s="95" t="inlineStr">
        <is>
          <t>T</t>
        </is>
      </c>
      <c r="U17" s="95" t="inlineStr">
        <is>
          <t>W</t>
        </is>
      </c>
      <c r="V17" s="95" t="inlineStr">
        <is>
          <t>Th</t>
        </is>
      </c>
      <c r="W17" s="95" t="inlineStr">
        <is>
          <t>F</t>
        </is>
      </c>
      <c r="X17" s="95" t="inlineStr">
        <is>
          <t>Sa</t>
        </is>
      </c>
      <c r="Y17" s="96" t="inlineStr">
        <is>
          <t>Su</t>
        </is>
      </c>
      <c r="Z17" s="95" t="inlineStr">
        <is>
          <t>M</t>
        </is>
      </c>
      <c r="AA17" s="95" t="inlineStr">
        <is>
          <t>T</t>
        </is>
      </c>
      <c r="AB17" s="95" t="inlineStr">
        <is>
          <t>W</t>
        </is>
      </c>
      <c r="AC17" s="95" t="inlineStr">
        <is>
          <t>Th</t>
        </is>
      </c>
      <c r="AD17" s="95" t="inlineStr">
        <is>
          <t>F</t>
        </is>
      </c>
      <c r="AE17" s="95" t="inlineStr">
        <is>
          <t>Sa</t>
        </is>
      </c>
      <c r="AF17" s="96" t="inlineStr">
        <is>
          <t>Su</t>
        </is>
      </c>
      <c r="AG17" s="95" t="inlineStr">
        <is>
          <t>M</t>
        </is>
      </c>
      <c r="AH17" s="95" t="inlineStr">
        <is>
          <t>T</t>
        </is>
      </c>
      <c r="AI17" s="54" t="n"/>
      <c r="AJ17" s="54" t="n"/>
      <c r="AK17" s="54" t="n"/>
    </row>
    <row r="18" ht="14.5" customHeight="1">
      <c r="A18" s="97" t="n">
        <v>1</v>
      </c>
      <c r="B18" s="98" t="n"/>
      <c r="C18" s="99" t="n"/>
      <c r="D18" s="99" t="n"/>
      <c r="E18" s="100" t="n"/>
      <c r="F18" s="100" t="n"/>
      <c r="G18" s="100" t="n"/>
      <c r="H18" s="100" t="n"/>
      <c r="I18" s="100" t="n"/>
      <c r="J18" s="100" t="n"/>
      <c r="K18" s="101" t="n"/>
      <c r="L18" s="100" t="n"/>
      <c r="M18" s="100" t="n"/>
      <c r="N18" s="100" t="n"/>
      <c r="O18" s="100" t="n"/>
      <c r="P18" s="100" t="n"/>
      <c r="Q18" s="100" t="n"/>
      <c r="R18" s="101" t="n"/>
      <c r="S18" s="100" t="n"/>
      <c r="T18" s="100" t="n"/>
      <c r="U18" s="100" t="n"/>
      <c r="V18" s="100" t="n"/>
      <c r="W18" s="100" t="n"/>
      <c r="X18" s="100" t="n"/>
      <c r="Y18" s="101" t="n"/>
      <c r="Z18" s="100" t="n"/>
      <c r="AA18" s="100" t="n"/>
      <c r="AB18" s="100" t="n"/>
      <c r="AC18" s="100" t="n"/>
      <c r="AD18" s="100" t="n"/>
      <c r="AE18" s="100" t="n"/>
      <c r="AF18" s="101" t="n"/>
      <c r="AG18" s="100" t="n"/>
      <c r="AH18" s="100" t="n"/>
      <c r="AI18" s="102">
        <f>IF(ISBLANK(B18), "", IF(ISNUMBER(D18), IF(D18&gt;0, (COUNTIF(E18:AH18, "✓") + COUNTIF(E18:AH18, "✔") + COUNTIF(E18:AH18, "v") + COUNTIF(E18:AH18, "V"))/D18, 0), IF(((COUNTIF(E18:AH18, "✓") + COUNTIF(E18:AH18, "✔") + COUNTIF(E18:AH18, "v") + COUNTIF(E18:AH18, "V")) + COUNTIF(E18:AH18, "✗") + COUNTIF(E18:AH18, "x") + COUNTIF(E18:AH18, "X"))&gt;0, (COUNTIF(E18:AH18, "✓") + COUNTIF(E18:AH18, "✔") + COUNTIF(E18:AH18, "v") + COUNTIF(E18:AH18, "V"))/((COUNTIF(E18:AH18, "✓") + COUNTIF(E18:AH18, "✔") + COUNTIF(E18:AH18, "v") + COUNTIF(E18:AH18, "V")) + COUNTIF(E18:AH18, "✗") + COUNTIF(E18:AH18, "x") + COUNTIF(E18:AH18, "X")), "")))</f>
        <v/>
      </c>
      <c r="AJ18" s="103">
        <f>IF(ISBLANK(B18), "", IF(ISNUMBER(D18), IF(D18&gt;0, (COUNTIF(E18:AH18, "✓") + COUNTIF(E18:AH18, "✔") + COUNTIF(E18:AH18, "v") + COUNTIF(E18:AH18, "V")) &amp; "/" &amp; D18, (COUNTIF(E18:AH18, "✓") + COUNTIF(E18:AH18, "✔") + COUNTIF(E18:AH18, "v") + COUNTIF(E18:AH18, "V")) &amp; "/0"), IF(((COUNTIF(E18:AH18, "✓") + COUNTIF(E18:AH18, "✔") + COUNTIF(E18:AH18, "v") + COUNTIF(E18:AH18, "V")) + COUNTIF(E18:AH18, "✗") + COUNTIF(E18:AH18, "x") + COUNTIF(E18:AH18, "X"))&gt;0, (COUNTIF(E18:AH18, "✓") + COUNTIF(E18:AH18, "✔") + COUNTIF(E18:AH18, "v") + COUNTIF(E18:AH18, "V")) &amp; "/" &amp; ((COUNTIF(E18:AH18, "✓") + COUNTIF(E18:AH18, "✔") + COUNTIF(E18:AH18, "v") + COUNTIF(E18:AH18, "V")) + COUNTIF(E18:AH18, "✗") + COUNTIF(E18:AH18, "x") + COUNTIF(E18:AH18, "X")), "")))</f>
        <v/>
      </c>
      <c r="AK18" s="103">
        <f>IF(ISBLANK(B18), "", IF(AI18&gt;=0.85, "🔥 Mastered", IF(AI18&gt;=0.7, "⚡ Consistent", "⚠️ Needs Focus")))</f>
        <v/>
      </c>
      <c r="AL18">
        <f>COUNTIF(E18:AH18, "✓")</f>
        <v/>
      </c>
    </row>
    <row r="19" ht="14.5" customHeight="1">
      <c r="A19" s="97" t="n">
        <v>2</v>
      </c>
      <c r="B19" s="98" t="n"/>
      <c r="C19" s="99" t="n"/>
      <c r="D19" s="99" t="n"/>
      <c r="E19" s="100" t="n"/>
      <c r="F19" s="100" t="n"/>
      <c r="G19" s="100" t="n"/>
      <c r="H19" s="100" t="n"/>
      <c r="I19" s="100" t="n"/>
      <c r="J19" s="100" t="n"/>
      <c r="K19" s="101" t="n"/>
      <c r="L19" s="100" t="n"/>
      <c r="M19" s="100" t="n"/>
      <c r="N19" s="100" t="n"/>
      <c r="O19" s="100" t="n"/>
      <c r="P19" s="100" t="n"/>
      <c r="Q19" s="100" t="n"/>
      <c r="R19" s="101" t="n"/>
      <c r="S19" s="100" t="n"/>
      <c r="T19" s="100" t="n"/>
      <c r="U19" s="100" t="n"/>
      <c r="V19" s="100" t="n"/>
      <c r="W19" s="100" t="n"/>
      <c r="X19" s="100" t="n"/>
      <c r="Y19" s="101" t="n"/>
      <c r="Z19" s="100" t="n"/>
      <c r="AA19" s="100" t="n"/>
      <c r="AB19" s="100" t="n"/>
      <c r="AC19" s="100" t="n"/>
      <c r="AD19" s="100" t="n"/>
      <c r="AE19" s="100" t="n"/>
      <c r="AF19" s="101" t="n"/>
      <c r="AG19" s="100" t="n"/>
      <c r="AH19" s="100" t="n"/>
      <c r="AI19" s="102">
        <f>IF(ISBLANK(B19), "", IF(ISNUMBER(D19), IF(D19&gt;0, (COUNTIF(E19:AH19, "✓") + COUNTIF(E19:AH19, "✔") + COUNTIF(E19:AH19, "v") + COUNTIF(E19:AH19, "V"))/D19, 0), IF(((COUNTIF(E19:AH19, "✓") + COUNTIF(E19:AH19, "✔") + COUNTIF(E19:AH19, "v") + COUNTIF(E19:AH19, "V")) + COUNTIF(E19:AH19, "✗") + COUNTIF(E19:AH19, "x") + COUNTIF(E19:AH19, "X"))&gt;0, (COUNTIF(E19:AH19, "✓") + COUNTIF(E19:AH19, "✔") + COUNTIF(E19:AH19, "v") + COUNTIF(E19:AH19, "V"))/((COUNTIF(E19:AH19, "✓") + COUNTIF(E19:AH19, "✔") + COUNTIF(E19:AH19, "v") + COUNTIF(E19:AH19, "V")) + COUNTIF(E19:AH19, "✗") + COUNTIF(E19:AH19, "x") + COUNTIF(E19:AH19, "X")), "")))</f>
        <v/>
      </c>
      <c r="AJ19" s="103">
        <f>IF(ISBLANK(B19), "", IF(ISNUMBER(D19), IF(D19&gt;0, (COUNTIF(E19:AH19, "✓") + COUNTIF(E19:AH19, "✔") + COUNTIF(E19:AH19, "v") + COUNTIF(E19:AH19, "V")) &amp; "/" &amp; D19, (COUNTIF(E19:AH19, "✓") + COUNTIF(E19:AH19, "✔") + COUNTIF(E19:AH19, "v") + COUNTIF(E19:AH19, "V")) &amp; "/0"), IF(((COUNTIF(E19:AH19, "✓") + COUNTIF(E19:AH19, "✔") + COUNTIF(E19:AH19, "v") + COUNTIF(E19:AH19, "V")) + COUNTIF(E19:AH19, "✗") + COUNTIF(E19:AH19, "x") + COUNTIF(E19:AH19, "X"))&gt;0, (COUNTIF(E19:AH19, "✓") + COUNTIF(E19:AH19, "✔") + COUNTIF(E19:AH19, "v") + COUNTIF(E19:AH19, "V")) &amp; "/" &amp; ((COUNTIF(E19:AH19, "✓") + COUNTIF(E19:AH19, "✔") + COUNTIF(E19:AH19, "v") + COUNTIF(E19:AH19, "V")) + COUNTIF(E19:AH19, "✗") + COUNTIF(E19:AH19, "x") + COUNTIF(E19:AH19, "X")), "")))</f>
        <v/>
      </c>
      <c r="AK19" s="103">
        <f>IF(ISBLANK(B19), "", IF(AI19&gt;=0.85, "🔥 Mastered", IF(AI19&gt;=0.7, "⚡ Consistent", "⚠️ Needs Focus")))</f>
        <v/>
      </c>
      <c r="AL19">
        <f>COUNTIF(E19:AH19, "✓")</f>
        <v/>
      </c>
    </row>
    <row r="20" ht="14.5" customHeight="1">
      <c r="A20" s="97" t="n">
        <v>3</v>
      </c>
      <c r="B20" s="98" t="n"/>
      <c r="C20" s="99" t="n"/>
      <c r="D20" s="99" t="n"/>
      <c r="E20" s="100" t="n"/>
      <c r="F20" s="100" t="n"/>
      <c r="G20" s="100" t="n"/>
      <c r="H20" s="100" t="n"/>
      <c r="I20" s="100" t="n"/>
      <c r="J20" s="100" t="n"/>
      <c r="K20" s="101" t="n"/>
      <c r="L20" s="100" t="n"/>
      <c r="M20" s="100" t="n"/>
      <c r="N20" s="100" t="n"/>
      <c r="O20" s="100" t="n"/>
      <c r="P20" s="100" t="n"/>
      <c r="Q20" s="100" t="n"/>
      <c r="R20" s="101" t="n"/>
      <c r="S20" s="100" t="n"/>
      <c r="T20" s="100" t="n"/>
      <c r="U20" s="100" t="n"/>
      <c r="V20" s="100" t="n"/>
      <c r="W20" s="100" t="n"/>
      <c r="X20" s="100" t="n"/>
      <c r="Y20" s="101" t="n"/>
      <c r="Z20" s="100" t="n"/>
      <c r="AA20" s="100" t="n"/>
      <c r="AB20" s="100" t="n"/>
      <c r="AC20" s="100" t="n"/>
      <c r="AD20" s="100" t="n"/>
      <c r="AE20" s="100" t="n"/>
      <c r="AF20" s="101" t="n"/>
      <c r="AG20" s="100" t="n"/>
      <c r="AH20" s="100" t="n"/>
      <c r="AI20" s="102">
        <f>IF(ISBLANK(B20), "", IF(ISNUMBER(D20), IF(D20&gt;0, (COUNTIF(E20:AH20, "✓") + COUNTIF(E20:AH20, "✔") + COUNTIF(E20:AH20, "v") + COUNTIF(E20:AH20, "V"))/D20, 0), IF(((COUNTIF(E20:AH20, "✓") + COUNTIF(E20:AH20, "✔") + COUNTIF(E20:AH20, "v") + COUNTIF(E20:AH20, "V")) + COUNTIF(E20:AH20, "✗") + COUNTIF(E20:AH20, "x") + COUNTIF(E20:AH20, "X"))&gt;0, (COUNTIF(E20:AH20, "✓") + COUNTIF(E20:AH20, "✔") + COUNTIF(E20:AH20, "v") + COUNTIF(E20:AH20, "V"))/((COUNTIF(E20:AH20, "✓") + COUNTIF(E20:AH20, "✔") + COUNTIF(E20:AH20, "v") + COUNTIF(E20:AH20, "V")) + COUNTIF(E20:AH20, "✗") + COUNTIF(E20:AH20, "x") + COUNTIF(E20:AH20, "X")), "")))</f>
        <v/>
      </c>
      <c r="AJ20" s="103">
        <f>IF(ISBLANK(B20), "", IF(ISNUMBER(D20), IF(D20&gt;0, (COUNTIF(E20:AH20, "✓") + COUNTIF(E20:AH20, "✔") + COUNTIF(E20:AH20, "v") + COUNTIF(E20:AH20, "V")) &amp; "/" &amp; D20, (COUNTIF(E20:AH20, "✓") + COUNTIF(E20:AH20, "✔") + COUNTIF(E20:AH20, "v") + COUNTIF(E20:AH20, "V")) &amp; "/0"), IF(((COUNTIF(E20:AH20, "✓") + COUNTIF(E20:AH20, "✔") + COUNTIF(E20:AH20, "v") + COUNTIF(E20:AH20, "V")) + COUNTIF(E20:AH20, "✗") + COUNTIF(E20:AH20, "x") + COUNTIF(E20:AH20, "X"))&gt;0, (COUNTIF(E20:AH20, "✓") + COUNTIF(E20:AH20, "✔") + COUNTIF(E20:AH20, "v") + COUNTIF(E20:AH20, "V")) &amp; "/" &amp; ((COUNTIF(E20:AH20, "✓") + COUNTIF(E20:AH20, "✔") + COUNTIF(E20:AH20, "v") + COUNTIF(E20:AH20, "V")) + COUNTIF(E20:AH20, "✗") + COUNTIF(E20:AH20, "x") + COUNTIF(E20:AH20, "X")), "")))</f>
        <v/>
      </c>
      <c r="AK20" s="103">
        <f>IF(ISBLANK(B20), "", IF(AI20&gt;=0.85, "🔥 Mastered", IF(AI20&gt;=0.7, "⚡ Consistent", "⚠️ Needs Focus")))</f>
        <v/>
      </c>
      <c r="AL20">
        <f>COUNTIF(E20:AH20, "✓")</f>
        <v/>
      </c>
    </row>
    <row r="21" ht="14.5" customHeight="1">
      <c r="A21" s="97" t="n">
        <v>4</v>
      </c>
      <c r="B21" s="98" t="n"/>
      <c r="C21" s="99" t="n"/>
      <c r="D21" s="99" t="n"/>
      <c r="E21" s="100" t="n"/>
      <c r="F21" s="100" t="n"/>
      <c r="G21" s="100" t="n"/>
      <c r="H21" s="100" t="n"/>
      <c r="I21" s="100" t="n"/>
      <c r="J21" s="100" t="n"/>
      <c r="K21" s="101" t="n"/>
      <c r="L21" s="100" t="n"/>
      <c r="M21" s="100" t="n"/>
      <c r="N21" s="100" t="n"/>
      <c r="O21" s="100" t="n"/>
      <c r="P21" s="100" t="n"/>
      <c r="Q21" s="100" t="n"/>
      <c r="R21" s="101" t="n"/>
      <c r="S21" s="100" t="n"/>
      <c r="T21" s="100" t="n"/>
      <c r="U21" s="100" t="n"/>
      <c r="V21" s="100" t="n"/>
      <c r="W21" s="100" t="n"/>
      <c r="X21" s="100" t="n"/>
      <c r="Y21" s="101" t="n"/>
      <c r="Z21" s="100" t="n"/>
      <c r="AA21" s="100" t="n"/>
      <c r="AB21" s="100" t="n"/>
      <c r="AC21" s="100" t="n"/>
      <c r="AD21" s="100" t="n"/>
      <c r="AE21" s="100" t="n"/>
      <c r="AF21" s="101" t="n"/>
      <c r="AG21" s="100" t="n"/>
      <c r="AH21" s="100" t="n"/>
      <c r="AI21" s="102">
        <f>IF(ISBLANK(B21), "", IF(ISNUMBER(D21), IF(D21&gt;0, (COUNTIF(E21:AH21, "✓") + COUNTIF(E21:AH21, "✔") + COUNTIF(E21:AH21, "v") + COUNTIF(E21:AH21, "V"))/D21, 0), IF(((COUNTIF(E21:AH21, "✓") + COUNTIF(E21:AH21, "✔") + COUNTIF(E21:AH21, "v") + COUNTIF(E21:AH21, "V")) + COUNTIF(E21:AH21, "✗") + COUNTIF(E21:AH21, "x") + COUNTIF(E21:AH21, "X"))&gt;0, (COUNTIF(E21:AH21, "✓") + COUNTIF(E21:AH21, "✔") + COUNTIF(E21:AH21, "v") + COUNTIF(E21:AH21, "V"))/((COUNTIF(E21:AH21, "✓") + COUNTIF(E21:AH21, "✔") + COUNTIF(E21:AH21, "v") + COUNTIF(E21:AH21, "V")) + COUNTIF(E21:AH21, "✗") + COUNTIF(E21:AH21, "x") + COUNTIF(E21:AH21, "X")), "")))</f>
        <v/>
      </c>
      <c r="AJ21" s="103">
        <f>IF(ISBLANK(B21), "", IF(ISNUMBER(D21), IF(D21&gt;0, (COUNTIF(E21:AH21, "✓") + COUNTIF(E21:AH21, "✔") + COUNTIF(E21:AH21, "v") + COUNTIF(E21:AH21, "V")) &amp; "/" &amp; D21, (COUNTIF(E21:AH21, "✓") + COUNTIF(E21:AH21, "✔") + COUNTIF(E21:AH21, "v") + COUNTIF(E21:AH21, "V")) &amp; "/0"), IF(((COUNTIF(E21:AH21, "✓") + COUNTIF(E21:AH21, "✔") + COUNTIF(E21:AH21, "v") + COUNTIF(E21:AH21, "V")) + COUNTIF(E21:AH21, "✗") + COUNTIF(E21:AH21, "x") + COUNTIF(E21:AH21, "X"))&gt;0, (COUNTIF(E21:AH21, "✓") + COUNTIF(E21:AH21, "✔") + COUNTIF(E21:AH21, "v") + COUNTIF(E21:AH21, "V")) &amp; "/" &amp; ((COUNTIF(E21:AH21, "✓") + COUNTIF(E21:AH21, "✔") + COUNTIF(E21:AH21, "v") + COUNTIF(E21:AH21, "V")) + COUNTIF(E21:AH21, "✗") + COUNTIF(E21:AH21, "x") + COUNTIF(E21:AH21, "X")), "")))</f>
        <v/>
      </c>
      <c r="AK21" s="103">
        <f>IF(ISBLANK(B21), "", IF(AI21&gt;=0.85, "🔥 Mastered", IF(AI21&gt;=0.7, "⚡ Consistent", "⚠️ Needs Focus")))</f>
        <v/>
      </c>
      <c r="AL21">
        <f>COUNTIF(E21:AH21, "✓")</f>
        <v/>
      </c>
    </row>
    <row r="22" ht="14.5" customHeight="1">
      <c r="A22" s="104" t="n">
        <v>5</v>
      </c>
      <c r="B22" s="105" t="n"/>
      <c r="C22" s="106" t="n"/>
      <c r="D22" s="106" t="n"/>
      <c r="E22" s="107" t="n"/>
      <c r="F22" s="107" t="n"/>
      <c r="G22" s="107" t="n"/>
      <c r="H22" s="107" t="n"/>
      <c r="I22" s="107" t="n"/>
      <c r="J22" s="107" t="n"/>
      <c r="K22" s="108" t="n"/>
      <c r="L22" s="107" t="n"/>
      <c r="M22" s="107" t="n"/>
      <c r="N22" s="107" t="n"/>
      <c r="O22" s="107" t="n"/>
      <c r="P22" s="107" t="n"/>
      <c r="Q22" s="107" t="n"/>
      <c r="R22" s="108" t="n"/>
      <c r="S22" s="107" t="n"/>
      <c r="T22" s="107" t="n"/>
      <c r="U22" s="107" t="n"/>
      <c r="V22" s="107" t="n"/>
      <c r="W22" s="107" t="n"/>
      <c r="X22" s="107" t="n"/>
      <c r="Y22" s="108" t="n"/>
      <c r="Z22" s="107" t="n"/>
      <c r="AA22" s="107" t="n"/>
      <c r="AB22" s="107" t="n"/>
      <c r="AC22" s="107" t="n"/>
      <c r="AD22" s="107" t="n"/>
      <c r="AE22" s="107" t="n"/>
      <c r="AF22" s="108" t="n"/>
      <c r="AG22" s="107" t="n"/>
      <c r="AH22" s="107" t="n"/>
      <c r="AI22" s="109">
        <f>IF(ISBLANK(B22), "", IF(ISNUMBER(D22), IF(D22&gt;0, (COUNTIF(E22:AH22, "✓") + COUNTIF(E22:AH22, "✔") + COUNTIF(E22:AH22, "v") + COUNTIF(E22:AH22, "V"))/D22, 0), IF(((COUNTIF(E22:AH22, "✓") + COUNTIF(E22:AH22, "✔") + COUNTIF(E22:AH22, "v") + COUNTIF(E22:AH22, "V")) + COUNTIF(E22:AH22, "✗") + COUNTIF(E22:AH22, "x") + COUNTIF(E22:AH22, "X"))&gt;0, (COUNTIF(E22:AH22, "✓") + COUNTIF(E22:AH22, "✔") + COUNTIF(E22:AH22, "v") + COUNTIF(E22:AH22, "V"))/((COUNTIF(E22:AH22, "✓") + COUNTIF(E22:AH22, "✔") + COUNTIF(E22:AH22, "v") + COUNTIF(E22:AH22, "V")) + COUNTIF(E22:AH22, "✗") + COUNTIF(E22:AH22, "x") + COUNTIF(E22:AH22, "X")), "")))</f>
        <v/>
      </c>
      <c r="AJ22" s="110">
        <f>IF(ISBLANK(B22), "", IF(ISNUMBER(D22), IF(D22&gt;0, (COUNTIF(E22:AH22, "✓") + COUNTIF(E22:AH22, "✔") + COUNTIF(E22:AH22, "v") + COUNTIF(E22:AH22, "V")) &amp; "/" &amp; D22, (COUNTIF(E22:AH22, "✓") + COUNTIF(E22:AH22, "✔") + COUNTIF(E22:AH22, "v") + COUNTIF(E22:AH22, "V")) &amp; "/0"), IF(((COUNTIF(E22:AH22, "✓") + COUNTIF(E22:AH22, "✔") + COUNTIF(E22:AH22, "v") + COUNTIF(E22:AH22, "V")) + COUNTIF(E22:AH22, "✗") + COUNTIF(E22:AH22, "x") + COUNTIF(E22:AH22, "X"))&gt;0, (COUNTIF(E22:AH22, "✓") + COUNTIF(E22:AH22, "✔") + COUNTIF(E22:AH22, "v") + COUNTIF(E22:AH22, "V")) &amp; "/" &amp; ((COUNTIF(E22:AH22, "✓") + COUNTIF(E22:AH22, "✔") + COUNTIF(E22:AH22, "v") + COUNTIF(E22:AH22, "V")) + COUNTIF(E22:AH22, "✗") + COUNTIF(E22:AH22, "x") + COUNTIF(E22:AH22, "X")), "")))</f>
        <v/>
      </c>
      <c r="AK22" s="110">
        <f>IF(ISBLANK(B22), "", IF(AI22&gt;=0.85, "🔥 Mastered", IF(AI22&gt;=0.7, "⚡ Consistent", "⚠️ Needs Focus")))</f>
        <v/>
      </c>
      <c r="AL22">
        <f>COUNTIF(E22:AH22, "✓")</f>
        <v/>
      </c>
    </row>
    <row r="23" ht="14.5" customHeight="1">
      <c r="A23" s="104" t="n">
        <v>6</v>
      </c>
      <c r="B23" s="105" t="n"/>
      <c r="C23" s="106" t="n"/>
      <c r="D23" s="106" t="n"/>
      <c r="E23" s="107" t="n"/>
      <c r="F23" s="107" t="n"/>
      <c r="G23" s="107" t="n"/>
      <c r="H23" s="107" t="n"/>
      <c r="I23" s="107" t="n"/>
      <c r="J23" s="107" t="n"/>
      <c r="K23" s="108" t="n"/>
      <c r="L23" s="107" t="n"/>
      <c r="M23" s="107" t="n"/>
      <c r="N23" s="107" t="n"/>
      <c r="O23" s="107" t="n"/>
      <c r="P23" s="107" t="n"/>
      <c r="Q23" s="107" t="n"/>
      <c r="R23" s="108" t="n"/>
      <c r="S23" s="107" t="n"/>
      <c r="T23" s="107" t="n"/>
      <c r="U23" s="107" t="n"/>
      <c r="V23" s="107" t="n"/>
      <c r="W23" s="107" t="n"/>
      <c r="X23" s="107" t="n"/>
      <c r="Y23" s="108" t="n"/>
      <c r="Z23" s="107" t="n"/>
      <c r="AA23" s="107" t="n"/>
      <c r="AB23" s="107" t="n"/>
      <c r="AC23" s="107" t="n"/>
      <c r="AD23" s="107" t="n"/>
      <c r="AE23" s="107" t="n"/>
      <c r="AF23" s="108" t="n"/>
      <c r="AG23" s="107" t="n"/>
      <c r="AH23" s="107" t="n"/>
      <c r="AI23" s="109">
        <f>IF(ISBLANK(B23), "", IF(ISNUMBER(D23), IF(D23&gt;0, (COUNTIF(E23:AH23, "✓") + COUNTIF(E23:AH23, "✔") + COUNTIF(E23:AH23, "v") + COUNTIF(E23:AH23, "V"))/D23, 0), IF(((COUNTIF(E23:AH23, "✓") + COUNTIF(E23:AH23, "✔") + COUNTIF(E23:AH23, "v") + COUNTIF(E23:AH23, "V")) + COUNTIF(E23:AH23, "✗") + COUNTIF(E23:AH23, "x") + COUNTIF(E23:AH23, "X"))&gt;0, (COUNTIF(E23:AH23, "✓") + COUNTIF(E23:AH23, "✔") + COUNTIF(E23:AH23, "v") + COUNTIF(E23:AH23, "V"))/((COUNTIF(E23:AH23, "✓") + COUNTIF(E23:AH23, "✔") + COUNTIF(E23:AH23, "v") + COUNTIF(E23:AH23, "V")) + COUNTIF(E23:AH23, "✗") + COUNTIF(E23:AH23, "x") + COUNTIF(E23:AH23, "X")), "")))</f>
        <v/>
      </c>
      <c r="AJ23" s="110">
        <f>IF(ISBLANK(B23), "", IF(ISNUMBER(D23), IF(D23&gt;0, (COUNTIF(E23:AH23, "✓") + COUNTIF(E23:AH23, "✔") + COUNTIF(E23:AH23, "v") + COUNTIF(E23:AH23, "V")) &amp; "/" &amp; D23, (COUNTIF(E23:AH23, "✓") + COUNTIF(E23:AH23, "✔") + COUNTIF(E23:AH23, "v") + COUNTIF(E23:AH23, "V")) &amp; "/0"), IF(((COUNTIF(E23:AH23, "✓") + COUNTIF(E23:AH23, "✔") + COUNTIF(E23:AH23, "v") + COUNTIF(E23:AH23, "V")) + COUNTIF(E23:AH23, "✗") + COUNTIF(E23:AH23, "x") + COUNTIF(E23:AH23, "X"))&gt;0, (COUNTIF(E23:AH23, "✓") + COUNTIF(E23:AH23, "✔") + COUNTIF(E23:AH23, "v") + COUNTIF(E23:AH23, "V")) &amp; "/" &amp; ((COUNTIF(E23:AH23, "✓") + COUNTIF(E23:AH23, "✔") + COUNTIF(E23:AH23, "v") + COUNTIF(E23:AH23, "V")) + COUNTIF(E23:AH23, "✗") + COUNTIF(E23:AH23, "x") + COUNTIF(E23:AH23, "X")), "")))</f>
        <v/>
      </c>
      <c r="AK23" s="110">
        <f>IF(ISBLANK(B23), "", IF(AI23&gt;=0.85, "🔥 Mastered", IF(AI23&gt;=0.7, "⚡ Consistent", "⚠️ Needs Focus")))</f>
        <v/>
      </c>
      <c r="AL23">
        <f>COUNTIF(E23:AH23, "✓")</f>
        <v/>
      </c>
    </row>
    <row r="24" ht="14.5" customHeight="1">
      <c r="A24" s="104" t="n">
        <v>7</v>
      </c>
      <c r="B24" s="105" t="n"/>
      <c r="C24" s="106" t="n"/>
      <c r="D24" s="106" t="n"/>
      <c r="E24" s="107" t="n"/>
      <c r="F24" s="107" t="n"/>
      <c r="G24" s="107" t="n"/>
      <c r="H24" s="107" t="n"/>
      <c r="I24" s="107" t="n"/>
      <c r="J24" s="107" t="n"/>
      <c r="K24" s="108" t="n"/>
      <c r="L24" s="107" t="n"/>
      <c r="M24" s="107" t="n"/>
      <c r="N24" s="107" t="n"/>
      <c r="O24" s="107" t="n"/>
      <c r="P24" s="107" t="n"/>
      <c r="Q24" s="107" t="n"/>
      <c r="R24" s="108" t="n"/>
      <c r="S24" s="107" t="n"/>
      <c r="T24" s="107" t="n"/>
      <c r="U24" s="107" t="n"/>
      <c r="V24" s="107" t="n"/>
      <c r="W24" s="107" t="n"/>
      <c r="X24" s="107" t="n"/>
      <c r="Y24" s="108" t="n"/>
      <c r="Z24" s="107" t="n"/>
      <c r="AA24" s="107" t="n"/>
      <c r="AB24" s="107" t="n"/>
      <c r="AC24" s="107" t="n"/>
      <c r="AD24" s="107" t="n"/>
      <c r="AE24" s="107" t="n"/>
      <c r="AF24" s="108" t="n"/>
      <c r="AG24" s="107" t="n"/>
      <c r="AH24" s="107" t="n"/>
      <c r="AI24" s="109">
        <f>IF(ISBLANK(B24), "", IF(ISNUMBER(D24), IF(D24&gt;0, (COUNTIF(E24:AH24, "✓") + COUNTIF(E24:AH24, "✔") + COUNTIF(E24:AH24, "v") + COUNTIF(E24:AH24, "V"))/D24, 0), IF(((COUNTIF(E24:AH24, "✓") + COUNTIF(E24:AH24, "✔") + COUNTIF(E24:AH24, "v") + COUNTIF(E24:AH24, "V")) + COUNTIF(E24:AH24, "✗") + COUNTIF(E24:AH24, "x") + COUNTIF(E24:AH24, "X"))&gt;0, (COUNTIF(E24:AH24, "✓") + COUNTIF(E24:AH24, "✔") + COUNTIF(E24:AH24, "v") + COUNTIF(E24:AH24, "V"))/((COUNTIF(E24:AH24, "✓") + COUNTIF(E24:AH24, "✔") + COUNTIF(E24:AH24, "v") + COUNTIF(E24:AH24, "V")) + COUNTIF(E24:AH24, "✗") + COUNTIF(E24:AH24, "x") + COUNTIF(E24:AH24, "X")), "")))</f>
        <v/>
      </c>
      <c r="AJ24" s="110">
        <f>IF(ISBLANK(B24), "", IF(ISNUMBER(D24), IF(D24&gt;0, (COUNTIF(E24:AH24, "✓") + COUNTIF(E24:AH24, "✔") + COUNTIF(E24:AH24, "v") + COUNTIF(E24:AH24, "V")) &amp; "/" &amp; D24, (COUNTIF(E24:AH24, "✓") + COUNTIF(E24:AH24, "✔") + COUNTIF(E24:AH24, "v") + COUNTIF(E24:AH24, "V")) &amp; "/0"), IF(((COUNTIF(E24:AH24, "✓") + COUNTIF(E24:AH24, "✔") + COUNTIF(E24:AH24, "v") + COUNTIF(E24:AH24, "V")) + COUNTIF(E24:AH24, "✗") + COUNTIF(E24:AH24, "x") + COUNTIF(E24:AH24, "X"))&gt;0, (COUNTIF(E24:AH24, "✓") + COUNTIF(E24:AH24, "✔") + COUNTIF(E24:AH24, "v") + COUNTIF(E24:AH24, "V")) &amp; "/" &amp; ((COUNTIF(E24:AH24, "✓") + COUNTIF(E24:AH24, "✔") + COUNTIF(E24:AH24, "v") + COUNTIF(E24:AH24, "V")) + COUNTIF(E24:AH24, "✗") + COUNTIF(E24:AH24, "x") + COUNTIF(E24:AH24, "X")), "")))</f>
        <v/>
      </c>
      <c r="AK24" s="110">
        <f>IF(ISBLANK(B24), "", IF(AI24&gt;=0.85, "🔥 Mastered", IF(AI24&gt;=0.7, "⚡ Consistent", "⚠️ Needs Focus")))</f>
        <v/>
      </c>
      <c r="AL24">
        <f>COUNTIF(E24:AH24, "✓")</f>
        <v/>
      </c>
    </row>
    <row r="25" ht="14.5" customHeight="1">
      <c r="A25" s="104" t="n">
        <v>8</v>
      </c>
      <c r="B25" s="105" t="n"/>
      <c r="C25" s="106" t="n"/>
      <c r="D25" s="106" t="n"/>
      <c r="E25" s="107" t="n"/>
      <c r="F25" s="107" t="n"/>
      <c r="G25" s="107" t="n"/>
      <c r="H25" s="107" t="n"/>
      <c r="I25" s="107" t="n"/>
      <c r="J25" s="107" t="n"/>
      <c r="K25" s="108" t="n"/>
      <c r="L25" s="107" t="n"/>
      <c r="M25" s="107" t="n"/>
      <c r="N25" s="107" t="n"/>
      <c r="O25" s="107" t="n"/>
      <c r="P25" s="107" t="n"/>
      <c r="Q25" s="107" t="n"/>
      <c r="R25" s="108" t="n"/>
      <c r="S25" s="107" t="n"/>
      <c r="T25" s="107" t="n"/>
      <c r="U25" s="107" t="n"/>
      <c r="V25" s="107" t="n"/>
      <c r="W25" s="107" t="n"/>
      <c r="X25" s="107" t="n"/>
      <c r="Y25" s="108" t="n"/>
      <c r="Z25" s="107" t="n"/>
      <c r="AA25" s="107" t="n"/>
      <c r="AB25" s="107" t="n"/>
      <c r="AC25" s="107" t="n"/>
      <c r="AD25" s="107" t="n"/>
      <c r="AE25" s="107" t="n"/>
      <c r="AF25" s="108" t="n"/>
      <c r="AG25" s="107" t="n"/>
      <c r="AH25" s="107" t="n"/>
      <c r="AI25" s="109">
        <f>IF(ISBLANK(B25), "", IF(ISNUMBER(D25), IF(D25&gt;0, (COUNTIF(E25:AH25, "✓") + COUNTIF(E25:AH25, "✔") + COUNTIF(E25:AH25, "v") + COUNTIF(E25:AH25, "V"))/D25, 0), IF(((COUNTIF(E25:AH25, "✓") + COUNTIF(E25:AH25, "✔") + COUNTIF(E25:AH25, "v") + COUNTIF(E25:AH25, "V")) + COUNTIF(E25:AH25, "✗") + COUNTIF(E25:AH25, "x") + COUNTIF(E25:AH25, "X"))&gt;0, (COUNTIF(E25:AH25, "✓") + COUNTIF(E25:AH25, "✔") + COUNTIF(E25:AH25, "v") + COUNTIF(E25:AH25, "V"))/((COUNTIF(E25:AH25, "✓") + COUNTIF(E25:AH25, "✔") + COUNTIF(E25:AH25, "v") + COUNTIF(E25:AH25, "V")) + COUNTIF(E25:AH25, "✗") + COUNTIF(E25:AH25, "x") + COUNTIF(E25:AH25, "X")), "")))</f>
        <v/>
      </c>
      <c r="AJ25" s="110">
        <f>IF(ISBLANK(B25), "", IF(ISNUMBER(D25), IF(D25&gt;0, (COUNTIF(E25:AH25, "✓") + COUNTIF(E25:AH25, "✔") + COUNTIF(E25:AH25, "v") + COUNTIF(E25:AH25, "V")) &amp; "/" &amp; D25, (COUNTIF(E25:AH25, "✓") + COUNTIF(E25:AH25, "✔") + COUNTIF(E25:AH25, "v") + COUNTIF(E25:AH25, "V")) &amp; "/0"), IF(((COUNTIF(E25:AH25, "✓") + COUNTIF(E25:AH25, "✔") + COUNTIF(E25:AH25, "v") + COUNTIF(E25:AH25, "V")) + COUNTIF(E25:AH25, "✗") + COUNTIF(E25:AH25, "x") + COUNTIF(E25:AH25, "X"))&gt;0, (COUNTIF(E25:AH25, "✓") + COUNTIF(E25:AH25, "✔") + COUNTIF(E25:AH25, "v") + COUNTIF(E25:AH25, "V")) &amp; "/" &amp; ((COUNTIF(E25:AH25, "✓") + COUNTIF(E25:AH25, "✔") + COUNTIF(E25:AH25, "v") + COUNTIF(E25:AH25, "V")) + COUNTIF(E25:AH25, "✗") + COUNTIF(E25:AH25, "x") + COUNTIF(E25:AH25, "X")), "")))</f>
        <v/>
      </c>
      <c r="AK25" s="110">
        <f>IF(ISBLANK(B25), "", IF(AI25&gt;=0.85, "🔥 Mastered", IF(AI25&gt;=0.7, "⚡ Consistent", "⚠️ Needs Focus")))</f>
        <v/>
      </c>
      <c r="AL25">
        <f>COUNTIF(E25:AH25, "✓")</f>
        <v/>
      </c>
    </row>
    <row r="26" ht="14.5" customHeight="1">
      <c r="A26" s="111" t="n">
        <v>9</v>
      </c>
      <c r="B26" s="112" t="n"/>
      <c r="C26" s="113" t="n"/>
      <c r="D26" s="113" t="n"/>
      <c r="E26" s="114" t="n"/>
      <c r="F26" s="114" t="n"/>
      <c r="G26" s="114" t="n"/>
      <c r="H26" s="114" t="n"/>
      <c r="I26" s="114" t="n"/>
      <c r="J26" s="114" t="n"/>
      <c r="K26" s="115" t="n"/>
      <c r="L26" s="114" t="n"/>
      <c r="M26" s="114" t="n"/>
      <c r="N26" s="114" t="n"/>
      <c r="O26" s="114" t="n"/>
      <c r="P26" s="114" t="n"/>
      <c r="Q26" s="114" t="n"/>
      <c r="R26" s="115" t="n"/>
      <c r="S26" s="114" t="n"/>
      <c r="T26" s="114" t="n"/>
      <c r="U26" s="114" t="n"/>
      <c r="V26" s="114" t="n"/>
      <c r="W26" s="114" t="n"/>
      <c r="X26" s="114" t="n"/>
      <c r="Y26" s="115" t="n"/>
      <c r="Z26" s="114" t="n"/>
      <c r="AA26" s="114" t="n"/>
      <c r="AB26" s="114" t="n"/>
      <c r="AC26" s="114" t="n"/>
      <c r="AD26" s="114" t="n"/>
      <c r="AE26" s="114" t="n"/>
      <c r="AF26" s="115" t="n"/>
      <c r="AG26" s="114" t="n"/>
      <c r="AH26" s="114" t="n"/>
      <c r="AI26" s="116">
        <f>IF(ISBLANK(B26), "", IF(ISNUMBER(D26), IF(D26&gt;0, (COUNTIF(E26:AH26, "✓") + COUNTIF(E26:AH26, "✔") + COUNTIF(E26:AH26, "v") + COUNTIF(E26:AH26, "V"))/D26, 0), IF(((COUNTIF(E26:AH26, "✓") + COUNTIF(E26:AH26, "✔") + COUNTIF(E26:AH26, "v") + COUNTIF(E26:AH26, "V")) + COUNTIF(E26:AH26, "✗") + COUNTIF(E26:AH26, "x") + COUNTIF(E26:AH26, "X"))&gt;0, (COUNTIF(E26:AH26, "✓") + COUNTIF(E26:AH26, "✔") + COUNTIF(E26:AH26, "v") + COUNTIF(E26:AH26, "V"))/((COUNTIF(E26:AH26, "✓") + COUNTIF(E26:AH26, "✔") + COUNTIF(E26:AH26, "v") + COUNTIF(E26:AH26, "V")) + COUNTIF(E26:AH26, "✗") + COUNTIF(E26:AH26, "x") + COUNTIF(E26:AH26, "X")), "")))</f>
        <v/>
      </c>
      <c r="AJ26" s="117">
        <f>IF(ISBLANK(B26), "", IF(ISNUMBER(D26), IF(D26&gt;0, (COUNTIF(E26:AH26, "✓") + COUNTIF(E26:AH26, "✔") + COUNTIF(E26:AH26, "v") + COUNTIF(E26:AH26, "V")) &amp; "/" &amp; D26, (COUNTIF(E26:AH26, "✓") + COUNTIF(E26:AH26, "✔") + COUNTIF(E26:AH26, "v") + COUNTIF(E26:AH26, "V")) &amp; "/0"), IF(((COUNTIF(E26:AH26, "✓") + COUNTIF(E26:AH26, "✔") + COUNTIF(E26:AH26, "v") + COUNTIF(E26:AH26, "V")) + COUNTIF(E26:AH26, "✗") + COUNTIF(E26:AH26, "x") + COUNTIF(E26:AH26, "X"))&gt;0, (COUNTIF(E26:AH26, "✓") + COUNTIF(E26:AH26, "✔") + COUNTIF(E26:AH26, "v") + COUNTIF(E26:AH26, "V")) &amp; "/" &amp; ((COUNTIF(E26:AH26, "✓") + COUNTIF(E26:AH26, "✔") + COUNTIF(E26:AH26, "v") + COUNTIF(E26:AH26, "V")) + COUNTIF(E26:AH26, "✗") + COUNTIF(E26:AH26, "x") + COUNTIF(E26:AH26, "X")), "")))</f>
        <v/>
      </c>
      <c r="AK26" s="117">
        <f>IF(ISBLANK(B26), "", IF(AI26&gt;=0.85, "🔥 Mastered", IF(AI26&gt;=0.7, "⚡ Consistent", "⚠️ Needs Focus")))</f>
        <v/>
      </c>
      <c r="AL26">
        <f>COUNTIF(E26:AH26, "✓")</f>
        <v/>
      </c>
    </row>
    <row r="27" ht="14.5" customHeight="1">
      <c r="A27" s="111" t="n">
        <v>10</v>
      </c>
      <c r="B27" s="112" t="n"/>
      <c r="C27" s="113" t="n"/>
      <c r="D27" s="113" t="n"/>
      <c r="E27" s="114" t="n"/>
      <c r="F27" s="114" t="n"/>
      <c r="G27" s="114" t="n"/>
      <c r="H27" s="114" t="n"/>
      <c r="I27" s="114" t="n"/>
      <c r="J27" s="114" t="n"/>
      <c r="K27" s="115" t="n"/>
      <c r="L27" s="114" t="n"/>
      <c r="M27" s="114" t="n"/>
      <c r="N27" s="114" t="n"/>
      <c r="O27" s="114" t="n"/>
      <c r="P27" s="114" t="n"/>
      <c r="Q27" s="114" t="n"/>
      <c r="R27" s="115" t="n"/>
      <c r="S27" s="114" t="n"/>
      <c r="T27" s="114" t="n"/>
      <c r="U27" s="114" t="n"/>
      <c r="V27" s="114" t="n"/>
      <c r="W27" s="114" t="n"/>
      <c r="X27" s="114" t="n"/>
      <c r="Y27" s="115" t="n"/>
      <c r="Z27" s="114" t="n"/>
      <c r="AA27" s="114" t="n"/>
      <c r="AB27" s="114" t="n"/>
      <c r="AC27" s="114" t="n"/>
      <c r="AD27" s="114" t="n"/>
      <c r="AE27" s="114" t="n"/>
      <c r="AF27" s="115" t="n"/>
      <c r="AG27" s="114" t="n"/>
      <c r="AH27" s="114" t="n"/>
      <c r="AI27" s="116">
        <f>IF(ISBLANK(B27), "", IF(ISNUMBER(D27), IF(D27&gt;0, (COUNTIF(E27:AH27, "✓") + COUNTIF(E27:AH27, "✔") + COUNTIF(E27:AH27, "v") + COUNTIF(E27:AH27, "V"))/D27, 0), IF(((COUNTIF(E27:AH27, "✓") + COUNTIF(E27:AH27, "✔") + COUNTIF(E27:AH27, "v") + COUNTIF(E27:AH27, "V")) + COUNTIF(E27:AH27, "✗") + COUNTIF(E27:AH27, "x") + COUNTIF(E27:AH27, "X"))&gt;0, (COUNTIF(E27:AH27, "✓") + COUNTIF(E27:AH27, "✔") + COUNTIF(E27:AH27, "v") + COUNTIF(E27:AH27, "V"))/((COUNTIF(E27:AH27, "✓") + COUNTIF(E27:AH27, "✔") + COUNTIF(E27:AH27, "v") + COUNTIF(E27:AH27, "V")) + COUNTIF(E27:AH27, "✗") + COUNTIF(E27:AH27, "x") + COUNTIF(E27:AH27, "X")), "")))</f>
        <v/>
      </c>
      <c r="AJ27" s="117">
        <f>IF(ISBLANK(B27), "", IF(ISNUMBER(D27), IF(D27&gt;0, (COUNTIF(E27:AH27, "✓") + COUNTIF(E27:AH27, "✔") + COUNTIF(E27:AH27, "v") + COUNTIF(E27:AH27, "V")) &amp; "/" &amp; D27, (COUNTIF(E27:AH27, "✓") + COUNTIF(E27:AH27, "✔") + COUNTIF(E27:AH27, "v") + COUNTIF(E27:AH27, "V")) &amp; "/0"), IF(((COUNTIF(E27:AH27, "✓") + COUNTIF(E27:AH27, "✔") + COUNTIF(E27:AH27, "v") + COUNTIF(E27:AH27, "V")) + COUNTIF(E27:AH27, "✗") + COUNTIF(E27:AH27, "x") + COUNTIF(E27:AH27, "X"))&gt;0, (COUNTIF(E27:AH27, "✓") + COUNTIF(E27:AH27, "✔") + COUNTIF(E27:AH27, "v") + COUNTIF(E27:AH27, "V")) &amp; "/" &amp; ((COUNTIF(E27:AH27, "✓") + COUNTIF(E27:AH27, "✔") + COUNTIF(E27:AH27, "v") + COUNTIF(E27:AH27, "V")) + COUNTIF(E27:AH27, "✗") + COUNTIF(E27:AH27, "x") + COUNTIF(E27:AH27, "X")), "")))</f>
        <v/>
      </c>
      <c r="AK27" s="117">
        <f>IF(ISBLANK(B27), "", IF(AI27&gt;=0.85, "🔥 Mastered", IF(AI27&gt;=0.7, "⚡ Consistent", "⚠️ Needs Focus")))</f>
        <v/>
      </c>
      <c r="AL27">
        <f>COUNTIF(E27:AH27, "✓")</f>
        <v/>
      </c>
    </row>
    <row r="28" ht="14.5" customHeight="1">
      <c r="A28" s="111" t="n">
        <v>11</v>
      </c>
      <c r="B28" s="112" t="n"/>
      <c r="C28" s="113" t="n"/>
      <c r="D28" s="113" t="n"/>
      <c r="E28" s="114" t="n"/>
      <c r="F28" s="114" t="n"/>
      <c r="G28" s="114" t="n"/>
      <c r="H28" s="114" t="n"/>
      <c r="I28" s="114" t="n"/>
      <c r="J28" s="114" t="n"/>
      <c r="K28" s="115" t="n"/>
      <c r="L28" s="114" t="n"/>
      <c r="M28" s="114" t="n"/>
      <c r="N28" s="114" t="n"/>
      <c r="O28" s="114" t="n"/>
      <c r="P28" s="114" t="n"/>
      <c r="Q28" s="114" t="n"/>
      <c r="R28" s="115" t="n"/>
      <c r="S28" s="114" t="n"/>
      <c r="T28" s="114" t="n"/>
      <c r="U28" s="114" t="n"/>
      <c r="V28" s="114" t="n"/>
      <c r="W28" s="114" t="n"/>
      <c r="X28" s="114" t="n"/>
      <c r="Y28" s="115" t="n"/>
      <c r="Z28" s="114" t="n"/>
      <c r="AA28" s="114" t="n"/>
      <c r="AB28" s="114" t="n"/>
      <c r="AC28" s="114" t="n"/>
      <c r="AD28" s="114" t="n"/>
      <c r="AE28" s="114" t="n"/>
      <c r="AF28" s="115" t="n"/>
      <c r="AG28" s="114" t="n"/>
      <c r="AH28" s="114" t="n"/>
      <c r="AI28" s="116">
        <f>IF(ISBLANK(B28), "", IF(ISNUMBER(D28), IF(D28&gt;0, (COUNTIF(E28:AH28, "✓") + COUNTIF(E28:AH28, "✔") + COUNTIF(E28:AH28, "v") + COUNTIF(E28:AH28, "V"))/D28, 0), IF(((COUNTIF(E28:AH28, "✓") + COUNTIF(E28:AH28, "✔") + COUNTIF(E28:AH28, "v") + COUNTIF(E28:AH28, "V")) + COUNTIF(E28:AH28, "✗") + COUNTIF(E28:AH28, "x") + COUNTIF(E28:AH28, "X"))&gt;0, (COUNTIF(E28:AH28, "✓") + COUNTIF(E28:AH28, "✔") + COUNTIF(E28:AH28, "v") + COUNTIF(E28:AH28, "V"))/((COUNTIF(E28:AH28, "✓") + COUNTIF(E28:AH28, "✔") + COUNTIF(E28:AH28, "v") + COUNTIF(E28:AH28, "V")) + COUNTIF(E28:AH28, "✗") + COUNTIF(E28:AH28, "x") + COUNTIF(E28:AH28, "X")), "")))</f>
        <v/>
      </c>
      <c r="AJ28" s="117">
        <f>IF(ISBLANK(B28), "", IF(ISNUMBER(D28), IF(D28&gt;0, (COUNTIF(E28:AH28, "✓") + COUNTIF(E28:AH28, "✔") + COUNTIF(E28:AH28, "v") + COUNTIF(E28:AH28, "V")) &amp; "/" &amp; D28, (COUNTIF(E28:AH28, "✓") + COUNTIF(E28:AH28, "✔") + COUNTIF(E28:AH28, "v") + COUNTIF(E28:AH28, "V")) &amp; "/0"), IF(((COUNTIF(E28:AH28, "✓") + COUNTIF(E28:AH28, "✔") + COUNTIF(E28:AH28, "v") + COUNTIF(E28:AH28, "V")) + COUNTIF(E28:AH28, "✗") + COUNTIF(E28:AH28, "x") + COUNTIF(E28:AH28, "X"))&gt;0, (COUNTIF(E28:AH28, "✓") + COUNTIF(E28:AH28, "✔") + COUNTIF(E28:AH28, "v") + COUNTIF(E28:AH28, "V")) &amp; "/" &amp; ((COUNTIF(E28:AH28, "✓") + COUNTIF(E28:AH28, "✔") + COUNTIF(E28:AH28, "v") + COUNTIF(E28:AH28, "V")) + COUNTIF(E28:AH28, "✗") + COUNTIF(E28:AH28, "x") + COUNTIF(E28:AH28, "X")), "")))</f>
        <v/>
      </c>
      <c r="AK28" s="117">
        <f>IF(ISBLANK(B28), "", IF(AI28&gt;=0.85, "🔥 Mastered", IF(AI28&gt;=0.7, "⚡ Consistent", "⚠️ Needs Focus")))</f>
        <v/>
      </c>
      <c r="AL28">
        <f>COUNTIF(E28:AH28, "✓")</f>
        <v/>
      </c>
    </row>
    <row r="29" ht="14.5" customHeight="1">
      <c r="A29" s="111" t="n">
        <v>12</v>
      </c>
      <c r="B29" s="112" t="n"/>
      <c r="C29" s="113" t="n"/>
      <c r="D29" s="113" t="n"/>
      <c r="E29" s="114" t="n"/>
      <c r="F29" s="114" t="n"/>
      <c r="G29" s="114" t="n"/>
      <c r="H29" s="114" t="n"/>
      <c r="I29" s="114" t="n"/>
      <c r="J29" s="114" t="n"/>
      <c r="K29" s="115" t="n"/>
      <c r="L29" s="114" t="n"/>
      <c r="M29" s="114" t="n"/>
      <c r="N29" s="114" t="n"/>
      <c r="O29" s="114" t="n"/>
      <c r="P29" s="114" t="n"/>
      <c r="Q29" s="114" t="n"/>
      <c r="R29" s="115" t="n"/>
      <c r="S29" s="114" t="n"/>
      <c r="T29" s="114" t="n"/>
      <c r="U29" s="114" t="n"/>
      <c r="V29" s="114" t="n"/>
      <c r="W29" s="114" t="n"/>
      <c r="X29" s="114" t="n"/>
      <c r="Y29" s="115" t="n"/>
      <c r="Z29" s="114" t="n"/>
      <c r="AA29" s="114" t="n"/>
      <c r="AB29" s="114" t="n"/>
      <c r="AC29" s="114" t="n"/>
      <c r="AD29" s="114" t="n"/>
      <c r="AE29" s="114" t="n"/>
      <c r="AF29" s="115" t="n"/>
      <c r="AG29" s="114" t="n"/>
      <c r="AH29" s="114" t="n"/>
      <c r="AI29" s="116">
        <f>IF(ISBLANK(B29), "", IF(ISNUMBER(D29), IF(D29&gt;0, (COUNTIF(E29:AH29, "✓") + COUNTIF(E29:AH29, "✔") + COUNTIF(E29:AH29, "v") + COUNTIF(E29:AH29, "V"))/D29, 0), IF(((COUNTIF(E29:AH29, "✓") + COUNTIF(E29:AH29, "✔") + COUNTIF(E29:AH29, "v") + COUNTIF(E29:AH29, "V")) + COUNTIF(E29:AH29, "✗") + COUNTIF(E29:AH29, "x") + COUNTIF(E29:AH29, "X"))&gt;0, (COUNTIF(E29:AH29, "✓") + COUNTIF(E29:AH29, "✔") + COUNTIF(E29:AH29, "v") + COUNTIF(E29:AH29, "V"))/((COUNTIF(E29:AH29, "✓") + COUNTIF(E29:AH29, "✔") + COUNTIF(E29:AH29, "v") + COUNTIF(E29:AH29, "V")) + COUNTIF(E29:AH29, "✗") + COUNTIF(E29:AH29, "x") + COUNTIF(E29:AH29, "X")), "")))</f>
        <v/>
      </c>
      <c r="AJ29" s="117">
        <f>IF(ISBLANK(B29), "", IF(ISNUMBER(D29), IF(D29&gt;0, (COUNTIF(E29:AH29, "✓") + COUNTIF(E29:AH29, "✔") + COUNTIF(E29:AH29, "v") + COUNTIF(E29:AH29, "V")) &amp; "/" &amp; D29, (COUNTIF(E29:AH29, "✓") + COUNTIF(E29:AH29, "✔") + COUNTIF(E29:AH29, "v") + COUNTIF(E29:AH29, "V")) &amp; "/0"), IF(((COUNTIF(E29:AH29, "✓") + COUNTIF(E29:AH29, "✔") + COUNTIF(E29:AH29, "v") + COUNTIF(E29:AH29, "V")) + COUNTIF(E29:AH29, "✗") + COUNTIF(E29:AH29, "x") + COUNTIF(E29:AH29, "X"))&gt;0, (COUNTIF(E29:AH29, "✓") + COUNTIF(E29:AH29, "✔") + COUNTIF(E29:AH29, "v") + COUNTIF(E29:AH29, "V")) &amp; "/" &amp; ((COUNTIF(E29:AH29, "✓") + COUNTIF(E29:AH29, "✔") + COUNTIF(E29:AH29, "v") + COUNTIF(E29:AH29, "V")) + COUNTIF(E29:AH29, "✗") + COUNTIF(E29:AH29, "x") + COUNTIF(E29:AH29, "X")), "")))</f>
        <v/>
      </c>
      <c r="AK29" s="117">
        <f>IF(ISBLANK(B29), "", IF(AI29&gt;=0.85, "🔥 Mastered", IF(AI29&gt;=0.7, "⚡ Consistent", "⚠️ Needs Focus")))</f>
        <v/>
      </c>
      <c r="AL29">
        <f>COUNTIF(E29:AH29, "✓")</f>
        <v/>
      </c>
    </row>
    <row r="30" ht="14.5" customHeight="1">
      <c r="A30" s="118" t="n">
        <v>13</v>
      </c>
      <c r="B30" s="119" t="n"/>
      <c r="C30" s="120" t="n"/>
      <c r="D30" s="120" t="n"/>
      <c r="E30" s="121" t="n"/>
      <c r="F30" s="121" t="n"/>
      <c r="G30" s="121" t="n"/>
      <c r="H30" s="121" t="n"/>
      <c r="I30" s="121" t="n"/>
      <c r="J30" s="121" t="n"/>
      <c r="K30" s="122" t="n"/>
      <c r="L30" s="121" t="n"/>
      <c r="M30" s="121" t="n"/>
      <c r="N30" s="121" t="n"/>
      <c r="O30" s="121" t="n"/>
      <c r="P30" s="121" t="n"/>
      <c r="Q30" s="121" t="n"/>
      <c r="R30" s="122" t="n"/>
      <c r="S30" s="121" t="n"/>
      <c r="T30" s="121" t="n"/>
      <c r="U30" s="121" t="n"/>
      <c r="V30" s="121" t="n"/>
      <c r="W30" s="121" t="n"/>
      <c r="X30" s="121" t="n"/>
      <c r="Y30" s="122" t="n"/>
      <c r="Z30" s="121" t="n"/>
      <c r="AA30" s="121" t="n"/>
      <c r="AB30" s="121" t="n"/>
      <c r="AC30" s="121" t="n"/>
      <c r="AD30" s="121" t="n"/>
      <c r="AE30" s="121" t="n"/>
      <c r="AF30" s="122" t="n"/>
      <c r="AG30" s="121" t="n"/>
      <c r="AH30" s="121" t="n"/>
      <c r="AI30" s="123">
        <f>IF(ISBLANK(B30), "", IF(ISNUMBER(D30), IF(D30&gt;0, (COUNTIF(E30:AH30, "✓") + COUNTIF(E30:AH30, "✔") + COUNTIF(E30:AH30, "v") + COUNTIF(E30:AH30, "V"))/D30, 0), IF(((COUNTIF(E30:AH30, "✓") + COUNTIF(E30:AH30, "✔") + COUNTIF(E30:AH30, "v") + COUNTIF(E30:AH30, "V")) + COUNTIF(E30:AH30, "✗") + COUNTIF(E30:AH30, "x") + COUNTIF(E30:AH30, "X"))&gt;0, (COUNTIF(E30:AH30, "✓") + COUNTIF(E30:AH30, "✔") + COUNTIF(E30:AH30, "v") + COUNTIF(E30:AH30, "V"))/((COUNTIF(E30:AH30, "✓") + COUNTIF(E30:AH30, "✔") + COUNTIF(E30:AH30, "v") + COUNTIF(E30:AH30, "V")) + COUNTIF(E30:AH30, "✗") + COUNTIF(E30:AH30, "x") + COUNTIF(E30:AH30, "X")), "")))</f>
        <v/>
      </c>
      <c r="AJ30" s="124">
        <f>IF(ISBLANK(B30), "", IF(ISNUMBER(D30), IF(D30&gt;0, (COUNTIF(E30:AH30, "✓") + COUNTIF(E30:AH30, "✔") + COUNTIF(E30:AH30, "v") + COUNTIF(E30:AH30, "V")) &amp; "/" &amp; D30, (COUNTIF(E30:AH30, "✓") + COUNTIF(E30:AH30, "✔") + COUNTIF(E30:AH30, "v") + COUNTIF(E30:AH30, "V")) &amp; "/0"), IF(((COUNTIF(E30:AH30, "✓") + COUNTIF(E30:AH30, "✔") + COUNTIF(E30:AH30, "v") + COUNTIF(E30:AH30, "V")) + COUNTIF(E30:AH30, "✗") + COUNTIF(E30:AH30, "x") + COUNTIF(E30:AH30, "X"))&gt;0, (COUNTIF(E30:AH30, "✓") + COUNTIF(E30:AH30, "✔") + COUNTIF(E30:AH30, "v") + COUNTIF(E30:AH30, "V")) &amp; "/" &amp; ((COUNTIF(E30:AH30, "✓") + COUNTIF(E30:AH30, "✔") + COUNTIF(E30:AH30, "v") + COUNTIF(E30:AH30, "V")) + COUNTIF(E30:AH30, "✗") + COUNTIF(E30:AH30, "x") + COUNTIF(E30:AH30, "X")), "")))</f>
        <v/>
      </c>
      <c r="AK30" s="124">
        <f>IF(ISBLANK(B30), "", IF(AI30&gt;=0.85, "🔥 Mastered", IF(AI30&gt;=0.7, "⚡ Consistent", "⚠️ Needs Focus")))</f>
        <v/>
      </c>
      <c r="AL30">
        <f>COUNTIF(E30:AH30, "✓")</f>
        <v/>
      </c>
    </row>
    <row r="31" ht="14.5" customHeight="1">
      <c r="A31" s="118" t="n">
        <v>14</v>
      </c>
      <c r="B31" s="119" t="n"/>
      <c r="C31" s="120" t="n"/>
      <c r="D31" s="120" t="n"/>
      <c r="E31" s="121" t="n"/>
      <c r="F31" s="121" t="n"/>
      <c r="G31" s="121" t="n"/>
      <c r="H31" s="121" t="n"/>
      <c r="I31" s="121" t="n"/>
      <c r="J31" s="121" t="n"/>
      <c r="K31" s="122" t="n"/>
      <c r="L31" s="121" t="n"/>
      <c r="M31" s="121" t="n"/>
      <c r="N31" s="121" t="n"/>
      <c r="O31" s="121" t="n"/>
      <c r="P31" s="121" t="n"/>
      <c r="Q31" s="121" t="n"/>
      <c r="R31" s="122" t="n"/>
      <c r="S31" s="121" t="n"/>
      <c r="T31" s="121" t="n"/>
      <c r="U31" s="121" t="n"/>
      <c r="V31" s="121" t="n"/>
      <c r="W31" s="121" t="n"/>
      <c r="X31" s="121" t="n"/>
      <c r="Y31" s="122" t="n"/>
      <c r="Z31" s="121" t="n"/>
      <c r="AA31" s="121" t="n"/>
      <c r="AB31" s="121" t="n"/>
      <c r="AC31" s="121" t="n"/>
      <c r="AD31" s="121" t="n"/>
      <c r="AE31" s="121" t="n"/>
      <c r="AF31" s="122" t="n"/>
      <c r="AG31" s="121" t="n"/>
      <c r="AH31" s="121" t="n"/>
      <c r="AI31" s="123">
        <f>IF(ISBLANK(B31), "", IF(ISNUMBER(D31), IF(D31&gt;0, (COUNTIF(E31:AH31, "✓") + COUNTIF(E31:AH31, "✔") + COUNTIF(E31:AH31, "v") + COUNTIF(E31:AH31, "V"))/D31, 0), IF(((COUNTIF(E31:AH31, "✓") + COUNTIF(E31:AH31, "✔") + COUNTIF(E31:AH31, "v") + COUNTIF(E31:AH31, "V")) + COUNTIF(E31:AH31, "✗") + COUNTIF(E31:AH31, "x") + COUNTIF(E31:AH31, "X"))&gt;0, (COUNTIF(E31:AH31, "✓") + COUNTIF(E31:AH31, "✔") + COUNTIF(E31:AH31, "v") + COUNTIF(E31:AH31, "V"))/((COUNTIF(E31:AH31, "✓") + COUNTIF(E31:AH31, "✔") + COUNTIF(E31:AH31, "v") + COUNTIF(E31:AH31, "V")) + COUNTIF(E31:AH31, "✗") + COUNTIF(E31:AH31, "x") + COUNTIF(E31:AH31, "X")), "")))</f>
        <v/>
      </c>
      <c r="AJ31" s="124">
        <f>IF(ISBLANK(B31), "", IF(ISNUMBER(D31), IF(D31&gt;0, (COUNTIF(E31:AH31, "✓") + COUNTIF(E31:AH31, "✔") + COUNTIF(E31:AH31, "v") + COUNTIF(E31:AH31, "V")) &amp; "/" &amp; D31, (COUNTIF(E31:AH31, "✓") + COUNTIF(E31:AH31, "✔") + COUNTIF(E31:AH31, "v") + COUNTIF(E31:AH31, "V")) &amp; "/0"), IF(((COUNTIF(E31:AH31, "✓") + COUNTIF(E31:AH31, "✔") + COUNTIF(E31:AH31, "v") + COUNTIF(E31:AH31, "V")) + COUNTIF(E31:AH31, "✗") + COUNTIF(E31:AH31, "x") + COUNTIF(E31:AH31, "X"))&gt;0, (COUNTIF(E31:AH31, "✓") + COUNTIF(E31:AH31, "✔") + COUNTIF(E31:AH31, "v") + COUNTIF(E31:AH31, "V")) &amp; "/" &amp; ((COUNTIF(E31:AH31, "✓") + COUNTIF(E31:AH31, "✔") + COUNTIF(E31:AH31, "v") + COUNTIF(E31:AH31, "V")) + COUNTIF(E31:AH31, "✗") + COUNTIF(E31:AH31, "x") + COUNTIF(E31:AH31, "X")), "")))</f>
        <v/>
      </c>
      <c r="AK31" s="124">
        <f>IF(ISBLANK(B31), "", IF(AI31&gt;=0.85, "🔥 Mastered", IF(AI31&gt;=0.7, "⚡ Consistent", "⚠️ Needs Focus")))</f>
        <v/>
      </c>
      <c r="AL31">
        <f>COUNTIF(E31:AH31, "✓")</f>
        <v/>
      </c>
    </row>
    <row r="32" ht="14.5" customHeight="1">
      <c r="A32" s="118" t="n">
        <v>15</v>
      </c>
      <c r="B32" s="119" t="n"/>
      <c r="C32" s="120" t="n"/>
      <c r="D32" s="120" t="n"/>
      <c r="E32" s="121" t="n"/>
      <c r="F32" s="121" t="n"/>
      <c r="G32" s="121" t="n"/>
      <c r="H32" s="121" t="n"/>
      <c r="I32" s="121" t="n"/>
      <c r="J32" s="121" t="n"/>
      <c r="K32" s="122" t="n"/>
      <c r="L32" s="121" t="n"/>
      <c r="M32" s="121" t="n"/>
      <c r="N32" s="121" t="n"/>
      <c r="O32" s="121" t="n"/>
      <c r="P32" s="121" t="n"/>
      <c r="Q32" s="121" t="n"/>
      <c r="R32" s="122" t="n"/>
      <c r="S32" s="121" t="n"/>
      <c r="T32" s="121" t="n"/>
      <c r="U32" s="121" t="n"/>
      <c r="V32" s="121" t="n"/>
      <c r="W32" s="121" t="n"/>
      <c r="X32" s="121" t="n"/>
      <c r="Y32" s="122" t="n"/>
      <c r="Z32" s="121" t="n"/>
      <c r="AA32" s="121" t="n"/>
      <c r="AB32" s="121" t="n"/>
      <c r="AC32" s="121" t="n"/>
      <c r="AD32" s="121" t="n"/>
      <c r="AE32" s="121" t="n"/>
      <c r="AF32" s="122" t="n"/>
      <c r="AG32" s="121" t="n"/>
      <c r="AH32" s="121" t="n"/>
      <c r="AI32" s="123">
        <f>IF(ISBLANK(B32), "", IF(ISNUMBER(D32), IF(D32&gt;0, (COUNTIF(E32:AH32, "✓") + COUNTIF(E32:AH32, "✔") + COUNTIF(E32:AH32, "v") + COUNTIF(E32:AH32, "V"))/D32, 0), IF(((COUNTIF(E32:AH32, "✓") + COUNTIF(E32:AH32, "✔") + COUNTIF(E32:AH32, "v") + COUNTIF(E32:AH32, "V")) + COUNTIF(E32:AH32, "✗") + COUNTIF(E32:AH32, "x") + COUNTIF(E32:AH32, "X"))&gt;0, (COUNTIF(E32:AH32, "✓") + COUNTIF(E32:AH32, "✔") + COUNTIF(E32:AH32, "v") + COUNTIF(E32:AH32, "V"))/((COUNTIF(E32:AH32, "✓") + COUNTIF(E32:AH32, "✔") + COUNTIF(E32:AH32, "v") + COUNTIF(E32:AH32, "V")) + COUNTIF(E32:AH32, "✗") + COUNTIF(E32:AH32, "x") + COUNTIF(E32:AH32, "X")), "")))</f>
        <v/>
      </c>
      <c r="AJ32" s="124">
        <f>IF(ISBLANK(B32), "", IF(ISNUMBER(D32), IF(D32&gt;0, (COUNTIF(E32:AH32, "✓") + COUNTIF(E32:AH32, "✔") + COUNTIF(E32:AH32, "v") + COUNTIF(E32:AH32, "V")) &amp; "/" &amp; D32, (COUNTIF(E32:AH32, "✓") + COUNTIF(E32:AH32, "✔") + COUNTIF(E32:AH32, "v") + COUNTIF(E32:AH32, "V")) &amp; "/0"), IF(((COUNTIF(E32:AH32, "✓") + COUNTIF(E32:AH32, "✔") + COUNTIF(E32:AH32, "v") + COUNTIF(E32:AH32, "V")) + COUNTIF(E32:AH32, "✗") + COUNTIF(E32:AH32, "x") + COUNTIF(E32:AH32, "X"))&gt;0, (COUNTIF(E32:AH32, "✓") + COUNTIF(E32:AH32, "✔") + COUNTIF(E32:AH32, "v") + COUNTIF(E32:AH32, "V")) &amp; "/" &amp; ((COUNTIF(E32:AH32, "✓") + COUNTIF(E32:AH32, "✔") + COUNTIF(E32:AH32, "v") + COUNTIF(E32:AH32, "V")) + COUNTIF(E32:AH32, "✗") + COUNTIF(E32:AH32, "x") + COUNTIF(E32:AH32, "X")), "")))</f>
        <v/>
      </c>
      <c r="AK32" s="124">
        <f>IF(ISBLANK(B32), "", IF(AI32&gt;=0.85, "🔥 Mastered", IF(AI32&gt;=0.7, "⚡ Consistent", "⚠️ Needs Focus")))</f>
        <v/>
      </c>
      <c r="AL32">
        <f>COUNTIF(E32:AH32, "✓")</f>
        <v/>
      </c>
    </row>
    <row r="33" ht="14.5" customHeight="1">
      <c r="A33" s="118" t="n">
        <v>16</v>
      </c>
      <c r="B33" s="119" t="n"/>
      <c r="C33" s="120" t="n"/>
      <c r="D33" s="120" t="n"/>
      <c r="E33" s="121" t="n"/>
      <c r="F33" s="121" t="n"/>
      <c r="G33" s="121" t="n"/>
      <c r="H33" s="121" t="n"/>
      <c r="I33" s="121" t="n"/>
      <c r="J33" s="121" t="n"/>
      <c r="K33" s="122" t="n"/>
      <c r="L33" s="121" t="n"/>
      <c r="M33" s="121" t="n"/>
      <c r="N33" s="121" t="n"/>
      <c r="O33" s="121" t="n"/>
      <c r="P33" s="121" t="n"/>
      <c r="Q33" s="121" t="n"/>
      <c r="R33" s="122" t="n"/>
      <c r="S33" s="121" t="n"/>
      <c r="T33" s="121" t="n"/>
      <c r="U33" s="121" t="n"/>
      <c r="V33" s="121" t="n"/>
      <c r="W33" s="121" t="n"/>
      <c r="X33" s="121" t="n"/>
      <c r="Y33" s="122" t="n"/>
      <c r="Z33" s="121" t="n"/>
      <c r="AA33" s="121" t="n"/>
      <c r="AB33" s="121" t="n"/>
      <c r="AC33" s="121" t="n"/>
      <c r="AD33" s="121" t="n"/>
      <c r="AE33" s="121" t="n"/>
      <c r="AF33" s="122" t="n"/>
      <c r="AG33" s="121" t="n"/>
      <c r="AH33" s="121" t="n"/>
      <c r="AI33" s="123">
        <f>IF(ISBLANK(B33), "", IF(ISNUMBER(D33), IF(D33&gt;0, (COUNTIF(E33:AH33, "✓") + COUNTIF(E33:AH33, "✔") + COUNTIF(E33:AH33, "v") + COUNTIF(E33:AH33, "V"))/D33, 0), IF(((COUNTIF(E33:AH33, "✓") + COUNTIF(E33:AH33, "✔") + COUNTIF(E33:AH33, "v") + COUNTIF(E33:AH33, "V")) + COUNTIF(E33:AH33, "✗") + COUNTIF(E33:AH33, "x") + COUNTIF(E33:AH33, "X"))&gt;0, (COUNTIF(E33:AH33, "✓") + COUNTIF(E33:AH33, "✔") + COUNTIF(E33:AH33, "v") + COUNTIF(E33:AH33, "V"))/((COUNTIF(E33:AH33, "✓") + COUNTIF(E33:AH33, "✔") + COUNTIF(E33:AH33, "v") + COUNTIF(E33:AH33, "V")) + COUNTIF(E33:AH33, "✗") + COUNTIF(E33:AH33, "x") + COUNTIF(E33:AH33, "X")), "")))</f>
        <v/>
      </c>
      <c r="AJ33" s="124">
        <f>IF(ISBLANK(B33), "", IF(ISNUMBER(D33), IF(D33&gt;0, (COUNTIF(E33:AH33, "✓") + COUNTIF(E33:AH33, "✔") + COUNTIF(E33:AH33, "v") + COUNTIF(E33:AH33, "V")) &amp; "/" &amp; D33, (COUNTIF(E33:AH33, "✓") + COUNTIF(E33:AH33, "✔") + COUNTIF(E33:AH33, "v") + COUNTIF(E33:AH33, "V")) &amp; "/0"), IF(((COUNTIF(E33:AH33, "✓") + COUNTIF(E33:AH33, "✔") + COUNTIF(E33:AH33, "v") + COUNTIF(E33:AH33, "V")) + COUNTIF(E33:AH33, "✗") + COUNTIF(E33:AH33, "x") + COUNTIF(E33:AH33, "X"))&gt;0, (COUNTIF(E33:AH33, "✓") + COUNTIF(E33:AH33, "✔") + COUNTIF(E33:AH33, "v") + COUNTIF(E33:AH33, "V")) &amp; "/" &amp; ((COUNTIF(E33:AH33, "✓") + COUNTIF(E33:AH33, "✔") + COUNTIF(E33:AH33, "v") + COUNTIF(E33:AH33, "V")) + COUNTIF(E33:AH33, "✗") + COUNTIF(E33:AH33, "x") + COUNTIF(E33:AH33, "X")), "")))</f>
        <v/>
      </c>
      <c r="AK33" s="124">
        <f>IF(ISBLANK(B33), "", IF(AI33&gt;=0.85, "🔥 Mastered", IF(AI33&gt;=0.7, "⚡ Consistent", "⚠️ Needs Focus")))</f>
        <v/>
      </c>
      <c r="AL33">
        <f>COUNTIF(E33:AH33, "✓")</f>
        <v/>
      </c>
    </row>
    <row r="34" ht="14.5" customHeight="1">
      <c r="A34" s="125" t="n">
        <v>17</v>
      </c>
      <c r="B34" s="126" t="n"/>
      <c r="C34" s="127" t="n"/>
      <c r="D34" s="127" t="n"/>
      <c r="E34" s="128" t="n"/>
      <c r="F34" s="128" t="n"/>
      <c r="G34" s="128" t="n"/>
      <c r="H34" s="128" t="n"/>
      <c r="I34" s="128" t="n"/>
      <c r="J34" s="128" t="n"/>
      <c r="K34" s="129" t="n"/>
      <c r="L34" s="128" t="n"/>
      <c r="M34" s="128" t="n"/>
      <c r="N34" s="128" t="n"/>
      <c r="O34" s="128" t="n"/>
      <c r="P34" s="128" t="n"/>
      <c r="Q34" s="128" t="n"/>
      <c r="R34" s="129" t="n"/>
      <c r="S34" s="128" t="n"/>
      <c r="T34" s="128" t="n"/>
      <c r="U34" s="128" t="n"/>
      <c r="V34" s="128" t="n"/>
      <c r="W34" s="128" t="n"/>
      <c r="X34" s="128" t="n"/>
      <c r="Y34" s="129" t="n"/>
      <c r="Z34" s="128" t="n"/>
      <c r="AA34" s="128" t="n"/>
      <c r="AB34" s="128" t="n"/>
      <c r="AC34" s="128" t="n"/>
      <c r="AD34" s="128" t="n"/>
      <c r="AE34" s="128" t="n"/>
      <c r="AF34" s="129" t="n"/>
      <c r="AG34" s="128" t="n"/>
      <c r="AH34" s="128" t="n"/>
      <c r="AI34" s="130">
        <f>IF(ISBLANK(B34), "", IF(ISNUMBER(D34), IF(D34&gt;0, (COUNTIF(E34:AH34, "✓") + COUNTIF(E34:AH34, "✔") + COUNTIF(E34:AH34, "v") + COUNTIF(E34:AH34, "V"))/D34, 0), IF(((COUNTIF(E34:AH34, "✓") + COUNTIF(E34:AH34, "✔") + COUNTIF(E34:AH34, "v") + COUNTIF(E34:AH34, "V")) + COUNTIF(E34:AH34, "✗") + COUNTIF(E34:AH34, "x") + COUNTIF(E34:AH34, "X"))&gt;0, (COUNTIF(E34:AH34, "✓") + COUNTIF(E34:AH34, "✔") + COUNTIF(E34:AH34, "v") + COUNTIF(E34:AH34, "V"))/((COUNTIF(E34:AH34, "✓") + COUNTIF(E34:AH34, "✔") + COUNTIF(E34:AH34, "v") + COUNTIF(E34:AH34, "V")) + COUNTIF(E34:AH34, "✗") + COUNTIF(E34:AH34, "x") + COUNTIF(E34:AH34, "X")), "")))</f>
        <v/>
      </c>
      <c r="AJ34" s="131">
        <f>IF(ISBLANK(B34), "", IF(ISNUMBER(D34), IF(D34&gt;0, (COUNTIF(E34:AH34, "✓") + COUNTIF(E34:AH34, "✔") + COUNTIF(E34:AH34, "v") + COUNTIF(E34:AH34, "V")) &amp; "/" &amp; D34, (COUNTIF(E34:AH34, "✓") + COUNTIF(E34:AH34, "✔") + COUNTIF(E34:AH34, "v") + COUNTIF(E34:AH34, "V")) &amp; "/0"), IF(((COUNTIF(E34:AH34, "✓") + COUNTIF(E34:AH34, "✔") + COUNTIF(E34:AH34, "v") + COUNTIF(E34:AH34, "V")) + COUNTIF(E34:AH34, "✗") + COUNTIF(E34:AH34, "x") + COUNTIF(E34:AH34, "X"))&gt;0, (COUNTIF(E34:AH34, "✓") + COUNTIF(E34:AH34, "✔") + COUNTIF(E34:AH34, "v") + COUNTIF(E34:AH34, "V")) &amp; "/" &amp; ((COUNTIF(E34:AH34, "✓") + COUNTIF(E34:AH34, "✔") + COUNTIF(E34:AH34, "v") + COUNTIF(E34:AH34, "V")) + COUNTIF(E34:AH34, "✗") + COUNTIF(E34:AH34, "x") + COUNTIF(E34:AH34, "X")), "")))</f>
        <v/>
      </c>
      <c r="AK34" s="131">
        <f>IF(ISBLANK(B34), "", IF(AI34&gt;=0.85, "🔥 Mastered", IF(AI34&gt;=0.7, "⚡ Consistent", "⚠️ Needs Focus")))</f>
        <v/>
      </c>
      <c r="AL34">
        <f>COUNTIF(E34:AH34, "✓")</f>
        <v/>
      </c>
    </row>
    <row r="35" ht="14.5" customHeight="1">
      <c r="A35" s="125" t="n">
        <v>18</v>
      </c>
      <c r="B35" s="126" t="n"/>
      <c r="C35" s="127" t="n"/>
      <c r="D35" s="127" t="n"/>
      <c r="E35" s="128" t="n"/>
      <c r="F35" s="128" t="n"/>
      <c r="G35" s="128" t="n"/>
      <c r="H35" s="128" t="n"/>
      <c r="I35" s="128" t="n"/>
      <c r="J35" s="128" t="n"/>
      <c r="K35" s="129" t="n"/>
      <c r="L35" s="128" t="n"/>
      <c r="M35" s="128" t="n"/>
      <c r="N35" s="128" t="n"/>
      <c r="O35" s="128" t="n"/>
      <c r="P35" s="128" t="n"/>
      <c r="Q35" s="128" t="n"/>
      <c r="R35" s="129" t="n"/>
      <c r="S35" s="128" t="n"/>
      <c r="T35" s="128" t="n"/>
      <c r="U35" s="128" t="n"/>
      <c r="V35" s="128" t="n"/>
      <c r="W35" s="128" t="n"/>
      <c r="X35" s="128" t="n"/>
      <c r="Y35" s="129" t="n"/>
      <c r="Z35" s="128" t="n"/>
      <c r="AA35" s="128" t="n"/>
      <c r="AB35" s="128" t="n"/>
      <c r="AC35" s="128" t="n"/>
      <c r="AD35" s="128" t="n"/>
      <c r="AE35" s="128" t="n"/>
      <c r="AF35" s="129" t="n"/>
      <c r="AG35" s="128" t="n"/>
      <c r="AH35" s="128" t="n"/>
      <c r="AI35" s="130">
        <f>IF(ISBLANK(B35), "", IF(ISNUMBER(D35), IF(D35&gt;0, (COUNTIF(E35:AH35, "✓") + COUNTIF(E35:AH35, "✔") + COUNTIF(E35:AH35, "v") + COUNTIF(E35:AH35, "V"))/D35, 0), IF(((COUNTIF(E35:AH35, "✓") + COUNTIF(E35:AH35, "✔") + COUNTIF(E35:AH35, "v") + COUNTIF(E35:AH35, "V")) + COUNTIF(E35:AH35, "✗") + COUNTIF(E35:AH35, "x") + COUNTIF(E35:AH35, "X"))&gt;0, (COUNTIF(E35:AH35, "✓") + COUNTIF(E35:AH35, "✔") + COUNTIF(E35:AH35, "v") + COUNTIF(E35:AH35, "V"))/((COUNTIF(E35:AH35, "✓") + COUNTIF(E35:AH35, "✔") + COUNTIF(E35:AH35, "v") + COUNTIF(E35:AH35, "V")) + COUNTIF(E35:AH35, "✗") + COUNTIF(E35:AH35, "x") + COUNTIF(E35:AH35, "X")), "")))</f>
        <v/>
      </c>
      <c r="AJ35" s="131">
        <f>IF(ISBLANK(B35), "", IF(ISNUMBER(D35), IF(D35&gt;0, (COUNTIF(E35:AH35, "✓") + COUNTIF(E35:AH35, "✔") + COUNTIF(E35:AH35, "v") + COUNTIF(E35:AH35, "V")) &amp; "/" &amp; D35, (COUNTIF(E35:AH35, "✓") + COUNTIF(E35:AH35, "✔") + COUNTIF(E35:AH35, "v") + COUNTIF(E35:AH35, "V")) &amp; "/0"), IF(((COUNTIF(E35:AH35, "✓") + COUNTIF(E35:AH35, "✔") + COUNTIF(E35:AH35, "v") + COUNTIF(E35:AH35, "V")) + COUNTIF(E35:AH35, "✗") + COUNTIF(E35:AH35, "x") + COUNTIF(E35:AH35, "X"))&gt;0, (COUNTIF(E35:AH35, "✓") + COUNTIF(E35:AH35, "✔") + COUNTIF(E35:AH35, "v") + COUNTIF(E35:AH35, "V")) &amp; "/" &amp; ((COUNTIF(E35:AH35, "✓") + COUNTIF(E35:AH35, "✔") + COUNTIF(E35:AH35, "v") + COUNTIF(E35:AH35, "V")) + COUNTIF(E35:AH35, "✗") + COUNTIF(E35:AH35, "x") + COUNTIF(E35:AH35, "X")), "")))</f>
        <v/>
      </c>
      <c r="AK35" s="131">
        <f>IF(ISBLANK(B35), "", IF(AI35&gt;=0.85, "🔥 Mastered", IF(AI35&gt;=0.7, "⚡ Consistent", "⚠️ Needs Focus")))</f>
        <v/>
      </c>
      <c r="AL35">
        <f>COUNTIF(E35:AH35, "✓")</f>
        <v/>
      </c>
    </row>
    <row r="36" ht="14.5" customHeight="1">
      <c r="A36" s="125" t="n">
        <v>19</v>
      </c>
      <c r="B36" s="126" t="n"/>
      <c r="C36" s="127" t="n"/>
      <c r="D36" s="127" t="n"/>
      <c r="E36" s="128" t="n"/>
      <c r="F36" s="128" t="n"/>
      <c r="G36" s="128" t="n"/>
      <c r="H36" s="128" t="n"/>
      <c r="I36" s="128" t="n"/>
      <c r="J36" s="128" t="n"/>
      <c r="K36" s="129" t="n"/>
      <c r="L36" s="128" t="n"/>
      <c r="M36" s="128" t="n"/>
      <c r="N36" s="128" t="n"/>
      <c r="O36" s="128" t="n"/>
      <c r="P36" s="128" t="n"/>
      <c r="Q36" s="128" t="n"/>
      <c r="R36" s="129" t="n"/>
      <c r="S36" s="128" t="n"/>
      <c r="T36" s="128" t="n"/>
      <c r="U36" s="128" t="n"/>
      <c r="V36" s="128" t="n"/>
      <c r="W36" s="128" t="n"/>
      <c r="X36" s="128" t="n"/>
      <c r="Y36" s="129" t="n"/>
      <c r="Z36" s="128" t="n"/>
      <c r="AA36" s="128" t="n"/>
      <c r="AB36" s="128" t="n"/>
      <c r="AC36" s="128" t="n"/>
      <c r="AD36" s="128" t="n"/>
      <c r="AE36" s="128" t="n"/>
      <c r="AF36" s="129" t="n"/>
      <c r="AG36" s="128" t="n"/>
      <c r="AH36" s="128" t="n"/>
      <c r="AI36" s="130">
        <f>IF(ISBLANK(B36), "", IF(ISNUMBER(D36), IF(D36&gt;0, (COUNTIF(E36:AH36, "✓") + COUNTIF(E36:AH36, "✔") + COUNTIF(E36:AH36, "v") + COUNTIF(E36:AH36, "V"))/D36, 0), IF(((COUNTIF(E36:AH36, "✓") + COUNTIF(E36:AH36, "✔") + COUNTIF(E36:AH36, "v") + COUNTIF(E36:AH36, "V")) + COUNTIF(E36:AH36, "✗") + COUNTIF(E36:AH36, "x") + COUNTIF(E36:AH36, "X"))&gt;0, (COUNTIF(E36:AH36, "✓") + COUNTIF(E36:AH36, "✔") + COUNTIF(E36:AH36, "v") + COUNTIF(E36:AH36, "V"))/((COUNTIF(E36:AH36, "✓") + COUNTIF(E36:AH36, "✔") + COUNTIF(E36:AH36, "v") + COUNTIF(E36:AH36, "V")) + COUNTIF(E36:AH36, "✗") + COUNTIF(E36:AH36, "x") + COUNTIF(E36:AH36, "X")), "")))</f>
        <v/>
      </c>
      <c r="AJ36" s="131">
        <f>IF(ISBLANK(B36), "", IF(ISNUMBER(D36), IF(D36&gt;0, (COUNTIF(E36:AH36, "✓") + COUNTIF(E36:AH36, "✔") + COUNTIF(E36:AH36, "v") + COUNTIF(E36:AH36, "V")) &amp; "/" &amp; D36, (COUNTIF(E36:AH36, "✓") + COUNTIF(E36:AH36, "✔") + COUNTIF(E36:AH36, "v") + COUNTIF(E36:AH36, "V")) &amp; "/0"), IF(((COUNTIF(E36:AH36, "✓") + COUNTIF(E36:AH36, "✔") + COUNTIF(E36:AH36, "v") + COUNTIF(E36:AH36, "V")) + COUNTIF(E36:AH36, "✗") + COUNTIF(E36:AH36, "x") + COUNTIF(E36:AH36, "X"))&gt;0, (COUNTIF(E36:AH36, "✓") + COUNTIF(E36:AH36, "✔") + COUNTIF(E36:AH36, "v") + COUNTIF(E36:AH36, "V")) &amp; "/" &amp; ((COUNTIF(E36:AH36, "✓") + COUNTIF(E36:AH36, "✔") + COUNTIF(E36:AH36, "v") + COUNTIF(E36:AH36, "V")) + COUNTIF(E36:AH36, "✗") + COUNTIF(E36:AH36, "x") + COUNTIF(E36:AH36, "X")), "")))</f>
        <v/>
      </c>
      <c r="AK36" s="131">
        <f>IF(ISBLANK(B36), "", IF(AI36&gt;=0.85, "🔥 Mastered", IF(AI36&gt;=0.7, "⚡ Consistent", "⚠️ Needs Focus")))</f>
        <v/>
      </c>
      <c r="AL36">
        <f>COUNTIF(E36:AH36, "✓")</f>
        <v/>
      </c>
    </row>
    <row r="37" ht="14.5" customHeight="1">
      <c r="A37" s="125" t="n">
        <v>20</v>
      </c>
      <c r="B37" s="126" t="n"/>
      <c r="C37" s="127" t="n"/>
      <c r="D37" s="127" t="n"/>
      <c r="E37" s="128" t="n"/>
      <c r="F37" s="128" t="n"/>
      <c r="G37" s="128" t="n"/>
      <c r="H37" s="128" t="n"/>
      <c r="I37" s="128" t="n"/>
      <c r="J37" s="128" t="n"/>
      <c r="K37" s="129" t="n"/>
      <c r="L37" s="128" t="n"/>
      <c r="M37" s="128" t="n"/>
      <c r="N37" s="128" t="n"/>
      <c r="O37" s="128" t="n"/>
      <c r="P37" s="128" t="n"/>
      <c r="Q37" s="128" t="n"/>
      <c r="R37" s="129" t="n"/>
      <c r="S37" s="128" t="n"/>
      <c r="T37" s="128" t="n"/>
      <c r="U37" s="128" t="n"/>
      <c r="V37" s="128" t="n"/>
      <c r="W37" s="128" t="n"/>
      <c r="X37" s="128" t="n"/>
      <c r="Y37" s="129" t="n"/>
      <c r="Z37" s="128" t="n"/>
      <c r="AA37" s="128" t="n"/>
      <c r="AB37" s="128" t="n"/>
      <c r="AC37" s="128" t="n"/>
      <c r="AD37" s="128" t="n"/>
      <c r="AE37" s="128" t="n"/>
      <c r="AF37" s="129" t="n"/>
      <c r="AG37" s="128" t="n"/>
      <c r="AH37" s="128" t="n"/>
      <c r="AI37" s="130">
        <f>IF(ISBLANK(B37), "", IF(ISNUMBER(D37), IF(D37&gt;0, (COUNTIF(E37:AH37, "✓") + COUNTIF(E37:AH37, "✔") + COUNTIF(E37:AH37, "v") + COUNTIF(E37:AH37, "V"))/D37, 0), IF(((COUNTIF(E37:AH37, "✓") + COUNTIF(E37:AH37, "✔") + COUNTIF(E37:AH37, "v") + COUNTIF(E37:AH37, "V")) + COUNTIF(E37:AH37, "✗") + COUNTIF(E37:AH37, "x") + COUNTIF(E37:AH37, "X"))&gt;0, (COUNTIF(E37:AH37, "✓") + COUNTIF(E37:AH37, "✔") + COUNTIF(E37:AH37, "v") + COUNTIF(E37:AH37, "V"))/((COUNTIF(E37:AH37, "✓") + COUNTIF(E37:AH37, "✔") + COUNTIF(E37:AH37, "v") + COUNTIF(E37:AH37, "V")) + COUNTIF(E37:AH37, "✗") + COUNTIF(E37:AH37, "x") + COUNTIF(E37:AH37, "X")), "")))</f>
        <v/>
      </c>
      <c r="AJ37" s="131">
        <f>IF(ISBLANK(B37), "", IF(ISNUMBER(D37), IF(D37&gt;0, (COUNTIF(E37:AH37, "✓") + COUNTIF(E37:AH37, "✔") + COUNTIF(E37:AH37, "v") + COUNTIF(E37:AH37, "V")) &amp; "/" &amp; D37, (COUNTIF(E37:AH37, "✓") + COUNTIF(E37:AH37, "✔") + COUNTIF(E37:AH37, "v") + COUNTIF(E37:AH37, "V")) &amp; "/0"), IF(((COUNTIF(E37:AH37, "✓") + COUNTIF(E37:AH37, "✔") + COUNTIF(E37:AH37, "v") + COUNTIF(E37:AH37, "V")) + COUNTIF(E37:AH37, "✗") + COUNTIF(E37:AH37, "x") + COUNTIF(E37:AH37, "X"))&gt;0, (COUNTIF(E37:AH37, "✓") + COUNTIF(E37:AH37, "✔") + COUNTIF(E37:AH37, "v") + COUNTIF(E37:AH37, "V")) &amp; "/" &amp; ((COUNTIF(E37:AH37, "✓") + COUNTIF(E37:AH37, "✔") + COUNTIF(E37:AH37, "v") + COUNTIF(E37:AH37, "V")) + COUNTIF(E37:AH37, "✗") + COUNTIF(E37:AH37, "x") + COUNTIF(E37:AH37, "X")), "")))</f>
        <v/>
      </c>
      <c r="AK37" s="131">
        <f>IF(ISBLANK(B37), "", IF(AI37&gt;=0.85, "🔥 Mastered", IF(AI37&gt;=0.7, "⚡ Consistent", "⚠️ Needs Focus")))</f>
        <v/>
      </c>
      <c r="AL37">
        <f>COUNTIF(E37:AH37, "✓")</f>
        <v/>
      </c>
    </row>
    <row r="38" ht="18" customHeight="1">
      <c r="A38" s="132" t="inlineStr">
        <is>
          <t>DAILY TOTAL SCORE</t>
        </is>
      </c>
      <c r="B38" s="54" t="n"/>
      <c r="C38" s="54" t="n"/>
      <c r="D38" s="54" t="n"/>
      <c r="E38" s="33">
        <f>IF(((COUNTIF(E18:E37, "✓") + COUNTIF(E18:E37, "✔") + COUNTIF(E18:E37, "v") + COUNTIF(E18:E37, "V")) + COUNTIF(E18:E37, "✗") + COUNTIF(E18:E37, "x") + COUNTIF(E18:E37, "X")) &gt; 0, (COUNTIF(E18:E37, "✓") + COUNTIF(E18:E37, "✔") + COUNTIF(E18:E37, "v") + COUNTIF(E18:E37, "V")) &amp; "/" &amp; ((COUNTIF(E18:E37, "✓") + COUNTIF(E18:E37, "✔") + COUNTIF(E18:E37, "v") + COUNTIF(E18:E37, "V")) + COUNTIF(E18:E37, "✗") + COUNTIF(E18:E37, "x") + COUNTIF(E18:E37, "X")), "")</f>
        <v/>
      </c>
      <c r="F38" s="33">
        <f>IF(((COUNTIF(F18:F37, "✓") + COUNTIF(F18:F37, "✔") + COUNTIF(F18:F37, "v") + COUNTIF(F18:F37, "V")) + COUNTIF(F18:F37, "✗") + COUNTIF(F18:F37, "x") + COUNTIF(F18:F37, "X")) &gt; 0, (COUNTIF(F18:F37, "✓") + COUNTIF(F18:F37, "✔") + COUNTIF(F18:F37, "v") + COUNTIF(F18:F37, "V")) &amp; "/" &amp; ((COUNTIF(F18:F37, "✓") + COUNTIF(F18:F37, "✔") + COUNTIF(F18:F37, "v") + COUNTIF(F18:F37, "V")) + COUNTIF(F18:F37, "✗") + COUNTIF(F18:F37, "x") + COUNTIF(F18:F37, "X")), "")</f>
        <v/>
      </c>
      <c r="G38" s="33">
        <f>IF(((COUNTIF(G18:G37, "✓") + COUNTIF(G18:G37, "✔") + COUNTIF(G18:G37, "v") + COUNTIF(G18:G37, "V")) + COUNTIF(G18:G37, "✗") + COUNTIF(G18:G37, "x") + COUNTIF(G18:G37, "X")) &gt; 0, (COUNTIF(G18:G37, "✓") + COUNTIF(G18:G37, "✔") + COUNTIF(G18:G37, "v") + COUNTIF(G18:G37, "V")) &amp; "/" &amp; ((COUNTIF(G18:G37, "✓") + COUNTIF(G18:G37, "✔") + COUNTIF(G18:G37, "v") + COUNTIF(G18:G37, "V")) + COUNTIF(G18:G37, "✗") + COUNTIF(G18:G37, "x") + COUNTIF(G18:G37, "X")), "")</f>
        <v/>
      </c>
      <c r="H38" s="33">
        <f>IF(((COUNTIF(H18:H37, "✓") + COUNTIF(H18:H37, "✔") + COUNTIF(H18:H37, "v") + COUNTIF(H18:H37, "V")) + COUNTIF(H18:H37, "✗") + COUNTIF(H18:H37, "x") + COUNTIF(H18:H37, "X")) &gt; 0, (COUNTIF(H18:H37, "✓") + COUNTIF(H18:H37, "✔") + COUNTIF(H18:H37, "v") + COUNTIF(H18:H37, "V")) &amp; "/" &amp; ((COUNTIF(H18:H37, "✓") + COUNTIF(H18:H37, "✔") + COUNTIF(H18:H37, "v") + COUNTIF(H18:H37, "V")) + COUNTIF(H18:H37, "✗") + COUNTIF(H18:H37, "x") + COUNTIF(H18:H37, "X")), "")</f>
        <v/>
      </c>
      <c r="I38" s="33">
        <f>IF(((COUNTIF(I18:I37, "✓") + COUNTIF(I18:I37, "✔") + COUNTIF(I18:I37, "v") + COUNTIF(I18:I37, "V")) + COUNTIF(I18:I37, "✗") + COUNTIF(I18:I37, "x") + COUNTIF(I18:I37, "X")) &gt; 0, (COUNTIF(I18:I37, "✓") + COUNTIF(I18:I37, "✔") + COUNTIF(I18:I37, "v") + COUNTIF(I18:I37, "V")) &amp; "/" &amp; ((COUNTIF(I18:I37, "✓") + COUNTIF(I18:I37, "✔") + COUNTIF(I18:I37, "v") + COUNTIF(I18:I37, "V")) + COUNTIF(I18:I37, "✗") + COUNTIF(I18:I37, "x") + COUNTIF(I18:I37, "X")), "")</f>
        <v/>
      </c>
      <c r="J38" s="33">
        <f>IF(((COUNTIF(J18:J37, "✓") + COUNTIF(J18:J37, "✔") + COUNTIF(J18:J37, "v") + COUNTIF(J18:J37, "V")) + COUNTIF(J18:J37, "✗") + COUNTIF(J18:J37, "x") + COUNTIF(J18:J37, "X")) &gt; 0, (COUNTIF(J18:J37, "✓") + COUNTIF(J18:J37, "✔") + COUNTIF(J18:J37, "v") + COUNTIF(J18:J37, "V")) &amp; "/" &amp; ((COUNTIF(J18:J37, "✓") + COUNTIF(J18:J37, "✔") + COUNTIF(J18:J37, "v") + COUNTIF(J18:J37, "V")) + COUNTIF(J18:J37, "✗") + COUNTIF(J18:J37, "x") + COUNTIF(J18:J37, "X")), "")</f>
        <v/>
      </c>
      <c r="K38" s="33">
        <f>IF(((COUNTIF(K18:K37, "✓") + COUNTIF(K18:K37, "✔") + COUNTIF(K18:K37, "v") + COUNTIF(K18:K37, "V")) + COUNTIF(K18:K37, "✗") + COUNTIF(K18:K37, "x") + COUNTIF(K18:K37, "X")) &gt; 0, (COUNTIF(K18:K37, "✓") + COUNTIF(K18:K37, "✔") + COUNTIF(K18:K37, "v") + COUNTIF(K18:K37, "V")) &amp; "/" &amp; ((COUNTIF(K18:K37, "✓") + COUNTIF(K18:K37, "✔") + COUNTIF(K18:K37, "v") + COUNTIF(K18:K37, "V")) + COUNTIF(K18:K37, "✗") + COUNTIF(K18:K37, "x") + COUNTIF(K18:K37, "X")), "")</f>
        <v/>
      </c>
      <c r="L38" s="33">
        <f>IF(((COUNTIF(L18:L37, "✓") + COUNTIF(L18:L37, "✔") + COUNTIF(L18:L37, "v") + COUNTIF(L18:L37, "V")) + COUNTIF(L18:L37, "✗") + COUNTIF(L18:L37, "x") + COUNTIF(L18:L37, "X")) &gt; 0, (COUNTIF(L18:L37, "✓") + COUNTIF(L18:L37, "✔") + COUNTIF(L18:L37, "v") + COUNTIF(L18:L37, "V")) &amp; "/" &amp; ((COUNTIF(L18:L37, "✓") + COUNTIF(L18:L37, "✔") + COUNTIF(L18:L37, "v") + COUNTIF(L18:L37, "V")) + COUNTIF(L18:L37, "✗") + COUNTIF(L18:L37, "x") + COUNTIF(L18:L37, "X")), "")</f>
        <v/>
      </c>
      <c r="M38" s="33">
        <f>IF(((COUNTIF(M18:M37, "✓") + COUNTIF(M18:M37, "✔") + COUNTIF(M18:M37, "v") + COUNTIF(M18:M37, "V")) + COUNTIF(M18:M37, "✗") + COUNTIF(M18:M37, "x") + COUNTIF(M18:M37, "X")) &gt; 0, (COUNTIF(M18:M37, "✓") + COUNTIF(M18:M37, "✔") + COUNTIF(M18:M37, "v") + COUNTIF(M18:M37, "V")) &amp; "/" &amp; ((COUNTIF(M18:M37, "✓") + COUNTIF(M18:M37, "✔") + COUNTIF(M18:M37, "v") + COUNTIF(M18:M37, "V")) + COUNTIF(M18:M37, "✗") + COUNTIF(M18:M37, "x") + COUNTIF(M18:M37, "X")), "")</f>
        <v/>
      </c>
      <c r="N38" s="33">
        <f>IF(((COUNTIF(N18:N37, "✓") + COUNTIF(N18:N37, "✔") + COUNTIF(N18:N37, "v") + COUNTIF(N18:N37, "V")) + COUNTIF(N18:N37, "✗") + COUNTIF(N18:N37, "x") + COUNTIF(N18:N37, "X")) &gt; 0, (COUNTIF(N18:N37, "✓") + COUNTIF(N18:N37, "✔") + COUNTIF(N18:N37, "v") + COUNTIF(N18:N37, "V")) &amp; "/" &amp; ((COUNTIF(N18:N37, "✓") + COUNTIF(N18:N37, "✔") + COUNTIF(N18:N37, "v") + COUNTIF(N18:N37, "V")) + COUNTIF(N18:N37, "✗") + COUNTIF(N18:N37, "x") + COUNTIF(N18:N37, "X")), "")</f>
        <v/>
      </c>
      <c r="O38" s="33">
        <f>IF(((COUNTIF(O18:O37, "✓") + COUNTIF(O18:O37, "✔") + COUNTIF(O18:O37, "v") + COUNTIF(O18:O37, "V")) + COUNTIF(O18:O37, "✗") + COUNTIF(O18:O37, "x") + COUNTIF(O18:O37, "X")) &gt; 0, (COUNTIF(O18:O37, "✓") + COUNTIF(O18:O37, "✔") + COUNTIF(O18:O37, "v") + COUNTIF(O18:O37, "V")) &amp; "/" &amp; ((COUNTIF(O18:O37, "✓") + COUNTIF(O18:O37, "✔") + COUNTIF(O18:O37, "v") + COUNTIF(O18:O37, "V")) + COUNTIF(O18:O37, "✗") + COUNTIF(O18:O37, "x") + COUNTIF(O18:O37, "X")), "")</f>
        <v/>
      </c>
      <c r="P38" s="33">
        <f>IF(((COUNTIF(P18:P37, "✓") + COUNTIF(P18:P37, "✔") + COUNTIF(P18:P37, "v") + COUNTIF(P18:P37, "V")) + COUNTIF(P18:P37, "✗") + COUNTIF(P18:P37, "x") + COUNTIF(P18:P37, "X")) &gt; 0, (COUNTIF(P18:P37, "✓") + COUNTIF(P18:P37, "✔") + COUNTIF(P18:P37, "v") + COUNTIF(P18:P37, "V")) &amp; "/" &amp; ((COUNTIF(P18:P37, "✓") + COUNTIF(P18:P37, "✔") + COUNTIF(P18:P37, "v") + COUNTIF(P18:P37, "V")) + COUNTIF(P18:P37, "✗") + COUNTIF(P18:P37, "x") + COUNTIF(P18:P37, "X")), "")</f>
        <v/>
      </c>
      <c r="Q38" s="33">
        <f>IF(((COUNTIF(Q18:Q37, "✓") + COUNTIF(Q18:Q37, "✔") + COUNTIF(Q18:Q37, "v") + COUNTIF(Q18:Q37, "V")) + COUNTIF(Q18:Q37, "✗") + COUNTIF(Q18:Q37, "x") + COUNTIF(Q18:Q37, "X")) &gt; 0, (COUNTIF(Q18:Q37, "✓") + COUNTIF(Q18:Q37, "✔") + COUNTIF(Q18:Q37, "v") + COUNTIF(Q18:Q37, "V")) &amp; "/" &amp; ((COUNTIF(Q18:Q37, "✓") + COUNTIF(Q18:Q37, "✔") + COUNTIF(Q18:Q37, "v") + COUNTIF(Q18:Q37, "V")) + COUNTIF(Q18:Q37, "✗") + COUNTIF(Q18:Q37, "x") + COUNTIF(Q18:Q37, "X")), "")</f>
        <v/>
      </c>
      <c r="R38" s="33">
        <f>IF(((COUNTIF(R18:R37, "✓") + COUNTIF(R18:R37, "✔") + COUNTIF(R18:R37, "v") + COUNTIF(R18:R37, "V")) + COUNTIF(R18:R37, "✗") + COUNTIF(R18:R37, "x") + COUNTIF(R18:R37, "X")) &gt; 0, (COUNTIF(R18:R37, "✓") + COUNTIF(R18:R37, "✔") + COUNTIF(R18:R37, "v") + COUNTIF(R18:R37, "V")) &amp; "/" &amp; ((COUNTIF(R18:R37, "✓") + COUNTIF(R18:R37, "✔") + COUNTIF(R18:R37, "v") + COUNTIF(R18:R37, "V")) + COUNTIF(R18:R37, "✗") + COUNTIF(R18:R37, "x") + COUNTIF(R18:R37, "X")), "")</f>
        <v/>
      </c>
      <c r="S38" s="33">
        <f>IF(((COUNTIF(S18:S37, "✓") + COUNTIF(S18:S37, "✔") + COUNTIF(S18:S37, "v") + COUNTIF(S18:S37, "V")) + COUNTIF(S18:S37, "✗") + COUNTIF(S18:S37, "x") + COUNTIF(S18:S37, "X")) &gt; 0, (COUNTIF(S18:S37, "✓") + COUNTIF(S18:S37, "✔") + COUNTIF(S18:S37, "v") + COUNTIF(S18:S37, "V")) &amp; "/" &amp; ((COUNTIF(S18:S37, "✓") + COUNTIF(S18:S37, "✔") + COUNTIF(S18:S37, "v") + COUNTIF(S18:S37, "V")) + COUNTIF(S18:S37, "✗") + COUNTIF(S18:S37, "x") + COUNTIF(S18:S37, "X")), "")</f>
        <v/>
      </c>
      <c r="T38" s="33">
        <f>IF(((COUNTIF(T18:T37, "✓") + COUNTIF(T18:T37, "✔") + COUNTIF(T18:T37, "v") + COUNTIF(T18:T37, "V")) + COUNTIF(T18:T37, "✗") + COUNTIF(T18:T37, "x") + COUNTIF(T18:T37, "X")) &gt; 0, (COUNTIF(T18:T37, "✓") + COUNTIF(T18:T37, "✔") + COUNTIF(T18:T37, "v") + COUNTIF(T18:T37, "V")) &amp; "/" &amp; ((COUNTIF(T18:T37, "✓") + COUNTIF(T18:T37, "✔") + COUNTIF(T18:T37, "v") + COUNTIF(T18:T37, "V")) + COUNTIF(T18:T37, "✗") + COUNTIF(T18:T37, "x") + COUNTIF(T18:T37, "X")), "")</f>
        <v/>
      </c>
      <c r="U38" s="33">
        <f>IF(((COUNTIF(U18:U37, "✓") + COUNTIF(U18:U37, "✔") + COUNTIF(U18:U37, "v") + COUNTIF(U18:U37, "V")) + COUNTIF(U18:U37, "✗") + COUNTIF(U18:U37, "x") + COUNTIF(U18:U37, "X")) &gt; 0, (COUNTIF(U18:U37, "✓") + COUNTIF(U18:U37, "✔") + COUNTIF(U18:U37, "v") + COUNTIF(U18:U37, "V")) &amp; "/" &amp; ((COUNTIF(U18:U37, "✓") + COUNTIF(U18:U37, "✔") + COUNTIF(U18:U37, "v") + COUNTIF(U18:U37, "V")) + COUNTIF(U18:U37, "✗") + COUNTIF(U18:U37, "x") + COUNTIF(U18:U37, "X")), "")</f>
        <v/>
      </c>
      <c r="V38" s="33">
        <f>IF(((COUNTIF(V18:V37, "✓") + COUNTIF(V18:V37, "✔") + COUNTIF(V18:V37, "v") + COUNTIF(V18:V37, "V")) + COUNTIF(V18:V37, "✗") + COUNTIF(V18:V37, "x") + COUNTIF(V18:V37, "X")) &gt; 0, (COUNTIF(V18:V37, "✓") + COUNTIF(V18:V37, "✔") + COUNTIF(V18:V37, "v") + COUNTIF(V18:V37, "V")) &amp; "/" &amp; ((COUNTIF(V18:V37, "✓") + COUNTIF(V18:V37, "✔") + COUNTIF(V18:V37, "v") + COUNTIF(V18:V37, "V")) + COUNTIF(V18:V37, "✗") + COUNTIF(V18:V37, "x") + COUNTIF(V18:V37, "X")), "")</f>
        <v/>
      </c>
      <c r="W38" s="33">
        <f>IF(((COUNTIF(W18:W37, "✓") + COUNTIF(W18:W37, "✔") + COUNTIF(W18:W37, "v") + COUNTIF(W18:W37, "V")) + COUNTIF(W18:W37, "✗") + COUNTIF(W18:W37, "x") + COUNTIF(W18:W37, "X")) &gt; 0, (COUNTIF(W18:W37, "✓") + COUNTIF(W18:W37, "✔") + COUNTIF(W18:W37, "v") + COUNTIF(W18:W37, "V")) &amp; "/" &amp; ((COUNTIF(W18:W37, "✓") + COUNTIF(W18:W37, "✔") + COUNTIF(W18:W37, "v") + COUNTIF(W18:W37, "V")) + COUNTIF(W18:W37, "✗") + COUNTIF(W18:W37, "x") + COUNTIF(W18:W37, "X")), "")</f>
        <v/>
      </c>
      <c r="X38" s="33">
        <f>IF(((COUNTIF(X18:X37, "✓") + COUNTIF(X18:X37, "✔") + COUNTIF(X18:X37, "v") + COUNTIF(X18:X37, "V")) + COUNTIF(X18:X37, "✗") + COUNTIF(X18:X37, "x") + COUNTIF(X18:X37, "X")) &gt; 0, (COUNTIF(X18:X37, "✓") + COUNTIF(X18:X37, "✔") + COUNTIF(X18:X37, "v") + COUNTIF(X18:X37, "V")) &amp; "/" &amp; ((COUNTIF(X18:X37, "✓") + COUNTIF(X18:X37, "✔") + COUNTIF(X18:X37, "v") + COUNTIF(X18:X37, "V")) + COUNTIF(X18:X37, "✗") + COUNTIF(X18:X37, "x") + COUNTIF(X18:X37, "X")), "")</f>
        <v/>
      </c>
      <c r="Y38" s="33">
        <f>IF(((COUNTIF(Y18:Y37, "✓") + COUNTIF(Y18:Y37, "✔") + COUNTIF(Y18:Y37, "v") + COUNTIF(Y18:Y37, "V")) + COUNTIF(Y18:Y37, "✗") + COUNTIF(Y18:Y37, "x") + COUNTIF(Y18:Y37, "X")) &gt; 0, (COUNTIF(Y18:Y37, "✓") + COUNTIF(Y18:Y37, "✔") + COUNTIF(Y18:Y37, "v") + COUNTIF(Y18:Y37, "V")) &amp; "/" &amp; ((COUNTIF(Y18:Y37, "✓") + COUNTIF(Y18:Y37, "✔") + COUNTIF(Y18:Y37, "v") + COUNTIF(Y18:Y37, "V")) + COUNTIF(Y18:Y37, "✗") + COUNTIF(Y18:Y37, "x") + COUNTIF(Y18:Y37, "X")), "")</f>
        <v/>
      </c>
      <c r="Z38" s="33">
        <f>IF(((COUNTIF(Z18:Z37, "✓") + COUNTIF(Z18:Z37, "✔") + COUNTIF(Z18:Z37, "v") + COUNTIF(Z18:Z37, "V")) + COUNTIF(Z18:Z37, "✗") + COUNTIF(Z18:Z37, "x") + COUNTIF(Z18:Z37, "X")) &gt; 0, (COUNTIF(Z18:Z37, "✓") + COUNTIF(Z18:Z37, "✔") + COUNTIF(Z18:Z37, "v") + COUNTIF(Z18:Z37, "V")) &amp; "/" &amp; ((COUNTIF(Z18:Z37, "✓") + COUNTIF(Z18:Z37, "✔") + COUNTIF(Z18:Z37, "v") + COUNTIF(Z18:Z37, "V")) + COUNTIF(Z18:Z37, "✗") + COUNTIF(Z18:Z37, "x") + COUNTIF(Z18:Z37, "X")), "")</f>
        <v/>
      </c>
      <c r="AA38" s="33">
        <f>IF(((COUNTIF(AA18:AA37, "✓") + COUNTIF(AA18:AA37, "✔") + COUNTIF(AA18:AA37, "v") + COUNTIF(AA18:AA37, "V")) + COUNTIF(AA18:AA37, "✗") + COUNTIF(AA18:AA37, "x") + COUNTIF(AA18:AA37, "X")) &gt; 0, (COUNTIF(AA18:AA37, "✓") + COUNTIF(AA18:AA37, "✔") + COUNTIF(AA18:AA37, "v") + COUNTIF(AA18:AA37, "V")) &amp; "/" &amp; ((COUNTIF(AA18:AA37, "✓") + COUNTIF(AA18:AA37, "✔") + COUNTIF(AA18:AA37, "v") + COUNTIF(AA18:AA37, "V")) + COUNTIF(AA18:AA37, "✗") + COUNTIF(AA18:AA37, "x") + COUNTIF(AA18:AA37, "X")), "")</f>
        <v/>
      </c>
      <c r="AB38" s="33">
        <f>IF(((COUNTIF(AB18:AB37, "✓") + COUNTIF(AB18:AB37, "✔") + COUNTIF(AB18:AB37, "v") + COUNTIF(AB18:AB37, "V")) + COUNTIF(AB18:AB37, "✗") + COUNTIF(AB18:AB37, "x") + COUNTIF(AB18:AB37, "X")) &gt; 0, (COUNTIF(AB18:AB37, "✓") + COUNTIF(AB18:AB37, "✔") + COUNTIF(AB18:AB37, "v") + COUNTIF(AB18:AB37, "V")) &amp; "/" &amp; ((COUNTIF(AB18:AB37, "✓") + COUNTIF(AB18:AB37, "✔") + COUNTIF(AB18:AB37, "v") + COUNTIF(AB18:AB37, "V")) + COUNTIF(AB18:AB37, "✗") + COUNTIF(AB18:AB37, "x") + COUNTIF(AB18:AB37, "X")), "")</f>
        <v/>
      </c>
      <c r="AC38" s="33">
        <f>IF(((COUNTIF(AC18:AC37, "✓") + COUNTIF(AC18:AC37, "✔") + COUNTIF(AC18:AC37, "v") + COUNTIF(AC18:AC37, "V")) + COUNTIF(AC18:AC37, "✗") + COUNTIF(AC18:AC37, "x") + COUNTIF(AC18:AC37, "X")) &gt; 0, (COUNTIF(AC18:AC37, "✓") + COUNTIF(AC18:AC37, "✔") + COUNTIF(AC18:AC37, "v") + COUNTIF(AC18:AC37, "V")) &amp; "/" &amp; ((COUNTIF(AC18:AC37, "✓") + COUNTIF(AC18:AC37, "✔") + COUNTIF(AC18:AC37, "v") + COUNTIF(AC18:AC37, "V")) + COUNTIF(AC18:AC37, "✗") + COUNTIF(AC18:AC37, "x") + COUNTIF(AC18:AC37, "X")), "")</f>
        <v/>
      </c>
      <c r="AD38" s="33">
        <f>IF(((COUNTIF(AD18:AD37, "✓") + COUNTIF(AD18:AD37, "✔") + COUNTIF(AD18:AD37, "v") + COUNTIF(AD18:AD37, "V")) + COUNTIF(AD18:AD37, "✗") + COUNTIF(AD18:AD37, "x") + COUNTIF(AD18:AD37, "X")) &gt; 0, (COUNTIF(AD18:AD37, "✓") + COUNTIF(AD18:AD37, "✔") + COUNTIF(AD18:AD37, "v") + COUNTIF(AD18:AD37, "V")) &amp; "/" &amp; ((COUNTIF(AD18:AD37, "✓") + COUNTIF(AD18:AD37, "✔") + COUNTIF(AD18:AD37, "v") + COUNTIF(AD18:AD37, "V")) + COUNTIF(AD18:AD37, "✗") + COUNTIF(AD18:AD37, "x") + COUNTIF(AD18:AD37, "X")), "")</f>
        <v/>
      </c>
      <c r="AE38" s="33">
        <f>IF(((COUNTIF(AE18:AE37, "✓") + COUNTIF(AE18:AE37, "✔") + COUNTIF(AE18:AE37, "v") + COUNTIF(AE18:AE37, "V")) + COUNTIF(AE18:AE37, "✗") + COUNTIF(AE18:AE37, "x") + COUNTIF(AE18:AE37, "X")) &gt; 0, (COUNTIF(AE18:AE37, "✓") + COUNTIF(AE18:AE37, "✔") + COUNTIF(AE18:AE37, "v") + COUNTIF(AE18:AE37, "V")) &amp; "/" &amp; ((COUNTIF(AE18:AE37, "✓") + COUNTIF(AE18:AE37, "✔") + COUNTIF(AE18:AE37, "v") + COUNTIF(AE18:AE37, "V")) + COUNTIF(AE18:AE37, "✗") + COUNTIF(AE18:AE37, "x") + COUNTIF(AE18:AE37, "X")), "")</f>
        <v/>
      </c>
      <c r="AF38" s="33">
        <f>IF(((COUNTIF(AF18:AF37, "✓") + COUNTIF(AF18:AF37, "✔") + COUNTIF(AF18:AF37, "v") + COUNTIF(AF18:AF37, "V")) + COUNTIF(AF18:AF37, "✗") + COUNTIF(AF18:AF37, "x") + COUNTIF(AF18:AF37, "X")) &gt; 0, (COUNTIF(AF18:AF37, "✓") + COUNTIF(AF18:AF37, "✔") + COUNTIF(AF18:AF37, "v") + COUNTIF(AF18:AF37, "V")) &amp; "/" &amp; ((COUNTIF(AF18:AF37, "✓") + COUNTIF(AF18:AF37, "✔") + COUNTIF(AF18:AF37, "v") + COUNTIF(AF18:AF37, "V")) + COUNTIF(AF18:AF37, "✗") + COUNTIF(AF18:AF37, "x") + COUNTIF(AF18:AF37, "X")), "")</f>
        <v/>
      </c>
      <c r="AG38" s="33">
        <f>IF(((COUNTIF(AG18:AG37, "✓") + COUNTIF(AG18:AG37, "✔") + COUNTIF(AG18:AG37, "v") + COUNTIF(AG18:AG37, "V")) + COUNTIF(AG18:AG37, "✗") + COUNTIF(AG18:AG37, "x") + COUNTIF(AG18:AG37, "X")) &gt; 0, (COUNTIF(AG18:AG37, "✓") + COUNTIF(AG18:AG37, "✔") + COUNTIF(AG18:AG37, "v") + COUNTIF(AG18:AG37, "V")) &amp; "/" &amp; ((COUNTIF(AG18:AG37, "✓") + COUNTIF(AG18:AG37, "✔") + COUNTIF(AG18:AG37, "v") + COUNTIF(AG18:AG37, "V")) + COUNTIF(AG18:AG37, "✗") + COUNTIF(AG18:AG37, "x") + COUNTIF(AG18:AG37, "X")), "")</f>
        <v/>
      </c>
      <c r="AH38" s="33">
        <f>IF(((COUNTIF(AH18:AH37, "✓") + COUNTIF(AH18:AH37, "✔") + COUNTIF(AH18:AH37, "v") + COUNTIF(AH18:AH37, "V")) + COUNTIF(AH18:AH37, "✗") + COUNTIF(AH18:AH37, "x") + COUNTIF(AH18:AH37, "X")) &gt; 0, (COUNTIF(AH18:AH37, "✓") + COUNTIF(AH18:AH37, "✔") + COUNTIF(AH18:AH37, "v") + COUNTIF(AH18:AH37, "V")) &amp; "/" &amp; ((COUNTIF(AH18:AH37, "✓") + COUNTIF(AH18:AH37, "✔") + COUNTIF(AH18:AH37, "v") + COUNTIF(AH18:AH37, "V")) + COUNTIF(AH18:AH37, "✗") + COUNTIF(AH18:AH37, "x") + COUNTIF(AH18:AH37, "X")), "")</f>
        <v/>
      </c>
      <c r="AI38" s="133">
        <f>IF(SUM(D18:D37) &gt; 0, SUM(AL18:AL37) / SUM(D18:D37), "")</f>
        <v/>
      </c>
      <c r="AJ38" s="33">
        <f>IF(SUM(D18:D37) &gt; 0, SUM(AL18:AL37) &amp; "/" &amp; SUM(D18:D37), "")</f>
        <v/>
      </c>
      <c r="AK38" s="54" t="n"/>
    </row>
    <row r="39" ht="18" customHeight="1">
      <c r="A39" s="132" t="inlineStr">
        <is>
          <t>DAILY SUCCESS %</t>
        </is>
      </c>
      <c r="B39" s="54" t="n"/>
      <c r="C39" s="54" t="n"/>
      <c r="D39" s="54" t="n"/>
      <c r="E39" s="134">
        <f>IF(((COUNTIF(E18:E37, "✓") + COUNTIF(E18:E37, "✔") + COUNTIF(E18:E37, "v") + COUNTIF(E18:E37, "V")) + COUNTIF(E18:E37, "✗") + COUNTIF(E18:E37, "x") + COUNTIF(E18:E37, "X")) &gt; 0, (COUNTIF(E18:E37, "✓") + COUNTIF(E18:E37, "✔") + COUNTIF(E18:E37, "v") + COUNTIF(E18:E37, "V")) / ((COUNTIF(E18:E37, "✓") + COUNTIF(E18:E37, "✔") + COUNTIF(E18:E37, "v") + COUNTIF(E18:E37, "V")) + COUNTIF(E18:E37, "✗") + COUNTIF(E18:E37, "x") + COUNTIF(E18:E37, "X")), "")</f>
        <v/>
      </c>
      <c r="F39" s="134">
        <f>IF(((COUNTIF(F18:F37, "✓") + COUNTIF(F18:F37, "✔") + COUNTIF(F18:F37, "v") + COUNTIF(F18:F37, "V")) + COUNTIF(F18:F37, "✗") + COUNTIF(F18:F37, "x") + COUNTIF(F18:F37, "X")) &gt; 0, (COUNTIF(F18:F37, "✓") + COUNTIF(F18:F37, "✔") + COUNTIF(F18:F37, "v") + COUNTIF(F18:F37, "V")) / ((COUNTIF(F18:F37, "✓") + COUNTIF(F18:F37, "✔") + COUNTIF(F18:F37, "v") + COUNTIF(F18:F37, "V")) + COUNTIF(F18:F37, "✗") + COUNTIF(F18:F37, "x") + COUNTIF(F18:F37, "X")), "")</f>
        <v/>
      </c>
      <c r="G39" s="134">
        <f>IF(((COUNTIF(G18:G37, "✓") + COUNTIF(G18:G37, "✔") + COUNTIF(G18:G37, "v") + COUNTIF(G18:G37, "V")) + COUNTIF(G18:G37, "✗") + COUNTIF(G18:G37, "x") + COUNTIF(G18:G37, "X")) &gt; 0, (COUNTIF(G18:G37, "✓") + COUNTIF(G18:G37, "✔") + COUNTIF(G18:G37, "v") + COUNTIF(G18:G37, "V")) / ((COUNTIF(G18:G37, "✓") + COUNTIF(G18:G37, "✔") + COUNTIF(G18:G37, "v") + COUNTIF(G18:G37, "V")) + COUNTIF(G18:G37, "✗") + COUNTIF(G18:G37, "x") + COUNTIF(G18:G37, "X")), "")</f>
        <v/>
      </c>
      <c r="H39" s="134">
        <f>IF(((COUNTIF(H18:H37, "✓") + COUNTIF(H18:H37, "✔") + COUNTIF(H18:H37, "v") + COUNTIF(H18:H37, "V")) + COUNTIF(H18:H37, "✗") + COUNTIF(H18:H37, "x") + COUNTIF(H18:H37, "X")) &gt; 0, (COUNTIF(H18:H37, "✓") + COUNTIF(H18:H37, "✔") + COUNTIF(H18:H37, "v") + COUNTIF(H18:H37, "V")) / ((COUNTIF(H18:H37, "✓") + COUNTIF(H18:H37, "✔") + COUNTIF(H18:H37, "v") + COUNTIF(H18:H37, "V")) + COUNTIF(H18:H37, "✗") + COUNTIF(H18:H37, "x") + COUNTIF(H18:H37, "X")), "")</f>
        <v/>
      </c>
      <c r="I39" s="134">
        <f>IF(((COUNTIF(I18:I37, "✓") + COUNTIF(I18:I37, "✔") + COUNTIF(I18:I37, "v") + COUNTIF(I18:I37, "V")) + COUNTIF(I18:I37, "✗") + COUNTIF(I18:I37, "x") + COUNTIF(I18:I37, "X")) &gt; 0, (COUNTIF(I18:I37, "✓") + COUNTIF(I18:I37, "✔") + COUNTIF(I18:I37, "v") + COUNTIF(I18:I37, "V")) / ((COUNTIF(I18:I37, "✓") + COUNTIF(I18:I37, "✔") + COUNTIF(I18:I37, "v") + COUNTIF(I18:I37, "V")) + COUNTIF(I18:I37, "✗") + COUNTIF(I18:I37, "x") + COUNTIF(I18:I37, "X")), "")</f>
        <v/>
      </c>
      <c r="J39" s="134">
        <f>IF(((COUNTIF(J18:J37, "✓") + COUNTIF(J18:J37, "✔") + COUNTIF(J18:J37, "v") + COUNTIF(J18:J37, "V")) + COUNTIF(J18:J37, "✗") + COUNTIF(J18:J37, "x") + COUNTIF(J18:J37, "X")) &gt; 0, (COUNTIF(J18:J37, "✓") + COUNTIF(J18:J37, "✔") + COUNTIF(J18:J37, "v") + COUNTIF(J18:J37, "V")) / ((COUNTIF(J18:J37, "✓") + COUNTIF(J18:J37, "✔") + COUNTIF(J18:J37, "v") + COUNTIF(J18:J37, "V")) + COUNTIF(J18:J37, "✗") + COUNTIF(J18:J37, "x") + COUNTIF(J18:J37, "X")), "")</f>
        <v/>
      </c>
      <c r="K39" s="134">
        <f>IF(((COUNTIF(K18:K37, "✓") + COUNTIF(K18:K37, "✔") + COUNTIF(K18:K37, "v") + COUNTIF(K18:K37, "V")) + COUNTIF(K18:K37, "✗") + COUNTIF(K18:K37, "x") + COUNTIF(K18:K37, "X")) &gt; 0, (COUNTIF(K18:K37, "✓") + COUNTIF(K18:K37, "✔") + COUNTIF(K18:K37, "v") + COUNTIF(K18:K37, "V")) / ((COUNTIF(K18:K37, "✓") + COUNTIF(K18:K37, "✔") + COUNTIF(K18:K37, "v") + COUNTIF(K18:K37, "V")) + COUNTIF(K18:K37, "✗") + COUNTIF(K18:K37, "x") + COUNTIF(K18:K37, "X")), "")</f>
        <v/>
      </c>
      <c r="L39" s="134">
        <f>IF(((COUNTIF(L18:L37, "✓") + COUNTIF(L18:L37, "✔") + COUNTIF(L18:L37, "v") + COUNTIF(L18:L37, "V")) + COUNTIF(L18:L37, "✗") + COUNTIF(L18:L37, "x") + COUNTIF(L18:L37, "X")) &gt; 0, (COUNTIF(L18:L37, "✓") + COUNTIF(L18:L37, "✔") + COUNTIF(L18:L37, "v") + COUNTIF(L18:L37, "V")) / ((COUNTIF(L18:L37, "✓") + COUNTIF(L18:L37, "✔") + COUNTIF(L18:L37, "v") + COUNTIF(L18:L37, "V")) + COUNTIF(L18:L37, "✗") + COUNTIF(L18:L37, "x") + COUNTIF(L18:L37, "X")), "")</f>
        <v/>
      </c>
      <c r="M39" s="134">
        <f>IF(((COUNTIF(M18:M37, "✓") + COUNTIF(M18:M37, "✔") + COUNTIF(M18:M37, "v") + COUNTIF(M18:M37, "V")) + COUNTIF(M18:M37, "✗") + COUNTIF(M18:M37, "x") + COUNTIF(M18:M37, "X")) &gt; 0, (COUNTIF(M18:M37, "✓") + COUNTIF(M18:M37, "✔") + COUNTIF(M18:M37, "v") + COUNTIF(M18:M37, "V")) / ((COUNTIF(M18:M37, "✓") + COUNTIF(M18:M37, "✔") + COUNTIF(M18:M37, "v") + COUNTIF(M18:M37, "V")) + COUNTIF(M18:M37, "✗") + COUNTIF(M18:M37, "x") + COUNTIF(M18:M37, "X")), "")</f>
        <v/>
      </c>
      <c r="N39" s="134">
        <f>IF(((COUNTIF(N18:N37, "✓") + COUNTIF(N18:N37, "✔") + COUNTIF(N18:N37, "v") + COUNTIF(N18:N37, "V")) + COUNTIF(N18:N37, "✗") + COUNTIF(N18:N37, "x") + COUNTIF(N18:N37, "X")) &gt; 0, (COUNTIF(N18:N37, "✓") + COUNTIF(N18:N37, "✔") + COUNTIF(N18:N37, "v") + COUNTIF(N18:N37, "V")) / ((COUNTIF(N18:N37, "✓") + COUNTIF(N18:N37, "✔") + COUNTIF(N18:N37, "v") + COUNTIF(N18:N37, "V")) + COUNTIF(N18:N37, "✗") + COUNTIF(N18:N37, "x") + COUNTIF(N18:N37, "X")), "")</f>
        <v/>
      </c>
      <c r="O39" s="134">
        <f>IF(((COUNTIF(O18:O37, "✓") + COUNTIF(O18:O37, "✔") + COUNTIF(O18:O37, "v") + COUNTIF(O18:O37, "V")) + COUNTIF(O18:O37, "✗") + COUNTIF(O18:O37, "x") + COUNTIF(O18:O37, "X")) &gt; 0, (COUNTIF(O18:O37, "✓") + COUNTIF(O18:O37, "✔") + COUNTIF(O18:O37, "v") + COUNTIF(O18:O37, "V")) / ((COUNTIF(O18:O37, "✓") + COUNTIF(O18:O37, "✔") + COUNTIF(O18:O37, "v") + COUNTIF(O18:O37, "V")) + COUNTIF(O18:O37, "✗") + COUNTIF(O18:O37, "x") + COUNTIF(O18:O37, "X")), "")</f>
        <v/>
      </c>
      <c r="P39" s="134">
        <f>IF(((COUNTIF(P18:P37, "✓") + COUNTIF(P18:P37, "✔") + COUNTIF(P18:P37, "v") + COUNTIF(P18:P37, "V")) + COUNTIF(P18:P37, "✗") + COUNTIF(P18:P37, "x") + COUNTIF(P18:P37, "X")) &gt; 0, (COUNTIF(P18:P37, "✓") + COUNTIF(P18:P37, "✔") + COUNTIF(P18:P37, "v") + COUNTIF(P18:P37, "V")) / ((COUNTIF(P18:P37, "✓") + COUNTIF(P18:P37, "✔") + COUNTIF(P18:P37, "v") + COUNTIF(P18:P37, "V")) + COUNTIF(P18:P37, "✗") + COUNTIF(P18:P37, "x") + COUNTIF(P18:P37, "X")), "")</f>
        <v/>
      </c>
      <c r="Q39" s="134">
        <f>IF(((COUNTIF(Q18:Q37, "✓") + COUNTIF(Q18:Q37, "✔") + COUNTIF(Q18:Q37, "v") + COUNTIF(Q18:Q37, "V")) + COUNTIF(Q18:Q37, "✗") + COUNTIF(Q18:Q37, "x") + COUNTIF(Q18:Q37, "X")) &gt; 0, (COUNTIF(Q18:Q37, "✓") + COUNTIF(Q18:Q37, "✔") + COUNTIF(Q18:Q37, "v") + COUNTIF(Q18:Q37, "V")) / ((COUNTIF(Q18:Q37, "✓") + COUNTIF(Q18:Q37, "✔") + COUNTIF(Q18:Q37, "v") + COUNTIF(Q18:Q37, "V")) + COUNTIF(Q18:Q37, "✗") + COUNTIF(Q18:Q37, "x") + COUNTIF(Q18:Q37, "X")), "")</f>
        <v/>
      </c>
      <c r="R39" s="134">
        <f>IF(((COUNTIF(R18:R37, "✓") + COUNTIF(R18:R37, "✔") + COUNTIF(R18:R37, "v") + COUNTIF(R18:R37, "V")) + COUNTIF(R18:R37, "✗") + COUNTIF(R18:R37, "x") + COUNTIF(R18:R37, "X")) &gt; 0, (COUNTIF(R18:R37, "✓") + COUNTIF(R18:R37, "✔") + COUNTIF(R18:R37, "v") + COUNTIF(R18:R37, "V")) / ((COUNTIF(R18:R37, "✓") + COUNTIF(R18:R37, "✔") + COUNTIF(R18:R37, "v") + COUNTIF(R18:R37, "V")) + COUNTIF(R18:R37, "✗") + COUNTIF(R18:R37, "x") + COUNTIF(R18:R37, "X")), "")</f>
        <v/>
      </c>
      <c r="S39" s="134">
        <f>IF(((COUNTIF(S18:S37, "✓") + COUNTIF(S18:S37, "✔") + COUNTIF(S18:S37, "v") + COUNTIF(S18:S37, "V")) + COUNTIF(S18:S37, "✗") + COUNTIF(S18:S37, "x") + COUNTIF(S18:S37, "X")) &gt; 0, (COUNTIF(S18:S37, "✓") + COUNTIF(S18:S37, "✔") + COUNTIF(S18:S37, "v") + COUNTIF(S18:S37, "V")) / ((COUNTIF(S18:S37, "✓") + COUNTIF(S18:S37, "✔") + COUNTIF(S18:S37, "v") + COUNTIF(S18:S37, "V")) + COUNTIF(S18:S37, "✗") + COUNTIF(S18:S37, "x") + COUNTIF(S18:S37, "X")), "")</f>
        <v/>
      </c>
      <c r="T39" s="134">
        <f>IF(((COUNTIF(T18:T37, "✓") + COUNTIF(T18:T37, "✔") + COUNTIF(T18:T37, "v") + COUNTIF(T18:T37, "V")) + COUNTIF(T18:T37, "✗") + COUNTIF(T18:T37, "x") + COUNTIF(T18:T37, "X")) &gt; 0, (COUNTIF(T18:T37, "✓") + COUNTIF(T18:T37, "✔") + COUNTIF(T18:T37, "v") + COUNTIF(T18:T37, "V")) / ((COUNTIF(T18:T37, "✓") + COUNTIF(T18:T37, "✔") + COUNTIF(T18:T37, "v") + COUNTIF(T18:T37, "V")) + COUNTIF(T18:T37, "✗") + COUNTIF(T18:T37, "x") + COUNTIF(T18:T37, "X")), "")</f>
        <v/>
      </c>
      <c r="U39" s="134">
        <f>IF(((COUNTIF(U18:U37, "✓") + COUNTIF(U18:U37, "✔") + COUNTIF(U18:U37, "v") + COUNTIF(U18:U37, "V")) + COUNTIF(U18:U37, "✗") + COUNTIF(U18:U37, "x") + COUNTIF(U18:U37, "X")) &gt; 0, (COUNTIF(U18:U37, "✓") + COUNTIF(U18:U37, "✔") + COUNTIF(U18:U37, "v") + COUNTIF(U18:U37, "V")) / ((COUNTIF(U18:U37, "✓") + COUNTIF(U18:U37, "✔") + COUNTIF(U18:U37, "v") + COUNTIF(U18:U37, "V")) + COUNTIF(U18:U37, "✗") + COUNTIF(U18:U37, "x") + COUNTIF(U18:U37, "X")), "")</f>
        <v/>
      </c>
      <c r="V39" s="134">
        <f>IF(((COUNTIF(V18:V37, "✓") + COUNTIF(V18:V37, "✔") + COUNTIF(V18:V37, "v") + COUNTIF(V18:V37, "V")) + COUNTIF(V18:V37, "✗") + COUNTIF(V18:V37, "x") + COUNTIF(V18:V37, "X")) &gt; 0, (COUNTIF(V18:V37, "✓") + COUNTIF(V18:V37, "✔") + COUNTIF(V18:V37, "v") + COUNTIF(V18:V37, "V")) / ((COUNTIF(V18:V37, "✓") + COUNTIF(V18:V37, "✔") + COUNTIF(V18:V37, "v") + COUNTIF(V18:V37, "V")) + COUNTIF(V18:V37, "✗") + COUNTIF(V18:V37, "x") + COUNTIF(V18:V37, "X")), "")</f>
        <v/>
      </c>
      <c r="W39" s="134">
        <f>IF(((COUNTIF(W18:W37, "✓") + COUNTIF(W18:W37, "✔") + COUNTIF(W18:W37, "v") + COUNTIF(W18:W37, "V")) + COUNTIF(W18:W37, "✗") + COUNTIF(W18:W37, "x") + COUNTIF(W18:W37, "X")) &gt; 0, (COUNTIF(W18:W37, "✓") + COUNTIF(W18:W37, "✔") + COUNTIF(W18:W37, "v") + COUNTIF(W18:W37, "V")) / ((COUNTIF(W18:W37, "✓") + COUNTIF(W18:W37, "✔") + COUNTIF(W18:W37, "v") + COUNTIF(W18:W37, "V")) + COUNTIF(W18:W37, "✗") + COUNTIF(W18:W37, "x") + COUNTIF(W18:W37, "X")), "")</f>
        <v/>
      </c>
      <c r="X39" s="134">
        <f>IF(((COUNTIF(X18:X37, "✓") + COUNTIF(X18:X37, "✔") + COUNTIF(X18:X37, "v") + COUNTIF(X18:X37, "V")) + COUNTIF(X18:X37, "✗") + COUNTIF(X18:X37, "x") + COUNTIF(X18:X37, "X")) &gt; 0, (COUNTIF(X18:X37, "✓") + COUNTIF(X18:X37, "✔") + COUNTIF(X18:X37, "v") + COUNTIF(X18:X37, "V")) / ((COUNTIF(X18:X37, "✓") + COUNTIF(X18:X37, "✔") + COUNTIF(X18:X37, "v") + COUNTIF(X18:X37, "V")) + COUNTIF(X18:X37, "✗") + COUNTIF(X18:X37, "x") + COUNTIF(X18:X37, "X")), "")</f>
        <v/>
      </c>
      <c r="Y39" s="134">
        <f>IF(((COUNTIF(Y18:Y37, "✓") + COUNTIF(Y18:Y37, "✔") + COUNTIF(Y18:Y37, "v") + COUNTIF(Y18:Y37, "V")) + COUNTIF(Y18:Y37, "✗") + COUNTIF(Y18:Y37, "x") + COUNTIF(Y18:Y37, "X")) &gt; 0, (COUNTIF(Y18:Y37, "✓") + COUNTIF(Y18:Y37, "✔") + COUNTIF(Y18:Y37, "v") + COUNTIF(Y18:Y37, "V")) / ((COUNTIF(Y18:Y37, "✓") + COUNTIF(Y18:Y37, "✔") + COUNTIF(Y18:Y37, "v") + COUNTIF(Y18:Y37, "V")) + COUNTIF(Y18:Y37, "✗") + COUNTIF(Y18:Y37, "x") + COUNTIF(Y18:Y37, "X")), "")</f>
        <v/>
      </c>
      <c r="Z39" s="134">
        <f>IF(((COUNTIF(Z18:Z37, "✓") + COUNTIF(Z18:Z37, "✔") + COUNTIF(Z18:Z37, "v") + COUNTIF(Z18:Z37, "V")) + COUNTIF(Z18:Z37, "✗") + COUNTIF(Z18:Z37, "x") + COUNTIF(Z18:Z37, "X")) &gt; 0, (COUNTIF(Z18:Z37, "✓") + COUNTIF(Z18:Z37, "✔") + COUNTIF(Z18:Z37, "v") + COUNTIF(Z18:Z37, "V")) / ((COUNTIF(Z18:Z37, "✓") + COUNTIF(Z18:Z37, "✔") + COUNTIF(Z18:Z37, "v") + COUNTIF(Z18:Z37, "V")) + COUNTIF(Z18:Z37, "✗") + COUNTIF(Z18:Z37, "x") + COUNTIF(Z18:Z37, "X")), "")</f>
        <v/>
      </c>
      <c r="AA39" s="134">
        <f>IF(((COUNTIF(AA18:AA37, "✓") + COUNTIF(AA18:AA37, "✔") + COUNTIF(AA18:AA37, "v") + COUNTIF(AA18:AA37, "V")) + COUNTIF(AA18:AA37, "✗") + COUNTIF(AA18:AA37, "x") + COUNTIF(AA18:AA37, "X")) &gt; 0, (COUNTIF(AA18:AA37, "✓") + COUNTIF(AA18:AA37, "✔") + COUNTIF(AA18:AA37, "v") + COUNTIF(AA18:AA37, "V")) / ((COUNTIF(AA18:AA37, "✓") + COUNTIF(AA18:AA37, "✔") + COUNTIF(AA18:AA37, "v") + COUNTIF(AA18:AA37, "V")) + COUNTIF(AA18:AA37, "✗") + COUNTIF(AA18:AA37, "x") + COUNTIF(AA18:AA37, "X")), "")</f>
        <v/>
      </c>
      <c r="AB39" s="134">
        <f>IF(((COUNTIF(AB18:AB37, "✓") + COUNTIF(AB18:AB37, "✔") + COUNTIF(AB18:AB37, "v") + COUNTIF(AB18:AB37, "V")) + COUNTIF(AB18:AB37, "✗") + COUNTIF(AB18:AB37, "x") + COUNTIF(AB18:AB37, "X")) &gt; 0, (COUNTIF(AB18:AB37, "✓") + COUNTIF(AB18:AB37, "✔") + COUNTIF(AB18:AB37, "v") + COUNTIF(AB18:AB37, "V")) / ((COUNTIF(AB18:AB37, "✓") + COUNTIF(AB18:AB37, "✔") + COUNTIF(AB18:AB37, "v") + COUNTIF(AB18:AB37, "V")) + COUNTIF(AB18:AB37, "✗") + COUNTIF(AB18:AB37, "x") + COUNTIF(AB18:AB37, "X")), "")</f>
        <v/>
      </c>
      <c r="AC39" s="134">
        <f>IF(((COUNTIF(AC18:AC37, "✓") + COUNTIF(AC18:AC37, "✔") + COUNTIF(AC18:AC37, "v") + COUNTIF(AC18:AC37, "V")) + COUNTIF(AC18:AC37, "✗") + COUNTIF(AC18:AC37, "x") + COUNTIF(AC18:AC37, "X")) &gt; 0, (COUNTIF(AC18:AC37, "✓") + COUNTIF(AC18:AC37, "✔") + COUNTIF(AC18:AC37, "v") + COUNTIF(AC18:AC37, "V")) / ((COUNTIF(AC18:AC37, "✓") + COUNTIF(AC18:AC37, "✔") + COUNTIF(AC18:AC37, "v") + COUNTIF(AC18:AC37, "V")) + COUNTIF(AC18:AC37, "✗") + COUNTIF(AC18:AC37, "x") + COUNTIF(AC18:AC37, "X")), "")</f>
        <v/>
      </c>
      <c r="AD39" s="134">
        <f>IF(((COUNTIF(AD18:AD37, "✓") + COUNTIF(AD18:AD37, "✔") + COUNTIF(AD18:AD37, "v") + COUNTIF(AD18:AD37, "V")) + COUNTIF(AD18:AD37, "✗") + COUNTIF(AD18:AD37, "x") + COUNTIF(AD18:AD37, "X")) &gt; 0, (COUNTIF(AD18:AD37, "✓") + COUNTIF(AD18:AD37, "✔") + COUNTIF(AD18:AD37, "v") + COUNTIF(AD18:AD37, "V")) / ((COUNTIF(AD18:AD37, "✓") + COUNTIF(AD18:AD37, "✔") + COUNTIF(AD18:AD37, "v") + COUNTIF(AD18:AD37, "V")) + COUNTIF(AD18:AD37, "✗") + COUNTIF(AD18:AD37, "x") + COUNTIF(AD18:AD37, "X")), "")</f>
        <v/>
      </c>
      <c r="AE39" s="134">
        <f>IF(((COUNTIF(AE18:AE37, "✓") + COUNTIF(AE18:AE37, "✔") + COUNTIF(AE18:AE37, "v") + COUNTIF(AE18:AE37, "V")) + COUNTIF(AE18:AE37, "✗") + COUNTIF(AE18:AE37, "x") + COUNTIF(AE18:AE37, "X")) &gt; 0, (COUNTIF(AE18:AE37, "✓") + COUNTIF(AE18:AE37, "✔") + COUNTIF(AE18:AE37, "v") + COUNTIF(AE18:AE37, "V")) / ((COUNTIF(AE18:AE37, "✓") + COUNTIF(AE18:AE37, "✔") + COUNTIF(AE18:AE37, "v") + COUNTIF(AE18:AE37, "V")) + COUNTIF(AE18:AE37, "✗") + COUNTIF(AE18:AE37, "x") + COUNTIF(AE18:AE37, "X")), "")</f>
        <v/>
      </c>
      <c r="AF39" s="134">
        <f>IF(((COUNTIF(AF18:AF37, "✓") + COUNTIF(AF18:AF37, "✔") + COUNTIF(AF18:AF37, "v") + COUNTIF(AF18:AF37, "V")) + COUNTIF(AF18:AF37, "✗") + COUNTIF(AF18:AF37, "x") + COUNTIF(AF18:AF37, "X")) &gt; 0, (COUNTIF(AF18:AF37, "✓") + COUNTIF(AF18:AF37, "✔") + COUNTIF(AF18:AF37, "v") + COUNTIF(AF18:AF37, "V")) / ((COUNTIF(AF18:AF37, "✓") + COUNTIF(AF18:AF37, "✔") + COUNTIF(AF18:AF37, "v") + COUNTIF(AF18:AF37, "V")) + COUNTIF(AF18:AF37, "✗") + COUNTIF(AF18:AF37, "x") + COUNTIF(AF18:AF37, "X")), "")</f>
        <v/>
      </c>
      <c r="AG39" s="134">
        <f>IF(((COUNTIF(AG18:AG37, "✓") + COUNTIF(AG18:AG37, "✔") + COUNTIF(AG18:AG37, "v") + COUNTIF(AG18:AG37, "V")) + COUNTIF(AG18:AG37, "✗") + COUNTIF(AG18:AG37, "x") + COUNTIF(AG18:AG37, "X")) &gt; 0, (COUNTIF(AG18:AG37, "✓") + COUNTIF(AG18:AG37, "✔") + COUNTIF(AG18:AG37, "v") + COUNTIF(AG18:AG37, "V")) / ((COUNTIF(AG18:AG37, "✓") + COUNTIF(AG18:AG37, "✔") + COUNTIF(AG18:AG37, "v") + COUNTIF(AG18:AG37, "V")) + COUNTIF(AG18:AG37, "✗") + COUNTIF(AG18:AG37, "x") + COUNTIF(AG18:AG37, "X")), "")</f>
        <v/>
      </c>
      <c r="AH39" s="134">
        <f>IF(((COUNTIF(AH18:AH37, "✓") + COUNTIF(AH18:AH37, "✔") + COUNTIF(AH18:AH37, "v") + COUNTIF(AH18:AH37, "V")) + COUNTIF(AH18:AH37, "✗") + COUNTIF(AH18:AH37, "x") + COUNTIF(AH18:AH37, "X")) &gt; 0, (COUNTIF(AH18:AH37, "✓") + COUNTIF(AH18:AH37, "✔") + COUNTIF(AH18:AH37, "v") + COUNTIF(AH18:AH37, "V")) / ((COUNTIF(AH18:AH37, "✓") + COUNTIF(AH18:AH37, "✔") + COUNTIF(AH18:AH37, "v") + COUNTIF(AH18:AH37, "V")) + COUNTIF(AH18:AH37, "✗") + COUNTIF(AH18:AH37, "x") + COUNTIF(AH18:AH37, "X")), "")</f>
        <v/>
      </c>
      <c r="AI39" s="133">
        <f>IF(COUNT(E39:AH39) &gt; 0, AVERAGE(E39:AH39), "")</f>
        <v/>
      </c>
      <c r="AJ39" s="54" t="n"/>
      <c r="AK39" s="54" t="n"/>
    </row>
    <row r="40" ht="6" customHeight="1"/>
    <row r="41" ht="15" customHeight="1">
      <c r="A41" s="135" t="inlineStr">
        <is>
          <t>IF SUCCESS &lt; 80%, PUNISHMENT: ________________________________________________</t>
        </is>
      </c>
    </row>
    <row r="42" ht="15" customHeight="1">
      <c r="A42" s="136" t="inlineStr">
        <is>
          <t>IF SUCCESS &gt; 90%, REWARD: __________________________________________________</t>
        </is>
      </c>
    </row>
    <row r="43" ht="10" customHeight="1"/>
    <row r="44" ht="10" customHeight="1"/>
    <row r="45" ht="15" customHeight="1">
      <c r="A45" s="51" t="inlineStr">
        <is>
          <t>Sleep Tracking</t>
        </is>
      </c>
      <c r="B45" s="52" t="n"/>
      <c r="C45" s="52" t="n"/>
      <c r="D45" s="52" t="n"/>
      <c r="E45" s="137" t="n">
        <v>1</v>
      </c>
      <c r="F45" s="137" t="n">
        <v>2</v>
      </c>
      <c r="G45" s="137" t="n">
        <v>3</v>
      </c>
      <c r="H45" s="137" t="n">
        <v>4</v>
      </c>
      <c r="I45" s="137" t="n">
        <v>5</v>
      </c>
      <c r="J45" s="137" t="n">
        <v>6</v>
      </c>
      <c r="K45" s="138" t="n">
        <v>7</v>
      </c>
      <c r="L45" s="137" t="n">
        <v>8</v>
      </c>
      <c r="M45" s="137" t="n">
        <v>9</v>
      </c>
      <c r="N45" s="137" t="n">
        <v>10</v>
      </c>
      <c r="O45" s="137" t="n">
        <v>11</v>
      </c>
      <c r="P45" s="137" t="n">
        <v>12</v>
      </c>
      <c r="Q45" s="137" t="n">
        <v>13</v>
      </c>
      <c r="R45" s="138" t="n">
        <v>14</v>
      </c>
      <c r="S45" s="137" t="n">
        <v>15</v>
      </c>
      <c r="T45" s="137" t="n">
        <v>16</v>
      </c>
      <c r="U45" s="137" t="n">
        <v>17</v>
      </c>
      <c r="V45" s="137" t="n">
        <v>18</v>
      </c>
      <c r="W45" s="137" t="n">
        <v>19</v>
      </c>
      <c r="X45" s="137" t="n">
        <v>20</v>
      </c>
      <c r="Y45" s="138" t="n">
        <v>21</v>
      </c>
      <c r="Z45" s="137" t="n">
        <v>22</v>
      </c>
      <c r="AA45" s="137" t="n">
        <v>23</v>
      </c>
      <c r="AB45" s="137" t="n">
        <v>24</v>
      </c>
      <c r="AC45" s="137" t="n">
        <v>25</v>
      </c>
      <c r="AD45" s="137" t="n">
        <v>26</v>
      </c>
      <c r="AE45" s="137" t="n">
        <v>27</v>
      </c>
      <c r="AF45" s="138" t="n">
        <v>28</v>
      </c>
      <c r="AG45" s="137" t="n">
        <v>29</v>
      </c>
      <c r="AH45" s="137" t="n">
        <v>30</v>
      </c>
    </row>
    <row r="46" ht="15" customHeight="1">
      <c r="A46" s="52" t="n"/>
      <c r="B46" s="52" t="n"/>
      <c r="C46" s="52" t="n"/>
      <c r="D46" s="52" t="n"/>
      <c r="E46" s="139" t="inlineStr">
        <is>
          <t>M</t>
        </is>
      </c>
      <c r="F46" s="139" t="inlineStr">
        <is>
          <t>T</t>
        </is>
      </c>
      <c r="G46" s="139" t="inlineStr">
        <is>
          <t>W</t>
        </is>
      </c>
      <c r="H46" s="139" t="inlineStr">
        <is>
          <t>Th</t>
        </is>
      </c>
      <c r="I46" s="139" t="inlineStr">
        <is>
          <t>F</t>
        </is>
      </c>
      <c r="J46" s="139" t="inlineStr">
        <is>
          <t>Sa</t>
        </is>
      </c>
      <c r="K46" s="140" t="inlineStr">
        <is>
          <t>Su</t>
        </is>
      </c>
      <c r="L46" s="139" t="inlineStr">
        <is>
          <t>M</t>
        </is>
      </c>
      <c r="M46" s="139" t="inlineStr">
        <is>
          <t>T</t>
        </is>
      </c>
      <c r="N46" s="139" t="inlineStr">
        <is>
          <t>W</t>
        </is>
      </c>
      <c r="O46" s="139" t="inlineStr">
        <is>
          <t>Th</t>
        </is>
      </c>
      <c r="P46" s="139" t="inlineStr">
        <is>
          <t>F</t>
        </is>
      </c>
      <c r="Q46" s="139" t="inlineStr">
        <is>
          <t>Sa</t>
        </is>
      </c>
      <c r="R46" s="140" t="inlineStr">
        <is>
          <t>Su</t>
        </is>
      </c>
      <c r="S46" s="139" t="inlineStr">
        <is>
          <t>M</t>
        </is>
      </c>
      <c r="T46" s="139" t="inlineStr">
        <is>
          <t>T</t>
        </is>
      </c>
      <c r="U46" s="139" t="inlineStr">
        <is>
          <t>W</t>
        </is>
      </c>
      <c r="V46" s="139" t="inlineStr">
        <is>
          <t>Th</t>
        </is>
      </c>
      <c r="W46" s="139" t="inlineStr">
        <is>
          <t>F</t>
        </is>
      </c>
      <c r="X46" s="139" t="inlineStr">
        <is>
          <t>Sa</t>
        </is>
      </c>
      <c r="Y46" s="140" t="inlineStr">
        <is>
          <t>Su</t>
        </is>
      </c>
      <c r="Z46" s="139" t="inlineStr">
        <is>
          <t>M</t>
        </is>
      </c>
      <c r="AA46" s="139" t="inlineStr">
        <is>
          <t>T</t>
        </is>
      </c>
      <c r="AB46" s="139" t="inlineStr">
        <is>
          <t>W</t>
        </is>
      </c>
      <c r="AC46" s="139" t="inlineStr">
        <is>
          <t>Th</t>
        </is>
      </c>
      <c r="AD46" s="139" t="inlineStr">
        <is>
          <t>F</t>
        </is>
      </c>
      <c r="AE46" s="139" t="inlineStr">
        <is>
          <t>Sa</t>
        </is>
      </c>
      <c r="AF46" s="140" t="inlineStr">
        <is>
          <t>Su</t>
        </is>
      </c>
      <c r="AG46" s="139" t="inlineStr">
        <is>
          <t>M</t>
        </is>
      </c>
      <c r="AH46" s="139" t="inlineStr">
        <is>
          <t>T</t>
        </is>
      </c>
    </row>
    <row r="47" ht="20" customHeight="1">
      <c r="A47" s="141" t="inlineStr">
        <is>
          <t>Sleep Hours (1-24)</t>
        </is>
      </c>
      <c r="B47" s="142" t="n"/>
      <c r="C47" s="142" t="n"/>
      <c r="D47" s="142" t="n"/>
      <c r="E47" s="143" t="n"/>
      <c r="F47" s="143" t="n"/>
      <c r="G47" s="143" t="n"/>
      <c r="H47" s="143" t="n"/>
      <c r="I47" s="143" t="n"/>
      <c r="J47" s="143" t="n"/>
      <c r="K47" s="144" t="n"/>
      <c r="L47" s="143" t="n"/>
      <c r="M47" s="143" t="n"/>
      <c r="N47" s="143" t="n"/>
      <c r="O47" s="143" t="n"/>
      <c r="P47" s="143" t="n"/>
      <c r="Q47" s="143" t="n"/>
      <c r="R47" s="144" t="n"/>
      <c r="S47" s="143" t="n"/>
      <c r="T47" s="143" t="n"/>
      <c r="U47" s="143" t="n"/>
      <c r="V47" s="143" t="n"/>
      <c r="W47" s="143" t="n"/>
      <c r="X47" s="143" t="n"/>
      <c r="Y47" s="144" t="n"/>
      <c r="Z47" s="143" t="n"/>
      <c r="AA47" s="143" t="n"/>
      <c r="AB47" s="143" t="n"/>
      <c r="AC47" s="143" t="n"/>
      <c r="AD47" s="143" t="n"/>
      <c r="AE47" s="143" t="n"/>
      <c r="AF47" s="144" t="n"/>
      <c r="AG47" s="143" t="n"/>
      <c r="AH47" s="143" t="n"/>
    </row>
    <row r="48" ht="6" customHeight="1"/>
    <row r="49" ht="14" customHeight="1"/>
    <row r="50" ht="14" customHeight="1"/>
    <row r="51" ht="14" customHeight="1"/>
    <row r="52" ht="14" customHeight="1"/>
    <row r="53" ht="14" customHeight="1"/>
    <row r="54" ht="14" customHeight="1"/>
    <row r="55" ht="14" customHeight="1"/>
    <row r="56" ht="14" customHeight="1"/>
    <row r="57" ht="14" customHeight="1"/>
    <row r="58" ht="14" customHeight="1"/>
    <row r="59" ht="14" customHeight="1"/>
    <row r="60" ht="14" customHeight="1"/>
    <row r="61" ht="14" customHeight="1"/>
    <row r="62" ht="14" customHeight="1"/>
    <row r="63" ht="14" customHeight="1"/>
    <row r="64" ht="14" customHeight="1"/>
    <row r="65" ht="14" customHeight="1"/>
    <row r="66" ht="8" customHeight="1"/>
    <row r="67">
      <c r="A67" s="145" t="inlineStr">
        <is>
          <t>MONTHLY SUCCESS RATE</t>
        </is>
      </c>
      <c r="B67" s="9" t="n"/>
      <c r="C67" s="9" t="n"/>
      <c r="D67" s="9" t="n"/>
      <c r="F67" s="146" t="inlineStr">
        <is>
          <t>ACTIVE PROTOCOLS</t>
        </is>
      </c>
      <c r="G67" s="11" t="n"/>
      <c r="H67" s="11" t="n"/>
      <c r="I67" s="11" t="n"/>
      <c r="K67" s="147" t="inlineStr">
        <is>
          <t>PERFECT DAYS (100%)</t>
        </is>
      </c>
      <c r="L67" s="13" t="n"/>
      <c r="M67" s="13" t="n"/>
      <c r="N67" s="13" t="n"/>
      <c r="P67" s="148" t="inlineStr">
        <is>
          <t>AVG SLEEP DURATION</t>
        </is>
      </c>
      <c r="Q67" s="15" t="n"/>
      <c r="R67" s="15" t="n"/>
      <c r="S67" s="15" t="n"/>
    </row>
    <row r="68">
      <c r="A68" s="149">
        <f>IF(SUM(D18:D37)&gt;0, SUM(AL18:AL37)/SUM(D18:D37), 0)</f>
        <v/>
      </c>
      <c r="B68" s="9" t="n"/>
      <c r="C68" s="9" t="n"/>
      <c r="D68" s="9" t="n"/>
      <c r="F68" s="150">
        <f>COUNTA(B18:B37) &amp; " / 20"</f>
        <v/>
      </c>
      <c r="G68" s="11" t="n"/>
      <c r="H68" s="11" t="n"/>
      <c r="I68" s="11" t="n"/>
      <c r="K68" s="151">
        <f>COUNTIF(E39:AH39, 1) &amp; " Days"</f>
        <v/>
      </c>
      <c r="L68" s="13" t="n"/>
      <c r="M68" s="13" t="n"/>
      <c r="N68" s="13" t="n"/>
      <c r="P68" s="152">
        <f>IFERROR(TEXT(AVERAGE(E47:AH47), "0.0") &amp; " hrs", "-")</f>
        <v/>
      </c>
      <c r="Q68" s="15" t="n"/>
      <c r="R68" s="15" t="n"/>
      <c r="S68" s="15" t="n"/>
    </row>
    <row r="69">
      <c r="A69" s="9" t="n"/>
      <c r="B69" s="9" t="n"/>
      <c r="C69" s="9" t="n"/>
      <c r="D69" s="9" t="n"/>
      <c r="F69" s="11" t="n"/>
      <c r="G69" s="11" t="n"/>
      <c r="H69" s="11" t="n"/>
      <c r="I69" s="11" t="n"/>
      <c r="K69" s="13" t="n"/>
      <c r="L69" s="13" t="n"/>
      <c r="M69" s="13" t="n"/>
      <c r="N69" s="13" t="n"/>
      <c r="P69" s="15" t="n"/>
      <c r="Q69" s="15" t="n"/>
      <c r="R69" s="15" t="n"/>
      <c r="S69" s="15" t="n"/>
    </row>
    <row r="70">
      <c r="A70" s="9" t="n"/>
      <c r="B70" s="9" t="n"/>
      <c r="C70" s="9" t="n"/>
      <c r="D70" s="9" t="n"/>
      <c r="F70" s="11" t="n"/>
      <c r="G70" s="11" t="n"/>
      <c r="H70" s="11" t="n"/>
      <c r="I70" s="11" t="n"/>
      <c r="K70" s="13" t="n"/>
      <c r="L70" s="13" t="n"/>
      <c r="M70" s="13" t="n"/>
      <c r="N70" s="13" t="n"/>
      <c r="P70" s="15" t="n"/>
      <c r="Q70" s="15" t="n"/>
      <c r="R70" s="15" t="n"/>
      <c r="S70" s="15" t="n"/>
    </row>
    <row r="71">
      <c r="A71" s="153" t="inlineStr">
        <is>
          <t>Target Completion</t>
        </is>
      </c>
      <c r="B71" s="9" t="n"/>
      <c r="C71" s="9" t="n"/>
      <c r="D71" s="9" t="n"/>
      <c r="F71" s="154" t="inlineStr">
        <is>
          <t>Habits Tracked</t>
        </is>
      </c>
      <c r="G71" s="11" t="n"/>
      <c r="H71" s="11" t="n"/>
      <c r="I71" s="11" t="n"/>
      <c r="K71" s="155" t="inlineStr">
        <is>
          <t>All Marked Habits Completed</t>
        </is>
      </c>
      <c r="L71" s="13" t="n"/>
      <c r="M71" s="13" t="n"/>
      <c r="N71" s="13" t="n"/>
      <c r="P71" s="156" t="inlineStr">
        <is>
          <t>Nightly Rest Average</t>
        </is>
      </c>
      <c r="Q71" s="15" t="n"/>
      <c r="R71" s="15" t="n"/>
      <c r="S71" s="15" t="n"/>
    </row>
    <row r="72" ht="8" customHeight="1"/>
    <row r="73" ht="6" customHeight="1"/>
    <row r="74">
      <c r="A74" s="67" t="inlineStr">
        <is>
          <t>WEEKLY PERFORMANCE (SLUMP DETECTOR)</t>
        </is>
      </c>
      <c r="B74" s="29" t="n"/>
      <c r="C74" s="29" t="n"/>
      <c r="D74" s="29" t="n"/>
      <c r="E74" s="29" t="n"/>
      <c r="N74" s="157" t="inlineStr">
        <is>
          <t>LIFE DOMAIN / CATEGORY BREAKDOWN</t>
        </is>
      </c>
      <c r="O74" s="158" t="n"/>
      <c r="P74" s="158" t="n"/>
      <c r="Q74" s="158" t="n"/>
      <c r="R74" s="158" t="n"/>
      <c r="S74" s="158" t="n"/>
    </row>
    <row r="75" ht="15" customHeight="1">
      <c r="A75" s="53" t="inlineStr">
        <is>
          <t>Week</t>
        </is>
      </c>
      <c r="B75" s="53" t="inlineStr">
        <is>
          <t>Days Range</t>
        </is>
      </c>
      <c r="C75" s="53" t="inlineStr">
        <is>
          <t>Checks Done</t>
        </is>
      </c>
      <c r="D75" s="53" t="inlineStr">
        <is>
          <t>Evaluated</t>
        </is>
      </c>
      <c r="E75" s="53" t="inlineStr">
        <is>
          <t>Success %</t>
        </is>
      </c>
      <c r="N75" s="53" t="inlineStr">
        <is>
          <t>Domain / Category</t>
        </is>
      </c>
      <c r="O75" s="54" t="n"/>
      <c r="P75" s="53" t="inlineStr">
        <is>
          <t>Active Habits</t>
        </is>
      </c>
      <c r="Q75" s="53" t="inlineStr">
        <is>
          <t>Target Days</t>
        </is>
      </c>
      <c r="R75" s="53" t="inlineStr">
        <is>
          <t>Done Checks</t>
        </is>
      </c>
      <c r="S75" s="53" t="inlineStr">
        <is>
          <t>Success %</t>
        </is>
      </c>
    </row>
    <row r="76" ht="14" customHeight="1">
      <c r="A76" s="33" t="inlineStr">
        <is>
          <t>Week 1</t>
        </is>
      </c>
      <c r="B76" s="34" t="inlineStr">
        <is>
          <t>Days 1 - 7</t>
        </is>
      </c>
      <c r="C76" s="34">
        <f>COUNTIF(E18:K37, "✓")</f>
        <v/>
      </c>
      <c r="D76" s="34">
        <f>COUNTIF(E18:K37, "✓") + COUNTIF(E18:K37, "✗")</f>
        <v/>
      </c>
      <c r="E76" s="35">
        <f>IFERROR(C76/D76, 0)</f>
        <v/>
      </c>
      <c r="N76" s="60" t="inlineStr">
        <is>
          <t>Health &amp; Fitness</t>
        </is>
      </c>
      <c r="O76" s="54" t="n"/>
      <c r="P76" s="34">
        <f>COUNTIF($C$18:$C$37, "Health &amp; Fitness")</f>
        <v/>
      </c>
      <c r="Q76" s="34">
        <f>SUMIF($C$18:$C$37, "Health &amp; Fitness", $D$18:$D$37)</f>
        <v/>
      </c>
      <c r="R76" s="34">
        <f>SUMIF($C$18:$C$37, "Health &amp; Fitness", $AL$18:$AL$37)</f>
        <v/>
      </c>
      <c r="S76" s="35">
        <f>IFERROR(R76/Q76, 0)</f>
        <v/>
      </c>
    </row>
    <row r="77" ht="14" customHeight="1">
      <c r="A77" s="33" t="inlineStr">
        <is>
          <t>Week 2</t>
        </is>
      </c>
      <c r="B77" s="34" t="inlineStr">
        <is>
          <t>Days 8 - 14</t>
        </is>
      </c>
      <c r="C77" s="34">
        <f>COUNTIF(L18:R37, "✓")</f>
        <v/>
      </c>
      <c r="D77" s="34">
        <f>COUNTIF(L18:R37, "✓") + COUNTIF(L18:R37, "✗")</f>
        <v/>
      </c>
      <c r="E77" s="35">
        <f>IFERROR(C77/D77, 0)</f>
        <v/>
      </c>
      <c r="N77" s="60" t="inlineStr">
        <is>
          <t>Mindset &amp; Learning</t>
        </is>
      </c>
      <c r="O77" s="54" t="n"/>
      <c r="P77" s="34">
        <f>COUNTIF($C$18:$C$37, "Mindset &amp; Learning")</f>
        <v/>
      </c>
      <c r="Q77" s="34">
        <f>SUMIF($C$18:$C$37, "Mindset &amp; Learning", $D$18:$D$37)</f>
        <v/>
      </c>
      <c r="R77" s="34">
        <f>SUMIF($C$18:$C$37, "Mindset &amp; Learning", $AL$18:$AL$37)</f>
        <v/>
      </c>
      <c r="S77" s="35">
        <f>IFERROR(R77/Q77, 0)</f>
        <v/>
      </c>
    </row>
    <row r="78" ht="14" customHeight="1">
      <c r="A78" s="33" t="inlineStr">
        <is>
          <t>Week 3</t>
        </is>
      </c>
      <c r="B78" s="34" t="inlineStr">
        <is>
          <t>Days 15 - 21</t>
        </is>
      </c>
      <c r="C78" s="34">
        <f>COUNTIF(S18:Y37, "✓")</f>
        <v/>
      </c>
      <c r="D78" s="34">
        <f>COUNTIF(S18:Y37, "✓") + COUNTIF(S18:Y37, "✗")</f>
        <v/>
      </c>
      <c r="E78" s="35">
        <f>IFERROR(C78/D78, 0)</f>
        <v/>
      </c>
      <c r="N78" s="60" t="inlineStr">
        <is>
          <t>Career &amp; Focus</t>
        </is>
      </c>
      <c r="O78" s="54" t="n"/>
      <c r="P78" s="34">
        <f>COUNTIF($C$18:$C$37, "Career &amp; Focus")</f>
        <v/>
      </c>
      <c r="Q78" s="34">
        <f>SUMIF($C$18:$C$37, "Career &amp; Focus", $D$18:$D$37)</f>
        <v/>
      </c>
      <c r="R78" s="34">
        <f>SUMIF($C$18:$C$37, "Career &amp; Focus", $AL$18:$AL$37)</f>
        <v/>
      </c>
      <c r="S78" s="35">
        <f>IFERROR(R78/Q78, 0)</f>
        <v/>
      </c>
    </row>
    <row r="79" ht="14" customHeight="1">
      <c r="A79" s="33" t="inlineStr">
        <is>
          <t>Week 4</t>
        </is>
      </c>
      <c r="B79" s="34" t="inlineStr">
        <is>
          <t>Days 22 - 28</t>
        </is>
      </c>
      <c r="C79" s="34">
        <f>COUNTIF(Z18:AF37, "✓")</f>
        <v/>
      </c>
      <c r="D79" s="34">
        <f>COUNTIF(Z18:AF37, "✓") + COUNTIF(Z18:AF37, "✗")</f>
        <v/>
      </c>
      <c r="E79" s="35">
        <f>IFERROR(C79/D79, 0)</f>
        <v/>
      </c>
      <c r="N79" s="60" t="inlineStr">
        <is>
          <t>Personal &amp; Home</t>
        </is>
      </c>
      <c r="O79" s="54" t="n"/>
      <c r="P79" s="34">
        <f>COUNTIF($C$18:$C$37, "Personal &amp; Home")</f>
        <v/>
      </c>
      <c r="Q79" s="34">
        <f>SUMIF($C$18:$C$37, "Personal &amp; Home", $D$18:$D$37)</f>
        <v/>
      </c>
      <c r="R79" s="34">
        <f>SUMIF($C$18:$C$37, "Personal &amp; Home", $AL$18:$AL$37)</f>
        <v/>
      </c>
      <c r="S79" s="35">
        <f>IFERROR(R79/Q79, 0)</f>
        <v/>
      </c>
    </row>
    <row r="80" ht="14" customHeight="1">
      <c r="A80" s="33" t="inlineStr">
        <is>
          <t>Week 5</t>
        </is>
      </c>
      <c r="B80" s="34" t="inlineStr">
        <is>
          <t>Days 29 - 30</t>
        </is>
      </c>
      <c r="C80" s="34">
        <f>COUNTIF(AG18:AH37, "✓")</f>
        <v/>
      </c>
      <c r="D80" s="34">
        <f>COUNTIF(AG18:AH37, "✓") + COUNTIF(AG18:AH37, "✗")</f>
        <v/>
      </c>
      <c r="E80" s="35">
        <f>IFERROR(C80/D80, 0)</f>
        <v/>
      </c>
      <c r="N80" s="60" t="inlineStr">
        <is>
          <t>Finance &amp; Wealth</t>
        </is>
      </c>
      <c r="O80" s="54" t="n"/>
      <c r="P80" s="34">
        <f>COUNTIF($C$18:$C$37, "Finance &amp; Wealth")</f>
        <v/>
      </c>
      <c r="Q80" s="34">
        <f>SUMIF($C$18:$C$37, "Finance &amp; Wealth", $D$18:$D$37)</f>
        <v/>
      </c>
      <c r="R80" s="34">
        <f>SUMIF($C$18:$C$37, "Finance &amp; Wealth", $AL$18:$AL$37)</f>
        <v/>
      </c>
      <c r="S80" s="35">
        <f>IFERROR(R80/Q80, 0)</f>
        <v/>
      </c>
    </row>
    <row r="81" ht="14" customHeight="1">
      <c r="A81" s="33" t="inlineStr">
        <is>
          <t>Total / Avg</t>
        </is>
      </c>
      <c r="B81" s="159" t="inlineStr">
        <is>
          <t>Month Total</t>
        </is>
      </c>
      <c r="C81" s="33">
        <f>SUM(C76:C80)</f>
        <v/>
      </c>
      <c r="D81" s="33">
        <f>SUM(D76:D80)</f>
        <v/>
      </c>
      <c r="E81" s="133">
        <f>IFERROR(C81/D81, 0)</f>
        <v/>
      </c>
    </row>
    <row r="82" ht="10" customHeight="1"/>
    <row r="83" ht="10" customHeight="1"/>
    <row r="84">
      <c r="A84" s="51" t="inlineStr">
        <is>
          <t>SLEEP &amp; PRODUCTIVITY CORRELATION ANALYSIS</t>
        </is>
      </c>
      <c r="B84" s="52" t="n"/>
      <c r="C84" s="52" t="n"/>
      <c r="D84" s="52" t="n"/>
      <c r="E84" s="52" t="n"/>
      <c r="F84" s="52" t="n"/>
      <c r="G84" s="52" t="n"/>
      <c r="H84" s="52" t="n"/>
      <c r="I84" s="52" t="n"/>
      <c r="J84" s="52" t="n"/>
      <c r="K84" s="52" t="n"/>
      <c r="L84" s="52" t="n"/>
      <c r="M84" s="52" t="n"/>
      <c r="N84" s="52" t="n"/>
      <c r="O84" s="52" t="n"/>
      <c r="P84" s="52" t="n"/>
      <c r="Q84" s="52" t="n"/>
      <c r="R84" s="52" t="n"/>
      <c r="S84" s="52" t="n"/>
      <c r="T84" s="52" t="n"/>
      <c r="U84" s="52" t="n"/>
      <c r="V84" s="52" t="n"/>
      <c r="W84" s="52" t="n"/>
      <c r="X84" s="52" t="n"/>
      <c r="Y84" s="52" t="n"/>
      <c r="Z84" s="52" t="n"/>
      <c r="AA84" s="52" t="n"/>
      <c r="AB84" s="52" t="n"/>
      <c r="AC84" s="52" t="n"/>
      <c r="AD84" s="52" t="n"/>
      <c r="AE84" s="52" t="n"/>
      <c r="AF84" s="52" t="n"/>
      <c r="AG84" s="52" t="n"/>
      <c r="AH84" s="52" t="n"/>
      <c r="AI84" s="52" t="n"/>
      <c r="AJ84" s="52" t="n"/>
      <c r="AK84" s="52" t="n"/>
    </row>
    <row r="85" ht="15" customHeight="1">
      <c r="A85" s="53" t="inlineStr">
        <is>
          <t>Rest Category</t>
        </is>
      </c>
      <c r="B85" s="54" t="n"/>
      <c r="C85" s="54" t="n"/>
      <c r="D85" s="53" t="inlineStr">
        <is>
          <t>Day Criteria</t>
        </is>
      </c>
      <c r="E85" s="54" t="n"/>
      <c r="F85" s="54" t="n"/>
      <c r="G85" s="53" t="inlineStr">
        <is>
          <t>Days Logged</t>
        </is>
      </c>
      <c r="H85" s="54" t="n"/>
      <c r="I85" s="54" t="n"/>
      <c r="J85" s="53" t="inlineStr">
        <is>
          <t>Avg Sleep Duration</t>
        </is>
      </c>
      <c r="K85" s="54" t="n"/>
      <c r="L85" s="54" t="n"/>
      <c r="M85" s="54" t="n"/>
      <c r="N85" s="53" t="inlineStr">
        <is>
          <t>Avg Habit Success %</t>
        </is>
      </c>
      <c r="O85" s="54" t="n"/>
      <c r="P85" s="54" t="n"/>
      <c r="Q85" s="54" t="n"/>
      <c r="R85" s="53" t="inlineStr">
        <is>
          <t>Productivity Delta</t>
        </is>
      </c>
      <c r="S85" s="54" t="n"/>
      <c r="T85" s="54" t="n"/>
      <c r="U85" s="54" t="n"/>
    </row>
    <row r="86" ht="15" customHeight="1">
      <c r="A86" s="160" t="inlineStr">
        <is>
          <t>Optimal Rest</t>
        </is>
      </c>
      <c r="B86" s="161" t="n"/>
      <c r="C86" s="56" t="n"/>
      <c r="D86" s="34" t="inlineStr">
        <is>
          <t>&gt;= 7 Hours / Night</t>
        </is>
      </c>
      <c r="E86" s="161" t="n"/>
      <c r="F86" s="56" t="n"/>
      <c r="G86" s="33">
        <f>COUNTIF(E47:AH47, "&gt;=7")</f>
        <v/>
      </c>
      <c r="H86" s="161" t="n"/>
      <c r="I86" s="56" t="n"/>
      <c r="J86" s="34">
        <f>IFERROR(TEXT(AVERAGEIF(E47:AH47, "&gt;=7"), "0.0") &amp; " hrs", "-")</f>
        <v/>
      </c>
      <c r="K86" s="161" t="n"/>
      <c r="L86" s="161" t="n"/>
      <c r="M86" s="56" t="n"/>
      <c r="N86" s="42">
        <f>IFERROR(AVERAGEIFS(E39:AH39, E47:AH47, "&gt;=7", E39:AH39, "&gt;0"), 0)</f>
        <v/>
      </c>
      <c r="O86" s="161" t="n"/>
      <c r="P86" s="161" t="n"/>
      <c r="Q86" s="56" t="n"/>
      <c r="R86" s="159" t="inlineStr">
        <is>
          <t>Baseline (Target)</t>
        </is>
      </c>
      <c r="S86" s="161" t="n"/>
      <c r="T86" s="161" t="n"/>
      <c r="U86" s="56" t="n"/>
    </row>
    <row r="87" ht="15" customHeight="1">
      <c r="A87" s="162" t="inlineStr">
        <is>
          <t>Sleep Deficit</t>
        </is>
      </c>
      <c r="B87" s="161" t="n"/>
      <c r="C87" s="56" t="n"/>
      <c r="D87" s="34" t="inlineStr">
        <is>
          <t>&lt; 7 Hours / Night</t>
        </is>
      </c>
      <c r="E87" s="161" t="n"/>
      <c r="F87" s="56" t="n"/>
      <c r="G87" s="33">
        <f>COUNTIF(E47:AH47, "&lt;7") - COUNTIF(E47:AH47, "")</f>
        <v/>
      </c>
      <c r="H87" s="161" t="n"/>
      <c r="I87" s="56" t="n"/>
      <c r="J87" s="34">
        <f>IFERROR(TEXT(AVERAGEIFS(E47:AH47, E47:AH47, "&lt;7", E47:AH47, "&gt;0"), "0.0") &amp; " hrs", "-")</f>
        <v/>
      </c>
      <c r="K87" s="161" t="n"/>
      <c r="L87" s="161" t="n"/>
      <c r="M87" s="56" t="n"/>
      <c r="N87" s="163">
        <f>IFERROR(AVERAGEIFS(E39:AH39, E47:AH47, "&lt;7", E39:AH39, "&gt;0"), 0)</f>
        <v/>
      </c>
      <c r="O87" s="161" t="n"/>
      <c r="P87" s="161" t="n"/>
      <c r="Q87" s="56" t="n"/>
      <c r="R87" s="160">
        <f>IFERROR(TEXT(N86 - N87, "+0.0%;-0.0%;0.0%") &amp; " Rest Advantage", "-")</f>
        <v/>
      </c>
      <c r="S87" s="161" t="n"/>
      <c r="T87" s="161" t="n"/>
      <c r="U87" s="56" t="n"/>
    </row>
    <row r="88" ht="18" customHeight="1">
      <c r="A88" s="164">
        <f>IF(AND(ISNUMBER(N86), ISNUMBER(N87), N86&gt;0, N87&gt;0), "💡 Sleep Correlation Insight: You complete " &amp; TEXT(ABS(N86-N87), "0.0%") &amp; IF(N86&gt;=N87, " MORE habits on days with 7+ hours of sleep!", " fewer habits on days with 7+ hours of sleep."), "💡 Log both habits and sleep hours daily to unlock automatic AI correlation insights!")</f>
        <v/>
      </c>
      <c r="B88" s="161" t="n"/>
      <c r="C88" s="161" t="n"/>
      <c r="D88" s="161" t="n"/>
      <c r="E88" s="161" t="n"/>
      <c r="F88" s="161" t="n"/>
      <c r="G88" s="161" t="n"/>
      <c r="H88" s="161" t="n"/>
      <c r="I88" s="161" t="n"/>
      <c r="J88" s="161" t="n"/>
      <c r="K88" s="161" t="n"/>
      <c r="L88" s="161" t="n"/>
      <c r="M88" s="161" t="n"/>
      <c r="N88" s="161" t="n"/>
      <c r="O88" s="161" t="n"/>
      <c r="P88" s="161" t="n"/>
      <c r="Q88" s="161" t="n"/>
      <c r="R88" s="161" t="n"/>
      <c r="S88" s="161" t="n"/>
      <c r="T88" s="161" t="n"/>
      <c r="U88" s="161" t="n"/>
      <c r="V88" s="161" t="n"/>
      <c r="W88" s="161" t="n"/>
      <c r="X88" s="161" t="n"/>
      <c r="Y88" s="161" t="n"/>
      <c r="Z88" s="161" t="n"/>
      <c r="AA88" s="161" t="n"/>
      <c r="AB88" s="161" t="n"/>
      <c r="AC88" s="161" t="n"/>
      <c r="AD88" s="161" t="n"/>
      <c r="AE88" s="161" t="n"/>
      <c r="AF88" s="161" t="n"/>
      <c r="AG88" s="161" t="n"/>
      <c r="AH88" s="161" t="n"/>
      <c r="AI88" s="161" t="n"/>
      <c r="AJ88" s="161" t="n"/>
      <c r="AK88" s="56" t="n"/>
    </row>
    <row r="89" ht="10" customHeight="1"/>
    <row r="90">
      <c r="A90" s="43" t="inlineStr">
        <is>
          <t>STANDARDIZED DATA BRIDGE (FOR ANNUAL &amp; QUARTERLY REVIEW SHEETS)</t>
        </is>
      </c>
      <c r="B90" s="44" t="n"/>
      <c r="C90" s="44" t="n"/>
      <c r="D90" s="44" t="n"/>
      <c r="E90" s="44" t="n"/>
      <c r="F90" s="44" t="n"/>
      <c r="G90" s="44" t="n"/>
      <c r="H90" s="44" t="n"/>
      <c r="I90" s="44" t="n"/>
      <c r="J90" s="44" t="n"/>
      <c r="K90" s="44" t="n"/>
      <c r="L90" s="44" t="n"/>
      <c r="M90" s="44" t="n"/>
      <c r="N90" s="44" t="n"/>
      <c r="O90" s="44" t="n"/>
      <c r="P90" s="44" t="n"/>
      <c r="Q90" s="44" t="n"/>
      <c r="R90" s="44" t="n"/>
      <c r="S90" s="44" t="n"/>
      <c r="T90" s="44" t="n"/>
      <c r="U90" s="44" t="n"/>
      <c r="V90" s="44" t="n"/>
      <c r="W90" s="44" t="n"/>
      <c r="X90" s="44" t="n"/>
      <c r="Y90" s="44" t="n"/>
      <c r="Z90" s="44" t="n"/>
      <c r="AA90" s="44" t="n"/>
      <c r="AB90" s="44" t="n"/>
      <c r="AC90" s="44" t="n"/>
      <c r="AD90" s="44" t="n"/>
      <c r="AE90" s="44" t="n"/>
      <c r="AF90" s="44" t="n"/>
      <c r="AG90" s="44" t="n"/>
      <c r="AH90" s="44" t="n"/>
      <c r="AI90" s="44" t="n"/>
      <c r="AJ90" s="44" t="n"/>
      <c r="AK90" s="44" t="n"/>
    </row>
    <row r="91" ht="15" customHeight="1">
      <c r="A91" s="53" t="inlineStr">
        <is>
          <t>Month</t>
        </is>
      </c>
      <c r="B91" s="54" t="n"/>
      <c r="C91" s="53" t="inlineStr">
        <is>
          <t>Year</t>
        </is>
      </c>
      <c r="D91" s="54" t="n"/>
      <c r="E91" s="53" t="inlineStr">
        <is>
          <t>Active Habits</t>
        </is>
      </c>
      <c r="F91" s="54" t="n"/>
      <c r="G91" s="53" t="inlineStr">
        <is>
          <t>Target Days</t>
        </is>
      </c>
      <c r="H91" s="54" t="n"/>
      <c r="I91" s="53" t="inlineStr">
        <is>
          <t>Done Checks</t>
        </is>
      </c>
      <c r="J91" s="54" t="n"/>
      <c r="K91" s="53" t="inlineStr">
        <is>
          <t>Success %</t>
        </is>
      </c>
      <c r="L91" s="54" t="n"/>
      <c r="M91" s="53" t="inlineStr">
        <is>
          <t>Perfect Days</t>
        </is>
      </c>
      <c r="N91" s="54" t="n"/>
      <c r="O91" s="53" t="inlineStr">
        <is>
          <t>Avg Sleep</t>
        </is>
      </c>
      <c r="P91" s="54" t="n"/>
      <c r="Q91" s="53" t="inlineStr">
        <is>
          <t>Best Week</t>
        </is>
      </c>
      <c r="R91" s="54" t="n"/>
      <c r="S91" s="54" t="n"/>
      <c r="T91" s="53" t="inlineStr">
        <is>
          <t>Top Life Domain</t>
        </is>
      </c>
      <c r="U91" s="54" t="n"/>
      <c r="V91" s="54" t="n"/>
      <c r="W91" s="54" t="n"/>
    </row>
    <row r="92" ht="16" customHeight="1">
      <c r="A92" s="165" t="inlineStr">
        <is>
          <t>Nov</t>
        </is>
      </c>
      <c r="B92" s="56" t="n"/>
      <c r="C92" s="165" t="n">
        <v>2027</v>
      </c>
      <c r="D92" s="56" t="n"/>
      <c r="E92" s="166">
        <f>COUNTA(B18:B37)</f>
        <v/>
      </c>
      <c r="F92" s="56" t="n"/>
      <c r="G92" s="166">
        <f>SUM(D18:D37)</f>
        <v/>
      </c>
      <c r="H92" s="56" t="n"/>
      <c r="I92" s="166">
        <f>SUM(AL18:AL37)</f>
        <v/>
      </c>
      <c r="J92" s="56" t="n"/>
      <c r="K92" s="167">
        <f>IF(G92&gt;0, I92/G92, 0)</f>
        <v/>
      </c>
      <c r="L92" s="56" t="n"/>
      <c r="M92" s="166">
        <f>COUNTIF(E39:AH39, 1)</f>
        <v/>
      </c>
      <c r="N92" s="56" t="n"/>
      <c r="O92" s="168">
        <f>IFERROR(AVERAGE(E47:AH47), 0)</f>
        <v/>
      </c>
      <c r="P92" s="56" t="n"/>
      <c r="Q92" s="166">
        <f>INDEX(A76:A80, MATCH(MAX(E76:E80), E76:E80, 0))</f>
        <v/>
      </c>
      <c r="R92" s="161" t="n"/>
      <c r="S92" s="56" t="n"/>
      <c r="T92" s="166">
        <f>INDEX(N76:N80, MATCH(MAX(S76:S80), S76:S80, 0))</f>
        <v/>
      </c>
      <c r="U92" s="161" t="n"/>
      <c r="V92" s="161" t="n"/>
      <c r="W92" s="56" t="n"/>
    </row>
    <row r="93" ht="14" customHeight="1">
      <c r="A93" s="169" t="inlineStr">
        <is>
          <t>📋 Note: Reference or copy Row 92 directly into an Annual / Quarterly review dashboard to track yearly habit trends.</t>
        </is>
      </c>
    </row>
    <row r="94" ht="8" customHeight="1"/>
    <row r="95">
      <c r="A95" s="170" t="inlineStr">
        <is>
          <t>🏆 MONTHLY WINS &amp; HIGHLIGHTS</t>
        </is>
      </c>
      <c r="J95" s="171" t="inlineStr">
        <is>
          <t>⚠️ FRICTION POINTS &amp; ROOT CAUSES</t>
        </is>
      </c>
      <c r="S95" s="172" t="inlineStr">
        <is>
          <t>🎯 3 KEY ADJUSTMENTS FOR NEXT MONTH</t>
        </is>
      </c>
    </row>
    <row r="96">
      <c r="A96" s="173" t="inlineStr">
        <is>
          <t>1. What went exceptionally well this month?
2. Which habit felt effortless and consistent?
3. Major milestone achieved:</t>
        </is>
      </c>
      <c r="B96" s="174" t="n"/>
      <c r="C96" s="174" t="n"/>
      <c r="D96" s="174" t="n"/>
      <c r="E96" s="174" t="n"/>
      <c r="F96" s="174" t="n"/>
      <c r="G96" s="174" t="n"/>
      <c r="H96" s="174" t="n"/>
      <c r="J96" s="175" t="inlineStr">
        <is>
          <t>1. What caused missed or skipped days?
2. Main triggers / energy drains encountered:
3. Which habit had the lowest consistency and why?</t>
        </is>
      </c>
      <c r="K96" s="176" t="n"/>
      <c r="L96" s="176" t="n"/>
      <c r="M96" s="176" t="n"/>
      <c r="N96" s="176" t="n"/>
      <c r="O96" s="176" t="n"/>
      <c r="P96" s="176" t="n"/>
      <c r="Q96" s="176" t="n"/>
      <c r="S96" s="177" t="inlineStr">
        <is>
          <t>1. Habit Stacking or time adjustment for next month:
2. Environment design change to eliminate friction:
3. One non-negotiable priority protocol:</t>
        </is>
      </c>
      <c r="T96" s="178" t="n"/>
      <c r="U96" s="178" t="n"/>
      <c r="V96" s="178" t="n"/>
      <c r="W96" s="178" t="n"/>
      <c r="X96" s="178" t="n"/>
      <c r="Y96" s="178" t="n"/>
      <c r="Z96" s="178" t="n"/>
    </row>
    <row r="97">
      <c r="A97" s="174" t="n"/>
      <c r="B97" s="174" t="n"/>
      <c r="C97" s="174" t="n"/>
      <c r="D97" s="174" t="n"/>
      <c r="E97" s="174" t="n"/>
      <c r="F97" s="174" t="n"/>
      <c r="G97" s="174" t="n"/>
      <c r="H97" s="174" t="n"/>
      <c r="J97" s="176" t="n"/>
      <c r="K97" s="176" t="n"/>
      <c r="L97" s="176" t="n"/>
      <c r="M97" s="176" t="n"/>
      <c r="N97" s="176" t="n"/>
      <c r="O97" s="176" t="n"/>
      <c r="P97" s="176" t="n"/>
      <c r="Q97" s="176" t="n"/>
      <c r="S97" s="178" t="n"/>
      <c r="T97" s="178" t="n"/>
      <c r="U97" s="178" t="n"/>
      <c r="V97" s="178" t="n"/>
      <c r="W97" s="178" t="n"/>
      <c r="X97" s="178" t="n"/>
      <c r="Y97" s="178" t="n"/>
      <c r="Z97" s="178" t="n"/>
    </row>
    <row r="98">
      <c r="A98" s="174" t="n"/>
      <c r="B98" s="174" t="n"/>
      <c r="C98" s="174" t="n"/>
      <c r="D98" s="174" t="n"/>
      <c r="E98" s="174" t="n"/>
      <c r="F98" s="174" t="n"/>
      <c r="G98" s="174" t="n"/>
      <c r="H98" s="174" t="n"/>
      <c r="J98" s="176" t="n"/>
      <c r="K98" s="176" t="n"/>
      <c r="L98" s="176" t="n"/>
      <c r="M98" s="176" t="n"/>
      <c r="N98" s="176" t="n"/>
      <c r="O98" s="176" t="n"/>
      <c r="P98" s="176" t="n"/>
      <c r="Q98" s="176" t="n"/>
      <c r="S98" s="178" t="n"/>
      <c r="T98" s="178" t="n"/>
      <c r="U98" s="178" t="n"/>
      <c r="V98" s="178" t="n"/>
      <c r="W98" s="178" t="n"/>
      <c r="X98" s="178" t="n"/>
      <c r="Y98" s="178" t="n"/>
      <c r="Z98" s="178" t="n"/>
    </row>
    <row r="99">
      <c r="A99" s="174" t="n"/>
      <c r="B99" s="174" t="n"/>
      <c r="C99" s="174" t="n"/>
      <c r="D99" s="174" t="n"/>
      <c r="E99" s="174" t="n"/>
      <c r="F99" s="174" t="n"/>
      <c r="G99" s="174" t="n"/>
      <c r="H99" s="174" t="n"/>
      <c r="J99" s="176" t="n"/>
      <c r="K99" s="176" t="n"/>
      <c r="L99" s="176" t="n"/>
      <c r="M99" s="176" t="n"/>
      <c r="N99" s="176" t="n"/>
      <c r="O99" s="176" t="n"/>
      <c r="P99" s="176" t="n"/>
      <c r="Q99" s="176" t="n"/>
      <c r="S99" s="178" t="n"/>
      <c r="T99" s="178" t="n"/>
      <c r="U99" s="178" t="n"/>
      <c r="V99" s="178" t="n"/>
      <c r="W99" s="178" t="n"/>
      <c r="X99" s="178" t="n"/>
      <c r="Y99" s="178" t="n"/>
      <c r="Z99" s="178" t="n"/>
    </row>
    <row r="100">
      <c r="A100" s="174" t="n"/>
      <c r="B100" s="174" t="n"/>
      <c r="C100" s="174" t="n"/>
      <c r="D100" s="174" t="n"/>
      <c r="E100" s="174" t="n"/>
      <c r="F100" s="174" t="n"/>
      <c r="G100" s="174" t="n"/>
      <c r="H100" s="174" t="n"/>
      <c r="J100" s="176" t="n"/>
      <c r="K100" s="176" t="n"/>
      <c r="L100" s="176" t="n"/>
      <c r="M100" s="176" t="n"/>
      <c r="N100" s="176" t="n"/>
      <c r="O100" s="176" t="n"/>
      <c r="P100" s="176" t="n"/>
      <c r="Q100" s="176" t="n"/>
      <c r="S100" s="178" t="n"/>
      <c r="T100" s="178" t="n"/>
      <c r="U100" s="178" t="n"/>
      <c r="V100" s="178" t="n"/>
      <c r="W100" s="178" t="n"/>
      <c r="X100" s="178" t="n"/>
      <c r="Y100" s="178" t="n"/>
      <c r="Z100" s="178" t="n"/>
    </row>
    <row r="101">
      <c r="A101" s="174" t="n"/>
      <c r="B101" s="174" t="n"/>
      <c r="C101" s="174" t="n"/>
      <c r="D101" s="174" t="n"/>
      <c r="E101" s="174" t="n"/>
      <c r="F101" s="174" t="n"/>
      <c r="G101" s="174" t="n"/>
      <c r="H101" s="174" t="n"/>
      <c r="J101" s="176" t="n"/>
      <c r="K101" s="176" t="n"/>
      <c r="L101" s="176" t="n"/>
      <c r="M101" s="176" t="n"/>
      <c r="N101" s="176" t="n"/>
      <c r="O101" s="176" t="n"/>
      <c r="P101" s="176" t="n"/>
      <c r="Q101" s="176" t="n"/>
      <c r="S101" s="178" t="n"/>
      <c r="T101" s="178" t="n"/>
      <c r="U101" s="178" t="n"/>
      <c r="V101" s="178" t="n"/>
      <c r="W101" s="178" t="n"/>
      <c r="X101" s="178" t="n"/>
      <c r="Y101" s="178" t="n"/>
      <c r="Z101" s="178" t="n"/>
    </row>
    <row r="102">
      <c r="A102" s="174" t="n"/>
      <c r="B102" s="174" t="n"/>
      <c r="C102" s="174" t="n"/>
      <c r="D102" s="174" t="n"/>
      <c r="E102" s="174" t="n"/>
      <c r="F102" s="174" t="n"/>
      <c r="G102" s="174" t="n"/>
      <c r="H102" s="174" t="n"/>
      <c r="J102" s="176" t="n"/>
      <c r="K102" s="176" t="n"/>
      <c r="L102" s="176" t="n"/>
      <c r="M102" s="176" t="n"/>
      <c r="N102" s="176" t="n"/>
      <c r="O102" s="176" t="n"/>
      <c r="P102" s="176" t="n"/>
      <c r="Q102" s="176" t="n"/>
      <c r="S102" s="178" t="n"/>
      <c r="T102" s="178" t="n"/>
      <c r="U102" s="178" t="n"/>
      <c r="V102" s="178" t="n"/>
      <c r="W102" s="178" t="n"/>
      <c r="X102" s="178" t="n"/>
      <c r="Y102" s="178" t="n"/>
      <c r="Z102" s="178" t="n"/>
    </row>
    <row r="103">
      <c r="A103" s="174" t="n"/>
      <c r="B103" s="174" t="n"/>
      <c r="C103" s="174" t="n"/>
      <c r="D103" s="174" t="n"/>
      <c r="E103" s="174" t="n"/>
      <c r="F103" s="174" t="n"/>
      <c r="G103" s="174" t="n"/>
      <c r="H103" s="174" t="n"/>
      <c r="J103" s="176" t="n"/>
      <c r="K103" s="176" t="n"/>
      <c r="L103" s="176" t="n"/>
      <c r="M103" s="176" t="n"/>
      <c r="N103" s="176" t="n"/>
      <c r="O103" s="176" t="n"/>
      <c r="P103" s="176" t="n"/>
      <c r="Q103" s="176" t="n"/>
      <c r="S103" s="178" t="n"/>
      <c r="T103" s="178" t="n"/>
      <c r="U103" s="178" t="n"/>
      <c r="V103" s="178" t="n"/>
      <c r="W103" s="178" t="n"/>
      <c r="X103" s="178" t="n"/>
      <c r="Y103" s="178" t="n"/>
      <c r="Z103" s="178" t="n"/>
    </row>
  </sheetData>
  <sheetProtection selectLockedCells="1" selectUnlockedCells="1" sheet="1" objects="0" insertRows="1" insertHyperlinks="1" autoFilter="1" scenarios="0" formatColumns="1" deleteColumns="1" insertColumns="1" pivotTables="1" deleteRows="1" formatCells="1" formatRows="1" sort="1"/>
  <mergeCells count="94">
    <mergeCell ref="A9:N9"/>
    <mergeCell ref="N76:O76"/>
    <mergeCell ref="F67:I67"/>
    <mergeCell ref="G87:I87"/>
    <mergeCell ref="A16:A17"/>
    <mergeCell ref="A45:D46"/>
    <mergeCell ref="C16:C17"/>
    <mergeCell ref="N75:O75"/>
    <mergeCell ref="N77:O77"/>
    <mergeCell ref="P68:S70"/>
    <mergeCell ref="A93:AK93"/>
    <mergeCell ref="D16:D17"/>
    <mergeCell ref="N85:Q85"/>
    <mergeCell ref="A95:H95"/>
    <mergeCell ref="Q91:S91"/>
    <mergeCell ref="P6:AK6"/>
    <mergeCell ref="E91:F91"/>
    <mergeCell ref="A8:N8"/>
    <mergeCell ref="G91:H91"/>
    <mergeCell ref="P8:AK8"/>
    <mergeCell ref="J86:M86"/>
    <mergeCell ref="S95:Z95"/>
    <mergeCell ref="K67:N67"/>
    <mergeCell ref="N79:O79"/>
    <mergeCell ref="K92:L92"/>
    <mergeCell ref="P7:AK7"/>
    <mergeCell ref="C92:D92"/>
    <mergeCell ref="F71:I71"/>
    <mergeCell ref="M92:N92"/>
    <mergeCell ref="A12:AK14"/>
    <mergeCell ref="K68:N70"/>
    <mergeCell ref="T91:W91"/>
    <mergeCell ref="AI16:AI17"/>
    <mergeCell ref="J95:Q95"/>
    <mergeCell ref="D85:F85"/>
    <mergeCell ref="N74:S74"/>
    <mergeCell ref="P9:AK9"/>
    <mergeCell ref="F68:I70"/>
    <mergeCell ref="A91:B91"/>
    <mergeCell ref="N78:O78"/>
    <mergeCell ref="C91:D91"/>
    <mergeCell ref="M91:N91"/>
    <mergeCell ref="O91:P91"/>
    <mergeCell ref="R86:U86"/>
    <mergeCell ref="A84:AK84"/>
    <mergeCell ref="N80:O80"/>
    <mergeCell ref="B16:B17"/>
    <mergeCell ref="A71:D71"/>
    <mergeCell ref="J85:M85"/>
    <mergeCell ref="D86:F86"/>
    <mergeCell ref="A92:B92"/>
    <mergeCell ref="N87:Q87"/>
    <mergeCell ref="A1:B1"/>
    <mergeCell ref="E92:F92"/>
    <mergeCell ref="A68:D70"/>
    <mergeCell ref="P71:S71"/>
    <mergeCell ref="A86:C86"/>
    <mergeCell ref="D87:F87"/>
    <mergeCell ref="O92:P92"/>
    <mergeCell ref="A6:N6"/>
    <mergeCell ref="A39:D39"/>
    <mergeCell ref="G86:I86"/>
    <mergeCell ref="A96:H103"/>
    <mergeCell ref="P67:S67"/>
    <mergeCell ref="A41:AK41"/>
    <mergeCell ref="T92:W92"/>
    <mergeCell ref="R85:U85"/>
    <mergeCell ref="H2:AC2"/>
    <mergeCell ref="K71:N71"/>
    <mergeCell ref="S96:Z103"/>
    <mergeCell ref="A38:D38"/>
    <mergeCell ref="A42:AK42"/>
    <mergeCell ref="H3:AC3"/>
    <mergeCell ref="A67:D67"/>
    <mergeCell ref="I91:J91"/>
    <mergeCell ref="A85:C85"/>
    <mergeCell ref="K91:L91"/>
    <mergeCell ref="N86:Q86"/>
    <mergeCell ref="A7:N7"/>
    <mergeCell ref="A74:E74"/>
    <mergeCell ref="G85:I85"/>
    <mergeCell ref="G92:H92"/>
    <mergeCell ref="I92:J92"/>
    <mergeCell ref="R87:U87"/>
    <mergeCell ref="AK16:AK17"/>
    <mergeCell ref="J87:M87"/>
    <mergeCell ref="AD2:AK2"/>
    <mergeCell ref="AJ16:AJ17"/>
    <mergeCell ref="J96:Q103"/>
    <mergeCell ref="A88:AK88"/>
    <mergeCell ref="A90:AK90"/>
    <mergeCell ref="Q92:S92"/>
    <mergeCell ref="A87:C87"/>
    <mergeCell ref="A47:D47"/>
  </mergeCells>
  <conditionalFormatting sqref="AI18:AI37">
    <cfRule type="dataBar" priority="1">
      <dataBar>
        <cfvo type="num" val="0"/>
        <cfvo type="num" val="1"/>
        <color rgb="0010B981"/>
      </dataBar>
    </cfRule>
  </conditionalFormatting>
  <conditionalFormatting sqref="E18:AH37">
    <cfRule type="cellIs" priority="2" operator="equal" dxfId="0">
      <formula>"✓"</formula>
    </cfRule>
    <cfRule type="cellIs" priority="3" operator="equal" dxfId="0">
      <formula>"✔"</formula>
    </cfRule>
    <cfRule type="cellIs" priority="4" operator="equal" dxfId="1">
      <formula>"✗"</formula>
    </cfRule>
    <cfRule type="cellIs" priority="5" operator="equal" dxfId="1">
      <formula>"x"</formula>
    </cfRule>
    <cfRule type="cellIs" priority="6" operator="equal" dxfId="1">
      <formula>"X"</formula>
    </cfRule>
  </conditionalFormatting>
  <conditionalFormatting sqref="E16:E17">
    <cfRule type="expression" priority="7" dxfId="2">
      <formula>AND(DAY(TODAY())=1, MONTH(TODAY())=11, YEAR(TODAY())=2027)</formula>
    </cfRule>
  </conditionalFormatting>
  <conditionalFormatting sqref="F16:F17">
    <cfRule type="expression" priority="8" dxfId="2">
      <formula>AND(DAY(TODAY())=2, MONTH(TODAY())=11, YEAR(TODAY())=2027)</formula>
    </cfRule>
  </conditionalFormatting>
  <conditionalFormatting sqref="G16:G17">
    <cfRule type="expression" priority="9" dxfId="2">
      <formula>AND(DAY(TODAY())=3, MONTH(TODAY())=11, YEAR(TODAY())=2027)</formula>
    </cfRule>
  </conditionalFormatting>
  <conditionalFormatting sqref="H16:H17">
    <cfRule type="expression" priority="10" dxfId="2">
      <formula>AND(DAY(TODAY())=4, MONTH(TODAY())=11, YEAR(TODAY())=2027)</formula>
    </cfRule>
  </conditionalFormatting>
  <conditionalFormatting sqref="I16:I17">
    <cfRule type="expression" priority="11" dxfId="2">
      <formula>AND(DAY(TODAY())=5, MONTH(TODAY())=11, YEAR(TODAY())=2027)</formula>
    </cfRule>
  </conditionalFormatting>
  <conditionalFormatting sqref="J16:J17">
    <cfRule type="expression" priority="12" dxfId="2">
      <formula>AND(DAY(TODAY())=6, MONTH(TODAY())=11, YEAR(TODAY())=2027)</formula>
    </cfRule>
  </conditionalFormatting>
  <conditionalFormatting sqref="K16:K17">
    <cfRule type="expression" priority="13" dxfId="2">
      <formula>AND(DAY(TODAY())=7, MONTH(TODAY())=11, YEAR(TODAY())=2027)</formula>
    </cfRule>
  </conditionalFormatting>
  <conditionalFormatting sqref="L16:L17">
    <cfRule type="expression" priority="14" dxfId="2">
      <formula>AND(DAY(TODAY())=8, MONTH(TODAY())=11, YEAR(TODAY())=2027)</formula>
    </cfRule>
  </conditionalFormatting>
  <conditionalFormatting sqref="M16:M17">
    <cfRule type="expression" priority="15" dxfId="2">
      <formula>AND(DAY(TODAY())=9, MONTH(TODAY())=11, YEAR(TODAY())=2027)</formula>
    </cfRule>
  </conditionalFormatting>
  <conditionalFormatting sqref="N16:N17">
    <cfRule type="expression" priority="16" dxfId="2">
      <formula>AND(DAY(TODAY())=10, MONTH(TODAY())=11, YEAR(TODAY())=2027)</formula>
    </cfRule>
  </conditionalFormatting>
  <conditionalFormatting sqref="O16:O17">
    <cfRule type="expression" priority="17" dxfId="2">
      <formula>AND(DAY(TODAY())=11, MONTH(TODAY())=11, YEAR(TODAY())=2027)</formula>
    </cfRule>
  </conditionalFormatting>
  <conditionalFormatting sqref="P16:P17">
    <cfRule type="expression" priority="18" dxfId="2">
      <formula>AND(DAY(TODAY())=12, MONTH(TODAY())=11, YEAR(TODAY())=2027)</formula>
    </cfRule>
  </conditionalFormatting>
  <conditionalFormatting sqref="Q16:Q17">
    <cfRule type="expression" priority="19" dxfId="2">
      <formula>AND(DAY(TODAY())=13, MONTH(TODAY())=11, YEAR(TODAY())=2027)</formula>
    </cfRule>
  </conditionalFormatting>
  <conditionalFormatting sqref="R16:R17">
    <cfRule type="expression" priority="20" dxfId="2">
      <formula>AND(DAY(TODAY())=14, MONTH(TODAY())=11, YEAR(TODAY())=2027)</formula>
    </cfRule>
  </conditionalFormatting>
  <conditionalFormatting sqref="S16:S17">
    <cfRule type="expression" priority="21" dxfId="2">
      <formula>AND(DAY(TODAY())=15, MONTH(TODAY())=11, YEAR(TODAY())=2027)</formula>
    </cfRule>
  </conditionalFormatting>
  <conditionalFormatting sqref="T16:T17">
    <cfRule type="expression" priority="22" dxfId="2">
      <formula>AND(DAY(TODAY())=16, MONTH(TODAY())=11, YEAR(TODAY())=2027)</formula>
    </cfRule>
  </conditionalFormatting>
  <conditionalFormatting sqref="U16:U17">
    <cfRule type="expression" priority="23" dxfId="2">
      <formula>AND(DAY(TODAY())=17, MONTH(TODAY())=11, YEAR(TODAY())=2027)</formula>
    </cfRule>
  </conditionalFormatting>
  <conditionalFormatting sqref="V16:V17">
    <cfRule type="expression" priority="24" dxfId="2">
      <formula>AND(DAY(TODAY())=18, MONTH(TODAY())=11, YEAR(TODAY())=2027)</formula>
    </cfRule>
  </conditionalFormatting>
  <conditionalFormatting sqref="W16:W17">
    <cfRule type="expression" priority="25" dxfId="2">
      <formula>AND(DAY(TODAY())=19, MONTH(TODAY())=11, YEAR(TODAY())=2027)</formula>
    </cfRule>
  </conditionalFormatting>
  <conditionalFormatting sqref="X16:X17">
    <cfRule type="expression" priority="26" dxfId="2">
      <formula>AND(DAY(TODAY())=20, MONTH(TODAY())=11, YEAR(TODAY())=2027)</formula>
    </cfRule>
  </conditionalFormatting>
  <conditionalFormatting sqref="Y16:Y17">
    <cfRule type="expression" priority="27" dxfId="2">
      <formula>AND(DAY(TODAY())=21, MONTH(TODAY())=11, YEAR(TODAY())=2027)</formula>
    </cfRule>
  </conditionalFormatting>
  <conditionalFormatting sqref="Z16:Z17">
    <cfRule type="expression" priority="28" dxfId="2">
      <formula>AND(DAY(TODAY())=22, MONTH(TODAY())=11, YEAR(TODAY())=2027)</formula>
    </cfRule>
  </conditionalFormatting>
  <conditionalFormatting sqref="AA16:AA17">
    <cfRule type="expression" priority="29" dxfId="2">
      <formula>AND(DAY(TODAY())=23, MONTH(TODAY())=11, YEAR(TODAY())=2027)</formula>
    </cfRule>
  </conditionalFormatting>
  <conditionalFormatting sqref="AB16:AB17">
    <cfRule type="expression" priority="30" dxfId="2">
      <formula>AND(DAY(TODAY())=24, MONTH(TODAY())=11, YEAR(TODAY())=2027)</formula>
    </cfRule>
  </conditionalFormatting>
  <conditionalFormatting sqref="AC16:AC17">
    <cfRule type="expression" priority="31" dxfId="2">
      <formula>AND(DAY(TODAY())=25, MONTH(TODAY())=11, YEAR(TODAY())=2027)</formula>
    </cfRule>
  </conditionalFormatting>
  <conditionalFormatting sqref="AD16:AD17">
    <cfRule type="expression" priority="32" dxfId="2">
      <formula>AND(DAY(TODAY())=26, MONTH(TODAY())=11, YEAR(TODAY())=2027)</formula>
    </cfRule>
  </conditionalFormatting>
  <conditionalFormatting sqref="AE16:AE17">
    <cfRule type="expression" priority="33" dxfId="2">
      <formula>AND(DAY(TODAY())=27, MONTH(TODAY())=11, YEAR(TODAY())=2027)</formula>
    </cfRule>
  </conditionalFormatting>
  <conditionalFormatting sqref="AF16:AF17">
    <cfRule type="expression" priority="34" dxfId="2">
      <formula>AND(DAY(TODAY())=28, MONTH(TODAY())=11, YEAR(TODAY())=2027)</formula>
    </cfRule>
  </conditionalFormatting>
  <conditionalFormatting sqref="AG16:AG17">
    <cfRule type="expression" priority="35" dxfId="2">
      <formula>AND(DAY(TODAY())=29, MONTH(TODAY())=11, YEAR(TODAY())=2027)</formula>
    </cfRule>
  </conditionalFormatting>
  <conditionalFormatting sqref="AH16:AH17">
    <cfRule type="expression" priority="36" dxfId="2">
      <formula>AND(DAY(TODAY())=30, MONTH(TODAY())=11, YEAR(TODAY())=2027)</formula>
    </cfRule>
  </conditionalFormatting>
  <dataValidations count="4">
    <dataValidation sqref="C18:C37" showDropDown="0" showInputMessage="0" showErrorMessage="0" allowBlank="1" type="list">
      <formula1>"Health &amp; Fitness,Mindset &amp; Learning,Career &amp; Focus,Personal &amp; Home,Finance &amp; Wealth,Other"</formula1>
    </dataValidation>
    <dataValidation sqref="D18:D37" showDropDown="0" showInputMessage="0" showErrorMessage="0" allowBlank="1" type="list">
      <formula1>"1,2,3,4,5,6,7,8,9,10,11,12,13,14,15,16,17,18,19,20,21,22,23,24,25,26,27,28,29,30,31"</formula1>
    </dataValidation>
    <dataValidation sqref="E18:AH37" showDropDown="0" showInputMessage="0" showErrorMessage="0" allowBlank="1" type="list">
      <formula1>"✓,✗"</formula1>
    </dataValidation>
    <dataValidation sqref="E47:AH47" showDropDown="0" showInputMessage="0" showErrorMessage="0" allowBlank="1" type="list">
      <formula1>"1,2,3,4,5,6,7,8,9,10,11,12,13,14,15,16,17,18,19,20,21,22,23,24"</formula1>
    </dataValidation>
  </dataValidations>
  <hyperlinks>
    <hyperlink xmlns:r="http://schemas.openxmlformats.org/officeDocument/2006/relationships" ref="A1" r:id="rId1"/>
    <hyperlink xmlns:r="http://schemas.openxmlformats.org/officeDocument/2006/relationships" ref="C1" r:id="rId2"/>
    <hyperlink xmlns:r="http://schemas.openxmlformats.org/officeDocument/2006/relationships" ref="D1" r:id="rId3"/>
    <hyperlink xmlns:r="http://schemas.openxmlformats.org/officeDocument/2006/relationships" ref="E1" r:id="rId4"/>
    <hyperlink xmlns:r="http://schemas.openxmlformats.org/officeDocument/2006/relationships" ref="F1" r:id="rId5"/>
    <hyperlink xmlns:r="http://schemas.openxmlformats.org/officeDocument/2006/relationships" ref="G1" r:id="rId6"/>
    <hyperlink xmlns:r="http://schemas.openxmlformats.org/officeDocument/2006/relationships" ref="H1" r:id="rId7"/>
    <hyperlink xmlns:r="http://schemas.openxmlformats.org/officeDocument/2006/relationships" ref="I1" r:id="rId8"/>
    <hyperlink xmlns:r="http://schemas.openxmlformats.org/officeDocument/2006/relationships" ref="J1" r:id="rId9"/>
    <hyperlink xmlns:r="http://schemas.openxmlformats.org/officeDocument/2006/relationships" ref="K1" r:id="rId10"/>
  </hyperlinks>
  <printOptions horizontalCentered="1" verticalCentered="0"/>
  <pageMargins left="0.75" right="0.75" top="1" bottom="1" header="0.5" footer="0.5"/>
  <pageSetup orientation="landscape" paperSize="9" fitToHeight="0" fitToWidth="1"/>
  <drawing xmlns:r="http://schemas.openxmlformats.org/officeDocument/2006/relationships" r:id="rId11"/>
</worksheet>
</file>

<file path=xl/worksheets/sheet19.xml><?xml version="1.0" encoding="utf-8"?>
<worksheet xmlns="http://schemas.openxmlformats.org/spreadsheetml/2006/main">
  <sheetPr>
    <outlinePr summaryBelow="1" summaryRight="1"/>
    <pageSetUpPr fitToPage="1"/>
  </sheetPr>
  <dimension ref="A1:AM103"/>
  <sheetViews>
    <sheetView showGridLines="1" workbookViewId="0">
      <selection activeCell="A1" sqref="A1"/>
    </sheetView>
  </sheetViews>
  <sheetFormatPr baseColWidth="8" defaultRowHeight="15"/>
  <cols>
    <col width="6" customWidth="1" min="1" max="1"/>
    <col width="25" customWidth="1" min="2" max="2"/>
    <col width="16.5" customWidth="1" min="3" max="3"/>
    <col width="8" customWidth="1" min="4" max="4"/>
    <col width="4.8" customWidth="1" min="5" max="5"/>
    <col width="4.8" customWidth="1" min="6" max="6"/>
    <col width="4.8" customWidth="1" min="7" max="7"/>
    <col width="4.8" customWidth="1" min="8" max="8"/>
    <col width="4.8" customWidth="1" min="9" max="9"/>
    <col width="4.8" customWidth="1" min="10" max="10"/>
    <col width="4.8" customWidth="1" min="11" max="11"/>
    <col width="4.8" customWidth="1" min="12" max="12"/>
    <col width="4.8" customWidth="1" min="13" max="13"/>
    <col width="4.8" customWidth="1" min="14" max="14"/>
    <col width="4.8" customWidth="1" min="15" max="15"/>
    <col width="4.8" customWidth="1" min="16" max="16"/>
    <col width="4.8" customWidth="1" min="17" max="17"/>
    <col width="4.8" customWidth="1" min="18" max="18"/>
    <col width="4.8" customWidth="1" min="19" max="19"/>
    <col width="4.8" customWidth="1" min="20" max="20"/>
    <col width="4.8" customWidth="1" min="21" max="21"/>
    <col width="4.8" customWidth="1" min="22" max="22"/>
    <col width="4.8" customWidth="1" min="23" max="23"/>
    <col width="4.8" customWidth="1" min="24" max="24"/>
    <col width="4.8" customWidth="1" min="25" max="25"/>
    <col width="4.8" customWidth="1" min="26" max="26"/>
    <col width="4.8" customWidth="1" min="27" max="27"/>
    <col width="4.8" customWidth="1" min="28" max="28"/>
    <col width="4.8" customWidth="1" min="29" max="29"/>
    <col width="4.8" customWidth="1" min="30" max="30"/>
    <col width="4.8" customWidth="1" min="31" max="31"/>
    <col width="4.8" customWidth="1" min="32" max="32"/>
    <col width="4.8" customWidth="1" min="33" max="33"/>
    <col width="4.8" customWidth="1" min="34" max="34"/>
    <col width="4.8" customWidth="1" min="35" max="35"/>
    <col width="11.5" customWidth="1" min="36" max="36"/>
    <col width="12" customWidth="1" min="37" max="37"/>
    <col width="13.5" customWidth="1" min="38" max="38"/>
    <col hidden="1" width="8" customWidth="1" min="39" max="39"/>
  </cols>
  <sheetData>
    <row r="1" ht="18" customHeight="1">
      <c r="A1" s="76" t="inlineStr">
        <is>
          <t>🏠 Master Dashboard</t>
        </is>
      </c>
      <c r="B1" s="40" t="n"/>
      <c r="C1" s="77" t="inlineStr">
        <is>
          <t>🏛️ Quarterly Hub</t>
        </is>
      </c>
      <c r="D1" s="78" t="inlineStr">
        <is>
          <t>📚 Habit Library</t>
        </is>
      </c>
      <c r="E1" s="80" t="inlineStr">
        <is>
          <t>2026</t>
        </is>
      </c>
      <c r="F1" s="79" t="inlineStr">
        <is>
          <t>2027</t>
        </is>
      </c>
      <c r="G1" s="80" t="inlineStr">
        <is>
          <t>2028</t>
        </is>
      </c>
      <c r="H1" s="80" t="inlineStr">
        <is>
          <t>2029</t>
        </is>
      </c>
      <c r="I1" s="80" t="inlineStr">
        <is>
          <t>2030</t>
        </is>
      </c>
      <c r="J1" s="82" t="inlineStr">
        <is>
          <t>◀ Prev</t>
        </is>
      </c>
      <c r="K1" s="82" t="inlineStr">
        <is>
          <t>Next ▶</t>
        </is>
      </c>
    </row>
    <row r="2" ht="24" customHeight="1">
      <c r="A2" s="83" t="inlineStr">
        <is>
          <t>Habit Tracker</t>
        </is>
      </c>
      <c r="H2" s="84" t="inlineStr">
        <is>
          <t>"Stay consistent."</t>
        </is>
      </c>
      <c r="AE2" s="85" t="inlineStr">
        <is>
          <t>@surajvansh</t>
        </is>
      </c>
    </row>
    <row r="3" ht="18" customHeight="1">
      <c r="A3" s="86" t="inlineStr">
        <is>
          <t>December 2027</t>
        </is>
      </c>
      <c r="H3" s="87" t="inlineStr">
        <is>
          <t>31 Days Dashboard</t>
        </is>
      </c>
    </row>
    <row r="4" ht="5" customHeight="1"/>
    <row r="5" ht="16" customHeight="1">
      <c r="A5" s="88" t="inlineStr">
        <is>
          <t>MONTHLY TARGETS</t>
        </is>
      </c>
    </row>
    <row r="6" ht="13" customHeight="1">
      <c r="A6" s="89" t="inlineStr">
        <is>
          <t>1. ____________________ : ____________________</t>
        </is>
      </c>
      <c r="P6" s="89" t="inlineStr">
        <is>
          <t>5. ____________________ : ____________________</t>
        </is>
      </c>
    </row>
    <row r="7" ht="13" customHeight="1">
      <c r="A7" s="89" t="inlineStr">
        <is>
          <t>2. ____________________ : ____________________</t>
        </is>
      </c>
      <c r="P7" s="89" t="inlineStr">
        <is>
          <t>6. ____________________ : ____________________</t>
        </is>
      </c>
    </row>
    <row r="8" ht="13" customHeight="1">
      <c r="A8" s="89" t="inlineStr">
        <is>
          <t>3. ____________________ : ____________________</t>
        </is>
      </c>
      <c r="P8" s="89" t="inlineStr">
        <is>
          <t>7. ____________________ : ____________________</t>
        </is>
      </c>
    </row>
    <row r="9" ht="13" customHeight="1">
      <c r="A9" s="89" t="inlineStr">
        <is>
          <t>4. ____________________ : ____________________</t>
        </is>
      </c>
      <c r="P9" s="89" t="inlineStr">
        <is>
          <t>8. ____________________ : ____________________</t>
        </is>
      </c>
    </row>
    <row r="10" ht="5" customHeight="1"/>
    <row r="11" ht="15" customHeight="1">
      <c r="A11" s="88" t="inlineStr">
        <is>
          <t>NOTES:</t>
        </is>
      </c>
    </row>
    <row r="12" ht="13" customHeight="1">
      <c r="A12" s="90" t="n"/>
      <c r="B12" s="91" t="n"/>
      <c r="C12" s="91" t="n"/>
      <c r="D12" s="91" t="n"/>
      <c r="E12" s="91" t="n"/>
      <c r="F12" s="91" t="n"/>
      <c r="G12" s="91" t="n"/>
      <c r="H12" s="91" t="n"/>
      <c r="I12" s="91" t="n"/>
      <c r="J12" s="91" t="n"/>
      <c r="K12" s="91" t="n"/>
      <c r="L12" s="91" t="n"/>
      <c r="M12" s="91" t="n"/>
      <c r="N12" s="91" t="n"/>
      <c r="O12" s="91" t="n"/>
      <c r="P12" s="91" t="n"/>
      <c r="Q12" s="91" t="n"/>
      <c r="R12" s="91" t="n"/>
      <c r="S12" s="91" t="n"/>
      <c r="T12" s="91" t="n"/>
      <c r="U12" s="91" t="n"/>
      <c r="V12" s="91" t="n"/>
      <c r="W12" s="91" t="n"/>
      <c r="X12" s="91" t="n"/>
      <c r="Y12" s="91" t="n"/>
      <c r="Z12" s="91" t="n"/>
      <c r="AA12" s="91" t="n"/>
      <c r="AB12" s="91" t="n"/>
      <c r="AC12" s="91" t="n"/>
      <c r="AD12" s="91" t="n"/>
      <c r="AE12" s="91" t="n"/>
      <c r="AF12" s="91" t="n"/>
      <c r="AG12" s="91" t="n"/>
      <c r="AH12" s="91" t="n"/>
      <c r="AI12" s="91" t="n"/>
      <c r="AJ12" s="91" t="n"/>
      <c r="AK12" s="91" t="n"/>
      <c r="AL12" s="91" t="n"/>
    </row>
    <row r="13" ht="13" customHeight="1">
      <c r="A13" s="91" t="n"/>
      <c r="B13" s="91" t="n"/>
      <c r="C13" s="91" t="n"/>
      <c r="D13" s="91" t="n"/>
      <c r="E13" s="91" t="n"/>
      <c r="F13" s="91" t="n"/>
      <c r="G13" s="91" t="n"/>
      <c r="H13" s="91" t="n"/>
      <c r="I13" s="91" t="n"/>
      <c r="J13" s="91" t="n"/>
      <c r="K13" s="91" t="n"/>
      <c r="L13" s="91" t="n"/>
      <c r="M13" s="91" t="n"/>
      <c r="N13" s="91" t="n"/>
      <c r="O13" s="91" t="n"/>
      <c r="P13" s="91" t="n"/>
      <c r="Q13" s="91" t="n"/>
      <c r="R13" s="91" t="n"/>
      <c r="S13" s="91" t="n"/>
      <c r="T13" s="91" t="n"/>
      <c r="U13" s="91" t="n"/>
      <c r="V13" s="91" t="n"/>
      <c r="W13" s="91" t="n"/>
      <c r="X13" s="91" t="n"/>
      <c r="Y13" s="91" t="n"/>
      <c r="Z13" s="91" t="n"/>
      <c r="AA13" s="91" t="n"/>
      <c r="AB13" s="91" t="n"/>
      <c r="AC13" s="91" t="n"/>
      <c r="AD13" s="91" t="n"/>
      <c r="AE13" s="91" t="n"/>
      <c r="AF13" s="91" t="n"/>
      <c r="AG13" s="91" t="n"/>
      <c r="AH13" s="91" t="n"/>
      <c r="AI13" s="91" t="n"/>
      <c r="AJ13" s="91" t="n"/>
      <c r="AK13" s="91" t="n"/>
      <c r="AL13" s="91" t="n"/>
    </row>
    <row r="14" ht="13" customHeight="1">
      <c r="A14" s="91" t="n"/>
      <c r="B14" s="91" t="n"/>
      <c r="C14" s="91" t="n"/>
      <c r="D14" s="91" t="n"/>
      <c r="E14" s="91" t="n"/>
      <c r="F14" s="91" t="n"/>
      <c r="G14" s="91" t="n"/>
      <c r="H14" s="91" t="n"/>
      <c r="I14" s="91" t="n"/>
      <c r="J14" s="91" t="n"/>
      <c r="K14" s="91" t="n"/>
      <c r="L14" s="91" t="n"/>
      <c r="M14" s="91" t="n"/>
      <c r="N14" s="91" t="n"/>
      <c r="O14" s="91" t="n"/>
      <c r="P14" s="91" t="n"/>
      <c r="Q14" s="91" t="n"/>
      <c r="R14" s="91" t="n"/>
      <c r="S14" s="91" t="n"/>
      <c r="T14" s="91" t="n"/>
      <c r="U14" s="91" t="n"/>
      <c r="V14" s="91" t="n"/>
      <c r="W14" s="91" t="n"/>
      <c r="X14" s="91" t="n"/>
      <c r="Y14" s="91" t="n"/>
      <c r="Z14" s="91" t="n"/>
      <c r="AA14" s="91" t="n"/>
      <c r="AB14" s="91" t="n"/>
      <c r="AC14" s="91" t="n"/>
      <c r="AD14" s="91" t="n"/>
      <c r="AE14" s="91" t="n"/>
      <c r="AF14" s="91" t="n"/>
      <c r="AG14" s="91" t="n"/>
      <c r="AH14" s="91" t="n"/>
      <c r="AI14" s="91" t="n"/>
      <c r="AJ14" s="91" t="n"/>
      <c r="AK14" s="91" t="n"/>
      <c r="AL14" s="91" t="n"/>
    </row>
    <row r="15" ht="8" customHeight="1"/>
    <row r="16" ht="15" customHeight="1">
      <c r="A16" s="33" t="inlineStr">
        <is>
          <t>S.No.</t>
        </is>
      </c>
      <c r="B16" s="33" t="inlineStr">
        <is>
          <t>Protocols</t>
        </is>
      </c>
      <c r="C16" s="33" t="inlineStr">
        <is>
          <t>Category</t>
        </is>
      </c>
      <c r="D16" s="33" t="inlineStr">
        <is>
          <t>Target</t>
        </is>
      </c>
      <c r="E16" s="92" t="n">
        <v>1</v>
      </c>
      <c r="F16" s="92" t="n">
        <v>2</v>
      </c>
      <c r="G16" s="92" t="n">
        <v>3</v>
      </c>
      <c r="H16" s="92" t="n">
        <v>4</v>
      </c>
      <c r="I16" s="93" t="n">
        <v>5</v>
      </c>
      <c r="J16" s="92" t="n">
        <v>6</v>
      </c>
      <c r="K16" s="92" t="n">
        <v>7</v>
      </c>
      <c r="L16" s="92" t="n">
        <v>8</v>
      </c>
      <c r="M16" s="92" t="n">
        <v>9</v>
      </c>
      <c r="N16" s="92" t="n">
        <v>10</v>
      </c>
      <c r="O16" s="92" t="n">
        <v>11</v>
      </c>
      <c r="P16" s="93" t="n">
        <v>12</v>
      </c>
      <c r="Q16" s="92" t="n">
        <v>13</v>
      </c>
      <c r="R16" s="92" t="n">
        <v>14</v>
      </c>
      <c r="S16" s="92" t="n">
        <v>15</v>
      </c>
      <c r="T16" s="92" t="n">
        <v>16</v>
      </c>
      <c r="U16" s="92" t="n">
        <v>17</v>
      </c>
      <c r="V16" s="92" t="n">
        <v>18</v>
      </c>
      <c r="W16" s="93" t="n">
        <v>19</v>
      </c>
      <c r="X16" s="92" t="n">
        <v>20</v>
      </c>
      <c r="Y16" s="92" t="n">
        <v>21</v>
      </c>
      <c r="Z16" s="92" t="n">
        <v>22</v>
      </c>
      <c r="AA16" s="92" t="n">
        <v>23</v>
      </c>
      <c r="AB16" s="92" t="n">
        <v>24</v>
      </c>
      <c r="AC16" s="92" t="n">
        <v>25</v>
      </c>
      <c r="AD16" s="93" t="n">
        <v>26</v>
      </c>
      <c r="AE16" s="92" t="n">
        <v>27</v>
      </c>
      <c r="AF16" s="92" t="n">
        <v>28</v>
      </c>
      <c r="AG16" s="92" t="n">
        <v>29</v>
      </c>
      <c r="AH16" s="92" t="n">
        <v>30</v>
      </c>
      <c r="AI16" s="92" t="n">
        <v>31</v>
      </c>
      <c r="AJ16" s="94" t="inlineStr">
        <is>
          <t>Success %</t>
        </is>
      </c>
      <c r="AK16" s="94" t="inlineStr">
        <is>
          <t>Done / Target</t>
        </is>
      </c>
      <c r="AL16" s="94" t="inlineStr">
        <is>
          <t>Status</t>
        </is>
      </c>
      <c r="AM16" t="inlineStr">
        <is>
          <t>Done Count</t>
        </is>
      </c>
    </row>
    <row r="17" ht="15" customHeight="1">
      <c r="A17" s="54" t="n"/>
      <c r="B17" s="54" t="n"/>
      <c r="C17" s="54" t="n"/>
      <c r="D17" s="54" t="n"/>
      <c r="E17" s="95" t="inlineStr">
        <is>
          <t>W</t>
        </is>
      </c>
      <c r="F17" s="95" t="inlineStr">
        <is>
          <t>Th</t>
        </is>
      </c>
      <c r="G17" s="95" t="inlineStr">
        <is>
          <t>F</t>
        </is>
      </c>
      <c r="H17" s="95" t="inlineStr">
        <is>
          <t>Sa</t>
        </is>
      </c>
      <c r="I17" s="96" t="inlineStr">
        <is>
          <t>Su</t>
        </is>
      </c>
      <c r="J17" s="95" t="inlineStr">
        <is>
          <t>M</t>
        </is>
      </c>
      <c r="K17" s="95" t="inlineStr">
        <is>
          <t>T</t>
        </is>
      </c>
      <c r="L17" s="95" t="inlineStr">
        <is>
          <t>W</t>
        </is>
      </c>
      <c r="M17" s="95" t="inlineStr">
        <is>
          <t>Th</t>
        </is>
      </c>
      <c r="N17" s="95" t="inlineStr">
        <is>
          <t>F</t>
        </is>
      </c>
      <c r="O17" s="95" t="inlineStr">
        <is>
          <t>Sa</t>
        </is>
      </c>
      <c r="P17" s="96" t="inlineStr">
        <is>
          <t>Su</t>
        </is>
      </c>
      <c r="Q17" s="95" t="inlineStr">
        <is>
          <t>M</t>
        </is>
      </c>
      <c r="R17" s="95" t="inlineStr">
        <is>
          <t>T</t>
        </is>
      </c>
      <c r="S17" s="95" t="inlineStr">
        <is>
          <t>W</t>
        </is>
      </c>
      <c r="T17" s="95" t="inlineStr">
        <is>
          <t>Th</t>
        </is>
      </c>
      <c r="U17" s="95" t="inlineStr">
        <is>
          <t>F</t>
        </is>
      </c>
      <c r="V17" s="95" t="inlineStr">
        <is>
          <t>Sa</t>
        </is>
      </c>
      <c r="W17" s="96" t="inlineStr">
        <is>
          <t>Su</t>
        </is>
      </c>
      <c r="X17" s="95" t="inlineStr">
        <is>
          <t>M</t>
        </is>
      </c>
      <c r="Y17" s="95" t="inlineStr">
        <is>
          <t>T</t>
        </is>
      </c>
      <c r="Z17" s="95" t="inlineStr">
        <is>
          <t>W</t>
        </is>
      </c>
      <c r="AA17" s="95" t="inlineStr">
        <is>
          <t>Th</t>
        </is>
      </c>
      <c r="AB17" s="95" t="inlineStr">
        <is>
          <t>F</t>
        </is>
      </c>
      <c r="AC17" s="95" t="inlineStr">
        <is>
          <t>Sa</t>
        </is>
      </c>
      <c r="AD17" s="96" t="inlineStr">
        <is>
          <t>Su</t>
        </is>
      </c>
      <c r="AE17" s="95" t="inlineStr">
        <is>
          <t>M</t>
        </is>
      </c>
      <c r="AF17" s="95" t="inlineStr">
        <is>
          <t>T</t>
        </is>
      </c>
      <c r="AG17" s="95" t="inlineStr">
        <is>
          <t>W</t>
        </is>
      </c>
      <c r="AH17" s="95" t="inlineStr">
        <is>
          <t>Th</t>
        </is>
      </c>
      <c r="AI17" s="95" t="inlineStr">
        <is>
          <t>F</t>
        </is>
      </c>
      <c r="AJ17" s="54" t="n"/>
      <c r="AK17" s="54" t="n"/>
      <c r="AL17" s="54" t="n"/>
    </row>
    <row r="18" ht="14.5" customHeight="1">
      <c r="A18" s="97" t="n">
        <v>1</v>
      </c>
      <c r="B18" s="98" t="n"/>
      <c r="C18" s="99" t="n"/>
      <c r="D18" s="99" t="n"/>
      <c r="E18" s="100" t="n"/>
      <c r="F18" s="100" t="n"/>
      <c r="G18" s="100" t="n"/>
      <c r="H18" s="100" t="n"/>
      <c r="I18" s="101" t="n"/>
      <c r="J18" s="100" t="n"/>
      <c r="K18" s="100" t="n"/>
      <c r="L18" s="100" t="n"/>
      <c r="M18" s="100" t="n"/>
      <c r="N18" s="100" t="n"/>
      <c r="O18" s="100" t="n"/>
      <c r="P18" s="101" t="n"/>
      <c r="Q18" s="100" t="n"/>
      <c r="R18" s="100" t="n"/>
      <c r="S18" s="100" t="n"/>
      <c r="T18" s="100" t="n"/>
      <c r="U18" s="100" t="n"/>
      <c r="V18" s="100" t="n"/>
      <c r="W18" s="101" t="n"/>
      <c r="X18" s="100" t="n"/>
      <c r="Y18" s="100" t="n"/>
      <c r="Z18" s="100" t="n"/>
      <c r="AA18" s="100" t="n"/>
      <c r="AB18" s="100" t="n"/>
      <c r="AC18" s="100" t="n"/>
      <c r="AD18" s="101" t="n"/>
      <c r="AE18" s="100" t="n"/>
      <c r="AF18" s="100" t="n"/>
      <c r="AG18" s="100" t="n"/>
      <c r="AH18" s="100" t="n"/>
      <c r="AI18" s="100" t="n"/>
      <c r="AJ18" s="102">
        <f>IF(ISBLANK(B18), "", IF(ISNUMBER(D18), IF(D18&gt;0, (COUNTIF(E18:AI18, "✓") + COUNTIF(E18:AI18, "✔") + COUNTIF(E18:AI18, "v") + COUNTIF(E18:AI18, "V"))/D18, 0), IF(((COUNTIF(E18:AI18, "✓") + COUNTIF(E18:AI18, "✔") + COUNTIF(E18:AI18, "v") + COUNTIF(E18:AI18, "V")) + COUNTIF(E18:AI18, "✗") + COUNTIF(E18:AI18, "x") + COUNTIF(E18:AI18, "X"))&gt;0, (COUNTIF(E18:AI18, "✓") + COUNTIF(E18:AI18, "✔") + COUNTIF(E18:AI18, "v") + COUNTIF(E18:AI18, "V"))/((COUNTIF(E18:AI18, "✓") + COUNTIF(E18:AI18, "✔") + COUNTIF(E18:AI18, "v") + COUNTIF(E18:AI18, "V")) + COUNTIF(E18:AI18, "✗") + COUNTIF(E18:AI18, "x") + COUNTIF(E18:AI18, "X")), "")))</f>
        <v/>
      </c>
      <c r="AK18" s="103">
        <f>IF(ISBLANK(B18), "", IF(ISNUMBER(D18), IF(D18&gt;0, (COUNTIF(E18:AI18, "✓") + COUNTIF(E18:AI18, "✔") + COUNTIF(E18:AI18, "v") + COUNTIF(E18:AI18, "V")) &amp; "/" &amp; D18, (COUNTIF(E18:AI18, "✓") + COUNTIF(E18:AI18, "✔") + COUNTIF(E18:AI18, "v") + COUNTIF(E18:AI18, "V")) &amp; "/0"), IF(((COUNTIF(E18:AI18, "✓") + COUNTIF(E18:AI18, "✔") + COUNTIF(E18:AI18, "v") + COUNTIF(E18:AI18, "V")) + COUNTIF(E18:AI18, "✗") + COUNTIF(E18:AI18, "x") + COUNTIF(E18:AI18, "X"))&gt;0, (COUNTIF(E18:AI18, "✓") + COUNTIF(E18:AI18, "✔") + COUNTIF(E18:AI18, "v") + COUNTIF(E18:AI18, "V")) &amp; "/" &amp; ((COUNTIF(E18:AI18, "✓") + COUNTIF(E18:AI18, "✔") + COUNTIF(E18:AI18, "v") + COUNTIF(E18:AI18, "V")) + COUNTIF(E18:AI18, "✗") + COUNTIF(E18:AI18, "x") + COUNTIF(E18:AI18, "X")), "")))</f>
        <v/>
      </c>
      <c r="AL18" s="103">
        <f>IF(ISBLANK(B18), "", IF(AJ18&gt;=0.85, "🔥 Mastered", IF(AJ18&gt;=0.7, "⚡ Consistent", "⚠️ Needs Focus")))</f>
        <v/>
      </c>
      <c r="AM18">
        <f>COUNTIF(E18:AI18, "✓")</f>
        <v/>
      </c>
    </row>
    <row r="19" ht="14.5" customHeight="1">
      <c r="A19" s="97" t="n">
        <v>2</v>
      </c>
      <c r="B19" s="98" t="n"/>
      <c r="C19" s="99" t="n"/>
      <c r="D19" s="99" t="n"/>
      <c r="E19" s="100" t="n"/>
      <c r="F19" s="100" t="n"/>
      <c r="G19" s="100" t="n"/>
      <c r="H19" s="100" t="n"/>
      <c r="I19" s="101" t="n"/>
      <c r="J19" s="100" t="n"/>
      <c r="K19" s="100" t="n"/>
      <c r="L19" s="100" t="n"/>
      <c r="M19" s="100" t="n"/>
      <c r="N19" s="100" t="n"/>
      <c r="O19" s="100" t="n"/>
      <c r="P19" s="101" t="n"/>
      <c r="Q19" s="100" t="n"/>
      <c r="R19" s="100" t="n"/>
      <c r="S19" s="100" t="n"/>
      <c r="T19" s="100" t="n"/>
      <c r="U19" s="100" t="n"/>
      <c r="V19" s="100" t="n"/>
      <c r="W19" s="101" t="n"/>
      <c r="X19" s="100" t="n"/>
      <c r="Y19" s="100" t="n"/>
      <c r="Z19" s="100" t="n"/>
      <c r="AA19" s="100" t="n"/>
      <c r="AB19" s="100" t="n"/>
      <c r="AC19" s="100" t="n"/>
      <c r="AD19" s="101" t="n"/>
      <c r="AE19" s="100" t="n"/>
      <c r="AF19" s="100" t="n"/>
      <c r="AG19" s="100" t="n"/>
      <c r="AH19" s="100" t="n"/>
      <c r="AI19" s="100" t="n"/>
      <c r="AJ19" s="102">
        <f>IF(ISBLANK(B19), "", IF(ISNUMBER(D19), IF(D19&gt;0, (COUNTIF(E19:AI19, "✓") + COUNTIF(E19:AI19, "✔") + COUNTIF(E19:AI19, "v") + COUNTIF(E19:AI19, "V"))/D19, 0), IF(((COUNTIF(E19:AI19, "✓") + COUNTIF(E19:AI19, "✔") + COUNTIF(E19:AI19, "v") + COUNTIF(E19:AI19, "V")) + COUNTIF(E19:AI19, "✗") + COUNTIF(E19:AI19, "x") + COUNTIF(E19:AI19, "X"))&gt;0, (COUNTIF(E19:AI19, "✓") + COUNTIF(E19:AI19, "✔") + COUNTIF(E19:AI19, "v") + COUNTIF(E19:AI19, "V"))/((COUNTIF(E19:AI19, "✓") + COUNTIF(E19:AI19, "✔") + COUNTIF(E19:AI19, "v") + COUNTIF(E19:AI19, "V")) + COUNTIF(E19:AI19, "✗") + COUNTIF(E19:AI19, "x") + COUNTIF(E19:AI19, "X")), "")))</f>
        <v/>
      </c>
      <c r="AK19" s="103">
        <f>IF(ISBLANK(B19), "", IF(ISNUMBER(D19), IF(D19&gt;0, (COUNTIF(E19:AI19, "✓") + COUNTIF(E19:AI19, "✔") + COUNTIF(E19:AI19, "v") + COUNTIF(E19:AI19, "V")) &amp; "/" &amp; D19, (COUNTIF(E19:AI19, "✓") + COUNTIF(E19:AI19, "✔") + COUNTIF(E19:AI19, "v") + COUNTIF(E19:AI19, "V")) &amp; "/0"), IF(((COUNTIF(E19:AI19, "✓") + COUNTIF(E19:AI19, "✔") + COUNTIF(E19:AI19, "v") + COUNTIF(E19:AI19, "V")) + COUNTIF(E19:AI19, "✗") + COUNTIF(E19:AI19, "x") + COUNTIF(E19:AI19, "X"))&gt;0, (COUNTIF(E19:AI19, "✓") + COUNTIF(E19:AI19, "✔") + COUNTIF(E19:AI19, "v") + COUNTIF(E19:AI19, "V")) &amp; "/" &amp; ((COUNTIF(E19:AI19, "✓") + COUNTIF(E19:AI19, "✔") + COUNTIF(E19:AI19, "v") + COUNTIF(E19:AI19, "V")) + COUNTIF(E19:AI19, "✗") + COUNTIF(E19:AI19, "x") + COUNTIF(E19:AI19, "X")), "")))</f>
        <v/>
      </c>
      <c r="AL19" s="103">
        <f>IF(ISBLANK(B19), "", IF(AJ19&gt;=0.85, "🔥 Mastered", IF(AJ19&gt;=0.7, "⚡ Consistent", "⚠️ Needs Focus")))</f>
        <v/>
      </c>
      <c r="AM19">
        <f>COUNTIF(E19:AI19, "✓")</f>
        <v/>
      </c>
    </row>
    <row r="20" ht="14.5" customHeight="1">
      <c r="A20" s="97" t="n">
        <v>3</v>
      </c>
      <c r="B20" s="98" t="n"/>
      <c r="C20" s="99" t="n"/>
      <c r="D20" s="99" t="n"/>
      <c r="E20" s="100" t="n"/>
      <c r="F20" s="100" t="n"/>
      <c r="G20" s="100" t="n"/>
      <c r="H20" s="100" t="n"/>
      <c r="I20" s="101" t="n"/>
      <c r="J20" s="100" t="n"/>
      <c r="K20" s="100" t="n"/>
      <c r="L20" s="100" t="n"/>
      <c r="M20" s="100" t="n"/>
      <c r="N20" s="100" t="n"/>
      <c r="O20" s="100" t="n"/>
      <c r="P20" s="101" t="n"/>
      <c r="Q20" s="100" t="n"/>
      <c r="R20" s="100" t="n"/>
      <c r="S20" s="100" t="n"/>
      <c r="T20" s="100" t="n"/>
      <c r="U20" s="100" t="n"/>
      <c r="V20" s="100" t="n"/>
      <c r="W20" s="101" t="n"/>
      <c r="X20" s="100" t="n"/>
      <c r="Y20" s="100" t="n"/>
      <c r="Z20" s="100" t="n"/>
      <c r="AA20" s="100" t="n"/>
      <c r="AB20" s="100" t="n"/>
      <c r="AC20" s="100" t="n"/>
      <c r="AD20" s="101" t="n"/>
      <c r="AE20" s="100" t="n"/>
      <c r="AF20" s="100" t="n"/>
      <c r="AG20" s="100" t="n"/>
      <c r="AH20" s="100" t="n"/>
      <c r="AI20" s="100" t="n"/>
      <c r="AJ20" s="102">
        <f>IF(ISBLANK(B20), "", IF(ISNUMBER(D20), IF(D20&gt;0, (COUNTIF(E20:AI20, "✓") + COUNTIF(E20:AI20, "✔") + COUNTIF(E20:AI20, "v") + COUNTIF(E20:AI20, "V"))/D20, 0), IF(((COUNTIF(E20:AI20, "✓") + COUNTIF(E20:AI20, "✔") + COUNTIF(E20:AI20, "v") + COUNTIF(E20:AI20, "V")) + COUNTIF(E20:AI20, "✗") + COUNTIF(E20:AI20, "x") + COUNTIF(E20:AI20, "X"))&gt;0, (COUNTIF(E20:AI20, "✓") + COUNTIF(E20:AI20, "✔") + COUNTIF(E20:AI20, "v") + COUNTIF(E20:AI20, "V"))/((COUNTIF(E20:AI20, "✓") + COUNTIF(E20:AI20, "✔") + COUNTIF(E20:AI20, "v") + COUNTIF(E20:AI20, "V")) + COUNTIF(E20:AI20, "✗") + COUNTIF(E20:AI20, "x") + COUNTIF(E20:AI20, "X")), "")))</f>
        <v/>
      </c>
      <c r="AK20" s="103">
        <f>IF(ISBLANK(B20), "", IF(ISNUMBER(D20), IF(D20&gt;0, (COUNTIF(E20:AI20, "✓") + COUNTIF(E20:AI20, "✔") + COUNTIF(E20:AI20, "v") + COUNTIF(E20:AI20, "V")) &amp; "/" &amp; D20, (COUNTIF(E20:AI20, "✓") + COUNTIF(E20:AI20, "✔") + COUNTIF(E20:AI20, "v") + COUNTIF(E20:AI20, "V")) &amp; "/0"), IF(((COUNTIF(E20:AI20, "✓") + COUNTIF(E20:AI20, "✔") + COUNTIF(E20:AI20, "v") + COUNTIF(E20:AI20, "V")) + COUNTIF(E20:AI20, "✗") + COUNTIF(E20:AI20, "x") + COUNTIF(E20:AI20, "X"))&gt;0, (COUNTIF(E20:AI20, "✓") + COUNTIF(E20:AI20, "✔") + COUNTIF(E20:AI20, "v") + COUNTIF(E20:AI20, "V")) &amp; "/" &amp; ((COUNTIF(E20:AI20, "✓") + COUNTIF(E20:AI20, "✔") + COUNTIF(E20:AI20, "v") + COUNTIF(E20:AI20, "V")) + COUNTIF(E20:AI20, "✗") + COUNTIF(E20:AI20, "x") + COUNTIF(E20:AI20, "X")), "")))</f>
        <v/>
      </c>
      <c r="AL20" s="103">
        <f>IF(ISBLANK(B20), "", IF(AJ20&gt;=0.85, "🔥 Mastered", IF(AJ20&gt;=0.7, "⚡ Consistent", "⚠️ Needs Focus")))</f>
        <v/>
      </c>
      <c r="AM20">
        <f>COUNTIF(E20:AI20, "✓")</f>
        <v/>
      </c>
    </row>
    <row r="21" ht="14.5" customHeight="1">
      <c r="A21" s="97" t="n">
        <v>4</v>
      </c>
      <c r="B21" s="98" t="n"/>
      <c r="C21" s="99" t="n"/>
      <c r="D21" s="99" t="n"/>
      <c r="E21" s="100" t="n"/>
      <c r="F21" s="100" t="n"/>
      <c r="G21" s="100" t="n"/>
      <c r="H21" s="100" t="n"/>
      <c r="I21" s="101" t="n"/>
      <c r="J21" s="100" t="n"/>
      <c r="K21" s="100" t="n"/>
      <c r="L21" s="100" t="n"/>
      <c r="M21" s="100" t="n"/>
      <c r="N21" s="100" t="n"/>
      <c r="O21" s="100" t="n"/>
      <c r="P21" s="101" t="n"/>
      <c r="Q21" s="100" t="n"/>
      <c r="R21" s="100" t="n"/>
      <c r="S21" s="100" t="n"/>
      <c r="T21" s="100" t="n"/>
      <c r="U21" s="100" t="n"/>
      <c r="V21" s="100" t="n"/>
      <c r="W21" s="101" t="n"/>
      <c r="X21" s="100" t="n"/>
      <c r="Y21" s="100" t="n"/>
      <c r="Z21" s="100" t="n"/>
      <c r="AA21" s="100" t="n"/>
      <c r="AB21" s="100" t="n"/>
      <c r="AC21" s="100" t="n"/>
      <c r="AD21" s="101" t="n"/>
      <c r="AE21" s="100" t="n"/>
      <c r="AF21" s="100" t="n"/>
      <c r="AG21" s="100" t="n"/>
      <c r="AH21" s="100" t="n"/>
      <c r="AI21" s="100" t="n"/>
      <c r="AJ21" s="102">
        <f>IF(ISBLANK(B21), "", IF(ISNUMBER(D21), IF(D21&gt;0, (COUNTIF(E21:AI21, "✓") + COUNTIF(E21:AI21, "✔") + COUNTIF(E21:AI21, "v") + COUNTIF(E21:AI21, "V"))/D21, 0), IF(((COUNTIF(E21:AI21, "✓") + COUNTIF(E21:AI21, "✔") + COUNTIF(E21:AI21, "v") + COUNTIF(E21:AI21, "V")) + COUNTIF(E21:AI21, "✗") + COUNTIF(E21:AI21, "x") + COUNTIF(E21:AI21, "X"))&gt;0, (COUNTIF(E21:AI21, "✓") + COUNTIF(E21:AI21, "✔") + COUNTIF(E21:AI21, "v") + COUNTIF(E21:AI21, "V"))/((COUNTIF(E21:AI21, "✓") + COUNTIF(E21:AI21, "✔") + COUNTIF(E21:AI21, "v") + COUNTIF(E21:AI21, "V")) + COUNTIF(E21:AI21, "✗") + COUNTIF(E21:AI21, "x") + COUNTIF(E21:AI21, "X")), "")))</f>
        <v/>
      </c>
      <c r="AK21" s="103">
        <f>IF(ISBLANK(B21), "", IF(ISNUMBER(D21), IF(D21&gt;0, (COUNTIF(E21:AI21, "✓") + COUNTIF(E21:AI21, "✔") + COUNTIF(E21:AI21, "v") + COUNTIF(E21:AI21, "V")) &amp; "/" &amp; D21, (COUNTIF(E21:AI21, "✓") + COUNTIF(E21:AI21, "✔") + COUNTIF(E21:AI21, "v") + COUNTIF(E21:AI21, "V")) &amp; "/0"), IF(((COUNTIF(E21:AI21, "✓") + COUNTIF(E21:AI21, "✔") + COUNTIF(E21:AI21, "v") + COUNTIF(E21:AI21, "V")) + COUNTIF(E21:AI21, "✗") + COUNTIF(E21:AI21, "x") + COUNTIF(E21:AI21, "X"))&gt;0, (COUNTIF(E21:AI21, "✓") + COUNTIF(E21:AI21, "✔") + COUNTIF(E21:AI21, "v") + COUNTIF(E21:AI21, "V")) &amp; "/" &amp; ((COUNTIF(E21:AI21, "✓") + COUNTIF(E21:AI21, "✔") + COUNTIF(E21:AI21, "v") + COUNTIF(E21:AI21, "V")) + COUNTIF(E21:AI21, "✗") + COUNTIF(E21:AI21, "x") + COUNTIF(E21:AI21, "X")), "")))</f>
        <v/>
      </c>
      <c r="AL21" s="103">
        <f>IF(ISBLANK(B21), "", IF(AJ21&gt;=0.85, "🔥 Mastered", IF(AJ21&gt;=0.7, "⚡ Consistent", "⚠️ Needs Focus")))</f>
        <v/>
      </c>
      <c r="AM21">
        <f>COUNTIF(E21:AI21, "✓")</f>
        <v/>
      </c>
    </row>
    <row r="22" ht="14.5" customHeight="1">
      <c r="A22" s="104" t="n">
        <v>5</v>
      </c>
      <c r="B22" s="105" t="n"/>
      <c r="C22" s="106" t="n"/>
      <c r="D22" s="106" t="n"/>
      <c r="E22" s="107" t="n"/>
      <c r="F22" s="107" t="n"/>
      <c r="G22" s="107" t="n"/>
      <c r="H22" s="107" t="n"/>
      <c r="I22" s="108" t="n"/>
      <c r="J22" s="107" t="n"/>
      <c r="K22" s="107" t="n"/>
      <c r="L22" s="107" t="n"/>
      <c r="M22" s="107" t="n"/>
      <c r="N22" s="107" t="n"/>
      <c r="O22" s="107" t="n"/>
      <c r="P22" s="108" t="n"/>
      <c r="Q22" s="107" t="n"/>
      <c r="R22" s="107" t="n"/>
      <c r="S22" s="107" t="n"/>
      <c r="T22" s="107" t="n"/>
      <c r="U22" s="107" t="n"/>
      <c r="V22" s="107" t="n"/>
      <c r="W22" s="108" t="n"/>
      <c r="X22" s="107" t="n"/>
      <c r="Y22" s="107" t="n"/>
      <c r="Z22" s="107" t="n"/>
      <c r="AA22" s="107" t="n"/>
      <c r="AB22" s="107" t="n"/>
      <c r="AC22" s="107" t="n"/>
      <c r="AD22" s="108" t="n"/>
      <c r="AE22" s="107" t="n"/>
      <c r="AF22" s="107" t="n"/>
      <c r="AG22" s="107" t="n"/>
      <c r="AH22" s="107" t="n"/>
      <c r="AI22" s="107" t="n"/>
      <c r="AJ22" s="109">
        <f>IF(ISBLANK(B22), "", IF(ISNUMBER(D22), IF(D22&gt;0, (COUNTIF(E22:AI22, "✓") + COUNTIF(E22:AI22, "✔") + COUNTIF(E22:AI22, "v") + COUNTIF(E22:AI22, "V"))/D22, 0), IF(((COUNTIF(E22:AI22, "✓") + COUNTIF(E22:AI22, "✔") + COUNTIF(E22:AI22, "v") + COUNTIF(E22:AI22, "V")) + COUNTIF(E22:AI22, "✗") + COUNTIF(E22:AI22, "x") + COUNTIF(E22:AI22, "X"))&gt;0, (COUNTIF(E22:AI22, "✓") + COUNTIF(E22:AI22, "✔") + COUNTIF(E22:AI22, "v") + COUNTIF(E22:AI22, "V"))/((COUNTIF(E22:AI22, "✓") + COUNTIF(E22:AI22, "✔") + COUNTIF(E22:AI22, "v") + COUNTIF(E22:AI22, "V")) + COUNTIF(E22:AI22, "✗") + COUNTIF(E22:AI22, "x") + COUNTIF(E22:AI22, "X")), "")))</f>
        <v/>
      </c>
      <c r="AK22" s="110">
        <f>IF(ISBLANK(B22), "", IF(ISNUMBER(D22), IF(D22&gt;0, (COUNTIF(E22:AI22, "✓") + COUNTIF(E22:AI22, "✔") + COUNTIF(E22:AI22, "v") + COUNTIF(E22:AI22, "V")) &amp; "/" &amp; D22, (COUNTIF(E22:AI22, "✓") + COUNTIF(E22:AI22, "✔") + COUNTIF(E22:AI22, "v") + COUNTIF(E22:AI22, "V")) &amp; "/0"), IF(((COUNTIF(E22:AI22, "✓") + COUNTIF(E22:AI22, "✔") + COUNTIF(E22:AI22, "v") + COUNTIF(E22:AI22, "V")) + COUNTIF(E22:AI22, "✗") + COUNTIF(E22:AI22, "x") + COUNTIF(E22:AI22, "X"))&gt;0, (COUNTIF(E22:AI22, "✓") + COUNTIF(E22:AI22, "✔") + COUNTIF(E22:AI22, "v") + COUNTIF(E22:AI22, "V")) &amp; "/" &amp; ((COUNTIF(E22:AI22, "✓") + COUNTIF(E22:AI22, "✔") + COUNTIF(E22:AI22, "v") + COUNTIF(E22:AI22, "V")) + COUNTIF(E22:AI22, "✗") + COUNTIF(E22:AI22, "x") + COUNTIF(E22:AI22, "X")), "")))</f>
        <v/>
      </c>
      <c r="AL22" s="110">
        <f>IF(ISBLANK(B22), "", IF(AJ22&gt;=0.85, "🔥 Mastered", IF(AJ22&gt;=0.7, "⚡ Consistent", "⚠️ Needs Focus")))</f>
        <v/>
      </c>
      <c r="AM22">
        <f>COUNTIF(E22:AI22, "✓")</f>
        <v/>
      </c>
    </row>
    <row r="23" ht="14.5" customHeight="1">
      <c r="A23" s="104" t="n">
        <v>6</v>
      </c>
      <c r="B23" s="105" t="n"/>
      <c r="C23" s="106" t="n"/>
      <c r="D23" s="106" t="n"/>
      <c r="E23" s="107" t="n"/>
      <c r="F23" s="107" t="n"/>
      <c r="G23" s="107" t="n"/>
      <c r="H23" s="107" t="n"/>
      <c r="I23" s="108" t="n"/>
      <c r="J23" s="107" t="n"/>
      <c r="K23" s="107" t="n"/>
      <c r="L23" s="107" t="n"/>
      <c r="M23" s="107" t="n"/>
      <c r="N23" s="107" t="n"/>
      <c r="O23" s="107" t="n"/>
      <c r="P23" s="108" t="n"/>
      <c r="Q23" s="107" t="n"/>
      <c r="R23" s="107" t="n"/>
      <c r="S23" s="107" t="n"/>
      <c r="T23" s="107" t="n"/>
      <c r="U23" s="107" t="n"/>
      <c r="V23" s="107" t="n"/>
      <c r="W23" s="108" t="n"/>
      <c r="X23" s="107" t="n"/>
      <c r="Y23" s="107" t="n"/>
      <c r="Z23" s="107" t="n"/>
      <c r="AA23" s="107" t="n"/>
      <c r="AB23" s="107" t="n"/>
      <c r="AC23" s="107" t="n"/>
      <c r="AD23" s="108" t="n"/>
      <c r="AE23" s="107" t="n"/>
      <c r="AF23" s="107" t="n"/>
      <c r="AG23" s="107" t="n"/>
      <c r="AH23" s="107" t="n"/>
      <c r="AI23" s="107" t="n"/>
      <c r="AJ23" s="109">
        <f>IF(ISBLANK(B23), "", IF(ISNUMBER(D23), IF(D23&gt;0, (COUNTIF(E23:AI23, "✓") + COUNTIF(E23:AI23, "✔") + COUNTIF(E23:AI23, "v") + COUNTIF(E23:AI23, "V"))/D23, 0), IF(((COUNTIF(E23:AI23, "✓") + COUNTIF(E23:AI23, "✔") + COUNTIF(E23:AI23, "v") + COUNTIF(E23:AI23, "V")) + COUNTIF(E23:AI23, "✗") + COUNTIF(E23:AI23, "x") + COUNTIF(E23:AI23, "X"))&gt;0, (COUNTIF(E23:AI23, "✓") + COUNTIF(E23:AI23, "✔") + COUNTIF(E23:AI23, "v") + COUNTIF(E23:AI23, "V"))/((COUNTIF(E23:AI23, "✓") + COUNTIF(E23:AI23, "✔") + COUNTIF(E23:AI23, "v") + COUNTIF(E23:AI23, "V")) + COUNTIF(E23:AI23, "✗") + COUNTIF(E23:AI23, "x") + COUNTIF(E23:AI23, "X")), "")))</f>
        <v/>
      </c>
      <c r="AK23" s="110">
        <f>IF(ISBLANK(B23), "", IF(ISNUMBER(D23), IF(D23&gt;0, (COUNTIF(E23:AI23, "✓") + COUNTIF(E23:AI23, "✔") + COUNTIF(E23:AI23, "v") + COUNTIF(E23:AI23, "V")) &amp; "/" &amp; D23, (COUNTIF(E23:AI23, "✓") + COUNTIF(E23:AI23, "✔") + COUNTIF(E23:AI23, "v") + COUNTIF(E23:AI23, "V")) &amp; "/0"), IF(((COUNTIF(E23:AI23, "✓") + COUNTIF(E23:AI23, "✔") + COUNTIF(E23:AI23, "v") + COUNTIF(E23:AI23, "V")) + COUNTIF(E23:AI23, "✗") + COUNTIF(E23:AI23, "x") + COUNTIF(E23:AI23, "X"))&gt;0, (COUNTIF(E23:AI23, "✓") + COUNTIF(E23:AI23, "✔") + COUNTIF(E23:AI23, "v") + COUNTIF(E23:AI23, "V")) &amp; "/" &amp; ((COUNTIF(E23:AI23, "✓") + COUNTIF(E23:AI23, "✔") + COUNTIF(E23:AI23, "v") + COUNTIF(E23:AI23, "V")) + COUNTIF(E23:AI23, "✗") + COUNTIF(E23:AI23, "x") + COUNTIF(E23:AI23, "X")), "")))</f>
        <v/>
      </c>
      <c r="AL23" s="110">
        <f>IF(ISBLANK(B23), "", IF(AJ23&gt;=0.85, "🔥 Mastered", IF(AJ23&gt;=0.7, "⚡ Consistent", "⚠️ Needs Focus")))</f>
        <v/>
      </c>
      <c r="AM23">
        <f>COUNTIF(E23:AI23, "✓")</f>
        <v/>
      </c>
    </row>
    <row r="24" ht="14.5" customHeight="1">
      <c r="A24" s="104" t="n">
        <v>7</v>
      </c>
      <c r="B24" s="105" t="n"/>
      <c r="C24" s="106" t="n"/>
      <c r="D24" s="106" t="n"/>
      <c r="E24" s="107" t="n"/>
      <c r="F24" s="107" t="n"/>
      <c r="G24" s="107" t="n"/>
      <c r="H24" s="107" t="n"/>
      <c r="I24" s="108" t="n"/>
      <c r="J24" s="107" t="n"/>
      <c r="K24" s="107" t="n"/>
      <c r="L24" s="107" t="n"/>
      <c r="M24" s="107" t="n"/>
      <c r="N24" s="107" t="n"/>
      <c r="O24" s="107" t="n"/>
      <c r="P24" s="108" t="n"/>
      <c r="Q24" s="107" t="n"/>
      <c r="R24" s="107" t="n"/>
      <c r="S24" s="107" t="n"/>
      <c r="T24" s="107" t="n"/>
      <c r="U24" s="107" t="n"/>
      <c r="V24" s="107" t="n"/>
      <c r="W24" s="108" t="n"/>
      <c r="X24" s="107" t="n"/>
      <c r="Y24" s="107" t="n"/>
      <c r="Z24" s="107" t="n"/>
      <c r="AA24" s="107" t="n"/>
      <c r="AB24" s="107" t="n"/>
      <c r="AC24" s="107" t="n"/>
      <c r="AD24" s="108" t="n"/>
      <c r="AE24" s="107" t="n"/>
      <c r="AF24" s="107" t="n"/>
      <c r="AG24" s="107" t="n"/>
      <c r="AH24" s="107" t="n"/>
      <c r="AI24" s="107" t="n"/>
      <c r="AJ24" s="109">
        <f>IF(ISBLANK(B24), "", IF(ISNUMBER(D24), IF(D24&gt;0, (COUNTIF(E24:AI24, "✓") + COUNTIF(E24:AI24, "✔") + COUNTIF(E24:AI24, "v") + COUNTIF(E24:AI24, "V"))/D24, 0), IF(((COUNTIF(E24:AI24, "✓") + COUNTIF(E24:AI24, "✔") + COUNTIF(E24:AI24, "v") + COUNTIF(E24:AI24, "V")) + COUNTIF(E24:AI24, "✗") + COUNTIF(E24:AI24, "x") + COUNTIF(E24:AI24, "X"))&gt;0, (COUNTIF(E24:AI24, "✓") + COUNTIF(E24:AI24, "✔") + COUNTIF(E24:AI24, "v") + COUNTIF(E24:AI24, "V"))/((COUNTIF(E24:AI24, "✓") + COUNTIF(E24:AI24, "✔") + COUNTIF(E24:AI24, "v") + COUNTIF(E24:AI24, "V")) + COUNTIF(E24:AI24, "✗") + COUNTIF(E24:AI24, "x") + COUNTIF(E24:AI24, "X")), "")))</f>
        <v/>
      </c>
      <c r="AK24" s="110">
        <f>IF(ISBLANK(B24), "", IF(ISNUMBER(D24), IF(D24&gt;0, (COUNTIF(E24:AI24, "✓") + COUNTIF(E24:AI24, "✔") + COUNTIF(E24:AI24, "v") + COUNTIF(E24:AI24, "V")) &amp; "/" &amp; D24, (COUNTIF(E24:AI24, "✓") + COUNTIF(E24:AI24, "✔") + COUNTIF(E24:AI24, "v") + COUNTIF(E24:AI24, "V")) &amp; "/0"), IF(((COUNTIF(E24:AI24, "✓") + COUNTIF(E24:AI24, "✔") + COUNTIF(E24:AI24, "v") + COUNTIF(E24:AI24, "V")) + COUNTIF(E24:AI24, "✗") + COUNTIF(E24:AI24, "x") + COUNTIF(E24:AI24, "X"))&gt;0, (COUNTIF(E24:AI24, "✓") + COUNTIF(E24:AI24, "✔") + COUNTIF(E24:AI24, "v") + COUNTIF(E24:AI24, "V")) &amp; "/" &amp; ((COUNTIF(E24:AI24, "✓") + COUNTIF(E24:AI24, "✔") + COUNTIF(E24:AI24, "v") + COUNTIF(E24:AI24, "V")) + COUNTIF(E24:AI24, "✗") + COUNTIF(E24:AI24, "x") + COUNTIF(E24:AI24, "X")), "")))</f>
        <v/>
      </c>
      <c r="AL24" s="110">
        <f>IF(ISBLANK(B24), "", IF(AJ24&gt;=0.85, "🔥 Mastered", IF(AJ24&gt;=0.7, "⚡ Consistent", "⚠️ Needs Focus")))</f>
        <v/>
      </c>
      <c r="AM24">
        <f>COUNTIF(E24:AI24, "✓")</f>
        <v/>
      </c>
    </row>
    <row r="25" ht="14.5" customHeight="1">
      <c r="A25" s="104" t="n">
        <v>8</v>
      </c>
      <c r="B25" s="105" t="n"/>
      <c r="C25" s="106" t="n"/>
      <c r="D25" s="106" t="n"/>
      <c r="E25" s="107" t="n"/>
      <c r="F25" s="107" t="n"/>
      <c r="G25" s="107" t="n"/>
      <c r="H25" s="107" t="n"/>
      <c r="I25" s="108" t="n"/>
      <c r="J25" s="107" t="n"/>
      <c r="K25" s="107" t="n"/>
      <c r="L25" s="107" t="n"/>
      <c r="M25" s="107" t="n"/>
      <c r="N25" s="107" t="n"/>
      <c r="O25" s="107" t="n"/>
      <c r="P25" s="108" t="n"/>
      <c r="Q25" s="107" t="n"/>
      <c r="R25" s="107" t="n"/>
      <c r="S25" s="107" t="n"/>
      <c r="T25" s="107" t="n"/>
      <c r="U25" s="107" t="n"/>
      <c r="V25" s="107" t="n"/>
      <c r="W25" s="108" t="n"/>
      <c r="X25" s="107" t="n"/>
      <c r="Y25" s="107" t="n"/>
      <c r="Z25" s="107" t="n"/>
      <c r="AA25" s="107" t="n"/>
      <c r="AB25" s="107" t="n"/>
      <c r="AC25" s="107" t="n"/>
      <c r="AD25" s="108" t="n"/>
      <c r="AE25" s="107" t="n"/>
      <c r="AF25" s="107" t="n"/>
      <c r="AG25" s="107" t="n"/>
      <c r="AH25" s="107" t="n"/>
      <c r="AI25" s="107" t="n"/>
      <c r="AJ25" s="109">
        <f>IF(ISBLANK(B25), "", IF(ISNUMBER(D25), IF(D25&gt;0, (COUNTIF(E25:AI25, "✓") + COUNTIF(E25:AI25, "✔") + COUNTIF(E25:AI25, "v") + COUNTIF(E25:AI25, "V"))/D25, 0), IF(((COUNTIF(E25:AI25, "✓") + COUNTIF(E25:AI25, "✔") + COUNTIF(E25:AI25, "v") + COUNTIF(E25:AI25, "V")) + COUNTIF(E25:AI25, "✗") + COUNTIF(E25:AI25, "x") + COUNTIF(E25:AI25, "X"))&gt;0, (COUNTIF(E25:AI25, "✓") + COUNTIF(E25:AI25, "✔") + COUNTIF(E25:AI25, "v") + COUNTIF(E25:AI25, "V"))/((COUNTIF(E25:AI25, "✓") + COUNTIF(E25:AI25, "✔") + COUNTIF(E25:AI25, "v") + COUNTIF(E25:AI25, "V")) + COUNTIF(E25:AI25, "✗") + COUNTIF(E25:AI25, "x") + COUNTIF(E25:AI25, "X")), "")))</f>
        <v/>
      </c>
      <c r="AK25" s="110">
        <f>IF(ISBLANK(B25), "", IF(ISNUMBER(D25), IF(D25&gt;0, (COUNTIF(E25:AI25, "✓") + COUNTIF(E25:AI25, "✔") + COUNTIF(E25:AI25, "v") + COUNTIF(E25:AI25, "V")) &amp; "/" &amp; D25, (COUNTIF(E25:AI25, "✓") + COUNTIF(E25:AI25, "✔") + COUNTIF(E25:AI25, "v") + COUNTIF(E25:AI25, "V")) &amp; "/0"), IF(((COUNTIF(E25:AI25, "✓") + COUNTIF(E25:AI25, "✔") + COUNTIF(E25:AI25, "v") + COUNTIF(E25:AI25, "V")) + COUNTIF(E25:AI25, "✗") + COUNTIF(E25:AI25, "x") + COUNTIF(E25:AI25, "X"))&gt;0, (COUNTIF(E25:AI25, "✓") + COUNTIF(E25:AI25, "✔") + COUNTIF(E25:AI25, "v") + COUNTIF(E25:AI25, "V")) &amp; "/" &amp; ((COUNTIF(E25:AI25, "✓") + COUNTIF(E25:AI25, "✔") + COUNTIF(E25:AI25, "v") + COUNTIF(E25:AI25, "V")) + COUNTIF(E25:AI25, "✗") + COUNTIF(E25:AI25, "x") + COUNTIF(E25:AI25, "X")), "")))</f>
        <v/>
      </c>
      <c r="AL25" s="110">
        <f>IF(ISBLANK(B25), "", IF(AJ25&gt;=0.85, "🔥 Mastered", IF(AJ25&gt;=0.7, "⚡ Consistent", "⚠️ Needs Focus")))</f>
        <v/>
      </c>
      <c r="AM25">
        <f>COUNTIF(E25:AI25, "✓")</f>
        <v/>
      </c>
    </row>
    <row r="26" ht="14.5" customHeight="1">
      <c r="A26" s="111" t="n">
        <v>9</v>
      </c>
      <c r="B26" s="112" t="n"/>
      <c r="C26" s="113" t="n"/>
      <c r="D26" s="113" t="n"/>
      <c r="E26" s="114" t="n"/>
      <c r="F26" s="114" t="n"/>
      <c r="G26" s="114" t="n"/>
      <c r="H26" s="114" t="n"/>
      <c r="I26" s="115" t="n"/>
      <c r="J26" s="114" t="n"/>
      <c r="K26" s="114" t="n"/>
      <c r="L26" s="114" t="n"/>
      <c r="M26" s="114" t="n"/>
      <c r="N26" s="114" t="n"/>
      <c r="O26" s="114" t="n"/>
      <c r="P26" s="115" t="n"/>
      <c r="Q26" s="114" t="n"/>
      <c r="R26" s="114" t="n"/>
      <c r="S26" s="114" t="n"/>
      <c r="T26" s="114" t="n"/>
      <c r="U26" s="114" t="n"/>
      <c r="V26" s="114" t="n"/>
      <c r="W26" s="115" t="n"/>
      <c r="X26" s="114" t="n"/>
      <c r="Y26" s="114" t="n"/>
      <c r="Z26" s="114" t="n"/>
      <c r="AA26" s="114" t="n"/>
      <c r="AB26" s="114" t="n"/>
      <c r="AC26" s="114" t="n"/>
      <c r="AD26" s="115" t="n"/>
      <c r="AE26" s="114" t="n"/>
      <c r="AF26" s="114" t="n"/>
      <c r="AG26" s="114" t="n"/>
      <c r="AH26" s="114" t="n"/>
      <c r="AI26" s="114" t="n"/>
      <c r="AJ26" s="116">
        <f>IF(ISBLANK(B26), "", IF(ISNUMBER(D26), IF(D26&gt;0, (COUNTIF(E26:AI26, "✓") + COUNTIF(E26:AI26, "✔") + COUNTIF(E26:AI26, "v") + COUNTIF(E26:AI26, "V"))/D26, 0), IF(((COUNTIF(E26:AI26, "✓") + COUNTIF(E26:AI26, "✔") + COUNTIF(E26:AI26, "v") + COUNTIF(E26:AI26, "V")) + COUNTIF(E26:AI26, "✗") + COUNTIF(E26:AI26, "x") + COUNTIF(E26:AI26, "X"))&gt;0, (COUNTIF(E26:AI26, "✓") + COUNTIF(E26:AI26, "✔") + COUNTIF(E26:AI26, "v") + COUNTIF(E26:AI26, "V"))/((COUNTIF(E26:AI26, "✓") + COUNTIF(E26:AI26, "✔") + COUNTIF(E26:AI26, "v") + COUNTIF(E26:AI26, "V")) + COUNTIF(E26:AI26, "✗") + COUNTIF(E26:AI26, "x") + COUNTIF(E26:AI26, "X")), "")))</f>
        <v/>
      </c>
      <c r="AK26" s="117">
        <f>IF(ISBLANK(B26), "", IF(ISNUMBER(D26), IF(D26&gt;0, (COUNTIF(E26:AI26, "✓") + COUNTIF(E26:AI26, "✔") + COUNTIF(E26:AI26, "v") + COUNTIF(E26:AI26, "V")) &amp; "/" &amp; D26, (COUNTIF(E26:AI26, "✓") + COUNTIF(E26:AI26, "✔") + COUNTIF(E26:AI26, "v") + COUNTIF(E26:AI26, "V")) &amp; "/0"), IF(((COUNTIF(E26:AI26, "✓") + COUNTIF(E26:AI26, "✔") + COUNTIF(E26:AI26, "v") + COUNTIF(E26:AI26, "V")) + COUNTIF(E26:AI26, "✗") + COUNTIF(E26:AI26, "x") + COUNTIF(E26:AI26, "X"))&gt;0, (COUNTIF(E26:AI26, "✓") + COUNTIF(E26:AI26, "✔") + COUNTIF(E26:AI26, "v") + COUNTIF(E26:AI26, "V")) &amp; "/" &amp; ((COUNTIF(E26:AI26, "✓") + COUNTIF(E26:AI26, "✔") + COUNTIF(E26:AI26, "v") + COUNTIF(E26:AI26, "V")) + COUNTIF(E26:AI26, "✗") + COUNTIF(E26:AI26, "x") + COUNTIF(E26:AI26, "X")), "")))</f>
        <v/>
      </c>
      <c r="AL26" s="117">
        <f>IF(ISBLANK(B26), "", IF(AJ26&gt;=0.85, "🔥 Mastered", IF(AJ26&gt;=0.7, "⚡ Consistent", "⚠️ Needs Focus")))</f>
        <v/>
      </c>
      <c r="AM26">
        <f>COUNTIF(E26:AI26, "✓")</f>
        <v/>
      </c>
    </row>
    <row r="27" ht="14.5" customHeight="1">
      <c r="A27" s="111" t="n">
        <v>10</v>
      </c>
      <c r="B27" s="112" t="n"/>
      <c r="C27" s="113" t="n"/>
      <c r="D27" s="113" t="n"/>
      <c r="E27" s="114" t="n"/>
      <c r="F27" s="114" t="n"/>
      <c r="G27" s="114" t="n"/>
      <c r="H27" s="114" t="n"/>
      <c r="I27" s="115" t="n"/>
      <c r="J27" s="114" t="n"/>
      <c r="K27" s="114" t="n"/>
      <c r="L27" s="114" t="n"/>
      <c r="M27" s="114" t="n"/>
      <c r="N27" s="114" t="n"/>
      <c r="O27" s="114" t="n"/>
      <c r="P27" s="115" t="n"/>
      <c r="Q27" s="114" t="n"/>
      <c r="R27" s="114" t="n"/>
      <c r="S27" s="114" t="n"/>
      <c r="T27" s="114" t="n"/>
      <c r="U27" s="114" t="n"/>
      <c r="V27" s="114" t="n"/>
      <c r="W27" s="115" t="n"/>
      <c r="X27" s="114" t="n"/>
      <c r="Y27" s="114" t="n"/>
      <c r="Z27" s="114" t="n"/>
      <c r="AA27" s="114" t="n"/>
      <c r="AB27" s="114" t="n"/>
      <c r="AC27" s="114" t="n"/>
      <c r="AD27" s="115" t="n"/>
      <c r="AE27" s="114" t="n"/>
      <c r="AF27" s="114" t="n"/>
      <c r="AG27" s="114" t="n"/>
      <c r="AH27" s="114" t="n"/>
      <c r="AI27" s="114" t="n"/>
      <c r="AJ27" s="116">
        <f>IF(ISBLANK(B27), "", IF(ISNUMBER(D27), IF(D27&gt;0, (COUNTIF(E27:AI27, "✓") + COUNTIF(E27:AI27, "✔") + COUNTIF(E27:AI27, "v") + COUNTIF(E27:AI27, "V"))/D27, 0), IF(((COUNTIF(E27:AI27, "✓") + COUNTIF(E27:AI27, "✔") + COUNTIF(E27:AI27, "v") + COUNTIF(E27:AI27, "V")) + COUNTIF(E27:AI27, "✗") + COUNTIF(E27:AI27, "x") + COUNTIF(E27:AI27, "X"))&gt;0, (COUNTIF(E27:AI27, "✓") + COUNTIF(E27:AI27, "✔") + COUNTIF(E27:AI27, "v") + COUNTIF(E27:AI27, "V"))/((COUNTIF(E27:AI27, "✓") + COUNTIF(E27:AI27, "✔") + COUNTIF(E27:AI27, "v") + COUNTIF(E27:AI27, "V")) + COUNTIF(E27:AI27, "✗") + COUNTIF(E27:AI27, "x") + COUNTIF(E27:AI27, "X")), "")))</f>
        <v/>
      </c>
      <c r="AK27" s="117">
        <f>IF(ISBLANK(B27), "", IF(ISNUMBER(D27), IF(D27&gt;0, (COUNTIF(E27:AI27, "✓") + COUNTIF(E27:AI27, "✔") + COUNTIF(E27:AI27, "v") + COUNTIF(E27:AI27, "V")) &amp; "/" &amp; D27, (COUNTIF(E27:AI27, "✓") + COUNTIF(E27:AI27, "✔") + COUNTIF(E27:AI27, "v") + COUNTIF(E27:AI27, "V")) &amp; "/0"), IF(((COUNTIF(E27:AI27, "✓") + COUNTIF(E27:AI27, "✔") + COUNTIF(E27:AI27, "v") + COUNTIF(E27:AI27, "V")) + COUNTIF(E27:AI27, "✗") + COUNTIF(E27:AI27, "x") + COUNTIF(E27:AI27, "X"))&gt;0, (COUNTIF(E27:AI27, "✓") + COUNTIF(E27:AI27, "✔") + COUNTIF(E27:AI27, "v") + COUNTIF(E27:AI27, "V")) &amp; "/" &amp; ((COUNTIF(E27:AI27, "✓") + COUNTIF(E27:AI27, "✔") + COUNTIF(E27:AI27, "v") + COUNTIF(E27:AI27, "V")) + COUNTIF(E27:AI27, "✗") + COUNTIF(E27:AI27, "x") + COUNTIF(E27:AI27, "X")), "")))</f>
        <v/>
      </c>
      <c r="AL27" s="117">
        <f>IF(ISBLANK(B27), "", IF(AJ27&gt;=0.85, "🔥 Mastered", IF(AJ27&gt;=0.7, "⚡ Consistent", "⚠️ Needs Focus")))</f>
        <v/>
      </c>
      <c r="AM27">
        <f>COUNTIF(E27:AI27, "✓")</f>
        <v/>
      </c>
    </row>
    <row r="28" ht="14.5" customHeight="1">
      <c r="A28" s="111" t="n">
        <v>11</v>
      </c>
      <c r="B28" s="112" t="n"/>
      <c r="C28" s="113" t="n"/>
      <c r="D28" s="113" t="n"/>
      <c r="E28" s="114" t="n"/>
      <c r="F28" s="114" t="n"/>
      <c r="G28" s="114" t="n"/>
      <c r="H28" s="114" t="n"/>
      <c r="I28" s="115" t="n"/>
      <c r="J28" s="114" t="n"/>
      <c r="K28" s="114" t="n"/>
      <c r="L28" s="114" t="n"/>
      <c r="M28" s="114" t="n"/>
      <c r="N28" s="114" t="n"/>
      <c r="O28" s="114" t="n"/>
      <c r="P28" s="115" t="n"/>
      <c r="Q28" s="114" t="n"/>
      <c r="R28" s="114" t="n"/>
      <c r="S28" s="114" t="n"/>
      <c r="T28" s="114" t="n"/>
      <c r="U28" s="114" t="n"/>
      <c r="V28" s="114" t="n"/>
      <c r="W28" s="115" t="n"/>
      <c r="X28" s="114" t="n"/>
      <c r="Y28" s="114" t="n"/>
      <c r="Z28" s="114" t="n"/>
      <c r="AA28" s="114" t="n"/>
      <c r="AB28" s="114" t="n"/>
      <c r="AC28" s="114" t="n"/>
      <c r="AD28" s="115" t="n"/>
      <c r="AE28" s="114" t="n"/>
      <c r="AF28" s="114" t="n"/>
      <c r="AG28" s="114" t="n"/>
      <c r="AH28" s="114" t="n"/>
      <c r="AI28" s="114" t="n"/>
      <c r="AJ28" s="116">
        <f>IF(ISBLANK(B28), "", IF(ISNUMBER(D28), IF(D28&gt;0, (COUNTIF(E28:AI28, "✓") + COUNTIF(E28:AI28, "✔") + COUNTIF(E28:AI28, "v") + COUNTIF(E28:AI28, "V"))/D28, 0), IF(((COUNTIF(E28:AI28, "✓") + COUNTIF(E28:AI28, "✔") + COUNTIF(E28:AI28, "v") + COUNTIF(E28:AI28, "V")) + COUNTIF(E28:AI28, "✗") + COUNTIF(E28:AI28, "x") + COUNTIF(E28:AI28, "X"))&gt;0, (COUNTIF(E28:AI28, "✓") + COUNTIF(E28:AI28, "✔") + COUNTIF(E28:AI28, "v") + COUNTIF(E28:AI28, "V"))/((COUNTIF(E28:AI28, "✓") + COUNTIF(E28:AI28, "✔") + COUNTIF(E28:AI28, "v") + COUNTIF(E28:AI28, "V")) + COUNTIF(E28:AI28, "✗") + COUNTIF(E28:AI28, "x") + COUNTIF(E28:AI28, "X")), "")))</f>
        <v/>
      </c>
      <c r="AK28" s="117">
        <f>IF(ISBLANK(B28), "", IF(ISNUMBER(D28), IF(D28&gt;0, (COUNTIF(E28:AI28, "✓") + COUNTIF(E28:AI28, "✔") + COUNTIF(E28:AI28, "v") + COUNTIF(E28:AI28, "V")) &amp; "/" &amp; D28, (COUNTIF(E28:AI28, "✓") + COUNTIF(E28:AI28, "✔") + COUNTIF(E28:AI28, "v") + COUNTIF(E28:AI28, "V")) &amp; "/0"), IF(((COUNTIF(E28:AI28, "✓") + COUNTIF(E28:AI28, "✔") + COUNTIF(E28:AI28, "v") + COUNTIF(E28:AI28, "V")) + COUNTIF(E28:AI28, "✗") + COUNTIF(E28:AI28, "x") + COUNTIF(E28:AI28, "X"))&gt;0, (COUNTIF(E28:AI28, "✓") + COUNTIF(E28:AI28, "✔") + COUNTIF(E28:AI28, "v") + COUNTIF(E28:AI28, "V")) &amp; "/" &amp; ((COUNTIF(E28:AI28, "✓") + COUNTIF(E28:AI28, "✔") + COUNTIF(E28:AI28, "v") + COUNTIF(E28:AI28, "V")) + COUNTIF(E28:AI28, "✗") + COUNTIF(E28:AI28, "x") + COUNTIF(E28:AI28, "X")), "")))</f>
        <v/>
      </c>
      <c r="AL28" s="117">
        <f>IF(ISBLANK(B28), "", IF(AJ28&gt;=0.85, "🔥 Mastered", IF(AJ28&gt;=0.7, "⚡ Consistent", "⚠️ Needs Focus")))</f>
        <v/>
      </c>
      <c r="AM28">
        <f>COUNTIF(E28:AI28, "✓")</f>
        <v/>
      </c>
    </row>
    <row r="29" ht="14.5" customHeight="1">
      <c r="A29" s="111" t="n">
        <v>12</v>
      </c>
      <c r="B29" s="112" t="n"/>
      <c r="C29" s="113" t="n"/>
      <c r="D29" s="113" t="n"/>
      <c r="E29" s="114" t="n"/>
      <c r="F29" s="114" t="n"/>
      <c r="G29" s="114" t="n"/>
      <c r="H29" s="114" t="n"/>
      <c r="I29" s="115" t="n"/>
      <c r="J29" s="114" t="n"/>
      <c r="K29" s="114" t="n"/>
      <c r="L29" s="114" t="n"/>
      <c r="M29" s="114" t="n"/>
      <c r="N29" s="114" t="n"/>
      <c r="O29" s="114" t="n"/>
      <c r="P29" s="115" t="n"/>
      <c r="Q29" s="114" t="n"/>
      <c r="R29" s="114" t="n"/>
      <c r="S29" s="114" t="n"/>
      <c r="T29" s="114" t="n"/>
      <c r="U29" s="114" t="n"/>
      <c r="V29" s="114" t="n"/>
      <c r="W29" s="115" t="n"/>
      <c r="X29" s="114" t="n"/>
      <c r="Y29" s="114" t="n"/>
      <c r="Z29" s="114" t="n"/>
      <c r="AA29" s="114" t="n"/>
      <c r="AB29" s="114" t="n"/>
      <c r="AC29" s="114" t="n"/>
      <c r="AD29" s="115" t="n"/>
      <c r="AE29" s="114" t="n"/>
      <c r="AF29" s="114" t="n"/>
      <c r="AG29" s="114" t="n"/>
      <c r="AH29" s="114" t="n"/>
      <c r="AI29" s="114" t="n"/>
      <c r="AJ29" s="116">
        <f>IF(ISBLANK(B29), "", IF(ISNUMBER(D29), IF(D29&gt;0, (COUNTIF(E29:AI29, "✓") + COUNTIF(E29:AI29, "✔") + COUNTIF(E29:AI29, "v") + COUNTIF(E29:AI29, "V"))/D29, 0), IF(((COUNTIF(E29:AI29, "✓") + COUNTIF(E29:AI29, "✔") + COUNTIF(E29:AI29, "v") + COUNTIF(E29:AI29, "V")) + COUNTIF(E29:AI29, "✗") + COUNTIF(E29:AI29, "x") + COUNTIF(E29:AI29, "X"))&gt;0, (COUNTIF(E29:AI29, "✓") + COUNTIF(E29:AI29, "✔") + COUNTIF(E29:AI29, "v") + COUNTIF(E29:AI29, "V"))/((COUNTIF(E29:AI29, "✓") + COUNTIF(E29:AI29, "✔") + COUNTIF(E29:AI29, "v") + COUNTIF(E29:AI29, "V")) + COUNTIF(E29:AI29, "✗") + COUNTIF(E29:AI29, "x") + COUNTIF(E29:AI29, "X")), "")))</f>
        <v/>
      </c>
      <c r="AK29" s="117">
        <f>IF(ISBLANK(B29), "", IF(ISNUMBER(D29), IF(D29&gt;0, (COUNTIF(E29:AI29, "✓") + COUNTIF(E29:AI29, "✔") + COUNTIF(E29:AI29, "v") + COUNTIF(E29:AI29, "V")) &amp; "/" &amp; D29, (COUNTIF(E29:AI29, "✓") + COUNTIF(E29:AI29, "✔") + COUNTIF(E29:AI29, "v") + COUNTIF(E29:AI29, "V")) &amp; "/0"), IF(((COUNTIF(E29:AI29, "✓") + COUNTIF(E29:AI29, "✔") + COUNTIF(E29:AI29, "v") + COUNTIF(E29:AI29, "V")) + COUNTIF(E29:AI29, "✗") + COUNTIF(E29:AI29, "x") + COUNTIF(E29:AI29, "X"))&gt;0, (COUNTIF(E29:AI29, "✓") + COUNTIF(E29:AI29, "✔") + COUNTIF(E29:AI29, "v") + COUNTIF(E29:AI29, "V")) &amp; "/" &amp; ((COUNTIF(E29:AI29, "✓") + COUNTIF(E29:AI29, "✔") + COUNTIF(E29:AI29, "v") + COUNTIF(E29:AI29, "V")) + COUNTIF(E29:AI29, "✗") + COUNTIF(E29:AI29, "x") + COUNTIF(E29:AI29, "X")), "")))</f>
        <v/>
      </c>
      <c r="AL29" s="117">
        <f>IF(ISBLANK(B29), "", IF(AJ29&gt;=0.85, "🔥 Mastered", IF(AJ29&gt;=0.7, "⚡ Consistent", "⚠️ Needs Focus")))</f>
        <v/>
      </c>
      <c r="AM29">
        <f>COUNTIF(E29:AI29, "✓")</f>
        <v/>
      </c>
    </row>
    <row r="30" ht="14.5" customHeight="1">
      <c r="A30" s="118" t="n">
        <v>13</v>
      </c>
      <c r="B30" s="119" t="n"/>
      <c r="C30" s="120" t="n"/>
      <c r="D30" s="120" t="n"/>
      <c r="E30" s="121" t="n"/>
      <c r="F30" s="121" t="n"/>
      <c r="G30" s="121" t="n"/>
      <c r="H30" s="121" t="n"/>
      <c r="I30" s="122" t="n"/>
      <c r="J30" s="121" t="n"/>
      <c r="K30" s="121" t="n"/>
      <c r="L30" s="121" t="n"/>
      <c r="M30" s="121" t="n"/>
      <c r="N30" s="121" t="n"/>
      <c r="O30" s="121" t="n"/>
      <c r="P30" s="122" t="n"/>
      <c r="Q30" s="121" t="n"/>
      <c r="R30" s="121" t="n"/>
      <c r="S30" s="121" t="n"/>
      <c r="T30" s="121" t="n"/>
      <c r="U30" s="121" t="n"/>
      <c r="V30" s="121" t="n"/>
      <c r="W30" s="122" t="n"/>
      <c r="X30" s="121" t="n"/>
      <c r="Y30" s="121" t="n"/>
      <c r="Z30" s="121" t="n"/>
      <c r="AA30" s="121" t="n"/>
      <c r="AB30" s="121" t="n"/>
      <c r="AC30" s="121" t="n"/>
      <c r="AD30" s="122" t="n"/>
      <c r="AE30" s="121" t="n"/>
      <c r="AF30" s="121" t="n"/>
      <c r="AG30" s="121" t="n"/>
      <c r="AH30" s="121" t="n"/>
      <c r="AI30" s="121" t="n"/>
      <c r="AJ30" s="123">
        <f>IF(ISBLANK(B30), "", IF(ISNUMBER(D30), IF(D30&gt;0, (COUNTIF(E30:AI30, "✓") + COUNTIF(E30:AI30, "✔") + COUNTIF(E30:AI30, "v") + COUNTIF(E30:AI30, "V"))/D30, 0), IF(((COUNTIF(E30:AI30, "✓") + COUNTIF(E30:AI30, "✔") + COUNTIF(E30:AI30, "v") + COUNTIF(E30:AI30, "V")) + COUNTIF(E30:AI30, "✗") + COUNTIF(E30:AI30, "x") + COUNTIF(E30:AI30, "X"))&gt;0, (COUNTIF(E30:AI30, "✓") + COUNTIF(E30:AI30, "✔") + COUNTIF(E30:AI30, "v") + COUNTIF(E30:AI30, "V"))/((COUNTIF(E30:AI30, "✓") + COUNTIF(E30:AI30, "✔") + COUNTIF(E30:AI30, "v") + COUNTIF(E30:AI30, "V")) + COUNTIF(E30:AI30, "✗") + COUNTIF(E30:AI30, "x") + COUNTIF(E30:AI30, "X")), "")))</f>
        <v/>
      </c>
      <c r="AK30" s="124">
        <f>IF(ISBLANK(B30), "", IF(ISNUMBER(D30), IF(D30&gt;0, (COUNTIF(E30:AI30, "✓") + COUNTIF(E30:AI30, "✔") + COUNTIF(E30:AI30, "v") + COUNTIF(E30:AI30, "V")) &amp; "/" &amp; D30, (COUNTIF(E30:AI30, "✓") + COUNTIF(E30:AI30, "✔") + COUNTIF(E30:AI30, "v") + COUNTIF(E30:AI30, "V")) &amp; "/0"), IF(((COUNTIF(E30:AI30, "✓") + COUNTIF(E30:AI30, "✔") + COUNTIF(E30:AI30, "v") + COUNTIF(E30:AI30, "V")) + COUNTIF(E30:AI30, "✗") + COUNTIF(E30:AI30, "x") + COUNTIF(E30:AI30, "X"))&gt;0, (COUNTIF(E30:AI30, "✓") + COUNTIF(E30:AI30, "✔") + COUNTIF(E30:AI30, "v") + COUNTIF(E30:AI30, "V")) &amp; "/" &amp; ((COUNTIF(E30:AI30, "✓") + COUNTIF(E30:AI30, "✔") + COUNTIF(E30:AI30, "v") + COUNTIF(E30:AI30, "V")) + COUNTIF(E30:AI30, "✗") + COUNTIF(E30:AI30, "x") + COUNTIF(E30:AI30, "X")), "")))</f>
        <v/>
      </c>
      <c r="AL30" s="124">
        <f>IF(ISBLANK(B30), "", IF(AJ30&gt;=0.85, "🔥 Mastered", IF(AJ30&gt;=0.7, "⚡ Consistent", "⚠️ Needs Focus")))</f>
        <v/>
      </c>
      <c r="AM30">
        <f>COUNTIF(E30:AI30, "✓")</f>
        <v/>
      </c>
    </row>
    <row r="31" ht="14.5" customHeight="1">
      <c r="A31" s="118" t="n">
        <v>14</v>
      </c>
      <c r="B31" s="119" t="n"/>
      <c r="C31" s="120" t="n"/>
      <c r="D31" s="120" t="n"/>
      <c r="E31" s="121" t="n"/>
      <c r="F31" s="121" t="n"/>
      <c r="G31" s="121" t="n"/>
      <c r="H31" s="121" t="n"/>
      <c r="I31" s="122" t="n"/>
      <c r="J31" s="121" t="n"/>
      <c r="K31" s="121" t="n"/>
      <c r="L31" s="121" t="n"/>
      <c r="M31" s="121" t="n"/>
      <c r="N31" s="121" t="n"/>
      <c r="O31" s="121" t="n"/>
      <c r="P31" s="122" t="n"/>
      <c r="Q31" s="121" t="n"/>
      <c r="R31" s="121" t="n"/>
      <c r="S31" s="121" t="n"/>
      <c r="T31" s="121" t="n"/>
      <c r="U31" s="121" t="n"/>
      <c r="V31" s="121" t="n"/>
      <c r="W31" s="122" t="n"/>
      <c r="X31" s="121" t="n"/>
      <c r="Y31" s="121" t="n"/>
      <c r="Z31" s="121" t="n"/>
      <c r="AA31" s="121" t="n"/>
      <c r="AB31" s="121" t="n"/>
      <c r="AC31" s="121" t="n"/>
      <c r="AD31" s="122" t="n"/>
      <c r="AE31" s="121" t="n"/>
      <c r="AF31" s="121" t="n"/>
      <c r="AG31" s="121" t="n"/>
      <c r="AH31" s="121" t="n"/>
      <c r="AI31" s="121" t="n"/>
      <c r="AJ31" s="123">
        <f>IF(ISBLANK(B31), "", IF(ISNUMBER(D31), IF(D31&gt;0, (COUNTIF(E31:AI31, "✓") + COUNTIF(E31:AI31, "✔") + COUNTIF(E31:AI31, "v") + COUNTIF(E31:AI31, "V"))/D31, 0), IF(((COUNTIF(E31:AI31, "✓") + COUNTIF(E31:AI31, "✔") + COUNTIF(E31:AI31, "v") + COUNTIF(E31:AI31, "V")) + COUNTIF(E31:AI31, "✗") + COUNTIF(E31:AI31, "x") + COUNTIF(E31:AI31, "X"))&gt;0, (COUNTIF(E31:AI31, "✓") + COUNTIF(E31:AI31, "✔") + COUNTIF(E31:AI31, "v") + COUNTIF(E31:AI31, "V"))/((COUNTIF(E31:AI31, "✓") + COUNTIF(E31:AI31, "✔") + COUNTIF(E31:AI31, "v") + COUNTIF(E31:AI31, "V")) + COUNTIF(E31:AI31, "✗") + COUNTIF(E31:AI31, "x") + COUNTIF(E31:AI31, "X")), "")))</f>
        <v/>
      </c>
      <c r="AK31" s="124">
        <f>IF(ISBLANK(B31), "", IF(ISNUMBER(D31), IF(D31&gt;0, (COUNTIF(E31:AI31, "✓") + COUNTIF(E31:AI31, "✔") + COUNTIF(E31:AI31, "v") + COUNTIF(E31:AI31, "V")) &amp; "/" &amp; D31, (COUNTIF(E31:AI31, "✓") + COUNTIF(E31:AI31, "✔") + COUNTIF(E31:AI31, "v") + COUNTIF(E31:AI31, "V")) &amp; "/0"), IF(((COUNTIF(E31:AI31, "✓") + COUNTIF(E31:AI31, "✔") + COUNTIF(E31:AI31, "v") + COUNTIF(E31:AI31, "V")) + COUNTIF(E31:AI31, "✗") + COUNTIF(E31:AI31, "x") + COUNTIF(E31:AI31, "X"))&gt;0, (COUNTIF(E31:AI31, "✓") + COUNTIF(E31:AI31, "✔") + COUNTIF(E31:AI31, "v") + COUNTIF(E31:AI31, "V")) &amp; "/" &amp; ((COUNTIF(E31:AI31, "✓") + COUNTIF(E31:AI31, "✔") + COUNTIF(E31:AI31, "v") + COUNTIF(E31:AI31, "V")) + COUNTIF(E31:AI31, "✗") + COUNTIF(E31:AI31, "x") + COUNTIF(E31:AI31, "X")), "")))</f>
        <v/>
      </c>
      <c r="AL31" s="124">
        <f>IF(ISBLANK(B31), "", IF(AJ31&gt;=0.85, "🔥 Mastered", IF(AJ31&gt;=0.7, "⚡ Consistent", "⚠️ Needs Focus")))</f>
        <v/>
      </c>
      <c r="AM31">
        <f>COUNTIF(E31:AI31, "✓")</f>
        <v/>
      </c>
    </row>
    <row r="32" ht="14.5" customHeight="1">
      <c r="A32" s="118" t="n">
        <v>15</v>
      </c>
      <c r="B32" s="119" t="n"/>
      <c r="C32" s="120" t="n"/>
      <c r="D32" s="120" t="n"/>
      <c r="E32" s="121" t="n"/>
      <c r="F32" s="121" t="n"/>
      <c r="G32" s="121" t="n"/>
      <c r="H32" s="121" t="n"/>
      <c r="I32" s="122" t="n"/>
      <c r="J32" s="121" t="n"/>
      <c r="K32" s="121" t="n"/>
      <c r="L32" s="121" t="n"/>
      <c r="M32" s="121" t="n"/>
      <c r="N32" s="121" t="n"/>
      <c r="O32" s="121" t="n"/>
      <c r="P32" s="122" t="n"/>
      <c r="Q32" s="121" t="n"/>
      <c r="R32" s="121" t="n"/>
      <c r="S32" s="121" t="n"/>
      <c r="T32" s="121" t="n"/>
      <c r="U32" s="121" t="n"/>
      <c r="V32" s="121" t="n"/>
      <c r="W32" s="122" t="n"/>
      <c r="X32" s="121" t="n"/>
      <c r="Y32" s="121" t="n"/>
      <c r="Z32" s="121" t="n"/>
      <c r="AA32" s="121" t="n"/>
      <c r="AB32" s="121" t="n"/>
      <c r="AC32" s="121" t="n"/>
      <c r="AD32" s="122" t="n"/>
      <c r="AE32" s="121" t="n"/>
      <c r="AF32" s="121" t="n"/>
      <c r="AG32" s="121" t="n"/>
      <c r="AH32" s="121" t="n"/>
      <c r="AI32" s="121" t="n"/>
      <c r="AJ32" s="123">
        <f>IF(ISBLANK(B32), "", IF(ISNUMBER(D32), IF(D32&gt;0, (COUNTIF(E32:AI32, "✓") + COUNTIF(E32:AI32, "✔") + COUNTIF(E32:AI32, "v") + COUNTIF(E32:AI32, "V"))/D32, 0), IF(((COUNTIF(E32:AI32, "✓") + COUNTIF(E32:AI32, "✔") + COUNTIF(E32:AI32, "v") + COUNTIF(E32:AI32, "V")) + COUNTIF(E32:AI32, "✗") + COUNTIF(E32:AI32, "x") + COUNTIF(E32:AI32, "X"))&gt;0, (COUNTIF(E32:AI32, "✓") + COUNTIF(E32:AI32, "✔") + COUNTIF(E32:AI32, "v") + COUNTIF(E32:AI32, "V"))/((COUNTIF(E32:AI32, "✓") + COUNTIF(E32:AI32, "✔") + COUNTIF(E32:AI32, "v") + COUNTIF(E32:AI32, "V")) + COUNTIF(E32:AI32, "✗") + COUNTIF(E32:AI32, "x") + COUNTIF(E32:AI32, "X")), "")))</f>
        <v/>
      </c>
      <c r="AK32" s="124">
        <f>IF(ISBLANK(B32), "", IF(ISNUMBER(D32), IF(D32&gt;0, (COUNTIF(E32:AI32, "✓") + COUNTIF(E32:AI32, "✔") + COUNTIF(E32:AI32, "v") + COUNTIF(E32:AI32, "V")) &amp; "/" &amp; D32, (COUNTIF(E32:AI32, "✓") + COUNTIF(E32:AI32, "✔") + COUNTIF(E32:AI32, "v") + COUNTIF(E32:AI32, "V")) &amp; "/0"), IF(((COUNTIF(E32:AI32, "✓") + COUNTIF(E32:AI32, "✔") + COUNTIF(E32:AI32, "v") + COUNTIF(E32:AI32, "V")) + COUNTIF(E32:AI32, "✗") + COUNTIF(E32:AI32, "x") + COUNTIF(E32:AI32, "X"))&gt;0, (COUNTIF(E32:AI32, "✓") + COUNTIF(E32:AI32, "✔") + COUNTIF(E32:AI32, "v") + COUNTIF(E32:AI32, "V")) &amp; "/" &amp; ((COUNTIF(E32:AI32, "✓") + COUNTIF(E32:AI32, "✔") + COUNTIF(E32:AI32, "v") + COUNTIF(E32:AI32, "V")) + COUNTIF(E32:AI32, "✗") + COUNTIF(E32:AI32, "x") + COUNTIF(E32:AI32, "X")), "")))</f>
        <v/>
      </c>
      <c r="AL32" s="124">
        <f>IF(ISBLANK(B32), "", IF(AJ32&gt;=0.85, "🔥 Mastered", IF(AJ32&gt;=0.7, "⚡ Consistent", "⚠️ Needs Focus")))</f>
        <v/>
      </c>
      <c r="AM32">
        <f>COUNTIF(E32:AI32, "✓")</f>
        <v/>
      </c>
    </row>
    <row r="33" ht="14.5" customHeight="1">
      <c r="A33" s="118" t="n">
        <v>16</v>
      </c>
      <c r="B33" s="119" t="n"/>
      <c r="C33" s="120" t="n"/>
      <c r="D33" s="120" t="n"/>
      <c r="E33" s="121" t="n"/>
      <c r="F33" s="121" t="n"/>
      <c r="G33" s="121" t="n"/>
      <c r="H33" s="121" t="n"/>
      <c r="I33" s="122" t="n"/>
      <c r="J33" s="121" t="n"/>
      <c r="K33" s="121" t="n"/>
      <c r="L33" s="121" t="n"/>
      <c r="M33" s="121" t="n"/>
      <c r="N33" s="121" t="n"/>
      <c r="O33" s="121" t="n"/>
      <c r="P33" s="122" t="n"/>
      <c r="Q33" s="121" t="n"/>
      <c r="R33" s="121" t="n"/>
      <c r="S33" s="121" t="n"/>
      <c r="T33" s="121" t="n"/>
      <c r="U33" s="121" t="n"/>
      <c r="V33" s="121" t="n"/>
      <c r="W33" s="122" t="n"/>
      <c r="X33" s="121" t="n"/>
      <c r="Y33" s="121" t="n"/>
      <c r="Z33" s="121" t="n"/>
      <c r="AA33" s="121" t="n"/>
      <c r="AB33" s="121" t="n"/>
      <c r="AC33" s="121" t="n"/>
      <c r="AD33" s="122" t="n"/>
      <c r="AE33" s="121" t="n"/>
      <c r="AF33" s="121" t="n"/>
      <c r="AG33" s="121" t="n"/>
      <c r="AH33" s="121" t="n"/>
      <c r="AI33" s="121" t="n"/>
      <c r="AJ33" s="123">
        <f>IF(ISBLANK(B33), "", IF(ISNUMBER(D33), IF(D33&gt;0, (COUNTIF(E33:AI33, "✓") + COUNTIF(E33:AI33, "✔") + COUNTIF(E33:AI33, "v") + COUNTIF(E33:AI33, "V"))/D33, 0), IF(((COUNTIF(E33:AI33, "✓") + COUNTIF(E33:AI33, "✔") + COUNTIF(E33:AI33, "v") + COUNTIF(E33:AI33, "V")) + COUNTIF(E33:AI33, "✗") + COUNTIF(E33:AI33, "x") + COUNTIF(E33:AI33, "X"))&gt;0, (COUNTIF(E33:AI33, "✓") + COUNTIF(E33:AI33, "✔") + COUNTIF(E33:AI33, "v") + COUNTIF(E33:AI33, "V"))/((COUNTIF(E33:AI33, "✓") + COUNTIF(E33:AI33, "✔") + COUNTIF(E33:AI33, "v") + COUNTIF(E33:AI33, "V")) + COUNTIF(E33:AI33, "✗") + COUNTIF(E33:AI33, "x") + COUNTIF(E33:AI33, "X")), "")))</f>
        <v/>
      </c>
      <c r="AK33" s="124">
        <f>IF(ISBLANK(B33), "", IF(ISNUMBER(D33), IF(D33&gt;0, (COUNTIF(E33:AI33, "✓") + COUNTIF(E33:AI33, "✔") + COUNTIF(E33:AI33, "v") + COUNTIF(E33:AI33, "V")) &amp; "/" &amp; D33, (COUNTIF(E33:AI33, "✓") + COUNTIF(E33:AI33, "✔") + COUNTIF(E33:AI33, "v") + COUNTIF(E33:AI33, "V")) &amp; "/0"), IF(((COUNTIF(E33:AI33, "✓") + COUNTIF(E33:AI33, "✔") + COUNTIF(E33:AI33, "v") + COUNTIF(E33:AI33, "V")) + COUNTIF(E33:AI33, "✗") + COUNTIF(E33:AI33, "x") + COUNTIF(E33:AI33, "X"))&gt;0, (COUNTIF(E33:AI33, "✓") + COUNTIF(E33:AI33, "✔") + COUNTIF(E33:AI33, "v") + COUNTIF(E33:AI33, "V")) &amp; "/" &amp; ((COUNTIF(E33:AI33, "✓") + COUNTIF(E33:AI33, "✔") + COUNTIF(E33:AI33, "v") + COUNTIF(E33:AI33, "V")) + COUNTIF(E33:AI33, "✗") + COUNTIF(E33:AI33, "x") + COUNTIF(E33:AI33, "X")), "")))</f>
        <v/>
      </c>
      <c r="AL33" s="124">
        <f>IF(ISBLANK(B33), "", IF(AJ33&gt;=0.85, "🔥 Mastered", IF(AJ33&gt;=0.7, "⚡ Consistent", "⚠️ Needs Focus")))</f>
        <v/>
      </c>
      <c r="AM33">
        <f>COUNTIF(E33:AI33, "✓")</f>
        <v/>
      </c>
    </row>
    <row r="34" ht="14.5" customHeight="1">
      <c r="A34" s="125" t="n">
        <v>17</v>
      </c>
      <c r="B34" s="126" t="n"/>
      <c r="C34" s="127" t="n"/>
      <c r="D34" s="127" t="n"/>
      <c r="E34" s="128" t="n"/>
      <c r="F34" s="128" t="n"/>
      <c r="G34" s="128" t="n"/>
      <c r="H34" s="128" t="n"/>
      <c r="I34" s="129" t="n"/>
      <c r="J34" s="128" t="n"/>
      <c r="K34" s="128" t="n"/>
      <c r="L34" s="128" t="n"/>
      <c r="M34" s="128" t="n"/>
      <c r="N34" s="128" t="n"/>
      <c r="O34" s="128" t="n"/>
      <c r="P34" s="129" t="n"/>
      <c r="Q34" s="128" t="n"/>
      <c r="R34" s="128" t="n"/>
      <c r="S34" s="128" t="n"/>
      <c r="T34" s="128" t="n"/>
      <c r="U34" s="128" t="n"/>
      <c r="V34" s="128" t="n"/>
      <c r="W34" s="129" t="n"/>
      <c r="X34" s="128" t="n"/>
      <c r="Y34" s="128" t="n"/>
      <c r="Z34" s="128" t="n"/>
      <c r="AA34" s="128" t="n"/>
      <c r="AB34" s="128" t="n"/>
      <c r="AC34" s="128" t="n"/>
      <c r="AD34" s="129" t="n"/>
      <c r="AE34" s="128" t="n"/>
      <c r="AF34" s="128" t="n"/>
      <c r="AG34" s="128" t="n"/>
      <c r="AH34" s="128" t="n"/>
      <c r="AI34" s="128" t="n"/>
      <c r="AJ34" s="130">
        <f>IF(ISBLANK(B34), "", IF(ISNUMBER(D34), IF(D34&gt;0, (COUNTIF(E34:AI34, "✓") + COUNTIF(E34:AI34, "✔") + COUNTIF(E34:AI34, "v") + COUNTIF(E34:AI34, "V"))/D34, 0), IF(((COUNTIF(E34:AI34, "✓") + COUNTIF(E34:AI34, "✔") + COUNTIF(E34:AI34, "v") + COUNTIF(E34:AI34, "V")) + COUNTIF(E34:AI34, "✗") + COUNTIF(E34:AI34, "x") + COUNTIF(E34:AI34, "X"))&gt;0, (COUNTIF(E34:AI34, "✓") + COUNTIF(E34:AI34, "✔") + COUNTIF(E34:AI34, "v") + COUNTIF(E34:AI34, "V"))/((COUNTIF(E34:AI34, "✓") + COUNTIF(E34:AI34, "✔") + COUNTIF(E34:AI34, "v") + COUNTIF(E34:AI34, "V")) + COUNTIF(E34:AI34, "✗") + COUNTIF(E34:AI34, "x") + COUNTIF(E34:AI34, "X")), "")))</f>
        <v/>
      </c>
      <c r="AK34" s="131">
        <f>IF(ISBLANK(B34), "", IF(ISNUMBER(D34), IF(D34&gt;0, (COUNTIF(E34:AI34, "✓") + COUNTIF(E34:AI34, "✔") + COUNTIF(E34:AI34, "v") + COUNTIF(E34:AI34, "V")) &amp; "/" &amp; D34, (COUNTIF(E34:AI34, "✓") + COUNTIF(E34:AI34, "✔") + COUNTIF(E34:AI34, "v") + COUNTIF(E34:AI34, "V")) &amp; "/0"), IF(((COUNTIF(E34:AI34, "✓") + COUNTIF(E34:AI34, "✔") + COUNTIF(E34:AI34, "v") + COUNTIF(E34:AI34, "V")) + COUNTIF(E34:AI34, "✗") + COUNTIF(E34:AI34, "x") + COUNTIF(E34:AI34, "X"))&gt;0, (COUNTIF(E34:AI34, "✓") + COUNTIF(E34:AI34, "✔") + COUNTIF(E34:AI34, "v") + COUNTIF(E34:AI34, "V")) &amp; "/" &amp; ((COUNTIF(E34:AI34, "✓") + COUNTIF(E34:AI34, "✔") + COUNTIF(E34:AI34, "v") + COUNTIF(E34:AI34, "V")) + COUNTIF(E34:AI34, "✗") + COUNTIF(E34:AI34, "x") + COUNTIF(E34:AI34, "X")), "")))</f>
        <v/>
      </c>
      <c r="AL34" s="131">
        <f>IF(ISBLANK(B34), "", IF(AJ34&gt;=0.85, "🔥 Mastered", IF(AJ34&gt;=0.7, "⚡ Consistent", "⚠️ Needs Focus")))</f>
        <v/>
      </c>
      <c r="AM34">
        <f>COUNTIF(E34:AI34, "✓")</f>
        <v/>
      </c>
    </row>
    <row r="35" ht="14.5" customHeight="1">
      <c r="A35" s="125" t="n">
        <v>18</v>
      </c>
      <c r="B35" s="126" t="n"/>
      <c r="C35" s="127" t="n"/>
      <c r="D35" s="127" t="n"/>
      <c r="E35" s="128" t="n"/>
      <c r="F35" s="128" t="n"/>
      <c r="G35" s="128" t="n"/>
      <c r="H35" s="128" t="n"/>
      <c r="I35" s="129" t="n"/>
      <c r="J35" s="128" t="n"/>
      <c r="K35" s="128" t="n"/>
      <c r="L35" s="128" t="n"/>
      <c r="M35" s="128" t="n"/>
      <c r="N35" s="128" t="n"/>
      <c r="O35" s="128" t="n"/>
      <c r="P35" s="129" t="n"/>
      <c r="Q35" s="128" t="n"/>
      <c r="R35" s="128" t="n"/>
      <c r="S35" s="128" t="n"/>
      <c r="T35" s="128" t="n"/>
      <c r="U35" s="128" t="n"/>
      <c r="V35" s="128" t="n"/>
      <c r="W35" s="129" t="n"/>
      <c r="X35" s="128" t="n"/>
      <c r="Y35" s="128" t="n"/>
      <c r="Z35" s="128" t="n"/>
      <c r="AA35" s="128" t="n"/>
      <c r="AB35" s="128" t="n"/>
      <c r="AC35" s="128" t="n"/>
      <c r="AD35" s="129" t="n"/>
      <c r="AE35" s="128" t="n"/>
      <c r="AF35" s="128" t="n"/>
      <c r="AG35" s="128" t="n"/>
      <c r="AH35" s="128" t="n"/>
      <c r="AI35" s="128" t="n"/>
      <c r="AJ35" s="130">
        <f>IF(ISBLANK(B35), "", IF(ISNUMBER(D35), IF(D35&gt;0, (COUNTIF(E35:AI35, "✓") + COUNTIF(E35:AI35, "✔") + COUNTIF(E35:AI35, "v") + COUNTIF(E35:AI35, "V"))/D35, 0), IF(((COUNTIF(E35:AI35, "✓") + COUNTIF(E35:AI35, "✔") + COUNTIF(E35:AI35, "v") + COUNTIF(E35:AI35, "V")) + COUNTIF(E35:AI35, "✗") + COUNTIF(E35:AI35, "x") + COUNTIF(E35:AI35, "X"))&gt;0, (COUNTIF(E35:AI35, "✓") + COUNTIF(E35:AI35, "✔") + COUNTIF(E35:AI35, "v") + COUNTIF(E35:AI35, "V"))/((COUNTIF(E35:AI35, "✓") + COUNTIF(E35:AI35, "✔") + COUNTIF(E35:AI35, "v") + COUNTIF(E35:AI35, "V")) + COUNTIF(E35:AI35, "✗") + COUNTIF(E35:AI35, "x") + COUNTIF(E35:AI35, "X")), "")))</f>
        <v/>
      </c>
      <c r="AK35" s="131">
        <f>IF(ISBLANK(B35), "", IF(ISNUMBER(D35), IF(D35&gt;0, (COUNTIF(E35:AI35, "✓") + COUNTIF(E35:AI35, "✔") + COUNTIF(E35:AI35, "v") + COUNTIF(E35:AI35, "V")) &amp; "/" &amp; D35, (COUNTIF(E35:AI35, "✓") + COUNTIF(E35:AI35, "✔") + COUNTIF(E35:AI35, "v") + COUNTIF(E35:AI35, "V")) &amp; "/0"), IF(((COUNTIF(E35:AI35, "✓") + COUNTIF(E35:AI35, "✔") + COUNTIF(E35:AI35, "v") + COUNTIF(E35:AI35, "V")) + COUNTIF(E35:AI35, "✗") + COUNTIF(E35:AI35, "x") + COUNTIF(E35:AI35, "X"))&gt;0, (COUNTIF(E35:AI35, "✓") + COUNTIF(E35:AI35, "✔") + COUNTIF(E35:AI35, "v") + COUNTIF(E35:AI35, "V")) &amp; "/" &amp; ((COUNTIF(E35:AI35, "✓") + COUNTIF(E35:AI35, "✔") + COUNTIF(E35:AI35, "v") + COUNTIF(E35:AI35, "V")) + COUNTIF(E35:AI35, "✗") + COUNTIF(E35:AI35, "x") + COUNTIF(E35:AI35, "X")), "")))</f>
        <v/>
      </c>
      <c r="AL35" s="131">
        <f>IF(ISBLANK(B35), "", IF(AJ35&gt;=0.85, "🔥 Mastered", IF(AJ35&gt;=0.7, "⚡ Consistent", "⚠️ Needs Focus")))</f>
        <v/>
      </c>
      <c r="AM35">
        <f>COUNTIF(E35:AI35, "✓")</f>
        <v/>
      </c>
    </row>
    <row r="36" ht="14.5" customHeight="1">
      <c r="A36" s="125" t="n">
        <v>19</v>
      </c>
      <c r="B36" s="126" t="n"/>
      <c r="C36" s="127" t="n"/>
      <c r="D36" s="127" t="n"/>
      <c r="E36" s="128" t="n"/>
      <c r="F36" s="128" t="n"/>
      <c r="G36" s="128" t="n"/>
      <c r="H36" s="128" t="n"/>
      <c r="I36" s="129" t="n"/>
      <c r="J36" s="128" t="n"/>
      <c r="K36" s="128" t="n"/>
      <c r="L36" s="128" t="n"/>
      <c r="M36" s="128" t="n"/>
      <c r="N36" s="128" t="n"/>
      <c r="O36" s="128" t="n"/>
      <c r="P36" s="129" t="n"/>
      <c r="Q36" s="128" t="n"/>
      <c r="R36" s="128" t="n"/>
      <c r="S36" s="128" t="n"/>
      <c r="T36" s="128" t="n"/>
      <c r="U36" s="128" t="n"/>
      <c r="V36" s="128" t="n"/>
      <c r="W36" s="129" t="n"/>
      <c r="X36" s="128" t="n"/>
      <c r="Y36" s="128" t="n"/>
      <c r="Z36" s="128" t="n"/>
      <c r="AA36" s="128" t="n"/>
      <c r="AB36" s="128" t="n"/>
      <c r="AC36" s="128" t="n"/>
      <c r="AD36" s="129" t="n"/>
      <c r="AE36" s="128" t="n"/>
      <c r="AF36" s="128" t="n"/>
      <c r="AG36" s="128" t="n"/>
      <c r="AH36" s="128" t="n"/>
      <c r="AI36" s="128" t="n"/>
      <c r="AJ36" s="130">
        <f>IF(ISBLANK(B36), "", IF(ISNUMBER(D36), IF(D36&gt;0, (COUNTIF(E36:AI36, "✓") + COUNTIF(E36:AI36, "✔") + COUNTIF(E36:AI36, "v") + COUNTIF(E36:AI36, "V"))/D36, 0), IF(((COUNTIF(E36:AI36, "✓") + COUNTIF(E36:AI36, "✔") + COUNTIF(E36:AI36, "v") + COUNTIF(E36:AI36, "V")) + COUNTIF(E36:AI36, "✗") + COUNTIF(E36:AI36, "x") + COUNTIF(E36:AI36, "X"))&gt;0, (COUNTIF(E36:AI36, "✓") + COUNTIF(E36:AI36, "✔") + COUNTIF(E36:AI36, "v") + COUNTIF(E36:AI36, "V"))/((COUNTIF(E36:AI36, "✓") + COUNTIF(E36:AI36, "✔") + COUNTIF(E36:AI36, "v") + COUNTIF(E36:AI36, "V")) + COUNTIF(E36:AI36, "✗") + COUNTIF(E36:AI36, "x") + COUNTIF(E36:AI36, "X")), "")))</f>
        <v/>
      </c>
      <c r="AK36" s="131">
        <f>IF(ISBLANK(B36), "", IF(ISNUMBER(D36), IF(D36&gt;0, (COUNTIF(E36:AI36, "✓") + COUNTIF(E36:AI36, "✔") + COUNTIF(E36:AI36, "v") + COUNTIF(E36:AI36, "V")) &amp; "/" &amp; D36, (COUNTIF(E36:AI36, "✓") + COUNTIF(E36:AI36, "✔") + COUNTIF(E36:AI36, "v") + COUNTIF(E36:AI36, "V")) &amp; "/0"), IF(((COUNTIF(E36:AI36, "✓") + COUNTIF(E36:AI36, "✔") + COUNTIF(E36:AI36, "v") + COUNTIF(E36:AI36, "V")) + COUNTIF(E36:AI36, "✗") + COUNTIF(E36:AI36, "x") + COUNTIF(E36:AI36, "X"))&gt;0, (COUNTIF(E36:AI36, "✓") + COUNTIF(E36:AI36, "✔") + COUNTIF(E36:AI36, "v") + COUNTIF(E36:AI36, "V")) &amp; "/" &amp; ((COUNTIF(E36:AI36, "✓") + COUNTIF(E36:AI36, "✔") + COUNTIF(E36:AI36, "v") + COUNTIF(E36:AI36, "V")) + COUNTIF(E36:AI36, "✗") + COUNTIF(E36:AI36, "x") + COUNTIF(E36:AI36, "X")), "")))</f>
        <v/>
      </c>
      <c r="AL36" s="131">
        <f>IF(ISBLANK(B36), "", IF(AJ36&gt;=0.85, "🔥 Mastered", IF(AJ36&gt;=0.7, "⚡ Consistent", "⚠️ Needs Focus")))</f>
        <v/>
      </c>
      <c r="AM36">
        <f>COUNTIF(E36:AI36, "✓")</f>
        <v/>
      </c>
    </row>
    <row r="37" ht="14.5" customHeight="1">
      <c r="A37" s="125" t="n">
        <v>20</v>
      </c>
      <c r="B37" s="126" t="n"/>
      <c r="C37" s="127" t="n"/>
      <c r="D37" s="127" t="n"/>
      <c r="E37" s="128" t="n"/>
      <c r="F37" s="128" t="n"/>
      <c r="G37" s="128" t="n"/>
      <c r="H37" s="128" t="n"/>
      <c r="I37" s="129" t="n"/>
      <c r="J37" s="128" t="n"/>
      <c r="K37" s="128" t="n"/>
      <c r="L37" s="128" t="n"/>
      <c r="M37" s="128" t="n"/>
      <c r="N37" s="128" t="n"/>
      <c r="O37" s="128" t="n"/>
      <c r="P37" s="129" t="n"/>
      <c r="Q37" s="128" t="n"/>
      <c r="R37" s="128" t="n"/>
      <c r="S37" s="128" t="n"/>
      <c r="T37" s="128" t="n"/>
      <c r="U37" s="128" t="n"/>
      <c r="V37" s="128" t="n"/>
      <c r="W37" s="129" t="n"/>
      <c r="X37" s="128" t="n"/>
      <c r="Y37" s="128" t="n"/>
      <c r="Z37" s="128" t="n"/>
      <c r="AA37" s="128" t="n"/>
      <c r="AB37" s="128" t="n"/>
      <c r="AC37" s="128" t="n"/>
      <c r="AD37" s="129" t="n"/>
      <c r="AE37" s="128" t="n"/>
      <c r="AF37" s="128" t="n"/>
      <c r="AG37" s="128" t="n"/>
      <c r="AH37" s="128" t="n"/>
      <c r="AI37" s="128" t="n"/>
      <c r="AJ37" s="130">
        <f>IF(ISBLANK(B37), "", IF(ISNUMBER(D37), IF(D37&gt;0, (COUNTIF(E37:AI37, "✓") + COUNTIF(E37:AI37, "✔") + COUNTIF(E37:AI37, "v") + COUNTIF(E37:AI37, "V"))/D37, 0), IF(((COUNTIF(E37:AI37, "✓") + COUNTIF(E37:AI37, "✔") + COUNTIF(E37:AI37, "v") + COUNTIF(E37:AI37, "V")) + COUNTIF(E37:AI37, "✗") + COUNTIF(E37:AI37, "x") + COUNTIF(E37:AI37, "X"))&gt;0, (COUNTIF(E37:AI37, "✓") + COUNTIF(E37:AI37, "✔") + COUNTIF(E37:AI37, "v") + COUNTIF(E37:AI37, "V"))/((COUNTIF(E37:AI37, "✓") + COUNTIF(E37:AI37, "✔") + COUNTIF(E37:AI37, "v") + COUNTIF(E37:AI37, "V")) + COUNTIF(E37:AI37, "✗") + COUNTIF(E37:AI37, "x") + COUNTIF(E37:AI37, "X")), "")))</f>
        <v/>
      </c>
      <c r="AK37" s="131">
        <f>IF(ISBLANK(B37), "", IF(ISNUMBER(D37), IF(D37&gt;0, (COUNTIF(E37:AI37, "✓") + COUNTIF(E37:AI37, "✔") + COUNTIF(E37:AI37, "v") + COUNTIF(E37:AI37, "V")) &amp; "/" &amp; D37, (COUNTIF(E37:AI37, "✓") + COUNTIF(E37:AI37, "✔") + COUNTIF(E37:AI37, "v") + COUNTIF(E37:AI37, "V")) &amp; "/0"), IF(((COUNTIF(E37:AI37, "✓") + COUNTIF(E37:AI37, "✔") + COUNTIF(E37:AI37, "v") + COUNTIF(E37:AI37, "V")) + COUNTIF(E37:AI37, "✗") + COUNTIF(E37:AI37, "x") + COUNTIF(E37:AI37, "X"))&gt;0, (COUNTIF(E37:AI37, "✓") + COUNTIF(E37:AI37, "✔") + COUNTIF(E37:AI37, "v") + COUNTIF(E37:AI37, "V")) &amp; "/" &amp; ((COUNTIF(E37:AI37, "✓") + COUNTIF(E37:AI37, "✔") + COUNTIF(E37:AI37, "v") + COUNTIF(E37:AI37, "V")) + COUNTIF(E37:AI37, "✗") + COUNTIF(E37:AI37, "x") + COUNTIF(E37:AI37, "X")), "")))</f>
        <v/>
      </c>
      <c r="AL37" s="131">
        <f>IF(ISBLANK(B37), "", IF(AJ37&gt;=0.85, "🔥 Mastered", IF(AJ37&gt;=0.7, "⚡ Consistent", "⚠️ Needs Focus")))</f>
        <v/>
      </c>
      <c r="AM37">
        <f>COUNTIF(E37:AI37, "✓")</f>
        <v/>
      </c>
    </row>
    <row r="38" ht="18" customHeight="1">
      <c r="A38" s="132" t="inlineStr">
        <is>
          <t>DAILY TOTAL SCORE</t>
        </is>
      </c>
      <c r="B38" s="54" t="n"/>
      <c r="C38" s="54" t="n"/>
      <c r="D38" s="54" t="n"/>
      <c r="E38" s="33">
        <f>IF(((COUNTIF(E18:E37, "✓") + COUNTIF(E18:E37, "✔") + COUNTIF(E18:E37, "v") + COUNTIF(E18:E37, "V")) + COUNTIF(E18:E37, "✗") + COUNTIF(E18:E37, "x") + COUNTIF(E18:E37, "X")) &gt; 0, (COUNTIF(E18:E37, "✓") + COUNTIF(E18:E37, "✔") + COUNTIF(E18:E37, "v") + COUNTIF(E18:E37, "V")) &amp; "/" &amp; ((COUNTIF(E18:E37, "✓") + COUNTIF(E18:E37, "✔") + COUNTIF(E18:E37, "v") + COUNTIF(E18:E37, "V")) + COUNTIF(E18:E37, "✗") + COUNTIF(E18:E37, "x") + COUNTIF(E18:E37, "X")), "")</f>
        <v/>
      </c>
      <c r="F38" s="33">
        <f>IF(((COUNTIF(F18:F37, "✓") + COUNTIF(F18:F37, "✔") + COUNTIF(F18:F37, "v") + COUNTIF(F18:F37, "V")) + COUNTIF(F18:F37, "✗") + COUNTIF(F18:F37, "x") + COUNTIF(F18:F37, "X")) &gt; 0, (COUNTIF(F18:F37, "✓") + COUNTIF(F18:F37, "✔") + COUNTIF(F18:F37, "v") + COUNTIF(F18:F37, "V")) &amp; "/" &amp; ((COUNTIF(F18:F37, "✓") + COUNTIF(F18:F37, "✔") + COUNTIF(F18:F37, "v") + COUNTIF(F18:F37, "V")) + COUNTIF(F18:F37, "✗") + COUNTIF(F18:F37, "x") + COUNTIF(F18:F37, "X")), "")</f>
        <v/>
      </c>
      <c r="G38" s="33">
        <f>IF(((COUNTIF(G18:G37, "✓") + COUNTIF(G18:G37, "✔") + COUNTIF(G18:G37, "v") + COUNTIF(G18:G37, "V")) + COUNTIF(G18:G37, "✗") + COUNTIF(G18:G37, "x") + COUNTIF(G18:G37, "X")) &gt; 0, (COUNTIF(G18:G37, "✓") + COUNTIF(G18:G37, "✔") + COUNTIF(G18:G37, "v") + COUNTIF(G18:G37, "V")) &amp; "/" &amp; ((COUNTIF(G18:G37, "✓") + COUNTIF(G18:G37, "✔") + COUNTIF(G18:G37, "v") + COUNTIF(G18:G37, "V")) + COUNTIF(G18:G37, "✗") + COUNTIF(G18:G37, "x") + COUNTIF(G18:G37, "X")), "")</f>
        <v/>
      </c>
      <c r="H38" s="33">
        <f>IF(((COUNTIF(H18:H37, "✓") + COUNTIF(H18:H37, "✔") + COUNTIF(H18:H37, "v") + COUNTIF(H18:H37, "V")) + COUNTIF(H18:H37, "✗") + COUNTIF(H18:H37, "x") + COUNTIF(H18:H37, "X")) &gt; 0, (COUNTIF(H18:H37, "✓") + COUNTIF(H18:H37, "✔") + COUNTIF(H18:H37, "v") + COUNTIF(H18:H37, "V")) &amp; "/" &amp; ((COUNTIF(H18:H37, "✓") + COUNTIF(H18:H37, "✔") + COUNTIF(H18:H37, "v") + COUNTIF(H18:H37, "V")) + COUNTIF(H18:H37, "✗") + COUNTIF(H18:H37, "x") + COUNTIF(H18:H37, "X")), "")</f>
        <v/>
      </c>
      <c r="I38" s="33">
        <f>IF(((COUNTIF(I18:I37, "✓") + COUNTIF(I18:I37, "✔") + COUNTIF(I18:I37, "v") + COUNTIF(I18:I37, "V")) + COUNTIF(I18:I37, "✗") + COUNTIF(I18:I37, "x") + COUNTIF(I18:I37, "X")) &gt; 0, (COUNTIF(I18:I37, "✓") + COUNTIF(I18:I37, "✔") + COUNTIF(I18:I37, "v") + COUNTIF(I18:I37, "V")) &amp; "/" &amp; ((COUNTIF(I18:I37, "✓") + COUNTIF(I18:I37, "✔") + COUNTIF(I18:I37, "v") + COUNTIF(I18:I37, "V")) + COUNTIF(I18:I37, "✗") + COUNTIF(I18:I37, "x") + COUNTIF(I18:I37, "X")), "")</f>
        <v/>
      </c>
      <c r="J38" s="33">
        <f>IF(((COUNTIF(J18:J37, "✓") + COUNTIF(J18:J37, "✔") + COUNTIF(J18:J37, "v") + COUNTIF(J18:J37, "V")) + COUNTIF(J18:J37, "✗") + COUNTIF(J18:J37, "x") + COUNTIF(J18:J37, "X")) &gt; 0, (COUNTIF(J18:J37, "✓") + COUNTIF(J18:J37, "✔") + COUNTIF(J18:J37, "v") + COUNTIF(J18:J37, "V")) &amp; "/" &amp; ((COUNTIF(J18:J37, "✓") + COUNTIF(J18:J37, "✔") + COUNTIF(J18:J37, "v") + COUNTIF(J18:J37, "V")) + COUNTIF(J18:J37, "✗") + COUNTIF(J18:J37, "x") + COUNTIF(J18:J37, "X")), "")</f>
        <v/>
      </c>
      <c r="K38" s="33">
        <f>IF(((COUNTIF(K18:K37, "✓") + COUNTIF(K18:K37, "✔") + COUNTIF(K18:K37, "v") + COUNTIF(K18:K37, "V")) + COUNTIF(K18:K37, "✗") + COUNTIF(K18:K37, "x") + COUNTIF(K18:K37, "X")) &gt; 0, (COUNTIF(K18:K37, "✓") + COUNTIF(K18:K37, "✔") + COUNTIF(K18:K37, "v") + COUNTIF(K18:K37, "V")) &amp; "/" &amp; ((COUNTIF(K18:K37, "✓") + COUNTIF(K18:K37, "✔") + COUNTIF(K18:K37, "v") + COUNTIF(K18:K37, "V")) + COUNTIF(K18:K37, "✗") + COUNTIF(K18:K37, "x") + COUNTIF(K18:K37, "X")), "")</f>
        <v/>
      </c>
      <c r="L38" s="33">
        <f>IF(((COUNTIF(L18:L37, "✓") + COUNTIF(L18:L37, "✔") + COUNTIF(L18:L37, "v") + COUNTIF(L18:L37, "V")) + COUNTIF(L18:L37, "✗") + COUNTIF(L18:L37, "x") + COUNTIF(L18:L37, "X")) &gt; 0, (COUNTIF(L18:L37, "✓") + COUNTIF(L18:L37, "✔") + COUNTIF(L18:L37, "v") + COUNTIF(L18:L37, "V")) &amp; "/" &amp; ((COUNTIF(L18:L37, "✓") + COUNTIF(L18:L37, "✔") + COUNTIF(L18:L37, "v") + COUNTIF(L18:L37, "V")) + COUNTIF(L18:L37, "✗") + COUNTIF(L18:L37, "x") + COUNTIF(L18:L37, "X")), "")</f>
        <v/>
      </c>
      <c r="M38" s="33">
        <f>IF(((COUNTIF(M18:M37, "✓") + COUNTIF(M18:M37, "✔") + COUNTIF(M18:M37, "v") + COUNTIF(M18:M37, "V")) + COUNTIF(M18:M37, "✗") + COUNTIF(M18:M37, "x") + COUNTIF(M18:M37, "X")) &gt; 0, (COUNTIF(M18:M37, "✓") + COUNTIF(M18:M37, "✔") + COUNTIF(M18:M37, "v") + COUNTIF(M18:M37, "V")) &amp; "/" &amp; ((COUNTIF(M18:M37, "✓") + COUNTIF(M18:M37, "✔") + COUNTIF(M18:M37, "v") + COUNTIF(M18:M37, "V")) + COUNTIF(M18:M37, "✗") + COUNTIF(M18:M37, "x") + COUNTIF(M18:M37, "X")), "")</f>
        <v/>
      </c>
      <c r="N38" s="33">
        <f>IF(((COUNTIF(N18:N37, "✓") + COUNTIF(N18:N37, "✔") + COUNTIF(N18:N37, "v") + COUNTIF(N18:N37, "V")) + COUNTIF(N18:N37, "✗") + COUNTIF(N18:N37, "x") + COUNTIF(N18:N37, "X")) &gt; 0, (COUNTIF(N18:N37, "✓") + COUNTIF(N18:N37, "✔") + COUNTIF(N18:N37, "v") + COUNTIF(N18:N37, "V")) &amp; "/" &amp; ((COUNTIF(N18:N37, "✓") + COUNTIF(N18:N37, "✔") + COUNTIF(N18:N37, "v") + COUNTIF(N18:N37, "V")) + COUNTIF(N18:N37, "✗") + COUNTIF(N18:N37, "x") + COUNTIF(N18:N37, "X")), "")</f>
        <v/>
      </c>
      <c r="O38" s="33">
        <f>IF(((COUNTIF(O18:O37, "✓") + COUNTIF(O18:O37, "✔") + COUNTIF(O18:O37, "v") + COUNTIF(O18:O37, "V")) + COUNTIF(O18:O37, "✗") + COUNTIF(O18:O37, "x") + COUNTIF(O18:O37, "X")) &gt; 0, (COUNTIF(O18:O37, "✓") + COUNTIF(O18:O37, "✔") + COUNTIF(O18:O37, "v") + COUNTIF(O18:O37, "V")) &amp; "/" &amp; ((COUNTIF(O18:O37, "✓") + COUNTIF(O18:O37, "✔") + COUNTIF(O18:O37, "v") + COUNTIF(O18:O37, "V")) + COUNTIF(O18:O37, "✗") + COUNTIF(O18:O37, "x") + COUNTIF(O18:O37, "X")), "")</f>
        <v/>
      </c>
      <c r="P38" s="33">
        <f>IF(((COUNTIF(P18:P37, "✓") + COUNTIF(P18:P37, "✔") + COUNTIF(P18:P37, "v") + COUNTIF(P18:P37, "V")) + COUNTIF(P18:P37, "✗") + COUNTIF(P18:P37, "x") + COUNTIF(P18:P37, "X")) &gt; 0, (COUNTIF(P18:P37, "✓") + COUNTIF(P18:P37, "✔") + COUNTIF(P18:P37, "v") + COUNTIF(P18:P37, "V")) &amp; "/" &amp; ((COUNTIF(P18:P37, "✓") + COUNTIF(P18:P37, "✔") + COUNTIF(P18:P37, "v") + COUNTIF(P18:P37, "V")) + COUNTIF(P18:P37, "✗") + COUNTIF(P18:P37, "x") + COUNTIF(P18:P37, "X")), "")</f>
        <v/>
      </c>
      <c r="Q38" s="33">
        <f>IF(((COUNTIF(Q18:Q37, "✓") + COUNTIF(Q18:Q37, "✔") + COUNTIF(Q18:Q37, "v") + COUNTIF(Q18:Q37, "V")) + COUNTIF(Q18:Q37, "✗") + COUNTIF(Q18:Q37, "x") + COUNTIF(Q18:Q37, "X")) &gt; 0, (COUNTIF(Q18:Q37, "✓") + COUNTIF(Q18:Q37, "✔") + COUNTIF(Q18:Q37, "v") + COUNTIF(Q18:Q37, "V")) &amp; "/" &amp; ((COUNTIF(Q18:Q37, "✓") + COUNTIF(Q18:Q37, "✔") + COUNTIF(Q18:Q37, "v") + COUNTIF(Q18:Q37, "V")) + COUNTIF(Q18:Q37, "✗") + COUNTIF(Q18:Q37, "x") + COUNTIF(Q18:Q37, "X")), "")</f>
        <v/>
      </c>
      <c r="R38" s="33">
        <f>IF(((COUNTIF(R18:R37, "✓") + COUNTIF(R18:R37, "✔") + COUNTIF(R18:R37, "v") + COUNTIF(R18:R37, "V")) + COUNTIF(R18:R37, "✗") + COUNTIF(R18:R37, "x") + COUNTIF(R18:R37, "X")) &gt; 0, (COUNTIF(R18:R37, "✓") + COUNTIF(R18:R37, "✔") + COUNTIF(R18:R37, "v") + COUNTIF(R18:R37, "V")) &amp; "/" &amp; ((COUNTIF(R18:R37, "✓") + COUNTIF(R18:R37, "✔") + COUNTIF(R18:R37, "v") + COUNTIF(R18:R37, "V")) + COUNTIF(R18:R37, "✗") + COUNTIF(R18:R37, "x") + COUNTIF(R18:R37, "X")), "")</f>
        <v/>
      </c>
      <c r="S38" s="33">
        <f>IF(((COUNTIF(S18:S37, "✓") + COUNTIF(S18:S37, "✔") + COUNTIF(S18:S37, "v") + COUNTIF(S18:S37, "V")) + COUNTIF(S18:S37, "✗") + COUNTIF(S18:S37, "x") + COUNTIF(S18:S37, "X")) &gt; 0, (COUNTIF(S18:S37, "✓") + COUNTIF(S18:S37, "✔") + COUNTIF(S18:S37, "v") + COUNTIF(S18:S37, "V")) &amp; "/" &amp; ((COUNTIF(S18:S37, "✓") + COUNTIF(S18:S37, "✔") + COUNTIF(S18:S37, "v") + COUNTIF(S18:S37, "V")) + COUNTIF(S18:S37, "✗") + COUNTIF(S18:S37, "x") + COUNTIF(S18:S37, "X")), "")</f>
        <v/>
      </c>
      <c r="T38" s="33">
        <f>IF(((COUNTIF(T18:T37, "✓") + COUNTIF(T18:T37, "✔") + COUNTIF(T18:T37, "v") + COUNTIF(T18:T37, "V")) + COUNTIF(T18:T37, "✗") + COUNTIF(T18:T37, "x") + COUNTIF(T18:T37, "X")) &gt; 0, (COUNTIF(T18:T37, "✓") + COUNTIF(T18:T37, "✔") + COUNTIF(T18:T37, "v") + COUNTIF(T18:T37, "V")) &amp; "/" &amp; ((COUNTIF(T18:T37, "✓") + COUNTIF(T18:T37, "✔") + COUNTIF(T18:T37, "v") + COUNTIF(T18:T37, "V")) + COUNTIF(T18:T37, "✗") + COUNTIF(T18:T37, "x") + COUNTIF(T18:T37, "X")), "")</f>
        <v/>
      </c>
      <c r="U38" s="33">
        <f>IF(((COUNTIF(U18:U37, "✓") + COUNTIF(U18:U37, "✔") + COUNTIF(U18:U37, "v") + COUNTIF(U18:U37, "V")) + COUNTIF(U18:U37, "✗") + COUNTIF(U18:U37, "x") + COUNTIF(U18:U37, "X")) &gt; 0, (COUNTIF(U18:U37, "✓") + COUNTIF(U18:U37, "✔") + COUNTIF(U18:U37, "v") + COUNTIF(U18:U37, "V")) &amp; "/" &amp; ((COUNTIF(U18:U37, "✓") + COUNTIF(U18:U37, "✔") + COUNTIF(U18:U37, "v") + COUNTIF(U18:U37, "V")) + COUNTIF(U18:U37, "✗") + COUNTIF(U18:U37, "x") + COUNTIF(U18:U37, "X")), "")</f>
        <v/>
      </c>
      <c r="V38" s="33">
        <f>IF(((COUNTIF(V18:V37, "✓") + COUNTIF(V18:V37, "✔") + COUNTIF(V18:V37, "v") + COUNTIF(V18:V37, "V")) + COUNTIF(V18:V37, "✗") + COUNTIF(V18:V37, "x") + COUNTIF(V18:V37, "X")) &gt; 0, (COUNTIF(V18:V37, "✓") + COUNTIF(V18:V37, "✔") + COUNTIF(V18:V37, "v") + COUNTIF(V18:V37, "V")) &amp; "/" &amp; ((COUNTIF(V18:V37, "✓") + COUNTIF(V18:V37, "✔") + COUNTIF(V18:V37, "v") + COUNTIF(V18:V37, "V")) + COUNTIF(V18:V37, "✗") + COUNTIF(V18:V37, "x") + COUNTIF(V18:V37, "X")), "")</f>
        <v/>
      </c>
      <c r="W38" s="33">
        <f>IF(((COUNTIF(W18:W37, "✓") + COUNTIF(W18:W37, "✔") + COUNTIF(W18:W37, "v") + COUNTIF(W18:W37, "V")) + COUNTIF(W18:W37, "✗") + COUNTIF(W18:W37, "x") + COUNTIF(W18:W37, "X")) &gt; 0, (COUNTIF(W18:W37, "✓") + COUNTIF(W18:W37, "✔") + COUNTIF(W18:W37, "v") + COUNTIF(W18:W37, "V")) &amp; "/" &amp; ((COUNTIF(W18:W37, "✓") + COUNTIF(W18:W37, "✔") + COUNTIF(W18:W37, "v") + COUNTIF(W18:W37, "V")) + COUNTIF(W18:W37, "✗") + COUNTIF(W18:W37, "x") + COUNTIF(W18:W37, "X")), "")</f>
        <v/>
      </c>
      <c r="X38" s="33">
        <f>IF(((COUNTIF(X18:X37, "✓") + COUNTIF(X18:X37, "✔") + COUNTIF(X18:X37, "v") + COUNTIF(X18:X37, "V")) + COUNTIF(X18:X37, "✗") + COUNTIF(X18:X37, "x") + COUNTIF(X18:X37, "X")) &gt; 0, (COUNTIF(X18:X37, "✓") + COUNTIF(X18:X37, "✔") + COUNTIF(X18:X37, "v") + COUNTIF(X18:X37, "V")) &amp; "/" &amp; ((COUNTIF(X18:X37, "✓") + COUNTIF(X18:X37, "✔") + COUNTIF(X18:X37, "v") + COUNTIF(X18:X37, "V")) + COUNTIF(X18:X37, "✗") + COUNTIF(X18:X37, "x") + COUNTIF(X18:X37, "X")), "")</f>
        <v/>
      </c>
      <c r="Y38" s="33">
        <f>IF(((COUNTIF(Y18:Y37, "✓") + COUNTIF(Y18:Y37, "✔") + COUNTIF(Y18:Y37, "v") + COUNTIF(Y18:Y37, "V")) + COUNTIF(Y18:Y37, "✗") + COUNTIF(Y18:Y37, "x") + COUNTIF(Y18:Y37, "X")) &gt; 0, (COUNTIF(Y18:Y37, "✓") + COUNTIF(Y18:Y37, "✔") + COUNTIF(Y18:Y37, "v") + COUNTIF(Y18:Y37, "V")) &amp; "/" &amp; ((COUNTIF(Y18:Y37, "✓") + COUNTIF(Y18:Y37, "✔") + COUNTIF(Y18:Y37, "v") + COUNTIF(Y18:Y37, "V")) + COUNTIF(Y18:Y37, "✗") + COUNTIF(Y18:Y37, "x") + COUNTIF(Y18:Y37, "X")), "")</f>
        <v/>
      </c>
      <c r="Z38" s="33">
        <f>IF(((COUNTIF(Z18:Z37, "✓") + COUNTIF(Z18:Z37, "✔") + COUNTIF(Z18:Z37, "v") + COUNTIF(Z18:Z37, "V")) + COUNTIF(Z18:Z37, "✗") + COUNTIF(Z18:Z37, "x") + COUNTIF(Z18:Z37, "X")) &gt; 0, (COUNTIF(Z18:Z37, "✓") + COUNTIF(Z18:Z37, "✔") + COUNTIF(Z18:Z37, "v") + COUNTIF(Z18:Z37, "V")) &amp; "/" &amp; ((COUNTIF(Z18:Z37, "✓") + COUNTIF(Z18:Z37, "✔") + COUNTIF(Z18:Z37, "v") + COUNTIF(Z18:Z37, "V")) + COUNTIF(Z18:Z37, "✗") + COUNTIF(Z18:Z37, "x") + COUNTIF(Z18:Z37, "X")), "")</f>
        <v/>
      </c>
      <c r="AA38" s="33">
        <f>IF(((COUNTIF(AA18:AA37, "✓") + COUNTIF(AA18:AA37, "✔") + COUNTIF(AA18:AA37, "v") + COUNTIF(AA18:AA37, "V")) + COUNTIF(AA18:AA37, "✗") + COUNTIF(AA18:AA37, "x") + COUNTIF(AA18:AA37, "X")) &gt; 0, (COUNTIF(AA18:AA37, "✓") + COUNTIF(AA18:AA37, "✔") + COUNTIF(AA18:AA37, "v") + COUNTIF(AA18:AA37, "V")) &amp; "/" &amp; ((COUNTIF(AA18:AA37, "✓") + COUNTIF(AA18:AA37, "✔") + COUNTIF(AA18:AA37, "v") + COUNTIF(AA18:AA37, "V")) + COUNTIF(AA18:AA37, "✗") + COUNTIF(AA18:AA37, "x") + COUNTIF(AA18:AA37, "X")), "")</f>
        <v/>
      </c>
      <c r="AB38" s="33">
        <f>IF(((COUNTIF(AB18:AB37, "✓") + COUNTIF(AB18:AB37, "✔") + COUNTIF(AB18:AB37, "v") + COUNTIF(AB18:AB37, "V")) + COUNTIF(AB18:AB37, "✗") + COUNTIF(AB18:AB37, "x") + COUNTIF(AB18:AB37, "X")) &gt; 0, (COUNTIF(AB18:AB37, "✓") + COUNTIF(AB18:AB37, "✔") + COUNTIF(AB18:AB37, "v") + COUNTIF(AB18:AB37, "V")) &amp; "/" &amp; ((COUNTIF(AB18:AB37, "✓") + COUNTIF(AB18:AB37, "✔") + COUNTIF(AB18:AB37, "v") + COUNTIF(AB18:AB37, "V")) + COUNTIF(AB18:AB37, "✗") + COUNTIF(AB18:AB37, "x") + COUNTIF(AB18:AB37, "X")), "")</f>
        <v/>
      </c>
      <c r="AC38" s="33">
        <f>IF(((COUNTIF(AC18:AC37, "✓") + COUNTIF(AC18:AC37, "✔") + COUNTIF(AC18:AC37, "v") + COUNTIF(AC18:AC37, "V")) + COUNTIF(AC18:AC37, "✗") + COUNTIF(AC18:AC37, "x") + COUNTIF(AC18:AC37, "X")) &gt; 0, (COUNTIF(AC18:AC37, "✓") + COUNTIF(AC18:AC37, "✔") + COUNTIF(AC18:AC37, "v") + COUNTIF(AC18:AC37, "V")) &amp; "/" &amp; ((COUNTIF(AC18:AC37, "✓") + COUNTIF(AC18:AC37, "✔") + COUNTIF(AC18:AC37, "v") + COUNTIF(AC18:AC37, "V")) + COUNTIF(AC18:AC37, "✗") + COUNTIF(AC18:AC37, "x") + COUNTIF(AC18:AC37, "X")), "")</f>
        <v/>
      </c>
      <c r="AD38" s="33">
        <f>IF(((COUNTIF(AD18:AD37, "✓") + COUNTIF(AD18:AD37, "✔") + COUNTIF(AD18:AD37, "v") + COUNTIF(AD18:AD37, "V")) + COUNTIF(AD18:AD37, "✗") + COUNTIF(AD18:AD37, "x") + COUNTIF(AD18:AD37, "X")) &gt; 0, (COUNTIF(AD18:AD37, "✓") + COUNTIF(AD18:AD37, "✔") + COUNTIF(AD18:AD37, "v") + COUNTIF(AD18:AD37, "V")) &amp; "/" &amp; ((COUNTIF(AD18:AD37, "✓") + COUNTIF(AD18:AD37, "✔") + COUNTIF(AD18:AD37, "v") + COUNTIF(AD18:AD37, "V")) + COUNTIF(AD18:AD37, "✗") + COUNTIF(AD18:AD37, "x") + COUNTIF(AD18:AD37, "X")), "")</f>
        <v/>
      </c>
      <c r="AE38" s="33">
        <f>IF(((COUNTIF(AE18:AE37, "✓") + COUNTIF(AE18:AE37, "✔") + COUNTIF(AE18:AE37, "v") + COUNTIF(AE18:AE37, "V")) + COUNTIF(AE18:AE37, "✗") + COUNTIF(AE18:AE37, "x") + COUNTIF(AE18:AE37, "X")) &gt; 0, (COUNTIF(AE18:AE37, "✓") + COUNTIF(AE18:AE37, "✔") + COUNTIF(AE18:AE37, "v") + COUNTIF(AE18:AE37, "V")) &amp; "/" &amp; ((COUNTIF(AE18:AE37, "✓") + COUNTIF(AE18:AE37, "✔") + COUNTIF(AE18:AE37, "v") + COUNTIF(AE18:AE37, "V")) + COUNTIF(AE18:AE37, "✗") + COUNTIF(AE18:AE37, "x") + COUNTIF(AE18:AE37, "X")), "")</f>
        <v/>
      </c>
      <c r="AF38" s="33">
        <f>IF(((COUNTIF(AF18:AF37, "✓") + COUNTIF(AF18:AF37, "✔") + COUNTIF(AF18:AF37, "v") + COUNTIF(AF18:AF37, "V")) + COUNTIF(AF18:AF37, "✗") + COUNTIF(AF18:AF37, "x") + COUNTIF(AF18:AF37, "X")) &gt; 0, (COUNTIF(AF18:AF37, "✓") + COUNTIF(AF18:AF37, "✔") + COUNTIF(AF18:AF37, "v") + COUNTIF(AF18:AF37, "V")) &amp; "/" &amp; ((COUNTIF(AF18:AF37, "✓") + COUNTIF(AF18:AF37, "✔") + COUNTIF(AF18:AF37, "v") + COUNTIF(AF18:AF37, "V")) + COUNTIF(AF18:AF37, "✗") + COUNTIF(AF18:AF37, "x") + COUNTIF(AF18:AF37, "X")), "")</f>
        <v/>
      </c>
      <c r="AG38" s="33">
        <f>IF(((COUNTIF(AG18:AG37, "✓") + COUNTIF(AG18:AG37, "✔") + COUNTIF(AG18:AG37, "v") + COUNTIF(AG18:AG37, "V")) + COUNTIF(AG18:AG37, "✗") + COUNTIF(AG18:AG37, "x") + COUNTIF(AG18:AG37, "X")) &gt; 0, (COUNTIF(AG18:AG37, "✓") + COUNTIF(AG18:AG37, "✔") + COUNTIF(AG18:AG37, "v") + COUNTIF(AG18:AG37, "V")) &amp; "/" &amp; ((COUNTIF(AG18:AG37, "✓") + COUNTIF(AG18:AG37, "✔") + COUNTIF(AG18:AG37, "v") + COUNTIF(AG18:AG37, "V")) + COUNTIF(AG18:AG37, "✗") + COUNTIF(AG18:AG37, "x") + COUNTIF(AG18:AG37, "X")), "")</f>
        <v/>
      </c>
      <c r="AH38" s="33">
        <f>IF(((COUNTIF(AH18:AH37, "✓") + COUNTIF(AH18:AH37, "✔") + COUNTIF(AH18:AH37, "v") + COUNTIF(AH18:AH37, "V")) + COUNTIF(AH18:AH37, "✗") + COUNTIF(AH18:AH37, "x") + COUNTIF(AH18:AH37, "X")) &gt; 0, (COUNTIF(AH18:AH37, "✓") + COUNTIF(AH18:AH37, "✔") + COUNTIF(AH18:AH37, "v") + COUNTIF(AH18:AH37, "V")) &amp; "/" &amp; ((COUNTIF(AH18:AH37, "✓") + COUNTIF(AH18:AH37, "✔") + COUNTIF(AH18:AH37, "v") + COUNTIF(AH18:AH37, "V")) + COUNTIF(AH18:AH37, "✗") + COUNTIF(AH18:AH37, "x") + COUNTIF(AH18:AH37, "X")), "")</f>
        <v/>
      </c>
      <c r="AI38" s="33">
        <f>IF(((COUNTIF(AI18:AI37, "✓") + COUNTIF(AI18:AI37, "✔") + COUNTIF(AI18:AI37, "v") + COUNTIF(AI18:AI37, "V")) + COUNTIF(AI18:AI37, "✗") + COUNTIF(AI18:AI37, "x") + COUNTIF(AI18:AI37, "X")) &gt; 0, (COUNTIF(AI18:AI37, "✓") + COUNTIF(AI18:AI37, "✔") + COUNTIF(AI18:AI37, "v") + COUNTIF(AI18:AI37, "V")) &amp; "/" &amp; ((COUNTIF(AI18:AI37, "✓") + COUNTIF(AI18:AI37, "✔") + COUNTIF(AI18:AI37, "v") + COUNTIF(AI18:AI37, "V")) + COUNTIF(AI18:AI37, "✗") + COUNTIF(AI18:AI37, "x") + COUNTIF(AI18:AI37, "X")), "")</f>
        <v/>
      </c>
      <c r="AJ38" s="133">
        <f>IF(SUM(D18:D37) &gt; 0, SUM(AM18:AM37) / SUM(D18:D37), "")</f>
        <v/>
      </c>
      <c r="AK38" s="33">
        <f>IF(SUM(D18:D37) &gt; 0, SUM(AM18:AM37) &amp; "/" &amp; SUM(D18:D37), "")</f>
        <v/>
      </c>
      <c r="AL38" s="54" t="n"/>
    </row>
    <row r="39" ht="18" customHeight="1">
      <c r="A39" s="132" t="inlineStr">
        <is>
          <t>DAILY SUCCESS %</t>
        </is>
      </c>
      <c r="B39" s="54" t="n"/>
      <c r="C39" s="54" t="n"/>
      <c r="D39" s="54" t="n"/>
      <c r="E39" s="134">
        <f>IF(((COUNTIF(E18:E37, "✓") + COUNTIF(E18:E37, "✔") + COUNTIF(E18:E37, "v") + COUNTIF(E18:E37, "V")) + COUNTIF(E18:E37, "✗") + COUNTIF(E18:E37, "x") + COUNTIF(E18:E37, "X")) &gt; 0, (COUNTIF(E18:E37, "✓") + COUNTIF(E18:E37, "✔") + COUNTIF(E18:E37, "v") + COUNTIF(E18:E37, "V")) / ((COUNTIF(E18:E37, "✓") + COUNTIF(E18:E37, "✔") + COUNTIF(E18:E37, "v") + COUNTIF(E18:E37, "V")) + COUNTIF(E18:E37, "✗") + COUNTIF(E18:E37, "x") + COUNTIF(E18:E37, "X")), "")</f>
        <v/>
      </c>
      <c r="F39" s="134">
        <f>IF(((COUNTIF(F18:F37, "✓") + COUNTIF(F18:F37, "✔") + COUNTIF(F18:F37, "v") + COUNTIF(F18:F37, "V")) + COUNTIF(F18:F37, "✗") + COUNTIF(F18:F37, "x") + COUNTIF(F18:F37, "X")) &gt; 0, (COUNTIF(F18:F37, "✓") + COUNTIF(F18:F37, "✔") + COUNTIF(F18:F37, "v") + COUNTIF(F18:F37, "V")) / ((COUNTIF(F18:F37, "✓") + COUNTIF(F18:F37, "✔") + COUNTIF(F18:F37, "v") + COUNTIF(F18:F37, "V")) + COUNTIF(F18:F37, "✗") + COUNTIF(F18:F37, "x") + COUNTIF(F18:F37, "X")), "")</f>
        <v/>
      </c>
      <c r="G39" s="134">
        <f>IF(((COUNTIF(G18:G37, "✓") + COUNTIF(G18:G37, "✔") + COUNTIF(G18:G37, "v") + COUNTIF(G18:G37, "V")) + COUNTIF(G18:G37, "✗") + COUNTIF(G18:G37, "x") + COUNTIF(G18:G37, "X")) &gt; 0, (COUNTIF(G18:G37, "✓") + COUNTIF(G18:G37, "✔") + COUNTIF(G18:G37, "v") + COUNTIF(G18:G37, "V")) / ((COUNTIF(G18:G37, "✓") + COUNTIF(G18:G37, "✔") + COUNTIF(G18:G37, "v") + COUNTIF(G18:G37, "V")) + COUNTIF(G18:G37, "✗") + COUNTIF(G18:G37, "x") + COUNTIF(G18:G37, "X")), "")</f>
        <v/>
      </c>
      <c r="H39" s="134">
        <f>IF(((COUNTIF(H18:H37, "✓") + COUNTIF(H18:H37, "✔") + COUNTIF(H18:H37, "v") + COUNTIF(H18:H37, "V")) + COUNTIF(H18:H37, "✗") + COUNTIF(H18:H37, "x") + COUNTIF(H18:H37, "X")) &gt; 0, (COUNTIF(H18:H37, "✓") + COUNTIF(H18:H37, "✔") + COUNTIF(H18:H37, "v") + COUNTIF(H18:H37, "V")) / ((COUNTIF(H18:H37, "✓") + COUNTIF(H18:H37, "✔") + COUNTIF(H18:H37, "v") + COUNTIF(H18:H37, "V")) + COUNTIF(H18:H37, "✗") + COUNTIF(H18:H37, "x") + COUNTIF(H18:H37, "X")), "")</f>
        <v/>
      </c>
      <c r="I39" s="134">
        <f>IF(((COUNTIF(I18:I37, "✓") + COUNTIF(I18:I37, "✔") + COUNTIF(I18:I37, "v") + COUNTIF(I18:I37, "V")) + COUNTIF(I18:I37, "✗") + COUNTIF(I18:I37, "x") + COUNTIF(I18:I37, "X")) &gt; 0, (COUNTIF(I18:I37, "✓") + COUNTIF(I18:I37, "✔") + COUNTIF(I18:I37, "v") + COUNTIF(I18:I37, "V")) / ((COUNTIF(I18:I37, "✓") + COUNTIF(I18:I37, "✔") + COUNTIF(I18:I37, "v") + COUNTIF(I18:I37, "V")) + COUNTIF(I18:I37, "✗") + COUNTIF(I18:I37, "x") + COUNTIF(I18:I37, "X")), "")</f>
        <v/>
      </c>
      <c r="J39" s="134">
        <f>IF(((COUNTIF(J18:J37, "✓") + COUNTIF(J18:J37, "✔") + COUNTIF(J18:J37, "v") + COUNTIF(J18:J37, "V")) + COUNTIF(J18:J37, "✗") + COUNTIF(J18:J37, "x") + COUNTIF(J18:J37, "X")) &gt; 0, (COUNTIF(J18:J37, "✓") + COUNTIF(J18:J37, "✔") + COUNTIF(J18:J37, "v") + COUNTIF(J18:J37, "V")) / ((COUNTIF(J18:J37, "✓") + COUNTIF(J18:J37, "✔") + COUNTIF(J18:J37, "v") + COUNTIF(J18:J37, "V")) + COUNTIF(J18:J37, "✗") + COUNTIF(J18:J37, "x") + COUNTIF(J18:J37, "X")), "")</f>
        <v/>
      </c>
      <c r="K39" s="134">
        <f>IF(((COUNTIF(K18:K37, "✓") + COUNTIF(K18:K37, "✔") + COUNTIF(K18:K37, "v") + COUNTIF(K18:K37, "V")) + COUNTIF(K18:K37, "✗") + COUNTIF(K18:K37, "x") + COUNTIF(K18:K37, "X")) &gt; 0, (COUNTIF(K18:K37, "✓") + COUNTIF(K18:K37, "✔") + COUNTIF(K18:K37, "v") + COUNTIF(K18:K37, "V")) / ((COUNTIF(K18:K37, "✓") + COUNTIF(K18:K37, "✔") + COUNTIF(K18:K37, "v") + COUNTIF(K18:K37, "V")) + COUNTIF(K18:K37, "✗") + COUNTIF(K18:K37, "x") + COUNTIF(K18:K37, "X")), "")</f>
        <v/>
      </c>
      <c r="L39" s="134">
        <f>IF(((COUNTIF(L18:L37, "✓") + COUNTIF(L18:L37, "✔") + COUNTIF(L18:L37, "v") + COUNTIF(L18:L37, "V")) + COUNTIF(L18:L37, "✗") + COUNTIF(L18:L37, "x") + COUNTIF(L18:L37, "X")) &gt; 0, (COUNTIF(L18:L37, "✓") + COUNTIF(L18:L37, "✔") + COUNTIF(L18:L37, "v") + COUNTIF(L18:L37, "V")) / ((COUNTIF(L18:L37, "✓") + COUNTIF(L18:L37, "✔") + COUNTIF(L18:L37, "v") + COUNTIF(L18:L37, "V")) + COUNTIF(L18:L37, "✗") + COUNTIF(L18:L37, "x") + COUNTIF(L18:L37, "X")), "")</f>
        <v/>
      </c>
      <c r="M39" s="134">
        <f>IF(((COUNTIF(M18:M37, "✓") + COUNTIF(M18:M37, "✔") + COUNTIF(M18:M37, "v") + COUNTIF(M18:M37, "V")) + COUNTIF(M18:M37, "✗") + COUNTIF(M18:M37, "x") + COUNTIF(M18:M37, "X")) &gt; 0, (COUNTIF(M18:M37, "✓") + COUNTIF(M18:M37, "✔") + COUNTIF(M18:M37, "v") + COUNTIF(M18:M37, "V")) / ((COUNTIF(M18:M37, "✓") + COUNTIF(M18:M37, "✔") + COUNTIF(M18:M37, "v") + COUNTIF(M18:M37, "V")) + COUNTIF(M18:M37, "✗") + COUNTIF(M18:M37, "x") + COUNTIF(M18:M37, "X")), "")</f>
        <v/>
      </c>
      <c r="N39" s="134">
        <f>IF(((COUNTIF(N18:N37, "✓") + COUNTIF(N18:N37, "✔") + COUNTIF(N18:N37, "v") + COUNTIF(N18:N37, "V")) + COUNTIF(N18:N37, "✗") + COUNTIF(N18:N37, "x") + COUNTIF(N18:N37, "X")) &gt; 0, (COUNTIF(N18:N37, "✓") + COUNTIF(N18:N37, "✔") + COUNTIF(N18:N37, "v") + COUNTIF(N18:N37, "V")) / ((COUNTIF(N18:N37, "✓") + COUNTIF(N18:N37, "✔") + COUNTIF(N18:N37, "v") + COUNTIF(N18:N37, "V")) + COUNTIF(N18:N37, "✗") + COUNTIF(N18:N37, "x") + COUNTIF(N18:N37, "X")), "")</f>
        <v/>
      </c>
      <c r="O39" s="134">
        <f>IF(((COUNTIF(O18:O37, "✓") + COUNTIF(O18:O37, "✔") + COUNTIF(O18:O37, "v") + COUNTIF(O18:O37, "V")) + COUNTIF(O18:O37, "✗") + COUNTIF(O18:O37, "x") + COUNTIF(O18:O37, "X")) &gt; 0, (COUNTIF(O18:O37, "✓") + COUNTIF(O18:O37, "✔") + COUNTIF(O18:O37, "v") + COUNTIF(O18:O37, "V")) / ((COUNTIF(O18:O37, "✓") + COUNTIF(O18:O37, "✔") + COUNTIF(O18:O37, "v") + COUNTIF(O18:O37, "V")) + COUNTIF(O18:O37, "✗") + COUNTIF(O18:O37, "x") + COUNTIF(O18:O37, "X")), "")</f>
        <v/>
      </c>
      <c r="P39" s="134">
        <f>IF(((COUNTIF(P18:P37, "✓") + COUNTIF(P18:P37, "✔") + COUNTIF(P18:P37, "v") + COUNTIF(P18:P37, "V")) + COUNTIF(P18:P37, "✗") + COUNTIF(P18:P37, "x") + COUNTIF(P18:P37, "X")) &gt; 0, (COUNTIF(P18:P37, "✓") + COUNTIF(P18:P37, "✔") + COUNTIF(P18:P37, "v") + COUNTIF(P18:P37, "V")) / ((COUNTIF(P18:P37, "✓") + COUNTIF(P18:P37, "✔") + COUNTIF(P18:P37, "v") + COUNTIF(P18:P37, "V")) + COUNTIF(P18:P37, "✗") + COUNTIF(P18:P37, "x") + COUNTIF(P18:P37, "X")), "")</f>
        <v/>
      </c>
      <c r="Q39" s="134">
        <f>IF(((COUNTIF(Q18:Q37, "✓") + COUNTIF(Q18:Q37, "✔") + COUNTIF(Q18:Q37, "v") + COUNTIF(Q18:Q37, "V")) + COUNTIF(Q18:Q37, "✗") + COUNTIF(Q18:Q37, "x") + COUNTIF(Q18:Q37, "X")) &gt; 0, (COUNTIF(Q18:Q37, "✓") + COUNTIF(Q18:Q37, "✔") + COUNTIF(Q18:Q37, "v") + COUNTIF(Q18:Q37, "V")) / ((COUNTIF(Q18:Q37, "✓") + COUNTIF(Q18:Q37, "✔") + COUNTIF(Q18:Q37, "v") + COUNTIF(Q18:Q37, "V")) + COUNTIF(Q18:Q37, "✗") + COUNTIF(Q18:Q37, "x") + COUNTIF(Q18:Q37, "X")), "")</f>
        <v/>
      </c>
      <c r="R39" s="134">
        <f>IF(((COUNTIF(R18:R37, "✓") + COUNTIF(R18:R37, "✔") + COUNTIF(R18:R37, "v") + COUNTIF(R18:R37, "V")) + COUNTIF(R18:R37, "✗") + COUNTIF(R18:R37, "x") + COUNTIF(R18:R37, "X")) &gt; 0, (COUNTIF(R18:R37, "✓") + COUNTIF(R18:R37, "✔") + COUNTIF(R18:R37, "v") + COUNTIF(R18:R37, "V")) / ((COUNTIF(R18:R37, "✓") + COUNTIF(R18:R37, "✔") + COUNTIF(R18:R37, "v") + COUNTIF(R18:R37, "V")) + COUNTIF(R18:R37, "✗") + COUNTIF(R18:R37, "x") + COUNTIF(R18:R37, "X")), "")</f>
        <v/>
      </c>
      <c r="S39" s="134">
        <f>IF(((COUNTIF(S18:S37, "✓") + COUNTIF(S18:S37, "✔") + COUNTIF(S18:S37, "v") + COUNTIF(S18:S37, "V")) + COUNTIF(S18:S37, "✗") + COUNTIF(S18:S37, "x") + COUNTIF(S18:S37, "X")) &gt; 0, (COUNTIF(S18:S37, "✓") + COUNTIF(S18:S37, "✔") + COUNTIF(S18:S37, "v") + COUNTIF(S18:S37, "V")) / ((COUNTIF(S18:S37, "✓") + COUNTIF(S18:S37, "✔") + COUNTIF(S18:S37, "v") + COUNTIF(S18:S37, "V")) + COUNTIF(S18:S37, "✗") + COUNTIF(S18:S37, "x") + COUNTIF(S18:S37, "X")), "")</f>
        <v/>
      </c>
      <c r="T39" s="134">
        <f>IF(((COUNTIF(T18:T37, "✓") + COUNTIF(T18:T37, "✔") + COUNTIF(T18:T37, "v") + COUNTIF(T18:T37, "V")) + COUNTIF(T18:T37, "✗") + COUNTIF(T18:T37, "x") + COUNTIF(T18:T37, "X")) &gt; 0, (COUNTIF(T18:T37, "✓") + COUNTIF(T18:T37, "✔") + COUNTIF(T18:T37, "v") + COUNTIF(T18:T37, "V")) / ((COUNTIF(T18:T37, "✓") + COUNTIF(T18:T37, "✔") + COUNTIF(T18:T37, "v") + COUNTIF(T18:T37, "V")) + COUNTIF(T18:T37, "✗") + COUNTIF(T18:T37, "x") + COUNTIF(T18:T37, "X")), "")</f>
        <v/>
      </c>
      <c r="U39" s="134">
        <f>IF(((COUNTIF(U18:U37, "✓") + COUNTIF(U18:U37, "✔") + COUNTIF(U18:U37, "v") + COUNTIF(U18:U37, "V")) + COUNTIF(U18:U37, "✗") + COUNTIF(U18:U37, "x") + COUNTIF(U18:U37, "X")) &gt; 0, (COUNTIF(U18:U37, "✓") + COUNTIF(U18:U37, "✔") + COUNTIF(U18:U37, "v") + COUNTIF(U18:U37, "V")) / ((COUNTIF(U18:U37, "✓") + COUNTIF(U18:U37, "✔") + COUNTIF(U18:U37, "v") + COUNTIF(U18:U37, "V")) + COUNTIF(U18:U37, "✗") + COUNTIF(U18:U37, "x") + COUNTIF(U18:U37, "X")), "")</f>
        <v/>
      </c>
      <c r="V39" s="134">
        <f>IF(((COUNTIF(V18:V37, "✓") + COUNTIF(V18:V37, "✔") + COUNTIF(V18:V37, "v") + COUNTIF(V18:V37, "V")) + COUNTIF(V18:V37, "✗") + COUNTIF(V18:V37, "x") + COUNTIF(V18:V37, "X")) &gt; 0, (COUNTIF(V18:V37, "✓") + COUNTIF(V18:V37, "✔") + COUNTIF(V18:V37, "v") + COUNTIF(V18:V37, "V")) / ((COUNTIF(V18:V37, "✓") + COUNTIF(V18:V37, "✔") + COUNTIF(V18:V37, "v") + COUNTIF(V18:V37, "V")) + COUNTIF(V18:V37, "✗") + COUNTIF(V18:V37, "x") + COUNTIF(V18:V37, "X")), "")</f>
        <v/>
      </c>
      <c r="W39" s="134">
        <f>IF(((COUNTIF(W18:W37, "✓") + COUNTIF(W18:W37, "✔") + COUNTIF(W18:W37, "v") + COUNTIF(W18:W37, "V")) + COUNTIF(W18:W37, "✗") + COUNTIF(W18:W37, "x") + COUNTIF(W18:W37, "X")) &gt; 0, (COUNTIF(W18:W37, "✓") + COUNTIF(W18:W37, "✔") + COUNTIF(W18:W37, "v") + COUNTIF(W18:W37, "V")) / ((COUNTIF(W18:W37, "✓") + COUNTIF(W18:W37, "✔") + COUNTIF(W18:W37, "v") + COUNTIF(W18:W37, "V")) + COUNTIF(W18:W37, "✗") + COUNTIF(W18:W37, "x") + COUNTIF(W18:W37, "X")), "")</f>
        <v/>
      </c>
      <c r="X39" s="134">
        <f>IF(((COUNTIF(X18:X37, "✓") + COUNTIF(X18:X37, "✔") + COUNTIF(X18:X37, "v") + COUNTIF(X18:X37, "V")) + COUNTIF(X18:X37, "✗") + COUNTIF(X18:X37, "x") + COUNTIF(X18:X37, "X")) &gt; 0, (COUNTIF(X18:X37, "✓") + COUNTIF(X18:X37, "✔") + COUNTIF(X18:X37, "v") + COUNTIF(X18:X37, "V")) / ((COUNTIF(X18:X37, "✓") + COUNTIF(X18:X37, "✔") + COUNTIF(X18:X37, "v") + COUNTIF(X18:X37, "V")) + COUNTIF(X18:X37, "✗") + COUNTIF(X18:X37, "x") + COUNTIF(X18:X37, "X")), "")</f>
        <v/>
      </c>
      <c r="Y39" s="134">
        <f>IF(((COUNTIF(Y18:Y37, "✓") + COUNTIF(Y18:Y37, "✔") + COUNTIF(Y18:Y37, "v") + COUNTIF(Y18:Y37, "V")) + COUNTIF(Y18:Y37, "✗") + COUNTIF(Y18:Y37, "x") + COUNTIF(Y18:Y37, "X")) &gt; 0, (COUNTIF(Y18:Y37, "✓") + COUNTIF(Y18:Y37, "✔") + COUNTIF(Y18:Y37, "v") + COUNTIF(Y18:Y37, "V")) / ((COUNTIF(Y18:Y37, "✓") + COUNTIF(Y18:Y37, "✔") + COUNTIF(Y18:Y37, "v") + COUNTIF(Y18:Y37, "V")) + COUNTIF(Y18:Y37, "✗") + COUNTIF(Y18:Y37, "x") + COUNTIF(Y18:Y37, "X")), "")</f>
        <v/>
      </c>
      <c r="Z39" s="134">
        <f>IF(((COUNTIF(Z18:Z37, "✓") + COUNTIF(Z18:Z37, "✔") + COUNTIF(Z18:Z37, "v") + COUNTIF(Z18:Z37, "V")) + COUNTIF(Z18:Z37, "✗") + COUNTIF(Z18:Z37, "x") + COUNTIF(Z18:Z37, "X")) &gt; 0, (COUNTIF(Z18:Z37, "✓") + COUNTIF(Z18:Z37, "✔") + COUNTIF(Z18:Z37, "v") + COUNTIF(Z18:Z37, "V")) / ((COUNTIF(Z18:Z37, "✓") + COUNTIF(Z18:Z37, "✔") + COUNTIF(Z18:Z37, "v") + COUNTIF(Z18:Z37, "V")) + COUNTIF(Z18:Z37, "✗") + COUNTIF(Z18:Z37, "x") + COUNTIF(Z18:Z37, "X")), "")</f>
        <v/>
      </c>
      <c r="AA39" s="134">
        <f>IF(((COUNTIF(AA18:AA37, "✓") + COUNTIF(AA18:AA37, "✔") + COUNTIF(AA18:AA37, "v") + COUNTIF(AA18:AA37, "V")) + COUNTIF(AA18:AA37, "✗") + COUNTIF(AA18:AA37, "x") + COUNTIF(AA18:AA37, "X")) &gt; 0, (COUNTIF(AA18:AA37, "✓") + COUNTIF(AA18:AA37, "✔") + COUNTIF(AA18:AA37, "v") + COUNTIF(AA18:AA37, "V")) / ((COUNTIF(AA18:AA37, "✓") + COUNTIF(AA18:AA37, "✔") + COUNTIF(AA18:AA37, "v") + COUNTIF(AA18:AA37, "V")) + COUNTIF(AA18:AA37, "✗") + COUNTIF(AA18:AA37, "x") + COUNTIF(AA18:AA37, "X")), "")</f>
        <v/>
      </c>
      <c r="AB39" s="134">
        <f>IF(((COUNTIF(AB18:AB37, "✓") + COUNTIF(AB18:AB37, "✔") + COUNTIF(AB18:AB37, "v") + COUNTIF(AB18:AB37, "V")) + COUNTIF(AB18:AB37, "✗") + COUNTIF(AB18:AB37, "x") + COUNTIF(AB18:AB37, "X")) &gt; 0, (COUNTIF(AB18:AB37, "✓") + COUNTIF(AB18:AB37, "✔") + COUNTIF(AB18:AB37, "v") + COUNTIF(AB18:AB37, "V")) / ((COUNTIF(AB18:AB37, "✓") + COUNTIF(AB18:AB37, "✔") + COUNTIF(AB18:AB37, "v") + COUNTIF(AB18:AB37, "V")) + COUNTIF(AB18:AB37, "✗") + COUNTIF(AB18:AB37, "x") + COUNTIF(AB18:AB37, "X")), "")</f>
        <v/>
      </c>
      <c r="AC39" s="134">
        <f>IF(((COUNTIF(AC18:AC37, "✓") + COUNTIF(AC18:AC37, "✔") + COUNTIF(AC18:AC37, "v") + COUNTIF(AC18:AC37, "V")) + COUNTIF(AC18:AC37, "✗") + COUNTIF(AC18:AC37, "x") + COUNTIF(AC18:AC37, "X")) &gt; 0, (COUNTIF(AC18:AC37, "✓") + COUNTIF(AC18:AC37, "✔") + COUNTIF(AC18:AC37, "v") + COUNTIF(AC18:AC37, "V")) / ((COUNTIF(AC18:AC37, "✓") + COUNTIF(AC18:AC37, "✔") + COUNTIF(AC18:AC37, "v") + COUNTIF(AC18:AC37, "V")) + COUNTIF(AC18:AC37, "✗") + COUNTIF(AC18:AC37, "x") + COUNTIF(AC18:AC37, "X")), "")</f>
        <v/>
      </c>
      <c r="AD39" s="134">
        <f>IF(((COUNTIF(AD18:AD37, "✓") + COUNTIF(AD18:AD37, "✔") + COUNTIF(AD18:AD37, "v") + COUNTIF(AD18:AD37, "V")) + COUNTIF(AD18:AD37, "✗") + COUNTIF(AD18:AD37, "x") + COUNTIF(AD18:AD37, "X")) &gt; 0, (COUNTIF(AD18:AD37, "✓") + COUNTIF(AD18:AD37, "✔") + COUNTIF(AD18:AD37, "v") + COUNTIF(AD18:AD37, "V")) / ((COUNTIF(AD18:AD37, "✓") + COUNTIF(AD18:AD37, "✔") + COUNTIF(AD18:AD37, "v") + COUNTIF(AD18:AD37, "V")) + COUNTIF(AD18:AD37, "✗") + COUNTIF(AD18:AD37, "x") + COUNTIF(AD18:AD37, "X")), "")</f>
        <v/>
      </c>
      <c r="AE39" s="134">
        <f>IF(((COUNTIF(AE18:AE37, "✓") + COUNTIF(AE18:AE37, "✔") + COUNTIF(AE18:AE37, "v") + COUNTIF(AE18:AE37, "V")) + COUNTIF(AE18:AE37, "✗") + COUNTIF(AE18:AE37, "x") + COUNTIF(AE18:AE37, "X")) &gt; 0, (COUNTIF(AE18:AE37, "✓") + COUNTIF(AE18:AE37, "✔") + COUNTIF(AE18:AE37, "v") + COUNTIF(AE18:AE37, "V")) / ((COUNTIF(AE18:AE37, "✓") + COUNTIF(AE18:AE37, "✔") + COUNTIF(AE18:AE37, "v") + COUNTIF(AE18:AE37, "V")) + COUNTIF(AE18:AE37, "✗") + COUNTIF(AE18:AE37, "x") + COUNTIF(AE18:AE37, "X")), "")</f>
        <v/>
      </c>
      <c r="AF39" s="134">
        <f>IF(((COUNTIF(AF18:AF37, "✓") + COUNTIF(AF18:AF37, "✔") + COUNTIF(AF18:AF37, "v") + COUNTIF(AF18:AF37, "V")) + COUNTIF(AF18:AF37, "✗") + COUNTIF(AF18:AF37, "x") + COUNTIF(AF18:AF37, "X")) &gt; 0, (COUNTIF(AF18:AF37, "✓") + COUNTIF(AF18:AF37, "✔") + COUNTIF(AF18:AF37, "v") + COUNTIF(AF18:AF37, "V")) / ((COUNTIF(AF18:AF37, "✓") + COUNTIF(AF18:AF37, "✔") + COUNTIF(AF18:AF37, "v") + COUNTIF(AF18:AF37, "V")) + COUNTIF(AF18:AF37, "✗") + COUNTIF(AF18:AF37, "x") + COUNTIF(AF18:AF37, "X")), "")</f>
        <v/>
      </c>
      <c r="AG39" s="134">
        <f>IF(((COUNTIF(AG18:AG37, "✓") + COUNTIF(AG18:AG37, "✔") + COUNTIF(AG18:AG37, "v") + COUNTIF(AG18:AG37, "V")) + COUNTIF(AG18:AG37, "✗") + COUNTIF(AG18:AG37, "x") + COUNTIF(AG18:AG37, "X")) &gt; 0, (COUNTIF(AG18:AG37, "✓") + COUNTIF(AG18:AG37, "✔") + COUNTIF(AG18:AG37, "v") + COUNTIF(AG18:AG37, "V")) / ((COUNTIF(AG18:AG37, "✓") + COUNTIF(AG18:AG37, "✔") + COUNTIF(AG18:AG37, "v") + COUNTIF(AG18:AG37, "V")) + COUNTIF(AG18:AG37, "✗") + COUNTIF(AG18:AG37, "x") + COUNTIF(AG18:AG37, "X")), "")</f>
        <v/>
      </c>
      <c r="AH39" s="134">
        <f>IF(((COUNTIF(AH18:AH37, "✓") + COUNTIF(AH18:AH37, "✔") + COUNTIF(AH18:AH37, "v") + COUNTIF(AH18:AH37, "V")) + COUNTIF(AH18:AH37, "✗") + COUNTIF(AH18:AH37, "x") + COUNTIF(AH18:AH37, "X")) &gt; 0, (COUNTIF(AH18:AH37, "✓") + COUNTIF(AH18:AH37, "✔") + COUNTIF(AH18:AH37, "v") + COUNTIF(AH18:AH37, "V")) / ((COUNTIF(AH18:AH37, "✓") + COUNTIF(AH18:AH37, "✔") + COUNTIF(AH18:AH37, "v") + COUNTIF(AH18:AH37, "V")) + COUNTIF(AH18:AH37, "✗") + COUNTIF(AH18:AH37, "x") + COUNTIF(AH18:AH37, "X")), "")</f>
        <v/>
      </c>
      <c r="AI39" s="134">
        <f>IF(((COUNTIF(AI18:AI37, "✓") + COUNTIF(AI18:AI37, "✔") + COUNTIF(AI18:AI37, "v") + COUNTIF(AI18:AI37, "V")) + COUNTIF(AI18:AI37, "✗") + COUNTIF(AI18:AI37, "x") + COUNTIF(AI18:AI37, "X")) &gt; 0, (COUNTIF(AI18:AI37, "✓") + COUNTIF(AI18:AI37, "✔") + COUNTIF(AI18:AI37, "v") + COUNTIF(AI18:AI37, "V")) / ((COUNTIF(AI18:AI37, "✓") + COUNTIF(AI18:AI37, "✔") + COUNTIF(AI18:AI37, "v") + COUNTIF(AI18:AI37, "V")) + COUNTIF(AI18:AI37, "✗") + COUNTIF(AI18:AI37, "x") + COUNTIF(AI18:AI37, "X")), "")</f>
        <v/>
      </c>
      <c r="AJ39" s="133">
        <f>IF(COUNT(E39:AI39) &gt; 0, AVERAGE(E39:AI39), "")</f>
        <v/>
      </c>
      <c r="AK39" s="54" t="n"/>
      <c r="AL39" s="54" t="n"/>
    </row>
    <row r="40" ht="6" customHeight="1"/>
    <row r="41" ht="15" customHeight="1">
      <c r="A41" s="135" t="inlineStr">
        <is>
          <t>IF SUCCESS &lt; 80%, PUNISHMENT: ________________________________________________</t>
        </is>
      </c>
    </row>
    <row r="42" ht="15" customHeight="1">
      <c r="A42" s="136" t="inlineStr">
        <is>
          <t>IF SUCCESS &gt; 90%, REWARD: __________________________________________________</t>
        </is>
      </c>
    </row>
    <row r="43" ht="10" customHeight="1"/>
    <row r="44" ht="10" customHeight="1"/>
    <row r="45" ht="15" customHeight="1">
      <c r="A45" s="51" t="inlineStr">
        <is>
          <t>Sleep Tracking</t>
        </is>
      </c>
      <c r="B45" s="52" t="n"/>
      <c r="C45" s="52" t="n"/>
      <c r="D45" s="52" t="n"/>
      <c r="E45" s="137" t="n">
        <v>1</v>
      </c>
      <c r="F45" s="137" t="n">
        <v>2</v>
      </c>
      <c r="G45" s="137" t="n">
        <v>3</v>
      </c>
      <c r="H45" s="137" t="n">
        <v>4</v>
      </c>
      <c r="I45" s="138" t="n">
        <v>5</v>
      </c>
      <c r="J45" s="137" t="n">
        <v>6</v>
      </c>
      <c r="K45" s="137" t="n">
        <v>7</v>
      </c>
      <c r="L45" s="137" t="n">
        <v>8</v>
      </c>
      <c r="M45" s="137" t="n">
        <v>9</v>
      </c>
      <c r="N45" s="137" t="n">
        <v>10</v>
      </c>
      <c r="O45" s="137" t="n">
        <v>11</v>
      </c>
      <c r="P45" s="138" t="n">
        <v>12</v>
      </c>
      <c r="Q45" s="137" t="n">
        <v>13</v>
      </c>
      <c r="R45" s="137" t="n">
        <v>14</v>
      </c>
      <c r="S45" s="137" t="n">
        <v>15</v>
      </c>
      <c r="T45" s="137" t="n">
        <v>16</v>
      </c>
      <c r="U45" s="137" t="n">
        <v>17</v>
      </c>
      <c r="V45" s="137" t="n">
        <v>18</v>
      </c>
      <c r="W45" s="138" t="n">
        <v>19</v>
      </c>
      <c r="X45" s="137" t="n">
        <v>20</v>
      </c>
      <c r="Y45" s="137" t="n">
        <v>21</v>
      </c>
      <c r="Z45" s="137" t="n">
        <v>22</v>
      </c>
      <c r="AA45" s="137" t="n">
        <v>23</v>
      </c>
      <c r="AB45" s="137" t="n">
        <v>24</v>
      </c>
      <c r="AC45" s="137" t="n">
        <v>25</v>
      </c>
      <c r="AD45" s="138" t="n">
        <v>26</v>
      </c>
      <c r="AE45" s="137" t="n">
        <v>27</v>
      </c>
      <c r="AF45" s="137" t="n">
        <v>28</v>
      </c>
      <c r="AG45" s="137" t="n">
        <v>29</v>
      </c>
      <c r="AH45" s="137" t="n">
        <v>30</v>
      </c>
      <c r="AI45" s="137" t="n">
        <v>31</v>
      </c>
    </row>
    <row r="46" ht="15" customHeight="1">
      <c r="A46" s="52" t="n"/>
      <c r="B46" s="52" t="n"/>
      <c r="C46" s="52" t="n"/>
      <c r="D46" s="52" t="n"/>
      <c r="E46" s="139" t="inlineStr">
        <is>
          <t>W</t>
        </is>
      </c>
      <c r="F46" s="139" t="inlineStr">
        <is>
          <t>Th</t>
        </is>
      </c>
      <c r="G46" s="139" t="inlineStr">
        <is>
          <t>F</t>
        </is>
      </c>
      <c r="H46" s="139" t="inlineStr">
        <is>
          <t>Sa</t>
        </is>
      </c>
      <c r="I46" s="140" t="inlineStr">
        <is>
          <t>Su</t>
        </is>
      </c>
      <c r="J46" s="139" t="inlineStr">
        <is>
          <t>M</t>
        </is>
      </c>
      <c r="K46" s="139" t="inlineStr">
        <is>
          <t>T</t>
        </is>
      </c>
      <c r="L46" s="139" t="inlineStr">
        <is>
          <t>W</t>
        </is>
      </c>
      <c r="M46" s="139" t="inlineStr">
        <is>
          <t>Th</t>
        </is>
      </c>
      <c r="N46" s="139" t="inlineStr">
        <is>
          <t>F</t>
        </is>
      </c>
      <c r="O46" s="139" t="inlineStr">
        <is>
          <t>Sa</t>
        </is>
      </c>
      <c r="P46" s="140" t="inlineStr">
        <is>
          <t>Su</t>
        </is>
      </c>
      <c r="Q46" s="139" t="inlineStr">
        <is>
          <t>M</t>
        </is>
      </c>
      <c r="R46" s="139" t="inlineStr">
        <is>
          <t>T</t>
        </is>
      </c>
      <c r="S46" s="139" t="inlineStr">
        <is>
          <t>W</t>
        </is>
      </c>
      <c r="T46" s="139" t="inlineStr">
        <is>
          <t>Th</t>
        </is>
      </c>
      <c r="U46" s="139" t="inlineStr">
        <is>
          <t>F</t>
        </is>
      </c>
      <c r="V46" s="139" t="inlineStr">
        <is>
          <t>Sa</t>
        </is>
      </c>
      <c r="W46" s="140" t="inlineStr">
        <is>
          <t>Su</t>
        </is>
      </c>
      <c r="X46" s="139" t="inlineStr">
        <is>
          <t>M</t>
        </is>
      </c>
      <c r="Y46" s="139" t="inlineStr">
        <is>
          <t>T</t>
        </is>
      </c>
      <c r="Z46" s="139" t="inlineStr">
        <is>
          <t>W</t>
        </is>
      </c>
      <c r="AA46" s="139" t="inlineStr">
        <is>
          <t>Th</t>
        </is>
      </c>
      <c r="AB46" s="139" t="inlineStr">
        <is>
          <t>F</t>
        </is>
      </c>
      <c r="AC46" s="139" t="inlineStr">
        <is>
          <t>Sa</t>
        </is>
      </c>
      <c r="AD46" s="140" t="inlineStr">
        <is>
          <t>Su</t>
        </is>
      </c>
      <c r="AE46" s="139" t="inlineStr">
        <is>
          <t>M</t>
        </is>
      </c>
      <c r="AF46" s="139" t="inlineStr">
        <is>
          <t>T</t>
        </is>
      </c>
      <c r="AG46" s="139" t="inlineStr">
        <is>
          <t>W</t>
        </is>
      </c>
      <c r="AH46" s="139" t="inlineStr">
        <is>
          <t>Th</t>
        </is>
      </c>
      <c r="AI46" s="139" t="inlineStr">
        <is>
          <t>F</t>
        </is>
      </c>
    </row>
    <row r="47" ht="20" customHeight="1">
      <c r="A47" s="141" t="inlineStr">
        <is>
          <t>Sleep Hours (1-24)</t>
        </is>
      </c>
      <c r="B47" s="142" t="n"/>
      <c r="C47" s="142" t="n"/>
      <c r="D47" s="142" t="n"/>
      <c r="E47" s="143" t="n"/>
      <c r="F47" s="143" t="n"/>
      <c r="G47" s="143" t="n"/>
      <c r="H47" s="143" t="n"/>
      <c r="I47" s="144" t="n"/>
      <c r="J47" s="143" t="n"/>
      <c r="K47" s="143" t="n"/>
      <c r="L47" s="143" t="n"/>
      <c r="M47" s="143" t="n"/>
      <c r="N47" s="143" t="n"/>
      <c r="O47" s="143" t="n"/>
      <c r="P47" s="144" t="n"/>
      <c r="Q47" s="143" t="n"/>
      <c r="R47" s="143" t="n"/>
      <c r="S47" s="143" t="n"/>
      <c r="T47" s="143" t="n"/>
      <c r="U47" s="143" t="n"/>
      <c r="V47" s="143" t="n"/>
      <c r="W47" s="144" t="n"/>
      <c r="X47" s="143" t="n"/>
      <c r="Y47" s="143" t="n"/>
      <c r="Z47" s="143" t="n"/>
      <c r="AA47" s="143" t="n"/>
      <c r="AB47" s="143" t="n"/>
      <c r="AC47" s="143" t="n"/>
      <c r="AD47" s="144" t="n"/>
      <c r="AE47" s="143" t="n"/>
      <c r="AF47" s="143" t="n"/>
      <c r="AG47" s="143" t="n"/>
      <c r="AH47" s="143" t="n"/>
      <c r="AI47" s="143" t="n"/>
    </row>
    <row r="48" ht="6" customHeight="1"/>
    <row r="49" ht="14" customHeight="1"/>
    <row r="50" ht="14" customHeight="1"/>
    <row r="51" ht="14" customHeight="1"/>
    <row r="52" ht="14" customHeight="1"/>
    <row r="53" ht="14" customHeight="1"/>
    <row r="54" ht="14" customHeight="1"/>
    <row r="55" ht="14" customHeight="1"/>
    <row r="56" ht="14" customHeight="1"/>
    <row r="57" ht="14" customHeight="1"/>
    <row r="58" ht="14" customHeight="1"/>
    <row r="59" ht="14" customHeight="1"/>
    <row r="60" ht="14" customHeight="1"/>
    <row r="61" ht="14" customHeight="1"/>
    <row r="62" ht="14" customHeight="1"/>
    <row r="63" ht="14" customHeight="1"/>
    <row r="64" ht="14" customHeight="1"/>
    <row r="65" ht="14" customHeight="1"/>
    <row r="66" ht="8" customHeight="1"/>
    <row r="67">
      <c r="A67" s="145" t="inlineStr">
        <is>
          <t>MONTHLY SUCCESS RATE</t>
        </is>
      </c>
      <c r="B67" s="9" t="n"/>
      <c r="C67" s="9" t="n"/>
      <c r="D67" s="9" t="n"/>
      <c r="F67" s="146" t="inlineStr">
        <is>
          <t>ACTIVE PROTOCOLS</t>
        </is>
      </c>
      <c r="G67" s="11" t="n"/>
      <c r="H67" s="11" t="n"/>
      <c r="I67" s="11" t="n"/>
      <c r="K67" s="147" t="inlineStr">
        <is>
          <t>PERFECT DAYS (100%)</t>
        </is>
      </c>
      <c r="L67" s="13" t="n"/>
      <c r="M67" s="13" t="n"/>
      <c r="N67" s="13" t="n"/>
      <c r="P67" s="148" t="inlineStr">
        <is>
          <t>AVG SLEEP DURATION</t>
        </is>
      </c>
      <c r="Q67" s="15" t="n"/>
      <c r="R67" s="15" t="n"/>
      <c r="S67" s="15" t="n"/>
    </row>
    <row r="68">
      <c r="A68" s="149">
        <f>IF(SUM(D18:D37)&gt;0, SUM(AM18:AM37)/SUM(D18:D37), 0)</f>
        <v/>
      </c>
      <c r="B68" s="9" t="n"/>
      <c r="C68" s="9" t="n"/>
      <c r="D68" s="9" t="n"/>
      <c r="F68" s="150">
        <f>COUNTA(B18:B37) &amp; " / 20"</f>
        <v/>
      </c>
      <c r="G68" s="11" t="n"/>
      <c r="H68" s="11" t="n"/>
      <c r="I68" s="11" t="n"/>
      <c r="K68" s="151">
        <f>COUNTIF(E39:AI39, 1) &amp; " Days"</f>
        <v/>
      </c>
      <c r="L68" s="13" t="n"/>
      <c r="M68" s="13" t="n"/>
      <c r="N68" s="13" t="n"/>
      <c r="P68" s="152">
        <f>IFERROR(TEXT(AVERAGE(E47:AI47), "0.0") &amp; " hrs", "-")</f>
        <v/>
      </c>
      <c r="Q68" s="15" t="n"/>
      <c r="R68" s="15" t="n"/>
      <c r="S68" s="15" t="n"/>
    </row>
    <row r="69">
      <c r="A69" s="9" t="n"/>
      <c r="B69" s="9" t="n"/>
      <c r="C69" s="9" t="n"/>
      <c r="D69" s="9" t="n"/>
      <c r="F69" s="11" t="n"/>
      <c r="G69" s="11" t="n"/>
      <c r="H69" s="11" t="n"/>
      <c r="I69" s="11" t="n"/>
      <c r="K69" s="13" t="n"/>
      <c r="L69" s="13" t="n"/>
      <c r="M69" s="13" t="n"/>
      <c r="N69" s="13" t="n"/>
      <c r="P69" s="15" t="n"/>
      <c r="Q69" s="15" t="n"/>
      <c r="R69" s="15" t="n"/>
      <c r="S69" s="15" t="n"/>
    </row>
    <row r="70">
      <c r="A70" s="9" t="n"/>
      <c r="B70" s="9" t="n"/>
      <c r="C70" s="9" t="n"/>
      <c r="D70" s="9" t="n"/>
      <c r="F70" s="11" t="n"/>
      <c r="G70" s="11" t="n"/>
      <c r="H70" s="11" t="n"/>
      <c r="I70" s="11" t="n"/>
      <c r="K70" s="13" t="n"/>
      <c r="L70" s="13" t="n"/>
      <c r="M70" s="13" t="n"/>
      <c r="N70" s="13" t="n"/>
      <c r="P70" s="15" t="n"/>
      <c r="Q70" s="15" t="n"/>
      <c r="R70" s="15" t="n"/>
      <c r="S70" s="15" t="n"/>
    </row>
    <row r="71">
      <c r="A71" s="153" t="inlineStr">
        <is>
          <t>Target Completion</t>
        </is>
      </c>
      <c r="B71" s="9" t="n"/>
      <c r="C71" s="9" t="n"/>
      <c r="D71" s="9" t="n"/>
      <c r="F71" s="154" t="inlineStr">
        <is>
          <t>Habits Tracked</t>
        </is>
      </c>
      <c r="G71" s="11" t="n"/>
      <c r="H71" s="11" t="n"/>
      <c r="I71" s="11" t="n"/>
      <c r="K71" s="155" t="inlineStr">
        <is>
          <t>All Marked Habits Completed</t>
        </is>
      </c>
      <c r="L71" s="13" t="n"/>
      <c r="M71" s="13" t="n"/>
      <c r="N71" s="13" t="n"/>
      <c r="P71" s="156" t="inlineStr">
        <is>
          <t>Nightly Rest Average</t>
        </is>
      </c>
      <c r="Q71" s="15" t="n"/>
      <c r="R71" s="15" t="n"/>
      <c r="S71" s="15" t="n"/>
    </row>
    <row r="72" ht="8" customHeight="1"/>
    <row r="73" ht="6" customHeight="1"/>
    <row r="74">
      <c r="A74" s="67" t="inlineStr">
        <is>
          <t>WEEKLY PERFORMANCE (SLUMP DETECTOR)</t>
        </is>
      </c>
      <c r="B74" s="29" t="n"/>
      <c r="C74" s="29" t="n"/>
      <c r="D74" s="29" t="n"/>
      <c r="E74" s="29" t="n"/>
      <c r="N74" s="157" t="inlineStr">
        <is>
          <t>LIFE DOMAIN / CATEGORY BREAKDOWN</t>
        </is>
      </c>
      <c r="O74" s="158" t="n"/>
      <c r="P74" s="158" t="n"/>
      <c r="Q74" s="158" t="n"/>
      <c r="R74" s="158" t="n"/>
      <c r="S74" s="158" t="n"/>
    </row>
    <row r="75" ht="15" customHeight="1">
      <c r="A75" s="53" t="inlineStr">
        <is>
          <t>Week</t>
        </is>
      </c>
      <c r="B75" s="53" t="inlineStr">
        <is>
          <t>Days Range</t>
        </is>
      </c>
      <c r="C75" s="53" t="inlineStr">
        <is>
          <t>Checks Done</t>
        </is>
      </c>
      <c r="D75" s="53" t="inlineStr">
        <is>
          <t>Evaluated</t>
        </is>
      </c>
      <c r="E75" s="53" t="inlineStr">
        <is>
          <t>Success %</t>
        </is>
      </c>
      <c r="N75" s="53" t="inlineStr">
        <is>
          <t>Domain / Category</t>
        </is>
      </c>
      <c r="O75" s="54" t="n"/>
      <c r="P75" s="53" t="inlineStr">
        <is>
          <t>Active Habits</t>
        </is>
      </c>
      <c r="Q75" s="53" t="inlineStr">
        <is>
          <t>Target Days</t>
        </is>
      </c>
      <c r="R75" s="53" t="inlineStr">
        <is>
          <t>Done Checks</t>
        </is>
      </c>
      <c r="S75" s="53" t="inlineStr">
        <is>
          <t>Success %</t>
        </is>
      </c>
    </row>
    <row r="76" ht="14" customHeight="1">
      <c r="A76" s="33" t="inlineStr">
        <is>
          <t>Week 1</t>
        </is>
      </c>
      <c r="B76" s="34" t="inlineStr">
        <is>
          <t>Days 1 - 7</t>
        </is>
      </c>
      <c r="C76" s="34">
        <f>COUNTIF(E18:K37, "✓")</f>
        <v/>
      </c>
      <c r="D76" s="34">
        <f>COUNTIF(E18:K37, "✓") + COUNTIF(E18:K37, "✗")</f>
        <v/>
      </c>
      <c r="E76" s="35">
        <f>IFERROR(C76/D76, 0)</f>
        <v/>
      </c>
      <c r="N76" s="60" t="inlineStr">
        <is>
          <t>Health &amp; Fitness</t>
        </is>
      </c>
      <c r="O76" s="54" t="n"/>
      <c r="P76" s="34">
        <f>COUNTIF($C$18:$C$37, "Health &amp; Fitness")</f>
        <v/>
      </c>
      <c r="Q76" s="34">
        <f>SUMIF($C$18:$C$37, "Health &amp; Fitness", $D$18:$D$37)</f>
        <v/>
      </c>
      <c r="R76" s="34">
        <f>SUMIF($C$18:$C$37, "Health &amp; Fitness", $AM$18:$AM$37)</f>
        <v/>
      </c>
      <c r="S76" s="35">
        <f>IFERROR(R76/Q76, 0)</f>
        <v/>
      </c>
    </row>
    <row r="77" ht="14" customHeight="1">
      <c r="A77" s="33" t="inlineStr">
        <is>
          <t>Week 2</t>
        </is>
      </c>
      <c r="B77" s="34" t="inlineStr">
        <is>
          <t>Days 8 - 14</t>
        </is>
      </c>
      <c r="C77" s="34">
        <f>COUNTIF(L18:R37, "✓")</f>
        <v/>
      </c>
      <c r="D77" s="34">
        <f>COUNTIF(L18:R37, "✓") + COUNTIF(L18:R37, "✗")</f>
        <v/>
      </c>
      <c r="E77" s="35">
        <f>IFERROR(C77/D77, 0)</f>
        <v/>
      </c>
      <c r="N77" s="60" t="inlineStr">
        <is>
          <t>Mindset &amp; Learning</t>
        </is>
      </c>
      <c r="O77" s="54" t="n"/>
      <c r="P77" s="34">
        <f>COUNTIF($C$18:$C$37, "Mindset &amp; Learning")</f>
        <v/>
      </c>
      <c r="Q77" s="34">
        <f>SUMIF($C$18:$C$37, "Mindset &amp; Learning", $D$18:$D$37)</f>
        <v/>
      </c>
      <c r="R77" s="34">
        <f>SUMIF($C$18:$C$37, "Mindset &amp; Learning", $AM$18:$AM$37)</f>
        <v/>
      </c>
      <c r="S77" s="35">
        <f>IFERROR(R77/Q77, 0)</f>
        <v/>
      </c>
    </row>
    <row r="78" ht="14" customHeight="1">
      <c r="A78" s="33" t="inlineStr">
        <is>
          <t>Week 3</t>
        </is>
      </c>
      <c r="B78" s="34" t="inlineStr">
        <is>
          <t>Days 15 - 21</t>
        </is>
      </c>
      <c r="C78" s="34">
        <f>COUNTIF(S18:Y37, "✓")</f>
        <v/>
      </c>
      <c r="D78" s="34">
        <f>COUNTIF(S18:Y37, "✓") + COUNTIF(S18:Y37, "✗")</f>
        <v/>
      </c>
      <c r="E78" s="35">
        <f>IFERROR(C78/D78, 0)</f>
        <v/>
      </c>
      <c r="N78" s="60" t="inlineStr">
        <is>
          <t>Career &amp; Focus</t>
        </is>
      </c>
      <c r="O78" s="54" t="n"/>
      <c r="P78" s="34">
        <f>COUNTIF($C$18:$C$37, "Career &amp; Focus")</f>
        <v/>
      </c>
      <c r="Q78" s="34">
        <f>SUMIF($C$18:$C$37, "Career &amp; Focus", $D$18:$D$37)</f>
        <v/>
      </c>
      <c r="R78" s="34">
        <f>SUMIF($C$18:$C$37, "Career &amp; Focus", $AM$18:$AM$37)</f>
        <v/>
      </c>
      <c r="S78" s="35">
        <f>IFERROR(R78/Q78, 0)</f>
        <v/>
      </c>
    </row>
    <row r="79" ht="14" customHeight="1">
      <c r="A79" s="33" t="inlineStr">
        <is>
          <t>Week 4</t>
        </is>
      </c>
      <c r="B79" s="34" t="inlineStr">
        <is>
          <t>Days 22 - 28</t>
        </is>
      </c>
      <c r="C79" s="34">
        <f>COUNTIF(Z18:AF37, "✓")</f>
        <v/>
      </c>
      <c r="D79" s="34">
        <f>COUNTIF(Z18:AF37, "✓") + COUNTIF(Z18:AF37, "✗")</f>
        <v/>
      </c>
      <c r="E79" s="35">
        <f>IFERROR(C79/D79, 0)</f>
        <v/>
      </c>
      <c r="N79" s="60" t="inlineStr">
        <is>
          <t>Personal &amp; Home</t>
        </is>
      </c>
      <c r="O79" s="54" t="n"/>
      <c r="P79" s="34">
        <f>COUNTIF($C$18:$C$37, "Personal &amp; Home")</f>
        <v/>
      </c>
      <c r="Q79" s="34">
        <f>SUMIF($C$18:$C$37, "Personal &amp; Home", $D$18:$D$37)</f>
        <v/>
      </c>
      <c r="R79" s="34">
        <f>SUMIF($C$18:$C$37, "Personal &amp; Home", $AM$18:$AM$37)</f>
        <v/>
      </c>
      <c r="S79" s="35">
        <f>IFERROR(R79/Q79, 0)</f>
        <v/>
      </c>
    </row>
    <row r="80" ht="14" customHeight="1">
      <c r="A80" s="33" t="inlineStr">
        <is>
          <t>Week 5</t>
        </is>
      </c>
      <c r="B80" s="34" t="inlineStr">
        <is>
          <t>Days 29 - 31</t>
        </is>
      </c>
      <c r="C80" s="34">
        <f>COUNTIF(AG18:AI37, "✓")</f>
        <v/>
      </c>
      <c r="D80" s="34">
        <f>COUNTIF(AG18:AI37, "✓") + COUNTIF(AG18:AI37, "✗")</f>
        <v/>
      </c>
      <c r="E80" s="35">
        <f>IFERROR(C80/D80, 0)</f>
        <v/>
      </c>
      <c r="N80" s="60" t="inlineStr">
        <is>
          <t>Finance &amp; Wealth</t>
        </is>
      </c>
      <c r="O80" s="54" t="n"/>
      <c r="P80" s="34">
        <f>COUNTIF($C$18:$C$37, "Finance &amp; Wealth")</f>
        <v/>
      </c>
      <c r="Q80" s="34">
        <f>SUMIF($C$18:$C$37, "Finance &amp; Wealth", $D$18:$D$37)</f>
        <v/>
      </c>
      <c r="R80" s="34">
        <f>SUMIF($C$18:$C$37, "Finance &amp; Wealth", $AM$18:$AM$37)</f>
        <v/>
      </c>
      <c r="S80" s="35">
        <f>IFERROR(R80/Q80, 0)</f>
        <v/>
      </c>
    </row>
    <row r="81" ht="14" customHeight="1">
      <c r="A81" s="33" t="inlineStr">
        <is>
          <t>Total / Avg</t>
        </is>
      </c>
      <c r="B81" s="159" t="inlineStr">
        <is>
          <t>Month Total</t>
        </is>
      </c>
      <c r="C81" s="33">
        <f>SUM(C76:C80)</f>
        <v/>
      </c>
      <c r="D81" s="33">
        <f>SUM(D76:D80)</f>
        <v/>
      </c>
      <c r="E81" s="133">
        <f>IFERROR(C81/D81, 0)</f>
        <v/>
      </c>
    </row>
    <row r="82" ht="10" customHeight="1"/>
    <row r="83" ht="10" customHeight="1"/>
    <row r="84">
      <c r="A84" s="51" t="inlineStr">
        <is>
          <t>SLEEP &amp; PRODUCTIVITY CORRELATION ANALYSIS</t>
        </is>
      </c>
      <c r="B84" s="52" t="n"/>
      <c r="C84" s="52" t="n"/>
      <c r="D84" s="52" t="n"/>
      <c r="E84" s="52" t="n"/>
      <c r="F84" s="52" t="n"/>
      <c r="G84" s="52" t="n"/>
      <c r="H84" s="52" t="n"/>
      <c r="I84" s="52" t="n"/>
      <c r="J84" s="52" t="n"/>
      <c r="K84" s="52" t="n"/>
      <c r="L84" s="52" t="n"/>
      <c r="M84" s="52" t="n"/>
      <c r="N84" s="52" t="n"/>
      <c r="O84" s="52" t="n"/>
      <c r="P84" s="52" t="n"/>
      <c r="Q84" s="52" t="n"/>
      <c r="R84" s="52" t="n"/>
      <c r="S84" s="52" t="n"/>
      <c r="T84" s="52" t="n"/>
      <c r="U84" s="52" t="n"/>
      <c r="V84" s="52" t="n"/>
      <c r="W84" s="52" t="n"/>
      <c r="X84" s="52" t="n"/>
      <c r="Y84" s="52" t="n"/>
      <c r="Z84" s="52" t="n"/>
      <c r="AA84" s="52" t="n"/>
      <c r="AB84" s="52" t="n"/>
      <c r="AC84" s="52" t="n"/>
      <c r="AD84" s="52" t="n"/>
      <c r="AE84" s="52" t="n"/>
      <c r="AF84" s="52" t="n"/>
      <c r="AG84" s="52" t="n"/>
      <c r="AH84" s="52" t="n"/>
      <c r="AI84" s="52" t="n"/>
      <c r="AJ84" s="52" t="n"/>
      <c r="AK84" s="52" t="n"/>
      <c r="AL84" s="52" t="n"/>
    </row>
    <row r="85" ht="15" customHeight="1">
      <c r="A85" s="53" t="inlineStr">
        <is>
          <t>Rest Category</t>
        </is>
      </c>
      <c r="B85" s="54" t="n"/>
      <c r="C85" s="54" t="n"/>
      <c r="D85" s="53" t="inlineStr">
        <is>
          <t>Day Criteria</t>
        </is>
      </c>
      <c r="E85" s="54" t="n"/>
      <c r="F85" s="54" t="n"/>
      <c r="G85" s="53" t="inlineStr">
        <is>
          <t>Days Logged</t>
        </is>
      </c>
      <c r="H85" s="54" t="n"/>
      <c r="I85" s="54" t="n"/>
      <c r="J85" s="53" t="inlineStr">
        <is>
          <t>Avg Sleep Duration</t>
        </is>
      </c>
      <c r="K85" s="54" t="n"/>
      <c r="L85" s="54" t="n"/>
      <c r="M85" s="54" t="n"/>
      <c r="N85" s="53" t="inlineStr">
        <is>
          <t>Avg Habit Success %</t>
        </is>
      </c>
      <c r="O85" s="54" t="n"/>
      <c r="P85" s="54" t="n"/>
      <c r="Q85" s="54" t="n"/>
      <c r="R85" s="53" t="inlineStr">
        <is>
          <t>Productivity Delta</t>
        </is>
      </c>
      <c r="S85" s="54" t="n"/>
      <c r="T85" s="54" t="n"/>
      <c r="U85" s="54" t="n"/>
    </row>
    <row r="86" ht="15" customHeight="1">
      <c r="A86" s="160" t="inlineStr">
        <is>
          <t>Optimal Rest</t>
        </is>
      </c>
      <c r="B86" s="161" t="n"/>
      <c r="C86" s="56" t="n"/>
      <c r="D86" s="34" t="inlineStr">
        <is>
          <t>&gt;= 7 Hours / Night</t>
        </is>
      </c>
      <c r="E86" s="161" t="n"/>
      <c r="F86" s="56" t="n"/>
      <c r="G86" s="33">
        <f>COUNTIF(E47:AI47, "&gt;=7")</f>
        <v/>
      </c>
      <c r="H86" s="161" t="n"/>
      <c r="I86" s="56" t="n"/>
      <c r="J86" s="34">
        <f>IFERROR(TEXT(AVERAGEIF(E47:AI47, "&gt;=7"), "0.0") &amp; " hrs", "-")</f>
        <v/>
      </c>
      <c r="K86" s="161" t="n"/>
      <c r="L86" s="161" t="n"/>
      <c r="M86" s="56" t="n"/>
      <c r="N86" s="42">
        <f>IFERROR(AVERAGEIFS(E39:AI39, E47:AI47, "&gt;=7", E39:AI39, "&gt;0"), 0)</f>
        <v/>
      </c>
      <c r="O86" s="161" t="n"/>
      <c r="P86" s="161" t="n"/>
      <c r="Q86" s="56" t="n"/>
      <c r="R86" s="159" t="inlineStr">
        <is>
          <t>Baseline (Target)</t>
        </is>
      </c>
      <c r="S86" s="161" t="n"/>
      <c r="T86" s="161" t="n"/>
      <c r="U86" s="56" t="n"/>
    </row>
    <row r="87" ht="15" customHeight="1">
      <c r="A87" s="162" t="inlineStr">
        <is>
          <t>Sleep Deficit</t>
        </is>
      </c>
      <c r="B87" s="161" t="n"/>
      <c r="C87" s="56" t="n"/>
      <c r="D87" s="34" t="inlineStr">
        <is>
          <t>&lt; 7 Hours / Night</t>
        </is>
      </c>
      <c r="E87" s="161" t="n"/>
      <c r="F87" s="56" t="n"/>
      <c r="G87" s="33">
        <f>COUNTIF(E47:AI47, "&lt;7") - COUNTIF(E47:AI47, "")</f>
        <v/>
      </c>
      <c r="H87" s="161" t="n"/>
      <c r="I87" s="56" t="n"/>
      <c r="J87" s="34">
        <f>IFERROR(TEXT(AVERAGEIFS(E47:AI47, E47:AI47, "&lt;7", E47:AI47, "&gt;0"), "0.0") &amp; " hrs", "-")</f>
        <v/>
      </c>
      <c r="K87" s="161" t="n"/>
      <c r="L87" s="161" t="n"/>
      <c r="M87" s="56" t="n"/>
      <c r="N87" s="163">
        <f>IFERROR(AVERAGEIFS(E39:AI39, E47:AI47, "&lt;7", E39:AI39, "&gt;0"), 0)</f>
        <v/>
      </c>
      <c r="O87" s="161" t="n"/>
      <c r="P87" s="161" t="n"/>
      <c r="Q87" s="56" t="n"/>
      <c r="R87" s="160">
        <f>IFERROR(TEXT(N86 - N87, "+0.0%;-0.0%;0.0%") &amp; " Rest Advantage", "-")</f>
        <v/>
      </c>
      <c r="S87" s="161" t="n"/>
      <c r="T87" s="161" t="n"/>
      <c r="U87" s="56" t="n"/>
    </row>
    <row r="88" ht="18" customHeight="1">
      <c r="A88" s="164">
        <f>IF(AND(ISNUMBER(N86), ISNUMBER(N87), N86&gt;0, N87&gt;0), "💡 Sleep Correlation Insight: You complete " &amp; TEXT(ABS(N86-N87), "0.0%") &amp; IF(N86&gt;=N87, " MORE habits on days with 7+ hours of sleep!", " fewer habits on days with 7+ hours of sleep."), "💡 Log both habits and sleep hours daily to unlock automatic AI correlation insights!")</f>
        <v/>
      </c>
      <c r="B88" s="161" t="n"/>
      <c r="C88" s="161" t="n"/>
      <c r="D88" s="161" t="n"/>
      <c r="E88" s="161" t="n"/>
      <c r="F88" s="161" t="n"/>
      <c r="G88" s="161" t="n"/>
      <c r="H88" s="161" t="n"/>
      <c r="I88" s="161" t="n"/>
      <c r="J88" s="161" t="n"/>
      <c r="K88" s="161" t="n"/>
      <c r="L88" s="161" t="n"/>
      <c r="M88" s="161" t="n"/>
      <c r="N88" s="161" t="n"/>
      <c r="O88" s="161" t="n"/>
      <c r="P88" s="161" t="n"/>
      <c r="Q88" s="161" t="n"/>
      <c r="R88" s="161" t="n"/>
      <c r="S88" s="161" t="n"/>
      <c r="T88" s="161" t="n"/>
      <c r="U88" s="161" t="n"/>
      <c r="V88" s="161" t="n"/>
      <c r="W88" s="161" t="n"/>
      <c r="X88" s="161" t="n"/>
      <c r="Y88" s="161" t="n"/>
      <c r="Z88" s="161" t="n"/>
      <c r="AA88" s="161" t="n"/>
      <c r="AB88" s="161" t="n"/>
      <c r="AC88" s="161" t="n"/>
      <c r="AD88" s="161" t="n"/>
      <c r="AE88" s="161" t="n"/>
      <c r="AF88" s="161" t="n"/>
      <c r="AG88" s="161" t="n"/>
      <c r="AH88" s="161" t="n"/>
      <c r="AI88" s="161" t="n"/>
      <c r="AJ88" s="161" t="n"/>
      <c r="AK88" s="161" t="n"/>
      <c r="AL88" s="56" t="n"/>
    </row>
    <row r="89" ht="10" customHeight="1"/>
    <row r="90">
      <c r="A90" s="43" t="inlineStr">
        <is>
          <t>STANDARDIZED DATA BRIDGE (FOR ANNUAL &amp; QUARTERLY REVIEW SHEETS)</t>
        </is>
      </c>
      <c r="B90" s="44" t="n"/>
      <c r="C90" s="44" t="n"/>
      <c r="D90" s="44" t="n"/>
      <c r="E90" s="44" t="n"/>
      <c r="F90" s="44" t="n"/>
      <c r="G90" s="44" t="n"/>
      <c r="H90" s="44" t="n"/>
      <c r="I90" s="44" t="n"/>
      <c r="J90" s="44" t="n"/>
      <c r="K90" s="44" t="n"/>
      <c r="L90" s="44" t="n"/>
      <c r="M90" s="44" t="n"/>
      <c r="N90" s="44" t="n"/>
      <c r="O90" s="44" t="n"/>
      <c r="P90" s="44" t="n"/>
      <c r="Q90" s="44" t="n"/>
      <c r="R90" s="44" t="n"/>
      <c r="S90" s="44" t="n"/>
      <c r="T90" s="44" t="n"/>
      <c r="U90" s="44" t="n"/>
      <c r="V90" s="44" t="n"/>
      <c r="W90" s="44" t="n"/>
      <c r="X90" s="44" t="n"/>
      <c r="Y90" s="44" t="n"/>
      <c r="Z90" s="44" t="n"/>
      <c r="AA90" s="44" t="n"/>
      <c r="AB90" s="44" t="n"/>
      <c r="AC90" s="44" t="n"/>
      <c r="AD90" s="44" t="n"/>
      <c r="AE90" s="44" t="n"/>
      <c r="AF90" s="44" t="n"/>
      <c r="AG90" s="44" t="n"/>
      <c r="AH90" s="44" t="n"/>
      <c r="AI90" s="44" t="n"/>
      <c r="AJ90" s="44" t="n"/>
      <c r="AK90" s="44" t="n"/>
      <c r="AL90" s="44" t="n"/>
    </row>
    <row r="91" ht="15" customHeight="1">
      <c r="A91" s="53" t="inlineStr">
        <is>
          <t>Month</t>
        </is>
      </c>
      <c r="B91" s="54" t="n"/>
      <c r="C91" s="53" t="inlineStr">
        <is>
          <t>Year</t>
        </is>
      </c>
      <c r="D91" s="54" t="n"/>
      <c r="E91" s="53" t="inlineStr">
        <is>
          <t>Active Habits</t>
        </is>
      </c>
      <c r="F91" s="54" t="n"/>
      <c r="G91" s="53" t="inlineStr">
        <is>
          <t>Target Days</t>
        </is>
      </c>
      <c r="H91" s="54" t="n"/>
      <c r="I91" s="53" t="inlineStr">
        <is>
          <t>Done Checks</t>
        </is>
      </c>
      <c r="J91" s="54" t="n"/>
      <c r="K91" s="53" t="inlineStr">
        <is>
          <t>Success %</t>
        </is>
      </c>
      <c r="L91" s="54" t="n"/>
      <c r="M91" s="53" t="inlineStr">
        <is>
          <t>Perfect Days</t>
        </is>
      </c>
      <c r="N91" s="54" t="n"/>
      <c r="O91" s="53" t="inlineStr">
        <is>
          <t>Avg Sleep</t>
        </is>
      </c>
      <c r="P91" s="54" t="n"/>
      <c r="Q91" s="53" t="inlineStr">
        <is>
          <t>Best Week</t>
        </is>
      </c>
      <c r="R91" s="54" t="n"/>
      <c r="S91" s="54" t="n"/>
      <c r="T91" s="53" t="inlineStr">
        <is>
          <t>Top Life Domain</t>
        </is>
      </c>
      <c r="U91" s="54" t="n"/>
      <c r="V91" s="54" t="n"/>
      <c r="W91" s="54" t="n"/>
    </row>
    <row r="92" ht="16" customHeight="1">
      <c r="A92" s="165" t="inlineStr">
        <is>
          <t>Dec</t>
        </is>
      </c>
      <c r="B92" s="56" t="n"/>
      <c r="C92" s="165" t="n">
        <v>2027</v>
      </c>
      <c r="D92" s="56" t="n"/>
      <c r="E92" s="166">
        <f>COUNTA(B18:B37)</f>
        <v/>
      </c>
      <c r="F92" s="56" t="n"/>
      <c r="G92" s="166">
        <f>SUM(D18:D37)</f>
        <v/>
      </c>
      <c r="H92" s="56" t="n"/>
      <c r="I92" s="166">
        <f>SUM(AM18:AM37)</f>
        <v/>
      </c>
      <c r="J92" s="56" t="n"/>
      <c r="K92" s="167">
        <f>IF(G92&gt;0, I92/G92, 0)</f>
        <v/>
      </c>
      <c r="L92" s="56" t="n"/>
      <c r="M92" s="166">
        <f>COUNTIF(E39:AI39, 1)</f>
        <v/>
      </c>
      <c r="N92" s="56" t="n"/>
      <c r="O92" s="168">
        <f>IFERROR(AVERAGE(E47:AI47), 0)</f>
        <v/>
      </c>
      <c r="P92" s="56" t="n"/>
      <c r="Q92" s="166">
        <f>INDEX(A76:A80, MATCH(MAX(E76:E80), E76:E80, 0))</f>
        <v/>
      </c>
      <c r="R92" s="161" t="n"/>
      <c r="S92" s="56" t="n"/>
      <c r="T92" s="166">
        <f>INDEX(N76:N80, MATCH(MAX(S76:S80), S76:S80, 0))</f>
        <v/>
      </c>
      <c r="U92" s="161" t="n"/>
      <c r="V92" s="161" t="n"/>
      <c r="W92" s="56" t="n"/>
    </row>
    <row r="93" ht="14" customHeight="1">
      <c r="A93" s="169" t="inlineStr">
        <is>
          <t>📋 Note: Reference or copy Row 92 directly into an Annual / Quarterly review dashboard to track yearly habit trends.</t>
        </is>
      </c>
    </row>
    <row r="94" ht="8" customHeight="1"/>
    <row r="95">
      <c r="A95" s="170" t="inlineStr">
        <is>
          <t>🏆 MONTHLY WINS &amp; HIGHLIGHTS</t>
        </is>
      </c>
      <c r="J95" s="171" t="inlineStr">
        <is>
          <t>⚠️ FRICTION POINTS &amp; ROOT CAUSES</t>
        </is>
      </c>
      <c r="S95" s="172" t="inlineStr">
        <is>
          <t>🎯 3 KEY ADJUSTMENTS FOR NEXT MONTH</t>
        </is>
      </c>
    </row>
    <row r="96">
      <c r="A96" s="173" t="inlineStr">
        <is>
          <t>1. What went exceptionally well this month?
2. Which habit felt effortless and consistent?
3. Major milestone achieved:</t>
        </is>
      </c>
      <c r="B96" s="174" t="n"/>
      <c r="C96" s="174" t="n"/>
      <c r="D96" s="174" t="n"/>
      <c r="E96" s="174" t="n"/>
      <c r="F96" s="174" t="n"/>
      <c r="G96" s="174" t="n"/>
      <c r="H96" s="174" t="n"/>
      <c r="J96" s="175" t="inlineStr">
        <is>
          <t>1. What caused missed or skipped days?
2. Main triggers / energy drains encountered:
3. Which habit had the lowest consistency and why?</t>
        </is>
      </c>
      <c r="K96" s="176" t="n"/>
      <c r="L96" s="176" t="n"/>
      <c r="M96" s="176" t="n"/>
      <c r="N96" s="176" t="n"/>
      <c r="O96" s="176" t="n"/>
      <c r="P96" s="176" t="n"/>
      <c r="Q96" s="176" t="n"/>
      <c r="S96" s="177" t="inlineStr">
        <is>
          <t>1. Habit Stacking or time adjustment for next month:
2. Environment design change to eliminate friction:
3. One non-negotiable priority protocol:</t>
        </is>
      </c>
      <c r="T96" s="178" t="n"/>
      <c r="U96" s="178" t="n"/>
      <c r="V96" s="178" t="n"/>
      <c r="W96" s="178" t="n"/>
      <c r="X96" s="178" t="n"/>
      <c r="Y96" s="178" t="n"/>
      <c r="Z96" s="178" t="n"/>
    </row>
    <row r="97">
      <c r="A97" s="174" t="n"/>
      <c r="B97" s="174" t="n"/>
      <c r="C97" s="174" t="n"/>
      <c r="D97" s="174" t="n"/>
      <c r="E97" s="174" t="n"/>
      <c r="F97" s="174" t="n"/>
      <c r="G97" s="174" t="n"/>
      <c r="H97" s="174" t="n"/>
      <c r="J97" s="176" t="n"/>
      <c r="K97" s="176" t="n"/>
      <c r="L97" s="176" t="n"/>
      <c r="M97" s="176" t="n"/>
      <c r="N97" s="176" t="n"/>
      <c r="O97" s="176" t="n"/>
      <c r="P97" s="176" t="n"/>
      <c r="Q97" s="176" t="n"/>
      <c r="S97" s="178" t="n"/>
      <c r="T97" s="178" t="n"/>
      <c r="U97" s="178" t="n"/>
      <c r="V97" s="178" t="n"/>
      <c r="W97" s="178" t="n"/>
      <c r="X97" s="178" t="n"/>
      <c r="Y97" s="178" t="n"/>
      <c r="Z97" s="178" t="n"/>
    </row>
    <row r="98">
      <c r="A98" s="174" t="n"/>
      <c r="B98" s="174" t="n"/>
      <c r="C98" s="174" t="n"/>
      <c r="D98" s="174" t="n"/>
      <c r="E98" s="174" t="n"/>
      <c r="F98" s="174" t="n"/>
      <c r="G98" s="174" t="n"/>
      <c r="H98" s="174" t="n"/>
      <c r="J98" s="176" t="n"/>
      <c r="K98" s="176" t="n"/>
      <c r="L98" s="176" t="n"/>
      <c r="M98" s="176" t="n"/>
      <c r="N98" s="176" t="n"/>
      <c r="O98" s="176" t="n"/>
      <c r="P98" s="176" t="n"/>
      <c r="Q98" s="176" t="n"/>
      <c r="S98" s="178" t="n"/>
      <c r="T98" s="178" t="n"/>
      <c r="U98" s="178" t="n"/>
      <c r="V98" s="178" t="n"/>
      <c r="W98" s="178" t="n"/>
      <c r="X98" s="178" t="n"/>
      <c r="Y98" s="178" t="n"/>
      <c r="Z98" s="178" t="n"/>
    </row>
    <row r="99">
      <c r="A99" s="174" t="n"/>
      <c r="B99" s="174" t="n"/>
      <c r="C99" s="174" t="n"/>
      <c r="D99" s="174" t="n"/>
      <c r="E99" s="174" t="n"/>
      <c r="F99" s="174" t="n"/>
      <c r="G99" s="174" t="n"/>
      <c r="H99" s="174" t="n"/>
      <c r="J99" s="176" t="n"/>
      <c r="K99" s="176" t="n"/>
      <c r="L99" s="176" t="n"/>
      <c r="M99" s="176" t="n"/>
      <c r="N99" s="176" t="n"/>
      <c r="O99" s="176" t="n"/>
      <c r="P99" s="176" t="n"/>
      <c r="Q99" s="176" t="n"/>
      <c r="S99" s="178" t="n"/>
      <c r="T99" s="178" t="n"/>
      <c r="U99" s="178" t="n"/>
      <c r="V99" s="178" t="n"/>
      <c r="W99" s="178" t="n"/>
      <c r="X99" s="178" t="n"/>
      <c r="Y99" s="178" t="n"/>
      <c r="Z99" s="178" t="n"/>
    </row>
    <row r="100">
      <c r="A100" s="174" t="n"/>
      <c r="B100" s="174" t="n"/>
      <c r="C100" s="174" t="n"/>
      <c r="D100" s="174" t="n"/>
      <c r="E100" s="174" t="n"/>
      <c r="F100" s="174" t="n"/>
      <c r="G100" s="174" t="n"/>
      <c r="H100" s="174" t="n"/>
      <c r="J100" s="176" t="n"/>
      <c r="K100" s="176" t="n"/>
      <c r="L100" s="176" t="n"/>
      <c r="M100" s="176" t="n"/>
      <c r="N100" s="176" t="n"/>
      <c r="O100" s="176" t="n"/>
      <c r="P100" s="176" t="n"/>
      <c r="Q100" s="176" t="n"/>
      <c r="S100" s="178" t="n"/>
      <c r="T100" s="178" t="n"/>
      <c r="U100" s="178" t="n"/>
      <c r="V100" s="178" t="n"/>
      <c r="W100" s="178" t="n"/>
      <c r="X100" s="178" t="n"/>
      <c r="Y100" s="178" t="n"/>
      <c r="Z100" s="178" t="n"/>
    </row>
    <row r="101">
      <c r="A101" s="174" t="n"/>
      <c r="B101" s="174" t="n"/>
      <c r="C101" s="174" t="n"/>
      <c r="D101" s="174" t="n"/>
      <c r="E101" s="174" t="n"/>
      <c r="F101" s="174" t="n"/>
      <c r="G101" s="174" t="n"/>
      <c r="H101" s="174" t="n"/>
      <c r="J101" s="176" t="n"/>
      <c r="K101" s="176" t="n"/>
      <c r="L101" s="176" t="n"/>
      <c r="M101" s="176" t="n"/>
      <c r="N101" s="176" t="n"/>
      <c r="O101" s="176" t="n"/>
      <c r="P101" s="176" t="n"/>
      <c r="Q101" s="176" t="n"/>
      <c r="S101" s="178" t="n"/>
      <c r="T101" s="178" t="n"/>
      <c r="U101" s="178" t="n"/>
      <c r="V101" s="178" t="n"/>
      <c r="W101" s="178" t="n"/>
      <c r="X101" s="178" t="n"/>
      <c r="Y101" s="178" t="n"/>
      <c r="Z101" s="178" t="n"/>
    </row>
    <row r="102">
      <c r="A102" s="174" t="n"/>
      <c r="B102" s="174" t="n"/>
      <c r="C102" s="174" t="n"/>
      <c r="D102" s="174" t="n"/>
      <c r="E102" s="174" t="n"/>
      <c r="F102" s="174" t="n"/>
      <c r="G102" s="174" t="n"/>
      <c r="H102" s="174" t="n"/>
      <c r="J102" s="176" t="n"/>
      <c r="K102" s="176" t="n"/>
      <c r="L102" s="176" t="n"/>
      <c r="M102" s="176" t="n"/>
      <c r="N102" s="176" t="n"/>
      <c r="O102" s="176" t="n"/>
      <c r="P102" s="176" t="n"/>
      <c r="Q102" s="176" t="n"/>
      <c r="S102" s="178" t="n"/>
      <c r="T102" s="178" t="n"/>
      <c r="U102" s="178" t="n"/>
      <c r="V102" s="178" t="n"/>
      <c r="W102" s="178" t="n"/>
      <c r="X102" s="178" t="n"/>
      <c r="Y102" s="178" t="n"/>
      <c r="Z102" s="178" t="n"/>
    </row>
    <row r="103">
      <c r="A103" s="174" t="n"/>
      <c r="B103" s="174" t="n"/>
      <c r="C103" s="174" t="n"/>
      <c r="D103" s="174" t="n"/>
      <c r="E103" s="174" t="n"/>
      <c r="F103" s="174" t="n"/>
      <c r="G103" s="174" t="n"/>
      <c r="H103" s="174" t="n"/>
      <c r="J103" s="176" t="n"/>
      <c r="K103" s="176" t="n"/>
      <c r="L103" s="176" t="n"/>
      <c r="M103" s="176" t="n"/>
      <c r="N103" s="176" t="n"/>
      <c r="O103" s="176" t="n"/>
      <c r="P103" s="176" t="n"/>
      <c r="Q103" s="176" t="n"/>
      <c r="S103" s="178" t="n"/>
      <c r="T103" s="178" t="n"/>
      <c r="U103" s="178" t="n"/>
      <c r="V103" s="178" t="n"/>
      <c r="W103" s="178" t="n"/>
      <c r="X103" s="178" t="n"/>
      <c r="Y103" s="178" t="n"/>
      <c r="Z103" s="178" t="n"/>
    </row>
  </sheetData>
  <sheetProtection selectLockedCells="1" selectUnlockedCells="1" sheet="1" objects="0" insertRows="1" insertHyperlinks="1" autoFilter="1" scenarios="0" formatColumns="1" deleteColumns="1" insertColumns="1" pivotTables="1" deleteRows="1" formatCells="1" formatRows="1" sort="1"/>
  <mergeCells count="94">
    <mergeCell ref="A9:N9"/>
    <mergeCell ref="N76:O76"/>
    <mergeCell ref="F67:I67"/>
    <mergeCell ref="G87:I87"/>
    <mergeCell ref="A16:A17"/>
    <mergeCell ref="A45:D46"/>
    <mergeCell ref="C16:C17"/>
    <mergeCell ref="N75:O75"/>
    <mergeCell ref="N77:O77"/>
    <mergeCell ref="AE2:AL2"/>
    <mergeCell ref="P9:AL9"/>
    <mergeCell ref="P68:S70"/>
    <mergeCell ref="D16:D17"/>
    <mergeCell ref="N85:Q85"/>
    <mergeCell ref="A95:H95"/>
    <mergeCell ref="A84:AL84"/>
    <mergeCell ref="Q91:S91"/>
    <mergeCell ref="E91:F91"/>
    <mergeCell ref="A8:N8"/>
    <mergeCell ref="A42:AL42"/>
    <mergeCell ref="G91:H91"/>
    <mergeCell ref="J86:M86"/>
    <mergeCell ref="H3:AD3"/>
    <mergeCell ref="K67:N67"/>
    <mergeCell ref="S95:Z95"/>
    <mergeCell ref="N79:O79"/>
    <mergeCell ref="K92:L92"/>
    <mergeCell ref="C92:D92"/>
    <mergeCell ref="M92:N92"/>
    <mergeCell ref="F71:I71"/>
    <mergeCell ref="A88:AL88"/>
    <mergeCell ref="K68:N70"/>
    <mergeCell ref="T91:W91"/>
    <mergeCell ref="A41:AL41"/>
    <mergeCell ref="A90:AL90"/>
    <mergeCell ref="J95:Q95"/>
    <mergeCell ref="D85:F85"/>
    <mergeCell ref="N74:S74"/>
    <mergeCell ref="H2:AD2"/>
    <mergeCell ref="F68:I70"/>
    <mergeCell ref="A91:B91"/>
    <mergeCell ref="N78:O78"/>
    <mergeCell ref="C91:D91"/>
    <mergeCell ref="M91:N91"/>
    <mergeCell ref="O91:P91"/>
    <mergeCell ref="R86:U86"/>
    <mergeCell ref="N80:O80"/>
    <mergeCell ref="B16:B17"/>
    <mergeCell ref="A71:D71"/>
    <mergeCell ref="J85:M85"/>
    <mergeCell ref="D86:F86"/>
    <mergeCell ref="A92:B92"/>
    <mergeCell ref="N87:Q87"/>
    <mergeCell ref="A1:B1"/>
    <mergeCell ref="E92:F92"/>
    <mergeCell ref="AL16:AL17"/>
    <mergeCell ref="A68:D70"/>
    <mergeCell ref="P71:S71"/>
    <mergeCell ref="A86:C86"/>
    <mergeCell ref="D87:F87"/>
    <mergeCell ref="O92:P92"/>
    <mergeCell ref="A6:N6"/>
    <mergeCell ref="A39:D39"/>
    <mergeCell ref="P8:AL8"/>
    <mergeCell ref="P7:AL7"/>
    <mergeCell ref="G86:I86"/>
    <mergeCell ref="A96:H103"/>
    <mergeCell ref="P67:S67"/>
    <mergeCell ref="T92:W92"/>
    <mergeCell ref="R85:U85"/>
    <mergeCell ref="K71:N71"/>
    <mergeCell ref="S96:Z103"/>
    <mergeCell ref="A93:AL93"/>
    <mergeCell ref="A38:D38"/>
    <mergeCell ref="A67:D67"/>
    <mergeCell ref="I91:J91"/>
    <mergeCell ref="A85:C85"/>
    <mergeCell ref="K91:L91"/>
    <mergeCell ref="N86:Q86"/>
    <mergeCell ref="A7:N7"/>
    <mergeCell ref="P6:AL6"/>
    <mergeCell ref="A74:E74"/>
    <mergeCell ref="G85:I85"/>
    <mergeCell ref="G92:H92"/>
    <mergeCell ref="I92:J92"/>
    <mergeCell ref="R87:U87"/>
    <mergeCell ref="AK16:AK17"/>
    <mergeCell ref="J87:M87"/>
    <mergeCell ref="AJ16:AJ17"/>
    <mergeCell ref="J96:Q103"/>
    <mergeCell ref="A12:AL14"/>
    <mergeCell ref="Q92:S92"/>
    <mergeCell ref="A87:C87"/>
    <mergeCell ref="A47:D47"/>
  </mergeCells>
  <conditionalFormatting sqref="AJ18:AJ37">
    <cfRule type="dataBar" priority="1">
      <dataBar>
        <cfvo type="num" val="0"/>
        <cfvo type="num" val="1"/>
        <color rgb="0010B981"/>
      </dataBar>
    </cfRule>
  </conditionalFormatting>
  <conditionalFormatting sqref="E18:AI37">
    <cfRule type="cellIs" priority="2" operator="equal" dxfId="0">
      <formula>"✓"</formula>
    </cfRule>
    <cfRule type="cellIs" priority="3" operator="equal" dxfId="0">
      <formula>"✔"</formula>
    </cfRule>
    <cfRule type="cellIs" priority="4" operator="equal" dxfId="1">
      <formula>"✗"</formula>
    </cfRule>
    <cfRule type="cellIs" priority="5" operator="equal" dxfId="1">
      <formula>"x"</formula>
    </cfRule>
    <cfRule type="cellIs" priority="6" operator="equal" dxfId="1">
      <formula>"X"</formula>
    </cfRule>
  </conditionalFormatting>
  <conditionalFormatting sqref="E16:E17">
    <cfRule type="expression" priority="7" dxfId="2">
      <formula>AND(DAY(TODAY())=1, MONTH(TODAY())=12, YEAR(TODAY())=2027)</formula>
    </cfRule>
  </conditionalFormatting>
  <conditionalFormatting sqref="F16:F17">
    <cfRule type="expression" priority="8" dxfId="2">
      <formula>AND(DAY(TODAY())=2, MONTH(TODAY())=12, YEAR(TODAY())=2027)</formula>
    </cfRule>
  </conditionalFormatting>
  <conditionalFormatting sqref="G16:G17">
    <cfRule type="expression" priority="9" dxfId="2">
      <formula>AND(DAY(TODAY())=3, MONTH(TODAY())=12, YEAR(TODAY())=2027)</formula>
    </cfRule>
  </conditionalFormatting>
  <conditionalFormatting sqref="H16:H17">
    <cfRule type="expression" priority="10" dxfId="2">
      <formula>AND(DAY(TODAY())=4, MONTH(TODAY())=12, YEAR(TODAY())=2027)</formula>
    </cfRule>
  </conditionalFormatting>
  <conditionalFormatting sqref="I16:I17">
    <cfRule type="expression" priority="11" dxfId="2">
      <formula>AND(DAY(TODAY())=5, MONTH(TODAY())=12, YEAR(TODAY())=2027)</formula>
    </cfRule>
  </conditionalFormatting>
  <conditionalFormatting sqref="J16:J17">
    <cfRule type="expression" priority="12" dxfId="2">
      <formula>AND(DAY(TODAY())=6, MONTH(TODAY())=12, YEAR(TODAY())=2027)</formula>
    </cfRule>
  </conditionalFormatting>
  <conditionalFormatting sqref="K16:K17">
    <cfRule type="expression" priority="13" dxfId="2">
      <formula>AND(DAY(TODAY())=7, MONTH(TODAY())=12, YEAR(TODAY())=2027)</formula>
    </cfRule>
  </conditionalFormatting>
  <conditionalFormatting sqref="L16:L17">
    <cfRule type="expression" priority="14" dxfId="2">
      <formula>AND(DAY(TODAY())=8, MONTH(TODAY())=12, YEAR(TODAY())=2027)</formula>
    </cfRule>
  </conditionalFormatting>
  <conditionalFormatting sqref="M16:M17">
    <cfRule type="expression" priority="15" dxfId="2">
      <formula>AND(DAY(TODAY())=9, MONTH(TODAY())=12, YEAR(TODAY())=2027)</formula>
    </cfRule>
  </conditionalFormatting>
  <conditionalFormatting sqref="N16:N17">
    <cfRule type="expression" priority="16" dxfId="2">
      <formula>AND(DAY(TODAY())=10, MONTH(TODAY())=12, YEAR(TODAY())=2027)</formula>
    </cfRule>
  </conditionalFormatting>
  <conditionalFormatting sqref="O16:O17">
    <cfRule type="expression" priority="17" dxfId="2">
      <formula>AND(DAY(TODAY())=11, MONTH(TODAY())=12, YEAR(TODAY())=2027)</formula>
    </cfRule>
  </conditionalFormatting>
  <conditionalFormatting sqref="P16:P17">
    <cfRule type="expression" priority="18" dxfId="2">
      <formula>AND(DAY(TODAY())=12, MONTH(TODAY())=12, YEAR(TODAY())=2027)</formula>
    </cfRule>
  </conditionalFormatting>
  <conditionalFormatting sqref="Q16:Q17">
    <cfRule type="expression" priority="19" dxfId="2">
      <formula>AND(DAY(TODAY())=13, MONTH(TODAY())=12, YEAR(TODAY())=2027)</formula>
    </cfRule>
  </conditionalFormatting>
  <conditionalFormatting sqref="R16:R17">
    <cfRule type="expression" priority="20" dxfId="2">
      <formula>AND(DAY(TODAY())=14, MONTH(TODAY())=12, YEAR(TODAY())=2027)</formula>
    </cfRule>
  </conditionalFormatting>
  <conditionalFormatting sqref="S16:S17">
    <cfRule type="expression" priority="21" dxfId="2">
      <formula>AND(DAY(TODAY())=15, MONTH(TODAY())=12, YEAR(TODAY())=2027)</formula>
    </cfRule>
  </conditionalFormatting>
  <conditionalFormatting sqref="T16:T17">
    <cfRule type="expression" priority="22" dxfId="2">
      <formula>AND(DAY(TODAY())=16, MONTH(TODAY())=12, YEAR(TODAY())=2027)</formula>
    </cfRule>
  </conditionalFormatting>
  <conditionalFormatting sqref="U16:U17">
    <cfRule type="expression" priority="23" dxfId="2">
      <formula>AND(DAY(TODAY())=17, MONTH(TODAY())=12, YEAR(TODAY())=2027)</formula>
    </cfRule>
  </conditionalFormatting>
  <conditionalFormatting sqref="V16:V17">
    <cfRule type="expression" priority="24" dxfId="2">
      <formula>AND(DAY(TODAY())=18, MONTH(TODAY())=12, YEAR(TODAY())=2027)</formula>
    </cfRule>
  </conditionalFormatting>
  <conditionalFormatting sqref="W16:W17">
    <cfRule type="expression" priority="25" dxfId="2">
      <formula>AND(DAY(TODAY())=19, MONTH(TODAY())=12, YEAR(TODAY())=2027)</formula>
    </cfRule>
  </conditionalFormatting>
  <conditionalFormatting sqref="X16:X17">
    <cfRule type="expression" priority="26" dxfId="2">
      <formula>AND(DAY(TODAY())=20, MONTH(TODAY())=12, YEAR(TODAY())=2027)</formula>
    </cfRule>
  </conditionalFormatting>
  <conditionalFormatting sqref="Y16:Y17">
    <cfRule type="expression" priority="27" dxfId="2">
      <formula>AND(DAY(TODAY())=21, MONTH(TODAY())=12, YEAR(TODAY())=2027)</formula>
    </cfRule>
  </conditionalFormatting>
  <conditionalFormatting sqref="Z16:Z17">
    <cfRule type="expression" priority="28" dxfId="2">
      <formula>AND(DAY(TODAY())=22, MONTH(TODAY())=12, YEAR(TODAY())=2027)</formula>
    </cfRule>
  </conditionalFormatting>
  <conditionalFormatting sqref="AA16:AA17">
    <cfRule type="expression" priority="29" dxfId="2">
      <formula>AND(DAY(TODAY())=23, MONTH(TODAY())=12, YEAR(TODAY())=2027)</formula>
    </cfRule>
  </conditionalFormatting>
  <conditionalFormatting sqref="AB16:AB17">
    <cfRule type="expression" priority="30" dxfId="2">
      <formula>AND(DAY(TODAY())=24, MONTH(TODAY())=12, YEAR(TODAY())=2027)</formula>
    </cfRule>
  </conditionalFormatting>
  <conditionalFormatting sqref="AC16:AC17">
    <cfRule type="expression" priority="31" dxfId="2">
      <formula>AND(DAY(TODAY())=25, MONTH(TODAY())=12, YEAR(TODAY())=2027)</formula>
    </cfRule>
  </conditionalFormatting>
  <conditionalFormatting sqref="AD16:AD17">
    <cfRule type="expression" priority="32" dxfId="2">
      <formula>AND(DAY(TODAY())=26, MONTH(TODAY())=12, YEAR(TODAY())=2027)</formula>
    </cfRule>
  </conditionalFormatting>
  <conditionalFormatting sqref="AE16:AE17">
    <cfRule type="expression" priority="33" dxfId="2">
      <formula>AND(DAY(TODAY())=27, MONTH(TODAY())=12, YEAR(TODAY())=2027)</formula>
    </cfRule>
  </conditionalFormatting>
  <conditionalFormatting sqref="AF16:AF17">
    <cfRule type="expression" priority="34" dxfId="2">
      <formula>AND(DAY(TODAY())=28, MONTH(TODAY())=12, YEAR(TODAY())=2027)</formula>
    </cfRule>
  </conditionalFormatting>
  <conditionalFormatting sqref="AG16:AG17">
    <cfRule type="expression" priority="35" dxfId="2">
      <formula>AND(DAY(TODAY())=29, MONTH(TODAY())=12, YEAR(TODAY())=2027)</formula>
    </cfRule>
  </conditionalFormatting>
  <conditionalFormatting sqref="AH16:AH17">
    <cfRule type="expression" priority="36" dxfId="2">
      <formula>AND(DAY(TODAY())=30, MONTH(TODAY())=12, YEAR(TODAY())=2027)</formula>
    </cfRule>
  </conditionalFormatting>
  <conditionalFormatting sqref="AI16:AI17">
    <cfRule type="expression" priority="37" dxfId="2">
      <formula>AND(DAY(TODAY())=31, MONTH(TODAY())=12, YEAR(TODAY())=2027)</formula>
    </cfRule>
  </conditionalFormatting>
  <dataValidations count="4">
    <dataValidation sqref="C18:C37" showDropDown="0" showInputMessage="0" showErrorMessage="0" allowBlank="1" type="list">
      <formula1>"Health &amp; Fitness,Mindset &amp; Learning,Career &amp; Focus,Personal &amp; Home,Finance &amp; Wealth,Other"</formula1>
    </dataValidation>
    <dataValidation sqref="D18:D37" showDropDown="0" showInputMessage="0" showErrorMessage="0" allowBlank="1" type="list">
      <formula1>"1,2,3,4,5,6,7,8,9,10,11,12,13,14,15,16,17,18,19,20,21,22,23,24,25,26,27,28,29,30,31"</formula1>
    </dataValidation>
    <dataValidation sqref="E18:AI37" showDropDown="0" showInputMessage="0" showErrorMessage="0" allowBlank="1" type="list">
      <formula1>"✓,✗"</formula1>
    </dataValidation>
    <dataValidation sqref="E47:AI47" showDropDown="0" showInputMessage="0" showErrorMessage="0" allowBlank="1" type="list">
      <formula1>"1,2,3,4,5,6,7,8,9,10,11,12,13,14,15,16,17,18,19,20,21,22,23,24"</formula1>
    </dataValidation>
  </dataValidations>
  <hyperlinks>
    <hyperlink xmlns:r="http://schemas.openxmlformats.org/officeDocument/2006/relationships" ref="A1" r:id="rId1"/>
    <hyperlink xmlns:r="http://schemas.openxmlformats.org/officeDocument/2006/relationships" ref="C1" r:id="rId2"/>
    <hyperlink xmlns:r="http://schemas.openxmlformats.org/officeDocument/2006/relationships" ref="D1" r:id="rId3"/>
    <hyperlink xmlns:r="http://schemas.openxmlformats.org/officeDocument/2006/relationships" ref="E1" r:id="rId4"/>
    <hyperlink xmlns:r="http://schemas.openxmlformats.org/officeDocument/2006/relationships" ref="F1" r:id="rId5"/>
    <hyperlink xmlns:r="http://schemas.openxmlformats.org/officeDocument/2006/relationships" ref="G1" r:id="rId6"/>
    <hyperlink xmlns:r="http://schemas.openxmlformats.org/officeDocument/2006/relationships" ref="H1" r:id="rId7"/>
    <hyperlink xmlns:r="http://schemas.openxmlformats.org/officeDocument/2006/relationships" ref="I1" r:id="rId8"/>
    <hyperlink xmlns:r="http://schemas.openxmlformats.org/officeDocument/2006/relationships" ref="J1" r:id="rId9"/>
    <hyperlink xmlns:r="http://schemas.openxmlformats.org/officeDocument/2006/relationships" ref="K1" r:id="rId10"/>
  </hyperlinks>
  <printOptions horizontalCentered="1" verticalCentered="0"/>
  <pageMargins left="0.75" right="0.75" top="1" bottom="1" header="0.5" footer="0.5"/>
  <pageSetup orientation="landscape" paperSize="9" fitToHeight="0" fitToWidth="1"/>
  <drawing xmlns:r="http://schemas.openxmlformats.org/officeDocument/2006/relationships" r:id="rId11"/>
</worksheet>
</file>

<file path=xl/worksheets/sheet20.xml><?xml version="1.0" encoding="utf-8"?>
<worksheet xmlns="http://schemas.openxmlformats.org/spreadsheetml/2006/main">
  <sheetPr>
    <outlinePr summaryBelow="1" summaryRight="1"/>
    <pageSetUpPr fitToPage="1"/>
  </sheetPr>
  <dimension ref="A1:AM103"/>
  <sheetViews>
    <sheetView showGridLines="1" workbookViewId="0">
      <selection activeCell="A1" sqref="A1"/>
    </sheetView>
  </sheetViews>
  <sheetFormatPr baseColWidth="8" defaultRowHeight="15"/>
  <cols>
    <col width="6" customWidth="1" min="1" max="1"/>
    <col width="25" customWidth="1" min="2" max="2"/>
    <col width="16.5" customWidth="1" min="3" max="3"/>
    <col width="8" customWidth="1" min="4" max="4"/>
    <col width="4.8" customWidth="1" min="5" max="5"/>
    <col width="4.8" customWidth="1" min="6" max="6"/>
    <col width="4.8" customWidth="1" min="7" max="7"/>
    <col width="4.8" customWidth="1" min="8" max="8"/>
    <col width="4.8" customWidth="1" min="9" max="9"/>
    <col width="4.8" customWidth="1" min="10" max="10"/>
    <col width="4.8" customWidth="1" min="11" max="11"/>
    <col width="4.8" customWidth="1" min="12" max="12"/>
    <col width="4.8" customWidth="1" min="13" max="13"/>
    <col width="4.8" customWidth="1" min="14" max="14"/>
    <col width="4.8" customWidth="1" min="15" max="15"/>
    <col width="4.8" customWidth="1" min="16" max="16"/>
    <col width="4.8" customWidth="1" min="17" max="17"/>
    <col width="4.8" customWidth="1" min="18" max="18"/>
    <col width="4.8" customWidth="1" min="19" max="19"/>
    <col width="4.8" customWidth="1" min="20" max="20"/>
    <col width="4.8" customWidth="1" min="21" max="21"/>
    <col width="4.8" customWidth="1" min="22" max="22"/>
    <col width="4.8" customWidth="1" min="23" max="23"/>
    <col width="4.8" customWidth="1" min="24" max="24"/>
    <col width="4.8" customWidth="1" min="25" max="25"/>
    <col width="4.8" customWidth="1" min="26" max="26"/>
    <col width="4.8" customWidth="1" min="27" max="27"/>
    <col width="4.8" customWidth="1" min="28" max="28"/>
    <col width="4.8" customWidth="1" min="29" max="29"/>
    <col width="4.8" customWidth="1" min="30" max="30"/>
    <col width="4.8" customWidth="1" min="31" max="31"/>
    <col width="4.8" customWidth="1" min="32" max="32"/>
    <col width="4.8" customWidth="1" min="33" max="33"/>
    <col width="4.8" customWidth="1" min="34" max="34"/>
    <col width="4.8" customWidth="1" min="35" max="35"/>
    <col width="11.5" customWidth="1" min="36" max="36"/>
    <col width="12" customWidth="1" min="37" max="37"/>
    <col width="13.5" customWidth="1" min="38" max="38"/>
    <col hidden="1" width="8" customWidth="1" min="39" max="39"/>
  </cols>
  <sheetData>
    <row r="1" ht="18" customHeight="1">
      <c r="A1" s="76" t="inlineStr">
        <is>
          <t>🏠 Master Dashboard</t>
        </is>
      </c>
      <c r="B1" s="40" t="n"/>
      <c r="C1" s="77" t="inlineStr">
        <is>
          <t>🏛️ Quarterly Hub</t>
        </is>
      </c>
      <c r="D1" s="78" t="inlineStr">
        <is>
          <t>📚 Habit Library</t>
        </is>
      </c>
      <c r="E1" s="80" t="inlineStr">
        <is>
          <t>2026</t>
        </is>
      </c>
      <c r="F1" s="80" t="inlineStr">
        <is>
          <t>2027</t>
        </is>
      </c>
      <c r="G1" s="79" t="inlineStr">
        <is>
          <t>2028</t>
        </is>
      </c>
      <c r="H1" s="80" t="inlineStr">
        <is>
          <t>2029</t>
        </is>
      </c>
      <c r="I1" s="80" t="inlineStr">
        <is>
          <t>2030</t>
        </is>
      </c>
      <c r="J1" s="82" t="inlineStr">
        <is>
          <t>◀ Prev</t>
        </is>
      </c>
      <c r="K1" s="82" t="inlineStr">
        <is>
          <t>Next ▶</t>
        </is>
      </c>
    </row>
    <row r="2" ht="24" customHeight="1">
      <c r="A2" s="83" t="inlineStr">
        <is>
          <t>Habit Tracker</t>
        </is>
      </c>
      <c r="H2" s="84" t="inlineStr">
        <is>
          <t>"Small daily improvements lead to stunning results."</t>
        </is>
      </c>
      <c r="AE2" s="85" t="inlineStr">
        <is>
          <t>@surajvansh</t>
        </is>
      </c>
    </row>
    <row r="3" ht="18" customHeight="1">
      <c r="A3" s="86" t="inlineStr">
        <is>
          <t>January 2028</t>
        </is>
      </c>
      <c r="H3" s="87" t="inlineStr">
        <is>
          <t>31 Days Dashboard</t>
        </is>
      </c>
    </row>
    <row r="4" ht="5" customHeight="1"/>
    <row r="5" ht="16" customHeight="1">
      <c r="A5" s="88" t="inlineStr">
        <is>
          <t>MONTHLY TARGETS</t>
        </is>
      </c>
    </row>
    <row r="6" ht="13" customHeight="1">
      <c r="A6" s="89" t="inlineStr">
        <is>
          <t>1. ____________________ : ____________________</t>
        </is>
      </c>
      <c r="P6" s="89" t="inlineStr">
        <is>
          <t>5. ____________________ : ____________________</t>
        </is>
      </c>
    </row>
    <row r="7" ht="13" customHeight="1">
      <c r="A7" s="89" t="inlineStr">
        <is>
          <t>2. ____________________ : ____________________</t>
        </is>
      </c>
      <c r="P7" s="89" t="inlineStr">
        <is>
          <t>6. ____________________ : ____________________</t>
        </is>
      </c>
    </row>
    <row r="8" ht="13" customHeight="1">
      <c r="A8" s="89" t="inlineStr">
        <is>
          <t>3. ____________________ : ____________________</t>
        </is>
      </c>
      <c r="P8" s="89" t="inlineStr">
        <is>
          <t>7. ____________________ : ____________________</t>
        </is>
      </c>
    </row>
    <row r="9" ht="13" customHeight="1">
      <c r="A9" s="89" t="inlineStr">
        <is>
          <t>4. ____________________ : ____________________</t>
        </is>
      </c>
      <c r="P9" s="89" t="inlineStr">
        <is>
          <t>8. ____________________ : ____________________</t>
        </is>
      </c>
    </row>
    <row r="10" ht="5" customHeight="1"/>
    <row r="11" ht="15" customHeight="1">
      <c r="A11" s="88" t="inlineStr">
        <is>
          <t>NOTES:</t>
        </is>
      </c>
    </row>
    <row r="12" ht="13" customHeight="1">
      <c r="A12" s="90" t="n"/>
      <c r="B12" s="91" t="n"/>
      <c r="C12" s="91" t="n"/>
      <c r="D12" s="91" t="n"/>
      <c r="E12" s="91" t="n"/>
      <c r="F12" s="91" t="n"/>
      <c r="G12" s="91" t="n"/>
      <c r="H12" s="91" t="n"/>
      <c r="I12" s="91" t="n"/>
      <c r="J12" s="91" t="n"/>
      <c r="K12" s="91" t="n"/>
      <c r="L12" s="91" t="n"/>
      <c r="M12" s="91" t="n"/>
      <c r="N12" s="91" t="n"/>
      <c r="O12" s="91" t="n"/>
      <c r="P12" s="91" t="n"/>
      <c r="Q12" s="91" t="n"/>
      <c r="R12" s="91" t="n"/>
      <c r="S12" s="91" t="n"/>
      <c r="T12" s="91" t="n"/>
      <c r="U12" s="91" t="n"/>
      <c r="V12" s="91" t="n"/>
      <c r="W12" s="91" t="n"/>
      <c r="X12" s="91" t="n"/>
      <c r="Y12" s="91" t="n"/>
      <c r="Z12" s="91" t="n"/>
      <c r="AA12" s="91" t="n"/>
      <c r="AB12" s="91" t="n"/>
      <c r="AC12" s="91" t="n"/>
      <c r="AD12" s="91" t="n"/>
      <c r="AE12" s="91" t="n"/>
      <c r="AF12" s="91" t="n"/>
      <c r="AG12" s="91" t="n"/>
      <c r="AH12" s="91" t="n"/>
      <c r="AI12" s="91" t="n"/>
      <c r="AJ12" s="91" t="n"/>
      <c r="AK12" s="91" t="n"/>
      <c r="AL12" s="91" t="n"/>
    </row>
    <row r="13" ht="13" customHeight="1">
      <c r="A13" s="91" t="n"/>
      <c r="B13" s="91" t="n"/>
      <c r="C13" s="91" t="n"/>
      <c r="D13" s="91" t="n"/>
      <c r="E13" s="91" t="n"/>
      <c r="F13" s="91" t="n"/>
      <c r="G13" s="91" t="n"/>
      <c r="H13" s="91" t="n"/>
      <c r="I13" s="91" t="n"/>
      <c r="J13" s="91" t="n"/>
      <c r="K13" s="91" t="n"/>
      <c r="L13" s="91" t="n"/>
      <c r="M13" s="91" t="n"/>
      <c r="N13" s="91" t="n"/>
      <c r="O13" s="91" t="n"/>
      <c r="P13" s="91" t="n"/>
      <c r="Q13" s="91" t="n"/>
      <c r="R13" s="91" t="n"/>
      <c r="S13" s="91" t="n"/>
      <c r="T13" s="91" t="n"/>
      <c r="U13" s="91" t="n"/>
      <c r="V13" s="91" t="n"/>
      <c r="W13" s="91" t="n"/>
      <c r="X13" s="91" t="n"/>
      <c r="Y13" s="91" t="n"/>
      <c r="Z13" s="91" t="n"/>
      <c r="AA13" s="91" t="n"/>
      <c r="AB13" s="91" t="n"/>
      <c r="AC13" s="91" t="n"/>
      <c r="AD13" s="91" t="n"/>
      <c r="AE13" s="91" t="n"/>
      <c r="AF13" s="91" t="n"/>
      <c r="AG13" s="91" t="n"/>
      <c r="AH13" s="91" t="n"/>
      <c r="AI13" s="91" t="n"/>
      <c r="AJ13" s="91" t="n"/>
      <c r="AK13" s="91" t="n"/>
      <c r="AL13" s="91" t="n"/>
    </row>
    <row r="14" ht="13" customHeight="1">
      <c r="A14" s="91" t="n"/>
      <c r="B14" s="91" t="n"/>
      <c r="C14" s="91" t="n"/>
      <c r="D14" s="91" t="n"/>
      <c r="E14" s="91" t="n"/>
      <c r="F14" s="91" t="n"/>
      <c r="G14" s="91" t="n"/>
      <c r="H14" s="91" t="n"/>
      <c r="I14" s="91" t="n"/>
      <c r="J14" s="91" t="n"/>
      <c r="K14" s="91" t="n"/>
      <c r="L14" s="91" t="n"/>
      <c r="M14" s="91" t="n"/>
      <c r="N14" s="91" t="n"/>
      <c r="O14" s="91" t="n"/>
      <c r="P14" s="91" t="n"/>
      <c r="Q14" s="91" t="n"/>
      <c r="R14" s="91" t="n"/>
      <c r="S14" s="91" t="n"/>
      <c r="T14" s="91" t="n"/>
      <c r="U14" s="91" t="n"/>
      <c r="V14" s="91" t="n"/>
      <c r="W14" s="91" t="n"/>
      <c r="X14" s="91" t="n"/>
      <c r="Y14" s="91" t="n"/>
      <c r="Z14" s="91" t="n"/>
      <c r="AA14" s="91" t="n"/>
      <c r="AB14" s="91" t="n"/>
      <c r="AC14" s="91" t="n"/>
      <c r="AD14" s="91" t="n"/>
      <c r="AE14" s="91" t="n"/>
      <c r="AF14" s="91" t="n"/>
      <c r="AG14" s="91" t="n"/>
      <c r="AH14" s="91" t="n"/>
      <c r="AI14" s="91" t="n"/>
      <c r="AJ14" s="91" t="n"/>
      <c r="AK14" s="91" t="n"/>
      <c r="AL14" s="91" t="n"/>
    </row>
    <row r="15" ht="8" customHeight="1"/>
    <row r="16" ht="15" customHeight="1">
      <c r="A16" s="33" t="inlineStr">
        <is>
          <t>S.No.</t>
        </is>
      </c>
      <c r="B16" s="33" t="inlineStr">
        <is>
          <t>Protocols</t>
        </is>
      </c>
      <c r="C16" s="33" t="inlineStr">
        <is>
          <t>Category</t>
        </is>
      </c>
      <c r="D16" s="33" t="inlineStr">
        <is>
          <t>Target</t>
        </is>
      </c>
      <c r="E16" s="92" t="n">
        <v>1</v>
      </c>
      <c r="F16" s="93" t="n">
        <v>2</v>
      </c>
      <c r="G16" s="92" t="n">
        <v>3</v>
      </c>
      <c r="H16" s="92" t="n">
        <v>4</v>
      </c>
      <c r="I16" s="92" t="n">
        <v>5</v>
      </c>
      <c r="J16" s="92" t="n">
        <v>6</v>
      </c>
      <c r="K16" s="92" t="n">
        <v>7</v>
      </c>
      <c r="L16" s="92" t="n">
        <v>8</v>
      </c>
      <c r="M16" s="93" t="n">
        <v>9</v>
      </c>
      <c r="N16" s="92" t="n">
        <v>10</v>
      </c>
      <c r="O16" s="92" t="n">
        <v>11</v>
      </c>
      <c r="P16" s="92" t="n">
        <v>12</v>
      </c>
      <c r="Q16" s="92" t="n">
        <v>13</v>
      </c>
      <c r="R16" s="92" t="n">
        <v>14</v>
      </c>
      <c r="S16" s="92" t="n">
        <v>15</v>
      </c>
      <c r="T16" s="93" t="n">
        <v>16</v>
      </c>
      <c r="U16" s="92" t="n">
        <v>17</v>
      </c>
      <c r="V16" s="92" t="n">
        <v>18</v>
      </c>
      <c r="W16" s="92" t="n">
        <v>19</v>
      </c>
      <c r="X16" s="92" t="n">
        <v>20</v>
      </c>
      <c r="Y16" s="92" t="n">
        <v>21</v>
      </c>
      <c r="Z16" s="92" t="n">
        <v>22</v>
      </c>
      <c r="AA16" s="93" t="n">
        <v>23</v>
      </c>
      <c r="AB16" s="92" t="n">
        <v>24</v>
      </c>
      <c r="AC16" s="92" t="n">
        <v>25</v>
      </c>
      <c r="AD16" s="92" t="n">
        <v>26</v>
      </c>
      <c r="AE16" s="92" t="n">
        <v>27</v>
      </c>
      <c r="AF16" s="92" t="n">
        <v>28</v>
      </c>
      <c r="AG16" s="92" t="n">
        <v>29</v>
      </c>
      <c r="AH16" s="93" t="n">
        <v>30</v>
      </c>
      <c r="AI16" s="92" t="n">
        <v>31</v>
      </c>
      <c r="AJ16" s="94" t="inlineStr">
        <is>
          <t>Success %</t>
        </is>
      </c>
      <c r="AK16" s="94" t="inlineStr">
        <is>
          <t>Done / Target</t>
        </is>
      </c>
      <c r="AL16" s="94" t="inlineStr">
        <is>
          <t>Status</t>
        </is>
      </c>
      <c r="AM16" t="inlineStr">
        <is>
          <t>Done Count</t>
        </is>
      </c>
    </row>
    <row r="17" ht="15" customHeight="1">
      <c r="A17" s="54" t="n"/>
      <c r="B17" s="54" t="n"/>
      <c r="C17" s="54" t="n"/>
      <c r="D17" s="54" t="n"/>
      <c r="E17" s="95" t="inlineStr">
        <is>
          <t>Sa</t>
        </is>
      </c>
      <c r="F17" s="96" t="inlineStr">
        <is>
          <t>Su</t>
        </is>
      </c>
      <c r="G17" s="95" t="inlineStr">
        <is>
          <t>M</t>
        </is>
      </c>
      <c r="H17" s="95" t="inlineStr">
        <is>
          <t>T</t>
        </is>
      </c>
      <c r="I17" s="95" t="inlineStr">
        <is>
          <t>W</t>
        </is>
      </c>
      <c r="J17" s="95" t="inlineStr">
        <is>
          <t>Th</t>
        </is>
      </c>
      <c r="K17" s="95" t="inlineStr">
        <is>
          <t>F</t>
        </is>
      </c>
      <c r="L17" s="95" t="inlineStr">
        <is>
          <t>Sa</t>
        </is>
      </c>
      <c r="M17" s="96" t="inlineStr">
        <is>
          <t>Su</t>
        </is>
      </c>
      <c r="N17" s="95" t="inlineStr">
        <is>
          <t>M</t>
        </is>
      </c>
      <c r="O17" s="95" t="inlineStr">
        <is>
          <t>T</t>
        </is>
      </c>
      <c r="P17" s="95" t="inlineStr">
        <is>
          <t>W</t>
        </is>
      </c>
      <c r="Q17" s="95" t="inlineStr">
        <is>
          <t>Th</t>
        </is>
      </c>
      <c r="R17" s="95" t="inlineStr">
        <is>
          <t>F</t>
        </is>
      </c>
      <c r="S17" s="95" t="inlineStr">
        <is>
          <t>Sa</t>
        </is>
      </c>
      <c r="T17" s="96" t="inlineStr">
        <is>
          <t>Su</t>
        </is>
      </c>
      <c r="U17" s="95" t="inlineStr">
        <is>
          <t>M</t>
        </is>
      </c>
      <c r="V17" s="95" t="inlineStr">
        <is>
          <t>T</t>
        </is>
      </c>
      <c r="W17" s="95" t="inlineStr">
        <is>
          <t>W</t>
        </is>
      </c>
      <c r="X17" s="95" t="inlineStr">
        <is>
          <t>Th</t>
        </is>
      </c>
      <c r="Y17" s="95" t="inlineStr">
        <is>
          <t>F</t>
        </is>
      </c>
      <c r="Z17" s="95" t="inlineStr">
        <is>
          <t>Sa</t>
        </is>
      </c>
      <c r="AA17" s="96" t="inlineStr">
        <is>
          <t>Su</t>
        </is>
      </c>
      <c r="AB17" s="95" t="inlineStr">
        <is>
          <t>M</t>
        </is>
      </c>
      <c r="AC17" s="95" t="inlineStr">
        <is>
          <t>T</t>
        </is>
      </c>
      <c r="AD17" s="95" t="inlineStr">
        <is>
          <t>W</t>
        </is>
      </c>
      <c r="AE17" s="95" t="inlineStr">
        <is>
          <t>Th</t>
        </is>
      </c>
      <c r="AF17" s="95" t="inlineStr">
        <is>
          <t>F</t>
        </is>
      </c>
      <c r="AG17" s="95" t="inlineStr">
        <is>
          <t>Sa</t>
        </is>
      </c>
      <c r="AH17" s="96" t="inlineStr">
        <is>
          <t>Su</t>
        </is>
      </c>
      <c r="AI17" s="95" t="inlineStr">
        <is>
          <t>M</t>
        </is>
      </c>
      <c r="AJ17" s="54" t="n"/>
      <c r="AK17" s="54" t="n"/>
      <c r="AL17" s="54" t="n"/>
    </row>
    <row r="18" ht="14.5" customHeight="1">
      <c r="A18" s="97" t="n">
        <v>1</v>
      </c>
      <c r="B18" s="98" t="n"/>
      <c r="C18" s="99" t="n"/>
      <c r="D18" s="99" t="n"/>
      <c r="E18" s="100" t="n"/>
      <c r="F18" s="101" t="n"/>
      <c r="G18" s="100" t="n"/>
      <c r="H18" s="100" t="n"/>
      <c r="I18" s="100" t="n"/>
      <c r="J18" s="100" t="n"/>
      <c r="K18" s="100" t="n"/>
      <c r="L18" s="100" t="n"/>
      <c r="M18" s="101" t="n"/>
      <c r="N18" s="100" t="n"/>
      <c r="O18" s="100" t="n"/>
      <c r="P18" s="100" t="n"/>
      <c r="Q18" s="100" t="n"/>
      <c r="R18" s="100" t="n"/>
      <c r="S18" s="100" t="n"/>
      <c r="T18" s="101" t="n"/>
      <c r="U18" s="100" t="n"/>
      <c r="V18" s="100" t="n"/>
      <c r="W18" s="100" t="n"/>
      <c r="X18" s="100" t="n"/>
      <c r="Y18" s="100" t="n"/>
      <c r="Z18" s="100" t="n"/>
      <c r="AA18" s="101" t="n"/>
      <c r="AB18" s="100" t="n"/>
      <c r="AC18" s="100" t="n"/>
      <c r="AD18" s="100" t="n"/>
      <c r="AE18" s="100" t="n"/>
      <c r="AF18" s="100" t="n"/>
      <c r="AG18" s="100" t="n"/>
      <c r="AH18" s="101" t="n"/>
      <c r="AI18" s="100" t="n"/>
      <c r="AJ18" s="102">
        <f>IF(ISBLANK(B18), "", IF(ISNUMBER(D18), IF(D18&gt;0, (COUNTIF(E18:AI18, "✓") + COUNTIF(E18:AI18, "✔") + COUNTIF(E18:AI18, "v") + COUNTIF(E18:AI18, "V"))/D18, 0), IF(((COUNTIF(E18:AI18, "✓") + COUNTIF(E18:AI18, "✔") + COUNTIF(E18:AI18, "v") + COUNTIF(E18:AI18, "V")) + COUNTIF(E18:AI18, "✗") + COUNTIF(E18:AI18, "x") + COUNTIF(E18:AI18, "X"))&gt;0, (COUNTIF(E18:AI18, "✓") + COUNTIF(E18:AI18, "✔") + COUNTIF(E18:AI18, "v") + COUNTIF(E18:AI18, "V"))/((COUNTIF(E18:AI18, "✓") + COUNTIF(E18:AI18, "✔") + COUNTIF(E18:AI18, "v") + COUNTIF(E18:AI18, "V")) + COUNTIF(E18:AI18, "✗") + COUNTIF(E18:AI18, "x") + COUNTIF(E18:AI18, "X")), "")))</f>
        <v/>
      </c>
      <c r="AK18" s="103">
        <f>IF(ISBLANK(B18), "", IF(ISNUMBER(D18), IF(D18&gt;0, (COUNTIF(E18:AI18, "✓") + COUNTIF(E18:AI18, "✔") + COUNTIF(E18:AI18, "v") + COUNTIF(E18:AI18, "V")) &amp; "/" &amp; D18, (COUNTIF(E18:AI18, "✓") + COUNTIF(E18:AI18, "✔") + COUNTIF(E18:AI18, "v") + COUNTIF(E18:AI18, "V")) &amp; "/0"), IF(((COUNTIF(E18:AI18, "✓") + COUNTIF(E18:AI18, "✔") + COUNTIF(E18:AI18, "v") + COUNTIF(E18:AI18, "V")) + COUNTIF(E18:AI18, "✗") + COUNTIF(E18:AI18, "x") + COUNTIF(E18:AI18, "X"))&gt;0, (COUNTIF(E18:AI18, "✓") + COUNTIF(E18:AI18, "✔") + COUNTIF(E18:AI18, "v") + COUNTIF(E18:AI18, "V")) &amp; "/" &amp; ((COUNTIF(E18:AI18, "✓") + COUNTIF(E18:AI18, "✔") + COUNTIF(E18:AI18, "v") + COUNTIF(E18:AI18, "V")) + COUNTIF(E18:AI18, "✗") + COUNTIF(E18:AI18, "x") + COUNTIF(E18:AI18, "X")), "")))</f>
        <v/>
      </c>
      <c r="AL18" s="103">
        <f>IF(ISBLANK(B18), "", IF(AJ18&gt;=0.85, "🔥 Mastered", IF(AJ18&gt;=0.7, "⚡ Consistent", "⚠️ Needs Focus")))</f>
        <v/>
      </c>
      <c r="AM18">
        <f>COUNTIF(E18:AI18, "✓")</f>
        <v/>
      </c>
    </row>
    <row r="19" ht="14.5" customHeight="1">
      <c r="A19" s="97" t="n">
        <v>2</v>
      </c>
      <c r="B19" s="98" t="n"/>
      <c r="C19" s="99" t="n"/>
      <c r="D19" s="99" t="n"/>
      <c r="E19" s="100" t="n"/>
      <c r="F19" s="101" t="n"/>
      <c r="G19" s="100" t="n"/>
      <c r="H19" s="100" t="n"/>
      <c r="I19" s="100" t="n"/>
      <c r="J19" s="100" t="n"/>
      <c r="K19" s="100" t="n"/>
      <c r="L19" s="100" t="n"/>
      <c r="M19" s="101" t="n"/>
      <c r="N19" s="100" t="n"/>
      <c r="O19" s="100" t="n"/>
      <c r="P19" s="100" t="n"/>
      <c r="Q19" s="100" t="n"/>
      <c r="R19" s="100" t="n"/>
      <c r="S19" s="100" t="n"/>
      <c r="T19" s="101" t="n"/>
      <c r="U19" s="100" t="n"/>
      <c r="V19" s="100" t="n"/>
      <c r="W19" s="100" t="n"/>
      <c r="X19" s="100" t="n"/>
      <c r="Y19" s="100" t="n"/>
      <c r="Z19" s="100" t="n"/>
      <c r="AA19" s="101" t="n"/>
      <c r="AB19" s="100" t="n"/>
      <c r="AC19" s="100" t="n"/>
      <c r="AD19" s="100" t="n"/>
      <c r="AE19" s="100" t="n"/>
      <c r="AF19" s="100" t="n"/>
      <c r="AG19" s="100" t="n"/>
      <c r="AH19" s="101" t="n"/>
      <c r="AI19" s="100" t="n"/>
      <c r="AJ19" s="102">
        <f>IF(ISBLANK(B19), "", IF(ISNUMBER(D19), IF(D19&gt;0, (COUNTIF(E19:AI19, "✓") + COUNTIF(E19:AI19, "✔") + COUNTIF(E19:AI19, "v") + COUNTIF(E19:AI19, "V"))/D19, 0), IF(((COUNTIF(E19:AI19, "✓") + COUNTIF(E19:AI19, "✔") + COUNTIF(E19:AI19, "v") + COUNTIF(E19:AI19, "V")) + COUNTIF(E19:AI19, "✗") + COUNTIF(E19:AI19, "x") + COUNTIF(E19:AI19, "X"))&gt;0, (COUNTIF(E19:AI19, "✓") + COUNTIF(E19:AI19, "✔") + COUNTIF(E19:AI19, "v") + COUNTIF(E19:AI19, "V"))/((COUNTIF(E19:AI19, "✓") + COUNTIF(E19:AI19, "✔") + COUNTIF(E19:AI19, "v") + COUNTIF(E19:AI19, "V")) + COUNTIF(E19:AI19, "✗") + COUNTIF(E19:AI19, "x") + COUNTIF(E19:AI19, "X")), "")))</f>
        <v/>
      </c>
      <c r="AK19" s="103">
        <f>IF(ISBLANK(B19), "", IF(ISNUMBER(D19), IF(D19&gt;0, (COUNTIF(E19:AI19, "✓") + COUNTIF(E19:AI19, "✔") + COUNTIF(E19:AI19, "v") + COUNTIF(E19:AI19, "V")) &amp; "/" &amp; D19, (COUNTIF(E19:AI19, "✓") + COUNTIF(E19:AI19, "✔") + COUNTIF(E19:AI19, "v") + COUNTIF(E19:AI19, "V")) &amp; "/0"), IF(((COUNTIF(E19:AI19, "✓") + COUNTIF(E19:AI19, "✔") + COUNTIF(E19:AI19, "v") + COUNTIF(E19:AI19, "V")) + COUNTIF(E19:AI19, "✗") + COUNTIF(E19:AI19, "x") + COUNTIF(E19:AI19, "X"))&gt;0, (COUNTIF(E19:AI19, "✓") + COUNTIF(E19:AI19, "✔") + COUNTIF(E19:AI19, "v") + COUNTIF(E19:AI19, "V")) &amp; "/" &amp; ((COUNTIF(E19:AI19, "✓") + COUNTIF(E19:AI19, "✔") + COUNTIF(E19:AI19, "v") + COUNTIF(E19:AI19, "V")) + COUNTIF(E19:AI19, "✗") + COUNTIF(E19:AI19, "x") + COUNTIF(E19:AI19, "X")), "")))</f>
        <v/>
      </c>
      <c r="AL19" s="103">
        <f>IF(ISBLANK(B19), "", IF(AJ19&gt;=0.85, "🔥 Mastered", IF(AJ19&gt;=0.7, "⚡ Consistent", "⚠️ Needs Focus")))</f>
        <v/>
      </c>
      <c r="AM19">
        <f>COUNTIF(E19:AI19, "✓")</f>
        <v/>
      </c>
    </row>
    <row r="20" ht="14.5" customHeight="1">
      <c r="A20" s="97" t="n">
        <v>3</v>
      </c>
      <c r="B20" s="98" t="n"/>
      <c r="C20" s="99" t="n"/>
      <c r="D20" s="99" t="n"/>
      <c r="E20" s="100" t="n"/>
      <c r="F20" s="101" t="n"/>
      <c r="G20" s="100" t="n"/>
      <c r="H20" s="100" t="n"/>
      <c r="I20" s="100" t="n"/>
      <c r="J20" s="100" t="n"/>
      <c r="K20" s="100" t="n"/>
      <c r="L20" s="100" t="n"/>
      <c r="M20" s="101" t="n"/>
      <c r="N20" s="100" t="n"/>
      <c r="O20" s="100" t="n"/>
      <c r="P20" s="100" t="n"/>
      <c r="Q20" s="100" t="n"/>
      <c r="R20" s="100" t="n"/>
      <c r="S20" s="100" t="n"/>
      <c r="T20" s="101" t="n"/>
      <c r="U20" s="100" t="n"/>
      <c r="V20" s="100" t="n"/>
      <c r="W20" s="100" t="n"/>
      <c r="X20" s="100" t="n"/>
      <c r="Y20" s="100" t="n"/>
      <c r="Z20" s="100" t="n"/>
      <c r="AA20" s="101" t="n"/>
      <c r="AB20" s="100" t="n"/>
      <c r="AC20" s="100" t="n"/>
      <c r="AD20" s="100" t="n"/>
      <c r="AE20" s="100" t="n"/>
      <c r="AF20" s="100" t="n"/>
      <c r="AG20" s="100" t="n"/>
      <c r="AH20" s="101" t="n"/>
      <c r="AI20" s="100" t="n"/>
      <c r="AJ20" s="102">
        <f>IF(ISBLANK(B20), "", IF(ISNUMBER(D20), IF(D20&gt;0, (COUNTIF(E20:AI20, "✓") + COUNTIF(E20:AI20, "✔") + COUNTIF(E20:AI20, "v") + COUNTIF(E20:AI20, "V"))/D20, 0), IF(((COUNTIF(E20:AI20, "✓") + COUNTIF(E20:AI20, "✔") + COUNTIF(E20:AI20, "v") + COUNTIF(E20:AI20, "V")) + COUNTIF(E20:AI20, "✗") + COUNTIF(E20:AI20, "x") + COUNTIF(E20:AI20, "X"))&gt;0, (COUNTIF(E20:AI20, "✓") + COUNTIF(E20:AI20, "✔") + COUNTIF(E20:AI20, "v") + COUNTIF(E20:AI20, "V"))/((COUNTIF(E20:AI20, "✓") + COUNTIF(E20:AI20, "✔") + COUNTIF(E20:AI20, "v") + COUNTIF(E20:AI20, "V")) + COUNTIF(E20:AI20, "✗") + COUNTIF(E20:AI20, "x") + COUNTIF(E20:AI20, "X")), "")))</f>
        <v/>
      </c>
      <c r="AK20" s="103">
        <f>IF(ISBLANK(B20), "", IF(ISNUMBER(D20), IF(D20&gt;0, (COUNTIF(E20:AI20, "✓") + COUNTIF(E20:AI20, "✔") + COUNTIF(E20:AI20, "v") + COUNTIF(E20:AI20, "V")) &amp; "/" &amp; D20, (COUNTIF(E20:AI20, "✓") + COUNTIF(E20:AI20, "✔") + COUNTIF(E20:AI20, "v") + COUNTIF(E20:AI20, "V")) &amp; "/0"), IF(((COUNTIF(E20:AI20, "✓") + COUNTIF(E20:AI20, "✔") + COUNTIF(E20:AI20, "v") + COUNTIF(E20:AI20, "V")) + COUNTIF(E20:AI20, "✗") + COUNTIF(E20:AI20, "x") + COUNTIF(E20:AI20, "X"))&gt;0, (COUNTIF(E20:AI20, "✓") + COUNTIF(E20:AI20, "✔") + COUNTIF(E20:AI20, "v") + COUNTIF(E20:AI20, "V")) &amp; "/" &amp; ((COUNTIF(E20:AI20, "✓") + COUNTIF(E20:AI20, "✔") + COUNTIF(E20:AI20, "v") + COUNTIF(E20:AI20, "V")) + COUNTIF(E20:AI20, "✗") + COUNTIF(E20:AI20, "x") + COUNTIF(E20:AI20, "X")), "")))</f>
        <v/>
      </c>
      <c r="AL20" s="103">
        <f>IF(ISBLANK(B20), "", IF(AJ20&gt;=0.85, "🔥 Mastered", IF(AJ20&gt;=0.7, "⚡ Consistent", "⚠️ Needs Focus")))</f>
        <v/>
      </c>
      <c r="AM20">
        <f>COUNTIF(E20:AI20, "✓")</f>
        <v/>
      </c>
    </row>
    <row r="21" ht="14.5" customHeight="1">
      <c r="A21" s="97" t="n">
        <v>4</v>
      </c>
      <c r="B21" s="98" t="n"/>
      <c r="C21" s="99" t="n"/>
      <c r="D21" s="99" t="n"/>
      <c r="E21" s="100" t="n"/>
      <c r="F21" s="101" t="n"/>
      <c r="G21" s="100" t="n"/>
      <c r="H21" s="100" t="n"/>
      <c r="I21" s="100" t="n"/>
      <c r="J21" s="100" t="n"/>
      <c r="K21" s="100" t="n"/>
      <c r="L21" s="100" t="n"/>
      <c r="M21" s="101" t="n"/>
      <c r="N21" s="100" t="n"/>
      <c r="O21" s="100" t="n"/>
      <c r="P21" s="100" t="n"/>
      <c r="Q21" s="100" t="n"/>
      <c r="R21" s="100" t="n"/>
      <c r="S21" s="100" t="n"/>
      <c r="T21" s="101" t="n"/>
      <c r="U21" s="100" t="n"/>
      <c r="V21" s="100" t="n"/>
      <c r="W21" s="100" t="n"/>
      <c r="X21" s="100" t="n"/>
      <c r="Y21" s="100" t="n"/>
      <c r="Z21" s="100" t="n"/>
      <c r="AA21" s="101" t="n"/>
      <c r="AB21" s="100" t="n"/>
      <c r="AC21" s="100" t="n"/>
      <c r="AD21" s="100" t="n"/>
      <c r="AE21" s="100" t="n"/>
      <c r="AF21" s="100" t="n"/>
      <c r="AG21" s="100" t="n"/>
      <c r="AH21" s="101" t="n"/>
      <c r="AI21" s="100" t="n"/>
      <c r="AJ21" s="102">
        <f>IF(ISBLANK(B21), "", IF(ISNUMBER(D21), IF(D21&gt;0, (COUNTIF(E21:AI21, "✓") + COUNTIF(E21:AI21, "✔") + COUNTIF(E21:AI21, "v") + COUNTIF(E21:AI21, "V"))/D21, 0), IF(((COUNTIF(E21:AI21, "✓") + COUNTIF(E21:AI21, "✔") + COUNTIF(E21:AI21, "v") + COUNTIF(E21:AI21, "V")) + COUNTIF(E21:AI21, "✗") + COUNTIF(E21:AI21, "x") + COUNTIF(E21:AI21, "X"))&gt;0, (COUNTIF(E21:AI21, "✓") + COUNTIF(E21:AI21, "✔") + COUNTIF(E21:AI21, "v") + COUNTIF(E21:AI21, "V"))/((COUNTIF(E21:AI21, "✓") + COUNTIF(E21:AI21, "✔") + COUNTIF(E21:AI21, "v") + COUNTIF(E21:AI21, "V")) + COUNTIF(E21:AI21, "✗") + COUNTIF(E21:AI21, "x") + COUNTIF(E21:AI21, "X")), "")))</f>
        <v/>
      </c>
      <c r="AK21" s="103">
        <f>IF(ISBLANK(B21), "", IF(ISNUMBER(D21), IF(D21&gt;0, (COUNTIF(E21:AI21, "✓") + COUNTIF(E21:AI21, "✔") + COUNTIF(E21:AI21, "v") + COUNTIF(E21:AI21, "V")) &amp; "/" &amp; D21, (COUNTIF(E21:AI21, "✓") + COUNTIF(E21:AI21, "✔") + COUNTIF(E21:AI21, "v") + COUNTIF(E21:AI21, "V")) &amp; "/0"), IF(((COUNTIF(E21:AI21, "✓") + COUNTIF(E21:AI21, "✔") + COUNTIF(E21:AI21, "v") + COUNTIF(E21:AI21, "V")) + COUNTIF(E21:AI21, "✗") + COUNTIF(E21:AI21, "x") + COUNTIF(E21:AI21, "X"))&gt;0, (COUNTIF(E21:AI21, "✓") + COUNTIF(E21:AI21, "✔") + COUNTIF(E21:AI21, "v") + COUNTIF(E21:AI21, "V")) &amp; "/" &amp; ((COUNTIF(E21:AI21, "✓") + COUNTIF(E21:AI21, "✔") + COUNTIF(E21:AI21, "v") + COUNTIF(E21:AI21, "V")) + COUNTIF(E21:AI21, "✗") + COUNTIF(E21:AI21, "x") + COUNTIF(E21:AI21, "X")), "")))</f>
        <v/>
      </c>
      <c r="AL21" s="103">
        <f>IF(ISBLANK(B21), "", IF(AJ21&gt;=0.85, "🔥 Mastered", IF(AJ21&gt;=0.7, "⚡ Consistent", "⚠️ Needs Focus")))</f>
        <v/>
      </c>
      <c r="AM21">
        <f>COUNTIF(E21:AI21, "✓")</f>
        <v/>
      </c>
    </row>
    <row r="22" ht="14.5" customHeight="1">
      <c r="A22" s="104" t="n">
        <v>5</v>
      </c>
      <c r="B22" s="105" t="n"/>
      <c r="C22" s="106" t="n"/>
      <c r="D22" s="106" t="n"/>
      <c r="E22" s="107" t="n"/>
      <c r="F22" s="108" t="n"/>
      <c r="G22" s="107" t="n"/>
      <c r="H22" s="107" t="n"/>
      <c r="I22" s="107" t="n"/>
      <c r="J22" s="107" t="n"/>
      <c r="K22" s="107" t="n"/>
      <c r="L22" s="107" t="n"/>
      <c r="M22" s="108" t="n"/>
      <c r="N22" s="107" t="n"/>
      <c r="O22" s="107" t="n"/>
      <c r="P22" s="107" t="n"/>
      <c r="Q22" s="107" t="n"/>
      <c r="R22" s="107" t="n"/>
      <c r="S22" s="107" t="n"/>
      <c r="T22" s="108" t="n"/>
      <c r="U22" s="107" t="n"/>
      <c r="V22" s="107" t="n"/>
      <c r="W22" s="107" t="n"/>
      <c r="X22" s="107" t="n"/>
      <c r="Y22" s="107" t="n"/>
      <c r="Z22" s="107" t="n"/>
      <c r="AA22" s="108" t="n"/>
      <c r="AB22" s="107" t="n"/>
      <c r="AC22" s="107" t="n"/>
      <c r="AD22" s="107" t="n"/>
      <c r="AE22" s="107" t="n"/>
      <c r="AF22" s="107" t="n"/>
      <c r="AG22" s="107" t="n"/>
      <c r="AH22" s="108" t="n"/>
      <c r="AI22" s="107" t="n"/>
      <c r="AJ22" s="109">
        <f>IF(ISBLANK(B22), "", IF(ISNUMBER(D22), IF(D22&gt;0, (COUNTIF(E22:AI22, "✓") + COUNTIF(E22:AI22, "✔") + COUNTIF(E22:AI22, "v") + COUNTIF(E22:AI22, "V"))/D22, 0), IF(((COUNTIF(E22:AI22, "✓") + COUNTIF(E22:AI22, "✔") + COUNTIF(E22:AI22, "v") + COUNTIF(E22:AI22, "V")) + COUNTIF(E22:AI22, "✗") + COUNTIF(E22:AI22, "x") + COUNTIF(E22:AI22, "X"))&gt;0, (COUNTIF(E22:AI22, "✓") + COUNTIF(E22:AI22, "✔") + COUNTIF(E22:AI22, "v") + COUNTIF(E22:AI22, "V"))/((COUNTIF(E22:AI22, "✓") + COUNTIF(E22:AI22, "✔") + COUNTIF(E22:AI22, "v") + COUNTIF(E22:AI22, "V")) + COUNTIF(E22:AI22, "✗") + COUNTIF(E22:AI22, "x") + COUNTIF(E22:AI22, "X")), "")))</f>
        <v/>
      </c>
      <c r="AK22" s="110">
        <f>IF(ISBLANK(B22), "", IF(ISNUMBER(D22), IF(D22&gt;0, (COUNTIF(E22:AI22, "✓") + COUNTIF(E22:AI22, "✔") + COUNTIF(E22:AI22, "v") + COUNTIF(E22:AI22, "V")) &amp; "/" &amp; D22, (COUNTIF(E22:AI22, "✓") + COUNTIF(E22:AI22, "✔") + COUNTIF(E22:AI22, "v") + COUNTIF(E22:AI22, "V")) &amp; "/0"), IF(((COUNTIF(E22:AI22, "✓") + COUNTIF(E22:AI22, "✔") + COUNTIF(E22:AI22, "v") + COUNTIF(E22:AI22, "V")) + COUNTIF(E22:AI22, "✗") + COUNTIF(E22:AI22, "x") + COUNTIF(E22:AI22, "X"))&gt;0, (COUNTIF(E22:AI22, "✓") + COUNTIF(E22:AI22, "✔") + COUNTIF(E22:AI22, "v") + COUNTIF(E22:AI22, "V")) &amp; "/" &amp; ((COUNTIF(E22:AI22, "✓") + COUNTIF(E22:AI22, "✔") + COUNTIF(E22:AI22, "v") + COUNTIF(E22:AI22, "V")) + COUNTIF(E22:AI22, "✗") + COUNTIF(E22:AI22, "x") + COUNTIF(E22:AI22, "X")), "")))</f>
        <v/>
      </c>
      <c r="AL22" s="110">
        <f>IF(ISBLANK(B22), "", IF(AJ22&gt;=0.85, "🔥 Mastered", IF(AJ22&gt;=0.7, "⚡ Consistent", "⚠️ Needs Focus")))</f>
        <v/>
      </c>
      <c r="AM22">
        <f>COUNTIF(E22:AI22, "✓")</f>
        <v/>
      </c>
    </row>
    <row r="23" ht="14.5" customHeight="1">
      <c r="A23" s="104" t="n">
        <v>6</v>
      </c>
      <c r="B23" s="105" t="n"/>
      <c r="C23" s="106" t="n"/>
      <c r="D23" s="106" t="n"/>
      <c r="E23" s="107" t="n"/>
      <c r="F23" s="108" t="n"/>
      <c r="G23" s="107" t="n"/>
      <c r="H23" s="107" t="n"/>
      <c r="I23" s="107" t="n"/>
      <c r="J23" s="107" t="n"/>
      <c r="K23" s="107" t="n"/>
      <c r="L23" s="107" t="n"/>
      <c r="M23" s="108" t="n"/>
      <c r="N23" s="107" t="n"/>
      <c r="O23" s="107" t="n"/>
      <c r="P23" s="107" t="n"/>
      <c r="Q23" s="107" t="n"/>
      <c r="R23" s="107" t="n"/>
      <c r="S23" s="107" t="n"/>
      <c r="T23" s="108" t="n"/>
      <c r="U23" s="107" t="n"/>
      <c r="V23" s="107" t="n"/>
      <c r="W23" s="107" t="n"/>
      <c r="X23" s="107" t="n"/>
      <c r="Y23" s="107" t="n"/>
      <c r="Z23" s="107" t="n"/>
      <c r="AA23" s="108" t="n"/>
      <c r="AB23" s="107" t="n"/>
      <c r="AC23" s="107" t="n"/>
      <c r="AD23" s="107" t="n"/>
      <c r="AE23" s="107" t="n"/>
      <c r="AF23" s="107" t="n"/>
      <c r="AG23" s="107" t="n"/>
      <c r="AH23" s="108" t="n"/>
      <c r="AI23" s="107" t="n"/>
      <c r="AJ23" s="109">
        <f>IF(ISBLANK(B23), "", IF(ISNUMBER(D23), IF(D23&gt;0, (COUNTIF(E23:AI23, "✓") + COUNTIF(E23:AI23, "✔") + COUNTIF(E23:AI23, "v") + COUNTIF(E23:AI23, "V"))/D23, 0), IF(((COUNTIF(E23:AI23, "✓") + COUNTIF(E23:AI23, "✔") + COUNTIF(E23:AI23, "v") + COUNTIF(E23:AI23, "V")) + COUNTIF(E23:AI23, "✗") + COUNTIF(E23:AI23, "x") + COUNTIF(E23:AI23, "X"))&gt;0, (COUNTIF(E23:AI23, "✓") + COUNTIF(E23:AI23, "✔") + COUNTIF(E23:AI23, "v") + COUNTIF(E23:AI23, "V"))/((COUNTIF(E23:AI23, "✓") + COUNTIF(E23:AI23, "✔") + COUNTIF(E23:AI23, "v") + COUNTIF(E23:AI23, "V")) + COUNTIF(E23:AI23, "✗") + COUNTIF(E23:AI23, "x") + COUNTIF(E23:AI23, "X")), "")))</f>
        <v/>
      </c>
      <c r="AK23" s="110">
        <f>IF(ISBLANK(B23), "", IF(ISNUMBER(D23), IF(D23&gt;0, (COUNTIF(E23:AI23, "✓") + COUNTIF(E23:AI23, "✔") + COUNTIF(E23:AI23, "v") + COUNTIF(E23:AI23, "V")) &amp; "/" &amp; D23, (COUNTIF(E23:AI23, "✓") + COUNTIF(E23:AI23, "✔") + COUNTIF(E23:AI23, "v") + COUNTIF(E23:AI23, "V")) &amp; "/0"), IF(((COUNTIF(E23:AI23, "✓") + COUNTIF(E23:AI23, "✔") + COUNTIF(E23:AI23, "v") + COUNTIF(E23:AI23, "V")) + COUNTIF(E23:AI23, "✗") + COUNTIF(E23:AI23, "x") + COUNTIF(E23:AI23, "X"))&gt;0, (COUNTIF(E23:AI23, "✓") + COUNTIF(E23:AI23, "✔") + COUNTIF(E23:AI23, "v") + COUNTIF(E23:AI23, "V")) &amp; "/" &amp; ((COUNTIF(E23:AI23, "✓") + COUNTIF(E23:AI23, "✔") + COUNTIF(E23:AI23, "v") + COUNTIF(E23:AI23, "V")) + COUNTIF(E23:AI23, "✗") + COUNTIF(E23:AI23, "x") + COUNTIF(E23:AI23, "X")), "")))</f>
        <v/>
      </c>
      <c r="AL23" s="110">
        <f>IF(ISBLANK(B23), "", IF(AJ23&gt;=0.85, "🔥 Mastered", IF(AJ23&gt;=0.7, "⚡ Consistent", "⚠️ Needs Focus")))</f>
        <v/>
      </c>
      <c r="AM23">
        <f>COUNTIF(E23:AI23, "✓")</f>
        <v/>
      </c>
    </row>
    <row r="24" ht="14.5" customHeight="1">
      <c r="A24" s="104" t="n">
        <v>7</v>
      </c>
      <c r="B24" s="105" t="n"/>
      <c r="C24" s="106" t="n"/>
      <c r="D24" s="106" t="n"/>
      <c r="E24" s="107" t="n"/>
      <c r="F24" s="108" t="n"/>
      <c r="G24" s="107" t="n"/>
      <c r="H24" s="107" t="n"/>
      <c r="I24" s="107" t="n"/>
      <c r="J24" s="107" t="n"/>
      <c r="K24" s="107" t="n"/>
      <c r="L24" s="107" t="n"/>
      <c r="M24" s="108" t="n"/>
      <c r="N24" s="107" t="n"/>
      <c r="O24" s="107" t="n"/>
      <c r="P24" s="107" t="n"/>
      <c r="Q24" s="107" t="n"/>
      <c r="R24" s="107" t="n"/>
      <c r="S24" s="107" t="n"/>
      <c r="T24" s="108" t="n"/>
      <c r="U24" s="107" t="n"/>
      <c r="V24" s="107" t="n"/>
      <c r="W24" s="107" t="n"/>
      <c r="X24" s="107" t="n"/>
      <c r="Y24" s="107" t="n"/>
      <c r="Z24" s="107" t="n"/>
      <c r="AA24" s="108" t="n"/>
      <c r="AB24" s="107" t="n"/>
      <c r="AC24" s="107" t="n"/>
      <c r="AD24" s="107" t="n"/>
      <c r="AE24" s="107" t="n"/>
      <c r="AF24" s="107" t="n"/>
      <c r="AG24" s="107" t="n"/>
      <c r="AH24" s="108" t="n"/>
      <c r="AI24" s="107" t="n"/>
      <c r="AJ24" s="109">
        <f>IF(ISBLANK(B24), "", IF(ISNUMBER(D24), IF(D24&gt;0, (COUNTIF(E24:AI24, "✓") + COUNTIF(E24:AI24, "✔") + COUNTIF(E24:AI24, "v") + COUNTIF(E24:AI24, "V"))/D24, 0), IF(((COUNTIF(E24:AI24, "✓") + COUNTIF(E24:AI24, "✔") + COUNTIF(E24:AI24, "v") + COUNTIF(E24:AI24, "V")) + COUNTIF(E24:AI24, "✗") + COUNTIF(E24:AI24, "x") + COUNTIF(E24:AI24, "X"))&gt;0, (COUNTIF(E24:AI24, "✓") + COUNTIF(E24:AI24, "✔") + COUNTIF(E24:AI24, "v") + COUNTIF(E24:AI24, "V"))/((COUNTIF(E24:AI24, "✓") + COUNTIF(E24:AI24, "✔") + COUNTIF(E24:AI24, "v") + COUNTIF(E24:AI24, "V")) + COUNTIF(E24:AI24, "✗") + COUNTIF(E24:AI24, "x") + COUNTIF(E24:AI24, "X")), "")))</f>
        <v/>
      </c>
      <c r="AK24" s="110">
        <f>IF(ISBLANK(B24), "", IF(ISNUMBER(D24), IF(D24&gt;0, (COUNTIF(E24:AI24, "✓") + COUNTIF(E24:AI24, "✔") + COUNTIF(E24:AI24, "v") + COUNTIF(E24:AI24, "V")) &amp; "/" &amp; D24, (COUNTIF(E24:AI24, "✓") + COUNTIF(E24:AI24, "✔") + COUNTIF(E24:AI24, "v") + COUNTIF(E24:AI24, "V")) &amp; "/0"), IF(((COUNTIF(E24:AI24, "✓") + COUNTIF(E24:AI24, "✔") + COUNTIF(E24:AI24, "v") + COUNTIF(E24:AI24, "V")) + COUNTIF(E24:AI24, "✗") + COUNTIF(E24:AI24, "x") + COUNTIF(E24:AI24, "X"))&gt;0, (COUNTIF(E24:AI24, "✓") + COUNTIF(E24:AI24, "✔") + COUNTIF(E24:AI24, "v") + COUNTIF(E24:AI24, "V")) &amp; "/" &amp; ((COUNTIF(E24:AI24, "✓") + COUNTIF(E24:AI24, "✔") + COUNTIF(E24:AI24, "v") + COUNTIF(E24:AI24, "V")) + COUNTIF(E24:AI24, "✗") + COUNTIF(E24:AI24, "x") + COUNTIF(E24:AI24, "X")), "")))</f>
        <v/>
      </c>
      <c r="AL24" s="110">
        <f>IF(ISBLANK(B24), "", IF(AJ24&gt;=0.85, "🔥 Mastered", IF(AJ24&gt;=0.7, "⚡ Consistent", "⚠️ Needs Focus")))</f>
        <v/>
      </c>
      <c r="AM24">
        <f>COUNTIF(E24:AI24, "✓")</f>
        <v/>
      </c>
    </row>
    <row r="25" ht="14.5" customHeight="1">
      <c r="A25" s="104" t="n">
        <v>8</v>
      </c>
      <c r="B25" s="105" t="n"/>
      <c r="C25" s="106" t="n"/>
      <c r="D25" s="106" t="n"/>
      <c r="E25" s="107" t="n"/>
      <c r="F25" s="108" t="n"/>
      <c r="G25" s="107" t="n"/>
      <c r="H25" s="107" t="n"/>
      <c r="I25" s="107" t="n"/>
      <c r="J25" s="107" t="n"/>
      <c r="K25" s="107" t="n"/>
      <c r="L25" s="107" t="n"/>
      <c r="M25" s="108" t="n"/>
      <c r="N25" s="107" t="n"/>
      <c r="O25" s="107" t="n"/>
      <c r="P25" s="107" t="n"/>
      <c r="Q25" s="107" t="n"/>
      <c r="R25" s="107" t="n"/>
      <c r="S25" s="107" t="n"/>
      <c r="T25" s="108" t="n"/>
      <c r="U25" s="107" t="n"/>
      <c r="V25" s="107" t="n"/>
      <c r="W25" s="107" t="n"/>
      <c r="X25" s="107" t="n"/>
      <c r="Y25" s="107" t="n"/>
      <c r="Z25" s="107" t="n"/>
      <c r="AA25" s="108" t="n"/>
      <c r="AB25" s="107" t="n"/>
      <c r="AC25" s="107" t="n"/>
      <c r="AD25" s="107" t="n"/>
      <c r="AE25" s="107" t="n"/>
      <c r="AF25" s="107" t="n"/>
      <c r="AG25" s="107" t="n"/>
      <c r="AH25" s="108" t="n"/>
      <c r="AI25" s="107" t="n"/>
      <c r="AJ25" s="109">
        <f>IF(ISBLANK(B25), "", IF(ISNUMBER(D25), IF(D25&gt;0, (COUNTIF(E25:AI25, "✓") + COUNTIF(E25:AI25, "✔") + COUNTIF(E25:AI25, "v") + COUNTIF(E25:AI25, "V"))/D25, 0), IF(((COUNTIF(E25:AI25, "✓") + COUNTIF(E25:AI25, "✔") + COUNTIF(E25:AI25, "v") + COUNTIF(E25:AI25, "V")) + COUNTIF(E25:AI25, "✗") + COUNTIF(E25:AI25, "x") + COUNTIF(E25:AI25, "X"))&gt;0, (COUNTIF(E25:AI25, "✓") + COUNTIF(E25:AI25, "✔") + COUNTIF(E25:AI25, "v") + COUNTIF(E25:AI25, "V"))/((COUNTIF(E25:AI25, "✓") + COUNTIF(E25:AI25, "✔") + COUNTIF(E25:AI25, "v") + COUNTIF(E25:AI25, "V")) + COUNTIF(E25:AI25, "✗") + COUNTIF(E25:AI25, "x") + COUNTIF(E25:AI25, "X")), "")))</f>
        <v/>
      </c>
      <c r="AK25" s="110">
        <f>IF(ISBLANK(B25), "", IF(ISNUMBER(D25), IF(D25&gt;0, (COUNTIF(E25:AI25, "✓") + COUNTIF(E25:AI25, "✔") + COUNTIF(E25:AI25, "v") + COUNTIF(E25:AI25, "V")) &amp; "/" &amp; D25, (COUNTIF(E25:AI25, "✓") + COUNTIF(E25:AI25, "✔") + COUNTIF(E25:AI25, "v") + COUNTIF(E25:AI25, "V")) &amp; "/0"), IF(((COUNTIF(E25:AI25, "✓") + COUNTIF(E25:AI25, "✔") + COUNTIF(E25:AI25, "v") + COUNTIF(E25:AI25, "V")) + COUNTIF(E25:AI25, "✗") + COUNTIF(E25:AI25, "x") + COUNTIF(E25:AI25, "X"))&gt;0, (COUNTIF(E25:AI25, "✓") + COUNTIF(E25:AI25, "✔") + COUNTIF(E25:AI25, "v") + COUNTIF(E25:AI25, "V")) &amp; "/" &amp; ((COUNTIF(E25:AI25, "✓") + COUNTIF(E25:AI25, "✔") + COUNTIF(E25:AI25, "v") + COUNTIF(E25:AI25, "V")) + COUNTIF(E25:AI25, "✗") + COUNTIF(E25:AI25, "x") + COUNTIF(E25:AI25, "X")), "")))</f>
        <v/>
      </c>
      <c r="AL25" s="110">
        <f>IF(ISBLANK(B25), "", IF(AJ25&gt;=0.85, "🔥 Mastered", IF(AJ25&gt;=0.7, "⚡ Consistent", "⚠️ Needs Focus")))</f>
        <v/>
      </c>
      <c r="AM25">
        <f>COUNTIF(E25:AI25, "✓")</f>
        <v/>
      </c>
    </row>
    <row r="26" ht="14.5" customHeight="1">
      <c r="A26" s="111" t="n">
        <v>9</v>
      </c>
      <c r="B26" s="112" t="n"/>
      <c r="C26" s="113" t="n"/>
      <c r="D26" s="113" t="n"/>
      <c r="E26" s="114" t="n"/>
      <c r="F26" s="115" t="n"/>
      <c r="G26" s="114" t="n"/>
      <c r="H26" s="114" t="n"/>
      <c r="I26" s="114" t="n"/>
      <c r="J26" s="114" t="n"/>
      <c r="K26" s="114" t="n"/>
      <c r="L26" s="114" t="n"/>
      <c r="M26" s="115" t="n"/>
      <c r="N26" s="114" t="n"/>
      <c r="O26" s="114" t="n"/>
      <c r="P26" s="114" t="n"/>
      <c r="Q26" s="114" t="n"/>
      <c r="R26" s="114" t="n"/>
      <c r="S26" s="114" t="n"/>
      <c r="T26" s="115" t="n"/>
      <c r="U26" s="114" t="n"/>
      <c r="V26" s="114" t="n"/>
      <c r="W26" s="114" t="n"/>
      <c r="X26" s="114" t="n"/>
      <c r="Y26" s="114" t="n"/>
      <c r="Z26" s="114" t="n"/>
      <c r="AA26" s="115" t="n"/>
      <c r="AB26" s="114" t="n"/>
      <c r="AC26" s="114" t="n"/>
      <c r="AD26" s="114" t="n"/>
      <c r="AE26" s="114" t="n"/>
      <c r="AF26" s="114" t="n"/>
      <c r="AG26" s="114" t="n"/>
      <c r="AH26" s="115" t="n"/>
      <c r="AI26" s="114" t="n"/>
      <c r="AJ26" s="116">
        <f>IF(ISBLANK(B26), "", IF(ISNUMBER(D26), IF(D26&gt;0, (COUNTIF(E26:AI26, "✓") + COUNTIF(E26:AI26, "✔") + COUNTIF(E26:AI26, "v") + COUNTIF(E26:AI26, "V"))/D26, 0), IF(((COUNTIF(E26:AI26, "✓") + COUNTIF(E26:AI26, "✔") + COUNTIF(E26:AI26, "v") + COUNTIF(E26:AI26, "V")) + COUNTIF(E26:AI26, "✗") + COUNTIF(E26:AI26, "x") + COUNTIF(E26:AI26, "X"))&gt;0, (COUNTIF(E26:AI26, "✓") + COUNTIF(E26:AI26, "✔") + COUNTIF(E26:AI26, "v") + COUNTIF(E26:AI26, "V"))/((COUNTIF(E26:AI26, "✓") + COUNTIF(E26:AI26, "✔") + COUNTIF(E26:AI26, "v") + COUNTIF(E26:AI26, "V")) + COUNTIF(E26:AI26, "✗") + COUNTIF(E26:AI26, "x") + COUNTIF(E26:AI26, "X")), "")))</f>
        <v/>
      </c>
      <c r="AK26" s="117">
        <f>IF(ISBLANK(B26), "", IF(ISNUMBER(D26), IF(D26&gt;0, (COUNTIF(E26:AI26, "✓") + COUNTIF(E26:AI26, "✔") + COUNTIF(E26:AI26, "v") + COUNTIF(E26:AI26, "V")) &amp; "/" &amp; D26, (COUNTIF(E26:AI26, "✓") + COUNTIF(E26:AI26, "✔") + COUNTIF(E26:AI26, "v") + COUNTIF(E26:AI26, "V")) &amp; "/0"), IF(((COUNTIF(E26:AI26, "✓") + COUNTIF(E26:AI26, "✔") + COUNTIF(E26:AI26, "v") + COUNTIF(E26:AI26, "V")) + COUNTIF(E26:AI26, "✗") + COUNTIF(E26:AI26, "x") + COUNTIF(E26:AI26, "X"))&gt;0, (COUNTIF(E26:AI26, "✓") + COUNTIF(E26:AI26, "✔") + COUNTIF(E26:AI26, "v") + COUNTIF(E26:AI26, "V")) &amp; "/" &amp; ((COUNTIF(E26:AI26, "✓") + COUNTIF(E26:AI26, "✔") + COUNTIF(E26:AI26, "v") + COUNTIF(E26:AI26, "V")) + COUNTIF(E26:AI26, "✗") + COUNTIF(E26:AI26, "x") + COUNTIF(E26:AI26, "X")), "")))</f>
        <v/>
      </c>
      <c r="AL26" s="117">
        <f>IF(ISBLANK(B26), "", IF(AJ26&gt;=0.85, "🔥 Mastered", IF(AJ26&gt;=0.7, "⚡ Consistent", "⚠️ Needs Focus")))</f>
        <v/>
      </c>
      <c r="AM26">
        <f>COUNTIF(E26:AI26, "✓")</f>
        <v/>
      </c>
    </row>
    <row r="27" ht="14.5" customHeight="1">
      <c r="A27" s="111" t="n">
        <v>10</v>
      </c>
      <c r="B27" s="112" t="n"/>
      <c r="C27" s="113" t="n"/>
      <c r="D27" s="113" t="n"/>
      <c r="E27" s="114" t="n"/>
      <c r="F27" s="115" t="n"/>
      <c r="G27" s="114" t="n"/>
      <c r="H27" s="114" t="n"/>
      <c r="I27" s="114" t="n"/>
      <c r="J27" s="114" t="n"/>
      <c r="K27" s="114" t="n"/>
      <c r="L27" s="114" t="n"/>
      <c r="M27" s="115" t="n"/>
      <c r="N27" s="114" t="n"/>
      <c r="O27" s="114" t="n"/>
      <c r="P27" s="114" t="n"/>
      <c r="Q27" s="114" t="n"/>
      <c r="R27" s="114" t="n"/>
      <c r="S27" s="114" t="n"/>
      <c r="T27" s="115" t="n"/>
      <c r="U27" s="114" t="n"/>
      <c r="V27" s="114" t="n"/>
      <c r="W27" s="114" t="n"/>
      <c r="X27" s="114" t="n"/>
      <c r="Y27" s="114" t="n"/>
      <c r="Z27" s="114" t="n"/>
      <c r="AA27" s="115" t="n"/>
      <c r="AB27" s="114" t="n"/>
      <c r="AC27" s="114" t="n"/>
      <c r="AD27" s="114" t="n"/>
      <c r="AE27" s="114" t="n"/>
      <c r="AF27" s="114" t="n"/>
      <c r="AG27" s="114" t="n"/>
      <c r="AH27" s="115" t="n"/>
      <c r="AI27" s="114" t="n"/>
      <c r="AJ27" s="116">
        <f>IF(ISBLANK(B27), "", IF(ISNUMBER(D27), IF(D27&gt;0, (COUNTIF(E27:AI27, "✓") + COUNTIF(E27:AI27, "✔") + COUNTIF(E27:AI27, "v") + COUNTIF(E27:AI27, "V"))/D27, 0), IF(((COUNTIF(E27:AI27, "✓") + COUNTIF(E27:AI27, "✔") + COUNTIF(E27:AI27, "v") + COUNTIF(E27:AI27, "V")) + COUNTIF(E27:AI27, "✗") + COUNTIF(E27:AI27, "x") + COUNTIF(E27:AI27, "X"))&gt;0, (COUNTIF(E27:AI27, "✓") + COUNTIF(E27:AI27, "✔") + COUNTIF(E27:AI27, "v") + COUNTIF(E27:AI27, "V"))/((COUNTIF(E27:AI27, "✓") + COUNTIF(E27:AI27, "✔") + COUNTIF(E27:AI27, "v") + COUNTIF(E27:AI27, "V")) + COUNTIF(E27:AI27, "✗") + COUNTIF(E27:AI27, "x") + COUNTIF(E27:AI27, "X")), "")))</f>
        <v/>
      </c>
      <c r="AK27" s="117">
        <f>IF(ISBLANK(B27), "", IF(ISNUMBER(D27), IF(D27&gt;0, (COUNTIF(E27:AI27, "✓") + COUNTIF(E27:AI27, "✔") + COUNTIF(E27:AI27, "v") + COUNTIF(E27:AI27, "V")) &amp; "/" &amp; D27, (COUNTIF(E27:AI27, "✓") + COUNTIF(E27:AI27, "✔") + COUNTIF(E27:AI27, "v") + COUNTIF(E27:AI27, "V")) &amp; "/0"), IF(((COUNTIF(E27:AI27, "✓") + COUNTIF(E27:AI27, "✔") + COUNTIF(E27:AI27, "v") + COUNTIF(E27:AI27, "V")) + COUNTIF(E27:AI27, "✗") + COUNTIF(E27:AI27, "x") + COUNTIF(E27:AI27, "X"))&gt;0, (COUNTIF(E27:AI27, "✓") + COUNTIF(E27:AI27, "✔") + COUNTIF(E27:AI27, "v") + COUNTIF(E27:AI27, "V")) &amp; "/" &amp; ((COUNTIF(E27:AI27, "✓") + COUNTIF(E27:AI27, "✔") + COUNTIF(E27:AI27, "v") + COUNTIF(E27:AI27, "V")) + COUNTIF(E27:AI27, "✗") + COUNTIF(E27:AI27, "x") + COUNTIF(E27:AI27, "X")), "")))</f>
        <v/>
      </c>
      <c r="AL27" s="117">
        <f>IF(ISBLANK(B27), "", IF(AJ27&gt;=0.85, "🔥 Mastered", IF(AJ27&gt;=0.7, "⚡ Consistent", "⚠️ Needs Focus")))</f>
        <v/>
      </c>
      <c r="AM27">
        <f>COUNTIF(E27:AI27, "✓")</f>
        <v/>
      </c>
    </row>
    <row r="28" ht="14.5" customHeight="1">
      <c r="A28" s="111" t="n">
        <v>11</v>
      </c>
      <c r="B28" s="112" t="n"/>
      <c r="C28" s="113" t="n"/>
      <c r="D28" s="113" t="n"/>
      <c r="E28" s="114" t="n"/>
      <c r="F28" s="115" t="n"/>
      <c r="G28" s="114" t="n"/>
      <c r="H28" s="114" t="n"/>
      <c r="I28" s="114" t="n"/>
      <c r="J28" s="114" t="n"/>
      <c r="K28" s="114" t="n"/>
      <c r="L28" s="114" t="n"/>
      <c r="M28" s="115" t="n"/>
      <c r="N28" s="114" t="n"/>
      <c r="O28" s="114" t="n"/>
      <c r="P28" s="114" t="n"/>
      <c r="Q28" s="114" t="n"/>
      <c r="R28" s="114" t="n"/>
      <c r="S28" s="114" t="n"/>
      <c r="T28" s="115" t="n"/>
      <c r="U28" s="114" t="n"/>
      <c r="V28" s="114" t="n"/>
      <c r="W28" s="114" t="n"/>
      <c r="X28" s="114" t="n"/>
      <c r="Y28" s="114" t="n"/>
      <c r="Z28" s="114" t="n"/>
      <c r="AA28" s="115" t="n"/>
      <c r="AB28" s="114" t="n"/>
      <c r="AC28" s="114" t="n"/>
      <c r="AD28" s="114" t="n"/>
      <c r="AE28" s="114" t="n"/>
      <c r="AF28" s="114" t="n"/>
      <c r="AG28" s="114" t="n"/>
      <c r="AH28" s="115" t="n"/>
      <c r="AI28" s="114" t="n"/>
      <c r="AJ28" s="116">
        <f>IF(ISBLANK(B28), "", IF(ISNUMBER(D28), IF(D28&gt;0, (COUNTIF(E28:AI28, "✓") + COUNTIF(E28:AI28, "✔") + COUNTIF(E28:AI28, "v") + COUNTIF(E28:AI28, "V"))/D28, 0), IF(((COUNTIF(E28:AI28, "✓") + COUNTIF(E28:AI28, "✔") + COUNTIF(E28:AI28, "v") + COUNTIF(E28:AI28, "V")) + COUNTIF(E28:AI28, "✗") + COUNTIF(E28:AI28, "x") + COUNTIF(E28:AI28, "X"))&gt;0, (COUNTIF(E28:AI28, "✓") + COUNTIF(E28:AI28, "✔") + COUNTIF(E28:AI28, "v") + COUNTIF(E28:AI28, "V"))/((COUNTIF(E28:AI28, "✓") + COUNTIF(E28:AI28, "✔") + COUNTIF(E28:AI28, "v") + COUNTIF(E28:AI28, "V")) + COUNTIF(E28:AI28, "✗") + COUNTIF(E28:AI28, "x") + COUNTIF(E28:AI28, "X")), "")))</f>
        <v/>
      </c>
      <c r="AK28" s="117">
        <f>IF(ISBLANK(B28), "", IF(ISNUMBER(D28), IF(D28&gt;0, (COUNTIF(E28:AI28, "✓") + COUNTIF(E28:AI28, "✔") + COUNTIF(E28:AI28, "v") + COUNTIF(E28:AI28, "V")) &amp; "/" &amp; D28, (COUNTIF(E28:AI28, "✓") + COUNTIF(E28:AI28, "✔") + COUNTIF(E28:AI28, "v") + COUNTIF(E28:AI28, "V")) &amp; "/0"), IF(((COUNTIF(E28:AI28, "✓") + COUNTIF(E28:AI28, "✔") + COUNTIF(E28:AI28, "v") + COUNTIF(E28:AI28, "V")) + COUNTIF(E28:AI28, "✗") + COUNTIF(E28:AI28, "x") + COUNTIF(E28:AI28, "X"))&gt;0, (COUNTIF(E28:AI28, "✓") + COUNTIF(E28:AI28, "✔") + COUNTIF(E28:AI28, "v") + COUNTIF(E28:AI28, "V")) &amp; "/" &amp; ((COUNTIF(E28:AI28, "✓") + COUNTIF(E28:AI28, "✔") + COUNTIF(E28:AI28, "v") + COUNTIF(E28:AI28, "V")) + COUNTIF(E28:AI28, "✗") + COUNTIF(E28:AI28, "x") + COUNTIF(E28:AI28, "X")), "")))</f>
        <v/>
      </c>
      <c r="AL28" s="117">
        <f>IF(ISBLANK(B28), "", IF(AJ28&gt;=0.85, "🔥 Mastered", IF(AJ28&gt;=0.7, "⚡ Consistent", "⚠️ Needs Focus")))</f>
        <v/>
      </c>
      <c r="AM28">
        <f>COUNTIF(E28:AI28, "✓")</f>
        <v/>
      </c>
    </row>
    <row r="29" ht="14.5" customHeight="1">
      <c r="A29" s="111" t="n">
        <v>12</v>
      </c>
      <c r="B29" s="112" t="n"/>
      <c r="C29" s="113" t="n"/>
      <c r="D29" s="113" t="n"/>
      <c r="E29" s="114" t="n"/>
      <c r="F29" s="115" t="n"/>
      <c r="G29" s="114" t="n"/>
      <c r="H29" s="114" t="n"/>
      <c r="I29" s="114" t="n"/>
      <c r="J29" s="114" t="n"/>
      <c r="K29" s="114" t="n"/>
      <c r="L29" s="114" t="n"/>
      <c r="M29" s="115" t="n"/>
      <c r="N29" s="114" t="n"/>
      <c r="O29" s="114" t="n"/>
      <c r="P29" s="114" t="n"/>
      <c r="Q29" s="114" t="n"/>
      <c r="R29" s="114" t="n"/>
      <c r="S29" s="114" t="n"/>
      <c r="T29" s="115" t="n"/>
      <c r="U29" s="114" t="n"/>
      <c r="V29" s="114" t="n"/>
      <c r="W29" s="114" t="n"/>
      <c r="X29" s="114" t="n"/>
      <c r="Y29" s="114" t="n"/>
      <c r="Z29" s="114" t="n"/>
      <c r="AA29" s="115" t="n"/>
      <c r="AB29" s="114" t="n"/>
      <c r="AC29" s="114" t="n"/>
      <c r="AD29" s="114" t="n"/>
      <c r="AE29" s="114" t="n"/>
      <c r="AF29" s="114" t="n"/>
      <c r="AG29" s="114" t="n"/>
      <c r="AH29" s="115" t="n"/>
      <c r="AI29" s="114" t="n"/>
      <c r="AJ29" s="116">
        <f>IF(ISBLANK(B29), "", IF(ISNUMBER(D29), IF(D29&gt;0, (COUNTIF(E29:AI29, "✓") + COUNTIF(E29:AI29, "✔") + COUNTIF(E29:AI29, "v") + COUNTIF(E29:AI29, "V"))/D29, 0), IF(((COUNTIF(E29:AI29, "✓") + COUNTIF(E29:AI29, "✔") + COUNTIF(E29:AI29, "v") + COUNTIF(E29:AI29, "V")) + COUNTIF(E29:AI29, "✗") + COUNTIF(E29:AI29, "x") + COUNTIF(E29:AI29, "X"))&gt;0, (COUNTIF(E29:AI29, "✓") + COUNTIF(E29:AI29, "✔") + COUNTIF(E29:AI29, "v") + COUNTIF(E29:AI29, "V"))/((COUNTIF(E29:AI29, "✓") + COUNTIF(E29:AI29, "✔") + COUNTIF(E29:AI29, "v") + COUNTIF(E29:AI29, "V")) + COUNTIF(E29:AI29, "✗") + COUNTIF(E29:AI29, "x") + COUNTIF(E29:AI29, "X")), "")))</f>
        <v/>
      </c>
      <c r="AK29" s="117">
        <f>IF(ISBLANK(B29), "", IF(ISNUMBER(D29), IF(D29&gt;0, (COUNTIF(E29:AI29, "✓") + COUNTIF(E29:AI29, "✔") + COUNTIF(E29:AI29, "v") + COUNTIF(E29:AI29, "V")) &amp; "/" &amp; D29, (COUNTIF(E29:AI29, "✓") + COUNTIF(E29:AI29, "✔") + COUNTIF(E29:AI29, "v") + COUNTIF(E29:AI29, "V")) &amp; "/0"), IF(((COUNTIF(E29:AI29, "✓") + COUNTIF(E29:AI29, "✔") + COUNTIF(E29:AI29, "v") + COUNTIF(E29:AI29, "V")) + COUNTIF(E29:AI29, "✗") + COUNTIF(E29:AI29, "x") + COUNTIF(E29:AI29, "X"))&gt;0, (COUNTIF(E29:AI29, "✓") + COUNTIF(E29:AI29, "✔") + COUNTIF(E29:AI29, "v") + COUNTIF(E29:AI29, "V")) &amp; "/" &amp; ((COUNTIF(E29:AI29, "✓") + COUNTIF(E29:AI29, "✔") + COUNTIF(E29:AI29, "v") + COUNTIF(E29:AI29, "V")) + COUNTIF(E29:AI29, "✗") + COUNTIF(E29:AI29, "x") + COUNTIF(E29:AI29, "X")), "")))</f>
        <v/>
      </c>
      <c r="AL29" s="117">
        <f>IF(ISBLANK(B29), "", IF(AJ29&gt;=0.85, "🔥 Mastered", IF(AJ29&gt;=0.7, "⚡ Consistent", "⚠️ Needs Focus")))</f>
        <v/>
      </c>
      <c r="AM29">
        <f>COUNTIF(E29:AI29, "✓")</f>
        <v/>
      </c>
    </row>
    <row r="30" ht="14.5" customHeight="1">
      <c r="A30" s="118" t="n">
        <v>13</v>
      </c>
      <c r="B30" s="119" t="n"/>
      <c r="C30" s="120" t="n"/>
      <c r="D30" s="120" t="n"/>
      <c r="E30" s="121" t="n"/>
      <c r="F30" s="122" t="n"/>
      <c r="G30" s="121" t="n"/>
      <c r="H30" s="121" t="n"/>
      <c r="I30" s="121" t="n"/>
      <c r="J30" s="121" t="n"/>
      <c r="K30" s="121" t="n"/>
      <c r="L30" s="121" t="n"/>
      <c r="M30" s="122" t="n"/>
      <c r="N30" s="121" t="n"/>
      <c r="O30" s="121" t="n"/>
      <c r="P30" s="121" t="n"/>
      <c r="Q30" s="121" t="n"/>
      <c r="R30" s="121" t="n"/>
      <c r="S30" s="121" t="n"/>
      <c r="T30" s="122" t="n"/>
      <c r="U30" s="121" t="n"/>
      <c r="V30" s="121" t="n"/>
      <c r="W30" s="121" t="n"/>
      <c r="X30" s="121" t="n"/>
      <c r="Y30" s="121" t="n"/>
      <c r="Z30" s="121" t="n"/>
      <c r="AA30" s="122" t="n"/>
      <c r="AB30" s="121" t="n"/>
      <c r="AC30" s="121" t="n"/>
      <c r="AD30" s="121" t="n"/>
      <c r="AE30" s="121" t="n"/>
      <c r="AF30" s="121" t="n"/>
      <c r="AG30" s="121" t="n"/>
      <c r="AH30" s="122" t="n"/>
      <c r="AI30" s="121" t="n"/>
      <c r="AJ30" s="123">
        <f>IF(ISBLANK(B30), "", IF(ISNUMBER(D30), IF(D30&gt;0, (COUNTIF(E30:AI30, "✓") + COUNTIF(E30:AI30, "✔") + COUNTIF(E30:AI30, "v") + COUNTIF(E30:AI30, "V"))/D30, 0), IF(((COUNTIF(E30:AI30, "✓") + COUNTIF(E30:AI30, "✔") + COUNTIF(E30:AI30, "v") + COUNTIF(E30:AI30, "V")) + COUNTIF(E30:AI30, "✗") + COUNTIF(E30:AI30, "x") + COUNTIF(E30:AI30, "X"))&gt;0, (COUNTIF(E30:AI30, "✓") + COUNTIF(E30:AI30, "✔") + COUNTIF(E30:AI30, "v") + COUNTIF(E30:AI30, "V"))/((COUNTIF(E30:AI30, "✓") + COUNTIF(E30:AI30, "✔") + COUNTIF(E30:AI30, "v") + COUNTIF(E30:AI30, "V")) + COUNTIF(E30:AI30, "✗") + COUNTIF(E30:AI30, "x") + COUNTIF(E30:AI30, "X")), "")))</f>
        <v/>
      </c>
      <c r="AK30" s="124">
        <f>IF(ISBLANK(B30), "", IF(ISNUMBER(D30), IF(D30&gt;0, (COUNTIF(E30:AI30, "✓") + COUNTIF(E30:AI30, "✔") + COUNTIF(E30:AI30, "v") + COUNTIF(E30:AI30, "V")) &amp; "/" &amp; D30, (COUNTIF(E30:AI30, "✓") + COUNTIF(E30:AI30, "✔") + COUNTIF(E30:AI30, "v") + COUNTIF(E30:AI30, "V")) &amp; "/0"), IF(((COUNTIF(E30:AI30, "✓") + COUNTIF(E30:AI30, "✔") + COUNTIF(E30:AI30, "v") + COUNTIF(E30:AI30, "V")) + COUNTIF(E30:AI30, "✗") + COUNTIF(E30:AI30, "x") + COUNTIF(E30:AI30, "X"))&gt;0, (COUNTIF(E30:AI30, "✓") + COUNTIF(E30:AI30, "✔") + COUNTIF(E30:AI30, "v") + COUNTIF(E30:AI30, "V")) &amp; "/" &amp; ((COUNTIF(E30:AI30, "✓") + COUNTIF(E30:AI30, "✔") + COUNTIF(E30:AI30, "v") + COUNTIF(E30:AI30, "V")) + COUNTIF(E30:AI30, "✗") + COUNTIF(E30:AI30, "x") + COUNTIF(E30:AI30, "X")), "")))</f>
        <v/>
      </c>
      <c r="AL30" s="124">
        <f>IF(ISBLANK(B30), "", IF(AJ30&gt;=0.85, "🔥 Mastered", IF(AJ30&gt;=0.7, "⚡ Consistent", "⚠️ Needs Focus")))</f>
        <v/>
      </c>
      <c r="AM30">
        <f>COUNTIF(E30:AI30, "✓")</f>
        <v/>
      </c>
    </row>
    <row r="31" ht="14.5" customHeight="1">
      <c r="A31" s="118" t="n">
        <v>14</v>
      </c>
      <c r="B31" s="119" t="n"/>
      <c r="C31" s="120" t="n"/>
      <c r="D31" s="120" t="n"/>
      <c r="E31" s="121" t="n"/>
      <c r="F31" s="122" t="n"/>
      <c r="G31" s="121" t="n"/>
      <c r="H31" s="121" t="n"/>
      <c r="I31" s="121" t="n"/>
      <c r="J31" s="121" t="n"/>
      <c r="K31" s="121" t="n"/>
      <c r="L31" s="121" t="n"/>
      <c r="M31" s="122" t="n"/>
      <c r="N31" s="121" t="n"/>
      <c r="O31" s="121" t="n"/>
      <c r="P31" s="121" t="n"/>
      <c r="Q31" s="121" t="n"/>
      <c r="R31" s="121" t="n"/>
      <c r="S31" s="121" t="n"/>
      <c r="T31" s="122" t="n"/>
      <c r="U31" s="121" t="n"/>
      <c r="V31" s="121" t="n"/>
      <c r="W31" s="121" t="n"/>
      <c r="X31" s="121" t="n"/>
      <c r="Y31" s="121" t="n"/>
      <c r="Z31" s="121" t="n"/>
      <c r="AA31" s="122" t="n"/>
      <c r="AB31" s="121" t="n"/>
      <c r="AC31" s="121" t="n"/>
      <c r="AD31" s="121" t="n"/>
      <c r="AE31" s="121" t="n"/>
      <c r="AF31" s="121" t="n"/>
      <c r="AG31" s="121" t="n"/>
      <c r="AH31" s="122" t="n"/>
      <c r="AI31" s="121" t="n"/>
      <c r="AJ31" s="123">
        <f>IF(ISBLANK(B31), "", IF(ISNUMBER(D31), IF(D31&gt;0, (COUNTIF(E31:AI31, "✓") + COUNTIF(E31:AI31, "✔") + COUNTIF(E31:AI31, "v") + COUNTIF(E31:AI31, "V"))/D31, 0), IF(((COUNTIF(E31:AI31, "✓") + COUNTIF(E31:AI31, "✔") + COUNTIF(E31:AI31, "v") + COUNTIF(E31:AI31, "V")) + COUNTIF(E31:AI31, "✗") + COUNTIF(E31:AI31, "x") + COUNTIF(E31:AI31, "X"))&gt;0, (COUNTIF(E31:AI31, "✓") + COUNTIF(E31:AI31, "✔") + COUNTIF(E31:AI31, "v") + COUNTIF(E31:AI31, "V"))/((COUNTIF(E31:AI31, "✓") + COUNTIF(E31:AI31, "✔") + COUNTIF(E31:AI31, "v") + COUNTIF(E31:AI31, "V")) + COUNTIF(E31:AI31, "✗") + COUNTIF(E31:AI31, "x") + COUNTIF(E31:AI31, "X")), "")))</f>
        <v/>
      </c>
      <c r="AK31" s="124">
        <f>IF(ISBLANK(B31), "", IF(ISNUMBER(D31), IF(D31&gt;0, (COUNTIF(E31:AI31, "✓") + COUNTIF(E31:AI31, "✔") + COUNTIF(E31:AI31, "v") + COUNTIF(E31:AI31, "V")) &amp; "/" &amp; D31, (COUNTIF(E31:AI31, "✓") + COUNTIF(E31:AI31, "✔") + COUNTIF(E31:AI31, "v") + COUNTIF(E31:AI31, "V")) &amp; "/0"), IF(((COUNTIF(E31:AI31, "✓") + COUNTIF(E31:AI31, "✔") + COUNTIF(E31:AI31, "v") + COUNTIF(E31:AI31, "V")) + COUNTIF(E31:AI31, "✗") + COUNTIF(E31:AI31, "x") + COUNTIF(E31:AI31, "X"))&gt;0, (COUNTIF(E31:AI31, "✓") + COUNTIF(E31:AI31, "✔") + COUNTIF(E31:AI31, "v") + COUNTIF(E31:AI31, "V")) &amp; "/" &amp; ((COUNTIF(E31:AI31, "✓") + COUNTIF(E31:AI31, "✔") + COUNTIF(E31:AI31, "v") + COUNTIF(E31:AI31, "V")) + COUNTIF(E31:AI31, "✗") + COUNTIF(E31:AI31, "x") + COUNTIF(E31:AI31, "X")), "")))</f>
        <v/>
      </c>
      <c r="AL31" s="124">
        <f>IF(ISBLANK(B31), "", IF(AJ31&gt;=0.85, "🔥 Mastered", IF(AJ31&gt;=0.7, "⚡ Consistent", "⚠️ Needs Focus")))</f>
        <v/>
      </c>
      <c r="AM31">
        <f>COUNTIF(E31:AI31, "✓")</f>
        <v/>
      </c>
    </row>
    <row r="32" ht="14.5" customHeight="1">
      <c r="A32" s="118" t="n">
        <v>15</v>
      </c>
      <c r="B32" s="119" t="n"/>
      <c r="C32" s="120" t="n"/>
      <c r="D32" s="120" t="n"/>
      <c r="E32" s="121" t="n"/>
      <c r="F32" s="122" t="n"/>
      <c r="G32" s="121" t="n"/>
      <c r="H32" s="121" t="n"/>
      <c r="I32" s="121" t="n"/>
      <c r="J32" s="121" t="n"/>
      <c r="K32" s="121" t="n"/>
      <c r="L32" s="121" t="n"/>
      <c r="M32" s="122" t="n"/>
      <c r="N32" s="121" t="n"/>
      <c r="O32" s="121" t="n"/>
      <c r="P32" s="121" t="n"/>
      <c r="Q32" s="121" t="n"/>
      <c r="R32" s="121" t="n"/>
      <c r="S32" s="121" t="n"/>
      <c r="T32" s="122" t="n"/>
      <c r="U32" s="121" t="n"/>
      <c r="V32" s="121" t="n"/>
      <c r="W32" s="121" t="n"/>
      <c r="X32" s="121" t="n"/>
      <c r="Y32" s="121" t="n"/>
      <c r="Z32" s="121" t="n"/>
      <c r="AA32" s="122" t="n"/>
      <c r="AB32" s="121" t="n"/>
      <c r="AC32" s="121" t="n"/>
      <c r="AD32" s="121" t="n"/>
      <c r="AE32" s="121" t="n"/>
      <c r="AF32" s="121" t="n"/>
      <c r="AG32" s="121" t="n"/>
      <c r="AH32" s="122" t="n"/>
      <c r="AI32" s="121" t="n"/>
      <c r="AJ32" s="123">
        <f>IF(ISBLANK(B32), "", IF(ISNUMBER(D32), IF(D32&gt;0, (COUNTIF(E32:AI32, "✓") + COUNTIF(E32:AI32, "✔") + COUNTIF(E32:AI32, "v") + COUNTIF(E32:AI32, "V"))/D32, 0), IF(((COUNTIF(E32:AI32, "✓") + COUNTIF(E32:AI32, "✔") + COUNTIF(E32:AI32, "v") + COUNTIF(E32:AI32, "V")) + COUNTIF(E32:AI32, "✗") + COUNTIF(E32:AI32, "x") + COUNTIF(E32:AI32, "X"))&gt;0, (COUNTIF(E32:AI32, "✓") + COUNTIF(E32:AI32, "✔") + COUNTIF(E32:AI32, "v") + COUNTIF(E32:AI32, "V"))/((COUNTIF(E32:AI32, "✓") + COUNTIF(E32:AI32, "✔") + COUNTIF(E32:AI32, "v") + COUNTIF(E32:AI32, "V")) + COUNTIF(E32:AI32, "✗") + COUNTIF(E32:AI32, "x") + COUNTIF(E32:AI32, "X")), "")))</f>
        <v/>
      </c>
      <c r="AK32" s="124">
        <f>IF(ISBLANK(B32), "", IF(ISNUMBER(D32), IF(D32&gt;0, (COUNTIF(E32:AI32, "✓") + COUNTIF(E32:AI32, "✔") + COUNTIF(E32:AI32, "v") + COUNTIF(E32:AI32, "V")) &amp; "/" &amp; D32, (COUNTIF(E32:AI32, "✓") + COUNTIF(E32:AI32, "✔") + COUNTIF(E32:AI32, "v") + COUNTIF(E32:AI32, "V")) &amp; "/0"), IF(((COUNTIF(E32:AI32, "✓") + COUNTIF(E32:AI32, "✔") + COUNTIF(E32:AI32, "v") + COUNTIF(E32:AI32, "V")) + COUNTIF(E32:AI32, "✗") + COUNTIF(E32:AI32, "x") + COUNTIF(E32:AI32, "X"))&gt;0, (COUNTIF(E32:AI32, "✓") + COUNTIF(E32:AI32, "✔") + COUNTIF(E32:AI32, "v") + COUNTIF(E32:AI32, "V")) &amp; "/" &amp; ((COUNTIF(E32:AI32, "✓") + COUNTIF(E32:AI32, "✔") + COUNTIF(E32:AI32, "v") + COUNTIF(E32:AI32, "V")) + COUNTIF(E32:AI32, "✗") + COUNTIF(E32:AI32, "x") + COUNTIF(E32:AI32, "X")), "")))</f>
        <v/>
      </c>
      <c r="AL32" s="124">
        <f>IF(ISBLANK(B32), "", IF(AJ32&gt;=0.85, "🔥 Mastered", IF(AJ32&gt;=0.7, "⚡ Consistent", "⚠️ Needs Focus")))</f>
        <v/>
      </c>
      <c r="AM32">
        <f>COUNTIF(E32:AI32, "✓")</f>
        <v/>
      </c>
    </row>
    <row r="33" ht="14.5" customHeight="1">
      <c r="A33" s="118" t="n">
        <v>16</v>
      </c>
      <c r="B33" s="119" t="n"/>
      <c r="C33" s="120" t="n"/>
      <c r="D33" s="120" t="n"/>
      <c r="E33" s="121" t="n"/>
      <c r="F33" s="122" t="n"/>
      <c r="G33" s="121" t="n"/>
      <c r="H33" s="121" t="n"/>
      <c r="I33" s="121" t="n"/>
      <c r="J33" s="121" t="n"/>
      <c r="K33" s="121" t="n"/>
      <c r="L33" s="121" t="n"/>
      <c r="M33" s="122" t="n"/>
      <c r="N33" s="121" t="n"/>
      <c r="O33" s="121" t="n"/>
      <c r="P33" s="121" t="n"/>
      <c r="Q33" s="121" t="n"/>
      <c r="R33" s="121" t="n"/>
      <c r="S33" s="121" t="n"/>
      <c r="T33" s="122" t="n"/>
      <c r="U33" s="121" t="n"/>
      <c r="V33" s="121" t="n"/>
      <c r="W33" s="121" t="n"/>
      <c r="X33" s="121" t="n"/>
      <c r="Y33" s="121" t="n"/>
      <c r="Z33" s="121" t="n"/>
      <c r="AA33" s="122" t="n"/>
      <c r="AB33" s="121" t="n"/>
      <c r="AC33" s="121" t="n"/>
      <c r="AD33" s="121" t="n"/>
      <c r="AE33" s="121" t="n"/>
      <c r="AF33" s="121" t="n"/>
      <c r="AG33" s="121" t="n"/>
      <c r="AH33" s="122" t="n"/>
      <c r="AI33" s="121" t="n"/>
      <c r="AJ33" s="123">
        <f>IF(ISBLANK(B33), "", IF(ISNUMBER(D33), IF(D33&gt;0, (COUNTIF(E33:AI33, "✓") + COUNTIF(E33:AI33, "✔") + COUNTIF(E33:AI33, "v") + COUNTIF(E33:AI33, "V"))/D33, 0), IF(((COUNTIF(E33:AI33, "✓") + COUNTIF(E33:AI33, "✔") + COUNTIF(E33:AI33, "v") + COUNTIF(E33:AI33, "V")) + COUNTIF(E33:AI33, "✗") + COUNTIF(E33:AI33, "x") + COUNTIF(E33:AI33, "X"))&gt;0, (COUNTIF(E33:AI33, "✓") + COUNTIF(E33:AI33, "✔") + COUNTIF(E33:AI33, "v") + COUNTIF(E33:AI33, "V"))/((COUNTIF(E33:AI33, "✓") + COUNTIF(E33:AI33, "✔") + COUNTIF(E33:AI33, "v") + COUNTIF(E33:AI33, "V")) + COUNTIF(E33:AI33, "✗") + COUNTIF(E33:AI33, "x") + COUNTIF(E33:AI33, "X")), "")))</f>
        <v/>
      </c>
      <c r="AK33" s="124">
        <f>IF(ISBLANK(B33), "", IF(ISNUMBER(D33), IF(D33&gt;0, (COUNTIF(E33:AI33, "✓") + COUNTIF(E33:AI33, "✔") + COUNTIF(E33:AI33, "v") + COUNTIF(E33:AI33, "V")) &amp; "/" &amp; D33, (COUNTIF(E33:AI33, "✓") + COUNTIF(E33:AI33, "✔") + COUNTIF(E33:AI33, "v") + COUNTIF(E33:AI33, "V")) &amp; "/0"), IF(((COUNTIF(E33:AI33, "✓") + COUNTIF(E33:AI33, "✔") + COUNTIF(E33:AI33, "v") + COUNTIF(E33:AI33, "V")) + COUNTIF(E33:AI33, "✗") + COUNTIF(E33:AI33, "x") + COUNTIF(E33:AI33, "X"))&gt;0, (COUNTIF(E33:AI33, "✓") + COUNTIF(E33:AI33, "✔") + COUNTIF(E33:AI33, "v") + COUNTIF(E33:AI33, "V")) &amp; "/" &amp; ((COUNTIF(E33:AI33, "✓") + COUNTIF(E33:AI33, "✔") + COUNTIF(E33:AI33, "v") + COUNTIF(E33:AI33, "V")) + COUNTIF(E33:AI33, "✗") + COUNTIF(E33:AI33, "x") + COUNTIF(E33:AI33, "X")), "")))</f>
        <v/>
      </c>
      <c r="AL33" s="124">
        <f>IF(ISBLANK(B33), "", IF(AJ33&gt;=0.85, "🔥 Mastered", IF(AJ33&gt;=0.7, "⚡ Consistent", "⚠️ Needs Focus")))</f>
        <v/>
      </c>
      <c r="AM33">
        <f>COUNTIF(E33:AI33, "✓")</f>
        <v/>
      </c>
    </row>
    <row r="34" ht="14.5" customHeight="1">
      <c r="A34" s="125" t="n">
        <v>17</v>
      </c>
      <c r="B34" s="126" t="n"/>
      <c r="C34" s="127" t="n"/>
      <c r="D34" s="127" t="n"/>
      <c r="E34" s="128" t="n"/>
      <c r="F34" s="129" t="n"/>
      <c r="G34" s="128" t="n"/>
      <c r="H34" s="128" t="n"/>
      <c r="I34" s="128" t="n"/>
      <c r="J34" s="128" t="n"/>
      <c r="K34" s="128" t="n"/>
      <c r="L34" s="128" t="n"/>
      <c r="M34" s="129" t="n"/>
      <c r="N34" s="128" t="n"/>
      <c r="O34" s="128" t="n"/>
      <c r="P34" s="128" t="n"/>
      <c r="Q34" s="128" t="n"/>
      <c r="R34" s="128" t="n"/>
      <c r="S34" s="128" t="n"/>
      <c r="T34" s="129" t="n"/>
      <c r="U34" s="128" t="n"/>
      <c r="V34" s="128" t="n"/>
      <c r="W34" s="128" t="n"/>
      <c r="X34" s="128" t="n"/>
      <c r="Y34" s="128" t="n"/>
      <c r="Z34" s="128" t="n"/>
      <c r="AA34" s="129" t="n"/>
      <c r="AB34" s="128" t="n"/>
      <c r="AC34" s="128" t="n"/>
      <c r="AD34" s="128" t="n"/>
      <c r="AE34" s="128" t="n"/>
      <c r="AF34" s="128" t="n"/>
      <c r="AG34" s="128" t="n"/>
      <c r="AH34" s="129" t="n"/>
      <c r="AI34" s="128" t="n"/>
      <c r="AJ34" s="130">
        <f>IF(ISBLANK(B34), "", IF(ISNUMBER(D34), IF(D34&gt;0, (COUNTIF(E34:AI34, "✓") + COUNTIF(E34:AI34, "✔") + COUNTIF(E34:AI34, "v") + COUNTIF(E34:AI34, "V"))/D34, 0), IF(((COUNTIF(E34:AI34, "✓") + COUNTIF(E34:AI34, "✔") + COUNTIF(E34:AI34, "v") + COUNTIF(E34:AI34, "V")) + COUNTIF(E34:AI34, "✗") + COUNTIF(E34:AI34, "x") + COUNTIF(E34:AI34, "X"))&gt;0, (COUNTIF(E34:AI34, "✓") + COUNTIF(E34:AI34, "✔") + COUNTIF(E34:AI34, "v") + COUNTIF(E34:AI34, "V"))/((COUNTIF(E34:AI34, "✓") + COUNTIF(E34:AI34, "✔") + COUNTIF(E34:AI34, "v") + COUNTIF(E34:AI34, "V")) + COUNTIF(E34:AI34, "✗") + COUNTIF(E34:AI34, "x") + COUNTIF(E34:AI34, "X")), "")))</f>
        <v/>
      </c>
      <c r="AK34" s="131">
        <f>IF(ISBLANK(B34), "", IF(ISNUMBER(D34), IF(D34&gt;0, (COUNTIF(E34:AI34, "✓") + COUNTIF(E34:AI34, "✔") + COUNTIF(E34:AI34, "v") + COUNTIF(E34:AI34, "V")) &amp; "/" &amp; D34, (COUNTIF(E34:AI34, "✓") + COUNTIF(E34:AI34, "✔") + COUNTIF(E34:AI34, "v") + COUNTIF(E34:AI34, "V")) &amp; "/0"), IF(((COUNTIF(E34:AI34, "✓") + COUNTIF(E34:AI34, "✔") + COUNTIF(E34:AI34, "v") + COUNTIF(E34:AI34, "V")) + COUNTIF(E34:AI34, "✗") + COUNTIF(E34:AI34, "x") + COUNTIF(E34:AI34, "X"))&gt;0, (COUNTIF(E34:AI34, "✓") + COUNTIF(E34:AI34, "✔") + COUNTIF(E34:AI34, "v") + COUNTIF(E34:AI34, "V")) &amp; "/" &amp; ((COUNTIF(E34:AI34, "✓") + COUNTIF(E34:AI34, "✔") + COUNTIF(E34:AI34, "v") + COUNTIF(E34:AI34, "V")) + COUNTIF(E34:AI34, "✗") + COUNTIF(E34:AI34, "x") + COUNTIF(E34:AI34, "X")), "")))</f>
        <v/>
      </c>
      <c r="AL34" s="131">
        <f>IF(ISBLANK(B34), "", IF(AJ34&gt;=0.85, "🔥 Mastered", IF(AJ34&gt;=0.7, "⚡ Consistent", "⚠️ Needs Focus")))</f>
        <v/>
      </c>
      <c r="AM34">
        <f>COUNTIF(E34:AI34, "✓")</f>
        <v/>
      </c>
    </row>
    <row r="35" ht="14.5" customHeight="1">
      <c r="A35" s="125" t="n">
        <v>18</v>
      </c>
      <c r="B35" s="126" t="n"/>
      <c r="C35" s="127" t="n"/>
      <c r="D35" s="127" t="n"/>
      <c r="E35" s="128" t="n"/>
      <c r="F35" s="129" t="n"/>
      <c r="G35" s="128" t="n"/>
      <c r="H35" s="128" t="n"/>
      <c r="I35" s="128" t="n"/>
      <c r="J35" s="128" t="n"/>
      <c r="K35" s="128" t="n"/>
      <c r="L35" s="128" t="n"/>
      <c r="M35" s="129" t="n"/>
      <c r="N35" s="128" t="n"/>
      <c r="O35" s="128" t="n"/>
      <c r="P35" s="128" t="n"/>
      <c r="Q35" s="128" t="n"/>
      <c r="R35" s="128" t="n"/>
      <c r="S35" s="128" t="n"/>
      <c r="T35" s="129" t="n"/>
      <c r="U35" s="128" t="n"/>
      <c r="V35" s="128" t="n"/>
      <c r="W35" s="128" t="n"/>
      <c r="X35" s="128" t="n"/>
      <c r="Y35" s="128" t="n"/>
      <c r="Z35" s="128" t="n"/>
      <c r="AA35" s="129" t="n"/>
      <c r="AB35" s="128" t="n"/>
      <c r="AC35" s="128" t="n"/>
      <c r="AD35" s="128" t="n"/>
      <c r="AE35" s="128" t="n"/>
      <c r="AF35" s="128" t="n"/>
      <c r="AG35" s="128" t="n"/>
      <c r="AH35" s="129" t="n"/>
      <c r="AI35" s="128" t="n"/>
      <c r="AJ35" s="130">
        <f>IF(ISBLANK(B35), "", IF(ISNUMBER(D35), IF(D35&gt;0, (COUNTIF(E35:AI35, "✓") + COUNTIF(E35:AI35, "✔") + COUNTIF(E35:AI35, "v") + COUNTIF(E35:AI35, "V"))/D35, 0), IF(((COUNTIF(E35:AI35, "✓") + COUNTIF(E35:AI35, "✔") + COUNTIF(E35:AI35, "v") + COUNTIF(E35:AI35, "V")) + COUNTIF(E35:AI35, "✗") + COUNTIF(E35:AI35, "x") + COUNTIF(E35:AI35, "X"))&gt;0, (COUNTIF(E35:AI35, "✓") + COUNTIF(E35:AI35, "✔") + COUNTIF(E35:AI35, "v") + COUNTIF(E35:AI35, "V"))/((COUNTIF(E35:AI35, "✓") + COUNTIF(E35:AI35, "✔") + COUNTIF(E35:AI35, "v") + COUNTIF(E35:AI35, "V")) + COUNTIF(E35:AI35, "✗") + COUNTIF(E35:AI35, "x") + COUNTIF(E35:AI35, "X")), "")))</f>
        <v/>
      </c>
      <c r="AK35" s="131">
        <f>IF(ISBLANK(B35), "", IF(ISNUMBER(D35), IF(D35&gt;0, (COUNTIF(E35:AI35, "✓") + COUNTIF(E35:AI35, "✔") + COUNTIF(E35:AI35, "v") + COUNTIF(E35:AI35, "V")) &amp; "/" &amp; D35, (COUNTIF(E35:AI35, "✓") + COUNTIF(E35:AI35, "✔") + COUNTIF(E35:AI35, "v") + COUNTIF(E35:AI35, "V")) &amp; "/0"), IF(((COUNTIF(E35:AI35, "✓") + COUNTIF(E35:AI35, "✔") + COUNTIF(E35:AI35, "v") + COUNTIF(E35:AI35, "V")) + COUNTIF(E35:AI35, "✗") + COUNTIF(E35:AI35, "x") + COUNTIF(E35:AI35, "X"))&gt;0, (COUNTIF(E35:AI35, "✓") + COUNTIF(E35:AI35, "✔") + COUNTIF(E35:AI35, "v") + COUNTIF(E35:AI35, "V")) &amp; "/" &amp; ((COUNTIF(E35:AI35, "✓") + COUNTIF(E35:AI35, "✔") + COUNTIF(E35:AI35, "v") + COUNTIF(E35:AI35, "V")) + COUNTIF(E35:AI35, "✗") + COUNTIF(E35:AI35, "x") + COUNTIF(E35:AI35, "X")), "")))</f>
        <v/>
      </c>
      <c r="AL35" s="131">
        <f>IF(ISBLANK(B35), "", IF(AJ35&gt;=0.85, "🔥 Mastered", IF(AJ35&gt;=0.7, "⚡ Consistent", "⚠️ Needs Focus")))</f>
        <v/>
      </c>
      <c r="AM35">
        <f>COUNTIF(E35:AI35, "✓")</f>
        <v/>
      </c>
    </row>
    <row r="36" ht="14.5" customHeight="1">
      <c r="A36" s="125" t="n">
        <v>19</v>
      </c>
      <c r="B36" s="126" t="n"/>
      <c r="C36" s="127" t="n"/>
      <c r="D36" s="127" t="n"/>
      <c r="E36" s="128" t="n"/>
      <c r="F36" s="129" t="n"/>
      <c r="G36" s="128" t="n"/>
      <c r="H36" s="128" t="n"/>
      <c r="I36" s="128" t="n"/>
      <c r="J36" s="128" t="n"/>
      <c r="K36" s="128" t="n"/>
      <c r="L36" s="128" t="n"/>
      <c r="M36" s="129" t="n"/>
      <c r="N36" s="128" t="n"/>
      <c r="O36" s="128" t="n"/>
      <c r="P36" s="128" t="n"/>
      <c r="Q36" s="128" t="n"/>
      <c r="R36" s="128" t="n"/>
      <c r="S36" s="128" t="n"/>
      <c r="T36" s="129" t="n"/>
      <c r="U36" s="128" t="n"/>
      <c r="V36" s="128" t="n"/>
      <c r="W36" s="128" t="n"/>
      <c r="X36" s="128" t="n"/>
      <c r="Y36" s="128" t="n"/>
      <c r="Z36" s="128" t="n"/>
      <c r="AA36" s="129" t="n"/>
      <c r="AB36" s="128" t="n"/>
      <c r="AC36" s="128" t="n"/>
      <c r="AD36" s="128" t="n"/>
      <c r="AE36" s="128" t="n"/>
      <c r="AF36" s="128" t="n"/>
      <c r="AG36" s="128" t="n"/>
      <c r="AH36" s="129" t="n"/>
      <c r="AI36" s="128" t="n"/>
      <c r="AJ36" s="130">
        <f>IF(ISBLANK(B36), "", IF(ISNUMBER(D36), IF(D36&gt;0, (COUNTIF(E36:AI36, "✓") + COUNTIF(E36:AI36, "✔") + COUNTIF(E36:AI36, "v") + COUNTIF(E36:AI36, "V"))/D36, 0), IF(((COUNTIF(E36:AI36, "✓") + COUNTIF(E36:AI36, "✔") + COUNTIF(E36:AI36, "v") + COUNTIF(E36:AI36, "V")) + COUNTIF(E36:AI36, "✗") + COUNTIF(E36:AI36, "x") + COUNTIF(E36:AI36, "X"))&gt;0, (COUNTIF(E36:AI36, "✓") + COUNTIF(E36:AI36, "✔") + COUNTIF(E36:AI36, "v") + COUNTIF(E36:AI36, "V"))/((COUNTIF(E36:AI36, "✓") + COUNTIF(E36:AI36, "✔") + COUNTIF(E36:AI36, "v") + COUNTIF(E36:AI36, "V")) + COUNTIF(E36:AI36, "✗") + COUNTIF(E36:AI36, "x") + COUNTIF(E36:AI36, "X")), "")))</f>
        <v/>
      </c>
      <c r="AK36" s="131">
        <f>IF(ISBLANK(B36), "", IF(ISNUMBER(D36), IF(D36&gt;0, (COUNTIF(E36:AI36, "✓") + COUNTIF(E36:AI36, "✔") + COUNTIF(E36:AI36, "v") + COUNTIF(E36:AI36, "V")) &amp; "/" &amp; D36, (COUNTIF(E36:AI36, "✓") + COUNTIF(E36:AI36, "✔") + COUNTIF(E36:AI36, "v") + COUNTIF(E36:AI36, "V")) &amp; "/0"), IF(((COUNTIF(E36:AI36, "✓") + COUNTIF(E36:AI36, "✔") + COUNTIF(E36:AI36, "v") + COUNTIF(E36:AI36, "V")) + COUNTIF(E36:AI36, "✗") + COUNTIF(E36:AI36, "x") + COUNTIF(E36:AI36, "X"))&gt;0, (COUNTIF(E36:AI36, "✓") + COUNTIF(E36:AI36, "✔") + COUNTIF(E36:AI36, "v") + COUNTIF(E36:AI36, "V")) &amp; "/" &amp; ((COUNTIF(E36:AI36, "✓") + COUNTIF(E36:AI36, "✔") + COUNTIF(E36:AI36, "v") + COUNTIF(E36:AI36, "V")) + COUNTIF(E36:AI36, "✗") + COUNTIF(E36:AI36, "x") + COUNTIF(E36:AI36, "X")), "")))</f>
        <v/>
      </c>
      <c r="AL36" s="131">
        <f>IF(ISBLANK(B36), "", IF(AJ36&gt;=0.85, "🔥 Mastered", IF(AJ36&gt;=0.7, "⚡ Consistent", "⚠️ Needs Focus")))</f>
        <v/>
      </c>
      <c r="AM36">
        <f>COUNTIF(E36:AI36, "✓")</f>
        <v/>
      </c>
    </row>
    <row r="37" ht="14.5" customHeight="1">
      <c r="A37" s="125" t="n">
        <v>20</v>
      </c>
      <c r="B37" s="126" t="n"/>
      <c r="C37" s="127" t="n"/>
      <c r="D37" s="127" t="n"/>
      <c r="E37" s="128" t="n"/>
      <c r="F37" s="129" t="n"/>
      <c r="G37" s="128" t="n"/>
      <c r="H37" s="128" t="n"/>
      <c r="I37" s="128" t="n"/>
      <c r="J37" s="128" t="n"/>
      <c r="K37" s="128" t="n"/>
      <c r="L37" s="128" t="n"/>
      <c r="M37" s="129" t="n"/>
      <c r="N37" s="128" t="n"/>
      <c r="O37" s="128" t="n"/>
      <c r="P37" s="128" t="n"/>
      <c r="Q37" s="128" t="n"/>
      <c r="R37" s="128" t="n"/>
      <c r="S37" s="128" t="n"/>
      <c r="T37" s="129" t="n"/>
      <c r="U37" s="128" t="n"/>
      <c r="V37" s="128" t="n"/>
      <c r="W37" s="128" t="n"/>
      <c r="X37" s="128" t="n"/>
      <c r="Y37" s="128" t="n"/>
      <c r="Z37" s="128" t="n"/>
      <c r="AA37" s="129" t="n"/>
      <c r="AB37" s="128" t="n"/>
      <c r="AC37" s="128" t="n"/>
      <c r="AD37" s="128" t="n"/>
      <c r="AE37" s="128" t="n"/>
      <c r="AF37" s="128" t="n"/>
      <c r="AG37" s="128" t="n"/>
      <c r="AH37" s="129" t="n"/>
      <c r="AI37" s="128" t="n"/>
      <c r="AJ37" s="130">
        <f>IF(ISBLANK(B37), "", IF(ISNUMBER(D37), IF(D37&gt;0, (COUNTIF(E37:AI37, "✓") + COUNTIF(E37:AI37, "✔") + COUNTIF(E37:AI37, "v") + COUNTIF(E37:AI37, "V"))/D37, 0), IF(((COUNTIF(E37:AI37, "✓") + COUNTIF(E37:AI37, "✔") + COUNTIF(E37:AI37, "v") + COUNTIF(E37:AI37, "V")) + COUNTIF(E37:AI37, "✗") + COUNTIF(E37:AI37, "x") + COUNTIF(E37:AI37, "X"))&gt;0, (COUNTIF(E37:AI37, "✓") + COUNTIF(E37:AI37, "✔") + COUNTIF(E37:AI37, "v") + COUNTIF(E37:AI37, "V"))/((COUNTIF(E37:AI37, "✓") + COUNTIF(E37:AI37, "✔") + COUNTIF(E37:AI37, "v") + COUNTIF(E37:AI37, "V")) + COUNTIF(E37:AI37, "✗") + COUNTIF(E37:AI37, "x") + COUNTIF(E37:AI37, "X")), "")))</f>
        <v/>
      </c>
      <c r="AK37" s="131">
        <f>IF(ISBLANK(B37), "", IF(ISNUMBER(D37), IF(D37&gt;0, (COUNTIF(E37:AI37, "✓") + COUNTIF(E37:AI37, "✔") + COUNTIF(E37:AI37, "v") + COUNTIF(E37:AI37, "V")) &amp; "/" &amp; D37, (COUNTIF(E37:AI37, "✓") + COUNTIF(E37:AI37, "✔") + COUNTIF(E37:AI37, "v") + COUNTIF(E37:AI37, "V")) &amp; "/0"), IF(((COUNTIF(E37:AI37, "✓") + COUNTIF(E37:AI37, "✔") + COUNTIF(E37:AI37, "v") + COUNTIF(E37:AI37, "V")) + COUNTIF(E37:AI37, "✗") + COUNTIF(E37:AI37, "x") + COUNTIF(E37:AI37, "X"))&gt;0, (COUNTIF(E37:AI37, "✓") + COUNTIF(E37:AI37, "✔") + COUNTIF(E37:AI37, "v") + COUNTIF(E37:AI37, "V")) &amp; "/" &amp; ((COUNTIF(E37:AI37, "✓") + COUNTIF(E37:AI37, "✔") + COUNTIF(E37:AI37, "v") + COUNTIF(E37:AI37, "V")) + COUNTIF(E37:AI37, "✗") + COUNTIF(E37:AI37, "x") + COUNTIF(E37:AI37, "X")), "")))</f>
        <v/>
      </c>
      <c r="AL37" s="131">
        <f>IF(ISBLANK(B37), "", IF(AJ37&gt;=0.85, "🔥 Mastered", IF(AJ37&gt;=0.7, "⚡ Consistent", "⚠️ Needs Focus")))</f>
        <v/>
      </c>
      <c r="AM37">
        <f>COUNTIF(E37:AI37, "✓")</f>
        <v/>
      </c>
    </row>
    <row r="38" ht="18" customHeight="1">
      <c r="A38" s="132" t="inlineStr">
        <is>
          <t>DAILY TOTAL SCORE</t>
        </is>
      </c>
      <c r="B38" s="54" t="n"/>
      <c r="C38" s="54" t="n"/>
      <c r="D38" s="54" t="n"/>
      <c r="E38" s="33">
        <f>IF(((COUNTIF(E18:E37, "✓") + COUNTIF(E18:E37, "✔") + COUNTIF(E18:E37, "v") + COUNTIF(E18:E37, "V")) + COUNTIF(E18:E37, "✗") + COUNTIF(E18:E37, "x") + COUNTIF(E18:E37, "X")) &gt; 0, (COUNTIF(E18:E37, "✓") + COUNTIF(E18:E37, "✔") + COUNTIF(E18:E37, "v") + COUNTIF(E18:E37, "V")) &amp; "/" &amp; ((COUNTIF(E18:E37, "✓") + COUNTIF(E18:E37, "✔") + COUNTIF(E18:E37, "v") + COUNTIF(E18:E37, "V")) + COUNTIF(E18:E37, "✗") + COUNTIF(E18:E37, "x") + COUNTIF(E18:E37, "X")), "")</f>
        <v/>
      </c>
      <c r="F38" s="33">
        <f>IF(((COUNTIF(F18:F37, "✓") + COUNTIF(F18:F37, "✔") + COUNTIF(F18:F37, "v") + COUNTIF(F18:F37, "V")) + COUNTIF(F18:F37, "✗") + COUNTIF(F18:F37, "x") + COUNTIF(F18:F37, "X")) &gt; 0, (COUNTIF(F18:F37, "✓") + COUNTIF(F18:F37, "✔") + COUNTIF(F18:F37, "v") + COUNTIF(F18:F37, "V")) &amp; "/" &amp; ((COUNTIF(F18:F37, "✓") + COUNTIF(F18:F37, "✔") + COUNTIF(F18:F37, "v") + COUNTIF(F18:F37, "V")) + COUNTIF(F18:F37, "✗") + COUNTIF(F18:F37, "x") + COUNTIF(F18:F37, "X")), "")</f>
        <v/>
      </c>
      <c r="G38" s="33">
        <f>IF(((COUNTIF(G18:G37, "✓") + COUNTIF(G18:G37, "✔") + COUNTIF(G18:G37, "v") + COUNTIF(G18:G37, "V")) + COUNTIF(G18:G37, "✗") + COUNTIF(G18:G37, "x") + COUNTIF(G18:G37, "X")) &gt; 0, (COUNTIF(G18:G37, "✓") + COUNTIF(G18:G37, "✔") + COUNTIF(G18:G37, "v") + COUNTIF(G18:G37, "V")) &amp; "/" &amp; ((COUNTIF(G18:G37, "✓") + COUNTIF(G18:G37, "✔") + COUNTIF(G18:G37, "v") + COUNTIF(G18:G37, "V")) + COUNTIF(G18:G37, "✗") + COUNTIF(G18:G37, "x") + COUNTIF(G18:G37, "X")), "")</f>
        <v/>
      </c>
      <c r="H38" s="33">
        <f>IF(((COUNTIF(H18:H37, "✓") + COUNTIF(H18:H37, "✔") + COUNTIF(H18:H37, "v") + COUNTIF(H18:H37, "V")) + COUNTIF(H18:H37, "✗") + COUNTIF(H18:H37, "x") + COUNTIF(H18:H37, "X")) &gt; 0, (COUNTIF(H18:H37, "✓") + COUNTIF(H18:H37, "✔") + COUNTIF(H18:H37, "v") + COUNTIF(H18:H37, "V")) &amp; "/" &amp; ((COUNTIF(H18:H37, "✓") + COUNTIF(H18:H37, "✔") + COUNTIF(H18:H37, "v") + COUNTIF(H18:H37, "V")) + COUNTIF(H18:H37, "✗") + COUNTIF(H18:H37, "x") + COUNTIF(H18:H37, "X")), "")</f>
        <v/>
      </c>
      <c r="I38" s="33">
        <f>IF(((COUNTIF(I18:I37, "✓") + COUNTIF(I18:I37, "✔") + COUNTIF(I18:I37, "v") + COUNTIF(I18:I37, "V")) + COUNTIF(I18:I37, "✗") + COUNTIF(I18:I37, "x") + COUNTIF(I18:I37, "X")) &gt; 0, (COUNTIF(I18:I37, "✓") + COUNTIF(I18:I37, "✔") + COUNTIF(I18:I37, "v") + COUNTIF(I18:I37, "V")) &amp; "/" &amp; ((COUNTIF(I18:I37, "✓") + COUNTIF(I18:I37, "✔") + COUNTIF(I18:I37, "v") + COUNTIF(I18:I37, "V")) + COUNTIF(I18:I37, "✗") + COUNTIF(I18:I37, "x") + COUNTIF(I18:I37, "X")), "")</f>
        <v/>
      </c>
      <c r="J38" s="33">
        <f>IF(((COUNTIF(J18:J37, "✓") + COUNTIF(J18:J37, "✔") + COUNTIF(J18:J37, "v") + COUNTIF(J18:J37, "V")) + COUNTIF(J18:J37, "✗") + COUNTIF(J18:J37, "x") + COUNTIF(J18:J37, "X")) &gt; 0, (COUNTIF(J18:J37, "✓") + COUNTIF(J18:J37, "✔") + COUNTIF(J18:J37, "v") + COUNTIF(J18:J37, "V")) &amp; "/" &amp; ((COUNTIF(J18:J37, "✓") + COUNTIF(J18:J37, "✔") + COUNTIF(J18:J37, "v") + COUNTIF(J18:J37, "V")) + COUNTIF(J18:J37, "✗") + COUNTIF(J18:J37, "x") + COUNTIF(J18:J37, "X")), "")</f>
        <v/>
      </c>
      <c r="K38" s="33">
        <f>IF(((COUNTIF(K18:K37, "✓") + COUNTIF(K18:K37, "✔") + COUNTIF(K18:K37, "v") + COUNTIF(K18:K37, "V")) + COUNTIF(K18:K37, "✗") + COUNTIF(K18:K37, "x") + COUNTIF(K18:K37, "X")) &gt; 0, (COUNTIF(K18:K37, "✓") + COUNTIF(K18:K37, "✔") + COUNTIF(K18:K37, "v") + COUNTIF(K18:K37, "V")) &amp; "/" &amp; ((COUNTIF(K18:K37, "✓") + COUNTIF(K18:K37, "✔") + COUNTIF(K18:K37, "v") + COUNTIF(K18:K37, "V")) + COUNTIF(K18:K37, "✗") + COUNTIF(K18:K37, "x") + COUNTIF(K18:K37, "X")), "")</f>
        <v/>
      </c>
      <c r="L38" s="33">
        <f>IF(((COUNTIF(L18:L37, "✓") + COUNTIF(L18:L37, "✔") + COUNTIF(L18:L37, "v") + COUNTIF(L18:L37, "V")) + COUNTIF(L18:L37, "✗") + COUNTIF(L18:L37, "x") + COUNTIF(L18:L37, "X")) &gt; 0, (COUNTIF(L18:L37, "✓") + COUNTIF(L18:L37, "✔") + COUNTIF(L18:L37, "v") + COUNTIF(L18:L37, "V")) &amp; "/" &amp; ((COUNTIF(L18:L37, "✓") + COUNTIF(L18:L37, "✔") + COUNTIF(L18:L37, "v") + COUNTIF(L18:L37, "V")) + COUNTIF(L18:L37, "✗") + COUNTIF(L18:L37, "x") + COUNTIF(L18:L37, "X")), "")</f>
        <v/>
      </c>
      <c r="M38" s="33">
        <f>IF(((COUNTIF(M18:M37, "✓") + COUNTIF(M18:M37, "✔") + COUNTIF(M18:M37, "v") + COUNTIF(M18:M37, "V")) + COUNTIF(M18:M37, "✗") + COUNTIF(M18:M37, "x") + COUNTIF(M18:M37, "X")) &gt; 0, (COUNTIF(M18:M37, "✓") + COUNTIF(M18:M37, "✔") + COUNTIF(M18:M37, "v") + COUNTIF(M18:M37, "V")) &amp; "/" &amp; ((COUNTIF(M18:M37, "✓") + COUNTIF(M18:M37, "✔") + COUNTIF(M18:M37, "v") + COUNTIF(M18:M37, "V")) + COUNTIF(M18:M37, "✗") + COUNTIF(M18:M37, "x") + COUNTIF(M18:M37, "X")), "")</f>
        <v/>
      </c>
      <c r="N38" s="33">
        <f>IF(((COUNTIF(N18:N37, "✓") + COUNTIF(N18:N37, "✔") + COUNTIF(N18:N37, "v") + COUNTIF(N18:N37, "V")) + COUNTIF(N18:N37, "✗") + COUNTIF(N18:N37, "x") + COUNTIF(N18:N37, "X")) &gt; 0, (COUNTIF(N18:N37, "✓") + COUNTIF(N18:N37, "✔") + COUNTIF(N18:N37, "v") + COUNTIF(N18:N37, "V")) &amp; "/" &amp; ((COUNTIF(N18:N37, "✓") + COUNTIF(N18:N37, "✔") + COUNTIF(N18:N37, "v") + COUNTIF(N18:N37, "V")) + COUNTIF(N18:N37, "✗") + COUNTIF(N18:N37, "x") + COUNTIF(N18:N37, "X")), "")</f>
        <v/>
      </c>
      <c r="O38" s="33">
        <f>IF(((COUNTIF(O18:O37, "✓") + COUNTIF(O18:O37, "✔") + COUNTIF(O18:O37, "v") + COUNTIF(O18:O37, "V")) + COUNTIF(O18:O37, "✗") + COUNTIF(O18:O37, "x") + COUNTIF(O18:O37, "X")) &gt; 0, (COUNTIF(O18:O37, "✓") + COUNTIF(O18:O37, "✔") + COUNTIF(O18:O37, "v") + COUNTIF(O18:O37, "V")) &amp; "/" &amp; ((COUNTIF(O18:O37, "✓") + COUNTIF(O18:O37, "✔") + COUNTIF(O18:O37, "v") + COUNTIF(O18:O37, "V")) + COUNTIF(O18:O37, "✗") + COUNTIF(O18:O37, "x") + COUNTIF(O18:O37, "X")), "")</f>
        <v/>
      </c>
      <c r="P38" s="33">
        <f>IF(((COUNTIF(P18:P37, "✓") + COUNTIF(P18:P37, "✔") + COUNTIF(P18:P37, "v") + COUNTIF(P18:P37, "V")) + COUNTIF(P18:P37, "✗") + COUNTIF(P18:P37, "x") + COUNTIF(P18:P37, "X")) &gt; 0, (COUNTIF(P18:P37, "✓") + COUNTIF(P18:P37, "✔") + COUNTIF(P18:P37, "v") + COUNTIF(P18:P37, "V")) &amp; "/" &amp; ((COUNTIF(P18:P37, "✓") + COUNTIF(P18:P37, "✔") + COUNTIF(P18:P37, "v") + COUNTIF(P18:P37, "V")) + COUNTIF(P18:P37, "✗") + COUNTIF(P18:P37, "x") + COUNTIF(P18:P37, "X")), "")</f>
        <v/>
      </c>
      <c r="Q38" s="33">
        <f>IF(((COUNTIF(Q18:Q37, "✓") + COUNTIF(Q18:Q37, "✔") + COUNTIF(Q18:Q37, "v") + COUNTIF(Q18:Q37, "V")) + COUNTIF(Q18:Q37, "✗") + COUNTIF(Q18:Q37, "x") + COUNTIF(Q18:Q37, "X")) &gt; 0, (COUNTIF(Q18:Q37, "✓") + COUNTIF(Q18:Q37, "✔") + COUNTIF(Q18:Q37, "v") + COUNTIF(Q18:Q37, "V")) &amp; "/" &amp; ((COUNTIF(Q18:Q37, "✓") + COUNTIF(Q18:Q37, "✔") + COUNTIF(Q18:Q37, "v") + COUNTIF(Q18:Q37, "V")) + COUNTIF(Q18:Q37, "✗") + COUNTIF(Q18:Q37, "x") + COUNTIF(Q18:Q37, "X")), "")</f>
        <v/>
      </c>
      <c r="R38" s="33">
        <f>IF(((COUNTIF(R18:R37, "✓") + COUNTIF(R18:R37, "✔") + COUNTIF(R18:R37, "v") + COUNTIF(R18:R37, "V")) + COUNTIF(R18:R37, "✗") + COUNTIF(R18:R37, "x") + COUNTIF(R18:R37, "X")) &gt; 0, (COUNTIF(R18:R37, "✓") + COUNTIF(R18:R37, "✔") + COUNTIF(R18:R37, "v") + COUNTIF(R18:R37, "V")) &amp; "/" &amp; ((COUNTIF(R18:R37, "✓") + COUNTIF(R18:R37, "✔") + COUNTIF(R18:R37, "v") + COUNTIF(R18:R37, "V")) + COUNTIF(R18:R37, "✗") + COUNTIF(R18:R37, "x") + COUNTIF(R18:R37, "X")), "")</f>
        <v/>
      </c>
      <c r="S38" s="33">
        <f>IF(((COUNTIF(S18:S37, "✓") + COUNTIF(S18:S37, "✔") + COUNTIF(S18:S37, "v") + COUNTIF(S18:S37, "V")) + COUNTIF(S18:S37, "✗") + COUNTIF(S18:S37, "x") + COUNTIF(S18:S37, "X")) &gt; 0, (COUNTIF(S18:S37, "✓") + COUNTIF(S18:S37, "✔") + COUNTIF(S18:S37, "v") + COUNTIF(S18:S37, "V")) &amp; "/" &amp; ((COUNTIF(S18:S37, "✓") + COUNTIF(S18:S37, "✔") + COUNTIF(S18:S37, "v") + COUNTIF(S18:S37, "V")) + COUNTIF(S18:S37, "✗") + COUNTIF(S18:S37, "x") + COUNTIF(S18:S37, "X")), "")</f>
        <v/>
      </c>
      <c r="T38" s="33">
        <f>IF(((COUNTIF(T18:T37, "✓") + COUNTIF(T18:T37, "✔") + COUNTIF(T18:T37, "v") + COUNTIF(T18:T37, "V")) + COUNTIF(T18:T37, "✗") + COUNTIF(T18:T37, "x") + COUNTIF(T18:T37, "X")) &gt; 0, (COUNTIF(T18:T37, "✓") + COUNTIF(T18:T37, "✔") + COUNTIF(T18:T37, "v") + COUNTIF(T18:T37, "V")) &amp; "/" &amp; ((COUNTIF(T18:T37, "✓") + COUNTIF(T18:T37, "✔") + COUNTIF(T18:T37, "v") + COUNTIF(T18:T37, "V")) + COUNTIF(T18:T37, "✗") + COUNTIF(T18:T37, "x") + COUNTIF(T18:T37, "X")), "")</f>
        <v/>
      </c>
      <c r="U38" s="33">
        <f>IF(((COUNTIF(U18:U37, "✓") + COUNTIF(U18:U37, "✔") + COUNTIF(U18:U37, "v") + COUNTIF(U18:U37, "V")) + COUNTIF(U18:U37, "✗") + COUNTIF(U18:U37, "x") + COUNTIF(U18:U37, "X")) &gt; 0, (COUNTIF(U18:U37, "✓") + COUNTIF(U18:U37, "✔") + COUNTIF(U18:U37, "v") + COUNTIF(U18:U37, "V")) &amp; "/" &amp; ((COUNTIF(U18:U37, "✓") + COUNTIF(U18:U37, "✔") + COUNTIF(U18:U37, "v") + COUNTIF(U18:U37, "V")) + COUNTIF(U18:U37, "✗") + COUNTIF(U18:U37, "x") + COUNTIF(U18:U37, "X")), "")</f>
        <v/>
      </c>
      <c r="V38" s="33">
        <f>IF(((COUNTIF(V18:V37, "✓") + COUNTIF(V18:V37, "✔") + COUNTIF(V18:V37, "v") + COUNTIF(V18:V37, "V")) + COUNTIF(V18:V37, "✗") + COUNTIF(V18:V37, "x") + COUNTIF(V18:V37, "X")) &gt; 0, (COUNTIF(V18:V37, "✓") + COUNTIF(V18:V37, "✔") + COUNTIF(V18:V37, "v") + COUNTIF(V18:V37, "V")) &amp; "/" &amp; ((COUNTIF(V18:V37, "✓") + COUNTIF(V18:V37, "✔") + COUNTIF(V18:V37, "v") + COUNTIF(V18:V37, "V")) + COUNTIF(V18:V37, "✗") + COUNTIF(V18:V37, "x") + COUNTIF(V18:V37, "X")), "")</f>
        <v/>
      </c>
      <c r="W38" s="33">
        <f>IF(((COUNTIF(W18:W37, "✓") + COUNTIF(W18:W37, "✔") + COUNTIF(W18:W37, "v") + COUNTIF(W18:W37, "V")) + COUNTIF(W18:W37, "✗") + COUNTIF(W18:W37, "x") + COUNTIF(W18:W37, "X")) &gt; 0, (COUNTIF(W18:W37, "✓") + COUNTIF(W18:W37, "✔") + COUNTIF(W18:W37, "v") + COUNTIF(W18:W37, "V")) &amp; "/" &amp; ((COUNTIF(W18:W37, "✓") + COUNTIF(W18:W37, "✔") + COUNTIF(W18:W37, "v") + COUNTIF(W18:W37, "V")) + COUNTIF(W18:W37, "✗") + COUNTIF(W18:W37, "x") + COUNTIF(W18:W37, "X")), "")</f>
        <v/>
      </c>
      <c r="X38" s="33">
        <f>IF(((COUNTIF(X18:X37, "✓") + COUNTIF(X18:X37, "✔") + COUNTIF(X18:X37, "v") + COUNTIF(X18:X37, "V")) + COUNTIF(X18:X37, "✗") + COUNTIF(X18:X37, "x") + COUNTIF(X18:X37, "X")) &gt; 0, (COUNTIF(X18:X37, "✓") + COUNTIF(X18:X37, "✔") + COUNTIF(X18:X37, "v") + COUNTIF(X18:X37, "V")) &amp; "/" &amp; ((COUNTIF(X18:X37, "✓") + COUNTIF(X18:X37, "✔") + COUNTIF(X18:X37, "v") + COUNTIF(X18:X37, "V")) + COUNTIF(X18:X37, "✗") + COUNTIF(X18:X37, "x") + COUNTIF(X18:X37, "X")), "")</f>
        <v/>
      </c>
      <c r="Y38" s="33">
        <f>IF(((COUNTIF(Y18:Y37, "✓") + COUNTIF(Y18:Y37, "✔") + COUNTIF(Y18:Y37, "v") + COUNTIF(Y18:Y37, "V")) + COUNTIF(Y18:Y37, "✗") + COUNTIF(Y18:Y37, "x") + COUNTIF(Y18:Y37, "X")) &gt; 0, (COUNTIF(Y18:Y37, "✓") + COUNTIF(Y18:Y37, "✔") + COUNTIF(Y18:Y37, "v") + COUNTIF(Y18:Y37, "V")) &amp; "/" &amp; ((COUNTIF(Y18:Y37, "✓") + COUNTIF(Y18:Y37, "✔") + COUNTIF(Y18:Y37, "v") + COUNTIF(Y18:Y37, "V")) + COUNTIF(Y18:Y37, "✗") + COUNTIF(Y18:Y37, "x") + COUNTIF(Y18:Y37, "X")), "")</f>
        <v/>
      </c>
      <c r="Z38" s="33">
        <f>IF(((COUNTIF(Z18:Z37, "✓") + COUNTIF(Z18:Z37, "✔") + COUNTIF(Z18:Z37, "v") + COUNTIF(Z18:Z37, "V")) + COUNTIF(Z18:Z37, "✗") + COUNTIF(Z18:Z37, "x") + COUNTIF(Z18:Z37, "X")) &gt; 0, (COUNTIF(Z18:Z37, "✓") + COUNTIF(Z18:Z37, "✔") + COUNTIF(Z18:Z37, "v") + COUNTIF(Z18:Z37, "V")) &amp; "/" &amp; ((COUNTIF(Z18:Z37, "✓") + COUNTIF(Z18:Z37, "✔") + COUNTIF(Z18:Z37, "v") + COUNTIF(Z18:Z37, "V")) + COUNTIF(Z18:Z37, "✗") + COUNTIF(Z18:Z37, "x") + COUNTIF(Z18:Z37, "X")), "")</f>
        <v/>
      </c>
      <c r="AA38" s="33">
        <f>IF(((COUNTIF(AA18:AA37, "✓") + COUNTIF(AA18:AA37, "✔") + COUNTIF(AA18:AA37, "v") + COUNTIF(AA18:AA37, "V")) + COUNTIF(AA18:AA37, "✗") + COUNTIF(AA18:AA37, "x") + COUNTIF(AA18:AA37, "X")) &gt; 0, (COUNTIF(AA18:AA37, "✓") + COUNTIF(AA18:AA37, "✔") + COUNTIF(AA18:AA37, "v") + COUNTIF(AA18:AA37, "V")) &amp; "/" &amp; ((COUNTIF(AA18:AA37, "✓") + COUNTIF(AA18:AA37, "✔") + COUNTIF(AA18:AA37, "v") + COUNTIF(AA18:AA37, "V")) + COUNTIF(AA18:AA37, "✗") + COUNTIF(AA18:AA37, "x") + COUNTIF(AA18:AA37, "X")), "")</f>
        <v/>
      </c>
      <c r="AB38" s="33">
        <f>IF(((COUNTIF(AB18:AB37, "✓") + COUNTIF(AB18:AB37, "✔") + COUNTIF(AB18:AB37, "v") + COUNTIF(AB18:AB37, "V")) + COUNTIF(AB18:AB37, "✗") + COUNTIF(AB18:AB37, "x") + COUNTIF(AB18:AB37, "X")) &gt; 0, (COUNTIF(AB18:AB37, "✓") + COUNTIF(AB18:AB37, "✔") + COUNTIF(AB18:AB37, "v") + COUNTIF(AB18:AB37, "V")) &amp; "/" &amp; ((COUNTIF(AB18:AB37, "✓") + COUNTIF(AB18:AB37, "✔") + COUNTIF(AB18:AB37, "v") + COUNTIF(AB18:AB37, "V")) + COUNTIF(AB18:AB37, "✗") + COUNTIF(AB18:AB37, "x") + COUNTIF(AB18:AB37, "X")), "")</f>
        <v/>
      </c>
      <c r="AC38" s="33">
        <f>IF(((COUNTIF(AC18:AC37, "✓") + COUNTIF(AC18:AC37, "✔") + COUNTIF(AC18:AC37, "v") + COUNTIF(AC18:AC37, "V")) + COUNTIF(AC18:AC37, "✗") + COUNTIF(AC18:AC37, "x") + COUNTIF(AC18:AC37, "X")) &gt; 0, (COUNTIF(AC18:AC37, "✓") + COUNTIF(AC18:AC37, "✔") + COUNTIF(AC18:AC37, "v") + COUNTIF(AC18:AC37, "V")) &amp; "/" &amp; ((COUNTIF(AC18:AC37, "✓") + COUNTIF(AC18:AC37, "✔") + COUNTIF(AC18:AC37, "v") + COUNTIF(AC18:AC37, "V")) + COUNTIF(AC18:AC37, "✗") + COUNTIF(AC18:AC37, "x") + COUNTIF(AC18:AC37, "X")), "")</f>
        <v/>
      </c>
      <c r="AD38" s="33">
        <f>IF(((COUNTIF(AD18:AD37, "✓") + COUNTIF(AD18:AD37, "✔") + COUNTIF(AD18:AD37, "v") + COUNTIF(AD18:AD37, "V")) + COUNTIF(AD18:AD37, "✗") + COUNTIF(AD18:AD37, "x") + COUNTIF(AD18:AD37, "X")) &gt; 0, (COUNTIF(AD18:AD37, "✓") + COUNTIF(AD18:AD37, "✔") + COUNTIF(AD18:AD37, "v") + COUNTIF(AD18:AD37, "V")) &amp; "/" &amp; ((COUNTIF(AD18:AD37, "✓") + COUNTIF(AD18:AD37, "✔") + COUNTIF(AD18:AD37, "v") + COUNTIF(AD18:AD37, "V")) + COUNTIF(AD18:AD37, "✗") + COUNTIF(AD18:AD37, "x") + COUNTIF(AD18:AD37, "X")), "")</f>
        <v/>
      </c>
      <c r="AE38" s="33">
        <f>IF(((COUNTIF(AE18:AE37, "✓") + COUNTIF(AE18:AE37, "✔") + COUNTIF(AE18:AE37, "v") + COUNTIF(AE18:AE37, "V")) + COUNTIF(AE18:AE37, "✗") + COUNTIF(AE18:AE37, "x") + COUNTIF(AE18:AE37, "X")) &gt; 0, (COUNTIF(AE18:AE37, "✓") + COUNTIF(AE18:AE37, "✔") + COUNTIF(AE18:AE37, "v") + COUNTIF(AE18:AE37, "V")) &amp; "/" &amp; ((COUNTIF(AE18:AE37, "✓") + COUNTIF(AE18:AE37, "✔") + COUNTIF(AE18:AE37, "v") + COUNTIF(AE18:AE37, "V")) + COUNTIF(AE18:AE37, "✗") + COUNTIF(AE18:AE37, "x") + COUNTIF(AE18:AE37, "X")), "")</f>
        <v/>
      </c>
      <c r="AF38" s="33">
        <f>IF(((COUNTIF(AF18:AF37, "✓") + COUNTIF(AF18:AF37, "✔") + COUNTIF(AF18:AF37, "v") + COUNTIF(AF18:AF37, "V")) + COUNTIF(AF18:AF37, "✗") + COUNTIF(AF18:AF37, "x") + COUNTIF(AF18:AF37, "X")) &gt; 0, (COUNTIF(AF18:AF37, "✓") + COUNTIF(AF18:AF37, "✔") + COUNTIF(AF18:AF37, "v") + COUNTIF(AF18:AF37, "V")) &amp; "/" &amp; ((COUNTIF(AF18:AF37, "✓") + COUNTIF(AF18:AF37, "✔") + COUNTIF(AF18:AF37, "v") + COUNTIF(AF18:AF37, "V")) + COUNTIF(AF18:AF37, "✗") + COUNTIF(AF18:AF37, "x") + COUNTIF(AF18:AF37, "X")), "")</f>
        <v/>
      </c>
      <c r="AG38" s="33">
        <f>IF(((COUNTIF(AG18:AG37, "✓") + COUNTIF(AG18:AG37, "✔") + COUNTIF(AG18:AG37, "v") + COUNTIF(AG18:AG37, "V")) + COUNTIF(AG18:AG37, "✗") + COUNTIF(AG18:AG37, "x") + COUNTIF(AG18:AG37, "X")) &gt; 0, (COUNTIF(AG18:AG37, "✓") + COUNTIF(AG18:AG37, "✔") + COUNTIF(AG18:AG37, "v") + COUNTIF(AG18:AG37, "V")) &amp; "/" &amp; ((COUNTIF(AG18:AG37, "✓") + COUNTIF(AG18:AG37, "✔") + COUNTIF(AG18:AG37, "v") + COUNTIF(AG18:AG37, "V")) + COUNTIF(AG18:AG37, "✗") + COUNTIF(AG18:AG37, "x") + COUNTIF(AG18:AG37, "X")), "")</f>
        <v/>
      </c>
      <c r="AH38" s="33">
        <f>IF(((COUNTIF(AH18:AH37, "✓") + COUNTIF(AH18:AH37, "✔") + COUNTIF(AH18:AH37, "v") + COUNTIF(AH18:AH37, "V")) + COUNTIF(AH18:AH37, "✗") + COUNTIF(AH18:AH37, "x") + COUNTIF(AH18:AH37, "X")) &gt; 0, (COUNTIF(AH18:AH37, "✓") + COUNTIF(AH18:AH37, "✔") + COUNTIF(AH18:AH37, "v") + COUNTIF(AH18:AH37, "V")) &amp; "/" &amp; ((COUNTIF(AH18:AH37, "✓") + COUNTIF(AH18:AH37, "✔") + COUNTIF(AH18:AH37, "v") + COUNTIF(AH18:AH37, "V")) + COUNTIF(AH18:AH37, "✗") + COUNTIF(AH18:AH37, "x") + COUNTIF(AH18:AH37, "X")), "")</f>
        <v/>
      </c>
      <c r="AI38" s="33">
        <f>IF(((COUNTIF(AI18:AI37, "✓") + COUNTIF(AI18:AI37, "✔") + COUNTIF(AI18:AI37, "v") + COUNTIF(AI18:AI37, "V")) + COUNTIF(AI18:AI37, "✗") + COUNTIF(AI18:AI37, "x") + COUNTIF(AI18:AI37, "X")) &gt; 0, (COUNTIF(AI18:AI37, "✓") + COUNTIF(AI18:AI37, "✔") + COUNTIF(AI18:AI37, "v") + COUNTIF(AI18:AI37, "V")) &amp; "/" &amp; ((COUNTIF(AI18:AI37, "✓") + COUNTIF(AI18:AI37, "✔") + COUNTIF(AI18:AI37, "v") + COUNTIF(AI18:AI37, "V")) + COUNTIF(AI18:AI37, "✗") + COUNTIF(AI18:AI37, "x") + COUNTIF(AI18:AI37, "X")), "")</f>
        <v/>
      </c>
      <c r="AJ38" s="133">
        <f>IF(SUM(D18:D37) &gt; 0, SUM(AM18:AM37) / SUM(D18:D37), "")</f>
        <v/>
      </c>
      <c r="AK38" s="33">
        <f>IF(SUM(D18:D37) &gt; 0, SUM(AM18:AM37) &amp; "/" &amp; SUM(D18:D37), "")</f>
        <v/>
      </c>
      <c r="AL38" s="54" t="n"/>
    </row>
    <row r="39" ht="18" customHeight="1">
      <c r="A39" s="132" t="inlineStr">
        <is>
          <t>DAILY SUCCESS %</t>
        </is>
      </c>
      <c r="B39" s="54" t="n"/>
      <c r="C39" s="54" t="n"/>
      <c r="D39" s="54" t="n"/>
      <c r="E39" s="134">
        <f>IF(((COUNTIF(E18:E37, "✓") + COUNTIF(E18:E37, "✔") + COUNTIF(E18:E37, "v") + COUNTIF(E18:E37, "V")) + COUNTIF(E18:E37, "✗") + COUNTIF(E18:E37, "x") + COUNTIF(E18:E37, "X")) &gt; 0, (COUNTIF(E18:E37, "✓") + COUNTIF(E18:E37, "✔") + COUNTIF(E18:E37, "v") + COUNTIF(E18:E37, "V")) / ((COUNTIF(E18:E37, "✓") + COUNTIF(E18:E37, "✔") + COUNTIF(E18:E37, "v") + COUNTIF(E18:E37, "V")) + COUNTIF(E18:E37, "✗") + COUNTIF(E18:E37, "x") + COUNTIF(E18:E37, "X")), "")</f>
        <v/>
      </c>
      <c r="F39" s="134">
        <f>IF(((COUNTIF(F18:F37, "✓") + COUNTIF(F18:F37, "✔") + COUNTIF(F18:F37, "v") + COUNTIF(F18:F37, "V")) + COUNTIF(F18:F37, "✗") + COUNTIF(F18:F37, "x") + COUNTIF(F18:F37, "X")) &gt; 0, (COUNTIF(F18:F37, "✓") + COUNTIF(F18:F37, "✔") + COUNTIF(F18:F37, "v") + COUNTIF(F18:F37, "V")) / ((COUNTIF(F18:F37, "✓") + COUNTIF(F18:F37, "✔") + COUNTIF(F18:F37, "v") + COUNTIF(F18:F37, "V")) + COUNTIF(F18:F37, "✗") + COUNTIF(F18:F37, "x") + COUNTIF(F18:F37, "X")), "")</f>
        <v/>
      </c>
      <c r="G39" s="134">
        <f>IF(((COUNTIF(G18:G37, "✓") + COUNTIF(G18:G37, "✔") + COUNTIF(G18:G37, "v") + COUNTIF(G18:G37, "V")) + COUNTIF(G18:G37, "✗") + COUNTIF(G18:G37, "x") + COUNTIF(G18:G37, "X")) &gt; 0, (COUNTIF(G18:G37, "✓") + COUNTIF(G18:G37, "✔") + COUNTIF(G18:G37, "v") + COUNTIF(G18:G37, "V")) / ((COUNTIF(G18:G37, "✓") + COUNTIF(G18:G37, "✔") + COUNTIF(G18:G37, "v") + COUNTIF(G18:G37, "V")) + COUNTIF(G18:G37, "✗") + COUNTIF(G18:G37, "x") + COUNTIF(G18:G37, "X")), "")</f>
        <v/>
      </c>
      <c r="H39" s="134">
        <f>IF(((COUNTIF(H18:H37, "✓") + COUNTIF(H18:H37, "✔") + COUNTIF(H18:H37, "v") + COUNTIF(H18:H37, "V")) + COUNTIF(H18:H37, "✗") + COUNTIF(H18:H37, "x") + COUNTIF(H18:H37, "X")) &gt; 0, (COUNTIF(H18:H37, "✓") + COUNTIF(H18:H37, "✔") + COUNTIF(H18:H37, "v") + COUNTIF(H18:H37, "V")) / ((COUNTIF(H18:H37, "✓") + COUNTIF(H18:H37, "✔") + COUNTIF(H18:H37, "v") + COUNTIF(H18:H37, "V")) + COUNTIF(H18:H37, "✗") + COUNTIF(H18:H37, "x") + COUNTIF(H18:H37, "X")), "")</f>
        <v/>
      </c>
      <c r="I39" s="134">
        <f>IF(((COUNTIF(I18:I37, "✓") + COUNTIF(I18:I37, "✔") + COUNTIF(I18:I37, "v") + COUNTIF(I18:I37, "V")) + COUNTIF(I18:I37, "✗") + COUNTIF(I18:I37, "x") + COUNTIF(I18:I37, "X")) &gt; 0, (COUNTIF(I18:I37, "✓") + COUNTIF(I18:I37, "✔") + COUNTIF(I18:I37, "v") + COUNTIF(I18:I37, "V")) / ((COUNTIF(I18:I37, "✓") + COUNTIF(I18:I37, "✔") + COUNTIF(I18:I37, "v") + COUNTIF(I18:I37, "V")) + COUNTIF(I18:I37, "✗") + COUNTIF(I18:I37, "x") + COUNTIF(I18:I37, "X")), "")</f>
        <v/>
      </c>
      <c r="J39" s="134">
        <f>IF(((COUNTIF(J18:J37, "✓") + COUNTIF(J18:J37, "✔") + COUNTIF(J18:J37, "v") + COUNTIF(J18:J37, "V")) + COUNTIF(J18:J37, "✗") + COUNTIF(J18:J37, "x") + COUNTIF(J18:J37, "X")) &gt; 0, (COUNTIF(J18:J37, "✓") + COUNTIF(J18:J37, "✔") + COUNTIF(J18:J37, "v") + COUNTIF(J18:J37, "V")) / ((COUNTIF(J18:J37, "✓") + COUNTIF(J18:J37, "✔") + COUNTIF(J18:J37, "v") + COUNTIF(J18:J37, "V")) + COUNTIF(J18:J37, "✗") + COUNTIF(J18:J37, "x") + COUNTIF(J18:J37, "X")), "")</f>
        <v/>
      </c>
      <c r="K39" s="134">
        <f>IF(((COUNTIF(K18:K37, "✓") + COUNTIF(K18:K37, "✔") + COUNTIF(K18:K37, "v") + COUNTIF(K18:K37, "V")) + COUNTIF(K18:K37, "✗") + COUNTIF(K18:K37, "x") + COUNTIF(K18:K37, "X")) &gt; 0, (COUNTIF(K18:K37, "✓") + COUNTIF(K18:K37, "✔") + COUNTIF(K18:K37, "v") + COUNTIF(K18:K37, "V")) / ((COUNTIF(K18:K37, "✓") + COUNTIF(K18:K37, "✔") + COUNTIF(K18:K37, "v") + COUNTIF(K18:K37, "V")) + COUNTIF(K18:K37, "✗") + COUNTIF(K18:K37, "x") + COUNTIF(K18:K37, "X")), "")</f>
        <v/>
      </c>
      <c r="L39" s="134">
        <f>IF(((COUNTIF(L18:L37, "✓") + COUNTIF(L18:L37, "✔") + COUNTIF(L18:L37, "v") + COUNTIF(L18:L37, "V")) + COUNTIF(L18:L37, "✗") + COUNTIF(L18:L37, "x") + COUNTIF(L18:L37, "X")) &gt; 0, (COUNTIF(L18:L37, "✓") + COUNTIF(L18:L37, "✔") + COUNTIF(L18:L37, "v") + COUNTIF(L18:L37, "V")) / ((COUNTIF(L18:L37, "✓") + COUNTIF(L18:L37, "✔") + COUNTIF(L18:L37, "v") + COUNTIF(L18:L37, "V")) + COUNTIF(L18:L37, "✗") + COUNTIF(L18:L37, "x") + COUNTIF(L18:L37, "X")), "")</f>
        <v/>
      </c>
      <c r="M39" s="134">
        <f>IF(((COUNTIF(M18:M37, "✓") + COUNTIF(M18:M37, "✔") + COUNTIF(M18:M37, "v") + COUNTIF(M18:M37, "V")) + COUNTIF(M18:M37, "✗") + COUNTIF(M18:M37, "x") + COUNTIF(M18:M37, "X")) &gt; 0, (COUNTIF(M18:M37, "✓") + COUNTIF(M18:M37, "✔") + COUNTIF(M18:M37, "v") + COUNTIF(M18:M37, "V")) / ((COUNTIF(M18:M37, "✓") + COUNTIF(M18:M37, "✔") + COUNTIF(M18:M37, "v") + COUNTIF(M18:M37, "V")) + COUNTIF(M18:M37, "✗") + COUNTIF(M18:M37, "x") + COUNTIF(M18:M37, "X")), "")</f>
        <v/>
      </c>
      <c r="N39" s="134">
        <f>IF(((COUNTIF(N18:N37, "✓") + COUNTIF(N18:N37, "✔") + COUNTIF(N18:N37, "v") + COUNTIF(N18:N37, "V")) + COUNTIF(N18:N37, "✗") + COUNTIF(N18:N37, "x") + COUNTIF(N18:N37, "X")) &gt; 0, (COUNTIF(N18:N37, "✓") + COUNTIF(N18:N37, "✔") + COUNTIF(N18:N37, "v") + COUNTIF(N18:N37, "V")) / ((COUNTIF(N18:N37, "✓") + COUNTIF(N18:N37, "✔") + COUNTIF(N18:N37, "v") + COUNTIF(N18:N37, "V")) + COUNTIF(N18:N37, "✗") + COUNTIF(N18:N37, "x") + COUNTIF(N18:N37, "X")), "")</f>
        <v/>
      </c>
      <c r="O39" s="134">
        <f>IF(((COUNTIF(O18:O37, "✓") + COUNTIF(O18:O37, "✔") + COUNTIF(O18:O37, "v") + COUNTIF(O18:O37, "V")) + COUNTIF(O18:O37, "✗") + COUNTIF(O18:O37, "x") + COUNTIF(O18:O37, "X")) &gt; 0, (COUNTIF(O18:O37, "✓") + COUNTIF(O18:O37, "✔") + COUNTIF(O18:O37, "v") + COUNTIF(O18:O37, "V")) / ((COUNTIF(O18:O37, "✓") + COUNTIF(O18:O37, "✔") + COUNTIF(O18:O37, "v") + COUNTIF(O18:O37, "V")) + COUNTIF(O18:O37, "✗") + COUNTIF(O18:O37, "x") + COUNTIF(O18:O37, "X")), "")</f>
        <v/>
      </c>
      <c r="P39" s="134">
        <f>IF(((COUNTIF(P18:P37, "✓") + COUNTIF(P18:P37, "✔") + COUNTIF(P18:P37, "v") + COUNTIF(P18:P37, "V")) + COUNTIF(P18:P37, "✗") + COUNTIF(P18:P37, "x") + COUNTIF(P18:P37, "X")) &gt; 0, (COUNTIF(P18:P37, "✓") + COUNTIF(P18:P37, "✔") + COUNTIF(P18:P37, "v") + COUNTIF(P18:P37, "V")) / ((COUNTIF(P18:P37, "✓") + COUNTIF(P18:P37, "✔") + COUNTIF(P18:P37, "v") + COUNTIF(P18:P37, "V")) + COUNTIF(P18:P37, "✗") + COUNTIF(P18:P37, "x") + COUNTIF(P18:P37, "X")), "")</f>
        <v/>
      </c>
      <c r="Q39" s="134">
        <f>IF(((COUNTIF(Q18:Q37, "✓") + COUNTIF(Q18:Q37, "✔") + COUNTIF(Q18:Q37, "v") + COUNTIF(Q18:Q37, "V")) + COUNTIF(Q18:Q37, "✗") + COUNTIF(Q18:Q37, "x") + COUNTIF(Q18:Q37, "X")) &gt; 0, (COUNTIF(Q18:Q37, "✓") + COUNTIF(Q18:Q37, "✔") + COUNTIF(Q18:Q37, "v") + COUNTIF(Q18:Q37, "V")) / ((COUNTIF(Q18:Q37, "✓") + COUNTIF(Q18:Q37, "✔") + COUNTIF(Q18:Q37, "v") + COUNTIF(Q18:Q37, "V")) + COUNTIF(Q18:Q37, "✗") + COUNTIF(Q18:Q37, "x") + COUNTIF(Q18:Q37, "X")), "")</f>
        <v/>
      </c>
      <c r="R39" s="134">
        <f>IF(((COUNTIF(R18:R37, "✓") + COUNTIF(R18:R37, "✔") + COUNTIF(R18:R37, "v") + COUNTIF(R18:R37, "V")) + COUNTIF(R18:R37, "✗") + COUNTIF(R18:R37, "x") + COUNTIF(R18:R37, "X")) &gt; 0, (COUNTIF(R18:R37, "✓") + COUNTIF(R18:R37, "✔") + COUNTIF(R18:R37, "v") + COUNTIF(R18:R37, "V")) / ((COUNTIF(R18:R37, "✓") + COUNTIF(R18:R37, "✔") + COUNTIF(R18:R37, "v") + COUNTIF(R18:R37, "V")) + COUNTIF(R18:R37, "✗") + COUNTIF(R18:R37, "x") + COUNTIF(R18:R37, "X")), "")</f>
        <v/>
      </c>
      <c r="S39" s="134">
        <f>IF(((COUNTIF(S18:S37, "✓") + COUNTIF(S18:S37, "✔") + COUNTIF(S18:S37, "v") + COUNTIF(S18:S37, "V")) + COUNTIF(S18:S37, "✗") + COUNTIF(S18:S37, "x") + COUNTIF(S18:S37, "X")) &gt; 0, (COUNTIF(S18:S37, "✓") + COUNTIF(S18:S37, "✔") + COUNTIF(S18:S37, "v") + COUNTIF(S18:S37, "V")) / ((COUNTIF(S18:S37, "✓") + COUNTIF(S18:S37, "✔") + COUNTIF(S18:S37, "v") + COUNTIF(S18:S37, "V")) + COUNTIF(S18:S37, "✗") + COUNTIF(S18:S37, "x") + COUNTIF(S18:S37, "X")), "")</f>
        <v/>
      </c>
      <c r="T39" s="134">
        <f>IF(((COUNTIF(T18:T37, "✓") + COUNTIF(T18:T37, "✔") + COUNTIF(T18:T37, "v") + COUNTIF(T18:T37, "V")) + COUNTIF(T18:T37, "✗") + COUNTIF(T18:T37, "x") + COUNTIF(T18:T37, "X")) &gt; 0, (COUNTIF(T18:T37, "✓") + COUNTIF(T18:T37, "✔") + COUNTIF(T18:T37, "v") + COUNTIF(T18:T37, "V")) / ((COUNTIF(T18:T37, "✓") + COUNTIF(T18:T37, "✔") + COUNTIF(T18:T37, "v") + COUNTIF(T18:T37, "V")) + COUNTIF(T18:T37, "✗") + COUNTIF(T18:T37, "x") + COUNTIF(T18:T37, "X")), "")</f>
        <v/>
      </c>
      <c r="U39" s="134">
        <f>IF(((COUNTIF(U18:U37, "✓") + COUNTIF(U18:U37, "✔") + COUNTIF(U18:U37, "v") + COUNTIF(U18:U37, "V")) + COUNTIF(U18:U37, "✗") + COUNTIF(U18:U37, "x") + COUNTIF(U18:U37, "X")) &gt; 0, (COUNTIF(U18:U37, "✓") + COUNTIF(U18:U37, "✔") + COUNTIF(U18:U37, "v") + COUNTIF(U18:U37, "V")) / ((COUNTIF(U18:U37, "✓") + COUNTIF(U18:U37, "✔") + COUNTIF(U18:U37, "v") + COUNTIF(U18:U37, "V")) + COUNTIF(U18:U37, "✗") + COUNTIF(U18:U37, "x") + COUNTIF(U18:U37, "X")), "")</f>
        <v/>
      </c>
      <c r="V39" s="134">
        <f>IF(((COUNTIF(V18:V37, "✓") + COUNTIF(V18:V37, "✔") + COUNTIF(V18:V37, "v") + COUNTIF(V18:V37, "V")) + COUNTIF(V18:V37, "✗") + COUNTIF(V18:V37, "x") + COUNTIF(V18:V37, "X")) &gt; 0, (COUNTIF(V18:V37, "✓") + COUNTIF(V18:V37, "✔") + COUNTIF(V18:V37, "v") + COUNTIF(V18:V37, "V")) / ((COUNTIF(V18:V37, "✓") + COUNTIF(V18:V37, "✔") + COUNTIF(V18:V37, "v") + COUNTIF(V18:V37, "V")) + COUNTIF(V18:V37, "✗") + COUNTIF(V18:V37, "x") + COUNTIF(V18:V37, "X")), "")</f>
        <v/>
      </c>
      <c r="W39" s="134">
        <f>IF(((COUNTIF(W18:W37, "✓") + COUNTIF(W18:W37, "✔") + COUNTIF(W18:W37, "v") + COUNTIF(W18:W37, "V")) + COUNTIF(W18:W37, "✗") + COUNTIF(W18:W37, "x") + COUNTIF(W18:W37, "X")) &gt; 0, (COUNTIF(W18:W37, "✓") + COUNTIF(W18:W37, "✔") + COUNTIF(W18:W37, "v") + COUNTIF(W18:W37, "V")) / ((COUNTIF(W18:W37, "✓") + COUNTIF(W18:W37, "✔") + COUNTIF(W18:W37, "v") + COUNTIF(W18:W37, "V")) + COUNTIF(W18:W37, "✗") + COUNTIF(W18:W37, "x") + COUNTIF(W18:W37, "X")), "")</f>
        <v/>
      </c>
      <c r="X39" s="134">
        <f>IF(((COUNTIF(X18:X37, "✓") + COUNTIF(X18:X37, "✔") + COUNTIF(X18:X37, "v") + COUNTIF(X18:X37, "V")) + COUNTIF(X18:X37, "✗") + COUNTIF(X18:X37, "x") + COUNTIF(X18:X37, "X")) &gt; 0, (COUNTIF(X18:X37, "✓") + COUNTIF(X18:X37, "✔") + COUNTIF(X18:X37, "v") + COUNTIF(X18:X37, "V")) / ((COUNTIF(X18:X37, "✓") + COUNTIF(X18:X37, "✔") + COUNTIF(X18:X37, "v") + COUNTIF(X18:X37, "V")) + COUNTIF(X18:X37, "✗") + COUNTIF(X18:X37, "x") + COUNTIF(X18:X37, "X")), "")</f>
        <v/>
      </c>
      <c r="Y39" s="134">
        <f>IF(((COUNTIF(Y18:Y37, "✓") + COUNTIF(Y18:Y37, "✔") + COUNTIF(Y18:Y37, "v") + COUNTIF(Y18:Y37, "V")) + COUNTIF(Y18:Y37, "✗") + COUNTIF(Y18:Y37, "x") + COUNTIF(Y18:Y37, "X")) &gt; 0, (COUNTIF(Y18:Y37, "✓") + COUNTIF(Y18:Y37, "✔") + COUNTIF(Y18:Y37, "v") + COUNTIF(Y18:Y37, "V")) / ((COUNTIF(Y18:Y37, "✓") + COUNTIF(Y18:Y37, "✔") + COUNTIF(Y18:Y37, "v") + COUNTIF(Y18:Y37, "V")) + COUNTIF(Y18:Y37, "✗") + COUNTIF(Y18:Y37, "x") + COUNTIF(Y18:Y37, "X")), "")</f>
        <v/>
      </c>
      <c r="Z39" s="134">
        <f>IF(((COUNTIF(Z18:Z37, "✓") + COUNTIF(Z18:Z37, "✔") + COUNTIF(Z18:Z37, "v") + COUNTIF(Z18:Z37, "V")) + COUNTIF(Z18:Z37, "✗") + COUNTIF(Z18:Z37, "x") + COUNTIF(Z18:Z37, "X")) &gt; 0, (COUNTIF(Z18:Z37, "✓") + COUNTIF(Z18:Z37, "✔") + COUNTIF(Z18:Z37, "v") + COUNTIF(Z18:Z37, "V")) / ((COUNTIF(Z18:Z37, "✓") + COUNTIF(Z18:Z37, "✔") + COUNTIF(Z18:Z37, "v") + COUNTIF(Z18:Z37, "V")) + COUNTIF(Z18:Z37, "✗") + COUNTIF(Z18:Z37, "x") + COUNTIF(Z18:Z37, "X")), "")</f>
        <v/>
      </c>
      <c r="AA39" s="134">
        <f>IF(((COUNTIF(AA18:AA37, "✓") + COUNTIF(AA18:AA37, "✔") + COUNTIF(AA18:AA37, "v") + COUNTIF(AA18:AA37, "V")) + COUNTIF(AA18:AA37, "✗") + COUNTIF(AA18:AA37, "x") + COUNTIF(AA18:AA37, "X")) &gt; 0, (COUNTIF(AA18:AA37, "✓") + COUNTIF(AA18:AA37, "✔") + COUNTIF(AA18:AA37, "v") + COUNTIF(AA18:AA37, "V")) / ((COUNTIF(AA18:AA37, "✓") + COUNTIF(AA18:AA37, "✔") + COUNTIF(AA18:AA37, "v") + COUNTIF(AA18:AA37, "V")) + COUNTIF(AA18:AA37, "✗") + COUNTIF(AA18:AA37, "x") + COUNTIF(AA18:AA37, "X")), "")</f>
        <v/>
      </c>
      <c r="AB39" s="134">
        <f>IF(((COUNTIF(AB18:AB37, "✓") + COUNTIF(AB18:AB37, "✔") + COUNTIF(AB18:AB37, "v") + COUNTIF(AB18:AB37, "V")) + COUNTIF(AB18:AB37, "✗") + COUNTIF(AB18:AB37, "x") + COUNTIF(AB18:AB37, "X")) &gt; 0, (COUNTIF(AB18:AB37, "✓") + COUNTIF(AB18:AB37, "✔") + COUNTIF(AB18:AB37, "v") + COUNTIF(AB18:AB37, "V")) / ((COUNTIF(AB18:AB37, "✓") + COUNTIF(AB18:AB37, "✔") + COUNTIF(AB18:AB37, "v") + COUNTIF(AB18:AB37, "V")) + COUNTIF(AB18:AB37, "✗") + COUNTIF(AB18:AB37, "x") + COUNTIF(AB18:AB37, "X")), "")</f>
        <v/>
      </c>
      <c r="AC39" s="134">
        <f>IF(((COUNTIF(AC18:AC37, "✓") + COUNTIF(AC18:AC37, "✔") + COUNTIF(AC18:AC37, "v") + COUNTIF(AC18:AC37, "V")) + COUNTIF(AC18:AC37, "✗") + COUNTIF(AC18:AC37, "x") + COUNTIF(AC18:AC37, "X")) &gt; 0, (COUNTIF(AC18:AC37, "✓") + COUNTIF(AC18:AC37, "✔") + COUNTIF(AC18:AC37, "v") + COUNTIF(AC18:AC37, "V")) / ((COUNTIF(AC18:AC37, "✓") + COUNTIF(AC18:AC37, "✔") + COUNTIF(AC18:AC37, "v") + COUNTIF(AC18:AC37, "V")) + COUNTIF(AC18:AC37, "✗") + COUNTIF(AC18:AC37, "x") + COUNTIF(AC18:AC37, "X")), "")</f>
        <v/>
      </c>
      <c r="AD39" s="134">
        <f>IF(((COUNTIF(AD18:AD37, "✓") + COUNTIF(AD18:AD37, "✔") + COUNTIF(AD18:AD37, "v") + COUNTIF(AD18:AD37, "V")) + COUNTIF(AD18:AD37, "✗") + COUNTIF(AD18:AD37, "x") + COUNTIF(AD18:AD37, "X")) &gt; 0, (COUNTIF(AD18:AD37, "✓") + COUNTIF(AD18:AD37, "✔") + COUNTIF(AD18:AD37, "v") + COUNTIF(AD18:AD37, "V")) / ((COUNTIF(AD18:AD37, "✓") + COUNTIF(AD18:AD37, "✔") + COUNTIF(AD18:AD37, "v") + COUNTIF(AD18:AD37, "V")) + COUNTIF(AD18:AD37, "✗") + COUNTIF(AD18:AD37, "x") + COUNTIF(AD18:AD37, "X")), "")</f>
        <v/>
      </c>
      <c r="AE39" s="134">
        <f>IF(((COUNTIF(AE18:AE37, "✓") + COUNTIF(AE18:AE37, "✔") + COUNTIF(AE18:AE37, "v") + COUNTIF(AE18:AE37, "V")) + COUNTIF(AE18:AE37, "✗") + COUNTIF(AE18:AE37, "x") + COUNTIF(AE18:AE37, "X")) &gt; 0, (COUNTIF(AE18:AE37, "✓") + COUNTIF(AE18:AE37, "✔") + COUNTIF(AE18:AE37, "v") + COUNTIF(AE18:AE37, "V")) / ((COUNTIF(AE18:AE37, "✓") + COUNTIF(AE18:AE37, "✔") + COUNTIF(AE18:AE37, "v") + COUNTIF(AE18:AE37, "V")) + COUNTIF(AE18:AE37, "✗") + COUNTIF(AE18:AE37, "x") + COUNTIF(AE18:AE37, "X")), "")</f>
        <v/>
      </c>
      <c r="AF39" s="134">
        <f>IF(((COUNTIF(AF18:AF37, "✓") + COUNTIF(AF18:AF37, "✔") + COUNTIF(AF18:AF37, "v") + COUNTIF(AF18:AF37, "V")) + COUNTIF(AF18:AF37, "✗") + COUNTIF(AF18:AF37, "x") + COUNTIF(AF18:AF37, "X")) &gt; 0, (COUNTIF(AF18:AF37, "✓") + COUNTIF(AF18:AF37, "✔") + COUNTIF(AF18:AF37, "v") + COUNTIF(AF18:AF37, "V")) / ((COUNTIF(AF18:AF37, "✓") + COUNTIF(AF18:AF37, "✔") + COUNTIF(AF18:AF37, "v") + COUNTIF(AF18:AF37, "V")) + COUNTIF(AF18:AF37, "✗") + COUNTIF(AF18:AF37, "x") + COUNTIF(AF18:AF37, "X")), "")</f>
        <v/>
      </c>
      <c r="AG39" s="134">
        <f>IF(((COUNTIF(AG18:AG37, "✓") + COUNTIF(AG18:AG37, "✔") + COUNTIF(AG18:AG37, "v") + COUNTIF(AG18:AG37, "V")) + COUNTIF(AG18:AG37, "✗") + COUNTIF(AG18:AG37, "x") + COUNTIF(AG18:AG37, "X")) &gt; 0, (COUNTIF(AG18:AG37, "✓") + COUNTIF(AG18:AG37, "✔") + COUNTIF(AG18:AG37, "v") + COUNTIF(AG18:AG37, "V")) / ((COUNTIF(AG18:AG37, "✓") + COUNTIF(AG18:AG37, "✔") + COUNTIF(AG18:AG37, "v") + COUNTIF(AG18:AG37, "V")) + COUNTIF(AG18:AG37, "✗") + COUNTIF(AG18:AG37, "x") + COUNTIF(AG18:AG37, "X")), "")</f>
        <v/>
      </c>
      <c r="AH39" s="134">
        <f>IF(((COUNTIF(AH18:AH37, "✓") + COUNTIF(AH18:AH37, "✔") + COUNTIF(AH18:AH37, "v") + COUNTIF(AH18:AH37, "V")) + COUNTIF(AH18:AH37, "✗") + COUNTIF(AH18:AH37, "x") + COUNTIF(AH18:AH37, "X")) &gt; 0, (COUNTIF(AH18:AH37, "✓") + COUNTIF(AH18:AH37, "✔") + COUNTIF(AH18:AH37, "v") + COUNTIF(AH18:AH37, "V")) / ((COUNTIF(AH18:AH37, "✓") + COUNTIF(AH18:AH37, "✔") + COUNTIF(AH18:AH37, "v") + COUNTIF(AH18:AH37, "V")) + COUNTIF(AH18:AH37, "✗") + COUNTIF(AH18:AH37, "x") + COUNTIF(AH18:AH37, "X")), "")</f>
        <v/>
      </c>
      <c r="AI39" s="134">
        <f>IF(((COUNTIF(AI18:AI37, "✓") + COUNTIF(AI18:AI37, "✔") + COUNTIF(AI18:AI37, "v") + COUNTIF(AI18:AI37, "V")) + COUNTIF(AI18:AI37, "✗") + COUNTIF(AI18:AI37, "x") + COUNTIF(AI18:AI37, "X")) &gt; 0, (COUNTIF(AI18:AI37, "✓") + COUNTIF(AI18:AI37, "✔") + COUNTIF(AI18:AI37, "v") + COUNTIF(AI18:AI37, "V")) / ((COUNTIF(AI18:AI37, "✓") + COUNTIF(AI18:AI37, "✔") + COUNTIF(AI18:AI37, "v") + COUNTIF(AI18:AI37, "V")) + COUNTIF(AI18:AI37, "✗") + COUNTIF(AI18:AI37, "x") + COUNTIF(AI18:AI37, "X")), "")</f>
        <v/>
      </c>
      <c r="AJ39" s="133">
        <f>IF(COUNT(E39:AI39) &gt; 0, AVERAGE(E39:AI39), "")</f>
        <v/>
      </c>
      <c r="AK39" s="54" t="n"/>
      <c r="AL39" s="54" t="n"/>
    </row>
    <row r="40" ht="6" customHeight="1"/>
    <row r="41" ht="15" customHeight="1">
      <c r="A41" s="135" t="inlineStr">
        <is>
          <t>IF SUCCESS &lt; 80%, PUNISHMENT: ________________________________________________</t>
        </is>
      </c>
    </row>
    <row r="42" ht="15" customHeight="1">
      <c r="A42" s="136" t="inlineStr">
        <is>
          <t>IF SUCCESS &gt; 90%, REWARD: __________________________________________________</t>
        </is>
      </c>
    </row>
    <row r="43" ht="10" customHeight="1"/>
    <row r="44" ht="10" customHeight="1"/>
    <row r="45" ht="15" customHeight="1">
      <c r="A45" s="51" t="inlineStr">
        <is>
          <t>Sleep Tracking</t>
        </is>
      </c>
      <c r="B45" s="52" t="n"/>
      <c r="C45" s="52" t="n"/>
      <c r="D45" s="52" t="n"/>
      <c r="E45" s="137" t="n">
        <v>1</v>
      </c>
      <c r="F45" s="138" t="n">
        <v>2</v>
      </c>
      <c r="G45" s="137" t="n">
        <v>3</v>
      </c>
      <c r="H45" s="137" t="n">
        <v>4</v>
      </c>
      <c r="I45" s="137" t="n">
        <v>5</v>
      </c>
      <c r="J45" s="137" t="n">
        <v>6</v>
      </c>
      <c r="K45" s="137" t="n">
        <v>7</v>
      </c>
      <c r="L45" s="137" t="n">
        <v>8</v>
      </c>
      <c r="M45" s="138" t="n">
        <v>9</v>
      </c>
      <c r="N45" s="137" t="n">
        <v>10</v>
      </c>
      <c r="O45" s="137" t="n">
        <v>11</v>
      </c>
      <c r="P45" s="137" t="n">
        <v>12</v>
      </c>
      <c r="Q45" s="137" t="n">
        <v>13</v>
      </c>
      <c r="R45" s="137" t="n">
        <v>14</v>
      </c>
      <c r="S45" s="137" t="n">
        <v>15</v>
      </c>
      <c r="T45" s="138" t="n">
        <v>16</v>
      </c>
      <c r="U45" s="137" t="n">
        <v>17</v>
      </c>
      <c r="V45" s="137" t="n">
        <v>18</v>
      </c>
      <c r="W45" s="137" t="n">
        <v>19</v>
      </c>
      <c r="X45" s="137" t="n">
        <v>20</v>
      </c>
      <c r="Y45" s="137" t="n">
        <v>21</v>
      </c>
      <c r="Z45" s="137" t="n">
        <v>22</v>
      </c>
      <c r="AA45" s="138" t="n">
        <v>23</v>
      </c>
      <c r="AB45" s="137" t="n">
        <v>24</v>
      </c>
      <c r="AC45" s="137" t="n">
        <v>25</v>
      </c>
      <c r="AD45" s="137" t="n">
        <v>26</v>
      </c>
      <c r="AE45" s="137" t="n">
        <v>27</v>
      </c>
      <c r="AF45" s="137" t="n">
        <v>28</v>
      </c>
      <c r="AG45" s="137" t="n">
        <v>29</v>
      </c>
      <c r="AH45" s="138" t="n">
        <v>30</v>
      </c>
      <c r="AI45" s="137" t="n">
        <v>31</v>
      </c>
    </row>
    <row r="46" ht="15" customHeight="1">
      <c r="A46" s="52" t="n"/>
      <c r="B46" s="52" t="n"/>
      <c r="C46" s="52" t="n"/>
      <c r="D46" s="52" t="n"/>
      <c r="E46" s="139" t="inlineStr">
        <is>
          <t>Sa</t>
        </is>
      </c>
      <c r="F46" s="140" t="inlineStr">
        <is>
          <t>Su</t>
        </is>
      </c>
      <c r="G46" s="139" t="inlineStr">
        <is>
          <t>M</t>
        </is>
      </c>
      <c r="H46" s="139" t="inlineStr">
        <is>
          <t>T</t>
        </is>
      </c>
      <c r="I46" s="139" t="inlineStr">
        <is>
          <t>W</t>
        </is>
      </c>
      <c r="J46" s="139" t="inlineStr">
        <is>
          <t>Th</t>
        </is>
      </c>
      <c r="K46" s="139" t="inlineStr">
        <is>
          <t>F</t>
        </is>
      </c>
      <c r="L46" s="139" t="inlineStr">
        <is>
          <t>Sa</t>
        </is>
      </c>
      <c r="M46" s="140" t="inlineStr">
        <is>
          <t>Su</t>
        </is>
      </c>
      <c r="N46" s="139" t="inlineStr">
        <is>
          <t>M</t>
        </is>
      </c>
      <c r="O46" s="139" t="inlineStr">
        <is>
          <t>T</t>
        </is>
      </c>
      <c r="P46" s="139" t="inlineStr">
        <is>
          <t>W</t>
        </is>
      </c>
      <c r="Q46" s="139" t="inlineStr">
        <is>
          <t>Th</t>
        </is>
      </c>
      <c r="R46" s="139" t="inlineStr">
        <is>
          <t>F</t>
        </is>
      </c>
      <c r="S46" s="139" t="inlineStr">
        <is>
          <t>Sa</t>
        </is>
      </c>
      <c r="T46" s="140" t="inlineStr">
        <is>
          <t>Su</t>
        </is>
      </c>
      <c r="U46" s="139" t="inlineStr">
        <is>
          <t>M</t>
        </is>
      </c>
      <c r="V46" s="139" t="inlineStr">
        <is>
          <t>T</t>
        </is>
      </c>
      <c r="W46" s="139" t="inlineStr">
        <is>
          <t>W</t>
        </is>
      </c>
      <c r="X46" s="139" t="inlineStr">
        <is>
          <t>Th</t>
        </is>
      </c>
      <c r="Y46" s="139" t="inlineStr">
        <is>
          <t>F</t>
        </is>
      </c>
      <c r="Z46" s="139" t="inlineStr">
        <is>
          <t>Sa</t>
        </is>
      </c>
      <c r="AA46" s="140" t="inlineStr">
        <is>
          <t>Su</t>
        </is>
      </c>
      <c r="AB46" s="139" t="inlineStr">
        <is>
          <t>M</t>
        </is>
      </c>
      <c r="AC46" s="139" t="inlineStr">
        <is>
          <t>T</t>
        </is>
      </c>
      <c r="AD46" s="139" t="inlineStr">
        <is>
          <t>W</t>
        </is>
      </c>
      <c r="AE46" s="139" t="inlineStr">
        <is>
          <t>Th</t>
        </is>
      </c>
      <c r="AF46" s="139" t="inlineStr">
        <is>
          <t>F</t>
        </is>
      </c>
      <c r="AG46" s="139" t="inlineStr">
        <is>
          <t>Sa</t>
        </is>
      </c>
      <c r="AH46" s="140" t="inlineStr">
        <is>
          <t>Su</t>
        </is>
      </c>
      <c r="AI46" s="139" t="inlineStr">
        <is>
          <t>M</t>
        </is>
      </c>
    </row>
    <row r="47" ht="20" customHeight="1">
      <c r="A47" s="141" t="inlineStr">
        <is>
          <t>Sleep Hours (1-24)</t>
        </is>
      </c>
      <c r="B47" s="142" t="n"/>
      <c r="C47" s="142" t="n"/>
      <c r="D47" s="142" t="n"/>
      <c r="E47" s="143" t="n"/>
      <c r="F47" s="144" t="n"/>
      <c r="G47" s="143" t="n"/>
      <c r="H47" s="143" t="n"/>
      <c r="I47" s="143" t="n"/>
      <c r="J47" s="143" t="n"/>
      <c r="K47" s="143" t="n"/>
      <c r="L47" s="143" t="n"/>
      <c r="M47" s="144" t="n"/>
      <c r="N47" s="143" t="n"/>
      <c r="O47" s="143" t="n"/>
      <c r="P47" s="143" t="n"/>
      <c r="Q47" s="143" t="n"/>
      <c r="R47" s="143" t="n"/>
      <c r="S47" s="143" t="n"/>
      <c r="T47" s="144" t="n"/>
      <c r="U47" s="143" t="n"/>
      <c r="V47" s="143" t="n"/>
      <c r="W47" s="143" t="n"/>
      <c r="X47" s="143" t="n"/>
      <c r="Y47" s="143" t="n"/>
      <c r="Z47" s="143" t="n"/>
      <c r="AA47" s="144" t="n"/>
      <c r="AB47" s="143" t="n"/>
      <c r="AC47" s="143" t="n"/>
      <c r="AD47" s="143" t="n"/>
      <c r="AE47" s="143" t="n"/>
      <c r="AF47" s="143" t="n"/>
      <c r="AG47" s="143" t="n"/>
      <c r="AH47" s="144" t="n"/>
      <c r="AI47" s="143" t="n"/>
    </row>
    <row r="48" ht="6" customHeight="1"/>
    <row r="49" ht="14" customHeight="1"/>
    <row r="50" ht="14" customHeight="1"/>
    <row r="51" ht="14" customHeight="1"/>
    <row r="52" ht="14" customHeight="1"/>
    <row r="53" ht="14" customHeight="1"/>
    <row r="54" ht="14" customHeight="1"/>
    <row r="55" ht="14" customHeight="1"/>
    <row r="56" ht="14" customHeight="1"/>
    <row r="57" ht="14" customHeight="1"/>
    <row r="58" ht="14" customHeight="1"/>
    <row r="59" ht="14" customHeight="1"/>
    <row r="60" ht="14" customHeight="1"/>
    <row r="61" ht="14" customHeight="1"/>
    <row r="62" ht="14" customHeight="1"/>
    <row r="63" ht="14" customHeight="1"/>
    <row r="64" ht="14" customHeight="1"/>
    <row r="65" ht="14" customHeight="1"/>
    <row r="66" ht="8" customHeight="1"/>
    <row r="67">
      <c r="A67" s="145" t="inlineStr">
        <is>
          <t>MONTHLY SUCCESS RATE</t>
        </is>
      </c>
      <c r="B67" s="9" t="n"/>
      <c r="C67" s="9" t="n"/>
      <c r="D67" s="9" t="n"/>
      <c r="F67" s="146" t="inlineStr">
        <is>
          <t>ACTIVE PROTOCOLS</t>
        </is>
      </c>
      <c r="G67" s="11" t="n"/>
      <c r="H67" s="11" t="n"/>
      <c r="I67" s="11" t="n"/>
      <c r="K67" s="147" t="inlineStr">
        <is>
          <t>PERFECT DAYS (100%)</t>
        </is>
      </c>
      <c r="L67" s="13" t="n"/>
      <c r="M67" s="13" t="n"/>
      <c r="N67" s="13" t="n"/>
      <c r="P67" s="148" t="inlineStr">
        <is>
          <t>AVG SLEEP DURATION</t>
        </is>
      </c>
      <c r="Q67" s="15" t="n"/>
      <c r="R67" s="15" t="n"/>
      <c r="S67" s="15" t="n"/>
    </row>
    <row r="68">
      <c r="A68" s="149">
        <f>IF(SUM(D18:D37)&gt;0, SUM(AM18:AM37)/SUM(D18:D37), 0)</f>
        <v/>
      </c>
      <c r="B68" s="9" t="n"/>
      <c r="C68" s="9" t="n"/>
      <c r="D68" s="9" t="n"/>
      <c r="F68" s="150">
        <f>COUNTA(B18:B37) &amp; " / 20"</f>
        <v/>
      </c>
      <c r="G68" s="11" t="n"/>
      <c r="H68" s="11" t="n"/>
      <c r="I68" s="11" t="n"/>
      <c r="K68" s="151">
        <f>COUNTIF(E39:AI39, 1) &amp; " Days"</f>
        <v/>
      </c>
      <c r="L68" s="13" t="n"/>
      <c r="M68" s="13" t="n"/>
      <c r="N68" s="13" t="n"/>
      <c r="P68" s="152">
        <f>IFERROR(TEXT(AVERAGE(E47:AI47), "0.0") &amp; " hrs", "-")</f>
        <v/>
      </c>
      <c r="Q68" s="15" t="n"/>
      <c r="R68" s="15" t="n"/>
      <c r="S68" s="15" t="n"/>
    </row>
    <row r="69">
      <c r="A69" s="9" t="n"/>
      <c r="B69" s="9" t="n"/>
      <c r="C69" s="9" t="n"/>
      <c r="D69" s="9" t="n"/>
      <c r="F69" s="11" t="n"/>
      <c r="G69" s="11" t="n"/>
      <c r="H69" s="11" t="n"/>
      <c r="I69" s="11" t="n"/>
      <c r="K69" s="13" t="n"/>
      <c r="L69" s="13" t="n"/>
      <c r="M69" s="13" t="n"/>
      <c r="N69" s="13" t="n"/>
      <c r="P69" s="15" t="n"/>
      <c r="Q69" s="15" t="n"/>
      <c r="R69" s="15" t="n"/>
      <c r="S69" s="15" t="n"/>
    </row>
    <row r="70">
      <c r="A70" s="9" t="n"/>
      <c r="B70" s="9" t="n"/>
      <c r="C70" s="9" t="n"/>
      <c r="D70" s="9" t="n"/>
      <c r="F70" s="11" t="n"/>
      <c r="G70" s="11" t="n"/>
      <c r="H70" s="11" t="n"/>
      <c r="I70" s="11" t="n"/>
      <c r="K70" s="13" t="n"/>
      <c r="L70" s="13" t="n"/>
      <c r="M70" s="13" t="n"/>
      <c r="N70" s="13" t="n"/>
      <c r="P70" s="15" t="n"/>
      <c r="Q70" s="15" t="n"/>
      <c r="R70" s="15" t="n"/>
      <c r="S70" s="15" t="n"/>
    </row>
    <row r="71">
      <c r="A71" s="153" t="inlineStr">
        <is>
          <t>Target Completion</t>
        </is>
      </c>
      <c r="B71" s="9" t="n"/>
      <c r="C71" s="9" t="n"/>
      <c r="D71" s="9" t="n"/>
      <c r="F71" s="154" t="inlineStr">
        <is>
          <t>Habits Tracked</t>
        </is>
      </c>
      <c r="G71" s="11" t="n"/>
      <c r="H71" s="11" t="n"/>
      <c r="I71" s="11" t="n"/>
      <c r="K71" s="155" t="inlineStr">
        <is>
          <t>All Marked Habits Completed</t>
        </is>
      </c>
      <c r="L71" s="13" t="n"/>
      <c r="M71" s="13" t="n"/>
      <c r="N71" s="13" t="n"/>
      <c r="P71" s="156" t="inlineStr">
        <is>
          <t>Nightly Rest Average</t>
        </is>
      </c>
      <c r="Q71" s="15" t="n"/>
      <c r="R71" s="15" t="n"/>
      <c r="S71" s="15" t="n"/>
    </row>
    <row r="72" ht="8" customHeight="1"/>
    <row r="73" ht="6" customHeight="1"/>
    <row r="74">
      <c r="A74" s="67" t="inlineStr">
        <is>
          <t>WEEKLY PERFORMANCE (SLUMP DETECTOR)</t>
        </is>
      </c>
      <c r="B74" s="29" t="n"/>
      <c r="C74" s="29" t="n"/>
      <c r="D74" s="29" t="n"/>
      <c r="E74" s="29" t="n"/>
      <c r="N74" s="157" t="inlineStr">
        <is>
          <t>LIFE DOMAIN / CATEGORY BREAKDOWN</t>
        </is>
      </c>
      <c r="O74" s="158" t="n"/>
      <c r="P74" s="158" t="n"/>
      <c r="Q74" s="158" t="n"/>
      <c r="R74" s="158" t="n"/>
      <c r="S74" s="158" t="n"/>
    </row>
    <row r="75" ht="15" customHeight="1">
      <c r="A75" s="53" t="inlineStr">
        <is>
          <t>Week</t>
        </is>
      </c>
      <c r="B75" s="53" t="inlineStr">
        <is>
          <t>Days Range</t>
        </is>
      </c>
      <c r="C75" s="53" t="inlineStr">
        <is>
          <t>Checks Done</t>
        </is>
      </c>
      <c r="D75" s="53" t="inlineStr">
        <is>
          <t>Evaluated</t>
        </is>
      </c>
      <c r="E75" s="53" t="inlineStr">
        <is>
          <t>Success %</t>
        </is>
      </c>
      <c r="N75" s="53" t="inlineStr">
        <is>
          <t>Domain / Category</t>
        </is>
      </c>
      <c r="O75" s="54" t="n"/>
      <c r="P75" s="53" t="inlineStr">
        <is>
          <t>Active Habits</t>
        </is>
      </c>
      <c r="Q75" s="53" t="inlineStr">
        <is>
          <t>Target Days</t>
        </is>
      </c>
      <c r="R75" s="53" t="inlineStr">
        <is>
          <t>Done Checks</t>
        </is>
      </c>
      <c r="S75" s="53" t="inlineStr">
        <is>
          <t>Success %</t>
        </is>
      </c>
    </row>
    <row r="76" ht="14" customHeight="1">
      <c r="A76" s="33" t="inlineStr">
        <is>
          <t>Week 1</t>
        </is>
      </c>
      <c r="B76" s="34" t="inlineStr">
        <is>
          <t>Days 1 - 7</t>
        </is>
      </c>
      <c r="C76" s="34">
        <f>COUNTIF(E18:K37, "✓")</f>
        <v/>
      </c>
      <c r="D76" s="34">
        <f>COUNTIF(E18:K37, "✓") + COUNTIF(E18:K37, "✗")</f>
        <v/>
      </c>
      <c r="E76" s="35">
        <f>IFERROR(C76/D76, 0)</f>
        <v/>
      </c>
      <c r="N76" s="60" t="inlineStr">
        <is>
          <t>Health &amp; Fitness</t>
        </is>
      </c>
      <c r="O76" s="54" t="n"/>
      <c r="P76" s="34">
        <f>COUNTIF($C$18:$C$37, "Health &amp; Fitness")</f>
        <v/>
      </c>
      <c r="Q76" s="34">
        <f>SUMIF($C$18:$C$37, "Health &amp; Fitness", $D$18:$D$37)</f>
        <v/>
      </c>
      <c r="R76" s="34">
        <f>SUMIF($C$18:$C$37, "Health &amp; Fitness", $AM$18:$AM$37)</f>
        <v/>
      </c>
      <c r="S76" s="35">
        <f>IFERROR(R76/Q76, 0)</f>
        <v/>
      </c>
    </row>
    <row r="77" ht="14" customHeight="1">
      <c r="A77" s="33" t="inlineStr">
        <is>
          <t>Week 2</t>
        </is>
      </c>
      <c r="B77" s="34" t="inlineStr">
        <is>
          <t>Days 8 - 14</t>
        </is>
      </c>
      <c r="C77" s="34">
        <f>COUNTIF(L18:R37, "✓")</f>
        <v/>
      </c>
      <c r="D77" s="34">
        <f>COUNTIF(L18:R37, "✓") + COUNTIF(L18:R37, "✗")</f>
        <v/>
      </c>
      <c r="E77" s="35">
        <f>IFERROR(C77/D77, 0)</f>
        <v/>
      </c>
      <c r="N77" s="60" t="inlineStr">
        <is>
          <t>Mindset &amp; Learning</t>
        </is>
      </c>
      <c r="O77" s="54" t="n"/>
      <c r="P77" s="34">
        <f>COUNTIF($C$18:$C$37, "Mindset &amp; Learning")</f>
        <v/>
      </c>
      <c r="Q77" s="34">
        <f>SUMIF($C$18:$C$37, "Mindset &amp; Learning", $D$18:$D$37)</f>
        <v/>
      </c>
      <c r="R77" s="34">
        <f>SUMIF($C$18:$C$37, "Mindset &amp; Learning", $AM$18:$AM$37)</f>
        <v/>
      </c>
      <c r="S77" s="35">
        <f>IFERROR(R77/Q77, 0)</f>
        <v/>
      </c>
    </row>
    <row r="78" ht="14" customHeight="1">
      <c r="A78" s="33" t="inlineStr">
        <is>
          <t>Week 3</t>
        </is>
      </c>
      <c r="B78" s="34" t="inlineStr">
        <is>
          <t>Days 15 - 21</t>
        </is>
      </c>
      <c r="C78" s="34">
        <f>COUNTIF(S18:Y37, "✓")</f>
        <v/>
      </c>
      <c r="D78" s="34">
        <f>COUNTIF(S18:Y37, "✓") + COUNTIF(S18:Y37, "✗")</f>
        <v/>
      </c>
      <c r="E78" s="35">
        <f>IFERROR(C78/D78, 0)</f>
        <v/>
      </c>
      <c r="N78" s="60" t="inlineStr">
        <is>
          <t>Career &amp; Focus</t>
        </is>
      </c>
      <c r="O78" s="54" t="n"/>
      <c r="P78" s="34">
        <f>COUNTIF($C$18:$C$37, "Career &amp; Focus")</f>
        <v/>
      </c>
      <c r="Q78" s="34">
        <f>SUMIF($C$18:$C$37, "Career &amp; Focus", $D$18:$D$37)</f>
        <v/>
      </c>
      <c r="R78" s="34">
        <f>SUMIF($C$18:$C$37, "Career &amp; Focus", $AM$18:$AM$37)</f>
        <v/>
      </c>
      <c r="S78" s="35">
        <f>IFERROR(R78/Q78, 0)</f>
        <v/>
      </c>
    </row>
    <row r="79" ht="14" customHeight="1">
      <c r="A79" s="33" t="inlineStr">
        <is>
          <t>Week 4</t>
        </is>
      </c>
      <c r="B79" s="34" t="inlineStr">
        <is>
          <t>Days 22 - 28</t>
        </is>
      </c>
      <c r="C79" s="34">
        <f>COUNTIF(Z18:AF37, "✓")</f>
        <v/>
      </c>
      <c r="D79" s="34">
        <f>COUNTIF(Z18:AF37, "✓") + COUNTIF(Z18:AF37, "✗")</f>
        <v/>
      </c>
      <c r="E79" s="35">
        <f>IFERROR(C79/D79, 0)</f>
        <v/>
      </c>
      <c r="N79" s="60" t="inlineStr">
        <is>
          <t>Personal &amp; Home</t>
        </is>
      </c>
      <c r="O79" s="54" t="n"/>
      <c r="P79" s="34">
        <f>COUNTIF($C$18:$C$37, "Personal &amp; Home")</f>
        <v/>
      </c>
      <c r="Q79" s="34">
        <f>SUMIF($C$18:$C$37, "Personal &amp; Home", $D$18:$D$37)</f>
        <v/>
      </c>
      <c r="R79" s="34">
        <f>SUMIF($C$18:$C$37, "Personal &amp; Home", $AM$18:$AM$37)</f>
        <v/>
      </c>
      <c r="S79" s="35">
        <f>IFERROR(R79/Q79, 0)</f>
        <v/>
      </c>
    </row>
    <row r="80" ht="14" customHeight="1">
      <c r="A80" s="33" t="inlineStr">
        <is>
          <t>Week 5</t>
        </is>
      </c>
      <c r="B80" s="34" t="inlineStr">
        <is>
          <t>Days 29 - 31</t>
        </is>
      </c>
      <c r="C80" s="34">
        <f>COUNTIF(AG18:AI37, "✓")</f>
        <v/>
      </c>
      <c r="D80" s="34">
        <f>COUNTIF(AG18:AI37, "✓") + COUNTIF(AG18:AI37, "✗")</f>
        <v/>
      </c>
      <c r="E80" s="35">
        <f>IFERROR(C80/D80, 0)</f>
        <v/>
      </c>
      <c r="N80" s="60" t="inlineStr">
        <is>
          <t>Finance &amp; Wealth</t>
        </is>
      </c>
      <c r="O80" s="54" t="n"/>
      <c r="P80" s="34">
        <f>COUNTIF($C$18:$C$37, "Finance &amp; Wealth")</f>
        <v/>
      </c>
      <c r="Q80" s="34">
        <f>SUMIF($C$18:$C$37, "Finance &amp; Wealth", $D$18:$D$37)</f>
        <v/>
      </c>
      <c r="R80" s="34">
        <f>SUMIF($C$18:$C$37, "Finance &amp; Wealth", $AM$18:$AM$37)</f>
        <v/>
      </c>
      <c r="S80" s="35">
        <f>IFERROR(R80/Q80, 0)</f>
        <v/>
      </c>
    </row>
    <row r="81" ht="14" customHeight="1">
      <c r="A81" s="33" t="inlineStr">
        <is>
          <t>Total / Avg</t>
        </is>
      </c>
      <c r="B81" s="159" t="inlineStr">
        <is>
          <t>Month Total</t>
        </is>
      </c>
      <c r="C81" s="33">
        <f>SUM(C76:C80)</f>
        <v/>
      </c>
      <c r="D81" s="33">
        <f>SUM(D76:D80)</f>
        <v/>
      </c>
      <c r="E81" s="133">
        <f>IFERROR(C81/D81, 0)</f>
        <v/>
      </c>
    </row>
    <row r="82" ht="10" customHeight="1"/>
    <row r="83" ht="10" customHeight="1"/>
    <row r="84">
      <c r="A84" s="51" t="inlineStr">
        <is>
          <t>SLEEP &amp; PRODUCTIVITY CORRELATION ANALYSIS</t>
        </is>
      </c>
      <c r="B84" s="52" t="n"/>
      <c r="C84" s="52" t="n"/>
      <c r="D84" s="52" t="n"/>
      <c r="E84" s="52" t="n"/>
      <c r="F84" s="52" t="n"/>
      <c r="G84" s="52" t="n"/>
      <c r="H84" s="52" t="n"/>
      <c r="I84" s="52" t="n"/>
      <c r="J84" s="52" t="n"/>
      <c r="K84" s="52" t="n"/>
      <c r="L84" s="52" t="n"/>
      <c r="M84" s="52" t="n"/>
      <c r="N84" s="52" t="n"/>
      <c r="O84" s="52" t="n"/>
      <c r="P84" s="52" t="n"/>
      <c r="Q84" s="52" t="n"/>
      <c r="R84" s="52" t="n"/>
      <c r="S84" s="52" t="n"/>
      <c r="T84" s="52" t="n"/>
      <c r="U84" s="52" t="n"/>
      <c r="V84" s="52" t="n"/>
      <c r="W84" s="52" t="n"/>
      <c r="X84" s="52" t="n"/>
      <c r="Y84" s="52" t="n"/>
      <c r="Z84" s="52" t="n"/>
      <c r="AA84" s="52" t="n"/>
      <c r="AB84" s="52" t="n"/>
      <c r="AC84" s="52" t="n"/>
      <c r="AD84" s="52" t="n"/>
      <c r="AE84" s="52" t="n"/>
      <c r="AF84" s="52" t="n"/>
      <c r="AG84" s="52" t="n"/>
      <c r="AH84" s="52" t="n"/>
      <c r="AI84" s="52" t="n"/>
      <c r="AJ84" s="52" t="n"/>
      <c r="AK84" s="52" t="n"/>
      <c r="AL84" s="52" t="n"/>
    </row>
    <row r="85" ht="15" customHeight="1">
      <c r="A85" s="53" t="inlineStr">
        <is>
          <t>Rest Category</t>
        </is>
      </c>
      <c r="B85" s="54" t="n"/>
      <c r="C85" s="54" t="n"/>
      <c r="D85" s="53" t="inlineStr">
        <is>
          <t>Day Criteria</t>
        </is>
      </c>
      <c r="E85" s="54" t="n"/>
      <c r="F85" s="54" t="n"/>
      <c r="G85" s="53" t="inlineStr">
        <is>
          <t>Days Logged</t>
        </is>
      </c>
      <c r="H85" s="54" t="n"/>
      <c r="I85" s="54" t="n"/>
      <c r="J85" s="53" t="inlineStr">
        <is>
          <t>Avg Sleep Duration</t>
        </is>
      </c>
      <c r="K85" s="54" t="n"/>
      <c r="L85" s="54" t="n"/>
      <c r="M85" s="54" t="n"/>
      <c r="N85" s="53" t="inlineStr">
        <is>
          <t>Avg Habit Success %</t>
        </is>
      </c>
      <c r="O85" s="54" t="n"/>
      <c r="P85" s="54" t="n"/>
      <c r="Q85" s="54" t="n"/>
      <c r="R85" s="53" t="inlineStr">
        <is>
          <t>Productivity Delta</t>
        </is>
      </c>
      <c r="S85" s="54" t="n"/>
      <c r="T85" s="54" t="n"/>
      <c r="U85" s="54" t="n"/>
    </row>
    <row r="86" ht="15" customHeight="1">
      <c r="A86" s="160" t="inlineStr">
        <is>
          <t>Optimal Rest</t>
        </is>
      </c>
      <c r="B86" s="161" t="n"/>
      <c r="C86" s="56" t="n"/>
      <c r="D86" s="34" t="inlineStr">
        <is>
          <t>&gt;= 7 Hours / Night</t>
        </is>
      </c>
      <c r="E86" s="161" t="n"/>
      <c r="F86" s="56" t="n"/>
      <c r="G86" s="33">
        <f>COUNTIF(E47:AI47, "&gt;=7")</f>
        <v/>
      </c>
      <c r="H86" s="161" t="n"/>
      <c r="I86" s="56" t="n"/>
      <c r="J86" s="34">
        <f>IFERROR(TEXT(AVERAGEIF(E47:AI47, "&gt;=7"), "0.0") &amp; " hrs", "-")</f>
        <v/>
      </c>
      <c r="K86" s="161" t="n"/>
      <c r="L86" s="161" t="n"/>
      <c r="M86" s="56" t="n"/>
      <c r="N86" s="42">
        <f>IFERROR(AVERAGEIFS(E39:AI39, E47:AI47, "&gt;=7", E39:AI39, "&gt;0"), 0)</f>
        <v/>
      </c>
      <c r="O86" s="161" t="n"/>
      <c r="P86" s="161" t="n"/>
      <c r="Q86" s="56" t="n"/>
      <c r="R86" s="159" t="inlineStr">
        <is>
          <t>Baseline (Target)</t>
        </is>
      </c>
      <c r="S86" s="161" t="n"/>
      <c r="T86" s="161" t="n"/>
      <c r="U86" s="56" t="n"/>
    </row>
    <row r="87" ht="15" customHeight="1">
      <c r="A87" s="162" t="inlineStr">
        <is>
          <t>Sleep Deficit</t>
        </is>
      </c>
      <c r="B87" s="161" t="n"/>
      <c r="C87" s="56" t="n"/>
      <c r="D87" s="34" t="inlineStr">
        <is>
          <t>&lt; 7 Hours / Night</t>
        </is>
      </c>
      <c r="E87" s="161" t="n"/>
      <c r="F87" s="56" t="n"/>
      <c r="G87" s="33">
        <f>COUNTIF(E47:AI47, "&lt;7") - COUNTIF(E47:AI47, "")</f>
        <v/>
      </c>
      <c r="H87" s="161" t="n"/>
      <c r="I87" s="56" t="n"/>
      <c r="J87" s="34">
        <f>IFERROR(TEXT(AVERAGEIFS(E47:AI47, E47:AI47, "&lt;7", E47:AI47, "&gt;0"), "0.0") &amp; " hrs", "-")</f>
        <v/>
      </c>
      <c r="K87" s="161" t="n"/>
      <c r="L87" s="161" t="n"/>
      <c r="M87" s="56" t="n"/>
      <c r="N87" s="163">
        <f>IFERROR(AVERAGEIFS(E39:AI39, E47:AI47, "&lt;7", E39:AI39, "&gt;0"), 0)</f>
        <v/>
      </c>
      <c r="O87" s="161" t="n"/>
      <c r="P87" s="161" t="n"/>
      <c r="Q87" s="56" t="n"/>
      <c r="R87" s="160">
        <f>IFERROR(TEXT(N86 - N87, "+0.0%;-0.0%;0.0%") &amp; " Rest Advantage", "-")</f>
        <v/>
      </c>
      <c r="S87" s="161" t="n"/>
      <c r="T87" s="161" t="n"/>
      <c r="U87" s="56" t="n"/>
    </row>
    <row r="88" ht="18" customHeight="1">
      <c r="A88" s="164">
        <f>IF(AND(ISNUMBER(N86), ISNUMBER(N87), N86&gt;0, N87&gt;0), "💡 Sleep Correlation Insight: You complete " &amp; TEXT(ABS(N86-N87), "0.0%") &amp; IF(N86&gt;=N87, " MORE habits on days with 7+ hours of sleep!", " fewer habits on days with 7+ hours of sleep."), "💡 Log both habits and sleep hours daily to unlock automatic AI correlation insights!")</f>
        <v/>
      </c>
      <c r="B88" s="161" t="n"/>
      <c r="C88" s="161" t="n"/>
      <c r="D88" s="161" t="n"/>
      <c r="E88" s="161" t="n"/>
      <c r="F88" s="161" t="n"/>
      <c r="G88" s="161" t="n"/>
      <c r="H88" s="161" t="n"/>
      <c r="I88" s="161" t="n"/>
      <c r="J88" s="161" t="n"/>
      <c r="K88" s="161" t="n"/>
      <c r="L88" s="161" t="n"/>
      <c r="M88" s="161" t="n"/>
      <c r="N88" s="161" t="n"/>
      <c r="O88" s="161" t="n"/>
      <c r="P88" s="161" t="n"/>
      <c r="Q88" s="161" t="n"/>
      <c r="R88" s="161" t="n"/>
      <c r="S88" s="161" t="n"/>
      <c r="T88" s="161" t="n"/>
      <c r="U88" s="161" t="n"/>
      <c r="V88" s="161" t="n"/>
      <c r="W88" s="161" t="n"/>
      <c r="X88" s="161" t="n"/>
      <c r="Y88" s="161" t="n"/>
      <c r="Z88" s="161" t="n"/>
      <c r="AA88" s="161" t="n"/>
      <c r="AB88" s="161" t="n"/>
      <c r="AC88" s="161" t="n"/>
      <c r="AD88" s="161" t="n"/>
      <c r="AE88" s="161" t="n"/>
      <c r="AF88" s="161" t="n"/>
      <c r="AG88" s="161" t="n"/>
      <c r="AH88" s="161" t="n"/>
      <c r="AI88" s="161" t="n"/>
      <c r="AJ88" s="161" t="n"/>
      <c r="AK88" s="161" t="n"/>
      <c r="AL88" s="56" t="n"/>
    </row>
    <row r="89" ht="10" customHeight="1"/>
    <row r="90">
      <c r="A90" s="43" t="inlineStr">
        <is>
          <t>STANDARDIZED DATA BRIDGE (FOR ANNUAL &amp; QUARTERLY REVIEW SHEETS)</t>
        </is>
      </c>
      <c r="B90" s="44" t="n"/>
      <c r="C90" s="44" t="n"/>
      <c r="D90" s="44" t="n"/>
      <c r="E90" s="44" t="n"/>
      <c r="F90" s="44" t="n"/>
      <c r="G90" s="44" t="n"/>
      <c r="H90" s="44" t="n"/>
      <c r="I90" s="44" t="n"/>
      <c r="J90" s="44" t="n"/>
      <c r="K90" s="44" t="n"/>
      <c r="L90" s="44" t="n"/>
      <c r="M90" s="44" t="n"/>
      <c r="N90" s="44" t="n"/>
      <c r="O90" s="44" t="n"/>
      <c r="P90" s="44" t="n"/>
      <c r="Q90" s="44" t="n"/>
      <c r="R90" s="44" t="n"/>
      <c r="S90" s="44" t="n"/>
      <c r="T90" s="44" t="n"/>
      <c r="U90" s="44" t="n"/>
      <c r="V90" s="44" t="n"/>
      <c r="W90" s="44" t="n"/>
      <c r="X90" s="44" t="n"/>
      <c r="Y90" s="44" t="n"/>
      <c r="Z90" s="44" t="n"/>
      <c r="AA90" s="44" t="n"/>
      <c r="AB90" s="44" t="n"/>
      <c r="AC90" s="44" t="n"/>
      <c r="AD90" s="44" t="n"/>
      <c r="AE90" s="44" t="n"/>
      <c r="AF90" s="44" t="n"/>
      <c r="AG90" s="44" t="n"/>
      <c r="AH90" s="44" t="n"/>
      <c r="AI90" s="44" t="n"/>
      <c r="AJ90" s="44" t="n"/>
      <c r="AK90" s="44" t="n"/>
      <c r="AL90" s="44" t="n"/>
    </row>
    <row r="91" ht="15" customHeight="1">
      <c r="A91" s="53" t="inlineStr">
        <is>
          <t>Month</t>
        </is>
      </c>
      <c r="B91" s="54" t="n"/>
      <c r="C91" s="53" t="inlineStr">
        <is>
          <t>Year</t>
        </is>
      </c>
      <c r="D91" s="54" t="n"/>
      <c r="E91" s="53" t="inlineStr">
        <is>
          <t>Active Habits</t>
        </is>
      </c>
      <c r="F91" s="54" t="n"/>
      <c r="G91" s="53" t="inlineStr">
        <is>
          <t>Target Days</t>
        </is>
      </c>
      <c r="H91" s="54" t="n"/>
      <c r="I91" s="53" t="inlineStr">
        <is>
          <t>Done Checks</t>
        </is>
      </c>
      <c r="J91" s="54" t="n"/>
      <c r="K91" s="53" t="inlineStr">
        <is>
          <t>Success %</t>
        </is>
      </c>
      <c r="L91" s="54" t="n"/>
      <c r="M91" s="53" t="inlineStr">
        <is>
          <t>Perfect Days</t>
        </is>
      </c>
      <c r="N91" s="54" t="n"/>
      <c r="O91" s="53" t="inlineStr">
        <is>
          <t>Avg Sleep</t>
        </is>
      </c>
      <c r="P91" s="54" t="n"/>
      <c r="Q91" s="53" t="inlineStr">
        <is>
          <t>Best Week</t>
        </is>
      </c>
      <c r="R91" s="54" t="n"/>
      <c r="S91" s="54" t="n"/>
      <c r="T91" s="53" t="inlineStr">
        <is>
          <t>Top Life Domain</t>
        </is>
      </c>
      <c r="U91" s="54" t="n"/>
      <c r="V91" s="54" t="n"/>
      <c r="W91" s="54" t="n"/>
    </row>
    <row r="92" ht="16" customHeight="1">
      <c r="A92" s="165" t="inlineStr">
        <is>
          <t>Jan</t>
        </is>
      </c>
      <c r="B92" s="56" t="n"/>
      <c r="C92" s="165" t="n">
        <v>2028</v>
      </c>
      <c r="D92" s="56" t="n"/>
      <c r="E92" s="166">
        <f>COUNTA(B18:B37)</f>
        <v/>
      </c>
      <c r="F92" s="56" t="n"/>
      <c r="G92" s="166">
        <f>SUM(D18:D37)</f>
        <v/>
      </c>
      <c r="H92" s="56" t="n"/>
      <c r="I92" s="166">
        <f>SUM(AM18:AM37)</f>
        <v/>
      </c>
      <c r="J92" s="56" t="n"/>
      <c r="K92" s="167">
        <f>IF(G92&gt;0, I92/G92, 0)</f>
        <v/>
      </c>
      <c r="L92" s="56" t="n"/>
      <c r="M92" s="166">
        <f>COUNTIF(E39:AI39, 1)</f>
        <v/>
      </c>
      <c r="N92" s="56" t="n"/>
      <c r="O92" s="168">
        <f>IFERROR(AVERAGE(E47:AI47), 0)</f>
        <v/>
      </c>
      <c r="P92" s="56" t="n"/>
      <c r="Q92" s="166">
        <f>INDEX(A76:A80, MATCH(MAX(E76:E80), E76:E80, 0))</f>
        <v/>
      </c>
      <c r="R92" s="161" t="n"/>
      <c r="S92" s="56" t="n"/>
      <c r="T92" s="166">
        <f>INDEX(N76:N80, MATCH(MAX(S76:S80), S76:S80, 0))</f>
        <v/>
      </c>
      <c r="U92" s="161" t="n"/>
      <c r="V92" s="161" t="n"/>
      <c r="W92" s="56" t="n"/>
    </row>
    <row r="93" ht="14" customHeight="1">
      <c r="A93" s="169" t="inlineStr">
        <is>
          <t>📋 Note: Reference or copy Row 92 directly into an Annual / Quarterly review dashboard to track yearly habit trends.</t>
        </is>
      </c>
    </row>
    <row r="94" ht="8" customHeight="1"/>
    <row r="95">
      <c r="A95" s="170" t="inlineStr">
        <is>
          <t>🏆 MONTHLY WINS &amp; HIGHLIGHTS</t>
        </is>
      </c>
      <c r="J95" s="171" t="inlineStr">
        <is>
          <t>⚠️ FRICTION POINTS &amp; ROOT CAUSES</t>
        </is>
      </c>
      <c r="S95" s="172" t="inlineStr">
        <is>
          <t>🎯 3 KEY ADJUSTMENTS FOR NEXT MONTH</t>
        </is>
      </c>
    </row>
    <row r="96">
      <c r="A96" s="173" t="inlineStr">
        <is>
          <t>1. What went exceptionally well this month?
2. Which habit felt effortless and consistent?
3. Major milestone achieved:</t>
        </is>
      </c>
      <c r="B96" s="174" t="n"/>
      <c r="C96" s="174" t="n"/>
      <c r="D96" s="174" t="n"/>
      <c r="E96" s="174" t="n"/>
      <c r="F96" s="174" t="n"/>
      <c r="G96" s="174" t="n"/>
      <c r="H96" s="174" t="n"/>
      <c r="J96" s="175" t="inlineStr">
        <is>
          <t>1. What caused missed or skipped days?
2. Main triggers / energy drains encountered:
3. Which habit had the lowest consistency and why?</t>
        </is>
      </c>
      <c r="K96" s="176" t="n"/>
      <c r="L96" s="176" t="n"/>
      <c r="M96" s="176" t="n"/>
      <c r="N96" s="176" t="n"/>
      <c r="O96" s="176" t="n"/>
      <c r="P96" s="176" t="n"/>
      <c r="Q96" s="176" t="n"/>
      <c r="S96" s="177" t="inlineStr">
        <is>
          <t>1. Habit Stacking or time adjustment for next month:
2. Environment design change to eliminate friction:
3. One non-negotiable priority protocol:</t>
        </is>
      </c>
      <c r="T96" s="178" t="n"/>
      <c r="U96" s="178" t="n"/>
      <c r="V96" s="178" t="n"/>
      <c r="W96" s="178" t="n"/>
      <c r="X96" s="178" t="n"/>
      <c r="Y96" s="178" t="n"/>
      <c r="Z96" s="178" t="n"/>
    </row>
    <row r="97">
      <c r="A97" s="174" t="n"/>
      <c r="B97" s="174" t="n"/>
      <c r="C97" s="174" t="n"/>
      <c r="D97" s="174" t="n"/>
      <c r="E97" s="174" t="n"/>
      <c r="F97" s="174" t="n"/>
      <c r="G97" s="174" t="n"/>
      <c r="H97" s="174" t="n"/>
      <c r="J97" s="176" t="n"/>
      <c r="K97" s="176" t="n"/>
      <c r="L97" s="176" t="n"/>
      <c r="M97" s="176" t="n"/>
      <c r="N97" s="176" t="n"/>
      <c r="O97" s="176" t="n"/>
      <c r="P97" s="176" t="n"/>
      <c r="Q97" s="176" t="n"/>
      <c r="S97" s="178" t="n"/>
      <c r="T97" s="178" t="n"/>
      <c r="U97" s="178" t="n"/>
      <c r="V97" s="178" t="n"/>
      <c r="W97" s="178" t="n"/>
      <c r="X97" s="178" t="n"/>
      <c r="Y97" s="178" t="n"/>
      <c r="Z97" s="178" t="n"/>
    </row>
    <row r="98">
      <c r="A98" s="174" t="n"/>
      <c r="B98" s="174" t="n"/>
      <c r="C98" s="174" t="n"/>
      <c r="D98" s="174" t="n"/>
      <c r="E98" s="174" t="n"/>
      <c r="F98" s="174" t="n"/>
      <c r="G98" s="174" t="n"/>
      <c r="H98" s="174" t="n"/>
      <c r="J98" s="176" t="n"/>
      <c r="K98" s="176" t="n"/>
      <c r="L98" s="176" t="n"/>
      <c r="M98" s="176" t="n"/>
      <c r="N98" s="176" t="n"/>
      <c r="O98" s="176" t="n"/>
      <c r="P98" s="176" t="n"/>
      <c r="Q98" s="176" t="n"/>
      <c r="S98" s="178" t="n"/>
      <c r="T98" s="178" t="n"/>
      <c r="U98" s="178" t="n"/>
      <c r="V98" s="178" t="n"/>
      <c r="W98" s="178" t="n"/>
      <c r="X98" s="178" t="n"/>
      <c r="Y98" s="178" t="n"/>
      <c r="Z98" s="178" t="n"/>
    </row>
    <row r="99">
      <c r="A99" s="174" t="n"/>
      <c r="B99" s="174" t="n"/>
      <c r="C99" s="174" t="n"/>
      <c r="D99" s="174" t="n"/>
      <c r="E99" s="174" t="n"/>
      <c r="F99" s="174" t="n"/>
      <c r="G99" s="174" t="n"/>
      <c r="H99" s="174" t="n"/>
      <c r="J99" s="176" t="n"/>
      <c r="K99" s="176" t="n"/>
      <c r="L99" s="176" t="n"/>
      <c r="M99" s="176" t="n"/>
      <c r="N99" s="176" t="n"/>
      <c r="O99" s="176" t="n"/>
      <c r="P99" s="176" t="n"/>
      <c r="Q99" s="176" t="n"/>
      <c r="S99" s="178" t="n"/>
      <c r="T99" s="178" t="n"/>
      <c r="U99" s="178" t="n"/>
      <c r="V99" s="178" t="n"/>
      <c r="W99" s="178" t="n"/>
      <c r="X99" s="178" t="n"/>
      <c r="Y99" s="178" t="n"/>
      <c r="Z99" s="178" t="n"/>
    </row>
    <row r="100">
      <c r="A100" s="174" t="n"/>
      <c r="B100" s="174" t="n"/>
      <c r="C100" s="174" t="n"/>
      <c r="D100" s="174" t="n"/>
      <c r="E100" s="174" t="n"/>
      <c r="F100" s="174" t="n"/>
      <c r="G100" s="174" t="n"/>
      <c r="H100" s="174" t="n"/>
      <c r="J100" s="176" t="n"/>
      <c r="K100" s="176" t="n"/>
      <c r="L100" s="176" t="n"/>
      <c r="M100" s="176" t="n"/>
      <c r="N100" s="176" t="n"/>
      <c r="O100" s="176" t="n"/>
      <c r="P100" s="176" t="n"/>
      <c r="Q100" s="176" t="n"/>
      <c r="S100" s="178" t="n"/>
      <c r="T100" s="178" t="n"/>
      <c r="U100" s="178" t="n"/>
      <c r="V100" s="178" t="n"/>
      <c r="W100" s="178" t="n"/>
      <c r="X100" s="178" t="n"/>
      <c r="Y100" s="178" t="n"/>
      <c r="Z100" s="178" t="n"/>
    </row>
    <row r="101">
      <c r="A101" s="174" t="n"/>
      <c r="B101" s="174" t="n"/>
      <c r="C101" s="174" t="n"/>
      <c r="D101" s="174" t="n"/>
      <c r="E101" s="174" t="n"/>
      <c r="F101" s="174" t="n"/>
      <c r="G101" s="174" t="n"/>
      <c r="H101" s="174" t="n"/>
      <c r="J101" s="176" t="n"/>
      <c r="K101" s="176" t="n"/>
      <c r="L101" s="176" t="n"/>
      <c r="M101" s="176" t="n"/>
      <c r="N101" s="176" t="n"/>
      <c r="O101" s="176" t="n"/>
      <c r="P101" s="176" t="n"/>
      <c r="Q101" s="176" t="n"/>
      <c r="S101" s="178" t="n"/>
      <c r="T101" s="178" t="n"/>
      <c r="U101" s="178" t="n"/>
      <c r="V101" s="178" t="n"/>
      <c r="W101" s="178" t="n"/>
      <c r="X101" s="178" t="n"/>
      <c r="Y101" s="178" t="n"/>
      <c r="Z101" s="178" t="n"/>
    </row>
    <row r="102">
      <c r="A102" s="174" t="n"/>
      <c r="B102" s="174" t="n"/>
      <c r="C102" s="174" t="n"/>
      <c r="D102" s="174" t="n"/>
      <c r="E102" s="174" t="n"/>
      <c r="F102" s="174" t="n"/>
      <c r="G102" s="174" t="n"/>
      <c r="H102" s="174" t="n"/>
      <c r="J102" s="176" t="n"/>
      <c r="K102" s="176" t="n"/>
      <c r="L102" s="176" t="n"/>
      <c r="M102" s="176" t="n"/>
      <c r="N102" s="176" t="n"/>
      <c r="O102" s="176" t="n"/>
      <c r="P102" s="176" t="n"/>
      <c r="Q102" s="176" t="n"/>
      <c r="S102" s="178" t="n"/>
      <c r="T102" s="178" t="n"/>
      <c r="U102" s="178" t="n"/>
      <c r="V102" s="178" t="n"/>
      <c r="W102" s="178" t="n"/>
      <c r="X102" s="178" t="n"/>
      <c r="Y102" s="178" t="n"/>
      <c r="Z102" s="178" t="n"/>
    </row>
    <row r="103">
      <c r="A103" s="174" t="n"/>
      <c r="B103" s="174" t="n"/>
      <c r="C103" s="174" t="n"/>
      <c r="D103" s="174" t="n"/>
      <c r="E103" s="174" t="n"/>
      <c r="F103" s="174" t="n"/>
      <c r="G103" s="174" t="n"/>
      <c r="H103" s="174" t="n"/>
      <c r="J103" s="176" t="n"/>
      <c r="K103" s="176" t="n"/>
      <c r="L103" s="176" t="n"/>
      <c r="M103" s="176" t="n"/>
      <c r="N103" s="176" t="n"/>
      <c r="O103" s="176" t="n"/>
      <c r="P103" s="176" t="n"/>
      <c r="Q103" s="176" t="n"/>
      <c r="S103" s="178" t="n"/>
      <c r="T103" s="178" t="n"/>
      <c r="U103" s="178" t="n"/>
      <c r="V103" s="178" t="n"/>
      <c r="W103" s="178" t="n"/>
      <c r="X103" s="178" t="n"/>
      <c r="Y103" s="178" t="n"/>
      <c r="Z103" s="178" t="n"/>
    </row>
  </sheetData>
  <sheetProtection selectLockedCells="1" selectUnlockedCells="1" sheet="1" objects="0" insertRows="1" insertHyperlinks="1" autoFilter="1" scenarios="0" formatColumns="1" deleteColumns="1" insertColumns="1" pivotTables="1" deleteRows="1" formatCells="1" formatRows="1" sort="1"/>
  <mergeCells count="94">
    <mergeCell ref="A9:N9"/>
    <mergeCell ref="N76:O76"/>
    <mergeCell ref="F67:I67"/>
    <mergeCell ref="G87:I87"/>
    <mergeCell ref="A16:A17"/>
    <mergeCell ref="A45:D46"/>
    <mergeCell ref="C16:C17"/>
    <mergeCell ref="N75:O75"/>
    <mergeCell ref="N77:O77"/>
    <mergeCell ref="AE2:AL2"/>
    <mergeCell ref="P9:AL9"/>
    <mergeCell ref="P68:S70"/>
    <mergeCell ref="D16:D17"/>
    <mergeCell ref="N85:Q85"/>
    <mergeCell ref="A95:H95"/>
    <mergeCell ref="A84:AL84"/>
    <mergeCell ref="Q91:S91"/>
    <mergeCell ref="E91:F91"/>
    <mergeCell ref="A8:N8"/>
    <mergeCell ref="A42:AL42"/>
    <mergeCell ref="G91:H91"/>
    <mergeCell ref="J86:M86"/>
    <mergeCell ref="H3:AD3"/>
    <mergeCell ref="K67:N67"/>
    <mergeCell ref="S95:Z95"/>
    <mergeCell ref="N79:O79"/>
    <mergeCell ref="K92:L92"/>
    <mergeCell ref="C92:D92"/>
    <mergeCell ref="M92:N92"/>
    <mergeCell ref="F71:I71"/>
    <mergeCell ref="A88:AL88"/>
    <mergeCell ref="K68:N70"/>
    <mergeCell ref="T91:W91"/>
    <mergeCell ref="A41:AL41"/>
    <mergeCell ref="A90:AL90"/>
    <mergeCell ref="J95:Q95"/>
    <mergeCell ref="D85:F85"/>
    <mergeCell ref="N74:S74"/>
    <mergeCell ref="H2:AD2"/>
    <mergeCell ref="F68:I70"/>
    <mergeCell ref="A91:B91"/>
    <mergeCell ref="N78:O78"/>
    <mergeCell ref="C91:D91"/>
    <mergeCell ref="M91:N91"/>
    <mergeCell ref="O91:P91"/>
    <mergeCell ref="R86:U86"/>
    <mergeCell ref="N80:O80"/>
    <mergeCell ref="B16:B17"/>
    <mergeCell ref="A71:D71"/>
    <mergeCell ref="J85:M85"/>
    <mergeCell ref="D86:F86"/>
    <mergeCell ref="A92:B92"/>
    <mergeCell ref="N87:Q87"/>
    <mergeCell ref="A1:B1"/>
    <mergeCell ref="E92:F92"/>
    <mergeCell ref="AL16:AL17"/>
    <mergeCell ref="A68:D70"/>
    <mergeCell ref="P71:S71"/>
    <mergeCell ref="A86:C86"/>
    <mergeCell ref="D87:F87"/>
    <mergeCell ref="O92:P92"/>
    <mergeCell ref="A6:N6"/>
    <mergeCell ref="A39:D39"/>
    <mergeCell ref="P8:AL8"/>
    <mergeCell ref="P7:AL7"/>
    <mergeCell ref="G86:I86"/>
    <mergeCell ref="A96:H103"/>
    <mergeCell ref="P67:S67"/>
    <mergeCell ref="T92:W92"/>
    <mergeCell ref="R85:U85"/>
    <mergeCell ref="K71:N71"/>
    <mergeCell ref="S96:Z103"/>
    <mergeCell ref="A93:AL93"/>
    <mergeCell ref="A38:D38"/>
    <mergeCell ref="A67:D67"/>
    <mergeCell ref="I91:J91"/>
    <mergeCell ref="A85:C85"/>
    <mergeCell ref="K91:L91"/>
    <mergeCell ref="N86:Q86"/>
    <mergeCell ref="A7:N7"/>
    <mergeCell ref="P6:AL6"/>
    <mergeCell ref="A74:E74"/>
    <mergeCell ref="G85:I85"/>
    <mergeCell ref="G92:H92"/>
    <mergeCell ref="I92:J92"/>
    <mergeCell ref="R87:U87"/>
    <mergeCell ref="AK16:AK17"/>
    <mergeCell ref="J87:M87"/>
    <mergeCell ref="AJ16:AJ17"/>
    <mergeCell ref="J96:Q103"/>
    <mergeCell ref="A12:AL14"/>
    <mergeCell ref="Q92:S92"/>
    <mergeCell ref="A87:C87"/>
    <mergeCell ref="A47:D47"/>
  </mergeCells>
  <conditionalFormatting sqref="AJ18:AJ37">
    <cfRule type="dataBar" priority="1">
      <dataBar>
        <cfvo type="num" val="0"/>
        <cfvo type="num" val="1"/>
        <color rgb="0010B981"/>
      </dataBar>
    </cfRule>
  </conditionalFormatting>
  <conditionalFormatting sqref="E18:AI37">
    <cfRule type="cellIs" priority="2" operator="equal" dxfId="0">
      <formula>"✓"</formula>
    </cfRule>
    <cfRule type="cellIs" priority="3" operator="equal" dxfId="0">
      <formula>"✔"</formula>
    </cfRule>
    <cfRule type="cellIs" priority="4" operator="equal" dxfId="1">
      <formula>"✗"</formula>
    </cfRule>
    <cfRule type="cellIs" priority="5" operator="equal" dxfId="1">
      <formula>"x"</formula>
    </cfRule>
    <cfRule type="cellIs" priority="6" operator="equal" dxfId="1">
      <formula>"X"</formula>
    </cfRule>
  </conditionalFormatting>
  <conditionalFormatting sqref="E16:E17">
    <cfRule type="expression" priority="7" dxfId="2">
      <formula>AND(DAY(TODAY())=1, MONTH(TODAY())=1, YEAR(TODAY())=2028)</formula>
    </cfRule>
  </conditionalFormatting>
  <conditionalFormatting sqref="F16:F17">
    <cfRule type="expression" priority="8" dxfId="2">
      <formula>AND(DAY(TODAY())=2, MONTH(TODAY())=1, YEAR(TODAY())=2028)</formula>
    </cfRule>
  </conditionalFormatting>
  <conditionalFormatting sqref="G16:G17">
    <cfRule type="expression" priority="9" dxfId="2">
      <formula>AND(DAY(TODAY())=3, MONTH(TODAY())=1, YEAR(TODAY())=2028)</formula>
    </cfRule>
  </conditionalFormatting>
  <conditionalFormatting sqref="H16:H17">
    <cfRule type="expression" priority="10" dxfId="2">
      <formula>AND(DAY(TODAY())=4, MONTH(TODAY())=1, YEAR(TODAY())=2028)</formula>
    </cfRule>
  </conditionalFormatting>
  <conditionalFormatting sqref="I16:I17">
    <cfRule type="expression" priority="11" dxfId="2">
      <formula>AND(DAY(TODAY())=5, MONTH(TODAY())=1, YEAR(TODAY())=2028)</formula>
    </cfRule>
  </conditionalFormatting>
  <conditionalFormatting sqref="J16:J17">
    <cfRule type="expression" priority="12" dxfId="2">
      <formula>AND(DAY(TODAY())=6, MONTH(TODAY())=1, YEAR(TODAY())=2028)</formula>
    </cfRule>
  </conditionalFormatting>
  <conditionalFormatting sqref="K16:K17">
    <cfRule type="expression" priority="13" dxfId="2">
      <formula>AND(DAY(TODAY())=7, MONTH(TODAY())=1, YEAR(TODAY())=2028)</formula>
    </cfRule>
  </conditionalFormatting>
  <conditionalFormatting sqref="L16:L17">
    <cfRule type="expression" priority="14" dxfId="2">
      <formula>AND(DAY(TODAY())=8, MONTH(TODAY())=1, YEAR(TODAY())=2028)</formula>
    </cfRule>
  </conditionalFormatting>
  <conditionalFormatting sqref="M16:M17">
    <cfRule type="expression" priority="15" dxfId="2">
      <formula>AND(DAY(TODAY())=9, MONTH(TODAY())=1, YEAR(TODAY())=2028)</formula>
    </cfRule>
  </conditionalFormatting>
  <conditionalFormatting sqref="N16:N17">
    <cfRule type="expression" priority="16" dxfId="2">
      <formula>AND(DAY(TODAY())=10, MONTH(TODAY())=1, YEAR(TODAY())=2028)</formula>
    </cfRule>
  </conditionalFormatting>
  <conditionalFormatting sqref="O16:O17">
    <cfRule type="expression" priority="17" dxfId="2">
      <formula>AND(DAY(TODAY())=11, MONTH(TODAY())=1, YEAR(TODAY())=2028)</formula>
    </cfRule>
  </conditionalFormatting>
  <conditionalFormatting sqref="P16:P17">
    <cfRule type="expression" priority="18" dxfId="2">
      <formula>AND(DAY(TODAY())=12, MONTH(TODAY())=1, YEAR(TODAY())=2028)</formula>
    </cfRule>
  </conditionalFormatting>
  <conditionalFormatting sqref="Q16:Q17">
    <cfRule type="expression" priority="19" dxfId="2">
      <formula>AND(DAY(TODAY())=13, MONTH(TODAY())=1, YEAR(TODAY())=2028)</formula>
    </cfRule>
  </conditionalFormatting>
  <conditionalFormatting sqref="R16:R17">
    <cfRule type="expression" priority="20" dxfId="2">
      <formula>AND(DAY(TODAY())=14, MONTH(TODAY())=1, YEAR(TODAY())=2028)</formula>
    </cfRule>
  </conditionalFormatting>
  <conditionalFormatting sqref="S16:S17">
    <cfRule type="expression" priority="21" dxfId="2">
      <formula>AND(DAY(TODAY())=15, MONTH(TODAY())=1, YEAR(TODAY())=2028)</formula>
    </cfRule>
  </conditionalFormatting>
  <conditionalFormatting sqref="T16:T17">
    <cfRule type="expression" priority="22" dxfId="2">
      <formula>AND(DAY(TODAY())=16, MONTH(TODAY())=1, YEAR(TODAY())=2028)</formula>
    </cfRule>
  </conditionalFormatting>
  <conditionalFormatting sqref="U16:U17">
    <cfRule type="expression" priority="23" dxfId="2">
      <formula>AND(DAY(TODAY())=17, MONTH(TODAY())=1, YEAR(TODAY())=2028)</formula>
    </cfRule>
  </conditionalFormatting>
  <conditionalFormatting sqref="V16:V17">
    <cfRule type="expression" priority="24" dxfId="2">
      <formula>AND(DAY(TODAY())=18, MONTH(TODAY())=1, YEAR(TODAY())=2028)</formula>
    </cfRule>
  </conditionalFormatting>
  <conditionalFormatting sqref="W16:W17">
    <cfRule type="expression" priority="25" dxfId="2">
      <formula>AND(DAY(TODAY())=19, MONTH(TODAY())=1, YEAR(TODAY())=2028)</formula>
    </cfRule>
  </conditionalFormatting>
  <conditionalFormatting sqref="X16:X17">
    <cfRule type="expression" priority="26" dxfId="2">
      <formula>AND(DAY(TODAY())=20, MONTH(TODAY())=1, YEAR(TODAY())=2028)</formula>
    </cfRule>
  </conditionalFormatting>
  <conditionalFormatting sqref="Y16:Y17">
    <cfRule type="expression" priority="27" dxfId="2">
      <formula>AND(DAY(TODAY())=21, MONTH(TODAY())=1, YEAR(TODAY())=2028)</formula>
    </cfRule>
  </conditionalFormatting>
  <conditionalFormatting sqref="Z16:Z17">
    <cfRule type="expression" priority="28" dxfId="2">
      <formula>AND(DAY(TODAY())=22, MONTH(TODAY())=1, YEAR(TODAY())=2028)</formula>
    </cfRule>
  </conditionalFormatting>
  <conditionalFormatting sqref="AA16:AA17">
    <cfRule type="expression" priority="29" dxfId="2">
      <formula>AND(DAY(TODAY())=23, MONTH(TODAY())=1, YEAR(TODAY())=2028)</formula>
    </cfRule>
  </conditionalFormatting>
  <conditionalFormatting sqref="AB16:AB17">
    <cfRule type="expression" priority="30" dxfId="2">
      <formula>AND(DAY(TODAY())=24, MONTH(TODAY())=1, YEAR(TODAY())=2028)</formula>
    </cfRule>
  </conditionalFormatting>
  <conditionalFormatting sqref="AC16:AC17">
    <cfRule type="expression" priority="31" dxfId="2">
      <formula>AND(DAY(TODAY())=25, MONTH(TODAY())=1, YEAR(TODAY())=2028)</formula>
    </cfRule>
  </conditionalFormatting>
  <conditionalFormatting sqref="AD16:AD17">
    <cfRule type="expression" priority="32" dxfId="2">
      <formula>AND(DAY(TODAY())=26, MONTH(TODAY())=1, YEAR(TODAY())=2028)</formula>
    </cfRule>
  </conditionalFormatting>
  <conditionalFormatting sqref="AE16:AE17">
    <cfRule type="expression" priority="33" dxfId="2">
      <formula>AND(DAY(TODAY())=27, MONTH(TODAY())=1, YEAR(TODAY())=2028)</formula>
    </cfRule>
  </conditionalFormatting>
  <conditionalFormatting sqref="AF16:AF17">
    <cfRule type="expression" priority="34" dxfId="2">
      <formula>AND(DAY(TODAY())=28, MONTH(TODAY())=1, YEAR(TODAY())=2028)</formula>
    </cfRule>
  </conditionalFormatting>
  <conditionalFormatting sqref="AG16:AG17">
    <cfRule type="expression" priority="35" dxfId="2">
      <formula>AND(DAY(TODAY())=29, MONTH(TODAY())=1, YEAR(TODAY())=2028)</formula>
    </cfRule>
  </conditionalFormatting>
  <conditionalFormatting sqref="AH16:AH17">
    <cfRule type="expression" priority="36" dxfId="2">
      <formula>AND(DAY(TODAY())=30, MONTH(TODAY())=1, YEAR(TODAY())=2028)</formula>
    </cfRule>
  </conditionalFormatting>
  <conditionalFormatting sqref="AI16:AI17">
    <cfRule type="expression" priority="37" dxfId="2">
      <formula>AND(DAY(TODAY())=31, MONTH(TODAY())=1, YEAR(TODAY())=2028)</formula>
    </cfRule>
  </conditionalFormatting>
  <dataValidations count="4">
    <dataValidation sqref="C18:C37" showDropDown="0" showInputMessage="0" showErrorMessage="0" allowBlank="1" type="list">
      <formula1>"Health &amp; Fitness,Mindset &amp; Learning,Career &amp; Focus,Personal &amp; Home,Finance &amp; Wealth,Other"</formula1>
    </dataValidation>
    <dataValidation sqref="D18:D37" showDropDown="0" showInputMessage="0" showErrorMessage="0" allowBlank="1" type="list">
      <formula1>"1,2,3,4,5,6,7,8,9,10,11,12,13,14,15,16,17,18,19,20,21,22,23,24,25,26,27,28,29,30,31"</formula1>
    </dataValidation>
    <dataValidation sqref="E18:AI37" showDropDown="0" showInputMessage="0" showErrorMessage="0" allowBlank="1" type="list">
      <formula1>"✓,✗"</formula1>
    </dataValidation>
    <dataValidation sqref="E47:AI47" showDropDown="0" showInputMessage="0" showErrorMessage="0" allowBlank="1" type="list">
      <formula1>"1,2,3,4,5,6,7,8,9,10,11,12,13,14,15,16,17,18,19,20,21,22,23,24"</formula1>
    </dataValidation>
  </dataValidations>
  <hyperlinks>
    <hyperlink xmlns:r="http://schemas.openxmlformats.org/officeDocument/2006/relationships" ref="A1" r:id="rId1"/>
    <hyperlink xmlns:r="http://schemas.openxmlformats.org/officeDocument/2006/relationships" ref="C1" r:id="rId2"/>
    <hyperlink xmlns:r="http://schemas.openxmlformats.org/officeDocument/2006/relationships" ref="D1" r:id="rId3"/>
    <hyperlink xmlns:r="http://schemas.openxmlformats.org/officeDocument/2006/relationships" ref="E1" r:id="rId4"/>
    <hyperlink xmlns:r="http://schemas.openxmlformats.org/officeDocument/2006/relationships" ref="F1" r:id="rId5"/>
    <hyperlink xmlns:r="http://schemas.openxmlformats.org/officeDocument/2006/relationships" ref="G1" r:id="rId6"/>
    <hyperlink xmlns:r="http://schemas.openxmlformats.org/officeDocument/2006/relationships" ref="H1" r:id="rId7"/>
    <hyperlink xmlns:r="http://schemas.openxmlformats.org/officeDocument/2006/relationships" ref="I1" r:id="rId8"/>
    <hyperlink xmlns:r="http://schemas.openxmlformats.org/officeDocument/2006/relationships" ref="J1" r:id="rId9"/>
    <hyperlink xmlns:r="http://schemas.openxmlformats.org/officeDocument/2006/relationships" ref="K1" r:id="rId10"/>
  </hyperlinks>
  <printOptions horizontalCentered="1" verticalCentered="0"/>
  <pageMargins left="0.75" right="0.75" top="1" bottom="1" header="0.5" footer="0.5"/>
  <pageSetup orientation="landscape" paperSize="9" fitToHeight="0" fitToWidth="1"/>
  <drawing xmlns:r="http://schemas.openxmlformats.org/officeDocument/2006/relationships" r:id="rId11"/>
</worksheet>
</file>

<file path=xl/worksheets/sheet21.xml><?xml version="1.0" encoding="utf-8"?>
<worksheet xmlns="http://schemas.openxmlformats.org/spreadsheetml/2006/main">
  <sheetPr>
    <outlinePr summaryBelow="1" summaryRight="1"/>
    <pageSetUpPr fitToPage="1"/>
  </sheetPr>
  <dimension ref="A1:AK103"/>
  <sheetViews>
    <sheetView showGridLines="1" workbookViewId="0">
      <selection activeCell="A1" sqref="A1"/>
    </sheetView>
  </sheetViews>
  <sheetFormatPr baseColWidth="8" defaultRowHeight="15"/>
  <cols>
    <col width="6" customWidth="1" min="1" max="1"/>
    <col width="25" customWidth="1" min="2" max="2"/>
    <col width="16.5" customWidth="1" min="3" max="3"/>
    <col width="8" customWidth="1" min="4" max="4"/>
    <col width="4.8" customWidth="1" min="5" max="5"/>
    <col width="4.8" customWidth="1" min="6" max="6"/>
    <col width="4.8" customWidth="1" min="7" max="7"/>
    <col width="4.8" customWidth="1" min="8" max="8"/>
    <col width="4.8" customWidth="1" min="9" max="9"/>
    <col width="4.8" customWidth="1" min="10" max="10"/>
    <col width="4.8" customWidth="1" min="11" max="11"/>
    <col width="4.8" customWidth="1" min="12" max="12"/>
    <col width="4.8" customWidth="1" min="13" max="13"/>
    <col width="4.8" customWidth="1" min="14" max="14"/>
    <col width="4.8" customWidth="1" min="15" max="15"/>
    <col width="4.8" customWidth="1" min="16" max="16"/>
    <col width="4.8" customWidth="1" min="17" max="17"/>
    <col width="4.8" customWidth="1" min="18" max="18"/>
    <col width="4.8" customWidth="1" min="19" max="19"/>
    <col width="4.8" customWidth="1" min="20" max="20"/>
    <col width="4.8" customWidth="1" min="21" max="21"/>
    <col width="4.8" customWidth="1" min="22" max="22"/>
    <col width="4.8" customWidth="1" min="23" max="23"/>
    <col width="4.8" customWidth="1" min="24" max="24"/>
    <col width="4.8" customWidth="1" min="25" max="25"/>
    <col width="4.8" customWidth="1" min="26" max="26"/>
    <col width="4.8" customWidth="1" min="27" max="27"/>
    <col width="4.8" customWidth="1" min="28" max="28"/>
    <col width="4.8" customWidth="1" min="29" max="29"/>
    <col width="4.8" customWidth="1" min="30" max="30"/>
    <col width="4.8" customWidth="1" min="31" max="31"/>
    <col width="4.8" customWidth="1" min="32" max="32"/>
    <col width="4.8" customWidth="1" min="33" max="33"/>
    <col width="11.5" customWidth="1" min="34" max="34"/>
    <col width="12" customWidth="1" min="35" max="35"/>
    <col width="13.5" customWidth="1" min="36" max="36"/>
    <col hidden="1" width="8" customWidth="1" min="37" max="37"/>
  </cols>
  <sheetData>
    <row r="1" ht="18" customHeight="1">
      <c r="A1" s="76" t="inlineStr">
        <is>
          <t>🏠 Master Dashboard</t>
        </is>
      </c>
      <c r="B1" s="40" t="n"/>
      <c r="C1" s="77" t="inlineStr">
        <is>
          <t>🏛️ Quarterly Hub</t>
        </is>
      </c>
      <c r="D1" s="78" t="inlineStr">
        <is>
          <t>📚 Habit Library</t>
        </is>
      </c>
      <c r="E1" s="80" t="inlineStr">
        <is>
          <t>2026</t>
        </is>
      </c>
      <c r="F1" s="80" t="inlineStr">
        <is>
          <t>2027</t>
        </is>
      </c>
      <c r="G1" s="79" t="inlineStr">
        <is>
          <t>2028</t>
        </is>
      </c>
      <c r="H1" s="80" t="inlineStr">
        <is>
          <t>2029</t>
        </is>
      </c>
      <c r="I1" s="80" t="inlineStr">
        <is>
          <t>2030</t>
        </is>
      </c>
      <c r="J1" s="82" t="inlineStr">
        <is>
          <t>◀ Prev</t>
        </is>
      </c>
      <c r="K1" s="82" t="inlineStr">
        <is>
          <t>Next ▶</t>
        </is>
      </c>
    </row>
    <row r="2" ht="24" customHeight="1">
      <c r="A2" s="83" t="inlineStr">
        <is>
          <t>Habit Tracker</t>
        </is>
      </c>
      <c r="H2" s="84" t="inlineStr">
        <is>
          <t>"We are what we repeatedly do."</t>
        </is>
      </c>
      <c r="AC2" s="85" t="inlineStr">
        <is>
          <t>@surajvansh</t>
        </is>
      </c>
    </row>
    <row r="3" ht="18" customHeight="1">
      <c r="A3" s="86" t="inlineStr">
        <is>
          <t>February 2028</t>
        </is>
      </c>
      <c r="H3" s="87" t="inlineStr">
        <is>
          <t>29 Days Dashboard</t>
        </is>
      </c>
    </row>
    <row r="4" ht="5" customHeight="1"/>
    <row r="5" ht="16" customHeight="1">
      <c r="A5" s="88" t="inlineStr">
        <is>
          <t>MONTHLY TARGETS</t>
        </is>
      </c>
    </row>
    <row r="6" ht="13" customHeight="1">
      <c r="A6" s="89" t="inlineStr">
        <is>
          <t>1. ____________________ : ____________________</t>
        </is>
      </c>
      <c r="P6" s="89" t="inlineStr">
        <is>
          <t>5. ____________________ : ____________________</t>
        </is>
      </c>
    </row>
    <row r="7" ht="13" customHeight="1">
      <c r="A7" s="89" t="inlineStr">
        <is>
          <t>2. ____________________ : ____________________</t>
        </is>
      </c>
      <c r="P7" s="89" t="inlineStr">
        <is>
          <t>6. ____________________ : ____________________</t>
        </is>
      </c>
    </row>
    <row r="8" ht="13" customHeight="1">
      <c r="A8" s="89" t="inlineStr">
        <is>
          <t>3. ____________________ : ____________________</t>
        </is>
      </c>
      <c r="P8" s="89" t="inlineStr">
        <is>
          <t>7. ____________________ : ____________________</t>
        </is>
      </c>
    </row>
    <row r="9" ht="13" customHeight="1">
      <c r="A9" s="89" t="inlineStr">
        <is>
          <t>4. ____________________ : ____________________</t>
        </is>
      </c>
      <c r="P9" s="89" t="inlineStr">
        <is>
          <t>8. ____________________ : ____________________</t>
        </is>
      </c>
    </row>
    <row r="10" ht="5" customHeight="1"/>
    <row r="11" ht="15" customHeight="1">
      <c r="A11" s="88" t="inlineStr">
        <is>
          <t>NOTES:</t>
        </is>
      </c>
    </row>
    <row r="12" ht="13" customHeight="1">
      <c r="A12" s="90" t="n"/>
      <c r="B12" s="91" t="n"/>
      <c r="C12" s="91" t="n"/>
      <c r="D12" s="91" t="n"/>
      <c r="E12" s="91" t="n"/>
      <c r="F12" s="91" t="n"/>
      <c r="G12" s="91" t="n"/>
      <c r="H12" s="91" t="n"/>
      <c r="I12" s="91" t="n"/>
      <c r="J12" s="91" t="n"/>
      <c r="K12" s="91" t="n"/>
      <c r="L12" s="91" t="n"/>
      <c r="M12" s="91" t="n"/>
      <c r="N12" s="91" t="n"/>
      <c r="O12" s="91" t="n"/>
      <c r="P12" s="91" t="n"/>
      <c r="Q12" s="91" t="n"/>
      <c r="R12" s="91" t="n"/>
      <c r="S12" s="91" t="n"/>
      <c r="T12" s="91" t="n"/>
      <c r="U12" s="91" t="n"/>
      <c r="V12" s="91" t="n"/>
      <c r="W12" s="91" t="n"/>
      <c r="X12" s="91" t="n"/>
      <c r="Y12" s="91" t="n"/>
      <c r="Z12" s="91" t="n"/>
      <c r="AA12" s="91" t="n"/>
      <c r="AB12" s="91" t="n"/>
      <c r="AC12" s="91" t="n"/>
      <c r="AD12" s="91" t="n"/>
      <c r="AE12" s="91" t="n"/>
      <c r="AF12" s="91" t="n"/>
      <c r="AG12" s="91" t="n"/>
      <c r="AH12" s="91" t="n"/>
      <c r="AI12" s="91" t="n"/>
      <c r="AJ12" s="91" t="n"/>
    </row>
    <row r="13" ht="13" customHeight="1">
      <c r="A13" s="91" t="n"/>
      <c r="B13" s="91" t="n"/>
      <c r="C13" s="91" t="n"/>
      <c r="D13" s="91" t="n"/>
      <c r="E13" s="91" t="n"/>
      <c r="F13" s="91" t="n"/>
      <c r="G13" s="91" t="n"/>
      <c r="H13" s="91" t="n"/>
      <c r="I13" s="91" t="n"/>
      <c r="J13" s="91" t="n"/>
      <c r="K13" s="91" t="n"/>
      <c r="L13" s="91" t="n"/>
      <c r="M13" s="91" t="n"/>
      <c r="N13" s="91" t="n"/>
      <c r="O13" s="91" t="n"/>
      <c r="P13" s="91" t="n"/>
      <c r="Q13" s="91" t="n"/>
      <c r="R13" s="91" t="n"/>
      <c r="S13" s="91" t="n"/>
      <c r="T13" s="91" t="n"/>
      <c r="U13" s="91" t="n"/>
      <c r="V13" s="91" t="n"/>
      <c r="W13" s="91" t="n"/>
      <c r="X13" s="91" t="n"/>
      <c r="Y13" s="91" t="n"/>
      <c r="Z13" s="91" t="n"/>
      <c r="AA13" s="91" t="n"/>
      <c r="AB13" s="91" t="n"/>
      <c r="AC13" s="91" t="n"/>
      <c r="AD13" s="91" t="n"/>
      <c r="AE13" s="91" t="n"/>
      <c r="AF13" s="91" t="n"/>
      <c r="AG13" s="91" t="n"/>
      <c r="AH13" s="91" t="n"/>
      <c r="AI13" s="91" t="n"/>
      <c r="AJ13" s="91" t="n"/>
    </row>
    <row r="14" ht="13" customHeight="1">
      <c r="A14" s="91" t="n"/>
      <c r="B14" s="91" t="n"/>
      <c r="C14" s="91" t="n"/>
      <c r="D14" s="91" t="n"/>
      <c r="E14" s="91" t="n"/>
      <c r="F14" s="91" t="n"/>
      <c r="G14" s="91" t="n"/>
      <c r="H14" s="91" t="n"/>
      <c r="I14" s="91" t="n"/>
      <c r="J14" s="91" t="n"/>
      <c r="K14" s="91" t="n"/>
      <c r="L14" s="91" t="n"/>
      <c r="M14" s="91" t="n"/>
      <c r="N14" s="91" t="n"/>
      <c r="O14" s="91" t="n"/>
      <c r="P14" s="91" t="n"/>
      <c r="Q14" s="91" t="n"/>
      <c r="R14" s="91" t="n"/>
      <c r="S14" s="91" t="n"/>
      <c r="T14" s="91" t="n"/>
      <c r="U14" s="91" t="n"/>
      <c r="V14" s="91" t="n"/>
      <c r="W14" s="91" t="n"/>
      <c r="X14" s="91" t="n"/>
      <c r="Y14" s="91" t="n"/>
      <c r="Z14" s="91" t="n"/>
      <c r="AA14" s="91" t="n"/>
      <c r="AB14" s="91" t="n"/>
      <c r="AC14" s="91" t="n"/>
      <c r="AD14" s="91" t="n"/>
      <c r="AE14" s="91" t="n"/>
      <c r="AF14" s="91" t="n"/>
      <c r="AG14" s="91" t="n"/>
      <c r="AH14" s="91" t="n"/>
      <c r="AI14" s="91" t="n"/>
      <c r="AJ14" s="91" t="n"/>
    </row>
    <row r="15" ht="8" customHeight="1"/>
    <row r="16" ht="15" customHeight="1">
      <c r="A16" s="33" t="inlineStr">
        <is>
          <t>S.No.</t>
        </is>
      </c>
      <c r="B16" s="33" t="inlineStr">
        <is>
          <t>Protocols</t>
        </is>
      </c>
      <c r="C16" s="33" t="inlineStr">
        <is>
          <t>Category</t>
        </is>
      </c>
      <c r="D16" s="33" t="inlineStr">
        <is>
          <t>Target</t>
        </is>
      </c>
      <c r="E16" s="92" t="n">
        <v>1</v>
      </c>
      <c r="F16" s="92" t="n">
        <v>2</v>
      </c>
      <c r="G16" s="92" t="n">
        <v>3</v>
      </c>
      <c r="H16" s="92" t="n">
        <v>4</v>
      </c>
      <c r="I16" s="92" t="n">
        <v>5</v>
      </c>
      <c r="J16" s="93" t="n">
        <v>6</v>
      </c>
      <c r="K16" s="92" t="n">
        <v>7</v>
      </c>
      <c r="L16" s="92" t="n">
        <v>8</v>
      </c>
      <c r="M16" s="92" t="n">
        <v>9</v>
      </c>
      <c r="N16" s="92" t="n">
        <v>10</v>
      </c>
      <c r="O16" s="92" t="n">
        <v>11</v>
      </c>
      <c r="P16" s="92" t="n">
        <v>12</v>
      </c>
      <c r="Q16" s="93" t="n">
        <v>13</v>
      </c>
      <c r="R16" s="92" t="n">
        <v>14</v>
      </c>
      <c r="S16" s="92" t="n">
        <v>15</v>
      </c>
      <c r="T16" s="92" t="n">
        <v>16</v>
      </c>
      <c r="U16" s="92" t="n">
        <v>17</v>
      </c>
      <c r="V16" s="92" t="n">
        <v>18</v>
      </c>
      <c r="W16" s="92" t="n">
        <v>19</v>
      </c>
      <c r="X16" s="93" t="n">
        <v>20</v>
      </c>
      <c r="Y16" s="92" t="n">
        <v>21</v>
      </c>
      <c r="Z16" s="92" t="n">
        <v>22</v>
      </c>
      <c r="AA16" s="92" t="n">
        <v>23</v>
      </c>
      <c r="AB16" s="92" t="n">
        <v>24</v>
      </c>
      <c r="AC16" s="92" t="n">
        <v>25</v>
      </c>
      <c r="AD16" s="92" t="n">
        <v>26</v>
      </c>
      <c r="AE16" s="93" t="n">
        <v>27</v>
      </c>
      <c r="AF16" s="92" t="n">
        <v>28</v>
      </c>
      <c r="AG16" s="92" t="n">
        <v>29</v>
      </c>
      <c r="AH16" s="94" t="inlineStr">
        <is>
          <t>Success %</t>
        </is>
      </c>
      <c r="AI16" s="94" t="inlineStr">
        <is>
          <t>Done / Target</t>
        </is>
      </c>
      <c r="AJ16" s="94" t="inlineStr">
        <is>
          <t>Status</t>
        </is>
      </c>
      <c r="AK16" t="inlineStr">
        <is>
          <t>Done Count</t>
        </is>
      </c>
    </row>
    <row r="17" ht="15" customHeight="1">
      <c r="A17" s="54" t="n"/>
      <c r="B17" s="54" t="n"/>
      <c r="C17" s="54" t="n"/>
      <c r="D17" s="54" t="n"/>
      <c r="E17" s="95" t="inlineStr">
        <is>
          <t>T</t>
        </is>
      </c>
      <c r="F17" s="95" t="inlineStr">
        <is>
          <t>W</t>
        </is>
      </c>
      <c r="G17" s="95" t="inlineStr">
        <is>
          <t>Th</t>
        </is>
      </c>
      <c r="H17" s="95" t="inlineStr">
        <is>
          <t>F</t>
        </is>
      </c>
      <c r="I17" s="95" t="inlineStr">
        <is>
          <t>Sa</t>
        </is>
      </c>
      <c r="J17" s="96" t="inlineStr">
        <is>
          <t>Su</t>
        </is>
      </c>
      <c r="K17" s="95" t="inlineStr">
        <is>
          <t>M</t>
        </is>
      </c>
      <c r="L17" s="95" t="inlineStr">
        <is>
          <t>T</t>
        </is>
      </c>
      <c r="M17" s="95" t="inlineStr">
        <is>
          <t>W</t>
        </is>
      </c>
      <c r="N17" s="95" t="inlineStr">
        <is>
          <t>Th</t>
        </is>
      </c>
      <c r="O17" s="95" t="inlineStr">
        <is>
          <t>F</t>
        </is>
      </c>
      <c r="P17" s="95" t="inlineStr">
        <is>
          <t>Sa</t>
        </is>
      </c>
      <c r="Q17" s="96" t="inlineStr">
        <is>
          <t>Su</t>
        </is>
      </c>
      <c r="R17" s="95" t="inlineStr">
        <is>
          <t>M</t>
        </is>
      </c>
      <c r="S17" s="95" t="inlineStr">
        <is>
          <t>T</t>
        </is>
      </c>
      <c r="T17" s="95" t="inlineStr">
        <is>
          <t>W</t>
        </is>
      </c>
      <c r="U17" s="95" t="inlineStr">
        <is>
          <t>Th</t>
        </is>
      </c>
      <c r="V17" s="95" t="inlineStr">
        <is>
          <t>F</t>
        </is>
      </c>
      <c r="W17" s="95" t="inlineStr">
        <is>
          <t>Sa</t>
        </is>
      </c>
      <c r="X17" s="96" t="inlineStr">
        <is>
          <t>Su</t>
        </is>
      </c>
      <c r="Y17" s="95" t="inlineStr">
        <is>
          <t>M</t>
        </is>
      </c>
      <c r="Z17" s="95" t="inlineStr">
        <is>
          <t>T</t>
        </is>
      </c>
      <c r="AA17" s="95" t="inlineStr">
        <is>
          <t>W</t>
        </is>
      </c>
      <c r="AB17" s="95" t="inlineStr">
        <is>
          <t>Th</t>
        </is>
      </c>
      <c r="AC17" s="95" t="inlineStr">
        <is>
          <t>F</t>
        </is>
      </c>
      <c r="AD17" s="95" t="inlineStr">
        <is>
          <t>Sa</t>
        </is>
      </c>
      <c r="AE17" s="96" t="inlineStr">
        <is>
          <t>Su</t>
        </is>
      </c>
      <c r="AF17" s="95" t="inlineStr">
        <is>
          <t>M</t>
        </is>
      </c>
      <c r="AG17" s="95" t="inlineStr">
        <is>
          <t>T</t>
        </is>
      </c>
      <c r="AH17" s="54" t="n"/>
      <c r="AI17" s="54" t="n"/>
      <c r="AJ17" s="54" t="n"/>
    </row>
    <row r="18" ht="14.5" customHeight="1">
      <c r="A18" s="97" t="n">
        <v>1</v>
      </c>
      <c r="B18" s="98" t="n"/>
      <c r="C18" s="99" t="n"/>
      <c r="D18" s="99" t="n"/>
      <c r="E18" s="100" t="n"/>
      <c r="F18" s="100" t="n"/>
      <c r="G18" s="100" t="n"/>
      <c r="H18" s="100" t="n"/>
      <c r="I18" s="100" t="n"/>
      <c r="J18" s="101" t="n"/>
      <c r="K18" s="100" t="n"/>
      <c r="L18" s="100" t="n"/>
      <c r="M18" s="100" t="n"/>
      <c r="N18" s="100" t="n"/>
      <c r="O18" s="100" t="n"/>
      <c r="P18" s="100" t="n"/>
      <c r="Q18" s="101" t="n"/>
      <c r="R18" s="100" t="n"/>
      <c r="S18" s="100" t="n"/>
      <c r="T18" s="100" t="n"/>
      <c r="U18" s="100" t="n"/>
      <c r="V18" s="100" t="n"/>
      <c r="W18" s="100" t="n"/>
      <c r="X18" s="101" t="n"/>
      <c r="Y18" s="100" t="n"/>
      <c r="Z18" s="100" t="n"/>
      <c r="AA18" s="100" t="n"/>
      <c r="AB18" s="100" t="n"/>
      <c r="AC18" s="100" t="n"/>
      <c r="AD18" s="100" t="n"/>
      <c r="AE18" s="101" t="n"/>
      <c r="AF18" s="100" t="n"/>
      <c r="AG18" s="100" t="n"/>
      <c r="AH18" s="102">
        <f>IF(ISBLANK(B18), "", IF(ISNUMBER(D18), IF(D18&gt;0, (COUNTIF(E18:AG18, "✓") + COUNTIF(E18:AG18, "✔") + COUNTIF(E18:AG18, "v") + COUNTIF(E18:AG18, "V"))/D18, 0), IF(((COUNTIF(E18:AG18, "✓") + COUNTIF(E18:AG18, "✔") + COUNTIF(E18:AG18, "v") + COUNTIF(E18:AG18, "V")) + COUNTIF(E18:AG18, "✗") + COUNTIF(E18:AG18, "x") + COUNTIF(E18:AG18, "X"))&gt;0, (COUNTIF(E18:AG18, "✓") + COUNTIF(E18:AG18, "✔") + COUNTIF(E18:AG18, "v") + COUNTIF(E18:AG18, "V"))/((COUNTIF(E18:AG18, "✓") + COUNTIF(E18:AG18, "✔") + COUNTIF(E18:AG18, "v") + COUNTIF(E18:AG18, "V")) + COUNTIF(E18:AG18, "✗") + COUNTIF(E18:AG18, "x") + COUNTIF(E18:AG18, "X")), "")))</f>
        <v/>
      </c>
      <c r="AI18" s="103">
        <f>IF(ISBLANK(B18), "", IF(ISNUMBER(D18), IF(D18&gt;0, (COUNTIF(E18:AG18, "✓") + COUNTIF(E18:AG18, "✔") + COUNTIF(E18:AG18, "v") + COUNTIF(E18:AG18, "V")) &amp; "/" &amp; D18, (COUNTIF(E18:AG18, "✓") + COUNTIF(E18:AG18, "✔") + COUNTIF(E18:AG18, "v") + COUNTIF(E18:AG18, "V")) &amp; "/0"), IF(((COUNTIF(E18:AG18, "✓") + COUNTIF(E18:AG18, "✔") + COUNTIF(E18:AG18, "v") + COUNTIF(E18:AG18, "V")) + COUNTIF(E18:AG18, "✗") + COUNTIF(E18:AG18, "x") + COUNTIF(E18:AG18, "X"))&gt;0, (COUNTIF(E18:AG18, "✓") + COUNTIF(E18:AG18, "✔") + COUNTIF(E18:AG18, "v") + COUNTIF(E18:AG18, "V")) &amp; "/" &amp; ((COUNTIF(E18:AG18, "✓") + COUNTIF(E18:AG18, "✔") + COUNTIF(E18:AG18, "v") + COUNTIF(E18:AG18, "V")) + COUNTIF(E18:AG18, "✗") + COUNTIF(E18:AG18, "x") + COUNTIF(E18:AG18, "X")), "")))</f>
        <v/>
      </c>
      <c r="AJ18" s="103">
        <f>IF(ISBLANK(B18), "", IF(AH18&gt;=0.85, "🔥 Mastered", IF(AH18&gt;=0.7, "⚡ Consistent", "⚠️ Needs Focus")))</f>
        <v/>
      </c>
      <c r="AK18">
        <f>COUNTIF(E18:AG18, "✓")</f>
        <v/>
      </c>
    </row>
    <row r="19" ht="14.5" customHeight="1">
      <c r="A19" s="97" t="n">
        <v>2</v>
      </c>
      <c r="B19" s="98" t="n"/>
      <c r="C19" s="99" t="n"/>
      <c r="D19" s="99" t="n"/>
      <c r="E19" s="100" t="n"/>
      <c r="F19" s="100" t="n"/>
      <c r="G19" s="100" t="n"/>
      <c r="H19" s="100" t="n"/>
      <c r="I19" s="100" t="n"/>
      <c r="J19" s="101" t="n"/>
      <c r="K19" s="100" t="n"/>
      <c r="L19" s="100" t="n"/>
      <c r="M19" s="100" t="n"/>
      <c r="N19" s="100" t="n"/>
      <c r="O19" s="100" t="n"/>
      <c r="P19" s="100" t="n"/>
      <c r="Q19" s="101" t="n"/>
      <c r="R19" s="100" t="n"/>
      <c r="S19" s="100" t="n"/>
      <c r="T19" s="100" t="n"/>
      <c r="U19" s="100" t="n"/>
      <c r="V19" s="100" t="n"/>
      <c r="W19" s="100" t="n"/>
      <c r="X19" s="101" t="n"/>
      <c r="Y19" s="100" t="n"/>
      <c r="Z19" s="100" t="n"/>
      <c r="AA19" s="100" t="n"/>
      <c r="AB19" s="100" t="n"/>
      <c r="AC19" s="100" t="n"/>
      <c r="AD19" s="100" t="n"/>
      <c r="AE19" s="101" t="n"/>
      <c r="AF19" s="100" t="n"/>
      <c r="AG19" s="100" t="n"/>
      <c r="AH19" s="102">
        <f>IF(ISBLANK(B19), "", IF(ISNUMBER(D19), IF(D19&gt;0, (COUNTIF(E19:AG19, "✓") + COUNTIF(E19:AG19, "✔") + COUNTIF(E19:AG19, "v") + COUNTIF(E19:AG19, "V"))/D19, 0), IF(((COUNTIF(E19:AG19, "✓") + COUNTIF(E19:AG19, "✔") + COUNTIF(E19:AG19, "v") + COUNTIF(E19:AG19, "V")) + COUNTIF(E19:AG19, "✗") + COUNTIF(E19:AG19, "x") + COUNTIF(E19:AG19, "X"))&gt;0, (COUNTIF(E19:AG19, "✓") + COUNTIF(E19:AG19, "✔") + COUNTIF(E19:AG19, "v") + COUNTIF(E19:AG19, "V"))/((COUNTIF(E19:AG19, "✓") + COUNTIF(E19:AG19, "✔") + COUNTIF(E19:AG19, "v") + COUNTIF(E19:AG19, "V")) + COUNTIF(E19:AG19, "✗") + COUNTIF(E19:AG19, "x") + COUNTIF(E19:AG19, "X")), "")))</f>
        <v/>
      </c>
      <c r="AI19" s="103">
        <f>IF(ISBLANK(B19), "", IF(ISNUMBER(D19), IF(D19&gt;0, (COUNTIF(E19:AG19, "✓") + COUNTIF(E19:AG19, "✔") + COUNTIF(E19:AG19, "v") + COUNTIF(E19:AG19, "V")) &amp; "/" &amp; D19, (COUNTIF(E19:AG19, "✓") + COUNTIF(E19:AG19, "✔") + COUNTIF(E19:AG19, "v") + COUNTIF(E19:AG19, "V")) &amp; "/0"), IF(((COUNTIF(E19:AG19, "✓") + COUNTIF(E19:AG19, "✔") + COUNTIF(E19:AG19, "v") + COUNTIF(E19:AG19, "V")) + COUNTIF(E19:AG19, "✗") + COUNTIF(E19:AG19, "x") + COUNTIF(E19:AG19, "X"))&gt;0, (COUNTIF(E19:AG19, "✓") + COUNTIF(E19:AG19, "✔") + COUNTIF(E19:AG19, "v") + COUNTIF(E19:AG19, "V")) &amp; "/" &amp; ((COUNTIF(E19:AG19, "✓") + COUNTIF(E19:AG19, "✔") + COUNTIF(E19:AG19, "v") + COUNTIF(E19:AG19, "V")) + COUNTIF(E19:AG19, "✗") + COUNTIF(E19:AG19, "x") + COUNTIF(E19:AG19, "X")), "")))</f>
        <v/>
      </c>
      <c r="AJ19" s="103">
        <f>IF(ISBLANK(B19), "", IF(AH19&gt;=0.85, "🔥 Mastered", IF(AH19&gt;=0.7, "⚡ Consistent", "⚠️ Needs Focus")))</f>
        <v/>
      </c>
      <c r="AK19">
        <f>COUNTIF(E19:AG19, "✓")</f>
        <v/>
      </c>
    </row>
    <row r="20" ht="14.5" customHeight="1">
      <c r="A20" s="97" t="n">
        <v>3</v>
      </c>
      <c r="B20" s="98" t="n"/>
      <c r="C20" s="99" t="n"/>
      <c r="D20" s="99" t="n"/>
      <c r="E20" s="100" t="n"/>
      <c r="F20" s="100" t="n"/>
      <c r="G20" s="100" t="n"/>
      <c r="H20" s="100" t="n"/>
      <c r="I20" s="100" t="n"/>
      <c r="J20" s="101" t="n"/>
      <c r="K20" s="100" t="n"/>
      <c r="L20" s="100" t="n"/>
      <c r="M20" s="100" t="n"/>
      <c r="N20" s="100" t="n"/>
      <c r="O20" s="100" t="n"/>
      <c r="P20" s="100" t="n"/>
      <c r="Q20" s="101" t="n"/>
      <c r="R20" s="100" t="n"/>
      <c r="S20" s="100" t="n"/>
      <c r="T20" s="100" t="n"/>
      <c r="U20" s="100" t="n"/>
      <c r="V20" s="100" t="n"/>
      <c r="W20" s="100" t="n"/>
      <c r="X20" s="101" t="n"/>
      <c r="Y20" s="100" t="n"/>
      <c r="Z20" s="100" t="n"/>
      <c r="AA20" s="100" t="n"/>
      <c r="AB20" s="100" t="n"/>
      <c r="AC20" s="100" t="n"/>
      <c r="AD20" s="100" t="n"/>
      <c r="AE20" s="101" t="n"/>
      <c r="AF20" s="100" t="n"/>
      <c r="AG20" s="100" t="n"/>
      <c r="AH20" s="102">
        <f>IF(ISBLANK(B20), "", IF(ISNUMBER(D20), IF(D20&gt;0, (COUNTIF(E20:AG20, "✓") + COUNTIF(E20:AG20, "✔") + COUNTIF(E20:AG20, "v") + COUNTIF(E20:AG20, "V"))/D20, 0), IF(((COUNTIF(E20:AG20, "✓") + COUNTIF(E20:AG20, "✔") + COUNTIF(E20:AG20, "v") + COUNTIF(E20:AG20, "V")) + COUNTIF(E20:AG20, "✗") + COUNTIF(E20:AG20, "x") + COUNTIF(E20:AG20, "X"))&gt;0, (COUNTIF(E20:AG20, "✓") + COUNTIF(E20:AG20, "✔") + COUNTIF(E20:AG20, "v") + COUNTIF(E20:AG20, "V"))/((COUNTIF(E20:AG20, "✓") + COUNTIF(E20:AG20, "✔") + COUNTIF(E20:AG20, "v") + COUNTIF(E20:AG20, "V")) + COUNTIF(E20:AG20, "✗") + COUNTIF(E20:AG20, "x") + COUNTIF(E20:AG20, "X")), "")))</f>
        <v/>
      </c>
      <c r="AI20" s="103">
        <f>IF(ISBLANK(B20), "", IF(ISNUMBER(D20), IF(D20&gt;0, (COUNTIF(E20:AG20, "✓") + COUNTIF(E20:AG20, "✔") + COUNTIF(E20:AG20, "v") + COUNTIF(E20:AG20, "V")) &amp; "/" &amp; D20, (COUNTIF(E20:AG20, "✓") + COUNTIF(E20:AG20, "✔") + COUNTIF(E20:AG20, "v") + COUNTIF(E20:AG20, "V")) &amp; "/0"), IF(((COUNTIF(E20:AG20, "✓") + COUNTIF(E20:AG20, "✔") + COUNTIF(E20:AG20, "v") + COUNTIF(E20:AG20, "V")) + COUNTIF(E20:AG20, "✗") + COUNTIF(E20:AG20, "x") + COUNTIF(E20:AG20, "X"))&gt;0, (COUNTIF(E20:AG20, "✓") + COUNTIF(E20:AG20, "✔") + COUNTIF(E20:AG20, "v") + COUNTIF(E20:AG20, "V")) &amp; "/" &amp; ((COUNTIF(E20:AG20, "✓") + COUNTIF(E20:AG20, "✔") + COUNTIF(E20:AG20, "v") + COUNTIF(E20:AG20, "V")) + COUNTIF(E20:AG20, "✗") + COUNTIF(E20:AG20, "x") + COUNTIF(E20:AG20, "X")), "")))</f>
        <v/>
      </c>
      <c r="AJ20" s="103">
        <f>IF(ISBLANK(B20), "", IF(AH20&gt;=0.85, "🔥 Mastered", IF(AH20&gt;=0.7, "⚡ Consistent", "⚠️ Needs Focus")))</f>
        <v/>
      </c>
      <c r="AK20">
        <f>COUNTIF(E20:AG20, "✓")</f>
        <v/>
      </c>
    </row>
    <row r="21" ht="14.5" customHeight="1">
      <c r="A21" s="97" t="n">
        <v>4</v>
      </c>
      <c r="B21" s="98" t="n"/>
      <c r="C21" s="99" t="n"/>
      <c r="D21" s="99" t="n"/>
      <c r="E21" s="100" t="n"/>
      <c r="F21" s="100" t="n"/>
      <c r="G21" s="100" t="n"/>
      <c r="H21" s="100" t="n"/>
      <c r="I21" s="100" t="n"/>
      <c r="J21" s="101" t="n"/>
      <c r="K21" s="100" t="n"/>
      <c r="L21" s="100" t="n"/>
      <c r="M21" s="100" t="n"/>
      <c r="N21" s="100" t="n"/>
      <c r="O21" s="100" t="n"/>
      <c r="P21" s="100" t="n"/>
      <c r="Q21" s="101" t="n"/>
      <c r="R21" s="100" t="n"/>
      <c r="S21" s="100" t="n"/>
      <c r="T21" s="100" t="n"/>
      <c r="U21" s="100" t="n"/>
      <c r="V21" s="100" t="n"/>
      <c r="W21" s="100" t="n"/>
      <c r="X21" s="101" t="n"/>
      <c r="Y21" s="100" t="n"/>
      <c r="Z21" s="100" t="n"/>
      <c r="AA21" s="100" t="n"/>
      <c r="AB21" s="100" t="n"/>
      <c r="AC21" s="100" t="n"/>
      <c r="AD21" s="100" t="n"/>
      <c r="AE21" s="101" t="n"/>
      <c r="AF21" s="100" t="n"/>
      <c r="AG21" s="100" t="n"/>
      <c r="AH21" s="102">
        <f>IF(ISBLANK(B21), "", IF(ISNUMBER(D21), IF(D21&gt;0, (COUNTIF(E21:AG21, "✓") + COUNTIF(E21:AG21, "✔") + COUNTIF(E21:AG21, "v") + COUNTIF(E21:AG21, "V"))/D21, 0), IF(((COUNTIF(E21:AG21, "✓") + COUNTIF(E21:AG21, "✔") + COUNTIF(E21:AG21, "v") + COUNTIF(E21:AG21, "V")) + COUNTIF(E21:AG21, "✗") + COUNTIF(E21:AG21, "x") + COUNTIF(E21:AG21, "X"))&gt;0, (COUNTIF(E21:AG21, "✓") + COUNTIF(E21:AG21, "✔") + COUNTIF(E21:AG21, "v") + COUNTIF(E21:AG21, "V"))/((COUNTIF(E21:AG21, "✓") + COUNTIF(E21:AG21, "✔") + COUNTIF(E21:AG21, "v") + COUNTIF(E21:AG21, "V")) + COUNTIF(E21:AG21, "✗") + COUNTIF(E21:AG21, "x") + COUNTIF(E21:AG21, "X")), "")))</f>
        <v/>
      </c>
      <c r="AI21" s="103">
        <f>IF(ISBLANK(B21), "", IF(ISNUMBER(D21), IF(D21&gt;0, (COUNTIF(E21:AG21, "✓") + COUNTIF(E21:AG21, "✔") + COUNTIF(E21:AG21, "v") + COUNTIF(E21:AG21, "V")) &amp; "/" &amp; D21, (COUNTIF(E21:AG21, "✓") + COUNTIF(E21:AG21, "✔") + COUNTIF(E21:AG21, "v") + COUNTIF(E21:AG21, "V")) &amp; "/0"), IF(((COUNTIF(E21:AG21, "✓") + COUNTIF(E21:AG21, "✔") + COUNTIF(E21:AG21, "v") + COUNTIF(E21:AG21, "V")) + COUNTIF(E21:AG21, "✗") + COUNTIF(E21:AG21, "x") + COUNTIF(E21:AG21, "X"))&gt;0, (COUNTIF(E21:AG21, "✓") + COUNTIF(E21:AG21, "✔") + COUNTIF(E21:AG21, "v") + COUNTIF(E21:AG21, "V")) &amp; "/" &amp; ((COUNTIF(E21:AG21, "✓") + COUNTIF(E21:AG21, "✔") + COUNTIF(E21:AG21, "v") + COUNTIF(E21:AG21, "V")) + COUNTIF(E21:AG21, "✗") + COUNTIF(E21:AG21, "x") + COUNTIF(E21:AG21, "X")), "")))</f>
        <v/>
      </c>
      <c r="AJ21" s="103">
        <f>IF(ISBLANK(B21), "", IF(AH21&gt;=0.85, "🔥 Mastered", IF(AH21&gt;=0.7, "⚡ Consistent", "⚠️ Needs Focus")))</f>
        <v/>
      </c>
      <c r="AK21">
        <f>COUNTIF(E21:AG21, "✓")</f>
        <v/>
      </c>
    </row>
    <row r="22" ht="14.5" customHeight="1">
      <c r="A22" s="104" t="n">
        <v>5</v>
      </c>
      <c r="B22" s="105" t="n"/>
      <c r="C22" s="106" t="n"/>
      <c r="D22" s="106" t="n"/>
      <c r="E22" s="107" t="n"/>
      <c r="F22" s="107" t="n"/>
      <c r="G22" s="107" t="n"/>
      <c r="H22" s="107" t="n"/>
      <c r="I22" s="107" t="n"/>
      <c r="J22" s="108" t="n"/>
      <c r="K22" s="107" t="n"/>
      <c r="L22" s="107" t="n"/>
      <c r="M22" s="107" t="n"/>
      <c r="N22" s="107" t="n"/>
      <c r="O22" s="107" t="n"/>
      <c r="P22" s="107" t="n"/>
      <c r="Q22" s="108" t="n"/>
      <c r="R22" s="107" t="n"/>
      <c r="S22" s="107" t="n"/>
      <c r="T22" s="107" t="n"/>
      <c r="U22" s="107" t="n"/>
      <c r="V22" s="107" t="n"/>
      <c r="W22" s="107" t="n"/>
      <c r="X22" s="108" t="n"/>
      <c r="Y22" s="107" t="n"/>
      <c r="Z22" s="107" t="n"/>
      <c r="AA22" s="107" t="n"/>
      <c r="AB22" s="107" t="n"/>
      <c r="AC22" s="107" t="n"/>
      <c r="AD22" s="107" t="n"/>
      <c r="AE22" s="108" t="n"/>
      <c r="AF22" s="107" t="n"/>
      <c r="AG22" s="107" t="n"/>
      <c r="AH22" s="109">
        <f>IF(ISBLANK(B22), "", IF(ISNUMBER(D22), IF(D22&gt;0, (COUNTIF(E22:AG22, "✓") + COUNTIF(E22:AG22, "✔") + COUNTIF(E22:AG22, "v") + COUNTIF(E22:AG22, "V"))/D22, 0), IF(((COUNTIF(E22:AG22, "✓") + COUNTIF(E22:AG22, "✔") + COUNTIF(E22:AG22, "v") + COUNTIF(E22:AG22, "V")) + COUNTIF(E22:AG22, "✗") + COUNTIF(E22:AG22, "x") + COUNTIF(E22:AG22, "X"))&gt;0, (COUNTIF(E22:AG22, "✓") + COUNTIF(E22:AG22, "✔") + COUNTIF(E22:AG22, "v") + COUNTIF(E22:AG22, "V"))/((COUNTIF(E22:AG22, "✓") + COUNTIF(E22:AG22, "✔") + COUNTIF(E22:AG22, "v") + COUNTIF(E22:AG22, "V")) + COUNTIF(E22:AG22, "✗") + COUNTIF(E22:AG22, "x") + COUNTIF(E22:AG22, "X")), "")))</f>
        <v/>
      </c>
      <c r="AI22" s="110">
        <f>IF(ISBLANK(B22), "", IF(ISNUMBER(D22), IF(D22&gt;0, (COUNTIF(E22:AG22, "✓") + COUNTIF(E22:AG22, "✔") + COUNTIF(E22:AG22, "v") + COUNTIF(E22:AG22, "V")) &amp; "/" &amp; D22, (COUNTIF(E22:AG22, "✓") + COUNTIF(E22:AG22, "✔") + COUNTIF(E22:AG22, "v") + COUNTIF(E22:AG22, "V")) &amp; "/0"), IF(((COUNTIF(E22:AG22, "✓") + COUNTIF(E22:AG22, "✔") + COUNTIF(E22:AG22, "v") + COUNTIF(E22:AG22, "V")) + COUNTIF(E22:AG22, "✗") + COUNTIF(E22:AG22, "x") + COUNTIF(E22:AG22, "X"))&gt;0, (COUNTIF(E22:AG22, "✓") + COUNTIF(E22:AG22, "✔") + COUNTIF(E22:AG22, "v") + COUNTIF(E22:AG22, "V")) &amp; "/" &amp; ((COUNTIF(E22:AG22, "✓") + COUNTIF(E22:AG22, "✔") + COUNTIF(E22:AG22, "v") + COUNTIF(E22:AG22, "V")) + COUNTIF(E22:AG22, "✗") + COUNTIF(E22:AG22, "x") + COUNTIF(E22:AG22, "X")), "")))</f>
        <v/>
      </c>
      <c r="AJ22" s="110">
        <f>IF(ISBLANK(B22), "", IF(AH22&gt;=0.85, "🔥 Mastered", IF(AH22&gt;=0.7, "⚡ Consistent", "⚠️ Needs Focus")))</f>
        <v/>
      </c>
      <c r="AK22">
        <f>COUNTIF(E22:AG22, "✓")</f>
        <v/>
      </c>
    </row>
    <row r="23" ht="14.5" customHeight="1">
      <c r="A23" s="104" t="n">
        <v>6</v>
      </c>
      <c r="B23" s="105" t="n"/>
      <c r="C23" s="106" t="n"/>
      <c r="D23" s="106" t="n"/>
      <c r="E23" s="107" t="n"/>
      <c r="F23" s="107" t="n"/>
      <c r="G23" s="107" t="n"/>
      <c r="H23" s="107" t="n"/>
      <c r="I23" s="107" t="n"/>
      <c r="J23" s="108" t="n"/>
      <c r="K23" s="107" t="n"/>
      <c r="L23" s="107" t="n"/>
      <c r="M23" s="107" t="n"/>
      <c r="N23" s="107" t="n"/>
      <c r="O23" s="107" t="n"/>
      <c r="P23" s="107" t="n"/>
      <c r="Q23" s="108" t="n"/>
      <c r="R23" s="107" t="n"/>
      <c r="S23" s="107" t="n"/>
      <c r="T23" s="107" t="n"/>
      <c r="U23" s="107" t="n"/>
      <c r="V23" s="107" t="n"/>
      <c r="W23" s="107" t="n"/>
      <c r="X23" s="108" t="n"/>
      <c r="Y23" s="107" t="n"/>
      <c r="Z23" s="107" t="n"/>
      <c r="AA23" s="107" t="n"/>
      <c r="AB23" s="107" t="n"/>
      <c r="AC23" s="107" t="n"/>
      <c r="AD23" s="107" t="n"/>
      <c r="AE23" s="108" t="n"/>
      <c r="AF23" s="107" t="n"/>
      <c r="AG23" s="107" t="n"/>
      <c r="AH23" s="109">
        <f>IF(ISBLANK(B23), "", IF(ISNUMBER(D23), IF(D23&gt;0, (COUNTIF(E23:AG23, "✓") + COUNTIF(E23:AG23, "✔") + COUNTIF(E23:AG23, "v") + COUNTIF(E23:AG23, "V"))/D23, 0), IF(((COUNTIF(E23:AG23, "✓") + COUNTIF(E23:AG23, "✔") + COUNTIF(E23:AG23, "v") + COUNTIF(E23:AG23, "V")) + COUNTIF(E23:AG23, "✗") + COUNTIF(E23:AG23, "x") + COUNTIF(E23:AG23, "X"))&gt;0, (COUNTIF(E23:AG23, "✓") + COUNTIF(E23:AG23, "✔") + COUNTIF(E23:AG23, "v") + COUNTIF(E23:AG23, "V"))/((COUNTIF(E23:AG23, "✓") + COUNTIF(E23:AG23, "✔") + COUNTIF(E23:AG23, "v") + COUNTIF(E23:AG23, "V")) + COUNTIF(E23:AG23, "✗") + COUNTIF(E23:AG23, "x") + COUNTIF(E23:AG23, "X")), "")))</f>
        <v/>
      </c>
      <c r="AI23" s="110">
        <f>IF(ISBLANK(B23), "", IF(ISNUMBER(D23), IF(D23&gt;0, (COUNTIF(E23:AG23, "✓") + COUNTIF(E23:AG23, "✔") + COUNTIF(E23:AG23, "v") + COUNTIF(E23:AG23, "V")) &amp; "/" &amp; D23, (COUNTIF(E23:AG23, "✓") + COUNTIF(E23:AG23, "✔") + COUNTIF(E23:AG23, "v") + COUNTIF(E23:AG23, "V")) &amp; "/0"), IF(((COUNTIF(E23:AG23, "✓") + COUNTIF(E23:AG23, "✔") + COUNTIF(E23:AG23, "v") + COUNTIF(E23:AG23, "V")) + COUNTIF(E23:AG23, "✗") + COUNTIF(E23:AG23, "x") + COUNTIF(E23:AG23, "X"))&gt;0, (COUNTIF(E23:AG23, "✓") + COUNTIF(E23:AG23, "✔") + COUNTIF(E23:AG23, "v") + COUNTIF(E23:AG23, "V")) &amp; "/" &amp; ((COUNTIF(E23:AG23, "✓") + COUNTIF(E23:AG23, "✔") + COUNTIF(E23:AG23, "v") + COUNTIF(E23:AG23, "V")) + COUNTIF(E23:AG23, "✗") + COUNTIF(E23:AG23, "x") + COUNTIF(E23:AG23, "X")), "")))</f>
        <v/>
      </c>
      <c r="AJ23" s="110">
        <f>IF(ISBLANK(B23), "", IF(AH23&gt;=0.85, "🔥 Mastered", IF(AH23&gt;=0.7, "⚡ Consistent", "⚠️ Needs Focus")))</f>
        <v/>
      </c>
      <c r="AK23">
        <f>COUNTIF(E23:AG23, "✓")</f>
        <v/>
      </c>
    </row>
    <row r="24" ht="14.5" customHeight="1">
      <c r="A24" s="104" t="n">
        <v>7</v>
      </c>
      <c r="B24" s="105" t="n"/>
      <c r="C24" s="106" t="n"/>
      <c r="D24" s="106" t="n"/>
      <c r="E24" s="107" t="n"/>
      <c r="F24" s="107" t="n"/>
      <c r="G24" s="107" t="n"/>
      <c r="H24" s="107" t="n"/>
      <c r="I24" s="107" t="n"/>
      <c r="J24" s="108" t="n"/>
      <c r="K24" s="107" t="n"/>
      <c r="L24" s="107" t="n"/>
      <c r="M24" s="107" t="n"/>
      <c r="N24" s="107" t="n"/>
      <c r="O24" s="107" t="n"/>
      <c r="P24" s="107" t="n"/>
      <c r="Q24" s="108" t="n"/>
      <c r="R24" s="107" t="n"/>
      <c r="S24" s="107" t="n"/>
      <c r="T24" s="107" t="n"/>
      <c r="U24" s="107" t="n"/>
      <c r="V24" s="107" t="n"/>
      <c r="W24" s="107" t="n"/>
      <c r="X24" s="108" t="n"/>
      <c r="Y24" s="107" t="n"/>
      <c r="Z24" s="107" t="n"/>
      <c r="AA24" s="107" t="n"/>
      <c r="AB24" s="107" t="n"/>
      <c r="AC24" s="107" t="n"/>
      <c r="AD24" s="107" t="n"/>
      <c r="AE24" s="108" t="n"/>
      <c r="AF24" s="107" t="n"/>
      <c r="AG24" s="107" t="n"/>
      <c r="AH24" s="109">
        <f>IF(ISBLANK(B24), "", IF(ISNUMBER(D24), IF(D24&gt;0, (COUNTIF(E24:AG24, "✓") + COUNTIF(E24:AG24, "✔") + COUNTIF(E24:AG24, "v") + COUNTIF(E24:AG24, "V"))/D24, 0), IF(((COUNTIF(E24:AG24, "✓") + COUNTIF(E24:AG24, "✔") + COUNTIF(E24:AG24, "v") + COUNTIF(E24:AG24, "V")) + COUNTIF(E24:AG24, "✗") + COUNTIF(E24:AG24, "x") + COUNTIF(E24:AG24, "X"))&gt;0, (COUNTIF(E24:AG24, "✓") + COUNTIF(E24:AG24, "✔") + COUNTIF(E24:AG24, "v") + COUNTIF(E24:AG24, "V"))/((COUNTIF(E24:AG24, "✓") + COUNTIF(E24:AG24, "✔") + COUNTIF(E24:AG24, "v") + COUNTIF(E24:AG24, "V")) + COUNTIF(E24:AG24, "✗") + COUNTIF(E24:AG24, "x") + COUNTIF(E24:AG24, "X")), "")))</f>
        <v/>
      </c>
      <c r="AI24" s="110">
        <f>IF(ISBLANK(B24), "", IF(ISNUMBER(D24), IF(D24&gt;0, (COUNTIF(E24:AG24, "✓") + COUNTIF(E24:AG24, "✔") + COUNTIF(E24:AG24, "v") + COUNTIF(E24:AG24, "V")) &amp; "/" &amp; D24, (COUNTIF(E24:AG24, "✓") + COUNTIF(E24:AG24, "✔") + COUNTIF(E24:AG24, "v") + COUNTIF(E24:AG24, "V")) &amp; "/0"), IF(((COUNTIF(E24:AG24, "✓") + COUNTIF(E24:AG24, "✔") + COUNTIF(E24:AG24, "v") + COUNTIF(E24:AG24, "V")) + COUNTIF(E24:AG24, "✗") + COUNTIF(E24:AG24, "x") + COUNTIF(E24:AG24, "X"))&gt;0, (COUNTIF(E24:AG24, "✓") + COUNTIF(E24:AG24, "✔") + COUNTIF(E24:AG24, "v") + COUNTIF(E24:AG24, "V")) &amp; "/" &amp; ((COUNTIF(E24:AG24, "✓") + COUNTIF(E24:AG24, "✔") + COUNTIF(E24:AG24, "v") + COUNTIF(E24:AG24, "V")) + COUNTIF(E24:AG24, "✗") + COUNTIF(E24:AG24, "x") + COUNTIF(E24:AG24, "X")), "")))</f>
        <v/>
      </c>
      <c r="AJ24" s="110">
        <f>IF(ISBLANK(B24), "", IF(AH24&gt;=0.85, "🔥 Mastered", IF(AH24&gt;=0.7, "⚡ Consistent", "⚠️ Needs Focus")))</f>
        <v/>
      </c>
      <c r="AK24">
        <f>COUNTIF(E24:AG24, "✓")</f>
        <v/>
      </c>
    </row>
    <row r="25" ht="14.5" customHeight="1">
      <c r="A25" s="104" t="n">
        <v>8</v>
      </c>
      <c r="B25" s="105" t="n"/>
      <c r="C25" s="106" t="n"/>
      <c r="D25" s="106" t="n"/>
      <c r="E25" s="107" t="n"/>
      <c r="F25" s="107" t="n"/>
      <c r="G25" s="107" t="n"/>
      <c r="H25" s="107" t="n"/>
      <c r="I25" s="107" t="n"/>
      <c r="J25" s="108" t="n"/>
      <c r="K25" s="107" t="n"/>
      <c r="L25" s="107" t="n"/>
      <c r="M25" s="107" t="n"/>
      <c r="N25" s="107" t="n"/>
      <c r="O25" s="107" t="n"/>
      <c r="P25" s="107" t="n"/>
      <c r="Q25" s="108" t="n"/>
      <c r="R25" s="107" t="n"/>
      <c r="S25" s="107" t="n"/>
      <c r="T25" s="107" t="n"/>
      <c r="U25" s="107" t="n"/>
      <c r="V25" s="107" t="n"/>
      <c r="W25" s="107" t="n"/>
      <c r="X25" s="108" t="n"/>
      <c r="Y25" s="107" t="n"/>
      <c r="Z25" s="107" t="n"/>
      <c r="AA25" s="107" t="n"/>
      <c r="AB25" s="107" t="n"/>
      <c r="AC25" s="107" t="n"/>
      <c r="AD25" s="107" t="n"/>
      <c r="AE25" s="108" t="n"/>
      <c r="AF25" s="107" t="n"/>
      <c r="AG25" s="107" t="n"/>
      <c r="AH25" s="109">
        <f>IF(ISBLANK(B25), "", IF(ISNUMBER(D25), IF(D25&gt;0, (COUNTIF(E25:AG25, "✓") + COUNTIF(E25:AG25, "✔") + COUNTIF(E25:AG25, "v") + COUNTIF(E25:AG25, "V"))/D25, 0), IF(((COUNTIF(E25:AG25, "✓") + COUNTIF(E25:AG25, "✔") + COUNTIF(E25:AG25, "v") + COUNTIF(E25:AG25, "V")) + COUNTIF(E25:AG25, "✗") + COUNTIF(E25:AG25, "x") + COUNTIF(E25:AG25, "X"))&gt;0, (COUNTIF(E25:AG25, "✓") + COUNTIF(E25:AG25, "✔") + COUNTIF(E25:AG25, "v") + COUNTIF(E25:AG25, "V"))/((COUNTIF(E25:AG25, "✓") + COUNTIF(E25:AG25, "✔") + COUNTIF(E25:AG25, "v") + COUNTIF(E25:AG25, "V")) + COUNTIF(E25:AG25, "✗") + COUNTIF(E25:AG25, "x") + COUNTIF(E25:AG25, "X")), "")))</f>
        <v/>
      </c>
      <c r="AI25" s="110">
        <f>IF(ISBLANK(B25), "", IF(ISNUMBER(D25), IF(D25&gt;0, (COUNTIF(E25:AG25, "✓") + COUNTIF(E25:AG25, "✔") + COUNTIF(E25:AG25, "v") + COUNTIF(E25:AG25, "V")) &amp; "/" &amp; D25, (COUNTIF(E25:AG25, "✓") + COUNTIF(E25:AG25, "✔") + COUNTIF(E25:AG25, "v") + COUNTIF(E25:AG25, "V")) &amp; "/0"), IF(((COUNTIF(E25:AG25, "✓") + COUNTIF(E25:AG25, "✔") + COUNTIF(E25:AG25, "v") + COUNTIF(E25:AG25, "V")) + COUNTIF(E25:AG25, "✗") + COUNTIF(E25:AG25, "x") + COUNTIF(E25:AG25, "X"))&gt;0, (COUNTIF(E25:AG25, "✓") + COUNTIF(E25:AG25, "✔") + COUNTIF(E25:AG25, "v") + COUNTIF(E25:AG25, "V")) &amp; "/" &amp; ((COUNTIF(E25:AG25, "✓") + COUNTIF(E25:AG25, "✔") + COUNTIF(E25:AG25, "v") + COUNTIF(E25:AG25, "V")) + COUNTIF(E25:AG25, "✗") + COUNTIF(E25:AG25, "x") + COUNTIF(E25:AG25, "X")), "")))</f>
        <v/>
      </c>
      <c r="AJ25" s="110">
        <f>IF(ISBLANK(B25), "", IF(AH25&gt;=0.85, "🔥 Mastered", IF(AH25&gt;=0.7, "⚡ Consistent", "⚠️ Needs Focus")))</f>
        <v/>
      </c>
      <c r="AK25">
        <f>COUNTIF(E25:AG25, "✓")</f>
        <v/>
      </c>
    </row>
    <row r="26" ht="14.5" customHeight="1">
      <c r="A26" s="111" t="n">
        <v>9</v>
      </c>
      <c r="B26" s="112" t="n"/>
      <c r="C26" s="113" t="n"/>
      <c r="D26" s="113" t="n"/>
      <c r="E26" s="114" t="n"/>
      <c r="F26" s="114" t="n"/>
      <c r="G26" s="114" t="n"/>
      <c r="H26" s="114" t="n"/>
      <c r="I26" s="114" t="n"/>
      <c r="J26" s="115" t="n"/>
      <c r="K26" s="114" t="n"/>
      <c r="L26" s="114" t="n"/>
      <c r="M26" s="114" t="n"/>
      <c r="N26" s="114" t="n"/>
      <c r="O26" s="114" t="n"/>
      <c r="P26" s="114" t="n"/>
      <c r="Q26" s="115" t="n"/>
      <c r="R26" s="114" t="n"/>
      <c r="S26" s="114" t="n"/>
      <c r="T26" s="114" t="n"/>
      <c r="U26" s="114" t="n"/>
      <c r="V26" s="114" t="n"/>
      <c r="W26" s="114" t="n"/>
      <c r="X26" s="115" t="n"/>
      <c r="Y26" s="114" t="n"/>
      <c r="Z26" s="114" t="n"/>
      <c r="AA26" s="114" t="n"/>
      <c r="AB26" s="114" t="n"/>
      <c r="AC26" s="114" t="n"/>
      <c r="AD26" s="114" t="n"/>
      <c r="AE26" s="115" t="n"/>
      <c r="AF26" s="114" t="n"/>
      <c r="AG26" s="114" t="n"/>
      <c r="AH26" s="116">
        <f>IF(ISBLANK(B26), "", IF(ISNUMBER(D26), IF(D26&gt;0, (COUNTIF(E26:AG26, "✓") + COUNTIF(E26:AG26, "✔") + COUNTIF(E26:AG26, "v") + COUNTIF(E26:AG26, "V"))/D26, 0), IF(((COUNTIF(E26:AG26, "✓") + COUNTIF(E26:AG26, "✔") + COUNTIF(E26:AG26, "v") + COUNTIF(E26:AG26, "V")) + COUNTIF(E26:AG26, "✗") + COUNTIF(E26:AG26, "x") + COUNTIF(E26:AG26, "X"))&gt;0, (COUNTIF(E26:AG26, "✓") + COUNTIF(E26:AG26, "✔") + COUNTIF(E26:AG26, "v") + COUNTIF(E26:AG26, "V"))/((COUNTIF(E26:AG26, "✓") + COUNTIF(E26:AG26, "✔") + COUNTIF(E26:AG26, "v") + COUNTIF(E26:AG26, "V")) + COUNTIF(E26:AG26, "✗") + COUNTIF(E26:AG26, "x") + COUNTIF(E26:AG26, "X")), "")))</f>
        <v/>
      </c>
      <c r="AI26" s="117">
        <f>IF(ISBLANK(B26), "", IF(ISNUMBER(D26), IF(D26&gt;0, (COUNTIF(E26:AG26, "✓") + COUNTIF(E26:AG26, "✔") + COUNTIF(E26:AG26, "v") + COUNTIF(E26:AG26, "V")) &amp; "/" &amp; D26, (COUNTIF(E26:AG26, "✓") + COUNTIF(E26:AG26, "✔") + COUNTIF(E26:AG26, "v") + COUNTIF(E26:AG26, "V")) &amp; "/0"), IF(((COUNTIF(E26:AG26, "✓") + COUNTIF(E26:AG26, "✔") + COUNTIF(E26:AG26, "v") + COUNTIF(E26:AG26, "V")) + COUNTIF(E26:AG26, "✗") + COUNTIF(E26:AG26, "x") + COUNTIF(E26:AG26, "X"))&gt;0, (COUNTIF(E26:AG26, "✓") + COUNTIF(E26:AG26, "✔") + COUNTIF(E26:AG26, "v") + COUNTIF(E26:AG26, "V")) &amp; "/" &amp; ((COUNTIF(E26:AG26, "✓") + COUNTIF(E26:AG26, "✔") + COUNTIF(E26:AG26, "v") + COUNTIF(E26:AG26, "V")) + COUNTIF(E26:AG26, "✗") + COUNTIF(E26:AG26, "x") + COUNTIF(E26:AG26, "X")), "")))</f>
        <v/>
      </c>
      <c r="AJ26" s="117">
        <f>IF(ISBLANK(B26), "", IF(AH26&gt;=0.85, "🔥 Mastered", IF(AH26&gt;=0.7, "⚡ Consistent", "⚠️ Needs Focus")))</f>
        <v/>
      </c>
      <c r="AK26">
        <f>COUNTIF(E26:AG26, "✓")</f>
        <v/>
      </c>
    </row>
    <row r="27" ht="14.5" customHeight="1">
      <c r="A27" s="111" t="n">
        <v>10</v>
      </c>
      <c r="B27" s="112" t="n"/>
      <c r="C27" s="113" t="n"/>
      <c r="D27" s="113" t="n"/>
      <c r="E27" s="114" t="n"/>
      <c r="F27" s="114" t="n"/>
      <c r="G27" s="114" t="n"/>
      <c r="H27" s="114" t="n"/>
      <c r="I27" s="114" t="n"/>
      <c r="J27" s="115" t="n"/>
      <c r="K27" s="114" t="n"/>
      <c r="L27" s="114" t="n"/>
      <c r="M27" s="114" t="n"/>
      <c r="N27" s="114" t="n"/>
      <c r="O27" s="114" t="n"/>
      <c r="P27" s="114" t="n"/>
      <c r="Q27" s="115" t="n"/>
      <c r="R27" s="114" t="n"/>
      <c r="S27" s="114" t="n"/>
      <c r="T27" s="114" t="n"/>
      <c r="U27" s="114" t="n"/>
      <c r="V27" s="114" t="n"/>
      <c r="W27" s="114" t="n"/>
      <c r="X27" s="115" t="n"/>
      <c r="Y27" s="114" t="n"/>
      <c r="Z27" s="114" t="n"/>
      <c r="AA27" s="114" t="n"/>
      <c r="AB27" s="114" t="n"/>
      <c r="AC27" s="114" t="n"/>
      <c r="AD27" s="114" t="n"/>
      <c r="AE27" s="115" t="n"/>
      <c r="AF27" s="114" t="n"/>
      <c r="AG27" s="114" t="n"/>
      <c r="AH27" s="116">
        <f>IF(ISBLANK(B27), "", IF(ISNUMBER(D27), IF(D27&gt;0, (COUNTIF(E27:AG27, "✓") + COUNTIF(E27:AG27, "✔") + COUNTIF(E27:AG27, "v") + COUNTIF(E27:AG27, "V"))/D27, 0), IF(((COUNTIF(E27:AG27, "✓") + COUNTIF(E27:AG27, "✔") + COUNTIF(E27:AG27, "v") + COUNTIF(E27:AG27, "V")) + COUNTIF(E27:AG27, "✗") + COUNTIF(E27:AG27, "x") + COUNTIF(E27:AG27, "X"))&gt;0, (COUNTIF(E27:AG27, "✓") + COUNTIF(E27:AG27, "✔") + COUNTIF(E27:AG27, "v") + COUNTIF(E27:AG27, "V"))/((COUNTIF(E27:AG27, "✓") + COUNTIF(E27:AG27, "✔") + COUNTIF(E27:AG27, "v") + COUNTIF(E27:AG27, "V")) + COUNTIF(E27:AG27, "✗") + COUNTIF(E27:AG27, "x") + COUNTIF(E27:AG27, "X")), "")))</f>
        <v/>
      </c>
      <c r="AI27" s="117">
        <f>IF(ISBLANK(B27), "", IF(ISNUMBER(D27), IF(D27&gt;0, (COUNTIF(E27:AG27, "✓") + COUNTIF(E27:AG27, "✔") + COUNTIF(E27:AG27, "v") + COUNTIF(E27:AG27, "V")) &amp; "/" &amp; D27, (COUNTIF(E27:AG27, "✓") + COUNTIF(E27:AG27, "✔") + COUNTIF(E27:AG27, "v") + COUNTIF(E27:AG27, "V")) &amp; "/0"), IF(((COUNTIF(E27:AG27, "✓") + COUNTIF(E27:AG27, "✔") + COUNTIF(E27:AG27, "v") + COUNTIF(E27:AG27, "V")) + COUNTIF(E27:AG27, "✗") + COUNTIF(E27:AG27, "x") + COUNTIF(E27:AG27, "X"))&gt;0, (COUNTIF(E27:AG27, "✓") + COUNTIF(E27:AG27, "✔") + COUNTIF(E27:AG27, "v") + COUNTIF(E27:AG27, "V")) &amp; "/" &amp; ((COUNTIF(E27:AG27, "✓") + COUNTIF(E27:AG27, "✔") + COUNTIF(E27:AG27, "v") + COUNTIF(E27:AG27, "V")) + COUNTIF(E27:AG27, "✗") + COUNTIF(E27:AG27, "x") + COUNTIF(E27:AG27, "X")), "")))</f>
        <v/>
      </c>
      <c r="AJ27" s="117">
        <f>IF(ISBLANK(B27), "", IF(AH27&gt;=0.85, "🔥 Mastered", IF(AH27&gt;=0.7, "⚡ Consistent", "⚠️ Needs Focus")))</f>
        <v/>
      </c>
      <c r="AK27">
        <f>COUNTIF(E27:AG27, "✓")</f>
        <v/>
      </c>
    </row>
    <row r="28" ht="14.5" customHeight="1">
      <c r="A28" s="111" t="n">
        <v>11</v>
      </c>
      <c r="B28" s="112" t="n"/>
      <c r="C28" s="113" t="n"/>
      <c r="D28" s="113" t="n"/>
      <c r="E28" s="114" t="n"/>
      <c r="F28" s="114" t="n"/>
      <c r="G28" s="114" t="n"/>
      <c r="H28" s="114" t="n"/>
      <c r="I28" s="114" t="n"/>
      <c r="J28" s="115" t="n"/>
      <c r="K28" s="114" t="n"/>
      <c r="L28" s="114" t="n"/>
      <c r="M28" s="114" t="n"/>
      <c r="N28" s="114" t="n"/>
      <c r="O28" s="114" t="n"/>
      <c r="P28" s="114" t="n"/>
      <c r="Q28" s="115" t="n"/>
      <c r="R28" s="114" t="n"/>
      <c r="S28" s="114" t="n"/>
      <c r="T28" s="114" t="n"/>
      <c r="U28" s="114" t="n"/>
      <c r="V28" s="114" t="n"/>
      <c r="W28" s="114" t="n"/>
      <c r="X28" s="115" t="n"/>
      <c r="Y28" s="114" t="n"/>
      <c r="Z28" s="114" t="n"/>
      <c r="AA28" s="114" t="n"/>
      <c r="AB28" s="114" t="n"/>
      <c r="AC28" s="114" t="n"/>
      <c r="AD28" s="114" t="n"/>
      <c r="AE28" s="115" t="n"/>
      <c r="AF28" s="114" t="n"/>
      <c r="AG28" s="114" t="n"/>
      <c r="AH28" s="116">
        <f>IF(ISBLANK(B28), "", IF(ISNUMBER(D28), IF(D28&gt;0, (COUNTIF(E28:AG28, "✓") + COUNTIF(E28:AG28, "✔") + COUNTIF(E28:AG28, "v") + COUNTIF(E28:AG28, "V"))/D28, 0), IF(((COUNTIF(E28:AG28, "✓") + COUNTIF(E28:AG28, "✔") + COUNTIF(E28:AG28, "v") + COUNTIF(E28:AG28, "V")) + COUNTIF(E28:AG28, "✗") + COUNTIF(E28:AG28, "x") + COUNTIF(E28:AG28, "X"))&gt;0, (COUNTIF(E28:AG28, "✓") + COUNTIF(E28:AG28, "✔") + COUNTIF(E28:AG28, "v") + COUNTIF(E28:AG28, "V"))/((COUNTIF(E28:AG28, "✓") + COUNTIF(E28:AG28, "✔") + COUNTIF(E28:AG28, "v") + COUNTIF(E28:AG28, "V")) + COUNTIF(E28:AG28, "✗") + COUNTIF(E28:AG28, "x") + COUNTIF(E28:AG28, "X")), "")))</f>
        <v/>
      </c>
      <c r="AI28" s="117">
        <f>IF(ISBLANK(B28), "", IF(ISNUMBER(D28), IF(D28&gt;0, (COUNTIF(E28:AG28, "✓") + COUNTIF(E28:AG28, "✔") + COUNTIF(E28:AG28, "v") + COUNTIF(E28:AG28, "V")) &amp; "/" &amp; D28, (COUNTIF(E28:AG28, "✓") + COUNTIF(E28:AG28, "✔") + COUNTIF(E28:AG28, "v") + COUNTIF(E28:AG28, "V")) &amp; "/0"), IF(((COUNTIF(E28:AG28, "✓") + COUNTIF(E28:AG28, "✔") + COUNTIF(E28:AG28, "v") + COUNTIF(E28:AG28, "V")) + COUNTIF(E28:AG28, "✗") + COUNTIF(E28:AG28, "x") + COUNTIF(E28:AG28, "X"))&gt;0, (COUNTIF(E28:AG28, "✓") + COUNTIF(E28:AG28, "✔") + COUNTIF(E28:AG28, "v") + COUNTIF(E28:AG28, "V")) &amp; "/" &amp; ((COUNTIF(E28:AG28, "✓") + COUNTIF(E28:AG28, "✔") + COUNTIF(E28:AG28, "v") + COUNTIF(E28:AG28, "V")) + COUNTIF(E28:AG28, "✗") + COUNTIF(E28:AG28, "x") + COUNTIF(E28:AG28, "X")), "")))</f>
        <v/>
      </c>
      <c r="AJ28" s="117">
        <f>IF(ISBLANK(B28), "", IF(AH28&gt;=0.85, "🔥 Mastered", IF(AH28&gt;=0.7, "⚡ Consistent", "⚠️ Needs Focus")))</f>
        <v/>
      </c>
      <c r="AK28">
        <f>COUNTIF(E28:AG28, "✓")</f>
        <v/>
      </c>
    </row>
    <row r="29" ht="14.5" customHeight="1">
      <c r="A29" s="111" t="n">
        <v>12</v>
      </c>
      <c r="B29" s="112" t="n"/>
      <c r="C29" s="113" t="n"/>
      <c r="D29" s="113" t="n"/>
      <c r="E29" s="114" t="n"/>
      <c r="F29" s="114" t="n"/>
      <c r="G29" s="114" t="n"/>
      <c r="H29" s="114" t="n"/>
      <c r="I29" s="114" t="n"/>
      <c r="J29" s="115" t="n"/>
      <c r="K29" s="114" t="n"/>
      <c r="L29" s="114" t="n"/>
      <c r="M29" s="114" t="n"/>
      <c r="N29" s="114" t="n"/>
      <c r="O29" s="114" t="n"/>
      <c r="P29" s="114" t="n"/>
      <c r="Q29" s="115" t="n"/>
      <c r="R29" s="114" t="n"/>
      <c r="S29" s="114" t="n"/>
      <c r="T29" s="114" t="n"/>
      <c r="U29" s="114" t="n"/>
      <c r="V29" s="114" t="n"/>
      <c r="W29" s="114" t="n"/>
      <c r="X29" s="115" t="n"/>
      <c r="Y29" s="114" t="n"/>
      <c r="Z29" s="114" t="n"/>
      <c r="AA29" s="114" t="n"/>
      <c r="AB29" s="114" t="n"/>
      <c r="AC29" s="114" t="n"/>
      <c r="AD29" s="114" t="n"/>
      <c r="AE29" s="115" t="n"/>
      <c r="AF29" s="114" t="n"/>
      <c r="AG29" s="114" t="n"/>
      <c r="AH29" s="116">
        <f>IF(ISBLANK(B29), "", IF(ISNUMBER(D29), IF(D29&gt;0, (COUNTIF(E29:AG29, "✓") + COUNTIF(E29:AG29, "✔") + COUNTIF(E29:AG29, "v") + COUNTIF(E29:AG29, "V"))/D29, 0), IF(((COUNTIF(E29:AG29, "✓") + COUNTIF(E29:AG29, "✔") + COUNTIF(E29:AG29, "v") + COUNTIF(E29:AG29, "V")) + COUNTIF(E29:AG29, "✗") + COUNTIF(E29:AG29, "x") + COUNTIF(E29:AG29, "X"))&gt;0, (COUNTIF(E29:AG29, "✓") + COUNTIF(E29:AG29, "✔") + COUNTIF(E29:AG29, "v") + COUNTIF(E29:AG29, "V"))/((COUNTIF(E29:AG29, "✓") + COUNTIF(E29:AG29, "✔") + COUNTIF(E29:AG29, "v") + COUNTIF(E29:AG29, "V")) + COUNTIF(E29:AG29, "✗") + COUNTIF(E29:AG29, "x") + COUNTIF(E29:AG29, "X")), "")))</f>
        <v/>
      </c>
      <c r="AI29" s="117">
        <f>IF(ISBLANK(B29), "", IF(ISNUMBER(D29), IF(D29&gt;0, (COUNTIF(E29:AG29, "✓") + COUNTIF(E29:AG29, "✔") + COUNTIF(E29:AG29, "v") + COUNTIF(E29:AG29, "V")) &amp; "/" &amp; D29, (COUNTIF(E29:AG29, "✓") + COUNTIF(E29:AG29, "✔") + COUNTIF(E29:AG29, "v") + COUNTIF(E29:AG29, "V")) &amp; "/0"), IF(((COUNTIF(E29:AG29, "✓") + COUNTIF(E29:AG29, "✔") + COUNTIF(E29:AG29, "v") + COUNTIF(E29:AG29, "V")) + COUNTIF(E29:AG29, "✗") + COUNTIF(E29:AG29, "x") + COUNTIF(E29:AG29, "X"))&gt;0, (COUNTIF(E29:AG29, "✓") + COUNTIF(E29:AG29, "✔") + COUNTIF(E29:AG29, "v") + COUNTIF(E29:AG29, "V")) &amp; "/" &amp; ((COUNTIF(E29:AG29, "✓") + COUNTIF(E29:AG29, "✔") + COUNTIF(E29:AG29, "v") + COUNTIF(E29:AG29, "V")) + COUNTIF(E29:AG29, "✗") + COUNTIF(E29:AG29, "x") + COUNTIF(E29:AG29, "X")), "")))</f>
        <v/>
      </c>
      <c r="AJ29" s="117">
        <f>IF(ISBLANK(B29), "", IF(AH29&gt;=0.85, "🔥 Mastered", IF(AH29&gt;=0.7, "⚡ Consistent", "⚠️ Needs Focus")))</f>
        <v/>
      </c>
      <c r="AK29">
        <f>COUNTIF(E29:AG29, "✓")</f>
        <v/>
      </c>
    </row>
    <row r="30" ht="14.5" customHeight="1">
      <c r="A30" s="118" t="n">
        <v>13</v>
      </c>
      <c r="B30" s="119" t="n"/>
      <c r="C30" s="120" t="n"/>
      <c r="D30" s="120" t="n"/>
      <c r="E30" s="121" t="n"/>
      <c r="F30" s="121" t="n"/>
      <c r="G30" s="121" t="n"/>
      <c r="H30" s="121" t="n"/>
      <c r="I30" s="121" t="n"/>
      <c r="J30" s="122" t="n"/>
      <c r="K30" s="121" t="n"/>
      <c r="L30" s="121" t="n"/>
      <c r="M30" s="121" t="n"/>
      <c r="N30" s="121" t="n"/>
      <c r="O30" s="121" t="n"/>
      <c r="P30" s="121" t="n"/>
      <c r="Q30" s="122" t="n"/>
      <c r="R30" s="121" t="n"/>
      <c r="S30" s="121" t="n"/>
      <c r="T30" s="121" t="n"/>
      <c r="U30" s="121" t="n"/>
      <c r="V30" s="121" t="n"/>
      <c r="W30" s="121" t="n"/>
      <c r="X30" s="122" t="n"/>
      <c r="Y30" s="121" t="n"/>
      <c r="Z30" s="121" t="n"/>
      <c r="AA30" s="121" t="n"/>
      <c r="AB30" s="121" t="n"/>
      <c r="AC30" s="121" t="n"/>
      <c r="AD30" s="121" t="n"/>
      <c r="AE30" s="122" t="n"/>
      <c r="AF30" s="121" t="n"/>
      <c r="AG30" s="121" t="n"/>
      <c r="AH30" s="123">
        <f>IF(ISBLANK(B30), "", IF(ISNUMBER(D30), IF(D30&gt;0, (COUNTIF(E30:AG30, "✓") + COUNTIF(E30:AG30, "✔") + COUNTIF(E30:AG30, "v") + COUNTIF(E30:AG30, "V"))/D30, 0), IF(((COUNTIF(E30:AG30, "✓") + COUNTIF(E30:AG30, "✔") + COUNTIF(E30:AG30, "v") + COUNTIF(E30:AG30, "V")) + COUNTIF(E30:AG30, "✗") + COUNTIF(E30:AG30, "x") + COUNTIF(E30:AG30, "X"))&gt;0, (COUNTIF(E30:AG30, "✓") + COUNTIF(E30:AG30, "✔") + COUNTIF(E30:AG30, "v") + COUNTIF(E30:AG30, "V"))/((COUNTIF(E30:AG30, "✓") + COUNTIF(E30:AG30, "✔") + COUNTIF(E30:AG30, "v") + COUNTIF(E30:AG30, "V")) + COUNTIF(E30:AG30, "✗") + COUNTIF(E30:AG30, "x") + COUNTIF(E30:AG30, "X")), "")))</f>
        <v/>
      </c>
      <c r="AI30" s="124">
        <f>IF(ISBLANK(B30), "", IF(ISNUMBER(D30), IF(D30&gt;0, (COUNTIF(E30:AG30, "✓") + COUNTIF(E30:AG30, "✔") + COUNTIF(E30:AG30, "v") + COUNTIF(E30:AG30, "V")) &amp; "/" &amp; D30, (COUNTIF(E30:AG30, "✓") + COUNTIF(E30:AG30, "✔") + COUNTIF(E30:AG30, "v") + COUNTIF(E30:AG30, "V")) &amp; "/0"), IF(((COUNTIF(E30:AG30, "✓") + COUNTIF(E30:AG30, "✔") + COUNTIF(E30:AG30, "v") + COUNTIF(E30:AG30, "V")) + COUNTIF(E30:AG30, "✗") + COUNTIF(E30:AG30, "x") + COUNTIF(E30:AG30, "X"))&gt;0, (COUNTIF(E30:AG30, "✓") + COUNTIF(E30:AG30, "✔") + COUNTIF(E30:AG30, "v") + COUNTIF(E30:AG30, "V")) &amp; "/" &amp; ((COUNTIF(E30:AG30, "✓") + COUNTIF(E30:AG30, "✔") + COUNTIF(E30:AG30, "v") + COUNTIF(E30:AG30, "V")) + COUNTIF(E30:AG30, "✗") + COUNTIF(E30:AG30, "x") + COUNTIF(E30:AG30, "X")), "")))</f>
        <v/>
      </c>
      <c r="AJ30" s="124">
        <f>IF(ISBLANK(B30), "", IF(AH30&gt;=0.85, "🔥 Mastered", IF(AH30&gt;=0.7, "⚡ Consistent", "⚠️ Needs Focus")))</f>
        <v/>
      </c>
      <c r="AK30">
        <f>COUNTIF(E30:AG30, "✓")</f>
        <v/>
      </c>
    </row>
    <row r="31" ht="14.5" customHeight="1">
      <c r="A31" s="118" t="n">
        <v>14</v>
      </c>
      <c r="B31" s="119" t="n"/>
      <c r="C31" s="120" t="n"/>
      <c r="D31" s="120" t="n"/>
      <c r="E31" s="121" t="n"/>
      <c r="F31" s="121" t="n"/>
      <c r="G31" s="121" t="n"/>
      <c r="H31" s="121" t="n"/>
      <c r="I31" s="121" t="n"/>
      <c r="J31" s="122" t="n"/>
      <c r="K31" s="121" t="n"/>
      <c r="L31" s="121" t="n"/>
      <c r="M31" s="121" t="n"/>
      <c r="N31" s="121" t="n"/>
      <c r="O31" s="121" t="n"/>
      <c r="P31" s="121" t="n"/>
      <c r="Q31" s="122" t="n"/>
      <c r="R31" s="121" t="n"/>
      <c r="S31" s="121" t="n"/>
      <c r="T31" s="121" t="n"/>
      <c r="U31" s="121" t="n"/>
      <c r="V31" s="121" t="n"/>
      <c r="W31" s="121" t="n"/>
      <c r="X31" s="122" t="n"/>
      <c r="Y31" s="121" t="n"/>
      <c r="Z31" s="121" t="n"/>
      <c r="AA31" s="121" t="n"/>
      <c r="AB31" s="121" t="n"/>
      <c r="AC31" s="121" t="n"/>
      <c r="AD31" s="121" t="n"/>
      <c r="AE31" s="122" t="n"/>
      <c r="AF31" s="121" t="n"/>
      <c r="AG31" s="121" t="n"/>
      <c r="AH31" s="123">
        <f>IF(ISBLANK(B31), "", IF(ISNUMBER(D31), IF(D31&gt;0, (COUNTIF(E31:AG31, "✓") + COUNTIF(E31:AG31, "✔") + COUNTIF(E31:AG31, "v") + COUNTIF(E31:AG31, "V"))/D31, 0), IF(((COUNTIF(E31:AG31, "✓") + COUNTIF(E31:AG31, "✔") + COUNTIF(E31:AG31, "v") + COUNTIF(E31:AG31, "V")) + COUNTIF(E31:AG31, "✗") + COUNTIF(E31:AG31, "x") + COUNTIF(E31:AG31, "X"))&gt;0, (COUNTIF(E31:AG31, "✓") + COUNTIF(E31:AG31, "✔") + COUNTIF(E31:AG31, "v") + COUNTIF(E31:AG31, "V"))/((COUNTIF(E31:AG31, "✓") + COUNTIF(E31:AG31, "✔") + COUNTIF(E31:AG31, "v") + COUNTIF(E31:AG31, "V")) + COUNTIF(E31:AG31, "✗") + COUNTIF(E31:AG31, "x") + COUNTIF(E31:AG31, "X")), "")))</f>
        <v/>
      </c>
      <c r="AI31" s="124">
        <f>IF(ISBLANK(B31), "", IF(ISNUMBER(D31), IF(D31&gt;0, (COUNTIF(E31:AG31, "✓") + COUNTIF(E31:AG31, "✔") + COUNTIF(E31:AG31, "v") + COUNTIF(E31:AG31, "V")) &amp; "/" &amp; D31, (COUNTIF(E31:AG31, "✓") + COUNTIF(E31:AG31, "✔") + COUNTIF(E31:AG31, "v") + COUNTIF(E31:AG31, "V")) &amp; "/0"), IF(((COUNTIF(E31:AG31, "✓") + COUNTIF(E31:AG31, "✔") + COUNTIF(E31:AG31, "v") + COUNTIF(E31:AG31, "V")) + COUNTIF(E31:AG31, "✗") + COUNTIF(E31:AG31, "x") + COUNTIF(E31:AG31, "X"))&gt;0, (COUNTIF(E31:AG31, "✓") + COUNTIF(E31:AG31, "✔") + COUNTIF(E31:AG31, "v") + COUNTIF(E31:AG31, "V")) &amp; "/" &amp; ((COUNTIF(E31:AG31, "✓") + COUNTIF(E31:AG31, "✔") + COUNTIF(E31:AG31, "v") + COUNTIF(E31:AG31, "V")) + COUNTIF(E31:AG31, "✗") + COUNTIF(E31:AG31, "x") + COUNTIF(E31:AG31, "X")), "")))</f>
        <v/>
      </c>
      <c r="AJ31" s="124">
        <f>IF(ISBLANK(B31), "", IF(AH31&gt;=0.85, "🔥 Mastered", IF(AH31&gt;=0.7, "⚡ Consistent", "⚠️ Needs Focus")))</f>
        <v/>
      </c>
      <c r="AK31">
        <f>COUNTIF(E31:AG31, "✓")</f>
        <v/>
      </c>
    </row>
    <row r="32" ht="14.5" customHeight="1">
      <c r="A32" s="118" t="n">
        <v>15</v>
      </c>
      <c r="B32" s="119" t="n"/>
      <c r="C32" s="120" t="n"/>
      <c r="D32" s="120" t="n"/>
      <c r="E32" s="121" t="n"/>
      <c r="F32" s="121" t="n"/>
      <c r="G32" s="121" t="n"/>
      <c r="H32" s="121" t="n"/>
      <c r="I32" s="121" t="n"/>
      <c r="J32" s="122" t="n"/>
      <c r="K32" s="121" t="n"/>
      <c r="L32" s="121" t="n"/>
      <c r="M32" s="121" t="n"/>
      <c r="N32" s="121" t="n"/>
      <c r="O32" s="121" t="n"/>
      <c r="P32" s="121" t="n"/>
      <c r="Q32" s="122" t="n"/>
      <c r="R32" s="121" t="n"/>
      <c r="S32" s="121" t="n"/>
      <c r="T32" s="121" t="n"/>
      <c r="U32" s="121" t="n"/>
      <c r="V32" s="121" t="n"/>
      <c r="W32" s="121" t="n"/>
      <c r="X32" s="122" t="n"/>
      <c r="Y32" s="121" t="n"/>
      <c r="Z32" s="121" t="n"/>
      <c r="AA32" s="121" t="n"/>
      <c r="AB32" s="121" t="n"/>
      <c r="AC32" s="121" t="n"/>
      <c r="AD32" s="121" t="n"/>
      <c r="AE32" s="122" t="n"/>
      <c r="AF32" s="121" t="n"/>
      <c r="AG32" s="121" t="n"/>
      <c r="AH32" s="123">
        <f>IF(ISBLANK(B32), "", IF(ISNUMBER(D32), IF(D32&gt;0, (COUNTIF(E32:AG32, "✓") + COUNTIF(E32:AG32, "✔") + COUNTIF(E32:AG32, "v") + COUNTIF(E32:AG32, "V"))/D32, 0), IF(((COUNTIF(E32:AG32, "✓") + COUNTIF(E32:AG32, "✔") + COUNTIF(E32:AG32, "v") + COUNTIF(E32:AG32, "V")) + COUNTIF(E32:AG32, "✗") + COUNTIF(E32:AG32, "x") + COUNTIF(E32:AG32, "X"))&gt;0, (COUNTIF(E32:AG32, "✓") + COUNTIF(E32:AG32, "✔") + COUNTIF(E32:AG32, "v") + COUNTIF(E32:AG32, "V"))/((COUNTIF(E32:AG32, "✓") + COUNTIF(E32:AG32, "✔") + COUNTIF(E32:AG32, "v") + COUNTIF(E32:AG32, "V")) + COUNTIF(E32:AG32, "✗") + COUNTIF(E32:AG32, "x") + COUNTIF(E32:AG32, "X")), "")))</f>
        <v/>
      </c>
      <c r="AI32" s="124">
        <f>IF(ISBLANK(B32), "", IF(ISNUMBER(D32), IF(D32&gt;0, (COUNTIF(E32:AG32, "✓") + COUNTIF(E32:AG32, "✔") + COUNTIF(E32:AG32, "v") + COUNTIF(E32:AG32, "V")) &amp; "/" &amp; D32, (COUNTIF(E32:AG32, "✓") + COUNTIF(E32:AG32, "✔") + COUNTIF(E32:AG32, "v") + COUNTIF(E32:AG32, "V")) &amp; "/0"), IF(((COUNTIF(E32:AG32, "✓") + COUNTIF(E32:AG32, "✔") + COUNTIF(E32:AG32, "v") + COUNTIF(E32:AG32, "V")) + COUNTIF(E32:AG32, "✗") + COUNTIF(E32:AG32, "x") + COUNTIF(E32:AG32, "X"))&gt;0, (COUNTIF(E32:AG32, "✓") + COUNTIF(E32:AG32, "✔") + COUNTIF(E32:AG32, "v") + COUNTIF(E32:AG32, "V")) &amp; "/" &amp; ((COUNTIF(E32:AG32, "✓") + COUNTIF(E32:AG32, "✔") + COUNTIF(E32:AG32, "v") + COUNTIF(E32:AG32, "V")) + COUNTIF(E32:AG32, "✗") + COUNTIF(E32:AG32, "x") + COUNTIF(E32:AG32, "X")), "")))</f>
        <v/>
      </c>
      <c r="AJ32" s="124">
        <f>IF(ISBLANK(B32), "", IF(AH32&gt;=0.85, "🔥 Mastered", IF(AH32&gt;=0.7, "⚡ Consistent", "⚠️ Needs Focus")))</f>
        <v/>
      </c>
      <c r="AK32">
        <f>COUNTIF(E32:AG32, "✓")</f>
        <v/>
      </c>
    </row>
    <row r="33" ht="14.5" customHeight="1">
      <c r="A33" s="118" t="n">
        <v>16</v>
      </c>
      <c r="B33" s="119" t="n"/>
      <c r="C33" s="120" t="n"/>
      <c r="D33" s="120" t="n"/>
      <c r="E33" s="121" t="n"/>
      <c r="F33" s="121" t="n"/>
      <c r="G33" s="121" t="n"/>
      <c r="H33" s="121" t="n"/>
      <c r="I33" s="121" t="n"/>
      <c r="J33" s="122" t="n"/>
      <c r="K33" s="121" t="n"/>
      <c r="L33" s="121" t="n"/>
      <c r="M33" s="121" t="n"/>
      <c r="N33" s="121" t="n"/>
      <c r="O33" s="121" t="n"/>
      <c r="P33" s="121" t="n"/>
      <c r="Q33" s="122" t="n"/>
      <c r="R33" s="121" t="n"/>
      <c r="S33" s="121" t="n"/>
      <c r="T33" s="121" t="n"/>
      <c r="U33" s="121" t="n"/>
      <c r="V33" s="121" t="n"/>
      <c r="W33" s="121" t="n"/>
      <c r="X33" s="122" t="n"/>
      <c r="Y33" s="121" t="n"/>
      <c r="Z33" s="121" t="n"/>
      <c r="AA33" s="121" t="n"/>
      <c r="AB33" s="121" t="n"/>
      <c r="AC33" s="121" t="n"/>
      <c r="AD33" s="121" t="n"/>
      <c r="AE33" s="122" t="n"/>
      <c r="AF33" s="121" t="n"/>
      <c r="AG33" s="121" t="n"/>
      <c r="AH33" s="123">
        <f>IF(ISBLANK(B33), "", IF(ISNUMBER(D33), IF(D33&gt;0, (COUNTIF(E33:AG33, "✓") + COUNTIF(E33:AG33, "✔") + COUNTIF(E33:AG33, "v") + COUNTIF(E33:AG33, "V"))/D33, 0), IF(((COUNTIF(E33:AG33, "✓") + COUNTIF(E33:AG33, "✔") + COUNTIF(E33:AG33, "v") + COUNTIF(E33:AG33, "V")) + COUNTIF(E33:AG33, "✗") + COUNTIF(E33:AG33, "x") + COUNTIF(E33:AG33, "X"))&gt;0, (COUNTIF(E33:AG33, "✓") + COUNTIF(E33:AG33, "✔") + COUNTIF(E33:AG33, "v") + COUNTIF(E33:AG33, "V"))/((COUNTIF(E33:AG33, "✓") + COUNTIF(E33:AG33, "✔") + COUNTIF(E33:AG33, "v") + COUNTIF(E33:AG33, "V")) + COUNTIF(E33:AG33, "✗") + COUNTIF(E33:AG33, "x") + COUNTIF(E33:AG33, "X")), "")))</f>
        <v/>
      </c>
      <c r="AI33" s="124">
        <f>IF(ISBLANK(B33), "", IF(ISNUMBER(D33), IF(D33&gt;0, (COUNTIF(E33:AG33, "✓") + COUNTIF(E33:AG33, "✔") + COUNTIF(E33:AG33, "v") + COUNTIF(E33:AG33, "V")) &amp; "/" &amp; D33, (COUNTIF(E33:AG33, "✓") + COUNTIF(E33:AG33, "✔") + COUNTIF(E33:AG33, "v") + COUNTIF(E33:AG33, "V")) &amp; "/0"), IF(((COUNTIF(E33:AG33, "✓") + COUNTIF(E33:AG33, "✔") + COUNTIF(E33:AG33, "v") + COUNTIF(E33:AG33, "V")) + COUNTIF(E33:AG33, "✗") + COUNTIF(E33:AG33, "x") + COUNTIF(E33:AG33, "X"))&gt;0, (COUNTIF(E33:AG33, "✓") + COUNTIF(E33:AG33, "✔") + COUNTIF(E33:AG33, "v") + COUNTIF(E33:AG33, "V")) &amp; "/" &amp; ((COUNTIF(E33:AG33, "✓") + COUNTIF(E33:AG33, "✔") + COUNTIF(E33:AG33, "v") + COUNTIF(E33:AG33, "V")) + COUNTIF(E33:AG33, "✗") + COUNTIF(E33:AG33, "x") + COUNTIF(E33:AG33, "X")), "")))</f>
        <v/>
      </c>
      <c r="AJ33" s="124">
        <f>IF(ISBLANK(B33), "", IF(AH33&gt;=0.85, "🔥 Mastered", IF(AH33&gt;=0.7, "⚡ Consistent", "⚠️ Needs Focus")))</f>
        <v/>
      </c>
      <c r="AK33">
        <f>COUNTIF(E33:AG33, "✓")</f>
        <v/>
      </c>
    </row>
    <row r="34" ht="14.5" customHeight="1">
      <c r="A34" s="125" t="n">
        <v>17</v>
      </c>
      <c r="B34" s="126" t="n"/>
      <c r="C34" s="127" t="n"/>
      <c r="D34" s="127" t="n"/>
      <c r="E34" s="128" t="n"/>
      <c r="F34" s="128" t="n"/>
      <c r="G34" s="128" t="n"/>
      <c r="H34" s="128" t="n"/>
      <c r="I34" s="128" t="n"/>
      <c r="J34" s="129" t="n"/>
      <c r="K34" s="128" t="n"/>
      <c r="L34" s="128" t="n"/>
      <c r="M34" s="128" t="n"/>
      <c r="N34" s="128" t="n"/>
      <c r="O34" s="128" t="n"/>
      <c r="P34" s="128" t="n"/>
      <c r="Q34" s="129" t="n"/>
      <c r="R34" s="128" t="n"/>
      <c r="S34" s="128" t="n"/>
      <c r="T34" s="128" t="n"/>
      <c r="U34" s="128" t="n"/>
      <c r="V34" s="128" t="n"/>
      <c r="W34" s="128" t="n"/>
      <c r="X34" s="129" t="n"/>
      <c r="Y34" s="128" t="n"/>
      <c r="Z34" s="128" t="n"/>
      <c r="AA34" s="128" t="n"/>
      <c r="AB34" s="128" t="n"/>
      <c r="AC34" s="128" t="n"/>
      <c r="AD34" s="128" t="n"/>
      <c r="AE34" s="129" t="n"/>
      <c r="AF34" s="128" t="n"/>
      <c r="AG34" s="128" t="n"/>
      <c r="AH34" s="130">
        <f>IF(ISBLANK(B34), "", IF(ISNUMBER(D34), IF(D34&gt;0, (COUNTIF(E34:AG34, "✓") + COUNTIF(E34:AG34, "✔") + COUNTIF(E34:AG34, "v") + COUNTIF(E34:AG34, "V"))/D34, 0), IF(((COUNTIF(E34:AG34, "✓") + COUNTIF(E34:AG34, "✔") + COUNTIF(E34:AG34, "v") + COUNTIF(E34:AG34, "V")) + COUNTIF(E34:AG34, "✗") + COUNTIF(E34:AG34, "x") + COUNTIF(E34:AG34, "X"))&gt;0, (COUNTIF(E34:AG34, "✓") + COUNTIF(E34:AG34, "✔") + COUNTIF(E34:AG34, "v") + COUNTIF(E34:AG34, "V"))/((COUNTIF(E34:AG34, "✓") + COUNTIF(E34:AG34, "✔") + COUNTIF(E34:AG34, "v") + COUNTIF(E34:AG34, "V")) + COUNTIF(E34:AG34, "✗") + COUNTIF(E34:AG34, "x") + COUNTIF(E34:AG34, "X")), "")))</f>
        <v/>
      </c>
      <c r="AI34" s="131">
        <f>IF(ISBLANK(B34), "", IF(ISNUMBER(D34), IF(D34&gt;0, (COUNTIF(E34:AG34, "✓") + COUNTIF(E34:AG34, "✔") + COUNTIF(E34:AG34, "v") + COUNTIF(E34:AG34, "V")) &amp; "/" &amp; D34, (COUNTIF(E34:AG34, "✓") + COUNTIF(E34:AG34, "✔") + COUNTIF(E34:AG34, "v") + COUNTIF(E34:AG34, "V")) &amp; "/0"), IF(((COUNTIF(E34:AG34, "✓") + COUNTIF(E34:AG34, "✔") + COUNTIF(E34:AG34, "v") + COUNTIF(E34:AG34, "V")) + COUNTIF(E34:AG34, "✗") + COUNTIF(E34:AG34, "x") + COUNTIF(E34:AG34, "X"))&gt;0, (COUNTIF(E34:AG34, "✓") + COUNTIF(E34:AG34, "✔") + COUNTIF(E34:AG34, "v") + COUNTIF(E34:AG34, "V")) &amp; "/" &amp; ((COUNTIF(E34:AG34, "✓") + COUNTIF(E34:AG34, "✔") + COUNTIF(E34:AG34, "v") + COUNTIF(E34:AG34, "V")) + COUNTIF(E34:AG34, "✗") + COUNTIF(E34:AG34, "x") + COUNTIF(E34:AG34, "X")), "")))</f>
        <v/>
      </c>
      <c r="AJ34" s="131">
        <f>IF(ISBLANK(B34), "", IF(AH34&gt;=0.85, "🔥 Mastered", IF(AH34&gt;=0.7, "⚡ Consistent", "⚠️ Needs Focus")))</f>
        <v/>
      </c>
      <c r="AK34">
        <f>COUNTIF(E34:AG34, "✓")</f>
        <v/>
      </c>
    </row>
    <row r="35" ht="14.5" customHeight="1">
      <c r="A35" s="125" t="n">
        <v>18</v>
      </c>
      <c r="B35" s="126" t="n"/>
      <c r="C35" s="127" t="n"/>
      <c r="D35" s="127" t="n"/>
      <c r="E35" s="128" t="n"/>
      <c r="F35" s="128" t="n"/>
      <c r="G35" s="128" t="n"/>
      <c r="H35" s="128" t="n"/>
      <c r="I35" s="128" t="n"/>
      <c r="J35" s="129" t="n"/>
      <c r="K35" s="128" t="n"/>
      <c r="L35" s="128" t="n"/>
      <c r="M35" s="128" t="n"/>
      <c r="N35" s="128" t="n"/>
      <c r="O35" s="128" t="n"/>
      <c r="P35" s="128" t="n"/>
      <c r="Q35" s="129" t="n"/>
      <c r="R35" s="128" t="n"/>
      <c r="S35" s="128" t="n"/>
      <c r="T35" s="128" t="n"/>
      <c r="U35" s="128" t="n"/>
      <c r="V35" s="128" t="n"/>
      <c r="W35" s="128" t="n"/>
      <c r="X35" s="129" t="n"/>
      <c r="Y35" s="128" t="n"/>
      <c r="Z35" s="128" t="n"/>
      <c r="AA35" s="128" t="n"/>
      <c r="AB35" s="128" t="n"/>
      <c r="AC35" s="128" t="n"/>
      <c r="AD35" s="128" t="n"/>
      <c r="AE35" s="129" t="n"/>
      <c r="AF35" s="128" t="n"/>
      <c r="AG35" s="128" t="n"/>
      <c r="AH35" s="130">
        <f>IF(ISBLANK(B35), "", IF(ISNUMBER(D35), IF(D35&gt;0, (COUNTIF(E35:AG35, "✓") + COUNTIF(E35:AG35, "✔") + COUNTIF(E35:AG35, "v") + COUNTIF(E35:AG35, "V"))/D35, 0), IF(((COUNTIF(E35:AG35, "✓") + COUNTIF(E35:AG35, "✔") + COUNTIF(E35:AG35, "v") + COUNTIF(E35:AG35, "V")) + COUNTIF(E35:AG35, "✗") + COUNTIF(E35:AG35, "x") + COUNTIF(E35:AG35, "X"))&gt;0, (COUNTIF(E35:AG35, "✓") + COUNTIF(E35:AG35, "✔") + COUNTIF(E35:AG35, "v") + COUNTIF(E35:AG35, "V"))/((COUNTIF(E35:AG35, "✓") + COUNTIF(E35:AG35, "✔") + COUNTIF(E35:AG35, "v") + COUNTIF(E35:AG35, "V")) + COUNTIF(E35:AG35, "✗") + COUNTIF(E35:AG35, "x") + COUNTIF(E35:AG35, "X")), "")))</f>
        <v/>
      </c>
      <c r="AI35" s="131">
        <f>IF(ISBLANK(B35), "", IF(ISNUMBER(D35), IF(D35&gt;0, (COUNTIF(E35:AG35, "✓") + COUNTIF(E35:AG35, "✔") + COUNTIF(E35:AG35, "v") + COUNTIF(E35:AG35, "V")) &amp; "/" &amp; D35, (COUNTIF(E35:AG35, "✓") + COUNTIF(E35:AG35, "✔") + COUNTIF(E35:AG35, "v") + COUNTIF(E35:AG35, "V")) &amp; "/0"), IF(((COUNTIF(E35:AG35, "✓") + COUNTIF(E35:AG35, "✔") + COUNTIF(E35:AG35, "v") + COUNTIF(E35:AG35, "V")) + COUNTIF(E35:AG35, "✗") + COUNTIF(E35:AG35, "x") + COUNTIF(E35:AG35, "X"))&gt;0, (COUNTIF(E35:AG35, "✓") + COUNTIF(E35:AG35, "✔") + COUNTIF(E35:AG35, "v") + COUNTIF(E35:AG35, "V")) &amp; "/" &amp; ((COUNTIF(E35:AG35, "✓") + COUNTIF(E35:AG35, "✔") + COUNTIF(E35:AG35, "v") + COUNTIF(E35:AG35, "V")) + COUNTIF(E35:AG35, "✗") + COUNTIF(E35:AG35, "x") + COUNTIF(E35:AG35, "X")), "")))</f>
        <v/>
      </c>
      <c r="AJ35" s="131">
        <f>IF(ISBLANK(B35), "", IF(AH35&gt;=0.85, "🔥 Mastered", IF(AH35&gt;=0.7, "⚡ Consistent", "⚠️ Needs Focus")))</f>
        <v/>
      </c>
      <c r="AK35">
        <f>COUNTIF(E35:AG35, "✓")</f>
        <v/>
      </c>
    </row>
    <row r="36" ht="14.5" customHeight="1">
      <c r="A36" s="125" t="n">
        <v>19</v>
      </c>
      <c r="B36" s="126" t="n"/>
      <c r="C36" s="127" t="n"/>
      <c r="D36" s="127" t="n"/>
      <c r="E36" s="128" t="n"/>
      <c r="F36" s="128" t="n"/>
      <c r="G36" s="128" t="n"/>
      <c r="H36" s="128" t="n"/>
      <c r="I36" s="128" t="n"/>
      <c r="J36" s="129" t="n"/>
      <c r="K36" s="128" t="n"/>
      <c r="L36" s="128" t="n"/>
      <c r="M36" s="128" t="n"/>
      <c r="N36" s="128" t="n"/>
      <c r="O36" s="128" t="n"/>
      <c r="P36" s="128" t="n"/>
      <c r="Q36" s="129" t="n"/>
      <c r="R36" s="128" t="n"/>
      <c r="S36" s="128" t="n"/>
      <c r="T36" s="128" t="n"/>
      <c r="U36" s="128" t="n"/>
      <c r="V36" s="128" t="n"/>
      <c r="W36" s="128" t="n"/>
      <c r="X36" s="129" t="n"/>
      <c r="Y36" s="128" t="n"/>
      <c r="Z36" s="128" t="n"/>
      <c r="AA36" s="128" t="n"/>
      <c r="AB36" s="128" t="n"/>
      <c r="AC36" s="128" t="n"/>
      <c r="AD36" s="128" t="n"/>
      <c r="AE36" s="129" t="n"/>
      <c r="AF36" s="128" t="n"/>
      <c r="AG36" s="128" t="n"/>
      <c r="AH36" s="130">
        <f>IF(ISBLANK(B36), "", IF(ISNUMBER(D36), IF(D36&gt;0, (COUNTIF(E36:AG36, "✓") + COUNTIF(E36:AG36, "✔") + COUNTIF(E36:AG36, "v") + COUNTIF(E36:AG36, "V"))/D36, 0), IF(((COUNTIF(E36:AG36, "✓") + COUNTIF(E36:AG36, "✔") + COUNTIF(E36:AG36, "v") + COUNTIF(E36:AG36, "V")) + COUNTIF(E36:AG36, "✗") + COUNTIF(E36:AG36, "x") + COUNTIF(E36:AG36, "X"))&gt;0, (COUNTIF(E36:AG36, "✓") + COUNTIF(E36:AG36, "✔") + COUNTIF(E36:AG36, "v") + COUNTIF(E36:AG36, "V"))/((COUNTIF(E36:AG36, "✓") + COUNTIF(E36:AG36, "✔") + COUNTIF(E36:AG36, "v") + COUNTIF(E36:AG36, "V")) + COUNTIF(E36:AG36, "✗") + COUNTIF(E36:AG36, "x") + COUNTIF(E36:AG36, "X")), "")))</f>
        <v/>
      </c>
      <c r="AI36" s="131">
        <f>IF(ISBLANK(B36), "", IF(ISNUMBER(D36), IF(D36&gt;0, (COUNTIF(E36:AG36, "✓") + COUNTIF(E36:AG36, "✔") + COUNTIF(E36:AG36, "v") + COUNTIF(E36:AG36, "V")) &amp; "/" &amp; D36, (COUNTIF(E36:AG36, "✓") + COUNTIF(E36:AG36, "✔") + COUNTIF(E36:AG36, "v") + COUNTIF(E36:AG36, "V")) &amp; "/0"), IF(((COUNTIF(E36:AG36, "✓") + COUNTIF(E36:AG36, "✔") + COUNTIF(E36:AG36, "v") + COUNTIF(E36:AG36, "V")) + COUNTIF(E36:AG36, "✗") + COUNTIF(E36:AG36, "x") + COUNTIF(E36:AG36, "X"))&gt;0, (COUNTIF(E36:AG36, "✓") + COUNTIF(E36:AG36, "✔") + COUNTIF(E36:AG36, "v") + COUNTIF(E36:AG36, "V")) &amp; "/" &amp; ((COUNTIF(E36:AG36, "✓") + COUNTIF(E36:AG36, "✔") + COUNTIF(E36:AG36, "v") + COUNTIF(E36:AG36, "V")) + COUNTIF(E36:AG36, "✗") + COUNTIF(E36:AG36, "x") + COUNTIF(E36:AG36, "X")), "")))</f>
        <v/>
      </c>
      <c r="AJ36" s="131">
        <f>IF(ISBLANK(B36), "", IF(AH36&gt;=0.85, "🔥 Mastered", IF(AH36&gt;=0.7, "⚡ Consistent", "⚠️ Needs Focus")))</f>
        <v/>
      </c>
      <c r="AK36">
        <f>COUNTIF(E36:AG36, "✓")</f>
        <v/>
      </c>
    </row>
    <row r="37" ht="14.5" customHeight="1">
      <c r="A37" s="125" t="n">
        <v>20</v>
      </c>
      <c r="B37" s="126" t="n"/>
      <c r="C37" s="127" t="n"/>
      <c r="D37" s="127" t="n"/>
      <c r="E37" s="128" t="n"/>
      <c r="F37" s="128" t="n"/>
      <c r="G37" s="128" t="n"/>
      <c r="H37" s="128" t="n"/>
      <c r="I37" s="128" t="n"/>
      <c r="J37" s="129" t="n"/>
      <c r="K37" s="128" t="n"/>
      <c r="L37" s="128" t="n"/>
      <c r="M37" s="128" t="n"/>
      <c r="N37" s="128" t="n"/>
      <c r="O37" s="128" t="n"/>
      <c r="P37" s="128" t="n"/>
      <c r="Q37" s="129" t="n"/>
      <c r="R37" s="128" t="n"/>
      <c r="S37" s="128" t="n"/>
      <c r="T37" s="128" t="n"/>
      <c r="U37" s="128" t="n"/>
      <c r="V37" s="128" t="n"/>
      <c r="W37" s="128" t="n"/>
      <c r="X37" s="129" t="n"/>
      <c r="Y37" s="128" t="n"/>
      <c r="Z37" s="128" t="n"/>
      <c r="AA37" s="128" t="n"/>
      <c r="AB37" s="128" t="n"/>
      <c r="AC37" s="128" t="n"/>
      <c r="AD37" s="128" t="n"/>
      <c r="AE37" s="129" t="n"/>
      <c r="AF37" s="128" t="n"/>
      <c r="AG37" s="128" t="n"/>
      <c r="AH37" s="130">
        <f>IF(ISBLANK(B37), "", IF(ISNUMBER(D37), IF(D37&gt;0, (COUNTIF(E37:AG37, "✓") + COUNTIF(E37:AG37, "✔") + COUNTIF(E37:AG37, "v") + COUNTIF(E37:AG37, "V"))/D37, 0), IF(((COUNTIF(E37:AG37, "✓") + COUNTIF(E37:AG37, "✔") + COUNTIF(E37:AG37, "v") + COUNTIF(E37:AG37, "V")) + COUNTIF(E37:AG37, "✗") + COUNTIF(E37:AG37, "x") + COUNTIF(E37:AG37, "X"))&gt;0, (COUNTIF(E37:AG37, "✓") + COUNTIF(E37:AG37, "✔") + COUNTIF(E37:AG37, "v") + COUNTIF(E37:AG37, "V"))/((COUNTIF(E37:AG37, "✓") + COUNTIF(E37:AG37, "✔") + COUNTIF(E37:AG37, "v") + COUNTIF(E37:AG37, "V")) + COUNTIF(E37:AG37, "✗") + COUNTIF(E37:AG37, "x") + COUNTIF(E37:AG37, "X")), "")))</f>
        <v/>
      </c>
      <c r="AI37" s="131">
        <f>IF(ISBLANK(B37), "", IF(ISNUMBER(D37), IF(D37&gt;0, (COUNTIF(E37:AG37, "✓") + COUNTIF(E37:AG37, "✔") + COUNTIF(E37:AG37, "v") + COUNTIF(E37:AG37, "V")) &amp; "/" &amp; D37, (COUNTIF(E37:AG37, "✓") + COUNTIF(E37:AG37, "✔") + COUNTIF(E37:AG37, "v") + COUNTIF(E37:AG37, "V")) &amp; "/0"), IF(((COUNTIF(E37:AG37, "✓") + COUNTIF(E37:AG37, "✔") + COUNTIF(E37:AG37, "v") + COUNTIF(E37:AG37, "V")) + COUNTIF(E37:AG37, "✗") + COUNTIF(E37:AG37, "x") + COUNTIF(E37:AG37, "X"))&gt;0, (COUNTIF(E37:AG37, "✓") + COUNTIF(E37:AG37, "✔") + COUNTIF(E37:AG37, "v") + COUNTIF(E37:AG37, "V")) &amp; "/" &amp; ((COUNTIF(E37:AG37, "✓") + COUNTIF(E37:AG37, "✔") + COUNTIF(E37:AG37, "v") + COUNTIF(E37:AG37, "V")) + COUNTIF(E37:AG37, "✗") + COUNTIF(E37:AG37, "x") + COUNTIF(E37:AG37, "X")), "")))</f>
        <v/>
      </c>
      <c r="AJ37" s="131">
        <f>IF(ISBLANK(B37), "", IF(AH37&gt;=0.85, "🔥 Mastered", IF(AH37&gt;=0.7, "⚡ Consistent", "⚠️ Needs Focus")))</f>
        <v/>
      </c>
      <c r="AK37">
        <f>COUNTIF(E37:AG37, "✓")</f>
        <v/>
      </c>
    </row>
    <row r="38" ht="18" customHeight="1">
      <c r="A38" s="132" t="inlineStr">
        <is>
          <t>DAILY TOTAL SCORE</t>
        </is>
      </c>
      <c r="B38" s="54" t="n"/>
      <c r="C38" s="54" t="n"/>
      <c r="D38" s="54" t="n"/>
      <c r="E38" s="33">
        <f>IF(((COUNTIF(E18:E37, "✓") + COUNTIF(E18:E37, "✔") + COUNTIF(E18:E37, "v") + COUNTIF(E18:E37, "V")) + COUNTIF(E18:E37, "✗") + COUNTIF(E18:E37, "x") + COUNTIF(E18:E37, "X")) &gt; 0, (COUNTIF(E18:E37, "✓") + COUNTIF(E18:E37, "✔") + COUNTIF(E18:E37, "v") + COUNTIF(E18:E37, "V")) &amp; "/" &amp; ((COUNTIF(E18:E37, "✓") + COUNTIF(E18:E37, "✔") + COUNTIF(E18:E37, "v") + COUNTIF(E18:E37, "V")) + COUNTIF(E18:E37, "✗") + COUNTIF(E18:E37, "x") + COUNTIF(E18:E37, "X")), "")</f>
        <v/>
      </c>
      <c r="F38" s="33">
        <f>IF(((COUNTIF(F18:F37, "✓") + COUNTIF(F18:F37, "✔") + COUNTIF(F18:F37, "v") + COUNTIF(F18:F37, "V")) + COUNTIF(F18:F37, "✗") + COUNTIF(F18:F37, "x") + COUNTIF(F18:F37, "X")) &gt; 0, (COUNTIF(F18:F37, "✓") + COUNTIF(F18:F37, "✔") + COUNTIF(F18:F37, "v") + COUNTIF(F18:F37, "V")) &amp; "/" &amp; ((COUNTIF(F18:F37, "✓") + COUNTIF(F18:F37, "✔") + COUNTIF(F18:F37, "v") + COUNTIF(F18:F37, "V")) + COUNTIF(F18:F37, "✗") + COUNTIF(F18:F37, "x") + COUNTIF(F18:F37, "X")), "")</f>
        <v/>
      </c>
      <c r="G38" s="33">
        <f>IF(((COUNTIF(G18:G37, "✓") + COUNTIF(G18:G37, "✔") + COUNTIF(G18:G37, "v") + COUNTIF(G18:G37, "V")) + COUNTIF(G18:G37, "✗") + COUNTIF(G18:G37, "x") + COUNTIF(G18:G37, "X")) &gt; 0, (COUNTIF(G18:G37, "✓") + COUNTIF(G18:G37, "✔") + COUNTIF(G18:G37, "v") + COUNTIF(G18:G37, "V")) &amp; "/" &amp; ((COUNTIF(G18:G37, "✓") + COUNTIF(G18:G37, "✔") + COUNTIF(G18:G37, "v") + COUNTIF(G18:G37, "V")) + COUNTIF(G18:G37, "✗") + COUNTIF(G18:G37, "x") + COUNTIF(G18:G37, "X")), "")</f>
        <v/>
      </c>
      <c r="H38" s="33">
        <f>IF(((COUNTIF(H18:H37, "✓") + COUNTIF(H18:H37, "✔") + COUNTIF(H18:H37, "v") + COUNTIF(H18:H37, "V")) + COUNTIF(H18:H37, "✗") + COUNTIF(H18:H37, "x") + COUNTIF(H18:H37, "X")) &gt; 0, (COUNTIF(H18:H37, "✓") + COUNTIF(H18:H37, "✔") + COUNTIF(H18:H37, "v") + COUNTIF(H18:H37, "V")) &amp; "/" &amp; ((COUNTIF(H18:H37, "✓") + COUNTIF(H18:H37, "✔") + COUNTIF(H18:H37, "v") + COUNTIF(H18:H37, "V")) + COUNTIF(H18:H37, "✗") + COUNTIF(H18:H37, "x") + COUNTIF(H18:H37, "X")), "")</f>
        <v/>
      </c>
      <c r="I38" s="33">
        <f>IF(((COUNTIF(I18:I37, "✓") + COUNTIF(I18:I37, "✔") + COUNTIF(I18:I37, "v") + COUNTIF(I18:I37, "V")) + COUNTIF(I18:I37, "✗") + COUNTIF(I18:I37, "x") + COUNTIF(I18:I37, "X")) &gt; 0, (COUNTIF(I18:I37, "✓") + COUNTIF(I18:I37, "✔") + COUNTIF(I18:I37, "v") + COUNTIF(I18:I37, "V")) &amp; "/" &amp; ((COUNTIF(I18:I37, "✓") + COUNTIF(I18:I37, "✔") + COUNTIF(I18:I37, "v") + COUNTIF(I18:I37, "V")) + COUNTIF(I18:I37, "✗") + COUNTIF(I18:I37, "x") + COUNTIF(I18:I37, "X")), "")</f>
        <v/>
      </c>
      <c r="J38" s="33">
        <f>IF(((COUNTIF(J18:J37, "✓") + COUNTIF(J18:J37, "✔") + COUNTIF(J18:J37, "v") + COUNTIF(J18:J37, "V")) + COUNTIF(J18:J37, "✗") + COUNTIF(J18:J37, "x") + COUNTIF(J18:J37, "X")) &gt; 0, (COUNTIF(J18:J37, "✓") + COUNTIF(J18:J37, "✔") + COUNTIF(J18:J37, "v") + COUNTIF(J18:J37, "V")) &amp; "/" &amp; ((COUNTIF(J18:J37, "✓") + COUNTIF(J18:J37, "✔") + COUNTIF(J18:J37, "v") + COUNTIF(J18:J37, "V")) + COUNTIF(J18:J37, "✗") + COUNTIF(J18:J37, "x") + COUNTIF(J18:J37, "X")), "")</f>
        <v/>
      </c>
      <c r="K38" s="33">
        <f>IF(((COUNTIF(K18:K37, "✓") + COUNTIF(K18:K37, "✔") + COUNTIF(K18:K37, "v") + COUNTIF(K18:K37, "V")) + COUNTIF(K18:K37, "✗") + COUNTIF(K18:K37, "x") + COUNTIF(K18:K37, "X")) &gt; 0, (COUNTIF(K18:K37, "✓") + COUNTIF(K18:K37, "✔") + COUNTIF(K18:K37, "v") + COUNTIF(K18:K37, "V")) &amp; "/" &amp; ((COUNTIF(K18:K37, "✓") + COUNTIF(K18:K37, "✔") + COUNTIF(K18:K37, "v") + COUNTIF(K18:K37, "V")) + COUNTIF(K18:K37, "✗") + COUNTIF(K18:K37, "x") + COUNTIF(K18:K37, "X")), "")</f>
        <v/>
      </c>
      <c r="L38" s="33">
        <f>IF(((COUNTIF(L18:L37, "✓") + COUNTIF(L18:L37, "✔") + COUNTIF(L18:L37, "v") + COUNTIF(L18:L37, "V")) + COUNTIF(L18:L37, "✗") + COUNTIF(L18:L37, "x") + COUNTIF(L18:L37, "X")) &gt; 0, (COUNTIF(L18:L37, "✓") + COUNTIF(L18:L37, "✔") + COUNTIF(L18:L37, "v") + COUNTIF(L18:L37, "V")) &amp; "/" &amp; ((COUNTIF(L18:L37, "✓") + COUNTIF(L18:L37, "✔") + COUNTIF(L18:L37, "v") + COUNTIF(L18:L37, "V")) + COUNTIF(L18:L37, "✗") + COUNTIF(L18:L37, "x") + COUNTIF(L18:L37, "X")), "")</f>
        <v/>
      </c>
      <c r="M38" s="33">
        <f>IF(((COUNTIF(M18:M37, "✓") + COUNTIF(M18:M37, "✔") + COUNTIF(M18:M37, "v") + COUNTIF(M18:M37, "V")) + COUNTIF(M18:M37, "✗") + COUNTIF(M18:M37, "x") + COUNTIF(M18:M37, "X")) &gt; 0, (COUNTIF(M18:M37, "✓") + COUNTIF(M18:M37, "✔") + COUNTIF(M18:M37, "v") + COUNTIF(M18:M37, "V")) &amp; "/" &amp; ((COUNTIF(M18:M37, "✓") + COUNTIF(M18:M37, "✔") + COUNTIF(M18:M37, "v") + COUNTIF(M18:M37, "V")) + COUNTIF(M18:M37, "✗") + COUNTIF(M18:M37, "x") + COUNTIF(M18:M37, "X")), "")</f>
        <v/>
      </c>
      <c r="N38" s="33">
        <f>IF(((COUNTIF(N18:N37, "✓") + COUNTIF(N18:N37, "✔") + COUNTIF(N18:N37, "v") + COUNTIF(N18:N37, "V")) + COUNTIF(N18:N37, "✗") + COUNTIF(N18:N37, "x") + COUNTIF(N18:N37, "X")) &gt; 0, (COUNTIF(N18:N37, "✓") + COUNTIF(N18:N37, "✔") + COUNTIF(N18:N37, "v") + COUNTIF(N18:N37, "V")) &amp; "/" &amp; ((COUNTIF(N18:N37, "✓") + COUNTIF(N18:N37, "✔") + COUNTIF(N18:N37, "v") + COUNTIF(N18:N37, "V")) + COUNTIF(N18:N37, "✗") + COUNTIF(N18:N37, "x") + COUNTIF(N18:N37, "X")), "")</f>
        <v/>
      </c>
      <c r="O38" s="33">
        <f>IF(((COUNTIF(O18:O37, "✓") + COUNTIF(O18:O37, "✔") + COUNTIF(O18:O37, "v") + COUNTIF(O18:O37, "V")) + COUNTIF(O18:O37, "✗") + COUNTIF(O18:O37, "x") + COUNTIF(O18:O37, "X")) &gt; 0, (COUNTIF(O18:O37, "✓") + COUNTIF(O18:O37, "✔") + COUNTIF(O18:O37, "v") + COUNTIF(O18:O37, "V")) &amp; "/" &amp; ((COUNTIF(O18:O37, "✓") + COUNTIF(O18:O37, "✔") + COUNTIF(O18:O37, "v") + COUNTIF(O18:O37, "V")) + COUNTIF(O18:O37, "✗") + COUNTIF(O18:O37, "x") + COUNTIF(O18:O37, "X")), "")</f>
        <v/>
      </c>
      <c r="P38" s="33">
        <f>IF(((COUNTIF(P18:P37, "✓") + COUNTIF(P18:P37, "✔") + COUNTIF(P18:P37, "v") + COUNTIF(P18:P37, "V")) + COUNTIF(P18:P37, "✗") + COUNTIF(P18:P37, "x") + COUNTIF(P18:P37, "X")) &gt; 0, (COUNTIF(P18:P37, "✓") + COUNTIF(P18:P37, "✔") + COUNTIF(P18:P37, "v") + COUNTIF(P18:P37, "V")) &amp; "/" &amp; ((COUNTIF(P18:P37, "✓") + COUNTIF(P18:P37, "✔") + COUNTIF(P18:P37, "v") + COUNTIF(P18:P37, "V")) + COUNTIF(P18:P37, "✗") + COUNTIF(P18:P37, "x") + COUNTIF(P18:P37, "X")), "")</f>
        <v/>
      </c>
      <c r="Q38" s="33">
        <f>IF(((COUNTIF(Q18:Q37, "✓") + COUNTIF(Q18:Q37, "✔") + COUNTIF(Q18:Q37, "v") + COUNTIF(Q18:Q37, "V")) + COUNTIF(Q18:Q37, "✗") + COUNTIF(Q18:Q37, "x") + COUNTIF(Q18:Q37, "X")) &gt; 0, (COUNTIF(Q18:Q37, "✓") + COUNTIF(Q18:Q37, "✔") + COUNTIF(Q18:Q37, "v") + COUNTIF(Q18:Q37, "V")) &amp; "/" &amp; ((COUNTIF(Q18:Q37, "✓") + COUNTIF(Q18:Q37, "✔") + COUNTIF(Q18:Q37, "v") + COUNTIF(Q18:Q37, "V")) + COUNTIF(Q18:Q37, "✗") + COUNTIF(Q18:Q37, "x") + COUNTIF(Q18:Q37, "X")), "")</f>
        <v/>
      </c>
      <c r="R38" s="33">
        <f>IF(((COUNTIF(R18:R37, "✓") + COUNTIF(R18:R37, "✔") + COUNTIF(R18:R37, "v") + COUNTIF(R18:R37, "V")) + COUNTIF(R18:R37, "✗") + COUNTIF(R18:R37, "x") + COUNTIF(R18:R37, "X")) &gt; 0, (COUNTIF(R18:R37, "✓") + COUNTIF(R18:R37, "✔") + COUNTIF(R18:R37, "v") + COUNTIF(R18:R37, "V")) &amp; "/" &amp; ((COUNTIF(R18:R37, "✓") + COUNTIF(R18:R37, "✔") + COUNTIF(R18:R37, "v") + COUNTIF(R18:R37, "V")) + COUNTIF(R18:R37, "✗") + COUNTIF(R18:R37, "x") + COUNTIF(R18:R37, "X")), "")</f>
        <v/>
      </c>
      <c r="S38" s="33">
        <f>IF(((COUNTIF(S18:S37, "✓") + COUNTIF(S18:S37, "✔") + COUNTIF(S18:S37, "v") + COUNTIF(S18:S37, "V")) + COUNTIF(S18:S37, "✗") + COUNTIF(S18:S37, "x") + COUNTIF(S18:S37, "X")) &gt; 0, (COUNTIF(S18:S37, "✓") + COUNTIF(S18:S37, "✔") + COUNTIF(S18:S37, "v") + COUNTIF(S18:S37, "V")) &amp; "/" &amp; ((COUNTIF(S18:S37, "✓") + COUNTIF(S18:S37, "✔") + COUNTIF(S18:S37, "v") + COUNTIF(S18:S37, "V")) + COUNTIF(S18:S37, "✗") + COUNTIF(S18:S37, "x") + COUNTIF(S18:S37, "X")), "")</f>
        <v/>
      </c>
      <c r="T38" s="33">
        <f>IF(((COUNTIF(T18:T37, "✓") + COUNTIF(T18:T37, "✔") + COUNTIF(T18:T37, "v") + COUNTIF(T18:T37, "V")) + COUNTIF(T18:T37, "✗") + COUNTIF(T18:T37, "x") + COUNTIF(T18:T37, "X")) &gt; 0, (COUNTIF(T18:T37, "✓") + COUNTIF(T18:T37, "✔") + COUNTIF(T18:T37, "v") + COUNTIF(T18:T37, "V")) &amp; "/" &amp; ((COUNTIF(T18:T37, "✓") + COUNTIF(T18:T37, "✔") + COUNTIF(T18:T37, "v") + COUNTIF(T18:T37, "V")) + COUNTIF(T18:T37, "✗") + COUNTIF(T18:T37, "x") + COUNTIF(T18:T37, "X")), "")</f>
        <v/>
      </c>
      <c r="U38" s="33">
        <f>IF(((COUNTIF(U18:U37, "✓") + COUNTIF(U18:U37, "✔") + COUNTIF(U18:U37, "v") + COUNTIF(U18:U37, "V")) + COUNTIF(U18:U37, "✗") + COUNTIF(U18:U37, "x") + COUNTIF(U18:U37, "X")) &gt; 0, (COUNTIF(U18:U37, "✓") + COUNTIF(U18:U37, "✔") + COUNTIF(U18:U37, "v") + COUNTIF(U18:U37, "V")) &amp; "/" &amp; ((COUNTIF(U18:U37, "✓") + COUNTIF(U18:U37, "✔") + COUNTIF(U18:U37, "v") + COUNTIF(U18:U37, "V")) + COUNTIF(U18:U37, "✗") + COUNTIF(U18:U37, "x") + COUNTIF(U18:U37, "X")), "")</f>
        <v/>
      </c>
      <c r="V38" s="33">
        <f>IF(((COUNTIF(V18:V37, "✓") + COUNTIF(V18:V37, "✔") + COUNTIF(V18:V37, "v") + COUNTIF(V18:V37, "V")) + COUNTIF(V18:V37, "✗") + COUNTIF(V18:V37, "x") + COUNTIF(V18:V37, "X")) &gt; 0, (COUNTIF(V18:V37, "✓") + COUNTIF(V18:V37, "✔") + COUNTIF(V18:V37, "v") + COUNTIF(V18:V37, "V")) &amp; "/" &amp; ((COUNTIF(V18:V37, "✓") + COUNTIF(V18:V37, "✔") + COUNTIF(V18:V37, "v") + COUNTIF(V18:V37, "V")) + COUNTIF(V18:V37, "✗") + COUNTIF(V18:V37, "x") + COUNTIF(V18:V37, "X")), "")</f>
        <v/>
      </c>
      <c r="W38" s="33">
        <f>IF(((COUNTIF(W18:W37, "✓") + COUNTIF(W18:W37, "✔") + COUNTIF(W18:W37, "v") + COUNTIF(W18:W37, "V")) + COUNTIF(W18:W37, "✗") + COUNTIF(W18:W37, "x") + COUNTIF(W18:W37, "X")) &gt; 0, (COUNTIF(W18:W37, "✓") + COUNTIF(W18:W37, "✔") + COUNTIF(W18:W37, "v") + COUNTIF(W18:W37, "V")) &amp; "/" &amp; ((COUNTIF(W18:W37, "✓") + COUNTIF(W18:W37, "✔") + COUNTIF(W18:W37, "v") + COUNTIF(W18:W37, "V")) + COUNTIF(W18:W37, "✗") + COUNTIF(W18:W37, "x") + COUNTIF(W18:W37, "X")), "")</f>
        <v/>
      </c>
      <c r="X38" s="33">
        <f>IF(((COUNTIF(X18:X37, "✓") + COUNTIF(X18:X37, "✔") + COUNTIF(X18:X37, "v") + COUNTIF(X18:X37, "V")) + COUNTIF(X18:X37, "✗") + COUNTIF(X18:X37, "x") + COUNTIF(X18:X37, "X")) &gt; 0, (COUNTIF(X18:X37, "✓") + COUNTIF(X18:X37, "✔") + COUNTIF(X18:X37, "v") + COUNTIF(X18:X37, "V")) &amp; "/" &amp; ((COUNTIF(X18:X37, "✓") + COUNTIF(X18:X37, "✔") + COUNTIF(X18:X37, "v") + COUNTIF(X18:X37, "V")) + COUNTIF(X18:X37, "✗") + COUNTIF(X18:X37, "x") + COUNTIF(X18:X37, "X")), "")</f>
        <v/>
      </c>
      <c r="Y38" s="33">
        <f>IF(((COUNTIF(Y18:Y37, "✓") + COUNTIF(Y18:Y37, "✔") + COUNTIF(Y18:Y37, "v") + COUNTIF(Y18:Y37, "V")) + COUNTIF(Y18:Y37, "✗") + COUNTIF(Y18:Y37, "x") + COUNTIF(Y18:Y37, "X")) &gt; 0, (COUNTIF(Y18:Y37, "✓") + COUNTIF(Y18:Y37, "✔") + COUNTIF(Y18:Y37, "v") + COUNTIF(Y18:Y37, "V")) &amp; "/" &amp; ((COUNTIF(Y18:Y37, "✓") + COUNTIF(Y18:Y37, "✔") + COUNTIF(Y18:Y37, "v") + COUNTIF(Y18:Y37, "V")) + COUNTIF(Y18:Y37, "✗") + COUNTIF(Y18:Y37, "x") + COUNTIF(Y18:Y37, "X")), "")</f>
        <v/>
      </c>
      <c r="Z38" s="33">
        <f>IF(((COUNTIF(Z18:Z37, "✓") + COUNTIF(Z18:Z37, "✔") + COUNTIF(Z18:Z37, "v") + COUNTIF(Z18:Z37, "V")) + COUNTIF(Z18:Z37, "✗") + COUNTIF(Z18:Z37, "x") + COUNTIF(Z18:Z37, "X")) &gt; 0, (COUNTIF(Z18:Z37, "✓") + COUNTIF(Z18:Z37, "✔") + COUNTIF(Z18:Z37, "v") + COUNTIF(Z18:Z37, "V")) &amp; "/" &amp; ((COUNTIF(Z18:Z37, "✓") + COUNTIF(Z18:Z37, "✔") + COUNTIF(Z18:Z37, "v") + COUNTIF(Z18:Z37, "V")) + COUNTIF(Z18:Z37, "✗") + COUNTIF(Z18:Z37, "x") + COUNTIF(Z18:Z37, "X")), "")</f>
        <v/>
      </c>
      <c r="AA38" s="33">
        <f>IF(((COUNTIF(AA18:AA37, "✓") + COUNTIF(AA18:AA37, "✔") + COUNTIF(AA18:AA37, "v") + COUNTIF(AA18:AA37, "V")) + COUNTIF(AA18:AA37, "✗") + COUNTIF(AA18:AA37, "x") + COUNTIF(AA18:AA37, "X")) &gt; 0, (COUNTIF(AA18:AA37, "✓") + COUNTIF(AA18:AA37, "✔") + COUNTIF(AA18:AA37, "v") + COUNTIF(AA18:AA37, "V")) &amp; "/" &amp; ((COUNTIF(AA18:AA37, "✓") + COUNTIF(AA18:AA37, "✔") + COUNTIF(AA18:AA37, "v") + COUNTIF(AA18:AA37, "V")) + COUNTIF(AA18:AA37, "✗") + COUNTIF(AA18:AA37, "x") + COUNTIF(AA18:AA37, "X")), "")</f>
        <v/>
      </c>
      <c r="AB38" s="33">
        <f>IF(((COUNTIF(AB18:AB37, "✓") + COUNTIF(AB18:AB37, "✔") + COUNTIF(AB18:AB37, "v") + COUNTIF(AB18:AB37, "V")) + COUNTIF(AB18:AB37, "✗") + COUNTIF(AB18:AB37, "x") + COUNTIF(AB18:AB37, "X")) &gt; 0, (COUNTIF(AB18:AB37, "✓") + COUNTIF(AB18:AB37, "✔") + COUNTIF(AB18:AB37, "v") + COUNTIF(AB18:AB37, "V")) &amp; "/" &amp; ((COUNTIF(AB18:AB37, "✓") + COUNTIF(AB18:AB37, "✔") + COUNTIF(AB18:AB37, "v") + COUNTIF(AB18:AB37, "V")) + COUNTIF(AB18:AB37, "✗") + COUNTIF(AB18:AB37, "x") + COUNTIF(AB18:AB37, "X")), "")</f>
        <v/>
      </c>
      <c r="AC38" s="33">
        <f>IF(((COUNTIF(AC18:AC37, "✓") + COUNTIF(AC18:AC37, "✔") + COUNTIF(AC18:AC37, "v") + COUNTIF(AC18:AC37, "V")) + COUNTIF(AC18:AC37, "✗") + COUNTIF(AC18:AC37, "x") + COUNTIF(AC18:AC37, "X")) &gt; 0, (COUNTIF(AC18:AC37, "✓") + COUNTIF(AC18:AC37, "✔") + COUNTIF(AC18:AC37, "v") + COUNTIF(AC18:AC37, "V")) &amp; "/" &amp; ((COUNTIF(AC18:AC37, "✓") + COUNTIF(AC18:AC37, "✔") + COUNTIF(AC18:AC37, "v") + COUNTIF(AC18:AC37, "V")) + COUNTIF(AC18:AC37, "✗") + COUNTIF(AC18:AC37, "x") + COUNTIF(AC18:AC37, "X")), "")</f>
        <v/>
      </c>
      <c r="AD38" s="33">
        <f>IF(((COUNTIF(AD18:AD37, "✓") + COUNTIF(AD18:AD37, "✔") + COUNTIF(AD18:AD37, "v") + COUNTIF(AD18:AD37, "V")) + COUNTIF(AD18:AD37, "✗") + COUNTIF(AD18:AD37, "x") + COUNTIF(AD18:AD37, "X")) &gt; 0, (COUNTIF(AD18:AD37, "✓") + COUNTIF(AD18:AD37, "✔") + COUNTIF(AD18:AD37, "v") + COUNTIF(AD18:AD37, "V")) &amp; "/" &amp; ((COUNTIF(AD18:AD37, "✓") + COUNTIF(AD18:AD37, "✔") + COUNTIF(AD18:AD37, "v") + COUNTIF(AD18:AD37, "V")) + COUNTIF(AD18:AD37, "✗") + COUNTIF(AD18:AD37, "x") + COUNTIF(AD18:AD37, "X")), "")</f>
        <v/>
      </c>
      <c r="AE38" s="33">
        <f>IF(((COUNTIF(AE18:AE37, "✓") + COUNTIF(AE18:AE37, "✔") + COUNTIF(AE18:AE37, "v") + COUNTIF(AE18:AE37, "V")) + COUNTIF(AE18:AE37, "✗") + COUNTIF(AE18:AE37, "x") + COUNTIF(AE18:AE37, "X")) &gt; 0, (COUNTIF(AE18:AE37, "✓") + COUNTIF(AE18:AE37, "✔") + COUNTIF(AE18:AE37, "v") + COUNTIF(AE18:AE37, "V")) &amp; "/" &amp; ((COUNTIF(AE18:AE37, "✓") + COUNTIF(AE18:AE37, "✔") + COUNTIF(AE18:AE37, "v") + COUNTIF(AE18:AE37, "V")) + COUNTIF(AE18:AE37, "✗") + COUNTIF(AE18:AE37, "x") + COUNTIF(AE18:AE37, "X")), "")</f>
        <v/>
      </c>
      <c r="AF38" s="33">
        <f>IF(((COUNTIF(AF18:AF37, "✓") + COUNTIF(AF18:AF37, "✔") + COUNTIF(AF18:AF37, "v") + COUNTIF(AF18:AF37, "V")) + COUNTIF(AF18:AF37, "✗") + COUNTIF(AF18:AF37, "x") + COUNTIF(AF18:AF37, "X")) &gt; 0, (COUNTIF(AF18:AF37, "✓") + COUNTIF(AF18:AF37, "✔") + COUNTIF(AF18:AF37, "v") + COUNTIF(AF18:AF37, "V")) &amp; "/" &amp; ((COUNTIF(AF18:AF37, "✓") + COUNTIF(AF18:AF37, "✔") + COUNTIF(AF18:AF37, "v") + COUNTIF(AF18:AF37, "V")) + COUNTIF(AF18:AF37, "✗") + COUNTIF(AF18:AF37, "x") + COUNTIF(AF18:AF37, "X")), "")</f>
        <v/>
      </c>
      <c r="AG38" s="33">
        <f>IF(((COUNTIF(AG18:AG37, "✓") + COUNTIF(AG18:AG37, "✔") + COUNTIF(AG18:AG37, "v") + COUNTIF(AG18:AG37, "V")) + COUNTIF(AG18:AG37, "✗") + COUNTIF(AG18:AG37, "x") + COUNTIF(AG18:AG37, "X")) &gt; 0, (COUNTIF(AG18:AG37, "✓") + COUNTIF(AG18:AG37, "✔") + COUNTIF(AG18:AG37, "v") + COUNTIF(AG18:AG37, "V")) &amp; "/" &amp; ((COUNTIF(AG18:AG37, "✓") + COUNTIF(AG18:AG37, "✔") + COUNTIF(AG18:AG37, "v") + COUNTIF(AG18:AG37, "V")) + COUNTIF(AG18:AG37, "✗") + COUNTIF(AG18:AG37, "x") + COUNTIF(AG18:AG37, "X")), "")</f>
        <v/>
      </c>
      <c r="AH38" s="133">
        <f>IF(SUM(D18:D37) &gt; 0, SUM(AK18:AK37) / SUM(D18:D37), "")</f>
        <v/>
      </c>
      <c r="AI38" s="33">
        <f>IF(SUM(D18:D37) &gt; 0, SUM(AK18:AK37) &amp; "/" &amp; SUM(D18:D37), "")</f>
        <v/>
      </c>
      <c r="AJ38" s="54" t="n"/>
    </row>
    <row r="39" ht="18" customHeight="1">
      <c r="A39" s="132" t="inlineStr">
        <is>
          <t>DAILY SUCCESS %</t>
        </is>
      </c>
      <c r="B39" s="54" t="n"/>
      <c r="C39" s="54" t="n"/>
      <c r="D39" s="54" t="n"/>
      <c r="E39" s="134">
        <f>IF(((COUNTIF(E18:E37, "✓") + COUNTIF(E18:E37, "✔") + COUNTIF(E18:E37, "v") + COUNTIF(E18:E37, "V")) + COUNTIF(E18:E37, "✗") + COUNTIF(E18:E37, "x") + COUNTIF(E18:E37, "X")) &gt; 0, (COUNTIF(E18:E37, "✓") + COUNTIF(E18:E37, "✔") + COUNTIF(E18:E37, "v") + COUNTIF(E18:E37, "V")) / ((COUNTIF(E18:E37, "✓") + COUNTIF(E18:E37, "✔") + COUNTIF(E18:E37, "v") + COUNTIF(E18:E37, "V")) + COUNTIF(E18:E37, "✗") + COUNTIF(E18:E37, "x") + COUNTIF(E18:E37, "X")), "")</f>
        <v/>
      </c>
      <c r="F39" s="134">
        <f>IF(((COUNTIF(F18:F37, "✓") + COUNTIF(F18:F37, "✔") + COUNTIF(F18:F37, "v") + COUNTIF(F18:F37, "V")) + COUNTIF(F18:F37, "✗") + COUNTIF(F18:F37, "x") + COUNTIF(F18:F37, "X")) &gt; 0, (COUNTIF(F18:F37, "✓") + COUNTIF(F18:F37, "✔") + COUNTIF(F18:F37, "v") + COUNTIF(F18:F37, "V")) / ((COUNTIF(F18:F37, "✓") + COUNTIF(F18:F37, "✔") + COUNTIF(F18:F37, "v") + COUNTIF(F18:F37, "V")) + COUNTIF(F18:F37, "✗") + COUNTIF(F18:F37, "x") + COUNTIF(F18:F37, "X")), "")</f>
        <v/>
      </c>
      <c r="G39" s="134">
        <f>IF(((COUNTIF(G18:G37, "✓") + COUNTIF(G18:G37, "✔") + COUNTIF(G18:G37, "v") + COUNTIF(G18:G37, "V")) + COUNTIF(G18:G37, "✗") + COUNTIF(G18:G37, "x") + COUNTIF(G18:G37, "X")) &gt; 0, (COUNTIF(G18:G37, "✓") + COUNTIF(G18:G37, "✔") + COUNTIF(G18:G37, "v") + COUNTIF(G18:G37, "V")) / ((COUNTIF(G18:G37, "✓") + COUNTIF(G18:G37, "✔") + COUNTIF(G18:G37, "v") + COUNTIF(G18:G37, "V")) + COUNTIF(G18:G37, "✗") + COUNTIF(G18:G37, "x") + COUNTIF(G18:G37, "X")), "")</f>
        <v/>
      </c>
      <c r="H39" s="134">
        <f>IF(((COUNTIF(H18:H37, "✓") + COUNTIF(H18:H37, "✔") + COUNTIF(H18:H37, "v") + COUNTIF(H18:H37, "V")) + COUNTIF(H18:H37, "✗") + COUNTIF(H18:H37, "x") + COUNTIF(H18:H37, "X")) &gt; 0, (COUNTIF(H18:H37, "✓") + COUNTIF(H18:H37, "✔") + COUNTIF(H18:H37, "v") + COUNTIF(H18:H37, "V")) / ((COUNTIF(H18:H37, "✓") + COUNTIF(H18:H37, "✔") + COUNTIF(H18:H37, "v") + COUNTIF(H18:H37, "V")) + COUNTIF(H18:H37, "✗") + COUNTIF(H18:H37, "x") + COUNTIF(H18:H37, "X")), "")</f>
        <v/>
      </c>
      <c r="I39" s="134">
        <f>IF(((COUNTIF(I18:I37, "✓") + COUNTIF(I18:I37, "✔") + COUNTIF(I18:I37, "v") + COUNTIF(I18:I37, "V")) + COUNTIF(I18:I37, "✗") + COUNTIF(I18:I37, "x") + COUNTIF(I18:I37, "X")) &gt; 0, (COUNTIF(I18:I37, "✓") + COUNTIF(I18:I37, "✔") + COUNTIF(I18:I37, "v") + COUNTIF(I18:I37, "V")) / ((COUNTIF(I18:I37, "✓") + COUNTIF(I18:I37, "✔") + COUNTIF(I18:I37, "v") + COUNTIF(I18:I37, "V")) + COUNTIF(I18:I37, "✗") + COUNTIF(I18:I37, "x") + COUNTIF(I18:I37, "X")), "")</f>
        <v/>
      </c>
      <c r="J39" s="134">
        <f>IF(((COUNTIF(J18:J37, "✓") + COUNTIF(J18:J37, "✔") + COUNTIF(J18:J37, "v") + COUNTIF(J18:J37, "V")) + COUNTIF(J18:J37, "✗") + COUNTIF(J18:J37, "x") + COUNTIF(J18:J37, "X")) &gt; 0, (COUNTIF(J18:J37, "✓") + COUNTIF(J18:J37, "✔") + COUNTIF(J18:J37, "v") + COUNTIF(J18:J37, "V")) / ((COUNTIF(J18:J37, "✓") + COUNTIF(J18:J37, "✔") + COUNTIF(J18:J37, "v") + COUNTIF(J18:J37, "V")) + COUNTIF(J18:J37, "✗") + COUNTIF(J18:J37, "x") + COUNTIF(J18:J37, "X")), "")</f>
        <v/>
      </c>
      <c r="K39" s="134">
        <f>IF(((COUNTIF(K18:K37, "✓") + COUNTIF(K18:K37, "✔") + COUNTIF(K18:K37, "v") + COUNTIF(K18:K37, "V")) + COUNTIF(K18:K37, "✗") + COUNTIF(K18:K37, "x") + COUNTIF(K18:K37, "X")) &gt; 0, (COUNTIF(K18:K37, "✓") + COUNTIF(K18:K37, "✔") + COUNTIF(K18:K37, "v") + COUNTIF(K18:K37, "V")) / ((COUNTIF(K18:K37, "✓") + COUNTIF(K18:K37, "✔") + COUNTIF(K18:K37, "v") + COUNTIF(K18:K37, "V")) + COUNTIF(K18:K37, "✗") + COUNTIF(K18:K37, "x") + COUNTIF(K18:K37, "X")), "")</f>
        <v/>
      </c>
      <c r="L39" s="134">
        <f>IF(((COUNTIF(L18:L37, "✓") + COUNTIF(L18:L37, "✔") + COUNTIF(L18:L37, "v") + COUNTIF(L18:L37, "V")) + COUNTIF(L18:L37, "✗") + COUNTIF(L18:L37, "x") + COUNTIF(L18:L37, "X")) &gt; 0, (COUNTIF(L18:L37, "✓") + COUNTIF(L18:L37, "✔") + COUNTIF(L18:L37, "v") + COUNTIF(L18:L37, "V")) / ((COUNTIF(L18:L37, "✓") + COUNTIF(L18:L37, "✔") + COUNTIF(L18:L37, "v") + COUNTIF(L18:L37, "V")) + COUNTIF(L18:L37, "✗") + COUNTIF(L18:L37, "x") + COUNTIF(L18:L37, "X")), "")</f>
        <v/>
      </c>
      <c r="M39" s="134">
        <f>IF(((COUNTIF(M18:M37, "✓") + COUNTIF(M18:M37, "✔") + COUNTIF(M18:M37, "v") + COUNTIF(M18:M37, "V")) + COUNTIF(M18:M37, "✗") + COUNTIF(M18:M37, "x") + COUNTIF(M18:M37, "X")) &gt; 0, (COUNTIF(M18:M37, "✓") + COUNTIF(M18:M37, "✔") + COUNTIF(M18:M37, "v") + COUNTIF(M18:M37, "V")) / ((COUNTIF(M18:M37, "✓") + COUNTIF(M18:M37, "✔") + COUNTIF(M18:M37, "v") + COUNTIF(M18:M37, "V")) + COUNTIF(M18:M37, "✗") + COUNTIF(M18:M37, "x") + COUNTIF(M18:M37, "X")), "")</f>
        <v/>
      </c>
      <c r="N39" s="134">
        <f>IF(((COUNTIF(N18:N37, "✓") + COUNTIF(N18:N37, "✔") + COUNTIF(N18:N37, "v") + COUNTIF(N18:N37, "V")) + COUNTIF(N18:N37, "✗") + COUNTIF(N18:N37, "x") + COUNTIF(N18:N37, "X")) &gt; 0, (COUNTIF(N18:N37, "✓") + COUNTIF(N18:N37, "✔") + COUNTIF(N18:N37, "v") + COUNTIF(N18:N37, "V")) / ((COUNTIF(N18:N37, "✓") + COUNTIF(N18:N37, "✔") + COUNTIF(N18:N37, "v") + COUNTIF(N18:N37, "V")) + COUNTIF(N18:N37, "✗") + COUNTIF(N18:N37, "x") + COUNTIF(N18:N37, "X")), "")</f>
        <v/>
      </c>
      <c r="O39" s="134">
        <f>IF(((COUNTIF(O18:O37, "✓") + COUNTIF(O18:O37, "✔") + COUNTIF(O18:O37, "v") + COUNTIF(O18:O37, "V")) + COUNTIF(O18:O37, "✗") + COUNTIF(O18:O37, "x") + COUNTIF(O18:O37, "X")) &gt; 0, (COUNTIF(O18:O37, "✓") + COUNTIF(O18:O37, "✔") + COUNTIF(O18:O37, "v") + COUNTIF(O18:O37, "V")) / ((COUNTIF(O18:O37, "✓") + COUNTIF(O18:O37, "✔") + COUNTIF(O18:O37, "v") + COUNTIF(O18:O37, "V")) + COUNTIF(O18:O37, "✗") + COUNTIF(O18:O37, "x") + COUNTIF(O18:O37, "X")), "")</f>
        <v/>
      </c>
      <c r="P39" s="134">
        <f>IF(((COUNTIF(P18:P37, "✓") + COUNTIF(P18:P37, "✔") + COUNTIF(P18:P37, "v") + COUNTIF(P18:P37, "V")) + COUNTIF(P18:P37, "✗") + COUNTIF(P18:P37, "x") + COUNTIF(P18:P37, "X")) &gt; 0, (COUNTIF(P18:P37, "✓") + COUNTIF(P18:P37, "✔") + COUNTIF(P18:P37, "v") + COUNTIF(P18:P37, "V")) / ((COUNTIF(P18:P37, "✓") + COUNTIF(P18:P37, "✔") + COUNTIF(P18:P37, "v") + COUNTIF(P18:P37, "V")) + COUNTIF(P18:P37, "✗") + COUNTIF(P18:P37, "x") + COUNTIF(P18:P37, "X")), "")</f>
        <v/>
      </c>
      <c r="Q39" s="134">
        <f>IF(((COUNTIF(Q18:Q37, "✓") + COUNTIF(Q18:Q37, "✔") + COUNTIF(Q18:Q37, "v") + COUNTIF(Q18:Q37, "V")) + COUNTIF(Q18:Q37, "✗") + COUNTIF(Q18:Q37, "x") + COUNTIF(Q18:Q37, "X")) &gt; 0, (COUNTIF(Q18:Q37, "✓") + COUNTIF(Q18:Q37, "✔") + COUNTIF(Q18:Q37, "v") + COUNTIF(Q18:Q37, "V")) / ((COUNTIF(Q18:Q37, "✓") + COUNTIF(Q18:Q37, "✔") + COUNTIF(Q18:Q37, "v") + COUNTIF(Q18:Q37, "V")) + COUNTIF(Q18:Q37, "✗") + COUNTIF(Q18:Q37, "x") + COUNTIF(Q18:Q37, "X")), "")</f>
        <v/>
      </c>
      <c r="R39" s="134">
        <f>IF(((COUNTIF(R18:R37, "✓") + COUNTIF(R18:R37, "✔") + COUNTIF(R18:R37, "v") + COUNTIF(R18:R37, "V")) + COUNTIF(R18:R37, "✗") + COUNTIF(R18:R37, "x") + COUNTIF(R18:R37, "X")) &gt; 0, (COUNTIF(R18:R37, "✓") + COUNTIF(R18:R37, "✔") + COUNTIF(R18:R37, "v") + COUNTIF(R18:R37, "V")) / ((COUNTIF(R18:R37, "✓") + COUNTIF(R18:R37, "✔") + COUNTIF(R18:R37, "v") + COUNTIF(R18:R37, "V")) + COUNTIF(R18:R37, "✗") + COUNTIF(R18:R37, "x") + COUNTIF(R18:R37, "X")), "")</f>
        <v/>
      </c>
      <c r="S39" s="134">
        <f>IF(((COUNTIF(S18:S37, "✓") + COUNTIF(S18:S37, "✔") + COUNTIF(S18:S37, "v") + COUNTIF(S18:S37, "V")) + COUNTIF(S18:S37, "✗") + COUNTIF(S18:S37, "x") + COUNTIF(S18:S37, "X")) &gt; 0, (COUNTIF(S18:S37, "✓") + COUNTIF(S18:S37, "✔") + COUNTIF(S18:S37, "v") + COUNTIF(S18:S37, "V")) / ((COUNTIF(S18:S37, "✓") + COUNTIF(S18:S37, "✔") + COUNTIF(S18:S37, "v") + COUNTIF(S18:S37, "V")) + COUNTIF(S18:S37, "✗") + COUNTIF(S18:S37, "x") + COUNTIF(S18:S37, "X")), "")</f>
        <v/>
      </c>
      <c r="T39" s="134">
        <f>IF(((COUNTIF(T18:T37, "✓") + COUNTIF(T18:T37, "✔") + COUNTIF(T18:T37, "v") + COUNTIF(T18:T37, "V")) + COUNTIF(T18:T37, "✗") + COUNTIF(T18:T37, "x") + COUNTIF(T18:T37, "X")) &gt; 0, (COUNTIF(T18:T37, "✓") + COUNTIF(T18:T37, "✔") + COUNTIF(T18:T37, "v") + COUNTIF(T18:T37, "V")) / ((COUNTIF(T18:T37, "✓") + COUNTIF(T18:T37, "✔") + COUNTIF(T18:T37, "v") + COUNTIF(T18:T37, "V")) + COUNTIF(T18:T37, "✗") + COUNTIF(T18:T37, "x") + COUNTIF(T18:T37, "X")), "")</f>
        <v/>
      </c>
      <c r="U39" s="134">
        <f>IF(((COUNTIF(U18:U37, "✓") + COUNTIF(U18:U37, "✔") + COUNTIF(U18:U37, "v") + COUNTIF(U18:U37, "V")) + COUNTIF(U18:U37, "✗") + COUNTIF(U18:U37, "x") + COUNTIF(U18:U37, "X")) &gt; 0, (COUNTIF(U18:U37, "✓") + COUNTIF(U18:U37, "✔") + COUNTIF(U18:U37, "v") + COUNTIF(U18:U37, "V")) / ((COUNTIF(U18:U37, "✓") + COUNTIF(U18:U37, "✔") + COUNTIF(U18:U37, "v") + COUNTIF(U18:U37, "V")) + COUNTIF(U18:U37, "✗") + COUNTIF(U18:U37, "x") + COUNTIF(U18:U37, "X")), "")</f>
        <v/>
      </c>
      <c r="V39" s="134">
        <f>IF(((COUNTIF(V18:V37, "✓") + COUNTIF(V18:V37, "✔") + COUNTIF(V18:V37, "v") + COUNTIF(V18:V37, "V")) + COUNTIF(V18:V37, "✗") + COUNTIF(V18:V37, "x") + COUNTIF(V18:V37, "X")) &gt; 0, (COUNTIF(V18:V37, "✓") + COUNTIF(V18:V37, "✔") + COUNTIF(V18:V37, "v") + COUNTIF(V18:V37, "V")) / ((COUNTIF(V18:V37, "✓") + COUNTIF(V18:V37, "✔") + COUNTIF(V18:V37, "v") + COUNTIF(V18:V37, "V")) + COUNTIF(V18:V37, "✗") + COUNTIF(V18:V37, "x") + COUNTIF(V18:V37, "X")), "")</f>
        <v/>
      </c>
      <c r="W39" s="134">
        <f>IF(((COUNTIF(W18:W37, "✓") + COUNTIF(W18:W37, "✔") + COUNTIF(W18:W37, "v") + COUNTIF(W18:W37, "V")) + COUNTIF(W18:W37, "✗") + COUNTIF(W18:W37, "x") + COUNTIF(W18:W37, "X")) &gt; 0, (COUNTIF(W18:W37, "✓") + COUNTIF(W18:W37, "✔") + COUNTIF(W18:W37, "v") + COUNTIF(W18:W37, "V")) / ((COUNTIF(W18:W37, "✓") + COUNTIF(W18:W37, "✔") + COUNTIF(W18:W37, "v") + COUNTIF(W18:W37, "V")) + COUNTIF(W18:W37, "✗") + COUNTIF(W18:W37, "x") + COUNTIF(W18:W37, "X")), "")</f>
        <v/>
      </c>
      <c r="X39" s="134">
        <f>IF(((COUNTIF(X18:X37, "✓") + COUNTIF(X18:X37, "✔") + COUNTIF(X18:X37, "v") + COUNTIF(X18:X37, "V")) + COUNTIF(X18:X37, "✗") + COUNTIF(X18:X37, "x") + COUNTIF(X18:X37, "X")) &gt; 0, (COUNTIF(X18:X37, "✓") + COUNTIF(X18:X37, "✔") + COUNTIF(X18:X37, "v") + COUNTIF(X18:X37, "V")) / ((COUNTIF(X18:X37, "✓") + COUNTIF(X18:X37, "✔") + COUNTIF(X18:X37, "v") + COUNTIF(X18:X37, "V")) + COUNTIF(X18:X37, "✗") + COUNTIF(X18:X37, "x") + COUNTIF(X18:X37, "X")), "")</f>
        <v/>
      </c>
      <c r="Y39" s="134">
        <f>IF(((COUNTIF(Y18:Y37, "✓") + COUNTIF(Y18:Y37, "✔") + COUNTIF(Y18:Y37, "v") + COUNTIF(Y18:Y37, "V")) + COUNTIF(Y18:Y37, "✗") + COUNTIF(Y18:Y37, "x") + COUNTIF(Y18:Y37, "X")) &gt; 0, (COUNTIF(Y18:Y37, "✓") + COUNTIF(Y18:Y37, "✔") + COUNTIF(Y18:Y37, "v") + COUNTIF(Y18:Y37, "V")) / ((COUNTIF(Y18:Y37, "✓") + COUNTIF(Y18:Y37, "✔") + COUNTIF(Y18:Y37, "v") + COUNTIF(Y18:Y37, "V")) + COUNTIF(Y18:Y37, "✗") + COUNTIF(Y18:Y37, "x") + COUNTIF(Y18:Y37, "X")), "")</f>
        <v/>
      </c>
      <c r="Z39" s="134">
        <f>IF(((COUNTIF(Z18:Z37, "✓") + COUNTIF(Z18:Z37, "✔") + COUNTIF(Z18:Z37, "v") + COUNTIF(Z18:Z37, "V")) + COUNTIF(Z18:Z37, "✗") + COUNTIF(Z18:Z37, "x") + COUNTIF(Z18:Z37, "X")) &gt; 0, (COUNTIF(Z18:Z37, "✓") + COUNTIF(Z18:Z37, "✔") + COUNTIF(Z18:Z37, "v") + COUNTIF(Z18:Z37, "V")) / ((COUNTIF(Z18:Z37, "✓") + COUNTIF(Z18:Z37, "✔") + COUNTIF(Z18:Z37, "v") + COUNTIF(Z18:Z37, "V")) + COUNTIF(Z18:Z37, "✗") + COUNTIF(Z18:Z37, "x") + COUNTIF(Z18:Z37, "X")), "")</f>
        <v/>
      </c>
      <c r="AA39" s="134">
        <f>IF(((COUNTIF(AA18:AA37, "✓") + COUNTIF(AA18:AA37, "✔") + COUNTIF(AA18:AA37, "v") + COUNTIF(AA18:AA37, "V")) + COUNTIF(AA18:AA37, "✗") + COUNTIF(AA18:AA37, "x") + COUNTIF(AA18:AA37, "X")) &gt; 0, (COUNTIF(AA18:AA37, "✓") + COUNTIF(AA18:AA37, "✔") + COUNTIF(AA18:AA37, "v") + COUNTIF(AA18:AA37, "V")) / ((COUNTIF(AA18:AA37, "✓") + COUNTIF(AA18:AA37, "✔") + COUNTIF(AA18:AA37, "v") + COUNTIF(AA18:AA37, "V")) + COUNTIF(AA18:AA37, "✗") + COUNTIF(AA18:AA37, "x") + COUNTIF(AA18:AA37, "X")), "")</f>
        <v/>
      </c>
      <c r="AB39" s="134">
        <f>IF(((COUNTIF(AB18:AB37, "✓") + COUNTIF(AB18:AB37, "✔") + COUNTIF(AB18:AB37, "v") + COUNTIF(AB18:AB37, "V")) + COUNTIF(AB18:AB37, "✗") + COUNTIF(AB18:AB37, "x") + COUNTIF(AB18:AB37, "X")) &gt; 0, (COUNTIF(AB18:AB37, "✓") + COUNTIF(AB18:AB37, "✔") + COUNTIF(AB18:AB37, "v") + COUNTIF(AB18:AB37, "V")) / ((COUNTIF(AB18:AB37, "✓") + COUNTIF(AB18:AB37, "✔") + COUNTIF(AB18:AB37, "v") + COUNTIF(AB18:AB37, "V")) + COUNTIF(AB18:AB37, "✗") + COUNTIF(AB18:AB37, "x") + COUNTIF(AB18:AB37, "X")), "")</f>
        <v/>
      </c>
      <c r="AC39" s="134">
        <f>IF(((COUNTIF(AC18:AC37, "✓") + COUNTIF(AC18:AC37, "✔") + COUNTIF(AC18:AC37, "v") + COUNTIF(AC18:AC37, "V")) + COUNTIF(AC18:AC37, "✗") + COUNTIF(AC18:AC37, "x") + COUNTIF(AC18:AC37, "X")) &gt; 0, (COUNTIF(AC18:AC37, "✓") + COUNTIF(AC18:AC37, "✔") + COUNTIF(AC18:AC37, "v") + COUNTIF(AC18:AC37, "V")) / ((COUNTIF(AC18:AC37, "✓") + COUNTIF(AC18:AC37, "✔") + COUNTIF(AC18:AC37, "v") + COUNTIF(AC18:AC37, "V")) + COUNTIF(AC18:AC37, "✗") + COUNTIF(AC18:AC37, "x") + COUNTIF(AC18:AC37, "X")), "")</f>
        <v/>
      </c>
      <c r="AD39" s="134">
        <f>IF(((COUNTIF(AD18:AD37, "✓") + COUNTIF(AD18:AD37, "✔") + COUNTIF(AD18:AD37, "v") + COUNTIF(AD18:AD37, "V")) + COUNTIF(AD18:AD37, "✗") + COUNTIF(AD18:AD37, "x") + COUNTIF(AD18:AD37, "X")) &gt; 0, (COUNTIF(AD18:AD37, "✓") + COUNTIF(AD18:AD37, "✔") + COUNTIF(AD18:AD37, "v") + COUNTIF(AD18:AD37, "V")) / ((COUNTIF(AD18:AD37, "✓") + COUNTIF(AD18:AD37, "✔") + COUNTIF(AD18:AD37, "v") + COUNTIF(AD18:AD37, "V")) + COUNTIF(AD18:AD37, "✗") + COUNTIF(AD18:AD37, "x") + COUNTIF(AD18:AD37, "X")), "")</f>
        <v/>
      </c>
      <c r="AE39" s="134">
        <f>IF(((COUNTIF(AE18:AE37, "✓") + COUNTIF(AE18:AE37, "✔") + COUNTIF(AE18:AE37, "v") + COUNTIF(AE18:AE37, "V")) + COUNTIF(AE18:AE37, "✗") + COUNTIF(AE18:AE37, "x") + COUNTIF(AE18:AE37, "X")) &gt; 0, (COUNTIF(AE18:AE37, "✓") + COUNTIF(AE18:AE37, "✔") + COUNTIF(AE18:AE37, "v") + COUNTIF(AE18:AE37, "V")) / ((COUNTIF(AE18:AE37, "✓") + COUNTIF(AE18:AE37, "✔") + COUNTIF(AE18:AE37, "v") + COUNTIF(AE18:AE37, "V")) + COUNTIF(AE18:AE37, "✗") + COUNTIF(AE18:AE37, "x") + COUNTIF(AE18:AE37, "X")), "")</f>
        <v/>
      </c>
      <c r="AF39" s="134">
        <f>IF(((COUNTIF(AF18:AF37, "✓") + COUNTIF(AF18:AF37, "✔") + COUNTIF(AF18:AF37, "v") + COUNTIF(AF18:AF37, "V")) + COUNTIF(AF18:AF37, "✗") + COUNTIF(AF18:AF37, "x") + COUNTIF(AF18:AF37, "X")) &gt; 0, (COUNTIF(AF18:AF37, "✓") + COUNTIF(AF18:AF37, "✔") + COUNTIF(AF18:AF37, "v") + COUNTIF(AF18:AF37, "V")) / ((COUNTIF(AF18:AF37, "✓") + COUNTIF(AF18:AF37, "✔") + COUNTIF(AF18:AF37, "v") + COUNTIF(AF18:AF37, "V")) + COUNTIF(AF18:AF37, "✗") + COUNTIF(AF18:AF37, "x") + COUNTIF(AF18:AF37, "X")), "")</f>
        <v/>
      </c>
      <c r="AG39" s="134">
        <f>IF(((COUNTIF(AG18:AG37, "✓") + COUNTIF(AG18:AG37, "✔") + COUNTIF(AG18:AG37, "v") + COUNTIF(AG18:AG37, "V")) + COUNTIF(AG18:AG37, "✗") + COUNTIF(AG18:AG37, "x") + COUNTIF(AG18:AG37, "X")) &gt; 0, (COUNTIF(AG18:AG37, "✓") + COUNTIF(AG18:AG37, "✔") + COUNTIF(AG18:AG37, "v") + COUNTIF(AG18:AG37, "V")) / ((COUNTIF(AG18:AG37, "✓") + COUNTIF(AG18:AG37, "✔") + COUNTIF(AG18:AG37, "v") + COUNTIF(AG18:AG37, "V")) + COUNTIF(AG18:AG37, "✗") + COUNTIF(AG18:AG37, "x") + COUNTIF(AG18:AG37, "X")), "")</f>
        <v/>
      </c>
      <c r="AH39" s="133">
        <f>IF(COUNT(E39:AG39) &gt; 0, AVERAGE(E39:AG39), "")</f>
        <v/>
      </c>
      <c r="AI39" s="54" t="n"/>
      <c r="AJ39" s="54" t="n"/>
    </row>
    <row r="40" ht="6" customHeight="1"/>
    <row r="41" ht="15" customHeight="1">
      <c r="A41" s="135" t="inlineStr">
        <is>
          <t>IF SUCCESS &lt; 80%, PUNISHMENT: ________________________________________________</t>
        </is>
      </c>
    </row>
    <row r="42" ht="15" customHeight="1">
      <c r="A42" s="136" t="inlineStr">
        <is>
          <t>IF SUCCESS &gt; 90%, REWARD: __________________________________________________</t>
        </is>
      </c>
    </row>
    <row r="43" ht="10" customHeight="1"/>
    <row r="44" ht="10" customHeight="1"/>
    <row r="45" ht="15" customHeight="1">
      <c r="A45" s="51" t="inlineStr">
        <is>
          <t>Sleep Tracking</t>
        </is>
      </c>
      <c r="B45" s="52" t="n"/>
      <c r="C45" s="52" t="n"/>
      <c r="D45" s="52" t="n"/>
      <c r="E45" s="137" t="n">
        <v>1</v>
      </c>
      <c r="F45" s="137" t="n">
        <v>2</v>
      </c>
      <c r="G45" s="137" t="n">
        <v>3</v>
      </c>
      <c r="H45" s="137" t="n">
        <v>4</v>
      </c>
      <c r="I45" s="137" t="n">
        <v>5</v>
      </c>
      <c r="J45" s="138" t="n">
        <v>6</v>
      </c>
      <c r="K45" s="137" t="n">
        <v>7</v>
      </c>
      <c r="L45" s="137" t="n">
        <v>8</v>
      </c>
      <c r="M45" s="137" t="n">
        <v>9</v>
      </c>
      <c r="N45" s="137" t="n">
        <v>10</v>
      </c>
      <c r="O45" s="137" t="n">
        <v>11</v>
      </c>
      <c r="P45" s="137" t="n">
        <v>12</v>
      </c>
      <c r="Q45" s="138" t="n">
        <v>13</v>
      </c>
      <c r="R45" s="137" t="n">
        <v>14</v>
      </c>
      <c r="S45" s="137" t="n">
        <v>15</v>
      </c>
      <c r="T45" s="137" t="n">
        <v>16</v>
      </c>
      <c r="U45" s="137" t="n">
        <v>17</v>
      </c>
      <c r="V45" s="137" t="n">
        <v>18</v>
      </c>
      <c r="W45" s="137" t="n">
        <v>19</v>
      </c>
      <c r="X45" s="138" t="n">
        <v>20</v>
      </c>
      <c r="Y45" s="137" t="n">
        <v>21</v>
      </c>
      <c r="Z45" s="137" t="n">
        <v>22</v>
      </c>
      <c r="AA45" s="137" t="n">
        <v>23</v>
      </c>
      <c r="AB45" s="137" t="n">
        <v>24</v>
      </c>
      <c r="AC45" s="137" t="n">
        <v>25</v>
      </c>
      <c r="AD45" s="137" t="n">
        <v>26</v>
      </c>
      <c r="AE45" s="138" t="n">
        <v>27</v>
      </c>
      <c r="AF45" s="137" t="n">
        <v>28</v>
      </c>
      <c r="AG45" s="137" t="n">
        <v>29</v>
      </c>
    </row>
    <row r="46" ht="15" customHeight="1">
      <c r="A46" s="52" t="n"/>
      <c r="B46" s="52" t="n"/>
      <c r="C46" s="52" t="n"/>
      <c r="D46" s="52" t="n"/>
      <c r="E46" s="139" t="inlineStr">
        <is>
          <t>T</t>
        </is>
      </c>
      <c r="F46" s="139" t="inlineStr">
        <is>
          <t>W</t>
        </is>
      </c>
      <c r="G46" s="139" t="inlineStr">
        <is>
          <t>Th</t>
        </is>
      </c>
      <c r="H46" s="139" t="inlineStr">
        <is>
          <t>F</t>
        </is>
      </c>
      <c r="I46" s="139" t="inlineStr">
        <is>
          <t>Sa</t>
        </is>
      </c>
      <c r="J46" s="140" t="inlineStr">
        <is>
          <t>Su</t>
        </is>
      </c>
      <c r="K46" s="139" t="inlineStr">
        <is>
          <t>M</t>
        </is>
      </c>
      <c r="L46" s="139" t="inlineStr">
        <is>
          <t>T</t>
        </is>
      </c>
      <c r="M46" s="139" t="inlineStr">
        <is>
          <t>W</t>
        </is>
      </c>
      <c r="N46" s="139" t="inlineStr">
        <is>
          <t>Th</t>
        </is>
      </c>
      <c r="O46" s="139" t="inlineStr">
        <is>
          <t>F</t>
        </is>
      </c>
      <c r="P46" s="139" t="inlineStr">
        <is>
          <t>Sa</t>
        </is>
      </c>
      <c r="Q46" s="140" t="inlineStr">
        <is>
          <t>Su</t>
        </is>
      </c>
      <c r="R46" s="139" t="inlineStr">
        <is>
          <t>M</t>
        </is>
      </c>
      <c r="S46" s="139" t="inlineStr">
        <is>
          <t>T</t>
        </is>
      </c>
      <c r="T46" s="139" t="inlineStr">
        <is>
          <t>W</t>
        </is>
      </c>
      <c r="U46" s="139" t="inlineStr">
        <is>
          <t>Th</t>
        </is>
      </c>
      <c r="V46" s="139" t="inlineStr">
        <is>
          <t>F</t>
        </is>
      </c>
      <c r="W46" s="139" t="inlineStr">
        <is>
          <t>Sa</t>
        </is>
      </c>
      <c r="X46" s="140" t="inlineStr">
        <is>
          <t>Su</t>
        </is>
      </c>
      <c r="Y46" s="139" t="inlineStr">
        <is>
          <t>M</t>
        </is>
      </c>
      <c r="Z46" s="139" t="inlineStr">
        <is>
          <t>T</t>
        </is>
      </c>
      <c r="AA46" s="139" t="inlineStr">
        <is>
          <t>W</t>
        </is>
      </c>
      <c r="AB46" s="139" t="inlineStr">
        <is>
          <t>Th</t>
        </is>
      </c>
      <c r="AC46" s="139" t="inlineStr">
        <is>
          <t>F</t>
        </is>
      </c>
      <c r="AD46" s="139" t="inlineStr">
        <is>
          <t>Sa</t>
        </is>
      </c>
      <c r="AE46" s="140" t="inlineStr">
        <is>
          <t>Su</t>
        </is>
      </c>
      <c r="AF46" s="139" t="inlineStr">
        <is>
          <t>M</t>
        </is>
      </c>
      <c r="AG46" s="139" t="inlineStr">
        <is>
          <t>T</t>
        </is>
      </c>
    </row>
    <row r="47" ht="20" customHeight="1">
      <c r="A47" s="141" t="inlineStr">
        <is>
          <t>Sleep Hours (1-24)</t>
        </is>
      </c>
      <c r="B47" s="142" t="n"/>
      <c r="C47" s="142" t="n"/>
      <c r="D47" s="142" t="n"/>
      <c r="E47" s="143" t="n"/>
      <c r="F47" s="143" t="n"/>
      <c r="G47" s="143" t="n"/>
      <c r="H47" s="143" t="n"/>
      <c r="I47" s="143" t="n"/>
      <c r="J47" s="144" t="n"/>
      <c r="K47" s="143" t="n"/>
      <c r="L47" s="143" t="n"/>
      <c r="M47" s="143" t="n"/>
      <c r="N47" s="143" t="n"/>
      <c r="O47" s="143" t="n"/>
      <c r="P47" s="143" t="n"/>
      <c r="Q47" s="144" t="n"/>
      <c r="R47" s="143" t="n"/>
      <c r="S47" s="143" t="n"/>
      <c r="T47" s="143" t="n"/>
      <c r="U47" s="143" t="n"/>
      <c r="V47" s="143" t="n"/>
      <c r="W47" s="143" t="n"/>
      <c r="X47" s="144" t="n"/>
      <c r="Y47" s="143" t="n"/>
      <c r="Z47" s="143" t="n"/>
      <c r="AA47" s="143" t="n"/>
      <c r="AB47" s="143" t="n"/>
      <c r="AC47" s="143" t="n"/>
      <c r="AD47" s="143" t="n"/>
      <c r="AE47" s="144" t="n"/>
      <c r="AF47" s="143" t="n"/>
      <c r="AG47" s="143" t="n"/>
    </row>
    <row r="48" ht="6" customHeight="1"/>
    <row r="49" ht="14" customHeight="1"/>
    <row r="50" ht="14" customHeight="1"/>
    <row r="51" ht="14" customHeight="1"/>
    <row r="52" ht="14" customHeight="1"/>
    <row r="53" ht="14" customHeight="1"/>
    <row r="54" ht="14" customHeight="1"/>
    <row r="55" ht="14" customHeight="1"/>
    <row r="56" ht="14" customHeight="1"/>
    <row r="57" ht="14" customHeight="1"/>
    <row r="58" ht="14" customHeight="1"/>
    <row r="59" ht="14" customHeight="1"/>
    <row r="60" ht="14" customHeight="1"/>
    <row r="61" ht="14" customHeight="1"/>
    <row r="62" ht="14" customHeight="1"/>
    <row r="63" ht="14" customHeight="1"/>
    <row r="64" ht="14" customHeight="1"/>
    <row r="65" ht="14" customHeight="1"/>
    <row r="66" ht="8" customHeight="1"/>
    <row r="67">
      <c r="A67" s="145" t="inlineStr">
        <is>
          <t>MONTHLY SUCCESS RATE</t>
        </is>
      </c>
      <c r="B67" s="9" t="n"/>
      <c r="C67" s="9" t="n"/>
      <c r="D67" s="9" t="n"/>
      <c r="F67" s="146" t="inlineStr">
        <is>
          <t>ACTIVE PROTOCOLS</t>
        </is>
      </c>
      <c r="G67" s="11" t="n"/>
      <c r="H67" s="11" t="n"/>
      <c r="I67" s="11" t="n"/>
      <c r="K67" s="147" t="inlineStr">
        <is>
          <t>PERFECT DAYS (100%)</t>
        </is>
      </c>
      <c r="L67" s="13" t="n"/>
      <c r="M67" s="13" t="n"/>
      <c r="N67" s="13" t="n"/>
      <c r="P67" s="148" t="inlineStr">
        <is>
          <t>AVG SLEEP DURATION</t>
        </is>
      </c>
      <c r="Q67" s="15" t="n"/>
      <c r="R67" s="15" t="n"/>
      <c r="S67" s="15" t="n"/>
    </row>
    <row r="68">
      <c r="A68" s="149">
        <f>IF(SUM(D18:D37)&gt;0, SUM(AK18:AK37)/SUM(D18:D37), 0)</f>
        <v/>
      </c>
      <c r="B68" s="9" t="n"/>
      <c r="C68" s="9" t="n"/>
      <c r="D68" s="9" t="n"/>
      <c r="F68" s="150">
        <f>COUNTA(B18:B37) &amp; " / 20"</f>
        <v/>
      </c>
      <c r="G68" s="11" t="n"/>
      <c r="H68" s="11" t="n"/>
      <c r="I68" s="11" t="n"/>
      <c r="K68" s="151">
        <f>COUNTIF(E39:AG39, 1) &amp; " Days"</f>
        <v/>
      </c>
      <c r="L68" s="13" t="n"/>
      <c r="M68" s="13" t="n"/>
      <c r="N68" s="13" t="n"/>
      <c r="P68" s="152">
        <f>IFERROR(TEXT(AVERAGE(E47:AG47), "0.0") &amp; " hrs", "-")</f>
        <v/>
      </c>
      <c r="Q68" s="15" t="n"/>
      <c r="R68" s="15" t="n"/>
      <c r="S68" s="15" t="n"/>
    </row>
    <row r="69">
      <c r="A69" s="9" t="n"/>
      <c r="B69" s="9" t="n"/>
      <c r="C69" s="9" t="n"/>
      <c r="D69" s="9" t="n"/>
      <c r="F69" s="11" t="n"/>
      <c r="G69" s="11" t="n"/>
      <c r="H69" s="11" t="n"/>
      <c r="I69" s="11" t="n"/>
      <c r="K69" s="13" t="n"/>
      <c r="L69" s="13" t="n"/>
      <c r="M69" s="13" t="n"/>
      <c r="N69" s="13" t="n"/>
      <c r="P69" s="15" t="n"/>
      <c r="Q69" s="15" t="n"/>
      <c r="R69" s="15" t="n"/>
      <c r="S69" s="15" t="n"/>
    </row>
    <row r="70">
      <c r="A70" s="9" t="n"/>
      <c r="B70" s="9" t="n"/>
      <c r="C70" s="9" t="n"/>
      <c r="D70" s="9" t="n"/>
      <c r="F70" s="11" t="n"/>
      <c r="G70" s="11" t="n"/>
      <c r="H70" s="11" t="n"/>
      <c r="I70" s="11" t="n"/>
      <c r="K70" s="13" t="n"/>
      <c r="L70" s="13" t="n"/>
      <c r="M70" s="13" t="n"/>
      <c r="N70" s="13" t="n"/>
      <c r="P70" s="15" t="n"/>
      <c r="Q70" s="15" t="n"/>
      <c r="R70" s="15" t="n"/>
      <c r="S70" s="15" t="n"/>
    </row>
    <row r="71">
      <c r="A71" s="153" t="inlineStr">
        <is>
          <t>Target Completion</t>
        </is>
      </c>
      <c r="B71" s="9" t="n"/>
      <c r="C71" s="9" t="n"/>
      <c r="D71" s="9" t="n"/>
      <c r="F71" s="154" t="inlineStr">
        <is>
          <t>Habits Tracked</t>
        </is>
      </c>
      <c r="G71" s="11" t="n"/>
      <c r="H71" s="11" t="n"/>
      <c r="I71" s="11" t="n"/>
      <c r="K71" s="155" t="inlineStr">
        <is>
          <t>All Marked Habits Completed</t>
        </is>
      </c>
      <c r="L71" s="13" t="n"/>
      <c r="M71" s="13" t="n"/>
      <c r="N71" s="13" t="n"/>
      <c r="P71" s="156" t="inlineStr">
        <is>
          <t>Nightly Rest Average</t>
        </is>
      </c>
      <c r="Q71" s="15" t="n"/>
      <c r="R71" s="15" t="n"/>
      <c r="S71" s="15" t="n"/>
    </row>
    <row r="72" ht="8" customHeight="1"/>
    <row r="73" ht="6" customHeight="1"/>
    <row r="74">
      <c r="A74" s="67" t="inlineStr">
        <is>
          <t>WEEKLY PERFORMANCE (SLUMP DETECTOR)</t>
        </is>
      </c>
      <c r="B74" s="29" t="n"/>
      <c r="C74" s="29" t="n"/>
      <c r="D74" s="29" t="n"/>
      <c r="E74" s="29" t="n"/>
      <c r="N74" s="157" t="inlineStr">
        <is>
          <t>LIFE DOMAIN / CATEGORY BREAKDOWN</t>
        </is>
      </c>
      <c r="O74" s="158" t="n"/>
      <c r="P74" s="158" t="n"/>
      <c r="Q74" s="158" t="n"/>
      <c r="R74" s="158" t="n"/>
      <c r="S74" s="158" t="n"/>
    </row>
    <row r="75" ht="15" customHeight="1">
      <c r="A75" s="53" t="inlineStr">
        <is>
          <t>Week</t>
        </is>
      </c>
      <c r="B75" s="53" t="inlineStr">
        <is>
          <t>Days Range</t>
        </is>
      </c>
      <c r="C75" s="53" t="inlineStr">
        <is>
          <t>Checks Done</t>
        </is>
      </c>
      <c r="D75" s="53" t="inlineStr">
        <is>
          <t>Evaluated</t>
        </is>
      </c>
      <c r="E75" s="53" t="inlineStr">
        <is>
          <t>Success %</t>
        </is>
      </c>
      <c r="N75" s="53" t="inlineStr">
        <is>
          <t>Domain / Category</t>
        </is>
      </c>
      <c r="O75" s="54" t="n"/>
      <c r="P75" s="53" t="inlineStr">
        <is>
          <t>Active Habits</t>
        </is>
      </c>
      <c r="Q75" s="53" t="inlineStr">
        <is>
          <t>Target Days</t>
        </is>
      </c>
      <c r="R75" s="53" t="inlineStr">
        <is>
          <t>Done Checks</t>
        </is>
      </c>
      <c r="S75" s="53" t="inlineStr">
        <is>
          <t>Success %</t>
        </is>
      </c>
    </row>
    <row r="76" ht="14" customHeight="1">
      <c r="A76" s="33" t="inlineStr">
        <is>
          <t>Week 1</t>
        </is>
      </c>
      <c r="B76" s="34" t="inlineStr">
        <is>
          <t>Days 1 - 7</t>
        </is>
      </c>
      <c r="C76" s="34">
        <f>COUNTIF(E18:K37, "✓")</f>
        <v/>
      </c>
      <c r="D76" s="34">
        <f>COUNTIF(E18:K37, "✓") + COUNTIF(E18:K37, "✗")</f>
        <v/>
      </c>
      <c r="E76" s="35">
        <f>IFERROR(C76/D76, 0)</f>
        <v/>
      </c>
      <c r="N76" s="60" t="inlineStr">
        <is>
          <t>Health &amp; Fitness</t>
        </is>
      </c>
      <c r="O76" s="54" t="n"/>
      <c r="P76" s="34">
        <f>COUNTIF($C$18:$C$37, "Health &amp; Fitness")</f>
        <v/>
      </c>
      <c r="Q76" s="34">
        <f>SUMIF($C$18:$C$37, "Health &amp; Fitness", $D$18:$D$37)</f>
        <v/>
      </c>
      <c r="R76" s="34">
        <f>SUMIF($C$18:$C$37, "Health &amp; Fitness", $AK$18:$AK$37)</f>
        <v/>
      </c>
      <c r="S76" s="35">
        <f>IFERROR(R76/Q76, 0)</f>
        <v/>
      </c>
    </row>
    <row r="77" ht="14" customHeight="1">
      <c r="A77" s="33" t="inlineStr">
        <is>
          <t>Week 2</t>
        </is>
      </c>
      <c r="B77" s="34" t="inlineStr">
        <is>
          <t>Days 8 - 14</t>
        </is>
      </c>
      <c r="C77" s="34">
        <f>COUNTIF(L18:R37, "✓")</f>
        <v/>
      </c>
      <c r="D77" s="34">
        <f>COUNTIF(L18:R37, "✓") + COUNTIF(L18:R37, "✗")</f>
        <v/>
      </c>
      <c r="E77" s="35">
        <f>IFERROR(C77/D77, 0)</f>
        <v/>
      </c>
      <c r="N77" s="60" t="inlineStr">
        <is>
          <t>Mindset &amp; Learning</t>
        </is>
      </c>
      <c r="O77" s="54" t="n"/>
      <c r="P77" s="34">
        <f>COUNTIF($C$18:$C$37, "Mindset &amp; Learning")</f>
        <v/>
      </c>
      <c r="Q77" s="34">
        <f>SUMIF($C$18:$C$37, "Mindset &amp; Learning", $D$18:$D$37)</f>
        <v/>
      </c>
      <c r="R77" s="34">
        <f>SUMIF($C$18:$C$37, "Mindset &amp; Learning", $AK$18:$AK$37)</f>
        <v/>
      </c>
      <c r="S77" s="35">
        <f>IFERROR(R77/Q77, 0)</f>
        <v/>
      </c>
    </row>
    <row r="78" ht="14" customHeight="1">
      <c r="A78" s="33" t="inlineStr">
        <is>
          <t>Week 3</t>
        </is>
      </c>
      <c r="B78" s="34" t="inlineStr">
        <is>
          <t>Days 15 - 21</t>
        </is>
      </c>
      <c r="C78" s="34">
        <f>COUNTIF(S18:Y37, "✓")</f>
        <v/>
      </c>
      <c r="D78" s="34">
        <f>COUNTIF(S18:Y37, "✓") + COUNTIF(S18:Y37, "✗")</f>
        <v/>
      </c>
      <c r="E78" s="35">
        <f>IFERROR(C78/D78, 0)</f>
        <v/>
      </c>
      <c r="N78" s="60" t="inlineStr">
        <is>
          <t>Career &amp; Focus</t>
        </is>
      </c>
      <c r="O78" s="54" t="n"/>
      <c r="P78" s="34">
        <f>COUNTIF($C$18:$C$37, "Career &amp; Focus")</f>
        <v/>
      </c>
      <c r="Q78" s="34">
        <f>SUMIF($C$18:$C$37, "Career &amp; Focus", $D$18:$D$37)</f>
        <v/>
      </c>
      <c r="R78" s="34">
        <f>SUMIF($C$18:$C$37, "Career &amp; Focus", $AK$18:$AK$37)</f>
        <v/>
      </c>
      <c r="S78" s="35">
        <f>IFERROR(R78/Q78, 0)</f>
        <v/>
      </c>
    </row>
    <row r="79" ht="14" customHeight="1">
      <c r="A79" s="33" t="inlineStr">
        <is>
          <t>Week 4</t>
        </is>
      </c>
      <c r="B79" s="34" t="inlineStr">
        <is>
          <t>Days 22 - 28</t>
        </is>
      </c>
      <c r="C79" s="34">
        <f>COUNTIF(Z18:AF37, "✓")</f>
        <v/>
      </c>
      <c r="D79" s="34">
        <f>COUNTIF(Z18:AF37, "✓") + COUNTIF(Z18:AF37, "✗")</f>
        <v/>
      </c>
      <c r="E79" s="35">
        <f>IFERROR(C79/D79, 0)</f>
        <v/>
      </c>
      <c r="N79" s="60" t="inlineStr">
        <is>
          <t>Personal &amp; Home</t>
        </is>
      </c>
      <c r="O79" s="54" t="n"/>
      <c r="P79" s="34">
        <f>COUNTIF($C$18:$C$37, "Personal &amp; Home")</f>
        <v/>
      </c>
      <c r="Q79" s="34">
        <f>SUMIF($C$18:$C$37, "Personal &amp; Home", $D$18:$D$37)</f>
        <v/>
      </c>
      <c r="R79" s="34">
        <f>SUMIF($C$18:$C$37, "Personal &amp; Home", $AK$18:$AK$37)</f>
        <v/>
      </c>
      <c r="S79" s="35">
        <f>IFERROR(R79/Q79, 0)</f>
        <v/>
      </c>
    </row>
    <row r="80" ht="14" customHeight="1">
      <c r="A80" s="33" t="inlineStr">
        <is>
          <t>Week 5</t>
        </is>
      </c>
      <c r="B80" s="34" t="inlineStr">
        <is>
          <t>Days 29 - 29</t>
        </is>
      </c>
      <c r="C80" s="34">
        <f>COUNTIF(AG18:AG37, "✓")</f>
        <v/>
      </c>
      <c r="D80" s="34">
        <f>COUNTIF(AG18:AG37, "✓") + COUNTIF(AG18:AG37, "✗")</f>
        <v/>
      </c>
      <c r="E80" s="35">
        <f>IFERROR(C80/D80, 0)</f>
        <v/>
      </c>
      <c r="N80" s="60" t="inlineStr">
        <is>
          <t>Finance &amp; Wealth</t>
        </is>
      </c>
      <c r="O80" s="54" t="n"/>
      <c r="P80" s="34">
        <f>COUNTIF($C$18:$C$37, "Finance &amp; Wealth")</f>
        <v/>
      </c>
      <c r="Q80" s="34">
        <f>SUMIF($C$18:$C$37, "Finance &amp; Wealth", $D$18:$D$37)</f>
        <v/>
      </c>
      <c r="R80" s="34">
        <f>SUMIF($C$18:$C$37, "Finance &amp; Wealth", $AK$18:$AK$37)</f>
        <v/>
      </c>
      <c r="S80" s="35">
        <f>IFERROR(R80/Q80, 0)</f>
        <v/>
      </c>
    </row>
    <row r="81" ht="14" customHeight="1">
      <c r="A81" s="33" t="inlineStr">
        <is>
          <t>Total / Avg</t>
        </is>
      </c>
      <c r="B81" s="159" t="inlineStr">
        <is>
          <t>Month Total</t>
        </is>
      </c>
      <c r="C81" s="33">
        <f>SUM(C76:C80)</f>
        <v/>
      </c>
      <c r="D81" s="33">
        <f>SUM(D76:D80)</f>
        <v/>
      </c>
      <c r="E81" s="133">
        <f>IFERROR(C81/D81, 0)</f>
        <v/>
      </c>
    </row>
    <row r="82" ht="10" customHeight="1"/>
    <row r="83" ht="10" customHeight="1"/>
    <row r="84">
      <c r="A84" s="51" t="inlineStr">
        <is>
          <t>SLEEP &amp; PRODUCTIVITY CORRELATION ANALYSIS</t>
        </is>
      </c>
      <c r="B84" s="52" t="n"/>
      <c r="C84" s="52" t="n"/>
      <c r="D84" s="52" t="n"/>
      <c r="E84" s="52" t="n"/>
      <c r="F84" s="52" t="n"/>
      <c r="G84" s="52" t="n"/>
      <c r="H84" s="52" t="n"/>
      <c r="I84" s="52" t="n"/>
      <c r="J84" s="52" t="n"/>
      <c r="K84" s="52" t="n"/>
      <c r="L84" s="52" t="n"/>
      <c r="M84" s="52" t="n"/>
      <c r="N84" s="52" t="n"/>
      <c r="O84" s="52" t="n"/>
      <c r="P84" s="52" t="n"/>
      <c r="Q84" s="52" t="n"/>
      <c r="R84" s="52" t="n"/>
      <c r="S84" s="52" t="n"/>
      <c r="T84" s="52" t="n"/>
      <c r="U84" s="52" t="n"/>
      <c r="V84" s="52" t="n"/>
      <c r="W84" s="52" t="n"/>
      <c r="X84" s="52" t="n"/>
      <c r="Y84" s="52" t="n"/>
      <c r="Z84" s="52" t="n"/>
      <c r="AA84" s="52" t="n"/>
      <c r="AB84" s="52" t="n"/>
      <c r="AC84" s="52" t="n"/>
      <c r="AD84" s="52" t="n"/>
      <c r="AE84" s="52" t="n"/>
      <c r="AF84" s="52" t="n"/>
      <c r="AG84" s="52" t="n"/>
      <c r="AH84" s="52" t="n"/>
      <c r="AI84" s="52" t="n"/>
      <c r="AJ84" s="52" t="n"/>
    </row>
    <row r="85" ht="15" customHeight="1">
      <c r="A85" s="53" t="inlineStr">
        <is>
          <t>Rest Category</t>
        </is>
      </c>
      <c r="B85" s="54" t="n"/>
      <c r="C85" s="54" t="n"/>
      <c r="D85" s="53" t="inlineStr">
        <is>
          <t>Day Criteria</t>
        </is>
      </c>
      <c r="E85" s="54" t="n"/>
      <c r="F85" s="54" t="n"/>
      <c r="G85" s="53" t="inlineStr">
        <is>
          <t>Days Logged</t>
        </is>
      </c>
      <c r="H85" s="54" t="n"/>
      <c r="I85" s="54" t="n"/>
      <c r="J85" s="53" t="inlineStr">
        <is>
          <t>Avg Sleep Duration</t>
        </is>
      </c>
      <c r="K85" s="54" t="n"/>
      <c r="L85" s="54" t="n"/>
      <c r="M85" s="54" t="n"/>
      <c r="N85" s="53" t="inlineStr">
        <is>
          <t>Avg Habit Success %</t>
        </is>
      </c>
      <c r="O85" s="54" t="n"/>
      <c r="P85" s="54" t="n"/>
      <c r="Q85" s="54" t="n"/>
      <c r="R85" s="53" t="inlineStr">
        <is>
          <t>Productivity Delta</t>
        </is>
      </c>
      <c r="S85" s="54" t="n"/>
      <c r="T85" s="54" t="n"/>
      <c r="U85" s="54" t="n"/>
    </row>
    <row r="86" ht="15" customHeight="1">
      <c r="A86" s="160" t="inlineStr">
        <is>
          <t>Optimal Rest</t>
        </is>
      </c>
      <c r="B86" s="161" t="n"/>
      <c r="C86" s="56" t="n"/>
      <c r="D86" s="34" t="inlineStr">
        <is>
          <t>&gt;= 7 Hours / Night</t>
        </is>
      </c>
      <c r="E86" s="161" t="n"/>
      <c r="F86" s="56" t="n"/>
      <c r="G86" s="33">
        <f>COUNTIF(E47:AG47, "&gt;=7")</f>
        <v/>
      </c>
      <c r="H86" s="161" t="n"/>
      <c r="I86" s="56" t="n"/>
      <c r="J86" s="34">
        <f>IFERROR(TEXT(AVERAGEIF(E47:AG47, "&gt;=7"), "0.0") &amp; " hrs", "-")</f>
        <v/>
      </c>
      <c r="K86" s="161" t="n"/>
      <c r="L86" s="161" t="n"/>
      <c r="M86" s="56" t="n"/>
      <c r="N86" s="42">
        <f>IFERROR(AVERAGEIFS(E39:AG39, E47:AG47, "&gt;=7", E39:AG39, "&gt;0"), 0)</f>
        <v/>
      </c>
      <c r="O86" s="161" t="n"/>
      <c r="P86" s="161" t="n"/>
      <c r="Q86" s="56" t="n"/>
      <c r="R86" s="159" t="inlineStr">
        <is>
          <t>Baseline (Target)</t>
        </is>
      </c>
      <c r="S86" s="161" t="n"/>
      <c r="T86" s="161" t="n"/>
      <c r="U86" s="56" t="n"/>
    </row>
    <row r="87" ht="15" customHeight="1">
      <c r="A87" s="162" t="inlineStr">
        <is>
          <t>Sleep Deficit</t>
        </is>
      </c>
      <c r="B87" s="161" t="n"/>
      <c r="C87" s="56" t="n"/>
      <c r="D87" s="34" t="inlineStr">
        <is>
          <t>&lt; 7 Hours / Night</t>
        </is>
      </c>
      <c r="E87" s="161" t="n"/>
      <c r="F87" s="56" t="n"/>
      <c r="G87" s="33">
        <f>COUNTIF(E47:AG47, "&lt;7") - COUNTIF(E47:AG47, "")</f>
        <v/>
      </c>
      <c r="H87" s="161" t="n"/>
      <c r="I87" s="56" t="n"/>
      <c r="J87" s="34">
        <f>IFERROR(TEXT(AVERAGEIFS(E47:AG47, E47:AG47, "&lt;7", E47:AG47, "&gt;0"), "0.0") &amp; " hrs", "-")</f>
        <v/>
      </c>
      <c r="K87" s="161" t="n"/>
      <c r="L87" s="161" t="n"/>
      <c r="M87" s="56" t="n"/>
      <c r="N87" s="163">
        <f>IFERROR(AVERAGEIFS(E39:AG39, E47:AG47, "&lt;7", E39:AG39, "&gt;0"), 0)</f>
        <v/>
      </c>
      <c r="O87" s="161" t="n"/>
      <c r="P87" s="161" t="n"/>
      <c r="Q87" s="56" t="n"/>
      <c r="R87" s="160">
        <f>IFERROR(TEXT(N86 - N87, "+0.0%;-0.0%;0.0%") &amp; " Rest Advantage", "-")</f>
        <v/>
      </c>
      <c r="S87" s="161" t="n"/>
      <c r="T87" s="161" t="n"/>
      <c r="U87" s="56" t="n"/>
    </row>
    <row r="88" ht="18" customHeight="1">
      <c r="A88" s="164">
        <f>IF(AND(ISNUMBER(N86), ISNUMBER(N87), N86&gt;0, N87&gt;0), "💡 Sleep Correlation Insight: You complete " &amp; TEXT(ABS(N86-N87), "0.0%") &amp; IF(N86&gt;=N87, " MORE habits on days with 7+ hours of sleep!", " fewer habits on days with 7+ hours of sleep."), "💡 Log both habits and sleep hours daily to unlock automatic AI correlation insights!")</f>
        <v/>
      </c>
      <c r="B88" s="161" t="n"/>
      <c r="C88" s="161" t="n"/>
      <c r="D88" s="161" t="n"/>
      <c r="E88" s="161" t="n"/>
      <c r="F88" s="161" t="n"/>
      <c r="G88" s="161" t="n"/>
      <c r="H88" s="161" t="n"/>
      <c r="I88" s="161" t="n"/>
      <c r="J88" s="161" t="n"/>
      <c r="K88" s="161" t="n"/>
      <c r="L88" s="161" t="n"/>
      <c r="M88" s="161" t="n"/>
      <c r="N88" s="161" t="n"/>
      <c r="O88" s="161" t="n"/>
      <c r="P88" s="161" t="n"/>
      <c r="Q88" s="161" t="n"/>
      <c r="R88" s="161" t="n"/>
      <c r="S88" s="161" t="n"/>
      <c r="T88" s="161" t="n"/>
      <c r="U88" s="161" t="n"/>
      <c r="V88" s="161" t="n"/>
      <c r="W88" s="161" t="n"/>
      <c r="X88" s="161" t="n"/>
      <c r="Y88" s="161" t="n"/>
      <c r="Z88" s="161" t="n"/>
      <c r="AA88" s="161" t="n"/>
      <c r="AB88" s="161" t="n"/>
      <c r="AC88" s="161" t="n"/>
      <c r="AD88" s="161" t="n"/>
      <c r="AE88" s="161" t="n"/>
      <c r="AF88" s="161" t="n"/>
      <c r="AG88" s="161" t="n"/>
      <c r="AH88" s="161" t="n"/>
      <c r="AI88" s="161" t="n"/>
      <c r="AJ88" s="56" t="n"/>
    </row>
    <row r="89" ht="10" customHeight="1"/>
    <row r="90">
      <c r="A90" s="43" t="inlineStr">
        <is>
          <t>STANDARDIZED DATA BRIDGE (FOR ANNUAL &amp; QUARTERLY REVIEW SHEETS)</t>
        </is>
      </c>
      <c r="B90" s="44" t="n"/>
      <c r="C90" s="44" t="n"/>
      <c r="D90" s="44" t="n"/>
      <c r="E90" s="44" t="n"/>
      <c r="F90" s="44" t="n"/>
      <c r="G90" s="44" t="n"/>
      <c r="H90" s="44" t="n"/>
      <c r="I90" s="44" t="n"/>
      <c r="J90" s="44" t="n"/>
      <c r="K90" s="44" t="n"/>
      <c r="L90" s="44" t="n"/>
      <c r="M90" s="44" t="n"/>
      <c r="N90" s="44" t="n"/>
      <c r="O90" s="44" t="n"/>
      <c r="P90" s="44" t="n"/>
      <c r="Q90" s="44" t="n"/>
      <c r="R90" s="44" t="n"/>
      <c r="S90" s="44" t="n"/>
      <c r="T90" s="44" t="n"/>
      <c r="U90" s="44" t="n"/>
      <c r="V90" s="44" t="n"/>
      <c r="W90" s="44" t="n"/>
      <c r="X90" s="44" t="n"/>
      <c r="Y90" s="44" t="n"/>
      <c r="Z90" s="44" t="n"/>
      <c r="AA90" s="44" t="n"/>
      <c r="AB90" s="44" t="n"/>
      <c r="AC90" s="44" t="n"/>
      <c r="AD90" s="44" t="n"/>
      <c r="AE90" s="44" t="n"/>
      <c r="AF90" s="44" t="n"/>
      <c r="AG90" s="44" t="n"/>
      <c r="AH90" s="44" t="n"/>
      <c r="AI90" s="44" t="n"/>
      <c r="AJ90" s="44" t="n"/>
    </row>
    <row r="91" ht="15" customHeight="1">
      <c r="A91" s="53" t="inlineStr">
        <is>
          <t>Month</t>
        </is>
      </c>
      <c r="B91" s="54" t="n"/>
      <c r="C91" s="53" t="inlineStr">
        <is>
          <t>Year</t>
        </is>
      </c>
      <c r="D91" s="54" t="n"/>
      <c r="E91" s="53" t="inlineStr">
        <is>
          <t>Active Habits</t>
        </is>
      </c>
      <c r="F91" s="54" t="n"/>
      <c r="G91" s="53" t="inlineStr">
        <is>
          <t>Target Days</t>
        </is>
      </c>
      <c r="H91" s="54" t="n"/>
      <c r="I91" s="53" t="inlineStr">
        <is>
          <t>Done Checks</t>
        </is>
      </c>
      <c r="J91" s="54" t="n"/>
      <c r="K91" s="53" t="inlineStr">
        <is>
          <t>Success %</t>
        </is>
      </c>
      <c r="L91" s="54" t="n"/>
      <c r="M91" s="53" t="inlineStr">
        <is>
          <t>Perfect Days</t>
        </is>
      </c>
      <c r="N91" s="54" t="n"/>
      <c r="O91" s="53" t="inlineStr">
        <is>
          <t>Avg Sleep</t>
        </is>
      </c>
      <c r="P91" s="54" t="n"/>
      <c r="Q91" s="53" t="inlineStr">
        <is>
          <t>Best Week</t>
        </is>
      </c>
      <c r="R91" s="54" t="n"/>
      <c r="S91" s="54" t="n"/>
      <c r="T91" s="53" t="inlineStr">
        <is>
          <t>Top Life Domain</t>
        </is>
      </c>
      <c r="U91" s="54" t="n"/>
      <c r="V91" s="54" t="n"/>
      <c r="W91" s="54" t="n"/>
    </row>
    <row r="92" ht="16" customHeight="1">
      <c r="A92" s="165" t="inlineStr">
        <is>
          <t>Feb</t>
        </is>
      </c>
      <c r="B92" s="56" t="n"/>
      <c r="C92" s="165" t="n">
        <v>2028</v>
      </c>
      <c r="D92" s="56" t="n"/>
      <c r="E92" s="166">
        <f>COUNTA(B18:B37)</f>
        <v/>
      </c>
      <c r="F92" s="56" t="n"/>
      <c r="G92" s="166">
        <f>SUM(D18:D37)</f>
        <v/>
      </c>
      <c r="H92" s="56" t="n"/>
      <c r="I92" s="166">
        <f>SUM(AK18:AK37)</f>
        <v/>
      </c>
      <c r="J92" s="56" t="n"/>
      <c r="K92" s="167">
        <f>IF(G92&gt;0, I92/G92, 0)</f>
        <v/>
      </c>
      <c r="L92" s="56" t="n"/>
      <c r="M92" s="166">
        <f>COUNTIF(E39:AG39, 1)</f>
        <v/>
      </c>
      <c r="N92" s="56" t="n"/>
      <c r="O92" s="168">
        <f>IFERROR(AVERAGE(E47:AG47), 0)</f>
        <v/>
      </c>
      <c r="P92" s="56" t="n"/>
      <c r="Q92" s="166">
        <f>INDEX(A76:A80, MATCH(MAX(E76:E80), E76:E80, 0))</f>
        <v/>
      </c>
      <c r="R92" s="161" t="n"/>
      <c r="S92" s="56" t="n"/>
      <c r="T92" s="166">
        <f>INDEX(N76:N80, MATCH(MAX(S76:S80), S76:S80, 0))</f>
        <v/>
      </c>
      <c r="U92" s="161" t="n"/>
      <c r="V92" s="161" t="n"/>
      <c r="W92" s="56" t="n"/>
    </row>
    <row r="93" ht="14" customHeight="1">
      <c r="A93" s="169" t="inlineStr">
        <is>
          <t>📋 Note: Reference or copy Row 92 directly into an Annual / Quarterly review dashboard to track yearly habit trends.</t>
        </is>
      </c>
    </row>
    <row r="94" ht="8" customHeight="1"/>
    <row r="95">
      <c r="A95" s="170" t="inlineStr">
        <is>
          <t>🏆 MONTHLY WINS &amp; HIGHLIGHTS</t>
        </is>
      </c>
      <c r="J95" s="171" t="inlineStr">
        <is>
          <t>⚠️ FRICTION POINTS &amp; ROOT CAUSES</t>
        </is>
      </c>
      <c r="S95" s="172" t="inlineStr">
        <is>
          <t>🎯 3 KEY ADJUSTMENTS FOR NEXT MONTH</t>
        </is>
      </c>
    </row>
    <row r="96">
      <c r="A96" s="173" t="inlineStr">
        <is>
          <t>1. What went exceptionally well this month?
2. Which habit felt effortless and consistent?
3. Major milestone achieved:</t>
        </is>
      </c>
      <c r="B96" s="174" t="n"/>
      <c r="C96" s="174" t="n"/>
      <c r="D96" s="174" t="n"/>
      <c r="E96" s="174" t="n"/>
      <c r="F96" s="174" t="n"/>
      <c r="G96" s="174" t="n"/>
      <c r="H96" s="174" t="n"/>
      <c r="J96" s="175" t="inlineStr">
        <is>
          <t>1. What caused missed or skipped days?
2. Main triggers / energy drains encountered:
3. Which habit had the lowest consistency and why?</t>
        </is>
      </c>
      <c r="K96" s="176" t="n"/>
      <c r="L96" s="176" t="n"/>
      <c r="M96" s="176" t="n"/>
      <c r="N96" s="176" t="n"/>
      <c r="O96" s="176" t="n"/>
      <c r="P96" s="176" t="n"/>
      <c r="Q96" s="176" t="n"/>
      <c r="S96" s="177" t="inlineStr">
        <is>
          <t>1. Habit Stacking or time adjustment for next month:
2. Environment design change to eliminate friction:
3. One non-negotiable priority protocol:</t>
        </is>
      </c>
      <c r="T96" s="178" t="n"/>
      <c r="U96" s="178" t="n"/>
      <c r="V96" s="178" t="n"/>
      <c r="W96" s="178" t="n"/>
      <c r="X96" s="178" t="n"/>
      <c r="Y96" s="178" t="n"/>
      <c r="Z96" s="178" t="n"/>
    </row>
    <row r="97">
      <c r="A97" s="174" t="n"/>
      <c r="B97" s="174" t="n"/>
      <c r="C97" s="174" t="n"/>
      <c r="D97" s="174" t="n"/>
      <c r="E97" s="174" t="n"/>
      <c r="F97" s="174" t="n"/>
      <c r="G97" s="174" t="n"/>
      <c r="H97" s="174" t="n"/>
      <c r="J97" s="176" t="n"/>
      <c r="K97" s="176" t="n"/>
      <c r="L97" s="176" t="n"/>
      <c r="M97" s="176" t="n"/>
      <c r="N97" s="176" t="n"/>
      <c r="O97" s="176" t="n"/>
      <c r="P97" s="176" t="n"/>
      <c r="Q97" s="176" t="n"/>
      <c r="S97" s="178" t="n"/>
      <c r="T97" s="178" t="n"/>
      <c r="U97" s="178" t="n"/>
      <c r="V97" s="178" t="n"/>
      <c r="W97" s="178" t="n"/>
      <c r="X97" s="178" t="n"/>
      <c r="Y97" s="178" t="n"/>
      <c r="Z97" s="178" t="n"/>
    </row>
    <row r="98">
      <c r="A98" s="174" t="n"/>
      <c r="B98" s="174" t="n"/>
      <c r="C98" s="174" t="n"/>
      <c r="D98" s="174" t="n"/>
      <c r="E98" s="174" t="n"/>
      <c r="F98" s="174" t="n"/>
      <c r="G98" s="174" t="n"/>
      <c r="H98" s="174" t="n"/>
      <c r="J98" s="176" t="n"/>
      <c r="K98" s="176" t="n"/>
      <c r="L98" s="176" t="n"/>
      <c r="M98" s="176" t="n"/>
      <c r="N98" s="176" t="n"/>
      <c r="O98" s="176" t="n"/>
      <c r="P98" s="176" t="n"/>
      <c r="Q98" s="176" t="n"/>
      <c r="S98" s="178" t="n"/>
      <c r="T98" s="178" t="n"/>
      <c r="U98" s="178" t="n"/>
      <c r="V98" s="178" t="n"/>
      <c r="W98" s="178" t="n"/>
      <c r="X98" s="178" t="n"/>
      <c r="Y98" s="178" t="n"/>
      <c r="Z98" s="178" t="n"/>
    </row>
    <row r="99">
      <c r="A99" s="174" t="n"/>
      <c r="B99" s="174" t="n"/>
      <c r="C99" s="174" t="n"/>
      <c r="D99" s="174" t="n"/>
      <c r="E99" s="174" t="n"/>
      <c r="F99" s="174" t="n"/>
      <c r="G99" s="174" t="n"/>
      <c r="H99" s="174" t="n"/>
      <c r="J99" s="176" t="n"/>
      <c r="K99" s="176" t="n"/>
      <c r="L99" s="176" t="n"/>
      <c r="M99" s="176" t="n"/>
      <c r="N99" s="176" t="n"/>
      <c r="O99" s="176" t="n"/>
      <c r="P99" s="176" t="n"/>
      <c r="Q99" s="176" t="n"/>
      <c r="S99" s="178" t="n"/>
      <c r="T99" s="178" t="n"/>
      <c r="U99" s="178" t="n"/>
      <c r="V99" s="178" t="n"/>
      <c r="W99" s="178" t="n"/>
      <c r="X99" s="178" t="n"/>
      <c r="Y99" s="178" t="n"/>
      <c r="Z99" s="178" t="n"/>
    </row>
    <row r="100">
      <c r="A100" s="174" t="n"/>
      <c r="B100" s="174" t="n"/>
      <c r="C100" s="174" t="n"/>
      <c r="D100" s="174" t="n"/>
      <c r="E100" s="174" t="n"/>
      <c r="F100" s="174" t="n"/>
      <c r="G100" s="174" t="n"/>
      <c r="H100" s="174" t="n"/>
      <c r="J100" s="176" t="n"/>
      <c r="K100" s="176" t="n"/>
      <c r="L100" s="176" t="n"/>
      <c r="M100" s="176" t="n"/>
      <c r="N100" s="176" t="n"/>
      <c r="O100" s="176" t="n"/>
      <c r="P100" s="176" t="n"/>
      <c r="Q100" s="176" t="n"/>
      <c r="S100" s="178" t="n"/>
      <c r="T100" s="178" t="n"/>
      <c r="U100" s="178" t="n"/>
      <c r="V100" s="178" t="n"/>
      <c r="W100" s="178" t="n"/>
      <c r="X100" s="178" t="n"/>
      <c r="Y100" s="178" t="n"/>
      <c r="Z100" s="178" t="n"/>
    </row>
    <row r="101">
      <c r="A101" s="174" t="n"/>
      <c r="B101" s="174" t="n"/>
      <c r="C101" s="174" t="n"/>
      <c r="D101" s="174" t="n"/>
      <c r="E101" s="174" t="n"/>
      <c r="F101" s="174" t="n"/>
      <c r="G101" s="174" t="n"/>
      <c r="H101" s="174" t="n"/>
      <c r="J101" s="176" t="n"/>
      <c r="K101" s="176" t="n"/>
      <c r="L101" s="176" t="n"/>
      <c r="M101" s="176" t="n"/>
      <c r="N101" s="176" t="n"/>
      <c r="O101" s="176" t="n"/>
      <c r="P101" s="176" t="n"/>
      <c r="Q101" s="176" t="n"/>
      <c r="S101" s="178" t="n"/>
      <c r="T101" s="178" t="n"/>
      <c r="U101" s="178" t="n"/>
      <c r="V101" s="178" t="n"/>
      <c r="W101" s="178" t="n"/>
      <c r="X101" s="178" t="n"/>
      <c r="Y101" s="178" t="n"/>
      <c r="Z101" s="178" t="n"/>
    </row>
    <row r="102">
      <c r="A102" s="174" t="n"/>
      <c r="B102" s="174" t="n"/>
      <c r="C102" s="174" t="n"/>
      <c r="D102" s="174" t="n"/>
      <c r="E102" s="174" t="n"/>
      <c r="F102" s="174" t="n"/>
      <c r="G102" s="174" t="n"/>
      <c r="H102" s="174" t="n"/>
      <c r="J102" s="176" t="n"/>
      <c r="K102" s="176" t="n"/>
      <c r="L102" s="176" t="n"/>
      <c r="M102" s="176" t="n"/>
      <c r="N102" s="176" t="n"/>
      <c r="O102" s="176" t="n"/>
      <c r="P102" s="176" t="n"/>
      <c r="Q102" s="176" t="n"/>
      <c r="S102" s="178" t="n"/>
      <c r="T102" s="178" t="n"/>
      <c r="U102" s="178" t="n"/>
      <c r="V102" s="178" t="n"/>
      <c r="W102" s="178" t="n"/>
      <c r="X102" s="178" t="n"/>
      <c r="Y102" s="178" t="n"/>
      <c r="Z102" s="178" t="n"/>
    </row>
    <row r="103">
      <c r="A103" s="174" t="n"/>
      <c r="B103" s="174" t="n"/>
      <c r="C103" s="174" t="n"/>
      <c r="D103" s="174" t="n"/>
      <c r="E103" s="174" t="n"/>
      <c r="F103" s="174" t="n"/>
      <c r="G103" s="174" t="n"/>
      <c r="H103" s="174" t="n"/>
      <c r="J103" s="176" t="n"/>
      <c r="K103" s="176" t="n"/>
      <c r="L103" s="176" t="n"/>
      <c r="M103" s="176" t="n"/>
      <c r="N103" s="176" t="n"/>
      <c r="O103" s="176" t="n"/>
      <c r="P103" s="176" t="n"/>
      <c r="Q103" s="176" t="n"/>
      <c r="S103" s="178" t="n"/>
      <c r="T103" s="178" t="n"/>
      <c r="U103" s="178" t="n"/>
      <c r="V103" s="178" t="n"/>
      <c r="W103" s="178" t="n"/>
      <c r="X103" s="178" t="n"/>
      <c r="Y103" s="178" t="n"/>
      <c r="Z103" s="178" t="n"/>
    </row>
  </sheetData>
  <sheetProtection selectLockedCells="1" selectUnlockedCells="1" sheet="1" objects="0" insertRows="1" insertHyperlinks="1" autoFilter="1" scenarios="0" formatColumns="1" deleteColumns="1" insertColumns="1" pivotTables="1" deleteRows="1" formatCells="1" formatRows="1" sort="1"/>
  <mergeCells count="94">
    <mergeCell ref="A9:N9"/>
    <mergeCell ref="P9:AJ9"/>
    <mergeCell ref="N76:O76"/>
    <mergeCell ref="F67:I67"/>
    <mergeCell ref="G87:I87"/>
    <mergeCell ref="A16:A17"/>
    <mergeCell ref="A45:D46"/>
    <mergeCell ref="C16:C17"/>
    <mergeCell ref="N75:O75"/>
    <mergeCell ref="A84:AJ84"/>
    <mergeCell ref="N77:O77"/>
    <mergeCell ref="P68:S70"/>
    <mergeCell ref="D16:D17"/>
    <mergeCell ref="N85:Q85"/>
    <mergeCell ref="A42:AJ42"/>
    <mergeCell ref="H3:AB3"/>
    <mergeCell ref="A95:H95"/>
    <mergeCell ref="Q91:S91"/>
    <mergeCell ref="E91:F91"/>
    <mergeCell ref="A8:N8"/>
    <mergeCell ref="G91:H91"/>
    <mergeCell ref="J86:M86"/>
    <mergeCell ref="S95:Z95"/>
    <mergeCell ref="K67:N67"/>
    <mergeCell ref="N79:O79"/>
    <mergeCell ref="K92:L92"/>
    <mergeCell ref="C92:D92"/>
    <mergeCell ref="M92:N92"/>
    <mergeCell ref="F71:I71"/>
    <mergeCell ref="A88:AJ88"/>
    <mergeCell ref="A41:AJ41"/>
    <mergeCell ref="A90:AJ90"/>
    <mergeCell ref="H2:AB2"/>
    <mergeCell ref="K68:N70"/>
    <mergeCell ref="T91:W91"/>
    <mergeCell ref="AI16:AI17"/>
    <mergeCell ref="J95:Q95"/>
    <mergeCell ref="D85:F85"/>
    <mergeCell ref="N74:S74"/>
    <mergeCell ref="F68:I70"/>
    <mergeCell ref="A91:B91"/>
    <mergeCell ref="N78:O78"/>
    <mergeCell ref="C91:D91"/>
    <mergeCell ref="M91:N91"/>
    <mergeCell ref="O91:P91"/>
    <mergeCell ref="R86:U86"/>
    <mergeCell ref="N80:O80"/>
    <mergeCell ref="B16:B17"/>
    <mergeCell ref="A71:D71"/>
    <mergeCell ref="J85:M85"/>
    <mergeCell ref="D86:F86"/>
    <mergeCell ref="A92:B92"/>
    <mergeCell ref="N87:Q87"/>
    <mergeCell ref="P8:AJ8"/>
    <mergeCell ref="A1:B1"/>
    <mergeCell ref="E92:F92"/>
    <mergeCell ref="A68:D70"/>
    <mergeCell ref="P71:S71"/>
    <mergeCell ref="A86:C86"/>
    <mergeCell ref="D87:F87"/>
    <mergeCell ref="O92:P92"/>
    <mergeCell ref="A6:N6"/>
    <mergeCell ref="P7:AJ7"/>
    <mergeCell ref="A39:D39"/>
    <mergeCell ref="G86:I86"/>
    <mergeCell ref="A93:AJ93"/>
    <mergeCell ref="A96:H103"/>
    <mergeCell ref="P67:S67"/>
    <mergeCell ref="AH16:AH17"/>
    <mergeCell ref="T92:W92"/>
    <mergeCell ref="AC2:AJ2"/>
    <mergeCell ref="R85:U85"/>
    <mergeCell ref="K71:N71"/>
    <mergeCell ref="S96:Z103"/>
    <mergeCell ref="P6:AJ6"/>
    <mergeCell ref="A38:D38"/>
    <mergeCell ref="A67:D67"/>
    <mergeCell ref="I91:J91"/>
    <mergeCell ref="A85:C85"/>
    <mergeCell ref="K91:L91"/>
    <mergeCell ref="N86:Q86"/>
    <mergeCell ref="A7:N7"/>
    <mergeCell ref="A74:E74"/>
    <mergeCell ref="G85:I85"/>
    <mergeCell ref="A12:AJ14"/>
    <mergeCell ref="G92:H92"/>
    <mergeCell ref="I92:J92"/>
    <mergeCell ref="R87:U87"/>
    <mergeCell ref="J87:M87"/>
    <mergeCell ref="AJ16:AJ17"/>
    <mergeCell ref="J96:Q103"/>
    <mergeCell ref="Q92:S92"/>
    <mergeCell ref="A87:C87"/>
    <mergeCell ref="A47:D47"/>
  </mergeCells>
  <conditionalFormatting sqref="AH18:AH37">
    <cfRule type="dataBar" priority="1">
      <dataBar>
        <cfvo type="num" val="0"/>
        <cfvo type="num" val="1"/>
        <color rgb="0010B981"/>
      </dataBar>
    </cfRule>
  </conditionalFormatting>
  <conditionalFormatting sqref="E18:AG37">
    <cfRule type="cellIs" priority="2" operator="equal" dxfId="0">
      <formula>"✓"</formula>
    </cfRule>
    <cfRule type="cellIs" priority="3" operator="equal" dxfId="0">
      <formula>"✔"</formula>
    </cfRule>
    <cfRule type="cellIs" priority="4" operator="equal" dxfId="1">
      <formula>"✗"</formula>
    </cfRule>
    <cfRule type="cellIs" priority="5" operator="equal" dxfId="1">
      <formula>"x"</formula>
    </cfRule>
    <cfRule type="cellIs" priority="6" operator="equal" dxfId="1">
      <formula>"X"</formula>
    </cfRule>
  </conditionalFormatting>
  <conditionalFormatting sqref="E16:E17">
    <cfRule type="expression" priority="7" dxfId="2">
      <formula>AND(DAY(TODAY())=1, MONTH(TODAY())=2, YEAR(TODAY())=2028)</formula>
    </cfRule>
  </conditionalFormatting>
  <conditionalFormatting sqref="F16:F17">
    <cfRule type="expression" priority="8" dxfId="2">
      <formula>AND(DAY(TODAY())=2, MONTH(TODAY())=2, YEAR(TODAY())=2028)</formula>
    </cfRule>
  </conditionalFormatting>
  <conditionalFormatting sqref="G16:G17">
    <cfRule type="expression" priority="9" dxfId="2">
      <formula>AND(DAY(TODAY())=3, MONTH(TODAY())=2, YEAR(TODAY())=2028)</formula>
    </cfRule>
  </conditionalFormatting>
  <conditionalFormatting sqref="H16:H17">
    <cfRule type="expression" priority="10" dxfId="2">
      <formula>AND(DAY(TODAY())=4, MONTH(TODAY())=2, YEAR(TODAY())=2028)</formula>
    </cfRule>
  </conditionalFormatting>
  <conditionalFormatting sqref="I16:I17">
    <cfRule type="expression" priority="11" dxfId="2">
      <formula>AND(DAY(TODAY())=5, MONTH(TODAY())=2, YEAR(TODAY())=2028)</formula>
    </cfRule>
  </conditionalFormatting>
  <conditionalFormatting sqref="J16:J17">
    <cfRule type="expression" priority="12" dxfId="2">
      <formula>AND(DAY(TODAY())=6, MONTH(TODAY())=2, YEAR(TODAY())=2028)</formula>
    </cfRule>
  </conditionalFormatting>
  <conditionalFormatting sqref="K16:K17">
    <cfRule type="expression" priority="13" dxfId="2">
      <formula>AND(DAY(TODAY())=7, MONTH(TODAY())=2, YEAR(TODAY())=2028)</formula>
    </cfRule>
  </conditionalFormatting>
  <conditionalFormatting sqref="L16:L17">
    <cfRule type="expression" priority="14" dxfId="2">
      <formula>AND(DAY(TODAY())=8, MONTH(TODAY())=2, YEAR(TODAY())=2028)</formula>
    </cfRule>
  </conditionalFormatting>
  <conditionalFormatting sqref="M16:M17">
    <cfRule type="expression" priority="15" dxfId="2">
      <formula>AND(DAY(TODAY())=9, MONTH(TODAY())=2, YEAR(TODAY())=2028)</formula>
    </cfRule>
  </conditionalFormatting>
  <conditionalFormatting sqref="N16:N17">
    <cfRule type="expression" priority="16" dxfId="2">
      <formula>AND(DAY(TODAY())=10, MONTH(TODAY())=2, YEAR(TODAY())=2028)</formula>
    </cfRule>
  </conditionalFormatting>
  <conditionalFormatting sqref="O16:O17">
    <cfRule type="expression" priority="17" dxfId="2">
      <formula>AND(DAY(TODAY())=11, MONTH(TODAY())=2, YEAR(TODAY())=2028)</formula>
    </cfRule>
  </conditionalFormatting>
  <conditionalFormatting sqref="P16:P17">
    <cfRule type="expression" priority="18" dxfId="2">
      <formula>AND(DAY(TODAY())=12, MONTH(TODAY())=2, YEAR(TODAY())=2028)</formula>
    </cfRule>
  </conditionalFormatting>
  <conditionalFormatting sqref="Q16:Q17">
    <cfRule type="expression" priority="19" dxfId="2">
      <formula>AND(DAY(TODAY())=13, MONTH(TODAY())=2, YEAR(TODAY())=2028)</formula>
    </cfRule>
  </conditionalFormatting>
  <conditionalFormatting sqref="R16:R17">
    <cfRule type="expression" priority="20" dxfId="2">
      <formula>AND(DAY(TODAY())=14, MONTH(TODAY())=2, YEAR(TODAY())=2028)</formula>
    </cfRule>
  </conditionalFormatting>
  <conditionalFormatting sqref="S16:S17">
    <cfRule type="expression" priority="21" dxfId="2">
      <formula>AND(DAY(TODAY())=15, MONTH(TODAY())=2, YEAR(TODAY())=2028)</formula>
    </cfRule>
  </conditionalFormatting>
  <conditionalFormatting sqref="T16:T17">
    <cfRule type="expression" priority="22" dxfId="2">
      <formula>AND(DAY(TODAY())=16, MONTH(TODAY())=2, YEAR(TODAY())=2028)</formula>
    </cfRule>
  </conditionalFormatting>
  <conditionalFormatting sqref="U16:U17">
    <cfRule type="expression" priority="23" dxfId="2">
      <formula>AND(DAY(TODAY())=17, MONTH(TODAY())=2, YEAR(TODAY())=2028)</formula>
    </cfRule>
  </conditionalFormatting>
  <conditionalFormatting sqref="V16:V17">
    <cfRule type="expression" priority="24" dxfId="2">
      <formula>AND(DAY(TODAY())=18, MONTH(TODAY())=2, YEAR(TODAY())=2028)</formula>
    </cfRule>
  </conditionalFormatting>
  <conditionalFormatting sqref="W16:W17">
    <cfRule type="expression" priority="25" dxfId="2">
      <formula>AND(DAY(TODAY())=19, MONTH(TODAY())=2, YEAR(TODAY())=2028)</formula>
    </cfRule>
  </conditionalFormatting>
  <conditionalFormatting sqref="X16:X17">
    <cfRule type="expression" priority="26" dxfId="2">
      <formula>AND(DAY(TODAY())=20, MONTH(TODAY())=2, YEAR(TODAY())=2028)</formula>
    </cfRule>
  </conditionalFormatting>
  <conditionalFormatting sqref="Y16:Y17">
    <cfRule type="expression" priority="27" dxfId="2">
      <formula>AND(DAY(TODAY())=21, MONTH(TODAY())=2, YEAR(TODAY())=2028)</formula>
    </cfRule>
  </conditionalFormatting>
  <conditionalFormatting sqref="Z16:Z17">
    <cfRule type="expression" priority="28" dxfId="2">
      <formula>AND(DAY(TODAY())=22, MONTH(TODAY())=2, YEAR(TODAY())=2028)</formula>
    </cfRule>
  </conditionalFormatting>
  <conditionalFormatting sqref="AA16:AA17">
    <cfRule type="expression" priority="29" dxfId="2">
      <formula>AND(DAY(TODAY())=23, MONTH(TODAY())=2, YEAR(TODAY())=2028)</formula>
    </cfRule>
  </conditionalFormatting>
  <conditionalFormatting sqref="AB16:AB17">
    <cfRule type="expression" priority="30" dxfId="2">
      <formula>AND(DAY(TODAY())=24, MONTH(TODAY())=2, YEAR(TODAY())=2028)</formula>
    </cfRule>
  </conditionalFormatting>
  <conditionalFormatting sqref="AC16:AC17">
    <cfRule type="expression" priority="31" dxfId="2">
      <formula>AND(DAY(TODAY())=25, MONTH(TODAY())=2, YEAR(TODAY())=2028)</formula>
    </cfRule>
  </conditionalFormatting>
  <conditionalFormatting sqref="AD16:AD17">
    <cfRule type="expression" priority="32" dxfId="2">
      <formula>AND(DAY(TODAY())=26, MONTH(TODAY())=2, YEAR(TODAY())=2028)</formula>
    </cfRule>
  </conditionalFormatting>
  <conditionalFormatting sqref="AE16:AE17">
    <cfRule type="expression" priority="33" dxfId="2">
      <formula>AND(DAY(TODAY())=27, MONTH(TODAY())=2, YEAR(TODAY())=2028)</formula>
    </cfRule>
  </conditionalFormatting>
  <conditionalFormatting sqref="AF16:AF17">
    <cfRule type="expression" priority="34" dxfId="2">
      <formula>AND(DAY(TODAY())=28, MONTH(TODAY())=2, YEAR(TODAY())=2028)</formula>
    </cfRule>
  </conditionalFormatting>
  <conditionalFormatting sqref="AG16:AG17">
    <cfRule type="expression" priority="35" dxfId="2">
      <formula>AND(DAY(TODAY())=29, MONTH(TODAY())=2, YEAR(TODAY())=2028)</formula>
    </cfRule>
  </conditionalFormatting>
  <dataValidations count="4">
    <dataValidation sqref="C18:C37" showDropDown="0" showInputMessage="0" showErrorMessage="0" allowBlank="1" type="list">
      <formula1>"Health &amp; Fitness,Mindset &amp; Learning,Career &amp; Focus,Personal &amp; Home,Finance &amp; Wealth,Other"</formula1>
    </dataValidation>
    <dataValidation sqref="D18:D37" showDropDown="0" showInputMessage="0" showErrorMessage="0" allowBlank="1" type="list">
      <formula1>"1,2,3,4,5,6,7,8,9,10,11,12,13,14,15,16,17,18,19,20,21,22,23,24,25,26,27,28,29,30,31"</formula1>
    </dataValidation>
    <dataValidation sqref="E18:AG37" showDropDown="0" showInputMessage="0" showErrorMessage="0" allowBlank="1" type="list">
      <formula1>"✓,✗"</formula1>
    </dataValidation>
    <dataValidation sqref="E47:AG47" showDropDown="0" showInputMessage="0" showErrorMessage="0" allowBlank="1" type="list">
      <formula1>"1,2,3,4,5,6,7,8,9,10,11,12,13,14,15,16,17,18,19,20,21,22,23,24"</formula1>
    </dataValidation>
  </dataValidations>
  <hyperlinks>
    <hyperlink xmlns:r="http://schemas.openxmlformats.org/officeDocument/2006/relationships" ref="A1" r:id="rId1"/>
    <hyperlink xmlns:r="http://schemas.openxmlformats.org/officeDocument/2006/relationships" ref="C1" r:id="rId2"/>
    <hyperlink xmlns:r="http://schemas.openxmlformats.org/officeDocument/2006/relationships" ref="D1" r:id="rId3"/>
    <hyperlink xmlns:r="http://schemas.openxmlformats.org/officeDocument/2006/relationships" ref="E1" r:id="rId4"/>
    <hyperlink xmlns:r="http://schemas.openxmlformats.org/officeDocument/2006/relationships" ref="F1" r:id="rId5"/>
    <hyperlink xmlns:r="http://schemas.openxmlformats.org/officeDocument/2006/relationships" ref="G1" r:id="rId6"/>
    <hyperlink xmlns:r="http://schemas.openxmlformats.org/officeDocument/2006/relationships" ref="H1" r:id="rId7"/>
    <hyperlink xmlns:r="http://schemas.openxmlformats.org/officeDocument/2006/relationships" ref="I1" r:id="rId8"/>
    <hyperlink xmlns:r="http://schemas.openxmlformats.org/officeDocument/2006/relationships" ref="J1" r:id="rId9"/>
    <hyperlink xmlns:r="http://schemas.openxmlformats.org/officeDocument/2006/relationships" ref="K1" r:id="rId10"/>
  </hyperlinks>
  <printOptions horizontalCentered="1" verticalCentered="0"/>
  <pageMargins left="0.75" right="0.75" top="1" bottom="1" header="0.5" footer="0.5"/>
  <pageSetup orientation="landscape" paperSize="9" fitToHeight="0" fitToWidth="1"/>
  <drawing xmlns:r="http://schemas.openxmlformats.org/officeDocument/2006/relationships" r:id="rId11"/>
</worksheet>
</file>

<file path=xl/worksheets/sheet22.xml><?xml version="1.0" encoding="utf-8"?>
<worksheet xmlns="http://schemas.openxmlformats.org/spreadsheetml/2006/main">
  <sheetPr>
    <outlinePr summaryBelow="1" summaryRight="1"/>
    <pageSetUpPr fitToPage="1"/>
  </sheetPr>
  <dimension ref="A1:AM103"/>
  <sheetViews>
    <sheetView showGridLines="1" workbookViewId="0">
      <selection activeCell="A1" sqref="A1"/>
    </sheetView>
  </sheetViews>
  <sheetFormatPr baseColWidth="8" defaultRowHeight="15"/>
  <cols>
    <col width="6" customWidth="1" min="1" max="1"/>
    <col width="25" customWidth="1" min="2" max="2"/>
    <col width="16.5" customWidth="1" min="3" max="3"/>
    <col width="8" customWidth="1" min="4" max="4"/>
    <col width="4.8" customWidth="1" min="5" max="5"/>
    <col width="4.8" customWidth="1" min="6" max="6"/>
    <col width="4.8" customWidth="1" min="7" max="7"/>
    <col width="4.8" customWidth="1" min="8" max="8"/>
    <col width="4.8" customWidth="1" min="9" max="9"/>
    <col width="4.8" customWidth="1" min="10" max="10"/>
    <col width="4.8" customWidth="1" min="11" max="11"/>
    <col width="4.8" customWidth="1" min="12" max="12"/>
    <col width="4.8" customWidth="1" min="13" max="13"/>
    <col width="4.8" customWidth="1" min="14" max="14"/>
    <col width="4.8" customWidth="1" min="15" max="15"/>
    <col width="4.8" customWidth="1" min="16" max="16"/>
    <col width="4.8" customWidth="1" min="17" max="17"/>
    <col width="4.8" customWidth="1" min="18" max="18"/>
    <col width="4.8" customWidth="1" min="19" max="19"/>
    <col width="4.8" customWidth="1" min="20" max="20"/>
    <col width="4.8" customWidth="1" min="21" max="21"/>
    <col width="4.8" customWidth="1" min="22" max="22"/>
    <col width="4.8" customWidth="1" min="23" max="23"/>
    <col width="4.8" customWidth="1" min="24" max="24"/>
    <col width="4.8" customWidth="1" min="25" max="25"/>
    <col width="4.8" customWidth="1" min="26" max="26"/>
    <col width="4.8" customWidth="1" min="27" max="27"/>
    <col width="4.8" customWidth="1" min="28" max="28"/>
    <col width="4.8" customWidth="1" min="29" max="29"/>
    <col width="4.8" customWidth="1" min="30" max="30"/>
    <col width="4.8" customWidth="1" min="31" max="31"/>
    <col width="4.8" customWidth="1" min="32" max="32"/>
    <col width="4.8" customWidth="1" min="33" max="33"/>
    <col width="4.8" customWidth="1" min="34" max="34"/>
    <col width="4.8" customWidth="1" min="35" max="35"/>
    <col width="11.5" customWidth="1" min="36" max="36"/>
    <col width="12" customWidth="1" min="37" max="37"/>
    <col width="13.5" customWidth="1" min="38" max="38"/>
    <col hidden="1" width="8" customWidth="1" min="39" max="39"/>
  </cols>
  <sheetData>
    <row r="1" ht="18" customHeight="1">
      <c r="A1" s="76" t="inlineStr">
        <is>
          <t>🏠 Master Dashboard</t>
        </is>
      </c>
      <c r="B1" s="40" t="n"/>
      <c r="C1" s="77" t="inlineStr">
        <is>
          <t>🏛️ Quarterly Hub</t>
        </is>
      </c>
      <c r="D1" s="78" t="inlineStr">
        <is>
          <t>📚 Habit Library</t>
        </is>
      </c>
      <c r="E1" s="80" t="inlineStr">
        <is>
          <t>2026</t>
        </is>
      </c>
      <c r="F1" s="80" t="inlineStr">
        <is>
          <t>2027</t>
        </is>
      </c>
      <c r="G1" s="79" t="inlineStr">
        <is>
          <t>2028</t>
        </is>
      </c>
      <c r="H1" s="80" t="inlineStr">
        <is>
          <t>2029</t>
        </is>
      </c>
      <c r="I1" s="80" t="inlineStr">
        <is>
          <t>2030</t>
        </is>
      </c>
      <c r="J1" s="82" t="inlineStr">
        <is>
          <t>◀ Prev</t>
        </is>
      </c>
      <c r="K1" s="82" t="inlineStr">
        <is>
          <t>Next ▶</t>
        </is>
      </c>
    </row>
    <row r="2" ht="24" customHeight="1">
      <c r="A2" s="83" t="inlineStr">
        <is>
          <t>Habit Tracker</t>
        </is>
      </c>
      <c r="H2" s="84" t="inlineStr">
        <is>
          <t>"Action is the foundational key to all success."</t>
        </is>
      </c>
      <c r="AE2" s="85" t="inlineStr">
        <is>
          <t>@surajvansh</t>
        </is>
      </c>
    </row>
    <row r="3" ht="18" customHeight="1">
      <c r="A3" s="86" t="inlineStr">
        <is>
          <t>March 2028</t>
        </is>
      </c>
      <c r="H3" s="87" t="inlineStr">
        <is>
          <t>31 Days Dashboard</t>
        </is>
      </c>
    </row>
    <row r="4" ht="5" customHeight="1"/>
    <row r="5" ht="16" customHeight="1">
      <c r="A5" s="88" t="inlineStr">
        <is>
          <t>MONTHLY TARGETS</t>
        </is>
      </c>
    </row>
    <row r="6" ht="13" customHeight="1">
      <c r="A6" s="89" t="inlineStr">
        <is>
          <t>1. ____________________ : ____________________</t>
        </is>
      </c>
      <c r="P6" s="89" t="inlineStr">
        <is>
          <t>5. ____________________ : ____________________</t>
        </is>
      </c>
    </row>
    <row r="7" ht="13" customHeight="1">
      <c r="A7" s="89" t="inlineStr">
        <is>
          <t>2. ____________________ : ____________________</t>
        </is>
      </c>
      <c r="P7" s="89" t="inlineStr">
        <is>
          <t>6. ____________________ : ____________________</t>
        </is>
      </c>
    </row>
    <row r="8" ht="13" customHeight="1">
      <c r="A8" s="89" t="inlineStr">
        <is>
          <t>3. ____________________ : ____________________</t>
        </is>
      </c>
      <c r="P8" s="89" t="inlineStr">
        <is>
          <t>7. ____________________ : ____________________</t>
        </is>
      </c>
    </row>
    <row r="9" ht="13" customHeight="1">
      <c r="A9" s="89" t="inlineStr">
        <is>
          <t>4. ____________________ : ____________________</t>
        </is>
      </c>
      <c r="P9" s="89" t="inlineStr">
        <is>
          <t>8. ____________________ : ____________________</t>
        </is>
      </c>
    </row>
    <row r="10" ht="5" customHeight="1"/>
    <row r="11" ht="15" customHeight="1">
      <c r="A11" s="88" t="inlineStr">
        <is>
          <t>NOTES:</t>
        </is>
      </c>
    </row>
    <row r="12" ht="13" customHeight="1">
      <c r="A12" s="90" t="n"/>
      <c r="B12" s="91" t="n"/>
      <c r="C12" s="91" t="n"/>
      <c r="D12" s="91" t="n"/>
      <c r="E12" s="91" t="n"/>
      <c r="F12" s="91" t="n"/>
      <c r="G12" s="91" t="n"/>
      <c r="H12" s="91" t="n"/>
      <c r="I12" s="91" t="n"/>
      <c r="J12" s="91" t="n"/>
      <c r="K12" s="91" t="n"/>
      <c r="L12" s="91" t="n"/>
      <c r="M12" s="91" t="n"/>
      <c r="N12" s="91" t="n"/>
      <c r="O12" s="91" t="n"/>
      <c r="P12" s="91" t="n"/>
      <c r="Q12" s="91" t="n"/>
      <c r="R12" s="91" t="n"/>
      <c r="S12" s="91" t="n"/>
      <c r="T12" s="91" t="n"/>
      <c r="U12" s="91" t="n"/>
      <c r="V12" s="91" t="n"/>
      <c r="W12" s="91" t="n"/>
      <c r="X12" s="91" t="n"/>
      <c r="Y12" s="91" t="n"/>
      <c r="Z12" s="91" t="n"/>
      <c r="AA12" s="91" t="n"/>
      <c r="AB12" s="91" t="n"/>
      <c r="AC12" s="91" t="n"/>
      <c r="AD12" s="91" t="n"/>
      <c r="AE12" s="91" t="n"/>
      <c r="AF12" s="91" t="n"/>
      <c r="AG12" s="91" t="n"/>
      <c r="AH12" s="91" t="n"/>
      <c r="AI12" s="91" t="n"/>
      <c r="AJ12" s="91" t="n"/>
      <c r="AK12" s="91" t="n"/>
      <c r="AL12" s="91" t="n"/>
    </row>
    <row r="13" ht="13" customHeight="1">
      <c r="A13" s="91" t="n"/>
      <c r="B13" s="91" t="n"/>
      <c r="C13" s="91" t="n"/>
      <c r="D13" s="91" t="n"/>
      <c r="E13" s="91" t="n"/>
      <c r="F13" s="91" t="n"/>
      <c r="G13" s="91" t="n"/>
      <c r="H13" s="91" t="n"/>
      <c r="I13" s="91" t="n"/>
      <c r="J13" s="91" t="n"/>
      <c r="K13" s="91" t="n"/>
      <c r="L13" s="91" t="n"/>
      <c r="M13" s="91" t="n"/>
      <c r="N13" s="91" t="n"/>
      <c r="O13" s="91" t="n"/>
      <c r="P13" s="91" t="n"/>
      <c r="Q13" s="91" t="n"/>
      <c r="R13" s="91" t="n"/>
      <c r="S13" s="91" t="n"/>
      <c r="T13" s="91" t="n"/>
      <c r="U13" s="91" t="n"/>
      <c r="V13" s="91" t="n"/>
      <c r="W13" s="91" t="n"/>
      <c r="X13" s="91" t="n"/>
      <c r="Y13" s="91" t="n"/>
      <c r="Z13" s="91" t="n"/>
      <c r="AA13" s="91" t="n"/>
      <c r="AB13" s="91" t="n"/>
      <c r="AC13" s="91" t="n"/>
      <c r="AD13" s="91" t="n"/>
      <c r="AE13" s="91" t="n"/>
      <c r="AF13" s="91" t="n"/>
      <c r="AG13" s="91" t="n"/>
      <c r="AH13" s="91" t="n"/>
      <c r="AI13" s="91" t="n"/>
      <c r="AJ13" s="91" t="n"/>
      <c r="AK13" s="91" t="n"/>
      <c r="AL13" s="91" t="n"/>
    </row>
    <row r="14" ht="13" customHeight="1">
      <c r="A14" s="91" t="n"/>
      <c r="B14" s="91" t="n"/>
      <c r="C14" s="91" t="n"/>
      <c r="D14" s="91" t="n"/>
      <c r="E14" s="91" t="n"/>
      <c r="F14" s="91" t="n"/>
      <c r="G14" s="91" t="n"/>
      <c r="H14" s="91" t="n"/>
      <c r="I14" s="91" t="n"/>
      <c r="J14" s="91" t="n"/>
      <c r="K14" s="91" t="n"/>
      <c r="L14" s="91" t="n"/>
      <c r="M14" s="91" t="n"/>
      <c r="N14" s="91" t="n"/>
      <c r="O14" s="91" t="n"/>
      <c r="P14" s="91" t="n"/>
      <c r="Q14" s="91" t="n"/>
      <c r="R14" s="91" t="n"/>
      <c r="S14" s="91" t="n"/>
      <c r="T14" s="91" t="n"/>
      <c r="U14" s="91" t="n"/>
      <c r="V14" s="91" t="n"/>
      <c r="W14" s="91" t="n"/>
      <c r="X14" s="91" t="n"/>
      <c r="Y14" s="91" t="n"/>
      <c r="Z14" s="91" t="n"/>
      <c r="AA14" s="91" t="n"/>
      <c r="AB14" s="91" t="n"/>
      <c r="AC14" s="91" t="n"/>
      <c r="AD14" s="91" t="n"/>
      <c r="AE14" s="91" t="n"/>
      <c r="AF14" s="91" t="n"/>
      <c r="AG14" s="91" t="n"/>
      <c r="AH14" s="91" t="n"/>
      <c r="AI14" s="91" t="n"/>
      <c r="AJ14" s="91" t="n"/>
      <c r="AK14" s="91" t="n"/>
      <c r="AL14" s="91" t="n"/>
    </row>
    <row r="15" ht="8" customHeight="1"/>
    <row r="16" ht="15" customHeight="1">
      <c r="A16" s="33" t="inlineStr">
        <is>
          <t>S.No.</t>
        </is>
      </c>
      <c r="B16" s="33" t="inlineStr">
        <is>
          <t>Protocols</t>
        </is>
      </c>
      <c r="C16" s="33" t="inlineStr">
        <is>
          <t>Category</t>
        </is>
      </c>
      <c r="D16" s="33" t="inlineStr">
        <is>
          <t>Target</t>
        </is>
      </c>
      <c r="E16" s="92" t="n">
        <v>1</v>
      </c>
      <c r="F16" s="92" t="n">
        <v>2</v>
      </c>
      <c r="G16" s="92" t="n">
        <v>3</v>
      </c>
      <c r="H16" s="92" t="n">
        <v>4</v>
      </c>
      <c r="I16" s="93" t="n">
        <v>5</v>
      </c>
      <c r="J16" s="92" t="n">
        <v>6</v>
      </c>
      <c r="K16" s="92" t="n">
        <v>7</v>
      </c>
      <c r="L16" s="92" t="n">
        <v>8</v>
      </c>
      <c r="M16" s="92" t="n">
        <v>9</v>
      </c>
      <c r="N16" s="92" t="n">
        <v>10</v>
      </c>
      <c r="O16" s="92" t="n">
        <v>11</v>
      </c>
      <c r="P16" s="93" t="n">
        <v>12</v>
      </c>
      <c r="Q16" s="92" t="n">
        <v>13</v>
      </c>
      <c r="R16" s="92" t="n">
        <v>14</v>
      </c>
      <c r="S16" s="92" t="n">
        <v>15</v>
      </c>
      <c r="T16" s="92" t="n">
        <v>16</v>
      </c>
      <c r="U16" s="92" t="n">
        <v>17</v>
      </c>
      <c r="V16" s="92" t="n">
        <v>18</v>
      </c>
      <c r="W16" s="93" t="n">
        <v>19</v>
      </c>
      <c r="X16" s="92" t="n">
        <v>20</v>
      </c>
      <c r="Y16" s="92" t="n">
        <v>21</v>
      </c>
      <c r="Z16" s="92" t="n">
        <v>22</v>
      </c>
      <c r="AA16" s="92" t="n">
        <v>23</v>
      </c>
      <c r="AB16" s="92" t="n">
        <v>24</v>
      </c>
      <c r="AC16" s="92" t="n">
        <v>25</v>
      </c>
      <c r="AD16" s="93" t="n">
        <v>26</v>
      </c>
      <c r="AE16" s="92" t="n">
        <v>27</v>
      </c>
      <c r="AF16" s="92" t="n">
        <v>28</v>
      </c>
      <c r="AG16" s="92" t="n">
        <v>29</v>
      </c>
      <c r="AH16" s="92" t="n">
        <v>30</v>
      </c>
      <c r="AI16" s="92" t="n">
        <v>31</v>
      </c>
      <c r="AJ16" s="94" t="inlineStr">
        <is>
          <t>Success %</t>
        </is>
      </c>
      <c r="AK16" s="94" t="inlineStr">
        <is>
          <t>Done / Target</t>
        </is>
      </c>
      <c r="AL16" s="94" t="inlineStr">
        <is>
          <t>Status</t>
        </is>
      </c>
      <c r="AM16" t="inlineStr">
        <is>
          <t>Done Count</t>
        </is>
      </c>
    </row>
    <row r="17" ht="15" customHeight="1">
      <c r="A17" s="54" t="n"/>
      <c r="B17" s="54" t="n"/>
      <c r="C17" s="54" t="n"/>
      <c r="D17" s="54" t="n"/>
      <c r="E17" s="95" t="inlineStr">
        <is>
          <t>W</t>
        </is>
      </c>
      <c r="F17" s="95" t="inlineStr">
        <is>
          <t>Th</t>
        </is>
      </c>
      <c r="G17" s="95" t="inlineStr">
        <is>
          <t>F</t>
        </is>
      </c>
      <c r="H17" s="95" t="inlineStr">
        <is>
          <t>Sa</t>
        </is>
      </c>
      <c r="I17" s="96" t="inlineStr">
        <is>
          <t>Su</t>
        </is>
      </c>
      <c r="J17" s="95" t="inlineStr">
        <is>
          <t>M</t>
        </is>
      </c>
      <c r="K17" s="95" t="inlineStr">
        <is>
          <t>T</t>
        </is>
      </c>
      <c r="L17" s="95" t="inlineStr">
        <is>
          <t>W</t>
        </is>
      </c>
      <c r="M17" s="95" t="inlineStr">
        <is>
          <t>Th</t>
        </is>
      </c>
      <c r="N17" s="95" t="inlineStr">
        <is>
          <t>F</t>
        </is>
      </c>
      <c r="O17" s="95" t="inlineStr">
        <is>
          <t>Sa</t>
        </is>
      </c>
      <c r="P17" s="96" t="inlineStr">
        <is>
          <t>Su</t>
        </is>
      </c>
      <c r="Q17" s="95" t="inlineStr">
        <is>
          <t>M</t>
        </is>
      </c>
      <c r="R17" s="95" t="inlineStr">
        <is>
          <t>T</t>
        </is>
      </c>
      <c r="S17" s="95" t="inlineStr">
        <is>
          <t>W</t>
        </is>
      </c>
      <c r="T17" s="95" t="inlineStr">
        <is>
          <t>Th</t>
        </is>
      </c>
      <c r="U17" s="95" t="inlineStr">
        <is>
          <t>F</t>
        </is>
      </c>
      <c r="V17" s="95" t="inlineStr">
        <is>
          <t>Sa</t>
        </is>
      </c>
      <c r="W17" s="96" t="inlineStr">
        <is>
          <t>Su</t>
        </is>
      </c>
      <c r="X17" s="95" t="inlineStr">
        <is>
          <t>M</t>
        </is>
      </c>
      <c r="Y17" s="95" t="inlineStr">
        <is>
          <t>T</t>
        </is>
      </c>
      <c r="Z17" s="95" t="inlineStr">
        <is>
          <t>W</t>
        </is>
      </c>
      <c r="AA17" s="95" t="inlineStr">
        <is>
          <t>Th</t>
        </is>
      </c>
      <c r="AB17" s="95" t="inlineStr">
        <is>
          <t>F</t>
        </is>
      </c>
      <c r="AC17" s="95" t="inlineStr">
        <is>
          <t>Sa</t>
        </is>
      </c>
      <c r="AD17" s="96" t="inlineStr">
        <is>
          <t>Su</t>
        </is>
      </c>
      <c r="AE17" s="95" t="inlineStr">
        <is>
          <t>M</t>
        </is>
      </c>
      <c r="AF17" s="95" t="inlineStr">
        <is>
          <t>T</t>
        </is>
      </c>
      <c r="AG17" s="95" t="inlineStr">
        <is>
          <t>W</t>
        </is>
      </c>
      <c r="AH17" s="95" t="inlineStr">
        <is>
          <t>Th</t>
        </is>
      </c>
      <c r="AI17" s="95" t="inlineStr">
        <is>
          <t>F</t>
        </is>
      </c>
      <c r="AJ17" s="54" t="n"/>
      <c r="AK17" s="54" t="n"/>
      <c r="AL17" s="54" t="n"/>
    </row>
    <row r="18" ht="14.5" customHeight="1">
      <c r="A18" s="97" t="n">
        <v>1</v>
      </c>
      <c r="B18" s="98" t="n"/>
      <c r="C18" s="99" t="n"/>
      <c r="D18" s="99" t="n"/>
      <c r="E18" s="100" t="n"/>
      <c r="F18" s="100" t="n"/>
      <c r="G18" s="100" t="n"/>
      <c r="H18" s="100" t="n"/>
      <c r="I18" s="101" t="n"/>
      <c r="J18" s="100" t="n"/>
      <c r="K18" s="100" t="n"/>
      <c r="L18" s="100" t="n"/>
      <c r="M18" s="100" t="n"/>
      <c r="N18" s="100" t="n"/>
      <c r="O18" s="100" t="n"/>
      <c r="P18" s="101" t="n"/>
      <c r="Q18" s="100" t="n"/>
      <c r="R18" s="100" t="n"/>
      <c r="S18" s="100" t="n"/>
      <c r="T18" s="100" t="n"/>
      <c r="U18" s="100" t="n"/>
      <c r="V18" s="100" t="n"/>
      <c r="W18" s="101" t="n"/>
      <c r="X18" s="100" t="n"/>
      <c r="Y18" s="100" t="n"/>
      <c r="Z18" s="100" t="n"/>
      <c r="AA18" s="100" t="n"/>
      <c r="AB18" s="100" t="n"/>
      <c r="AC18" s="100" t="n"/>
      <c r="AD18" s="101" t="n"/>
      <c r="AE18" s="100" t="n"/>
      <c r="AF18" s="100" t="n"/>
      <c r="AG18" s="100" t="n"/>
      <c r="AH18" s="100" t="n"/>
      <c r="AI18" s="100" t="n"/>
      <c r="AJ18" s="102">
        <f>IF(ISBLANK(B18), "", IF(ISNUMBER(D18), IF(D18&gt;0, (COUNTIF(E18:AI18, "✓") + COUNTIF(E18:AI18, "✔") + COUNTIF(E18:AI18, "v") + COUNTIF(E18:AI18, "V"))/D18, 0), IF(((COUNTIF(E18:AI18, "✓") + COUNTIF(E18:AI18, "✔") + COUNTIF(E18:AI18, "v") + COUNTIF(E18:AI18, "V")) + COUNTIF(E18:AI18, "✗") + COUNTIF(E18:AI18, "x") + COUNTIF(E18:AI18, "X"))&gt;0, (COUNTIF(E18:AI18, "✓") + COUNTIF(E18:AI18, "✔") + COUNTIF(E18:AI18, "v") + COUNTIF(E18:AI18, "V"))/((COUNTIF(E18:AI18, "✓") + COUNTIF(E18:AI18, "✔") + COUNTIF(E18:AI18, "v") + COUNTIF(E18:AI18, "V")) + COUNTIF(E18:AI18, "✗") + COUNTIF(E18:AI18, "x") + COUNTIF(E18:AI18, "X")), "")))</f>
        <v/>
      </c>
      <c r="AK18" s="103">
        <f>IF(ISBLANK(B18), "", IF(ISNUMBER(D18), IF(D18&gt;0, (COUNTIF(E18:AI18, "✓") + COUNTIF(E18:AI18, "✔") + COUNTIF(E18:AI18, "v") + COUNTIF(E18:AI18, "V")) &amp; "/" &amp; D18, (COUNTIF(E18:AI18, "✓") + COUNTIF(E18:AI18, "✔") + COUNTIF(E18:AI18, "v") + COUNTIF(E18:AI18, "V")) &amp; "/0"), IF(((COUNTIF(E18:AI18, "✓") + COUNTIF(E18:AI18, "✔") + COUNTIF(E18:AI18, "v") + COUNTIF(E18:AI18, "V")) + COUNTIF(E18:AI18, "✗") + COUNTIF(E18:AI18, "x") + COUNTIF(E18:AI18, "X"))&gt;0, (COUNTIF(E18:AI18, "✓") + COUNTIF(E18:AI18, "✔") + COUNTIF(E18:AI18, "v") + COUNTIF(E18:AI18, "V")) &amp; "/" &amp; ((COUNTIF(E18:AI18, "✓") + COUNTIF(E18:AI18, "✔") + COUNTIF(E18:AI18, "v") + COUNTIF(E18:AI18, "V")) + COUNTIF(E18:AI18, "✗") + COUNTIF(E18:AI18, "x") + COUNTIF(E18:AI18, "X")), "")))</f>
        <v/>
      </c>
      <c r="AL18" s="103">
        <f>IF(ISBLANK(B18), "", IF(AJ18&gt;=0.85, "🔥 Mastered", IF(AJ18&gt;=0.7, "⚡ Consistent", "⚠️ Needs Focus")))</f>
        <v/>
      </c>
      <c r="AM18">
        <f>COUNTIF(E18:AI18, "✓")</f>
        <v/>
      </c>
    </row>
    <row r="19" ht="14.5" customHeight="1">
      <c r="A19" s="97" t="n">
        <v>2</v>
      </c>
      <c r="B19" s="98" t="n"/>
      <c r="C19" s="99" t="n"/>
      <c r="D19" s="99" t="n"/>
      <c r="E19" s="100" t="n"/>
      <c r="F19" s="100" t="n"/>
      <c r="G19" s="100" t="n"/>
      <c r="H19" s="100" t="n"/>
      <c r="I19" s="101" t="n"/>
      <c r="J19" s="100" t="n"/>
      <c r="K19" s="100" t="n"/>
      <c r="L19" s="100" t="n"/>
      <c r="M19" s="100" t="n"/>
      <c r="N19" s="100" t="n"/>
      <c r="O19" s="100" t="n"/>
      <c r="P19" s="101" t="n"/>
      <c r="Q19" s="100" t="n"/>
      <c r="R19" s="100" t="n"/>
      <c r="S19" s="100" t="n"/>
      <c r="T19" s="100" t="n"/>
      <c r="U19" s="100" t="n"/>
      <c r="V19" s="100" t="n"/>
      <c r="W19" s="101" t="n"/>
      <c r="X19" s="100" t="n"/>
      <c r="Y19" s="100" t="n"/>
      <c r="Z19" s="100" t="n"/>
      <c r="AA19" s="100" t="n"/>
      <c r="AB19" s="100" t="n"/>
      <c r="AC19" s="100" t="n"/>
      <c r="AD19" s="101" t="n"/>
      <c r="AE19" s="100" t="n"/>
      <c r="AF19" s="100" t="n"/>
      <c r="AG19" s="100" t="n"/>
      <c r="AH19" s="100" t="n"/>
      <c r="AI19" s="100" t="n"/>
      <c r="AJ19" s="102">
        <f>IF(ISBLANK(B19), "", IF(ISNUMBER(D19), IF(D19&gt;0, (COUNTIF(E19:AI19, "✓") + COUNTIF(E19:AI19, "✔") + COUNTIF(E19:AI19, "v") + COUNTIF(E19:AI19, "V"))/D19, 0), IF(((COUNTIF(E19:AI19, "✓") + COUNTIF(E19:AI19, "✔") + COUNTIF(E19:AI19, "v") + COUNTIF(E19:AI19, "V")) + COUNTIF(E19:AI19, "✗") + COUNTIF(E19:AI19, "x") + COUNTIF(E19:AI19, "X"))&gt;0, (COUNTIF(E19:AI19, "✓") + COUNTIF(E19:AI19, "✔") + COUNTIF(E19:AI19, "v") + COUNTIF(E19:AI19, "V"))/((COUNTIF(E19:AI19, "✓") + COUNTIF(E19:AI19, "✔") + COUNTIF(E19:AI19, "v") + COUNTIF(E19:AI19, "V")) + COUNTIF(E19:AI19, "✗") + COUNTIF(E19:AI19, "x") + COUNTIF(E19:AI19, "X")), "")))</f>
        <v/>
      </c>
      <c r="AK19" s="103">
        <f>IF(ISBLANK(B19), "", IF(ISNUMBER(D19), IF(D19&gt;0, (COUNTIF(E19:AI19, "✓") + COUNTIF(E19:AI19, "✔") + COUNTIF(E19:AI19, "v") + COUNTIF(E19:AI19, "V")) &amp; "/" &amp; D19, (COUNTIF(E19:AI19, "✓") + COUNTIF(E19:AI19, "✔") + COUNTIF(E19:AI19, "v") + COUNTIF(E19:AI19, "V")) &amp; "/0"), IF(((COUNTIF(E19:AI19, "✓") + COUNTIF(E19:AI19, "✔") + COUNTIF(E19:AI19, "v") + COUNTIF(E19:AI19, "V")) + COUNTIF(E19:AI19, "✗") + COUNTIF(E19:AI19, "x") + COUNTIF(E19:AI19, "X"))&gt;0, (COUNTIF(E19:AI19, "✓") + COUNTIF(E19:AI19, "✔") + COUNTIF(E19:AI19, "v") + COUNTIF(E19:AI19, "V")) &amp; "/" &amp; ((COUNTIF(E19:AI19, "✓") + COUNTIF(E19:AI19, "✔") + COUNTIF(E19:AI19, "v") + COUNTIF(E19:AI19, "V")) + COUNTIF(E19:AI19, "✗") + COUNTIF(E19:AI19, "x") + COUNTIF(E19:AI19, "X")), "")))</f>
        <v/>
      </c>
      <c r="AL19" s="103">
        <f>IF(ISBLANK(B19), "", IF(AJ19&gt;=0.85, "🔥 Mastered", IF(AJ19&gt;=0.7, "⚡ Consistent", "⚠️ Needs Focus")))</f>
        <v/>
      </c>
      <c r="AM19">
        <f>COUNTIF(E19:AI19, "✓")</f>
        <v/>
      </c>
    </row>
    <row r="20" ht="14.5" customHeight="1">
      <c r="A20" s="97" t="n">
        <v>3</v>
      </c>
      <c r="B20" s="98" t="n"/>
      <c r="C20" s="99" t="n"/>
      <c r="D20" s="99" t="n"/>
      <c r="E20" s="100" t="n"/>
      <c r="F20" s="100" t="n"/>
      <c r="G20" s="100" t="n"/>
      <c r="H20" s="100" t="n"/>
      <c r="I20" s="101" t="n"/>
      <c r="J20" s="100" t="n"/>
      <c r="K20" s="100" t="n"/>
      <c r="L20" s="100" t="n"/>
      <c r="M20" s="100" t="n"/>
      <c r="N20" s="100" t="n"/>
      <c r="O20" s="100" t="n"/>
      <c r="P20" s="101" t="n"/>
      <c r="Q20" s="100" t="n"/>
      <c r="R20" s="100" t="n"/>
      <c r="S20" s="100" t="n"/>
      <c r="T20" s="100" t="n"/>
      <c r="U20" s="100" t="n"/>
      <c r="V20" s="100" t="n"/>
      <c r="W20" s="101" t="n"/>
      <c r="X20" s="100" t="n"/>
      <c r="Y20" s="100" t="n"/>
      <c r="Z20" s="100" t="n"/>
      <c r="AA20" s="100" t="n"/>
      <c r="AB20" s="100" t="n"/>
      <c r="AC20" s="100" t="n"/>
      <c r="AD20" s="101" t="n"/>
      <c r="AE20" s="100" t="n"/>
      <c r="AF20" s="100" t="n"/>
      <c r="AG20" s="100" t="n"/>
      <c r="AH20" s="100" t="n"/>
      <c r="AI20" s="100" t="n"/>
      <c r="AJ20" s="102">
        <f>IF(ISBLANK(B20), "", IF(ISNUMBER(D20), IF(D20&gt;0, (COUNTIF(E20:AI20, "✓") + COUNTIF(E20:AI20, "✔") + COUNTIF(E20:AI20, "v") + COUNTIF(E20:AI20, "V"))/D20, 0), IF(((COUNTIF(E20:AI20, "✓") + COUNTIF(E20:AI20, "✔") + COUNTIF(E20:AI20, "v") + COUNTIF(E20:AI20, "V")) + COUNTIF(E20:AI20, "✗") + COUNTIF(E20:AI20, "x") + COUNTIF(E20:AI20, "X"))&gt;0, (COUNTIF(E20:AI20, "✓") + COUNTIF(E20:AI20, "✔") + COUNTIF(E20:AI20, "v") + COUNTIF(E20:AI20, "V"))/((COUNTIF(E20:AI20, "✓") + COUNTIF(E20:AI20, "✔") + COUNTIF(E20:AI20, "v") + COUNTIF(E20:AI20, "V")) + COUNTIF(E20:AI20, "✗") + COUNTIF(E20:AI20, "x") + COUNTIF(E20:AI20, "X")), "")))</f>
        <v/>
      </c>
      <c r="AK20" s="103">
        <f>IF(ISBLANK(B20), "", IF(ISNUMBER(D20), IF(D20&gt;0, (COUNTIF(E20:AI20, "✓") + COUNTIF(E20:AI20, "✔") + COUNTIF(E20:AI20, "v") + COUNTIF(E20:AI20, "V")) &amp; "/" &amp; D20, (COUNTIF(E20:AI20, "✓") + COUNTIF(E20:AI20, "✔") + COUNTIF(E20:AI20, "v") + COUNTIF(E20:AI20, "V")) &amp; "/0"), IF(((COUNTIF(E20:AI20, "✓") + COUNTIF(E20:AI20, "✔") + COUNTIF(E20:AI20, "v") + COUNTIF(E20:AI20, "V")) + COUNTIF(E20:AI20, "✗") + COUNTIF(E20:AI20, "x") + COUNTIF(E20:AI20, "X"))&gt;0, (COUNTIF(E20:AI20, "✓") + COUNTIF(E20:AI20, "✔") + COUNTIF(E20:AI20, "v") + COUNTIF(E20:AI20, "V")) &amp; "/" &amp; ((COUNTIF(E20:AI20, "✓") + COUNTIF(E20:AI20, "✔") + COUNTIF(E20:AI20, "v") + COUNTIF(E20:AI20, "V")) + COUNTIF(E20:AI20, "✗") + COUNTIF(E20:AI20, "x") + COUNTIF(E20:AI20, "X")), "")))</f>
        <v/>
      </c>
      <c r="AL20" s="103">
        <f>IF(ISBLANK(B20), "", IF(AJ20&gt;=0.85, "🔥 Mastered", IF(AJ20&gt;=0.7, "⚡ Consistent", "⚠️ Needs Focus")))</f>
        <v/>
      </c>
      <c r="AM20">
        <f>COUNTIF(E20:AI20, "✓")</f>
        <v/>
      </c>
    </row>
    <row r="21" ht="14.5" customHeight="1">
      <c r="A21" s="97" t="n">
        <v>4</v>
      </c>
      <c r="B21" s="98" t="n"/>
      <c r="C21" s="99" t="n"/>
      <c r="D21" s="99" t="n"/>
      <c r="E21" s="100" t="n"/>
      <c r="F21" s="100" t="n"/>
      <c r="G21" s="100" t="n"/>
      <c r="H21" s="100" t="n"/>
      <c r="I21" s="101" t="n"/>
      <c r="J21" s="100" t="n"/>
      <c r="K21" s="100" t="n"/>
      <c r="L21" s="100" t="n"/>
      <c r="M21" s="100" t="n"/>
      <c r="N21" s="100" t="n"/>
      <c r="O21" s="100" t="n"/>
      <c r="P21" s="101" t="n"/>
      <c r="Q21" s="100" t="n"/>
      <c r="R21" s="100" t="n"/>
      <c r="S21" s="100" t="n"/>
      <c r="T21" s="100" t="n"/>
      <c r="U21" s="100" t="n"/>
      <c r="V21" s="100" t="n"/>
      <c r="W21" s="101" t="n"/>
      <c r="X21" s="100" t="n"/>
      <c r="Y21" s="100" t="n"/>
      <c r="Z21" s="100" t="n"/>
      <c r="AA21" s="100" t="n"/>
      <c r="AB21" s="100" t="n"/>
      <c r="AC21" s="100" t="n"/>
      <c r="AD21" s="101" t="n"/>
      <c r="AE21" s="100" t="n"/>
      <c r="AF21" s="100" t="n"/>
      <c r="AG21" s="100" t="n"/>
      <c r="AH21" s="100" t="n"/>
      <c r="AI21" s="100" t="n"/>
      <c r="AJ21" s="102">
        <f>IF(ISBLANK(B21), "", IF(ISNUMBER(D21), IF(D21&gt;0, (COUNTIF(E21:AI21, "✓") + COUNTIF(E21:AI21, "✔") + COUNTIF(E21:AI21, "v") + COUNTIF(E21:AI21, "V"))/D21, 0), IF(((COUNTIF(E21:AI21, "✓") + COUNTIF(E21:AI21, "✔") + COUNTIF(E21:AI21, "v") + COUNTIF(E21:AI21, "V")) + COUNTIF(E21:AI21, "✗") + COUNTIF(E21:AI21, "x") + COUNTIF(E21:AI21, "X"))&gt;0, (COUNTIF(E21:AI21, "✓") + COUNTIF(E21:AI21, "✔") + COUNTIF(E21:AI21, "v") + COUNTIF(E21:AI21, "V"))/((COUNTIF(E21:AI21, "✓") + COUNTIF(E21:AI21, "✔") + COUNTIF(E21:AI21, "v") + COUNTIF(E21:AI21, "V")) + COUNTIF(E21:AI21, "✗") + COUNTIF(E21:AI21, "x") + COUNTIF(E21:AI21, "X")), "")))</f>
        <v/>
      </c>
      <c r="AK21" s="103">
        <f>IF(ISBLANK(B21), "", IF(ISNUMBER(D21), IF(D21&gt;0, (COUNTIF(E21:AI21, "✓") + COUNTIF(E21:AI21, "✔") + COUNTIF(E21:AI21, "v") + COUNTIF(E21:AI21, "V")) &amp; "/" &amp; D21, (COUNTIF(E21:AI21, "✓") + COUNTIF(E21:AI21, "✔") + COUNTIF(E21:AI21, "v") + COUNTIF(E21:AI21, "V")) &amp; "/0"), IF(((COUNTIF(E21:AI21, "✓") + COUNTIF(E21:AI21, "✔") + COUNTIF(E21:AI21, "v") + COUNTIF(E21:AI21, "V")) + COUNTIF(E21:AI21, "✗") + COUNTIF(E21:AI21, "x") + COUNTIF(E21:AI21, "X"))&gt;0, (COUNTIF(E21:AI21, "✓") + COUNTIF(E21:AI21, "✔") + COUNTIF(E21:AI21, "v") + COUNTIF(E21:AI21, "V")) &amp; "/" &amp; ((COUNTIF(E21:AI21, "✓") + COUNTIF(E21:AI21, "✔") + COUNTIF(E21:AI21, "v") + COUNTIF(E21:AI21, "V")) + COUNTIF(E21:AI21, "✗") + COUNTIF(E21:AI21, "x") + COUNTIF(E21:AI21, "X")), "")))</f>
        <v/>
      </c>
      <c r="AL21" s="103">
        <f>IF(ISBLANK(B21), "", IF(AJ21&gt;=0.85, "🔥 Mastered", IF(AJ21&gt;=0.7, "⚡ Consistent", "⚠️ Needs Focus")))</f>
        <v/>
      </c>
      <c r="AM21">
        <f>COUNTIF(E21:AI21, "✓")</f>
        <v/>
      </c>
    </row>
    <row r="22" ht="14.5" customHeight="1">
      <c r="A22" s="104" t="n">
        <v>5</v>
      </c>
      <c r="B22" s="105" t="n"/>
      <c r="C22" s="106" t="n"/>
      <c r="D22" s="106" t="n"/>
      <c r="E22" s="107" t="n"/>
      <c r="F22" s="107" t="n"/>
      <c r="G22" s="107" t="n"/>
      <c r="H22" s="107" t="n"/>
      <c r="I22" s="108" t="n"/>
      <c r="J22" s="107" t="n"/>
      <c r="K22" s="107" t="n"/>
      <c r="L22" s="107" t="n"/>
      <c r="M22" s="107" t="n"/>
      <c r="N22" s="107" t="n"/>
      <c r="O22" s="107" t="n"/>
      <c r="P22" s="108" t="n"/>
      <c r="Q22" s="107" t="n"/>
      <c r="R22" s="107" t="n"/>
      <c r="S22" s="107" t="n"/>
      <c r="T22" s="107" t="n"/>
      <c r="U22" s="107" t="n"/>
      <c r="V22" s="107" t="n"/>
      <c r="W22" s="108" t="n"/>
      <c r="X22" s="107" t="n"/>
      <c r="Y22" s="107" t="n"/>
      <c r="Z22" s="107" t="n"/>
      <c r="AA22" s="107" t="n"/>
      <c r="AB22" s="107" t="n"/>
      <c r="AC22" s="107" t="n"/>
      <c r="AD22" s="108" t="n"/>
      <c r="AE22" s="107" t="n"/>
      <c r="AF22" s="107" t="n"/>
      <c r="AG22" s="107" t="n"/>
      <c r="AH22" s="107" t="n"/>
      <c r="AI22" s="107" t="n"/>
      <c r="AJ22" s="109">
        <f>IF(ISBLANK(B22), "", IF(ISNUMBER(D22), IF(D22&gt;0, (COUNTIF(E22:AI22, "✓") + COUNTIF(E22:AI22, "✔") + COUNTIF(E22:AI22, "v") + COUNTIF(E22:AI22, "V"))/D22, 0), IF(((COUNTIF(E22:AI22, "✓") + COUNTIF(E22:AI22, "✔") + COUNTIF(E22:AI22, "v") + COUNTIF(E22:AI22, "V")) + COUNTIF(E22:AI22, "✗") + COUNTIF(E22:AI22, "x") + COUNTIF(E22:AI22, "X"))&gt;0, (COUNTIF(E22:AI22, "✓") + COUNTIF(E22:AI22, "✔") + COUNTIF(E22:AI22, "v") + COUNTIF(E22:AI22, "V"))/((COUNTIF(E22:AI22, "✓") + COUNTIF(E22:AI22, "✔") + COUNTIF(E22:AI22, "v") + COUNTIF(E22:AI22, "V")) + COUNTIF(E22:AI22, "✗") + COUNTIF(E22:AI22, "x") + COUNTIF(E22:AI22, "X")), "")))</f>
        <v/>
      </c>
      <c r="AK22" s="110">
        <f>IF(ISBLANK(B22), "", IF(ISNUMBER(D22), IF(D22&gt;0, (COUNTIF(E22:AI22, "✓") + COUNTIF(E22:AI22, "✔") + COUNTIF(E22:AI22, "v") + COUNTIF(E22:AI22, "V")) &amp; "/" &amp; D22, (COUNTIF(E22:AI22, "✓") + COUNTIF(E22:AI22, "✔") + COUNTIF(E22:AI22, "v") + COUNTIF(E22:AI22, "V")) &amp; "/0"), IF(((COUNTIF(E22:AI22, "✓") + COUNTIF(E22:AI22, "✔") + COUNTIF(E22:AI22, "v") + COUNTIF(E22:AI22, "V")) + COUNTIF(E22:AI22, "✗") + COUNTIF(E22:AI22, "x") + COUNTIF(E22:AI22, "X"))&gt;0, (COUNTIF(E22:AI22, "✓") + COUNTIF(E22:AI22, "✔") + COUNTIF(E22:AI22, "v") + COUNTIF(E22:AI22, "V")) &amp; "/" &amp; ((COUNTIF(E22:AI22, "✓") + COUNTIF(E22:AI22, "✔") + COUNTIF(E22:AI22, "v") + COUNTIF(E22:AI22, "V")) + COUNTIF(E22:AI22, "✗") + COUNTIF(E22:AI22, "x") + COUNTIF(E22:AI22, "X")), "")))</f>
        <v/>
      </c>
      <c r="AL22" s="110">
        <f>IF(ISBLANK(B22), "", IF(AJ22&gt;=0.85, "🔥 Mastered", IF(AJ22&gt;=0.7, "⚡ Consistent", "⚠️ Needs Focus")))</f>
        <v/>
      </c>
      <c r="AM22">
        <f>COUNTIF(E22:AI22, "✓")</f>
        <v/>
      </c>
    </row>
    <row r="23" ht="14.5" customHeight="1">
      <c r="A23" s="104" t="n">
        <v>6</v>
      </c>
      <c r="B23" s="105" t="n"/>
      <c r="C23" s="106" t="n"/>
      <c r="D23" s="106" t="n"/>
      <c r="E23" s="107" t="n"/>
      <c r="F23" s="107" t="n"/>
      <c r="G23" s="107" t="n"/>
      <c r="H23" s="107" t="n"/>
      <c r="I23" s="108" t="n"/>
      <c r="J23" s="107" t="n"/>
      <c r="K23" s="107" t="n"/>
      <c r="L23" s="107" t="n"/>
      <c r="M23" s="107" t="n"/>
      <c r="N23" s="107" t="n"/>
      <c r="O23" s="107" t="n"/>
      <c r="P23" s="108" t="n"/>
      <c r="Q23" s="107" t="n"/>
      <c r="R23" s="107" t="n"/>
      <c r="S23" s="107" t="n"/>
      <c r="T23" s="107" t="n"/>
      <c r="U23" s="107" t="n"/>
      <c r="V23" s="107" t="n"/>
      <c r="W23" s="108" t="n"/>
      <c r="X23" s="107" t="n"/>
      <c r="Y23" s="107" t="n"/>
      <c r="Z23" s="107" t="n"/>
      <c r="AA23" s="107" t="n"/>
      <c r="AB23" s="107" t="n"/>
      <c r="AC23" s="107" t="n"/>
      <c r="AD23" s="108" t="n"/>
      <c r="AE23" s="107" t="n"/>
      <c r="AF23" s="107" t="n"/>
      <c r="AG23" s="107" t="n"/>
      <c r="AH23" s="107" t="n"/>
      <c r="AI23" s="107" t="n"/>
      <c r="AJ23" s="109">
        <f>IF(ISBLANK(B23), "", IF(ISNUMBER(D23), IF(D23&gt;0, (COUNTIF(E23:AI23, "✓") + COUNTIF(E23:AI23, "✔") + COUNTIF(E23:AI23, "v") + COUNTIF(E23:AI23, "V"))/D23, 0), IF(((COUNTIF(E23:AI23, "✓") + COUNTIF(E23:AI23, "✔") + COUNTIF(E23:AI23, "v") + COUNTIF(E23:AI23, "V")) + COUNTIF(E23:AI23, "✗") + COUNTIF(E23:AI23, "x") + COUNTIF(E23:AI23, "X"))&gt;0, (COUNTIF(E23:AI23, "✓") + COUNTIF(E23:AI23, "✔") + COUNTIF(E23:AI23, "v") + COUNTIF(E23:AI23, "V"))/((COUNTIF(E23:AI23, "✓") + COUNTIF(E23:AI23, "✔") + COUNTIF(E23:AI23, "v") + COUNTIF(E23:AI23, "V")) + COUNTIF(E23:AI23, "✗") + COUNTIF(E23:AI23, "x") + COUNTIF(E23:AI23, "X")), "")))</f>
        <v/>
      </c>
      <c r="AK23" s="110">
        <f>IF(ISBLANK(B23), "", IF(ISNUMBER(D23), IF(D23&gt;0, (COUNTIF(E23:AI23, "✓") + COUNTIF(E23:AI23, "✔") + COUNTIF(E23:AI23, "v") + COUNTIF(E23:AI23, "V")) &amp; "/" &amp; D23, (COUNTIF(E23:AI23, "✓") + COUNTIF(E23:AI23, "✔") + COUNTIF(E23:AI23, "v") + COUNTIF(E23:AI23, "V")) &amp; "/0"), IF(((COUNTIF(E23:AI23, "✓") + COUNTIF(E23:AI23, "✔") + COUNTIF(E23:AI23, "v") + COUNTIF(E23:AI23, "V")) + COUNTIF(E23:AI23, "✗") + COUNTIF(E23:AI23, "x") + COUNTIF(E23:AI23, "X"))&gt;0, (COUNTIF(E23:AI23, "✓") + COUNTIF(E23:AI23, "✔") + COUNTIF(E23:AI23, "v") + COUNTIF(E23:AI23, "V")) &amp; "/" &amp; ((COUNTIF(E23:AI23, "✓") + COUNTIF(E23:AI23, "✔") + COUNTIF(E23:AI23, "v") + COUNTIF(E23:AI23, "V")) + COUNTIF(E23:AI23, "✗") + COUNTIF(E23:AI23, "x") + COUNTIF(E23:AI23, "X")), "")))</f>
        <v/>
      </c>
      <c r="AL23" s="110">
        <f>IF(ISBLANK(B23), "", IF(AJ23&gt;=0.85, "🔥 Mastered", IF(AJ23&gt;=0.7, "⚡ Consistent", "⚠️ Needs Focus")))</f>
        <v/>
      </c>
      <c r="AM23">
        <f>COUNTIF(E23:AI23, "✓")</f>
        <v/>
      </c>
    </row>
    <row r="24" ht="14.5" customHeight="1">
      <c r="A24" s="104" t="n">
        <v>7</v>
      </c>
      <c r="B24" s="105" t="n"/>
      <c r="C24" s="106" t="n"/>
      <c r="D24" s="106" t="n"/>
      <c r="E24" s="107" t="n"/>
      <c r="F24" s="107" t="n"/>
      <c r="G24" s="107" t="n"/>
      <c r="H24" s="107" t="n"/>
      <c r="I24" s="108" t="n"/>
      <c r="J24" s="107" t="n"/>
      <c r="K24" s="107" t="n"/>
      <c r="L24" s="107" t="n"/>
      <c r="M24" s="107" t="n"/>
      <c r="N24" s="107" t="n"/>
      <c r="O24" s="107" t="n"/>
      <c r="P24" s="108" t="n"/>
      <c r="Q24" s="107" t="n"/>
      <c r="R24" s="107" t="n"/>
      <c r="S24" s="107" t="n"/>
      <c r="T24" s="107" t="n"/>
      <c r="U24" s="107" t="n"/>
      <c r="V24" s="107" t="n"/>
      <c r="W24" s="108" t="n"/>
      <c r="X24" s="107" t="n"/>
      <c r="Y24" s="107" t="n"/>
      <c r="Z24" s="107" t="n"/>
      <c r="AA24" s="107" t="n"/>
      <c r="AB24" s="107" t="n"/>
      <c r="AC24" s="107" t="n"/>
      <c r="AD24" s="108" t="n"/>
      <c r="AE24" s="107" t="n"/>
      <c r="AF24" s="107" t="n"/>
      <c r="AG24" s="107" t="n"/>
      <c r="AH24" s="107" t="n"/>
      <c r="AI24" s="107" t="n"/>
      <c r="AJ24" s="109">
        <f>IF(ISBLANK(B24), "", IF(ISNUMBER(D24), IF(D24&gt;0, (COUNTIF(E24:AI24, "✓") + COUNTIF(E24:AI24, "✔") + COUNTIF(E24:AI24, "v") + COUNTIF(E24:AI24, "V"))/D24, 0), IF(((COUNTIF(E24:AI24, "✓") + COUNTIF(E24:AI24, "✔") + COUNTIF(E24:AI24, "v") + COUNTIF(E24:AI24, "V")) + COUNTIF(E24:AI24, "✗") + COUNTIF(E24:AI24, "x") + COUNTIF(E24:AI24, "X"))&gt;0, (COUNTIF(E24:AI24, "✓") + COUNTIF(E24:AI24, "✔") + COUNTIF(E24:AI24, "v") + COUNTIF(E24:AI24, "V"))/((COUNTIF(E24:AI24, "✓") + COUNTIF(E24:AI24, "✔") + COUNTIF(E24:AI24, "v") + COUNTIF(E24:AI24, "V")) + COUNTIF(E24:AI24, "✗") + COUNTIF(E24:AI24, "x") + COUNTIF(E24:AI24, "X")), "")))</f>
        <v/>
      </c>
      <c r="AK24" s="110">
        <f>IF(ISBLANK(B24), "", IF(ISNUMBER(D24), IF(D24&gt;0, (COUNTIF(E24:AI24, "✓") + COUNTIF(E24:AI24, "✔") + COUNTIF(E24:AI24, "v") + COUNTIF(E24:AI24, "V")) &amp; "/" &amp; D24, (COUNTIF(E24:AI24, "✓") + COUNTIF(E24:AI24, "✔") + COUNTIF(E24:AI24, "v") + COUNTIF(E24:AI24, "V")) &amp; "/0"), IF(((COUNTIF(E24:AI24, "✓") + COUNTIF(E24:AI24, "✔") + COUNTIF(E24:AI24, "v") + COUNTIF(E24:AI24, "V")) + COUNTIF(E24:AI24, "✗") + COUNTIF(E24:AI24, "x") + COUNTIF(E24:AI24, "X"))&gt;0, (COUNTIF(E24:AI24, "✓") + COUNTIF(E24:AI24, "✔") + COUNTIF(E24:AI24, "v") + COUNTIF(E24:AI24, "V")) &amp; "/" &amp; ((COUNTIF(E24:AI24, "✓") + COUNTIF(E24:AI24, "✔") + COUNTIF(E24:AI24, "v") + COUNTIF(E24:AI24, "V")) + COUNTIF(E24:AI24, "✗") + COUNTIF(E24:AI24, "x") + COUNTIF(E24:AI24, "X")), "")))</f>
        <v/>
      </c>
      <c r="AL24" s="110">
        <f>IF(ISBLANK(B24), "", IF(AJ24&gt;=0.85, "🔥 Mastered", IF(AJ24&gt;=0.7, "⚡ Consistent", "⚠️ Needs Focus")))</f>
        <v/>
      </c>
      <c r="AM24">
        <f>COUNTIF(E24:AI24, "✓")</f>
        <v/>
      </c>
    </row>
    <row r="25" ht="14.5" customHeight="1">
      <c r="A25" s="104" t="n">
        <v>8</v>
      </c>
      <c r="B25" s="105" t="n"/>
      <c r="C25" s="106" t="n"/>
      <c r="D25" s="106" t="n"/>
      <c r="E25" s="107" t="n"/>
      <c r="F25" s="107" t="n"/>
      <c r="G25" s="107" t="n"/>
      <c r="H25" s="107" t="n"/>
      <c r="I25" s="108" t="n"/>
      <c r="J25" s="107" t="n"/>
      <c r="K25" s="107" t="n"/>
      <c r="L25" s="107" t="n"/>
      <c r="M25" s="107" t="n"/>
      <c r="N25" s="107" t="n"/>
      <c r="O25" s="107" t="n"/>
      <c r="P25" s="108" t="n"/>
      <c r="Q25" s="107" t="n"/>
      <c r="R25" s="107" t="n"/>
      <c r="S25" s="107" t="n"/>
      <c r="T25" s="107" t="n"/>
      <c r="U25" s="107" t="n"/>
      <c r="V25" s="107" t="n"/>
      <c r="W25" s="108" t="n"/>
      <c r="X25" s="107" t="n"/>
      <c r="Y25" s="107" t="n"/>
      <c r="Z25" s="107" t="n"/>
      <c r="AA25" s="107" t="n"/>
      <c r="AB25" s="107" t="n"/>
      <c r="AC25" s="107" t="n"/>
      <c r="AD25" s="108" t="n"/>
      <c r="AE25" s="107" t="n"/>
      <c r="AF25" s="107" t="n"/>
      <c r="AG25" s="107" t="n"/>
      <c r="AH25" s="107" t="n"/>
      <c r="AI25" s="107" t="n"/>
      <c r="AJ25" s="109">
        <f>IF(ISBLANK(B25), "", IF(ISNUMBER(D25), IF(D25&gt;0, (COUNTIF(E25:AI25, "✓") + COUNTIF(E25:AI25, "✔") + COUNTIF(E25:AI25, "v") + COUNTIF(E25:AI25, "V"))/D25, 0), IF(((COUNTIF(E25:AI25, "✓") + COUNTIF(E25:AI25, "✔") + COUNTIF(E25:AI25, "v") + COUNTIF(E25:AI25, "V")) + COUNTIF(E25:AI25, "✗") + COUNTIF(E25:AI25, "x") + COUNTIF(E25:AI25, "X"))&gt;0, (COUNTIF(E25:AI25, "✓") + COUNTIF(E25:AI25, "✔") + COUNTIF(E25:AI25, "v") + COUNTIF(E25:AI25, "V"))/((COUNTIF(E25:AI25, "✓") + COUNTIF(E25:AI25, "✔") + COUNTIF(E25:AI25, "v") + COUNTIF(E25:AI25, "V")) + COUNTIF(E25:AI25, "✗") + COUNTIF(E25:AI25, "x") + COUNTIF(E25:AI25, "X")), "")))</f>
        <v/>
      </c>
      <c r="AK25" s="110">
        <f>IF(ISBLANK(B25), "", IF(ISNUMBER(D25), IF(D25&gt;0, (COUNTIF(E25:AI25, "✓") + COUNTIF(E25:AI25, "✔") + COUNTIF(E25:AI25, "v") + COUNTIF(E25:AI25, "V")) &amp; "/" &amp; D25, (COUNTIF(E25:AI25, "✓") + COUNTIF(E25:AI25, "✔") + COUNTIF(E25:AI25, "v") + COUNTIF(E25:AI25, "V")) &amp; "/0"), IF(((COUNTIF(E25:AI25, "✓") + COUNTIF(E25:AI25, "✔") + COUNTIF(E25:AI25, "v") + COUNTIF(E25:AI25, "V")) + COUNTIF(E25:AI25, "✗") + COUNTIF(E25:AI25, "x") + COUNTIF(E25:AI25, "X"))&gt;0, (COUNTIF(E25:AI25, "✓") + COUNTIF(E25:AI25, "✔") + COUNTIF(E25:AI25, "v") + COUNTIF(E25:AI25, "V")) &amp; "/" &amp; ((COUNTIF(E25:AI25, "✓") + COUNTIF(E25:AI25, "✔") + COUNTIF(E25:AI25, "v") + COUNTIF(E25:AI25, "V")) + COUNTIF(E25:AI25, "✗") + COUNTIF(E25:AI25, "x") + COUNTIF(E25:AI25, "X")), "")))</f>
        <v/>
      </c>
      <c r="AL25" s="110">
        <f>IF(ISBLANK(B25), "", IF(AJ25&gt;=0.85, "🔥 Mastered", IF(AJ25&gt;=0.7, "⚡ Consistent", "⚠️ Needs Focus")))</f>
        <v/>
      </c>
      <c r="AM25">
        <f>COUNTIF(E25:AI25, "✓")</f>
        <v/>
      </c>
    </row>
    <row r="26" ht="14.5" customHeight="1">
      <c r="A26" s="111" t="n">
        <v>9</v>
      </c>
      <c r="B26" s="112" t="n"/>
      <c r="C26" s="113" t="n"/>
      <c r="D26" s="113" t="n"/>
      <c r="E26" s="114" t="n"/>
      <c r="F26" s="114" t="n"/>
      <c r="G26" s="114" t="n"/>
      <c r="H26" s="114" t="n"/>
      <c r="I26" s="115" t="n"/>
      <c r="J26" s="114" t="n"/>
      <c r="K26" s="114" t="n"/>
      <c r="L26" s="114" t="n"/>
      <c r="M26" s="114" t="n"/>
      <c r="N26" s="114" t="n"/>
      <c r="O26" s="114" t="n"/>
      <c r="P26" s="115" t="n"/>
      <c r="Q26" s="114" t="n"/>
      <c r="R26" s="114" t="n"/>
      <c r="S26" s="114" t="n"/>
      <c r="T26" s="114" t="n"/>
      <c r="U26" s="114" t="n"/>
      <c r="V26" s="114" t="n"/>
      <c r="W26" s="115" t="n"/>
      <c r="X26" s="114" t="n"/>
      <c r="Y26" s="114" t="n"/>
      <c r="Z26" s="114" t="n"/>
      <c r="AA26" s="114" t="n"/>
      <c r="AB26" s="114" t="n"/>
      <c r="AC26" s="114" t="n"/>
      <c r="AD26" s="115" t="n"/>
      <c r="AE26" s="114" t="n"/>
      <c r="AF26" s="114" t="n"/>
      <c r="AG26" s="114" t="n"/>
      <c r="AH26" s="114" t="n"/>
      <c r="AI26" s="114" t="n"/>
      <c r="AJ26" s="116">
        <f>IF(ISBLANK(B26), "", IF(ISNUMBER(D26), IF(D26&gt;0, (COUNTIF(E26:AI26, "✓") + COUNTIF(E26:AI26, "✔") + COUNTIF(E26:AI26, "v") + COUNTIF(E26:AI26, "V"))/D26, 0), IF(((COUNTIF(E26:AI26, "✓") + COUNTIF(E26:AI26, "✔") + COUNTIF(E26:AI26, "v") + COUNTIF(E26:AI26, "V")) + COUNTIF(E26:AI26, "✗") + COUNTIF(E26:AI26, "x") + COUNTIF(E26:AI26, "X"))&gt;0, (COUNTIF(E26:AI26, "✓") + COUNTIF(E26:AI26, "✔") + COUNTIF(E26:AI26, "v") + COUNTIF(E26:AI26, "V"))/((COUNTIF(E26:AI26, "✓") + COUNTIF(E26:AI26, "✔") + COUNTIF(E26:AI26, "v") + COUNTIF(E26:AI26, "V")) + COUNTIF(E26:AI26, "✗") + COUNTIF(E26:AI26, "x") + COUNTIF(E26:AI26, "X")), "")))</f>
        <v/>
      </c>
      <c r="AK26" s="117">
        <f>IF(ISBLANK(B26), "", IF(ISNUMBER(D26), IF(D26&gt;0, (COUNTIF(E26:AI26, "✓") + COUNTIF(E26:AI26, "✔") + COUNTIF(E26:AI26, "v") + COUNTIF(E26:AI26, "V")) &amp; "/" &amp; D26, (COUNTIF(E26:AI26, "✓") + COUNTIF(E26:AI26, "✔") + COUNTIF(E26:AI26, "v") + COUNTIF(E26:AI26, "V")) &amp; "/0"), IF(((COUNTIF(E26:AI26, "✓") + COUNTIF(E26:AI26, "✔") + COUNTIF(E26:AI26, "v") + COUNTIF(E26:AI26, "V")) + COUNTIF(E26:AI26, "✗") + COUNTIF(E26:AI26, "x") + COUNTIF(E26:AI26, "X"))&gt;0, (COUNTIF(E26:AI26, "✓") + COUNTIF(E26:AI26, "✔") + COUNTIF(E26:AI26, "v") + COUNTIF(E26:AI26, "V")) &amp; "/" &amp; ((COUNTIF(E26:AI26, "✓") + COUNTIF(E26:AI26, "✔") + COUNTIF(E26:AI26, "v") + COUNTIF(E26:AI26, "V")) + COUNTIF(E26:AI26, "✗") + COUNTIF(E26:AI26, "x") + COUNTIF(E26:AI26, "X")), "")))</f>
        <v/>
      </c>
      <c r="AL26" s="117">
        <f>IF(ISBLANK(B26), "", IF(AJ26&gt;=0.85, "🔥 Mastered", IF(AJ26&gt;=0.7, "⚡ Consistent", "⚠️ Needs Focus")))</f>
        <v/>
      </c>
      <c r="AM26">
        <f>COUNTIF(E26:AI26, "✓")</f>
        <v/>
      </c>
    </row>
    <row r="27" ht="14.5" customHeight="1">
      <c r="A27" s="111" t="n">
        <v>10</v>
      </c>
      <c r="B27" s="112" t="n"/>
      <c r="C27" s="113" t="n"/>
      <c r="D27" s="113" t="n"/>
      <c r="E27" s="114" t="n"/>
      <c r="F27" s="114" t="n"/>
      <c r="G27" s="114" t="n"/>
      <c r="H27" s="114" t="n"/>
      <c r="I27" s="115" t="n"/>
      <c r="J27" s="114" t="n"/>
      <c r="K27" s="114" t="n"/>
      <c r="L27" s="114" t="n"/>
      <c r="M27" s="114" t="n"/>
      <c r="N27" s="114" t="n"/>
      <c r="O27" s="114" t="n"/>
      <c r="P27" s="115" t="n"/>
      <c r="Q27" s="114" t="n"/>
      <c r="R27" s="114" t="n"/>
      <c r="S27" s="114" t="n"/>
      <c r="T27" s="114" t="n"/>
      <c r="U27" s="114" t="n"/>
      <c r="V27" s="114" t="n"/>
      <c r="W27" s="115" t="n"/>
      <c r="X27" s="114" t="n"/>
      <c r="Y27" s="114" t="n"/>
      <c r="Z27" s="114" t="n"/>
      <c r="AA27" s="114" t="n"/>
      <c r="AB27" s="114" t="n"/>
      <c r="AC27" s="114" t="n"/>
      <c r="AD27" s="115" t="n"/>
      <c r="AE27" s="114" t="n"/>
      <c r="AF27" s="114" t="n"/>
      <c r="AG27" s="114" t="n"/>
      <c r="AH27" s="114" t="n"/>
      <c r="AI27" s="114" t="n"/>
      <c r="AJ27" s="116">
        <f>IF(ISBLANK(B27), "", IF(ISNUMBER(D27), IF(D27&gt;0, (COUNTIF(E27:AI27, "✓") + COUNTIF(E27:AI27, "✔") + COUNTIF(E27:AI27, "v") + COUNTIF(E27:AI27, "V"))/D27, 0), IF(((COUNTIF(E27:AI27, "✓") + COUNTIF(E27:AI27, "✔") + COUNTIF(E27:AI27, "v") + COUNTIF(E27:AI27, "V")) + COUNTIF(E27:AI27, "✗") + COUNTIF(E27:AI27, "x") + COUNTIF(E27:AI27, "X"))&gt;0, (COUNTIF(E27:AI27, "✓") + COUNTIF(E27:AI27, "✔") + COUNTIF(E27:AI27, "v") + COUNTIF(E27:AI27, "V"))/((COUNTIF(E27:AI27, "✓") + COUNTIF(E27:AI27, "✔") + COUNTIF(E27:AI27, "v") + COUNTIF(E27:AI27, "V")) + COUNTIF(E27:AI27, "✗") + COUNTIF(E27:AI27, "x") + COUNTIF(E27:AI27, "X")), "")))</f>
        <v/>
      </c>
      <c r="AK27" s="117">
        <f>IF(ISBLANK(B27), "", IF(ISNUMBER(D27), IF(D27&gt;0, (COUNTIF(E27:AI27, "✓") + COUNTIF(E27:AI27, "✔") + COUNTIF(E27:AI27, "v") + COUNTIF(E27:AI27, "V")) &amp; "/" &amp; D27, (COUNTIF(E27:AI27, "✓") + COUNTIF(E27:AI27, "✔") + COUNTIF(E27:AI27, "v") + COUNTIF(E27:AI27, "V")) &amp; "/0"), IF(((COUNTIF(E27:AI27, "✓") + COUNTIF(E27:AI27, "✔") + COUNTIF(E27:AI27, "v") + COUNTIF(E27:AI27, "V")) + COUNTIF(E27:AI27, "✗") + COUNTIF(E27:AI27, "x") + COUNTIF(E27:AI27, "X"))&gt;0, (COUNTIF(E27:AI27, "✓") + COUNTIF(E27:AI27, "✔") + COUNTIF(E27:AI27, "v") + COUNTIF(E27:AI27, "V")) &amp; "/" &amp; ((COUNTIF(E27:AI27, "✓") + COUNTIF(E27:AI27, "✔") + COUNTIF(E27:AI27, "v") + COUNTIF(E27:AI27, "V")) + COUNTIF(E27:AI27, "✗") + COUNTIF(E27:AI27, "x") + COUNTIF(E27:AI27, "X")), "")))</f>
        <v/>
      </c>
      <c r="AL27" s="117">
        <f>IF(ISBLANK(B27), "", IF(AJ27&gt;=0.85, "🔥 Mastered", IF(AJ27&gt;=0.7, "⚡ Consistent", "⚠️ Needs Focus")))</f>
        <v/>
      </c>
      <c r="AM27">
        <f>COUNTIF(E27:AI27, "✓")</f>
        <v/>
      </c>
    </row>
    <row r="28" ht="14.5" customHeight="1">
      <c r="A28" s="111" t="n">
        <v>11</v>
      </c>
      <c r="B28" s="112" t="n"/>
      <c r="C28" s="113" t="n"/>
      <c r="D28" s="113" t="n"/>
      <c r="E28" s="114" t="n"/>
      <c r="F28" s="114" t="n"/>
      <c r="G28" s="114" t="n"/>
      <c r="H28" s="114" t="n"/>
      <c r="I28" s="115" t="n"/>
      <c r="J28" s="114" t="n"/>
      <c r="K28" s="114" t="n"/>
      <c r="L28" s="114" t="n"/>
      <c r="M28" s="114" t="n"/>
      <c r="N28" s="114" t="n"/>
      <c r="O28" s="114" t="n"/>
      <c r="P28" s="115" t="n"/>
      <c r="Q28" s="114" t="n"/>
      <c r="R28" s="114" t="n"/>
      <c r="S28" s="114" t="n"/>
      <c r="T28" s="114" t="n"/>
      <c r="U28" s="114" t="n"/>
      <c r="V28" s="114" t="n"/>
      <c r="W28" s="115" t="n"/>
      <c r="X28" s="114" t="n"/>
      <c r="Y28" s="114" t="n"/>
      <c r="Z28" s="114" t="n"/>
      <c r="AA28" s="114" t="n"/>
      <c r="AB28" s="114" t="n"/>
      <c r="AC28" s="114" t="n"/>
      <c r="AD28" s="115" t="n"/>
      <c r="AE28" s="114" t="n"/>
      <c r="AF28" s="114" t="n"/>
      <c r="AG28" s="114" t="n"/>
      <c r="AH28" s="114" t="n"/>
      <c r="AI28" s="114" t="n"/>
      <c r="AJ28" s="116">
        <f>IF(ISBLANK(B28), "", IF(ISNUMBER(D28), IF(D28&gt;0, (COUNTIF(E28:AI28, "✓") + COUNTIF(E28:AI28, "✔") + COUNTIF(E28:AI28, "v") + COUNTIF(E28:AI28, "V"))/D28, 0), IF(((COUNTIF(E28:AI28, "✓") + COUNTIF(E28:AI28, "✔") + COUNTIF(E28:AI28, "v") + COUNTIF(E28:AI28, "V")) + COUNTIF(E28:AI28, "✗") + COUNTIF(E28:AI28, "x") + COUNTIF(E28:AI28, "X"))&gt;0, (COUNTIF(E28:AI28, "✓") + COUNTIF(E28:AI28, "✔") + COUNTIF(E28:AI28, "v") + COUNTIF(E28:AI28, "V"))/((COUNTIF(E28:AI28, "✓") + COUNTIF(E28:AI28, "✔") + COUNTIF(E28:AI28, "v") + COUNTIF(E28:AI28, "V")) + COUNTIF(E28:AI28, "✗") + COUNTIF(E28:AI28, "x") + COUNTIF(E28:AI28, "X")), "")))</f>
        <v/>
      </c>
      <c r="AK28" s="117">
        <f>IF(ISBLANK(B28), "", IF(ISNUMBER(D28), IF(D28&gt;0, (COUNTIF(E28:AI28, "✓") + COUNTIF(E28:AI28, "✔") + COUNTIF(E28:AI28, "v") + COUNTIF(E28:AI28, "V")) &amp; "/" &amp; D28, (COUNTIF(E28:AI28, "✓") + COUNTIF(E28:AI28, "✔") + COUNTIF(E28:AI28, "v") + COUNTIF(E28:AI28, "V")) &amp; "/0"), IF(((COUNTIF(E28:AI28, "✓") + COUNTIF(E28:AI28, "✔") + COUNTIF(E28:AI28, "v") + COUNTIF(E28:AI28, "V")) + COUNTIF(E28:AI28, "✗") + COUNTIF(E28:AI28, "x") + COUNTIF(E28:AI28, "X"))&gt;0, (COUNTIF(E28:AI28, "✓") + COUNTIF(E28:AI28, "✔") + COUNTIF(E28:AI28, "v") + COUNTIF(E28:AI28, "V")) &amp; "/" &amp; ((COUNTIF(E28:AI28, "✓") + COUNTIF(E28:AI28, "✔") + COUNTIF(E28:AI28, "v") + COUNTIF(E28:AI28, "V")) + COUNTIF(E28:AI28, "✗") + COUNTIF(E28:AI28, "x") + COUNTIF(E28:AI28, "X")), "")))</f>
        <v/>
      </c>
      <c r="AL28" s="117">
        <f>IF(ISBLANK(B28), "", IF(AJ28&gt;=0.85, "🔥 Mastered", IF(AJ28&gt;=0.7, "⚡ Consistent", "⚠️ Needs Focus")))</f>
        <v/>
      </c>
      <c r="AM28">
        <f>COUNTIF(E28:AI28, "✓")</f>
        <v/>
      </c>
    </row>
    <row r="29" ht="14.5" customHeight="1">
      <c r="A29" s="111" t="n">
        <v>12</v>
      </c>
      <c r="B29" s="112" t="n"/>
      <c r="C29" s="113" t="n"/>
      <c r="D29" s="113" t="n"/>
      <c r="E29" s="114" t="n"/>
      <c r="F29" s="114" t="n"/>
      <c r="G29" s="114" t="n"/>
      <c r="H29" s="114" t="n"/>
      <c r="I29" s="115" t="n"/>
      <c r="J29" s="114" t="n"/>
      <c r="K29" s="114" t="n"/>
      <c r="L29" s="114" t="n"/>
      <c r="M29" s="114" t="n"/>
      <c r="N29" s="114" t="n"/>
      <c r="O29" s="114" t="n"/>
      <c r="P29" s="115" t="n"/>
      <c r="Q29" s="114" t="n"/>
      <c r="R29" s="114" t="n"/>
      <c r="S29" s="114" t="n"/>
      <c r="T29" s="114" t="n"/>
      <c r="U29" s="114" t="n"/>
      <c r="V29" s="114" t="n"/>
      <c r="W29" s="115" t="n"/>
      <c r="X29" s="114" t="n"/>
      <c r="Y29" s="114" t="n"/>
      <c r="Z29" s="114" t="n"/>
      <c r="AA29" s="114" t="n"/>
      <c r="AB29" s="114" t="n"/>
      <c r="AC29" s="114" t="n"/>
      <c r="AD29" s="115" t="n"/>
      <c r="AE29" s="114" t="n"/>
      <c r="AF29" s="114" t="n"/>
      <c r="AG29" s="114" t="n"/>
      <c r="AH29" s="114" t="n"/>
      <c r="AI29" s="114" t="n"/>
      <c r="AJ29" s="116">
        <f>IF(ISBLANK(B29), "", IF(ISNUMBER(D29), IF(D29&gt;0, (COUNTIF(E29:AI29, "✓") + COUNTIF(E29:AI29, "✔") + COUNTIF(E29:AI29, "v") + COUNTIF(E29:AI29, "V"))/D29, 0), IF(((COUNTIF(E29:AI29, "✓") + COUNTIF(E29:AI29, "✔") + COUNTIF(E29:AI29, "v") + COUNTIF(E29:AI29, "V")) + COUNTIF(E29:AI29, "✗") + COUNTIF(E29:AI29, "x") + COUNTIF(E29:AI29, "X"))&gt;0, (COUNTIF(E29:AI29, "✓") + COUNTIF(E29:AI29, "✔") + COUNTIF(E29:AI29, "v") + COUNTIF(E29:AI29, "V"))/((COUNTIF(E29:AI29, "✓") + COUNTIF(E29:AI29, "✔") + COUNTIF(E29:AI29, "v") + COUNTIF(E29:AI29, "V")) + COUNTIF(E29:AI29, "✗") + COUNTIF(E29:AI29, "x") + COUNTIF(E29:AI29, "X")), "")))</f>
        <v/>
      </c>
      <c r="AK29" s="117">
        <f>IF(ISBLANK(B29), "", IF(ISNUMBER(D29), IF(D29&gt;0, (COUNTIF(E29:AI29, "✓") + COUNTIF(E29:AI29, "✔") + COUNTIF(E29:AI29, "v") + COUNTIF(E29:AI29, "V")) &amp; "/" &amp; D29, (COUNTIF(E29:AI29, "✓") + COUNTIF(E29:AI29, "✔") + COUNTIF(E29:AI29, "v") + COUNTIF(E29:AI29, "V")) &amp; "/0"), IF(((COUNTIF(E29:AI29, "✓") + COUNTIF(E29:AI29, "✔") + COUNTIF(E29:AI29, "v") + COUNTIF(E29:AI29, "V")) + COUNTIF(E29:AI29, "✗") + COUNTIF(E29:AI29, "x") + COUNTIF(E29:AI29, "X"))&gt;0, (COUNTIF(E29:AI29, "✓") + COUNTIF(E29:AI29, "✔") + COUNTIF(E29:AI29, "v") + COUNTIF(E29:AI29, "V")) &amp; "/" &amp; ((COUNTIF(E29:AI29, "✓") + COUNTIF(E29:AI29, "✔") + COUNTIF(E29:AI29, "v") + COUNTIF(E29:AI29, "V")) + COUNTIF(E29:AI29, "✗") + COUNTIF(E29:AI29, "x") + COUNTIF(E29:AI29, "X")), "")))</f>
        <v/>
      </c>
      <c r="AL29" s="117">
        <f>IF(ISBLANK(B29), "", IF(AJ29&gt;=0.85, "🔥 Mastered", IF(AJ29&gt;=0.7, "⚡ Consistent", "⚠️ Needs Focus")))</f>
        <v/>
      </c>
      <c r="AM29">
        <f>COUNTIF(E29:AI29, "✓")</f>
        <v/>
      </c>
    </row>
    <row r="30" ht="14.5" customHeight="1">
      <c r="A30" s="118" t="n">
        <v>13</v>
      </c>
      <c r="B30" s="119" t="n"/>
      <c r="C30" s="120" t="n"/>
      <c r="D30" s="120" t="n"/>
      <c r="E30" s="121" t="n"/>
      <c r="F30" s="121" t="n"/>
      <c r="G30" s="121" t="n"/>
      <c r="H30" s="121" t="n"/>
      <c r="I30" s="122" t="n"/>
      <c r="J30" s="121" t="n"/>
      <c r="K30" s="121" t="n"/>
      <c r="L30" s="121" t="n"/>
      <c r="M30" s="121" t="n"/>
      <c r="N30" s="121" t="n"/>
      <c r="O30" s="121" t="n"/>
      <c r="P30" s="122" t="n"/>
      <c r="Q30" s="121" t="n"/>
      <c r="R30" s="121" t="n"/>
      <c r="S30" s="121" t="n"/>
      <c r="T30" s="121" t="n"/>
      <c r="U30" s="121" t="n"/>
      <c r="V30" s="121" t="n"/>
      <c r="W30" s="122" t="n"/>
      <c r="X30" s="121" t="n"/>
      <c r="Y30" s="121" t="n"/>
      <c r="Z30" s="121" t="n"/>
      <c r="AA30" s="121" t="n"/>
      <c r="AB30" s="121" t="n"/>
      <c r="AC30" s="121" t="n"/>
      <c r="AD30" s="122" t="n"/>
      <c r="AE30" s="121" t="n"/>
      <c r="AF30" s="121" t="n"/>
      <c r="AG30" s="121" t="n"/>
      <c r="AH30" s="121" t="n"/>
      <c r="AI30" s="121" t="n"/>
      <c r="AJ30" s="123">
        <f>IF(ISBLANK(B30), "", IF(ISNUMBER(D30), IF(D30&gt;0, (COUNTIF(E30:AI30, "✓") + COUNTIF(E30:AI30, "✔") + COUNTIF(E30:AI30, "v") + COUNTIF(E30:AI30, "V"))/D30, 0), IF(((COUNTIF(E30:AI30, "✓") + COUNTIF(E30:AI30, "✔") + COUNTIF(E30:AI30, "v") + COUNTIF(E30:AI30, "V")) + COUNTIF(E30:AI30, "✗") + COUNTIF(E30:AI30, "x") + COUNTIF(E30:AI30, "X"))&gt;0, (COUNTIF(E30:AI30, "✓") + COUNTIF(E30:AI30, "✔") + COUNTIF(E30:AI30, "v") + COUNTIF(E30:AI30, "V"))/((COUNTIF(E30:AI30, "✓") + COUNTIF(E30:AI30, "✔") + COUNTIF(E30:AI30, "v") + COUNTIF(E30:AI30, "V")) + COUNTIF(E30:AI30, "✗") + COUNTIF(E30:AI30, "x") + COUNTIF(E30:AI30, "X")), "")))</f>
        <v/>
      </c>
      <c r="AK30" s="124">
        <f>IF(ISBLANK(B30), "", IF(ISNUMBER(D30), IF(D30&gt;0, (COUNTIF(E30:AI30, "✓") + COUNTIF(E30:AI30, "✔") + COUNTIF(E30:AI30, "v") + COUNTIF(E30:AI30, "V")) &amp; "/" &amp; D30, (COUNTIF(E30:AI30, "✓") + COUNTIF(E30:AI30, "✔") + COUNTIF(E30:AI30, "v") + COUNTIF(E30:AI30, "V")) &amp; "/0"), IF(((COUNTIF(E30:AI30, "✓") + COUNTIF(E30:AI30, "✔") + COUNTIF(E30:AI30, "v") + COUNTIF(E30:AI30, "V")) + COUNTIF(E30:AI30, "✗") + COUNTIF(E30:AI30, "x") + COUNTIF(E30:AI30, "X"))&gt;0, (COUNTIF(E30:AI30, "✓") + COUNTIF(E30:AI30, "✔") + COUNTIF(E30:AI30, "v") + COUNTIF(E30:AI30, "V")) &amp; "/" &amp; ((COUNTIF(E30:AI30, "✓") + COUNTIF(E30:AI30, "✔") + COUNTIF(E30:AI30, "v") + COUNTIF(E30:AI30, "V")) + COUNTIF(E30:AI30, "✗") + COUNTIF(E30:AI30, "x") + COUNTIF(E30:AI30, "X")), "")))</f>
        <v/>
      </c>
      <c r="AL30" s="124">
        <f>IF(ISBLANK(B30), "", IF(AJ30&gt;=0.85, "🔥 Mastered", IF(AJ30&gt;=0.7, "⚡ Consistent", "⚠️ Needs Focus")))</f>
        <v/>
      </c>
      <c r="AM30">
        <f>COUNTIF(E30:AI30, "✓")</f>
        <v/>
      </c>
    </row>
    <row r="31" ht="14.5" customHeight="1">
      <c r="A31" s="118" t="n">
        <v>14</v>
      </c>
      <c r="B31" s="119" t="n"/>
      <c r="C31" s="120" t="n"/>
      <c r="D31" s="120" t="n"/>
      <c r="E31" s="121" t="n"/>
      <c r="F31" s="121" t="n"/>
      <c r="G31" s="121" t="n"/>
      <c r="H31" s="121" t="n"/>
      <c r="I31" s="122" t="n"/>
      <c r="J31" s="121" t="n"/>
      <c r="K31" s="121" t="n"/>
      <c r="L31" s="121" t="n"/>
      <c r="M31" s="121" t="n"/>
      <c r="N31" s="121" t="n"/>
      <c r="O31" s="121" t="n"/>
      <c r="P31" s="122" t="n"/>
      <c r="Q31" s="121" t="n"/>
      <c r="R31" s="121" t="n"/>
      <c r="S31" s="121" t="n"/>
      <c r="T31" s="121" t="n"/>
      <c r="U31" s="121" t="n"/>
      <c r="V31" s="121" t="n"/>
      <c r="W31" s="122" t="n"/>
      <c r="X31" s="121" t="n"/>
      <c r="Y31" s="121" t="n"/>
      <c r="Z31" s="121" t="n"/>
      <c r="AA31" s="121" t="n"/>
      <c r="AB31" s="121" t="n"/>
      <c r="AC31" s="121" t="n"/>
      <c r="AD31" s="122" t="n"/>
      <c r="AE31" s="121" t="n"/>
      <c r="AF31" s="121" t="n"/>
      <c r="AG31" s="121" t="n"/>
      <c r="AH31" s="121" t="n"/>
      <c r="AI31" s="121" t="n"/>
      <c r="AJ31" s="123">
        <f>IF(ISBLANK(B31), "", IF(ISNUMBER(D31), IF(D31&gt;0, (COUNTIF(E31:AI31, "✓") + COUNTIF(E31:AI31, "✔") + COUNTIF(E31:AI31, "v") + COUNTIF(E31:AI31, "V"))/D31, 0), IF(((COUNTIF(E31:AI31, "✓") + COUNTIF(E31:AI31, "✔") + COUNTIF(E31:AI31, "v") + COUNTIF(E31:AI31, "V")) + COUNTIF(E31:AI31, "✗") + COUNTIF(E31:AI31, "x") + COUNTIF(E31:AI31, "X"))&gt;0, (COUNTIF(E31:AI31, "✓") + COUNTIF(E31:AI31, "✔") + COUNTIF(E31:AI31, "v") + COUNTIF(E31:AI31, "V"))/((COUNTIF(E31:AI31, "✓") + COUNTIF(E31:AI31, "✔") + COUNTIF(E31:AI31, "v") + COUNTIF(E31:AI31, "V")) + COUNTIF(E31:AI31, "✗") + COUNTIF(E31:AI31, "x") + COUNTIF(E31:AI31, "X")), "")))</f>
        <v/>
      </c>
      <c r="AK31" s="124">
        <f>IF(ISBLANK(B31), "", IF(ISNUMBER(D31), IF(D31&gt;0, (COUNTIF(E31:AI31, "✓") + COUNTIF(E31:AI31, "✔") + COUNTIF(E31:AI31, "v") + COUNTIF(E31:AI31, "V")) &amp; "/" &amp; D31, (COUNTIF(E31:AI31, "✓") + COUNTIF(E31:AI31, "✔") + COUNTIF(E31:AI31, "v") + COUNTIF(E31:AI31, "V")) &amp; "/0"), IF(((COUNTIF(E31:AI31, "✓") + COUNTIF(E31:AI31, "✔") + COUNTIF(E31:AI31, "v") + COUNTIF(E31:AI31, "V")) + COUNTIF(E31:AI31, "✗") + COUNTIF(E31:AI31, "x") + COUNTIF(E31:AI31, "X"))&gt;0, (COUNTIF(E31:AI31, "✓") + COUNTIF(E31:AI31, "✔") + COUNTIF(E31:AI31, "v") + COUNTIF(E31:AI31, "V")) &amp; "/" &amp; ((COUNTIF(E31:AI31, "✓") + COUNTIF(E31:AI31, "✔") + COUNTIF(E31:AI31, "v") + COUNTIF(E31:AI31, "V")) + COUNTIF(E31:AI31, "✗") + COUNTIF(E31:AI31, "x") + COUNTIF(E31:AI31, "X")), "")))</f>
        <v/>
      </c>
      <c r="AL31" s="124">
        <f>IF(ISBLANK(B31), "", IF(AJ31&gt;=0.85, "🔥 Mastered", IF(AJ31&gt;=0.7, "⚡ Consistent", "⚠️ Needs Focus")))</f>
        <v/>
      </c>
      <c r="AM31">
        <f>COUNTIF(E31:AI31, "✓")</f>
        <v/>
      </c>
    </row>
    <row r="32" ht="14.5" customHeight="1">
      <c r="A32" s="118" t="n">
        <v>15</v>
      </c>
      <c r="B32" s="119" t="n"/>
      <c r="C32" s="120" t="n"/>
      <c r="D32" s="120" t="n"/>
      <c r="E32" s="121" t="n"/>
      <c r="F32" s="121" t="n"/>
      <c r="G32" s="121" t="n"/>
      <c r="H32" s="121" t="n"/>
      <c r="I32" s="122" t="n"/>
      <c r="J32" s="121" t="n"/>
      <c r="K32" s="121" t="n"/>
      <c r="L32" s="121" t="n"/>
      <c r="M32" s="121" t="n"/>
      <c r="N32" s="121" t="n"/>
      <c r="O32" s="121" t="n"/>
      <c r="P32" s="122" t="n"/>
      <c r="Q32" s="121" t="n"/>
      <c r="R32" s="121" t="n"/>
      <c r="S32" s="121" t="n"/>
      <c r="T32" s="121" t="n"/>
      <c r="U32" s="121" t="n"/>
      <c r="V32" s="121" t="n"/>
      <c r="W32" s="122" t="n"/>
      <c r="X32" s="121" t="n"/>
      <c r="Y32" s="121" t="n"/>
      <c r="Z32" s="121" t="n"/>
      <c r="AA32" s="121" t="n"/>
      <c r="AB32" s="121" t="n"/>
      <c r="AC32" s="121" t="n"/>
      <c r="AD32" s="122" t="n"/>
      <c r="AE32" s="121" t="n"/>
      <c r="AF32" s="121" t="n"/>
      <c r="AG32" s="121" t="n"/>
      <c r="AH32" s="121" t="n"/>
      <c r="AI32" s="121" t="n"/>
      <c r="AJ32" s="123">
        <f>IF(ISBLANK(B32), "", IF(ISNUMBER(D32), IF(D32&gt;0, (COUNTIF(E32:AI32, "✓") + COUNTIF(E32:AI32, "✔") + COUNTIF(E32:AI32, "v") + COUNTIF(E32:AI32, "V"))/D32, 0), IF(((COUNTIF(E32:AI32, "✓") + COUNTIF(E32:AI32, "✔") + COUNTIF(E32:AI32, "v") + COUNTIF(E32:AI32, "V")) + COUNTIF(E32:AI32, "✗") + COUNTIF(E32:AI32, "x") + COUNTIF(E32:AI32, "X"))&gt;0, (COUNTIF(E32:AI32, "✓") + COUNTIF(E32:AI32, "✔") + COUNTIF(E32:AI32, "v") + COUNTIF(E32:AI32, "V"))/((COUNTIF(E32:AI32, "✓") + COUNTIF(E32:AI32, "✔") + COUNTIF(E32:AI32, "v") + COUNTIF(E32:AI32, "V")) + COUNTIF(E32:AI32, "✗") + COUNTIF(E32:AI32, "x") + COUNTIF(E32:AI32, "X")), "")))</f>
        <v/>
      </c>
      <c r="AK32" s="124">
        <f>IF(ISBLANK(B32), "", IF(ISNUMBER(D32), IF(D32&gt;0, (COUNTIF(E32:AI32, "✓") + COUNTIF(E32:AI32, "✔") + COUNTIF(E32:AI32, "v") + COUNTIF(E32:AI32, "V")) &amp; "/" &amp; D32, (COUNTIF(E32:AI32, "✓") + COUNTIF(E32:AI32, "✔") + COUNTIF(E32:AI32, "v") + COUNTIF(E32:AI32, "V")) &amp; "/0"), IF(((COUNTIF(E32:AI32, "✓") + COUNTIF(E32:AI32, "✔") + COUNTIF(E32:AI32, "v") + COUNTIF(E32:AI32, "V")) + COUNTIF(E32:AI32, "✗") + COUNTIF(E32:AI32, "x") + COUNTIF(E32:AI32, "X"))&gt;0, (COUNTIF(E32:AI32, "✓") + COUNTIF(E32:AI32, "✔") + COUNTIF(E32:AI32, "v") + COUNTIF(E32:AI32, "V")) &amp; "/" &amp; ((COUNTIF(E32:AI32, "✓") + COUNTIF(E32:AI32, "✔") + COUNTIF(E32:AI32, "v") + COUNTIF(E32:AI32, "V")) + COUNTIF(E32:AI32, "✗") + COUNTIF(E32:AI32, "x") + COUNTIF(E32:AI32, "X")), "")))</f>
        <v/>
      </c>
      <c r="AL32" s="124">
        <f>IF(ISBLANK(B32), "", IF(AJ32&gt;=0.85, "🔥 Mastered", IF(AJ32&gt;=0.7, "⚡ Consistent", "⚠️ Needs Focus")))</f>
        <v/>
      </c>
      <c r="AM32">
        <f>COUNTIF(E32:AI32, "✓")</f>
        <v/>
      </c>
    </row>
    <row r="33" ht="14.5" customHeight="1">
      <c r="A33" s="118" t="n">
        <v>16</v>
      </c>
      <c r="B33" s="119" t="n"/>
      <c r="C33" s="120" t="n"/>
      <c r="D33" s="120" t="n"/>
      <c r="E33" s="121" t="n"/>
      <c r="F33" s="121" t="n"/>
      <c r="G33" s="121" t="n"/>
      <c r="H33" s="121" t="n"/>
      <c r="I33" s="122" t="n"/>
      <c r="J33" s="121" t="n"/>
      <c r="K33" s="121" t="n"/>
      <c r="L33" s="121" t="n"/>
      <c r="M33" s="121" t="n"/>
      <c r="N33" s="121" t="n"/>
      <c r="O33" s="121" t="n"/>
      <c r="P33" s="122" t="n"/>
      <c r="Q33" s="121" t="n"/>
      <c r="R33" s="121" t="n"/>
      <c r="S33" s="121" t="n"/>
      <c r="T33" s="121" t="n"/>
      <c r="U33" s="121" t="n"/>
      <c r="V33" s="121" t="n"/>
      <c r="W33" s="122" t="n"/>
      <c r="X33" s="121" t="n"/>
      <c r="Y33" s="121" t="n"/>
      <c r="Z33" s="121" t="n"/>
      <c r="AA33" s="121" t="n"/>
      <c r="AB33" s="121" t="n"/>
      <c r="AC33" s="121" t="n"/>
      <c r="AD33" s="122" t="n"/>
      <c r="AE33" s="121" t="n"/>
      <c r="AF33" s="121" t="n"/>
      <c r="AG33" s="121" t="n"/>
      <c r="AH33" s="121" t="n"/>
      <c r="AI33" s="121" t="n"/>
      <c r="AJ33" s="123">
        <f>IF(ISBLANK(B33), "", IF(ISNUMBER(D33), IF(D33&gt;0, (COUNTIF(E33:AI33, "✓") + COUNTIF(E33:AI33, "✔") + COUNTIF(E33:AI33, "v") + COUNTIF(E33:AI33, "V"))/D33, 0), IF(((COUNTIF(E33:AI33, "✓") + COUNTIF(E33:AI33, "✔") + COUNTIF(E33:AI33, "v") + COUNTIF(E33:AI33, "V")) + COUNTIF(E33:AI33, "✗") + COUNTIF(E33:AI33, "x") + COUNTIF(E33:AI33, "X"))&gt;0, (COUNTIF(E33:AI33, "✓") + COUNTIF(E33:AI33, "✔") + COUNTIF(E33:AI33, "v") + COUNTIF(E33:AI33, "V"))/((COUNTIF(E33:AI33, "✓") + COUNTIF(E33:AI33, "✔") + COUNTIF(E33:AI33, "v") + COUNTIF(E33:AI33, "V")) + COUNTIF(E33:AI33, "✗") + COUNTIF(E33:AI33, "x") + COUNTIF(E33:AI33, "X")), "")))</f>
        <v/>
      </c>
      <c r="AK33" s="124">
        <f>IF(ISBLANK(B33), "", IF(ISNUMBER(D33), IF(D33&gt;0, (COUNTIF(E33:AI33, "✓") + COUNTIF(E33:AI33, "✔") + COUNTIF(E33:AI33, "v") + COUNTIF(E33:AI33, "V")) &amp; "/" &amp; D33, (COUNTIF(E33:AI33, "✓") + COUNTIF(E33:AI33, "✔") + COUNTIF(E33:AI33, "v") + COUNTIF(E33:AI33, "V")) &amp; "/0"), IF(((COUNTIF(E33:AI33, "✓") + COUNTIF(E33:AI33, "✔") + COUNTIF(E33:AI33, "v") + COUNTIF(E33:AI33, "V")) + COUNTIF(E33:AI33, "✗") + COUNTIF(E33:AI33, "x") + COUNTIF(E33:AI33, "X"))&gt;0, (COUNTIF(E33:AI33, "✓") + COUNTIF(E33:AI33, "✔") + COUNTIF(E33:AI33, "v") + COUNTIF(E33:AI33, "V")) &amp; "/" &amp; ((COUNTIF(E33:AI33, "✓") + COUNTIF(E33:AI33, "✔") + COUNTIF(E33:AI33, "v") + COUNTIF(E33:AI33, "V")) + COUNTIF(E33:AI33, "✗") + COUNTIF(E33:AI33, "x") + COUNTIF(E33:AI33, "X")), "")))</f>
        <v/>
      </c>
      <c r="AL33" s="124">
        <f>IF(ISBLANK(B33), "", IF(AJ33&gt;=0.85, "🔥 Mastered", IF(AJ33&gt;=0.7, "⚡ Consistent", "⚠️ Needs Focus")))</f>
        <v/>
      </c>
      <c r="AM33">
        <f>COUNTIF(E33:AI33, "✓")</f>
        <v/>
      </c>
    </row>
    <row r="34" ht="14.5" customHeight="1">
      <c r="A34" s="125" t="n">
        <v>17</v>
      </c>
      <c r="B34" s="126" t="n"/>
      <c r="C34" s="127" t="n"/>
      <c r="D34" s="127" t="n"/>
      <c r="E34" s="128" t="n"/>
      <c r="F34" s="128" t="n"/>
      <c r="G34" s="128" t="n"/>
      <c r="H34" s="128" t="n"/>
      <c r="I34" s="129" t="n"/>
      <c r="J34" s="128" t="n"/>
      <c r="K34" s="128" t="n"/>
      <c r="L34" s="128" t="n"/>
      <c r="M34" s="128" t="n"/>
      <c r="N34" s="128" t="n"/>
      <c r="O34" s="128" t="n"/>
      <c r="P34" s="129" t="n"/>
      <c r="Q34" s="128" t="n"/>
      <c r="R34" s="128" t="n"/>
      <c r="S34" s="128" t="n"/>
      <c r="T34" s="128" t="n"/>
      <c r="U34" s="128" t="n"/>
      <c r="V34" s="128" t="n"/>
      <c r="W34" s="129" t="n"/>
      <c r="X34" s="128" t="n"/>
      <c r="Y34" s="128" t="n"/>
      <c r="Z34" s="128" t="n"/>
      <c r="AA34" s="128" t="n"/>
      <c r="AB34" s="128" t="n"/>
      <c r="AC34" s="128" t="n"/>
      <c r="AD34" s="129" t="n"/>
      <c r="AE34" s="128" t="n"/>
      <c r="AF34" s="128" t="n"/>
      <c r="AG34" s="128" t="n"/>
      <c r="AH34" s="128" t="n"/>
      <c r="AI34" s="128" t="n"/>
      <c r="AJ34" s="130">
        <f>IF(ISBLANK(B34), "", IF(ISNUMBER(D34), IF(D34&gt;0, (COUNTIF(E34:AI34, "✓") + COUNTIF(E34:AI34, "✔") + COUNTIF(E34:AI34, "v") + COUNTIF(E34:AI34, "V"))/D34, 0), IF(((COUNTIF(E34:AI34, "✓") + COUNTIF(E34:AI34, "✔") + COUNTIF(E34:AI34, "v") + COUNTIF(E34:AI34, "V")) + COUNTIF(E34:AI34, "✗") + COUNTIF(E34:AI34, "x") + COUNTIF(E34:AI34, "X"))&gt;0, (COUNTIF(E34:AI34, "✓") + COUNTIF(E34:AI34, "✔") + COUNTIF(E34:AI34, "v") + COUNTIF(E34:AI34, "V"))/((COUNTIF(E34:AI34, "✓") + COUNTIF(E34:AI34, "✔") + COUNTIF(E34:AI34, "v") + COUNTIF(E34:AI34, "V")) + COUNTIF(E34:AI34, "✗") + COUNTIF(E34:AI34, "x") + COUNTIF(E34:AI34, "X")), "")))</f>
        <v/>
      </c>
      <c r="AK34" s="131">
        <f>IF(ISBLANK(B34), "", IF(ISNUMBER(D34), IF(D34&gt;0, (COUNTIF(E34:AI34, "✓") + COUNTIF(E34:AI34, "✔") + COUNTIF(E34:AI34, "v") + COUNTIF(E34:AI34, "V")) &amp; "/" &amp; D34, (COUNTIF(E34:AI34, "✓") + COUNTIF(E34:AI34, "✔") + COUNTIF(E34:AI34, "v") + COUNTIF(E34:AI34, "V")) &amp; "/0"), IF(((COUNTIF(E34:AI34, "✓") + COUNTIF(E34:AI34, "✔") + COUNTIF(E34:AI34, "v") + COUNTIF(E34:AI34, "V")) + COUNTIF(E34:AI34, "✗") + COUNTIF(E34:AI34, "x") + COUNTIF(E34:AI34, "X"))&gt;0, (COUNTIF(E34:AI34, "✓") + COUNTIF(E34:AI34, "✔") + COUNTIF(E34:AI34, "v") + COUNTIF(E34:AI34, "V")) &amp; "/" &amp; ((COUNTIF(E34:AI34, "✓") + COUNTIF(E34:AI34, "✔") + COUNTIF(E34:AI34, "v") + COUNTIF(E34:AI34, "V")) + COUNTIF(E34:AI34, "✗") + COUNTIF(E34:AI34, "x") + COUNTIF(E34:AI34, "X")), "")))</f>
        <v/>
      </c>
      <c r="AL34" s="131">
        <f>IF(ISBLANK(B34), "", IF(AJ34&gt;=0.85, "🔥 Mastered", IF(AJ34&gt;=0.7, "⚡ Consistent", "⚠️ Needs Focus")))</f>
        <v/>
      </c>
      <c r="AM34">
        <f>COUNTIF(E34:AI34, "✓")</f>
        <v/>
      </c>
    </row>
    <row r="35" ht="14.5" customHeight="1">
      <c r="A35" s="125" t="n">
        <v>18</v>
      </c>
      <c r="B35" s="126" t="n"/>
      <c r="C35" s="127" t="n"/>
      <c r="D35" s="127" t="n"/>
      <c r="E35" s="128" t="n"/>
      <c r="F35" s="128" t="n"/>
      <c r="G35" s="128" t="n"/>
      <c r="H35" s="128" t="n"/>
      <c r="I35" s="129" t="n"/>
      <c r="J35" s="128" t="n"/>
      <c r="K35" s="128" t="n"/>
      <c r="L35" s="128" t="n"/>
      <c r="M35" s="128" t="n"/>
      <c r="N35" s="128" t="n"/>
      <c r="O35" s="128" t="n"/>
      <c r="P35" s="129" t="n"/>
      <c r="Q35" s="128" t="n"/>
      <c r="R35" s="128" t="n"/>
      <c r="S35" s="128" t="n"/>
      <c r="T35" s="128" t="n"/>
      <c r="U35" s="128" t="n"/>
      <c r="V35" s="128" t="n"/>
      <c r="W35" s="129" t="n"/>
      <c r="X35" s="128" t="n"/>
      <c r="Y35" s="128" t="n"/>
      <c r="Z35" s="128" t="n"/>
      <c r="AA35" s="128" t="n"/>
      <c r="AB35" s="128" t="n"/>
      <c r="AC35" s="128" t="n"/>
      <c r="AD35" s="129" t="n"/>
      <c r="AE35" s="128" t="n"/>
      <c r="AF35" s="128" t="n"/>
      <c r="AG35" s="128" t="n"/>
      <c r="AH35" s="128" t="n"/>
      <c r="AI35" s="128" t="n"/>
      <c r="AJ35" s="130">
        <f>IF(ISBLANK(B35), "", IF(ISNUMBER(D35), IF(D35&gt;0, (COUNTIF(E35:AI35, "✓") + COUNTIF(E35:AI35, "✔") + COUNTIF(E35:AI35, "v") + COUNTIF(E35:AI35, "V"))/D35, 0), IF(((COUNTIF(E35:AI35, "✓") + COUNTIF(E35:AI35, "✔") + COUNTIF(E35:AI35, "v") + COUNTIF(E35:AI35, "V")) + COUNTIF(E35:AI35, "✗") + COUNTIF(E35:AI35, "x") + COUNTIF(E35:AI35, "X"))&gt;0, (COUNTIF(E35:AI35, "✓") + COUNTIF(E35:AI35, "✔") + COUNTIF(E35:AI35, "v") + COUNTIF(E35:AI35, "V"))/((COUNTIF(E35:AI35, "✓") + COUNTIF(E35:AI35, "✔") + COUNTIF(E35:AI35, "v") + COUNTIF(E35:AI35, "V")) + COUNTIF(E35:AI35, "✗") + COUNTIF(E35:AI35, "x") + COUNTIF(E35:AI35, "X")), "")))</f>
        <v/>
      </c>
      <c r="AK35" s="131">
        <f>IF(ISBLANK(B35), "", IF(ISNUMBER(D35), IF(D35&gt;0, (COUNTIF(E35:AI35, "✓") + COUNTIF(E35:AI35, "✔") + COUNTIF(E35:AI35, "v") + COUNTIF(E35:AI35, "V")) &amp; "/" &amp; D35, (COUNTIF(E35:AI35, "✓") + COUNTIF(E35:AI35, "✔") + COUNTIF(E35:AI35, "v") + COUNTIF(E35:AI35, "V")) &amp; "/0"), IF(((COUNTIF(E35:AI35, "✓") + COUNTIF(E35:AI35, "✔") + COUNTIF(E35:AI35, "v") + COUNTIF(E35:AI35, "V")) + COUNTIF(E35:AI35, "✗") + COUNTIF(E35:AI35, "x") + COUNTIF(E35:AI35, "X"))&gt;0, (COUNTIF(E35:AI35, "✓") + COUNTIF(E35:AI35, "✔") + COUNTIF(E35:AI35, "v") + COUNTIF(E35:AI35, "V")) &amp; "/" &amp; ((COUNTIF(E35:AI35, "✓") + COUNTIF(E35:AI35, "✔") + COUNTIF(E35:AI35, "v") + COUNTIF(E35:AI35, "V")) + COUNTIF(E35:AI35, "✗") + COUNTIF(E35:AI35, "x") + COUNTIF(E35:AI35, "X")), "")))</f>
        <v/>
      </c>
      <c r="AL35" s="131">
        <f>IF(ISBLANK(B35), "", IF(AJ35&gt;=0.85, "🔥 Mastered", IF(AJ35&gt;=0.7, "⚡ Consistent", "⚠️ Needs Focus")))</f>
        <v/>
      </c>
      <c r="AM35">
        <f>COUNTIF(E35:AI35, "✓")</f>
        <v/>
      </c>
    </row>
    <row r="36" ht="14.5" customHeight="1">
      <c r="A36" s="125" t="n">
        <v>19</v>
      </c>
      <c r="B36" s="126" t="n"/>
      <c r="C36" s="127" t="n"/>
      <c r="D36" s="127" t="n"/>
      <c r="E36" s="128" t="n"/>
      <c r="F36" s="128" t="n"/>
      <c r="G36" s="128" t="n"/>
      <c r="H36" s="128" t="n"/>
      <c r="I36" s="129" t="n"/>
      <c r="J36" s="128" t="n"/>
      <c r="K36" s="128" t="n"/>
      <c r="L36" s="128" t="n"/>
      <c r="M36" s="128" t="n"/>
      <c r="N36" s="128" t="n"/>
      <c r="O36" s="128" t="n"/>
      <c r="P36" s="129" t="n"/>
      <c r="Q36" s="128" t="n"/>
      <c r="R36" s="128" t="n"/>
      <c r="S36" s="128" t="n"/>
      <c r="T36" s="128" t="n"/>
      <c r="U36" s="128" t="n"/>
      <c r="V36" s="128" t="n"/>
      <c r="W36" s="129" t="n"/>
      <c r="X36" s="128" t="n"/>
      <c r="Y36" s="128" t="n"/>
      <c r="Z36" s="128" t="n"/>
      <c r="AA36" s="128" t="n"/>
      <c r="AB36" s="128" t="n"/>
      <c r="AC36" s="128" t="n"/>
      <c r="AD36" s="129" t="n"/>
      <c r="AE36" s="128" t="n"/>
      <c r="AF36" s="128" t="n"/>
      <c r="AG36" s="128" t="n"/>
      <c r="AH36" s="128" t="n"/>
      <c r="AI36" s="128" t="n"/>
      <c r="AJ36" s="130">
        <f>IF(ISBLANK(B36), "", IF(ISNUMBER(D36), IF(D36&gt;0, (COUNTIF(E36:AI36, "✓") + COUNTIF(E36:AI36, "✔") + COUNTIF(E36:AI36, "v") + COUNTIF(E36:AI36, "V"))/D36, 0), IF(((COUNTIF(E36:AI36, "✓") + COUNTIF(E36:AI36, "✔") + COUNTIF(E36:AI36, "v") + COUNTIF(E36:AI36, "V")) + COUNTIF(E36:AI36, "✗") + COUNTIF(E36:AI36, "x") + COUNTIF(E36:AI36, "X"))&gt;0, (COUNTIF(E36:AI36, "✓") + COUNTIF(E36:AI36, "✔") + COUNTIF(E36:AI36, "v") + COUNTIF(E36:AI36, "V"))/((COUNTIF(E36:AI36, "✓") + COUNTIF(E36:AI36, "✔") + COUNTIF(E36:AI36, "v") + COUNTIF(E36:AI36, "V")) + COUNTIF(E36:AI36, "✗") + COUNTIF(E36:AI36, "x") + COUNTIF(E36:AI36, "X")), "")))</f>
        <v/>
      </c>
      <c r="AK36" s="131">
        <f>IF(ISBLANK(B36), "", IF(ISNUMBER(D36), IF(D36&gt;0, (COUNTIF(E36:AI36, "✓") + COUNTIF(E36:AI36, "✔") + COUNTIF(E36:AI36, "v") + COUNTIF(E36:AI36, "V")) &amp; "/" &amp; D36, (COUNTIF(E36:AI36, "✓") + COUNTIF(E36:AI36, "✔") + COUNTIF(E36:AI36, "v") + COUNTIF(E36:AI36, "V")) &amp; "/0"), IF(((COUNTIF(E36:AI36, "✓") + COUNTIF(E36:AI36, "✔") + COUNTIF(E36:AI36, "v") + COUNTIF(E36:AI36, "V")) + COUNTIF(E36:AI36, "✗") + COUNTIF(E36:AI36, "x") + COUNTIF(E36:AI36, "X"))&gt;0, (COUNTIF(E36:AI36, "✓") + COUNTIF(E36:AI36, "✔") + COUNTIF(E36:AI36, "v") + COUNTIF(E36:AI36, "V")) &amp; "/" &amp; ((COUNTIF(E36:AI36, "✓") + COUNTIF(E36:AI36, "✔") + COUNTIF(E36:AI36, "v") + COUNTIF(E36:AI36, "V")) + COUNTIF(E36:AI36, "✗") + COUNTIF(E36:AI36, "x") + COUNTIF(E36:AI36, "X")), "")))</f>
        <v/>
      </c>
      <c r="AL36" s="131">
        <f>IF(ISBLANK(B36), "", IF(AJ36&gt;=0.85, "🔥 Mastered", IF(AJ36&gt;=0.7, "⚡ Consistent", "⚠️ Needs Focus")))</f>
        <v/>
      </c>
      <c r="AM36">
        <f>COUNTIF(E36:AI36, "✓")</f>
        <v/>
      </c>
    </row>
    <row r="37" ht="14.5" customHeight="1">
      <c r="A37" s="125" t="n">
        <v>20</v>
      </c>
      <c r="B37" s="126" t="n"/>
      <c r="C37" s="127" t="n"/>
      <c r="D37" s="127" t="n"/>
      <c r="E37" s="128" t="n"/>
      <c r="F37" s="128" t="n"/>
      <c r="G37" s="128" t="n"/>
      <c r="H37" s="128" t="n"/>
      <c r="I37" s="129" t="n"/>
      <c r="J37" s="128" t="n"/>
      <c r="K37" s="128" t="n"/>
      <c r="L37" s="128" t="n"/>
      <c r="M37" s="128" t="n"/>
      <c r="N37" s="128" t="n"/>
      <c r="O37" s="128" t="n"/>
      <c r="P37" s="129" t="n"/>
      <c r="Q37" s="128" t="n"/>
      <c r="R37" s="128" t="n"/>
      <c r="S37" s="128" t="n"/>
      <c r="T37" s="128" t="n"/>
      <c r="U37" s="128" t="n"/>
      <c r="V37" s="128" t="n"/>
      <c r="W37" s="129" t="n"/>
      <c r="X37" s="128" t="n"/>
      <c r="Y37" s="128" t="n"/>
      <c r="Z37" s="128" t="n"/>
      <c r="AA37" s="128" t="n"/>
      <c r="AB37" s="128" t="n"/>
      <c r="AC37" s="128" t="n"/>
      <c r="AD37" s="129" t="n"/>
      <c r="AE37" s="128" t="n"/>
      <c r="AF37" s="128" t="n"/>
      <c r="AG37" s="128" t="n"/>
      <c r="AH37" s="128" t="n"/>
      <c r="AI37" s="128" t="n"/>
      <c r="AJ37" s="130">
        <f>IF(ISBLANK(B37), "", IF(ISNUMBER(D37), IF(D37&gt;0, (COUNTIF(E37:AI37, "✓") + COUNTIF(E37:AI37, "✔") + COUNTIF(E37:AI37, "v") + COUNTIF(E37:AI37, "V"))/D37, 0), IF(((COUNTIF(E37:AI37, "✓") + COUNTIF(E37:AI37, "✔") + COUNTIF(E37:AI37, "v") + COUNTIF(E37:AI37, "V")) + COUNTIF(E37:AI37, "✗") + COUNTIF(E37:AI37, "x") + COUNTIF(E37:AI37, "X"))&gt;0, (COUNTIF(E37:AI37, "✓") + COUNTIF(E37:AI37, "✔") + COUNTIF(E37:AI37, "v") + COUNTIF(E37:AI37, "V"))/((COUNTIF(E37:AI37, "✓") + COUNTIF(E37:AI37, "✔") + COUNTIF(E37:AI37, "v") + COUNTIF(E37:AI37, "V")) + COUNTIF(E37:AI37, "✗") + COUNTIF(E37:AI37, "x") + COUNTIF(E37:AI37, "X")), "")))</f>
        <v/>
      </c>
      <c r="AK37" s="131">
        <f>IF(ISBLANK(B37), "", IF(ISNUMBER(D37), IF(D37&gt;0, (COUNTIF(E37:AI37, "✓") + COUNTIF(E37:AI37, "✔") + COUNTIF(E37:AI37, "v") + COUNTIF(E37:AI37, "V")) &amp; "/" &amp; D37, (COUNTIF(E37:AI37, "✓") + COUNTIF(E37:AI37, "✔") + COUNTIF(E37:AI37, "v") + COUNTIF(E37:AI37, "V")) &amp; "/0"), IF(((COUNTIF(E37:AI37, "✓") + COUNTIF(E37:AI37, "✔") + COUNTIF(E37:AI37, "v") + COUNTIF(E37:AI37, "V")) + COUNTIF(E37:AI37, "✗") + COUNTIF(E37:AI37, "x") + COUNTIF(E37:AI37, "X"))&gt;0, (COUNTIF(E37:AI37, "✓") + COUNTIF(E37:AI37, "✔") + COUNTIF(E37:AI37, "v") + COUNTIF(E37:AI37, "V")) &amp; "/" &amp; ((COUNTIF(E37:AI37, "✓") + COUNTIF(E37:AI37, "✔") + COUNTIF(E37:AI37, "v") + COUNTIF(E37:AI37, "V")) + COUNTIF(E37:AI37, "✗") + COUNTIF(E37:AI37, "x") + COUNTIF(E37:AI37, "X")), "")))</f>
        <v/>
      </c>
      <c r="AL37" s="131">
        <f>IF(ISBLANK(B37), "", IF(AJ37&gt;=0.85, "🔥 Mastered", IF(AJ37&gt;=0.7, "⚡ Consistent", "⚠️ Needs Focus")))</f>
        <v/>
      </c>
      <c r="AM37">
        <f>COUNTIF(E37:AI37, "✓")</f>
        <v/>
      </c>
    </row>
    <row r="38" ht="18" customHeight="1">
      <c r="A38" s="132" t="inlineStr">
        <is>
          <t>DAILY TOTAL SCORE</t>
        </is>
      </c>
      <c r="B38" s="54" t="n"/>
      <c r="C38" s="54" t="n"/>
      <c r="D38" s="54" t="n"/>
      <c r="E38" s="33">
        <f>IF(((COUNTIF(E18:E37, "✓") + COUNTIF(E18:E37, "✔") + COUNTIF(E18:E37, "v") + COUNTIF(E18:E37, "V")) + COUNTIF(E18:E37, "✗") + COUNTIF(E18:E37, "x") + COUNTIF(E18:E37, "X")) &gt; 0, (COUNTIF(E18:E37, "✓") + COUNTIF(E18:E37, "✔") + COUNTIF(E18:E37, "v") + COUNTIF(E18:E37, "V")) &amp; "/" &amp; ((COUNTIF(E18:E37, "✓") + COUNTIF(E18:E37, "✔") + COUNTIF(E18:E37, "v") + COUNTIF(E18:E37, "V")) + COUNTIF(E18:E37, "✗") + COUNTIF(E18:E37, "x") + COUNTIF(E18:E37, "X")), "")</f>
        <v/>
      </c>
      <c r="F38" s="33">
        <f>IF(((COUNTIF(F18:F37, "✓") + COUNTIF(F18:F37, "✔") + COUNTIF(F18:F37, "v") + COUNTIF(F18:F37, "V")) + COUNTIF(F18:F37, "✗") + COUNTIF(F18:F37, "x") + COUNTIF(F18:F37, "X")) &gt; 0, (COUNTIF(F18:F37, "✓") + COUNTIF(F18:F37, "✔") + COUNTIF(F18:F37, "v") + COUNTIF(F18:F37, "V")) &amp; "/" &amp; ((COUNTIF(F18:F37, "✓") + COUNTIF(F18:F37, "✔") + COUNTIF(F18:F37, "v") + COUNTIF(F18:F37, "V")) + COUNTIF(F18:F37, "✗") + COUNTIF(F18:F37, "x") + COUNTIF(F18:F37, "X")), "")</f>
        <v/>
      </c>
      <c r="G38" s="33">
        <f>IF(((COUNTIF(G18:G37, "✓") + COUNTIF(G18:G37, "✔") + COUNTIF(G18:G37, "v") + COUNTIF(G18:G37, "V")) + COUNTIF(G18:G37, "✗") + COUNTIF(G18:G37, "x") + COUNTIF(G18:G37, "X")) &gt; 0, (COUNTIF(G18:G37, "✓") + COUNTIF(G18:G37, "✔") + COUNTIF(G18:G37, "v") + COUNTIF(G18:G37, "V")) &amp; "/" &amp; ((COUNTIF(G18:G37, "✓") + COUNTIF(G18:G37, "✔") + COUNTIF(G18:G37, "v") + COUNTIF(G18:G37, "V")) + COUNTIF(G18:G37, "✗") + COUNTIF(G18:G37, "x") + COUNTIF(G18:G37, "X")), "")</f>
        <v/>
      </c>
      <c r="H38" s="33">
        <f>IF(((COUNTIF(H18:H37, "✓") + COUNTIF(H18:H37, "✔") + COUNTIF(H18:H37, "v") + COUNTIF(H18:H37, "V")) + COUNTIF(H18:H37, "✗") + COUNTIF(H18:H37, "x") + COUNTIF(H18:H37, "X")) &gt; 0, (COUNTIF(H18:H37, "✓") + COUNTIF(H18:H37, "✔") + COUNTIF(H18:H37, "v") + COUNTIF(H18:H37, "V")) &amp; "/" &amp; ((COUNTIF(H18:H37, "✓") + COUNTIF(H18:H37, "✔") + COUNTIF(H18:H37, "v") + COUNTIF(H18:H37, "V")) + COUNTIF(H18:H37, "✗") + COUNTIF(H18:H37, "x") + COUNTIF(H18:H37, "X")), "")</f>
        <v/>
      </c>
      <c r="I38" s="33">
        <f>IF(((COUNTIF(I18:I37, "✓") + COUNTIF(I18:I37, "✔") + COUNTIF(I18:I37, "v") + COUNTIF(I18:I37, "V")) + COUNTIF(I18:I37, "✗") + COUNTIF(I18:I37, "x") + COUNTIF(I18:I37, "X")) &gt; 0, (COUNTIF(I18:I37, "✓") + COUNTIF(I18:I37, "✔") + COUNTIF(I18:I37, "v") + COUNTIF(I18:I37, "V")) &amp; "/" &amp; ((COUNTIF(I18:I37, "✓") + COUNTIF(I18:I37, "✔") + COUNTIF(I18:I37, "v") + COUNTIF(I18:I37, "V")) + COUNTIF(I18:I37, "✗") + COUNTIF(I18:I37, "x") + COUNTIF(I18:I37, "X")), "")</f>
        <v/>
      </c>
      <c r="J38" s="33">
        <f>IF(((COUNTIF(J18:J37, "✓") + COUNTIF(J18:J37, "✔") + COUNTIF(J18:J37, "v") + COUNTIF(J18:J37, "V")) + COUNTIF(J18:J37, "✗") + COUNTIF(J18:J37, "x") + COUNTIF(J18:J37, "X")) &gt; 0, (COUNTIF(J18:J37, "✓") + COUNTIF(J18:J37, "✔") + COUNTIF(J18:J37, "v") + COUNTIF(J18:J37, "V")) &amp; "/" &amp; ((COUNTIF(J18:J37, "✓") + COUNTIF(J18:J37, "✔") + COUNTIF(J18:J37, "v") + COUNTIF(J18:J37, "V")) + COUNTIF(J18:J37, "✗") + COUNTIF(J18:J37, "x") + COUNTIF(J18:J37, "X")), "")</f>
        <v/>
      </c>
      <c r="K38" s="33">
        <f>IF(((COUNTIF(K18:K37, "✓") + COUNTIF(K18:K37, "✔") + COUNTIF(K18:K37, "v") + COUNTIF(K18:K37, "V")) + COUNTIF(K18:K37, "✗") + COUNTIF(K18:K37, "x") + COUNTIF(K18:K37, "X")) &gt; 0, (COUNTIF(K18:K37, "✓") + COUNTIF(K18:K37, "✔") + COUNTIF(K18:K37, "v") + COUNTIF(K18:K37, "V")) &amp; "/" &amp; ((COUNTIF(K18:K37, "✓") + COUNTIF(K18:K37, "✔") + COUNTIF(K18:K37, "v") + COUNTIF(K18:K37, "V")) + COUNTIF(K18:K37, "✗") + COUNTIF(K18:K37, "x") + COUNTIF(K18:K37, "X")), "")</f>
        <v/>
      </c>
      <c r="L38" s="33">
        <f>IF(((COUNTIF(L18:L37, "✓") + COUNTIF(L18:L37, "✔") + COUNTIF(L18:L37, "v") + COUNTIF(L18:L37, "V")) + COUNTIF(L18:L37, "✗") + COUNTIF(L18:L37, "x") + COUNTIF(L18:L37, "X")) &gt; 0, (COUNTIF(L18:L37, "✓") + COUNTIF(L18:L37, "✔") + COUNTIF(L18:L37, "v") + COUNTIF(L18:L37, "V")) &amp; "/" &amp; ((COUNTIF(L18:L37, "✓") + COUNTIF(L18:L37, "✔") + COUNTIF(L18:L37, "v") + COUNTIF(L18:L37, "V")) + COUNTIF(L18:L37, "✗") + COUNTIF(L18:L37, "x") + COUNTIF(L18:L37, "X")), "")</f>
        <v/>
      </c>
      <c r="M38" s="33">
        <f>IF(((COUNTIF(M18:M37, "✓") + COUNTIF(M18:M37, "✔") + COUNTIF(M18:M37, "v") + COUNTIF(M18:M37, "V")) + COUNTIF(M18:M37, "✗") + COUNTIF(M18:M37, "x") + COUNTIF(M18:M37, "X")) &gt; 0, (COUNTIF(M18:M37, "✓") + COUNTIF(M18:M37, "✔") + COUNTIF(M18:M37, "v") + COUNTIF(M18:M37, "V")) &amp; "/" &amp; ((COUNTIF(M18:M37, "✓") + COUNTIF(M18:M37, "✔") + COUNTIF(M18:M37, "v") + COUNTIF(M18:M37, "V")) + COUNTIF(M18:M37, "✗") + COUNTIF(M18:M37, "x") + COUNTIF(M18:M37, "X")), "")</f>
        <v/>
      </c>
      <c r="N38" s="33">
        <f>IF(((COUNTIF(N18:N37, "✓") + COUNTIF(N18:N37, "✔") + COUNTIF(N18:N37, "v") + COUNTIF(N18:N37, "V")) + COUNTIF(N18:N37, "✗") + COUNTIF(N18:N37, "x") + COUNTIF(N18:N37, "X")) &gt; 0, (COUNTIF(N18:N37, "✓") + COUNTIF(N18:N37, "✔") + COUNTIF(N18:N37, "v") + COUNTIF(N18:N37, "V")) &amp; "/" &amp; ((COUNTIF(N18:N37, "✓") + COUNTIF(N18:N37, "✔") + COUNTIF(N18:N37, "v") + COUNTIF(N18:N37, "V")) + COUNTIF(N18:N37, "✗") + COUNTIF(N18:N37, "x") + COUNTIF(N18:N37, "X")), "")</f>
        <v/>
      </c>
      <c r="O38" s="33">
        <f>IF(((COUNTIF(O18:O37, "✓") + COUNTIF(O18:O37, "✔") + COUNTIF(O18:O37, "v") + COUNTIF(O18:O37, "V")) + COUNTIF(O18:O37, "✗") + COUNTIF(O18:O37, "x") + COUNTIF(O18:O37, "X")) &gt; 0, (COUNTIF(O18:O37, "✓") + COUNTIF(O18:O37, "✔") + COUNTIF(O18:O37, "v") + COUNTIF(O18:O37, "V")) &amp; "/" &amp; ((COUNTIF(O18:O37, "✓") + COUNTIF(O18:O37, "✔") + COUNTIF(O18:O37, "v") + COUNTIF(O18:O37, "V")) + COUNTIF(O18:O37, "✗") + COUNTIF(O18:O37, "x") + COUNTIF(O18:O37, "X")), "")</f>
        <v/>
      </c>
      <c r="P38" s="33">
        <f>IF(((COUNTIF(P18:P37, "✓") + COUNTIF(P18:P37, "✔") + COUNTIF(P18:P37, "v") + COUNTIF(P18:P37, "V")) + COUNTIF(P18:P37, "✗") + COUNTIF(P18:P37, "x") + COUNTIF(P18:P37, "X")) &gt; 0, (COUNTIF(P18:P37, "✓") + COUNTIF(P18:P37, "✔") + COUNTIF(P18:P37, "v") + COUNTIF(P18:P37, "V")) &amp; "/" &amp; ((COUNTIF(P18:P37, "✓") + COUNTIF(P18:P37, "✔") + COUNTIF(P18:P37, "v") + COUNTIF(P18:P37, "V")) + COUNTIF(P18:P37, "✗") + COUNTIF(P18:P37, "x") + COUNTIF(P18:P37, "X")), "")</f>
        <v/>
      </c>
      <c r="Q38" s="33">
        <f>IF(((COUNTIF(Q18:Q37, "✓") + COUNTIF(Q18:Q37, "✔") + COUNTIF(Q18:Q37, "v") + COUNTIF(Q18:Q37, "V")) + COUNTIF(Q18:Q37, "✗") + COUNTIF(Q18:Q37, "x") + COUNTIF(Q18:Q37, "X")) &gt; 0, (COUNTIF(Q18:Q37, "✓") + COUNTIF(Q18:Q37, "✔") + COUNTIF(Q18:Q37, "v") + COUNTIF(Q18:Q37, "V")) &amp; "/" &amp; ((COUNTIF(Q18:Q37, "✓") + COUNTIF(Q18:Q37, "✔") + COUNTIF(Q18:Q37, "v") + COUNTIF(Q18:Q37, "V")) + COUNTIF(Q18:Q37, "✗") + COUNTIF(Q18:Q37, "x") + COUNTIF(Q18:Q37, "X")), "")</f>
        <v/>
      </c>
      <c r="R38" s="33">
        <f>IF(((COUNTIF(R18:R37, "✓") + COUNTIF(R18:R37, "✔") + COUNTIF(R18:R37, "v") + COUNTIF(R18:R37, "V")) + COUNTIF(R18:R37, "✗") + COUNTIF(R18:R37, "x") + COUNTIF(R18:R37, "X")) &gt; 0, (COUNTIF(R18:R37, "✓") + COUNTIF(R18:R37, "✔") + COUNTIF(R18:R37, "v") + COUNTIF(R18:R37, "V")) &amp; "/" &amp; ((COUNTIF(R18:R37, "✓") + COUNTIF(R18:R37, "✔") + COUNTIF(R18:R37, "v") + COUNTIF(R18:R37, "V")) + COUNTIF(R18:R37, "✗") + COUNTIF(R18:R37, "x") + COUNTIF(R18:R37, "X")), "")</f>
        <v/>
      </c>
      <c r="S38" s="33">
        <f>IF(((COUNTIF(S18:S37, "✓") + COUNTIF(S18:S37, "✔") + COUNTIF(S18:S37, "v") + COUNTIF(S18:S37, "V")) + COUNTIF(S18:S37, "✗") + COUNTIF(S18:S37, "x") + COUNTIF(S18:S37, "X")) &gt; 0, (COUNTIF(S18:S37, "✓") + COUNTIF(S18:S37, "✔") + COUNTIF(S18:S37, "v") + COUNTIF(S18:S37, "V")) &amp; "/" &amp; ((COUNTIF(S18:S37, "✓") + COUNTIF(S18:S37, "✔") + COUNTIF(S18:S37, "v") + COUNTIF(S18:S37, "V")) + COUNTIF(S18:S37, "✗") + COUNTIF(S18:S37, "x") + COUNTIF(S18:S37, "X")), "")</f>
        <v/>
      </c>
      <c r="T38" s="33">
        <f>IF(((COUNTIF(T18:T37, "✓") + COUNTIF(T18:T37, "✔") + COUNTIF(T18:T37, "v") + COUNTIF(T18:T37, "V")) + COUNTIF(T18:T37, "✗") + COUNTIF(T18:T37, "x") + COUNTIF(T18:T37, "X")) &gt; 0, (COUNTIF(T18:T37, "✓") + COUNTIF(T18:T37, "✔") + COUNTIF(T18:T37, "v") + COUNTIF(T18:T37, "V")) &amp; "/" &amp; ((COUNTIF(T18:T37, "✓") + COUNTIF(T18:T37, "✔") + COUNTIF(T18:T37, "v") + COUNTIF(T18:T37, "V")) + COUNTIF(T18:T37, "✗") + COUNTIF(T18:T37, "x") + COUNTIF(T18:T37, "X")), "")</f>
        <v/>
      </c>
      <c r="U38" s="33">
        <f>IF(((COUNTIF(U18:U37, "✓") + COUNTIF(U18:U37, "✔") + COUNTIF(U18:U37, "v") + COUNTIF(U18:U37, "V")) + COUNTIF(U18:U37, "✗") + COUNTIF(U18:U37, "x") + COUNTIF(U18:U37, "X")) &gt; 0, (COUNTIF(U18:U37, "✓") + COUNTIF(U18:U37, "✔") + COUNTIF(U18:U37, "v") + COUNTIF(U18:U37, "V")) &amp; "/" &amp; ((COUNTIF(U18:U37, "✓") + COUNTIF(U18:U37, "✔") + COUNTIF(U18:U37, "v") + COUNTIF(U18:U37, "V")) + COUNTIF(U18:U37, "✗") + COUNTIF(U18:U37, "x") + COUNTIF(U18:U37, "X")), "")</f>
        <v/>
      </c>
      <c r="V38" s="33">
        <f>IF(((COUNTIF(V18:V37, "✓") + COUNTIF(V18:V37, "✔") + COUNTIF(V18:V37, "v") + COUNTIF(V18:V37, "V")) + COUNTIF(V18:V37, "✗") + COUNTIF(V18:V37, "x") + COUNTIF(V18:V37, "X")) &gt; 0, (COUNTIF(V18:V37, "✓") + COUNTIF(V18:V37, "✔") + COUNTIF(V18:V37, "v") + COUNTIF(V18:V37, "V")) &amp; "/" &amp; ((COUNTIF(V18:V37, "✓") + COUNTIF(V18:V37, "✔") + COUNTIF(V18:V37, "v") + COUNTIF(V18:V37, "V")) + COUNTIF(V18:V37, "✗") + COUNTIF(V18:V37, "x") + COUNTIF(V18:V37, "X")), "")</f>
        <v/>
      </c>
      <c r="W38" s="33">
        <f>IF(((COUNTIF(W18:W37, "✓") + COUNTIF(W18:W37, "✔") + COUNTIF(W18:W37, "v") + COUNTIF(W18:W37, "V")) + COUNTIF(W18:W37, "✗") + COUNTIF(W18:W37, "x") + COUNTIF(W18:W37, "X")) &gt; 0, (COUNTIF(W18:W37, "✓") + COUNTIF(W18:W37, "✔") + COUNTIF(W18:W37, "v") + COUNTIF(W18:W37, "V")) &amp; "/" &amp; ((COUNTIF(W18:W37, "✓") + COUNTIF(W18:W37, "✔") + COUNTIF(W18:W37, "v") + COUNTIF(W18:W37, "V")) + COUNTIF(W18:W37, "✗") + COUNTIF(W18:W37, "x") + COUNTIF(W18:W37, "X")), "")</f>
        <v/>
      </c>
      <c r="X38" s="33">
        <f>IF(((COUNTIF(X18:X37, "✓") + COUNTIF(X18:X37, "✔") + COUNTIF(X18:X37, "v") + COUNTIF(X18:X37, "V")) + COUNTIF(X18:X37, "✗") + COUNTIF(X18:X37, "x") + COUNTIF(X18:X37, "X")) &gt; 0, (COUNTIF(X18:X37, "✓") + COUNTIF(X18:X37, "✔") + COUNTIF(X18:X37, "v") + COUNTIF(X18:X37, "V")) &amp; "/" &amp; ((COUNTIF(X18:X37, "✓") + COUNTIF(X18:X37, "✔") + COUNTIF(X18:X37, "v") + COUNTIF(X18:X37, "V")) + COUNTIF(X18:X37, "✗") + COUNTIF(X18:X37, "x") + COUNTIF(X18:X37, "X")), "")</f>
        <v/>
      </c>
      <c r="Y38" s="33">
        <f>IF(((COUNTIF(Y18:Y37, "✓") + COUNTIF(Y18:Y37, "✔") + COUNTIF(Y18:Y37, "v") + COUNTIF(Y18:Y37, "V")) + COUNTIF(Y18:Y37, "✗") + COUNTIF(Y18:Y37, "x") + COUNTIF(Y18:Y37, "X")) &gt; 0, (COUNTIF(Y18:Y37, "✓") + COUNTIF(Y18:Y37, "✔") + COUNTIF(Y18:Y37, "v") + COUNTIF(Y18:Y37, "V")) &amp; "/" &amp; ((COUNTIF(Y18:Y37, "✓") + COUNTIF(Y18:Y37, "✔") + COUNTIF(Y18:Y37, "v") + COUNTIF(Y18:Y37, "V")) + COUNTIF(Y18:Y37, "✗") + COUNTIF(Y18:Y37, "x") + COUNTIF(Y18:Y37, "X")), "")</f>
        <v/>
      </c>
      <c r="Z38" s="33">
        <f>IF(((COUNTIF(Z18:Z37, "✓") + COUNTIF(Z18:Z37, "✔") + COUNTIF(Z18:Z37, "v") + COUNTIF(Z18:Z37, "V")) + COUNTIF(Z18:Z37, "✗") + COUNTIF(Z18:Z37, "x") + COUNTIF(Z18:Z37, "X")) &gt; 0, (COUNTIF(Z18:Z37, "✓") + COUNTIF(Z18:Z37, "✔") + COUNTIF(Z18:Z37, "v") + COUNTIF(Z18:Z37, "V")) &amp; "/" &amp; ((COUNTIF(Z18:Z37, "✓") + COUNTIF(Z18:Z37, "✔") + COUNTIF(Z18:Z37, "v") + COUNTIF(Z18:Z37, "V")) + COUNTIF(Z18:Z37, "✗") + COUNTIF(Z18:Z37, "x") + COUNTIF(Z18:Z37, "X")), "")</f>
        <v/>
      </c>
      <c r="AA38" s="33">
        <f>IF(((COUNTIF(AA18:AA37, "✓") + COUNTIF(AA18:AA37, "✔") + COUNTIF(AA18:AA37, "v") + COUNTIF(AA18:AA37, "V")) + COUNTIF(AA18:AA37, "✗") + COUNTIF(AA18:AA37, "x") + COUNTIF(AA18:AA37, "X")) &gt; 0, (COUNTIF(AA18:AA37, "✓") + COUNTIF(AA18:AA37, "✔") + COUNTIF(AA18:AA37, "v") + COUNTIF(AA18:AA37, "V")) &amp; "/" &amp; ((COUNTIF(AA18:AA37, "✓") + COUNTIF(AA18:AA37, "✔") + COUNTIF(AA18:AA37, "v") + COUNTIF(AA18:AA37, "V")) + COUNTIF(AA18:AA37, "✗") + COUNTIF(AA18:AA37, "x") + COUNTIF(AA18:AA37, "X")), "")</f>
        <v/>
      </c>
      <c r="AB38" s="33">
        <f>IF(((COUNTIF(AB18:AB37, "✓") + COUNTIF(AB18:AB37, "✔") + COUNTIF(AB18:AB37, "v") + COUNTIF(AB18:AB37, "V")) + COUNTIF(AB18:AB37, "✗") + COUNTIF(AB18:AB37, "x") + COUNTIF(AB18:AB37, "X")) &gt; 0, (COUNTIF(AB18:AB37, "✓") + COUNTIF(AB18:AB37, "✔") + COUNTIF(AB18:AB37, "v") + COUNTIF(AB18:AB37, "V")) &amp; "/" &amp; ((COUNTIF(AB18:AB37, "✓") + COUNTIF(AB18:AB37, "✔") + COUNTIF(AB18:AB37, "v") + COUNTIF(AB18:AB37, "V")) + COUNTIF(AB18:AB37, "✗") + COUNTIF(AB18:AB37, "x") + COUNTIF(AB18:AB37, "X")), "")</f>
        <v/>
      </c>
      <c r="AC38" s="33">
        <f>IF(((COUNTIF(AC18:AC37, "✓") + COUNTIF(AC18:AC37, "✔") + COUNTIF(AC18:AC37, "v") + COUNTIF(AC18:AC37, "V")) + COUNTIF(AC18:AC37, "✗") + COUNTIF(AC18:AC37, "x") + COUNTIF(AC18:AC37, "X")) &gt; 0, (COUNTIF(AC18:AC37, "✓") + COUNTIF(AC18:AC37, "✔") + COUNTIF(AC18:AC37, "v") + COUNTIF(AC18:AC37, "V")) &amp; "/" &amp; ((COUNTIF(AC18:AC37, "✓") + COUNTIF(AC18:AC37, "✔") + COUNTIF(AC18:AC37, "v") + COUNTIF(AC18:AC37, "V")) + COUNTIF(AC18:AC37, "✗") + COUNTIF(AC18:AC37, "x") + COUNTIF(AC18:AC37, "X")), "")</f>
        <v/>
      </c>
      <c r="AD38" s="33">
        <f>IF(((COUNTIF(AD18:AD37, "✓") + COUNTIF(AD18:AD37, "✔") + COUNTIF(AD18:AD37, "v") + COUNTIF(AD18:AD37, "V")) + COUNTIF(AD18:AD37, "✗") + COUNTIF(AD18:AD37, "x") + COUNTIF(AD18:AD37, "X")) &gt; 0, (COUNTIF(AD18:AD37, "✓") + COUNTIF(AD18:AD37, "✔") + COUNTIF(AD18:AD37, "v") + COUNTIF(AD18:AD37, "V")) &amp; "/" &amp; ((COUNTIF(AD18:AD37, "✓") + COUNTIF(AD18:AD37, "✔") + COUNTIF(AD18:AD37, "v") + COUNTIF(AD18:AD37, "V")) + COUNTIF(AD18:AD37, "✗") + COUNTIF(AD18:AD37, "x") + COUNTIF(AD18:AD37, "X")), "")</f>
        <v/>
      </c>
      <c r="AE38" s="33">
        <f>IF(((COUNTIF(AE18:AE37, "✓") + COUNTIF(AE18:AE37, "✔") + COUNTIF(AE18:AE37, "v") + COUNTIF(AE18:AE37, "V")) + COUNTIF(AE18:AE37, "✗") + COUNTIF(AE18:AE37, "x") + COUNTIF(AE18:AE37, "X")) &gt; 0, (COUNTIF(AE18:AE37, "✓") + COUNTIF(AE18:AE37, "✔") + COUNTIF(AE18:AE37, "v") + COUNTIF(AE18:AE37, "V")) &amp; "/" &amp; ((COUNTIF(AE18:AE37, "✓") + COUNTIF(AE18:AE37, "✔") + COUNTIF(AE18:AE37, "v") + COUNTIF(AE18:AE37, "V")) + COUNTIF(AE18:AE37, "✗") + COUNTIF(AE18:AE37, "x") + COUNTIF(AE18:AE37, "X")), "")</f>
        <v/>
      </c>
      <c r="AF38" s="33">
        <f>IF(((COUNTIF(AF18:AF37, "✓") + COUNTIF(AF18:AF37, "✔") + COUNTIF(AF18:AF37, "v") + COUNTIF(AF18:AF37, "V")) + COUNTIF(AF18:AF37, "✗") + COUNTIF(AF18:AF37, "x") + COUNTIF(AF18:AF37, "X")) &gt; 0, (COUNTIF(AF18:AF37, "✓") + COUNTIF(AF18:AF37, "✔") + COUNTIF(AF18:AF37, "v") + COUNTIF(AF18:AF37, "V")) &amp; "/" &amp; ((COUNTIF(AF18:AF37, "✓") + COUNTIF(AF18:AF37, "✔") + COUNTIF(AF18:AF37, "v") + COUNTIF(AF18:AF37, "V")) + COUNTIF(AF18:AF37, "✗") + COUNTIF(AF18:AF37, "x") + COUNTIF(AF18:AF37, "X")), "")</f>
        <v/>
      </c>
      <c r="AG38" s="33">
        <f>IF(((COUNTIF(AG18:AG37, "✓") + COUNTIF(AG18:AG37, "✔") + COUNTIF(AG18:AG37, "v") + COUNTIF(AG18:AG37, "V")) + COUNTIF(AG18:AG37, "✗") + COUNTIF(AG18:AG37, "x") + COUNTIF(AG18:AG37, "X")) &gt; 0, (COUNTIF(AG18:AG37, "✓") + COUNTIF(AG18:AG37, "✔") + COUNTIF(AG18:AG37, "v") + COUNTIF(AG18:AG37, "V")) &amp; "/" &amp; ((COUNTIF(AG18:AG37, "✓") + COUNTIF(AG18:AG37, "✔") + COUNTIF(AG18:AG37, "v") + COUNTIF(AG18:AG37, "V")) + COUNTIF(AG18:AG37, "✗") + COUNTIF(AG18:AG37, "x") + COUNTIF(AG18:AG37, "X")), "")</f>
        <v/>
      </c>
      <c r="AH38" s="33">
        <f>IF(((COUNTIF(AH18:AH37, "✓") + COUNTIF(AH18:AH37, "✔") + COUNTIF(AH18:AH37, "v") + COUNTIF(AH18:AH37, "V")) + COUNTIF(AH18:AH37, "✗") + COUNTIF(AH18:AH37, "x") + COUNTIF(AH18:AH37, "X")) &gt; 0, (COUNTIF(AH18:AH37, "✓") + COUNTIF(AH18:AH37, "✔") + COUNTIF(AH18:AH37, "v") + COUNTIF(AH18:AH37, "V")) &amp; "/" &amp; ((COUNTIF(AH18:AH37, "✓") + COUNTIF(AH18:AH37, "✔") + COUNTIF(AH18:AH37, "v") + COUNTIF(AH18:AH37, "V")) + COUNTIF(AH18:AH37, "✗") + COUNTIF(AH18:AH37, "x") + COUNTIF(AH18:AH37, "X")), "")</f>
        <v/>
      </c>
      <c r="AI38" s="33">
        <f>IF(((COUNTIF(AI18:AI37, "✓") + COUNTIF(AI18:AI37, "✔") + COUNTIF(AI18:AI37, "v") + COUNTIF(AI18:AI37, "V")) + COUNTIF(AI18:AI37, "✗") + COUNTIF(AI18:AI37, "x") + COUNTIF(AI18:AI37, "X")) &gt; 0, (COUNTIF(AI18:AI37, "✓") + COUNTIF(AI18:AI37, "✔") + COUNTIF(AI18:AI37, "v") + COUNTIF(AI18:AI37, "V")) &amp; "/" &amp; ((COUNTIF(AI18:AI37, "✓") + COUNTIF(AI18:AI37, "✔") + COUNTIF(AI18:AI37, "v") + COUNTIF(AI18:AI37, "V")) + COUNTIF(AI18:AI37, "✗") + COUNTIF(AI18:AI37, "x") + COUNTIF(AI18:AI37, "X")), "")</f>
        <v/>
      </c>
      <c r="AJ38" s="133">
        <f>IF(SUM(D18:D37) &gt; 0, SUM(AM18:AM37) / SUM(D18:D37), "")</f>
        <v/>
      </c>
      <c r="AK38" s="33">
        <f>IF(SUM(D18:D37) &gt; 0, SUM(AM18:AM37) &amp; "/" &amp; SUM(D18:D37), "")</f>
        <v/>
      </c>
      <c r="AL38" s="54" t="n"/>
    </row>
    <row r="39" ht="18" customHeight="1">
      <c r="A39" s="132" t="inlineStr">
        <is>
          <t>DAILY SUCCESS %</t>
        </is>
      </c>
      <c r="B39" s="54" t="n"/>
      <c r="C39" s="54" t="n"/>
      <c r="D39" s="54" t="n"/>
      <c r="E39" s="134">
        <f>IF(((COUNTIF(E18:E37, "✓") + COUNTIF(E18:E37, "✔") + COUNTIF(E18:E37, "v") + COUNTIF(E18:E37, "V")) + COUNTIF(E18:E37, "✗") + COUNTIF(E18:E37, "x") + COUNTIF(E18:E37, "X")) &gt; 0, (COUNTIF(E18:E37, "✓") + COUNTIF(E18:E37, "✔") + COUNTIF(E18:E37, "v") + COUNTIF(E18:E37, "V")) / ((COUNTIF(E18:E37, "✓") + COUNTIF(E18:E37, "✔") + COUNTIF(E18:E37, "v") + COUNTIF(E18:E37, "V")) + COUNTIF(E18:E37, "✗") + COUNTIF(E18:E37, "x") + COUNTIF(E18:E37, "X")), "")</f>
        <v/>
      </c>
      <c r="F39" s="134">
        <f>IF(((COUNTIF(F18:F37, "✓") + COUNTIF(F18:F37, "✔") + COUNTIF(F18:F37, "v") + COUNTIF(F18:F37, "V")) + COUNTIF(F18:F37, "✗") + COUNTIF(F18:F37, "x") + COUNTIF(F18:F37, "X")) &gt; 0, (COUNTIF(F18:F37, "✓") + COUNTIF(F18:F37, "✔") + COUNTIF(F18:F37, "v") + COUNTIF(F18:F37, "V")) / ((COUNTIF(F18:F37, "✓") + COUNTIF(F18:F37, "✔") + COUNTIF(F18:F37, "v") + COUNTIF(F18:F37, "V")) + COUNTIF(F18:F37, "✗") + COUNTIF(F18:F37, "x") + COUNTIF(F18:F37, "X")), "")</f>
        <v/>
      </c>
      <c r="G39" s="134">
        <f>IF(((COUNTIF(G18:G37, "✓") + COUNTIF(G18:G37, "✔") + COUNTIF(G18:G37, "v") + COUNTIF(G18:G37, "V")) + COUNTIF(G18:G37, "✗") + COUNTIF(G18:G37, "x") + COUNTIF(G18:G37, "X")) &gt; 0, (COUNTIF(G18:G37, "✓") + COUNTIF(G18:G37, "✔") + COUNTIF(G18:G37, "v") + COUNTIF(G18:G37, "V")) / ((COUNTIF(G18:G37, "✓") + COUNTIF(G18:G37, "✔") + COUNTIF(G18:G37, "v") + COUNTIF(G18:G37, "V")) + COUNTIF(G18:G37, "✗") + COUNTIF(G18:G37, "x") + COUNTIF(G18:G37, "X")), "")</f>
        <v/>
      </c>
      <c r="H39" s="134">
        <f>IF(((COUNTIF(H18:H37, "✓") + COUNTIF(H18:H37, "✔") + COUNTIF(H18:H37, "v") + COUNTIF(H18:H37, "V")) + COUNTIF(H18:H37, "✗") + COUNTIF(H18:H37, "x") + COUNTIF(H18:H37, "X")) &gt; 0, (COUNTIF(H18:H37, "✓") + COUNTIF(H18:H37, "✔") + COUNTIF(H18:H37, "v") + COUNTIF(H18:H37, "V")) / ((COUNTIF(H18:H37, "✓") + COUNTIF(H18:H37, "✔") + COUNTIF(H18:H37, "v") + COUNTIF(H18:H37, "V")) + COUNTIF(H18:H37, "✗") + COUNTIF(H18:H37, "x") + COUNTIF(H18:H37, "X")), "")</f>
        <v/>
      </c>
      <c r="I39" s="134">
        <f>IF(((COUNTIF(I18:I37, "✓") + COUNTIF(I18:I37, "✔") + COUNTIF(I18:I37, "v") + COUNTIF(I18:I37, "V")) + COUNTIF(I18:I37, "✗") + COUNTIF(I18:I37, "x") + COUNTIF(I18:I37, "X")) &gt; 0, (COUNTIF(I18:I37, "✓") + COUNTIF(I18:I37, "✔") + COUNTIF(I18:I37, "v") + COUNTIF(I18:I37, "V")) / ((COUNTIF(I18:I37, "✓") + COUNTIF(I18:I37, "✔") + COUNTIF(I18:I37, "v") + COUNTIF(I18:I37, "V")) + COUNTIF(I18:I37, "✗") + COUNTIF(I18:I37, "x") + COUNTIF(I18:I37, "X")), "")</f>
        <v/>
      </c>
      <c r="J39" s="134">
        <f>IF(((COUNTIF(J18:J37, "✓") + COUNTIF(J18:J37, "✔") + COUNTIF(J18:J37, "v") + COUNTIF(J18:J37, "V")) + COUNTIF(J18:J37, "✗") + COUNTIF(J18:J37, "x") + COUNTIF(J18:J37, "X")) &gt; 0, (COUNTIF(J18:J37, "✓") + COUNTIF(J18:J37, "✔") + COUNTIF(J18:J37, "v") + COUNTIF(J18:J37, "V")) / ((COUNTIF(J18:J37, "✓") + COUNTIF(J18:J37, "✔") + COUNTIF(J18:J37, "v") + COUNTIF(J18:J37, "V")) + COUNTIF(J18:J37, "✗") + COUNTIF(J18:J37, "x") + COUNTIF(J18:J37, "X")), "")</f>
        <v/>
      </c>
      <c r="K39" s="134">
        <f>IF(((COUNTIF(K18:K37, "✓") + COUNTIF(K18:K37, "✔") + COUNTIF(K18:K37, "v") + COUNTIF(K18:K37, "V")) + COUNTIF(K18:K37, "✗") + COUNTIF(K18:K37, "x") + COUNTIF(K18:K37, "X")) &gt; 0, (COUNTIF(K18:K37, "✓") + COUNTIF(K18:K37, "✔") + COUNTIF(K18:K37, "v") + COUNTIF(K18:K37, "V")) / ((COUNTIF(K18:K37, "✓") + COUNTIF(K18:K37, "✔") + COUNTIF(K18:K37, "v") + COUNTIF(K18:K37, "V")) + COUNTIF(K18:K37, "✗") + COUNTIF(K18:K37, "x") + COUNTIF(K18:K37, "X")), "")</f>
        <v/>
      </c>
      <c r="L39" s="134">
        <f>IF(((COUNTIF(L18:L37, "✓") + COUNTIF(L18:L37, "✔") + COUNTIF(L18:L37, "v") + COUNTIF(L18:L37, "V")) + COUNTIF(L18:L37, "✗") + COUNTIF(L18:L37, "x") + COUNTIF(L18:L37, "X")) &gt; 0, (COUNTIF(L18:L37, "✓") + COUNTIF(L18:L37, "✔") + COUNTIF(L18:L37, "v") + COUNTIF(L18:L37, "V")) / ((COUNTIF(L18:L37, "✓") + COUNTIF(L18:L37, "✔") + COUNTIF(L18:L37, "v") + COUNTIF(L18:L37, "V")) + COUNTIF(L18:L37, "✗") + COUNTIF(L18:L37, "x") + COUNTIF(L18:L37, "X")), "")</f>
        <v/>
      </c>
      <c r="M39" s="134">
        <f>IF(((COUNTIF(M18:M37, "✓") + COUNTIF(M18:M37, "✔") + COUNTIF(M18:M37, "v") + COUNTIF(M18:M37, "V")) + COUNTIF(M18:M37, "✗") + COUNTIF(M18:M37, "x") + COUNTIF(M18:M37, "X")) &gt; 0, (COUNTIF(M18:M37, "✓") + COUNTIF(M18:M37, "✔") + COUNTIF(M18:M37, "v") + COUNTIF(M18:M37, "V")) / ((COUNTIF(M18:M37, "✓") + COUNTIF(M18:M37, "✔") + COUNTIF(M18:M37, "v") + COUNTIF(M18:M37, "V")) + COUNTIF(M18:M37, "✗") + COUNTIF(M18:M37, "x") + COUNTIF(M18:M37, "X")), "")</f>
        <v/>
      </c>
      <c r="N39" s="134">
        <f>IF(((COUNTIF(N18:N37, "✓") + COUNTIF(N18:N37, "✔") + COUNTIF(N18:N37, "v") + COUNTIF(N18:N37, "V")) + COUNTIF(N18:N37, "✗") + COUNTIF(N18:N37, "x") + COUNTIF(N18:N37, "X")) &gt; 0, (COUNTIF(N18:N37, "✓") + COUNTIF(N18:N37, "✔") + COUNTIF(N18:N37, "v") + COUNTIF(N18:N37, "V")) / ((COUNTIF(N18:N37, "✓") + COUNTIF(N18:N37, "✔") + COUNTIF(N18:N37, "v") + COUNTIF(N18:N37, "V")) + COUNTIF(N18:N37, "✗") + COUNTIF(N18:N37, "x") + COUNTIF(N18:N37, "X")), "")</f>
        <v/>
      </c>
      <c r="O39" s="134">
        <f>IF(((COUNTIF(O18:O37, "✓") + COUNTIF(O18:O37, "✔") + COUNTIF(O18:O37, "v") + COUNTIF(O18:O37, "V")) + COUNTIF(O18:O37, "✗") + COUNTIF(O18:O37, "x") + COUNTIF(O18:O37, "X")) &gt; 0, (COUNTIF(O18:O37, "✓") + COUNTIF(O18:O37, "✔") + COUNTIF(O18:O37, "v") + COUNTIF(O18:O37, "V")) / ((COUNTIF(O18:O37, "✓") + COUNTIF(O18:O37, "✔") + COUNTIF(O18:O37, "v") + COUNTIF(O18:O37, "V")) + COUNTIF(O18:O37, "✗") + COUNTIF(O18:O37, "x") + COUNTIF(O18:O37, "X")), "")</f>
        <v/>
      </c>
      <c r="P39" s="134">
        <f>IF(((COUNTIF(P18:P37, "✓") + COUNTIF(P18:P37, "✔") + COUNTIF(P18:P37, "v") + COUNTIF(P18:P37, "V")) + COUNTIF(P18:P37, "✗") + COUNTIF(P18:P37, "x") + COUNTIF(P18:P37, "X")) &gt; 0, (COUNTIF(P18:P37, "✓") + COUNTIF(P18:P37, "✔") + COUNTIF(P18:P37, "v") + COUNTIF(P18:P37, "V")) / ((COUNTIF(P18:P37, "✓") + COUNTIF(P18:P37, "✔") + COUNTIF(P18:P37, "v") + COUNTIF(P18:P37, "V")) + COUNTIF(P18:P37, "✗") + COUNTIF(P18:P37, "x") + COUNTIF(P18:P37, "X")), "")</f>
        <v/>
      </c>
      <c r="Q39" s="134">
        <f>IF(((COUNTIF(Q18:Q37, "✓") + COUNTIF(Q18:Q37, "✔") + COUNTIF(Q18:Q37, "v") + COUNTIF(Q18:Q37, "V")) + COUNTIF(Q18:Q37, "✗") + COUNTIF(Q18:Q37, "x") + COUNTIF(Q18:Q37, "X")) &gt; 0, (COUNTIF(Q18:Q37, "✓") + COUNTIF(Q18:Q37, "✔") + COUNTIF(Q18:Q37, "v") + COUNTIF(Q18:Q37, "V")) / ((COUNTIF(Q18:Q37, "✓") + COUNTIF(Q18:Q37, "✔") + COUNTIF(Q18:Q37, "v") + COUNTIF(Q18:Q37, "V")) + COUNTIF(Q18:Q37, "✗") + COUNTIF(Q18:Q37, "x") + COUNTIF(Q18:Q37, "X")), "")</f>
        <v/>
      </c>
      <c r="R39" s="134">
        <f>IF(((COUNTIF(R18:R37, "✓") + COUNTIF(R18:R37, "✔") + COUNTIF(R18:R37, "v") + COUNTIF(R18:R37, "V")) + COUNTIF(R18:R37, "✗") + COUNTIF(R18:R37, "x") + COUNTIF(R18:R37, "X")) &gt; 0, (COUNTIF(R18:R37, "✓") + COUNTIF(R18:R37, "✔") + COUNTIF(R18:R37, "v") + COUNTIF(R18:R37, "V")) / ((COUNTIF(R18:R37, "✓") + COUNTIF(R18:R37, "✔") + COUNTIF(R18:R37, "v") + COUNTIF(R18:R37, "V")) + COUNTIF(R18:R37, "✗") + COUNTIF(R18:R37, "x") + COUNTIF(R18:R37, "X")), "")</f>
        <v/>
      </c>
      <c r="S39" s="134">
        <f>IF(((COUNTIF(S18:S37, "✓") + COUNTIF(S18:S37, "✔") + COUNTIF(S18:S37, "v") + COUNTIF(S18:S37, "V")) + COUNTIF(S18:S37, "✗") + COUNTIF(S18:S37, "x") + COUNTIF(S18:S37, "X")) &gt; 0, (COUNTIF(S18:S37, "✓") + COUNTIF(S18:S37, "✔") + COUNTIF(S18:S37, "v") + COUNTIF(S18:S37, "V")) / ((COUNTIF(S18:S37, "✓") + COUNTIF(S18:S37, "✔") + COUNTIF(S18:S37, "v") + COUNTIF(S18:S37, "V")) + COUNTIF(S18:S37, "✗") + COUNTIF(S18:S37, "x") + COUNTIF(S18:S37, "X")), "")</f>
        <v/>
      </c>
      <c r="T39" s="134">
        <f>IF(((COUNTIF(T18:T37, "✓") + COUNTIF(T18:T37, "✔") + COUNTIF(T18:T37, "v") + COUNTIF(T18:T37, "V")) + COUNTIF(T18:T37, "✗") + COUNTIF(T18:T37, "x") + COUNTIF(T18:T37, "X")) &gt; 0, (COUNTIF(T18:T37, "✓") + COUNTIF(T18:T37, "✔") + COUNTIF(T18:T37, "v") + COUNTIF(T18:T37, "V")) / ((COUNTIF(T18:T37, "✓") + COUNTIF(T18:T37, "✔") + COUNTIF(T18:T37, "v") + COUNTIF(T18:T37, "V")) + COUNTIF(T18:T37, "✗") + COUNTIF(T18:T37, "x") + COUNTIF(T18:T37, "X")), "")</f>
        <v/>
      </c>
      <c r="U39" s="134">
        <f>IF(((COUNTIF(U18:U37, "✓") + COUNTIF(U18:U37, "✔") + COUNTIF(U18:U37, "v") + COUNTIF(U18:U37, "V")) + COUNTIF(U18:U37, "✗") + COUNTIF(U18:U37, "x") + COUNTIF(U18:U37, "X")) &gt; 0, (COUNTIF(U18:U37, "✓") + COUNTIF(U18:U37, "✔") + COUNTIF(U18:U37, "v") + COUNTIF(U18:U37, "V")) / ((COUNTIF(U18:U37, "✓") + COUNTIF(U18:U37, "✔") + COUNTIF(U18:U37, "v") + COUNTIF(U18:U37, "V")) + COUNTIF(U18:U37, "✗") + COUNTIF(U18:U37, "x") + COUNTIF(U18:U37, "X")), "")</f>
        <v/>
      </c>
      <c r="V39" s="134">
        <f>IF(((COUNTIF(V18:V37, "✓") + COUNTIF(V18:V37, "✔") + COUNTIF(V18:V37, "v") + COUNTIF(V18:V37, "V")) + COUNTIF(V18:V37, "✗") + COUNTIF(V18:V37, "x") + COUNTIF(V18:V37, "X")) &gt; 0, (COUNTIF(V18:V37, "✓") + COUNTIF(V18:V37, "✔") + COUNTIF(V18:V37, "v") + COUNTIF(V18:V37, "V")) / ((COUNTIF(V18:V37, "✓") + COUNTIF(V18:V37, "✔") + COUNTIF(V18:V37, "v") + COUNTIF(V18:V37, "V")) + COUNTIF(V18:V37, "✗") + COUNTIF(V18:V37, "x") + COUNTIF(V18:V37, "X")), "")</f>
        <v/>
      </c>
      <c r="W39" s="134">
        <f>IF(((COUNTIF(W18:W37, "✓") + COUNTIF(W18:W37, "✔") + COUNTIF(W18:W37, "v") + COUNTIF(W18:W37, "V")) + COUNTIF(W18:W37, "✗") + COUNTIF(W18:W37, "x") + COUNTIF(W18:W37, "X")) &gt; 0, (COUNTIF(W18:W37, "✓") + COUNTIF(W18:W37, "✔") + COUNTIF(W18:W37, "v") + COUNTIF(W18:W37, "V")) / ((COUNTIF(W18:W37, "✓") + COUNTIF(W18:W37, "✔") + COUNTIF(W18:W37, "v") + COUNTIF(W18:W37, "V")) + COUNTIF(W18:W37, "✗") + COUNTIF(W18:W37, "x") + COUNTIF(W18:W37, "X")), "")</f>
        <v/>
      </c>
      <c r="X39" s="134">
        <f>IF(((COUNTIF(X18:X37, "✓") + COUNTIF(X18:X37, "✔") + COUNTIF(X18:X37, "v") + COUNTIF(X18:X37, "V")) + COUNTIF(X18:X37, "✗") + COUNTIF(X18:X37, "x") + COUNTIF(X18:X37, "X")) &gt; 0, (COUNTIF(X18:X37, "✓") + COUNTIF(X18:X37, "✔") + COUNTIF(X18:X37, "v") + COUNTIF(X18:X37, "V")) / ((COUNTIF(X18:X37, "✓") + COUNTIF(X18:X37, "✔") + COUNTIF(X18:X37, "v") + COUNTIF(X18:X37, "V")) + COUNTIF(X18:X37, "✗") + COUNTIF(X18:X37, "x") + COUNTIF(X18:X37, "X")), "")</f>
        <v/>
      </c>
      <c r="Y39" s="134">
        <f>IF(((COUNTIF(Y18:Y37, "✓") + COUNTIF(Y18:Y37, "✔") + COUNTIF(Y18:Y37, "v") + COUNTIF(Y18:Y37, "V")) + COUNTIF(Y18:Y37, "✗") + COUNTIF(Y18:Y37, "x") + COUNTIF(Y18:Y37, "X")) &gt; 0, (COUNTIF(Y18:Y37, "✓") + COUNTIF(Y18:Y37, "✔") + COUNTIF(Y18:Y37, "v") + COUNTIF(Y18:Y37, "V")) / ((COUNTIF(Y18:Y37, "✓") + COUNTIF(Y18:Y37, "✔") + COUNTIF(Y18:Y37, "v") + COUNTIF(Y18:Y37, "V")) + COUNTIF(Y18:Y37, "✗") + COUNTIF(Y18:Y37, "x") + COUNTIF(Y18:Y37, "X")), "")</f>
        <v/>
      </c>
      <c r="Z39" s="134">
        <f>IF(((COUNTIF(Z18:Z37, "✓") + COUNTIF(Z18:Z37, "✔") + COUNTIF(Z18:Z37, "v") + COUNTIF(Z18:Z37, "V")) + COUNTIF(Z18:Z37, "✗") + COUNTIF(Z18:Z37, "x") + COUNTIF(Z18:Z37, "X")) &gt; 0, (COUNTIF(Z18:Z37, "✓") + COUNTIF(Z18:Z37, "✔") + COUNTIF(Z18:Z37, "v") + COUNTIF(Z18:Z37, "V")) / ((COUNTIF(Z18:Z37, "✓") + COUNTIF(Z18:Z37, "✔") + COUNTIF(Z18:Z37, "v") + COUNTIF(Z18:Z37, "V")) + COUNTIF(Z18:Z37, "✗") + COUNTIF(Z18:Z37, "x") + COUNTIF(Z18:Z37, "X")), "")</f>
        <v/>
      </c>
      <c r="AA39" s="134">
        <f>IF(((COUNTIF(AA18:AA37, "✓") + COUNTIF(AA18:AA37, "✔") + COUNTIF(AA18:AA37, "v") + COUNTIF(AA18:AA37, "V")) + COUNTIF(AA18:AA37, "✗") + COUNTIF(AA18:AA37, "x") + COUNTIF(AA18:AA37, "X")) &gt; 0, (COUNTIF(AA18:AA37, "✓") + COUNTIF(AA18:AA37, "✔") + COUNTIF(AA18:AA37, "v") + COUNTIF(AA18:AA37, "V")) / ((COUNTIF(AA18:AA37, "✓") + COUNTIF(AA18:AA37, "✔") + COUNTIF(AA18:AA37, "v") + COUNTIF(AA18:AA37, "V")) + COUNTIF(AA18:AA37, "✗") + COUNTIF(AA18:AA37, "x") + COUNTIF(AA18:AA37, "X")), "")</f>
        <v/>
      </c>
      <c r="AB39" s="134">
        <f>IF(((COUNTIF(AB18:AB37, "✓") + COUNTIF(AB18:AB37, "✔") + COUNTIF(AB18:AB37, "v") + COUNTIF(AB18:AB37, "V")) + COUNTIF(AB18:AB37, "✗") + COUNTIF(AB18:AB37, "x") + COUNTIF(AB18:AB37, "X")) &gt; 0, (COUNTIF(AB18:AB37, "✓") + COUNTIF(AB18:AB37, "✔") + COUNTIF(AB18:AB37, "v") + COUNTIF(AB18:AB37, "V")) / ((COUNTIF(AB18:AB37, "✓") + COUNTIF(AB18:AB37, "✔") + COUNTIF(AB18:AB37, "v") + COUNTIF(AB18:AB37, "V")) + COUNTIF(AB18:AB37, "✗") + COUNTIF(AB18:AB37, "x") + COUNTIF(AB18:AB37, "X")), "")</f>
        <v/>
      </c>
      <c r="AC39" s="134">
        <f>IF(((COUNTIF(AC18:AC37, "✓") + COUNTIF(AC18:AC37, "✔") + COUNTIF(AC18:AC37, "v") + COUNTIF(AC18:AC37, "V")) + COUNTIF(AC18:AC37, "✗") + COUNTIF(AC18:AC37, "x") + COUNTIF(AC18:AC37, "X")) &gt; 0, (COUNTIF(AC18:AC37, "✓") + COUNTIF(AC18:AC37, "✔") + COUNTIF(AC18:AC37, "v") + COUNTIF(AC18:AC37, "V")) / ((COUNTIF(AC18:AC37, "✓") + COUNTIF(AC18:AC37, "✔") + COUNTIF(AC18:AC37, "v") + COUNTIF(AC18:AC37, "V")) + COUNTIF(AC18:AC37, "✗") + COUNTIF(AC18:AC37, "x") + COUNTIF(AC18:AC37, "X")), "")</f>
        <v/>
      </c>
      <c r="AD39" s="134">
        <f>IF(((COUNTIF(AD18:AD37, "✓") + COUNTIF(AD18:AD37, "✔") + COUNTIF(AD18:AD37, "v") + COUNTIF(AD18:AD37, "V")) + COUNTIF(AD18:AD37, "✗") + COUNTIF(AD18:AD37, "x") + COUNTIF(AD18:AD37, "X")) &gt; 0, (COUNTIF(AD18:AD37, "✓") + COUNTIF(AD18:AD37, "✔") + COUNTIF(AD18:AD37, "v") + COUNTIF(AD18:AD37, "V")) / ((COUNTIF(AD18:AD37, "✓") + COUNTIF(AD18:AD37, "✔") + COUNTIF(AD18:AD37, "v") + COUNTIF(AD18:AD37, "V")) + COUNTIF(AD18:AD37, "✗") + COUNTIF(AD18:AD37, "x") + COUNTIF(AD18:AD37, "X")), "")</f>
        <v/>
      </c>
      <c r="AE39" s="134">
        <f>IF(((COUNTIF(AE18:AE37, "✓") + COUNTIF(AE18:AE37, "✔") + COUNTIF(AE18:AE37, "v") + COUNTIF(AE18:AE37, "V")) + COUNTIF(AE18:AE37, "✗") + COUNTIF(AE18:AE37, "x") + COUNTIF(AE18:AE37, "X")) &gt; 0, (COUNTIF(AE18:AE37, "✓") + COUNTIF(AE18:AE37, "✔") + COUNTIF(AE18:AE37, "v") + COUNTIF(AE18:AE37, "V")) / ((COUNTIF(AE18:AE37, "✓") + COUNTIF(AE18:AE37, "✔") + COUNTIF(AE18:AE37, "v") + COUNTIF(AE18:AE37, "V")) + COUNTIF(AE18:AE37, "✗") + COUNTIF(AE18:AE37, "x") + COUNTIF(AE18:AE37, "X")), "")</f>
        <v/>
      </c>
      <c r="AF39" s="134">
        <f>IF(((COUNTIF(AF18:AF37, "✓") + COUNTIF(AF18:AF37, "✔") + COUNTIF(AF18:AF37, "v") + COUNTIF(AF18:AF37, "V")) + COUNTIF(AF18:AF37, "✗") + COUNTIF(AF18:AF37, "x") + COUNTIF(AF18:AF37, "X")) &gt; 0, (COUNTIF(AF18:AF37, "✓") + COUNTIF(AF18:AF37, "✔") + COUNTIF(AF18:AF37, "v") + COUNTIF(AF18:AF37, "V")) / ((COUNTIF(AF18:AF37, "✓") + COUNTIF(AF18:AF37, "✔") + COUNTIF(AF18:AF37, "v") + COUNTIF(AF18:AF37, "V")) + COUNTIF(AF18:AF37, "✗") + COUNTIF(AF18:AF37, "x") + COUNTIF(AF18:AF37, "X")), "")</f>
        <v/>
      </c>
      <c r="AG39" s="134">
        <f>IF(((COUNTIF(AG18:AG37, "✓") + COUNTIF(AG18:AG37, "✔") + COUNTIF(AG18:AG37, "v") + COUNTIF(AG18:AG37, "V")) + COUNTIF(AG18:AG37, "✗") + COUNTIF(AG18:AG37, "x") + COUNTIF(AG18:AG37, "X")) &gt; 0, (COUNTIF(AG18:AG37, "✓") + COUNTIF(AG18:AG37, "✔") + COUNTIF(AG18:AG37, "v") + COUNTIF(AG18:AG37, "V")) / ((COUNTIF(AG18:AG37, "✓") + COUNTIF(AG18:AG37, "✔") + COUNTIF(AG18:AG37, "v") + COUNTIF(AG18:AG37, "V")) + COUNTIF(AG18:AG37, "✗") + COUNTIF(AG18:AG37, "x") + COUNTIF(AG18:AG37, "X")), "")</f>
        <v/>
      </c>
      <c r="AH39" s="134">
        <f>IF(((COUNTIF(AH18:AH37, "✓") + COUNTIF(AH18:AH37, "✔") + COUNTIF(AH18:AH37, "v") + COUNTIF(AH18:AH37, "V")) + COUNTIF(AH18:AH37, "✗") + COUNTIF(AH18:AH37, "x") + COUNTIF(AH18:AH37, "X")) &gt; 0, (COUNTIF(AH18:AH37, "✓") + COUNTIF(AH18:AH37, "✔") + COUNTIF(AH18:AH37, "v") + COUNTIF(AH18:AH37, "V")) / ((COUNTIF(AH18:AH37, "✓") + COUNTIF(AH18:AH37, "✔") + COUNTIF(AH18:AH37, "v") + COUNTIF(AH18:AH37, "V")) + COUNTIF(AH18:AH37, "✗") + COUNTIF(AH18:AH37, "x") + COUNTIF(AH18:AH37, "X")), "")</f>
        <v/>
      </c>
      <c r="AI39" s="134">
        <f>IF(((COUNTIF(AI18:AI37, "✓") + COUNTIF(AI18:AI37, "✔") + COUNTIF(AI18:AI37, "v") + COUNTIF(AI18:AI37, "V")) + COUNTIF(AI18:AI37, "✗") + COUNTIF(AI18:AI37, "x") + COUNTIF(AI18:AI37, "X")) &gt; 0, (COUNTIF(AI18:AI37, "✓") + COUNTIF(AI18:AI37, "✔") + COUNTIF(AI18:AI37, "v") + COUNTIF(AI18:AI37, "V")) / ((COUNTIF(AI18:AI37, "✓") + COUNTIF(AI18:AI37, "✔") + COUNTIF(AI18:AI37, "v") + COUNTIF(AI18:AI37, "V")) + COUNTIF(AI18:AI37, "✗") + COUNTIF(AI18:AI37, "x") + COUNTIF(AI18:AI37, "X")), "")</f>
        <v/>
      </c>
      <c r="AJ39" s="133">
        <f>IF(COUNT(E39:AI39) &gt; 0, AVERAGE(E39:AI39), "")</f>
        <v/>
      </c>
      <c r="AK39" s="54" t="n"/>
      <c r="AL39" s="54" t="n"/>
    </row>
    <row r="40" ht="6" customHeight="1"/>
    <row r="41" ht="15" customHeight="1">
      <c r="A41" s="135" t="inlineStr">
        <is>
          <t>IF SUCCESS &lt; 80%, PUNISHMENT: ________________________________________________</t>
        </is>
      </c>
    </row>
    <row r="42" ht="15" customHeight="1">
      <c r="A42" s="136" t="inlineStr">
        <is>
          <t>IF SUCCESS &gt; 90%, REWARD: __________________________________________________</t>
        </is>
      </c>
    </row>
    <row r="43" ht="10" customHeight="1"/>
    <row r="44" ht="10" customHeight="1"/>
    <row r="45" ht="15" customHeight="1">
      <c r="A45" s="51" t="inlineStr">
        <is>
          <t>Sleep Tracking</t>
        </is>
      </c>
      <c r="B45" s="52" t="n"/>
      <c r="C45" s="52" t="n"/>
      <c r="D45" s="52" t="n"/>
      <c r="E45" s="137" t="n">
        <v>1</v>
      </c>
      <c r="F45" s="137" t="n">
        <v>2</v>
      </c>
      <c r="G45" s="137" t="n">
        <v>3</v>
      </c>
      <c r="H45" s="137" t="n">
        <v>4</v>
      </c>
      <c r="I45" s="138" t="n">
        <v>5</v>
      </c>
      <c r="J45" s="137" t="n">
        <v>6</v>
      </c>
      <c r="K45" s="137" t="n">
        <v>7</v>
      </c>
      <c r="L45" s="137" t="n">
        <v>8</v>
      </c>
      <c r="M45" s="137" t="n">
        <v>9</v>
      </c>
      <c r="N45" s="137" t="n">
        <v>10</v>
      </c>
      <c r="O45" s="137" t="n">
        <v>11</v>
      </c>
      <c r="P45" s="138" t="n">
        <v>12</v>
      </c>
      <c r="Q45" s="137" t="n">
        <v>13</v>
      </c>
      <c r="R45" s="137" t="n">
        <v>14</v>
      </c>
      <c r="S45" s="137" t="n">
        <v>15</v>
      </c>
      <c r="T45" s="137" t="n">
        <v>16</v>
      </c>
      <c r="U45" s="137" t="n">
        <v>17</v>
      </c>
      <c r="V45" s="137" t="n">
        <v>18</v>
      </c>
      <c r="W45" s="138" t="n">
        <v>19</v>
      </c>
      <c r="X45" s="137" t="n">
        <v>20</v>
      </c>
      <c r="Y45" s="137" t="n">
        <v>21</v>
      </c>
      <c r="Z45" s="137" t="n">
        <v>22</v>
      </c>
      <c r="AA45" s="137" t="n">
        <v>23</v>
      </c>
      <c r="AB45" s="137" t="n">
        <v>24</v>
      </c>
      <c r="AC45" s="137" t="n">
        <v>25</v>
      </c>
      <c r="AD45" s="138" t="n">
        <v>26</v>
      </c>
      <c r="AE45" s="137" t="n">
        <v>27</v>
      </c>
      <c r="AF45" s="137" t="n">
        <v>28</v>
      </c>
      <c r="AG45" s="137" t="n">
        <v>29</v>
      </c>
      <c r="AH45" s="137" t="n">
        <v>30</v>
      </c>
      <c r="AI45" s="137" t="n">
        <v>31</v>
      </c>
    </row>
    <row r="46" ht="15" customHeight="1">
      <c r="A46" s="52" t="n"/>
      <c r="B46" s="52" t="n"/>
      <c r="C46" s="52" t="n"/>
      <c r="D46" s="52" t="n"/>
      <c r="E46" s="139" t="inlineStr">
        <is>
          <t>W</t>
        </is>
      </c>
      <c r="F46" s="139" t="inlineStr">
        <is>
          <t>Th</t>
        </is>
      </c>
      <c r="G46" s="139" t="inlineStr">
        <is>
          <t>F</t>
        </is>
      </c>
      <c r="H46" s="139" t="inlineStr">
        <is>
          <t>Sa</t>
        </is>
      </c>
      <c r="I46" s="140" t="inlineStr">
        <is>
          <t>Su</t>
        </is>
      </c>
      <c r="J46" s="139" t="inlineStr">
        <is>
          <t>M</t>
        </is>
      </c>
      <c r="K46" s="139" t="inlineStr">
        <is>
          <t>T</t>
        </is>
      </c>
      <c r="L46" s="139" t="inlineStr">
        <is>
          <t>W</t>
        </is>
      </c>
      <c r="M46" s="139" t="inlineStr">
        <is>
          <t>Th</t>
        </is>
      </c>
      <c r="N46" s="139" t="inlineStr">
        <is>
          <t>F</t>
        </is>
      </c>
      <c r="O46" s="139" t="inlineStr">
        <is>
          <t>Sa</t>
        </is>
      </c>
      <c r="P46" s="140" t="inlineStr">
        <is>
          <t>Su</t>
        </is>
      </c>
      <c r="Q46" s="139" t="inlineStr">
        <is>
          <t>M</t>
        </is>
      </c>
      <c r="R46" s="139" t="inlineStr">
        <is>
          <t>T</t>
        </is>
      </c>
      <c r="S46" s="139" t="inlineStr">
        <is>
          <t>W</t>
        </is>
      </c>
      <c r="T46" s="139" t="inlineStr">
        <is>
          <t>Th</t>
        </is>
      </c>
      <c r="U46" s="139" t="inlineStr">
        <is>
          <t>F</t>
        </is>
      </c>
      <c r="V46" s="139" t="inlineStr">
        <is>
          <t>Sa</t>
        </is>
      </c>
      <c r="W46" s="140" t="inlineStr">
        <is>
          <t>Su</t>
        </is>
      </c>
      <c r="X46" s="139" t="inlineStr">
        <is>
          <t>M</t>
        </is>
      </c>
      <c r="Y46" s="139" t="inlineStr">
        <is>
          <t>T</t>
        </is>
      </c>
      <c r="Z46" s="139" t="inlineStr">
        <is>
          <t>W</t>
        </is>
      </c>
      <c r="AA46" s="139" t="inlineStr">
        <is>
          <t>Th</t>
        </is>
      </c>
      <c r="AB46" s="139" t="inlineStr">
        <is>
          <t>F</t>
        </is>
      </c>
      <c r="AC46" s="139" t="inlineStr">
        <is>
          <t>Sa</t>
        </is>
      </c>
      <c r="AD46" s="140" t="inlineStr">
        <is>
          <t>Su</t>
        </is>
      </c>
      <c r="AE46" s="139" t="inlineStr">
        <is>
          <t>M</t>
        </is>
      </c>
      <c r="AF46" s="139" t="inlineStr">
        <is>
          <t>T</t>
        </is>
      </c>
      <c r="AG46" s="139" t="inlineStr">
        <is>
          <t>W</t>
        </is>
      </c>
      <c r="AH46" s="139" t="inlineStr">
        <is>
          <t>Th</t>
        </is>
      </c>
      <c r="AI46" s="139" t="inlineStr">
        <is>
          <t>F</t>
        </is>
      </c>
    </row>
    <row r="47" ht="20" customHeight="1">
      <c r="A47" s="141" t="inlineStr">
        <is>
          <t>Sleep Hours (1-24)</t>
        </is>
      </c>
      <c r="B47" s="142" t="n"/>
      <c r="C47" s="142" t="n"/>
      <c r="D47" s="142" t="n"/>
      <c r="E47" s="143" t="n"/>
      <c r="F47" s="143" t="n"/>
      <c r="G47" s="143" t="n"/>
      <c r="H47" s="143" t="n"/>
      <c r="I47" s="144" t="n"/>
      <c r="J47" s="143" t="n"/>
      <c r="K47" s="143" t="n"/>
      <c r="L47" s="143" t="n"/>
      <c r="M47" s="143" t="n"/>
      <c r="N47" s="143" t="n"/>
      <c r="O47" s="143" t="n"/>
      <c r="P47" s="144" t="n"/>
      <c r="Q47" s="143" t="n"/>
      <c r="R47" s="143" t="n"/>
      <c r="S47" s="143" t="n"/>
      <c r="T47" s="143" t="n"/>
      <c r="U47" s="143" t="n"/>
      <c r="V47" s="143" t="n"/>
      <c r="W47" s="144" t="n"/>
      <c r="X47" s="143" t="n"/>
      <c r="Y47" s="143" t="n"/>
      <c r="Z47" s="143" t="n"/>
      <c r="AA47" s="143" t="n"/>
      <c r="AB47" s="143" t="n"/>
      <c r="AC47" s="143" t="n"/>
      <c r="AD47" s="144" t="n"/>
      <c r="AE47" s="143" t="n"/>
      <c r="AF47" s="143" t="n"/>
      <c r="AG47" s="143" t="n"/>
      <c r="AH47" s="143" t="n"/>
      <c r="AI47" s="143" t="n"/>
    </row>
    <row r="48" ht="6" customHeight="1"/>
    <row r="49" ht="14" customHeight="1"/>
    <row r="50" ht="14" customHeight="1"/>
    <row r="51" ht="14" customHeight="1"/>
    <row r="52" ht="14" customHeight="1"/>
    <row r="53" ht="14" customHeight="1"/>
    <row r="54" ht="14" customHeight="1"/>
    <row r="55" ht="14" customHeight="1"/>
    <row r="56" ht="14" customHeight="1"/>
    <row r="57" ht="14" customHeight="1"/>
    <row r="58" ht="14" customHeight="1"/>
    <row r="59" ht="14" customHeight="1"/>
    <row r="60" ht="14" customHeight="1"/>
    <row r="61" ht="14" customHeight="1"/>
    <row r="62" ht="14" customHeight="1"/>
    <row r="63" ht="14" customHeight="1"/>
    <row r="64" ht="14" customHeight="1"/>
    <row r="65" ht="14" customHeight="1"/>
    <row r="66" ht="8" customHeight="1"/>
    <row r="67">
      <c r="A67" s="145" t="inlineStr">
        <is>
          <t>MONTHLY SUCCESS RATE</t>
        </is>
      </c>
      <c r="B67" s="9" t="n"/>
      <c r="C67" s="9" t="n"/>
      <c r="D67" s="9" t="n"/>
      <c r="F67" s="146" t="inlineStr">
        <is>
          <t>ACTIVE PROTOCOLS</t>
        </is>
      </c>
      <c r="G67" s="11" t="n"/>
      <c r="H67" s="11" t="n"/>
      <c r="I67" s="11" t="n"/>
      <c r="K67" s="147" t="inlineStr">
        <is>
          <t>PERFECT DAYS (100%)</t>
        </is>
      </c>
      <c r="L67" s="13" t="n"/>
      <c r="M67" s="13" t="n"/>
      <c r="N67" s="13" t="n"/>
      <c r="P67" s="148" t="inlineStr">
        <is>
          <t>AVG SLEEP DURATION</t>
        </is>
      </c>
      <c r="Q67" s="15" t="n"/>
      <c r="R67" s="15" t="n"/>
      <c r="S67" s="15" t="n"/>
    </row>
    <row r="68">
      <c r="A68" s="149">
        <f>IF(SUM(D18:D37)&gt;0, SUM(AM18:AM37)/SUM(D18:D37), 0)</f>
        <v/>
      </c>
      <c r="B68" s="9" t="n"/>
      <c r="C68" s="9" t="n"/>
      <c r="D68" s="9" t="n"/>
      <c r="F68" s="150">
        <f>COUNTA(B18:B37) &amp; " / 20"</f>
        <v/>
      </c>
      <c r="G68" s="11" t="n"/>
      <c r="H68" s="11" t="n"/>
      <c r="I68" s="11" t="n"/>
      <c r="K68" s="151">
        <f>COUNTIF(E39:AI39, 1) &amp; " Days"</f>
        <v/>
      </c>
      <c r="L68" s="13" t="n"/>
      <c r="M68" s="13" t="n"/>
      <c r="N68" s="13" t="n"/>
      <c r="P68" s="152">
        <f>IFERROR(TEXT(AVERAGE(E47:AI47), "0.0") &amp; " hrs", "-")</f>
        <v/>
      </c>
      <c r="Q68" s="15" t="n"/>
      <c r="R68" s="15" t="n"/>
      <c r="S68" s="15" t="n"/>
    </row>
    <row r="69">
      <c r="A69" s="9" t="n"/>
      <c r="B69" s="9" t="n"/>
      <c r="C69" s="9" t="n"/>
      <c r="D69" s="9" t="n"/>
      <c r="F69" s="11" t="n"/>
      <c r="G69" s="11" t="n"/>
      <c r="H69" s="11" t="n"/>
      <c r="I69" s="11" t="n"/>
      <c r="K69" s="13" t="n"/>
      <c r="L69" s="13" t="n"/>
      <c r="M69" s="13" t="n"/>
      <c r="N69" s="13" t="n"/>
      <c r="P69" s="15" t="n"/>
      <c r="Q69" s="15" t="n"/>
      <c r="R69" s="15" t="n"/>
      <c r="S69" s="15" t="n"/>
    </row>
    <row r="70">
      <c r="A70" s="9" t="n"/>
      <c r="B70" s="9" t="n"/>
      <c r="C70" s="9" t="n"/>
      <c r="D70" s="9" t="n"/>
      <c r="F70" s="11" t="n"/>
      <c r="G70" s="11" t="n"/>
      <c r="H70" s="11" t="n"/>
      <c r="I70" s="11" t="n"/>
      <c r="K70" s="13" t="n"/>
      <c r="L70" s="13" t="n"/>
      <c r="M70" s="13" t="n"/>
      <c r="N70" s="13" t="n"/>
      <c r="P70" s="15" t="n"/>
      <c r="Q70" s="15" t="n"/>
      <c r="R70" s="15" t="n"/>
      <c r="S70" s="15" t="n"/>
    </row>
    <row r="71">
      <c r="A71" s="153" t="inlineStr">
        <is>
          <t>Target Completion</t>
        </is>
      </c>
      <c r="B71" s="9" t="n"/>
      <c r="C71" s="9" t="n"/>
      <c r="D71" s="9" t="n"/>
      <c r="F71" s="154" t="inlineStr">
        <is>
          <t>Habits Tracked</t>
        </is>
      </c>
      <c r="G71" s="11" t="n"/>
      <c r="H71" s="11" t="n"/>
      <c r="I71" s="11" t="n"/>
      <c r="K71" s="155" t="inlineStr">
        <is>
          <t>All Marked Habits Completed</t>
        </is>
      </c>
      <c r="L71" s="13" t="n"/>
      <c r="M71" s="13" t="n"/>
      <c r="N71" s="13" t="n"/>
      <c r="P71" s="156" t="inlineStr">
        <is>
          <t>Nightly Rest Average</t>
        </is>
      </c>
      <c r="Q71" s="15" t="n"/>
      <c r="R71" s="15" t="n"/>
      <c r="S71" s="15" t="n"/>
    </row>
    <row r="72" ht="8" customHeight="1"/>
    <row r="73" ht="6" customHeight="1"/>
    <row r="74">
      <c r="A74" s="67" t="inlineStr">
        <is>
          <t>WEEKLY PERFORMANCE (SLUMP DETECTOR)</t>
        </is>
      </c>
      <c r="B74" s="29" t="n"/>
      <c r="C74" s="29" t="n"/>
      <c r="D74" s="29" t="n"/>
      <c r="E74" s="29" t="n"/>
      <c r="N74" s="157" t="inlineStr">
        <is>
          <t>LIFE DOMAIN / CATEGORY BREAKDOWN</t>
        </is>
      </c>
      <c r="O74" s="158" t="n"/>
      <c r="P74" s="158" t="n"/>
      <c r="Q74" s="158" t="n"/>
      <c r="R74" s="158" t="n"/>
      <c r="S74" s="158" t="n"/>
    </row>
    <row r="75" ht="15" customHeight="1">
      <c r="A75" s="53" t="inlineStr">
        <is>
          <t>Week</t>
        </is>
      </c>
      <c r="B75" s="53" t="inlineStr">
        <is>
          <t>Days Range</t>
        </is>
      </c>
      <c r="C75" s="53" t="inlineStr">
        <is>
          <t>Checks Done</t>
        </is>
      </c>
      <c r="D75" s="53" t="inlineStr">
        <is>
          <t>Evaluated</t>
        </is>
      </c>
      <c r="E75" s="53" t="inlineStr">
        <is>
          <t>Success %</t>
        </is>
      </c>
      <c r="N75" s="53" t="inlineStr">
        <is>
          <t>Domain / Category</t>
        </is>
      </c>
      <c r="O75" s="54" t="n"/>
      <c r="P75" s="53" t="inlineStr">
        <is>
          <t>Active Habits</t>
        </is>
      </c>
      <c r="Q75" s="53" t="inlineStr">
        <is>
          <t>Target Days</t>
        </is>
      </c>
      <c r="R75" s="53" t="inlineStr">
        <is>
          <t>Done Checks</t>
        </is>
      </c>
      <c r="S75" s="53" t="inlineStr">
        <is>
          <t>Success %</t>
        </is>
      </c>
    </row>
    <row r="76" ht="14" customHeight="1">
      <c r="A76" s="33" t="inlineStr">
        <is>
          <t>Week 1</t>
        </is>
      </c>
      <c r="B76" s="34" t="inlineStr">
        <is>
          <t>Days 1 - 7</t>
        </is>
      </c>
      <c r="C76" s="34">
        <f>COUNTIF(E18:K37, "✓")</f>
        <v/>
      </c>
      <c r="D76" s="34">
        <f>COUNTIF(E18:K37, "✓") + COUNTIF(E18:K37, "✗")</f>
        <v/>
      </c>
      <c r="E76" s="35">
        <f>IFERROR(C76/D76, 0)</f>
        <v/>
      </c>
      <c r="N76" s="60" t="inlineStr">
        <is>
          <t>Health &amp; Fitness</t>
        </is>
      </c>
      <c r="O76" s="54" t="n"/>
      <c r="P76" s="34">
        <f>COUNTIF($C$18:$C$37, "Health &amp; Fitness")</f>
        <v/>
      </c>
      <c r="Q76" s="34">
        <f>SUMIF($C$18:$C$37, "Health &amp; Fitness", $D$18:$D$37)</f>
        <v/>
      </c>
      <c r="R76" s="34">
        <f>SUMIF($C$18:$C$37, "Health &amp; Fitness", $AM$18:$AM$37)</f>
        <v/>
      </c>
      <c r="S76" s="35">
        <f>IFERROR(R76/Q76, 0)</f>
        <v/>
      </c>
    </row>
    <row r="77" ht="14" customHeight="1">
      <c r="A77" s="33" t="inlineStr">
        <is>
          <t>Week 2</t>
        </is>
      </c>
      <c r="B77" s="34" t="inlineStr">
        <is>
          <t>Days 8 - 14</t>
        </is>
      </c>
      <c r="C77" s="34">
        <f>COUNTIF(L18:R37, "✓")</f>
        <v/>
      </c>
      <c r="D77" s="34">
        <f>COUNTIF(L18:R37, "✓") + COUNTIF(L18:R37, "✗")</f>
        <v/>
      </c>
      <c r="E77" s="35">
        <f>IFERROR(C77/D77, 0)</f>
        <v/>
      </c>
      <c r="N77" s="60" t="inlineStr">
        <is>
          <t>Mindset &amp; Learning</t>
        </is>
      </c>
      <c r="O77" s="54" t="n"/>
      <c r="P77" s="34">
        <f>COUNTIF($C$18:$C$37, "Mindset &amp; Learning")</f>
        <v/>
      </c>
      <c r="Q77" s="34">
        <f>SUMIF($C$18:$C$37, "Mindset &amp; Learning", $D$18:$D$37)</f>
        <v/>
      </c>
      <c r="R77" s="34">
        <f>SUMIF($C$18:$C$37, "Mindset &amp; Learning", $AM$18:$AM$37)</f>
        <v/>
      </c>
      <c r="S77" s="35">
        <f>IFERROR(R77/Q77, 0)</f>
        <v/>
      </c>
    </row>
    <row r="78" ht="14" customHeight="1">
      <c r="A78" s="33" t="inlineStr">
        <is>
          <t>Week 3</t>
        </is>
      </c>
      <c r="B78" s="34" t="inlineStr">
        <is>
          <t>Days 15 - 21</t>
        </is>
      </c>
      <c r="C78" s="34">
        <f>COUNTIF(S18:Y37, "✓")</f>
        <v/>
      </c>
      <c r="D78" s="34">
        <f>COUNTIF(S18:Y37, "✓") + COUNTIF(S18:Y37, "✗")</f>
        <v/>
      </c>
      <c r="E78" s="35">
        <f>IFERROR(C78/D78, 0)</f>
        <v/>
      </c>
      <c r="N78" s="60" t="inlineStr">
        <is>
          <t>Career &amp; Focus</t>
        </is>
      </c>
      <c r="O78" s="54" t="n"/>
      <c r="P78" s="34">
        <f>COUNTIF($C$18:$C$37, "Career &amp; Focus")</f>
        <v/>
      </c>
      <c r="Q78" s="34">
        <f>SUMIF($C$18:$C$37, "Career &amp; Focus", $D$18:$D$37)</f>
        <v/>
      </c>
      <c r="R78" s="34">
        <f>SUMIF($C$18:$C$37, "Career &amp; Focus", $AM$18:$AM$37)</f>
        <v/>
      </c>
      <c r="S78" s="35">
        <f>IFERROR(R78/Q78, 0)</f>
        <v/>
      </c>
    </row>
    <row r="79" ht="14" customHeight="1">
      <c r="A79" s="33" t="inlineStr">
        <is>
          <t>Week 4</t>
        </is>
      </c>
      <c r="B79" s="34" t="inlineStr">
        <is>
          <t>Days 22 - 28</t>
        </is>
      </c>
      <c r="C79" s="34">
        <f>COUNTIF(Z18:AF37, "✓")</f>
        <v/>
      </c>
      <c r="D79" s="34">
        <f>COUNTIF(Z18:AF37, "✓") + COUNTIF(Z18:AF37, "✗")</f>
        <v/>
      </c>
      <c r="E79" s="35">
        <f>IFERROR(C79/D79, 0)</f>
        <v/>
      </c>
      <c r="N79" s="60" t="inlineStr">
        <is>
          <t>Personal &amp; Home</t>
        </is>
      </c>
      <c r="O79" s="54" t="n"/>
      <c r="P79" s="34">
        <f>COUNTIF($C$18:$C$37, "Personal &amp; Home")</f>
        <v/>
      </c>
      <c r="Q79" s="34">
        <f>SUMIF($C$18:$C$37, "Personal &amp; Home", $D$18:$D$37)</f>
        <v/>
      </c>
      <c r="R79" s="34">
        <f>SUMIF($C$18:$C$37, "Personal &amp; Home", $AM$18:$AM$37)</f>
        <v/>
      </c>
      <c r="S79" s="35">
        <f>IFERROR(R79/Q79, 0)</f>
        <v/>
      </c>
    </row>
    <row r="80" ht="14" customHeight="1">
      <c r="A80" s="33" t="inlineStr">
        <is>
          <t>Week 5</t>
        </is>
      </c>
      <c r="B80" s="34" t="inlineStr">
        <is>
          <t>Days 29 - 31</t>
        </is>
      </c>
      <c r="C80" s="34">
        <f>COUNTIF(AG18:AI37, "✓")</f>
        <v/>
      </c>
      <c r="D80" s="34">
        <f>COUNTIF(AG18:AI37, "✓") + COUNTIF(AG18:AI37, "✗")</f>
        <v/>
      </c>
      <c r="E80" s="35">
        <f>IFERROR(C80/D80, 0)</f>
        <v/>
      </c>
      <c r="N80" s="60" t="inlineStr">
        <is>
          <t>Finance &amp; Wealth</t>
        </is>
      </c>
      <c r="O80" s="54" t="n"/>
      <c r="P80" s="34">
        <f>COUNTIF($C$18:$C$37, "Finance &amp; Wealth")</f>
        <v/>
      </c>
      <c r="Q80" s="34">
        <f>SUMIF($C$18:$C$37, "Finance &amp; Wealth", $D$18:$D$37)</f>
        <v/>
      </c>
      <c r="R80" s="34">
        <f>SUMIF($C$18:$C$37, "Finance &amp; Wealth", $AM$18:$AM$37)</f>
        <v/>
      </c>
      <c r="S80" s="35">
        <f>IFERROR(R80/Q80, 0)</f>
        <v/>
      </c>
    </row>
    <row r="81" ht="14" customHeight="1">
      <c r="A81" s="33" t="inlineStr">
        <is>
          <t>Total / Avg</t>
        </is>
      </c>
      <c r="B81" s="159" t="inlineStr">
        <is>
          <t>Month Total</t>
        </is>
      </c>
      <c r="C81" s="33">
        <f>SUM(C76:C80)</f>
        <v/>
      </c>
      <c r="D81" s="33">
        <f>SUM(D76:D80)</f>
        <v/>
      </c>
      <c r="E81" s="133">
        <f>IFERROR(C81/D81, 0)</f>
        <v/>
      </c>
    </row>
    <row r="82" ht="10" customHeight="1"/>
    <row r="83" ht="10" customHeight="1"/>
    <row r="84">
      <c r="A84" s="51" t="inlineStr">
        <is>
          <t>SLEEP &amp; PRODUCTIVITY CORRELATION ANALYSIS</t>
        </is>
      </c>
      <c r="B84" s="52" t="n"/>
      <c r="C84" s="52" t="n"/>
      <c r="D84" s="52" t="n"/>
      <c r="E84" s="52" t="n"/>
      <c r="F84" s="52" t="n"/>
      <c r="G84" s="52" t="n"/>
      <c r="H84" s="52" t="n"/>
      <c r="I84" s="52" t="n"/>
      <c r="J84" s="52" t="n"/>
      <c r="K84" s="52" t="n"/>
      <c r="L84" s="52" t="n"/>
      <c r="M84" s="52" t="n"/>
      <c r="N84" s="52" t="n"/>
      <c r="O84" s="52" t="n"/>
      <c r="P84" s="52" t="n"/>
      <c r="Q84" s="52" t="n"/>
      <c r="R84" s="52" t="n"/>
      <c r="S84" s="52" t="n"/>
      <c r="T84" s="52" t="n"/>
      <c r="U84" s="52" t="n"/>
      <c r="V84" s="52" t="n"/>
      <c r="W84" s="52" t="n"/>
      <c r="X84" s="52" t="n"/>
      <c r="Y84" s="52" t="n"/>
      <c r="Z84" s="52" t="n"/>
      <c r="AA84" s="52" t="n"/>
      <c r="AB84" s="52" t="n"/>
      <c r="AC84" s="52" t="n"/>
      <c r="AD84" s="52" t="n"/>
      <c r="AE84" s="52" t="n"/>
      <c r="AF84" s="52" t="n"/>
      <c r="AG84" s="52" t="n"/>
      <c r="AH84" s="52" t="n"/>
      <c r="AI84" s="52" t="n"/>
      <c r="AJ84" s="52" t="n"/>
      <c r="AK84" s="52" t="n"/>
      <c r="AL84" s="52" t="n"/>
    </row>
    <row r="85" ht="15" customHeight="1">
      <c r="A85" s="53" t="inlineStr">
        <is>
          <t>Rest Category</t>
        </is>
      </c>
      <c r="B85" s="54" t="n"/>
      <c r="C85" s="54" t="n"/>
      <c r="D85" s="53" t="inlineStr">
        <is>
          <t>Day Criteria</t>
        </is>
      </c>
      <c r="E85" s="54" t="n"/>
      <c r="F85" s="54" t="n"/>
      <c r="G85" s="53" t="inlineStr">
        <is>
          <t>Days Logged</t>
        </is>
      </c>
      <c r="H85" s="54" t="n"/>
      <c r="I85" s="54" t="n"/>
      <c r="J85" s="53" t="inlineStr">
        <is>
          <t>Avg Sleep Duration</t>
        </is>
      </c>
      <c r="K85" s="54" t="n"/>
      <c r="L85" s="54" t="n"/>
      <c r="M85" s="54" t="n"/>
      <c r="N85" s="53" t="inlineStr">
        <is>
          <t>Avg Habit Success %</t>
        </is>
      </c>
      <c r="O85" s="54" t="n"/>
      <c r="P85" s="54" t="n"/>
      <c r="Q85" s="54" t="n"/>
      <c r="R85" s="53" t="inlineStr">
        <is>
          <t>Productivity Delta</t>
        </is>
      </c>
      <c r="S85" s="54" t="n"/>
      <c r="T85" s="54" t="n"/>
      <c r="U85" s="54" t="n"/>
    </row>
    <row r="86" ht="15" customHeight="1">
      <c r="A86" s="160" t="inlineStr">
        <is>
          <t>Optimal Rest</t>
        </is>
      </c>
      <c r="B86" s="161" t="n"/>
      <c r="C86" s="56" t="n"/>
      <c r="D86" s="34" t="inlineStr">
        <is>
          <t>&gt;= 7 Hours / Night</t>
        </is>
      </c>
      <c r="E86" s="161" t="n"/>
      <c r="F86" s="56" t="n"/>
      <c r="G86" s="33">
        <f>COUNTIF(E47:AI47, "&gt;=7")</f>
        <v/>
      </c>
      <c r="H86" s="161" t="n"/>
      <c r="I86" s="56" t="n"/>
      <c r="J86" s="34">
        <f>IFERROR(TEXT(AVERAGEIF(E47:AI47, "&gt;=7"), "0.0") &amp; " hrs", "-")</f>
        <v/>
      </c>
      <c r="K86" s="161" t="n"/>
      <c r="L86" s="161" t="n"/>
      <c r="M86" s="56" t="n"/>
      <c r="N86" s="42">
        <f>IFERROR(AVERAGEIFS(E39:AI39, E47:AI47, "&gt;=7", E39:AI39, "&gt;0"), 0)</f>
        <v/>
      </c>
      <c r="O86" s="161" t="n"/>
      <c r="P86" s="161" t="n"/>
      <c r="Q86" s="56" t="n"/>
      <c r="R86" s="159" t="inlineStr">
        <is>
          <t>Baseline (Target)</t>
        </is>
      </c>
      <c r="S86" s="161" t="n"/>
      <c r="T86" s="161" t="n"/>
      <c r="U86" s="56" t="n"/>
    </row>
    <row r="87" ht="15" customHeight="1">
      <c r="A87" s="162" t="inlineStr">
        <is>
          <t>Sleep Deficit</t>
        </is>
      </c>
      <c r="B87" s="161" t="n"/>
      <c r="C87" s="56" t="n"/>
      <c r="D87" s="34" t="inlineStr">
        <is>
          <t>&lt; 7 Hours / Night</t>
        </is>
      </c>
      <c r="E87" s="161" t="n"/>
      <c r="F87" s="56" t="n"/>
      <c r="G87" s="33">
        <f>COUNTIF(E47:AI47, "&lt;7") - COUNTIF(E47:AI47, "")</f>
        <v/>
      </c>
      <c r="H87" s="161" t="n"/>
      <c r="I87" s="56" t="n"/>
      <c r="J87" s="34">
        <f>IFERROR(TEXT(AVERAGEIFS(E47:AI47, E47:AI47, "&lt;7", E47:AI47, "&gt;0"), "0.0") &amp; " hrs", "-")</f>
        <v/>
      </c>
      <c r="K87" s="161" t="n"/>
      <c r="L87" s="161" t="n"/>
      <c r="M87" s="56" t="n"/>
      <c r="N87" s="163">
        <f>IFERROR(AVERAGEIFS(E39:AI39, E47:AI47, "&lt;7", E39:AI39, "&gt;0"), 0)</f>
        <v/>
      </c>
      <c r="O87" s="161" t="n"/>
      <c r="P87" s="161" t="n"/>
      <c r="Q87" s="56" t="n"/>
      <c r="R87" s="160">
        <f>IFERROR(TEXT(N86 - N87, "+0.0%;-0.0%;0.0%") &amp; " Rest Advantage", "-")</f>
        <v/>
      </c>
      <c r="S87" s="161" t="n"/>
      <c r="T87" s="161" t="n"/>
      <c r="U87" s="56" t="n"/>
    </row>
    <row r="88" ht="18" customHeight="1">
      <c r="A88" s="164">
        <f>IF(AND(ISNUMBER(N86), ISNUMBER(N87), N86&gt;0, N87&gt;0), "💡 Sleep Correlation Insight: You complete " &amp; TEXT(ABS(N86-N87), "0.0%") &amp; IF(N86&gt;=N87, " MORE habits on days with 7+ hours of sleep!", " fewer habits on days with 7+ hours of sleep."), "💡 Log both habits and sleep hours daily to unlock automatic AI correlation insights!")</f>
        <v/>
      </c>
      <c r="B88" s="161" t="n"/>
      <c r="C88" s="161" t="n"/>
      <c r="D88" s="161" t="n"/>
      <c r="E88" s="161" t="n"/>
      <c r="F88" s="161" t="n"/>
      <c r="G88" s="161" t="n"/>
      <c r="H88" s="161" t="n"/>
      <c r="I88" s="161" t="n"/>
      <c r="J88" s="161" t="n"/>
      <c r="K88" s="161" t="n"/>
      <c r="L88" s="161" t="n"/>
      <c r="M88" s="161" t="n"/>
      <c r="N88" s="161" t="n"/>
      <c r="O88" s="161" t="n"/>
      <c r="P88" s="161" t="n"/>
      <c r="Q88" s="161" t="n"/>
      <c r="R88" s="161" t="n"/>
      <c r="S88" s="161" t="n"/>
      <c r="T88" s="161" t="n"/>
      <c r="U88" s="161" t="n"/>
      <c r="V88" s="161" t="n"/>
      <c r="W88" s="161" t="n"/>
      <c r="X88" s="161" t="n"/>
      <c r="Y88" s="161" t="n"/>
      <c r="Z88" s="161" t="n"/>
      <c r="AA88" s="161" t="n"/>
      <c r="AB88" s="161" t="n"/>
      <c r="AC88" s="161" t="n"/>
      <c r="AD88" s="161" t="n"/>
      <c r="AE88" s="161" t="n"/>
      <c r="AF88" s="161" t="n"/>
      <c r="AG88" s="161" t="n"/>
      <c r="AH88" s="161" t="n"/>
      <c r="AI88" s="161" t="n"/>
      <c r="AJ88" s="161" t="n"/>
      <c r="AK88" s="161" t="n"/>
      <c r="AL88" s="56" t="n"/>
    </row>
    <row r="89" ht="10" customHeight="1"/>
    <row r="90">
      <c r="A90" s="43" t="inlineStr">
        <is>
          <t>STANDARDIZED DATA BRIDGE (FOR ANNUAL &amp; QUARTERLY REVIEW SHEETS)</t>
        </is>
      </c>
      <c r="B90" s="44" t="n"/>
      <c r="C90" s="44" t="n"/>
      <c r="D90" s="44" t="n"/>
      <c r="E90" s="44" t="n"/>
      <c r="F90" s="44" t="n"/>
      <c r="G90" s="44" t="n"/>
      <c r="H90" s="44" t="n"/>
      <c r="I90" s="44" t="n"/>
      <c r="J90" s="44" t="n"/>
      <c r="K90" s="44" t="n"/>
      <c r="L90" s="44" t="n"/>
      <c r="M90" s="44" t="n"/>
      <c r="N90" s="44" t="n"/>
      <c r="O90" s="44" t="n"/>
      <c r="P90" s="44" t="n"/>
      <c r="Q90" s="44" t="n"/>
      <c r="R90" s="44" t="n"/>
      <c r="S90" s="44" t="n"/>
      <c r="T90" s="44" t="n"/>
      <c r="U90" s="44" t="n"/>
      <c r="V90" s="44" t="n"/>
      <c r="W90" s="44" t="n"/>
      <c r="X90" s="44" t="n"/>
      <c r="Y90" s="44" t="n"/>
      <c r="Z90" s="44" t="n"/>
      <c r="AA90" s="44" t="n"/>
      <c r="AB90" s="44" t="n"/>
      <c r="AC90" s="44" t="n"/>
      <c r="AD90" s="44" t="n"/>
      <c r="AE90" s="44" t="n"/>
      <c r="AF90" s="44" t="n"/>
      <c r="AG90" s="44" t="n"/>
      <c r="AH90" s="44" t="n"/>
      <c r="AI90" s="44" t="n"/>
      <c r="AJ90" s="44" t="n"/>
      <c r="AK90" s="44" t="n"/>
      <c r="AL90" s="44" t="n"/>
    </row>
    <row r="91" ht="15" customHeight="1">
      <c r="A91" s="53" t="inlineStr">
        <is>
          <t>Month</t>
        </is>
      </c>
      <c r="B91" s="54" t="n"/>
      <c r="C91" s="53" t="inlineStr">
        <is>
          <t>Year</t>
        </is>
      </c>
      <c r="D91" s="54" t="n"/>
      <c r="E91" s="53" t="inlineStr">
        <is>
          <t>Active Habits</t>
        </is>
      </c>
      <c r="F91" s="54" t="n"/>
      <c r="G91" s="53" t="inlineStr">
        <is>
          <t>Target Days</t>
        </is>
      </c>
      <c r="H91" s="54" t="n"/>
      <c r="I91" s="53" t="inlineStr">
        <is>
          <t>Done Checks</t>
        </is>
      </c>
      <c r="J91" s="54" t="n"/>
      <c r="K91" s="53" t="inlineStr">
        <is>
          <t>Success %</t>
        </is>
      </c>
      <c r="L91" s="54" t="n"/>
      <c r="M91" s="53" t="inlineStr">
        <is>
          <t>Perfect Days</t>
        </is>
      </c>
      <c r="N91" s="54" t="n"/>
      <c r="O91" s="53" t="inlineStr">
        <is>
          <t>Avg Sleep</t>
        </is>
      </c>
      <c r="P91" s="54" t="n"/>
      <c r="Q91" s="53" t="inlineStr">
        <is>
          <t>Best Week</t>
        </is>
      </c>
      <c r="R91" s="54" t="n"/>
      <c r="S91" s="54" t="n"/>
      <c r="T91" s="53" t="inlineStr">
        <is>
          <t>Top Life Domain</t>
        </is>
      </c>
      <c r="U91" s="54" t="n"/>
      <c r="V91" s="54" t="n"/>
      <c r="W91" s="54" t="n"/>
    </row>
    <row r="92" ht="16" customHeight="1">
      <c r="A92" s="165" t="inlineStr">
        <is>
          <t>Mar</t>
        </is>
      </c>
      <c r="B92" s="56" t="n"/>
      <c r="C92" s="165" t="n">
        <v>2028</v>
      </c>
      <c r="D92" s="56" t="n"/>
      <c r="E92" s="166">
        <f>COUNTA(B18:B37)</f>
        <v/>
      </c>
      <c r="F92" s="56" t="n"/>
      <c r="G92" s="166">
        <f>SUM(D18:D37)</f>
        <v/>
      </c>
      <c r="H92" s="56" t="n"/>
      <c r="I92" s="166">
        <f>SUM(AM18:AM37)</f>
        <v/>
      </c>
      <c r="J92" s="56" t="n"/>
      <c r="K92" s="167">
        <f>IF(G92&gt;0, I92/G92, 0)</f>
        <v/>
      </c>
      <c r="L92" s="56" t="n"/>
      <c r="M92" s="166">
        <f>COUNTIF(E39:AI39, 1)</f>
        <v/>
      </c>
      <c r="N92" s="56" t="n"/>
      <c r="O92" s="168">
        <f>IFERROR(AVERAGE(E47:AI47), 0)</f>
        <v/>
      </c>
      <c r="P92" s="56" t="n"/>
      <c r="Q92" s="166">
        <f>INDEX(A76:A80, MATCH(MAX(E76:E80), E76:E80, 0))</f>
        <v/>
      </c>
      <c r="R92" s="161" t="n"/>
      <c r="S92" s="56" t="n"/>
      <c r="T92" s="166">
        <f>INDEX(N76:N80, MATCH(MAX(S76:S80), S76:S80, 0))</f>
        <v/>
      </c>
      <c r="U92" s="161" t="n"/>
      <c r="V92" s="161" t="n"/>
      <c r="W92" s="56" t="n"/>
    </row>
    <row r="93" ht="14" customHeight="1">
      <c r="A93" s="169" t="inlineStr">
        <is>
          <t>📋 Note: Reference or copy Row 92 directly into an Annual / Quarterly review dashboard to track yearly habit trends.</t>
        </is>
      </c>
    </row>
    <row r="94" ht="8" customHeight="1"/>
    <row r="95">
      <c r="A95" s="170" t="inlineStr">
        <is>
          <t>🏆 MONTHLY WINS &amp; HIGHLIGHTS</t>
        </is>
      </c>
      <c r="J95" s="171" t="inlineStr">
        <is>
          <t>⚠️ FRICTION POINTS &amp; ROOT CAUSES</t>
        </is>
      </c>
      <c r="S95" s="172" t="inlineStr">
        <is>
          <t>🎯 3 KEY ADJUSTMENTS FOR NEXT MONTH</t>
        </is>
      </c>
    </row>
    <row r="96">
      <c r="A96" s="173" t="inlineStr">
        <is>
          <t>1. What went exceptionally well this month?
2. Which habit felt effortless and consistent?
3. Major milestone achieved:</t>
        </is>
      </c>
      <c r="B96" s="174" t="n"/>
      <c r="C96" s="174" t="n"/>
      <c r="D96" s="174" t="n"/>
      <c r="E96" s="174" t="n"/>
      <c r="F96" s="174" t="n"/>
      <c r="G96" s="174" t="n"/>
      <c r="H96" s="174" t="n"/>
      <c r="J96" s="175" t="inlineStr">
        <is>
          <t>1. What caused missed or skipped days?
2. Main triggers / energy drains encountered:
3. Which habit had the lowest consistency and why?</t>
        </is>
      </c>
      <c r="K96" s="176" t="n"/>
      <c r="L96" s="176" t="n"/>
      <c r="M96" s="176" t="n"/>
      <c r="N96" s="176" t="n"/>
      <c r="O96" s="176" t="n"/>
      <c r="P96" s="176" t="n"/>
      <c r="Q96" s="176" t="n"/>
      <c r="S96" s="177" t="inlineStr">
        <is>
          <t>1. Habit Stacking or time adjustment for next month:
2. Environment design change to eliminate friction:
3. One non-negotiable priority protocol:</t>
        </is>
      </c>
      <c r="T96" s="178" t="n"/>
      <c r="U96" s="178" t="n"/>
      <c r="V96" s="178" t="n"/>
      <c r="W96" s="178" t="n"/>
      <c r="X96" s="178" t="n"/>
      <c r="Y96" s="178" t="n"/>
      <c r="Z96" s="178" t="n"/>
    </row>
    <row r="97">
      <c r="A97" s="174" t="n"/>
      <c r="B97" s="174" t="n"/>
      <c r="C97" s="174" t="n"/>
      <c r="D97" s="174" t="n"/>
      <c r="E97" s="174" t="n"/>
      <c r="F97" s="174" t="n"/>
      <c r="G97" s="174" t="n"/>
      <c r="H97" s="174" t="n"/>
      <c r="J97" s="176" t="n"/>
      <c r="K97" s="176" t="n"/>
      <c r="L97" s="176" t="n"/>
      <c r="M97" s="176" t="n"/>
      <c r="N97" s="176" t="n"/>
      <c r="O97" s="176" t="n"/>
      <c r="P97" s="176" t="n"/>
      <c r="Q97" s="176" t="n"/>
      <c r="S97" s="178" t="n"/>
      <c r="T97" s="178" t="n"/>
      <c r="U97" s="178" t="n"/>
      <c r="V97" s="178" t="n"/>
      <c r="W97" s="178" t="n"/>
      <c r="X97" s="178" t="n"/>
      <c r="Y97" s="178" t="n"/>
      <c r="Z97" s="178" t="n"/>
    </row>
    <row r="98">
      <c r="A98" s="174" t="n"/>
      <c r="B98" s="174" t="n"/>
      <c r="C98" s="174" t="n"/>
      <c r="D98" s="174" t="n"/>
      <c r="E98" s="174" t="n"/>
      <c r="F98" s="174" t="n"/>
      <c r="G98" s="174" t="n"/>
      <c r="H98" s="174" t="n"/>
      <c r="J98" s="176" t="n"/>
      <c r="K98" s="176" t="n"/>
      <c r="L98" s="176" t="n"/>
      <c r="M98" s="176" t="n"/>
      <c r="N98" s="176" t="n"/>
      <c r="O98" s="176" t="n"/>
      <c r="P98" s="176" t="n"/>
      <c r="Q98" s="176" t="n"/>
      <c r="S98" s="178" t="n"/>
      <c r="T98" s="178" t="n"/>
      <c r="U98" s="178" t="n"/>
      <c r="V98" s="178" t="n"/>
      <c r="W98" s="178" t="n"/>
      <c r="X98" s="178" t="n"/>
      <c r="Y98" s="178" t="n"/>
      <c r="Z98" s="178" t="n"/>
    </row>
    <row r="99">
      <c r="A99" s="174" t="n"/>
      <c r="B99" s="174" t="n"/>
      <c r="C99" s="174" t="n"/>
      <c r="D99" s="174" t="n"/>
      <c r="E99" s="174" t="n"/>
      <c r="F99" s="174" t="n"/>
      <c r="G99" s="174" t="n"/>
      <c r="H99" s="174" t="n"/>
      <c r="J99" s="176" t="n"/>
      <c r="K99" s="176" t="n"/>
      <c r="L99" s="176" t="n"/>
      <c r="M99" s="176" t="n"/>
      <c r="N99" s="176" t="n"/>
      <c r="O99" s="176" t="n"/>
      <c r="P99" s="176" t="n"/>
      <c r="Q99" s="176" t="n"/>
      <c r="S99" s="178" t="n"/>
      <c r="T99" s="178" t="n"/>
      <c r="U99" s="178" t="n"/>
      <c r="V99" s="178" t="n"/>
      <c r="W99" s="178" t="n"/>
      <c r="X99" s="178" t="n"/>
      <c r="Y99" s="178" t="n"/>
      <c r="Z99" s="178" t="n"/>
    </row>
    <row r="100">
      <c r="A100" s="174" t="n"/>
      <c r="B100" s="174" t="n"/>
      <c r="C100" s="174" t="n"/>
      <c r="D100" s="174" t="n"/>
      <c r="E100" s="174" t="n"/>
      <c r="F100" s="174" t="n"/>
      <c r="G100" s="174" t="n"/>
      <c r="H100" s="174" t="n"/>
      <c r="J100" s="176" t="n"/>
      <c r="K100" s="176" t="n"/>
      <c r="L100" s="176" t="n"/>
      <c r="M100" s="176" t="n"/>
      <c r="N100" s="176" t="n"/>
      <c r="O100" s="176" t="n"/>
      <c r="P100" s="176" t="n"/>
      <c r="Q100" s="176" t="n"/>
      <c r="S100" s="178" t="n"/>
      <c r="T100" s="178" t="n"/>
      <c r="U100" s="178" t="n"/>
      <c r="V100" s="178" t="n"/>
      <c r="W100" s="178" t="n"/>
      <c r="X100" s="178" t="n"/>
      <c r="Y100" s="178" t="n"/>
      <c r="Z100" s="178" t="n"/>
    </row>
    <row r="101">
      <c r="A101" s="174" t="n"/>
      <c r="B101" s="174" t="n"/>
      <c r="C101" s="174" t="n"/>
      <c r="D101" s="174" t="n"/>
      <c r="E101" s="174" t="n"/>
      <c r="F101" s="174" t="n"/>
      <c r="G101" s="174" t="n"/>
      <c r="H101" s="174" t="n"/>
      <c r="J101" s="176" t="n"/>
      <c r="K101" s="176" t="n"/>
      <c r="L101" s="176" t="n"/>
      <c r="M101" s="176" t="n"/>
      <c r="N101" s="176" t="n"/>
      <c r="O101" s="176" t="n"/>
      <c r="P101" s="176" t="n"/>
      <c r="Q101" s="176" t="n"/>
      <c r="S101" s="178" t="n"/>
      <c r="T101" s="178" t="n"/>
      <c r="U101" s="178" t="n"/>
      <c r="V101" s="178" t="n"/>
      <c r="W101" s="178" t="n"/>
      <c r="X101" s="178" t="n"/>
      <c r="Y101" s="178" t="n"/>
      <c r="Z101" s="178" t="n"/>
    </row>
    <row r="102">
      <c r="A102" s="174" t="n"/>
      <c r="B102" s="174" t="n"/>
      <c r="C102" s="174" t="n"/>
      <c r="D102" s="174" t="n"/>
      <c r="E102" s="174" t="n"/>
      <c r="F102" s="174" t="n"/>
      <c r="G102" s="174" t="n"/>
      <c r="H102" s="174" t="n"/>
      <c r="J102" s="176" t="n"/>
      <c r="K102" s="176" t="n"/>
      <c r="L102" s="176" t="n"/>
      <c r="M102" s="176" t="n"/>
      <c r="N102" s="176" t="n"/>
      <c r="O102" s="176" t="n"/>
      <c r="P102" s="176" t="n"/>
      <c r="Q102" s="176" t="n"/>
      <c r="S102" s="178" t="n"/>
      <c r="T102" s="178" t="n"/>
      <c r="U102" s="178" t="n"/>
      <c r="V102" s="178" t="n"/>
      <c r="W102" s="178" t="n"/>
      <c r="X102" s="178" t="n"/>
      <c r="Y102" s="178" t="n"/>
      <c r="Z102" s="178" t="n"/>
    </row>
    <row r="103">
      <c r="A103" s="174" t="n"/>
      <c r="B103" s="174" t="n"/>
      <c r="C103" s="174" t="n"/>
      <c r="D103" s="174" t="n"/>
      <c r="E103" s="174" t="n"/>
      <c r="F103" s="174" t="n"/>
      <c r="G103" s="174" t="n"/>
      <c r="H103" s="174" t="n"/>
      <c r="J103" s="176" t="n"/>
      <c r="K103" s="176" t="n"/>
      <c r="L103" s="176" t="n"/>
      <c r="M103" s="176" t="n"/>
      <c r="N103" s="176" t="n"/>
      <c r="O103" s="176" t="n"/>
      <c r="P103" s="176" t="n"/>
      <c r="Q103" s="176" t="n"/>
      <c r="S103" s="178" t="n"/>
      <c r="T103" s="178" t="n"/>
      <c r="U103" s="178" t="n"/>
      <c r="V103" s="178" t="n"/>
      <c r="W103" s="178" t="n"/>
      <c r="X103" s="178" t="n"/>
      <c r="Y103" s="178" t="n"/>
      <c r="Z103" s="178" t="n"/>
    </row>
  </sheetData>
  <sheetProtection selectLockedCells="1" selectUnlockedCells="1" sheet="1" objects="0" insertRows="1" insertHyperlinks="1" autoFilter="1" scenarios="0" formatColumns="1" deleteColumns="1" insertColumns="1" pivotTables="1" deleteRows="1" formatCells="1" formatRows="1" sort="1"/>
  <mergeCells count="94">
    <mergeCell ref="A9:N9"/>
    <mergeCell ref="N76:O76"/>
    <mergeCell ref="F67:I67"/>
    <mergeCell ref="G87:I87"/>
    <mergeCell ref="A16:A17"/>
    <mergeCell ref="A45:D46"/>
    <mergeCell ref="C16:C17"/>
    <mergeCell ref="N75:O75"/>
    <mergeCell ref="N77:O77"/>
    <mergeCell ref="AE2:AL2"/>
    <mergeCell ref="P9:AL9"/>
    <mergeCell ref="P68:S70"/>
    <mergeCell ref="D16:D17"/>
    <mergeCell ref="N85:Q85"/>
    <mergeCell ref="A95:H95"/>
    <mergeCell ref="A84:AL84"/>
    <mergeCell ref="Q91:S91"/>
    <mergeCell ref="E91:F91"/>
    <mergeCell ref="A8:N8"/>
    <mergeCell ref="A42:AL42"/>
    <mergeCell ref="G91:H91"/>
    <mergeCell ref="J86:M86"/>
    <mergeCell ref="H3:AD3"/>
    <mergeCell ref="K67:N67"/>
    <mergeCell ref="S95:Z95"/>
    <mergeCell ref="N79:O79"/>
    <mergeCell ref="K92:L92"/>
    <mergeCell ref="C92:D92"/>
    <mergeCell ref="M92:N92"/>
    <mergeCell ref="F71:I71"/>
    <mergeCell ref="A88:AL88"/>
    <mergeCell ref="K68:N70"/>
    <mergeCell ref="T91:W91"/>
    <mergeCell ref="A41:AL41"/>
    <mergeCell ref="A90:AL90"/>
    <mergeCell ref="J95:Q95"/>
    <mergeCell ref="D85:F85"/>
    <mergeCell ref="N74:S74"/>
    <mergeCell ref="H2:AD2"/>
    <mergeCell ref="F68:I70"/>
    <mergeCell ref="A91:B91"/>
    <mergeCell ref="N78:O78"/>
    <mergeCell ref="C91:D91"/>
    <mergeCell ref="M91:N91"/>
    <mergeCell ref="O91:P91"/>
    <mergeCell ref="R86:U86"/>
    <mergeCell ref="N80:O80"/>
    <mergeCell ref="B16:B17"/>
    <mergeCell ref="A71:D71"/>
    <mergeCell ref="J85:M85"/>
    <mergeCell ref="D86:F86"/>
    <mergeCell ref="A92:B92"/>
    <mergeCell ref="N87:Q87"/>
    <mergeCell ref="A1:B1"/>
    <mergeCell ref="E92:F92"/>
    <mergeCell ref="AL16:AL17"/>
    <mergeCell ref="A68:D70"/>
    <mergeCell ref="P71:S71"/>
    <mergeCell ref="A86:C86"/>
    <mergeCell ref="D87:F87"/>
    <mergeCell ref="O92:P92"/>
    <mergeCell ref="A6:N6"/>
    <mergeCell ref="A39:D39"/>
    <mergeCell ref="P8:AL8"/>
    <mergeCell ref="P7:AL7"/>
    <mergeCell ref="G86:I86"/>
    <mergeCell ref="A96:H103"/>
    <mergeCell ref="P67:S67"/>
    <mergeCell ref="T92:W92"/>
    <mergeCell ref="R85:U85"/>
    <mergeCell ref="K71:N71"/>
    <mergeCell ref="S96:Z103"/>
    <mergeCell ref="A93:AL93"/>
    <mergeCell ref="A38:D38"/>
    <mergeCell ref="A67:D67"/>
    <mergeCell ref="I91:J91"/>
    <mergeCell ref="A85:C85"/>
    <mergeCell ref="K91:L91"/>
    <mergeCell ref="N86:Q86"/>
    <mergeCell ref="A7:N7"/>
    <mergeCell ref="P6:AL6"/>
    <mergeCell ref="A74:E74"/>
    <mergeCell ref="G85:I85"/>
    <mergeCell ref="G92:H92"/>
    <mergeCell ref="I92:J92"/>
    <mergeCell ref="R87:U87"/>
    <mergeCell ref="AK16:AK17"/>
    <mergeCell ref="J87:M87"/>
    <mergeCell ref="AJ16:AJ17"/>
    <mergeCell ref="J96:Q103"/>
    <mergeCell ref="A12:AL14"/>
    <mergeCell ref="Q92:S92"/>
    <mergeCell ref="A87:C87"/>
    <mergeCell ref="A47:D47"/>
  </mergeCells>
  <conditionalFormatting sqref="AJ18:AJ37">
    <cfRule type="dataBar" priority="1">
      <dataBar>
        <cfvo type="num" val="0"/>
        <cfvo type="num" val="1"/>
        <color rgb="0010B981"/>
      </dataBar>
    </cfRule>
  </conditionalFormatting>
  <conditionalFormatting sqref="E18:AI37">
    <cfRule type="cellIs" priority="2" operator="equal" dxfId="0">
      <formula>"✓"</formula>
    </cfRule>
    <cfRule type="cellIs" priority="3" operator="equal" dxfId="0">
      <formula>"✔"</formula>
    </cfRule>
    <cfRule type="cellIs" priority="4" operator="equal" dxfId="1">
      <formula>"✗"</formula>
    </cfRule>
    <cfRule type="cellIs" priority="5" operator="equal" dxfId="1">
      <formula>"x"</formula>
    </cfRule>
    <cfRule type="cellIs" priority="6" operator="equal" dxfId="1">
      <formula>"X"</formula>
    </cfRule>
  </conditionalFormatting>
  <conditionalFormatting sqref="E16:E17">
    <cfRule type="expression" priority="7" dxfId="2">
      <formula>AND(DAY(TODAY())=1, MONTH(TODAY())=3, YEAR(TODAY())=2028)</formula>
    </cfRule>
  </conditionalFormatting>
  <conditionalFormatting sqref="F16:F17">
    <cfRule type="expression" priority="8" dxfId="2">
      <formula>AND(DAY(TODAY())=2, MONTH(TODAY())=3, YEAR(TODAY())=2028)</formula>
    </cfRule>
  </conditionalFormatting>
  <conditionalFormatting sqref="G16:G17">
    <cfRule type="expression" priority="9" dxfId="2">
      <formula>AND(DAY(TODAY())=3, MONTH(TODAY())=3, YEAR(TODAY())=2028)</formula>
    </cfRule>
  </conditionalFormatting>
  <conditionalFormatting sqref="H16:H17">
    <cfRule type="expression" priority="10" dxfId="2">
      <formula>AND(DAY(TODAY())=4, MONTH(TODAY())=3, YEAR(TODAY())=2028)</formula>
    </cfRule>
  </conditionalFormatting>
  <conditionalFormatting sqref="I16:I17">
    <cfRule type="expression" priority="11" dxfId="2">
      <formula>AND(DAY(TODAY())=5, MONTH(TODAY())=3, YEAR(TODAY())=2028)</formula>
    </cfRule>
  </conditionalFormatting>
  <conditionalFormatting sqref="J16:J17">
    <cfRule type="expression" priority="12" dxfId="2">
      <formula>AND(DAY(TODAY())=6, MONTH(TODAY())=3, YEAR(TODAY())=2028)</formula>
    </cfRule>
  </conditionalFormatting>
  <conditionalFormatting sqref="K16:K17">
    <cfRule type="expression" priority="13" dxfId="2">
      <formula>AND(DAY(TODAY())=7, MONTH(TODAY())=3, YEAR(TODAY())=2028)</formula>
    </cfRule>
  </conditionalFormatting>
  <conditionalFormatting sqref="L16:L17">
    <cfRule type="expression" priority="14" dxfId="2">
      <formula>AND(DAY(TODAY())=8, MONTH(TODAY())=3, YEAR(TODAY())=2028)</formula>
    </cfRule>
  </conditionalFormatting>
  <conditionalFormatting sqref="M16:M17">
    <cfRule type="expression" priority="15" dxfId="2">
      <formula>AND(DAY(TODAY())=9, MONTH(TODAY())=3, YEAR(TODAY())=2028)</formula>
    </cfRule>
  </conditionalFormatting>
  <conditionalFormatting sqref="N16:N17">
    <cfRule type="expression" priority="16" dxfId="2">
      <formula>AND(DAY(TODAY())=10, MONTH(TODAY())=3, YEAR(TODAY())=2028)</formula>
    </cfRule>
  </conditionalFormatting>
  <conditionalFormatting sqref="O16:O17">
    <cfRule type="expression" priority="17" dxfId="2">
      <formula>AND(DAY(TODAY())=11, MONTH(TODAY())=3, YEAR(TODAY())=2028)</formula>
    </cfRule>
  </conditionalFormatting>
  <conditionalFormatting sqref="P16:P17">
    <cfRule type="expression" priority="18" dxfId="2">
      <formula>AND(DAY(TODAY())=12, MONTH(TODAY())=3, YEAR(TODAY())=2028)</formula>
    </cfRule>
  </conditionalFormatting>
  <conditionalFormatting sqref="Q16:Q17">
    <cfRule type="expression" priority="19" dxfId="2">
      <formula>AND(DAY(TODAY())=13, MONTH(TODAY())=3, YEAR(TODAY())=2028)</formula>
    </cfRule>
  </conditionalFormatting>
  <conditionalFormatting sqref="R16:R17">
    <cfRule type="expression" priority="20" dxfId="2">
      <formula>AND(DAY(TODAY())=14, MONTH(TODAY())=3, YEAR(TODAY())=2028)</formula>
    </cfRule>
  </conditionalFormatting>
  <conditionalFormatting sqref="S16:S17">
    <cfRule type="expression" priority="21" dxfId="2">
      <formula>AND(DAY(TODAY())=15, MONTH(TODAY())=3, YEAR(TODAY())=2028)</formula>
    </cfRule>
  </conditionalFormatting>
  <conditionalFormatting sqref="T16:T17">
    <cfRule type="expression" priority="22" dxfId="2">
      <formula>AND(DAY(TODAY())=16, MONTH(TODAY())=3, YEAR(TODAY())=2028)</formula>
    </cfRule>
  </conditionalFormatting>
  <conditionalFormatting sqref="U16:U17">
    <cfRule type="expression" priority="23" dxfId="2">
      <formula>AND(DAY(TODAY())=17, MONTH(TODAY())=3, YEAR(TODAY())=2028)</formula>
    </cfRule>
  </conditionalFormatting>
  <conditionalFormatting sqref="V16:V17">
    <cfRule type="expression" priority="24" dxfId="2">
      <formula>AND(DAY(TODAY())=18, MONTH(TODAY())=3, YEAR(TODAY())=2028)</formula>
    </cfRule>
  </conditionalFormatting>
  <conditionalFormatting sqref="W16:W17">
    <cfRule type="expression" priority="25" dxfId="2">
      <formula>AND(DAY(TODAY())=19, MONTH(TODAY())=3, YEAR(TODAY())=2028)</formula>
    </cfRule>
  </conditionalFormatting>
  <conditionalFormatting sqref="X16:X17">
    <cfRule type="expression" priority="26" dxfId="2">
      <formula>AND(DAY(TODAY())=20, MONTH(TODAY())=3, YEAR(TODAY())=2028)</formula>
    </cfRule>
  </conditionalFormatting>
  <conditionalFormatting sqref="Y16:Y17">
    <cfRule type="expression" priority="27" dxfId="2">
      <formula>AND(DAY(TODAY())=21, MONTH(TODAY())=3, YEAR(TODAY())=2028)</formula>
    </cfRule>
  </conditionalFormatting>
  <conditionalFormatting sqref="Z16:Z17">
    <cfRule type="expression" priority="28" dxfId="2">
      <formula>AND(DAY(TODAY())=22, MONTH(TODAY())=3, YEAR(TODAY())=2028)</formula>
    </cfRule>
  </conditionalFormatting>
  <conditionalFormatting sqref="AA16:AA17">
    <cfRule type="expression" priority="29" dxfId="2">
      <formula>AND(DAY(TODAY())=23, MONTH(TODAY())=3, YEAR(TODAY())=2028)</formula>
    </cfRule>
  </conditionalFormatting>
  <conditionalFormatting sqref="AB16:AB17">
    <cfRule type="expression" priority="30" dxfId="2">
      <formula>AND(DAY(TODAY())=24, MONTH(TODAY())=3, YEAR(TODAY())=2028)</formula>
    </cfRule>
  </conditionalFormatting>
  <conditionalFormatting sqref="AC16:AC17">
    <cfRule type="expression" priority="31" dxfId="2">
      <formula>AND(DAY(TODAY())=25, MONTH(TODAY())=3, YEAR(TODAY())=2028)</formula>
    </cfRule>
  </conditionalFormatting>
  <conditionalFormatting sqref="AD16:AD17">
    <cfRule type="expression" priority="32" dxfId="2">
      <formula>AND(DAY(TODAY())=26, MONTH(TODAY())=3, YEAR(TODAY())=2028)</formula>
    </cfRule>
  </conditionalFormatting>
  <conditionalFormatting sqref="AE16:AE17">
    <cfRule type="expression" priority="33" dxfId="2">
      <formula>AND(DAY(TODAY())=27, MONTH(TODAY())=3, YEAR(TODAY())=2028)</formula>
    </cfRule>
  </conditionalFormatting>
  <conditionalFormatting sqref="AF16:AF17">
    <cfRule type="expression" priority="34" dxfId="2">
      <formula>AND(DAY(TODAY())=28, MONTH(TODAY())=3, YEAR(TODAY())=2028)</formula>
    </cfRule>
  </conditionalFormatting>
  <conditionalFormatting sqref="AG16:AG17">
    <cfRule type="expression" priority="35" dxfId="2">
      <formula>AND(DAY(TODAY())=29, MONTH(TODAY())=3, YEAR(TODAY())=2028)</formula>
    </cfRule>
  </conditionalFormatting>
  <conditionalFormatting sqref="AH16:AH17">
    <cfRule type="expression" priority="36" dxfId="2">
      <formula>AND(DAY(TODAY())=30, MONTH(TODAY())=3, YEAR(TODAY())=2028)</formula>
    </cfRule>
  </conditionalFormatting>
  <conditionalFormatting sqref="AI16:AI17">
    <cfRule type="expression" priority="37" dxfId="2">
      <formula>AND(DAY(TODAY())=31, MONTH(TODAY())=3, YEAR(TODAY())=2028)</formula>
    </cfRule>
  </conditionalFormatting>
  <dataValidations count="4">
    <dataValidation sqref="C18:C37" showDropDown="0" showInputMessage="0" showErrorMessage="0" allowBlank="1" type="list">
      <formula1>"Health &amp; Fitness,Mindset &amp; Learning,Career &amp; Focus,Personal &amp; Home,Finance &amp; Wealth,Other"</formula1>
    </dataValidation>
    <dataValidation sqref="D18:D37" showDropDown="0" showInputMessage="0" showErrorMessage="0" allowBlank="1" type="list">
      <formula1>"1,2,3,4,5,6,7,8,9,10,11,12,13,14,15,16,17,18,19,20,21,22,23,24,25,26,27,28,29,30,31"</formula1>
    </dataValidation>
    <dataValidation sqref="E18:AI37" showDropDown="0" showInputMessage="0" showErrorMessage="0" allowBlank="1" type="list">
      <formula1>"✓,✗"</formula1>
    </dataValidation>
    <dataValidation sqref="E47:AI47" showDropDown="0" showInputMessage="0" showErrorMessage="0" allowBlank="1" type="list">
      <formula1>"1,2,3,4,5,6,7,8,9,10,11,12,13,14,15,16,17,18,19,20,21,22,23,24"</formula1>
    </dataValidation>
  </dataValidations>
  <hyperlinks>
    <hyperlink xmlns:r="http://schemas.openxmlformats.org/officeDocument/2006/relationships" ref="A1" r:id="rId1"/>
    <hyperlink xmlns:r="http://schemas.openxmlformats.org/officeDocument/2006/relationships" ref="C1" r:id="rId2"/>
    <hyperlink xmlns:r="http://schemas.openxmlformats.org/officeDocument/2006/relationships" ref="D1" r:id="rId3"/>
    <hyperlink xmlns:r="http://schemas.openxmlformats.org/officeDocument/2006/relationships" ref="E1" r:id="rId4"/>
    <hyperlink xmlns:r="http://schemas.openxmlformats.org/officeDocument/2006/relationships" ref="F1" r:id="rId5"/>
    <hyperlink xmlns:r="http://schemas.openxmlformats.org/officeDocument/2006/relationships" ref="G1" r:id="rId6"/>
    <hyperlink xmlns:r="http://schemas.openxmlformats.org/officeDocument/2006/relationships" ref="H1" r:id="rId7"/>
    <hyperlink xmlns:r="http://schemas.openxmlformats.org/officeDocument/2006/relationships" ref="I1" r:id="rId8"/>
    <hyperlink xmlns:r="http://schemas.openxmlformats.org/officeDocument/2006/relationships" ref="J1" r:id="rId9"/>
    <hyperlink xmlns:r="http://schemas.openxmlformats.org/officeDocument/2006/relationships" ref="K1" r:id="rId10"/>
  </hyperlinks>
  <printOptions horizontalCentered="1" verticalCentered="0"/>
  <pageMargins left="0.75" right="0.75" top="1" bottom="1" header="0.5" footer="0.5"/>
  <pageSetup orientation="landscape" paperSize="9" fitToHeight="0" fitToWidth="1"/>
  <drawing xmlns:r="http://schemas.openxmlformats.org/officeDocument/2006/relationships" r:id="rId11"/>
</worksheet>
</file>

<file path=xl/worksheets/sheet23.xml><?xml version="1.0" encoding="utf-8"?>
<worksheet xmlns="http://schemas.openxmlformats.org/spreadsheetml/2006/main">
  <sheetPr>
    <outlinePr summaryBelow="1" summaryRight="1"/>
    <pageSetUpPr fitToPage="1"/>
  </sheetPr>
  <dimension ref="A1:AL103"/>
  <sheetViews>
    <sheetView showGridLines="1" workbookViewId="0">
      <selection activeCell="A1" sqref="A1"/>
    </sheetView>
  </sheetViews>
  <sheetFormatPr baseColWidth="8" defaultRowHeight="15"/>
  <cols>
    <col width="6" customWidth="1" min="1" max="1"/>
    <col width="25" customWidth="1" min="2" max="2"/>
    <col width="16.5" customWidth="1" min="3" max="3"/>
    <col width="8" customWidth="1" min="4" max="4"/>
    <col width="4.8" customWidth="1" min="5" max="5"/>
    <col width="4.8" customWidth="1" min="6" max="6"/>
    <col width="4.8" customWidth="1" min="7" max="7"/>
    <col width="4.8" customWidth="1" min="8" max="8"/>
    <col width="4.8" customWidth="1" min="9" max="9"/>
    <col width="4.8" customWidth="1" min="10" max="10"/>
    <col width="4.8" customWidth="1" min="11" max="11"/>
    <col width="4.8" customWidth="1" min="12" max="12"/>
    <col width="4.8" customWidth="1" min="13" max="13"/>
    <col width="4.8" customWidth="1" min="14" max="14"/>
    <col width="4.8" customWidth="1" min="15" max="15"/>
    <col width="4.8" customWidth="1" min="16" max="16"/>
    <col width="4.8" customWidth="1" min="17" max="17"/>
    <col width="4.8" customWidth="1" min="18" max="18"/>
    <col width="4.8" customWidth="1" min="19" max="19"/>
    <col width="4.8" customWidth="1" min="20" max="20"/>
    <col width="4.8" customWidth="1" min="21" max="21"/>
    <col width="4.8" customWidth="1" min="22" max="22"/>
    <col width="4.8" customWidth="1" min="23" max="23"/>
    <col width="4.8" customWidth="1" min="24" max="24"/>
    <col width="4.8" customWidth="1" min="25" max="25"/>
    <col width="4.8" customWidth="1" min="26" max="26"/>
    <col width="4.8" customWidth="1" min="27" max="27"/>
    <col width="4.8" customWidth="1" min="28" max="28"/>
    <col width="4.8" customWidth="1" min="29" max="29"/>
    <col width="4.8" customWidth="1" min="30" max="30"/>
    <col width="4.8" customWidth="1" min="31" max="31"/>
    <col width="4.8" customWidth="1" min="32" max="32"/>
    <col width="4.8" customWidth="1" min="33" max="33"/>
    <col width="4.8" customWidth="1" min="34" max="34"/>
    <col width="11.5" customWidth="1" min="35" max="35"/>
    <col width="12" customWidth="1" min="36" max="36"/>
    <col width="13.5" customWidth="1" min="37" max="37"/>
    <col hidden="1" width="8" customWidth="1" min="38" max="38"/>
  </cols>
  <sheetData>
    <row r="1" ht="18" customHeight="1">
      <c r="A1" s="76" t="inlineStr">
        <is>
          <t>🏠 Master Dashboard</t>
        </is>
      </c>
      <c r="B1" s="40" t="n"/>
      <c r="C1" s="77" t="inlineStr">
        <is>
          <t>🏛️ Quarterly Hub</t>
        </is>
      </c>
      <c r="D1" s="78" t="inlineStr">
        <is>
          <t>📚 Habit Library</t>
        </is>
      </c>
      <c r="E1" s="80" t="inlineStr">
        <is>
          <t>2026</t>
        </is>
      </c>
      <c r="F1" s="80" t="inlineStr">
        <is>
          <t>2027</t>
        </is>
      </c>
      <c r="G1" s="79" t="inlineStr">
        <is>
          <t>2028</t>
        </is>
      </c>
      <c r="H1" s="80" t="inlineStr">
        <is>
          <t>2029</t>
        </is>
      </c>
      <c r="I1" s="80" t="inlineStr">
        <is>
          <t>2030</t>
        </is>
      </c>
      <c r="J1" s="82" t="inlineStr">
        <is>
          <t>◀ Prev</t>
        </is>
      </c>
      <c r="K1" s="82" t="inlineStr">
        <is>
          <t>Next ▶</t>
        </is>
      </c>
    </row>
    <row r="2" ht="24" customHeight="1">
      <c r="A2" s="83" t="inlineStr">
        <is>
          <t>Habit Tracker</t>
        </is>
      </c>
      <c r="H2" s="84" t="inlineStr">
        <is>
          <t>"Success is the sum of small efforts repeated daily."</t>
        </is>
      </c>
      <c r="AD2" s="85" t="inlineStr">
        <is>
          <t>@surajvansh</t>
        </is>
      </c>
    </row>
    <row r="3" ht="18" customHeight="1">
      <c r="A3" s="86" t="inlineStr">
        <is>
          <t>April 2028</t>
        </is>
      </c>
      <c r="H3" s="87" t="inlineStr">
        <is>
          <t>30 Days Dashboard</t>
        </is>
      </c>
    </row>
    <row r="4" ht="5" customHeight="1"/>
    <row r="5" ht="16" customHeight="1">
      <c r="A5" s="88" t="inlineStr">
        <is>
          <t>MONTHLY TARGETS</t>
        </is>
      </c>
    </row>
    <row r="6" ht="13" customHeight="1">
      <c r="A6" s="89" t="inlineStr">
        <is>
          <t>1. ____________________ : ____________________</t>
        </is>
      </c>
      <c r="P6" s="89" t="inlineStr">
        <is>
          <t>5. ____________________ : ____________________</t>
        </is>
      </c>
    </row>
    <row r="7" ht="13" customHeight="1">
      <c r="A7" s="89" t="inlineStr">
        <is>
          <t>2. ____________________ : ____________________</t>
        </is>
      </c>
      <c r="P7" s="89" t="inlineStr">
        <is>
          <t>6. ____________________ : ____________________</t>
        </is>
      </c>
    </row>
    <row r="8" ht="13" customHeight="1">
      <c r="A8" s="89" t="inlineStr">
        <is>
          <t>3. ____________________ : ____________________</t>
        </is>
      </c>
      <c r="P8" s="89" t="inlineStr">
        <is>
          <t>7. ____________________ : ____________________</t>
        </is>
      </c>
    </row>
    <row r="9" ht="13" customHeight="1">
      <c r="A9" s="89" t="inlineStr">
        <is>
          <t>4. ____________________ : ____________________</t>
        </is>
      </c>
      <c r="P9" s="89" t="inlineStr">
        <is>
          <t>8. ____________________ : ____________________</t>
        </is>
      </c>
    </row>
    <row r="10" ht="5" customHeight="1"/>
    <row r="11" ht="15" customHeight="1">
      <c r="A11" s="88" t="inlineStr">
        <is>
          <t>NOTES:</t>
        </is>
      </c>
    </row>
    <row r="12" ht="13" customHeight="1">
      <c r="A12" s="90" t="n"/>
      <c r="B12" s="91" t="n"/>
      <c r="C12" s="91" t="n"/>
      <c r="D12" s="91" t="n"/>
      <c r="E12" s="91" t="n"/>
      <c r="F12" s="91" t="n"/>
      <c r="G12" s="91" t="n"/>
      <c r="H12" s="91" t="n"/>
      <c r="I12" s="91" t="n"/>
      <c r="J12" s="91" t="n"/>
      <c r="K12" s="91" t="n"/>
      <c r="L12" s="91" t="n"/>
      <c r="M12" s="91" t="n"/>
      <c r="N12" s="91" t="n"/>
      <c r="O12" s="91" t="n"/>
      <c r="P12" s="91" t="n"/>
      <c r="Q12" s="91" t="n"/>
      <c r="R12" s="91" t="n"/>
      <c r="S12" s="91" t="n"/>
      <c r="T12" s="91" t="n"/>
      <c r="U12" s="91" t="n"/>
      <c r="V12" s="91" t="n"/>
      <c r="W12" s="91" t="n"/>
      <c r="X12" s="91" t="n"/>
      <c r="Y12" s="91" t="n"/>
      <c r="Z12" s="91" t="n"/>
      <c r="AA12" s="91" t="n"/>
      <c r="AB12" s="91" t="n"/>
      <c r="AC12" s="91" t="n"/>
      <c r="AD12" s="91" t="n"/>
      <c r="AE12" s="91" t="n"/>
      <c r="AF12" s="91" t="n"/>
      <c r="AG12" s="91" t="n"/>
      <c r="AH12" s="91" t="n"/>
      <c r="AI12" s="91" t="n"/>
      <c r="AJ12" s="91" t="n"/>
      <c r="AK12" s="91" t="n"/>
    </row>
    <row r="13" ht="13" customHeight="1">
      <c r="A13" s="91" t="n"/>
      <c r="B13" s="91" t="n"/>
      <c r="C13" s="91" t="n"/>
      <c r="D13" s="91" t="n"/>
      <c r="E13" s="91" t="n"/>
      <c r="F13" s="91" t="n"/>
      <c r="G13" s="91" t="n"/>
      <c r="H13" s="91" t="n"/>
      <c r="I13" s="91" t="n"/>
      <c r="J13" s="91" t="n"/>
      <c r="K13" s="91" t="n"/>
      <c r="L13" s="91" t="n"/>
      <c r="M13" s="91" t="n"/>
      <c r="N13" s="91" t="n"/>
      <c r="O13" s="91" t="n"/>
      <c r="P13" s="91" t="n"/>
      <c r="Q13" s="91" t="n"/>
      <c r="R13" s="91" t="n"/>
      <c r="S13" s="91" t="n"/>
      <c r="T13" s="91" t="n"/>
      <c r="U13" s="91" t="n"/>
      <c r="V13" s="91" t="n"/>
      <c r="W13" s="91" t="n"/>
      <c r="X13" s="91" t="n"/>
      <c r="Y13" s="91" t="n"/>
      <c r="Z13" s="91" t="n"/>
      <c r="AA13" s="91" t="n"/>
      <c r="AB13" s="91" t="n"/>
      <c r="AC13" s="91" t="n"/>
      <c r="AD13" s="91" t="n"/>
      <c r="AE13" s="91" t="n"/>
      <c r="AF13" s="91" t="n"/>
      <c r="AG13" s="91" t="n"/>
      <c r="AH13" s="91" t="n"/>
      <c r="AI13" s="91" t="n"/>
      <c r="AJ13" s="91" t="n"/>
      <c r="AK13" s="91" t="n"/>
    </row>
    <row r="14" ht="13" customHeight="1">
      <c r="A14" s="91" t="n"/>
      <c r="B14" s="91" t="n"/>
      <c r="C14" s="91" t="n"/>
      <c r="D14" s="91" t="n"/>
      <c r="E14" s="91" t="n"/>
      <c r="F14" s="91" t="n"/>
      <c r="G14" s="91" t="n"/>
      <c r="H14" s="91" t="n"/>
      <c r="I14" s="91" t="n"/>
      <c r="J14" s="91" t="n"/>
      <c r="K14" s="91" t="n"/>
      <c r="L14" s="91" t="n"/>
      <c r="M14" s="91" t="n"/>
      <c r="N14" s="91" t="n"/>
      <c r="O14" s="91" t="n"/>
      <c r="P14" s="91" t="n"/>
      <c r="Q14" s="91" t="n"/>
      <c r="R14" s="91" t="n"/>
      <c r="S14" s="91" t="n"/>
      <c r="T14" s="91" t="n"/>
      <c r="U14" s="91" t="n"/>
      <c r="V14" s="91" t="n"/>
      <c r="W14" s="91" t="n"/>
      <c r="X14" s="91" t="n"/>
      <c r="Y14" s="91" t="n"/>
      <c r="Z14" s="91" t="n"/>
      <c r="AA14" s="91" t="n"/>
      <c r="AB14" s="91" t="n"/>
      <c r="AC14" s="91" t="n"/>
      <c r="AD14" s="91" t="n"/>
      <c r="AE14" s="91" t="n"/>
      <c r="AF14" s="91" t="n"/>
      <c r="AG14" s="91" t="n"/>
      <c r="AH14" s="91" t="n"/>
      <c r="AI14" s="91" t="n"/>
      <c r="AJ14" s="91" t="n"/>
      <c r="AK14" s="91" t="n"/>
    </row>
    <row r="15" ht="8" customHeight="1"/>
    <row r="16" ht="15" customHeight="1">
      <c r="A16" s="33" t="inlineStr">
        <is>
          <t>S.No.</t>
        </is>
      </c>
      <c r="B16" s="33" t="inlineStr">
        <is>
          <t>Protocols</t>
        </is>
      </c>
      <c r="C16" s="33" t="inlineStr">
        <is>
          <t>Category</t>
        </is>
      </c>
      <c r="D16" s="33" t="inlineStr">
        <is>
          <t>Target</t>
        </is>
      </c>
      <c r="E16" s="92" t="n">
        <v>1</v>
      </c>
      <c r="F16" s="93" t="n">
        <v>2</v>
      </c>
      <c r="G16" s="92" t="n">
        <v>3</v>
      </c>
      <c r="H16" s="92" t="n">
        <v>4</v>
      </c>
      <c r="I16" s="92" t="n">
        <v>5</v>
      </c>
      <c r="J16" s="92" t="n">
        <v>6</v>
      </c>
      <c r="K16" s="92" t="n">
        <v>7</v>
      </c>
      <c r="L16" s="92" t="n">
        <v>8</v>
      </c>
      <c r="M16" s="93" t="n">
        <v>9</v>
      </c>
      <c r="N16" s="92" t="n">
        <v>10</v>
      </c>
      <c r="O16" s="92" t="n">
        <v>11</v>
      </c>
      <c r="P16" s="92" t="n">
        <v>12</v>
      </c>
      <c r="Q16" s="92" t="n">
        <v>13</v>
      </c>
      <c r="R16" s="92" t="n">
        <v>14</v>
      </c>
      <c r="S16" s="92" t="n">
        <v>15</v>
      </c>
      <c r="T16" s="93" t="n">
        <v>16</v>
      </c>
      <c r="U16" s="92" t="n">
        <v>17</v>
      </c>
      <c r="V16" s="92" t="n">
        <v>18</v>
      </c>
      <c r="W16" s="92" t="n">
        <v>19</v>
      </c>
      <c r="X16" s="92" t="n">
        <v>20</v>
      </c>
      <c r="Y16" s="92" t="n">
        <v>21</v>
      </c>
      <c r="Z16" s="92" t="n">
        <v>22</v>
      </c>
      <c r="AA16" s="93" t="n">
        <v>23</v>
      </c>
      <c r="AB16" s="92" t="n">
        <v>24</v>
      </c>
      <c r="AC16" s="92" t="n">
        <v>25</v>
      </c>
      <c r="AD16" s="92" t="n">
        <v>26</v>
      </c>
      <c r="AE16" s="92" t="n">
        <v>27</v>
      </c>
      <c r="AF16" s="92" t="n">
        <v>28</v>
      </c>
      <c r="AG16" s="92" t="n">
        <v>29</v>
      </c>
      <c r="AH16" s="93" t="n">
        <v>30</v>
      </c>
      <c r="AI16" s="94" t="inlineStr">
        <is>
          <t>Success %</t>
        </is>
      </c>
      <c r="AJ16" s="94" t="inlineStr">
        <is>
          <t>Done / Target</t>
        </is>
      </c>
      <c r="AK16" s="94" t="inlineStr">
        <is>
          <t>Status</t>
        </is>
      </c>
      <c r="AL16" t="inlineStr">
        <is>
          <t>Done Count</t>
        </is>
      </c>
    </row>
    <row r="17" ht="15" customHeight="1">
      <c r="A17" s="54" t="n"/>
      <c r="B17" s="54" t="n"/>
      <c r="C17" s="54" t="n"/>
      <c r="D17" s="54" t="n"/>
      <c r="E17" s="95" t="inlineStr">
        <is>
          <t>Sa</t>
        </is>
      </c>
      <c r="F17" s="96" t="inlineStr">
        <is>
          <t>Su</t>
        </is>
      </c>
      <c r="G17" s="95" t="inlineStr">
        <is>
          <t>M</t>
        </is>
      </c>
      <c r="H17" s="95" t="inlineStr">
        <is>
          <t>T</t>
        </is>
      </c>
      <c r="I17" s="95" t="inlineStr">
        <is>
          <t>W</t>
        </is>
      </c>
      <c r="J17" s="95" t="inlineStr">
        <is>
          <t>Th</t>
        </is>
      </c>
      <c r="K17" s="95" t="inlineStr">
        <is>
          <t>F</t>
        </is>
      </c>
      <c r="L17" s="95" t="inlineStr">
        <is>
          <t>Sa</t>
        </is>
      </c>
      <c r="M17" s="96" t="inlineStr">
        <is>
          <t>Su</t>
        </is>
      </c>
      <c r="N17" s="95" t="inlineStr">
        <is>
          <t>M</t>
        </is>
      </c>
      <c r="O17" s="95" t="inlineStr">
        <is>
          <t>T</t>
        </is>
      </c>
      <c r="P17" s="95" t="inlineStr">
        <is>
          <t>W</t>
        </is>
      </c>
      <c r="Q17" s="95" t="inlineStr">
        <is>
          <t>Th</t>
        </is>
      </c>
      <c r="R17" s="95" t="inlineStr">
        <is>
          <t>F</t>
        </is>
      </c>
      <c r="S17" s="95" t="inlineStr">
        <is>
          <t>Sa</t>
        </is>
      </c>
      <c r="T17" s="96" t="inlineStr">
        <is>
          <t>Su</t>
        </is>
      </c>
      <c r="U17" s="95" t="inlineStr">
        <is>
          <t>M</t>
        </is>
      </c>
      <c r="V17" s="95" t="inlineStr">
        <is>
          <t>T</t>
        </is>
      </c>
      <c r="W17" s="95" t="inlineStr">
        <is>
          <t>W</t>
        </is>
      </c>
      <c r="X17" s="95" t="inlineStr">
        <is>
          <t>Th</t>
        </is>
      </c>
      <c r="Y17" s="95" t="inlineStr">
        <is>
          <t>F</t>
        </is>
      </c>
      <c r="Z17" s="95" t="inlineStr">
        <is>
          <t>Sa</t>
        </is>
      </c>
      <c r="AA17" s="96" t="inlineStr">
        <is>
          <t>Su</t>
        </is>
      </c>
      <c r="AB17" s="95" t="inlineStr">
        <is>
          <t>M</t>
        </is>
      </c>
      <c r="AC17" s="95" t="inlineStr">
        <is>
          <t>T</t>
        </is>
      </c>
      <c r="AD17" s="95" t="inlineStr">
        <is>
          <t>W</t>
        </is>
      </c>
      <c r="AE17" s="95" t="inlineStr">
        <is>
          <t>Th</t>
        </is>
      </c>
      <c r="AF17" s="95" t="inlineStr">
        <is>
          <t>F</t>
        </is>
      </c>
      <c r="AG17" s="95" t="inlineStr">
        <is>
          <t>Sa</t>
        </is>
      </c>
      <c r="AH17" s="96" t="inlineStr">
        <is>
          <t>Su</t>
        </is>
      </c>
      <c r="AI17" s="54" t="n"/>
      <c r="AJ17" s="54" t="n"/>
      <c r="AK17" s="54" t="n"/>
    </row>
    <row r="18" ht="14.5" customHeight="1">
      <c r="A18" s="97" t="n">
        <v>1</v>
      </c>
      <c r="B18" s="98" t="n"/>
      <c r="C18" s="99" t="n"/>
      <c r="D18" s="99" t="n"/>
      <c r="E18" s="100" t="n"/>
      <c r="F18" s="101" t="n"/>
      <c r="G18" s="100" t="n"/>
      <c r="H18" s="100" t="n"/>
      <c r="I18" s="100" t="n"/>
      <c r="J18" s="100" t="n"/>
      <c r="K18" s="100" t="n"/>
      <c r="L18" s="100" t="n"/>
      <c r="M18" s="101" t="n"/>
      <c r="N18" s="100" t="n"/>
      <c r="O18" s="100" t="n"/>
      <c r="P18" s="100" t="n"/>
      <c r="Q18" s="100" t="n"/>
      <c r="R18" s="100" t="n"/>
      <c r="S18" s="100" t="n"/>
      <c r="T18" s="101" t="n"/>
      <c r="U18" s="100" t="n"/>
      <c r="V18" s="100" t="n"/>
      <c r="W18" s="100" t="n"/>
      <c r="X18" s="100" t="n"/>
      <c r="Y18" s="100" t="n"/>
      <c r="Z18" s="100" t="n"/>
      <c r="AA18" s="101" t="n"/>
      <c r="AB18" s="100" t="n"/>
      <c r="AC18" s="100" t="n"/>
      <c r="AD18" s="100" t="n"/>
      <c r="AE18" s="100" t="n"/>
      <c r="AF18" s="100" t="n"/>
      <c r="AG18" s="100" t="n"/>
      <c r="AH18" s="101" t="n"/>
      <c r="AI18" s="102">
        <f>IF(ISBLANK(B18), "", IF(ISNUMBER(D18), IF(D18&gt;0, (COUNTIF(E18:AH18, "✓") + COUNTIF(E18:AH18, "✔") + COUNTIF(E18:AH18, "v") + COUNTIF(E18:AH18, "V"))/D18, 0), IF(((COUNTIF(E18:AH18, "✓") + COUNTIF(E18:AH18, "✔") + COUNTIF(E18:AH18, "v") + COUNTIF(E18:AH18, "V")) + COUNTIF(E18:AH18, "✗") + COUNTIF(E18:AH18, "x") + COUNTIF(E18:AH18, "X"))&gt;0, (COUNTIF(E18:AH18, "✓") + COUNTIF(E18:AH18, "✔") + COUNTIF(E18:AH18, "v") + COUNTIF(E18:AH18, "V"))/((COUNTIF(E18:AH18, "✓") + COUNTIF(E18:AH18, "✔") + COUNTIF(E18:AH18, "v") + COUNTIF(E18:AH18, "V")) + COUNTIF(E18:AH18, "✗") + COUNTIF(E18:AH18, "x") + COUNTIF(E18:AH18, "X")), "")))</f>
        <v/>
      </c>
      <c r="AJ18" s="103">
        <f>IF(ISBLANK(B18), "", IF(ISNUMBER(D18), IF(D18&gt;0, (COUNTIF(E18:AH18, "✓") + COUNTIF(E18:AH18, "✔") + COUNTIF(E18:AH18, "v") + COUNTIF(E18:AH18, "V")) &amp; "/" &amp; D18, (COUNTIF(E18:AH18, "✓") + COUNTIF(E18:AH18, "✔") + COUNTIF(E18:AH18, "v") + COUNTIF(E18:AH18, "V")) &amp; "/0"), IF(((COUNTIF(E18:AH18, "✓") + COUNTIF(E18:AH18, "✔") + COUNTIF(E18:AH18, "v") + COUNTIF(E18:AH18, "V")) + COUNTIF(E18:AH18, "✗") + COUNTIF(E18:AH18, "x") + COUNTIF(E18:AH18, "X"))&gt;0, (COUNTIF(E18:AH18, "✓") + COUNTIF(E18:AH18, "✔") + COUNTIF(E18:AH18, "v") + COUNTIF(E18:AH18, "V")) &amp; "/" &amp; ((COUNTIF(E18:AH18, "✓") + COUNTIF(E18:AH18, "✔") + COUNTIF(E18:AH18, "v") + COUNTIF(E18:AH18, "V")) + COUNTIF(E18:AH18, "✗") + COUNTIF(E18:AH18, "x") + COUNTIF(E18:AH18, "X")), "")))</f>
        <v/>
      </c>
      <c r="AK18" s="103">
        <f>IF(ISBLANK(B18), "", IF(AI18&gt;=0.85, "🔥 Mastered", IF(AI18&gt;=0.7, "⚡ Consistent", "⚠️ Needs Focus")))</f>
        <v/>
      </c>
      <c r="AL18">
        <f>COUNTIF(E18:AH18, "✓")</f>
        <v/>
      </c>
    </row>
    <row r="19" ht="14.5" customHeight="1">
      <c r="A19" s="97" t="n">
        <v>2</v>
      </c>
      <c r="B19" s="98" t="n"/>
      <c r="C19" s="99" t="n"/>
      <c r="D19" s="99" t="n"/>
      <c r="E19" s="100" t="n"/>
      <c r="F19" s="101" t="n"/>
      <c r="G19" s="100" t="n"/>
      <c r="H19" s="100" t="n"/>
      <c r="I19" s="100" t="n"/>
      <c r="J19" s="100" t="n"/>
      <c r="K19" s="100" t="n"/>
      <c r="L19" s="100" t="n"/>
      <c r="M19" s="101" t="n"/>
      <c r="N19" s="100" t="n"/>
      <c r="O19" s="100" t="n"/>
      <c r="P19" s="100" t="n"/>
      <c r="Q19" s="100" t="n"/>
      <c r="R19" s="100" t="n"/>
      <c r="S19" s="100" t="n"/>
      <c r="T19" s="101" t="n"/>
      <c r="U19" s="100" t="n"/>
      <c r="V19" s="100" t="n"/>
      <c r="W19" s="100" t="n"/>
      <c r="X19" s="100" t="n"/>
      <c r="Y19" s="100" t="n"/>
      <c r="Z19" s="100" t="n"/>
      <c r="AA19" s="101" t="n"/>
      <c r="AB19" s="100" t="n"/>
      <c r="AC19" s="100" t="n"/>
      <c r="AD19" s="100" t="n"/>
      <c r="AE19" s="100" t="n"/>
      <c r="AF19" s="100" t="n"/>
      <c r="AG19" s="100" t="n"/>
      <c r="AH19" s="101" t="n"/>
      <c r="AI19" s="102">
        <f>IF(ISBLANK(B19), "", IF(ISNUMBER(D19), IF(D19&gt;0, (COUNTIF(E19:AH19, "✓") + COUNTIF(E19:AH19, "✔") + COUNTIF(E19:AH19, "v") + COUNTIF(E19:AH19, "V"))/D19, 0), IF(((COUNTIF(E19:AH19, "✓") + COUNTIF(E19:AH19, "✔") + COUNTIF(E19:AH19, "v") + COUNTIF(E19:AH19, "V")) + COUNTIF(E19:AH19, "✗") + COUNTIF(E19:AH19, "x") + COUNTIF(E19:AH19, "X"))&gt;0, (COUNTIF(E19:AH19, "✓") + COUNTIF(E19:AH19, "✔") + COUNTIF(E19:AH19, "v") + COUNTIF(E19:AH19, "V"))/((COUNTIF(E19:AH19, "✓") + COUNTIF(E19:AH19, "✔") + COUNTIF(E19:AH19, "v") + COUNTIF(E19:AH19, "V")) + COUNTIF(E19:AH19, "✗") + COUNTIF(E19:AH19, "x") + COUNTIF(E19:AH19, "X")), "")))</f>
        <v/>
      </c>
      <c r="AJ19" s="103">
        <f>IF(ISBLANK(B19), "", IF(ISNUMBER(D19), IF(D19&gt;0, (COUNTIF(E19:AH19, "✓") + COUNTIF(E19:AH19, "✔") + COUNTIF(E19:AH19, "v") + COUNTIF(E19:AH19, "V")) &amp; "/" &amp; D19, (COUNTIF(E19:AH19, "✓") + COUNTIF(E19:AH19, "✔") + COUNTIF(E19:AH19, "v") + COUNTIF(E19:AH19, "V")) &amp; "/0"), IF(((COUNTIF(E19:AH19, "✓") + COUNTIF(E19:AH19, "✔") + COUNTIF(E19:AH19, "v") + COUNTIF(E19:AH19, "V")) + COUNTIF(E19:AH19, "✗") + COUNTIF(E19:AH19, "x") + COUNTIF(E19:AH19, "X"))&gt;0, (COUNTIF(E19:AH19, "✓") + COUNTIF(E19:AH19, "✔") + COUNTIF(E19:AH19, "v") + COUNTIF(E19:AH19, "V")) &amp; "/" &amp; ((COUNTIF(E19:AH19, "✓") + COUNTIF(E19:AH19, "✔") + COUNTIF(E19:AH19, "v") + COUNTIF(E19:AH19, "V")) + COUNTIF(E19:AH19, "✗") + COUNTIF(E19:AH19, "x") + COUNTIF(E19:AH19, "X")), "")))</f>
        <v/>
      </c>
      <c r="AK19" s="103">
        <f>IF(ISBLANK(B19), "", IF(AI19&gt;=0.85, "🔥 Mastered", IF(AI19&gt;=0.7, "⚡ Consistent", "⚠️ Needs Focus")))</f>
        <v/>
      </c>
      <c r="AL19">
        <f>COUNTIF(E19:AH19, "✓")</f>
        <v/>
      </c>
    </row>
    <row r="20" ht="14.5" customHeight="1">
      <c r="A20" s="97" t="n">
        <v>3</v>
      </c>
      <c r="B20" s="98" t="n"/>
      <c r="C20" s="99" t="n"/>
      <c r="D20" s="99" t="n"/>
      <c r="E20" s="100" t="n"/>
      <c r="F20" s="101" t="n"/>
      <c r="G20" s="100" t="n"/>
      <c r="H20" s="100" t="n"/>
      <c r="I20" s="100" t="n"/>
      <c r="J20" s="100" t="n"/>
      <c r="K20" s="100" t="n"/>
      <c r="L20" s="100" t="n"/>
      <c r="M20" s="101" t="n"/>
      <c r="N20" s="100" t="n"/>
      <c r="O20" s="100" t="n"/>
      <c r="P20" s="100" t="n"/>
      <c r="Q20" s="100" t="n"/>
      <c r="R20" s="100" t="n"/>
      <c r="S20" s="100" t="n"/>
      <c r="T20" s="101" t="n"/>
      <c r="U20" s="100" t="n"/>
      <c r="V20" s="100" t="n"/>
      <c r="W20" s="100" t="n"/>
      <c r="X20" s="100" t="n"/>
      <c r="Y20" s="100" t="n"/>
      <c r="Z20" s="100" t="n"/>
      <c r="AA20" s="101" t="n"/>
      <c r="AB20" s="100" t="n"/>
      <c r="AC20" s="100" t="n"/>
      <c r="AD20" s="100" t="n"/>
      <c r="AE20" s="100" t="n"/>
      <c r="AF20" s="100" t="n"/>
      <c r="AG20" s="100" t="n"/>
      <c r="AH20" s="101" t="n"/>
      <c r="AI20" s="102">
        <f>IF(ISBLANK(B20), "", IF(ISNUMBER(D20), IF(D20&gt;0, (COUNTIF(E20:AH20, "✓") + COUNTIF(E20:AH20, "✔") + COUNTIF(E20:AH20, "v") + COUNTIF(E20:AH20, "V"))/D20, 0), IF(((COUNTIF(E20:AH20, "✓") + COUNTIF(E20:AH20, "✔") + COUNTIF(E20:AH20, "v") + COUNTIF(E20:AH20, "V")) + COUNTIF(E20:AH20, "✗") + COUNTIF(E20:AH20, "x") + COUNTIF(E20:AH20, "X"))&gt;0, (COUNTIF(E20:AH20, "✓") + COUNTIF(E20:AH20, "✔") + COUNTIF(E20:AH20, "v") + COUNTIF(E20:AH20, "V"))/((COUNTIF(E20:AH20, "✓") + COUNTIF(E20:AH20, "✔") + COUNTIF(E20:AH20, "v") + COUNTIF(E20:AH20, "V")) + COUNTIF(E20:AH20, "✗") + COUNTIF(E20:AH20, "x") + COUNTIF(E20:AH20, "X")), "")))</f>
        <v/>
      </c>
      <c r="AJ20" s="103">
        <f>IF(ISBLANK(B20), "", IF(ISNUMBER(D20), IF(D20&gt;0, (COUNTIF(E20:AH20, "✓") + COUNTIF(E20:AH20, "✔") + COUNTIF(E20:AH20, "v") + COUNTIF(E20:AH20, "V")) &amp; "/" &amp; D20, (COUNTIF(E20:AH20, "✓") + COUNTIF(E20:AH20, "✔") + COUNTIF(E20:AH20, "v") + COUNTIF(E20:AH20, "V")) &amp; "/0"), IF(((COUNTIF(E20:AH20, "✓") + COUNTIF(E20:AH20, "✔") + COUNTIF(E20:AH20, "v") + COUNTIF(E20:AH20, "V")) + COUNTIF(E20:AH20, "✗") + COUNTIF(E20:AH20, "x") + COUNTIF(E20:AH20, "X"))&gt;0, (COUNTIF(E20:AH20, "✓") + COUNTIF(E20:AH20, "✔") + COUNTIF(E20:AH20, "v") + COUNTIF(E20:AH20, "V")) &amp; "/" &amp; ((COUNTIF(E20:AH20, "✓") + COUNTIF(E20:AH20, "✔") + COUNTIF(E20:AH20, "v") + COUNTIF(E20:AH20, "V")) + COUNTIF(E20:AH20, "✗") + COUNTIF(E20:AH20, "x") + COUNTIF(E20:AH20, "X")), "")))</f>
        <v/>
      </c>
      <c r="AK20" s="103">
        <f>IF(ISBLANK(B20), "", IF(AI20&gt;=0.85, "🔥 Mastered", IF(AI20&gt;=0.7, "⚡ Consistent", "⚠️ Needs Focus")))</f>
        <v/>
      </c>
      <c r="AL20">
        <f>COUNTIF(E20:AH20, "✓")</f>
        <v/>
      </c>
    </row>
    <row r="21" ht="14.5" customHeight="1">
      <c r="A21" s="97" t="n">
        <v>4</v>
      </c>
      <c r="B21" s="98" t="n"/>
      <c r="C21" s="99" t="n"/>
      <c r="D21" s="99" t="n"/>
      <c r="E21" s="100" t="n"/>
      <c r="F21" s="101" t="n"/>
      <c r="G21" s="100" t="n"/>
      <c r="H21" s="100" t="n"/>
      <c r="I21" s="100" t="n"/>
      <c r="J21" s="100" t="n"/>
      <c r="K21" s="100" t="n"/>
      <c r="L21" s="100" t="n"/>
      <c r="M21" s="101" t="n"/>
      <c r="N21" s="100" t="n"/>
      <c r="O21" s="100" t="n"/>
      <c r="P21" s="100" t="n"/>
      <c r="Q21" s="100" t="n"/>
      <c r="R21" s="100" t="n"/>
      <c r="S21" s="100" t="n"/>
      <c r="T21" s="101" t="n"/>
      <c r="U21" s="100" t="n"/>
      <c r="V21" s="100" t="n"/>
      <c r="W21" s="100" t="n"/>
      <c r="X21" s="100" t="n"/>
      <c r="Y21" s="100" t="n"/>
      <c r="Z21" s="100" t="n"/>
      <c r="AA21" s="101" t="n"/>
      <c r="AB21" s="100" t="n"/>
      <c r="AC21" s="100" t="n"/>
      <c r="AD21" s="100" t="n"/>
      <c r="AE21" s="100" t="n"/>
      <c r="AF21" s="100" t="n"/>
      <c r="AG21" s="100" t="n"/>
      <c r="AH21" s="101" t="n"/>
      <c r="AI21" s="102">
        <f>IF(ISBLANK(B21), "", IF(ISNUMBER(D21), IF(D21&gt;0, (COUNTIF(E21:AH21, "✓") + COUNTIF(E21:AH21, "✔") + COUNTIF(E21:AH21, "v") + COUNTIF(E21:AH21, "V"))/D21, 0), IF(((COUNTIF(E21:AH21, "✓") + COUNTIF(E21:AH21, "✔") + COUNTIF(E21:AH21, "v") + COUNTIF(E21:AH21, "V")) + COUNTIF(E21:AH21, "✗") + COUNTIF(E21:AH21, "x") + COUNTIF(E21:AH21, "X"))&gt;0, (COUNTIF(E21:AH21, "✓") + COUNTIF(E21:AH21, "✔") + COUNTIF(E21:AH21, "v") + COUNTIF(E21:AH21, "V"))/((COUNTIF(E21:AH21, "✓") + COUNTIF(E21:AH21, "✔") + COUNTIF(E21:AH21, "v") + COUNTIF(E21:AH21, "V")) + COUNTIF(E21:AH21, "✗") + COUNTIF(E21:AH21, "x") + COUNTIF(E21:AH21, "X")), "")))</f>
        <v/>
      </c>
      <c r="AJ21" s="103">
        <f>IF(ISBLANK(B21), "", IF(ISNUMBER(D21), IF(D21&gt;0, (COUNTIF(E21:AH21, "✓") + COUNTIF(E21:AH21, "✔") + COUNTIF(E21:AH21, "v") + COUNTIF(E21:AH21, "V")) &amp; "/" &amp; D21, (COUNTIF(E21:AH21, "✓") + COUNTIF(E21:AH21, "✔") + COUNTIF(E21:AH21, "v") + COUNTIF(E21:AH21, "V")) &amp; "/0"), IF(((COUNTIF(E21:AH21, "✓") + COUNTIF(E21:AH21, "✔") + COUNTIF(E21:AH21, "v") + COUNTIF(E21:AH21, "V")) + COUNTIF(E21:AH21, "✗") + COUNTIF(E21:AH21, "x") + COUNTIF(E21:AH21, "X"))&gt;0, (COUNTIF(E21:AH21, "✓") + COUNTIF(E21:AH21, "✔") + COUNTIF(E21:AH21, "v") + COUNTIF(E21:AH21, "V")) &amp; "/" &amp; ((COUNTIF(E21:AH21, "✓") + COUNTIF(E21:AH21, "✔") + COUNTIF(E21:AH21, "v") + COUNTIF(E21:AH21, "V")) + COUNTIF(E21:AH21, "✗") + COUNTIF(E21:AH21, "x") + COUNTIF(E21:AH21, "X")), "")))</f>
        <v/>
      </c>
      <c r="AK21" s="103">
        <f>IF(ISBLANK(B21), "", IF(AI21&gt;=0.85, "🔥 Mastered", IF(AI21&gt;=0.7, "⚡ Consistent", "⚠️ Needs Focus")))</f>
        <v/>
      </c>
      <c r="AL21">
        <f>COUNTIF(E21:AH21, "✓")</f>
        <v/>
      </c>
    </row>
    <row r="22" ht="14.5" customHeight="1">
      <c r="A22" s="104" t="n">
        <v>5</v>
      </c>
      <c r="B22" s="105" t="n"/>
      <c r="C22" s="106" t="n"/>
      <c r="D22" s="106" t="n"/>
      <c r="E22" s="107" t="n"/>
      <c r="F22" s="108" t="n"/>
      <c r="G22" s="107" t="n"/>
      <c r="H22" s="107" t="n"/>
      <c r="I22" s="107" t="n"/>
      <c r="J22" s="107" t="n"/>
      <c r="K22" s="107" t="n"/>
      <c r="L22" s="107" t="n"/>
      <c r="M22" s="108" t="n"/>
      <c r="N22" s="107" t="n"/>
      <c r="O22" s="107" t="n"/>
      <c r="P22" s="107" t="n"/>
      <c r="Q22" s="107" t="n"/>
      <c r="R22" s="107" t="n"/>
      <c r="S22" s="107" t="n"/>
      <c r="T22" s="108" t="n"/>
      <c r="U22" s="107" t="n"/>
      <c r="V22" s="107" t="n"/>
      <c r="W22" s="107" t="n"/>
      <c r="X22" s="107" t="n"/>
      <c r="Y22" s="107" t="n"/>
      <c r="Z22" s="107" t="n"/>
      <c r="AA22" s="108" t="n"/>
      <c r="AB22" s="107" t="n"/>
      <c r="AC22" s="107" t="n"/>
      <c r="AD22" s="107" t="n"/>
      <c r="AE22" s="107" t="n"/>
      <c r="AF22" s="107" t="n"/>
      <c r="AG22" s="107" t="n"/>
      <c r="AH22" s="108" t="n"/>
      <c r="AI22" s="109">
        <f>IF(ISBLANK(B22), "", IF(ISNUMBER(D22), IF(D22&gt;0, (COUNTIF(E22:AH22, "✓") + COUNTIF(E22:AH22, "✔") + COUNTIF(E22:AH22, "v") + COUNTIF(E22:AH22, "V"))/D22, 0), IF(((COUNTIF(E22:AH22, "✓") + COUNTIF(E22:AH22, "✔") + COUNTIF(E22:AH22, "v") + COUNTIF(E22:AH22, "V")) + COUNTIF(E22:AH22, "✗") + COUNTIF(E22:AH22, "x") + COUNTIF(E22:AH22, "X"))&gt;0, (COUNTIF(E22:AH22, "✓") + COUNTIF(E22:AH22, "✔") + COUNTIF(E22:AH22, "v") + COUNTIF(E22:AH22, "V"))/((COUNTIF(E22:AH22, "✓") + COUNTIF(E22:AH22, "✔") + COUNTIF(E22:AH22, "v") + COUNTIF(E22:AH22, "V")) + COUNTIF(E22:AH22, "✗") + COUNTIF(E22:AH22, "x") + COUNTIF(E22:AH22, "X")), "")))</f>
        <v/>
      </c>
      <c r="AJ22" s="110">
        <f>IF(ISBLANK(B22), "", IF(ISNUMBER(D22), IF(D22&gt;0, (COUNTIF(E22:AH22, "✓") + COUNTIF(E22:AH22, "✔") + COUNTIF(E22:AH22, "v") + COUNTIF(E22:AH22, "V")) &amp; "/" &amp; D22, (COUNTIF(E22:AH22, "✓") + COUNTIF(E22:AH22, "✔") + COUNTIF(E22:AH22, "v") + COUNTIF(E22:AH22, "V")) &amp; "/0"), IF(((COUNTIF(E22:AH22, "✓") + COUNTIF(E22:AH22, "✔") + COUNTIF(E22:AH22, "v") + COUNTIF(E22:AH22, "V")) + COUNTIF(E22:AH22, "✗") + COUNTIF(E22:AH22, "x") + COUNTIF(E22:AH22, "X"))&gt;0, (COUNTIF(E22:AH22, "✓") + COUNTIF(E22:AH22, "✔") + COUNTIF(E22:AH22, "v") + COUNTIF(E22:AH22, "V")) &amp; "/" &amp; ((COUNTIF(E22:AH22, "✓") + COUNTIF(E22:AH22, "✔") + COUNTIF(E22:AH22, "v") + COUNTIF(E22:AH22, "V")) + COUNTIF(E22:AH22, "✗") + COUNTIF(E22:AH22, "x") + COUNTIF(E22:AH22, "X")), "")))</f>
        <v/>
      </c>
      <c r="AK22" s="110">
        <f>IF(ISBLANK(B22), "", IF(AI22&gt;=0.85, "🔥 Mastered", IF(AI22&gt;=0.7, "⚡ Consistent", "⚠️ Needs Focus")))</f>
        <v/>
      </c>
      <c r="AL22">
        <f>COUNTIF(E22:AH22, "✓")</f>
        <v/>
      </c>
    </row>
    <row r="23" ht="14.5" customHeight="1">
      <c r="A23" s="104" t="n">
        <v>6</v>
      </c>
      <c r="B23" s="105" t="n"/>
      <c r="C23" s="106" t="n"/>
      <c r="D23" s="106" t="n"/>
      <c r="E23" s="107" t="n"/>
      <c r="F23" s="108" t="n"/>
      <c r="G23" s="107" t="n"/>
      <c r="H23" s="107" t="n"/>
      <c r="I23" s="107" t="n"/>
      <c r="J23" s="107" t="n"/>
      <c r="K23" s="107" t="n"/>
      <c r="L23" s="107" t="n"/>
      <c r="M23" s="108" t="n"/>
      <c r="N23" s="107" t="n"/>
      <c r="O23" s="107" t="n"/>
      <c r="P23" s="107" t="n"/>
      <c r="Q23" s="107" t="n"/>
      <c r="R23" s="107" t="n"/>
      <c r="S23" s="107" t="n"/>
      <c r="T23" s="108" t="n"/>
      <c r="U23" s="107" t="n"/>
      <c r="V23" s="107" t="n"/>
      <c r="W23" s="107" t="n"/>
      <c r="X23" s="107" t="n"/>
      <c r="Y23" s="107" t="n"/>
      <c r="Z23" s="107" t="n"/>
      <c r="AA23" s="108" t="n"/>
      <c r="AB23" s="107" t="n"/>
      <c r="AC23" s="107" t="n"/>
      <c r="AD23" s="107" t="n"/>
      <c r="AE23" s="107" t="n"/>
      <c r="AF23" s="107" t="n"/>
      <c r="AG23" s="107" t="n"/>
      <c r="AH23" s="108" t="n"/>
      <c r="AI23" s="109">
        <f>IF(ISBLANK(B23), "", IF(ISNUMBER(D23), IF(D23&gt;0, (COUNTIF(E23:AH23, "✓") + COUNTIF(E23:AH23, "✔") + COUNTIF(E23:AH23, "v") + COUNTIF(E23:AH23, "V"))/D23, 0), IF(((COUNTIF(E23:AH23, "✓") + COUNTIF(E23:AH23, "✔") + COUNTIF(E23:AH23, "v") + COUNTIF(E23:AH23, "V")) + COUNTIF(E23:AH23, "✗") + COUNTIF(E23:AH23, "x") + COUNTIF(E23:AH23, "X"))&gt;0, (COUNTIF(E23:AH23, "✓") + COUNTIF(E23:AH23, "✔") + COUNTIF(E23:AH23, "v") + COUNTIF(E23:AH23, "V"))/((COUNTIF(E23:AH23, "✓") + COUNTIF(E23:AH23, "✔") + COUNTIF(E23:AH23, "v") + COUNTIF(E23:AH23, "V")) + COUNTIF(E23:AH23, "✗") + COUNTIF(E23:AH23, "x") + COUNTIF(E23:AH23, "X")), "")))</f>
        <v/>
      </c>
      <c r="AJ23" s="110">
        <f>IF(ISBLANK(B23), "", IF(ISNUMBER(D23), IF(D23&gt;0, (COUNTIF(E23:AH23, "✓") + COUNTIF(E23:AH23, "✔") + COUNTIF(E23:AH23, "v") + COUNTIF(E23:AH23, "V")) &amp; "/" &amp; D23, (COUNTIF(E23:AH23, "✓") + COUNTIF(E23:AH23, "✔") + COUNTIF(E23:AH23, "v") + COUNTIF(E23:AH23, "V")) &amp; "/0"), IF(((COUNTIF(E23:AH23, "✓") + COUNTIF(E23:AH23, "✔") + COUNTIF(E23:AH23, "v") + COUNTIF(E23:AH23, "V")) + COUNTIF(E23:AH23, "✗") + COUNTIF(E23:AH23, "x") + COUNTIF(E23:AH23, "X"))&gt;0, (COUNTIF(E23:AH23, "✓") + COUNTIF(E23:AH23, "✔") + COUNTIF(E23:AH23, "v") + COUNTIF(E23:AH23, "V")) &amp; "/" &amp; ((COUNTIF(E23:AH23, "✓") + COUNTIF(E23:AH23, "✔") + COUNTIF(E23:AH23, "v") + COUNTIF(E23:AH23, "V")) + COUNTIF(E23:AH23, "✗") + COUNTIF(E23:AH23, "x") + COUNTIF(E23:AH23, "X")), "")))</f>
        <v/>
      </c>
      <c r="AK23" s="110">
        <f>IF(ISBLANK(B23), "", IF(AI23&gt;=0.85, "🔥 Mastered", IF(AI23&gt;=0.7, "⚡ Consistent", "⚠️ Needs Focus")))</f>
        <v/>
      </c>
      <c r="AL23">
        <f>COUNTIF(E23:AH23, "✓")</f>
        <v/>
      </c>
    </row>
    <row r="24" ht="14.5" customHeight="1">
      <c r="A24" s="104" t="n">
        <v>7</v>
      </c>
      <c r="B24" s="105" t="n"/>
      <c r="C24" s="106" t="n"/>
      <c r="D24" s="106" t="n"/>
      <c r="E24" s="107" t="n"/>
      <c r="F24" s="108" t="n"/>
      <c r="G24" s="107" t="n"/>
      <c r="H24" s="107" t="n"/>
      <c r="I24" s="107" t="n"/>
      <c r="J24" s="107" t="n"/>
      <c r="K24" s="107" t="n"/>
      <c r="L24" s="107" t="n"/>
      <c r="M24" s="108" t="n"/>
      <c r="N24" s="107" t="n"/>
      <c r="O24" s="107" t="n"/>
      <c r="P24" s="107" t="n"/>
      <c r="Q24" s="107" t="n"/>
      <c r="R24" s="107" t="n"/>
      <c r="S24" s="107" t="n"/>
      <c r="T24" s="108" t="n"/>
      <c r="U24" s="107" t="n"/>
      <c r="V24" s="107" t="n"/>
      <c r="W24" s="107" t="n"/>
      <c r="X24" s="107" t="n"/>
      <c r="Y24" s="107" t="n"/>
      <c r="Z24" s="107" t="n"/>
      <c r="AA24" s="108" t="n"/>
      <c r="AB24" s="107" t="n"/>
      <c r="AC24" s="107" t="n"/>
      <c r="AD24" s="107" t="n"/>
      <c r="AE24" s="107" t="n"/>
      <c r="AF24" s="107" t="n"/>
      <c r="AG24" s="107" t="n"/>
      <c r="AH24" s="108" t="n"/>
      <c r="AI24" s="109">
        <f>IF(ISBLANK(B24), "", IF(ISNUMBER(D24), IF(D24&gt;0, (COUNTIF(E24:AH24, "✓") + COUNTIF(E24:AH24, "✔") + COUNTIF(E24:AH24, "v") + COUNTIF(E24:AH24, "V"))/D24, 0), IF(((COUNTIF(E24:AH24, "✓") + COUNTIF(E24:AH24, "✔") + COUNTIF(E24:AH24, "v") + COUNTIF(E24:AH24, "V")) + COUNTIF(E24:AH24, "✗") + COUNTIF(E24:AH24, "x") + COUNTIF(E24:AH24, "X"))&gt;0, (COUNTIF(E24:AH24, "✓") + COUNTIF(E24:AH24, "✔") + COUNTIF(E24:AH24, "v") + COUNTIF(E24:AH24, "V"))/((COUNTIF(E24:AH24, "✓") + COUNTIF(E24:AH24, "✔") + COUNTIF(E24:AH24, "v") + COUNTIF(E24:AH24, "V")) + COUNTIF(E24:AH24, "✗") + COUNTIF(E24:AH24, "x") + COUNTIF(E24:AH24, "X")), "")))</f>
        <v/>
      </c>
      <c r="AJ24" s="110">
        <f>IF(ISBLANK(B24), "", IF(ISNUMBER(D24), IF(D24&gt;0, (COUNTIF(E24:AH24, "✓") + COUNTIF(E24:AH24, "✔") + COUNTIF(E24:AH24, "v") + COUNTIF(E24:AH24, "V")) &amp; "/" &amp; D24, (COUNTIF(E24:AH24, "✓") + COUNTIF(E24:AH24, "✔") + COUNTIF(E24:AH24, "v") + COUNTIF(E24:AH24, "V")) &amp; "/0"), IF(((COUNTIF(E24:AH24, "✓") + COUNTIF(E24:AH24, "✔") + COUNTIF(E24:AH24, "v") + COUNTIF(E24:AH24, "V")) + COUNTIF(E24:AH24, "✗") + COUNTIF(E24:AH24, "x") + COUNTIF(E24:AH24, "X"))&gt;0, (COUNTIF(E24:AH24, "✓") + COUNTIF(E24:AH24, "✔") + COUNTIF(E24:AH24, "v") + COUNTIF(E24:AH24, "V")) &amp; "/" &amp; ((COUNTIF(E24:AH24, "✓") + COUNTIF(E24:AH24, "✔") + COUNTIF(E24:AH24, "v") + COUNTIF(E24:AH24, "V")) + COUNTIF(E24:AH24, "✗") + COUNTIF(E24:AH24, "x") + COUNTIF(E24:AH24, "X")), "")))</f>
        <v/>
      </c>
      <c r="AK24" s="110">
        <f>IF(ISBLANK(B24), "", IF(AI24&gt;=0.85, "🔥 Mastered", IF(AI24&gt;=0.7, "⚡ Consistent", "⚠️ Needs Focus")))</f>
        <v/>
      </c>
      <c r="AL24">
        <f>COUNTIF(E24:AH24, "✓")</f>
        <v/>
      </c>
    </row>
    <row r="25" ht="14.5" customHeight="1">
      <c r="A25" s="104" t="n">
        <v>8</v>
      </c>
      <c r="B25" s="105" t="n"/>
      <c r="C25" s="106" t="n"/>
      <c r="D25" s="106" t="n"/>
      <c r="E25" s="107" t="n"/>
      <c r="F25" s="108" t="n"/>
      <c r="G25" s="107" t="n"/>
      <c r="H25" s="107" t="n"/>
      <c r="I25" s="107" t="n"/>
      <c r="J25" s="107" t="n"/>
      <c r="K25" s="107" t="n"/>
      <c r="L25" s="107" t="n"/>
      <c r="M25" s="108" t="n"/>
      <c r="N25" s="107" t="n"/>
      <c r="O25" s="107" t="n"/>
      <c r="P25" s="107" t="n"/>
      <c r="Q25" s="107" t="n"/>
      <c r="R25" s="107" t="n"/>
      <c r="S25" s="107" t="n"/>
      <c r="T25" s="108" t="n"/>
      <c r="U25" s="107" t="n"/>
      <c r="V25" s="107" t="n"/>
      <c r="W25" s="107" t="n"/>
      <c r="X25" s="107" t="n"/>
      <c r="Y25" s="107" t="n"/>
      <c r="Z25" s="107" t="n"/>
      <c r="AA25" s="108" t="n"/>
      <c r="AB25" s="107" t="n"/>
      <c r="AC25" s="107" t="n"/>
      <c r="AD25" s="107" t="n"/>
      <c r="AE25" s="107" t="n"/>
      <c r="AF25" s="107" t="n"/>
      <c r="AG25" s="107" t="n"/>
      <c r="AH25" s="108" t="n"/>
      <c r="AI25" s="109">
        <f>IF(ISBLANK(B25), "", IF(ISNUMBER(D25), IF(D25&gt;0, (COUNTIF(E25:AH25, "✓") + COUNTIF(E25:AH25, "✔") + COUNTIF(E25:AH25, "v") + COUNTIF(E25:AH25, "V"))/D25, 0), IF(((COUNTIF(E25:AH25, "✓") + COUNTIF(E25:AH25, "✔") + COUNTIF(E25:AH25, "v") + COUNTIF(E25:AH25, "V")) + COUNTIF(E25:AH25, "✗") + COUNTIF(E25:AH25, "x") + COUNTIF(E25:AH25, "X"))&gt;0, (COUNTIF(E25:AH25, "✓") + COUNTIF(E25:AH25, "✔") + COUNTIF(E25:AH25, "v") + COUNTIF(E25:AH25, "V"))/((COUNTIF(E25:AH25, "✓") + COUNTIF(E25:AH25, "✔") + COUNTIF(E25:AH25, "v") + COUNTIF(E25:AH25, "V")) + COUNTIF(E25:AH25, "✗") + COUNTIF(E25:AH25, "x") + COUNTIF(E25:AH25, "X")), "")))</f>
        <v/>
      </c>
      <c r="AJ25" s="110">
        <f>IF(ISBLANK(B25), "", IF(ISNUMBER(D25), IF(D25&gt;0, (COUNTIF(E25:AH25, "✓") + COUNTIF(E25:AH25, "✔") + COUNTIF(E25:AH25, "v") + COUNTIF(E25:AH25, "V")) &amp; "/" &amp; D25, (COUNTIF(E25:AH25, "✓") + COUNTIF(E25:AH25, "✔") + COUNTIF(E25:AH25, "v") + COUNTIF(E25:AH25, "V")) &amp; "/0"), IF(((COUNTIF(E25:AH25, "✓") + COUNTIF(E25:AH25, "✔") + COUNTIF(E25:AH25, "v") + COUNTIF(E25:AH25, "V")) + COUNTIF(E25:AH25, "✗") + COUNTIF(E25:AH25, "x") + COUNTIF(E25:AH25, "X"))&gt;0, (COUNTIF(E25:AH25, "✓") + COUNTIF(E25:AH25, "✔") + COUNTIF(E25:AH25, "v") + COUNTIF(E25:AH25, "V")) &amp; "/" &amp; ((COUNTIF(E25:AH25, "✓") + COUNTIF(E25:AH25, "✔") + COUNTIF(E25:AH25, "v") + COUNTIF(E25:AH25, "V")) + COUNTIF(E25:AH25, "✗") + COUNTIF(E25:AH25, "x") + COUNTIF(E25:AH25, "X")), "")))</f>
        <v/>
      </c>
      <c r="AK25" s="110">
        <f>IF(ISBLANK(B25), "", IF(AI25&gt;=0.85, "🔥 Mastered", IF(AI25&gt;=0.7, "⚡ Consistent", "⚠️ Needs Focus")))</f>
        <v/>
      </c>
      <c r="AL25">
        <f>COUNTIF(E25:AH25, "✓")</f>
        <v/>
      </c>
    </row>
    <row r="26" ht="14.5" customHeight="1">
      <c r="A26" s="111" t="n">
        <v>9</v>
      </c>
      <c r="B26" s="112" t="n"/>
      <c r="C26" s="113" t="n"/>
      <c r="D26" s="113" t="n"/>
      <c r="E26" s="114" t="n"/>
      <c r="F26" s="115" t="n"/>
      <c r="G26" s="114" t="n"/>
      <c r="H26" s="114" t="n"/>
      <c r="I26" s="114" t="n"/>
      <c r="J26" s="114" t="n"/>
      <c r="K26" s="114" t="n"/>
      <c r="L26" s="114" t="n"/>
      <c r="M26" s="115" t="n"/>
      <c r="N26" s="114" t="n"/>
      <c r="O26" s="114" t="n"/>
      <c r="P26" s="114" t="n"/>
      <c r="Q26" s="114" t="n"/>
      <c r="R26" s="114" t="n"/>
      <c r="S26" s="114" t="n"/>
      <c r="T26" s="115" t="n"/>
      <c r="U26" s="114" t="n"/>
      <c r="V26" s="114" t="n"/>
      <c r="W26" s="114" t="n"/>
      <c r="X26" s="114" t="n"/>
      <c r="Y26" s="114" t="n"/>
      <c r="Z26" s="114" t="n"/>
      <c r="AA26" s="115" t="n"/>
      <c r="AB26" s="114" t="n"/>
      <c r="AC26" s="114" t="n"/>
      <c r="AD26" s="114" t="n"/>
      <c r="AE26" s="114" t="n"/>
      <c r="AF26" s="114" t="n"/>
      <c r="AG26" s="114" t="n"/>
      <c r="AH26" s="115" t="n"/>
      <c r="AI26" s="116">
        <f>IF(ISBLANK(B26), "", IF(ISNUMBER(D26), IF(D26&gt;0, (COUNTIF(E26:AH26, "✓") + COUNTIF(E26:AH26, "✔") + COUNTIF(E26:AH26, "v") + COUNTIF(E26:AH26, "V"))/D26, 0), IF(((COUNTIF(E26:AH26, "✓") + COUNTIF(E26:AH26, "✔") + COUNTIF(E26:AH26, "v") + COUNTIF(E26:AH26, "V")) + COUNTIF(E26:AH26, "✗") + COUNTIF(E26:AH26, "x") + COUNTIF(E26:AH26, "X"))&gt;0, (COUNTIF(E26:AH26, "✓") + COUNTIF(E26:AH26, "✔") + COUNTIF(E26:AH26, "v") + COUNTIF(E26:AH26, "V"))/((COUNTIF(E26:AH26, "✓") + COUNTIF(E26:AH26, "✔") + COUNTIF(E26:AH26, "v") + COUNTIF(E26:AH26, "V")) + COUNTIF(E26:AH26, "✗") + COUNTIF(E26:AH26, "x") + COUNTIF(E26:AH26, "X")), "")))</f>
        <v/>
      </c>
      <c r="AJ26" s="117">
        <f>IF(ISBLANK(B26), "", IF(ISNUMBER(D26), IF(D26&gt;0, (COUNTIF(E26:AH26, "✓") + COUNTIF(E26:AH26, "✔") + COUNTIF(E26:AH26, "v") + COUNTIF(E26:AH26, "V")) &amp; "/" &amp; D26, (COUNTIF(E26:AH26, "✓") + COUNTIF(E26:AH26, "✔") + COUNTIF(E26:AH26, "v") + COUNTIF(E26:AH26, "V")) &amp; "/0"), IF(((COUNTIF(E26:AH26, "✓") + COUNTIF(E26:AH26, "✔") + COUNTIF(E26:AH26, "v") + COUNTIF(E26:AH26, "V")) + COUNTIF(E26:AH26, "✗") + COUNTIF(E26:AH26, "x") + COUNTIF(E26:AH26, "X"))&gt;0, (COUNTIF(E26:AH26, "✓") + COUNTIF(E26:AH26, "✔") + COUNTIF(E26:AH26, "v") + COUNTIF(E26:AH26, "V")) &amp; "/" &amp; ((COUNTIF(E26:AH26, "✓") + COUNTIF(E26:AH26, "✔") + COUNTIF(E26:AH26, "v") + COUNTIF(E26:AH26, "V")) + COUNTIF(E26:AH26, "✗") + COUNTIF(E26:AH26, "x") + COUNTIF(E26:AH26, "X")), "")))</f>
        <v/>
      </c>
      <c r="AK26" s="117">
        <f>IF(ISBLANK(B26), "", IF(AI26&gt;=0.85, "🔥 Mastered", IF(AI26&gt;=0.7, "⚡ Consistent", "⚠️ Needs Focus")))</f>
        <v/>
      </c>
      <c r="AL26">
        <f>COUNTIF(E26:AH26, "✓")</f>
        <v/>
      </c>
    </row>
    <row r="27" ht="14.5" customHeight="1">
      <c r="A27" s="111" t="n">
        <v>10</v>
      </c>
      <c r="B27" s="112" t="n"/>
      <c r="C27" s="113" t="n"/>
      <c r="D27" s="113" t="n"/>
      <c r="E27" s="114" t="n"/>
      <c r="F27" s="115" t="n"/>
      <c r="G27" s="114" t="n"/>
      <c r="H27" s="114" t="n"/>
      <c r="I27" s="114" t="n"/>
      <c r="J27" s="114" t="n"/>
      <c r="K27" s="114" t="n"/>
      <c r="L27" s="114" t="n"/>
      <c r="M27" s="115" t="n"/>
      <c r="N27" s="114" t="n"/>
      <c r="O27" s="114" t="n"/>
      <c r="P27" s="114" t="n"/>
      <c r="Q27" s="114" t="n"/>
      <c r="R27" s="114" t="n"/>
      <c r="S27" s="114" t="n"/>
      <c r="T27" s="115" t="n"/>
      <c r="U27" s="114" t="n"/>
      <c r="V27" s="114" t="n"/>
      <c r="W27" s="114" t="n"/>
      <c r="X27" s="114" t="n"/>
      <c r="Y27" s="114" t="n"/>
      <c r="Z27" s="114" t="n"/>
      <c r="AA27" s="115" t="n"/>
      <c r="AB27" s="114" t="n"/>
      <c r="AC27" s="114" t="n"/>
      <c r="AD27" s="114" t="n"/>
      <c r="AE27" s="114" t="n"/>
      <c r="AF27" s="114" t="n"/>
      <c r="AG27" s="114" t="n"/>
      <c r="AH27" s="115" t="n"/>
      <c r="AI27" s="116">
        <f>IF(ISBLANK(B27), "", IF(ISNUMBER(D27), IF(D27&gt;0, (COUNTIF(E27:AH27, "✓") + COUNTIF(E27:AH27, "✔") + COUNTIF(E27:AH27, "v") + COUNTIF(E27:AH27, "V"))/D27, 0), IF(((COUNTIF(E27:AH27, "✓") + COUNTIF(E27:AH27, "✔") + COUNTIF(E27:AH27, "v") + COUNTIF(E27:AH27, "V")) + COUNTIF(E27:AH27, "✗") + COUNTIF(E27:AH27, "x") + COUNTIF(E27:AH27, "X"))&gt;0, (COUNTIF(E27:AH27, "✓") + COUNTIF(E27:AH27, "✔") + COUNTIF(E27:AH27, "v") + COUNTIF(E27:AH27, "V"))/((COUNTIF(E27:AH27, "✓") + COUNTIF(E27:AH27, "✔") + COUNTIF(E27:AH27, "v") + COUNTIF(E27:AH27, "V")) + COUNTIF(E27:AH27, "✗") + COUNTIF(E27:AH27, "x") + COUNTIF(E27:AH27, "X")), "")))</f>
        <v/>
      </c>
      <c r="AJ27" s="117">
        <f>IF(ISBLANK(B27), "", IF(ISNUMBER(D27), IF(D27&gt;0, (COUNTIF(E27:AH27, "✓") + COUNTIF(E27:AH27, "✔") + COUNTIF(E27:AH27, "v") + COUNTIF(E27:AH27, "V")) &amp; "/" &amp; D27, (COUNTIF(E27:AH27, "✓") + COUNTIF(E27:AH27, "✔") + COUNTIF(E27:AH27, "v") + COUNTIF(E27:AH27, "V")) &amp; "/0"), IF(((COUNTIF(E27:AH27, "✓") + COUNTIF(E27:AH27, "✔") + COUNTIF(E27:AH27, "v") + COUNTIF(E27:AH27, "V")) + COUNTIF(E27:AH27, "✗") + COUNTIF(E27:AH27, "x") + COUNTIF(E27:AH27, "X"))&gt;0, (COUNTIF(E27:AH27, "✓") + COUNTIF(E27:AH27, "✔") + COUNTIF(E27:AH27, "v") + COUNTIF(E27:AH27, "V")) &amp; "/" &amp; ((COUNTIF(E27:AH27, "✓") + COUNTIF(E27:AH27, "✔") + COUNTIF(E27:AH27, "v") + COUNTIF(E27:AH27, "V")) + COUNTIF(E27:AH27, "✗") + COUNTIF(E27:AH27, "x") + COUNTIF(E27:AH27, "X")), "")))</f>
        <v/>
      </c>
      <c r="AK27" s="117">
        <f>IF(ISBLANK(B27), "", IF(AI27&gt;=0.85, "🔥 Mastered", IF(AI27&gt;=0.7, "⚡ Consistent", "⚠️ Needs Focus")))</f>
        <v/>
      </c>
      <c r="AL27">
        <f>COUNTIF(E27:AH27, "✓")</f>
        <v/>
      </c>
    </row>
    <row r="28" ht="14.5" customHeight="1">
      <c r="A28" s="111" t="n">
        <v>11</v>
      </c>
      <c r="B28" s="112" t="n"/>
      <c r="C28" s="113" t="n"/>
      <c r="D28" s="113" t="n"/>
      <c r="E28" s="114" t="n"/>
      <c r="F28" s="115" t="n"/>
      <c r="G28" s="114" t="n"/>
      <c r="H28" s="114" t="n"/>
      <c r="I28" s="114" t="n"/>
      <c r="J28" s="114" t="n"/>
      <c r="K28" s="114" t="n"/>
      <c r="L28" s="114" t="n"/>
      <c r="M28" s="115" t="n"/>
      <c r="N28" s="114" t="n"/>
      <c r="O28" s="114" t="n"/>
      <c r="P28" s="114" t="n"/>
      <c r="Q28" s="114" t="n"/>
      <c r="R28" s="114" t="n"/>
      <c r="S28" s="114" t="n"/>
      <c r="T28" s="115" t="n"/>
      <c r="U28" s="114" t="n"/>
      <c r="V28" s="114" t="n"/>
      <c r="W28" s="114" t="n"/>
      <c r="X28" s="114" t="n"/>
      <c r="Y28" s="114" t="n"/>
      <c r="Z28" s="114" t="n"/>
      <c r="AA28" s="115" t="n"/>
      <c r="AB28" s="114" t="n"/>
      <c r="AC28" s="114" t="n"/>
      <c r="AD28" s="114" t="n"/>
      <c r="AE28" s="114" t="n"/>
      <c r="AF28" s="114" t="n"/>
      <c r="AG28" s="114" t="n"/>
      <c r="AH28" s="115" t="n"/>
      <c r="AI28" s="116">
        <f>IF(ISBLANK(B28), "", IF(ISNUMBER(D28), IF(D28&gt;0, (COUNTIF(E28:AH28, "✓") + COUNTIF(E28:AH28, "✔") + COUNTIF(E28:AH28, "v") + COUNTIF(E28:AH28, "V"))/D28, 0), IF(((COUNTIF(E28:AH28, "✓") + COUNTIF(E28:AH28, "✔") + COUNTIF(E28:AH28, "v") + COUNTIF(E28:AH28, "V")) + COUNTIF(E28:AH28, "✗") + COUNTIF(E28:AH28, "x") + COUNTIF(E28:AH28, "X"))&gt;0, (COUNTIF(E28:AH28, "✓") + COUNTIF(E28:AH28, "✔") + COUNTIF(E28:AH28, "v") + COUNTIF(E28:AH28, "V"))/((COUNTIF(E28:AH28, "✓") + COUNTIF(E28:AH28, "✔") + COUNTIF(E28:AH28, "v") + COUNTIF(E28:AH28, "V")) + COUNTIF(E28:AH28, "✗") + COUNTIF(E28:AH28, "x") + COUNTIF(E28:AH28, "X")), "")))</f>
        <v/>
      </c>
      <c r="AJ28" s="117">
        <f>IF(ISBLANK(B28), "", IF(ISNUMBER(D28), IF(D28&gt;0, (COUNTIF(E28:AH28, "✓") + COUNTIF(E28:AH28, "✔") + COUNTIF(E28:AH28, "v") + COUNTIF(E28:AH28, "V")) &amp; "/" &amp; D28, (COUNTIF(E28:AH28, "✓") + COUNTIF(E28:AH28, "✔") + COUNTIF(E28:AH28, "v") + COUNTIF(E28:AH28, "V")) &amp; "/0"), IF(((COUNTIF(E28:AH28, "✓") + COUNTIF(E28:AH28, "✔") + COUNTIF(E28:AH28, "v") + COUNTIF(E28:AH28, "V")) + COUNTIF(E28:AH28, "✗") + COUNTIF(E28:AH28, "x") + COUNTIF(E28:AH28, "X"))&gt;0, (COUNTIF(E28:AH28, "✓") + COUNTIF(E28:AH28, "✔") + COUNTIF(E28:AH28, "v") + COUNTIF(E28:AH28, "V")) &amp; "/" &amp; ((COUNTIF(E28:AH28, "✓") + COUNTIF(E28:AH28, "✔") + COUNTIF(E28:AH28, "v") + COUNTIF(E28:AH28, "V")) + COUNTIF(E28:AH28, "✗") + COUNTIF(E28:AH28, "x") + COUNTIF(E28:AH28, "X")), "")))</f>
        <v/>
      </c>
      <c r="AK28" s="117">
        <f>IF(ISBLANK(B28), "", IF(AI28&gt;=0.85, "🔥 Mastered", IF(AI28&gt;=0.7, "⚡ Consistent", "⚠️ Needs Focus")))</f>
        <v/>
      </c>
      <c r="AL28">
        <f>COUNTIF(E28:AH28, "✓")</f>
        <v/>
      </c>
    </row>
    <row r="29" ht="14.5" customHeight="1">
      <c r="A29" s="111" t="n">
        <v>12</v>
      </c>
      <c r="B29" s="112" t="n"/>
      <c r="C29" s="113" t="n"/>
      <c r="D29" s="113" t="n"/>
      <c r="E29" s="114" t="n"/>
      <c r="F29" s="115" t="n"/>
      <c r="G29" s="114" t="n"/>
      <c r="H29" s="114" t="n"/>
      <c r="I29" s="114" t="n"/>
      <c r="J29" s="114" t="n"/>
      <c r="K29" s="114" t="n"/>
      <c r="L29" s="114" t="n"/>
      <c r="M29" s="115" t="n"/>
      <c r="N29" s="114" t="n"/>
      <c r="O29" s="114" t="n"/>
      <c r="P29" s="114" t="n"/>
      <c r="Q29" s="114" t="n"/>
      <c r="R29" s="114" t="n"/>
      <c r="S29" s="114" t="n"/>
      <c r="T29" s="115" t="n"/>
      <c r="U29" s="114" t="n"/>
      <c r="V29" s="114" t="n"/>
      <c r="W29" s="114" t="n"/>
      <c r="X29" s="114" t="n"/>
      <c r="Y29" s="114" t="n"/>
      <c r="Z29" s="114" t="n"/>
      <c r="AA29" s="115" t="n"/>
      <c r="AB29" s="114" t="n"/>
      <c r="AC29" s="114" t="n"/>
      <c r="AD29" s="114" t="n"/>
      <c r="AE29" s="114" t="n"/>
      <c r="AF29" s="114" t="n"/>
      <c r="AG29" s="114" t="n"/>
      <c r="AH29" s="115" t="n"/>
      <c r="AI29" s="116">
        <f>IF(ISBLANK(B29), "", IF(ISNUMBER(D29), IF(D29&gt;0, (COUNTIF(E29:AH29, "✓") + COUNTIF(E29:AH29, "✔") + COUNTIF(E29:AH29, "v") + COUNTIF(E29:AH29, "V"))/D29, 0), IF(((COUNTIF(E29:AH29, "✓") + COUNTIF(E29:AH29, "✔") + COUNTIF(E29:AH29, "v") + COUNTIF(E29:AH29, "V")) + COUNTIF(E29:AH29, "✗") + COUNTIF(E29:AH29, "x") + COUNTIF(E29:AH29, "X"))&gt;0, (COUNTIF(E29:AH29, "✓") + COUNTIF(E29:AH29, "✔") + COUNTIF(E29:AH29, "v") + COUNTIF(E29:AH29, "V"))/((COUNTIF(E29:AH29, "✓") + COUNTIF(E29:AH29, "✔") + COUNTIF(E29:AH29, "v") + COUNTIF(E29:AH29, "V")) + COUNTIF(E29:AH29, "✗") + COUNTIF(E29:AH29, "x") + COUNTIF(E29:AH29, "X")), "")))</f>
        <v/>
      </c>
      <c r="AJ29" s="117">
        <f>IF(ISBLANK(B29), "", IF(ISNUMBER(D29), IF(D29&gt;0, (COUNTIF(E29:AH29, "✓") + COUNTIF(E29:AH29, "✔") + COUNTIF(E29:AH29, "v") + COUNTIF(E29:AH29, "V")) &amp; "/" &amp; D29, (COUNTIF(E29:AH29, "✓") + COUNTIF(E29:AH29, "✔") + COUNTIF(E29:AH29, "v") + COUNTIF(E29:AH29, "V")) &amp; "/0"), IF(((COUNTIF(E29:AH29, "✓") + COUNTIF(E29:AH29, "✔") + COUNTIF(E29:AH29, "v") + COUNTIF(E29:AH29, "V")) + COUNTIF(E29:AH29, "✗") + COUNTIF(E29:AH29, "x") + COUNTIF(E29:AH29, "X"))&gt;0, (COUNTIF(E29:AH29, "✓") + COUNTIF(E29:AH29, "✔") + COUNTIF(E29:AH29, "v") + COUNTIF(E29:AH29, "V")) &amp; "/" &amp; ((COUNTIF(E29:AH29, "✓") + COUNTIF(E29:AH29, "✔") + COUNTIF(E29:AH29, "v") + COUNTIF(E29:AH29, "V")) + COUNTIF(E29:AH29, "✗") + COUNTIF(E29:AH29, "x") + COUNTIF(E29:AH29, "X")), "")))</f>
        <v/>
      </c>
      <c r="AK29" s="117">
        <f>IF(ISBLANK(B29), "", IF(AI29&gt;=0.85, "🔥 Mastered", IF(AI29&gt;=0.7, "⚡ Consistent", "⚠️ Needs Focus")))</f>
        <v/>
      </c>
      <c r="AL29">
        <f>COUNTIF(E29:AH29, "✓")</f>
        <v/>
      </c>
    </row>
    <row r="30" ht="14.5" customHeight="1">
      <c r="A30" s="118" t="n">
        <v>13</v>
      </c>
      <c r="B30" s="119" t="n"/>
      <c r="C30" s="120" t="n"/>
      <c r="D30" s="120" t="n"/>
      <c r="E30" s="121" t="n"/>
      <c r="F30" s="122" t="n"/>
      <c r="G30" s="121" t="n"/>
      <c r="H30" s="121" t="n"/>
      <c r="I30" s="121" t="n"/>
      <c r="J30" s="121" t="n"/>
      <c r="K30" s="121" t="n"/>
      <c r="L30" s="121" t="n"/>
      <c r="M30" s="122" t="n"/>
      <c r="N30" s="121" t="n"/>
      <c r="O30" s="121" t="n"/>
      <c r="P30" s="121" t="n"/>
      <c r="Q30" s="121" t="n"/>
      <c r="R30" s="121" t="n"/>
      <c r="S30" s="121" t="n"/>
      <c r="T30" s="122" t="n"/>
      <c r="U30" s="121" t="n"/>
      <c r="V30" s="121" t="n"/>
      <c r="W30" s="121" t="n"/>
      <c r="X30" s="121" t="n"/>
      <c r="Y30" s="121" t="n"/>
      <c r="Z30" s="121" t="n"/>
      <c r="AA30" s="122" t="n"/>
      <c r="AB30" s="121" t="n"/>
      <c r="AC30" s="121" t="n"/>
      <c r="AD30" s="121" t="n"/>
      <c r="AE30" s="121" t="n"/>
      <c r="AF30" s="121" t="n"/>
      <c r="AG30" s="121" t="n"/>
      <c r="AH30" s="122" t="n"/>
      <c r="AI30" s="123">
        <f>IF(ISBLANK(B30), "", IF(ISNUMBER(D30), IF(D30&gt;0, (COUNTIF(E30:AH30, "✓") + COUNTIF(E30:AH30, "✔") + COUNTIF(E30:AH30, "v") + COUNTIF(E30:AH30, "V"))/D30, 0), IF(((COUNTIF(E30:AH30, "✓") + COUNTIF(E30:AH30, "✔") + COUNTIF(E30:AH30, "v") + COUNTIF(E30:AH30, "V")) + COUNTIF(E30:AH30, "✗") + COUNTIF(E30:AH30, "x") + COUNTIF(E30:AH30, "X"))&gt;0, (COUNTIF(E30:AH30, "✓") + COUNTIF(E30:AH30, "✔") + COUNTIF(E30:AH30, "v") + COUNTIF(E30:AH30, "V"))/((COUNTIF(E30:AH30, "✓") + COUNTIF(E30:AH30, "✔") + COUNTIF(E30:AH30, "v") + COUNTIF(E30:AH30, "V")) + COUNTIF(E30:AH30, "✗") + COUNTIF(E30:AH30, "x") + COUNTIF(E30:AH30, "X")), "")))</f>
        <v/>
      </c>
      <c r="AJ30" s="124">
        <f>IF(ISBLANK(B30), "", IF(ISNUMBER(D30), IF(D30&gt;0, (COUNTIF(E30:AH30, "✓") + COUNTIF(E30:AH30, "✔") + COUNTIF(E30:AH30, "v") + COUNTIF(E30:AH30, "V")) &amp; "/" &amp; D30, (COUNTIF(E30:AH30, "✓") + COUNTIF(E30:AH30, "✔") + COUNTIF(E30:AH30, "v") + COUNTIF(E30:AH30, "V")) &amp; "/0"), IF(((COUNTIF(E30:AH30, "✓") + COUNTIF(E30:AH30, "✔") + COUNTIF(E30:AH30, "v") + COUNTIF(E30:AH30, "V")) + COUNTIF(E30:AH30, "✗") + COUNTIF(E30:AH30, "x") + COUNTIF(E30:AH30, "X"))&gt;0, (COUNTIF(E30:AH30, "✓") + COUNTIF(E30:AH30, "✔") + COUNTIF(E30:AH30, "v") + COUNTIF(E30:AH30, "V")) &amp; "/" &amp; ((COUNTIF(E30:AH30, "✓") + COUNTIF(E30:AH30, "✔") + COUNTIF(E30:AH30, "v") + COUNTIF(E30:AH30, "V")) + COUNTIF(E30:AH30, "✗") + COUNTIF(E30:AH30, "x") + COUNTIF(E30:AH30, "X")), "")))</f>
        <v/>
      </c>
      <c r="AK30" s="124">
        <f>IF(ISBLANK(B30), "", IF(AI30&gt;=0.85, "🔥 Mastered", IF(AI30&gt;=0.7, "⚡ Consistent", "⚠️ Needs Focus")))</f>
        <v/>
      </c>
      <c r="AL30">
        <f>COUNTIF(E30:AH30, "✓")</f>
        <v/>
      </c>
    </row>
    <row r="31" ht="14.5" customHeight="1">
      <c r="A31" s="118" t="n">
        <v>14</v>
      </c>
      <c r="B31" s="119" t="n"/>
      <c r="C31" s="120" t="n"/>
      <c r="D31" s="120" t="n"/>
      <c r="E31" s="121" t="n"/>
      <c r="F31" s="122" t="n"/>
      <c r="G31" s="121" t="n"/>
      <c r="H31" s="121" t="n"/>
      <c r="I31" s="121" t="n"/>
      <c r="J31" s="121" t="n"/>
      <c r="K31" s="121" t="n"/>
      <c r="L31" s="121" t="n"/>
      <c r="M31" s="122" t="n"/>
      <c r="N31" s="121" t="n"/>
      <c r="O31" s="121" t="n"/>
      <c r="P31" s="121" t="n"/>
      <c r="Q31" s="121" t="n"/>
      <c r="R31" s="121" t="n"/>
      <c r="S31" s="121" t="n"/>
      <c r="T31" s="122" t="n"/>
      <c r="U31" s="121" t="n"/>
      <c r="V31" s="121" t="n"/>
      <c r="W31" s="121" t="n"/>
      <c r="X31" s="121" t="n"/>
      <c r="Y31" s="121" t="n"/>
      <c r="Z31" s="121" t="n"/>
      <c r="AA31" s="122" t="n"/>
      <c r="AB31" s="121" t="n"/>
      <c r="AC31" s="121" t="n"/>
      <c r="AD31" s="121" t="n"/>
      <c r="AE31" s="121" t="n"/>
      <c r="AF31" s="121" t="n"/>
      <c r="AG31" s="121" t="n"/>
      <c r="AH31" s="122" t="n"/>
      <c r="AI31" s="123">
        <f>IF(ISBLANK(B31), "", IF(ISNUMBER(D31), IF(D31&gt;0, (COUNTIF(E31:AH31, "✓") + COUNTIF(E31:AH31, "✔") + COUNTIF(E31:AH31, "v") + COUNTIF(E31:AH31, "V"))/D31, 0), IF(((COUNTIF(E31:AH31, "✓") + COUNTIF(E31:AH31, "✔") + COUNTIF(E31:AH31, "v") + COUNTIF(E31:AH31, "V")) + COUNTIF(E31:AH31, "✗") + COUNTIF(E31:AH31, "x") + COUNTIF(E31:AH31, "X"))&gt;0, (COUNTIF(E31:AH31, "✓") + COUNTIF(E31:AH31, "✔") + COUNTIF(E31:AH31, "v") + COUNTIF(E31:AH31, "V"))/((COUNTIF(E31:AH31, "✓") + COUNTIF(E31:AH31, "✔") + COUNTIF(E31:AH31, "v") + COUNTIF(E31:AH31, "V")) + COUNTIF(E31:AH31, "✗") + COUNTIF(E31:AH31, "x") + COUNTIF(E31:AH31, "X")), "")))</f>
        <v/>
      </c>
      <c r="AJ31" s="124">
        <f>IF(ISBLANK(B31), "", IF(ISNUMBER(D31), IF(D31&gt;0, (COUNTIF(E31:AH31, "✓") + COUNTIF(E31:AH31, "✔") + COUNTIF(E31:AH31, "v") + COUNTIF(E31:AH31, "V")) &amp; "/" &amp; D31, (COUNTIF(E31:AH31, "✓") + COUNTIF(E31:AH31, "✔") + COUNTIF(E31:AH31, "v") + COUNTIF(E31:AH31, "V")) &amp; "/0"), IF(((COUNTIF(E31:AH31, "✓") + COUNTIF(E31:AH31, "✔") + COUNTIF(E31:AH31, "v") + COUNTIF(E31:AH31, "V")) + COUNTIF(E31:AH31, "✗") + COUNTIF(E31:AH31, "x") + COUNTIF(E31:AH31, "X"))&gt;0, (COUNTIF(E31:AH31, "✓") + COUNTIF(E31:AH31, "✔") + COUNTIF(E31:AH31, "v") + COUNTIF(E31:AH31, "V")) &amp; "/" &amp; ((COUNTIF(E31:AH31, "✓") + COUNTIF(E31:AH31, "✔") + COUNTIF(E31:AH31, "v") + COUNTIF(E31:AH31, "V")) + COUNTIF(E31:AH31, "✗") + COUNTIF(E31:AH31, "x") + COUNTIF(E31:AH31, "X")), "")))</f>
        <v/>
      </c>
      <c r="AK31" s="124">
        <f>IF(ISBLANK(B31), "", IF(AI31&gt;=0.85, "🔥 Mastered", IF(AI31&gt;=0.7, "⚡ Consistent", "⚠️ Needs Focus")))</f>
        <v/>
      </c>
      <c r="AL31">
        <f>COUNTIF(E31:AH31, "✓")</f>
        <v/>
      </c>
    </row>
    <row r="32" ht="14.5" customHeight="1">
      <c r="A32" s="118" t="n">
        <v>15</v>
      </c>
      <c r="B32" s="119" t="n"/>
      <c r="C32" s="120" t="n"/>
      <c r="D32" s="120" t="n"/>
      <c r="E32" s="121" t="n"/>
      <c r="F32" s="122" t="n"/>
      <c r="G32" s="121" t="n"/>
      <c r="H32" s="121" t="n"/>
      <c r="I32" s="121" t="n"/>
      <c r="J32" s="121" t="n"/>
      <c r="K32" s="121" t="n"/>
      <c r="L32" s="121" t="n"/>
      <c r="M32" s="122" t="n"/>
      <c r="N32" s="121" t="n"/>
      <c r="O32" s="121" t="n"/>
      <c r="P32" s="121" t="n"/>
      <c r="Q32" s="121" t="n"/>
      <c r="R32" s="121" t="n"/>
      <c r="S32" s="121" t="n"/>
      <c r="T32" s="122" t="n"/>
      <c r="U32" s="121" t="n"/>
      <c r="V32" s="121" t="n"/>
      <c r="W32" s="121" t="n"/>
      <c r="X32" s="121" t="n"/>
      <c r="Y32" s="121" t="n"/>
      <c r="Z32" s="121" t="n"/>
      <c r="AA32" s="122" t="n"/>
      <c r="AB32" s="121" t="n"/>
      <c r="AC32" s="121" t="n"/>
      <c r="AD32" s="121" t="n"/>
      <c r="AE32" s="121" t="n"/>
      <c r="AF32" s="121" t="n"/>
      <c r="AG32" s="121" t="n"/>
      <c r="AH32" s="122" t="n"/>
      <c r="AI32" s="123">
        <f>IF(ISBLANK(B32), "", IF(ISNUMBER(D32), IF(D32&gt;0, (COUNTIF(E32:AH32, "✓") + COUNTIF(E32:AH32, "✔") + COUNTIF(E32:AH32, "v") + COUNTIF(E32:AH32, "V"))/D32, 0), IF(((COUNTIF(E32:AH32, "✓") + COUNTIF(E32:AH32, "✔") + COUNTIF(E32:AH32, "v") + COUNTIF(E32:AH32, "V")) + COUNTIF(E32:AH32, "✗") + COUNTIF(E32:AH32, "x") + COUNTIF(E32:AH32, "X"))&gt;0, (COUNTIF(E32:AH32, "✓") + COUNTIF(E32:AH32, "✔") + COUNTIF(E32:AH32, "v") + COUNTIF(E32:AH32, "V"))/((COUNTIF(E32:AH32, "✓") + COUNTIF(E32:AH32, "✔") + COUNTIF(E32:AH32, "v") + COUNTIF(E32:AH32, "V")) + COUNTIF(E32:AH32, "✗") + COUNTIF(E32:AH32, "x") + COUNTIF(E32:AH32, "X")), "")))</f>
        <v/>
      </c>
      <c r="AJ32" s="124">
        <f>IF(ISBLANK(B32), "", IF(ISNUMBER(D32), IF(D32&gt;0, (COUNTIF(E32:AH32, "✓") + COUNTIF(E32:AH32, "✔") + COUNTIF(E32:AH32, "v") + COUNTIF(E32:AH32, "V")) &amp; "/" &amp; D32, (COUNTIF(E32:AH32, "✓") + COUNTIF(E32:AH32, "✔") + COUNTIF(E32:AH32, "v") + COUNTIF(E32:AH32, "V")) &amp; "/0"), IF(((COUNTIF(E32:AH32, "✓") + COUNTIF(E32:AH32, "✔") + COUNTIF(E32:AH32, "v") + COUNTIF(E32:AH32, "V")) + COUNTIF(E32:AH32, "✗") + COUNTIF(E32:AH32, "x") + COUNTIF(E32:AH32, "X"))&gt;0, (COUNTIF(E32:AH32, "✓") + COUNTIF(E32:AH32, "✔") + COUNTIF(E32:AH32, "v") + COUNTIF(E32:AH32, "V")) &amp; "/" &amp; ((COUNTIF(E32:AH32, "✓") + COUNTIF(E32:AH32, "✔") + COUNTIF(E32:AH32, "v") + COUNTIF(E32:AH32, "V")) + COUNTIF(E32:AH32, "✗") + COUNTIF(E32:AH32, "x") + COUNTIF(E32:AH32, "X")), "")))</f>
        <v/>
      </c>
      <c r="AK32" s="124">
        <f>IF(ISBLANK(B32), "", IF(AI32&gt;=0.85, "🔥 Mastered", IF(AI32&gt;=0.7, "⚡ Consistent", "⚠️ Needs Focus")))</f>
        <v/>
      </c>
      <c r="AL32">
        <f>COUNTIF(E32:AH32, "✓")</f>
        <v/>
      </c>
    </row>
    <row r="33" ht="14.5" customHeight="1">
      <c r="A33" s="118" t="n">
        <v>16</v>
      </c>
      <c r="B33" s="119" t="n"/>
      <c r="C33" s="120" t="n"/>
      <c r="D33" s="120" t="n"/>
      <c r="E33" s="121" t="n"/>
      <c r="F33" s="122" t="n"/>
      <c r="G33" s="121" t="n"/>
      <c r="H33" s="121" t="n"/>
      <c r="I33" s="121" t="n"/>
      <c r="J33" s="121" t="n"/>
      <c r="K33" s="121" t="n"/>
      <c r="L33" s="121" t="n"/>
      <c r="M33" s="122" t="n"/>
      <c r="N33" s="121" t="n"/>
      <c r="O33" s="121" t="n"/>
      <c r="P33" s="121" t="n"/>
      <c r="Q33" s="121" t="n"/>
      <c r="R33" s="121" t="n"/>
      <c r="S33" s="121" t="n"/>
      <c r="T33" s="122" t="n"/>
      <c r="U33" s="121" t="n"/>
      <c r="V33" s="121" t="n"/>
      <c r="W33" s="121" t="n"/>
      <c r="X33" s="121" t="n"/>
      <c r="Y33" s="121" t="n"/>
      <c r="Z33" s="121" t="n"/>
      <c r="AA33" s="122" t="n"/>
      <c r="AB33" s="121" t="n"/>
      <c r="AC33" s="121" t="n"/>
      <c r="AD33" s="121" t="n"/>
      <c r="AE33" s="121" t="n"/>
      <c r="AF33" s="121" t="n"/>
      <c r="AG33" s="121" t="n"/>
      <c r="AH33" s="122" t="n"/>
      <c r="AI33" s="123">
        <f>IF(ISBLANK(B33), "", IF(ISNUMBER(D33), IF(D33&gt;0, (COUNTIF(E33:AH33, "✓") + COUNTIF(E33:AH33, "✔") + COUNTIF(E33:AH33, "v") + COUNTIF(E33:AH33, "V"))/D33, 0), IF(((COUNTIF(E33:AH33, "✓") + COUNTIF(E33:AH33, "✔") + COUNTIF(E33:AH33, "v") + COUNTIF(E33:AH33, "V")) + COUNTIF(E33:AH33, "✗") + COUNTIF(E33:AH33, "x") + COUNTIF(E33:AH33, "X"))&gt;0, (COUNTIF(E33:AH33, "✓") + COUNTIF(E33:AH33, "✔") + COUNTIF(E33:AH33, "v") + COUNTIF(E33:AH33, "V"))/((COUNTIF(E33:AH33, "✓") + COUNTIF(E33:AH33, "✔") + COUNTIF(E33:AH33, "v") + COUNTIF(E33:AH33, "V")) + COUNTIF(E33:AH33, "✗") + COUNTIF(E33:AH33, "x") + COUNTIF(E33:AH33, "X")), "")))</f>
        <v/>
      </c>
      <c r="AJ33" s="124">
        <f>IF(ISBLANK(B33), "", IF(ISNUMBER(D33), IF(D33&gt;0, (COUNTIF(E33:AH33, "✓") + COUNTIF(E33:AH33, "✔") + COUNTIF(E33:AH33, "v") + COUNTIF(E33:AH33, "V")) &amp; "/" &amp; D33, (COUNTIF(E33:AH33, "✓") + COUNTIF(E33:AH33, "✔") + COUNTIF(E33:AH33, "v") + COUNTIF(E33:AH33, "V")) &amp; "/0"), IF(((COUNTIF(E33:AH33, "✓") + COUNTIF(E33:AH33, "✔") + COUNTIF(E33:AH33, "v") + COUNTIF(E33:AH33, "V")) + COUNTIF(E33:AH33, "✗") + COUNTIF(E33:AH33, "x") + COUNTIF(E33:AH33, "X"))&gt;0, (COUNTIF(E33:AH33, "✓") + COUNTIF(E33:AH33, "✔") + COUNTIF(E33:AH33, "v") + COUNTIF(E33:AH33, "V")) &amp; "/" &amp; ((COUNTIF(E33:AH33, "✓") + COUNTIF(E33:AH33, "✔") + COUNTIF(E33:AH33, "v") + COUNTIF(E33:AH33, "V")) + COUNTIF(E33:AH33, "✗") + COUNTIF(E33:AH33, "x") + COUNTIF(E33:AH33, "X")), "")))</f>
        <v/>
      </c>
      <c r="AK33" s="124">
        <f>IF(ISBLANK(B33), "", IF(AI33&gt;=0.85, "🔥 Mastered", IF(AI33&gt;=0.7, "⚡ Consistent", "⚠️ Needs Focus")))</f>
        <v/>
      </c>
      <c r="AL33">
        <f>COUNTIF(E33:AH33, "✓")</f>
        <v/>
      </c>
    </row>
    <row r="34" ht="14.5" customHeight="1">
      <c r="A34" s="125" t="n">
        <v>17</v>
      </c>
      <c r="B34" s="126" t="n"/>
      <c r="C34" s="127" t="n"/>
      <c r="D34" s="127" t="n"/>
      <c r="E34" s="128" t="n"/>
      <c r="F34" s="129" t="n"/>
      <c r="G34" s="128" t="n"/>
      <c r="H34" s="128" t="n"/>
      <c r="I34" s="128" t="n"/>
      <c r="J34" s="128" t="n"/>
      <c r="K34" s="128" t="n"/>
      <c r="L34" s="128" t="n"/>
      <c r="M34" s="129" t="n"/>
      <c r="N34" s="128" t="n"/>
      <c r="O34" s="128" t="n"/>
      <c r="P34" s="128" t="n"/>
      <c r="Q34" s="128" t="n"/>
      <c r="R34" s="128" t="n"/>
      <c r="S34" s="128" t="n"/>
      <c r="T34" s="129" t="n"/>
      <c r="U34" s="128" t="n"/>
      <c r="V34" s="128" t="n"/>
      <c r="W34" s="128" t="n"/>
      <c r="X34" s="128" t="n"/>
      <c r="Y34" s="128" t="n"/>
      <c r="Z34" s="128" t="n"/>
      <c r="AA34" s="129" t="n"/>
      <c r="AB34" s="128" t="n"/>
      <c r="AC34" s="128" t="n"/>
      <c r="AD34" s="128" t="n"/>
      <c r="AE34" s="128" t="n"/>
      <c r="AF34" s="128" t="n"/>
      <c r="AG34" s="128" t="n"/>
      <c r="AH34" s="129" t="n"/>
      <c r="AI34" s="130">
        <f>IF(ISBLANK(B34), "", IF(ISNUMBER(D34), IF(D34&gt;0, (COUNTIF(E34:AH34, "✓") + COUNTIF(E34:AH34, "✔") + COUNTIF(E34:AH34, "v") + COUNTIF(E34:AH34, "V"))/D34, 0), IF(((COUNTIF(E34:AH34, "✓") + COUNTIF(E34:AH34, "✔") + COUNTIF(E34:AH34, "v") + COUNTIF(E34:AH34, "V")) + COUNTIF(E34:AH34, "✗") + COUNTIF(E34:AH34, "x") + COUNTIF(E34:AH34, "X"))&gt;0, (COUNTIF(E34:AH34, "✓") + COUNTIF(E34:AH34, "✔") + COUNTIF(E34:AH34, "v") + COUNTIF(E34:AH34, "V"))/((COUNTIF(E34:AH34, "✓") + COUNTIF(E34:AH34, "✔") + COUNTIF(E34:AH34, "v") + COUNTIF(E34:AH34, "V")) + COUNTIF(E34:AH34, "✗") + COUNTIF(E34:AH34, "x") + COUNTIF(E34:AH34, "X")), "")))</f>
        <v/>
      </c>
      <c r="AJ34" s="131">
        <f>IF(ISBLANK(B34), "", IF(ISNUMBER(D34), IF(D34&gt;0, (COUNTIF(E34:AH34, "✓") + COUNTIF(E34:AH34, "✔") + COUNTIF(E34:AH34, "v") + COUNTIF(E34:AH34, "V")) &amp; "/" &amp; D34, (COUNTIF(E34:AH34, "✓") + COUNTIF(E34:AH34, "✔") + COUNTIF(E34:AH34, "v") + COUNTIF(E34:AH34, "V")) &amp; "/0"), IF(((COUNTIF(E34:AH34, "✓") + COUNTIF(E34:AH34, "✔") + COUNTIF(E34:AH34, "v") + COUNTIF(E34:AH34, "V")) + COUNTIF(E34:AH34, "✗") + COUNTIF(E34:AH34, "x") + COUNTIF(E34:AH34, "X"))&gt;0, (COUNTIF(E34:AH34, "✓") + COUNTIF(E34:AH34, "✔") + COUNTIF(E34:AH34, "v") + COUNTIF(E34:AH34, "V")) &amp; "/" &amp; ((COUNTIF(E34:AH34, "✓") + COUNTIF(E34:AH34, "✔") + COUNTIF(E34:AH34, "v") + COUNTIF(E34:AH34, "V")) + COUNTIF(E34:AH34, "✗") + COUNTIF(E34:AH34, "x") + COUNTIF(E34:AH34, "X")), "")))</f>
        <v/>
      </c>
      <c r="AK34" s="131">
        <f>IF(ISBLANK(B34), "", IF(AI34&gt;=0.85, "🔥 Mastered", IF(AI34&gt;=0.7, "⚡ Consistent", "⚠️ Needs Focus")))</f>
        <v/>
      </c>
      <c r="AL34">
        <f>COUNTIF(E34:AH34, "✓")</f>
        <v/>
      </c>
    </row>
    <row r="35" ht="14.5" customHeight="1">
      <c r="A35" s="125" t="n">
        <v>18</v>
      </c>
      <c r="B35" s="126" t="n"/>
      <c r="C35" s="127" t="n"/>
      <c r="D35" s="127" t="n"/>
      <c r="E35" s="128" t="n"/>
      <c r="F35" s="129" t="n"/>
      <c r="G35" s="128" t="n"/>
      <c r="H35" s="128" t="n"/>
      <c r="I35" s="128" t="n"/>
      <c r="J35" s="128" t="n"/>
      <c r="K35" s="128" t="n"/>
      <c r="L35" s="128" t="n"/>
      <c r="M35" s="129" t="n"/>
      <c r="N35" s="128" t="n"/>
      <c r="O35" s="128" t="n"/>
      <c r="P35" s="128" t="n"/>
      <c r="Q35" s="128" t="n"/>
      <c r="R35" s="128" t="n"/>
      <c r="S35" s="128" t="n"/>
      <c r="T35" s="129" t="n"/>
      <c r="U35" s="128" t="n"/>
      <c r="V35" s="128" t="n"/>
      <c r="W35" s="128" t="n"/>
      <c r="X35" s="128" t="n"/>
      <c r="Y35" s="128" t="n"/>
      <c r="Z35" s="128" t="n"/>
      <c r="AA35" s="129" t="n"/>
      <c r="AB35" s="128" t="n"/>
      <c r="AC35" s="128" t="n"/>
      <c r="AD35" s="128" t="n"/>
      <c r="AE35" s="128" t="n"/>
      <c r="AF35" s="128" t="n"/>
      <c r="AG35" s="128" t="n"/>
      <c r="AH35" s="129" t="n"/>
      <c r="AI35" s="130">
        <f>IF(ISBLANK(B35), "", IF(ISNUMBER(D35), IF(D35&gt;0, (COUNTIF(E35:AH35, "✓") + COUNTIF(E35:AH35, "✔") + COUNTIF(E35:AH35, "v") + COUNTIF(E35:AH35, "V"))/D35, 0), IF(((COUNTIF(E35:AH35, "✓") + COUNTIF(E35:AH35, "✔") + COUNTIF(E35:AH35, "v") + COUNTIF(E35:AH35, "V")) + COUNTIF(E35:AH35, "✗") + COUNTIF(E35:AH35, "x") + COUNTIF(E35:AH35, "X"))&gt;0, (COUNTIF(E35:AH35, "✓") + COUNTIF(E35:AH35, "✔") + COUNTIF(E35:AH35, "v") + COUNTIF(E35:AH35, "V"))/((COUNTIF(E35:AH35, "✓") + COUNTIF(E35:AH35, "✔") + COUNTIF(E35:AH35, "v") + COUNTIF(E35:AH35, "V")) + COUNTIF(E35:AH35, "✗") + COUNTIF(E35:AH35, "x") + COUNTIF(E35:AH35, "X")), "")))</f>
        <v/>
      </c>
      <c r="AJ35" s="131">
        <f>IF(ISBLANK(B35), "", IF(ISNUMBER(D35), IF(D35&gt;0, (COUNTIF(E35:AH35, "✓") + COUNTIF(E35:AH35, "✔") + COUNTIF(E35:AH35, "v") + COUNTIF(E35:AH35, "V")) &amp; "/" &amp; D35, (COUNTIF(E35:AH35, "✓") + COUNTIF(E35:AH35, "✔") + COUNTIF(E35:AH35, "v") + COUNTIF(E35:AH35, "V")) &amp; "/0"), IF(((COUNTIF(E35:AH35, "✓") + COUNTIF(E35:AH35, "✔") + COUNTIF(E35:AH35, "v") + COUNTIF(E35:AH35, "V")) + COUNTIF(E35:AH35, "✗") + COUNTIF(E35:AH35, "x") + COUNTIF(E35:AH35, "X"))&gt;0, (COUNTIF(E35:AH35, "✓") + COUNTIF(E35:AH35, "✔") + COUNTIF(E35:AH35, "v") + COUNTIF(E35:AH35, "V")) &amp; "/" &amp; ((COUNTIF(E35:AH35, "✓") + COUNTIF(E35:AH35, "✔") + COUNTIF(E35:AH35, "v") + COUNTIF(E35:AH35, "V")) + COUNTIF(E35:AH35, "✗") + COUNTIF(E35:AH35, "x") + COUNTIF(E35:AH35, "X")), "")))</f>
        <v/>
      </c>
      <c r="AK35" s="131">
        <f>IF(ISBLANK(B35), "", IF(AI35&gt;=0.85, "🔥 Mastered", IF(AI35&gt;=0.7, "⚡ Consistent", "⚠️ Needs Focus")))</f>
        <v/>
      </c>
      <c r="AL35">
        <f>COUNTIF(E35:AH35, "✓")</f>
        <v/>
      </c>
    </row>
    <row r="36" ht="14.5" customHeight="1">
      <c r="A36" s="125" t="n">
        <v>19</v>
      </c>
      <c r="B36" s="126" t="n"/>
      <c r="C36" s="127" t="n"/>
      <c r="D36" s="127" t="n"/>
      <c r="E36" s="128" t="n"/>
      <c r="F36" s="129" t="n"/>
      <c r="G36" s="128" t="n"/>
      <c r="H36" s="128" t="n"/>
      <c r="I36" s="128" t="n"/>
      <c r="J36" s="128" t="n"/>
      <c r="K36" s="128" t="n"/>
      <c r="L36" s="128" t="n"/>
      <c r="M36" s="129" t="n"/>
      <c r="N36" s="128" t="n"/>
      <c r="O36" s="128" t="n"/>
      <c r="P36" s="128" t="n"/>
      <c r="Q36" s="128" t="n"/>
      <c r="R36" s="128" t="n"/>
      <c r="S36" s="128" t="n"/>
      <c r="T36" s="129" t="n"/>
      <c r="U36" s="128" t="n"/>
      <c r="V36" s="128" t="n"/>
      <c r="W36" s="128" t="n"/>
      <c r="X36" s="128" t="n"/>
      <c r="Y36" s="128" t="n"/>
      <c r="Z36" s="128" t="n"/>
      <c r="AA36" s="129" t="n"/>
      <c r="AB36" s="128" t="n"/>
      <c r="AC36" s="128" t="n"/>
      <c r="AD36" s="128" t="n"/>
      <c r="AE36" s="128" t="n"/>
      <c r="AF36" s="128" t="n"/>
      <c r="AG36" s="128" t="n"/>
      <c r="AH36" s="129" t="n"/>
      <c r="AI36" s="130">
        <f>IF(ISBLANK(B36), "", IF(ISNUMBER(D36), IF(D36&gt;0, (COUNTIF(E36:AH36, "✓") + COUNTIF(E36:AH36, "✔") + COUNTIF(E36:AH36, "v") + COUNTIF(E36:AH36, "V"))/D36, 0), IF(((COUNTIF(E36:AH36, "✓") + COUNTIF(E36:AH36, "✔") + COUNTIF(E36:AH36, "v") + COUNTIF(E36:AH36, "V")) + COUNTIF(E36:AH36, "✗") + COUNTIF(E36:AH36, "x") + COUNTIF(E36:AH36, "X"))&gt;0, (COUNTIF(E36:AH36, "✓") + COUNTIF(E36:AH36, "✔") + COUNTIF(E36:AH36, "v") + COUNTIF(E36:AH36, "V"))/((COUNTIF(E36:AH36, "✓") + COUNTIF(E36:AH36, "✔") + COUNTIF(E36:AH36, "v") + COUNTIF(E36:AH36, "V")) + COUNTIF(E36:AH36, "✗") + COUNTIF(E36:AH36, "x") + COUNTIF(E36:AH36, "X")), "")))</f>
        <v/>
      </c>
      <c r="AJ36" s="131">
        <f>IF(ISBLANK(B36), "", IF(ISNUMBER(D36), IF(D36&gt;0, (COUNTIF(E36:AH36, "✓") + COUNTIF(E36:AH36, "✔") + COUNTIF(E36:AH36, "v") + COUNTIF(E36:AH36, "V")) &amp; "/" &amp; D36, (COUNTIF(E36:AH36, "✓") + COUNTIF(E36:AH36, "✔") + COUNTIF(E36:AH36, "v") + COUNTIF(E36:AH36, "V")) &amp; "/0"), IF(((COUNTIF(E36:AH36, "✓") + COUNTIF(E36:AH36, "✔") + COUNTIF(E36:AH36, "v") + COUNTIF(E36:AH36, "V")) + COUNTIF(E36:AH36, "✗") + COUNTIF(E36:AH36, "x") + COUNTIF(E36:AH36, "X"))&gt;0, (COUNTIF(E36:AH36, "✓") + COUNTIF(E36:AH36, "✔") + COUNTIF(E36:AH36, "v") + COUNTIF(E36:AH36, "V")) &amp; "/" &amp; ((COUNTIF(E36:AH36, "✓") + COUNTIF(E36:AH36, "✔") + COUNTIF(E36:AH36, "v") + COUNTIF(E36:AH36, "V")) + COUNTIF(E36:AH36, "✗") + COUNTIF(E36:AH36, "x") + COUNTIF(E36:AH36, "X")), "")))</f>
        <v/>
      </c>
      <c r="AK36" s="131">
        <f>IF(ISBLANK(B36), "", IF(AI36&gt;=0.85, "🔥 Mastered", IF(AI36&gt;=0.7, "⚡ Consistent", "⚠️ Needs Focus")))</f>
        <v/>
      </c>
      <c r="AL36">
        <f>COUNTIF(E36:AH36, "✓")</f>
        <v/>
      </c>
    </row>
    <row r="37" ht="14.5" customHeight="1">
      <c r="A37" s="125" t="n">
        <v>20</v>
      </c>
      <c r="B37" s="126" t="n"/>
      <c r="C37" s="127" t="n"/>
      <c r="D37" s="127" t="n"/>
      <c r="E37" s="128" t="n"/>
      <c r="F37" s="129" t="n"/>
      <c r="G37" s="128" t="n"/>
      <c r="H37" s="128" t="n"/>
      <c r="I37" s="128" t="n"/>
      <c r="J37" s="128" t="n"/>
      <c r="K37" s="128" t="n"/>
      <c r="L37" s="128" t="n"/>
      <c r="M37" s="129" t="n"/>
      <c r="N37" s="128" t="n"/>
      <c r="O37" s="128" t="n"/>
      <c r="P37" s="128" t="n"/>
      <c r="Q37" s="128" t="n"/>
      <c r="R37" s="128" t="n"/>
      <c r="S37" s="128" t="n"/>
      <c r="T37" s="129" t="n"/>
      <c r="U37" s="128" t="n"/>
      <c r="V37" s="128" t="n"/>
      <c r="W37" s="128" t="n"/>
      <c r="X37" s="128" t="n"/>
      <c r="Y37" s="128" t="n"/>
      <c r="Z37" s="128" t="n"/>
      <c r="AA37" s="129" t="n"/>
      <c r="AB37" s="128" t="n"/>
      <c r="AC37" s="128" t="n"/>
      <c r="AD37" s="128" t="n"/>
      <c r="AE37" s="128" t="n"/>
      <c r="AF37" s="128" t="n"/>
      <c r="AG37" s="128" t="n"/>
      <c r="AH37" s="129" t="n"/>
      <c r="AI37" s="130">
        <f>IF(ISBLANK(B37), "", IF(ISNUMBER(D37), IF(D37&gt;0, (COUNTIF(E37:AH37, "✓") + COUNTIF(E37:AH37, "✔") + COUNTIF(E37:AH37, "v") + COUNTIF(E37:AH37, "V"))/D37, 0), IF(((COUNTIF(E37:AH37, "✓") + COUNTIF(E37:AH37, "✔") + COUNTIF(E37:AH37, "v") + COUNTIF(E37:AH37, "V")) + COUNTIF(E37:AH37, "✗") + COUNTIF(E37:AH37, "x") + COUNTIF(E37:AH37, "X"))&gt;0, (COUNTIF(E37:AH37, "✓") + COUNTIF(E37:AH37, "✔") + COUNTIF(E37:AH37, "v") + COUNTIF(E37:AH37, "V"))/((COUNTIF(E37:AH37, "✓") + COUNTIF(E37:AH37, "✔") + COUNTIF(E37:AH37, "v") + COUNTIF(E37:AH37, "V")) + COUNTIF(E37:AH37, "✗") + COUNTIF(E37:AH37, "x") + COUNTIF(E37:AH37, "X")), "")))</f>
        <v/>
      </c>
      <c r="AJ37" s="131">
        <f>IF(ISBLANK(B37), "", IF(ISNUMBER(D37), IF(D37&gt;0, (COUNTIF(E37:AH37, "✓") + COUNTIF(E37:AH37, "✔") + COUNTIF(E37:AH37, "v") + COUNTIF(E37:AH37, "V")) &amp; "/" &amp; D37, (COUNTIF(E37:AH37, "✓") + COUNTIF(E37:AH37, "✔") + COUNTIF(E37:AH37, "v") + COUNTIF(E37:AH37, "V")) &amp; "/0"), IF(((COUNTIF(E37:AH37, "✓") + COUNTIF(E37:AH37, "✔") + COUNTIF(E37:AH37, "v") + COUNTIF(E37:AH37, "V")) + COUNTIF(E37:AH37, "✗") + COUNTIF(E37:AH37, "x") + COUNTIF(E37:AH37, "X"))&gt;0, (COUNTIF(E37:AH37, "✓") + COUNTIF(E37:AH37, "✔") + COUNTIF(E37:AH37, "v") + COUNTIF(E37:AH37, "V")) &amp; "/" &amp; ((COUNTIF(E37:AH37, "✓") + COUNTIF(E37:AH37, "✔") + COUNTIF(E37:AH37, "v") + COUNTIF(E37:AH37, "V")) + COUNTIF(E37:AH37, "✗") + COUNTIF(E37:AH37, "x") + COUNTIF(E37:AH37, "X")), "")))</f>
        <v/>
      </c>
      <c r="AK37" s="131">
        <f>IF(ISBLANK(B37), "", IF(AI37&gt;=0.85, "🔥 Mastered", IF(AI37&gt;=0.7, "⚡ Consistent", "⚠️ Needs Focus")))</f>
        <v/>
      </c>
      <c r="AL37">
        <f>COUNTIF(E37:AH37, "✓")</f>
        <v/>
      </c>
    </row>
    <row r="38" ht="18" customHeight="1">
      <c r="A38" s="132" t="inlineStr">
        <is>
          <t>DAILY TOTAL SCORE</t>
        </is>
      </c>
      <c r="B38" s="54" t="n"/>
      <c r="C38" s="54" t="n"/>
      <c r="D38" s="54" t="n"/>
      <c r="E38" s="33">
        <f>IF(((COUNTIF(E18:E37, "✓") + COUNTIF(E18:E37, "✔") + COUNTIF(E18:E37, "v") + COUNTIF(E18:E37, "V")) + COUNTIF(E18:E37, "✗") + COUNTIF(E18:E37, "x") + COUNTIF(E18:E37, "X")) &gt; 0, (COUNTIF(E18:E37, "✓") + COUNTIF(E18:E37, "✔") + COUNTIF(E18:E37, "v") + COUNTIF(E18:E37, "V")) &amp; "/" &amp; ((COUNTIF(E18:E37, "✓") + COUNTIF(E18:E37, "✔") + COUNTIF(E18:E37, "v") + COUNTIF(E18:E37, "V")) + COUNTIF(E18:E37, "✗") + COUNTIF(E18:E37, "x") + COUNTIF(E18:E37, "X")), "")</f>
        <v/>
      </c>
      <c r="F38" s="33">
        <f>IF(((COUNTIF(F18:F37, "✓") + COUNTIF(F18:F37, "✔") + COUNTIF(F18:F37, "v") + COUNTIF(F18:F37, "V")) + COUNTIF(F18:F37, "✗") + COUNTIF(F18:F37, "x") + COUNTIF(F18:F37, "X")) &gt; 0, (COUNTIF(F18:F37, "✓") + COUNTIF(F18:F37, "✔") + COUNTIF(F18:F37, "v") + COUNTIF(F18:F37, "V")) &amp; "/" &amp; ((COUNTIF(F18:F37, "✓") + COUNTIF(F18:F37, "✔") + COUNTIF(F18:F37, "v") + COUNTIF(F18:F37, "V")) + COUNTIF(F18:F37, "✗") + COUNTIF(F18:F37, "x") + COUNTIF(F18:F37, "X")), "")</f>
        <v/>
      </c>
      <c r="G38" s="33">
        <f>IF(((COUNTIF(G18:G37, "✓") + COUNTIF(G18:G37, "✔") + COUNTIF(G18:G37, "v") + COUNTIF(G18:G37, "V")) + COUNTIF(G18:G37, "✗") + COUNTIF(G18:G37, "x") + COUNTIF(G18:G37, "X")) &gt; 0, (COUNTIF(G18:G37, "✓") + COUNTIF(G18:G37, "✔") + COUNTIF(G18:G37, "v") + COUNTIF(G18:G37, "V")) &amp; "/" &amp; ((COUNTIF(G18:G37, "✓") + COUNTIF(G18:G37, "✔") + COUNTIF(G18:G37, "v") + COUNTIF(G18:G37, "V")) + COUNTIF(G18:G37, "✗") + COUNTIF(G18:G37, "x") + COUNTIF(G18:G37, "X")), "")</f>
        <v/>
      </c>
      <c r="H38" s="33">
        <f>IF(((COUNTIF(H18:H37, "✓") + COUNTIF(H18:H37, "✔") + COUNTIF(H18:H37, "v") + COUNTIF(H18:H37, "V")) + COUNTIF(H18:H37, "✗") + COUNTIF(H18:H37, "x") + COUNTIF(H18:H37, "X")) &gt; 0, (COUNTIF(H18:H37, "✓") + COUNTIF(H18:H37, "✔") + COUNTIF(H18:H37, "v") + COUNTIF(H18:H37, "V")) &amp; "/" &amp; ((COUNTIF(H18:H37, "✓") + COUNTIF(H18:H37, "✔") + COUNTIF(H18:H37, "v") + COUNTIF(H18:H37, "V")) + COUNTIF(H18:H37, "✗") + COUNTIF(H18:H37, "x") + COUNTIF(H18:H37, "X")), "")</f>
        <v/>
      </c>
      <c r="I38" s="33">
        <f>IF(((COUNTIF(I18:I37, "✓") + COUNTIF(I18:I37, "✔") + COUNTIF(I18:I37, "v") + COUNTIF(I18:I37, "V")) + COUNTIF(I18:I37, "✗") + COUNTIF(I18:I37, "x") + COUNTIF(I18:I37, "X")) &gt; 0, (COUNTIF(I18:I37, "✓") + COUNTIF(I18:I37, "✔") + COUNTIF(I18:I37, "v") + COUNTIF(I18:I37, "V")) &amp; "/" &amp; ((COUNTIF(I18:I37, "✓") + COUNTIF(I18:I37, "✔") + COUNTIF(I18:I37, "v") + COUNTIF(I18:I37, "V")) + COUNTIF(I18:I37, "✗") + COUNTIF(I18:I37, "x") + COUNTIF(I18:I37, "X")), "")</f>
        <v/>
      </c>
      <c r="J38" s="33">
        <f>IF(((COUNTIF(J18:J37, "✓") + COUNTIF(J18:J37, "✔") + COUNTIF(J18:J37, "v") + COUNTIF(J18:J37, "V")) + COUNTIF(J18:J37, "✗") + COUNTIF(J18:J37, "x") + COUNTIF(J18:J37, "X")) &gt; 0, (COUNTIF(J18:J37, "✓") + COUNTIF(J18:J37, "✔") + COUNTIF(J18:J37, "v") + COUNTIF(J18:J37, "V")) &amp; "/" &amp; ((COUNTIF(J18:J37, "✓") + COUNTIF(J18:J37, "✔") + COUNTIF(J18:J37, "v") + COUNTIF(J18:J37, "V")) + COUNTIF(J18:J37, "✗") + COUNTIF(J18:J37, "x") + COUNTIF(J18:J37, "X")), "")</f>
        <v/>
      </c>
      <c r="K38" s="33">
        <f>IF(((COUNTIF(K18:K37, "✓") + COUNTIF(K18:K37, "✔") + COUNTIF(K18:K37, "v") + COUNTIF(K18:K37, "V")) + COUNTIF(K18:K37, "✗") + COUNTIF(K18:K37, "x") + COUNTIF(K18:K37, "X")) &gt; 0, (COUNTIF(K18:K37, "✓") + COUNTIF(K18:K37, "✔") + COUNTIF(K18:K37, "v") + COUNTIF(K18:K37, "V")) &amp; "/" &amp; ((COUNTIF(K18:K37, "✓") + COUNTIF(K18:K37, "✔") + COUNTIF(K18:K37, "v") + COUNTIF(K18:K37, "V")) + COUNTIF(K18:K37, "✗") + COUNTIF(K18:K37, "x") + COUNTIF(K18:K37, "X")), "")</f>
        <v/>
      </c>
      <c r="L38" s="33">
        <f>IF(((COUNTIF(L18:L37, "✓") + COUNTIF(L18:L37, "✔") + COUNTIF(L18:L37, "v") + COUNTIF(L18:L37, "V")) + COUNTIF(L18:L37, "✗") + COUNTIF(L18:L37, "x") + COUNTIF(L18:L37, "X")) &gt; 0, (COUNTIF(L18:L37, "✓") + COUNTIF(L18:L37, "✔") + COUNTIF(L18:L37, "v") + COUNTIF(L18:L37, "V")) &amp; "/" &amp; ((COUNTIF(L18:L37, "✓") + COUNTIF(L18:L37, "✔") + COUNTIF(L18:L37, "v") + COUNTIF(L18:L37, "V")) + COUNTIF(L18:L37, "✗") + COUNTIF(L18:L37, "x") + COUNTIF(L18:L37, "X")), "")</f>
        <v/>
      </c>
      <c r="M38" s="33">
        <f>IF(((COUNTIF(M18:M37, "✓") + COUNTIF(M18:M37, "✔") + COUNTIF(M18:M37, "v") + COUNTIF(M18:M37, "V")) + COUNTIF(M18:M37, "✗") + COUNTIF(M18:M37, "x") + COUNTIF(M18:M37, "X")) &gt; 0, (COUNTIF(M18:M37, "✓") + COUNTIF(M18:M37, "✔") + COUNTIF(M18:M37, "v") + COUNTIF(M18:M37, "V")) &amp; "/" &amp; ((COUNTIF(M18:M37, "✓") + COUNTIF(M18:M37, "✔") + COUNTIF(M18:M37, "v") + COUNTIF(M18:M37, "V")) + COUNTIF(M18:M37, "✗") + COUNTIF(M18:M37, "x") + COUNTIF(M18:M37, "X")), "")</f>
        <v/>
      </c>
      <c r="N38" s="33">
        <f>IF(((COUNTIF(N18:N37, "✓") + COUNTIF(N18:N37, "✔") + COUNTIF(N18:N37, "v") + COUNTIF(N18:N37, "V")) + COUNTIF(N18:N37, "✗") + COUNTIF(N18:N37, "x") + COUNTIF(N18:N37, "X")) &gt; 0, (COUNTIF(N18:N37, "✓") + COUNTIF(N18:N37, "✔") + COUNTIF(N18:N37, "v") + COUNTIF(N18:N37, "V")) &amp; "/" &amp; ((COUNTIF(N18:N37, "✓") + COUNTIF(N18:N37, "✔") + COUNTIF(N18:N37, "v") + COUNTIF(N18:N37, "V")) + COUNTIF(N18:N37, "✗") + COUNTIF(N18:N37, "x") + COUNTIF(N18:N37, "X")), "")</f>
        <v/>
      </c>
      <c r="O38" s="33">
        <f>IF(((COUNTIF(O18:O37, "✓") + COUNTIF(O18:O37, "✔") + COUNTIF(O18:O37, "v") + COUNTIF(O18:O37, "V")) + COUNTIF(O18:O37, "✗") + COUNTIF(O18:O37, "x") + COUNTIF(O18:O37, "X")) &gt; 0, (COUNTIF(O18:O37, "✓") + COUNTIF(O18:O37, "✔") + COUNTIF(O18:O37, "v") + COUNTIF(O18:O37, "V")) &amp; "/" &amp; ((COUNTIF(O18:O37, "✓") + COUNTIF(O18:O37, "✔") + COUNTIF(O18:O37, "v") + COUNTIF(O18:O37, "V")) + COUNTIF(O18:O37, "✗") + COUNTIF(O18:O37, "x") + COUNTIF(O18:O37, "X")), "")</f>
        <v/>
      </c>
      <c r="P38" s="33">
        <f>IF(((COUNTIF(P18:P37, "✓") + COUNTIF(P18:P37, "✔") + COUNTIF(P18:P37, "v") + COUNTIF(P18:P37, "V")) + COUNTIF(P18:P37, "✗") + COUNTIF(P18:P37, "x") + COUNTIF(P18:P37, "X")) &gt; 0, (COUNTIF(P18:P37, "✓") + COUNTIF(P18:P37, "✔") + COUNTIF(P18:P37, "v") + COUNTIF(P18:P37, "V")) &amp; "/" &amp; ((COUNTIF(P18:P37, "✓") + COUNTIF(P18:P37, "✔") + COUNTIF(P18:P37, "v") + COUNTIF(P18:P37, "V")) + COUNTIF(P18:P37, "✗") + COUNTIF(P18:P37, "x") + COUNTIF(P18:P37, "X")), "")</f>
        <v/>
      </c>
      <c r="Q38" s="33">
        <f>IF(((COUNTIF(Q18:Q37, "✓") + COUNTIF(Q18:Q37, "✔") + COUNTIF(Q18:Q37, "v") + COUNTIF(Q18:Q37, "V")) + COUNTIF(Q18:Q37, "✗") + COUNTIF(Q18:Q37, "x") + COUNTIF(Q18:Q37, "X")) &gt; 0, (COUNTIF(Q18:Q37, "✓") + COUNTIF(Q18:Q37, "✔") + COUNTIF(Q18:Q37, "v") + COUNTIF(Q18:Q37, "V")) &amp; "/" &amp; ((COUNTIF(Q18:Q37, "✓") + COUNTIF(Q18:Q37, "✔") + COUNTIF(Q18:Q37, "v") + COUNTIF(Q18:Q37, "V")) + COUNTIF(Q18:Q37, "✗") + COUNTIF(Q18:Q37, "x") + COUNTIF(Q18:Q37, "X")), "")</f>
        <v/>
      </c>
      <c r="R38" s="33">
        <f>IF(((COUNTIF(R18:R37, "✓") + COUNTIF(R18:R37, "✔") + COUNTIF(R18:R37, "v") + COUNTIF(R18:R37, "V")) + COUNTIF(R18:R37, "✗") + COUNTIF(R18:R37, "x") + COUNTIF(R18:R37, "X")) &gt; 0, (COUNTIF(R18:R37, "✓") + COUNTIF(R18:R37, "✔") + COUNTIF(R18:R37, "v") + COUNTIF(R18:R37, "V")) &amp; "/" &amp; ((COUNTIF(R18:R37, "✓") + COUNTIF(R18:R37, "✔") + COUNTIF(R18:R37, "v") + COUNTIF(R18:R37, "V")) + COUNTIF(R18:R37, "✗") + COUNTIF(R18:R37, "x") + COUNTIF(R18:R37, "X")), "")</f>
        <v/>
      </c>
      <c r="S38" s="33">
        <f>IF(((COUNTIF(S18:S37, "✓") + COUNTIF(S18:S37, "✔") + COUNTIF(S18:S37, "v") + COUNTIF(S18:S37, "V")) + COUNTIF(S18:S37, "✗") + COUNTIF(S18:S37, "x") + COUNTIF(S18:S37, "X")) &gt; 0, (COUNTIF(S18:S37, "✓") + COUNTIF(S18:S37, "✔") + COUNTIF(S18:S37, "v") + COUNTIF(S18:S37, "V")) &amp; "/" &amp; ((COUNTIF(S18:S37, "✓") + COUNTIF(S18:S37, "✔") + COUNTIF(S18:S37, "v") + COUNTIF(S18:S37, "V")) + COUNTIF(S18:S37, "✗") + COUNTIF(S18:S37, "x") + COUNTIF(S18:S37, "X")), "")</f>
        <v/>
      </c>
      <c r="T38" s="33">
        <f>IF(((COUNTIF(T18:T37, "✓") + COUNTIF(T18:T37, "✔") + COUNTIF(T18:T37, "v") + COUNTIF(T18:T37, "V")) + COUNTIF(T18:T37, "✗") + COUNTIF(T18:T37, "x") + COUNTIF(T18:T37, "X")) &gt; 0, (COUNTIF(T18:T37, "✓") + COUNTIF(T18:T37, "✔") + COUNTIF(T18:T37, "v") + COUNTIF(T18:T37, "V")) &amp; "/" &amp; ((COUNTIF(T18:T37, "✓") + COUNTIF(T18:T37, "✔") + COUNTIF(T18:T37, "v") + COUNTIF(T18:T37, "V")) + COUNTIF(T18:T37, "✗") + COUNTIF(T18:T37, "x") + COUNTIF(T18:T37, "X")), "")</f>
        <v/>
      </c>
      <c r="U38" s="33">
        <f>IF(((COUNTIF(U18:U37, "✓") + COUNTIF(U18:U37, "✔") + COUNTIF(U18:U37, "v") + COUNTIF(U18:U37, "V")) + COUNTIF(U18:U37, "✗") + COUNTIF(U18:U37, "x") + COUNTIF(U18:U37, "X")) &gt; 0, (COUNTIF(U18:U37, "✓") + COUNTIF(U18:U37, "✔") + COUNTIF(U18:U37, "v") + COUNTIF(U18:U37, "V")) &amp; "/" &amp; ((COUNTIF(U18:U37, "✓") + COUNTIF(U18:U37, "✔") + COUNTIF(U18:U37, "v") + COUNTIF(U18:U37, "V")) + COUNTIF(U18:U37, "✗") + COUNTIF(U18:U37, "x") + COUNTIF(U18:U37, "X")), "")</f>
        <v/>
      </c>
      <c r="V38" s="33">
        <f>IF(((COUNTIF(V18:V37, "✓") + COUNTIF(V18:V37, "✔") + COUNTIF(V18:V37, "v") + COUNTIF(V18:V37, "V")) + COUNTIF(V18:V37, "✗") + COUNTIF(V18:V37, "x") + COUNTIF(V18:V37, "X")) &gt; 0, (COUNTIF(V18:V37, "✓") + COUNTIF(V18:V37, "✔") + COUNTIF(V18:V37, "v") + COUNTIF(V18:V37, "V")) &amp; "/" &amp; ((COUNTIF(V18:V37, "✓") + COUNTIF(V18:V37, "✔") + COUNTIF(V18:V37, "v") + COUNTIF(V18:V37, "V")) + COUNTIF(V18:V37, "✗") + COUNTIF(V18:V37, "x") + COUNTIF(V18:V37, "X")), "")</f>
        <v/>
      </c>
      <c r="W38" s="33">
        <f>IF(((COUNTIF(W18:W37, "✓") + COUNTIF(W18:W37, "✔") + COUNTIF(W18:W37, "v") + COUNTIF(W18:W37, "V")) + COUNTIF(W18:W37, "✗") + COUNTIF(W18:W37, "x") + COUNTIF(W18:W37, "X")) &gt; 0, (COUNTIF(W18:W37, "✓") + COUNTIF(W18:W37, "✔") + COUNTIF(W18:W37, "v") + COUNTIF(W18:W37, "V")) &amp; "/" &amp; ((COUNTIF(W18:W37, "✓") + COUNTIF(W18:W37, "✔") + COUNTIF(W18:W37, "v") + COUNTIF(W18:W37, "V")) + COUNTIF(W18:W37, "✗") + COUNTIF(W18:W37, "x") + COUNTIF(W18:W37, "X")), "")</f>
        <v/>
      </c>
      <c r="X38" s="33">
        <f>IF(((COUNTIF(X18:X37, "✓") + COUNTIF(X18:X37, "✔") + COUNTIF(X18:X37, "v") + COUNTIF(X18:X37, "V")) + COUNTIF(X18:X37, "✗") + COUNTIF(X18:X37, "x") + COUNTIF(X18:X37, "X")) &gt; 0, (COUNTIF(X18:X37, "✓") + COUNTIF(X18:X37, "✔") + COUNTIF(X18:X37, "v") + COUNTIF(X18:X37, "V")) &amp; "/" &amp; ((COUNTIF(X18:X37, "✓") + COUNTIF(X18:X37, "✔") + COUNTIF(X18:X37, "v") + COUNTIF(X18:X37, "V")) + COUNTIF(X18:X37, "✗") + COUNTIF(X18:X37, "x") + COUNTIF(X18:X37, "X")), "")</f>
        <v/>
      </c>
      <c r="Y38" s="33">
        <f>IF(((COUNTIF(Y18:Y37, "✓") + COUNTIF(Y18:Y37, "✔") + COUNTIF(Y18:Y37, "v") + COUNTIF(Y18:Y37, "V")) + COUNTIF(Y18:Y37, "✗") + COUNTIF(Y18:Y37, "x") + COUNTIF(Y18:Y37, "X")) &gt; 0, (COUNTIF(Y18:Y37, "✓") + COUNTIF(Y18:Y37, "✔") + COUNTIF(Y18:Y37, "v") + COUNTIF(Y18:Y37, "V")) &amp; "/" &amp; ((COUNTIF(Y18:Y37, "✓") + COUNTIF(Y18:Y37, "✔") + COUNTIF(Y18:Y37, "v") + COUNTIF(Y18:Y37, "V")) + COUNTIF(Y18:Y37, "✗") + COUNTIF(Y18:Y37, "x") + COUNTIF(Y18:Y37, "X")), "")</f>
        <v/>
      </c>
      <c r="Z38" s="33">
        <f>IF(((COUNTIF(Z18:Z37, "✓") + COUNTIF(Z18:Z37, "✔") + COUNTIF(Z18:Z37, "v") + COUNTIF(Z18:Z37, "V")) + COUNTIF(Z18:Z37, "✗") + COUNTIF(Z18:Z37, "x") + COUNTIF(Z18:Z37, "X")) &gt; 0, (COUNTIF(Z18:Z37, "✓") + COUNTIF(Z18:Z37, "✔") + COUNTIF(Z18:Z37, "v") + COUNTIF(Z18:Z37, "V")) &amp; "/" &amp; ((COUNTIF(Z18:Z37, "✓") + COUNTIF(Z18:Z37, "✔") + COUNTIF(Z18:Z37, "v") + COUNTIF(Z18:Z37, "V")) + COUNTIF(Z18:Z37, "✗") + COUNTIF(Z18:Z37, "x") + COUNTIF(Z18:Z37, "X")), "")</f>
        <v/>
      </c>
      <c r="AA38" s="33">
        <f>IF(((COUNTIF(AA18:AA37, "✓") + COUNTIF(AA18:AA37, "✔") + COUNTIF(AA18:AA37, "v") + COUNTIF(AA18:AA37, "V")) + COUNTIF(AA18:AA37, "✗") + COUNTIF(AA18:AA37, "x") + COUNTIF(AA18:AA37, "X")) &gt; 0, (COUNTIF(AA18:AA37, "✓") + COUNTIF(AA18:AA37, "✔") + COUNTIF(AA18:AA37, "v") + COUNTIF(AA18:AA37, "V")) &amp; "/" &amp; ((COUNTIF(AA18:AA37, "✓") + COUNTIF(AA18:AA37, "✔") + COUNTIF(AA18:AA37, "v") + COUNTIF(AA18:AA37, "V")) + COUNTIF(AA18:AA37, "✗") + COUNTIF(AA18:AA37, "x") + COUNTIF(AA18:AA37, "X")), "")</f>
        <v/>
      </c>
      <c r="AB38" s="33">
        <f>IF(((COUNTIF(AB18:AB37, "✓") + COUNTIF(AB18:AB37, "✔") + COUNTIF(AB18:AB37, "v") + COUNTIF(AB18:AB37, "V")) + COUNTIF(AB18:AB37, "✗") + COUNTIF(AB18:AB37, "x") + COUNTIF(AB18:AB37, "X")) &gt; 0, (COUNTIF(AB18:AB37, "✓") + COUNTIF(AB18:AB37, "✔") + COUNTIF(AB18:AB37, "v") + COUNTIF(AB18:AB37, "V")) &amp; "/" &amp; ((COUNTIF(AB18:AB37, "✓") + COUNTIF(AB18:AB37, "✔") + COUNTIF(AB18:AB37, "v") + COUNTIF(AB18:AB37, "V")) + COUNTIF(AB18:AB37, "✗") + COUNTIF(AB18:AB37, "x") + COUNTIF(AB18:AB37, "X")), "")</f>
        <v/>
      </c>
      <c r="AC38" s="33">
        <f>IF(((COUNTIF(AC18:AC37, "✓") + COUNTIF(AC18:AC37, "✔") + COUNTIF(AC18:AC37, "v") + COUNTIF(AC18:AC37, "V")) + COUNTIF(AC18:AC37, "✗") + COUNTIF(AC18:AC37, "x") + COUNTIF(AC18:AC37, "X")) &gt; 0, (COUNTIF(AC18:AC37, "✓") + COUNTIF(AC18:AC37, "✔") + COUNTIF(AC18:AC37, "v") + COUNTIF(AC18:AC37, "V")) &amp; "/" &amp; ((COUNTIF(AC18:AC37, "✓") + COUNTIF(AC18:AC37, "✔") + COUNTIF(AC18:AC37, "v") + COUNTIF(AC18:AC37, "V")) + COUNTIF(AC18:AC37, "✗") + COUNTIF(AC18:AC37, "x") + COUNTIF(AC18:AC37, "X")), "")</f>
        <v/>
      </c>
      <c r="AD38" s="33">
        <f>IF(((COUNTIF(AD18:AD37, "✓") + COUNTIF(AD18:AD37, "✔") + COUNTIF(AD18:AD37, "v") + COUNTIF(AD18:AD37, "V")) + COUNTIF(AD18:AD37, "✗") + COUNTIF(AD18:AD37, "x") + COUNTIF(AD18:AD37, "X")) &gt; 0, (COUNTIF(AD18:AD37, "✓") + COUNTIF(AD18:AD37, "✔") + COUNTIF(AD18:AD37, "v") + COUNTIF(AD18:AD37, "V")) &amp; "/" &amp; ((COUNTIF(AD18:AD37, "✓") + COUNTIF(AD18:AD37, "✔") + COUNTIF(AD18:AD37, "v") + COUNTIF(AD18:AD37, "V")) + COUNTIF(AD18:AD37, "✗") + COUNTIF(AD18:AD37, "x") + COUNTIF(AD18:AD37, "X")), "")</f>
        <v/>
      </c>
      <c r="AE38" s="33">
        <f>IF(((COUNTIF(AE18:AE37, "✓") + COUNTIF(AE18:AE37, "✔") + COUNTIF(AE18:AE37, "v") + COUNTIF(AE18:AE37, "V")) + COUNTIF(AE18:AE37, "✗") + COUNTIF(AE18:AE37, "x") + COUNTIF(AE18:AE37, "X")) &gt; 0, (COUNTIF(AE18:AE37, "✓") + COUNTIF(AE18:AE37, "✔") + COUNTIF(AE18:AE37, "v") + COUNTIF(AE18:AE37, "V")) &amp; "/" &amp; ((COUNTIF(AE18:AE37, "✓") + COUNTIF(AE18:AE37, "✔") + COUNTIF(AE18:AE37, "v") + COUNTIF(AE18:AE37, "V")) + COUNTIF(AE18:AE37, "✗") + COUNTIF(AE18:AE37, "x") + COUNTIF(AE18:AE37, "X")), "")</f>
        <v/>
      </c>
      <c r="AF38" s="33">
        <f>IF(((COUNTIF(AF18:AF37, "✓") + COUNTIF(AF18:AF37, "✔") + COUNTIF(AF18:AF37, "v") + COUNTIF(AF18:AF37, "V")) + COUNTIF(AF18:AF37, "✗") + COUNTIF(AF18:AF37, "x") + COUNTIF(AF18:AF37, "X")) &gt; 0, (COUNTIF(AF18:AF37, "✓") + COUNTIF(AF18:AF37, "✔") + COUNTIF(AF18:AF37, "v") + COUNTIF(AF18:AF37, "V")) &amp; "/" &amp; ((COUNTIF(AF18:AF37, "✓") + COUNTIF(AF18:AF37, "✔") + COUNTIF(AF18:AF37, "v") + COUNTIF(AF18:AF37, "V")) + COUNTIF(AF18:AF37, "✗") + COUNTIF(AF18:AF37, "x") + COUNTIF(AF18:AF37, "X")), "")</f>
        <v/>
      </c>
      <c r="AG38" s="33">
        <f>IF(((COUNTIF(AG18:AG37, "✓") + COUNTIF(AG18:AG37, "✔") + COUNTIF(AG18:AG37, "v") + COUNTIF(AG18:AG37, "V")) + COUNTIF(AG18:AG37, "✗") + COUNTIF(AG18:AG37, "x") + COUNTIF(AG18:AG37, "X")) &gt; 0, (COUNTIF(AG18:AG37, "✓") + COUNTIF(AG18:AG37, "✔") + COUNTIF(AG18:AG37, "v") + COUNTIF(AG18:AG37, "V")) &amp; "/" &amp; ((COUNTIF(AG18:AG37, "✓") + COUNTIF(AG18:AG37, "✔") + COUNTIF(AG18:AG37, "v") + COUNTIF(AG18:AG37, "V")) + COUNTIF(AG18:AG37, "✗") + COUNTIF(AG18:AG37, "x") + COUNTIF(AG18:AG37, "X")), "")</f>
        <v/>
      </c>
      <c r="AH38" s="33">
        <f>IF(((COUNTIF(AH18:AH37, "✓") + COUNTIF(AH18:AH37, "✔") + COUNTIF(AH18:AH37, "v") + COUNTIF(AH18:AH37, "V")) + COUNTIF(AH18:AH37, "✗") + COUNTIF(AH18:AH37, "x") + COUNTIF(AH18:AH37, "X")) &gt; 0, (COUNTIF(AH18:AH37, "✓") + COUNTIF(AH18:AH37, "✔") + COUNTIF(AH18:AH37, "v") + COUNTIF(AH18:AH37, "V")) &amp; "/" &amp; ((COUNTIF(AH18:AH37, "✓") + COUNTIF(AH18:AH37, "✔") + COUNTIF(AH18:AH37, "v") + COUNTIF(AH18:AH37, "V")) + COUNTIF(AH18:AH37, "✗") + COUNTIF(AH18:AH37, "x") + COUNTIF(AH18:AH37, "X")), "")</f>
        <v/>
      </c>
      <c r="AI38" s="133">
        <f>IF(SUM(D18:D37) &gt; 0, SUM(AL18:AL37) / SUM(D18:D37), "")</f>
        <v/>
      </c>
      <c r="AJ38" s="33">
        <f>IF(SUM(D18:D37) &gt; 0, SUM(AL18:AL37) &amp; "/" &amp; SUM(D18:D37), "")</f>
        <v/>
      </c>
      <c r="AK38" s="54" t="n"/>
    </row>
    <row r="39" ht="18" customHeight="1">
      <c r="A39" s="132" t="inlineStr">
        <is>
          <t>DAILY SUCCESS %</t>
        </is>
      </c>
      <c r="B39" s="54" t="n"/>
      <c r="C39" s="54" t="n"/>
      <c r="D39" s="54" t="n"/>
      <c r="E39" s="134">
        <f>IF(((COUNTIF(E18:E37, "✓") + COUNTIF(E18:E37, "✔") + COUNTIF(E18:E37, "v") + COUNTIF(E18:E37, "V")) + COUNTIF(E18:E37, "✗") + COUNTIF(E18:E37, "x") + COUNTIF(E18:E37, "X")) &gt; 0, (COUNTIF(E18:E37, "✓") + COUNTIF(E18:E37, "✔") + COUNTIF(E18:E37, "v") + COUNTIF(E18:E37, "V")) / ((COUNTIF(E18:E37, "✓") + COUNTIF(E18:E37, "✔") + COUNTIF(E18:E37, "v") + COUNTIF(E18:E37, "V")) + COUNTIF(E18:E37, "✗") + COUNTIF(E18:E37, "x") + COUNTIF(E18:E37, "X")), "")</f>
        <v/>
      </c>
      <c r="F39" s="134">
        <f>IF(((COUNTIF(F18:F37, "✓") + COUNTIF(F18:F37, "✔") + COUNTIF(F18:F37, "v") + COUNTIF(F18:F37, "V")) + COUNTIF(F18:F37, "✗") + COUNTIF(F18:F37, "x") + COUNTIF(F18:F37, "X")) &gt; 0, (COUNTIF(F18:F37, "✓") + COUNTIF(F18:F37, "✔") + COUNTIF(F18:F37, "v") + COUNTIF(F18:F37, "V")) / ((COUNTIF(F18:F37, "✓") + COUNTIF(F18:F37, "✔") + COUNTIF(F18:F37, "v") + COUNTIF(F18:F37, "V")) + COUNTIF(F18:F37, "✗") + COUNTIF(F18:F37, "x") + COUNTIF(F18:F37, "X")), "")</f>
        <v/>
      </c>
      <c r="G39" s="134">
        <f>IF(((COUNTIF(G18:G37, "✓") + COUNTIF(G18:G37, "✔") + COUNTIF(G18:G37, "v") + COUNTIF(G18:G37, "V")) + COUNTIF(G18:G37, "✗") + COUNTIF(G18:G37, "x") + COUNTIF(G18:G37, "X")) &gt; 0, (COUNTIF(G18:G37, "✓") + COUNTIF(G18:G37, "✔") + COUNTIF(G18:G37, "v") + COUNTIF(G18:G37, "V")) / ((COUNTIF(G18:G37, "✓") + COUNTIF(G18:G37, "✔") + COUNTIF(G18:G37, "v") + COUNTIF(G18:G37, "V")) + COUNTIF(G18:G37, "✗") + COUNTIF(G18:G37, "x") + COUNTIF(G18:G37, "X")), "")</f>
        <v/>
      </c>
      <c r="H39" s="134">
        <f>IF(((COUNTIF(H18:H37, "✓") + COUNTIF(H18:H37, "✔") + COUNTIF(H18:H37, "v") + COUNTIF(H18:H37, "V")) + COUNTIF(H18:H37, "✗") + COUNTIF(H18:H37, "x") + COUNTIF(H18:H37, "X")) &gt; 0, (COUNTIF(H18:H37, "✓") + COUNTIF(H18:H37, "✔") + COUNTIF(H18:H37, "v") + COUNTIF(H18:H37, "V")) / ((COUNTIF(H18:H37, "✓") + COUNTIF(H18:H37, "✔") + COUNTIF(H18:H37, "v") + COUNTIF(H18:H37, "V")) + COUNTIF(H18:H37, "✗") + COUNTIF(H18:H37, "x") + COUNTIF(H18:H37, "X")), "")</f>
        <v/>
      </c>
      <c r="I39" s="134">
        <f>IF(((COUNTIF(I18:I37, "✓") + COUNTIF(I18:I37, "✔") + COUNTIF(I18:I37, "v") + COUNTIF(I18:I37, "V")) + COUNTIF(I18:I37, "✗") + COUNTIF(I18:I37, "x") + COUNTIF(I18:I37, "X")) &gt; 0, (COUNTIF(I18:I37, "✓") + COUNTIF(I18:I37, "✔") + COUNTIF(I18:I37, "v") + COUNTIF(I18:I37, "V")) / ((COUNTIF(I18:I37, "✓") + COUNTIF(I18:I37, "✔") + COUNTIF(I18:I37, "v") + COUNTIF(I18:I37, "V")) + COUNTIF(I18:I37, "✗") + COUNTIF(I18:I37, "x") + COUNTIF(I18:I37, "X")), "")</f>
        <v/>
      </c>
      <c r="J39" s="134">
        <f>IF(((COUNTIF(J18:J37, "✓") + COUNTIF(J18:J37, "✔") + COUNTIF(J18:J37, "v") + COUNTIF(J18:J37, "V")) + COUNTIF(J18:J37, "✗") + COUNTIF(J18:J37, "x") + COUNTIF(J18:J37, "X")) &gt; 0, (COUNTIF(J18:J37, "✓") + COUNTIF(J18:J37, "✔") + COUNTIF(J18:J37, "v") + COUNTIF(J18:J37, "V")) / ((COUNTIF(J18:J37, "✓") + COUNTIF(J18:J37, "✔") + COUNTIF(J18:J37, "v") + COUNTIF(J18:J37, "V")) + COUNTIF(J18:J37, "✗") + COUNTIF(J18:J37, "x") + COUNTIF(J18:J37, "X")), "")</f>
        <v/>
      </c>
      <c r="K39" s="134">
        <f>IF(((COUNTIF(K18:K37, "✓") + COUNTIF(K18:K37, "✔") + COUNTIF(K18:K37, "v") + COUNTIF(K18:K37, "V")) + COUNTIF(K18:K37, "✗") + COUNTIF(K18:K37, "x") + COUNTIF(K18:K37, "X")) &gt; 0, (COUNTIF(K18:K37, "✓") + COUNTIF(K18:K37, "✔") + COUNTIF(K18:K37, "v") + COUNTIF(K18:K37, "V")) / ((COUNTIF(K18:K37, "✓") + COUNTIF(K18:K37, "✔") + COUNTIF(K18:K37, "v") + COUNTIF(K18:K37, "V")) + COUNTIF(K18:K37, "✗") + COUNTIF(K18:K37, "x") + COUNTIF(K18:K37, "X")), "")</f>
        <v/>
      </c>
      <c r="L39" s="134">
        <f>IF(((COUNTIF(L18:L37, "✓") + COUNTIF(L18:L37, "✔") + COUNTIF(L18:L37, "v") + COUNTIF(L18:L37, "V")) + COUNTIF(L18:L37, "✗") + COUNTIF(L18:L37, "x") + COUNTIF(L18:L37, "X")) &gt; 0, (COUNTIF(L18:L37, "✓") + COUNTIF(L18:L37, "✔") + COUNTIF(L18:L37, "v") + COUNTIF(L18:L37, "V")) / ((COUNTIF(L18:L37, "✓") + COUNTIF(L18:L37, "✔") + COUNTIF(L18:L37, "v") + COUNTIF(L18:L37, "V")) + COUNTIF(L18:L37, "✗") + COUNTIF(L18:L37, "x") + COUNTIF(L18:L37, "X")), "")</f>
        <v/>
      </c>
      <c r="M39" s="134">
        <f>IF(((COUNTIF(M18:M37, "✓") + COUNTIF(M18:M37, "✔") + COUNTIF(M18:M37, "v") + COUNTIF(M18:M37, "V")) + COUNTIF(M18:M37, "✗") + COUNTIF(M18:M37, "x") + COUNTIF(M18:M37, "X")) &gt; 0, (COUNTIF(M18:M37, "✓") + COUNTIF(M18:M37, "✔") + COUNTIF(M18:M37, "v") + COUNTIF(M18:M37, "V")) / ((COUNTIF(M18:M37, "✓") + COUNTIF(M18:M37, "✔") + COUNTIF(M18:M37, "v") + COUNTIF(M18:M37, "V")) + COUNTIF(M18:M37, "✗") + COUNTIF(M18:M37, "x") + COUNTIF(M18:M37, "X")), "")</f>
        <v/>
      </c>
      <c r="N39" s="134">
        <f>IF(((COUNTIF(N18:N37, "✓") + COUNTIF(N18:N37, "✔") + COUNTIF(N18:N37, "v") + COUNTIF(N18:N37, "V")) + COUNTIF(N18:N37, "✗") + COUNTIF(N18:N37, "x") + COUNTIF(N18:N37, "X")) &gt; 0, (COUNTIF(N18:N37, "✓") + COUNTIF(N18:N37, "✔") + COUNTIF(N18:N37, "v") + COUNTIF(N18:N37, "V")) / ((COUNTIF(N18:N37, "✓") + COUNTIF(N18:N37, "✔") + COUNTIF(N18:N37, "v") + COUNTIF(N18:N37, "V")) + COUNTIF(N18:N37, "✗") + COUNTIF(N18:N37, "x") + COUNTIF(N18:N37, "X")), "")</f>
        <v/>
      </c>
      <c r="O39" s="134">
        <f>IF(((COUNTIF(O18:O37, "✓") + COUNTIF(O18:O37, "✔") + COUNTIF(O18:O37, "v") + COUNTIF(O18:O37, "V")) + COUNTIF(O18:O37, "✗") + COUNTIF(O18:O37, "x") + COUNTIF(O18:O37, "X")) &gt; 0, (COUNTIF(O18:O37, "✓") + COUNTIF(O18:O37, "✔") + COUNTIF(O18:O37, "v") + COUNTIF(O18:O37, "V")) / ((COUNTIF(O18:O37, "✓") + COUNTIF(O18:O37, "✔") + COUNTIF(O18:O37, "v") + COUNTIF(O18:O37, "V")) + COUNTIF(O18:O37, "✗") + COUNTIF(O18:O37, "x") + COUNTIF(O18:O37, "X")), "")</f>
        <v/>
      </c>
      <c r="P39" s="134">
        <f>IF(((COUNTIF(P18:P37, "✓") + COUNTIF(P18:P37, "✔") + COUNTIF(P18:P37, "v") + COUNTIF(P18:P37, "V")) + COUNTIF(P18:P37, "✗") + COUNTIF(P18:P37, "x") + COUNTIF(P18:P37, "X")) &gt; 0, (COUNTIF(P18:P37, "✓") + COUNTIF(P18:P37, "✔") + COUNTIF(P18:P37, "v") + COUNTIF(P18:P37, "V")) / ((COUNTIF(P18:P37, "✓") + COUNTIF(P18:P37, "✔") + COUNTIF(P18:P37, "v") + COUNTIF(P18:P37, "V")) + COUNTIF(P18:P37, "✗") + COUNTIF(P18:P37, "x") + COUNTIF(P18:P37, "X")), "")</f>
        <v/>
      </c>
      <c r="Q39" s="134">
        <f>IF(((COUNTIF(Q18:Q37, "✓") + COUNTIF(Q18:Q37, "✔") + COUNTIF(Q18:Q37, "v") + COUNTIF(Q18:Q37, "V")) + COUNTIF(Q18:Q37, "✗") + COUNTIF(Q18:Q37, "x") + COUNTIF(Q18:Q37, "X")) &gt; 0, (COUNTIF(Q18:Q37, "✓") + COUNTIF(Q18:Q37, "✔") + COUNTIF(Q18:Q37, "v") + COUNTIF(Q18:Q37, "V")) / ((COUNTIF(Q18:Q37, "✓") + COUNTIF(Q18:Q37, "✔") + COUNTIF(Q18:Q37, "v") + COUNTIF(Q18:Q37, "V")) + COUNTIF(Q18:Q37, "✗") + COUNTIF(Q18:Q37, "x") + COUNTIF(Q18:Q37, "X")), "")</f>
        <v/>
      </c>
      <c r="R39" s="134">
        <f>IF(((COUNTIF(R18:R37, "✓") + COUNTIF(R18:R37, "✔") + COUNTIF(R18:R37, "v") + COUNTIF(R18:R37, "V")) + COUNTIF(R18:R37, "✗") + COUNTIF(R18:R37, "x") + COUNTIF(R18:R37, "X")) &gt; 0, (COUNTIF(R18:R37, "✓") + COUNTIF(R18:R37, "✔") + COUNTIF(R18:R37, "v") + COUNTIF(R18:R37, "V")) / ((COUNTIF(R18:R37, "✓") + COUNTIF(R18:R37, "✔") + COUNTIF(R18:R37, "v") + COUNTIF(R18:R37, "V")) + COUNTIF(R18:R37, "✗") + COUNTIF(R18:R37, "x") + COUNTIF(R18:R37, "X")), "")</f>
        <v/>
      </c>
      <c r="S39" s="134">
        <f>IF(((COUNTIF(S18:S37, "✓") + COUNTIF(S18:S37, "✔") + COUNTIF(S18:S37, "v") + COUNTIF(S18:S37, "V")) + COUNTIF(S18:S37, "✗") + COUNTIF(S18:S37, "x") + COUNTIF(S18:S37, "X")) &gt; 0, (COUNTIF(S18:S37, "✓") + COUNTIF(S18:S37, "✔") + COUNTIF(S18:S37, "v") + COUNTIF(S18:S37, "V")) / ((COUNTIF(S18:S37, "✓") + COUNTIF(S18:S37, "✔") + COUNTIF(S18:S37, "v") + COUNTIF(S18:S37, "V")) + COUNTIF(S18:S37, "✗") + COUNTIF(S18:S37, "x") + COUNTIF(S18:S37, "X")), "")</f>
        <v/>
      </c>
      <c r="T39" s="134">
        <f>IF(((COUNTIF(T18:T37, "✓") + COUNTIF(T18:T37, "✔") + COUNTIF(T18:T37, "v") + COUNTIF(T18:T37, "V")) + COUNTIF(T18:T37, "✗") + COUNTIF(T18:T37, "x") + COUNTIF(T18:T37, "X")) &gt; 0, (COUNTIF(T18:T37, "✓") + COUNTIF(T18:T37, "✔") + COUNTIF(T18:T37, "v") + COUNTIF(T18:T37, "V")) / ((COUNTIF(T18:T37, "✓") + COUNTIF(T18:T37, "✔") + COUNTIF(T18:T37, "v") + COUNTIF(T18:T37, "V")) + COUNTIF(T18:T37, "✗") + COUNTIF(T18:T37, "x") + COUNTIF(T18:T37, "X")), "")</f>
        <v/>
      </c>
      <c r="U39" s="134">
        <f>IF(((COUNTIF(U18:U37, "✓") + COUNTIF(U18:U37, "✔") + COUNTIF(U18:U37, "v") + COUNTIF(U18:U37, "V")) + COUNTIF(U18:U37, "✗") + COUNTIF(U18:U37, "x") + COUNTIF(U18:U37, "X")) &gt; 0, (COUNTIF(U18:U37, "✓") + COUNTIF(U18:U37, "✔") + COUNTIF(U18:U37, "v") + COUNTIF(U18:U37, "V")) / ((COUNTIF(U18:U37, "✓") + COUNTIF(U18:U37, "✔") + COUNTIF(U18:U37, "v") + COUNTIF(U18:U37, "V")) + COUNTIF(U18:U37, "✗") + COUNTIF(U18:U37, "x") + COUNTIF(U18:U37, "X")), "")</f>
        <v/>
      </c>
      <c r="V39" s="134">
        <f>IF(((COUNTIF(V18:V37, "✓") + COUNTIF(V18:V37, "✔") + COUNTIF(V18:V37, "v") + COUNTIF(V18:V37, "V")) + COUNTIF(V18:V37, "✗") + COUNTIF(V18:V37, "x") + COUNTIF(V18:V37, "X")) &gt; 0, (COUNTIF(V18:V37, "✓") + COUNTIF(V18:V37, "✔") + COUNTIF(V18:V37, "v") + COUNTIF(V18:V37, "V")) / ((COUNTIF(V18:V37, "✓") + COUNTIF(V18:V37, "✔") + COUNTIF(V18:V37, "v") + COUNTIF(V18:V37, "V")) + COUNTIF(V18:V37, "✗") + COUNTIF(V18:V37, "x") + COUNTIF(V18:V37, "X")), "")</f>
        <v/>
      </c>
      <c r="W39" s="134">
        <f>IF(((COUNTIF(W18:W37, "✓") + COUNTIF(W18:W37, "✔") + COUNTIF(W18:W37, "v") + COUNTIF(W18:W37, "V")) + COUNTIF(W18:W37, "✗") + COUNTIF(W18:W37, "x") + COUNTIF(W18:W37, "X")) &gt; 0, (COUNTIF(W18:W37, "✓") + COUNTIF(W18:W37, "✔") + COUNTIF(W18:W37, "v") + COUNTIF(W18:W37, "V")) / ((COUNTIF(W18:W37, "✓") + COUNTIF(W18:W37, "✔") + COUNTIF(W18:W37, "v") + COUNTIF(W18:W37, "V")) + COUNTIF(W18:W37, "✗") + COUNTIF(W18:W37, "x") + COUNTIF(W18:W37, "X")), "")</f>
        <v/>
      </c>
      <c r="X39" s="134">
        <f>IF(((COUNTIF(X18:X37, "✓") + COUNTIF(X18:X37, "✔") + COUNTIF(X18:X37, "v") + COUNTIF(X18:X37, "V")) + COUNTIF(X18:X37, "✗") + COUNTIF(X18:X37, "x") + COUNTIF(X18:X37, "X")) &gt; 0, (COUNTIF(X18:X37, "✓") + COUNTIF(X18:X37, "✔") + COUNTIF(X18:X37, "v") + COUNTIF(X18:X37, "V")) / ((COUNTIF(X18:X37, "✓") + COUNTIF(X18:X37, "✔") + COUNTIF(X18:X37, "v") + COUNTIF(X18:X37, "V")) + COUNTIF(X18:X37, "✗") + COUNTIF(X18:X37, "x") + COUNTIF(X18:X37, "X")), "")</f>
        <v/>
      </c>
      <c r="Y39" s="134">
        <f>IF(((COUNTIF(Y18:Y37, "✓") + COUNTIF(Y18:Y37, "✔") + COUNTIF(Y18:Y37, "v") + COUNTIF(Y18:Y37, "V")) + COUNTIF(Y18:Y37, "✗") + COUNTIF(Y18:Y37, "x") + COUNTIF(Y18:Y37, "X")) &gt; 0, (COUNTIF(Y18:Y37, "✓") + COUNTIF(Y18:Y37, "✔") + COUNTIF(Y18:Y37, "v") + COUNTIF(Y18:Y37, "V")) / ((COUNTIF(Y18:Y37, "✓") + COUNTIF(Y18:Y37, "✔") + COUNTIF(Y18:Y37, "v") + COUNTIF(Y18:Y37, "V")) + COUNTIF(Y18:Y37, "✗") + COUNTIF(Y18:Y37, "x") + COUNTIF(Y18:Y37, "X")), "")</f>
        <v/>
      </c>
      <c r="Z39" s="134">
        <f>IF(((COUNTIF(Z18:Z37, "✓") + COUNTIF(Z18:Z37, "✔") + COUNTIF(Z18:Z37, "v") + COUNTIF(Z18:Z37, "V")) + COUNTIF(Z18:Z37, "✗") + COUNTIF(Z18:Z37, "x") + COUNTIF(Z18:Z37, "X")) &gt; 0, (COUNTIF(Z18:Z37, "✓") + COUNTIF(Z18:Z37, "✔") + COUNTIF(Z18:Z37, "v") + COUNTIF(Z18:Z37, "V")) / ((COUNTIF(Z18:Z37, "✓") + COUNTIF(Z18:Z37, "✔") + COUNTIF(Z18:Z37, "v") + COUNTIF(Z18:Z37, "V")) + COUNTIF(Z18:Z37, "✗") + COUNTIF(Z18:Z37, "x") + COUNTIF(Z18:Z37, "X")), "")</f>
        <v/>
      </c>
      <c r="AA39" s="134">
        <f>IF(((COUNTIF(AA18:AA37, "✓") + COUNTIF(AA18:AA37, "✔") + COUNTIF(AA18:AA37, "v") + COUNTIF(AA18:AA37, "V")) + COUNTIF(AA18:AA37, "✗") + COUNTIF(AA18:AA37, "x") + COUNTIF(AA18:AA37, "X")) &gt; 0, (COUNTIF(AA18:AA37, "✓") + COUNTIF(AA18:AA37, "✔") + COUNTIF(AA18:AA37, "v") + COUNTIF(AA18:AA37, "V")) / ((COUNTIF(AA18:AA37, "✓") + COUNTIF(AA18:AA37, "✔") + COUNTIF(AA18:AA37, "v") + COUNTIF(AA18:AA37, "V")) + COUNTIF(AA18:AA37, "✗") + COUNTIF(AA18:AA37, "x") + COUNTIF(AA18:AA37, "X")), "")</f>
        <v/>
      </c>
      <c r="AB39" s="134">
        <f>IF(((COUNTIF(AB18:AB37, "✓") + COUNTIF(AB18:AB37, "✔") + COUNTIF(AB18:AB37, "v") + COUNTIF(AB18:AB37, "V")) + COUNTIF(AB18:AB37, "✗") + COUNTIF(AB18:AB37, "x") + COUNTIF(AB18:AB37, "X")) &gt; 0, (COUNTIF(AB18:AB37, "✓") + COUNTIF(AB18:AB37, "✔") + COUNTIF(AB18:AB37, "v") + COUNTIF(AB18:AB37, "V")) / ((COUNTIF(AB18:AB37, "✓") + COUNTIF(AB18:AB37, "✔") + COUNTIF(AB18:AB37, "v") + COUNTIF(AB18:AB37, "V")) + COUNTIF(AB18:AB37, "✗") + COUNTIF(AB18:AB37, "x") + COUNTIF(AB18:AB37, "X")), "")</f>
        <v/>
      </c>
      <c r="AC39" s="134">
        <f>IF(((COUNTIF(AC18:AC37, "✓") + COUNTIF(AC18:AC37, "✔") + COUNTIF(AC18:AC37, "v") + COUNTIF(AC18:AC37, "V")) + COUNTIF(AC18:AC37, "✗") + COUNTIF(AC18:AC37, "x") + COUNTIF(AC18:AC37, "X")) &gt; 0, (COUNTIF(AC18:AC37, "✓") + COUNTIF(AC18:AC37, "✔") + COUNTIF(AC18:AC37, "v") + COUNTIF(AC18:AC37, "V")) / ((COUNTIF(AC18:AC37, "✓") + COUNTIF(AC18:AC37, "✔") + COUNTIF(AC18:AC37, "v") + COUNTIF(AC18:AC37, "V")) + COUNTIF(AC18:AC37, "✗") + COUNTIF(AC18:AC37, "x") + COUNTIF(AC18:AC37, "X")), "")</f>
        <v/>
      </c>
      <c r="AD39" s="134">
        <f>IF(((COUNTIF(AD18:AD37, "✓") + COUNTIF(AD18:AD37, "✔") + COUNTIF(AD18:AD37, "v") + COUNTIF(AD18:AD37, "V")) + COUNTIF(AD18:AD37, "✗") + COUNTIF(AD18:AD37, "x") + COUNTIF(AD18:AD37, "X")) &gt; 0, (COUNTIF(AD18:AD37, "✓") + COUNTIF(AD18:AD37, "✔") + COUNTIF(AD18:AD37, "v") + COUNTIF(AD18:AD37, "V")) / ((COUNTIF(AD18:AD37, "✓") + COUNTIF(AD18:AD37, "✔") + COUNTIF(AD18:AD37, "v") + COUNTIF(AD18:AD37, "V")) + COUNTIF(AD18:AD37, "✗") + COUNTIF(AD18:AD37, "x") + COUNTIF(AD18:AD37, "X")), "")</f>
        <v/>
      </c>
      <c r="AE39" s="134">
        <f>IF(((COUNTIF(AE18:AE37, "✓") + COUNTIF(AE18:AE37, "✔") + COUNTIF(AE18:AE37, "v") + COUNTIF(AE18:AE37, "V")) + COUNTIF(AE18:AE37, "✗") + COUNTIF(AE18:AE37, "x") + COUNTIF(AE18:AE37, "X")) &gt; 0, (COUNTIF(AE18:AE37, "✓") + COUNTIF(AE18:AE37, "✔") + COUNTIF(AE18:AE37, "v") + COUNTIF(AE18:AE37, "V")) / ((COUNTIF(AE18:AE37, "✓") + COUNTIF(AE18:AE37, "✔") + COUNTIF(AE18:AE37, "v") + COUNTIF(AE18:AE37, "V")) + COUNTIF(AE18:AE37, "✗") + COUNTIF(AE18:AE37, "x") + COUNTIF(AE18:AE37, "X")), "")</f>
        <v/>
      </c>
      <c r="AF39" s="134">
        <f>IF(((COUNTIF(AF18:AF37, "✓") + COUNTIF(AF18:AF37, "✔") + COUNTIF(AF18:AF37, "v") + COUNTIF(AF18:AF37, "V")) + COUNTIF(AF18:AF37, "✗") + COUNTIF(AF18:AF37, "x") + COUNTIF(AF18:AF37, "X")) &gt; 0, (COUNTIF(AF18:AF37, "✓") + COUNTIF(AF18:AF37, "✔") + COUNTIF(AF18:AF37, "v") + COUNTIF(AF18:AF37, "V")) / ((COUNTIF(AF18:AF37, "✓") + COUNTIF(AF18:AF37, "✔") + COUNTIF(AF18:AF37, "v") + COUNTIF(AF18:AF37, "V")) + COUNTIF(AF18:AF37, "✗") + COUNTIF(AF18:AF37, "x") + COUNTIF(AF18:AF37, "X")), "")</f>
        <v/>
      </c>
      <c r="AG39" s="134">
        <f>IF(((COUNTIF(AG18:AG37, "✓") + COUNTIF(AG18:AG37, "✔") + COUNTIF(AG18:AG37, "v") + COUNTIF(AG18:AG37, "V")) + COUNTIF(AG18:AG37, "✗") + COUNTIF(AG18:AG37, "x") + COUNTIF(AG18:AG37, "X")) &gt; 0, (COUNTIF(AG18:AG37, "✓") + COUNTIF(AG18:AG37, "✔") + COUNTIF(AG18:AG37, "v") + COUNTIF(AG18:AG37, "V")) / ((COUNTIF(AG18:AG37, "✓") + COUNTIF(AG18:AG37, "✔") + COUNTIF(AG18:AG37, "v") + COUNTIF(AG18:AG37, "V")) + COUNTIF(AG18:AG37, "✗") + COUNTIF(AG18:AG37, "x") + COUNTIF(AG18:AG37, "X")), "")</f>
        <v/>
      </c>
      <c r="AH39" s="134">
        <f>IF(((COUNTIF(AH18:AH37, "✓") + COUNTIF(AH18:AH37, "✔") + COUNTIF(AH18:AH37, "v") + COUNTIF(AH18:AH37, "V")) + COUNTIF(AH18:AH37, "✗") + COUNTIF(AH18:AH37, "x") + COUNTIF(AH18:AH37, "X")) &gt; 0, (COUNTIF(AH18:AH37, "✓") + COUNTIF(AH18:AH37, "✔") + COUNTIF(AH18:AH37, "v") + COUNTIF(AH18:AH37, "V")) / ((COUNTIF(AH18:AH37, "✓") + COUNTIF(AH18:AH37, "✔") + COUNTIF(AH18:AH37, "v") + COUNTIF(AH18:AH37, "V")) + COUNTIF(AH18:AH37, "✗") + COUNTIF(AH18:AH37, "x") + COUNTIF(AH18:AH37, "X")), "")</f>
        <v/>
      </c>
      <c r="AI39" s="133">
        <f>IF(COUNT(E39:AH39) &gt; 0, AVERAGE(E39:AH39), "")</f>
        <v/>
      </c>
      <c r="AJ39" s="54" t="n"/>
      <c r="AK39" s="54" t="n"/>
    </row>
    <row r="40" ht="6" customHeight="1"/>
    <row r="41" ht="15" customHeight="1">
      <c r="A41" s="135" t="inlineStr">
        <is>
          <t>IF SUCCESS &lt; 80%, PUNISHMENT: ________________________________________________</t>
        </is>
      </c>
    </row>
    <row r="42" ht="15" customHeight="1">
      <c r="A42" s="136" t="inlineStr">
        <is>
          <t>IF SUCCESS &gt; 90%, REWARD: __________________________________________________</t>
        </is>
      </c>
    </row>
    <row r="43" ht="10" customHeight="1"/>
    <row r="44" ht="10" customHeight="1"/>
    <row r="45" ht="15" customHeight="1">
      <c r="A45" s="51" t="inlineStr">
        <is>
          <t>Sleep Tracking</t>
        </is>
      </c>
      <c r="B45" s="52" t="n"/>
      <c r="C45" s="52" t="n"/>
      <c r="D45" s="52" t="n"/>
      <c r="E45" s="137" t="n">
        <v>1</v>
      </c>
      <c r="F45" s="138" t="n">
        <v>2</v>
      </c>
      <c r="G45" s="137" t="n">
        <v>3</v>
      </c>
      <c r="H45" s="137" t="n">
        <v>4</v>
      </c>
      <c r="I45" s="137" t="n">
        <v>5</v>
      </c>
      <c r="J45" s="137" t="n">
        <v>6</v>
      </c>
      <c r="K45" s="137" t="n">
        <v>7</v>
      </c>
      <c r="L45" s="137" t="n">
        <v>8</v>
      </c>
      <c r="M45" s="138" t="n">
        <v>9</v>
      </c>
      <c r="N45" s="137" t="n">
        <v>10</v>
      </c>
      <c r="O45" s="137" t="n">
        <v>11</v>
      </c>
      <c r="P45" s="137" t="n">
        <v>12</v>
      </c>
      <c r="Q45" s="137" t="n">
        <v>13</v>
      </c>
      <c r="R45" s="137" t="n">
        <v>14</v>
      </c>
      <c r="S45" s="137" t="n">
        <v>15</v>
      </c>
      <c r="T45" s="138" t="n">
        <v>16</v>
      </c>
      <c r="U45" s="137" t="n">
        <v>17</v>
      </c>
      <c r="V45" s="137" t="n">
        <v>18</v>
      </c>
      <c r="W45" s="137" t="n">
        <v>19</v>
      </c>
      <c r="X45" s="137" t="n">
        <v>20</v>
      </c>
      <c r="Y45" s="137" t="n">
        <v>21</v>
      </c>
      <c r="Z45" s="137" t="n">
        <v>22</v>
      </c>
      <c r="AA45" s="138" t="n">
        <v>23</v>
      </c>
      <c r="AB45" s="137" t="n">
        <v>24</v>
      </c>
      <c r="AC45" s="137" t="n">
        <v>25</v>
      </c>
      <c r="AD45" s="137" t="n">
        <v>26</v>
      </c>
      <c r="AE45" s="137" t="n">
        <v>27</v>
      </c>
      <c r="AF45" s="137" t="n">
        <v>28</v>
      </c>
      <c r="AG45" s="137" t="n">
        <v>29</v>
      </c>
      <c r="AH45" s="138" t="n">
        <v>30</v>
      </c>
    </row>
    <row r="46" ht="15" customHeight="1">
      <c r="A46" s="52" t="n"/>
      <c r="B46" s="52" t="n"/>
      <c r="C46" s="52" t="n"/>
      <c r="D46" s="52" t="n"/>
      <c r="E46" s="139" t="inlineStr">
        <is>
          <t>Sa</t>
        </is>
      </c>
      <c r="F46" s="140" t="inlineStr">
        <is>
          <t>Su</t>
        </is>
      </c>
      <c r="G46" s="139" t="inlineStr">
        <is>
          <t>M</t>
        </is>
      </c>
      <c r="H46" s="139" t="inlineStr">
        <is>
          <t>T</t>
        </is>
      </c>
      <c r="I46" s="139" t="inlineStr">
        <is>
          <t>W</t>
        </is>
      </c>
      <c r="J46" s="139" t="inlineStr">
        <is>
          <t>Th</t>
        </is>
      </c>
      <c r="K46" s="139" t="inlineStr">
        <is>
          <t>F</t>
        </is>
      </c>
      <c r="L46" s="139" t="inlineStr">
        <is>
          <t>Sa</t>
        </is>
      </c>
      <c r="M46" s="140" t="inlineStr">
        <is>
          <t>Su</t>
        </is>
      </c>
      <c r="N46" s="139" t="inlineStr">
        <is>
          <t>M</t>
        </is>
      </c>
      <c r="O46" s="139" t="inlineStr">
        <is>
          <t>T</t>
        </is>
      </c>
      <c r="P46" s="139" t="inlineStr">
        <is>
          <t>W</t>
        </is>
      </c>
      <c r="Q46" s="139" t="inlineStr">
        <is>
          <t>Th</t>
        </is>
      </c>
      <c r="R46" s="139" t="inlineStr">
        <is>
          <t>F</t>
        </is>
      </c>
      <c r="S46" s="139" t="inlineStr">
        <is>
          <t>Sa</t>
        </is>
      </c>
      <c r="T46" s="140" t="inlineStr">
        <is>
          <t>Su</t>
        </is>
      </c>
      <c r="U46" s="139" t="inlineStr">
        <is>
          <t>M</t>
        </is>
      </c>
      <c r="V46" s="139" t="inlineStr">
        <is>
          <t>T</t>
        </is>
      </c>
      <c r="W46" s="139" t="inlineStr">
        <is>
          <t>W</t>
        </is>
      </c>
      <c r="X46" s="139" t="inlineStr">
        <is>
          <t>Th</t>
        </is>
      </c>
      <c r="Y46" s="139" t="inlineStr">
        <is>
          <t>F</t>
        </is>
      </c>
      <c r="Z46" s="139" t="inlineStr">
        <is>
          <t>Sa</t>
        </is>
      </c>
      <c r="AA46" s="140" t="inlineStr">
        <is>
          <t>Su</t>
        </is>
      </c>
      <c r="AB46" s="139" t="inlineStr">
        <is>
          <t>M</t>
        </is>
      </c>
      <c r="AC46" s="139" t="inlineStr">
        <is>
          <t>T</t>
        </is>
      </c>
      <c r="AD46" s="139" t="inlineStr">
        <is>
          <t>W</t>
        </is>
      </c>
      <c r="AE46" s="139" t="inlineStr">
        <is>
          <t>Th</t>
        </is>
      </c>
      <c r="AF46" s="139" t="inlineStr">
        <is>
          <t>F</t>
        </is>
      </c>
      <c r="AG46" s="139" t="inlineStr">
        <is>
          <t>Sa</t>
        </is>
      </c>
      <c r="AH46" s="140" t="inlineStr">
        <is>
          <t>Su</t>
        </is>
      </c>
    </row>
    <row r="47" ht="20" customHeight="1">
      <c r="A47" s="141" t="inlineStr">
        <is>
          <t>Sleep Hours (1-24)</t>
        </is>
      </c>
      <c r="B47" s="142" t="n"/>
      <c r="C47" s="142" t="n"/>
      <c r="D47" s="142" t="n"/>
      <c r="E47" s="143" t="n"/>
      <c r="F47" s="144" t="n"/>
      <c r="G47" s="143" t="n"/>
      <c r="H47" s="143" t="n"/>
      <c r="I47" s="143" t="n"/>
      <c r="J47" s="143" t="n"/>
      <c r="K47" s="143" t="n"/>
      <c r="L47" s="143" t="n"/>
      <c r="M47" s="144" t="n"/>
      <c r="N47" s="143" t="n"/>
      <c r="O47" s="143" t="n"/>
      <c r="P47" s="143" t="n"/>
      <c r="Q47" s="143" t="n"/>
      <c r="R47" s="143" t="n"/>
      <c r="S47" s="143" t="n"/>
      <c r="T47" s="144" t="n"/>
      <c r="U47" s="143" t="n"/>
      <c r="V47" s="143" t="n"/>
      <c r="W47" s="143" t="n"/>
      <c r="X47" s="143" t="n"/>
      <c r="Y47" s="143" t="n"/>
      <c r="Z47" s="143" t="n"/>
      <c r="AA47" s="144" t="n"/>
      <c r="AB47" s="143" t="n"/>
      <c r="AC47" s="143" t="n"/>
      <c r="AD47" s="143" t="n"/>
      <c r="AE47" s="143" t="n"/>
      <c r="AF47" s="143" t="n"/>
      <c r="AG47" s="143" t="n"/>
      <c r="AH47" s="144" t="n"/>
    </row>
    <row r="48" ht="6" customHeight="1"/>
    <row r="49" ht="14" customHeight="1"/>
    <row r="50" ht="14" customHeight="1"/>
    <row r="51" ht="14" customHeight="1"/>
    <row r="52" ht="14" customHeight="1"/>
    <row r="53" ht="14" customHeight="1"/>
    <row r="54" ht="14" customHeight="1"/>
    <row r="55" ht="14" customHeight="1"/>
    <row r="56" ht="14" customHeight="1"/>
    <row r="57" ht="14" customHeight="1"/>
    <row r="58" ht="14" customHeight="1"/>
    <row r="59" ht="14" customHeight="1"/>
    <row r="60" ht="14" customHeight="1"/>
    <row r="61" ht="14" customHeight="1"/>
    <row r="62" ht="14" customHeight="1"/>
    <row r="63" ht="14" customHeight="1"/>
    <row r="64" ht="14" customHeight="1"/>
    <row r="65" ht="14" customHeight="1"/>
    <row r="66" ht="8" customHeight="1"/>
    <row r="67">
      <c r="A67" s="145" t="inlineStr">
        <is>
          <t>MONTHLY SUCCESS RATE</t>
        </is>
      </c>
      <c r="B67" s="9" t="n"/>
      <c r="C67" s="9" t="n"/>
      <c r="D67" s="9" t="n"/>
      <c r="F67" s="146" t="inlineStr">
        <is>
          <t>ACTIVE PROTOCOLS</t>
        </is>
      </c>
      <c r="G67" s="11" t="n"/>
      <c r="H67" s="11" t="n"/>
      <c r="I67" s="11" t="n"/>
      <c r="K67" s="147" t="inlineStr">
        <is>
          <t>PERFECT DAYS (100%)</t>
        </is>
      </c>
      <c r="L67" s="13" t="n"/>
      <c r="M67" s="13" t="n"/>
      <c r="N67" s="13" t="n"/>
      <c r="P67" s="148" t="inlineStr">
        <is>
          <t>AVG SLEEP DURATION</t>
        </is>
      </c>
      <c r="Q67" s="15" t="n"/>
      <c r="R67" s="15" t="n"/>
      <c r="S67" s="15" t="n"/>
    </row>
    <row r="68">
      <c r="A68" s="149">
        <f>IF(SUM(D18:D37)&gt;0, SUM(AL18:AL37)/SUM(D18:D37), 0)</f>
        <v/>
      </c>
      <c r="B68" s="9" t="n"/>
      <c r="C68" s="9" t="n"/>
      <c r="D68" s="9" t="n"/>
      <c r="F68" s="150">
        <f>COUNTA(B18:B37) &amp; " / 20"</f>
        <v/>
      </c>
      <c r="G68" s="11" t="n"/>
      <c r="H68" s="11" t="n"/>
      <c r="I68" s="11" t="n"/>
      <c r="K68" s="151">
        <f>COUNTIF(E39:AH39, 1) &amp; " Days"</f>
        <v/>
      </c>
      <c r="L68" s="13" t="n"/>
      <c r="M68" s="13" t="n"/>
      <c r="N68" s="13" t="n"/>
      <c r="P68" s="152">
        <f>IFERROR(TEXT(AVERAGE(E47:AH47), "0.0") &amp; " hrs", "-")</f>
        <v/>
      </c>
      <c r="Q68" s="15" t="n"/>
      <c r="R68" s="15" t="n"/>
      <c r="S68" s="15" t="n"/>
    </row>
    <row r="69">
      <c r="A69" s="9" t="n"/>
      <c r="B69" s="9" t="n"/>
      <c r="C69" s="9" t="n"/>
      <c r="D69" s="9" t="n"/>
      <c r="F69" s="11" t="n"/>
      <c r="G69" s="11" t="n"/>
      <c r="H69" s="11" t="n"/>
      <c r="I69" s="11" t="n"/>
      <c r="K69" s="13" t="n"/>
      <c r="L69" s="13" t="n"/>
      <c r="M69" s="13" t="n"/>
      <c r="N69" s="13" t="n"/>
      <c r="P69" s="15" t="n"/>
      <c r="Q69" s="15" t="n"/>
      <c r="R69" s="15" t="n"/>
      <c r="S69" s="15" t="n"/>
    </row>
    <row r="70">
      <c r="A70" s="9" t="n"/>
      <c r="B70" s="9" t="n"/>
      <c r="C70" s="9" t="n"/>
      <c r="D70" s="9" t="n"/>
      <c r="F70" s="11" t="n"/>
      <c r="G70" s="11" t="n"/>
      <c r="H70" s="11" t="n"/>
      <c r="I70" s="11" t="n"/>
      <c r="K70" s="13" t="n"/>
      <c r="L70" s="13" t="n"/>
      <c r="M70" s="13" t="n"/>
      <c r="N70" s="13" t="n"/>
      <c r="P70" s="15" t="n"/>
      <c r="Q70" s="15" t="n"/>
      <c r="R70" s="15" t="n"/>
      <c r="S70" s="15" t="n"/>
    </row>
    <row r="71">
      <c r="A71" s="153" t="inlineStr">
        <is>
          <t>Target Completion</t>
        </is>
      </c>
      <c r="B71" s="9" t="n"/>
      <c r="C71" s="9" t="n"/>
      <c r="D71" s="9" t="n"/>
      <c r="F71" s="154" t="inlineStr">
        <is>
          <t>Habits Tracked</t>
        </is>
      </c>
      <c r="G71" s="11" t="n"/>
      <c r="H71" s="11" t="n"/>
      <c r="I71" s="11" t="n"/>
      <c r="K71" s="155" t="inlineStr">
        <is>
          <t>All Marked Habits Completed</t>
        </is>
      </c>
      <c r="L71" s="13" t="n"/>
      <c r="M71" s="13" t="n"/>
      <c r="N71" s="13" t="n"/>
      <c r="P71" s="156" t="inlineStr">
        <is>
          <t>Nightly Rest Average</t>
        </is>
      </c>
      <c r="Q71" s="15" t="n"/>
      <c r="R71" s="15" t="n"/>
      <c r="S71" s="15" t="n"/>
    </row>
    <row r="72" ht="8" customHeight="1"/>
    <row r="73" ht="6" customHeight="1"/>
    <row r="74">
      <c r="A74" s="67" t="inlineStr">
        <is>
          <t>WEEKLY PERFORMANCE (SLUMP DETECTOR)</t>
        </is>
      </c>
      <c r="B74" s="29" t="n"/>
      <c r="C74" s="29" t="n"/>
      <c r="D74" s="29" t="n"/>
      <c r="E74" s="29" t="n"/>
      <c r="N74" s="157" t="inlineStr">
        <is>
          <t>LIFE DOMAIN / CATEGORY BREAKDOWN</t>
        </is>
      </c>
      <c r="O74" s="158" t="n"/>
      <c r="P74" s="158" t="n"/>
      <c r="Q74" s="158" t="n"/>
      <c r="R74" s="158" t="n"/>
      <c r="S74" s="158" t="n"/>
    </row>
    <row r="75" ht="15" customHeight="1">
      <c r="A75" s="53" t="inlineStr">
        <is>
          <t>Week</t>
        </is>
      </c>
      <c r="B75" s="53" t="inlineStr">
        <is>
          <t>Days Range</t>
        </is>
      </c>
      <c r="C75" s="53" t="inlineStr">
        <is>
          <t>Checks Done</t>
        </is>
      </c>
      <c r="D75" s="53" t="inlineStr">
        <is>
          <t>Evaluated</t>
        </is>
      </c>
      <c r="E75" s="53" t="inlineStr">
        <is>
          <t>Success %</t>
        </is>
      </c>
      <c r="N75" s="53" t="inlineStr">
        <is>
          <t>Domain / Category</t>
        </is>
      </c>
      <c r="O75" s="54" t="n"/>
      <c r="P75" s="53" t="inlineStr">
        <is>
          <t>Active Habits</t>
        </is>
      </c>
      <c r="Q75" s="53" t="inlineStr">
        <is>
          <t>Target Days</t>
        </is>
      </c>
      <c r="R75" s="53" t="inlineStr">
        <is>
          <t>Done Checks</t>
        </is>
      </c>
      <c r="S75" s="53" t="inlineStr">
        <is>
          <t>Success %</t>
        </is>
      </c>
    </row>
    <row r="76" ht="14" customHeight="1">
      <c r="A76" s="33" t="inlineStr">
        <is>
          <t>Week 1</t>
        </is>
      </c>
      <c r="B76" s="34" t="inlineStr">
        <is>
          <t>Days 1 - 7</t>
        </is>
      </c>
      <c r="C76" s="34">
        <f>COUNTIF(E18:K37, "✓")</f>
        <v/>
      </c>
      <c r="D76" s="34">
        <f>COUNTIF(E18:K37, "✓") + COUNTIF(E18:K37, "✗")</f>
        <v/>
      </c>
      <c r="E76" s="35">
        <f>IFERROR(C76/D76, 0)</f>
        <v/>
      </c>
      <c r="N76" s="60" t="inlineStr">
        <is>
          <t>Health &amp; Fitness</t>
        </is>
      </c>
      <c r="O76" s="54" t="n"/>
      <c r="P76" s="34">
        <f>COUNTIF($C$18:$C$37, "Health &amp; Fitness")</f>
        <v/>
      </c>
      <c r="Q76" s="34">
        <f>SUMIF($C$18:$C$37, "Health &amp; Fitness", $D$18:$D$37)</f>
        <v/>
      </c>
      <c r="R76" s="34">
        <f>SUMIF($C$18:$C$37, "Health &amp; Fitness", $AL$18:$AL$37)</f>
        <v/>
      </c>
      <c r="S76" s="35">
        <f>IFERROR(R76/Q76, 0)</f>
        <v/>
      </c>
    </row>
    <row r="77" ht="14" customHeight="1">
      <c r="A77" s="33" t="inlineStr">
        <is>
          <t>Week 2</t>
        </is>
      </c>
      <c r="B77" s="34" t="inlineStr">
        <is>
          <t>Days 8 - 14</t>
        </is>
      </c>
      <c r="C77" s="34">
        <f>COUNTIF(L18:R37, "✓")</f>
        <v/>
      </c>
      <c r="D77" s="34">
        <f>COUNTIF(L18:R37, "✓") + COUNTIF(L18:R37, "✗")</f>
        <v/>
      </c>
      <c r="E77" s="35">
        <f>IFERROR(C77/D77, 0)</f>
        <v/>
      </c>
      <c r="N77" s="60" t="inlineStr">
        <is>
          <t>Mindset &amp; Learning</t>
        </is>
      </c>
      <c r="O77" s="54" t="n"/>
      <c r="P77" s="34">
        <f>COUNTIF($C$18:$C$37, "Mindset &amp; Learning")</f>
        <v/>
      </c>
      <c r="Q77" s="34">
        <f>SUMIF($C$18:$C$37, "Mindset &amp; Learning", $D$18:$D$37)</f>
        <v/>
      </c>
      <c r="R77" s="34">
        <f>SUMIF($C$18:$C$37, "Mindset &amp; Learning", $AL$18:$AL$37)</f>
        <v/>
      </c>
      <c r="S77" s="35">
        <f>IFERROR(R77/Q77, 0)</f>
        <v/>
      </c>
    </row>
    <row r="78" ht="14" customHeight="1">
      <c r="A78" s="33" t="inlineStr">
        <is>
          <t>Week 3</t>
        </is>
      </c>
      <c r="B78" s="34" t="inlineStr">
        <is>
          <t>Days 15 - 21</t>
        </is>
      </c>
      <c r="C78" s="34">
        <f>COUNTIF(S18:Y37, "✓")</f>
        <v/>
      </c>
      <c r="D78" s="34">
        <f>COUNTIF(S18:Y37, "✓") + COUNTIF(S18:Y37, "✗")</f>
        <v/>
      </c>
      <c r="E78" s="35">
        <f>IFERROR(C78/D78, 0)</f>
        <v/>
      </c>
      <c r="N78" s="60" t="inlineStr">
        <is>
          <t>Career &amp; Focus</t>
        </is>
      </c>
      <c r="O78" s="54" t="n"/>
      <c r="P78" s="34">
        <f>COUNTIF($C$18:$C$37, "Career &amp; Focus")</f>
        <v/>
      </c>
      <c r="Q78" s="34">
        <f>SUMIF($C$18:$C$37, "Career &amp; Focus", $D$18:$D$37)</f>
        <v/>
      </c>
      <c r="R78" s="34">
        <f>SUMIF($C$18:$C$37, "Career &amp; Focus", $AL$18:$AL$37)</f>
        <v/>
      </c>
      <c r="S78" s="35">
        <f>IFERROR(R78/Q78, 0)</f>
        <v/>
      </c>
    </row>
    <row r="79" ht="14" customHeight="1">
      <c r="A79" s="33" t="inlineStr">
        <is>
          <t>Week 4</t>
        </is>
      </c>
      <c r="B79" s="34" t="inlineStr">
        <is>
          <t>Days 22 - 28</t>
        </is>
      </c>
      <c r="C79" s="34">
        <f>COUNTIF(Z18:AF37, "✓")</f>
        <v/>
      </c>
      <c r="D79" s="34">
        <f>COUNTIF(Z18:AF37, "✓") + COUNTIF(Z18:AF37, "✗")</f>
        <v/>
      </c>
      <c r="E79" s="35">
        <f>IFERROR(C79/D79, 0)</f>
        <v/>
      </c>
      <c r="N79" s="60" t="inlineStr">
        <is>
          <t>Personal &amp; Home</t>
        </is>
      </c>
      <c r="O79" s="54" t="n"/>
      <c r="P79" s="34">
        <f>COUNTIF($C$18:$C$37, "Personal &amp; Home")</f>
        <v/>
      </c>
      <c r="Q79" s="34">
        <f>SUMIF($C$18:$C$37, "Personal &amp; Home", $D$18:$D$37)</f>
        <v/>
      </c>
      <c r="R79" s="34">
        <f>SUMIF($C$18:$C$37, "Personal &amp; Home", $AL$18:$AL$37)</f>
        <v/>
      </c>
      <c r="S79" s="35">
        <f>IFERROR(R79/Q79, 0)</f>
        <v/>
      </c>
    </row>
    <row r="80" ht="14" customHeight="1">
      <c r="A80" s="33" t="inlineStr">
        <is>
          <t>Week 5</t>
        </is>
      </c>
      <c r="B80" s="34" t="inlineStr">
        <is>
          <t>Days 29 - 30</t>
        </is>
      </c>
      <c r="C80" s="34">
        <f>COUNTIF(AG18:AH37, "✓")</f>
        <v/>
      </c>
      <c r="D80" s="34">
        <f>COUNTIF(AG18:AH37, "✓") + COUNTIF(AG18:AH37, "✗")</f>
        <v/>
      </c>
      <c r="E80" s="35">
        <f>IFERROR(C80/D80, 0)</f>
        <v/>
      </c>
      <c r="N80" s="60" t="inlineStr">
        <is>
          <t>Finance &amp; Wealth</t>
        </is>
      </c>
      <c r="O80" s="54" t="n"/>
      <c r="P80" s="34">
        <f>COUNTIF($C$18:$C$37, "Finance &amp; Wealth")</f>
        <v/>
      </c>
      <c r="Q80" s="34">
        <f>SUMIF($C$18:$C$37, "Finance &amp; Wealth", $D$18:$D$37)</f>
        <v/>
      </c>
      <c r="R80" s="34">
        <f>SUMIF($C$18:$C$37, "Finance &amp; Wealth", $AL$18:$AL$37)</f>
        <v/>
      </c>
      <c r="S80" s="35">
        <f>IFERROR(R80/Q80, 0)</f>
        <v/>
      </c>
    </row>
    <row r="81" ht="14" customHeight="1">
      <c r="A81" s="33" t="inlineStr">
        <is>
          <t>Total / Avg</t>
        </is>
      </c>
      <c r="B81" s="159" t="inlineStr">
        <is>
          <t>Month Total</t>
        </is>
      </c>
      <c r="C81" s="33">
        <f>SUM(C76:C80)</f>
        <v/>
      </c>
      <c r="D81" s="33">
        <f>SUM(D76:D80)</f>
        <v/>
      </c>
      <c r="E81" s="133">
        <f>IFERROR(C81/D81, 0)</f>
        <v/>
      </c>
    </row>
    <row r="82" ht="10" customHeight="1"/>
    <row r="83" ht="10" customHeight="1"/>
    <row r="84">
      <c r="A84" s="51" t="inlineStr">
        <is>
          <t>SLEEP &amp; PRODUCTIVITY CORRELATION ANALYSIS</t>
        </is>
      </c>
      <c r="B84" s="52" t="n"/>
      <c r="C84" s="52" t="n"/>
      <c r="D84" s="52" t="n"/>
      <c r="E84" s="52" t="n"/>
      <c r="F84" s="52" t="n"/>
      <c r="G84" s="52" t="n"/>
      <c r="H84" s="52" t="n"/>
      <c r="I84" s="52" t="n"/>
      <c r="J84" s="52" t="n"/>
      <c r="K84" s="52" t="n"/>
      <c r="L84" s="52" t="n"/>
      <c r="M84" s="52" t="n"/>
      <c r="N84" s="52" t="n"/>
      <c r="O84" s="52" t="n"/>
      <c r="P84" s="52" t="n"/>
      <c r="Q84" s="52" t="n"/>
      <c r="R84" s="52" t="n"/>
      <c r="S84" s="52" t="n"/>
      <c r="T84" s="52" t="n"/>
      <c r="U84" s="52" t="n"/>
      <c r="V84" s="52" t="n"/>
      <c r="W84" s="52" t="n"/>
      <c r="X84" s="52" t="n"/>
      <c r="Y84" s="52" t="n"/>
      <c r="Z84" s="52" t="n"/>
      <c r="AA84" s="52" t="n"/>
      <c r="AB84" s="52" t="n"/>
      <c r="AC84" s="52" t="n"/>
      <c r="AD84" s="52" t="n"/>
      <c r="AE84" s="52" t="n"/>
      <c r="AF84" s="52" t="n"/>
      <c r="AG84" s="52" t="n"/>
      <c r="AH84" s="52" t="n"/>
      <c r="AI84" s="52" t="n"/>
      <c r="AJ84" s="52" t="n"/>
      <c r="AK84" s="52" t="n"/>
    </row>
    <row r="85" ht="15" customHeight="1">
      <c r="A85" s="53" t="inlineStr">
        <is>
          <t>Rest Category</t>
        </is>
      </c>
      <c r="B85" s="54" t="n"/>
      <c r="C85" s="54" t="n"/>
      <c r="D85" s="53" t="inlineStr">
        <is>
          <t>Day Criteria</t>
        </is>
      </c>
      <c r="E85" s="54" t="n"/>
      <c r="F85" s="54" t="n"/>
      <c r="G85" s="53" t="inlineStr">
        <is>
          <t>Days Logged</t>
        </is>
      </c>
      <c r="H85" s="54" t="n"/>
      <c r="I85" s="54" t="n"/>
      <c r="J85" s="53" t="inlineStr">
        <is>
          <t>Avg Sleep Duration</t>
        </is>
      </c>
      <c r="K85" s="54" t="n"/>
      <c r="L85" s="54" t="n"/>
      <c r="M85" s="54" t="n"/>
      <c r="N85" s="53" t="inlineStr">
        <is>
          <t>Avg Habit Success %</t>
        </is>
      </c>
      <c r="O85" s="54" t="n"/>
      <c r="P85" s="54" t="n"/>
      <c r="Q85" s="54" t="n"/>
      <c r="R85" s="53" t="inlineStr">
        <is>
          <t>Productivity Delta</t>
        </is>
      </c>
      <c r="S85" s="54" t="n"/>
      <c r="T85" s="54" t="n"/>
      <c r="U85" s="54" t="n"/>
    </row>
    <row r="86" ht="15" customHeight="1">
      <c r="A86" s="160" t="inlineStr">
        <is>
          <t>Optimal Rest</t>
        </is>
      </c>
      <c r="B86" s="161" t="n"/>
      <c r="C86" s="56" t="n"/>
      <c r="D86" s="34" t="inlineStr">
        <is>
          <t>&gt;= 7 Hours / Night</t>
        </is>
      </c>
      <c r="E86" s="161" t="n"/>
      <c r="F86" s="56" t="n"/>
      <c r="G86" s="33">
        <f>COUNTIF(E47:AH47, "&gt;=7")</f>
        <v/>
      </c>
      <c r="H86" s="161" t="n"/>
      <c r="I86" s="56" t="n"/>
      <c r="J86" s="34">
        <f>IFERROR(TEXT(AVERAGEIF(E47:AH47, "&gt;=7"), "0.0") &amp; " hrs", "-")</f>
        <v/>
      </c>
      <c r="K86" s="161" t="n"/>
      <c r="L86" s="161" t="n"/>
      <c r="M86" s="56" t="n"/>
      <c r="N86" s="42">
        <f>IFERROR(AVERAGEIFS(E39:AH39, E47:AH47, "&gt;=7", E39:AH39, "&gt;0"), 0)</f>
        <v/>
      </c>
      <c r="O86" s="161" t="n"/>
      <c r="P86" s="161" t="n"/>
      <c r="Q86" s="56" t="n"/>
      <c r="R86" s="159" t="inlineStr">
        <is>
          <t>Baseline (Target)</t>
        </is>
      </c>
      <c r="S86" s="161" t="n"/>
      <c r="T86" s="161" t="n"/>
      <c r="U86" s="56" t="n"/>
    </row>
    <row r="87" ht="15" customHeight="1">
      <c r="A87" s="162" t="inlineStr">
        <is>
          <t>Sleep Deficit</t>
        </is>
      </c>
      <c r="B87" s="161" t="n"/>
      <c r="C87" s="56" t="n"/>
      <c r="D87" s="34" t="inlineStr">
        <is>
          <t>&lt; 7 Hours / Night</t>
        </is>
      </c>
      <c r="E87" s="161" t="n"/>
      <c r="F87" s="56" t="n"/>
      <c r="G87" s="33">
        <f>COUNTIF(E47:AH47, "&lt;7") - COUNTIF(E47:AH47, "")</f>
        <v/>
      </c>
      <c r="H87" s="161" t="n"/>
      <c r="I87" s="56" t="n"/>
      <c r="J87" s="34">
        <f>IFERROR(TEXT(AVERAGEIFS(E47:AH47, E47:AH47, "&lt;7", E47:AH47, "&gt;0"), "0.0") &amp; " hrs", "-")</f>
        <v/>
      </c>
      <c r="K87" s="161" t="n"/>
      <c r="L87" s="161" t="n"/>
      <c r="M87" s="56" t="n"/>
      <c r="N87" s="163">
        <f>IFERROR(AVERAGEIFS(E39:AH39, E47:AH47, "&lt;7", E39:AH39, "&gt;0"), 0)</f>
        <v/>
      </c>
      <c r="O87" s="161" t="n"/>
      <c r="P87" s="161" t="n"/>
      <c r="Q87" s="56" t="n"/>
      <c r="R87" s="160">
        <f>IFERROR(TEXT(N86 - N87, "+0.0%;-0.0%;0.0%") &amp; " Rest Advantage", "-")</f>
        <v/>
      </c>
      <c r="S87" s="161" t="n"/>
      <c r="T87" s="161" t="n"/>
      <c r="U87" s="56" t="n"/>
    </row>
    <row r="88" ht="18" customHeight="1">
      <c r="A88" s="164">
        <f>IF(AND(ISNUMBER(N86), ISNUMBER(N87), N86&gt;0, N87&gt;0), "💡 Sleep Correlation Insight: You complete " &amp; TEXT(ABS(N86-N87), "0.0%") &amp; IF(N86&gt;=N87, " MORE habits on days with 7+ hours of sleep!", " fewer habits on days with 7+ hours of sleep."), "💡 Log both habits and sleep hours daily to unlock automatic AI correlation insights!")</f>
        <v/>
      </c>
      <c r="B88" s="161" t="n"/>
      <c r="C88" s="161" t="n"/>
      <c r="D88" s="161" t="n"/>
      <c r="E88" s="161" t="n"/>
      <c r="F88" s="161" t="n"/>
      <c r="G88" s="161" t="n"/>
      <c r="H88" s="161" t="n"/>
      <c r="I88" s="161" t="n"/>
      <c r="J88" s="161" t="n"/>
      <c r="K88" s="161" t="n"/>
      <c r="L88" s="161" t="n"/>
      <c r="M88" s="161" t="n"/>
      <c r="N88" s="161" t="n"/>
      <c r="O88" s="161" t="n"/>
      <c r="P88" s="161" t="n"/>
      <c r="Q88" s="161" t="n"/>
      <c r="R88" s="161" t="n"/>
      <c r="S88" s="161" t="n"/>
      <c r="T88" s="161" t="n"/>
      <c r="U88" s="161" t="n"/>
      <c r="V88" s="161" t="n"/>
      <c r="W88" s="161" t="n"/>
      <c r="X88" s="161" t="n"/>
      <c r="Y88" s="161" t="n"/>
      <c r="Z88" s="161" t="n"/>
      <c r="AA88" s="161" t="n"/>
      <c r="AB88" s="161" t="n"/>
      <c r="AC88" s="161" t="n"/>
      <c r="AD88" s="161" t="n"/>
      <c r="AE88" s="161" t="n"/>
      <c r="AF88" s="161" t="n"/>
      <c r="AG88" s="161" t="n"/>
      <c r="AH88" s="161" t="n"/>
      <c r="AI88" s="161" t="n"/>
      <c r="AJ88" s="161" t="n"/>
      <c r="AK88" s="56" t="n"/>
    </row>
    <row r="89" ht="10" customHeight="1"/>
    <row r="90">
      <c r="A90" s="43" t="inlineStr">
        <is>
          <t>STANDARDIZED DATA BRIDGE (FOR ANNUAL &amp; QUARTERLY REVIEW SHEETS)</t>
        </is>
      </c>
      <c r="B90" s="44" t="n"/>
      <c r="C90" s="44" t="n"/>
      <c r="D90" s="44" t="n"/>
      <c r="E90" s="44" t="n"/>
      <c r="F90" s="44" t="n"/>
      <c r="G90" s="44" t="n"/>
      <c r="H90" s="44" t="n"/>
      <c r="I90" s="44" t="n"/>
      <c r="J90" s="44" t="n"/>
      <c r="K90" s="44" t="n"/>
      <c r="L90" s="44" t="n"/>
      <c r="M90" s="44" t="n"/>
      <c r="N90" s="44" t="n"/>
      <c r="O90" s="44" t="n"/>
      <c r="P90" s="44" t="n"/>
      <c r="Q90" s="44" t="n"/>
      <c r="R90" s="44" t="n"/>
      <c r="S90" s="44" t="n"/>
      <c r="T90" s="44" t="n"/>
      <c r="U90" s="44" t="n"/>
      <c r="V90" s="44" t="n"/>
      <c r="W90" s="44" t="n"/>
      <c r="X90" s="44" t="n"/>
      <c r="Y90" s="44" t="n"/>
      <c r="Z90" s="44" t="n"/>
      <c r="AA90" s="44" t="n"/>
      <c r="AB90" s="44" t="n"/>
      <c r="AC90" s="44" t="n"/>
      <c r="AD90" s="44" t="n"/>
      <c r="AE90" s="44" t="n"/>
      <c r="AF90" s="44" t="n"/>
      <c r="AG90" s="44" t="n"/>
      <c r="AH90" s="44" t="n"/>
      <c r="AI90" s="44" t="n"/>
      <c r="AJ90" s="44" t="n"/>
      <c r="AK90" s="44" t="n"/>
    </row>
    <row r="91" ht="15" customHeight="1">
      <c r="A91" s="53" t="inlineStr">
        <is>
          <t>Month</t>
        </is>
      </c>
      <c r="B91" s="54" t="n"/>
      <c r="C91" s="53" t="inlineStr">
        <is>
          <t>Year</t>
        </is>
      </c>
      <c r="D91" s="54" t="n"/>
      <c r="E91" s="53" t="inlineStr">
        <is>
          <t>Active Habits</t>
        </is>
      </c>
      <c r="F91" s="54" t="n"/>
      <c r="G91" s="53" t="inlineStr">
        <is>
          <t>Target Days</t>
        </is>
      </c>
      <c r="H91" s="54" t="n"/>
      <c r="I91" s="53" t="inlineStr">
        <is>
          <t>Done Checks</t>
        </is>
      </c>
      <c r="J91" s="54" t="n"/>
      <c r="K91" s="53" t="inlineStr">
        <is>
          <t>Success %</t>
        </is>
      </c>
      <c r="L91" s="54" t="n"/>
      <c r="M91" s="53" t="inlineStr">
        <is>
          <t>Perfect Days</t>
        </is>
      </c>
      <c r="N91" s="54" t="n"/>
      <c r="O91" s="53" t="inlineStr">
        <is>
          <t>Avg Sleep</t>
        </is>
      </c>
      <c r="P91" s="54" t="n"/>
      <c r="Q91" s="53" t="inlineStr">
        <is>
          <t>Best Week</t>
        </is>
      </c>
      <c r="R91" s="54" t="n"/>
      <c r="S91" s="54" t="n"/>
      <c r="T91" s="53" t="inlineStr">
        <is>
          <t>Top Life Domain</t>
        </is>
      </c>
      <c r="U91" s="54" t="n"/>
      <c r="V91" s="54" t="n"/>
      <c r="W91" s="54" t="n"/>
    </row>
    <row r="92" ht="16" customHeight="1">
      <c r="A92" s="165" t="inlineStr">
        <is>
          <t>Apr</t>
        </is>
      </c>
      <c r="B92" s="56" t="n"/>
      <c r="C92" s="165" t="n">
        <v>2028</v>
      </c>
      <c r="D92" s="56" t="n"/>
      <c r="E92" s="166">
        <f>COUNTA(B18:B37)</f>
        <v/>
      </c>
      <c r="F92" s="56" t="n"/>
      <c r="G92" s="166">
        <f>SUM(D18:D37)</f>
        <v/>
      </c>
      <c r="H92" s="56" t="n"/>
      <c r="I92" s="166">
        <f>SUM(AL18:AL37)</f>
        <v/>
      </c>
      <c r="J92" s="56" t="n"/>
      <c r="K92" s="167">
        <f>IF(G92&gt;0, I92/G92, 0)</f>
        <v/>
      </c>
      <c r="L92" s="56" t="n"/>
      <c r="M92" s="166">
        <f>COUNTIF(E39:AH39, 1)</f>
        <v/>
      </c>
      <c r="N92" s="56" t="n"/>
      <c r="O92" s="168">
        <f>IFERROR(AVERAGE(E47:AH47), 0)</f>
        <v/>
      </c>
      <c r="P92" s="56" t="n"/>
      <c r="Q92" s="166">
        <f>INDEX(A76:A80, MATCH(MAX(E76:E80), E76:E80, 0))</f>
        <v/>
      </c>
      <c r="R92" s="161" t="n"/>
      <c r="S92" s="56" t="n"/>
      <c r="T92" s="166">
        <f>INDEX(N76:N80, MATCH(MAX(S76:S80), S76:S80, 0))</f>
        <v/>
      </c>
      <c r="U92" s="161" t="n"/>
      <c r="V92" s="161" t="n"/>
      <c r="W92" s="56" t="n"/>
    </row>
    <row r="93" ht="14" customHeight="1">
      <c r="A93" s="169" t="inlineStr">
        <is>
          <t>📋 Note: Reference or copy Row 92 directly into an Annual / Quarterly review dashboard to track yearly habit trends.</t>
        </is>
      </c>
    </row>
    <row r="94" ht="8" customHeight="1"/>
    <row r="95">
      <c r="A95" s="170" t="inlineStr">
        <is>
          <t>🏆 MONTHLY WINS &amp; HIGHLIGHTS</t>
        </is>
      </c>
      <c r="J95" s="171" t="inlineStr">
        <is>
          <t>⚠️ FRICTION POINTS &amp; ROOT CAUSES</t>
        </is>
      </c>
      <c r="S95" s="172" t="inlineStr">
        <is>
          <t>🎯 3 KEY ADJUSTMENTS FOR NEXT MONTH</t>
        </is>
      </c>
    </row>
    <row r="96">
      <c r="A96" s="173" t="inlineStr">
        <is>
          <t>1. What went exceptionally well this month?
2. Which habit felt effortless and consistent?
3. Major milestone achieved:</t>
        </is>
      </c>
      <c r="B96" s="174" t="n"/>
      <c r="C96" s="174" t="n"/>
      <c r="D96" s="174" t="n"/>
      <c r="E96" s="174" t="n"/>
      <c r="F96" s="174" t="n"/>
      <c r="G96" s="174" t="n"/>
      <c r="H96" s="174" t="n"/>
      <c r="J96" s="175" t="inlineStr">
        <is>
          <t>1. What caused missed or skipped days?
2. Main triggers / energy drains encountered:
3. Which habit had the lowest consistency and why?</t>
        </is>
      </c>
      <c r="K96" s="176" t="n"/>
      <c r="L96" s="176" t="n"/>
      <c r="M96" s="176" t="n"/>
      <c r="N96" s="176" t="n"/>
      <c r="O96" s="176" t="n"/>
      <c r="P96" s="176" t="n"/>
      <c r="Q96" s="176" t="n"/>
      <c r="S96" s="177" t="inlineStr">
        <is>
          <t>1. Habit Stacking or time adjustment for next month:
2. Environment design change to eliminate friction:
3. One non-negotiable priority protocol:</t>
        </is>
      </c>
      <c r="T96" s="178" t="n"/>
      <c r="U96" s="178" t="n"/>
      <c r="V96" s="178" t="n"/>
      <c r="W96" s="178" t="n"/>
      <c r="X96" s="178" t="n"/>
      <c r="Y96" s="178" t="n"/>
      <c r="Z96" s="178" t="n"/>
    </row>
    <row r="97">
      <c r="A97" s="174" t="n"/>
      <c r="B97" s="174" t="n"/>
      <c r="C97" s="174" t="n"/>
      <c r="D97" s="174" t="n"/>
      <c r="E97" s="174" t="n"/>
      <c r="F97" s="174" t="n"/>
      <c r="G97" s="174" t="n"/>
      <c r="H97" s="174" t="n"/>
      <c r="J97" s="176" t="n"/>
      <c r="K97" s="176" t="n"/>
      <c r="L97" s="176" t="n"/>
      <c r="M97" s="176" t="n"/>
      <c r="N97" s="176" t="n"/>
      <c r="O97" s="176" t="n"/>
      <c r="P97" s="176" t="n"/>
      <c r="Q97" s="176" t="n"/>
      <c r="S97" s="178" t="n"/>
      <c r="T97" s="178" t="n"/>
      <c r="U97" s="178" t="n"/>
      <c r="V97" s="178" t="n"/>
      <c r="W97" s="178" t="n"/>
      <c r="X97" s="178" t="n"/>
      <c r="Y97" s="178" t="n"/>
      <c r="Z97" s="178" t="n"/>
    </row>
    <row r="98">
      <c r="A98" s="174" t="n"/>
      <c r="B98" s="174" t="n"/>
      <c r="C98" s="174" t="n"/>
      <c r="D98" s="174" t="n"/>
      <c r="E98" s="174" t="n"/>
      <c r="F98" s="174" t="n"/>
      <c r="G98" s="174" t="n"/>
      <c r="H98" s="174" t="n"/>
      <c r="J98" s="176" t="n"/>
      <c r="K98" s="176" t="n"/>
      <c r="L98" s="176" t="n"/>
      <c r="M98" s="176" t="n"/>
      <c r="N98" s="176" t="n"/>
      <c r="O98" s="176" t="n"/>
      <c r="P98" s="176" t="n"/>
      <c r="Q98" s="176" t="n"/>
      <c r="S98" s="178" t="n"/>
      <c r="T98" s="178" t="n"/>
      <c r="U98" s="178" t="n"/>
      <c r="V98" s="178" t="n"/>
      <c r="W98" s="178" t="n"/>
      <c r="X98" s="178" t="n"/>
      <c r="Y98" s="178" t="n"/>
      <c r="Z98" s="178" t="n"/>
    </row>
    <row r="99">
      <c r="A99" s="174" t="n"/>
      <c r="B99" s="174" t="n"/>
      <c r="C99" s="174" t="n"/>
      <c r="D99" s="174" t="n"/>
      <c r="E99" s="174" t="n"/>
      <c r="F99" s="174" t="n"/>
      <c r="G99" s="174" t="n"/>
      <c r="H99" s="174" t="n"/>
      <c r="J99" s="176" t="n"/>
      <c r="K99" s="176" t="n"/>
      <c r="L99" s="176" t="n"/>
      <c r="M99" s="176" t="n"/>
      <c r="N99" s="176" t="n"/>
      <c r="O99" s="176" t="n"/>
      <c r="P99" s="176" t="n"/>
      <c r="Q99" s="176" t="n"/>
      <c r="S99" s="178" t="n"/>
      <c r="T99" s="178" t="n"/>
      <c r="U99" s="178" t="n"/>
      <c r="V99" s="178" t="n"/>
      <c r="W99" s="178" t="n"/>
      <c r="X99" s="178" t="n"/>
      <c r="Y99" s="178" t="n"/>
      <c r="Z99" s="178" t="n"/>
    </row>
    <row r="100">
      <c r="A100" s="174" t="n"/>
      <c r="B100" s="174" t="n"/>
      <c r="C100" s="174" t="n"/>
      <c r="D100" s="174" t="n"/>
      <c r="E100" s="174" t="n"/>
      <c r="F100" s="174" t="n"/>
      <c r="G100" s="174" t="n"/>
      <c r="H100" s="174" t="n"/>
      <c r="J100" s="176" t="n"/>
      <c r="K100" s="176" t="n"/>
      <c r="L100" s="176" t="n"/>
      <c r="M100" s="176" t="n"/>
      <c r="N100" s="176" t="n"/>
      <c r="O100" s="176" t="n"/>
      <c r="P100" s="176" t="n"/>
      <c r="Q100" s="176" t="n"/>
      <c r="S100" s="178" t="n"/>
      <c r="T100" s="178" t="n"/>
      <c r="U100" s="178" t="n"/>
      <c r="V100" s="178" t="n"/>
      <c r="W100" s="178" t="n"/>
      <c r="X100" s="178" t="n"/>
      <c r="Y100" s="178" t="n"/>
      <c r="Z100" s="178" t="n"/>
    </row>
    <row r="101">
      <c r="A101" s="174" t="n"/>
      <c r="B101" s="174" t="n"/>
      <c r="C101" s="174" t="n"/>
      <c r="D101" s="174" t="n"/>
      <c r="E101" s="174" t="n"/>
      <c r="F101" s="174" t="n"/>
      <c r="G101" s="174" t="n"/>
      <c r="H101" s="174" t="n"/>
      <c r="J101" s="176" t="n"/>
      <c r="K101" s="176" t="n"/>
      <c r="L101" s="176" t="n"/>
      <c r="M101" s="176" t="n"/>
      <c r="N101" s="176" t="n"/>
      <c r="O101" s="176" t="n"/>
      <c r="P101" s="176" t="n"/>
      <c r="Q101" s="176" t="n"/>
      <c r="S101" s="178" t="n"/>
      <c r="T101" s="178" t="n"/>
      <c r="U101" s="178" t="n"/>
      <c r="V101" s="178" t="n"/>
      <c r="W101" s="178" t="n"/>
      <c r="X101" s="178" t="n"/>
      <c r="Y101" s="178" t="n"/>
      <c r="Z101" s="178" t="n"/>
    </row>
    <row r="102">
      <c r="A102" s="174" t="n"/>
      <c r="B102" s="174" t="n"/>
      <c r="C102" s="174" t="n"/>
      <c r="D102" s="174" t="n"/>
      <c r="E102" s="174" t="n"/>
      <c r="F102" s="174" t="n"/>
      <c r="G102" s="174" t="n"/>
      <c r="H102" s="174" t="n"/>
      <c r="J102" s="176" t="n"/>
      <c r="K102" s="176" t="n"/>
      <c r="L102" s="176" t="n"/>
      <c r="M102" s="176" t="n"/>
      <c r="N102" s="176" t="n"/>
      <c r="O102" s="176" t="n"/>
      <c r="P102" s="176" t="n"/>
      <c r="Q102" s="176" t="n"/>
      <c r="S102" s="178" t="n"/>
      <c r="T102" s="178" t="n"/>
      <c r="U102" s="178" t="n"/>
      <c r="V102" s="178" t="n"/>
      <c r="W102" s="178" t="n"/>
      <c r="X102" s="178" t="n"/>
      <c r="Y102" s="178" t="n"/>
      <c r="Z102" s="178" t="n"/>
    </row>
    <row r="103">
      <c r="A103" s="174" t="n"/>
      <c r="B103" s="174" t="n"/>
      <c r="C103" s="174" t="n"/>
      <c r="D103" s="174" t="n"/>
      <c r="E103" s="174" t="n"/>
      <c r="F103" s="174" t="n"/>
      <c r="G103" s="174" t="n"/>
      <c r="H103" s="174" t="n"/>
      <c r="J103" s="176" t="n"/>
      <c r="K103" s="176" t="n"/>
      <c r="L103" s="176" t="n"/>
      <c r="M103" s="176" t="n"/>
      <c r="N103" s="176" t="n"/>
      <c r="O103" s="176" t="n"/>
      <c r="P103" s="176" t="n"/>
      <c r="Q103" s="176" t="n"/>
      <c r="S103" s="178" t="n"/>
      <c r="T103" s="178" t="n"/>
      <c r="U103" s="178" t="n"/>
      <c r="V103" s="178" t="n"/>
      <c r="W103" s="178" t="n"/>
      <c r="X103" s="178" t="n"/>
      <c r="Y103" s="178" t="n"/>
      <c r="Z103" s="178" t="n"/>
    </row>
  </sheetData>
  <sheetProtection selectLockedCells="1" selectUnlockedCells="1" sheet="1" objects="0" insertRows="1" insertHyperlinks="1" autoFilter="1" scenarios="0" formatColumns="1" deleteColumns="1" insertColumns="1" pivotTables="1" deleteRows="1" formatCells="1" formatRows="1" sort="1"/>
  <mergeCells count="94">
    <mergeCell ref="A9:N9"/>
    <mergeCell ref="N76:O76"/>
    <mergeCell ref="F67:I67"/>
    <mergeCell ref="G87:I87"/>
    <mergeCell ref="A16:A17"/>
    <mergeCell ref="A45:D46"/>
    <mergeCell ref="C16:C17"/>
    <mergeCell ref="N75:O75"/>
    <mergeCell ref="N77:O77"/>
    <mergeCell ref="P68:S70"/>
    <mergeCell ref="A93:AK93"/>
    <mergeCell ref="D16:D17"/>
    <mergeCell ref="N85:Q85"/>
    <mergeCell ref="A95:H95"/>
    <mergeCell ref="Q91:S91"/>
    <mergeCell ref="P6:AK6"/>
    <mergeCell ref="E91:F91"/>
    <mergeCell ref="A8:N8"/>
    <mergeCell ref="G91:H91"/>
    <mergeCell ref="P8:AK8"/>
    <mergeCell ref="J86:M86"/>
    <mergeCell ref="S95:Z95"/>
    <mergeCell ref="K67:N67"/>
    <mergeCell ref="N79:O79"/>
    <mergeCell ref="K92:L92"/>
    <mergeCell ref="P7:AK7"/>
    <mergeCell ref="C92:D92"/>
    <mergeCell ref="F71:I71"/>
    <mergeCell ref="M92:N92"/>
    <mergeCell ref="A12:AK14"/>
    <mergeCell ref="K68:N70"/>
    <mergeCell ref="T91:W91"/>
    <mergeCell ref="AI16:AI17"/>
    <mergeCell ref="J95:Q95"/>
    <mergeCell ref="D85:F85"/>
    <mergeCell ref="N74:S74"/>
    <mergeCell ref="P9:AK9"/>
    <mergeCell ref="F68:I70"/>
    <mergeCell ref="A91:B91"/>
    <mergeCell ref="N78:O78"/>
    <mergeCell ref="C91:D91"/>
    <mergeCell ref="M91:N91"/>
    <mergeCell ref="O91:P91"/>
    <mergeCell ref="R86:U86"/>
    <mergeCell ref="A84:AK84"/>
    <mergeCell ref="N80:O80"/>
    <mergeCell ref="B16:B17"/>
    <mergeCell ref="A71:D71"/>
    <mergeCell ref="J85:M85"/>
    <mergeCell ref="D86:F86"/>
    <mergeCell ref="A92:B92"/>
    <mergeCell ref="N87:Q87"/>
    <mergeCell ref="A1:B1"/>
    <mergeCell ref="E92:F92"/>
    <mergeCell ref="A68:D70"/>
    <mergeCell ref="P71:S71"/>
    <mergeCell ref="A86:C86"/>
    <mergeCell ref="D87:F87"/>
    <mergeCell ref="O92:P92"/>
    <mergeCell ref="A6:N6"/>
    <mergeCell ref="A39:D39"/>
    <mergeCell ref="G86:I86"/>
    <mergeCell ref="A96:H103"/>
    <mergeCell ref="P67:S67"/>
    <mergeCell ref="A41:AK41"/>
    <mergeCell ref="T92:W92"/>
    <mergeCell ref="R85:U85"/>
    <mergeCell ref="H2:AC2"/>
    <mergeCell ref="K71:N71"/>
    <mergeCell ref="S96:Z103"/>
    <mergeCell ref="A38:D38"/>
    <mergeCell ref="A42:AK42"/>
    <mergeCell ref="H3:AC3"/>
    <mergeCell ref="A67:D67"/>
    <mergeCell ref="I91:J91"/>
    <mergeCell ref="A85:C85"/>
    <mergeCell ref="K91:L91"/>
    <mergeCell ref="N86:Q86"/>
    <mergeCell ref="A7:N7"/>
    <mergeCell ref="A74:E74"/>
    <mergeCell ref="G85:I85"/>
    <mergeCell ref="G92:H92"/>
    <mergeCell ref="I92:J92"/>
    <mergeCell ref="R87:U87"/>
    <mergeCell ref="AK16:AK17"/>
    <mergeCell ref="J87:M87"/>
    <mergeCell ref="AD2:AK2"/>
    <mergeCell ref="AJ16:AJ17"/>
    <mergeCell ref="J96:Q103"/>
    <mergeCell ref="A88:AK88"/>
    <mergeCell ref="A90:AK90"/>
    <mergeCell ref="Q92:S92"/>
    <mergeCell ref="A87:C87"/>
    <mergeCell ref="A47:D47"/>
  </mergeCells>
  <conditionalFormatting sqref="AI18:AI37">
    <cfRule type="dataBar" priority="1">
      <dataBar>
        <cfvo type="num" val="0"/>
        <cfvo type="num" val="1"/>
        <color rgb="0010B981"/>
      </dataBar>
    </cfRule>
  </conditionalFormatting>
  <conditionalFormatting sqref="E18:AH37">
    <cfRule type="cellIs" priority="2" operator="equal" dxfId="0">
      <formula>"✓"</formula>
    </cfRule>
    <cfRule type="cellIs" priority="3" operator="equal" dxfId="0">
      <formula>"✔"</formula>
    </cfRule>
    <cfRule type="cellIs" priority="4" operator="equal" dxfId="1">
      <formula>"✗"</formula>
    </cfRule>
    <cfRule type="cellIs" priority="5" operator="equal" dxfId="1">
      <formula>"x"</formula>
    </cfRule>
    <cfRule type="cellIs" priority="6" operator="equal" dxfId="1">
      <formula>"X"</formula>
    </cfRule>
  </conditionalFormatting>
  <conditionalFormatting sqref="E16:E17">
    <cfRule type="expression" priority="7" dxfId="2">
      <formula>AND(DAY(TODAY())=1, MONTH(TODAY())=4, YEAR(TODAY())=2028)</formula>
    </cfRule>
  </conditionalFormatting>
  <conditionalFormatting sqref="F16:F17">
    <cfRule type="expression" priority="8" dxfId="2">
      <formula>AND(DAY(TODAY())=2, MONTH(TODAY())=4, YEAR(TODAY())=2028)</formula>
    </cfRule>
  </conditionalFormatting>
  <conditionalFormatting sqref="G16:G17">
    <cfRule type="expression" priority="9" dxfId="2">
      <formula>AND(DAY(TODAY())=3, MONTH(TODAY())=4, YEAR(TODAY())=2028)</formula>
    </cfRule>
  </conditionalFormatting>
  <conditionalFormatting sqref="H16:H17">
    <cfRule type="expression" priority="10" dxfId="2">
      <formula>AND(DAY(TODAY())=4, MONTH(TODAY())=4, YEAR(TODAY())=2028)</formula>
    </cfRule>
  </conditionalFormatting>
  <conditionalFormatting sqref="I16:I17">
    <cfRule type="expression" priority="11" dxfId="2">
      <formula>AND(DAY(TODAY())=5, MONTH(TODAY())=4, YEAR(TODAY())=2028)</formula>
    </cfRule>
  </conditionalFormatting>
  <conditionalFormatting sqref="J16:J17">
    <cfRule type="expression" priority="12" dxfId="2">
      <formula>AND(DAY(TODAY())=6, MONTH(TODAY())=4, YEAR(TODAY())=2028)</formula>
    </cfRule>
  </conditionalFormatting>
  <conditionalFormatting sqref="K16:K17">
    <cfRule type="expression" priority="13" dxfId="2">
      <formula>AND(DAY(TODAY())=7, MONTH(TODAY())=4, YEAR(TODAY())=2028)</formula>
    </cfRule>
  </conditionalFormatting>
  <conditionalFormatting sqref="L16:L17">
    <cfRule type="expression" priority="14" dxfId="2">
      <formula>AND(DAY(TODAY())=8, MONTH(TODAY())=4, YEAR(TODAY())=2028)</formula>
    </cfRule>
  </conditionalFormatting>
  <conditionalFormatting sqref="M16:M17">
    <cfRule type="expression" priority="15" dxfId="2">
      <formula>AND(DAY(TODAY())=9, MONTH(TODAY())=4, YEAR(TODAY())=2028)</formula>
    </cfRule>
  </conditionalFormatting>
  <conditionalFormatting sqref="N16:N17">
    <cfRule type="expression" priority="16" dxfId="2">
      <formula>AND(DAY(TODAY())=10, MONTH(TODAY())=4, YEAR(TODAY())=2028)</formula>
    </cfRule>
  </conditionalFormatting>
  <conditionalFormatting sqref="O16:O17">
    <cfRule type="expression" priority="17" dxfId="2">
      <formula>AND(DAY(TODAY())=11, MONTH(TODAY())=4, YEAR(TODAY())=2028)</formula>
    </cfRule>
  </conditionalFormatting>
  <conditionalFormatting sqref="P16:P17">
    <cfRule type="expression" priority="18" dxfId="2">
      <formula>AND(DAY(TODAY())=12, MONTH(TODAY())=4, YEAR(TODAY())=2028)</formula>
    </cfRule>
  </conditionalFormatting>
  <conditionalFormatting sqref="Q16:Q17">
    <cfRule type="expression" priority="19" dxfId="2">
      <formula>AND(DAY(TODAY())=13, MONTH(TODAY())=4, YEAR(TODAY())=2028)</formula>
    </cfRule>
  </conditionalFormatting>
  <conditionalFormatting sqref="R16:R17">
    <cfRule type="expression" priority="20" dxfId="2">
      <formula>AND(DAY(TODAY())=14, MONTH(TODAY())=4, YEAR(TODAY())=2028)</formula>
    </cfRule>
  </conditionalFormatting>
  <conditionalFormatting sqref="S16:S17">
    <cfRule type="expression" priority="21" dxfId="2">
      <formula>AND(DAY(TODAY())=15, MONTH(TODAY())=4, YEAR(TODAY())=2028)</formula>
    </cfRule>
  </conditionalFormatting>
  <conditionalFormatting sqref="T16:T17">
    <cfRule type="expression" priority="22" dxfId="2">
      <formula>AND(DAY(TODAY())=16, MONTH(TODAY())=4, YEAR(TODAY())=2028)</formula>
    </cfRule>
  </conditionalFormatting>
  <conditionalFormatting sqref="U16:U17">
    <cfRule type="expression" priority="23" dxfId="2">
      <formula>AND(DAY(TODAY())=17, MONTH(TODAY())=4, YEAR(TODAY())=2028)</formula>
    </cfRule>
  </conditionalFormatting>
  <conditionalFormatting sqref="V16:V17">
    <cfRule type="expression" priority="24" dxfId="2">
      <formula>AND(DAY(TODAY())=18, MONTH(TODAY())=4, YEAR(TODAY())=2028)</formula>
    </cfRule>
  </conditionalFormatting>
  <conditionalFormatting sqref="W16:W17">
    <cfRule type="expression" priority="25" dxfId="2">
      <formula>AND(DAY(TODAY())=19, MONTH(TODAY())=4, YEAR(TODAY())=2028)</formula>
    </cfRule>
  </conditionalFormatting>
  <conditionalFormatting sqref="X16:X17">
    <cfRule type="expression" priority="26" dxfId="2">
      <formula>AND(DAY(TODAY())=20, MONTH(TODAY())=4, YEAR(TODAY())=2028)</formula>
    </cfRule>
  </conditionalFormatting>
  <conditionalFormatting sqref="Y16:Y17">
    <cfRule type="expression" priority="27" dxfId="2">
      <formula>AND(DAY(TODAY())=21, MONTH(TODAY())=4, YEAR(TODAY())=2028)</formula>
    </cfRule>
  </conditionalFormatting>
  <conditionalFormatting sqref="Z16:Z17">
    <cfRule type="expression" priority="28" dxfId="2">
      <formula>AND(DAY(TODAY())=22, MONTH(TODAY())=4, YEAR(TODAY())=2028)</formula>
    </cfRule>
  </conditionalFormatting>
  <conditionalFormatting sqref="AA16:AA17">
    <cfRule type="expression" priority="29" dxfId="2">
      <formula>AND(DAY(TODAY())=23, MONTH(TODAY())=4, YEAR(TODAY())=2028)</formula>
    </cfRule>
  </conditionalFormatting>
  <conditionalFormatting sqref="AB16:AB17">
    <cfRule type="expression" priority="30" dxfId="2">
      <formula>AND(DAY(TODAY())=24, MONTH(TODAY())=4, YEAR(TODAY())=2028)</formula>
    </cfRule>
  </conditionalFormatting>
  <conditionalFormatting sqref="AC16:AC17">
    <cfRule type="expression" priority="31" dxfId="2">
      <formula>AND(DAY(TODAY())=25, MONTH(TODAY())=4, YEAR(TODAY())=2028)</formula>
    </cfRule>
  </conditionalFormatting>
  <conditionalFormatting sqref="AD16:AD17">
    <cfRule type="expression" priority="32" dxfId="2">
      <formula>AND(DAY(TODAY())=26, MONTH(TODAY())=4, YEAR(TODAY())=2028)</formula>
    </cfRule>
  </conditionalFormatting>
  <conditionalFormatting sqref="AE16:AE17">
    <cfRule type="expression" priority="33" dxfId="2">
      <formula>AND(DAY(TODAY())=27, MONTH(TODAY())=4, YEAR(TODAY())=2028)</formula>
    </cfRule>
  </conditionalFormatting>
  <conditionalFormatting sqref="AF16:AF17">
    <cfRule type="expression" priority="34" dxfId="2">
      <formula>AND(DAY(TODAY())=28, MONTH(TODAY())=4, YEAR(TODAY())=2028)</formula>
    </cfRule>
  </conditionalFormatting>
  <conditionalFormatting sqref="AG16:AG17">
    <cfRule type="expression" priority="35" dxfId="2">
      <formula>AND(DAY(TODAY())=29, MONTH(TODAY())=4, YEAR(TODAY())=2028)</formula>
    </cfRule>
  </conditionalFormatting>
  <conditionalFormatting sqref="AH16:AH17">
    <cfRule type="expression" priority="36" dxfId="2">
      <formula>AND(DAY(TODAY())=30, MONTH(TODAY())=4, YEAR(TODAY())=2028)</formula>
    </cfRule>
  </conditionalFormatting>
  <dataValidations count="4">
    <dataValidation sqref="C18:C37" showDropDown="0" showInputMessage="0" showErrorMessage="0" allowBlank="1" type="list">
      <formula1>"Health &amp; Fitness,Mindset &amp; Learning,Career &amp; Focus,Personal &amp; Home,Finance &amp; Wealth,Other"</formula1>
    </dataValidation>
    <dataValidation sqref="D18:D37" showDropDown="0" showInputMessage="0" showErrorMessage="0" allowBlank="1" type="list">
      <formula1>"1,2,3,4,5,6,7,8,9,10,11,12,13,14,15,16,17,18,19,20,21,22,23,24,25,26,27,28,29,30,31"</formula1>
    </dataValidation>
    <dataValidation sqref="E18:AH37" showDropDown="0" showInputMessage="0" showErrorMessage="0" allowBlank="1" type="list">
      <formula1>"✓,✗"</formula1>
    </dataValidation>
    <dataValidation sqref="E47:AH47" showDropDown="0" showInputMessage="0" showErrorMessage="0" allowBlank="1" type="list">
      <formula1>"1,2,3,4,5,6,7,8,9,10,11,12,13,14,15,16,17,18,19,20,21,22,23,24"</formula1>
    </dataValidation>
  </dataValidations>
  <hyperlinks>
    <hyperlink xmlns:r="http://schemas.openxmlformats.org/officeDocument/2006/relationships" ref="A1" r:id="rId1"/>
    <hyperlink xmlns:r="http://schemas.openxmlformats.org/officeDocument/2006/relationships" ref="C1" r:id="rId2"/>
    <hyperlink xmlns:r="http://schemas.openxmlformats.org/officeDocument/2006/relationships" ref="D1" r:id="rId3"/>
    <hyperlink xmlns:r="http://schemas.openxmlformats.org/officeDocument/2006/relationships" ref="E1" r:id="rId4"/>
    <hyperlink xmlns:r="http://schemas.openxmlformats.org/officeDocument/2006/relationships" ref="F1" r:id="rId5"/>
    <hyperlink xmlns:r="http://schemas.openxmlformats.org/officeDocument/2006/relationships" ref="G1" r:id="rId6"/>
    <hyperlink xmlns:r="http://schemas.openxmlformats.org/officeDocument/2006/relationships" ref="H1" r:id="rId7"/>
    <hyperlink xmlns:r="http://schemas.openxmlformats.org/officeDocument/2006/relationships" ref="I1" r:id="rId8"/>
    <hyperlink xmlns:r="http://schemas.openxmlformats.org/officeDocument/2006/relationships" ref="J1" r:id="rId9"/>
    <hyperlink xmlns:r="http://schemas.openxmlformats.org/officeDocument/2006/relationships" ref="K1" r:id="rId10"/>
  </hyperlinks>
  <printOptions horizontalCentered="1" verticalCentered="0"/>
  <pageMargins left="0.75" right="0.75" top="1" bottom="1" header="0.5" footer="0.5"/>
  <pageSetup orientation="landscape" paperSize="9" fitToHeight="0" fitToWidth="1"/>
  <drawing xmlns:r="http://schemas.openxmlformats.org/officeDocument/2006/relationships" r:id="rId11"/>
</worksheet>
</file>

<file path=xl/worksheets/sheet24.xml><?xml version="1.0" encoding="utf-8"?>
<worksheet xmlns="http://schemas.openxmlformats.org/spreadsheetml/2006/main">
  <sheetPr>
    <outlinePr summaryBelow="1" summaryRight="1"/>
    <pageSetUpPr fitToPage="1"/>
  </sheetPr>
  <dimension ref="A1:AM103"/>
  <sheetViews>
    <sheetView showGridLines="1" workbookViewId="0">
      <selection activeCell="A1" sqref="A1"/>
    </sheetView>
  </sheetViews>
  <sheetFormatPr baseColWidth="8" defaultRowHeight="15"/>
  <cols>
    <col width="6" customWidth="1" min="1" max="1"/>
    <col width="25" customWidth="1" min="2" max="2"/>
    <col width="16.5" customWidth="1" min="3" max="3"/>
    <col width="8" customWidth="1" min="4" max="4"/>
    <col width="4.8" customWidth="1" min="5" max="5"/>
    <col width="4.8" customWidth="1" min="6" max="6"/>
    <col width="4.8" customWidth="1" min="7" max="7"/>
    <col width="4.8" customWidth="1" min="8" max="8"/>
    <col width="4.8" customWidth="1" min="9" max="9"/>
    <col width="4.8" customWidth="1" min="10" max="10"/>
    <col width="4.8" customWidth="1" min="11" max="11"/>
    <col width="4.8" customWidth="1" min="12" max="12"/>
    <col width="4.8" customWidth="1" min="13" max="13"/>
    <col width="4.8" customWidth="1" min="14" max="14"/>
    <col width="4.8" customWidth="1" min="15" max="15"/>
    <col width="4.8" customWidth="1" min="16" max="16"/>
    <col width="4.8" customWidth="1" min="17" max="17"/>
    <col width="4.8" customWidth="1" min="18" max="18"/>
    <col width="4.8" customWidth="1" min="19" max="19"/>
    <col width="4.8" customWidth="1" min="20" max="20"/>
    <col width="4.8" customWidth="1" min="21" max="21"/>
    <col width="4.8" customWidth="1" min="22" max="22"/>
    <col width="4.8" customWidth="1" min="23" max="23"/>
    <col width="4.8" customWidth="1" min="24" max="24"/>
    <col width="4.8" customWidth="1" min="25" max="25"/>
    <col width="4.8" customWidth="1" min="26" max="26"/>
    <col width="4.8" customWidth="1" min="27" max="27"/>
    <col width="4.8" customWidth="1" min="28" max="28"/>
    <col width="4.8" customWidth="1" min="29" max="29"/>
    <col width="4.8" customWidth="1" min="30" max="30"/>
    <col width="4.8" customWidth="1" min="31" max="31"/>
    <col width="4.8" customWidth="1" min="32" max="32"/>
    <col width="4.8" customWidth="1" min="33" max="33"/>
    <col width="4.8" customWidth="1" min="34" max="34"/>
    <col width="4.8" customWidth="1" min="35" max="35"/>
    <col width="11.5" customWidth="1" min="36" max="36"/>
    <col width="12" customWidth="1" min="37" max="37"/>
    <col width="13.5" customWidth="1" min="38" max="38"/>
    <col hidden="1" width="8" customWidth="1" min="39" max="39"/>
  </cols>
  <sheetData>
    <row r="1" ht="18" customHeight="1">
      <c r="A1" s="76" t="inlineStr">
        <is>
          <t>🏠 Master Dashboard</t>
        </is>
      </c>
      <c r="B1" s="40" t="n"/>
      <c r="C1" s="77" t="inlineStr">
        <is>
          <t>🏛️ Quarterly Hub</t>
        </is>
      </c>
      <c r="D1" s="78" t="inlineStr">
        <is>
          <t>📚 Habit Library</t>
        </is>
      </c>
      <c r="E1" s="80" t="inlineStr">
        <is>
          <t>2026</t>
        </is>
      </c>
      <c r="F1" s="80" t="inlineStr">
        <is>
          <t>2027</t>
        </is>
      </c>
      <c r="G1" s="79" t="inlineStr">
        <is>
          <t>2028</t>
        </is>
      </c>
      <c r="H1" s="80" t="inlineStr">
        <is>
          <t>2029</t>
        </is>
      </c>
      <c r="I1" s="80" t="inlineStr">
        <is>
          <t>2030</t>
        </is>
      </c>
      <c r="J1" s="82" t="inlineStr">
        <is>
          <t>◀ Prev</t>
        </is>
      </c>
      <c r="K1" s="82" t="inlineStr">
        <is>
          <t>Next ▶</t>
        </is>
      </c>
    </row>
    <row r="2" ht="24" customHeight="1">
      <c r="A2" s="83" t="inlineStr">
        <is>
          <t>Habit Tracker</t>
        </is>
      </c>
      <c r="H2" s="84" t="inlineStr">
        <is>
          <t>"Energy flows where attention goes."</t>
        </is>
      </c>
      <c r="AE2" s="85" t="inlineStr">
        <is>
          <t>@surajvansh</t>
        </is>
      </c>
    </row>
    <row r="3" ht="18" customHeight="1">
      <c r="A3" s="86" t="inlineStr">
        <is>
          <t>May 2028</t>
        </is>
      </c>
      <c r="H3" s="87" t="inlineStr">
        <is>
          <t>31 Days Dashboard</t>
        </is>
      </c>
    </row>
    <row r="4" ht="5" customHeight="1"/>
    <row r="5" ht="16" customHeight="1">
      <c r="A5" s="88" t="inlineStr">
        <is>
          <t>MONTHLY TARGETS</t>
        </is>
      </c>
    </row>
    <row r="6" ht="13" customHeight="1">
      <c r="A6" s="89" t="inlineStr">
        <is>
          <t>1. ____________________ : ____________________</t>
        </is>
      </c>
      <c r="P6" s="89" t="inlineStr">
        <is>
          <t>5. ____________________ : ____________________</t>
        </is>
      </c>
    </row>
    <row r="7" ht="13" customHeight="1">
      <c r="A7" s="89" t="inlineStr">
        <is>
          <t>2. ____________________ : ____________________</t>
        </is>
      </c>
      <c r="P7" s="89" t="inlineStr">
        <is>
          <t>6. ____________________ : ____________________</t>
        </is>
      </c>
    </row>
    <row r="8" ht="13" customHeight="1">
      <c r="A8" s="89" t="inlineStr">
        <is>
          <t>3. ____________________ : ____________________</t>
        </is>
      </c>
      <c r="P8" s="89" t="inlineStr">
        <is>
          <t>7. ____________________ : ____________________</t>
        </is>
      </c>
    </row>
    <row r="9" ht="13" customHeight="1">
      <c r="A9" s="89" t="inlineStr">
        <is>
          <t>4. ____________________ : ____________________</t>
        </is>
      </c>
      <c r="P9" s="89" t="inlineStr">
        <is>
          <t>8. ____________________ : ____________________</t>
        </is>
      </c>
    </row>
    <row r="10" ht="5" customHeight="1"/>
    <row r="11" ht="15" customHeight="1">
      <c r="A11" s="88" t="inlineStr">
        <is>
          <t>NOTES:</t>
        </is>
      </c>
    </row>
    <row r="12" ht="13" customHeight="1">
      <c r="A12" s="90" t="n"/>
      <c r="B12" s="91" t="n"/>
      <c r="C12" s="91" t="n"/>
      <c r="D12" s="91" t="n"/>
      <c r="E12" s="91" t="n"/>
      <c r="F12" s="91" t="n"/>
      <c r="G12" s="91" t="n"/>
      <c r="H12" s="91" t="n"/>
      <c r="I12" s="91" t="n"/>
      <c r="J12" s="91" t="n"/>
      <c r="K12" s="91" t="n"/>
      <c r="L12" s="91" t="n"/>
      <c r="M12" s="91" t="n"/>
      <c r="N12" s="91" t="n"/>
      <c r="O12" s="91" t="n"/>
      <c r="P12" s="91" t="n"/>
      <c r="Q12" s="91" t="n"/>
      <c r="R12" s="91" t="n"/>
      <c r="S12" s="91" t="n"/>
      <c r="T12" s="91" t="n"/>
      <c r="U12" s="91" t="n"/>
      <c r="V12" s="91" t="n"/>
      <c r="W12" s="91" t="n"/>
      <c r="X12" s="91" t="n"/>
      <c r="Y12" s="91" t="n"/>
      <c r="Z12" s="91" t="n"/>
      <c r="AA12" s="91" t="n"/>
      <c r="AB12" s="91" t="n"/>
      <c r="AC12" s="91" t="n"/>
      <c r="AD12" s="91" t="n"/>
      <c r="AE12" s="91" t="n"/>
      <c r="AF12" s="91" t="n"/>
      <c r="AG12" s="91" t="n"/>
      <c r="AH12" s="91" t="n"/>
      <c r="AI12" s="91" t="n"/>
      <c r="AJ12" s="91" t="n"/>
      <c r="AK12" s="91" t="n"/>
      <c r="AL12" s="91" t="n"/>
    </row>
    <row r="13" ht="13" customHeight="1">
      <c r="A13" s="91" t="n"/>
      <c r="B13" s="91" t="n"/>
      <c r="C13" s="91" t="n"/>
      <c r="D13" s="91" t="n"/>
      <c r="E13" s="91" t="n"/>
      <c r="F13" s="91" t="n"/>
      <c r="G13" s="91" t="n"/>
      <c r="H13" s="91" t="n"/>
      <c r="I13" s="91" t="n"/>
      <c r="J13" s="91" t="n"/>
      <c r="K13" s="91" t="n"/>
      <c r="L13" s="91" t="n"/>
      <c r="M13" s="91" t="n"/>
      <c r="N13" s="91" t="n"/>
      <c r="O13" s="91" t="n"/>
      <c r="P13" s="91" t="n"/>
      <c r="Q13" s="91" t="n"/>
      <c r="R13" s="91" t="n"/>
      <c r="S13" s="91" t="n"/>
      <c r="T13" s="91" t="n"/>
      <c r="U13" s="91" t="n"/>
      <c r="V13" s="91" t="n"/>
      <c r="W13" s="91" t="n"/>
      <c r="X13" s="91" t="n"/>
      <c r="Y13" s="91" t="n"/>
      <c r="Z13" s="91" t="n"/>
      <c r="AA13" s="91" t="n"/>
      <c r="AB13" s="91" t="n"/>
      <c r="AC13" s="91" t="n"/>
      <c r="AD13" s="91" t="n"/>
      <c r="AE13" s="91" t="n"/>
      <c r="AF13" s="91" t="n"/>
      <c r="AG13" s="91" t="n"/>
      <c r="AH13" s="91" t="n"/>
      <c r="AI13" s="91" t="n"/>
      <c r="AJ13" s="91" t="n"/>
      <c r="AK13" s="91" t="n"/>
      <c r="AL13" s="91" t="n"/>
    </row>
    <row r="14" ht="13" customHeight="1">
      <c r="A14" s="91" t="n"/>
      <c r="B14" s="91" t="n"/>
      <c r="C14" s="91" t="n"/>
      <c r="D14" s="91" t="n"/>
      <c r="E14" s="91" t="n"/>
      <c r="F14" s="91" t="n"/>
      <c r="G14" s="91" t="n"/>
      <c r="H14" s="91" t="n"/>
      <c r="I14" s="91" t="n"/>
      <c r="J14" s="91" t="n"/>
      <c r="K14" s="91" t="n"/>
      <c r="L14" s="91" t="n"/>
      <c r="M14" s="91" t="n"/>
      <c r="N14" s="91" t="n"/>
      <c r="O14" s="91" t="n"/>
      <c r="P14" s="91" t="n"/>
      <c r="Q14" s="91" t="n"/>
      <c r="R14" s="91" t="n"/>
      <c r="S14" s="91" t="n"/>
      <c r="T14" s="91" t="n"/>
      <c r="U14" s="91" t="n"/>
      <c r="V14" s="91" t="n"/>
      <c r="W14" s="91" t="n"/>
      <c r="X14" s="91" t="n"/>
      <c r="Y14" s="91" t="n"/>
      <c r="Z14" s="91" t="n"/>
      <c r="AA14" s="91" t="n"/>
      <c r="AB14" s="91" t="n"/>
      <c r="AC14" s="91" t="n"/>
      <c r="AD14" s="91" t="n"/>
      <c r="AE14" s="91" t="n"/>
      <c r="AF14" s="91" t="n"/>
      <c r="AG14" s="91" t="n"/>
      <c r="AH14" s="91" t="n"/>
      <c r="AI14" s="91" t="n"/>
      <c r="AJ14" s="91" t="n"/>
      <c r="AK14" s="91" t="n"/>
      <c r="AL14" s="91" t="n"/>
    </row>
    <row r="15" ht="8" customHeight="1"/>
    <row r="16" ht="15" customHeight="1">
      <c r="A16" s="33" t="inlineStr">
        <is>
          <t>S.No.</t>
        </is>
      </c>
      <c r="B16" s="33" t="inlineStr">
        <is>
          <t>Protocols</t>
        </is>
      </c>
      <c r="C16" s="33" t="inlineStr">
        <is>
          <t>Category</t>
        </is>
      </c>
      <c r="D16" s="33" t="inlineStr">
        <is>
          <t>Target</t>
        </is>
      </c>
      <c r="E16" s="92" t="n">
        <v>1</v>
      </c>
      <c r="F16" s="92" t="n">
        <v>2</v>
      </c>
      <c r="G16" s="92" t="n">
        <v>3</v>
      </c>
      <c r="H16" s="92" t="n">
        <v>4</v>
      </c>
      <c r="I16" s="92" t="n">
        <v>5</v>
      </c>
      <c r="J16" s="92" t="n">
        <v>6</v>
      </c>
      <c r="K16" s="93" t="n">
        <v>7</v>
      </c>
      <c r="L16" s="92" t="n">
        <v>8</v>
      </c>
      <c r="M16" s="92" t="n">
        <v>9</v>
      </c>
      <c r="N16" s="92" t="n">
        <v>10</v>
      </c>
      <c r="O16" s="92" t="n">
        <v>11</v>
      </c>
      <c r="P16" s="92" t="n">
        <v>12</v>
      </c>
      <c r="Q16" s="92" t="n">
        <v>13</v>
      </c>
      <c r="R16" s="93" t="n">
        <v>14</v>
      </c>
      <c r="S16" s="92" t="n">
        <v>15</v>
      </c>
      <c r="T16" s="92" t="n">
        <v>16</v>
      </c>
      <c r="U16" s="92" t="n">
        <v>17</v>
      </c>
      <c r="V16" s="92" t="n">
        <v>18</v>
      </c>
      <c r="W16" s="92" t="n">
        <v>19</v>
      </c>
      <c r="X16" s="92" t="n">
        <v>20</v>
      </c>
      <c r="Y16" s="93" t="n">
        <v>21</v>
      </c>
      <c r="Z16" s="92" t="n">
        <v>22</v>
      </c>
      <c r="AA16" s="92" t="n">
        <v>23</v>
      </c>
      <c r="AB16" s="92" t="n">
        <v>24</v>
      </c>
      <c r="AC16" s="92" t="n">
        <v>25</v>
      </c>
      <c r="AD16" s="92" t="n">
        <v>26</v>
      </c>
      <c r="AE16" s="92" t="n">
        <v>27</v>
      </c>
      <c r="AF16" s="93" t="n">
        <v>28</v>
      </c>
      <c r="AG16" s="92" t="n">
        <v>29</v>
      </c>
      <c r="AH16" s="92" t="n">
        <v>30</v>
      </c>
      <c r="AI16" s="92" t="n">
        <v>31</v>
      </c>
      <c r="AJ16" s="94" t="inlineStr">
        <is>
          <t>Success %</t>
        </is>
      </c>
      <c r="AK16" s="94" t="inlineStr">
        <is>
          <t>Done / Target</t>
        </is>
      </c>
      <c r="AL16" s="94" t="inlineStr">
        <is>
          <t>Status</t>
        </is>
      </c>
      <c r="AM16" t="inlineStr">
        <is>
          <t>Done Count</t>
        </is>
      </c>
    </row>
    <row r="17" ht="15" customHeight="1">
      <c r="A17" s="54" t="n"/>
      <c r="B17" s="54" t="n"/>
      <c r="C17" s="54" t="n"/>
      <c r="D17" s="54" t="n"/>
      <c r="E17" s="95" t="inlineStr">
        <is>
          <t>M</t>
        </is>
      </c>
      <c r="F17" s="95" t="inlineStr">
        <is>
          <t>T</t>
        </is>
      </c>
      <c r="G17" s="95" t="inlineStr">
        <is>
          <t>W</t>
        </is>
      </c>
      <c r="H17" s="95" t="inlineStr">
        <is>
          <t>Th</t>
        </is>
      </c>
      <c r="I17" s="95" t="inlineStr">
        <is>
          <t>F</t>
        </is>
      </c>
      <c r="J17" s="95" t="inlineStr">
        <is>
          <t>Sa</t>
        </is>
      </c>
      <c r="K17" s="96" t="inlineStr">
        <is>
          <t>Su</t>
        </is>
      </c>
      <c r="L17" s="95" t="inlineStr">
        <is>
          <t>M</t>
        </is>
      </c>
      <c r="M17" s="95" t="inlineStr">
        <is>
          <t>T</t>
        </is>
      </c>
      <c r="N17" s="95" t="inlineStr">
        <is>
          <t>W</t>
        </is>
      </c>
      <c r="O17" s="95" t="inlineStr">
        <is>
          <t>Th</t>
        </is>
      </c>
      <c r="P17" s="95" t="inlineStr">
        <is>
          <t>F</t>
        </is>
      </c>
      <c r="Q17" s="95" t="inlineStr">
        <is>
          <t>Sa</t>
        </is>
      </c>
      <c r="R17" s="96" t="inlineStr">
        <is>
          <t>Su</t>
        </is>
      </c>
      <c r="S17" s="95" t="inlineStr">
        <is>
          <t>M</t>
        </is>
      </c>
      <c r="T17" s="95" t="inlineStr">
        <is>
          <t>T</t>
        </is>
      </c>
      <c r="U17" s="95" t="inlineStr">
        <is>
          <t>W</t>
        </is>
      </c>
      <c r="V17" s="95" t="inlineStr">
        <is>
          <t>Th</t>
        </is>
      </c>
      <c r="W17" s="95" t="inlineStr">
        <is>
          <t>F</t>
        </is>
      </c>
      <c r="X17" s="95" t="inlineStr">
        <is>
          <t>Sa</t>
        </is>
      </c>
      <c r="Y17" s="96" t="inlineStr">
        <is>
          <t>Su</t>
        </is>
      </c>
      <c r="Z17" s="95" t="inlineStr">
        <is>
          <t>M</t>
        </is>
      </c>
      <c r="AA17" s="95" t="inlineStr">
        <is>
          <t>T</t>
        </is>
      </c>
      <c r="AB17" s="95" t="inlineStr">
        <is>
          <t>W</t>
        </is>
      </c>
      <c r="AC17" s="95" t="inlineStr">
        <is>
          <t>Th</t>
        </is>
      </c>
      <c r="AD17" s="95" t="inlineStr">
        <is>
          <t>F</t>
        </is>
      </c>
      <c r="AE17" s="95" t="inlineStr">
        <is>
          <t>Sa</t>
        </is>
      </c>
      <c r="AF17" s="96" t="inlineStr">
        <is>
          <t>Su</t>
        </is>
      </c>
      <c r="AG17" s="95" t="inlineStr">
        <is>
          <t>M</t>
        </is>
      </c>
      <c r="AH17" s="95" t="inlineStr">
        <is>
          <t>T</t>
        </is>
      </c>
      <c r="AI17" s="95" t="inlineStr">
        <is>
          <t>W</t>
        </is>
      </c>
      <c r="AJ17" s="54" t="n"/>
      <c r="AK17" s="54" t="n"/>
      <c r="AL17" s="54" t="n"/>
    </row>
    <row r="18" ht="14.5" customHeight="1">
      <c r="A18" s="97" t="n">
        <v>1</v>
      </c>
      <c r="B18" s="98" t="n"/>
      <c r="C18" s="99" t="n"/>
      <c r="D18" s="99" t="n"/>
      <c r="E18" s="100" t="n"/>
      <c r="F18" s="100" t="n"/>
      <c r="G18" s="100" t="n"/>
      <c r="H18" s="100" t="n"/>
      <c r="I18" s="100" t="n"/>
      <c r="J18" s="100" t="n"/>
      <c r="K18" s="101" t="n"/>
      <c r="L18" s="100" t="n"/>
      <c r="M18" s="100" t="n"/>
      <c r="N18" s="100" t="n"/>
      <c r="O18" s="100" t="n"/>
      <c r="P18" s="100" t="n"/>
      <c r="Q18" s="100" t="n"/>
      <c r="R18" s="101" t="n"/>
      <c r="S18" s="100" t="n"/>
      <c r="T18" s="100" t="n"/>
      <c r="U18" s="100" t="n"/>
      <c r="V18" s="100" t="n"/>
      <c r="W18" s="100" t="n"/>
      <c r="X18" s="100" t="n"/>
      <c r="Y18" s="101" t="n"/>
      <c r="Z18" s="100" t="n"/>
      <c r="AA18" s="100" t="n"/>
      <c r="AB18" s="100" t="n"/>
      <c r="AC18" s="100" t="n"/>
      <c r="AD18" s="100" t="n"/>
      <c r="AE18" s="100" t="n"/>
      <c r="AF18" s="101" t="n"/>
      <c r="AG18" s="100" t="n"/>
      <c r="AH18" s="100" t="n"/>
      <c r="AI18" s="100" t="n"/>
      <c r="AJ18" s="102">
        <f>IF(ISBLANK(B18), "", IF(ISNUMBER(D18), IF(D18&gt;0, (COUNTIF(E18:AI18, "✓") + COUNTIF(E18:AI18, "✔") + COUNTIF(E18:AI18, "v") + COUNTIF(E18:AI18, "V"))/D18, 0), IF(((COUNTIF(E18:AI18, "✓") + COUNTIF(E18:AI18, "✔") + COUNTIF(E18:AI18, "v") + COUNTIF(E18:AI18, "V")) + COUNTIF(E18:AI18, "✗") + COUNTIF(E18:AI18, "x") + COUNTIF(E18:AI18, "X"))&gt;0, (COUNTIF(E18:AI18, "✓") + COUNTIF(E18:AI18, "✔") + COUNTIF(E18:AI18, "v") + COUNTIF(E18:AI18, "V"))/((COUNTIF(E18:AI18, "✓") + COUNTIF(E18:AI18, "✔") + COUNTIF(E18:AI18, "v") + COUNTIF(E18:AI18, "V")) + COUNTIF(E18:AI18, "✗") + COUNTIF(E18:AI18, "x") + COUNTIF(E18:AI18, "X")), "")))</f>
        <v/>
      </c>
      <c r="AK18" s="103">
        <f>IF(ISBLANK(B18), "", IF(ISNUMBER(D18), IF(D18&gt;0, (COUNTIF(E18:AI18, "✓") + COUNTIF(E18:AI18, "✔") + COUNTIF(E18:AI18, "v") + COUNTIF(E18:AI18, "V")) &amp; "/" &amp; D18, (COUNTIF(E18:AI18, "✓") + COUNTIF(E18:AI18, "✔") + COUNTIF(E18:AI18, "v") + COUNTIF(E18:AI18, "V")) &amp; "/0"), IF(((COUNTIF(E18:AI18, "✓") + COUNTIF(E18:AI18, "✔") + COUNTIF(E18:AI18, "v") + COUNTIF(E18:AI18, "V")) + COUNTIF(E18:AI18, "✗") + COUNTIF(E18:AI18, "x") + COUNTIF(E18:AI18, "X"))&gt;0, (COUNTIF(E18:AI18, "✓") + COUNTIF(E18:AI18, "✔") + COUNTIF(E18:AI18, "v") + COUNTIF(E18:AI18, "V")) &amp; "/" &amp; ((COUNTIF(E18:AI18, "✓") + COUNTIF(E18:AI18, "✔") + COUNTIF(E18:AI18, "v") + COUNTIF(E18:AI18, "V")) + COUNTIF(E18:AI18, "✗") + COUNTIF(E18:AI18, "x") + COUNTIF(E18:AI18, "X")), "")))</f>
        <v/>
      </c>
      <c r="AL18" s="103">
        <f>IF(ISBLANK(B18), "", IF(AJ18&gt;=0.85, "🔥 Mastered", IF(AJ18&gt;=0.7, "⚡ Consistent", "⚠️ Needs Focus")))</f>
        <v/>
      </c>
      <c r="AM18">
        <f>COUNTIF(E18:AI18, "✓")</f>
        <v/>
      </c>
    </row>
    <row r="19" ht="14.5" customHeight="1">
      <c r="A19" s="97" t="n">
        <v>2</v>
      </c>
      <c r="B19" s="98" t="n"/>
      <c r="C19" s="99" t="n"/>
      <c r="D19" s="99" t="n"/>
      <c r="E19" s="100" t="n"/>
      <c r="F19" s="100" t="n"/>
      <c r="G19" s="100" t="n"/>
      <c r="H19" s="100" t="n"/>
      <c r="I19" s="100" t="n"/>
      <c r="J19" s="100" t="n"/>
      <c r="K19" s="101" t="n"/>
      <c r="L19" s="100" t="n"/>
      <c r="M19" s="100" t="n"/>
      <c r="N19" s="100" t="n"/>
      <c r="O19" s="100" t="n"/>
      <c r="P19" s="100" t="n"/>
      <c r="Q19" s="100" t="n"/>
      <c r="R19" s="101" t="n"/>
      <c r="S19" s="100" t="n"/>
      <c r="T19" s="100" t="n"/>
      <c r="U19" s="100" t="n"/>
      <c r="V19" s="100" t="n"/>
      <c r="W19" s="100" t="n"/>
      <c r="X19" s="100" t="n"/>
      <c r="Y19" s="101" t="n"/>
      <c r="Z19" s="100" t="n"/>
      <c r="AA19" s="100" t="n"/>
      <c r="AB19" s="100" t="n"/>
      <c r="AC19" s="100" t="n"/>
      <c r="AD19" s="100" t="n"/>
      <c r="AE19" s="100" t="n"/>
      <c r="AF19" s="101" t="n"/>
      <c r="AG19" s="100" t="n"/>
      <c r="AH19" s="100" t="n"/>
      <c r="AI19" s="100" t="n"/>
      <c r="AJ19" s="102">
        <f>IF(ISBLANK(B19), "", IF(ISNUMBER(D19), IF(D19&gt;0, (COUNTIF(E19:AI19, "✓") + COUNTIF(E19:AI19, "✔") + COUNTIF(E19:AI19, "v") + COUNTIF(E19:AI19, "V"))/D19, 0), IF(((COUNTIF(E19:AI19, "✓") + COUNTIF(E19:AI19, "✔") + COUNTIF(E19:AI19, "v") + COUNTIF(E19:AI19, "V")) + COUNTIF(E19:AI19, "✗") + COUNTIF(E19:AI19, "x") + COUNTIF(E19:AI19, "X"))&gt;0, (COUNTIF(E19:AI19, "✓") + COUNTIF(E19:AI19, "✔") + COUNTIF(E19:AI19, "v") + COUNTIF(E19:AI19, "V"))/((COUNTIF(E19:AI19, "✓") + COUNTIF(E19:AI19, "✔") + COUNTIF(E19:AI19, "v") + COUNTIF(E19:AI19, "V")) + COUNTIF(E19:AI19, "✗") + COUNTIF(E19:AI19, "x") + COUNTIF(E19:AI19, "X")), "")))</f>
        <v/>
      </c>
      <c r="AK19" s="103">
        <f>IF(ISBLANK(B19), "", IF(ISNUMBER(D19), IF(D19&gt;0, (COUNTIF(E19:AI19, "✓") + COUNTIF(E19:AI19, "✔") + COUNTIF(E19:AI19, "v") + COUNTIF(E19:AI19, "V")) &amp; "/" &amp; D19, (COUNTIF(E19:AI19, "✓") + COUNTIF(E19:AI19, "✔") + COUNTIF(E19:AI19, "v") + COUNTIF(E19:AI19, "V")) &amp; "/0"), IF(((COUNTIF(E19:AI19, "✓") + COUNTIF(E19:AI19, "✔") + COUNTIF(E19:AI19, "v") + COUNTIF(E19:AI19, "V")) + COUNTIF(E19:AI19, "✗") + COUNTIF(E19:AI19, "x") + COUNTIF(E19:AI19, "X"))&gt;0, (COUNTIF(E19:AI19, "✓") + COUNTIF(E19:AI19, "✔") + COUNTIF(E19:AI19, "v") + COUNTIF(E19:AI19, "V")) &amp; "/" &amp; ((COUNTIF(E19:AI19, "✓") + COUNTIF(E19:AI19, "✔") + COUNTIF(E19:AI19, "v") + COUNTIF(E19:AI19, "V")) + COUNTIF(E19:AI19, "✗") + COUNTIF(E19:AI19, "x") + COUNTIF(E19:AI19, "X")), "")))</f>
        <v/>
      </c>
      <c r="AL19" s="103">
        <f>IF(ISBLANK(B19), "", IF(AJ19&gt;=0.85, "🔥 Mastered", IF(AJ19&gt;=0.7, "⚡ Consistent", "⚠️ Needs Focus")))</f>
        <v/>
      </c>
      <c r="AM19">
        <f>COUNTIF(E19:AI19, "✓")</f>
        <v/>
      </c>
    </row>
    <row r="20" ht="14.5" customHeight="1">
      <c r="A20" s="97" t="n">
        <v>3</v>
      </c>
      <c r="B20" s="98" t="n"/>
      <c r="C20" s="99" t="n"/>
      <c r="D20" s="99" t="n"/>
      <c r="E20" s="100" t="n"/>
      <c r="F20" s="100" t="n"/>
      <c r="G20" s="100" t="n"/>
      <c r="H20" s="100" t="n"/>
      <c r="I20" s="100" t="n"/>
      <c r="J20" s="100" t="n"/>
      <c r="K20" s="101" t="n"/>
      <c r="L20" s="100" t="n"/>
      <c r="M20" s="100" t="n"/>
      <c r="N20" s="100" t="n"/>
      <c r="O20" s="100" t="n"/>
      <c r="P20" s="100" t="n"/>
      <c r="Q20" s="100" t="n"/>
      <c r="R20" s="101" t="n"/>
      <c r="S20" s="100" t="n"/>
      <c r="T20" s="100" t="n"/>
      <c r="U20" s="100" t="n"/>
      <c r="V20" s="100" t="n"/>
      <c r="W20" s="100" t="n"/>
      <c r="X20" s="100" t="n"/>
      <c r="Y20" s="101" t="n"/>
      <c r="Z20" s="100" t="n"/>
      <c r="AA20" s="100" t="n"/>
      <c r="AB20" s="100" t="n"/>
      <c r="AC20" s="100" t="n"/>
      <c r="AD20" s="100" t="n"/>
      <c r="AE20" s="100" t="n"/>
      <c r="AF20" s="101" t="n"/>
      <c r="AG20" s="100" t="n"/>
      <c r="AH20" s="100" t="n"/>
      <c r="AI20" s="100" t="n"/>
      <c r="AJ20" s="102">
        <f>IF(ISBLANK(B20), "", IF(ISNUMBER(D20), IF(D20&gt;0, (COUNTIF(E20:AI20, "✓") + COUNTIF(E20:AI20, "✔") + COUNTIF(E20:AI20, "v") + COUNTIF(E20:AI20, "V"))/D20, 0), IF(((COUNTIF(E20:AI20, "✓") + COUNTIF(E20:AI20, "✔") + COUNTIF(E20:AI20, "v") + COUNTIF(E20:AI20, "V")) + COUNTIF(E20:AI20, "✗") + COUNTIF(E20:AI20, "x") + COUNTIF(E20:AI20, "X"))&gt;0, (COUNTIF(E20:AI20, "✓") + COUNTIF(E20:AI20, "✔") + COUNTIF(E20:AI20, "v") + COUNTIF(E20:AI20, "V"))/((COUNTIF(E20:AI20, "✓") + COUNTIF(E20:AI20, "✔") + COUNTIF(E20:AI20, "v") + COUNTIF(E20:AI20, "V")) + COUNTIF(E20:AI20, "✗") + COUNTIF(E20:AI20, "x") + COUNTIF(E20:AI20, "X")), "")))</f>
        <v/>
      </c>
      <c r="AK20" s="103">
        <f>IF(ISBLANK(B20), "", IF(ISNUMBER(D20), IF(D20&gt;0, (COUNTIF(E20:AI20, "✓") + COUNTIF(E20:AI20, "✔") + COUNTIF(E20:AI20, "v") + COUNTIF(E20:AI20, "V")) &amp; "/" &amp; D20, (COUNTIF(E20:AI20, "✓") + COUNTIF(E20:AI20, "✔") + COUNTIF(E20:AI20, "v") + COUNTIF(E20:AI20, "V")) &amp; "/0"), IF(((COUNTIF(E20:AI20, "✓") + COUNTIF(E20:AI20, "✔") + COUNTIF(E20:AI20, "v") + COUNTIF(E20:AI20, "V")) + COUNTIF(E20:AI20, "✗") + COUNTIF(E20:AI20, "x") + COUNTIF(E20:AI20, "X"))&gt;0, (COUNTIF(E20:AI20, "✓") + COUNTIF(E20:AI20, "✔") + COUNTIF(E20:AI20, "v") + COUNTIF(E20:AI20, "V")) &amp; "/" &amp; ((COUNTIF(E20:AI20, "✓") + COUNTIF(E20:AI20, "✔") + COUNTIF(E20:AI20, "v") + COUNTIF(E20:AI20, "V")) + COUNTIF(E20:AI20, "✗") + COUNTIF(E20:AI20, "x") + COUNTIF(E20:AI20, "X")), "")))</f>
        <v/>
      </c>
      <c r="AL20" s="103">
        <f>IF(ISBLANK(B20), "", IF(AJ20&gt;=0.85, "🔥 Mastered", IF(AJ20&gt;=0.7, "⚡ Consistent", "⚠️ Needs Focus")))</f>
        <v/>
      </c>
      <c r="AM20">
        <f>COUNTIF(E20:AI20, "✓")</f>
        <v/>
      </c>
    </row>
    <row r="21" ht="14.5" customHeight="1">
      <c r="A21" s="97" t="n">
        <v>4</v>
      </c>
      <c r="B21" s="98" t="n"/>
      <c r="C21" s="99" t="n"/>
      <c r="D21" s="99" t="n"/>
      <c r="E21" s="100" t="n"/>
      <c r="F21" s="100" t="n"/>
      <c r="G21" s="100" t="n"/>
      <c r="H21" s="100" t="n"/>
      <c r="I21" s="100" t="n"/>
      <c r="J21" s="100" t="n"/>
      <c r="K21" s="101" t="n"/>
      <c r="L21" s="100" t="n"/>
      <c r="M21" s="100" t="n"/>
      <c r="N21" s="100" t="n"/>
      <c r="O21" s="100" t="n"/>
      <c r="P21" s="100" t="n"/>
      <c r="Q21" s="100" t="n"/>
      <c r="R21" s="101" t="n"/>
      <c r="S21" s="100" t="n"/>
      <c r="T21" s="100" t="n"/>
      <c r="U21" s="100" t="n"/>
      <c r="V21" s="100" t="n"/>
      <c r="W21" s="100" t="n"/>
      <c r="X21" s="100" t="n"/>
      <c r="Y21" s="101" t="n"/>
      <c r="Z21" s="100" t="n"/>
      <c r="AA21" s="100" t="n"/>
      <c r="AB21" s="100" t="n"/>
      <c r="AC21" s="100" t="n"/>
      <c r="AD21" s="100" t="n"/>
      <c r="AE21" s="100" t="n"/>
      <c r="AF21" s="101" t="n"/>
      <c r="AG21" s="100" t="n"/>
      <c r="AH21" s="100" t="n"/>
      <c r="AI21" s="100" t="n"/>
      <c r="AJ21" s="102">
        <f>IF(ISBLANK(B21), "", IF(ISNUMBER(D21), IF(D21&gt;0, (COUNTIF(E21:AI21, "✓") + COUNTIF(E21:AI21, "✔") + COUNTIF(E21:AI21, "v") + COUNTIF(E21:AI21, "V"))/D21, 0), IF(((COUNTIF(E21:AI21, "✓") + COUNTIF(E21:AI21, "✔") + COUNTIF(E21:AI21, "v") + COUNTIF(E21:AI21, "V")) + COUNTIF(E21:AI21, "✗") + COUNTIF(E21:AI21, "x") + COUNTIF(E21:AI21, "X"))&gt;0, (COUNTIF(E21:AI21, "✓") + COUNTIF(E21:AI21, "✔") + COUNTIF(E21:AI21, "v") + COUNTIF(E21:AI21, "V"))/((COUNTIF(E21:AI21, "✓") + COUNTIF(E21:AI21, "✔") + COUNTIF(E21:AI21, "v") + COUNTIF(E21:AI21, "V")) + COUNTIF(E21:AI21, "✗") + COUNTIF(E21:AI21, "x") + COUNTIF(E21:AI21, "X")), "")))</f>
        <v/>
      </c>
      <c r="AK21" s="103">
        <f>IF(ISBLANK(B21), "", IF(ISNUMBER(D21), IF(D21&gt;0, (COUNTIF(E21:AI21, "✓") + COUNTIF(E21:AI21, "✔") + COUNTIF(E21:AI21, "v") + COUNTIF(E21:AI21, "V")) &amp; "/" &amp; D21, (COUNTIF(E21:AI21, "✓") + COUNTIF(E21:AI21, "✔") + COUNTIF(E21:AI21, "v") + COUNTIF(E21:AI21, "V")) &amp; "/0"), IF(((COUNTIF(E21:AI21, "✓") + COUNTIF(E21:AI21, "✔") + COUNTIF(E21:AI21, "v") + COUNTIF(E21:AI21, "V")) + COUNTIF(E21:AI21, "✗") + COUNTIF(E21:AI21, "x") + COUNTIF(E21:AI21, "X"))&gt;0, (COUNTIF(E21:AI21, "✓") + COUNTIF(E21:AI21, "✔") + COUNTIF(E21:AI21, "v") + COUNTIF(E21:AI21, "V")) &amp; "/" &amp; ((COUNTIF(E21:AI21, "✓") + COUNTIF(E21:AI21, "✔") + COUNTIF(E21:AI21, "v") + COUNTIF(E21:AI21, "V")) + COUNTIF(E21:AI21, "✗") + COUNTIF(E21:AI21, "x") + COUNTIF(E21:AI21, "X")), "")))</f>
        <v/>
      </c>
      <c r="AL21" s="103">
        <f>IF(ISBLANK(B21), "", IF(AJ21&gt;=0.85, "🔥 Mastered", IF(AJ21&gt;=0.7, "⚡ Consistent", "⚠️ Needs Focus")))</f>
        <v/>
      </c>
      <c r="AM21">
        <f>COUNTIF(E21:AI21, "✓")</f>
        <v/>
      </c>
    </row>
    <row r="22" ht="14.5" customHeight="1">
      <c r="A22" s="104" t="n">
        <v>5</v>
      </c>
      <c r="B22" s="105" t="n"/>
      <c r="C22" s="106" t="n"/>
      <c r="D22" s="106" t="n"/>
      <c r="E22" s="107" t="n"/>
      <c r="F22" s="107" t="n"/>
      <c r="G22" s="107" t="n"/>
      <c r="H22" s="107" t="n"/>
      <c r="I22" s="107" t="n"/>
      <c r="J22" s="107" t="n"/>
      <c r="K22" s="108" t="n"/>
      <c r="L22" s="107" t="n"/>
      <c r="M22" s="107" t="n"/>
      <c r="N22" s="107" t="n"/>
      <c r="O22" s="107" t="n"/>
      <c r="P22" s="107" t="n"/>
      <c r="Q22" s="107" t="n"/>
      <c r="R22" s="108" t="n"/>
      <c r="S22" s="107" t="n"/>
      <c r="T22" s="107" t="n"/>
      <c r="U22" s="107" t="n"/>
      <c r="V22" s="107" t="n"/>
      <c r="W22" s="107" t="n"/>
      <c r="X22" s="107" t="n"/>
      <c r="Y22" s="108" t="n"/>
      <c r="Z22" s="107" t="n"/>
      <c r="AA22" s="107" t="n"/>
      <c r="AB22" s="107" t="n"/>
      <c r="AC22" s="107" t="n"/>
      <c r="AD22" s="107" t="n"/>
      <c r="AE22" s="107" t="n"/>
      <c r="AF22" s="108" t="n"/>
      <c r="AG22" s="107" t="n"/>
      <c r="AH22" s="107" t="n"/>
      <c r="AI22" s="107" t="n"/>
      <c r="AJ22" s="109">
        <f>IF(ISBLANK(B22), "", IF(ISNUMBER(D22), IF(D22&gt;0, (COUNTIF(E22:AI22, "✓") + COUNTIF(E22:AI22, "✔") + COUNTIF(E22:AI22, "v") + COUNTIF(E22:AI22, "V"))/D22, 0), IF(((COUNTIF(E22:AI22, "✓") + COUNTIF(E22:AI22, "✔") + COUNTIF(E22:AI22, "v") + COUNTIF(E22:AI22, "V")) + COUNTIF(E22:AI22, "✗") + COUNTIF(E22:AI22, "x") + COUNTIF(E22:AI22, "X"))&gt;0, (COUNTIF(E22:AI22, "✓") + COUNTIF(E22:AI22, "✔") + COUNTIF(E22:AI22, "v") + COUNTIF(E22:AI22, "V"))/((COUNTIF(E22:AI22, "✓") + COUNTIF(E22:AI22, "✔") + COUNTIF(E22:AI22, "v") + COUNTIF(E22:AI22, "V")) + COUNTIF(E22:AI22, "✗") + COUNTIF(E22:AI22, "x") + COUNTIF(E22:AI22, "X")), "")))</f>
        <v/>
      </c>
      <c r="AK22" s="110">
        <f>IF(ISBLANK(B22), "", IF(ISNUMBER(D22), IF(D22&gt;0, (COUNTIF(E22:AI22, "✓") + COUNTIF(E22:AI22, "✔") + COUNTIF(E22:AI22, "v") + COUNTIF(E22:AI22, "V")) &amp; "/" &amp; D22, (COUNTIF(E22:AI22, "✓") + COUNTIF(E22:AI22, "✔") + COUNTIF(E22:AI22, "v") + COUNTIF(E22:AI22, "V")) &amp; "/0"), IF(((COUNTIF(E22:AI22, "✓") + COUNTIF(E22:AI22, "✔") + COUNTIF(E22:AI22, "v") + COUNTIF(E22:AI22, "V")) + COUNTIF(E22:AI22, "✗") + COUNTIF(E22:AI22, "x") + COUNTIF(E22:AI22, "X"))&gt;0, (COUNTIF(E22:AI22, "✓") + COUNTIF(E22:AI22, "✔") + COUNTIF(E22:AI22, "v") + COUNTIF(E22:AI22, "V")) &amp; "/" &amp; ((COUNTIF(E22:AI22, "✓") + COUNTIF(E22:AI22, "✔") + COUNTIF(E22:AI22, "v") + COUNTIF(E22:AI22, "V")) + COUNTIF(E22:AI22, "✗") + COUNTIF(E22:AI22, "x") + COUNTIF(E22:AI22, "X")), "")))</f>
        <v/>
      </c>
      <c r="AL22" s="110">
        <f>IF(ISBLANK(B22), "", IF(AJ22&gt;=0.85, "🔥 Mastered", IF(AJ22&gt;=0.7, "⚡ Consistent", "⚠️ Needs Focus")))</f>
        <v/>
      </c>
      <c r="AM22">
        <f>COUNTIF(E22:AI22, "✓")</f>
        <v/>
      </c>
    </row>
    <row r="23" ht="14.5" customHeight="1">
      <c r="A23" s="104" t="n">
        <v>6</v>
      </c>
      <c r="B23" s="105" t="n"/>
      <c r="C23" s="106" t="n"/>
      <c r="D23" s="106" t="n"/>
      <c r="E23" s="107" t="n"/>
      <c r="F23" s="107" t="n"/>
      <c r="G23" s="107" t="n"/>
      <c r="H23" s="107" t="n"/>
      <c r="I23" s="107" t="n"/>
      <c r="J23" s="107" t="n"/>
      <c r="K23" s="108" t="n"/>
      <c r="L23" s="107" t="n"/>
      <c r="M23" s="107" t="n"/>
      <c r="N23" s="107" t="n"/>
      <c r="O23" s="107" t="n"/>
      <c r="P23" s="107" t="n"/>
      <c r="Q23" s="107" t="n"/>
      <c r="R23" s="108" t="n"/>
      <c r="S23" s="107" t="n"/>
      <c r="T23" s="107" t="n"/>
      <c r="U23" s="107" t="n"/>
      <c r="V23" s="107" t="n"/>
      <c r="W23" s="107" t="n"/>
      <c r="X23" s="107" t="n"/>
      <c r="Y23" s="108" t="n"/>
      <c r="Z23" s="107" t="n"/>
      <c r="AA23" s="107" t="n"/>
      <c r="AB23" s="107" t="n"/>
      <c r="AC23" s="107" t="n"/>
      <c r="AD23" s="107" t="n"/>
      <c r="AE23" s="107" t="n"/>
      <c r="AF23" s="108" t="n"/>
      <c r="AG23" s="107" t="n"/>
      <c r="AH23" s="107" t="n"/>
      <c r="AI23" s="107" t="n"/>
      <c r="AJ23" s="109">
        <f>IF(ISBLANK(B23), "", IF(ISNUMBER(D23), IF(D23&gt;0, (COUNTIF(E23:AI23, "✓") + COUNTIF(E23:AI23, "✔") + COUNTIF(E23:AI23, "v") + COUNTIF(E23:AI23, "V"))/D23, 0), IF(((COUNTIF(E23:AI23, "✓") + COUNTIF(E23:AI23, "✔") + COUNTIF(E23:AI23, "v") + COUNTIF(E23:AI23, "V")) + COUNTIF(E23:AI23, "✗") + COUNTIF(E23:AI23, "x") + COUNTIF(E23:AI23, "X"))&gt;0, (COUNTIF(E23:AI23, "✓") + COUNTIF(E23:AI23, "✔") + COUNTIF(E23:AI23, "v") + COUNTIF(E23:AI23, "V"))/((COUNTIF(E23:AI23, "✓") + COUNTIF(E23:AI23, "✔") + COUNTIF(E23:AI23, "v") + COUNTIF(E23:AI23, "V")) + COUNTIF(E23:AI23, "✗") + COUNTIF(E23:AI23, "x") + COUNTIF(E23:AI23, "X")), "")))</f>
        <v/>
      </c>
      <c r="AK23" s="110">
        <f>IF(ISBLANK(B23), "", IF(ISNUMBER(D23), IF(D23&gt;0, (COUNTIF(E23:AI23, "✓") + COUNTIF(E23:AI23, "✔") + COUNTIF(E23:AI23, "v") + COUNTIF(E23:AI23, "V")) &amp; "/" &amp; D23, (COUNTIF(E23:AI23, "✓") + COUNTIF(E23:AI23, "✔") + COUNTIF(E23:AI23, "v") + COUNTIF(E23:AI23, "V")) &amp; "/0"), IF(((COUNTIF(E23:AI23, "✓") + COUNTIF(E23:AI23, "✔") + COUNTIF(E23:AI23, "v") + COUNTIF(E23:AI23, "V")) + COUNTIF(E23:AI23, "✗") + COUNTIF(E23:AI23, "x") + COUNTIF(E23:AI23, "X"))&gt;0, (COUNTIF(E23:AI23, "✓") + COUNTIF(E23:AI23, "✔") + COUNTIF(E23:AI23, "v") + COUNTIF(E23:AI23, "V")) &amp; "/" &amp; ((COUNTIF(E23:AI23, "✓") + COUNTIF(E23:AI23, "✔") + COUNTIF(E23:AI23, "v") + COUNTIF(E23:AI23, "V")) + COUNTIF(E23:AI23, "✗") + COUNTIF(E23:AI23, "x") + COUNTIF(E23:AI23, "X")), "")))</f>
        <v/>
      </c>
      <c r="AL23" s="110">
        <f>IF(ISBLANK(B23), "", IF(AJ23&gt;=0.85, "🔥 Mastered", IF(AJ23&gt;=0.7, "⚡ Consistent", "⚠️ Needs Focus")))</f>
        <v/>
      </c>
      <c r="AM23">
        <f>COUNTIF(E23:AI23, "✓")</f>
        <v/>
      </c>
    </row>
    <row r="24" ht="14.5" customHeight="1">
      <c r="A24" s="104" t="n">
        <v>7</v>
      </c>
      <c r="B24" s="105" t="n"/>
      <c r="C24" s="106" t="n"/>
      <c r="D24" s="106" t="n"/>
      <c r="E24" s="107" t="n"/>
      <c r="F24" s="107" t="n"/>
      <c r="G24" s="107" t="n"/>
      <c r="H24" s="107" t="n"/>
      <c r="I24" s="107" t="n"/>
      <c r="J24" s="107" t="n"/>
      <c r="K24" s="108" t="n"/>
      <c r="L24" s="107" t="n"/>
      <c r="M24" s="107" t="n"/>
      <c r="N24" s="107" t="n"/>
      <c r="O24" s="107" t="n"/>
      <c r="P24" s="107" t="n"/>
      <c r="Q24" s="107" t="n"/>
      <c r="R24" s="108" t="n"/>
      <c r="S24" s="107" t="n"/>
      <c r="T24" s="107" t="n"/>
      <c r="U24" s="107" t="n"/>
      <c r="V24" s="107" t="n"/>
      <c r="W24" s="107" t="n"/>
      <c r="X24" s="107" t="n"/>
      <c r="Y24" s="108" t="n"/>
      <c r="Z24" s="107" t="n"/>
      <c r="AA24" s="107" t="n"/>
      <c r="AB24" s="107" t="n"/>
      <c r="AC24" s="107" t="n"/>
      <c r="AD24" s="107" t="n"/>
      <c r="AE24" s="107" t="n"/>
      <c r="AF24" s="108" t="n"/>
      <c r="AG24" s="107" t="n"/>
      <c r="AH24" s="107" t="n"/>
      <c r="AI24" s="107" t="n"/>
      <c r="AJ24" s="109">
        <f>IF(ISBLANK(B24), "", IF(ISNUMBER(D24), IF(D24&gt;0, (COUNTIF(E24:AI24, "✓") + COUNTIF(E24:AI24, "✔") + COUNTIF(E24:AI24, "v") + COUNTIF(E24:AI24, "V"))/D24, 0), IF(((COUNTIF(E24:AI24, "✓") + COUNTIF(E24:AI24, "✔") + COUNTIF(E24:AI24, "v") + COUNTIF(E24:AI24, "V")) + COUNTIF(E24:AI24, "✗") + COUNTIF(E24:AI24, "x") + COUNTIF(E24:AI24, "X"))&gt;0, (COUNTIF(E24:AI24, "✓") + COUNTIF(E24:AI24, "✔") + COUNTIF(E24:AI24, "v") + COUNTIF(E24:AI24, "V"))/((COUNTIF(E24:AI24, "✓") + COUNTIF(E24:AI24, "✔") + COUNTIF(E24:AI24, "v") + COUNTIF(E24:AI24, "V")) + COUNTIF(E24:AI24, "✗") + COUNTIF(E24:AI24, "x") + COUNTIF(E24:AI24, "X")), "")))</f>
        <v/>
      </c>
      <c r="AK24" s="110">
        <f>IF(ISBLANK(B24), "", IF(ISNUMBER(D24), IF(D24&gt;0, (COUNTIF(E24:AI24, "✓") + COUNTIF(E24:AI24, "✔") + COUNTIF(E24:AI24, "v") + COUNTIF(E24:AI24, "V")) &amp; "/" &amp; D24, (COUNTIF(E24:AI24, "✓") + COUNTIF(E24:AI24, "✔") + COUNTIF(E24:AI24, "v") + COUNTIF(E24:AI24, "V")) &amp; "/0"), IF(((COUNTIF(E24:AI24, "✓") + COUNTIF(E24:AI24, "✔") + COUNTIF(E24:AI24, "v") + COUNTIF(E24:AI24, "V")) + COUNTIF(E24:AI24, "✗") + COUNTIF(E24:AI24, "x") + COUNTIF(E24:AI24, "X"))&gt;0, (COUNTIF(E24:AI24, "✓") + COUNTIF(E24:AI24, "✔") + COUNTIF(E24:AI24, "v") + COUNTIF(E24:AI24, "V")) &amp; "/" &amp; ((COUNTIF(E24:AI24, "✓") + COUNTIF(E24:AI24, "✔") + COUNTIF(E24:AI24, "v") + COUNTIF(E24:AI24, "V")) + COUNTIF(E24:AI24, "✗") + COUNTIF(E24:AI24, "x") + COUNTIF(E24:AI24, "X")), "")))</f>
        <v/>
      </c>
      <c r="AL24" s="110">
        <f>IF(ISBLANK(B24), "", IF(AJ24&gt;=0.85, "🔥 Mastered", IF(AJ24&gt;=0.7, "⚡ Consistent", "⚠️ Needs Focus")))</f>
        <v/>
      </c>
      <c r="AM24">
        <f>COUNTIF(E24:AI24, "✓")</f>
        <v/>
      </c>
    </row>
    <row r="25" ht="14.5" customHeight="1">
      <c r="A25" s="104" t="n">
        <v>8</v>
      </c>
      <c r="B25" s="105" t="n"/>
      <c r="C25" s="106" t="n"/>
      <c r="D25" s="106" t="n"/>
      <c r="E25" s="107" t="n"/>
      <c r="F25" s="107" t="n"/>
      <c r="G25" s="107" t="n"/>
      <c r="H25" s="107" t="n"/>
      <c r="I25" s="107" t="n"/>
      <c r="J25" s="107" t="n"/>
      <c r="K25" s="108" t="n"/>
      <c r="L25" s="107" t="n"/>
      <c r="M25" s="107" t="n"/>
      <c r="N25" s="107" t="n"/>
      <c r="O25" s="107" t="n"/>
      <c r="P25" s="107" t="n"/>
      <c r="Q25" s="107" t="n"/>
      <c r="R25" s="108" t="n"/>
      <c r="S25" s="107" t="n"/>
      <c r="T25" s="107" t="n"/>
      <c r="U25" s="107" t="n"/>
      <c r="V25" s="107" t="n"/>
      <c r="W25" s="107" t="n"/>
      <c r="X25" s="107" t="n"/>
      <c r="Y25" s="108" t="n"/>
      <c r="Z25" s="107" t="n"/>
      <c r="AA25" s="107" t="n"/>
      <c r="AB25" s="107" t="n"/>
      <c r="AC25" s="107" t="n"/>
      <c r="AD25" s="107" t="n"/>
      <c r="AE25" s="107" t="n"/>
      <c r="AF25" s="108" t="n"/>
      <c r="AG25" s="107" t="n"/>
      <c r="AH25" s="107" t="n"/>
      <c r="AI25" s="107" t="n"/>
      <c r="AJ25" s="109">
        <f>IF(ISBLANK(B25), "", IF(ISNUMBER(D25), IF(D25&gt;0, (COUNTIF(E25:AI25, "✓") + COUNTIF(E25:AI25, "✔") + COUNTIF(E25:AI25, "v") + COUNTIF(E25:AI25, "V"))/D25, 0), IF(((COUNTIF(E25:AI25, "✓") + COUNTIF(E25:AI25, "✔") + COUNTIF(E25:AI25, "v") + COUNTIF(E25:AI25, "V")) + COUNTIF(E25:AI25, "✗") + COUNTIF(E25:AI25, "x") + COUNTIF(E25:AI25, "X"))&gt;0, (COUNTIF(E25:AI25, "✓") + COUNTIF(E25:AI25, "✔") + COUNTIF(E25:AI25, "v") + COUNTIF(E25:AI25, "V"))/((COUNTIF(E25:AI25, "✓") + COUNTIF(E25:AI25, "✔") + COUNTIF(E25:AI25, "v") + COUNTIF(E25:AI25, "V")) + COUNTIF(E25:AI25, "✗") + COUNTIF(E25:AI25, "x") + COUNTIF(E25:AI25, "X")), "")))</f>
        <v/>
      </c>
      <c r="AK25" s="110">
        <f>IF(ISBLANK(B25), "", IF(ISNUMBER(D25), IF(D25&gt;0, (COUNTIF(E25:AI25, "✓") + COUNTIF(E25:AI25, "✔") + COUNTIF(E25:AI25, "v") + COUNTIF(E25:AI25, "V")) &amp; "/" &amp; D25, (COUNTIF(E25:AI25, "✓") + COUNTIF(E25:AI25, "✔") + COUNTIF(E25:AI25, "v") + COUNTIF(E25:AI25, "V")) &amp; "/0"), IF(((COUNTIF(E25:AI25, "✓") + COUNTIF(E25:AI25, "✔") + COUNTIF(E25:AI25, "v") + COUNTIF(E25:AI25, "V")) + COUNTIF(E25:AI25, "✗") + COUNTIF(E25:AI25, "x") + COUNTIF(E25:AI25, "X"))&gt;0, (COUNTIF(E25:AI25, "✓") + COUNTIF(E25:AI25, "✔") + COUNTIF(E25:AI25, "v") + COUNTIF(E25:AI25, "V")) &amp; "/" &amp; ((COUNTIF(E25:AI25, "✓") + COUNTIF(E25:AI25, "✔") + COUNTIF(E25:AI25, "v") + COUNTIF(E25:AI25, "V")) + COUNTIF(E25:AI25, "✗") + COUNTIF(E25:AI25, "x") + COUNTIF(E25:AI25, "X")), "")))</f>
        <v/>
      </c>
      <c r="AL25" s="110">
        <f>IF(ISBLANK(B25), "", IF(AJ25&gt;=0.85, "🔥 Mastered", IF(AJ25&gt;=0.7, "⚡ Consistent", "⚠️ Needs Focus")))</f>
        <v/>
      </c>
      <c r="AM25">
        <f>COUNTIF(E25:AI25, "✓")</f>
        <v/>
      </c>
    </row>
    <row r="26" ht="14.5" customHeight="1">
      <c r="A26" s="111" t="n">
        <v>9</v>
      </c>
      <c r="B26" s="112" t="n"/>
      <c r="C26" s="113" t="n"/>
      <c r="D26" s="113" t="n"/>
      <c r="E26" s="114" t="n"/>
      <c r="F26" s="114" t="n"/>
      <c r="G26" s="114" t="n"/>
      <c r="H26" s="114" t="n"/>
      <c r="I26" s="114" t="n"/>
      <c r="J26" s="114" t="n"/>
      <c r="K26" s="115" t="n"/>
      <c r="L26" s="114" t="n"/>
      <c r="M26" s="114" t="n"/>
      <c r="N26" s="114" t="n"/>
      <c r="O26" s="114" t="n"/>
      <c r="P26" s="114" t="n"/>
      <c r="Q26" s="114" t="n"/>
      <c r="R26" s="115" t="n"/>
      <c r="S26" s="114" t="n"/>
      <c r="T26" s="114" t="n"/>
      <c r="U26" s="114" t="n"/>
      <c r="V26" s="114" t="n"/>
      <c r="W26" s="114" t="n"/>
      <c r="X26" s="114" t="n"/>
      <c r="Y26" s="115" t="n"/>
      <c r="Z26" s="114" t="n"/>
      <c r="AA26" s="114" t="n"/>
      <c r="AB26" s="114" t="n"/>
      <c r="AC26" s="114" t="n"/>
      <c r="AD26" s="114" t="n"/>
      <c r="AE26" s="114" t="n"/>
      <c r="AF26" s="115" t="n"/>
      <c r="AG26" s="114" t="n"/>
      <c r="AH26" s="114" t="n"/>
      <c r="AI26" s="114" t="n"/>
      <c r="AJ26" s="116">
        <f>IF(ISBLANK(B26), "", IF(ISNUMBER(D26), IF(D26&gt;0, (COUNTIF(E26:AI26, "✓") + COUNTIF(E26:AI26, "✔") + COUNTIF(E26:AI26, "v") + COUNTIF(E26:AI26, "V"))/D26, 0), IF(((COUNTIF(E26:AI26, "✓") + COUNTIF(E26:AI26, "✔") + COUNTIF(E26:AI26, "v") + COUNTIF(E26:AI26, "V")) + COUNTIF(E26:AI26, "✗") + COUNTIF(E26:AI26, "x") + COUNTIF(E26:AI26, "X"))&gt;0, (COUNTIF(E26:AI26, "✓") + COUNTIF(E26:AI26, "✔") + COUNTIF(E26:AI26, "v") + COUNTIF(E26:AI26, "V"))/((COUNTIF(E26:AI26, "✓") + COUNTIF(E26:AI26, "✔") + COUNTIF(E26:AI26, "v") + COUNTIF(E26:AI26, "V")) + COUNTIF(E26:AI26, "✗") + COUNTIF(E26:AI26, "x") + COUNTIF(E26:AI26, "X")), "")))</f>
        <v/>
      </c>
      <c r="AK26" s="117">
        <f>IF(ISBLANK(B26), "", IF(ISNUMBER(D26), IF(D26&gt;0, (COUNTIF(E26:AI26, "✓") + COUNTIF(E26:AI26, "✔") + COUNTIF(E26:AI26, "v") + COUNTIF(E26:AI26, "V")) &amp; "/" &amp; D26, (COUNTIF(E26:AI26, "✓") + COUNTIF(E26:AI26, "✔") + COUNTIF(E26:AI26, "v") + COUNTIF(E26:AI26, "V")) &amp; "/0"), IF(((COUNTIF(E26:AI26, "✓") + COUNTIF(E26:AI26, "✔") + COUNTIF(E26:AI26, "v") + COUNTIF(E26:AI26, "V")) + COUNTIF(E26:AI26, "✗") + COUNTIF(E26:AI26, "x") + COUNTIF(E26:AI26, "X"))&gt;0, (COUNTIF(E26:AI26, "✓") + COUNTIF(E26:AI26, "✔") + COUNTIF(E26:AI26, "v") + COUNTIF(E26:AI26, "V")) &amp; "/" &amp; ((COUNTIF(E26:AI26, "✓") + COUNTIF(E26:AI26, "✔") + COUNTIF(E26:AI26, "v") + COUNTIF(E26:AI26, "V")) + COUNTIF(E26:AI26, "✗") + COUNTIF(E26:AI26, "x") + COUNTIF(E26:AI26, "X")), "")))</f>
        <v/>
      </c>
      <c r="AL26" s="117">
        <f>IF(ISBLANK(B26), "", IF(AJ26&gt;=0.85, "🔥 Mastered", IF(AJ26&gt;=0.7, "⚡ Consistent", "⚠️ Needs Focus")))</f>
        <v/>
      </c>
      <c r="AM26">
        <f>COUNTIF(E26:AI26, "✓")</f>
        <v/>
      </c>
    </row>
    <row r="27" ht="14.5" customHeight="1">
      <c r="A27" s="111" t="n">
        <v>10</v>
      </c>
      <c r="B27" s="112" t="n"/>
      <c r="C27" s="113" t="n"/>
      <c r="D27" s="113" t="n"/>
      <c r="E27" s="114" t="n"/>
      <c r="F27" s="114" t="n"/>
      <c r="G27" s="114" t="n"/>
      <c r="H27" s="114" t="n"/>
      <c r="I27" s="114" t="n"/>
      <c r="J27" s="114" t="n"/>
      <c r="K27" s="115" t="n"/>
      <c r="L27" s="114" t="n"/>
      <c r="M27" s="114" t="n"/>
      <c r="N27" s="114" t="n"/>
      <c r="O27" s="114" t="n"/>
      <c r="P27" s="114" t="n"/>
      <c r="Q27" s="114" t="n"/>
      <c r="R27" s="115" t="n"/>
      <c r="S27" s="114" t="n"/>
      <c r="T27" s="114" t="n"/>
      <c r="U27" s="114" t="n"/>
      <c r="V27" s="114" t="n"/>
      <c r="W27" s="114" t="n"/>
      <c r="X27" s="114" t="n"/>
      <c r="Y27" s="115" t="n"/>
      <c r="Z27" s="114" t="n"/>
      <c r="AA27" s="114" t="n"/>
      <c r="AB27" s="114" t="n"/>
      <c r="AC27" s="114" t="n"/>
      <c r="AD27" s="114" t="n"/>
      <c r="AE27" s="114" t="n"/>
      <c r="AF27" s="115" t="n"/>
      <c r="AG27" s="114" t="n"/>
      <c r="AH27" s="114" t="n"/>
      <c r="AI27" s="114" t="n"/>
      <c r="AJ27" s="116">
        <f>IF(ISBLANK(B27), "", IF(ISNUMBER(D27), IF(D27&gt;0, (COUNTIF(E27:AI27, "✓") + COUNTIF(E27:AI27, "✔") + COUNTIF(E27:AI27, "v") + COUNTIF(E27:AI27, "V"))/D27, 0), IF(((COUNTIF(E27:AI27, "✓") + COUNTIF(E27:AI27, "✔") + COUNTIF(E27:AI27, "v") + COUNTIF(E27:AI27, "V")) + COUNTIF(E27:AI27, "✗") + COUNTIF(E27:AI27, "x") + COUNTIF(E27:AI27, "X"))&gt;0, (COUNTIF(E27:AI27, "✓") + COUNTIF(E27:AI27, "✔") + COUNTIF(E27:AI27, "v") + COUNTIF(E27:AI27, "V"))/((COUNTIF(E27:AI27, "✓") + COUNTIF(E27:AI27, "✔") + COUNTIF(E27:AI27, "v") + COUNTIF(E27:AI27, "V")) + COUNTIF(E27:AI27, "✗") + COUNTIF(E27:AI27, "x") + COUNTIF(E27:AI27, "X")), "")))</f>
        <v/>
      </c>
      <c r="AK27" s="117">
        <f>IF(ISBLANK(B27), "", IF(ISNUMBER(D27), IF(D27&gt;0, (COUNTIF(E27:AI27, "✓") + COUNTIF(E27:AI27, "✔") + COUNTIF(E27:AI27, "v") + COUNTIF(E27:AI27, "V")) &amp; "/" &amp; D27, (COUNTIF(E27:AI27, "✓") + COUNTIF(E27:AI27, "✔") + COUNTIF(E27:AI27, "v") + COUNTIF(E27:AI27, "V")) &amp; "/0"), IF(((COUNTIF(E27:AI27, "✓") + COUNTIF(E27:AI27, "✔") + COUNTIF(E27:AI27, "v") + COUNTIF(E27:AI27, "V")) + COUNTIF(E27:AI27, "✗") + COUNTIF(E27:AI27, "x") + COUNTIF(E27:AI27, "X"))&gt;0, (COUNTIF(E27:AI27, "✓") + COUNTIF(E27:AI27, "✔") + COUNTIF(E27:AI27, "v") + COUNTIF(E27:AI27, "V")) &amp; "/" &amp; ((COUNTIF(E27:AI27, "✓") + COUNTIF(E27:AI27, "✔") + COUNTIF(E27:AI27, "v") + COUNTIF(E27:AI27, "V")) + COUNTIF(E27:AI27, "✗") + COUNTIF(E27:AI27, "x") + COUNTIF(E27:AI27, "X")), "")))</f>
        <v/>
      </c>
      <c r="AL27" s="117">
        <f>IF(ISBLANK(B27), "", IF(AJ27&gt;=0.85, "🔥 Mastered", IF(AJ27&gt;=0.7, "⚡ Consistent", "⚠️ Needs Focus")))</f>
        <v/>
      </c>
      <c r="AM27">
        <f>COUNTIF(E27:AI27, "✓")</f>
        <v/>
      </c>
    </row>
    <row r="28" ht="14.5" customHeight="1">
      <c r="A28" s="111" t="n">
        <v>11</v>
      </c>
      <c r="B28" s="112" t="n"/>
      <c r="C28" s="113" t="n"/>
      <c r="D28" s="113" t="n"/>
      <c r="E28" s="114" t="n"/>
      <c r="F28" s="114" t="n"/>
      <c r="G28" s="114" t="n"/>
      <c r="H28" s="114" t="n"/>
      <c r="I28" s="114" t="n"/>
      <c r="J28" s="114" t="n"/>
      <c r="K28" s="115" t="n"/>
      <c r="L28" s="114" t="n"/>
      <c r="M28" s="114" t="n"/>
      <c r="N28" s="114" t="n"/>
      <c r="O28" s="114" t="n"/>
      <c r="P28" s="114" t="n"/>
      <c r="Q28" s="114" t="n"/>
      <c r="R28" s="115" t="n"/>
      <c r="S28" s="114" t="n"/>
      <c r="T28" s="114" t="n"/>
      <c r="U28" s="114" t="n"/>
      <c r="V28" s="114" t="n"/>
      <c r="W28" s="114" t="n"/>
      <c r="X28" s="114" t="n"/>
      <c r="Y28" s="115" t="n"/>
      <c r="Z28" s="114" t="n"/>
      <c r="AA28" s="114" t="n"/>
      <c r="AB28" s="114" t="n"/>
      <c r="AC28" s="114" t="n"/>
      <c r="AD28" s="114" t="n"/>
      <c r="AE28" s="114" t="n"/>
      <c r="AF28" s="115" t="n"/>
      <c r="AG28" s="114" t="n"/>
      <c r="AH28" s="114" t="n"/>
      <c r="AI28" s="114" t="n"/>
      <c r="AJ28" s="116">
        <f>IF(ISBLANK(B28), "", IF(ISNUMBER(D28), IF(D28&gt;0, (COUNTIF(E28:AI28, "✓") + COUNTIF(E28:AI28, "✔") + COUNTIF(E28:AI28, "v") + COUNTIF(E28:AI28, "V"))/D28, 0), IF(((COUNTIF(E28:AI28, "✓") + COUNTIF(E28:AI28, "✔") + COUNTIF(E28:AI28, "v") + COUNTIF(E28:AI28, "V")) + COUNTIF(E28:AI28, "✗") + COUNTIF(E28:AI28, "x") + COUNTIF(E28:AI28, "X"))&gt;0, (COUNTIF(E28:AI28, "✓") + COUNTIF(E28:AI28, "✔") + COUNTIF(E28:AI28, "v") + COUNTIF(E28:AI28, "V"))/((COUNTIF(E28:AI28, "✓") + COUNTIF(E28:AI28, "✔") + COUNTIF(E28:AI28, "v") + COUNTIF(E28:AI28, "V")) + COUNTIF(E28:AI28, "✗") + COUNTIF(E28:AI28, "x") + COUNTIF(E28:AI28, "X")), "")))</f>
        <v/>
      </c>
      <c r="AK28" s="117">
        <f>IF(ISBLANK(B28), "", IF(ISNUMBER(D28), IF(D28&gt;0, (COUNTIF(E28:AI28, "✓") + COUNTIF(E28:AI28, "✔") + COUNTIF(E28:AI28, "v") + COUNTIF(E28:AI28, "V")) &amp; "/" &amp; D28, (COUNTIF(E28:AI28, "✓") + COUNTIF(E28:AI28, "✔") + COUNTIF(E28:AI28, "v") + COUNTIF(E28:AI28, "V")) &amp; "/0"), IF(((COUNTIF(E28:AI28, "✓") + COUNTIF(E28:AI28, "✔") + COUNTIF(E28:AI28, "v") + COUNTIF(E28:AI28, "V")) + COUNTIF(E28:AI28, "✗") + COUNTIF(E28:AI28, "x") + COUNTIF(E28:AI28, "X"))&gt;0, (COUNTIF(E28:AI28, "✓") + COUNTIF(E28:AI28, "✔") + COUNTIF(E28:AI28, "v") + COUNTIF(E28:AI28, "V")) &amp; "/" &amp; ((COUNTIF(E28:AI28, "✓") + COUNTIF(E28:AI28, "✔") + COUNTIF(E28:AI28, "v") + COUNTIF(E28:AI28, "V")) + COUNTIF(E28:AI28, "✗") + COUNTIF(E28:AI28, "x") + COUNTIF(E28:AI28, "X")), "")))</f>
        <v/>
      </c>
      <c r="AL28" s="117">
        <f>IF(ISBLANK(B28), "", IF(AJ28&gt;=0.85, "🔥 Mastered", IF(AJ28&gt;=0.7, "⚡ Consistent", "⚠️ Needs Focus")))</f>
        <v/>
      </c>
      <c r="AM28">
        <f>COUNTIF(E28:AI28, "✓")</f>
        <v/>
      </c>
    </row>
    <row r="29" ht="14.5" customHeight="1">
      <c r="A29" s="111" t="n">
        <v>12</v>
      </c>
      <c r="B29" s="112" t="n"/>
      <c r="C29" s="113" t="n"/>
      <c r="D29" s="113" t="n"/>
      <c r="E29" s="114" t="n"/>
      <c r="F29" s="114" t="n"/>
      <c r="G29" s="114" t="n"/>
      <c r="H29" s="114" t="n"/>
      <c r="I29" s="114" t="n"/>
      <c r="J29" s="114" t="n"/>
      <c r="K29" s="115" t="n"/>
      <c r="L29" s="114" t="n"/>
      <c r="M29" s="114" t="n"/>
      <c r="N29" s="114" t="n"/>
      <c r="O29" s="114" t="n"/>
      <c r="P29" s="114" t="n"/>
      <c r="Q29" s="114" t="n"/>
      <c r="R29" s="115" t="n"/>
      <c r="S29" s="114" t="n"/>
      <c r="T29" s="114" t="n"/>
      <c r="U29" s="114" t="n"/>
      <c r="V29" s="114" t="n"/>
      <c r="W29" s="114" t="n"/>
      <c r="X29" s="114" t="n"/>
      <c r="Y29" s="115" t="n"/>
      <c r="Z29" s="114" t="n"/>
      <c r="AA29" s="114" t="n"/>
      <c r="AB29" s="114" t="n"/>
      <c r="AC29" s="114" t="n"/>
      <c r="AD29" s="114" t="n"/>
      <c r="AE29" s="114" t="n"/>
      <c r="AF29" s="115" t="n"/>
      <c r="AG29" s="114" t="n"/>
      <c r="AH29" s="114" t="n"/>
      <c r="AI29" s="114" t="n"/>
      <c r="AJ29" s="116">
        <f>IF(ISBLANK(B29), "", IF(ISNUMBER(D29), IF(D29&gt;0, (COUNTIF(E29:AI29, "✓") + COUNTIF(E29:AI29, "✔") + COUNTIF(E29:AI29, "v") + COUNTIF(E29:AI29, "V"))/D29, 0), IF(((COUNTIF(E29:AI29, "✓") + COUNTIF(E29:AI29, "✔") + COUNTIF(E29:AI29, "v") + COUNTIF(E29:AI29, "V")) + COUNTIF(E29:AI29, "✗") + COUNTIF(E29:AI29, "x") + COUNTIF(E29:AI29, "X"))&gt;0, (COUNTIF(E29:AI29, "✓") + COUNTIF(E29:AI29, "✔") + COUNTIF(E29:AI29, "v") + COUNTIF(E29:AI29, "V"))/((COUNTIF(E29:AI29, "✓") + COUNTIF(E29:AI29, "✔") + COUNTIF(E29:AI29, "v") + COUNTIF(E29:AI29, "V")) + COUNTIF(E29:AI29, "✗") + COUNTIF(E29:AI29, "x") + COUNTIF(E29:AI29, "X")), "")))</f>
        <v/>
      </c>
      <c r="AK29" s="117">
        <f>IF(ISBLANK(B29), "", IF(ISNUMBER(D29), IF(D29&gt;0, (COUNTIF(E29:AI29, "✓") + COUNTIF(E29:AI29, "✔") + COUNTIF(E29:AI29, "v") + COUNTIF(E29:AI29, "V")) &amp; "/" &amp; D29, (COUNTIF(E29:AI29, "✓") + COUNTIF(E29:AI29, "✔") + COUNTIF(E29:AI29, "v") + COUNTIF(E29:AI29, "V")) &amp; "/0"), IF(((COUNTIF(E29:AI29, "✓") + COUNTIF(E29:AI29, "✔") + COUNTIF(E29:AI29, "v") + COUNTIF(E29:AI29, "V")) + COUNTIF(E29:AI29, "✗") + COUNTIF(E29:AI29, "x") + COUNTIF(E29:AI29, "X"))&gt;0, (COUNTIF(E29:AI29, "✓") + COUNTIF(E29:AI29, "✔") + COUNTIF(E29:AI29, "v") + COUNTIF(E29:AI29, "V")) &amp; "/" &amp; ((COUNTIF(E29:AI29, "✓") + COUNTIF(E29:AI29, "✔") + COUNTIF(E29:AI29, "v") + COUNTIF(E29:AI29, "V")) + COUNTIF(E29:AI29, "✗") + COUNTIF(E29:AI29, "x") + COUNTIF(E29:AI29, "X")), "")))</f>
        <v/>
      </c>
      <c r="AL29" s="117">
        <f>IF(ISBLANK(B29), "", IF(AJ29&gt;=0.85, "🔥 Mastered", IF(AJ29&gt;=0.7, "⚡ Consistent", "⚠️ Needs Focus")))</f>
        <v/>
      </c>
      <c r="AM29">
        <f>COUNTIF(E29:AI29, "✓")</f>
        <v/>
      </c>
    </row>
    <row r="30" ht="14.5" customHeight="1">
      <c r="A30" s="118" t="n">
        <v>13</v>
      </c>
      <c r="B30" s="119" t="n"/>
      <c r="C30" s="120" t="n"/>
      <c r="D30" s="120" t="n"/>
      <c r="E30" s="121" t="n"/>
      <c r="F30" s="121" t="n"/>
      <c r="G30" s="121" t="n"/>
      <c r="H30" s="121" t="n"/>
      <c r="I30" s="121" t="n"/>
      <c r="J30" s="121" t="n"/>
      <c r="K30" s="122" t="n"/>
      <c r="L30" s="121" t="n"/>
      <c r="M30" s="121" t="n"/>
      <c r="N30" s="121" t="n"/>
      <c r="O30" s="121" t="n"/>
      <c r="P30" s="121" t="n"/>
      <c r="Q30" s="121" t="n"/>
      <c r="R30" s="122" t="n"/>
      <c r="S30" s="121" t="n"/>
      <c r="T30" s="121" t="n"/>
      <c r="U30" s="121" t="n"/>
      <c r="V30" s="121" t="n"/>
      <c r="W30" s="121" t="n"/>
      <c r="X30" s="121" t="n"/>
      <c r="Y30" s="122" t="n"/>
      <c r="Z30" s="121" t="n"/>
      <c r="AA30" s="121" t="n"/>
      <c r="AB30" s="121" t="n"/>
      <c r="AC30" s="121" t="n"/>
      <c r="AD30" s="121" t="n"/>
      <c r="AE30" s="121" t="n"/>
      <c r="AF30" s="122" t="n"/>
      <c r="AG30" s="121" t="n"/>
      <c r="AH30" s="121" t="n"/>
      <c r="AI30" s="121" t="n"/>
      <c r="AJ30" s="123">
        <f>IF(ISBLANK(B30), "", IF(ISNUMBER(D30), IF(D30&gt;0, (COUNTIF(E30:AI30, "✓") + COUNTIF(E30:AI30, "✔") + COUNTIF(E30:AI30, "v") + COUNTIF(E30:AI30, "V"))/D30, 0), IF(((COUNTIF(E30:AI30, "✓") + COUNTIF(E30:AI30, "✔") + COUNTIF(E30:AI30, "v") + COUNTIF(E30:AI30, "V")) + COUNTIF(E30:AI30, "✗") + COUNTIF(E30:AI30, "x") + COUNTIF(E30:AI30, "X"))&gt;0, (COUNTIF(E30:AI30, "✓") + COUNTIF(E30:AI30, "✔") + COUNTIF(E30:AI30, "v") + COUNTIF(E30:AI30, "V"))/((COUNTIF(E30:AI30, "✓") + COUNTIF(E30:AI30, "✔") + COUNTIF(E30:AI30, "v") + COUNTIF(E30:AI30, "V")) + COUNTIF(E30:AI30, "✗") + COUNTIF(E30:AI30, "x") + COUNTIF(E30:AI30, "X")), "")))</f>
        <v/>
      </c>
      <c r="AK30" s="124">
        <f>IF(ISBLANK(B30), "", IF(ISNUMBER(D30), IF(D30&gt;0, (COUNTIF(E30:AI30, "✓") + COUNTIF(E30:AI30, "✔") + COUNTIF(E30:AI30, "v") + COUNTIF(E30:AI30, "V")) &amp; "/" &amp; D30, (COUNTIF(E30:AI30, "✓") + COUNTIF(E30:AI30, "✔") + COUNTIF(E30:AI30, "v") + COUNTIF(E30:AI30, "V")) &amp; "/0"), IF(((COUNTIF(E30:AI30, "✓") + COUNTIF(E30:AI30, "✔") + COUNTIF(E30:AI30, "v") + COUNTIF(E30:AI30, "V")) + COUNTIF(E30:AI30, "✗") + COUNTIF(E30:AI30, "x") + COUNTIF(E30:AI30, "X"))&gt;0, (COUNTIF(E30:AI30, "✓") + COUNTIF(E30:AI30, "✔") + COUNTIF(E30:AI30, "v") + COUNTIF(E30:AI30, "V")) &amp; "/" &amp; ((COUNTIF(E30:AI30, "✓") + COUNTIF(E30:AI30, "✔") + COUNTIF(E30:AI30, "v") + COUNTIF(E30:AI30, "V")) + COUNTIF(E30:AI30, "✗") + COUNTIF(E30:AI30, "x") + COUNTIF(E30:AI30, "X")), "")))</f>
        <v/>
      </c>
      <c r="AL30" s="124">
        <f>IF(ISBLANK(B30), "", IF(AJ30&gt;=0.85, "🔥 Mastered", IF(AJ30&gt;=0.7, "⚡ Consistent", "⚠️ Needs Focus")))</f>
        <v/>
      </c>
      <c r="AM30">
        <f>COUNTIF(E30:AI30, "✓")</f>
        <v/>
      </c>
    </row>
    <row r="31" ht="14.5" customHeight="1">
      <c r="A31" s="118" t="n">
        <v>14</v>
      </c>
      <c r="B31" s="119" t="n"/>
      <c r="C31" s="120" t="n"/>
      <c r="D31" s="120" t="n"/>
      <c r="E31" s="121" t="n"/>
      <c r="F31" s="121" t="n"/>
      <c r="G31" s="121" t="n"/>
      <c r="H31" s="121" t="n"/>
      <c r="I31" s="121" t="n"/>
      <c r="J31" s="121" t="n"/>
      <c r="K31" s="122" t="n"/>
      <c r="L31" s="121" t="n"/>
      <c r="M31" s="121" t="n"/>
      <c r="N31" s="121" t="n"/>
      <c r="O31" s="121" t="n"/>
      <c r="P31" s="121" t="n"/>
      <c r="Q31" s="121" t="n"/>
      <c r="R31" s="122" t="n"/>
      <c r="S31" s="121" t="n"/>
      <c r="T31" s="121" t="n"/>
      <c r="U31" s="121" t="n"/>
      <c r="V31" s="121" t="n"/>
      <c r="W31" s="121" t="n"/>
      <c r="X31" s="121" t="n"/>
      <c r="Y31" s="122" t="n"/>
      <c r="Z31" s="121" t="n"/>
      <c r="AA31" s="121" t="n"/>
      <c r="AB31" s="121" t="n"/>
      <c r="AC31" s="121" t="n"/>
      <c r="AD31" s="121" t="n"/>
      <c r="AE31" s="121" t="n"/>
      <c r="AF31" s="122" t="n"/>
      <c r="AG31" s="121" t="n"/>
      <c r="AH31" s="121" t="n"/>
      <c r="AI31" s="121" t="n"/>
      <c r="AJ31" s="123">
        <f>IF(ISBLANK(B31), "", IF(ISNUMBER(D31), IF(D31&gt;0, (COUNTIF(E31:AI31, "✓") + COUNTIF(E31:AI31, "✔") + COUNTIF(E31:AI31, "v") + COUNTIF(E31:AI31, "V"))/D31, 0), IF(((COUNTIF(E31:AI31, "✓") + COUNTIF(E31:AI31, "✔") + COUNTIF(E31:AI31, "v") + COUNTIF(E31:AI31, "V")) + COUNTIF(E31:AI31, "✗") + COUNTIF(E31:AI31, "x") + COUNTIF(E31:AI31, "X"))&gt;0, (COUNTIF(E31:AI31, "✓") + COUNTIF(E31:AI31, "✔") + COUNTIF(E31:AI31, "v") + COUNTIF(E31:AI31, "V"))/((COUNTIF(E31:AI31, "✓") + COUNTIF(E31:AI31, "✔") + COUNTIF(E31:AI31, "v") + COUNTIF(E31:AI31, "V")) + COUNTIF(E31:AI31, "✗") + COUNTIF(E31:AI31, "x") + COUNTIF(E31:AI31, "X")), "")))</f>
        <v/>
      </c>
      <c r="AK31" s="124">
        <f>IF(ISBLANK(B31), "", IF(ISNUMBER(D31), IF(D31&gt;0, (COUNTIF(E31:AI31, "✓") + COUNTIF(E31:AI31, "✔") + COUNTIF(E31:AI31, "v") + COUNTIF(E31:AI31, "V")) &amp; "/" &amp; D31, (COUNTIF(E31:AI31, "✓") + COUNTIF(E31:AI31, "✔") + COUNTIF(E31:AI31, "v") + COUNTIF(E31:AI31, "V")) &amp; "/0"), IF(((COUNTIF(E31:AI31, "✓") + COUNTIF(E31:AI31, "✔") + COUNTIF(E31:AI31, "v") + COUNTIF(E31:AI31, "V")) + COUNTIF(E31:AI31, "✗") + COUNTIF(E31:AI31, "x") + COUNTIF(E31:AI31, "X"))&gt;0, (COUNTIF(E31:AI31, "✓") + COUNTIF(E31:AI31, "✔") + COUNTIF(E31:AI31, "v") + COUNTIF(E31:AI31, "V")) &amp; "/" &amp; ((COUNTIF(E31:AI31, "✓") + COUNTIF(E31:AI31, "✔") + COUNTIF(E31:AI31, "v") + COUNTIF(E31:AI31, "V")) + COUNTIF(E31:AI31, "✗") + COUNTIF(E31:AI31, "x") + COUNTIF(E31:AI31, "X")), "")))</f>
        <v/>
      </c>
      <c r="AL31" s="124">
        <f>IF(ISBLANK(B31), "", IF(AJ31&gt;=0.85, "🔥 Mastered", IF(AJ31&gt;=0.7, "⚡ Consistent", "⚠️ Needs Focus")))</f>
        <v/>
      </c>
      <c r="AM31">
        <f>COUNTIF(E31:AI31, "✓")</f>
        <v/>
      </c>
    </row>
    <row r="32" ht="14.5" customHeight="1">
      <c r="A32" s="118" t="n">
        <v>15</v>
      </c>
      <c r="B32" s="119" t="n"/>
      <c r="C32" s="120" t="n"/>
      <c r="D32" s="120" t="n"/>
      <c r="E32" s="121" t="n"/>
      <c r="F32" s="121" t="n"/>
      <c r="G32" s="121" t="n"/>
      <c r="H32" s="121" t="n"/>
      <c r="I32" s="121" t="n"/>
      <c r="J32" s="121" t="n"/>
      <c r="K32" s="122" t="n"/>
      <c r="L32" s="121" t="n"/>
      <c r="M32" s="121" t="n"/>
      <c r="N32" s="121" t="n"/>
      <c r="O32" s="121" t="n"/>
      <c r="P32" s="121" t="n"/>
      <c r="Q32" s="121" t="n"/>
      <c r="R32" s="122" t="n"/>
      <c r="S32" s="121" t="n"/>
      <c r="T32" s="121" t="n"/>
      <c r="U32" s="121" t="n"/>
      <c r="V32" s="121" t="n"/>
      <c r="W32" s="121" t="n"/>
      <c r="X32" s="121" t="n"/>
      <c r="Y32" s="122" t="n"/>
      <c r="Z32" s="121" t="n"/>
      <c r="AA32" s="121" t="n"/>
      <c r="AB32" s="121" t="n"/>
      <c r="AC32" s="121" t="n"/>
      <c r="AD32" s="121" t="n"/>
      <c r="AE32" s="121" t="n"/>
      <c r="AF32" s="122" t="n"/>
      <c r="AG32" s="121" t="n"/>
      <c r="AH32" s="121" t="n"/>
      <c r="AI32" s="121" t="n"/>
      <c r="AJ32" s="123">
        <f>IF(ISBLANK(B32), "", IF(ISNUMBER(D32), IF(D32&gt;0, (COUNTIF(E32:AI32, "✓") + COUNTIF(E32:AI32, "✔") + COUNTIF(E32:AI32, "v") + COUNTIF(E32:AI32, "V"))/D32, 0), IF(((COUNTIF(E32:AI32, "✓") + COUNTIF(E32:AI32, "✔") + COUNTIF(E32:AI32, "v") + COUNTIF(E32:AI32, "V")) + COUNTIF(E32:AI32, "✗") + COUNTIF(E32:AI32, "x") + COUNTIF(E32:AI32, "X"))&gt;0, (COUNTIF(E32:AI32, "✓") + COUNTIF(E32:AI32, "✔") + COUNTIF(E32:AI32, "v") + COUNTIF(E32:AI32, "V"))/((COUNTIF(E32:AI32, "✓") + COUNTIF(E32:AI32, "✔") + COUNTIF(E32:AI32, "v") + COUNTIF(E32:AI32, "V")) + COUNTIF(E32:AI32, "✗") + COUNTIF(E32:AI32, "x") + COUNTIF(E32:AI32, "X")), "")))</f>
        <v/>
      </c>
      <c r="AK32" s="124">
        <f>IF(ISBLANK(B32), "", IF(ISNUMBER(D32), IF(D32&gt;0, (COUNTIF(E32:AI32, "✓") + COUNTIF(E32:AI32, "✔") + COUNTIF(E32:AI32, "v") + COUNTIF(E32:AI32, "V")) &amp; "/" &amp; D32, (COUNTIF(E32:AI32, "✓") + COUNTIF(E32:AI32, "✔") + COUNTIF(E32:AI32, "v") + COUNTIF(E32:AI32, "V")) &amp; "/0"), IF(((COUNTIF(E32:AI32, "✓") + COUNTIF(E32:AI32, "✔") + COUNTIF(E32:AI32, "v") + COUNTIF(E32:AI32, "V")) + COUNTIF(E32:AI32, "✗") + COUNTIF(E32:AI32, "x") + COUNTIF(E32:AI32, "X"))&gt;0, (COUNTIF(E32:AI32, "✓") + COUNTIF(E32:AI32, "✔") + COUNTIF(E32:AI32, "v") + COUNTIF(E32:AI32, "V")) &amp; "/" &amp; ((COUNTIF(E32:AI32, "✓") + COUNTIF(E32:AI32, "✔") + COUNTIF(E32:AI32, "v") + COUNTIF(E32:AI32, "V")) + COUNTIF(E32:AI32, "✗") + COUNTIF(E32:AI32, "x") + COUNTIF(E32:AI32, "X")), "")))</f>
        <v/>
      </c>
      <c r="AL32" s="124">
        <f>IF(ISBLANK(B32), "", IF(AJ32&gt;=0.85, "🔥 Mastered", IF(AJ32&gt;=0.7, "⚡ Consistent", "⚠️ Needs Focus")))</f>
        <v/>
      </c>
      <c r="AM32">
        <f>COUNTIF(E32:AI32, "✓")</f>
        <v/>
      </c>
    </row>
    <row r="33" ht="14.5" customHeight="1">
      <c r="A33" s="118" t="n">
        <v>16</v>
      </c>
      <c r="B33" s="119" t="n"/>
      <c r="C33" s="120" t="n"/>
      <c r="D33" s="120" t="n"/>
      <c r="E33" s="121" t="n"/>
      <c r="F33" s="121" t="n"/>
      <c r="G33" s="121" t="n"/>
      <c r="H33" s="121" t="n"/>
      <c r="I33" s="121" t="n"/>
      <c r="J33" s="121" t="n"/>
      <c r="K33" s="122" t="n"/>
      <c r="L33" s="121" t="n"/>
      <c r="M33" s="121" t="n"/>
      <c r="N33" s="121" t="n"/>
      <c r="O33" s="121" t="n"/>
      <c r="P33" s="121" t="n"/>
      <c r="Q33" s="121" t="n"/>
      <c r="R33" s="122" t="n"/>
      <c r="S33" s="121" t="n"/>
      <c r="T33" s="121" t="n"/>
      <c r="U33" s="121" t="n"/>
      <c r="V33" s="121" t="n"/>
      <c r="W33" s="121" t="n"/>
      <c r="X33" s="121" t="n"/>
      <c r="Y33" s="122" t="n"/>
      <c r="Z33" s="121" t="n"/>
      <c r="AA33" s="121" t="n"/>
      <c r="AB33" s="121" t="n"/>
      <c r="AC33" s="121" t="n"/>
      <c r="AD33" s="121" t="n"/>
      <c r="AE33" s="121" t="n"/>
      <c r="AF33" s="122" t="n"/>
      <c r="AG33" s="121" t="n"/>
      <c r="AH33" s="121" t="n"/>
      <c r="AI33" s="121" t="n"/>
      <c r="AJ33" s="123">
        <f>IF(ISBLANK(B33), "", IF(ISNUMBER(D33), IF(D33&gt;0, (COUNTIF(E33:AI33, "✓") + COUNTIF(E33:AI33, "✔") + COUNTIF(E33:AI33, "v") + COUNTIF(E33:AI33, "V"))/D33, 0), IF(((COUNTIF(E33:AI33, "✓") + COUNTIF(E33:AI33, "✔") + COUNTIF(E33:AI33, "v") + COUNTIF(E33:AI33, "V")) + COUNTIF(E33:AI33, "✗") + COUNTIF(E33:AI33, "x") + COUNTIF(E33:AI33, "X"))&gt;0, (COUNTIF(E33:AI33, "✓") + COUNTIF(E33:AI33, "✔") + COUNTIF(E33:AI33, "v") + COUNTIF(E33:AI33, "V"))/((COUNTIF(E33:AI33, "✓") + COUNTIF(E33:AI33, "✔") + COUNTIF(E33:AI33, "v") + COUNTIF(E33:AI33, "V")) + COUNTIF(E33:AI33, "✗") + COUNTIF(E33:AI33, "x") + COUNTIF(E33:AI33, "X")), "")))</f>
        <v/>
      </c>
      <c r="AK33" s="124">
        <f>IF(ISBLANK(B33), "", IF(ISNUMBER(D33), IF(D33&gt;0, (COUNTIF(E33:AI33, "✓") + COUNTIF(E33:AI33, "✔") + COUNTIF(E33:AI33, "v") + COUNTIF(E33:AI33, "V")) &amp; "/" &amp; D33, (COUNTIF(E33:AI33, "✓") + COUNTIF(E33:AI33, "✔") + COUNTIF(E33:AI33, "v") + COUNTIF(E33:AI33, "V")) &amp; "/0"), IF(((COUNTIF(E33:AI33, "✓") + COUNTIF(E33:AI33, "✔") + COUNTIF(E33:AI33, "v") + COUNTIF(E33:AI33, "V")) + COUNTIF(E33:AI33, "✗") + COUNTIF(E33:AI33, "x") + COUNTIF(E33:AI33, "X"))&gt;0, (COUNTIF(E33:AI33, "✓") + COUNTIF(E33:AI33, "✔") + COUNTIF(E33:AI33, "v") + COUNTIF(E33:AI33, "V")) &amp; "/" &amp; ((COUNTIF(E33:AI33, "✓") + COUNTIF(E33:AI33, "✔") + COUNTIF(E33:AI33, "v") + COUNTIF(E33:AI33, "V")) + COUNTIF(E33:AI33, "✗") + COUNTIF(E33:AI33, "x") + COUNTIF(E33:AI33, "X")), "")))</f>
        <v/>
      </c>
      <c r="AL33" s="124">
        <f>IF(ISBLANK(B33), "", IF(AJ33&gt;=0.85, "🔥 Mastered", IF(AJ33&gt;=0.7, "⚡ Consistent", "⚠️ Needs Focus")))</f>
        <v/>
      </c>
      <c r="AM33">
        <f>COUNTIF(E33:AI33, "✓")</f>
        <v/>
      </c>
    </row>
    <row r="34" ht="14.5" customHeight="1">
      <c r="A34" s="125" t="n">
        <v>17</v>
      </c>
      <c r="B34" s="126" t="n"/>
      <c r="C34" s="127" t="n"/>
      <c r="D34" s="127" t="n"/>
      <c r="E34" s="128" t="n"/>
      <c r="F34" s="128" t="n"/>
      <c r="G34" s="128" t="n"/>
      <c r="H34" s="128" t="n"/>
      <c r="I34" s="128" t="n"/>
      <c r="J34" s="128" t="n"/>
      <c r="K34" s="129" t="n"/>
      <c r="L34" s="128" t="n"/>
      <c r="M34" s="128" t="n"/>
      <c r="N34" s="128" t="n"/>
      <c r="O34" s="128" t="n"/>
      <c r="P34" s="128" t="n"/>
      <c r="Q34" s="128" t="n"/>
      <c r="R34" s="129" t="n"/>
      <c r="S34" s="128" t="n"/>
      <c r="T34" s="128" t="n"/>
      <c r="U34" s="128" t="n"/>
      <c r="V34" s="128" t="n"/>
      <c r="W34" s="128" t="n"/>
      <c r="X34" s="128" t="n"/>
      <c r="Y34" s="129" t="n"/>
      <c r="Z34" s="128" t="n"/>
      <c r="AA34" s="128" t="n"/>
      <c r="AB34" s="128" t="n"/>
      <c r="AC34" s="128" t="n"/>
      <c r="AD34" s="128" t="n"/>
      <c r="AE34" s="128" t="n"/>
      <c r="AF34" s="129" t="n"/>
      <c r="AG34" s="128" t="n"/>
      <c r="AH34" s="128" t="n"/>
      <c r="AI34" s="128" t="n"/>
      <c r="AJ34" s="130">
        <f>IF(ISBLANK(B34), "", IF(ISNUMBER(D34), IF(D34&gt;0, (COUNTIF(E34:AI34, "✓") + COUNTIF(E34:AI34, "✔") + COUNTIF(E34:AI34, "v") + COUNTIF(E34:AI34, "V"))/D34, 0), IF(((COUNTIF(E34:AI34, "✓") + COUNTIF(E34:AI34, "✔") + COUNTIF(E34:AI34, "v") + COUNTIF(E34:AI34, "V")) + COUNTIF(E34:AI34, "✗") + COUNTIF(E34:AI34, "x") + COUNTIF(E34:AI34, "X"))&gt;0, (COUNTIF(E34:AI34, "✓") + COUNTIF(E34:AI34, "✔") + COUNTIF(E34:AI34, "v") + COUNTIF(E34:AI34, "V"))/((COUNTIF(E34:AI34, "✓") + COUNTIF(E34:AI34, "✔") + COUNTIF(E34:AI34, "v") + COUNTIF(E34:AI34, "V")) + COUNTIF(E34:AI34, "✗") + COUNTIF(E34:AI34, "x") + COUNTIF(E34:AI34, "X")), "")))</f>
        <v/>
      </c>
      <c r="AK34" s="131">
        <f>IF(ISBLANK(B34), "", IF(ISNUMBER(D34), IF(D34&gt;0, (COUNTIF(E34:AI34, "✓") + COUNTIF(E34:AI34, "✔") + COUNTIF(E34:AI34, "v") + COUNTIF(E34:AI34, "V")) &amp; "/" &amp; D34, (COUNTIF(E34:AI34, "✓") + COUNTIF(E34:AI34, "✔") + COUNTIF(E34:AI34, "v") + COUNTIF(E34:AI34, "V")) &amp; "/0"), IF(((COUNTIF(E34:AI34, "✓") + COUNTIF(E34:AI34, "✔") + COUNTIF(E34:AI34, "v") + COUNTIF(E34:AI34, "V")) + COUNTIF(E34:AI34, "✗") + COUNTIF(E34:AI34, "x") + COUNTIF(E34:AI34, "X"))&gt;0, (COUNTIF(E34:AI34, "✓") + COUNTIF(E34:AI34, "✔") + COUNTIF(E34:AI34, "v") + COUNTIF(E34:AI34, "V")) &amp; "/" &amp; ((COUNTIF(E34:AI34, "✓") + COUNTIF(E34:AI34, "✔") + COUNTIF(E34:AI34, "v") + COUNTIF(E34:AI34, "V")) + COUNTIF(E34:AI34, "✗") + COUNTIF(E34:AI34, "x") + COUNTIF(E34:AI34, "X")), "")))</f>
        <v/>
      </c>
      <c r="AL34" s="131">
        <f>IF(ISBLANK(B34), "", IF(AJ34&gt;=0.85, "🔥 Mastered", IF(AJ34&gt;=0.7, "⚡ Consistent", "⚠️ Needs Focus")))</f>
        <v/>
      </c>
      <c r="AM34">
        <f>COUNTIF(E34:AI34, "✓")</f>
        <v/>
      </c>
    </row>
    <row r="35" ht="14.5" customHeight="1">
      <c r="A35" s="125" t="n">
        <v>18</v>
      </c>
      <c r="B35" s="126" t="n"/>
      <c r="C35" s="127" t="n"/>
      <c r="D35" s="127" t="n"/>
      <c r="E35" s="128" t="n"/>
      <c r="F35" s="128" t="n"/>
      <c r="G35" s="128" t="n"/>
      <c r="H35" s="128" t="n"/>
      <c r="I35" s="128" t="n"/>
      <c r="J35" s="128" t="n"/>
      <c r="K35" s="129" t="n"/>
      <c r="L35" s="128" t="n"/>
      <c r="M35" s="128" t="n"/>
      <c r="N35" s="128" t="n"/>
      <c r="O35" s="128" t="n"/>
      <c r="P35" s="128" t="n"/>
      <c r="Q35" s="128" t="n"/>
      <c r="R35" s="129" t="n"/>
      <c r="S35" s="128" t="n"/>
      <c r="T35" s="128" t="n"/>
      <c r="U35" s="128" t="n"/>
      <c r="V35" s="128" t="n"/>
      <c r="W35" s="128" t="n"/>
      <c r="X35" s="128" t="n"/>
      <c r="Y35" s="129" t="n"/>
      <c r="Z35" s="128" t="n"/>
      <c r="AA35" s="128" t="n"/>
      <c r="AB35" s="128" t="n"/>
      <c r="AC35" s="128" t="n"/>
      <c r="AD35" s="128" t="n"/>
      <c r="AE35" s="128" t="n"/>
      <c r="AF35" s="129" t="n"/>
      <c r="AG35" s="128" t="n"/>
      <c r="AH35" s="128" t="n"/>
      <c r="AI35" s="128" t="n"/>
      <c r="AJ35" s="130">
        <f>IF(ISBLANK(B35), "", IF(ISNUMBER(D35), IF(D35&gt;0, (COUNTIF(E35:AI35, "✓") + COUNTIF(E35:AI35, "✔") + COUNTIF(E35:AI35, "v") + COUNTIF(E35:AI35, "V"))/D35, 0), IF(((COUNTIF(E35:AI35, "✓") + COUNTIF(E35:AI35, "✔") + COUNTIF(E35:AI35, "v") + COUNTIF(E35:AI35, "V")) + COUNTIF(E35:AI35, "✗") + COUNTIF(E35:AI35, "x") + COUNTIF(E35:AI35, "X"))&gt;0, (COUNTIF(E35:AI35, "✓") + COUNTIF(E35:AI35, "✔") + COUNTIF(E35:AI35, "v") + COUNTIF(E35:AI35, "V"))/((COUNTIF(E35:AI35, "✓") + COUNTIF(E35:AI35, "✔") + COUNTIF(E35:AI35, "v") + COUNTIF(E35:AI35, "V")) + COUNTIF(E35:AI35, "✗") + COUNTIF(E35:AI35, "x") + COUNTIF(E35:AI35, "X")), "")))</f>
        <v/>
      </c>
      <c r="AK35" s="131">
        <f>IF(ISBLANK(B35), "", IF(ISNUMBER(D35), IF(D35&gt;0, (COUNTIF(E35:AI35, "✓") + COUNTIF(E35:AI35, "✔") + COUNTIF(E35:AI35, "v") + COUNTIF(E35:AI35, "V")) &amp; "/" &amp; D35, (COUNTIF(E35:AI35, "✓") + COUNTIF(E35:AI35, "✔") + COUNTIF(E35:AI35, "v") + COUNTIF(E35:AI35, "V")) &amp; "/0"), IF(((COUNTIF(E35:AI35, "✓") + COUNTIF(E35:AI35, "✔") + COUNTIF(E35:AI35, "v") + COUNTIF(E35:AI35, "V")) + COUNTIF(E35:AI35, "✗") + COUNTIF(E35:AI35, "x") + COUNTIF(E35:AI35, "X"))&gt;0, (COUNTIF(E35:AI35, "✓") + COUNTIF(E35:AI35, "✔") + COUNTIF(E35:AI35, "v") + COUNTIF(E35:AI35, "V")) &amp; "/" &amp; ((COUNTIF(E35:AI35, "✓") + COUNTIF(E35:AI35, "✔") + COUNTIF(E35:AI35, "v") + COUNTIF(E35:AI35, "V")) + COUNTIF(E35:AI35, "✗") + COUNTIF(E35:AI35, "x") + COUNTIF(E35:AI35, "X")), "")))</f>
        <v/>
      </c>
      <c r="AL35" s="131">
        <f>IF(ISBLANK(B35), "", IF(AJ35&gt;=0.85, "🔥 Mastered", IF(AJ35&gt;=0.7, "⚡ Consistent", "⚠️ Needs Focus")))</f>
        <v/>
      </c>
      <c r="AM35">
        <f>COUNTIF(E35:AI35, "✓")</f>
        <v/>
      </c>
    </row>
    <row r="36" ht="14.5" customHeight="1">
      <c r="A36" s="125" t="n">
        <v>19</v>
      </c>
      <c r="B36" s="126" t="n"/>
      <c r="C36" s="127" t="n"/>
      <c r="D36" s="127" t="n"/>
      <c r="E36" s="128" t="n"/>
      <c r="F36" s="128" t="n"/>
      <c r="G36" s="128" t="n"/>
      <c r="H36" s="128" t="n"/>
      <c r="I36" s="128" t="n"/>
      <c r="J36" s="128" t="n"/>
      <c r="K36" s="129" t="n"/>
      <c r="L36" s="128" t="n"/>
      <c r="M36" s="128" t="n"/>
      <c r="N36" s="128" t="n"/>
      <c r="O36" s="128" t="n"/>
      <c r="P36" s="128" t="n"/>
      <c r="Q36" s="128" t="n"/>
      <c r="R36" s="129" t="n"/>
      <c r="S36" s="128" t="n"/>
      <c r="T36" s="128" t="n"/>
      <c r="U36" s="128" t="n"/>
      <c r="V36" s="128" t="n"/>
      <c r="W36" s="128" t="n"/>
      <c r="X36" s="128" t="n"/>
      <c r="Y36" s="129" t="n"/>
      <c r="Z36" s="128" t="n"/>
      <c r="AA36" s="128" t="n"/>
      <c r="AB36" s="128" t="n"/>
      <c r="AC36" s="128" t="n"/>
      <c r="AD36" s="128" t="n"/>
      <c r="AE36" s="128" t="n"/>
      <c r="AF36" s="129" t="n"/>
      <c r="AG36" s="128" t="n"/>
      <c r="AH36" s="128" t="n"/>
      <c r="AI36" s="128" t="n"/>
      <c r="AJ36" s="130">
        <f>IF(ISBLANK(B36), "", IF(ISNUMBER(D36), IF(D36&gt;0, (COUNTIF(E36:AI36, "✓") + COUNTIF(E36:AI36, "✔") + COUNTIF(E36:AI36, "v") + COUNTIF(E36:AI36, "V"))/D36, 0), IF(((COUNTIF(E36:AI36, "✓") + COUNTIF(E36:AI36, "✔") + COUNTIF(E36:AI36, "v") + COUNTIF(E36:AI36, "V")) + COUNTIF(E36:AI36, "✗") + COUNTIF(E36:AI36, "x") + COUNTIF(E36:AI36, "X"))&gt;0, (COUNTIF(E36:AI36, "✓") + COUNTIF(E36:AI36, "✔") + COUNTIF(E36:AI36, "v") + COUNTIF(E36:AI36, "V"))/((COUNTIF(E36:AI36, "✓") + COUNTIF(E36:AI36, "✔") + COUNTIF(E36:AI36, "v") + COUNTIF(E36:AI36, "V")) + COUNTIF(E36:AI36, "✗") + COUNTIF(E36:AI36, "x") + COUNTIF(E36:AI36, "X")), "")))</f>
        <v/>
      </c>
      <c r="AK36" s="131">
        <f>IF(ISBLANK(B36), "", IF(ISNUMBER(D36), IF(D36&gt;0, (COUNTIF(E36:AI36, "✓") + COUNTIF(E36:AI36, "✔") + COUNTIF(E36:AI36, "v") + COUNTIF(E36:AI36, "V")) &amp; "/" &amp; D36, (COUNTIF(E36:AI36, "✓") + COUNTIF(E36:AI36, "✔") + COUNTIF(E36:AI36, "v") + COUNTIF(E36:AI36, "V")) &amp; "/0"), IF(((COUNTIF(E36:AI36, "✓") + COUNTIF(E36:AI36, "✔") + COUNTIF(E36:AI36, "v") + COUNTIF(E36:AI36, "V")) + COUNTIF(E36:AI36, "✗") + COUNTIF(E36:AI36, "x") + COUNTIF(E36:AI36, "X"))&gt;0, (COUNTIF(E36:AI36, "✓") + COUNTIF(E36:AI36, "✔") + COUNTIF(E36:AI36, "v") + COUNTIF(E36:AI36, "V")) &amp; "/" &amp; ((COUNTIF(E36:AI36, "✓") + COUNTIF(E36:AI36, "✔") + COUNTIF(E36:AI36, "v") + COUNTIF(E36:AI36, "V")) + COUNTIF(E36:AI36, "✗") + COUNTIF(E36:AI36, "x") + COUNTIF(E36:AI36, "X")), "")))</f>
        <v/>
      </c>
      <c r="AL36" s="131">
        <f>IF(ISBLANK(B36), "", IF(AJ36&gt;=0.85, "🔥 Mastered", IF(AJ36&gt;=0.7, "⚡ Consistent", "⚠️ Needs Focus")))</f>
        <v/>
      </c>
      <c r="AM36">
        <f>COUNTIF(E36:AI36, "✓")</f>
        <v/>
      </c>
    </row>
    <row r="37" ht="14.5" customHeight="1">
      <c r="A37" s="125" t="n">
        <v>20</v>
      </c>
      <c r="B37" s="126" t="n"/>
      <c r="C37" s="127" t="n"/>
      <c r="D37" s="127" t="n"/>
      <c r="E37" s="128" t="n"/>
      <c r="F37" s="128" t="n"/>
      <c r="G37" s="128" t="n"/>
      <c r="H37" s="128" t="n"/>
      <c r="I37" s="128" t="n"/>
      <c r="J37" s="128" t="n"/>
      <c r="K37" s="129" t="n"/>
      <c r="L37" s="128" t="n"/>
      <c r="M37" s="128" t="n"/>
      <c r="N37" s="128" t="n"/>
      <c r="O37" s="128" t="n"/>
      <c r="P37" s="128" t="n"/>
      <c r="Q37" s="128" t="n"/>
      <c r="R37" s="129" t="n"/>
      <c r="S37" s="128" t="n"/>
      <c r="T37" s="128" t="n"/>
      <c r="U37" s="128" t="n"/>
      <c r="V37" s="128" t="n"/>
      <c r="W37" s="128" t="n"/>
      <c r="X37" s="128" t="n"/>
      <c r="Y37" s="129" t="n"/>
      <c r="Z37" s="128" t="n"/>
      <c r="AA37" s="128" t="n"/>
      <c r="AB37" s="128" t="n"/>
      <c r="AC37" s="128" t="n"/>
      <c r="AD37" s="128" t="n"/>
      <c r="AE37" s="128" t="n"/>
      <c r="AF37" s="129" t="n"/>
      <c r="AG37" s="128" t="n"/>
      <c r="AH37" s="128" t="n"/>
      <c r="AI37" s="128" t="n"/>
      <c r="AJ37" s="130">
        <f>IF(ISBLANK(B37), "", IF(ISNUMBER(D37), IF(D37&gt;0, (COUNTIF(E37:AI37, "✓") + COUNTIF(E37:AI37, "✔") + COUNTIF(E37:AI37, "v") + COUNTIF(E37:AI37, "V"))/D37, 0), IF(((COUNTIF(E37:AI37, "✓") + COUNTIF(E37:AI37, "✔") + COUNTIF(E37:AI37, "v") + COUNTIF(E37:AI37, "V")) + COUNTIF(E37:AI37, "✗") + COUNTIF(E37:AI37, "x") + COUNTIF(E37:AI37, "X"))&gt;0, (COUNTIF(E37:AI37, "✓") + COUNTIF(E37:AI37, "✔") + COUNTIF(E37:AI37, "v") + COUNTIF(E37:AI37, "V"))/((COUNTIF(E37:AI37, "✓") + COUNTIF(E37:AI37, "✔") + COUNTIF(E37:AI37, "v") + COUNTIF(E37:AI37, "V")) + COUNTIF(E37:AI37, "✗") + COUNTIF(E37:AI37, "x") + COUNTIF(E37:AI37, "X")), "")))</f>
        <v/>
      </c>
      <c r="AK37" s="131">
        <f>IF(ISBLANK(B37), "", IF(ISNUMBER(D37), IF(D37&gt;0, (COUNTIF(E37:AI37, "✓") + COUNTIF(E37:AI37, "✔") + COUNTIF(E37:AI37, "v") + COUNTIF(E37:AI37, "V")) &amp; "/" &amp; D37, (COUNTIF(E37:AI37, "✓") + COUNTIF(E37:AI37, "✔") + COUNTIF(E37:AI37, "v") + COUNTIF(E37:AI37, "V")) &amp; "/0"), IF(((COUNTIF(E37:AI37, "✓") + COUNTIF(E37:AI37, "✔") + COUNTIF(E37:AI37, "v") + COUNTIF(E37:AI37, "V")) + COUNTIF(E37:AI37, "✗") + COUNTIF(E37:AI37, "x") + COUNTIF(E37:AI37, "X"))&gt;0, (COUNTIF(E37:AI37, "✓") + COUNTIF(E37:AI37, "✔") + COUNTIF(E37:AI37, "v") + COUNTIF(E37:AI37, "V")) &amp; "/" &amp; ((COUNTIF(E37:AI37, "✓") + COUNTIF(E37:AI37, "✔") + COUNTIF(E37:AI37, "v") + COUNTIF(E37:AI37, "V")) + COUNTIF(E37:AI37, "✗") + COUNTIF(E37:AI37, "x") + COUNTIF(E37:AI37, "X")), "")))</f>
        <v/>
      </c>
      <c r="AL37" s="131">
        <f>IF(ISBLANK(B37), "", IF(AJ37&gt;=0.85, "🔥 Mastered", IF(AJ37&gt;=0.7, "⚡ Consistent", "⚠️ Needs Focus")))</f>
        <v/>
      </c>
      <c r="AM37">
        <f>COUNTIF(E37:AI37, "✓")</f>
        <v/>
      </c>
    </row>
    <row r="38" ht="18" customHeight="1">
      <c r="A38" s="132" t="inlineStr">
        <is>
          <t>DAILY TOTAL SCORE</t>
        </is>
      </c>
      <c r="B38" s="54" t="n"/>
      <c r="C38" s="54" t="n"/>
      <c r="D38" s="54" t="n"/>
      <c r="E38" s="33">
        <f>IF(((COUNTIF(E18:E37, "✓") + COUNTIF(E18:E37, "✔") + COUNTIF(E18:E37, "v") + COUNTIF(E18:E37, "V")) + COUNTIF(E18:E37, "✗") + COUNTIF(E18:E37, "x") + COUNTIF(E18:E37, "X")) &gt; 0, (COUNTIF(E18:E37, "✓") + COUNTIF(E18:E37, "✔") + COUNTIF(E18:E37, "v") + COUNTIF(E18:E37, "V")) &amp; "/" &amp; ((COUNTIF(E18:E37, "✓") + COUNTIF(E18:E37, "✔") + COUNTIF(E18:E37, "v") + COUNTIF(E18:E37, "V")) + COUNTIF(E18:E37, "✗") + COUNTIF(E18:E37, "x") + COUNTIF(E18:E37, "X")), "")</f>
        <v/>
      </c>
      <c r="F38" s="33">
        <f>IF(((COUNTIF(F18:F37, "✓") + COUNTIF(F18:F37, "✔") + COUNTIF(F18:F37, "v") + COUNTIF(F18:F37, "V")) + COUNTIF(F18:F37, "✗") + COUNTIF(F18:F37, "x") + COUNTIF(F18:F37, "X")) &gt; 0, (COUNTIF(F18:F37, "✓") + COUNTIF(F18:F37, "✔") + COUNTIF(F18:F37, "v") + COUNTIF(F18:F37, "V")) &amp; "/" &amp; ((COUNTIF(F18:F37, "✓") + COUNTIF(F18:F37, "✔") + COUNTIF(F18:F37, "v") + COUNTIF(F18:F37, "V")) + COUNTIF(F18:F37, "✗") + COUNTIF(F18:F37, "x") + COUNTIF(F18:F37, "X")), "")</f>
        <v/>
      </c>
      <c r="G38" s="33">
        <f>IF(((COUNTIF(G18:G37, "✓") + COUNTIF(G18:G37, "✔") + COUNTIF(G18:G37, "v") + COUNTIF(G18:G37, "V")) + COUNTIF(G18:G37, "✗") + COUNTIF(G18:G37, "x") + COUNTIF(G18:G37, "X")) &gt; 0, (COUNTIF(G18:G37, "✓") + COUNTIF(G18:G37, "✔") + COUNTIF(G18:G37, "v") + COUNTIF(G18:G37, "V")) &amp; "/" &amp; ((COUNTIF(G18:G37, "✓") + COUNTIF(G18:G37, "✔") + COUNTIF(G18:G37, "v") + COUNTIF(G18:G37, "V")) + COUNTIF(G18:G37, "✗") + COUNTIF(G18:G37, "x") + COUNTIF(G18:G37, "X")), "")</f>
        <v/>
      </c>
      <c r="H38" s="33">
        <f>IF(((COUNTIF(H18:H37, "✓") + COUNTIF(H18:H37, "✔") + COUNTIF(H18:H37, "v") + COUNTIF(H18:H37, "V")) + COUNTIF(H18:H37, "✗") + COUNTIF(H18:H37, "x") + COUNTIF(H18:H37, "X")) &gt; 0, (COUNTIF(H18:H37, "✓") + COUNTIF(H18:H37, "✔") + COUNTIF(H18:H37, "v") + COUNTIF(H18:H37, "V")) &amp; "/" &amp; ((COUNTIF(H18:H37, "✓") + COUNTIF(H18:H37, "✔") + COUNTIF(H18:H37, "v") + COUNTIF(H18:H37, "V")) + COUNTIF(H18:H37, "✗") + COUNTIF(H18:H37, "x") + COUNTIF(H18:H37, "X")), "")</f>
        <v/>
      </c>
      <c r="I38" s="33">
        <f>IF(((COUNTIF(I18:I37, "✓") + COUNTIF(I18:I37, "✔") + COUNTIF(I18:I37, "v") + COUNTIF(I18:I37, "V")) + COUNTIF(I18:I37, "✗") + COUNTIF(I18:I37, "x") + COUNTIF(I18:I37, "X")) &gt; 0, (COUNTIF(I18:I37, "✓") + COUNTIF(I18:I37, "✔") + COUNTIF(I18:I37, "v") + COUNTIF(I18:I37, "V")) &amp; "/" &amp; ((COUNTIF(I18:I37, "✓") + COUNTIF(I18:I37, "✔") + COUNTIF(I18:I37, "v") + COUNTIF(I18:I37, "V")) + COUNTIF(I18:I37, "✗") + COUNTIF(I18:I37, "x") + COUNTIF(I18:I37, "X")), "")</f>
        <v/>
      </c>
      <c r="J38" s="33">
        <f>IF(((COUNTIF(J18:J37, "✓") + COUNTIF(J18:J37, "✔") + COUNTIF(J18:J37, "v") + COUNTIF(J18:J37, "V")) + COUNTIF(J18:J37, "✗") + COUNTIF(J18:J37, "x") + COUNTIF(J18:J37, "X")) &gt; 0, (COUNTIF(J18:J37, "✓") + COUNTIF(J18:J37, "✔") + COUNTIF(J18:J37, "v") + COUNTIF(J18:J37, "V")) &amp; "/" &amp; ((COUNTIF(J18:J37, "✓") + COUNTIF(J18:J37, "✔") + COUNTIF(J18:J37, "v") + COUNTIF(J18:J37, "V")) + COUNTIF(J18:J37, "✗") + COUNTIF(J18:J37, "x") + COUNTIF(J18:J37, "X")), "")</f>
        <v/>
      </c>
      <c r="K38" s="33">
        <f>IF(((COUNTIF(K18:K37, "✓") + COUNTIF(K18:K37, "✔") + COUNTIF(K18:K37, "v") + COUNTIF(K18:K37, "V")) + COUNTIF(K18:K37, "✗") + COUNTIF(K18:K37, "x") + COUNTIF(K18:K37, "X")) &gt; 0, (COUNTIF(K18:K37, "✓") + COUNTIF(K18:K37, "✔") + COUNTIF(K18:K37, "v") + COUNTIF(K18:K37, "V")) &amp; "/" &amp; ((COUNTIF(K18:K37, "✓") + COUNTIF(K18:K37, "✔") + COUNTIF(K18:K37, "v") + COUNTIF(K18:K37, "V")) + COUNTIF(K18:K37, "✗") + COUNTIF(K18:K37, "x") + COUNTIF(K18:K37, "X")), "")</f>
        <v/>
      </c>
      <c r="L38" s="33">
        <f>IF(((COUNTIF(L18:L37, "✓") + COUNTIF(L18:L37, "✔") + COUNTIF(L18:L37, "v") + COUNTIF(L18:L37, "V")) + COUNTIF(L18:L37, "✗") + COUNTIF(L18:L37, "x") + COUNTIF(L18:L37, "X")) &gt; 0, (COUNTIF(L18:L37, "✓") + COUNTIF(L18:L37, "✔") + COUNTIF(L18:L37, "v") + COUNTIF(L18:L37, "V")) &amp; "/" &amp; ((COUNTIF(L18:L37, "✓") + COUNTIF(L18:L37, "✔") + COUNTIF(L18:L37, "v") + COUNTIF(L18:L37, "V")) + COUNTIF(L18:L37, "✗") + COUNTIF(L18:L37, "x") + COUNTIF(L18:L37, "X")), "")</f>
        <v/>
      </c>
      <c r="M38" s="33">
        <f>IF(((COUNTIF(M18:M37, "✓") + COUNTIF(M18:M37, "✔") + COUNTIF(M18:M37, "v") + COUNTIF(M18:M37, "V")) + COUNTIF(M18:M37, "✗") + COUNTIF(M18:M37, "x") + COUNTIF(M18:M37, "X")) &gt; 0, (COUNTIF(M18:M37, "✓") + COUNTIF(M18:M37, "✔") + COUNTIF(M18:M37, "v") + COUNTIF(M18:M37, "V")) &amp; "/" &amp; ((COUNTIF(M18:M37, "✓") + COUNTIF(M18:M37, "✔") + COUNTIF(M18:M37, "v") + COUNTIF(M18:M37, "V")) + COUNTIF(M18:M37, "✗") + COUNTIF(M18:M37, "x") + COUNTIF(M18:M37, "X")), "")</f>
        <v/>
      </c>
      <c r="N38" s="33">
        <f>IF(((COUNTIF(N18:N37, "✓") + COUNTIF(N18:N37, "✔") + COUNTIF(N18:N37, "v") + COUNTIF(N18:N37, "V")) + COUNTIF(N18:N37, "✗") + COUNTIF(N18:N37, "x") + COUNTIF(N18:N37, "X")) &gt; 0, (COUNTIF(N18:N37, "✓") + COUNTIF(N18:N37, "✔") + COUNTIF(N18:N37, "v") + COUNTIF(N18:N37, "V")) &amp; "/" &amp; ((COUNTIF(N18:N37, "✓") + COUNTIF(N18:N37, "✔") + COUNTIF(N18:N37, "v") + COUNTIF(N18:N37, "V")) + COUNTIF(N18:N37, "✗") + COUNTIF(N18:N37, "x") + COUNTIF(N18:N37, "X")), "")</f>
        <v/>
      </c>
      <c r="O38" s="33">
        <f>IF(((COUNTIF(O18:O37, "✓") + COUNTIF(O18:O37, "✔") + COUNTIF(O18:O37, "v") + COUNTIF(O18:O37, "V")) + COUNTIF(O18:O37, "✗") + COUNTIF(O18:O37, "x") + COUNTIF(O18:O37, "X")) &gt; 0, (COUNTIF(O18:O37, "✓") + COUNTIF(O18:O37, "✔") + COUNTIF(O18:O37, "v") + COUNTIF(O18:O37, "V")) &amp; "/" &amp; ((COUNTIF(O18:O37, "✓") + COUNTIF(O18:O37, "✔") + COUNTIF(O18:O37, "v") + COUNTIF(O18:O37, "V")) + COUNTIF(O18:O37, "✗") + COUNTIF(O18:O37, "x") + COUNTIF(O18:O37, "X")), "")</f>
        <v/>
      </c>
      <c r="P38" s="33">
        <f>IF(((COUNTIF(P18:P37, "✓") + COUNTIF(P18:P37, "✔") + COUNTIF(P18:P37, "v") + COUNTIF(P18:P37, "V")) + COUNTIF(P18:P37, "✗") + COUNTIF(P18:P37, "x") + COUNTIF(P18:P37, "X")) &gt; 0, (COUNTIF(P18:P37, "✓") + COUNTIF(P18:P37, "✔") + COUNTIF(P18:P37, "v") + COUNTIF(P18:P37, "V")) &amp; "/" &amp; ((COUNTIF(P18:P37, "✓") + COUNTIF(P18:P37, "✔") + COUNTIF(P18:P37, "v") + COUNTIF(P18:P37, "V")) + COUNTIF(P18:P37, "✗") + COUNTIF(P18:P37, "x") + COUNTIF(P18:P37, "X")), "")</f>
        <v/>
      </c>
      <c r="Q38" s="33">
        <f>IF(((COUNTIF(Q18:Q37, "✓") + COUNTIF(Q18:Q37, "✔") + COUNTIF(Q18:Q37, "v") + COUNTIF(Q18:Q37, "V")) + COUNTIF(Q18:Q37, "✗") + COUNTIF(Q18:Q37, "x") + COUNTIF(Q18:Q37, "X")) &gt; 0, (COUNTIF(Q18:Q37, "✓") + COUNTIF(Q18:Q37, "✔") + COUNTIF(Q18:Q37, "v") + COUNTIF(Q18:Q37, "V")) &amp; "/" &amp; ((COUNTIF(Q18:Q37, "✓") + COUNTIF(Q18:Q37, "✔") + COUNTIF(Q18:Q37, "v") + COUNTIF(Q18:Q37, "V")) + COUNTIF(Q18:Q37, "✗") + COUNTIF(Q18:Q37, "x") + COUNTIF(Q18:Q37, "X")), "")</f>
        <v/>
      </c>
      <c r="R38" s="33">
        <f>IF(((COUNTIF(R18:R37, "✓") + COUNTIF(R18:R37, "✔") + COUNTIF(R18:R37, "v") + COUNTIF(R18:R37, "V")) + COUNTIF(R18:R37, "✗") + COUNTIF(R18:R37, "x") + COUNTIF(R18:R37, "X")) &gt; 0, (COUNTIF(R18:R37, "✓") + COUNTIF(R18:R37, "✔") + COUNTIF(R18:R37, "v") + COUNTIF(R18:R37, "V")) &amp; "/" &amp; ((COUNTIF(R18:R37, "✓") + COUNTIF(R18:R37, "✔") + COUNTIF(R18:R37, "v") + COUNTIF(R18:R37, "V")) + COUNTIF(R18:R37, "✗") + COUNTIF(R18:R37, "x") + COUNTIF(R18:R37, "X")), "")</f>
        <v/>
      </c>
      <c r="S38" s="33">
        <f>IF(((COUNTIF(S18:S37, "✓") + COUNTIF(S18:S37, "✔") + COUNTIF(S18:S37, "v") + COUNTIF(S18:S37, "V")) + COUNTIF(S18:S37, "✗") + COUNTIF(S18:S37, "x") + COUNTIF(S18:S37, "X")) &gt; 0, (COUNTIF(S18:S37, "✓") + COUNTIF(S18:S37, "✔") + COUNTIF(S18:S37, "v") + COUNTIF(S18:S37, "V")) &amp; "/" &amp; ((COUNTIF(S18:S37, "✓") + COUNTIF(S18:S37, "✔") + COUNTIF(S18:S37, "v") + COUNTIF(S18:S37, "V")) + COUNTIF(S18:S37, "✗") + COUNTIF(S18:S37, "x") + COUNTIF(S18:S37, "X")), "")</f>
        <v/>
      </c>
      <c r="T38" s="33">
        <f>IF(((COUNTIF(T18:T37, "✓") + COUNTIF(T18:T37, "✔") + COUNTIF(T18:T37, "v") + COUNTIF(T18:T37, "V")) + COUNTIF(T18:T37, "✗") + COUNTIF(T18:T37, "x") + COUNTIF(T18:T37, "X")) &gt; 0, (COUNTIF(T18:T37, "✓") + COUNTIF(T18:T37, "✔") + COUNTIF(T18:T37, "v") + COUNTIF(T18:T37, "V")) &amp; "/" &amp; ((COUNTIF(T18:T37, "✓") + COUNTIF(T18:T37, "✔") + COUNTIF(T18:T37, "v") + COUNTIF(T18:T37, "V")) + COUNTIF(T18:T37, "✗") + COUNTIF(T18:T37, "x") + COUNTIF(T18:T37, "X")), "")</f>
        <v/>
      </c>
      <c r="U38" s="33">
        <f>IF(((COUNTIF(U18:U37, "✓") + COUNTIF(U18:U37, "✔") + COUNTIF(U18:U37, "v") + COUNTIF(U18:U37, "V")) + COUNTIF(U18:U37, "✗") + COUNTIF(U18:U37, "x") + COUNTIF(U18:U37, "X")) &gt; 0, (COUNTIF(U18:U37, "✓") + COUNTIF(U18:U37, "✔") + COUNTIF(U18:U37, "v") + COUNTIF(U18:U37, "V")) &amp; "/" &amp; ((COUNTIF(U18:U37, "✓") + COUNTIF(U18:U37, "✔") + COUNTIF(U18:U37, "v") + COUNTIF(U18:U37, "V")) + COUNTIF(U18:U37, "✗") + COUNTIF(U18:U37, "x") + COUNTIF(U18:U37, "X")), "")</f>
        <v/>
      </c>
      <c r="V38" s="33">
        <f>IF(((COUNTIF(V18:V37, "✓") + COUNTIF(V18:V37, "✔") + COUNTIF(V18:V37, "v") + COUNTIF(V18:V37, "V")) + COUNTIF(V18:V37, "✗") + COUNTIF(V18:V37, "x") + COUNTIF(V18:V37, "X")) &gt; 0, (COUNTIF(V18:V37, "✓") + COUNTIF(V18:V37, "✔") + COUNTIF(V18:V37, "v") + COUNTIF(V18:V37, "V")) &amp; "/" &amp; ((COUNTIF(V18:V37, "✓") + COUNTIF(V18:V37, "✔") + COUNTIF(V18:V37, "v") + COUNTIF(V18:V37, "V")) + COUNTIF(V18:V37, "✗") + COUNTIF(V18:V37, "x") + COUNTIF(V18:V37, "X")), "")</f>
        <v/>
      </c>
      <c r="W38" s="33">
        <f>IF(((COUNTIF(W18:W37, "✓") + COUNTIF(W18:W37, "✔") + COUNTIF(W18:W37, "v") + COUNTIF(W18:W37, "V")) + COUNTIF(W18:W37, "✗") + COUNTIF(W18:W37, "x") + COUNTIF(W18:W37, "X")) &gt; 0, (COUNTIF(W18:W37, "✓") + COUNTIF(W18:W37, "✔") + COUNTIF(W18:W37, "v") + COUNTIF(W18:W37, "V")) &amp; "/" &amp; ((COUNTIF(W18:W37, "✓") + COUNTIF(W18:W37, "✔") + COUNTIF(W18:W37, "v") + COUNTIF(W18:W37, "V")) + COUNTIF(W18:W37, "✗") + COUNTIF(W18:W37, "x") + COUNTIF(W18:W37, "X")), "")</f>
        <v/>
      </c>
      <c r="X38" s="33">
        <f>IF(((COUNTIF(X18:X37, "✓") + COUNTIF(X18:X37, "✔") + COUNTIF(X18:X37, "v") + COUNTIF(X18:X37, "V")) + COUNTIF(X18:X37, "✗") + COUNTIF(X18:X37, "x") + COUNTIF(X18:X37, "X")) &gt; 0, (COUNTIF(X18:X37, "✓") + COUNTIF(X18:X37, "✔") + COUNTIF(X18:X37, "v") + COUNTIF(X18:X37, "V")) &amp; "/" &amp; ((COUNTIF(X18:X37, "✓") + COUNTIF(X18:X37, "✔") + COUNTIF(X18:X37, "v") + COUNTIF(X18:X37, "V")) + COUNTIF(X18:X37, "✗") + COUNTIF(X18:X37, "x") + COUNTIF(X18:X37, "X")), "")</f>
        <v/>
      </c>
      <c r="Y38" s="33">
        <f>IF(((COUNTIF(Y18:Y37, "✓") + COUNTIF(Y18:Y37, "✔") + COUNTIF(Y18:Y37, "v") + COUNTIF(Y18:Y37, "V")) + COUNTIF(Y18:Y37, "✗") + COUNTIF(Y18:Y37, "x") + COUNTIF(Y18:Y37, "X")) &gt; 0, (COUNTIF(Y18:Y37, "✓") + COUNTIF(Y18:Y37, "✔") + COUNTIF(Y18:Y37, "v") + COUNTIF(Y18:Y37, "V")) &amp; "/" &amp; ((COUNTIF(Y18:Y37, "✓") + COUNTIF(Y18:Y37, "✔") + COUNTIF(Y18:Y37, "v") + COUNTIF(Y18:Y37, "V")) + COUNTIF(Y18:Y37, "✗") + COUNTIF(Y18:Y37, "x") + COUNTIF(Y18:Y37, "X")), "")</f>
        <v/>
      </c>
      <c r="Z38" s="33">
        <f>IF(((COUNTIF(Z18:Z37, "✓") + COUNTIF(Z18:Z37, "✔") + COUNTIF(Z18:Z37, "v") + COUNTIF(Z18:Z37, "V")) + COUNTIF(Z18:Z37, "✗") + COUNTIF(Z18:Z37, "x") + COUNTIF(Z18:Z37, "X")) &gt; 0, (COUNTIF(Z18:Z37, "✓") + COUNTIF(Z18:Z37, "✔") + COUNTIF(Z18:Z37, "v") + COUNTIF(Z18:Z37, "V")) &amp; "/" &amp; ((COUNTIF(Z18:Z37, "✓") + COUNTIF(Z18:Z37, "✔") + COUNTIF(Z18:Z37, "v") + COUNTIF(Z18:Z37, "V")) + COUNTIF(Z18:Z37, "✗") + COUNTIF(Z18:Z37, "x") + COUNTIF(Z18:Z37, "X")), "")</f>
        <v/>
      </c>
      <c r="AA38" s="33">
        <f>IF(((COUNTIF(AA18:AA37, "✓") + COUNTIF(AA18:AA37, "✔") + COUNTIF(AA18:AA37, "v") + COUNTIF(AA18:AA37, "V")) + COUNTIF(AA18:AA37, "✗") + COUNTIF(AA18:AA37, "x") + COUNTIF(AA18:AA37, "X")) &gt; 0, (COUNTIF(AA18:AA37, "✓") + COUNTIF(AA18:AA37, "✔") + COUNTIF(AA18:AA37, "v") + COUNTIF(AA18:AA37, "V")) &amp; "/" &amp; ((COUNTIF(AA18:AA37, "✓") + COUNTIF(AA18:AA37, "✔") + COUNTIF(AA18:AA37, "v") + COUNTIF(AA18:AA37, "V")) + COUNTIF(AA18:AA37, "✗") + COUNTIF(AA18:AA37, "x") + COUNTIF(AA18:AA37, "X")), "")</f>
        <v/>
      </c>
      <c r="AB38" s="33">
        <f>IF(((COUNTIF(AB18:AB37, "✓") + COUNTIF(AB18:AB37, "✔") + COUNTIF(AB18:AB37, "v") + COUNTIF(AB18:AB37, "V")) + COUNTIF(AB18:AB37, "✗") + COUNTIF(AB18:AB37, "x") + COUNTIF(AB18:AB37, "X")) &gt; 0, (COUNTIF(AB18:AB37, "✓") + COUNTIF(AB18:AB37, "✔") + COUNTIF(AB18:AB37, "v") + COUNTIF(AB18:AB37, "V")) &amp; "/" &amp; ((COUNTIF(AB18:AB37, "✓") + COUNTIF(AB18:AB37, "✔") + COUNTIF(AB18:AB37, "v") + COUNTIF(AB18:AB37, "V")) + COUNTIF(AB18:AB37, "✗") + COUNTIF(AB18:AB37, "x") + COUNTIF(AB18:AB37, "X")), "")</f>
        <v/>
      </c>
      <c r="AC38" s="33">
        <f>IF(((COUNTIF(AC18:AC37, "✓") + COUNTIF(AC18:AC37, "✔") + COUNTIF(AC18:AC37, "v") + COUNTIF(AC18:AC37, "V")) + COUNTIF(AC18:AC37, "✗") + COUNTIF(AC18:AC37, "x") + COUNTIF(AC18:AC37, "X")) &gt; 0, (COUNTIF(AC18:AC37, "✓") + COUNTIF(AC18:AC37, "✔") + COUNTIF(AC18:AC37, "v") + COUNTIF(AC18:AC37, "V")) &amp; "/" &amp; ((COUNTIF(AC18:AC37, "✓") + COUNTIF(AC18:AC37, "✔") + COUNTIF(AC18:AC37, "v") + COUNTIF(AC18:AC37, "V")) + COUNTIF(AC18:AC37, "✗") + COUNTIF(AC18:AC37, "x") + COUNTIF(AC18:AC37, "X")), "")</f>
        <v/>
      </c>
      <c r="AD38" s="33">
        <f>IF(((COUNTIF(AD18:AD37, "✓") + COUNTIF(AD18:AD37, "✔") + COUNTIF(AD18:AD37, "v") + COUNTIF(AD18:AD37, "V")) + COUNTIF(AD18:AD37, "✗") + COUNTIF(AD18:AD37, "x") + COUNTIF(AD18:AD37, "X")) &gt; 0, (COUNTIF(AD18:AD37, "✓") + COUNTIF(AD18:AD37, "✔") + COUNTIF(AD18:AD37, "v") + COUNTIF(AD18:AD37, "V")) &amp; "/" &amp; ((COUNTIF(AD18:AD37, "✓") + COUNTIF(AD18:AD37, "✔") + COUNTIF(AD18:AD37, "v") + COUNTIF(AD18:AD37, "V")) + COUNTIF(AD18:AD37, "✗") + COUNTIF(AD18:AD37, "x") + COUNTIF(AD18:AD37, "X")), "")</f>
        <v/>
      </c>
      <c r="AE38" s="33">
        <f>IF(((COUNTIF(AE18:AE37, "✓") + COUNTIF(AE18:AE37, "✔") + COUNTIF(AE18:AE37, "v") + COUNTIF(AE18:AE37, "V")) + COUNTIF(AE18:AE37, "✗") + COUNTIF(AE18:AE37, "x") + COUNTIF(AE18:AE37, "X")) &gt; 0, (COUNTIF(AE18:AE37, "✓") + COUNTIF(AE18:AE37, "✔") + COUNTIF(AE18:AE37, "v") + COUNTIF(AE18:AE37, "V")) &amp; "/" &amp; ((COUNTIF(AE18:AE37, "✓") + COUNTIF(AE18:AE37, "✔") + COUNTIF(AE18:AE37, "v") + COUNTIF(AE18:AE37, "V")) + COUNTIF(AE18:AE37, "✗") + COUNTIF(AE18:AE37, "x") + COUNTIF(AE18:AE37, "X")), "")</f>
        <v/>
      </c>
      <c r="AF38" s="33">
        <f>IF(((COUNTIF(AF18:AF37, "✓") + COUNTIF(AF18:AF37, "✔") + COUNTIF(AF18:AF37, "v") + COUNTIF(AF18:AF37, "V")) + COUNTIF(AF18:AF37, "✗") + COUNTIF(AF18:AF37, "x") + COUNTIF(AF18:AF37, "X")) &gt; 0, (COUNTIF(AF18:AF37, "✓") + COUNTIF(AF18:AF37, "✔") + COUNTIF(AF18:AF37, "v") + COUNTIF(AF18:AF37, "V")) &amp; "/" &amp; ((COUNTIF(AF18:AF37, "✓") + COUNTIF(AF18:AF37, "✔") + COUNTIF(AF18:AF37, "v") + COUNTIF(AF18:AF37, "V")) + COUNTIF(AF18:AF37, "✗") + COUNTIF(AF18:AF37, "x") + COUNTIF(AF18:AF37, "X")), "")</f>
        <v/>
      </c>
      <c r="AG38" s="33">
        <f>IF(((COUNTIF(AG18:AG37, "✓") + COUNTIF(AG18:AG37, "✔") + COUNTIF(AG18:AG37, "v") + COUNTIF(AG18:AG37, "V")) + COUNTIF(AG18:AG37, "✗") + COUNTIF(AG18:AG37, "x") + COUNTIF(AG18:AG37, "X")) &gt; 0, (COUNTIF(AG18:AG37, "✓") + COUNTIF(AG18:AG37, "✔") + COUNTIF(AG18:AG37, "v") + COUNTIF(AG18:AG37, "V")) &amp; "/" &amp; ((COUNTIF(AG18:AG37, "✓") + COUNTIF(AG18:AG37, "✔") + COUNTIF(AG18:AG37, "v") + COUNTIF(AG18:AG37, "V")) + COUNTIF(AG18:AG37, "✗") + COUNTIF(AG18:AG37, "x") + COUNTIF(AG18:AG37, "X")), "")</f>
        <v/>
      </c>
      <c r="AH38" s="33">
        <f>IF(((COUNTIF(AH18:AH37, "✓") + COUNTIF(AH18:AH37, "✔") + COUNTIF(AH18:AH37, "v") + COUNTIF(AH18:AH37, "V")) + COUNTIF(AH18:AH37, "✗") + COUNTIF(AH18:AH37, "x") + COUNTIF(AH18:AH37, "X")) &gt; 0, (COUNTIF(AH18:AH37, "✓") + COUNTIF(AH18:AH37, "✔") + COUNTIF(AH18:AH37, "v") + COUNTIF(AH18:AH37, "V")) &amp; "/" &amp; ((COUNTIF(AH18:AH37, "✓") + COUNTIF(AH18:AH37, "✔") + COUNTIF(AH18:AH37, "v") + COUNTIF(AH18:AH37, "V")) + COUNTIF(AH18:AH37, "✗") + COUNTIF(AH18:AH37, "x") + COUNTIF(AH18:AH37, "X")), "")</f>
        <v/>
      </c>
      <c r="AI38" s="33">
        <f>IF(((COUNTIF(AI18:AI37, "✓") + COUNTIF(AI18:AI37, "✔") + COUNTIF(AI18:AI37, "v") + COUNTIF(AI18:AI37, "V")) + COUNTIF(AI18:AI37, "✗") + COUNTIF(AI18:AI37, "x") + COUNTIF(AI18:AI37, "X")) &gt; 0, (COUNTIF(AI18:AI37, "✓") + COUNTIF(AI18:AI37, "✔") + COUNTIF(AI18:AI37, "v") + COUNTIF(AI18:AI37, "V")) &amp; "/" &amp; ((COUNTIF(AI18:AI37, "✓") + COUNTIF(AI18:AI37, "✔") + COUNTIF(AI18:AI37, "v") + COUNTIF(AI18:AI37, "V")) + COUNTIF(AI18:AI37, "✗") + COUNTIF(AI18:AI37, "x") + COUNTIF(AI18:AI37, "X")), "")</f>
        <v/>
      </c>
      <c r="AJ38" s="133">
        <f>IF(SUM(D18:D37) &gt; 0, SUM(AM18:AM37) / SUM(D18:D37), "")</f>
        <v/>
      </c>
      <c r="AK38" s="33">
        <f>IF(SUM(D18:D37) &gt; 0, SUM(AM18:AM37) &amp; "/" &amp; SUM(D18:D37), "")</f>
        <v/>
      </c>
      <c r="AL38" s="54" t="n"/>
    </row>
    <row r="39" ht="18" customHeight="1">
      <c r="A39" s="132" t="inlineStr">
        <is>
          <t>DAILY SUCCESS %</t>
        </is>
      </c>
      <c r="B39" s="54" t="n"/>
      <c r="C39" s="54" t="n"/>
      <c r="D39" s="54" t="n"/>
      <c r="E39" s="134">
        <f>IF(((COUNTIF(E18:E37, "✓") + COUNTIF(E18:E37, "✔") + COUNTIF(E18:E37, "v") + COUNTIF(E18:E37, "V")) + COUNTIF(E18:E37, "✗") + COUNTIF(E18:E37, "x") + COUNTIF(E18:E37, "X")) &gt; 0, (COUNTIF(E18:E37, "✓") + COUNTIF(E18:E37, "✔") + COUNTIF(E18:E37, "v") + COUNTIF(E18:E37, "V")) / ((COUNTIF(E18:E37, "✓") + COUNTIF(E18:E37, "✔") + COUNTIF(E18:E37, "v") + COUNTIF(E18:E37, "V")) + COUNTIF(E18:E37, "✗") + COUNTIF(E18:E37, "x") + COUNTIF(E18:E37, "X")), "")</f>
        <v/>
      </c>
      <c r="F39" s="134">
        <f>IF(((COUNTIF(F18:F37, "✓") + COUNTIF(F18:F37, "✔") + COUNTIF(F18:F37, "v") + COUNTIF(F18:F37, "V")) + COUNTIF(F18:F37, "✗") + COUNTIF(F18:F37, "x") + COUNTIF(F18:F37, "X")) &gt; 0, (COUNTIF(F18:F37, "✓") + COUNTIF(F18:F37, "✔") + COUNTIF(F18:F37, "v") + COUNTIF(F18:F37, "V")) / ((COUNTIF(F18:F37, "✓") + COUNTIF(F18:F37, "✔") + COUNTIF(F18:F37, "v") + COUNTIF(F18:F37, "V")) + COUNTIF(F18:F37, "✗") + COUNTIF(F18:F37, "x") + COUNTIF(F18:F37, "X")), "")</f>
        <v/>
      </c>
      <c r="G39" s="134">
        <f>IF(((COUNTIF(G18:G37, "✓") + COUNTIF(G18:G37, "✔") + COUNTIF(G18:G37, "v") + COUNTIF(G18:G37, "V")) + COUNTIF(G18:G37, "✗") + COUNTIF(G18:G37, "x") + COUNTIF(G18:G37, "X")) &gt; 0, (COUNTIF(G18:G37, "✓") + COUNTIF(G18:G37, "✔") + COUNTIF(G18:G37, "v") + COUNTIF(G18:G37, "V")) / ((COUNTIF(G18:G37, "✓") + COUNTIF(G18:G37, "✔") + COUNTIF(G18:G37, "v") + COUNTIF(G18:G37, "V")) + COUNTIF(G18:G37, "✗") + COUNTIF(G18:G37, "x") + COUNTIF(G18:G37, "X")), "")</f>
        <v/>
      </c>
      <c r="H39" s="134">
        <f>IF(((COUNTIF(H18:H37, "✓") + COUNTIF(H18:H37, "✔") + COUNTIF(H18:H37, "v") + COUNTIF(H18:H37, "V")) + COUNTIF(H18:H37, "✗") + COUNTIF(H18:H37, "x") + COUNTIF(H18:H37, "X")) &gt; 0, (COUNTIF(H18:H37, "✓") + COUNTIF(H18:H37, "✔") + COUNTIF(H18:H37, "v") + COUNTIF(H18:H37, "V")) / ((COUNTIF(H18:H37, "✓") + COUNTIF(H18:H37, "✔") + COUNTIF(H18:H37, "v") + COUNTIF(H18:H37, "V")) + COUNTIF(H18:H37, "✗") + COUNTIF(H18:H37, "x") + COUNTIF(H18:H37, "X")), "")</f>
        <v/>
      </c>
      <c r="I39" s="134">
        <f>IF(((COUNTIF(I18:I37, "✓") + COUNTIF(I18:I37, "✔") + COUNTIF(I18:I37, "v") + COUNTIF(I18:I37, "V")) + COUNTIF(I18:I37, "✗") + COUNTIF(I18:I37, "x") + COUNTIF(I18:I37, "X")) &gt; 0, (COUNTIF(I18:I37, "✓") + COUNTIF(I18:I37, "✔") + COUNTIF(I18:I37, "v") + COUNTIF(I18:I37, "V")) / ((COUNTIF(I18:I37, "✓") + COUNTIF(I18:I37, "✔") + COUNTIF(I18:I37, "v") + COUNTIF(I18:I37, "V")) + COUNTIF(I18:I37, "✗") + COUNTIF(I18:I37, "x") + COUNTIF(I18:I37, "X")), "")</f>
        <v/>
      </c>
      <c r="J39" s="134">
        <f>IF(((COUNTIF(J18:J37, "✓") + COUNTIF(J18:J37, "✔") + COUNTIF(J18:J37, "v") + COUNTIF(J18:J37, "V")) + COUNTIF(J18:J37, "✗") + COUNTIF(J18:J37, "x") + COUNTIF(J18:J37, "X")) &gt; 0, (COUNTIF(J18:J37, "✓") + COUNTIF(J18:J37, "✔") + COUNTIF(J18:J37, "v") + COUNTIF(J18:J37, "V")) / ((COUNTIF(J18:J37, "✓") + COUNTIF(J18:J37, "✔") + COUNTIF(J18:J37, "v") + COUNTIF(J18:J37, "V")) + COUNTIF(J18:J37, "✗") + COUNTIF(J18:J37, "x") + COUNTIF(J18:J37, "X")), "")</f>
        <v/>
      </c>
      <c r="K39" s="134">
        <f>IF(((COUNTIF(K18:K37, "✓") + COUNTIF(K18:K37, "✔") + COUNTIF(K18:K37, "v") + COUNTIF(K18:K37, "V")) + COUNTIF(K18:K37, "✗") + COUNTIF(K18:K37, "x") + COUNTIF(K18:K37, "X")) &gt; 0, (COUNTIF(K18:K37, "✓") + COUNTIF(K18:K37, "✔") + COUNTIF(K18:K37, "v") + COUNTIF(K18:K37, "V")) / ((COUNTIF(K18:K37, "✓") + COUNTIF(K18:K37, "✔") + COUNTIF(K18:K37, "v") + COUNTIF(K18:K37, "V")) + COUNTIF(K18:K37, "✗") + COUNTIF(K18:K37, "x") + COUNTIF(K18:K37, "X")), "")</f>
        <v/>
      </c>
      <c r="L39" s="134">
        <f>IF(((COUNTIF(L18:L37, "✓") + COUNTIF(L18:L37, "✔") + COUNTIF(L18:L37, "v") + COUNTIF(L18:L37, "V")) + COUNTIF(L18:L37, "✗") + COUNTIF(L18:L37, "x") + COUNTIF(L18:L37, "X")) &gt; 0, (COUNTIF(L18:L37, "✓") + COUNTIF(L18:L37, "✔") + COUNTIF(L18:L37, "v") + COUNTIF(L18:L37, "V")) / ((COUNTIF(L18:L37, "✓") + COUNTIF(L18:L37, "✔") + COUNTIF(L18:L37, "v") + COUNTIF(L18:L37, "V")) + COUNTIF(L18:L37, "✗") + COUNTIF(L18:L37, "x") + COUNTIF(L18:L37, "X")), "")</f>
        <v/>
      </c>
      <c r="M39" s="134">
        <f>IF(((COUNTIF(M18:M37, "✓") + COUNTIF(M18:M37, "✔") + COUNTIF(M18:M37, "v") + COUNTIF(M18:M37, "V")) + COUNTIF(M18:M37, "✗") + COUNTIF(M18:M37, "x") + COUNTIF(M18:M37, "X")) &gt; 0, (COUNTIF(M18:M37, "✓") + COUNTIF(M18:M37, "✔") + COUNTIF(M18:M37, "v") + COUNTIF(M18:M37, "V")) / ((COUNTIF(M18:M37, "✓") + COUNTIF(M18:M37, "✔") + COUNTIF(M18:M37, "v") + COUNTIF(M18:M37, "V")) + COUNTIF(M18:M37, "✗") + COUNTIF(M18:M37, "x") + COUNTIF(M18:M37, "X")), "")</f>
        <v/>
      </c>
      <c r="N39" s="134">
        <f>IF(((COUNTIF(N18:N37, "✓") + COUNTIF(N18:N37, "✔") + COUNTIF(N18:N37, "v") + COUNTIF(N18:N37, "V")) + COUNTIF(N18:N37, "✗") + COUNTIF(N18:N37, "x") + COUNTIF(N18:N37, "X")) &gt; 0, (COUNTIF(N18:N37, "✓") + COUNTIF(N18:N37, "✔") + COUNTIF(N18:N37, "v") + COUNTIF(N18:N37, "V")) / ((COUNTIF(N18:N37, "✓") + COUNTIF(N18:N37, "✔") + COUNTIF(N18:N37, "v") + COUNTIF(N18:N37, "V")) + COUNTIF(N18:N37, "✗") + COUNTIF(N18:N37, "x") + COUNTIF(N18:N37, "X")), "")</f>
        <v/>
      </c>
      <c r="O39" s="134">
        <f>IF(((COUNTIF(O18:O37, "✓") + COUNTIF(O18:O37, "✔") + COUNTIF(O18:O37, "v") + COUNTIF(O18:O37, "V")) + COUNTIF(O18:O37, "✗") + COUNTIF(O18:O37, "x") + COUNTIF(O18:O37, "X")) &gt; 0, (COUNTIF(O18:O37, "✓") + COUNTIF(O18:O37, "✔") + COUNTIF(O18:O37, "v") + COUNTIF(O18:O37, "V")) / ((COUNTIF(O18:O37, "✓") + COUNTIF(O18:O37, "✔") + COUNTIF(O18:O37, "v") + COUNTIF(O18:O37, "V")) + COUNTIF(O18:O37, "✗") + COUNTIF(O18:O37, "x") + COUNTIF(O18:O37, "X")), "")</f>
        <v/>
      </c>
      <c r="P39" s="134">
        <f>IF(((COUNTIF(P18:P37, "✓") + COUNTIF(P18:P37, "✔") + COUNTIF(P18:P37, "v") + COUNTIF(P18:P37, "V")) + COUNTIF(P18:P37, "✗") + COUNTIF(P18:P37, "x") + COUNTIF(P18:P37, "X")) &gt; 0, (COUNTIF(P18:P37, "✓") + COUNTIF(P18:P37, "✔") + COUNTIF(P18:P37, "v") + COUNTIF(P18:P37, "V")) / ((COUNTIF(P18:P37, "✓") + COUNTIF(P18:P37, "✔") + COUNTIF(P18:P37, "v") + COUNTIF(P18:P37, "V")) + COUNTIF(P18:P37, "✗") + COUNTIF(P18:P37, "x") + COUNTIF(P18:P37, "X")), "")</f>
        <v/>
      </c>
      <c r="Q39" s="134">
        <f>IF(((COUNTIF(Q18:Q37, "✓") + COUNTIF(Q18:Q37, "✔") + COUNTIF(Q18:Q37, "v") + COUNTIF(Q18:Q37, "V")) + COUNTIF(Q18:Q37, "✗") + COUNTIF(Q18:Q37, "x") + COUNTIF(Q18:Q37, "X")) &gt; 0, (COUNTIF(Q18:Q37, "✓") + COUNTIF(Q18:Q37, "✔") + COUNTIF(Q18:Q37, "v") + COUNTIF(Q18:Q37, "V")) / ((COUNTIF(Q18:Q37, "✓") + COUNTIF(Q18:Q37, "✔") + COUNTIF(Q18:Q37, "v") + COUNTIF(Q18:Q37, "V")) + COUNTIF(Q18:Q37, "✗") + COUNTIF(Q18:Q37, "x") + COUNTIF(Q18:Q37, "X")), "")</f>
        <v/>
      </c>
      <c r="R39" s="134">
        <f>IF(((COUNTIF(R18:R37, "✓") + COUNTIF(R18:R37, "✔") + COUNTIF(R18:R37, "v") + COUNTIF(R18:R37, "V")) + COUNTIF(R18:R37, "✗") + COUNTIF(R18:R37, "x") + COUNTIF(R18:R37, "X")) &gt; 0, (COUNTIF(R18:R37, "✓") + COUNTIF(R18:R37, "✔") + COUNTIF(R18:R37, "v") + COUNTIF(R18:R37, "V")) / ((COUNTIF(R18:R37, "✓") + COUNTIF(R18:R37, "✔") + COUNTIF(R18:R37, "v") + COUNTIF(R18:R37, "V")) + COUNTIF(R18:R37, "✗") + COUNTIF(R18:R37, "x") + COUNTIF(R18:R37, "X")), "")</f>
        <v/>
      </c>
      <c r="S39" s="134">
        <f>IF(((COUNTIF(S18:S37, "✓") + COUNTIF(S18:S37, "✔") + COUNTIF(S18:S37, "v") + COUNTIF(S18:S37, "V")) + COUNTIF(S18:S37, "✗") + COUNTIF(S18:S37, "x") + COUNTIF(S18:S37, "X")) &gt; 0, (COUNTIF(S18:S37, "✓") + COUNTIF(S18:S37, "✔") + COUNTIF(S18:S37, "v") + COUNTIF(S18:S37, "V")) / ((COUNTIF(S18:S37, "✓") + COUNTIF(S18:S37, "✔") + COUNTIF(S18:S37, "v") + COUNTIF(S18:S37, "V")) + COUNTIF(S18:S37, "✗") + COUNTIF(S18:S37, "x") + COUNTIF(S18:S37, "X")), "")</f>
        <v/>
      </c>
      <c r="T39" s="134">
        <f>IF(((COUNTIF(T18:T37, "✓") + COUNTIF(T18:T37, "✔") + COUNTIF(T18:T37, "v") + COUNTIF(T18:T37, "V")) + COUNTIF(T18:T37, "✗") + COUNTIF(T18:T37, "x") + COUNTIF(T18:T37, "X")) &gt; 0, (COUNTIF(T18:T37, "✓") + COUNTIF(T18:T37, "✔") + COUNTIF(T18:T37, "v") + COUNTIF(T18:T37, "V")) / ((COUNTIF(T18:T37, "✓") + COUNTIF(T18:T37, "✔") + COUNTIF(T18:T37, "v") + COUNTIF(T18:T37, "V")) + COUNTIF(T18:T37, "✗") + COUNTIF(T18:T37, "x") + COUNTIF(T18:T37, "X")), "")</f>
        <v/>
      </c>
      <c r="U39" s="134">
        <f>IF(((COUNTIF(U18:U37, "✓") + COUNTIF(U18:U37, "✔") + COUNTIF(U18:U37, "v") + COUNTIF(U18:U37, "V")) + COUNTIF(U18:U37, "✗") + COUNTIF(U18:U37, "x") + COUNTIF(U18:U37, "X")) &gt; 0, (COUNTIF(U18:U37, "✓") + COUNTIF(U18:U37, "✔") + COUNTIF(U18:U37, "v") + COUNTIF(U18:U37, "V")) / ((COUNTIF(U18:U37, "✓") + COUNTIF(U18:U37, "✔") + COUNTIF(U18:U37, "v") + COUNTIF(U18:U37, "V")) + COUNTIF(U18:U37, "✗") + COUNTIF(U18:U37, "x") + COUNTIF(U18:U37, "X")), "")</f>
        <v/>
      </c>
      <c r="V39" s="134">
        <f>IF(((COUNTIF(V18:V37, "✓") + COUNTIF(V18:V37, "✔") + COUNTIF(V18:V37, "v") + COUNTIF(V18:V37, "V")) + COUNTIF(V18:V37, "✗") + COUNTIF(V18:V37, "x") + COUNTIF(V18:V37, "X")) &gt; 0, (COUNTIF(V18:V37, "✓") + COUNTIF(V18:V37, "✔") + COUNTIF(V18:V37, "v") + COUNTIF(V18:V37, "V")) / ((COUNTIF(V18:V37, "✓") + COUNTIF(V18:V37, "✔") + COUNTIF(V18:V37, "v") + COUNTIF(V18:V37, "V")) + COUNTIF(V18:V37, "✗") + COUNTIF(V18:V37, "x") + COUNTIF(V18:V37, "X")), "")</f>
        <v/>
      </c>
      <c r="W39" s="134">
        <f>IF(((COUNTIF(W18:W37, "✓") + COUNTIF(W18:W37, "✔") + COUNTIF(W18:W37, "v") + COUNTIF(W18:W37, "V")) + COUNTIF(W18:W37, "✗") + COUNTIF(W18:W37, "x") + COUNTIF(W18:W37, "X")) &gt; 0, (COUNTIF(W18:W37, "✓") + COUNTIF(W18:W37, "✔") + COUNTIF(W18:W37, "v") + COUNTIF(W18:W37, "V")) / ((COUNTIF(W18:W37, "✓") + COUNTIF(W18:W37, "✔") + COUNTIF(W18:W37, "v") + COUNTIF(W18:W37, "V")) + COUNTIF(W18:W37, "✗") + COUNTIF(W18:W37, "x") + COUNTIF(W18:W37, "X")), "")</f>
        <v/>
      </c>
      <c r="X39" s="134">
        <f>IF(((COUNTIF(X18:X37, "✓") + COUNTIF(X18:X37, "✔") + COUNTIF(X18:X37, "v") + COUNTIF(X18:X37, "V")) + COUNTIF(X18:X37, "✗") + COUNTIF(X18:X37, "x") + COUNTIF(X18:X37, "X")) &gt; 0, (COUNTIF(X18:X37, "✓") + COUNTIF(X18:X37, "✔") + COUNTIF(X18:X37, "v") + COUNTIF(X18:X37, "V")) / ((COUNTIF(X18:X37, "✓") + COUNTIF(X18:X37, "✔") + COUNTIF(X18:X37, "v") + COUNTIF(X18:X37, "V")) + COUNTIF(X18:X37, "✗") + COUNTIF(X18:X37, "x") + COUNTIF(X18:X37, "X")), "")</f>
        <v/>
      </c>
      <c r="Y39" s="134">
        <f>IF(((COUNTIF(Y18:Y37, "✓") + COUNTIF(Y18:Y37, "✔") + COUNTIF(Y18:Y37, "v") + COUNTIF(Y18:Y37, "V")) + COUNTIF(Y18:Y37, "✗") + COUNTIF(Y18:Y37, "x") + COUNTIF(Y18:Y37, "X")) &gt; 0, (COUNTIF(Y18:Y37, "✓") + COUNTIF(Y18:Y37, "✔") + COUNTIF(Y18:Y37, "v") + COUNTIF(Y18:Y37, "V")) / ((COUNTIF(Y18:Y37, "✓") + COUNTIF(Y18:Y37, "✔") + COUNTIF(Y18:Y37, "v") + COUNTIF(Y18:Y37, "V")) + COUNTIF(Y18:Y37, "✗") + COUNTIF(Y18:Y37, "x") + COUNTIF(Y18:Y37, "X")), "")</f>
        <v/>
      </c>
      <c r="Z39" s="134">
        <f>IF(((COUNTIF(Z18:Z37, "✓") + COUNTIF(Z18:Z37, "✔") + COUNTIF(Z18:Z37, "v") + COUNTIF(Z18:Z37, "V")) + COUNTIF(Z18:Z37, "✗") + COUNTIF(Z18:Z37, "x") + COUNTIF(Z18:Z37, "X")) &gt; 0, (COUNTIF(Z18:Z37, "✓") + COUNTIF(Z18:Z37, "✔") + COUNTIF(Z18:Z37, "v") + COUNTIF(Z18:Z37, "V")) / ((COUNTIF(Z18:Z37, "✓") + COUNTIF(Z18:Z37, "✔") + COUNTIF(Z18:Z37, "v") + COUNTIF(Z18:Z37, "V")) + COUNTIF(Z18:Z37, "✗") + COUNTIF(Z18:Z37, "x") + COUNTIF(Z18:Z37, "X")), "")</f>
        <v/>
      </c>
      <c r="AA39" s="134">
        <f>IF(((COUNTIF(AA18:AA37, "✓") + COUNTIF(AA18:AA37, "✔") + COUNTIF(AA18:AA37, "v") + COUNTIF(AA18:AA37, "V")) + COUNTIF(AA18:AA37, "✗") + COUNTIF(AA18:AA37, "x") + COUNTIF(AA18:AA37, "X")) &gt; 0, (COUNTIF(AA18:AA37, "✓") + COUNTIF(AA18:AA37, "✔") + COUNTIF(AA18:AA37, "v") + COUNTIF(AA18:AA37, "V")) / ((COUNTIF(AA18:AA37, "✓") + COUNTIF(AA18:AA37, "✔") + COUNTIF(AA18:AA37, "v") + COUNTIF(AA18:AA37, "V")) + COUNTIF(AA18:AA37, "✗") + COUNTIF(AA18:AA37, "x") + COUNTIF(AA18:AA37, "X")), "")</f>
        <v/>
      </c>
      <c r="AB39" s="134">
        <f>IF(((COUNTIF(AB18:AB37, "✓") + COUNTIF(AB18:AB37, "✔") + COUNTIF(AB18:AB37, "v") + COUNTIF(AB18:AB37, "V")) + COUNTIF(AB18:AB37, "✗") + COUNTIF(AB18:AB37, "x") + COUNTIF(AB18:AB37, "X")) &gt; 0, (COUNTIF(AB18:AB37, "✓") + COUNTIF(AB18:AB37, "✔") + COUNTIF(AB18:AB37, "v") + COUNTIF(AB18:AB37, "V")) / ((COUNTIF(AB18:AB37, "✓") + COUNTIF(AB18:AB37, "✔") + COUNTIF(AB18:AB37, "v") + COUNTIF(AB18:AB37, "V")) + COUNTIF(AB18:AB37, "✗") + COUNTIF(AB18:AB37, "x") + COUNTIF(AB18:AB37, "X")), "")</f>
        <v/>
      </c>
      <c r="AC39" s="134">
        <f>IF(((COUNTIF(AC18:AC37, "✓") + COUNTIF(AC18:AC37, "✔") + COUNTIF(AC18:AC37, "v") + COUNTIF(AC18:AC37, "V")) + COUNTIF(AC18:AC37, "✗") + COUNTIF(AC18:AC37, "x") + COUNTIF(AC18:AC37, "X")) &gt; 0, (COUNTIF(AC18:AC37, "✓") + COUNTIF(AC18:AC37, "✔") + COUNTIF(AC18:AC37, "v") + COUNTIF(AC18:AC37, "V")) / ((COUNTIF(AC18:AC37, "✓") + COUNTIF(AC18:AC37, "✔") + COUNTIF(AC18:AC37, "v") + COUNTIF(AC18:AC37, "V")) + COUNTIF(AC18:AC37, "✗") + COUNTIF(AC18:AC37, "x") + COUNTIF(AC18:AC37, "X")), "")</f>
        <v/>
      </c>
      <c r="AD39" s="134">
        <f>IF(((COUNTIF(AD18:AD37, "✓") + COUNTIF(AD18:AD37, "✔") + COUNTIF(AD18:AD37, "v") + COUNTIF(AD18:AD37, "V")) + COUNTIF(AD18:AD37, "✗") + COUNTIF(AD18:AD37, "x") + COUNTIF(AD18:AD37, "X")) &gt; 0, (COUNTIF(AD18:AD37, "✓") + COUNTIF(AD18:AD37, "✔") + COUNTIF(AD18:AD37, "v") + COUNTIF(AD18:AD37, "V")) / ((COUNTIF(AD18:AD37, "✓") + COUNTIF(AD18:AD37, "✔") + COUNTIF(AD18:AD37, "v") + COUNTIF(AD18:AD37, "V")) + COUNTIF(AD18:AD37, "✗") + COUNTIF(AD18:AD37, "x") + COUNTIF(AD18:AD37, "X")), "")</f>
        <v/>
      </c>
      <c r="AE39" s="134">
        <f>IF(((COUNTIF(AE18:AE37, "✓") + COUNTIF(AE18:AE37, "✔") + COUNTIF(AE18:AE37, "v") + COUNTIF(AE18:AE37, "V")) + COUNTIF(AE18:AE37, "✗") + COUNTIF(AE18:AE37, "x") + COUNTIF(AE18:AE37, "X")) &gt; 0, (COUNTIF(AE18:AE37, "✓") + COUNTIF(AE18:AE37, "✔") + COUNTIF(AE18:AE37, "v") + COUNTIF(AE18:AE37, "V")) / ((COUNTIF(AE18:AE37, "✓") + COUNTIF(AE18:AE37, "✔") + COUNTIF(AE18:AE37, "v") + COUNTIF(AE18:AE37, "V")) + COUNTIF(AE18:AE37, "✗") + COUNTIF(AE18:AE37, "x") + COUNTIF(AE18:AE37, "X")), "")</f>
        <v/>
      </c>
      <c r="AF39" s="134">
        <f>IF(((COUNTIF(AF18:AF37, "✓") + COUNTIF(AF18:AF37, "✔") + COUNTIF(AF18:AF37, "v") + COUNTIF(AF18:AF37, "V")) + COUNTIF(AF18:AF37, "✗") + COUNTIF(AF18:AF37, "x") + COUNTIF(AF18:AF37, "X")) &gt; 0, (COUNTIF(AF18:AF37, "✓") + COUNTIF(AF18:AF37, "✔") + COUNTIF(AF18:AF37, "v") + COUNTIF(AF18:AF37, "V")) / ((COUNTIF(AF18:AF37, "✓") + COUNTIF(AF18:AF37, "✔") + COUNTIF(AF18:AF37, "v") + COUNTIF(AF18:AF37, "V")) + COUNTIF(AF18:AF37, "✗") + COUNTIF(AF18:AF37, "x") + COUNTIF(AF18:AF37, "X")), "")</f>
        <v/>
      </c>
      <c r="AG39" s="134">
        <f>IF(((COUNTIF(AG18:AG37, "✓") + COUNTIF(AG18:AG37, "✔") + COUNTIF(AG18:AG37, "v") + COUNTIF(AG18:AG37, "V")) + COUNTIF(AG18:AG37, "✗") + COUNTIF(AG18:AG37, "x") + COUNTIF(AG18:AG37, "X")) &gt; 0, (COUNTIF(AG18:AG37, "✓") + COUNTIF(AG18:AG37, "✔") + COUNTIF(AG18:AG37, "v") + COUNTIF(AG18:AG37, "V")) / ((COUNTIF(AG18:AG37, "✓") + COUNTIF(AG18:AG37, "✔") + COUNTIF(AG18:AG37, "v") + COUNTIF(AG18:AG37, "V")) + COUNTIF(AG18:AG37, "✗") + COUNTIF(AG18:AG37, "x") + COUNTIF(AG18:AG37, "X")), "")</f>
        <v/>
      </c>
      <c r="AH39" s="134">
        <f>IF(((COUNTIF(AH18:AH37, "✓") + COUNTIF(AH18:AH37, "✔") + COUNTIF(AH18:AH37, "v") + COUNTIF(AH18:AH37, "V")) + COUNTIF(AH18:AH37, "✗") + COUNTIF(AH18:AH37, "x") + COUNTIF(AH18:AH37, "X")) &gt; 0, (COUNTIF(AH18:AH37, "✓") + COUNTIF(AH18:AH37, "✔") + COUNTIF(AH18:AH37, "v") + COUNTIF(AH18:AH37, "V")) / ((COUNTIF(AH18:AH37, "✓") + COUNTIF(AH18:AH37, "✔") + COUNTIF(AH18:AH37, "v") + COUNTIF(AH18:AH37, "V")) + COUNTIF(AH18:AH37, "✗") + COUNTIF(AH18:AH37, "x") + COUNTIF(AH18:AH37, "X")), "")</f>
        <v/>
      </c>
      <c r="AI39" s="134">
        <f>IF(((COUNTIF(AI18:AI37, "✓") + COUNTIF(AI18:AI37, "✔") + COUNTIF(AI18:AI37, "v") + COUNTIF(AI18:AI37, "V")) + COUNTIF(AI18:AI37, "✗") + COUNTIF(AI18:AI37, "x") + COUNTIF(AI18:AI37, "X")) &gt; 0, (COUNTIF(AI18:AI37, "✓") + COUNTIF(AI18:AI37, "✔") + COUNTIF(AI18:AI37, "v") + COUNTIF(AI18:AI37, "V")) / ((COUNTIF(AI18:AI37, "✓") + COUNTIF(AI18:AI37, "✔") + COUNTIF(AI18:AI37, "v") + COUNTIF(AI18:AI37, "V")) + COUNTIF(AI18:AI37, "✗") + COUNTIF(AI18:AI37, "x") + COUNTIF(AI18:AI37, "X")), "")</f>
        <v/>
      </c>
      <c r="AJ39" s="133">
        <f>IF(COUNT(E39:AI39) &gt; 0, AVERAGE(E39:AI39), "")</f>
        <v/>
      </c>
      <c r="AK39" s="54" t="n"/>
      <c r="AL39" s="54" t="n"/>
    </row>
    <row r="40" ht="6" customHeight="1"/>
    <row r="41" ht="15" customHeight="1">
      <c r="A41" s="135" t="inlineStr">
        <is>
          <t>IF SUCCESS &lt; 80%, PUNISHMENT: ________________________________________________</t>
        </is>
      </c>
    </row>
    <row r="42" ht="15" customHeight="1">
      <c r="A42" s="136" t="inlineStr">
        <is>
          <t>IF SUCCESS &gt; 90%, REWARD: __________________________________________________</t>
        </is>
      </c>
    </row>
    <row r="43" ht="10" customHeight="1"/>
    <row r="44" ht="10" customHeight="1"/>
    <row r="45" ht="15" customHeight="1">
      <c r="A45" s="51" t="inlineStr">
        <is>
          <t>Sleep Tracking</t>
        </is>
      </c>
      <c r="B45" s="52" t="n"/>
      <c r="C45" s="52" t="n"/>
      <c r="D45" s="52" t="n"/>
      <c r="E45" s="137" t="n">
        <v>1</v>
      </c>
      <c r="F45" s="137" t="n">
        <v>2</v>
      </c>
      <c r="G45" s="137" t="n">
        <v>3</v>
      </c>
      <c r="H45" s="137" t="n">
        <v>4</v>
      </c>
      <c r="I45" s="137" t="n">
        <v>5</v>
      </c>
      <c r="J45" s="137" t="n">
        <v>6</v>
      </c>
      <c r="K45" s="138" t="n">
        <v>7</v>
      </c>
      <c r="L45" s="137" t="n">
        <v>8</v>
      </c>
      <c r="M45" s="137" t="n">
        <v>9</v>
      </c>
      <c r="N45" s="137" t="n">
        <v>10</v>
      </c>
      <c r="O45" s="137" t="n">
        <v>11</v>
      </c>
      <c r="P45" s="137" t="n">
        <v>12</v>
      </c>
      <c r="Q45" s="137" t="n">
        <v>13</v>
      </c>
      <c r="R45" s="138" t="n">
        <v>14</v>
      </c>
      <c r="S45" s="137" t="n">
        <v>15</v>
      </c>
      <c r="T45" s="137" t="n">
        <v>16</v>
      </c>
      <c r="U45" s="137" t="n">
        <v>17</v>
      </c>
      <c r="V45" s="137" t="n">
        <v>18</v>
      </c>
      <c r="W45" s="137" t="n">
        <v>19</v>
      </c>
      <c r="X45" s="137" t="n">
        <v>20</v>
      </c>
      <c r="Y45" s="138" t="n">
        <v>21</v>
      </c>
      <c r="Z45" s="137" t="n">
        <v>22</v>
      </c>
      <c r="AA45" s="137" t="n">
        <v>23</v>
      </c>
      <c r="AB45" s="137" t="n">
        <v>24</v>
      </c>
      <c r="AC45" s="137" t="n">
        <v>25</v>
      </c>
      <c r="AD45" s="137" t="n">
        <v>26</v>
      </c>
      <c r="AE45" s="137" t="n">
        <v>27</v>
      </c>
      <c r="AF45" s="138" t="n">
        <v>28</v>
      </c>
      <c r="AG45" s="137" t="n">
        <v>29</v>
      </c>
      <c r="AH45" s="137" t="n">
        <v>30</v>
      </c>
      <c r="AI45" s="137" t="n">
        <v>31</v>
      </c>
    </row>
    <row r="46" ht="15" customHeight="1">
      <c r="A46" s="52" t="n"/>
      <c r="B46" s="52" t="n"/>
      <c r="C46" s="52" t="n"/>
      <c r="D46" s="52" t="n"/>
      <c r="E46" s="139" t="inlineStr">
        <is>
          <t>M</t>
        </is>
      </c>
      <c r="F46" s="139" t="inlineStr">
        <is>
          <t>T</t>
        </is>
      </c>
      <c r="G46" s="139" t="inlineStr">
        <is>
          <t>W</t>
        </is>
      </c>
      <c r="H46" s="139" t="inlineStr">
        <is>
          <t>Th</t>
        </is>
      </c>
      <c r="I46" s="139" t="inlineStr">
        <is>
          <t>F</t>
        </is>
      </c>
      <c r="J46" s="139" t="inlineStr">
        <is>
          <t>Sa</t>
        </is>
      </c>
      <c r="K46" s="140" t="inlineStr">
        <is>
          <t>Su</t>
        </is>
      </c>
      <c r="L46" s="139" t="inlineStr">
        <is>
          <t>M</t>
        </is>
      </c>
      <c r="M46" s="139" t="inlineStr">
        <is>
          <t>T</t>
        </is>
      </c>
      <c r="N46" s="139" t="inlineStr">
        <is>
          <t>W</t>
        </is>
      </c>
      <c r="O46" s="139" t="inlineStr">
        <is>
          <t>Th</t>
        </is>
      </c>
      <c r="P46" s="139" t="inlineStr">
        <is>
          <t>F</t>
        </is>
      </c>
      <c r="Q46" s="139" t="inlineStr">
        <is>
          <t>Sa</t>
        </is>
      </c>
      <c r="R46" s="140" t="inlineStr">
        <is>
          <t>Su</t>
        </is>
      </c>
      <c r="S46" s="139" t="inlineStr">
        <is>
          <t>M</t>
        </is>
      </c>
      <c r="T46" s="139" t="inlineStr">
        <is>
          <t>T</t>
        </is>
      </c>
      <c r="U46" s="139" t="inlineStr">
        <is>
          <t>W</t>
        </is>
      </c>
      <c r="V46" s="139" t="inlineStr">
        <is>
          <t>Th</t>
        </is>
      </c>
      <c r="W46" s="139" t="inlineStr">
        <is>
          <t>F</t>
        </is>
      </c>
      <c r="X46" s="139" t="inlineStr">
        <is>
          <t>Sa</t>
        </is>
      </c>
      <c r="Y46" s="140" t="inlineStr">
        <is>
          <t>Su</t>
        </is>
      </c>
      <c r="Z46" s="139" t="inlineStr">
        <is>
          <t>M</t>
        </is>
      </c>
      <c r="AA46" s="139" t="inlineStr">
        <is>
          <t>T</t>
        </is>
      </c>
      <c r="AB46" s="139" t="inlineStr">
        <is>
          <t>W</t>
        </is>
      </c>
      <c r="AC46" s="139" t="inlineStr">
        <is>
          <t>Th</t>
        </is>
      </c>
      <c r="AD46" s="139" t="inlineStr">
        <is>
          <t>F</t>
        </is>
      </c>
      <c r="AE46" s="139" t="inlineStr">
        <is>
          <t>Sa</t>
        </is>
      </c>
      <c r="AF46" s="140" t="inlineStr">
        <is>
          <t>Su</t>
        </is>
      </c>
      <c r="AG46" s="139" t="inlineStr">
        <is>
          <t>M</t>
        </is>
      </c>
      <c r="AH46" s="139" t="inlineStr">
        <is>
          <t>T</t>
        </is>
      </c>
      <c r="AI46" s="139" t="inlineStr">
        <is>
          <t>W</t>
        </is>
      </c>
    </row>
    <row r="47" ht="20" customHeight="1">
      <c r="A47" s="141" t="inlineStr">
        <is>
          <t>Sleep Hours (1-24)</t>
        </is>
      </c>
      <c r="B47" s="142" t="n"/>
      <c r="C47" s="142" t="n"/>
      <c r="D47" s="142" t="n"/>
      <c r="E47" s="143" t="n"/>
      <c r="F47" s="143" t="n"/>
      <c r="G47" s="143" t="n"/>
      <c r="H47" s="143" t="n"/>
      <c r="I47" s="143" t="n"/>
      <c r="J47" s="143" t="n"/>
      <c r="K47" s="144" t="n"/>
      <c r="L47" s="143" t="n"/>
      <c r="M47" s="143" t="n"/>
      <c r="N47" s="143" t="n"/>
      <c r="O47" s="143" t="n"/>
      <c r="P47" s="143" t="n"/>
      <c r="Q47" s="143" t="n"/>
      <c r="R47" s="144" t="n"/>
      <c r="S47" s="143" t="n"/>
      <c r="T47" s="143" t="n"/>
      <c r="U47" s="143" t="n"/>
      <c r="V47" s="143" t="n"/>
      <c r="W47" s="143" t="n"/>
      <c r="X47" s="143" t="n"/>
      <c r="Y47" s="144" t="n"/>
      <c r="Z47" s="143" t="n"/>
      <c r="AA47" s="143" t="n"/>
      <c r="AB47" s="143" t="n"/>
      <c r="AC47" s="143" t="n"/>
      <c r="AD47" s="143" t="n"/>
      <c r="AE47" s="143" t="n"/>
      <c r="AF47" s="144" t="n"/>
      <c r="AG47" s="143" t="n"/>
      <c r="AH47" s="143" t="n"/>
      <c r="AI47" s="143" t="n"/>
    </row>
    <row r="48" ht="6" customHeight="1"/>
    <row r="49" ht="14" customHeight="1"/>
    <row r="50" ht="14" customHeight="1"/>
    <row r="51" ht="14" customHeight="1"/>
    <row r="52" ht="14" customHeight="1"/>
    <row r="53" ht="14" customHeight="1"/>
    <row r="54" ht="14" customHeight="1"/>
    <row r="55" ht="14" customHeight="1"/>
    <row r="56" ht="14" customHeight="1"/>
    <row r="57" ht="14" customHeight="1"/>
    <row r="58" ht="14" customHeight="1"/>
    <row r="59" ht="14" customHeight="1"/>
    <row r="60" ht="14" customHeight="1"/>
    <row r="61" ht="14" customHeight="1"/>
    <row r="62" ht="14" customHeight="1"/>
    <row r="63" ht="14" customHeight="1"/>
    <row r="64" ht="14" customHeight="1"/>
    <row r="65" ht="14" customHeight="1"/>
    <row r="66" ht="8" customHeight="1"/>
    <row r="67">
      <c r="A67" s="145" t="inlineStr">
        <is>
          <t>MONTHLY SUCCESS RATE</t>
        </is>
      </c>
      <c r="B67" s="9" t="n"/>
      <c r="C67" s="9" t="n"/>
      <c r="D67" s="9" t="n"/>
      <c r="F67" s="146" t="inlineStr">
        <is>
          <t>ACTIVE PROTOCOLS</t>
        </is>
      </c>
      <c r="G67" s="11" t="n"/>
      <c r="H67" s="11" t="n"/>
      <c r="I67" s="11" t="n"/>
      <c r="K67" s="147" t="inlineStr">
        <is>
          <t>PERFECT DAYS (100%)</t>
        </is>
      </c>
      <c r="L67" s="13" t="n"/>
      <c r="M67" s="13" t="n"/>
      <c r="N67" s="13" t="n"/>
      <c r="P67" s="148" t="inlineStr">
        <is>
          <t>AVG SLEEP DURATION</t>
        </is>
      </c>
      <c r="Q67" s="15" t="n"/>
      <c r="R67" s="15" t="n"/>
      <c r="S67" s="15" t="n"/>
    </row>
    <row r="68">
      <c r="A68" s="149">
        <f>IF(SUM(D18:D37)&gt;0, SUM(AM18:AM37)/SUM(D18:D37), 0)</f>
        <v/>
      </c>
      <c r="B68" s="9" t="n"/>
      <c r="C68" s="9" t="n"/>
      <c r="D68" s="9" t="n"/>
      <c r="F68" s="150">
        <f>COUNTA(B18:B37) &amp; " / 20"</f>
        <v/>
      </c>
      <c r="G68" s="11" t="n"/>
      <c r="H68" s="11" t="n"/>
      <c r="I68" s="11" t="n"/>
      <c r="K68" s="151">
        <f>COUNTIF(E39:AI39, 1) &amp; " Days"</f>
        <v/>
      </c>
      <c r="L68" s="13" t="n"/>
      <c r="M68" s="13" t="n"/>
      <c r="N68" s="13" t="n"/>
      <c r="P68" s="152">
        <f>IFERROR(TEXT(AVERAGE(E47:AI47), "0.0") &amp; " hrs", "-")</f>
        <v/>
      </c>
      <c r="Q68" s="15" t="n"/>
      <c r="R68" s="15" t="n"/>
      <c r="S68" s="15" t="n"/>
    </row>
    <row r="69">
      <c r="A69" s="9" t="n"/>
      <c r="B69" s="9" t="n"/>
      <c r="C69" s="9" t="n"/>
      <c r="D69" s="9" t="n"/>
      <c r="F69" s="11" t="n"/>
      <c r="G69" s="11" t="n"/>
      <c r="H69" s="11" t="n"/>
      <c r="I69" s="11" t="n"/>
      <c r="K69" s="13" t="n"/>
      <c r="L69" s="13" t="n"/>
      <c r="M69" s="13" t="n"/>
      <c r="N69" s="13" t="n"/>
      <c r="P69" s="15" t="n"/>
      <c r="Q69" s="15" t="n"/>
      <c r="R69" s="15" t="n"/>
      <c r="S69" s="15" t="n"/>
    </row>
    <row r="70">
      <c r="A70" s="9" t="n"/>
      <c r="B70" s="9" t="n"/>
      <c r="C70" s="9" t="n"/>
      <c r="D70" s="9" t="n"/>
      <c r="F70" s="11" t="n"/>
      <c r="G70" s="11" t="n"/>
      <c r="H70" s="11" t="n"/>
      <c r="I70" s="11" t="n"/>
      <c r="K70" s="13" t="n"/>
      <c r="L70" s="13" t="n"/>
      <c r="M70" s="13" t="n"/>
      <c r="N70" s="13" t="n"/>
      <c r="P70" s="15" t="n"/>
      <c r="Q70" s="15" t="n"/>
      <c r="R70" s="15" t="n"/>
      <c r="S70" s="15" t="n"/>
    </row>
    <row r="71">
      <c r="A71" s="153" t="inlineStr">
        <is>
          <t>Target Completion</t>
        </is>
      </c>
      <c r="B71" s="9" t="n"/>
      <c r="C71" s="9" t="n"/>
      <c r="D71" s="9" t="n"/>
      <c r="F71" s="154" t="inlineStr">
        <is>
          <t>Habits Tracked</t>
        </is>
      </c>
      <c r="G71" s="11" t="n"/>
      <c r="H71" s="11" t="n"/>
      <c r="I71" s="11" t="n"/>
      <c r="K71" s="155" t="inlineStr">
        <is>
          <t>All Marked Habits Completed</t>
        </is>
      </c>
      <c r="L71" s="13" t="n"/>
      <c r="M71" s="13" t="n"/>
      <c r="N71" s="13" t="n"/>
      <c r="P71" s="156" t="inlineStr">
        <is>
          <t>Nightly Rest Average</t>
        </is>
      </c>
      <c r="Q71" s="15" t="n"/>
      <c r="R71" s="15" t="n"/>
      <c r="S71" s="15" t="n"/>
    </row>
    <row r="72" ht="8" customHeight="1"/>
    <row r="73" ht="6" customHeight="1"/>
    <row r="74">
      <c r="A74" s="67" t="inlineStr">
        <is>
          <t>WEEKLY PERFORMANCE (SLUMP DETECTOR)</t>
        </is>
      </c>
      <c r="B74" s="29" t="n"/>
      <c r="C74" s="29" t="n"/>
      <c r="D74" s="29" t="n"/>
      <c r="E74" s="29" t="n"/>
      <c r="N74" s="157" t="inlineStr">
        <is>
          <t>LIFE DOMAIN / CATEGORY BREAKDOWN</t>
        </is>
      </c>
      <c r="O74" s="158" t="n"/>
      <c r="P74" s="158" t="n"/>
      <c r="Q74" s="158" t="n"/>
      <c r="R74" s="158" t="n"/>
      <c r="S74" s="158" t="n"/>
    </row>
    <row r="75" ht="15" customHeight="1">
      <c r="A75" s="53" t="inlineStr">
        <is>
          <t>Week</t>
        </is>
      </c>
      <c r="B75" s="53" t="inlineStr">
        <is>
          <t>Days Range</t>
        </is>
      </c>
      <c r="C75" s="53" t="inlineStr">
        <is>
          <t>Checks Done</t>
        </is>
      </c>
      <c r="D75" s="53" t="inlineStr">
        <is>
          <t>Evaluated</t>
        </is>
      </c>
      <c r="E75" s="53" t="inlineStr">
        <is>
          <t>Success %</t>
        </is>
      </c>
      <c r="N75" s="53" t="inlineStr">
        <is>
          <t>Domain / Category</t>
        </is>
      </c>
      <c r="O75" s="54" t="n"/>
      <c r="P75" s="53" t="inlineStr">
        <is>
          <t>Active Habits</t>
        </is>
      </c>
      <c r="Q75" s="53" t="inlineStr">
        <is>
          <t>Target Days</t>
        </is>
      </c>
      <c r="R75" s="53" t="inlineStr">
        <is>
          <t>Done Checks</t>
        </is>
      </c>
      <c r="S75" s="53" t="inlineStr">
        <is>
          <t>Success %</t>
        </is>
      </c>
    </row>
    <row r="76" ht="14" customHeight="1">
      <c r="A76" s="33" t="inlineStr">
        <is>
          <t>Week 1</t>
        </is>
      </c>
      <c r="B76" s="34" t="inlineStr">
        <is>
          <t>Days 1 - 7</t>
        </is>
      </c>
      <c r="C76" s="34">
        <f>COUNTIF(E18:K37, "✓")</f>
        <v/>
      </c>
      <c r="D76" s="34">
        <f>COUNTIF(E18:K37, "✓") + COUNTIF(E18:K37, "✗")</f>
        <v/>
      </c>
      <c r="E76" s="35">
        <f>IFERROR(C76/D76, 0)</f>
        <v/>
      </c>
      <c r="N76" s="60" t="inlineStr">
        <is>
          <t>Health &amp; Fitness</t>
        </is>
      </c>
      <c r="O76" s="54" t="n"/>
      <c r="P76" s="34">
        <f>COUNTIF($C$18:$C$37, "Health &amp; Fitness")</f>
        <v/>
      </c>
      <c r="Q76" s="34">
        <f>SUMIF($C$18:$C$37, "Health &amp; Fitness", $D$18:$D$37)</f>
        <v/>
      </c>
      <c r="R76" s="34">
        <f>SUMIF($C$18:$C$37, "Health &amp; Fitness", $AM$18:$AM$37)</f>
        <v/>
      </c>
      <c r="S76" s="35">
        <f>IFERROR(R76/Q76, 0)</f>
        <v/>
      </c>
    </row>
    <row r="77" ht="14" customHeight="1">
      <c r="A77" s="33" t="inlineStr">
        <is>
          <t>Week 2</t>
        </is>
      </c>
      <c r="B77" s="34" t="inlineStr">
        <is>
          <t>Days 8 - 14</t>
        </is>
      </c>
      <c r="C77" s="34">
        <f>COUNTIF(L18:R37, "✓")</f>
        <v/>
      </c>
      <c r="D77" s="34">
        <f>COUNTIF(L18:R37, "✓") + COUNTIF(L18:R37, "✗")</f>
        <v/>
      </c>
      <c r="E77" s="35">
        <f>IFERROR(C77/D77, 0)</f>
        <v/>
      </c>
      <c r="N77" s="60" t="inlineStr">
        <is>
          <t>Mindset &amp; Learning</t>
        </is>
      </c>
      <c r="O77" s="54" t="n"/>
      <c r="P77" s="34">
        <f>COUNTIF($C$18:$C$37, "Mindset &amp; Learning")</f>
        <v/>
      </c>
      <c r="Q77" s="34">
        <f>SUMIF($C$18:$C$37, "Mindset &amp; Learning", $D$18:$D$37)</f>
        <v/>
      </c>
      <c r="R77" s="34">
        <f>SUMIF($C$18:$C$37, "Mindset &amp; Learning", $AM$18:$AM$37)</f>
        <v/>
      </c>
      <c r="S77" s="35">
        <f>IFERROR(R77/Q77, 0)</f>
        <v/>
      </c>
    </row>
    <row r="78" ht="14" customHeight="1">
      <c r="A78" s="33" t="inlineStr">
        <is>
          <t>Week 3</t>
        </is>
      </c>
      <c r="B78" s="34" t="inlineStr">
        <is>
          <t>Days 15 - 21</t>
        </is>
      </c>
      <c r="C78" s="34">
        <f>COUNTIF(S18:Y37, "✓")</f>
        <v/>
      </c>
      <c r="D78" s="34">
        <f>COUNTIF(S18:Y37, "✓") + COUNTIF(S18:Y37, "✗")</f>
        <v/>
      </c>
      <c r="E78" s="35">
        <f>IFERROR(C78/D78, 0)</f>
        <v/>
      </c>
      <c r="N78" s="60" t="inlineStr">
        <is>
          <t>Career &amp; Focus</t>
        </is>
      </c>
      <c r="O78" s="54" t="n"/>
      <c r="P78" s="34">
        <f>COUNTIF($C$18:$C$37, "Career &amp; Focus")</f>
        <v/>
      </c>
      <c r="Q78" s="34">
        <f>SUMIF($C$18:$C$37, "Career &amp; Focus", $D$18:$D$37)</f>
        <v/>
      </c>
      <c r="R78" s="34">
        <f>SUMIF($C$18:$C$37, "Career &amp; Focus", $AM$18:$AM$37)</f>
        <v/>
      </c>
      <c r="S78" s="35">
        <f>IFERROR(R78/Q78, 0)</f>
        <v/>
      </c>
    </row>
    <row r="79" ht="14" customHeight="1">
      <c r="A79" s="33" t="inlineStr">
        <is>
          <t>Week 4</t>
        </is>
      </c>
      <c r="B79" s="34" t="inlineStr">
        <is>
          <t>Days 22 - 28</t>
        </is>
      </c>
      <c r="C79" s="34">
        <f>COUNTIF(Z18:AF37, "✓")</f>
        <v/>
      </c>
      <c r="D79" s="34">
        <f>COUNTIF(Z18:AF37, "✓") + COUNTIF(Z18:AF37, "✗")</f>
        <v/>
      </c>
      <c r="E79" s="35">
        <f>IFERROR(C79/D79, 0)</f>
        <v/>
      </c>
      <c r="N79" s="60" t="inlineStr">
        <is>
          <t>Personal &amp; Home</t>
        </is>
      </c>
      <c r="O79" s="54" t="n"/>
      <c r="P79" s="34">
        <f>COUNTIF($C$18:$C$37, "Personal &amp; Home")</f>
        <v/>
      </c>
      <c r="Q79" s="34">
        <f>SUMIF($C$18:$C$37, "Personal &amp; Home", $D$18:$D$37)</f>
        <v/>
      </c>
      <c r="R79" s="34">
        <f>SUMIF($C$18:$C$37, "Personal &amp; Home", $AM$18:$AM$37)</f>
        <v/>
      </c>
      <c r="S79" s="35">
        <f>IFERROR(R79/Q79, 0)</f>
        <v/>
      </c>
    </row>
    <row r="80" ht="14" customHeight="1">
      <c r="A80" s="33" t="inlineStr">
        <is>
          <t>Week 5</t>
        </is>
      </c>
      <c r="B80" s="34" t="inlineStr">
        <is>
          <t>Days 29 - 31</t>
        </is>
      </c>
      <c r="C80" s="34">
        <f>COUNTIF(AG18:AI37, "✓")</f>
        <v/>
      </c>
      <c r="D80" s="34">
        <f>COUNTIF(AG18:AI37, "✓") + COUNTIF(AG18:AI37, "✗")</f>
        <v/>
      </c>
      <c r="E80" s="35">
        <f>IFERROR(C80/D80, 0)</f>
        <v/>
      </c>
      <c r="N80" s="60" t="inlineStr">
        <is>
          <t>Finance &amp; Wealth</t>
        </is>
      </c>
      <c r="O80" s="54" t="n"/>
      <c r="P80" s="34">
        <f>COUNTIF($C$18:$C$37, "Finance &amp; Wealth")</f>
        <v/>
      </c>
      <c r="Q80" s="34">
        <f>SUMIF($C$18:$C$37, "Finance &amp; Wealth", $D$18:$D$37)</f>
        <v/>
      </c>
      <c r="R80" s="34">
        <f>SUMIF($C$18:$C$37, "Finance &amp; Wealth", $AM$18:$AM$37)</f>
        <v/>
      </c>
      <c r="S80" s="35">
        <f>IFERROR(R80/Q80, 0)</f>
        <v/>
      </c>
    </row>
    <row r="81" ht="14" customHeight="1">
      <c r="A81" s="33" t="inlineStr">
        <is>
          <t>Total / Avg</t>
        </is>
      </c>
      <c r="B81" s="159" t="inlineStr">
        <is>
          <t>Month Total</t>
        </is>
      </c>
      <c r="C81" s="33">
        <f>SUM(C76:C80)</f>
        <v/>
      </c>
      <c r="D81" s="33">
        <f>SUM(D76:D80)</f>
        <v/>
      </c>
      <c r="E81" s="133">
        <f>IFERROR(C81/D81, 0)</f>
        <v/>
      </c>
    </row>
    <row r="82" ht="10" customHeight="1"/>
    <row r="83" ht="10" customHeight="1"/>
    <row r="84">
      <c r="A84" s="51" t="inlineStr">
        <is>
          <t>SLEEP &amp; PRODUCTIVITY CORRELATION ANALYSIS</t>
        </is>
      </c>
      <c r="B84" s="52" t="n"/>
      <c r="C84" s="52" t="n"/>
      <c r="D84" s="52" t="n"/>
      <c r="E84" s="52" t="n"/>
      <c r="F84" s="52" t="n"/>
      <c r="G84" s="52" t="n"/>
      <c r="H84" s="52" t="n"/>
      <c r="I84" s="52" t="n"/>
      <c r="J84" s="52" t="n"/>
      <c r="K84" s="52" t="n"/>
      <c r="L84" s="52" t="n"/>
      <c r="M84" s="52" t="n"/>
      <c r="N84" s="52" t="n"/>
      <c r="O84" s="52" t="n"/>
      <c r="P84" s="52" t="n"/>
      <c r="Q84" s="52" t="n"/>
      <c r="R84" s="52" t="n"/>
      <c r="S84" s="52" t="n"/>
      <c r="T84" s="52" t="n"/>
      <c r="U84" s="52" t="n"/>
      <c r="V84" s="52" t="n"/>
      <c r="W84" s="52" t="n"/>
      <c r="X84" s="52" t="n"/>
      <c r="Y84" s="52" t="n"/>
      <c r="Z84" s="52" t="n"/>
      <c r="AA84" s="52" t="n"/>
      <c r="AB84" s="52" t="n"/>
      <c r="AC84" s="52" t="n"/>
      <c r="AD84" s="52" t="n"/>
      <c r="AE84" s="52" t="n"/>
      <c r="AF84" s="52" t="n"/>
      <c r="AG84" s="52" t="n"/>
      <c r="AH84" s="52" t="n"/>
      <c r="AI84" s="52" t="n"/>
      <c r="AJ84" s="52" t="n"/>
      <c r="AK84" s="52" t="n"/>
      <c r="AL84" s="52" t="n"/>
    </row>
    <row r="85" ht="15" customHeight="1">
      <c r="A85" s="53" t="inlineStr">
        <is>
          <t>Rest Category</t>
        </is>
      </c>
      <c r="B85" s="54" t="n"/>
      <c r="C85" s="54" t="n"/>
      <c r="D85" s="53" t="inlineStr">
        <is>
          <t>Day Criteria</t>
        </is>
      </c>
      <c r="E85" s="54" t="n"/>
      <c r="F85" s="54" t="n"/>
      <c r="G85" s="53" t="inlineStr">
        <is>
          <t>Days Logged</t>
        </is>
      </c>
      <c r="H85" s="54" t="n"/>
      <c r="I85" s="54" t="n"/>
      <c r="J85" s="53" t="inlineStr">
        <is>
          <t>Avg Sleep Duration</t>
        </is>
      </c>
      <c r="K85" s="54" t="n"/>
      <c r="L85" s="54" t="n"/>
      <c r="M85" s="54" t="n"/>
      <c r="N85" s="53" t="inlineStr">
        <is>
          <t>Avg Habit Success %</t>
        </is>
      </c>
      <c r="O85" s="54" t="n"/>
      <c r="P85" s="54" t="n"/>
      <c r="Q85" s="54" t="n"/>
      <c r="R85" s="53" t="inlineStr">
        <is>
          <t>Productivity Delta</t>
        </is>
      </c>
      <c r="S85" s="54" t="n"/>
      <c r="T85" s="54" t="n"/>
      <c r="U85" s="54" t="n"/>
    </row>
    <row r="86" ht="15" customHeight="1">
      <c r="A86" s="160" t="inlineStr">
        <is>
          <t>Optimal Rest</t>
        </is>
      </c>
      <c r="B86" s="161" t="n"/>
      <c r="C86" s="56" t="n"/>
      <c r="D86" s="34" t="inlineStr">
        <is>
          <t>&gt;= 7 Hours / Night</t>
        </is>
      </c>
      <c r="E86" s="161" t="n"/>
      <c r="F86" s="56" t="n"/>
      <c r="G86" s="33">
        <f>COUNTIF(E47:AI47, "&gt;=7")</f>
        <v/>
      </c>
      <c r="H86" s="161" t="n"/>
      <c r="I86" s="56" t="n"/>
      <c r="J86" s="34">
        <f>IFERROR(TEXT(AVERAGEIF(E47:AI47, "&gt;=7"), "0.0") &amp; " hrs", "-")</f>
        <v/>
      </c>
      <c r="K86" s="161" t="n"/>
      <c r="L86" s="161" t="n"/>
      <c r="M86" s="56" t="n"/>
      <c r="N86" s="42">
        <f>IFERROR(AVERAGEIFS(E39:AI39, E47:AI47, "&gt;=7", E39:AI39, "&gt;0"), 0)</f>
        <v/>
      </c>
      <c r="O86" s="161" t="n"/>
      <c r="P86" s="161" t="n"/>
      <c r="Q86" s="56" t="n"/>
      <c r="R86" s="159" t="inlineStr">
        <is>
          <t>Baseline (Target)</t>
        </is>
      </c>
      <c r="S86" s="161" t="n"/>
      <c r="T86" s="161" t="n"/>
      <c r="U86" s="56" t="n"/>
    </row>
    <row r="87" ht="15" customHeight="1">
      <c r="A87" s="162" t="inlineStr">
        <is>
          <t>Sleep Deficit</t>
        </is>
      </c>
      <c r="B87" s="161" t="n"/>
      <c r="C87" s="56" t="n"/>
      <c r="D87" s="34" t="inlineStr">
        <is>
          <t>&lt; 7 Hours / Night</t>
        </is>
      </c>
      <c r="E87" s="161" t="n"/>
      <c r="F87" s="56" t="n"/>
      <c r="G87" s="33">
        <f>COUNTIF(E47:AI47, "&lt;7") - COUNTIF(E47:AI47, "")</f>
        <v/>
      </c>
      <c r="H87" s="161" t="n"/>
      <c r="I87" s="56" t="n"/>
      <c r="J87" s="34">
        <f>IFERROR(TEXT(AVERAGEIFS(E47:AI47, E47:AI47, "&lt;7", E47:AI47, "&gt;0"), "0.0") &amp; " hrs", "-")</f>
        <v/>
      </c>
      <c r="K87" s="161" t="n"/>
      <c r="L87" s="161" t="n"/>
      <c r="M87" s="56" t="n"/>
      <c r="N87" s="163">
        <f>IFERROR(AVERAGEIFS(E39:AI39, E47:AI47, "&lt;7", E39:AI39, "&gt;0"), 0)</f>
        <v/>
      </c>
      <c r="O87" s="161" t="n"/>
      <c r="P87" s="161" t="n"/>
      <c r="Q87" s="56" t="n"/>
      <c r="R87" s="160">
        <f>IFERROR(TEXT(N86 - N87, "+0.0%;-0.0%;0.0%") &amp; " Rest Advantage", "-")</f>
        <v/>
      </c>
      <c r="S87" s="161" t="n"/>
      <c r="T87" s="161" t="n"/>
      <c r="U87" s="56" t="n"/>
    </row>
    <row r="88" ht="18" customHeight="1">
      <c r="A88" s="164">
        <f>IF(AND(ISNUMBER(N86), ISNUMBER(N87), N86&gt;0, N87&gt;0), "💡 Sleep Correlation Insight: You complete " &amp; TEXT(ABS(N86-N87), "0.0%") &amp; IF(N86&gt;=N87, " MORE habits on days with 7+ hours of sleep!", " fewer habits on days with 7+ hours of sleep."), "💡 Log both habits and sleep hours daily to unlock automatic AI correlation insights!")</f>
        <v/>
      </c>
      <c r="B88" s="161" t="n"/>
      <c r="C88" s="161" t="n"/>
      <c r="D88" s="161" t="n"/>
      <c r="E88" s="161" t="n"/>
      <c r="F88" s="161" t="n"/>
      <c r="G88" s="161" t="n"/>
      <c r="H88" s="161" t="n"/>
      <c r="I88" s="161" t="n"/>
      <c r="J88" s="161" t="n"/>
      <c r="K88" s="161" t="n"/>
      <c r="L88" s="161" t="n"/>
      <c r="M88" s="161" t="n"/>
      <c r="N88" s="161" t="n"/>
      <c r="O88" s="161" t="n"/>
      <c r="P88" s="161" t="n"/>
      <c r="Q88" s="161" t="n"/>
      <c r="R88" s="161" t="n"/>
      <c r="S88" s="161" t="n"/>
      <c r="T88" s="161" t="n"/>
      <c r="U88" s="161" t="n"/>
      <c r="V88" s="161" t="n"/>
      <c r="W88" s="161" t="n"/>
      <c r="X88" s="161" t="n"/>
      <c r="Y88" s="161" t="n"/>
      <c r="Z88" s="161" t="n"/>
      <c r="AA88" s="161" t="n"/>
      <c r="AB88" s="161" t="n"/>
      <c r="AC88" s="161" t="n"/>
      <c r="AD88" s="161" t="n"/>
      <c r="AE88" s="161" t="n"/>
      <c r="AF88" s="161" t="n"/>
      <c r="AG88" s="161" t="n"/>
      <c r="AH88" s="161" t="n"/>
      <c r="AI88" s="161" t="n"/>
      <c r="AJ88" s="161" t="n"/>
      <c r="AK88" s="161" t="n"/>
      <c r="AL88" s="56" t="n"/>
    </row>
    <row r="89" ht="10" customHeight="1"/>
    <row r="90">
      <c r="A90" s="43" t="inlineStr">
        <is>
          <t>STANDARDIZED DATA BRIDGE (FOR ANNUAL &amp; QUARTERLY REVIEW SHEETS)</t>
        </is>
      </c>
      <c r="B90" s="44" t="n"/>
      <c r="C90" s="44" t="n"/>
      <c r="D90" s="44" t="n"/>
      <c r="E90" s="44" t="n"/>
      <c r="F90" s="44" t="n"/>
      <c r="G90" s="44" t="n"/>
      <c r="H90" s="44" t="n"/>
      <c r="I90" s="44" t="n"/>
      <c r="J90" s="44" t="n"/>
      <c r="K90" s="44" t="n"/>
      <c r="L90" s="44" t="n"/>
      <c r="M90" s="44" t="n"/>
      <c r="N90" s="44" t="n"/>
      <c r="O90" s="44" t="n"/>
      <c r="P90" s="44" t="n"/>
      <c r="Q90" s="44" t="n"/>
      <c r="R90" s="44" t="n"/>
      <c r="S90" s="44" t="n"/>
      <c r="T90" s="44" t="n"/>
      <c r="U90" s="44" t="n"/>
      <c r="V90" s="44" t="n"/>
      <c r="W90" s="44" t="n"/>
      <c r="X90" s="44" t="n"/>
      <c r="Y90" s="44" t="n"/>
      <c r="Z90" s="44" t="n"/>
      <c r="AA90" s="44" t="n"/>
      <c r="AB90" s="44" t="n"/>
      <c r="AC90" s="44" t="n"/>
      <c r="AD90" s="44" t="n"/>
      <c r="AE90" s="44" t="n"/>
      <c r="AF90" s="44" t="n"/>
      <c r="AG90" s="44" t="n"/>
      <c r="AH90" s="44" t="n"/>
      <c r="AI90" s="44" t="n"/>
      <c r="AJ90" s="44" t="n"/>
      <c r="AK90" s="44" t="n"/>
      <c r="AL90" s="44" t="n"/>
    </row>
    <row r="91" ht="15" customHeight="1">
      <c r="A91" s="53" t="inlineStr">
        <is>
          <t>Month</t>
        </is>
      </c>
      <c r="B91" s="54" t="n"/>
      <c r="C91" s="53" t="inlineStr">
        <is>
          <t>Year</t>
        </is>
      </c>
      <c r="D91" s="54" t="n"/>
      <c r="E91" s="53" t="inlineStr">
        <is>
          <t>Active Habits</t>
        </is>
      </c>
      <c r="F91" s="54" t="n"/>
      <c r="G91" s="53" t="inlineStr">
        <is>
          <t>Target Days</t>
        </is>
      </c>
      <c r="H91" s="54" t="n"/>
      <c r="I91" s="53" t="inlineStr">
        <is>
          <t>Done Checks</t>
        </is>
      </c>
      <c r="J91" s="54" t="n"/>
      <c r="K91" s="53" t="inlineStr">
        <is>
          <t>Success %</t>
        </is>
      </c>
      <c r="L91" s="54" t="n"/>
      <c r="M91" s="53" t="inlineStr">
        <is>
          <t>Perfect Days</t>
        </is>
      </c>
      <c r="N91" s="54" t="n"/>
      <c r="O91" s="53" t="inlineStr">
        <is>
          <t>Avg Sleep</t>
        </is>
      </c>
      <c r="P91" s="54" t="n"/>
      <c r="Q91" s="53" t="inlineStr">
        <is>
          <t>Best Week</t>
        </is>
      </c>
      <c r="R91" s="54" t="n"/>
      <c r="S91" s="54" t="n"/>
      <c r="T91" s="53" t="inlineStr">
        <is>
          <t>Top Life Domain</t>
        </is>
      </c>
      <c r="U91" s="54" t="n"/>
      <c r="V91" s="54" t="n"/>
      <c r="W91" s="54" t="n"/>
    </row>
    <row r="92" ht="16" customHeight="1">
      <c r="A92" s="165" t="inlineStr">
        <is>
          <t>May</t>
        </is>
      </c>
      <c r="B92" s="56" t="n"/>
      <c r="C92" s="165" t="n">
        <v>2028</v>
      </c>
      <c r="D92" s="56" t="n"/>
      <c r="E92" s="166">
        <f>COUNTA(B18:B37)</f>
        <v/>
      </c>
      <c r="F92" s="56" t="n"/>
      <c r="G92" s="166">
        <f>SUM(D18:D37)</f>
        <v/>
      </c>
      <c r="H92" s="56" t="n"/>
      <c r="I92" s="166">
        <f>SUM(AM18:AM37)</f>
        <v/>
      </c>
      <c r="J92" s="56" t="n"/>
      <c r="K92" s="167">
        <f>IF(G92&gt;0, I92/G92, 0)</f>
        <v/>
      </c>
      <c r="L92" s="56" t="n"/>
      <c r="M92" s="166">
        <f>COUNTIF(E39:AI39, 1)</f>
        <v/>
      </c>
      <c r="N92" s="56" t="n"/>
      <c r="O92" s="168">
        <f>IFERROR(AVERAGE(E47:AI47), 0)</f>
        <v/>
      </c>
      <c r="P92" s="56" t="n"/>
      <c r="Q92" s="166">
        <f>INDEX(A76:A80, MATCH(MAX(E76:E80), E76:E80, 0))</f>
        <v/>
      </c>
      <c r="R92" s="161" t="n"/>
      <c r="S92" s="56" t="n"/>
      <c r="T92" s="166">
        <f>INDEX(N76:N80, MATCH(MAX(S76:S80), S76:S80, 0))</f>
        <v/>
      </c>
      <c r="U92" s="161" t="n"/>
      <c r="V92" s="161" t="n"/>
      <c r="W92" s="56" t="n"/>
    </row>
    <row r="93" ht="14" customHeight="1">
      <c r="A93" s="169" t="inlineStr">
        <is>
          <t>📋 Note: Reference or copy Row 92 directly into an Annual / Quarterly review dashboard to track yearly habit trends.</t>
        </is>
      </c>
    </row>
    <row r="94" ht="8" customHeight="1"/>
    <row r="95">
      <c r="A95" s="170" t="inlineStr">
        <is>
          <t>🏆 MONTHLY WINS &amp; HIGHLIGHTS</t>
        </is>
      </c>
      <c r="J95" s="171" t="inlineStr">
        <is>
          <t>⚠️ FRICTION POINTS &amp; ROOT CAUSES</t>
        </is>
      </c>
      <c r="S95" s="172" t="inlineStr">
        <is>
          <t>🎯 3 KEY ADJUSTMENTS FOR NEXT MONTH</t>
        </is>
      </c>
    </row>
    <row r="96">
      <c r="A96" s="173" t="inlineStr">
        <is>
          <t>1. What went exceptionally well this month?
2. Which habit felt effortless and consistent?
3. Major milestone achieved:</t>
        </is>
      </c>
      <c r="B96" s="174" t="n"/>
      <c r="C96" s="174" t="n"/>
      <c r="D96" s="174" t="n"/>
      <c r="E96" s="174" t="n"/>
      <c r="F96" s="174" t="n"/>
      <c r="G96" s="174" t="n"/>
      <c r="H96" s="174" t="n"/>
      <c r="J96" s="175" t="inlineStr">
        <is>
          <t>1. What caused missed or skipped days?
2. Main triggers / energy drains encountered:
3. Which habit had the lowest consistency and why?</t>
        </is>
      </c>
      <c r="K96" s="176" t="n"/>
      <c r="L96" s="176" t="n"/>
      <c r="M96" s="176" t="n"/>
      <c r="N96" s="176" t="n"/>
      <c r="O96" s="176" t="n"/>
      <c r="P96" s="176" t="n"/>
      <c r="Q96" s="176" t="n"/>
      <c r="S96" s="177" t="inlineStr">
        <is>
          <t>1. Habit Stacking or time adjustment for next month:
2. Environment design change to eliminate friction:
3. One non-negotiable priority protocol:</t>
        </is>
      </c>
      <c r="T96" s="178" t="n"/>
      <c r="U96" s="178" t="n"/>
      <c r="V96" s="178" t="n"/>
      <c r="W96" s="178" t="n"/>
      <c r="X96" s="178" t="n"/>
      <c r="Y96" s="178" t="n"/>
      <c r="Z96" s="178" t="n"/>
    </row>
    <row r="97">
      <c r="A97" s="174" t="n"/>
      <c r="B97" s="174" t="n"/>
      <c r="C97" s="174" t="n"/>
      <c r="D97" s="174" t="n"/>
      <c r="E97" s="174" t="n"/>
      <c r="F97" s="174" t="n"/>
      <c r="G97" s="174" t="n"/>
      <c r="H97" s="174" t="n"/>
      <c r="J97" s="176" t="n"/>
      <c r="K97" s="176" t="n"/>
      <c r="L97" s="176" t="n"/>
      <c r="M97" s="176" t="n"/>
      <c r="N97" s="176" t="n"/>
      <c r="O97" s="176" t="n"/>
      <c r="P97" s="176" t="n"/>
      <c r="Q97" s="176" t="n"/>
      <c r="S97" s="178" t="n"/>
      <c r="T97" s="178" t="n"/>
      <c r="U97" s="178" t="n"/>
      <c r="V97" s="178" t="n"/>
      <c r="W97" s="178" t="n"/>
      <c r="X97" s="178" t="n"/>
      <c r="Y97" s="178" t="n"/>
      <c r="Z97" s="178" t="n"/>
    </row>
    <row r="98">
      <c r="A98" s="174" t="n"/>
      <c r="B98" s="174" t="n"/>
      <c r="C98" s="174" t="n"/>
      <c r="D98" s="174" t="n"/>
      <c r="E98" s="174" t="n"/>
      <c r="F98" s="174" t="n"/>
      <c r="G98" s="174" t="n"/>
      <c r="H98" s="174" t="n"/>
      <c r="J98" s="176" t="n"/>
      <c r="K98" s="176" t="n"/>
      <c r="L98" s="176" t="n"/>
      <c r="M98" s="176" t="n"/>
      <c r="N98" s="176" t="n"/>
      <c r="O98" s="176" t="n"/>
      <c r="P98" s="176" t="n"/>
      <c r="Q98" s="176" t="n"/>
      <c r="S98" s="178" t="n"/>
      <c r="T98" s="178" t="n"/>
      <c r="U98" s="178" t="n"/>
      <c r="V98" s="178" t="n"/>
      <c r="W98" s="178" t="n"/>
      <c r="X98" s="178" t="n"/>
      <c r="Y98" s="178" t="n"/>
      <c r="Z98" s="178" t="n"/>
    </row>
    <row r="99">
      <c r="A99" s="174" t="n"/>
      <c r="B99" s="174" t="n"/>
      <c r="C99" s="174" t="n"/>
      <c r="D99" s="174" t="n"/>
      <c r="E99" s="174" t="n"/>
      <c r="F99" s="174" t="n"/>
      <c r="G99" s="174" t="n"/>
      <c r="H99" s="174" t="n"/>
      <c r="J99" s="176" t="n"/>
      <c r="K99" s="176" t="n"/>
      <c r="L99" s="176" t="n"/>
      <c r="M99" s="176" t="n"/>
      <c r="N99" s="176" t="n"/>
      <c r="O99" s="176" t="n"/>
      <c r="P99" s="176" t="n"/>
      <c r="Q99" s="176" t="n"/>
      <c r="S99" s="178" t="n"/>
      <c r="T99" s="178" t="n"/>
      <c r="U99" s="178" t="n"/>
      <c r="V99" s="178" t="n"/>
      <c r="W99" s="178" t="n"/>
      <c r="X99" s="178" t="n"/>
      <c r="Y99" s="178" t="n"/>
      <c r="Z99" s="178" t="n"/>
    </row>
    <row r="100">
      <c r="A100" s="174" t="n"/>
      <c r="B100" s="174" t="n"/>
      <c r="C100" s="174" t="n"/>
      <c r="D100" s="174" t="n"/>
      <c r="E100" s="174" t="n"/>
      <c r="F100" s="174" t="n"/>
      <c r="G100" s="174" t="n"/>
      <c r="H100" s="174" t="n"/>
      <c r="J100" s="176" t="n"/>
      <c r="K100" s="176" t="n"/>
      <c r="L100" s="176" t="n"/>
      <c r="M100" s="176" t="n"/>
      <c r="N100" s="176" t="n"/>
      <c r="O100" s="176" t="n"/>
      <c r="P100" s="176" t="n"/>
      <c r="Q100" s="176" t="n"/>
      <c r="S100" s="178" t="n"/>
      <c r="T100" s="178" t="n"/>
      <c r="U100" s="178" t="n"/>
      <c r="V100" s="178" t="n"/>
      <c r="W100" s="178" t="n"/>
      <c r="X100" s="178" t="n"/>
      <c r="Y100" s="178" t="n"/>
      <c r="Z100" s="178" t="n"/>
    </row>
    <row r="101">
      <c r="A101" s="174" t="n"/>
      <c r="B101" s="174" t="n"/>
      <c r="C101" s="174" t="n"/>
      <c r="D101" s="174" t="n"/>
      <c r="E101" s="174" t="n"/>
      <c r="F101" s="174" t="n"/>
      <c r="G101" s="174" t="n"/>
      <c r="H101" s="174" t="n"/>
      <c r="J101" s="176" t="n"/>
      <c r="K101" s="176" t="n"/>
      <c r="L101" s="176" t="n"/>
      <c r="M101" s="176" t="n"/>
      <c r="N101" s="176" t="n"/>
      <c r="O101" s="176" t="n"/>
      <c r="P101" s="176" t="n"/>
      <c r="Q101" s="176" t="n"/>
      <c r="S101" s="178" t="n"/>
      <c r="T101" s="178" t="n"/>
      <c r="U101" s="178" t="n"/>
      <c r="V101" s="178" t="n"/>
      <c r="W101" s="178" t="n"/>
      <c r="X101" s="178" t="n"/>
      <c r="Y101" s="178" t="n"/>
      <c r="Z101" s="178" t="n"/>
    </row>
    <row r="102">
      <c r="A102" s="174" t="n"/>
      <c r="B102" s="174" t="n"/>
      <c r="C102" s="174" t="n"/>
      <c r="D102" s="174" t="n"/>
      <c r="E102" s="174" t="n"/>
      <c r="F102" s="174" t="n"/>
      <c r="G102" s="174" t="n"/>
      <c r="H102" s="174" t="n"/>
      <c r="J102" s="176" t="n"/>
      <c r="K102" s="176" t="n"/>
      <c r="L102" s="176" t="n"/>
      <c r="M102" s="176" t="n"/>
      <c r="N102" s="176" t="n"/>
      <c r="O102" s="176" t="n"/>
      <c r="P102" s="176" t="n"/>
      <c r="Q102" s="176" t="n"/>
      <c r="S102" s="178" t="n"/>
      <c r="T102" s="178" t="n"/>
      <c r="U102" s="178" t="n"/>
      <c r="V102" s="178" t="n"/>
      <c r="W102" s="178" t="n"/>
      <c r="X102" s="178" t="n"/>
      <c r="Y102" s="178" t="n"/>
      <c r="Z102" s="178" t="n"/>
    </row>
    <row r="103">
      <c r="A103" s="174" t="n"/>
      <c r="B103" s="174" t="n"/>
      <c r="C103" s="174" t="n"/>
      <c r="D103" s="174" t="n"/>
      <c r="E103" s="174" t="n"/>
      <c r="F103" s="174" t="n"/>
      <c r="G103" s="174" t="n"/>
      <c r="H103" s="174" t="n"/>
      <c r="J103" s="176" t="n"/>
      <c r="K103" s="176" t="n"/>
      <c r="L103" s="176" t="n"/>
      <c r="M103" s="176" t="n"/>
      <c r="N103" s="176" t="n"/>
      <c r="O103" s="176" t="n"/>
      <c r="P103" s="176" t="n"/>
      <c r="Q103" s="176" t="n"/>
      <c r="S103" s="178" t="n"/>
      <c r="T103" s="178" t="n"/>
      <c r="U103" s="178" t="n"/>
      <c r="V103" s="178" t="n"/>
      <c r="W103" s="178" t="n"/>
      <c r="X103" s="178" t="n"/>
      <c r="Y103" s="178" t="n"/>
      <c r="Z103" s="178" t="n"/>
    </row>
  </sheetData>
  <sheetProtection selectLockedCells="1" selectUnlockedCells="1" sheet="1" objects="0" insertRows="1" insertHyperlinks="1" autoFilter="1" scenarios="0" formatColumns="1" deleteColumns="1" insertColumns="1" pivotTables="1" deleteRows="1" formatCells="1" formatRows="1" sort="1"/>
  <mergeCells count="94">
    <mergeCell ref="A9:N9"/>
    <mergeCell ref="N76:O76"/>
    <mergeCell ref="F67:I67"/>
    <mergeCell ref="G87:I87"/>
    <mergeCell ref="A16:A17"/>
    <mergeCell ref="A45:D46"/>
    <mergeCell ref="C16:C17"/>
    <mergeCell ref="N75:O75"/>
    <mergeCell ref="N77:O77"/>
    <mergeCell ref="AE2:AL2"/>
    <mergeCell ref="P9:AL9"/>
    <mergeCell ref="P68:S70"/>
    <mergeCell ref="D16:D17"/>
    <mergeCell ref="N85:Q85"/>
    <mergeCell ref="A95:H95"/>
    <mergeCell ref="A84:AL84"/>
    <mergeCell ref="Q91:S91"/>
    <mergeCell ref="E91:F91"/>
    <mergeCell ref="A8:N8"/>
    <mergeCell ref="A42:AL42"/>
    <mergeCell ref="G91:H91"/>
    <mergeCell ref="J86:M86"/>
    <mergeCell ref="H3:AD3"/>
    <mergeCell ref="K67:N67"/>
    <mergeCell ref="S95:Z95"/>
    <mergeCell ref="N79:O79"/>
    <mergeCell ref="K92:L92"/>
    <mergeCell ref="C92:D92"/>
    <mergeCell ref="M92:N92"/>
    <mergeCell ref="F71:I71"/>
    <mergeCell ref="A88:AL88"/>
    <mergeCell ref="K68:N70"/>
    <mergeCell ref="T91:W91"/>
    <mergeCell ref="A41:AL41"/>
    <mergeCell ref="A90:AL90"/>
    <mergeCell ref="J95:Q95"/>
    <mergeCell ref="D85:F85"/>
    <mergeCell ref="N74:S74"/>
    <mergeCell ref="H2:AD2"/>
    <mergeCell ref="F68:I70"/>
    <mergeCell ref="A91:B91"/>
    <mergeCell ref="N78:O78"/>
    <mergeCell ref="C91:D91"/>
    <mergeCell ref="M91:N91"/>
    <mergeCell ref="O91:P91"/>
    <mergeCell ref="R86:U86"/>
    <mergeCell ref="N80:O80"/>
    <mergeCell ref="B16:B17"/>
    <mergeCell ref="A71:D71"/>
    <mergeCell ref="J85:M85"/>
    <mergeCell ref="D86:F86"/>
    <mergeCell ref="A92:B92"/>
    <mergeCell ref="N87:Q87"/>
    <mergeCell ref="A1:B1"/>
    <mergeCell ref="E92:F92"/>
    <mergeCell ref="AL16:AL17"/>
    <mergeCell ref="A68:D70"/>
    <mergeCell ref="P71:S71"/>
    <mergeCell ref="A86:C86"/>
    <mergeCell ref="D87:F87"/>
    <mergeCell ref="O92:P92"/>
    <mergeCell ref="A6:N6"/>
    <mergeCell ref="A39:D39"/>
    <mergeCell ref="P8:AL8"/>
    <mergeCell ref="P7:AL7"/>
    <mergeCell ref="G86:I86"/>
    <mergeCell ref="A96:H103"/>
    <mergeCell ref="P67:S67"/>
    <mergeCell ref="T92:W92"/>
    <mergeCell ref="R85:U85"/>
    <mergeCell ref="K71:N71"/>
    <mergeCell ref="S96:Z103"/>
    <mergeCell ref="A93:AL93"/>
    <mergeCell ref="A38:D38"/>
    <mergeCell ref="A67:D67"/>
    <mergeCell ref="I91:J91"/>
    <mergeCell ref="A85:C85"/>
    <mergeCell ref="K91:L91"/>
    <mergeCell ref="N86:Q86"/>
    <mergeCell ref="A7:N7"/>
    <mergeCell ref="P6:AL6"/>
    <mergeCell ref="A74:E74"/>
    <mergeCell ref="G85:I85"/>
    <mergeCell ref="G92:H92"/>
    <mergeCell ref="I92:J92"/>
    <mergeCell ref="R87:U87"/>
    <mergeCell ref="AK16:AK17"/>
    <mergeCell ref="J87:M87"/>
    <mergeCell ref="AJ16:AJ17"/>
    <mergeCell ref="J96:Q103"/>
    <mergeCell ref="A12:AL14"/>
    <mergeCell ref="Q92:S92"/>
    <mergeCell ref="A87:C87"/>
    <mergeCell ref="A47:D47"/>
  </mergeCells>
  <conditionalFormatting sqref="AJ18:AJ37">
    <cfRule type="dataBar" priority="1">
      <dataBar>
        <cfvo type="num" val="0"/>
        <cfvo type="num" val="1"/>
        <color rgb="0010B981"/>
      </dataBar>
    </cfRule>
  </conditionalFormatting>
  <conditionalFormatting sqref="E18:AI37">
    <cfRule type="cellIs" priority="2" operator="equal" dxfId="0">
      <formula>"✓"</formula>
    </cfRule>
    <cfRule type="cellIs" priority="3" operator="equal" dxfId="0">
      <formula>"✔"</formula>
    </cfRule>
    <cfRule type="cellIs" priority="4" operator="equal" dxfId="1">
      <formula>"✗"</formula>
    </cfRule>
    <cfRule type="cellIs" priority="5" operator="equal" dxfId="1">
      <formula>"x"</formula>
    </cfRule>
    <cfRule type="cellIs" priority="6" operator="equal" dxfId="1">
      <formula>"X"</formula>
    </cfRule>
  </conditionalFormatting>
  <conditionalFormatting sqref="E16:E17">
    <cfRule type="expression" priority="7" dxfId="2">
      <formula>AND(DAY(TODAY())=1, MONTH(TODAY())=5, YEAR(TODAY())=2028)</formula>
    </cfRule>
  </conditionalFormatting>
  <conditionalFormatting sqref="F16:F17">
    <cfRule type="expression" priority="8" dxfId="2">
      <formula>AND(DAY(TODAY())=2, MONTH(TODAY())=5, YEAR(TODAY())=2028)</formula>
    </cfRule>
  </conditionalFormatting>
  <conditionalFormatting sqref="G16:G17">
    <cfRule type="expression" priority="9" dxfId="2">
      <formula>AND(DAY(TODAY())=3, MONTH(TODAY())=5, YEAR(TODAY())=2028)</formula>
    </cfRule>
  </conditionalFormatting>
  <conditionalFormatting sqref="H16:H17">
    <cfRule type="expression" priority="10" dxfId="2">
      <formula>AND(DAY(TODAY())=4, MONTH(TODAY())=5, YEAR(TODAY())=2028)</formula>
    </cfRule>
  </conditionalFormatting>
  <conditionalFormatting sqref="I16:I17">
    <cfRule type="expression" priority="11" dxfId="2">
      <formula>AND(DAY(TODAY())=5, MONTH(TODAY())=5, YEAR(TODAY())=2028)</formula>
    </cfRule>
  </conditionalFormatting>
  <conditionalFormatting sqref="J16:J17">
    <cfRule type="expression" priority="12" dxfId="2">
      <formula>AND(DAY(TODAY())=6, MONTH(TODAY())=5, YEAR(TODAY())=2028)</formula>
    </cfRule>
  </conditionalFormatting>
  <conditionalFormatting sqref="K16:K17">
    <cfRule type="expression" priority="13" dxfId="2">
      <formula>AND(DAY(TODAY())=7, MONTH(TODAY())=5, YEAR(TODAY())=2028)</formula>
    </cfRule>
  </conditionalFormatting>
  <conditionalFormatting sqref="L16:L17">
    <cfRule type="expression" priority="14" dxfId="2">
      <formula>AND(DAY(TODAY())=8, MONTH(TODAY())=5, YEAR(TODAY())=2028)</formula>
    </cfRule>
  </conditionalFormatting>
  <conditionalFormatting sqref="M16:M17">
    <cfRule type="expression" priority="15" dxfId="2">
      <formula>AND(DAY(TODAY())=9, MONTH(TODAY())=5, YEAR(TODAY())=2028)</formula>
    </cfRule>
  </conditionalFormatting>
  <conditionalFormatting sqref="N16:N17">
    <cfRule type="expression" priority="16" dxfId="2">
      <formula>AND(DAY(TODAY())=10, MONTH(TODAY())=5, YEAR(TODAY())=2028)</formula>
    </cfRule>
  </conditionalFormatting>
  <conditionalFormatting sqref="O16:O17">
    <cfRule type="expression" priority="17" dxfId="2">
      <formula>AND(DAY(TODAY())=11, MONTH(TODAY())=5, YEAR(TODAY())=2028)</formula>
    </cfRule>
  </conditionalFormatting>
  <conditionalFormatting sqref="P16:P17">
    <cfRule type="expression" priority="18" dxfId="2">
      <formula>AND(DAY(TODAY())=12, MONTH(TODAY())=5, YEAR(TODAY())=2028)</formula>
    </cfRule>
  </conditionalFormatting>
  <conditionalFormatting sqref="Q16:Q17">
    <cfRule type="expression" priority="19" dxfId="2">
      <formula>AND(DAY(TODAY())=13, MONTH(TODAY())=5, YEAR(TODAY())=2028)</formula>
    </cfRule>
  </conditionalFormatting>
  <conditionalFormatting sqref="R16:R17">
    <cfRule type="expression" priority="20" dxfId="2">
      <formula>AND(DAY(TODAY())=14, MONTH(TODAY())=5, YEAR(TODAY())=2028)</formula>
    </cfRule>
  </conditionalFormatting>
  <conditionalFormatting sqref="S16:S17">
    <cfRule type="expression" priority="21" dxfId="2">
      <formula>AND(DAY(TODAY())=15, MONTH(TODAY())=5, YEAR(TODAY())=2028)</formula>
    </cfRule>
  </conditionalFormatting>
  <conditionalFormatting sqref="T16:T17">
    <cfRule type="expression" priority="22" dxfId="2">
      <formula>AND(DAY(TODAY())=16, MONTH(TODAY())=5, YEAR(TODAY())=2028)</formula>
    </cfRule>
  </conditionalFormatting>
  <conditionalFormatting sqref="U16:U17">
    <cfRule type="expression" priority="23" dxfId="2">
      <formula>AND(DAY(TODAY())=17, MONTH(TODAY())=5, YEAR(TODAY())=2028)</formula>
    </cfRule>
  </conditionalFormatting>
  <conditionalFormatting sqref="V16:V17">
    <cfRule type="expression" priority="24" dxfId="2">
      <formula>AND(DAY(TODAY())=18, MONTH(TODAY())=5, YEAR(TODAY())=2028)</formula>
    </cfRule>
  </conditionalFormatting>
  <conditionalFormatting sqref="W16:W17">
    <cfRule type="expression" priority="25" dxfId="2">
      <formula>AND(DAY(TODAY())=19, MONTH(TODAY())=5, YEAR(TODAY())=2028)</formula>
    </cfRule>
  </conditionalFormatting>
  <conditionalFormatting sqref="X16:X17">
    <cfRule type="expression" priority="26" dxfId="2">
      <formula>AND(DAY(TODAY())=20, MONTH(TODAY())=5, YEAR(TODAY())=2028)</formula>
    </cfRule>
  </conditionalFormatting>
  <conditionalFormatting sqref="Y16:Y17">
    <cfRule type="expression" priority="27" dxfId="2">
      <formula>AND(DAY(TODAY())=21, MONTH(TODAY())=5, YEAR(TODAY())=2028)</formula>
    </cfRule>
  </conditionalFormatting>
  <conditionalFormatting sqref="Z16:Z17">
    <cfRule type="expression" priority="28" dxfId="2">
      <formula>AND(DAY(TODAY())=22, MONTH(TODAY())=5, YEAR(TODAY())=2028)</formula>
    </cfRule>
  </conditionalFormatting>
  <conditionalFormatting sqref="AA16:AA17">
    <cfRule type="expression" priority="29" dxfId="2">
      <formula>AND(DAY(TODAY())=23, MONTH(TODAY())=5, YEAR(TODAY())=2028)</formula>
    </cfRule>
  </conditionalFormatting>
  <conditionalFormatting sqref="AB16:AB17">
    <cfRule type="expression" priority="30" dxfId="2">
      <formula>AND(DAY(TODAY())=24, MONTH(TODAY())=5, YEAR(TODAY())=2028)</formula>
    </cfRule>
  </conditionalFormatting>
  <conditionalFormatting sqref="AC16:AC17">
    <cfRule type="expression" priority="31" dxfId="2">
      <formula>AND(DAY(TODAY())=25, MONTH(TODAY())=5, YEAR(TODAY())=2028)</formula>
    </cfRule>
  </conditionalFormatting>
  <conditionalFormatting sqref="AD16:AD17">
    <cfRule type="expression" priority="32" dxfId="2">
      <formula>AND(DAY(TODAY())=26, MONTH(TODAY())=5, YEAR(TODAY())=2028)</formula>
    </cfRule>
  </conditionalFormatting>
  <conditionalFormatting sqref="AE16:AE17">
    <cfRule type="expression" priority="33" dxfId="2">
      <formula>AND(DAY(TODAY())=27, MONTH(TODAY())=5, YEAR(TODAY())=2028)</formula>
    </cfRule>
  </conditionalFormatting>
  <conditionalFormatting sqref="AF16:AF17">
    <cfRule type="expression" priority="34" dxfId="2">
      <formula>AND(DAY(TODAY())=28, MONTH(TODAY())=5, YEAR(TODAY())=2028)</formula>
    </cfRule>
  </conditionalFormatting>
  <conditionalFormatting sqref="AG16:AG17">
    <cfRule type="expression" priority="35" dxfId="2">
      <formula>AND(DAY(TODAY())=29, MONTH(TODAY())=5, YEAR(TODAY())=2028)</formula>
    </cfRule>
  </conditionalFormatting>
  <conditionalFormatting sqref="AH16:AH17">
    <cfRule type="expression" priority="36" dxfId="2">
      <formula>AND(DAY(TODAY())=30, MONTH(TODAY())=5, YEAR(TODAY())=2028)</formula>
    </cfRule>
  </conditionalFormatting>
  <conditionalFormatting sqref="AI16:AI17">
    <cfRule type="expression" priority="37" dxfId="2">
      <formula>AND(DAY(TODAY())=31, MONTH(TODAY())=5, YEAR(TODAY())=2028)</formula>
    </cfRule>
  </conditionalFormatting>
  <dataValidations count="4">
    <dataValidation sqref="C18:C37" showDropDown="0" showInputMessage="0" showErrorMessage="0" allowBlank="1" type="list">
      <formula1>"Health &amp; Fitness,Mindset &amp; Learning,Career &amp; Focus,Personal &amp; Home,Finance &amp; Wealth,Other"</formula1>
    </dataValidation>
    <dataValidation sqref="D18:D37" showDropDown="0" showInputMessage="0" showErrorMessage="0" allowBlank="1" type="list">
      <formula1>"1,2,3,4,5,6,7,8,9,10,11,12,13,14,15,16,17,18,19,20,21,22,23,24,25,26,27,28,29,30,31"</formula1>
    </dataValidation>
    <dataValidation sqref="E18:AI37" showDropDown="0" showInputMessage="0" showErrorMessage="0" allowBlank="1" type="list">
      <formula1>"✓,✗"</formula1>
    </dataValidation>
    <dataValidation sqref="E47:AI47" showDropDown="0" showInputMessage="0" showErrorMessage="0" allowBlank="1" type="list">
      <formula1>"1,2,3,4,5,6,7,8,9,10,11,12,13,14,15,16,17,18,19,20,21,22,23,24"</formula1>
    </dataValidation>
  </dataValidations>
  <hyperlinks>
    <hyperlink xmlns:r="http://schemas.openxmlformats.org/officeDocument/2006/relationships" ref="A1" r:id="rId1"/>
    <hyperlink xmlns:r="http://schemas.openxmlformats.org/officeDocument/2006/relationships" ref="C1" r:id="rId2"/>
    <hyperlink xmlns:r="http://schemas.openxmlformats.org/officeDocument/2006/relationships" ref="D1" r:id="rId3"/>
    <hyperlink xmlns:r="http://schemas.openxmlformats.org/officeDocument/2006/relationships" ref="E1" r:id="rId4"/>
    <hyperlink xmlns:r="http://schemas.openxmlformats.org/officeDocument/2006/relationships" ref="F1" r:id="rId5"/>
    <hyperlink xmlns:r="http://schemas.openxmlformats.org/officeDocument/2006/relationships" ref="G1" r:id="rId6"/>
    <hyperlink xmlns:r="http://schemas.openxmlformats.org/officeDocument/2006/relationships" ref="H1" r:id="rId7"/>
    <hyperlink xmlns:r="http://schemas.openxmlformats.org/officeDocument/2006/relationships" ref="I1" r:id="rId8"/>
    <hyperlink xmlns:r="http://schemas.openxmlformats.org/officeDocument/2006/relationships" ref="J1" r:id="rId9"/>
    <hyperlink xmlns:r="http://schemas.openxmlformats.org/officeDocument/2006/relationships" ref="K1" r:id="rId10"/>
  </hyperlinks>
  <printOptions horizontalCentered="1" verticalCentered="0"/>
  <pageMargins left="0.75" right="0.75" top="1" bottom="1" header="0.5" footer="0.5"/>
  <pageSetup orientation="landscape" paperSize="9" fitToHeight="0" fitToWidth="1"/>
  <drawing xmlns:r="http://schemas.openxmlformats.org/officeDocument/2006/relationships" r:id="rId11"/>
</worksheet>
</file>

<file path=xl/worksheets/sheet25.xml><?xml version="1.0" encoding="utf-8"?>
<worksheet xmlns="http://schemas.openxmlformats.org/spreadsheetml/2006/main">
  <sheetPr>
    <outlinePr summaryBelow="1" summaryRight="1"/>
    <pageSetUpPr fitToPage="1"/>
  </sheetPr>
  <dimension ref="A1:AL103"/>
  <sheetViews>
    <sheetView showGridLines="1" workbookViewId="0">
      <selection activeCell="A1" sqref="A1"/>
    </sheetView>
  </sheetViews>
  <sheetFormatPr baseColWidth="8" defaultRowHeight="15"/>
  <cols>
    <col width="6" customWidth="1" min="1" max="1"/>
    <col width="25" customWidth="1" min="2" max="2"/>
    <col width="16.5" customWidth="1" min="3" max="3"/>
    <col width="8" customWidth="1" min="4" max="4"/>
    <col width="4.8" customWidth="1" min="5" max="5"/>
    <col width="4.8" customWidth="1" min="6" max="6"/>
    <col width="4.8" customWidth="1" min="7" max="7"/>
    <col width="4.8" customWidth="1" min="8" max="8"/>
    <col width="4.8" customWidth="1" min="9" max="9"/>
    <col width="4.8" customWidth="1" min="10" max="10"/>
    <col width="4.8" customWidth="1" min="11" max="11"/>
    <col width="4.8" customWidth="1" min="12" max="12"/>
    <col width="4.8" customWidth="1" min="13" max="13"/>
    <col width="4.8" customWidth="1" min="14" max="14"/>
    <col width="4.8" customWidth="1" min="15" max="15"/>
    <col width="4.8" customWidth="1" min="16" max="16"/>
    <col width="4.8" customWidth="1" min="17" max="17"/>
    <col width="4.8" customWidth="1" min="18" max="18"/>
    <col width="4.8" customWidth="1" min="19" max="19"/>
    <col width="4.8" customWidth="1" min="20" max="20"/>
    <col width="4.8" customWidth="1" min="21" max="21"/>
    <col width="4.8" customWidth="1" min="22" max="22"/>
    <col width="4.8" customWidth="1" min="23" max="23"/>
    <col width="4.8" customWidth="1" min="24" max="24"/>
    <col width="4.8" customWidth="1" min="25" max="25"/>
    <col width="4.8" customWidth="1" min="26" max="26"/>
    <col width="4.8" customWidth="1" min="27" max="27"/>
    <col width="4.8" customWidth="1" min="28" max="28"/>
    <col width="4.8" customWidth="1" min="29" max="29"/>
    <col width="4.8" customWidth="1" min="30" max="30"/>
    <col width="4.8" customWidth="1" min="31" max="31"/>
    <col width="4.8" customWidth="1" min="32" max="32"/>
    <col width="4.8" customWidth="1" min="33" max="33"/>
    <col width="4.8" customWidth="1" min="34" max="34"/>
    <col width="11.5" customWidth="1" min="35" max="35"/>
    <col width="12" customWidth="1" min="36" max="36"/>
    <col width="13.5" customWidth="1" min="37" max="37"/>
    <col hidden="1" width="8" customWidth="1" min="38" max="38"/>
  </cols>
  <sheetData>
    <row r="1" ht="18" customHeight="1">
      <c r="A1" s="76" t="inlineStr">
        <is>
          <t>🏠 Master Dashboard</t>
        </is>
      </c>
      <c r="B1" s="40" t="n"/>
      <c r="C1" s="77" t="inlineStr">
        <is>
          <t>🏛️ Quarterly Hub</t>
        </is>
      </c>
      <c r="D1" s="78" t="inlineStr">
        <is>
          <t>📚 Habit Library</t>
        </is>
      </c>
      <c r="E1" s="80" t="inlineStr">
        <is>
          <t>2026</t>
        </is>
      </c>
      <c r="F1" s="80" t="inlineStr">
        <is>
          <t>2027</t>
        </is>
      </c>
      <c r="G1" s="79" t="inlineStr">
        <is>
          <t>2028</t>
        </is>
      </c>
      <c r="H1" s="80" t="inlineStr">
        <is>
          <t>2029</t>
        </is>
      </c>
      <c r="I1" s="80" t="inlineStr">
        <is>
          <t>2030</t>
        </is>
      </c>
      <c r="J1" s="82" t="inlineStr">
        <is>
          <t>◀ Prev</t>
        </is>
      </c>
      <c r="K1" s="82" t="inlineStr">
        <is>
          <t>Next ▶</t>
        </is>
      </c>
    </row>
    <row r="2" ht="24" customHeight="1">
      <c r="A2" s="83" t="inlineStr">
        <is>
          <t>Habit Tracker</t>
        </is>
      </c>
      <c r="H2" s="84" t="inlineStr">
        <is>
          <t>"Your future is created by what you do today."</t>
        </is>
      </c>
      <c r="AD2" s="85" t="inlineStr">
        <is>
          <t>@surajvansh</t>
        </is>
      </c>
    </row>
    <row r="3" ht="18" customHeight="1">
      <c r="A3" s="86" t="inlineStr">
        <is>
          <t>June 2028</t>
        </is>
      </c>
      <c r="H3" s="87" t="inlineStr">
        <is>
          <t>30 Days Dashboard</t>
        </is>
      </c>
    </row>
    <row r="4" ht="5" customHeight="1"/>
    <row r="5" ht="16" customHeight="1">
      <c r="A5" s="88" t="inlineStr">
        <is>
          <t>MONTHLY TARGETS</t>
        </is>
      </c>
    </row>
    <row r="6" ht="13" customHeight="1">
      <c r="A6" s="89" t="inlineStr">
        <is>
          <t>1. ____________________ : ____________________</t>
        </is>
      </c>
      <c r="P6" s="89" t="inlineStr">
        <is>
          <t>5. ____________________ : ____________________</t>
        </is>
      </c>
    </row>
    <row r="7" ht="13" customHeight="1">
      <c r="A7" s="89" t="inlineStr">
        <is>
          <t>2. ____________________ : ____________________</t>
        </is>
      </c>
      <c r="P7" s="89" t="inlineStr">
        <is>
          <t>6. ____________________ : ____________________</t>
        </is>
      </c>
    </row>
    <row r="8" ht="13" customHeight="1">
      <c r="A8" s="89" t="inlineStr">
        <is>
          <t>3. ____________________ : ____________________</t>
        </is>
      </c>
      <c r="P8" s="89" t="inlineStr">
        <is>
          <t>7. ____________________ : ____________________</t>
        </is>
      </c>
    </row>
    <row r="9" ht="13" customHeight="1">
      <c r="A9" s="89" t="inlineStr">
        <is>
          <t>4. ____________________ : ____________________</t>
        </is>
      </c>
      <c r="P9" s="89" t="inlineStr">
        <is>
          <t>8. ____________________ : ____________________</t>
        </is>
      </c>
    </row>
    <row r="10" ht="5" customHeight="1"/>
    <row r="11" ht="15" customHeight="1">
      <c r="A11" s="88" t="inlineStr">
        <is>
          <t>NOTES:</t>
        </is>
      </c>
    </row>
    <row r="12" ht="13" customHeight="1">
      <c r="A12" s="90" t="n"/>
      <c r="B12" s="91" t="n"/>
      <c r="C12" s="91" t="n"/>
      <c r="D12" s="91" t="n"/>
      <c r="E12" s="91" t="n"/>
      <c r="F12" s="91" t="n"/>
      <c r="G12" s="91" t="n"/>
      <c r="H12" s="91" t="n"/>
      <c r="I12" s="91" t="n"/>
      <c r="J12" s="91" t="n"/>
      <c r="K12" s="91" t="n"/>
      <c r="L12" s="91" t="n"/>
      <c r="M12" s="91" t="n"/>
      <c r="N12" s="91" t="n"/>
      <c r="O12" s="91" t="n"/>
      <c r="P12" s="91" t="n"/>
      <c r="Q12" s="91" t="n"/>
      <c r="R12" s="91" t="n"/>
      <c r="S12" s="91" t="n"/>
      <c r="T12" s="91" t="n"/>
      <c r="U12" s="91" t="n"/>
      <c r="V12" s="91" t="n"/>
      <c r="W12" s="91" t="n"/>
      <c r="X12" s="91" t="n"/>
      <c r="Y12" s="91" t="n"/>
      <c r="Z12" s="91" t="n"/>
      <c r="AA12" s="91" t="n"/>
      <c r="AB12" s="91" t="n"/>
      <c r="AC12" s="91" t="n"/>
      <c r="AD12" s="91" t="n"/>
      <c r="AE12" s="91" t="n"/>
      <c r="AF12" s="91" t="n"/>
      <c r="AG12" s="91" t="n"/>
      <c r="AH12" s="91" t="n"/>
      <c r="AI12" s="91" t="n"/>
      <c r="AJ12" s="91" t="n"/>
      <c r="AK12" s="91" t="n"/>
    </row>
    <row r="13" ht="13" customHeight="1">
      <c r="A13" s="91" t="n"/>
      <c r="B13" s="91" t="n"/>
      <c r="C13" s="91" t="n"/>
      <c r="D13" s="91" t="n"/>
      <c r="E13" s="91" t="n"/>
      <c r="F13" s="91" t="n"/>
      <c r="G13" s="91" t="n"/>
      <c r="H13" s="91" t="n"/>
      <c r="I13" s="91" t="n"/>
      <c r="J13" s="91" t="n"/>
      <c r="K13" s="91" t="n"/>
      <c r="L13" s="91" t="n"/>
      <c r="M13" s="91" t="n"/>
      <c r="N13" s="91" t="n"/>
      <c r="O13" s="91" t="n"/>
      <c r="P13" s="91" t="n"/>
      <c r="Q13" s="91" t="n"/>
      <c r="R13" s="91" t="n"/>
      <c r="S13" s="91" t="n"/>
      <c r="T13" s="91" t="n"/>
      <c r="U13" s="91" t="n"/>
      <c r="V13" s="91" t="n"/>
      <c r="W13" s="91" t="n"/>
      <c r="X13" s="91" t="n"/>
      <c r="Y13" s="91" t="n"/>
      <c r="Z13" s="91" t="n"/>
      <c r="AA13" s="91" t="n"/>
      <c r="AB13" s="91" t="n"/>
      <c r="AC13" s="91" t="n"/>
      <c r="AD13" s="91" t="n"/>
      <c r="AE13" s="91" t="n"/>
      <c r="AF13" s="91" t="n"/>
      <c r="AG13" s="91" t="n"/>
      <c r="AH13" s="91" t="n"/>
      <c r="AI13" s="91" t="n"/>
      <c r="AJ13" s="91" t="n"/>
      <c r="AK13" s="91" t="n"/>
    </row>
    <row r="14" ht="13" customHeight="1">
      <c r="A14" s="91" t="n"/>
      <c r="B14" s="91" t="n"/>
      <c r="C14" s="91" t="n"/>
      <c r="D14" s="91" t="n"/>
      <c r="E14" s="91" t="n"/>
      <c r="F14" s="91" t="n"/>
      <c r="G14" s="91" t="n"/>
      <c r="H14" s="91" t="n"/>
      <c r="I14" s="91" t="n"/>
      <c r="J14" s="91" t="n"/>
      <c r="K14" s="91" t="n"/>
      <c r="L14" s="91" t="n"/>
      <c r="M14" s="91" t="n"/>
      <c r="N14" s="91" t="n"/>
      <c r="O14" s="91" t="n"/>
      <c r="P14" s="91" t="n"/>
      <c r="Q14" s="91" t="n"/>
      <c r="R14" s="91" t="n"/>
      <c r="S14" s="91" t="n"/>
      <c r="T14" s="91" t="n"/>
      <c r="U14" s="91" t="n"/>
      <c r="V14" s="91" t="n"/>
      <c r="W14" s="91" t="n"/>
      <c r="X14" s="91" t="n"/>
      <c r="Y14" s="91" t="n"/>
      <c r="Z14" s="91" t="n"/>
      <c r="AA14" s="91" t="n"/>
      <c r="AB14" s="91" t="n"/>
      <c r="AC14" s="91" t="n"/>
      <c r="AD14" s="91" t="n"/>
      <c r="AE14" s="91" t="n"/>
      <c r="AF14" s="91" t="n"/>
      <c r="AG14" s="91" t="n"/>
      <c r="AH14" s="91" t="n"/>
      <c r="AI14" s="91" t="n"/>
      <c r="AJ14" s="91" t="n"/>
      <c r="AK14" s="91" t="n"/>
    </row>
    <row r="15" ht="8" customHeight="1"/>
    <row r="16" ht="15" customHeight="1">
      <c r="A16" s="33" t="inlineStr">
        <is>
          <t>S.No.</t>
        </is>
      </c>
      <c r="B16" s="33" t="inlineStr">
        <is>
          <t>Protocols</t>
        </is>
      </c>
      <c r="C16" s="33" t="inlineStr">
        <is>
          <t>Category</t>
        </is>
      </c>
      <c r="D16" s="33" t="inlineStr">
        <is>
          <t>Target</t>
        </is>
      </c>
      <c r="E16" s="92" t="n">
        <v>1</v>
      </c>
      <c r="F16" s="92" t="n">
        <v>2</v>
      </c>
      <c r="G16" s="92" t="n">
        <v>3</v>
      </c>
      <c r="H16" s="93" t="n">
        <v>4</v>
      </c>
      <c r="I16" s="92" t="n">
        <v>5</v>
      </c>
      <c r="J16" s="92" t="n">
        <v>6</v>
      </c>
      <c r="K16" s="92" t="n">
        <v>7</v>
      </c>
      <c r="L16" s="92" t="n">
        <v>8</v>
      </c>
      <c r="M16" s="92" t="n">
        <v>9</v>
      </c>
      <c r="N16" s="92" t="n">
        <v>10</v>
      </c>
      <c r="O16" s="93" t="n">
        <v>11</v>
      </c>
      <c r="P16" s="92" t="n">
        <v>12</v>
      </c>
      <c r="Q16" s="92" t="n">
        <v>13</v>
      </c>
      <c r="R16" s="92" t="n">
        <v>14</v>
      </c>
      <c r="S16" s="92" t="n">
        <v>15</v>
      </c>
      <c r="T16" s="92" t="n">
        <v>16</v>
      </c>
      <c r="U16" s="92" t="n">
        <v>17</v>
      </c>
      <c r="V16" s="93" t="n">
        <v>18</v>
      </c>
      <c r="W16" s="92" t="n">
        <v>19</v>
      </c>
      <c r="X16" s="92" t="n">
        <v>20</v>
      </c>
      <c r="Y16" s="92" t="n">
        <v>21</v>
      </c>
      <c r="Z16" s="92" t="n">
        <v>22</v>
      </c>
      <c r="AA16" s="92" t="n">
        <v>23</v>
      </c>
      <c r="AB16" s="92" t="n">
        <v>24</v>
      </c>
      <c r="AC16" s="93" t="n">
        <v>25</v>
      </c>
      <c r="AD16" s="92" t="n">
        <v>26</v>
      </c>
      <c r="AE16" s="92" t="n">
        <v>27</v>
      </c>
      <c r="AF16" s="92" t="n">
        <v>28</v>
      </c>
      <c r="AG16" s="92" t="n">
        <v>29</v>
      </c>
      <c r="AH16" s="92" t="n">
        <v>30</v>
      </c>
      <c r="AI16" s="94" t="inlineStr">
        <is>
          <t>Success %</t>
        </is>
      </c>
      <c r="AJ16" s="94" t="inlineStr">
        <is>
          <t>Done / Target</t>
        </is>
      </c>
      <c r="AK16" s="94" t="inlineStr">
        <is>
          <t>Status</t>
        </is>
      </c>
      <c r="AL16" t="inlineStr">
        <is>
          <t>Done Count</t>
        </is>
      </c>
    </row>
    <row r="17" ht="15" customHeight="1">
      <c r="A17" s="54" t="n"/>
      <c r="B17" s="54" t="n"/>
      <c r="C17" s="54" t="n"/>
      <c r="D17" s="54" t="n"/>
      <c r="E17" s="95" t="inlineStr">
        <is>
          <t>Th</t>
        </is>
      </c>
      <c r="F17" s="95" t="inlineStr">
        <is>
          <t>F</t>
        </is>
      </c>
      <c r="G17" s="95" t="inlineStr">
        <is>
          <t>Sa</t>
        </is>
      </c>
      <c r="H17" s="96" t="inlineStr">
        <is>
          <t>Su</t>
        </is>
      </c>
      <c r="I17" s="95" t="inlineStr">
        <is>
          <t>M</t>
        </is>
      </c>
      <c r="J17" s="95" t="inlineStr">
        <is>
          <t>T</t>
        </is>
      </c>
      <c r="K17" s="95" t="inlineStr">
        <is>
          <t>W</t>
        </is>
      </c>
      <c r="L17" s="95" t="inlineStr">
        <is>
          <t>Th</t>
        </is>
      </c>
      <c r="M17" s="95" t="inlineStr">
        <is>
          <t>F</t>
        </is>
      </c>
      <c r="N17" s="95" t="inlineStr">
        <is>
          <t>Sa</t>
        </is>
      </c>
      <c r="O17" s="96" t="inlineStr">
        <is>
          <t>Su</t>
        </is>
      </c>
      <c r="P17" s="95" t="inlineStr">
        <is>
          <t>M</t>
        </is>
      </c>
      <c r="Q17" s="95" t="inlineStr">
        <is>
          <t>T</t>
        </is>
      </c>
      <c r="R17" s="95" t="inlineStr">
        <is>
          <t>W</t>
        </is>
      </c>
      <c r="S17" s="95" t="inlineStr">
        <is>
          <t>Th</t>
        </is>
      </c>
      <c r="T17" s="95" t="inlineStr">
        <is>
          <t>F</t>
        </is>
      </c>
      <c r="U17" s="95" t="inlineStr">
        <is>
          <t>Sa</t>
        </is>
      </c>
      <c r="V17" s="96" t="inlineStr">
        <is>
          <t>Su</t>
        </is>
      </c>
      <c r="W17" s="95" t="inlineStr">
        <is>
          <t>M</t>
        </is>
      </c>
      <c r="X17" s="95" t="inlineStr">
        <is>
          <t>T</t>
        </is>
      </c>
      <c r="Y17" s="95" t="inlineStr">
        <is>
          <t>W</t>
        </is>
      </c>
      <c r="Z17" s="95" t="inlineStr">
        <is>
          <t>Th</t>
        </is>
      </c>
      <c r="AA17" s="95" t="inlineStr">
        <is>
          <t>F</t>
        </is>
      </c>
      <c r="AB17" s="95" t="inlineStr">
        <is>
          <t>Sa</t>
        </is>
      </c>
      <c r="AC17" s="96" t="inlineStr">
        <is>
          <t>Su</t>
        </is>
      </c>
      <c r="AD17" s="95" t="inlineStr">
        <is>
          <t>M</t>
        </is>
      </c>
      <c r="AE17" s="95" t="inlineStr">
        <is>
          <t>T</t>
        </is>
      </c>
      <c r="AF17" s="95" t="inlineStr">
        <is>
          <t>W</t>
        </is>
      </c>
      <c r="AG17" s="95" t="inlineStr">
        <is>
          <t>Th</t>
        </is>
      </c>
      <c r="AH17" s="95" t="inlineStr">
        <is>
          <t>F</t>
        </is>
      </c>
      <c r="AI17" s="54" t="n"/>
      <c r="AJ17" s="54" t="n"/>
      <c r="AK17" s="54" t="n"/>
    </row>
    <row r="18" ht="14.5" customHeight="1">
      <c r="A18" s="97" t="n">
        <v>1</v>
      </c>
      <c r="B18" s="98" t="n"/>
      <c r="C18" s="99" t="n"/>
      <c r="D18" s="99" t="n"/>
      <c r="E18" s="100" t="n"/>
      <c r="F18" s="100" t="n"/>
      <c r="G18" s="100" t="n"/>
      <c r="H18" s="101" t="n"/>
      <c r="I18" s="100" t="n"/>
      <c r="J18" s="100" t="n"/>
      <c r="K18" s="100" t="n"/>
      <c r="L18" s="100" t="n"/>
      <c r="M18" s="100" t="n"/>
      <c r="N18" s="100" t="n"/>
      <c r="O18" s="101" t="n"/>
      <c r="P18" s="100" t="n"/>
      <c r="Q18" s="100" t="n"/>
      <c r="R18" s="100" t="n"/>
      <c r="S18" s="100" t="n"/>
      <c r="T18" s="100" t="n"/>
      <c r="U18" s="100" t="n"/>
      <c r="V18" s="101" t="n"/>
      <c r="W18" s="100" t="n"/>
      <c r="X18" s="100" t="n"/>
      <c r="Y18" s="100" t="n"/>
      <c r="Z18" s="100" t="n"/>
      <c r="AA18" s="100" t="n"/>
      <c r="AB18" s="100" t="n"/>
      <c r="AC18" s="101" t="n"/>
      <c r="AD18" s="100" t="n"/>
      <c r="AE18" s="100" t="n"/>
      <c r="AF18" s="100" t="n"/>
      <c r="AG18" s="100" t="n"/>
      <c r="AH18" s="100" t="n"/>
      <c r="AI18" s="102">
        <f>IF(ISBLANK(B18), "", IF(ISNUMBER(D18), IF(D18&gt;0, (COUNTIF(E18:AH18, "✓") + COUNTIF(E18:AH18, "✔") + COUNTIF(E18:AH18, "v") + COUNTIF(E18:AH18, "V"))/D18, 0), IF(((COUNTIF(E18:AH18, "✓") + COUNTIF(E18:AH18, "✔") + COUNTIF(E18:AH18, "v") + COUNTIF(E18:AH18, "V")) + COUNTIF(E18:AH18, "✗") + COUNTIF(E18:AH18, "x") + COUNTIF(E18:AH18, "X"))&gt;0, (COUNTIF(E18:AH18, "✓") + COUNTIF(E18:AH18, "✔") + COUNTIF(E18:AH18, "v") + COUNTIF(E18:AH18, "V"))/((COUNTIF(E18:AH18, "✓") + COUNTIF(E18:AH18, "✔") + COUNTIF(E18:AH18, "v") + COUNTIF(E18:AH18, "V")) + COUNTIF(E18:AH18, "✗") + COUNTIF(E18:AH18, "x") + COUNTIF(E18:AH18, "X")), "")))</f>
        <v/>
      </c>
      <c r="AJ18" s="103">
        <f>IF(ISBLANK(B18), "", IF(ISNUMBER(D18), IF(D18&gt;0, (COUNTIF(E18:AH18, "✓") + COUNTIF(E18:AH18, "✔") + COUNTIF(E18:AH18, "v") + COUNTIF(E18:AH18, "V")) &amp; "/" &amp; D18, (COUNTIF(E18:AH18, "✓") + COUNTIF(E18:AH18, "✔") + COUNTIF(E18:AH18, "v") + COUNTIF(E18:AH18, "V")) &amp; "/0"), IF(((COUNTIF(E18:AH18, "✓") + COUNTIF(E18:AH18, "✔") + COUNTIF(E18:AH18, "v") + COUNTIF(E18:AH18, "V")) + COUNTIF(E18:AH18, "✗") + COUNTIF(E18:AH18, "x") + COUNTIF(E18:AH18, "X"))&gt;0, (COUNTIF(E18:AH18, "✓") + COUNTIF(E18:AH18, "✔") + COUNTIF(E18:AH18, "v") + COUNTIF(E18:AH18, "V")) &amp; "/" &amp; ((COUNTIF(E18:AH18, "✓") + COUNTIF(E18:AH18, "✔") + COUNTIF(E18:AH18, "v") + COUNTIF(E18:AH18, "V")) + COUNTIF(E18:AH18, "✗") + COUNTIF(E18:AH18, "x") + COUNTIF(E18:AH18, "X")), "")))</f>
        <v/>
      </c>
      <c r="AK18" s="103">
        <f>IF(ISBLANK(B18), "", IF(AI18&gt;=0.85, "🔥 Mastered", IF(AI18&gt;=0.7, "⚡ Consistent", "⚠️ Needs Focus")))</f>
        <v/>
      </c>
      <c r="AL18">
        <f>COUNTIF(E18:AH18, "✓")</f>
        <v/>
      </c>
    </row>
    <row r="19" ht="14.5" customHeight="1">
      <c r="A19" s="97" t="n">
        <v>2</v>
      </c>
      <c r="B19" s="98" t="n"/>
      <c r="C19" s="99" t="n"/>
      <c r="D19" s="99" t="n"/>
      <c r="E19" s="100" t="n"/>
      <c r="F19" s="100" t="n"/>
      <c r="G19" s="100" t="n"/>
      <c r="H19" s="101" t="n"/>
      <c r="I19" s="100" t="n"/>
      <c r="J19" s="100" t="n"/>
      <c r="K19" s="100" t="n"/>
      <c r="L19" s="100" t="n"/>
      <c r="M19" s="100" t="n"/>
      <c r="N19" s="100" t="n"/>
      <c r="O19" s="101" t="n"/>
      <c r="P19" s="100" t="n"/>
      <c r="Q19" s="100" t="n"/>
      <c r="R19" s="100" t="n"/>
      <c r="S19" s="100" t="n"/>
      <c r="T19" s="100" t="n"/>
      <c r="U19" s="100" t="n"/>
      <c r="V19" s="101" t="n"/>
      <c r="W19" s="100" t="n"/>
      <c r="X19" s="100" t="n"/>
      <c r="Y19" s="100" t="n"/>
      <c r="Z19" s="100" t="n"/>
      <c r="AA19" s="100" t="n"/>
      <c r="AB19" s="100" t="n"/>
      <c r="AC19" s="101" t="n"/>
      <c r="AD19" s="100" t="n"/>
      <c r="AE19" s="100" t="n"/>
      <c r="AF19" s="100" t="n"/>
      <c r="AG19" s="100" t="n"/>
      <c r="AH19" s="100" t="n"/>
      <c r="AI19" s="102">
        <f>IF(ISBLANK(B19), "", IF(ISNUMBER(D19), IF(D19&gt;0, (COUNTIF(E19:AH19, "✓") + COUNTIF(E19:AH19, "✔") + COUNTIF(E19:AH19, "v") + COUNTIF(E19:AH19, "V"))/D19, 0), IF(((COUNTIF(E19:AH19, "✓") + COUNTIF(E19:AH19, "✔") + COUNTIF(E19:AH19, "v") + COUNTIF(E19:AH19, "V")) + COUNTIF(E19:AH19, "✗") + COUNTIF(E19:AH19, "x") + COUNTIF(E19:AH19, "X"))&gt;0, (COUNTIF(E19:AH19, "✓") + COUNTIF(E19:AH19, "✔") + COUNTIF(E19:AH19, "v") + COUNTIF(E19:AH19, "V"))/((COUNTIF(E19:AH19, "✓") + COUNTIF(E19:AH19, "✔") + COUNTIF(E19:AH19, "v") + COUNTIF(E19:AH19, "V")) + COUNTIF(E19:AH19, "✗") + COUNTIF(E19:AH19, "x") + COUNTIF(E19:AH19, "X")), "")))</f>
        <v/>
      </c>
      <c r="AJ19" s="103">
        <f>IF(ISBLANK(B19), "", IF(ISNUMBER(D19), IF(D19&gt;0, (COUNTIF(E19:AH19, "✓") + COUNTIF(E19:AH19, "✔") + COUNTIF(E19:AH19, "v") + COUNTIF(E19:AH19, "V")) &amp; "/" &amp; D19, (COUNTIF(E19:AH19, "✓") + COUNTIF(E19:AH19, "✔") + COUNTIF(E19:AH19, "v") + COUNTIF(E19:AH19, "V")) &amp; "/0"), IF(((COUNTIF(E19:AH19, "✓") + COUNTIF(E19:AH19, "✔") + COUNTIF(E19:AH19, "v") + COUNTIF(E19:AH19, "V")) + COUNTIF(E19:AH19, "✗") + COUNTIF(E19:AH19, "x") + COUNTIF(E19:AH19, "X"))&gt;0, (COUNTIF(E19:AH19, "✓") + COUNTIF(E19:AH19, "✔") + COUNTIF(E19:AH19, "v") + COUNTIF(E19:AH19, "V")) &amp; "/" &amp; ((COUNTIF(E19:AH19, "✓") + COUNTIF(E19:AH19, "✔") + COUNTIF(E19:AH19, "v") + COUNTIF(E19:AH19, "V")) + COUNTIF(E19:AH19, "✗") + COUNTIF(E19:AH19, "x") + COUNTIF(E19:AH19, "X")), "")))</f>
        <v/>
      </c>
      <c r="AK19" s="103">
        <f>IF(ISBLANK(B19), "", IF(AI19&gt;=0.85, "🔥 Mastered", IF(AI19&gt;=0.7, "⚡ Consistent", "⚠️ Needs Focus")))</f>
        <v/>
      </c>
      <c r="AL19">
        <f>COUNTIF(E19:AH19, "✓")</f>
        <v/>
      </c>
    </row>
    <row r="20" ht="14.5" customHeight="1">
      <c r="A20" s="97" t="n">
        <v>3</v>
      </c>
      <c r="B20" s="98" t="n"/>
      <c r="C20" s="99" t="n"/>
      <c r="D20" s="99" t="n"/>
      <c r="E20" s="100" t="n"/>
      <c r="F20" s="100" t="n"/>
      <c r="G20" s="100" t="n"/>
      <c r="H20" s="101" t="n"/>
      <c r="I20" s="100" t="n"/>
      <c r="J20" s="100" t="n"/>
      <c r="K20" s="100" t="n"/>
      <c r="L20" s="100" t="n"/>
      <c r="M20" s="100" t="n"/>
      <c r="N20" s="100" t="n"/>
      <c r="O20" s="101" t="n"/>
      <c r="P20" s="100" t="n"/>
      <c r="Q20" s="100" t="n"/>
      <c r="R20" s="100" t="n"/>
      <c r="S20" s="100" t="n"/>
      <c r="T20" s="100" t="n"/>
      <c r="U20" s="100" t="n"/>
      <c r="V20" s="101" t="n"/>
      <c r="W20" s="100" t="n"/>
      <c r="X20" s="100" t="n"/>
      <c r="Y20" s="100" t="n"/>
      <c r="Z20" s="100" t="n"/>
      <c r="AA20" s="100" t="n"/>
      <c r="AB20" s="100" t="n"/>
      <c r="AC20" s="101" t="n"/>
      <c r="AD20" s="100" t="n"/>
      <c r="AE20" s="100" t="n"/>
      <c r="AF20" s="100" t="n"/>
      <c r="AG20" s="100" t="n"/>
      <c r="AH20" s="100" t="n"/>
      <c r="AI20" s="102">
        <f>IF(ISBLANK(B20), "", IF(ISNUMBER(D20), IF(D20&gt;0, (COUNTIF(E20:AH20, "✓") + COUNTIF(E20:AH20, "✔") + COUNTIF(E20:AH20, "v") + COUNTIF(E20:AH20, "V"))/D20, 0), IF(((COUNTIF(E20:AH20, "✓") + COUNTIF(E20:AH20, "✔") + COUNTIF(E20:AH20, "v") + COUNTIF(E20:AH20, "V")) + COUNTIF(E20:AH20, "✗") + COUNTIF(E20:AH20, "x") + COUNTIF(E20:AH20, "X"))&gt;0, (COUNTIF(E20:AH20, "✓") + COUNTIF(E20:AH20, "✔") + COUNTIF(E20:AH20, "v") + COUNTIF(E20:AH20, "V"))/((COUNTIF(E20:AH20, "✓") + COUNTIF(E20:AH20, "✔") + COUNTIF(E20:AH20, "v") + COUNTIF(E20:AH20, "V")) + COUNTIF(E20:AH20, "✗") + COUNTIF(E20:AH20, "x") + COUNTIF(E20:AH20, "X")), "")))</f>
        <v/>
      </c>
      <c r="AJ20" s="103">
        <f>IF(ISBLANK(B20), "", IF(ISNUMBER(D20), IF(D20&gt;0, (COUNTIF(E20:AH20, "✓") + COUNTIF(E20:AH20, "✔") + COUNTIF(E20:AH20, "v") + COUNTIF(E20:AH20, "V")) &amp; "/" &amp; D20, (COUNTIF(E20:AH20, "✓") + COUNTIF(E20:AH20, "✔") + COUNTIF(E20:AH20, "v") + COUNTIF(E20:AH20, "V")) &amp; "/0"), IF(((COUNTIF(E20:AH20, "✓") + COUNTIF(E20:AH20, "✔") + COUNTIF(E20:AH20, "v") + COUNTIF(E20:AH20, "V")) + COUNTIF(E20:AH20, "✗") + COUNTIF(E20:AH20, "x") + COUNTIF(E20:AH20, "X"))&gt;0, (COUNTIF(E20:AH20, "✓") + COUNTIF(E20:AH20, "✔") + COUNTIF(E20:AH20, "v") + COUNTIF(E20:AH20, "V")) &amp; "/" &amp; ((COUNTIF(E20:AH20, "✓") + COUNTIF(E20:AH20, "✔") + COUNTIF(E20:AH20, "v") + COUNTIF(E20:AH20, "V")) + COUNTIF(E20:AH20, "✗") + COUNTIF(E20:AH20, "x") + COUNTIF(E20:AH20, "X")), "")))</f>
        <v/>
      </c>
      <c r="AK20" s="103">
        <f>IF(ISBLANK(B20), "", IF(AI20&gt;=0.85, "🔥 Mastered", IF(AI20&gt;=0.7, "⚡ Consistent", "⚠️ Needs Focus")))</f>
        <v/>
      </c>
      <c r="AL20">
        <f>COUNTIF(E20:AH20, "✓")</f>
        <v/>
      </c>
    </row>
    <row r="21" ht="14.5" customHeight="1">
      <c r="A21" s="97" t="n">
        <v>4</v>
      </c>
      <c r="B21" s="98" t="n"/>
      <c r="C21" s="99" t="n"/>
      <c r="D21" s="99" t="n"/>
      <c r="E21" s="100" t="n"/>
      <c r="F21" s="100" t="n"/>
      <c r="G21" s="100" t="n"/>
      <c r="H21" s="101" t="n"/>
      <c r="I21" s="100" t="n"/>
      <c r="J21" s="100" t="n"/>
      <c r="K21" s="100" t="n"/>
      <c r="L21" s="100" t="n"/>
      <c r="M21" s="100" t="n"/>
      <c r="N21" s="100" t="n"/>
      <c r="O21" s="101" t="n"/>
      <c r="P21" s="100" t="n"/>
      <c r="Q21" s="100" t="n"/>
      <c r="R21" s="100" t="n"/>
      <c r="S21" s="100" t="n"/>
      <c r="T21" s="100" t="n"/>
      <c r="U21" s="100" t="n"/>
      <c r="V21" s="101" t="n"/>
      <c r="W21" s="100" t="n"/>
      <c r="X21" s="100" t="n"/>
      <c r="Y21" s="100" t="n"/>
      <c r="Z21" s="100" t="n"/>
      <c r="AA21" s="100" t="n"/>
      <c r="AB21" s="100" t="n"/>
      <c r="AC21" s="101" t="n"/>
      <c r="AD21" s="100" t="n"/>
      <c r="AE21" s="100" t="n"/>
      <c r="AF21" s="100" t="n"/>
      <c r="AG21" s="100" t="n"/>
      <c r="AH21" s="100" t="n"/>
      <c r="AI21" s="102">
        <f>IF(ISBLANK(B21), "", IF(ISNUMBER(D21), IF(D21&gt;0, (COUNTIF(E21:AH21, "✓") + COUNTIF(E21:AH21, "✔") + COUNTIF(E21:AH21, "v") + COUNTIF(E21:AH21, "V"))/D21, 0), IF(((COUNTIF(E21:AH21, "✓") + COUNTIF(E21:AH21, "✔") + COUNTIF(E21:AH21, "v") + COUNTIF(E21:AH21, "V")) + COUNTIF(E21:AH21, "✗") + COUNTIF(E21:AH21, "x") + COUNTIF(E21:AH21, "X"))&gt;0, (COUNTIF(E21:AH21, "✓") + COUNTIF(E21:AH21, "✔") + COUNTIF(E21:AH21, "v") + COUNTIF(E21:AH21, "V"))/((COUNTIF(E21:AH21, "✓") + COUNTIF(E21:AH21, "✔") + COUNTIF(E21:AH21, "v") + COUNTIF(E21:AH21, "V")) + COUNTIF(E21:AH21, "✗") + COUNTIF(E21:AH21, "x") + COUNTIF(E21:AH21, "X")), "")))</f>
        <v/>
      </c>
      <c r="AJ21" s="103">
        <f>IF(ISBLANK(B21), "", IF(ISNUMBER(D21), IF(D21&gt;0, (COUNTIF(E21:AH21, "✓") + COUNTIF(E21:AH21, "✔") + COUNTIF(E21:AH21, "v") + COUNTIF(E21:AH21, "V")) &amp; "/" &amp; D21, (COUNTIF(E21:AH21, "✓") + COUNTIF(E21:AH21, "✔") + COUNTIF(E21:AH21, "v") + COUNTIF(E21:AH21, "V")) &amp; "/0"), IF(((COUNTIF(E21:AH21, "✓") + COUNTIF(E21:AH21, "✔") + COUNTIF(E21:AH21, "v") + COUNTIF(E21:AH21, "V")) + COUNTIF(E21:AH21, "✗") + COUNTIF(E21:AH21, "x") + COUNTIF(E21:AH21, "X"))&gt;0, (COUNTIF(E21:AH21, "✓") + COUNTIF(E21:AH21, "✔") + COUNTIF(E21:AH21, "v") + COUNTIF(E21:AH21, "V")) &amp; "/" &amp; ((COUNTIF(E21:AH21, "✓") + COUNTIF(E21:AH21, "✔") + COUNTIF(E21:AH21, "v") + COUNTIF(E21:AH21, "V")) + COUNTIF(E21:AH21, "✗") + COUNTIF(E21:AH21, "x") + COUNTIF(E21:AH21, "X")), "")))</f>
        <v/>
      </c>
      <c r="AK21" s="103">
        <f>IF(ISBLANK(B21), "", IF(AI21&gt;=0.85, "🔥 Mastered", IF(AI21&gt;=0.7, "⚡ Consistent", "⚠️ Needs Focus")))</f>
        <v/>
      </c>
      <c r="AL21">
        <f>COUNTIF(E21:AH21, "✓")</f>
        <v/>
      </c>
    </row>
    <row r="22" ht="14.5" customHeight="1">
      <c r="A22" s="104" t="n">
        <v>5</v>
      </c>
      <c r="B22" s="105" t="n"/>
      <c r="C22" s="106" t="n"/>
      <c r="D22" s="106" t="n"/>
      <c r="E22" s="107" t="n"/>
      <c r="F22" s="107" t="n"/>
      <c r="G22" s="107" t="n"/>
      <c r="H22" s="108" t="n"/>
      <c r="I22" s="107" t="n"/>
      <c r="J22" s="107" t="n"/>
      <c r="K22" s="107" t="n"/>
      <c r="L22" s="107" t="n"/>
      <c r="M22" s="107" t="n"/>
      <c r="N22" s="107" t="n"/>
      <c r="O22" s="108" t="n"/>
      <c r="P22" s="107" t="n"/>
      <c r="Q22" s="107" t="n"/>
      <c r="R22" s="107" t="n"/>
      <c r="S22" s="107" t="n"/>
      <c r="T22" s="107" t="n"/>
      <c r="U22" s="107" t="n"/>
      <c r="V22" s="108" t="n"/>
      <c r="W22" s="107" t="n"/>
      <c r="X22" s="107" t="n"/>
      <c r="Y22" s="107" t="n"/>
      <c r="Z22" s="107" t="n"/>
      <c r="AA22" s="107" t="n"/>
      <c r="AB22" s="107" t="n"/>
      <c r="AC22" s="108" t="n"/>
      <c r="AD22" s="107" t="n"/>
      <c r="AE22" s="107" t="n"/>
      <c r="AF22" s="107" t="n"/>
      <c r="AG22" s="107" t="n"/>
      <c r="AH22" s="107" t="n"/>
      <c r="AI22" s="109">
        <f>IF(ISBLANK(B22), "", IF(ISNUMBER(D22), IF(D22&gt;0, (COUNTIF(E22:AH22, "✓") + COUNTIF(E22:AH22, "✔") + COUNTIF(E22:AH22, "v") + COUNTIF(E22:AH22, "V"))/D22, 0), IF(((COUNTIF(E22:AH22, "✓") + COUNTIF(E22:AH22, "✔") + COUNTIF(E22:AH22, "v") + COUNTIF(E22:AH22, "V")) + COUNTIF(E22:AH22, "✗") + COUNTIF(E22:AH22, "x") + COUNTIF(E22:AH22, "X"))&gt;0, (COUNTIF(E22:AH22, "✓") + COUNTIF(E22:AH22, "✔") + COUNTIF(E22:AH22, "v") + COUNTIF(E22:AH22, "V"))/((COUNTIF(E22:AH22, "✓") + COUNTIF(E22:AH22, "✔") + COUNTIF(E22:AH22, "v") + COUNTIF(E22:AH22, "V")) + COUNTIF(E22:AH22, "✗") + COUNTIF(E22:AH22, "x") + COUNTIF(E22:AH22, "X")), "")))</f>
        <v/>
      </c>
      <c r="AJ22" s="110">
        <f>IF(ISBLANK(B22), "", IF(ISNUMBER(D22), IF(D22&gt;0, (COUNTIF(E22:AH22, "✓") + COUNTIF(E22:AH22, "✔") + COUNTIF(E22:AH22, "v") + COUNTIF(E22:AH22, "V")) &amp; "/" &amp; D22, (COUNTIF(E22:AH22, "✓") + COUNTIF(E22:AH22, "✔") + COUNTIF(E22:AH22, "v") + COUNTIF(E22:AH22, "V")) &amp; "/0"), IF(((COUNTIF(E22:AH22, "✓") + COUNTIF(E22:AH22, "✔") + COUNTIF(E22:AH22, "v") + COUNTIF(E22:AH22, "V")) + COUNTIF(E22:AH22, "✗") + COUNTIF(E22:AH22, "x") + COUNTIF(E22:AH22, "X"))&gt;0, (COUNTIF(E22:AH22, "✓") + COUNTIF(E22:AH22, "✔") + COUNTIF(E22:AH22, "v") + COUNTIF(E22:AH22, "V")) &amp; "/" &amp; ((COUNTIF(E22:AH22, "✓") + COUNTIF(E22:AH22, "✔") + COUNTIF(E22:AH22, "v") + COUNTIF(E22:AH22, "V")) + COUNTIF(E22:AH22, "✗") + COUNTIF(E22:AH22, "x") + COUNTIF(E22:AH22, "X")), "")))</f>
        <v/>
      </c>
      <c r="AK22" s="110">
        <f>IF(ISBLANK(B22), "", IF(AI22&gt;=0.85, "🔥 Mastered", IF(AI22&gt;=0.7, "⚡ Consistent", "⚠️ Needs Focus")))</f>
        <v/>
      </c>
      <c r="AL22">
        <f>COUNTIF(E22:AH22, "✓")</f>
        <v/>
      </c>
    </row>
    <row r="23" ht="14.5" customHeight="1">
      <c r="A23" s="104" t="n">
        <v>6</v>
      </c>
      <c r="B23" s="105" t="n"/>
      <c r="C23" s="106" t="n"/>
      <c r="D23" s="106" t="n"/>
      <c r="E23" s="107" t="n"/>
      <c r="F23" s="107" t="n"/>
      <c r="G23" s="107" t="n"/>
      <c r="H23" s="108" t="n"/>
      <c r="I23" s="107" t="n"/>
      <c r="J23" s="107" t="n"/>
      <c r="K23" s="107" t="n"/>
      <c r="L23" s="107" t="n"/>
      <c r="M23" s="107" t="n"/>
      <c r="N23" s="107" t="n"/>
      <c r="O23" s="108" t="n"/>
      <c r="P23" s="107" t="n"/>
      <c r="Q23" s="107" t="n"/>
      <c r="R23" s="107" t="n"/>
      <c r="S23" s="107" t="n"/>
      <c r="T23" s="107" t="n"/>
      <c r="U23" s="107" t="n"/>
      <c r="V23" s="108" t="n"/>
      <c r="W23" s="107" t="n"/>
      <c r="X23" s="107" t="n"/>
      <c r="Y23" s="107" t="n"/>
      <c r="Z23" s="107" t="n"/>
      <c r="AA23" s="107" t="n"/>
      <c r="AB23" s="107" t="n"/>
      <c r="AC23" s="108" t="n"/>
      <c r="AD23" s="107" t="n"/>
      <c r="AE23" s="107" t="n"/>
      <c r="AF23" s="107" t="n"/>
      <c r="AG23" s="107" t="n"/>
      <c r="AH23" s="107" t="n"/>
      <c r="AI23" s="109">
        <f>IF(ISBLANK(B23), "", IF(ISNUMBER(D23), IF(D23&gt;0, (COUNTIF(E23:AH23, "✓") + COUNTIF(E23:AH23, "✔") + COUNTIF(E23:AH23, "v") + COUNTIF(E23:AH23, "V"))/D23, 0), IF(((COUNTIF(E23:AH23, "✓") + COUNTIF(E23:AH23, "✔") + COUNTIF(E23:AH23, "v") + COUNTIF(E23:AH23, "V")) + COUNTIF(E23:AH23, "✗") + COUNTIF(E23:AH23, "x") + COUNTIF(E23:AH23, "X"))&gt;0, (COUNTIF(E23:AH23, "✓") + COUNTIF(E23:AH23, "✔") + COUNTIF(E23:AH23, "v") + COUNTIF(E23:AH23, "V"))/((COUNTIF(E23:AH23, "✓") + COUNTIF(E23:AH23, "✔") + COUNTIF(E23:AH23, "v") + COUNTIF(E23:AH23, "V")) + COUNTIF(E23:AH23, "✗") + COUNTIF(E23:AH23, "x") + COUNTIF(E23:AH23, "X")), "")))</f>
        <v/>
      </c>
      <c r="AJ23" s="110">
        <f>IF(ISBLANK(B23), "", IF(ISNUMBER(D23), IF(D23&gt;0, (COUNTIF(E23:AH23, "✓") + COUNTIF(E23:AH23, "✔") + COUNTIF(E23:AH23, "v") + COUNTIF(E23:AH23, "V")) &amp; "/" &amp; D23, (COUNTIF(E23:AH23, "✓") + COUNTIF(E23:AH23, "✔") + COUNTIF(E23:AH23, "v") + COUNTIF(E23:AH23, "V")) &amp; "/0"), IF(((COUNTIF(E23:AH23, "✓") + COUNTIF(E23:AH23, "✔") + COUNTIF(E23:AH23, "v") + COUNTIF(E23:AH23, "V")) + COUNTIF(E23:AH23, "✗") + COUNTIF(E23:AH23, "x") + COUNTIF(E23:AH23, "X"))&gt;0, (COUNTIF(E23:AH23, "✓") + COUNTIF(E23:AH23, "✔") + COUNTIF(E23:AH23, "v") + COUNTIF(E23:AH23, "V")) &amp; "/" &amp; ((COUNTIF(E23:AH23, "✓") + COUNTIF(E23:AH23, "✔") + COUNTIF(E23:AH23, "v") + COUNTIF(E23:AH23, "V")) + COUNTIF(E23:AH23, "✗") + COUNTIF(E23:AH23, "x") + COUNTIF(E23:AH23, "X")), "")))</f>
        <v/>
      </c>
      <c r="AK23" s="110">
        <f>IF(ISBLANK(B23), "", IF(AI23&gt;=0.85, "🔥 Mastered", IF(AI23&gt;=0.7, "⚡ Consistent", "⚠️ Needs Focus")))</f>
        <v/>
      </c>
      <c r="AL23">
        <f>COUNTIF(E23:AH23, "✓")</f>
        <v/>
      </c>
    </row>
    <row r="24" ht="14.5" customHeight="1">
      <c r="A24" s="104" t="n">
        <v>7</v>
      </c>
      <c r="B24" s="105" t="n"/>
      <c r="C24" s="106" t="n"/>
      <c r="D24" s="106" t="n"/>
      <c r="E24" s="107" t="n"/>
      <c r="F24" s="107" t="n"/>
      <c r="G24" s="107" t="n"/>
      <c r="H24" s="108" t="n"/>
      <c r="I24" s="107" t="n"/>
      <c r="J24" s="107" t="n"/>
      <c r="K24" s="107" t="n"/>
      <c r="L24" s="107" t="n"/>
      <c r="M24" s="107" t="n"/>
      <c r="N24" s="107" t="n"/>
      <c r="O24" s="108" t="n"/>
      <c r="P24" s="107" t="n"/>
      <c r="Q24" s="107" t="n"/>
      <c r="R24" s="107" t="n"/>
      <c r="S24" s="107" t="n"/>
      <c r="T24" s="107" t="n"/>
      <c r="U24" s="107" t="n"/>
      <c r="V24" s="108" t="n"/>
      <c r="W24" s="107" t="n"/>
      <c r="X24" s="107" t="n"/>
      <c r="Y24" s="107" t="n"/>
      <c r="Z24" s="107" t="n"/>
      <c r="AA24" s="107" t="n"/>
      <c r="AB24" s="107" t="n"/>
      <c r="AC24" s="108" t="n"/>
      <c r="AD24" s="107" t="n"/>
      <c r="AE24" s="107" t="n"/>
      <c r="AF24" s="107" t="n"/>
      <c r="AG24" s="107" t="n"/>
      <c r="AH24" s="107" t="n"/>
      <c r="AI24" s="109">
        <f>IF(ISBLANK(B24), "", IF(ISNUMBER(D24), IF(D24&gt;0, (COUNTIF(E24:AH24, "✓") + COUNTIF(E24:AH24, "✔") + COUNTIF(E24:AH24, "v") + COUNTIF(E24:AH24, "V"))/D24, 0), IF(((COUNTIF(E24:AH24, "✓") + COUNTIF(E24:AH24, "✔") + COUNTIF(E24:AH24, "v") + COUNTIF(E24:AH24, "V")) + COUNTIF(E24:AH24, "✗") + COUNTIF(E24:AH24, "x") + COUNTIF(E24:AH24, "X"))&gt;0, (COUNTIF(E24:AH24, "✓") + COUNTIF(E24:AH24, "✔") + COUNTIF(E24:AH24, "v") + COUNTIF(E24:AH24, "V"))/((COUNTIF(E24:AH24, "✓") + COUNTIF(E24:AH24, "✔") + COUNTIF(E24:AH24, "v") + COUNTIF(E24:AH24, "V")) + COUNTIF(E24:AH24, "✗") + COUNTIF(E24:AH24, "x") + COUNTIF(E24:AH24, "X")), "")))</f>
        <v/>
      </c>
      <c r="AJ24" s="110">
        <f>IF(ISBLANK(B24), "", IF(ISNUMBER(D24), IF(D24&gt;0, (COUNTIF(E24:AH24, "✓") + COUNTIF(E24:AH24, "✔") + COUNTIF(E24:AH24, "v") + COUNTIF(E24:AH24, "V")) &amp; "/" &amp; D24, (COUNTIF(E24:AH24, "✓") + COUNTIF(E24:AH24, "✔") + COUNTIF(E24:AH24, "v") + COUNTIF(E24:AH24, "V")) &amp; "/0"), IF(((COUNTIF(E24:AH24, "✓") + COUNTIF(E24:AH24, "✔") + COUNTIF(E24:AH24, "v") + COUNTIF(E24:AH24, "V")) + COUNTIF(E24:AH24, "✗") + COUNTIF(E24:AH24, "x") + COUNTIF(E24:AH24, "X"))&gt;0, (COUNTIF(E24:AH24, "✓") + COUNTIF(E24:AH24, "✔") + COUNTIF(E24:AH24, "v") + COUNTIF(E24:AH24, "V")) &amp; "/" &amp; ((COUNTIF(E24:AH24, "✓") + COUNTIF(E24:AH24, "✔") + COUNTIF(E24:AH24, "v") + COUNTIF(E24:AH24, "V")) + COUNTIF(E24:AH24, "✗") + COUNTIF(E24:AH24, "x") + COUNTIF(E24:AH24, "X")), "")))</f>
        <v/>
      </c>
      <c r="AK24" s="110">
        <f>IF(ISBLANK(B24), "", IF(AI24&gt;=0.85, "🔥 Mastered", IF(AI24&gt;=0.7, "⚡ Consistent", "⚠️ Needs Focus")))</f>
        <v/>
      </c>
      <c r="AL24">
        <f>COUNTIF(E24:AH24, "✓")</f>
        <v/>
      </c>
    </row>
    <row r="25" ht="14.5" customHeight="1">
      <c r="A25" s="104" t="n">
        <v>8</v>
      </c>
      <c r="B25" s="105" t="n"/>
      <c r="C25" s="106" t="n"/>
      <c r="D25" s="106" t="n"/>
      <c r="E25" s="107" t="n"/>
      <c r="F25" s="107" t="n"/>
      <c r="G25" s="107" t="n"/>
      <c r="H25" s="108" t="n"/>
      <c r="I25" s="107" t="n"/>
      <c r="J25" s="107" t="n"/>
      <c r="K25" s="107" t="n"/>
      <c r="L25" s="107" t="n"/>
      <c r="M25" s="107" t="n"/>
      <c r="N25" s="107" t="n"/>
      <c r="O25" s="108" t="n"/>
      <c r="P25" s="107" t="n"/>
      <c r="Q25" s="107" t="n"/>
      <c r="R25" s="107" t="n"/>
      <c r="S25" s="107" t="n"/>
      <c r="T25" s="107" t="n"/>
      <c r="U25" s="107" t="n"/>
      <c r="V25" s="108" t="n"/>
      <c r="W25" s="107" t="n"/>
      <c r="X25" s="107" t="n"/>
      <c r="Y25" s="107" t="n"/>
      <c r="Z25" s="107" t="n"/>
      <c r="AA25" s="107" t="n"/>
      <c r="AB25" s="107" t="n"/>
      <c r="AC25" s="108" t="n"/>
      <c r="AD25" s="107" t="n"/>
      <c r="AE25" s="107" t="n"/>
      <c r="AF25" s="107" t="n"/>
      <c r="AG25" s="107" t="n"/>
      <c r="AH25" s="107" t="n"/>
      <c r="AI25" s="109">
        <f>IF(ISBLANK(B25), "", IF(ISNUMBER(D25), IF(D25&gt;0, (COUNTIF(E25:AH25, "✓") + COUNTIF(E25:AH25, "✔") + COUNTIF(E25:AH25, "v") + COUNTIF(E25:AH25, "V"))/D25, 0), IF(((COUNTIF(E25:AH25, "✓") + COUNTIF(E25:AH25, "✔") + COUNTIF(E25:AH25, "v") + COUNTIF(E25:AH25, "V")) + COUNTIF(E25:AH25, "✗") + COUNTIF(E25:AH25, "x") + COUNTIF(E25:AH25, "X"))&gt;0, (COUNTIF(E25:AH25, "✓") + COUNTIF(E25:AH25, "✔") + COUNTIF(E25:AH25, "v") + COUNTIF(E25:AH25, "V"))/((COUNTIF(E25:AH25, "✓") + COUNTIF(E25:AH25, "✔") + COUNTIF(E25:AH25, "v") + COUNTIF(E25:AH25, "V")) + COUNTIF(E25:AH25, "✗") + COUNTIF(E25:AH25, "x") + COUNTIF(E25:AH25, "X")), "")))</f>
        <v/>
      </c>
      <c r="AJ25" s="110">
        <f>IF(ISBLANK(B25), "", IF(ISNUMBER(D25), IF(D25&gt;0, (COUNTIF(E25:AH25, "✓") + COUNTIF(E25:AH25, "✔") + COUNTIF(E25:AH25, "v") + COUNTIF(E25:AH25, "V")) &amp; "/" &amp; D25, (COUNTIF(E25:AH25, "✓") + COUNTIF(E25:AH25, "✔") + COUNTIF(E25:AH25, "v") + COUNTIF(E25:AH25, "V")) &amp; "/0"), IF(((COUNTIF(E25:AH25, "✓") + COUNTIF(E25:AH25, "✔") + COUNTIF(E25:AH25, "v") + COUNTIF(E25:AH25, "V")) + COUNTIF(E25:AH25, "✗") + COUNTIF(E25:AH25, "x") + COUNTIF(E25:AH25, "X"))&gt;0, (COUNTIF(E25:AH25, "✓") + COUNTIF(E25:AH25, "✔") + COUNTIF(E25:AH25, "v") + COUNTIF(E25:AH25, "V")) &amp; "/" &amp; ((COUNTIF(E25:AH25, "✓") + COUNTIF(E25:AH25, "✔") + COUNTIF(E25:AH25, "v") + COUNTIF(E25:AH25, "V")) + COUNTIF(E25:AH25, "✗") + COUNTIF(E25:AH25, "x") + COUNTIF(E25:AH25, "X")), "")))</f>
        <v/>
      </c>
      <c r="AK25" s="110">
        <f>IF(ISBLANK(B25), "", IF(AI25&gt;=0.85, "🔥 Mastered", IF(AI25&gt;=0.7, "⚡ Consistent", "⚠️ Needs Focus")))</f>
        <v/>
      </c>
      <c r="AL25">
        <f>COUNTIF(E25:AH25, "✓")</f>
        <v/>
      </c>
    </row>
    <row r="26" ht="14.5" customHeight="1">
      <c r="A26" s="111" t="n">
        <v>9</v>
      </c>
      <c r="B26" s="112" t="n"/>
      <c r="C26" s="113" t="n"/>
      <c r="D26" s="113" t="n"/>
      <c r="E26" s="114" t="n"/>
      <c r="F26" s="114" t="n"/>
      <c r="G26" s="114" t="n"/>
      <c r="H26" s="115" t="n"/>
      <c r="I26" s="114" t="n"/>
      <c r="J26" s="114" t="n"/>
      <c r="K26" s="114" t="n"/>
      <c r="L26" s="114" t="n"/>
      <c r="M26" s="114" t="n"/>
      <c r="N26" s="114" t="n"/>
      <c r="O26" s="115" t="n"/>
      <c r="P26" s="114" t="n"/>
      <c r="Q26" s="114" t="n"/>
      <c r="R26" s="114" t="n"/>
      <c r="S26" s="114" t="n"/>
      <c r="T26" s="114" t="n"/>
      <c r="U26" s="114" t="n"/>
      <c r="V26" s="115" t="n"/>
      <c r="W26" s="114" t="n"/>
      <c r="X26" s="114" t="n"/>
      <c r="Y26" s="114" t="n"/>
      <c r="Z26" s="114" t="n"/>
      <c r="AA26" s="114" t="n"/>
      <c r="AB26" s="114" t="n"/>
      <c r="AC26" s="115" t="n"/>
      <c r="AD26" s="114" t="n"/>
      <c r="AE26" s="114" t="n"/>
      <c r="AF26" s="114" t="n"/>
      <c r="AG26" s="114" t="n"/>
      <c r="AH26" s="114" t="n"/>
      <c r="AI26" s="116">
        <f>IF(ISBLANK(B26), "", IF(ISNUMBER(D26), IF(D26&gt;0, (COUNTIF(E26:AH26, "✓") + COUNTIF(E26:AH26, "✔") + COUNTIF(E26:AH26, "v") + COUNTIF(E26:AH26, "V"))/D26, 0), IF(((COUNTIF(E26:AH26, "✓") + COUNTIF(E26:AH26, "✔") + COUNTIF(E26:AH26, "v") + COUNTIF(E26:AH26, "V")) + COUNTIF(E26:AH26, "✗") + COUNTIF(E26:AH26, "x") + COUNTIF(E26:AH26, "X"))&gt;0, (COUNTIF(E26:AH26, "✓") + COUNTIF(E26:AH26, "✔") + COUNTIF(E26:AH26, "v") + COUNTIF(E26:AH26, "V"))/((COUNTIF(E26:AH26, "✓") + COUNTIF(E26:AH26, "✔") + COUNTIF(E26:AH26, "v") + COUNTIF(E26:AH26, "V")) + COUNTIF(E26:AH26, "✗") + COUNTIF(E26:AH26, "x") + COUNTIF(E26:AH26, "X")), "")))</f>
        <v/>
      </c>
      <c r="AJ26" s="117">
        <f>IF(ISBLANK(B26), "", IF(ISNUMBER(D26), IF(D26&gt;0, (COUNTIF(E26:AH26, "✓") + COUNTIF(E26:AH26, "✔") + COUNTIF(E26:AH26, "v") + COUNTIF(E26:AH26, "V")) &amp; "/" &amp; D26, (COUNTIF(E26:AH26, "✓") + COUNTIF(E26:AH26, "✔") + COUNTIF(E26:AH26, "v") + COUNTIF(E26:AH26, "V")) &amp; "/0"), IF(((COUNTIF(E26:AH26, "✓") + COUNTIF(E26:AH26, "✔") + COUNTIF(E26:AH26, "v") + COUNTIF(E26:AH26, "V")) + COUNTIF(E26:AH26, "✗") + COUNTIF(E26:AH26, "x") + COUNTIF(E26:AH26, "X"))&gt;0, (COUNTIF(E26:AH26, "✓") + COUNTIF(E26:AH26, "✔") + COUNTIF(E26:AH26, "v") + COUNTIF(E26:AH26, "V")) &amp; "/" &amp; ((COUNTIF(E26:AH26, "✓") + COUNTIF(E26:AH26, "✔") + COUNTIF(E26:AH26, "v") + COUNTIF(E26:AH26, "V")) + COUNTIF(E26:AH26, "✗") + COUNTIF(E26:AH26, "x") + COUNTIF(E26:AH26, "X")), "")))</f>
        <v/>
      </c>
      <c r="AK26" s="117">
        <f>IF(ISBLANK(B26), "", IF(AI26&gt;=0.85, "🔥 Mastered", IF(AI26&gt;=0.7, "⚡ Consistent", "⚠️ Needs Focus")))</f>
        <v/>
      </c>
      <c r="AL26">
        <f>COUNTIF(E26:AH26, "✓")</f>
        <v/>
      </c>
    </row>
    <row r="27" ht="14.5" customHeight="1">
      <c r="A27" s="111" t="n">
        <v>10</v>
      </c>
      <c r="B27" s="112" t="n"/>
      <c r="C27" s="113" t="n"/>
      <c r="D27" s="113" t="n"/>
      <c r="E27" s="114" t="n"/>
      <c r="F27" s="114" t="n"/>
      <c r="G27" s="114" t="n"/>
      <c r="H27" s="115" t="n"/>
      <c r="I27" s="114" t="n"/>
      <c r="J27" s="114" t="n"/>
      <c r="K27" s="114" t="n"/>
      <c r="L27" s="114" t="n"/>
      <c r="M27" s="114" t="n"/>
      <c r="N27" s="114" t="n"/>
      <c r="O27" s="115" t="n"/>
      <c r="P27" s="114" t="n"/>
      <c r="Q27" s="114" t="n"/>
      <c r="R27" s="114" t="n"/>
      <c r="S27" s="114" t="n"/>
      <c r="T27" s="114" t="n"/>
      <c r="U27" s="114" t="n"/>
      <c r="V27" s="115" t="n"/>
      <c r="W27" s="114" t="n"/>
      <c r="X27" s="114" t="n"/>
      <c r="Y27" s="114" t="n"/>
      <c r="Z27" s="114" t="n"/>
      <c r="AA27" s="114" t="n"/>
      <c r="AB27" s="114" t="n"/>
      <c r="AC27" s="115" t="n"/>
      <c r="AD27" s="114" t="n"/>
      <c r="AE27" s="114" t="n"/>
      <c r="AF27" s="114" t="n"/>
      <c r="AG27" s="114" t="n"/>
      <c r="AH27" s="114" t="n"/>
      <c r="AI27" s="116">
        <f>IF(ISBLANK(B27), "", IF(ISNUMBER(D27), IF(D27&gt;0, (COUNTIF(E27:AH27, "✓") + COUNTIF(E27:AH27, "✔") + COUNTIF(E27:AH27, "v") + COUNTIF(E27:AH27, "V"))/D27, 0), IF(((COUNTIF(E27:AH27, "✓") + COUNTIF(E27:AH27, "✔") + COUNTIF(E27:AH27, "v") + COUNTIF(E27:AH27, "V")) + COUNTIF(E27:AH27, "✗") + COUNTIF(E27:AH27, "x") + COUNTIF(E27:AH27, "X"))&gt;0, (COUNTIF(E27:AH27, "✓") + COUNTIF(E27:AH27, "✔") + COUNTIF(E27:AH27, "v") + COUNTIF(E27:AH27, "V"))/((COUNTIF(E27:AH27, "✓") + COUNTIF(E27:AH27, "✔") + COUNTIF(E27:AH27, "v") + COUNTIF(E27:AH27, "V")) + COUNTIF(E27:AH27, "✗") + COUNTIF(E27:AH27, "x") + COUNTIF(E27:AH27, "X")), "")))</f>
        <v/>
      </c>
      <c r="AJ27" s="117">
        <f>IF(ISBLANK(B27), "", IF(ISNUMBER(D27), IF(D27&gt;0, (COUNTIF(E27:AH27, "✓") + COUNTIF(E27:AH27, "✔") + COUNTIF(E27:AH27, "v") + COUNTIF(E27:AH27, "V")) &amp; "/" &amp; D27, (COUNTIF(E27:AH27, "✓") + COUNTIF(E27:AH27, "✔") + COUNTIF(E27:AH27, "v") + COUNTIF(E27:AH27, "V")) &amp; "/0"), IF(((COUNTIF(E27:AH27, "✓") + COUNTIF(E27:AH27, "✔") + COUNTIF(E27:AH27, "v") + COUNTIF(E27:AH27, "V")) + COUNTIF(E27:AH27, "✗") + COUNTIF(E27:AH27, "x") + COUNTIF(E27:AH27, "X"))&gt;0, (COUNTIF(E27:AH27, "✓") + COUNTIF(E27:AH27, "✔") + COUNTIF(E27:AH27, "v") + COUNTIF(E27:AH27, "V")) &amp; "/" &amp; ((COUNTIF(E27:AH27, "✓") + COUNTIF(E27:AH27, "✔") + COUNTIF(E27:AH27, "v") + COUNTIF(E27:AH27, "V")) + COUNTIF(E27:AH27, "✗") + COUNTIF(E27:AH27, "x") + COUNTIF(E27:AH27, "X")), "")))</f>
        <v/>
      </c>
      <c r="AK27" s="117">
        <f>IF(ISBLANK(B27), "", IF(AI27&gt;=0.85, "🔥 Mastered", IF(AI27&gt;=0.7, "⚡ Consistent", "⚠️ Needs Focus")))</f>
        <v/>
      </c>
      <c r="AL27">
        <f>COUNTIF(E27:AH27, "✓")</f>
        <v/>
      </c>
    </row>
    <row r="28" ht="14.5" customHeight="1">
      <c r="A28" s="111" t="n">
        <v>11</v>
      </c>
      <c r="B28" s="112" t="n"/>
      <c r="C28" s="113" t="n"/>
      <c r="D28" s="113" t="n"/>
      <c r="E28" s="114" t="n"/>
      <c r="F28" s="114" t="n"/>
      <c r="G28" s="114" t="n"/>
      <c r="H28" s="115" t="n"/>
      <c r="I28" s="114" t="n"/>
      <c r="J28" s="114" t="n"/>
      <c r="K28" s="114" t="n"/>
      <c r="L28" s="114" t="n"/>
      <c r="M28" s="114" t="n"/>
      <c r="N28" s="114" t="n"/>
      <c r="O28" s="115" t="n"/>
      <c r="P28" s="114" t="n"/>
      <c r="Q28" s="114" t="n"/>
      <c r="R28" s="114" t="n"/>
      <c r="S28" s="114" t="n"/>
      <c r="T28" s="114" t="n"/>
      <c r="U28" s="114" t="n"/>
      <c r="V28" s="115" t="n"/>
      <c r="W28" s="114" t="n"/>
      <c r="X28" s="114" t="n"/>
      <c r="Y28" s="114" t="n"/>
      <c r="Z28" s="114" t="n"/>
      <c r="AA28" s="114" t="n"/>
      <c r="AB28" s="114" t="n"/>
      <c r="AC28" s="115" t="n"/>
      <c r="AD28" s="114" t="n"/>
      <c r="AE28" s="114" t="n"/>
      <c r="AF28" s="114" t="n"/>
      <c r="AG28" s="114" t="n"/>
      <c r="AH28" s="114" t="n"/>
      <c r="AI28" s="116">
        <f>IF(ISBLANK(B28), "", IF(ISNUMBER(D28), IF(D28&gt;0, (COUNTIF(E28:AH28, "✓") + COUNTIF(E28:AH28, "✔") + COUNTIF(E28:AH28, "v") + COUNTIF(E28:AH28, "V"))/D28, 0), IF(((COUNTIF(E28:AH28, "✓") + COUNTIF(E28:AH28, "✔") + COUNTIF(E28:AH28, "v") + COUNTIF(E28:AH28, "V")) + COUNTIF(E28:AH28, "✗") + COUNTIF(E28:AH28, "x") + COUNTIF(E28:AH28, "X"))&gt;0, (COUNTIF(E28:AH28, "✓") + COUNTIF(E28:AH28, "✔") + COUNTIF(E28:AH28, "v") + COUNTIF(E28:AH28, "V"))/((COUNTIF(E28:AH28, "✓") + COUNTIF(E28:AH28, "✔") + COUNTIF(E28:AH28, "v") + COUNTIF(E28:AH28, "V")) + COUNTIF(E28:AH28, "✗") + COUNTIF(E28:AH28, "x") + COUNTIF(E28:AH28, "X")), "")))</f>
        <v/>
      </c>
      <c r="AJ28" s="117">
        <f>IF(ISBLANK(B28), "", IF(ISNUMBER(D28), IF(D28&gt;0, (COUNTIF(E28:AH28, "✓") + COUNTIF(E28:AH28, "✔") + COUNTIF(E28:AH28, "v") + COUNTIF(E28:AH28, "V")) &amp; "/" &amp; D28, (COUNTIF(E28:AH28, "✓") + COUNTIF(E28:AH28, "✔") + COUNTIF(E28:AH28, "v") + COUNTIF(E28:AH28, "V")) &amp; "/0"), IF(((COUNTIF(E28:AH28, "✓") + COUNTIF(E28:AH28, "✔") + COUNTIF(E28:AH28, "v") + COUNTIF(E28:AH28, "V")) + COUNTIF(E28:AH28, "✗") + COUNTIF(E28:AH28, "x") + COUNTIF(E28:AH28, "X"))&gt;0, (COUNTIF(E28:AH28, "✓") + COUNTIF(E28:AH28, "✔") + COUNTIF(E28:AH28, "v") + COUNTIF(E28:AH28, "V")) &amp; "/" &amp; ((COUNTIF(E28:AH28, "✓") + COUNTIF(E28:AH28, "✔") + COUNTIF(E28:AH28, "v") + COUNTIF(E28:AH28, "V")) + COUNTIF(E28:AH28, "✗") + COUNTIF(E28:AH28, "x") + COUNTIF(E28:AH28, "X")), "")))</f>
        <v/>
      </c>
      <c r="AK28" s="117">
        <f>IF(ISBLANK(B28), "", IF(AI28&gt;=0.85, "🔥 Mastered", IF(AI28&gt;=0.7, "⚡ Consistent", "⚠️ Needs Focus")))</f>
        <v/>
      </c>
      <c r="AL28">
        <f>COUNTIF(E28:AH28, "✓")</f>
        <v/>
      </c>
    </row>
    <row r="29" ht="14.5" customHeight="1">
      <c r="A29" s="111" t="n">
        <v>12</v>
      </c>
      <c r="B29" s="112" t="n"/>
      <c r="C29" s="113" t="n"/>
      <c r="D29" s="113" t="n"/>
      <c r="E29" s="114" t="n"/>
      <c r="F29" s="114" t="n"/>
      <c r="G29" s="114" t="n"/>
      <c r="H29" s="115" t="n"/>
      <c r="I29" s="114" t="n"/>
      <c r="J29" s="114" t="n"/>
      <c r="K29" s="114" t="n"/>
      <c r="L29" s="114" t="n"/>
      <c r="M29" s="114" t="n"/>
      <c r="N29" s="114" t="n"/>
      <c r="O29" s="115" t="n"/>
      <c r="P29" s="114" t="n"/>
      <c r="Q29" s="114" t="n"/>
      <c r="R29" s="114" t="n"/>
      <c r="S29" s="114" t="n"/>
      <c r="T29" s="114" t="n"/>
      <c r="U29" s="114" t="n"/>
      <c r="V29" s="115" t="n"/>
      <c r="W29" s="114" t="n"/>
      <c r="X29" s="114" t="n"/>
      <c r="Y29" s="114" t="n"/>
      <c r="Z29" s="114" t="n"/>
      <c r="AA29" s="114" t="n"/>
      <c r="AB29" s="114" t="n"/>
      <c r="AC29" s="115" t="n"/>
      <c r="AD29" s="114" t="n"/>
      <c r="AE29" s="114" t="n"/>
      <c r="AF29" s="114" t="n"/>
      <c r="AG29" s="114" t="n"/>
      <c r="AH29" s="114" t="n"/>
      <c r="AI29" s="116">
        <f>IF(ISBLANK(B29), "", IF(ISNUMBER(D29), IF(D29&gt;0, (COUNTIF(E29:AH29, "✓") + COUNTIF(E29:AH29, "✔") + COUNTIF(E29:AH29, "v") + COUNTIF(E29:AH29, "V"))/D29, 0), IF(((COUNTIF(E29:AH29, "✓") + COUNTIF(E29:AH29, "✔") + COUNTIF(E29:AH29, "v") + COUNTIF(E29:AH29, "V")) + COUNTIF(E29:AH29, "✗") + COUNTIF(E29:AH29, "x") + COUNTIF(E29:AH29, "X"))&gt;0, (COUNTIF(E29:AH29, "✓") + COUNTIF(E29:AH29, "✔") + COUNTIF(E29:AH29, "v") + COUNTIF(E29:AH29, "V"))/((COUNTIF(E29:AH29, "✓") + COUNTIF(E29:AH29, "✔") + COUNTIF(E29:AH29, "v") + COUNTIF(E29:AH29, "V")) + COUNTIF(E29:AH29, "✗") + COUNTIF(E29:AH29, "x") + COUNTIF(E29:AH29, "X")), "")))</f>
        <v/>
      </c>
      <c r="AJ29" s="117">
        <f>IF(ISBLANK(B29), "", IF(ISNUMBER(D29), IF(D29&gt;0, (COUNTIF(E29:AH29, "✓") + COUNTIF(E29:AH29, "✔") + COUNTIF(E29:AH29, "v") + COUNTIF(E29:AH29, "V")) &amp; "/" &amp; D29, (COUNTIF(E29:AH29, "✓") + COUNTIF(E29:AH29, "✔") + COUNTIF(E29:AH29, "v") + COUNTIF(E29:AH29, "V")) &amp; "/0"), IF(((COUNTIF(E29:AH29, "✓") + COUNTIF(E29:AH29, "✔") + COUNTIF(E29:AH29, "v") + COUNTIF(E29:AH29, "V")) + COUNTIF(E29:AH29, "✗") + COUNTIF(E29:AH29, "x") + COUNTIF(E29:AH29, "X"))&gt;0, (COUNTIF(E29:AH29, "✓") + COUNTIF(E29:AH29, "✔") + COUNTIF(E29:AH29, "v") + COUNTIF(E29:AH29, "V")) &amp; "/" &amp; ((COUNTIF(E29:AH29, "✓") + COUNTIF(E29:AH29, "✔") + COUNTIF(E29:AH29, "v") + COUNTIF(E29:AH29, "V")) + COUNTIF(E29:AH29, "✗") + COUNTIF(E29:AH29, "x") + COUNTIF(E29:AH29, "X")), "")))</f>
        <v/>
      </c>
      <c r="AK29" s="117">
        <f>IF(ISBLANK(B29), "", IF(AI29&gt;=0.85, "🔥 Mastered", IF(AI29&gt;=0.7, "⚡ Consistent", "⚠️ Needs Focus")))</f>
        <v/>
      </c>
      <c r="AL29">
        <f>COUNTIF(E29:AH29, "✓")</f>
        <v/>
      </c>
    </row>
    <row r="30" ht="14.5" customHeight="1">
      <c r="A30" s="118" t="n">
        <v>13</v>
      </c>
      <c r="B30" s="119" t="n"/>
      <c r="C30" s="120" t="n"/>
      <c r="D30" s="120" t="n"/>
      <c r="E30" s="121" t="n"/>
      <c r="F30" s="121" t="n"/>
      <c r="G30" s="121" t="n"/>
      <c r="H30" s="122" t="n"/>
      <c r="I30" s="121" t="n"/>
      <c r="J30" s="121" t="n"/>
      <c r="K30" s="121" t="n"/>
      <c r="L30" s="121" t="n"/>
      <c r="M30" s="121" t="n"/>
      <c r="N30" s="121" t="n"/>
      <c r="O30" s="122" t="n"/>
      <c r="P30" s="121" t="n"/>
      <c r="Q30" s="121" t="n"/>
      <c r="R30" s="121" t="n"/>
      <c r="S30" s="121" t="n"/>
      <c r="T30" s="121" t="n"/>
      <c r="U30" s="121" t="n"/>
      <c r="V30" s="122" t="n"/>
      <c r="W30" s="121" t="n"/>
      <c r="X30" s="121" t="n"/>
      <c r="Y30" s="121" t="n"/>
      <c r="Z30" s="121" t="n"/>
      <c r="AA30" s="121" t="n"/>
      <c r="AB30" s="121" t="n"/>
      <c r="AC30" s="122" t="n"/>
      <c r="AD30" s="121" t="n"/>
      <c r="AE30" s="121" t="n"/>
      <c r="AF30" s="121" t="n"/>
      <c r="AG30" s="121" t="n"/>
      <c r="AH30" s="121" t="n"/>
      <c r="AI30" s="123">
        <f>IF(ISBLANK(B30), "", IF(ISNUMBER(D30), IF(D30&gt;0, (COUNTIF(E30:AH30, "✓") + COUNTIF(E30:AH30, "✔") + COUNTIF(E30:AH30, "v") + COUNTIF(E30:AH30, "V"))/D30, 0), IF(((COUNTIF(E30:AH30, "✓") + COUNTIF(E30:AH30, "✔") + COUNTIF(E30:AH30, "v") + COUNTIF(E30:AH30, "V")) + COUNTIF(E30:AH30, "✗") + COUNTIF(E30:AH30, "x") + COUNTIF(E30:AH30, "X"))&gt;0, (COUNTIF(E30:AH30, "✓") + COUNTIF(E30:AH30, "✔") + COUNTIF(E30:AH30, "v") + COUNTIF(E30:AH30, "V"))/((COUNTIF(E30:AH30, "✓") + COUNTIF(E30:AH30, "✔") + COUNTIF(E30:AH30, "v") + COUNTIF(E30:AH30, "V")) + COUNTIF(E30:AH30, "✗") + COUNTIF(E30:AH30, "x") + COUNTIF(E30:AH30, "X")), "")))</f>
        <v/>
      </c>
      <c r="AJ30" s="124">
        <f>IF(ISBLANK(B30), "", IF(ISNUMBER(D30), IF(D30&gt;0, (COUNTIF(E30:AH30, "✓") + COUNTIF(E30:AH30, "✔") + COUNTIF(E30:AH30, "v") + COUNTIF(E30:AH30, "V")) &amp; "/" &amp; D30, (COUNTIF(E30:AH30, "✓") + COUNTIF(E30:AH30, "✔") + COUNTIF(E30:AH30, "v") + COUNTIF(E30:AH30, "V")) &amp; "/0"), IF(((COUNTIF(E30:AH30, "✓") + COUNTIF(E30:AH30, "✔") + COUNTIF(E30:AH30, "v") + COUNTIF(E30:AH30, "V")) + COUNTIF(E30:AH30, "✗") + COUNTIF(E30:AH30, "x") + COUNTIF(E30:AH30, "X"))&gt;0, (COUNTIF(E30:AH30, "✓") + COUNTIF(E30:AH30, "✔") + COUNTIF(E30:AH30, "v") + COUNTIF(E30:AH30, "V")) &amp; "/" &amp; ((COUNTIF(E30:AH30, "✓") + COUNTIF(E30:AH30, "✔") + COUNTIF(E30:AH30, "v") + COUNTIF(E30:AH30, "V")) + COUNTIF(E30:AH30, "✗") + COUNTIF(E30:AH30, "x") + COUNTIF(E30:AH30, "X")), "")))</f>
        <v/>
      </c>
      <c r="AK30" s="124">
        <f>IF(ISBLANK(B30), "", IF(AI30&gt;=0.85, "🔥 Mastered", IF(AI30&gt;=0.7, "⚡ Consistent", "⚠️ Needs Focus")))</f>
        <v/>
      </c>
      <c r="AL30">
        <f>COUNTIF(E30:AH30, "✓")</f>
        <v/>
      </c>
    </row>
    <row r="31" ht="14.5" customHeight="1">
      <c r="A31" s="118" t="n">
        <v>14</v>
      </c>
      <c r="B31" s="119" t="n"/>
      <c r="C31" s="120" t="n"/>
      <c r="D31" s="120" t="n"/>
      <c r="E31" s="121" t="n"/>
      <c r="F31" s="121" t="n"/>
      <c r="G31" s="121" t="n"/>
      <c r="H31" s="122" t="n"/>
      <c r="I31" s="121" t="n"/>
      <c r="J31" s="121" t="n"/>
      <c r="K31" s="121" t="n"/>
      <c r="L31" s="121" t="n"/>
      <c r="M31" s="121" t="n"/>
      <c r="N31" s="121" t="n"/>
      <c r="O31" s="122" t="n"/>
      <c r="P31" s="121" t="n"/>
      <c r="Q31" s="121" t="n"/>
      <c r="R31" s="121" t="n"/>
      <c r="S31" s="121" t="n"/>
      <c r="T31" s="121" t="n"/>
      <c r="U31" s="121" t="n"/>
      <c r="V31" s="122" t="n"/>
      <c r="W31" s="121" t="n"/>
      <c r="X31" s="121" t="n"/>
      <c r="Y31" s="121" t="n"/>
      <c r="Z31" s="121" t="n"/>
      <c r="AA31" s="121" t="n"/>
      <c r="AB31" s="121" t="n"/>
      <c r="AC31" s="122" t="n"/>
      <c r="AD31" s="121" t="n"/>
      <c r="AE31" s="121" t="n"/>
      <c r="AF31" s="121" t="n"/>
      <c r="AG31" s="121" t="n"/>
      <c r="AH31" s="121" t="n"/>
      <c r="AI31" s="123">
        <f>IF(ISBLANK(B31), "", IF(ISNUMBER(D31), IF(D31&gt;0, (COUNTIF(E31:AH31, "✓") + COUNTIF(E31:AH31, "✔") + COUNTIF(E31:AH31, "v") + COUNTIF(E31:AH31, "V"))/D31, 0), IF(((COUNTIF(E31:AH31, "✓") + COUNTIF(E31:AH31, "✔") + COUNTIF(E31:AH31, "v") + COUNTIF(E31:AH31, "V")) + COUNTIF(E31:AH31, "✗") + COUNTIF(E31:AH31, "x") + COUNTIF(E31:AH31, "X"))&gt;0, (COUNTIF(E31:AH31, "✓") + COUNTIF(E31:AH31, "✔") + COUNTIF(E31:AH31, "v") + COUNTIF(E31:AH31, "V"))/((COUNTIF(E31:AH31, "✓") + COUNTIF(E31:AH31, "✔") + COUNTIF(E31:AH31, "v") + COUNTIF(E31:AH31, "V")) + COUNTIF(E31:AH31, "✗") + COUNTIF(E31:AH31, "x") + COUNTIF(E31:AH31, "X")), "")))</f>
        <v/>
      </c>
      <c r="AJ31" s="124">
        <f>IF(ISBLANK(B31), "", IF(ISNUMBER(D31), IF(D31&gt;0, (COUNTIF(E31:AH31, "✓") + COUNTIF(E31:AH31, "✔") + COUNTIF(E31:AH31, "v") + COUNTIF(E31:AH31, "V")) &amp; "/" &amp; D31, (COUNTIF(E31:AH31, "✓") + COUNTIF(E31:AH31, "✔") + COUNTIF(E31:AH31, "v") + COUNTIF(E31:AH31, "V")) &amp; "/0"), IF(((COUNTIF(E31:AH31, "✓") + COUNTIF(E31:AH31, "✔") + COUNTIF(E31:AH31, "v") + COUNTIF(E31:AH31, "V")) + COUNTIF(E31:AH31, "✗") + COUNTIF(E31:AH31, "x") + COUNTIF(E31:AH31, "X"))&gt;0, (COUNTIF(E31:AH31, "✓") + COUNTIF(E31:AH31, "✔") + COUNTIF(E31:AH31, "v") + COUNTIF(E31:AH31, "V")) &amp; "/" &amp; ((COUNTIF(E31:AH31, "✓") + COUNTIF(E31:AH31, "✔") + COUNTIF(E31:AH31, "v") + COUNTIF(E31:AH31, "V")) + COUNTIF(E31:AH31, "✗") + COUNTIF(E31:AH31, "x") + COUNTIF(E31:AH31, "X")), "")))</f>
        <v/>
      </c>
      <c r="AK31" s="124">
        <f>IF(ISBLANK(B31), "", IF(AI31&gt;=0.85, "🔥 Mastered", IF(AI31&gt;=0.7, "⚡ Consistent", "⚠️ Needs Focus")))</f>
        <v/>
      </c>
      <c r="AL31">
        <f>COUNTIF(E31:AH31, "✓")</f>
        <v/>
      </c>
    </row>
    <row r="32" ht="14.5" customHeight="1">
      <c r="A32" s="118" t="n">
        <v>15</v>
      </c>
      <c r="B32" s="119" t="n"/>
      <c r="C32" s="120" t="n"/>
      <c r="D32" s="120" t="n"/>
      <c r="E32" s="121" t="n"/>
      <c r="F32" s="121" t="n"/>
      <c r="G32" s="121" t="n"/>
      <c r="H32" s="122" t="n"/>
      <c r="I32" s="121" t="n"/>
      <c r="J32" s="121" t="n"/>
      <c r="K32" s="121" t="n"/>
      <c r="L32" s="121" t="n"/>
      <c r="M32" s="121" t="n"/>
      <c r="N32" s="121" t="n"/>
      <c r="O32" s="122" t="n"/>
      <c r="P32" s="121" t="n"/>
      <c r="Q32" s="121" t="n"/>
      <c r="R32" s="121" t="n"/>
      <c r="S32" s="121" t="n"/>
      <c r="T32" s="121" t="n"/>
      <c r="U32" s="121" t="n"/>
      <c r="V32" s="122" t="n"/>
      <c r="W32" s="121" t="n"/>
      <c r="X32" s="121" t="n"/>
      <c r="Y32" s="121" t="n"/>
      <c r="Z32" s="121" t="n"/>
      <c r="AA32" s="121" t="n"/>
      <c r="AB32" s="121" t="n"/>
      <c r="AC32" s="122" t="n"/>
      <c r="AD32" s="121" t="n"/>
      <c r="AE32" s="121" t="n"/>
      <c r="AF32" s="121" t="n"/>
      <c r="AG32" s="121" t="n"/>
      <c r="AH32" s="121" t="n"/>
      <c r="AI32" s="123">
        <f>IF(ISBLANK(B32), "", IF(ISNUMBER(D32), IF(D32&gt;0, (COUNTIF(E32:AH32, "✓") + COUNTIF(E32:AH32, "✔") + COUNTIF(E32:AH32, "v") + COUNTIF(E32:AH32, "V"))/D32, 0), IF(((COUNTIF(E32:AH32, "✓") + COUNTIF(E32:AH32, "✔") + COUNTIF(E32:AH32, "v") + COUNTIF(E32:AH32, "V")) + COUNTIF(E32:AH32, "✗") + COUNTIF(E32:AH32, "x") + COUNTIF(E32:AH32, "X"))&gt;0, (COUNTIF(E32:AH32, "✓") + COUNTIF(E32:AH32, "✔") + COUNTIF(E32:AH32, "v") + COUNTIF(E32:AH32, "V"))/((COUNTIF(E32:AH32, "✓") + COUNTIF(E32:AH32, "✔") + COUNTIF(E32:AH32, "v") + COUNTIF(E32:AH32, "V")) + COUNTIF(E32:AH32, "✗") + COUNTIF(E32:AH32, "x") + COUNTIF(E32:AH32, "X")), "")))</f>
        <v/>
      </c>
      <c r="AJ32" s="124">
        <f>IF(ISBLANK(B32), "", IF(ISNUMBER(D32), IF(D32&gt;0, (COUNTIF(E32:AH32, "✓") + COUNTIF(E32:AH32, "✔") + COUNTIF(E32:AH32, "v") + COUNTIF(E32:AH32, "V")) &amp; "/" &amp; D32, (COUNTIF(E32:AH32, "✓") + COUNTIF(E32:AH32, "✔") + COUNTIF(E32:AH32, "v") + COUNTIF(E32:AH32, "V")) &amp; "/0"), IF(((COUNTIF(E32:AH32, "✓") + COUNTIF(E32:AH32, "✔") + COUNTIF(E32:AH32, "v") + COUNTIF(E32:AH32, "V")) + COUNTIF(E32:AH32, "✗") + COUNTIF(E32:AH32, "x") + COUNTIF(E32:AH32, "X"))&gt;0, (COUNTIF(E32:AH32, "✓") + COUNTIF(E32:AH32, "✔") + COUNTIF(E32:AH32, "v") + COUNTIF(E32:AH32, "V")) &amp; "/" &amp; ((COUNTIF(E32:AH32, "✓") + COUNTIF(E32:AH32, "✔") + COUNTIF(E32:AH32, "v") + COUNTIF(E32:AH32, "V")) + COUNTIF(E32:AH32, "✗") + COUNTIF(E32:AH32, "x") + COUNTIF(E32:AH32, "X")), "")))</f>
        <v/>
      </c>
      <c r="AK32" s="124">
        <f>IF(ISBLANK(B32), "", IF(AI32&gt;=0.85, "🔥 Mastered", IF(AI32&gt;=0.7, "⚡ Consistent", "⚠️ Needs Focus")))</f>
        <v/>
      </c>
      <c r="AL32">
        <f>COUNTIF(E32:AH32, "✓")</f>
        <v/>
      </c>
    </row>
    <row r="33" ht="14.5" customHeight="1">
      <c r="A33" s="118" t="n">
        <v>16</v>
      </c>
      <c r="B33" s="119" t="n"/>
      <c r="C33" s="120" t="n"/>
      <c r="D33" s="120" t="n"/>
      <c r="E33" s="121" t="n"/>
      <c r="F33" s="121" t="n"/>
      <c r="G33" s="121" t="n"/>
      <c r="H33" s="122" t="n"/>
      <c r="I33" s="121" t="n"/>
      <c r="J33" s="121" t="n"/>
      <c r="K33" s="121" t="n"/>
      <c r="L33" s="121" t="n"/>
      <c r="M33" s="121" t="n"/>
      <c r="N33" s="121" t="n"/>
      <c r="O33" s="122" t="n"/>
      <c r="P33" s="121" t="n"/>
      <c r="Q33" s="121" t="n"/>
      <c r="R33" s="121" t="n"/>
      <c r="S33" s="121" t="n"/>
      <c r="T33" s="121" t="n"/>
      <c r="U33" s="121" t="n"/>
      <c r="V33" s="122" t="n"/>
      <c r="W33" s="121" t="n"/>
      <c r="X33" s="121" t="n"/>
      <c r="Y33" s="121" t="n"/>
      <c r="Z33" s="121" t="n"/>
      <c r="AA33" s="121" t="n"/>
      <c r="AB33" s="121" t="n"/>
      <c r="AC33" s="122" t="n"/>
      <c r="AD33" s="121" t="n"/>
      <c r="AE33" s="121" t="n"/>
      <c r="AF33" s="121" t="n"/>
      <c r="AG33" s="121" t="n"/>
      <c r="AH33" s="121" t="n"/>
      <c r="AI33" s="123">
        <f>IF(ISBLANK(B33), "", IF(ISNUMBER(D33), IF(D33&gt;0, (COUNTIF(E33:AH33, "✓") + COUNTIF(E33:AH33, "✔") + COUNTIF(E33:AH33, "v") + COUNTIF(E33:AH33, "V"))/D33, 0), IF(((COUNTIF(E33:AH33, "✓") + COUNTIF(E33:AH33, "✔") + COUNTIF(E33:AH33, "v") + COUNTIF(E33:AH33, "V")) + COUNTIF(E33:AH33, "✗") + COUNTIF(E33:AH33, "x") + COUNTIF(E33:AH33, "X"))&gt;0, (COUNTIF(E33:AH33, "✓") + COUNTIF(E33:AH33, "✔") + COUNTIF(E33:AH33, "v") + COUNTIF(E33:AH33, "V"))/((COUNTIF(E33:AH33, "✓") + COUNTIF(E33:AH33, "✔") + COUNTIF(E33:AH33, "v") + COUNTIF(E33:AH33, "V")) + COUNTIF(E33:AH33, "✗") + COUNTIF(E33:AH33, "x") + COUNTIF(E33:AH33, "X")), "")))</f>
        <v/>
      </c>
      <c r="AJ33" s="124">
        <f>IF(ISBLANK(B33), "", IF(ISNUMBER(D33), IF(D33&gt;0, (COUNTIF(E33:AH33, "✓") + COUNTIF(E33:AH33, "✔") + COUNTIF(E33:AH33, "v") + COUNTIF(E33:AH33, "V")) &amp; "/" &amp; D33, (COUNTIF(E33:AH33, "✓") + COUNTIF(E33:AH33, "✔") + COUNTIF(E33:AH33, "v") + COUNTIF(E33:AH33, "V")) &amp; "/0"), IF(((COUNTIF(E33:AH33, "✓") + COUNTIF(E33:AH33, "✔") + COUNTIF(E33:AH33, "v") + COUNTIF(E33:AH33, "V")) + COUNTIF(E33:AH33, "✗") + COUNTIF(E33:AH33, "x") + COUNTIF(E33:AH33, "X"))&gt;0, (COUNTIF(E33:AH33, "✓") + COUNTIF(E33:AH33, "✔") + COUNTIF(E33:AH33, "v") + COUNTIF(E33:AH33, "V")) &amp; "/" &amp; ((COUNTIF(E33:AH33, "✓") + COUNTIF(E33:AH33, "✔") + COUNTIF(E33:AH33, "v") + COUNTIF(E33:AH33, "V")) + COUNTIF(E33:AH33, "✗") + COUNTIF(E33:AH33, "x") + COUNTIF(E33:AH33, "X")), "")))</f>
        <v/>
      </c>
      <c r="AK33" s="124">
        <f>IF(ISBLANK(B33), "", IF(AI33&gt;=0.85, "🔥 Mastered", IF(AI33&gt;=0.7, "⚡ Consistent", "⚠️ Needs Focus")))</f>
        <v/>
      </c>
      <c r="AL33">
        <f>COUNTIF(E33:AH33, "✓")</f>
        <v/>
      </c>
    </row>
    <row r="34" ht="14.5" customHeight="1">
      <c r="A34" s="125" t="n">
        <v>17</v>
      </c>
      <c r="B34" s="126" t="n"/>
      <c r="C34" s="127" t="n"/>
      <c r="D34" s="127" t="n"/>
      <c r="E34" s="128" t="n"/>
      <c r="F34" s="128" t="n"/>
      <c r="G34" s="128" t="n"/>
      <c r="H34" s="129" t="n"/>
      <c r="I34" s="128" t="n"/>
      <c r="J34" s="128" t="n"/>
      <c r="K34" s="128" t="n"/>
      <c r="L34" s="128" t="n"/>
      <c r="M34" s="128" t="n"/>
      <c r="N34" s="128" t="n"/>
      <c r="O34" s="129" t="n"/>
      <c r="P34" s="128" t="n"/>
      <c r="Q34" s="128" t="n"/>
      <c r="R34" s="128" t="n"/>
      <c r="S34" s="128" t="n"/>
      <c r="T34" s="128" t="n"/>
      <c r="U34" s="128" t="n"/>
      <c r="V34" s="129" t="n"/>
      <c r="W34" s="128" t="n"/>
      <c r="X34" s="128" t="n"/>
      <c r="Y34" s="128" t="n"/>
      <c r="Z34" s="128" t="n"/>
      <c r="AA34" s="128" t="n"/>
      <c r="AB34" s="128" t="n"/>
      <c r="AC34" s="129" t="n"/>
      <c r="AD34" s="128" t="n"/>
      <c r="AE34" s="128" t="n"/>
      <c r="AF34" s="128" t="n"/>
      <c r="AG34" s="128" t="n"/>
      <c r="AH34" s="128" t="n"/>
      <c r="AI34" s="130">
        <f>IF(ISBLANK(B34), "", IF(ISNUMBER(D34), IF(D34&gt;0, (COUNTIF(E34:AH34, "✓") + COUNTIF(E34:AH34, "✔") + COUNTIF(E34:AH34, "v") + COUNTIF(E34:AH34, "V"))/D34, 0), IF(((COUNTIF(E34:AH34, "✓") + COUNTIF(E34:AH34, "✔") + COUNTIF(E34:AH34, "v") + COUNTIF(E34:AH34, "V")) + COUNTIF(E34:AH34, "✗") + COUNTIF(E34:AH34, "x") + COUNTIF(E34:AH34, "X"))&gt;0, (COUNTIF(E34:AH34, "✓") + COUNTIF(E34:AH34, "✔") + COUNTIF(E34:AH34, "v") + COUNTIF(E34:AH34, "V"))/((COUNTIF(E34:AH34, "✓") + COUNTIF(E34:AH34, "✔") + COUNTIF(E34:AH34, "v") + COUNTIF(E34:AH34, "V")) + COUNTIF(E34:AH34, "✗") + COUNTIF(E34:AH34, "x") + COUNTIF(E34:AH34, "X")), "")))</f>
        <v/>
      </c>
      <c r="AJ34" s="131">
        <f>IF(ISBLANK(B34), "", IF(ISNUMBER(D34), IF(D34&gt;0, (COUNTIF(E34:AH34, "✓") + COUNTIF(E34:AH34, "✔") + COUNTIF(E34:AH34, "v") + COUNTIF(E34:AH34, "V")) &amp; "/" &amp; D34, (COUNTIF(E34:AH34, "✓") + COUNTIF(E34:AH34, "✔") + COUNTIF(E34:AH34, "v") + COUNTIF(E34:AH34, "V")) &amp; "/0"), IF(((COUNTIF(E34:AH34, "✓") + COUNTIF(E34:AH34, "✔") + COUNTIF(E34:AH34, "v") + COUNTIF(E34:AH34, "V")) + COUNTIF(E34:AH34, "✗") + COUNTIF(E34:AH34, "x") + COUNTIF(E34:AH34, "X"))&gt;0, (COUNTIF(E34:AH34, "✓") + COUNTIF(E34:AH34, "✔") + COUNTIF(E34:AH34, "v") + COUNTIF(E34:AH34, "V")) &amp; "/" &amp; ((COUNTIF(E34:AH34, "✓") + COUNTIF(E34:AH34, "✔") + COUNTIF(E34:AH34, "v") + COUNTIF(E34:AH34, "V")) + COUNTIF(E34:AH34, "✗") + COUNTIF(E34:AH34, "x") + COUNTIF(E34:AH34, "X")), "")))</f>
        <v/>
      </c>
      <c r="AK34" s="131">
        <f>IF(ISBLANK(B34), "", IF(AI34&gt;=0.85, "🔥 Mastered", IF(AI34&gt;=0.7, "⚡ Consistent", "⚠️ Needs Focus")))</f>
        <v/>
      </c>
      <c r="AL34">
        <f>COUNTIF(E34:AH34, "✓")</f>
        <v/>
      </c>
    </row>
    <row r="35" ht="14.5" customHeight="1">
      <c r="A35" s="125" t="n">
        <v>18</v>
      </c>
      <c r="B35" s="126" t="n"/>
      <c r="C35" s="127" t="n"/>
      <c r="D35" s="127" t="n"/>
      <c r="E35" s="128" t="n"/>
      <c r="F35" s="128" t="n"/>
      <c r="G35" s="128" t="n"/>
      <c r="H35" s="129" t="n"/>
      <c r="I35" s="128" t="n"/>
      <c r="J35" s="128" t="n"/>
      <c r="K35" s="128" t="n"/>
      <c r="L35" s="128" t="n"/>
      <c r="M35" s="128" t="n"/>
      <c r="N35" s="128" t="n"/>
      <c r="O35" s="129" t="n"/>
      <c r="P35" s="128" t="n"/>
      <c r="Q35" s="128" t="n"/>
      <c r="R35" s="128" t="n"/>
      <c r="S35" s="128" t="n"/>
      <c r="T35" s="128" t="n"/>
      <c r="U35" s="128" t="n"/>
      <c r="V35" s="129" t="n"/>
      <c r="W35" s="128" t="n"/>
      <c r="X35" s="128" t="n"/>
      <c r="Y35" s="128" t="n"/>
      <c r="Z35" s="128" t="n"/>
      <c r="AA35" s="128" t="n"/>
      <c r="AB35" s="128" t="n"/>
      <c r="AC35" s="129" t="n"/>
      <c r="AD35" s="128" t="n"/>
      <c r="AE35" s="128" t="n"/>
      <c r="AF35" s="128" t="n"/>
      <c r="AG35" s="128" t="n"/>
      <c r="AH35" s="128" t="n"/>
      <c r="AI35" s="130">
        <f>IF(ISBLANK(B35), "", IF(ISNUMBER(D35), IF(D35&gt;0, (COUNTIF(E35:AH35, "✓") + COUNTIF(E35:AH35, "✔") + COUNTIF(E35:AH35, "v") + COUNTIF(E35:AH35, "V"))/D35, 0), IF(((COUNTIF(E35:AH35, "✓") + COUNTIF(E35:AH35, "✔") + COUNTIF(E35:AH35, "v") + COUNTIF(E35:AH35, "V")) + COUNTIF(E35:AH35, "✗") + COUNTIF(E35:AH35, "x") + COUNTIF(E35:AH35, "X"))&gt;0, (COUNTIF(E35:AH35, "✓") + COUNTIF(E35:AH35, "✔") + COUNTIF(E35:AH35, "v") + COUNTIF(E35:AH35, "V"))/((COUNTIF(E35:AH35, "✓") + COUNTIF(E35:AH35, "✔") + COUNTIF(E35:AH35, "v") + COUNTIF(E35:AH35, "V")) + COUNTIF(E35:AH35, "✗") + COUNTIF(E35:AH35, "x") + COUNTIF(E35:AH35, "X")), "")))</f>
        <v/>
      </c>
      <c r="AJ35" s="131">
        <f>IF(ISBLANK(B35), "", IF(ISNUMBER(D35), IF(D35&gt;0, (COUNTIF(E35:AH35, "✓") + COUNTIF(E35:AH35, "✔") + COUNTIF(E35:AH35, "v") + COUNTIF(E35:AH35, "V")) &amp; "/" &amp; D35, (COUNTIF(E35:AH35, "✓") + COUNTIF(E35:AH35, "✔") + COUNTIF(E35:AH35, "v") + COUNTIF(E35:AH35, "V")) &amp; "/0"), IF(((COUNTIF(E35:AH35, "✓") + COUNTIF(E35:AH35, "✔") + COUNTIF(E35:AH35, "v") + COUNTIF(E35:AH35, "V")) + COUNTIF(E35:AH35, "✗") + COUNTIF(E35:AH35, "x") + COUNTIF(E35:AH35, "X"))&gt;0, (COUNTIF(E35:AH35, "✓") + COUNTIF(E35:AH35, "✔") + COUNTIF(E35:AH35, "v") + COUNTIF(E35:AH35, "V")) &amp; "/" &amp; ((COUNTIF(E35:AH35, "✓") + COUNTIF(E35:AH35, "✔") + COUNTIF(E35:AH35, "v") + COUNTIF(E35:AH35, "V")) + COUNTIF(E35:AH35, "✗") + COUNTIF(E35:AH35, "x") + COUNTIF(E35:AH35, "X")), "")))</f>
        <v/>
      </c>
      <c r="AK35" s="131">
        <f>IF(ISBLANK(B35), "", IF(AI35&gt;=0.85, "🔥 Mastered", IF(AI35&gt;=0.7, "⚡ Consistent", "⚠️ Needs Focus")))</f>
        <v/>
      </c>
      <c r="AL35">
        <f>COUNTIF(E35:AH35, "✓")</f>
        <v/>
      </c>
    </row>
    <row r="36" ht="14.5" customHeight="1">
      <c r="A36" s="125" t="n">
        <v>19</v>
      </c>
      <c r="B36" s="126" t="n"/>
      <c r="C36" s="127" t="n"/>
      <c r="D36" s="127" t="n"/>
      <c r="E36" s="128" t="n"/>
      <c r="F36" s="128" t="n"/>
      <c r="G36" s="128" t="n"/>
      <c r="H36" s="129" t="n"/>
      <c r="I36" s="128" t="n"/>
      <c r="J36" s="128" t="n"/>
      <c r="K36" s="128" t="n"/>
      <c r="L36" s="128" t="n"/>
      <c r="M36" s="128" t="n"/>
      <c r="N36" s="128" t="n"/>
      <c r="O36" s="129" t="n"/>
      <c r="P36" s="128" t="n"/>
      <c r="Q36" s="128" t="n"/>
      <c r="R36" s="128" t="n"/>
      <c r="S36" s="128" t="n"/>
      <c r="T36" s="128" t="n"/>
      <c r="U36" s="128" t="n"/>
      <c r="V36" s="129" t="n"/>
      <c r="W36" s="128" t="n"/>
      <c r="X36" s="128" t="n"/>
      <c r="Y36" s="128" t="n"/>
      <c r="Z36" s="128" t="n"/>
      <c r="AA36" s="128" t="n"/>
      <c r="AB36" s="128" t="n"/>
      <c r="AC36" s="129" t="n"/>
      <c r="AD36" s="128" t="n"/>
      <c r="AE36" s="128" t="n"/>
      <c r="AF36" s="128" t="n"/>
      <c r="AG36" s="128" t="n"/>
      <c r="AH36" s="128" t="n"/>
      <c r="AI36" s="130">
        <f>IF(ISBLANK(B36), "", IF(ISNUMBER(D36), IF(D36&gt;0, (COUNTIF(E36:AH36, "✓") + COUNTIF(E36:AH36, "✔") + COUNTIF(E36:AH36, "v") + COUNTIF(E36:AH36, "V"))/D36, 0), IF(((COUNTIF(E36:AH36, "✓") + COUNTIF(E36:AH36, "✔") + COUNTIF(E36:AH36, "v") + COUNTIF(E36:AH36, "V")) + COUNTIF(E36:AH36, "✗") + COUNTIF(E36:AH36, "x") + COUNTIF(E36:AH36, "X"))&gt;0, (COUNTIF(E36:AH36, "✓") + COUNTIF(E36:AH36, "✔") + COUNTIF(E36:AH36, "v") + COUNTIF(E36:AH36, "V"))/((COUNTIF(E36:AH36, "✓") + COUNTIF(E36:AH36, "✔") + COUNTIF(E36:AH36, "v") + COUNTIF(E36:AH36, "V")) + COUNTIF(E36:AH36, "✗") + COUNTIF(E36:AH36, "x") + COUNTIF(E36:AH36, "X")), "")))</f>
        <v/>
      </c>
      <c r="AJ36" s="131">
        <f>IF(ISBLANK(B36), "", IF(ISNUMBER(D36), IF(D36&gt;0, (COUNTIF(E36:AH36, "✓") + COUNTIF(E36:AH36, "✔") + COUNTIF(E36:AH36, "v") + COUNTIF(E36:AH36, "V")) &amp; "/" &amp; D36, (COUNTIF(E36:AH36, "✓") + COUNTIF(E36:AH36, "✔") + COUNTIF(E36:AH36, "v") + COUNTIF(E36:AH36, "V")) &amp; "/0"), IF(((COUNTIF(E36:AH36, "✓") + COUNTIF(E36:AH36, "✔") + COUNTIF(E36:AH36, "v") + COUNTIF(E36:AH36, "V")) + COUNTIF(E36:AH36, "✗") + COUNTIF(E36:AH36, "x") + COUNTIF(E36:AH36, "X"))&gt;0, (COUNTIF(E36:AH36, "✓") + COUNTIF(E36:AH36, "✔") + COUNTIF(E36:AH36, "v") + COUNTIF(E36:AH36, "V")) &amp; "/" &amp; ((COUNTIF(E36:AH36, "✓") + COUNTIF(E36:AH36, "✔") + COUNTIF(E36:AH36, "v") + COUNTIF(E36:AH36, "V")) + COUNTIF(E36:AH36, "✗") + COUNTIF(E36:AH36, "x") + COUNTIF(E36:AH36, "X")), "")))</f>
        <v/>
      </c>
      <c r="AK36" s="131">
        <f>IF(ISBLANK(B36), "", IF(AI36&gt;=0.85, "🔥 Mastered", IF(AI36&gt;=0.7, "⚡ Consistent", "⚠️ Needs Focus")))</f>
        <v/>
      </c>
      <c r="AL36">
        <f>COUNTIF(E36:AH36, "✓")</f>
        <v/>
      </c>
    </row>
    <row r="37" ht="14.5" customHeight="1">
      <c r="A37" s="125" t="n">
        <v>20</v>
      </c>
      <c r="B37" s="126" t="n"/>
      <c r="C37" s="127" t="n"/>
      <c r="D37" s="127" t="n"/>
      <c r="E37" s="128" t="n"/>
      <c r="F37" s="128" t="n"/>
      <c r="G37" s="128" t="n"/>
      <c r="H37" s="129" t="n"/>
      <c r="I37" s="128" t="n"/>
      <c r="J37" s="128" t="n"/>
      <c r="K37" s="128" t="n"/>
      <c r="L37" s="128" t="n"/>
      <c r="M37" s="128" t="n"/>
      <c r="N37" s="128" t="n"/>
      <c r="O37" s="129" t="n"/>
      <c r="P37" s="128" t="n"/>
      <c r="Q37" s="128" t="n"/>
      <c r="R37" s="128" t="n"/>
      <c r="S37" s="128" t="n"/>
      <c r="T37" s="128" t="n"/>
      <c r="U37" s="128" t="n"/>
      <c r="V37" s="129" t="n"/>
      <c r="W37" s="128" t="n"/>
      <c r="X37" s="128" t="n"/>
      <c r="Y37" s="128" t="n"/>
      <c r="Z37" s="128" t="n"/>
      <c r="AA37" s="128" t="n"/>
      <c r="AB37" s="128" t="n"/>
      <c r="AC37" s="129" t="n"/>
      <c r="AD37" s="128" t="n"/>
      <c r="AE37" s="128" t="n"/>
      <c r="AF37" s="128" t="n"/>
      <c r="AG37" s="128" t="n"/>
      <c r="AH37" s="128" t="n"/>
      <c r="AI37" s="130">
        <f>IF(ISBLANK(B37), "", IF(ISNUMBER(D37), IF(D37&gt;0, (COUNTIF(E37:AH37, "✓") + COUNTIF(E37:AH37, "✔") + COUNTIF(E37:AH37, "v") + COUNTIF(E37:AH37, "V"))/D37, 0), IF(((COUNTIF(E37:AH37, "✓") + COUNTIF(E37:AH37, "✔") + COUNTIF(E37:AH37, "v") + COUNTIF(E37:AH37, "V")) + COUNTIF(E37:AH37, "✗") + COUNTIF(E37:AH37, "x") + COUNTIF(E37:AH37, "X"))&gt;0, (COUNTIF(E37:AH37, "✓") + COUNTIF(E37:AH37, "✔") + COUNTIF(E37:AH37, "v") + COUNTIF(E37:AH37, "V"))/((COUNTIF(E37:AH37, "✓") + COUNTIF(E37:AH37, "✔") + COUNTIF(E37:AH37, "v") + COUNTIF(E37:AH37, "V")) + COUNTIF(E37:AH37, "✗") + COUNTIF(E37:AH37, "x") + COUNTIF(E37:AH37, "X")), "")))</f>
        <v/>
      </c>
      <c r="AJ37" s="131">
        <f>IF(ISBLANK(B37), "", IF(ISNUMBER(D37), IF(D37&gt;0, (COUNTIF(E37:AH37, "✓") + COUNTIF(E37:AH37, "✔") + COUNTIF(E37:AH37, "v") + COUNTIF(E37:AH37, "V")) &amp; "/" &amp; D37, (COUNTIF(E37:AH37, "✓") + COUNTIF(E37:AH37, "✔") + COUNTIF(E37:AH37, "v") + COUNTIF(E37:AH37, "V")) &amp; "/0"), IF(((COUNTIF(E37:AH37, "✓") + COUNTIF(E37:AH37, "✔") + COUNTIF(E37:AH37, "v") + COUNTIF(E37:AH37, "V")) + COUNTIF(E37:AH37, "✗") + COUNTIF(E37:AH37, "x") + COUNTIF(E37:AH37, "X"))&gt;0, (COUNTIF(E37:AH37, "✓") + COUNTIF(E37:AH37, "✔") + COUNTIF(E37:AH37, "v") + COUNTIF(E37:AH37, "V")) &amp; "/" &amp; ((COUNTIF(E37:AH37, "✓") + COUNTIF(E37:AH37, "✔") + COUNTIF(E37:AH37, "v") + COUNTIF(E37:AH37, "V")) + COUNTIF(E37:AH37, "✗") + COUNTIF(E37:AH37, "x") + COUNTIF(E37:AH37, "X")), "")))</f>
        <v/>
      </c>
      <c r="AK37" s="131">
        <f>IF(ISBLANK(B37), "", IF(AI37&gt;=0.85, "🔥 Mastered", IF(AI37&gt;=0.7, "⚡ Consistent", "⚠️ Needs Focus")))</f>
        <v/>
      </c>
      <c r="AL37">
        <f>COUNTIF(E37:AH37, "✓")</f>
        <v/>
      </c>
    </row>
    <row r="38" ht="18" customHeight="1">
      <c r="A38" s="132" t="inlineStr">
        <is>
          <t>DAILY TOTAL SCORE</t>
        </is>
      </c>
      <c r="B38" s="54" t="n"/>
      <c r="C38" s="54" t="n"/>
      <c r="D38" s="54" t="n"/>
      <c r="E38" s="33">
        <f>IF(((COUNTIF(E18:E37, "✓") + COUNTIF(E18:E37, "✔") + COUNTIF(E18:E37, "v") + COUNTIF(E18:E37, "V")) + COUNTIF(E18:E37, "✗") + COUNTIF(E18:E37, "x") + COUNTIF(E18:E37, "X")) &gt; 0, (COUNTIF(E18:E37, "✓") + COUNTIF(E18:E37, "✔") + COUNTIF(E18:E37, "v") + COUNTIF(E18:E37, "V")) &amp; "/" &amp; ((COUNTIF(E18:E37, "✓") + COUNTIF(E18:E37, "✔") + COUNTIF(E18:E37, "v") + COUNTIF(E18:E37, "V")) + COUNTIF(E18:E37, "✗") + COUNTIF(E18:E37, "x") + COUNTIF(E18:E37, "X")), "")</f>
        <v/>
      </c>
      <c r="F38" s="33">
        <f>IF(((COUNTIF(F18:F37, "✓") + COUNTIF(F18:F37, "✔") + COUNTIF(F18:F37, "v") + COUNTIF(F18:F37, "V")) + COUNTIF(F18:F37, "✗") + COUNTIF(F18:F37, "x") + COUNTIF(F18:F37, "X")) &gt; 0, (COUNTIF(F18:F37, "✓") + COUNTIF(F18:F37, "✔") + COUNTIF(F18:F37, "v") + COUNTIF(F18:F37, "V")) &amp; "/" &amp; ((COUNTIF(F18:F37, "✓") + COUNTIF(F18:F37, "✔") + COUNTIF(F18:F37, "v") + COUNTIF(F18:F37, "V")) + COUNTIF(F18:F37, "✗") + COUNTIF(F18:F37, "x") + COUNTIF(F18:F37, "X")), "")</f>
        <v/>
      </c>
      <c r="G38" s="33">
        <f>IF(((COUNTIF(G18:G37, "✓") + COUNTIF(G18:G37, "✔") + COUNTIF(G18:G37, "v") + COUNTIF(G18:G37, "V")) + COUNTIF(G18:G37, "✗") + COUNTIF(G18:G37, "x") + COUNTIF(G18:G37, "X")) &gt; 0, (COUNTIF(G18:G37, "✓") + COUNTIF(G18:G37, "✔") + COUNTIF(G18:G37, "v") + COUNTIF(G18:G37, "V")) &amp; "/" &amp; ((COUNTIF(G18:G37, "✓") + COUNTIF(G18:G37, "✔") + COUNTIF(G18:G37, "v") + COUNTIF(G18:G37, "V")) + COUNTIF(G18:G37, "✗") + COUNTIF(G18:G37, "x") + COUNTIF(G18:G37, "X")), "")</f>
        <v/>
      </c>
      <c r="H38" s="33">
        <f>IF(((COUNTIF(H18:H37, "✓") + COUNTIF(H18:H37, "✔") + COUNTIF(H18:H37, "v") + COUNTIF(H18:H37, "V")) + COUNTIF(H18:H37, "✗") + COUNTIF(H18:H37, "x") + COUNTIF(H18:H37, "X")) &gt; 0, (COUNTIF(H18:H37, "✓") + COUNTIF(H18:H37, "✔") + COUNTIF(H18:H37, "v") + COUNTIF(H18:H37, "V")) &amp; "/" &amp; ((COUNTIF(H18:H37, "✓") + COUNTIF(H18:H37, "✔") + COUNTIF(H18:H37, "v") + COUNTIF(H18:H37, "V")) + COUNTIF(H18:H37, "✗") + COUNTIF(H18:H37, "x") + COUNTIF(H18:H37, "X")), "")</f>
        <v/>
      </c>
      <c r="I38" s="33">
        <f>IF(((COUNTIF(I18:I37, "✓") + COUNTIF(I18:I37, "✔") + COUNTIF(I18:I37, "v") + COUNTIF(I18:I37, "V")) + COUNTIF(I18:I37, "✗") + COUNTIF(I18:I37, "x") + COUNTIF(I18:I37, "X")) &gt; 0, (COUNTIF(I18:I37, "✓") + COUNTIF(I18:I37, "✔") + COUNTIF(I18:I37, "v") + COUNTIF(I18:I37, "V")) &amp; "/" &amp; ((COUNTIF(I18:I37, "✓") + COUNTIF(I18:I37, "✔") + COUNTIF(I18:I37, "v") + COUNTIF(I18:I37, "V")) + COUNTIF(I18:I37, "✗") + COUNTIF(I18:I37, "x") + COUNTIF(I18:I37, "X")), "")</f>
        <v/>
      </c>
      <c r="J38" s="33">
        <f>IF(((COUNTIF(J18:J37, "✓") + COUNTIF(J18:J37, "✔") + COUNTIF(J18:J37, "v") + COUNTIF(J18:J37, "V")) + COUNTIF(J18:J37, "✗") + COUNTIF(J18:J37, "x") + COUNTIF(J18:J37, "X")) &gt; 0, (COUNTIF(J18:J37, "✓") + COUNTIF(J18:J37, "✔") + COUNTIF(J18:J37, "v") + COUNTIF(J18:J37, "V")) &amp; "/" &amp; ((COUNTIF(J18:J37, "✓") + COUNTIF(J18:J37, "✔") + COUNTIF(J18:J37, "v") + COUNTIF(J18:J37, "V")) + COUNTIF(J18:J37, "✗") + COUNTIF(J18:J37, "x") + COUNTIF(J18:J37, "X")), "")</f>
        <v/>
      </c>
      <c r="K38" s="33">
        <f>IF(((COUNTIF(K18:K37, "✓") + COUNTIF(K18:K37, "✔") + COUNTIF(K18:K37, "v") + COUNTIF(K18:K37, "V")) + COUNTIF(K18:K37, "✗") + COUNTIF(K18:K37, "x") + COUNTIF(K18:K37, "X")) &gt; 0, (COUNTIF(K18:K37, "✓") + COUNTIF(K18:K37, "✔") + COUNTIF(K18:K37, "v") + COUNTIF(K18:K37, "V")) &amp; "/" &amp; ((COUNTIF(K18:K37, "✓") + COUNTIF(K18:K37, "✔") + COUNTIF(K18:K37, "v") + COUNTIF(K18:K37, "V")) + COUNTIF(K18:K37, "✗") + COUNTIF(K18:K37, "x") + COUNTIF(K18:K37, "X")), "")</f>
        <v/>
      </c>
      <c r="L38" s="33">
        <f>IF(((COUNTIF(L18:L37, "✓") + COUNTIF(L18:L37, "✔") + COUNTIF(L18:L37, "v") + COUNTIF(L18:L37, "V")) + COUNTIF(L18:L37, "✗") + COUNTIF(L18:L37, "x") + COUNTIF(L18:L37, "X")) &gt; 0, (COUNTIF(L18:L37, "✓") + COUNTIF(L18:L37, "✔") + COUNTIF(L18:L37, "v") + COUNTIF(L18:L37, "V")) &amp; "/" &amp; ((COUNTIF(L18:L37, "✓") + COUNTIF(L18:L37, "✔") + COUNTIF(L18:L37, "v") + COUNTIF(L18:L37, "V")) + COUNTIF(L18:L37, "✗") + COUNTIF(L18:L37, "x") + COUNTIF(L18:L37, "X")), "")</f>
        <v/>
      </c>
      <c r="M38" s="33">
        <f>IF(((COUNTIF(M18:M37, "✓") + COUNTIF(M18:M37, "✔") + COUNTIF(M18:M37, "v") + COUNTIF(M18:M37, "V")) + COUNTIF(M18:M37, "✗") + COUNTIF(M18:M37, "x") + COUNTIF(M18:M37, "X")) &gt; 0, (COUNTIF(M18:M37, "✓") + COUNTIF(M18:M37, "✔") + COUNTIF(M18:M37, "v") + COUNTIF(M18:M37, "V")) &amp; "/" &amp; ((COUNTIF(M18:M37, "✓") + COUNTIF(M18:M37, "✔") + COUNTIF(M18:M37, "v") + COUNTIF(M18:M37, "V")) + COUNTIF(M18:M37, "✗") + COUNTIF(M18:M37, "x") + COUNTIF(M18:M37, "X")), "")</f>
        <v/>
      </c>
      <c r="N38" s="33">
        <f>IF(((COUNTIF(N18:N37, "✓") + COUNTIF(N18:N37, "✔") + COUNTIF(N18:N37, "v") + COUNTIF(N18:N37, "V")) + COUNTIF(N18:N37, "✗") + COUNTIF(N18:N37, "x") + COUNTIF(N18:N37, "X")) &gt; 0, (COUNTIF(N18:N37, "✓") + COUNTIF(N18:N37, "✔") + COUNTIF(N18:N37, "v") + COUNTIF(N18:N37, "V")) &amp; "/" &amp; ((COUNTIF(N18:N37, "✓") + COUNTIF(N18:N37, "✔") + COUNTIF(N18:N37, "v") + COUNTIF(N18:N37, "V")) + COUNTIF(N18:N37, "✗") + COUNTIF(N18:N37, "x") + COUNTIF(N18:N37, "X")), "")</f>
        <v/>
      </c>
      <c r="O38" s="33">
        <f>IF(((COUNTIF(O18:O37, "✓") + COUNTIF(O18:O37, "✔") + COUNTIF(O18:O37, "v") + COUNTIF(O18:O37, "V")) + COUNTIF(O18:O37, "✗") + COUNTIF(O18:O37, "x") + COUNTIF(O18:O37, "X")) &gt; 0, (COUNTIF(O18:O37, "✓") + COUNTIF(O18:O37, "✔") + COUNTIF(O18:O37, "v") + COUNTIF(O18:O37, "V")) &amp; "/" &amp; ((COUNTIF(O18:O37, "✓") + COUNTIF(O18:O37, "✔") + COUNTIF(O18:O37, "v") + COUNTIF(O18:O37, "V")) + COUNTIF(O18:O37, "✗") + COUNTIF(O18:O37, "x") + COUNTIF(O18:O37, "X")), "")</f>
        <v/>
      </c>
      <c r="P38" s="33">
        <f>IF(((COUNTIF(P18:P37, "✓") + COUNTIF(P18:P37, "✔") + COUNTIF(P18:P37, "v") + COUNTIF(P18:P37, "V")) + COUNTIF(P18:P37, "✗") + COUNTIF(P18:P37, "x") + COUNTIF(P18:P37, "X")) &gt; 0, (COUNTIF(P18:P37, "✓") + COUNTIF(P18:P37, "✔") + COUNTIF(P18:P37, "v") + COUNTIF(P18:P37, "V")) &amp; "/" &amp; ((COUNTIF(P18:P37, "✓") + COUNTIF(P18:P37, "✔") + COUNTIF(P18:P37, "v") + COUNTIF(P18:P37, "V")) + COUNTIF(P18:P37, "✗") + COUNTIF(P18:P37, "x") + COUNTIF(P18:P37, "X")), "")</f>
        <v/>
      </c>
      <c r="Q38" s="33">
        <f>IF(((COUNTIF(Q18:Q37, "✓") + COUNTIF(Q18:Q37, "✔") + COUNTIF(Q18:Q37, "v") + COUNTIF(Q18:Q37, "V")) + COUNTIF(Q18:Q37, "✗") + COUNTIF(Q18:Q37, "x") + COUNTIF(Q18:Q37, "X")) &gt; 0, (COUNTIF(Q18:Q37, "✓") + COUNTIF(Q18:Q37, "✔") + COUNTIF(Q18:Q37, "v") + COUNTIF(Q18:Q37, "V")) &amp; "/" &amp; ((COUNTIF(Q18:Q37, "✓") + COUNTIF(Q18:Q37, "✔") + COUNTIF(Q18:Q37, "v") + COUNTIF(Q18:Q37, "V")) + COUNTIF(Q18:Q37, "✗") + COUNTIF(Q18:Q37, "x") + COUNTIF(Q18:Q37, "X")), "")</f>
        <v/>
      </c>
      <c r="R38" s="33">
        <f>IF(((COUNTIF(R18:R37, "✓") + COUNTIF(R18:R37, "✔") + COUNTIF(R18:R37, "v") + COUNTIF(R18:R37, "V")) + COUNTIF(R18:R37, "✗") + COUNTIF(R18:R37, "x") + COUNTIF(R18:R37, "X")) &gt; 0, (COUNTIF(R18:R37, "✓") + COUNTIF(R18:R37, "✔") + COUNTIF(R18:R37, "v") + COUNTIF(R18:R37, "V")) &amp; "/" &amp; ((COUNTIF(R18:R37, "✓") + COUNTIF(R18:R37, "✔") + COUNTIF(R18:R37, "v") + COUNTIF(R18:R37, "V")) + COUNTIF(R18:R37, "✗") + COUNTIF(R18:R37, "x") + COUNTIF(R18:R37, "X")), "")</f>
        <v/>
      </c>
      <c r="S38" s="33">
        <f>IF(((COUNTIF(S18:S37, "✓") + COUNTIF(S18:S37, "✔") + COUNTIF(S18:S37, "v") + COUNTIF(S18:S37, "V")) + COUNTIF(S18:S37, "✗") + COUNTIF(S18:S37, "x") + COUNTIF(S18:S37, "X")) &gt; 0, (COUNTIF(S18:S37, "✓") + COUNTIF(S18:S37, "✔") + COUNTIF(S18:S37, "v") + COUNTIF(S18:S37, "V")) &amp; "/" &amp; ((COUNTIF(S18:S37, "✓") + COUNTIF(S18:S37, "✔") + COUNTIF(S18:S37, "v") + COUNTIF(S18:S37, "V")) + COUNTIF(S18:S37, "✗") + COUNTIF(S18:S37, "x") + COUNTIF(S18:S37, "X")), "")</f>
        <v/>
      </c>
      <c r="T38" s="33">
        <f>IF(((COUNTIF(T18:T37, "✓") + COUNTIF(T18:T37, "✔") + COUNTIF(T18:T37, "v") + COUNTIF(T18:T37, "V")) + COUNTIF(T18:T37, "✗") + COUNTIF(T18:T37, "x") + COUNTIF(T18:T37, "X")) &gt; 0, (COUNTIF(T18:T37, "✓") + COUNTIF(T18:T37, "✔") + COUNTIF(T18:T37, "v") + COUNTIF(T18:T37, "V")) &amp; "/" &amp; ((COUNTIF(T18:T37, "✓") + COUNTIF(T18:T37, "✔") + COUNTIF(T18:T37, "v") + COUNTIF(T18:T37, "V")) + COUNTIF(T18:T37, "✗") + COUNTIF(T18:T37, "x") + COUNTIF(T18:T37, "X")), "")</f>
        <v/>
      </c>
      <c r="U38" s="33">
        <f>IF(((COUNTIF(U18:U37, "✓") + COUNTIF(U18:U37, "✔") + COUNTIF(U18:U37, "v") + COUNTIF(U18:U37, "V")) + COUNTIF(U18:U37, "✗") + COUNTIF(U18:U37, "x") + COUNTIF(U18:U37, "X")) &gt; 0, (COUNTIF(U18:U37, "✓") + COUNTIF(U18:U37, "✔") + COUNTIF(U18:U37, "v") + COUNTIF(U18:U37, "V")) &amp; "/" &amp; ((COUNTIF(U18:U37, "✓") + COUNTIF(U18:U37, "✔") + COUNTIF(U18:U37, "v") + COUNTIF(U18:U37, "V")) + COUNTIF(U18:U37, "✗") + COUNTIF(U18:U37, "x") + COUNTIF(U18:U37, "X")), "")</f>
        <v/>
      </c>
      <c r="V38" s="33">
        <f>IF(((COUNTIF(V18:V37, "✓") + COUNTIF(V18:V37, "✔") + COUNTIF(V18:V37, "v") + COUNTIF(V18:V37, "V")) + COUNTIF(V18:V37, "✗") + COUNTIF(V18:V37, "x") + COUNTIF(V18:V37, "X")) &gt; 0, (COUNTIF(V18:V37, "✓") + COUNTIF(V18:V37, "✔") + COUNTIF(V18:V37, "v") + COUNTIF(V18:V37, "V")) &amp; "/" &amp; ((COUNTIF(V18:V37, "✓") + COUNTIF(V18:V37, "✔") + COUNTIF(V18:V37, "v") + COUNTIF(V18:V37, "V")) + COUNTIF(V18:V37, "✗") + COUNTIF(V18:V37, "x") + COUNTIF(V18:V37, "X")), "")</f>
        <v/>
      </c>
      <c r="W38" s="33">
        <f>IF(((COUNTIF(W18:W37, "✓") + COUNTIF(W18:W37, "✔") + COUNTIF(W18:W37, "v") + COUNTIF(W18:W37, "V")) + COUNTIF(W18:W37, "✗") + COUNTIF(W18:W37, "x") + COUNTIF(W18:W37, "X")) &gt; 0, (COUNTIF(W18:W37, "✓") + COUNTIF(W18:W37, "✔") + COUNTIF(W18:W37, "v") + COUNTIF(W18:W37, "V")) &amp; "/" &amp; ((COUNTIF(W18:W37, "✓") + COUNTIF(W18:W37, "✔") + COUNTIF(W18:W37, "v") + COUNTIF(W18:W37, "V")) + COUNTIF(W18:W37, "✗") + COUNTIF(W18:W37, "x") + COUNTIF(W18:W37, "X")), "")</f>
        <v/>
      </c>
      <c r="X38" s="33">
        <f>IF(((COUNTIF(X18:X37, "✓") + COUNTIF(X18:X37, "✔") + COUNTIF(X18:X37, "v") + COUNTIF(X18:X37, "V")) + COUNTIF(X18:X37, "✗") + COUNTIF(X18:X37, "x") + COUNTIF(X18:X37, "X")) &gt; 0, (COUNTIF(X18:X37, "✓") + COUNTIF(X18:X37, "✔") + COUNTIF(X18:X37, "v") + COUNTIF(X18:X37, "V")) &amp; "/" &amp; ((COUNTIF(X18:X37, "✓") + COUNTIF(X18:X37, "✔") + COUNTIF(X18:X37, "v") + COUNTIF(X18:X37, "V")) + COUNTIF(X18:X37, "✗") + COUNTIF(X18:X37, "x") + COUNTIF(X18:X37, "X")), "")</f>
        <v/>
      </c>
      <c r="Y38" s="33">
        <f>IF(((COUNTIF(Y18:Y37, "✓") + COUNTIF(Y18:Y37, "✔") + COUNTIF(Y18:Y37, "v") + COUNTIF(Y18:Y37, "V")) + COUNTIF(Y18:Y37, "✗") + COUNTIF(Y18:Y37, "x") + COUNTIF(Y18:Y37, "X")) &gt; 0, (COUNTIF(Y18:Y37, "✓") + COUNTIF(Y18:Y37, "✔") + COUNTIF(Y18:Y37, "v") + COUNTIF(Y18:Y37, "V")) &amp; "/" &amp; ((COUNTIF(Y18:Y37, "✓") + COUNTIF(Y18:Y37, "✔") + COUNTIF(Y18:Y37, "v") + COUNTIF(Y18:Y37, "V")) + COUNTIF(Y18:Y37, "✗") + COUNTIF(Y18:Y37, "x") + COUNTIF(Y18:Y37, "X")), "")</f>
        <v/>
      </c>
      <c r="Z38" s="33">
        <f>IF(((COUNTIF(Z18:Z37, "✓") + COUNTIF(Z18:Z37, "✔") + COUNTIF(Z18:Z37, "v") + COUNTIF(Z18:Z37, "V")) + COUNTIF(Z18:Z37, "✗") + COUNTIF(Z18:Z37, "x") + COUNTIF(Z18:Z37, "X")) &gt; 0, (COUNTIF(Z18:Z37, "✓") + COUNTIF(Z18:Z37, "✔") + COUNTIF(Z18:Z37, "v") + COUNTIF(Z18:Z37, "V")) &amp; "/" &amp; ((COUNTIF(Z18:Z37, "✓") + COUNTIF(Z18:Z37, "✔") + COUNTIF(Z18:Z37, "v") + COUNTIF(Z18:Z37, "V")) + COUNTIF(Z18:Z37, "✗") + COUNTIF(Z18:Z37, "x") + COUNTIF(Z18:Z37, "X")), "")</f>
        <v/>
      </c>
      <c r="AA38" s="33">
        <f>IF(((COUNTIF(AA18:AA37, "✓") + COUNTIF(AA18:AA37, "✔") + COUNTIF(AA18:AA37, "v") + COUNTIF(AA18:AA37, "V")) + COUNTIF(AA18:AA37, "✗") + COUNTIF(AA18:AA37, "x") + COUNTIF(AA18:AA37, "X")) &gt; 0, (COUNTIF(AA18:AA37, "✓") + COUNTIF(AA18:AA37, "✔") + COUNTIF(AA18:AA37, "v") + COUNTIF(AA18:AA37, "V")) &amp; "/" &amp; ((COUNTIF(AA18:AA37, "✓") + COUNTIF(AA18:AA37, "✔") + COUNTIF(AA18:AA37, "v") + COUNTIF(AA18:AA37, "V")) + COUNTIF(AA18:AA37, "✗") + COUNTIF(AA18:AA37, "x") + COUNTIF(AA18:AA37, "X")), "")</f>
        <v/>
      </c>
      <c r="AB38" s="33">
        <f>IF(((COUNTIF(AB18:AB37, "✓") + COUNTIF(AB18:AB37, "✔") + COUNTIF(AB18:AB37, "v") + COUNTIF(AB18:AB37, "V")) + COUNTIF(AB18:AB37, "✗") + COUNTIF(AB18:AB37, "x") + COUNTIF(AB18:AB37, "X")) &gt; 0, (COUNTIF(AB18:AB37, "✓") + COUNTIF(AB18:AB37, "✔") + COUNTIF(AB18:AB37, "v") + COUNTIF(AB18:AB37, "V")) &amp; "/" &amp; ((COUNTIF(AB18:AB37, "✓") + COUNTIF(AB18:AB37, "✔") + COUNTIF(AB18:AB37, "v") + COUNTIF(AB18:AB37, "V")) + COUNTIF(AB18:AB37, "✗") + COUNTIF(AB18:AB37, "x") + COUNTIF(AB18:AB37, "X")), "")</f>
        <v/>
      </c>
      <c r="AC38" s="33">
        <f>IF(((COUNTIF(AC18:AC37, "✓") + COUNTIF(AC18:AC37, "✔") + COUNTIF(AC18:AC37, "v") + COUNTIF(AC18:AC37, "V")) + COUNTIF(AC18:AC37, "✗") + COUNTIF(AC18:AC37, "x") + COUNTIF(AC18:AC37, "X")) &gt; 0, (COUNTIF(AC18:AC37, "✓") + COUNTIF(AC18:AC37, "✔") + COUNTIF(AC18:AC37, "v") + COUNTIF(AC18:AC37, "V")) &amp; "/" &amp; ((COUNTIF(AC18:AC37, "✓") + COUNTIF(AC18:AC37, "✔") + COUNTIF(AC18:AC37, "v") + COUNTIF(AC18:AC37, "V")) + COUNTIF(AC18:AC37, "✗") + COUNTIF(AC18:AC37, "x") + COUNTIF(AC18:AC37, "X")), "")</f>
        <v/>
      </c>
      <c r="AD38" s="33">
        <f>IF(((COUNTIF(AD18:AD37, "✓") + COUNTIF(AD18:AD37, "✔") + COUNTIF(AD18:AD37, "v") + COUNTIF(AD18:AD37, "V")) + COUNTIF(AD18:AD37, "✗") + COUNTIF(AD18:AD37, "x") + COUNTIF(AD18:AD37, "X")) &gt; 0, (COUNTIF(AD18:AD37, "✓") + COUNTIF(AD18:AD37, "✔") + COUNTIF(AD18:AD37, "v") + COUNTIF(AD18:AD37, "V")) &amp; "/" &amp; ((COUNTIF(AD18:AD37, "✓") + COUNTIF(AD18:AD37, "✔") + COUNTIF(AD18:AD37, "v") + COUNTIF(AD18:AD37, "V")) + COUNTIF(AD18:AD37, "✗") + COUNTIF(AD18:AD37, "x") + COUNTIF(AD18:AD37, "X")), "")</f>
        <v/>
      </c>
      <c r="AE38" s="33">
        <f>IF(((COUNTIF(AE18:AE37, "✓") + COUNTIF(AE18:AE37, "✔") + COUNTIF(AE18:AE37, "v") + COUNTIF(AE18:AE37, "V")) + COUNTIF(AE18:AE37, "✗") + COUNTIF(AE18:AE37, "x") + COUNTIF(AE18:AE37, "X")) &gt; 0, (COUNTIF(AE18:AE37, "✓") + COUNTIF(AE18:AE37, "✔") + COUNTIF(AE18:AE37, "v") + COUNTIF(AE18:AE37, "V")) &amp; "/" &amp; ((COUNTIF(AE18:AE37, "✓") + COUNTIF(AE18:AE37, "✔") + COUNTIF(AE18:AE37, "v") + COUNTIF(AE18:AE37, "V")) + COUNTIF(AE18:AE37, "✗") + COUNTIF(AE18:AE37, "x") + COUNTIF(AE18:AE37, "X")), "")</f>
        <v/>
      </c>
      <c r="AF38" s="33">
        <f>IF(((COUNTIF(AF18:AF37, "✓") + COUNTIF(AF18:AF37, "✔") + COUNTIF(AF18:AF37, "v") + COUNTIF(AF18:AF37, "V")) + COUNTIF(AF18:AF37, "✗") + COUNTIF(AF18:AF37, "x") + COUNTIF(AF18:AF37, "X")) &gt; 0, (COUNTIF(AF18:AF37, "✓") + COUNTIF(AF18:AF37, "✔") + COUNTIF(AF18:AF37, "v") + COUNTIF(AF18:AF37, "V")) &amp; "/" &amp; ((COUNTIF(AF18:AF37, "✓") + COUNTIF(AF18:AF37, "✔") + COUNTIF(AF18:AF37, "v") + COUNTIF(AF18:AF37, "V")) + COUNTIF(AF18:AF37, "✗") + COUNTIF(AF18:AF37, "x") + COUNTIF(AF18:AF37, "X")), "")</f>
        <v/>
      </c>
      <c r="AG38" s="33">
        <f>IF(((COUNTIF(AG18:AG37, "✓") + COUNTIF(AG18:AG37, "✔") + COUNTIF(AG18:AG37, "v") + COUNTIF(AG18:AG37, "V")) + COUNTIF(AG18:AG37, "✗") + COUNTIF(AG18:AG37, "x") + COUNTIF(AG18:AG37, "X")) &gt; 0, (COUNTIF(AG18:AG37, "✓") + COUNTIF(AG18:AG37, "✔") + COUNTIF(AG18:AG37, "v") + COUNTIF(AG18:AG37, "V")) &amp; "/" &amp; ((COUNTIF(AG18:AG37, "✓") + COUNTIF(AG18:AG37, "✔") + COUNTIF(AG18:AG37, "v") + COUNTIF(AG18:AG37, "V")) + COUNTIF(AG18:AG37, "✗") + COUNTIF(AG18:AG37, "x") + COUNTIF(AG18:AG37, "X")), "")</f>
        <v/>
      </c>
      <c r="AH38" s="33">
        <f>IF(((COUNTIF(AH18:AH37, "✓") + COUNTIF(AH18:AH37, "✔") + COUNTIF(AH18:AH37, "v") + COUNTIF(AH18:AH37, "V")) + COUNTIF(AH18:AH37, "✗") + COUNTIF(AH18:AH37, "x") + COUNTIF(AH18:AH37, "X")) &gt; 0, (COUNTIF(AH18:AH37, "✓") + COUNTIF(AH18:AH37, "✔") + COUNTIF(AH18:AH37, "v") + COUNTIF(AH18:AH37, "V")) &amp; "/" &amp; ((COUNTIF(AH18:AH37, "✓") + COUNTIF(AH18:AH37, "✔") + COUNTIF(AH18:AH37, "v") + COUNTIF(AH18:AH37, "V")) + COUNTIF(AH18:AH37, "✗") + COUNTIF(AH18:AH37, "x") + COUNTIF(AH18:AH37, "X")), "")</f>
        <v/>
      </c>
      <c r="AI38" s="133">
        <f>IF(SUM(D18:D37) &gt; 0, SUM(AL18:AL37) / SUM(D18:D37), "")</f>
        <v/>
      </c>
      <c r="AJ38" s="33">
        <f>IF(SUM(D18:D37) &gt; 0, SUM(AL18:AL37) &amp; "/" &amp; SUM(D18:D37), "")</f>
        <v/>
      </c>
      <c r="AK38" s="54" t="n"/>
    </row>
    <row r="39" ht="18" customHeight="1">
      <c r="A39" s="132" t="inlineStr">
        <is>
          <t>DAILY SUCCESS %</t>
        </is>
      </c>
      <c r="B39" s="54" t="n"/>
      <c r="C39" s="54" t="n"/>
      <c r="D39" s="54" t="n"/>
      <c r="E39" s="134">
        <f>IF(((COUNTIF(E18:E37, "✓") + COUNTIF(E18:E37, "✔") + COUNTIF(E18:E37, "v") + COUNTIF(E18:E37, "V")) + COUNTIF(E18:E37, "✗") + COUNTIF(E18:E37, "x") + COUNTIF(E18:E37, "X")) &gt; 0, (COUNTIF(E18:E37, "✓") + COUNTIF(E18:E37, "✔") + COUNTIF(E18:E37, "v") + COUNTIF(E18:E37, "V")) / ((COUNTIF(E18:E37, "✓") + COUNTIF(E18:E37, "✔") + COUNTIF(E18:E37, "v") + COUNTIF(E18:E37, "V")) + COUNTIF(E18:E37, "✗") + COUNTIF(E18:E37, "x") + COUNTIF(E18:E37, "X")), "")</f>
        <v/>
      </c>
      <c r="F39" s="134">
        <f>IF(((COUNTIF(F18:F37, "✓") + COUNTIF(F18:F37, "✔") + COUNTIF(F18:F37, "v") + COUNTIF(F18:F37, "V")) + COUNTIF(F18:F37, "✗") + COUNTIF(F18:F37, "x") + COUNTIF(F18:F37, "X")) &gt; 0, (COUNTIF(F18:F37, "✓") + COUNTIF(F18:F37, "✔") + COUNTIF(F18:F37, "v") + COUNTIF(F18:F37, "V")) / ((COUNTIF(F18:F37, "✓") + COUNTIF(F18:F37, "✔") + COUNTIF(F18:F37, "v") + COUNTIF(F18:F37, "V")) + COUNTIF(F18:F37, "✗") + COUNTIF(F18:F37, "x") + COUNTIF(F18:F37, "X")), "")</f>
        <v/>
      </c>
      <c r="G39" s="134">
        <f>IF(((COUNTIF(G18:G37, "✓") + COUNTIF(G18:G37, "✔") + COUNTIF(G18:G37, "v") + COUNTIF(G18:G37, "V")) + COUNTIF(G18:G37, "✗") + COUNTIF(G18:G37, "x") + COUNTIF(G18:G37, "X")) &gt; 0, (COUNTIF(G18:G37, "✓") + COUNTIF(G18:G37, "✔") + COUNTIF(G18:G37, "v") + COUNTIF(G18:G37, "V")) / ((COUNTIF(G18:G37, "✓") + COUNTIF(G18:G37, "✔") + COUNTIF(G18:G37, "v") + COUNTIF(G18:G37, "V")) + COUNTIF(G18:G37, "✗") + COUNTIF(G18:G37, "x") + COUNTIF(G18:G37, "X")), "")</f>
        <v/>
      </c>
      <c r="H39" s="134">
        <f>IF(((COUNTIF(H18:H37, "✓") + COUNTIF(H18:H37, "✔") + COUNTIF(H18:H37, "v") + COUNTIF(H18:H37, "V")) + COUNTIF(H18:H37, "✗") + COUNTIF(H18:H37, "x") + COUNTIF(H18:H37, "X")) &gt; 0, (COUNTIF(H18:H37, "✓") + COUNTIF(H18:H37, "✔") + COUNTIF(H18:H37, "v") + COUNTIF(H18:H37, "V")) / ((COUNTIF(H18:H37, "✓") + COUNTIF(H18:H37, "✔") + COUNTIF(H18:H37, "v") + COUNTIF(H18:H37, "V")) + COUNTIF(H18:H37, "✗") + COUNTIF(H18:H37, "x") + COUNTIF(H18:H37, "X")), "")</f>
        <v/>
      </c>
      <c r="I39" s="134">
        <f>IF(((COUNTIF(I18:I37, "✓") + COUNTIF(I18:I37, "✔") + COUNTIF(I18:I37, "v") + COUNTIF(I18:I37, "V")) + COUNTIF(I18:I37, "✗") + COUNTIF(I18:I37, "x") + COUNTIF(I18:I37, "X")) &gt; 0, (COUNTIF(I18:I37, "✓") + COUNTIF(I18:I37, "✔") + COUNTIF(I18:I37, "v") + COUNTIF(I18:I37, "V")) / ((COUNTIF(I18:I37, "✓") + COUNTIF(I18:I37, "✔") + COUNTIF(I18:I37, "v") + COUNTIF(I18:I37, "V")) + COUNTIF(I18:I37, "✗") + COUNTIF(I18:I37, "x") + COUNTIF(I18:I37, "X")), "")</f>
        <v/>
      </c>
      <c r="J39" s="134">
        <f>IF(((COUNTIF(J18:J37, "✓") + COUNTIF(J18:J37, "✔") + COUNTIF(J18:J37, "v") + COUNTIF(J18:J37, "V")) + COUNTIF(J18:J37, "✗") + COUNTIF(J18:J37, "x") + COUNTIF(J18:J37, "X")) &gt; 0, (COUNTIF(J18:J37, "✓") + COUNTIF(J18:J37, "✔") + COUNTIF(J18:J37, "v") + COUNTIF(J18:J37, "V")) / ((COUNTIF(J18:J37, "✓") + COUNTIF(J18:J37, "✔") + COUNTIF(J18:J37, "v") + COUNTIF(J18:J37, "V")) + COUNTIF(J18:J37, "✗") + COUNTIF(J18:J37, "x") + COUNTIF(J18:J37, "X")), "")</f>
        <v/>
      </c>
      <c r="K39" s="134">
        <f>IF(((COUNTIF(K18:K37, "✓") + COUNTIF(K18:K37, "✔") + COUNTIF(K18:K37, "v") + COUNTIF(K18:K37, "V")) + COUNTIF(K18:K37, "✗") + COUNTIF(K18:K37, "x") + COUNTIF(K18:K37, "X")) &gt; 0, (COUNTIF(K18:K37, "✓") + COUNTIF(K18:K37, "✔") + COUNTIF(K18:K37, "v") + COUNTIF(K18:K37, "V")) / ((COUNTIF(K18:K37, "✓") + COUNTIF(K18:K37, "✔") + COUNTIF(K18:K37, "v") + COUNTIF(K18:K37, "V")) + COUNTIF(K18:K37, "✗") + COUNTIF(K18:K37, "x") + COUNTIF(K18:K37, "X")), "")</f>
        <v/>
      </c>
      <c r="L39" s="134">
        <f>IF(((COUNTIF(L18:L37, "✓") + COUNTIF(L18:L37, "✔") + COUNTIF(L18:L37, "v") + COUNTIF(L18:L37, "V")) + COUNTIF(L18:L37, "✗") + COUNTIF(L18:L37, "x") + COUNTIF(L18:L37, "X")) &gt; 0, (COUNTIF(L18:L37, "✓") + COUNTIF(L18:L37, "✔") + COUNTIF(L18:L37, "v") + COUNTIF(L18:L37, "V")) / ((COUNTIF(L18:L37, "✓") + COUNTIF(L18:L37, "✔") + COUNTIF(L18:L37, "v") + COUNTIF(L18:L37, "V")) + COUNTIF(L18:L37, "✗") + COUNTIF(L18:L37, "x") + COUNTIF(L18:L37, "X")), "")</f>
        <v/>
      </c>
      <c r="M39" s="134">
        <f>IF(((COUNTIF(M18:M37, "✓") + COUNTIF(M18:M37, "✔") + COUNTIF(M18:M37, "v") + COUNTIF(M18:M37, "V")) + COUNTIF(M18:M37, "✗") + COUNTIF(M18:M37, "x") + COUNTIF(M18:M37, "X")) &gt; 0, (COUNTIF(M18:M37, "✓") + COUNTIF(M18:M37, "✔") + COUNTIF(M18:M37, "v") + COUNTIF(M18:M37, "V")) / ((COUNTIF(M18:M37, "✓") + COUNTIF(M18:M37, "✔") + COUNTIF(M18:M37, "v") + COUNTIF(M18:M37, "V")) + COUNTIF(M18:M37, "✗") + COUNTIF(M18:M37, "x") + COUNTIF(M18:M37, "X")), "")</f>
        <v/>
      </c>
      <c r="N39" s="134">
        <f>IF(((COUNTIF(N18:N37, "✓") + COUNTIF(N18:N37, "✔") + COUNTIF(N18:N37, "v") + COUNTIF(N18:N37, "V")) + COUNTIF(N18:N37, "✗") + COUNTIF(N18:N37, "x") + COUNTIF(N18:N37, "X")) &gt; 0, (COUNTIF(N18:N37, "✓") + COUNTIF(N18:N37, "✔") + COUNTIF(N18:N37, "v") + COUNTIF(N18:N37, "V")) / ((COUNTIF(N18:N37, "✓") + COUNTIF(N18:N37, "✔") + COUNTIF(N18:N37, "v") + COUNTIF(N18:N37, "V")) + COUNTIF(N18:N37, "✗") + COUNTIF(N18:N37, "x") + COUNTIF(N18:N37, "X")), "")</f>
        <v/>
      </c>
      <c r="O39" s="134">
        <f>IF(((COUNTIF(O18:O37, "✓") + COUNTIF(O18:O37, "✔") + COUNTIF(O18:O37, "v") + COUNTIF(O18:O37, "V")) + COUNTIF(O18:O37, "✗") + COUNTIF(O18:O37, "x") + COUNTIF(O18:O37, "X")) &gt; 0, (COUNTIF(O18:O37, "✓") + COUNTIF(O18:O37, "✔") + COUNTIF(O18:O37, "v") + COUNTIF(O18:O37, "V")) / ((COUNTIF(O18:O37, "✓") + COUNTIF(O18:O37, "✔") + COUNTIF(O18:O37, "v") + COUNTIF(O18:O37, "V")) + COUNTIF(O18:O37, "✗") + COUNTIF(O18:O37, "x") + COUNTIF(O18:O37, "X")), "")</f>
        <v/>
      </c>
      <c r="P39" s="134">
        <f>IF(((COUNTIF(P18:P37, "✓") + COUNTIF(P18:P37, "✔") + COUNTIF(P18:P37, "v") + COUNTIF(P18:P37, "V")) + COUNTIF(P18:P37, "✗") + COUNTIF(P18:P37, "x") + COUNTIF(P18:P37, "X")) &gt; 0, (COUNTIF(P18:P37, "✓") + COUNTIF(P18:P37, "✔") + COUNTIF(P18:P37, "v") + COUNTIF(P18:P37, "V")) / ((COUNTIF(P18:P37, "✓") + COUNTIF(P18:P37, "✔") + COUNTIF(P18:P37, "v") + COUNTIF(P18:P37, "V")) + COUNTIF(P18:P37, "✗") + COUNTIF(P18:P37, "x") + COUNTIF(P18:P37, "X")), "")</f>
        <v/>
      </c>
      <c r="Q39" s="134">
        <f>IF(((COUNTIF(Q18:Q37, "✓") + COUNTIF(Q18:Q37, "✔") + COUNTIF(Q18:Q37, "v") + COUNTIF(Q18:Q37, "V")) + COUNTIF(Q18:Q37, "✗") + COUNTIF(Q18:Q37, "x") + COUNTIF(Q18:Q37, "X")) &gt; 0, (COUNTIF(Q18:Q37, "✓") + COUNTIF(Q18:Q37, "✔") + COUNTIF(Q18:Q37, "v") + COUNTIF(Q18:Q37, "V")) / ((COUNTIF(Q18:Q37, "✓") + COUNTIF(Q18:Q37, "✔") + COUNTIF(Q18:Q37, "v") + COUNTIF(Q18:Q37, "V")) + COUNTIF(Q18:Q37, "✗") + COUNTIF(Q18:Q37, "x") + COUNTIF(Q18:Q37, "X")), "")</f>
        <v/>
      </c>
      <c r="R39" s="134">
        <f>IF(((COUNTIF(R18:R37, "✓") + COUNTIF(R18:R37, "✔") + COUNTIF(R18:R37, "v") + COUNTIF(R18:R37, "V")) + COUNTIF(R18:R37, "✗") + COUNTIF(R18:R37, "x") + COUNTIF(R18:R37, "X")) &gt; 0, (COUNTIF(R18:R37, "✓") + COUNTIF(R18:R37, "✔") + COUNTIF(R18:R37, "v") + COUNTIF(R18:R37, "V")) / ((COUNTIF(R18:R37, "✓") + COUNTIF(R18:R37, "✔") + COUNTIF(R18:R37, "v") + COUNTIF(R18:R37, "V")) + COUNTIF(R18:R37, "✗") + COUNTIF(R18:R37, "x") + COUNTIF(R18:R37, "X")), "")</f>
        <v/>
      </c>
      <c r="S39" s="134">
        <f>IF(((COUNTIF(S18:S37, "✓") + COUNTIF(S18:S37, "✔") + COUNTIF(S18:S37, "v") + COUNTIF(S18:S37, "V")) + COUNTIF(S18:S37, "✗") + COUNTIF(S18:S37, "x") + COUNTIF(S18:S37, "X")) &gt; 0, (COUNTIF(S18:S37, "✓") + COUNTIF(S18:S37, "✔") + COUNTIF(S18:S37, "v") + COUNTIF(S18:S37, "V")) / ((COUNTIF(S18:S37, "✓") + COUNTIF(S18:S37, "✔") + COUNTIF(S18:S37, "v") + COUNTIF(S18:S37, "V")) + COUNTIF(S18:S37, "✗") + COUNTIF(S18:S37, "x") + COUNTIF(S18:S37, "X")), "")</f>
        <v/>
      </c>
      <c r="T39" s="134">
        <f>IF(((COUNTIF(T18:T37, "✓") + COUNTIF(T18:T37, "✔") + COUNTIF(T18:T37, "v") + COUNTIF(T18:T37, "V")) + COUNTIF(T18:T37, "✗") + COUNTIF(T18:T37, "x") + COUNTIF(T18:T37, "X")) &gt; 0, (COUNTIF(T18:T37, "✓") + COUNTIF(T18:T37, "✔") + COUNTIF(T18:T37, "v") + COUNTIF(T18:T37, "V")) / ((COUNTIF(T18:T37, "✓") + COUNTIF(T18:T37, "✔") + COUNTIF(T18:T37, "v") + COUNTIF(T18:T37, "V")) + COUNTIF(T18:T37, "✗") + COUNTIF(T18:T37, "x") + COUNTIF(T18:T37, "X")), "")</f>
        <v/>
      </c>
      <c r="U39" s="134">
        <f>IF(((COUNTIF(U18:U37, "✓") + COUNTIF(U18:U37, "✔") + COUNTIF(U18:U37, "v") + COUNTIF(U18:U37, "V")) + COUNTIF(U18:U37, "✗") + COUNTIF(U18:U37, "x") + COUNTIF(U18:U37, "X")) &gt; 0, (COUNTIF(U18:U37, "✓") + COUNTIF(U18:U37, "✔") + COUNTIF(U18:U37, "v") + COUNTIF(U18:U37, "V")) / ((COUNTIF(U18:U37, "✓") + COUNTIF(U18:U37, "✔") + COUNTIF(U18:U37, "v") + COUNTIF(U18:U37, "V")) + COUNTIF(U18:U37, "✗") + COUNTIF(U18:U37, "x") + COUNTIF(U18:U37, "X")), "")</f>
        <v/>
      </c>
      <c r="V39" s="134">
        <f>IF(((COUNTIF(V18:V37, "✓") + COUNTIF(V18:V37, "✔") + COUNTIF(V18:V37, "v") + COUNTIF(V18:V37, "V")) + COUNTIF(V18:V37, "✗") + COUNTIF(V18:V37, "x") + COUNTIF(V18:V37, "X")) &gt; 0, (COUNTIF(V18:V37, "✓") + COUNTIF(V18:V37, "✔") + COUNTIF(V18:V37, "v") + COUNTIF(V18:V37, "V")) / ((COUNTIF(V18:V37, "✓") + COUNTIF(V18:V37, "✔") + COUNTIF(V18:V37, "v") + COUNTIF(V18:V37, "V")) + COUNTIF(V18:V37, "✗") + COUNTIF(V18:V37, "x") + COUNTIF(V18:V37, "X")), "")</f>
        <v/>
      </c>
      <c r="W39" s="134">
        <f>IF(((COUNTIF(W18:W37, "✓") + COUNTIF(W18:W37, "✔") + COUNTIF(W18:W37, "v") + COUNTIF(W18:W37, "V")) + COUNTIF(W18:W37, "✗") + COUNTIF(W18:W37, "x") + COUNTIF(W18:W37, "X")) &gt; 0, (COUNTIF(W18:W37, "✓") + COUNTIF(W18:W37, "✔") + COUNTIF(W18:W37, "v") + COUNTIF(W18:W37, "V")) / ((COUNTIF(W18:W37, "✓") + COUNTIF(W18:W37, "✔") + COUNTIF(W18:W37, "v") + COUNTIF(W18:W37, "V")) + COUNTIF(W18:W37, "✗") + COUNTIF(W18:W37, "x") + COUNTIF(W18:W37, "X")), "")</f>
        <v/>
      </c>
      <c r="X39" s="134">
        <f>IF(((COUNTIF(X18:X37, "✓") + COUNTIF(X18:X37, "✔") + COUNTIF(X18:X37, "v") + COUNTIF(X18:X37, "V")) + COUNTIF(X18:X37, "✗") + COUNTIF(X18:X37, "x") + COUNTIF(X18:X37, "X")) &gt; 0, (COUNTIF(X18:X37, "✓") + COUNTIF(X18:X37, "✔") + COUNTIF(X18:X37, "v") + COUNTIF(X18:X37, "V")) / ((COUNTIF(X18:X37, "✓") + COUNTIF(X18:X37, "✔") + COUNTIF(X18:X37, "v") + COUNTIF(X18:X37, "V")) + COUNTIF(X18:X37, "✗") + COUNTIF(X18:X37, "x") + COUNTIF(X18:X37, "X")), "")</f>
        <v/>
      </c>
      <c r="Y39" s="134">
        <f>IF(((COUNTIF(Y18:Y37, "✓") + COUNTIF(Y18:Y37, "✔") + COUNTIF(Y18:Y37, "v") + COUNTIF(Y18:Y37, "V")) + COUNTIF(Y18:Y37, "✗") + COUNTIF(Y18:Y37, "x") + COUNTIF(Y18:Y37, "X")) &gt; 0, (COUNTIF(Y18:Y37, "✓") + COUNTIF(Y18:Y37, "✔") + COUNTIF(Y18:Y37, "v") + COUNTIF(Y18:Y37, "V")) / ((COUNTIF(Y18:Y37, "✓") + COUNTIF(Y18:Y37, "✔") + COUNTIF(Y18:Y37, "v") + COUNTIF(Y18:Y37, "V")) + COUNTIF(Y18:Y37, "✗") + COUNTIF(Y18:Y37, "x") + COUNTIF(Y18:Y37, "X")), "")</f>
        <v/>
      </c>
      <c r="Z39" s="134">
        <f>IF(((COUNTIF(Z18:Z37, "✓") + COUNTIF(Z18:Z37, "✔") + COUNTIF(Z18:Z37, "v") + COUNTIF(Z18:Z37, "V")) + COUNTIF(Z18:Z37, "✗") + COUNTIF(Z18:Z37, "x") + COUNTIF(Z18:Z37, "X")) &gt; 0, (COUNTIF(Z18:Z37, "✓") + COUNTIF(Z18:Z37, "✔") + COUNTIF(Z18:Z37, "v") + COUNTIF(Z18:Z37, "V")) / ((COUNTIF(Z18:Z37, "✓") + COUNTIF(Z18:Z37, "✔") + COUNTIF(Z18:Z37, "v") + COUNTIF(Z18:Z37, "V")) + COUNTIF(Z18:Z37, "✗") + COUNTIF(Z18:Z37, "x") + COUNTIF(Z18:Z37, "X")), "")</f>
        <v/>
      </c>
      <c r="AA39" s="134">
        <f>IF(((COUNTIF(AA18:AA37, "✓") + COUNTIF(AA18:AA37, "✔") + COUNTIF(AA18:AA37, "v") + COUNTIF(AA18:AA37, "V")) + COUNTIF(AA18:AA37, "✗") + COUNTIF(AA18:AA37, "x") + COUNTIF(AA18:AA37, "X")) &gt; 0, (COUNTIF(AA18:AA37, "✓") + COUNTIF(AA18:AA37, "✔") + COUNTIF(AA18:AA37, "v") + COUNTIF(AA18:AA37, "V")) / ((COUNTIF(AA18:AA37, "✓") + COUNTIF(AA18:AA37, "✔") + COUNTIF(AA18:AA37, "v") + COUNTIF(AA18:AA37, "V")) + COUNTIF(AA18:AA37, "✗") + COUNTIF(AA18:AA37, "x") + COUNTIF(AA18:AA37, "X")), "")</f>
        <v/>
      </c>
      <c r="AB39" s="134">
        <f>IF(((COUNTIF(AB18:AB37, "✓") + COUNTIF(AB18:AB37, "✔") + COUNTIF(AB18:AB37, "v") + COUNTIF(AB18:AB37, "V")) + COUNTIF(AB18:AB37, "✗") + COUNTIF(AB18:AB37, "x") + COUNTIF(AB18:AB37, "X")) &gt; 0, (COUNTIF(AB18:AB37, "✓") + COUNTIF(AB18:AB37, "✔") + COUNTIF(AB18:AB37, "v") + COUNTIF(AB18:AB37, "V")) / ((COUNTIF(AB18:AB37, "✓") + COUNTIF(AB18:AB37, "✔") + COUNTIF(AB18:AB37, "v") + COUNTIF(AB18:AB37, "V")) + COUNTIF(AB18:AB37, "✗") + COUNTIF(AB18:AB37, "x") + COUNTIF(AB18:AB37, "X")), "")</f>
        <v/>
      </c>
      <c r="AC39" s="134">
        <f>IF(((COUNTIF(AC18:AC37, "✓") + COUNTIF(AC18:AC37, "✔") + COUNTIF(AC18:AC37, "v") + COUNTIF(AC18:AC37, "V")) + COUNTIF(AC18:AC37, "✗") + COUNTIF(AC18:AC37, "x") + COUNTIF(AC18:AC37, "X")) &gt; 0, (COUNTIF(AC18:AC37, "✓") + COUNTIF(AC18:AC37, "✔") + COUNTIF(AC18:AC37, "v") + COUNTIF(AC18:AC37, "V")) / ((COUNTIF(AC18:AC37, "✓") + COUNTIF(AC18:AC37, "✔") + COUNTIF(AC18:AC37, "v") + COUNTIF(AC18:AC37, "V")) + COUNTIF(AC18:AC37, "✗") + COUNTIF(AC18:AC37, "x") + COUNTIF(AC18:AC37, "X")), "")</f>
        <v/>
      </c>
      <c r="AD39" s="134">
        <f>IF(((COUNTIF(AD18:AD37, "✓") + COUNTIF(AD18:AD37, "✔") + COUNTIF(AD18:AD37, "v") + COUNTIF(AD18:AD37, "V")) + COUNTIF(AD18:AD37, "✗") + COUNTIF(AD18:AD37, "x") + COUNTIF(AD18:AD37, "X")) &gt; 0, (COUNTIF(AD18:AD37, "✓") + COUNTIF(AD18:AD37, "✔") + COUNTIF(AD18:AD37, "v") + COUNTIF(AD18:AD37, "V")) / ((COUNTIF(AD18:AD37, "✓") + COUNTIF(AD18:AD37, "✔") + COUNTIF(AD18:AD37, "v") + COUNTIF(AD18:AD37, "V")) + COUNTIF(AD18:AD37, "✗") + COUNTIF(AD18:AD37, "x") + COUNTIF(AD18:AD37, "X")), "")</f>
        <v/>
      </c>
      <c r="AE39" s="134">
        <f>IF(((COUNTIF(AE18:AE37, "✓") + COUNTIF(AE18:AE37, "✔") + COUNTIF(AE18:AE37, "v") + COUNTIF(AE18:AE37, "V")) + COUNTIF(AE18:AE37, "✗") + COUNTIF(AE18:AE37, "x") + COUNTIF(AE18:AE37, "X")) &gt; 0, (COUNTIF(AE18:AE37, "✓") + COUNTIF(AE18:AE37, "✔") + COUNTIF(AE18:AE37, "v") + COUNTIF(AE18:AE37, "V")) / ((COUNTIF(AE18:AE37, "✓") + COUNTIF(AE18:AE37, "✔") + COUNTIF(AE18:AE37, "v") + COUNTIF(AE18:AE37, "V")) + COUNTIF(AE18:AE37, "✗") + COUNTIF(AE18:AE37, "x") + COUNTIF(AE18:AE37, "X")), "")</f>
        <v/>
      </c>
      <c r="AF39" s="134">
        <f>IF(((COUNTIF(AF18:AF37, "✓") + COUNTIF(AF18:AF37, "✔") + COUNTIF(AF18:AF37, "v") + COUNTIF(AF18:AF37, "V")) + COUNTIF(AF18:AF37, "✗") + COUNTIF(AF18:AF37, "x") + COUNTIF(AF18:AF37, "X")) &gt; 0, (COUNTIF(AF18:AF37, "✓") + COUNTIF(AF18:AF37, "✔") + COUNTIF(AF18:AF37, "v") + COUNTIF(AF18:AF37, "V")) / ((COUNTIF(AF18:AF37, "✓") + COUNTIF(AF18:AF37, "✔") + COUNTIF(AF18:AF37, "v") + COUNTIF(AF18:AF37, "V")) + COUNTIF(AF18:AF37, "✗") + COUNTIF(AF18:AF37, "x") + COUNTIF(AF18:AF37, "X")), "")</f>
        <v/>
      </c>
      <c r="AG39" s="134">
        <f>IF(((COUNTIF(AG18:AG37, "✓") + COUNTIF(AG18:AG37, "✔") + COUNTIF(AG18:AG37, "v") + COUNTIF(AG18:AG37, "V")) + COUNTIF(AG18:AG37, "✗") + COUNTIF(AG18:AG37, "x") + COUNTIF(AG18:AG37, "X")) &gt; 0, (COUNTIF(AG18:AG37, "✓") + COUNTIF(AG18:AG37, "✔") + COUNTIF(AG18:AG37, "v") + COUNTIF(AG18:AG37, "V")) / ((COUNTIF(AG18:AG37, "✓") + COUNTIF(AG18:AG37, "✔") + COUNTIF(AG18:AG37, "v") + COUNTIF(AG18:AG37, "V")) + COUNTIF(AG18:AG37, "✗") + COUNTIF(AG18:AG37, "x") + COUNTIF(AG18:AG37, "X")), "")</f>
        <v/>
      </c>
      <c r="AH39" s="134">
        <f>IF(((COUNTIF(AH18:AH37, "✓") + COUNTIF(AH18:AH37, "✔") + COUNTIF(AH18:AH37, "v") + COUNTIF(AH18:AH37, "V")) + COUNTIF(AH18:AH37, "✗") + COUNTIF(AH18:AH37, "x") + COUNTIF(AH18:AH37, "X")) &gt; 0, (COUNTIF(AH18:AH37, "✓") + COUNTIF(AH18:AH37, "✔") + COUNTIF(AH18:AH37, "v") + COUNTIF(AH18:AH37, "V")) / ((COUNTIF(AH18:AH37, "✓") + COUNTIF(AH18:AH37, "✔") + COUNTIF(AH18:AH37, "v") + COUNTIF(AH18:AH37, "V")) + COUNTIF(AH18:AH37, "✗") + COUNTIF(AH18:AH37, "x") + COUNTIF(AH18:AH37, "X")), "")</f>
        <v/>
      </c>
      <c r="AI39" s="133">
        <f>IF(COUNT(E39:AH39) &gt; 0, AVERAGE(E39:AH39), "")</f>
        <v/>
      </c>
      <c r="AJ39" s="54" t="n"/>
      <c r="AK39" s="54" t="n"/>
    </row>
    <row r="40" ht="6" customHeight="1"/>
    <row r="41" ht="15" customHeight="1">
      <c r="A41" s="135" t="inlineStr">
        <is>
          <t>IF SUCCESS &lt; 80%, PUNISHMENT: ________________________________________________</t>
        </is>
      </c>
    </row>
    <row r="42" ht="15" customHeight="1">
      <c r="A42" s="136" t="inlineStr">
        <is>
          <t>IF SUCCESS &gt; 90%, REWARD: __________________________________________________</t>
        </is>
      </c>
    </row>
    <row r="43" ht="10" customHeight="1"/>
    <row r="44" ht="10" customHeight="1"/>
    <row r="45" ht="15" customHeight="1">
      <c r="A45" s="51" t="inlineStr">
        <is>
          <t>Sleep Tracking</t>
        </is>
      </c>
      <c r="B45" s="52" t="n"/>
      <c r="C45" s="52" t="n"/>
      <c r="D45" s="52" t="n"/>
      <c r="E45" s="137" t="n">
        <v>1</v>
      </c>
      <c r="F45" s="137" t="n">
        <v>2</v>
      </c>
      <c r="G45" s="137" t="n">
        <v>3</v>
      </c>
      <c r="H45" s="138" t="n">
        <v>4</v>
      </c>
      <c r="I45" s="137" t="n">
        <v>5</v>
      </c>
      <c r="J45" s="137" t="n">
        <v>6</v>
      </c>
      <c r="K45" s="137" t="n">
        <v>7</v>
      </c>
      <c r="L45" s="137" t="n">
        <v>8</v>
      </c>
      <c r="M45" s="137" t="n">
        <v>9</v>
      </c>
      <c r="N45" s="137" t="n">
        <v>10</v>
      </c>
      <c r="O45" s="138" t="n">
        <v>11</v>
      </c>
      <c r="P45" s="137" t="n">
        <v>12</v>
      </c>
      <c r="Q45" s="137" t="n">
        <v>13</v>
      </c>
      <c r="R45" s="137" t="n">
        <v>14</v>
      </c>
      <c r="S45" s="137" t="n">
        <v>15</v>
      </c>
      <c r="T45" s="137" t="n">
        <v>16</v>
      </c>
      <c r="U45" s="137" t="n">
        <v>17</v>
      </c>
      <c r="V45" s="138" t="n">
        <v>18</v>
      </c>
      <c r="W45" s="137" t="n">
        <v>19</v>
      </c>
      <c r="X45" s="137" t="n">
        <v>20</v>
      </c>
      <c r="Y45" s="137" t="n">
        <v>21</v>
      </c>
      <c r="Z45" s="137" t="n">
        <v>22</v>
      </c>
      <c r="AA45" s="137" t="n">
        <v>23</v>
      </c>
      <c r="AB45" s="137" t="n">
        <v>24</v>
      </c>
      <c r="AC45" s="138" t="n">
        <v>25</v>
      </c>
      <c r="AD45" s="137" t="n">
        <v>26</v>
      </c>
      <c r="AE45" s="137" t="n">
        <v>27</v>
      </c>
      <c r="AF45" s="137" t="n">
        <v>28</v>
      </c>
      <c r="AG45" s="137" t="n">
        <v>29</v>
      </c>
      <c r="AH45" s="137" t="n">
        <v>30</v>
      </c>
    </row>
    <row r="46" ht="15" customHeight="1">
      <c r="A46" s="52" t="n"/>
      <c r="B46" s="52" t="n"/>
      <c r="C46" s="52" t="n"/>
      <c r="D46" s="52" t="n"/>
      <c r="E46" s="139" t="inlineStr">
        <is>
          <t>Th</t>
        </is>
      </c>
      <c r="F46" s="139" t="inlineStr">
        <is>
          <t>F</t>
        </is>
      </c>
      <c r="G46" s="139" t="inlineStr">
        <is>
          <t>Sa</t>
        </is>
      </c>
      <c r="H46" s="140" t="inlineStr">
        <is>
          <t>Su</t>
        </is>
      </c>
      <c r="I46" s="139" t="inlineStr">
        <is>
          <t>M</t>
        </is>
      </c>
      <c r="J46" s="139" t="inlineStr">
        <is>
          <t>T</t>
        </is>
      </c>
      <c r="K46" s="139" t="inlineStr">
        <is>
          <t>W</t>
        </is>
      </c>
      <c r="L46" s="139" t="inlineStr">
        <is>
          <t>Th</t>
        </is>
      </c>
      <c r="M46" s="139" t="inlineStr">
        <is>
          <t>F</t>
        </is>
      </c>
      <c r="N46" s="139" t="inlineStr">
        <is>
          <t>Sa</t>
        </is>
      </c>
      <c r="O46" s="140" t="inlineStr">
        <is>
          <t>Su</t>
        </is>
      </c>
      <c r="P46" s="139" t="inlineStr">
        <is>
          <t>M</t>
        </is>
      </c>
      <c r="Q46" s="139" t="inlineStr">
        <is>
          <t>T</t>
        </is>
      </c>
      <c r="R46" s="139" t="inlineStr">
        <is>
          <t>W</t>
        </is>
      </c>
      <c r="S46" s="139" t="inlineStr">
        <is>
          <t>Th</t>
        </is>
      </c>
      <c r="T46" s="139" t="inlineStr">
        <is>
          <t>F</t>
        </is>
      </c>
      <c r="U46" s="139" t="inlineStr">
        <is>
          <t>Sa</t>
        </is>
      </c>
      <c r="V46" s="140" t="inlineStr">
        <is>
          <t>Su</t>
        </is>
      </c>
      <c r="W46" s="139" t="inlineStr">
        <is>
          <t>M</t>
        </is>
      </c>
      <c r="X46" s="139" t="inlineStr">
        <is>
          <t>T</t>
        </is>
      </c>
      <c r="Y46" s="139" t="inlineStr">
        <is>
          <t>W</t>
        </is>
      </c>
      <c r="Z46" s="139" t="inlineStr">
        <is>
          <t>Th</t>
        </is>
      </c>
      <c r="AA46" s="139" t="inlineStr">
        <is>
          <t>F</t>
        </is>
      </c>
      <c r="AB46" s="139" t="inlineStr">
        <is>
          <t>Sa</t>
        </is>
      </c>
      <c r="AC46" s="140" t="inlineStr">
        <is>
          <t>Su</t>
        </is>
      </c>
      <c r="AD46" s="139" t="inlineStr">
        <is>
          <t>M</t>
        </is>
      </c>
      <c r="AE46" s="139" t="inlineStr">
        <is>
          <t>T</t>
        </is>
      </c>
      <c r="AF46" s="139" t="inlineStr">
        <is>
          <t>W</t>
        </is>
      </c>
      <c r="AG46" s="139" t="inlineStr">
        <is>
          <t>Th</t>
        </is>
      </c>
      <c r="AH46" s="139" t="inlineStr">
        <is>
          <t>F</t>
        </is>
      </c>
    </row>
    <row r="47" ht="20" customHeight="1">
      <c r="A47" s="141" t="inlineStr">
        <is>
          <t>Sleep Hours (1-24)</t>
        </is>
      </c>
      <c r="B47" s="142" t="n"/>
      <c r="C47" s="142" t="n"/>
      <c r="D47" s="142" t="n"/>
      <c r="E47" s="143" t="n"/>
      <c r="F47" s="143" t="n"/>
      <c r="G47" s="143" t="n"/>
      <c r="H47" s="144" t="n"/>
      <c r="I47" s="143" t="n"/>
      <c r="J47" s="143" t="n"/>
      <c r="K47" s="143" t="n"/>
      <c r="L47" s="143" t="n"/>
      <c r="M47" s="143" t="n"/>
      <c r="N47" s="143" t="n"/>
      <c r="O47" s="144" t="n"/>
      <c r="P47" s="143" t="n"/>
      <c r="Q47" s="143" t="n"/>
      <c r="R47" s="143" t="n"/>
      <c r="S47" s="143" t="n"/>
      <c r="T47" s="143" t="n"/>
      <c r="U47" s="143" t="n"/>
      <c r="V47" s="144" t="n"/>
      <c r="W47" s="143" t="n"/>
      <c r="X47" s="143" t="n"/>
      <c r="Y47" s="143" t="n"/>
      <c r="Z47" s="143" t="n"/>
      <c r="AA47" s="143" t="n"/>
      <c r="AB47" s="143" t="n"/>
      <c r="AC47" s="144" t="n"/>
      <c r="AD47" s="143" t="n"/>
      <c r="AE47" s="143" t="n"/>
      <c r="AF47" s="143" t="n"/>
      <c r="AG47" s="143" t="n"/>
      <c r="AH47" s="143" t="n"/>
    </row>
    <row r="48" ht="6" customHeight="1"/>
    <row r="49" ht="14" customHeight="1"/>
    <row r="50" ht="14" customHeight="1"/>
    <row r="51" ht="14" customHeight="1"/>
    <row r="52" ht="14" customHeight="1"/>
    <row r="53" ht="14" customHeight="1"/>
    <row r="54" ht="14" customHeight="1"/>
    <row r="55" ht="14" customHeight="1"/>
    <row r="56" ht="14" customHeight="1"/>
    <row r="57" ht="14" customHeight="1"/>
    <row r="58" ht="14" customHeight="1"/>
    <row r="59" ht="14" customHeight="1"/>
    <row r="60" ht="14" customHeight="1"/>
    <row r="61" ht="14" customHeight="1"/>
    <row r="62" ht="14" customHeight="1"/>
    <row r="63" ht="14" customHeight="1"/>
    <row r="64" ht="14" customHeight="1"/>
    <row r="65" ht="14" customHeight="1"/>
    <row r="66" ht="8" customHeight="1"/>
    <row r="67">
      <c r="A67" s="145" t="inlineStr">
        <is>
          <t>MONTHLY SUCCESS RATE</t>
        </is>
      </c>
      <c r="B67" s="9" t="n"/>
      <c r="C67" s="9" t="n"/>
      <c r="D67" s="9" t="n"/>
      <c r="F67" s="146" t="inlineStr">
        <is>
          <t>ACTIVE PROTOCOLS</t>
        </is>
      </c>
      <c r="G67" s="11" t="n"/>
      <c r="H67" s="11" t="n"/>
      <c r="I67" s="11" t="n"/>
      <c r="K67" s="147" t="inlineStr">
        <is>
          <t>PERFECT DAYS (100%)</t>
        </is>
      </c>
      <c r="L67" s="13" t="n"/>
      <c r="M67" s="13" t="n"/>
      <c r="N67" s="13" t="n"/>
      <c r="P67" s="148" t="inlineStr">
        <is>
          <t>AVG SLEEP DURATION</t>
        </is>
      </c>
      <c r="Q67" s="15" t="n"/>
      <c r="R67" s="15" t="n"/>
      <c r="S67" s="15" t="n"/>
    </row>
    <row r="68">
      <c r="A68" s="149">
        <f>IF(SUM(D18:D37)&gt;0, SUM(AL18:AL37)/SUM(D18:D37), 0)</f>
        <v/>
      </c>
      <c r="B68" s="9" t="n"/>
      <c r="C68" s="9" t="n"/>
      <c r="D68" s="9" t="n"/>
      <c r="F68" s="150">
        <f>COUNTA(B18:B37) &amp; " / 20"</f>
        <v/>
      </c>
      <c r="G68" s="11" t="n"/>
      <c r="H68" s="11" t="n"/>
      <c r="I68" s="11" t="n"/>
      <c r="K68" s="151">
        <f>COUNTIF(E39:AH39, 1) &amp; " Days"</f>
        <v/>
      </c>
      <c r="L68" s="13" t="n"/>
      <c r="M68" s="13" t="n"/>
      <c r="N68" s="13" t="n"/>
      <c r="P68" s="152">
        <f>IFERROR(TEXT(AVERAGE(E47:AH47), "0.0") &amp; " hrs", "-")</f>
        <v/>
      </c>
      <c r="Q68" s="15" t="n"/>
      <c r="R68" s="15" t="n"/>
      <c r="S68" s="15" t="n"/>
    </row>
    <row r="69">
      <c r="A69" s="9" t="n"/>
      <c r="B69" s="9" t="n"/>
      <c r="C69" s="9" t="n"/>
      <c r="D69" s="9" t="n"/>
      <c r="F69" s="11" t="n"/>
      <c r="G69" s="11" t="n"/>
      <c r="H69" s="11" t="n"/>
      <c r="I69" s="11" t="n"/>
      <c r="K69" s="13" t="n"/>
      <c r="L69" s="13" t="n"/>
      <c r="M69" s="13" t="n"/>
      <c r="N69" s="13" t="n"/>
      <c r="P69" s="15" t="n"/>
      <c r="Q69" s="15" t="n"/>
      <c r="R69" s="15" t="n"/>
      <c r="S69" s="15" t="n"/>
    </row>
    <row r="70">
      <c r="A70" s="9" t="n"/>
      <c r="B70" s="9" t="n"/>
      <c r="C70" s="9" t="n"/>
      <c r="D70" s="9" t="n"/>
      <c r="F70" s="11" t="n"/>
      <c r="G70" s="11" t="n"/>
      <c r="H70" s="11" t="n"/>
      <c r="I70" s="11" t="n"/>
      <c r="K70" s="13" t="n"/>
      <c r="L70" s="13" t="n"/>
      <c r="M70" s="13" t="n"/>
      <c r="N70" s="13" t="n"/>
      <c r="P70" s="15" t="n"/>
      <c r="Q70" s="15" t="n"/>
      <c r="R70" s="15" t="n"/>
      <c r="S70" s="15" t="n"/>
    </row>
    <row r="71">
      <c r="A71" s="153" t="inlineStr">
        <is>
          <t>Target Completion</t>
        </is>
      </c>
      <c r="B71" s="9" t="n"/>
      <c r="C71" s="9" t="n"/>
      <c r="D71" s="9" t="n"/>
      <c r="F71" s="154" t="inlineStr">
        <is>
          <t>Habits Tracked</t>
        </is>
      </c>
      <c r="G71" s="11" t="n"/>
      <c r="H71" s="11" t="n"/>
      <c r="I71" s="11" t="n"/>
      <c r="K71" s="155" t="inlineStr">
        <is>
          <t>All Marked Habits Completed</t>
        </is>
      </c>
      <c r="L71" s="13" t="n"/>
      <c r="M71" s="13" t="n"/>
      <c r="N71" s="13" t="n"/>
      <c r="P71" s="156" t="inlineStr">
        <is>
          <t>Nightly Rest Average</t>
        </is>
      </c>
      <c r="Q71" s="15" t="n"/>
      <c r="R71" s="15" t="n"/>
      <c r="S71" s="15" t="n"/>
    </row>
    <row r="72" ht="8" customHeight="1"/>
    <row r="73" ht="6" customHeight="1"/>
    <row r="74">
      <c r="A74" s="67" t="inlineStr">
        <is>
          <t>WEEKLY PERFORMANCE (SLUMP DETECTOR)</t>
        </is>
      </c>
      <c r="B74" s="29" t="n"/>
      <c r="C74" s="29" t="n"/>
      <c r="D74" s="29" t="n"/>
      <c r="E74" s="29" t="n"/>
      <c r="N74" s="157" t="inlineStr">
        <is>
          <t>LIFE DOMAIN / CATEGORY BREAKDOWN</t>
        </is>
      </c>
      <c r="O74" s="158" t="n"/>
      <c r="P74" s="158" t="n"/>
      <c r="Q74" s="158" t="n"/>
      <c r="R74" s="158" t="n"/>
      <c r="S74" s="158" t="n"/>
    </row>
    <row r="75" ht="15" customHeight="1">
      <c r="A75" s="53" t="inlineStr">
        <is>
          <t>Week</t>
        </is>
      </c>
      <c r="B75" s="53" t="inlineStr">
        <is>
          <t>Days Range</t>
        </is>
      </c>
      <c r="C75" s="53" t="inlineStr">
        <is>
          <t>Checks Done</t>
        </is>
      </c>
      <c r="D75" s="53" t="inlineStr">
        <is>
          <t>Evaluated</t>
        </is>
      </c>
      <c r="E75" s="53" t="inlineStr">
        <is>
          <t>Success %</t>
        </is>
      </c>
      <c r="N75" s="53" t="inlineStr">
        <is>
          <t>Domain / Category</t>
        </is>
      </c>
      <c r="O75" s="54" t="n"/>
      <c r="P75" s="53" t="inlineStr">
        <is>
          <t>Active Habits</t>
        </is>
      </c>
      <c r="Q75" s="53" t="inlineStr">
        <is>
          <t>Target Days</t>
        </is>
      </c>
      <c r="R75" s="53" t="inlineStr">
        <is>
          <t>Done Checks</t>
        </is>
      </c>
      <c r="S75" s="53" t="inlineStr">
        <is>
          <t>Success %</t>
        </is>
      </c>
    </row>
    <row r="76" ht="14" customHeight="1">
      <c r="A76" s="33" t="inlineStr">
        <is>
          <t>Week 1</t>
        </is>
      </c>
      <c r="B76" s="34" t="inlineStr">
        <is>
          <t>Days 1 - 7</t>
        </is>
      </c>
      <c r="C76" s="34">
        <f>COUNTIF(E18:K37, "✓")</f>
        <v/>
      </c>
      <c r="D76" s="34">
        <f>COUNTIF(E18:K37, "✓") + COUNTIF(E18:K37, "✗")</f>
        <v/>
      </c>
      <c r="E76" s="35">
        <f>IFERROR(C76/D76, 0)</f>
        <v/>
      </c>
      <c r="N76" s="60" t="inlineStr">
        <is>
          <t>Health &amp; Fitness</t>
        </is>
      </c>
      <c r="O76" s="54" t="n"/>
      <c r="P76" s="34">
        <f>COUNTIF($C$18:$C$37, "Health &amp; Fitness")</f>
        <v/>
      </c>
      <c r="Q76" s="34">
        <f>SUMIF($C$18:$C$37, "Health &amp; Fitness", $D$18:$D$37)</f>
        <v/>
      </c>
      <c r="R76" s="34">
        <f>SUMIF($C$18:$C$37, "Health &amp; Fitness", $AL$18:$AL$37)</f>
        <v/>
      </c>
      <c r="S76" s="35">
        <f>IFERROR(R76/Q76, 0)</f>
        <v/>
      </c>
    </row>
    <row r="77" ht="14" customHeight="1">
      <c r="A77" s="33" t="inlineStr">
        <is>
          <t>Week 2</t>
        </is>
      </c>
      <c r="B77" s="34" t="inlineStr">
        <is>
          <t>Days 8 - 14</t>
        </is>
      </c>
      <c r="C77" s="34">
        <f>COUNTIF(L18:R37, "✓")</f>
        <v/>
      </c>
      <c r="D77" s="34">
        <f>COUNTIF(L18:R37, "✓") + COUNTIF(L18:R37, "✗")</f>
        <v/>
      </c>
      <c r="E77" s="35">
        <f>IFERROR(C77/D77, 0)</f>
        <v/>
      </c>
      <c r="N77" s="60" t="inlineStr">
        <is>
          <t>Mindset &amp; Learning</t>
        </is>
      </c>
      <c r="O77" s="54" t="n"/>
      <c r="P77" s="34">
        <f>COUNTIF($C$18:$C$37, "Mindset &amp; Learning")</f>
        <v/>
      </c>
      <c r="Q77" s="34">
        <f>SUMIF($C$18:$C$37, "Mindset &amp; Learning", $D$18:$D$37)</f>
        <v/>
      </c>
      <c r="R77" s="34">
        <f>SUMIF($C$18:$C$37, "Mindset &amp; Learning", $AL$18:$AL$37)</f>
        <v/>
      </c>
      <c r="S77" s="35">
        <f>IFERROR(R77/Q77, 0)</f>
        <v/>
      </c>
    </row>
    <row r="78" ht="14" customHeight="1">
      <c r="A78" s="33" t="inlineStr">
        <is>
          <t>Week 3</t>
        </is>
      </c>
      <c r="B78" s="34" t="inlineStr">
        <is>
          <t>Days 15 - 21</t>
        </is>
      </c>
      <c r="C78" s="34">
        <f>COUNTIF(S18:Y37, "✓")</f>
        <v/>
      </c>
      <c r="D78" s="34">
        <f>COUNTIF(S18:Y37, "✓") + COUNTIF(S18:Y37, "✗")</f>
        <v/>
      </c>
      <c r="E78" s="35">
        <f>IFERROR(C78/D78, 0)</f>
        <v/>
      </c>
      <c r="N78" s="60" t="inlineStr">
        <is>
          <t>Career &amp; Focus</t>
        </is>
      </c>
      <c r="O78" s="54" t="n"/>
      <c r="P78" s="34">
        <f>COUNTIF($C$18:$C$37, "Career &amp; Focus")</f>
        <v/>
      </c>
      <c r="Q78" s="34">
        <f>SUMIF($C$18:$C$37, "Career &amp; Focus", $D$18:$D$37)</f>
        <v/>
      </c>
      <c r="R78" s="34">
        <f>SUMIF($C$18:$C$37, "Career &amp; Focus", $AL$18:$AL$37)</f>
        <v/>
      </c>
      <c r="S78" s="35">
        <f>IFERROR(R78/Q78, 0)</f>
        <v/>
      </c>
    </row>
    <row r="79" ht="14" customHeight="1">
      <c r="A79" s="33" t="inlineStr">
        <is>
          <t>Week 4</t>
        </is>
      </c>
      <c r="B79" s="34" t="inlineStr">
        <is>
          <t>Days 22 - 28</t>
        </is>
      </c>
      <c r="C79" s="34">
        <f>COUNTIF(Z18:AF37, "✓")</f>
        <v/>
      </c>
      <c r="D79" s="34">
        <f>COUNTIF(Z18:AF37, "✓") + COUNTIF(Z18:AF37, "✗")</f>
        <v/>
      </c>
      <c r="E79" s="35">
        <f>IFERROR(C79/D79, 0)</f>
        <v/>
      </c>
      <c r="N79" s="60" t="inlineStr">
        <is>
          <t>Personal &amp; Home</t>
        </is>
      </c>
      <c r="O79" s="54" t="n"/>
      <c r="P79" s="34">
        <f>COUNTIF($C$18:$C$37, "Personal &amp; Home")</f>
        <v/>
      </c>
      <c r="Q79" s="34">
        <f>SUMIF($C$18:$C$37, "Personal &amp; Home", $D$18:$D$37)</f>
        <v/>
      </c>
      <c r="R79" s="34">
        <f>SUMIF($C$18:$C$37, "Personal &amp; Home", $AL$18:$AL$37)</f>
        <v/>
      </c>
      <c r="S79" s="35">
        <f>IFERROR(R79/Q79, 0)</f>
        <v/>
      </c>
    </row>
    <row r="80" ht="14" customHeight="1">
      <c r="A80" s="33" t="inlineStr">
        <is>
          <t>Week 5</t>
        </is>
      </c>
      <c r="B80" s="34" t="inlineStr">
        <is>
          <t>Days 29 - 30</t>
        </is>
      </c>
      <c r="C80" s="34">
        <f>COUNTIF(AG18:AH37, "✓")</f>
        <v/>
      </c>
      <c r="D80" s="34">
        <f>COUNTIF(AG18:AH37, "✓") + COUNTIF(AG18:AH37, "✗")</f>
        <v/>
      </c>
      <c r="E80" s="35">
        <f>IFERROR(C80/D80, 0)</f>
        <v/>
      </c>
      <c r="N80" s="60" t="inlineStr">
        <is>
          <t>Finance &amp; Wealth</t>
        </is>
      </c>
      <c r="O80" s="54" t="n"/>
      <c r="P80" s="34">
        <f>COUNTIF($C$18:$C$37, "Finance &amp; Wealth")</f>
        <v/>
      </c>
      <c r="Q80" s="34">
        <f>SUMIF($C$18:$C$37, "Finance &amp; Wealth", $D$18:$D$37)</f>
        <v/>
      </c>
      <c r="R80" s="34">
        <f>SUMIF($C$18:$C$37, "Finance &amp; Wealth", $AL$18:$AL$37)</f>
        <v/>
      </c>
      <c r="S80" s="35">
        <f>IFERROR(R80/Q80, 0)</f>
        <v/>
      </c>
    </row>
    <row r="81" ht="14" customHeight="1">
      <c r="A81" s="33" t="inlineStr">
        <is>
          <t>Total / Avg</t>
        </is>
      </c>
      <c r="B81" s="159" t="inlineStr">
        <is>
          <t>Month Total</t>
        </is>
      </c>
      <c r="C81" s="33">
        <f>SUM(C76:C80)</f>
        <v/>
      </c>
      <c r="D81" s="33">
        <f>SUM(D76:D80)</f>
        <v/>
      </c>
      <c r="E81" s="133">
        <f>IFERROR(C81/D81, 0)</f>
        <v/>
      </c>
    </row>
    <row r="82" ht="10" customHeight="1"/>
    <row r="83" ht="10" customHeight="1"/>
    <row r="84">
      <c r="A84" s="51" t="inlineStr">
        <is>
          <t>SLEEP &amp; PRODUCTIVITY CORRELATION ANALYSIS</t>
        </is>
      </c>
      <c r="B84" s="52" t="n"/>
      <c r="C84" s="52" t="n"/>
      <c r="D84" s="52" t="n"/>
      <c r="E84" s="52" t="n"/>
      <c r="F84" s="52" t="n"/>
      <c r="G84" s="52" t="n"/>
      <c r="H84" s="52" t="n"/>
      <c r="I84" s="52" t="n"/>
      <c r="J84" s="52" t="n"/>
      <c r="K84" s="52" t="n"/>
      <c r="L84" s="52" t="n"/>
      <c r="M84" s="52" t="n"/>
      <c r="N84" s="52" t="n"/>
      <c r="O84" s="52" t="n"/>
      <c r="P84" s="52" t="n"/>
      <c r="Q84" s="52" t="n"/>
      <c r="R84" s="52" t="n"/>
      <c r="S84" s="52" t="n"/>
      <c r="T84" s="52" t="n"/>
      <c r="U84" s="52" t="n"/>
      <c r="V84" s="52" t="n"/>
      <c r="W84" s="52" t="n"/>
      <c r="X84" s="52" t="n"/>
      <c r="Y84" s="52" t="n"/>
      <c r="Z84" s="52" t="n"/>
      <c r="AA84" s="52" t="n"/>
      <c r="AB84" s="52" t="n"/>
      <c r="AC84" s="52" t="n"/>
      <c r="AD84" s="52" t="n"/>
      <c r="AE84" s="52" t="n"/>
      <c r="AF84" s="52" t="n"/>
      <c r="AG84" s="52" t="n"/>
      <c r="AH84" s="52" t="n"/>
      <c r="AI84" s="52" t="n"/>
      <c r="AJ84" s="52" t="n"/>
      <c r="AK84" s="52" t="n"/>
    </row>
    <row r="85" ht="15" customHeight="1">
      <c r="A85" s="53" t="inlineStr">
        <is>
          <t>Rest Category</t>
        </is>
      </c>
      <c r="B85" s="54" t="n"/>
      <c r="C85" s="54" t="n"/>
      <c r="D85" s="53" t="inlineStr">
        <is>
          <t>Day Criteria</t>
        </is>
      </c>
      <c r="E85" s="54" t="n"/>
      <c r="F85" s="54" t="n"/>
      <c r="G85" s="53" t="inlineStr">
        <is>
          <t>Days Logged</t>
        </is>
      </c>
      <c r="H85" s="54" t="n"/>
      <c r="I85" s="54" t="n"/>
      <c r="J85" s="53" t="inlineStr">
        <is>
          <t>Avg Sleep Duration</t>
        </is>
      </c>
      <c r="K85" s="54" t="n"/>
      <c r="L85" s="54" t="n"/>
      <c r="M85" s="54" t="n"/>
      <c r="N85" s="53" t="inlineStr">
        <is>
          <t>Avg Habit Success %</t>
        </is>
      </c>
      <c r="O85" s="54" t="n"/>
      <c r="P85" s="54" t="n"/>
      <c r="Q85" s="54" t="n"/>
      <c r="R85" s="53" t="inlineStr">
        <is>
          <t>Productivity Delta</t>
        </is>
      </c>
      <c r="S85" s="54" t="n"/>
      <c r="T85" s="54" t="n"/>
      <c r="U85" s="54" t="n"/>
    </row>
    <row r="86" ht="15" customHeight="1">
      <c r="A86" s="160" t="inlineStr">
        <is>
          <t>Optimal Rest</t>
        </is>
      </c>
      <c r="B86" s="161" t="n"/>
      <c r="C86" s="56" t="n"/>
      <c r="D86" s="34" t="inlineStr">
        <is>
          <t>&gt;= 7 Hours / Night</t>
        </is>
      </c>
      <c r="E86" s="161" t="n"/>
      <c r="F86" s="56" t="n"/>
      <c r="G86" s="33">
        <f>COUNTIF(E47:AH47, "&gt;=7")</f>
        <v/>
      </c>
      <c r="H86" s="161" t="n"/>
      <c r="I86" s="56" t="n"/>
      <c r="J86" s="34">
        <f>IFERROR(TEXT(AVERAGEIF(E47:AH47, "&gt;=7"), "0.0") &amp; " hrs", "-")</f>
        <v/>
      </c>
      <c r="K86" s="161" t="n"/>
      <c r="L86" s="161" t="n"/>
      <c r="M86" s="56" t="n"/>
      <c r="N86" s="42">
        <f>IFERROR(AVERAGEIFS(E39:AH39, E47:AH47, "&gt;=7", E39:AH39, "&gt;0"), 0)</f>
        <v/>
      </c>
      <c r="O86" s="161" t="n"/>
      <c r="P86" s="161" t="n"/>
      <c r="Q86" s="56" t="n"/>
      <c r="R86" s="159" t="inlineStr">
        <is>
          <t>Baseline (Target)</t>
        </is>
      </c>
      <c r="S86" s="161" t="n"/>
      <c r="T86" s="161" t="n"/>
      <c r="U86" s="56" t="n"/>
    </row>
    <row r="87" ht="15" customHeight="1">
      <c r="A87" s="162" t="inlineStr">
        <is>
          <t>Sleep Deficit</t>
        </is>
      </c>
      <c r="B87" s="161" t="n"/>
      <c r="C87" s="56" t="n"/>
      <c r="D87" s="34" t="inlineStr">
        <is>
          <t>&lt; 7 Hours / Night</t>
        </is>
      </c>
      <c r="E87" s="161" t="n"/>
      <c r="F87" s="56" t="n"/>
      <c r="G87" s="33">
        <f>COUNTIF(E47:AH47, "&lt;7") - COUNTIF(E47:AH47, "")</f>
        <v/>
      </c>
      <c r="H87" s="161" t="n"/>
      <c r="I87" s="56" t="n"/>
      <c r="J87" s="34">
        <f>IFERROR(TEXT(AVERAGEIFS(E47:AH47, E47:AH47, "&lt;7", E47:AH47, "&gt;0"), "0.0") &amp; " hrs", "-")</f>
        <v/>
      </c>
      <c r="K87" s="161" t="n"/>
      <c r="L87" s="161" t="n"/>
      <c r="M87" s="56" t="n"/>
      <c r="N87" s="163">
        <f>IFERROR(AVERAGEIFS(E39:AH39, E47:AH47, "&lt;7", E39:AH39, "&gt;0"), 0)</f>
        <v/>
      </c>
      <c r="O87" s="161" t="n"/>
      <c r="P87" s="161" t="n"/>
      <c r="Q87" s="56" t="n"/>
      <c r="R87" s="160">
        <f>IFERROR(TEXT(N86 - N87, "+0.0%;-0.0%;0.0%") &amp; " Rest Advantage", "-")</f>
        <v/>
      </c>
      <c r="S87" s="161" t="n"/>
      <c r="T87" s="161" t="n"/>
      <c r="U87" s="56" t="n"/>
    </row>
    <row r="88" ht="18" customHeight="1">
      <c r="A88" s="164">
        <f>IF(AND(ISNUMBER(N86), ISNUMBER(N87), N86&gt;0, N87&gt;0), "💡 Sleep Correlation Insight: You complete " &amp; TEXT(ABS(N86-N87), "0.0%") &amp; IF(N86&gt;=N87, " MORE habits on days with 7+ hours of sleep!", " fewer habits on days with 7+ hours of sleep."), "💡 Log both habits and sleep hours daily to unlock automatic AI correlation insights!")</f>
        <v/>
      </c>
      <c r="B88" s="161" t="n"/>
      <c r="C88" s="161" t="n"/>
      <c r="D88" s="161" t="n"/>
      <c r="E88" s="161" t="n"/>
      <c r="F88" s="161" t="n"/>
      <c r="G88" s="161" t="n"/>
      <c r="H88" s="161" t="n"/>
      <c r="I88" s="161" t="n"/>
      <c r="J88" s="161" t="n"/>
      <c r="K88" s="161" t="n"/>
      <c r="L88" s="161" t="n"/>
      <c r="M88" s="161" t="n"/>
      <c r="N88" s="161" t="n"/>
      <c r="O88" s="161" t="n"/>
      <c r="P88" s="161" t="n"/>
      <c r="Q88" s="161" t="n"/>
      <c r="R88" s="161" t="n"/>
      <c r="S88" s="161" t="n"/>
      <c r="T88" s="161" t="n"/>
      <c r="U88" s="161" t="n"/>
      <c r="V88" s="161" t="n"/>
      <c r="W88" s="161" t="n"/>
      <c r="X88" s="161" t="n"/>
      <c r="Y88" s="161" t="n"/>
      <c r="Z88" s="161" t="n"/>
      <c r="AA88" s="161" t="n"/>
      <c r="AB88" s="161" t="n"/>
      <c r="AC88" s="161" t="n"/>
      <c r="AD88" s="161" t="n"/>
      <c r="AE88" s="161" t="n"/>
      <c r="AF88" s="161" t="n"/>
      <c r="AG88" s="161" t="n"/>
      <c r="AH88" s="161" t="n"/>
      <c r="AI88" s="161" t="n"/>
      <c r="AJ88" s="161" t="n"/>
      <c r="AK88" s="56" t="n"/>
    </row>
    <row r="89" ht="10" customHeight="1"/>
    <row r="90">
      <c r="A90" s="43" t="inlineStr">
        <is>
          <t>STANDARDIZED DATA BRIDGE (FOR ANNUAL &amp; QUARTERLY REVIEW SHEETS)</t>
        </is>
      </c>
      <c r="B90" s="44" t="n"/>
      <c r="C90" s="44" t="n"/>
      <c r="D90" s="44" t="n"/>
      <c r="E90" s="44" t="n"/>
      <c r="F90" s="44" t="n"/>
      <c r="G90" s="44" t="n"/>
      <c r="H90" s="44" t="n"/>
      <c r="I90" s="44" t="n"/>
      <c r="J90" s="44" t="n"/>
      <c r="K90" s="44" t="n"/>
      <c r="L90" s="44" t="n"/>
      <c r="M90" s="44" t="n"/>
      <c r="N90" s="44" t="n"/>
      <c r="O90" s="44" t="n"/>
      <c r="P90" s="44" t="n"/>
      <c r="Q90" s="44" t="n"/>
      <c r="R90" s="44" t="n"/>
      <c r="S90" s="44" t="n"/>
      <c r="T90" s="44" t="n"/>
      <c r="U90" s="44" t="n"/>
      <c r="V90" s="44" t="n"/>
      <c r="W90" s="44" t="n"/>
      <c r="X90" s="44" t="n"/>
      <c r="Y90" s="44" t="n"/>
      <c r="Z90" s="44" t="n"/>
      <c r="AA90" s="44" t="n"/>
      <c r="AB90" s="44" t="n"/>
      <c r="AC90" s="44" t="n"/>
      <c r="AD90" s="44" t="n"/>
      <c r="AE90" s="44" t="n"/>
      <c r="AF90" s="44" t="n"/>
      <c r="AG90" s="44" t="n"/>
      <c r="AH90" s="44" t="n"/>
      <c r="AI90" s="44" t="n"/>
      <c r="AJ90" s="44" t="n"/>
      <c r="AK90" s="44" t="n"/>
    </row>
    <row r="91" ht="15" customHeight="1">
      <c r="A91" s="53" t="inlineStr">
        <is>
          <t>Month</t>
        </is>
      </c>
      <c r="B91" s="54" t="n"/>
      <c r="C91" s="53" t="inlineStr">
        <is>
          <t>Year</t>
        </is>
      </c>
      <c r="D91" s="54" t="n"/>
      <c r="E91" s="53" t="inlineStr">
        <is>
          <t>Active Habits</t>
        </is>
      </c>
      <c r="F91" s="54" t="n"/>
      <c r="G91" s="53" t="inlineStr">
        <is>
          <t>Target Days</t>
        </is>
      </c>
      <c r="H91" s="54" t="n"/>
      <c r="I91" s="53" t="inlineStr">
        <is>
          <t>Done Checks</t>
        </is>
      </c>
      <c r="J91" s="54" t="n"/>
      <c r="K91" s="53" t="inlineStr">
        <is>
          <t>Success %</t>
        </is>
      </c>
      <c r="L91" s="54" t="n"/>
      <c r="M91" s="53" t="inlineStr">
        <is>
          <t>Perfect Days</t>
        </is>
      </c>
      <c r="N91" s="54" t="n"/>
      <c r="O91" s="53" t="inlineStr">
        <is>
          <t>Avg Sleep</t>
        </is>
      </c>
      <c r="P91" s="54" t="n"/>
      <c r="Q91" s="53" t="inlineStr">
        <is>
          <t>Best Week</t>
        </is>
      </c>
      <c r="R91" s="54" t="n"/>
      <c r="S91" s="54" t="n"/>
      <c r="T91" s="53" t="inlineStr">
        <is>
          <t>Top Life Domain</t>
        </is>
      </c>
      <c r="U91" s="54" t="n"/>
      <c r="V91" s="54" t="n"/>
      <c r="W91" s="54" t="n"/>
    </row>
    <row r="92" ht="16" customHeight="1">
      <c r="A92" s="165" t="inlineStr">
        <is>
          <t>Jun</t>
        </is>
      </c>
      <c r="B92" s="56" t="n"/>
      <c r="C92" s="165" t="n">
        <v>2028</v>
      </c>
      <c r="D92" s="56" t="n"/>
      <c r="E92" s="166">
        <f>COUNTA(B18:B37)</f>
        <v/>
      </c>
      <c r="F92" s="56" t="n"/>
      <c r="G92" s="166">
        <f>SUM(D18:D37)</f>
        <v/>
      </c>
      <c r="H92" s="56" t="n"/>
      <c r="I92" s="166">
        <f>SUM(AL18:AL37)</f>
        <v/>
      </c>
      <c r="J92" s="56" t="n"/>
      <c r="K92" s="167">
        <f>IF(G92&gt;0, I92/G92, 0)</f>
        <v/>
      </c>
      <c r="L92" s="56" t="n"/>
      <c r="M92" s="166">
        <f>COUNTIF(E39:AH39, 1)</f>
        <v/>
      </c>
      <c r="N92" s="56" t="n"/>
      <c r="O92" s="168">
        <f>IFERROR(AVERAGE(E47:AH47), 0)</f>
        <v/>
      </c>
      <c r="P92" s="56" t="n"/>
      <c r="Q92" s="166">
        <f>INDEX(A76:A80, MATCH(MAX(E76:E80), E76:E80, 0))</f>
        <v/>
      </c>
      <c r="R92" s="161" t="n"/>
      <c r="S92" s="56" t="n"/>
      <c r="T92" s="166">
        <f>INDEX(N76:N80, MATCH(MAX(S76:S80), S76:S80, 0))</f>
        <v/>
      </c>
      <c r="U92" s="161" t="n"/>
      <c r="V92" s="161" t="n"/>
      <c r="W92" s="56" t="n"/>
    </row>
    <row r="93" ht="14" customHeight="1">
      <c r="A93" s="169" t="inlineStr">
        <is>
          <t>📋 Note: Reference or copy Row 92 directly into an Annual / Quarterly review dashboard to track yearly habit trends.</t>
        </is>
      </c>
    </row>
    <row r="94" ht="8" customHeight="1"/>
    <row r="95">
      <c r="A95" s="170" t="inlineStr">
        <is>
          <t>🏆 MONTHLY WINS &amp; HIGHLIGHTS</t>
        </is>
      </c>
      <c r="J95" s="171" t="inlineStr">
        <is>
          <t>⚠️ FRICTION POINTS &amp; ROOT CAUSES</t>
        </is>
      </c>
      <c r="S95" s="172" t="inlineStr">
        <is>
          <t>🎯 3 KEY ADJUSTMENTS FOR NEXT MONTH</t>
        </is>
      </c>
    </row>
    <row r="96">
      <c r="A96" s="173" t="inlineStr">
        <is>
          <t>1. What went exceptionally well this month?
2. Which habit felt effortless and consistent?
3. Major milestone achieved:</t>
        </is>
      </c>
      <c r="B96" s="174" t="n"/>
      <c r="C96" s="174" t="n"/>
      <c r="D96" s="174" t="n"/>
      <c r="E96" s="174" t="n"/>
      <c r="F96" s="174" t="n"/>
      <c r="G96" s="174" t="n"/>
      <c r="H96" s="174" t="n"/>
      <c r="J96" s="175" t="inlineStr">
        <is>
          <t>1. What caused missed or skipped days?
2. Main triggers / energy drains encountered:
3. Which habit had the lowest consistency and why?</t>
        </is>
      </c>
      <c r="K96" s="176" t="n"/>
      <c r="L96" s="176" t="n"/>
      <c r="M96" s="176" t="n"/>
      <c r="N96" s="176" t="n"/>
      <c r="O96" s="176" t="n"/>
      <c r="P96" s="176" t="n"/>
      <c r="Q96" s="176" t="n"/>
      <c r="S96" s="177" t="inlineStr">
        <is>
          <t>1. Habit Stacking or time adjustment for next month:
2. Environment design change to eliminate friction:
3. One non-negotiable priority protocol:</t>
        </is>
      </c>
      <c r="T96" s="178" t="n"/>
      <c r="U96" s="178" t="n"/>
      <c r="V96" s="178" t="n"/>
      <c r="W96" s="178" t="n"/>
      <c r="X96" s="178" t="n"/>
      <c r="Y96" s="178" t="n"/>
      <c r="Z96" s="178" t="n"/>
    </row>
    <row r="97">
      <c r="A97" s="174" t="n"/>
      <c r="B97" s="174" t="n"/>
      <c r="C97" s="174" t="n"/>
      <c r="D97" s="174" t="n"/>
      <c r="E97" s="174" t="n"/>
      <c r="F97" s="174" t="n"/>
      <c r="G97" s="174" t="n"/>
      <c r="H97" s="174" t="n"/>
      <c r="J97" s="176" t="n"/>
      <c r="K97" s="176" t="n"/>
      <c r="L97" s="176" t="n"/>
      <c r="M97" s="176" t="n"/>
      <c r="N97" s="176" t="n"/>
      <c r="O97" s="176" t="n"/>
      <c r="P97" s="176" t="n"/>
      <c r="Q97" s="176" t="n"/>
      <c r="S97" s="178" t="n"/>
      <c r="T97" s="178" t="n"/>
      <c r="U97" s="178" t="n"/>
      <c r="V97" s="178" t="n"/>
      <c r="W97" s="178" t="n"/>
      <c r="X97" s="178" t="n"/>
      <c r="Y97" s="178" t="n"/>
      <c r="Z97" s="178" t="n"/>
    </row>
    <row r="98">
      <c r="A98" s="174" t="n"/>
      <c r="B98" s="174" t="n"/>
      <c r="C98" s="174" t="n"/>
      <c r="D98" s="174" t="n"/>
      <c r="E98" s="174" t="n"/>
      <c r="F98" s="174" t="n"/>
      <c r="G98" s="174" t="n"/>
      <c r="H98" s="174" t="n"/>
      <c r="J98" s="176" t="n"/>
      <c r="K98" s="176" t="n"/>
      <c r="L98" s="176" t="n"/>
      <c r="M98" s="176" t="n"/>
      <c r="N98" s="176" t="n"/>
      <c r="O98" s="176" t="n"/>
      <c r="P98" s="176" t="n"/>
      <c r="Q98" s="176" t="n"/>
      <c r="S98" s="178" t="n"/>
      <c r="T98" s="178" t="n"/>
      <c r="U98" s="178" t="n"/>
      <c r="V98" s="178" t="n"/>
      <c r="W98" s="178" t="n"/>
      <c r="X98" s="178" t="n"/>
      <c r="Y98" s="178" t="n"/>
      <c r="Z98" s="178" t="n"/>
    </row>
    <row r="99">
      <c r="A99" s="174" t="n"/>
      <c r="B99" s="174" t="n"/>
      <c r="C99" s="174" t="n"/>
      <c r="D99" s="174" t="n"/>
      <c r="E99" s="174" t="n"/>
      <c r="F99" s="174" t="n"/>
      <c r="G99" s="174" t="n"/>
      <c r="H99" s="174" t="n"/>
      <c r="J99" s="176" t="n"/>
      <c r="K99" s="176" t="n"/>
      <c r="L99" s="176" t="n"/>
      <c r="M99" s="176" t="n"/>
      <c r="N99" s="176" t="n"/>
      <c r="O99" s="176" t="n"/>
      <c r="P99" s="176" t="n"/>
      <c r="Q99" s="176" t="n"/>
      <c r="S99" s="178" t="n"/>
      <c r="T99" s="178" t="n"/>
      <c r="U99" s="178" t="n"/>
      <c r="V99" s="178" t="n"/>
      <c r="W99" s="178" t="n"/>
      <c r="X99" s="178" t="n"/>
      <c r="Y99" s="178" t="n"/>
      <c r="Z99" s="178" t="n"/>
    </row>
    <row r="100">
      <c r="A100" s="174" t="n"/>
      <c r="B100" s="174" t="n"/>
      <c r="C100" s="174" t="n"/>
      <c r="D100" s="174" t="n"/>
      <c r="E100" s="174" t="n"/>
      <c r="F100" s="174" t="n"/>
      <c r="G100" s="174" t="n"/>
      <c r="H100" s="174" t="n"/>
      <c r="J100" s="176" t="n"/>
      <c r="K100" s="176" t="n"/>
      <c r="L100" s="176" t="n"/>
      <c r="M100" s="176" t="n"/>
      <c r="N100" s="176" t="n"/>
      <c r="O100" s="176" t="n"/>
      <c r="P100" s="176" t="n"/>
      <c r="Q100" s="176" t="n"/>
      <c r="S100" s="178" t="n"/>
      <c r="T100" s="178" t="n"/>
      <c r="U100" s="178" t="n"/>
      <c r="V100" s="178" t="n"/>
      <c r="W100" s="178" t="n"/>
      <c r="X100" s="178" t="n"/>
      <c r="Y100" s="178" t="n"/>
      <c r="Z100" s="178" t="n"/>
    </row>
    <row r="101">
      <c r="A101" s="174" t="n"/>
      <c r="B101" s="174" t="n"/>
      <c r="C101" s="174" t="n"/>
      <c r="D101" s="174" t="n"/>
      <c r="E101" s="174" t="n"/>
      <c r="F101" s="174" t="n"/>
      <c r="G101" s="174" t="n"/>
      <c r="H101" s="174" t="n"/>
      <c r="J101" s="176" t="n"/>
      <c r="K101" s="176" t="n"/>
      <c r="L101" s="176" t="n"/>
      <c r="M101" s="176" t="n"/>
      <c r="N101" s="176" t="n"/>
      <c r="O101" s="176" t="n"/>
      <c r="P101" s="176" t="n"/>
      <c r="Q101" s="176" t="n"/>
      <c r="S101" s="178" t="n"/>
      <c r="T101" s="178" t="n"/>
      <c r="U101" s="178" t="n"/>
      <c r="V101" s="178" t="n"/>
      <c r="W101" s="178" t="n"/>
      <c r="X101" s="178" t="n"/>
      <c r="Y101" s="178" t="n"/>
      <c r="Z101" s="178" t="n"/>
    </row>
    <row r="102">
      <c r="A102" s="174" t="n"/>
      <c r="B102" s="174" t="n"/>
      <c r="C102" s="174" t="n"/>
      <c r="D102" s="174" t="n"/>
      <c r="E102" s="174" t="n"/>
      <c r="F102" s="174" t="n"/>
      <c r="G102" s="174" t="n"/>
      <c r="H102" s="174" t="n"/>
      <c r="J102" s="176" t="n"/>
      <c r="K102" s="176" t="n"/>
      <c r="L102" s="176" t="n"/>
      <c r="M102" s="176" t="n"/>
      <c r="N102" s="176" t="n"/>
      <c r="O102" s="176" t="n"/>
      <c r="P102" s="176" t="n"/>
      <c r="Q102" s="176" t="n"/>
      <c r="S102" s="178" t="n"/>
      <c r="T102" s="178" t="n"/>
      <c r="U102" s="178" t="n"/>
      <c r="V102" s="178" t="n"/>
      <c r="W102" s="178" t="n"/>
      <c r="X102" s="178" t="n"/>
      <c r="Y102" s="178" t="n"/>
      <c r="Z102" s="178" t="n"/>
    </row>
    <row r="103">
      <c r="A103" s="174" t="n"/>
      <c r="B103" s="174" t="n"/>
      <c r="C103" s="174" t="n"/>
      <c r="D103" s="174" t="n"/>
      <c r="E103" s="174" t="n"/>
      <c r="F103" s="174" t="n"/>
      <c r="G103" s="174" t="n"/>
      <c r="H103" s="174" t="n"/>
      <c r="J103" s="176" t="n"/>
      <c r="K103" s="176" t="n"/>
      <c r="L103" s="176" t="n"/>
      <c r="M103" s="176" t="n"/>
      <c r="N103" s="176" t="n"/>
      <c r="O103" s="176" t="n"/>
      <c r="P103" s="176" t="n"/>
      <c r="Q103" s="176" t="n"/>
      <c r="S103" s="178" t="n"/>
      <c r="T103" s="178" t="n"/>
      <c r="U103" s="178" t="n"/>
      <c r="V103" s="178" t="n"/>
      <c r="W103" s="178" t="n"/>
      <c r="X103" s="178" t="n"/>
      <c r="Y103" s="178" t="n"/>
      <c r="Z103" s="178" t="n"/>
    </row>
  </sheetData>
  <sheetProtection selectLockedCells="1" selectUnlockedCells="1" sheet="1" objects="0" insertRows="1" insertHyperlinks="1" autoFilter="1" scenarios="0" formatColumns="1" deleteColumns="1" insertColumns="1" pivotTables="1" deleteRows="1" formatCells="1" formatRows="1" sort="1"/>
  <mergeCells count="94">
    <mergeCell ref="A9:N9"/>
    <mergeCell ref="N76:O76"/>
    <mergeCell ref="F67:I67"/>
    <mergeCell ref="G87:I87"/>
    <mergeCell ref="A16:A17"/>
    <mergeCell ref="A45:D46"/>
    <mergeCell ref="C16:C17"/>
    <mergeCell ref="N75:O75"/>
    <mergeCell ref="N77:O77"/>
    <mergeCell ref="P68:S70"/>
    <mergeCell ref="A93:AK93"/>
    <mergeCell ref="D16:D17"/>
    <mergeCell ref="N85:Q85"/>
    <mergeCell ref="A95:H95"/>
    <mergeCell ref="Q91:S91"/>
    <mergeCell ref="P6:AK6"/>
    <mergeCell ref="E91:F91"/>
    <mergeCell ref="A8:N8"/>
    <mergeCell ref="G91:H91"/>
    <mergeCell ref="P8:AK8"/>
    <mergeCell ref="J86:M86"/>
    <mergeCell ref="S95:Z95"/>
    <mergeCell ref="K67:N67"/>
    <mergeCell ref="N79:O79"/>
    <mergeCell ref="K92:L92"/>
    <mergeCell ref="P7:AK7"/>
    <mergeCell ref="C92:D92"/>
    <mergeCell ref="F71:I71"/>
    <mergeCell ref="M92:N92"/>
    <mergeCell ref="A12:AK14"/>
    <mergeCell ref="K68:N70"/>
    <mergeCell ref="T91:W91"/>
    <mergeCell ref="AI16:AI17"/>
    <mergeCell ref="J95:Q95"/>
    <mergeCell ref="D85:F85"/>
    <mergeCell ref="N74:S74"/>
    <mergeCell ref="P9:AK9"/>
    <mergeCell ref="F68:I70"/>
    <mergeCell ref="A91:B91"/>
    <mergeCell ref="N78:O78"/>
    <mergeCell ref="C91:D91"/>
    <mergeCell ref="M91:N91"/>
    <mergeCell ref="O91:P91"/>
    <mergeCell ref="R86:U86"/>
    <mergeCell ref="A84:AK84"/>
    <mergeCell ref="N80:O80"/>
    <mergeCell ref="B16:B17"/>
    <mergeCell ref="A71:D71"/>
    <mergeCell ref="J85:M85"/>
    <mergeCell ref="D86:F86"/>
    <mergeCell ref="A92:B92"/>
    <mergeCell ref="N87:Q87"/>
    <mergeCell ref="A1:B1"/>
    <mergeCell ref="E92:F92"/>
    <mergeCell ref="A68:D70"/>
    <mergeCell ref="P71:S71"/>
    <mergeCell ref="A86:C86"/>
    <mergeCell ref="D87:F87"/>
    <mergeCell ref="O92:P92"/>
    <mergeCell ref="A6:N6"/>
    <mergeCell ref="A39:D39"/>
    <mergeCell ref="G86:I86"/>
    <mergeCell ref="A96:H103"/>
    <mergeCell ref="P67:S67"/>
    <mergeCell ref="A41:AK41"/>
    <mergeCell ref="T92:W92"/>
    <mergeCell ref="R85:U85"/>
    <mergeCell ref="H2:AC2"/>
    <mergeCell ref="K71:N71"/>
    <mergeCell ref="S96:Z103"/>
    <mergeCell ref="A38:D38"/>
    <mergeCell ref="A42:AK42"/>
    <mergeCell ref="H3:AC3"/>
    <mergeCell ref="A67:D67"/>
    <mergeCell ref="I91:J91"/>
    <mergeCell ref="A85:C85"/>
    <mergeCell ref="K91:L91"/>
    <mergeCell ref="N86:Q86"/>
    <mergeCell ref="A7:N7"/>
    <mergeCell ref="A74:E74"/>
    <mergeCell ref="G85:I85"/>
    <mergeCell ref="G92:H92"/>
    <mergeCell ref="I92:J92"/>
    <mergeCell ref="R87:U87"/>
    <mergeCell ref="AK16:AK17"/>
    <mergeCell ref="J87:M87"/>
    <mergeCell ref="AD2:AK2"/>
    <mergeCell ref="AJ16:AJ17"/>
    <mergeCell ref="J96:Q103"/>
    <mergeCell ref="A88:AK88"/>
    <mergeCell ref="A90:AK90"/>
    <mergeCell ref="Q92:S92"/>
    <mergeCell ref="A87:C87"/>
    <mergeCell ref="A47:D47"/>
  </mergeCells>
  <conditionalFormatting sqref="AI18:AI37">
    <cfRule type="dataBar" priority="1">
      <dataBar>
        <cfvo type="num" val="0"/>
        <cfvo type="num" val="1"/>
        <color rgb="0010B981"/>
      </dataBar>
    </cfRule>
  </conditionalFormatting>
  <conditionalFormatting sqref="E18:AH37">
    <cfRule type="cellIs" priority="2" operator="equal" dxfId="0">
      <formula>"✓"</formula>
    </cfRule>
    <cfRule type="cellIs" priority="3" operator="equal" dxfId="0">
      <formula>"✔"</formula>
    </cfRule>
    <cfRule type="cellIs" priority="4" operator="equal" dxfId="1">
      <formula>"✗"</formula>
    </cfRule>
    <cfRule type="cellIs" priority="5" operator="equal" dxfId="1">
      <formula>"x"</formula>
    </cfRule>
    <cfRule type="cellIs" priority="6" operator="equal" dxfId="1">
      <formula>"X"</formula>
    </cfRule>
  </conditionalFormatting>
  <conditionalFormatting sqref="E16:E17">
    <cfRule type="expression" priority="7" dxfId="2">
      <formula>AND(DAY(TODAY())=1, MONTH(TODAY())=6, YEAR(TODAY())=2028)</formula>
    </cfRule>
  </conditionalFormatting>
  <conditionalFormatting sqref="F16:F17">
    <cfRule type="expression" priority="8" dxfId="2">
      <formula>AND(DAY(TODAY())=2, MONTH(TODAY())=6, YEAR(TODAY())=2028)</formula>
    </cfRule>
  </conditionalFormatting>
  <conditionalFormatting sqref="G16:G17">
    <cfRule type="expression" priority="9" dxfId="2">
      <formula>AND(DAY(TODAY())=3, MONTH(TODAY())=6, YEAR(TODAY())=2028)</formula>
    </cfRule>
  </conditionalFormatting>
  <conditionalFormatting sqref="H16:H17">
    <cfRule type="expression" priority="10" dxfId="2">
      <formula>AND(DAY(TODAY())=4, MONTH(TODAY())=6, YEAR(TODAY())=2028)</formula>
    </cfRule>
  </conditionalFormatting>
  <conditionalFormatting sqref="I16:I17">
    <cfRule type="expression" priority="11" dxfId="2">
      <formula>AND(DAY(TODAY())=5, MONTH(TODAY())=6, YEAR(TODAY())=2028)</formula>
    </cfRule>
  </conditionalFormatting>
  <conditionalFormatting sqref="J16:J17">
    <cfRule type="expression" priority="12" dxfId="2">
      <formula>AND(DAY(TODAY())=6, MONTH(TODAY())=6, YEAR(TODAY())=2028)</formula>
    </cfRule>
  </conditionalFormatting>
  <conditionalFormatting sqref="K16:K17">
    <cfRule type="expression" priority="13" dxfId="2">
      <formula>AND(DAY(TODAY())=7, MONTH(TODAY())=6, YEAR(TODAY())=2028)</formula>
    </cfRule>
  </conditionalFormatting>
  <conditionalFormatting sqref="L16:L17">
    <cfRule type="expression" priority="14" dxfId="2">
      <formula>AND(DAY(TODAY())=8, MONTH(TODAY())=6, YEAR(TODAY())=2028)</formula>
    </cfRule>
  </conditionalFormatting>
  <conditionalFormatting sqref="M16:M17">
    <cfRule type="expression" priority="15" dxfId="2">
      <formula>AND(DAY(TODAY())=9, MONTH(TODAY())=6, YEAR(TODAY())=2028)</formula>
    </cfRule>
  </conditionalFormatting>
  <conditionalFormatting sqref="N16:N17">
    <cfRule type="expression" priority="16" dxfId="2">
      <formula>AND(DAY(TODAY())=10, MONTH(TODAY())=6, YEAR(TODAY())=2028)</formula>
    </cfRule>
  </conditionalFormatting>
  <conditionalFormatting sqref="O16:O17">
    <cfRule type="expression" priority="17" dxfId="2">
      <formula>AND(DAY(TODAY())=11, MONTH(TODAY())=6, YEAR(TODAY())=2028)</formula>
    </cfRule>
  </conditionalFormatting>
  <conditionalFormatting sqref="P16:P17">
    <cfRule type="expression" priority="18" dxfId="2">
      <formula>AND(DAY(TODAY())=12, MONTH(TODAY())=6, YEAR(TODAY())=2028)</formula>
    </cfRule>
  </conditionalFormatting>
  <conditionalFormatting sqref="Q16:Q17">
    <cfRule type="expression" priority="19" dxfId="2">
      <formula>AND(DAY(TODAY())=13, MONTH(TODAY())=6, YEAR(TODAY())=2028)</formula>
    </cfRule>
  </conditionalFormatting>
  <conditionalFormatting sqref="R16:R17">
    <cfRule type="expression" priority="20" dxfId="2">
      <formula>AND(DAY(TODAY())=14, MONTH(TODAY())=6, YEAR(TODAY())=2028)</formula>
    </cfRule>
  </conditionalFormatting>
  <conditionalFormatting sqref="S16:S17">
    <cfRule type="expression" priority="21" dxfId="2">
      <formula>AND(DAY(TODAY())=15, MONTH(TODAY())=6, YEAR(TODAY())=2028)</formula>
    </cfRule>
  </conditionalFormatting>
  <conditionalFormatting sqref="T16:T17">
    <cfRule type="expression" priority="22" dxfId="2">
      <formula>AND(DAY(TODAY())=16, MONTH(TODAY())=6, YEAR(TODAY())=2028)</formula>
    </cfRule>
  </conditionalFormatting>
  <conditionalFormatting sqref="U16:U17">
    <cfRule type="expression" priority="23" dxfId="2">
      <formula>AND(DAY(TODAY())=17, MONTH(TODAY())=6, YEAR(TODAY())=2028)</formula>
    </cfRule>
  </conditionalFormatting>
  <conditionalFormatting sqref="V16:V17">
    <cfRule type="expression" priority="24" dxfId="2">
      <formula>AND(DAY(TODAY())=18, MONTH(TODAY())=6, YEAR(TODAY())=2028)</formula>
    </cfRule>
  </conditionalFormatting>
  <conditionalFormatting sqref="W16:W17">
    <cfRule type="expression" priority="25" dxfId="2">
      <formula>AND(DAY(TODAY())=19, MONTH(TODAY())=6, YEAR(TODAY())=2028)</formula>
    </cfRule>
  </conditionalFormatting>
  <conditionalFormatting sqref="X16:X17">
    <cfRule type="expression" priority="26" dxfId="2">
      <formula>AND(DAY(TODAY())=20, MONTH(TODAY())=6, YEAR(TODAY())=2028)</formula>
    </cfRule>
  </conditionalFormatting>
  <conditionalFormatting sqref="Y16:Y17">
    <cfRule type="expression" priority="27" dxfId="2">
      <formula>AND(DAY(TODAY())=21, MONTH(TODAY())=6, YEAR(TODAY())=2028)</formula>
    </cfRule>
  </conditionalFormatting>
  <conditionalFormatting sqref="Z16:Z17">
    <cfRule type="expression" priority="28" dxfId="2">
      <formula>AND(DAY(TODAY())=22, MONTH(TODAY())=6, YEAR(TODAY())=2028)</formula>
    </cfRule>
  </conditionalFormatting>
  <conditionalFormatting sqref="AA16:AA17">
    <cfRule type="expression" priority="29" dxfId="2">
      <formula>AND(DAY(TODAY())=23, MONTH(TODAY())=6, YEAR(TODAY())=2028)</formula>
    </cfRule>
  </conditionalFormatting>
  <conditionalFormatting sqref="AB16:AB17">
    <cfRule type="expression" priority="30" dxfId="2">
      <formula>AND(DAY(TODAY())=24, MONTH(TODAY())=6, YEAR(TODAY())=2028)</formula>
    </cfRule>
  </conditionalFormatting>
  <conditionalFormatting sqref="AC16:AC17">
    <cfRule type="expression" priority="31" dxfId="2">
      <formula>AND(DAY(TODAY())=25, MONTH(TODAY())=6, YEAR(TODAY())=2028)</formula>
    </cfRule>
  </conditionalFormatting>
  <conditionalFormatting sqref="AD16:AD17">
    <cfRule type="expression" priority="32" dxfId="2">
      <formula>AND(DAY(TODAY())=26, MONTH(TODAY())=6, YEAR(TODAY())=2028)</formula>
    </cfRule>
  </conditionalFormatting>
  <conditionalFormatting sqref="AE16:AE17">
    <cfRule type="expression" priority="33" dxfId="2">
      <formula>AND(DAY(TODAY())=27, MONTH(TODAY())=6, YEAR(TODAY())=2028)</formula>
    </cfRule>
  </conditionalFormatting>
  <conditionalFormatting sqref="AF16:AF17">
    <cfRule type="expression" priority="34" dxfId="2">
      <formula>AND(DAY(TODAY())=28, MONTH(TODAY())=6, YEAR(TODAY())=2028)</formula>
    </cfRule>
  </conditionalFormatting>
  <conditionalFormatting sqref="AG16:AG17">
    <cfRule type="expression" priority="35" dxfId="2">
      <formula>AND(DAY(TODAY())=29, MONTH(TODAY())=6, YEAR(TODAY())=2028)</formula>
    </cfRule>
  </conditionalFormatting>
  <conditionalFormatting sqref="AH16:AH17">
    <cfRule type="expression" priority="36" dxfId="2">
      <formula>AND(DAY(TODAY())=30, MONTH(TODAY())=6, YEAR(TODAY())=2028)</formula>
    </cfRule>
  </conditionalFormatting>
  <dataValidations count="4">
    <dataValidation sqref="C18:C37" showDropDown="0" showInputMessage="0" showErrorMessage="0" allowBlank="1" type="list">
      <formula1>"Health &amp; Fitness,Mindset &amp; Learning,Career &amp; Focus,Personal &amp; Home,Finance &amp; Wealth,Other"</formula1>
    </dataValidation>
    <dataValidation sqref="D18:D37" showDropDown="0" showInputMessage="0" showErrorMessage="0" allowBlank="1" type="list">
      <formula1>"1,2,3,4,5,6,7,8,9,10,11,12,13,14,15,16,17,18,19,20,21,22,23,24,25,26,27,28,29,30,31"</formula1>
    </dataValidation>
    <dataValidation sqref="E18:AH37" showDropDown="0" showInputMessage="0" showErrorMessage="0" allowBlank="1" type="list">
      <formula1>"✓,✗"</formula1>
    </dataValidation>
    <dataValidation sqref="E47:AH47" showDropDown="0" showInputMessage="0" showErrorMessage="0" allowBlank="1" type="list">
      <formula1>"1,2,3,4,5,6,7,8,9,10,11,12,13,14,15,16,17,18,19,20,21,22,23,24"</formula1>
    </dataValidation>
  </dataValidations>
  <hyperlinks>
    <hyperlink xmlns:r="http://schemas.openxmlformats.org/officeDocument/2006/relationships" ref="A1" r:id="rId1"/>
    <hyperlink xmlns:r="http://schemas.openxmlformats.org/officeDocument/2006/relationships" ref="C1" r:id="rId2"/>
    <hyperlink xmlns:r="http://schemas.openxmlformats.org/officeDocument/2006/relationships" ref="D1" r:id="rId3"/>
    <hyperlink xmlns:r="http://schemas.openxmlformats.org/officeDocument/2006/relationships" ref="E1" r:id="rId4"/>
    <hyperlink xmlns:r="http://schemas.openxmlformats.org/officeDocument/2006/relationships" ref="F1" r:id="rId5"/>
    <hyperlink xmlns:r="http://schemas.openxmlformats.org/officeDocument/2006/relationships" ref="G1" r:id="rId6"/>
    <hyperlink xmlns:r="http://schemas.openxmlformats.org/officeDocument/2006/relationships" ref="H1" r:id="rId7"/>
    <hyperlink xmlns:r="http://schemas.openxmlformats.org/officeDocument/2006/relationships" ref="I1" r:id="rId8"/>
    <hyperlink xmlns:r="http://schemas.openxmlformats.org/officeDocument/2006/relationships" ref="J1" r:id="rId9"/>
    <hyperlink xmlns:r="http://schemas.openxmlformats.org/officeDocument/2006/relationships" ref="K1" r:id="rId10"/>
  </hyperlinks>
  <printOptions horizontalCentered="1" verticalCentered="0"/>
  <pageMargins left="0.75" right="0.75" top="1" bottom="1" header="0.5" footer="0.5"/>
  <pageSetup orientation="landscape" paperSize="9" fitToHeight="0" fitToWidth="1"/>
  <drawing xmlns:r="http://schemas.openxmlformats.org/officeDocument/2006/relationships" r:id="rId11"/>
</worksheet>
</file>

<file path=xl/worksheets/sheet26.xml><?xml version="1.0" encoding="utf-8"?>
<worksheet xmlns="http://schemas.openxmlformats.org/spreadsheetml/2006/main">
  <sheetPr>
    <outlinePr summaryBelow="1" summaryRight="1"/>
    <pageSetUpPr fitToPage="1"/>
  </sheetPr>
  <dimension ref="A1:AM103"/>
  <sheetViews>
    <sheetView showGridLines="1" workbookViewId="0">
      <selection activeCell="A1" sqref="A1"/>
    </sheetView>
  </sheetViews>
  <sheetFormatPr baseColWidth="8" defaultRowHeight="15"/>
  <cols>
    <col width="6" customWidth="1" min="1" max="1"/>
    <col width="25" customWidth="1" min="2" max="2"/>
    <col width="16.5" customWidth="1" min="3" max="3"/>
    <col width="8" customWidth="1" min="4" max="4"/>
    <col width="4.8" customWidth="1" min="5" max="5"/>
    <col width="4.8" customWidth="1" min="6" max="6"/>
    <col width="4.8" customWidth="1" min="7" max="7"/>
    <col width="4.8" customWidth="1" min="8" max="8"/>
    <col width="4.8" customWidth="1" min="9" max="9"/>
    <col width="4.8" customWidth="1" min="10" max="10"/>
    <col width="4.8" customWidth="1" min="11" max="11"/>
    <col width="4.8" customWidth="1" min="12" max="12"/>
    <col width="4.8" customWidth="1" min="13" max="13"/>
    <col width="4.8" customWidth="1" min="14" max="14"/>
    <col width="4.8" customWidth="1" min="15" max="15"/>
    <col width="4.8" customWidth="1" min="16" max="16"/>
    <col width="4.8" customWidth="1" min="17" max="17"/>
    <col width="4.8" customWidth="1" min="18" max="18"/>
    <col width="4.8" customWidth="1" min="19" max="19"/>
    <col width="4.8" customWidth="1" min="20" max="20"/>
    <col width="4.8" customWidth="1" min="21" max="21"/>
    <col width="4.8" customWidth="1" min="22" max="22"/>
    <col width="4.8" customWidth="1" min="23" max="23"/>
    <col width="4.8" customWidth="1" min="24" max="24"/>
    <col width="4.8" customWidth="1" min="25" max="25"/>
    <col width="4.8" customWidth="1" min="26" max="26"/>
    <col width="4.8" customWidth="1" min="27" max="27"/>
    <col width="4.8" customWidth="1" min="28" max="28"/>
    <col width="4.8" customWidth="1" min="29" max="29"/>
    <col width="4.8" customWidth="1" min="30" max="30"/>
    <col width="4.8" customWidth="1" min="31" max="31"/>
    <col width="4.8" customWidth="1" min="32" max="32"/>
    <col width="4.8" customWidth="1" min="33" max="33"/>
    <col width="4.8" customWidth="1" min="34" max="34"/>
    <col width="4.8" customWidth="1" min="35" max="35"/>
    <col width="11.5" customWidth="1" min="36" max="36"/>
    <col width="12" customWidth="1" min="37" max="37"/>
    <col width="13.5" customWidth="1" min="38" max="38"/>
    <col hidden="1" width="8" customWidth="1" min="39" max="39"/>
  </cols>
  <sheetData>
    <row r="1" ht="18" customHeight="1">
      <c r="A1" s="76" t="inlineStr">
        <is>
          <t>🏠 Master Dashboard</t>
        </is>
      </c>
      <c r="B1" s="40" t="n"/>
      <c r="C1" s="77" t="inlineStr">
        <is>
          <t>🏛️ Quarterly Hub</t>
        </is>
      </c>
      <c r="D1" s="78" t="inlineStr">
        <is>
          <t>📚 Habit Library</t>
        </is>
      </c>
      <c r="E1" s="80" t="inlineStr">
        <is>
          <t>2026</t>
        </is>
      </c>
      <c r="F1" s="80" t="inlineStr">
        <is>
          <t>2027</t>
        </is>
      </c>
      <c r="G1" s="79" t="inlineStr">
        <is>
          <t>2028</t>
        </is>
      </c>
      <c r="H1" s="80" t="inlineStr">
        <is>
          <t>2029</t>
        </is>
      </c>
      <c r="I1" s="80" t="inlineStr">
        <is>
          <t>2030</t>
        </is>
      </c>
      <c r="J1" s="82" t="inlineStr">
        <is>
          <t>◀ Prev</t>
        </is>
      </c>
      <c r="K1" s="82" t="inlineStr">
        <is>
          <t>Next ▶</t>
        </is>
      </c>
    </row>
    <row r="2" ht="24" customHeight="1">
      <c r="A2" s="83" t="inlineStr">
        <is>
          <t>Habit Tracker</t>
        </is>
      </c>
      <c r="H2" s="84" t="inlineStr">
        <is>
          <t>"Mastery is a journey, not a destination."</t>
        </is>
      </c>
      <c r="AE2" s="85" t="inlineStr">
        <is>
          <t>@surajvansh</t>
        </is>
      </c>
    </row>
    <row r="3" ht="18" customHeight="1">
      <c r="A3" s="86" t="inlineStr">
        <is>
          <t>July 2028</t>
        </is>
      </c>
      <c r="H3" s="87" t="inlineStr">
        <is>
          <t>31 Days Dashboard</t>
        </is>
      </c>
    </row>
    <row r="4" ht="5" customHeight="1"/>
    <row r="5" ht="16" customHeight="1">
      <c r="A5" s="88" t="inlineStr">
        <is>
          <t>MONTHLY TARGETS</t>
        </is>
      </c>
    </row>
    <row r="6" ht="13" customHeight="1">
      <c r="A6" s="89" t="inlineStr">
        <is>
          <t>1. ____________________ : ____________________</t>
        </is>
      </c>
      <c r="P6" s="89" t="inlineStr">
        <is>
          <t>5. ____________________ : ____________________</t>
        </is>
      </c>
    </row>
    <row r="7" ht="13" customHeight="1">
      <c r="A7" s="89" t="inlineStr">
        <is>
          <t>2. ____________________ : ____________________</t>
        </is>
      </c>
      <c r="P7" s="89" t="inlineStr">
        <is>
          <t>6. ____________________ : ____________________</t>
        </is>
      </c>
    </row>
    <row r="8" ht="13" customHeight="1">
      <c r="A8" s="89" t="inlineStr">
        <is>
          <t>3. ____________________ : ____________________</t>
        </is>
      </c>
      <c r="P8" s="89" t="inlineStr">
        <is>
          <t>7. ____________________ : ____________________</t>
        </is>
      </c>
    </row>
    <row r="9" ht="13" customHeight="1">
      <c r="A9" s="89" t="inlineStr">
        <is>
          <t>4. ____________________ : ____________________</t>
        </is>
      </c>
      <c r="P9" s="89" t="inlineStr">
        <is>
          <t>8. ____________________ : ____________________</t>
        </is>
      </c>
    </row>
    <row r="10" ht="5" customHeight="1"/>
    <row r="11" ht="15" customHeight="1">
      <c r="A11" s="88" t="inlineStr">
        <is>
          <t>NOTES:</t>
        </is>
      </c>
    </row>
    <row r="12" ht="13" customHeight="1">
      <c r="A12" s="90" t="n"/>
      <c r="B12" s="91" t="n"/>
      <c r="C12" s="91" t="n"/>
      <c r="D12" s="91" t="n"/>
      <c r="E12" s="91" t="n"/>
      <c r="F12" s="91" t="n"/>
      <c r="G12" s="91" t="n"/>
      <c r="H12" s="91" t="n"/>
      <c r="I12" s="91" t="n"/>
      <c r="J12" s="91" t="n"/>
      <c r="K12" s="91" t="n"/>
      <c r="L12" s="91" t="n"/>
      <c r="M12" s="91" t="n"/>
      <c r="N12" s="91" t="n"/>
      <c r="O12" s="91" t="n"/>
      <c r="P12" s="91" t="n"/>
      <c r="Q12" s="91" t="n"/>
      <c r="R12" s="91" t="n"/>
      <c r="S12" s="91" t="n"/>
      <c r="T12" s="91" t="n"/>
      <c r="U12" s="91" t="n"/>
      <c r="V12" s="91" t="n"/>
      <c r="W12" s="91" t="n"/>
      <c r="X12" s="91" t="n"/>
      <c r="Y12" s="91" t="n"/>
      <c r="Z12" s="91" t="n"/>
      <c r="AA12" s="91" t="n"/>
      <c r="AB12" s="91" t="n"/>
      <c r="AC12" s="91" t="n"/>
      <c r="AD12" s="91" t="n"/>
      <c r="AE12" s="91" t="n"/>
      <c r="AF12" s="91" t="n"/>
      <c r="AG12" s="91" t="n"/>
      <c r="AH12" s="91" t="n"/>
      <c r="AI12" s="91" t="n"/>
      <c r="AJ12" s="91" t="n"/>
      <c r="AK12" s="91" t="n"/>
      <c r="AL12" s="91" t="n"/>
    </row>
    <row r="13" ht="13" customHeight="1">
      <c r="A13" s="91" t="n"/>
      <c r="B13" s="91" t="n"/>
      <c r="C13" s="91" t="n"/>
      <c r="D13" s="91" t="n"/>
      <c r="E13" s="91" t="n"/>
      <c r="F13" s="91" t="n"/>
      <c r="G13" s="91" t="n"/>
      <c r="H13" s="91" t="n"/>
      <c r="I13" s="91" t="n"/>
      <c r="J13" s="91" t="n"/>
      <c r="K13" s="91" t="n"/>
      <c r="L13" s="91" t="n"/>
      <c r="M13" s="91" t="n"/>
      <c r="N13" s="91" t="n"/>
      <c r="O13" s="91" t="n"/>
      <c r="P13" s="91" t="n"/>
      <c r="Q13" s="91" t="n"/>
      <c r="R13" s="91" t="n"/>
      <c r="S13" s="91" t="n"/>
      <c r="T13" s="91" t="n"/>
      <c r="U13" s="91" t="n"/>
      <c r="V13" s="91" t="n"/>
      <c r="W13" s="91" t="n"/>
      <c r="X13" s="91" t="n"/>
      <c r="Y13" s="91" t="n"/>
      <c r="Z13" s="91" t="n"/>
      <c r="AA13" s="91" t="n"/>
      <c r="AB13" s="91" t="n"/>
      <c r="AC13" s="91" t="n"/>
      <c r="AD13" s="91" t="n"/>
      <c r="AE13" s="91" t="n"/>
      <c r="AF13" s="91" t="n"/>
      <c r="AG13" s="91" t="n"/>
      <c r="AH13" s="91" t="n"/>
      <c r="AI13" s="91" t="n"/>
      <c r="AJ13" s="91" t="n"/>
      <c r="AK13" s="91" t="n"/>
      <c r="AL13" s="91" t="n"/>
    </row>
    <row r="14" ht="13" customHeight="1">
      <c r="A14" s="91" t="n"/>
      <c r="B14" s="91" t="n"/>
      <c r="C14" s="91" t="n"/>
      <c r="D14" s="91" t="n"/>
      <c r="E14" s="91" t="n"/>
      <c r="F14" s="91" t="n"/>
      <c r="G14" s="91" t="n"/>
      <c r="H14" s="91" t="n"/>
      <c r="I14" s="91" t="n"/>
      <c r="J14" s="91" t="n"/>
      <c r="K14" s="91" t="n"/>
      <c r="L14" s="91" t="n"/>
      <c r="M14" s="91" t="n"/>
      <c r="N14" s="91" t="n"/>
      <c r="O14" s="91" t="n"/>
      <c r="P14" s="91" t="n"/>
      <c r="Q14" s="91" t="n"/>
      <c r="R14" s="91" t="n"/>
      <c r="S14" s="91" t="n"/>
      <c r="T14" s="91" t="n"/>
      <c r="U14" s="91" t="n"/>
      <c r="V14" s="91" t="n"/>
      <c r="W14" s="91" t="n"/>
      <c r="X14" s="91" t="n"/>
      <c r="Y14" s="91" t="n"/>
      <c r="Z14" s="91" t="n"/>
      <c r="AA14" s="91" t="n"/>
      <c r="AB14" s="91" t="n"/>
      <c r="AC14" s="91" t="n"/>
      <c r="AD14" s="91" t="n"/>
      <c r="AE14" s="91" t="n"/>
      <c r="AF14" s="91" t="n"/>
      <c r="AG14" s="91" t="n"/>
      <c r="AH14" s="91" t="n"/>
      <c r="AI14" s="91" t="n"/>
      <c r="AJ14" s="91" t="n"/>
      <c r="AK14" s="91" t="n"/>
      <c r="AL14" s="91" t="n"/>
    </row>
    <row r="15" ht="8" customHeight="1"/>
    <row r="16" ht="15" customHeight="1">
      <c r="A16" s="33" t="inlineStr">
        <is>
          <t>S.No.</t>
        </is>
      </c>
      <c r="B16" s="33" t="inlineStr">
        <is>
          <t>Protocols</t>
        </is>
      </c>
      <c r="C16" s="33" t="inlineStr">
        <is>
          <t>Category</t>
        </is>
      </c>
      <c r="D16" s="33" t="inlineStr">
        <is>
          <t>Target</t>
        </is>
      </c>
      <c r="E16" s="92" t="n">
        <v>1</v>
      </c>
      <c r="F16" s="93" t="n">
        <v>2</v>
      </c>
      <c r="G16" s="92" t="n">
        <v>3</v>
      </c>
      <c r="H16" s="92" t="n">
        <v>4</v>
      </c>
      <c r="I16" s="92" t="n">
        <v>5</v>
      </c>
      <c r="J16" s="92" t="n">
        <v>6</v>
      </c>
      <c r="K16" s="92" t="n">
        <v>7</v>
      </c>
      <c r="L16" s="92" t="n">
        <v>8</v>
      </c>
      <c r="M16" s="93" t="n">
        <v>9</v>
      </c>
      <c r="N16" s="92" t="n">
        <v>10</v>
      </c>
      <c r="O16" s="92" t="n">
        <v>11</v>
      </c>
      <c r="P16" s="92" t="n">
        <v>12</v>
      </c>
      <c r="Q16" s="92" t="n">
        <v>13</v>
      </c>
      <c r="R16" s="92" t="n">
        <v>14</v>
      </c>
      <c r="S16" s="92" t="n">
        <v>15</v>
      </c>
      <c r="T16" s="93" t="n">
        <v>16</v>
      </c>
      <c r="U16" s="92" t="n">
        <v>17</v>
      </c>
      <c r="V16" s="92" t="n">
        <v>18</v>
      </c>
      <c r="W16" s="92" t="n">
        <v>19</v>
      </c>
      <c r="X16" s="92" t="n">
        <v>20</v>
      </c>
      <c r="Y16" s="92" t="n">
        <v>21</v>
      </c>
      <c r="Z16" s="92" t="n">
        <v>22</v>
      </c>
      <c r="AA16" s="93" t="n">
        <v>23</v>
      </c>
      <c r="AB16" s="92" t="n">
        <v>24</v>
      </c>
      <c r="AC16" s="92" t="n">
        <v>25</v>
      </c>
      <c r="AD16" s="92" t="n">
        <v>26</v>
      </c>
      <c r="AE16" s="92" t="n">
        <v>27</v>
      </c>
      <c r="AF16" s="92" t="n">
        <v>28</v>
      </c>
      <c r="AG16" s="92" t="n">
        <v>29</v>
      </c>
      <c r="AH16" s="93" t="n">
        <v>30</v>
      </c>
      <c r="AI16" s="92" t="n">
        <v>31</v>
      </c>
      <c r="AJ16" s="94" t="inlineStr">
        <is>
          <t>Success %</t>
        </is>
      </c>
      <c r="AK16" s="94" t="inlineStr">
        <is>
          <t>Done / Target</t>
        </is>
      </c>
      <c r="AL16" s="94" t="inlineStr">
        <is>
          <t>Status</t>
        </is>
      </c>
      <c r="AM16" t="inlineStr">
        <is>
          <t>Done Count</t>
        </is>
      </c>
    </row>
    <row r="17" ht="15" customHeight="1">
      <c r="A17" s="54" t="n"/>
      <c r="B17" s="54" t="n"/>
      <c r="C17" s="54" t="n"/>
      <c r="D17" s="54" t="n"/>
      <c r="E17" s="95" t="inlineStr">
        <is>
          <t>Sa</t>
        </is>
      </c>
      <c r="F17" s="96" t="inlineStr">
        <is>
          <t>Su</t>
        </is>
      </c>
      <c r="G17" s="95" t="inlineStr">
        <is>
          <t>M</t>
        </is>
      </c>
      <c r="H17" s="95" t="inlineStr">
        <is>
          <t>T</t>
        </is>
      </c>
      <c r="I17" s="95" t="inlineStr">
        <is>
          <t>W</t>
        </is>
      </c>
      <c r="J17" s="95" t="inlineStr">
        <is>
          <t>Th</t>
        </is>
      </c>
      <c r="K17" s="95" t="inlineStr">
        <is>
          <t>F</t>
        </is>
      </c>
      <c r="L17" s="95" t="inlineStr">
        <is>
          <t>Sa</t>
        </is>
      </c>
      <c r="M17" s="96" t="inlineStr">
        <is>
          <t>Su</t>
        </is>
      </c>
      <c r="N17" s="95" t="inlineStr">
        <is>
          <t>M</t>
        </is>
      </c>
      <c r="O17" s="95" t="inlineStr">
        <is>
          <t>T</t>
        </is>
      </c>
      <c r="P17" s="95" t="inlineStr">
        <is>
          <t>W</t>
        </is>
      </c>
      <c r="Q17" s="95" t="inlineStr">
        <is>
          <t>Th</t>
        </is>
      </c>
      <c r="R17" s="95" t="inlineStr">
        <is>
          <t>F</t>
        </is>
      </c>
      <c r="S17" s="95" t="inlineStr">
        <is>
          <t>Sa</t>
        </is>
      </c>
      <c r="T17" s="96" t="inlineStr">
        <is>
          <t>Su</t>
        </is>
      </c>
      <c r="U17" s="95" t="inlineStr">
        <is>
          <t>M</t>
        </is>
      </c>
      <c r="V17" s="95" t="inlineStr">
        <is>
          <t>T</t>
        </is>
      </c>
      <c r="W17" s="95" t="inlineStr">
        <is>
          <t>W</t>
        </is>
      </c>
      <c r="X17" s="95" t="inlineStr">
        <is>
          <t>Th</t>
        </is>
      </c>
      <c r="Y17" s="95" t="inlineStr">
        <is>
          <t>F</t>
        </is>
      </c>
      <c r="Z17" s="95" t="inlineStr">
        <is>
          <t>Sa</t>
        </is>
      </c>
      <c r="AA17" s="96" t="inlineStr">
        <is>
          <t>Su</t>
        </is>
      </c>
      <c r="AB17" s="95" t="inlineStr">
        <is>
          <t>M</t>
        </is>
      </c>
      <c r="AC17" s="95" t="inlineStr">
        <is>
          <t>T</t>
        </is>
      </c>
      <c r="AD17" s="95" t="inlineStr">
        <is>
          <t>W</t>
        </is>
      </c>
      <c r="AE17" s="95" t="inlineStr">
        <is>
          <t>Th</t>
        </is>
      </c>
      <c r="AF17" s="95" t="inlineStr">
        <is>
          <t>F</t>
        </is>
      </c>
      <c r="AG17" s="95" t="inlineStr">
        <is>
          <t>Sa</t>
        </is>
      </c>
      <c r="AH17" s="96" t="inlineStr">
        <is>
          <t>Su</t>
        </is>
      </c>
      <c r="AI17" s="95" t="inlineStr">
        <is>
          <t>M</t>
        </is>
      </c>
      <c r="AJ17" s="54" t="n"/>
      <c r="AK17" s="54" t="n"/>
      <c r="AL17" s="54" t="n"/>
    </row>
    <row r="18" ht="14.5" customHeight="1">
      <c r="A18" s="97" t="n">
        <v>1</v>
      </c>
      <c r="B18" s="98" t="n"/>
      <c r="C18" s="99" t="n"/>
      <c r="D18" s="99" t="n"/>
      <c r="E18" s="100" t="n"/>
      <c r="F18" s="101" t="n"/>
      <c r="G18" s="100" t="n"/>
      <c r="H18" s="100" t="n"/>
      <c r="I18" s="100" t="n"/>
      <c r="J18" s="100" t="n"/>
      <c r="K18" s="100" t="n"/>
      <c r="L18" s="100" t="n"/>
      <c r="M18" s="101" t="n"/>
      <c r="N18" s="100" t="n"/>
      <c r="O18" s="100" t="n"/>
      <c r="P18" s="100" t="n"/>
      <c r="Q18" s="100" t="n"/>
      <c r="R18" s="100" t="n"/>
      <c r="S18" s="100" t="n"/>
      <c r="T18" s="101" t="n"/>
      <c r="U18" s="100" t="n"/>
      <c r="V18" s="100" t="n"/>
      <c r="W18" s="100" t="n"/>
      <c r="X18" s="100" t="n"/>
      <c r="Y18" s="100" t="n"/>
      <c r="Z18" s="100" t="n"/>
      <c r="AA18" s="101" t="n"/>
      <c r="AB18" s="100" t="n"/>
      <c r="AC18" s="100" t="n"/>
      <c r="AD18" s="100" t="n"/>
      <c r="AE18" s="100" t="n"/>
      <c r="AF18" s="100" t="n"/>
      <c r="AG18" s="100" t="n"/>
      <c r="AH18" s="101" t="n"/>
      <c r="AI18" s="100" t="n"/>
      <c r="AJ18" s="102">
        <f>IF(ISBLANK(B18), "", IF(ISNUMBER(D18), IF(D18&gt;0, (COUNTIF(E18:AI18, "✓") + COUNTIF(E18:AI18, "✔") + COUNTIF(E18:AI18, "v") + COUNTIF(E18:AI18, "V"))/D18, 0), IF(((COUNTIF(E18:AI18, "✓") + COUNTIF(E18:AI18, "✔") + COUNTIF(E18:AI18, "v") + COUNTIF(E18:AI18, "V")) + COUNTIF(E18:AI18, "✗") + COUNTIF(E18:AI18, "x") + COUNTIF(E18:AI18, "X"))&gt;0, (COUNTIF(E18:AI18, "✓") + COUNTIF(E18:AI18, "✔") + COUNTIF(E18:AI18, "v") + COUNTIF(E18:AI18, "V"))/((COUNTIF(E18:AI18, "✓") + COUNTIF(E18:AI18, "✔") + COUNTIF(E18:AI18, "v") + COUNTIF(E18:AI18, "V")) + COUNTIF(E18:AI18, "✗") + COUNTIF(E18:AI18, "x") + COUNTIF(E18:AI18, "X")), "")))</f>
        <v/>
      </c>
      <c r="AK18" s="103">
        <f>IF(ISBLANK(B18), "", IF(ISNUMBER(D18), IF(D18&gt;0, (COUNTIF(E18:AI18, "✓") + COUNTIF(E18:AI18, "✔") + COUNTIF(E18:AI18, "v") + COUNTIF(E18:AI18, "V")) &amp; "/" &amp; D18, (COUNTIF(E18:AI18, "✓") + COUNTIF(E18:AI18, "✔") + COUNTIF(E18:AI18, "v") + COUNTIF(E18:AI18, "V")) &amp; "/0"), IF(((COUNTIF(E18:AI18, "✓") + COUNTIF(E18:AI18, "✔") + COUNTIF(E18:AI18, "v") + COUNTIF(E18:AI18, "V")) + COUNTIF(E18:AI18, "✗") + COUNTIF(E18:AI18, "x") + COUNTIF(E18:AI18, "X"))&gt;0, (COUNTIF(E18:AI18, "✓") + COUNTIF(E18:AI18, "✔") + COUNTIF(E18:AI18, "v") + COUNTIF(E18:AI18, "V")) &amp; "/" &amp; ((COUNTIF(E18:AI18, "✓") + COUNTIF(E18:AI18, "✔") + COUNTIF(E18:AI18, "v") + COUNTIF(E18:AI18, "V")) + COUNTIF(E18:AI18, "✗") + COUNTIF(E18:AI18, "x") + COUNTIF(E18:AI18, "X")), "")))</f>
        <v/>
      </c>
      <c r="AL18" s="103">
        <f>IF(ISBLANK(B18), "", IF(AJ18&gt;=0.85, "🔥 Mastered", IF(AJ18&gt;=0.7, "⚡ Consistent", "⚠️ Needs Focus")))</f>
        <v/>
      </c>
      <c r="AM18">
        <f>COUNTIF(E18:AI18, "✓")</f>
        <v/>
      </c>
    </row>
    <row r="19" ht="14.5" customHeight="1">
      <c r="A19" s="97" t="n">
        <v>2</v>
      </c>
      <c r="B19" s="98" t="n"/>
      <c r="C19" s="99" t="n"/>
      <c r="D19" s="99" t="n"/>
      <c r="E19" s="100" t="n"/>
      <c r="F19" s="101" t="n"/>
      <c r="G19" s="100" t="n"/>
      <c r="H19" s="100" t="n"/>
      <c r="I19" s="100" t="n"/>
      <c r="J19" s="100" t="n"/>
      <c r="K19" s="100" t="n"/>
      <c r="L19" s="100" t="n"/>
      <c r="M19" s="101" t="n"/>
      <c r="N19" s="100" t="n"/>
      <c r="O19" s="100" t="n"/>
      <c r="P19" s="100" t="n"/>
      <c r="Q19" s="100" t="n"/>
      <c r="R19" s="100" t="n"/>
      <c r="S19" s="100" t="n"/>
      <c r="T19" s="101" t="n"/>
      <c r="U19" s="100" t="n"/>
      <c r="V19" s="100" t="n"/>
      <c r="W19" s="100" t="n"/>
      <c r="X19" s="100" t="n"/>
      <c r="Y19" s="100" t="n"/>
      <c r="Z19" s="100" t="n"/>
      <c r="AA19" s="101" t="n"/>
      <c r="AB19" s="100" t="n"/>
      <c r="AC19" s="100" t="n"/>
      <c r="AD19" s="100" t="n"/>
      <c r="AE19" s="100" t="n"/>
      <c r="AF19" s="100" t="n"/>
      <c r="AG19" s="100" t="n"/>
      <c r="AH19" s="101" t="n"/>
      <c r="AI19" s="100" t="n"/>
      <c r="AJ19" s="102">
        <f>IF(ISBLANK(B19), "", IF(ISNUMBER(D19), IF(D19&gt;0, (COUNTIF(E19:AI19, "✓") + COUNTIF(E19:AI19, "✔") + COUNTIF(E19:AI19, "v") + COUNTIF(E19:AI19, "V"))/D19, 0), IF(((COUNTIF(E19:AI19, "✓") + COUNTIF(E19:AI19, "✔") + COUNTIF(E19:AI19, "v") + COUNTIF(E19:AI19, "V")) + COUNTIF(E19:AI19, "✗") + COUNTIF(E19:AI19, "x") + COUNTIF(E19:AI19, "X"))&gt;0, (COUNTIF(E19:AI19, "✓") + COUNTIF(E19:AI19, "✔") + COUNTIF(E19:AI19, "v") + COUNTIF(E19:AI19, "V"))/((COUNTIF(E19:AI19, "✓") + COUNTIF(E19:AI19, "✔") + COUNTIF(E19:AI19, "v") + COUNTIF(E19:AI19, "V")) + COUNTIF(E19:AI19, "✗") + COUNTIF(E19:AI19, "x") + COUNTIF(E19:AI19, "X")), "")))</f>
        <v/>
      </c>
      <c r="AK19" s="103">
        <f>IF(ISBLANK(B19), "", IF(ISNUMBER(D19), IF(D19&gt;0, (COUNTIF(E19:AI19, "✓") + COUNTIF(E19:AI19, "✔") + COUNTIF(E19:AI19, "v") + COUNTIF(E19:AI19, "V")) &amp; "/" &amp; D19, (COUNTIF(E19:AI19, "✓") + COUNTIF(E19:AI19, "✔") + COUNTIF(E19:AI19, "v") + COUNTIF(E19:AI19, "V")) &amp; "/0"), IF(((COUNTIF(E19:AI19, "✓") + COUNTIF(E19:AI19, "✔") + COUNTIF(E19:AI19, "v") + COUNTIF(E19:AI19, "V")) + COUNTIF(E19:AI19, "✗") + COUNTIF(E19:AI19, "x") + COUNTIF(E19:AI19, "X"))&gt;0, (COUNTIF(E19:AI19, "✓") + COUNTIF(E19:AI19, "✔") + COUNTIF(E19:AI19, "v") + COUNTIF(E19:AI19, "V")) &amp; "/" &amp; ((COUNTIF(E19:AI19, "✓") + COUNTIF(E19:AI19, "✔") + COUNTIF(E19:AI19, "v") + COUNTIF(E19:AI19, "V")) + COUNTIF(E19:AI19, "✗") + COUNTIF(E19:AI19, "x") + COUNTIF(E19:AI19, "X")), "")))</f>
        <v/>
      </c>
      <c r="AL19" s="103">
        <f>IF(ISBLANK(B19), "", IF(AJ19&gt;=0.85, "🔥 Mastered", IF(AJ19&gt;=0.7, "⚡ Consistent", "⚠️ Needs Focus")))</f>
        <v/>
      </c>
      <c r="AM19">
        <f>COUNTIF(E19:AI19, "✓")</f>
        <v/>
      </c>
    </row>
    <row r="20" ht="14.5" customHeight="1">
      <c r="A20" s="97" t="n">
        <v>3</v>
      </c>
      <c r="B20" s="98" t="n"/>
      <c r="C20" s="99" t="n"/>
      <c r="D20" s="99" t="n"/>
      <c r="E20" s="100" t="n"/>
      <c r="F20" s="101" t="n"/>
      <c r="G20" s="100" t="n"/>
      <c r="H20" s="100" t="n"/>
      <c r="I20" s="100" t="n"/>
      <c r="J20" s="100" t="n"/>
      <c r="K20" s="100" t="n"/>
      <c r="L20" s="100" t="n"/>
      <c r="M20" s="101" t="n"/>
      <c r="N20" s="100" t="n"/>
      <c r="O20" s="100" t="n"/>
      <c r="P20" s="100" t="n"/>
      <c r="Q20" s="100" t="n"/>
      <c r="R20" s="100" t="n"/>
      <c r="S20" s="100" t="n"/>
      <c r="T20" s="101" t="n"/>
      <c r="U20" s="100" t="n"/>
      <c r="V20" s="100" t="n"/>
      <c r="W20" s="100" t="n"/>
      <c r="X20" s="100" t="n"/>
      <c r="Y20" s="100" t="n"/>
      <c r="Z20" s="100" t="n"/>
      <c r="AA20" s="101" t="n"/>
      <c r="AB20" s="100" t="n"/>
      <c r="AC20" s="100" t="n"/>
      <c r="AD20" s="100" t="n"/>
      <c r="AE20" s="100" t="n"/>
      <c r="AF20" s="100" t="n"/>
      <c r="AG20" s="100" t="n"/>
      <c r="AH20" s="101" t="n"/>
      <c r="AI20" s="100" t="n"/>
      <c r="AJ20" s="102">
        <f>IF(ISBLANK(B20), "", IF(ISNUMBER(D20), IF(D20&gt;0, (COUNTIF(E20:AI20, "✓") + COUNTIF(E20:AI20, "✔") + COUNTIF(E20:AI20, "v") + COUNTIF(E20:AI20, "V"))/D20, 0), IF(((COUNTIF(E20:AI20, "✓") + COUNTIF(E20:AI20, "✔") + COUNTIF(E20:AI20, "v") + COUNTIF(E20:AI20, "V")) + COUNTIF(E20:AI20, "✗") + COUNTIF(E20:AI20, "x") + COUNTIF(E20:AI20, "X"))&gt;0, (COUNTIF(E20:AI20, "✓") + COUNTIF(E20:AI20, "✔") + COUNTIF(E20:AI20, "v") + COUNTIF(E20:AI20, "V"))/((COUNTIF(E20:AI20, "✓") + COUNTIF(E20:AI20, "✔") + COUNTIF(E20:AI20, "v") + COUNTIF(E20:AI20, "V")) + COUNTIF(E20:AI20, "✗") + COUNTIF(E20:AI20, "x") + COUNTIF(E20:AI20, "X")), "")))</f>
        <v/>
      </c>
      <c r="AK20" s="103">
        <f>IF(ISBLANK(B20), "", IF(ISNUMBER(D20), IF(D20&gt;0, (COUNTIF(E20:AI20, "✓") + COUNTIF(E20:AI20, "✔") + COUNTIF(E20:AI20, "v") + COUNTIF(E20:AI20, "V")) &amp; "/" &amp; D20, (COUNTIF(E20:AI20, "✓") + COUNTIF(E20:AI20, "✔") + COUNTIF(E20:AI20, "v") + COUNTIF(E20:AI20, "V")) &amp; "/0"), IF(((COUNTIF(E20:AI20, "✓") + COUNTIF(E20:AI20, "✔") + COUNTIF(E20:AI20, "v") + COUNTIF(E20:AI20, "V")) + COUNTIF(E20:AI20, "✗") + COUNTIF(E20:AI20, "x") + COUNTIF(E20:AI20, "X"))&gt;0, (COUNTIF(E20:AI20, "✓") + COUNTIF(E20:AI20, "✔") + COUNTIF(E20:AI20, "v") + COUNTIF(E20:AI20, "V")) &amp; "/" &amp; ((COUNTIF(E20:AI20, "✓") + COUNTIF(E20:AI20, "✔") + COUNTIF(E20:AI20, "v") + COUNTIF(E20:AI20, "V")) + COUNTIF(E20:AI20, "✗") + COUNTIF(E20:AI20, "x") + COUNTIF(E20:AI20, "X")), "")))</f>
        <v/>
      </c>
      <c r="AL20" s="103">
        <f>IF(ISBLANK(B20), "", IF(AJ20&gt;=0.85, "🔥 Mastered", IF(AJ20&gt;=0.7, "⚡ Consistent", "⚠️ Needs Focus")))</f>
        <v/>
      </c>
      <c r="AM20">
        <f>COUNTIF(E20:AI20, "✓")</f>
        <v/>
      </c>
    </row>
    <row r="21" ht="14.5" customHeight="1">
      <c r="A21" s="97" t="n">
        <v>4</v>
      </c>
      <c r="B21" s="98" t="n"/>
      <c r="C21" s="99" t="n"/>
      <c r="D21" s="99" t="n"/>
      <c r="E21" s="100" t="n"/>
      <c r="F21" s="101" t="n"/>
      <c r="G21" s="100" t="n"/>
      <c r="H21" s="100" t="n"/>
      <c r="I21" s="100" t="n"/>
      <c r="J21" s="100" t="n"/>
      <c r="K21" s="100" t="n"/>
      <c r="L21" s="100" t="n"/>
      <c r="M21" s="101" t="n"/>
      <c r="N21" s="100" t="n"/>
      <c r="O21" s="100" t="n"/>
      <c r="P21" s="100" t="n"/>
      <c r="Q21" s="100" t="n"/>
      <c r="R21" s="100" t="n"/>
      <c r="S21" s="100" t="n"/>
      <c r="T21" s="101" t="n"/>
      <c r="U21" s="100" t="n"/>
      <c r="V21" s="100" t="n"/>
      <c r="W21" s="100" t="n"/>
      <c r="X21" s="100" t="n"/>
      <c r="Y21" s="100" t="n"/>
      <c r="Z21" s="100" t="n"/>
      <c r="AA21" s="101" t="n"/>
      <c r="AB21" s="100" t="n"/>
      <c r="AC21" s="100" t="n"/>
      <c r="AD21" s="100" t="n"/>
      <c r="AE21" s="100" t="n"/>
      <c r="AF21" s="100" t="n"/>
      <c r="AG21" s="100" t="n"/>
      <c r="AH21" s="101" t="n"/>
      <c r="AI21" s="100" t="n"/>
      <c r="AJ21" s="102">
        <f>IF(ISBLANK(B21), "", IF(ISNUMBER(D21), IF(D21&gt;0, (COUNTIF(E21:AI21, "✓") + COUNTIF(E21:AI21, "✔") + COUNTIF(E21:AI21, "v") + COUNTIF(E21:AI21, "V"))/D21, 0), IF(((COUNTIF(E21:AI21, "✓") + COUNTIF(E21:AI21, "✔") + COUNTIF(E21:AI21, "v") + COUNTIF(E21:AI21, "V")) + COUNTIF(E21:AI21, "✗") + COUNTIF(E21:AI21, "x") + COUNTIF(E21:AI21, "X"))&gt;0, (COUNTIF(E21:AI21, "✓") + COUNTIF(E21:AI21, "✔") + COUNTIF(E21:AI21, "v") + COUNTIF(E21:AI21, "V"))/((COUNTIF(E21:AI21, "✓") + COUNTIF(E21:AI21, "✔") + COUNTIF(E21:AI21, "v") + COUNTIF(E21:AI21, "V")) + COUNTIF(E21:AI21, "✗") + COUNTIF(E21:AI21, "x") + COUNTIF(E21:AI21, "X")), "")))</f>
        <v/>
      </c>
      <c r="AK21" s="103">
        <f>IF(ISBLANK(B21), "", IF(ISNUMBER(D21), IF(D21&gt;0, (COUNTIF(E21:AI21, "✓") + COUNTIF(E21:AI21, "✔") + COUNTIF(E21:AI21, "v") + COUNTIF(E21:AI21, "V")) &amp; "/" &amp; D21, (COUNTIF(E21:AI21, "✓") + COUNTIF(E21:AI21, "✔") + COUNTIF(E21:AI21, "v") + COUNTIF(E21:AI21, "V")) &amp; "/0"), IF(((COUNTIF(E21:AI21, "✓") + COUNTIF(E21:AI21, "✔") + COUNTIF(E21:AI21, "v") + COUNTIF(E21:AI21, "V")) + COUNTIF(E21:AI21, "✗") + COUNTIF(E21:AI21, "x") + COUNTIF(E21:AI21, "X"))&gt;0, (COUNTIF(E21:AI21, "✓") + COUNTIF(E21:AI21, "✔") + COUNTIF(E21:AI21, "v") + COUNTIF(E21:AI21, "V")) &amp; "/" &amp; ((COUNTIF(E21:AI21, "✓") + COUNTIF(E21:AI21, "✔") + COUNTIF(E21:AI21, "v") + COUNTIF(E21:AI21, "V")) + COUNTIF(E21:AI21, "✗") + COUNTIF(E21:AI21, "x") + COUNTIF(E21:AI21, "X")), "")))</f>
        <v/>
      </c>
      <c r="AL21" s="103">
        <f>IF(ISBLANK(B21), "", IF(AJ21&gt;=0.85, "🔥 Mastered", IF(AJ21&gt;=0.7, "⚡ Consistent", "⚠️ Needs Focus")))</f>
        <v/>
      </c>
      <c r="AM21">
        <f>COUNTIF(E21:AI21, "✓")</f>
        <v/>
      </c>
    </row>
    <row r="22" ht="14.5" customHeight="1">
      <c r="A22" s="104" t="n">
        <v>5</v>
      </c>
      <c r="B22" s="105" t="n"/>
      <c r="C22" s="106" t="n"/>
      <c r="D22" s="106" t="n"/>
      <c r="E22" s="107" t="n"/>
      <c r="F22" s="108" t="n"/>
      <c r="G22" s="107" t="n"/>
      <c r="H22" s="107" t="n"/>
      <c r="I22" s="107" t="n"/>
      <c r="J22" s="107" t="n"/>
      <c r="K22" s="107" t="n"/>
      <c r="L22" s="107" t="n"/>
      <c r="M22" s="108" t="n"/>
      <c r="N22" s="107" t="n"/>
      <c r="O22" s="107" t="n"/>
      <c r="P22" s="107" t="n"/>
      <c r="Q22" s="107" t="n"/>
      <c r="R22" s="107" t="n"/>
      <c r="S22" s="107" t="n"/>
      <c r="T22" s="108" t="n"/>
      <c r="U22" s="107" t="n"/>
      <c r="V22" s="107" t="n"/>
      <c r="W22" s="107" t="n"/>
      <c r="X22" s="107" t="n"/>
      <c r="Y22" s="107" t="n"/>
      <c r="Z22" s="107" t="n"/>
      <c r="AA22" s="108" t="n"/>
      <c r="AB22" s="107" t="n"/>
      <c r="AC22" s="107" t="n"/>
      <c r="AD22" s="107" t="n"/>
      <c r="AE22" s="107" t="n"/>
      <c r="AF22" s="107" t="n"/>
      <c r="AG22" s="107" t="n"/>
      <c r="AH22" s="108" t="n"/>
      <c r="AI22" s="107" t="n"/>
      <c r="AJ22" s="109">
        <f>IF(ISBLANK(B22), "", IF(ISNUMBER(D22), IF(D22&gt;0, (COUNTIF(E22:AI22, "✓") + COUNTIF(E22:AI22, "✔") + COUNTIF(E22:AI22, "v") + COUNTIF(E22:AI22, "V"))/D22, 0), IF(((COUNTIF(E22:AI22, "✓") + COUNTIF(E22:AI22, "✔") + COUNTIF(E22:AI22, "v") + COUNTIF(E22:AI22, "V")) + COUNTIF(E22:AI22, "✗") + COUNTIF(E22:AI22, "x") + COUNTIF(E22:AI22, "X"))&gt;0, (COUNTIF(E22:AI22, "✓") + COUNTIF(E22:AI22, "✔") + COUNTIF(E22:AI22, "v") + COUNTIF(E22:AI22, "V"))/((COUNTIF(E22:AI22, "✓") + COUNTIF(E22:AI22, "✔") + COUNTIF(E22:AI22, "v") + COUNTIF(E22:AI22, "V")) + COUNTIF(E22:AI22, "✗") + COUNTIF(E22:AI22, "x") + COUNTIF(E22:AI22, "X")), "")))</f>
        <v/>
      </c>
      <c r="AK22" s="110">
        <f>IF(ISBLANK(B22), "", IF(ISNUMBER(D22), IF(D22&gt;0, (COUNTIF(E22:AI22, "✓") + COUNTIF(E22:AI22, "✔") + COUNTIF(E22:AI22, "v") + COUNTIF(E22:AI22, "V")) &amp; "/" &amp; D22, (COUNTIF(E22:AI22, "✓") + COUNTIF(E22:AI22, "✔") + COUNTIF(E22:AI22, "v") + COUNTIF(E22:AI22, "V")) &amp; "/0"), IF(((COUNTIF(E22:AI22, "✓") + COUNTIF(E22:AI22, "✔") + COUNTIF(E22:AI22, "v") + COUNTIF(E22:AI22, "V")) + COUNTIF(E22:AI22, "✗") + COUNTIF(E22:AI22, "x") + COUNTIF(E22:AI22, "X"))&gt;0, (COUNTIF(E22:AI22, "✓") + COUNTIF(E22:AI22, "✔") + COUNTIF(E22:AI22, "v") + COUNTIF(E22:AI22, "V")) &amp; "/" &amp; ((COUNTIF(E22:AI22, "✓") + COUNTIF(E22:AI22, "✔") + COUNTIF(E22:AI22, "v") + COUNTIF(E22:AI22, "V")) + COUNTIF(E22:AI22, "✗") + COUNTIF(E22:AI22, "x") + COUNTIF(E22:AI22, "X")), "")))</f>
        <v/>
      </c>
      <c r="AL22" s="110">
        <f>IF(ISBLANK(B22), "", IF(AJ22&gt;=0.85, "🔥 Mastered", IF(AJ22&gt;=0.7, "⚡ Consistent", "⚠️ Needs Focus")))</f>
        <v/>
      </c>
      <c r="AM22">
        <f>COUNTIF(E22:AI22, "✓")</f>
        <v/>
      </c>
    </row>
    <row r="23" ht="14.5" customHeight="1">
      <c r="A23" s="104" t="n">
        <v>6</v>
      </c>
      <c r="B23" s="105" t="n"/>
      <c r="C23" s="106" t="n"/>
      <c r="D23" s="106" t="n"/>
      <c r="E23" s="107" t="n"/>
      <c r="F23" s="108" t="n"/>
      <c r="G23" s="107" t="n"/>
      <c r="H23" s="107" t="n"/>
      <c r="I23" s="107" t="n"/>
      <c r="J23" s="107" t="n"/>
      <c r="K23" s="107" t="n"/>
      <c r="L23" s="107" t="n"/>
      <c r="M23" s="108" t="n"/>
      <c r="N23" s="107" t="n"/>
      <c r="O23" s="107" t="n"/>
      <c r="P23" s="107" t="n"/>
      <c r="Q23" s="107" t="n"/>
      <c r="R23" s="107" t="n"/>
      <c r="S23" s="107" t="n"/>
      <c r="T23" s="108" t="n"/>
      <c r="U23" s="107" t="n"/>
      <c r="V23" s="107" t="n"/>
      <c r="W23" s="107" t="n"/>
      <c r="X23" s="107" t="n"/>
      <c r="Y23" s="107" t="n"/>
      <c r="Z23" s="107" t="n"/>
      <c r="AA23" s="108" t="n"/>
      <c r="AB23" s="107" t="n"/>
      <c r="AC23" s="107" t="n"/>
      <c r="AD23" s="107" t="n"/>
      <c r="AE23" s="107" t="n"/>
      <c r="AF23" s="107" t="n"/>
      <c r="AG23" s="107" t="n"/>
      <c r="AH23" s="108" t="n"/>
      <c r="AI23" s="107" t="n"/>
      <c r="AJ23" s="109">
        <f>IF(ISBLANK(B23), "", IF(ISNUMBER(D23), IF(D23&gt;0, (COUNTIF(E23:AI23, "✓") + COUNTIF(E23:AI23, "✔") + COUNTIF(E23:AI23, "v") + COUNTIF(E23:AI23, "V"))/D23, 0), IF(((COUNTIF(E23:AI23, "✓") + COUNTIF(E23:AI23, "✔") + COUNTIF(E23:AI23, "v") + COUNTIF(E23:AI23, "V")) + COUNTIF(E23:AI23, "✗") + COUNTIF(E23:AI23, "x") + COUNTIF(E23:AI23, "X"))&gt;0, (COUNTIF(E23:AI23, "✓") + COUNTIF(E23:AI23, "✔") + COUNTIF(E23:AI23, "v") + COUNTIF(E23:AI23, "V"))/((COUNTIF(E23:AI23, "✓") + COUNTIF(E23:AI23, "✔") + COUNTIF(E23:AI23, "v") + COUNTIF(E23:AI23, "V")) + COUNTIF(E23:AI23, "✗") + COUNTIF(E23:AI23, "x") + COUNTIF(E23:AI23, "X")), "")))</f>
        <v/>
      </c>
      <c r="AK23" s="110">
        <f>IF(ISBLANK(B23), "", IF(ISNUMBER(D23), IF(D23&gt;0, (COUNTIF(E23:AI23, "✓") + COUNTIF(E23:AI23, "✔") + COUNTIF(E23:AI23, "v") + COUNTIF(E23:AI23, "V")) &amp; "/" &amp; D23, (COUNTIF(E23:AI23, "✓") + COUNTIF(E23:AI23, "✔") + COUNTIF(E23:AI23, "v") + COUNTIF(E23:AI23, "V")) &amp; "/0"), IF(((COUNTIF(E23:AI23, "✓") + COUNTIF(E23:AI23, "✔") + COUNTIF(E23:AI23, "v") + COUNTIF(E23:AI23, "V")) + COUNTIF(E23:AI23, "✗") + COUNTIF(E23:AI23, "x") + COUNTIF(E23:AI23, "X"))&gt;0, (COUNTIF(E23:AI23, "✓") + COUNTIF(E23:AI23, "✔") + COUNTIF(E23:AI23, "v") + COUNTIF(E23:AI23, "V")) &amp; "/" &amp; ((COUNTIF(E23:AI23, "✓") + COUNTIF(E23:AI23, "✔") + COUNTIF(E23:AI23, "v") + COUNTIF(E23:AI23, "V")) + COUNTIF(E23:AI23, "✗") + COUNTIF(E23:AI23, "x") + COUNTIF(E23:AI23, "X")), "")))</f>
        <v/>
      </c>
      <c r="AL23" s="110">
        <f>IF(ISBLANK(B23), "", IF(AJ23&gt;=0.85, "🔥 Mastered", IF(AJ23&gt;=0.7, "⚡ Consistent", "⚠️ Needs Focus")))</f>
        <v/>
      </c>
      <c r="AM23">
        <f>COUNTIF(E23:AI23, "✓")</f>
        <v/>
      </c>
    </row>
    <row r="24" ht="14.5" customHeight="1">
      <c r="A24" s="104" t="n">
        <v>7</v>
      </c>
      <c r="B24" s="105" t="n"/>
      <c r="C24" s="106" t="n"/>
      <c r="D24" s="106" t="n"/>
      <c r="E24" s="107" t="n"/>
      <c r="F24" s="108" t="n"/>
      <c r="G24" s="107" t="n"/>
      <c r="H24" s="107" t="n"/>
      <c r="I24" s="107" t="n"/>
      <c r="J24" s="107" t="n"/>
      <c r="K24" s="107" t="n"/>
      <c r="L24" s="107" t="n"/>
      <c r="M24" s="108" t="n"/>
      <c r="N24" s="107" t="n"/>
      <c r="O24" s="107" t="n"/>
      <c r="P24" s="107" t="n"/>
      <c r="Q24" s="107" t="n"/>
      <c r="R24" s="107" t="n"/>
      <c r="S24" s="107" t="n"/>
      <c r="T24" s="108" t="n"/>
      <c r="U24" s="107" t="n"/>
      <c r="V24" s="107" t="n"/>
      <c r="W24" s="107" t="n"/>
      <c r="X24" s="107" t="n"/>
      <c r="Y24" s="107" t="n"/>
      <c r="Z24" s="107" t="n"/>
      <c r="AA24" s="108" t="n"/>
      <c r="AB24" s="107" t="n"/>
      <c r="AC24" s="107" t="n"/>
      <c r="AD24" s="107" t="n"/>
      <c r="AE24" s="107" t="n"/>
      <c r="AF24" s="107" t="n"/>
      <c r="AG24" s="107" t="n"/>
      <c r="AH24" s="108" t="n"/>
      <c r="AI24" s="107" t="n"/>
      <c r="AJ24" s="109">
        <f>IF(ISBLANK(B24), "", IF(ISNUMBER(D24), IF(D24&gt;0, (COUNTIF(E24:AI24, "✓") + COUNTIF(E24:AI24, "✔") + COUNTIF(E24:AI24, "v") + COUNTIF(E24:AI24, "V"))/D24, 0), IF(((COUNTIF(E24:AI24, "✓") + COUNTIF(E24:AI24, "✔") + COUNTIF(E24:AI24, "v") + COUNTIF(E24:AI24, "V")) + COUNTIF(E24:AI24, "✗") + COUNTIF(E24:AI24, "x") + COUNTIF(E24:AI24, "X"))&gt;0, (COUNTIF(E24:AI24, "✓") + COUNTIF(E24:AI24, "✔") + COUNTIF(E24:AI24, "v") + COUNTIF(E24:AI24, "V"))/((COUNTIF(E24:AI24, "✓") + COUNTIF(E24:AI24, "✔") + COUNTIF(E24:AI24, "v") + COUNTIF(E24:AI24, "V")) + COUNTIF(E24:AI24, "✗") + COUNTIF(E24:AI24, "x") + COUNTIF(E24:AI24, "X")), "")))</f>
        <v/>
      </c>
      <c r="AK24" s="110">
        <f>IF(ISBLANK(B24), "", IF(ISNUMBER(D24), IF(D24&gt;0, (COUNTIF(E24:AI24, "✓") + COUNTIF(E24:AI24, "✔") + COUNTIF(E24:AI24, "v") + COUNTIF(E24:AI24, "V")) &amp; "/" &amp; D24, (COUNTIF(E24:AI24, "✓") + COUNTIF(E24:AI24, "✔") + COUNTIF(E24:AI24, "v") + COUNTIF(E24:AI24, "V")) &amp; "/0"), IF(((COUNTIF(E24:AI24, "✓") + COUNTIF(E24:AI24, "✔") + COUNTIF(E24:AI24, "v") + COUNTIF(E24:AI24, "V")) + COUNTIF(E24:AI24, "✗") + COUNTIF(E24:AI24, "x") + COUNTIF(E24:AI24, "X"))&gt;0, (COUNTIF(E24:AI24, "✓") + COUNTIF(E24:AI24, "✔") + COUNTIF(E24:AI24, "v") + COUNTIF(E24:AI24, "V")) &amp; "/" &amp; ((COUNTIF(E24:AI24, "✓") + COUNTIF(E24:AI24, "✔") + COUNTIF(E24:AI24, "v") + COUNTIF(E24:AI24, "V")) + COUNTIF(E24:AI24, "✗") + COUNTIF(E24:AI24, "x") + COUNTIF(E24:AI24, "X")), "")))</f>
        <v/>
      </c>
      <c r="AL24" s="110">
        <f>IF(ISBLANK(B24), "", IF(AJ24&gt;=0.85, "🔥 Mastered", IF(AJ24&gt;=0.7, "⚡ Consistent", "⚠️ Needs Focus")))</f>
        <v/>
      </c>
      <c r="AM24">
        <f>COUNTIF(E24:AI24, "✓")</f>
        <v/>
      </c>
    </row>
    <row r="25" ht="14.5" customHeight="1">
      <c r="A25" s="104" t="n">
        <v>8</v>
      </c>
      <c r="B25" s="105" t="n"/>
      <c r="C25" s="106" t="n"/>
      <c r="D25" s="106" t="n"/>
      <c r="E25" s="107" t="n"/>
      <c r="F25" s="108" t="n"/>
      <c r="G25" s="107" t="n"/>
      <c r="H25" s="107" t="n"/>
      <c r="I25" s="107" t="n"/>
      <c r="J25" s="107" t="n"/>
      <c r="K25" s="107" t="n"/>
      <c r="L25" s="107" t="n"/>
      <c r="M25" s="108" t="n"/>
      <c r="N25" s="107" t="n"/>
      <c r="O25" s="107" t="n"/>
      <c r="P25" s="107" t="n"/>
      <c r="Q25" s="107" t="n"/>
      <c r="R25" s="107" t="n"/>
      <c r="S25" s="107" t="n"/>
      <c r="T25" s="108" t="n"/>
      <c r="U25" s="107" t="n"/>
      <c r="V25" s="107" t="n"/>
      <c r="W25" s="107" t="n"/>
      <c r="X25" s="107" t="n"/>
      <c r="Y25" s="107" t="n"/>
      <c r="Z25" s="107" t="n"/>
      <c r="AA25" s="108" t="n"/>
      <c r="AB25" s="107" t="n"/>
      <c r="AC25" s="107" t="n"/>
      <c r="AD25" s="107" t="n"/>
      <c r="AE25" s="107" t="n"/>
      <c r="AF25" s="107" t="n"/>
      <c r="AG25" s="107" t="n"/>
      <c r="AH25" s="108" t="n"/>
      <c r="AI25" s="107" t="n"/>
      <c r="AJ25" s="109">
        <f>IF(ISBLANK(B25), "", IF(ISNUMBER(D25), IF(D25&gt;0, (COUNTIF(E25:AI25, "✓") + COUNTIF(E25:AI25, "✔") + COUNTIF(E25:AI25, "v") + COUNTIF(E25:AI25, "V"))/D25, 0), IF(((COUNTIF(E25:AI25, "✓") + COUNTIF(E25:AI25, "✔") + COUNTIF(E25:AI25, "v") + COUNTIF(E25:AI25, "V")) + COUNTIF(E25:AI25, "✗") + COUNTIF(E25:AI25, "x") + COUNTIF(E25:AI25, "X"))&gt;0, (COUNTIF(E25:AI25, "✓") + COUNTIF(E25:AI25, "✔") + COUNTIF(E25:AI25, "v") + COUNTIF(E25:AI25, "V"))/((COUNTIF(E25:AI25, "✓") + COUNTIF(E25:AI25, "✔") + COUNTIF(E25:AI25, "v") + COUNTIF(E25:AI25, "V")) + COUNTIF(E25:AI25, "✗") + COUNTIF(E25:AI25, "x") + COUNTIF(E25:AI25, "X")), "")))</f>
        <v/>
      </c>
      <c r="AK25" s="110">
        <f>IF(ISBLANK(B25), "", IF(ISNUMBER(D25), IF(D25&gt;0, (COUNTIF(E25:AI25, "✓") + COUNTIF(E25:AI25, "✔") + COUNTIF(E25:AI25, "v") + COUNTIF(E25:AI25, "V")) &amp; "/" &amp; D25, (COUNTIF(E25:AI25, "✓") + COUNTIF(E25:AI25, "✔") + COUNTIF(E25:AI25, "v") + COUNTIF(E25:AI25, "V")) &amp; "/0"), IF(((COUNTIF(E25:AI25, "✓") + COUNTIF(E25:AI25, "✔") + COUNTIF(E25:AI25, "v") + COUNTIF(E25:AI25, "V")) + COUNTIF(E25:AI25, "✗") + COUNTIF(E25:AI25, "x") + COUNTIF(E25:AI25, "X"))&gt;0, (COUNTIF(E25:AI25, "✓") + COUNTIF(E25:AI25, "✔") + COUNTIF(E25:AI25, "v") + COUNTIF(E25:AI25, "V")) &amp; "/" &amp; ((COUNTIF(E25:AI25, "✓") + COUNTIF(E25:AI25, "✔") + COUNTIF(E25:AI25, "v") + COUNTIF(E25:AI25, "V")) + COUNTIF(E25:AI25, "✗") + COUNTIF(E25:AI25, "x") + COUNTIF(E25:AI25, "X")), "")))</f>
        <v/>
      </c>
      <c r="AL25" s="110">
        <f>IF(ISBLANK(B25), "", IF(AJ25&gt;=0.85, "🔥 Mastered", IF(AJ25&gt;=0.7, "⚡ Consistent", "⚠️ Needs Focus")))</f>
        <v/>
      </c>
      <c r="AM25">
        <f>COUNTIF(E25:AI25, "✓")</f>
        <v/>
      </c>
    </row>
    <row r="26" ht="14.5" customHeight="1">
      <c r="A26" s="111" t="n">
        <v>9</v>
      </c>
      <c r="B26" s="112" t="n"/>
      <c r="C26" s="113" t="n"/>
      <c r="D26" s="113" t="n"/>
      <c r="E26" s="114" t="n"/>
      <c r="F26" s="115" t="n"/>
      <c r="G26" s="114" t="n"/>
      <c r="H26" s="114" t="n"/>
      <c r="I26" s="114" t="n"/>
      <c r="J26" s="114" t="n"/>
      <c r="K26" s="114" t="n"/>
      <c r="L26" s="114" t="n"/>
      <c r="M26" s="115" t="n"/>
      <c r="N26" s="114" t="n"/>
      <c r="O26" s="114" t="n"/>
      <c r="P26" s="114" t="n"/>
      <c r="Q26" s="114" t="n"/>
      <c r="R26" s="114" t="n"/>
      <c r="S26" s="114" t="n"/>
      <c r="T26" s="115" t="n"/>
      <c r="U26" s="114" t="n"/>
      <c r="V26" s="114" t="n"/>
      <c r="W26" s="114" t="n"/>
      <c r="X26" s="114" t="n"/>
      <c r="Y26" s="114" t="n"/>
      <c r="Z26" s="114" t="n"/>
      <c r="AA26" s="115" t="n"/>
      <c r="AB26" s="114" t="n"/>
      <c r="AC26" s="114" t="n"/>
      <c r="AD26" s="114" t="n"/>
      <c r="AE26" s="114" t="n"/>
      <c r="AF26" s="114" t="n"/>
      <c r="AG26" s="114" t="n"/>
      <c r="AH26" s="115" t="n"/>
      <c r="AI26" s="114" t="n"/>
      <c r="AJ26" s="116">
        <f>IF(ISBLANK(B26), "", IF(ISNUMBER(D26), IF(D26&gt;0, (COUNTIF(E26:AI26, "✓") + COUNTIF(E26:AI26, "✔") + COUNTIF(E26:AI26, "v") + COUNTIF(E26:AI26, "V"))/D26, 0), IF(((COUNTIF(E26:AI26, "✓") + COUNTIF(E26:AI26, "✔") + COUNTIF(E26:AI26, "v") + COUNTIF(E26:AI26, "V")) + COUNTIF(E26:AI26, "✗") + COUNTIF(E26:AI26, "x") + COUNTIF(E26:AI26, "X"))&gt;0, (COUNTIF(E26:AI26, "✓") + COUNTIF(E26:AI26, "✔") + COUNTIF(E26:AI26, "v") + COUNTIF(E26:AI26, "V"))/((COUNTIF(E26:AI26, "✓") + COUNTIF(E26:AI26, "✔") + COUNTIF(E26:AI26, "v") + COUNTIF(E26:AI26, "V")) + COUNTIF(E26:AI26, "✗") + COUNTIF(E26:AI26, "x") + COUNTIF(E26:AI26, "X")), "")))</f>
        <v/>
      </c>
      <c r="AK26" s="117">
        <f>IF(ISBLANK(B26), "", IF(ISNUMBER(D26), IF(D26&gt;0, (COUNTIF(E26:AI26, "✓") + COUNTIF(E26:AI26, "✔") + COUNTIF(E26:AI26, "v") + COUNTIF(E26:AI26, "V")) &amp; "/" &amp; D26, (COUNTIF(E26:AI26, "✓") + COUNTIF(E26:AI26, "✔") + COUNTIF(E26:AI26, "v") + COUNTIF(E26:AI26, "V")) &amp; "/0"), IF(((COUNTIF(E26:AI26, "✓") + COUNTIF(E26:AI26, "✔") + COUNTIF(E26:AI26, "v") + COUNTIF(E26:AI26, "V")) + COUNTIF(E26:AI26, "✗") + COUNTIF(E26:AI26, "x") + COUNTIF(E26:AI26, "X"))&gt;0, (COUNTIF(E26:AI26, "✓") + COUNTIF(E26:AI26, "✔") + COUNTIF(E26:AI26, "v") + COUNTIF(E26:AI26, "V")) &amp; "/" &amp; ((COUNTIF(E26:AI26, "✓") + COUNTIF(E26:AI26, "✔") + COUNTIF(E26:AI26, "v") + COUNTIF(E26:AI26, "V")) + COUNTIF(E26:AI26, "✗") + COUNTIF(E26:AI26, "x") + COUNTIF(E26:AI26, "X")), "")))</f>
        <v/>
      </c>
      <c r="AL26" s="117">
        <f>IF(ISBLANK(B26), "", IF(AJ26&gt;=0.85, "🔥 Mastered", IF(AJ26&gt;=0.7, "⚡ Consistent", "⚠️ Needs Focus")))</f>
        <v/>
      </c>
      <c r="AM26">
        <f>COUNTIF(E26:AI26, "✓")</f>
        <v/>
      </c>
    </row>
    <row r="27" ht="14.5" customHeight="1">
      <c r="A27" s="111" t="n">
        <v>10</v>
      </c>
      <c r="B27" s="112" t="n"/>
      <c r="C27" s="113" t="n"/>
      <c r="D27" s="113" t="n"/>
      <c r="E27" s="114" t="n"/>
      <c r="F27" s="115" t="n"/>
      <c r="G27" s="114" t="n"/>
      <c r="H27" s="114" t="n"/>
      <c r="I27" s="114" t="n"/>
      <c r="J27" s="114" t="n"/>
      <c r="K27" s="114" t="n"/>
      <c r="L27" s="114" t="n"/>
      <c r="M27" s="115" t="n"/>
      <c r="N27" s="114" t="n"/>
      <c r="O27" s="114" t="n"/>
      <c r="P27" s="114" t="n"/>
      <c r="Q27" s="114" t="n"/>
      <c r="R27" s="114" t="n"/>
      <c r="S27" s="114" t="n"/>
      <c r="T27" s="115" t="n"/>
      <c r="U27" s="114" t="n"/>
      <c r="V27" s="114" t="n"/>
      <c r="W27" s="114" t="n"/>
      <c r="X27" s="114" t="n"/>
      <c r="Y27" s="114" t="n"/>
      <c r="Z27" s="114" t="n"/>
      <c r="AA27" s="115" t="n"/>
      <c r="AB27" s="114" t="n"/>
      <c r="AC27" s="114" t="n"/>
      <c r="AD27" s="114" t="n"/>
      <c r="AE27" s="114" t="n"/>
      <c r="AF27" s="114" t="n"/>
      <c r="AG27" s="114" t="n"/>
      <c r="AH27" s="115" t="n"/>
      <c r="AI27" s="114" t="n"/>
      <c r="AJ27" s="116">
        <f>IF(ISBLANK(B27), "", IF(ISNUMBER(D27), IF(D27&gt;0, (COUNTIF(E27:AI27, "✓") + COUNTIF(E27:AI27, "✔") + COUNTIF(E27:AI27, "v") + COUNTIF(E27:AI27, "V"))/D27, 0), IF(((COUNTIF(E27:AI27, "✓") + COUNTIF(E27:AI27, "✔") + COUNTIF(E27:AI27, "v") + COUNTIF(E27:AI27, "V")) + COUNTIF(E27:AI27, "✗") + COUNTIF(E27:AI27, "x") + COUNTIF(E27:AI27, "X"))&gt;0, (COUNTIF(E27:AI27, "✓") + COUNTIF(E27:AI27, "✔") + COUNTIF(E27:AI27, "v") + COUNTIF(E27:AI27, "V"))/((COUNTIF(E27:AI27, "✓") + COUNTIF(E27:AI27, "✔") + COUNTIF(E27:AI27, "v") + COUNTIF(E27:AI27, "V")) + COUNTIF(E27:AI27, "✗") + COUNTIF(E27:AI27, "x") + COUNTIF(E27:AI27, "X")), "")))</f>
        <v/>
      </c>
      <c r="AK27" s="117">
        <f>IF(ISBLANK(B27), "", IF(ISNUMBER(D27), IF(D27&gt;0, (COUNTIF(E27:AI27, "✓") + COUNTIF(E27:AI27, "✔") + COUNTIF(E27:AI27, "v") + COUNTIF(E27:AI27, "V")) &amp; "/" &amp; D27, (COUNTIF(E27:AI27, "✓") + COUNTIF(E27:AI27, "✔") + COUNTIF(E27:AI27, "v") + COUNTIF(E27:AI27, "V")) &amp; "/0"), IF(((COUNTIF(E27:AI27, "✓") + COUNTIF(E27:AI27, "✔") + COUNTIF(E27:AI27, "v") + COUNTIF(E27:AI27, "V")) + COUNTIF(E27:AI27, "✗") + COUNTIF(E27:AI27, "x") + COUNTIF(E27:AI27, "X"))&gt;0, (COUNTIF(E27:AI27, "✓") + COUNTIF(E27:AI27, "✔") + COUNTIF(E27:AI27, "v") + COUNTIF(E27:AI27, "V")) &amp; "/" &amp; ((COUNTIF(E27:AI27, "✓") + COUNTIF(E27:AI27, "✔") + COUNTIF(E27:AI27, "v") + COUNTIF(E27:AI27, "V")) + COUNTIF(E27:AI27, "✗") + COUNTIF(E27:AI27, "x") + COUNTIF(E27:AI27, "X")), "")))</f>
        <v/>
      </c>
      <c r="AL27" s="117">
        <f>IF(ISBLANK(B27), "", IF(AJ27&gt;=0.85, "🔥 Mastered", IF(AJ27&gt;=0.7, "⚡ Consistent", "⚠️ Needs Focus")))</f>
        <v/>
      </c>
      <c r="AM27">
        <f>COUNTIF(E27:AI27, "✓")</f>
        <v/>
      </c>
    </row>
    <row r="28" ht="14.5" customHeight="1">
      <c r="A28" s="111" t="n">
        <v>11</v>
      </c>
      <c r="B28" s="112" t="n"/>
      <c r="C28" s="113" t="n"/>
      <c r="D28" s="113" t="n"/>
      <c r="E28" s="114" t="n"/>
      <c r="F28" s="115" t="n"/>
      <c r="G28" s="114" t="n"/>
      <c r="H28" s="114" t="n"/>
      <c r="I28" s="114" t="n"/>
      <c r="J28" s="114" t="n"/>
      <c r="K28" s="114" t="n"/>
      <c r="L28" s="114" t="n"/>
      <c r="M28" s="115" t="n"/>
      <c r="N28" s="114" t="n"/>
      <c r="O28" s="114" t="n"/>
      <c r="P28" s="114" t="n"/>
      <c r="Q28" s="114" t="n"/>
      <c r="R28" s="114" t="n"/>
      <c r="S28" s="114" t="n"/>
      <c r="T28" s="115" t="n"/>
      <c r="U28" s="114" t="n"/>
      <c r="V28" s="114" t="n"/>
      <c r="W28" s="114" t="n"/>
      <c r="X28" s="114" t="n"/>
      <c r="Y28" s="114" t="n"/>
      <c r="Z28" s="114" t="n"/>
      <c r="AA28" s="115" t="n"/>
      <c r="AB28" s="114" t="n"/>
      <c r="AC28" s="114" t="n"/>
      <c r="AD28" s="114" t="n"/>
      <c r="AE28" s="114" t="n"/>
      <c r="AF28" s="114" t="n"/>
      <c r="AG28" s="114" t="n"/>
      <c r="AH28" s="115" t="n"/>
      <c r="AI28" s="114" t="n"/>
      <c r="AJ28" s="116">
        <f>IF(ISBLANK(B28), "", IF(ISNUMBER(D28), IF(D28&gt;0, (COUNTIF(E28:AI28, "✓") + COUNTIF(E28:AI28, "✔") + COUNTIF(E28:AI28, "v") + COUNTIF(E28:AI28, "V"))/D28, 0), IF(((COUNTIF(E28:AI28, "✓") + COUNTIF(E28:AI28, "✔") + COUNTIF(E28:AI28, "v") + COUNTIF(E28:AI28, "V")) + COUNTIF(E28:AI28, "✗") + COUNTIF(E28:AI28, "x") + COUNTIF(E28:AI28, "X"))&gt;0, (COUNTIF(E28:AI28, "✓") + COUNTIF(E28:AI28, "✔") + COUNTIF(E28:AI28, "v") + COUNTIF(E28:AI28, "V"))/((COUNTIF(E28:AI28, "✓") + COUNTIF(E28:AI28, "✔") + COUNTIF(E28:AI28, "v") + COUNTIF(E28:AI28, "V")) + COUNTIF(E28:AI28, "✗") + COUNTIF(E28:AI28, "x") + COUNTIF(E28:AI28, "X")), "")))</f>
        <v/>
      </c>
      <c r="AK28" s="117">
        <f>IF(ISBLANK(B28), "", IF(ISNUMBER(D28), IF(D28&gt;0, (COUNTIF(E28:AI28, "✓") + COUNTIF(E28:AI28, "✔") + COUNTIF(E28:AI28, "v") + COUNTIF(E28:AI28, "V")) &amp; "/" &amp; D28, (COUNTIF(E28:AI28, "✓") + COUNTIF(E28:AI28, "✔") + COUNTIF(E28:AI28, "v") + COUNTIF(E28:AI28, "V")) &amp; "/0"), IF(((COUNTIF(E28:AI28, "✓") + COUNTIF(E28:AI28, "✔") + COUNTIF(E28:AI28, "v") + COUNTIF(E28:AI28, "V")) + COUNTIF(E28:AI28, "✗") + COUNTIF(E28:AI28, "x") + COUNTIF(E28:AI28, "X"))&gt;0, (COUNTIF(E28:AI28, "✓") + COUNTIF(E28:AI28, "✔") + COUNTIF(E28:AI28, "v") + COUNTIF(E28:AI28, "V")) &amp; "/" &amp; ((COUNTIF(E28:AI28, "✓") + COUNTIF(E28:AI28, "✔") + COUNTIF(E28:AI28, "v") + COUNTIF(E28:AI28, "V")) + COUNTIF(E28:AI28, "✗") + COUNTIF(E28:AI28, "x") + COUNTIF(E28:AI28, "X")), "")))</f>
        <v/>
      </c>
      <c r="AL28" s="117">
        <f>IF(ISBLANK(B28), "", IF(AJ28&gt;=0.85, "🔥 Mastered", IF(AJ28&gt;=0.7, "⚡ Consistent", "⚠️ Needs Focus")))</f>
        <v/>
      </c>
      <c r="AM28">
        <f>COUNTIF(E28:AI28, "✓")</f>
        <v/>
      </c>
    </row>
    <row r="29" ht="14.5" customHeight="1">
      <c r="A29" s="111" t="n">
        <v>12</v>
      </c>
      <c r="B29" s="112" t="n"/>
      <c r="C29" s="113" t="n"/>
      <c r="D29" s="113" t="n"/>
      <c r="E29" s="114" t="n"/>
      <c r="F29" s="115" t="n"/>
      <c r="G29" s="114" t="n"/>
      <c r="H29" s="114" t="n"/>
      <c r="I29" s="114" t="n"/>
      <c r="J29" s="114" t="n"/>
      <c r="K29" s="114" t="n"/>
      <c r="L29" s="114" t="n"/>
      <c r="M29" s="115" t="n"/>
      <c r="N29" s="114" t="n"/>
      <c r="O29" s="114" t="n"/>
      <c r="P29" s="114" t="n"/>
      <c r="Q29" s="114" t="n"/>
      <c r="R29" s="114" t="n"/>
      <c r="S29" s="114" t="n"/>
      <c r="T29" s="115" t="n"/>
      <c r="U29" s="114" t="n"/>
      <c r="V29" s="114" t="n"/>
      <c r="W29" s="114" t="n"/>
      <c r="X29" s="114" t="n"/>
      <c r="Y29" s="114" t="n"/>
      <c r="Z29" s="114" t="n"/>
      <c r="AA29" s="115" t="n"/>
      <c r="AB29" s="114" t="n"/>
      <c r="AC29" s="114" t="n"/>
      <c r="AD29" s="114" t="n"/>
      <c r="AE29" s="114" t="n"/>
      <c r="AF29" s="114" t="n"/>
      <c r="AG29" s="114" t="n"/>
      <c r="AH29" s="115" t="n"/>
      <c r="AI29" s="114" t="n"/>
      <c r="AJ29" s="116">
        <f>IF(ISBLANK(B29), "", IF(ISNUMBER(D29), IF(D29&gt;0, (COUNTIF(E29:AI29, "✓") + COUNTIF(E29:AI29, "✔") + COUNTIF(E29:AI29, "v") + COUNTIF(E29:AI29, "V"))/D29, 0), IF(((COUNTIF(E29:AI29, "✓") + COUNTIF(E29:AI29, "✔") + COUNTIF(E29:AI29, "v") + COUNTIF(E29:AI29, "V")) + COUNTIF(E29:AI29, "✗") + COUNTIF(E29:AI29, "x") + COUNTIF(E29:AI29, "X"))&gt;0, (COUNTIF(E29:AI29, "✓") + COUNTIF(E29:AI29, "✔") + COUNTIF(E29:AI29, "v") + COUNTIF(E29:AI29, "V"))/((COUNTIF(E29:AI29, "✓") + COUNTIF(E29:AI29, "✔") + COUNTIF(E29:AI29, "v") + COUNTIF(E29:AI29, "V")) + COUNTIF(E29:AI29, "✗") + COUNTIF(E29:AI29, "x") + COUNTIF(E29:AI29, "X")), "")))</f>
        <v/>
      </c>
      <c r="AK29" s="117">
        <f>IF(ISBLANK(B29), "", IF(ISNUMBER(D29), IF(D29&gt;0, (COUNTIF(E29:AI29, "✓") + COUNTIF(E29:AI29, "✔") + COUNTIF(E29:AI29, "v") + COUNTIF(E29:AI29, "V")) &amp; "/" &amp; D29, (COUNTIF(E29:AI29, "✓") + COUNTIF(E29:AI29, "✔") + COUNTIF(E29:AI29, "v") + COUNTIF(E29:AI29, "V")) &amp; "/0"), IF(((COUNTIF(E29:AI29, "✓") + COUNTIF(E29:AI29, "✔") + COUNTIF(E29:AI29, "v") + COUNTIF(E29:AI29, "V")) + COUNTIF(E29:AI29, "✗") + COUNTIF(E29:AI29, "x") + COUNTIF(E29:AI29, "X"))&gt;0, (COUNTIF(E29:AI29, "✓") + COUNTIF(E29:AI29, "✔") + COUNTIF(E29:AI29, "v") + COUNTIF(E29:AI29, "V")) &amp; "/" &amp; ((COUNTIF(E29:AI29, "✓") + COUNTIF(E29:AI29, "✔") + COUNTIF(E29:AI29, "v") + COUNTIF(E29:AI29, "V")) + COUNTIF(E29:AI29, "✗") + COUNTIF(E29:AI29, "x") + COUNTIF(E29:AI29, "X")), "")))</f>
        <v/>
      </c>
      <c r="AL29" s="117">
        <f>IF(ISBLANK(B29), "", IF(AJ29&gt;=0.85, "🔥 Mastered", IF(AJ29&gt;=0.7, "⚡ Consistent", "⚠️ Needs Focus")))</f>
        <v/>
      </c>
      <c r="AM29">
        <f>COUNTIF(E29:AI29, "✓")</f>
        <v/>
      </c>
    </row>
    <row r="30" ht="14.5" customHeight="1">
      <c r="A30" s="118" t="n">
        <v>13</v>
      </c>
      <c r="B30" s="119" t="n"/>
      <c r="C30" s="120" t="n"/>
      <c r="D30" s="120" t="n"/>
      <c r="E30" s="121" t="n"/>
      <c r="F30" s="122" t="n"/>
      <c r="G30" s="121" t="n"/>
      <c r="H30" s="121" t="n"/>
      <c r="I30" s="121" t="n"/>
      <c r="J30" s="121" t="n"/>
      <c r="K30" s="121" t="n"/>
      <c r="L30" s="121" t="n"/>
      <c r="M30" s="122" t="n"/>
      <c r="N30" s="121" t="n"/>
      <c r="O30" s="121" t="n"/>
      <c r="P30" s="121" t="n"/>
      <c r="Q30" s="121" t="n"/>
      <c r="R30" s="121" t="n"/>
      <c r="S30" s="121" t="n"/>
      <c r="T30" s="122" t="n"/>
      <c r="U30" s="121" t="n"/>
      <c r="V30" s="121" t="n"/>
      <c r="W30" s="121" t="n"/>
      <c r="X30" s="121" t="n"/>
      <c r="Y30" s="121" t="n"/>
      <c r="Z30" s="121" t="n"/>
      <c r="AA30" s="122" t="n"/>
      <c r="AB30" s="121" t="n"/>
      <c r="AC30" s="121" t="n"/>
      <c r="AD30" s="121" t="n"/>
      <c r="AE30" s="121" t="n"/>
      <c r="AF30" s="121" t="n"/>
      <c r="AG30" s="121" t="n"/>
      <c r="AH30" s="122" t="n"/>
      <c r="AI30" s="121" t="n"/>
      <c r="AJ30" s="123">
        <f>IF(ISBLANK(B30), "", IF(ISNUMBER(D30), IF(D30&gt;0, (COUNTIF(E30:AI30, "✓") + COUNTIF(E30:AI30, "✔") + COUNTIF(E30:AI30, "v") + COUNTIF(E30:AI30, "V"))/D30, 0), IF(((COUNTIF(E30:AI30, "✓") + COUNTIF(E30:AI30, "✔") + COUNTIF(E30:AI30, "v") + COUNTIF(E30:AI30, "V")) + COUNTIF(E30:AI30, "✗") + COUNTIF(E30:AI30, "x") + COUNTIF(E30:AI30, "X"))&gt;0, (COUNTIF(E30:AI30, "✓") + COUNTIF(E30:AI30, "✔") + COUNTIF(E30:AI30, "v") + COUNTIF(E30:AI30, "V"))/((COUNTIF(E30:AI30, "✓") + COUNTIF(E30:AI30, "✔") + COUNTIF(E30:AI30, "v") + COUNTIF(E30:AI30, "V")) + COUNTIF(E30:AI30, "✗") + COUNTIF(E30:AI30, "x") + COUNTIF(E30:AI30, "X")), "")))</f>
        <v/>
      </c>
      <c r="AK30" s="124">
        <f>IF(ISBLANK(B30), "", IF(ISNUMBER(D30), IF(D30&gt;0, (COUNTIF(E30:AI30, "✓") + COUNTIF(E30:AI30, "✔") + COUNTIF(E30:AI30, "v") + COUNTIF(E30:AI30, "V")) &amp; "/" &amp; D30, (COUNTIF(E30:AI30, "✓") + COUNTIF(E30:AI30, "✔") + COUNTIF(E30:AI30, "v") + COUNTIF(E30:AI30, "V")) &amp; "/0"), IF(((COUNTIF(E30:AI30, "✓") + COUNTIF(E30:AI30, "✔") + COUNTIF(E30:AI30, "v") + COUNTIF(E30:AI30, "V")) + COUNTIF(E30:AI30, "✗") + COUNTIF(E30:AI30, "x") + COUNTIF(E30:AI30, "X"))&gt;0, (COUNTIF(E30:AI30, "✓") + COUNTIF(E30:AI30, "✔") + COUNTIF(E30:AI30, "v") + COUNTIF(E30:AI30, "V")) &amp; "/" &amp; ((COUNTIF(E30:AI30, "✓") + COUNTIF(E30:AI30, "✔") + COUNTIF(E30:AI30, "v") + COUNTIF(E30:AI30, "V")) + COUNTIF(E30:AI30, "✗") + COUNTIF(E30:AI30, "x") + COUNTIF(E30:AI30, "X")), "")))</f>
        <v/>
      </c>
      <c r="AL30" s="124">
        <f>IF(ISBLANK(B30), "", IF(AJ30&gt;=0.85, "🔥 Mastered", IF(AJ30&gt;=0.7, "⚡ Consistent", "⚠️ Needs Focus")))</f>
        <v/>
      </c>
      <c r="AM30">
        <f>COUNTIF(E30:AI30, "✓")</f>
        <v/>
      </c>
    </row>
    <row r="31" ht="14.5" customHeight="1">
      <c r="A31" s="118" t="n">
        <v>14</v>
      </c>
      <c r="B31" s="119" t="n"/>
      <c r="C31" s="120" t="n"/>
      <c r="D31" s="120" t="n"/>
      <c r="E31" s="121" t="n"/>
      <c r="F31" s="122" t="n"/>
      <c r="G31" s="121" t="n"/>
      <c r="H31" s="121" t="n"/>
      <c r="I31" s="121" t="n"/>
      <c r="J31" s="121" t="n"/>
      <c r="K31" s="121" t="n"/>
      <c r="L31" s="121" t="n"/>
      <c r="M31" s="122" t="n"/>
      <c r="N31" s="121" t="n"/>
      <c r="O31" s="121" t="n"/>
      <c r="P31" s="121" t="n"/>
      <c r="Q31" s="121" t="n"/>
      <c r="R31" s="121" t="n"/>
      <c r="S31" s="121" t="n"/>
      <c r="T31" s="122" t="n"/>
      <c r="U31" s="121" t="n"/>
      <c r="V31" s="121" t="n"/>
      <c r="W31" s="121" t="n"/>
      <c r="X31" s="121" t="n"/>
      <c r="Y31" s="121" t="n"/>
      <c r="Z31" s="121" t="n"/>
      <c r="AA31" s="122" t="n"/>
      <c r="AB31" s="121" t="n"/>
      <c r="AC31" s="121" t="n"/>
      <c r="AD31" s="121" t="n"/>
      <c r="AE31" s="121" t="n"/>
      <c r="AF31" s="121" t="n"/>
      <c r="AG31" s="121" t="n"/>
      <c r="AH31" s="122" t="n"/>
      <c r="AI31" s="121" t="n"/>
      <c r="AJ31" s="123">
        <f>IF(ISBLANK(B31), "", IF(ISNUMBER(D31), IF(D31&gt;0, (COUNTIF(E31:AI31, "✓") + COUNTIF(E31:AI31, "✔") + COUNTIF(E31:AI31, "v") + COUNTIF(E31:AI31, "V"))/D31, 0), IF(((COUNTIF(E31:AI31, "✓") + COUNTIF(E31:AI31, "✔") + COUNTIF(E31:AI31, "v") + COUNTIF(E31:AI31, "V")) + COUNTIF(E31:AI31, "✗") + COUNTIF(E31:AI31, "x") + COUNTIF(E31:AI31, "X"))&gt;0, (COUNTIF(E31:AI31, "✓") + COUNTIF(E31:AI31, "✔") + COUNTIF(E31:AI31, "v") + COUNTIF(E31:AI31, "V"))/((COUNTIF(E31:AI31, "✓") + COUNTIF(E31:AI31, "✔") + COUNTIF(E31:AI31, "v") + COUNTIF(E31:AI31, "V")) + COUNTIF(E31:AI31, "✗") + COUNTIF(E31:AI31, "x") + COUNTIF(E31:AI31, "X")), "")))</f>
        <v/>
      </c>
      <c r="AK31" s="124">
        <f>IF(ISBLANK(B31), "", IF(ISNUMBER(D31), IF(D31&gt;0, (COUNTIF(E31:AI31, "✓") + COUNTIF(E31:AI31, "✔") + COUNTIF(E31:AI31, "v") + COUNTIF(E31:AI31, "V")) &amp; "/" &amp; D31, (COUNTIF(E31:AI31, "✓") + COUNTIF(E31:AI31, "✔") + COUNTIF(E31:AI31, "v") + COUNTIF(E31:AI31, "V")) &amp; "/0"), IF(((COUNTIF(E31:AI31, "✓") + COUNTIF(E31:AI31, "✔") + COUNTIF(E31:AI31, "v") + COUNTIF(E31:AI31, "V")) + COUNTIF(E31:AI31, "✗") + COUNTIF(E31:AI31, "x") + COUNTIF(E31:AI31, "X"))&gt;0, (COUNTIF(E31:AI31, "✓") + COUNTIF(E31:AI31, "✔") + COUNTIF(E31:AI31, "v") + COUNTIF(E31:AI31, "V")) &amp; "/" &amp; ((COUNTIF(E31:AI31, "✓") + COUNTIF(E31:AI31, "✔") + COUNTIF(E31:AI31, "v") + COUNTIF(E31:AI31, "V")) + COUNTIF(E31:AI31, "✗") + COUNTIF(E31:AI31, "x") + COUNTIF(E31:AI31, "X")), "")))</f>
        <v/>
      </c>
      <c r="AL31" s="124">
        <f>IF(ISBLANK(B31), "", IF(AJ31&gt;=0.85, "🔥 Mastered", IF(AJ31&gt;=0.7, "⚡ Consistent", "⚠️ Needs Focus")))</f>
        <v/>
      </c>
      <c r="AM31">
        <f>COUNTIF(E31:AI31, "✓")</f>
        <v/>
      </c>
    </row>
    <row r="32" ht="14.5" customHeight="1">
      <c r="A32" s="118" t="n">
        <v>15</v>
      </c>
      <c r="B32" s="119" t="n"/>
      <c r="C32" s="120" t="n"/>
      <c r="D32" s="120" t="n"/>
      <c r="E32" s="121" t="n"/>
      <c r="F32" s="122" t="n"/>
      <c r="G32" s="121" t="n"/>
      <c r="H32" s="121" t="n"/>
      <c r="I32" s="121" t="n"/>
      <c r="J32" s="121" t="n"/>
      <c r="K32" s="121" t="n"/>
      <c r="L32" s="121" t="n"/>
      <c r="M32" s="122" t="n"/>
      <c r="N32" s="121" t="n"/>
      <c r="O32" s="121" t="n"/>
      <c r="P32" s="121" t="n"/>
      <c r="Q32" s="121" t="n"/>
      <c r="R32" s="121" t="n"/>
      <c r="S32" s="121" t="n"/>
      <c r="T32" s="122" t="n"/>
      <c r="U32" s="121" t="n"/>
      <c r="V32" s="121" t="n"/>
      <c r="W32" s="121" t="n"/>
      <c r="X32" s="121" t="n"/>
      <c r="Y32" s="121" t="n"/>
      <c r="Z32" s="121" t="n"/>
      <c r="AA32" s="122" t="n"/>
      <c r="AB32" s="121" t="n"/>
      <c r="AC32" s="121" t="n"/>
      <c r="AD32" s="121" t="n"/>
      <c r="AE32" s="121" t="n"/>
      <c r="AF32" s="121" t="n"/>
      <c r="AG32" s="121" t="n"/>
      <c r="AH32" s="122" t="n"/>
      <c r="AI32" s="121" t="n"/>
      <c r="AJ32" s="123">
        <f>IF(ISBLANK(B32), "", IF(ISNUMBER(D32), IF(D32&gt;0, (COUNTIF(E32:AI32, "✓") + COUNTIF(E32:AI32, "✔") + COUNTIF(E32:AI32, "v") + COUNTIF(E32:AI32, "V"))/D32, 0), IF(((COUNTIF(E32:AI32, "✓") + COUNTIF(E32:AI32, "✔") + COUNTIF(E32:AI32, "v") + COUNTIF(E32:AI32, "V")) + COUNTIF(E32:AI32, "✗") + COUNTIF(E32:AI32, "x") + COUNTIF(E32:AI32, "X"))&gt;0, (COUNTIF(E32:AI32, "✓") + COUNTIF(E32:AI32, "✔") + COUNTIF(E32:AI32, "v") + COUNTIF(E32:AI32, "V"))/((COUNTIF(E32:AI32, "✓") + COUNTIF(E32:AI32, "✔") + COUNTIF(E32:AI32, "v") + COUNTIF(E32:AI32, "V")) + COUNTIF(E32:AI32, "✗") + COUNTIF(E32:AI32, "x") + COUNTIF(E32:AI32, "X")), "")))</f>
        <v/>
      </c>
      <c r="AK32" s="124">
        <f>IF(ISBLANK(B32), "", IF(ISNUMBER(D32), IF(D32&gt;0, (COUNTIF(E32:AI32, "✓") + COUNTIF(E32:AI32, "✔") + COUNTIF(E32:AI32, "v") + COUNTIF(E32:AI32, "V")) &amp; "/" &amp; D32, (COUNTIF(E32:AI32, "✓") + COUNTIF(E32:AI32, "✔") + COUNTIF(E32:AI32, "v") + COUNTIF(E32:AI32, "V")) &amp; "/0"), IF(((COUNTIF(E32:AI32, "✓") + COUNTIF(E32:AI32, "✔") + COUNTIF(E32:AI32, "v") + COUNTIF(E32:AI32, "V")) + COUNTIF(E32:AI32, "✗") + COUNTIF(E32:AI32, "x") + COUNTIF(E32:AI32, "X"))&gt;0, (COUNTIF(E32:AI32, "✓") + COUNTIF(E32:AI32, "✔") + COUNTIF(E32:AI32, "v") + COUNTIF(E32:AI32, "V")) &amp; "/" &amp; ((COUNTIF(E32:AI32, "✓") + COUNTIF(E32:AI32, "✔") + COUNTIF(E32:AI32, "v") + COUNTIF(E32:AI32, "V")) + COUNTIF(E32:AI32, "✗") + COUNTIF(E32:AI32, "x") + COUNTIF(E32:AI32, "X")), "")))</f>
        <v/>
      </c>
      <c r="AL32" s="124">
        <f>IF(ISBLANK(B32), "", IF(AJ32&gt;=0.85, "🔥 Mastered", IF(AJ32&gt;=0.7, "⚡ Consistent", "⚠️ Needs Focus")))</f>
        <v/>
      </c>
      <c r="AM32">
        <f>COUNTIF(E32:AI32, "✓")</f>
        <v/>
      </c>
    </row>
    <row r="33" ht="14.5" customHeight="1">
      <c r="A33" s="118" t="n">
        <v>16</v>
      </c>
      <c r="B33" s="119" t="n"/>
      <c r="C33" s="120" t="n"/>
      <c r="D33" s="120" t="n"/>
      <c r="E33" s="121" t="n"/>
      <c r="F33" s="122" t="n"/>
      <c r="G33" s="121" t="n"/>
      <c r="H33" s="121" t="n"/>
      <c r="I33" s="121" t="n"/>
      <c r="J33" s="121" t="n"/>
      <c r="K33" s="121" t="n"/>
      <c r="L33" s="121" t="n"/>
      <c r="M33" s="122" t="n"/>
      <c r="N33" s="121" t="n"/>
      <c r="O33" s="121" t="n"/>
      <c r="P33" s="121" t="n"/>
      <c r="Q33" s="121" t="n"/>
      <c r="R33" s="121" t="n"/>
      <c r="S33" s="121" t="n"/>
      <c r="T33" s="122" t="n"/>
      <c r="U33" s="121" t="n"/>
      <c r="V33" s="121" t="n"/>
      <c r="W33" s="121" t="n"/>
      <c r="X33" s="121" t="n"/>
      <c r="Y33" s="121" t="n"/>
      <c r="Z33" s="121" t="n"/>
      <c r="AA33" s="122" t="n"/>
      <c r="AB33" s="121" t="n"/>
      <c r="AC33" s="121" t="n"/>
      <c r="AD33" s="121" t="n"/>
      <c r="AE33" s="121" t="n"/>
      <c r="AF33" s="121" t="n"/>
      <c r="AG33" s="121" t="n"/>
      <c r="AH33" s="122" t="n"/>
      <c r="AI33" s="121" t="n"/>
      <c r="AJ33" s="123">
        <f>IF(ISBLANK(B33), "", IF(ISNUMBER(D33), IF(D33&gt;0, (COUNTIF(E33:AI33, "✓") + COUNTIF(E33:AI33, "✔") + COUNTIF(E33:AI33, "v") + COUNTIF(E33:AI33, "V"))/D33, 0), IF(((COUNTIF(E33:AI33, "✓") + COUNTIF(E33:AI33, "✔") + COUNTIF(E33:AI33, "v") + COUNTIF(E33:AI33, "V")) + COUNTIF(E33:AI33, "✗") + COUNTIF(E33:AI33, "x") + COUNTIF(E33:AI33, "X"))&gt;0, (COUNTIF(E33:AI33, "✓") + COUNTIF(E33:AI33, "✔") + COUNTIF(E33:AI33, "v") + COUNTIF(E33:AI33, "V"))/((COUNTIF(E33:AI33, "✓") + COUNTIF(E33:AI33, "✔") + COUNTIF(E33:AI33, "v") + COUNTIF(E33:AI33, "V")) + COUNTIF(E33:AI33, "✗") + COUNTIF(E33:AI33, "x") + COUNTIF(E33:AI33, "X")), "")))</f>
        <v/>
      </c>
      <c r="AK33" s="124">
        <f>IF(ISBLANK(B33), "", IF(ISNUMBER(D33), IF(D33&gt;0, (COUNTIF(E33:AI33, "✓") + COUNTIF(E33:AI33, "✔") + COUNTIF(E33:AI33, "v") + COUNTIF(E33:AI33, "V")) &amp; "/" &amp; D33, (COUNTIF(E33:AI33, "✓") + COUNTIF(E33:AI33, "✔") + COUNTIF(E33:AI33, "v") + COUNTIF(E33:AI33, "V")) &amp; "/0"), IF(((COUNTIF(E33:AI33, "✓") + COUNTIF(E33:AI33, "✔") + COUNTIF(E33:AI33, "v") + COUNTIF(E33:AI33, "V")) + COUNTIF(E33:AI33, "✗") + COUNTIF(E33:AI33, "x") + COUNTIF(E33:AI33, "X"))&gt;0, (COUNTIF(E33:AI33, "✓") + COUNTIF(E33:AI33, "✔") + COUNTIF(E33:AI33, "v") + COUNTIF(E33:AI33, "V")) &amp; "/" &amp; ((COUNTIF(E33:AI33, "✓") + COUNTIF(E33:AI33, "✔") + COUNTIF(E33:AI33, "v") + COUNTIF(E33:AI33, "V")) + COUNTIF(E33:AI33, "✗") + COUNTIF(E33:AI33, "x") + COUNTIF(E33:AI33, "X")), "")))</f>
        <v/>
      </c>
      <c r="AL33" s="124">
        <f>IF(ISBLANK(B33), "", IF(AJ33&gt;=0.85, "🔥 Mastered", IF(AJ33&gt;=0.7, "⚡ Consistent", "⚠️ Needs Focus")))</f>
        <v/>
      </c>
      <c r="AM33">
        <f>COUNTIF(E33:AI33, "✓")</f>
        <v/>
      </c>
    </row>
    <row r="34" ht="14.5" customHeight="1">
      <c r="A34" s="125" t="n">
        <v>17</v>
      </c>
      <c r="B34" s="126" t="n"/>
      <c r="C34" s="127" t="n"/>
      <c r="D34" s="127" t="n"/>
      <c r="E34" s="128" t="n"/>
      <c r="F34" s="129" t="n"/>
      <c r="G34" s="128" t="n"/>
      <c r="H34" s="128" t="n"/>
      <c r="I34" s="128" t="n"/>
      <c r="J34" s="128" t="n"/>
      <c r="K34" s="128" t="n"/>
      <c r="L34" s="128" t="n"/>
      <c r="M34" s="129" t="n"/>
      <c r="N34" s="128" t="n"/>
      <c r="O34" s="128" t="n"/>
      <c r="P34" s="128" t="n"/>
      <c r="Q34" s="128" t="n"/>
      <c r="R34" s="128" t="n"/>
      <c r="S34" s="128" t="n"/>
      <c r="T34" s="129" t="n"/>
      <c r="U34" s="128" t="n"/>
      <c r="V34" s="128" t="n"/>
      <c r="W34" s="128" t="n"/>
      <c r="X34" s="128" t="n"/>
      <c r="Y34" s="128" t="n"/>
      <c r="Z34" s="128" t="n"/>
      <c r="AA34" s="129" t="n"/>
      <c r="AB34" s="128" t="n"/>
      <c r="AC34" s="128" t="n"/>
      <c r="AD34" s="128" t="n"/>
      <c r="AE34" s="128" t="n"/>
      <c r="AF34" s="128" t="n"/>
      <c r="AG34" s="128" t="n"/>
      <c r="AH34" s="129" t="n"/>
      <c r="AI34" s="128" t="n"/>
      <c r="AJ34" s="130">
        <f>IF(ISBLANK(B34), "", IF(ISNUMBER(D34), IF(D34&gt;0, (COUNTIF(E34:AI34, "✓") + COUNTIF(E34:AI34, "✔") + COUNTIF(E34:AI34, "v") + COUNTIF(E34:AI34, "V"))/D34, 0), IF(((COUNTIF(E34:AI34, "✓") + COUNTIF(E34:AI34, "✔") + COUNTIF(E34:AI34, "v") + COUNTIF(E34:AI34, "V")) + COUNTIF(E34:AI34, "✗") + COUNTIF(E34:AI34, "x") + COUNTIF(E34:AI34, "X"))&gt;0, (COUNTIF(E34:AI34, "✓") + COUNTIF(E34:AI34, "✔") + COUNTIF(E34:AI34, "v") + COUNTIF(E34:AI34, "V"))/((COUNTIF(E34:AI34, "✓") + COUNTIF(E34:AI34, "✔") + COUNTIF(E34:AI34, "v") + COUNTIF(E34:AI34, "V")) + COUNTIF(E34:AI34, "✗") + COUNTIF(E34:AI34, "x") + COUNTIF(E34:AI34, "X")), "")))</f>
        <v/>
      </c>
      <c r="AK34" s="131">
        <f>IF(ISBLANK(B34), "", IF(ISNUMBER(D34), IF(D34&gt;0, (COUNTIF(E34:AI34, "✓") + COUNTIF(E34:AI34, "✔") + COUNTIF(E34:AI34, "v") + COUNTIF(E34:AI34, "V")) &amp; "/" &amp; D34, (COUNTIF(E34:AI34, "✓") + COUNTIF(E34:AI34, "✔") + COUNTIF(E34:AI34, "v") + COUNTIF(E34:AI34, "V")) &amp; "/0"), IF(((COUNTIF(E34:AI34, "✓") + COUNTIF(E34:AI34, "✔") + COUNTIF(E34:AI34, "v") + COUNTIF(E34:AI34, "V")) + COUNTIF(E34:AI34, "✗") + COUNTIF(E34:AI34, "x") + COUNTIF(E34:AI34, "X"))&gt;0, (COUNTIF(E34:AI34, "✓") + COUNTIF(E34:AI34, "✔") + COUNTIF(E34:AI34, "v") + COUNTIF(E34:AI34, "V")) &amp; "/" &amp; ((COUNTIF(E34:AI34, "✓") + COUNTIF(E34:AI34, "✔") + COUNTIF(E34:AI34, "v") + COUNTIF(E34:AI34, "V")) + COUNTIF(E34:AI34, "✗") + COUNTIF(E34:AI34, "x") + COUNTIF(E34:AI34, "X")), "")))</f>
        <v/>
      </c>
      <c r="AL34" s="131">
        <f>IF(ISBLANK(B34), "", IF(AJ34&gt;=0.85, "🔥 Mastered", IF(AJ34&gt;=0.7, "⚡ Consistent", "⚠️ Needs Focus")))</f>
        <v/>
      </c>
      <c r="AM34">
        <f>COUNTIF(E34:AI34, "✓")</f>
        <v/>
      </c>
    </row>
    <row r="35" ht="14.5" customHeight="1">
      <c r="A35" s="125" t="n">
        <v>18</v>
      </c>
      <c r="B35" s="126" t="n"/>
      <c r="C35" s="127" t="n"/>
      <c r="D35" s="127" t="n"/>
      <c r="E35" s="128" t="n"/>
      <c r="F35" s="129" t="n"/>
      <c r="G35" s="128" t="n"/>
      <c r="H35" s="128" t="n"/>
      <c r="I35" s="128" t="n"/>
      <c r="J35" s="128" t="n"/>
      <c r="K35" s="128" t="n"/>
      <c r="L35" s="128" t="n"/>
      <c r="M35" s="129" t="n"/>
      <c r="N35" s="128" t="n"/>
      <c r="O35" s="128" t="n"/>
      <c r="P35" s="128" t="n"/>
      <c r="Q35" s="128" t="n"/>
      <c r="R35" s="128" t="n"/>
      <c r="S35" s="128" t="n"/>
      <c r="T35" s="129" t="n"/>
      <c r="U35" s="128" t="n"/>
      <c r="V35" s="128" t="n"/>
      <c r="W35" s="128" t="n"/>
      <c r="X35" s="128" t="n"/>
      <c r="Y35" s="128" t="n"/>
      <c r="Z35" s="128" t="n"/>
      <c r="AA35" s="129" t="n"/>
      <c r="AB35" s="128" t="n"/>
      <c r="AC35" s="128" t="n"/>
      <c r="AD35" s="128" t="n"/>
      <c r="AE35" s="128" t="n"/>
      <c r="AF35" s="128" t="n"/>
      <c r="AG35" s="128" t="n"/>
      <c r="AH35" s="129" t="n"/>
      <c r="AI35" s="128" t="n"/>
      <c r="AJ35" s="130">
        <f>IF(ISBLANK(B35), "", IF(ISNUMBER(D35), IF(D35&gt;0, (COUNTIF(E35:AI35, "✓") + COUNTIF(E35:AI35, "✔") + COUNTIF(E35:AI35, "v") + COUNTIF(E35:AI35, "V"))/D35, 0), IF(((COUNTIF(E35:AI35, "✓") + COUNTIF(E35:AI35, "✔") + COUNTIF(E35:AI35, "v") + COUNTIF(E35:AI35, "V")) + COUNTIF(E35:AI35, "✗") + COUNTIF(E35:AI35, "x") + COUNTIF(E35:AI35, "X"))&gt;0, (COUNTIF(E35:AI35, "✓") + COUNTIF(E35:AI35, "✔") + COUNTIF(E35:AI35, "v") + COUNTIF(E35:AI35, "V"))/((COUNTIF(E35:AI35, "✓") + COUNTIF(E35:AI35, "✔") + COUNTIF(E35:AI35, "v") + COUNTIF(E35:AI35, "V")) + COUNTIF(E35:AI35, "✗") + COUNTIF(E35:AI35, "x") + COUNTIF(E35:AI35, "X")), "")))</f>
        <v/>
      </c>
      <c r="AK35" s="131">
        <f>IF(ISBLANK(B35), "", IF(ISNUMBER(D35), IF(D35&gt;0, (COUNTIF(E35:AI35, "✓") + COUNTIF(E35:AI35, "✔") + COUNTIF(E35:AI35, "v") + COUNTIF(E35:AI35, "V")) &amp; "/" &amp; D35, (COUNTIF(E35:AI35, "✓") + COUNTIF(E35:AI35, "✔") + COUNTIF(E35:AI35, "v") + COUNTIF(E35:AI35, "V")) &amp; "/0"), IF(((COUNTIF(E35:AI35, "✓") + COUNTIF(E35:AI35, "✔") + COUNTIF(E35:AI35, "v") + COUNTIF(E35:AI35, "V")) + COUNTIF(E35:AI35, "✗") + COUNTIF(E35:AI35, "x") + COUNTIF(E35:AI35, "X"))&gt;0, (COUNTIF(E35:AI35, "✓") + COUNTIF(E35:AI35, "✔") + COUNTIF(E35:AI35, "v") + COUNTIF(E35:AI35, "V")) &amp; "/" &amp; ((COUNTIF(E35:AI35, "✓") + COUNTIF(E35:AI35, "✔") + COUNTIF(E35:AI35, "v") + COUNTIF(E35:AI35, "V")) + COUNTIF(E35:AI35, "✗") + COUNTIF(E35:AI35, "x") + COUNTIF(E35:AI35, "X")), "")))</f>
        <v/>
      </c>
      <c r="AL35" s="131">
        <f>IF(ISBLANK(B35), "", IF(AJ35&gt;=0.85, "🔥 Mastered", IF(AJ35&gt;=0.7, "⚡ Consistent", "⚠️ Needs Focus")))</f>
        <v/>
      </c>
      <c r="AM35">
        <f>COUNTIF(E35:AI35, "✓")</f>
        <v/>
      </c>
    </row>
    <row r="36" ht="14.5" customHeight="1">
      <c r="A36" s="125" t="n">
        <v>19</v>
      </c>
      <c r="B36" s="126" t="n"/>
      <c r="C36" s="127" t="n"/>
      <c r="D36" s="127" t="n"/>
      <c r="E36" s="128" t="n"/>
      <c r="F36" s="129" t="n"/>
      <c r="G36" s="128" t="n"/>
      <c r="H36" s="128" t="n"/>
      <c r="I36" s="128" t="n"/>
      <c r="J36" s="128" t="n"/>
      <c r="K36" s="128" t="n"/>
      <c r="L36" s="128" t="n"/>
      <c r="M36" s="129" t="n"/>
      <c r="N36" s="128" t="n"/>
      <c r="O36" s="128" t="n"/>
      <c r="P36" s="128" t="n"/>
      <c r="Q36" s="128" t="n"/>
      <c r="R36" s="128" t="n"/>
      <c r="S36" s="128" t="n"/>
      <c r="T36" s="129" t="n"/>
      <c r="U36" s="128" t="n"/>
      <c r="V36" s="128" t="n"/>
      <c r="W36" s="128" t="n"/>
      <c r="X36" s="128" t="n"/>
      <c r="Y36" s="128" t="n"/>
      <c r="Z36" s="128" t="n"/>
      <c r="AA36" s="129" t="n"/>
      <c r="AB36" s="128" t="n"/>
      <c r="AC36" s="128" t="n"/>
      <c r="AD36" s="128" t="n"/>
      <c r="AE36" s="128" t="n"/>
      <c r="AF36" s="128" t="n"/>
      <c r="AG36" s="128" t="n"/>
      <c r="AH36" s="129" t="n"/>
      <c r="AI36" s="128" t="n"/>
      <c r="AJ36" s="130">
        <f>IF(ISBLANK(B36), "", IF(ISNUMBER(D36), IF(D36&gt;0, (COUNTIF(E36:AI36, "✓") + COUNTIF(E36:AI36, "✔") + COUNTIF(E36:AI36, "v") + COUNTIF(E36:AI36, "V"))/D36, 0), IF(((COUNTIF(E36:AI36, "✓") + COUNTIF(E36:AI36, "✔") + COUNTIF(E36:AI36, "v") + COUNTIF(E36:AI36, "V")) + COUNTIF(E36:AI36, "✗") + COUNTIF(E36:AI36, "x") + COUNTIF(E36:AI36, "X"))&gt;0, (COUNTIF(E36:AI36, "✓") + COUNTIF(E36:AI36, "✔") + COUNTIF(E36:AI36, "v") + COUNTIF(E36:AI36, "V"))/((COUNTIF(E36:AI36, "✓") + COUNTIF(E36:AI36, "✔") + COUNTIF(E36:AI36, "v") + COUNTIF(E36:AI36, "V")) + COUNTIF(E36:AI36, "✗") + COUNTIF(E36:AI36, "x") + COUNTIF(E36:AI36, "X")), "")))</f>
        <v/>
      </c>
      <c r="AK36" s="131">
        <f>IF(ISBLANK(B36), "", IF(ISNUMBER(D36), IF(D36&gt;0, (COUNTIF(E36:AI36, "✓") + COUNTIF(E36:AI36, "✔") + COUNTIF(E36:AI36, "v") + COUNTIF(E36:AI36, "V")) &amp; "/" &amp; D36, (COUNTIF(E36:AI36, "✓") + COUNTIF(E36:AI36, "✔") + COUNTIF(E36:AI36, "v") + COUNTIF(E36:AI36, "V")) &amp; "/0"), IF(((COUNTIF(E36:AI36, "✓") + COUNTIF(E36:AI36, "✔") + COUNTIF(E36:AI36, "v") + COUNTIF(E36:AI36, "V")) + COUNTIF(E36:AI36, "✗") + COUNTIF(E36:AI36, "x") + COUNTIF(E36:AI36, "X"))&gt;0, (COUNTIF(E36:AI36, "✓") + COUNTIF(E36:AI36, "✔") + COUNTIF(E36:AI36, "v") + COUNTIF(E36:AI36, "V")) &amp; "/" &amp; ((COUNTIF(E36:AI36, "✓") + COUNTIF(E36:AI36, "✔") + COUNTIF(E36:AI36, "v") + COUNTIF(E36:AI36, "V")) + COUNTIF(E36:AI36, "✗") + COUNTIF(E36:AI36, "x") + COUNTIF(E36:AI36, "X")), "")))</f>
        <v/>
      </c>
      <c r="AL36" s="131">
        <f>IF(ISBLANK(B36), "", IF(AJ36&gt;=0.85, "🔥 Mastered", IF(AJ36&gt;=0.7, "⚡ Consistent", "⚠️ Needs Focus")))</f>
        <v/>
      </c>
      <c r="AM36">
        <f>COUNTIF(E36:AI36, "✓")</f>
        <v/>
      </c>
    </row>
    <row r="37" ht="14.5" customHeight="1">
      <c r="A37" s="125" t="n">
        <v>20</v>
      </c>
      <c r="B37" s="126" t="n"/>
      <c r="C37" s="127" t="n"/>
      <c r="D37" s="127" t="n"/>
      <c r="E37" s="128" t="n"/>
      <c r="F37" s="129" t="n"/>
      <c r="G37" s="128" t="n"/>
      <c r="H37" s="128" t="n"/>
      <c r="I37" s="128" t="n"/>
      <c r="J37" s="128" t="n"/>
      <c r="K37" s="128" t="n"/>
      <c r="L37" s="128" t="n"/>
      <c r="M37" s="129" t="n"/>
      <c r="N37" s="128" t="n"/>
      <c r="O37" s="128" t="n"/>
      <c r="P37" s="128" t="n"/>
      <c r="Q37" s="128" t="n"/>
      <c r="R37" s="128" t="n"/>
      <c r="S37" s="128" t="n"/>
      <c r="T37" s="129" t="n"/>
      <c r="U37" s="128" t="n"/>
      <c r="V37" s="128" t="n"/>
      <c r="W37" s="128" t="n"/>
      <c r="X37" s="128" t="n"/>
      <c r="Y37" s="128" t="n"/>
      <c r="Z37" s="128" t="n"/>
      <c r="AA37" s="129" t="n"/>
      <c r="AB37" s="128" t="n"/>
      <c r="AC37" s="128" t="n"/>
      <c r="AD37" s="128" t="n"/>
      <c r="AE37" s="128" t="n"/>
      <c r="AF37" s="128" t="n"/>
      <c r="AG37" s="128" t="n"/>
      <c r="AH37" s="129" t="n"/>
      <c r="AI37" s="128" t="n"/>
      <c r="AJ37" s="130">
        <f>IF(ISBLANK(B37), "", IF(ISNUMBER(D37), IF(D37&gt;0, (COUNTIF(E37:AI37, "✓") + COUNTIF(E37:AI37, "✔") + COUNTIF(E37:AI37, "v") + COUNTIF(E37:AI37, "V"))/D37, 0), IF(((COUNTIF(E37:AI37, "✓") + COUNTIF(E37:AI37, "✔") + COUNTIF(E37:AI37, "v") + COUNTIF(E37:AI37, "V")) + COUNTIF(E37:AI37, "✗") + COUNTIF(E37:AI37, "x") + COUNTIF(E37:AI37, "X"))&gt;0, (COUNTIF(E37:AI37, "✓") + COUNTIF(E37:AI37, "✔") + COUNTIF(E37:AI37, "v") + COUNTIF(E37:AI37, "V"))/((COUNTIF(E37:AI37, "✓") + COUNTIF(E37:AI37, "✔") + COUNTIF(E37:AI37, "v") + COUNTIF(E37:AI37, "V")) + COUNTIF(E37:AI37, "✗") + COUNTIF(E37:AI37, "x") + COUNTIF(E37:AI37, "X")), "")))</f>
        <v/>
      </c>
      <c r="AK37" s="131">
        <f>IF(ISBLANK(B37), "", IF(ISNUMBER(D37), IF(D37&gt;0, (COUNTIF(E37:AI37, "✓") + COUNTIF(E37:AI37, "✔") + COUNTIF(E37:AI37, "v") + COUNTIF(E37:AI37, "V")) &amp; "/" &amp; D37, (COUNTIF(E37:AI37, "✓") + COUNTIF(E37:AI37, "✔") + COUNTIF(E37:AI37, "v") + COUNTIF(E37:AI37, "V")) &amp; "/0"), IF(((COUNTIF(E37:AI37, "✓") + COUNTIF(E37:AI37, "✔") + COUNTIF(E37:AI37, "v") + COUNTIF(E37:AI37, "V")) + COUNTIF(E37:AI37, "✗") + COUNTIF(E37:AI37, "x") + COUNTIF(E37:AI37, "X"))&gt;0, (COUNTIF(E37:AI37, "✓") + COUNTIF(E37:AI37, "✔") + COUNTIF(E37:AI37, "v") + COUNTIF(E37:AI37, "V")) &amp; "/" &amp; ((COUNTIF(E37:AI37, "✓") + COUNTIF(E37:AI37, "✔") + COUNTIF(E37:AI37, "v") + COUNTIF(E37:AI37, "V")) + COUNTIF(E37:AI37, "✗") + COUNTIF(E37:AI37, "x") + COUNTIF(E37:AI37, "X")), "")))</f>
        <v/>
      </c>
      <c r="AL37" s="131">
        <f>IF(ISBLANK(B37), "", IF(AJ37&gt;=0.85, "🔥 Mastered", IF(AJ37&gt;=0.7, "⚡ Consistent", "⚠️ Needs Focus")))</f>
        <v/>
      </c>
      <c r="AM37">
        <f>COUNTIF(E37:AI37, "✓")</f>
        <v/>
      </c>
    </row>
    <row r="38" ht="18" customHeight="1">
      <c r="A38" s="132" t="inlineStr">
        <is>
          <t>DAILY TOTAL SCORE</t>
        </is>
      </c>
      <c r="B38" s="54" t="n"/>
      <c r="C38" s="54" t="n"/>
      <c r="D38" s="54" t="n"/>
      <c r="E38" s="33">
        <f>IF(((COUNTIF(E18:E37, "✓") + COUNTIF(E18:E37, "✔") + COUNTIF(E18:E37, "v") + COUNTIF(E18:E37, "V")) + COUNTIF(E18:E37, "✗") + COUNTIF(E18:E37, "x") + COUNTIF(E18:E37, "X")) &gt; 0, (COUNTIF(E18:E37, "✓") + COUNTIF(E18:E37, "✔") + COUNTIF(E18:E37, "v") + COUNTIF(E18:E37, "V")) &amp; "/" &amp; ((COUNTIF(E18:E37, "✓") + COUNTIF(E18:E37, "✔") + COUNTIF(E18:E37, "v") + COUNTIF(E18:E37, "V")) + COUNTIF(E18:E37, "✗") + COUNTIF(E18:E37, "x") + COUNTIF(E18:E37, "X")), "")</f>
        <v/>
      </c>
      <c r="F38" s="33">
        <f>IF(((COUNTIF(F18:F37, "✓") + COUNTIF(F18:F37, "✔") + COUNTIF(F18:F37, "v") + COUNTIF(F18:F37, "V")) + COUNTIF(F18:F37, "✗") + COUNTIF(F18:F37, "x") + COUNTIF(F18:F37, "X")) &gt; 0, (COUNTIF(F18:F37, "✓") + COUNTIF(F18:F37, "✔") + COUNTIF(F18:F37, "v") + COUNTIF(F18:F37, "V")) &amp; "/" &amp; ((COUNTIF(F18:F37, "✓") + COUNTIF(F18:F37, "✔") + COUNTIF(F18:F37, "v") + COUNTIF(F18:F37, "V")) + COUNTIF(F18:F37, "✗") + COUNTIF(F18:F37, "x") + COUNTIF(F18:F37, "X")), "")</f>
        <v/>
      </c>
      <c r="G38" s="33">
        <f>IF(((COUNTIF(G18:G37, "✓") + COUNTIF(G18:G37, "✔") + COUNTIF(G18:G37, "v") + COUNTIF(G18:G37, "V")) + COUNTIF(G18:G37, "✗") + COUNTIF(G18:G37, "x") + COUNTIF(G18:G37, "X")) &gt; 0, (COUNTIF(G18:G37, "✓") + COUNTIF(G18:G37, "✔") + COUNTIF(G18:G37, "v") + COUNTIF(G18:G37, "V")) &amp; "/" &amp; ((COUNTIF(G18:G37, "✓") + COUNTIF(G18:G37, "✔") + COUNTIF(G18:G37, "v") + COUNTIF(G18:G37, "V")) + COUNTIF(G18:G37, "✗") + COUNTIF(G18:G37, "x") + COUNTIF(G18:G37, "X")), "")</f>
        <v/>
      </c>
      <c r="H38" s="33">
        <f>IF(((COUNTIF(H18:H37, "✓") + COUNTIF(H18:H37, "✔") + COUNTIF(H18:H37, "v") + COUNTIF(H18:H37, "V")) + COUNTIF(H18:H37, "✗") + COUNTIF(H18:H37, "x") + COUNTIF(H18:H37, "X")) &gt; 0, (COUNTIF(H18:H37, "✓") + COUNTIF(H18:H37, "✔") + COUNTIF(H18:H37, "v") + COUNTIF(H18:H37, "V")) &amp; "/" &amp; ((COUNTIF(H18:H37, "✓") + COUNTIF(H18:H37, "✔") + COUNTIF(H18:H37, "v") + COUNTIF(H18:H37, "V")) + COUNTIF(H18:H37, "✗") + COUNTIF(H18:H37, "x") + COUNTIF(H18:H37, "X")), "")</f>
        <v/>
      </c>
      <c r="I38" s="33">
        <f>IF(((COUNTIF(I18:I37, "✓") + COUNTIF(I18:I37, "✔") + COUNTIF(I18:I37, "v") + COUNTIF(I18:I37, "V")) + COUNTIF(I18:I37, "✗") + COUNTIF(I18:I37, "x") + COUNTIF(I18:I37, "X")) &gt; 0, (COUNTIF(I18:I37, "✓") + COUNTIF(I18:I37, "✔") + COUNTIF(I18:I37, "v") + COUNTIF(I18:I37, "V")) &amp; "/" &amp; ((COUNTIF(I18:I37, "✓") + COUNTIF(I18:I37, "✔") + COUNTIF(I18:I37, "v") + COUNTIF(I18:I37, "V")) + COUNTIF(I18:I37, "✗") + COUNTIF(I18:I37, "x") + COUNTIF(I18:I37, "X")), "")</f>
        <v/>
      </c>
      <c r="J38" s="33">
        <f>IF(((COUNTIF(J18:J37, "✓") + COUNTIF(J18:J37, "✔") + COUNTIF(J18:J37, "v") + COUNTIF(J18:J37, "V")) + COUNTIF(J18:J37, "✗") + COUNTIF(J18:J37, "x") + COUNTIF(J18:J37, "X")) &gt; 0, (COUNTIF(J18:J37, "✓") + COUNTIF(J18:J37, "✔") + COUNTIF(J18:J37, "v") + COUNTIF(J18:J37, "V")) &amp; "/" &amp; ((COUNTIF(J18:J37, "✓") + COUNTIF(J18:J37, "✔") + COUNTIF(J18:J37, "v") + COUNTIF(J18:J37, "V")) + COUNTIF(J18:J37, "✗") + COUNTIF(J18:J37, "x") + COUNTIF(J18:J37, "X")), "")</f>
        <v/>
      </c>
      <c r="K38" s="33">
        <f>IF(((COUNTIF(K18:K37, "✓") + COUNTIF(K18:K37, "✔") + COUNTIF(K18:K37, "v") + COUNTIF(K18:K37, "V")) + COUNTIF(K18:K37, "✗") + COUNTIF(K18:K37, "x") + COUNTIF(K18:K37, "X")) &gt; 0, (COUNTIF(K18:K37, "✓") + COUNTIF(K18:K37, "✔") + COUNTIF(K18:K37, "v") + COUNTIF(K18:K37, "V")) &amp; "/" &amp; ((COUNTIF(K18:K37, "✓") + COUNTIF(K18:K37, "✔") + COUNTIF(K18:K37, "v") + COUNTIF(K18:K37, "V")) + COUNTIF(K18:K37, "✗") + COUNTIF(K18:K37, "x") + COUNTIF(K18:K37, "X")), "")</f>
        <v/>
      </c>
      <c r="L38" s="33">
        <f>IF(((COUNTIF(L18:L37, "✓") + COUNTIF(L18:L37, "✔") + COUNTIF(L18:L37, "v") + COUNTIF(L18:L37, "V")) + COUNTIF(L18:L37, "✗") + COUNTIF(L18:L37, "x") + COUNTIF(L18:L37, "X")) &gt; 0, (COUNTIF(L18:L37, "✓") + COUNTIF(L18:L37, "✔") + COUNTIF(L18:L37, "v") + COUNTIF(L18:L37, "V")) &amp; "/" &amp; ((COUNTIF(L18:L37, "✓") + COUNTIF(L18:L37, "✔") + COUNTIF(L18:L37, "v") + COUNTIF(L18:L37, "V")) + COUNTIF(L18:L37, "✗") + COUNTIF(L18:L37, "x") + COUNTIF(L18:L37, "X")), "")</f>
        <v/>
      </c>
      <c r="M38" s="33">
        <f>IF(((COUNTIF(M18:M37, "✓") + COUNTIF(M18:M37, "✔") + COUNTIF(M18:M37, "v") + COUNTIF(M18:M37, "V")) + COUNTIF(M18:M37, "✗") + COUNTIF(M18:M37, "x") + COUNTIF(M18:M37, "X")) &gt; 0, (COUNTIF(M18:M37, "✓") + COUNTIF(M18:M37, "✔") + COUNTIF(M18:M37, "v") + COUNTIF(M18:M37, "V")) &amp; "/" &amp; ((COUNTIF(M18:M37, "✓") + COUNTIF(M18:M37, "✔") + COUNTIF(M18:M37, "v") + COUNTIF(M18:M37, "V")) + COUNTIF(M18:M37, "✗") + COUNTIF(M18:M37, "x") + COUNTIF(M18:M37, "X")), "")</f>
        <v/>
      </c>
      <c r="N38" s="33">
        <f>IF(((COUNTIF(N18:N37, "✓") + COUNTIF(N18:N37, "✔") + COUNTIF(N18:N37, "v") + COUNTIF(N18:N37, "V")) + COUNTIF(N18:N37, "✗") + COUNTIF(N18:N37, "x") + COUNTIF(N18:N37, "X")) &gt; 0, (COUNTIF(N18:N37, "✓") + COUNTIF(N18:N37, "✔") + COUNTIF(N18:N37, "v") + COUNTIF(N18:N37, "V")) &amp; "/" &amp; ((COUNTIF(N18:N37, "✓") + COUNTIF(N18:N37, "✔") + COUNTIF(N18:N37, "v") + COUNTIF(N18:N37, "V")) + COUNTIF(N18:N37, "✗") + COUNTIF(N18:N37, "x") + COUNTIF(N18:N37, "X")), "")</f>
        <v/>
      </c>
      <c r="O38" s="33">
        <f>IF(((COUNTIF(O18:O37, "✓") + COUNTIF(O18:O37, "✔") + COUNTIF(O18:O37, "v") + COUNTIF(O18:O37, "V")) + COUNTIF(O18:O37, "✗") + COUNTIF(O18:O37, "x") + COUNTIF(O18:O37, "X")) &gt; 0, (COUNTIF(O18:O37, "✓") + COUNTIF(O18:O37, "✔") + COUNTIF(O18:O37, "v") + COUNTIF(O18:O37, "V")) &amp; "/" &amp; ((COUNTIF(O18:O37, "✓") + COUNTIF(O18:O37, "✔") + COUNTIF(O18:O37, "v") + COUNTIF(O18:O37, "V")) + COUNTIF(O18:O37, "✗") + COUNTIF(O18:O37, "x") + COUNTIF(O18:O37, "X")), "")</f>
        <v/>
      </c>
      <c r="P38" s="33">
        <f>IF(((COUNTIF(P18:P37, "✓") + COUNTIF(P18:P37, "✔") + COUNTIF(P18:P37, "v") + COUNTIF(P18:P37, "V")) + COUNTIF(P18:P37, "✗") + COUNTIF(P18:P37, "x") + COUNTIF(P18:P37, "X")) &gt; 0, (COUNTIF(P18:P37, "✓") + COUNTIF(P18:P37, "✔") + COUNTIF(P18:P37, "v") + COUNTIF(P18:P37, "V")) &amp; "/" &amp; ((COUNTIF(P18:P37, "✓") + COUNTIF(P18:P37, "✔") + COUNTIF(P18:P37, "v") + COUNTIF(P18:P37, "V")) + COUNTIF(P18:P37, "✗") + COUNTIF(P18:P37, "x") + COUNTIF(P18:P37, "X")), "")</f>
        <v/>
      </c>
      <c r="Q38" s="33">
        <f>IF(((COUNTIF(Q18:Q37, "✓") + COUNTIF(Q18:Q37, "✔") + COUNTIF(Q18:Q37, "v") + COUNTIF(Q18:Q37, "V")) + COUNTIF(Q18:Q37, "✗") + COUNTIF(Q18:Q37, "x") + COUNTIF(Q18:Q37, "X")) &gt; 0, (COUNTIF(Q18:Q37, "✓") + COUNTIF(Q18:Q37, "✔") + COUNTIF(Q18:Q37, "v") + COUNTIF(Q18:Q37, "V")) &amp; "/" &amp; ((COUNTIF(Q18:Q37, "✓") + COUNTIF(Q18:Q37, "✔") + COUNTIF(Q18:Q37, "v") + COUNTIF(Q18:Q37, "V")) + COUNTIF(Q18:Q37, "✗") + COUNTIF(Q18:Q37, "x") + COUNTIF(Q18:Q37, "X")), "")</f>
        <v/>
      </c>
      <c r="R38" s="33">
        <f>IF(((COUNTIF(R18:R37, "✓") + COUNTIF(R18:R37, "✔") + COUNTIF(R18:R37, "v") + COUNTIF(R18:R37, "V")) + COUNTIF(R18:R37, "✗") + COUNTIF(R18:R37, "x") + COUNTIF(R18:R37, "X")) &gt; 0, (COUNTIF(R18:R37, "✓") + COUNTIF(R18:R37, "✔") + COUNTIF(R18:R37, "v") + COUNTIF(R18:R37, "V")) &amp; "/" &amp; ((COUNTIF(R18:R37, "✓") + COUNTIF(R18:R37, "✔") + COUNTIF(R18:R37, "v") + COUNTIF(R18:R37, "V")) + COUNTIF(R18:R37, "✗") + COUNTIF(R18:R37, "x") + COUNTIF(R18:R37, "X")), "")</f>
        <v/>
      </c>
      <c r="S38" s="33">
        <f>IF(((COUNTIF(S18:S37, "✓") + COUNTIF(S18:S37, "✔") + COUNTIF(S18:S37, "v") + COUNTIF(S18:S37, "V")) + COUNTIF(S18:S37, "✗") + COUNTIF(S18:S37, "x") + COUNTIF(S18:S37, "X")) &gt; 0, (COUNTIF(S18:S37, "✓") + COUNTIF(S18:S37, "✔") + COUNTIF(S18:S37, "v") + COUNTIF(S18:S37, "V")) &amp; "/" &amp; ((COUNTIF(S18:S37, "✓") + COUNTIF(S18:S37, "✔") + COUNTIF(S18:S37, "v") + COUNTIF(S18:S37, "V")) + COUNTIF(S18:S37, "✗") + COUNTIF(S18:S37, "x") + COUNTIF(S18:S37, "X")), "")</f>
        <v/>
      </c>
      <c r="T38" s="33">
        <f>IF(((COUNTIF(T18:T37, "✓") + COUNTIF(T18:T37, "✔") + COUNTIF(T18:T37, "v") + COUNTIF(T18:T37, "V")) + COUNTIF(T18:T37, "✗") + COUNTIF(T18:T37, "x") + COUNTIF(T18:T37, "X")) &gt; 0, (COUNTIF(T18:T37, "✓") + COUNTIF(T18:T37, "✔") + COUNTIF(T18:T37, "v") + COUNTIF(T18:T37, "V")) &amp; "/" &amp; ((COUNTIF(T18:T37, "✓") + COUNTIF(T18:T37, "✔") + COUNTIF(T18:T37, "v") + COUNTIF(T18:T37, "V")) + COUNTIF(T18:T37, "✗") + COUNTIF(T18:T37, "x") + COUNTIF(T18:T37, "X")), "")</f>
        <v/>
      </c>
      <c r="U38" s="33">
        <f>IF(((COUNTIF(U18:U37, "✓") + COUNTIF(U18:U37, "✔") + COUNTIF(U18:U37, "v") + COUNTIF(U18:U37, "V")) + COUNTIF(U18:U37, "✗") + COUNTIF(U18:U37, "x") + COUNTIF(U18:U37, "X")) &gt; 0, (COUNTIF(U18:U37, "✓") + COUNTIF(U18:U37, "✔") + COUNTIF(U18:U37, "v") + COUNTIF(U18:U37, "V")) &amp; "/" &amp; ((COUNTIF(U18:U37, "✓") + COUNTIF(U18:U37, "✔") + COUNTIF(U18:U37, "v") + COUNTIF(U18:U37, "V")) + COUNTIF(U18:U37, "✗") + COUNTIF(U18:U37, "x") + COUNTIF(U18:U37, "X")), "")</f>
        <v/>
      </c>
      <c r="V38" s="33">
        <f>IF(((COUNTIF(V18:V37, "✓") + COUNTIF(V18:V37, "✔") + COUNTIF(V18:V37, "v") + COUNTIF(V18:V37, "V")) + COUNTIF(V18:V37, "✗") + COUNTIF(V18:V37, "x") + COUNTIF(V18:V37, "X")) &gt; 0, (COUNTIF(V18:V37, "✓") + COUNTIF(V18:V37, "✔") + COUNTIF(V18:V37, "v") + COUNTIF(V18:V37, "V")) &amp; "/" &amp; ((COUNTIF(V18:V37, "✓") + COUNTIF(V18:V37, "✔") + COUNTIF(V18:V37, "v") + COUNTIF(V18:V37, "V")) + COUNTIF(V18:V37, "✗") + COUNTIF(V18:V37, "x") + COUNTIF(V18:V37, "X")), "")</f>
        <v/>
      </c>
      <c r="W38" s="33">
        <f>IF(((COUNTIF(W18:W37, "✓") + COUNTIF(W18:W37, "✔") + COUNTIF(W18:W37, "v") + COUNTIF(W18:W37, "V")) + COUNTIF(W18:W37, "✗") + COUNTIF(W18:W37, "x") + COUNTIF(W18:W37, "X")) &gt; 0, (COUNTIF(W18:W37, "✓") + COUNTIF(W18:W37, "✔") + COUNTIF(W18:W37, "v") + COUNTIF(W18:W37, "V")) &amp; "/" &amp; ((COUNTIF(W18:W37, "✓") + COUNTIF(W18:W37, "✔") + COUNTIF(W18:W37, "v") + COUNTIF(W18:W37, "V")) + COUNTIF(W18:W37, "✗") + COUNTIF(W18:W37, "x") + COUNTIF(W18:W37, "X")), "")</f>
        <v/>
      </c>
      <c r="X38" s="33">
        <f>IF(((COUNTIF(X18:X37, "✓") + COUNTIF(X18:X37, "✔") + COUNTIF(X18:X37, "v") + COUNTIF(X18:X37, "V")) + COUNTIF(X18:X37, "✗") + COUNTIF(X18:X37, "x") + COUNTIF(X18:X37, "X")) &gt; 0, (COUNTIF(X18:X37, "✓") + COUNTIF(X18:X37, "✔") + COUNTIF(X18:X37, "v") + COUNTIF(X18:X37, "V")) &amp; "/" &amp; ((COUNTIF(X18:X37, "✓") + COUNTIF(X18:X37, "✔") + COUNTIF(X18:X37, "v") + COUNTIF(X18:X37, "V")) + COUNTIF(X18:X37, "✗") + COUNTIF(X18:X37, "x") + COUNTIF(X18:X37, "X")), "")</f>
        <v/>
      </c>
      <c r="Y38" s="33">
        <f>IF(((COUNTIF(Y18:Y37, "✓") + COUNTIF(Y18:Y37, "✔") + COUNTIF(Y18:Y37, "v") + COUNTIF(Y18:Y37, "V")) + COUNTIF(Y18:Y37, "✗") + COUNTIF(Y18:Y37, "x") + COUNTIF(Y18:Y37, "X")) &gt; 0, (COUNTIF(Y18:Y37, "✓") + COUNTIF(Y18:Y37, "✔") + COUNTIF(Y18:Y37, "v") + COUNTIF(Y18:Y37, "V")) &amp; "/" &amp; ((COUNTIF(Y18:Y37, "✓") + COUNTIF(Y18:Y37, "✔") + COUNTIF(Y18:Y37, "v") + COUNTIF(Y18:Y37, "V")) + COUNTIF(Y18:Y37, "✗") + COUNTIF(Y18:Y37, "x") + COUNTIF(Y18:Y37, "X")), "")</f>
        <v/>
      </c>
      <c r="Z38" s="33">
        <f>IF(((COUNTIF(Z18:Z37, "✓") + COUNTIF(Z18:Z37, "✔") + COUNTIF(Z18:Z37, "v") + COUNTIF(Z18:Z37, "V")) + COUNTIF(Z18:Z37, "✗") + COUNTIF(Z18:Z37, "x") + COUNTIF(Z18:Z37, "X")) &gt; 0, (COUNTIF(Z18:Z37, "✓") + COUNTIF(Z18:Z37, "✔") + COUNTIF(Z18:Z37, "v") + COUNTIF(Z18:Z37, "V")) &amp; "/" &amp; ((COUNTIF(Z18:Z37, "✓") + COUNTIF(Z18:Z37, "✔") + COUNTIF(Z18:Z37, "v") + COUNTIF(Z18:Z37, "V")) + COUNTIF(Z18:Z37, "✗") + COUNTIF(Z18:Z37, "x") + COUNTIF(Z18:Z37, "X")), "")</f>
        <v/>
      </c>
      <c r="AA38" s="33">
        <f>IF(((COUNTIF(AA18:AA37, "✓") + COUNTIF(AA18:AA37, "✔") + COUNTIF(AA18:AA37, "v") + COUNTIF(AA18:AA37, "V")) + COUNTIF(AA18:AA37, "✗") + COUNTIF(AA18:AA37, "x") + COUNTIF(AA18:AA37, "X")) &gt; 0, (COUNTIF(AA18:AA37, "✓") + COUNTIF(AA18:AA37, "✔") + COUNTIF(AA18:AA37, "v") + COUNTIF(AA18:AA37, "V")) &amp; "/" &amp; ((COUNTIF(AA18:AA37, "✓") + COUNTIF(AA18:AA37, "✔") + COUNTIF(AA18:AA37, "v") + COUNTIF(AA18:AA37, "V")) + COUNTIF(AA18:AA37, "✗") + COUNTIF(AA18:AA37, "x") + COUNTIF(AA18:AA37, "X")), "")</f>
        <v/>
      </c>
      <c r="AB38" s="33">
        <f>IF(((COUNTIF(AB18:AB37, "✓") + COUNTIF(AB18:AB37, "✔") + COUNTIF(AB18:AB37, "v") + COUNTIF(AB18:AB37, "V")) + COUNTIF(AB18:AB37, "✗") + COUNTIF(AB18:AB37, "x") + COUNTIF(AB18:AB37, "X")) &gt; 0, (COUNTIF(AB18:AB37, "✓") + COUNTIF(AB18:AB37, "✔") + COUNTIF(AB18:AB37, "v") + COUNTIF(AB18:AB37, "V")) &amp; "/" &amp; ((COUNTIF(AB18:AB37, "✓") + COUNTIF(AB18:AB37, "✔") + COUNTIF(AB18:AB37, "v") + COUNTIF(AB18:AB37, "V")) + COUNTIF(AB18:AB37, "✗") + COUNTIF(AB18:AB37, "x") + COUNTIF(AB18:AB37, "X")), "")</f>
        <v/>
      </c>
      <c r="AC38" s="33">
        <f>IF(((COUNTIF(AC18:AC37, "✓") + COUNTIF(AC18:AC37, "✔") + COUNTIF(AC18:AC37, "v") + COUNTIF(AC18:AC37, "V")) + COUNTIF(AC18:AC37, "✗") + COUNTIF(AC18:AC37, "x") + COUNTIF(AC18:AC37, "X")) &gt; 0, (COUNTIF(AC18:AC37, "✓") + COUNTIF(AC18:AC37, "✔") + COUNTIF(AC18:AC37, "v") + COUNTIF(AC18:AC37, "V")) &amp; "/" &amp; ((COUNTIF(AC18:AC37, "✓") + COUNTIF(AC18:AC37, "✔") + COUNTIF(AC18:AC37, "v") + COUNTIF(AC18:AC37, "V")) + COUNTIF(AC18:AC37, "✗") + COUNTIF(AC18:AC37, "x") + COUNTIF(AC18:AC37, "X")), "")</f>
        <v/>
      </c>
      <c r="AD38" s="33">
        <f>IF(((COUNTIF(AD18:AD37, "✓") + COUNTIF(AD18:AD37, "✔") + COUNTIF(AD18:AD37, "v") + COUNTIF(AD18:AD37, "V")) + COUNTIF(AD18:AD37, "✗") + COUNTIF(AD18:AD37, "x") + COUNTIF(AD18:AD37, "X")) &gt; 0, (COUNTIF(AD18:AD37, "✓") + COUNTIF(AD18:AD37, "✔") + COUNTIF(AD18:AD37, "v") + COUNTIF(AD18:AD37, "V")) &amp; "/" &amp; ((COUNTIF(AD18:AD37, "✓") + COUNTIF(AD18:AD37, "✔") + COUNTIF(AD18:AD37, "v") + COUNTIF(AD18:AD37, "V")) + COUNTIF(AD18:AD37, "✗") + COUNTIF(AD18:AD37, "x") + COUNTIF(AD18:AD37, "X")), "")</f>
        <v/>
      </c>
      <c r="AE38" s="33">
        <f>IF(((COUNTIF(AE18:AE37, "✓") + COUNTIF(AE18:AE37, "✔") + COUNTIF(AE18:AE37, "v") + COUNTIF(AE18:AE37, "V")) + COUNTIF(AE18:AE37, "✗") + COUNTIF(AE18:AE37, "x") + COUNTIF(AE18:AE37, "X")) &gt; 0, (COUNTIF(AE18:AE37, "✓") + COUNTIF(AE18:AE37, "✔") + COUNTIF(AE18:AE37, "v") + COUNTIF(AE18:AE37, "V")) &amp; "/" &amp; ((COUNTIF(AE18:AE37, "✓") + COUNTIF(AE18:AE37, "✔") + COUNTIF(AE18:AE37, "v") + COUNTIF(AE18:AE37, "V")) + COUNTIF(AE18:AE37, "✗") + COUNTIF(AE18:AE37, "x") + COUNTIF(AE18:AE37, "X")), "")</f>
        <v/>
      </c>
      <c r="AF38" s="33">
        <f>IF(((COUNTIF(AF18:AF37, "✓") + COUNTIF(AF18:AF37, "✔") + COUNTIF(AF18:AF37, "v") + COUNTIF(AF18:AF37, "V")) + COUNTIF(AF18:AF37, "✗") + COUNTIF(AF18:AF37, "x") + COUNTIF(AF18:AF37, "X")) &gt; 0, (COUNTIF(AF18:AF37, "✓") + COUNTIF(AF18:AF37, "✔") + COUNTIF(AF18:AF37, "v") + COUNTIF(AF18:AF37, "V")) &amp; "/" &amp; ((COUNTIF(AF18:AF37, "✓") + COUNTIF(AF18:AF37, "✔") + COUNTIF(AF18:AF37, "v") + COUNTIF(AF18:AF37, "V")) + COUNTIF(AF18:AF37, "✗") + COUNTIF(AF18:AF37, "x") + COUNTIF(AF18:AF37, "X")), "")</f>
        <v/>
      </c>
      <c r="AG38" s="33">
        <f>IF(((COUNTIF(AG18:AG37, "✓") + COUNTIF(AG18:AG37, "✔") + COUNTIF(AG18:AG37, "v") + COUNTIF(AG18:AG37, "V")) + COUNTIF(AG18:AG37, "✗") + COUNTIF(AG18:AG37, "x") + COUNTIF(AG18:AG37, "X")) &gt; 0, (COUNTIF(AG18:AG37, "✓") + COUNTIF(AG18:AG37, "✔") + COUNTIF(AG18:AG37, "v") + COUNTIF(AG18:AG37, "V")) &amp; "/" &amp; ((COUNTIF(AG18:AG37, "✓") + COUNTIF(AG18:AG37, "✔") + COUNTIF(AG18:AG37, "v") + COUNTIF(AG18:AG37, "V")) + COUNTIF(AG18:AG37, "✗") + COUNTIF(AG18:AG37, "x") + COUNTIF(AG18:AG37, "X")), "")</f>
        <v/>
      </c>
      <c r="AH38" s="33">
        <f>IF(((COUNTIF(AH18:AH37, "✓") + COUNTIF(AH18:AH37, "✔") + COUNTIF(AH18:AH37, "v") + COUNTIF(AH18:AH37, "V")) + COUNTIF(AH18:AH37, "✗") + COUNTIF(AH18:AH37, "x") + COUNTIF(AH18:AH37, "X")) &gt; 0, (COUNTIF(AH18:AH37, "✓") + COUNTIF(AH18:AH37, "✔") + COUNTIF(AH18:AH37, "v") + COUNTIF(AH18:AH37, "V")) &amp; "/" &amp; ((COUNTIF(AH18:AH37, "✓") + COUNTIF(AH18:AH37, "✔") + COUNTIF(AH18:AH37, "v") + COUNTIF(AH18:AH37, "V")) + COUNTIF(AH18:AH37, "✗") + COUNTIF(AH18:AH37, "x") + COUNTIF(AH18:AH37, "X")), "")</f>
        <v/>
      </c>
      <c r="AI38" s="33">
        <f>IF(((COUNTIF(AI18:AI37, "✓") + COUNTIF(AI18:AI37, "✔") + COUNTIF(AI18:AI37, "v") + COUNTIF(AI18:AI37, "V")) + COUNTIF(AI18:AI37, "✗") + COUNTIF(AI18:AI37, "x") + COUNTIF(AI18:AI37, "X")) &gt; 0, (COUNTIF(AI18:AI37, "✓") + COUNTIF(AI18:AI37, "✔") + COUNTIF(AI18:AI37, "v") + COUNTIF(AI18:AI37, "V")) &amp; "/" &amp; ((COUNTIF(AI18:AI37, "✓") + COUNTIF(AI18:AI37, "✔") + COUNTIF(AI18:AI37, "v") + COUNTIF(AI18:AI37, "V")) + COUNTIF(AI18:AI37, "✗") + COUNTIF(AI18:AI37, "x") + COUNTIF(AI18:AI37, "X")), "")</f>
        <v/>
      </c>
      <c r="AJ38" s="133">
        <f>IF(SUM(D18:D37) &gt; 0, SUM(AM18:AM37) / SUM(D18:D37), "")</f>
        <v/>
      </c>
      <c r="AK38" s="33">
        <f>IF(SUM(D18:D37) &gt; 0, SUM(AM18:AM37) &amp; "/" &amp; SUM(D18:D37), "")</f>
        <v/>
      </c>
      <c r="AL38" s="54" t="n"/>
    </row>
    <row r="39" ht="18" customHeight="1">
      <c r="A39" s="132" t="inlineStr">
        <is>
          <t>DAILY SUCCESS %</t>
        </is>
      </c>
      <c r="B39" s="54" t="n"/>
      <c r="C39" s="54" t="n"/>
      <c r="D39" s="54" t="n"/>
      <c r="E39" s="134">
        <f>IF(((COUNTIF(E18:E37, "✓") + COUNTIF(E18:E37, "✔") + COUNTIF(E18:E37, "v") + COUNTIF(E18:E37, "V")) + COUNTIF(E18:E37, "✗") + COUNTIF(E18:E37, "x") + COUNTIF(E18:E37, "X")) &gt; 0, (COUNTIF(E18:E37, "✓") + COUNTIF(E18:E37, "✔") + COUNTIF(E18:E37, "v") + COUNTIF(E18:E37, "V")) / ((COUNTIF(E18:E37, "✓") + COUNTIF(E18:E37, "✔") + COUNTIF(E18:E37, "v") + COUNTIF(E18:E37, "V")) + COUNTIF(E18:E37, "✗") + COUNTIF(E18:E37, "x") + COUNTIF(E18:E37, "X")), "")</f>
        <v/>
      </c>
      <c r="F39" s="134">
        <f>IF(((COUNTIF(F18:F37, "✓") + COUNTIF(F18:F37, "✔") + COUNTIF(F18:F37, "v") + COUNTIF(F18:F37, "V")) + COUNTIF(F18:F37, "✗") + COUNTIF(F18:F37, "x") + COUNTIF(F18:F37, "X")) &gt; 0, (COUNTIF(F18:F37, "✓") + COUNTIF(F18:F37, "✔") + COUNTIF(F18:F37, "v") + COUNTIF(F18:F37, "V")) / ((COUNTIF(F18:F37, "✓") + COUNTIF(F18:F37, "✔") + COUNTIF(F18:F37, "v") + COUNTIF(F18:F37, "V")) + COUNTIF(F18:F37, "✗") + COUNTIF(F18:F37, "x") + COUNTIF(F18:F37, "X")), "")</f>
        <v/>
      </c>
      <c r="G39" s="134">
        <f>IF(((COUNTIF(G18:G37, "✓") + COUNTIF(G18:G37, "✔") + COUNTIF(G18:G37, "v") + COUNTIF(G18:G37, "V")) + COUNTIF(G18:G37, "✗") + COUNTIF(G18:G37, "x") + COUNTIF(G18:G37, "X")) &gt; 0, (COUNTIF(G18:G37, "✓") + COUNTIF(G18:G37, "✔") + COUNTIF(G18:G37, "v") + COUNTIF(G18:G37, "V")) / ((COUNTIF(G18:G37, "✓") + COUNTIF(G18:G37, "✔") + COUNTIF(G18:G37, "v") + COUNTIF(G18:G37, "V")) + COUNTIF(G18:G37, "✗") + COUNTIF(G18:G37, "x") + COUNTIF(G18:G37, "X")), "")</f>
        <v/>
      </c>
      <c r="H39" s="134">
        <f>IF(((COUNTIF(H18:H37, "✓") + COUNTIF(H18:H37, "✔") + COUNTIF(H18:H37, "v") + COUNTIF(H18:H37, "V")) + COUNTIF(H18:H37, "✗") + COUNTIF(H18:H37, "x") + COUNTIF(H18:H37, "X")) &gt; 0, (COUNTIF(H18:H37, "✓") + COUNTIF(H18:H37, "✔") + COUNTIF(H18:H37, "v") + COUNTIF(H18:H37, "V")) / ((COUNTIF(H18:H37, "✓") + COUNTIF(H18:H37, "✔") + COUNTIF(H18:H37, "v") + COUNTIF(H18:H37, "V")) + COUNTIF(H18:H37, "✗") + COUNTIF(H18:H37, "x") + COUNTIF(H18:H37, "X")), "")</f>
        <v/>
      </c>
      <c r="I39" s="134">
        <f>IF(((COUNTIF(I18:I37, "✓") + COUNTIF(I18:I37, "✔") + COUNTIF(I18:I37, "v") + COUNTIF(I18:I37, "V")) + COUNTIF(I18:I37, "✗") + COUNTIF(I18:I37, "x") + COUNTIF(I18:I37, "X")) &gt; 0, (COUNTIF(I18:I37, "✓") + COUNTIF(I18:I37, "✔") + COUNTIF(I18:I37, "v") + COUNTIF(I18:I37, "V")) / ((COUNTIF(I18:I37, "✓") + COUNTIF(I18:I37, "✔") + COUNTIF(I18:I37, "v") + COUNTIF(I18:I37, "V")) + COUNTIF(I18:I37, "✗") + COUNTIF(I18:I37, "x") + COUNTIF(I18:I37, "X")), "")</f>
        <v/>
      </c>
      <c r="J39" s="134">
        <f>IF(((COUNTIF(J18:J37, "✓") + COUNTIF(J18:J37, "✔") + COUNTIF(J18:J37, "v") + COUNTIF(J18:J37, "V")) + COUNTIF(J18:J37, "✗") + COUNTIF(J18:J37, "x") + COUNTIF(J18:J37, "X")) &gt; 0, (COUNTIF(J18:J37, "✓") + COUNTIF(J18:J37, "✔") + COUNTIF(J18:J37, "v") + COUNTIF(J18:J37, "V")) / ((COUNTIF(J18:J37, "✓") + COUNTIF(J18:J37, "✔") + COUNTIF(J18:J37, "v") + COUNTIF(J18:J37, "V")) + COUNTIF(J18:J37, "✗") + COUNTIF(J18:J37, "x") + COUNTIF(J18:J37, "X")), "")</f>
        <v/>
      </c>
      <c r="K39" s="134">
        <f>IF(((COUNTIF(K18:K37, "✓") + COUNTIF(K18:K37, "✔") + COUNTIF(K18:K37, "v") + COUNTIF(K18:K37, "V")) + COUNTIF(K18:K37, "✗") + COUNTIF(K18:K37, "x") + COUNTIF(K18:K37, "X")) &gt; 0, (COUNTIF(K18:K37, "✓") + COUNTIF(K18:K37, "✔") + COUNTIF(K18:K37, "v") + COUNTIF(K18:K37, "V")) / ((COUNTIF(K18:K37, "✓") + COUNTIF(K18:K37, "✔") + COUNTIF(K18:K37, "v") + COUNTIF(K18:K37, "V")) + COUNTIF(K18:K37, "✗") + COUNTIF(K18:K37, "x") + COUNTIF(K18:K37, "X")), "")</f>
        <v/>
      </c>
      <c r="L39" s="134">
        <f>IF(((COUNTIF(L18:L37, "✓") + COUNTIF(L18:L37, "✔") + COUNTIF(L18:L37, "v") + COUNTIF(L18:L37, "V")) + COUNTIF(L18:L37, "✗") + COUNTIF(L18:L37, "x") + COUNTIF(L18:L37, "X")) &gt; 0, (COUNTIF(L18:L37, "✓") + COUNTIF(L18:L37, "✔") + COUNTIF(L18:L37, "v") + COUNTIF(L18:L37, "V")) / ((COUNTIF(L18:L37, "✓") + COUNTIF(L18:L37, "✔") + COUNTIF(L18:L37, "v") + COUNTIF(L18:L37, "V")) + COUNTIF(L18:L37, "✗") + COUNTIF(L18:L37, "x") + COUNTIF(L18:L37, "X")), "")</f>
        <v/>
      </c>
      <c r="M39" s="134">
        <f>IF(((COUNTIF(M18:M37, "✓") + COUNTIF(M18:M37, "✔") + COUNTIF(M18:M37, "v") + COUNTIF(M18:M37, "V")) + COUNTIF(M18:M37, "✗") + COUNTIF(M18:M37, "x") + COUNTIF(M18:M37, "X")) &gt; 0, (COUNTIF(M18:M37, "✓") + COUNTIF(M18:M37, "✔") + COUNTIF(M18:M37, "v") + COUNTIF(M18:M37, "V")) / ((COUNTIF(M18:M37, "✓") + COUNTIF(M18:M37, "✔") + COUNTIF(M18:M37, "v") + COUNTIF(M18:M37, "V")) + COUNTIF(M18:M37, "✗") + COUNTIF(M18:M37, "x") + COUNTIF(M18:M37, "X")), "")</f>
        <v/>
      </c>
      <c r="N39" s="134">
        <f>IF(((COUNTIF(N18:N37, "✓") + COUNTIF(N18:N37, "✔") + COUNTIF(N18:N37, "v") + COUNTIF(N18:N37, "V")) + COUNTIF(N18:N37, "✗") + COUNTIF(N18:N37, "x") + COUNTIF(N18:N37, "X")) &gt; 0, (COUNTIF(N18:N37, "✓") + COUNTIF(N18:N37, "✔") + COUNTIF(N18:N37, "v") + COUNTIF(N18:N37, "V")) / ((COUNTIF(N18:N37, "✓") + COUNTIF(N18:N37, "✔") + COUNTIF(N18:N37, "v") + COUNTIF(N18:N37, "V")) + COUNTIF(N18:N37, "✗") + COUNTIF(N18:N37, "x") + COUNTIF(N18:N37, "X")), "")</f>
        <v/>
      </c>
      <c r="O39" s="134">
        <f>IF(((COUNTIF(O18:O37, "✓") + COUNTIF(O18:O37, "✔") + COUNTIF(O18:O37, "v") + COUNTIF(O18:O37, "V")) + COUNTIF(O18:O37, "✗") + COUNTIF(O18:O37, "x") + COUNTIF(O18:O37, "X")) &gt; 0, (COUNTIF(O18:O37, "✓") + COUNTIF(O18:O37, "✔") + COUNTIF(O18:O37, "v") + COUNTIF(O18:O37, "V")) / ((COUNTIF(O18:O37, "✓") + COUNTIF(O18:O37, "✔") + COUNTIF(O18:O37, "v") + COUNTIF(O18:O37, "V")) + COUNTIF(O18:O37, "✗") + COUNTIF(O18:O37, "x") + COUNTIF(O18:O37, "X")), "")</f>
        <v/>
      </c>
      <c r="P39" s="134">
        <f>IF(((COUNTIF(P18:P37, "✓") + COUNTIF(P18:P37, "✔") + COUNTIF(P18:P37, "v") + COUNTIF(P18:P37, "V")) + COUNTIF(P18:P37, "✗") + COUNTIF(P18:P37, "x") + COUNTIF(P18:P37, "X")) &gt; 0, (COUNTIF(P18:P37, "✓") + COUNTIF(P18:P37, "✔") + COUNTIF(P18:P37, "v") + COUNTIF(P18:P37, "V")) / ((COUNTIF(P18:P37, "✓") + COUNTIF(P18:P37, "✔") + COUNTIF(P18:P37, "v") + COUNTIF(P18:P37, "V")) + COUNTIF(P18:P37, "✗") + COUNTIF(P18:P37, "x") + COUNTIF(P18:P37, "X")), "")</f>
        <v/>
      </c>
      <c r="Q39" s="134">
        <f>IF(((COUNTIF(Q18:Q37, "✓") + COUNTIF(Q18:Q37, "✔") + COUNTIF(Q18:Q37, "v") + COUNTIF(Q18:Q37, "V")) + COUNTIF(Q18:Q37, "✗") + COUNTIF(Q18:Q37, "x") + COUNTIF(Q18:Q37, "X")) &gt; 0, (COUNTIF(Q18:Q37, "✓") + COUNTIF(Q18:Q37, "✔") + COUNTIF(Q18:Q37, "v") + COUNTIF(Q18:Q37, "V")) / ((COUNTIF(Q18:Q37, "✓") + COUNTIF(Q18:Q37, "✔") + COUNTIF(Q18:Q37, "v") + COUNTIF(Q18:Q37, "V")) + COUNTIF(Q18:Q37, "✗") + COUNTIF(Q18:Q37, "x") + COUNTIF(Q18:Q37, "X")), "")</f>
        <v/>
      </c>
      <c r="R39" s="134">
        <f>IF(((COUNTIF(R18:R37, "✓") + COUNTIF(R18:R37, "✔") + COUNTIF(R18:R37, "v") + COUNTIF(R18:R37, "V")) + COUNTIF(R18:R37, "✗") + COUNTIF(R18:R37, "x") + COUNTIF(R18:R37, "X")) &gt; 0, (COUNTIF(R18:R37, "✓") + COUNTIF(R18:R37, "✔") + COUNTIF(R18:R37, "v") + COUNTIF(R18:R37, "V")) / ((COUNTIF(R18:R37, "✓") + COUNTIF(R18:R37, "✔") + COUNTIF(R18:R37, "v") + COUNTIF(R18:R37, "V")) + COUNTIF(R18:R37, "✗") + COUNTIF(R18:R37, "x") + COUNTIF(R18:R37, "X")), "")</f>
        <v/>
      </c>
      <c r="S39" s="134">
        <f>IF(((COUNTIF(S18:S37, "✓") + COUNTIF(S18:S37, "✔") + COUNTIF(S18:S37, "v") + COUNTIF(S18:S37, "V")) + COUNTIF(S18:S37, "✗") + COUNTIF(S18:S37, "x") + COUNTIF(S18:S37, "X")) &gt; 0, (COUNTIF(S18:S37, "✓") + COUNTIF(S18:S37, "✔") + COUNTIF(S18:S37, "v") + COUNTIF(S18:S37, "V")) / ((COUNTIF(S18:S37, "✓") + COUNTIF(S18:S37, "✔") + COUNTIF(S18:S37, "v") + COUNTIF(S18:S37, "V")) + COUNTIF(S18:S37, "✗") + COUNTIF(S18:S37, "x") + COUNTIF(S18:S37, "X")), "")</f>
        <v/>
      </c>
      <c r="T39" s="134">
        <f>IF(((COUNTIF(T18:T37, "✓") + COUNTIF(T18:T37, "✔") + COUNTIF(T18:T37, "v") + COUNTIF(T18:T37, "V")) + COUNTIF(T18:T37, "✗") + COUNTIF(T18:T37, "x") + COUNTIF(T18:T37, "X")) &gt; 0, (COUNTIF(T18:T37, "✓") + COUNTIF(T18:T37, "✔") + COUNTIF(T18:T37, "v") + COUNTIF(T18:T37, "V")) / ((COUNTIF(T18:T37, "✓") + COUNTIF(T18:T37, "✔") + COUNTIF(T18:T37, "v") + COUNTIF(T18:T37, "V")) + COUNTIF(T18:T37, "✗") + COUNTIF(T18:T37, "x") + COUNTIF(T18:T37, "X")), "")</f>
        <v/>
      </c>
      <c r="U39" s="134">
        <f>IF(((COUNTIF(U18:U37, "✓") + COUNTIF(U18:U37, "✔") + COUNTIF(U18:U37, "v") + COUNTIF(U18:U37, "V")) + COUNTIF(U18:U37, "✗") + COUNTIF(U18:U37, "x") + COUNTIF(U18:U37, "X")) &gt; 0, (COUNTIF(U18:U37, "✓") + COUNTIF(U18:U37, "✔") + COUNTIF(U18:U37, "v") + COUNTIF(U18:U37, "V")) / ((COUNTIF(U18:U37, "✓") + COUNTIF(U18:U37, "✔") + COUNTIF(U18:U37, "v") + COUNTIF(U18:U37, "V")) + COUNTIF(U18:U37, "✗") + COUNTIF(U18:U37, "x") + COUNTIF(U18:U37, "X")), "")</f>
        <v/>
      </c>
      <c r="V39" s="134">
        <f>IF(((COUNTIF(V18:V37, "✓") + COUNTIF(V18:V37, "✔") + COUNTIF(V18:V37, "v") + COUNTIF(V18:V37, "V")) + COUNTIF(V18:V37, "✗") + COUNTIF(V18:V37, "x") + COUNTIF(V18:V37, "X")) &gt; 0, (COUNTIF(V18:V37, "✓") + COUNTIF(V18:V37, "✔") + COUNTIF(V18:V37, "v") + COUNTIF(V18:V37, "V")) / ((COUNTIF(V18:V37, "✓") + COUNTIF(V18:V37, "✔") + COUNTIF(V18:V37, "v") + COUNTIF(V18:V37, "V")) + COUNTIF(V18:V37, "✗") + COUNTIF(V18:V37, "x") + COUNTIF(V18:V37, "X")), "")</f>
        <v/>
      </c>
      <c r="W39" s="134">
        <f>IF(((COUNTIF(W18:W37, "✓") + COUNTIF(W18:W37, "✔") + COUNTIF(W18:W37, "v") + COUNTIF(W18:W37, "V")) + COUNTIF(W18:W37, "✗") + COUNTIF(W18:W37, "x") + COUNTIF(W18:W37, "X")) &gt; 0, (COUNTIF(W18:W37, "✓") + COUNTIF(W18:W37, "✔") + COUNTIF(W18:W37, "v") + COUNTIF(W18:W37, "V")) / ((COUNTIF(W18:W37, "✓") + COUNTIF(W18:W37, "✔") + COUNTIF(W18:W37, "v") + COUNTIF(W18:W37, "V")) + COUNTIF(W18:W37, "✗") + COUNTIF(W18:W37, "x") + COUNTIF(W18:W37, "X")), "")</f>
        <v/>
      </c>
      <c r="X39" s="134">
        <f>IF(((COUNTIF(X18:X37, "✓") + COUNTIF(X18:X37, "✔") + COUNTIF(X18:X37, "v") + COUNTIF(X18:X37, "V")) + COUNTIF(X18:X37, "✗") + COUNTIF(X18:X37, "x") + COUNTIF(X18:X37, "X")) &gt; 0, (COUNTIF(X18:X37, "✓") + COUNTIF(X18:X37, "✔") + COUNTIF(X18:X37, "v") + COUNTIF(X18:X37, "V")) / ((COUNTIF(X18:X37, "✓") + COUNTIF(X18:X37, "✔") + COUNTIF(X18:X37, "v") + COUNTIF(X18:X37, "V")) + COUNTIF(X18:X37, "✗") + COUNTIF(X18:X37, "x") + COUNTIF(X18:X37, "X")), "")</f>
        <v/>
      </c>
      <c r="Y39" s="134">
        <f>IF(((COUNTIF(Y18:Y37, "✓") + COUNTIF(Y18:Y37, "✔") + COUNTIF(Y18:Y37, "v") + COUNTIF(Y18:Y37, "V")) + COUNTIF(Y18:Y37, "✗") + COUNTIF(Y18:Y37, "x") + COUNTIF(Y18:Y37, "X")) &gt; 0, (COUNTIF(Y18:Y37, "✓") + COUNTIF(Y18:Y37, "✔") + COUNTIF(Y18:Y37, "v") + COUNTIF(Y18:Y37, "V")) / ((COUNTIF(Y18:Y37, "✓") + COUNTIF(Y18:Y37, "✔") + COUNTIF(Y18:Y37, "v") + COUNTIF(Y18:Y37, "V")) + COUNTIF(Y18:Y37, "✗") + COUNTIF(Y18:Y37, "x") + COUNTIF(Y18:Y37, "X")), "")</f>
        <v/>
      </c>
      <c r="Z39" s="134">
        <f>IF(((COUNTIF(Z18:Z37, "✓") + COUNTIF(Z18:Z37, "✔") + COUNTIF(Z18:Z37, "v") + COUNTIF(Z18:Z37, "V")) + COUNTIF(Z18:Z37, "✗") + COUNTIF(Z18:Z37, "x") + COUNTIF(Z18:Z37, "X")) &gt; 0, (COUNTIF(Z18:Z37, "✓") + COUNTIF(Z18:Z37, "✔") + COUNTIF(Z18:Z37, "v") + COUNTIF(Z18:Z37, "V")) / ((COUNTIF(Z18:Z37, "✓") + COUNTIF(Z18:Z37, "✔") + COUNTIF(Z18:Z37, "v") + COUNTIF(Z18:Z37, "V")) + COUNTIF(Z18:Z37, "✗") + COUNTIF(Z18:Z37, "x") + COUNTIF(Z18:Z37, "X")), "")</f>
        <v/>
      </c>
      <c r="AA39" s="134">
        <f>IF(((COUNTIF(AA18:AA37, "✓") + COUNTIF(AA18:AA37, "✔") + COUNTIF(AA18:AA37, "v") + COUNTIF(AA18:AA37, "V")) + COUNTIF(AA18:AA37, "✗") + COUNTIF(AA18:AA37, "x") + COUNTIF(AA18:AA37, "X")) &gt; 0, (COUNTIF(AA18:AA37, "✓") + COUNTIF(AA18:AA37, "✔") + COUNTIF(AA18:AA37, "v") + COUNTIF(AA18:AA37, "V")) / ((COUNTIF(AA18:AA37, "✓") + COUNTIF(AA18:AA37, "✔") + COUNTIF(AA18:AA37, "v") + COUNTIF(AA18:AA37, "V")) + COUNTIF(AA18:AA37, "✗") + COUNTIF(AA18:AA37, "x") + COUNTIF(AA18:AA37, "X")), "")</f>
        <v/>
      </c>
      <c r="AB39" s="134">
        <f>IF(((COUNTIF(AB18:AB37, "✓") + COUNTIF(AB18:AB37, "✔") + COUNTIF(AB18:AB37, "v") + COUNTIF(AB18:AB37, "V")) + COUNTIF(AB18:AB37, "✗") + COUNTIF(AB18:AB37, "x") + COUNTIF(AB18:AB37, "X")) &gt; 0, (COUNTIF(AB18:AB37, "✓") + COUNTIF(AB18:AB37, "✔") + COUNTIF(AB18:AB37, "v") + COUNTIF(AB18:AB37, "V")) / ((COUNTIF(AB18:AB37, "✓") + COUNTIF(AB18:AB37, "✔") + COUNTIF(AB18:AB37, "v") + COUNTIF(AB18:AB37, "V")) + COUNTIF(AB18:AB37, "✗") + COUNTIF(AB18:AB37, "x") + COUNTIF(AB18:AB37, "X")), "")</f>
        <v/>
      </c>
      <c r="AC39" s="134">
        <f>IF(((COUNTIF(AC18:AC37, "✓") + COUNTIF(AC18:AC37, "✔") + COUNTIF(AC18:AC37, "v") + COUNTIF(AC18:AC37, "V")) + COUNTIF(AC18:AC37, "✗") + COUNTIF(AC18:AC37, "x") + COUNTIF(AC18:AC37, "X")) &gt; 0, (COUNTIF(AC18:AC37, "✓") + COUNTIF(AC18:AC37, "✔") + COUNTIF(AC18:AC37, "v") + COUNTIF(AC18:AC37, "V")) / ((COUNTIF(AC18:AC37, "✓") + COUNTIF(AC18:AC37, "✔") + COUNTIF(AC18:AC37, "v") + COUNTIF(AC18:AC37, "V")) + COUNTIF(AC18:AC37, "✗") + COUNTIF(AC18:AC37, "x") + COUNTIF(AC18:AC37, "X")), "")</f>
        <v/>
      </c>
      <c r="AD39" s="134">
        <f>IF(((COUNTIF(AD18:AD37, "✓") + COUNTIF(AD18:AD37, "✔") + COUNTIF(AD18:AD37, "v") + COUNTIF(AD18:AD37, "V")) + COUNTIF(AD18:AD37, "✗") + COUNTIF(AD18:AD37, "x") + COUNTIF(AD18:AD37, "X")) &gt; 0, (COUNTIF(AD18:AD37, "✓") + COUNTIF(AD18:AD37, "✔") + COUNTIF(AD18:AD37, "v") + COUNTIF(AD18:AD37, "V")) / ((COUNTIF(AD18:AD37, "✓") + COUNTIF(AD18:AD37, "✔") + COUNTIF(AD18:AD37, "v") + COUNTIF(AD18:AD37, "V")) + COUNTIF(AD18:AD37, "✗") + COUNTIF(AD18:AD37, "x") + COUNTIF(AD18:AD37, "X")), "")</f>
        <v/>
      </c>
      <c r="AE39" s="134">
        <f>IF(((COUNTIF(AE18:AE37, "✓") + COUNTIF(AE18:AE37, "✔") + COUNTIF(AE18:AE37, "v") + COUNTIF(AE18:AE37, "V")) + COUNTIF(AE18:AE37, "✗") + COUNTIF(AE18:AE37, "x") + COUNTIF(AE18:AE37, "X")) &gt; 0, (COUNTIF(AE18:AE37, "✓") + COUNTIF(AE18:AE37, "✔") + COUNTIF(AE18:AE37, "v") + COUNTIF(AE18:AE37, "V")) / ((COUNTIF(AE18:AE37, "✓") + COUNTIF(AE18:AE37, "✔") + COUNTIF(AE18:AE37, "v") + COUNTIF(AE18:AE37, "V")) + COUNTIF(AE18:AE37, "✗") + COUNTIF(AE18:AE37, "x") + COUNTIF(AE18:AE37, "X")), "")</f>
        <v/>
      </c>
      <c r="AF39" s="134">
        <f>IF(((COUNTIF(AF18:AF37, "✓") + COUNTIF(AF18:AF37, "✔") + COUNTIF(AF18:AF37, "v") + COUNTIF(AF18:AF37, "V")) + COUNTIF(AF18:AF37, "✗") + COUNTIF(AF18:AF37, "x") + COUNTIF(AF18:AF37, "X")) &gt; 0, (COUNTIF(AF18:AF37, "✓") + COUNTIF(AF18:AF37, "✔") + COUNTIF(AF18:AF37, "v") + COUNTIF(AF18:AF37, "V")) / ((COUNTIF(AF18:AF37, "✓") + COUNTIF(AF18:AF37, "✔") + COUNTIF(AF18:AF37, "v") + COUNTIF(AF18:AF37, "V")) + COUNTIF(AF18:AF37, "✗") + COUNTIF(AF18:AF37, "x") + COUNTIF(AF18:AF37, "X")), "")</f>
        <v/>
      </c>
      <c r="AG39" s="134">
        <f>IF(((COUNTIF(AG18:AG37, "✓") + COUNTIF(AG18:AG37, "✔") + COUNTIF(AG18:AG37, "v") + COUNTIF(AG18:AG37, "V")) + COUNTIF(AG18:AG37, "✗") + COUNTIF(AG18:AG37, "x") + COUNTIF(AG18:AG37, "X")) &gt; 0, (COUNTIF(AG18:AG37, "✓") + COUNTIF(AG18:AG37, "✔") + COUNTIF(AG18:AG37, "v") + COUNTIF(AG18:AG37, "V")) / ((COUNTIF(AG18:AG37, "✓") + COUNTIF(AG18:AG37, "✔") + COUNTIF(AG18:AG37, "v") + COUNTIF(AG18:AG37, "V")) + COUNTIF(AG18:AG37, "✗") + COUNTIF(AG18:AG37, "x") + COUNTIF(AG18:AG37, "X")), "")</f>
        <v/>
      </c>
      <c r="AH39" s="134">
        <f>IF(((COUNTIF(AH18:AH37, "✓") + COUNTIF(AH18:AH37, "✔") + COUNTIF(AH18:AH37, "v") + COUNTIF(AH18:AH37, "V")) + COUNTIF(AH18:AH37, "✗") + COUNTIF(AH18:AH37, "x") + COUNTIF(AH18:AH37, "X")) &gt; 0, (COUNTIF(AH18:AH37, "✓") + COUNTIF(AH18:AH37, "✔") + COUNTIF(AH18:AH37, "v") + COUNTIF(AH18:AH37, "V")) / ((COUNTIF(AH18:AH37, "✓") + COUNTIF(AH18:AH37, "✔") + COUNTIF(AH18:AH37, "v") + COUNTIF(AH18:AH37, "V")) + COUNTIF(AH18:AH37, "✗") + COUNTIF(AH18:AH37, "x") + COUNTIF(AH18:AH37, "X")), "")</f>
        <v/>
      </c>
      <c r="AI39" s="134">
        <f>IF(((COUNTIF(AI18:AI37, "✓") + COUNTIF(AI18:AI37, "✔") + COUNTIF(AI18:AI37, "v") + COUNTIF(AI18:AI37, "V")) + COUNTIF(AI18:AI37, "✗") + COUNTIF(AI18:AI37, "x") + COUNTIF(AI18:AI37, "X")) &gt; 0, (COUNTIF(AI18:AI37, "✓") + COUNTIF(AI18:AI37, "✔") + COUNTIF(AI18:AI37, "v") + COUNTIF(AI18:AI37, "V")) / ((COUNTIF(AI18:AI37, "✓") + COUNTIF(AI18:AI37, "✔") + COUNTIF(AI18:AI37, "v") + COUNTIF(AI18:AI37, "V")) + COUNTIF(AI18:AI37, "✗") + COUNTIF(AI18:AI37, "x") + COUNTIF(AI18:AI37, "X")), "")</f>
        <v/>
      </c>
      <c r="AJ39" s="133">
        <f>IF(COUNT(E39:AI39) &gt; 0, AVERAGE(E39:AI39), "")</f>
        <v/>
      </c>
      <c r="AK39" s="54" t="n"/>
      <c r="AL39" s="54" t="n"/>
    </row>
    <row r="40" ht="6" customHeight="1"/>
    <row r="41" ht="15" customHeight="1">
      <c r="A41" s="135" t="inlineStr">
        <is>
          <t>IF SUCCESS &lt; 80%, PUNISHMENT: ________________________________________________</t>
        </is>
      </c>
    </row>
    <row r="42" ht="15" customHeight="1">
      <c r="A42" s="136" t="inlineStr">
        <is>
          <t>IF SUCCESS &gt; 90%, REWARD: __________________________________________________</t>
        </is>
      </c>
    </row>
    <row r="43" ht="10" customHeight="1"/>
    <row r="44" ht="10" customHeight="1"/>
    <row r="45" ht="15" customHeight="1">
      <c r="A45" s="51" t="inlineStr">
        <is>
          <t>Sleep Tracking</t>
        </is>
      </c>
      <c r="B45" s="52" t="n"/>
      <c r="C45" s="52" t="n"/>
      <c r="D45" s="52" t="n"/>
      <c r="E45" s="137" t="n">
        <v>1</v>
      </c>
      <c r="F45" s="138" t="n">
        <v>2</v>
      </c>
      <c r="G45" s="137" t="n">
        <v>3</v>
      </c>
      <c r="H45" s="137" t="n">
        <v>4</v>
      </c>
      <c r="I45" s="137" t="n">
        <v>5</v>
      </c>
      <c r="J45" s="137" t="n">
        <v>6</v>
      </c>
      <c r="K45" s="137" t="n">
        <v>7</v>
      </c>
      <c r="L45" s="137" t="n">
        <v>8</v>
      </c>
      <c r="M45" s="138" t="n">
        <v>9</v>
      </c>
      <c r="N45" s="137" t="n">
        <v>10</v>
      </c>
      <c r="O45" s="137" t="n">
        <v>11</v>
      </c>
      <c r="P45" s="137" t="n">
        <v>12</v>
      </c>
      <c r="Q45" s="137" t="n">
        <v>13</v>
      </c>
      <c r="R45" s="137" t="n">
        <v>14</v>
      </c>
      <c r="S45" s="137" t="n">
        <v>15</v>
      </c>
      <c r="T45" s="138" t="n">
        <v>16</v>
      </c>
      <c r="U45" s="137" t="n">
        <v>17</v>
      </c>
      <c r="V45" s="137" t="n">
        <v>18</v>
      </c>
      <c r="W45" s="137" t="n">
        <v>19</v>
      </c>
      <c r="X45" s="137" t="n">
        <v>20</v>
      </c>
      <c r="Y45" s="137" t="n">
        <v>21</v>
      </c>
      <c r="Z45" s="137" t="n">
        <v>22</v>
      </c>
      <c r="AA45" s="138" t="n">
        <v>23</v>
      </c>
      <c r="AB45" s="137" t="n">
        <v>24</v>
      </c>
      <c r="AC45" s="137" t="n">
        <v>25</v>
      </c>
      <c r="AD45" s="137" t="n">
        <v>26</v>
      </c>
      <c r="AE45" s="137" t="n">
        <v>27</v>
      </c>
      <c r="AF45" s="137" t="n">
        <v>28</v>
      </c>
      <c r="AG45" s="137" t="n">
        <v>29</v>
      </c>
      <c r="AH45" s="138" t="n">
        <v>30</v>
      </c>
      <c r="AI45" s="137" t="n">
        <v>31</v>
      </c>
    </row>
    <row r="46" ht="15" customHeight="1">
      <c r="A46" s="52" t="n"/>
      <c r="B46" s="52" t="n"/>
      <c r="C46" s="52" t="n"/>
      <c r="D46" s="52" t="n"/>
      <c r="E46" s="139" t="inlineStr">
        <is>
          <t>Sa</t>
        </is>
      </c>
      <c r="F46" s="140" t="inlineStr">
        <is>
          <t>Su</t>
        </is>
      </c>
      <c r="G46" s="139" t="inlineStr">
        <is>
          <t>M</t>
        </is>
      </c>
      <c r="H46" s="139" t="inlineStr">
        <is>
          <t>T</t>
        </is>
      </c>
      <c r="I46" s="139" t="inlineStr">
        <is>
          <t>W</t>
        </is>
      </c>
      <c r="J46" s="139" t="inlineStr">
        <is>
          <t>Th</t>
        </is>
      </c>
      <c r="K46" s="139" t="inlineStr">
        <is>
          <t>F</t>
        </is>
      </c>
      <c r="L46" s="139" t="inlineStr">
        <is>
          <t>Sa</t>
        </is>
      </c>
      <c r="M46" s="140" t="inlineStr">
        <is>
          <t>Su</t>
        </is>
      </c>
      <c r="N46" s="139" t="inlineStr">
        <is>
          <t>M</t>
        </is>
      </c>
      <c r="O46" s="139" t="inlineStr">
        <is>
          <t>T</t>
        </is>
      </c>
      <c r="P46" s="139" t="inlineStr">
        <is>
          <t>W</t>
        </is>
      </c>
      <c r="Q46" s="139" t="inlineStr">
        <is>
          <t>Th</t>
        </is>
      </c>
      <c r="R46" s="139" t="inlineStr">
        <is>
          <t>F</t>
        </is>
      </c>
      <c r="S46" s="139" t="inlineStr">
        <is>
          <t>Sa</t>
        </is>
      </c>
      <c r="T46" s="140" t="inlineStr">
        <is>
          <t>Su</t>
        </is>
      </c>
      <c r="U46" s="139" t="inlineStr">
        <is>
          <t>M</t>
        </is>
      </c>
      <c r="V46" s="139" t="inlineStr">
        <is>
          <t>T</t>
        </is>
      </c>
      <c r="W46" s="139" t="inlineStr">
        <is>
          <t>W</t>
        </is>
      </c>
      <c r="X46" s="139" t="inlineStr">
        <is>
          <t>Th</t>
        </is>
      </c>
      <c r="Y46" s="139" t="inlineStr">
        <is>
          <t>F</t>
        </is>
      </c>
      <c r="Z46" s="139" t="inlineStr">
        <is>
          <t>Sa</t>
        </is>
      </c>
      <c r="AA46" s="140" t="inlineStr">
        <is>
          <t>Su</t>
        </is>
      </c>
      <c r="AB46" s="139" t="inlineStr">
        <is>
          <t>M</t>
        </is>
      </c>
      <c r="AC46" s="139" t="inlineStr">
        <is>
          <t>T</t>
        </is>
      </c>
      <c r="AD46" s="139" t="inlineStr">
        <is>
          <t>W</t>
        </is>
      </c>
      <c r="AE46" s="139" t="inlineStr">
        <is>
          <t>Th</t>
        </is>
      </c>
      <c r="AF46" s="139" t="inlineStr">
        <is>
          <t>F</t>
        </is>
      </c>
      <c r="AG46" s="139" t="inlineStr">
        <is>
          <t>Sa</t>
        </is>
      </c>
      <c r="AH46" s="140" t="inlineStr">
        <is>
          <t>Su</t>
        </is>
      </c>
      <c r="AI46" s="139" t="inlineStr">
        <is>
          <t>M</t>
        </is>
      </c>
    </row>
    <row r="47" ht="20" customHeight="1">
      <c r="A47" s="141" t="inlineStr">
        <is>
          <t>Sleep Hours (1-24)</t>
        </is>
      </c>
      <c r="B47" s="142" t="n"/>
      <c r="C47" s="142" t="n"/>
      <c r="D47" s="142" t="n"/>
      <c r="E47" s="143" t="n"/>
      <c r="F47" s="144" t="n"/>
      <c r="G47" s="143" t="n"/>
      <c r="H47" s="143" t="n"/>
      <c r="I47" s="143" t="n"/>
      <c r="J47" s="143" t="n"/>
      <c r="K47" s="143" t="n"/>
      <c r="L47" s="143" t="n"/>
      <c r="M47" s="144" t="n"/>
      <c r="N47" s="143" t="n"/>
      <c r="O47" s="143" t="n"/>
      <c r="P47" s="143" t="n"/>
      <c r="Q47" s="143" t="n"/>
      <c r="R47" s="143" t="n"/>
      <c r="S47" s="143" t="n"/>
      <c r="T47" s="144" t="n"/>
      <c r="U47" s="143" t="n"/>
      <c r="V47" s="143" t="n"/>
      <c r="W47" s="143" t="n"/>
      <c r="X47" s="143" t="n"/>
      <c r="Y47" s="143" t="n"/>
      <c r="Z47" s="143" t="n"/>
      <c r="AA47" s="144" t="n"/>
      <c r="AB47" s="143" t="n"/>
      <c r="AC47" s="143" t="n"/>
      <c r="AD47" s="143" t="n"/>
      <c r="AE47" s="143" t="n"/>
      <c r="AF47" s="143" t="n"/>
      <c r="AG47" s="143" t="n"/>
      <c r="AH47" s="144" t="n"/>
      <c r="AI47" s="143" t="n"/>
    </row>
    <row r="48" ht="6" customHeight="1"/>
    <row r="49" ht="14" customHeight="1"/>
    <row r="50" ht="14" customHeight="1"/>
    <row r="51" ht="14" customHeight="1"/>
    <row r="52" ht="14" customHeight="1"/>
    <row r="53" ht="14" customHeight="1"/>
    <row r="54" ht="14" customHeight="1"/>
    <row r="55" ht="14" customHeight="1"/>
    <row r="56" ht="14" customHeight="1"/>
    <row r="57" ht="14" customHeight="1"/>
    <row r="58" ht="14" customHeight="1"/>
    <row r="59" ht="14" customHeight="1"/>
    <row r="60" ht="14" customHeight="1"/>
    <row r="61" ht="14" customHeight="1"/>
    <row r="62" ht="14" customHeight="1"/>
    <row r="63" ht="14" customHeight="1"/>
    <row r="64" ht="14" customHeight="1"/>
    <row r="65" ht="14" customHeight="1"/>
    <row r="66" ht="8" customHeight="1"/>
    <row r="67">
      <c r="A67" s="145" t="inlineStr">
        <is>
          <t>MONTHLY SUCCESS RATE</t>
        </is>
      </c>
      <c r="B67" s="9" t="n"/>
      <c r="C67" s="9" t="n"/>
      <c r="D67" s="9" t="n"/>
      <c r="F67" s="146" t="inlineStr">
        <is>
          <t>ACTIVE PROTOCOLS</t>
        </is>
      </c>
      <c r="G67" s="11" t="n"/>
      <c r="H67" s="11" t="n"/>
      <c r="I67" s="11" t="n"/>
      <c r="K67" s="147" t="inlineStr">
        <is>
          <t>PERFECT DAYS (100%)</t>
        </is>
      </c>
      <c r="L67" s="13" t="n"/>
      <c r="M67" s="13" t="n"/>
      <c r="N67" s="13" t="n"/>
      <c r="P67" s="148" t="inlineStr">
        <is>
          <t>AVG SLEEP DURATION</t>
        </is>
      </c>
      <c r="Q67" s="15" t="n"/>
      <c r="R67" s="15" t="n"/>
      <c r="S67" s="15" t="n"/>
    </row>
    <row r="68">
      <c r="A68" s="149">
        <f>IF(SUM(D18:D37)&gt;0, SUM(AM18:AM37)/SUM(D18:D37), 0)</f>
        <v/>
      </c>
      <c r="B68" s="9" t="n"/>
      <c r="C68" s="9" t="n"/>
      <c r="D68" s="9" t="n"/>
      <c r="F68" s="150">
        <f>COUNTA(B18:B37) &amp; " / 20"</f>
        <v/>
      </c>
      <c r="G68" s="11" t="n"/>
      <c r="H68" s="11" t="n"/>
      <c r="I68" s="11" t="n"/>
      <c r="K68" s="151">
        <f>COUNTIF(E39:AI39, 1) &amp; " Days"</f>
        <v/>
      </c>
      <c r="L68" s="13" t="n"/>
      <c r="M68" s="13" t="n"/>
      <c r="N68" s="13" t="n"/>
      <c r="P68" s="152">
        <f>IFERROR(TEXT(AVERAGE(E47:AI47), "0.0") &amp; " hrs", "-")</f>
        <v/>
      </c>
      <c r="Q68" s="15" t="n"/>
      <c r="R68" s="15" t="n"/>
      <c r="S68" s="15" t="n"/>
    </row>
    <row r="69">
      <c r="A69" s="9" t="n"/>
      <c r="B69" s="9" t="n"/>
      <c r="C69" s="9" t="n"/>
      <c r="D69" s="9" t="n"/>
      <c r="F69" s="11" t="n"/>
      <c r="G69" s="11" t="n"/>
      <c r="H69" s="11" t="n"/>
      <c r="I69" s="11" t="n"/>
      <c r="K69" s="13" t="n"/>
      <c r="L69" s="13" t="n"/>
      <c r="M69" s="13" t="n"/>
      <c r="N69" s="13" t="n"/>
      <c r="P69" s="15" t="n"/>
      <c r="Q69" s="15" t="n"/>
      <c r="R69" s="15" t="n"/>
      <c r="S69" s="15" t="n"/>
    </row>
    <row r="70">
      <c r="A70" s="9" t="n"/>
      <c r="B70" s="9" t="n"/>
      <c r="C70" s="9" t="n"/>
      <c r="D70" s="9" t="n"/>
      <c r="F70" s="11" t="n"/>
      <c r="G70" s="11" t="n"/>
      <c r="H70" s="11" t="n"/>
      <c r="I70" s="11" t="n"/>
      <c r="K70" s="13" t="n"/>
      <c r="L70" s="13" t="n"/>
      <c r="M70" s="13" t="n"/>
      <c r="N70" s="13" t="n"/>
      <c r="P70" s="15" t="n"/>
      <c r="Q70" s="15" t="n"/>
      <c r="R70" s="15" t="n"/>
      <c r="S70" s="15" t="n"/>
    </row>
    <row r="71">
      <c r="A71" s="153" t="inlineStr">
        <is>
          <t>Target Completion</t>
        </is>
      </c>
      <c r="B71" s="9" t="n"/>
      <c r="C71" s="9" t="n"/>
      <c r="D71" s="9" t="n"/>
      <c r="F71" s="154" t="inlineStr">
        <is>
          <t>Habits Tracked</t>
        </is>
      </c>
      <c r="G71" s="11" t="n"/>
      <c r="H71" s="11" t="n"/>
      <c r="I71" s="11" t="n"/>
      <c r="K71" s="155" t="inlineStr">
        <is>
          <t>All Marked Habits Completed</t>
        </is>
      </c>
      <c r="L71" s="13" t="n"/>
      <c r="M71" s="13" t="n"/>
      <c r="N71" s="13" t="n"/>
      <c r="P71" s="156" t="inlineStr">
        <is>
          <t>Nightly Rest Average</t>
        </is>
      </c>
      <c r="Q71" s="15" t="n"/>
      <c r="R71" s="15" t="n"/>
      <c r="S71" s="15" t="n"/>
    </row>
    <row r="72" ht="8" customHeight="1"/>
    <row r="73" ht="6" customHeight="1"/>
    <row r="74">
      <c r="A74" s="67" t="inlineStr">
        <is>
          <t>WEEKLY PERFORMANCE (SLUMP DETECTOR)</t>
        </is>
      </c>
      <c r="B74" s="29" t="n"/>
      <c r="C74" s="29" t="n"/>
      <c r="D74" s="29" t="n"/>
      <c r="E74" s="29" t="n"/>
      <c r="N74" s="157" t="inlineStr">
        <is>
          <t>LIFE DOMAIN / CATEGORY BREAKDOWN</t>
        </is>
      </c>
      <c r="O74" s="158" t="n"/>
      <c r="P74" s="158" t="n"/>
      <c r="Q74" s="158" t="n"/>
      <c r="R74" s="158" t="n"/>
      <c r="S74" s="158" t="n"/>
    </row>
    <row r="75" ht="15" customHeight="1">
      <c r="A75" s="53" t="inlineStr">
        <is>
          <t>Week</t>
        </is>
      </c>
      <c r="B75" s="53" t="inlineStr">
        <is>
          <t>Days Range</t>
        </is>
      </c>
      <c r="C75" s="53" t="inlineStr">
        <is>
          <t>Checks Done</t>
        </is>
      </c>
      <c r="D75" s="53" t="inlineStr">
        <is>
          <t>Evaluated</t>
        </is>
      </c>
      <c r="E75" s="53" t="inlineStr">
        <is>
          <t>Success %</t>
        </is>
      </c>
      <c r="N75" s="53" t="inlineStr">
        <is>
          <t>Domain / Category</t>
        </is>
      </c>
      <c r="O75" s="54" t="n"/>
      <c r="P75" s="53" t="inlineStr">
        <is>
          <t>Active Habits</t>
        </is>
      </c>
      <c r="Q75" s="53" t="inlineStr">
        <is>
          <t>Target Days</t>
        </is>
      </c>
      <c r="R75" s="53" t="inlineStr">
        <is>
          <t>Done Checks</t>
        </is>
      </c>
      <c r="S75" s="53" t="inlineStr">
        <is>
          <t>Success %</t>
        </is>
      </c>
    </row>
    <row r="76" ht="14" customHeight="1">
      <c r="A76" s="33" t="inlineStr">
        <is>
          <t>Week 1</t>
        </is>
      </c>
      <c r="B76" s="34" t="inlineStr">
        <is>
          <t>Days 1 - 7</t>
        </is>
      </c>
      <c r="C76" s="34">
        <f>COUNTIF(E18:K37, "✓")</f>
        <v/>
      </c>
      <c r="D76" s="34">
        <f>COUNTIF(E18:K37, "✓") + COUNTIF(E18:K37, "✗")</f>
        <v/>
      </c>
      <c r="E76" s="35">
        <f>IFERROR(C76/D76, 0)</f>
        <v/>
      </c>
      <c r="N76" s="60" t="inlineStr">
        <is>
          <t>Health &amp; Fitness</t>
        </is>
      </c>
      <c r="O76" s="54" t="n"/>
      <c r="P76" s="34">
        <f>COUNTIF($C$18:$C$37, "Health &amp; Fitness")</f>
        <v/>
      </c>
      <c r="Q76" s="34">
        <f>SUMIF($C$18:$C$37, "Health &amp; Fitness", $D$18:$D$37)</f>
        <v/>
      </c>
      <c r="R76" s="34">
        <f>SUMIF($C$18:$C$37, "Health &amp; Fitness", $AM$18:$AM$37)</f>
        <v/>
      </c>
      <c r="S76" s="35">
        <f>IFERROR(R76/Q76, 0)</f>
        <v/>
      </c>
    </row>
    <row r="77" ht="14" customHeight="1">
      <c r="A77" s="33" t="inlineStr">
        <is>
          <t>Week 2</t>
        </is>
      </c>
      <c r="B77" s="34" t="inlineStr">
        <is>
          <t>Days 8 - 14</t>
        </is>
      </c>
      <c r="C77" s="34">
        <f>COUNTIF(L18:R37, "✓")</f>
        <v/>
      </c>
      <c r="D77" s="34">
        <f>COUNTIF(L18:R37, "✓") + COUNTIF(L18:R37, "✗")</f>
        <v/>
      </c>
      <c r="E77" s="35">
        <f>IFERROR(C77/D77, 0)</f>
        <v/>
      </c>
      <c r="N77" s="60" t="inlineStr">
        <is>
          <t>Mindset &amp; Learning</t>
        </is>
      </c>
      <c r="O77" s="54" t="n"/>
      <c r="P77" s="34">
        <f>COUNTIF($C$18:$C$37, "Mindset &amp; Learning")</f>
        <v/>
      </c>
      <c r="Q77" s="34">
        <f>SUMIF($C$18:$C$37, "Mindset &amp; Learning", $D$18:$D$37)</f>
        <v/>
      </c>
      <c r="R77" s="34">
        <f>SUMIF($C$18:$C$37, "Mindset &amp; Learning", $AM$18:$AM$37)</f>
        <v/>
      </c>
      <c r="S77" s="35">
        <f>IFERROR(R77/Q77, 0)</f>
        <v/>
      </c>
    </row>
    <row r="78" ht="14" customHeight="1">
      <c r="A78" s="33" t="inlineStr">
        <is>
          <t>Week 3</t>
        </is>
      </c>
      <c r="B78" s="34" t="inlineStr">
        <is>
          <t>Days 15 - 21</t>
        </is>
      </c>
      <c r="C78" s="34">
        <f>COUNTIF(S18:Y37, "✓")</f>
        <v/>
      </c>
      <c r="D78" s="34">
        <f>COUNTIF(S18:Y37, "✓") + COUNTIF(S18:Y37, "✗")</f>
        <v/>
      </c>
      <c r="E78" s="35">
        <f>IFERROR(C78/D78, 0)</f>
        <v/>
      </c>
      <c r="N78" s="60" t="inlineStr">
        <is>
          <t>Career &amp; Focus</t>
        </is>
      </c>
      <c r="O78" s="54" t="n"/>
      <c r="P78" s="34">
        <f>COUNTIF($C$18:$C$37, "Career &amp; Focus")</f>
        <v/>
      </c>
      <c r="Q78" s="34">
        <f>SUMIF($C$18:$C$37, "Career &amp; Focus", $D$18:$D$37)</f>
        <v/>
      </c>
      <c r="R78" s="34">
        <f>SUMIF($C$18:$C$37, "Career &amp; Focus", $AM$18:$AM$37)</f>
        <v/>
      </c>
      <c r="S78" s="35">
        <f>IFERROR(R78/Q78, 0)</f>
        <v/>
      </c>
    </row>
    <row r="79" ht="14" customHeight="1">
      <c r="A79" s="33" t="inlineStr">
        <is>
          <t>Week 4</t>
        </is>
      </c>
      <c r="B79" s="34" t="inlineStr">
        <is>
          <t>Days 22 - 28</t>
        </is>
      </c>
      <c r="C79" s="34">
        <f>COUNTIF(Z18:AF37, "✓")</f>
        <v/>
      </c>
      <c r="D79" s="34">
        <f>COUNTIF(Z18:AF37, "✓") + COUNTIF(Z18:AF37, "✗")</f>
        <v/>
      </c>
      <c r="E79" s="35">
        <f>IFERROR(C79/D79, 0)</f>
        <v/>
      </c>
      <c r="N79" s="60" t="inlineStr">
        <is>
          <t>Personal &amp; Home</t>
        </is>
      </c>
      <c r="O79" s="54" t="n"/>
      <c r="P79" s="34">
        <f>COUNTIF($C$18:$C$37, "Personal &amp; Home")</f>
        <v/>
      </c>
      <c r="Q79" s="34">
        <f>SUMIF($C$18:$C$37, "Personal &amp; Home", $D$18:$D$37)</f>
        <v/>
      </c>
      <c r="R79" s="34">
        <f>SUMIF($C$18:$C$37, "Personal &amp; Home", $AM$18:$AM$37)</f>
        <v/>
      </c>
      <c r="S79" s="35">
        <f>IFERROR(R79/Q79, 0)</f>
        <v/>
      </c>
    </row>
    <row r="80" ht="14" customHeight="1">
      <c r="A80" s="33" t="inlineStr">
        <is>
          <t>Week 5</t>
        </is>
      </c>
      <c r="B80" s="34" t="inlineStr">
        <is>
          <t>Days 29 - 31</t>
        </is>
      </c>
      <c r="C80" s="34">
        <f>COUNTIF(AG18:AI37, "✓")</f>
        <v/>
      </c>
      <c r="D80" s="34">
        <f>COUNTIF(AG18:AI37, "✓") + COUNTIF(AG18:AI37, "✗")</f>
        <v/>
      </c>
      <c r="E80" s="35">
        <f>IFERROR(C80/D80, 0)</f>
        <v/>
      </c>
      <c r="N80" s="60" t="inlineStr">
        <is>
          <t>Finance &amp; Wealth</t>
        </is>
      </c>
      <c r="O80" s="54" t="n"/>
      <c r="P80" s="34">
        <f>COUNTIF($C$18:$C$37, "Finance &amp; Wealth")</f>
        <v/>
      </c>
      <c r="Q80" s="34">
        <f>SUMIF($C$18:$C$37, "Finance &amp; Wealth", $D$18:$D$37)</f>
        <v/>
      </c>
      <c r="R80" s="34">
        <f>SUMIF($C$18:$C$37, "Finance &amp; Wealth", $AM$18:$AM$37)</f>
        <v/>
      </c>
      <c r="S80" s="35">
        <f>IFERROR(R80/Q80, 0)</f>
        <v/>
      </c>
    </row>
    <row r="81" ht="14" customHeight="1">
      <c r="A81" s="33" t="inlineStr">
        <is>
          <t>Total / Avg</t>
        </is>
      </c>
      <c r="B81" s="159" t="inlineStr">
        <is>
          <t>Month Total</t>
        </is>
      </c>
      <c r="C81" s="33">
        <f>SUM(C76:C80)</f>
        <v/>
      </c>
      <c r="D81" s="33">
        <f>SUM(D76:D80)</f>
        <v/>
      </c>
      <c r="E81" s="133">
        <f>IFERROR(C81/D81, 0)</f>
        <v/>
      </c>
    </row>
    <row r="82" ht="10" customHeight="1"/>
    <row r="83" ht="10" customHeight="1"/>
    <row r="84">
      <c r="A84" s="51" t="inlineStr">
        <is>
          <t>SLEEP &amp; PRODUCTIVITY CORRELATION ANALYSIS</t>
        </is>
      </c>
      <c r="B84" s="52" t="n"/>
      <c r="C84" s="52" t="n"/>
      <c r="D84" s="52" t="n"/>
      <c r="E84" s="52" t="n"/>
      <c r="F84" s="52" t="n"/>
      <c r="G84" s="52" t="n"/>
      <c r="H84" s="52" t="n"/>
      <c r="I84" s="52" t="n"/>
      <c r="J84" s="52" t="n"/>
      <c r="K84" s="52" t="n"/>
      <c r="L84" s="52" t="n"/>
      <c r="M84" s="52" t="n"/>
      <c r="N84" s="52" t="n"/>
      <c r="O84" s="52" t="n"/>
      <c r="P84" s="52" t="n"/>
      <c r="Q84" s="52" t="n"/>
      <c r="R84" s="52" t="n"/>
      <c r="S84" s="52" t="n"/>
      <c r="T84" s="52" t="n"/>
      <c r="U84" s="52" t="n"/>
      <c r="V84" s="52" t="n"/>
      <c r="W84" s="52" t="n"/>
      <c r="X84" s="52" t="n"/>
      <c r="Y84" s="52" t="n"/>
      <c r="Z84" s="52" t="n"/>
      <c r="AA84" s="52" t="n"/>
      <c r="AB84" s="52" t="n"/>
      <c r="AC84" s="52" t="n"/>
      <c r="AD84" s="52" t="n"/>
      <c r="AE84" s="52" t="n"/>
      <c r="AF84" s="52" t="n"/>
      <c r="AG84" s="52" t="n"/>
      <c r="AH84" s="52" t="n"/>
      <c r="AI84" s="52" t="n"/>
      <c r="AJ84" s="52" t="n"/>
      <c r="AK84" s="52" t="n"/>
      <c r="AL84" s="52" t="n"/>
    </row>
    <row r="85" ht="15" customHeight="1">
      <c r="A85" s="53" t="inlineStr">
        <is>
          <t>Rest Category</t>
        </is>
      </c>
      <c r="B85" s="54" t="n"/>
      <c r="C85" s="54" t="n"/>
      <c r="D85" s="53" t="inlineStr">
        <is>
          <t>Day Criteria</t>
        </is>
      </c>
      <c r="E85" s="54" t="n"/>
      <c r="F85" s="54" t="n"/>
      <c r="G85" s="53" t="inlineStr">
        <is>
          <t>Days Logged</t>
        </is>
      </c>
      <c r="H85" s="54" t="n"/>
      <c r="I85" s="54" t="n"/>
      <c r="J85" s="53" t="inlineStr">
        <is>
          <t>Avg Sleep Duration</t>
        </is>
      </c>
      <c r="K85" s="54" t="n"/>
      <c r="L85" s="54" t="n"/>
      <c r="M85" s="54" t="n"/>
      <c r="N85" s="53" t="inlineStr">
        <is>
          <t>Avg Habit Success %</t>
        </is>
      </c>
      <c r="O85" s="54" t="n"/>
      <c r="P85" s="54" t="n"/>
      <c r="Q85" s="54" t="n"/>
      <c r="R85" s="53" t="inlineStr">
        <is>
          <t>Productivity Delta</t>
        </is>
      </c>
      <c r="S85" s="54" t="n"/>
      <c r="T85" s="54" t="n"/>
      <c r="U85" s="54" t="n"/>
    </row>
    <row r="86" ht="15" customHeight="1">
      <c r="A86" s="160" t="inlineStr">
        <is>
          <t>Optimal Rest</t>
        </is>
      </c>
      <c r="B86" s="161" t="n"/>
      <c r="C86" s="56" t="n"/>
      <c r="D86" s="34" t="inlineStr">
        <is>
          <t>&gt;= 7 Hours / Night</t>
        </is>
      </c>
      <c r="E86" s="161" t="n"/>
      <c r="F86" s="56" t="n"/>
      <c r="G86" s="33">
        <f>COUNTIF(E47:AI47, "&gt;=7")</f>
        <v/>
      </c>
      <c r="H86" s="161" t="n"/>
      <c r="I86" s="56" t="n"/>
      <c r="J86" s="34">
        <f>IFERROR(TEXT(AVERAGEIF(E47:AI47, "&gt;=7"), "0.0") &amp; " hrs", "-")</f>
        <v/>
      </c>
      <c r="K86" s="161" t="n"/>
      <c r="L86" s="161" t="n"/>
      <c r="M86" s="56" t="n"/>
      <c r="N86" s="42">
        <f>IFERROR(AVERAGEIFS(E39:AI39, E47:AI47, "&gt;=7", E39:AI39, "&gt;0"), 0)</f>
        <v/>
      </c>
      <c r="O86" s="161" t="n"/>
      <c r="P86" s="161" t="n"/>
      <c r="Q86" s="56" t="n"/>
      <c r="R86" s="159" t="inlineStr">
        <is>
          <t>Baseline (Target)</t>
        </is>
      </c>
      <c r="S86" s="161" t="n"/>
      <c r="T86" s="161" t="n"/>
      <c r="U86" s="56" t="n"/>
    </row>
    <row r="87" ht="15" customHeight="1">
      <c r="A87" s="162" t="inlineStr">
        <is>
          <t>Sleep Deficit</t>
        </is>
      </c>
      <c r="B87" s="161" t="n"/>
      <c r="C87" s="56" t="n"/>
      <c r="D87" s="34" t="inlineStr">
        <is>
          <t>&lt; 7 Hours / Night</t>
        </is>
      </c>
      <c r="E87" s="161" t="n"/>
      <c r="F87" s="56" t="n"/>
      <c r="G87" s="33">
        <f>COUNTIF(E47:AI47, "&lt;7") - COUNTIF(E47:AI47, "")</f>
        <v/>
      </c>
      <c r="H87" s="161" t="n"/>
      <c r="I87" s="56" t="n"/>
      <c r="J87" s="34">
        <f>IFERROR(TEXT(AVERAGEIFS(E47:AI47, E47:AI47, "&lt;7", E47:AI47, "&gt;0"), "0.0") &amp; " hrs", "-")</f>
        <v/>
      </c>
      <c r="K87" s="161" t="n"/>
      <c r="L87" s="161" t="n"/>
      <c r="M87" s="56" t="n"/>
      <c r="N87" s="163">
        <f>IFERROR(AVERAGEIFS(E39:AI39, E47:AI47, "&lt;7", E39:AI39, "&gt;0"), 0)</f>
        <v/>
      </c>
      <c r="O87" s="161" t="n"/>
      <c r="P87" s="161" t="n"/>
      <c r="Q87" s="56" t="n"/>
      <c r="R87" s="160">
        <f>IFERROR(TEXT(N86 - N87, "+0.0%;-0.0%;0.0%") &amp; " Rest Advantage", "-")</f>
        <v/>
      </c>
      <c r="S87" s="161" t="n"/>
      <c r="T87" s="161" t="n"/>
      <c r="U87" s="56" t="n"/>
    </row>
    <row r="88" ht="18" customHeight="1">
      <c r="A88" s="164">
        <f>IF(AND(ISNUMBER(N86), ISNUMBER(N87), N86&gt;0, N87&gt;0), "💡 Sleep Correlation Insight: You complete " &amp; TEXT(ABS(N86-N87), "0.0%") &amp; IF(N86&gt;=N87, " MORE habits on days with 7+ hours of sleep!", " fewer habits on days with 7+ hours of sleep."), "💡 Log both habits and sleep hours daily to unlock automatic AI correlation insights!")</f>
        <v/>
      </c>
      <c r="B88" s="161" t="n"/>
      <c r="C88" s="161" t="n"/>
      <c r="D88" s="161" t="n"/>
      <c r="E88" s="161" t="n"/>
      <c r="F88" s="161" t="n"/>
      <c r="G88" s="161" t="n"/>
      <c r="H88" s="161" t="n"/>
      <c r="I88" s="161" t="n"/>
      <c r="J88" s="161" t="n"/>
      <c r="K88" s="161" t="n"/>
      <c r="L88" s="161" t="n"/>
      <c r="M88" s="161" t="n"/>
      <c r="N88" s="161" t="n"/>
      <c r="O88" s="161" t="n"/>
      <c r="P88" s="161" t="n"/>
      <c r="Q88" s="161" t="n"/>
      <c r="R88" s="161" t="n"/>
      <c r="S88" s="161" t="n"/>
      <c r="T88" s="161" t="n"/>
      <c r="U88" s="161" t="n"/>
      <c r="V88" s="161" t="n"/>
      <c r="W88" s="161" t="n"/>
      <c r="X88" s="161" t="n"/>
      <c r="Y88" s="161" t="n"/>
      <c r="Z88" s="161" t="n"/>
      <c r="AA88" s="161" t="n"/>
      <c r="AB88" s="161" t="n"/>
      <c r="AC88" s="161" t="n"/>
      <c r="AD88" s="161" t="n"/>
      <c r="AE88" s="161" t="n"/>
      <c r="AF88" s="161" t="n"/>
      <c r="AG88" s="161" t="n"/>
      <c r="AH88" s="161" t="n"/>
      <c r="AI88" s="161" t="n"/>
      <c r="AJ88" s="161" t="n"/>
      <c r="AK88" s="161" t="n"/>
      <c r="AL88" s="56" t="n"/>
    </row>
    <row r="89" ht="10" customHeight="1"/>
    <row r="90">
      <c r="A90" s="43" t="inlineStr">
        <is>
          <t>STANDARDIZED DATA BRIDGE (FOR ANNUAL &amp; QUARTERLY REVIEW SHEETS)</t>
        </is>
      </c>
      <c r="B90" s="44" t="n"/>
      <c r="C90" s="44" t="n"/>
      <c r="D90" s="44" t="n"/>
      <c r="E90" s="44" t="n"/>
      <c r="F90" s="44" t="n"/>
      <c r="G90" s="44" t="n"/>
      <c r="H90" s="44" t="n"/>
      <c r="I90" s="44" t="n"/>
      <c r="J90" s="44" t="n"/>
      <c r="K90" s="44" t="n"/>
      <c r="L90" s="44" t="n"/>
      <c r="M90" s="44" t="n"/>
      <c r="N90" s="44" t="n"/>
      <c r="O90" s="44" t="n"/>
      <c r="P90" s="44" t="n"/>
      <c r="Q90" s="44" t="n"/>
      <c r="R90" s="44" t="n"/>
      <c r="S90" s="44" t="n"/>
      <c r="T90" s="44" t="n"/>
      <c r="U90" s="44" t="n"/>
      <c r="V90" s="44" t="n"/>
      <c r="W90" s="44" t="n"/>
      <c r="X90" s="44" t="n"/>
      <c r="Y90" s="44" t="n"/>
      <c r="Z90" s="44" t="n"/>
      <c r="AA90" s="44" t="n"/>
      <c r="AB90" s="44" t="n"/>
      <c r="AC90" s="44" t="n"/>
      <c r="AD90" s="44" t="n"/>
      <c r="AE90" s="44" t="n"/>
      <c r="AF90" s="44" t="n"/>
      <c r="AG90" s="44" t="n"/>
      <c r="AH90" s="44" t="n"/>
      <c r="AI90" s="44" t="n"/>
      <c r="AJ90" s="44" t="n"/>
      <c r="AK90" s="44" t="n"/>
      <c r="AL90" s="44" t="n"/>
    </row>
    <row r="91" ht="15" customHeight="1">
      <c r="A91" s="53" t="inlineStr">
        <is>
          <t>Month</t>
        </is>
      </c>
      <c r="B91" s="54" t="n"/>
      <c r="C91" s="53" t="inlineStr">
        <is>
          <t>Year</t>
        </is>
      </c>
      <c r="D91" s="54" t="n"/>
      <c r="E91" s="53" t="inlineStr">
        <is>
          <t>Active Habits</t>
        </is>
      </c>
      <c r="F91" s="54" t="n"/>
      <c r="G91" s="53" t="inlineStr">
        <is>
          <t>Target Days</t>
        </is>
      </c>
      <c r="H91" s="54" t="n"/>
      <c r="I91" s="53" t="inlineStr">
        <is>
          <t>Done Checks</t>
        </is>
      </c>
      <c r="J91" s="54" t="n"/>
      <c r="K91" s="53" t="inlineStr">
        <is>
          <t>Success %</t>
        </is>
      </c>
      <c r="L91" s="54" t="n"/>
      <c r="M91" s="53" t="inlineStr">
        <is>
          <t>Perfect Days</t>
        </is>
      </c>
      <c r="N91" s="54" t="n"/>
      <c r="O91" s="53" t="inlineStr">
        <is>
          <t>Avg Sleep</t>
        </is>
      </c>
      <c r="P91" s="54" t="n"/>
      <c r="Q91" s="53" t="inlineStr">
        <is>
          <t>Best Week</t>
        </is>
      </c>
      <c r="R91" s="54" t="n"/>
      <c r="S91" s="54" t="n"/>
      <c r="T91" s="53" t="inlineStr">
        <is>
          <t>Top Life Domain</t>
        </is>
      </c>
      <c r="U91" s="54" t="n"/>
      <c r="V91" s="54" t="n"/>
      <c r="W91" s="54" t="n"/>
    </row>
    <row r="92" ht="16" customHeight="1">
      <c r="A92" s="165" t="inlineStr">
        <is>
          <t>Jul</t>
        </is>
      </c>
      <c r="B92" s="56" t="n"/>
      <c r="C92" s="165" t="n">
        <v>2028</v>
      </c>
      <c r="D92" s="56" t="n"/>
      <c r="E92" s="166">
        <f>COUNTA(B18:B37)</f>
        <v/>
      </c>
      <c r="F92" s="56" t="n"/>
      <c r="G92" s="166">
        <f>SUM(D18:D37)</f>
        <v/>
      </c>
      <c r="H92" s="56" t="n"/>
      <c r="I92" s="166">
        <f>SUM(AM18:AM37)</f>
        <v/>
      </c>
      <c r="J92" s="56" t="n"/>
      <c r="K92" s="167">
        <f>IF(G92&gt;0, I92/G92, 0)</f>
        <v/>
      </c>
      <c r="L92" s="56" t="n"/>
      <c r="M92" s="166">
        <f>COUNTIF(E39:AI39, 1)</f>
        <v/>
      </c>
      <c r="N92" s="56" t="n"/>
      <c r="O92" s="168">
        <f>IFERROR(AVERAGE(E47:AI47), 0)</f>
        <v/>
      </c>
      <c r="P92" s="56" t="n"/>
      <c r="Q92" s="166">
        <f>INDEX(A76:A80, MATCH(MAX(E76:E80), E76:E80, 0))</f>
        <v/>
      </c>
      <c r="R92" s="161" t="n"/>
      <c r="S92" s="56" t="n"/>
      <c r="T92" s="166">
        <f>INDEX(N76:N80, MATCH(MAX(S76:S80), S76:S80, 0))</f>
        <v/>
      </c>
      <c r="U92" s="161" t="n"/>
      <c r="V92" s="161" t="n"/>
      <c r="W92" s="56" t="n"/>
    </row>
    <row r="93" ht="14" customHeight="1">
      <c r="A93" s="169" t="inlineStr">
        <is>
          <t>📋 Note: Reference or copy Row 92 directly into an Annual / Quarterly review dashboard to track yearly habit trends.</t>
        </is>
      </c>
    </row>
    <row r="94" ht="8" customHeight="1"/>
    <row r="95">
      <c r="A95" s="170" t="inlineStr">
        <is>
          <t>🏆 MONTHLY WINS &amp; HIGHLIGHTS</t>
        </is>
      </c>
      <c r="J95" s="171" t="inlineStr">
        <is>
          <t>⚠️ FRICTION POINTS &amp; ROOT CAUSES</t>
        </is>
      </c>
      <c r="S95" s="172" t="inlineStr">
        <is>
          <t>🎯 3 KEY ADJUSTMENTS FOR NEXT MONTH</t>
        </is>
      </c>
    </row>
    <row r="96">
      <c r="A96" s="173" t="inlineStr">
        <is>
          <t>1. What went exceptionally well this month?
2. Which habit felt effortless and consistent?
3. Major milestone achieved:</t>
        </is>
      </c>
      <c r="B96" s="174" t="n"/>
      <c r="C96" s="174" t="n"/>
      <c r="D96" s="174" t="n"/>
      <c r="E96" s="174" t="n"/>
      <c r="F96" s="174" t="n"/>
      <c r="G96" s="174" t="n"/>
      <c r="H96" s="174" t="n"/>
      <c r="J96" s="175" t="inlineStr">
        <is>
          <t>1. What caused missed or skipped days?
2. Main triggers / energy drains encountered:
3. Which habit had the lowest consistency and why?</t>
        </is>
      </c>
      <c r="K96" s="176" t="n"/>
      <c r="L96" s="176" t="n"/>
      <c r="M96" s="176" t="n"/>
      <c r="N96" s="176" t="n"/>
      <c r="O96" s="176" t="n"/>
      <c r="P96" s="176" t="n"/>
      <c r="Q96" s="176" t="n"/>
      <c r="S96" s="177" t="inlineStr">
        <is>
          <t>1. Habit Stacking or time adjustment for next month:
2. Environment design change to eliminate friction:
3. One non-negotiable priority protocol:</t>
        </is>
      </c>
      <c r="T96" s="178" t="n"/>
      <c r="U96" s="178" t="n"/>
      <c r="V96" s="178" t="n"/>
      <c r="W96" s="178" t="n"/>
      <c r="X96" s="178" t="n"/>
      <c r="Y96" s="178" t="n"/>
      <c r="Z96" s="178" t="n"/>
    </row>
    <row r="97">
      <c r="A97" s="174" t="n"/>
      <c r="B97" s="174" t="n"/>
      <c r="C97" s="174" t="n"/>
      <c r="D97" s="174" t="n"/>
      <c r="E97" s="174" t="n"/>
      <c r="F97" s="174" t="n"/>
      <c r="G97" s="174" t="n"/>
      <c r="H97" s="174" t="n"/>
      <c r="J97" s="176" t="n"/>
      <c r="K97" s="176" t="n"/>
      <c r="L97" s="176" t="n"/>
      <c r="M97" s="176" t="n"/>
      <c r="N97" s="176" t="n"/>
      <c r="O97" s="176" t="n"/>
      <c r="P97" s="176" t="n"/>
      <c r="Q97" s="176" t="n"/>
      <c r="S97" s="178" t="n"/>
      <c r="T97" s="178" t="n"/>
      <c r="U97" s="178" t="n"/>
      <c r="V97" s="178" t="n"/>
      <c r="W97" s="178" t="n"/>
      <c r="X97" s="178" t="n"/>
      <c r="Y97" s="178" t="n"/>
      <c r="Z97" s="178" t="n"/>
    </row>
    <row r="98">
      <c r="A98" s="174" t="n"/>
      <c r="B98" s="174" t="n"/>
      <c r="C98" s="174" t="n"/>
      <c r="D98" s="174" t="n"/>
      <c r="E98" s="174" t="n"/>
      <c r="F98" s="174" t="n"/>
      <c r="G98" s="174" t="n"/>
      <c r="H98" s="174" t="n"/>
      <c r="J98" s="176" t="n"/>
      <c r="K98" s="176" t="n"/>
      <c r="L98" s="176" t="n"/>
      <c r="M98" s="176" t="n"/>
      <c r="N98" s="176" t="n"/>
      <c r="O98" s="176" t="n"/>
      <c r="P98" s="176" t="n"/>
      <c r="Q98" s="176" t="n"/>
      <c r="S98" s="178" t="n"/>
      <c r="T98" s="178" t="n"/>
      <c r="U98" s="178" t="n"/>
      <c r="V98" s="178" t="n"/>
      <c r="W98" s="178" t="n"/>
      <c r="X98" s="178" t="n"/>
      <c r="Y98" s="178" t="n"/>
      <c r="Z98" s="178" t="n"/>
    </row>
    <row r="99">
      <c r="A99" s="174" t="n"/>
      <c r="B99" s="174" t="n"/>
      <c r="C99" s="174" t="n"/>
      <c r="D99" s="174" t="n"/>
      <c r="E99" s="174" t="n"/>
      <c r="F99" s="174" t="n"/>
      <c r="G99" s="174" t="n"/>
      <c r="H99" s="174" t="n"/>
      <c r="J99" s="176" t="n"/>
      <c r="K99" s="176" t="n"/>
      <c r="L99" s="176" t="n"/>
      <c r="M99" s="176" t="n"/>
      <c r="N99" s="176" t="n"/>
      <c r="O99" s="176" t="n"/>
      <c r="P99" s="176" t="n"/>
      <c r="Q99" s="176" t="n"/>
      <c r="S99" s="178" t="n"/>
      <c r="T99" s="178" t="n"/>
      <c r="U99" s="178" t="n"/>
      <c r="V99" s="178" t="n"/>
      <c r="W99" s="178" t="n"/>
      <c r="X99" s="178" t="n"/>
      <c r="Y99" s="178" t="n"/>
      <c r="Z99" s="178" t="n"/>
    </row>
    <row r="100">
      <c r="A100" s="174" t="n"/>
      <c r="B100" s="174" t="n"/>
      <c r="C100" s="174" t="n"/>
      <c r="D100" s="174" t="n"/>
      <c r="E100" s="174" t="n"/>
      <c r="F100" s="174" t="n"/>
      <c r="G100" s="174" t="n"/>
      <c r="H100" s="174" t="n"/>
      <c r="J100" s="176" t="n"/>
      <c r="K100" s="176" t="n"/>
      <c r="L100" s="176" t="n"/>
      <c r="M100" s="176" t="n"/>
      <c r="N100" s="176" t="n"/>
      <c r="O100" s="176" t="n"/>
      <c r="P100" s="176" t="n"/>
      <c r="Q100" s="176" t="n"/>
      <c r="S100" s="178" t="n"/>
      <c r="T100" s="178" t="n"/>
      <c r="U100" s="178" t="n"/>
      <c r="V100" s="178" t="n"/>
      <c r="W100" s="178" t="n"/>
      <c r="X100" s="178" t="n"/>
      <c r="Y100" s="178" t="n"/>
      <c r="Z100" s="178" t="n"/>
    </row>
    <row r="101">
      <c r="A101" s="174" t="n"/>
      <c r="B101" s="174" t="n"/>
      <c r="C101" s="174" t="n"/>
      <c r="D101" s="174" t="n"/>
      <c r="E101" s="174" t="n"/>
      <c r="F101" s="174" t="n"/>
      <c r="G101" s="174" t="n"/>
      <c r="H101" s="174" t="n"/>
      <c r="J101" s="176" t="n"/>
      <c r="K101" s="176" t="n"/>
      <c r="L101" s="176" t="n"/>
      <c r="M101" s="176" t="n"/>
      <c r="N101" s="176" t="n"/>
      <c r="O101" s="176" t="n"/>
      <c r="P101" s="176" t="n"/>
      <c r="Q101" s="176" t="n"/>
      <c r="S101" s="178" t="n"/>
      <c r="T101" s="178" t="n"/>
      <c r="U101" s="178" t="n"/>
      <c r="V101" s="178" t="n"/>
      <c r="W101" s="178" t="n"/>
      <c r="X101" s="178" t="n"/>
      <c r="Y101" s="178" t="n"/>
      <c r="Z101" s="178" t="n"/>
    </row>
    <row r="102">
      <c r="A102" s="174" t="n"/>
      <c r="B102" s="174" t="n"/>
      <c r="C102" s="174" t="n"/>
      <c r="D102" s="174" t="n"/>
      <c r="E102" s="174" t="n"/>
      <c r="F102" s="174" t="n"/>
      <c r="G102" s="174" t="n"/>
      <c r="H102" s="174" t="n"/>
      <c r="J102" s="176" t="n"/>
      <c r="K102" s="176" t="n"/>
      <c r="L102" s="176" t="n"/>
      <c r="M102" s="176" t="n"/>
      <c r="N102" s="176" t="n"/>
      <c r="O102" s="176" t="n"/>
      <c r="P102" s="176" t="n"/>
      <c r="Q102" s="176" t="n"/>
      <c r="S102" s="178" t="n"/>
      <c r="T102" s="178" t="n"/>
      <c r="U102" s="178" t="n"/>
      <c r="V102" s="178" t="n"/>
      <c r="W102" s="178" t="n"/>
      <c r="X102" s="178" t="n"/>
      <c r="Y102" s="178" t="n"/>
      <c r="Z102" s="178" t="n"/>
    </row>
    <row r="103">
      <c r="A103" s="174" t="n"/>
      <c r="B103" s="174" t="n"/>
      <c r="C103" s="174" t="n"/>
      <c r="D103" s="174" t="n"/>
      <c r="E103" s="174" t="n"/>
      <c r="F103" s="174" t="n"/>
      <c r="G103" s="174" t="n"/>
      <c r="H103" s="174" t="n"/>
      <c r="J103" s="176" t="n"/>
      <c r="K103" s="176" t="n"/>
      <c r="L103" s="176" t="n"/>
      <c r="M103" s="176" t="n"/>
      <c r="N103" s="176" t="n"/>
      <c r="O103" s="176" t="n"/>
      <c r="P103" s="176" t="n"/>
      <c r="Q103" s="176" t="n"/>
      <c r="S103" s="178" t="n"/>
      <c r="T103" s="178" t="n"/>
      <c r="U103" s="178" t="n"/>
      <c r="V103" s="178" t="n"/>
      <c r="W103" s="178" t="n"/>
      <c r="X103" s="178" t="n"/>
      <c r="Y103" s="178" t="n"/>
      <c r="Z103" s="178" t="n"/>
    </row>
  </sheetData>
  <sheetProtection selectLockedCells="1" selectUnlockedCells="1" sheet="1" objects="0" insertRows="1" insertHyperlinks="1" autoFilter="1" scenarios="0" formatColumns="1" deleteColumns="1" insertColumns="1" pivotTables="1" deleteRows="1" formatCells="1" formatRows="1" sort="1"/>
  <mergeCells count="94">
    <mergeCell ref="A9:N9"/>
    <mergeCell ref="N76:O76"/>
    <mergeCell ref="F67:I67"/>
    <mergeCell ref="G87:I87"/>
    <mergeCell ref="A16:A17"/>
    <mergeCell ref="A45:D46"/>
    <mergeCell ref="C16:C17"/>
    <mergeCell ref="N75:O75"/>
    <mergeCell ref="N77:O77"/>
    <mergeCell ref="AE2:AL2"/>
    <mergeCell ref="P9:AL9"/>
    <mergeCell ref="P68:S70"/>
    <mergeCell ref="D16:D17"/>
    <mergeCell ref="N85:Q85"/>
    <mergeCell ref="A95:H95"/>
    <mergeCell ref="A84:AL84"/>
    <mergeCell ref="Q91:S91"/>
    <mergeCell ref="E91:F91"/>
    <mergeCell ref="A8:N8"/>
    <mergeCell ref="A42:AL42"/>
    <mergeCell ref="G91:H91"/>
    <mergeCell ref="J86:M86"/>
    <mergeCell ref="H3:AD3"/>
    <mergeCell ref="K67:N67"/>
    <mergeCell ref="S95:Z95"/>
    <mergeCell ref="N79:O79"/>
    <mergeCell ref="K92:L92"/>
    <mergeCell ref="C92:D92"/>
    <mergeCell ref="M92:N92"/>
    <mergeCell ref="F71:I71"/>
    <mergeCell ref="A88:AL88"/>
    <mergeCell ref="K68:N70"/>
    <mergeCell ref="T91:W91"/>
    <mergeCell ref="A41:AL41"/>
    <mergeCell ref="A90:AL90"/>
    <mergeCell ref="J95:Q95"/>
    <mergeCell ref="D85:F85"/>
    <mergeCell ref="N74:S74"/>
    <mergeCell ref="H2:AD2"/>
    <mergeCell ref="F68:I70"/>
    <mergeCell ref="A91:B91"/>
    <mergeCell ref="N78:O78"/>
    <mergeCell ref="C91:D91"/>
    <mergeCell ref="M91:N91"/>
    <mergeCell ref="O91:P91"/>
    <mergeCell ref="R86:U86"/>
    <mergeCell ref="N80:O80"/>
    <mergeCell ref="B16:B17"/>
    <mergeCell ref="A71:D71"/>
    <mergeCell ref="J85:M85"/>
    <mergeCell ref="D86:F86"/>
    <mergeCell ref="A92:B92"/>
    <mergeCell ref="N87:Q87"/>
    <mergeCell ref="A1:B1"/>
    <mergeCell ref="E92:F92"/>
    <mergeCell ref="AL16:AL17"/>
    <mergeCell ref="A68:D70"/>
    <mergeCell ref="P71:S71"/>
    <mergeCell ref="A86:C86"/>
    <mergeCell ref="D87:F87"/>
    <mergeCell ref="O92:P92"/>
    <mergeCell ref="A6:N6"/>
    <mergeCell ref="A39:D39"/>
    <mergeCell ref="P8:AL8"/>
    <mergeCell ref="P7:AL7"/>
    <mergeCell ref="G86:I86"/>
    <mergeCell ref="A96:H103"/>
    <mergeCell ref="P67:S67"/>
    <mergeCell ref="T92:W92"/>
    <mergeCell ref="R85:U85"/>
    <mergeCell ref="K71:N71"/>
    <mergeCell ref="S96:Z103"/>
    <mergeCell ref="A93:AL93"/>
    <mergeCell ref="A38:D38"/>
    <mergeCell ref="A67:D67"/>
    <mergeCell ref="I91:J91"/>
    <mergeCell ref="A85:C85"/>
    <mergeCell ref="K91:L91"/>
    <mergeCell ref="N86:Q86"/>
    <mergeCell ref="A7:N7"/>
    <mergeCell ref="P6:AL6"/>
    <mergeCell ref="A74:E74"/>
    <mergeCell ref="G85:I85"/>
    <mergeCell ref="G92:H92"/>
    <mergeCell ref="I92:J92"/>
    <mergeCell ref="R87:U87"/>
    <mergeCell ref="AK16:AK17"/>
    <mergeCell ref="J87:M87"/>
    <mergeCell ref="AJ16:AJ17"/>
    <mergeCell ref="J96:Q103"/>
    <mergeCell ref="A12:AL14"/>
    <mergeCell ref="Q92:S92"/>
    <mergeCell ref="A87:C87"/>
    <mergeCell ref="A47:D47"/>
  </mergeCells>
  <conditionalFormatting sqref="AJ18:AJ37">
    <cfRule type="dataBar" priority="1">
      <dataBar>
        <cfvo type="num" val="0"/>
        <cfvo type="num" val="1"/>
        <color rgb="0010B981"/>
      </dataBar>
    </cfRule>
  </conditionalFormatting>
  <conditionalFormatting sqref="E18:AI37">
    <cfRule type="cellIs" priority="2" operator="equal" dxfId="0">
      <formula>"✓"</formula>
    </cfRule>
    <cfRule type="cellIs" priority="3" operator="equal" dxfId="0">
      <formula>"✔"</formula>
    </cfRule>
    <cfRule type="cellIs" priority="4" operator="equal" dxfId="1">
      <formula>"✗"</formula>
    </cfRule>
    <cfRule type="cellIs" priority="5" operator="equal" dxfId="1">
      <formula>"x"</formula>
    </cfRule>
    <cfRule type="cellIs" priority="6" operator="equal" dxfId="1">
      <formula>"X"</formula>
    </cfRule>
  </conditionalFormatting>
  <conditionalFormatting sqref="E16:E17">
    <cfRule type="expression" priority="7" dxfId="2">
      <formula>AND(DAY(TODAY())=1, MONTH(TODAY())=7, YEAR(TODAY())=2028)</formula>
    </cfRule>
  </conditionalFormatting>
  <conditionalFormatting sqref="F16:F17">
    <cfRule type="expression" priority="8" dxfId="2">
      <formula>AND(DAY(TODAY())=2, MONTH(TODAY())=7, YEAR(TODAY())=2028)</formula>
    </cfRule>
  </conditionalFormatting>
  <conditionalFormatting sqref="G16:G17">
    <cfRule type="expression" priority="9" dxfId="2">
      <formula>AND(DAY(TODAY())=3, MONTH(TODAY())=7, YEAR(TODAY())=2028)</formula>
    </cfRule>
  </conditionalFormatting>
  <conditionalFormatting sqref="H16:H17">
    <cfRule type="expression" priority="10" dxfId="2">
      <formula>AND(DAY(TODAY())=4, MONTH(TODAY())=7, YEAR(TODAY())=2028)</formula>
    </cfRule>
  </conditionalFormatting>
  <conditionalFormatting sqref="I16:I17">
    <cfRule type="expression" priority="11" dxfId="2">
      <formula>AND(DAY(TODAY())=5, MONTH(TODAY())=7, YEAR(TODAY())=2028)</formula>
    </cfRule>
  </conditionalFormatting>
  <conditionalFormatting sqref="J16:J17">
    <cfRule type="expression" priority="12" dxfId="2">
      <formula>AND(DAY(TODAY())=6, MONTH(TODAY())=7, YEAR(TODAY())=2028)</formula>
    </cfRule>
  </conditionalFormatting>
  <conditionalFormatting sqref="K16:K17">
    <cfRule type="expression" priority="13" dxfId="2">
      <formula>AND(DAY(TODAY())=7, MONTH(TODAY())=7, YEAR(TODAY())=2028)</formula>
    </cfRule>
  </conditionalFormatting>
  <conditionalFormatting sqref="L16:L17">
    <cfRule type="expression" priority="14" dxfId="2">
      <formula>AND(DAY(TODAY())=8, MONTH(TODAY())=7, YEAR(TODAY())=2028)</formula>
    </cfRule>
  </conditionalFormatting>
  <conditionalFormatting sqref="M16:M17">
    <cfRule type="expression" priority="15" dxfId="2">
      <formula>AND(DAY(TODAY())=9, MONTH(TODAY())=7, YEAR(TODAY())=2028)</formula>
    </cfRule>
  </conditionalFormatting>
  <conditionalFormatting sqref="N16:N17">
    <cfRule type="expression" priority="16" dxfId="2">
      <formula>AND(DAY(TODAY())=10, MONTH(TODAY())=7, YEAR(TODAY())=2028)</formula>
    </cfRule>
  </conditionalFormatting>
  <conditionalFormatting sqref="O16:O17">
    <cfRule type="expression" priority="17" dxfId="2">
      <formula>AND(DAY(TODAY())=11, MONTH(TODAY())=7, YEAR(TODAY())=2028)</formula>
    </cfRule>
  </conditionalFormatting>
  <conditionalFormatting sqref="P16:P17">
    <cfRule type="expression" priority="18" dxfId="2">
      <formula>AND(DAY(TODAY())=12, MONTH(TODAY())=7, YEAR(TODAY())=2028)</formula>
    </cfRule>
  </conditionalFormatting>
  <conditionalFormatting sqref="Q16:Q17">
    <cfRule type="expression" priority="19" dxfId="2">
      <formula>AND(DAY(TODAY())=13, MONTH(TODAY())=7, YEAR(TODAY())=2028)</formula>
    </cfRule>
  </conditionalFormatting>
  <conditionalFormatting sqref="R16:R17">
    <cfRule type="expression" priority="20" dxfId="2">
      <formula>AND(DAY(TODAY())=14, MONTH(TODAY())=7, YEAR(TODAY())=2028)</formula>
    </cfRule>
  </conditionalFormatting>
  <conditionalFormatting sqref="S16:S17">
    <cfRule type="expression" priority="21" dxfId="2">
      <formula>AND(DAY(TODAY())=15, MONTH(TODAY())=7, YEAR(TODAY())=2028)</formula>
    </cfRule>
  </conditionalFormatting>
  <conditionalFormatting sqref="T16:T17">
    <cfRule type="expression" priority="22" dxfId="2">
      <formula>AND(DAY(TODAY())=16, MONTH(TODAY())=7, YEAR(TODAY())=2028)</formula>
    </cfRule>
  </conditionalFormatting>
  <conditionalFormatting sqref="U16:U17">
    <cfRule type="expression" priority="23" dxfId="2">
      <formula>AND(DAY(TODAY())=17, MONTH(TODAY())=7, YEAR(TODAY())=2028)</formula>
    </cfRule>
  </conditionalFormatting>
  <conditionalFormatting sqref="V16:V17">
    <cfRule type="expression" priority="24" dxfId="2">
      <formula>AND(DAY(TODAY())=18, MONTH(TODAY())=7, YEAR(TODAY())=2028)</formula>
    </cfRule>
  </conditionalFormatting>
  <conditionalFormatting sqref="W16:W17">
    <cfRule type="expression" priority="25" dxfId="2">
      <formula>AND(DAY(TODAY())=19, MONTH(TODAY())=7, YEAR(TODAY())=2028)</formula>
    </cfRule>
  </conditionalFormatting>
  <conditionalFormatting sqref="X16:X17">
    <cfRule type="expression" priority="26" dxfId="2">
      <formula>AND(DAY(TODAY())=20, MONTH(TODAY())=7, YEAR(TODAY())=2028)</formula>
    </cfRule>
  </conditionalFormatting>
  <conditionalFormatting sqref="Y16:Y17">
    <cfRule type="expression" priority="27" dxfId="2">
      <formula>AND(DAY(TODAY())=21, MONTH(TODAY())=7, YEAR(TODAY())=2028)</formula>
    </cfRule>
  </conditionalFormatting>
  <conditionalFormatting sqref="Z16:Z17">
    <cfRule type="expression" priority="28" dxfId="2">
      <formula>AND(DAY(TODAY())=22, MONTH(TODAY())=7, YEAR(TODAY())=2028)</formula>
    </cfRule>
  </conditionalFormatting>
  <conditionalFormatting sqref="AA16:AA17">
    <cfRule type="expression" priority="29" dxfId="2">
      <formula>AND(DAY(TODAY())=23, MONTH(TODAY())=7, YEAR(TODAY())=2028)</formula>
    </cfRule>
  </conditionalFormatting>
  <conditionalFormatting sqref="AB16:AB17">
    <cfRule type="expression" priority="30" dxfId="2">
      <formula>AND(DAY(TODAY())=24, MONTH(TODAY())=7, YEAR(TODAY())=2028)</formula>
    </cfRule>
  </conditionalFormatting>
  <conditionalFormatting sqref="AC16:AC17">
    <cfRule type="expression" priority="31" dxfId="2">
      <formula>AND(DAY(TODAY())=25, MONTH(TODAY())=7, YEAR(TODAY())=2028)</formula>
    </cfRule>
  </conditionalFormatting>
  <conditionalFormatting sqref="AD16:AD17">
    <cfRule type="expression" priority="32" dxfId="2">
      <formula>AND(DAY(TODAY())=26, MONTH(TODAY())=7, YEAR(TODAY())=2028)</formula>
    </cfRule>
  </conditionalFormatting>
  <conditionalFormatting sqref="AE16:AE17">
    <cfRule type="expression" priority="33" dxfId="2">
      <formula>AND(DAY(TODAY())=27, MONTH(TODAY())=7, YEAR(TODAY())=2028)</formula>
    </cfRule>
  </conditionalFormatting>
  <conditionalFormatting sqref="AF16:AF17">
    <cfRule type="expression" priority="34" dxfId="2">
      <formula>AND(DAY(TODAY())=28, MONTH(TODAY())=7, YEAR(TODAY())=2028)</formula>
    </cfRule>
  </conditionalFormatting>
  <conditionalFormatting sqref="AG16:AG17">
    <cfRule type="expression" priority="35" dxfId="2">
      <formula>AND(DAY(TODAY())=29, MONTH(TODAY())=7, YEAR(TODAY())=2028)</formula>
    </cfRule>
  </conditionalFormatting>
  <conditionalFormatting sqref="AH16:AH17">
    <cfRule type="expression" priority="36" dxfId="2">
      <formula>AND(DAY(TODAY())=30, MONTH(TODAY())=7, YEAR(TODAY())=2028)</formula>
    </cfRule>
  </conditionalFormatting>
  <conditionalFormatting sqref="AI16:AI17">
    <cfRule type="expression" priority="37" dxfId="2">
      <formula>AND(DAY(TODAY())=31, MONTH(TODAY())=7, YEAR(TODAY())=2028)</formula>
    </cfRule>
  </conditionalFormatting>
  <dataValidations count="4">
    <dataValidation sqref="C18:C37" showDropDown="0" showInputMessage="0" showErrorMessage="0" allowBlank="1" type="list">
      <formula1>"Health &amp; Fitness,Mindset &amp; Learning,Career &amp; Focus,Personal &amp; Home,Finance &amp; Wealth,Other"</formula1>
    </dataValidation>
    <dataValidation sqref="D18:D37" showDropDown="0" showInputMessage="0" showErrorMessage="0" allowBlank="1" type="list">
      <formula1>"1,2,3,4,5,6,7,8,9,10,11,12,13,14,15,16,17,18,19,20,21,22,23,24,25,26,27,28,29,30,31"</formula1>
    </dataValidation>
    <dataValidation sqref="E18:AI37" showDropDown="0" showInputMessage="0" showErrorMessage="0" allowBlank="1" type="list">
      <formula1>"✓,✗"</formula1>
    </dataValidation>
    <dataValidation sqref="E47:AI47" showDropDown="0" showInputMessage="0" showErrorMessage="0" allowBlank="1" type="list">
      <formula1>"1,2,3,4,5,6,7,8,9,10,11,12,13,14,15,16,17,18,19,20,21,22,23,24"</formula1>
    </dataValidation>
  </dataValidations>
  <hyperlinks>
    <hyperlink xmlns:r="http://schemas.openxmlformats.org/officeDocument/2006/relationships" ref="A1" r:id="rId1"/>
    <hyperlink xmlns:r="http://schemas.openxmlformats.org/officeDocument/2006/relationships" ref="C1" r:id="rId2"/>
    <hyperlink xmlns:r="http://schemas.openxmlformats.org/officeDocument/2006/relationships" ref="D1" r:id="rId3"/>
    <hyperlink xmlns:r="http://schemas.openxmlformats.org/officeDocument/2006/relationships" ref="E1" r:id="rId4"/>
    <hyperlink xmlns:r="http://schemas.openxmlformats.org/officeDocument/2006/relationships" ref="F1" r:id="rId5"/>
    <hyperlink xmlns:r="http://schemas.openxmlformats.org/officeDocument/2006/relationships" ref="G1" r:id="rId6"/>
    <hyperlink xmlns:r="http://schemas.openxmlformats.org/officeDocument/2006/relationships" ref="H1" r:id="rId7"/>
    <hyperlink xmlns:r="http://schemas.openxmlformats.org/officeDocument/2006/relationships" ref="I1" r:id="rId8"/>
    <hyperlink xmlns:r="http://schemas.openxmlformats.org/officeDocument/2006/relationships" ref="J1" r:id="rId9"/>
    <hyperlink xmlns:r="http://schemas.openxmlformats.org/officeDocument/2006/relationships" ref="K1" r:id="rId10"/>
  </hyperlinks>
  <printOptions horizontalCentered="1" verticalCentered="0"/>
  <pageMargins left="0.75" right="0.75" top="1" bottom="1" header="0.5" footer="0.5"/>
  <pageSetup orientation="landscape" paperSize="9" fitToHeight="0" fitToWidth="1"/>
  <drawing xmlns:r="http://schemas.openxmlformats.org/officeDocument/2006/relationships" r:id="rId11"/>
</worksheet>
</file>

<file path=xl/worksheets/sheet27.xml><?xml version="1.0" encoding="utf-8"?>
<worksheet xmlns="http://schemas.openxmlformats.org/spreadsheetml/2006/main">
  <sheetPr>
    <outlinePr summaryBelow="1" summaryRight="1"/>
    <pageSetUpPr fitToPage="1"/>
  </sheetPr>
  <dimension ref="A1:AM103"/>
  <sheetViews>
    <sheetView showGridLines="1" workbookViewId="0">
      <selection activeCell="A1" sqref="A1"/>
    </sheetView>
  </sheetViews>
  <sheetFormatPr baseColWidth="8" defaultRowHeight="15"/>
  <cols>
    <col width="6" customWidth="1" min="1" max="1"/>
    <col width="25" customWidth="1" min="2" max="2"/>
    <col width="16.5" customWidth="1" min="3" max="3"/>
    <col width="8" customWidth="1" min="4" max="4"/>
    <col width="4.8" customWidth="1" min="5" max="5"/>
    <col width="4.8" customWidth="1" min="6" max="6"/>
    <col width="4.8" customWidth="1" min="7" max="7"/>
    <col width="4.8" customWidth="1" min="8" max="8"/>
    <col width="4.8" customWidth="1" min="9" max="9"/>
    <col width="4.8" customWidth="1" min="10" max="10"/>
    <col width="4.8" customWidth="1" min="11" max="11"/>
    <col width="4.8" customWidth="1" min="12" max="12"/>
    <col width="4.8" customWidth="1" min="13" max="13"/>
    <col width="4.8" customWidth="1" min="14" max="14"/>
    <col width="4.8" customWidth="1" min="15" max="15"/>
    <col width="4.8" customWidth="1" min="16" max="16"/>
    <col width="4.8" customWidth="1" min="17" max="17"/>
    <col width="4.8" customWidth="1" min="18" max="18"/>
    <col width="4.8" customWidth="1" min="19" max="19"/>
    <col width="4.8" customWidth="1" min="20" max="20"/>
    <col width="4.8" customWidth="1" min="21" max="21"/>
    <col width="4.8" customWidth="1" min="22" max="22"/>
    <col width="4.8" customWidth="1" min="23" max="23"/>
    <col width="4.8" customWidth="1" min="24" max="24"/>
    <col width="4.8" customWidth="1" min="25" max="25"/>
    <col width="4.8" customWidth="1" min="26" max="26"/>
    <col width="4.8" customWidth="1" min="27" max="27"/>
    <col width="4.8" customWidth="1" min="28" max="28"/>
    <col width="4.8" customWidth="1" min="29" max="29"/>
    <col width="4.8" customWidth="1" min="30" max="30"/>
    <col width="4.8" customWidth="1" min="31" max="31"/>
    <col width="4.8" customWidth="1" min="32" max="32"/>
    <col width="4.8" customWidth="1" min="33" max="33"/>
    <col width="4.8" customWidth="1" min="34" max="34"/>
    <col width="4.8" customWidth="1" min="35" max="35"/>
    <col width="11.5" customWidth="1" min="36" max="36"/>
    <col width="12" customWidth="1" min="37" max="37"/>
    <col width="13.5" customWidth="1" min="38" max="38"/>
    <col hidden="1" width="8" customWidth="1" min="39" max="39"/>
  </cols>
  <sheetData>
    <row r="1" ht="18" customHeight="1">
      <c r="A1" s="76" t="inlineStr">
        <is>
          <t>🏠 Master Dashboard</t>
        </is>
      </c>
      <c r="B1" s="40" t="n"/>
      <c r="C1" s="77" t="inlineStr">
        <is>
          <t>🏛️ Quarterly Hub</t>
        </is>
      </c>
      <c r="D1" s="78" t="inlineStr">
        <is>
          <t>📚 Habit Library</t>
        </is>
      </c>
      <c r="E1" s="80" t="inlineStr">
        <is>
          <t>2026</t>
        </is>
      </c>
      <c r="F1" s="80" t="inlineStr">
        <is>
          <t>2027</t>
        </is>
      </c>
      <c r="G1" s="79" t="inlineStr">
        <is>
          <t>2028</t>
        </is>
      </c>
      <c r="H1" s="80" t="inlineStr">
        <is>
          <t>2029</t>
        </is>
      </c>
      <c r="I1" s="80" t="inlineStr">
        <is>
          <t>2030</t>
        </is>
      </c>
      <c r="J1" s="82" t="inlineStr">
        <is>
          <t>◀ Prev</t>
        </is>
      </c>
      <c r="K1" s="82" t="inlineStr">
        <is>
          <t>Next ▶</t>
        </is>
      </c>
    </row>
    <row r="2" ht="24" customHeight="1">
      <c r="A2" s="83" t="inlineStr">
        <is>
          <t>Habit Tracker</t>
        </is>
      </c>
      <c r="H2" s="84" t="inlineStr">
        <is>
          <t>"Consistency creates momentum."</t>
        </is>
      </c>
      <c r="AE2" s="85" t="inlineStr">
        <is>
          <t>@surajvansh</t>
        </is>
      </c>
    </row>
    <row r="3" ht="18" customHeight="1">
      <c r="A3" s="86" t="inlineStr">
        <is>
          <t>August 2028</t>
        </is>
      </c>
      <c r="H3" s="87" t="inlineStr">
        <is>
          <t>31 Days Dashboard</t>
        </is>
      </c>
    </row>
    <row r="4" ht="5" customHeight="1"/>
    <row r="5" ht="16" customHeight="1">
      <c r="A5" s="88" t="inlineStr">
        <is>
          <t>MONTHLY TARGETS</t>
        </is>
      </c>
    </row>
    <row r="6" ht="13" customHeight="1">
      <c r="A6" s="89" t="inlineStr">
        <is>
          <t>1. ____________________ : ____________________</t>
        </is>
      </c>
      <c r="P6" s="89" t="inlineStr">
        <is>
          <t>5. ____________________ : ____________________</t>
        </is>
      </c>
    </row>
    <row r="7" ht="13" customHeight="1">
      <c r="A7" s="89" t="inlineStr">
        <is>
          <t>2. ____________________ : ____________________</t>
        </is>
      </c>
      <c r="P7" s="89" t="inlineStr">
        <is>
          <t>6. ____________________ : ____________________</t>
        </is>
      </c>
    </row>
    <row r="8" ht="13" customHeight="1">
      <c r="A8" s="89" t="inlineStr">
        <is>
          <t>3. ____________________ : ____________________</t>
        </is>
      </c>
      <c r="P8" s="89" t="inlineStr">
        <is>
          <t>7. ____________________ : ____________________</t>
        </is>
      </c>
    </row>
    <row r="9" ht="13" customHeight="1">
      <c r="A9" s="89" t="inlineStr">
        <is>
          <t>4. ____________________ : ____________________</t>
        </is>
      </c>
      <c r="P9" s="89" t="inlineStr">
        <is>
          <t>8. ____________________ : ____________________</t>
        </is>
      </c>
    </row>
    <row r="10" ht="5" customHeight="1"/>
    <row r="11" ht="15" customHeight="1">
      <c r="A11" s="88" t="inlineStr">
        <is>
          <t>NOTES:</t>
        </is>
      </c>
    </row>
    <row r="12" ht="13" customHeight="1">
      <c r="A12" s="90" t="n"/>
      <c r="B12" s="91" t="n"/>
      <c r="C12" s="91" t="n"/>
      <c r="D12" s="91" t="n"/>
      <c r="E12" s="91" t="n"/>
      <c r="F12" s="91" t="n"/>
      <c r="G12" s="91" t="n"/>
      <c r="H12" s="91" t="n"/>
      <c r="I12" s="91" t="n"/>
      <c r="J12" s="91" t="n"/>
      <c r="K12" s="91" t="n"/>
      <c r="L12" s="91" t="n"/>
      <c r="M12" s="91" t="n"/>
      <c r="N12" s="91" t="n"/>
      <c r="O12" s="91" t="n"/>
      <c r="P12" s="91" t="n"/>
      <c r="Q12" s="91" t="n"/>
      <c r="R12" s="91" t="n"/>
      <c r="S12" s="91" t="n"/>
      <c r="T12" s="91" t="n"/>
      <c r="U12" s="91" t="n"/>
      <c r="V12" s="91" t="n"/>
      <c r="W12" s="91" t="n"/>
      <c r="X12" s="91" t="n"/>
      <c r="Y12" s="91" t="n"/>
      <c r="Z12" s="91" t="n"/>
      <c r="AA12" s="91" t="n"/>
      <c r="AB12" s="91" t="n"/>
      <c r="AC12" s="91" t="n"/>
      <c r="AD12" s="91" t="n"/>
      <c r="AE12" s="91" t="n"/>
      <c r="AF12" s="91" t="n"/>
      <c r="AG12" s="91" t="n"/>
      <c r="AH12" s="91" t="n"/>
      <c r="AI12" s="91" t="n"/>
      <c r="AJ12" s="91" t="n"/>
      <c r="AK12" s="91" t="n"/>
      <c r="AL12" s="91" t="n"/>
    </row>
    <row r="13" ht="13" customHeight="1">
      <c r="A13" s="91" t="n"/>
      <c r="B13" s="91" t="n"/>
      <c r="C13" s="91" t="n"/>
      <c r="D13" s="91" t="n"/>
      <c r="E13" s="91" t="n"/>
      <c r="F13" s="91" t="n"/>
      <c r="G13" s="91" t="n"/>
      <c r="H13" s="91" t="n"/>
      <c r="I13" s="91" t="n"/>
      <c r="J13" s="91" t="n"/>
      <c r="K13" s="91" t="n"/>
      <c r="L13" s="91" t="n"/>
      <c r="M13" s="91" t="n"/>
      <c r="N13" s="91" t="n"/>
      <c r="O13" s="91" t="n"/>
      <c r="P13" s="91" t="n"/>
      <c r="Q13" s="91" t="n"/>
      <c r="R13" s="91" t="n"/>
      <c r="S13" s="91" t="n"/>
      <c r="T13" s="91" t="n"/>
      <c r="U13" s="91" t="n"/>
      <c r="V13" s="91" t="n"/>
      <c r="W13" s="91" t="n"/>
      <c r="X13" s="91" t="n"/>
      <c r="Y13" s="91" t="n"/>
      <c r="Z13" s="91" t="n"/>
      <c r="AA13" s="91" t="n"/>
      <c r="AB13" s="91" t="n"/>
      <c r="AC13" s="91" t="n"/>
      <c r="AD13" s="91" t="n"/>
      <c r="AE13" s="91" t="n"/>
      <c r="AF13" s="91" t="n"/>
      <c r="AG13" s="91" t="n"/>
      <c r="AH13" s="91" t="n"/>
      <c r="AI13" s="91" t="n"/>
      <c r="AJ13" s="91" t="n"/>
      <c r="AK13" s="91" t="n"/>
      <c r="AL13" s="91" t="n"/>
    </row>
    <row r="14" ht="13" customHeight="1">
      <c r="A14" s="91" t="n"/>
      <c r="B14" s="91" t="n"/>
      <c r="C14" s="91" t="n"/>
      <c r="D14" s="91" t="n"/>
      <c r="E14" s="91" t="n"/>
      <c r="F14" s="91" t="n"/>
      <c r="G14" s="91" t="n"/>
      <c r="H14" s="91" t="n"/>
      <c r="I14" s="91" t="n"/>
      <c r="J14" s="91" t="n"/>
      <c r="K14" s="91" t="n"/>
      <c r="L14" s="91" t="n"/>
      <c r="M14" s="91" t="n"/>
      <c r="N14" s="91" t="n"/>
      <c r="O14" s="91" t="n"/>
      <c r="P14" s="91" t="n"/>
      <c r="Q14" s="91" t="n"/>
      <c r="R14" s="91" t="n"/>
      <c r="S14" s="91" t="n"/>
      <c r="T14" s="91" t="n"/>
      <c r="U14" s="91" t="n"/>
      <c r="V14" s="91" t="n"/>
      <c r="W14" s="91" t="n"/>
      <c r="X14" s="91" t="n"/>
      <c r="Y14" s="91" t="n"/>
      <c r="Z14" s="91" t="n"/>
      <c r="AA14" s="91" t="n"/>
      <c r="AB14" s="91" t="n"/>
      <c r="AC14" s="91" t="n"/>
      <c r="AD14" s="91" t="n"/>
      <c r="AE14" s="91" t="n"/>
      <c r="AF14" s="91" t="n"/>
      <c r="AG14" s="91" t="n"/>
      <c r="AH14" s="91" t="n"/>
      <c r="AI14" s="91" t="n"/>
      <c r="AJ14" s="91" t="n"/>
      <c r="AK14" s="91" t="n"/>
      <c r="AL14" s="91" t="n"/>
    </row>
    <row r="15" ht="8" customHeight="1"/>
    <row r="16" ht="15" customHeight="1">
      <c r="A16" s="33" t="inlineStr">
        <is>
          <t>S.No.</t>
        </is>
      </c>
      <c r="B16" s="33" t="inlineStr">
        <is>
          <t>Protocols</t>
        </is>
      </c>
      <c r="C16" s="33" t="inlineStr">
        <is>
          <t>Category</t>
        </is>
      </c>
      <c r="D16" s="33" t="inlineStr">
        <is>
          <t>Target</t>
        </is>
      </c>
      <c r="E16" s="92" t="n">
        <v>1</v>
      </c>
      <c r="F16" s="92" t="n">
        <v>2</v>
      </c>
      <c r="G16" s="92" t="n">
        <v>3</v>
      </c>
      <c r="H16" s="92" t="n">
        <v>4</v>
      </c>
      <c r="I16" s="92" t="n">
        <v>5</v>
      </c>
      <c r="J16" s="93" t="n">
        <v>6</v>
      </c>
      <c r="K16" s="92" t="n">
        <v>7</v>
      </c>
      <c r="L16" s="92" t="n">
        <v>8</v>
      </c>
      <c r="M16" s="92" t="n">
        <v>9</v>
      </c>
      <c r="N16" s="92" t="n">
        <v>10</v>
      </c>
      <c r="O16" s="92" t="n">
        <v>11</v>
      </c>
      <c r="P16" s="92" t="n">
        <v>12</v>
      </c>
      <c r="Q16" s="93" t="n">
        <v>13</v>
      </c>
      <c r="R16" s="92" t="n">
        <v>14</v>
      </c>
      <c r="S16" s="92" t="n">
        <v>15</v>
      </c>
      <c r="T16" s="92" t="n">
        <v>16</v>
      </c>
      <c r="U16" s="92" t="n">
        <v>17</v>
      </c>
      <c r="V16" s="92" t="n">
        <v>18</v>
      </c>
      <c r="W16" s="92" t="n">
        <v>19</v>
      </c>
      <c r="X16" s="93" t="n">
        <v>20</v>
      </c>
      <c r="Y16" s="92" t="n">
        <v>21</v>
      </c>
      <c r="Z16" s="92" t="n">
        <v>22</v>
      </c>
      <c r="AA16" s="92" t="n">
        <v>23</v>
      </c>
      <c r="AB16" s="92" t="n">
        <v>24</v>
      </c>
      <c r="AC16" s="92" t="n">
        <v>25</v>
      </c>
      <c r="AD16" s="92" t="n">
        <v>26</v>
      </c>
      <c r="AE16" s="93" t="n">
        <v>27</v>
      </c>
      <c r="AF16" s="92" t="n">
        <v>28</v>
      </c>
      <c r="AG16" s="92" t="n">
        <v>29</v>
      </c>
      <c r="AH16" s="92" t="n">
        <v>30</v>
      </c>
      <c r="AI16" s="92" t="n">
        <v>31</v>
      </c>
      <c r="AJ16" s="94" t="inlineStr">
        <is>
          <t>Success %</t>
        </is>
      </c>
      <c r="AK16" s="94" t="inlineStr">
        <is>
          <t>Done / Target</t>
        </is>
      </c>
      <c r="AL16" s="94" t="inlineStr">
        <is>
          <t>Status</t>
        </is>
      </c>
      <c r="AM16" t="inlineStr">
        <is>
          <t>Done Count</t>
        </is>
      </c>
    </row>
    <row r="17" ht="15" customHeight="1">
      <c r="A17" s="54" t="n"/>
      <c r="B17" s="54" t="n"/>
      <c r="C17" s="54" t="n"/>
      <c r="D17" s="54" t="n"/>
      <c r="E17" s="95" t="inlineStr">
        <is>
          <t>T</t>
        </is>
      </c>
      <c r="F17" s="95" t="inlineStr">
        <is>
          <t>W</t>
        </is>
      </c>
      <c r="G17" s="95" t="inlineStr">
        <is>
          <t>Th</t>
        </is>
      </c>
      <c r="H17" s="95" t="inlineStr">
        <is>
          <t>F</t>
        </is>
      </c>
      <c r="I17" s="95" t="inlineStr">
        <is>
          <t>Sa</t>
        </is>
      </c>
      <c r="J17" s="96" t="inlineStr">
        <is>
          <t>Su</t>
        </is>
      </c>
      <c r="K17" s="95" t="inlineStr">
        <is>
          <t>M</t>
        </is>
      </c>
      <c r="L17" s="95" t="inlineStr">
        <is>
          <t>T</t>
        </is>
      </c>
      <c r="M17" s="95" t="inlineStr">
        <is>
          <t>W</t>
        </is>
      </c>
      <c r="N17" s="95" t="inlineStr">
        <is>
          <t>Th</t>
        </is>
      </c>
      <c r="O17" s="95" t="inlineStr">
        <is>
          <t>F</t>
        </is>
      </c>
      <c r="P17" s="95" t="inlineStr">
        <is>
          <t>Sa</t>
        </is>
      </c>
      <c r="Q17" s="96" t="inlineStr">
        <is>
          <t>Su</t>
        </is>
      </c>
      <c r="R17" s="95" t="inlineStr">
        <is>
          <t>M</t>
        </is>
      </c>
      <c r="S17" s="95" t="inlineStr">
        <is>
          <t>T</t>
        </is>
      </c>
      <c r="T17" s="95" t="inlineStr">
        <is>
          <t>W</t>
        </is>
      </c>
      <c r="U17" s="95" t="inlineStr">
        <is>
          <t>Th</t>
        </is>
      </c>
      <c r="V17" s="95" t="inlineStr">
        <is>
          <t>F</t>
        </is>
      </c>
      <c r="W17" s="95" t="inlineStr">
        <is>
          <t>Sa</t>
        </is>
      </c>
      <c r="X17" s="96" t="inlineStr">
        <is>
          <t>Su</t>
        </is>
      </c>
      <c r="Y17" s="95" t="inlineStr">
        <is>
          <t>M</t>
        </is>
      </c>
      <c r="Z17" s="95" t="inlineStr">
        <is>
          <t>T</t>
        </is>
      </c>
      <c r="AA17" s="95" t="inlineStr">
        <is>
          <t>W</t>
        </is>
      </c>
      <c r="AB17" s="95" t="inlineStr">
        <is>
          <t>Th</t>
        </is>
      </c>
      <c r="AC17" s="95" t="inlineStr">
        <is>
          <t>F</t>
        </is>
      </c>
      <c r="AD17" s="95" t="inlineStr">
        <is>
          <t>Sa</t>
        </is>
      </c>
      <c r="AE17" s="96" t="inlineStr">
        <is>
          <t>Su</t>
        </is>
      </c>
      <c r="AF17" s="95" t="inlineStr">
        <is>
          <t>M</t>
        </is>
      </c>
      <c r="AG17" s="95" t="inlineStr">
        <is>
          <t>T</t>
        </is>
      </c>
      <c r="AH17" s="95" t="inlineStr">
        <is>
          <t>W</t>
        </is>
      </c>
      <c r="AI17" s="95" t="inlineStr">
        <is>
          <t>Th</t>
        </is>
      </c>
      <c r="AJ17" s="54" t="n"/>
      <c r="AK17" s="54" t="n"/>
      <c r="AL17" s="54" t="n"/>
    </row>
    <row r="18" ht="14.5" customHeight="1">
      <c r="A18" s="97" t="n">
        <v>1</v>
      </c>
      <c r="B18" s="98" t="n"/>
      <c r="C18" s="99" t="n"/>
      <c r="D18" s="99" t="n"/>
      <c r="E18" s="100" t="n"/>
      <c r="F18" s="100" t="n"/>
      <c r="G18" s="100" t="n"/>
      <c r="H18" s="100" t="n"/>
      <c r="I18" s="100" t="n"/>
      <c r="J18" s="101" t="n"/>
      <c r="K18" s="100" t="n"/>
      <c r="L18" s="100" t="n"/>
      <c r="M18" s="100" t="n"/>
      <c r="N18" s="100" t="n"/>
      <c r="O18" s="100" t="n"/>
      <c r="P18" s="100" t="n"/>
      <c r="Q18" s="101" t="n"/>
      <c r="R18" s="100" t="n"/>
      <c r="S18" s="100" t="n"/>
      <c r="T18" s="100" t="n"/>
      <c r="U18" s="100" t="n"/>
      <c r="V18" s="100" t="n"/>
      <c r="W18" s="100" t="n"/>
      <c r="X18" s="101" t="n"/>
      <c r="Y18" s="100" t="n"/>
      <c r="Z18" s="100" t="n"/>
      <c r="AA18" s="100" t="n"/>
      <c r="AB18" s="100" t="n"/>
      <c r="AC18" s="100" t="n"/>
      <c r="AD18" s="100" t="n"/>
      <c r="AE18" s="101" t="n"/>
      <c r="AF18" s="100" t="n"/>
      <c r="AG18" s="100" t="n"/>
      <c r="AH18" s="100" t="n"/>
      <c r="AI18" s="100" t="n"/>
      <c r="AJ18" s="102">
        <f>IF(ISBLANK(B18), "", IF(ISNUMBER(D18), IF(D18&gt;0, (COUNTIF(E18:AI18, "✓") + COUNTIF(E18:AI18, "✔") + COUNTIF(E18:AI18, "v") + COUNTIF(E18:AI18, "V"))/D18, 0), IF(((COUNTIF(E18:AI18, "✓") + COUNTIF(E18:AI18, "✔") + COUNTIF(E18:AI18, "v") + COUNTIF(E18:AI18, "V")) + COUNTIF(E18:AI18, "✗") + COUNTIF(E18:AI18, "x") + COUNTIF(E18:AI18, "X"))&gt;0, (COUNTIF(E18:AI18, "✓") + COUNTIF(E18:AI18, "✔") + COUNTIF(E18:AI18, "v") + COUNTIF(E18:AI18, "V"))/((COUNTIF(E18:AI18, "✓") + COUNTIF(E18:AI18, "✔") + COUNTIF(E18:AI18, "v") + COUNTIF(E18:AI18, "V")) + COUNTIF(E18:AI18, "✗") + COUNTIF(E18:AI18, "x") + COUNTIF(E18:AI18, "X")), "")))</f>
        <v/>
      </c>
      <c r="AK18" s="103">
        <f>IF(ISBLANK(B18), "", IF(ISNUMBER(D18), IF(D18&gt;0, (COUNTIF(E18:AI18, "✓") + COUNTIF(E18:AI18, "✔") + COUNTIF(E18:AI18, "v") + COUNTIF(E18:AI18, "V")) &amp; "/" &amp; D18, (COUNTIF(E18:AI18, "✓") + COUNTIF(E18:AI18, "✔") + COUNTIF(E18:AI18, "v") + COUNTIF(E18:AI18, "V")) &amp; "/0"), IF(((COUNTIF(E18:AI18, "✓") + COUNTIF(E18:AI18, "✔") + COUNTIF(E18:AI18, "v") + COUNTIF(E18:AI18, "V")) + COUNTIF(E18:AI18, "✗") + COUNTIF(E18:AI18, "x") + COUNTIF(E18:AI18, "X"))&gt;0, (COUNTIF(E18:AI18, "✓") + COUNTIF(E18:AI18, "✔") + COUNTIF(E18:AI18, "v") + COUNTIF(E18:AI18, "V")) &amp; "/" &amp; ((COUNTIF(E18:AI18, "✓") + COUNTIF(E18:AI18, "✔") + COUNTIF(E18:AI18, "v") + COUNTIF(E18:AI18, "V")) + COUNTIF(E18:AI18, "✗") + COUNTIF(E18:AI18, "x") + COUNTIF(E18:AI18, "X")), "")))</f>
        <v/>
      </c>
      <c r="AL18" s="103">
        <f>IF(ISBLANK(B18), "", IF(AJ18&gt;=0.85, "🔥 Mastered", IF(AJ18&gt;=0.7, "⚡ Consistent", "⚠️ Needs Focus")))</f>
        <v/>
      </c>
      <c r="AM18">
        <f>COUNTIF(E18:AI18, "✓")</f>
        <v/>
      </c>
    </row>
    <row r="19" ht="14.5" customHeight="1">
      <c r="A19" s="97" t="n">
        <v>2</v>
      </c>
      <c r="B19" s="98" t="n"/>
      <c r="C19" s="99" t="n"/>
      <c r="D19" s="99" t="n"/>
      <c r="E19" s="100" t="n"/>
      <c r="F19" s="100" t="n"/>
      <c r="G19" s="100" t="n"/>
      <c r="H19" s="100" t="n"/>
      <c r="I19" s="100" t="n"/>
      <c r="J19" s="101" t="n"/>
      <c r="K19" s="100" t="n"/>
      <c r="L19" s="100" t="n"/>
      <c r="M19" s="100" t="n"/>
      <c r="N19" s="100" t="n"/>
      <c r="O19" s="100" t="n"/>
      <c r="P19" s="100" t="n"/>
      <c r="Q19" s="101" t="n"/>
      <c r="R19" s="100" t="n"/>
      <c r="S19" s="100" t="n"/>
      <c r="T19" s="100" t="n"/>
      <c r="U19" s="100" t="n"/>
      <c r="V19" s="100" t="n"/>
      <c r="W19" s="100" t="n"/>
      <c r="X19" s="101" t="n"/>
      <c r="Y19" s="100" t="n"/>
      <c r="Z19" s="100" t="n"/>
      <c r="AA19" s="100" t="n"/>
      <c r="AB19" s="100" t="n"/>
      <c r="AC19" s="100" t="n"/>
      <c r="AD19" s="100" t="n"/>
      <c r="AE19" s="101" t="n"/>
      <c r="AF19" s="100" t="n"/>
      <c r="AG19" s="100" t="n"/>
      <c r="AH19" s="100" t="n"/>
      <c r="AI19" s="100" t="n"/>
      <c r="AJ19" s="102">
        <f>IF(ISBLANK(B19), "", IF(ISNUMBER(D19), IF(D19&gt;0, (COUNTIF(E19:AI19, "✓") + COUNTIF(E19:AI19, "✔") + COUNTIF(E19:AI19, "v") + COUNTIF(E19:AI19, "V"))/D19, 0), IF(((COUNTIF(E19:AI19, "✓") + COUNTIF(E19:AI19, "✔") + COUNTIF(E19:AI19, "v") + COUNTIF(E19:AI19, "V")) + COUNTIF(E19:AI19, "✗") + COUNTIF(E19:AI19, "x") + COUNTIF(E19:AI19, "X"))&gt;0, (COUNTIF(E19:AI19, "✓") + COUNTIF(E19:AI19, "✔") + COUNTIF(E19:AI19, "v") + COUNTIF(E19:AI19, "V"))/((COUNTIF(E19:AI19, "✓") + COUNTIF(E19:AI19, "✔") + COUNTIF(E19:AI19, "v") + COUNTIF(E19:AI19, "V")) + COUNTIF(E19:AI19, "✗") + COUNTIF(E19:AI19, "x") + COUNTIF(E19:AI19, "X")), "")))</f>
        <v/>
      </c>
      <c r="AK19" s="103">
        <f>IF(ISBLANK(B19), "", IF(ISNUMBER(D19), IF(D19&gt;0, (COUNTIF(E19:AI19, "✓") + COUNTIF(E19:AI19, "✔") + COUNTIF(E19:AI19, "v") + COUNTIF(E19:AI19, "V")) &amp; "/" &amp; D19, (COUNTIF(E19:AI19, "✓") + COUNTIF(E19:AI19, "✔") + COUNTIF(E19:AI19, "v") + COUNTIF(E19:AI19, "V")) &amp; "/0"), IF(((COUNTIF(E19:AI19, "✓") + COUNTIF(E19:AI19, "✔") + COUNTIF(E19:AI19, "v") + COUNTIF(E19:AI19, "V")) + COUNTIF(E19:AI19, "✗") + COUNTIF(E19:AI19, "x") + COUNTIF(E19:AI19, "X"))&gt;0, (COUNTIF(E19:AI19, "✓") + COUNTIF(E19:AI19, "✔") + COUNTIF(E19:AI19, "v") + COUNTIF(E19:AI19, "V")) &amp; "/" &amp; ((COUNTIF(E19:AI19, "✓") + COUNTIF(E19:AI19, "✔") + COUNTIF(E19:AI19, "v") + COUNTIF(E19:AI19, "V")) + COUNTIF(E19:AI19, "✗") + COUNTIF(E19:AI19, "x") + COUNTIF(E19:AI19, "X")), "")))</f>
        <v/>
      </c>
      <c r="AL19" s="103">
        <f>IF(ISBLANK(B19), "", IF(AJ19&gt;=0.85, "🔥 Mastered", IF(AJ19&gt;=0.7, "⚡ Consistent", "⚠️ Needs Focus")))</f>
        <v/>
      </c>
      <c r="AM19">
        <f>COUNTIF(E19:AI19, "✓")</f>
        <v/>
      </c>
    </row>
    <row r="20" ht="14.5" customHeight="1">
      <c r="A20" s="97" t="n">
        <v>3</v>
      </c>
      <c r="B20" s="98" t="n"/>
      <c r="C20" s="99" t="n"/>
      <c r="D20" s="99" t="n"/>
      <c r="E20" s="100" t="n"/>
      <c r="F20" s="100" t="n"/>
      <c r="G20" s="100" t="n"/>
      <c r="H20" s="100" t="n"/>
      <c r="I20" s="100" t="n"/>
      <c r="J20" s="101" t="n"/>
      <c r="K20" s="100" t="n"/>
      <c r="L20" s="100" t="n"/>
      <c r="M20" s="100" t="n"/>
      <c r="N20" s="100" t="n"/>
      <c r="O20" s="100" t="n"/>
      <c r="P20" s="100" t="n"/>
      <c r="Q20" s="101" t="n"/>
      <c r="R20" s="100" t="n"/>
      <c r="S20" s="100" t="n"/>
      <c r="T20" s="100" t="n"/>
      <c r="U20" s="100" t="n"/>
      <c r="V20" s="100" t="n"/>
      <c r="W20" s="100" t="n"/>
      <c r="X20" s="101" t="n"/>
      <c r="Y20" s="100" t="n"/>
      <c r="Z20" s="100" t="n"/>
      <c r="AA20" s="100" t="n"/>
      <c r="AB20" s="100" t="n"/>
      <c r="AC20" s="100" t="n"/>
      <c r="AD20" s="100" t="n"/>
      <c r="AE20" s="101" t="n"/>
      <c r="AF20" s="100" t="n"/>
      <c r="AG20" s="100" t="n"/>
      <c r="AH20" s="100" t="n"/>
      <c r="AI20" s="100" t="n"/>
      <c r="AJ20" s="102">
        <f>IF(ISBLANK(B20), "", IF(ISNUMBER(D20), IF(D20&gt;0, (COUNTIF(E20:AI20, "✓") + COUNTIF(E20:AI20, "✔") + COUNTIF(E20:AI20, "v") + COUNTIF(E20:AI20, "V"))/D20, 0), IF(((COUNTIF(E20:AI20, "✓") + COUNTIF(E20:AI20, "✔") + COUNTIF(E20:AI20, "v") + COUNTIF(E20:AI20, "V")) + COUNTIF(E20:AI20, "✗") + COUNTIF(E20:AI20, "x") + COUNTIF(E20:AI20, "X"))&gt;0, (COUNTIF(E20:AI20, "✓") + COUNTIF(E20:AI20, "✔") + COUNTIF(E20:AI20, "v") + COUNTIF(E20:AI20, "V"))/((COUNTIF(E20:AI20, "✓") + COUNTIF(E20:AI20, "✔") + COUNTIF(E20:AI20, "v") + COUNTIF(E20:AI20, "V")) + COUNTIF(E20:AI20, "✗") + COUNTIF(E20:AI20, "x") + COUNTIF(E20:AI20, "X")), "")))</f>
        <v/>
      </c>
      <c r="AK20" s="103">
        <f>IF(ISBLANK(B20), "", IF(ISNUMBER(D20), IF(D20&gt;0, (COUNTIF(E20:AI20, "✓") + COUNTIF(E20:AI20, "✔") + COUNTIF(E20:AI20, "v") + COUNTIF(E20:AI20, "V")) &amp; "/" &amp; D20, (COUNTIF(E20:AI20, "✓") + COUNTIF(E20:AI20, "✔") + COUNTIF(E20:AI20, "v") + COUNTIF(E20:AI20, "V")) &amp; "/0"), IF(((COUNTIF(E20:AI20, "✓") + COUNTIF(E20:AI20, "✔") + COUNTIF(E20:AI20, "v") + COUNTIF(E20:AI20, "V")) + COUNTIF(E20:AI20, "✗") + COUNTIF(E20:AI20, "x") + COUNTIF(E20:AI20, "X"))&gt;0, (COUNTIF(E20:AI20, "✓") + COUNTIF(E20:AI20, "✔") + COUNTIF(E20:AI20, "v") + COUNTIF(E20:AI20, "V")) &amp; "/" &amp; ((COUNTIF(E20:AI20, "✓") + COUNTIF(E20:AI20, "✔") + COUNTIF(E20:AI20, "v") + COUNTIF(E20:AI20, "V")) + COUNTIF(E20:AI20, "✗") + COUNTIF(E20:AI20, "x") + COUNTIF(E20:AI20, "X")), "")))</f>
        <v/>
      </c>
      <c r="AL20" s="103">
        <f>IF(ISBLANK(B20), "", IF(AJ20&gt;=0.85, "🔥 Mastered", IF(AJ20&gt;=0.7, "⚡ Consistent", "⚠️ Needs Focus")))</f>
        <v/>
      </c>
      <c r="AM20">
        <f>COUNTIF(E20:AI20, "✓")</f>
        <v/>
      </c>
    </row>
    <row r="21" ht="14.5" customHeight="1">
      <c r="A21" s="97" t="n">
        <v>4</v>
      </c>
      <c r="B21" s="98" t="n"/>
      <c r="C21" s="99" t="n"/>
      <c r="D21" s="99" t="n"/>
      <c r="E21" s="100" t="n"/>
      <c r="F21" s="100" t="n"/>
      <c r="G21" s="100" t="n"/>
      <c r="H21" s="100" t="n"/>
      <c r="I21" s="100" t="n"/>
      <c r="J21" s="101" t="n"/>
      <c r="K21" s="100" t="n"/>
      <c r="L21" s="100" t="n"/>
      <c r="M21" s="100" t="n"/>
      <c r="N21" s="100" t="n"/>
      <c r="O21" s="100" t="n"/>
      <c r="P21" s="100" t="n"/>
      <c r="Q21" s="101" t="n"/>
      <c r="R21" s="100" t="n"/>
      <c r="S21" s="100" t="n"/>
      <c r="T21" s="100" t="n"/>
      <c r="U21" s="100" t="n"/>
      <c r="V21" s="100" t="n"/>
      <c r="W21" s="100" t="n"/>
      <c r="X21" s="101" t="n"/>
      <c r="Y21" s="100" t="n"/>
      <c r="Z21" s="100" t="n"/>
      <c r="AA21" s="100" t="n"/>
      <c r="AB21" s="100" t="n"/>
      <c r="AC21" s="100" t="n"/>
      <c r="AD21" s="100" t="n"/>
      <c r="AE21" s="101" t="n"/>
      <c r="AF21" s="100" t="n"/>
      <c r="AG21" s="100" t="n"/>
      <c r="AH21" s="100" t="n"/>
      <c r="AI21" s="100" t="n"/>
      <c r="AJ21" s="102">
        <f>IF(ISBLANK(B21), "", IF(ISNUMBER(D21), IF(D21&gt;0, (COUNTIF(E21:AI21, "✓") + COUNTIF(E21:AI21, "✔") + COUNTIF(E21:AI21, "v") + COUNTIF(E21:AI21, "V"))/D21, 0), IF(((COUNTIF(E21:AI21, "✓") + COUNTIF(E21:AI21, "✔") + COUNTIF(E21:AI21, "v") + COUNTIF(E21:AI21, "V")) + COUNTIF(E21:AI21, "✗") + COUNTIF(E21:AI21, "x") + COUNTIF(E21:AI21, "X"))&gt;0, (COUNTIF(E21:AI21, "✓") + COUNTIF(E21:AI21, "✔") + COUNTIF(E21:AI21, "v") + COUNTIF(E21:AI21, "V"))/((COUNTIF(E21:AI21, "✓") + COUNTIF(E21:AI21, "✔") + COUNTIF(E21:AI21, "v") + COUNTIF(E21:AI21, "V")) + COUNTIF(E21:AI21, "✗") + COUNTIF(E21:AI21, "x") + COUNTIF(E21:AI21, "X")), "")))</f>
        <v/>
      </c>
      <c r="AK21" s="103">
        <f>IF(ISBLANK(B21), "", IF(ISNUMBER(D21), IF(D21&gt;0, (COUNTIF(E21:AI21, "✓") + COUNTIF(E21:AI21, "✔") + COUNTIF(E21:AI21, "v") + COUNTIF(E21:AI21, "V")) &amp; "/" &amp; D21, (COUNTIF(E21:AI21, "✓") + COUNTIF(E21:AI21, "✔") + COUNTIF(E21:AI21, "v") + COUNTIF(E21:AI21, "V")) &amp; "/0"), IF(((COUNTIF(E21:AI21, "✓") + COUNTIF(E21:AI21, "✔") + COUNTIF(E21:AI21, "v") + COUNTIF(E21:AI21, "V")) + COUNTIF(E21:AI21, "✗") + COUNTIF(E21:AI21, "x") + COUNTIF(E21:AI21, "X"))&gt;0, (COUNTIF(E21:AI21, "✓") + COUNTIF(E21:AI21, "✔") + COUNTIF(E21:AI21, "v") + COUNTIF(E21:AI21, "V")) &amp; "/" &amp; ((COUNTIF(E21:AI21, "✓") + COUNTIF(E21:AI21, "✔") + COUNTIF(E21:AI21, "v") + COUNTIF(E21:AI21, "V")) + COUNTIF(E21:AI21, "✗") + COUNTIF(E21:AI21, "x") + COUNTIF(E21:AI21, "X")), "")))</f>
        <v/>
      </c>
      <c r="AL21" s="103">
        <f>IF(ISBLANK(B21), "", IF(AJ21&gt;=0.85, "🔥 Mastered", IF(AJ21&gt;=0.7, "⚡ Consistent", "⚠️ Needs Focus")))</f>
        <v/>
      </c>
      <c r="AM21">
        <f>COUNTIF(E21:AI21, "✓")</f>
        <v/>
      </c>
    </row>
    <row r="22" ht="14.5" customHeight="1">
      <c r="A22" s="104" t="n">
        <v>5</v>
      </c>
      <c r="B22" s="105" t="n"/>
      <c r="C22" s="106" t="n"/>
      <c r="D22" s="106" t="n"/>
      <c r="E22" s="107" t="n"/>
      <c r="F22" s="107" t="n"/>
      <c r="G22" s="107" t="n"/>
      <c r="H22" s="107" t="n"/>
      <c r="I22" s="107" t="n"/>
      <c r="J22" s="108" t="n"/>
      <c r="K22" s="107" t="n"/>
      <c r="L22" s="107" t="n"/>
      <c r="M22" s="107" t="n"/>
      <c r="N22" s="107" t="n"/>
      <c r="O22" s="107" t="n"/>
      <c r="P22" s="107" t="n"/>
      <c r="Q22" s="108" t="n"/>
      <c r="R22" s="107" t="n"/>
      <c r="S22" s="107" t="n"/>
      <c r="T22" s="107" t="n"/>
      <c r="U22" s="107" t="n"/>
      <c r="V22" s="107" t="n"/>
      <c r="W22" s="107" t="n"/>
      <c r="X22" s="108" t="n"/>
      <c r="Y22" s="107" t="n"/>
      <c r="Z22" s="107" t="n"/>
      <c r="AA22" s="107" t="n"/>
      <c r="AB22" s="107" t="n"/>
      <c r="AC22" s="107" t="n"/>
      <c r="AD22" s="107" t="n"/>
      <c r="AE22" s="108" t="n"/>
      <c r="AF22" s="107" t="n"/>
      <c r="AG22" s="107" t="n"/>
      <c r="AH22" s="107" t="n"/>
      <c r="AI22" s="107" t="n"/>
      <c r="AJ22" s="109">
        <f>IF(ISBLANK(B22), "", IF(ISNUMBER(D22), IF(D22&gt;0, (COUNTIF(E22:AI22, "✓") + COUNTIF(E22:AI22, "✔") + COUNTIF(E22:AI22, "v") + COUNTIF(E22:AI22, "V"))/D22, 0), IF(((COUNTIF(E22:AI22, "✓") + COUNTIF(E22:AI22, "✔") + COUNTIF(E22:AI22, "v") + COUNTIF(E22:AI22, "V")) + COUNTIF(E22:AI22, "✗") + COUNTIF(E22:AI22, "x") + COUNTIF(E22:AI22, "X"))&gt;0, (COUNTIF(E22:AI22, "✓") + COUNTIF(E22:AI22, "✔") + COUNTIF(E22:AI22, "v") + COUNTIF(E22:AI22, "V"))/((COUNTIF(E22:AI22, "✓") + COUNTIF(E22:AI22, "✔") + COUNTIF(E22:AI22, "v") + COUNTIF(E22:AI22, "V")) + COUNTIF(E22:AI22, "✗") + COUNTIF(E22:AI22, "x") + COUNTIF(E22:AI22, "X")), "")))</f>
        <v/>
      </c>
      <c r="AK22" s="110">
        <f>IF(ISBLANK(B22), "", IF(ISNUMBER(D22), IF(D22&gt;0, (COUNTIF(E22:AI22, "✓") + COUNTIF(E22:AI22, "✔") + COUNTIF(E22:AI22, "v") + COUNTIF(E22:AI22, "V")) &amp; "/" &amp; D22, (COUNTIF(E22:AI22, "✓") + COUNTIF(E22:AI22, "✔") + COUNTIF(E22:AI22, "v") + COUNTIF(E22:AI22, "V")) &amp; "/0"), IF(((COUNTIF(E22:AI22, "✓") + COUNTIF(E22:AI22, "✔") + COUNTIF(E22:AI22, "v") + COUNTIF(E22:AI22, "V")) + COUNTIF(E22:AI22, "✗") + COUNTIF(E22:AI22, "x") + COUNTIF(E22:AI22, "X"))&gt;0, (COUNTIF(E22:AI22, "✓") + COUNTIF(E22:AI22, "✔") + COUNTIF(E22:AI22, "v") + COUNTIF(E22:AI22, "V")) &amp; "/" &amp; ((COUNTIF(E22:AI22, "✓") + COUNTIF(E22:AI22, "✔") + COUNTIF(E22:AI22, "v") + COUNTIF(E22:AI22, "V")) + COUNTIF(E22:AI22, "✗") + COUNTIF(E22:AI22, "x") + COUNTIF(E22:AI22, "X")), "")))</f>
        <v/>
      </c>
      <c r="AL22" s="110">
        <f>IF(ISBLANK(B22), "", IF(AJ22&gt;=0.85, "🔥 Mastered", IF(AJ22&gt;=0.7, "⚡ Consistent", "⚠️ Needs Focus")))</f>
        <v/>
      </c>
      <c r="AM22">
        <f>COUNTIF(E22:AI22, "✓")</f>
        <v/>
      </c>
    </row>
    <row r="23" ht="14.5" customHeight="1">
      <c r="A23" s="104" t="n">
        <v>6</v>
      </c>
      <c r="B23" s="105" t="n"/>
      <c r="C23" s="106" t="n"/>
      <c r="D23" s="106" t="n"/>
      <c r="E23" s="107" t="n"/>
      <c r="F23" s="107" t="n"/>
      <c r="G23" s="107" t="n"/>
      <c r="H23" s="107" t="n"/>
      <c r="I23" s="107" t="n"/>
      <c r="J23" s="108" t="n"/>
      <c r="K23" s="107" t="n"/>
      <c r="L23" s="107" t="n"/>
      <c r="M23" s="107" t="n"/>
      <c r="N23" s="107" t="n"/>
      <c r="O23" s="107" t="n"/>
      <c r="P23" s="107" t="n"/>
      <c r="Q23" s="108" t="n"/>
      <c r="R23" s="107" t="n"/>
      <c r="S23" s="107" t="n"/>
      <c r="T23" s="107" t="n"/>
      <c r="U23" s="107" t="n"/>
      <c r="V23" s="107" t="n"/>
      <c r="W23" s="107" t="n"/>
      <c r="X23" s="108" t="n"/>
      <c r="Y23" s="107" t="n"/>
      <c r="Z23" s="107" t="n"/>
      <c r="AA23" s="107" t="n"/>
      <c r="AB23" s="107" t="n"/>
      <c r="AC23" s="107" t="n"/>
      <c r="AD23" s="107" t="n"/>
      <c r="AE23" s="108" t="n"/>
      <c r="AF23" s="107" t="n"/>
      <c r="AG23" s="107" t="n"/>
      <c r="AH23" s="107" t="n"/>
      <c r="AI23" s="107" t="n"/>
      <c r="AJ23" s="109">
        <f>IF(ISBLANK(B23), "", IF(ISNUMBER(D23), IF(D23&gt;0, (COUNTIF(E23:AI23, "✓") + COUNTIF(E23:AI23, "✔") + COUNTIF(E23:AI23, "v") + COUNTIF(E23:AI23, "V"))/D23, 0), IF(((COUNTIF(E23:AI23, "✓") + COUNTIF(E23:AI23, "✔") + COUNTIF(E23:AI23, "v") + COUNTIF(E23:AI23, "V")) + COUNTIF(E23:AI23, "✗") + COUNTIF(E23:AI23, "x") + COUNTIF(E23:AI23, "X"))&gt;0, (COUNTIF(E23:AI23, "✓") + COUNTIF(E23:AI23, "✔") + COUNTIF(E23:AI23, "v") + COUNTIF(E23:AI23, "V"))/((COUNTIF(E23:AI23, "✓") + COUNTIF(E23:AI23, "✔") + COUNTIF(E23:AI23, "v") + COUNTIF(E23:AI23, "V")) + COUNTIF(E23:AI23, "✗") + COUNTIF(E23:AI23, "x") + COUNTIF(E23:AI23, "X")), "")))</f>
        <v/>
      </c>
      <c r="AK23" s="110">
        <f>IF(ISBLANK(B23), "", IF(ISNUMBER(D23), IF(D23&gt;0, (COUNTIF(E23:AI23, "✓") + COUNTIF(E23:AI23, "✔") + COUNTIF(E23:AI23, "v") + COUNTIF(E23:AI23, "V")) &amp; "/" &amp; D23, (COUNTIF(E23:AI23, "✓") + COUNTIF(E23:AI23, "✔") + COUNTIF(E23:AI23, "v") + COUNTIF(E23:AI23, "V")) &amp; "/0"), IF(((COUNTIF(E23:AI23, "✓") + COUNTIF(E23:AI23, "✔") + COUNTIF(E23:AI23, "v") + COUNTIF(E23:AI23, "V")) + COUNTIF(E23:AI23, "✗") + COUNTIF(E23:AI23, "x") + COUNTIF(E23:AI23, "X"))&gt;0, (COUNTIF(E23:AI23, "✓") + COUNTIF(E23:AI23, "✔") + COUNTIF(E23:AI23, "v") + COUNTIF(E23:AI23, "V")) &amp; "/" &amp; ((COUNTIF(E23:AI23, "✓") + COUNTIF(E23:AI23, "✔") + COUNTIF(E23:AI23, "v") + COUNTIF(E23:AI23, "V")) + COUNTIF(E23:AI23, "✗") + COUNTIF(E23:AI23, "x") + COUNTIF(E23:AI23, "X")), "")))</f>
        <v/>
      </c>
      <c r="AL23" s="110">
        <f>IF(ISBLANK(B23), "", IF(AJ23&gt;=0.85, "🔥 Mastered", IF(AJ23&gt;=0.7, "⚡ Consistent", "⚠️ Needs Focus")))</f>
        <v/>
      </c>
      <c r="AM23">
        <f>COUNTIF(E23:AI23, "✓")</f>
        <v/>
      </c>
    </row>
    <row r="24" ht="14.5" customHeight="1">
      <c r="A24" s="104" t="n">
        <v>7</v>
      </c>
      <c r="B24" s="105" t="n"/>
      <c r="C24" s="106" t="n"/>
      <c r="D24" s="106" t="n"/>
      <c r="E24" s="107" t="n"/>
      <c r="F24" s="107" t="n"/>
      <c r="G24" s="107" t="n"/>
      <c r="H24" s="107" t="n"/>
      <c r="I24" s="107" t="n"/>
      <c r="J24" s="108" t="n"/>
      <c r="K24" s="107" t="n"/>
      <c r="L24" s="107" t="n"/>
      <c r="M24" s="107" t="n"/>
      <c r="N24" s="107" t="n"/>
      <c r="O24" s="107" t="n"/>
      <c r="P24" s="107" t="n"/>
      <c r="Q24" s="108" t="n"/>
      <c r="R24" s="107" t="n"/>
      <c r="S24" s="107" t="n"/>
      <c r="T24" s="107" t="n"/>
      <c r="U24" s="107" t="n"/>
      <c r="V24" s="107" t="n"/>
      <c r="W24" s="107" t="n"/>
      <c r="X24" s="108" t="n"/>
      <c r="Y24" s="107" t="n"/>
      <c r="Z24" s="107" t="n"/>
      <c r="AA24" s="107" t="n"/>
      <c r="AB24" s="107" t="n"/>
      <c r="AC24" s="107" t="n"/>
      <c r="AD24" s="107" t="n"/>
      <c r="AE24" s="108" t="n"/>
      <c r="AF24" s="107" t="n"/>
      <c r="AG24" s="107" t="n"/>
      <c r="AH24" s="107" t="n"/>
      <c r="AI24" s="107" t="n"/>
      <c r="AJ24" s="109">
        <f>IF(ISBLANK(B24), "", IF(ISNUMBER(D24), IF(D24&gt;0, (COUNTIF(E24:AI24, "✓") + COUNTIF(E24:AI24, "✔") + COUNTIF(E24:AI24, "v") + COUNTIF(E24:AI24, "V"))/D24, 0), IF(((COUNTIF(E24:AI24, "✓") + COUNTIF(E24:AI24, "✔") + COUNTIF(E24:AI24, "v") + COUNTIF(E24:AI24, "V")) + COUNTIF(E24:AI24, "✗") + COUNTIF(E24:AI24, "x") + COUNTIF(E24:AI24, "X"))&gt;0, (COUNTIF(E24:AI24, "✓") + COUNTIF(E24:AI24, "✔") + COUNTIF(E24:AI24, "v") + COUNTIF(E24:AI24, "V"))/((COUNTIF(E24:AI24, "✓") + COUNTIF(E24:AI24, "✔") + COUNTIF(E24:AI24, "v") + COUNTIF(E24:AI24, "V")) + COUNTIF(E24:AI24, "✗") + COUNTIF(E24:AI24, "x") + COUNTIF(E24:AI24, "X")), "")))</f>
        <v/>
      </c>
      <c r="AK24" s="110">
        <f>IF(ISBLANK(B24), "", IF(ISNUMBER(D24), IF(D24&gt;0, (COUNTIF(E24:AI24, "✓") + COUNTIF(E24:AI24, "✔") + COUNTIF(E24:AI24, "v") + COUNTIF(E24:AI24, "V")) &amp; "/" &amp; D24, (COUNTIF(E24:AI24, "✓") + COUNTIF(E24:AI24, "✔") + COUNTIF(E24:AI24, "v") + COUNTIF(E24:AI24, "V")) &amp; "/0"), IF(((COUNTIF(E24:AI24, "✓") + COUNTIF(E24:AI24, "✔") + COUNTIF(E24:AI24, "v") + COUNTIF(E24:AI24, "V")) + COUNTIF(E24:AI24, "✗") + COUNTIF(E24:AI24, "x") + COUNTIF(E24:AI24, "X"))&gt;0, (COUNTIF(E24:AI24, "✓") + COUNTIF(E24:AI24, "✔") + COUNTIF(E24:AI24, "v") + COUNTIF(E24:AI24, "V")) &amp; "/" &amp; ((COUNTIF(E24:AI24, "✓") + COUNTIF(E24:AI24, "✔") + COUNTIF(E24:AI24, "v") + COUNTIF(E24:AI24, "V")) + COUNTIF(E24:AI24, "✗") + COUNTIF(E24:AI24, "x") + COUNTIF(E24:AI24, "X")), "")))</f>
        <v/>
      </c>
      <c r="AL24" s="110">
        <f>IF(ISBLANK(B24), "", IF(AJ24&gt;=0.85, "🔥 Mastered", IF(AJ24&gt;=0.7, "⚡ Consistent", "⚠️ Needs Focus")))</f>
        <v/>
      </c>
      <c r="AM24">
        <f>COUNTIF(E24:AI24, "✓")</f>
        <v/>
      </c>
    </row>
    <row r="25" ht="14.5" customHeight="1">
      <c r="A25" s="104" t="n">
        <v>8</v>
      </c>
      <c r="B25" s="105" t="n"/>
      <c r="C25" s="106" t="n"/>
      <c r="D25" s="106" t="n"/>
      <c r="E25" s="107" t="n"/>
      <c r="F25" s="107" t="n"/>
      <c r="G25" s="107" t="n"/>
      <c r="H25" s="107" t="n"/>
      <c r="I25" s="107" t="n"/>
      <c r="J25" s="108" t="n"/>
      <c r="K25" s="107" t="n"/>
      <c r="L25" s="107" t="n"/>
      <c r="M25" s="107" t="n"/>
      <c r="N25" s="107" t="n"/>
      <c r="O25" s="107" t="n"/>
      <c r="P25" s="107" t="n"/>
      <c r="Q25" s="108" t="n"/>
      <c r="R25" s="107" t="n"/>
      <c r="S25" s="107" t="n"/>
      <c r="T25" s="107" t="n"/>
      <c r="U25" s="107" t="n"/>
      <c r="V25" s="107" t="n"/>
      <c r="W25" s="107" t="n"/>
      <c r="X25" s="108" t="n"/>
      <c r="Y25" s="107" t="n"/>
      <c r="Z25" s="107" t="n"/>
      <c r="AA25" s="107" t="n"/>
      <c r="AB25" s="107" t="n"/>
      <c r="AC25" s="107" t="n"/>
      <c r="AD25" s="107" t="n"/>
      <c r="AE25" s="108" t="n"/>
      <c r="AF25" s="107" t="n"/>
      <c r="AG25" s="107" t="n"/>
      <c r="AH25" s="107" t="n"/>
      <c r="AI25" s="107" t="n"/>
      <c r="AJ25" s="109">
        <f>IF(ISBLANK(B25), "", IF(ISNUMBER(D25), IF(D25&gt;0, (COUNTIF(E25:AI25, "✓") + COUNTIF(E25:AI25, "✔") + COUNTIF(E25:AI25, "v") + COUNTIF(E25:AI25, "V"))/D25, 0), IF(((COUNTIF(E25:AI25, "✓") + COUNTIF(E25:AI25, "✔") + COUNTIF(E25:AI25, "v") + COUNTIF(E25:AI25, "V")) + COUNTIF(E25:AI25, "✗") + COUNTIF(E25:AI25, "x") + COUNTIF(E25:AI25, "X"))&gt;0, (COUNTIF(E25:AI25, "✓") + COUNTIF(E25:AI25, "✔") + COUNTIF(E25:AI25, "v") + COUNTIF(E25:AI25, "V"))/((COUNTIF(E25:AI25, "✓") + COUNTIF(E25:AI25, "✔") + COUNTIF(E25:AI25, "v") + COUNTIF(E25:AI25, "V")) + COUNTIF(E25:AI25, "✗") + COUNTIF(E25:AI25, "x") + COUNTIF(E25:AI25, "X")), "")))</f>
        <v/>
      </c>
      <c r="AK25" s="110">
        <f>IF(ISBLANK(B25), "", IF(ISNUMBER(D25), IF(D25&gt;0, (COUNTIF(E25:AI25, "✓") + COUNTIF(E25:AI25, "✔") + COUNTIF(E25:AI25, "v") + COUNTIF(E25:AI25, "V")) &amp; "/" &amp; D25, (COUNTIF(E25:AI25, "✓") + COUNTIF(E25:AI25, "✔") + COUNTIF(E25:AI25, "v") + COUNTIF(E25:AI25, "V")) &amp; "/0"), IF(((COUNTIF(E25:AI25, "✓") + COUNTIF(E25:AI25, "✔") + COUNTIF(E25:AI25, "v") + COUNTIF(E25:AI25, "V")) + COUNTIF(E25:AI25, "✗") + COUNTIF(E25:AI25, "x") + COUNTIF(E25:AI25, "X"))&gt;0, (COUNTIF(E25:AI25, "✓") + COUNTIF(E25:AI25, "✔") + COUNTIF(E25:AI25, "v") + COUNTIF(E25:AI25, "V")) &amp; "/" &amp; ((COUNTIF(E25:AI25, "✓") + COUNTIF(E25:AI25, "✔") + COUNTIF(E25:AI25, "v") + COUNTIF(E25:AI25, "V")) + COUNTIF(E25:AI25, "✗") + COUNTIF(E25:AI25, "x") + COUNTIF(E25:AI25, "X")), "")))</f>
        <v/>
      </c>
      <c r="AL25" s="110">
        <f>IF(ISBLANK(B25), "", IF(AJ25&gt;=0.85, "🔥 Mastered", IF(AJ25&gt;=0.7, "⚡ Consistent", "⚠️ Needs Focus")))</f>
        <v/>
      </c>
      <c r="AM25">
        <f>COUNTIF(E25:AI25, "✓")</f>
        <v/>
      </c>
    </row>
    <row r="26" ht="14.5" customHeight="1">
      <c r="A26" s="111" t="n">
        <v>9</v>
      </c>
      <c r="B26" s="112" t="n"/>
      <c r="C26" s="113" t="n"/>
      <c r="D26" s="113" t="n"/>
      <c r="E26" s="114" t="n"/>
      <c r="F26" s="114" t="n"/>
      <c r="G26" s="114" t="n"/>
      <c r="H26" s="114" t="n"/>
      <c r="I26" s="114" t="n"/>
      <c r="J26" s="115" t="n"/>
      <c r="K26" s="114" t="n"/>
      <c r="L26" s="114" t="n"/>
      <c r="M26" s="114" t="n"/>
      <c r="N26" s="114" t="n"/>
      <c r="O26" s="114" t="n"/>
      <c r="P26" s="114" t="n"/>
      <c r="Q26" s="115" t="n"/>
      <c r="R26" s="114" t="n"/>
      <c r="S26" s="114" t="n"/>
      <c r="T26" s="114" t="n"/>
      <c r="U26" s="114" t="n"/>
      <c r="V26" s="114" t="n"/>
      <c r="W26" s="114" t="n"/>
      <c r="X26" s="115" t="n"/>
      <c r="Y26" s="114" t="n"/>
      <c r="Z26" s="114" t="n"/>
      <c r="AA26" s="114" t="n"/>
      <c r="AB26" s="114" t="n"/>
      <c r="AC26" s="114" t="n"/>
      <c r="AD26" s="114" t="n"/>
      <c r="AE26" s="115" t="n"/>
      <c r="AF26" s="114" t="n"/>
      <c r="AG26" s="114" t="n"/>
      <c r="AH26" s="114" t="n"/>
      <c r="AI26" s="114" t="n"/>
      <c r="AJ26" s="116">
        <f>IF(ISBLANK(B26), "", IF(ISNUMBER(D26), IF(D26&gt;0, (COUNTIF(E26:AI26, "✓") + COUNTIF(E26:AI26, "✔") + COUNTIF(E26:AI26, "v") + COUNTIF(E26:AI26, "V"))/D26, 0), IF(((COUNTIF(E26:AI26, "✓") + COUNTIF(E26:AI26, "✔") + COUNTIF(E26:AI26, "v") + COUNTIF(E26:AI26, "V")) + COUNTIF(E26:AI26, "✗") + COUNTIF(E26:AI26, "x") + COUNTIF(E26:AI26, "X"))&gt;0, (COUNTIF(E26:AI26, "✓") + COUNTIF(E26:AI26, "✔") + COUNTIF(E26:AI26, "v") + COUNTIF(E26:AI26, "V"))/((COUNTIF(E26:AI26, "✓") + COUNTIF(E26:AI26, "✔") + COUNTIF(E26:AI26, "v") + COUNTIF(E26:AI26, "V")) + COUNTIF(E26:AI26, "✗") + COUNTIF(E26:AI26, "x") + COUNTIF(E26:AI26, "X")), "")))</f>
        <v/>
      </c>
      <c r="AK26" s="117">
        <f>IF(ISBLANK(B26), "", IF(ISNUMBER(D26), IF(D26&gt;0, (COUNTIF(E26:AI26, "✓") + COUNTIF(E26:AI26, "✔") + COUNTIF(E26:AI26, "v") + COUNTIF(E26:AI26, "V")) &amp; "/" &amp; D26, (COUNTIF(E26:AI26, "✓") + COUNTIF(E26:AI26, "✔") + COUNTIF(E26:AI26, "v") + COUNTIF(E26:AI26, "V")) &amp; "/0"), IF(((COUNTIF(E26:AI26, "✓") + COUNTIF(E26:AI26, "✔") + COUNTIF(E26:AI26, "v") + COUNTIF(E26:AI26, "V")) + COUNTIF(E26:AI26, "✗") + COUNTIF(E26:AI26, "x") + COUNTIF(E26:AI26, "X"))&gt;0, (COUNTIF(E26:AI26, "✓") + COUNTIF(E26:AI26, "✔") + COUNTIF(E26:AI26, "v") + COUNTIF(E26:AI26, "V")) &amp; "/" &amp; ((COUNTIF(E26:AI26, "✓") + COUNTIF(E26:AI26, "✔") + COUNTIF(E26:AI26, "v") + COUNTIF(E26:AI26, "V")) + COUNTIF(E26:AI26, "✗") + COUNTIF(E26:AI26, "x") + COUNTIF(E26:AI26, "X")), "")))</f>
        <v/>
      </c>
      <c r="AL26" s="117">
        <f>IF(ISBLANK(B26), "", IF(AJ26&gt;=0.85, "🔥 Mastered", IF(AJ26&gt;=0.7, "⚡ Consistent", "⚠️ Needs Focus")))</f>
        <v/>
      </c>
      <c r="AM26">
        <f>COUNTIF(E26:AI26, "✓")</f>
        <v/>
      </c>
    </row>
    <row r="27" ht="14.5" customHeight="1">
      <c r="A27" s="111" t="n">
        <v>10</v>
      </c>
      <c r="B27" s="112" t="n"/>
      <c r="C27" s="113" t="n"/>
      <c r="D27" s="113" t="n"/>
      <c r="E27" s="114" t="n"/>
      <c r="F27" s="114" t="n"/>
      <c r="G27" s="114" t="n"/>
      <c r="H27" s="114" t="n"/>
      <c r="I27" s="114" t="n"/>
      <c r="J27" s="115" t="n"/>
      <c r="K27" s="114" t="n"/>
      <c r="L27" s="114" t="n"/>
      <c r="M27" s="114" t="n"/>
      <c r="N27" s="114" t="n"/>
      <c r="O27" s="114" t="n"/>
      <c r="P27" s="114" t="n"/>
      <c r="Q27" s="115" t="n"/>
      <c r="R27" s="114" t="n"/>
      <c r="S27" s="114" t="n"/>
      <c r="T27" s="114" t="n"/>
      <c r="U27" s="114" t="n"/>
      <c r="V27" s="114" t="n"/>
      <c r="W27" s="114" t="n"/>
      <c r="X27" s="115" t="n"/>
      <c r="Y27" s="114" t="n"/>
      <c r="Z27" s="114" t="n"/>
      <c r="AA27" s="114" t="n"/>
      <c r="AB27" s="114" t="n"/>
      <c r="AC27" s="114" t="n"/>
      <c r="AD27" s="114" t="n"/>
      <c r="AE27" s="115" t="n"/>
      <c r="AF27" s="114" t="n"/>
      <c r="AG27" s="114" t="n"/>
      <c r="AH27" s="114" t="n"/>
      <c r="AI27" s="114" t="n"/>
      <c r="AJ27" s="116">
        <f>IF(ISBLANK(B27), "", IF(ISNUMBER(D27), IF(D27&gt;0, (COUNTIF(E27:AI27, "✓") + COUNTIF(E27:AI27, "✔") + COUNTIF(E27:AI27, "v") + COUNTIF(E27:AI27, "V"))/D27, 0), IF(((COUNTIF(E27:AI27, "✓") + COUNTIF(E27:AI27, "✔") + COUNTIF(E27:AI27, "v") + COUNTIF(E27:AI27, "V")) + COUNTIF(E27:AI27, "✗") + COUNTIF(E27:AI27, "x") + COUNTIF(E27:AI27, "X"))&gt;0, (COUNTIF(E27:AI27, "✓") + COUNTIF(E27:AI27, "✔") + COUNTIF(E27:AI27, "v") + COUNTIF(E27:AI27, "V"))/((COUNTIF(E27:AI27, "✓") + COUNTIF(E27:AI27, "✔") + COUNTIF(E27:AI27, "v") + COUNTIF(E27:AI27, "V")) + COUNTIF(E27:AI27, "✗") + COUNTIF(E27:AI27, "x") + COUNTIF(E27:AI27, "X")), "")))</f>
        <v/>
      </c>
      <c r="AK27" s="117">
        <f>IF(ISBLANK(B27), "", IF(ISNUMBER(D27), IF(D27&gt;0, (COUNTIF(E27:AI27, "✓") + COUNTIF(E27:AI27, "✔") + COUNTIF(E27:AI27, "v") + COUNTIF(E27:AI27, "V")) &amp; "/" &amp; D27, (COUNTIF(E27:AI27, "✓") + COUNTIF(E27:AI27, "✔") + COUNTIF(E27:AI27, "v") + COUNTIF(E27:AI27, "V")) &amp; "/0"), IF(((COUNTIF(E27:AI27, "✓") + COUNTIF(E27:AI27, "✔") + COUNTIF(E27:AI27, "v") + COUNTIF(E27:AI27, "V")) + COUNTIF(E27:AI27, "✗") + COUNTIF(E27:AI27, "x") + COUNTIF(E27:AI27, "X"))&gt;0, (COUNTIF(E27:AI27, "✓") + COUNTIF(E27:AI27, "✔") + COUNTIF(E27:AI27, "v") + COUNTIF(E27:AI27, "V")) &amp; "/" &amp; ((COUNTIF(E27:AI27, "✓") + COUNTIF(E27:AI27, "✔") + COUNTIF(E27:AI27, "v") + COUNTIF(E27:AI27, "V")) + COUNTIF(E27:AI27, "✗") + COUNTIF(E27:AI27, "x") + COUNTIF(E27:AI27, "X")), "")))</f>
        <v/>
      </c>
      <c r="AL27" s="117">
        <f>IF(ISBLANK(B27), "", IF(AJ27&gt;=0.85, "🔥 Mastered", IF(AJ27&gt;=0.7, "⚡ Consistent", "⚠️ Needs Focus")))</f>
        <v/>
      </c>
      <c r="AM27">
        <f>COUNTIF(E27:AI27, "✓")</f>
        <v/>
      </c>
    </row>
    <row r="28" ht="14.5" customHeight="1">
      <c r="A28" s="111" t="n">
        <v>11</v>
      </c>
      <c r="B28" s="112" t="n"/>
      <c r="C28" s="113" t="n"/>
      <c r="D28" s="113" t="n"/>
      <c r="E28" s="114" t="n"/>
      <c r="F28" s="114" t="n"/>
      <c r="G28" s="114" t="n"/>
      <c r="H28" s="114" t="n"/>
      <c r="I28" s="114" t="n"/>
      <c r="J28" s="115" t="n"/>
      <c r="K28" s="114" t="n"/>
      <c r="L28" s="114" t="n"/>
      <c r="M28" s="114" t="n"/>
      <c r="N28" s="114" t="n"/>
      <c r="O28" s="114" t="n"/>
      <c r="P28" s="114" t="n"/>
      <c r="Q28" s="115" t="n"/>
      <c r="R28" s="114" t="n"/>
      <c r="S28" s="114" t="n"/>
      <c r="T28" s="114" t="n"/>
      <c r="U28" s="114" t="n"/>
      <c r="V28" s="114" t="n"/>
      <c r="W28" s="114" t="n"/>
      <c r="X28" s="115" t="n"/>
      <c r="Y28" s="114" t="n"/>
      <c r="Z28" s="114" t="n"/>
      <c r="AA28" s="114" t="n"/>
      <c r="AB28" s="114" t="n"/>
      <c r="AC28" s="114" t="n"/>
      <c r="AD28" s="114" t="n"/>
      <c r="AE28" s="115" t="n"/>
      <c r="AF28" s="114" t="n"/>
      <c r="AG28" s="114" t="n"/>
      <c r="AH28" s="114" t="n"/>
      <c r="AI28" s="114" t="n"/>
      <c r="AJ28" s="116">
        <f>IF(ISBLANK(B28), "", IF(ISNUMBER(D28), IF(D28&gt;0, (COUNTIF(E28:AI28, "✓") + COUNTIF(E28:AI28, "✔") + COUNTIF(E28:AI28, "v") + COUNTIF(E28:AI28, "V"))/D28, 0), IF(((COUNTIF(E28:AI28, "✓") + COUNTIF(E28:AI28, "✔") + COUNTIF(E28:AI28, "v") + COUNTIF(E28:AI28, "V")) + COUNTIF(E28:AI28, "✗") + COUNTIF(E28:AI28, "x") + COUNTIF(E28:AI28, "X"))&gt;0, (COUNTIF(E28:AI28, "✓") + COUNTIF(E28:AI28, "✔") + COUNTIF(E28:AI28, "v") + COUNTIF(E28:AI28, "V"))/((COUNTIF(E28:AI28, "✓") + COUNTIF(E28:AI28, "✔") + COUNTIF(E28:AI28, "v") + COUNTIF(E28:AI28, "V")) + COUNTIF(E28:AI28, "✗") + COUNTIF(E28:AI28, "x") + COUNTIF(E28:AI28, "X")), "")))</f>
        <v/>
      </c>
      <c r="AK28" s="117">
        <f>IF(ISBLANK(B28), "", IF(ISNUMBER(D28), IF(D28&gt;0, (COUNTIF(E28:AI28, "✓") + COUNTIF(E28:AI28, "✔") + COUNTIF(E28:AI28, "v") + COUNTIF(E28:AI28, "V")) &amp; "/" &amp; D28, (COUNTIF(E28:AI28, "✓") + COUNTIF(E28:AI28, "✔") + COUNTIF(E28:AI28, "v") + COUNTIF(E28:AI28, "V")) &amp; "/0"), IF(((COUNTIF(E28:AI28, "✓") + COUNTIF(E28:AI28, "✔") + COUNTIF(E28:AI28, "v") + COUNTIF(E28:AI28, "V")) + COUNTIF(E28:AI28, "✗") + COUNTIF(E28:AI28, "x") + COUNTIF(E28:AI28, "X"))&gt;0, (COUNTIF(E28:AI28, "✓") + COUNTIF(E28:AI28, "✔") + COUNTIF(E28:AI28, "v") + COUNTIF(E28:AI28, "V")) &amp; "/" &amp; ((COUNTIF(E28:AI28, "✓") + COUNTIF(E28:AI28, "✔") + COUNTIF(E28:AI28, "v") + COUNTIF(E28:AI28, "V")) + COUNTIF(E28:AI28, "✗") + COUNTIF(E28:AI28, "x") + COUNTIF(E28:AI28, "X")), "")))</f>
        <v/>
      </c>
      <c r="AL28" s="117">
        <f>IF(ISBLANK(B28), "", IF(AJ28&gt;=0.85, "🔥 Mastered", IF(AJ28&gt;=0.7, "⚡ Consistent", "⚠️ Needs Focus")))</f>
        <v/>
      </c>
      <c r="AM28">
        <f>COUNTIF(E28:AI28, "✓")</f>
        <v/>
      </c>
    </row>
    <row r="29" ht="14.5" customHeight="1">
      <c r="A29" s="111" t="n">
        <v>12</v>
      </c>
      <c r="B29" s="112" t="n"/>
      <c r="C29" s="113" t="n"/>
      <c r="D29" s="113" t="n"/>
      <c r="E29" s="114" t="n"/>
      <c r="F29" s="114" t="n"/>
      <c r="G29" s="114" t="n"/>
      <c r="H29" s="114" t="n"/>
      <c r="I29" s="114" t="n"/>
      <c r="J29" s="115" t="n"/>
      <c r="K29" s="114" t="n"/>
      <c r="L29" s="114" t="n"/>
      <c r="M29" s="114" t="n"/>
      <c r="N29" s="114" t="n"/>
      <c r="O29" s="114" t="n"/>
      <c r="P29" s="114" t="n"/>
      <c r="Q29" s="115" t="n"/>
      <c r="R29" s="114" t="n"/>
      <c r="S29" s="114" t="n"/>
      <c r="T29" s="114" t="n"/>
      <c r="U29" s="114" t="n"/>
      <c r="V29" s="114" t="n"/>
      <c r="W29" s="114" t="n"/>
      <c r="X29" s="115" t="n"/>
      <c r="Y29" s="114" t="n"/>
      <c r="Z29" s="114" t="n"/>
      <c r="AA29" s="114" t="n"/>
      <c r="AB29" s="114" t="n"/>
      <c r="AC29" s="114" t="n"/>
      <c r="AD29" s="114" t="n"/>
      <c r="AE29" s="115" t="n"/>
      <c r="AF29" s="114" t="n"/>
      <c r="AG29" s="114" t="n"/>
      <c r="AH29" s="114" t="n"/>
      <c r="AI29" s="114" t="n"/>
      <c r="AJ29" s="116">
        <f>IF(ISBLANK(B29), "", IF(ISNUMBER(D29), IF(D29&gt;0, (COUNTIF(E29:AI29, "✓") + COUNTIF(E29:AI29, "✔") + COUNTIF(E29:AI29, "v") + COUNTIF(E29:AI29, "V"))/D29, 0), IF(((COUNTIF(E29:AI29, "✓") + COUNTIF(E29:AI29, "✔") + COUNTIF(E29:AI29, "v") + COUNTIF(E29:AI29, "V")) + COUNTIF(E29:AI29, "✗") + COUNTIF(E29:AI29, "x") + COUNTIF(E29:AI29, "X"))&gt;0, (COUNTIF(E29:AI29, "✓") + COUNTIF(E29:AI29, "✔") + COUNTIF(E29:AI29, "v") + COUNTIF(E29:AI29, "V"))/((COUNTIF(E29:AI29, "✓") + COUNTIF(E29:AI29, "✔") + COUNTIF(E29:AI29, "v") + COUNTIF(E29:AI29, "V")) + COUNTIF(E29:AI29, "✗") + COUNTIF(E29:AI29, "x") + COUNTIF(E29:AI29, "X")), "")))</f>
        <v/>
      </c>
      <c r="AK29" s="117">
        <f>IF(ISBLANK(B29), "", IF(ISNUMBER(D29), IF(D29&gt;0, (COUNTIF(E29:AI29, "✓") + COUNTIF(E29:AI29, "✔") + COUNTIF(E29:AI29, "v") + COUNTIF(E29:AI29, "V")) &amp; "/" &amp; D29, (COUNTIF(E29:AI29, "✓") + COUNTIF(E29:AI29, "✔") + COUNTIF(E29:AI29, "v") + COUNTIF(E29:AI29, "V")) &amp; "/0"), IF(((COUNTIF(E29:AI29, "✓") + COUNTIF(E29:AI29, "✔") + COUNTIF(E29:AI29, "v") + COUNTIF(E29:AI29, "V")) + COUNTIF(E29:AI29, "✗") + COUNTIF(E29:AI29, "x") + COUNTIF(E29:AI29, "X"))&gt;0, (COUNTIF(E29:AI29, "✓") + COUNTIF(E29:AI29, "✔") + COUNTIF(E29:AI29, "v") + COUNTIF(E29:AI29, "V")) &amp; "/" &amp; ((COUNTIF(E29:AI29, "✓") + COUNTIF(E29:AI29, "✔") + COUNTIF(E29:AI29, "v") + COUNTIF(E29:AI29, "V")) + COUNTIF(E29:AI29, "✗") + COUNTIF(E29:AI29, "x") + COUNTIF(E29:AI29, "X")), "")))</f>
        <v/>
      </c>
      <c r="AL29" s="117">
        <f>IF(ISBLANK(B29), "", IF(AJ29&gt;=0.85, "🔥 Mastered", IF(AJ29&gt;=0.7, "⚡ Consistent", "⚠️ Needs Focus")))</f>
        <v/>
      </c>
      <c r="AM29">
        <f>COUNTIF(E29:AI29, "✓")</f>
        <v/>
      </c>
    </row>
    <row r="30" ht="14.5" customHeight="1">
      <c r="A30" s="118" t="n">
        <v>13</v>
      </c>
      <c r="B30" s="119" t="n"/>
      <c r="C30" s="120" t="n"/>
      <c r="D30" s="120" t="n"/>
      <c r="E30" s="121" t="n"/>
      <c r="F30" s="121" t="n"/>
      <c r="G30" s="121" t="n"/>
      <c r="H30" s="121" t="n"/>
      <c r="I30" s="121" t="n"/>
      <c r="J30" s="122" t="n"/>
      <c r="K30" s="121" t="n"/>
      <c r="L30" s="121" t="n"/>
      <c r="M30" s="121" t="n"/>
      <c r="N30" s="121" t="n"/>
      <c r="O30" s="121" t="n"/>
      <c r="P30" s="121" t="n"/>
      <c r="Q30" s="122" t="n"/>
      <c r="R30" s="121" t="n"/>
      <c r="S30" s="121" t="n"/>
      <c r="T30" s="121" t="n"/>
      <c r="U30" s="121" t="n"/>
      <c r="V30" s="121" t="n"/>
      <c r="W30" s="121" t="n"/>
      <c r="X30" s="122" t="n"/>
      <c r="Y30" s="121" t="n"/>
      <c r="Z30" s="121" t="n"/>
      <c r="AA30" s="121" t="n"/>
      <c r="AB30" s="121" t="n"/>
      <c r="AC30" s="121" t="n"/>
      <c r="AD30" s="121" t="n"/>
      <c r="AE30" s="122" t="n"/>
      <c r="AF30" s="121" t="n"/>
      <c r="AG30" s="121" t="n"/>
      <c r="AH30" s="121" t="n"/>
      <c r="AI30" s="121" t="n"/>
      <c r="AJ30" s="123">
        <f>IF(ISBLANK(B30), "", IF(ISNUMBER(D30), IF(D30&gt;0, (COUNTIF(E30:AI30, "✓") + COUNTIF(E30:AI30, "✔") + COUNTIF(E30:AI30, "v") + COUNTIF(E30:AI30, "V"))/D30, 0), IF(((COUNTIF(E30:AI30, "✓") + COUNTIF(E30:AI30, "✔") + COUNTIF(E30:AI30, "v") + COUNTIF(E30:AI30, "V")) + COUNTIF(E30:AI30, "✗") + COUNTIF(E30:AI30, "x") + COUNTIF(E30:AI30, "X"))&gt;0, (COUNTIF(E30:AI30, "✓") + COUNTIF(E30:AI30, "✔") + COUNTIF(E30:AI30, "v") + COUNTIF(E30:AI30, "V"))/((COUNTIF(E30:AI30, "✓") + COUNTIF(E30:AI30, "✔") + COUNTIF(E30:AI30, "v") + COUNTIF(E30:AI30, "V")) + COUNTIF(E30:AI30, "✗") + COUNTIF(E30:AI30, "x") + COUNTIF(E30:AI30, "X")), "")))</f>
        <v/>
      </c>
      <c r="AK30" s="124">
        <f>IF(ISBLANK(B30), "", IF(ISNUMBER(D30), IF(D30&gt;0, (COUNTIF(E30:AI30, "✓") + COUNTIF(E30:AI30, "✔") + COUNTIF(E30:AI30, "v") + COUNTIF(E30:AI30, "V")) &amp; "/" &amp; D30, (COUNTIF(E30:AI30, "✓") + COUNTIF(E30:AI30, "✔") + COUNTIF(E30:AI30, "v") + COUNTIF(E30:AI30, "V")) &amp; "/0"), IF(((COUNTIF(E30:AI30, "✓") + COUNTIF(E30:AI30, "✔") + COUNTIF(E30:AI30, "v") + COUNTIF(E30:AI30, "V")) + COUNTIF(E30:AI30, "✗") + COUNTIF(E30:AI30, "x") + COUNTIF(E30:AI30, "X"))&gt;0, (COUNTIF(E30:AI30, "✓") + COUNTIF(E30:AI30, "✔") + COUNTIF(E30:AI30, "v") + COUNTIF(E30:AI30, "V")) &amp; "/" &amp; ((COUNTIF(E30:AI30, "✓") + COUNTIF(E30:AI30, "✔") + COUNTIF(E30:AI30, "v") + COUNTIF(E30:AI30, "V")) + COUNTIF(E30:AI30, "✗") + COUNTIF(E30:AI30, "x") + COUNTIF(E30:AI30, "X")), "")))</f>
        <v/>
      </c>
      <c r="AL30" s="124">
        <f>IF(ISBLANK(B30), "", IF(AJ30&gt;=0.85, "🔥 Mastered", IF(AJ30&gt;=0.7, "⚡ Consistent", "⚠️ Needs Focus")))</f>
        <v/>
      </c>
      <c r="AM30">
        <f>COUNTIF(E30:AI30, "✓")</f>
        <v/>
      </c>
    </row>
    <row r="31" ht="14.5" customHeight="1">
      <c r="A31" s="118" t="n">
        <v>14</v>
      </c>
      <c r="B31" s="119" t="n"/>
      <c r="C31" s="120" t="n"/>
      <c r="D31" s="120" t="n"/>
      <c r="E31" s="121" t="n"/>
      <c r="F31" s="121" t="n"/>
      <c r="G31" s="121" t="n"/>
      <c r="H31" s="121" t="n"/>
      <c r="I31" s="121" t="n"/>
      <c r="J31" s="122" t="n"/>
      <c r="K31" s="121" t="n"/>
      <c r="L31" s="121" t="n"/>
      <c r="M31" s="121" t="n"/>
      <c r="N31" s="121" t="n"/>
      <c r="O31" s="121" t="n"/>
      <c r="P31" s="121" t="n"/>
      <c r="Q31" s="122" t="n"/>
      <c r="R31" s="121" t="n"/>
      <c r="S31" s="121" t="n"/>
      <c r="T31" s="121" t="n"/>
      <c r="U31" s="121" t="n"/>
      <c r="V31" s="121" t="n"/>
      <c r="W31" s="121" t="n"/>
      <c r="X31" s="122" t="n"/>
      <c r="Y31" s="121" t="n"/>
      <c r="Z31" s="121" t="n"/>
      <c r="AA31" s="121" t="n"/>
      <c r="AB31" s="121" t="n"/>
      <c r="AC31" s="121" t="n"/>
      <c r="AD31" s="121" t="n"/>
      <c r="AE31" s="122" t="n"/>
      <c r="AF31" s="121" t="n"/>
      <c r="AG31" s="121" t="n"/>
      <c r="AH31" s="121" t="n"/>
      <c r="AI31" s="121" t="n"/>
      <c r="AJ31" s="123">
        <f>IF(ISBLANK(B31), "", IF(ISNUMBER(D31), IF(D31&gt;0, (COUNTIF(E31:AI31, "✓") + COUNTIF(E31:AI31, "✔") + COUNTIF(E31:AI31, "v") + COUNTIF(E31:AI31, "V"))/D31, 0), IF(((COUNTIF(E31:AI31, "✓") + COUNTIF(E31:AI31, "✔") + COUNTIF(E31:AI31, "v") + COUNTIF(E31:AI31, "V")) + COUNTIF(E31:AI31, "✗") + COUNTIF(E31:AI31, "x") + COUNTIF(E31:AI31, "X"))&gt;0, (COUNTIF(E31:AI31, "✓") + COUNTIF(E31:AI31, "✔") + COUNTIF(E31:AI31, "v") + COUNTIF(E31:AI31, "V"))/((COUNTIF(E31:AI31, "✓") + COUNTIF(E31:AI31, "✔") + COUNTIF(E31:AI31, "v") + COUNTIF(E31:AI31, "V")) + COUNTIF(E31:AI31, "✗") + COUNTIF(E31:AI31, "x") + COUNTIF(E31:AI31, "X")), "")))</f>
        <v/>
      </c>
      <c r="AK31" s="124">
        <f>IF(ISBLANK(B31), "", IF(ISNUMBER(D31), IF(D31&gt;0, (COUNTIF(E31:AI31, "✓") + COUNTIF(E31:AI31, "✔") + COUNTIF(E31:AI31, "v") + COUNTIF(E31:AI31, "V")) &amp; "/" &amp; D31, (COUNTIF(E31:AI31, "✓") + COUNTIF(E31:AI31, "✔") + COUNTIF(E31:AI31, "v") + COUNTIF(E31:AI31, "V")) &amp; "/0"), IF(((COUNTIF(E31:AI31, "✓") + COUNTIF(E31:AI31, "✔") + COUNTIF(E31:AI31, "v") + COUNTIF(E31:AI31, "V")) + COUNTIF(E31:AI31, "✗") + COUNTIF(E31:AI31, "x") + COUNTIF(E31:AI31, "X"))&gt;0, (COUNTIF(E31:AI31, "✓") + COUNTIF(E31:AI31, "✔") + COUNTIF(E31:AI31, "v") + COUNTIF(E31:AI31, "V")) &amp; "/" &amp; ((COUNTIF(E31:AI31, "✓") + COUNTIF(E31:AI31, "✔") + COUNTIF(E31:AI31, "v") + COUNTIF(E31:AI31, "V")) + COUNTIF(E31:AI31, "✗") + COUNTIF(E31:AI31, "x") + COUNTIF(E31:AI31, "X")), "")))</f>
        <v/>
      </c>
      <c r="AL31" s="124">
        <f>IF(ISBLANK(B31), "", IF(AJ31&gt;=0.85, "🔥 Mastered", IF(AJ31&gt;=0.7, "⚡ Consistent", "⚠️ Needs Focus")))</f>
        <v/>
      </c>
      <c r="AM31">
        <f>COUNTIF(E31:AI31, "✓")</f>
        <v/>
      </c>
    </row>
    <row r="32" ht="14.5" customHeight="1">
      <c r="A32" s="118" t="n">
        <v>15</v>
      </c>
      <c r="B32" s="119" t="n"/>
      <c r="C32" s="120" t="n"/>
      <c r="D32" s="120" t="n"/>
      <c r="E32" s="121" t="n"/>
      <c r="F32" s="121" t="n"/>
      <c r="G32" s="121" t="n"/>
      <c r="H32" s="121" t="n"/>
      <c r="I32" s="121" t="n"/>
      <c r="J32" s="122" t="n"/>
      <c r="K32" s="121" t="n"/>
      <c r="L32" s="121" t="n"/>
      <c r="M32" s="121" t="n"/>
      <c r="N32" s="121" t="n"/>
      <c r="O32" s="121" t="n"/>
      <c r="P32" s="121" t="n"/>
      <c r="Q32" s="122" t="n"/>
      <c r="R32" s="121" t="n"/>
      <c r="S32" s="121" t="n"/>
      <c r="T32" s="121" t="n"/>
      <c r="U32" s="121" t="n"/>
      <c r="V32" s="121" t="n"/>
      <c r="W32" s="121" t="n"/>
      <c r="X32" s="122" t="n"/>
      <c r="Y32" s="121" t="n"/>
      <c r="Z32" s="121" t="n"/>
      <c r="AA32" s="121" t="n"/>
      <c r="AB32" s="121" t="n"/>
      <c r="AC32" s="121" t="n"/>
      <c r="AD32" s="121" t="n"/>
      <c r="AE32" s="122" t="n"/>
      <c r="AF32" s="121" t="n"/>
      <c r="AG32" s="121" t="n"/>
      <c r="AH32" s="121" t="n"/>
      <c r="AI32" s="121" t="n"/>
      <c r="AJ32" s="123">
        <f>IF(ISBLANK(B32), "", IF(ISNUMBER(D32), IF(D32&gt;0, (COUNTIF(E32:AI32, "✓") + COUNTIF(E32:AI32, "✔") + COUNTIF(E32:AI32, "v") + COUNTIF(E32:AI32, "V"))/D32, 0), IF(((COUNTIF(E32:AI32, "✓") + COUNTIF(E32:AI32, "✔") + COUNTIF(E32:AI32, "v") + COUNTIF(E32:AI32, "V")) + COUNTIF(E32:AI32, "✗") + COUNTIF(E32:AI32, "x") + COUNTIF(E32:AI32, "X"))&gt;0, (COUNTIF(E32:AI32, "✓") + COUNTIF(E32:AI32, "✔") + COUNTIF(E32:AI32, "v") + COUNTIF(E32:AI32, "V"))/((COUNTIF(E32:AI32, "✓") + COUNTIF(E32:AI32, "✔") + COUNTIF(E32:AI32, "v") + COUNTIF(E32:AI32, "V")) + COUNTIF(E32:AI32, "✗") + COUNTIF(E32:AI32, "x") + COUNTIF(E32:AI32, "X")), "")))</f>
        <v/>
      </c>
      <c r="AK32" s="124">
        <f>IF(ISBLANK(B32), "", IF(ISNUMBER(D32), IF(D32&gt;0, (COUNTIF(E32:AI32, "✓") + COUNTIF(E32:AI32, "✔") + COUNTIF(E32:AI32, "v") + COUNTIF(E32:AI32, "V")) &amp; "/" &amp; D32, (COUNTIF(E32:AI32, "✓") + COUNTIF(E32:AI32, "✔") + COUNTIF(E32:AI32, "v") + COUNTIF(E32:AI32, "V")) &amp; "/0"), IF(((COUNTIF(E32:AI32, "✓") + COUNTIF(E32:AI32, "✔") + COUNTIF(E32:AI32, "v") + COUNTIF(E32:AI32, "V")) + COUNTIF(E32:AI32, "✗") + COUNTIF(E32:AI32, "x") + COUNTIF(E32:AI32, "X"))&gt;0, (COUNTIF(E32:AI32, "✓") + COUNTIF(E32:AI32, "✔") + COUNTIF(E32:AI32, "v") + COUNTIF(E32:AI32, "V")) &amp; "/" &amp; ((COUNTIF(E32:AI32, "✓") + COUNTIF(E32:AI32, "✔") + COUNTIF(E32:AI32, "v") + COUNTIF(E32:AI32, "V")) + COUNTIF(E32:AI32, "✗") + COUNTIF(E32:AI32, "x") + COUNTIF(E32:AI32, "X")), "")))</f>
        <v/>
      </c>
      <c r="AL32" s="124">
        <f>IF(ISBLANK(B32), "", IF(AJ32&gt;=0.85, "🔥 Mastered", IF(AJ32&gt;=0.7, "⚡ Consistent", "⚠️ Needs Focus")))</f>
        <v/>
      </c>
      <c r="AM32">
        <f>COUNTIF(E32:AI32, "✓")</f>
        <v/>
      </c>
    </row>
    <row r="33" ht="14.5" customHeight="1">
      <c r="A33" s="118" t="n">
        <v>16</v>
      </c>
      <c r="B33" s="119" t="n"/>
      <c r="C33" s="120" t="n"/>
      <c r="D33" s="120" t="n"/>
      <c r="E33" s="121" t="n"/>
      <c r="F33" s="121" t="n"/>
      <c r="G33" s="121" t="n"/>
      <c r="H33" s="121" t="n"/>
      <c r="I33" s="121" t="n"/>
      <c r="J33" s="122" t="n"/>
      <c r="K33" s="121" t="n"/>
      <c r="L33" s="121" t="n"/>
      <c r="M33" s="121" t="n"/>
      <c r="N33" s="121" t="n"/>
      <c r="O33" s="121" t="n"/>
      <c r="P33" s="121" t="n"/>
      <c r="Q33" s="122" t="n"/>
      <c r="R33" s="121" t="n"/>
      <c r="S33" s="121" t="n"/>
      <c r="T33" s="121" t="n"/>
      <c r="U33" s="121" t="n"/>
      <c r="V33" s="121" t="n"/>
      <c r="W33" s="121" t="n"/>
      <c r="X33" s="122" t="n"/>
      <c r="Y33" s="121" t="n"/>
      <c r="Z33" s="121" t="n"/>
      <c r="AA33" s="121" t="n"/>
      <c r="AB33" s="121" t="n"/>
      <c r="AC33" s="121" t="n"/>
      <c r="AD33" s="121" t="n"/>
      <c r="AE33" s="122" t="n"/>
      <c r="AF33" s="121" t="n"/>
      <c r="AG33" s="121" t="n"/>
      <c r="AH33" s="121" t="n"/>
      <c r="AI33" s="121" t="n"/>
      <c r="AJ33" s="123">
        <f>IF(ISBLANK(B33), "", IF(ISNUMBER(D33), IF(D33&gt;0, (COUNTIF(E33:AI33, "✓") + COUNTIF(E33:AI33, "✔") + COUNTIF(E33:AI33, "v") + COUNTIF(E33:AI33, "V"))/D33, 0), IF(((COUNTIF(E33:AI33, "✓") + COUNTIF(E33:AI33, "✔") + COUNTIF(E33:AI33, "v") + COUNTIF(E33:AI33, "V")) + COUNTIF(E33:AI33, "✗") + COUNTIF(E33:AI33, "x") + COUNTIF(E33:AI33, "X"))&gt;0, (COUNTIF(E33:AI33, "✓") + COUNTIF(E33:AI33, "✔") + COUNTIF(E33:AI33, "v") + COUNTIF(E33:AI33, "V"))/((COUNTIF(E33:AI33, "✓") + COUNTIF(E33:AI33, "✔") + COUNTIF(E33:AI33, "v") + COUNTIF(E33:AI33, "V")) + COUNTIF(E33:AI33, "✗") + COUNTIF(E33:AI33, "x") + COUNTIF(E33:AI33, "X")), "")))</f>
        <v/>
      </c>
      <c r="AK33" s="124">
        <f>IF(ISBLANK(B33), "", IF(ISNUMBER(D33), IF(D33&gt;0, (COUNTIF(E33:AI33, "✓") + COUNTIF(E33:AI33, "✔") + COUNTIF(E33:AI33, "v") + COUNTIF(E33:AI33, "V")) &amp; "/" &amp; D33, (COUNTIF(E33:AI33, "✓") + COUNTIF(E33:AI33, "✔") + COUNTIF(E33:AI33, "v") + COUNTIF(E33:AI33, "V")) &amp; "/0"), IF(((COUNTIF(E33:AI33, "✓") + COUNTIF(E33:AI33, "✔") + COUNTIF(E33:AI33, "v") + COUNTIF(E33:AI33, "V")) + COUNTIF(E33:AI33, "✗") + COUNTIF(E33:AI33, "x") + COUNTIF(E33:AI33, "X"))&gt;0, (COUNTIF(E33:AI33, "✓") + COUNTIF(E33:AI33, "✔") + COUNTIF(E33:AI33, "v") + COUNTIF(E33:AI33, "V")) &amp; "/" &amp; ((COUNTIF(E33:AI33, "✓") + COUNTIF(E33:AI33, "✔") + COUNTIF(E33:AI33, "v") + COUNTIF(E33:AI33, "V")) + COUNTIF(E33:AI33, "✗") + COUNTIF(E33:AI33, "x") + COUNTIF(E33:AI33, "X")), "")))</f>
        <v/>
      </c>
      <c r="AL33" s="124">
        <f>IF(ISBLANK(B33), "", IF(AJ33&gt;=0.85, "🔥 Mastered", IF(AJ33&gt;=0.7, "⚡ Consistent", "⚠️ Needs Focus")))</f>
        <v/>
      </c>
      <c r="AM33">
        <f>COUNTIF(E33:AI33, "✓")</f>
        <v/>
      </c>
    </row>
    <row r="34" ht="14.5" customHeight="1">
      <c r="A34" s="125" t="n">
        <v>17</v>
      </c>
      <c r="B34" s="126" t="n"/>
      <c r="C34" s="127" t="n"/>
      <c r="D34" s="127" t="n"/>
      <c r="E34" s="128" t="n"/>
      <c r="F34" s="128" t="n"/>
      <c r="G34" s="128" t="n"/>
      <c r="H34" s="128" t="n"/>
      <c r="I34" s="128" t="n"/>
      <c r="J34" s="129" t="n"/>
      <c r="K34" s="128" t="n"/>
      <c r="L34" s="128" t="n"/>
      <c r="M34" s="128" t="n"/>
      <c r="N34" s="128" t="n"/>
      <c r="O34" s="128" t="n"/>
      <c r="P34" s="128" t="n"/>
      <c r="Q34" s="129" t="n"/>
      <c r="R34" s="128" t="n"/>
      <c r="S34" s="128" t="n"/>
      <c r="T34" s="128" t="n"/>
      <c r="U34" s="128" t="n"/>
      <c r="V34" s="128" t="n"/>
      <c r="W34" s="128" t="n"/>
      <c r="X34" s="129" t="n"/>
      <c r="Y34" s="128" t="n"/>
      <c r="Z34" s="128" t="n"/>
      <c r="AA34" s="128" t="n"/>
      <c r="AB34" s="128" t="n"/>
      <c r="AC34" s="128" t="n"/>
      <c r="AD34" s="128" t="n"/>
      <c r="AE34" s="129" t="n"/>
      <c r="AF34" s="128" t="n"/>
      <c r="AG34" s="128" t="n"/>
      <c r="AH34" s="128" t="n"/>
      <c r="AI34" s="128" t="n"/>
      <c r="AJ34" s="130">
        <f>IF(ISBLANK(B34), "", IF(ISNUMBER(D34), IF(D34&gt;0, (COUNTIF(E34:AI34, "✓") + COUNTIF(E34:AI34, "✔") + COUNTIF(E34:AI34, "v") + COUNTIF(E34:AI34, "V"))/D34, 0), IF(((COUNTIF(E34:AI34, "✓") + COUNTIF(E34:AI34, "✔") + COUNTIF(E34:AI34, "v") + COUNTIF(E34:AI34, "V")) + COUNTIF(E34:AI34, "✗") + COUNTIF(E34:AI34, "x") + COUNTIF(E34:AI34, "X"))&gt;0, (COUNTIF(E34:AI34, "✓") + COUNTIF(E34:AI34, "✔") + COUNTIF(E34:AI34, "v") + COUNTIF(E34:AI34, "V"))/((COUNTIF(E34:AI34, "✓") + COUNTIF(E34:AI34, "✔") + COUNTIF(E34:AI34, "v") + COUNTIF(E34:AI34, "V")) + COUNTIF(E34:AI34, "✗") + COUNTIF(E34:AI34, "x") + COUNTIF(E34:AI34, "X")), "")))</f>
        <v/>
      </c>
      <c r="AK34" s="131">
        <f>IF(ISBLANK(B34), "", IF(ISNUMBER(D34), IF(D34&gt;0, (COUNTIF(E34:AI34, "✓") + COUNTIF(E34:AI34, "✔") + COUNTIF(E34:AI34, "v") + COUNTIF(E34:AI34, "V")) &amp; "/" &amp; D34, (COUNTIF(E34:AI34, "✓") + COUNTIF(E34:AI34, "✔") + COUNTIF(E34:AI34, "v") + COUNTIF(E34:AI34, "V")) &amp; "/0"), IF(((COUNTIF(E34:AI34, "✓") + COUNTIF(E34:AI34, "✔") + COUNTIF(E34:AI34, "v") + COUNTIF(E34:AI34, "V")) + COUNTIF(E34:AI34, "✗") + COUNTIF(E34:AI34, "x") + COUNTIF(E34:AI34, "X"))&gt;0, (COUNTIF(E34:AI34, "✓") + COUNTIF(E34:AI34, "✔") + COUNTIF(E34:AI34, "v") + COUNTIF(E34:AI34, "V")) &amp; "/" &amp; ((COUNTIF(E34:AI34, "✓") + COUNTIF(E34:AI34, "✔") + COUNTIF(E34:AI34, "v") + COUNTIF(E34:AI34, "V")) + COUNTIF(E34:AI34, "✗") + COUNTIF(E34:AI34, "x") + COUNTIF(E34:AI34, "X")), "")))</f>
        <v/>
      </c>
      <c r="AL34" s="131">
        <f>IF(ISBLANK(B34), "", IF(AJ34&gt;=0.85, "🔥 Mastered", IF(AJ34&gt;=0.7, "⚡ Consistent", "⚠️ Needs Focus")))</f>
        <v/>
      </c>
      <c r="AM34">
        <f>COUNTIF(E34:AI34, "✓")</f>
        <v/>
      </c>
    </row>
    <row r="35" ht="14.5" customHeight="1">
      <c r="A35" s="125" t="n">
        <v>18</v>
      </c>
      <c r="B35" s="126" t="n"/>
      <c r="C35" s="127" t="n"/>
      <c r="D35" s="127" t="n"/>
      <c r="E35" s="128" t="n"/>
      <c r="F35" s="128" t="n"/>
      <c r="G35" s="128" t="n"/>
      <c r="H35" s="128" t="n"/>
      <c r="I35" s="128" t="n"/>
      <c r="J35" s="129" t="n"/>
      <c r="K35" s="128" t="n"/>
      <c r="L35" s="128" t="n"/>
      <c r="M35" s="128" t="n"/>
      <c r="N35" s="128" t="n"/>
      <c r="O35" s="128" t="n"/>
      <c r="P35" s="128" t="n"/>
      <c r="Q35" s="129" t="n"/>
      <c r="R35" s="128" t="n"/>
      <c r="S35" s="128" t="n"/>
      <c r="T35" s="128" t="n"/>
      <c r="U35" s="128" t="n"/>
      <c r="V35" s="128" t="n"/>
      <c r="W35" s="128" t="n"/>
      <c r="X35" s="129" t="n"/>
      <c r="Y35" s="128" t="n"/>
      <c r="Z35" s="128" t="n"/>
      <c r="AA35" s="128" t="n"/>
      <c r="AB35" s="128" t="n"/>
      <c r="AC35" s="128" t="n"/>
      <c r="AD35" s="128" t="n"/>
      <c r="AE35" s="129" t="n"/>
      <c r="AF35" s="128" t="n"/>
      <c r="AG35" s="128" t="n"/>
      <c r="AH35" s="128" t="n"/>
      <c r="AI35" s="128" t="n"/>
      <c r="AJ35" s="130">
        <f>IF(ISBLANK(B35), "", IF(ISNUMBER(D35), IF(D35&gt;0, (COUNTIF(E35:AI35, "✓") + COUNTIF(E35:AI35, "✔") + COUNTIF(E35:AI35, "v") + COUNTIF(E35:AI35, "V"))/D35, 0), IF(((COUNTIF(E35:AI35, "✓") + COUNTIF(E35:AI35, "✔") + COUNTIF(E35:AI35, "v") + COUNTIF(E35:AI35, "V")) + COUNTIF(E35:AI35, "✗") + COUNTIF(E35:AI35, "x") + COUNTIF(E35:AI35, "X"))&gt;0, (COUNTIF(E35:AI35, "✓") + COUNTIF(E35:AI35, "✔") + COUNTIF(E35:AI35, "v") + COUNTIF(E35:AI35, "V"))/((COUNTIF(E35:AI35, "✓") + COUNTIF(E35:AI35, "✔") + COUNTIF(E35:AI35, "v") + COUNTIF(E35:AI35, "V")) + COUNTIF(E35:AI35, "✗") + COUNTIF(E35:AI35, "x") + COUNTIF(E35:AI35, "X")), "")))</f>
        <v/>
      </c>
      <c r="AK35" s="131">
        <f>IF(ISBLANK(B35), "", IF(ISNUMBER(D35), IF(D35&gt;0, (COUNTIF(E35:AI35, "✓") + COUNTIF(E35:AI35, "✔") + COUNTIF(E35:AI35, "v") + COUNTIF(E35:AI35, "V")) &amp; "/" &amp; D35, (COUNTIF(E35:AI35, "✓") + COUNTIF(E35:AI35, "✔") + COUNTIF(E35:AI35, "v") + COUNTIF(E35:AI35, "V")) &amp; "/0"), IF(((COUNTIF(E35:AI35, "✓") + COUNTIF(E35:AI35, "✔") + COUNTIF(E35:AI35, "v") + COUNTIF(E35:AI35, "V")) + COUNTIF(E35:AI35, "✗") + COUNTIF(E35:AI35, "x") + COUNTIF(E35:AI35, "X"))&gt;0, (COUNTIF(E35:AI35, "✓") + COUNTIF(E35:AI35, "✔") + COUNTIF(E35:AI35, "v") + COUNTIF(E35:AI35, "V")) &amp; "/" &amp; ((COUNTIF(E35:AI35, "✓") + COUNTIF(E35:AI35, "✔") + COUNTIF(E35:AI35, "v") + COUNTIF(E35:AI35, "V")) + COUNTIF(E35:AI35, "✗") + COUNTIF(E35:AI35, "x") + COUNTIF(E35:AI35, "X")), "")))</f>
        <v/>
      </c>
      <c r="AL35" s="131">
        <f>IF(ISBLANK(B35), "", IF(AJ35&gt;=0.85, "🔥 Mastered", IF(AJ35&gt;=0.7, "⚡ Consistent", "⚠️ Needs Focus")))</f>
        <v/>
      </c>
      <c r="AM35">
        <f>COUNTIF(E35:AI35, "✓")</f>
        <v/>
      </c>
    </row>
    <row r="36" ht="14.5" customHeight="1">
      <c r="A36" s="125" t="n">
        <v>19</v>
      </c>
      <c r="B36" s="126" t="n"/>
      <c r="C36" s="127" t="n"/>
      <c r="D36" s="127" t="n"/>
      <c r="E36" s="128" t="n"/>
      <c r="F36" s="128" t="n"/>
      <c r="G36" s="128" t="n"/>
      <c r="H36" s="128" t="n"/>
      <c r="I36" s="128" t="n"/>
      <c r="J36" s="129" t="n"/>
      <c r="K36" s="128" t="n"/>
      <c r="L36" s="128" t="n"/>
      <c r="M36" s="128" t="n"/>
      <c r="N36" s="128" t="n"/>
      <c r="O36" s="128" t="n"/>
      <c r="P36" s="128" t="n"/>
      <c r="Q36" s="129" t="n"/>
      <c r="R36" s="128" t="n"/>
      <c r="S36" s="128" t="n"/>
      <c r="T36" s="128" t="n"/>
      <c r="U36" s="128" t="n"/>
      <c r="V36" s="128" t="n"/>
      <c r="W36" s="128" t="n"/>
      <c r="X36" s="129" t="n"/>
      <c r="Y36" s="128" t="n"/>
      <c r="Z36" s="128" t="n"/>
      <c r="AA36" s="128" t="n"/>
      <c r="AB36" s="128" t="n"/>
      <c r="AC36" s="128" t="n"/>
      <c r="AD36" s="128" t="n"/>
      <c r="AE36" s="129" t="n"/>
      <c r="AF36" s="128" t="n"/>
      <c r="AG36" s="128" t="n"/>
      <c r="AH36" s="128" t="n"/>
      <c r="AI36" s="128" t="n"/>
      <c r="AJ36" s="130">
        <f>IF(ISBLANK(B36), "", IF(ISNUMBER(D36), IF(D36&gt;0, (COUNTIF(E36:AI36, "✓") + COUNTIF(E36:AI36, "✔") + COUNTIF(E36:AI36, "v") + COUNTIF(E36:AI36, "V"))/D36, 0), IF(((COUNTIF(E36:AI36, "✓") + COUNTIF(E36:AI36, "✔") + COUNTIF(E36:AI36, "v") + COUNTIF(E36:AI36, "V")) + COUNTIF(E36:AI36, "✗") + COUNTIF(E36:AI36, "x") + COUNTIF(E36:AI36, "X"))&gt;0, (COUNTIF(E36:AI36, "✓") + COUNTIF(E36:AI36, "✔") + COUNTIF(E36:AI36, "v") + COUNTIF(E36:AI36, "V"))/((COUNTIF(E36:AI36, "✓") + COUNTIF(E36:AI36, "✔") + COUNTIF(E36:AI36, "v") + COUNTIF(E36:AI36, "V")) + COUNTIF(E36:AI36, "✗") + COUNTIF(E36:AI36, "x") + COUNTIF(E36:AI36, "X")), "")))</f>
        <v/>
      </c>
      <c r="AK36" s="131">
        <f>IF(ISBLANK(B36), "", IF(ISNUMBER(D36), IF(D36&gt;0, (COUNTIF(E36:AI36, "✓") + COUNTIF(E36:AI36, "✔") + COUNTIF(E36:AI36, "v") + COUNTIF(E36:AI36, "V")) &amp; "/" &amp; D36, (COUNTIF(E36:AI36, "✓") + COUNTIF(E36:AI36, "✔") + COUNTIF(E36:AI36, "v") + COUNTIF(E36:AI36, "V")) &amp; "/0"), IF(((COUNTIF(E36:AI36, "✓") + COUNTIF(E36:AI36, "✔") + COUNTIF(E36:AI36, "v") + COUNTIF(E36:AI36, "V")) + COUNTIF(E36:AI36, "✗") + COUNTIF(E36:AI36, "x") + COUNTIF(E36:AI36, "X"))&gt;0, (COUNTIF(E36:AI36, "✓") + COUNTIF(E36:AI36, "✔") + COUNTIF(E36:AI36, "v") + COUNTIF(E36:AI36, "V")) &amp; "/" &amp; ((COUNTIF(E36:AI36, "✓") + COUNTIF(E36:AI36, "✔") + COUNTIF(E36:AI36, "v") + COUNTIF(E36:AI36, "V")) + COUNTIF(E36:AI36, "✗") + COUNTIF(E36:AI36, "x") + COUNTIF(E36:AI36, "X")), "")))</f>
        <v/>
      </c>
      <c r="AL36" s="131">
        <f>IF(ISBLANK(B36), "", IF(AJ36&gt;=0.85, "🔥 Mastered", IF(AJ36&gt;=0.7, "⚡ Consistent", "⚠️ Needs Focus")))</f>
        <v/>
      </c>
      <c r="AM36">
        <f>COUNTIF(E36:AI36, "✓")</f>
        <v/>
      </c>
    </row>
    <row r="37" ht="14.5" customHeight="1">
      <c r="A37" s="125" t="n">
        <v>20</v>
      </c>
      <c r="B37" s="126" t="n"/>
      <c r="C37" s="127" t="n"/>
      <c r="D37" s="127" t="n"/>
      <c r="E37" s="128" t="n"/>
      <c r="F37" s="128" t="n"/>
      <c r="G37" s="128" t="n"/>
      <c r="H37" s="128" t="n"/>
      <c r="I37" s="128" t="n"/>
      <c r="J37" s="129" t="n"/>
      <c r="K37" s="128" t="n"/>
      <c r="L37" s="128" t="n"/>
      <c r="M37" s="128" t="n"/>
      <c r="N37" s="128" t="n"/>
      <c r="O37" s="128" t="n"/>
      <c r="P37" s="128" t="n"/>
      <c r="Q37" s="129" t="n"/>
      <c r="R37" s="128" t="n"/>
      <c r="S37" s="128" t="n"/>
      <c r="T37" s="128" t="n"/>
      <c r="U37" s="128" t="n"/>
      <c r="V37" s="128" t="n"/>
      <c r="W37" s="128" t="n"/>
      <c r="X37" s="129" t="n"/>
      <c r="Y37" s="128" t="n"/>
      <c r="Z37" s="128" t="n"/>
      <c r="AA37" s="128" t="n"/>
      <c r="AB37" s="128" t="n"/>
      <c r="AC37" s="128" t="n"/>
      <c r="AD37" s="128" t="n"/>
      <c r="AE37" s="129" t="n"/>
      <c r="AF37" s="128" t="n"/>
      <c r="AG37" s="128" t="n"/>
      <c r="AH37" s="128" t="n"/>
      <c r="AI37" s="128" t="n"/>
      <c r="AJ37" s="130">
        <f>IF(ISBLANK(B37), "", IF(ISNUMBER(D37), IF(D37&gt;0, (COUNTIF(E37:AI37, "✓") + COUNTIF(E37:AI37, "✔") + COUNTIF(E37:AI37, "v") + COUNTIF(E37:AI37, "V"))/D37, 0), IF(((COUNTIF(E37:AI37, "✓") + COUNTIF(E37:AI37, "✔") + COUNTIF(E37:AI37, "v") + COUNTIF(E37:AI37, "V")) + COUNTIF(E37:AI37, "✗") + COUNTIF(E37:AI37, "x") + COUNTIF(E37:AI37, "X"))&gt;0, (COUNTIF(E37:AI37, "✓") + COUNTIF(E37:AI37, "✔") + COUNTIF(E37:AI37, "v") + COUNTIF(E37:AI37, "V"))/((COUNTIF(E37:AI37, "✓") + COUNTIF(E37:AI37, "✔") + COUNTIF(E37:AI37, "v") + COUNTIF(E37:AI37, "V")) + COUNTIF(E37:AI37, "✗") + COUNTIF(E37:AI37, "x") + COUNTIF(E37:AI37, "X")), "")))</f>
        <v/>
      </c>
      <c r="AK37" s="131">
        <f>IF(ISBLANK(B37), "", IF(ISNUMBER(D37), IF(D37&gt;0, (COUNTIF(E37:AI37, "✓") + COUNTIF(E37:AI37, "✔") + COUNTIF(E37:AI37, "v") + COUNTIF(E37:AI37, "V")) &amp; "/" &amp; D37, (COUNTIF(E37:AI37, "✓") + COUNTIF(E37:AI37, "✔") + COUNTIF(E37:AI37, "v") + COUNTIF(E37:AI37, "V")) &amp; "/0"), IF(((COUNTIF(E37:AI37, "✓") + COUNTIF(E37:AI37, "✔") + COUNTIF(E37:AI37, "v") + COUNTIF(E37:AI37, "V")) + COUNTIF(E37:AI37, "✗") + COUNTIF(E37:AI37, "x") + COUNTIF(E37:AI37, "X"))&gt;0, (COUNTIF(E37:AI37, "✓") + COUNTIF(E37:AI37, "✔") + COUNTIF(E37:AI37, "v") + COUNTIF(E37:AI37, "V")) &amp; "/" &amp; ((COUNTIF(E37:AI37, "✓") + COUNTIF(E37:AI37, "✔") + COUNTIF(E37:AI37, "v") + COUNTIF(E37:AI37, "V")) + COUNTIF(E37:AI37, "✗") + COUNTIF(E37:AI37, "x") + COUNTIF(E37:AI37, "X")), "")))</f>
        <v/>
      </c>
      <c r="AL37" s="131">
        <f>IF(ISBLANK(B37), "", IF(AJ37&gt;=0.85, "🔥 Mastered", IF(AJ37&gt;=0.7, "⚡ Consistent", "⚠️ Needs Focus")))</f>
        <v/>
      </c>
      <c r="AM37">
        <f>COUNTIF(E37:AI37, "✓")</f>
        <v/>
      </c>
    </row>
    <row r="38" ht="18" customHeight="1">
      <c r="A38" s="132" t="inlineStr">
        <is>
          <t>DAILY TOTAL SCORE</t>
        </is>
      </c>
      <c r="B38" s="54" t="n"/>
      <c r="C38" s="54" t="n"/>
      <c r="D38" s="54" t="n"/>
      <c r="E38" s="33">
        <f>IF(((COUNTIF(E18:E37, "✓") + COUNTIF(E18:E37, "✔") + COUNTIF(E18:E37, "v") + COUNTIF(E18:E37, "V")) + COUNTIF(E18:E37, "✗") + COUNTIF(E18:E37, "x") + COUNTIF(E18:E37, "X")) &gt; 0, (COUNTIF(E18:E37, "✓") + COUNTIF(E18:E37, "✔") + COUNTIF(E18:E37, "v") + COUNTIF(E18:E37, "V")) &amp; "/" &amp; ((COUNTIF(E18:E37, "✓") + COUNTIF(E18:E37, "✔") + COUNTIF(E18:E37, "v") + COUNTIF(E18:E37, "V")) + COUNTIF(E18:E37, "✗") + COUNTIF(E18:E37, "x") + COUNTIF(E18:E37, "X")), "")</f>
        <v/>
      </c>
      <c r="F38" s="33">
        <f>IF(((COUNTIF(F18:F37, "✓") + COUNTIF(F18:F37, "✔") + COUNTIF(F18:F37, "v") + COUNTIF(F18:F37, "V")) + COUNTIF(F18:F37, "✗") + COUNTIF(F18:F37, "x") + COUNTIF(F18:F37, "X")) &gt; 0, (COUNTIF(F18:F37, "✓") + COUNTIF(F18:F37, "✔") + COUNTIF(F18:F37, "v") + COUNTIF(F18:F37, "V")) &amp; "/" &amp; ((COUNTIF(F18:F37, "✓") + COUNTIF(F18:F37, "✔") + COUNTIF(F18:F37, "v") + COUNTIF(F18:F37, "V")) + COUNTIF(F18:F37, "✗") + COUNTIF(F18:F37, "x") + COUNTIF(F18:F37, "X")), "")</f>
        <v/>
      </c>
      <c r="G38" s="33">
        <f>IF(((COUNTIF(G18:G37, "✓") + COUNTIF(G18:G37, "✔") + COUNTIF(G18:G37, "v") + COUNTIF(G18:G37, "V")) + COUNTIF(G18:G37, "✗") + COUNTIF(G18:G37, "x") + COUNTIF(G18:G37, "X")) &gt; 0, (COUNTIF(G18:G37, "✓") + COUNTIF(G18:G37, "✔") + COUNTIF(G18:G37, "v") + COUNTIF(G18:G37, "V")) &amp; "/" &amp; ((COUNTIF(G18:G37, "✓") + COUNTIF(G18:G37, "✔") + COUNTIF(G18:G37, "v") + COUNTIF(G18:G37, "V")) + COUNTIF(G18:G37, "✗") + COUNTIF(G18:G37, "x") + COUNTIF(G18:G37, "X")), "")</f>
        <v/>
      </c>
      <c r="H38" s="33">
        <f>IF(((COUNTIF(H18:H37, "✓") + COUNTIF(H18:H37, "✔") + COUNTIF(H18:H37, "v") + COUNTIF(H18:H37, "V")) + COUNTIF(H18:H37, "✗") + COUNTIF(H18:H37, "x") + COUNTIF(H18:H37, "X")) &gt; 0, (COUNTIF(H18:H37, "✓") + COUNTIF(H18:H37, "✔") + COUNTIF(H18:H37, "v") + COUNTIF(H18:H37, "V")) &amp; "/" &amp; ((COUNTIF(H18:H37, "✓") + COUNTIF(H18:H37, "✔") + COUNTIF(H18:H37, "v") + COUNTIF(H18:H37, "V")) + COUNTIF(H18:H37, "✗") + COUNTIF(H18:H37, "x") + COUNTIF(H18:H37, "X")), "")</f>
        <v/>
      </c>
      <c r="I38" s="33">
        <f>IF(((COUNTIF(I18:I37, "✓") + COUNTIF(I18:I37, "✔") + COUNTIF(I18:I37, "v") + COUNTIF(I18:I37, "V")) + COUNTIF(I18:I37, "✗") + COUNTIF(I18:I37, "x") + COUNTIF(I18:I37, "X")) &gt; 0, (COUNTIF(I18:I37, "✓") + COUNTIF(I18:I37, "✔") + COUNTIF(I18:I37, "v") + COUNTIF(I18:I37, "V")) &amp; "/" &amp; ((COUNTIF(I18:I37, "✓") + COUNTIF(I18:I37, "✔") + COUNTIF(I18:I37, "v") + COUNTIF(I18:I37, "V")) + COUNTIF(I18:I37, "✗") + COUNTIF(I18:I37, "x") + COUNTIF(I18:I37, "X")), "")</f>
        <v/>
      </c>
      <c r="J38" s="33">
        <f>IF(((COUNTIF(J18:J37, "✓") + COUNTIF(J18:J37, "✔") + COUNTIF(J18:J37, "v") + COUNTIF(J18:J37, "V")) + COUNTIF(J18:J37, "✗") + COUNTIF(J18:J37, "x") + COUNTIF(J18:J37, "X")) &gt; 0, (COUNTIF(J18:J37, "✓") + COUNTIF(J18:J37, "✔") + COUNTIF(J18:J37, "v") + COUNTIF(J18:J37, "V")) &amp; "/" &amp; ((COUNTIF(J18:J37, "✓") + COUNTIF(J18:J37, "✔") + COUNTIF(J18:J37, "v") + COUNTIF(J18:J37, "V")) + COUNTIF(J18:J37, "✗") + COUNTIF(J18:J37, "x") + COUNTIF(J18:J37, "X")), "")</f>
        <v/>
      </c>
      <c r="K38" s="33">
        <f>IF(((COUNTIF(K18:K37, "✓") + COUNTIF(K18:K37, "✔") + COUNTIF(K18:K37, "v") + COUNTIF(K18:K37, "V")) + COUNTIF(K18:K37, "✗") + COUNTIF(K18:K37, "x") + COUNTIF(K18:K37, "X")) &gt; 0, (COUNTIF(K18:K37, "✓") + COUNTIF(K18:K37, "✔") + COUNTIF(K18:K37, "v") + COUNTIF(K18:K37, "V")) &amp; "/" &amp; ((COUNTIF(K18:K37, "✓") + COUNTIF(K18:K37, "✔") + COUNTIF(K18:K37, "v") + COUNTIF(K18:K37, "V")) + COUNTIF(K18:K37, "✗") + COUNTIF(K18:K37, "x") + COUNTIF(K18:K37, "X")), "")</f>
        <v/>
      </c>
      <c r="L38" s="33">
        <f>IF(((COUNTIF(L18:L37, "✓") + COUNTIF(L18:L37, "✔") + COUNTIF(L18:L37, "v") + COUNTIF(L18:L37, "V")) + COUNTIF(L18:L37, "✗") + COUNTIF(L18:L37, "x") + COUNTIF(L18:L37, "X")) &gt; 0, (COUNTIF(L18:L37, "✓") + COUNTIF(L18:L37, "✔") + COUNTIF(L18:L37, "v") + COUNTIF(L18:L37, "V")) &amp; "/" &amp; ((COUNTIF(L18:L37, "✓") + COUNTIF(L18:L37, "✔") + COUNTIF(L18:L37, "v") + COUNTIF(L18:L37, "V")) + COUNTIF(L18:L37, "✗") + COUNTIF(L18:L37, "x") + COUNTIF(L18:L37, "X")), "")</f>
        <v/>
      </c>
      <c r="M38" s="33">
        <f>IF(((COUNTIF(M18:M37, "✓") + COUNTIF(M18:M37, "✔") + COUNTIF(M18:M37, "v") + COUNTIF(M18:M37, "V")) + COUNTIF(M18:M37, "✗") + COUNTIF(M18:M37, "x") + COUNTIF(M18:M37, "X")) &gt; 0, (COUNTIF(M18:M37, "✓") + COUNTIF(M18:M37, "✔") + COUNTIF(M18:M37, "v") + COUNTIF(M18:M37, "V")) &amp; "/" &amp; ((COUNTIF(M18:M37, "✓") + COUNTIF(M18:M37, "✔") + COUNTIF(M18:M37, "v") + COUNTIF(M18:M37, "V")) + COUNTIF(M18:M37, "✗") + COUNTIF(M18:M37, "x") + COUNTIF(M18:M37, "X")), "")</f>
        <v/>
      </c>
      <c r="N38" s="33">
        <f>IF(((COUNTIF(N18:N37, "✓") + COUNTIF(N18:N37, "✔") + COUNTIF(N18:N37, "v") + COUNTIF(N18:N37, "V")) + COUNTIF(N18:N37, "✗") + COUNTIF(N18:N37, "x") + COUNTIF(N18:N37, "X")) &gt; 0, (COUNTIF(N18:N37, "✓") + COUNTIF(N18:N37, "✔") + COUNTIF(N18:N37, "v") + COUNTIF(N18:N37, "V")) &amp; "/" &amp; ((COUNTIF(N18:N37, "✓") + COUNTIF(N18:N37, "✔") + COUNTIF(N18:N37, "v") + COUNTIF(N18:N37, "V")) + COUNTIF(N18:N37, "✗") + COUNTIF(N18:N37, "x") + COUNTIF(N18:N37, "X")), "")</f>
        <v/>
      </c>
      <c r="O38" s="33">
        <f>IF(((COUNTIF(O18:O37, "✓") + COUNTIF(O18:O37, "✔") + COUNTIF(O18:O37, "v") + COUNTIF(O18:O37, "V")) + COUNTIF(O18:O37, "✗") + COUNTIF(O18:O37, "x") + COUNTIF(O18:O37, "X")) &gt; 0, (COUNTIF(O18:O37, "✓") + COUNTIF(O18:O37, "✔") + COUNTIF(O18:O37, "v") + COUNTIF(O18:O37, "V")) &amp; "/" &amp; ((COUNTIF(O18:O37, "✓") + COUNTIF(O18:O37, "✔") + COUNTIF(O18:O37, "v") + COUNTIF(O18:O37, "V")) + COUNTIF(O18:O37, "✗") + COUNTIF(O18:O37, "x") + COUNTIF(O18:O37, "X")), "")</f>
        <v/>
      </c>
      <c r="P38" s="33">
        <f>IF(((COUNTIF(P18:P37, "✓") + COUNTIF(P18:P37, "✔") + COUNTIF(P18:P37, "v") + COUNTIF(P18:P37, "V")) + COUNTIF(P18:P37, "✗") + COUNTIF(P18:P37, "x") + COUNTIF(P18:P37, "X")) &gt; 0, (COUNTIF(P18:P37, "✓") + COUNTIF(P18:P37, "✔") + COUNTIF(P18:P37, "v") + COUNTIF(P18:P37, "V")) &amp; "/" &amp; ((COUNTIF(P18:P37, "✓") + COUNTIF(P18:P37, "✔") + COUNTIF(P18:P37, "v") + COUNTIF(P18:P37, "V")) + COUNTIF(P18:P37, "✗") + COUNTIF(P18:P37, "x") + COUNTIF(P18:P37, "X")), "")</f>
        <v/>
      </c>
      <c r="Q38" s="33">
        <f>IF(((COUNTIF(Q18:Q37, "✓") + COUNTIF(Q18:Q37, "✔") + COUNTIF(Q18:Q37, "v") + COUNTIF(Q18:Q37, "V")) + COUNTIF(Q18:Q37, "✗") + COUNTIF(Q18:Q37, "x") + COUNTIF(Q18:Q37, "X")) &gt; 0, (COUNTIF(Q18:Q37, "✓") + COUNTIF(Q18:Q37, "✔") + COUNTIF(Q18:Q37, "v") + COUNTIF(Q18:Q37, "V")) &amp; "/" &amp; ((COUNTIF(Q18:Q37, "✓") + COUNTIF(Q18:Q37, "✔") + COUNTIF(Q18:Q37, "v") + COUNTIF(Q18:Q37, "V")) + COUNTIF(Q18:Q37, "✗") + COUNTIF(Q18:Q37, "x") + COUNTIF(Q18:Q37, "X")), "")</f>
        <v/>
      </c>
      <c r="R38" s="33">
        <f>IF(((COUNTIF(R18:R37, "✓") + COUNTIF(R18:R37, "✔") + COUNTIF(R18:R37, "v") + COUNTIF(R18:R37, "V")) + COUNTIF(R18:R37, "✗") + COUNTIF(R18:R37, "x") + COUNTIF(R18:R37, "X")) &gt; 0, (COUNTIF(R18:R37, "✓") + COUNTIF(R18:R37, "✔") + COUNTIF(R18:R37, "v") + COUNTIF(R18:R37, "V")) &amp; "/" &amp; ((COUNTIF(R18:R37, "✓") + COUNTIF(R18:R37, "✔") + COUNTIF(R18:R37, "v") + COUNTIF(R18:R37, "V")) + COUNTIF(R18:R37, "✗") + COUNTIF(R18:R37, "x") + COUNTIF(R18:R37, "X")), "")</f>
        <v/>
      </c>
      <c r="S38" s="33">
        <f>IF(((COUNTIF(S18:S37, "✓") + COUNTIF(S18:S37, "✔") + COUNTIF(S18:S37, "v") + COUNTIF(S18:S37, "V")) + COUNTIF(S18:S37, "✗") + COUNTIF(S18:S37, "x") + COUNTIF(S18:S37, "X")) &gt; 0, (COUNTIF(S18:S37, "✓") + COUNTIF(S18:S37, "✔") + COUNTIF(S18:S37, "v") + COUNTIF(S18:S37, "V")) &amp; "/" &amp; ((COUNTIF(S18:S37, "✓") + COUNTIF(S18:S37, "✔") + COUNTIF(S18:S37, "v") + COUNTIF(S18:S37, "V")) + COUNTIF(S18:S37, "✗") + COUNTIF(S18:S37, "x") + COUNTIF(S18:S37, "X")), "")</f>
        <v/>
      </c>
      <c r="T38" s="33">
        <f>IF(((COUNTIF(T18:T37, "✓") + COUNTIF(T18:T37, "✔") + COUNTIF(T18:T37, "v") + COUNTIF(T18:T37, "V")) + COUNTIF(T18:T37, "✗") + COUNTIF(T18:T37, "x") + COUNTIF(T18:T37, "X")) &gt; 0, (COUNTIF(T18:T37, "✓") + COUNTIF(T18:T37, "✔") + COUNTIF(T18:T37, "v") + COUNTIF(T18:T37, "V")) &amp; "/" &amp; ((COUNTIF(T18:T37, "✓") + COUNTIF(T18:T37, "✔") + COUNTIF(T18:T37, "v") + COUNTIF(T18:T37, "V")) + COUNTIF(T18:T37, "✗") + COUNTIF(T18:T37, "x") + COUNTIF(T18:T37, "X")), "")</f>
        <v/>
      </c>
      <c r="U38" s="33">
        <f>IF(((COUNTIF(U18:U37, "✓") + COUNTIF(U18:U37, "✔") + COUNTIF(U18:U37, "v") + COUNTIF(U18:U37, "V")) + COUNTIF(U18:U37, "✗") + COUNTIF(U18:U37, "x") + COUNTIF(U18:U37, "X")) &gt; 0, (COUNTIF(U18:U37, "✓") + COUNTIF(U18:U37, "✔") + COUNTIF(U18:U37, "v") + COUNTIF(U18:U37, "V")) &amp; "/" &amp; ((COUNTIF(U18:U37, "✓") + COUNTIF(U18:U37, "✔") + COUNTIF(U18:U37, "v") + COUNTIF(U18:U37, "V")) + COUNTIF(U18:U37, "✗") + COUNTIF(U18:U37, "x") + COUNTIF(U18:U37, "X")), "")</f>
        <v/>
      </c>
      <c r="V38" s="33">
        <f>IF(((COUNTIF(V18:V37, "✓") + COUNTIF(V18:V37, "✔") + COUNTIF(V18:V37, "v") + COUNTIF(V18:V37, "V")) + COUNTIF(V18:V37, "✗") + COUNTIF(V18:V37, "x") + COUNTIF(V18:V37, "X")) &gt; 0, (COUNTIF(V18:V37, "✓") + COUNTIF(V18:V37, "✔") + COUNTIF(V18:V37, "v") + COUNTIF(V18:V37, "V")) &amp; "/" &amp; ((COUNTIF(V18:V37, "✓") + COUNTIF(V18:V37, "✔") + COUNTIF(V18:V37, "v") + COUNTIF(V18:V37, "V")) + COUNTIF(V18:V37, "✗") + COUNTIF(V18:V37, "x") + COUNTIF(V18:V37, "X")), "")</f>
        <v/>
      </c>
      <c r="W38" s="33">
        <f>IF(((COUNTIF(W18:W37, "✓") + COUNTIF(W18:W37, "✔") + COUNTIF(W18:W37, "v") + COUNTIF(W18:W37, "V")) + COUNTIF(W18:W37, "✗") + COUNTIF(W18:W37, "x") + COUNTIF(W18:W37, "X")) &gt; 0, (COUNTIF(W18:W37, "✓") + COUNTIF(W18:W37, "✔") + COUNTIF(W18:W37, "v") + COUNTIF(W18:W37, "V")) &amp; "/" &amp; ((COUNTIF(W18:W37, "✓") + COUNTIF(W18:W37, "✔") + COUNTIF(W18:W37, "v") + COUNTIF(W18:W37, "V")) + COUNTIF(W18:W37, "✗") + COUNTIF(W18:W37, "x") + COUNTIF(W18:W37, "X")), "")</f>
        <v/>
      </c>
      <c r="X38" s="33">
        <f>IF(((COUNTIF(X18:X37, "✓") + COUNTIF(X18:X37, "✔") + COUNTIF(X18:X37, "v") + COUNTIF(X18:X37, "V")) + COUNTIF(X18:X37, "✗") + COUNTIF(X18:X37, "x") + COUNTIF(X18:X37, "X")) &gt; 0, (COUNTIF(X18:X37, "✓") + COUNTIF(X18:X37, "✔") + COUNTIF(X18:X37, "v") + COUNTIF(X18:X37, "V")) &amp; "/" &amp; ((COUNTIF(X18:X37, "✓") + COUNTIF(X18:X37, "✔") + COUNTIF(X18:X37, "v") + COUNTIF(X18:X37, "V")) + COUNTIF(X18:X37, "✗") + COUNTIF(X18:X37, "x") + COUNTIF(X18:X37, "X")), "")</f>
        <v/>
      </c>
      <c r="Y38" s="33">
        <f>IF(((COUNTIF(Y18:Y37, "✓") + COUNTIF(Y18:Y37, "✔") + COUNTIF(Y18:Y37, "v") + COUNTIF(Y18:Y37, "V")) + COUNTIF(Y18:Y37, "✗") + COUNTIF(Y18:Y37, "x") + COUNTIF(Y18:Y37, "X")) &gt; 0, (COUNTIF(Y18:Y37, "✓") + COUNTIF(Y18:Y37, "✔") + COUNTIF(Y18:Y37, "v") + COUNTIF(Y18:Y37, "V")) &amp; "/" &amp; ((COUNTIF(Y18:Y37, "✓") + COUNTIF(Y18:Y37, "✔") + COUNTIF(Y18:Y37, "v") + COUNTIF(Y18:Y37, "V")) + COUNTIF(Y18:Y37, "✗") + COUNTIF(Y18:Y37, "x") + COUNTIF(Y18:Y37, "X")), "")</f>
        <v/>
      </c>
      <c r="Z38" s="33">
        <f>IF(((COUNTIF(Z18:Z37, "✓") + COUNTIF(Z18:Z37, "✔") + COUNTIF(Z18:Z37, "v") + COUNTIF(Z18:Z37, "V")) + COUNTIF(Z18:Z37, "✗") + COUNTIF(Z18:Z37, "x") + COUNTIF(Z18:Z37, "X")) &gt; 0, (COUNTIF(Z18:Z37, "✓") + COUNTIF(Z18:Z37, "✔") + COUNTIF(Z18:Z37, "v") + COUNTIF(Z18:Z37, "V")) &amp; "/" &amp; ((COUNTIF(Z18:Z37, "✓") + COUNTIF(Z18:Z37, "✔") + COUNTIF(Z18:Z37, "v") + COUNTIF(Z18:Z37, "V")) + COUNTIF(Z18:Z37, "✗") + COUNTIF(Z18:Z37, "x") + COUNTIF(Z18:Z37, "X")), "")</f>
        <v/>
      </c>
      <c r="AA38" s="33">
        <f>IF(((COUNTIF(AA18:AA37, "✓") + COUNTIF(AA18:AA37, "✔") + COUNTIF(AA18:AA37, "v") + COUNTIF(AA18:AA37, "V")) + COUNTIF(AA18:AA37, "✗") + COUNTIF(AA18:AA37, "x") + COUNTIF(AA18:AA37, "X")) &gt; 0, (COUNTIF(AA18:AA37, "✓") + COUNTIF(AA18:AA37, "✔") + COUNTIF(AA18:AA37, "v") + COUNTIF(AA18:AA37, "V")) &amp; "/" &amp; ((COUNTIF(AA18:AA37, "✓") + COUNTIF(AA18:AA37, "✔") + COUNTIF(AA18:AA37, "v") + COUNTIF(AA18:AA37, "V")) + COUNTIF(AA18:AA37, "✗") + COUNTIF(AA18:AA37, "x") + COUNTIF(AA18:AA37, "X")), "")</f>
        <v/>
      </c>
      <c r="AB38" s="33">
        <f>IF(((COUNTIF(AB18:AB37, "✓") + COUNTIF(AB18:AB37, "✔") + COUNTIF(AB18:AB37, "v") + COUNTIF(AB18:AB37, "V")) + COUNTIF(AB18:AB37, "✗") + COUNTIF(AB18:AB37, "x") + COUNTIF(AB18:AB37, "X")) &gt; 0, (COUNTIF(AB18:AB37, "✓") + COUNTIF(AB18:AB37, "✔") + COUNTIF(AB18:AB37, "v") + COUNTIF(AB18:AB37, "V")) &amp; "/" &amp; ((COUNTIF(AB18:AB37, "✓") + COUNTIF(AB18:AB37, "✔") + COUNTIF(AB18:AB37, "v") + COUNTIF(AB18:AB37, "V")) + COUNTIF(AB18:AB37, "✗") + COUNTIF(AB18:AB37, "x") + COUNTIF(AB18:AB37, "X")), "")</f>
        <v/>
      </c>
      <c r="AC38" s="33">
        <f>IF(((COUNTIF(AC18:AC37, "✓") + COUNTIF(AC18:AC37, "✔") + COUNTIF(AC18:AC37, "v") + COUNTIF(AC18:AC37, "V")) + COUNTIF(AC18:AC37, "✗") + COUNTIF(AC18:AC37, "x") + COUNTIF(AC18:AC37, "X")) &gt; 0, (COUNTIF(AC18:AC37, "✓") + COUNTIF(AC18:AC37, "✔") + COUNTIF(AC18:AC37, "v") + COUNTIF(AC18:AC37, "V")) &amp; "/" &amp; ((COUNTIF(AC18:AC37, "✓") + COUNTIF(AC18:AC37, "✔") + COUNTIF(AC18:AC37, "v") + COUNTIF(AC18:AC37, "V")) + COUNTIF(AC18:AC37, "✗") + COUNTIF(AC18:AC37, "x") + COUNTIF(AC18:AC37, "X")), "")</f>
        <v/>
      </c>
      <c r="AD38" s="33">
        <f>IF(((COUNTIF(AD18:AD37, "✓") + COUNTIF(AD18:AD37, "✔") + COUNTIF(AD18:AD37, "v") + COUNTIF(AD18:AD37, "V")) + COUNTIF(AD18:AD37, "✗") + COUNTIF(AD18:AD37, "x") + COUNTIF(AD18:AD37, "X")) &gt; 0, (COUNTIF(AD18:AD37, "✓") + COUNTIF(AD18:AD37, "✔") + COUNTIF(AD18:AD37, "v") + COUNTIF(AD18:AD37, "V")) &amp; "/" &amp; ((COUNTIF(AD18:AD37, "✓") + COUNTIF(AD18:AD37, "✔") + COUNTIF(AD18:AD37, "v") + COUNTIF(AD18:AD37, "V")) + COUNTIF(AD18:AD37, "✗") + COUNTIF(AD18:AD37, "x") + COUNTIF(AD18:AD37, "X")), "")</f>
        <v/>
      </c>
      <c r="AE38" s="33">
        <f>IF(((COUNTIF(AE18:AE37, "✓") + COUNTIF(AE18:AE37, "✔") + COUNTIF(AE18:AE37, "v") + COUNTIF(AE18:AE37, "V")) + COUNTIF(AE18:AE37, "✗") + COUNTIF(AE18:AE37, "x") + COUNTIF(AE18:AE37, "X")) &gt; 0, (COUNTIF(AE18:AE37, "✓") + COUNTIF(AE18:AE37, "✔") + COUNTIF(AE18:AE37, "v") + COUNTIF(AE18:AE37, "V")) &amp; "/" &amp; ((COUNTIF(AE18:AE37, "✓") + COUNTIF(AE18:AE37, "✔") + COUNTIF(AE18:AE37, "v") + COUNTIF(AE18:AE37, "V")) + COUNTIF(AE18:AE37, "✗") + COUNTIF(AE18:AE37, "x") + COUNTIF(AE18:AE37, "X")), "")</f>
        <v/>
      </c>
      <c r="AF38" s="33">
        <f>IF(((COUNTIF(AF18:AF37, "✓") + COUNTIF(AF18:AF37, "✔") + COUNTIF(AF18:AF37, "v") + COUNTIF(AF18:AF37, "V")) + COUNTIF(AF18:AF37, "✗") + COUNTIF(AF18:AF37, "x") + COUNTIF(AF18:AF37, "X")) &gt; 0, (COUNTIF(AF18:AF37, "✓") + COUNTIF(AF18:AF37, "✔") + COUNTIF(AF18:AF37, "v") + COUNTIF(AF18:AF37, "V")) &amp; "/" &amp; ((COUNTIF(AF18:AF37, "✓") + COUNTIF(AF18:AF37, "✔") + COUNTIF(AF18:AF37, "v") + COUNTIF(AF18:AF37, "V")) + COUNTIF(AF18:AF37, "✗") + COUNTIF(AF18:AF37, "x") + COUNTIF(AF18:AF37, "X")), "")</f>
        <v/>
      </c>
      <c r="AG38" s="33">
        <f>IF(((COUNTIF(AG18:AG37, "✓") + COUNTIF(AG18:AG37, "✔") + COUNTIF(AG18:AG37, "v") + COUNTIF(AG18:AG37, "V")) + COUNTIF(AG18:AG37, "✗") + COUNTIF(AG18:AG37, "x") + COUNTIF(AG18:AG37, "X")) &gt; 0, (COUNTIF(AG18:AG37, "✓") + COUNTIF(AG18:AG37, "✔") + COUNTIF(AG18:AG37, "v") + COUNTIF(AG18:AG37, "V")) &amp; "/" &amp; ((COUNTIF(AG18:AG37, "✓") + COUNTIF(AG18:AG37, "✔") + COUNTIF(AG18:AG37, "v") + COUNTIF(AG18:AG37, "V")) + COUNTIF(AG18:AG37, "✗") + COUNTIF(AG18:AG37, "x") + COUNTIF(AG18:AG37, "X")), "")</f>
        <v/>
      </c>
      <c r="AH38" s="33">
        <f>IF(((COUNTIF(AH18:AH37, "✓") + COUNTIF(AH18:AH37, "✔") + COUNTIF(AH18:AH37, "v") + COUNTIF(AH18:AH37, "V")) + COUNTIF(AH18:AH37, "✗") + COUNTIF(AH18:AH37, "x") + COUNTIF(AH18:AH37, "X")) &gt; 0, (COUNTIF(AH18:AH37, "✓") + COUNTIF(AH18:AH37, "✔") + COUNTIF(AH18:AH37, "v") + COUNTIF(AH18:AH37, "V")) &amp; "/" &amp; ((COUNTIF(AH18:AH37, "✓") + COUNTIF(AH18:AH37, "✔") + COUNTIF(AH18:AH37, "v") + COUNTIF(AH18:AH37, "V")) + COUNTIF(AH18:AH37, "✗") + COUNTIF(AH18:AH37, "x") + COUNTIF(AH18:AH37, "X")), "")</f>
        <v/>
      </c>
      <c r="AI38" s="33">
        <f>IF(((COUNTIF(AI18:AI37, "✓") + COUNTIF(AI18:AI37, "✔") + COUNTIF(AI18:AI37, "v") + COUNTIF(AI18:AI37, "V")) + COUNTIF(AI18:AI37, "✗") + COUNTIF(AI18:AI37, "x") + COUNTIF(AI18:AI37, "X")) &gt; 0, (COUNTIF(AI18:AI37, "✓") + COUNTIF(AI18:AI37, "✔") + COUNTIF(AI18:AI37, "v") + COUNTIF(AI18:AI37, "V")) &amp; "/" &amp; ((COUNTIF(AI18:AI37, "✓") + COUNTIF(AI18:AI37, "✔") + COUNTIF(AI18:AI37, "v") + COUNTIF(AI18:AI37, "V")) + COUNTIF(AI18:AI37, "✗") + COUNTIF(AI18:AI37, "x") + COUNTIF(AI18:AI37, "X")), "")</f>
        <v/>
      </c>
      <c r="AJ38" s="133">
        <f>IF(SUM(D18:D37) &gt; 0, SUM(AM18:AM37) / SUM(D18:D37), "")</f>
        <v/>
      </c>
      <c r="AK38" s="33">
        <f>IF(SUM(D18:D37) &gt; 0, SUM(AM18:AM37) &amp; "/" &amp; SUM(D18:D37), "")</f>
        <v/>
      </c>
      <c r="AL38" s="54" t="n"/>
    </row>
    <row r="39" ht="18" customHeight="1">
      <c r="A39" s="132" t="inlineStr">
        <is>
          <t>DAILY SUCCESS %</t>
        </is>
      </c>
      <c r="B39" s="54" t="n"/>
      <c r="C39" s="54" t="n"/>
      <c r="D39" s="54" t="n"/>
      <c r="E39" s="134">
        <f>IF(((COUNTIF(E18:E37, "✓") + COUNTIF(E18:E37, "✔") + COUNTIF(E18:E37, "v") + COUNTIF(E18:E37, "V")) + COUNTIF(E18:E37, "✗") + COUNTIF(E18:E37, "x") + COUNTIF(E18:E37, "X")) &gt; 0, (COUNTIF(E18:E37, "✓") + COUNTIF(E18:E37, "✔") + COUNTIF(E18:E37, "v") + COUNTIF(E18:E37, "V")) / ((COUNTIF(E18:E37, "✓") + COUNTIF(E18:E37, "✔") + COUNTIF(E18:E37, "v") + COUNTIF(E18:E37, "V")) + COUNTIF(E18:E37, "✗") + COUNTIF(E18:E37, "x") + COUNTIF(E18:E37, "X")), "")</f>
        <v/>
      </c>
      <c r="F39" s="134">
        <f>IF(((COUNTIF(F18:F37, "✓") + COUNTIF(F18:F37, "✔") + COUNTIF(F18:F37, "v") + COUNTIF(F18:F37, "V")) + COUNTIF(F18:F37, "✗") + COUNTIF(F18:F37, "x") + COUNTIF(F18:F37, "X")) &gt; 0, (COUNTIF(F18:F37, "✓") + COUNTIF(F18:F37, "✔") + COUNTIF(F18:F37, "v") + COUNTIF(F18:F37, "V")) / ((COUNTIF(F18:F37, "✓") + COUNTIF(F18:F37, "✔") + COUNTIF(F18:F37, "v") + COUNTIF(F18:F37, "V")) + COUNTIF(F18:F37, "✗") + COUNTIF(F18:F37, "x") + COUNTIF(F18:F37, "X")), "")</f>
        <v/>
      </c>
      <c r="G39" s="134">
        <f>IF(((COUNTIF(G18:G37, "✓") + COUNTIF(G18:G37, "✔") + COUNTIF(G18:G37, "v") + COUNTIF(G18:G37, "V")) + COUNTIF(G18:G37, "✗") + COUNTIF(G18:G37, "x") + COUNTIF(G18:G37, "X")) &gt; 0, (COUNTIF(G18:G37, "✓") + COUNTIF(G18:G37, "✔") + COUNTIF(G18:G37, "v") + COUNTIF(G18:G37, "V")) / ((COUNTIF(G18:G37, "✓") + COUNTIF(G18:G37, "✔") + COUNTIF(G18:G37, "v") + COUNTIF(G18:G37, "V")) + COUNTIF(G18:G37, "✗") + COUNTIF(G18:G37, "x") + COUNTIF(G18:G37, "X")), "")</f>
        <v/>
      </c>
      <c r="H39" s="134">
        <f>IF(((COUNTIF(H18:H37, "✓") + COUNTIF(H18:H37, "✔") + COUNTIF(H18:H37, "v") + COUNTIF(H18:H37, "V")) + COUNTIF(H18:H37, "✗") + COUNTIF(H18:H37, "x") + COUNTIF(H18:H37, "X")) &gt; 0, (COUNTIF(H18:H37, "✓") + COUNTIF(H18:H37, "✔") + COUNTIF(H18:H37, "v") + COUNTIF(H18:H37, "V")) / ((COUNTIF(H18:H37, "✓") + COUNTIF(H18:H37, "✔") + COUNTIF(H18:H37, "v") + COUNTIF(H18:H37, "V")) + COUNTIF(H18:H37, "✗") + COUNTIF(H18:H37, "x") + COUNTIF(H18:H37, "X")), "")</f>
        <v/>
      </c>
      <c r="I39" s="134">
        <f>IF(((COUNTIF(I18:I37, "✓") + COUNTIF(I18:I37, "✔") + COUNTIF(I18:I37, "v") + COUNTIF(I18:I37, "V")) + COUNTIF(I18:I37, "✗") + COUNTIF(I18:I37, "x") + COUNTIF(I18:I37, "X")) &gt; 0, (COUNTIF(I18:I37, "✓") + COUNTIF(I18:I37, "✔") + COUNTIF(I18:I37, "v") + COUNTIF(I18:I37, "V")) / ((COUNTIF(I18:I37, "✓") + COUNTIF(I18:I37, "✔") + COUNTIF(I18:I37, "v") + COUNTIF(I18:I37, "V")) + COUNTIF(I18:I37, "✗") + COUNTIF(I18:I37, "x") + COUNTIF(I18:I37, "X")), "")</f>
        <v/>
      </c>
      <c r="J39" s="134">
        <f>IF(((COUNTIF(J18:J37, "✓") + COUNTIF(J18:J37, "✔") + COUNTIF(J18:J37, "v") + COUNTIF(J18:J37, "V")) + COUNTIF(J18:J37, "✗") + COUNTIF(J18:J37, "x") + COUNTIF(J18:J37, "X")) &gt; 0, (COUNTIF(J18:J37, "✓") + COUNTIF(J18:J37, "✔") + COUNTIF(J18:J37, "v") + COUNTIF(J18:J37, "V")) / ((COUNTIF(J18:J37, "✓") + COUNTIF(J18:J37, "✔") + COUNTIF(J18:J37, "v") + COUNTIF(J18:J37, "V")) + COUNTIF(J18:J37, "✗") + COUNTIF(J18:J37, "x") + COUNTIF(J18:J37, "X")), "")</f>
        <v/>
      </c>
      <c r="K39" s="134">
        <f>IF(((COUNTIF(K18:K37, "✓") + COUNTIF(K18:K37, "✔") + COUNTIF(K18:K37, "v") + COUNTIF(K18:K37, "V")) + COUNTIF(K18:K37, "✗") + COUNTIF(K18:K37, "x") + COUNTIF(K18:K37, "X")) &gt; 0, (COUNTIF(K18:K37, "✓") + COUNTIF(K18:K37, "✔") + COUNTIF(K18:K37, "v") + COUNTIF(K18:K37, "V")) / ((COUNTIF(K18:K37, "✓") + COUNTIF(K18:K37, "✔") + COUNTIF(K18:K37, "v") + COUNTIF(K18:K37, "V")) + COUNTIF(K18:K37, "✗") + COUNTIF(K18:K37, "x") + COUNTIF(K18:K37, "X")), "")</f>
        <v/>
      </c>
      <c r="L39" s="134">
        <f>IF(((COUNTIF(L18:L37, "✓") + COUNTIF(L18:L37, "✔") + COUNTIF(L18:L37, "v") + COUNTIF(L18:L37, "V")) + COUNTIF(L18:L37, "✗") + COUNTIF(L18:L37, "x") + COUNTIF(L18:L37, "X")) &gt; 0, (COUNTIF(L18:L37, "✓") + COUNTIF(L18:L37, "✔") + COUNTIF(L18:L37, "v") + COUNTIF(L18:L37, "V")) / ((COUNTIF(L18:L37, "✓") + COUNTIF(L18:L37, "✔") + COUNTIF(L18:L37, "v") + COUNTIF(L18:L37, "V")) + COUNTIF(L18:L37, "✗") + COUNTIF(L18:L37, "x") + COUNTIF(L18:L37, "X")), "")</f>
        <v/>
      </c>
      <c r="M39" s="134">
        <f>IF(((COUNTIF(M18:M37, "✓") + COUNTIF(M18:M37, "✔") + COUNTIF(M18:M37, "v") + COUNTIF(M18:M37, "V")) + COUNTIF(M18:M37, "✗") + COUNTIF(M18:M37, "x") + COUNTIF(M18:M37, "X")) &gt; 0, (COUNTIF(M18:M37, "✓") + COUNTIF(M18:M37, "✔") + COUNTIF(M18:M37, "v") + COUNTIF(M18:M37, "V")) / ((COUNTIF(M18:M37, "✓") + COUNTIF(M18:M37, "✔") + COUNTIF(M18:M37, "v") + COUNTIF(M18:M37, "V")) + COUNTIF(M18:M37, "✗") + COUNTIF(M18:M37, "x") + COUNTIF(M18:M37, "X")), "")</f>
        <v/>
      </c>
      <c r="N39" s="134">
        <f>IF(((COUNTIF(N18:N37, "✓") + COUNTIF(N18:N37, "✔") + COUNTIF(N18:N37, "v") + COUNTIF(N18:N37, "V")) + COUNTIF(N18:N37, "✗") + COUNTIF(N18:N37, "x") + COUNTIF(N18:N37, "X")) &gt; 0, (COUNTIF(N18:N37, "✓") + COUNTIF(N18:N37, "✔") + COUNTIF(N18:N37, "v") + COUNTIF(N18:N37, "V")) / ((COUNTIF(N18:N37, "✓") + COUNTIF(N18:N37, "✔") + COUNTIF(N18:N37, "v") + COUNTIF(N18:N37, "V")) + COUNTIF(N18:N37, "✗") + COUNTIF(N18:N37, "x") + COUNTIF(N18:N37, "X")), "")</f>
        <v/>
      </c>
      <c r="O39" s="134">
        <f>IF(((COUNTIF(O18:O37, "✓") + COUNTIF(O18:O37, "✔") + COUNTIF(O18:O37, "v") + COUNTIF(O18:O37, "V")) + COUNTIF(O18:O37, "✗") + COUNTIF(O18:O37, "x") + COUNTIF(O18:O37, "X")) &gt; 0, (COUNTIF(O18:O37, "✓") + COUNTIF(O18:O37, "✔") + COUNTIF(O18:O37, "v") + COUNTIF(O18:O37, "V")) / ((COUNTIF(O18:O37, "✓") + COUNTIF(O18:O37, "✔") + COUNTIF(O18:O37, "v") + COUNTIF(O18:O37, "V")) + COUNTIF(O18:O37, "✗") + COUNTIF(O18:O37, "x") + COUNTIF(O18:O37, "X")), "")</f>
        <v/>
      </c>
      <c r="P39" s="134">
        <f>IF(((COUNTIF(P18:P37, "✓") + COUNTIF(P18:P37, "✔") + COUNTIF(P18:P37, "v") + COUNTIF(P18:P37, "V")) + COUNTIF(P18:P37, "✗") + COUNTIF(P18:P37, "x") + COUNTIF(P18:P37, "X")) &gt; 0, (COUNTIF(P18:P37, "✓") + COUNTIF(P18:P37, "✔") + COUNTIF(P18:P37, "v") + COUNTIF(P18:P37, "V")) / ((COUNTIF(P18:P37, "✓") + COUNTIF(P18:P37, "✔") + COUNTIF(P18:P37, "v") + COUNTIF(P18:P37, "V")) + COUNTIF(P18:P37, "✗") + COUNTIF(P18:P37, "x") + COUNTIF(P18:P37, "X")), "")</f>
        <v/>
      </c>
      <c r="Q39" s="134">
        <f>IF(((COUNTIF(Q18:Q37, "✓") + COUNTIF(Q18:Q37, "✔") + COUNTIF(Q18:Q37, "v") + COUNTIF(Q18:Q37, "V")) + COUNTIF(Q18:Q37, "✗") + COUNTIF(Q18:Q37, "x") + COUNTIF(Q18:Q37, "X")) &gt; 0, (COUNTIF(Q18:Q37, "✓") + COUNTIF(Q18:Q37, "✔") + COUNTIF(Q18:Q37, "v") + COUNTIF(Q18:Q37, "V")) / ((COUNTIF(Q18:Q37, "✓") + COUNTIF(Q18:Q37, "✔") + COUNTIF(Q18:Q37, "v") + COUNTIF(Q18:Q37, "V")) + COUNTIF(Q18:Q37, "✗") + COUNTIF(Q18:Q37, "x") + COUNTIF(Q18:Q37, "X")), "")</f>
        <v/>
      </c>
      <c r="R39" s="134">
        <f>IF(((COUNTIF(R18:R37, "✓") + COUNTIF(R18:R37, "✔") + COUNTIF(R18:R37, "v") + COUNTIF(R18:R37, "V")) + COUNTIF(R18:R37, "✗") + COUNTIF(R18:R37, "x") + COUNTIF(R18:R37, "X")) &gt; 0, (COUNTIF(R18:R37, "✓") + COUNTIF(R18:R37, "✔") + COUNTIF(R18:R37, "v") + COUNTIF(R18:R37, "V")) / ((COUNTIF(R18:R37, "✓") + COUNTIF(R18:R37, "✔") + COUNTIF(R18:R37, "v") + COUNTIF(R18:R37, "V")) + COUNTIF(R18:R37, "✗") + COUNTIF(R18:R37, "x") + COUNTIF(R18:R37, "X")), "")</f>
        <v/>
      </c>
      <c r="S39" s="134">
        <f>IF(((COUNTIF(S18:S37, "✓") + COUNTIF(S18:S37, "✔") + COUNTIF(S18:S37, "v") + COUNTIF(S18:S37, "V")) + COUNTIF(S18:S37, "✗") + COUNTIF(S18:S37, "x") + COUNTIF(S18:S37, "X")) &gt; 0, (COUNTIF(S18:S37, "✓") + COUNTIF(S18:S37, "✔") + COUNTIF(S18:S37, "v") + COUNTIF(S18:S37, "V")) / ((COUNTIF(S18:S37, "✓") + COUNTIF(S18:S37, "✔") + COUNTIF(S18:S37, "v") + COUNTIF(S18:S37, "V")) + COUNTIF(S18:S37, "✗") + COUNTIF(S18:S37, "x") + COUNTIF(S18:S37, "X")), "")</f>
        <v/>
      </c>
      <c r="T39" s="134">
        <f>IF(((COUNTIF(T18:T37, "✓") + COUNTIF(T18:T37, "✔") + COUNTIF(T18:T37, "v") + COUNTIF(T18:T37, "V")) + COUNTIF(T18:T37, "✗") + COUNTIF(T18:T37, "x") + COUNTIF(T18:T37, "X")) &gt; 0, (COUNTIF(T18:T37, "✓") + COUNTIF(T18:T37, "✔") + COUNTIF(T18:T37, "v") + COUNTIF(T18:T37, "V")) / ((COUNTIF(T18:T37, "✓") + COUNTIF(T18:T37, "✔") + COUNTIF(T18:T37, "v") + COUNTIF(T18:T37, "V")) + COUNTIF(T18:T37, "✗") + COUNTIF(T18:T37, "x") + COUNTIF(T18:T37, "X")), "")</f>
        <v/>
      </c>
      <c r="U39" s="134">
        <f>IF(((COUNTIF(U18:U37, "✓") + COUNTIF(U18:U37, "✔") + COUNTIF(U18:U37, "v") + COUNTIF(U18:U37, "V")) + COUNTIF(U18:U37, "✗") + COUNTIF(U18:U37, "x") + COUNTIF(U18:U37, "X")) &gt; 0, (COUNTIF(U18:U37, "✓") + COUNTIF(U18:U37, "✔") + COUNTIF(U18:U37, "v") + COUNTIF(U18:U37, "V")) / ((COUNTIF(U18:U37, "✓") + COUNTIF(U18:U37, "✔") + COUNTIF(U18:U37, "v") + COUNTIF(U18:U37, "V")) + COUNTIF(U18:U37, "✗") + COUNTIF(U18:U37, "x") + COUNTIF(U18:U37, "X")), "")</f>
        <v/>
      </c>
      <c r="V39" s="134">
        <f>IF(((COUNTIF(V18:V37, "✓") + COUNTIF(V18:V37, "✔") + COUNTIF(V18:V37, "v") + COUNTIF(V18:V37, "V")) + COUNTIF(V18:V37, "✗") + COUNTIF(V18:V37, "x") + COUNTIF(V18:V37, "X")) &gt; 0, (COUNTIF(V18:V37, "✓") + COUNTIF(V18:V37, "✔") + COUNTIF(V18:V37, "v") + COUNTIF(V18:V37, "V")) / ((COUNTIF(V18:V37, "✓") + COUNTIF(V18:V37, "✔") + COUNTIF(V18:V37, "v") + COUNTIF(V18:V37, "V")) + COUNTIF(V18:V37, "✗") + COUNTIF(V18:V37, "x") + COUNTIF(V18:V37, "X")), "")</f>
        <v/>
      </c>
      <c r="W39" s="134">
        <f>IF(((COUNTIF(W18:W37, "✓") + COUNTIF(W18:W37, "✔") + COUNTIF(W18:W37, "v") + COUNTIF(W18:W37, "V")) + COUNTIF(W18:W37, "✗") + COUNTIF(W18:W37, "x") + COUNTIF(W18:W37, "X")) &gt; 0, (COUNTIF(W18:W37, "✓") + COUNTIF(W18:W37, "✔") + COUNTIF(W18:W37, "v") + COUNTIF(W18:W37, "V")) / ((COUNTIF(W18:W37, "✓") + COUNTIF(W18:W37, "✔") + COUNTIF(W18:W37, "v") + COUNTIF(W18:W37, "V")) + COUNTIF(W18:W37, "✗") + COUNTIF(W18:W37, "x") + COUNTIF(W18:W37, "X")), "")</f>
        <v/>
      </c>
      <c r="X39" s="134">
        <f>IF(((COUNTIF(X18:X37, "✓") + COUNTIF(X18:X37, "✔") + COUNTIF(X18:X37, "v") + COUNTIF(X18:X37, "V")) + COUNTIF(X18:X37, "✗") + COUNTIF(X18:X37, "x") + COUNTIF(X18:X37, "X")) &gt; 0, (COUNTIF(X18:X37, "✓") + COUNTIF(X18:X37, "✔") + COUNTIF(X18:X37, "v") + COUNTIF(X18:X37, "V")) / ((COUNTIF(X18:X37, "✓") + COUNTIF(X18:X37, "✔") + COUNTIF(X18:X37, "v") + COUNTIF(X18:X37, "V")) + COUNTIF(X18:X37, "✗") + COUNTIF(X18:X37, "x") + COUNTIF(X18:X37, "X")), "")</f>
        <v/>
      </c>
      <c r="Y39" s="134">
        <f>IF(((COUNTIF(Y18:Y37, "✓") + COUNTIF(Y18:Y37, "✔") + COUNTIF(Y18:Y37, "v") + COUNTIF(Y18:Y37, "V")) + COUNTIF(Y18:Y37, "✗") + COUNTIF(Y18:Y37, "x") + COUNTIF(Y18:Y37, "X")) &gt; 0, (COUNTIF(Y18:Y37, "✓") + COUNTIF(Y18:Y37, "✔") + COUNTIF(Y18:Y37, "v") + COUNTIF(Y18:Y37, "V")) / ((COUNTIF(Y18:Y37, "✓") + COUNTIF(Y18:Y37, "✔") + COUNTIF(Y18:Y37, "v") + COUNTIF(Y18:Y37, "V")) + COUNTIF(Y18:Y37, "✗") + COUNTIF(Y18:Y37, "x") + COUNTIF(Y18:Y37, "X")), "")</f>
        <v/>
      </c>
      <c r="Z39" s="134">
        <f>IF(((COUNTIF(Z18:Z37, "✓") + COUNTIF(Z18:Z37, "✔") + COUNTIF(Z18:Z37, "v") + COUNTIF(Z18:Z37, "V")) + COUNTIF(Z18:Z37, "✗") + COUNTIF(Z18:Z37, "x") + COUNTIF(Z18:Z37, "X")) &gt; 0, (COUNTIF(Z18:Z37, "✓") + COUNTIF(Z18:Z37, "✔") + COUNTIF(Z18:Z37, "v") + COUNTIF(Z18:Z37, "V")) / ((COUNTIF(Z18:Z37, "✓") + COUNTIF(Z18:Z37, "✔") + COUNTIF(Z18:Z37, "v") + COUNTIF(Z18:Z37, "V")) + COUNTIF(Z18:Z37, "✗") + COUNTIF(Z18:Z37, "x") + COUNTIF(Z18:Z37, "X")), "")</f>
        <v/>
      </c>
      <c r="AA39" s="134">
        <f>IF(((COUNTIF(AA18:AA37, "✓") + COUNTIF(AA18:AA37, "✔") + COUNTIF(AA18:AA37, "v") + COUNTIF(AA18:AA37, "V")) + COUNTIF(AA18:AA37, "✗") + COUNTIF(AA18:AA37, "x") + COUNTIF(AA18:AA37, "X")) &gt; 0, (COUNTIF(AA18:AA37, "✓") + COUNTIF(AA18:AA37, "✔") + COUNTIF(AA18:AA37, "v") + COUNTIF(AA18:AA37, "V")) / ((COUNTIF(AA18:AA37, "✓") + COUNTIF(AA18:AA37, "✔") + COUNTIF(AA18:AA37, "v") + COUNTIF(AA18:AA37, "V")) + COUNTIF(AA18:AA37, "✗") + COUNTIF(AA18:AA37, "x") + COUNTIF(AA18:AA37, "X")), "")</f>
        <v/>
      </c>
      <c r="AB39" s="134">
        <f>IF(((COUNTIF(AB18:AB37, "✓") + COUNTIF(AB18:AB37, "✔") + COUNTIF(AB18:AB37, "v") + COUNTIF(AB18:AB37, "V")) + COUNTIF(AB18:AB37, "✗") + COUNTIF(AB18:AB37, "x") + COUNTIF(AB18:AB37, "X")) &gt; 0, (COUNTIF(AB18:AB37, "✓") + COUNTIF(AB18:AB37, "✔") + COUNTIF(AB18:AB37, "v") + COUNTIF(AB18:AB37, "V")) / ((COUNTIF(AB18:AB37, "✓") + COUNTIF(AB18:AB37, "✔") + COUNTIF(AB18:AB37, "v") + COUNTIF(AB18:AB37, "V")) + COUNTIF(AB18:AB37, "✗") + COUNTIF(AB18:AB37, "x") + COUNTIF(AB18:AB37, "X")), "")</f>
        <v/>
      </c>
      <c r="AC39" s="134">
        <f>IF(((COUNTIF(AC18:AC37, "✓") + COUNTIF(AC18:AC37, "✔") + COUNTIF(AC18:AC37, "v") + COUNTIF(AC18:AC37, "V")) + COUNTIF(AC18:AC37, "✗") + COUNTIF(AC18:AC37, "x") + COUNTIF(AC18:AC37, "X")) &gt; 0, (COUNTIF(AC18:AC37, "✓") + COUNTIF(AC18:AC37, "✔") + COUNTIF(AC18:AC37, "v") + COUNTIF(AC18:AC37, "V")) / ((COUNTIF(AC18:AC37, "✓") + COUNTIF(AC18:AC37, "✔") + COUNTIF(AC18:AC37, "v") + COUNTIF(AC18:AC37, "V")) + COUNTIF(AC18:AC37, "✗") + COUNTIF(AC18:AC37, "x") + COUNTIF(AC18:AC37, "X")), "")</f>
        <v/>
      </c>
      <c r="AD39" s="134">
        <f>IF(((COUNTIF(AD18:AD37, "✓") + COUNTIF(AD18:AD37, "✔") + COUNTIF(AD18:AD37, "v") + COUNTIF(AD18:AD37, "V")) + COUNTIF(AD18:AD37, "✗") + COUNTIF(AD18:AD37, "x") + COUNTIF(AD18:AD37, "X")) &gt; 0, (COUNTIF(AD18:AD37, "✓") + COUNTIF(AD18:AD37, "✔") + COUNTIF(AD18:AD37, "v") + COUNTIF(AD18:AD37, "V")) / ((COUNTIF(AD18:AD37, "✓") + COUNTIF(AD18:AD37, "✔") + COUNTIF(AD18:AD37, "v") + COUNTIF(AD18:AD37, "V")) + COUNTIF(AD18:AD37, "✗") + COUNTIF(AD18:AD37, "x") + COUNTIF(AD18:AD37, "X")), "")</f>
        <v/>
      </c>
      <c r="AE39" s="134">
        <f>IF(((COUNTIF(AE18:AE37, "✓") + COUNTIF(AE18:AE37, "✔") + COUNTIF(AE18:AE37, "v") + COUNTIF(AE18:AE37, "V")) + COUNTIF(AE18:AE37, "✗") + COUNTIF(AE18:AE37, "x") + COUNTIF(AE18:AE37, "X")) &gt; 0, (COUNTIF(AE18:AE37, "✓") + COUNTIF(AE18:AE37, "✔") + COUNTIF(AE18:AE37, "v") + COUNTIF(AE18:AE37, "V")) / ((COUNTIF(AE18:AE37, "✓") + COUNTIF(AE18:AE37, "✔") + COUNTIF(AE18:AE37, "v") + COUNTIF(AE18:AE37, "V")) + COUNTIF(AE18:AE37, "✗") + COUNTIF(AE18:AE37, "x") + COUNTIF(AE18:AE37, "X")), "")</f>
        <v/>
      </c>
      <c r="AF39" s="134">
        <f>IF(((COUNTIF(AF18:AF37, "✓") + COUNTIF(AF18:AF37, "✔") + COUNTIF(AF18:AF37, "v") + COUNTIF(AF18:AF37, "V")) + COUNTIF(AF18:AF37, "✗") + COUNTIF(AF18:AF37, "x") + COUNTIF(AF18:AF37, "X")) &gt; 0, (COUNTIF(AF18:AF37, "✓") + COUNTIF(AF18:AF37, "✔") + COUNTIF(AF18:AF37, "v") + COUNTIF(AF18:AF37, "V")) / ((COUNTIF(AF18:AF37, "✓") + COUNTIF(AF18:AF37, "✔") + COUNTIF(AF18:AF37, "v") + COUNTIF(AF18:AF37, "V")) + COUNTIF(AF18:AF37, "✗") + COUNTIF(AF18:AF37, "x") + COUNTIF(AF18:AF37, "X")), "")</f>
        <v/>
      </c>
      <c r="AG39" s="134">
        <f>IF(((COUNTIF(AG18:AG37, "✓") + COUNTIF(AG18:AG37, "✔") + COUNTIF(AG18:AG37, "v") + COUNTIF(AG18:AG37, "V")) + COUNTIF(AG18:AG37, "✗") + COUNTIF(AG18:AG37, "x") + COUNTIF(AG18:AG37, "X")) &gt; 0, (COUNTIF(AG18:AG37, "✓") + COUNTIF(AG18:AG37, "✔") + COUNTIF(AG18:AG37, "v") + COUNTIF(AG18:AG37, "V")) / ((COUNTIF(AG18:AG37, "✓") + COUNTIF(AG18:AG37, "✔") + COUNTIF(AG18:AG37, "v") + COUNTIF(AG18:AG37, "V")) + COUNTIF(AG18:AG37, "✗") + COUNTIF(AG18:AG37, "x") + COUNTIF(AG18:AG37, "X")), "")</f>
        <v/>
      </c>
      <c r="AH39" s="134">
        <f>IF(((COUNTIF(AH18:AH37, "✓") + COUNTIF(AH18:AH37, "✔") + COUNTIF(AH18:AH37, "v") + COUNTIF(AH18:AH37, "V")) + COUNTIF(AH18:AH37, "✗") + COUNTIF(AH18:AH37, "x") + COUNTIF(AH18:AH37, "X")) &gt; 0, (COUNTIF(AH18:AH37, "✓") + COUNTIF(AH18:AH37, "✔") + COUNTIF(AH18:AH37, "v") + COUNTIF(AH18:AH37, "V")) / ((COUNTIF(AH18:AH37, "✓") + COUNTIF(AH18:AH37, "✔") + COUNTIF(AH18:AH37, "v") + COUNTIF(AH18:AH37, "V")) + COUNTIF(AH18:AH37, "✗") + COUNTIF(AH18:AH37, "x") + COUNTIF(AH18:AH37, "X")), "")</f>
        <v/>
      </c>
      <c r="AI39" s="134">
        <f>IF(((COUNTIF(AI18:AI37, "✓") + COUNTIF(AI18:AI37, "✔") + COUNTIF(AI18:AI37, "v") + COUNTIF(AI18:AI37, "V")) + COUNTIF(AI18:AI37, "✗") + COUNTIF(AI18:AI37, "x") + COUNTIF(AI18:AI37, "X")) &gt; 0, (COUNTIF(AI18:AI37, "✓") + COUNTIF(AI18:AI37, "✔") + COUNTIF(AI18:AI37, "v") + COUNTIF(AI18:AI37, "V")) / ((COUNTIF(AI18:AI37, "✓") + COUNTIF(AI18:AI37, "✔") + COUNTIF(AI18:AI37, "v") + COUNTIF(AI18:AI37, "V")) + COUNTIF(AI18:AI37, "✗") + COUNTIF(AI18:AI37, "x") + COUNTIF(AI18:AI37, "X")), "")</f>
        <v/>
      </c>
      <c r="AJ39" s="133">
        <f>IF(COUNT(E39:AI39) &gt; 0, AVERAGE(E39:AI39), "")</f>
        <v/>
      </c>
      <c r="AK39" s="54" t="n"/>
      <c r="AL39" s="54" t="n"/>
    </row>
    <row r="40" ht="6" customHeight="1"/>
    <row r="41" ht="15" customHeight="1">
      <c r="A41" s="135" t="inlineStr">
        <is>
          <t>IF SUCCESS &lt; 80%, PUNISHMENT: ________________________________________________</t>
        </is>
      </c>
    </row>
    <row r="42" ht="15" customHeight="1">
      <c r="A42" s="136" t="inlineStr">
        <is>
          <t>IF SUCCESS &gt; 90%, REWARD: __________________________________________________</t>
        </is>
      </c>
    </row>
    <row r="43" ht="10" customHeight="1"/>
    <row r="44" ht="10" customHeight="1"/>
    <row r="45" ht="15" customHeight="1">
      <c r="A45" s="51" t="inlineStr">
        <is>
          <t>Sleep Tracking</t>
        </is>
      </c>
      <c r="B45" s="52" t="n"/>
      <c r="C45" s="52" t="n"/>
      <c r="D45" s="52" t="n"/>
      <c r="E45" s="137" t="n">
        <v>1</v>
      </c>
      <c r="F45" s="137" t="n">
        <v>2</v>
      </c>
      <c r="G45" s="137" t="n">
        <v>3</v>
      </c>
      <c r="H45" s="137" t="n">
        <v>4</v>
      </c>
      <c r="I45" s="137" t="n">
        <v>5</v>
      </c>
      <c r="J45" s="138" t="n">
        <v>6</v>
      </c>
      <c r="K45" s="137" t="n">
        <v>7</v>
      </c>
      <c r="L45" s="137" t="n">
        <v>8</v>
      </c>
      <c r="M45" s="137" t="n">
        <v>9</v>
      </c>
      <c r="N45" s="137" t="n">
        <v>10</v>
      </c>
      <c r="O45" s="137" t="n">
        <v>11</v>
      </c>
      <c r="P45" s="137" t="n">
        <v>12</v>
      </c>
      <c r="Q45" s="138" t="n">
        <v>13</v>
      </c>
      <c r="R45" s="137" t="n">
        <v>14</v>
      </c>
      <c r="S45" s="137" t="n">
        <v>15</v>
      </c>
      <c r="T45" s="137" t="n">
        <v>16</v>
      </c>
      <c r="U45" s="137" t="n">
        <v>17</v>
      </c>
      <c r="V45" s="137" t="n">
        <v>18</v>
      </c>
      <c r="W45" s="137" t="n">
        <v>19</v>
      </c>
      <c r="X45" s="138" t="n">
        <v>20</v>
      </c>
      <c r="Y45" s="137" t="n">
        <v>21</v>
      </c>
      <c r="Z45" s="137" t="n">
        <v>22</v>
      </c>
      <c r="AA45" s="137" t="n">
        <v>23</v>
      </c>
      <c r="AB45" s="137" t="n">
        <v>24</v>
      </c>
      <c r="AC45" s="137" t="n">
        <v>25</v>
      </c>
      <c r="AD45" s="137" t="n">
        <v>26</v>
      </c>
      <c r="AE45" s="138" t="n">
        <v>27</v>
      </c>
      <c r="AF45" s="137" t="n">
        <v>28</v>
      </c>
      <c r="AG45" s="137" t="n">
        <v>29</v>
      </c>
      <c r="AH45" s="137" t="n">
        <v>30</v>
      </c>
      <c r="AI45" s="137" t="n">
        <v>31</v>
      </c>
    </row>
    <row r="46" ht="15" customHeight="1">
      <c r="A46" s="52" t="n"/>
      <c r="B46" s="52" t="n"/>
      <c r="C46" s="52" t="n"/>
      <c r="D46" s="52" t="n"/>
      <c r="E46" s="139" t="inlineStr">
        <is>
          <t>T</t>
        </is>
      </c>
      <c r="F46" s="139" t="inlineStr">
        <is>
          <t>W</t>
        </is>
      </c>
      <c r="G46" s="139" t="inlineStr">
        <is>
          <t>Th</t>
        </is>
      </c>
      <c r="H46" s="139" t="inlineStr">
        <is>
          <t>F</t>
        </is>
      </c>
      <c r="I46" s="139" t="inlineStr">
        <is>
          <t>Sa</t>
        </is>
      </c>
      <c r="J46" s="140" t="inlineStr">
        <is>
          <t>Su</t>
        </is>
      </c>
      <c r="K46" s="139" t="inlineStr">
        <is>
          <t>M</t>
        </is>
      </c>
      <c r="L46" s="139" t="inlineStr">
        <is>
          <t>T</t>
        </is>
      </c>
      <c r="M46" s="139" t="inlineStr">
        <is>
          <t>W</t>
        </is>
      </c>
      <c r="N46" s="139" t="inlineStr">
        <is>
          <t>Th</t>
        </is>
      </c>
      <c r="O46" s="139" t="inlineStr">
        <is>
          <t>F</t>
        </is>
      </c>
      <c r="P46" s="139" t="inlineStr">
        <is>
          <t>Sa</t>
        </is>
      </c>
      <c r="Q46" s="140" t="inlineStr">
        <is>
          <t>Su</t>
        </is>
      </c>
      <c r="R46" s="139" t="inlineStr">
        <is>
          <t>M</t>
        </is>
      </c>
      <c r="S46" s="139" t="inlineStr">
        <is>
          <t>T</t>
        </is>
      </c>
      <c r="T46" s="139" t="inlineStr">
        <is>
          <t>W</t>
        </is>
      </c>
      <c r="U46" s="139" t="inlineStr">
        <is>
          <t>Th</t>
        </is>
      </c>
      <c r="V46" s="139" t="inlineStr">
        <is>
          <t>F</t>
        </is>
      </c>
      <c r="W46" s="139" t="inlineStr">
        <is>
          <t>Sa</t>
        </is>
      </c>
      <c r="X46" s="140" t="inlineStr">
        <is>
          <t>Su</t>
        </is>
      </c>
      <c r="Y46" s="139" t="inlineStr">
        <is>
          <t>M</t>
        </is>
      </c>
      <c r="Z46" s="139" t="inlineStr">
        <is>
          <t>T</t>
        </is>
      </c>
      <c r="AA46" s="139" t="inlineStr">
        <is>
          <t>W</t>
        </is>
      </c>
      <c r="AB46" s="139" t="inlineStr">
        <is>
          <t>Th</t>
        </is>
      </c>
      <c r="AC46" s="139" t="inlineStr">
        <is>
          <t>F</t>
        </is>
      </c>
      <c r="AD46" s="139" t="inlineStr">
        <is>
          <t>Sa</t>
        </is>
      </c>
      <c r="AE46" s="140" t="inlineStr">
        <is>
          <t>Su</t>
        </is>
      </c>
      <c r="AF46" s="139" t="inlineStr">
        <is>
          <t>M</t>
        </is>
      </c>
      <c r="AG46" s="139" t="inlineStr">
        <is>
          <t>T</t>
        </is>
      </c>
      <c r="AH46" s="139" t="inlineStr">
        <is>
          <t>W</t>
        </is>
      </c>
      <c r="AI46" s="139" t="inlineStr">
        <is>
          <t>Th</t>
        </is>
      </c>
    </row>
    <row r="47" ht="20" customHeight="1">
      <c r="A47" s="141" t="inlineStr">
        <is>
          <t>Sleep Hours (1-24)</t>
        </is>
      </c>
      <c r="B47" s="142" t="n"/>
      <c r="C47" s="142" t="n"/>
      <c r="D47" s="142" t="n"/>
      <c r="E47" s="143" t="n"/>
      <c r="F47" s="143" t="n"/>
      <c r="G47" s="143" t="n"/>
      <c r="H47" s="143" t="n"/>
      <c r="I47" s="143" t="n"/>
      <c r="J47" s="144" t="n"/>
      <c r="K47" s="143" t="n"/>
      <c r="L47" s="143" t="n"/>
      <c r="M47" s="143" t="n"/>
      <c r="N47" s="143" t="n"/>
      <c r="O47" s="143" t="n"/>
      <c r="P47" s="143" t="n"/>
      <c r="Q47" s="144" t="n"/>
      <c r="R47" s="143" t="n"/>
      <c r="S47" s="143" t="n"/>
      <c r="T47" s="143" t="n"/>
      <c r="U47" s="143" t="n"/>
      <c r="V47" s="143" t="n"/>
      <c r="W47" s="143" t="n"/>
      <c r="X47" s="144" t="n"/>
      <c r="Y47" s="143" t="n"/>
      <c r="Z47" s="143" t="n"/>
      <c r="AA47" s="143" t="n"/>
      <c r="AB47" s="143" t="n"/>
      <c r="AC47" s="143" t="n"/>
      <c r="AD47" s="143" t="n"/>
      <c r="AE47" s="144" t="n"/>
      <c r="AF47" s="143" t="n"/>
      <c r="AG47" s="143" t="n"/>
      <c r="AH47" s="143" t="n"/>
      <c r="AI47" s="143" t="n"/>
    </row>
    <row r="48" ht="6" customHeight="1"/>
    <row r="49" ht="14" customHeight="1"/>
    <row r="50" ht="14" customHeight="1"/>
    <row r="51" ht="14" customHeight="1"/>
    <row r="52" ht="14" customHeight="1"/>
    <row r="53" ht="14" customHeight="1"/>
    <row r="54" ht="14" customHeight="1"/>
    <row r="55" ht="14" customHeight="1"/>
    <row r="56" ht="14" customHeight="1"/>
    <row r="57" ht="14" customHeight="1"/>
    <row r="58" ht="14" customHeight="1"/>
    <row r="59" ht="14" customHeight="1"/>
    <row r="60" ht="14" customHeight="1"/>
    <row r="61" ht="14" customHeight="1"/>
    <row r="62" ht="14" customHeight="1"/>
    <row r="63" ht="14" customHeight="1"/>
    <row r="64" ht="14" customHeight="1"/>
    <row r="65" ht="14" customHeight="1"/>
    <row r="66" ht="8" customHeight="1"/>
    <row r="67">
      <c r="A67" s="145" t="inlineStr">
        <is>
          <t>MONTHLY SUCCESS RATE</t>
        </is>
      </c>
      <c r="B67" s="9" t="n"/>
      <c r="C67" s="9" t="n"/>
      <c r="D67" s="9" t="n"/>
      <c r="F67" s="146" t="inlineStr">
        <is>
          <t>ACTIVE PROTOCOLS</t>
        </is>
      </c>
      <c r="G67" s="11" t="n"/>
      <c r="H67" s="11" t="n"/>
      <c r="I67" s="11" t="n"/>
      <c r="K67" s="147" t="inlineStr">
        <is>
          <t>PERFECT DAYS (100%)</t>
        </is>
      </c>
      <c r="L67" s="13" t="n"/>
      <c r="M67" s="13" t="n"/>
      <c r="N67" s="13" t="n"/>
      <c r="P67" s="148" t="inlineStr">
        <is>
          <t>AVG SLEEP DURATION</t>
        </is>
      </c>
      <c r="Q67" s="15" t="n"/>
      <c r="R67" s="15" t="n"/>
      <c r="S67" s="15" t="n"/>
    </row>
    <row r="68">
      <c r="A68" s="149">
        <f>IF(SUM(D18:D37)&gt;0, SUM(AM18:AM37)/SUM(D18:D37), 0)</f>
        <v/>
      </c>
      <c r="B68" s="9" t="n"/>
      <c r="C68" s="9" t="n"/>
      <c r="D68" s="9" t="n"/>
      <c r="F68" s="150">
        <f>COUNTA(B18:B37) &amp; " / 20"</f>
        <v/>
      </c>
      <c r="G68" s="11" t="n"/>
      <c r="H68" s="11" t="n"/>
      <c r="I68" s="11" t="n"/>
      <c r="K68" s="151">
        <f>COUNTIF(E39:AI39, 1) &amp; " Days"</f>
        <v/>
      </c>
      <c r="L68" s="13" t="n"/>
      <c r="M68" s="13" t="n"/>
      <c r="N68" s="13" t="n"/>
      <c r="P68" s="152">
        <f>IFERROR(TEXT(AVERAGE(E47:AI47), "0.0") &amp; " hrs", "-")</f>
        <v/>
      </c>
      <c r="Q68" s="15" t="n"/>
      <c r="R68" s="15" t="n"/>
      <c r="S68" s="15" t="n"/>
    </row>
    <row r="69">
      <c r="A69" s="9" t="n"/>
      <c r="B69" s="9" t="n"/>
      <c r="C69" s="9" t="n"/>
      <c r="D69" s="9" t="n"/>
      <c r="F69" s="11" t="n"/>
      <c r="G69" s="11" t="n"/>
      <c r="H69" s="11" t="n"/>
      <c r="I69" s="11" t="n"/>
      <c r="K69" s="13" t="n"/>
      <c r="L69" s="13" t="n"/>
      <c r="M69" s="13" t="n"/>
      <c r="N69" s="13" t="n"/>
      <c r="P69" s="15" t="n"/>
      <c r="Q69" s="15" t="n"/>
      <c r="R69" s="15" t="n"/>
      <c r="S69" s="15" t="n"/>
    </row>
    <row r="70">
      <c r="A70" s="9" t="n"/>
      <c r="B70" s="9" t="n"/>
      <c r="C70" s="9" t="n"/>
      <c r="D70" s="9" t="n"/>
      <c r="F70" s="11" t="n"/>
      <c r="G70" s="11" t="n"/>
      <c r="H70" s="11" t="n"/>
      <c r="I70" s="11" t="n"/>
      <c r="K70" s="13" t="n"/>
      <c r="L70" s="13" t="n"/>
      <c r="M70" s="13" t="n"/>
      <c r="N70" s="13" t="n"/>
      <c r="P70" s="15" t="n"/>
      <c r="Q70" s="15" t="n"/>
      <c r="R70" s="15" t="n"/>
      <c r="S70" s="15" t="n"/>
    </row>
    <row r="71">
      <c r="A71" s="153" t="inlineStr">
        <is>
          <t>Target Completion</t>
        </is>
      </c>
      <c r="B71" s="9" t="n"/>
      <c r="C71" s="9" t="n"/>
      <c r="D71" s="9" t="n"/>
      <c r="F71" s="154" t="inlineStr">
        <is>
          <t>Habits Tracked</t>
        </is>
      </c>
      <c r="G71" s="11" t="n"/>
      <c r="H71" s="11" t="n"/>
      <c r="I71" s="11" t="n"/>
      <c r="K71" s="155" t="inlineStr">
        <is>
          <t>All Marked Habits Completed</t>
        </is>
      </c>
      <c r="L71" s="13" t="n"/>
      <c r="M71" s="13" t="n"/>
      <c r="N71" s="13" t="n"/>
      <c r="P71" s="156" t="inlineStr">
        <is>
          <t>Nightly Rest Average</t>
        </is>
      </c>
      <c r="Q71" s="15" t="n"/>
      <c r="R71" s="15" t="n"/>
      <c r="S71" s="15" t="n"/>
    </row>
    <row r="72" ht="8" customHeight="1"/>
    <row r="73" ht="6" customHeight="1"/>
    <row r="74">
      <c r="A74" s="67" t="inlineStr">
        <is>
          <t>WEEKLY PERFORMANCE (SLUMP DETECTOR)</t>
        </is>
      </c>
      <c r="B74" s="29" t="n"/>
      <c r="C74" s="29" t="n"/>
      <c r="D74" s="29" t="n"/>
      <c r="E74" s="29" t="n"/>
      <c r="N74" s="157" t="inlineStr">
        <is>
          <t>LIFE DOMAIN / CATEGORY BREAKDOWN</t>
        </is>
      </c>
      <c r="O74" s="158" t="n"/>
      <c r="P74" s="158" t="n"/>
      <c r="Q74" s="158" t="n"/>
      <c r="R74" s="158" t="n"/>
      <c r="S74" s="158" t="n"/>
    </row>
    <row r="75" ht="15" customHeight="1">
      <c r="A75" s="53" t="inlineStr">
        <is>
          <t>Week</t>
        </is>
      </c>
      <c r="B75" s="53" t="inlineStr">
        <is>
          <t>Days Range</t>
        </is>
      </c>
      <c r="C75" s="53" t="inlineStr">
        <is>
          <t>Checks Done</t>
        </is>
      </c>
      <c r="D75" s="53" t="inlineStr">
        <is>
          <t>Evaluated</t>
        </is>
      </c>
      <c r="E75" s="53" t="inlineStr">
        <is>
          <t>Success %</t>
        </is>
      </c>
      <c r="N75" s="53" t="inlineStr">
        <is>
          <t>Domain / Category</t>
        </is>
      </c>
      <c r="O75" s="54" t="n"/>
      <c r="P75" s="53" t="inlineStr">
        <is>
          <t>Active Habits</t>
        </is>
      </c>
      <c r="Q75" s="53" t="inlineStr">
        <is>
          <t>Target Days</t>
        </is>
      </c>
      <c r="R75" s="53" t="inlineStr">
        <is>
          <t>Done Checks</t>
        </is>
      </c>
      <c r="S75" s="53" t="inlineStr">
        <is>
          <t>Success %</t>
        </is>
      </c>
    </row>
    <row r="76" ht="14" customHeight="1">
      <c r="A76" s="33" t="inlineStr">
        <is>
          <t>Week 1</t>
        </is>
      </c>
      <c r="B76" s="34" t="inlineStr">
        <is>
          <t>Days 1 - 7</t>
        </is>
      </c>
      <c r="C76" s="34">
        <f>COUNTIF(E18:K37, "✓")</f>
        <v/>
      </c>
      <c r="D76" s="34">
        <f>COUNTIF(E18:K37, "✓") + COUNTIF(E18:K37, "✗")</f>
        <v/>
      </c>
      <c r="E76" s="35">
        <f>IFERROR(C76/D76, 0)</f>
        <v/>
      </c>
      <c r="N76" s="60" t="inlineStr">
        <is>
          <t>Health &amp; Fitness</t>
        </is>
      </c>
      <c r="O76" s="54" t="n"/>
      <c r="P76" s="34">
        <f>COUNTIF($C$18:$C$37, "Health &amp; Fitness")</f>
        <v/>
      </c>
      <c r="Q76" s="34">
        <f>SUMIF($C$18:$C$37, "Health &amp; Fitness", $D$18:$D$37)</f>
        <v/>
      </c>
      <c r="R76" s="34">
        <f>SUMIF($C$18:$C$37, "Health &amp; Fitness", $AM$18:$AM$37)</f>
        <v/>
      </c>
      <c r="S76" s="35">
        <f>IFERROR(R76/Q76, 0)</f>
        <v/>
      </c>
    </row>
    <row r="77" ht="14" customHeight="1">
      <c r="A77" s="33" t="inlineStr">
        <is>
          <t>Week 2</t>
        </is>
      </c>
      <c r="B77" s="34" t="inlineStr">
        <is>
          <t>Days 8 - 14</t>
        </is>
      </c>
      <c r="C77" s="34">
        <f>COUNTIF(L18:R37, "✓")</f>
        <v/>
      </c>
      <c r="D77" s="34">
        <f>COUNTIF(L18:R37, "✓") + COUNTIF(L18:R37, "✗")</f>
        <v/>
      </c>
      <c r="E77" s="35">
        <f>IFERROR(C77/D77, 0)</f>
        <v/>
      </c>
      <c r="N77" s="60" t="inlineStr">
        <is>
          <t>Mindset &amp; Learning</t>
        </is>
      </c>
      <c r="O77" s="54" t="n"/>
      <c r="P77" s="34">
        <f>COUNTIF($C$18:$C$37, "Mindset &amp; Learning")</f>
        <v/>
      </c>
      <c r="Q77" s="34">
        <f>SUMIF($C$18:$C$37, "Mindset &amp; Learning", $D$18:$D$37)</f>
        <v/>
      </c>
      <c r="R77" s="34">
        <f>SUMIF($C$18:$C$37, "Mindset &amp; Learning", $AM$18:$AM$37)</f>
        <v/>
      </c>
      <c r="S77" s="35">
        <f>IFERROR(R77/Q77, 0)</f>
        <v/>
      </c>
    </row>
    <row r="78" ht="14" customHeight="1">
      <c r="A78" s="33" t="inlineStr">
        <is>
          <t>Week 3</t>
        </is>
      </c>
      <c r="B78" s="34" t="inlineStr">
        <is>
          <t>Days 15 - 21</t>
        </is>
      </c>
      <c r="C78" s="34">
        <f>COUNTIF(S18:Y37, "✓")</f>
        <v/>
      </c>
      <c r="D78" s="34">
        <f>COUNTIF(S18:Y37, "✓") + COUNTIF(S18:Y37, "✗")</f>
        <v/>
      </c>
      <c r="E78" s="35">
        <f>IFERROR(C78/D78, 0)</f>
        <v/>
      </c>
      <c r="N78" s="60" t="inlineStr">
        <is>
          <t>Career &amp; Focus</t>
        </is>
      </c>
      <c r="O78" s="54" t="n"/>
      <c r="P78" s="34">
        <f>COUNTIF($C$18:$C$37, "Career &amp; Focus")</f>
        <v/>
      </c>
      <c r="Q78" s="34">
        <f>SUMIF($C$18:$C$37, "Career &amp; Focus", $D$18:$D$37)</f>
        <v/>
      </c>
      <c r="R78" s="34">
        <f>SUMIF($C$18:$C$37, "Career &amp; Focus", $AM$18:$AM$37)</f>
        <v/>
      </c>
      <c r="S78" s="35">
        <f>IFERROR(R78/Q78, 0)</f>
        <v/>
      </c>
    </row>
    <row r="79" ht="14" customHeight="1">
      <c r="A79" s="33" t="inlineStr">
        <is>
          <t>Week 4</t>
        </is>
      </c>
      <c r="B79" s="34" t="inlineStr">
        <is>
          <t>Days 22 - 28</t>
        </is>
      </c>
      <c r="C79" s="34">
        <f>COUNTIF(Z18:AF37, "✓")</f>
        <v/>
      </c>
      <c r="D79" s="34">
        <f>COUNTIF(Z18:AF37, "✓") + COUNTIF(Z18:AF37, "✗")</f>
        <v/>
      </c>
      <c r="E79" s="35">
        <f>IFERROR(C79/D79, 0)</f>
        <v/>
      </c>
      <c r="N79" s="60" t="inlineStr">
        <is>
          <t>Personal &amp; Home</t>
        </is>
      </c>
      <c r="O79" s="54" t="n"/>
      <c r="P79" s="34">
        <f>COUNTIF($C$18:$C$37, "Personal &amp; Home")</f>
        <v/>
      </c>
      <c r="Q79" s="34">
        <f>SUMIF($C$18:$C$37, "Personal &amp; Home", $D$18:$D$37)</f>
        <v/>
      </c>
      <c r="R79" s="34">
        <f>SUMIF($C$18:$C$37, "Personal &amp; Home", $AM$18:$AM$37)</f>
        <v/>
      </c>
      <c r="S79" s="35">
        <f>IFERROR(R79/Q79, 0)</f>
        <v/>
      </c>
    </row>
    <row r="80" ht="14" customHeight="1">
      <c r="A80" s="33" t="inlineStr">
        <is>
          <t>Week 5</t>
        </is>
      </c>
      <c r="B80" s="34" t="inlineStr">
        <is>
          <t>Days 29 - 31</t>
        </is>
      </c>
      <c r="C80" s="34">
        <f>COUNTIF(AG18:AI37, "✓")</f>
        <v/>
      </c>
      <c r="D80" s="34">
        <f>COUNTIF(AG18:AI37, "✓") + COUNTIF(AG18:AI37, "✗")</f>
        <v/>
      </c>
      <c r="E80" s="35">
        <f>IFERROR(C80/D80, 0)</f>
        <v/>
      </c>
      <c r="N80" s="60" t="inlineStr">
        <is>
          <t>Finance &amp; Wealth</t>
        </is>
      </c>
      <c r="O80" s="54" t="n"/>
      <c r="P80" s="34">
        <f>COUNTIF($C$18:$C$37, "Finance &amp; Wealth")</f>
        <v/>
      </c>
      <c r="Q80" s="34">
        <f>SUMIF($C$18:$C$37, "Finance &amp; Wealth", $D$18:$D$37)</f>
        <v/>
      </c>
      <c r="R80" s="34">
        <f>SUMIF($C$18:$C$37, "Finance &amp; Wealth", $AM$18:$AM$37)</f>
        <v/>
      </c>
      <c r="S80" s="35">
        <f>IFERROR(R80/Q80, 0)</f>
        <v/>
      </c>
    </row>
    <row r="81" ht="14" customHeight="1">
      <c r="A81" s="33" t="inlineStr">
        <is>
          <t>Total / Avg</t>
        </is>
      </c>
      <c r="B81" s="159" t="inlineStr">
        <is>
          <t>Month Total</t>
        </is>
      </c>
      <c r="C81" s="33">
        <f>SUM(C76:C80)</f>
        <v/>
      </c>
      <c r="D81" s="33">
        <f>SUM(D76:D80)</f>
        <v/>
      </c>
      <c r="E81" s="133">
        <f>IFERROR(C81/D81, 0)</f>
        <v/>
      </c>
    </row>
    <row r="82" ht="10" customHeight="1"/>
    <row r="83" ht="10" customHeight="1"/>
    <row r="84">
      <c r="A84" s="51" t="inlineStr">
        <is>
          <t>SLEEP &amp; PRODUCTIVITY CORRELATION ANALYSIS</t>
        </is>
      </c>
      <c r="B84" s="52" t="n"/>
      <c r="C84" s="52" t="n"/>
      <c r="D84" s="52" t="n"/>
      <c r="E84" s="52" t="n"/>
      <c r="F84" s="52" t="n"/>
      <c r="G84" s="52" t="n"/>
      <c r="H84" s="52" t="n"/>
      <c r="I84" s="52" t="n"/>
      <c r="J84" s="52" t="n"/>
      <c r="K84" s="52" t="n"/>
      <c r="L84" s="52" t="n"/>
      <c r="M84" s="52" t="n"/>
      <c r="N84" s="52" t="n"/>
      <c r="O84" s="52" t="n"/>
      <c r="P84" s="52" t="n"/>
      <c r="Q84" s="52" t="n"/>
      <c r="R84" s="52" t="n"/>
      <c r="S84" s="52" t="n"/>
      <c r="T84" s="52" t="n"/>
      <c r="U84" s="52" t="n"/>
      <c r="V84" s="52" t="n"/>
      <c r="W84" s="52" t="n"/>
      <c r="X84" s="52" t="n"/>
      <c r="Y84" s="52" t="n"/>
      <c r="Z84" s="52" t="n"/>
      <c r="AA84" s="52" t="n"/>
      <c r="AB84" s="52" t="n"/>
      <c r="AC84" s="52" t="n"/>
      <c r="AD84" s="52" t="n"/>
      <c r="AE84" s="52" t="n"/>
      <c r="AF84" s="52" t="n"/>
      <c r="AG84" s="52" t="n"/>
      <c r="AH84" s="52" t="n"/>
      <c r="AI84" s="52" t="n"/>
      <c r="AJ84" s="52" t="n"/>
      <c r="AK84" s="52" t="n"/>
      <c r="AL84" s="52" t="n"/>
    </row>
    <row r="85" ht="15" customHeight="1">
      <c r="A85" s="53" t="inlineStr">
        <is>
          <t>Rest Category</t>
        </is>
      </c>
      <c r="B85" s="54" t="n"/>
      <c r="C85" s="54" t="n"/>
      <c r="D85" s="53" t="inlineStr">
        <is>
          <t>Day Criteria</t>
        </is>
      </c>
      <c r="E85" s="54" t="n"/>
      <c r="F85" s="54" t="n"/>
      <c r="G85" s="53" t="inlineStr">
        <is>
          <t>Days Logged</t>
        </is>
      </c>
      <c r="H85" s="54" t="n"/>
      <c r="I85" s="54" t="n"/>
      <c r="J85" s="53" t="inlineStr">
        <is>
          <t>Avg Sleep Duration</t>
        </is>
      </c>
      <c r="K85" s="54" t="n"/>
      <c r="L85" s="54" t="n"/>
      <c r="M85" s="54" t="n"/>
      <c r="N85" s="53" t="inlineStr">
        <is>
          <t>Avg Habit Success %</t>
        </is>
      </c>
      <c r="O85" s="54" t="n"/>
      <c r="P85" s="54" t="n"/>
      <c r="Q85" s="54" t="n"/>
      <c r="R85" s="53" t="inlineStr">
        <is>
          <t>Productivity Delta</t>
        </is>
      </c>
      <c r="S85" s="54" t="n"/>
      <c r="T85" s="54" t="n"/>
      <c r="U85" s="54" t="n"/>
    </row>
    <row r="86" ht="15" customHeight="1">
      <c r="A86" s="160" t="inlineStr">
        <is>
          <t>Optimal Rest</t>
        </is>
      </c>
      <c r="B86" s="161" t="n"/>
      <c r="C86" s="56" t="n"/>
      <c r="D86" s="34" t="inlineStr">
        <is>
          <t>&gt;= 7 Hours / Night</t>
        </is>
      </c>
      <c r="E86" s="161" t="n"/>
      <c r="F86" s="56" t="n"/>
      <c r="G86" s="33">
        <f>COUNTIF(E47:AI47, "&gt;=7")</f>
        <v/>
      </c>
      <c r="H86" s="161" t="n"/>
      <c r="I86" s="56" t="n"/>
      <c r="J86" s="34">
        <f>IFERROR(TEXT(AVERAGEIF(E47:AI47, "&gt;=7"), "0.0") &amp; " hrs", "-")</f>
        <v/>
      </c>
      <c r="K86" s="161" t="n"/>
      <c r="L86" s="161" t="n"/>
      <c r="M86" s="56" t="n"/>
      <c r="N86" s="42">
        <f>IFERROR(AVERAGEIFS(E39:AI39, E47:AI47, "&gt;=7", E39:AI39, "&gt;0"), 0)</f>
        <v/>
      </c>
      <c r="O86" s="161" t="n"/>
      <c r="P86" s="161" t="n"/>
      <c r="Q86" s="56" t="n"/>
      <c r="R86" s="159" t="inlineStr">
        <is>
          <t>Baseline (Target)</t>
        </is>
      </c>
      <c r="S86" s="161" t="n"/>
      <c r="T86" s="161" t="n"/>
      <c r="U86" s="56" t="n"/>
    </row>
    <row r="87" ht="15" customHeight="1">
      <c r="A87" s="162" t="inlineStr">
        <is>
          <t>Sleep Deficit</t>
        </is>
      </c>
      <c r="B87" s="161" t="n"/>
      <c r="C87" s="56" t="n"/>
      <c r="D87" s="34" t="inlineStr">
        <is>
          <t>&lt; 7 Hours / Night</t>
        </is>
      </c>
      <c r="E87" s="161" t="n"/>
      <c r="F87" s="56" t="n"/>
      <c r="G87" s="33">
        <f>COUNTIF(E47:AI47, "&lt;7") - COUNTIF(E47:AI47, "")</f>
        <v/>
      </c>
      <c r="H87" s="161" t="n"/>
      <c r="I87" s="56" t="n"/>
      <c r="J87" s="34">
        <f>IFERROR(TEXT(AVERAGEIFS(E47:AI47, E47:AI47, "&lt;7", E47:AI47, "&gt;0"), "0.0") &amp; " hrs", "-")</f>
        <v/>
      </c>
      <c r="K87" s="161" t="n"/>
      <c r="L87" s="161" t="n"/>
      <c r="M87" s="56" t="n"/>
      <c r="N87" s="163">
        <f>IFERROR(AVERAGEIFS(E39:AI39, E47:AI47, "&lt;7", E39:AI39, "&gt;0"), 0)</f>
        <v/>
      </c>
      <c r="O87" s="161" t="n"/>
      <c r="P87" s="161" t="n"/>
      <c r="Q87" s="56" t="n"/>
      <c r="R87" s="160">
        <f>IFERROR(TEXT(N86 - N87, "+0.0%;-0.0%;0.0%") &amp; " Rest Advantage", "-")</f>
        <v/>
      </c>
      <c r="S87" s="161" t="n"/>
      <c r="T87" s="161" t="n"/>
      <c r="U87" s="56" t="n"/>
    </row>
    <row r="88" ht="18" customHeight="1">
      <c r="A88" s="164">
        <f>IF(AND(ISNUMBER(N86), ISNUMBER(N87), N86&gt;0, N87&gt;0), "💡 Sleep Correlation Insight: You complete " &amp; TEXT(ABS(N86-N87), "0.0%") &amp; IF(N86&gt;=N87, " MORE habits on days with 7+ hours of sleep!", " fewer habits on days with 7+ hours of sleep."), "💡 Log both habits and sleep hours daily to unlock automatic AI correlation insights!")</f>
        <v/>
      </c>
      <c r="B88" s="161" t="n"/>
      <c r="C88" s="161" t="n"/>
      <c r="D88" s="161" t="n"/>
      <c r="E88" s="161" t="n"/>
      <c r="F88" s="161" t="n"/>
      <c r="G88" s="161" t="n"/>
      <c r="H88" s="161" t="n"/>
      <c r="I88" s="161" t="n"/>
      <c r="J88" s="161" t="n"/>
      <c r="K88" s="161" t="n"/>
      <c r="L88" s="161" t="n"/>
      <c r="M88" s="161" t="n"/>
      <c r="N88" s="161" t="n"/>
      <c r="O88" s="161" t="n"/>
      <c r="P88" s="161" t="n"/>
      <c r="Q88" s="161" t="n"/>
      <c r="R88" s="161" t="n"/>
      <c r="S88" s="161" t="n"/>
      <c r="T88" s="161" t="n"/>
      <c r="U88" s="161" t="n"/>
      <c r="V88" s="161" t="n"/>
      <c r="W88" s="161" t="n"/>
      <c r="X88" s="161" t="n"/>
      <c r="Y88" s="161" t="n"/>
      <c r="Z88" s="161" t="n"/>
      <c r="AA88" s="161" t="n"/>
      <c r="AB88" s="161" t="n"/>
      <c r="AC88" s="161" t="n"/>
      <c r="AD88" s="161" t="n"/>
      <c r="AE88" s="161" t="n"/>
      <c r="AF88" s="161" t="n"/>
      <c r="AG88" s="161" t="n"/>
      <c r="AH88" s="161" t="n"/>
      <c r="AI88" s="161" t="n"/>
      <c r="AJ88" s="161" t="n"/>
      <c r="AK88" s="161" t="n"/>
      <c r="AL88" s="56" t="n"/>
    </row>
    <row r="89" ht="10" customHeight="1"/>
    <row r="90">
      <c r="A90" s="43" t="inlineStr">
        <is>
          <t>STANDARDIZED DATA BRIDGE (FOR ANNUAL &amp; QUARTERLY REVIEW SHEETS)</t>
        </is>
      </c>
      <c r="B90" s="44" t="n"/>
      <c r="C90" s="44" t="n"/>
      <c r="D90" s="44" t="n"/>
      <c r="E90" s="44" t="n"/>
      <c r="F90" s="44" t="n"/>
      <c r="G90" s="44" t="n"/>
      <c r="H90" s="44" t="n"/>
      <c r="I90" s="44" t="n"/>
      <c r="J90" s="44" t="n"/>
      <c r="K90" s="44" t="n"/>
      <c r="L90" s="44" t="n"/>
      <c r="M90" s="44" t="n"/>
      <c r="N90" s="44" t="n"/>
      <c r="O90" s="44" t="n"/>
      <c r="P90" s="44" t="n"/>
      <c r="Q90" s="44" t="n"/>
      <c r="R90" s="44" t="n"/>
      <c r="S90" s="44" t="n"/>
      <c r="T90" s="44" t="n"/>
      <c r="U90" s="44" t="n"/>
      <c r="V90" s="44" t="n"/>
      <c r="W90" s="44" t="n"/>
      <c r="X90" s="44" t="n"/>
      <c r="Y90" s="44" t="n"/>
      <c r="Z90" s="44" t="n"/>
      <c r="AA90" s="44" t="n"/>
      <c r="AB90" s="44" t="n"/>
      <c r="AC90" s="44" t="n"/>
      <c r="AD90" s="44" t="n"/>
      <c r="AE90" s="44" t="n"/>
      <c r="AF90" s="44" t="n"/>
      <c r="AG90" s="44" t="n"/>
      <c r="AH90" s="44" t="n"/>
      <c r="AI90" s="44" t="n"/>
      <c r="AJ90" s="44" t="n"/>
      <c r="AK90" s="44" t="n"/>
      <c r="AL90" s="44" t="n"/>
    </row>
    <row r="91" ht="15" customHeight="1">
      <c r="A91" s="53" t="inlineStr">
        <is>
          <t>Month</t>
        </is>
      </c>
      <c r="B91" s="54" t="n"/>
      <c r="C91" s="53" t="inlineStr">
        <is>
          <t>Year</t>
        </is>
      </c>
      <c r="D91" s="54" t="n"/>
      <c r="E91" s="53" t="inlineStr">
        <is>
          <t>Active Habits</t>
        </is>
      </c>
      <c r="F91" s="54" t="n"/>
      <c r="G91" s="53" t="inlineStr">
        <is>
          <t>Target Days</t>
        </is>
      </c>
      <c r="H91" s="54" t="n"/>
      <c r="I91" s="53" t="inlineStr">
        <is>
          <t>Done Checks</t>
        </is>
      </c>
      <c r="J91" s="54" t="n"/>
      <c r="K91" s="53" t="inlineStr">
        <is>
          <t>Success %</t>
        </is>
      </c>
      <c r="L91" s="54" t="n"/>
      <c r="M91" s="53" t="inlineStr">
        <is>
          <t>Perfect Days</t>
        </is>
      </c>
      <c r="N91" s="54" t="n"/>
      <c r="O91" s="53" t="inlineStr">
        <is>
          <t>Avg Sleep</t>
        </is>
      </c>
      <c r="P91" s="54" t="n"/>
      <c r="Q91" s="53" t="inlineStr">
        <is>
          <t>Best Week</t>
        </is>
      </c>
      <c r="R91" s="54" t="n"/>
      <c r="S91" s="54" t="n"/>
      <c r="T91" s="53" t="inlineStr">
        <is>
          <t>Top Life Domain</t>
        </is>
      </c>
      <c r="U91" s="54" t="n"/>
      <c r="V91" s="54" t="n"/>
      <c r="W91" s="54" t="n"/>
    </row>
    <row r="92" ht="16" customHeight="1">
      <c r="A92" s="165" t="inlineStr">
        <is>
          <t>Aug</t>
        </is>
      </c>
      <c r="B92" s="56" t="n"/>
      <c r="C92" s="165" t="n">
        <v>2028</v>
      </c>
      <c r="D92" s="56" t="n"/>
      <c r="E92" s="166">
        <f>COUNTA(B18:B37)</f>
        <v/>
      </c>
      <c r="F92" s="56" t="n"/>
      <c r="G92" s="166">
        <f>SUM(D18:D37)</f>
        <v/>
      </c>
      <c r="H92" s="56" t="n"/>
      <c r="I92" s="166">
        <f>SUM(AM18:AM37)</f>
        <v/>
      </c>
      <c r="J92" s="56" t="n"/>
      <c r="K92" s="167">
        <f>IF(G92&gt;0, I92/G92, 0)</f>
        <v/>
      </c>
      <c r="L92" s="56" t="n"/>
      <c r="M92" s="166">
        <f>COUNTIF(E39:AI39, 1)</f>
        <v/>
      </c>
      <c r="N92" s="56" t="n"/>
      <c r="O92" s="168">
        <f>IFERROR(AVERAGE(E47:AI47), 0)</f>
        <v/>
      </c>
      <c r="P92" s="56" t="n"/>
      <c r="Q92" s="166">
        <f>INDEX(A76:A80, MATCH(MAX(E76:E80), E76:E80, 0))</f>
        <v/>
      </c>
      <c r="R92" s="161" t="n"/>
      <c r="S92" s="56" t="n"/>
      <c r="T92" s="166">
        <f>INDEX(N76:N80, MATCH(MAX(S76:S80), S76:S80, 0))</f>
        <v/>
      </c>
      <c r="U92" s="161" t="n"/>
      <c r="V92" s="161" t="n"/>
      <c r="W92" s="56" t="n"/>
    </row>
    <row r="93" ht="14" customHeight="1">
      <c r="A93" s="169" t="inlineStr">
        <is>
          <t>📋 Note: Reference or copy Row 92 directly into an Annual / Quarterly review dashboard to track yearly habit trends.</t>
        </is>
      </c>
    </row>
    <row r="94" ht="8" customHeight="1"/>
    <row r="95">
      <c r="A95" s="170" t="inlineStr">
        <is>
          <t>🏆 MONTHLY WINS &amp; HIGHLIGHTS</t>
        </is>
      </c>
      <c r="J95" s="171" t="inlineStr">
        <is>
          <t>⚠️ FRICTION POINTS &amp; ROOT CAUSES</t>
        </is>
      </c>
      <c r="S95" s="172" t="inlineStr">
        <is>
          <t>🎯 3 KEY ADJUSTMENTS FOR NEXT MONTH</t>
        </is>
      </c>
    </row>
    <row r="96">
      <c r="A96" s="173" t="inlineStr">
        <is>
          <t>1. What went exceptionally well this month?
2. Which habit felt effortless and consistent?
3. Major milestone achieved:</t>
        </is>
      </c>
      <c r="B96" s="174" t="n"/>
      <c r="C96" s="174" t="n"/>
      <c r="D96" s="174" t="n"/>
      <c r="E96" s="174" t="n"/>
      <c r="F96" s="174" t="n"/>
      <c r="G96" s="174" t="n"/>
      <c r="H96" s="174" t="n"/>
      <c r="J96" s="175" t="inlineStr">
        <is>
          <t>1. What caused missed or skipped days?
2. Main triggers / energy drains encountered:
3. Which habit had the lowest consistency and why?</t>
        </is>
      </c>
      <c r="K96" s="176" t="n"/>
      <c r="L96" s="176" t="n"/>
      <c r="M96" s="176" t="n"/>
      <c r="N96" s="176" t="n"/>
      <c r="O96" s="176" t="n"/>
      <c r="P96" s="176" t="n"/>
      <c r="Q96" s="176" t="n"/>
      <c r="S96" s="177" t="inlineStr">
        <is>
          <t>1. Habit Stacking or time adjustment for next month:
2. Environment design change to eliminate friction:
3. One non-negotiable priority protocol:</t>
        </is>
      </c>
      <c r="T96" s="178" t="n"/>
      <c r="U96" s="178" t="n"/>
      <c r="V96" s="178" t="n"/>
      <c r="W96" s="178" t="n"/>
      <c r="X96" s="178" t="n"/>
      <c r="Y96" s="178" t="n"/>
      <c r="Z96" s="178" t="n"/>
    </row>
    <row r="97">
      <c r="A97" s="174" t="n"/>
      <c r="B97" s="174" t="n"/>
      <c r="C97" s="174" t="n"/>
      <c r="D97" s="174" t="n"/>
      <c r="E97" s="174" t="n"/>
      <c r="F97" s="174" t="n"/>
      <c r="G97" s="174" t="n"/>
      <c r="H97" s="174" t="n"/>
      <c r="J97" s="176" t="n"/>
      <c r="K97" s="176" t="n"/>
      <c r="L97" s="176" t="n"/>
      <c r="M97" s="176" t="n"/>
      <c r="N97" s="176" t="n"/>
      <c r="O97" s="176" t="n"/>
      <c r="P97" s="176" t="n"/>
      <c r="Q97" s="176" t="n"/>
      <c r="S97" s="178" t="n"/>
      <c r="T97" s="178" t="n"/>
      <c r="U97" s="178" t="n"/>
      <c r="V97" s="178" t="n"/>
      <c r="W97" s="178" t="n"/>
      <c r="X97" s="178" t="n"/>
      <c r="Y97" s="178" t="n"/>
      <c r="Z97" s="178" t="n"/>
    </row>
    <row r="98">
      <c r="A98" s="174" t="n"/>
      <c r="B98" s="174" t="n"/>
      <c r="C98" s="174" t="n"/>
      <c r="D98" s="174" t="n"/>
      <c r="E98" s="174" t="n"/>
      <c r="F98" s="174" t="n"/>
      <c r="G98" s="174" t="n"/>
      <c r="H98" s="174" t="n"/>
      <c r="J98" s="176" t="n"/>
      <c r="K98" s="176" t="n"/>
      <c r="L98" s="176" t="n"/>
      <c r="M98" s="176" t="n"/>
      <c r="N98" s="176" t="n"/>
      <c r="O98" s="176" t="n"/>
      <c r="P98" s="176" t="n"/>
      <c r="Q98" s="176" t="n"/>
      <c r="S98" s="178" t="n"/>
      <c r="T98" s="178" t="n"/>
      <c r="U98" s="178" t="n"/>
      <c r="V98" s="178" t="n"/>
      <c r="W98" s="178" t="n"/>
      <c r="X98" s="178" t="n"/>
      <c r="Y98" s="178" t="n"/>
      <c r="Z98" s="178" t="n"/>
    </row>
    <row r="99">
      <c r="A99" s="174" t="n"/>
      <c r="B99" s="174" t="n"/>
      <c r="C99" s="174" t="n"/>
      <c r="D99" s="174" t="n"/>
      <c r="E99" s="174" t="n"/>
      <c r="F99" s="174" t="n"/>
      <c r="G99" s="174" t="n"/>
      <c r="H99" s="174" t="n"/>
      <c r="J99" s="176" t="n"/>
      <c r="K99" s="176" t="n"/>
      <c r="L99" s="176" t="n"/>
      <c r="M99" s="176" t="n"/>
      <c r="N99" s="176" t="n"/>
      <c r="O99" s="176" t="n"/>
      <c r="P99" s="176" t="n"/>
      <c r="Q99" s="176" t="n"/>
      <c r="S99" s="178" t="n"/>
      <c r="T99" s="178" t="n"/>
      <c r="U99" s="178" t="n"/>
      <c r="V99" s="178" t="n"/>
      <c r="W99" s="178" t="n"/>
      <c r="X99" s="178" t="n"/>
      <c r="Y99" s="178" t="n"/>
      <c r="Z99" s="178" t="n"/>
    </row>
    <row r="100">
      <c r="A100" s="174" t="n"/>
      <c r="B100" s="174" t="n"/>
      <c r="C100" s="174" t="n"/>
      <c r="D100" s="174" t="n"/>
      <c r="E100" s="174" t="n"/>
      <c r="F100" s="174" t="n"/>
      <c r="G100" s="174" t="n"/>
      <c r="H100" s="174" t="n"/>
      <c r="J100" s="176" t="n"/>
      <c r="K100" s="176" t="n"/>
      <c r="L100" s="176" t="n"/>
      <c r="M100" s="176" t="n"/>
      <c r="N100" s="176" t="n"/>
      <c r="O100" s="176" t="n"/>
      <c r="P100" s="176" t="n"/>
      <c r="Q100" s="176" t="n"/>
      <c r="S100" s="178" t="n"/>
      <c r="T100" s="178" t="n"/>
      <c r="U100" s="178" t="n"/>
      <c r="V100" s="178" t="n"/>
      <c r="W100" s="178" t="n"/>
      <c r="X100" s="178" t="n"/>
      <c r="Y100" s="178" t="n"/>
      <c r="Z100" s="178" t="n"/>
    </row>
    <row r="101">
      <c r="A101" s="174" t="n"/>
      <c r="B101" s="174" t="n"/>
      <c r="C101" s="174" t="n"/>
      <c r="D101" s="174" t="n"/>
      <c r="E101" s="174" t="n"/>
      <c r="F101" s="174" t="n"/>
      <c r="G101" s="174" t="n"/>
      <c r="H101" s="174" t="n"/>
      <c r="J101" s="176" t="n"/>
      <c r="K101" s="176" t="n"/>
      <c r="L101" s="176" t="n"/>
      <c r="M101" s="176" t="n"/>
      <c r="N101" s="176" t="n"/>
      <c r="O101" s="176" t="n"/>
      <c r="P101" s="176" t="n"/>
      <c r="Q101" s="176" t="n"/>
      <c r="S101" s="178" t="n"/>
      <c r="T101" s="178" t="n"/>
      <c r="U101" s="178" t="n"/>
      <c r="V101" s="178" t="n"/>
      <c r="W101" s="178" t="n"/>
      <c r="X101" s="178" t="n"/>
      <c r="Y101" s="178" t="n"/>
      <c r="Z101" s="178" t="n"/>
    </row>
    <row r="102">
      <c r="A102" s="174" t="n"/>
      <c r="B102" s="174" t="n"/>
      <c r="C102" s="174" t="n"/>
      <c r="D102" s="174" t="n"/>
      <c r="E102" s="174" t="n"/>
      <c r="F102" s="174" t="n"/>
      <c r="G102" s="174" t="n"/>
      <c r="H102" s="174" t="n"/>
      <c r="J102" s="176" t="n"/>
      <c r="K102" s="176" t="n"/>
      <c r="L102" s="176" t="n"/>
      <c r="M102" s="176" t="n"/>
      <c r="N102" s="176" t="n"/>
      <c r="O102" s="176" t="n"/>
      <c r="P102" s="176" t="n"/>
      <c r="Q102" s="176" t="n"/>
      <c r="S102" s="178" t="n"/>
      <c r="T102" s="178" t="n"/>
      <c r="U102" s="178" t="n"/>
      <c r="V102" s="178" t="n"/>
      <c r="W102" s="178" t="n"/>
      <c r="X102" s="178" t="n"/>
      <c r="Y102" s="178" t="n"/>
      <c r="Z102" s="178" t="n"/>
    </row>
    <row r="103">
      <c r="A103" s="174" t="n"/>
      <c r="B103" s="174" t="n"/>
      <c r="C103" s="174" t="n"/>
      <c r="D103" s="174" t="n"/>
      <c r="E103" s="174" t="n"/>
      <c r="F103" s="174" t="n"/>
      <c r="G103" s="174" t="n"/>
      <c r="H103" s="174" t="n"/>
      <c r="J103" s="176" t="n"/>
      <c r="K103" s="176" t="n"/>
      <c r="L103" s="176" t="n"/>
      <c r="M103" s="176" t="n"/>
      <c r="N103" s="176" t="n"/>
      <c r="O103" s="176" t="n"/>
      <c r="P103" s="176" t="n"/>
      <c r="Q103" s="176" t="n"/>
      <c r="S103" s="178" t="n"/>
      <c r="T103" s="178" t="n"/>
      <c r="U103" s="178" t="n"/>
      <c r="V103" s="178" t="n"/>
      <c r="W103" s="178" t="n"/>
      <c r="X103" s="178" t="n"/>
      <c r="Y103" s="178" t="n"/>
      <c r="Z103" s="178" t="n"/>
    </row>
  </sheetData>
  <sheetProtection selectLockedCells="1" selectUnlockedCells="1" sheet="1" objects="0" insertRows="1" insertHyperlinks="1" autoFilter="1" scenarios="0" formatColumns="1" deleteColumns="1" insertColumns="1" pivotTables="1" deleteRows="1" formatCells="1" formatRows="1" sort="1"/>
  <mergeCells count="94">
    <mergeCell ref="A9:N9"/>
    <mergeCell ref="N76:O76"/>
    <mergeCell ref="F67:I67"/>
    <mergeCell ref="G87:I87"/>
    <mergeCell ref="A16:A17"/>
    <mergeCell ref="A45:D46"/>
    <mergeCell ref="C16:C17"/>
    <mergeCell ref="N75:O75"/>
    <mergeCell ref="N77:O77"/>
    <mergeCell ref="AE2:AL2"/>
    <mergeCell ref="P9:AL9"/>
    <mergeCell ref="P68:S70"/>
    <mergeCell ref="D16:D17"/>
    <mergeCell ref="N85:Q85"/>
    <mergeCell ref="A95:H95"/>
    <mergeCell ref="A84:AL84"/>
    <mergeCell ref="Q91:S91"/>
    <mergeCell ref="E91:F91"/>
    <mergeCell ref="A8:N8"/>
    <mergeCell ref="A42:AL42"/>
    <mergeCell ref="G91:H91"/>
    <mergeCell ref="J86:M86"/>
    <mergeCell ref="H3:AD3"/>
    <mergeCell ref="K67:N67"/>
    <mergeCell ref="S95:Z95"/>
    <mergeCell ref="N79:O79"/>
    <mergeCell ref="K92:L92"/>
    <mergeCell ref="C92:D92"/>
    <mergeCell ref="M92:N92"/>
    <mergeCell ref="F71:I71"/>
    <mergeCell ref="A88:AL88"/>
    <mergeCell ref="K68:N70"/>
    <mergeCell ref="T91:W91"/>
    <mergeCell ref="A41:AL41"/>
    <mergeCell ref="A90:AL90"/>
    <mergeCell ref="J95:Q95"/>
    <mergeCell ref="D85:F85"/>
    <mergeCell ref="N74:S74"/>
    <mergeCell ref="H2:AD2"/>
    <mergeCell ref="F68:I70"/>
    <mergeCell ref="A91:B91"/>
    <mergeCell ref="N78:O78"/>
    <mergeCell ref="C91:D91"/>
    <mergeCell ref="M91:N91"/>
    <mergeCell ref="O91:P91"/>
    <mergeCell ref="R86:U86"/>
    <mergeCell ref="N80:O80"/>
    <mergeCell ref="B16:B17"/>
    <mergeCell ref="A71:D71"/>
    <mergeCell ref="J85:M85"/>
    <mergeCell ref="D86:F86"/>
    <mergeCell ref="A92:B92"/>
    <mergeCell ref="N87:Q87"/>
    <mergeCell ref="A1:B1"/>
    <mergeCell ref="E92:F92"/>
    <mergeCell ref="AL16:AL17"/>
    <mergeCell ref="A68:D70"/>
    <mergeCell ref="P71:S71"/>
    <mergeCell ref="A86:C86"/>
    <mergeCell ref="D87:F87"/>
    <mergeCell ref="O92:P92"/>
    <mergeCell ref="A6:N6"/>
    <mergeCell ref="A39:D39"/>
    <mergeCell ref="P8:AL8"/>
    <mergeCell ref="P7:AL7"/>
    <mergeCell ref="G86:I86"/>
    <mergeCell ref="A96:H103"/>
    <mergeCell ref="P67:S67"/>
    <mergeCell ref="T92:W92"/>
    <mergeCell ref="R85:U85"/>
    <mergeCell ref="K71:N71"/>
    <mergeCell ref="S96:Z103"/>
    <mergeCell ref="A93:AL93"/>
    <mergeCell ref="A38:D38"/>
    <mergeCell ref="A67:D67"/>
    <mergeCell ref="I91:J91"/>
    <mergeCell ref="A85:C85"/>
    <mergeCell ref="K91:L91"/>
    <mergeCell ref="N86:Q86"/>
    <mergeCell ref="A7:N7"/>
    <mergeCell ref="P6:AL6"/>
    <mergeCell ref="A74:E74"/>
    <mergeCell ref="G85:I85"/>
    <mergeCell ref="G92:H92"/>
    <mergeCell ref="I92:J92"/>
    <mergeCell ref="R87:U87"/>
    <mergeCell ref="AK16:AK17"/>
    <mergeCell ref="J87:M87"/>
    <mergeCell ref="AJ16:AJ17"/>
    <mergeCell ref="J96:Q103"/>
    <mergeCell ref="A12:AL14"/>
    <mergeCell ref="Q92:S92"/>
    <mergeCell ref="A87:C87"/>
    <mergeCell ref="A47:D47"/>
  </mergeCells>
  <conditionalFormatting sqref="AJ18:AJ37">
    <cfRule type="dataBar" priority="1">
      <dataBar>
        <cfvo type="num" val="0"/>
        <cfvo type="num" val="1"/>
        <color rgb="0010B981"/>
      </dataBar>
    </cfRule>
  </conditionalFormatting>
  <conditionalFormatting sqref="E18:AI37">
    <cfRule type="cellIs" priority="2" operator="equal" dxfId="0">
      <formula>"✓"</formula>
    </cfRule>
    <cfRule type="cellIs" priority="3" operator="equal" dxfId="0">
      <formula>"✔"</formula>
    </cfRule>
    <cfRule type="cellIs" priority="4" operator="equal" dxfId="1">
      <formula>"✗"</formula>
    </cfRule>
    <cfRule type="cellIs" priority="5" operator="equal" dxfId="1">
      <formula>"x"</formula>
    </cfRule>
    <cfRule type="cellIs" priority="6" operator="equal" dxfId="1">
      <formula>"X"</formula>
    </cfRule>
  </conditionalFormatting>
  <conditionalFormatting sqref="E16:E17">
    <cfRule type="expression" priority="7" dxfId="2">
      <formula>AND(DAY(TODAY())=1, MONTH(TODAY())=8, YEAR(TODAY())=2028)</formula>
    </cfRule>
  </conditionalFormatting>
  <conditionalFormatting sqref="F16:F17">
    <cfRule type="expression" priority="8" dxfId="2">
      <formula>AND(DAY(TODAY())=2, MONTH(TODAY())=8, YEAR(TODAY())=2028)</formula>
    </cfRule>
  </conditionalFormatting>
  <conditionalFormatting sqref="G16:G17">
    <cfRule type="expression" priority="9" dxfId="2">
      <formula>AND(DAY(TODAY())=3, MONTH(TODAY())=8, YEAR(TODAY())=2028)</formula>
    </cfRule>
  </conditionalFormatting>
  <conditionalFormatting sqref="H16:H17">
    <cfRule type="expression" priority="10" dxfId="2">
      <formula>AND(DAY(TODAY())=4, MONTH(TODAY())=8, YEAR(TODAY())=2028)</formula>
    </cfRule>
  </conditionalFormatting>
  <conditionalFormatting sqref="I16:I17">
    <cfRule type="expression" priority="11" dxfId="2">
      <formula>AND(DAY(TODAY())=5, MONTH(TODAY())=8, YEAR(TODAY())=2028)</formula>
    </cfRule>
  </conditionalFormatting>
  <conditionalFormatting sqref="J16:J17">
    <cfRule type="expression" priority="12" dxfId="2">
      <formula>AND(DAY(TODAY())=6, MONTH(TODAY())=8, YEAR(TODAY())=2028)</formula>
    </cfRule>
  </conditionalFormatting>
  <conditionalFormatting sqref="K16:K17">
    <cfRule type="expression" priority="13" dxfId="2">
      <formula>AND(DAY(TODAY())=7, MONTH(TODAY())=8, YEAR(TODAY())=2028)</formula>
    </cfRule>
  </conditionalFormatting>
  <conditionalFormatting sqref="L16:L17">
    <cfRule type="expression" priority="14" dxfId="2">
      <formula>AND(DAY(TODAY())=8, MONTH(TODAY())=8, YEAR(TODAY())=2028)</formula>
    </cfRule>
  </conditionalFormatting>
  <conditionalFormatting sqref="M16:M17">
    <cfRule type="expression" priority="15" dxfId="2">
      <formula>AND(DAY(TODAY())=9, MONTH(TODAY())=8, YEAR(TODAY())=2028)</formula>
    </cfRule>
  </conditionalFormatting>
  <conditionalFormatting sqref="N16:N17">
    <cfRule type="expression" priority="16" dxfId="2">
      <formula>AND(DAY(TODAY())=10, MONTH(TODAY())=8, YEAR(TODAY())=2028)</formula>
    </cfRule>
  </conditionalFormatting>
  <conditionalFormatting sqref="O16:O17">
    <cfRule type="expression" priority="17" dxfId="2">
      <formula>AND(DAY(TODAY())=11, MONTH(TODAY())=8, YEAR(TODAY())=2028)</formula>
    </cfRule>
  </conditionalFormatting>
  <conditionalFormatting sqref="P16:P17">
    <cfRule type="expression" priority="18" dxfId="2">
      <formula>AND(DAY(TODAY())=12, MONTH(TODAY())=8, YEAR(TODAY())=2028)</formula>
    </cfRule>
  </conditionalFormatting>
  <conditionalFormatting sqref="Q16:Q17">
    <cfRule type="expression" priority="19" dxfId="2">
      <formula>AND(DAY(TODAY())=13, MONTH(TODAY())=8, YEAR(TODAY())=2028)</formula>
    </cfRule>
  </conditionalFormatting>
  <conditionalFormatting sqref="R16:R17">
    <cfRule type="expression" priority="20" dxfId="2">
      <formula>AND(DAY(TODAY())=14, MONTH(TODAY())=8, YEAR(TODAY())=2028)</formula>
    </cfRule>
  </conditionalFormatting>
  <conditionalFormatting sqref="S16:S17">
    <cfRule type="expression" priority="21" dxfId="2">
      <formula>AND(DAY(TODAY())=15, MONTH(TODAY())=8, YEAR(TODAY())=2028)</formula>
    </cfRule>
  </conditionalFormatting>
  <conditionalFormatting sqref="T16:T17">
    <cfRule type="expression" priority="22" dxfId="2">
      <formula>AND(DAY(TODAY())=16, MONTH(TODAY())=8, YEAR(TODAY())=2028)</formula>
    </cfRule>
  </conditionalFormatting>
  <conditionalFormatting sqref="U16:U17">
    <cfRule type="expression" priority="23" dxfId="2">
      <formula>AND(DAY(TODAY())=17, MONTH(TODAY())=8, YEAR(TODAY())=2028)</formula>
    </cfRule>
  </conditionalFormatting>
  <conditionalFormatting sqref="V16:V17">
    <cfRule type="expression" priority="24" dxfId="2">
      <formula>AND(DAY(TODAY())=18, MONTH(TODAY())=8, YEAR(TODAY())=2028)</formula>
    </cfRule>
  </conditionalFormatting>
  <conditionalFormatting sqref="W16:W17">
    <cfRule type="expression" priority="25" dxfId="2">
      <formula>AND(DAY(TODAY())=19, MONTH(TODAY())=8, YEAR(TODAY())=2028)</formula>
    </cfRule>
  </conditionalFormatting>
  <conditionalFormatting sqref="X16:X17">
    <cfRule type="expression" priority="26" dxfId="2">
      <formula>AND(DAY(TODAY())=20, MONTH(TODAY())=8, YEAR(TODAY())=2028)</formula>
    </cfRule>
  </conditionalFormatting>
  <conditionalFormatting sqref="Y16:Y17">
    <cfRule type="expression" priority="27" dxfId="2">
      <formula>AND(DAY(TODAY())=21, MONTH(TODAY())=8, YEAR(TODAY())=2028)</formula>
    </cfRule>
  </conditionalFormatting>
  <conditionalFormatting sqref="Z16:Z17">
    <cfRule type="expression" priority="28" dxfId="2">
      <formula>AND(DAY(TODAY())=22, MONTH(TODAY())=8, YEAR(TODAY())=2028)</formula>
    </cfRule>
  </conditionalFormatting>
  <conditionalFormatting sqref="AA16:AA17">
    <cfRule type="expression" priority="29" dxfId="2">
      <formula>AND(DAY(TODAY())=23, MONTH(TODAY())=8, YEAR(TODAY())=2028)</formula>
    </cfRule>
  </conditionalFormatting>
  <conditionalFormatting sqref="AB16:AB17">
    <cfRule type="expression" priority="30" dxfId="2">
      <formula>AND(DAY(TODAY())=24, MONTH(TODAY())=8, YEAR(TODAY())=2028)</formula>
    </cfRule>
  </conditionalFormatting>
  <conditionalFormatting sqref="AC16:AC17">
    <cfRule type="expression" priority="31" dxfId="2">
      <formula>AND(DAY(TODAY())=25, MONTH(TODAY())=8, YEAR(TODAY())=2028)</formula>
    </cfRule>
  </conditionalFormatting>
  <conditionalFormatting sqref="AD16:AD17">
    <cfRule type="expression" priority="32" dxfId="2">
      <formula>AND(DAY(TODAY())=26, MONTH(TODAY())=8, YEAR(TODAY())=2028)</formula>
    </cfRule>
  </conditionalFormatting>
  <conditionalFormatting sqref="AE16:AE17">
    <cfRule type="expression" priority="33" dxfId="2">
      <formula>AND(DAY(TODAY())=27, MONTH(TODAY())=8, YEAR(TODAY())=2028)</formula>
    </cfRule>
  </conditionalFormatting>
  <conditionalFormatting sqref="AF16:AF17">
    <cfRule type="expression" priority="34" dxfId="2">
      <formula>AND(DAY(TODAY())=28, MONTH(TODAY())=8, YEAR(TODAY())=2028)</formula>
    </cfRule>
  </conditionalFormatting>
  <conditionalFormatting sqref="AG16:AG17">
    <cfRule type="expression" priority="35" dxfId="2">
      <formula>AND(DAY(TODAY())=29, MONTH(TODAY())=8, YEAR(TODAY())=2028)</formula>
    </cfRule>
  </conditionalFormatting>
  <conditionalFormatting sqref="AH16:AH17">
    <cfRule type="expression" priority="36" dxfId="2">
      <formula>AND(DAY(TODAY())=30, MONTH(TODAY())=8, YEAR(TODAY())=2028)</formula>
    </cfRule>
  </conditionalFormatting>
  <conditionalFormatting sqref="AI16:AI17">
    <cfRule type="expression" priority="37" dxfId="2">
      <formula>AND(DAY(TODAY())=31, MONTH(TODAY())=8, YEAR(TODAY())=2028)</formula>
    </cfRule>
  </conditionalFormatting>
  <dataValidations count="4">
    <dataValidation sqref="C18:C37" showDropDown="0" showInputMessage="0" showErrorMessage="0" allowBlank="1" type="list">
      <formula1>"Health &amp; Fitness,Mindset &amp; Learning,Career &amp; Focus,Personal &amp; Home,Finance &amp; Wealth,Other"</formula1>
    </dataValidation>
    <dataValidation sqref="D18:D37" showDropDown="0" showInputMessage="0" showErrorMessage="0" allowBlank="1" type="list">
      <formula1>"1,2,3,4,5,6,7,8,9,10,11,12,13,14,15,16,17,18,19,20,21,22,23,24,25,26,27,28,29,30,31"</formula1>
    </dataValidation>
    <dataValidation sqref="E18:AI37" showDropDown="0" showInputMessage="0" showErrorMessage="0" allowBlank="1" type="list">
      <formula1>"✓,✗"</formula1>
    </dataValidation>
    <dataValidation sqref="E47:AI47" showDropDown="0" showInputMessage="0" showErrorMessage="0" allowBlank="1" type="list">
      <formula1>"1,2,3,4,5,6,7,8,9,10,11,12,13,14,15,16,17,18,19,20,21,22,23,24"</formula1>
    </dataValidation>
  </dataValidations>
  <hyperlinks>
    <hyperlink xmlns:r="http://schemas.openxmlformats.org/officeDocument/2006/relationships" ref="A1" r:id="rId1"/>
    <hyperlink xmlns:r="http://schemas.openxmlformats.org/officeDocument/2006/relationships" ref="C1" r:id="rId2"/>
    <hyperlink xmlns:r="http://schemas.openxmlformats.org/officeDocument/2006/relationships" ref="D1" r:id="rId3"/>
    <hyperlink xmlns:r="http://schemas.openxmlformats.org/officeDocument/2006/relationships" ref="E1" r:id="rId4"/>
    <hyperlink xmlns:r="http://schemas.openxmlformats.org/officeDocument/2006/relationships" ref="F1" r:id="rId5"/>
    <hyperlink xmlns:r="http://schemas.openxmlformats.org/officeDocument/2006/relationships" ref="G1" r:id="rId6"/>
    <hyperlink xmlns:r="http://schemas.openxmlformats.org/officeDocument/2006/relationships" ref="H1" r:id="rId7"/>
    <hyperlink xmlns:r="http://schemas.openxmlformats.org/officeDocument/2006/relationships" ref="I1" r:id="rId8"/>
    <hyperlink xmlns:r="http://schemas.openxmlformats.org/officeDocument/2006/relationships" ref="J1" r:id="rId9"/>
    <hyperlink xmlns:r="http://schemas.openxmlformats.org/officeDocument/2006/relationships" ref="K1" r:id="rId10"/>
  </hyperlinks>
  <printOptions horizontalCentered="1" verticalCentered="0"/>
  <pageMargins left="0.75" right="0.75" top="1" bottom="1" header="0.5" footer="0.5"/>
  <pageSetup orientation="landscape" paperSize="9" fitToHeight="0" fitToWidth="1"/>
  <drawing xmlns:r="http://schemas.openxmlformats.org/officeDocument/2006/relationships" r:id="rId11"/>
</worksheet>
</file>

<file path=xl/worksheets/sheet28.xml><?xml version="1.0" encoding="utf-8"?>
<worksheet xmlns="http://schemas.openxmlformats.org/spreadsheetml/2006/main">
  <sheetPr>
    <outlinePr summaryBelow="1" summaryRight="1"/>
    <pageSetUpPr fitToPage="1"/>
  </sheetPr>
  <dimension ref="A1:AL103"/>
  <sheetViews>
    <sheetView showGridLines="1" workbookViewId="0">
      <selection activeCell="A1" sqref="A1"/>
    </sheetView>
  </sheetViews>
  <sheetFormatPr baseColWidth="8" defaultRowHeight="15"/>
  <cols>
    <col width="6" customWidth="1" min="1" max="1"/>
    <col width="25" customWidth="1" min="2" max="2"/>
    <col width="16.5" customWidth="1" min="3" max="3"/>
    <col width="8" customWidth="1" min="4" max="4"/>
    <col width="4.8" customWidth="1" min="5" max="5"/>
    <col width="4.8" customWidth="1" min="6" max="6"/>
    <col width="4.8" customWidth="1" min="7" max="7"/>
    <col width="4.8" customWidth="1" min="8" max="8"/>
    <col width="4.8" customWidth="1" min="9" max="9"/>
    <col width="4.8" customWidth="1" min="10" max="10"/>
    <col width="4.8" customWidth="1" min="11" max="11"/>
    <col width="4.8" customWidth="1" min="12" max="12"/>
    <col width="4.8" customWidth="1" min="13" max="13"/>
    <col width="4.8" customWidth="1" min="14" max="14"/>
    <col width="4.8" customWidth="1" min="15" max="15"/>
    <col width="4.8" customWidth="1" min="16" max="16"/>
    <col width="4.8" customWidth="1" min="17" max="17"/>
    <col width="4.8" customWidth="1" min="18" max="18"/>
    <col width="4.8" customWidth="1" min="19" max="19"/>
    <col width="4.8" customWidth="1" min="20" max="20"/>
    <col width="4.8" customWidth="1" min="21" max="21"/>
    <col width="4.8" customWidth="1" min="22" max="22"/>
    <col width="4.8" customWidth="1" min="23" max="23"/>
    <col width="4.8" customWidth="1" min="24" max="24"/>
    <col width="4.8" customWidth="1" min="25" max="25"/>
    <col width="4.8" customWidth="1" min="26" max="26"/>
    <col width="4.8" customWidth="1" min="27" max="27"/>
    <col width="4.8" customWidth="1" min="28" max="28"/>
    <col width="4.8" customWidth="1" min="29" max="29"/>
    <col width="4.8" customWidth="1" min="30" max="30"/>
    <col width="4.8" customWidth="1" min="31" max="31"/>
    <col width="4.8" customWidth="1" min="32" max="32"/>
    <col width="4.8" customWidth="1" min="33" max="33"/>
    <col width="4.8" customWidth="1" min="34" max="34"/>
    <col width="11.5" customWidth="1" min="35" max="35"/>
    <col width="12" customWidth="1" min="36" max="36"/>
    <col width="13.5" customWidth="1" min="37" max="37"/>
    <col hidden="1" width="8" customWidth="1" min="38" max="38"/>
  </cols>
  <sheetData>
    <row r="1" ht="18" customHeight="1">
      <c r="A1" s="76" t="inlineStr">
        <is>
          <t>🏠 Master Dashboard</t>
        </is>
      </c>
      <c r="B1" s="40" t="n"/>
      <c r="C1" s="77" t="inlineStr">
        <is>
          <t>🏛️ Quarterly Hub</t>
        </is>
      </c>
      <c r="D1" s="78" t="inlineStr">
        <is>
          <t>📚 Habit Library</t>
        </is>
      </c>
      <c r="E1" s="80" t="inlineStr">
        <is>
          <t>2026</t>
        </is>
      </c>
      <c r="F1" s="80" t="inlineStr">
        <is>
          <t>2027</t>
        </is>
      </c>
      <c r="G1" s="79" t="inlineStr">
        <is>
          <t>2028</t>
        </is>
      </c>
      <c r="H1" s="80" t="inlineStr">
        <is>
          <t>2029</t>
        </is>
      </c>
      <c r="I1" s="80" t="inlineStr">
        <is>
          <t>2030</t>
        </is>
      </c>
      <c r="J1" s="82" t="inlineStr">
        <is>
          <t>◀ Prev</t>
        </is>
      </c>
      <c r="K1" s="82" t="inlineStr">
        <is>
          <t>Next ▶</t>
        </is>
      </c>
    </row>
    <row r="2" ht="24" customHeight="1">
      <c r="A2" s="83" t="inlineStr">
        <is>
          <t>Habit Tracker</t>
        </is>
      </c>
      <c r="H2" s="84" t="inlineStr">
        <is>
          <t>"Win the morning, win the day."</t>
        </is>
      </c>
      <c r="AD2" s="85" t="inlineStr">
        <is>
          <t>@surajvansh</t>
        </is>
      </c>
    </row>
    <row r="3" ht="18" customHeight="1">
      <c r="A3" s="86" t="inlineStr">
        <is>
          <t>September 2028</t>
        </is>
      </c>
      <c r="H3" s="87" t="inlineStr">
        <is>
          <t>30 Days Dashboard</t>
        </is>
      </c>
    </row>
    <row r="4" ht="5" customHeight="1"/>
    <row r="5" ht="16" customHeight="1">
      <c r="A5" s="88" t="inlineStr">
        <is>
          <t>MONTHLY TARGETS</t>
        </is>
      </c>
    </row>
    <row r="6" ht="13" customHeight="1">
      <c r="A6" s="89" t="inlineStr">
        <is>
          <t>1. ____________________ : ____________________</t>
        </is>
      </c>
      <c r="P6" s="89" t="inlineStr">
        <is>
          <t>5. ____________________ : ____________________</t>
        </is>
      </c>
    </row>
    <row r="7" ht="13" customHeight="1">
      <c r="A7" s="89" t="inlineStr">
        <is>
          <t>2. ____________________ : ____________________</t>
        </is>
      </c>
      <c r="P7" s="89" t="inlineStr">
        <is>
          <t>6. ____________________ : ____________________</t>
        </is>
      </c>
    </row>
    <row r="8" ht="13" customHeight="1">
      <c r="A8" s="89" t="inlineStr">
        <is>
          <t>3. ____________________ : ____________________</t>
        </is>
      </c>
      <c r="P8" s="89" t="inlineStr">
        <is>
          <t>7. ____________________ : ____________________</t>
        </is>
      </c>
    </row>
    <row r="9" ht="13" customHeight="1">
      <c r="A9" s="89" t="inlineStr">
        <is>
          <t>4. ____________________ : ____________________</t>
        </is>
      </c>
      <c r="P9" s="89" t="inlineStr">
        <is>
          <t>8. ____________________ : ____________________</t>
        </is>
      </c>
    </row>
    <row r="10" ht="5" customHeight="1"/>
    <row r="11" ht="15" customHeight="1">
      <c r="A11" s="88" t="inlineStr">
        <is>
          <t>NOTES:</t>
        </is>
      </c>
    </row>
    <row r="12" ht="13" customHeight="1">
      <c r="A12" s="90" t="n"/>
      <c r="B12" s="91" t="n"/>
      <c r="C12" s="91" t="n"/>
      <c r="D12" s="91" t="n"/>
      <c r="E12" s="91" t="n"/>
      <c r="F12" s="91" t="n"/>
      <c r="G12" s="91" t="n"/>
      <c r="H12" s="91" t="n"/>
      <c r="I12" s="91" t="n"/>
      <c r="J12" s="91" t="n"/>
      <c r="K12" s="91" t="n"/>
      <c r="L12" s="91" t="n"/>
      <c r="M12" s="91" t="n"/>
      <c r="N12" s="91" t="n"/>
      <c r="O12" s="91" t="n"/>
      <c r="P12" s="91" t="n"/>
      <c r="Q12" s="91" t="n"/>
      <c r="R12" s="91" t="n"/>
      <c r="S12" s="91" t="n"/>
      <c r="T12" s="91" t="n"/>
      <c r="U12" s="91" t="n"/>
      <c r="V12" s="91" t="n"/>
      <c r="W12" s="91" t="n"/>
      <c r="X12" s="91" t="n"/>
      <c r="Y12" s="91" t="n"/>
      <c r="Z12" s="91" t="n"/>
      <c r="AA12" s="91" t="n"/>
      <c r="AB12" s="91" t="n"/>
      <c r="AC12" s="91" t="n"/>
      <c r="AD12" s="91" t="n"/>
      <c r="AE12" s="91" t="n"/>
      <c r="AF12" s="91" t="n"/>
      <c r="AG12" s="91" t="n"/>
      <c r="AH12" s="91" t="n"/>
      <c r="AI12" s="91" t="n"/>
      <c r="AJ12" s="91" t="n"/>
      <c r="AK12" s="91" t="n"/>
    </row>
    <row r="13" ht="13" customHeight="1">
      <c r="A13" s="91" t="n"/>
      <c r="B13" s="91" t="n"/>
      <c r="C13" s="91" t="n"/>
      <c r="D13" s="91" t="n"/>
      <c r="E13" s="91" t="n"/>
      <c r="F13" s="91" t="n"/>
      <c r="G13" s="91" t="n"/>
      <c r="H13" s="91" t="n"/>
      <c r="I13" s="91" t="n"/>
      <c r="J13" s="91" t="n"/>
      <c r="K13" s="91" t="n"/>
      <c r="L13" s="91" t="n"/>
      <c r="M13" s="91" t="n"/>
      <c r="N13" s="91" t="n"/>
      <c r="O13" s="91" t="n"/>
      <c r="P13" s="91" t="n"/>
      <c r="Q13" s="91" t="n"/>
      <c r="R13" s="91" t="n"/>
      <c r="S13" s="91" t="n"/>
      <c r="T13" s="91" t="n"/>
      <c r="U13" s="91" t="n"/>
      <c r="V13" s="91" t="n"/>
      <c r="W13" s="91" t="n"/>
      <c r="X13" s="91" t="n"/>
      <c r="Y13" s="91" t="n"/>
      <c r="Z13" s="91" t="n"/>
      <c r="AA13" s="91" t="n"/>
      <c r="AB13" s="91" t="n"/>
      <c r="AC13" s="91" t="n"/>
      <c r="AD13" s="91" t="n"/>
      <c r="AE13" s="91" t="n"/>
      <c r="AF13" s="91" t="n"/>
      <c r="AG13" s="91" t="n"/>
      <c r="AH13" s="91" t="n"/>
      <c r="AI13" s="91" t="n"/>
      <c r="AJ13" s="91" t="n"/>
      <c r="AK13" s="91" t="n"/>
    </row>
    <row r="14" ht="13" customHeight="1">
      <c r="A14" s="91" t="n"/>
      <c r="B14" s="91" t="n"/>
      <c r="C14" s="91" t="n"/>
      <c r="D14" s="91" t="n"/>
      <c r="E14" s="91" t="n"/>
      <c r="F14" s="91" t="n"/>
      <c r="G14" s="91" t="n"/>
      <c r="H14" s="91" t="n"/>
      <c r="I14" s="91" t="n"/>
      <c r="J14" s="91" t="n"/>
      <c r="K14" s="91" t="n"/>
      <c r="L14" s="91" t="n"/>
      <c r="M14" s="91" t="n"/>
      <c r="N14" s="91" t="n"/>
      <c r="O14" s="91" t="n"/>
      <c r="P14" s="91" t="n"/>
      <c r="Q14" s="91" t="n"/>
      <c r="R14" s="91" t="n"/>
      <c r="S14" s="91" t="n"/>
      <c r="T14" s="91" t="n"/>
      <c r="U14" s="91" t="n"/>
      <c r="V14" s="91" t="n"/>
      <c r="W14" s="91" t="n"/>
      <c r="X14" s="91" t="n"/>
      <c r="Y14" s="91" t="n"/>
      <c r="Z14" s="91" t="n"/>
      <c r="AA14" s="91" t="n"/>
      <c r="AB14" s="91" t="n"/>
      <c r="AC14" s="91" t="n"/>
      <c r="AD14" s="91" t="n"/>
      <c r="AE14" s="91" t="n"/>
      <c r="AF14" s="91" t="n"/>
      <c r="AG14" s="91" t="n"/>
      <c r="AH14" s="91" t="n"/>
      <c r="AI14" s="91" t="n"/>
      <c r="AJ14" s="91" t="n"/>
      <c r="AK14" s="91" t="n"/>
    </row>
    <row r="15" ht="8" customHeight="1"/>
    <row r="16" ht="15" customHeight="1">
      <c r="A16" s="33" t="inlineStr">
        <is>
          <t>S.No.</t>
        </is>
      </c>
      <c r="B16" s="33" t="inlineStr">
        <is>
          <t>Protocols</t>
        </is>
      </c>
      <c r="C16" s="33" t="inlineStr">
        <is>
          <t>Category</t>
        </is>
      </c>
      <c r="D16" s="33" t="inlineStr">
        <is>
          <t>Target</t>
        </is>
      </c>
      <c r="E16" s="92" t="n">
        <v>1</v>
      </c>
      <c r="F16" s="92" t="n">
        <v>2</v>
      </c>
      <c r="G16" s="93" t="n">
        <v>3</v>
      </c>
      <c r="H16" s="92" t="n">
        <v>4</v>
      </c>
      <c r="I16" s="92" t="n">
        <v>5</v>
      </c>
      <c r="J16" s="92" t="n">
        <v>6</v>
      </c>
      <c r="K16" s="92" t="n">
        <v>7</v>
      </c>
      <c r="L16" s="92" t="n">
        <v>8</v>
      </c>
      <c r="M16" s="92" t="n">
        <v>9</v>
      </c>
      <c r="N16" s="93" t="n">
        <v>10</v>
      </c>
      <c r="O16" s="92" t="n">
        <v>11</v>
      </c>
      <c r="P16" s="92" t="n">
        <v>12</v>
      </c>
      <c r="Q16" s="92" t="n">
        <v>13</v>
      </c>
      <c r="R16" s="92" t="n">
        <v>14</v>
      </c>
      <c r="S16" s="92" t="n">
        <v>15</v>
      </c>
      <c r="T16" s="92" t="n">
        <v>16</v>
      </c>
      <c r="U16" s="93" t="n">
        <v>17</v>
      </c>
      <c r="V16" s="92" t="n">
        <v>18</v>
      </c>
      <c r="W16" s="92" t="n">
        <v>19</v>
      </c>
      <c r="X16" s="92" t="n">
        <v>20</v>
      </c>
      <c r="Y16" s="92" t="n">
        <v>21</v>
      </c>
      <c r="Z16" s="92" t="n">
        <v>22</v>
      </c>
      <c r="AA16" s="92" t="n">
        <v>23</v>
      </c>
      <c r="AB16" s="93" t="n">
        <v>24</v>
      </c>
      <c r="AC16" s="92" t="n">
        <v>25</v>
      </c>
      <c r="AD16" s="92" t="n">
        <v>26</v>
      </c>
      <c r="AE16" s="92" t="n">
        <v>27</v>
      </c>
      <c r="AF16" s="92" t="n">
        <v>28</v>
      </c>
      <c r="AG16" s="92" t="n">
        <v>29</v>
      </c>
      <c r="AH16" s="92" t="n">
        <v>30</v>
      </c>
      <c r="AI16" s="94" t="inlineStr">
        <is>
          <t>Success %</t>
        </is>
      </c>
      <c r="AJ16" s="94" t="inlineStr">
        <is>
          <t>Done / Target</t>
        </is>
      </c>
      <c r="AK16" s="94" t="inlineStr">
        <is>
          <t>Status</t>
        </is>
      </c>
      <c r="AL16" t="inlineStr">
        <is>
          <t>Done Count</t>
        </is>
      </c>
    </row>
    <row r="17" ht="15" customHeight="1">
      <c r="A17" s="54" t="n"/>
      <c r="B17" s="54" t="n"/>
      <c r="C17" s="54" t="n"/>
      <c r="D17" s="54" t="n"/>
      <c r="E17" s="95" t="inlineStr">
        <is>
          <t>F</t>
        </is>
      </c>
      <c r="F17" s="95" t="inlineStr">
        <is>
          <t>Sa</t>
        </is>
      </c>
      <c r="G17" s="96" t="inlineStr">
        <is>
          <t>Su</t>
        </is>
      </c>
      <c r="H17" s="95" t="inlineStr">
        <is>
          <t>M</t>
        </is>
      </c>
      <c r="I17" s="95" t="inlineStr">
        <is>
          <t>T</t>
        </is>
      </c>
      <c r="J17" s="95" t="inlineStr">
        <is>
          <t>W</t>
        </is>
      </c>
      <c r="K17" s="95" t="inlineStr">
        <is>
          <t>Th</t>
        </is>
      </c>
      <c r="L17" s="95" t="inlineStr">
        <is>
          <t>F</t>
        </is>
      </c>
      <c r="M17" s="95" t="inlineStr">
        <is>
          <t>Sa</t>
        </is>
      </c>
      <c r="N17" s="96" t="inlineStr">
        <is>
          <t>Su</t>
        </is>
      </c>
      <c r="O17" s="95" t="inlineStr">
        <is>
          <t>M</t>
        </is>
      </c>
      <c r="P17" s="95" t="inlineStr">
        <is>
          <t>T</t>
        </is>
      </c>
      <c r="Q17" s="95" t="inlineStr">
        <is>
          <t>W</t>
        </is>
      </c>
      <c r="R17" s="95" t="inlineStr">
        <is>
          <t>Th</t>
        </is>
      </c>
      <c r="S17" s="95" t="inlineStr">
        <is>
          <t>F</t>
        </is>
      </c>
      <c r="T17" s="95" t="inlineStr">
        <is>
          <t>Sa</t>
        </is>
      </c>
      <c r="U17" s="96" t="inlineStr">
        <is>
          <t>Su</t>
        </is>
      </c>
      <c r="V17" s="95" t="inlineStr">
        <is>
          <t>M</t>
        </is>
      </c>
      <c r="W17" s="95" t="inlineStr">
        <is>
          <t>T</t>
        </is>
      </c>
      <c r="X17" s="95" t="inlineStr">
        <is>
          <t>W</t>
        </is>
      </c>
      <c r="Y17" s="95" t="inlineStr">
        <is>
          <t>Th</t>
        </is>
      </c>
      <c r="Z17" s="95" t="inlineStr">
        <is>
          <t>F</t>
        </is>
      </c>
      <c r="AA17" s="95" t="inlineStr">
        <is>
          <t>Sa</t>
        </is>
      </c>
      <c r="AB17" s="96" t="inlineStr">
        <is>
          <t>Su</t>
        </is>
      </c>
      <c r="AC17" s="95" t="inlineStr">
        <is>
          <t>M</t>
        </is>
      </c>
      <c r="AD17" s="95" t="inlineStr">
        <is>
          <t>T</t>
        </is>
      </c>
      <c r="AE17" s="95" t="inlineStr">
        <is>
          <t>W</t>
        </is>
      </c>
      <c r="AF17" s="95" t="inlineStr">
        <is>
          <t>Th</t>
        </is>
      </c>
      <c r="AG17" s="95" t="inlineStr">
        <is>
          <t>F</t>
        </is>
      </c>
      <c r="AH17" s="95" t="inlineStr">
        <is>
          <t>Sa</t>
        </is>
      </c>
      <c r="AI17" s="54" t="n"/>
      <c r="AJ17" s="54" t="n"/>
      <c r="AK17" s="54" t="n"/>
    </row>
    <row r="18" ht="14.5" customHeight="1">
      <c r="A18" s="97" t="n">
        <v>1</v>
      </c>
      <c r="B18" s="98" t="n"/>
      <c r="C18" s="99" t="n"/>
      <c r="D18" s="99" t="n"/>
      <c r="E18" s="100" t="n"/>
      <c r="F18" s="100" t="n"/>
      <c r="G18" s="101" t="n"/>
      <c r="H18" s="100" t="n"/>
      <c r="I18" s="100" t="n"/>
      <c r="J18" s="100" t="n"/>
      <c r="K18" s="100" t="n"/>
      <c r="L18" s="100" t="n"/>
      <c r="M18" s="100" t="n"/>
      <c r="N18" s="101" t="n"/>
      <c r="O18" s="100" t="n"/>
      <c r="P18" s="100" t="n"/>
      <c r="Q18" s="100" t="n"/>
      <c r="R18" s="100" t="n"/>
      <c r="S18" s="100" t="n"/>
      <c r="T18" s="100" t="n"/>
      <c r="U18" s="101" t="n"/>
      <c r="V18" s="100" t="n"/>
      <c r="W18" s="100" t="n"/>
      <c r="X18" s="100" t="n"/>
      <c r="Y18" s="100" t="n"/>
      <c r="Z18" s="100" t="n"/>
      <c r="AA18" s="100" t="n"/>
      <c r="AB18" s="101" t="n"/>
      <c r="AC18" s="100" t="n"/>
      <c r="AD18" s="100" t="n"/>
      <c r="AE18" s="100" t="n"/>
      <c r="AF18" s="100" t="n"/>
      <c r="AG18" s="100" t="n"/>
      <c r="AH18" s="100" t="n"/>
      <c r="AI18" s="102">
        <f>IF(ISBLANK(B18), "", IF(ISNUMBER(D18), IF(D18&gt;0, (COUNTIF(E18:AH18, "✓") + COUNTIF(E18:AH18, "✔") + COUNTIF(E18:AH18, "v") + COUNTIF(E18:AH18, "V"))/D18, 0), IF(((COUNTIF(E18:AH18, "✓") + COUNTIF(E18:AH18, "✔") + COUNTIF(E18:AH18, "v") + COUNTIF(E18:AH18, "V")) + COUNTIF(E18:AH18, "✗") + COUNTIF(E18:AH18, "x") + COUNTIF(E18:AH18, "X"))&gt;0, (COUNTIF(E18:AH18, "✓") + COUNTIF(E18:AH18, "✔") + COUNTIF(E18:AH18, "v") + COUNTIF(E18:AH18, "V"))/((COUNTIF(E18:AH18, "✓") + COUNTIF(E18:AH18, "✔") + COUNTIF(E18:AH18, "v") + COUNTIF(E18:AH18, "V")) + COUNTIF(E18:AH18, "✗") + COUNTIF(E18:AH18, "x") + COUNTIF(E18:AH18, "X")), "")))</f>
        <v/>
      </c>
      <c r="AJ18" s="103">
        <f>IF(ISBLANK(B18), "", IF(ISNUMBER(D18), IF(D18&gt;0, (COUNTIF(E18:AH18, "✓") + COUNTIF(E18:AH18, "✔") + COUNTIF(E18:AH18, "v") + COUNTIF(E18:AH18, "V")) &amp; "/" &amp; D18, (COUNTIF(E18:AH18, "✓") + COUNTIF(E18:AH18, "✔") + COUNTIF(E18:AH18, "v") + COUNTIF(E18:AH18, "V")) &amp; "/0"), IF(((COUNTIF(E18:AH18, "✓") + COUNTIF(E18:AH18, "✔") + COUNTIF(E18:AH18, "v") + COUNTIF(E18:AH18, "V")) + COUNTIF(E18:AH18, "✗") + COUNTIF(E18:AH18, "x") + COUNTIF(E18:AH18, "X"))&gt;0, (COUNTIF(E18:AH18, "✓") + COUNTIF(E18:AH18, "✔") + COUNTIF(E18:AH18, "v") + COUNTIF(E18:AH18, "V")) &amp; "/" &amp; ((COUNTIF(E18:AH18, "✓") + COUNTIF(E18:AH18, "✔") + COUNTIF(E18:AH18, "v") + COUNTIF(E18:AH18, "V")) + COUNTIF(E18:AH18, "✗") + COUNTIF(E18:AH18, "x") + COUNTIF(E18:AH18, "X")), "")))</f>
        <v/>
      </c>
      <c r="AK18" s="103">
        <f>IF(ISBLANK(B18), "", IF(AI18&gt;=0.85, "🔥 Mastered", IF(AI18&gt;=0.7, "⚡ Consistent", "⚠️ Needs Focus")))</f>
        <v/>
      </c>
      <c r="AL18">
        <f>COUNTIF(E18:AH18, "✓")</f>
        <v/>
      </c>
    </row>
    <row r="19" ht="14.5" customHeight="1">
      <c r="A19" s="97" t="n">
        <v>2</v>
      </c>
      <c r="B19" s="98" t="n"/>
      <c r="C19" s="99" t="n"/>
      <c r="D19" s="99" t="n"/>
      <c r="E19" s="100" t="n"/>
      <c r="F19" s="100" t="n"/>
      <c r="G19" s="101" t="n"/>
      <c r="H19" s="100" t="n"/>
      <c r="I19" s="100" t="n"/>
      <c r="J19" s="100" t="n"/>
      <c r="K19" s="100" t="n"/>
      <c r="L19" s="100" t="n"/>
      <c r="M19" s="100" t="n"/>
      <c r="N19" s="101" t="n"/>
      <c r="O19" s="100" t="n"/>
      <c r="P19" s="100" t="n"/>
      <c r="Q19" s="100" t="n"/>
      <c r="R19" s="100" t="n"/>
      <c r="S19" s="100" t="n"/>
      <c r="T19" s="100" t="n"/>
      <c r="U19" s="101" t="n"/>
      <c r="V19" s="100" t="n"/>
      <c r="W19" s="100" t="n"/>
      <c r="X19" s="100" t="n"/>
      <c r="Y19" s="100" t="n"/>
      <c r="Z19" s="100" t="n"/>
      <c r="AA19" s="100" t="n"/>
      <c r="AB19" s="101" t="n"/>
      <c r="AC19" s="100" t="n"/>
      <c r="AD19" s="100" t="n"/>
      <c r="AE19" s="100" t="n"/>
      <c r="AF19" s="100" t="n"/>
      <c r="AG19" s="100" t="n"/>
      <c r="AH19" s="100" t="n"/>
      <c r="AI19" s="102">
        <f>IF(ISBLANK(B19), "", IF(ISNUMBER(D19), IF(D19&gt;0, (COUNTIF(E19:AH19, "✓") + COUNTIF(E19:AH19, "✔") + COUNTIF(E19:AH19, "v") + COUNTIF(E19:AH19, "V"))/D19, 0), IF(((COUNTIF(E19:AH19, "✓") + COUNTIF(E19:AH19, "✔") + COUNTIF(E19:AH19, "v") + COUNTIF(E19:AH19, "V")) + COUNTIF(E19:AH19, "✗") + COUNTIF(E19:AH19, "x") + COUNTIF(E19:AH19, "X"))&gt;0, (COUNTIF(E19:AH19, "✓") + COUNTIF(E19:AH19, "✔") + COUNTIF(E19:AH19, "v") + COUNTIF(E19:AH19, "V"))/((COUNTIF(E19:AH19, "✓") + COUNTIF(E19:AH19, "✔") + COUNTIF(E19:AH19, "v") + COUNTIF(E19:AH19, "V")) + COUNTIF(E19:AH19, "✗") + COUNTIF(E19:AH19, "x") + COUNTIF(E19:AH19, "X")), "")))</f>
        <v/>
      </c>
      <c r="AJ19" s="103">
        <f>IF(ISBLANK(B19), "", IF(ISNUMBER(D19), IF(D19&gt;0, (COUNTIF(E19:AH19, "✓") + COUNTIF(E19:AH19, "✔") + COUNTIF(E19:AH19, "v") + COUNTIF(E19:AH19, "V")) &amp; "/" &amp; D19, (COUNTIF(E19:AH19, "✓") + COUNTIF(E19:AH19, "✔") + COUNTIF(E19:AH19, "v") + COUNTIF(E19:AH19, "V")) &amp; "/0"), IF(((COUNTIF(E19:AH19, "✓") + COUNTIF(E19:AH19, "✔") + COUNTIF(E19:AH19, "v") + COUNTIF(E19:AH19, "V")) + COUNTIF(E19:AH19, "✗") + COUNTIF(E19:AH19, "x") + COUNTIF(E19:AH19, "X"))&gt;0, (COUNTIF(E19:AH19, "✓") + COUNTIF(E19:AH19, "✔") + COUNTIF(E19:AH19, "v") + COUNTIF(E19:AH19, "V")) &amp; "/" &amp; ((COUNTIF(E19:AH19, "✓") + COUNTIF(E19:AH19, "✔") + COUNTIF(E19:AH19, "v") + COUNTIF(E19:AH19, "V")) + COUNTIF(E19:AH19, "✗") + COUNTIF(E19:AH19, "x") + COUNTIF(E19:AH19, "X")), "")))</f>
        <v/>
      </c>
      <c r="AK19" s="103">
        <f>IF(ISBLANK(B19), "", IF(AI19&gt;=0.85, "🔥 Mastered", IF(AI19&gt;=0.7, "⚡ Consistent", "⚠️ Needs Focus")))</f>
        <v/>
      </c>
      <c r="AL19">
        <f>COUNTIF(E19:AH19, "✓")</f>
        <v/>
      </c>
    </row>
    <row r="20" ht="14.5" customHeight="1">
      <c r="A20" s="97" t="n">
        <v>3</v>
      </c>
      <c r="B20" s="98" t="n"/>
      <c r="C20" s="99" t="n"/>
      <c r="D20" s="99" t="n"/>
      <c r="E20" s="100" t="n"/>
      <c r="F20" s="100" t="n"/>
      <c r="G20" s="101" t="n"/>
      <c r="H20" s="100" t="n"/>
      <c r="I20" s="100" t="n"/>
      <c r="J20" s="100" t="n"/>
      <c r="K20" s="100" t="n"/>
      <c r="L20" s="100" t="n"/>
      <c r="M20" s="100" t="n"/>
      <c r="N20" s="101" t="n"/>
      <c r="O20" s="100" t="n"/>
      <c r="P20" s="100" t="n"/>
      <c r="Q20" s="100" t="n"/>
      <c r="R20" s="100" t="n"/>
      <c r="S20" s="100" t="n"/>
      <c r="T20" s="100" t="n"/>
      <c r="U20" s="101" t="n"/>
      <c r="V20" s="100" t="n"/>
      <c r="W20" s="100" t="n"/>
      <c r="X20" s="100" t="n"/>
      <c r="Y20" s="100" t="n"/>
      <c r="Z20" s="100" t="n"/>
      <c r="AA20" s="100" t="n"/>
      <c r="AB20" s="101" t="n"/>
      <c r="AC20" s="100" t="n"/>
      <c r="AD20" s="100" t="n"/>
      <c r="AE20" s="100" t="n"/>
      <c r="AF20" s="100" t="n"/>
      <c r="AG20" s="100" t="n"/>
      <c r="AH20" s="100" t="n"/>
      <c r="AI20" s="102">
        <f>IF(ISBLANK(B20), "", IF(ISNUMBER(D20), IF(D20&gt;0, (COUNTIF(E20:AH20, "✓") + COUNTIF(E20:AH20, "✔") + COUNTIF(E20:AH20, "v") + COUNTIF(E20:AH20, "V"))/D20, 0), IF(((COUNTIF(E20:AH20, "✓") + COUNTIF(E20:AH20, "✔") + COUNTIF(E20:AH20, "v") + COUNTIF(E20:AH20, "V")) + COUNTIF(E20:AH20, "✗") + COUNTIF(E20:AH20, "x") + COUNTIF(E20:AH20, "X"))&gt;0, (COUNTIF(E20:AH20, "✓") + COUNTIF(E20:AH20, "✔") + COUNTIF(E20:AH20, "v") + COUNTIF(E20:AH20, "V"))/((COUNTIF(E20:AH20, "✓") + COUNTIF(E20:AH20, "✔") + COUNTIF(E20:AH20, "v") + COUNTIF(E20:AH20, "V")) + COUNTIF(E20:AH20, "✗") + COUNTIF(E20:AH20, "x") + COUNTIF(E20:AH20, "X")), "")))</f>
        <v/>
      </c>
      <c r="AJ20" s="103">
        <f>IF(ISBLANK(B20), "", IF(ISNUMBER(D20), IF(D20&gt;0, (COUNTIF(E20:AH20, "✓") + COUNTIF(E20:AH20, "✔") + COUNTIF(E20:AH20, "v") + COUNTIF(E20:AH20, "V")) &amp; "/" &amp; D20, (COUNTIF(E20:AH20, "✓") + COUNTIF(E20:AH20, "✔") + COUNTIF(E20:AH20, "v") + COUNTIF(E20:AH20, "V")) &amp; "/0"), IF(((COUNTIF(E20:AH20, "✓") + COUNTIF(E20:AH20, "✔") + COUNTIF(E20:AH20, "v") + COUNTIF(E20:AH20, "V")) + COUNTIF(E20:AH20, "✗") + COUNTIF(E20:AH20, "x") + COUNTIF(E20:AH20, "X"))&gt;0, (COUNTIF(E20:AH20, "✓") + COUNTIF(E20:AH20, "✔") + COUNTIF(E20:AH20, "v") + COUNTIF(E20:AH20, "V")) &amp; "/" &amp; ((COUNTIF(E20:AH20, "✓") + COUNTIF(E20:AH20, "✔") + COUNTIF(E20:AH20, "v") + COUNTIF(E20:AH20, "V")) + COUNTIF(E20:AH20, "✗") + COUNTIF(E20:AH20, "x") + COUNTIF(E20:AH20, "X")), "")))</f>
        <v/>
      </c>
      <c r="AK20" s="103">
        <f>IF(ISBLANK(B20), "", IF(AI20&gt;=0.85, "🔥 Mastered", IF(AI20&gt;=0.7, "⚡ Consistent", "⚠️ Needs Focus")))</f>
        <v/>
      </c>
      <c r="AL20">
        <f>COUNTIF(E20:AH20, "✓")</f>
        <v/>
      </c>
    </row>
    <row r="21" ht="14.5" customHeight="1">
      <c r="A21" s="97" t="n">
        <v>4</v>
      </c>
      <c r="B21" s="98" t="n"/>
      <c r="C21" s="99" t="n"/>
      <c r="D21" s="99" t="n"/>
      <c r="E21" s="100" t="n"/>
      <c r="F21" s="100" t="n"/>
      <c r="G21" s="101" t="n"/>
      <c r="H21" s="100" t="n"/>
      <c r="I21" s="100" t="n"/>
      <c r="J21" s="100" t="n"/>
      <c r="K21" s="100" t="n"/>
      <c r="L21" s="100" t="n"/>
      <c r="M21" s="100" t="n"/>
      <c r="N21" s="101" t="n"/>
      <c r="O21" s="100" t="n"/>
      <c r="P21" s="100" t="n"/>
      <c r="Q21" s="100" t="n"/>
      <c r="R21" s="100" t="n"/>
      <c r="S21" s="100" t="n"/>
      <c r="T21" s="100" t="n"/>
      <c r="U21" s="101" t="n"/>
      <c r="V21" s="100" t="n"/>
      <c r="W21" s="100" t="n"/>
      <c r="X21" s="100" t="n"/>
      <c r="Y21" s="100" t="n"/>
      <c r="Z21" s="100" t="n"/>
      <c r="AA21" s="100" t="n"/>
      <c r="AB21" s="101" t="n"/>
      <c r="AC21" s="100" t="n"/>
      <c r="AD21" s="100" t="n"/>
      <c r="AE21" s="100" t="n"/>
      <c r="AF21" s="100" t="n"/>
      <c r="AG21" s="100" t="n"/>
      <c r="AH21" s="100" t="n"/>
      <c r="AI21" s="102">
        <f>IF(ISBLANK(B21), "", IF(ISNUMBER(D21), IF(D21&gt;0, (COUNTIF(E21:AH21, "✓") + COUNTIF(E21:AH21, "✔") + COUNTIF(E21:AH21, "v") + COUNTIF(E21:AH21, "V"))/D21, 0), IF(((COUNTIF(E21:AH21, "✓") + COUNTIF(E21:AH21, "✔") + COUNTIF(E21:AH21, "v") + COUNTIF(E21:AH21, "V")) + COUNTIF(E21:AH21, "✗") + COUNTIF(E21:AH21, "x") + COUNTIF(E21:AH21, "X"))&gt;0, (COUNTIF(E21:AH21, "✓") + COUNTIF(E21:AH21, "✔") + COUNTIF(E21:AH21, "v") + COUNTIF(E21:AH21, "V"))/((COUNTIF(E21:AH21, "✓") + COUNTIF(E21:AH21, "✔") + COUNTIF(E21:AH21, "v") + COUNTIF(E21:AH21, "V")) + COUNTIF(E21:AH21, "✗") + COUNTIF(E21:AH21, "x") + COUNTIF(E21:AH21, "X")), "")))</f>
        <v/>
      </c>
      <c r="AJ21" s="103">
        <f>IF(ISBLANK(B21), "", IF(ISNUMBER(D21), IF(D21&gt;0, (COUNTIF(E21:AH21, "✓") + COUNTIF(E21:AH21, "✔") + COUNTIF(E21:AH21, "v") + COUNTIF(E21:AH21, "V")) &amp; "/" &amp; D21, (COUNTIF(E21:AH21, "✓") + COUNTIF(E21:AH21, "✔") + COUNTIF(E21:AH21, "v") + COUNTIF(E21:AH21, "V")) &amp; "/0"), IF(((COUNTIF(E21:AH21, "✓") + COUNTIF(E21:AH21, "✔") + COUNTIF(E21:AH21, "v") + COUNTIF(E21:AH21, "V")) + COUNTIF(E21:AH21, "✗") + COUNTIF(E21:AH21, "x") + COUNTIF(E21:AH21, "X"))&gt;0, (COUNTIF(E21:AH21, "✓") + COUNTIF(E21:AH21, "✔") + COUNTIF(E21:AH21, "v") + COUNTIF(E21:AH21, "V")) &amp; "/" &amp; ((COUNTIF(E21:AH21, "✓") + COUNTIF(E21:AH21, "✔") + COUNTIF(E21:AH21, "v") + COUNTIF(E21:AH21, "V")) + COUNTIF(E21:AH21, "✗") + COUNTIF(E21:AH21, "x") + COUNTIF(E21:AH21, "X")), "")))</f>
        <v/>
      </c>
      <c r="AK21" s="103">
        <f>IF(ISBLANK(B21), "", IF(AI21&gt;=0.85, "🔥 Mastered", IF(AI21&gt;=0.7, "⚡ Consistent", "⚠️ Needs Focus")))</f>
        <v/>
      </c>
      <c r="AL21">
        <f>COUNTIF(E21:AH21, "✓")</f>
        <v/>
      </c>
    </row>
    <row r="22" ht="14.5" customHeight="1">
      <c r="A22" s="104" t="n">
        <v>5</v>
      </c>
      <c r="B22" s="105" t="n"/>
      <c r="C22" s="106" t="n"/>
      <c r="D22" s="106" t="n"/>
      <c r="E22" s="107" t="n"/>
      <c r="F22" s="107" t="n"/>
      <c r="G22" s="108" t="n"/>
      <c r="H22" s="107" t="n"/>
      <c r="I22" s="107" t="n"/>
      <c r="J22" s="107" t="n"/>
      <c r="K22" s="107" t="n"/>
      <c r="L22" s="107" t="n"/>
      <c r="M22" s="107" t="n"/>
      <c r="N22" s="108" t="n"/>
      <c r="O22" s="107" t="n"/>
      <c r="P22" s="107" t="n"/>
      <c r="Q22" s="107" t="n"/>
      <c r="R22" s="107" t="n"/>
      <c r="S22" s="107" t="n"/>
      <c r="T22" s="107" t="n"/>
      <c r="U22" s="108" t="n"/>
      <c r="V22" s="107" t="n"/>
      <c r="W22" s="107" t="n"/>
      <c r="X22" s="107" t="n"/>
      <c r="Y22" s="107" t="n"/>
      <c r="Z22" s="107" t="n"/>
      <c r="AA22" s="107" t="n"/>
      <c r="AB22" s="108" t="n"/>
      <c r="AC22" s="107" t="n"/>
      <c r="AD22" s="107" t="n"/>
      <c r="AE22" s="107" t="n"/>
      <c r="AF22" s="107" t="n"/>
      <c r="AG22" s="107" t="n"/>
      <c r="AH22" s="107" t="n"/>
      <c r="AI22" s="109">
        <f>IF(ISBLANK(B22), "", IF(ISNUMBER(D22), IF(D22&gt;0, (COUNTIF(E22:AH22, "✓") + COUNTIF(E22:AH22, "✔") + COUNTIF(E22:AH22, "v") + COUNTIF(E22:AH22, "V"))/D22, 0), IF(((COUNTIF(E22:AH22, "✓") + COUNTIF(E22:AH22, "✔") + COUNTIF(E22:AH22, "v") + COUNTIF(E22:AH22, "V")) + COUNTIF(E22:AH22, "✗") + COUNTIF(E22:AH22, "x") + COUNTIF(E22:AH22, "X"))&gt;0, (COUNTIF(E22:AH22, "✓") + COUNTIF(E22:AH22, "✔") + COUNTIF(E22:AH22, "v") + COUNTIF(E22:AH22, "V"))/((COUNTIF(E22:AH22, "✓") + COUNTIF(E22:AH22, "✔") + COUNTIF(E22:AH22, "v") + COUNTIF(E22:AH22, "V")) + COUNTIF(E22:AH22, "✗") + COUNTIF(E22:AH22, "x") + COUNTIF(E22:AH22, "X")), "")))</f>
        <v/>
      </c>
      <c r="AJ22" s="110">
        <f>IF(ISBLANK(B22), "", IF(ISNUMBER(D22), IF(D22&gt;0, (COUNTIF(E22:AH22, "✓") + COUNTIF(E22:AH22, "✔") + COUNTIF(E22:AH22, "v") + COUNTIF(E22:AH22, "V")) &amp; "/" &amp; D22, (COUNTIF(E22:AH22, "✓") + COUNTIF(E22:AH22, "✔") + COUNTIF(E22:AH22, "v") + COUNTIF(E22:AH22, "V")) &amp; "/0"), IF(((COUNTIF(E22:AH22, "✓") + COUNTIF(E22:AH22, "✔") + COUNTIF(E22:AH22, "v") + COUNTIF(E22:AH22, "V")) + COUNTIF(E22:AH22, "✗") + COUNTIF(E22:AH22, "x") + COUNTIF(E22:AH22, "X"))&gt;0, (COUNTIF(E22:AH22, "✓") + COUNTIF(E22:AH22, "✔") + COUNTIF(E22:AH22, "v") + COUNTIF(E22:AH22, "V")) &amp; "/" &amp; ((COUNTIF(E22:AH22, "✓") + COUNTIF(E22:AH22, "✔") + COUNTIF(E22:AH22, "v") + COUNTIF(E22:AH22, "V")) + COUNTIF(E22:AH22, "✗") + COUNTIF(E22:AH22, "x") + COUNTIF(E22:AH22, "X")), "")))</f>
        <v/>
      </c>
      <c r="AK22" s="110">
        <f>IF(ISBLANK(B22), "", IF(AI22&gt;=0.85, "🔥 Mastered", IF(AI22&gt;=0.7, "⚡ Consistent", "⚠️ Needs Focus")))</f>
        <v/>
      </c>
      <c r="AL22">
        <f>COUNTIF(E22:AH22, "✓")</f>
        <v/>
      </c>
    </row>
    <row r="23" ht="14.5" customHeight="1">
      <c r="A23" s="104" t="n">
        <v>6</v>
      </c>
      <c r="B23" s="105" t="n"/>
      <c r="C23" s="106" t="n"/>
      <c r="D23" s="106" t="n"/>
      <c r="E23" s="107" t="n"/>
      <c r="F23" s="107" t="n"/>
      <c r="G23" s="108" t="n"/>
      <c r="H23" s="107" t="n"/>
      <c r="I23" s="107" t="n"/>
      <c r="J23" s="107" t="n"/>
      <c r="K23" s="107" t="n"/>
      <c r="L23" s="107" t="n"/>
      <c r="M23" s="107" t="n"/>
      <c r="N23" s="108" t="n"/>
      <c r="O23" s="107" t="n"/>
      <c r="P23" s="107" t="n"/>
      <c r="Q23" s="107" t="n"/>
      <c r="R23" s="107" t="n"/>
      <c r="S23" s="107" t="n"/>
      <c r="T23" s="107" t="n"/>
      <c r="U23" s="108" t="n"/>
      <c r="V23" s="107" t="n"/>
      <c r="W23" s="107" t="n"/>
      <c r="X23" s="107" t="n"/>
      <c r="Y23" s="107" t="n"/>
      <c r="Z23" s="107" t="n"/>
      <c r="AA23" s="107" t="n"/>
      <c r="AB23" s="108" t="n"/>
      <c r="AC23" s="107" t="n"/>
      <c r="AD23" s="107" t="n"/>
      <c r="AE23" s="107" t="n"/>
      <c r="AF23" s="107" t="n"/>
      <c r="AG23" s="107" t="n"/>
      <c r="AH23" s="107" t="n"/>
      <c r="AI23" s="109">
        <f>IF(ISBLANK(B23), "", IF(ISNUMBER(D23), IF(D23&gt;0, (COUNTIF(E23:AH23, "✓") + COUNTIF(E23:AH23, "✔") + COUNTIF(E23:AH23, "v") + COUNTIF(E23:AH23, "V"))/D23, 0), IF(((COUNTIF(E23:AH23, "✓") + COUNTIF(E23:AH23, "✔") + COUNTIF(E23:AH23, "v") + COUNTIF(E23:AH23, "V")) + COUNTIF(E23:AH23, "✗") + COUNTIF(E23:AH23, "x") + COUNTIF(E23:AH23, "X"))&gt;0, (COUNTIF(E23:AH23, "✓") + COUNTIF(E23:AH23, "✔") + COUNTIF(E23:AH23, "v") + COUNTIF(E23:AH23, "V"))/((COUNTIF(E23:AH23, "✓") + COUNTIF(E23:AH23, "✔") + COUNTIF(E23:AH23, "v") + COUNTIF(E23:AH23, "V")) + COUNTIF(E23:AH23, "✗") + COUNTIF(E23:AH23, "x") + COUNTIF(E23:AH23, "X")), "")))</f>
        <v/>
      </c>
      <c r="AJ23" s="110">
        <f>IF(ISBLANK(B23), "", IF(ISNUMBER(D23), IF(D23&gt;0, (COUNTIF(E23:AH23, "✓") + COUNTIF(E23:AH23, "✔") + COUNTIF(E23:AH23, "v") + COUNTIF(E23:AH23, "V")) &amp; "/" &amp; D23, (COUNTIF(E23:AH23, "✓") + COUNTIF(E23:AH23, "✔") + COUNTIF(E23:AH23, "v") + COUNTIF(E23:AH23, "V")) &amp; "/0"), IF(((COUNTIF(E23:AH23, "✓") + COUNTIF(E23:AH23, "✔") + COUNTIF(E23:AH23, "v") + COUNTIF(E23:AH23, "V")) + COUNTIF(E23:AH23, "✗") + COUNTIF(E23:AH23, "x") + COUNTIF(E23:AH23, "X"))&gt;0, (COUNTIF(E23:AH23, "✓") + COUNTIF(E23:AH23, "✔") + COUNTIF(E23:AH23, "v") + COUNTIF(E23:AH23, "V")) &amp; "/" &amp; ((COUNTIF(E23:AH23, "✓") + COUNTIF(E23:AH23, "✔") + COUNTIF(E23:AH23, "v") + COUNTIF(E23:AH23, "V")) + COUNTIF(E23:AH23, "✗") + COUNTIF(E23:AH23, "x") + COUNTIF(E23:AH23, "X")), "")))</f>
        <v/>
      </c>
      <c r="AK23" s="110">
        <f>IF(ISBLANK(B23), "", IF(AI23&gt;=0.85, "🔥 Mastered", IF(AI23&gt;=0.7, "⚡ Consistent", "⚠️ Needs Focus")))</f>
        <v/>
      </c>
      <c r="AL23">
        <f>COUNTIF(E23:AH23, "✓")</f>
        <v/>
      </c>
    </row>
    <row r="24" ht="14.5" customHeight="1">
      <c r="A24" s="104" t="n">
        <v>7</v>
      </c>
      <c r="B24" s="105" t="n"/>
      <c r="C24" s="106" t="n"/>
      <c r="D24" s="106" t="n"/>
      <c r="E24" s="107" t="n"/>
      <c r="F24" s="107" t="n"/>
      <c r="G24" s="108" t="n"/>
      <c r="H24" s="107" t="n"/>
      <c r="I24" s="107" t="n"/>
      <c r="J24" s="107" t="n"/>
      <c r="K24" s="107" t="n"/>
      <c r="L24" s="107" t="n"/>
      <c r="M24" s="107" t="n"/>
      <c r="N24" s="108" t="n"/>
      <c r="O24" s="107" t="n"/>
      <c r="P24" s="107" t="n"/>
      <c r="Q24" s="107" t="n"/>
      <c r="R24" s="107" t="n"/>
      <c r="S24" s="107" t="n"/>
      <c r="T24" s="107" t="n"/>
      <c r="U24" s="108" t="n"/>
      <c r="V24" s="107" t="n"/>
      <c r="W24" s="107" t="n"/>
      <c r="X24" s="107" t="n"/>
      <c r="Y24" s="107" t="n"/>
      <c r="Z24" s="107" t="n"/>
      <c r="AA24" s="107" t="n"/>
      <c r="AB24" s="108" t="n"/>
      <c r="AC24" s="107" t="n"/>
      <c r="AD24" s="107" t="n"/>
      <c r="AE24" s="107" t="n"/>
      <c r="AF24" s="107" t="n"/>
      <c r="AG24" s="107" t="n"/>
      <c r="AH24" s="107" t="n"/>
      <c r="AI24" s="109">
        <f>IF(ISBLANK(B24), "", IF(ISNUMBER(D24), IF(D24&gt;0, (COUNTIF(E24:AH24, "✓") + COUNTIF(E24:AH24, "✔") + COUNTIF(E24:AH24, "v") + COUNTIF(E24:AH24, "V"))/D24, 0), IF(((COUNTIF(E24:AH24, "✓") + COUNTIF(E24:AH24, "✔") + COUNTIF(E24:AH24, "v") + COUNTIF(E24:AH24, "V")) + COUNTIF(E24:AH24, "✗") + COUNTIF(E24:AH24, "x") + COUNTIF(E24:AH24, "X"))&gt;0, (COUNTIF(E24:AH24, "✓") + COUNTIF(E24:AH24, "✔") + COUNTIF(E24:AH24, "v") + COUNTIF(E24:AH24, "V"))/((COUNTIF(E24:AH24, "✓") + COUNTIF(E24:AH24, "✔") + COUNTIF(E24:AH24, "v") + COUNTIF(E24:AH24, "V")) + COUNTIF(E24:AH24, "✗") + COUNTIF(E24:AH24, "x") + COUNTIF(E24:AH24, "X")), "")))</f>
        <v/>
      </c>
      <c r="AJ24" s="110">
        <f>IF(ISBLANK(B24), "", IF(ISNUMBER(D24), IF(D24&gt;0, (COUNTIF(E24:AH24, "✓") + COUNTIF(E24:AH24, "✔") + COUNTIF(E24:AH24, "v") + COUNTIF(E24:AH24, "V")) &amp; "/" &amp; D24, (COUNTIF(E24:AH24, "✓") + COUNTIF(E24:AH24, "✔") + COUNTIF(E24:AH24, "v") + COUNTIF(E24:AH24, "V")) &amp; "/0"), IF(((COUNTIF(E24:AH24, "✓") + COUNTIF(E24:AH24, "✔") + COUNTIF(E24:AH24, "v") + COUNTIF(E24:AH24, "V")) + COUNTIF(E24:AH24, "✗") + COUNTIF(E24:AH24, "x") + COUNTIF(E24:AH24, "X"))&gt;0, (COUNTIF(E24:AH24, "✓") + COUNTIF(E24:AH24, "✔") + COUNTIF(E24:AH24, "v") + COUNTIF(E24:AH24, "V")) &amp; "/" &amp; ((COUNTIF(E24:AH24, "✓") + COUNTIF(E24:AH24, "✔") + COUNTIF(E24:AH24, "v") + COUNTIF(E24:AH24, "V")) + COUNTIF(E24:AH24, "✗") + COUNTIF(E24:AH24, "x") + COUNTIF(E24:AH24, "X")), "")))</f>
        <v/>
      </c>
      <c r="AK24" s="110">
        <f>IF(ISBLANK(B24), "", IF(AI24&gt;=0.85, "🔥 Mastered", IF(AI24&gt;=0.7, "⚡ Consistent", "⚠️ Needs Focus")))</f>
        <v/>
      </c>
      <c r="AL24">
        <f>COUNTIF(E24:AH24, "✓")</f>
        <v/>
      </c>
    </row>
    <row r="25" ht="14.5" customHeight="1">
      <c r="A25" s="104" t="n">
        <v>8</v>
      </c>
      <c r="B25" s="105" t="n"/>
      <c r="C25" s="106" t="n"/>
      <c r="D25" s="106" t="n"/>
      <c r="E25" s="107" t="n"/>
      <c r="F25" s="107" t="n"/>
      <c r="G25" s="108" t="n"/>
      <c r="H25" s="107" t="n"/>
      <c r="I25" s="107" t="n"/>
      <c r="J25" s="107" t="n"/>
      <c r="K25" s="107" t="n"/>
      <c r="L25" s="107" t="n"/>
      <c r="M25" s="107" t="n"/>
      <c r="N25" s="108" t="n"/>
      <c r="O25" s="107" t="n"/>
      <c r="P25" s="107" t="n"/>
      <c r="Q25" s="107" t="n"/>
      <c r="R25" s="107" t="n"/>
      <c r="S25" s="107" t="n"/>
      <c r="T25" s="107" t="n"/>
      <c r="U25" s="108" t="n"/>
      <c r="V25" s="107" t="n"/>
      <c r="W25" s="107" t="n"/>
      <c r="X25" s="107" t="n"/>
      <c r="Y25" s="107" t="n"/>
      <c r="Z25" s="107" t="n"/>
      <c r="AA25" s="107" t="n"/>
      <c r="AB25" s="108" t="n"/>
      <c r="AC25" s="107" t="n"/>
      <c r="AD25" s="107" t="n"/>
      <c r="AE25" s="107" t="n"/>
      <c r="AF25" s="107" t="n"/>
      <c r="AG25" s="107" t="n"/>
      <c r="AH25" s="107" t="n"/>
      <c r="AI25" s="109">
        <f>IF(ISBLANK(B25), "", IF(ISNUMBER(D25), IF(D25&gt;0, (COUNTIF(E25:AH25, "✓") + COUNTIF(E25:AH25, "✔") + COUNTIF(E25:AH25, "v") + COUNTIF(E25:AH25, "V"))/D25, 0), IF(((COUNTIF(E25:AH25, "✓") + COUNTIF(E25:AH25, "✔") + COUNTIF(E25:AH25, "v") + COUNTIF(E25:AH25, "V")) + COUNTIF(E25:AH25, "✗") + COUNTIF(E25:AH25, "x") + COUNTIF(E25:AH25, "X"))&gt;0, (COUNTIF(E25:AH25, "✓") + COUNTIF(E25:AH25, "✔") + COUNTIF(E25:AH25, "v") + COUNTIF(E25:AH25, "V"))/((COUNTIF(E25:AH25, "✓") + COUNTIF(E25:AH25, "✔") + COUNTIF(E25:AH25, "v") + COUNTIF(E25:AH25, "V")) + COUNTIF(E25:AH25, "✗") + COUNTIF(E25:AH25, "x") + COUNTIF(E25:AH25, "X")), "")))</f>
        <v/>
      </c>
      <c r="AJ25" s="110">
        <f>IF(ISBLANK(B25), "", IF(ISNUMBER(D25), IF(D25&gt;0, (COUNTIF(E25:AH25, "✓") + COUNTIF(E25:AH25, "✔") + COUNTIF(E25:AH25, "v") + COUNTIF(E25:AH25, "V")) &amp; "/" &amp; D25, (COUNTIF(E25:AH25, "✓") + COUNTIF(E25:AH25, "✔") + COUNTIF(E25:AH25, "v") + COUNTIF(E25:AH25, "V")) &amp; "/0"), IF(((COUNTIF(E25:AH25, "✓") + COUNTIF(E25:AH25, "✔") + COUNTIF(E25:AH25, "v") + COUNTIF(E25:AH25, "V")) + COUNTIF(E25:AH25, "✗") + COUNTIF(E25:AH25, "x") + COUNTIF(E25:AH25, "X"))&gt;0, (COUNTIF(E25:AH25, "✓") + COUNTIF(E25:AH25, "✔") + COUNTIF(E25:AH25, "v") + COUNTIF(E25:AH25, "V")) &amp; "/" &amp; ((COUNTIF(E25:AH25, "✓") + COUNTIF(E25:AH25, "✔") + COUNTIF(E25:AH25, "v") + COUNTIF(E25:AH25, "V")) + COUNTIF(E25:AH25, "✗") + COUNTIF(E25:AH25, "x") + COUNTIF(E25:AH25, "X")), "")))</f>
        <v/>
      </c>
      <c r="AK25" s="110">
        <f>IF(ISBLANK(B25), "", IF(AI25&gt;=0.85, "🔥 Mastered", IF(AI25&gt;=0.7, "⚡ Consistent", "⚠️ Needs Focus")))</f>
        <v/>
      </c>
      <c r="AL25">
        <f>COUNTIF(E25:AH25, "✓")</f>
        <v/>
      </c>
    </row>
    <row r="26" ht="14.5" customHeight="1">
      <c r="A26" s="111" t="n">
        <v>9</v>
      </c>
      <c r="B26" s="112" t="n"/>
      <c r="C26" s="113" t="n"/>
      <c r="D26" s="113" t="n"/>
      <c r="E26" s="114" t="n"/>
      <c r="F26" s="114" t="n"/>
      <c r="G26" s="115" t="n"/>
      <c r="H26" s="114" t="n"/>
      <c r="I26" s="114" t="n"/>
      <c r="J26" s="114" t="n"/>
      <c r="K26" s="114" t="n"/>
      <c r="L26" s="114" t="n"/>
      <c r="M26" s="114" t="n"/>
      <c r="N26" s="115" t="n"/>
      <c r="O26" s="114" t="n"/>
      <c r="P26" s="114" t="n"/>
      <c r="Q26" s="114" t="n"/>
      <c r="R26" s="114" t="n"/>
      <c r="S26" s="114" t="n"/>
      <c r="T26" s="114" t="n"/>
      <c r="U26" s="115" t="n"/>
      <c r="V26" s="114" t="n"/>
      <c r="W26" s="114" t="n"/>
      <c r="X26" s="114" t="n"/>
      <c r="Y26" s="114" t="n"/>
      <c r="Z26" s="114" t="n"/>
      <c r="AA26" s="114" t="n"/>
      <c r="AB26" s="115" t="n"/>
      <c r="AC26" s="114" t="n"/>
      <c r="AD26" s="114" t="n"/>
      <c r="AE26" s="114" t="n"/>
      <c r="AF26" s="114" t="n"/>
      <c r="AG26" s="114" t="n"/>
      <c r="AH26" s="114" t="n"/>
      <c r="AI26" s="116">
        <f>IF(ISBLANK(B26), "", IF(ISNUMBER(D26), IF(D26&gt;0, (COUNTIF(E26:AH26, "✓") + COUNTIF(E26:AH26, "✔") + COUNTIF(E26:AH26, "v") + COUNTIF(E26:AH26, "V"))/D26, 0), IF(((COUNTIF(E26:AH26, "✓") + COUNTIF(E26:AH26, "✔") + COUNTIF(E26:AH26, "v") + COUNTIF(E26:AH26, "V")) + COUNTIF(E26:AH26, "✗") + COUNTIF(E26:AH26, "x") + COUNTIF(E26:AH26, "X"))&gt;0, (COUNTIF(E26:AH26, "✓") + COUNTIF(E26:AH26, "✔") + COUNTIF(E26:AH26, "v") + COUNTIF(E26:AH26, "V"))/((COUNTIF(E26:AH26, "✓") + COUNTIF(E26:AH26, "✔") + COUNTIF(E26:AH26, "v") + COUNTIF(E26:AH26, "V")) + COUNTIF(E26:AH26, "✗") + COUNTIF(E26:AH26, "x") + COUNTIF(E26:AH26, "X")), "")))</f>
        <v/>
      </c>
      <c r="AJ26" s="117">
        <f>IF(ISBLANK(B26), "", IF(ISNUMBER(D26), IF(D26&gt;0, (COUNTIF(E26:AH26, "✓") + COUNTIF(E26:AH26, "✔") + COUNTIF(E26:AH26, "v") + COUNTIF(E26:AH26, "V")) &amp; "/" &amp; D26, (COUNTIF(E26:AH26, "✓") + COUNTIF(E26:AH26, "✔") + COUNTIF(E26:AH26, "v") + COUNTIF(E26:AH26, "V")) &amp; "/0"), IF(((COUNTIF(E26:AH26, "✓") + COUNTIF(E26:AH26, "✔") + COUNTIF(E26:AH26, "v") + COUNTIF(E26:AH26, "V")) + COUNTIF(E26:AH26, "✗") + COUNTIF(E26:AH26, "x") + COUNTIF(E26:AH26, "X"))&gt;0, (COUNTIF(E26:AH26, "✓") + COUNTIF(E26:AH26, "✔") + COUNTIF(E26:AH26, "v") + COUNTIF(E26:AH26, "V")) &amp; "/" &amp; ((COUNTIF(E26:AH26, "✓") + COUNTIF(E26:AH26, "✔") + COUNTIF(E26:AH26, "v") + COUNTIF(E26:AH26, "V")) + COUNTIF(E26:AH26, "✗") + COUNTIF(E26:AH26, "x") + COUNTIF(E26:AH26, "X")), "")))</f>
        <v/>
      </c>
      <c r="AK26" s="117">
        <f>IF(ISBLANK(B26), "", IF(AI26&gt;=0.85, "🔥 Mastered", IF(AI26&gt;=0.7, "⚡ Consistent", "⚠️ Needs Focus")))</f>
        <v/>
      </c>
      <c r="AL26">
        <f>COUNTIF(E26:AH26, "✓")</f>
        <v/>
      </c>
    </row>
    <row r="27" ht="14.5" customHeight="1">
      <c r="A27" s="111" t="n">
        <v>10</v>
      </c>
      <c r="B27" s="112" t="n"/>
      <c r="C27" s="113" t="n"/>
      <c r="D27" s="113" t="n"/>
      <c r="E27" s="114" t="n"/>
      <c r="F27" s="114" t="n"/>
      <c r="G27" s="115" t="n"/>
      <c r="H27" s="114" t="n"/>
      <c r="I27" s="114" t="n"/>
      <c r="J27" s="114" t="n"/>
      <c r="K27" s="114" t="n"/>
      <c r="L27" s="114" t="n"/>
      <c r="M27" s="114" t="n"/>
      <c r="N27" s="115" t="n"/>
      <c r="O27" s="114" t="n"/>
      <c r="P27" s="114" t="n"/>
      <c r="Q27" s="114" t="n"/>
      <c r="R27" s="114" t="n"/>
      <c r="S27" s="114" t="n"/>
      <c r="T27" s="114" t="n"/>
      <c r="U27" s="115" t="n"/>
      <c r="V27" s="114" t="n"/>
      <c r="W27" s="114" t="n"/>
      <c r="X27" s="114" t="n"/>
      <c r="Y27" s="114" t="n"/>
      <c r="Z27" s="114" t="n"/>
      <c r="AA27" s="114" t="n"/>
      <c r="AB27" s="115" t="n"/>
      <c r="AC27" s="114" t="n"/>
      <c r="AD27" s="114" t="n"/>
      <c r="AE27" s="114" t="n"/>
      <c r="AF27" s="114" t="n"/>
      <c r="AG27" s="114" t="n"/>
      <c r="AH27" s="114" t="n"/>
      <c r="AI27" s="116">
        <f>IF(ISBLANK(B27), "", IF(ISNUMBER(D27), IF(D27&gt;0, (COUNTIF(E27:AH27, "✓") + COUNTIF(E27:AH27, "✔") + COUNTIF(E27:AH27, "v") + COUNTIF(E27:AH27, "V"))/D27, 0), IF(((COUNTIF(E27:AH27, "✓") + COUNTIF(E27:AH27, "✔") + COUNTIF(E27:AH27, "v") + COUNTIF(E27:AH27, "V")) + COUNTIF(E27:AH27, "✗") + COUNTIF(E27:AH27, "x") + COUNTIF(E27:AH27, "X"))&gt;0, (COUNTIF(E27:AH27, "✓") + COUNTIF(E27:AH27, "✔") + COUNTIF(E27:AH27, "v") + COUNTIF(E27:AH27, "V"))/((COUNTIF(E27:AH27, "✓") + COUNTIF(E27:AH27, "✔") + COUNTIF(E27:AH27, "v") + COUNTIF(E27:AH27, "V")) + COUNTIF(E27:AH27, "✗") + COUNTIF(E27:AH27, "x") + COUNTIF(E27:AH27, "X")), "")))</f>
        <v/>
      </c>
      <c r="AJ27" s="117">
        <f>IF(ISBLANK(B27), "", IF(ISNUMBER(D27), IF(D27&gt;0, (COUNTIF(E27:AH27, "✓") + COUNTIF(E27:AH27, "✔") + COUNTIF(E27:AH27, "v") + COUNTIF(E27:AH27, "V")) &amp; "/" &amp; D27, (COUNTIF(E27:AH27, "✓") + COUNTIF(E27:AH27, "✔") + COUNTIF(E27:AH27, "v") + COUNTIF(E27:AH27, "V")) &amp; "/0"), IF(((COUNTIF(E27:AH27, "✓") + COUNTIF(E27:AH27, "✔") + COUNTIF(E27:AH27, "v") + COUNTIF(E27:AH27, "V")) + COUNTIF(E27:AH27, "✗") + COUNTIF(E27:AH27, "x") + COUNTIF(E27:AH27, "X"))&gt;0, (COUNTIF(E27:AH27, "✓") + COUNTIF(E27:AH27, "✔") + COUNTIF(E27:AH27, "v") + COUNTIF(E27:AH27, "V")) &amp; "/" &amp; ((COUNTIF(E27:AH27, "✓") + COUNTIF(E27:AH27, "✔") + COUNTIF(E27:AH27, "v") + COUNTIF(E27:AH27, "V")) + COUNTIF(E27:AH27, "✗") + COUNTIF(E27:AH27, "x") + COUNTIF(E27:AH27, "X")), "")))</f>
        <v/>
      </c>
      <c r="AK27" s="117">
        <f>IF(ISBLANK(B27), "", IF(AI27&gt;=0.85, "🔥 Mastered", IF(AI27&gt;=0.7, "⚡ Consistent", "⚠️ Needs Focus")))</f>
        <v/>
      </c>
      <c r="AL27">
        <f>COUNTIF(E27:AH27, "✓")</f>
        <v/>
      </c>
    </row>
    <row r="28" ht="14.5" customHeight="1">
      <c r="A28" s="111" t="n">
        <v>11</v>
      </c>
      <c r="B28" s="112" t="n"/>
      <c r="C28" s="113" t="n"/>
      <c r="D28" s="113" t="n"/>
      <c r="E28" s="114" t="n"/>
      <c r="F28" s="114" t="n"/>
      <c r="G28" s="115" t="n"/>
      <c r="H28" s="114" t="n"/>
      <c r="I28" s="114" t="n"/>
      <c r="J28" s="114" t="n"/>
      <c r="K28" s="114" t="n"/>
      <c r="L28" s="114" t="n"/>
      <c r="M28" s="114" t="n"/>
      <c r="N28" s="115" t="n"/>
      <c r="O28" s="114" t="n"/>
      <c r="P28" s="114" t="n"/>
      <c r="Q28" s="114" t="n"/>
      <c r="R28" s="114" t="n"/>
      <c r="S28" s="114" t="n"/>
      <c r="T28" s="114" t="n"/>
      <c r="U28" s="115" t="n"/>
      <c r="V28" s="114" t="n"/>
      <c r="W28" s="114" t="n"/>
      <c r="X28" s="114" t="n"/>
      <c r="Y28" s="114" t="n"/>
      <c r="Z28" s="114" t="n"/>
      <c r="AA28" s="114" t="n"/>
      <c r="AB28" s="115" t="n"/>
      <c r="AC28" s="114" t="n"/>
      <c r="AD28" s="114" t="n"/>
      <c r="AE28" s="114" t="n"/>
      <c r="AF28" s="114" t="n"/>
      <c r="AG28" s="114" t="n"/>
      <c r="AH28" s="114" t="n"/>
      <c r="AI28" s="116">
        <f>IF(ISBLANK(B28), "", IF(ISNUMBER(D28), IF(D28&gt;0, (COUNTIF(E28:AH28, "✓") + COUNTIF(E28:AH28, "✔") + COUNTIF(E28:AH28, "v") + COUNTIF(E28:AH28, "V"))/D28, 0), IF(((COUNTIF(E28:AH28, "✓") + COUNTIF(E28:AH28, "✔") + COUNTIF(E28:AH28, "v") + COUNTIF(E28:AH28, "V")) + COUNTIF(E28:AH28, "✗") + COUNTIF(E28:AH28, "x") + COUNTIF(E28:AH28, "X"))&gt;0, (COUNTIF(E28:AH28, "✓") + COUNTIF(E28:AH28, "✔") + COUNTIF(E28:AH28, "v") + COUNTIF(E28:AH28, "V"))/((COUNTIF(E28:AH28, "✓") + COUNTIF(E28:AH28, "✔") + COUNTIF(E28:AH28, "v") + COUNTIF(E28:AH28, "V")) + COUNTIF(E28:AH28, "✗") + COUNTIF(E28:AH28, "x") + COUNTIF(E28:AH28, "X")), "")))</f>
        <v/>
      </c>
      <c r="AJ28" s="117">
        <f>IF(ISBLANK(B28), "", IF(ISNUMBER(D28), IF(D28&gt;0, (COUNTIF(E28:AH28, "✓") + COUNTIF(E28:AH28, "✔") + COUNTIF(E28:AH28, "v") + COUNTIF(E28:AH28, "V")) &amp; "/" &amp; D28, (COUNTIF(E28:AH28, "✓") + COUNTIF(E28:AH28, "✔") + COUNTIF(E28:AH28, "v") + COUNTIF(E28:AH28, "V")) &amp; "/0"), IF(((COUNTIF(E28:AH28, "✓") + COUNTIF(E28:AH28, "✔") + COUNTIF(E28:AH28, "v") + COUNTIF(E28:AH28, "V")) + COUNTIF(E28:AH28, "✗") + COUNTIF(E28:AH28, "x") + COUNTIF(E28:AH28, "X"))&gt;0, (COUNTIF(E28:AH28, "✓") + COUNTIF(E28:AH28, "✔") + COUNTIF(E28:AH28, "v") + COUNTIF(E28:AH28, "V")) &amp; "/" &amp; ((COUNTIF(E28:AH28, "✓") + COUNTIF(E28:AH28, "✔") + COUNTIF(E28:AH28, "v") + COUNTIF(E28:AH28, "V")) + COUNTIF(E28:AH28, "✗") + COUNTIF(E28:AH28, "x") + COUNTIF(E28:AH28, "X")), "")))</f>
        <v/>
      </c>
      <c r="AK28" s="117">
        <f>IF(ISBLANK(B28), "", IF(AI28&gt;=0.85, "🔥 Mastered", IF(AI28&gt;=0.7, "⚡ Consistent", "⚠️ Needs Focus")))</f>
        <v/>
      </c>
      <c r="AL28">
        <f>COUNTIF(E28:AH28, "✓")</f>
        <v/>
      </c>
    </row>
    <row r="29" ht="14.5" customHeight="1">
      <c r="A29" s="111" t="n">
        <v>12</v>
      </c>
      <c r="B29" s="112" t="n"/>
      <c r="C29" s="113" t="n"/>
      <c r="D29" s="113" t="n"/>
      <c r="E29" s="114" t="n"/>
      <c r="F29" s="114" t="n"/>
      <c r="G29" s="115" t="n"/>
      <c r="H29" s="114" t="n"/>
      <c r="I29" s="114" t="n"/>
      <c r="J29" s="114" t="n"/>
      <c r="K29" s="114" t="n"/>
      <c r="L29" s="114" t="n"/>
      <c r="M29" s="114" t="n"/>
      <c r="N29" s="115" t="n"/>
      <c r="O29" s="114" t="n"/>
      <c r="P29" s="114" t="n"/>
      <c r="Q29" s="114" t="n"/>
      <c r="R29" s="114" t="n"/>
      <c r="S29" s="114" t="n"/>
      <c r="T29" s="114" t="n"/>
      <c r="U29" s="115" t="n"/>
      <c r="V29" s="114" t="n"/>
      <c r="W29" s="114" t="n"/>
      <c r="X29" s="114" t="n"/>
      <c r="Y29" s="114" t="n"/>
      <c r="Z29" s="114" t="n"/>
      <c r="AA29" s="114" t="n"/>
      <c r="AB29" s="115" t="n"/>
      <c r="AC29" s="114" t="n"/>
      <c r="AD29" s="114" t="n"/>
      <c r="AE29" s="114" t="n"/>
      <c r="AF29" s="114" t="n"/>
      <c r="AG29" s="114" t="n"/>
      <c r="AH29" s="114" t="n"/>
      <c r="AI29" s="116">
        <f>IF(ISBLANK(B29), "", IF(ISNUMBER(D29), IF(D29&gt;0, (COUNTIF(E29:AH29, "✓") + COUNTIF(E29:AH29, "✔") + COUNTIF(E29:AH29, "v") + COUNTIF(E29:AH29, "V"))/D29, 0), IF(((COUNTIF(E29:AH29, "✓") + COUNTIF(E29:AH29, "✔") + COUNTIF(E29:AH29, "v") + COUNTIF(E29:AH29, "V")) + COUNTIF(E29:AH29, "✗") + COUNTIF(E29:AH29, "x") + COUNTIF(E29:AH29, "X"))&gt;0, (COUNTIF(E29:AH29, "✓") + COUNTIF(E29:AH29, "✔") + COUNTIF(E29:AH29, "v") + COUNTIF(E29:AH29, "V"))/((COUNTIF(E29:AH29, "✓") + COUNTIF(E29:AH29, "✔") + COUNTIF(E29:AH29, "v") + COUNTIF(E29:AH29, "V")) + COUNTIF(E29:AH29, "✗") + COUNTIF(E29:AH29, "x") + COUNTIF(E29:AH29, "X")), "")))</f>
        <v/>
      </c>
      <c r="AJ29" s="117">
        <f>IF(ISBLANK(B29), "", IF(ISNUMBER(D29), IF(D29&gt;0, (COUNTIF(E29:AH29, "✓") + COUNTIF(E29:AH29, "✔") + COUNTIF(E29:AH29, "v") + COUNTIF(E29:AH29, "V")) &amp; "/" &amp; D29, (COUNTIF(E29:AH29, "✓") + COUNTIF(E29:AH29, "✔") + COUNTIF(E29:AH29, "v") + COUNTIF(E29:AH29, "V")) &amp; "/0"), IF(((COUNTIF(E29:AH29, "✓") + COUNTIF(E29:AH29, "✔") + COUNTIF(E29:AH29, "v") + COUNTIF(E29:AH29, "V")) + COUNTIF(E29:AH29, "✗") + COUNTIF(E29:AH29, "x") + COUNTIF(E29:AH29, "X"))&gt;0, (COUNTIF(E29:AH29, "✓") + COUNTIF(E29:AH29, "✔") + COUNTIF(E29:AH29, "v") + COUNTIF(E29:AH29, "V")) &amp; "/" &amp; ((COUNTIF(E29:AH29, "✓") + COUNTIF(E29:AH29, "✔") + COUNTIF(E29:AH29, "v") + COUNTIF(E29:AH29, "V")) + COUNTIF(E29:AH29, "✗") + COUNTIF(E29:AH29, "x") + COUNTIF(E29:AH29, "X")), "")))</f>
        <v/>
      </c>
      <c r="AK29" s="117">
        <f>IF(ISBLANK(B29), "", IF(AI29&gt;=0.85, "🔥 Mastered", IF(AI29&gt;=0.7, "⚡ Consistent", "⚠️ Needs Focus")))</f>
        <v/>
      </c>
      <c r="AL29">
        <f>COUNTIF(E29:AH29, "✓")</f>
        <v/>
      </c>
    </row>
    <row r="30" ht="14.5" customHeight="1">
      <c r="A30" s="118" t="n">
        <v>13</v>
      </c>
      <c r="B30" s="119" t="n"/>
      <c r="C30" s="120" t="n"/>
      <c r="D30" s="120" t="n"/>
      <c r="E30" s="121" t="n"/>
      <c r="F30" s="121" t="n"/>
      <c r="G30" s="122" t="n"/>
      <c r="H30" s="121" t="n"/>
      <c r="I30" s="121" t="n"/>
      <c r="J30" s="121" t="n"/>
      <c r="K30" s="121" t="n"/>
      <c r="L30" s="121" t="n"/>
      <c r="M30" s="121" t="n"/>
      <c r="N30" s="122" t="n"/>
      <c r="O30" s="121" t="n"/>
      <c r="P30" s="121" t="n"/>
      <c r="Q30" s="121" t="n"/>
      <c r="R30" s="121" t="n"/>
      <c r="S30" s="121" t="n"/>
      <c r="T30" s="121" t="n"/>
      <c r="U30" s="122" t="n"/>
      <c r="V30" s="121" t="n"/>
      <c r="W30" s="121" t="n"/>
      <c r="X30" s="121" t="n"/>
      <c r="Y30" s="121" t="n"/>
      <c r="Z30" s="121" t="n"/>
      <c r="AA30" s="121" t="n"/>
      <c r="AB30" s="122" t="n"/>
      <c r="AC30" s="121" t="n"/>
      <c r="AD30" s="121" t="n"/>
      <c r="AE30" s="121" t="n"/>
      <c r="AF30" s="121" t="n"/>
      <c r="AG30" s="121" t="n"/>
      <c r="AH30" s="121" t="n"/>
      <c r="AI30" s="123">
        <f>IF(ISBLANK(B30), "", IF(ISNUMBER(D30), IF(D30&gt;0, (COUNTIF(E30:AH30, "✓") + COUNTIF(E30:AH30, "✔") + COUNTIF(E30:AH30, "v") + COUNTIF(E30:AH30, "V"))/D30, 0), IF(((COUNTIF(E30:AH30, "✓") + COUNTIF(E30:AH30, "✔") + COUNTIF(E30:AH30, "v") + COUNTIF(E30:AH30, "V")) + COUNTIF(E30:AH30, "✗") + COUNTIF(E30:AH30, "x") + COUNTIF(E30:AH30, "X"))&gt;0, (COUNTIF(E30:AH30, "✓") + COUNTIF(E30:AH30, "✔") + COUNTIF(E30:AH30, "v") + COUNTIF(E30:AH30, "V"))/((COUNTIF(E30:AH30, "✓") + COUNTIF(E30:AH30, "✔") + COUNTIF(E30:AH30, "v") + COUNTIF(E30:AH30, "V")) + COUNTIF(E30:AH30, "✗") + COUNTIF(E30:AH30, "x") + COUNTIF(E30:AH30, "X")), "")))</f>
        <v/>
      </c>
      <c r="AJ30" s="124">
        <f>IF(ISBLANK(B30), "", IF(ISNUMBER(D30), IF(D30&gt;0, (COUNTIF(E30:AH30, "✓") + COUNTIF(E30:AH30, "✔") + COUNTIF(E30:AH30, "v") + COUNTIF(E30:AH30, "V")) &amp; "/" &amp; D30, (COUNTIF(E30:AH30, "✓") + COUNTIF(E30:AH30, "✔") + COUNTIF(E30:AH30, "v") + COUNTIF(E30:AH30, "V")) &amp; "/0"), IF(((COUNTIF(E30:AH30, "✓") + COUNTIF(E30:AH30, "✔") + COUNTIF(E30:AH30, "v") + COUNTIF(E30:AH30, "V")) + COUNTIF(E30:AH30, "✗") + COUNTIF(E30:AH30, "x") + COUNTIF(E30:AH30, "X"))&gt;0, (COUNTIF(E30:AH30, "✓") + COUNTIF(E30:AH30, "✔") + COUNTIF(E30:AH30, "v") + COUNTIF(E30:AH30, "V")) &amp; "/" &amp; ((COUNTIF(E30:AH30, "✓") + COUNTIF(E30:AH30, "✔") + COUNTIF(E30:AH30, "v") + COUNTIF(E30:AH30, "V")) + COUNTIF(E30:AH30, "✗") + COUNTIF(E30:AH30, "x") + COUNTIF(E30:AH30, "X")), "")))</f>
        <v/>
      </c>
      <c r="AK30" s="124">
        <f>IF(ISBLANK(B30), "", IF(AI30&gt;=0.85, "🔥 Mastered", IF(AI30&gt;=0.7, "⚡ Consistent", "⚠️ Needs Focus")))</f>
        <v/>
      </c>
      <c r="AL30">
        <f>COUNTIF(E30:AH30, "✓")</f>
        <v/>
      </c>
    </row>
    <row r="31" ht="14.5" customHeight="1">
      <c r="A31" s="118" t="n">
        <v>14</v>
      </c>
      <c r="B31" s="119" t="n"/>
      <c r="C31" s="120" t="n"/>
      <c r="D31" s="120" t="n"/>
      <c r="E31" s="121" t="n"/>
      <c r="F31" s="121" t="n"/>
      <c r="G31" s="122" t="n"/>
      <c r="H31" s="121" t="n"/>
      <c r="I31" s="121" t="n"/>
      <c r="J31" s="121" t="n"/>
      <c r="K31" s="121" t="n"/>
      <c r="L31" s="121" t="n"/>
      <c r="M31" s="121" t="n"/>
      <c r="N31" s="122" t="n"/>
      <c r="O31" s="121" t="n"/>
      <c r="P31" s="121" t="n"/>
      <c r="Q31" s="121" t="n"/>
      <c r="R31" s="121" t="n"/>
      <c r="S31" s="121" t="n"/>
      <c r="T31" s="121" t="n"/>
      <c r="U31" s="122" t="n"/>
      <c r="V31" s="121" t="n"/>
      <c r="W31" s="121" t="n"/>
      <c r="X31" s="121" t="n"/>
      <c r="Y31" s="121" t="n"/>
      <c r="Z31" s="121" t="n"/>
      <c r="AA31" s="121" t="n"/>
      <c r="AB31" s="122" t="n"/>
      <c r="AC31" s="121" t="n"/>
      <c r="AD31" s="121" t="n"/>
      <c r="AE31" s="121" t="n"/>
      <c r="AF31" s="121" t="n"/>
      <c r="AG31" s="121" t="n"/>
      <c r="AH31" s="121" t="n"/>
      <c r="AI31" s="123">
        <f>IF(ISBLANK(B31), "", IF(ISNUMBER(D31), IF(D31&gt;0, (COUNTIF(E31:AH31, "✓") + COUNTIF(E31:AH31, "✔") + COUNTIF(E31:AH31, "v") + COUNTIF(E31:AH31, "V"))/D31, 0), IF(((COUNTIF(E31:AH31, "✓") + COUNTIF(E31:AH31, "✔") + COUNTIF(E31:AH31, "v") + COUNTIF(E31:AH31, "V")) + COUNTIF(E31:AH31, "✗") + COUNTIF(E31:AH31, "x") + COUNTIF(E31:AH31, "X"))&gt;0, (COUNTIF(E31:AH31, "✓") + COUNTIF(E31:AH31, "✔") + COUNTIF(E31:AH31, "v") + COUNTIF(E31:AH31, "V"))/((COUNTIF(E31:AH31, "✓") + COUNTIF(E31:AH31, "✔") + COUNTIF(E31:AH31, "v") + COUNTIF(E31:AH31, "V")) + COUNTIF(E31:AH31, "✗") + COUNTIF(E31:AH31, "x") + COUNTIF(E31:AH31, "X")), "")))</f>
        <v/>
      </c>
      <c r="AJ31" s="124">
        <f>IF(ISBLANK(B31), "", IF(ISNUMBER(D31), IF(D31&gt;0, (COUNTIF(E31:AH31, "✓") + COUNTIF(E31:AH31, "✔") + COUNTIF(E31:AH31, "v") + COUNTIF(E31:AH31, "V")) &amp; "/" &amp; D31, (COUNTIF(E31:AH31, "✓") + COUNTIF(E31:AH31, "✔") + COUNTIF(E31:AH31, "v") + COUNTIF(E31:AH31, "V")) &amp; "/0"), IF(((COUNTIF(E31:AH31, "✓") + COUNTIF(E31:AH31, "✔") + COUNTIF(E31:AH31, "v") + COUNTIF(E31:AH31, "V")) + COUNTIF(E31:AH31, "✗") + COUNTIF(E31:AH31, "x") + COUNTIF(E31:AH31, "X"))&gt;0, (COUNTIF(E31:AH31, "✓") + COUNTIF(E31:AH31, "✔") + COUNTIF(E31:AH31, "v") + COUNTIF(E31:AH31, "V")) &amp; "/" &amp; ((COUNTIF(E31:AH31, "✓") + COUNTIF(E31:AH31, "✔") + COUNTIF(E31:AH31, "v") + COUNTIF(E31:AH31, "V")) + COUNTIF(E31:AH31, "✗") + COUNTIF(E31:AH31, "x") + COUNTIF(E31:AH31, "X")), "")))</f>
        <v/>
      </c>
      <c r="AK31" s="124">
        <f>IF(ISBLANK(B31), "", IF(AI31&gt;=0.85, "🔥 Mastered", IF(AI31&gt;=0.7, "⚡ Consistent", "⚠️ Needs Focus")))</f>
        <v/>
      </c>
      <c r="AL31">
        <f>COUNTIF(E31:AH31, "✓")</f>
        <v/>
      </c>
    </row>
    <row r="32" ht="14.5" customHeight="1">
      <c r="A32" s="118" t="n">
        <v>15</v>
      </c>
      <c r="B32" s="119" t="n"/>
      <c r="C32" s="120" t="n"/>
      <c r="D32" s="120" t="n"/>
      <c r="E32" s="121" t="n"/>
      <c r="F32" s="121" t="n"/>
      <c r="G32" s="122" t="n"/>
      <c r="H32" s="121" t="n"/>
      <c r="I32" s="121" t="n"/>
      <c r="J32" s="121" t="n"/>
      <c r="K32" s="121" t="n"/>
      <c r="L32" s="121" t="n"/>
      <c r="M32" s="121" t="n"/>
      <c r="N32" s="122" t="n"/>
      <c r="O32" s="121" t="n"/>
      <c r="P32" s="121" t="n"/>
      <c r="Q32" s="121" t="n"/>
      <c r="R32" s="121" t="n"/>
      <c r="S32" s="121" t="n"/>
      <c r="T32" s="121" t="n"/>
      <c r="U32" s="122" t="n"/>
      <c r="V32" s="121" t="n"/>
      <c r="W32" s="121" t="n"/>
      <c r="X32" s="121" t="n"/>
      <c r="Y32" s="121" t="n"/>
      <c r="Z32" s="121" t="n"/>
      <c r="AA32" s="121" t="n"/>
      <c r="AB32" s="122" t="n"/>
      <c r="AC32" s="121" t="n"/>
      <c r="AD32" s="121" t="n"/>
      <c r="AE32" s="121" t="n"/>
      <c r="AF32" s="121" t="n"/>
      <c r="AG32" s="121" t="n"/>
      <c r="AH32" s="121" t="n"/>
      <c r="AI32" s="123">
        <f>IF(ISBLANK(B32), "", IF(ISNUMBER(D32), IF(D32&gt;0, (COUNTIF(E32:AH32, "✓") + COUNTIF(E32:AH32, "✔") + COUNTIF(E32:AH32, "v") + COUNTIF(E32:AH32, "V"))/D32, 0), IF(((COUNTIF(E32:AH32, "✓") + COUNTIF(E32:AH32, "✔") + COUNTIF(E32:AH32, "v") + COUNTIF(E32:AH32, "V")) + COUNTIF(E32:AH32, "✗") + COUNTIF(E32:AH32, "x") + COUNTIF(E32:AH32, "X"))&gt;0, (COUNTIF(E32:AH32, "✓") + COUNTIF(E32:AH32, "✔") + COUNTIF(E32:AH32, "v") + COUNTIF(E32:AH32, "V"))/((COUNTIF(E32:AH32, "✓") + COUNTIF(E32:AH32, "✔") + COUNTIF(E32:AH32, "v") + COUNTIF(E32:AH32, "V")) + COUNTIF(E32:AH32, "✗") + COUNTIF(E32:AH32, "x") + COUNTIF(E32:AH32, "X")), "")))</f>
        <v/>
      </c>
      <c r="AJ32" s="124">
        <f>IF(ISBLANK(B32), "", IF(ISNUMBER(D32), IF(D32&gt;0, (COUNTIF(E32:AH32, "✓") + COUNTIF(E32:AH32, "✔") + COUNTIF(E32:AH32, "v") + COUNTIF(E32:AH32, "V")) &amp; "/" &amp; D32, (COUNTIF(E32:AH32, "✓") + COUNTIF(E32:AH32, "✔") + COUNTIF(E32:AH32, "v") + COUNTIF(E32:AH32, "V")) &amp; "/0"), IF(((COUNTIF(E32:AH32, "✓") + COUNTIF(E32:AH32, "✔") + COUNTIF(E32:AH32, "v") + COUNTIF(E32:AH32, "V")) + COUNTIF(E32:AH32, "✗") + COUNTIF(E32:AH32, "x") + COUNTIF(E32:AH32, "X"))&gt;0, (COUNTIF(E32:AH32, "✓") + COUNTIF(E32:AH32, "✔") + COUNTIF(E32:AH32, "v") + COUNTIF(E32:AH32, "V")) &amp; "/" &amp; ((COUNTIF(E32:AH32, "✓") + COUNTIF(E32:AH32, "✔") + COUNTIF(E32:AH32, "v") + COUNTIF(E32:AH32, "V")) + COUNTIF(E32:AH32, "✗") + COUNTIF(E32:AH32, "x") + COUNTIF(E32:AH32, "X")), "")))</f>
        <v/>
      </c>
      <c r="AK32" s="124">
        <f>IF(ISBLANK(B32), "", IF(AI32&gt;=0.85, "🔥 Mastered", IF(AI32&gt;=0.7, "⚡ Consistent", "⚠️ Needs Focus")))</f>
        <v/>
      </c>
      <c r="AL32">
        <f>COUNTIF(E32:AH32, "✓")</f>
        <v/>
      </c>
    </row>
    <row r="33" ht="14.5" customHeight="1">
      <c r="A33" s="118" t="n">
        <v>16</v>
      </c>
      <c r="B33" s="119" t="n"/>
      <c r="C33" s="120" t="n"/>
      <c r="D33" s="120" t="n"/>
      <c r="E33" s="121" t="n"/>
      <c r="F33" s="121" t="n"/>
      <c r="G33" s="122" t="n"/>
      <c r="H33" s="121" t="n"/>
      <c r="I33" s="121" t="n"/>
      <c r="J33" s="121" t="n"/>
      <c r="K33" s="121" t="n"/>
      <c r="L33" s="121" t="n"/>
      <c r="M33" s="121" t="n"/>
      <c r="N33" s="122" t="n"/>
      <c r="O33" s="121" t="n"/>
      <c r="P33" s="121" t="n"/>
      <c r="Q33" s="121" t="n"/>
      <c r="R33" s="121" t="n"/>
      <c r="S33" s="121" t="n"/>
      <c r="T33" s="121" t="n"/>
      <c r="U33" s="122" t="n"/>
      <c r="V33" s="121" t="n"/>
      <c r="W33" s="121" t="n"/>
      <c r="X33" s="121" t="n"/>
      <c r="Y33" s="121" t="n"/>
      <c r="Z33" s="121" t="n"/>
      <c r="AA33" s="121" t="n"/>
      <c r="AB33" s="122" t="n"/>
      <c r="AC33" s="121" t="n"/>
      <c r="AD33" s="121" t="n"/>
      <c r="AE33" s="121" t="n"/>
      <c r="AF33" s="121" t="n"/>
      <c r="AG33" s="121" t="n"/>
      <c r="AH33" s="121" t="n"/>
      <c r="AI33" s="123">
        <f>IF(ISBLANK(B33), "", IF(ISNUMBER(D33), IF(D33&gt;0, (COUNTIF(E33:AH33, "✓") + COUNTIF(E33:AH33, "✔") + COUNTIF(E33:AH33, "v") + COUNTIF(E33:AH33, "V"))/D33, 0), IF(((COUNTIF(E33:AH33, "✓") + COUNTIF(E33:AH33, "✔") + COUNTIF(E33:AH33, "v") + COUNTIF(E33:AH33, "V")) + COUNTIF(E33:AH33, "✗") + COUNTIF(E33:AH33, "x") + COUNTIF(E33:AH33, "X"))&gt;0, (COUNTIF(E33:AH33, "✓") + COUNTIF(E33:AH33, "✔") + COUNTIF(E33:AH33, "v") + COUNTIF(E33:AH33, "V"))/((COUNTIF(E33:AH33, "✓") + COUNTIF(E33:AH33, "✔") + COUNTIF(E33:AH33, "v") + COUNTIF(E33:AH33, "V")) + COUNTIF(E33:AH33, "✗") + COUNTIF(E33:AH33, "x") + COUNTIF(E33:AH33, "X")), "")))</f>
        <v/>
      </c>
      <c r="AJ33" s="124">
        <f>IF(ISBLANK(B33), "", IF(ISNUMBER(D33), IF(D33&gt;0, (COUNTIF(E33:AH33, "✓") + COUNTIF(E33:AH33, "✔") + COUNTIF(E33:AH33, "v") + COUNTIF(E33:AH33, "V")) &amp; "/" &amp; D33, (COUNTIF(E33:AH33, "✓") + COUNTIF(E33:AH33, "✔") + COUNTIF(E33:AH33, "v") + COUNTIF(E33:AH33, "V")) &amp; "/0"), IF(((COUNTIF(E33:AH33, "✓") + COUNTIF(E33:AH33, "✔") + COUNTIF(E33:AH33, "v") + COUNTIF(E33:AH33, "V")) + COUNTIF(E33:AH33, "✗") + COUNTIF(E33:AH33, "x") + COUNTIF(E33:AH33, "X"))&gt;0, (COUNTIF(E33:AH33, "✓") + COUNTIF(E33:AH33, "✔") + COUNTIF(E33:AH33, "v") + COUNTIF(E33:AH33, "V")) &amp; "/" &amp; ((COUNTIF(E33:AH33, "✓") + COUNTIF(E33:AH33, "✔") + COUNTIF(E33:AH33, "v") + COUNTIF(E33:AH33, "V")) + COUNTIF(E33:AH33, "✗") + COUNTIF(E33:AH33, "x") + COUNTIF(E33:AH33, "X")), "")))</f>
        <v/>
      </c>
      <c r="AK33" s="124">
        <f>IF(ISBLANK(B33), "", IF(AI33&gt;=0.85, "🔥 Mastered", IF(AI33&gt;=0.7, "⚡ Consistent", "⚠️ Needs Focus")))</f>
        <v/>
      </c>
      <c r="AL33">
        <f>COUNTIF(E33:AH33, "✓")</f>
        <v/>
      </c>
    </row>
    <row r="34" ht="14.5" customHeight="1">
      <c r="A34" s="125" t="n">
        <v>17</v>
      </c>
      <c r="B34" s="126" t="n"/>
      <c r="C34" s="127" t="n"/>
      <c r="D34" s="127" t="n"/>
      <c r="E34" s="128" t="n"/>
      <c r="F34" s="128" t="n"/>
      <c r="G34" s="129" t="n"/>
      <c r="H34" s="128" t="n"/>
      <c r="I34" s="128" t="n"/>
      <c r="J34" s="128" t="n"/>
      <c r="K34" s="128" t="n"/>
      <c r="L34" s="128" t="n"/>
      <c r="M34" s="128" t="n"/>
      <c r="N34" s="129" t="n"/>
      <c r="O34" s="128" t="n"/>
      <c r="P34" s="128" t="n"/>
      <c r="Q34" s="128" t="n"/>
      <c r="R34" s="128" t="n"/>
      <c r="S34" s="128" t="n"/>
      <c r="T34" s="128" t="n"/>
      <c r="U34" s="129" t="n"/>
      <c r="V34" s="128" t="n"/>
      <c r="W34" s="128" t="n"/>
      <c r="X34" s="128" t="n"/>
      <c r="Y34" s="128" t="n"/>
      <c r="Z34" s="128" t="n"/>
      <c r="AA34" s="128" t="n"/>
      <c r="AB34" s="129" t="n"/>
      <c r="AC34" s="128" t="n"/>
      <c r="AD34" s="128" t="n"/>
      <c r="AE34" s="128" t="n"/>
      <c r="AF34" s="128" t="n"/>
      <c r="AG34" s="128" t="n"/>
      <c r="AH34" s="128" t="n"/>
      <c r="AI34" s="130">
        <f>IF(ISBLANK(B34), "", IF(ISNUMBER(D34), IF(D34&gt;0, (COUNTIF(E34:AH34, "✓") + COUNTIF(E34:AH34, "✔") + COUNTIF(E34:AH34, "v") + COUNTIF(E34:AH34, "V"))/D34, 0), IF(((COUNTIF(E34:AH34, "✓") + COUNTIF(E34:AH34, "✔") + COUNTIF(E34:AH34, "v") + COUNTIF(E34:AH34, "V")) + COUNTIF(E34:AH34, "✗") + COUNTIF(E34:AH34, "x") + COUNTIF(E34:AH34, "X"))&gt;0, (COUNTIF(E34:AH34, "✓") + COUNTIF(E34:AH34, "✔") + COUNTIF(E34:AH34, "v") + COUNTIF(E34:AH34, "V"))/((COUNTIF(E34:AH34, "✓") + COUNTIF(E34:AH34, "✔") + COUNTIF(E34:AH34, "v") + COUNTIF(E34:AH34, "V")) + COUNTIF(E34:AH34, "✗") + COUNTIF(E34:AH34, "x") + COUNTIF(E34:AH34, "X")), "")))</f>
        <v/>
      </c>
      <c r="AJ34" s="131">
        <f>IF(ISBLANK(B34), "", IF(ISNUMBER(D34), IF(D34&gt;0, (COUNTIF(E34:AH34, "✓") + COUNTIF(E34:AH34, "✔") + COUNTIF(E34:AH34, "v") + COUNTIF(E34:AH34, "V")) &amp; "/" &amp; D34, (COUNTIF(E34:AH34, "✓") + COUNTIF(E34:AH34, "✔") + COUNTIF(E34:AH34, "v") + COUNTIF(E34:AH34, "V")) &amp; "/0"), IF(((COUNTIF(E34:AH34, "✓") + COUNTIF(E34:AH34, "✔") + COUNTIF(E34:AH34, "v") + COUNTIF(E34:AH34, "V")) + COUNTIF(E34:AH34, "✗") + COUNTIF(E34:AH34, "x") + COUNTIF(E34:AH34, "X"))&gt;0, (COUNTIF(E34:AH34, "✓") + COUNTIF(E34:AH34, "✔") + COUNTIF(E34:AH34, "v") + COUNTIF(E34:AH34, "V")) &amp; "/" &amp; ((COUNTIF(E34:AH34, "✓") + COUNTIF(E34:AH34, "✔") + COUNTIF(E34:AH34, "v") + COUNTIF(E34:AH34, "V")) + COUNTIF(E34:AH34, "✗") + COUNTIF(E34:AH34, "x") + COUNTIF(E34:AH34, "X")), "")))</f>
        <v/>
      </c>
      <c r="AK34" s="131">
        <f>IF(ISBLANK(B34), "", IF(AI34&gt;=0.85, "🔥 Mastered", IF(AI34&gt;=0.7, "⚡ Consistent", "⚠️ Needs Focus")))</f>
        <v/>
      </c>
      <c r="AL34">
        <f>COUNTIF(E34:AH34, "✓")</f>
        <v/>
      </c>
    </row>
    <row r="35" ht="14.5" customHeight="1">
      <c r="A35" s="125" t="n">
        <v>18</v>
      </c>
      <c r="B35" s="126" t="n"/>
      <c r="C35" s="127" t="n"/>
      <c r="D35" s="127" t="n"/>
      <c r="E35" s="128" t="n"/>
      <c r="F35" s="128" t="n"/>
      <c r="G35" s="129" t="n"/>
      <c r="H35" s="128" t="n"/>
      <c r="I35" s="128" t="n"/>
      <c r="J35" s="128" t="n"/>
      <c r="K35" s="128" t="n"/>
      <c r="L35" s="128" t="n"/>
      <c r="M35" s="128" t="n"/>
      <c r="N35" s="129" t="n"/>
      <c r="O35" s="128" t="n"/>
      <c r="P35" s="128" t="n"/>
      <c r="Q35" s="128" t="n"/>
      <c r="R35" s="128" t="n"/>
      <c r="S35" s="128" t="n"/>
      <c r="T35" s="128" t="n"/>
      <c r="U35" s="129" t="n"/>
      <c r="V35" s="128" t="n"/>
      <c r="W35" s="128" t="n"/>
      <c r="X35" s="128" t="n"/>
      <c r="Y35" s="128" t="n"/>
      <c r="Z35" s="128" t="n"/>
      <c r="AA35" s="128" t="n"/>
      <c r="AB35" s="129" t="n"/>
      <c r="AC35" s="128" t="n"/>
      <c r="AD35" s="128" t="n"/>
      <c r="AE35" s="128" t="n"/>
      <c r="AF35" s="128" t="n"/>
      <c r="AG35" s="128" t="n"/>
      <c r="AH35" s="128" t="n"/>
      <c r="AI35" s="130">
        <f>IF(ISBLANK(B35), "", IF(ISNUMBER(D35), IF(D35&gt;0, (COUNTIF(E35:AH35, "✓") + COUNTIF(E35:AH35, "✔") + COUNTIF(E35:AH35, "v") + COUNTIF(E35:AH35, "V"))/D35, 0), IF(((COUNTIF(E35:AH35, "✓") + COUNTIF(E35:AH35, "✔") + COUNTIF(E35:AH35, "v") + COUNTIF(E35:AH35, "V")) + COUNTIF(E35:AH35, "✗") + COUNTIF(E35:AH35, "x") + COUNTIF(E35:AH35, "X"))&gt;0, (COUNTIF(E35:AH35, "✓") + COUNTIF(E35:AH35, "✔") + COUNTIF(E35:AH35, "v") + COUNTIF(E35:AH35, "V"))/((COUNTIF(E35:AH35, "✓") + COUNTIF(E35:AH35, "✔") + COUNTIF(E35:AH35, "v") + COUNTIF(E35:AH35, "V")) + COUNTIF(E35:AH35, "✗") + COUNTIF(E35:AH35, "x") + COUNTIF(E35:AH35, "X")), "")))</f>
        <v/>
      </c>
      <c r="AJ35" s="131">
        <f>IF(ISBLANK(B35), "", IF(ISNUMBER(D35), IF(D35&gt;0, (COUNTIF(E35:AH35, "✓") + COUNTIF(E35:AH35, "✔") + COUNTIF(E35:AH35, "v") + COUNTIF(E35:AH35, "V")) &amp; "/" &amp; D35, (COUNTIF(E35:AH35, "✓") + COUNTIF(E35:AH35, "✔") + COUNTIF(E35:AH35, "v") + COUNTIF(E35:AH35, "V")) &amp; "/0"), IF(((COUNTIF(E35:AH35, "✓") + COUNTIF(E35:AH35, "✔") + COUNTIF(E35:AH35, "v") + COUNTIF(E35:AH35, "V")) + COUNTIF(E35:AH35, "✗") + COUNTIF(E35:AH35, "x") + COUNTIF(E35:AH35, "X"))&gt;0, (COUNTIF(E35:AH35, "✓") + COUNTIF(E35:AH35, "✔") + COUNTIF(E35:AH35, "v") + COUNTIF(E35:AH35, "V")) &amp; "/" &amp; ((COUNTIF(E35:AH35, "✓") + COUNTIF(E35:AH35, "✔") + COUNTIF(E35:AH35, "v") + COUNTIF(E35:AH35, "V")) + COUNTIF(E35:AH35, "✗") + COUNTIF(E35:AH35, "x") + COUNTIF(E35:AH35, "X")), "")))</f>
        <v/>
      </c>
      <c r="AK35" s="131">
        <f>IF(ISBLANK(B35), "", IF(AI35&gt;=0.85, "🔥 Mastered", IF(AI35&gt;=0.7, "⚡ Consistent", "⚠️ Needs Focus")))</f>
        <v/>
      </c>
      <c r="AL35">
        <f>COUNTIF(E35:AH35, "✓")</f>
        <v/>
      </c>
    </row>
    <row r="36" ht="14.5" customHeight="1">
      <c r="A36" s="125" t="n">
        <v>19</v>
      </c>
      <c r="B36" s="126" t="n"/>
      <c r="C36" s="127" t="n"/>
      <c r="D36" s="127" t="n"/>
      <c r="E36" s="128" t="n"/>
      <c r="F36" s="128" t="n"/>
      <c r="G36" s="129" t="n"/>
      <c r="H36" s="128" t="n"/>
      <c r="I36" s="128" t="n"/>
      <c r="J36" s="128" t="n"/>
      <c r="K36" s="128" t="n"/>
      <c r="L36" s="128" t="n"/>
      <c r="M36" s="128" t="n"/>
      <c r="N36" s="129" t="n"/>
      <c r="O36" s="128" t="n"/>
      <c r="P36" s="128" t="n"/>
      <c r="Q36" s="128" t="n"/>
      <c r="R36" s="128" t="n"/>
      <c r="S36" s="128" t="n"/>
      <c r="T36" s="128" t="n"/>
      <c r="U36" s="129" t="n"/>
      <c r="V36" s="128" t="n"/>
      <c r="W36" s="128" t="n"/>
      <c r="X36" s="128" t="n"/>
      <c r="Y36" s="128" t="n"/>
      <c r="Z36" s="128" t="n"/>
      <c r="AA36" s="128" t="n"/>
      <c r="AB36" s="129" t="n"/>
      <c r="AC36" s="128" t="n"/>
      <c r="AD36" s="128" t="n"/>
      <c r="AE36" s="128" t="n"/>
      <c r="AF36" s="128" t="n"/>
      <c r="AG36" s="128" t="n"/>
      <c r="AH36" s="128" t="n"/>
      <c r="AI36" s="130">
        <f>IF(ISBLANK(B36), "", IF(ISNUMBER(D36), IF(D36&gt;0, (COUNTIF(E36:AH36, "✓") + COUNTIF(E36:AH36, "✔") + COUNTIF(E36:AH36, "v") + COUNTIF(E36:AH36, "V"))/D36, 0), IF(((COUNTIF(E36:AH36, "✓") + COUNTIF(E36:AH36, "✔") + COUNTIF(E36:AH36, "v") + COUNTIF(E36:AH36, "V")) + COUNTIF(E36:AH36, "✗") + COUNTIF(E36:AH36, "x") + COUNTIF(E36:AH36, "X"))&gt;0, (COUNTIF(E36:AH36, "✓") + COUNTIF(E36:AH36, "✔") + COUNTIF(E36:AH36, "v") + COUNTIF(E36:AH36, "V"))/((COUNTIF(E36:AH36, "✓") + COUNTIF(E36:AH36, "✔") + COUNTIF(E36:AH36, "v") + COUNTIF(E36:AH36, "V")) + COUNTIF(E36:AH36, "✗") + COUNTIF(E36:AH36, "x") + COUNTIF(E36:AH36, "X")), "")))</f>
        <v/>
      </c>
      <c r="AJ36" s="131">
        <f>IF(ISBLANK(B36), "", IF(ISNUMBER(D36), IF(D36&gt;0, (COUNTIF(E36:AH36, "✓") + COUNTIF(E36:AH36, "✔") + COUNTIF(E36:AH36, "v") + COUNTIF(E36:AH36, "V")) &amp; "/" &amp; D36, (COUNTIF(E36:AH36, "✓") + COUNTIF(E36:AH36, "✔") + COUNTIF(E36:AH36, "v") + COUNTIF(E36:AH36, "V")) &amp; "/0"), IF(((COUNTIF(E36:AH36, "✓") + COUNTIF(E36:AH36, "✔") + COUNTIF(E36:AH36, "v") + COUNTIF(E36:AH36, "V")) + COUNTIF(E36:AH36, "✗") + COUNTIF(E36:AH36, "x") + COUNTIF(E36:AH36, "X"))&gt;0, (COUNTIF(E36:AH36, "✓") + COUNTIF(E36:AH36, "✔") + COUNTIF(E36:AH36, "v") + COUNTIF(E36:AH36, "V")) &amp; "/" &amp; ((COUNTIF(E36:AH36, "✓") + COUNTIF(E36:AH36, "✔") + COUNTIF(E36:AH36, "v") + COUNTIF(E36:AH36, "V")) + COUNTIF(E36:AH36, "✗") + COUNTIF(E36:AH36, "x") + COUNTIF(E36:AH36, "X")), "")))</f>
        <v/>
      </c>
      <c r="AK36" s="131">
        <f>IF(ISBLANK(B36), "", IF(AI36&gt;=0.85, "🔥 Mastered", IF(AI36&gt;=0.7, "⚡ Consistent", "⚠️ Needs Focus")))</f>
        <v/>
      </c>
      <c r="AL36">
        <f>COUNTIF(E36:AH36, "✓")</f>
        <v/>
      </c>
    </row>
    <row r="37" ht="14.5" customHeight="1">
      <c r="A37" s="125" t="n">
        <v>20</v>
      </c>
      <c r="B37" s="126" t="n"/>
      <c r="C37" s="127" t="n"/>
      <c r="D37" s="127" t="n"/>
      <c r="E37" s="128" t="n"/>
      <c r="F37" s="128" t="n"/>
      <c r="G37" s="129" t="n"/>
      <c r="H37" s="128" t="n"/>
      <c r="I37" s="128" t="n"/>
      <c r="J37" s="128" t="n"/>
      <c r="K37" s="128" t="n"/>
      <c r="L37" s="128" t="n"/>
      <c r="M37" s="128" t="n"/>
      <c r="N37" s="129" t="n"/>
      <c r="O37" s="128" t="n"/>
      <c r="P37" s="128" t="n"/>
      <c r="Q37" s="128" t="n"/>
      <c r="R37" s="128" t="n"/>
      <c r="S37" s="128" t="n"/>
      <c r="T37" s="128" t="n"/>
      <c r="U37" s="129" t="n"/>
      <c r="V37" s="128" t="n"/>
      <c r="W37" s="128" t="n"/>
      <c r="X37" s="128" t="n"/>
      <c r="Y37" s="128" t="n"/>
      <c r="Z37" s="128" t="n"/>
      <c r="AA37" s="128" t="n"/>
      <c r="AB37" s="129" t="n"/>
      <c r="AC37" s="128" t="n"/>
      <c r="AD37" s="128" t="n"/>
      <c r="AE37" s="128" t="n"/>
      <c r="AF37" s="128" t="n"/>
      <c r="AG37" s="128" t="n"/>
      <c r="AH37" s="128" t="n"/>
      <c r="AI37" s="130">
        <f>IF(ISBLANK(B37), "", IF(ISNUMBER(D37), IF(D37&gt;0, (COUNTIF(E37:AH37, "✓") + COUNTIF(E37:AH37, "✔") + COUNTIF(E37:AH37, "v") + COUNTIF(E37:AH37, "V"))/D37, 0), IF(((COUNTIF(E37:AH37, "✓") + COUNTIF(E37:AH37, "✔") + COUNTIF(E37:AH37, "v") + COUNTIF(E37:AH37, "V")) + COUNTIF(E37:AH37, "✗") + COUNTIF(E37:AH37, "x") + COUNTIF(E37:AH37, "X"))&gt;0, (COUNTIF(E37:AH37, "✓") + COUNTIF(E37:AH37, "✔") + COUNTIF(E37:AH37, "v") + COUNTIF(E37:AH37, "V"))/((COUNTIF(E37:AH37, "✓") + COUNTIF(E37:AH37, "✔") + COUNTIF(E37:AH37, "v") + COUNTIF(E37:AH37, "V")) + COUNTIF(E37:AH37, "✗") + COUNTIF(E37:AH37, "x") + COUNTIF(E37:AH37, "X")), "")))</f>
        <v/>
      </c>
      <c r="AJ37" s="131">
        <f>IF(ISBLANK(B37), "", IF(ISNUMBER(D37), IF(D37&gt;0, (COUNTIF(E37:AH37, "✓") + COUNTIF(E37:AH37, "✔") + COUNTIF(E37:AH37, "v") + COUNTIF(E37:AH37, "V")) &amp; "/" &amp; D37, (COUNTIF(E37:AH37, "✓") + COUNTIF(E37:AH37, "✔") + COUNTIF(E37:AH37, "v") + COUNTIF(E37:AH37, "V")) &amp; "/0"), IF(((COUNTIF(E37:AH37, "✓") + COUNTIF(E37:AH37, "✔") + COUNTIF(E37:AH37, "v") + COUNTIF(E37:AH37, "V")) + COUNTIF(E37:AH37, "✗") + COUNTIF(E37:AH37, "x") + COUNTIF(E37:AH37, "X"))&gt;0, (COUNTIF(E37:AH37, "✓") + COUNTIF(E37:AH37, "✔") + COUNTIF(E37:AH37, "v") + COUNTIF(E37:AH37, "V")) &amp; "/" &amp; ((COUNTIF(E37:AH37, "✓") + COUNTIF(E37:AH37, "✔") + COUNTIF(E37:AH37, "v") + COUNTIF(E37:AH37, "V")) + COUNTIF(E37:AH37, "✗") + COUNTIF(E37:AH37, "x") + COUNTIF(E37:AH37, "X")), "")))</f>
        <v/>
      </c>
      <c r="AK37" s="131">
        <f>IF(ISBLANK(B37), "", IF(AI37&gt;=0.85, "🔥 Mastered", IF(AI37&gt;=0.7, "⚡ Consistent", "⚠️ Needs Focus")))</f>
        <v/>
      </c>
      <c r="AL37">
        <f>COUNTIF(E37:AH37, "✓")</f>
        <v/>
      </c>
    </row>
    <row r="38" ht="18" customHeight="1">
      <c r="A38" s="132" t="inlineStr">
        <is>
          <t>DAILY TOTAL SCORE</t>
        </is>
      </c>
      <c r="B38" s="54" t="n"/>
      <c r="C38" s="54" t="n"/>
      <c r="D38" s="54" t="n"/>
      <c r="E38" s="33">
        <f>IF(((COUNTIF(E18:E37, "✓") + COUNTIF(E18:E37, "✔") + COUNTIF(E18:E37, "v") + COUNTIF(E18:E37, "V")) + COUNTIF(E18:E37, "✗") + COUNTIF(E18:E37, "x") + COUNTIF(E18:E37, "X")) &gt; 0, (COUNTIF(E18:E37, "✓") + COUNTIF(E18:E37, "✔") + COUNTIF(E18:E37, "v") + COUNTIF(E18:E37, "V")) &amp; "/" &amp; ((COUNTIF(E18:E37, "✓") + COUNTIF(E18:E37, "✔") + COUNTIF(E18:E37, "v") + COUNTIF(E18:E37, "V")) + COUNTIF(E18:E37, "✗") + COUNTIF(E18:E37, "x") + COUNTIF(E18:E37, "X")), "")</f>
        <v/>
      </c>
      <c r="F38" s="33">
        <f>IF(((COUNTIF(F18:F37, "✓") + COUNTIF(F18:F37, "✔") + COUNTIF(F18:F37, "v") + COUNTIF(F18:F37, "V")) + COUNTIF(F18:F37, "✗") + COUNTIF(F18:F37, "x") + COUNTIF(F18:F37, "X")) &gt; 0, (COUNTIF(F18:F37, "✓") + COUNTIF(F18:F37, "✔") + COUNTIF(F18:F37, "v") + COUNTIF(F18:F37, "V")) &amp; "/" &amp; ((COUNTIF(F18:F37, "✓") + COUNTIF(F18:F37, "✔") + COUNTIF(F18:F37, "v") + COUNTIF(F18:F37, "V")) + COUNTIF(F18:F37, "✗") + COUNTIF(F18:F37, "x") + COUNTIF(F18:F37, "X")), "")</f>
        <v/>
      </c>
      <c r="G38" s="33">
        <f>IF(((COUNTIF(G18:G37, "✓") + COUNTIF(G18:G37, "✔") + COUNTIF(G18:G37, "v") + COUNTIF(G18:G37, "V")) + COUNTIF(G18:G37, "✗") + COUNTIF(G18:G37, "x") + COUNTIF(G18:G37, "X")) &gt; 0, (COUNTIF(G18:G37, "✓") + COUNTIF(G18:G37, "✔") + COUNTIF(G18:G37, "v") + COUNTIF(G18:G37, "V")) &amp; "/" &amp; ((COUNTIF(G18:G37, "✓") + COUNTIF(G18:G37, "✔") + COUNTIF(G18:G37, "v") + COUNTIF(G18:G37, "V")) + COUNTIF(G18:G37, "✗") + COUNTIF(G18:G37, "x") + COUNTIF(G18:G37, "X")), "")</f>
        <v/>
      </c>
      <c r="H38" s="33">
        <f>IF(((COUNTIF(H18:H37, "✓") + COUNTIF(H18:H37, "✔") + COUNTIF(H18:H37, "v") + COUNTIF(H18:H37, "V")) + COUNTIF(H18:H37, "✗") + COUNTIF(H18:H37, "x") + COUNTIF(H18:H37, "X")) &gt; 0, (COUNTIF(H18:H37, "✓") + COUNTIF(H18:H37, "✔") + COUNTIF(H18:H37, "v") + COUNTIF(H18:H37, "V")) &amp; "/" &amp; ((COUNTIF(H18:H37, "✓") + COUNTIF(H18:H37, "✔") + COUNTIF(H18:H37, "v") + COUNTIF(H18:H37, "V")) + COUNTIF(H18:H37, "✗") + COUNTIF(H18:H37, "x") + COUNTIF(H18:H37, "X")), "")</f>
        <v/>
      </c>
      <c r="I38" s="33">
        <f>IF(((COUNTIF(I18:I37, "✓") + COUNTIF(I18:I37, "✔") + COUNTIF(I18:I37, "v") + COUNTIF(I18:I37, "V")) + COUNTIF(I18:I37, "✗") + COUNTIF(I18:I37, "x") + COUNTIF(I18:I37, "X")) &gt; 0, (COUNTIF(I18:I37, "✓") + COUNTIF(I18:I37, "✔") + COUNTIF(I18:I37, "v") + COUNTIF(I18:I37, "V")) &amp; "/" &amp; ((COUNTIF(I18:I37, "✓") + COUNTIF(I18:I37, "✔") + COUNTIF(I18:I37, "v") + COUNTIF(I18:I37, "V")) + COUNTIF(I18:I37, "✗") + COUNTIF(I18:I37, "x") + COUNTIF(I18:I37, "X")), "")</f>
        <v/>
      </c>
      <c r="J38" s="33">
        <f>IF(((COUNTIF(J18:J37, "✓") + COUNTIF(J18:J37, "✔") + COUNTIF(J18:J37, "v") + COUNTIF(J18:J37, "V")) + COUNTIF(J18:J37, "✗") + COUNTIF(J18:J37, "x") + COUNTIF(J18:J37, "X")) &gt; 0, (COUNTIF(J18:J37, "✓") + COUNTIF(J18:J37, "✔") + COUNTIF(J18:J37, "v") + COUNTIF(J18:J37, "V")) &amp; "/" &amp; ((COUNTIF(J18:J37, "✓") + COUNTIF(J18:J37, "✔") + COUNTIF(J18:J37, "v") + COUNTIF(J18:J37, "V")) + COUNTIF(J18:J37, "✗") + COUNTIF(J18:J37, "x") + COUNTIF(J18:J37, "X")), "")</f>
        <v/>
      </c>
      <c r="K38" s="33">
        <f>IF(((COUNTIF(K18:K37, "✓") + COUNTIF(K18:K37, "✔") + COUNTIF(K18:K37, "v") + COUNTIF(K18:K37, "V")) + COUNTIF(K18:K37, "✗") + COUNTIF(K18:K37, "x") + COUNTIF(K18:K37, "X")) &gt; 0, (COUNTIF(K18:K37, "✓") + COUNTIF(K18:K37, "✔") + COUNTIF(K18:K37, "v") + COUNTIF(K18:K37, "V")) &amp; "/" &amp; ((COUNTIF(K18:K37, "✓") + COUNTIF(K18:K37, "✔") + COUNTIF(K18:K37, "v") + COUNTIF(K18:K37, "V")) + COUNTIF(K18:K37, "✗") + COUNTIF(K18:K37, "x") + COUNTIF(K18:K37, "X")), "")</f>
        <v/>
      </c>
      <c r="L38" s="33">
        <f>IF(((COUNTIF(L18:L37, "✓") + COUNTIF(L18:L37, "✔") + COUNTIF(L18:L37, "v") + COUNTIF(L18:L37, "V")) + COUNTIF(L18:L37, "✗") + COUNTIF(L18:L37, "x") + COUNTIF(L18:L37, "X")) &gt; 0, (COUNTIF(L18:L37, "✓") + COUNTIF(L18:L37, "✔") + COUNTIF(L18:L37, "v") + COUNTIF(L18:L37, "V")) &amp; "/" &amp; ((COUNTIF(L18:L37, "✓") + COUNTIF(L18:L37, "✔") + COUNTIF(L18:L37, "v") + COUNTIF(L18:L37, "V")) + COUNTIF(L18:L37, "✗") + COUNTIF(L18:L37, "x") + COUNTIF(L18:L37, "X")), "")</f>
        <v/>
      </c>
      <c r="M38" s="33">
        <f>IF(((COUNTIF(M18:M37, "✓") + COUNTIF(M18:M37, "✔") + COUNTIF(M18:M37, "v") + COUNTIF(M18:M37, "V")) + COUNTIF(M18:M37, "✗") + COUNTIF(M18:M37, "x") + COUNTIF(M18:M37, "X")) &gt; 0, (COUNTIF(M18:M37, "✓") + COUNTIF(M18:M37, "✔") + COUNTIF(M18:M37, "v") + COUNTIF(M18:M37, "V")) &amp; "/" &amp; ((COUNTIF(M18:M37, "✓") + COUNTIF(M18:M37, "✔") + COUNTIF(M18:M37, "v") + COUNTIF(M18:M37, "V")) + COUNTIF(M18:M37, "✗") + COUNTIF(M18:M37, "x") + COUNTIF(M18:M37, "X")), "")</f>
        <v/>
      </c>
      <c r="N38" s="33">
        <f>IF(((COUNTIF(N18:N37, "✓") + COUNTIF(N18:N37, "✔") + COUNTIF(N18:N37, "v") + COUNTIF(N18:N37, "V")) + COUNTIF(N18:N37, "✗") + COUNTIF(N18:N37, "x") + COUNTIF(N18:N37, "X")) &gt; 0, (COUNTIF(N18:N37, "✓") + COUNTIF(N18:N37, "✔") + COUNTIF(N18:N37, "v") + COUNTIF(N18:N37, "V")) &amp; "/" &amp; ((COUNTIF(N18:N37, "✓") + COUNTIF(N18:N37, "✔") + COUNTIF(N18:N37, "v") + COUNTIF(N18:N37, "V")) + COUNTIF(N18:N37, "✗") + COUNTIF(N18:N37, "x") + COUNTIF(N18:N37, "X")), "")</f>
        <v/>
      </c>
      <c r="O38" s="33">
        <f>IF(((COUNTIF(O18:O37, "✓") + COUNTIF(O18:O37, "✔") + COUNTIF(O18:O37, "v") + COUNTIF(O18:O37, "V")) + COUNTIF(O18:O37, "✗") + COUNTIF(O18:O37, "x") + COUNTIF(O18:O37, "X")) &gt; 0, (COUNTIF(O18:O37, "✓") + COUNTIF(O18:O37, "✔") + COUNTIF(O18:O37, "v") + COUNTIF(O18:O37, "V")) &amp; "/" &amp; ((COUNTIF(O18:O37, "✓") + COUNTIF(O18:O37, "✔") + COUNTIF(O18:O37, "v") + COUNTIF(O18:O37, "V")) + COUNTIF(O18:O37, "✗") + COUNTIF(O18:O37, "x") + COUNTIF(O18:O37, "X")), "")</f>
        <v/>
      </c>
      <c r="P38" s="33">
        <f>IF(((COUNTIF(P18:P37, "✓") + COUNTIF(P18:P37, "✔") + COUNTIF(P18:P37, "v") + COUNTIF(P18:P37, "V")) + COUNTIF(P18:P37, "✗") + COUNTIF(P18:P37, "x") + COUNTIF(P18:P37, "X")) &gt; 0, (COUNTIF(P18:P37, "✓") + COUNTIF(P18:P37, "✔") + COUNTIF(P18:P37, "v") + COUNTIF(P18:P37, "V")) &amp; "/" &amp; ((COUNTIF(P18:P37, "✓") + COUNTIF(P18:P37, "✔") + COUNTIF(P18:P37, "v") + COUNTIF(P18:P37, "V")) + COUNTIF(P18:P37, "✗") + COUNTIF(P18:P37, "x") + COUNTIF(P18:P37, "X")), "")</f>
        <v/>
      </c>
      <c r="Q38" s="33">
        <f>IF(((COUNTIF(Q18:Q37, "✓") + COUNTIF(Q18:Q37, "✔") + COUNTIF(Q18:Q37, "v") + COUNTIF(Q18:Q37, "V")) + COUNTIF(Q18:Q37, "✗") + COUNTIF(Q18:Q37, "x") + COUNTIF(Q18:Q37, "X")) &gt; 0, (COUNTIF(Q18:Q37, "✓") + COUNTIF(Q18:Q37, "✔") + COUNTIF(Q18:Q37, "v") + COUNTIF(Q18:Q37, "V")) &amp; "/" &amp; ((COUNTIF(Q18:Q37, "✓") + COUNTIF(Q18:Q37, "✔") + COUNTIF(Q18:Q37, "v") + COUNTIF(Q18:Q37, "V")) + COUNTIF(Q18:Q37, "✗") + COUNTIF(Q18:Q37, "x") + COUNTIF(Q18:Q37, "X")), "")</f>
        <v/>
      </c>
      <c r="R38" s="33">
        <f>IF(((COUNTIF(R18:R37, "✓") + COUNTIF(R18:R37, "✔") + COUNTIF(R18:R37, "v") + COUNTIF(R18:R37, "V")) + COUNTIF(R18:R37, "✗") + COUNTIF(R18:R37, "x") + COUNTIF(R18:R37, "X")) &gt; 0, (COUNTIF(R18:R37, "✓") + COUNTIF(R18:R37, "✔") + COUNTIF(R18:R37, "v") + COUNTIF(R18:R37, "V")) &amp; "/" &amp; ((COUNTIF(R18:R37, "✓") + COUNTIF(R18:R37, "✔") + COUNTIF(R18:R37, "v") + COUNTIF(R18:R37, "V")) + COUNTIF(R18:R37, "✗") + COUNTIF(R18:R37, "x") + COUNTIF(R18:R37, "X")), "")</f>
        <v/>
      </c>
      <c r="S38" s="33">
        <f>IF(((COUNTIF(S18:S37, "✓") + COUNTIF(S18:S37, "✔") + COUNTIF(S18:S37, "v") + COUNTIF(S18:S37, "V")) + COUNTIF(S18:S37, "✗") + COUNTIF(S18:S37, "x") + COUNTIF(S18:S37, "X")) &gt; 0, (COUNTIF(S18:S37, "✓") + COUNTIF(S18:S37, "✔") + COUNTIF(S18:S37, "v") + COUNTIF(S18:S37, "V")) &amp; "/" &amp; ((COUNTIF(S18:S37, "✓") + COUNTIF(S18:S37, "✔") + COUNTIF(S18:S37, "v") + COUNTIF(S18:S37, "V")) + COUNTIF(S18:S37, "✗") + COUNTIF(S18:S37, "x") + COUNTIF(S18:S37, "X")), "")</f>
        <v/>
      </c>
      <c r="T38" s="33">
        <f>IF(((COUNTIF(T18:T37, "✓") + COUNTIF(T18:T37, "✔") + COUNTIF(T18:T37, "v") + COUNTIF(T18:T37, "V")) + COUNTIF(T18:T37, "✗") + COUNTIF(T18:T37, "x") + COUNTIF(T18:T37, "X")) &gt; 0, (COUNTIF(T18:T37, "✓") + COUNTIF(T18:T37, "✔") + COUNTIF(T18:T37, "v") + COUNTIF(T18:T37, "V")) &amp; "/" &amp; ((COUNTIF(T18:T37, "✓") + COUNTIF(T18:T37, "✔") + COUNTIF(T18:T37, "v") + COUNTIF(T18:T37, "V")) + COUNTIF(T18:T37, "✗") + COUNTIF(T18:T37, "x") + COUNTIF(T18:T37, "X")), "")</f>
        <v/>
      </c>
      <c r="U38" s="33">
        <f>IF(((COUNTIF(U18:U37, "✓") + COUNTIF(U18:U37, "✔") + COUNTIF(U18:U37, "v") + COUNTIF(U18:U37, "V")) + COUNTIF(U18:U37, "✗") + COUNTIF(U18:U37, "x") + COUNTIF(U18:U37, "X")) &gt; 0, (COUNTIF(U18:U37, "✓") + COUNTIF(U18:U37, "✔") + COUNTIF(U18:U37, "v") + COUNTIF(U18:U37, "V")) &amp; "/" &amp; ((COUNTIF(U18:U37, "✓") + COUNTIF(U18:U37, "✔") + COUNTIF(U18:U37, "v") + COUNTIF(U18:U37, "V")) + COUNTIF(U18:U37, "✗") + COUNTIF(U18:U37, "x") + COUNTIF(U18:U37, "X")), "")</f>
        <v/>
      </c>
      <c r="V38" s="33">
        <f>IF(((COUNTIF(V18:V37, "✓") + COUNTIF(V18:V37, "✔") + COUNTIF(V18:V37, "v") + COUNTIF(V18:V37, "V")) + COUNTIF(V18:V37, "✗") + COUNTIF(V18:V37, "x") + COUNTIF(V18:V37, "X")) &gt; 0, (COUNTIF(V18:V37, "✓") + COUNTIF(V18:V37, "✔") + COUNTIF(V18:V37, "v") + COUNTIF(V18:V37, "V")) &amp; "/" &amp; ((COUNTIF(V18:V37, "✓") + COUNTIF(V18:V37, "✔") + COUNTIF(V18:V37, "v") + COUNTIF(V18:V37, "V")) + COUNTIF(V18:V37, "✗") + COUNTIF(V18:V37, "x") + COUNTIF(V18:V37, "X")), "")</f>
        <v/>
      </c>
      <c r="W38" s="33">
        <f>IF(((COUNTIF(W18:W37, "✓") + COUNTIF(W18:W37, "✔") + COUNTIF(W18:W37, "v") + COUNTIF(W18:W37, "V")) + COUNTIF(W18:W37, "✗") + COUNTIF(W18:W37, "x") + COUNTIF(W18:W37, "X")) &gt; 0, (COUNTIF(W18:W37, "✓") + COUNTIF(W18:W37, "✔") + COUNTIF(W18:W37, "v") + COUNTIF(W18:W37, "V")) &amp; "/" &amp; ((COUNTIF(W18:W37, "✓") + COUNTIF(W18:W37, "✔") + COUNTIF(W18:W37, "v") + COUNTIF(W18:W37, "V")) + COUNTIF(W18:W37, "✗") + COUNTIF(W18:W37, "x") + COUNTIF(W18:W37, "X")), "")</f>
        <v/>
      </c>
      <c r="X38" s="33">
        <f>IF(((COUNTIF(X18:X37, "✓") + COUNTIF(X18:X37, "✔") + COUNTIF(X18:X37, "v") + COUNTIF(X18:X37, "V")) + COUNTIF(X18:X37, "✗") + COUNTIF(X18:X37, "x") + COUNTIF(X18:X37, "X")) &gt; 0, (COUNTIF(X18:X37, "✓") + COUNTIF(X18:X37, "✔") + COUNTIF(X18:X37, "v") + COUNTIF(X18:X37, "V")) &amp; "/" &amp; ((COUNTIF(X18:X37, "✓") + COUNTIF(X18:X37, "✔") + COUNTIF(X18:X37, "v") + COUNTIF(X18:X37, "V")) + COUNTIF(X18:X37, "✗") + COUNTIF(X18:X37, "x") + COUNTIF(X18:X37, "X")), "")</f>
        <v/>
      </c>
      <c r="Y38" s="33">
        <f>IF(((COUNTIF(Y18:Y37, "✓") + COUNTIF(Y18:Y37, "✔") + COUNTIF(Y18:Y37, "v") + COUNTIF(Y18:Y37, "V")) + COUNTIF(Y18:Y37, "✗") + COUNTIF(Y18:Y37, "x") + COUNTIF(Y18:Y37, "X")) &gt; 0, (COUNTIF(Y18:Y37, "✓") + COUNTIF(Y18:Y37, "✔") + COUNTIF(Y18:Y37, "v") + COUNTIF(Y18:Y37, "V")) &amp; "/" &amp; ((COUNTIF(Y18:Y37, "✓") + COUNTIF(Y18:Y37, "✔") + COUNTIF(Y18:Y37, "v") + COUNTIF(Y18:Y37, "V")) + COUNTIF(Y18:Y37, "✗") + COUNTIF(Y18:Y37, "x") + COUNTIF(Y18:Y37, "X")), "")</f>
        <v/>
      </c>
      <c r="Z38" s="33">
        <f>IF(((COUNTIF(Z18:Z37, "✓") + COUNTIF(Z18:Z37, "✔") + COUNTIF(Z18:Z37, "v") + COUNTIF(Z18:Z37, "V")) + COUNTIF(Z18:Z37, "✗") + COUNTIF(Z18:Z37, "x") + COUNTIF(Z18:Z37, "X")) &gt; 0, (COUNTIF(Z18:Z37, "✓") + COUNTIF(Z18:Z37, "✔") + COUNTIF(Z18:Z37, "v") + COUNTIF(Z18:Z37, "V")) &amp; "/" &amp; ((COUNTIF(Z18:Z37, "✓") + COUNTIF(Z18:Z37, "✔") + COUNTIF(Z18:Z37, "v") + COUNTIF(Z18:Z37, "V")) + COUNTIF(Z18:Z37, "✗") + COUNTIF(Z18:Z37, "x") + COUNTIF(Z18:Z37, "X")), "")</f>
        <v/>
      </c>
      <c r="AA38" s="33">
        <f>IF(((COUNTIF(AA18:AA37, "✓") + COUNTIF(AA18:AA37, "✔") + COUNTIF(AA18:AA37, "v") + COUNTIF(AA18:AA37, "V")) + COUNTIF(AA18:AA37, "✗") + COUNTIF(AA18:AA37, "x") + COUNTIF(AA18:AA37, "X")) &gt; 0, (COUNTIF(AA18:AA37, "✓") + COUNTIF(AA18:AA37, "✔") + COUNTIF(AA18:AA37, "v") + COUNTIF(AA18:AA37, "V")) &amp; "/" &amp; ((COUNTIF(AA18:AA37, "✓") + COUNTIF(AA18:AA37, "✔") + COUNTIF(AA18:AA37, "v") + COUNTIF(AA18:AA37, "V")) + COUNTIF(AA18:AA37, "✗") + COUNTIF(AA18:AA37, "x") + COUNTIF(AA18:AA37, "X")), "")</f>
        <v/>
      </c>
      <c r="AB38" s="33">
        <f>IF(((COUNTIF(AB18:AB37, "✓") + COUNTIF(AB18:AB37, "✔") + COUNTIF(AB18:AB37, "v") + COUNTIF(AB18:AB37, "V")) + COUNTIF(AB18:AB37, "✗") + COUNTIF(AB18:AB37, "x") + COUNTIF(AB18:AB37, "X")) &gt; 0, (COUNTIF(AB18:AB37, "✓") + COUNTIF(AB18:AB37, "✔") + COUNTIF(AB18:AB37, "v") + COUNTIF(AB18:AB37, "V")) &amp; "/" &amp; ((COUNTIF(AB18:AB37, "✓") + COUNTIF(AB18:AB37, "✔") + COUNTIF(AB18:AB37, "v") + COUNTIF(AB18:AB37, "V")) + COUNTIF(AB18:AB37, "✗") + COUNTIF(AB18:AB37, "x") + COUNTIF(AB18:AB37, "X")), "")</f>
        <v/>
      </c>
      <c r="AC38" s="33">
        <f>IF(((COUNTIF(AC18:AC37, "✓") + COUNTIF(AC18:AC37, "✔") + COUNTIF(AC18:AC37, "v") + COUNTIF(AC18:AC37, "V")) + COUNTIF(AC18:AC37, "✗") + COUNTIF(AC18:AC37, "x") + COUNTIF(AC18:AC37, "X")) &gt; 0, (COUNTIF(AC18:AC37, "✓") + COUNTIF(AC18:AC37, "✔") + COUNTIF(AC18:AC37, "v") + COUNTIF(AC18:AC37, "V")) &amp; "/" &amp; ((COUNTIF(AC18:AC37, "✓") + COUNTIF(AC18:AC37, "✔") + COUNTIF(AC18:AC37, "v") + COUNTIF(AC18:AC37, "V")) + COUNTIF(AC18:AC37, "✗") + COUNTIF(AC18:AC37, "x") + COUNTIF(AC18:AC37, "X")), "")</f>
        <v/>
      </c>
      <c r="AD38" s="33">
        <f>IF(((COUNTIF(AD18:AD37, "✓") + COUNTIF(AD18:AD37, "✔") + COUNTIF(AD18:AD37, "v") + COUNTIF(AD18:AD37, "V")) + COUNTIF(AD18:AD37, "✗") + COUNTIF(AD18:AD37, "x") + COUNTIF(AD18:AD37, "X")) &gt; 0, (COUNTIF(AD18:AD37, "✓") + COUNTIF(AD18:AD37, "✔") + COUNTIF(AD18:AD37, "v") + COUNTIF(AD18:AD37, "V")) &amp; "/" &amp; ((COUNTIF(AD18:AD37, "✓") + COUNTIF(AD18:AD37, "✔") + COUNTIF(AD18:AD37, "v") + COUNTIF(AD18:AD37, "V")) + COUNTIF(AD18:AD37, "✗") + COUNTIF(AD18:AD37, "x") + COUNTIF(AD18:AD37, "X")), "")</f>
        <v/>
      </c>
      <c r="AE38" s="33">
        <f>IF(((COUNTIF(AE18:AE37, "✓") + COUNTIF(AE18:AE37, "✔") + COUNTIF(AE18:AE37, "v") + COUNTIF(AE18:AE37, "V")) + COUNTIF(AE18:AE37, "✗") + COUNTIF(AE18:AE37, "x") + COUNTIF(AE18:AE37, "X")) &gt; 0, (COUNTIF(AE18:AE37, "✓") + COUNTIF(AE18:AE37, "✔") + COUNTIF(AE18:AE37, "v") + COUNTIF(AE18:AE37, "V")) &amp; "/" &amp; ((COUNTIF(AE18:AE37, "✓") + COUNTIF(AE18:AE37, "✔") + COUNTIF(AE18:AE37, "v") + COUNTIF(AE18:AE37, "V")) + COUNTIF(AE18:AE37, "✗") + COUNTIF(AE18:AE37, "x") + COUNTIF(AE18:AE37, "X")), "")</f>
        <v/>
      </c>
      <c r="AF38" s="33">
        <f>IF(((COUNTIF(AF18:AF37, "✓") + COUNTIF(AF18:AF37, "✔") + COUNTIF(AF18:AF37, "v") + COUNTIF(AF18:AF37, "V")) + COUNTIF(AF18:AF37, "✗") + COUNTIF(AF18:AF37, "x") + COUNTIF(AF18:AF37, "X")) &gt; 0, (COUNTIF(AF18:AF37, "✓") + COUNTIF(AF18:AF37, "✔") + COUNTIF(AF18:AF37, "v") + COUNTIF(AF18:AF37, "V")) &amp; "/" &amp; ((COUNTIF(AF18:AF37, "✓") + COUNTIF(AF18:AF37, "✔") + COUNTIF(AF18:AF37, "v") + COUNTIF(AF18:AF37, "V")) + COUNTIF(AF18:AF37, "✗") + COUNTIF(AF18:AF37, "x") + COUNTIF(AF18:AF37, "X")), "")</f>
        <v/>
      </c>
      <c r="AG38" s="33">
        <f>IF(((COUNTIF(AG18:AG37, "✓") + COUNTIF(AG18:AG37, "✔") + COUNTIF(AG18:AG37, "v") + COUNTIF(AG18:AG37, "V")) + COUNTIF(AG18:AG37, "✗") + COUNTIF(AG18:AG37, "x") + COUNTIF(AG18:AG37, "X")) &gt; 0, (COUNTIF(AG18:AG37, "✓") + COUNTIF(AG18:AG37, "✔") + COUNTIF(AG18:AG37, "v") + COUNTIF(AG18:AG37, "V")) &amp; "/" &amp; ((COUNTIF(AG18:AG37, "✓") + COUNTIF(AG18:AG37, "✔") + COUNTIF(AG18:AG37, "v") + COUNTIF(AG18:AG37, "V")) + COUNTIF(AG18:AG37, "✗") + COUNTIF(AG18:AG37, "x") + COUNTIF(AG18:AG37, "X")), "")</f>
        <v/>
      </c>
      <c r="AH38" s="33">
        <f>IF(((COUNTIF(AH18:AH37, "✓") + COUNTIF(AH18:AH37, "✔") + COUNTIF(AH18:AH37, "v") + COUNTIF(AH18:AH37, "V")) + COUNTIF(AH18:AH37, "✗") + COUNTIF(AH18:AH37, "x") + COUNTIF(AH18:AH37, "X")) &gt; 0, (COUNTIF(AH18:AH37, "✓") + COUNTIF(AH18:AH37, "✔") + COUNTIF(AH18:AH37, "v") + COUNTIF(AH18:AH37, "V")) &amp; "/" &amp; ((COUNTIF(AH18:AH37, "✓") + COUNTIF(AH18:AH37, "✔") + COUNTIF(AH18:AH37, "v") + COUNTIF(AH18:AH37, "V")) + COUNTIF(AH18:AH37, "✗") + COUNTIF(AH18:AH37, "x") + COUNTIF(AH18:AH37, "X")), "")</f>
        <v/>
      </c>
      <c r="AI38" s="133">
        <f>IF(SUM(D18:D37) &gt; 0, SUM(AL18:AL37) / SUM(D18:D37), "")</f>
        <v/>
      </c>
      <c r="AJ38" s="33">
        <f>IF(SUM(D18:D37) &gt; 0, SUM(AL18:AL37) &amp; "/" &amp; SUM(D18:D37), "")</f>
        <v/>
      </c>
      <c r="AK38" s="54" t="n"/>
    </row>
    <row r="39" ht="18" customHeight="1">
      <c r="A39" s="132" t="inlineStr">
        <is>
          <t>DAILY SUCCESS %</t>
        </is>
      </c>
      <c r="B39" s="54" t="n"/>
      <c r="C39" s="54" t="n"/>
      <c r="D39" s="54" t="n"/>
      <c r="E39" s="134">
        <f>IF(((COUNTIF(E18:E37, "✓") + COUNTIF(E18:E37, "✔") + COUNTIF(E18:E37, "v") + COUNTIF(E18:E37, "V")) + COUNTIF(E18:E37, "✗") + COUNTIF(E18:E37, "x") + COUNTIF(E18:E37, "X")) &gt; 0, (COUNTIF(E18:E37, "✓") + COUNTIF(E18:E37, "✔") + COUNTIF(E18:E37, "v") + COUNTIF(E18:E37, "V")) / ((COUNTIF(E18:E37, "✓") + COUNTIF(E18:E37, "✔") + COUNTIF(E18:E37, "v") + COUNTIF(E18:E37, "V")) + COUNTIF(E18:E37, "✗") + COUNTIF(E18:E37, "x") + COUNTIF(E18:E37, "X")), "")</f>
        <v/>
      </c>
      <c r="F39" s="134">
        <f>IF(((COUNTIF(F18:F37, "✓") + COUNTIF(F18:F37, "✔") + COUNTIF(F18:F37, "v") + COUNTIF(F18:F37, "V")) + COUNTIF(F18:F37, "✗") + COUNTIF(F18:F37, "x") + COUNTIF(F18:F37, "X")) &gt; 0, (COUNTIF(F18:F37, "✓") + COUNTIF(F18:F37, "✔") + COUNTIF(F18:F37, "v") + COUNTIF(F18:F37, "V")) / ((COUNTIF(F18:F37, "✓") + COUNTIF(F18:F37, "✔") + COUNTIF(F18:F37, "v") + COUNTIF(F18:F37, "V")) + COUNTIF(F18:F37, "✗") + COUNTIF(F18:F37, "x") + COUNTIF(F18:F37, "X")), "")</f>
        <v/>
      </c>
      <c r="G39" s="134">
        <f>IF(((COUNTIF(G18:G37, "✓") + COUNTIF(G18:G37, "✔") + COUNTIF(G18:G37, "v") + COUNTIF(G18:G37, "V")) + COUNTIF(G18:G37, "✗") + COUNTIF(G18:G37, "x") + COUNTIF(G18:G37, "X")) &gt; 0, (COUNTIF(G18:G37, "✓") + COUNTIF(G18:G37, "✔") + COUNTIF(G18:G37, "v") + COUNTIF(G18:G37, "V")) / ((COUNTIF(G18:G37, "✓") + COUNTIF(G18:G37, "✔") + COUNTIF(G18:G37, "v") + COUNTIF(G18:G37, "V")) + COUNTIF(G18:G37, "✗") + COUNTIF(G18:G37, "x") + COUNTIF(G18:G37, "X")), "")</f>
        <v/>
      </c>
      <c r="H39" s="134">
        <f>IF(((COUNTIF(H18:H37, "✓") + COUNTIF(H18:H37, "✔") + COUNTIF(H18:H37, "v") + COUNTIF(H18:H37, "V")) + COUNTIF(H18:H37, "✗") + COUNTIF(H18:H37, "x") + COUNTIF(H18:H37, "X")) &gt; 0, (COUNTIF(H18:H37, "✓") + COUNTIF(H18:H37, "✔") + COUNTIF(H18:H37, "v") + COUNTIF(H18:H37, "V")) / ((COUNTIF(H18:H37, "✓") + COUNTIF(H18:H37, "✔") + COUNTIF(H18:H37, "v") + COUNTIF(H18:H37, "V")) + COUNTIF(H18:H37, "✗") + COUNTIF(H18:H37, "x") + COUNTIF(H18:H37, "X")), "")</f>
        <v/>
      </c>
      <c r="I39" s="134">
        <f>IF(((COUNTIF(I18:I37, "✓") + COUNTIF(I18:I37, "✔") + COUNTIF(I18:I37, "v") + COUNTIF(I18:I37, "V")) + COUNTIF(I18:I37, "✗") + COUNTIF(I18:I37, "x") + COUNTIF(I18:I37, "X")) &gt; 0, (COUNTIF(I18:I37, "✓") + COUNTIF(I18:I37, "✔") + COUNTIF(I18:I37, "v") + COUNTIF(I18:I37, "V")) / ((COUNTIF(I18:I37, "✓") + COUNTIF(I18:I37, "✔") + COUNTIF(I18:I37, "v") + COUNTIF(I18:I37, "V")) + COUNTIF(I18:I37, "✗") + COUNTIF(I18:I37, "x") + COUNTIF(I18:I37, "X")), "")</f>
        <v/>
      </c>
      <c r="J39" s="134">
        <f>IF(((COUNTIF(J18:J37, "✓") + COUNTIF(J18:J37, "✔") + COUNTIF(J18:J37, "v") + COUNTIF(J18:J37, "V")) + COUNTIF(J18:J37, "✗") + COUNTIF(J18:J37, "x") + COUNTIF(J18:J37, "X")) &gt; 0, (COUNTIF(J18:J37, "✓") + COUNTIF(J18:J37, "✔") + COUNTIF(J18:J37, "v") + COUNTIF(J18:J37, "V")) / ((COUNTIF(J18:J37, "✓") + COUNTIF(J18:J37, "✔") + COUNTIF(J18:J37, "v") + COUNTIF(J18:J37, "V")) + COUNTIF(J18:J37, "✗") + COUNTIF(J18:J37, "x") + COUNTIF(J18:J37, "X")), "")</f>
        <v/>
      </c>
      <c r="K39" s="134">
        <f>IF(((COUNTIF(K18:K37, "✓") + COUNTIF(K18:K37, "✔") + COUNTIF(K18:K37, "v") + COUNTIF(K18:K37, "V")) + COUNTIF(K18:K37, "✗") + COUNTIF(K18:K37, "x") + COUNTIF(K18:K37, "X")) &gt; 0, (COUNTIF(K18:K37, "✓") + COUNTIF(K18:K37, "✔") + COUNTIF(K18:K37, "v") + COUNTIF(K18:K37, "V")) / ((COUNTIF(K18:K37, "✓") + COUNTIF(K18:K37, "✔") + COUNTIF(K18:K37, "v") + COUNTIF(K18:K37, "V")) + COUNTIF(K18:K37, "✗") + COUNTIF(K18:K37, "x") + COUNTIF(K18:K37, "X")), "")</f>
        <v/>
      </c>
      <c r="L39" s="134">
        <f>IF(((COUNTIF(L18:L37, "✓") + COUNTIF(L18:L37, "✔") + COUNTIF(L18:L37, "v") + COUNTIF(L18:L37, "V")) + COUNTIF(L18:L37, "✗") + COUNTIF(L18:L37, "x") + COUNTIF(L18:L37, "X")) &gt; 0, (COUNTIF(L18:L37, "✓") + COUNTIF(L18:L37, "✔") + COUNTIF(L18:L37, "v") + COUNTIF(L18:L37, "V")) / ((COUNTIF(L18:L37, "✓") + COUNTIF(L18:L37, "✔") + COUNTIF(L18:L37, "v") + COUNTIF(L18:L37, "V")) + COUNTIF(L18:L37, "✗") + COUNTIF(L18:L37, "x") + COUNTIF(L18:L37, "X")), "")</f>
        <v/>
      </c>
      <c r="M39" s="134">
        <f>IF(((COUNTIF(M18:M37, "✓") + COUNTIF(M18:M37, "✔") + COUNTIF(M18:M37, "v") + COUNTIF(M18:M37, "V")) + COUNTIF(M18:M37, "✗") + COUNTIF(M18:M37, "x") + COUNTIF(M18:M37, "X")) &gt; 0, (COUNTIF(M18:M37, "✓") + COUNTIF(M18:M37, "✔") + COUNTIF(M18:M37, "v") + COUNTIF(M18:M37, "V")) / ((COUNTIF(M18:M37, "✓") + COUNTIF(M18:M37, "✔") + COUNTIF(M18:M37, "v") + COUNTIF(M18:M37, "V")) + COUNTIF(M18:M37, "✗") + COUNTIF(M18:M37, "x") + COUNTIF(M18:M37, "X")), "")</f>
        <v/>
      </c>
      <c r="N39" s="134">
        <f>IF(((COUNTIF(N18:N37, "✓") + COUNTIF(N18:N37, "✔") + COUNTIF(N18:N37, "v") + COUNTIF(N18:N37, "V")) + COUNTIF(N18:N37, "✗") + COUNTIF(N18:N37, "x") + COUNTIF(N18:N37, "X")) &gt; 0, (COUNTIF(N18:N37, "✓") + COUNTIF(N18:N37, "✔") + COUNTIF(N18:N37, "v") + COUNTIF(N18:N37, "V")) / ((COUNTIF(N18:N37, "✓") + COUNTIF(N18:N37, "✔") + COUNTIF(N18:N37, "v") + COUNTIF(N18:N37, "V")) + COUNTIF(N18:N37, "✗") + COUNTIF(N18:N37, "x") + COUNTIF(N18:N37, "X")), "")</f>
        <v/>
      </c>
      <c r="O39" s="134">
        <f>IF(((COUNTIF(O18:O37, "✓") + COUNTIF(O18:O37, "✔") + COUNTIF(O18:O37, "v") + COUNTIF(O18:O37, "V")) + COUNTIF(O18:O37, "✗") + COUNTIF(O18:O37, "x") + COUNTIF(O18:O37, "X")) &gt; 0, (COUNTIF(O18:O37, "✓") + COUNTIF(O18:O37, "✔") + COUNTIF(O18:O37, "v") + COUNTIF(O18:O37, "V")) / ((COUNTIF(O18:O37, "✓") + COUNTIF(O18:O37, "✔") + COUNTIF(O18:O37, "v") + COUNTIF(O18:O37, "V")) + COUNTIF(O18:O37, "✗") + COUNTIF(O18:O37, "x") + COUNTIF(O18:O37, "X")), "")</f>
        <v/>
      </c>
      <c r="P39" s="134">
        <f>IF(((COUNTIF(P18:P37, "✓") + COUNTIF(P18:P37, "✔") + COUNTIF(P18:P37, "v") + COUNTIF(P18:P37, "V")) + COUNTIF(P18:P37, "✗") + COUNTIF(P18:P37, "x") + COUNTIF(P18:P37, "X")) &gt; 0, (COUNTIF(P18:P37, "✓") + COUNTIF(P18:P37, "✔") + COUNTIF(P18:P37, "v") + COUNTIF(P18:P37, "V")) / ((COUNTIF(P18:P37, "✓") + COUNTIF(P18:P37, "✔") + COUNTIF(P18:P37, "v") + COUNTIF(P18:P37, "V")) + COUNTIF(P18:P37, "✗") + COUNTIF(P18:P37, "x") + COUNTIF(P18:P37, "X")), "")</f>
        <v/>
      </c>
      <c r="Q39" s="134">
        <f>IF(((COUNTIF(Q18:Q37, "✓") + COUNTIF(Q18:Q37, "✔") + COUNTIF(Q18:Q37, "v") + COUNTIF(Q18:Q37, "V")) + COUNTIF(Q18:Q37, "✗") + COUNTIF(Q18:Q37, "x") + COUNTIF(Q18:Q37, "X")) &gt; 0, (COUNTIF(Q18:Q37, "✓") + COUNTIF(Q18:Q37, "✔") + COUNTIF(Q18:Q37, "v") + COUNTIF(Q18:Q37, "V")) / ((COUNTIF(Q18:Q37, "✓") + COUNTIF(Q18:Q37, "✔") + COUNTIF(Q18:Q37, "v") + COUNTIF(Q18:Q37, "V")) + COUNTIF(Q18:Q37, "✗") + COUNTIF(Q18:Q37, "x") + COUNTIF(Q18:Q37, "X")), "")</f>
        <v/>
      </c>
      <c r="R39" s="134">
        <f>IF(((COUNTIF(R18:R37, "✓") + COUNTIF(R18:R37, "✔") + COUNTIF(R18:R37, "v") + COUNTIF(R18:R37, "V")) + COUNTIF(R18:R37, "✗") + COUNTIF(R18:R37, "x") + COUNTIF(R18:R37, "X")) &gt; 0, (COUNTIF(R18:R37, "✓") + COUNTIF(R18:R37, "✔") + COUNTIF(R18:R37, "v") + COUNTIF(R18:R37, "V")) / ((COUNTIF(R18:R37, "✓") + COUNTIF(R18:R37, "✔") + COUNTIF(R18:R37, "v") + COUNTIF(R18:R37, "V")) + COUNTIF(R18:R37, "✗") + COUNTIF(R18:R37, "x") + COUNTIF(R18:R37, "X")), "")</f>
        <v/>
      </c>
      <c r="S39" s="134">
        <f>IF(((COUNTIF(S18:S37, "✓") + COUNTIF(S18:S37, "✔") + COUNTIF(S18:S37, "v") + COUNTIF(S18:S37, "V")) + COUNTIF(S18:S37, "✗") + COUNTIF(S18:S37, "x") + COUNTIF(S18:S37, "X")) &gt; 0, (COUNTIF(S18:S37, "✓") + COUNTIF(S18:S37, "✔") + COUNTIF(S18:S37, "v") + COUNTIF(S18:S37, "V")) / ((COUNTIF(S18:S37, "✓") + COUNTIF(S18:S37, "✔") + COUNTIF(S18:S37, "v") + COUNTIF(S18:S37, "V")) + COUNTIF(S18:S37, "✗") + COUNTIF(S18:S37, "x") + COUNTIF(S18:S37, "X")), "")</f>
        <v/>
      </c>
      <c r="T39" s="134">
        <f>IF(((COUNTIF(T18:T37, "✓") + COUNTIF(T18:T37, "✔") + COUNTIF(T18:T37, "v") + COUNTIF(T18:T37, "V")) + COUNTIF(T18:T37, "✗") + COUNTIF(T18:T37, "x") + COUNTIF(T18:T37, "X")) &gt; 0, (COUNTIF(T18:T37, "✓") + COUNTIF(T18:T37, "✔") + COUNTIF(T18:T37, "v") + COUNTIF(T18:T37, "V")) / ((COUNTIF(T18:T37, "✓") + COUNTIF(T18:T37, "✔") + COUNTIF(T18:T37, "v") + COUNTIF(T18:T37, "V")) + COUNTIF(T18:T37, "✗") + COUNTIF(T18:T37, "x") + COUNTIF(T18:T37, "X")), "")</f>
        <v/>
      </c>
      <c r="U39" s="134">
        <f>IF(((COUNTIF(U18:U37, "✓") + COUNTIF(U18:U37, "✔") + COUNTIF(U18:U37, "v") + COUNTIF(U18:U37, "V")) + COUNTIF(U18:U37, "✗") + COUNTIF(U18:U37, "x") + COUNTIF(U18:U37, "X")) &gt; 0, (COUNTIF(U18:U37, "✓") + COUNTIF(U18:U37, "✔") + COUNTIF(U18:U37, "v") + COUNTIF(U18:U37, "V")) / ((COUNTIF(U18:U37, "✓") + COUNTIF(U18:U37, "✔") + COUNTIF(U18:U37, "v") + COUNTIF(U18:U37, "V")) + COUNTIF(U18:U37, "✗") + COUNTIF(U18:U37, "x") + COUNTIF(U18:U37, "X")), "")</f>
        <v/>
      </c>
      <c r="V39" s="134">
        <f>IF(((COUNTIF(V18:V37, "✓") + COUNTIF(V18:V37, "✔") + COUNTIF(V18:V37, "v") + COUNTIF(V18:V37, "V")) + COUNTIF(V18:V37, "✗") + COUNTIF(V18:V37, "x") + COUNTIF(V18:V37, "X")) &gt; 0, (COUNTIF(V18:V37, "✓") + COUNTIF(V18:V37, "✔") + COUNTIF(V18:V37, "v") + COUNTIF(V18:V37, "V")) / ((COUNTIF(V18:V37, "✓") + COUNTIF(V18:V37, "✔") + COUNTIF(V18:V37, "v") + COUNTIF(V18:V37, "V")) + COUNTIF(V18:V37, "✗") + COUNTIF(V18:V37, "x") + COUNTIF(V18:V37, "X")), "")</f>
        <v/>
      </c>
      <c r="W39" s="134">
        <f>IF(((COUNTIF(W18:W37, "✓") + COUNTIF(W18:W37, "✔") + COUNTIF(W18:W37, "v") + COUNTIF(W18:W37, "V")) + COUNTIF(W18:W37, "✗") + COUNTIF(W18:W37, "x") + COUNTIF(W18:W37, "X")) &gt; 0, (COUNTIF(W18:W37, "✓") + COUNTIF(W18:W37, "✔") + COUNTIF(W18:W37, "v") + COUNTIF(W18:W37, "V")) / ((COUNTIF(W18:W37, "✓") + COUNTIF(W18:W37, "✔") + COUNTIF(W18:W37, "v") + COUNTIF(W18:W37, "V")) + COUNTIF(W18:W37, "✗") + COUNTIF(W18:W37, "x") + COUNTIF(W18:W37, "X")), "")</f>
        <v/>
      </c>
      <c r="X39" s="134">
        <f>IF(((COUNTIF(X18:X37, "✓") + COUNTIF(X18:X37, "✔") + COUNTIF(X18:X37, "v") + COUNTIF(X18:X37, "V")) + COUNTIF(X18:X37, "✗") + COUNTIF(X18:X37, "x") + COUNTIF(X18:X37, "X")) &gt; 0, (COUNTIF(X18:X37, "✓") + COUNTIF(X18:X37, "✔") + COUNTIF(X18:X37, "v") + COUNTIF(X18:X37, "V")) / ((COUNTIF(X18:X37, "✓") + COUNTIF(X18:X37, "✔") + COUNTIF(X18:X37, "v") + COUNTIF(X18:X37, "V")) + COUNTIF(X18:X37, "✗") + COUNTIF(X18:X37, "x") + COUNTIF(X18:X37, "X")), "")</f>
        <v/>
      </c>
      <c r="Y39" s="134">
        <f>IF(((COUNTIF(Y18:Y37, "✓") + COUNTIF(Y18:Y37, "✔") + COUNTIF(Y18:Y37, "v") + COUNTIF(Y18:Y37, "V")) + COUNTIF(Y18:Y37, "✗") + COUNTIF(Y18:Y37, "x") + COUNTIF(Y18:Y37, "X")) &gt; 0, (COUNTIF(Y18:Y37, "✓") + COUNTIF(Y18:Y37, "✔") + COUNTIF(Y18:Y37, "v") + COUNTIF(Y18:Y37, "V")) / ((COUNTIF(Y18:Y37, "✓") + COUNTIF(Y18:Y37, "✔") + COUNTIF(Y18:Y37, "v") + COUNTIF(Y18:Y37, "V")) + COUNTIF(Y18:Y37, "✗") + COUNTIF(Y18:Y37, "x") + COUNTIF(Y18:Y37, "X")), "")</f>
        <v/>
      </c>
      <c r="Z39" s="134">
        <f>IF(((COUNTIF(Z18:Z37, "✓") + COUNTIF(Z18:Z37, "✔") + COUNTIF(Z18:Z37, "v") + COUNTIF(Z18:Z37, "V")) + COUNTIF(Z18:Z37, "✗") + COUNTIF(Z18:Z37, "x") + COUNTIF(Z18:Z37, "X")) &gt; 0, (COUNTIF(Z18:Z37, "✓") + COUNTIF(Z18:Z37, "✔") + COUNTIF(Z18:Z37, "v") + COUNTIF(Z18:Z37, "V")) / ((COUNTIF(Z18:Z37, "✓") + COUNTIF(Z18:Z37, "✔") + COUNTIF(Z18:Z37, "v") + COUNTIF(Z18:Z37, "V")) + COUNTIF(Z18:Z37, "✗") + COUNTIF(Z18:Z37, "x") + COUNTIF(Z18:Z37, "X")), "")</f>
        <v/>
      </c>
      <c r="AA39" s="134">
        <f>IF(((COUNTIF(AA18:AA37, "✓") + COUNTIF(AA18:AA37, "✔") + COUNTIF(AA18:AA37, "v") + COUNTIF(AA18:AA37, "V")) + COUNTIF(AA18:AA37, "✗") + COUNTIF(AA18:AA37, "x") + COUNTIF(AA18:AA37, "X")) &gt; 0, (COUNTIF(AA18:AA37, "✓") + COUNTIF(AA18:AA37, "✔") + COUNTIF(AA18:AA37, "v") + COUNTIF(AA18:AA37, "V")) / ((COUNTIF(AA18:AA37, "✓") + COUNTIF(AA18:AA37, "✔") + COUNTIF(AA18:AA37, "v") + COUNTIF(AA18:AA37, "V")) + COUNTIF(AA18:AA37, "✗") + COUNTIF(AA18:AA37, "x") + COUNTIF(AA18:AA37, "X")), "")</f>
        <v/>
      </c>
      <c r="AB39" s="134">
        <f>IF(((COUNTIF(AB18:AB37, "✓") + COUNTIF(AB18:AB37, "✔") + COUNTIF(AB18:AB37, "v") + COUNTIF(AB18:AB37, "V")) + COUNTIF(AB18:AB37, "✗") + COUNTIF(AB18:AB37, "x") + COUNTIF(AB18:AB37, "X")) &gt; 0, (COUNTIF(AB18:AB37, "✓") + COUNTIF(AB18:AB37, "✔") + COUNTIF(AB18:AB37, "v") + COUNTIF(AB18:AB37, "V")) / ((COUNTIF(AB18:AB37, "✓") + COUNTIF(AB18:AB37, "✔") + COUNTIF(AB18:AB37, "v") + COUNTIF(AB18:AB37, "V")) + COUNTIF(AB18:AB37, "✗") + COUNTIF(AB18:AB37, "x") + COUNTIF(AB18:AB37, "X")), "")</f>
        <v/>
      </c>
      <c r="AC39" s="134">
        <f>IF(((COUNTIF(AC18:AC37, "✓") + COUNTIF(AC18:AC37, "✔") + COUNTIF(AC18:AC37, "v") + COUNTIF(AC18:AC37, "V")) + COUNTIF(AC18:AC37, "✗") + COUNTIF(AC18:AC37, "x") + COUNTIF(AC18:AC37, "X")) &gt; 0, (COUNTIF(AC18:AC37, "✓") + COUNTIF(AC18:AC37, "✔") + COUNTIF(AC18:AC37, "v") + COUNTIF(AC18:AC37, "V")) / ((COUNTIF(AC18:AC37, "✓") + COUNTIF(AC18:AC37, "✔") + COUNTIF(AC18:AC37, "v") + COUNTIF(AC18:AC37, "V")) + COUNTIF(AC18:AC37, "✗") + COUNTIF(AC18:AC37, "x") + COUNTIF(AC18:AC37, "X")), "")</f>
        <v/>
      </c>
      <c r="AD39" s="134">
        <f>IF(((COUNTIF(AD18:AD37, "✓") + COUNTIF(AD18:AD37, "✔") + COUNTIF(AD18:AD37, "v") + COUNTIF(AD18:AD37, "V")) + COUNTIF(AD18:AD37, "✗") + COUNTIF(AD18:AD37, "x") + COUNTIF(AD18:AD37, "X")) &gt; 0, (COUNTIF(AD18:AD37, "✓") + COUNTIF(AD18:AD37, "✔") + COUNTIF(AD18:AD37, "v") + COUNTIF(AD18:AD37, "V")) / ((COUNTIF(AD18:AD37, "✓") + COUNTIF(AD18:AD37, "✔") + COUNTIF(AD18:AD37, "v") + COUNTIF(AD18:AD37, "V")) + COUNTIF(AD18:AD37, "✗") + COUNTIF(AD18:AD37, "x") + COUNTIF(AD18:AD37, "X")), "")</f>
        <v/>
      </c>
      <c r="AE39" s="134">
        <f>IF(((COUNTIF(AE18:AE37, "✓") + COUNTIF(AE18:AE37, "✔") + COUNTIF(AE18:AE37, "v") + COUNTIF(AE18:AE37, "V")) + COUNTIF(AE18:AE37, "✗") + COUNTIF(AE18:AE37, "x") + COUNTIF(AE18:AE37, "X")) &gt; 0, (COUNTIF(AE18:AE37, "✓") + COUNTIF(AE18:AE37, "✔") + COUNTIF(AE18:AE37, "v") + COUNTIF(AE18:AE37, "V")) / ((COUNTIF(AE18:AE37, "✓") + COUNTIF(AE18:AE37, "✔") + COUNTIF(AE18:AE37, "v") + COUNTIF(AE18:AE37, "V")) + COUNTIF(AE18:AE37, "✗") + COUNTIF(AE18:AE37, "x") + COUNTIF(AE18:AE37, "X")), "")</f>
        <v/>
      </c>
      <c r="AF39" s="134">
        <f>IF(((COUNTIF(AF18:AF37, "✓") + COUNTIF(AF18:AF37, "✔") + COUNTIF(AF18:AF37, "v") + COUNTIF(AF18:AF37, "V")) + COUNTIF(AF18:AF37, "✗") + COUNTIF(AF18:AF37, "x") + COUNTIF(AF18:AF37, "X")) &gt; 0, (COUNTIF(AF18:AF37, "✓") + COUNTIF(AF18:AF37, "✔") + COUNTIF(AF18:AF37, "v") + COUNTIF(AF18:AF37, "V")) / ((COUNTIF(AF18:AF37, "✓") + COUNTIF(AF18:AF37, "✔") + COUNTIF(AF18:AF37, "v") + COUNTIF(AF18:AF37, "V")) + COUNTIF(AF18:AF37, "✗") + COUNTIF(AF18:AF37, "x") + COUNTIF(AF18:AF37, "X")), "")</f>
        <v/>
      </c>
      <c r="AG39" s="134">
        <f>IF(((COUNTIF(AG18:AG37, "✓") + COUNTIF(AG18:AG37, "✔") + COUNTIF(AG18:AG37, "v") + COUNTIF(AG18:AG37, "V")) + COUNTIF(AG18:AG37, "✗") + COUNTIF(AG18:AG37, "x") + COUNTIF(AG18:AG37, "X")) &gt; 0, (COUNTIF(AG18:AG37, "✓") + COUNTIF(AG18:AG37, "✔") + COUNTIF(AG18:AG37, "v") + COUNTIF(AG18:AG37, "V")) / ((COUNTIF(AG18:AG37, "✓") + COUNTIF(AG18:AG37, "✔") + COUNTIF(AG18:AG37, "v") + COUNTIF(AG18:AG37, "V")) + COUNTIF(AG18:AG37, "✗") + COUNTIF(AG18:AG37, "x") + COUNTIF(AG18:AG37, "X")), "")</f>
        <v/>
      </c>
      <c r="AH39" s="134">
        <f>IF(((COUNTIF(AH18:AH37, "✓") + COUNTIF(AH18:AH37, "✔") + COUNTIF(AH18:AH37, "v") + COUNTIF(AH18:AH37, "V")) + COUNTIF(AH18:AH37, "✗") + COUNTIF(AH18:AH37, "x") + COUNTIF(AH18:AH37, "X")) &gt; 0, (COUNTIF(AH18:AH37, "✓") + COUNTIF(AH18:AH37, "✔") + COUNTIF(AH18:AH37, "v") + COUNTIF(AH18:AH37, "V")) / ((COUNTIF(AH18:AH37, "✓") + COUNTIF(AH18:AH37, "✔") + COUNTIF(AH18:AH37, "v") + COUNTIF(AH18:AH37, "V")) + COUNTIF(AH18:AH37, "✗") + COUNTIF(AH18:AH37, "x") + COUNTIF(AH18:AH37, "X")), "")</f>
        <v/>
      </c>
      <c r="AI39" s="133">
        <f>IF(COUNT(E39:AH39) &gt; 0, AVERAGE(E39:AH39), "")</f>
        <v/>
      </c>
      <c r="AJ39" s="54" t="n"/>
      <c r="AK39" s="54" t="n"/>
    </row>
    <row r="40" ht="6" customHeight="1"/>
    <row r="41" ht="15" customHeight="1">
      <c r="A41" s="135" t="inlineStr">
        <is>
          <t>IF SUCCESS &lt; 80%, PUNISHMENT: ________________________________________________</t>
        </is>
      </c>
    </row>
    <row r="42" ht="15" customHeight="1">
      <c r="A42" s="136" t="inlineStr">
        <is>
          <t>IF SUCCESS &gt; 90%, REWARD: __________________________________________________</t>
        </is>
      </c>
    </row>
    <row r="43" ht="10" customHeight="1"/>
    <row r="44" ht="10" customHeight="1"/>
    <row r="45" ht="15" customHeight="1">
      <c r="A45" s="51" t="inlineStr">
        <is>
          <t>Sleep Tracking</t>
        </is>
      </c>
      <c r="B45" s="52" t="n"/>
      <c r="C45" s="52" t="n"/>
      <c r="D45" s="52" t="n"/>
      <c r="E45" s="137" t="n">
        <v>1</v>
      </c>
      <c r="F45" s="137" t="n">
        <v>2</v>
      </c>
      <c r="G45" s="138" t="n">
        <v>3</v>
      </c>
      <c r="H45" s="137" t="n">
        <v>4</v>
      </c>
      <c r="I45" s="137" t="n">
        <v>5</v>
      </c>
      <c r="J45" s="137" t="n">
        <v>6</v>
      </c>
      <c r="K45" s="137" t="n">
        <v>7</v>
      </c>
      <c r="L45" s="137" t="n">
        <v>8</v>
      </c>
      <c r="M45" s="137" t="n">
        <v>9</v>
      </c>
      <c r="N45" s="138" t="n">
        <v>10</v>
      </c>
      <c r="O45" s="137" t="n">
        <v>11</v>
      </c>
      <c r="P45" s="137" t="n">
        <v>12</v>
      </c>
      <c r="Q45" s="137" t="n">
        <v>13</v>
      </c>
      <c r="R45" s="137" t="n">
        <v>14</v>
      </c>
      <c r="S45" s="137" t="n">
        <v>15</v>
      </c>
      <c r="T45" s="137" t="n">
        <v>16</v>
      </c>
      <c r="U45" s="138" t="n">
        <v>17</v>
      </c>
      <c r="V45" s="137" t="n">
        <v>18</v>
      </c>
      <c r="W45" s="137" t="n">
        <v>19</v>
      </c>
      <c r="X45" s="137" t="n">
        <v>20</v>
      </c>
      <c r="Y45" s="137" t="n">
        <v>21</v>
      </c>
      <c r="Z45" s="137" t="n">
        <v>22</v>
      </c>
      <c r="AA45" s="137" t="n">
        <v>23</v>
      </c>
      <c r="AB45" s="138" t="n">
        <v>24</v>
      </c>
      <c r="AC45" s="137" t="n">
        <v>25</v>
      </c>
      <c r="AD45" s="137" t="n">
        <v>26</v>
      </c>
      <c r="AE45" s="137" t="n">
        <v>27</v>
      </c>
      <c r="AF45" s="137" t="n">
        <v>28</v>
      </c>
      <c r="AG45" s="137" t="n">
        <v>29</v>
      </c>
      <c r="AH45" s="137" t="n">
        <v>30</v>
      </c>
    </row>
    <row r="46" ht="15" customHeight="1">
      <c r="A46" s="52" t="n"/>
      <c r="B46" s="52" t="n"/>
      <c r="C46" s="52" t="n"/>
      <c r="D46" s="52" t="n"/>
      <c r="E46" s="139" t="inlineStr">
        <is>
          <t>F</t>
        </is>
      </c>
      <c r="F46" s="139" t="inlineStr">
        <is>
          <t>Sa</t>
        </is>
      </c>
      <c r="G46" s="140" t="inlineStr">
        <is>
          <t>Su</t>
        </is>
      </c>
      <c r="H46" s="139" t="inlineStr">
        <is>
          <t>M</t>
        </is>
      </c>
      <c r="I46" s="139" t="inlineStr">
        <is>
          <t>T</t>
        </is>
      </c>
      <c r="J46" s="139" t="inlineStr">
        <is>
          <t>W</t>
        </is>
      </c>
      <c r="K46" s="139" t="inlineStr">
        <is>
          <t>Th</t>
        </is>
      </c>
      <c r="L46" s="139" t="inlineStr">
        <is>
          <t>F</t>
        </is>
      </c>
      <c r="M46" s="139" t="inlineStr">
        <is>
          <t>Sa</t>
        </is>
      </c>
      <c r="N46" s="140" t="inlineStr">
        <is>
          <t>Su</t>
        </is>
      </c>
      <c r="O46" s="139" t="inlineStr">
        <is>
          <t>M</t>
        </is>
      </c>
      <c r="P46" s="139" t="inlineStr">
        <is>
          <t>T</t>
        </is>
      </c>
      <c r="Q46" s="139" t="inlineStr">
        <is>
          <t>W</t>
        </is>
      </c>
      <c r="R46" s="139" t="inlineStr">
        <is>
          <t>Th</t>
        </is>
      </c>
      <c r="S46" s="139" t="inlineStr">
        <is>
          <t>F</t>
        </is>
      </c>
      <c r="T46" s="139" t="inlineStr">
        <is>
          <t>Sa</t>
        </is>
      </c>
      <c r="U46" s="140" t="inlineStr">
        <is>
          <t>Su</t>
        </is>
      </c>
      <c r="V46" s="139" t="inlineStr">
        <is>
          <t>M</t>
        </is>
      </c>
      <c r="W46" s="139" t="inlineStr">
        <is>
          <t>T</t>
        </is>
      </c>
      <c r="X46" s="139" t="inlineStr">
        <is>
          <t>W</t>
        </is>
      </c>
      <c r="Y46" s="139" t="inlineStr">
        <is>
          <t>Th</t>
        </is>
      </c>
      <c r="Z46" s="139" t="inlineStr">
        <is>
          <t>F</t>
        </is>
      </c>
      <c r="AA46" s="139" t="inlineStr">
        <is>
          <t>Sa</t>
        </is>
      </c>
      <c r="AB46" s="140" t="inlineStr">
        <is>
          <t>Su</t>
        </is>
      </c>
      <c r="AC46" s="139" t="inlineStr">
        <is>
          <t>M</t>
        </is>
      </c>
      <c r="AD46" s="139" t="inlineStr">
        <is>
          <t>T</t>
        </is>
      </c>
      <c r="AE46" s="139" t="inlineStr">
        <is>
          <t>W</t>
        </is>
      </c>
      <c r="AF46" s="139" t="inlineStr">
        <is>
          <t>Th</t>
        </is>
      </c>
      <c r="AG46" s="139" t="inlineStr">
        <is>
          <t>F</t>
        </is>
      </c>
      <c r="AH46" s="139" t="inlineStr">
        <is>
          <t>Sa</t>
        </is>
      </c>
    </row>
    <row r="47" ht="20" customHeight="1">
      <c r="A47" s="141" t="inlineStr">
        <is>
          <t>Sleep Hours (1-24)</t>
        </is>
      </c>
      <c r="B47" s="142" t="n"/>
      <c r="C47" s="142" t="n"/>
      <c r="D47" s="142" t="n"/>
      <c r="E47" s="143" t="n"/>
      <c r="F47" s="143" t="n"/>
      <c r="G47" s="144" t="n"/>
      <c r="H47" s="143" t="n"/>
      <c r="I47" s="143" t="n"/>
      <c r="J47" s="143" t="n"/>
      <c r="K47" s="143" t="n"/>
      <c r="L47" s="143" t="n"/>
      <c r="M47" s="143" t="n"/>
      <c r="N47" s="144" t="n"/>
      <c r="O47" s="143" t="n"/>
      <c r="P47" s="143" t="n"/>
      <c r="Q47" s="143" t="n"/>
      <c r="R47" s="143" t="n"/>
      <c r="S47" s="143" t="n"/>
      <c r="T47" s="143" t="n"/>
      <c r="U47" s="144" t="n"/>
      <c r="V47" s="143" t="n"/>
      <c r="W47" s="143" t="n"/>
      <c r="X47" s="143" t="n"/>
      <c r="Y47" s="143" t="n"/>
      <c r="Z47" s="143" t="n"/>
      <c r="AA47" s="143" t="n"/>
      <c r="AB47" s="144" t="n"/>
      <c r="AC47" s="143" t="n"/>
      <c r="AD47" s="143" t="n"/>
      <c r="AE47" s="143" t="n"/>
      <c r="AF47" s="143" t="n"/>
      <c r="AG47" s="143" t="n"/>
      <c r="AH47" s="143" t="n"/>
    </row>
    <row r="48" ht="6" customHeight="1"/>
    <row r="49" ht="14" customHeight="1"/>
    <row r="50" ht="14" customHeight="1"/>
    <row r="51" ht="14" customHeight="1"/>
    <row r="52" ht="14" customHeight="1"/>
    <row r="53" ht="14" customHeight="1"/>
    <row r="54" ht="14" customHeight="1"/>
    <row r="55" ht="14" customHeight="1"/>
    <row r="56" ht="14" customHeight="1"/>
    <row r="57" ht="14" customHeight="1"/>
    <row r="58" ht="14" customHeight="1"/>
    <row r="59" ht="14" customHeight="1"/>
    <row r="60" ht="14" customHeight="1"/>
    <row r="61" ht="14" customHeight="1"/>
    <row r="62" ht="14" customHeight="1"/>
    <row r="63" ht="14" customHeight="1"/>
    <row r="64" ht="14" customHeight="1"/>
    <row r="65" ht="14" customHeight="1"/>
    <row r="66" ht="8" customHeight="1"/>
    <row r="67">
      <c r="A67" s="145" t="inlineStr">
        <is>
          <t>MONTHLY SUCCESS RATE</t>
        </is>
      </c>
      <c r="B67" s="9" t="n"/>
      <c r="C67" s="9" t="n"/>
      <c r="D67" s="9" t="n"/>
      <c r="F67" s="146" t="inlineStr">
        <is>
          <t>ACTIVE PROTOCOLS</t>
        </is>
      </c>
      <c r="G67" s="11" t="n"/>
      <c r="H67" s="11" t="n"/>
      <c r="I67" s="11" t="n"/>
      <c r="K67" s="147" t="inlineStr">
        <is>
          <t>PERFECT DAYS (100%)</t>
        </is>
      </c>
      <c r="L67" s="13" t="n"/>
      <c r="M67" s="13" t="n"/>
      <c r="N67" s="13" t="n"/>
      <c r="P67" s="148" t="inlineStr">
        <is>
          <t>AVG SLEEP DURATION</t>
        </is>
      </c>
      <c r="Q67" s="15" t="n"/>
      <c r="R67" s="15" t="n"/>
      <c r="S67" s="15" t="n"/>
    </row>
    <row r="68">
      <c r="A68" s="149">
        <f>IF(SUM(D18:D37)&gt;0, SUM(AL18:AL37)/SUM(D18:D37), 0)</f>
        <v/>
      </c>
      <c r="B68" s="9" t="n"/>
      <c r="C68" s="9" t="n"/>
      <c r="D68" s="9" t="n"/>
      <c r="F68" s="150">
        <f>COUNTA(B18:B37) &amp; " / 20"</f>
        <v/>
      </c>
      <c r="G68" s="11" t="n"/>
      <c r="H68" s="11" t="n"/>
      <c r="I68" s="11" t="n"/>
      <c r="K68" s="151">
        <f>COUNTIF(E39:AH39, 1) &amp; " Days"</f>
        <v/>
      </c>
      <c r="L68" s="13" t="n"/>
      <c r="M68" s="13" t="n"/>
      <c r="N68" s="13" t="n"/>
      <c r="P68" s="152">
        <f>IFERROR(TEXT(AVERAGE(E47:AH47), "0.0") &amp; " hrs", "-")</f>
        <v/>
      </c>
      <c r="Q68" s="15" t="n"/>
      <c r="R68" s="15" t="n"/>
      <c r="S68" s="15" t="n"/>
    </row>
    <row r="69">
      <c r="A69" s="9" t="n"/>
      <c r="B69" s="9" t="n"/>
      <c r="C69" s="9" t="n"/>
      <c r="D69" s="9" t="n"/>
      <c r="F69" s="11" t="n"/>
      <c r="G69" s="11" t="n"/>
      <c r="H69" s="11" t="n"/>
      <c r="I69" s="11" t="n"/>
      <c r="K69" s="13" t="n"/>
      <c r="L69" s="13" t="n"/>
      <c r="M69" s="13" t="n"/>
      <c r="N69" s="13" t="n"/>
      <c r="P69" s="15" t="n"/>
      <c r="Q69" s="15" t="n"/>
      <c r="R69" s="15" t="n"/>
      <c r="S69" s="15" t="n"/>
    </row>
    <row r="70">
      <c r="A70" s="9" t="n"/>
      <c r="B70" s="9" t="n"/>
      <c r="C70" s="9" t="n"/>
      <c r="D70" s="9" t="n"/>
      <c r="F70" s="11" t="n"/>
      <c r="G70" s="11" t="n"/>
      <c r="H70" s="11" t="n"/>
      <c r="I70" s="11" t="n"/>
      <c r="K70" s="13" t="n"/>
      <c r="L70" s="13" t="n"/>
      <c r="M70" s="13" t="n"/>
      <c r="N70" s="13" t="n"/>
      <c r="P70" s="15" t="n"/>
      <c r="Q70" s="15" t="n"/>
      <c r="R70" s="15" t="n"/>
      <c r="S70" s="15" t="n"/>
    </row>
    <row r="71">
      <c r="A71" s="153" t="inlineStr">
        <is>
          <t>Target Completion</t>
        </is>
      </c>
      <c r="B71" s="9" t="n"/>
      <c r="C71" s="9" t="n"/>
      <c r="D71" s="9" t="n"/>
      <c r="F71" s="154" t="inlineStr">
        <is>
          <t>Habits Tracked</t>
        </is>
      </c>
      <c r="G71" s="11" t="n"/>
      <c r="H71" s="11" t="n"/>
      <c r="I71" s="11" t="n"/>
      <c r="K71" s="155" t="inlineStr">
        <is>
          <t>All Marked Habits Completed</t>
        </is>
      </c>
      <c r="L71" s="13" t="n"/>
      <c r="M71" s="13" t="n"/>
      <c r="N71" s="13" t="n"/>
      <c r="P71" s="156" t="inlineStr">
        <is>
          <t>Nightly Rest Average</t>
        </is>
      </c>
      <c r="Q71" s="15" t="n"/>
      <c r="R71" s="15" t="n"/>
      <c r="S71" s="15" t="n"/>
    </row>
    <row r="72" ht="8" customHeight="1"/>
    <row r="73" ht="6" customHeight="1"/>
    <row r="74">
      <c r="A74" s="67" t="inlineStr">
        <is>
          <t>WEEKLY PERFORMANCE (SLUMP DETECTOR)</t>
        </is>
      </c>
      <c r="B74" s="29" t="n"/>
      <c r="C74" s="29" t="n"/>
      <c r="D74" s="29" t="n"/>
      <c r="E74" s="29" t="n"/>
      <c r="N74" s="157" t="inlineStr">
        <is>
          <t>LIFE DOMAIN / CATEGORY BREAKDOWN</t>
        </is>
      </c>
      <c r="O74" s="158" t="n"/>
      <c r="P74" s="158" t="n"/>
      <c r="Q74" s="158" t="n"/>
      <c r="R74" s="158" t="n"/>
      <c r="S74" s="158" t="n"/>
    </row>
    <row r="75" ht="15" customHeight="1">
      <c r="A75" s="53" t="inlineStr">
        <is>
          <t>Week</t>
        </is>
      </c>
      <c r="B75" s="53" t="inlineStr">
        <is>
          <t>Days Range</t>
        </is>
      </c>
      <c r="C75" s="53" t="inlineStr">
        <is>
          <t>Checks Done</t>
        </is>
      </c>
      <c r="D75" s="53" t="inlineStr">
        <is>
          <t>Evaluated</t>
        </is>
      </c>
      <c r="E75" s="53" t="inlineStr">
        <is>
          <t>Success %</t>
        </is>
      </c>
      <c r="N75" s="53" t="inlineStr">
        <is>
          <t>Domain / Category</t>
        </is>
      </c>
      <c r="O75" s="54" t="n"/>
      <c r="P75" s="53" t="inlineStr">
        <is>
          <t>Active Habits</t>
        </is>
      </c>
      <c r="Q75" s="53" t="inlineStr">
        <is>
          <t>Target Days</t>
        </is>
      </c>
      <c r="R75" s="53" t="inlineStr">
        <is>
          <t>Done Checks</t>
        </is>
      </c>
      <c r="S75" s="53" t="inlineStr">
        <is>
          <t>Success %</t>
        </is>
      </c>
    </row>
    <row r="76" ht="14" customHeight="1">
      <c r="A76" s="33" t="inlineStr">
        <is>
          <t>Week 1</t>
        </is>
      </c>
      <c r="B76" s="34" t="inlineStr">
        <is>
          <t>Days 1 - 7</t>
        </is>
      </c>
      <c r="C76" s="34">
        <f>COUNTIF(E18:K37, "✓")</f>
        <v/>
      </c>
      <c r="D76" s="34">
        <f>COUNTIF(E18:K37, "✓") + COUNTIF(E18:K37, "✗")</f>
        <v/>
      </c>
      <c r="E76" s="35">
        <f>IFERROR(C76/D76, 0)</f>
        <v/>
      </c>
      <c r="N76" s="60" t="inlineStr">
        <is>
          <t>Health &amp; Fitness</t>
        </is>
      </c>
      <c r="O76" s="54" t="n"/>
      <c r="P76" s="34">
        <f>COUNTIF($C$18:$C$37, "Health &amp; Fitness")</f>
        <v/>
      </c>
      <c r="Q76" s="34">
        <f>SUMIF($C$18:$C$37, "Health &amp; Fitness", $D$18:$D$37)</f>
        <v/>
      </c>
      <c r="R76" s="34">
        <f>SUMIF($C$18:$C$37, "Health &amp; Fitness", $AL$18:$AL$37)</f>
        <v/>
      </c>
      <c r="S76" s="35">
        <f>IFERROR(R76/Q76, 0)</f>
        <v/>
      </c>
    </row>
    <row r="77" ht="14" customHeight="1">
      <c r="A77" s="33" t="inlineStr">
        <is>
          <t>Week 2</t>
        </is>
      </c>
      <c r="B77" s="34" t="inlineStr">
        <is>
          <t>Days 8 - 14</t>
        </is>
      </c>
      <c r="C77" s="34">
        <f>COUNTIF(L18:R37, "✓")</f>
        <v/>
      </c>
      <c r="D77" s="34">
        <f>COUNTIF(L18:R37, "✓") + COUNTIF(L18:R37, "✗")</f>
        <v/>
      </c>
      <c r="E77" s="35">
        <f>IFERROR(C77/D77, 0)</f>
        <v/>
      </c>
      <c r="N77" s="60" t="inlineStr">
        <is>
          <t>Mindset &amp; Learning</t>
        </is>
      </c>
      <c r="O77" s="54" t="n"/>
      <c r="P77" s="34">
        <f>COUNTIF($C$18:$C$37, "Mindset &amp; Learning")</f>
        <v/>
      </c>
      <c r="Q77" s="34">
        <f>SUMIF($C$18:$C$37, "Mindset &amp; Learning", $D$18:$D$37)</f>
        <v/>
      </c>
      <c r="R77" s="34">
        <f>SUMIF($C$18:$C$37, "Mindset &amp; Learning", $AL$18:$AL$37)</f>
        <v/>
      </c>
      <c r="S77" s="35">
        <f>IFERROR(R77/Q77, 0)</f>
        <v/>
      </c>
    </row>
    <row r="78" ht="14" customHeight="1">
      <c r="A78" s="33" t="inlineStr">
        <is>
          <t>Week 3</t>
        </is>
      </c>
      <c r="B78" s="34" t="inlineStr">
        <is>
          <t>Days 15 - 21</t>
        </is>
      </c>
      <c r="C78" s="34">
        <f>COUNTIF(S18:Y37, "✓")</f>
        <v/>
      </c>
      <c r="D78" s="34">
        <f>COUNTIF(S18:Y37, "✓") + COUNTIF(S18:Y37, "✗")</f>
        <v/>
      </c>
      <c r="E78" s="35">
        <f>IFERROR(C78/D78, 0)</f>
        <v/>
      </c>
      <c r="N78" s="60" t="inlineStr">
        <is>
          <t>Career &amp; Focus</t>
        </is>
      </c>
      <c r="O78" s="54" t="n"/>
      <c r="P78" s="34">
        <f>COUNTIF($C$18:$C$37, "Career &amp; Focus")</f>
        <v/>
      </c>
      <c r="Q78" s="34">
        <f>SUMIF($C$18:$C$37, "Career &amp; Focus", $D$18:$D$37)</f>
        <v/>
      </c>
      <c r="R78" s="34">
        <f>SUMIF($C$18:$C$37, "Career &amp; Focus", $AL$18:$AL$37)</f>
        <v/>
      </c>
      <c r="S78" s="35">
        <f>IFERROR(R78/Q78, 0)</f>
        <v/>
      </c>
    </row>
    <row r="79" ht="14" customHeight="1">
      <c r="A79" s="33" t="inlineStr">
        <is>
          <t>Week 4</t>
        </is>
      </c>
      <c r="B79" s="34" t="inlineStr">
        <is>
          <t>Days 22 - 28</t>
        </is>
      </c>
      <c r="C79" s="34">
        <f>COUNTIF(Z18:AF37, "✓")</f>
        <v/>
      </c>
      <c r="D79" s="34">
        <f>COUNTIF(Z18:AF37, "✓") + COUNTIF(Z18:AF37, "✗")</f>
        <v/>
      </c>
      <c r="E79" s="35">
        <f>IFERROR(C79/D79, 0)</f>
        <v/>
      </c>
      <c r="N79" s="60" t="inlineStr">
        <is>
          <t>Personal &amp; Home</t>
        </is>
      </c>
      <c r="O79" s="54" t="n"/>
      <c r="P79" s="34">
        <f>COUNTIF($C$18:$C$37, "Personal &amp; Home")</f>
        <v/>
      </c>
      <c r="Q79" s="34">
        <f>SUMIF($C$18:$C$37, "Personal &amp; Home", $D$18:$D$37)</f>
        <v/>
      </c>
      <c r="R79" s="34">
        <f>SUMIF($C$18:$C$37, "Personal &amp; Home", $AL$18:$AL$37)</f>
        <v/>
      </c>
      <c r="S79" s="35">
        <f>IFERROR(R79/Q79, 0)</f>
        <v/>
      </c>
    </row>
    <row r="80" ht="14" customHeight="1">
      <c r="A80" s="33" t="inlineStr">
        <is>
          <t>Week 5</t>
        </is>
      </c>
      <c r="B80" s="34" t="inlineStr">
        <is>
          <t>Days 29 - 30</t>
        </is>
      </c>
      <c r="C80" s="34">
        <f>COUNTIF(AG18:AH37, "✓")</f>
        <v/>
      </c>
      <c r="D80" s="34">
        <f>COUNTIF(AG18:AH37, "✓") + COUNTIF(AG18:AH37, "✗")</f>
        <v/>
      </c>
      <c r="E80" s="35">
        <f>IFERROR(C80/D80, 0)</f>
        <v/>
      </c>
      <c r="N80" s="60" t="inlineStr">
        <is>
          <t>Finance &amp; Wealth</t>
        </is>
      </c>
      <c r="O80" s="54" t="n"/>
      <c r="P80" s="34">
        <f>COUNTIF($C$18:$C$37, "Finance &amp; Wealth")</f>
        <v/>
      </c>
      <c r="Q80" s="34">
        <f>SUMIF($C$18:$C$37, "Finance &amp; Wealth", $D$18:$D$37)</f>
        <v/>
      </c>
      <c r="R80" s="34">
        <f>SUMIF($C$18:$C$37, "Finance &amp; Wealth", $AL$18:$AL$37)</f>
        <v/>
      </c>
      <c r="S80" s="35">
        <f>IFERROR(R80/Q80, 0)</f>
        <v/>
      </c>
    </row>
    <row r="81" ht="14" customHeight="1">
      <c r="A81" s="33" t="inlineStr">
        <is>
          <t>Total / Avg</t>
        </is>
      </c>
      <c r="B81" s="159" t="inlineStr">
        <is>
          <t>Month Total</t>
        </is>
      </c>
      <c r="C81" s="33">
        <f>SUM(C76:C80)</f>
        <v/>
      </c>
      <c r="D81" s="33">
        <f>SUM(D76:D80)</f>
        <v/>
      </c>
      <c r="E81" s="133">
        <f>IFERROR(C81/D81, 0)</f>
        <v/>
      </c>
    </row>
    <row r="82" ht="10" customHeight="1"/>
    <row r="83" ht="10" customHeight="1"/>
    <row r="84">
      <c r="A84" s="51" t="inlineStr">
        <is>
          <t>SLEEP &amp; PRODUCTIVITY CORRELATION ANALYSIS</t>
        </is>
      </c>
      <c r="B84" s="52" t="n"/>
      <c r="C84" s="52" t="n"/>
      <c r="D84" s="52" t="n"/>
      <c r="E84" s="52" t="n"/>
      <c r="F84" s="52" t="n"/>
      <c r="G84" s="52" t="n"/>
      <c r="H84" s="52" t="n"/>
      <c r="I84" s="52" t="n"/>
      <c r="J84" s="52" t="n"/>
      <c r="K84" s="52" t="n"/>
      <c r="L84" s="52" t="n"/>
      <c r="M84" s="52" t="n"/>
      <c r="N84" s="52" t="n"/>
      <c r="O84" s="52" t="n"/>
      <c r="P84" s="52" t="n"/>
      <c r="Q84" s="52" t="n"/>
      <c r="R84" s="52" t="n"/>
      <c r="S84" s="52" t="n"/>
      <c r="T84" s="52" t="n"/>
      <c r="U84" s="52" t="n"/>
      <c r="V84" s="52" t="n"/>
      <c r="W84" s="52" t="n"/>
      <c r="X84" s="52" t="n"/>
      <c r="Y84" s="52" t="n"/>
      <c r="Z84" s="52" t="n"/>
      <c r="AA84" s="52" t="n"/>
      <c r="AB84" s="52" t="n"/>
      <c r="AC84" s="52" t="n"/>
      <c r="AD84" s="52" t="n"/>
      <c r="AE84" s="52" t="n"/>
      <c r="AF84" s="52" t="n"/>
      <c r="AG84" s="52" t="n"/>
      <c r="AH84" s="52" t="n"/>
      <c r="AI84" s="52" t="n"/>
      <c r="AJ84" s="52" t="n"/>
      <c r="AK84" s="52" t="n"/>
    </row>
    <row r="85" ht="15" customHeight="1">
      <c r="A85" s="53" t="inlineStr">
        <is>
          <t>Rest Category</t>
        </is>
      </c>
      <c r="B85" s="54" t="n"/>
      <c r="C85" s="54" t="n"/>
      <c r="D85" s="53" t="inlineStr">
        <is>
          <t>Day Criteria</t>
        </is>
      </c>
      <c r="E85" s="54" t="n"/>
      <c r="F85" s="54" t="n"/>
      <c r="G85" s="53" t="inlineStr">
        <is>
          <t>Days Logged</t>
        </is>
      </c>
      <c r="H85" s="54" t="n"/>
      <c r="I85" s="54" t="n"/>
      <c r="J85" s="53" t="inlineStr">
        <is>
          <t>Avg Sleep Duration</t>
        </is>
      </c>
      <c r="K85" s="54" t="n"/>
      <c r="L85" s="54" t="n"/>
      <c r="M85" s="54" t="n"/>
      <c r="N85" s="53" t="inlineStr">
        <is>
          <t>Avg Habit Success %</t>
        </is>
      </c>
      <c r="O85" s="54" t="n"/>
      <c r="P85" s="54" t="n"/>
      <c r="Q85" s="54" t="n"/>
      <c r="R85" s="53" t="inlineStr">
        <is>
          <t>Productivity Delta</t>
        </is>
      </c>
      <c r="S85" s="54" t="n"/>
      <c r="T85" s="54" t="n"/>
      <c r="U85" s="54" t="n"/>
    </row>
    <row r="86" ht="15" customHeight="1">
      <c r="A86" s="160" t="inlineStr">
        <is>
          <t>Optimal Rest</t>
        </is>
      </c>
      <c r="B86" s="161" t="n"/>
      <c r="C86" s="56" t="n"/>
      <c r="D86" s="34" t="inlineStr">
        <is>
          <t>&gt;= 7 Hours / Night</t>
        </is>
      </c>
      <c r="E86" s="161" t="n"/>
      <c r="F86" s="56" t="n"/>
      <c r="G86" s="33">
        <f>COUNTIF(E47:AH47, "&gt;=7")</f>
        <v/>
      </c>
      <c r="H86" s="161" t="n"/>
      <c r="I86" s="56" t="n"/>
      <c r="J86" s="34">
        <f>IFERROR(TEXT(AVERAGEIF(E47:AH47, "&gt;=7"), "0.0") &amp; " hrs", "-")</f>
        <v/>
      </c>
      <c r="K86" s="161" t="n"/>
      <c r="L86" s="161" t="n"/>
      <c r="M86" s="56" t="n"/>
      <c r="N86" s="42">
        <f>IFERROR(AVERAGEIFS(E39:AH39, E47:AH47, "&gt;=7", E39:AH39, "&gt;0"), 0)</f>
        <v/>
      </c>
      <c r="O86" s="161" t="n"/>
      <c r="P86" s="161" t="n"/>
      <c r="Q86" s="56" t="n"/>
      <c r="R86" s="159" t="inlineStr">
        <is>
          <t>Baseline (Target)</t>
        </is>
      </c>
      <c r="S86" s="161" t="n"/>
      <c r="T86" s="161" t="n"/>
      <c r="U86" s="56" t="n"/>
    </row>
    <row r="87" ht="15" customHeight="1">
      <c r="A87" s="162" t="inlineStr">
        <is>
          <t>Sleep Deficit</t>
        </is>
      </c>
      <c r="B87" s="161" t="n"/>
      <c r="C87" s="56" t="n"/>
      <c r="D87" s="34" t="inlineStr">
        <is>
          <t>&lt; 7 Hours / Night</t>
        </is>
      </c>
      <c r="E87" s="161" t="n"/>
      <c r="F87" s="56" t="n"/>
      <c r="G87" s="33">
        <f>COUNTIF(E47:AH47, "&lt;7") - COUNTIF(E47:AH47, "")</f>
        <v/>
      </c>
      <c r="H87" s="161" t="n"/>
      <c r="I87" s="56" t="n"/>
      <c r="J87" s="34">
        <f>IFERROR(TEXT(AVERAGEIFS(E47:AH47, E47:AH47, "&lt;7", E47:AH47, "&gt;0"), "0.0") &amp; " hrs", "-")</f>
        <v/>
      </c>
      <c r="K87" s="161" t="n"/>
      <c r="L87" s="161" t="n"/>
      <c r="M87" s="56" t="n"/>
      <c r="N87" s="163">
        <f>IFERROR(AVERAGEIFS(E39:AH39, E47:AH47, "&lt;7", E39:AH39, "&gt;0"), 0)</f>
        <v/>
      </c>
      <c r="O87" s="161" t="n"/>
      <c r="P87" s="161" t="n"/>
      <c r="Q87" s="56" t="n"/>
      <c r="R87" s="160">
        <f>IFERROR(TEXT(N86 - N87, "+0.0%;-0.0%;0.0%") &amp; " Rest Advantage", "-")</f>
        <v/>
      </c>
      <c r="S87" s="161" t="n"/>
      <c r="T87" s="161" t="n"/>
      <c r="U87" s="56" t="n"/>
    </row>
    <row r="88" ht="18" customHeight="1">
      <c r="A88" s="164">
        <f>IF(AND(ISNUMBER(N86), ISNUMBER(N87), N86&gt;0, N87&gt;0), "💡 Sleep Correlation Insight: You complete " &amp; TEXT(ABS(N86-N87), "0.0%") &amp; IF(N86&gt;=N87, " MORE habits on days with 7+ hours of sleep!", " fewer habits on days with 7+ hours of sleep."), "💡 Log both habits and sleep hours daily to unlock automatic AI correlation insights!")</f>
        <v/>
      </c>
      <c r="B88" s="161" t="n"/>
      <c r="C88" s="161" t="n"/>
      <c r="D88" s="161" t="n"/>
      <c r="E88" s="161" t="n"/>
      <c r="F88" s="161" t="n"/>
      <c r="G88" s="161" t="n"/>
      <c r="H88" s="161" t="n"/>
      <c r="I88" s="161" t="n"/>
      <c r="J88" s="161" t="n"/>
      <c r="K88" s="161" t="n"/>
      <c r="L88" s="161" t="n"/>
      <c r="M88" s="161" t="n"/>
      <c r="N88" s="161" t="n"/>
      <c r="O88" s="161" t="n"/>
      <c r="P88" s="161" t="n"/>
      <c r="Q88" s="161" t="n"/>
      <c r="R88" s="161" t="n"/>
      <c r="S88" s="161" t="n"/>
      <c r="T88" s="161" t="n"/>
      <c r="U88" s="161" t="n"/>
      <c r="V88" s="161" t="n"/>
      <c r="W88" s="161" t="n"/>
      <c r="X88" s="161" t="n"/>
      <c r="Y88" s="161" t="n"/>
      <c r="Z88" s="161" t="n"/>
      <c r="AA88" s="161" t="n"/>
      <c r="AB88" s="161" t="n"/>
      <c r="AC88" s="161" t="n"/>
      <c r="AD88" s="161" t="n"/>
      <c r="AE88" s="161" t="n"/>
      <c r="AF88" s="161" t="n"/>
      <c r="AG88" s="161" t="n"/>
      <c r="AH88" s="161" t="n"/>
      <c r="AI88" s="161" t="n"/>
      <c r="AJ88" s="161" t="n"/>
      <c r="AK88" s="56" t="n"/>
    </row>
    <row r="89" ht="10" customHeight="1"/>
    <row r="90">
      <c r="A90" s="43" t="inlineStr">
        <is>
          <t>STANDARDIZED DATA BRIDGE (FOR ANNUAL &amp; QUARTERLY REVIEW SHEETS)</t>
        </is>
      </c>
      <c r="B90" s="44" t="n"/>
      <c r="C90" s="44" t="n"/>
      <c r="D90" s="44" t="n"/>
      <c r="E90" s="44" t="n"/>
      <c r="F90" s="44" t="n"/>
      <c r="G90" s="44" t="n"/>
      <c r="H90" s="44" t="n"/>
      <c r="I90" s="44" t="n"/>
      <c r="J90" s="44" t="n"/>
      <c r="K90" s="44" t="n"/>
      <c r="L90" s="44" t="n"/>
      <c r="M90" s="44" t="n"/>
      <c r="N90" s="44" t="n"/>
      <c r="O90" s="44" t="n"/>
      <c r="P90" s="44" t="n"/>
      <c r="Q90" s="44" t="n"/>
      <c r="R90" s="44" t="n"/>
      <c r="S90" s="44" t="n"/>
      <c r="T90" s="44" t="n"/>
      <c r="U90" s="44" t="n"/>
      <c r="V90" s="44" t="n"/>
      <c r="W90" s="44" t="n"/>
      <c r="X90" s="44" t="n"/>
      <c r="Y90" s="44" t="n"/>
      <c r="Z90" s="44" t="n"/>
      <c r="AA90" s="44" t="n"/>
      <c r="AB90" s="44" t="n"/>
      <c r="AC90" s="44" t="n"/>
      <c r="AD90" s="44" t="n"/>
      <c r="AE90" s="44" t="n"/>
      <c r="AF90" s="44" t="n"/>
      <c r="AG90" s="44" t="n"/>
      <c r="AH90" s="44" t="n"/>
      <c r="AI90" s="44" t="n"/>
      <c r="AJ90" s="44" t="n"/>
      <c r="AK90" s="44" t="n"/>
    </row>
    <row r="91" ht="15" customHeight="1">
      <c r="A91" s="53" t="inlineStr">
        <is>
          <t>Month</t>
        </is>
      </c>
      <c r="B91" s="54" t="n"/>
      <c r="C91" s="53" t="inlineStr">
        <is>
          <t>Year</t>
        </is>
      </c>
      <c r="D91" s="54" t="n"/>
      <c r="E91" s="53" t="inlineStr">
        <is>
          <t>Active Habits</t>
        </is>
      </c>
      <c r="F91" s="54" t="n"/>
      <c r="G91" s="53" t="inlineStr">
        <is>
          <t>Target Days</t>
        </is>
      </c>
      <c r="H91" s="54" t="n"/>
      <c r="I91" s="53" t="inlineStr">
        <is>
          <t>Done Checks</t>
        </is>
      </c>
      <c r="J91" s="54" t="n"/>
      <c r="K91" s="53" t="inlineStr">
        <is>
          <t>Success %</t>
        </is>
      </c>
      <c r="L91" s="54" t="n"/>
      <c r="M91" s="53" t="inlineStr">
        <is>
          <t>Perfect Days</t>
        </is>
      </c>
      <c r="N91" s="54" t="n"/>
      <c r="O91" s="53" t="inlineStr">
        <is>
          <t>Avg Sleep</t>
        </is>
      </c>
      <c r="P91" s="54" t="n"/>
      <c r="Q91" s="53" t="inlineStr">
        <is>
          <t>Best Week</t>
        </is>
      </c>
      <c r="R91" s="54" t="n"/>
      <c r="S91" s="54" t="n"/>
      <c r="T91" s="53" t="inlineStr">
        <is>
          <t>Top Life Domain</t>
        </is>
      </c>
      <c r="U91" s="54" t="n"/>
      <c r="V91" s="54" t="n"/>
      <c r="W91" s="54" t="n"/>
    </row>
    <row r="92" ht="16" customHeight="1">
      <c r="A92" s="165" t="inlineStr">
        <is>
          <t>Sep</t>
        </is>
      </c>
      <c r="B92" s="56" t="n"/>
      <c r="C92" s="165" t="n">
        <v>2028</v>
      </c>
      <c r="D92" s="56" t="n"/>
      <c r="E92" s="166">
        <f>COUNTA(B18:B37)</f>
        <v/>
      </c>
      <c r="F92" s="56" t="n"/>
      <c r="G92" s="166">
        <f>SUM(D18:D37)</f>
        <v/>
      </c>
      <c r="H92" s="56" t="n"/>
      <c r="I92" s="166">
        <f>SUM(AL18:AL37)</f>
        <v/>
      </c>
      <c r="J92" s="56" t="n"/>
      <c r="K92" s="167">
        <f>IF(G92&gt;0, I92/G92, 0)</f>
        <v/>
      </c>
      <c r="L92" s="56" t="n"/>
      <c r="M92" s="166">
        <f>COUNTIF(E39:AH39, 1)</f>
        <v/>
      </c>
      <c r="N92" s="56" t="n"/>
      <c r="O92" s="168">
        <f>IFERROR(AVERAGE(E47:AH47), 0)</f>
        <v/>
      </c>
      <c r="P92" s="56" t="n"/>
      <c r="Q92" s="166">
        <f>INDEX(A76:A80, MATCH(MAX(E76:E80), E76:E80, 0))</f>
        <v/>
      </c>
      <c r="R92" s="161" t="n"/>
      <c r="S92" s="56" t="n"/>
      <c r="T92" s="166">
        <f>INDEX(N76:N80, MATCH(MAX(S76:S80), S76:S80, 0))</f>
        <v/>
      </c>
      <c r="U92" s="161" t="n"/>
      <c r="V92" s="161" t="n"/>
      <c r="W92" s="56" t="n"/>
    </row>
    <row r="93" ht="14" customHeight="1">
      <c r="A93" s="169" t="inlineStr">
        <is>
          <t>📋 Note: Reference or copy Row 92 directly into an Annual / Quarterly review dashboard to track yearly habit trends.</t>
        </is>
      </c>
    </row>
    <row r="94" ht="8" customHeight="1"/>
    <row r="95">
      <c r="A95" s="170" t="inlineStr">
        <is>
          <t>🏆 MONTHLY WINS &amp; HIGHLIGHTS</t>
        </is>
      </c>
      <c r="J95" s="171" t="inlineStr">
        <is>
          <t>⚠️ FRICTION POINTS &amp; ROOT CAUSES</t>
        </is>
      </c>
      <c r="S95" s="172" t="inlineStr">
        <is>
          <t>🎯 3 KEY ADJUSTMENTS FOR NEXT MONTH</t>
        </is>
      </c>
    </row>
    <row r="96">
      <c r="A96" s="173" t="inlineStr">
        <is>
          <t>1. What went exceptionally well this month?
2. Which habit felt effortless and consistent?
3. Major milestone achieved:</t>
        </is>
      </c>
      <c r="B96" s="174" t="n"/>
      <c r="C96" s="174" t="n"/>
      <c r="D96" s="174" t="n"/>
      <c r="E96" s="174" t="n"/>
      <c r="F96" s="174" t="n"/>
      <c r="G96" s="174" t="n"/>
      <c r="H96" s="174" t="n"/>
      <c r="J96" s="175" t="inlineStr">
        <is>
          <t>1. What caused missed or skipped days?
2. Main triggers / energy drains encountered:
3. Which habit had the lowest consistency and why?</t>
        </is>
      </c>
      <c r="K96" s="176" t="n"/>
      <c r="L96" s="176" t="n"/>
      <c r="M96" s="176" t="n"/>
      <c r="N96" s="176" t="n"/>
      <c r="O96" s="176" t="n"/>
      <c r="P96" s="176" t="n"/>
      <c r="Q96" s="176" t="n"/>
      <c r="S96" s="177" t="inlineStr">
        <is>
          <t>1. Habit Stacking or time adjustment for next month:
2. Environment design change to eliminate friction:
3. One non-negotiable priority protocol:</t>
        </is>
      </c>
      <c r="T96" s="178" t="n"/>
      <c r="U96" s="178" t="n"/>
      <c r="V96" s="178" t="n"/>
      <c r="W96" s="178" t="n"/>
      <c r="X96" s="178" t="n"/>
      <c r="Y96" s="178" t="n"/>
      <c r="Z96" s="178" t="n"/>
    </row>
    <row r="97">
      <c r="A97" s="174" t="n"/>
      <c r="B97" s="174" t="n"/>
      <c r="C97" s="174" t="n"/>
      <c r="D97" s="174" t="n"/>
      <c r="E97" s="174" t="n"/>
      <c r="F97" s="174" t="n"/>
      <c r="G97" s="174" t="n"/>
      <c r="H97" s="174" t="n"/>
      <c r="J97" s="176" t="n"/>
      <c r="K97" s="176" t="n"/>
      <c r="L97" s="176" t="n"/>
      <c r="M97" s="176" t="n"/>
      <c r="N97" s="176" t="n"/>
      <c r="O97" s="176" t="n"/>
      <c r="P97" s="176" t="n"/>
      <c r="Q97" s="176" t="n"/>
      <c r="S97" s="178" t="n"/>
      <c r="T97" s="178" t="n"/>
      <c r="U97" s="178" t="n"/>
      <c r="V97" s="178" t="n"/>
      <c r="W97" s="178" t="n"/>
      <c r="X97" s="178" t="n"/>
      <c r="Y97" s="178" t="n"/>
      <c r="Z97" s="178" t="n"/>
    </row>
    <row r="98">
      <c r="A98" s="174" t="n"/>
      <c r="B98" s="174" t="n"/>
      <c r="C98" s="174" t="n"/>
      <c r="D98" s="174" t="n"/>
      <c r="E98" s="174" t="n"/>
      <c r="F98" s="174" t="n"/>
      <c r="G98" s="174" t="n"/>
      <c r="H98" s="174" t="n"/>
      <c r="J98" s="176" t="n"/>
      <c r="K98" s="176" t="n"/>
      <c r="L98" s="176" t="n"/>
      <c r="M98" s="176" t="n"/>
      <c r="N98" s="176" t="n"/>
      <c r="O98" s="176" t="n"/>
      <c r="P98" s="176" t="n"/>
      <c r="Q98" s="176" t="n"/>
      <c r="S98" s="178" t="n"/>
      <c r="T98" s="178" t="n"/>
      <c r="U98" s="178" t="n"/>
      <c r="V98" s="178" t="n"/>
      <c r="W98" s="178" t="n"/>
      <c r="X98" s="178" t="n"/>
      <c r="Y98" s="178" t="n"/>
      <c r="Z98" s="178" t="n"/>
    </row>
    <row r="99">
      <c r="A99" s="174" t="n"/>
      <c r="B99" s="174" t="n"/>
      <c r="C99" s="174" t="n"/>
      <c r="D99" s="174" t="n"/>
      <c r="E99" s="174" t="n"/>
      <c r="F99" s="174" t="n"/>
      <c r="G99" s="174" t="n"/>
      <c r="H99" s="174" t="n"/>
      <c r="J99" s="176" t="n"/>
      <c r="K99" s="176" t="n"/>
      <c r="L99" s="176" t="n"/>
      <c r="M99" s="176" t="n"/>
      <c r="N99" s="176" t="n"/>
      <c r="O99" s="176" t="n"/>
      <c r="P99" s="176" t="n"/>
      <c r="Q99" s="176" t="n"/>
      <c r="S99" s="178" t="n"/>
      <c r="T99" s="178" t="n"/>
      <c r="U99" s="178" t="n"/>
      <c r="V99" s="178" t="n"/>
      <c r="W99" s="178" t="n"/>
      <c r="X99" s="178" t="n"/>
      <c r="Y99" s="178" t="n"/>
      <c r="Z99" s="178" t="n"/>
    </row>
    <row r="100">
      <c r="A100" s="174" t="n"/>
      <c r="B100" s="174" t="n"/>
      <c r="C100" s="174" t="n"/>
      <c r="D100" s="174" t="n"/>
      <c r="E100" s="174" t="n"/>
      <c r="F100" s="174" t="n"/>
      <c r="G100" s="174" t="n"/>
      <c r="H100" s="174" t="n"/>
      <c r="J100" s="176" t="n"/>
      <c r="K100" s="176" t="n"/>
      <c r="L100" s="176" t="n"/>
      <c r="M100" s="176" t="n"/>
      <c r="N100" s="176" t="n"/>
      <c r="O100" s="176" t="n"/>
      <c r="P100" s="176" t="n"/>
      <c r="Q100" s="176" t="n"/>
      <c r="S100" s="178" t="n"/>
      <c r="T100" s="178" t="n"/>
      <c r="U100" s="178" t="n"/>
      <c r="V100" s="178" t="n"/>
      <c r="W100" s="178" t="n"/>
      <c r="X100" s="178" t="n"/>
      <c r="Y100" s="178" t="n"/>
      <c r="Z100" s="178" t="n"/>
    </row>
    <row r="101">
      <c r="A101" s="174" t="n"/>
      <c r="B101" s="174" t="n"/>
      <c r="C101" s="174" t="n"/>
      <c r="D101" s="174" t="n"/>
      <c r="E101" s="174" t="n"/>
      <c r="F101" s="174" t="n"/>
      <c r="G101" s="174" t="n"/>
      <c r="H101" s="174" t="n"/>
      <c r="J101" s="176" t="n"/>
      <c r="K101" s="176" t="n"/>
      <c r="L101" s="176" t="n"/>
      <c r="M101" s="176" t="n"/>
      <c r="N101" s="176" t="n"/>
      <c r="O101" s="176" t="n"/>
      <c r="P101" s="176" t="n"/>
      <c r="Q101" s="176" t="n"/>
      <c r="S101" s="178" t="n"/>
      <c r="T101" s="178" t="n"/>
      <c r="U101" s="178" t="n"/>
      <c r="V101" s="178" t="n"/>
      <c r="W101" s="178" t="n"/>
      <c r="X101" s="178" t="n"/>
      <c r="Y101" s="178" t="n"/>
      <c r="Z101" s="178" t="n"/>
    </row>
    <row r="102">
      <c r="A102" s="174" t="n"/>
      <c r="B102" s="174" t="n"/>
      <c r="C102" s="174" t="n"/>
      <c r="D102" s="174" t="n"/>
      <c r="E102" s="174" t="n"/>
      <c r="F102" s="174" t="n"/>
      <c r="G102" s="174" t="n"/>
      <c r="H102" s="174" t="n"/>
      <c r="J102" s="176" t="n"/>
      <c r="K102" s="176" t="n"/>
      <c r="L102" s="176" t="n"/>
      <c r="M102" s="176" t="n"/>
      <c r="N102" s="176" t="n"/>
      <c r="O102" s="176" t="n"/>
      <c r="P102" s="176" t="n"/>
      <c r="Q102" s="176" t="n"/>
      <c r="S102" s="178" t="n"/>
      <c r="T102" s="178" t="n"/>
      <c r="U102" s="178" t="n"/>
      <c r="V102" s="178" t="n"/>
      <c r="W102" s="178" t="n"/>
      <c r="X102" s="178" t="n"/>
      <c r="Y102" s="178" t="n"/>
      <c r="Z102" s="178" t="n"/>
    </row>
    <row r="103">
      <c r="A103" s="174" t="n"/>
      <c r="B103" s="174" t="n"/>
      <c r="C103" s="174" t="n"/>
      <c r="D103" s="174" t="n"/>
      <c r="E103" s="174" t="n"/>
      <c r="F103" s="174" t="n"/>
      <c r="G103" s="174" t="n"/>
      <c r="H103" s="174" t="n"/>
      <c r="J103" s="176" t="n"/>
      <c r="K103" s="176" t="n"/>
      <c r="L103" s="176" t="n"/>
      <c r="M103" s="176" t="n"/>
      <c r="N103" s="176" t="n"/>
      <c r="O103" s="176" t="n"/>
      <c r="P103" s="176" t="n"/>
      <c r="Q103" s="176" t="n"/>
      <c r="S103" s="178" t="n"/>
      <c r="T103" s="178" t="n"/>
      <c r="U103" s="178" t="n"/>
      <c r="V103" s="178" t="n"/>
      <c r="W103" s="178" t="n"/>
      <c r="X103" s="178" t="n"/>
      <c r="Y103" s="178" t="n"/>
      <c r="Z103" s="178" t="n"/>
    </row>
  </sheetData>
  <sheetProtection selectLockedCells="1" selectUnlockedCells="1" sheet="1" objects="0" insertRows="1" insertHyperlinks="1" autoFilter="1" scenarios="0" formatColumns="1" deleteColumns="1" insertColumns="1" pivotTables="1" deleteRows="1" formatCells="1" formatRows="1" sort="1"/>
  <mergeCells count="94">
    <mergeCell ref="A9:N9"/>
    <mergeCell ref="N76:O76"/>
    <mergeCell ref="F67:I67"/>
    <mergeCell ref="G87:I87"/>
    <mergeCell ref="A16:A17"/>
    <mergeCell ref="A45:D46"/>
    <mergeCell ref="C16:C17"/>
    <mergeCell ref="N75:O75"/>
    <mergeCell ref="N77:O77"/>
    <mergeCell ref="P68:S70"/>
    <mergeCell ref="A93:AK93"/>
    <mergeCell ref="D16:D17"/>
    <mergeCell ref="N85:Q85"/>
    <mergeCell ref="A95:H95"/>
    <mergeCell ref="Q91:S91"/>
    <mergeCell ref="P6:AK6"/>
    <mergeCell ref="E91:F91"/>
    <mergeCell ref="A8:N8"/>
    <mergeCell ref="G91:H91"/>
    <mergeCell ref="P8:AK8"/>
    <mergeCell ref="J86:M86"/>
    <mergeCell ref="S95:Z95"/>
    <mergeCell ref="K67:N67"/>
    <mergeCell ref="N79:O79"/>
    <mergeCell ref="K92:L92"/>
    <mergeCell ref="P7:AK7"/>
    <mergeCell ref="C92:D92"/>
    <mergeCell ref="F71:I71"/>
    <mergeCell ref="M92:N92"/>
    <mergeCell ref="A12:AK14"/>
    <mergeCell ref="K68:N70"/>
    <mergeCell ref="T91:W91"/>
    <mergeCell ref="AI16:AI17"/>
    <mergeCell ref="J95:Q95"/>
    <mergeCell ref="D85:F85"/>
    <mergeCell ref="N74:S74"/>
    <mergeCell ref="P9:AK9"/>
    <mergeCell ref="F68:I70"/>
    <mergeCell ref="A91:B91"/>
    <mergeCell ref="N78:O78"/>
    <mergeCell ref="C91:D91"/>
    <mergeCell ref="M91:N91"/>
    <mergeCell ref="O91:P91"/>
    <mergeCell ref="R86:U86"/>
    <mergeCell ref="A84:AK84"/>
    <mergeCell ref="N80:O80"/>
    <mergeCell ref="B16:B17"/>
    <mergeCell ref="A71:D71"/>
    <mergeCell ref="J85:M85"/>
    <mergeCell ref="D86:F86"/>
    <mergeCell ref="A92:B92"/>
    <mergeCell ref="N87:Q87"/>
    <mergeCell ref="A1:B1"/>
    <mergeCell ref="E92:F92"/>
    <mergeCell ref="A68:D70"/>
    <mergeCell ref="P71:S71"/>
    <mergeCell ref="A86:C86"/>
    <mergeCell ref="D87:F87"/>
    <mergeCell ref="O92:P92"/>
    <mergeCell ref="A6:N6"/>
    <mergeCell ref="A39:D39"/>
    <mergeCell ref="G86:I86"/>
    <mergeCell ref="A96:H103"/>
    <mergeCell ref="P67:S67"/>
    <mergeCell ref="A41:AK41"/>
    <mergeCell ref="T92:W92"/>
    <mergeCell ref="R85:U85"/>
    <mergeCell ref="H2:AC2"/>
    <mergeCell ref="K71:N71"/>
    <mergeCell ref="S96:Z103"/>
    <mergeCell ref="A38:D38"/>
    <mergeCell ref="A42:AK42"/>
    <mergeCell ref="H3:AC3"/>
    <mergeCell ref="A67:D67"/>
    <mergeCell ref="I91:J91"/>
    <mergeCell ref="A85:C85"/>
    <mergeCell ref="K91:L91"/>
    <mergeCell ref="N86:Q86"/>
    <mergeCell ref="A7:N7"/>
    <mergeCell ref="A74:E74"/>
    <mergeCell ref="G85:I85"/>
    <mergeCell ref="G92:H92"/>
    <mergeCell ref="I92:J92"/>
    <mergeCell ref="R87:U87"/>
    <mergeCell ref="AK16:AK17"/>
    <mergeCell ref="J87:M87"/>
    <mergeCell ref="AD2:AK2"/>
    <mergeCell ref="AJ16:AJ17"/>
    <mergeCell ref="J96:Q103"/>
    <mergeCell ref="A88:AK88"/>
    <mergeCell ref="A90:AK90"/>
    <mergeCell ref="Q92:S92"/>
    <mergeCell ref="A87:C87"/>
    <mergeCell ref="A47:D47"/>
  </mergeCells>
  <conditionalFormatting sqref="AI18:AI37">
    <cfRule type="dataBar" priority="1">
      <dataBar>
        <cfvo type="num" val="0"/>
        <cfvo type="num" val="1"/>
        <color rgb="0010B981"/>
      </dataBar>
    </cfRule>
  </conditionalFormatting>
  <conditionalFormatting sqref="E18:AH37">
    <cfRule type="cellIs" priority="2" operator="equal" dxfId="0">
      <formula>"✓"</formula>
    </cfRule>
    <cfRule type="cellIs" priority="3" operator="equal" dxfId="0">
      <formula>"✔"</formula>
    </cfRule>
    <cfRule type="cellIs" priority="4" operator="equal" dxfId="1">
      <formula>"✗"</formula>
    </cfRule>
    <cfRule type="cellIs" priority="5" operator="equal" dxfId="1">
      <formula>"x"</formula>
    </cfRule>
    <cfRule type="cellIs" priority="6" operator="equal" dxfId="1">
      <formula>"X"</formula>
    </cfRule>
  </conditionalFormatting>
  <conditionalFormatting sqref="E16:E17">
    <cfRule type="expression" priority="7" dxfId="2">
      <formula>AND(DAY(TODAY())=1, MONTH(TODAY())=9, YEAR(TODAY())=2028)</formula>
    </cfRule>
  </conditionalFormatting>
  <conditionalFormatting sqref="F16:F17">
    <cfRule type="expression" priority="8" dxfId="2">
      <formula>AND(DAY(TODAY())=2, MONTH(TODAY())=9, YEAR(TODAY())=2028)</formula>
    </cfRule>
  </conditionalFormatting>
  <conditionalFormatting sqref="G16:G17">
    <cfRule type="expression" priority="9" dxfId="2">
      <formula>AND(DAY(TODAY())=3, MONTH(TODAY())=9, YEAR(TODAY())=2028)</formula>
    </cfRule>
  </conditionalFormatting>
  <conditionalFormatting sqref="H16:H17">
    <cfRule type="expression" priority="10" dxfId="2">
      <formula>AND(DAY(TODAY())=4, MONTH(TODAY())=9, YEAR(TODAY())=2028)</formula>
    </cfRule>
  </conditionalFormatting>
  <conditionalFormatting sqref="I16:I17">
    <cfRule type="expression" priority="11" dxfId="2">
      <formula>AND(DAY(TODAY())=5, MONTH(TODAY())=9, YEAR(TODAY())=2028)</formula>
    </cfRule>
  </conditionalFormatting>
  <conditionalFormatting sqref="J16:J17">
    <cfRule type="expression" priority="12" dxfId="2">
      <formula>AND(DAY(TODAY())=6, MONTH(TODAY())=9, YEAR(TODAY())=2028)</formula>
    </cfRule>
  </conditionalFormatting>
  <conditionalFormatting sqref="K16:K17">
    <cfRule type="expression" priority="13" dxfId="2">
      <formula>AND(DAY(TODAY())=7, MONTH(TODAY())=9, YEAR(TODAY())=2028)</formula>
    </cfRule>
  </conditionalFormatting>
  <conditionalFormatting sqref="L16:L17">
    <cfRule type="expression" priority="14" dxfId="2">
      <formula>AND(DAY(TODAY())=8, MONTH(TODAY())=9, YEAR(TODAY())=2028)</formula>
    </cfRule>
  </conditionalFormatting>
  <conditionalFormatting sqref="M16:M17">
    <cfRule type="expression" priority="15" dxfId="2">
      <formula>AND(DAY(TODAY())=9, MONTH(TODAY())=9, YEAR(TODAY())=2028)</formula>
    </cfRule>
  </conditionalFormatting>
  <conditionalFormatting sqref="N16:N17">
    <cfRule type="expression" priority="16" dxfId="2">
      <formula>AND(DAY(TODAY())=10, MONTH(TODAY())=9, YEAR(TODAY())=2028)</formula>
    </cfRule>
  </conditionalFormatting>
  <conditionalFormatting sqref="O16:O17">
    <cfRule type="expression" priority="17" dxfId="2">
      <formula>AND(DAY(TODAY())=11, MONTH(TODAY())=9, YEAR(TODAY())=2028)</formula>
    </cfRule>
  </conditionalFormatting>
  <conditionalFormatting sqref="P16:P17">
    <cfRule type="expression" priority="18" dxfId="2">
      <formula>AND(DAY(TODAY())=12, MONTH(TODAY())=9, YEAR(TODAY())=2028)</formula>
    </cfRule>
  </conditionalFormatting>
  <conditionalFormatting sqref="Q16:Q17">
    <cfRule type="expression" priority="19" dxfId="2">
      <formula>AND(DAY(TODAY())=13, MONTH(TODAY())=9, YEAR(TODAY())=2028)</formula>
    </cfRule>
  </conditionalFormatting>
  <conditionalFormatting sqref="R16:R17">
    <cfRule type="expression" priority="20" dxfId="2">
      <formula>AND(DAY(TODAY())=14, MONTH(TODAY())=9, YEAR(TODAY())=2028)</formula>
    </cfRule>
  </conditionalFormatting>
  <conditionalFormatting sqref="S16:S17">
    <cfRule type="expression" priority="21" dxfId="2">
      <formula>AND(DAY(TODAY())=15, MONTH(TODAY())=9, YEAR(TODAY())=2028)</formula>
    </cfRule>
  </conditionalFormatting>
  <conditionalFormatting sqref="T16:T17">
    <cfRule type="expression" priority="22" dxfId="2">
      <formula>AND(DAY(TODAY())=16, MONTH(TODAY())=9, YEAR(TODAY())=2028)</formula>
    </cfRule>
  </conditionalFormatting>
  <conditionalFormatting sqref="U16:U17">
    <cfRule type="expression" priority="23" dxfId="2">
      <formula>AND(DAY(TODAY())=17, MONTH(TODAY())=9, YEAR(TODAY())=2028)</formula>
    </cfRule>
  </conditionalFormatting>
  <conditionalFormatting sqref="V16:V17">
    <cfRule type="expression" priority="24" dxfId="2">
      <formula>AND(DAY(TODAY())=18, MONTH(TODAY())=9, YEAR(TODAY())=2028)</formula>
    </cfRule>
  </conditionalFormatting>
  <conditionalFormatting sqref="W16:W17">
    <cfRule type="expression" priority="25" dxfId="2">
      <formula>AND(DAY(TODAY())=19, MONTH(TODAY())=9, YEAR(TODAY())=2028)</formula>
    </cfRule>
  </conditionalFormatting>
  <conditionalFormatting sqref="X16:X17">
    <cfRule type="expression" priority="26" dxfId="2">
      <formula>AND(DAY(TODAY())=20, MONTH(TODAY())=9, YEAR(TODAY())=2028)</formula>
    </cfRule>
  </conditionalFormatting>
  <conditionalFormatting sqref="Y16:Y17">
    <cfRule type="expression" priority="27" dxfId="2">
      <formula>AND(DAY(TODAY())=21, MONTH(TODAY())=9, YEAR(TODAY())=2028)</formula>
    </cfRule>
  </conditionalFormatting>
  <conditionalFormatting sqref="Z16:Z17">
    <cfRule type="expression" priority="28" dxfId="2">
      <formula>AND(DAY(TODAY())=22, MONTH(TODAY())=9, YEAR(TODAY())=2028)</formula>
    </cfRule>
  </conditionalFormatting>
  <conditionalFormatting sqref="AA16:AA17">
    <cfRule type="expression" priority="29" dxfId="2">
      <formula>AND(DAY(TODAY())=23, MONTH(TODAY())=9, YEAR(TODAY())=2028)</formula>
    </cfRule>
  </conditionalFormatting>
  <conditionalFormatting sqref="AB16:AB17">
    <cfRule type="expression" priority="30" dxfId="2">
      <formula>AND(DAY(TODAY())=24, MONTH(TODAY())=9, YEAR(TODAY())=2028)</formula>
    </cfRule>
  </conditionalFormatting>
  <conditionalFormatting sqref="AC16:AC17">
    <cfRule type="expression" priority="31" dxfId="2">
      <formula>AND(DAY(TODAY())=25, MONTH(TODAY())=9, YEAR(TODAY())=2028)</formula>
    </cfRule>
  </conditionalFormatting>
  <conditionalFormatting sqref="AD16:AD17">
    <cfRule type="expression" priority="32" dxfId="2">
      <formula>AND(DAY(TODAY())=26, MONTH(TODAY())=9, YEAR(TODAY())=2028)</formula>
    </cfRule>
  </conditionalFormatting>
  <conditionalFormatting sqref="AE16:AE17">
    <cfRule type="expression" priority="33" dxfId="2">
      <formula>AND(DAY(TODAY())=27, MONTH(TODAY())=9, YEAR(TODAY())=2028)</formula>
    </cfRule>
  </conditionalFormatting>
  <conditionalFormatting sqref="AF16:AF17">
    <cfRule type="expression" priority="34" dxfId="2">
      <formula>AND(DAY(TODAY())=28, MONTH(TODAY())=9, YEAR(TODAY())=2028)</formula>
    </cfRule>
  </conditionalFormatting>
  <conditionalFormatting sqref="AG16:AG17">
    <cfRule type="expression" priority="35" dxfId="2">
      <formula>AND(DAY(TODAY())=29, MONTH(TODAY())=9, YEAR(TODAY())=2028)</formula>
    </cfRule>
  </conditionalFormatting>
  <conditionalFormatting sqref="AH16:AH17">
    <cfRule type="expression" priority="36" dxfId="2">
      <formula>AND(DAY(TODAY())=30, MONTH(TODAY())=9, YEAR(TODAY())=2028)</formula>
    </cfRule>
  </conditionalFormatting>
  <dataValidations count="4">
    <dataValidation sqref="C18:C37" showDropDown="0" showInputMessage="0" showErrorMessage="0" allowBlank="1" type="list">
      <formula1>"Health &amp; Fitness,Mindset &amp; Learning,Career &amp; Focus,Personal &amp; Home,Finance &amp; Wealth,Other"</formula1>
    </dataValidation>
    <dataValidation sqref="D18:D37" showDropDown="0" showInputMessage="0" showErrorMessage="0" allowBlank="1" type="list">
      <formula1>"1,2,3,4,5,6,7,8,9,10,11,12,13,14,15,16,17,18,19,20,21,22,23,24,25,26,27,28,29,30,31"</formula1>
    </dataValidation>
    <dataValidation sqref="E18:AH37" showDropDown="0" showInputMessage="0" showErrorMessage="0" allowBlank="1" type="list">
      <formula1>"✓,✗"</formula1>
    </dataValidation>
    <dataValidation sqref="E47:AH47" showDropDown="0" showInputMessage="0" showErrorMessage="0" allowBlank="1" type="list">
      <formula1>"1,2,3,4,5,6,7,8,9,10,11,12,13,14,15,16,17,18,19,20,21,22,23,24"</formula1>
    </dataValidation>
  </dataValidations>
  <hyperlinks>
    <hyperlink xmlns:r="http://schemas.openxmlformats.org/officeDocument/2006/relationships" ref="A1" r:id="rId1"/>
    <hyperlink xmlns:r="http://schemas.openxmlformats.org/officeDocument/2006/relationships" ref="C1" r:id="rId2"/>
    <hyperlink xmlns:r="http://schemas.openxmlformats.org/officeDocument/2006/relationships" ref="D1" r:id="rId3"/>
    <hyperlink xmlns:r="http://schemas.openxmlformats.org/officeDocument/2006/relationships" ref="E1" r:id="rId4"/>
    <hyperlink xmlns:r="http://schemas.openxmlformats.org/officeDocument/2006/relationships" ref="F1" r:id="rId5"/>
    <hyperlink xmlns:r="http://schemas.openxmlformats.org/officeDocument/2006/relationships" ref="G1" r:id="rId6"/>
    <hyperlink xmlns:r="http://schemas.openxmlformats.org/officeDocument/2006/relationships" ref="H1" r:id="rId7"/>
    <hyperlink xmlns:r="http://schemas.openxmlformats.org/officeDocument/2006/relationships" ref="I1" r:id="rId8"/>
    <hyperlink xmlns:r="http://schemas.openxmlformats.org/officeDocument/2006/relationships" ref="J1" r:id="rId9"/>
    <hyperlink xmlns:r="http://schemas.openxmlformats.org/officeDocument/2006/relationships" ref="K1" r:id="rId10"/>
  </hyperlinks>
  <printOptions horizontalCentered="1" verticalCentered="0"/>
  <pageMargins left="0.75" right="0.75" top="1" bottom="1" header="0.5" footer="0.5"/>
  <pageSetup orientation="landscape" paperSize="9" fitToHeight="0" fitToWidth="1"/>
  <drawing xmlns:r="http://schemas.openxmlformats.org/officeDocument/2006/relationships" r:id="rId11"/>
</worksheet>
</file>

<file path=xl/worksheets/sheet29.xml><?xml version="1.0" encoding="utf-8"?>
<worksheet xmlns="http://schemas.openxmlformats.org/spreadsheetml/2006/main">
  <sheetPr>
    <outlinePr summaryBelow="1" summaryRight="1"/>
    <pageSetUpPr fitToPage="1"/>
  </sheetPr>
  <dimension ref="A1:AM103"/>
  <sheetViews>
    <sheetView showGridLines="1" workbookViewId="0">
      <selection activeCell="A1" sqref="A1"/>
    </sheetView>
  </sheetViews>
  <sheetFormatPr baseColWidth="8" defaultRowHeight="15"/>
  <cols>
    <col width="6" customWidth="1" min="1" max="1"/>
    <col width="25" customWidth="1" min="2" max="2"/>
    <col width="16.5" customWidth="1" min="3" max="3"/>
    <col width="8" customWidth="1" min="4" max="4"/>
    <col width="4.8" customWidth="1" min="5" max="5"/>
    <col width="4.8" customWidth="1" min="6" max="6"/>
    <col width="4.8" customWidth="1" min="7" max="7"/>
    <col width="4.8" customWidth="1" min="8" max="8"/>
    <col width="4.8" customWidth="1" min="9" max="9"/>
    <col width="4.8" customWidth="1" min="10" max="10"/>
    <col width="4.8" customWidth="1" min="11" max="11"/>
    <col width="4.8" customWidth="1" min="12" max="12"/>
    <col width="4.8" customWidth="1" min="13" max="13"/>
    <col width="4.8" customWidth="1" min="14" max="14"/>
    <col width="4.8" customWidth="1" min="15" max="15"/>
    <col width="4.8" customWidth="1" min="16" max="16"/>
    <col width="4.8" customWidth="1" min="17" max="17"/>
    <col width="4.8" customWidth="1" min="18" max="18"/>
    <col width="4.8" customWidth="1" min="19" max="19"/>
    <col width="4.8" customWidth="1" min="20" max="20"/>
    <col width="4.8" customWidth="1" min="21" max="21"/>
    <col width="4.8" customWidth="1" min="22" max="22"/>
    <col width="4.8" customWidth="1" min="23" max="23"/>
    <col width="4.8" customWidth="1" min="24" max="24"/>
    <col width="4.8" customWidth="1" min="25" max="25"/>
    <col width="4.8" customWidth="1" min="26" max="26"/>
    <col width="4.8" customWidth="1" min="27" max="27"/>
    <col width="4.8" customWidth="1" min="28" max="28"/>
    <col width="4.8" customWidth="1" min="29" max="29"/>
    <col width="4.8" customWidth="1" min="30" max="30"/>
    <col width="4.8" customWidth="1" min="31" max="31"/>
    <col width="4.8" customWidth="1" min="32" max="32"/>
    <col width="4.8" customWidth="1" min="33" max="33"/>
    <col width="4.8" customWidth="1" min="34" max="34"/>
    <col width="4.8" customWidth="1" min="35" max="35"/>
    <col width="11.5" customWidth="1" min="36" max="36"/>
    <col width="12" customWidth="1" min="37" max="37"/>
    <col width="13.5" customWidth="1" min="38" max="38"/>
    <col hidden="1" width="8" customWidth="1" min="39" max="39"/>
  </cols>
  <sheetData>
    <row r="1" ht="18" customHeight="1">
      <c r="A1" s="76" t="inlineStr">
        <is>
          <t>🏠 Master Dashboard</t>
        </is>
      </c>
      <c r="B1" s="40" t="n"/>
      <c r="C1" s="77" t="inlineStr">
        <is>
          <t>🏛️ Quarterly Hub</t>
        </is>
      </c>
      <c r="D1" s="78" t="inlineStr">
        <is>
          <t>📚 Habit Library</t>
        </is>
      </c>
      <c r="E1" s="80" t="inlineStr">
        <is>
          <t>2026</t>
        </is>
      </c>
      <c r="F1" s="80" t="inlineStr">
        <is>
          <t>2027</t>
        </is>
      </c>
      <c r="G1" s="79" t="inlineStr">
        <is>
          <t>2028</t>
        </is>
      </c>
      <c r="H1" s="80" t="inlineStr">
        <is>
          <t>2029</t>
        </is>
      </c>
      <c r="I1" s="80" t="inlineStr">
        <is>
          <t>2030</t>
        </is>
      </c>
      <c r="J1" s="82" t="inlineStr">
        <is>
          <t>◀ Prev</t>
        </is>
      </c>
      <c r="K1" s="82" t="inlineStr">
        <is>
          <t>Next ▶</t>
        </is>
      </c>
    </row>
    <row r="2" ht="24" customHeight="1">
      <c r="A2" s="83" t="inlineStr">
        <is>
          <t>Habit Tracker</t>
        </is>
      </c>
      <c r="H2" s="84" t="inlineStr">
        <is>
          <t>"Discipline equals freedom."</t>
        </is>
      </c>
      <c r="AE2" s="85" t="inlineStr">
        <is>
          <t>@surajvansh</t>
        </is>
      </c>
    </row>
    <row r="3" ht="18" customHeight="1">
      <c r="A3" s="86" t="inlineStr">
        <is>
          <t>October 2028</t>
        </is>
      </c>
      <c r="H3" s="87" t="inlineStr">
        <is>
          <t>31 Days Dashboard</t>
        </is>
      </c>
    </row>
    <row r="4" ht="5" customHeight="1"/>
    <row r="5" ht="16" customHeight="1">
      <c r="A5" s="88" t="inlineStr">
        <is>
          <t>MONTHLY TARGETS</t>
        </is>
      </c>
    </row>
    <row r="6" ht="13" customHeight="1">
      <c r="A6" s="89" t="inlineStr">
        <is>
          <t>1. ____________________ : ____________________</t>
        </is>
      </c>
      <c r="P6" s="89" t="inlineStr">
        <is>
          <t>5. ____________________ : ____________________</t>
        </is>
      </c>
    </row>
    <row r="7" ht="13" customHeight="1">
      <c r="A7" s="89" t="inlineStr">
        <is>
          <t>2. ____________________ : ____________________</t>
        </is>
      </c>
      <c r="P7" s="89" t="inlineStr">
        <is>
          <t>6. ____________________ : ____________________</t>
        </is>
      </c>
    </row>
    <row r="8" ht="13" customHeight="1">
      <c r="A8" s="89" t="inlineStr">
        <is>
          <t>3. ____________________ : ____________________</t>
        </is>
      </c>
      <c r="P8" s="89" t="inlineStr">
        <is>
          <t>7. ____________________ : ____________________</t>
        </is>
      </c>
    </row>
    <row r="9" ht="13" customHeight="1">
      <c r="A9" s="89" t="inlineStr">
        <is>
          <t>4. ____________________ : ____________________</t>
        </is>
      </c>
      <c r="P9" s="89" t="inlineStr">
        <is>
          <t>8. ____________________ : ____________________</t>
        </is>
      </c>
    </row>
    <row r="10" ht="5" customHeight="1"/>
    <row r="11" ht="15" customHeight="1">
      <c r="A11" s="88" t="inlineStr">
        <is>
          <t>NOTES:</t>
        </is>
      </c>
    </row>
    <row r="12" ht="13" customHeight="1">
      <c r="A12" s="90" t="n"/>
      <c r="B12" s="91" t="n"/>
      <c r="C12" s="91" t="n"/>
      <c r="D12" s="91" t="n"/>
      <c r="E12" s="91" t="n"/>
      <c r="F12" s="91" t="n"/>
      <c r="G12" s="91" t="n"/>
      <c r="H12" s="91" t="n"/>
      <c r="I12" s="91" t="n"/>
      <c r="J12" s="91" t="n"/>
      <c r="K12" s="91" t="n"/>
      <c r="L12" s="91" t="n"/>
      <c r="M12" s="91" t="n"/>
      <c r="N12" s="91" t="n"/>
      <c r="O12" s="91" t="n"/>
      <c r="P12" s="91" t="n"/>
      <c r="Q12" s="91" t="n"/>
      <c r="R12" s="91" t="n"/>
      <c r="S12" s="91" t="n"/>
      <c r="T12" s="91" t="n"/>
      <c r="U12" s="91" t="n"/>
      <c r="V12" s="91" t="n"/>
      <c r="W12" s="91" t="n"/>
      <c r="X12" s="91" t="n"/>
      <c r="Y12" s="91" t="n"/>
      <c r="Z12" s="91" t="n"/>
      <c r="AA12" s="91" t="n"/>
      <c r="AB12" s="91" t="n"/>
      <c r="AC12" s="91" t="n"/>
      <c r="AD12" s="91" t="n"/>
      <c r="AE12" s="91" t="n"/>
      <c r="AF12" s="91" t="n"/>
      <c r="AG12" s="91" t="n"/>
      <c r="AH12" s="91" t="n"/>
      <c r="AI12" s="91" t="n"/>
      <c r="AJ12" s="91" t="n"/>
      <c r="AK12" s="91" t="n"/>
      <c r="AL12" s="91" t="n"/>
    </row>
    <row r="13" ht="13" customHeight="1">
      <c r="A13" s="91" t="n"/>
      <c r="B13" s="91" t="n"/>
      <c r="C13" s="91" t="n"/>
      <c r="D13" s="91" t="n"/>
      <c r="E13" s="91" t="n"/>
      <c r="F13" s="91" t="n"/>
      <c r="G13" s="91" t="n"/>
      <c r="H13" s="91" t="n"/>
      <c r="I13" s="91" t="n"/>
      <c r="J13" s="91" t="n"/>
      <c r="K13" s="91" t="n"/>
      <c r="L13" s="91" t="n"/>
      <c r="M13" s="91" t="n"/>
      <c r="N13" s="91" t="n"/>
      <c r="O13" s="91" t="n"/>
      <c r="P13" s="91" t="n"/>
      <c r="Q13" s="91" t="n"/>
      <c r="R13" s="91" t="n"/>
      <c r="S13" s="91" t="n"/>
      <c r="T13" s="91" t="n"/>
      <c r="U13" s="91" t="n"/>
      <c r="V13" s="91" t="n"/>
      <c r="W13" s="91" t="n"/>
      <c r="X13" s="91" t="n"/>
      <c r="Y13" s="91" t="n"/>
      <c r="Z13" s="91" t="n"/>
      <c r="AA13" s="91" t="n"/>
      <c r="AB13" s="91" t="n"/>
      <c r="AC13" s="91" t="n"/>
      <c r="AD13" s="91" t="n"/>
      <c r="AE13" s="91" t="n"/>
      <c r="AF13" s="91" t="n"/>
      <c r="AG13" s="91" t="n"/>
      <c r="AH13" s="91" t="n"/>
      <c r="AI13" s="91" t="n"/>
      <c r="AJ13" s="91" t="n"/>
      <c r="AK13" s="91" t="n"/>
      <c r="AL13" s="91" t="n"/>
    </row>
    <row r="14" ht="13" customHeight="1">
      <c r="A14" s="91" t="n"/>
      <c r="B14" s="91" t="n"/>
      <c r="C14" s="91" t="n"/>
      <c r="D14" s="91" t="n"/>
      <c r="E14" s="91" t="n"/>
      <c r="F14" s="91" t="n"/>
      <c r="G14" s="91" t="n"/>
      <c r="H14" s="91" t="n"/>
      <c r="I14" s="91" t="n"/>
      <c r="J14" s="91" t="n"/>
      <c r="K14" s="91" t="n"/>
      <c r="L14" s="91" t="n"/>
      <c r="M14" s="91" t="n"/>
      <c r="N14" s="91" t="n"/>
      <c r="O14" s="91" t="n"/>
      <c r="P14" s="91" t="n"/>
      <c r="Q14" s="91" t="n"/>
      <c r="R14" s="91" t="n"/>
      <c r="S14" s="91" t="n"/>
      <c r="T14" s="91" t="n"/>
      <c r="U14" s="91" t="n"/>
      <c r="V14" s="91" t="n"/>
      <c r="W14" s="91" t="n"/>
      <c r="X14" s="91" t="n"/>
      <c r="Y14" s="91" t="n"/>
      <c r="Z14" s="91" t="n"/>
      <c r="AA14" s="91" t="n"/>
      <c r="AB14" s="91" t="n"/>
      <c r="AC14" s="91" t="n"/>
      <c r="AD14" s="91" t="n"/>
      <c r="AE14" s="91" t="n"/>
      <c r="AF14" s="91" t="n"/>
      <c r="AG14" s="91" t="n"/>
      <c r="AH14" s="91" t="n"/>
      <c r="AI14" s="91" t="n"/>
      <c r="AJ14" s="91" t="n"/>
      <c r="AK14" s="91" t="n"/>
      <c r="AL14" s="91" t="n"/>
    </row>
    <row r="15" ht="8" customHeight="1"/>
    <row r="16" ht="15" customHeight="1">
      <c r="A16" s="33" t="inlineStr">
        <is>
          <t>S.No.</t>
        </is>
      </c>
      <c r="B16" s="33" t="inlineStr">
        <is>
          <t>Protocols</t>
        </is>
      </c>
      <c r="C16" s="33" t="inlineStr">
        <is>
          <t>Category</t>
        </is>
      </c>
      <c r="D16" s="33" t="inlineStr">
        <is>
          <t>Target</t>
        </is>
      </c>
      <c r="E16" s="93" t="n">
        <v>1</v>
      </c>
      <c r="F16" s="92" t="n">
        <v>2</v>
      </c>
      <c r="G16" s="92" t="n">
        <v>3</v>
      </c>
      <c r="H16" s="92" t="n">
        <v>4</v>
      </c>
      <c r="I16" s="92" t="n">
        <v>5</v>
      </c>
      <c r="J16" s="92" t="n">
        <v>6</v>
      </c>
      <c r="K16" s="92" t="n">
        <v>7</v>
      </c>
      <c r="L16" s="93" t="n">
        <v>8</v>
      </c>
      <c r="M16" s="92" t="n">
        <v>9</v>
      </c>
      <c r="N16" s="92" t="n">
        <v>10</v>
      </c>
      <c r="O16" s="92" t="n">
        <v>11</v>
      </c>
      <c r="P16" s="92" t="n">
        <v>12</v>
      </c>
      <c r="Q16" s="92" t="n">
        <v>13</v>
      </c>
      <c r="R16" s="92" t="n">
        <v>14</v>
      </c>
      <c r="S16" s="93" t="n">
        <v>15</v>
      </c>
      <c r="T16" s="92" t="n">
        <v>16</v>
      </c>
      <c r="U16" s="92" t="n">
        <v>17</v>
      </c>
      <c r="V16" s="92" t="n">
        <v>18</v>
      </c>
      <c r="W16" s="92" t="n">
        <v>19</v>
      </c>
      <c r="X16" s="92" t="n">
        <v>20</v>
      </c>
      <c r="Y16" s="92" t="n">
        <v>21</v>
      </c>
      <c r="Z16" s="93" t="n">
        <v>22</v>
      </c>
      <c r="AA16" s="92" t="n">
        <v>23</v>
      </c>
      <c r="AB16" s="92" t="n">
        <v>24</v>
      </c>
      <c r="AC16" s="92" t="n">
        <v>25</v>
      </c>
      <c r="AD16" s="92" t="n">
        <v>26</v>
      </c>
      <c r="AE16" s="92" t="n">
        <v>27</v>
      </c>
      <c r="AF16" s="92" t="n">
        <v>28</v>
      </c>
      <c r="AG16" s="93" t="n">
        <v>29</v>
      </c>
      <c r="AH16" s="92" t="n">
        <v>30</v>
      </c>
      <c r="AI16" s="92" t="n">
        <v>31</v>
      </c>
      <c r="AJ16" s="94" t="inlineStr">
        <is>
          <t>Success %</t>
        </is>
      </c>
      <c r="AK16" s="94" t="inlineStr">
        <is>
          <t>Done / Target</t>
        </is>
      </c>
      <c r="AL16" s="94" t="inlineStr">
        <is>
          <t>Status</t>
        </is>
      </c>
      <c r="AM16" t="inlineStr">
        <is>
          <t>Done Count</t>
        </is>
      </c>
    </row>
    <row r="17" ht="15" customHeight="1">
      <c r="A17" s="54" t="n"/>
      <c r="B17" s="54" t="n"/>
      <c r="C17" s="54" t="n"/>
      <c r="D17" s="54" t="n"/>
      <c r="E17" s="96" t="inlineStr">
        <is>
          <t>Su</t>
        </is>
      </c>
      <c r="F17" s="95" t="inlineStr">
        <is>
          <t>M</t>
        </is>
      </c>
      <c r="G17" s="95" t="inlineStr">
        <is>
          <t>T</t>
        </is>
      </c>
      <c r="H17" s="95" t="inlineStr">
        <is>
          <t>W</t>
        </is>
      </c>
      <c r="I17" s="95" t="inlineStr">
        <is>
          <t>Th</t>
        </is>
      </c>
      <c r="J17" s="95" t="inlineStr">
        <is>
          <t>F</t>
        </is>
      </c>
      <c r="K17" s="95" t="inlineStr">
        <is>
          <t>Sa</t>
        </is>
      </c>
      <c r="L17" s="96" t="inlineStr">
        <is>
          <t>Su</t>
        </is>
      </c>
      <c r="M17" s="95" t="inlineStr">
        <is>
          <t>M</t>
        </is>
      </c>
      <c r="N17" s="95" t="inlineStr">
        <is>
          <t>T</t>
        </is>
      </c>
      <c r="O17" s="95" t="inlineStr">
        <is>
          <t>W</t>
        </is>
      </c>
      <c r="P17" s="95" t="inlineStr">
        <is>
          <t>Th</t>
        </is>
      </c>
      <c r="Q17" s="95" t="inlineStr">
        <is>
          <t>F</t>
        </is>
      </c>
      <c r="R17" s="95" t="inlineStr">
        <is>
          <t>Sa</t>
        </is>
      </c>
      <c r="S17" s="96" t="inlineStr">
        <is>
          <t>Su</t>
        </is>
      </c>
      <c r="T17" s="95" t="inlineStr">
        <is>
          <t>M</t>
        </is>
      </c>
      <c r="U17" s="95" t="inlineStr">
        <is>
          <t>T</t>
        </is>
      </c>
      <c r="V17" s="95" t="inlineStr">
        <is>
          <t>W</t>
        </is>
      </c>
      <c r="W17" s="95" t="inlineStr">
        <is>
          <t>Th</t>
        </is>
      </c>
      <c r="X17" s="95" t="inlineStr">
        <is>
          <t>F</t>
        </is>
      </c>
      <c r="Y17" s="95" t="inlineStr">
        <is>
          <t>Sa</t>
        </is>
      </c>
      <c r="Z17" s="96" t="inlineStr">
        <is>
          <t>Su</t>
        </is>
      </c>
      <c r="AA17" s="95" t="inlineStr">
        <is>
          <t>M</t>
        </is>
      </c>
      <c r="AB17" s="95" t="inlineStr">
        <is>
          <t>T</t>
        </is>
      </c>
      <c r="AC17" s="95" t="inlineStr">
        <is>
          <t>W</t>
        </is>
      </c>
      <c r="AD17" s="95" t="inlineStr">
        <is>
          <t>Th</t>
        </is>
      </c>
      <c r="AE17" s="95" t="inlineStr">
        <is>
          <t>F</t>
        </is>
      </c>
      <c r="AF17" s="95" t="inlineStr">
        <is>
          <t>Sa</t>
        </is>
      </c>
      <c r="AG17" s="96" t="inlineStr">
        <is>
          <t>Su</t>
        </is>
      </c>
      <c r="AH17" s="95" t="inlineStr">
        <is>
          <t>M</t>
        </is>
      </c>
      <c r="AI17" s="95" t="inlineStr">
        <is>
          <t>T</t>
        </is>
      </c>
      <c r="AJ17" s="54" t="n"/>
      <c r="AK17" s="54" t="n"/>
      <c r="AL17" s="54" t="n"/>
    </row>
    <row r="18" ht="14.5" customHeight="1">
      <c r="A18" s="97" t="n">
        <v>1</v>
      </c>
      <c r="B18" s="98" t="n"/>
      <c r="C18" s="99" t="n"/>
      <c r="D18" s="99" t="n"/>
      <c r="E18" s="101" t="n"/>
      <c r="F18" s="100" t="n"/>
      <c r="G18" s="100" t="n"/>
      <c r="H18" s="100" t="n"/>
      <c r="I18" s="100" t="n"/>
      <c r="J18" s="100" t="n"/>
      <c r="K18" s="100" t="n"/>
      <c r="L18" s="101" t="n"/>
      <c r="M18" s="100" t="n"/>
      <c r="N18" s="100" t="n"/>
      <c r="O18" s="100" t="n"/>
      <c r="P18" s="100" t="n"/>
      <c r="Q18" s="100" t="n"/>
      <c r="R18" s="100" t="n"/>
      <c r="S18" s="101" t="n"/>
      <c r="T18" s="100" t="n"/>
      <c r="U18" s="100" t="n"/>
      <c r="V18" s="100" t="n"/>
      <c r="W18" s="100" t="n"/>
      <c r="X18" s="100" t="n"/>
      <c r="Y18" s="100" t="n"/>
      <c r="Z18" s="101" t="n"/>
      <c r="AA18" s="100" t="n"/>
      <c r="AB18" s="100" t="n"/>
      <c r="AC18" s="100" t="n"/>
      <c r="AD18" s="100" t="n"/>
      <c r="AE18" s="100" t="n"/>
      <c r="AF18" s="100" t="n"/>
      <c r="AG18" s="101" t="n"/>
      <c r="AH18" s="100" t="n"/>
      <c r="AI18" s="100" t="n"/>
      <c r="AJ18" s="102">
        <f>IF(ISBLANK(B18), "", IF(ISNUMBER(D18), IF(D18&gt;0, (COUNTIF(E18:AI18, "✓") + COUNTIF(E18:AI18, "✔") + COUNTIF(E18:AI18, "v") + COUNTIF(E18:AI18, "V"))/D18, 0), IF(((COUNTIF(E18:AI18, "✓") + COUNTIF(E18:AI18, "✔") + COUNTIF(E18:AI18, "v") + COUNTIF(E18:AI18, "V")) + COUNTIF(E18:AI18, "✗") + COUNTIF(E18:AI18, "x") + COUNTIF(E18:AI18, "X"))&gt;0, (COUNTIF(E18:AI18, "✓") + COUNTIF(E18:AI18, "✔") + COUNTIF(E18:AI18, "v") + COUNTIF(E18:AI18, "V"))/((COUNTIF(E18:AI18, "✓") + COUNTIF(E18:AI18, "✔") + COUNTIF(E18:AI18, "v") + COUNTIF(E18:AI18, "V")) + COUNTIF(E18:AI18, "✗") + COUNTIF(E18:AI18, "x") + COUNTIF(E18:AI18, "X")), "")))</f>
        <v/>
      </c>
      <c r="AK18" s="103">
        <f>IF(ISBLANK(B18), "", IF(ISNUMBER(D18), IF(D18&gt;0, (COUNTIF(E18:AI18, "✓") + COUNTIF(E18:AI18, "✔") + COUNTIF(E18:AI18, "v") + COUNTIF(E18:AI18, "V")) &amp; "/" &amp; D18, (COUNTIF(E18:AI18, "✓") + COUNTIF(E18:AI18, "✔") + COUNTIF(E18:AI18, "v") + COUNTIF(E18:AI18, "V")) &amp; "/0"), IF(((COUNTIF(E18:AI18, "✓") + COUNTIF(E18:AI18, "✔") + COUNTIF(E18:AI18, "v") + COUNTIF(E18:AI18, "V")) + COUNTIF(E18:AI18, "✗") + COUNTIF(E18:AI18, "x") + COUNTIF(E18:AI18, "X"))&gt;0, (COUNTIF(E18:AI18, "✓") + COUNTIF(E18:AI18, "✔") + COUNTIF(E18:AI18, "v") + COUNTIF(E18:AI18, "V")) &amp; "/" &amp; ((COUNTIF(E18:AI18, "✓") + COUNTIF(E18:AI18, "✔") + COUNTIF(E18:AI18, "v") + COUNTIF(E18:AI18, "V")) + COUNTIF(E18:AI18, "✗") + COUNTIF(E18:AI18, "x") + COUNTIF(E18:AI18, "X")), "")))</f>
        <v/>
      </c>
      <c r="AL18" s="103">
        <f>IF(ISBLANK(B18), "", IF(AJ18&gt;=0.85, "🔥 Mastered", IF(AJ18&gt;=0.7, "⚡ Consistent", "⚠️ Needs Focus")))</f>
        <v/>
      </c>
      <c r="AM18">
        <f>COUNTIF(E18:AI18, "✓")</f>
        <v/>
      </c>
    </row>
    <row r="19" ht="14.5" customHeight="1">
      <c r="A19" s="97" t="n">
        <v>2</v>
      </c>
      <c r="B19" s="98" t="n"/>
      <c r="C19" s="99" t="n"/>
      <c r="D19" s="99" t="n"/>
      <c r="E19" s="101" t="n"/>
      <c r="F19" s="100" t="n"/>
      <c r="G19" s="100" t="n"/>
      <c r="H19" s="100" t="n"/>
      <c r="I19" s="100" t="n"/>
      <c r="J19" s="100" t="n"/>
      <c r="K19" s="100" t="n"/>
      <c r="L19" s="101" t="n"/>
      <c r="M19" s="100" t="n"/>
      <c r="N19" s="100" t="n"/>
      <c r="O19" s="100" t="n"/>
      <c r="P19" s="100" t="n"/>
      <c r="Q19" s="100" t="n"/>
      <c r="R19" s="100" t="n"/>
      <c r="S19" s="101" t="n"/>
      <c r="T19" s="100" t="n"/>
      <c r="U19" s="100" t="n"/>
      <c r="V19" s="100" t="n"/>
      <c r="W19" s="100" t="n"/>
      <c r="X19" s="100" t="n"/>
      <c r="Y19" s="100" t="n"/>
      <c r="Z19" s="101" t="n"/>
      <c r="AA19" s="100" t="n"/>
      <c r="AB19" s="100" t="n"/>
      <c r="AC19" s="100" t="n"/>
      <c r="AD19" s="100" t="n"/>
      <c r="AE19" s="100" t="n"/>
      <c r="AF19" s="100" t="n"/>
      <c r="AG19" s="101" t="n"/>
      <c r="AH19" s="100" t="n"/>
      <c r="AI19" s="100" t="n"/>
      <c r="AJ19" s="102">
        <f>IF(ISBLANK(B19), "", IF(ISNUMBER(D19), IF(D19&gt;0, (COUNTIF(E19:AI19, "✓") + COUNTIF(E19:AI19, "✔") + COUNTIF(E19:AI19, "v") + COUNTIF(E19:AI19, "V"))/D19, 0), IF(((COUNTIF(E19:AI19, "✓") + COUNTIF(E19:AI19, "✔") + COUNTIF(E19:AI19, "v") + COUNTIF(E19:AI19, "V")) + COUNTIF(E19:AI19, "✗") + COUNTIF(E19:AI19, "x") + COUNTIF(E19:AI19, "X"))&gt;0, (COUNTIF(E19:AI19, "✓") + COUNTIF(E19:AI19, "✔") + COUNTIF(E19:AI19, "v") + COUNTIF(E19:AI19, "V"))/((COUNTIF(E19:AI19, "✓") + COUNTIF(E19:AI19, "✔") + COUNTIF(E19:AI19, "v") + COUNTIF(E19:AI19, "V")) + COUNTIF(E19:AI19, "✗") + COUNTIF(E19:AI19, "x") + COUNTIF(E19:AI19, "X")), "")))</f>
        <v/>
      </c>
      <c r="AK19" s="103">
        <f>IF(ISBLANK(B19), "", IF(ISNUMBER(D19), IF(D19&gt;0, (COUNTIF(E19:AI19, "✓") + COUNTIF(E19:AI19, "✔") + COUNTIF(E19:AI19, "v") + COUNTIF(E19:AI19, "V")) &amp; "/" &amp; D19, (COUNTIF(E19:AI19, "✓") + COUNTIF(E19:AI19, "✔") + COUNTIF(E19:AI19, "v") + COUNTIF(E19:AI19, "V")) &amp; "/0"), IF(((COUNTIF(E19:AI19, "✓") + COUNTIF(E19:AI19, "✔") + COUNTIF(E19:AI19, "v") + COUNTIF(E19:AI19, "V")) + COUNTIF(E19:AI19, "✗") + COUNTIF(E19:AI19, "x") + COUNTIF(E19:AI19, "X"))&gt;0, (COUNTIF(E19:AI19, "✓") + COUNTIF(E19:AI19, "✔") + COUNTIF(E19:AI19, "v") + COUNTIF(E19:AI19, "V")) &amp; "/" &amp; ((COUNTIF(E19:AI19, "✓") + COUNTIF(E19:AI19, "✔") + COUNTIF(E19:AI19, "v") + COUNTIF(E19:AI19, "V")) + COUNTIF(E19:AI19, "✗") + COUNTIF(E19:AI19, "x") + COUNTIF(E19:AI19, "X")), "")))</f>
        <v/>
      </c>
      <c r="AL19" s="103">
        <f>IF(ISBLANK(B19), "", IF(AJ19&gt;=0.85, "🔥 Mastered", IF(AJ19&gt;=0.7, "⚡ Consistent", "⚠️ Needs Focus")))</f>
        <v/>
      </c>
      <c r="AM19">
        <f>COUNTIF(E19:AI19, "✓")</f>
        <v/>
      </c>
    </row>
    <row r="20" ht="14.5" customHeight="1">
      <c r="A20" s="97" t="n">
        <v>3</v>
      </c>
      <c r="B20" s="98" t="n"/>
      <c r="C20" s="99" t="n"/>
      <c r="D20" s="99" t="n"/>
      <c r="E20" s="101" t="n"/>
      <c r="F20" s="100" t="n"/>
      <c r="G20" s="100" t="n"/>
      <c r="H20" s="100" t="n"/>
      <c r="I20" s="100" t="n"/>
      <c r="J20" s="100" t="n"/>
      <c r="K20" s="100" t="n"/>
      <c r="L20" s="101" t="n"/>
      <c r="M20" s="100" t="n"/>
      <c r="N20" s="100" t="n"/>
      <c r="O20" s="100" t="n"/>
      <c r="P20" s="100" t="n"/>
      <c r="Q20" s="100" t="n"/>
      <c r="R20" s="100" t="n"/>
      <c r="S20" s="101" t="n"/>
      <c r="T20" s="100" t="n"/>
      <c r="U20" s="100" t="n"/>
      <c r="V20" s="100" t="n"/>
      <c r="W20" s="100" t="n"/>
      <c r="X20" s="100" t="n"/>
      <c r="Y20" s="100" t="n"/>
      <c r="Z20" s="101" t="n"/>
      <c r="AA20" s="100" t="n"/>
      <c r="AB20" s="100" t="n"/>
      <c r="AC20" s="100" t="n"/>
      <c r="AD20" s="100" t="n"/>
      <c r="AE20" s="100" t="n"/>
      <c r="AF20" s="100" t="n"/>
      <c r="AG20" s="101" t="n"/>
      <c r="AH20" s="100" t="n"/>
      <c r="AI20" s="100" t="n"/>
      <c r="AJ20" s="102">
        <f>IF(ISBLANK(B20), "", IF(ISNUMBER(D20), IF(D20&gt;0, (COUNTIF(E20:AI20, "✓") + COUNTIF(E20:AI20, "✔") + COUNTIF(E20:AI20, "v") + COUNTIF(E20:AI20, "V"))/D20, 0), IF(((COUNTIF(E20:AI20, "✓") + COUNTIF(E20:AI20, "✔") + COUNTIF(E20:AI20, "v") + COUNTIF(E20:AI20, "V")) + COUNTIF(E20:AI20, "✗") + COUNTIF(E20:AI20, "x") + COUNTIF(E20:AI20, "X"))&gt;0, (COUNTIF(E20:AI20, "✓") + COUNTIF(E20:AI20, "✔") + COUNTIF(E20:AI20, "v") + COUNTIF(E20:AI20, "V"))/((COUNTIF(E20:AI20, "✓") + COUNTIF(E20:AI20, "✔") + COUNTIF(E20:AI20, "v") + COUNTIF(E20:AI20, "V")) + COUNTIF(E20:AI20, "✗") + COUNTIF(E20:AI20, "x") + COUNTIF(E20:AI20, "X")), "")))</f>
        <v/>
      </c>
      <c r="AK20" s="103">
        <f>IF(ISBLANK(B20), "", IF(ISNUMBER(D20), IF(D20&gt;0, (COUNTIF(E20:AI20, "✓") + COUNTIF(E20:AI20, "✔") + COUNTIF(E20:AI20, "v") + COUNTIF(E20:AI20, "V")) &amp; "/" &amp; D20, (COUNTIF(E20:AI20, "✓") + COUNTIF(E20:AI20, "✔") + COUNTIF(E20:AI20, "v") + COUNTIF(E20:AI20, "V")) &amp; "/0"), IF(((COUNTIF(E20:AI20, "✓") + COUNTIF(E20:AI20, "✔") + COUNTIF(E20:AI20, "v") + COUNTIF(E20:AI20, "V")) + COUNTIF(E20:AI20, "✗") + COUNTIF(E20:AI20, "x") + COUNTIF(E20:AI20, "X"))&gt;0, (COUNTIF(E20:AI20, "✓") + COUNTIF(E20:AI20, "✔") + COUNTIF(E20:AI20, "v") + COUNTIF(E20:AI20, "V")) &amp; "/" &amp; ((COUNTIF(E20:AI20, "✓") + COUNTIF(E20:AI20, "✔") + COUNTIF(E20:AI20, "v") + COUNTIF(E20:AI20, "V")) + COUNTIF(E20:AI20, "✗") + COUNTIF(E20:AI20, "x") + COUNTIF(E20:AI20, "X")), "")))</f>
        <v/>
      </c>
      <c r="AL20" s="103">
        <f>IF(ISBLANK(B20), "", IF(AJ20&gt;=0.85, "🔥 Mastered", IF(AJ20&gt;=0.7, "⚡ Consistent", "⚠️ Needs Focus")))</f>
        <v/>
      </c>
      <c r="AM20">
        <f>COUNTIF(E20:AI20, "✓")</f>
        <v/>
      </c>
    </row>
    <row r="21" ht="14.5" customHeight="1">
      <c r="A21" s="97" t="n">
        <v>4</v>
      </c>
      <c r="B21" s="98" t="n"/>
      <c r="C21" s="99" t="n"/>
      <c r="D21" s="99" t="n"/>
      <c r="E21" s="101" t="n"/>
      <c r="F21" s="100" t="n"/>
      <c r="G21" s="100" t="n"/>
      <c r="H21" s="100" t="n"/>
      <c r="I21" s="100" t="n"/>
      <c r="J21" s="100" t="n"/>
      <c r="K21" s="100" t="n"/>
      <c r="L21" s="101" t="n"/>
      <c r="M21" s="100" t="n"/>
      <c r="N21" s="100" t="n"/>
      <c r="O21" s="100" t="n"/>
      <c r="P21" s="100" t="n"/>
      <c r="Q21" s="100" t="n"/>
      <c r="R21" s="100" t="n"/>
      <c r="S21" s="101" t="n"/>
      <c r="T21" s="100" t="n"/>
      <c r="U21" s="100" t="n"/>
      <c r="V21" s="100" t="n"/>
      <c r="W21" s="100" t="n"/>
      <c r="X21" s="100" t="n"/>
      <c r="Y21" s="100" t="n"/>
      <c r="Z21" s="101" t="n"/>
      <c r="AA21" s="100" t="n"/>
      <c r="AB21" s="100" t="n"/>
      <c r="AC21" s="100" t="n"/>
      <c r="AD21" s="100" t="n"/>
      <c r="AE21" s="100" t="n"/>
      <c r="AF21" s="100" t="n"/>
      <c r="AG21" s="101" t="n"/>
      <c r="AH21" s="100" t="n"/>
      <c r="AI21" s="100" t="n"/>
      <c r="AJ21" s="102">
        <f>IF(ISBLANK(B21), "", IF(ISNUMBER(D21), IF(D21&gt;0, (COUNTIF(E21:AI21, "✓") + COUNTIF(E21:AI21, "✔") + COUNTIF(E21:AI21, "v") + COUNTIF(E21:AI21, "V"))/D21, 0), IF(((COUNTIF(E21:AI21, "✓") + COUNTIF(E21:AI21, "✔") + COUNTIF(E21:AI21, "v") + COUNTIF(E21:AI21, "V")) + COUNTIF(E21:AI21, "✗") + COUNTIF(E21:AI21, "x") + COUNTIF(E21:AI21, "X"))&gt;0, (COUNTIF(E21:AI21, "✓") + COUNTIF(E21:AI21, "✔") + COUNTIF(E21:AI21, "v") + COUNTIF(E21:AI21, "V"))/((COUNTIF(E21:AI21, "✓") + COUNTIF(E21:AI21, "✔") + COUNTIF(E21:AI21, "v") + COUNTIF(E21:AI21, "V")) + COUNTIF(E21:AI21, "✗") + COUNTIF(E21:AI21, "x") + COUNTIF(E21:AI21, "X")), "")))</f>
        <v/>
      </c>
      <c r="AK21" s="103">
        <f>IF(ISBLANK(B21), "", IF(ISNUMBER(D21), IF(D21&gt;0, (COUNTIF(E21:AI21, "✓") + COUNTIF(E21:AI21, "✔") + COUNTIF(E21:AI21, "v") + COUNTIF(E21:AI21, "V")) &amp; "/" &amp; D21, (COUNTIF(E21:AI21, "✓") + COUNTIF(E21:AI21, "✔") + COUNTIF(E21:AI21, "v") + COUNTIF(E21:AI21, "V")) &amp; "/0"), IF(((COUNTIF(E21:AI21, "✓") + COUNTIF(E21:AI21, "✔") + COUNTIF(E21:AI21, "v") + COUNTIF(E21:AI21, "V")) + COUNTIF(E21:AI21, "✗") + COUNTIF(E21:AI21, "x") + COUNTIF(E21:AI21, "X"))&gt;0, (COUNTIF(E21:AI21, "✓") + COUNTIF(E21:AI21, "✔") + COUNTIF(E21:AI21, "v") + COUNTIF(E21:AI21, "V")) &amp; "/" &amp; ((COUNTIF(E21:AI21, "✓") + COUNTIF(E21:AI21, "✔") + COUNTIF(E21:AI21, "v") + COUNTIF(E21:AI21, "V")) + COUNTIF(E21:AI21, "✗") + COUNTIF(E21:AI21, "x") + COUNTIF(E21:AI21, "X")), "")))</f>
        <v/>
      </c>
      <c r="AL21" s="103">
        <f>IF(ISBLANK(B21), "", IF(AJ21&gt;=0.85, "🔥 Mastered", IF(AJ21&gt;=0.7, "⚡ Consistent", "⚠️ Needs Focus")))</f>
        <v/>
      </c>
      <c r="AM21">
        <f>COUNTIF(E21:AI21, "✓")</f>
        <v/>
      </c>
    </row>
    <row r="22" ht="14.5" customHeight="1">
      <c r="A22" s="104" t="n">
        <v>5</v>
      </c>
      <c r="B22" s="105" t="n"/>
      <c r="C22" s="106" t="n"/>
      <c r="D22" s="106" t="n"/>
      <c r="E22" s="108" t="n"/>
      <c r="F22" s="107" t="n"/>
      <c r="G22" s="107" t="n"/>
      <c r="H22" s="107" t="n"/>
      <c r="I22" s="107" t="n"/>
      <c r="J22" s="107" t="n"/>
      <c r="K22" s="107" t="n"/>
      <c r="L22" s="108" t="n"/>
      <c r="M22" s="107" t="n"/>
      <c r="N22" s="107" t="n"/>
      <c r="O22" s="107" t="n"/>
      <c r="P22" s="107" t="n"/>
      <c r="Q22" s="107" t="n"/>
      <c r="R22" s="107" t="n"/>
      <c r="S22" s="108" t="n"/>
      <c r="T22" s="107" t="n"/>
      <c r="U22" s="107" t="n"/>
      <c r="V22" s="107" t="n"/>
      <c r="W22" s="107" t="n"/>
      <c r="X22" s="107" t="n"/>
      <c r="Y22" s="107" t="n"/>
      <c r="Z22" s="108" t="n"/>
      <c r="AA22" s="107" t="n"/>
      <c r="AB22" s="107" t="n"/>
      <c r="AC22" s="107" t="n"/>
      <c r="AD22" s="107" t="n"/>
      <c r="AE22" s="107" t="n"/>
      <c r="AF22" s="107" t="n"/>
      <c r="AG22" s="108" t="n"/>
      <c r="AH22" s="107" t="n"/>
      <c r="AI22" s="107" t="n"/>
      <c r="AJ22" s="109">
        <f>IF(ISBLANK(B22), "", IF(ISNUMBER(D22), IF(D22&gt;0, (COUNTIF(E22:AI22, "✓") + COUNTIF(E22:AI22, "✔") + COUNTIF(E22:AI22, "v") + COUNTIF(E22:AI22, "V"))/D22, 0), IF(((COUNTIF(E22:AI22, "✓") + COUNTIF(E22:AI22, "✔") + COUNTIF(E22:AI22, "v") + COUNTIF(E22:AI22, "V")) + COUNTIF(E22:AI22, "✗") + COUNTIF(E22:AI22, "x") + COUNTIF(E22:AI22, "X"))&gt;0, (COUNTIF(E22:AI22, "✓") + COUNTIF(E22:AI22, "✔") + COUNTIF(E22:AI22, "v") + COUNTIF(E22:AI22, "V"))/((COUNTIF(E22:AI22, "✓") + COUNTIF(E22:AI22, "✔") + COUNTIF(E22:AI22, "v") + COUNTIF(E22:AI22, "V")) + COUNTIF(E22:AI22, "✗") + COUNTIF(E22:AI22, "x") + COUNTIF(E22:AI22, "X")), "")))</f>
        <v/>
      </c>
      <c r="AK22" s="110">
        <f>IF(ISBLANK(B22), "", IF(ISNUMBER(D22), IF(D22&gt;0, (COUNTIF(E22:AI22, "✓") + COUNTIF(E22:AI22, "✔") + COUNTIF(E22:AI22, "v") + COUNTIF(E22:AI22, "V")) &amp; "/" &amp; D22, (COUNTIF(E22:AI22, "✓") + COUNTIF(E22:AI22, "✔") + COUNTIF(E22:AI22, "v") + COUNTIF(E22:AI22, "V")) &amp; "/0"), IF(((COUNTIF(E22:AI22, "✓") + COUNTIF(E22:AI22, "✔") + COUNTIF(E22:AI22, "v") + COUNTIF(E22:AI22, "V")) + COUNTIF(E22:AI22, "✗") + COUNTIF(E22:AI22, "x") + COUNTIF(E22:AI22, "X"))&gt;0, (COUNTIF(E22:AI22, "✓") + COUNTIF(E22:AI22, "✔") + COUNTIF(E22:AI22, "v") + COUNTIF(E22:AI22, "V")) &amp; "/" &amp; ((COUNTIF(E22:AI22, "✓") + COUNTIF(E22:AI22, "✔") + COUNTIF(E22:AI22, "v") + COUNTIF(E22:AI22, "V")) + COUNTIF(E22:AI22, "✗") + COUNTIF(E22:AI22, "x") + COUNTIF(E22:AI22, "X")), "")))</f>
        <v/>
      </c>
      <c r="AL22" s="110">
        <f>IF(ISBLANK(B22), "", IF(AJ22&gt;=0.85, "🔥 Mastered", IF(AJ22&gt;=0.7, "⚡ Consistent", "⚠️ Needs Focus")))</f>
        <v/>
      </c>
      <c r="AM22">
        <f>COUNTIF(E22:AI22, "✓")</f>
        <v/>
      </c>
    </row>
    <row r="23" ht="14.5" customHeight="1">
      <c r="A23" s="104" t="n">
        <v>6</v>
      </c>
      <c r="B23" s="105" t="n"/>
      <c r="C23" s="106" t="n"/>
      <c r="D23" s="106" t="n"/>
      <c r="E23" s="108" t="n"/>
      <c r="F23" s="107" t="n"/>
      <c r="G23" s="107" t="n"/>
      <c r="H23" s="107" t="n"/>
      <c r="I23" s="107" t="n"/>
      <c r="J23" s="107" t="n"/>
      <c r="K23" s="107" t="n"/>
      <c r="L23" s="108" t="n"/>
      <c r="M23" s="107" t="n"/>
      <c r="N23" s="107" t="n"/>
      <c r="O23" s="107" t="n"/>
      <c r="P23" s="107" t="n"/>
      <c r="Q23" s="107" t="n"/>
      <c r="R23" s="107" t="n"/>
      <c r="S23" s="108" t="n"/>
      <c r="T23" s="107" t="n"/>
      <c r="U23" s="107" t="n"/>
      <c r="V23" s="107" t="n"/>
      <c r="W23" s="107" t="n"/>
      <c r="X23" s="107" t="n"/>
      <c r="Y23" s="107" t="n"/>
      <c r="Z23" s="108" t="n"/>
      <c r="AA23" s="107" t="n"/>
      <c r="AB23" s="107" t="n"/>
      <c r="AC23" s="107" t="n"/>
      <c r="AD23" s="107" t="n"/>
      <c r="AE23" s="107" t="n"/>
      <c r="AF23" s="107" t="n"/>
      <c r="AG23" s="108" t="n"/>
      <c r="AH23" s="107" t="n"/>
      <c r="AI23" s="107" t="n"/>
      <c r="AJ23" s="109">
        <f>IF(ISBLANK(B23), "", IF(ISNUMBER(D23), IF(D23&gt;0, (COUNTIF(E23:AI23, "✓") + COUNTIF(E23:AI23, "✔") + COUNTIF(E23:AI23, "v") + COUNTIF(E23:AI23, "V"))/D23, 0), IF(((COUNTIF(E23:AI23, "✓") + COUNTIF(E23:AI23, "✔") + COUNTIF(E23:AI23, "v") + COUNTIF(E23:AI23, "V")) + COUNTIF(E23:AI23, "✗") + COUNTIF(E23:AI23, "x") + COUNTIF(E23:AI23, "X"))&gt;0, (COUNTIF(E23:AI23, "✓") + COUNTIF(E23:AI23, "✔") + COUNTIF(E23:AI23, "v") + COUNTIF(E23:AI23, "V"))/((COUNTIF(E23:AI23, "✓") + COUNTIF(E23:AI23, "✔") + COUNTIF(E23:AI23, "v") + COUNTIF(E23:AI23, "V")) + COUNTIF(E23:AI23, "✗") + COUNTIF(E23:AI23, "x") + COUNTIF(E23:AI23, "X")), "")))</f>
        <v/>
      </c>
      <c r="AK23" s="110">
        <f>IF(ISBLANK(B23), "", IF(ISNUMBER(D23), IF(D23&gt;0, (COUNTIF(E23:AI23, "✓") + COUNTIF(E23:AI23, "✔") + COUNTIF(E23:AI23, "v") + COUNTIF(E23:AI23, "V")) &amp; "/" &amp; D23, (COUNTIF(E23:AI23, "✓") + COUNTIF(E23:AI23, "✔") + COUNTIF(E23:AI23, "v") + COUNTIF(E23:AI23, "V")) &amp; "/0"), IF(((COUNTIF(E23:AI23, "✓") + COUNTIF(E23:AI23, "✔") + COUNTIF(E23:AI23, "v") + COUNTIF(E23:AI23, "V")) + COUNTIF(E23:AI23, "✗") + COUNTIF(E23:AI23, "x") + COUNTIF(E23:AI23, "X"))&gt;0, (COUNTIF(E23:AI23, "✓") + COUNTIF(E23:AI23, "✔") + COUNTIF(E23:AI23, "v") + COUNTIF(E23:AI23, "V")) &amp; "/" &amp; ((COUNTIF(E23:AI23, "✓") + COUNTIF(E23:AI23, "✔") + COUNTIF(E23:AI23, "v") + COUNTIF(E23:AI23, "V")) + COUNTIF(E23:AI23, "✗") + COUNTIF(E23:AI23, "x") + COUNTIF(E23:AI23, "X")), "")))</f>
        <v/>
      </c>
      <c r="AL23" s="110">
        <f>IF(ISBLANK(B23), "", IF(AJ23&gt;=0.85, "🔥 Mastered", IF(AJ23&gt;=0.7, "⚡ Consistent", "⚠️ Needs Focus")))</f>
        <v/>
      </c>
      <c r="AM23">
        <f>COUNTIF(E23:AI23, "✓")</f>
        <v/>
      </c>
    </row>
    <row r="24" ht="14.5" customHeight="1">
      <c r="A24" s="104" t="n">
        <v>7</v>
      </c>
      <c r="B24" s="105" t="n"/>
      <c r="C24" s="106" t="n"/>
      <c r="D24" s="106" t="n"/>
      <c r="E24" s="108" t="n"/>
      <c r="F24" s="107" t="n"/>
      <c r="G24" s="107" t="n"/>
      <c r="H24" s="107" t="n"/>
      <c r="I24" s="107" t="n"/>
      <c r="J24" s="107" t="n"/>
      <c r="K24" s="107" t="n"/>
      <c r="L24" s="108" t="n"/>
      <c r="M24" s="107" t="n"/>
      <c r="N24" s="107" t="n"/>
      <c r="O24" s="107" t="n"/>
      <c r="P24" s="107" t="n"/>
      <c r="Q24" s="107" t="n"/>
      <c r="R24" s="107" t="n"/>
      <c r="S24" s="108" t="n"/>
      <c r="T24" s="107" t="n"/>
      <c r="U24" s="107" t="n"/>
      <c r="V24" s="107" t="n"/>
      <c r="W24" s="107" t="n"/>
      <c r="X24" s="107" t="n"/>
      <c r="Y24" s="107" t="n"/>
      <c r="Z24" s="108" t="n"/>
      <c r="AA24" s="107" t="n"/>
      <c r="AB24" s="107" t="n"/>
      <c r="AC24" s="107" t="n"/>
      <c r="AD24" s="107" t="n"/>
      <c r="AE24" s="107" t="n"/>
      <c r="AF24" s="107" t="n"/>
      <c r="AG24" s="108" t="n"/>
      <c r="AH24" s="107" t="n"/>
      <c r="AI24" s="107" t="n"/>
      <c r="AJ24" s="109">
        <f>IF(ISBLANK(B24), "", IF(ISNUMBER(D24), IF(D24&gt;0, (COUNTIF(E24:AI24, "✓") + COUNTIF(E24:AI24, "✔") + COUNTIF(E24:AI24, "v") + COUNTIF(E24:AI24, "V"))/D24, 0), IF(((COUNTIF(E24:AI24, "✓") + COUNTIF(E24:AI24, "✔") + COUNTIF(E24:AI24, "v") + COUNTIF(E24:AI24, "V")) + COUNTIF(E24:AI24, "✗") + COUNTIF(E24:AI24, "x") + COUNTIF(E24:AI24, "X"))&gt;0, (COUNTIF(E24:AI24, "✓") + COUNTIF(E24:AI24, "✔") + COUNTIF(E24:AI24, "v") + COUNTIF(E24:AI24, "V"))/((COUNTIF(E24:AI24, "✓") + COUNTIF(E24:AI24, "✔") + COUNTIF(E24:AI24, "v") + COUNTIF(E24:AI24, "V")) + COUNTIF(E24:AI24, "✗") + COUNTIF(E24:AI24, "x") + COUNTIF(E24:AI24, "X")), "")))</f>
        <v/>
      </c>
      <c r="AK24" s="110">
        <f>IF(ISBLANK(B24), "", IF(ISNUMBER(D24), IF(D24&gt;0, (COUNTIF(E24:AI24, "✓") + COUNTIF(E24:AI24, "✔") + COUNTIF(E24:AI24, "v") + COUNTIF(E24:AI24, "V")) &amp; "/" &amp; D24, (COUNTIF(E24:AI24, "✓") + COUNTIF(E24:AI24, "✔") + COUNTIF(E24:AI24, "v") + COUNTIF(E24:AI24, "V")) &amp; "/0"), IF(((COUNTIF(E24:AI24, "✓") + COUNTIF(E24:AI24, "✔") + COUNTIF(E24:AI24, "v") + COUNTIF(E24:AI24, "V")) + COUNTIF(E24:AI24, "✗") + COUNTIF(E24:AI24, "x") + COUNTIF(E24:AI24, "X"))&gt;0, (COUNTIF(E24:AI24, "✓") + COUNTIF(E24:AI24, "✔") + COUNTIF(E24:AI24, "v") + COUNTIF(E24:AI24, "V")) &amp; "/" &amp; ((COUNTIF(E24:AI24, "✓") + COUNTIF(E24:AI24, "✔") + COUNTIF(E24:AI24, "v") + COUNTIF(E24:AI24, "V")) + COUNTIF(E24:AI24, "✗") + COUNTIF(E24:AI24, "x") + COUNTIF(E24:AI24, "X")), "")))</f>
        <v/>
      </c>
      <c r="AL24" s="110">
        <f>IF(ISBLANK(B24), "", IF(AJ24&gt;=0.85, "🔥 Mastered", IF(AJ24&gt;=0.7, "⚡ Consistent", "⚠️ Needs Focus")))</f>
        <v/>
      </c>
      <c r="AM24">
        <f>COUNTIF(E24:AI24, "✓")</f>
        <v/>
      </c>
    </row>
    <row r="25" ht="14.5" customHeight="1">
      <c r="A25" s="104" t="n">
        <v>8</v>
      </c>
      <c r="B25" s="105" t="n"/>
      <c r="C25" s="106" t="n"/>
      <c r="D25" s="106" t="n"/>
      <c r="E25" s="108" t="n"/>
      <c r="F25" s="107" t="n"/>
      <c r="G25" s="107" t="n"/>
      <c r="H25" s="107" t="n"/>
      <c r="I25" s="107" t="n"/>
      <c r="J25" s="107" t="n"/>
      <c r="K25" s="107" t="n"/>
      <c r="L25" s="108" t="n"/>
      <c r="M25" s="107" t="n"/>
      <c r="N25" s="107" t="n"/>
      <c r="O25" s="107" t="n"/>
      <c r="P25" s="107" t="n"/>
      <c r="Q25" s="107" t="n"/>
      <c r="R25" s="107" t="n"/>
      <c r="S25" s="108" t="n"/>
      <c r="T25" s="107" t="n"/>
      <c r="U25" s="107" t="n"/>
      <c r="V25" s="107" t="n"/>
      <c r="W25" s="107" t="n"/>
      <c r="X25" s="107" t="n"/>
      <c r="Y25" s="107" t="n"/>
      <c r="Z25" s="108" t="n"/>
      <c r="AA25" s="107" t="n"/>
      <c r="AB25" s="107" t="n"/>
      <c r="AC25" s="107" t="n"/>
      <c r="AD25" s="107" t="n"/>
      <c r="AE25" s="107" t="n"/>
      <c r="AF25" s="107" t="n"/>
      <c r="AG25" s="108" t="n"/>
      <c r="AH25" s="107" t="n"/>
      <c r="AI25" s="107" t="n"/>
      <c r="AJ25" s="109">
        <f>IF(ISBLANK(B25), "", IF(ISNUMBER(D25), IF(D25&gt;0, (COUNTIF(E25:AI25, "✓") + COUNTIF(E25:AI25, "✔") + COUNTIF(E25:AI25, "v") + COUNTIF(E25:AI25, "V"))/D25, 0), IF(((COUNTIF(E25:AI25, "✓") + COUNTIF(E25:AI25, "✔") + COUNTIF(E25:AI25, "v") + COUNTIF(E25:AI25, "V")) + COUNTIF(E25:AI25, "✗") + COUNTIF(E25:AI25, "x") + COUNTIF(E25:AI25, "X"))&gt;0, (COUNTIF(E25:AI25, "✓") + COUNTIF(E25:AI25, "✔") + COUNTIF(E25:AI25, "v") + COUNTIF(E25:AI25, "V"))/((COUNTIF(E25:AI25, "✓") + COUNTIF(E25:AI25, "✔") + COUNTIF(E25:AI25, "v") + COUNTIF(E25:AI25, "V")) + COUNTIF(E25:AI25, "✗") + COUNTIF(E25:AI25, "x") + COUNTIF(E25:AI25, "X")), "")))</f>
        <v/>
      </c>
      <c r="AK25" s="110">
        <f>IF(ISBLANK(B25), "", IF(ISNUMBER(D25), IF(D25&gt;0, (COUNTIF(E25:AI25, "✓") + COUNTIF(E25:AI25, "✔") + COUNTIF(E25:AI25, "v") + COUNTIF(E25:AI25, "V")) &amp; "/" &amp; D25, (COUNTIF(E25:AI25, "✓") + COUNTIF(E25:AI25, "✔") + COUNTIF(E25:AI25, "v") + COUNTIF(E25:AI25, "V")) &amp; "/0"), IF(((COUNTIF(E25:AI25, "✓") + COUNTIF(E25:AI25, "✔") + COUNTIF(E25:AI25, "v") + COUNTIF(E25:AI25, "V")) + COUNTIF(E25:AI25, "✗") + COUNTIF(E25:AI25, "x") + COUNTIF(E25:AI25, "X"))&gt;0, (COUNTIF(E25:AI25, "✓") + COUNTIF(E25:AI25, "✔") + COUNTIF(E25:AI25, "v") + COUNTIF(E25:AI25, "V")) &amp; "/" &amp; ((COUNTIF(E25:AI25, "✓") + COUNTIF(E25:AI25, "✔") + COUNTIF(E25:AI25, "v") + COUNTIF(E25:AI25, "V")) + COUNTIF(E25:AI25, "✗") + COUNTIF(E25:AI25, "x") + COUNTIF(E25:AI25, "X")), "")))</f>
        <v/>
      </c>
      <c r="AL25" s="110">
        <f>IF(ISBLANK(B25), "", IF(AJ25&gt;=0.85, "🔥 Mastered", IF(AJ25&gt;=0.7, "⚡ Consistent", "⚠️ Needs Focus")))</f>
        <v/>
      </c>
      <c r="AM25">
        <f>COUNTIF(E25:AI25, "✓")</f>
        <v/>
      </c>
    </row>
    <row r="26" ht="14.5" customHeight="1">
      <c r="A26" s="111" t="n">
        <v>9</v>
      </c>
      <c r="B26" s="112" t="n"/>
      <c r="C26" s="113" t="n"/>
      <c r="D26" s="113" t="n"/>
      <c r="E26" s="115" t="n"/>
      <c r="F26" s="114" t="n"/>
      <c r="G26" s="114" t="n"/>
      <c r="H26" s="114" t="n"/>
      <c r="I26" s="114" t="n"/>
      <c r="J26" s="114" t="n"/>
      <c r="K26" s="114" t="n"/>
      <c r="L26" s="115" t="n"/>
      <c r="M26" s="114" t="n"/>
      <c r="N26" s="114" t="n"/>
      <c r="O26" s="114" t="n"/>
      <c r="P26" s="114" t="n"/>
      <c r="Q26" s="114" t="n"/>
      <c r="R26" s="114" t="n"/>
      <c r="S26" s="115" t="n"/>
      <c r="T26" s="114" t="n"/>
      <c r="U26" s="114" t="n"/>
      <c r="V26" s="114" t="n"/>
      <c r="W26" s="114" t="n"/>
      <c r="X26" s="114" t="n"/>
      <c r="Y26" s="114" t="n"/>
      <c r="Z26" s="115" t="n"/>
      <c r="AA26" s="114" t="n"/>
      <c r="AB26" s="114" t="n"/>
      <c r="AC26" s="114" t="n"/>
      <c r="AD26" s="114" t="n"/>
      <c r="AE26" s="114" t="n"/>
      <c r="AF26" s="114" t="n"/>
      <c r="AG26" s="115" t="n"/>
      <c r="AH26" s="114" t="n"/>
      <c r="AI26" s="114" t="n"/>
      <c r="AJ26" s="116">
        <f>IF(ISBLANK(B26), "", IF(ISNUMBER(D26), IF(D26&gt;0, (COUNTIF(E26:AI26, "✓") + COUNTIF(E26:AI26, "✔") + COUNTIF(E26:AI26, "v") + COUNTIF(E26:AI26, "V"))/D26, 0), IF(((COUNTIF(E26:AI26, "✓") + COUNTIF(E26:AI26, "✔") + COUNTIF(E26:AI26, "v") + COUNTIF(E26:AI26, "V")) + COUNTIF(E26:AI26, "✗") + COUNTIF(E26:AI26, "x") + COUNTIF(E26:AI26, "X"))&gt;0, (COUNTIF(E26:AI26, "✓") + COUNTIF(E26:AI26, "✔") + COUNTIF(E26:AI26, "v") + COUNTIF(E26:AI26, "V"))/((COUNTIF(E26:AI26, "✓") + COUNTIF(E26:AI26, "✔") + COUNTIF(E26:AI26, "v") + COUNTIF(E26:AI26, "V")) + COUNTIF(E26:AI26, "✗") + COUNTIF(E26:AI26, "x") + COUNTIF(E26:AI26, "X")), "")))</f>
        <v/>
      </c>
      <c r="AK26" s="117">
        <f>IF(ISBLANK(B26), "", IF(ISNUMBER(D26), IF(D26&gt;0, (COUNTIF(E26:AI26, "✓") + COUNTIF(E26:AI26, "✔") + COUNTIF(E26:AI26, "v") + COUNTIF(E26:AI26, "V")) &amp; "/" &amp; D26, (COUNTIF(E26:AI26, "✓") + COUNTIF(E26:AI26, "✔") + COUNTIF(E26:AI26, "v") + COUNTIF(E26:AI26, "V")) &amp; "/0"), IF(((COUNTIF(E26:AI26, "✓") + COUNTIF(E26:AI26, "✔") + COUNTIF(E26:AI26, "v") + COUNTIF(E26:AI26, "V")) + COUNTIF(E26:AI26, "✗") + COUNTIF(E26:AI26, "x") + COUNTIF(E26:AI26, "X"))&gt;0, (COUNTIF(E26:AI26, "✓") + COUNTIF(E26:AI26, "✔") + COUNTIF(E26:AI26, "v") + COUNTIF(E26:AI26, "V")) &amp; "/" &amp; ((COUNTIF(E26:AI26, "✓") + COUNTIF(E26:AI26, "✔") + COUNTIF(E26:AI26, "v") + COUNTIF(E26:AI26, "V")) + COUNTIF(E26:AI26, "✗") + COUNTIF(E26:AI26, "x") + COUNTIF(E26:AI26, "X")), "")))</f>
        <v/>
      </c>
      <c r="AL26" s="117">
        <f>IF(ISBLANK(B26), "", IF(AJ26&gt;=0.85, "🔥 Mastered", IF(AJ26&gt;=0.7, "⚡ Consistent", "⚠️ Needs Focus")))</f>
        <v/>
      </c>
      <c r="AM26">
        <f>COUNTIF(E26:AI26, "✓")</f>
        <v/>
      </c>
    </row>
    <row r="27" ht="14.5" customHeight="1">
      <c r="A27" s="111" t="n">
        <v>10</v>
      </c>
      <c r="B27" s="112" t="n"/>
      <c r="C27" s="113" t="n"/>
      <c r="D27" s="113" t="n"/>
      <c r="E27" s="115" t="n"/>
      <c r="F27" s="114" t="n"/>
      <c r="G27" s="114" t="n"/>
      <c r="H27" s="114" t="n"/>
      <c r="I27" s="114" t="n"/>
      <c r="J27" s="114" t="n"/>
      <c r="K27" s="114" t="n"/>
      <c r="L27" s="115" t="n"/>
      <c r="M27" s="114" t="n"/>
      <c r="N27" s="114" t="n"/>
      <c r="O27" s="114" t="n"/>
      <c r="P27" s="114" t="n"/>
      <c r="Q27" s="114" t="n"/>
      <c r="R27" s="114" t="n"/>
      <c r="S27" s="115" t="n"/>
      <c r="T27" s="114" t="n"/>
      <c r="U27" s="114" t="n"/>
      <c r="V27" s="114" t="n"/>
      <c r="W27" s="114" t="n"/>
      <c r="X27" s="114" t="n"/>
      <c r="Y27" s="114" t="n"/>
      <c r="Z27" s="115" t="n"/>
      <c r="AA27" s="114" t="n"/>
      <c r="AB27" s="114" t="n"/>
      <c r="AC27" s="114" t="n"/>
      <c r="AD27" s="114" t="n"/>
      <c r="AE27" s="114" t="n"/>
      <c r="AF27" s="114" t="n"/>
      <c r="AG27" s="115" t="n"/>
      <c r="AH27" s="114" t="n"/>
      <c r="AI27" s="114" t="n"/>
      <c r="AJ27" s="116">
        <f>IF(ISBLANK(B27), "", IF(ISNUMBER(D27), IF(D27&gt;0, (COUNTIF(E27:AI27, "✓") + COUNTIF(E27:AI27, "✔") + COUNTIF(E27:AI27, "v") + COUNTIF(E27:AI27, "V"))/D27, 0), IF(((COUNTIF(E27:AI27, "✓") + COUNTIF(E27:AI27, "✔") + COUNTIF(E27:AI27, "v") + COUNTIF(E27:AI27, "V")) + COUNTIF(E27:AI27, "✗") + COUNTIF(E27:AI27, "x") + COUNTIF(E27:AI27, "X"))&gt;0, (COUNTIF(E27:AI27, "✓") + COUNTIF(E27:AI27, "✔") + COUNTIF(E27:AI27, "v") + COUNTIF(E27:AI27, "V"))/((COUNTIF(E27:AI27, "✓") + COUNTIF(E27:AI27, "✔") + COUNTIF(E27:AI27, "v") + COUNTIF(E27:AI27, "V")) + COUNTIF(E27:AI27, "✗") + COUNTIF(E27:AI27, "x") + COUNTIF(E27:AI27, "X")), "")))</f>
        <v/>
      </c>
      <c r="AK27" s="117">
        <f>IF(ISBLANK(B27), "", IF(ISNUMBER(D27), IF(D27&gt;0, (COUNTIF(E27:AI27, "✓") + COUNTIF(E27:AI27, "✔") + COUNTIF(E27:AI27, "v") + COUNTIF(E27:AI27, "V")) &amp; "/" &amp; D27, (COUNTIF(E27:AI27, "✓") + COUNTIF(E27:AI27, "✔") + COUNTIF(E27:AI27, "v") + COUNTIF(E27:AI27, "V")) &amp; "/0"), IF(((COUNTIF(E27:AI27, "✓") + COUNTIF(E27:AI27, "✔") + COUNTIF(E27:AI27, "v") + COUNTIF(E27:AI27, "V")) + COUNTIF(E27:AI27, "✗") + COUNTIF(E27:AI27, "x") + COUNTIF(E27:AI27, "X"))&gt;0, (COUNTIF(E27:AI27, "✓") + COUNTIF(E27:AI27, "✔") + COUNTIF(E27:AI27, "v") + COUNTIF(E27:AI27, "V")) &amp; "/" &amp; ((COUNTIF(E27:AI27, "✓") + COUNTIF(E27:AI27, "✔") + COUNTIF(E27:AI27, "v") + COUNTIF(E27:AI27, "V")) + COUNTIF(E27:AI27, "✗") + COUNTIF(E27:AI27, "x") + COUNTIF(E27:AI27, "X")), "")))</f>
        <v/>
      </c>
      <c r="AL27" s="117">
        <f>IF(ISBLANK(B27), "", IF(AJ27&gt;=0.85, "🔥 Mastered", IF(AJ27&gt;=0.7, "⚡ Consistent", "⚠️ Needs Focus")))</f>
        <v/>
      </c>
      <c r="AM27">
        <f>COUNTIF(E27:AI27, "✓")</f>
        <v/>
      </c>
    </row>
    <row r="28" ht="14.5" customHeight="1">
      <c r="A28" s="111" t="n">
        <v>11</v>
      </c>
      <c r="B28" s="112" t="n"/>
      <c r="C28" s="113" t="n"/>
      <c r="D28" s="113" t="n"/>
      <c r="E28" s="115" t="n"/>
      <c r="F28" s="114" t="n"/>
      <c r="G28" s="114" t="n"/>
      <c r="H28" s="114" t="n"/>
      <c r="I28" s="114" t="n"/>
      <c r="J28" s="114" t="n"/>
      <c r="K28" s="114" t="n"/>
      <c r="L28" s="115" t="n"/>
      <c r="M28" s="114" t="n"/>
      <c r="N28" s="114" t="n"/>
      <c r="O28" s="114" t="n"/>
      <c r="P28" s="114" t="n"/>
      <c r="Q28" s="114" t="n"/>
      <c r="R28" s="114" t="n"/>
      <c r="S28" s="115" t="n"/>
      <c r="T28" s="114" t="n"/>
      <c r="U28" s="114" t="n"/>
      <c r="V28" s="114" t="n"/>
      <c r="W28" s="114" t="n"/>
      <c r="X28" s="114" t="n"/>
      <c r="Y28" s="114" t="n"/>
      <c r="Z28" s="115" t="n"/>
      <c r="AA28" s="114" t="n"/>
      <c r="AB28" s="114" t="n"/>
      <c r="AC28" s="114" t="n"/>
      <c r="AD28" s="114" t="n"/>
      <c r="AE28" s="114" t="n"/>
      <c r="AF28" s="114" t="n"/>
      <c r="AG28" s="115" t="n"/>
      <c r="AH28" s="114" t="n"/>
      <c r="AI28" s="114" t="n"/>
      <c r="AJ28" s="116">
        <f>IF(ISBLANK(B28), "", IF(ISNUMBER(D28), IF(D28&gt;0, (COUNTIF(E28:AI28, "✓") + COUNTIF(E28:AI28, "✔") + COUNTIF(E28:AI28, "v") + COUNTIF(E28:AI28, "V"))/D28, 0), IF(((COUNTIF(E28:AI28, "✓") + COUNTIF(E28:AI28, "✔") + COUNTIF(E28:AI28, "v") + COUNTIF(E28:AI28, "V")) + COUNTIF(E28:AI28, "✗") + COUNTIF(E28:AI28, "x") + COUNTIF(E28:AI28, "X"))&gt;0, (COUNTIF(E28:AI28, "✓") + COUNTIF(E28:AI28, "✔") + COUNTIF(E28:AI28, "v") + COUNTIF(E28:AI28, "V"))/((COUNTIF(E28:AI28, "✓") + COUNTIF(E28:AI28, "✔") + COUNTIF(E28:AI28, "v") + COUNTIF(E28:AI28, "V")) + COUNTIF(E28:AI28, "✗") + COUNTIF(E28:AI28, "x") + COUNTIF(E28:AI28, "X")), "")))</f>
        <v/>
      </c>
      <c r="AK28" s="117">
        <f>IF(ISBLANK(B28), "", IF(ISNUMBER(D28), IF(D28&gt;0, (COUNTIF(E28:AI28, "✓") + COUNTIF(E28:AI28, "✔") + COUNTIF(E28:AI28, "v") + COUNTIF(E28:AI28, "V")) &amp; "/" &amp; D28, (COUNTIF(E28:AI28, "✓") + COUNTIF(E28:AI28, "✔") + COUNTIF(E28:AI28, "v") + COUNTIF(E28:AI28, "V")) &amp; "/0"), IF(((COUNTIF(E28:AI28, "✓") + COUNTIF(E28:AI28, "✔") + COUNTIF(E28:AI28, "v") + COUNTIF(E28:AI28, "V")) + COUNTIF(E28:AI28, "✗") + COUNTIF(E28:AI28, "x") + COUNTIF(E28:AI28, "X"))&gt;0, (COUNTIF(E28:AI28, "✓") + COUNTIF(E28:AI28, "✔") + COUNTIF(E28:AI28, "v") + COUNTIF(E28:AI28, "V")) &amp; "/" &amp; ((COUNTIF(E28:AI28, "✓") + COUNTIF(E28:AI28, "✔") + COUNTIF(E28:AI28, "v") + COUNTIF(E28:AI28, "V")) + COUNTIF(E28:AI28, "✗") + COUNTIF(E28:AI28, "x") + COUNTIF(E28:AI28, "X")), "")))</f>
        <v/>
      </c>
      <c r="AL28" s="117">
        <f>IF(ISBLANK(B28), "", IF(AJ28&gt;=0.85, "🔥 Mastered", IF(AJ28&gt;=0.7, "⚡ Consistent", "⚠️ Needs Focus")))</f>
        <v/>
      </c>
      <c r="AM28">
        <f>COUNTIF(E28:AI28, "✓")</f>
        <v/>
      </c>
    </row>
    <row r="29" ht="14.5" customHeight="1">
      <c r="A29" s="111" t="n">
        <v>12</v>
      </c>
      <c r="B29" s="112" t="n"/>
      <c r="C29" s="113" t="n"/>
      <c r="D29" s="113" t="n"/>
      <c r="E29" s="115" t="n"/>
      <c r="F29" s="114" t="n"/>
      <c r="G29" s="114" t="n"/>
      <c r="H29" s="114" t="n"/>
      <c r="I29" s="114" t="n"/>
      <c r="J29" s="114" t="n"/>
      <c r="K29" s="114" t="n"/>
      <c r="L29" s="115" t="n"/>
      <c r="M29" s="114" t="n"/>
      <c r="N29" s="114" t="n"/>
      <c r="O29" s="114" t="n"/>
      <c r="P29" s="114" t="n"/>
      <c r="Q29" s="114" t="n"/>
      <c r="R29" s="114" t="n"/>
      <c r="S29" s="115" t="n"/>
      <c r="T29" s="114" t="n"/>
      <c r="U29" s="114" t="n"/>
      <c r="V29" s="114" t="n"/>
      <c r="W29" s="114" t="n"/>
      <c r="X29" s="114" t="n"/>
      <c r="Y29" s="114" t="n"/>
      <c r="Z29" s="115" t="n"/>
      <c r="AA29" s="114" t="n"/>
      <c r="AB29" s="114" t="n"/>
      <c r="AC29" s="114" t="n"/>
      <c r="AD29" s="114" t="n"/>
      <c r="AE29" s="114" t="n"/>
      <c r="AF29" s="114" t="n"/>
      <c r="AG29" s="115" t="n"/>
      <c r="AH29" s="114" t="n"/>
      <c r="AI29" s="114" t="n"/>
      <c r="AJ29" s="116">
        <f>IF(ISBLANK(B29), "", IF(ISNUMBER(D29), IF(D29&gt;0, (COUNTIF(E29:AI29, "✓") + COUNTIF(E29:AI29, "✔") + COUNTIF(E29:AI29, "v") + COUNTIF(E29:AI29, "V"))/D29, 0), IF(((COUNTIF(E29:AI29, "✓") + COUNTIF(E29:AI29, "✔") + COUNTIF(E29:AI29, "v") + COUNTIF(E29:AI29, "V")) + COUNTIF(E29:AI29, "✗") + COUNTIF(E29:AI29, "x") + COUNTIF(E29:AI29, "X"))&gt;0, (COUNTIF(E29:AI29, "✓") + COUNTIF(E29:AI29, "✔") + COUNTIF(E29:AI29, "v") + COUNTIF(E29:AI29, "V"))/((COUNTIF(E29:AI29, "✓") + COUNTIF(E29:AI29, "✔") + COUNTIF(E29:AI29, "v") + COUNTIF(E29:AI29, "V")) + COUNTIF(E29:AI29, "✗") + COUNTIF(E29:AI29, "x") + COUNTIF(E29:AI29, "X")), "")))</f>
        <v/>
      </c>
      <c r="AK29" s="117">
        <f>IF(ISBLANK(B29), "", IF(ISNUMBER(D29), IF(D29&gt;0, (COUNTIF(E29:AI29, "✓") + COUNTIF(E29:AI29, "✔") + COUNTIF(E29:AI29, "v") + COUNTIF(E29:AI29, "V")) &amp; "/" &amp; D29, (COUNTIF(E29:AI29, "✓") + COUNTIF(E29:AI29, "✔") + COUNTIF(E29:AI29, "v") + COUNTIF(E29:AI29, "V")) &amp; "/0"), IF(((COUNTIF(E29:AI29, "✓") + COUNTIF(E29:AI29, "✔") + COUNTIF(E29:AI29, "v") + COUNTIF(E29:AI29, "V")) + COUNTIF(E29:AI29, "✗") + COUNTIF(E29:AI29, "x") + COUNTIF(E29:AI29, "X"))&gt;0, (COUNTIF(E29:AI29, "✓") + COUNTIF(E29:AI29, "✔") + COUNTIF(E29:AI29, "v") + COUNTIF(E29:AI29, "V")) &amp; "/" &amp; ((COUNTIF(E29:AI29, "✓") + COUNTIF(E29:AI29, "✔") + COUNTIF(E29:AI29, "v") + COUNTIF(E29:AI29, "V")) + COUNTIF(E29:AI29, "✗") + COUNTIF(E29:AI29, "x") + COUNTIF(E29:AI29, "X")), "")))</f>
        <v/>
      </c>
      <c r="AL29" s="117">
        <f>IF(ISBLANK(B29), "", IF(AJ29&gt;=0.85, "🔥 Mastered", IF(AJ29&gt;=0.7, "⚡ Consistent", "⚠️ Needs Focus")))</f>
        <v/>
      </c>
      <c r="AM29">
        <f>COUNTIF(E29:AI29, "✓")</f>
        <v/>
      </c>
    </row>
    <row r="30" ht="14.5" customHeight="1">
      <c r="A30" s="118" t="n">
        <v>13</v>
      </c>
      <c r="B30" s="119" t="n"/>
      <c r="C30" s="120" t="n"/>
      <c r="D30" s="120" t="n"/>
      <c r="E30" s="122" t="n"/>
      <c r="F30" s="121" t="n"/>
      <c r="G30" s="121" t="n"/>
      <c r="H30" s="121" t="n"/>
      <c r="I30" s="121" t="n"/>
      <c r="J30" s="121" t="n"/>
      <c r="K30" s="121" t="n"/>
      <c r="L30" s="122" t="n"/>
      <c r="M30" s="121" t="n"/>
      <c r="N30" s="121" t="n"/>
      <c r="O30" s="121" t="n"/>
      <c r="P30" s="121" t="n"/>
      <c r="Q30" s="121" t="n"/>
      <c r="R30" s="121" t="n"/>
      <c r="S30" s="122" t="n"/>
      <c r="T30" s="121" t="n"/>
      <c r="U30" s="121" t="n"/>
      <c r="V30" s="121" t="n"/>
      <c r="W30" s="121" t="n"/>
      <c r="X30" s="121" t="n"/>
      <c r="Y30" s="121" t="n"/>
      <c r="Z30" s="122" t="n"/>
      <c r="AA30" s="121" t="n"/>
      <c r="AB30" s="121" t="n"/>
      <c r="AC30" s="121" t="n"/>
      <c r="AD30" s="121" t="n"/>
      <c r="AE30" s="121" t="n"/>
      <c r="AF30" s="121" t="n"/>
      <c r="AG30" s="122" t="n"/>
      <c r="AH30" s="121" t="n"/>
      <c r="AI30" s="121" t="n"/>
      <c r="AJ30" s="123">
        <f>IF(ISBLANK(B30), "", IF(ISNUMBER(D30), IF(D30&gt;0, (COUNTIF(E30:AI30, "✓") + COUNTIF(E30:AI30, "✔") + COUNTIF(E30:AI30, "v") + COUNTIF(E30:AI30, "V"))/D30, 0), IF(((COUNTIF(E30:AI30, "✓") + COUNTIF(E30:AI30, "✔") + COUNTIF(E30:AI30, "v") + COUNTIF(E30:AI30, "V")) + COUNTIF(E30:AI30, "✗") + COUNTIF(E30:AI30, "x") + COUNTIF(E30:AI30, "X"))&gt;0, (COUNTIF(E30:AI30, "✓") + COUNTIF(E30:AI30, "✔") + COUNTIF(E30:AI30, "v") + COUNTIF(E30:AI30, "V"))/((COUNTIF(E30:AI30, "✓") + COUNTIF(E30:AI30, "✔") + COUNTIF(E30:AI30, "v") + COUNTIF(E30:AI30, "V")) + COUNTIF(E30:AI30, "✗") + COUNTIF(E30:AI30, "x") + COUNTIF(E30:AI30, "X")), "")))</f>
        <v/>
      </c>
      <c r="AK30" s="124">
        <f>IF(ISBLANK(B30), "", IF(ISNUMBER(D30), IF(D30&gt;0, (COUNTIF(E30:AI30, "✓") + COUNTIF(E30:AI30, "✔") + COUNTIF(E30:AI30, "v") + COUNTIF(E30:AI30, "V")) &amp; "/" &amp; D30, (COUNTIF(E30:AI30, "✓") + COUNTIF(E30:AI30, "✔") + COUNTIF(E30:AI30, "v") + COUNTIF(E30:AI30, "V")) &amp; "/0"), IF(((COUNTIF(E30:AI30, "✓") + COUNTIF(E30:AI30, "✔") + COUNTIF(E30:AI30, "v") + COUNTIF(E30:AI30, "V")) + COUNTIF(E30:AI30, "✗") + COUNTIF(E30:AI30, "x") + COUNTIF(E30:AI30, "X"))&gt;0, (COUNTIF(E30:AI30, "✓") + COUNTIF(E30:AI30, "✔") + COUNTIF(E30:AI30, "v") + COUNTIF(E30:AI30, "V")) &amp; "/" &amp; ((COUNTIF(E30:AI30, "✓") + COUNTIF(E30:AI30, "✔") + COUNTIF(E30:AI30, "v") + COUNTIF(E30:AI30, "V")) + COUNTIF(E30:AI30, "✗") + COUNTIF(E30:AI30, "x") + COUNTIF(E30:AI30, "X")), "")))</f>
        <v/>
      </c>
      <c r="AL30" s="124">
        <f>IF(ISBLANK(B30), "", IF(AJ30&gt;=0.85, "🔥 Mastered", IF(AJ30&gt;=0.7, "⚡ Consistent", "⚠️ Needs Focus")))</f>
        <v/>
      </c>
      <c r="AM30">
        <f>COUNTIF(E30:AI30, "✓")</f>
        <v/>
      </c>
    </row>
    <row r="31" ht="14.5" customHeight="1">
      <c r="A31" s="118" t="n">
        <v>14</v>
      </c>
      <c r="B31" s="119" t="n"/>
      <c r="C31" s="120" t="n"/>
      <c r="D31" s="120" t="n"/>
      <c r="E31" s="122" t="n"/>
      <c r="F31" s="121" t="n"/>
      <c r="G31" s="121" t="n"/>
      <c r="H31" s="121" t="n"/>
      <c r="I31" s="121" t="n"/>
      <c r="J31" s="121" t="n"/>
      <c r="K31" s="121" t="n"/>
      <c r="L31" s="122" t="n"/>
      <c r="M31" s="121" t="n"/>
      <c r="N31" s="121" t="n"/>
      <c r="O31" s="121" t="n"/>
      <c r="P31" s="121" t="n"/>
      <c r="Q31" s="121" t="n"/>
      <c r="R31" s="121" t="n"/>
      <c r="S31" s="122" t="n"/>
      <c r="T31" s="121" t="n"/>
      <c r="U31" s="121" t="n"/>
      <c r="V31" s="121" t="n"/>
      <c r="W31" s="121" t="n"/>
      <c r="X31" s="121" t="n"/>
      <c r="Y31" s="121" t="n"/>
      <c r="Z31" s="122" t="n"/>
      <c r="AA31" s="121" t="n"/>
      <c r="AB31" s="121" t="n"/>
      <c r="AC31" s="121" t="n"/>
      <c r="AD31" s="121" t="n"/>
      <c r="AE31" s="121" t="n"/>
      <c r="AF31" s="121" t="n"/>
      <c r="AG31" s="122" t="n"/>
      <c r="AH31" s="121" t="n"/>
      <c r="AI31" s="121" t="n"/>
      <c r="AJ31" s="123">
        <f>IF(ISBLANK(B31), "", IF(ISNUMBER(D31), IF(D31&gt;0, (COUNTIF(E31:AI31, "✓") + COUNTIF(E31:AI31, "✔") + COUNTIF(E31:AI31, "v") + COUNTIF(E31:AI31, "V"))/D31, 0), IF(((COUNTIF(E31:AI31, "✓") + COUNTIF(E31:AI31, "✔") + COUNTIF(E31:AI31, "v") + COUNTIF(E31:AI31, "V")) + COUNTIF(E31:AI31, "✗") + COUNTIF(E31:AI31, "x") + COUNTIF(E31:AI31, "X"))&gt;0, (COUNTIF(E31:AI31, "✓") + COUNTIF(E31:AI31, "✔") + COUNTIF(E31:AI31, "v") + COUNTIF(E31:AI31, "V"))/((COUNTIF(E31:AI31, "✓") + COUNTIF(E31:AI31, "✔") + COUNTIF(E31:AI31, "v") + COUNTIF(E31:AI31, "V")) + COUNTIF(E31:AI31, "✗") + COUNTIF(E31:AI31, "x") + COUNTIF(E31:AI31, "X")), "")))</f>
        <v/>
      </c>
      <c r="AK31" s="124">
        <f>IF(ISBLANK(B31), "", IF(ISNUMBER(D31), IF(D31&gt;0, (COUNTIF(E31:AI31, "✓") + COUNTIF(E31:AI31, "✔") + COUNTIF(E31:AI31, "v") + COUNTIF(E31:AI31, "V")) &amp; "/" &amp; D31, (COUNTIF(E31:AI31, "✓") + COUNTIF(E31:AI31, "✔") + COUNTIF(E31:AI31, "v") + COUNTIF(E31:AI31, "V")) &amp; "/0"), IF(((COUNTIF(E31:AI31, "✓") + COUNTIF(E31:AI31, "✔") + COUNTIF(E31:AI31, "v") + COUNTIF(E31:AI31, "V")) + COUNTIF(E31:AI31, "✗") + COUNTIF(E31:AI31, "x") + COUNTIF(E31:AI31, "X"))&gt;0, (COUNTIF(E31:AI31, "✓") + COUNTIF(E31:AI31, "✔") + COUNTIF(E31:AI31, "v") + COUNTIF(E31:AI31, "V")) &amp; "/" &amp; ((COUNTIF(E31:AI31, "✓") + COUNTIF(E31:AI31, "✔") + COUNTIF(E31:AI31, "v") + COUNTIF(E31:AI31, "V")) + COUNTIF(E31:AI31, "✗") + COUNTIF(E31:AI31, "x") + COUNTIF(E31:AI31, "X")), "")))</f>
        <v/>
      </c>
      <c r="AL31" s="124">
        <f>IF(ISBLANK(B31), "", IF(AJ31&gt;=0.85, "🔥 Mastered", IF(AJ31&gt;=0.7, "⚡ Consistent", "⚠️ Needs Focus")))</f>
        <v/>
      </c>
      <c r="AM31">
        <f>COUNTIF(E31:AI31, "✓")</f>
        <v/>
      </c>
    </row>
    <row r="32" ht="14.5" customHeight="1">
      <c r="A32" s="118" t="n">
        <v>15</v>
      </c>
      <c r="B32" s="119" t="n"/>
      <c r="C32" s="120" t="n"/>
      <c r="D32" s="120" t="n"/>
      <c r="E32" s="122" t="n"/>
      <c r="F32" s="121" t="n"/>
      <c r="G32" s="121" t="n"/>
      <c r="H32" s="121" t="n"/>
      <c r="I32" s="121" t="n"/>
      <c r="J32" s="121" t="n"/>
      <c r="K32" s="121" t="n"/>
      <c r="L32" s="122" t="n"/>
      <c r="M32" s="121" t="n"/>
      <c r="N32" s="121" t="n"/>
      <c r="O32" s="121" t="n"/>
      <c r="P32" s="121" t="n"/>
      <c r="Q32" s="121" t="n"/>
      <c r="R32" s="121" t="n"/>
      <c r="S32" s="122" t="n"/>
      <c r="T32" s="121" t="n"/>
      <c r="U32" s="121" t="n"/>
      <c r="V32" s="121" t="n"/>
      <c r="W32" s="121" t="n"/>
      <c r="X32" s="121" t="n"/>
      <c r="Y32" s="121" t="n"/>
      <c r="Z32" s="122" t="n"/>
      <c r="AA32" s="121" t="n"/>
      <c r="AB32" s="121" t="n"/>
      <c r="AC32" s="121" t="n"/>
      <c r="AD32" s="121" t="n"/>
      <c r="AE32" s="121" t="n"/>
      <c r="AF32" s="121" t="n"/>
      <c r="AG32" s="122" t="n"/>
      <c r="AH32" s="121" t="n"/>
      <c r="AI32" s="121" t="n"/>
      <c r="AJ32" s="123">
        <f>IF(ISBLANK(B32), "", IF(ISNUMBER(D32), IF(D32&gt;0, (COUNTIF(E32:AI32, "✓") + COUNTIF(E32:AI32, "✔") + COUNTIF(E32:AI32, "v") + COUNTIF(E32:AI32, "V"))/D32, 0), IF(((COUNTIF(E32:AI32, "✓") + COUNTIF(E32:AI32, "✔") + COUNTIF(E32:AI32, "v") + COUNTIF(E32:AI32, "V")) + COUNTIF(E32:AI32, "✗") + COUNTIF(E32:AI32, "x") + COUNTIF(E32:AI32, "X"))&gt;0, (COUNTIF(E32:AI32, "✓") + COUNTIF(E32:AI32, "✔") + COUNTIF(E32:AI32, "v") + COUNTIF(E32:AI32, "V"))/((COUNTIF(E32:AI32, "✓") + COUNTIF(E32:AI32, "✔") + COUNTIF(E32:AI32, "v") + COUNTIF(E32:AI32, "V")) + COUNTIF(E32:AI32, "✗") + COUNTIF(E32:AI32, "x") + COUNTIF(E32:AI32, "X")), "")))</f>
        <v/>
      </c>
      <c r="AK32" s="124">
        <f>IF(ISBLANK(B32), "", IF(ISNUMBER(D32), IF(D32&gt;0, (COUNTIF(E32:AI32, "✓") + COUNTIF(E32:AI32, "✔") + COUNTIF(E32:AI32, "v") + COUNTIF(E32:AI32, "V")) &amp; "/" &amp; D32, (COUNTIF(E32:AI32, "✓") + COUNTIF(E32:AI32, "✔") + COUNTIF(E32:AI32, "v") + COUNTIF(E32:AI32, "V")) &amp; "/0"), IF(((COUNTIF(E32:AI32, "✓") + COUNTIF(E32:AI32, "✔") + COUNTIF(E32:AI32, "v") + COUNTIF(E32:AI32, "V")) + COUNTIF(E32:AI32, "✗") + COUNTIF(E32:AI32, "x") + COUNTIF(E32:AI32, "X"))&gt;0, (COUNTIF(E32:AI32, "✓") + COUNTIF(E32:AI32, "✔") + COUNTIF(E32:AI32, "v") + COUNTIF(E32:AI32, "V")) &amp; "/" &amp; ((COUNTIF(E32:AI32, "✓") + COUNTIF(E32:AI32, "✔") + COUNTIF(E32:AI32, "v") + COUNTIF(E32:AI32, "V")) + COUNTIF(E32:AI32, "✗") + COUNTIF(E32:AI32, "x") + COUNTIF(E32:AI32, "X")), "")))</f>
        <v/>
      </c>
      <c r="AL32" s="124">
        <f>IF(ISBLANK(B32), "", IF(AJ32&gt;=0.85, "🔥 Mastered", IF(AJ32&gt;=0.7, "⚡ Consistent", "⚠️ Needs Focus")))</f>
        <v/>
      </c>
      <c r="AM32">
        <f>COUNTIF(E32:AI32, "✓")</f>
        <v/>
      </c>
    </row>
    <row r="33" ht="14.5" customHeight="1">
      <c r="A33" s="118" t="n">
        <v>16</v>
      </c>
      <c r="B33" s="119" t="n"/>
      <c r="C33" s="120" t="n"/>
      <c r="D33" s="120" t="n"/>
      <c r="E33" s="122" t="n"/>
      <c r="F33" s="121" t="n"/>
      <c r="G33" s="121" t="n"/>
      <c r="H33" s="121" t="n"/>
      <c r="I33" s="121" t="n"/>
      <c r="J33" s="121" t="n"/>
      <c r="K33" s="121" t="n"/>
      <c r="L33" s="122" t="n"/>
      <c r="M33" s="121" t="n"/>
      <c r="N33" s="121" t="n"/>
      <c r="O33" s="121" t="n"/>
      <c r="P33" s="121" t="n"/>
      <c r="Q33" s="121" t="n"/>
      <c r="R33" s="121" t="n"/>
      <c r="S33" s="122" t="n"/>
      <c r="T33" s="121" t="n"/>
      <c r="U33" s="121" t="n"/>
      <c r="V33" s="121" t="n"/>
      <c r="W33" s="121" t="n"/>
      <c r="X33" s="121" t="n"/>
      <c r="Y33" s="121" t="n"/>
      <c r="Z33" s="122" t="n"/>
      <c r="AA33" s="121" t="n"/>
      <c r="AB33" s="121" t="n"/>
      <c r="AC33" s="121" t="n"/>
      <c r="AD33" s="121" t="n"/>
      <c r="AE33" s="121" t="n"/>
      <c r="AF33" s="121" t="n"/>
      <c r="AG33" s="122" t="n"/>
      <c r="AH33" s="121" t="n"/>
      <c r="AI33" s="121" t="n"/>
      <c r="AJ33" s="123">
        <f>IF(ISBLANK(B33), "", IF(ISNUMBER(D33), IF(D33&gt;0, (COUNTIF(E33:AI33, "✓") + COUNTIF(E33:AI33, "✔") + COUNTIF(E33:AI33, "v") + COUNTIF(E33:AI33, "V"))/D33, 0), IF(((COUNTIF(E33:AI33, "✓") + COUNTIF(E33:AI33, "✔") + COUNTIF(E33:AI33, "v") + COUNTIF(E33:AI33, "V")) + COUNTIF(E33:AI33, "✗") + COUNTIF(E33:AI33, "x") + COUNTIF(E33:AI33, "X"))&gt;0, (COUNTIF(E33:AI33, "✓") + COUNTIF(E33:AI33, "✔") + COUNTIF(E33:AI33, "v") + COUNTIF(E33:AI33, "V"))/((COUNTIF(E33:AI33, "✓") + COUNTIF(E33:AI33, "✔") + COUNTIF(E33:AI33, "v") + COUNTIF(E33:AI33, "V")) + COUNTIF(E33:AI33, "✗") + COUNTIF(E33:AI33, "x") + COUNTIF(E33:AI33, "X")), "")))</f>
        <v/>
      </c>
      <c r="AK33" s="124">
        <f>IF(ISBLANK(B33), "", IF(ISNUMBER(D33), IF(D33&gt;0, (COUNTIF(E33:AI33, "✓") + COUNTIF(E33:AI33, "✔") + COUNTIF(E33:AI33, "v") + COUNTIF(E33:AI33, "V")) &amp; "/" &amp; D33, (COUNTIF(E33:AI33, "✓") + COUNTIF(E33:AI33, "✔") + COUNTIF(E33:AI33, "v") + COUNTIF(E33:AI33, "V")) &amp; "/0"), IF(((COUNTIF(E33:AI33, "✓") + COUNTIF(E33:AI33, "✔") + COUNTIF(E33:AI33, "v") + COUNTIF(E33:AI33, "V")) + COUNTIF(E33:AI33, "✗") + COUNTIF(E33:AI33, "x") + COUNTIF(E33:AI33, "X"))&gt;0, (COUNTIF(E33:AI33, "✓") + COUNTIF(E33:AI33, "✔") + COUNTIF(E33:AI33, "v") + COUNTIF(E33:AI33, "V")) &amp; "/" &amp; ((COUNTIF(E33:AI33, "✓") + COUNTIF(E33:AI33, "✔") + COUNTIF(E33:AI33, "v") + COUNTIF(E33:AI33, "V")) + COUNTIF(E33:AI33, "✗") + COUNTIF(E33:AI33, "x") + COUNTIF(E33:AI33, "X")), "")))</f>
        <v/>
      </c>
      <c r="AL33" s="124">
        <f>IF(ISBLANK(B33), "", IF(AJ33&gt;=0.85, "🔥 Mastered", IF(AJ33&gt;=0.7, "⚡ Consistent", "⚠️ Needs Focus")))</f>
        <v/>
      </c>
      <c r="AM33">
        <f>COUNTIF(E33:AI33, "✓")</f>
        <v/>
      </c>
    </row>
    <row r="34" ht="14.5" customHeight="1">
      <c r="A34" s="125" t="n">
        <v>17</v>
      </c>
      <c r="B34" s="126" t="n"/>
      <c r="C34" s="127" t="n"/>
      <c r="D34" s="127" t="n"/>
      <c r="E34" s="129" t="n"/>
      <c r="F34" s="128" t="n"/>
      <c r="G34" s="128" t="n"/>
      <c r="H34" s="128" t="n"/>
      <c r="I34" s="128" t="n"/>
      <c r="J34" s="128" t="n"/>
      <c r="K34" s="128" t="n"/>
      <c r="L34" s="129" t="n"/>
      <c r="M34" s="128" t="n"/>
      <c r="N34" s="128" t="n"/>
      <c r="O34" s="128" t="n"/>
      <c r="P34" s="128" t="n"/>
      <c r="Q34" s="128" t="n"/>
      <c r="R34" s="128" t="n"/>
      <c r="S34" s="129" t="n"/>
      <c r="T34" s="128" t="n"/>
      <c r="U34" s="128" t="n"/>
      <c r="V34" s="128" t="n"/>
      <c r="W34" s="128" t="n"/>
      <c r="X34" s="128" t="n"/>
      <c r="Y34" s="128" t="n"/>
      <c r="Z34" s="129" t="n"/>
      <c r="AA34" s="128" t="n"/>
      <c r="AB34" s="128" t="n"/>
      <c r="AC34" s="128" t="n"/>
      <c r="AD34" s="128" t="n"/>
      <c r="AE34" s="128" t="n"/>
      <c r="AF34" s="128" t="n"/>
      <c r="AG34" s="129" t="n"/>
      <c r="AH34" s="128" t="n"/>
      <c r="AI34" s="128" t="n"/>
      <c r="AJ34" s="130">
        <f>IF(ISBLANK(B34), "", IF(ISNUMBER(D34), IF(D34&gt;0, (COUNTIF(E34:AI34, "✓") + COUNTIF(E34:AI34, "✔") + COUNTIF(E34:AI34, "v") + COUNTIF(E34:AI34, "V"))/D34, 0), IF(((COUNTIF(E34:AI34, "✓") + COUNTIF(E34:AI34, "✔") + COUNTIF(E34:AI34, "v") + COUNTIF(E34:AI34, "V")) + COUNTIF(E34:AI34, "✗") + COUNTIF(E34:AI34, "x") + COUNTIF(E34:AI34, "X"))&gt;0, (COUNTIF(E34:AI34, "✓") + COUNTIF(E34:AI34, "✔") + COUNTIF(E34:AI34, "v") + COUNTIF(E34:AI34, "V"))/((COUNTIF(E34:AI34, "✓") + COUNTIF(E34:AI34, "✔") + COUNTIF(E34:AI34, "v") + COUNTIF(E34:AI34, "V")) + COUNTIF(E34:AI34, "✗") + COUNTIF(E34:AI34, "x") + COUNTIF(E34:AI34, "X")), "")))</f>
        <v/>
      </c>
      <c r="AK34" s="131">
        <f>IF(ISBLANK(B34), "", IF(ISNUMBER(D34), IF(D34&gt;0, (COUNTIF(E34:AI34, "✓") + COUNTIF(E34:AI34, "✔") + COUNTIF(E34:AI34, "v") + COUNTIF(E34:AI34, "V")) &amp; "/" &amp; D34, (COUNTIF(E34:AI34, "✓") + COUNTIF(E34:AI34, "✔") + COUNTIF(E34:AI34, "v") + COUNTIF(E34:AI34, "V")) &amp; "/0"), IF(((COUNTIF(E34:AI34, "✓") + COUNTIF(E34:AI34, "✔") + COUNTIF(E34:AI34, "v") + COUNTIF(E34:AI34, "V")) + COUNTIF(E34:AI34, "✗") + COUNTIF(E34:AI34, "x") + COUNTIF(E34:AI34, "X"))&gt;0, (COUNTIF(E34:AI34, "✓") + COUNTIF(E34:AI34, "✔") + COUNTIF(E34:AI34, "v") + COUNTIF(E34:AI34, "V")) &amp; "/" &amp; ((COUNTIF(E34:AI34, "✓") + COUNTIF(E34:AI34, "✔") + COUNTIF(E34:AI34, "v") + COUNTIF(E34:AI34, "V")) + COUNTIF(E34:AI34, "✗") + COUNTIF(E34:AI34, "x") + COUNTIF(E34:AI34, "X")), "")))</f>
        <v/>
      </c>
      <c r="AL34" s="131">
        <f>IF(ISBLANK(B34), "", IF(AJ34&gt;=0.85, "🔥 Mastered", IF(AJ34&gt;=0.7, "⚡ Consistent", "⚠️ Needs Focus")))</f>
        <v/>
      </c>
      <c r="AM34">
        <f>COUNTIF(E34:AI34, "✓")</f>
        <v/>
      </c>
    </row>
    <row r="35" ht="14.5" customHeight="1">
      <c r="A35" s="125" t="n">
        <v>18</v>
      </c>
      <c r="B35" s="126" t="n"/>
      <c r="C35" s="127" t="n"/>
      <c r="D35" s="127" t="n"/>
      <c r="E35" s="129" t="n"/>
      <c r="F35" s="128" t="n"/>
      <c r="G35" s="128" t="n"/>
      <c r="H35" s="128" t="n"/>
      <c r="I35" s="128" t="n"/>
      <c r="J35" s="128" t="n"/>
      <c r="K35" s="128" t="n"/>
      <c r="L35" s="129" t="n"/>
      <c r="M35" s="128" t="n"/>
      <c r="N35" s="128" t="n"/>
      <c r="O35" s="128" t="n"/>
      <c r="P35" s="128" t="n"/>
      <c r="Q35" s="128" t="n"/>
      <c r="R35" s="128" t="n"/>
      <c r="S35" s="129" t="n"/>
      <c r="T35" s="128" t="n"/>
      <c r="U35" s="128" t="n"/>
      <c r="V35" s="128" t="n"/>
      <c r="W35" s="128" t="n"/>
      <c r="X35" s="128" t="n"/>
      <c r="Y35" s="128" t="n"/>
      <c r="Z35" s="129" t="n"/>
      <c r="AA35" s="128" t="n"/>
      <c r="AB35" s="128" t="n"/>
      <c r="AC35" s="128" t="n"/>
      <c r="AD35" s="128" t="n"/>
      <c r="AE35" s="128" t="n"/>
      <c r="AF35" s="128" t="n"/>
      <c r="AG35" s="129" t="n"/>
      <c r="AH35" s="128" t="n"/>
      <c r="AI35" s="128" t="n"/>
      <c r="AJ35" s="130">
        <f>IF(ISBLANK(B35), "", IF(ISNUMBER(D35), IF(D35&gt;0, (COUNTIF(E35:AI35, "✓") + COUNTIF(E35:AI35, "✔") + COUNTIF(E35:AI35, "v") + COUNTIF(E35:AI35, "V"))/D35, 0), IF(((COUNTIF(E35:AI35, "✓") + COUNTIF(E35:AI35, "✔") + COUNTIF(E35:AI35, "v") + COUNTIF(E35:AI35, "V")) + COUNTIF(E35:AI35, "✗") + COUNTIF(E35:AI35, "x") + COUNTIF(E35:AI35, "X"))&gt;0, (COUNTIF(E35:AI35, "✓") + COUNTIF(E35:AI35, "✔") + COUNTIF(E35:AI35, "v") + COUNTIF(E35:AI35, "V"))/((COUNTIF(E35:AI35, "✓") + COUNTIF(E35:AI35, "✔") + COUNTIF(E35:AI35, "v") + COUNTIF(E35:AI35, "V")) + COUNTIF(E35:AI35, "✗") + COUNTIF(E35:AI35, "x") + COUNTIF(E35:AI35, "X")), "")))</f>
        <v/>
      </c>
      <c r="AK35" s="131">
        <f>IF(ISBLANK(B35), "", IF(ISNUMBER(D35), IF(D35&gt;0, (COUNTIF(E35:AI35, "✓") + COUNTIF(E35:AI35, "✔") + COUNTIF(E35:AI35, "v") + COUNTIF(E35:AI35, "V")) &amp; "/" &amp; D35, (COUNTIF(E35:AI35, "✓") + COUNTIF(E35:AI35, "✔") + COUNTIF(E35:AI35, "v") + COUNTIF(E35:AI35, "V")) &amp; "/0"), IF(((COUNTIF(E35:AI35, "✓") + COUNTIF(E35:AI35, "✔") + COUNTIF(E35:AI35, "v") + COUNTIF(E35:AI35, "V")) + COUNTIF(E35:AI35, "✗") + COUNTIF(E35:AI35, "x") + COUNTIF(E35:AI35, "X"))&gt;0, (COUNTIF(E35:AI35, "✓") + COUNTIF(E35:AI35, "✔") + COUNTIF(E35:AI35, "v") + COUNTIF(E35:AI35, "V")) &amp; "/" &amp; ((COUNTIF(E35:AI35, "✓") + COUNTIF(E35:AI35, "✔") + COUNTIF(E35:AI35, "v") + COUNTIF(E35:AI35, "V")) + COUNTIF(E35:AI35, "✗") + COUNTIF(E35:AI35, "x") + COUNTIF(E35:AI35, "X")), "")))</f>
        <v/>
      </c>
      <c r="AL35" s="131">
        <f>IF(ISBLANK(B35), "", IF(AJ35&gt;=0.85, "🔥 Mastered", IF(AJ35&gt;=0.7, "⚡ Consistent", "⚠️ Needs Focus")))</f>
        <v/>
      </c>
      <c r="AM35">
        <f>COUNTIF(E35:AI35, "✓")</f>
        <v/>
      </c>
    </row>
    <row r="36" ht="14.5" customHeight="1">
      <c r="A36" s="125" t="n">
        <v>19</v>
      </c>
      <c r="B36" s="126" t="n"/>
      <c r="C36" s="127" t="n"/>
      <c r="D36" s="127" t="n"/>
      <c r="E36" s="129" t="n"/>
      <c r="F36" s="128" t="n"/>
      <c r="G36" s="128" t="n"/>
      <c r="H36" s="128" t="n"/>
      <c r="I36" s="128" t="n"/>
      <c r="J36" s="128" t="n"/>
      <c r="K36" s="128" t="n"/>
      <c r="L36" s="129" t="n"/>
      <c r="M36" s="128" t="n"/>
      <c r="N36" s="128" t="n"/>
      <c r="O36" s="128" t="n"/>
      <c r="P36" s="128" t="n"/>
      <c r="Q36" s="128" t="n"/>
      <c r="R36" s="128" t="n"/>
      <c r="S36" s="129" t="n"/>
      <c r="T36" s="128" t="n"/>
      <c r="U36" s="128" t="n"/>
      <c r="V36" s="128" t="n"/>
      <c r="W36" s="128" t="n"/>
      <c r="X36" s="128" t="n"/>
      <c r="Y36" s="128" t="n"/>
      <c r="Z36" s="129" t="n"/>
      <c r="AA36" s="128" t="n"/>
      <c r="AB36" s="128" t="n"/>
      <c r="AC36" s="128" t="n"/>
      <c r="AD36" s="128" t="n"/>
      <c r="AE36" s="128" t="n"/>
      <c r="AF36" s="128" t="n"/>
      <c r="AG36" s="129" t="n"/>
      <c r="AH36" s="128" t="n"/>
      <c r="AI36" s="128" t="n"/>
      <c r="AJ36" s="130">
        <f>IF(ISBLANK(B36), "", IF(ISNUMBER(D36), IF(D36&gt;0, (COUNTIF(E36:AI36, "✓") + COUNTIF(E36:AI36, "✔") + COUNTIF(E36:AI36, "v") + COUNTIF(E36:AI36, "V"))/D36, 0), IF(((COUNTIF(E36:AI36, "✓") + COUNTIF(E36:AI36, "✔") + COUNTIF(E36:AI36, "v") + COUNTIF(E36:AI36, "V")) + COUNTIF(E36:AI36, "✗") + COUNTIF(E36:AI36, "x") + COUNTIF(E36:AI36, "X"))&gt;0, (COUNTIF(E36:AI36, "✓") + COUNTIF(E36:AI36, "✔") + COUNTIF(E36:AI36, "v") + COUNTIF(E36:AI36, "V"))/((COUNTIF(E36:AI36, "✓") + COUNTIF(E36:AI36, "✔") + COUNTIF(E36:AI36, "v") + COUNTIF(E36:AI36, "V")) + COUNTIF(E36:AI36, "✗") + COUNTIF(E36:AI36, "x") + COUNTIF(E36:AI36, "X")), "")))</f>
        <v/>
      </c>
      <c r="AK36" s="131">
        <f>IF(ISBLANK(B36), "", IF(ISNUMBER(D36), IF(D36&gt;0, (COUNTIF(E36:AI36, "✓") + COUNTIF(E36:AI36, "✔") + COUNTIF(E36:AI36, "v") + COUNTIF(E36:AI36, "V")) &amp; "/" &amp; D36, (COUNTIF(E36:AI36, "✓") + COUNTIF(E36:AI36, "✔") + COUNTIF(E36:AI36, "v") + COUNTIF(E36:AI36, "V")) &amp; "/0"), IF(((COUNTIF(E36:AI36, "✓") + COUNTIF(E36:AI36, "✔") + COUNTIF(E36:AI36, "v") + COUNTIF(E36:AI36, "V")) + COUNTIF(E36:AI36, "✗") + COUNTIF(E36:AI36, "x") + COUNTIF(E36:AI36, "X"))&gt;0, (COUNTIF(E36:AI36, "✓") + COUNTIF(E36:AI36, "✔") + COUNTIF(E36:AI36, "v") + COUNTIF(E36:AI36, "V")) &amp; "/" &amp; ((COUNTIF(E36:AI36, "✓") + COUNTIF(E36:AI36, "✔") + COUNTIF(E36:AI36, "v") + COUNTIF(E36:AI36, "V")) + COUNTIF(E36:AI36, "✗") + COUNTIF(E36:AI36, "x") + COUNTIF(E36:AI36, "X")), "")))</f>
        <v/>
      </c>
      <c r="AL36" s="131">
        <f>IF(ISBLANK(B36), "", IF(AJ36&gt;=0.85, "🔥 Mastered", IF(AJ36&gt;=0.7, "⚡ Consistent", "⚠️ Needs Focus")))</f>
        <v/>
      </c>
      <c r="AM36">
        <f>COUNTIF(E36:AI36, "✓")</f>
        <v/>
      </c>
    </row>
    <row r="37" ht="14.5" customHeight="1">
      <c r="A37" s="125" t="n">
        <v>20</v>
      </c>
      <c r="B37" s="126" t="n"/>
      <c r="C37" s="127" t="n"/>
      <c r="D37" s="127" t="n"/>
      <c r="E37" s="129" t="n"/>
      <c r="F37" s="128" t="n"/>
      <c r="G37" s="128" t="n"/>
      <c r="H37" s="128" t="n"/>
      <c r="I37" s="128" t="n"/>
      <c r="J37" s="128" t="n"/>
      <c r="K37" s="128" t="n"/>
      <c r="L37" s="129" t="n"/>
      <c r="M37" s="128" t="n"/>
      <c r="N37" s="128" t="n"/>
      <c r="O37" s="128" t="n"/>
      <c r="P37" s="128" t="n"/>
      <c r="Q37" s="128" t="n"/>
      <c r="R37" s="128" t="n"/>
      <c r="S37" s="129" t="n"/>
      <c r="T37" s="128" t="n"/>
      <c r="U37" s="128" t="n"/>
      <c r="V37" s="128" t="n"/>
      <c r="W37" s="128" t="n"/>
      <c r="X37" s="128" t="n"/>
      <c r="Y37" s="128" t="n"/>
      <c r="Z37" s="129" t="n"/>
      <c r="AA37" s="128" t="n"/>
      <c r="AB37" s="128" t="n"/>
      <c r="AC37" s="128" t="n"/>
      <c r="AD37" s="128" t="n"/>
      <c r="AE37" s="128" t="n"/>
      <c r="AF37" s="128" t="n"/>
      <c r="AG37" s="129" t="n"/>
      <c r="AH37" s="128" t="n"/>
      <c r="AI37" s="128" t="n"/>
      <c r="AJ37" s="130">
        <f>IF(ISBLANK(B37), "", IF(ISNUMBER(D37), IF(D37&gt;0, (COUNTIF(E37:AI37, "✓") + COUNTIF(E37:AI37, "✔") + COUNTIF(E37:AI37, "v") + COUNTIF(E37:AI37, "V"))/D37, 0), IF(((COUNTIF(E37:AI37, "✓") + COUNTIF(E37:AI37, "✔") + COUNTIF(E37:AI37, "v") + COUNTIF(E37:AI37, "V")) + COUNTIF(E37:AI37, "✗") + COUNTIF(E37:AI37, "x") + COUNTIF(E37:AI37, "X"))&gt;0, (COUNTIF(E37:AI37, "✓") + COUNTIF(E37:AI37, "✔") + COUNTIF(E37:AI37, "v") + COUNTIF(E37:AI37, "V"))/((COUNTIF(E37:AI37, "✓") + COUNTIF(E37:AI37, "✔") + COUNTIF(E37:AI37, "v") + COUNTIF(E37:AI37, "V")) + COUNTIF(E37:AI37, "✗") + COUNTIF(E37:AI37, "x") + COUNTIF(E37:AI37, "X")), "")))</f>
        <v/>
      </c>
      <c r="AK37" s="131">
        <f>IF(ISBLANK(B37), "", IF(ISNUMBER(D37), IF(D37&gt;0, (COUNTIF(E37:AI37, "✓") + COUNTIF(E37:AI37, "✔") + COUNTIF(E37:AI37, "v") + COUNTIF(E37:AI37, "V")) &amp; "/" &amp; D37, (COUNTIF(E37:AI37, "✓") + COUNTIF(E37:AI37, "✔") + COUNTIF(E37:AI37, "v") + COUNTIF(E37:AI37, "V")) &amp; "/0"), IF(((COUNTIF(E37:AI37, "✓") + COUNTIF(E37:AI37, "✔") + COUNTIF(E37:AI37, "v") + COUNTIF(E37:AI37, "V")) + COUNTIF(E37:AI37, "✗") + COUNTIF(E37:AI37, "x") + COUNTIF(E37:AI37, "X"))&gt;0, (COUNTIF(E37:AI37, "✓") + COUNTIF(E37:AI37, "✔") + COUNTIF(E37:AI37, "v") + COUNTIF(E37:AI37, "V")) &amp; "/" &amp; ((COUNTIF(E37:AI37, "✓") + COUNTIF(E37:AI37, "✔") + COUNTIF(E37:AI37, "v") + COUNTIF(E37:AI37, "V")) + COUNTIF(E37:AI37, "✗") + COUNTIF(E37:AI37, "x") + COUNTIF(E37:AI37, "X")), "")))</f>
        <v/>
      </c>
      <c r="AL37" s="131">
        <f>IF(ISBLANK(B37), "", IF(AJ37&gt;=0.85, "🔥 Mastered", IF(AJ37&gt;=0.7, "⚡ Consistent", "⚠️ Needs Focus")))</f>
        <v/>
      </c>
      <c r="AM37">
        <f>COUNTIF(E37:AI37, "✓")</f>
        <v/>
      </c>
    </row>
    <row r="38" ht="18" customHeight="1">
      <c r="A38" s="132" t="inlineStr">
        <is>
          <t>DAILY TOTAL SCORE</t>
        </is>
      </c>
      <c r="B38" s="54" t="n"/>
      <c r="C38" s="54" t="n"/>
      <c r="D38" s="54" t="n"/>
      <c r="E38" s="33">
        <f>IF(((COUNTIF(E18:E37, "✓") + COUNTIF(E18:E37, "✔") + COUNTIF(E18:E37, "v") + COUNTIF(E18:E37, "V")) + COUNTIF(E18:E37, "✗") + COUNTIF(E18:E37, "x") + COUNTIF(E18:E37, "X")) &gt; 0, (COUNTIF(E18:E37, "✓") + COUNTIF(E18:E37, "✔") + COUNTIF(E18:E37, "v") + COUNTIF(E18:E37, "V")) &amp; "/" &amp; ((COUNTIF(E18:E37, "✓") + COUNTIF(E18:E37, "✔") + COUNTIF(E18:E37, "v") + COUNTIF(E18:E37, "V")) + COUNTIF(E18:E37, "✗") + COUNTIF(E18:E37, "x") + COUNTIF(E18:E37, "X")), "")</f>
        <v/>
      </c>
      <c r="F38" s="33">
        <f>IF(((COUNTIF(F18:F37, "✓") + COUNTIF(F18:F37, "✔") + COUNTIF(F18:F37, "v") + COUNTIF(F18:F37, "V")) + COUNTIF(F18:F37, "✗") + COUNTIF(F18:F37, "x") + COUNTIF(F18:F37, "X")) &gt; 0, (COUNTIF(F18:F37, "✓") + COUNTIF(F18:F37, "✔") + COUNTIF(F18:F37, "v") + COUNTIF(F18:F37, "V")) &amp; "/" &amp; ((COUNTIF(F18:F37, "✓") + COUNTIF(F18:F37, "✔") + COUNTIF(F18:F37, "v") + COUNTIF(F18:F37, "V")) + COUNTIF(F18:F37, "✗") + COUNTIF(F18:F37, "x") + COUNTIF(F18:F37, "X")), "")</f>
        <v/>
      </c>
      <c r="G38" s="33">
        <f>IF(((COUNTIF(G18:G37, "✓") + COUNTIF(G18:G37, "✔") + COUNTIF(G18:G37, "v") + COUNTIF(G18:G37, "V")) + COUNTIF(G18:G37, "✗") + COUNTIF(G18:G37, "x") + COUNTIF(G18:G37, "X")) &gt; 0, (COUNTIF(G18:G37, "✓") + COUNTIF(G18:G37, "✔") + COUNTIF(G18:G37, "v") + COUNTIF(G18:G37, "V")) &amp; "/" &amp; ((COUNTIF(G18:G37, "✓") + COUNTIF(G18:G37, "✔") + COUNTIF(G18:G37, "v") + COUNTIF(G18:G37, "V")) + COUNTIF(G18:G37, "✗") + COUNTIF(G18:G37, "x") + COUNTIF(G18:G37, "X")), "")</f>
        <v/>
      </c>
      <c r="H38" s="33">
        <f>IF(((COUNTIF(H18:H37, "✓") + COUNTIF(H18:H37, "✔") + COUNTIF(H18:H37, "v") + COUNTIF(H18:H37, "V")) + COUNTIF(H18:H37, "✗") + COUNTIF(H18:H37, "x") + COUNTIF(H18:H37, "X")) &gt; 0, (COUNTIF(H18:H37, "✓") + COUNTIF(H18:H37, "✔") + COUNTIF(H18:H37, "v") + COUNTIF(H18:H37, "V")) &amp; "/" &amp; ((COUNTIF(H18:H37, "✓") + COUNTIF(H18:H37, "✔") + COUNTIF(H18:H37, "v") + COUNTIF(H18:H37, "V")) + COUNTIF(H18:H37, "✗") + COUNTIF(H18:H37, "x") + COUNTIF(H18:H37, "X")), "")</f>
        <v/>
      </c>
      <c r="I38" s="33">
        <f>IF(((COUNTIF(I18:I37, "✓") + COUNTIF(I18:I37, "✔") + COUNTIF(I18:I37, "v") + COUNTIF(I18:I37, "V")) + COUNTIF(I18:I37, "✗") + COUNTIF(I18:I37, "x") + COUNTIF(I18:I37, "X")) &gt; 0, (COUNTIF(I18:I37, "✓") + COUNTIF(I18:I37, "✔") + COUNTIF(I18:I37, "v") + COUNTIF(I18:I37, "V")) &amp; "/" &amp; ((COUNTIF(I18:I37, "✓") + COUNTIF(I18:I37, "✔") + COUNTIF(I18:I37, "v") + COUNTIF(I18:I37, "V")) + COUNTIF(I18:I37, "✗") + COUNTIF(I18:I37, "x") + COUNTIF(I18:I37, "X")), "")</f>
        <v/>
      </c>
      <c r="J38" s="33">
        <f>IF(((COUNTIF(J18:J37, "✓") + COUNTIF(J18:J37, "✔") + COUNTIF(J18:J37, "v") + COUNTIF(J18:J37, "V")) + COUNTIF(J18:J37, "✗") + COUNTIF(J18:J37, "x") + COUNTIF(J18:J37, "X")) &gt; 0, (COUNTIF(J18:J37, "✓") + COUNTIF(J18:J37, "✔") + COUNTIF(J18:J37, "v") + COUNTIF(J18:J37, "V")) &amp; "/" &amp; ((COUNTIF(J18:J37, "✓") + COUNTIF(J18:J37, "✔") + COUNTIF(J18:J37, "v") + COUNTIF(J18:J37, "V")) + COUNTIF(J18:J37, "✗") + COUNTIF(J18:J37, "x") + COUNTIF(J18:J37, "X")), "")</f>
        <v/>
      </c>
      <c r="K38" s="33">
        <f>IF(((COUNTIF(K18:K37, "✓") + COUNTIF(K18:K37, "✔") + COUNTIF(K18:K37, "v") + COUNTIF(K18:K37, "V")) + COUNTIF(K18:K37, "✗") + COUNTIF(K18:K37, "x") + COUNTIF(K18:K37, "X")) &gt; 0, (COUNTIF(K18:K37, "✓") + COUNTIF(K18:K37, "✔") + COUNTIF(K18:K37, "v") + COUNTIF(K18:K37, "V")) &amp; "/" &amp; ((COUNTIF(K18:K37, "✓") + COUNTIF(K18:K37, "✔") + COUNTIF(K18:K37, "v") + COUNTIF(K18:K37, "V")) + COUNTIF(K18:K37, "✗") + COUNTIF(K18:K37, "x") + COUNTIF(K18:K37, "X")), "")</f>
        <v/>
      </c>
      <c r="L38" s="33">
        <f>IF(((COUNTIF(L18:L37, "✓") + COUNTIF(L18:L37, "✔") + COUNTIF(L18:L37, "v") + COUNTIF(L18:L37, "V")) + COUNTIF(L18:L37, "✗") + COUNTIF(L18:L37, "x") + COUNTIF(L18:L37, "X")) &gt; 0, (COUNTIF(L18:L37, "✓") + COUNTIF(L18:L37, "✔") + COUNTIF(L18:L37, "v") + COUNTIF(L18:L37, "V")) &amp; "/" &amp; ((COUNTIF(L18:L37, "✓") + COUNTIF(L18:L37, "✔") + COUNTIF(L18:L37, "v") + COUNTIF(L18:L37, "V")) + COUNTIF(L18:L37, "✗") + COUNTIF(L18:L37, "x") + COUNTIF(L18:L37, "X")), "")</f>
        <v/>
      </c>
      <c r="M38" s="33">
        <f>IF(((COUNTIF(M18:M37, "✓") + COUNTIF(M18:M37, "✔") + COUNTIF(M18:M37, "v") + COUNTIF(M18:M37, "V")) + COUNTIF(M18:M37, "✗") + COUNTIF(M18:M37, "x") + COUNTIF(M18:M37, "X")) &gt; 0, (COUNTIF(M18:M37, "✓") + COUNTIF(M18:M37, "✔") + COUNTIF(M18:M37, "v") + COUNTIF(M18:M37, "V")) &amp; "/" &amp; ((COUNTIF(M18:M37, "✓") + COUNTIF(M18:M37, "✔") + COUNTIF(M18:M37, "v") + COUNTIF(M18:M37, "V")) + COUNTIF(M18:M37, "✗") + COUNTIF(M18:M37, "x") + COUNTIF(M18:M37, "X")), "")</f>
        <v/>
      </c>
      <c r="N38" s="33">
        <f>IF(((COUNTIF(N18:N37, "✓") + COUNTIF(N18:N37, "✔") + COUNTIF(N18:N37, "v") + COUNTIF(N18:N37, "V")) + COUNTIF(N18:N37, "✗") + COUNTIF(N18:N37, "x") + COUNTIF(N18:N37, "X")) &gt; 0, (COUNTIF(N18:N37, "✓") + COUNTIF(N18:N37, "✔") + COUNTIF(N18:N37, "v") + COUNTIF(N18:N37, "V")) &amp; "/" &amp; ((COUNTIF(N18:N37, "✓") + COUNTIF(N18:N37, "✔") + COUNTIF(N18:N37, "v") + COUNTIF(N18:N37, "V")) + COUNTIF(N18:N37, "✗") + COUNTIF(N18:N37, "x") + COUNTIF(N18:N37, "X")), "")</f>
        <v/>
      </c>
      <c r="O38" s="33">
        <f>IF(((COUNTIF(O18:O37, "✓") + COUNTIF(O18:O37, "✔") + COUNTIF(O18:O37, "v") + COUNTIF(O18:O37, "V")) + COUNTIF(O18:O37, "✗") + COUNTIF(O18:O37, "x") + COUNTIF(O18:O37, "X")) &gt; 0, (COUNTIF(O18:O37, "✓") + COUNTIF(O18:O37, "✔") + COUNTIF(O18:O37, "v") + COUNTIF(O18:O37, "V")) &amp; "/" &amp; ((COUNTIF(O18:O37, "✓") + COUNTIF(O18:O37, "✔") + COUNTIF(O18:O37, "v") + COUNTIF(O18:O37, "V")) + COUNTIF(O18:O37, "✗") + COUNTIF(O18:O37, "x") + COUNTIF(O18:O37, "X")), "")</f>
        <v/>
      </c>
      <c r="P38" s="33">
        <f>IF(((COUNTIF(P18:P37, "✓") + COUNTIF(P18:P37, "✔") + COUNTIF(P18:P37, "v") + COUNTIF(P18:P37, "V")) + COUNTIF(P18:P37, "✗") + COUNTIF(P18:P37, "x") + COUNTIF(P18:P37, "X")) &gt; 0, (COUNTIF(P18:P37, "✓") + COUNTIF(P18:P37, "✔") + COUNTIF(P18:P37, "v") + COUNTIF(P18:P37, "V")) &amp; "/" &amp; ((COUNTIF(P18:P37, "✓") + COUNTIF(P18:P37, "✔") + COUNTIF(P18:P37, "v") + COUNTIF(P18:P37, "V")) + COUNTIF(P18:P37, "✗") + COUNTIF(P18:P37, "x") + COUNTIF(P18:P37, "X")), "")</f>
        <v/>
      </c>
      <c r="Q38" s="33">
        <f>IF(((COUNTIF(Q18:Q37, "✓") + COUNTIF(Q18:Q37, "✔") + COUNTIF(Q18:Q37, "v") + COUNTIF(Q18:Q37, "V")) + COUNTIF(Q18:Q37, "✗") + COUNTIF(Q18:Q37, "x") + COUNTIF(Q18:Q37, "X")) &gt; 0, (COUNTIF(Q18:Q37, "✓") + COUNTIF(Q18:Q37, "✔") + COUNTIF(Q18:Q37, "v") + COUNTIF(Q18:Q37, "V")) &amp; "/" &amp; ((COUNTIF(Q18:Q37, "✓") + COUNTIF(Q18:Q37, "✔") + COUNTIF(Q18:Q37, "v") + COUNTIF(Q18:Q37, "V")) + COUNTIF(Q18:Q37, "✗") + COUNTIF(Q18:Q37, "x") + COUNTIF(Q18:Q37, "X")), "")</f>
        <v/>
      </c>
      <c r="R38" s="33">
        <f>IF(((COUNTIF(R18:R37, "✓") + COUNTIF(R18:R37, "✔") + COUNTIF(R18:R37, "v") + COUNTIF(R18:R37, "V")) + COUNTIF(R18:R37, "✗") + COUNTIF(R18:R37, "x") + COUNTIF(R18:R37, "X")) &gt; 0, (COUNTIF(R18:R37, "✓") + COUNTIF(R18:R37, "✔") + COUNTIF(R18:R37, "v") + COUNTIF(R18:R37, "V")) &amp; "/" &amp; ((COUNTIF(R18:R37, "✓") + COUNTIF(R18:R37, "✔") + COUNTIF(R18:R37, "v") + COUNTIF(R18:R37, "V")) + COUNTIF(R18:R37, "✗") + COUNTIF(R18:R37, "x") + COUNTIF(R18:R37, "X")), "")</f>
        <v/>
      </c>
      <c r="S38" s="33">
        <f>IF(((COUNTIF(S18:S37, "✓") + COUNTIF(S18:S37, "✔") + COUNTIF(S18:S37, "v") + COUNTIF(S18:S37, "V")) + COUNTIF(S18:S37, "✗") + COUNTIF(S18:S37, "x") + COUNTIF(S18:S37, "X")) &gt; 0, (COUNTIF(S18:S37, "✓") + COUNTIF(S18:S37, "✔") + COUNTIF(S18:S37, "v") + COUNTIF(S18:S37, "V")) &amp; "/" &amp; ((COUNTIF(S18:S37, "✓") + COUNTIF(S18:S37, "✔") + COUNTIF(S18:S37, "v") + COUNTIF(S18:S37, "V")) + COUNTIF(S18:S37, "✗") + COUNTIF(S18:S37, "x") + COUNTIF(S18:S37, "X")), "")</f>
        <v/>
      </c>
      <c r="T38" s="33">
        <f>IF(((COUNTIF(T18:T37, "✓") + COUNTIF(T18:T37, "✔") + COUNTIF(T18:T37, "v") + COUNTIF(T18:T37, "V")) + COUNTIF(T18:T37, "✗") + COUNTIF(T18:T37, "x") + COUNTIF(T18:T37, "X")) &gt; 0, (COUNTIF(T18:T37, "✓") + COUNTIF(T18:T37, "✔") + COUNTIF(T18:T37, "v") + COUNTIF(T18:T37, "V")) &amp; "/" &amp; ((COUNTIF(T18:T37, "✓") + COUNTIF(T18:T37, "✔") + COUNTIF(T18:T37, "v") + COUNTIF(T18:T37, "V")) + COUNTIF(T18:T37, "✗") + COUNTIF(T18:T37, "x") + COUNTIF(T18:T37, "X")), "")</f>
        <v/>
      </c>
      <c r="U38" s="33">
        <f>IF(((COUNTIF(U18:U37, "✓") + COUNTIF(U18:U37, "✔") + COUNTIF(U18:U37, "v") + COUNTIF(U18:U37, "V")) + COUNTIF(U18:U37, "✗") + COUNTIF(U18:U37, "x") + COUNTIF(U18:U37, "X")) &gt; 0, (COUNTIF(U18:U37, "✓") + COUNTIF(U18:U37, "✔") + COUNTIF(U18:U37, "v") + COUNTIF(U18:U37, "V")) &amp; "/" &amp; ((COUNTIF(U18:U37, "✓") + COUNTIF(U18:U37, "✔") + COUNTIF(U18:U37, "v") + COUNTIF(U18:U37, "V")) + COUNTIF(U18:U37, "✗") + COUNTIF(U18:U37, "x") + COUNTIF(U18:U37, "X")), "")</f>
        <v/>
      </c>
      <c r="V38" s="33">
        <f>IF(((COUNTIF(V18:V37, "✓") + COUNTIF(V18:V37, "✔") + COUNTIF(V18:V37, "v") + COUNTIF(V18:V37, "V")) + COUNTIF(V18:V37, "✗") + COUNTIF(V18:V37, "x") + COUNTIF(V18:V37, "X")) &gt; 0, (COUNTIF(V18:V37, "✓") + COUNTIF(V18:V37, "✔") + COUNTIF(V18:V37, "v") + COUNTIF(V18:V37, "V")) &amp; "/" &amp; ((COUNTIF(V18:V37, "✓") + COUNTIF(V18:V37, "✔") + COUNTIF(V18:V37, "v") + COUNTIF(V18:V37, "V")) + COUNTIF(V18:V37, "✗") + COUNTIF(V18:V37, "x") + COUNTIF(V18:V37, "X")), "")</f>
        <v/>
      </c>
      <c r="W38" s="33">
        <f>IF(((COUNTIF(W18:W37, "✓") + COUNTIF(W18:W37, "✔") + COUNTIF(W18:W37, "v") + COUNTIF(W18:W37, "V")) + COUNTIF(W18:W37, "✗") + COUNTIF(W18:W37, "x") + COUNTIF(W18:W37, "X")) &gt; 0, (COUNTIF(W18:W37, "✓") + COUNTIF(W18:W37, "✔") + COUNTIF(W18:W37, "v") + COUNTIF(W18:W37, "V")) &amp; "/" &amp; ((COUNTIF(W18:W37, "✓") + COUNTIF(W18:W37, "✔") + COUNTIF(W18:W37, "v") + COUNTIF(W18:W37, "V")) + COUNTIF(W18:W37, "✗") + COUNTIF(W18:W37, "x") + COUNTIF(W18:W37, "X")), "")</f>
        <v/>
      </c>
      <c r="X38" s="33">
        <f>IF(((COUNTIF(X18:X37, "✓") + COUNTIF(X18:X37, "✔") + COUNTIF(X18:X37, "v") + COUNTIF(X18:X37, "V")) + COUNTIF(X18:X37, "✗") + COUNTIF(X18:X37, "x") + COUNTIF(X18:X37, "X")) &gt; 0, (COUNTIF(X18:X37, "✓") + COUNTIF(X18:X37, "✔") + COUNTIF(X18:X37, "v") + COUNTIF(X18:X37, "V")) &amp; "/" &amp; ((COUNTIF(X18:X37, "✓") + COUNTIF(X18:X37, "✔") + COUNTIF(X18:X37, "v") + COUNTIF(X18:X37, "V")) + COUNTIF(X18:X37, "✗") + COUNTIF(X18:X37, "x") + COUNTIF(X18:X37, "X")), "")</f>
        <v/>
      </c>
      <c r="Y38" s="33">
        <f>IF(((COUNTIF(Y18:Y37, "✓") + COUNTIF(Y18:Y37, "✔") + COUNTIF(Y18:Y37, "v") + COUNTIF(Y18:Y37, "V")) + COUNTIF(Y18:Y37, "✗") + COUNTIF(Y18:Y37, "x") + COUNTIF(Y18:Y37, "X")) &gt; 0, (COUNTIF(Y18:Y37, "✓") + COUNTIF(Y18:Y37, "✔") + COUNTIF(Y18:Y37, "v") + COUNTIF(Y18:Y37, "V")) &amp; "/" &amp; ((COUNTIF(Y18:Y37, "✓") + COUNTIF(Y18:Y37, "✔") + COUNTIF(Y18:Y37, "v") + COUNTIF(Y18:Y37, "V")) + COUNTIF(Y18:Y37, "✗") + COUNTIF(Y18:Y37, "x") + COUNTIF(Y18:Y37, "X")), "")</f>
        <v/>
      </c>
      <c r="Z38" s="33">
        <f>IF(((COUNTIF(Z18:Z37, "✓") + COUNTIF(Z18:Z37, "✔") + COUNTIF(Z18:Z37, "v") + COUNTIF(Z18:Z37, "V")) + COUNTIF(Z18:Z37, "✗") + COUNTIF(Z18:Z37, "x") + COUNTIF(Z18:Z37, "X")) &gt; 0, (COUNTIF(Z18:Z37, "✓") + COUNTIF(Z18:Z37, "✔") + COUNTIF(Z18:Z37, "v") + COUNTIF(Z18:Z37, "V")) &amp; "/" &amp; ((COUNTIF(Z18:Z37, "✓") + COUNTIF(Z18:Z37, "✔") + COUNTIF(Z18:Z37, "v") + COUNTIF(Z18:Z37, "V")) + COUNTIF(Z18:Z37, "✗") + COUNTIF(Z18:Z37, "x") + COUNTIF(Z18:Z37, "X")), "")</f>
        <v/>
      </c>
      <c r="AA38" s="33">
        <f>IF(((COUNTIF(AA18:AA37, "✓") + COUNTIF(AA18:AA37, "✔") + COUNTIF(AA18:AA37, "v") + COUNTIF(AA18:AA37, "V")) + COUNTIF(AA18:AA37, "✗") + COUNTIF(AA18:AA37, "x") + COUNTIF(AA18:AA37, "X")) &gt; 0, (COUNTIF(AA18:AA37, "✓") + COUNTIF(AA18:AA37, "✔") + COUNTIF(AA18:AA37, "v") + COUNTIF(AA18:AA37, "V")) &amp; "/" &amp; ((COUNTIF(AA18:AA37, "✓") + COUNTIF(AA18:AA37, "✔") + COUNTIF(AA18:AA37, "v") + COUNTIF(AA18:AA37, "V")) + COUNTIF(AA18:AA37, "✗") + COUNTIF(AA18:AA37, "x") + COUNTIF(AA18:AA37, "X")), "")</f>
        <v/>
      </c>
      <c r="AB38" s="33">
        <f>IF(((COUNTIF(AB18:AB37, "✓") + COUNTIF(AB18:AB37, "✔") + COUNTIF(AB18:AB37, "v") + COUNTIF(AB18:AB37, "V")) + COUNTIF(AB18:AB37, "✗") + COUNTIF(AB18:AB37, "x") + COUNTIF(AB18:AB37, "X")) &gt; 0, (COUNTIF(AB18:AB37, "✓") + COUNTIF(AB18:AB37, "✔") + COUNTIF(AB18:AB37, "v") + COUNTIF(AB18:AB37, "V")) &amp; "/" &amp; ((COUNTIF(AB18:AB37, "✓") + COUNTIF(AB18:AB37, "✔") + COUNTIF(AB18:AB37, "v") + COUNTIF(AB18:AB37, "V")) + COUNTIF(AB18:AB37, "✗") + COUNTIF(AB18:AB37, "x") + COUNTIF(AB18:AB37, "X")), "")</f>
        <v/>
      </c>
      <c r="AC38" s="33">
        <f>IF(((COUNTIF(AC18:AC37, "✓") + COUNTIF(AC18:AC37, "✔") + COUNTIF(AC18:AC37, "v") + COUNTIF(AC18:AC37, "V")) + COUNTIF(AC18:AC37, "✗") + COUNTIF(AC18:AC37, "x") + COUNTIF(AC18:AC37, "X")) &gt; 0, (COUNTIF(AC18:AC37, "✓") + COUNTIF(AC18:AC37, "✔") + COUNTIF(AC18:AC37, "v") + COUNTIF(AC18:AC37, "V")) &amp; "/" &amp; ((COUNTIF(AC18:AC37, "✓") + COUNTIF(AC18:AC37, "✔") + COUNTIF(AC18:AC37, "v") + COUNTIF(AC18:AC37, "V")) + COUNTIF(AC18:AC37, "✗") + COUNTIF(AC18:AC37, "x") + COUNTIF(AC18:AC37, "X")), "")</f>
        <v/>
      </c>
      <c r="AD38" s="33">
        <f>IF(((COUNTIF(AD18:AD37, "✓") + COUNTIF(AD18:AD37, "✔") + COUNTIF(AD18:AD37, "v") + COUNTIF(AD18:AD37, "V")) + COUNTIF(AD18:AD37, "✗") + COUNTIF(AD18:AD37, "x") + COUNTIF(AD18:AD37, "X")) &gt; 0, (COUNTIF(AD18:AD37, "✓") + COUNTIF(AD18:AD37, "✔") + COUNTIF(AD18:AD37, "v") + COUNTIF(AD18:AD37, "V")) &amp; "/" &amp; ((COUNTIF(AD18:AD37, "✓") + COUNTIF(AD18:AD37, "✔") + COUNTIF(AD18:AD37, "v") + COUNTIF(AD18:AD37, "V")) + COUNTIF(AD18:AD37, "✗") + COUNTIF(AD18:AD37, "x") + COUNTIF(AD18:AD37, "X")), "")</f>
        <v/>
      </c>
      <c r="AE38" s="33">
        <f>IF(((COUNTIF(AE18:AE37, "✓") + COUNTIF(AE18:AE37, "✔") + COUNTIF(AE18:AE37, "v") + COUNTIF(AE18:AE37, "V")) + COUNTIF(AE18:AE37, "✗") + COUNTIF(AE18:AE37, "x") + COUNTIF(AE18:AE37, "X")) &gt; 0, (COUNTIF(AE18:AE37, "✓") + COUNTIF(AE18:AE37, "✔") + COUNTIF(AE18:AE37, "v") + COUNTIF(AE18:AE37, "V")) &amp; "/" &amp; ((COUNTIF(AE18:AE37, "✓") + COUNTIF(AE18:AE37, "✔") + COUNTIF(AE18:AE37, "v") + COUNTIF(AE18:AE37, "V")) + COUNTIF(AE18:AE37, "✗") + COUNTIF(AE18:AE37, "x") + COUNTIF(AE18:AE37, "X")), "")</f>
        <v/>
      </c>
      <c r="AF38" s="33">
        <f>IF(((COUNTIF(AF18:AF37, "✓") + COUNTIF(AF18:AF37, "✔") + COUNTIF(AF18:AF37, "v") + COUNTIF(AF18:AF37, "V")) + COUNTIF(AF18:AF37, "✗") + COUNTIF(AF18:AF37, "x") + COUNTIF(AF18:AF37, "X")) &gt; 0, (COUNTIF(AF18:AF37, "✓") + COUNTIF(AF18:AF37, "✔") + COUNTIF(AF18:AF37, "v") + COUNTIF(AF18:AF37, "V")) &amp; "/" &amp; ((COUNTIF(AF18:AF37, "✓") + COUNTIF(AF18:AF37, "✔") + COUNTIF(AF18:AF37, "v") + COUNTIF(AF18:AF37, "V")) + COUNTIF(AF18:AF37, "✗") + COUNTIF(AF18:AF37, "x") + COUNTIF(AF18:AF37, "X")), "")</f>
        <v/>
      </c>
      <c r="AG38" s="33">
        <f>IF(((COUNTIF(AG18:AG37, "✓") + COUNTIF(AG18:AG37, "✔") + COUNTIF(AG18:AG37, "v") + COUNTIF(AG18:AG37, "V")) + COUNTIF(AG18:AG37, "✗") + COUNTIF(AG18:AG37, "x") + COUNTIF(AG18:AG37, "X")) &gt; 0, (COUNTIF(AG18:AG37, "✓") + COUNTIF(AG18:AG37, "✔") + COUNTIF(AG18:AG37, "v") + COUNTIF(AG18:AG37, "V")) &amp; "/" &amp; ((COUNTIF(AG18:AG37, "✓") + COUNTIF(AG18:AG37, "✔") + COUNTIF(AG18:AG37, "v") + COUNTIF(AG18:AG37, "V")) + COUNTIF(AG18:AG37, "✗") + COUNTIF(AG18:AG37, "x") + COUNTIF(AG18:AG37, "X")), "")</f>
        <v/>
      </c>
      <c r="AH38" s="33">
        <f>IF(((COUNTIF(AH18:AH37, "✓") + COUNTIF(AH18:AH37, "✔") + COUNTIF(AH18:AH37, "v") + COUNTIF(AH18:AH37, "V")) + COUNTIF(AH18:AH37, "✗") + COUNTIF(AH18:AH37, "x") + COUNTIF(AH18:AH37, "X")) &gt; 0, (COUNTIF(AH18:AH37, "✓") + COUNTIF(AH18:AH37, "✔") + COUNTIF(AH18:AH37, "v") + COUNTIF(AH18:AH37, "V")) &amp; "/" &amp; ((COUNTIF(AH18:AH37, "✓") + COUNTIF(AH18:AH37, "✔") + COUNTIF(AH18:AH37, "v") + COUNTIF(AH18:AH37, "V")) + COUNTIF(AH18:AH37, "✗") + COUNTIF(AH18:AH37, "x") + COUNTIF(AH18:AH37, "X")), "")</f>
        <v/>
      </c>
      <c r="AI38" s="33">
        <f>IF(((COUNTIF(AI18:AI37, "✓") + COUNTIF(AI18:AI37, "✔") + COUNTIF(AI18:AI37, "v") + COUNTIF(AI18:AI37, "V")) + COUNTIF(AI18:AI37, "✗") + COUNTIF(AI18:AI37, "x") + COUNTIF(AI18:AI37, "X")) &gt; 0, (COUNTIF(AI18:AI37, "✓") + COUNTIF(AI18:AI37, "✔") + COUNTIF(AI18:AI37, "v") + COUNTIF(AI18:AI37, "V")) &amp; "/" &amp; ((COUNTIF(AI18:AI37, "✓") + COUNTIF(AI18:AI37, "✔") + COUNTIF(AI18:AI37, "v") + COUNTIF(AI18:AI37, "V")) + COUNTIF(AI18:AI37, "✗") + COUNTIF(AI18:AI37, "x") + COUNTIF(AI18:AI37, "X")), "")</f>
        <v/>
      </c>
      <c r="AJ38" s="133">
        <f>IF(SUM(D18:D37) &gt; 0, SUM(AM18:AM37) / SUM(D18:D37), "")</f>
        <v/>
      </c>
      <c r="AK38" s="33">
        <f>IF(SUM(D18:D37) &gt; 0, SUM(AM18:AM37) &amp; "/" &amp; SUM(D18:D37), "")</f>
        <v/>
      </c>
      <c r="AL38" s="54" t="n"/>
    </row>
    <row r="39" ht="18" customHeight="1">
      <c r="A39" s="132" t="inlineStr">
        <is>
          <t>DAILY SUCCESS %</t>
        </is>
      </c>
      <c r="B39" s="54" t="n"/>
      <c r="C39" s="54" t="n"/>
      <c r="D39" s="54" t="n"/>
      <c r="E39" s="134">
        <f>IF(((COUNTIF(E18:E37, "✓") + COUNTIF(E18:E37, "✔") + COUNTIF(E18:E37, "v") + COUNTIF(E18:E37, "V")) + COUNTIF(E18:E37, "✗") + COUNTIF(E18:E37, "x") + COUNTIF(E18:E37, "X")) &gt; 0, (COUNTIF(E18:E37, "✓") + COUNTIF(E18:E37, "✔") + COUNTIF(E18:E37, "v") + COUNTIF(E18:E37, "V")) / ((COUNTIF(E18:E37, "✓") + COUNTIF(E18:E37, "✔") + COUNTIF(E18:E37, "v") + COUNTIF(E18:E37, "V")) + COUNTIF(E18:E37, "✗") + COUNTIF(E18:E37, "x") + COUNTIF(E18:E37, "X")), "")</f>
        <v/>
      </c>
      <c r="F39" s="134">
        <f>IF(((COUNTIF(F18:F37, "✓") + COUNTIF(F18:F37, "✔") + COUNTIF(F18:F37, "v") + COUNTIF(F18:F37, "V")) + COUNTIF(F18:F37, "✗") + COUNTIF(F18:F37, "x") + COUNTIF(F18:F37, "X")) &gt; 0, (COUNTIF(F18:F37, "✓") + COUNTIF(F18:F37, "✔") + COUNTIF(F18:F37, "v") + COUNTIF(F18:F37, "V")) / ((COUNTIF(F18:F37, "✓") + COUNTIF(F18:F37, "✔") + COUNTIF(F18:F37, "v") + COUNTIF(F18:F37, "V")) + COUNTIF(F18:F37, "✗") + COUNTIF(F18:F37, "x") + COUNTIF(F18:F37, "X")), "")</f>
        <v/>
      </c>
      <c r="G39" s="134">
        <f>IF(((COUNTIF(G18:G37, "✓") + COUNTIF(G18:G37, "✔") + COUNTIF(G18:G37, "v") + COUNTIF(G18:G37, "V")) + COUNTIF(G18:G37, "✗") + COUNTIF(G18:G37, "x") + COUNTIF(G18:G37, "X")) &gt; 0, (COUNTIF(G18:G37, "✓") + COUNTIF(G18:G37, "✔") + COUNTIF(G18:G37, "v") + COUNTIF(G18:G37, "V")) / ((COUNTIF(G18:G37, "✓") + COUNTIF(G18:G37, "✔") + COUNTIF(G18:G37, "v") + COUNTIF(G18:G37, "V")) + COUNTIF(G18:G37, "✗") + COUNTIF(G18:G37, "x") + COUNTIF(G18:G37, "X")), "")</f>
        <v/>
      </c>
      <c r="H39" s="134">
        <f>IF(((COUNTIF(H18:H37, "✓") + COUNTIF(H18:H37, "✔") + COUNTIF(H18:H37, "v") + COUNTIF(H18:H37, "V")) + COUNTIF(H18:H37, "✗") + COUNTIF(H18:H37, "x") + COUNTIF(H18:H37, "X")) &gt; 0, (COUNTIF(H18:H37, "✓") + COUNTIF(H18:H37, "✔") + COUNTIF(H18:H37, "v") + COUNTIF(H18:H37, "V")) / ((COUNTIF(H18:H37, "✓") + COUNTIF(H18:H37, "✔") + COUNTIF(H18:H37, "v") + COUNTIF(H18:H37, "V")) + COUNTIF(H18:H37, "✗") + COUNTIF(H18:H37, "x") + COUNTIF(H18:H37, "X")), "")</f>
        <v/>
      </c>
      <c r="I39" s="134">
        <f>IF(((COUNTIF(I18:I37, "✓") + COUNTIF(I18:I37, "✔") + COUNTIF(I18:I37, "v") + COUNTIF(I18:I37, "V")) + COUNTIF(I18:I37, "✗") + COUNTIF(I18:I37, "x") + COUNTIF(I18:I37, "X")) &gt; 0, (COUNTIF(I18:I37, "✓") + COUNTIF(I18:I37, "✔") + COUNTIF(I18:I37, "v") + COUNTIF(I18:I37, "V")) / ((COUNTIF(I18:I37, "✓") + COUNTIF(I18:I37, "✔") + COUNTIF(I18:I37, "v") + COUNTIF(I18:I37, "V")) + COUNTIF(I18:I37, "✗") + COUNTIF(I18:I37, "x") + COUNTIF(I18:I37, "X")), "")</f>
        <v/>
      </c>
      <c r="J39" s="134">
        <f>IF(((COUNTIF(J18:J37, "✓") + COUNTIF(J18:J37, "✔") + COUNTIF(J18:J37, "v") + COUNTIF(J18:J37, "V")) + COUNTIF(J18:J37, "✗") + COUNTIF(J18:J37, "x") + COUNTIF(J18:J37, "X")) &gt; 0, (COUNTIF(J18:J37, "✓") + COUNTIF(J18:J37, "✔") + COUNTIF(J18:J37, "v") + COUNTIF(J18:J37, "V")) / ((COUNTIF(J18:J37, "✓") + COUNTIF(J18:J37, "✔") + COUNTIF(J18:J37, "v") + COUNTIF(J18:J37, "V")) + COUNTIF(J18:J37, "✗") + COUNTIF(J18:J37, "x") + COUNTIF(J18:J37, "X")), "")</f>
        <v/>
      </c>
      <c r="K39" s="134">
        <f>IF(((COUNTIF(K18:K37, "✓") + COUNTIF(K18:K37, "✔") + COUNTIF(K18:K37, "v") + COUNTIF(K18:K37, "V")) + COUNTIF(K18:K37, "✗") + COUNTIF(K18:K37, "x") + COUNTIF(K18:K37, "X")) &gt; 0, (COUNTIF(K18:K37, "✓") + COUNTIF(K18:K37, "✔") + COUNTIF(K18:K37, "v") + COUNTIF(K18:K37, "V")) / ((COUNTIF(K18:K37, "✓") + COUNTIF(K18:K37, "✔") + COUNTIF(K18:K37, "v") + COUNTIF(K18:K37, "V")) + COUNTIF(K18:K37, "✗") + COUNTIF(K18:K37, "x") + COUNTIF(K18:K37, "X")), "")</f>
        <v/>
      </c>
      <c r="L39" s="134">
        <f>IF(((COUNTIF(L18:L37, "✓") + COUNTIF(L18:L37, "✔") + COUNTIF(L18:L37, "v") + COUNTIF(L18:L37, "V")) + COUNTIF(L18:L37, "✗") + COUNTIF(L18:L37, "x") + COUNTIF(L18:L37, "X")) &gt; 0, (COUNTIF(L18:L37, "✓") + COUNTIF(L18:L37, "✔") + COUNTIF(L18:L37, "v") + COUNTIF(L18:L37, "V")) / ((COUNTIF(L18:L37, "✓") + COUNTIF(L18:L37, "✔") + COUNTIF(L18:L37, "v") + COUNTIF(L18:L37, "V")) + COUNTIF(L18:L37, "✗") + COUNTIF(L18:L37, "x") + COUNTIF(L18:L37, "X")), "")</f>
        <v/>
      </c>
      <c r="M39" s="134">
        <f>IF(((COUNTIF(M18:M37, "✓") + COUNTIF(M18:M37, "✔") + COUNTIF(M18:M37, "v") + COUNTIF(M18:M37, "V")) + COUNTIF(M18:M37, "✗") + COUNTIF(M18:M37, "x") + COUNTIF(M18:M37, "X")) &gt; 0, (COUNTIF(M18:M37, "✓") + COUNTIF(M18:M37, "✔") + COUNTIF(M18:M37, "v") + COUNTIF(M18:M37, "V")) / ((COUNTIF(M18:M37, "✓") + COUNTIF(M18:M37, "✔") + COUNTIF(M18:M37, "v") + COUNTIF(M18:M37, "V")) + COUNTIF(M18:M37, "✗") + COUNTIF(M18:M37, "x") + COUNTIF(M18:M37, "X")), "")</f>
        <v/>
      </c>
      <c r="N39" s="134">
        <f>IF(((COUNTIF(N18:N37, "✓") + COUNTIF(N18:N37, "✔") + COUNTIF(N18:N37, "v") + COUNTIF(N18:N37, "V")) + COUNTIF(N18:N37, "✗") + COUNTIF(N18:N37, "x") + COUNTIF(N18:N37, "X")) &gt; 0, (COUNTIF(N18:N37, "✓") + COUNTIF(N18:N37, "✔") + COUNTIF(N18:N37, "v") + COUNTIF(N18:N37, "V")) / ((COUNTIF(N18:N37, "✓") + COUNTIF(N18:N37, "✔") + COUNTIF(N18:N37, "v") + COUNTIF(N18:N37, "V")) + COUNTIF(N18:N37, "✗") + COUNTIF(N18:N37, "x") + COUNTIF(N18:N37, "X")), "")</f>
        <v/>
      </c>
      <c r="O39" s="134">
        <f>IF(((COUNTIF(O18:O37, "✓") + COUNTIF(O18:O37, "✔") + COUNTIF(O18:O37, "v") + COUNTIF(O18:O37, "V")) + COUNTIF(O18:O37, "✗") + COUNTIF(O18:O37, "x") + COUNTIF(O18:O37, "X")) &gt; 0, (COUNTIF(O18:O37, "✓") + COUNTIF(O18:O37, "✔") + COUNTIF(O18:O37, "v") + COUNTIF(O18:O37, "V")) / ((COUNTIF(O18:O37, "✓") + COUNTIF(O18:O37, "✔") + COUNTIF(O18:O37, "v") + COUNTIF(O18:O37, "V")) + COUNTIF(O18:O37, "✗") + COUNTIF(O18:O37, "x") + COUNTIF(O18:O37, "X")), "")</f>
        <v/>
      </c>
      <c r="P39" s="134">
        <f>IF(((COUNTIF(P18:P37, "✓") + COUNTIF(P18:P37, "✔") + COUNTIF(P18:P37, "v") + COUNTIF(P18:P37, "V")) + COUNTIF(P18:P37, "✗") + COUNTIF(P18:P37, "x") + COUNTIF(P18:P37, "X")) &gt; 0, (COUNTIF(P18:P37, "✓") + COUNTIF(P18:P37, "✔") + COUNTIF(P18:P37, "v") + COUNTIF(P18:P37, "V")) / ((COUNTIF(P18:P37, "✓") + COUNTIF(P18:P37, "✔") + COUNTIF(P18:P37, "v") + COUNTIF(P18:P37, "V")) + COUNTIF(P18:P37, "✗") + COUNTIF(P18:P37, "x") + COUNTIF(P18:P37, "X")), "")</f>
        <v/>
      </c>
      <c r="Q39" s="134">
        <f>IF(((COUNTIF(Q18:Q37, "✓") + COUNTIF(Q18:Q37, "✔") + COUNTIF(Q18:Q37, "v") + COUNTIF(Q18:Q37, "V")) + COUNTIF(Q18:Q37, "✗") + COUNTIF(Q18:Q37, "x") + COUNTIF(Q18:Q37, "X")) &gt; 0, (COUNTIF(Q18:Q37, "✓") + COUNTIF(Q18:Q37, "✔") + COUNTIF(Q18:Q37, "v") + COUNTIF(Q18:Q37, "V")) / ((COUNTIF(Q18:Q37, "✓") + COUNTIF(Q18:Q37, "✔") + COUNTIF(Q18:Q37, "v") + COUNTIF(Q18:Q37, "V")) + COUNTIF(Q18:Q37, "✗") + COUNTIF(Q18:Q37, "x") + COUNTIF(Q18:Q37, "X")), "")</f>
        <v/>
      </c>
      <c r="R39" s="134">
        <f>IF(((COUNTIF(R18:R37, "✓") + COUNTIF(R18:R37, "✔") + COUNTIF(R18:R37, "v") + COUNTIF(R18:R37, "V")) + COUNTIF(R18:R37, "✗") + COUNTIF(R18:R37, "x") + COUNTIF(R18:R37, "X")) &gt; 0, (COUNTIF(R18:R37, "✓") + COUNTIF(R18:R37, "✔") + COUNTIF(R18:R37, "v") + COUNTIF(R18:R37, "V")) / ((COUNTIF(R18:R37, "✓") + COUNTIF(R18:R37, "✔") + COUNTIF(R18:R37, "v") + COUNTIF(R18:R37, "V")) + COUNTIF(R18:R37, "✗") + COUNTIF(R18:R37, "x") + COUNTIF(R18:R37, "X")), "")</f>
        <v/>
      </c>
      <c r="S39" s="134">
        <f>IF(((COUNTIF(S18:S37, "✓") + COUNTIF(S18:S37, "✔") + COUNTIF(S18:S37, "v") + COUNTIF(S18:S37, "V")) + COUNTIF(S18:S37, "✗") + COUNTIF(S18:S37, "x") + COUNTIF(S18:S37, "X")) &gt; 0, (COUNTIF(S18:S37, "✓") + COUNTIF(S18:S37, "✔") + COUNTIF(S18:S37, "v") + COUNTIF(S18:S37, "V")) / ((COUNTIF(S18:S37, "✓") + COUNTIF(S18:S37, "✔") + COUNTIF(S18:S37, "v") + COUNTIF(S18:S37, "V")) + COUNTIF(S18:S37, "✗") + COUNTIF(S18:S37, "x") + COUNTIF(S18:S37, "X")), "")</f>
        <v/>
      </c>
      <c r="T39" s="134">
        <f>IF(((COUNTIF(T18:T37, "✓") + COUNTIF(T18:T37, "✔") + COUNTIF(T18:T37, "v") + COUNTIF(T18:T37, "V")) + COUNTIF(T18:T37, "✗") + COUNTIF(T18:T37, "x") + COUNTIF(T18:T37, "X")) &gt; 0, (COUNTIF(T18:T37, "✓") + COUNTIF(T18:T37, "✔") + COUNTIF(T18:T37, "v") + COUNTIF(T18:T37, "V")) / ((COUNTIF(T18:T37, "✓") + COUNTIF(T18:T37, "✔") + COUNTIF(T18:T37, "v") + COUNTIF(T18:T37, "V")) + COUNTIF(T18:T37, "✗") + COUNTIF(T18:T37, "x") + COUNTIF(T18:T37, "X")), "")</f>
        <v/>
      </c>
      <c r="U39" s="134">
        <f>IF(((COUNTIF(U18:U37, "✓") + COUNTIF(U18:U37, "✔") + COUNTIF(U18:U37, "v") + COUNTIF(U18:U37, "V")) + COUNTIF(U18:U37, "✗") + COUNTIF(U18:U37, "x") + COUNTIF(U18:U37, "X")) &gt; 0, (COUNTIF(U18:U37, "✓") + COUNTIF(U18:U37, "✔") + COUNTIF(U18:U37, "v") + COUNTIF(U18:U37, "V")) / ((COUNTIF(U18:U37, "✓") + COUNTIF(U18:U37, "✔") + COUNTIF(U18:U37, "v") + COUNTIF(U18:U37, "V")) + COUNTIF(U18:U37, "✗") + COUNTIF(U18:U37, "x") + COUNTIF(U18:U37, "X")), "")</f>
        <v/>
      </c>
      <c r="V39" s="134">
        <f>IF(((COUNTIF(V18:V37, "✓") + COUNTIF(V18:V37, "✔") + COUNTIF(V18:V37, "v") + COUNTIF(V18:V37, "V")) + COUNTIF(V18:V37, "✗") + COUNTIF(V18:V37, "x") + COUNTIF(V18:V37, "X")) &gt; 0, (COUNTIF(V18:V37, "✓") + COUNTIF(V18:V37, "✔") + COUNTIF(V18:V37, "v") + COUNTIF(V18:V37, "V")) / ((COUNTIF(V18:V37, "✓") + COUNTIF(V18:V37, "✔") + COUNTIF(V18:V37, "v") + COUNTIF(V18:V37, "V")) + COUNTIF(V18:V37, "✗") + COUNTIF(V18:V37, "x") + COUNTIF(V18:V37, "X")), "")</f>
        <v/>
      </c>
      <c r="W39" s="134">
        <f>IF(((COUNTIF(W18:W37, "✓") + COUNTIF(W18:W37, "✔") + COUNTIF(W18:W37, "v") + COUNTIF(W18:W37, "V")) + COUNTIF(W18:W37, "✗") + COUNTIF(W18:W37, "x") + COUNTIF(W18:W37, "X")) &gt; 0, (COUNTIF(W18:W37, "✓") + COUNTIF(W18:W37, "✔") + COUNTIF(W18:W37, "v") + COUNTIF(W18:W37, "V")) / ((COUNTIF(W18:W37, "✓") + COUNTIF(W18:W37, "✔") + COUNTIF(W18:W37, "v") + COUNTIF(W18:W37, "V")) + COUNTIF(W18:W37, "✗") + COUNTIF(W18:W37, "x") + COUNTIF(W18:W37, "X")), "")</f>
        <v/>
      </c>
      <c r="X39" s="134">
        <f>IF(((COUNTIF(X18:X37, "✓") + COUNTIF(X18:X37, "✔") + COUNTIF(X18:X37, "v") + COUNTIF(X18:X37, "V")) + COUNTIF(X18:X37, "✗") + COUNTIF(X18:X37, "x") + COUNTIF(X18:X37, "X")) &gt; 0, (COUNTIF(X18:X37, "✓") + COUNTIF(X18:X37, "✔") + COUNTIF(X18:X37, "v") + COUNTIF(X18:X37, "V")) / ((COUNTIF(X18:X37, "✓") + COUNTIF(X18:X37, "✔") + COUNTIF(X18:X37, "v") + COUNTIF(X18:X37, "V")) + COUNTIF(X18:X37, "✗") + COUNTIF(X18:X37, "x") + COUNTIF(X18:X37, "X")), "")</f>
        <v/>
      </c>
      <c r="Y39" s="134">
        <f>IF(((COUNTIF(Y18:Y37, "✓") + COUNTIF(Y18:Y37, "✔") + COUNTIF(Y18:Y37, "v") + COUNTIF(Y18:Y37, "V")) + COUNTIF(Y18:Y37, "✗") + COUNTIF(Y18:Y37, "x") + COUNTIF(Y18:Y37, "X")) &gt; 0, (COUNTIF(Y18:Y37, "✓") + COUNTIF(Y18:Y37, "✔") + COUNTIF(Y18:Y37, "v") + COUNTIF(Y18:Y37, "V")) / ((COUNTIF(Y18:Y37, "✓") + COUNTIF(Y18:Y37, "✔") + COUNTIF(Y18:Y37, "v") + COUNTIF(Y18:Y37, "V")) + COUNTIF(Y18:Y37, "✗") + COUNTIF(Y18:Y37, "x") + COUNTIF(Y18:Y37, "X")), "")</f>
        <v/>
      </c>
      <c r="Z39" s="134">
        <f>IF(((COUNTIF(Z18:Z37, "✓") + COUNTIF(Z18:Z37, "✔") + COUNTIF(Z18:Z37, "v") + COUNTIF(Z18:Z37, "V")) + COUNTIF(Z18:Z37, "✗") + COUNTIF(Z18:Z37, "x") + COUNTIF(Z18:Z37, "X")) &gt; 0, (COUNTIF(Z18:Z37, "✓") + COUNTIF(Z18:Z37, "✔") + COUNTIF(Z18:Z37, "v") + COUNTIF(Z18:Z37, "V")) / ((COUNTIF(Z18:Z37, "✓") + COUNTIF(Z18:Z37, "✔") + COUNTIF(Z18:Z37, "v") + COUNTIF(Z18:Z37, "V")) + COUNTIF(Z18:Z37, "✗") + COUNTIF(Z18:Z37, "x") + COUNTIF(Z18:Z37, "X")), "")</f>
        <v/>
      </c>
      <c r="AA39" s="134">
        <f>IF(((COUNTIF(AA18:AA37, "✓") + COUNTIF(AA18:AA37, "✔") + COUNTIF(AA18:AA37, "v") + COUNTIF(AA18:AA37, "V")) + COUNTIF(AA18:AA37, "✗") + COUNTIF(AA18:AA37, "x") + COUNTIF(AA18:AA37, "X")) &gt; 0, (COUNTIF(AA18:AA37, "✓") + COUNTIF(AA18:AA37, "✔") + COUNTIF(AA18:AA37, "v") + COUNTIF(AA18:AA37, "V")) / ((COUNTIF(AA18:AA37, "✓") + COUNTIF(AA18:AA37, "✔") + COUNTIF(AA18:AA37, "v") + COUNTIF(AA18:AA37, "V")) + COUNTIF(AA18:AA37, "✗") + COUNTIF(AA18:AA37, "x") + COUNTIF(AA18:AA37, "X")), "")</f>
        <v/>
      </c>
      <c r="AB39" s="134">
        <f>IF(((COUNTIF(AB18:AB37, "✓") + COUNTIF(AB18:AB37, "✔") + COUNTIF(AB18:AB37, "v") + COUNTIF(AB18:AB37, "V")) + COUNTIF(AB18:AB37, "✗") + COUNTIF(AB18:AB37, "x") + COUNTIF(AB18:AB37, "X")) &gt; 0, (COUNTIF(AB18:AB37, "✓") + COUNTIF(AB18:AB37, "✔") + COUNTIF(AB18:AB37, "v") + COUNTIF(AB18:AB37, "V")) / ((COUNTIF(AB18:AB37, "✓") + COUNTIF(AB18:AB37, "✔") + COUNTIF(AB18:AB37, "v") + COUNTIF(AB18:AB37, "V")) + COUNTIF(AB18:AB37, "✗") + COUNTIF(AB18:AB37, "x") + COUNTIF(AB18:AB37, "X")), "")</f>
        <v/>
      </c>
      <c r="AC39" s="134">
        <f>IF(((COUNTIF(AC18:AC37, "✓") + COUNTIF(AC18:AC37, "✔") + COUNTIF(AC18:AC37, "v") + COUNTIF(AC18:AC37, "V")) + COUNTIF(AC18:AC37, "✗") + COUNTIF(AC18:AC37, "x") + COUNTIF(AC18:AC37, "X")) &gt; 0, (COUNTIF(AC18:AC37, "✓") + COUNTIF(AC18:AC37, "✔") + COUNTIF(AC18:AC37, "v") + COUNTIF(AC18:AC37, "V")) / ((COUNTIF(AC18:AC37, "✓") + COUNTIF(AC18:AC37, "✔") + COUNTIF(AC18:AC37, "v") + COUNTIF(AC18:AC37, "V")) + COUNTIF(AC18:AC37, "✗") + COUNTIF(AC18:AC37, "x") + COUNTIF(AC18:AC37, "X")), "")</f>
        <v/>
      </c>
      <c r="AD39" s="134">
        <f>IF(((COUNTIF(AD18:AD37, "✓") + COUNTIF(AD18:AD37, "✔") + COUNTIF(AD18:AD37, "v") + COUNTIF(AD18:AD37, "V")) + COUNTIF(AD18:AD37, "✗") + COUNTIF(AD18:AD37, "x") + COUNTIF(AD18:AD37, "X")) &gt; 0, (COUNTIF(AD18:AD37, "✓") + COUNTIF(AD18:AD37, "✔") + COUNTIF(AD18:AD37, "v") + COUNTIF(AD18:AD37, "V")) / ((COUNTIF(AD18:AD37, "✓") + COUNTIF(AD18:AD37, "✔") + COUNTIF(AD18:AD37, "v") + COUNTIF(AD18:AD37, "V")) + COUNTIF(AD18:AD37, "✗") + COUNTIF(AD18:AD37, "x") + COUNTIF(AD18:AD37, "X")), "")</f>
        <v/>
      </c>
      <c r="AE39" s="134">
        <f>IF(((COUNTIF(AE18:AE37, "✓") + COUNTIF(AE18:AE37, "✔") + COUNTIF(AE18:AE37, "v") + COUNTIF(AE18:AE37, "V")) + COUNTIF(AE18:AE37, "✗") + COUNTIF(AE18:AE37, "x") + COUNTIF(AE18:AE37, "X")) &gt; 0, (COUNTIF(AE18:AE37, "✓") + COUNTIF(AE18:AE37, "✔") + COUNTIF(AE18:AE37, "v") + COUNTIF(AE18:AE37, "V")) / ((COUNTIF(AE18:AE37, "✓") + COUNTIF(AE18:AE37, "✔") + COUNTIF(AE18:AE37, "v") + COUNTIF(AE18:AE37, "V")) + COUNTIF(AE18:AE37, "✗") + COUNTIF(AE18:AE37, "x") + COUNTIF(AE18:AE37, "X")), "")</f>
        <v/>
      </c>
      <c r="AF39" s="134">
        <f>IF(((COUNTIF(AF18:AF37, "✓") + COUNTIF(AF18:AF37, "✔") + COUNTIF(AF18:AF37, "v") + COUNTIF(AF18:AF37, "V")) + COUNTIF(AF18:AF37, "✗") + COUNTIF(AF18:AF37, "x") + COUNTIF(AF18:AF37, "X")) &gt; 0, (COUNTIF(AF18:AF37, "✓") + COUNTIF(AF18:AF37, "✔") + COUNTIF(AF18:AF37, "v") + COUNTIF(AF18:AF37, "V")) / ((COUNTIF(AF18:AF37, "✓") + COUNTIF(AF18:AF37, "✔") + COUNTIF(AF18:AF37, "v") + COUNTIF(AF18:AF37, "V")) + COUNTIF(AF18:AF37, "✗") + COUNTIF(AF18:AF37, "x") + COUNTIF(AF18:AF37, "X")), "")</f>
        <v/>
      </c>
      <c r="AG39" s="134">
        <f>IF(((COUNTIF(AG18:AG37, "✓") + COUNTIF(AG18:AG37, "✔") + COUNTIF(AG18:AG37, "v") + COUNTIF(AG18:AG37, "V")) + COUNTIF(AG18:AG37, "✗") + COUNTIF(AG18:AG37, "x") + COUNTIF(AG18:AG37, "X")) &gt; 0, (COUNTIF(AG18:AG37, "✓") + COUNTIF(AG18:AG37, "✔") + COUNTIF(AG18:AG37, "v") + COUNTIF(AG18:AG37, "V")) / ((COUNTIF(AG18:AG37, "✓") + COUNTIF(AG18:AG37, "✔") + COUNTIF(AG18:AG37, "v") + COUNTIF(AG18:AG37, "V")) + COUNTIF(AG18:AG37, "✗") + COUNTIF(AG18:AG37, "x") + COUNTIF(AG18:AG37, "X")), "")</f>
        <v/>
      </c>
      <c r="AH39" s="134">
        <f>IF(((COUNTIF(AH18:AH37, "✓") + COUNTIF(AH18:AH37, "✔") + COUNTIF(AH18:AH37, "v") + COUNTIF(AH18:AH37, "V")) + COUNTIF(AH18:AH37, "✗") + COUNTIF(AH18:AH37, "x") + COUNTIF(AH18:AH37, "X")) &gt; 0, (COUNTIF(AH18:AH37, "✓") + COUNTIF(AH18:AH37, "✔") + COUNTIF(AH18:AH37, "v") + COUNTIF(AH18:AH37, "V")) / ((COUNTIF(AH18:AH37, "✓") + COUNTIF(AH18:AH37, "✔") + COUNTIF(AH18:AH37, "v") + COUNTIF(AH18:AH37, "V")) + COUNTIF(AH18:AH37, "✗") + COUNTIF(AH18:AH37, "x") + COUNTIF(AH18:AH37, "X")), "")</f>
        <v/>
      </c>
      <c r="AI39" s="134">
        <f>IF(((COUNTIF(AI18:AI37, "✓") + COUNTIF(AI18:AI37, "✔") + COUNTIF(AI18:AI37, "v") + COUNTIF(AI18:AI37, "V")) + COUNTIF(AI18:AI37, "✗") + COUNTIF(AI18:AI37, "x") + COUNTIF(AI18:AI37, "X")) &gt; 0, (COUNTIF(AI18:AI37, "✓") + COUNTIF(AI18:AI37, "✔") + COUNTIF(AI18:AI37, "v") + COUNTIF(AI18:AI37, "V")) / ((COUNTIF(AI18:AI37, "✓") + COUNTIF(AI18:AI37, "✔") + COUNTIF(AI18:AI37, "v") + COUNTIF(AI18:AI37, "V")) + COUNTIF(AI18:AI37, "✗") + COUNTIF(AI18:AI37, "x") + COUNTIF(AI18:AI37, "X")), "")</f>
        <v/>
      </c>
      <c r="AJ39" s="133">
        <f>IF(COUNT(E39:AI39) &gt; 0, AVERAGE(E39:AI39), "")</f>
        <v/>
      </c>
      <c r="AK39" s="54" t="n"/>
      <c r="AL39" s="54" t="n"/>
    </row>
    <row r="40" ht="6" customHeight="1"/>
    <row r="41" ht="15" customHeight="1">
      <c r="A41" s="135" t="inlineStr">
        <is>
          <t>IF SUCCESS &lt; 80%, PUNISHMENT: ________________________________________________</t>
        </is>
      </c>
    </row>
    <row r="42" ht="15" customHeight="1">
      <c r="A42" s="136" t="inlineStr">
        <is>
          <t>IF SUCCESS &gt; 90%, REWARD: __________________________________________________</t>
        </is>
      </c>
    </row>
    <row r="43" ht="10" customHeight="1"/>
    <row r="44" ht="10" customHeight="1"/>
    <row r="45" ht="15" customHeight="1">
      <c r="A45" s="51" t="inlineStr">
        <is>
          <t>Sleep Tracking</t>
        </is>
      </c>
      <c r="B45" s="52" t="n"/>
      <c r="C45" s="52" t="n"/>
      <c r="D45" s="52" t="n"/>
      <c r="E45" s="138" t="n">
        <v>1</v>
      </c>
      <c r="F45" s="137" t="n">
        <v>2</v>
      </c>
      <c r="G45" s="137" t="n">
        <v>3</v>
      </c>
      <c r="H45" s="137" t="n">
        <v>4</v>
      </c>
      <c r="I45" s="137" t="n">
        <v>5</v>
      </c>
      <c r="J45" s="137" t="n">
        <v>6</v>
      </c>
      <c r="K45" s="137" t="n">
        <v>7</v>
      </c>
      <c r="L45" s="138" t="n">
        <v>8</v>
      </c>
      <c r="M45" s="137" t="n">
        <v>9</v>
      </c>
      <c r="N45" s="137" t="n">
        <v>10</v>
      </c>
      <c r="O45" s="137" t="n">
        <v>11</v>
      </c>
      <c r="P45" s="137" t="n">
        <v>12</v>
      </c>
      <c r="Q45" s="137" t="n">
        <v>13</v>
      </c>
      <c r="R45" s="137" t="n">
        <v>14</v>
      </c>
      <c r="S45" s="138" t="n">
        <v>15</v>
      </c>
      <c r="T45" s="137" t="n">
        <v>16</v>
      </c>
      <c r="U45" s="137" t="n">
        <v>17</v>
      </c>
      <c r="V45" s="137" t="n">
        <v>18</v>
      </c>
      <c r="W45" s="137" t="n">
        <v>19</v>
      </c>
      <c r="X45" s="137" t="n">
        <v>20</v>
      </c>
      <c r="Y45" s="137" t="n">
        <v>21</v>
      </c>
      <c r="Z45" s="138" t="n">
        <v>22</v>
      </c>
      <c r="AA45" s="137" t="n">
        <v>23</v>
      </c>
      <c r="AB45" s="137" t="n">
        <v>24</v>
      </c>
      <c r="AC45" s="137" t="n">
        <v>25</v>
      </c>
      <c r="AD45" s="137" t="n">
        <v>26</v>
      </c>
      <c r="AE45" s="137" t="n">
        <v>27</v>
      </c>
      <c r="AF45" s="137" t="n">
        <v>28</v>
      </c>
      <c r="AG45" s="138" t="n">
        <v>29</v>
      </c>
      <c r="AH45" s="137" t="n">
        <v>30</v>
      </c>
      <c r="AI45" s="137" t="n">
        <v>31</v>
      </c>
    </row>
    <row r="46" ht="15" customHeight="1">
      <c r="A46" s="52" t="n"/>
      <c r="B46" s="52" t="n"/>
      <c r="C46" s="52" t="n"/>
      <c r="D46" s="52" t="n"/>
      <c r="E46" s="140" t="inlineStr">
        <is>
          <t>Su</t>
        </is>
      </c>
      <c r="F46" s="139" t="inlineStr">
        <is>
          <t>M</t>
        </is>
      </c>
      <c r="G46" s="139" t="inlineStr">
        <is>
          <t>T</t>
        </is>
      </c>
      <c r="H46" s="139" t="inlineStr">
        <is>
          <t>W</t>
        </is>
      </c>
      <c r="I46" s="139" t="inlineStr">
        <is>
          <t>Th</t>
        </is>
      </c>
      <c r="J46" s="139" t="inlineStr">
        <is>
          <t>F</t>
        </is>
      </c>
      <c r="K46" s="139" t="inlineStr">
        <is>
          <t>Sa</t>
        </is>
      </c>
      <c r="L46" s="140" t="inlineStr">
        <is>
          <t>Su</t>
        </is>
      </c>
      <c r="M46" s="139" t="inlineStr">
        <is>
          <t>M</t>
        </is>
      </c>
      <c r="N46" s="139" t="inlineStr">
        <is>
          <t>T</t>
        </is>
      </c>
      <c r="O46" s="139" t="inlineStr">
        <is>
          <t>W</t>
        </is>
      </c>
      <c r="P46" s="139" t="inlineStr">
        <is>
          <t>Th</t>
        </is>
      </c>
      <c r="Q46" s="139" t="inlineStr">
        <is>
          <t>F</t>
        </is>
      </c>
      <c r="R46" s="139" t="inlineStr">
        <is>
          <t>Sa</t>
        </is>
      </c>
      <c r="S46" s="140" t="inlineStr">
        <is>
          <t>Su</t>
        </is>
      </c>
      <c r="T46" s="139" t="inlineStr">
        <is>
          <t>M</t>
        </is>
      </c>
      <c r="U46" s="139" t="inlineStr">
        <is>
          <t>T</t>
        </is>
      </c>
      <c r="V46" s="139" t="inlineStr">
        <is>
          <t>W</t>
        </is>
      </c>
      <c r="W46" s="139" t="inlineStr">
        <is>
          <t>Th</t>
        </is>
      </c>
      <c r="X46" s="139" t="inlineStr">
        <is>
          <t>F</t>
        </is>
      </c>
      <c r="Y46" s="139" t="inlineStr">
        <is>
          <t>Sa</t>
        </is>
      </c>
      <c r="Z46" s="140" t="inlineStr">
        <is>
          <t>Su</t>
        </is>
      </c>
      <c r="AA46" s="139" t="inlineStr">
        <is>
          <t>M</t>
        </is>
      </c>
      <c r="AB46" s="139" t="inlineStr">
        <is>
          <t>T</t>
        </is>
      </c>
      <c r="AC46" s="139" t="inlineStr">
        <is>
          <t>W</t>
        </is>
      </c>
      <c r="AD46" s="139" t="inlineStr">
        <is>
          <t>Th</t>
        </is>
      </c>
      <c r="AE46" s="139" t="inlineStr">
        <is>
          <t>F</t>
        </is>
      </c>
      <c r="AF46" s="139" t="inlineStr">
        <is>
          <t>Sa</t>
        </is>
      </c>
      <c r="AG46" s="140" t="inlineStr">
        <is>
          <t>Su</t>
        </is>
      </c>
      <c r="AH46" s="139" t="inlineStr">
        <is>
          <t>M</t>
        </is>
      </c>
      <c r="AI46" s="139" t="inlineStr">
        <is>
          <t>T</t>
        </is>
      </c>
    </row>
    <row r="47" ht="20" customHeight="1">
      <c r="A47" s="141" t="inlineStr">
        <is>
          <t>Sleep Hours (1-24)</t>
        </is>
      </c>
      <c r="B47" s="142" t="n"/>
      <c r="C47" s="142" t="n"/>
      <c r="D47" s="142" t="n"/>
      <c r="E47" s="144" t="n"/>
      <c r="F47" s="143" t="n"/>
      <c r="G47" s="143" t="n"/>
      <c r="H47" s="143" t="n"/>
      <c r="I47" s="143" t="n"/>
      <c r="J47" s="143" t="n"/>
      <c r="K47" s="143" t="n"/>
      <c r="L47" s="144" t="n"/>
      <c r="M47" s="143" t="n"/>
      <c r="N47" s="143" t="n"/>
      <c r="O47" s="143" t="n"/>
      <c r="P47" s="143" t="n"/>
      <c r="Q47" s="143" t="n"/>
      <c r="R47" s="143" t="n"/>
      <c r="S47" s="144" t="n"/>
      <c r="T47" s="143" t="n"/>
      <c r="U47" s="143" t="n"/>
      <c r="V47" s="143" t="n"/>
      <c r="W47" s="143" t="n"/>
      <c r="X47" s="143" t="n"/>
      <c r="Y47" s="143" t="n"/>
      <c r="Z47" s="144" t="n"/>
      <c r="AA47" s="143" t="n"/>
      <c r="AB47" s="143" t="n"/>
      <c r="AC47" s="143" t="n"/>
      <c r="AD47" s="143" t="n"/>
      <c r="AE47" s="143" t="n"/>
      <c r="AF47" s="143" t="n"/>
      <c r="AG47" s="144" t="n"/>
      <c r="AH47" s="143" t="n"/>
      <c r="AI47" s="143" t="n"/>
    </row>
    <row r="48" ht="6" customHeight="1"/>
    <row r="49" ht="14" customHeight="1"/>
    <row r="50" ht="14" customHeight="1"/>
    <row r="51" ht="14" customHeight="1"/>
    <row r="52" ht="14" customHeight="1"/>
    <row r="53" ht="14" customHeight="1"/>
    <row r="54" ht="14" customHeight="1"/>
    <row r="55" ht="14" customHeight="1"/>
    <row r="56" ht="14" customHeight="1"/>
    <row r="57" ht="14" customHeight="1"/>
    <row r="58" ht="14" customHeight="1"/>
    <row r="59" ht="14" customHeight="1"/>
    <row r="60" ht="14" customHeight="1"/>
    <row r="61" ht="14" customHeight="1"/>
    <row r="62" ht="14" customHeight="1"/>
    <row r="63" ht="14" customHeight="1"/>
    <row r="64" ht="14" customHeight="1"/>
    <row r="65" ht="14" customHeight="1"/>
    <row r="66" ht="8" customHeight="1"/>
    <row r="67">
      <c r="A67" s="145" t="inlineStr">
        <is>
          <t>MONTHLY SUCCESS RATE</t>
        </is>
      </c>
      <c r="B67" s="9" t="n"/>
      <c r="C67" s="9" t="n"/>
      <c r="D67" s="9" t="n"/>
      <c r="F67" s="146" t="inlineStr">
        <is>
          <t>ACTIVE PROTOCOLS</t>
        </is>
      </c>
      <c r="G67" s="11" t="n"/>
      <c r="H67" s="11" t="n"/>
      <c r="I67" s="11" t="n"/>
      <c r="K67" s="147" t="inlineStr">
        <is>
          <t>PERFECT DAYS (100%)</t>
        </is>
      </c>
      <c r="L67" s="13" t="n"/>
      <c r="M67" s="13" t="n"/>
      <c r="N67" s="13" t="n"/>
      <c r="P67" s="148" t="inlineStr">
        <is>
          <t>AVG SLEEP DURATION</t>
        </is>
      </c>
      <c r="Q67" s="15" t="n"/>
      <c r="R67" s="15" t="n"/>
      <c r="S67" s="15" t="n"/>
    </row>
    <row r="68">
      <c r="A68" s="149">
        <f>IF(SUM(D18:D37)&gt;0, SUM(AM18:AM37)/SUM(D18:D37), 0)</f>
        <v/>
      </c>
      <c r="B68" s="9" t="n"/>
      <c r="C68" s="9" t="n"/>
      <c r="D68" s="9" t="n"/>
      <c r="F68" s="150">
        <f>COUNTA(B18:B37) &amp; " / 20"</f>
        <v/>
      </c>
      <c r="G68" s="11" t="n"/>
      <c r="H68" s="11" t="n"/>
      <c r="I68" s="11" t="n"/>
      <c r="K68" s="151">
        <f>COUNTIF(E39:AI39, 1) &amp; " Days"</f>
        <v/>
      </c>
      <c r="L68" s="13" t="n"/>
      <c r="M68" s="13" t="n"/>
      <c r="N68" s="13" t="n"/>
      <c r="P68" s="152">
        <f>IFERROR(TEXT(AVERAGE(E47:AI47), "0.0") &amp; " hrs", "-")</f>
        <v/>
      </c>
      <c r="Q68" s="15" t="n"/>
      <c r="R68" s="15" t="n"/>
      <c r="S68" s="15" t="n"/>
    </row>
    <row r="69">
      <c r="A69" s="9" t="n"/>
      <c r="B69" s="9" t="n"/>
      <c r="C69" s="9" t="n"/>
      <c r="D69" s="9" t="n"/>
      <c r="F69" s="11" t="n"/>
      <c r="G69" s="11" t="n"/>
      <c r="H69" s="11" t="n"/>
      <c r="I69" s="11" t="n"/>
      <c r="K69" s="13" t="n"/>
      <c r="L69" s="13" t="n"/>
      <c r="M69" s="13" t="n"/>
      <c r="N69" s="13" t="n"/>
      <c r="P69" s="15" t="n"/>
      <c r="Q69" s="15" t="n"/>
      <c r="R69" s="15" t="n"/>
      <c r="S69" s="15" t="n"/>
    </row>
    <row r="70">
      <c r="A70" s="9" t="n"/>
      <c r="B70" s="9" t="n"/>
      <c r="C70" s="9" t="n"/>
      <c r="D70" s="9" t="n"/>
      <c r="F70" s="11" t="n"/>
      <c r="G70" s="11" t="n"/>
      <c r="H70" s="11" t="n"/>
      <c r="I70" s="11" t="n"/>
      <c r="K70" s="13" t="n"/>
      <c r="L70" s="13" t="n"/>
      <c r="M70" s="13" t="n"/>
      <c r="N70" s="13" t="n"/>
      <c r="P70" s="15" t="n"/>
      <c r="Q70" s="15" t="n"/>
      <c r="R70" s="15" t="n"/>
      <c r="S70" s="15" t="n"/>
    </row>
    <row r="71">
      <c r="A71" s="153" t="inlineStr">
        <is>
          <t>Target Completion</t>
        </is>
      </c>
      <c r="B71" s="9" t="n"/>
      <c r="C71" s="9" t="n"/>
      <c r="D71" s="9" t="n"/>
      <c r="F71" s="154" t="inlineStr">
        <is>
          <t>Habits Tracked</t>
        </is>
      </c>
      <c r="G71" s="11" t="n"/>
      <c r="H71" s="11" t="n"/>
      <c r="I71" s="11" t="n"/>
      <c r="K71" s="155" t="inlineStr">
        <is>
          <t>All Marked Habits Completed</t>
        </is>
      </c>
      <c r="L71" s="13" t="n"/>
      <c r="M71" s="13" t="n"/>
      <c r="N71" s="13" t="n"/>
      <c r="P71" s="156" t="inlineStr">
        <is>
          <t>Nightly Rest Average</t>
        </is>
      </c>
      <c r="Q71" s="15" t="n"/>
      <c r="R71" s="15" t="n"/>
      <c r="S71" s="15" t="n"/>
    </row>
    <row r="72" ht="8" customHeight="1"/>
    <row r="73" ht="6" customHeight="1"/>
    <row r="74">
      <c r="A74" s="67" t="inlineStr">
        <is>
          <t>WEEKLY PERFORMANCE (SLUMP DETECTOR)</t>
        </is>
      </c>
      <c r="B74" s="29" t="n"/>
      <c r="C74" s="29" t="n"/>
      <c r="D74" s="29" t="n"/>
      <c r="E74" s="29" t="n"/>
      <c r="N74" s="157" t="inlineStr">
        <is>
          <t>LIFE DOMAIN / CATEGORY BREAKDOWN</t>
        </is>
      </c>
      <c r="O74" s="158" t="n"/>
      <c r="P74" s="158" t="n"/>
      <c r="Q74" s="158" t="n"/>
      <c r="R74" s="158" t="n"/>
      <c r="S74" s="158" t="n"/>
    </row>
    <row r="75" ht="15" customHeight="1">
      <c r="A75" s="53" t="inlineStr">
        <is>
          <t>Week</t>
        </is>
      </c>
      <c r="B75" s="53" t="inlineStr">
        <is>
          <t>Days Range</t>
        </is>
      </c>
      <c r="C75" s="53" t="inlineStr">
        <is>
          <t>Checks Done</t>
        </is>
      </c>
      <c r="D75" s="53" t="inlineStr">
        <is>
          <t>Evaluated</t>
        </is>
      </c>
      <c r="E75" s="53" t="inlineStr">
        <is>
          <t>Success %</t>
        </is>
      </c>
      <c r="N75" s="53" t="inlineStr">
        <is>
          <t>Domain / Category</t>
        </is>
      </c>
      <c r="O75" s="54" t="n"/>
      <c r="P75" s="53" t="inlineStr">
        <is>
          <t>Active Habits</t>
        </is>
      </c>
      <c r="Q75" s="53" t="inlineStr">
        <is>
          <t>Target Days</t>
        </is>
      </c>
      <c r="R75" s="53" t="inlineStr">
        <is>
          <t>Done Checks</t>
        </is>
      </c>
      <c r="S75" s="53" t="inlineStr">
        <is>
          <t>Success %</t>
        </is>
      </c>
    </row>
    <row r="76" ht="14" customHeight="1">
      <c r="A76" s="33" t="inlineStr">
        <is>
          <t>Week 1</t>
        </is>
      </c>
      <c r="B76" s="34" t="inlineStr">
        <is>
          <t>Days 1 - 7</t>
        </is>
      </c>
      <c r="C76" s="34">
        <f>COUNTIF(E18:K37, "✓")</f>
        <v/>
      </c>
      <c r="D76" s="34">
        <f>COUNTIF(E18:K37, "✓") + COUNTIF(E18:K37, "✗")</f>
        <v/>
      </c>
      <c r="E76" s="35">
        <f>IFERROR(C76/D76, 0)</f>
        <v/>
      </c>
      <c r="N76" s="60" t="inlineStr">
        <is>
          <t>Health &amp; Fitness</t>
        </is>
      </c>
      <c r="O76" s="54" t="n"/>
      <c r="P76" s="34">
        <f>COUNTIF($C$18:$C$37, "Health &amp; Fitness")</f>
        <v/>
      </c>
      <c r="Q76" s="34">
        <f>SUMIF($C$18:$C$37, "Health &amp; Fitness", $D$18:$D$37)</f>
        <v/>
      </c>
      <c r="R76" s="34">
        <f>SUMIF($C$18:$C$37, "Health &amp; Fitness", $AM$18:$AM$37)</f>
        <v/>
      </c>
      <c r="S76" s="35">
        <f>IFERROR(R76/Q76, 0)</f>
        <v/>
      </c>
    </row>
    <row r="77" ht="14" customHeight="1">
      <c r="A77" s="33" t="inlineStr">
        <is>
          <t>Week 2</t>
        </is>
      </c>
      <c r="B77" s="34" t="inlineStr">
        <is>
          <t>Days 8 - 14</t>
        </is>
      </c>
      <c r="C77" s="34">
        <f>COUNTIF(L18:R37, "✓")</f>
        <v/>
      </c>
      <c r="D77" s="34">
        <f>COUNTIF(L18:R37, "✓") + COUNTIF(L18:R37, "✗")</f>
        <v/>
      </c>
      <c r="E77" s="35">
        <f>IFERROR(C77/D77, 0)</f>
        <v/>
      </c>
      <c r="N77" s="60" t="inlineStr">
        <is>
          <t>Mindset &amp; Learning</t>
        </is>
      </c>
      <c r="O77" s="54" t="n"/>
      <c r="P77" s="34">
        <f>COUNTIF($C$18:$C$37, "Mindset &amp; Learning")</f>
        <v/>
      </c>
      <c r="Q77" s="34">
        <f>SUMIF($C$18:$C$37, "Mindset &amp; Learning", $D$18:$D$37)</f>
        <v/>
      </c>
      <c r="R77" s="34">
        <f>SUMIF($C$18:$C$37, "Mindset &amp; Learning", $AM$18:$AM$37)</f>
        <v/>
      </c>
      <c r="S77" s="35">
        <f>IFERROR(R77/Q77, 0)</f>
        <v/>
      </c>
    </row>
    <row r="78" ht="14" customHeight="1">
      <c r="A78" s="33" t="inlineStr">
        <is>
          <t>Week 3</t>
        </is>
      </c>
      <c r="B78" s="34" t="inlineStr">
        <is>
          <t>Days 15 - 21</t>
        </is>
      </c>
      <c r="C78" s="34">
        <f>COUNTIF(S18:Y37, "✓")</f>
        <v/>
      </c>
      <c r="D78" s="34">
        <f>COUNTIF(S18:Y37, "✓") + COUNTIF(S18:Y37, "✗")</f>
        <v/>
      </c>
      <c r="E78" s="35">
        <f>IFERROR(C78/D78, 0)</f>
        <v/>
      </c>
      <c r="N78" s="60" t="inlineStr">
        <is>
          <t>Career &amp; Focus</t>
        </is>
      </c>
      <c r="O78" s="54" t="n"/>
      <c r="P78" s="34">
        <f>COUNTIF($C$18:$C$37, "Career &amp; Focus")</f>
        <v/>
      </c>
      <c r="Q78" s="34">
        <f>SUMIF($C$18:$C$37, "Career &amp; Focus", $D$18:$D$37)</f>
        <v/>
      </c>
      <c r="R78" s="34">
        <f>SUMIF($C$18:$C$37, "Career &amp; Focus", $AM$18:$AM$37)</f>
        <v/>
      </c>
      <c r="S78" s="35">
        <f>IFERROR(R78/Q78, 0)</f>
        <v/>
      </c>
    </row>
    <row r="79" ht="14" customHeight="1">
      <c r="A79" s="33" t="inlineStr">
        <is>
          <t>Week 4</t>
        </is>
      </c>
      <c r="B79" s="34" t="inlineStr">
        <is>
          <t>Days 22 - 28</t>
        </is>
      </c>
      <c r="C79" s="34">
        <f>COUNTIF(Z18:AF37, "✓")</f>
        <v/>
      </c>
      <c r="D79" s="34">
        <f>COUNTIF(Z18:AF37, "✓") + COUNTIF(Z18:AF37, "✗")</f>
        <v/>
      </c>
      <c r="E79" s="35">
        <f>IFERROR(C79/D79, 0)</f>
        <v/>
      </c>
      <c r="N79" s="60" t="inlineStr">
        <is>
          <t>Personal &amp; Home</t>
        </is>
      </c>
      <c r="O79" s="54" t="n"/>
      <c r="P79" s="34">
        <f>COUNTIF($C$18:$C$37, "Personal &amp; Home")</f>
        <v/>
      </c>
      <c r="Q79" s="34">
        <f>SUMIF($C$18:$C$37, "Personal &amp; Home", $D$18:$D$37)</f>
        <v/>
      </c>
      <c r="R79" s="34">
        <f>SUMIF($C$18:$C$37, "Personal &amp; Home", $AM$18:$AM$37)</f>
        <v/>
      </c>
      <c r="S79" s="35">
        <f>IFERROR(R79/Q79, 0)</f>
        <v/>
      </c>
    </row>
    <row r="80" ht="14" customHeight="1">
      <c r="A80" s="33" t="inlineStr">
        <is>
          <t>Week 5</t>
        </is>
      </c>
      <c r="B80" s="34" t="inlineStr">
        <is>
          <t>Days 29 - 31</t>
        </is>
      </c>
      <c r="C80" s="34">
        <f>COUNTIF(AG18:AI37, "✓")</f>
        <v/>
      </c>
      <c r="D80" s="34">
        <f>COUNTIF(AG18:AI37, "✓") + COUNTIF(AG18:AI37, "✗")</f>
        <v/>
      </c>
      <c r="E80" s="35">
        <f>IFERROR(C80/D80, 0)</f>
        <v/>
      </c>
      <c r="N80" s="60" t="inlineStr">
        <is>
          <t>Finance &amp; Wealth</t>
        </is>
      </c>
      <c r="O80" s="54" t="n"/>
      <c r="P80" s="34">
        <f>COUNTIF($C$18:$C$37, "Finance &amp; Wealth")</f>
        <v/>
      </c>
      <c r="Q80" s="34">
        <f>SUMIF($C$18:$C$37, "Finance &amp; Wealth", $D$18:$D$37)</f>
        <v/>
      </c>
      <c r="R80" s="34">
        <f>SUMIF($C$18:$C$37, "Finance &amp; Wealth", $AM$18:$AM$37)</f>
        <v/>
      </c>
      <c r="S80" s="35">
        <f>IFERROR(R80/Q80, 0)</f>
        <v/>
      </c>
    </row>
    <row r="81" ht="14" customHeight="1">
      <c r="A81" s="33" t="inlineStr">
        <is>
          <t>Total / Avg</t>
        </is>
      </c>
      <c r="B81" s="159" t="inlineStr">
        <is>
          <t>Month Total</t>
        </is>
      </c>
      <c r="C81" s="33">
        <f>SUM(C76:C80)</f>
        <v/>
      </c>
      <c r="D81" s="33">
        <f>SUM(D76:D80)</f>
        <v/>
      </c>
      <c r="E81" s="133">
        <f>IFERROR(C81/D81, 0)</f>
        <v/>
      </c>
    </row>
    <row r="82" ht="10" customHeight="1"/>
    <row r="83" ht="10" customHeight="1"/>
    <row r="84">
      <c r="A84" s="51" t="inlineStr">
        <is>
          <t>SLEEP &amp; PRODUCTIVITY CORRELATION ANALYSIS</t>
        </is>
      </c>
      <c r="B84" s="52" t="n"/>
      <c r="C84" s="52" t="n"/>
      <c r="D84" s="52" t="n"/>
      <c r="E84" s="52" t="n"/>
      <c r="F84" s="52" t="n"/>
      <c r="G84" s="52" t="n"/>
      <c r="H84" s="52" t="n"/>
      <c r="I84" s="52" t="n"/>
      <c r="J84" s="52" t="n"/>
      <c r="K84" s="52" t="n"/>
      <c r="L84" s="52" t="n"/>
      <c r="M84" s="52" t="n"/>
      <c r="N84" s="52" t="n"/>
      <c r="O84" s="52" t="n"/>
      <c r="P84" s="52" t="n"/>
      <c r="Q84" s="52" t="n"/>
      <c r="R84" s="52" t="n"/>
      <c r="S84" s="52" t="n"/>
      <c r="T84" s="52" t="n"/>
      <c r="U84" s="52" t="n"/>
      <c r="V84" s="52" t="n"/>
      <c r="W84" s="52" t="n"/>
      <c r="X84" s="52" t="n"/>
      <c r="Y84" s="52" t="n"/>
      <c r="Z84" s="52" t="n"/>
      <c r="AA84" s="52" t="n"/>
      <c r="AB84" s="52" t="n"/>
      <c r="AC84" s="52" t="n"/>
      <c r="AD84" s="52" t="n"/>
      <c r="AE84" s="52" t="n"/>
      <c r="AF84" s="52" t="n"/>
      <c r="AG84" s="52" t="n"/>
      <c r="AH84" s="52" t="n"/>
      <c r="AI84" s="52" t="n"/>
      <c r="AJ84" s="52" t="n"/>
      <c r="AK84" s="52" t="n"/>
      <c r="AL84" s="52" t="n"/>
    </row>
    <row r="85" ht="15" customHeight="1">
      <c r="A85" s="53" t="inlineStr">
        <is>
          <t>Rest Category</t>
        </is>
      </c>
      <c r="B85" s="54" t="n"/>
      <c r="C85" s="54" t="n"/>
      <c r="D85" s="53" t="inlineStr">
        <is>
          <t>Day Criteria</t>
        </is>
      </c>
      <c r="E85" s="54" t="n"/>
      <c r="F85" s="54" t="n"/>
      <c r="G85" s="53" t="inlineStr">
        <is>
          <t>Days Logged</t>
        </is>
      </c>
      <c r="H85" s="54" t="n"/>
      <c r="I85" s="54" t="n"/>
      <c r="J85" s="53" t="inlineStr">
        <is>
          <t>Avg Sleep Duration</t>
        </is>
      </c>
      <c r="K85" s="54" t="n"/>
      <c r="L85" s="54" t="n"/>
      <c r="M85" s="54" t="n"/>
      <c r="N85" s="53" t="inlineStr">
        <is>
          <t>Avg Habit Success %</t>
        </is>
      </c>
      <c r="O85" s="54" t="n"/>
      <c r="P85" s="54" t="n"/>
      <c r="Q85" s="54" t="n"/>
      <c r="R85" s="53" t="inlineStr">
        <is>
          <t>Productivity Delta</t>
        </is>
      </c>
      <c r="S85" s="54" t="n"/>
      <c r="T85" s="54" t="n"/>
      <c r="U85" s="54" t="n"/>
    </row>
    <row r="86" ht="15" customHeight="1">
      <c r="A86" s="160" t="inlineStr">
        <is>
          <t>Optimal Rest</t>
        </is>
      </c>
      <c r="B86" s="161" t="n"/>
      <c r="C86" s="56" t="n"/>
      <c r="D86" s="34" t="inlineStr">
        <is>
          <t>&gt;= 7 Hours / Night</t>
        </is>
      </c>
      <c r="E86" s="161" t="n"/>
      <c r="F86" s="56" t="n"/>
      <c r="G86" s="33">
        <f>COUNTIF(E47:AI47, "&gt;=7")</f>
        <v/>
      </c>
      <c r="H86" s="161" t="n"/>
      <c r="I86" s="56" t="n"/>
      <c r="J86" s="34">
        <f>IFERROR(TEXT(AVERAGEIF(E47:AI47, "&gt;=7"), "0.0") &amp; " hrs", "-")</f>
        <v/>
      </c>
      <c r="K86" s="161" t="n"/>
      <c r="L86" s="161" t="n"/>
      <c r="M86" s="56" t="n"/>
      <c r="N86" s="42">
        <f>IFERROR(AVERAGEIFS(E39:AI39, E47:AI47, "&gt;=7", E39:AI39, "&gt;0"), 0)</f>
        <v/>
      </c>
      <c r="O86" s="161" t="n"/>
      <c r="P86" s="161" t="n"/>
      <c r="Q86" s="56" t="n"/>
      <c r="R86" s="159" t="inlineStr">
        <is>
          <t>Baseline (Target)</t>
        </is>
      </c>
      <c r="S86" s="161" t="n"/>
      <c r="T86" s="161" t="n"/>
      <c r="U86" s="56" t="n"/>
    </row>
    <row r="87" ht="15" customHeight="1">
      <c r="A87" s="162" t="inlineStr">
        <is>
          <t>Sleep Deficit</t>
        </is>
      </c>
      <c r="B87" s="161" t="n"/>
      <c r="C87" s="56" t="n"/>
      <c r="D87" s="34" t="inlineStr">
        <is>
          <t>&lt; 7 Hours / Night</t>
        </is>
      </c>
      <c r="E87" s="161" t="n"/>
      <c r="F87" s="56" t="n"/>
      <c r="G87" s="33">
        <f>COUNTIF(E47:AI47, "&lt;7") - COUNTIF(E47:AI47, "")</f>
        <v/>
      </c>
      <c r="H87" s="161" t="n"/>
      <c r="I87" s="56" t="n"/>
      <c r="J87" s="34">
        <f>IFERROR(TEXT(AVERAGEIFS(E47:AI47, E47:AI47, "&lt;7", E47:AI47, "&gt;0"), "0.0") &amp; " hrs", "-")</f>
        <v/>
      </c>
      <c r="K87" s="161" t="n"/>
      <c r="L87" s="161" t="n"/>
      <c r="M87" s="56" t="n"/>
      <c r="N87" s="163">
        <f>IFERROR(AVERAGEIFS(E39:AI39, E47:AI47, "&lt;7", E39:AI39, "&gt;0"), 0)</f>
        <v/>
      </c>
      <c r="O87" s="161" t="n"/>
      <c r="P87" s="161" t="n"/>
      <c r="Q87" s="56" t="n"/>
      <c r="R87" s="160">
        <f>IFERROR(TEXT(N86 - N87, "+0.0%;-0.0%;0.0%") &amp; " Rest Advantage", "-")</f>
        <v/>
      </c>
      <c r="S87" s="161" t="n"/>
      <c r="T87" s="161" t="n"/>
      <c r="U87" s="56" t="n"/>
    </row>
    <row r="88" ht="18" customHeight="1">
      <c r="A88" s="164">
        <f>IF(AND(ISNUMBER(N86), ISNUMBER(N87), N86&gt;0, N87&gt;0), "💡 Sleep Correlation Insight: You complete " &amp; TEXT(ABS(N86-N87), "0.0%") &amp; IF(N86&gt;=N87, " MORE habits on days with 7+ hours of sleep!", " fewer habits on days with 7+ hours of sleep."), "💡 Log both habits and sleep hours daily to unlock automatic AI correlation insights!")</f>
        <v/>
      </c>
      <c r="B88" s="161" t="n"/>
      <c r="C88" s="161" t="n"/>
      <c r="D88" s="161" t="n"/>
      <c r="E88" s="161" t="n"/>
      <c r="F88" s="161" t="n"/>
      <c r="G88" s="161" t="n"/>
      <c r="H88" s="161" t="n"/>
      <c r="I88" s="161" t="n"/>
      <c r="J88" s="161" t="n"/>
      <c r="K88" s="161" t="n"/>
      <c r="L88" s="161" t="n"/>
      <c r="M88" s="161" t="n"/>
      <c r="N88" s="161" t="n"/>
      <c r="O88" s="161" t="n"/>
      <c r="P88" s="161" t="n"/>
      <c r="Q88" s="161" t="n"/>
      <c r="R88" s="161" t="n"/>
      <c r="S88" s="161" t="n"/>
      <c r="T88" s="161" t="n"/>
      <c r="U88" s="161" t="n"/>
      <c r="V88" s="161" t="n"/>
      <c r="W88" s="161" t="n"/>
      <c r="X88" s="161" t="n"/>
      <c r="Y88" s="161" t="n"/>
      <c r="Z88" s="161" t="n"/>
      <c r="AA88" s="161" t="n"/>
      <c r="AB88" s="161" t="n"/>
      <c r="AC88" s="161" t="n"/>
      <c r="AD88" s="161" t="n"/>
      <c r="AE88" s="161" t="n"/>
      <c r="AF88" s="161" t="n"/>
      <c r="AG88" s="161" t="n"/>
      <c r="AH88" s="161" t="n"/>
      <c r="AI88" s="161" t="n"/>
      <c r="AJ88" s="161" t="n"/>
      <c r="AK88" s="161" t="n"/>
      <c r="AL88" s="56" t="n"/>
    </row>
    <row r="89" ht="10" customHeight="1"/>
    <row r="90">
      <c r="A90" s="43" t="inlineStr">
        <is>
          <t>STANDARDIZED DATA BRIDGE (FOR ANNUAL &amp; QUARTERLY REVIEW SHEETS)</t>
        </is>
      </c>
      <c r="B90" s="44" t="n"/>
      <c r="C90" s="44" t="n"/>
      <c r="D90" s="44" t="n"/>
      <c r="E90" s="44" t="n"/>
      <c r="F90" s="44" t="n"/>
      <c r="G90" s="44" t="n"/>
      <c r="H90" s="44" t="n"/>
      <c r="I90" s="44" t="n"/>
      <c r="J90" s="44" t="n"/>
      <c r="K90" s="44" t="n"/>
      <c r="L90" s="44" t="n"/>
      <c r="M90" s="44" t="n"/>
      <c r="N90" s="44" t="n"/>
      <c r="O90" s="44" t="n"/>
      <c r="P90" s="44" t="n"/>
      <c r="Q90" s="44" t="n"/>
      <c r="R90" s="44" t="n"/>
      <c r="S90" s="44" t="n"/>
      <c r="T90" s="44" t="n"/>
      <c r="U90" s="44" t="n"/>
      <c r="V90" s="44" t="n"/>
      <c r="W90" s="44" t="n"/>
      <c r="X90" s="44" t="n"/>
      <c r="Y90" s="44" t="n"/>
      <c r="Z90" s="44" t="n"/>
      <c r="AA90" s="44" t="n"/>
      <c r="AB90" s="44" t="n"/>
      <c r="AC90" s="44" t="n"/>
      <c r="AD90" s="44" t="n"/>
      <c r="AE90" s="44" t="n"/>
      <c r="AF90" s="44" t="n"/>
      <c r="AG90" s="44" t="n"/>
      <c r="AH90" s="44" t="n"/>
      <c r="AI90" s="44" t="n"/>
      <c r="AJ90" s="44" t="n"/>
      <c r="AK90" s="44" t="n"/>
      <c r="AL90" s="44" t="n"/>
    </row>
    <row r="91" ht="15" customHeight="1">
      <c r="A91" s="53" t="inlineStr">
        <is>
          <t>Month</t>
        </is>
      </c>
      <c r="B91" s="54" t="n"/>
      <c r="C91" s="53" t="inlineStr">
        <is>
          <t>Year</t>
        </is>
      </c>
      <c r="D91" s="54" t="n"/>
      <c r="E91" s="53" t="inlineStr">
        <is>
          <t>Active Habits</t>
        </is>
      </c>
      <c r="F91" s="54" t="n"/>
      <c r="G91" s="53" t="inlineStr">
        <is>
          <t>Target Days</t>
        </is>
      </c>
      <c r="H91" s="54" t="n"/>
      <c r="I91" s="53" t="inlineStr">
        <is>
          <t>Done Checks</t>
        </is>
      </c>
      <c r="J91" s="54" t="n"/>
      <c r="K91" s="53" t="inlineStr">
        <is>
          <t>Success %</t>
        </is>
      </c>
      <c r="L91" s="54" t="n"/>
      <c r="M91" s="53" t="inlineStr">
        <is>
          <t>Perfect Days</t>
        </is>
      </c>
      <c r="N91" s="54" t="n"/>
      <c r="O91" s="53" t="inlineStr">
        <is>
          <t>Avg Sleep</t>
        </is>
      </c>
      <c r="P91" s="54" t="n"/>
      <c r="Q91" s="53" t="inlineStr">
        <is>
          <t>Best Week</t>
        </is>
      </c>
      <c r="R91" s="54" t="n"/>
      <c r="S91" s="54" t="n"/>
      <c r="T91" s="53" t="inlineStr">
        <is>
          <t>Top Life Domain</t>
        </is>
      </c>
      <c r="U91" s="54" t="n"/>
      <c r="V91" s="54" t="n"/>
      <c r="W91" s="54" t="n"/>
    </row>
    <row r="92" ht="16" customHeight="1">
      <c r="A92" s="165" t="inlineStr">
        <is>
          <t>Oct</t>
        </is>
      </c>
      <c r="B92" s="56" t="n"/>
      <c r="C92" s="165" t="n">
        <v>2028</v>
      </c>
      <c r="D92" s="56" t="n"/>
      <c r="E92" s="166">
        <f>COUNTA(B18:B37)</f>
        <v/>
      </c>
      <c r="F92" s="56" t="n"/>
      <c r="G92" s="166">
        <f>SUM(D18:D37)</f>
        <v/>
      </c>
      <c r="H92" s="56" t="n"/>
      <c r="I92" s="166">
        <f>SUM(AM18:AM37)</f>
        <v/>
      </c>
      <c r="J92" s="56" t="n"/>
      <c r="K92" s="167">
        <f>IF(G92&gt;0, I92/G92, 0)</f>
        <v/>
      </c>
      <c r="L92" s="56" t="n"/>
      <c r="M92" s="166">
        <f>COUNTIF(E39:AI39, 1)</f>
        <v/>
      </c>
      <c r="N92" s="56" t="n"/>
      <c r="O92" s="168">
        <f>IFERROR(AVERAGE(E47:AI47), 0)</f>
        <v/>
      </c>
      <c r="P92" s="56" t="n"/>
      <c r="Q92" s="166">
        <f>INDEX(A76:A80, MATCH(MAX(E76:E80), E76:E80, 0))</f>
        <v/>
      </c>
      <c r="R92" s="161" t="n"/>
      <c r="S92" s="56" t="n"/>
      <c r="T92" s="166">
        <f>INDEX(N76:N80, MATCH(MAX(S76:S80), S76:S80, 0))</f>
        <v/>
      </c>
      <c r="U92" s="161" t="n"/>
      <c r="V92" s="161" t="n"/>
      <c r="W92" s="56" t="n"/>
    </row>
    <row r="93" ht="14" customHeight="1">
      <c r="A93" s="169" t="inlineStr">
        <is>
          <t>📋 Note: Reference or copy Row 92 directly into an Annual / Quarterly review dashboard to track yearly habit trends.</t>
        </is>
      </c>
    </row>
    <row r="94" ht="8" customHeight="1"/>
    <row r="95">
      <c r="A95" s="170" t="inlineStr">
        <is>
          <t>🏆 MONTHLY WINS &amp; HIGHLIGHTS</t>
        </is>
      </c>
      <c r="J95" s="171" t="inlineStr">
        <is>
          <t>⚠️ FRICTION POINTS &amp; ROOT CAUSES</t>
        </is>
      </c>
      <c r="S95" s="172" t="inlineStr">
        <is>
          <t>🎯 3 KEY ADJUSTMENTS FOR NEXT MONTH</t>
        </is>
      </c>
    </row>
    <row r="96">
      <c r="A96" s="173" t="inlineStr">
        <is>
          <t>1. What went exceptionally well this month?
2. Which habit felt effortless and consistent?
3. Major milestone achieved:</t>
        </is>
      </c>
      <c r="B96" s="174" t="n"/>
      <c r="C96" s="174" t="n"/>
      <c r="D96" s="174" t="n"/>
      <c r="E96" s="174" t="n"/>
      <c r="F96" s="174" t="n"/>
      <c r="G96" s="174" t="n"/>
      <c r="H96" s="174" t="n"/>
      <c r="J96" s="175" t="inlineStr">
        <is>
          <t>1. What caused missed or skipped days?
2. Main triggers / energy drains encountered:
3. Which habit had the lowest consistency and why?</t>
        </is>
      </c>
      <c r="K96" s="176" t="n"/>
      <c r="L96" s="176" t="n"/>
      <c r="M96" s="176" t="n"/>
      <c r="N96" s="176" t="n"/>
      <c r="O96" s="176" t="n"/>
      <c r="P96" s="176" t="n"/>
      <c r="Q96" s="176" t="n"/>
      <c r="S96" s="177" t="inlineStr">
        <is>
          <t>1. Habit Stacking or time adjustment for next month:
2. Environment design change to eliminate friction:
3. One non-negotiable priority protocol:</t>
        </is>
      </c>
      <c r="T96" s="178" t="n"/>
      <c r="U96" s="178" t="n"/>
      <c r="V96" s="178" t="n"/>
      <c r="W96" s="178" t="n"/>
      <c r="X96" s="178" t="n"/>
      <c r="Y96" s="178" t="n"/>
      <c r="Z96" s="178" t="n"/>
    </row>
    <row r="97">
      <c r="A97" s="174" t="n"/>
      <c r="B97" s="174" t="n"/>
      <c r="C97" s="174" t="n"/>
      <c r="D97" s="174" t="n"/>
      <c r="E97" s="174" t="n"/>
      <c r="F97" s="174" t="n"/>
      <c r="G97" s="174" t="n"/>
      <c r="H97" s="174" t="n"/>
      <c r="J97" s="176" t="n"/>
      <c r="K97" s="176" t="n"/>
      <c r="L97" s="176" t="n"/>
      <c r="M97" s="176" t="n"/>
      <c r="N97" s="176" t="n"/>
      <c r="O97" s="176" t="n"/>
      <c r="P97" s="176" t="n"/>
      <c r="Q97" s="176" t="n"/>
      <c r="S97" s="178" t="n"/>
      <c r="T97" s="178" t="n"/>
      <c r="U97" s="178" t="n"/>
      <c r="V97" s="178" t="n"/>
      <c r="W97" s="178" t="n"/>
      <c r="X97" s="178" t="n"/>
      <c r="Y97" s="178" t="n"/>
      <c r="Z97" s="178" t="n"/>
    </row>
    <row r="98">
      <c r="A98" s="174" t="n"/>
      <c r="B98" s="174" t="n"/>
      <c r="C98" s="174" t="n"/>
      <c r="D98" s="174" t="n"/>
      <c r="E98" s="174" t="n"/>
      <c r="F98" s="174" t="n"/>
      <c r="G98" s="174" t="n"/>
      <c r="H98" s="174" t="n"/>
      <c r="J98" s="176" t="n"/>
      <c r="K98" s="176" t="n"/>
      <c r="L98" s="176" t="n"/>
      <c r="M98" s="176" t="n"/>
      <c r="N98" s="176" t="n"/>
      <c r="O98" s="176" t="n"/>
      <c r="P98" s="176" t="n"/>
      <c r="Q98" s="176" t="n"/>
      <c r="S98" s="178" t="n"/>
      <c r="T98" s="178" t="n"/>
      <c r="U98" s="178" t="n"/>
      <c r="V98" s="178" t="n"/>
      <c r="W98" s="178" t="n"/>
      <c r="X98" s="178" t="n"/>
      <c r="Y98" s="178" t="n"/>
      <c r="Z98" s="178" t="n"/>
    </row>
    <row r="99">
      <c r="A99" s="174" t="n"/>
      <c r="B99" s="174" t="n"/>
      <c r="C99" s="174" t="n"/>
      <c r="D99" s="174" t="n"/>
      <c r="E99" s="174" t="n"/>
      <c r="F99" s="174" t="n"/>
      <c r="G99" s="174" t="n"/>
      <c r="H99" s="174" t="n"/>
      <c r="J99" s="176" t="n"/>
      <c r="K99" s="176" t="n"/>
      <c r="L99" s="176" t="n"/>
      <c r="M99" s="176" t="n"/>
      <c r="N99" s="176" t="n"/>
      <c r="O99" s="176" t="n"/>
      <c r="P99" s="176" t="n"/>
      <c r="Q99" s="176" t="n"/>
      <c r="S99" s="178" t="n"/>
      <c r="T99" s="178" t="n"/>
      <c r="U99" s="178" t="n"/>
      <c r="V99" s="178" t="n"/>
      <c r="W99" s="178" t="n"/>
      <c r="X99" s="178" t="n"/>
      <c r="Y99" s="178" t="n"/>
      <c r="Z99" s="178" t="n"/>
    </row>
    <row r="100">
      <c r="A100" s="174" t="n"/>
      <c r="B100" s="174" t="n"/>
      <c r="C100" s="174" t="n"/>
      <c r="D100" s="174" t="n"/>
      <c r="E100" s="174" t="n"/>
      <c r="F100" s="174" t="n"/>
      <c r="G100" s="174" t="n"/>
      <c r="H100" s="174" t="n"/>
      <c r="J100" s="176" t="n"/>
      <c r="K100" s="176" t="n"/>
      <c r="L100" s="176" t="n"/>
      <c r="M100" s="176" t="n"/>
      <c r="N100" s="176" t="n"/>
      <c r="O100" s="176" t="n"/>
      <c r="P100" s="176" t="n"/>
      <c r="Q100" s="176" t="n"/>
      <c r="S100" s="178" t="n"/>
      <c r="T100" s="178" t="n"/>
      <c r="U100" s="178" t="n"/>
      <c r="V100" s="178" t="n"/>
      <c r="W100" s="178" t="n"/>
      <c r="X100" s="178" t="n"/>
      <c r="Y100" s="178" t="n"/>
      <c r="Z100" s="178" t="n"/>
    </row>
    <row r="101">
      <c r="A101" s="174" t="n"/>
      <c r="B101" s="174" t="n"/>
      <c r="C101" s="174" t="n"/>
      <c r="D101" s="174" t="n"/>
      <c r="E101" s="174" t="n"/>
      <c r="F101" s="174" t="n"/>
      <c r="G101" s="174" t="n"/>
      <c r="H101" s="174" t="n"/>
      <c r="J101" s="176" t="n"/>
      <c r="K101" s="176" t="n"/>
      <c r="L101" s="176" t="n"/>
      <c r="M101" s="176" t="n"/>
      <c r="N101" s="176" t="n"/>
      <c r="O101" s="176" t="n"/>
      <c r="P101" s="176" t="n"/>
      <c r="Q101" s="176" t="n"/>
      <c r="S101" s="178" t="n"/>
      <c r="T101" s="178" t="n"/>
      <c r="U101" s="178" t="n"/>
      <c r="V101" s="178" t="n"/>
      <c r="W101" s="178" t="n"/>
      <c r="X101" s="178" t="n"/>
      <c r="Y101" s="178" t="n"/>
      <c r="Z101" s="178" t="n"/>
    </row>
    <row r="102">
      <c r="A102" s="174" t="n"/>
      <c r="B102" s="174" t="n"/>
      <c r="C102" s="174" t="n"/>
      <c r="D102" s="174" t="n"/>
      <c r="E102" s="174" t="n"/>
      <c r="F102" s="174" t="n"/>
      <c r="G102" s="174" t="n"/>
      <c r="H102" s="174" t="n"/>
      <c r="J102" s="176" t="n"/>
      <c r="K102" s="176" t="n"/>
      <c r="L102" s="176" t="n"/>
      <c r="M102" s="176" t="n"/>
      <c r="N102" s="176" t="n"/>
      <c r="O102" s="176" t="n"/>
      <c r="P102" s="176" t="n"/>
      <c r="Q102" s="176" t="n"/>
      <c r="S102" s="178" t="n"/>
      <c r="T102" s="178" t="n"/>
      <c r="U102" s="178" t="n"/>
      <c r="V102" s="178" t="n"/>
      <c r="W102" s="178" t="n"/>
      <c r="X102" s="178" t="n"/>
      <c r="Y102" s="178" t="n"/>
      <c r="Z102" s="178" t="n"/>
    </row>
    <row r="103">
      <c r="A103" s="174" t="n"/>
      <c r="B103" s="174" t="n"/>
      <c r="C103" s="174" t="n"/>
      <c r="D103" s="174" t="n"/>
      <c r="E103" s="174" t="n"/>
      <c r="F103" s="174" t="n"/>
      <c r="G103" s="174" t="n"/>
      <c r="H103" s="174" t="n"/>
      <c r="J103" s="176" t="n"/>
      <c r="K103" s="176" t="n"/>
      <c r="L103" s="176" t="n"/>
      <c r="M103" s="176" t="n"/>
      <c r="N103" s="176" t="n"/>
      <c r="O103" s="176" t="n"/>
      <c r="P103" s="176" t="n"/>
      <c r="Q103" s="176" t="n"/>
      <c r="S103" s="178" t="n"/>
      <c r="T103" s="178" t="n"/>
      <c r="U103" s="178" t="n"/>
      <c r="V103" s="178" t="n"/>
      <c r="W103" s="178" t="n"/>
      <c r="X103" s="178" t="n"/>
      <c r="Y103" s="178" t="n"/>
      <c r="Z103" s="178" t="n"/>
    </row>
  </sheetData>
  <sheetProtection selectLockedCells="1" selectUnlockedCells="1" sheet="1" objects="0" insertRows="1" insertHyperlinks="1" autoFilter="1" scenarios="0" formatColumns="1" deleteColumns="1" insertColumns="1" pivotTables="1" deleteRows="1" formatCells="1" formatRows="1" sort="1"/>
  <mergeCells count="94">
    <mergeCell ref="A9:N9"/>
    <mergeCell ref="N76:O76"/>
    <mergeCell ref="F67:I67"/>
    <mergeCell ref="G87:I87"/>
    <mergeCell ref="A16:A17"/>
    <mergeCell ref="A45:D46"/>
    <mergeCell ref="C16:C17"/>
    <mergeCell ref="N75:O75"/>
    <mergeCell ref="N77:O77"/>
    <mergeCell ref="AE2:AL2"/>
    <mergeCell ref="P9:AL9"/>
    <mergeCell ref="P68:S70"/>
    <mergeCell ref="D16:D17"/>
    <mergeCell ref="N85:Q85"/>
    <mergeCell ref="A95:H95"/>
    <mergeCell ref="A84:AL84"/>
    <mergeCell ref="Q91:S91"/>
    <mergeCell ref="E91:F91"/>
    <mergeCell ref="A8:N8"/>
    <mergeCell ref="A42:AL42"/>
    <mergeCell ref="G91:H91"/>
    <mergeCell ref="J86:M86"/>
    <mergeCell ref="H3:AD3"/>
    <mergeCell ref="K67:N67"/>
    <mergeCell ref="S95:Z95"/>
    <mergeCell ref="N79:O79"/>
    <mergeCell ref="K92:L92"/>
    <mergeCell ref="C92:D92"/>
    <mergeCell ref="M92:N92"/>
    <mergeCell ref="F71:I71"/>
    <mergeCell ref="A88:AL88"/>
    <mergeCell ref="K68:N70"/>
    <mergeCell ref="T91:W91"/>
    <mergeCell ref="A41:AL41"/>
    <mergeCell ref="A90:AL90"/>
    <mergeCell ref="J95:Q95"/>
    <mergeCell ref="D85:F85"/>
    <mergeCell ref="N74:S74"/>
    <mergeCell ref="H2:AD2"/>
    <mergeCell ref="F68:I70"/>
    <mergeCell ref="A91:B91"/>
    <mergeCell ref="N78:O78"/>
    <mergeCell ref="C91:D91"/>
    <mergeCell ref="M91:N91"/>
    <mergeCell ref="O91:P91"/>
    <mergeCell ref="R86:U86"/>
    <mergeCell ref="N80:O80"/>
    <mergeCell ref="B16:B17"/>
    <mergeCell ref="A71:D71"/>
    <mergeCell ref="J85:M85"/>
    <mergeCell ref="D86:F86"/>
    <mergeCell ref="A92:B92"/>
    <mergeCell ref="N87:Q87"/>
    <mergeCell ref="A1:B1"/>
    <mergeCell ref="E92:F92"/>
    <mergeCell ref="AL16:AL17"/>
    <mergeCell ref="A68:D70"/>
    <mergeCell ref="P71:S71"/>
    <mergeCell ref="A86:C86"/>
    <mergeCell ref="D87:F87"/>
    <mergeCell ref="O92:P92"/>
    <mergeCell ref="A6:N6"/>
    <mergeCell ref="A39:D39"/>
    <mergeCell ref="P8:AL8"/>
    <mergeCell ref="P7:AL7"/>
    <mergeCell ref="G86:I86"/>
    <mergeCell ref="A96:H103"/>
    <mergeCell ref="P67:S67"/>
    <mergeCell ref="T92:W92"/>
    <mergeCell ref="R85:U85"/>
    <mergeCell ref="K71:N71"/>
    <mergeCell ref="S96:Z103"/>
    <mergeCell ref="A93:AL93"/>
    <mergeCell ref="A38:D38"/>
    <mergeCell ref="A67:D67"/>
    <mergeCell ref="I91:J91"/>
    <mergeCell ref="A85:C85"/>
    <mergeCell ref="K91:L91"/>
    <mergeCell ref="N86:Q86"/>
    <mergeCell ref="A7:N7"/>
    <mergeCell ref="P6:AL6"/>
    <mergeCell ref="A74:E74"/>
    <mergeCell ref="G85:I85"/>
    <mergeCell ref="G92:H92"/>
    <mergeCell ref="I92:J92"/>
    <mergeCell ref="R87:U87"/>
    <mergeCell ref="AK16:AK17"/>
    <mergeCell ref="J87:M87"/>
    <mergeCell ref="AJ16:AJ17"/>
    <mergeCell ref="J96:Q103"/>
    <mergeCell ref="A12:AL14"/>
    <mergeCell ref="Q92:S92"/>
    <mergeCell ref="A87:C87"/>
    <mergeCell ref="A47:D47"/>
  </mergeCells>
  <conditionalFormatting sqref="AJ18:AJ37">
    <cfRule type="dataBar" priority="1">
      <dataBar>
        <cfvo type="num" val="0"/>
        <cfvo type="num" val="1"/>
        <color rgb="0010B981"/>
      </dataBar>
    </cfRule>
  </conditionalFormatting>
  <conditionalFormatting sqref="E18:AI37">
    <cfRule type="cellIs" priority="2" operator="equal" dxfId="0">
      <formula>"✓"</formula>
    </cfRule>
    <cfRule type="cellIs" priority="3" operator="equal" dxfId="0">
      <formula>"✔"</formula>
    </cfRule>
    <cfRule type="cellIs" priority="4" operator="equal" dxfId="1">
      <formula>"✗"</formula>
    </cfRule>
    <cfRule type="cellIs" priority="5" operator="equal" dxfId="1">
      <formula>"x"</formula>
    </cfRule>
    <cfRule type="cellIs" priority="6" operator="equal" dxfId="1">
      <formula>"X"</formula>
    </cfRule>
  </conditionalFormatting>
  <conditionalFormatting sqref="E16:E17">
    <cfRule type="expression" priority="7" dxfId="2">
      <formula>AND(DAY(TODAY())=1, MONTH(TODAY())=10, YEAR(TODAY())=2028)</formula>
    </cfRule>
  </conditionalFormatting>
  <conditionalFormatting sqref="F16:F17">
    <cfRule type="expression" priority="8" dxfId="2">
      <formula>AND(DAY(TODAY())=2, MONTH(TODAY())=10, YEAR(TODAY())=2028)</formula>
    </cfRule>
  </conditionalFormatting>
  <conditionalFormatting sqref="G16:G17">
    <cfRule type="expression" priority="9" dxfId="2">
      <formula>AND(DAY(TODAY())=3, MONTH(TODAY())=10, YEAR(TODAY())=2028)</formula>
    </cfRule>
  </conditionalFormatting>
  <conditionalFormatting sqref="H16:H17">
    <cfRule type="expression" priority="10" dxfId="2">
      <formula>AND(DAY(TODAY())=4, MONTH(TODAY())=10, YEAR(TODAY())=2028)</formula>
    </cfRule>
  </conditionalFormatting>
  <conditionalFormatting sqref="I16:I17">
    <cfRule type="expression" priority="11" dxfId="2">
      <formula>AND(DAY(TODAY())=5, MONTH(TODAY())=10, YEAR(TODAY())=2028)</formula>
    </cfRule>
  </conditionalFormatting>
  <conditionalFormatting sqref="J16:J17">
    <cfRule type="expression" priority="12" dxfId="2">
      <formula>AND(DAY(TODAY())=6, MONTH(TODAY())=10, YEAR(TODAY())=2028)</formula>
    </cfRule>
  </conditionalFormatting>
  <conditionalFormatting sqref="K16:K17">
    <cfRule type="expression" priority="13" dxfId="2">
      <formula>AND(DAY(TODAY())=7, MONTH(TODAY())=10, YEAR(TODAY())=2028)</formula>
    </cfRule>
  </conditionalFormatting>
  <conditionalFormatting sqref="L16:L17">
    <cfRule type="expression" priority="14" dxfId="2">
      <formula>AND(DAY(TODAY())=8, MONTH(TODAY())=10, YEAR(TODAY())=2028)</formula>
    </cfRule>
  </conditionalFormatting>
  <conditionalFormatting sqref="M16:M17">
    <cfRule type="expression" priority="15" dxfId="2">
      <formula>AND(DAY(TODAY())=9, MONTH(TODAY())=10, YEAR(TODAY())=2028)</formula>
    </cfRule>
  </conditionalFormatting>
  <conditionalFormatting sqref="N16:N17">
    <cfRule type="expression" priority="16" dxfId="2">
      <formula>AND(DAY(TODAY())=10, MONTH(TODAY())=10, YEAR(TODAY())=2028)</formula>
    </cfRule>
  </conditionalFormatting>
  <conditionalFormatting sqref="O16:O17">
    <cfRule type="expression" priority="17" dxfId="2">
      <formula>AND(DAY(TODAY())=11, MONTH(TODAY())=10, YEAR(TODAY())=2028)</formula>
    </cfRule>
  </conditionalFormatting>
  <conditionalFormatting sqref="P16:P17">
    <cfRule type="expression" priority="18" dxfId="2">
      <formula>AND(DAY(TODAY())=12, MONTH(TODAY())=10, YEAR(TODAY())=2028)</formula>
    </cfRule>
  </conditionalFormatting>
  <conditionalFormatting sqref="Q16:Q17">
    <cfRule type="expression" priority="19" dxfId="2">
      <formula>AND(DAY(TODAY())=13, MONTH(TODAY())=10, YEAR(TODAY())=2028)</formula>
    </cfRule>
  </conditionalFormatting>
  <conditionalFormatting sqref="R16:R17">
    <cfRule type="expression" priority="20" dxfId="2">
      <formula>AND(DAY(TODAY())=14, MONTH(TODAY())=10, YEAR(TODAY())=2028)</formula>
    </cfRule>
  </conditionalFormatting>
  <conditionalFormatting sqref="S16:S17">
    <cfRule type="expression" priority="21" dxfId="2">
      <formula>AND(DAY(TODAY())=15, MONTH(TODAY())=10, YEAR(TODAY())=2028)</formula>
    </cfRule>
  </conditionalFormatting>
  <conditionalFormatting sqref="T16:T17">
    <cfRule type="expression" priority="22" dxfId="2">
      <formula>AND(DAY(TODAY())=16, MONTH(TODAY())=10, YEAR(TODAY())=2028)</formula>
    </cfRule>
  </conditionalFormatting>
  <conditionalFormatting sqref="U16:U17">
    <cfRule type="expression" priority="23" dxfId="2">
      <formula>AND(DAY(TODAY())=17, MONTH(TODAY())=10, YEAR(TODAY())=2028)</formula>
    </cfRule>
  </conditionalFormatting>
  <conditionalFormatting sqref="V16:V17">
    <cfRule type="expression" priority="24" dxfId="2">
      <formula>AND(DAY(TODAY())=18, MONTH(TODAY())=10, YEAR(TODAY())=2028)</formula>
    </cfRule>
  </conditionalFormatting>
  <conditionalFormatting sqref="W16:W17">
    <cfRule type="expression" priority="25" dxfId="2">
      <formula>AND(DAY(TODAY())=19, MONTH(TODAY())=10, YEAR(TODAY())=2028)</formula>
    </cfRule>
  </conditionalFormatting>
  <conditionalFormatting sqref="X16:X17">
    <cfRule type="expression" priority="26" dxfId="2">
      <formula>AND(DAY(TODAY())=20, MONTH(TODAY())=10, YEAR(TODAY())=2028)</formula>
    </cfRule>
  </conditionalFormatting>
  <conditionalFormatting sqref="Y16:Y17">
    <cfRule type="expression" priority="27" dxfId="2">
      <formula>AND(DAY(TODAY())=21, MONTH(TODAY())=10, YEAR(TODAY())=2028)</formula>
    </cfRule>
  </conditionalFormatting>
  <conditionalFormatting sqref="Z16:Z17">
    <cfRule type="expression" priority="28" dxfId="2">
      <formula>AND(DAY(TODAY())=22, MONTH(TODAY())=10, YEAR(TODAY())=2028)</formula>
    </cfRule>
  </conditionalFormatting>
  <conditionalFormatting sqref="AA16:AA17">
    <cfRule type="expression" priority="29" dxfId="2">
      <formula>AND(DAY(TODAY())=23, MONTH(TODAY())=10, YEAR(TODAY())=2028)</formula>
    </cfRule>
  </conditionalFormatting>
  <conditionalFormatting sqref="AB16:AB17">
    <cfRule type="expression" priority="30" dxfId="2">
      <formula>AND(DAY(TODAY())=24, MONTH(TODAY())=10, YEAR(TODAY())=2028)</formula>
    </cfRule>
  </conditionalFormatting>
  <conditionalFormatting sqref="AC16:AC17">
    <cfRule type="expression" priority="31" dxfId="2">
      <formula>AND(DAY(TODAY())=25, MONTH(TODAY())=10, YEAR(TODAY())=2028)</formula>
    </cfRule>
  </conditionalFormatting>
  <conditionalFormatting sqref="AD16:AD17">
    <cfRule type="expression" priority="32" dxfId="2">
      <formula>AND(DAY(TODAY())=26, MONTH(TODAY())=10, YEAR(TODAY())=2028)</formula>
    </cfRule>
  </conditionalFormatting>
  <conditionalFormatting sqref="AE16:AE17">
    <cfRule type="expression" priority="33" dxfId="2">
      <formula>AND(DAY(TODAY())=27, MONTH(TODAY())=10, YEAR(TODAY())=2028)</formula>
    </cfRule>
  </conditionalFormatting>
  <conditionalFormatting sqref="AF16:AF17">
    <cfRule type="expression" priority="34" dxfId="2">
      <formula>AND(DAY(TODAY())=28, MONTH(TODAY())=10, YEAR(TODAY())=2028)</formula>
    </cfRule>
  </conditionalFormatting>
  <conditionalFormatting sqref="AG16:AG17">
    <cfRule type="expression" priority="35" dxfId="2">
      <formula>AND(DAY(TODAY())=29, MONTH(TODAY())=10, YEAR(TODAY())=2028)</formula>
    </cfRule>
  </conditionalFormatting>
  <conditionalFormatting sqref="AH16:AH17">
    <cfRule type="expression" priority="36" dxfId="2">
      <formula>AND(DAY(TODAY())=30, MONTH(TODAY())=10, YEAR(TODAY())=2028)</formula>
    </cfRule>
  </conditionalFormatting>
  <conditionalFormatting sqref="AI16:AI17">
    <cfRule type="expression" priority="37" dxfId="2">
      <formula>AND(DAY(TODAY())=31, MONTH(TODAY())=10, YEAR(TODAY())=2028)</formula>
    </cfRule>
  </conditionalFormatting>
  <dataValidations count="4">
    <dataValidation sqref="C18:C37" showDropDown="0" showInputMessage="0" showErrorMessage="0" allowBlank="1" type="list">
      <formula1>"Health &amp; Fitness,Mindset &amp; Learning,Career &amp; Focus,Personal &amp; Home,Finance &amp; Wealth,Other"</formula1>
    </dataValidation>
    <dataValidation sqref="D18:D37" showDropDown="0" showInputMessage="0" showErrorMessage="0" allowBlank="1" type="list">
      <formula1>"1,2,3,4,5,6,7,8,9,10,11,12,13,14,15,16,17,18,19,20,21,22,23,24,25,26,27,28,29,30,31"</formula1>
    </dataValidation>
    <dataValidation sqref="E18:AI37" showDropDown="0" showInputMessage="0" showErrorMessage="0" allowBlank="1" type="list">
      <formula1>"✓,✗"</formula1>
    </dataValidation>
    <dataValidation sqref="E47:AI47" showDropDown="0" showInputMessage="0" showErrorMessage="0" allowBlank="1" type="list">
      <formula1>"1,2,3,4,5,6,7,8,9,10,11,12,13,14,15,16,17,18,19,20,21,22,23,24"</formula1>
    </dataValidation>
  </dataValidations>
  <hyperlinks>
    <hyperlink xmlns:r="http://schemas.openxmlformats.org/officeDocument/2006/relationships" ref="A1" r:id="rId1"/>
    <hyperlink xmlns:r="http://schemas.openxmlformats.org/officeDocument/2006/relationships" ref="C1" r:id="rId2"/>
    <hyperlink xmlns:r="http://schemas.openxmlformats.org/officeDocument/2006/relationships" ref="D1" r:id="rId3"/>
    <hyperlink xmlns:r="http://schemas.openxmlformats.org/officeDocument/2006/relationships" ref="E1" r:id="rId4"/>
    <hyperlink xmlns:r="http://schemas.openxmlformats.org/officeDocument/2006/relationships" ref="F1" r:id="rId5"/>
    <hyperlink xmlns:r="http://schemas.openxmlformats.org/officeDocument/2006/relationships" ref="G1" r:id="rId6"/>
    <hyperlink xmlns:r="http://schemas.openxmlformats.org/officeDocument/2006/relationships" ref="H1" r:id="rId7"/>
    <hyperlink xmlns:r="http://schemas.openxmlformats.org/officeDocument/2006/relationships" ref="I1" r:id="rId8"/>
    <hyperlink xmlns:r="http://schemas.openxmlformats.org/officeDocument/2006/relationships" ref="J1" r:id="rId9"/>
    <hyperlink xmlns:r="http://schemas.openxmlformats.org/officeDocument/2006/relationships" ref="K1" r:id="rId10"/>
  </hyperlinks>
  <printOptions horizontalCentered="1" verticalCentered="0"/>
  <pageMargins left="0.75" right="0.75" top="1" bottom="1" header="0.5" footer="0.5"/>
  <pageSetup orientation="landscape" paperSize="9" fitToHeight="0" fitToWidth="1"/>
  <drawing xmlns:r="http://schemas.openxmlformats.org/officeDocument/2006/relationships" r:id="rId11"/>
</worksheet>
</file>

<file path=xl/worksheets/sheet30.xml><?xml version="1.0" encoding="utf-8"?>
<worksheet xmlns="http://schemas.openxmlformats.org/spreadsheetml/2006/main">
  <sheetPr>
    <outlinePr summaryBelow="1" summaryRight="1"/>
    <pageSetUpPr fitToPage="1"/>
  </sheetPr>
  <dimension ref="A1:AL103"/>
  <sheetViews>
    <sheetView showGridLines="1" workbookViewId="0">
      <selection activeCell="A1" sqref="A1"/>
    </sheetView>
  </sheetViews>
  <sheetFormatPr baseColWidth="8" defaultRowHeight="15"/>
  <cols>
    <col width="6" customWidth="1" min="1" max="1"/>
    <col width="25" customWidth="1" min="2" max="2"/>
    <col width="16.5" customWidth="1" min="3" max="3"/>
    <col width="8" customWidth="1" min="4" max="4"/>
    <col width="4.8" customWidth="1" min="5" max="5"/>
    <col width="4.8" customWidth="1" min="6" max="6"/>
    <col width="4.8" customWidth="1" min="7" max="7"/>
    <col width="4.8" customWidth="1" min="8" max="8"/>
    <col width="4.8" customWidth="1" min="9" max="9"/>
    <col width="4.8" customWidth="1" min="10" max="10"/>
    <col width="4.8" customWidth="1" min="11" max="11"/>
    <col width="4.8" customWidth="1" min="12" max="12"/>
    <col width="4.8" customWidth="1" min="13" max="13"/>
    <col width="4.8" customWidth="1" min="14" max="14"/>
    <col width="4.8" customWidth="1" min="15" max="15"/>
    <col width="4.8" customWidth="1" min="16" max="16"/>
    <col width="4.8" customWidth="1" min="17" max="17"/>
    <col width="4.8" customWidth="1" min="18" max="18"/>
    <col width="4.8" customWidth="1" min="19" max="19"/>
    <col width="4.8" customWidth="1" min="20" max="20"/>
    <col width="4.8" customWidth="1" min="21" max="21"/>
    <col width="4.8" customWidth="1" min="22" max="22"/>
    <col width="4.8" customWidth="1" min="23" max="23"/>
    <col width="4.8" customWidth="1" min="24" max="24"/>
    <col width="4.8" customWidth="1" min="25" max="25"/>
    <col width="4.8" customWidth="1" min="26" max="26"/>
    <col width="4.8" customWidth="1" min="27" max="27"/>
    <col width="4.8" customWidth="1" min="28" max="28"/>
    <col width="4.8" customWidth="1" min="29" max="29"/>
    <col width="4.8" customWidth="1" min="30" max="30"/>
    <col width="4.8" customWidth="1" min="31" max="31"/>
    <col width="4.8" customWidth="1" min="32" max="32"/>
    <col width="4.8" customWidth="1" min="33" max="33"/>
    <col width="4.8" customWidth="1" min="34" max="34"/>
    <col width="11.5" customWidth="1" min="35" max="35"/>
    <col width="12" customWidth="1" min="36" max="36"/>
    <col width="13.5" customWidth="1" min="37" max="37"/>
    <col hidden="1" width="8" customWidth="1" min="38" max="38"/>
  </cols>
  <sheetData>
    <row r="1" ht="18" customHeight="1">
      <c r="A1" s="76" t="inlineStr">
        <is>
          <t>🏠 Master Dashboard</t>
        </is>
      </c>
      <c r="B1" s="40" t="n"/>
      <c r="C1" s="77" t="inlineStr">
        <is>
          <t>🏛️ Quarterly Hub</t>
        </is>
      </c>
      <c r="D1" s="78" t="inlineStr">
        <is>
          <t>📚 Habit Library</t>
        </is>
      </c>
      <c r="E1" s="80" t="inlineStr">
        <is>
          <t>2026</t>
        </is>
      </c>
      <c r="F1" s="80" t="inlineStr">
        <is>
          <t>2027</t>
        </is>
      </c>
      <c r="G1" s="79" t="inlineStr">
        <is>
          <t>2028</t>
        </is>
      </c>
      <c r="H1" s="80" t="inlineStr">
        <is>
          <t>2029</t>
        </is>
      </c>
      <c r="I1" s="80" t="inlineStr">
        <is>
          <t>2030</t>
        </is>
      </c>
      <c r="J1" s="82" t="inlineStr">
        <is>
          <t>◀ Prev</t>
        </is>
      </c>
      <c r="K1" s="82" t="inlineStr">
        <is>
          <t>Next ▶</t>
        </is>
      </c>
    </row>
    <row r="2" ht="24" customHeight="1">
      <c r="A2" s="83" t="inlineStr">
        <is>
          <t>Habit Tracker</t>
        </is>
      </c>
      <c r="H2" s="84" t="inlineStr">
        <is>
          <t>"Focus on the process."</t>
        </is>
      </c>
      <c r="AD2" s="85" t="inlineStr">
        <is>
          <t>@surajvansh</t>
        </is>
      </c>
    </row>
    <row r="3" ht="18" customHeight="1">
      <c r="A3" s="86" t="inlineStr">
        <is>
          <t>November 2028</t>
        </is>
      </c>
      <c r="H3" s="87" t="inlineStr">
        <is>
          <t>30 Days Dashboard</t>
        </is>
      </c>
    </row>
    <row r="4" ht="5" customHeight="1"/>
    <row r="5" ht="16" customHeight="1">
      <c r="A5" s="88" t="inlineStr">
        <is>
          <t>MONTHLY TARGETS</t>
        </is>
      </c>
    </row>
    <row r="6" ht="13" customHeight="1">
      <c r="A6" s="89" t="inlineStr">
        <is>
          <t>1. ____________________ : ____________________</t>
        </is>
      </c>
      <c r="P6" s="89" t="inlineStr">
        <is>
          <t>5. ____________________ : ____________________</t>
        </is>
      </c>
    </row>
    <row r="7" ht="13" customHeight="1">
      <c r="A7" s="89" t="inlineStr">
        <is>
          <t>2. ____________________ : ____________________</t>
        </is>
      </c>
      <c r="P7" s="89" t="inlineStr">
        <is>
          <t>6. ____________________ : ____________________</t>
        </is>
      </c>
    </row>
    <row r="8" ht="13" customHeight="1">
      <c r="A8" s="89" t="inlineStr">
        <is>
          <t>3. ____________________ : ____________________</t>
        </is>
      </c>
      <c r="P8" s="89" t="inlineStr">
        <is>
          <t>7. ____________________ : ____________________</t>
        </is>
      </c>
    </row>
    <row r="9" ht="13" customHeight="1">
      <c r="A9" s="89" t="inlineStr">
        <is>
          <t>4. ____________________ : ____________________</t>
        </is>
      </c>
      <c r="P9" s="89" t="inlineStr">
        <is>
          <t>8. ____________________ : ____________________</t>
        </is>
      </c>
    </row>
    <row r="10" ht="5" customHeight="1"/>
    <row r="11" ht="15" customHeight="1">
      <c r="A11" s="88" t="inlineStr">
        <is>
          <t>NOTES:</t>
        </is>
      </c>
    </row>
    <row r="12" ht="13" customHeight="1">
      <c r="A12" s="90" t="n"/>
      <c r="B12" s="91" t="n"/>
      <c r="C12" s="91" t="n"/>
      <c r="D12" s="91" t="n"/>
      <c r="E12" s="91" t="n"/>
      <c r="F12" s="91" t="n"/>
      <c r="G12" s="91" t="n"/>
      <c r="H12" s="91" t="n"/>
      <c r="I12" s="91" t="n"/>
      <c r="J12" s="91" t="n"/>
      <c r="K12" s="91" t="n"/>
      <c r="L12" s="91" t="n"/>
      <c r="M12" s="91" t="n"/>
      <c r="N12" s="91" t="n"/>
      <c r="O12" s="91" t="n"/>
      <c r="P12" s="91" t="n"/>
      <c r="Q12" s="91" t="n"/>
      <c r="R12" s="91" t="n"/>
      <c r="S12" s="91" t="n"/>
      <c r="T12" s="91" t="n"/>
      <c r="U12" s="91" t="n"/>
      <c r="V12" s="91" t="n"/>
      <c r="W12" s="91" t="n"/>
      <c r="X12" s="91" t="n"/>
      <c r="Y12" s="91" t="n"/>
      <c r="Z12" s="91" t="n"/>
      <c r="AA12" s="91" t="n"/>
      <c r="AB12" s="91" t="n"/>
      <c r="AC12" s="91" t="n"/>
      <c r="AD12" s="91" t="n"/>
      <c r="AE12" s="91" t="n"/>
      <c r="AF12" s="91" t="n"/>
      <c r="AG12" s="91" t="n"/>
      <c r="AH12" s="91" t="n"/>
      <c r="AI12" s="91" t="n"/>
      <c r="AJ12" s="91" t="n"/>
      <c r="AK12" s="91" t="n"/>
    </row>
    <row r="13" ht="13" customHeight="1">
      <c r="A13" s="91" t="n"/>
      <c r="B13" s="91" t="n"/>
      <c r="C13" s="91" t="n"/>
      <c r="D13" s="91" t="n"/>
      <c r="E13" s="91" t="n"/>
      <c r="F13" s="91" t="n"/>
      <c r="G13" s="91" t="n"/>
      <c r="H13" s="91" t="n"/>
      <c r="I13" s="91" t="n"/>
      <c r="J13" s="91" t="n"/>
      <c r="K13" s="91" t="n"/>
      <c r="L13" s="91" t="n"/>
      <c r="M13" s="91" t="n"/>
      <c r="N13" s="91" t="n"/>
      <c r="O13" s="91" t="n"/>
      <c r="P13" s="91" t="n"/>
      <c r="Q13" s="91" t="n"/>
      <c r="R13" s="91" t="n"/>
      <c r="S13" s="91" t="n"/>
      <c r="T13" s="91" t="n"/>
      <c r="U13" s="91" t="n"/>
      <c r="V13" s="91" t="n"/>
      <c r="W13" s="91" t="n"/>
      <c r="X13" s="91" t="n"/>
      <c r="Y13" s="91" t="n"/>
      <c r="Z13" s="91" t="n"/>
      <c r="AA13" s="91" t="n"/>
      <c r="AB13" s="91" t="n"/>
      <c r="AC13" s="91" t="n"/>
      <c r="AD13" s="91" t="n"/>
      <c r="AE13" s="91" t="n"/>
      <c r="AF13" s="91" t="n"/>
      <c r="AG13" s="91" t="n"/>
      <c r="AH13" s="91" t="n"/>
      <c r="AI13" s="91" t="n"/>
      <c r="AJ13" s="91" t="n"/>
      <c r="AK13" s="91" t="n"/>
    </row>
    <row r="14" ht="13" customHeight="1">
      <c r="A14" s="91" t="n"/>
      <c r="B14" s="91" t="n"/>
      <c r="C14" s="91" t="n"/>
      <c r="D14" s="91" t="n"/>
      <c r="E14" s="91" t="n"/>
      <c r="F14" s="91" t="n"/>
      <c r="G14" s="91" t="n"/>
      <c r="H14" s="91" t="n"/>
      <c r="I14" s="91" t="n"/>
      <c r="J14" s="91" t="n"/>
      <c r="K14" s="91" t="n"/>
      <c r="L14" s="91" t="n"/>
      <c r="M14" s="91" t="n"/>
      <c r="N14" s="91" t="n"/>
      <c r="O14" s="91" t="n"/>
      <c r="P14" s="91" t="n"/>
      <c r="Q14" s="91" t="n"/>
      <c r="R14" s="91" t="n"/>
      <c r="S14" s="91" t="n"/>
      <c r="T14" s="91" t="n"/>
      <c r="U14" s="91" t="n"/>
      <c r="V14" s="91" t="n"/>
      <c r="W14" s="91" t="n"/>
      <c r="X14" s="91" t="n"/>
      <c r="Y14" s="91" t="n"/>
      <c r="Z14" s="91" t="n"/>
      <c r="AA14" s="91" t="n"/>
      <c r="AB14" s="91" t="n"/>
      <c r="AC14" s="91" t="n"/>
      <c r="AD14" s="91" t="n"/>
      <c r="AE14" s="91" t="n"/>
      <c r="AF14" s="91" t="n"/>
      <c r="AG14" s="91" t="n"/>
      <c r="AH14" s="91" t="n"/>
      <c r="AI14" s="91" t="n"/>
      <c r="AJ14" s="91" t="n"/>
      <c r="AK14" s="91" t="n"/>
    </row>
    <row r="15" ht="8" customHeight="1"/>
    <row r="16" ht="15" customHeight="1">
      <c r="A16" s="33" t="inlineStr">
        <is>
          <t>S.No.</t>
        </is>
      </c>
      <c r="B16" s="33" t="inlineStr">
        <is>
          <t>Protocols</t>
        </is>
      </c>
      <c r="C16" s="33" t="inlineStr">
        <is>
          <t>Category</t>
        </is>
      </c>
      <c r="D16" s="33" t="inlineStr">
        <is>
          <t>Target</t>
        </is>
      </c>
      <c r="E16" s="92" t="n">
        <v>1</v>
      </c>
      <c r="F16" s="92" t="n">
        <v>2</v>
      </c>
      <c r="G16" s="92" t="n">
        <v>3</v>
      </c>
      <c r="H16" s="92" t="n">
        <v>4</v>
      </c>
      <c r="I16" s="93" t="n">
        <v>5</v>
      </c>
      <c r="J16" s="92" t="n">
        <v>6</v>
      </c>
      <c r="K16" s="92" t="n">
        <v>7</v>
      </c>
      <c r="L16" s="92" t="n">
        <v>8</v>
      </c>
      <c r="M16" s="92" t="n">
        <v>9</v>
      </c>
      <c r="N16" s="92" t="n">
        <v>10</v>
      </c>
      <c r="O16" s="92" t="n">
        <v>11</v>
      </c>
      <c r="P16" s="93" t="n">
        <v>12</v>
      </c>
      <c r="Q16" s="92" t="n">
        <v>13</v>
      </c>
      <c r="R16" s="92" t="n">
        <v>14</v>
      </c>
      <c r="S16" s="92" t="n">
        <v>15</v>
      </c>
      <c r="T16" s="92" t="n">
        <v>16</v>
      </c>
      <c r="U16" s="92" t="n">
        <v>17</v>
      </c>
      <c r="V16" s="92" t="n">
        <v>18</v>
      </c>
      <c r="W16" s="93" t="n">
        <v>19</v>
      </c>
      <c r="X16" s="92" t="n">
        <v>20</v>
      </c>
      <c r="Y16" s="92" t="n">
        <v>21</v>
      </c>
      <c r="Z16" s="92" t="n">
        <v>22</v>
      </c>
      <c r="AA16" s="92" t="n">
        <v>23</v>
      </c>
      <c r="AB16" s="92" t="n">
        <v>24</v>
      </c>
      <c r="AC16" s="92" t="n">
        <v>25</v>
      </c>
      <c r="AD16" s="93" t="n">
        <v>26</v>
      </c>
      <c r="AE16" s="92" t="n">
        <v>27</v>
      </c>
      <c r="AF16" s="92" t="n">
        <v>28</v>
      </c>
      <c r="AG16" s="92" t="n">
        <v>29</v>
      </c>
      <c r="AH16" s="92" t="n">
        <v>30</v>
      </c>
      <c r="AI16" s="94" t="inlineStr">
        <is>
          <t>Success %</t>
        </is>
      </c>
      <c r="AJ16" s="94" t="inlineStr">
        <is>
          <t>Done / Target</t>
        </is>
      </c>
      <c r="AK16" s="94" t="inlineStr">
        <is>
          <t>Status</t>
        </is>
      </c>
      <c r="AL16" t="inlineStr">
        <is>
          <t>Done Count</t>
        </is>
      </c>
    </row>
    <row r="17" ht="15" customHeight="1">
      <c r="A17" s="54" t="n"/>
      <c r="B17" s="54" t="n"/>
      <c r="C17" s="54" t="n"/>
      <c r="D17" s="54" t="n"/>
      <c r="E17" s="95" t="inlineStr">
        <is>
          <t>W</t>
        </is>
      </c>
      <c r="F17" s="95" t="inlineStr">
        <is>
          <t>Th</t>
        </is>
      </c>
      <c r="G17" s="95" t="inlineStr">
        <is>
          <t>F</t>
        </is>
      </c>
      <c r="H17" s="95" t="inlineStr">
        <is>
          <t>Sa</t>
        </is>
      </c>
      <c r="I17" s="96" t="inlineStr">
        <is>
          <t>Su</t>
        </is>
      </c>
      <c r="J17" s="95" t="inlineStr">
        <is>
          <t>M</t>
        </is>
      </c>
      <c r="K17" s="95" t="inlineStr">
        <is>
          <t>T</t>
        </is>
      </c>
      <c r="L17" s="95" t="inlineStr">
        <is>
          <t>W</t>
        </is>
      </c>
      <c r="M17" s="95" t="inlineStr">
        <is>
          <t>Th</t>
        </is>
      </c>
      <c r="N17" s="95" t="inlineStr">
        <is>
          <t>F</t>
        </is>
      </c>
      <c r="O17" s="95" t="inlineStr">
        <is>
          <t>Sa</t>
        </is>
      </c>
      <c r="P17" s="96" t="inlineStr">
        <is>
          <t>Su</t>
        </is>
      </c>
      <c r="Q17" s="95" t="inlineStr">
        <is>
          <t>M</t>
        </is>
      </c>
      <c r="R17" s="95" t="inlineStr">
        <is>
          <t>T</t>
        </is>
      </c>
      <c r="S17" s="95" t="inlineStr">
        <is>
          <t>W</t>
        </is>
      </c>
      <c r="T17" s="95" t="inlineStr">
        <is>
          <t>Th</t>
        </is>
      </c>
      <c r="U17" s="95" t="inlineStr">
        <is>
          <t>F</t>
        </is>
      </c>
      <c r="V17" s="95" t="inlineStr">
        <is>
          <t>Sa</t>
        </is>
      </c>
      <c r="W17" s="96" t="inlineStr">
        <is>
          <t>Su</t>
        </is>
      </c>
      <c r="X17" s="95" t="inlineStr">
        <is>
          <t>M</t>
        </is>
      </c>
      <c r="Y17" s="95" t="inlineStr">
        <is>
          <t>T</t>
        </is>
      </c>
      <c r="Z17" s="95" t="inlineStr">
        <is>
          <t>W</t>
        </is>
      </c>
      <c r="AA17" s="95" t="inlineStr">
        <is>
          <t>Th</t>
        </is>
      </c>
      <c r="AB17" s="95" t="inlineStr">
        <is>
          <t>F</t>
        </is>
      </c>
      <c r="AC17" s="95" t="inlineStr">
        <is>
          <t>Sa</t>
        </is>
      </c>
      <c r="AD17" s="96" t="inlineStr">
        <is>
          <t>Su</t>
        </is>
      </c>
      <c r="AE17" s="95" t="inlineStr">
        <is>
          <t>M</t>
        </is>
      </c>
      <c r="AF17" s="95" t="inlineStr">
        <is>
          <t>T</t>
        </is>
      </c>
      <c r="AG17" s="95" t="inlineStr">
        <is>
          <t>W</t>
        </is>
      </c>
      <c r="AH17" s="95" t="inlineStr">
        <is>
          <t>Th</t>
        </is>
      </c>
      <c r="AI17" s="54" t="n"/>
      <c r="AJ17" s="54" t="n"/>
      <c r="AK17" s="54" t="n"/>
    </row>
    <row r="18" ht="14.5" customHeight="1">
      <c r="A18" s="97" t="n">
        <v>1</v>
      </c>
      <c r="B18" s="98" t="n"/>
      <c r="C18" s="99" t="n"/>
      <c r="D18" s="99" t="n"/>
      <c r="E18" s="100" t="n"/>
      <c r="F18" s="100" t="n"/>
      <c r="G18" s="100" t="n"/>
      <c r="H18" s="100" t="n"/>
      <c r="I18" s="101" t="n"/>
      <c r="J18" s="100" t="n"/>
      <c r="K18" s="100" t="n"/>
      <c r="L18" s="100" t="n"/>
      <c r="M18" s="100" t="n"/>
      <c r="N18" s="100" t="n"/>
      <c r="O18" s="100" t="n"/>
      <c r="P18" s="101" t="n"/>
      <c r="Q18" s="100" t="n"/>
      <c r="R18" s="100" t="n"/>
      <c r="S18" s="100" t="n"/>
      <c r="T18" s="100" t="n"/>
      <c r="U18" s="100" t="n"/>
      <c r="V18" s="100" t="n"/>
      <c r="W18" s="101" t="n"/>
      <c r="X18" s="100" t="n"/>
      <c r="Y18" s="100" t="n"/>
      <c r="Z18" s="100" t="n"/>
      <c r="AA18" s="100" t="n"/>
      <c r="AB18" s="100" t="n"/>
      <c r="AC18" s="100" t="n"/>
      <c r="AD18" s="101" t="n"/>
      <c r="AE18" s="100" t="n"/>
      <c r="AF18" s="100" t="n"/>
      <c r="AG18" s="100" t="n"/>
      <c r="AH18" s="100" t="n"/>
      <c r="AI18" s="102">
        <f>IF(ISBLANK(B18), "", IF(ISNUMBER(D18), IF(D18&gt;0, (COUNTIF(E18:AH18, "✓") + COUNTIF(E18:AH18, "✔") + COUNTIF(E18:AH18, "v") + COUNTIF(E18:AH18, "V"))/D18, 0), IF(((COUNTIF(E18:AH18, "✓") + COUNTIF(E18:AH18, "✔") + COUNTIF(E18:AH18, "v") + COUNTIF(E18:AH18, "V")) + COUNTIF(E18:AH18, "✗") + COUNTIF(E18:AH18, "x") + COUNTIF(E18:AH18, "X"))&gt;0, (COUNTIF(E18:AH18, "✓") + COUNTIF(E18:AH18, "✔") + COUNTIF(E18:AH18, "v") + COUNTIF(E18:AH18, "V"))/((COUNTIF(E18:AH18, "✓") + COUNTIF(E18:AH18, "✔") + COUNTIF(E18:AH18, "v") + COUNTIF(E18:AH18, "V")) + COUNTIF(E18:AH18, "✗") + COUNTIF(E18:AH18, "x") + COUNTIF(E18:AH18, "X")), "")))</f>
        <v/>
      </c>
      <c r="AJ18" s="103">
        <f>IF(ISBLANK(B18), "", IF(ISNUMBER(D18), IF(D18&gt;0, (COUNTIF(E18:AH18, "✓") + COUNTIF(E18:AH18, "✔") + COUNTIF(E18:AH18, "v") + COUNTIF(E18:AH18, "V")) &amp; "/" &amp; D18, (COUNTIF(E18:AH18, "✓") + COUNTIF(E18:AH18, "✔") + COUNTIF(E18:AH18, "v") + COUNTIF(E18:AH18, "V")) &amp; "/0"), IF(((COUNTIF(E18:AH18, "✓") + COUNTIF(E18:AH18, "✔") + COUNTIF(E18:AH18, "v") + COUNTIF(E18:AH18, "V")) + COUNTIF(E18:AH18, "✗") + COUNTIF(E18:AH18, "x") + COUNTIF(E18:AH18, "X"))&gt;0, (COUNTIF(E18:AH18, "✓") + COUNTIF(E18:AH18, "✔") + COUNTIF(E18:AH18, "v") + COUNTIF(E18:AH18, "V")) &amp; "/" &amp; ((COUNTIF(E18:AH18, "✓") + COUNTIF(E18:AH18, "✔") + COUNTIF(E18:AH18, "v") + COUNTIF(E18:AH18, "V")) + COUNTIF(E18:AH18, "✗") + COUNTIF(E18:AH18, "x") + COUNTIF(E18:AH18, "X")), "")))</f>
        <v/>
      </c>
      <c r="AK18" s="103">
        <f>IF(ISBLANK(B18), "", IF(AI18&gt;=0.85, "🔥 Mastered", IF(AI18&gt;=0.7, "⚡ Consistent", "⚠️ Needs Focus")))</f>
        <v/>
      </c>
      <c r="AL18">
        <f>COUNTIF(E18:AH18, "✓")</f>
        <v/>
      </c>
    </row>
    <row r="19" ht="14.5" customHeight="1">
      <c r="A19" s="97" t="n">
        <v>2</v>
      </c>
      <c r="B19" s="98" t="n"/>
      <c r="C19" s="99" t="n"/>
      <c r="D19" s="99" t="n"/>
      <c r="E19" s="100" t="n"/>
      <c r="F19" s="100" t="n"/>
      <c r="G19" s="100" t="n"/>
      <c r="H19" s="100" t="n"/>
      <c r="I19" s="101" t="n"/>
      <c r="J19" s="100" t="n"/>
      <c r="K19" s="100" t="n"/>
      <c r="L19" s="100" t="n"/>
      <c r="M19" s="100" t="n"/>
      <c r="N19" s="100" t="n"/>
      <c r="O19" s="100" t="n"/>
      <c r="P19" s="101" t="n"/>
      <c r="Q19" s="100" t="n"/>
      <c r="R19" s="100" t="n"/>
      <c r="S19" s="100" t="n"/>
      <c r="T19" s="100" t="n"/>
      <c r="U19" s="100" t="n"/>
      <c r="V19" s="100" t="n"/>
      <c r="W19" s="101" t="n"/>
      <c r="X19" s="100" t="n"/>
      <c r="Y19" s="100" t="n"/>
      <c r="Z19" s="100" t="n"/>
      <c r="AA19" s="100" t="n"/>
      <c r="AB19" s="100" t="n"/>
      <c r="AC19" s="100" t="n"/>
      <c r="AD19" s="101" t="n"/>
      <c r="AE19" s="100" t="n"/>
      <c r="AF19" s="100" t="n"/>
      <c r="AG19" s="100" t="n"/>
      <c r="AH19" s="100" t="n"/>
      <c r="AI19" s="102">
        <f>IF(ISBLANK(B19), "", IF(ISNUMBER(D19), IF(D19&gt;0, (COUNTIF(E19:AH19, "✓") + COUNTIF(E19:AH19, "✔") + COUNTIF(E19:AH19, "v") + COUNTIF(E19:AH19, "V"))/D19, 0), IF(((COUNTIF(E19:AH19, "✓") + COUNTIF(E19:AH19, "✔") + COUNTIF(E19:AH19, "v") + COUNTIF(E19:AH19, "V")) + COUNTIF(E19:AH19, "✗") + COUNTIF(E19:AH19, "x") + COUNTIF(E19:AH19, "X"))&gt;0, (COUNTIF(E19:AH19, "✓") + COUNTIF(E19:AH19, "✔") + COUNTIF(E19:AH19, "v") + COUNTIF(E19:AH19, "V"))/((COUNTIF(E19:AH19, "✓") + COUNTIF(E19:AH19, "✔") + COUNTIF(E19:AH19, "v") + COUNTIF(E19:AH19, "V")) + COUNTIF(E19:AH19, "✗") + COUNTIF(E19:AH19, "x") + COUNTIF(E19:AH19, "X")), "")))</f>
        <v/>
      </c>
      <c r="AJ19" s="103">
        <f>IF(ISBLANK(B19), "", IF(ISNUMBER(D19), IF(D19&gt;0, (COUNTIF(E19:AH19, "✓") + COUNTIF(E19:AH19, "✔") + COUNTIF(E19:AH19, "v") + COUNTIF(E19:AH19, "V")) &amp; "/" &amp; D19, (COUNTIF(E19:AH19, "✓") + COUNTIF(E19:AH19, "✔") + COUNTIF(E19:AH19, "v") + COUNTIF(E19:AH19, "V")) &amp; "/0"), IF(((COUNTIF(E19:AH19, "✓") + COUNTIF(E19:AH19, "✔") + COUNTIF(E19:AH19, "v") + COUNTIF(E19:AH19, "V")) + COUNTIF(E19:AH19, "✗") + COUNTIF(E19:AH19, "x") + COUNTIF(E19:AH19, "X"))&gt;0, (COUNTIF(E19:AH19, "✓") + COUNTIF(E19:AH19, "✔") + COUNTIF(E19:AH19, "v") + COUNTIF(E19:AH19, "V")) &amp; "/" &amp; ((COUNTIF(E19:AH19, "✓") + COUNTIF(E19:AH19, "✔") + COUNTIF(E19:AH19, "v") + COUNTIF(E19:AH19, "V")) + COUNTIF(E19:AH19, "✗") + COUNTIF(E19:AH19, "x") + COUNTIF(E19:AH19, "X")), "")))</f>
        <v/>
      </c>
      <c r="AK19" s="103">
        <f>IF(ISBLANK(B19), "", IF(AI19&gt;=0.85, "🔥 Mastered", IF(AI19&gt;=0.7, "⚡ Consistent", "⚠️ Needs Focus")))</f>
        <v/>
      </c>
      <c r="AL19">
        <f>COUNTIF(E19:AH19, "✓")</f>
        <v/>
      </c>
    </row>
    <row r="20" ht="14.5" customHeight="1">
      <c r="A20" s="97" t="n">
        <v>3</v>
      </c>
      <c r="B20" s="98" t="n"/>
      <c r="C20" s="99" t="n"/>
      <c r="D20" s="99" t="n"/>
      <c r="E20" s="100" t="n"/>
      <c r="F20" s="100" t="n"/>
      <c r="G20" s="100" t="n"/>
      <c r="H20" s="100" t="n"/>
      <c r="I20" s="101" t="n"/>
      <c r="J20" s="100" t="n"/>
      <c r="K20" s="100" t="n"/>
      <c r="L20" s="100" t="n"/>
      <c r="M20" s="100" t="n"/>
      <c r="N20" s="100" t="n"/>
      <c r="O20" s="100" t="n"/>
      <c r="P20" s="101" t="n"/>
      <c r="Q20" s="100" t="n"/>
      <c r="R20" s="100" t="n"/>
      <c r="S20" s="100" t="n"/>
      <c r="T20" s="100" t="n"/>
      <c r="U20" s="100" t="n"/>
      <c r="V20" s="100" t="n"/>
      <c r="W20" s="101" t="n"/>
      <c r="X20" s="100" t="n"/>
      <c r="Y20" s="100" t="n"/>
      <c r="Z20" s="100" t="n"/>
      <c r="AA20" s="100" t="n"/>
      <c r="AB20" s="100" t="n"/>
      <c r="AC20" s="100" t="n"/>
      <c r="AD20" s="101" t="n"/>
      <c r="AE20" s="100" t="n"/>
      <c r="AF20" s="100" t="n"/>
      <c r="AG20" s="100" t="n"/>
      <c r="AH20" s="100" t="n"/>
      <c r="AI20" s="102">
        <f>IF(ISBLANK(B20), "", IF(ISNUMBER(D20), IF(D20&gt;0, (COUNTIF(E20:AH20, "✓") + COUNTIF(E20:AH20, "✔") + COUNTIF(E20:AH20, "v") + COUNTIF(E20:AH20, "V"))/D20, 0), IF(((COUNTIF(E20:AH20, "✓") + COUNTIF(E20:AH20, "✔") + COUNTIF(E20:AH20, "v") + COUNTIF(E20:AH20, "V")) + COUNTIF(E20:AH20, "✗") + COUNTIF(E20:AH20, "x") + COUNTIF(E20:AH20, "X"))&gt;0, (COUNTIF(E20:AH20, "✓") + COUNTIF(E20:AH20, "✔") + COUNTIF(E20:AH20, "v") + COUNTIF(E20:AH20, "V"))/((COUNTIF(E20:AH20, "✓") + COUNTIF(E20:AH20, "✔") + COUNTIF(E20:AH20, "v") + COUNTIF(E20:AH20, "V")) + COUNTIF(E20:AH20, "✗") + COUNTIF(E20:AH20, "x") + COUNTIF(E20:AH20, "X")), "")))</f>
        <v/>
      </c>
      <c r="AJ20" s="103">
        <f>IF(ISBLANK(B20), "", IF(ISNUMBER(D20), IF(D20&gt;0, (COUNTIF(E20:AH20, "✓") + COUNTIF(E20:AH20, "✔") + COUNTIF(E20:AH20, "v") + COUNTIF(E20:AH20, "V")) &amp; "/" &amp; D20, (COUNTIF(E20:AH20, "✓") + COUNTIF(E20:AH20, "✔") + COUNTIF(E20:AH20, "v") + COUNTIF(E20:AH20, "V")) &amp; "/0"), IF(((COUNTIF(E20:AH20, "✓") + COUNTIF(E20:AH20, "✔") + COUNTIF(E20:AH20, "v") + COUNTIF(E20:AH20, "V")) + COUNTIF(E20:AH20, "✗") + COUNTIF(E20:AH20, "x") + COUNTIF(E20:AH20, "X"))&gt;0, (COUNTIF(E20:AH20, "✓") + COUNTIF(E20:AH20, "✔") + COUNTIF(E20:AH20, "v") + COUNTIF(E20:AH20, "V")) &amp; "/" &amp; ((COUNTIF(E20:AH20, "✓") + COUNTIF(E20:AH20, "✔") + COUNTIF(E20:AH20, "v") + COUNTIF(E20:AH20, "V")) + COUNTIF(E20:AH20, "✗") + COUNTIF(E20:AH20, "x") + COUNTIF(E20:AH20, "X")), "")))</f>
        <v/>
      </c>
      <c r="AK20" s="103">
        <f>IF(ISBLANK(B20), "", IF(AI20&gt;=0.85, "🔥 Mastered", IF(AI20&gt;=0.7, "⚡ Consistent", "⚠️ Needs Focus")))</f>
        <v/>
      </c>
      <c r="AL20">
        <f>COUNTIF(E20:AH20, "✓")</f>
        <v/>
      </c>
    </row>
    <row r="21" ht="14.5" customHeight="1">
      <c r="A21" s="97" t="n">
        <v>4</v>
      </c>
      <c r="B21" s="98" t="n"/>
      <c r="C21" s="99" t="n"/>
      <c r="D21" s="99" t="n"/>
      <c r="E21" s="100" t="n"/>
      <c r="F21" s="100" t="n"/>
      <c r="G21" s="100" t="n"/>
      <c r="H21" s="100" t="n"/>
      <c r="I21" s="101" t="n"/>
      <c r="J21" s="100" t="n"/>
      <c r="K21" s="100" t="n"/>
      <c r="L21" s="100" t="n"/>
      <c r="M21" s="100" t="n"/>
      <c r="N21" s="100" t="n"/>
      <c r="O21" s="100" t="n"/>
      <c r="P21" s="101" t="n"/>
      <c r="Q21" s="100" t="n"/>
      <c r="R21" s="100" t="n"/>
      <c r="S21" s="100" t="n"/>
      <c r="T21" s="100" t="n"/>
      <c r="U21" s="100" t="n"/>
      <c r="V21" s="100" t="n"/>
      <c r="W21" s="101" t="n"/>
      <c r="X21" s="100" t="n"/>
      <c r="Y21" s="100" t="n"/>
      <c r="Z21" s="100" t="n"/>
      <c r="AA21" s="100" t="n"/>
      <c r="AB21" s="100" t="n"/>
      <c r="AC21" s="100" t="n"/>
      <c r="AD21" s="101" t="n"/>
      <c r="AE21" s="100" t="n"/>
      <c r="AF21" s="100" t="n"/>
      <c r="AG21" s="100" t="n"/>
      <c r="AH21" s="100" t="n"/>
      <c r="AI21" s="102">
        <f>IF(ISBLANK(B21), "", IF(ISNUMBER(D21), IF(D21&gt;0, (COUNTIF(E21:AH21, "✓") + COUNTIF(E21:AH21, "✔") + COUNTIF(E21:AH21, "v") + COUNTIF(E21:AH21, "V"))/D21, 0), IF(((COUNTIF(E21:AH21, "✓") + COUNTIF(E21:AH21, "✔") + COUNTIF(E21:AH21, "v") + COUNTIF(E21:AH21, "V")) + COUNTIF(E21:AH21, "✗") + COUNTIF(E21:AH21, "x") + COUNTIF(E21:AH21, "X"))&gt;0, (COUNTIF(E21:AH21, "✓") + COUNTIF(E21:AH21, "✔") + COUNTIF(E21:AH21, "v") + COUNTIF(E21:AH21, "V"))/((COUNTIF(E21:AH21, "✓") + COUNTIF(E21:AH21, "✔") + COUNTIF(E21:AH21, "v") + COUNTIF(E21:AH21, "V")) + COUNTIF(E21:AH21, "✗") + COUNTIF(E21:AH21, "x") + COUNTIF(E21:AH21, "X")), "")))</f>
        <v/>
      </c>
      <c r="AJ21" s="103">
        <f>IF(ISBLANK(B21), "", IF(ISNUMBER(D21), IF(D21&gt;0, (COUNTIF(E21:AH21, "✓") + COUNTIF(E21:AH21, "✔") + COUNTIF(E21:AH21, "v") + COUNTIF(E21:AH21, "V")) &amp; "/" &amp; D21, (COUNTIF(E21:AH21, "✓") + COUNTIF(E21:AH21, "✔") + COUNTIF(E21:AH21, "v") + COUNTIF(E21:AH21, "V")) &amp; "/0"), IF(((COUNTIF(E21:AH21, "✓") + COUNTIF(E21:AH21, "✔") + COUNTIF(E21:AH21, "v") + COUNTIF(E21:AH21, "V")) + COUNTIF(E21:AH21, "✗") + COUNTIF(E21:AH21, "x") + COUNTIF(E21:AH21, "X"))&gt;0, (COUNTIF(E21:AH21, "✓") + COUNTIF(E21:AH21, "✔") + COUNTIF(E21:AH21, "v") + COUNTIF(E21:AH21, "V")) &amp; "/" &amp; ((COUNTIF(E21:AH21, "✓") + COUNTIF(E21:AH21, "✔") + COUNTIF(E21:AH21, "v") + COUNTIF(E21:AH21, "V")) + COUNTIF(E21:AH21, "✗") + COUNTIF(E21:AH21, "x") + COUNTIF(E21:AH21, "X")), "")))</f>
        <v/>
      </c>
      <c r="AK21" s="103">
        <f>IF(ISBLANK(B21), "", IF(AI21&gt;=0.85, "🔥 Mastered", IF(AI21&gt;=0.7, "⚡ Consistent", "⚠️ Needs Focus")))</f>
        <v/>
      </c>
      <c r="AL21">
        <f>COUNTIF(E21:AH21, "✓")</f>
        <v/>
      </c>
    </row>
    <row r="22" ht="14.5" customHeight="1">
      <c r="A22" s="104" t="n">
        <v>5</v>
      </c>
      <c r="B22" s="105" t="n"/>
      <c r="C22" s="106" t="n"/>
      <c r="D22" s="106" t="n"/>
      <c r="E22" s="107" t="n"/>
      <c r="F22" s="107" t="n"/>
      <c r="G22" s="107" t="n"/>
      <c r="H22" s="107" t="n"/>
      <c r="I22" s="108" t="n"/>
      <c r="J22" s="107" t="n"/>
      <c r="K22" s="107" t="n"/>
      <c r="L22" s="107" t="n"/>
      <c r="M22" s="107" t="n"/>
      <c r="N22" s="107" t="n"/>
      <c r="O22" s="107" t="n"/>
      <c r="P22" s="108" t="n"/>
      <c r="Q22" s="107" t="n"/>
      <c r="R22" s="107" t="n"/>
      <c r="S22" s="107" t="n"/>
      <c r="T22" s="107" t="n"/>
      <c r="U22" s="107" t="n"/>
      <c r="V22" s="107" t="n"/>
      <c r="W22" s="108" t="n"/>
      <c r="X22" s="107" t="n"/>
      <c r="Y22" s="107" t="n"/>
      <c r="Z22" s="107" t="n"/>
      <c r="AA22" s="107" t="n"/>
      <c r="AB22" s="107" t="n"/>
      <c r="AC22" s="107" t="n"/>
      <c r="AD22" s="108" t="n"/>
      <c r="AE22" s="107" t="n"/>
      <c r="AF22" s="107" t="n"/>
      <c r="AG22" s="107" t="n"/>
      <c r="AH22" s="107" t="n"/>
      <c r="AI22" s="109">
        <f>IF(ISBLANK(B22), "", IF(ISNUMBER(D22), IF(D22&gt;0, (COUNTIF(E22:AH22, "✓") + COUNTIF(E22:AH22, "✔") + COUNTIF(E22:AH22, "v") + COUNTIF(E22:AH22, "V"))/D22, 0), IF(((COUNTIF(E22:AH22, "✓") + COUNTIF(E22:AH22, "✔") + COUNTIF(E22:AH22, "v") + COUNTIF(E22:AH22, "V")) + COUNTIF(E22:AH22, "✗") + COUNTIF(E22:AH22, "x") + COUNTIF(E22:AH22, "X"))&gt;0, (COUNTIF(E22:AH22, "✓") + COUNTIF(E22:AH22, "✔") + COUNTIF(E22:AH22, "v") + COUNTIF(E22:AH22, "V"))/((COUNTIF(E22:AH22, "✓") + COUNTIF(E22:AH22, "✔") + COUNTIF(E22:AH22, "v") + COUNTIF(E22:AH22, "V")) + COUNTIF(E22:AH22, "✗") + COUNTIF(E22:AH22, "x") + COUNTIF(E22:AH22, "X")), "")))</f>
        <v/>
      </c>
      <c r="AJ22" s="110">
        <f>IF(ISBLANK(B22), "", IF(ISNUMBER(D22), IF(D22&gt;0, (COUNTIF(E22:AH22, "✓") + COUNTIF(E22:AH22, "✔") + COUNTIF(E22:AH22, "v") + COUNTIF(E22:AH22, "V")) &amp; "/" &amp; D22, (COUNTIF(E22:AH22, "✓") + COUNTIF(E22:AH22, "✔") + COUNTIF(E22:AH22, "v") + COUNTIF(E22:AH22, "V")) &amp; "/0"), IF(((COUNTIF(E22:AH22, "✓") + COUNTIF(E22:AH22, "✔") + COUNTIF(E22:AH22, "v") + COUNTIF(E22:AH22, "V")) + COUNTIF(E22:AH22, "✗") + COUNTIF(E22:AH22, "x") + COUNTIF(E22:AH22, "X"))&gt;0, (COUNTIF(E22:AH22, "✓") + COUNTIF(E22:AH22, "✔") + COUNTIF(E22:AH22, "v") + COUNTIF(E22:AH22, "V")) &amp; "/" &amp; ((COUNTIF(E22:AH22, "✓") + COUNTIF(E22:AH22, "✔") + COUNTIF(E22:AH22, "v") + COUNTIF(E22:AH22, "V")) + COUNTIF(E22:AH22, "✗") + COUNTIF(E22:AH22, "x") + COUNTIF(E22:AH22, "X")), "")))</f>
        <v/>
      </c>
      <c r="AK22" s="110">
        <f>IF(ISBLANK(B22), "", IF(AI22&gt;=0.85, "🔥 Mastered", IF(AI22&gt;=0.7, "⚡ Consistent", "⚠️ Needs Focus")))</f>
        <v/>
      </c>
      <c r="AL22">
        <f>COUNTIF(E22:AH22, "✓")</f>
        <v/>
      </c>
    </row>
    <row r="23" ht="14.5" customHeight="1">
      <c r="A23" s="104" t="n">
        <v>6</v>
      </c>
      <c r="B23" s="105" t="n"/>
      <c r="C23" s="106" t="n"/>
      <c r="D23" s="106" t="n"/>
      <c r="E23" s="107" t="n"/>
      <c r="F23" s="107" t="n"/>
      <c r="G23" s="107" t="n"/>
      <c r="H23" s="107" t="n"/>
      <c r="I23" s="108" t="n"/>
      <c r="J23" s="107" t="n"/>
      <c r="K23" s="107" t="n"/>
      <c r="L23" s="107" t="n"/>
      <c r="M23" s="107" t="n"/>
      <c r="N23" s="107" t="n"/>
      <c r="O23" s="107" t="n"/>
      <c r="P23" s="108" t="n"/>
      <c r="Q23" s="107" t="n"/>
      <c r="R23" s="107" t="n"/>
      <c r="S23" s="107" t="n"/>
      <c r="T23" s="107" t="n"/>
      <c r="U23" s="107" t="n"/>
      <c r="V23" s="107" t="n"/>
      <c r="W23" s="108" t="n"/>
      <c r="X23" s="107" t="n"/>
      <c r="Y23" s="107" t="n"/>
      <c r="Z23" s="107" t="n"/>
      <c r="AA23" s="107" t="n"/>
      <c r="AB23" s="107" t="n"/>
      <c r="AC23" s="107" t="n"/>
      <c r="AD23" s="108" t="n"/>
      <c r="AE23" s="107" t="n"/>
      <c r="AF23" s="107" t="n"/>
      <c r="AG23" s="107" t="n"/>
      <c r="AH23" s="107" t="n"/>
      <c r="AI23" s="109">
        <f>IF(ISBLANK(B23), "", IF(ISNUMBER(D23), IF(D23&gt;0, (COUNTIF(E23:AH23, "✓") + COUNTIF(E23:AH23, "✔") + COUNTIF(E23:AH23, "v") + COUNTIF(E23:AH23, "V"))/D23, 0), IF(((COUNTIF(E23:AH23, "✓") + COUNTIF(E23:AH23, "✔") + COUNTIF(E23:AH23, "v") + COUNTIF(E23:AH23, "V")) + COUNTIF(E23:AH23, "✗") + COUNTIF(E23:AH23, "x") + COUNTIF(E23:AH23, "X"))&gt;0, (COUNTIF(E23:AH23, "✓") + COUNTIF(E23:AH23, "✔") + COUNTIF(E23:AH23, "v") + COUNTIF(E23:AH23, "V"))/((COUNTIF(E23:AH23, "✓") + COUNTIF(E23:AH23, "✔") + COUNTIF(E23:AH23, "v") + COUNTIF(E23:AH23, "V")) + COUNTIF(E23:AH23, "✗") + COUNTIF(E23:AH23, "x") + COUNTIF(E23:AH23, "X")), "")))</f>
        <v/>
      </c>
      <c r="AJ23" s="110">
        <f>IF(ISBLANK(B23), "", IF(ISNUMBER(D23), IF(D23&gt;0, (COUNTIF(E23:AH23, "✓") + COUNTIF(E23:AH23, "✔") + COUNTIF(E23:AH23, "v") + COUNTIF(E23:AH23, "V")) &amp; "/" &amp; D23, (COUNTIF(E23:AH23, "✓") + COUNTIF(E23:AH23, "✔") + COUNTIF(E23:AH23, "v") + COUNTIF(E23:AH23, "V")) &amp; "/0"), IF(((COUNTIF(E23:AH23, "✓") + COUNTIF(E23:AH23, "✔") + COUNTIF(E23:AH23, "v") + COUNTIF(E23:AH23, "V")) + COUNTIF(E23:AH23, "✗") + COUNTIF(E23:AH23, "x") + COUNTIF(E23:AH23, "X"))&gt;0, (COUNTIF(E23:AH23, "✓") + COUNTIF(E23:AH23, "✔") + COUNTIF(E23:AH23, "v") + COUNTIF(E23:AH23, "V")) &amp; "/" &amp; ((COUNTIF(E23:AH23, "✓") + COUNTIF(E23:AH23, "✔") + COUNTIF(E23:AH23, "v") + COUNTIF(E23:AH23, "V")) + COUNTIF(E23:AH23, "✗") + COUNTIF(E23:AH23, "x") + COUNTIF(E23:AH23, "X")), "")))</f>
        <v/>
      </c>
      <c r="AK23" s="110">
        <f>IF(ISBLANK(B23), "", IF(AI23&gt;=0.85, "🔥 Mastered", IF(AI23&gt;=0.7, "⚡ Consistent", "⚠️ Needs Focus")))</f>
        <v/>
      </c>
      <c r="AL23">
        <f>COUNTIF(E23:AH23, "✓")</f>
        <v/>
      </c>
    </row>
    <row r="24" ht="14.5" customHeight="1">
      <c r="A24" s="104" t="n">
        <v>7</v>
      </c>
      <c r="B24" s="105" t="n"/>
      <c r="C24" s="106" t="n"/>
      <c r="D24" s="106" t="n"/>
      <c r="E24" s="107" t="n"/>
      <c r="F24" s="107" t="n"/>
      <c r="G24" s="107" t="n"/>
      <c r="H24" s="107" t="n"/>
      <c r="I24" s="108" t="n"/>
      <c r="J24" s="107" t="n"/>
      <c r="K24" s="107" t="n"/>
      <c r="L24" s="107" t="n"/>
      <c r="M24" s="107" t="n"/>
      <c r="N24" s="107" t="n"/>
      <c r="O24" s="107" t="n"/>
      <c r="P24" s="108" t="n"/>
      <c r="Q24" s="107" t="n"/>
      <c r="R24" s="107" t="n"/>
      <c r="S24" s="107" t="n"/>
      <c r="T24" s="107" t="n"/>
      <c r="U24" s="107" t="n"/>
      <c r="V24" s="107" t="n"/>
      <c r="W24" s="108" t="n"/>
      <c r="X24" s="107" t="n"/>
      <c r="Y24" s="107" t="n"/>
      <c r="Z24" s="107" t="n"/>
      <c r="AA24" s="107" t="n"/>
      <c r="AB24" s="107" t="n"/>
      <c r="AC24" s="107" t="n"/>
      <c r="AD24" s="108" t="n"/>
      <c r="AE24" s="107" t="n"/>
      <c r="AF24" s="107" t="n"/>
      <c r="AG24" s="107" t="n"/>
      <c r="AH24" s="107" t="n"/>
      <c r="AI24" s="109">
        <f>IF(ISBLANK(B24), "", IF(ISNUMBER(D24), IF(D24&gt;0, (COUNTIF(E24:AH24, "✓") + COUNTIF(E24:AH24, "✔") + COUNTIF(E24:AH24, "v") + COUNTIF(E24:AH24, "V"))/D24, 0), IF(((COUNTIF(E24:AH24, "✓") + COUNTIF(E24:AH24, "✔") + COUNTIF(E24:AH24, "v") + COUNTIF(E24:AH24, "V")) + COUNTIF(E24:AH24, "✗") + COUNTIF(E24:AH24, "x") + COUNTIF(E24:AH24, "X"))&gt;0, (COUNTIF(E24:AH24, "✓") + COUNTIF(E24:AH24, "✔") + COUNTIF(E24:AH24, "v") + COUNTIF(E24:AH24, "V"))/((COUNTIF(E24:AH24, "✓") + COUNTIF(E24:AH24, "✔") + COUNTIF(E24:AH24, "v") + COUNTIF(E24:AH24, "V")) + COUNTIF(E24:AH24, "✗") + COUNTIF(E24:AH24, "x") + COUNTIF(E24:AH24, "X")), "")))</f>
        <v/>
      </c>
      <c r="AJ24" s="110">
        <f>IF(ISBLANK(B24), "", IF(ISNUMBER(D24), IF(D24&gt;0, (COUNTIF(E24:AH24, "✓") + COUNTIF(E24:AH24, "✔") + COUNTIF(E24:AH24, "v") + COUNTIF(E24:AH24, "V")) &amp; "/" &amp; D24, (COUNTIF(E24:AH24, "✓") + COUNTIF(E24:AH24, "✔") + COUNTIF(E24:AH24, "v") + COUNTIF(E24:AH24, "V")) &amp; "/0"), IF(((COUNTIF(E24:AH24, "✓") + COUNTIF(E24:AH24, "✔") + COUNTIF(E24:AH24, "v") + COUNTIF(E24:AH24, "V")) + COUNTIF(E24:AH24, "✗") + COUNTIF(E24:AH24, "x") + COUNTIF(E24:AH24, "X"))&gt;0, (COUNTIF(E24:AH24, "✓") + COUNTIF(E24:AH24, "✔") + COUNTIF(E24:AH24, "v") + COUNTIF(E24:AH24, "V")) &amp; "/" &amp; ((COUNTIF(E24:AH24, "✓") + COUNTIF(E24:AH24, "✔") + COUNTIF(E24:AH24, "v") + COUNTIF(E24:AH24, "V")) + COUNTIF(E24:AH24, "✗") + COUNTIF(E24:AH24, "x") + COUNTIF(E24:AH24, "X")), "")))</f>
        <v/>
      </c>
      <c r="AK24" s="110">
        <f>IF(ISBLANK(B24), "", IF(AI24&gt;=0.85, "🔥 Mastered", IF(AI24&gt;=0.7, "⚡ Consistent", "⚠️ Needs Focus")))</f>
        <v/>
      </c>
      <c r="AL24">
        <f>COUNTIF(E24:AH24, "✓")</f>
        <v/>
      </c>
    </row>
    <row r="25" ht="14.5" customHeight="1">
      <c r="A25" s="104" t="n">
        <v>8</v>
      </c>
      <c r="B25" s="105" t="n"/>
      <c r="C25" s="106" t="n"/>
      <c r="D25" s="106" t="n"/>
      <c r="E25" s="107" t="n"/>
      <c r="F25" s="107" t="n"/>
      <c r="G25" s="107" t="n"/>
      <c r="H25" s="107" t="n"/>
      <c r="I25" s="108" t="n"/>
      <c r="J25" s="107" t="n"/>
      <c r="K25" s="107" t="n"/>
      <c r="L25" s="107" t="n"/>
      <c r="M25" s="107" t="n"/>
      <c r="N25" s="107" t="n"/>
      <c r="O25" s="107" t="n"/>
      <c r="P25" s="108" t="n"/>
      <c r="Q25" s="107" t="n"/>
      <c r="R25" s="107" t="n"/>
      <c r="S25" s="107" t="n"/>
      <c r="T25" s="107" t="n"/>
      <c r="U25" s="107" t="n"/>
      <c r="V25" s="107" t="n"/>
      <c r="W25" s="108" t="n"/>
      <c r="X25" s="107" t="n"/>
      <c r="Y25" s="107" t="n"/>
      <c r="Z25" s="107" t="n"/>
      <c r="AA25" s="107" t="n"/>
      <c r="AB25" s="107" t="n"/>
      <c r="AC25" s="107" t="n"/>
      <c r="AD25" s="108" t="n"/>
      <c r="AE25" s="107" t="n"/>
      <c r="AF25" s="107" t="n"/>
      <c r="AG25" s="107" t="n"/>
      <c r="AH25" s="107" t="n"/>
      <c r="AI25" s="109">
        <f>IF(ISBLANK(B25), "", IF(ISNUMBER(D25), IF(D25&gt;0, (COUNTIF(E25:AH25, "✓") + COUNTIF(E25:AH25, "✔") + COUNTIF(E25:AH25, "v") + COUNTIF(E25:AH25, "V"))/D25, 0), IF(((COUNTIF(E25:AH25, "✓") + COUNTIF(E25:AH25, "✔") + COUNTIF(E25:AH25, "v") + COUNTIF(E25:AH25, "V")) + COUNTIF(E25:AH25, "✗") + COUNTIF(E25:AH25, "x") + COUNTIF(E25:AH25, "X"))&gt;0, (COUNTIF(E25:AH25, "✓") + COUNTIF(E25:AH25, "✔") + COUNTIF(E25:AH25, "v") + COUNTIF(E25:AH25, "V"))/((COUNTIF(E25:AH25, "✓") + COUNTIF(E25:AH25, "✔") + COUNTIF(E25:AH25, "v") + COUNTIF(E25:AH25, "V")) + COUNTIF(E25:AH25, "✗") + COUNTIF(E25:AH25, "x") + COUNTIF(E25:AH25, "X")), "")))</f>
        <v/>
      </c>
      <c r="AJ25" s="110">
        <f>IF(ISBLANK(B25), "", IF(ISNUMBER(D25), IF(D25&gt;0, (COUNTIF(E25:AH25, "✓") + COUNTIF(E25:AH25, "✔") + COUNTIF(E25:AH25, "v") + COUNTIF(E25:AH25, "V")) &amp; "/" &amp; D25, (COUNTIF(E25:AH25, "✓") + COUNTIF(E25:AH25, "✔") + COUNTIF(E25:AH25, "v") + COUNTIF(E25:AH25, "V")) &amp; "/0"), IF(((COUNTIF(E25:AH25, "✓") + COUNTIF(E25:AH25, "✔") + COUNTIF(E25:AH25, "v") + COUNTIF(E25:AH25, "V")) + COUNTIF(E25:AH25, "✗") + COUNTIF(E25:AH25, "x") + COUNTIF(E25:AH25, "X"))&gt;0, (COUNTIF(E25:AH25, "✓") + COUNTIF(E25:AH25, "✔") + COUNTIF(E25:AH25, "v") + COUNTIF(E25:AH25, "V")) &amp; "/" &amp; ((COUNTIF(E25:AH25, "✓") + COUNTIF(E25:AH25, "✔") + COUNTIF(E25:AH25, "v") + COUNTIF(E25:AH25, "V")) + COUNTIF(E25:AH25, "✗") + COUNTIF(E25:AH25, "x") + COUNTIF(E25:AH25, "X")), "")))</f>
        <v/>
      </c>
      <c r="AK25" s="110">
        <f>IF(ISBLANK(B25), "", IF(AI25&gt;=0.85, "🔥 Mastered", IF(AI25&gt;=0.7, "⚡ Consistent", "⚠️ Needs Focus")))</f>
        <v/>
      </c>
      <c r="AL25">
        <f>COUNTIF(E25:AH25, "✓")</f>
        <v/>
      </c>
    </row>
    <row r="26" ht="14.5" customHeight="1">
      <c r="A26" s="111" t="n">
        <v>9</v>
      </c>
      <c r="B26" s="112" t="n"/>
      <c r="C26" s="113" t="n"/>
      <c r="D26" s="113" t="n"/>
      <c r="E26" s="114" t="n"/>
      <c r="F26" s="114" t="n"/>
      <c r="G26" s="114" t="n"/>
      <c r="H26" s="114" t="n"/>
      <c r="I26" s="115" t="n"/>
      <c r="J26" s="114" t="n"/>
      <c r="K26" s="114" t="n"/>
      <c r="L26" s="114" t="n"/>
      <c r="M26" s="114" t="n"/>
      <c r="N26" s="114" t="n"/>
      <c r="O26" s="114" t="n"/>
      <c r="P26" s="115" t="n"/>
      <c r="Q26" s="114" t="n"/>
      <c r="R26" s="114" t="n"/>
      <c r="S26" s="114" t="n"/>
      <c r="T26" s="114" t="n"/>
      <c r="U26" s="114" t="n"/>
      <c r="V26" s="114" t="n"/>
      <c r="W26" s="115" t="n"/>
      <c r="X26" s="114" t="n"/>
      <c r="Y26" s="114" t="n"/>
      <c r="Z26" s="114" t="n"/>
      <c r="AA26" s="114" t="n"/>
      <c r="AB26" s="114" t="n"/>
      <c r="AC26" s="114" t="n"/>
      <c r="AD26" s="115" t="n"/>
      <c r="AE26" s="114" t="n"/>
      <c r="AF26" s="114" t="n"/>
      <c r="AG26" s="114" t="n"/>
      <c r="AH26" s="114" t="n"/>
      <c r="AI26" s="116">
        <f>IF(ISBLANK(B26), "", IF(ISNUMBER(D26), IF(D26&gt;0, (COUNTIF(E26:AH26, "✓") + COUNTIF(E26:AH26, "✔") + COUNTIF(E26:AH26, "v") + COUNTIF(E26:AH26, "V"))/D26, 0), IF(((COUNTIF(E26:AH26, "✓") + COUNTIF(E26:AH26, "✔") + COUNTIF(E26:AH26, "v") + COUNTIF(E26:AH26, "V")) + COUNTIF(E26:AH26, "✗") + COUNTIF(E26:AH26, "x") + COUNTIF(E26:AH26, "X"))&gt;0, (COUNTIF(E26:AH26, "✓") + COUNTIF(E26:AH26, "✔") + COUNTIF(E26:AH26, "v") + COUNTIF(E26:AH26, "V"))/((COUNTIF(E26:AH26, "✓") + COUNTIF(E26:AH26, "✔") + COUNTIF(E26:AH26, "v") + COUNTIF(E26:AH26, "V")) + COUNTIF(E26:AH26, "✗") + COUNTIF(E26:AH26, "x") + COUNTIF(E26:AH26, "X")), "")))</f>
        <v/>
      </c>
      <c r="AJ26" s="117">
        <f>IF(ISBLANK(B26), "", IF(ISNUMBER(D26), IF(D26&gt;0, (COUNTIF(E26:AH26, "✓") + COUNTIF(E26:AH26, "✔") + COUNTIF(E26:AH26, "v") + COUNTIF(E26:AH26, "V")) &amp; "/" &amp; D26, (COUNTIF(E26:AH26, "✓") + COUNTIF(E26:AH26, "✔") + COUNTIF(E26:AH26, "v") + COUNTIF(E26:AH26, "V")) &amp; "/0"), IF(((COUNTIF(E26:AH26, "✓") + COUNTIF(E26:AH26, "✔") + COUNTIF(E26:AH26, "v") + COUNTIF(E26:AH26, "V")) + COUNTIF(E26:AH26, "✗") + COUNTIF(E26:AH26, "x") + COUNTIF(E26:AH26, "X"))&gt;0, (COUNTIF(E26:AH26, "✓") + COUNTIF(E26:AH26, "✔") + COUNTIF(E26:AH26, "v") + COUNTIF(E26:AH26, "V")) &amp; "/" &amp; ((COUNTIF(E26:AH26, "✓") + COUNTIF(E26:AH26, "✔") + COUNTIF(E26:AH26, "v") + COUNTIF(E26:AH26, "V")) + COUNTIF(E26:AH26, "✗") + COUNTIF(E26:AH26, "x") + COUNTIF(E26:AH26, "X")), "")))</f>
        <v/>
      </c>
      <c r="AK26" s="117">
        <f>IF(ISBLANK(B26), "", IF(AI26&gt;=0.85, "🔥 Mastered", IF(AI26&gt;=0.7, "⚡ Consistent", "⚠️ Needs Focus")))</f>
        <v/>
      </c>
      <c r="AL26">
        <f>COUNTIF(E26:AH26, "✓")</f>
        <v/>
      </c>
    </row>
    <row r="27" ht="14.5" customHeight="1">
      <c r="A27" s="111" t="n">
        <v>10</v>
      </c>
      <c r="B27" s="112" t="n"/>
      <c r="C27" s="113" t="n"/>
      <c r="D27" s="113" t="n"/>
      <c r="E27" s="114" t="n"/>
      <c r="F27" s="114" t="n"/>
      <c r="G27" s="114" t="n"/>
      <c r="H27" s="114" t="n"/>
      <c r="I27" s="115" t="n"/>
      <c r="J27" s="114" t="n"/>
      <c r="K27" s="114" t="n"/>
      <c r="L27" s="114" t="n"/>
      <c r="M27" s="114" t="n"/>
      <c r="N27" s="114" t="n"/>
      <c r="O27" s="114" t="n"/>
      <c r="P27" s="115" t="n"/>
      <c r="Q27" s="114" t="n"/>
      <c r="R27" s="114" t="n"/>
      <c r="S27" s="114" t="n"/>
      <c r="T27" s="114" t="n"/>
      <c r="U27" s="114" t="n"/>
      <c r="V27" s="114" t="n"/>
      <c r="W27" s="115" t="n"/>
      <c r="X27" s="114" t="n"/>
      <c r="Y27" s="114" t="n"/>
      <c r="Z27" s="114" t="n"/>
      <c r="AA27" s="114" t="n"/>
      <c r="AB27" s="114" t="n"/>
      <c r="AC27" s="114" t="n"/>
      <c r="AD27" s="115" t="n"/>
      <c r="AE27" s="114" t="n"/>
      <c r="AF27" s="114" t="n"/>
      <c r="AG27" s="114" t="n"/>
      <c r="AH27" s="114" t="n"/>
      <c r="AI27" s="116">
        <f>IF(ISBLANK(B27), "", IF(ISNUMBER(D27), IF(D27&gt;0, (COUNTIF(E27:AH27, "✓") + COUNTIF(E27:AH27, "✔") + COUNTIF(E27:AH27, "v") + COUNTIF(E27:AH27, "V"))/D27, 0), IF(((COUNTIF(E27:AH27, "✓") + COUNTIF(E27:AH27, "✔") + COUNTIF(E27:AH27, "v") + COUNTIF(E27:AH27, "V")) + COUNTIF(E27:AH27, "✗") + COUNTIF(E27:AH27, "x") + COUNTIF(E27:AH27, "X"))&gt;0, (COUNTIF(E27:AH27, "✓") + COUNTIF(E27:AH27, "✔") + COUNTIF(E27:AH27, "v") + COUNTIF(E27:AH27, "V"))/((COUNTIF(E27:AH27, "✓") + COUNTIF(E27:AH27, "✔") + COUNTIF(E27:AH27, "v") + COUNTIF(E27:AH27, "V")) + COUNTIF(E27:AH27, "✗") + COUNTIF(E27:AH27, "x") + COUNTIF(E27:AH27, "X")), "")))</f>
        <v/>
      </c>
      <c r="AJ27" s="117">
        <f>IF(ISBLANK(B27), "", IF(ISNUMBER(D27), IF(D27&gt;0, (COUNTIF(E27:AH27, "✓") + COUNTIF(E27:AH27, "✔") + COUNTIF(E27:AH27, "v") + COUNTIF(E27:AH27, "V")) &amp; "/" &amp; D27, (COUNTIF(E27:AH27, "✓") + COUNTIF(E27:AH27, "✔") + COUNTIF(E27:AH27, "v") + COUNTIF(E27:AH27, "V")) &amp; "/0"), IF(((COUNTIF(E27:AH27, "✓") + COUNTIF(E27:AH27, "✔") + COUNTIF(E27:AH27, "v") + COUNTIF(E27:AH27, "V")) + COUNTIF(E27:AH27, "✗") + COUNTIF(E27:AH27, "x") + COUNTIF(E27:AH27, "X"))&gt;0, (COUNTIF(E27:AH27, "✓") + COUNTIF(E27:AH27, "✔") + COUNTIF(E27:AH27, "v") + COUNTIF(E27:AH27, "V")) &amp; "/" &amp; ((COUNTIF(E27:AH27, "✓") + COUNTIF(E27:AH27, "✔") + COUNTIF(E27:AH27, "v") + COUNTIF(E27:AH27, "V")) + COUNTIF(E27:AH27, "✗") + COUNTIF(E27:AH27, "x") + COUNTIF(E27:AH27, "X")), "")))</f>
        <v/>
      </c>
      <c r="AK27" s="117">
        <f>IF(ISBLANK(B27), "", IF(AI27&gt;=0.85, "🔥 Mastered", IF(AI27&gt;=0.7, "⚡ Consistent", "⚠️ Needs Focus")))</f>
        <v/>
      </c>
      <c r="AL27">
        <f>COUNTIF(E27:AH27, "✓")</f>
        <v/>
      </c>
    </row>
    <row r="28" ht="14.5" customHeight="1">
      <c r="A28" s="111" t="n">
        <v>11</v>
      </c>
      <c r="B28" s="112" t="n"/>
      <c r="C28" s="113" t="n"/>
      <c r="D28" s="113" t="n"/>
      <c r="E28" s="114" t="n"/>
      <c r="F28" s="114" t="n"/>
      <c r="G28" s="114" t="n"/>
      <c r="H28" s="114" t="n"/>
      <c r="I28" s="115" t="n"/>
      <c r="J28" s="114" t="n"/>
      <c r="K28" s="114" t="n"/>
      <c r="L28" s="114" t="n"/>
      <c r="M28" s="114" t="n"/>
      <c r="N28" s="114" t="n"/>
      <c r="O28" s="114" t="n"/>
      <c r="P28" s="115" t="n"/>
      <c r="Q28" s="114" t="n"/>
      <c r="R28" s="114" t="n"/>
      <c r="S28" s="114" t="n"/>
      <c r="T28" s="114" t="n"/>
      <c r="U28" s="114" t="n"/>
      <c r="V28" s="114" t="n"/>
      <c r="W28" s="115" t="n"/>
      <c r="X28" s="114" t="n"/>
      <c r="Y28" s="114" t="n"/>
      <c r="Z28" s="114" t="n"/>
      <c r="AA28" s="114" t="n"/>
      <c r="AB28" s="114" t="n"/>
      <c r="AC28" s="114" t="n"/>
      <c r="AD28" s="115" t="n"/>
      <c r="AE28" s="114" t="n"/>
      <c r="AF28" s="114" t="n"/>
      <c r="AG28" s="114" t="n"/>
      <c r="AH28" s="114" t="n"/>
      <c r="AI28" s="116">
        <f>IF(ISBLANK(B28), "", IF(ISNUMBER(D28), IF(D28&gt;0, (COUNTIF(E28:AH28, "✓") + COUNTIF(E28:AH28, "✔") + COUNTIF(E28:AH28, "v") + COUNTIF(E28:AH28, "V"))/D28, 0), IF(((COUNTIF(E28:AH28, "✓") + COUNTIF(E28:AH28, "✔") + COUNTIF(E28:AH28, "v") + COUNTIF(E28:AH28, "V")) + COUNTIF(E28:AH28, "✗") + COUNTIF(E28:AH28, "x") + COUNTIF(E28:AH28, "X"))&gt;0, (COUNTIF(E28:AH28, "✓") + COUNTIF(E28:AH28, "✔") + COUNTIF(E28:AH28, "v") + COUNTIF(E28:AH28, "V"))/((COUNTIF(E28:AH28, "✓") + COUNTIF(E28:AH28, "✔") + COUNTIF(E28:AH28, "v") + COUNTIF(E28:AH28, "V")) + COUNTIF(E28:AH28, "✗") + COUNTIF(E28:AH28, "x") + COUNTIF(E28:AH28, "X")), "")))</f>
        <v/>
      </c>
      <c r="AJ28" s="117">
        <f>IF(ISBLANK(B28), "", IF(ISNUMBER(D28), IF(D28&gt;0, (COUNTIF(E28:AH28, "✓") + COUNTIF(E28:AH28, "✔") + COUNTIF(E28:AH28, "v") + COUNTIF(E28:AH28, "V")) &amp; "/" &amp; D28, (COUNTIF(E28:AH28, "✓") + COUNTIF(E28:AH28, "✔") + COUNTIF(E28:AH28, "v") + COUNTIF(E28:AH28, "V")) &amp; "/0"), IF(((COUNTIF(E28:AH28, "✓") + COUNTIF(E28:AH28, "✔") + COUNTIF(E28:AH28, "v") + COUNTIF(E28:AH28, "V")) + COUNTIF(E28:AH28, "✗") + COUNTIF(E28:AH28, "x") + COUNTIF(E28:AH28, "X"))&gt;0, (COUNTIF(E28:AH28, "✓") + COUNTIF(E28:AH28, "✔") + COUNTIF(E28:AH28, "v") + COUNTIF(E28:AH28, "V")) &amp; "/" &amp; ((COUNTIF(E28:AH28, "✓") + COUNTIF(E28:AH28, "✔") + COUNTIF(E28:AH28, "v") + COUNTIF(E28:AH28, "V")) + COUNTIF(E28:AH28, "✗") + COUNTIF(E28:AH28, "x") + COUNTIF(E28:AH28, "X")), "")))</f>
        <v/>
      </c>
      <c r="AK28" s="117">
        <f>IF(ISBLANK(B28), "", IF(AI28&gt;=0.85, "🔥 Mastered", IF(AI28&gt;=0.7, "⚡ Consistent", "⚠️ Needs Focus")))</f>
        <v/>
      </c>
      <c r="AL28">
        <f>COUNTIF(E28:AH28, "✓")</f>
        <v/>
      </c>
    </row>
    <row r="29" ht="14.5" customHeight="1">
      <c r="A29" s="111" t="n">
        <v>12</v>
      </c>
      <c r="B29" s="112" t="n"/>
      <c r="C29" s="113" t="n"/>
      <c r="D29" s="113" t="n"/>
      <c r="E29" s="114" t="n"/>
      <c r="F29" s="114" t="n"/>
      <c r="G29" s="114" t="n"/>
      <c r="H29" s="114" t="n"/>
      <c r="I29" s="115" t="n"/>
      <c r="J29" s="114" t="n"/>
      <c r="K29" s="114" t="n"/>
      <c r="L29" s="114" t="n"/>
      <c r="M29" s="114" t="n"/>
      <c r="N29" s="114" t="n"/>
      <c r="O29" s="114" t="n"/>
      <c r="P29" s="115" t="n"/>
      <c r="Q29" s="114" t="n"/>
      <c r="R29" s="114" t="n"/>
      <c r="S29" s="114" t="n"/>
      <c r="T29" s="114" t="n"/>
      <c r="U29" s="114" t="n"/>
      <c r="V29" s="114" t="n"/>
      <c r="W29" s="115" t="n"/>
      <c r="X29" s="114" t="n"/>
      <c r="Y29" s="114" t="n"/>
      <c r="Z29" s="114" t="n"/>
      <c r="AA29" s="114" t="n"/>
      <c r="AB29" s="114" t="n"/>
      <c r="AC29" s="114" t="n"/>
      <c r="AD29" s="115" t="n"/>
      <c r="AE29" s="114" t="n"/>
      <c r="AF29" s="114" t="n"/>
      <c r="AG29" s="114" t="n"/>
      <c r="AH29" s="114" t="n"/>
      <c r="AI29" s="116">
        <f>IF(ISBLANK(B29), "", IF(ISNUMBER(D29), IF(D29&gt;0, (COUNTIF(E29:AH29, "✓") + COUNTIF(E29:AH29, "✔") + COUNTIF(E29:AH29, "v") + COUNTIF(E29:AH29, "V"))/D29, 0), IF(((COUNTIF(E29:AH29, "✓") + COUNTIF(E29:AH29, "✔") + COUNTIF(E29:AH29, "v") + COUNTIF(E29:AH29, "V")) + COUNTIF(E29:AH29, "✗") + COUNTIF(E29:AH29, "x") + COUNTIF(E29:AH29, "X"))&gt;0, (COUNTIF(E29:AH29, "✓") + COUNTIF(E29:AH29, "✔") + COUNTIF(E29:AH29, "v") + COUNTIF(E29:AH29, "V"))/((COUNTIF(E29:AH29, "✓") + COUNTIF(E29:AH29, "✔") + COUNTIF(E29:AH29, "v") + COUNTIF(E29:AH29, "V")) + COUNTIF(E29:AH29, "✗") + COUNTIF(E29:AH29, "x") + COUNTIF(E29:AH29, "X")), "")))</f>
        <v/>
      </c>
      <c r="AJ29" s="117">
        <f>IF(ISBLANK(B29), "", IF(ISNUMBER(D29), IF(D29&gt;0, (COUNTIF(E29:AH29, "✓") + COUNTIF(E29:AH29, "✔") + COUNTIF(E29:AH29, "v") + COUNTIF(E29:AH29, "V")) &amp; "/" &amp; D29, (COUNTIF(E29:AH29, "✓") + COUNTIF(E29:AH29, "✔") + COUNTIF(E29:AH29, "v") + COUNTIF(E29:AH29, "V")) &amp; "/0"), IF(((COUNTIF(E29:AH29, "✓") + COUNTIF(E29:AH29, "✔") + COUNTIF(E29:AH29, "v") + COUNTIF(E29:AH29, "V")) + COUNTIF(E29:AH29, "✗") + COUNTIF(E29:AH29, "x") + COUNTIF(E29:AH29, "X"))&gt;0, (COUNTIF(E29:AH29, "✓") + COUNTIF(E29:AH29, "✔") + COUNTIF(E29:AH29, "v") + COUNTIF(E29:AH29, "V")) &amp; "/" &amp; ((COUNTIF(E29:AH29, "✓") + COUNTIF(E29:AH29, "✔") + COUNTIF(E29:AH29, "v") + COUNTIF(E29:AH29, "V")) + COUNTIF(E29:AH29, "✗") + COUNTIF(E29:AH29, "x") + COUNTIF(E29:AH29, "X")), "")))</f>
        <v/>
      </c>
      <c r="AK29" s="117">
        <f>IF(ISBLANK(B29), "", IF(AI29&gt;=0.85, "🔥 Mastered", IF(AI29&gt;=0.7, "⚡ Consistent", "⚠️ Needs Focus")))</f>
        <v/>
      </c>
      <c r="AL29">
        <f>COUNTIF(E29:AH29, "✓")</f>
        <v/>
      </c>
    </row>
    <row r="30" ht="14.5" customHeight="1">
      <c r="A30" s="118" t="n">
        <v>13</v>
      </c>
      <c r="B30" s="119" t="n"/>
      <c r="C30" s="120" t="n"/>
      <c r="D30" s="120" t="n"/>
      <c r="E30" s="121" t="n"/>
      <c r="F30" s="121" t="n"/>
      <c r="G30" s="121" t="n"/>
      <c r="H30" s="121" t="n"/>
      <c r="I30" s="122" t="n"/>
      <c r="J30" s="121" t="n"/>
      <c r="K30" s="121" t="n"/>
      <c r="L30" s="121" t="n"/>
      <c r="M30" s="121" t="n"/>
      <c r="N30" s="121" t="n"/>
      <c r="O30" s="121" t="n"/>
      <c r="P30" s="122" t="n"/>
      <c r="Q30" s="121" t="n"/>
      <c r="R30" s="121" t="n"/>
      <c r="S30" s="121" t="n"/>
      <c r="T30" s="121" t="n"/>
      <c r="U30" s="121" t="n"/>
      <c r="V30" s="121" t="n"/>
      <c r="W30" s="122" t="n"/>
      <c r="X30" s="121" t="n"/>
      <c r="Y30" s="121" t="n"/>
      <c r="Z30" s="121" t="n"/>
      <c r="AA30" s="121" t="n"/>
      <c r="AB30" s="121" t="n"/>
      <c r="AC30" s="121" t="n"/>
      <c r="AD30" s="122" t="n"/>
      <c r="AE30" s="121" t="n"/>
      <c r="AF30" s="121" t="n"/>
      <c r="AG30" s="121" t="n"/>
      <c r="AH30" s="121" t="n"/>
      <c r="AI30" s="123">
        <f>IF(ISBLANK(B30), "", IF(ISNUMBER(D30), IF(D30&gt;0, (COUNTIF(E30:AH30, "✓") + COUNTIF(E30:AH30, "✔") + COUNTIF(E30:AH30, "v") + COUNTIF(E30:AH30, "V"))/D30, 0), IF(((COUNTIF(E30:AH30, "✓") + COUNTIF(E30:AH30, "✔") + COUNTIF(E30:AH30, "v") + COUNTIF(E30:AH30, "V")) + COUNTIF(E30:AH30, "✗") + COUNTIF(E30:AH30, "x") + COUNTIF(E30:AH30, "X"))&gt;0, (COUNTIF(E30:AH30, "✓") + COUNTIF(E30:AH30, "✔") + COUNTIF(E30:AH30, "v") + COUNTIF(E30:AH30, "V"))/((COUNTIF(E30:AH30, "✓") + COUNTIF(E30:AH30, "✔") + COUNTIF(E30:AH30, "v") + COUNTIF(E30:AH30, "V")) + COUNTIF(E30:AH30, "✗") + COUNTIF(E30:AH30, "x") + COUNTIF(E30:AH30, "X")), "")))</f>
        <v/>
      </c>
      <c r="AJ30" s="124">
        <f>IF(ISBLANK(B30), "", IF(ISNUMBER(D30), IF(D30&gt;0, (COUNTIF(E30:AH30, "✓") + COUNTIF(E30:AH30, "✔") + COUNTIF(E30:AH30, "v") + COUNTIF(E30:AH30, "V")) &amp; "/" &amp; D30, (COUNTIF(E30:AH30, "✓") + COUNTIF(E30:AH30, "✔") + COUNTIF(E30:AH30, "v") + COUNTIF(E30:AH30, "V")) &amp; "/0"), IF(((COUNTIF(E30:AH30, "✓") + COUNTIF(E30:AH30, "✔") + COUNTIF(E30:AH30, "v") + COUNTIF(E30:AH30, "V")) + COUNTIF(E30:AH30, "✗") + COUNTIF(E30:AH30, "x") + COUNTIF(E30:AH30, "X"))&gt;0, (COUNTIF(E30:AH30, "✓") + COUNTIF(E30:AH30, "✔") + COUNTIF(E30:AH30, "v") + COUNTIF(E30:AH30, "V")) &amp; "/" &amp; ((COUNTIF(E30:AH30, "✓") + COUNTIF(E30:AH30, "✔") + COUNTIF(E30:AH30, "v") + COUNTIF(E30:AH30, "V")) + COUNTIF(E30:AH30, "✗") + COUNTIF(E30:AH30, "x") + COUNTIF(E30:AH30, "X")), "")))</f>
        <v/>
      </c>
      <c r="AK30" s="124">
        <f>IF(ISBLANK(B30), "", IF(AI30&gt;=0.85, "🔥 Mastered", IF(AI30&gt;=0.7, "⚡ Consistent", "⚠️ Needs Focus")))</f>
        <v/>
      </c>
      <c r="AL30">
        <f>COUNTIF(E30:AH30, "✓")</f>
        <v/>
      </c>
    </row>
    <row r="31" ht="14.5" customHeight="1">
      <c r="A31" s="118" t="n">
        <v>14</v>
      </c>
      <c r="B31" s="119" t="n"/>
      <c r="C31" s="120" t="n"/>
      <c r="D31" s="120" t="n"/>
      <c r="E31" s="121" t="n"/>
      <c r="F31" s="121" t="n"/>
      <c r="G31" s="121" t="n"/>
      <c r="H31" s="121" t="n"/>
      <c r="I31" s="122" t="n"/>
      <c r="J31" s="121" t="n"/>
      <c r="K31" s="121" t="n"/>
      <c r="L31" s="121" t="n"/>
      <c r="M31" s="121" t="n"/>
      <c r="N31" s="121" t="n"/>
      <c r="O31" s="121" t="n"/>
      <c r="P31" s="122" t="n"/>
      <c r="Q31" s="121" t="n"/>
      <c r="R31" s="121" t="n"/>
      <c r="S31" s="121" t="n"/>
      <c r="T31" s="121" t="n"/>
      <c r="U31" s="121" t="n"/>
      <c r="V31" s="121" t="n"/>
      <c r="W31" s="122" t="n"/>
      <c r="X31" s="121" t="n"/>
      <c r="Y31" s="121" t="n"/>
      <c r="Z31" s="121" t="n"/>
      <c r="AA31" s="121" t="n"/>
      <c r="AB31" s="121" t="n"/>
      <c r="AC31" s="121" t="n"/>
      <c r="AD31" s="122" t="n"/>
      <c r="AE31" s="121" t="n"/>
      <c r="AF31" s="121" t="n"/>
      <c r="AG31" s="121" t="n"/>
      <c r="AH31" s="121" t="n"/>
      <c r="AI31" s="123">
        <f>IF(ISBLANK(B31), "", IF(ISNUMBER(D31), IF(D31&gt;0, (COUNTIF(E31:AH31, "✓") + COUNTIF(E31:AH31, "✔") + COUNTIF(E31:AH31, "v") + COUNTIF(E31:AH31, "V"))/D31, 0), IF(((COUNTIF(E31:AH31, "✓") + COUNTIF(E31:AH31, "✔") + COUNTIF(E31:AH31, "v") + COUNTIF(E31:AH31, "V")) + COUNTIF(E31:AH31, "✗") + COUNTIF(E31:AH31, "x") + COUNTIF(E31:AH31, "X"))&gt;0, (COUNTIF(E31:AH31, "✓") + COUNTIF(E31:AH31, "✔") + COUNTIF(E31:AH31, "v") + COUNTIF(E31:AH31, "V"))/((COUNTIF(E31:AH31, "✓") + COUNTIF(E31:AH31, "✔") + COUNTIF(E31:AH31, "v") + COUNTIF(E31:AH31, "V")) + COUNTIF(E31:AH31, "✗") + COUNTIF(E31:AH31, "x") + COUNTIF(E31:AH31, "X")), "")))</f>
        <v/>
      </c>
      <c r="AJ31" s="124">
        <f>IF(ISBLANK(B31), "", IF(ISNUMBER(D31), IF(D31&gt;0, (COUNTIF(E31:AH31, "✓") + COUNTIF(E31:AH31, "✔") + COUNTIF(E31:AH31, "v") + COUNTIF(E31:AH31, "V")) &amp; "/" &amp; D31, (COUNTIF(E31:AH31, "✓") + COUNTIF(E31:AH31, "✔") + COUNTIF(E31:AH31, "v") + COUNTIF(E31:AH31, "V")) &amp; "/0"), IF(((COUNTIF(E31:AH31, "✓") + COUNTIF(E31:AH31, "✔") + COUNTIF(E31:AH31, "v") + COUNTIF(E31:AH31, "V")) + COUNTIF(E31:AH31, "✗") + COUNTIF(E31:AH31, "x") + COUNTIF(E31:AH31, "X"))&gt;0, (COUNTIF(E31:AH31, "✓") + COUNTIF(E31:AH31, "✔") + COUNTIF(E31:AH31, "v") + COUNTIF(E31:AH31, "V")) &amp; "/" &amp; ((COUNTIF(E31:AH31, "✓") + COUNTIF(E31:AH31, "✔") + COUNTIF(E31:AH31, "v") + COUNTIF(E31:AH31, "V")) + COUNTIF(E31:AH31, "✗") + COUNTIF(E31:AH31, "x") + COUNTIF(E31:AH31, "X")), "")))</f>
        <v/>
      </c>
      <c r="AK31" s="124">
        <f>IF(ISBLANK(B31), "", IF(AI31&gt;=0.85, "🔥 Mastered", IF(AI31&gt;=0.7, "⚡ Consistent", "⚠️ Needs Focus")))</f>
        <v/>
      </c>
      <c r="AL31">
        <f>COUNTIF(E31:AH31, "✓")</f>
        <v/>
      </c>
    </row>
    <row r="32" ht="14.5" customHeight="1">
      <c r="A32" s="118" t="n">
        <v>15</v>
      </c>
      <c r="B32" s="119" t="n"/>
      <c r="C32" s="120" t="n"/>
      <c r="D32" s="120" t="n"/>
      <c r="E32" s="121" t="n"/>
      <c r="F32" s="121" t="n"/>
      <c r="G32" s="121" t="n"/>
      <c r="H32" s="121" t="n"/>
      <c r="I32" s="122" t="n"/>
      <c r="J32" s="121" t="n"/>
      <c r="K32" s="121" t="n"/>
      <c r="L32" s="121" t="n"/>
      <c r="M32" s="121" t="n"/>
      <c r="N32" s="121" t="n"/>
      <c r="O32" s="121" t="n"/>
      <c r="P32" s="122" t="n"/>
      <c r="Q32" s="121" t="n"/>
      <c r="R32" s="121" t="n"/>
      <c r="S32" s="121" t="n"/>
      <c r="T32" s="121" t="n"/>
      <c r="U32" s="121" t="n"/>
      <c r="V32" s="121" t="n"/>
      <c r="W32" s="122" t="n"/>
      <c r="X32" s="121" t="n"/>
      <c r="Y32" s="121" t="n"/>
      <c r="Z32" s="121" t="n"/>
      <c r="AA32" s="121" t="n"/>
      <c r="AB32" s="121" t="n"/>
      <c r="AC32" s="121" t="n"/>
      <c r="AD32" s="122" t="n"/>
      <c r="AE32" s="121" t="n"/>
      <c r="AF32" s="121" t="n"/>
      <c r="AG32" s="121" t="n"/>
      <c r="AH32" s="121" t="n"/>
      <c r="AI32" s="123">
        <f>IF(ISBLANK(B32), "", IF(ISNUMBER(D32), IF(D32&gt;0, (COUNTIF(E32:AH32, "✓") + COUNTIF(E32:AH32, "✔") + COUNTIF(E32:AH32, "v") + COUNTIF(E32:AH32, "V"))/D32, 0), IF(((COUNTIF(E32:AH32, "✓") + COUNTIF(E32:AH32, "✔") + COUNTIF(E32:AH32, "v") + COUNTIF(E32:AH32, "V")) + COUNTIF(E32:AH32, "✗") + COUNTIF(E32:AH32, "x") + COUNTIF(E32:AH32, "X"))&gt;0, (COUNTIF(E32:AH32, "✓") + COUNTIF(E32:AH32, "✔") + COUNTIF(E32:AH32, "v") + COUNTIF(E32:AH32, "V"))/((COUNTIF(E32:AH32, "✓") + COUNTIF(E32:AH32, "✔") + COUNTIF(E32:AH32, "v") + COUNTIF(E32:AH32, "V")) + COUNTIF(E32:AH32, "✗") + COUNTIF(E32:AH32, "x") + COUNTIF(E32:AH32, "X")), "")))</f>
        <v/>
      </c>
      <c r="AJ32" s="124">
        <f>IF(ISBLANK(B32), "", IF(ISNUMBER(D32), IF(D32&gt;0, (COUNTIF(E32:AH32, "✓") + COUNTIF(E32:AH32, "✔") + COUNTIF(E32:AH32, "v") + COUNTIF(E32:AH32, "V")) &amp; "/" &amp; D32, (COUNTIF(E32:AH32, "✓") + COUNTIF(E32:AH32, "✔") + COUNTIF(E32:AH32, "v") + COUNTIF(E32:AH32, "V")) &amp; "/0"), IF(((COUNTIF(E32:AH32, "✓") + COUNTIF(E32:AH32, "✔") + COUNTIF(E32:AH32, "v") + COUNTIF(E32:AH32, "V")) + COUNTIF(E32:AH32, "✗") + COUNTIF(E32:AH32, "x") + COUNTIF(E32:AH32, "X"))&gt;0, (COUNTIF(E32:AH32, "✓") + COUNTIF(E32:AH32, "✔") + COUNTIF(E32:AH32, "v") + COUNTIF(E32:AH32, "V")) &amp; "/" &amp; ((COUNTIF(E32:AH32, "✓") + COUNTIF(E32:AH32, "✔") + COUNTIF(E32:AH32, "v") + COUNTIF(E32:AH32, "V")) + COUNTIF(E32:AH32, "✗") + COUNTIF(E32:AH32, "x") + COUNTIF(E32:AH32, "X")), "")))</f>
        <v/>
      </c>
      <c r="AK32" s="124">
        <f>IF(ISBLANK(B32), "", IF(AI32&gt;=0.85, "🔥 Mastered", IF(AI32&gt;=0.7, "⚡ Consistent", "⚠️ Needs Focus")))</f>
        <v/>
      </c>
      <c r="AL32">
        <f>COUNTIF(E32:AH32, "✓")</f>
        <v/>
      </c>
    </row>
    <row r="33" ht="14.5" customHeight="1">
      <c r="A33" s="118" t="n">
        <v>16</v>
      </c>
      <c r="B33" s="119" t="n"/>
      <c r="C33" s="120" t="n"/>
      <c r="D33" s="120" t="n"/>
      <c r="E33" s="121" t="n"/>
      <c r="F33" s="121" t="n"/>
      <c r="G33" s="121" t="n"/>
      <c r="H33" s="121" t="n"/>
      <c r="I33" s="122" t="n"/>
      <c r="J33" s="121" t="n"/>
      <c r="K33" s="121" t="n"/>
      <c r="L33" s="121" t="n"/>
      <c r="M33" s="121" t="n"/>
      <c r="N33" s="121" t="n"/>
      <c r="O33" s="121" t="n"/>
      <c r="P33" s="122" t="n"/>
      <c r="Q33" s="121" t="n"/>
      <c r="R33" s="121" t="n"/>
      <c r="S33" s="121" t="n"/>
      <c r="T33" s="121" t="n"/>
      <c r="U33" s="121" t="n"/>
      <c r="V33" s="121" t="n"/>
      <c r="W33" s="122" t="n"/>
      <c r="X33" s="121" t="n"/>
      <c r="Y33" s="121" t="n"/>
      <c r="Z33" s="121" t="n"/>
      <c r="AA33" s="121" t="n"/>
      <c r="AB33" s="121" t="n"/>
      <c r="AC33" s="121" t="n"/>
      <c r="AD33" s="122" t="n"/>
      <c r="AE33" s="121" t="n"/>
      <c r="AF33" s="121" t="n"/>
      <c r="AG33" s="121" t="n"/>
      <c r="AH33" s="121" t="n"/>
      <c r="AI33" s="123">
        <f>IF(ISBLANK(B33), "", IF(ISNUMBER(D33), IF(D33&gt;0, (COUNTIF(E33:AH33, "✓") + COUNTIF(E33:AH33, "✔") + COUNTIF(E33:AH33, "v") + COUNTIF(E33:AH33, "V"))/D33, 0), IF(((COUNTIF(E33:AH33, "✓") + COUNTIF(E33:AH33, "✔") + COUNTIF(E33:AH33, "v") + COUNTIF(E33:AH33, "V")) + COUNTIF(E33:AH33, "✗") + COUNTIF(E33:AH33, "x") + COUNTIF(E33:AH33, "X"))&gt;0, (COUNTIF(E33:AH33, "✓") + COUNTIF(E33:AH33, "✔") + COUNTIF(E33:AH33, "v") + COUNTIF(E33:AH33, "V"))/((COUNTIF(E33:AH33, "✓") + COUNTIF(E33:AH33, "✔") + COUNTIF(E33:AH33, "v") + COUNTIF(E33:AH33, "V")) + COUNTIF(E33:AH33, "✗") + COUNTIF(E33:AH33, "x") + COUNTIF(E33:AH33, "X")), "")))</f>
        <v/>
      </c>
      <c r="AJ33" s="124">
        <f>IF(ISBLANK(B33), "", IF(ISNUMBER(D33), IF(D33&gt;0, (COUNTIF(E33:AH33, "✓") + COUNTIF(E33:AH33, "✔") + COUNTIF(E33:AH33, "v") + COUNTIF(E33:AH33, "V")) &amp; "/" &amp; D33, (COUNTIF(E33:AH33, "✓") + COUNTIF(E33:AH33, "✔") + COUNTIF(E33:AH33, "v") + COUNTIF(E33:AH33, "V")) &amp; "/0"), IF(((COUNTIF(E33:AH33, "✓") + COUNTIF(E33:AH33, "✔") + COUNTIF(E33:AH33, "v") + COUNTIF(E33:AH33, "V")) + COUNTIF(E33:AH33, "✗") + COUNTIF(E33:AH33, "x") + COUNTIF(E33:AH33, "X"))&gt;0, (COUNTIF(E33:AH33, "✓") + COUNTIF(E33:AH33, "✔") + COUNTIF(E33:AH33, "v") + COUNTIF(E33:AH33, "V")) &amp; "/" &amp; ((COUNTIF(E33:AH33, "✓") + COUNTIF(E33:AH33, "✔") + COUNTIF(E33:AH33, "v") + COUNTIF(E33:AH33, "V")) + COUNTIF(E33:AH33, "✗") + COUNTIF(E33:AH33, "x") + COUNTIF(E33:AH33, "X")), "")))</f>
        <v/>
      </c>
      <c r="AK33" s="124">
        <f>IF(ISBLANK(B33), "", IF(AI33&gt;=0.85, "🔥 Mastered", IF(AI33&gt;=0.7, "⚡ Consistent", "⚠️ Needs Focus")))</f>
        <v/>
      </c>
      <c r="AL33">
        <f>COUNTIF(E33:AH33, "✓")</f>
        <v/>
      </c>
    </row>
    <row r="34" ht="14.5" customHeight="1">
      <c r="A34" s="125" t="n">
        <v>17</v>
      </c>
      <c r="B34" s="126" t="n"/>
      <c r="C34" s="127" t="n"/>
      <c r="D34" s="127" t="n"/>
      <c r="E34" s="128" t="n"/>
      <c r="F34" s="128" t="n"/>
      <c r="G34" s="128" t="n"/>
      <c r="H34" s="128" t="n"/>
      <c r="I34" s="129" t="n"/>
      <c r="J34" s="128" t="n"/>
      <c r="K34" s="128" t="n"/>
      <c r="L34" s="128" t="n"/>
      <c r="M34" s="128" t="n"/>
      <c r="N34" s="128" t="n"/>
      <c r="O34" s="128" t="n"/>
      <c r="P34" s="129" t="n"/>
      <c r="Q34" s="128" t="n"/>
      <c r="R34" s="128" t="n"/>
      <c r="S34" s="128" t="n"/>
      <c r="T34" s="128" t="n"/>
      <c r="U34" s="128" t="n"/>
      <c r="V34" s="128" t="n"/>
      <c r="W34" s="129" t="n"/>
      <c r="X34" s="128" t="n"/>
      <c r="Y34" s="128" t="n"/>
      <c r="Z34" s="128" t="n"/>
      <c r="AA34" s="128" t="n"/>
      <c r="AB34" s="128" t="n"/>
      <c r="AC34" s="128" t="n"/>
      <c r="AD34" s="129" t="n"/>
      <c r="AE34" s="128" t="n"/>
      <c r="AF34" s="128" t="n"/>
      <c r="AG34" s="128" t="n"/>
      <c r="AH34" s="128" t="n"/>
      <c r="AI34" s="130">
        <f>IF(ISBLANK(B34), "", IF(ISNUMBER(D34), IF(D34&gt;0, (COUNTIF(E34:AH34, "✓") + COUNTIF(E34:AH34, "✔") + COUNTIF(E34:AH34, "v") + COUNTIF(E34:AH34, "V"))/D34, 0), IF(((COUNTIF(E34:AH34, "✓") + COUNTIF(E34:AH34, "✔") + COUNTIF(E34:AH34, "v") + COUNTIF(E34:AH34, "V")) + COUNTIF(E34:AH34, "✗") + COUNTIF(E34:AH34, "x") + COUNTIF(E34:AH34, "X"))&gt;0, (COUNTIF(E34:AH34, "✓") + COUNTIF(E34:AH34, "✔") + COUNTIF(E34:AH34, "v") + COUNTIF(E34:AH34, "V"))/((COUNTIF(E34:AH34, "✓") + COUNTIF(E34:AH34, "✔") + COUNTIF(E34:AH34, "v") + COUNTIF(E34:AH34, "V")) + COUNTIF(E34:AH34, "✗") + COUNTIF(E34:AH34, "x") + COUNTIF(E34:AH34, "X")), "")))</f>
        <v/>
      </c>
      <c r="AJ34" s="131">
        <f>IF(ISBLANK(B34), "", IF(ISNUMBER(D34), IF(D34&gt;0, (COUNTIF(E34:AH34, "✓") + COUNTIF(E34:AH34, "✔") + COUNTIF(E34:AH34, "v") + COUNTIF(E34:AH34, "V")) &amp; "/" &amp; D34, (COUNTIF(E34:AH34, "✓") + COUNTIF(E34:AH34, "✔") + COUNTIF(E34:AH34, "v") + COUNTIF(E34:AH34, "V")) &amp; "/0"), IF(((COUNTIF(E34:AH34, "✓") + COUNTIF(E34:AH34, "✔") + COUNTIF(E34:AH34, "v") + COUNTIF(E34:AH34, "V")) + COUNTIF(E34:AH34, "✗") + COUNTIF(E34:AH34, "x") + COUNTIF(E34:AH34, "X"))&gt;0, (COUNTIF(E34:AH34, "✓") + COUNTIF(E34:AH34, "✔") + COUNTIF(E34:AH34, "v") + COUNTIF(E34:AH34, "V")) &amp; "/" &amp; ((COUNTIF(E34:AH34, "✓") + COUNTIF(E34:AH34, "✔") + COUNTIF(E34:AH34, "v") + COUNTIF(E34:AH34, "V")) + COUNTIF(E34:AH34, "✗") + COUNTIF(E34:AH34, "x") + COUNTIF(E34:AH34, "X")), "")))</f>
        <v/>
      </c>
      <c r="AK34" s="131">
        <f>IF(ISBLANK(B34), "", IF(AI34&gt;=0.85, "🔥 Mastered", IF(AI34&gt;=0.7, "⚡ Consistent", "⚠️ Needs Focus")))</f>
        <v/>
      </c>
      <c r="AL34">
        <f>COUNTIF(E34:AH34, "✓")</f>
        <v/>
      </c>
    </row>
    <row r="35" ht="14.5" customHeight="1">
      <c r="A35" s="125" t="n">
        <v>18</v>
      </c>
      <c r="B35" s="126" t="n"/>
      <c r="C35" s="127" t="n"/>
      <c r="D35" s="127" t="n"/>
      <c r="E35" s="128" t="n"/>
      <c r="F35" s="128" t="n"/>
      <c r="G35" s="128" t="n"/>
      <c r="H35" s="128" t="n"/>
      <c r="I35" s="129" t="n"/>
      <c r="J35" s="128" t="n"/>
      <c r="K35" s="128" t="n"/>
      <c r="L35" s="128" t="n"/>
      <c r="M35" s="128" t="n"/>
      <c r="N35" s="128" t="n"/>
      <c r="O35" s="128" t="n"/>
      <c r="P35" s="129" t="n"/>
      <c r="Q35" s="128" t="n"/>
      <c r="R35" s="128" t="n"/>
      <c r="S35" s="128" t="n"/>
      <c r="T35" s="128" t="n"/>
      <c r="U35" s="128" t="n"/>
      <c r="V35" s="128" t="n"/>
      <c r="W35" s="129" t="n"/>
      <c r="X35" s="128" t="n"/>
      <c r="Y35" s="128" t="n"/>
      <c r="Z35" s="128" t="n"/>
      <c r="AA35" s="128" t="n"/>
      <c r="AB35" s="128" t="n"/>
      <c r="AC35" s="128" t="n"/>
      <c r="AD35" s="129" t="n"/>
      <c r="AE35" s="128" t="n"/>
      <c r="AF35" s="128" t="n"/>
      <c r="AG35" s="128" t="n"/>
      <c r="AH35" s="128" t="n"/>
      <c r="AI35" s="130">
        <f>IF(ISBLANK(B35), "", IF(ISNUMBER(D35), IF(D35&gt;0, (COUNTIF(E35:AH35, "✓") + COUNTIF(E35:AH35, "✔") + COUNTIF(E35:AH35, "v") + COUNTIF(E35:AH35, "V"))/D35, 0), IF(((COUNTIF(E35:AH35, "✓") + COUNTIF(E35:AH35, "✔") + COUNTIF(E35:AH35, "v") + COUNTIF(E35:AH35, "V")) + COUNTIF(E35:AH35, "✗") + COUNTIF(E35:AH35, "x") + COUNTIF(E35:AH35, "X"))&gt;0, (COUNTIF(E35:AH35, "✓") + COUNTIF(E35:AH35, "✔") + COUNTIF(E35:AH35, "v") + COUNTIF(E35:AH35, "V"))/((COUNTIF(E35:AH35, "✓") + COUNTIF(E35:AH35, "✔") + COUNTIF(E35:AH35, "v") + COUNTIF(E35:AH35, "V")) + COUNTIF(E35:AH35, "✗") + COUNTIF(E35:AH35, "x") + COUNTIF(E35:AH35, "X")), "")))</f>
        <v/>
      </c>
      <c r="AJ35" s="131">
        <f>IF(ISBLANK(B35), "", IF(ISNUMBER(D35), IF(D35&gt;0, (COUNTIF(E35:AH35, "✓") + COUNTIF(E35:AH35, "✔") + COUNTIF(E35:AH35, "v") + COUNTIF(E35:AH35, "V")) &amp; "/" &amp; D35, (COUNTIF(E35:AH35, "✓") + COUNTIF(E35:AH35, "✔") + COUNTIF(E35:AH35, "v") + COUNTIF(E35:AH35, "V")) &amp; "/0"), IF(((COUNTIF(E35:AH35, "✓") + COUNTIF(E35:AH35, "✔") + COUNTIF(E35:AH35, "v") + COUNTIF(E35:AH35, "V")) + COUNTIF(E35:AH35, "✗") + COUNTIF(E35:AH35, "x") + COUNTIF(E35:AH35, "X"))&gt;0, (COUNTIF(E35:AH35, "✓") + COUNTIF(E35:AH35, "✔") + COUNTIF(E35:AH35, "v") + COUNTIF(E35:AH35, "V")) &amp; "/" &amp; ((COUNTIF(E35:AH35, "✓") + COUNTIF(E35:AH35, "✔") + COUNTIF(E35:AH35, "v") + COUNTIF(E35:AH35, "V")) + COUNTIF(E35:AH35, "✗") + COUNTIF(E35:AH35, "x") + COUNTIF(E35:AH35, "X")), "")))</f>
        <v/>
      </c>
      <c r="AK35" s="131">
        <f>IF(ISBLANK(B35), "", IF(AI35&gt;=0.85, "🔥 Mastered", IF(AI35&gt;=0.7, "⚡ Consistent", "⚠️ Needs Focus")))</f>
        <v/>
      </c>
      <c r="AL35">
        <f>COUNTIF(E35:AH35, "✓")</f>
        <v/>
      </c>
    </row>
    <row r="36" ht="14.5" customHeight="1">
      <c r="A36" s="125" t="n">
        <v>19</v>
      </c>
      <c r="B36" s="126" t="n"/>
      <c r="C36" s="127" t="n"/>
      <c r="D36" s="127" t="n"/>
      <c r="E36" s="128" t="n"/>
      <c r="F36" s="128" t="n"/>
      <c r="G36" s="128" t="n"/>
      <c r="H36" s="128" t="n"/>
      <c r="I36" s="129" t="n"/>
      <c r="J36" s="128" t="n"/>
      <c r="K36" s="128" t="n"/>
      <c r="L36" s="128" t="n"/>
      <c r="M36" s="128" t="n"/>
      <c r="N36" s="128" t="n"/>
      <c r="O36" s="128" t="n"/>
      <c r="P36" s="129" t="n"/>
      <c r="Q36" s="128" t="n"/>
      <c r="R36" s="128" t="n"/>
      <c r="S36" s="128" t="n"/>
      <c r="T36" s="128" t="n"/>
      <c r="U36" s="128" t="n"/>
      <c r="V36" s="128" t="n"/>
      <c r="W36" s="129" t="n"/>
      <c r="X36" s="128" t="n"/>
      <c r="Y36" s="128" t="n"/>
      <c r="Z36" s="128" t="n"/>
      <c r="AA36" s="128" t="n"/>
      <c r="AB36" s="128" t="n"/>
      <c r="AC36" s="128" t="n"/>
      <c r="AD36" s="129" t="n"/>
      <c r="AE36" s="128" t="n"/>
      <c r="AF36" s="128" t="n"/>
      <c r="AG36" s="128" t="n"/>
      <c r="AH36" s="128" t="n"/>
      <c r="AI36" s="130">
        <f>IF(ISBLANK(B36), "", IF(ISNUMBER(D36), IF(D36&gt;0, (COUNTIF(E36:AH36, "✓") + COUNTIF(E36:AH36, "✔") + COUNTIF(E36:AH36, "v") + COUNTIF(E36:AH36, "V"))/D36, 0), IF(((COUNTIF(E36:AH36, "✓") + COUNTIF(E36:AH36, "✔") + COUNTIF(E36:AH36, "v") + COUNTIF(E36:AH36, "V")) + COUNTIF(E36:AH36, "✗") + COUNTIF(E36:AH36, "x") + COUNTIF(E36:AH36, "X"))&gt;0, (COUNTIF(E36:AH36, "✓") + COUNTIF(E36:AH36, "✔") + COUNTIF(E36:AH36, "v") + COUNTIF(E36:AH36, "V"))/((COUNTIF(E36:AH36, "✓") + COUNTIF(E36:AH36, "✔") + COUNTIF(E36:AH36, "v") + COUNTIF(E36:AH36, "V")) + COUNTIF(E36:AH36, "✗") + COUNTIF(E36:AH36, "x") + COUNTIF(E36:AH36, "X")), "")))</f>
        <v/>
      </c>
      <c r="AJ36" s="131">
        <f>IF(ISBLANK(B36), "", IF(ISNUMBER(D36), IF(D36&gt;0, (COUNTIF(E36:AH36, "✓") + COUNTIF(E36:AH36, "✔") + COUNTIF(E36:AH36, "v") + COUNTIF(E36:AH36, "V")) &amp; "/" &amp; D36, (COUNTIF(E36:AH36, "✓") + COUNTIF(E36:AH36, "✔") + COUNTIF(E36:AH36, "v") + COUNTIF(E36:AH36, "V")) &amp; "/0"), IF(((COUNTIF(E36:AH36, "✓") + COUNTIF(E36:AH36, "✔") + COUNTIF(E36:AH36, "v") + COUNTIF(E36:AH36, "V")) + COUNTIF(E36:AH36, "✗") + COUNTIF(E36:AH36, "x") + COUNTIF(E36:AH36, "X"))&gt;0, (COUNTIF(E36:AH36, "✓") + COUNTIF(E36:AH36, "✔") + COUNTIF(E36:AH36, "v") + COUNTIF(E36:AH36, "V")) &amp; "/" &amp; ((COUNTIF(E36:AH36, "✓") + COUNTIF(E36:AH36, "✔") + COUNTIF(E36:AH36, "v") + COUNTIF(E36:AH36, "V")) + COUNTIF(E36:AH36, "✗") + COUNTIF(E36:AH36, "x") + COUNTIF(E36:AH36, "X")), "")))</f>
        <v/>
      </c>
      <c r="AK36" s="131">
        <f>IF(ISBLANK(B36), "", IF(AI36&gt;=0.85, "🔥 Mastered", IF(AI36&gt;=0.7, "⚡ Consistent", "⚠️ Needs Focus")))</f>
        <v/>
      </c>
      <c r="AL36">
        <f>COUNTIF(E36:AH36, "✓")</f>
        <v/>
      </c>
    </row>
    <row r="37" ht="14.5" customHeight="1">
      <c r="A37" s="125" t="n">
        <v>20</v>
      </c>
      <c r="B37" s="126" t="n"/>
      <c r="C37" s="127" t="n"/>
      <c r="D37" s="127" t="n"/>
      <c r="E37" s="128" t="n"/>
      <c r="F37" s="128" t="n"/>
      <c r="G37" s="128" t="n"/>
      <c r="H37" s="128" t="n"/>
      <c r="I37" s="129" t="n"/>
      <c r="J37" s="128" t="n"/>
      <c r="K37" s="128" t="n"/>
      <c r="L37" s="128" t="n"/>
      <c r="M37" s="128" t="n"/>
      <c r="N37" s="128" t="n"/>
      <c r="O37" s="128" t="n"/>
      <c r="P37" s="129" t="n"/>
      <c r="Q37" s="128" t="n"/>
      <c r="R37" s="128" t="n"/>
      <c r="S37" s="128" t="n"/>
      <c r="T37" s="128" t="n"/>
      <c r="U37" s="128" t="n"/>
      <c r="V37" s="128" t="n"/>
      <c r="W37" s="129" t="n"/>
      <c r="X37" s="128" t="n"/>
      <c r="Y37" s="128" t="n"/>
      <c r="Z37" s="128" t="n"/>
      <c r="AA37" s="128" t="n"/>
      <c r="AB37" s="128" t="n"/>
      <c r="AC37" s="128" t="n"/>
      <c r="AD37" s="129" t="n"/>
      <c r="AE37" s="128" t="n"/>
      <c r="AF37" s="128" t="n"/>
      <c r="AG37" s="128" t="n"/>
      <c r="AH37" s="128" t="n"/>
      <c r="AI37" s="130">
        <f>IF(ISBLANK(B37), "", IF(ISNUMBER(D37), IF(D37&gt;0, (COUNTIF(E37:AH37, "✓") + COUNTIF(E37:AH37, "✔") + COUNTIF(E37:AH37, "v") + COUNTIF(E37:AH37, "V"))/D37, 0), IF(((COUNTIF(E37:AH37, "✓") + COUNTIF(E37:AH37, "✔") + COUNTIF(E37:AH37, "v") + COUNTIF(E37:AH37, "V")) + COUNTIF(E37:AH37, "✗") + COUNTIF(E37:AH37, "x") + COUNTIF(E37:AH37, "X"))&gt;0, (COUNTIF(E37:AH37, "✓") + COUNTIF(E37:AH37, "✔") + COUNTIF(E37:AH37, "v") + COUNTIF(E37:AH37, "V"))/((COUNTIF(E37:AH37, "✓") + COUNTIF(E37:AH37, "✔") + COUNTIF(E37:AH37, "v") + COUNTIF(E37:AH37, "V")) + COUNTIF(E37:AH37, "✗") + COUNTIF(E37:AH37, "x") + COUNTIF(E37:AH37, "X")), "")))</f>
        <v/>
      </c>
      <c r="AJ37" s="131">
        <f>IF(ISBLANK(B37), "", IF(ISNUMBER(D37), IF(D37&gt;0, (COUNTIF(E37:AH37, "✓") + COUNTIF(E37:AH37, "✔") + COUNTIF(E37:AH37, "v") + COUNTIF(E37:AH37, "V")) &amp; "/" &amp; D37, (COUNTIF(E37:AH37, "✓") + COUNTIF(E37:AH37, "✔") + COUNTIF(E37:AH37, "v") + COUNTIF(E37:AH37, "V")) &amp; "/0"), IF(((COUNTIF(E37:AH37, "✓") + COUNTIF(E37:AH37, "✔") + COUNTIF(E37:AH37, "v") + COUNTIF(E37:AH37, "V")) + COUNTIF(E37:AH37, "✗") + COUNTIF(E37:AH37, "x") + COUNTIF(E37:AH37, "X"))&gt;0, (COUNTIF(E37:AH37, "✓") + COUNTIF(E37:AH37, "✔") + COUNTIF(E37:AH37, "v") + COUNTIF(E37:AH37, "V")) &amp; "/" &amp; ((COUNTIF(E37:AH37, "✓") + COUNTIF(E37:AH37, "✔") + COUNTIF(E37:AH37, "v") + COUNTIF(E37:AH37, "V")) + COUNTIF(E37:AH37, "✗") + COUNTIF(E37:AH37, "x") + COUNTIF(E37:AH37, "X")), "")))</f>
        <v/>
      </c>
      <c r="AK37" s="131">
        <f>IF(ISBLANK(B37), "", IF(AI37&gt;=0.85, "🔥 Mastered", IF(AI37&gt;=0.7, "⚡ Consistent", "⚠️ Needs Focus")))</f>
        <v/>
      </c>
      <c r="AL37">
        <f>COUNTIF(E37:AH37, "✓")</f>
        <v/>
      </c>
    </row>
    <row r="38" ht="18" customHeight="1">
      <c r="A38" s="132" t="inlineStr">
        <is>
          <t>DAILY TOTAL SCORE</t>
        </is>
      </c>
      <c r="B38" s="54" t="n"/>
      <c r="C38" s="54" t="n"/>
      <c r="D38" s="54" t="n"/>
      <c r="E38" s="33">
        <f>IF(((COUNTIF(E18:E37, "✓") + COUNTIF(E18:E37, "✔") + COUNTIF(E18:E37, "v") + COUNTIF(E18:E37, "V")) + COUNTIF(E18:E37, "✗") + COUNTIF(E18:E37, "x") + COUNTIF(E18:E37, "X")) &gt; 0, (COUNTIF(E18:E37, "✓") + COUNTIF(E18:E37, "✔") + COUNTIF(E18:E37, "v") + COUNTIF(E18:E37, "V")) &amp; "/" &amp; ((COUNTIF(E18:E37, "✓") + COUNTIF(E18:E37, "✔") + COUNTIF(E18:E37, "v") + COUNTIF(E18:E37, "V")) + COUNTIF(E18:E37, "✗") + COUNTIF(E18:E37, "x") + COUNTIF(E18:E37, "X")), "")</f>
        <v/>
      </c>
      <c r="F38" s="33">
        <f>IF(((COUNTIF(F18:F37, "✓") + COUNTIF(F18:F37, "✔") + COUNTIF(F18:F37, "v") + COUNTIF(F18:F37, "V")) + COUNTIF(F18:F37, "✗") + COUNTIF(F18:F37, "x") + COUNTIF(F18:F37, "X")) &gt; 0, (COUNTIF(F18:F37, "✓") + COUNTIF(F18:F37, "✔") + COUNTIF(F18:F37, "v") + COUNTIF(F18:F37, "V")) &amp; "/" &amp; ((COUNTIF(F18:F37, "✓") + COUNTIF(F18:F37, "✔") + COUNTIF(F18:F37, "v") + COUNTIF(F18:F37, "V")) + COUNTIF(F18:F37, "✗") + COUNTIF(F18:F37, "x") + COUNTIF(F18:F37, "X")), "")</f>
        <v/>
      </c>
      <c r="G38" s="33">
        <f>IF(((COUNTIF(G18:G37, "✓") + COUNTIF(G18:G37, "✔") + COUNTIF(G18:G37, "v") + COUNTIF(G18:G37, "V")) + COUNTIF(G18:G37, "✗") + COUNTIF(G18:G37, "x") + COUNTIF(G18:G37, "X")) &gt; 0, (COUNTIF(G18:G37, "✓") + COUNTIF(G18:G37, "✔") + COUNTIF(G18:G37, "v") + COUNTIF(G18:G37, "V")) &amp; "/" &amp; ((COUNTIF(G18:G37, "✓") + COUNTIF(G18:G37, "✔") + COUNTIF(G18:G37, "v") + COUNTIF(G18:G37, "V")) + COUNTIF(G18:G37, "✗") + COUNTIF(G18:G37, "x") + COUNTIF(G18:G37, "X")), "")</f>
        <v/>
      </c>
      <c r="H38" s="33">
        <f>IF(((COUNTIF(H18:H37, "✓") + COUNTIF(H18:H37, "✔") + COUNTIF(H18:H37, "v") + COUNTIF(H18:H37, "V")) + COUNTIF(H18:H37, "✗") + COUNTIF(H18:H37, "x") + COUNTIF(H18:H37, "X")) &gt; 0, (COUNTIF(H18:H37, "✓") + COUNTIF(H18:H37, "✔") + COUNTIF(H18:H37, "v") + COUNTIF(H18:H37, "V")) &amp; "/" &amp; ((COUNTIF(H18:H37, "✓") + COUNTIF(H18:H37, "✔") + COUNTIF(H18:H37, "v") + COUNTIF(H18:H37, "V")) + COUNTIF(H18:H37, "✗") + COUNTIF(H18:H37, "x") + COUNTIF(H18:H37, "X")), "")</f>
        <v/>
      </c>
      <c r="I38" s="33">
        <f>IF(((COUNTIF(I18:I37, "✓") + COUNTIF(I18:I37, "✔") + COUNTIF(I18:I37, "v") + COUNTIF(I18:I37, "V")) + COUNTIF(I18:I37, "✗") + COUNTIF(I18:I37, "x") + COUNTIF(I18:I37, "X")) &gt; 0, (COUNTIF(I18:I37, "✓") + COUNTIF(I18:I37, "✔") + COUNTIF(I18:I37, "v") + COUNTIF(I18:I37, "V")) &amp; "/" &amp; ((COUNTIF(I18:I37, "✓") + COUNTIF(I18:I37, "✔") + COUNTIF(I18:I37, "v") + COUNTIF(I18:I37, "V")) + COUNTIF(I18:I37, "✗") + COUNTIF(I18:I37, "x") + COUNTIF(I18:I37, "X")), "")</f>
        <v/>
      </c>
      <c r="J38" s="33">
        <f>IF(((COUNTIF(J18:J37, "✓") + COUNTIF(J18:J37, "✔") + COUNTIF(J18:J37, "v") + COUNTIF(J18:J37, "V")) + COUNTIF(J18:J37, "✗") + COUNTIF(J18:J37, "x") + COUNTIF(J18:J37, "X")) &gt; 0, (COUNTIF(J18:J37, "✓") + COUNTIF(J18:J37, "✔") + COUNTIF(J18:J37, "v") + COUNTIF(J18:J37, "V")) &amp; "/" &amp; ((COUNTIF(J18:J37, "✓") + COUNTIF(J18:J37, "✔") + COUNTIF(J18:J37, "v") + COUNTIF(J18:J37, "V")) + COUNTIF(J18:J37, "✗") + COUNTIF(J18:J37, "x") + COUNTIF(J18:J37, "X")), "")</f>
        <v/>
      </c>
      <c r="K38" s="33">
        <f>IF(((COUNTIF(K18:K37, "✓") + COUNTIF(K18:K37, "✔") + COUNTIF(K18:K37, "v") + COUNTIF(K18:K37, "V")) + COUNTIF(K18:K37, "✗") + COUNTIF(K18:K37, "x") + COUNTIF(K18:K37, "X")) &gt; 0, (COUNTIF(K18:K37, "✓") + COUNTIF(K18:K37, "✔") + COUNTIF(K18:K37, "v") + COUNTIF(K18:K37, "V")) &amp; "/" &amp; ((COUNTIF(K18:K37, "✓") + COUNTIF(K18:K37, "✔") + COUNTIF(K18:K37, "v") + COUNTIF(K18:K37, "V")) + COUNTIF(K18:K37, "✗") + COUNTIF(K18:K37, "x") + COUNTIF(K18:K37, "X")), "")</f>
        <v/>
      </c>
      <c r="L38" s="33">
        <f>IF(((COUNTIF(L18:L37, "✓") + COUNTIF(L18:L37, "✔") + COUNTIF(L18:L37, "v") + COUNTIF(L18:L37, "V")) + COUNTIF(L18:L37, "✗") + COUNTIF(L18:L37, "x") + COUNTIF(L18:L37, "X")) &gt; 0, (COUNTIF(L18:L37, "✓") + COUNTIF(L18:L37, "✔") + COUNTIF(L18:L37, "v") + COUNTIF(L18:L37, "V")) &amp; "/" &amp; ((COUNTIF(L18:L37, "✓") + COUNTIF(L18:L37, "✔") + COUNTIF(L18:L37, "v") + COUNTIF(L18:L37, "V")) + COUNTIF(L18:L37, "✗") + COUNTIF(L18:L37, "x") + COUNTIF(L18:L37, "X")), "")</f>
        <v/>
      </c>
      <c r="M38" s="33">
        <f>IF(((COUNTIF(M18:M37, "✓") + COUNTIF(M18:M37, "✔") + COUNTIF(M18:M37, "v") + COUNTIF(M18:M37, "V")) + COUNTIF(M18:M37, "✗") + COUNTIF(M18:M37, "x") + COUNTIF(M18:M37, "X")) &gt; 0, (COUNTIF(M18:M37, "✓") + COUNTIF(M18:M37, "✔") + COUNTIF(M18:M37, "v") + COUNTIF(M18:M37, "V")) &amp; "/" &amp; ((COUNTIF(M18:M37, "✓") + COUNTIF(M18:M37, "✔") + COUNTIF(M18:M37, "v") + COUNTIF(M18:M37, "V")) + COUNTIF(M18:M37, "✗") + COUNTIF(M18:M37, "x") + COUNTIF(M18:M37, "X")), "")</f>
        <v/>
      </c>
      <c r="N38" s="33">
        <f>IF(((COUNTIF(N18:N37, "✓") + COUNTIF(N18:N37, "✔") + COUNTIF(N18:N37, "v") + COUNTIF(N18:N37, "V")) + COUNTIF(N18:N37, "✗") + COUNTIF(N18:N37, "x") + COUNTIF(N18:N37, "X")) &gt; 0, (COUNTIF(N18:N37, "✓") + COUNTIF(N18:N37, "✔") + COUNTIF(N18:N37, "v") + COUNTIF(N18:N37, "V")) &amp; "/" &amp; ((COUNTIF(N18:N37, "✓") + COUNTIF(N18:N37, "✔") + COUNTIF(N18:N37, "v") + COUNTIF(N18:N37, "V")) + COUNTIF(N18:N37, "✗") + COUNTIF(N18:N37, "x") + COUNTIF(N18:N37, "X")), "")</f>
        <v/>
      </c>
      <c r="O38" s="33">
        <f>IF(((COUNTIF(O18:O37, "✓") + COUNTIF(O18:O37, "✔") + COUNTIF(O18:O37, "v") + COUNTIF(O18:O37, "V")) + COUNTIF(O18:O37, "✗") + COUNTIF(O18:O37, "x") + COUNTIF(O18:O37, "X")) &gt; 0, (COUNTIF(O18:O37, "✓") + COUNTIF(O18:O37, "✔") + COUNTIF(O18:O37, "v") + COUNTIF(O18:O37, "V")) &amp; "/" &amp; ((COUNTIF(O18:O37, "✓") + COUNTIF(O18:O37, "✔") + COUNTIF(O18:O37, "v") + COUNTIF(O18:O37, "V")) + COUNTIF(O18:O37, "✗") + COUNTIF(O18:O37, "x") + COUNTIF(O18:O37, "X")), "")</f>
        <v/>
      </c>
      <c r="P38" s="33">
        <f>IF(((COUNTIF(P18:P37, "✓") + COUNTIF(P18:P37, "✔") + COUNTIF(P18:P37, "v") + COUNTIF(P18:P37, "V")) + COUNTIF(P18:P37, "✗") + COUNTIF(P18:P37, "x") + COUNTIF(P18:P37, "X")) &gt; 0, (COUNTIF(P18:P37, "✓") + COUNTIF(P18:P37, "✔") + COUNTIF(P18:P37, "v") + COUNTIF(P18:P37, "V")) &amp; "/" &amp; ((COUNTIF(P18:P37, "✓") + COUNTIF(P18:P37, "✔") + COUNTIF(P18:P37, "v") + COUNTIF(P18:P37, "V")) + COUNTIF(P18:P37, "✗") + COUNTIF(P18:P37, "x") + COUNTIF(P18:P37, "X")), "")</f>
        <v/>
      </c>
      <c r="Q38" s="33">
        <f>IF(((COUNTIF(Q18:Q37, "✓") + COUNTIF(Q18:Q37, "✔") + COUNTIF(Q18:Q37, "v") + COUNTIF(Q18:Q37, "V")) + COUNTIF(Q18:Q37, "✗") + COUNTIF(Q18:Q37, "x") + COUNTIF(Q18:Q37, "X")) &gt; 0, (COUNTIF(Q18:Q37, "✓") + COUNTIF(Q18:Q37, "✔") + COUNTIF(Q18:Q37, "v") + COUNTIF(Q18:Q37, "V")) &amp; "/" &amp; ((COUNTIF(Q18:Q37, "✓") + COUNTIF(Q18:Q37, "✔") + COUNTIF(Q18:Q37, "v") + COUNTIF(Q18:Q37, "V")) + COUNTIF(Q18:Q37, "✗") + COUNTIF(Q18:Q37, "x") + COUNTIF(Q18:Q37, "X")), "")</f>
        <v/>
      </c>
      <c r="R38" s="33">
        <f>IF(((COUNTIF(R18:R37, "✓") + COUNTIF(R18:R37, "✔") + COUNTIF(R18:R37, "v") + COUNTIF(R18:R37, "V")) + COUNTIF(R18:R37, "✗") + COUNTIF(R18:R37, "x") + COUNTIF(R18:R37, "X")) &gt; 0, (COUNTIF(R18:R37, "✓") + COUNTIF(R18:R37, "✔") + COUNTIF(R18:R37, "v") + COUNTIF(R18:R37, "V")) &amp; "/" &amp; ((COUNTIF(R18:R37, "✓") + COUNTIF(R18:R37, "✔") + COUNTIF(R18:R37, "v") + COUNTIF(R18:R37, "V")) + COUNTIF(R18:R37, "✗") + COUNTIF(R18:R37, "x") + COUNTIF(R18:R37, "X")), "")</f>
        <v/>
      </c>
      <c r="S38" s="33">
        <f>IF(((COUNTIF(S18:S37, "✓") + COUNTIF(S18:S37, "✔") + COUNTIF(S18:S37, "v") + COUNTIF(S18:S37, "V")) + COUNTIF(S18:S37, "✗") + COUNTIF(S18:S37, "x") + COUNTIF(S18:S37, "X")) &gt; 0, (COUNTIF(S18:S37, "✓") + COUNTIF(S18:S37, "✔") + COUNTIF(S18:S37, "v") + COUNTIF(S18:S37, "V")) &amp; "/" &amp; ((COUNTIF(S18:S37, "✓") + COUNTIF(S18:S37, "✔") + COUNTIF(S18:S37, "v") + COUNTIF(S18:S37, "V")) + COUNTIF(S18:S37, "✗") + COUNTIF(S18:S37, "x") + COUNTIF(S18:S37, "X")), "")</f>
        <v/>
      </c>
      <c r="T38" s="33">
        <f>IF(((COUNTIF(T18:T37, "✓") + COUNTIF(T18:T37, "✔") + COUNTIF(T18:T37, "v") + COUNTIF(T18:T37, "V")) + COUNTIF(T18:T37, "✗") + COUNTIF(T18:T37, "x") + COUNTIF(T18:T37, "X")) &gt; 0, (COUNTIF(T18:T37, "✓") + COUNTIF(T18:T37, "✔") + COUNTIF(T18:T37, "v") + COUNTIF(T18:T37, "V")) &amp; "/" &amp; ((COUNTIF(T18:T37, "✓") + COUNTIF(T18:T37, "✔") + COUNTIF(T18:T37, "v") + COUNTIF(T18:T37, "V")) + COUNTIF(T18:T37, "✗") + COUNTIF(T18:T37, "x") + COUNTIF(T18:T37, "X")), "")</f>
        <v/>
      </c>
      <c r="U38" s="33">
        <f>IF(((COUNTIF(U18:U37, "✓") + COUNTIF(U18:U37, "✔") + COUNTIF(U18:U37, "v") + COUNTIF(U18:U37, "V")) + COUNTIF(U18:U37, "✗") + COUNTIF(U18:U37, "x") + COUNTIF(U18:U37, "X")) &gt; 0, (COUNTIF(U18:U37, "✓") + COUNTIF(U18:U37, "✔") + COUNTIF(U18:U37, "v") + COUNTIF(U18:U37, "V")) &amp; "/" &amp; ((COUNTIF(U18:U37, "✓") + COUNTIF(U18:U37, "✔") + COUNTIF(U18:U37, "v") + COUNTIF(U18:U37, "V")) + COUNTIF(U18:U37, "✗") + COUNTIF(U18:U37, "x") + COUNTIF(U18:U37, "X")), "")</f>
        <v/>
      </c>
      <c r="V38" s="33">
        <f>IF(((COUNTIF(V18:V37, "✓") + COUNTIF(V18:V37, "✔") + COUNTIF(V18:V37, "v") + COUNTIF(V18:V37, "V")) + COUNTIF(V18:V37, "✗") + COUNTIF(V18:V37, "x") + COUNTIF(V18:V37, "X")) &gt; 0, (COUNTIF(V18:V37, "✓") + COUNTIF(V18:V37, "✔") + COUNTIF(V18:V37, "v") + COUNTIF(V18:V37, "V")) &amp; "/" &amp; ((COUNTIF(V18:V37, "✓") + COUNTIF(V18:V37, "✔") + COUNTIF(V18:V37, "v") + COUNTIF(V18:V37, "V")) + COUNTIF(V18:V37, "✗") + COUNTIF(V18:V37, "x") + COUNTIF(V18:V37, "X")), "")</f>
        <v/>
      </c>
      <c r="W38" s="33">
        <f>IF(((COUNTIF(W18:W37, "✓") + COUNTIF(W18:W37, "✔") + COUNTIF(W18:W37, "v") + COUNTIF(W18:W37, "V")) + COUNTIF(W18:W37, "✗") + COUNTIF(W18:W37, "x") + COUNTIF(W18:W37, "X")) &gt; 0, (COUNTIF(W18:W37, "✓") + COUNTIF(W18:W37, "✔") + COUNTIF(W18:W37, "v") + COUNTIF(W18:W37, "V")) &amp; "/" &amp; ((COUNTIF(W18:W37, "✓") + COUNTIF(W18:W37, "✔") + COUNTIF(W18:W37, "v") + COUNTIF(W18:W37, "V")) + COUNTIF(W18:W37, "✗") + COUNTIF(W18:W37, "x") + COUNTIF(W18:W37, "X")), "")</f>
        <v/>
      </c>
      <c r="X38" s="33">
        <f>IF(((COUNTIF(X18:X37, "✓") + COUNTIF(X18:X37, "✔") + COUNTIF(X18:X37, "v") + COUNTIF(X18:X37, "V")) + COUNTIF(X18:X37, "✗") + COUNTIF(X18:X37, "x") + COUNTIF(X18:X37, "X")) &gt; 0, (COUNTIF(X18:X37, "✓") + COUNTIF(X18:X37, "✔") + COUNTIF(X18:X37, "v") + COUNTIF(X18:X37, "V")) &amp; "/" &amp; ((COUNTIF(X18:X37, "✓") + COUNTIF(X18:X37, "✔") + COUNTIF(X18:X37, "v") + COUNTIF(X18:X37, "V")) + COUNTIF(X18:X37, "✗") + COUNTIF(X18:X37, "x") + COUNTIF(X18:X37, "X")), "")</f>
        <v/>
      </c>
      <c r="Y38" s="33">
        <f>IF(((COUNTIF(Y18:Y37, "✓") + COUNTIF(Y18:Y37, "✔") + COUNTIF(Y18:Y37, "v") + COUNTIF(Y18:Y37, "V")) + COUNTIF(Y18:Y37, "✗") + COUNTIF(Y18:Y37, "x") + COUNTIF(Y18:Y37, "X")) &gt; 0, (COUNTIF(Y18:Y37, "✓") + COUNTIF(Y18:Y37, "✔") + COUNTIF(Y18:Y37, "v") + COUNTIF(Y18:Y37, "V")) &amp; "/" &amp; ((COUNTIF(Y18:Y37, "✓") + COUNTIF(Y18:Y37, "✔") + COUNTIF(Y18:Y37, "v") + COUNTIF(Y18:Y37, "V")) + COUNTIF(Y18:Y37, "✗") + COUNTIF(Y18:Y37, "x") + COUNTIF(Y18:Y37, "X")), "")</f>
        <v/>
      </c>
      <c r="Z38" s="33">
        <f>IF(((COUNTIF(Z18:Z37, "✓") + COUNTIF(Z18:Z37, "✔") + COUNTIF(Z18:Z37, "v") + COUNTIF(Z18:Z37, "V")) + COUNTIF(Z18:Z37, "✗") + COUNTIF(Z18:Z37, "x") + COUNTIF(Z18:Z37, "X")) &gt; 0, (COUNTIF(Z18:Z37, "✓") + COUNTIF(Z18:Z37, "✔") + COUNTIF(Z18:Z37, "v") + COUNTIF(Z18:Z37, "V")) &amp; "/" &amp; ((COUNTIF(Z18:Z37, "✓") + COUNTIF(Z18:Z37, "✔") + COUNTIF(Z18:Z37, "v") + COUNTIF(Z18:Z37, "V")) + COUNTIF(Z18:Z37, "✗") + COUNTIF(Z18:Z37, "x") + COUNTIF(Z18:Z37, "X")), "")</f>
        <v/>
      </c>
      <c r="AA38" s="33">
        <f>IF(((COUNTIF(AA18:AA37, "✓") + COUNTIF(AA18:AA37, "✔") + COUNTIF(AA18:AA37, "v") + COUNTIF(AA18:AA37, "V")) + COUNTIF(AA18:AA37, "✗") + COUNTIF(AA18:AA37, "x") + COUNTIF(AA18:AA37, "X")) &gt; 0, (COUNTIF(AA18:AA37, "✓") + COUNTIF(AA18:AA37, "✔") + COUNTIF(AA18:AA37, "v") + COUNTIF(AA18:AA37, "V")) &amp; "/" &amp; ((COUNTIF(AA18:AA37, "✓") + COUNTIF(AA18:AA37, "✔") + COUNTIF(AA18:AA37, "v") + COUNTIF(AA18:AA37, "V")) + COUNTIF(AA18:AA37, "✗") + COUNTIF(AA18:AA37, "x") + COUNTIF(AA18:AA37, "X")), "")</f>
        <v/>
      </c>
      <c r="AB38" s="33">
        <f>IF(((COUNTIF(AB18:AB37, "✓") + COUNTIF(AB18:AB37, "✔") + COUNTIF(AB18:AB37, "v") + COUNTIF(AB18:AB37, "V")) + COUNTIF(AB18:AB37, "✗") + COUNTIF(AB18:AB37, "x") + COUNTIF(AB18:AB37, "X")) &gt; 0, (COUNTIF(AB18:AB37, "✓") + COUNTIF(AB18:AB37, "✔") + COUNTIF(AB18:AB37, "v") + COUNTIF(AB18:AB37, "V")) &amp; "/" &amp; ((COUNTIF(AB18:AB37, "✓") + COUNTIF(AB18:AB37, "✔") + COUNTIF(AB18:AB37, "v") + COUNTIF(AB18:AB37, "V")) + COUNTIF(AB18:AB37, "✗") + COUNTIF(AB18:AB37, "x") + COUNTIF(AB18:AB37, "X")), "")</f>
        <v/>
      </c>
      <c r="AC38" s="33">
        <f>IF(((COUNTIF(AC18:AC37, "✓") + COUNTIF(AC18:AC37, "✔") + COUNTIF(AC18:AC37, "v") + COUNTIF(AC18:AC37, "V")) + COUNTIF(AC18:AC37, "✗") + COUNTIF(AC18:AC37, "x") + COUNTIF(AC18:AC37, "X")) &gt; 0, (COUNTIF(AC18:AC37, "✓") + COUNTIF(AC18:AC37, "✔") + COUNTIF(AC18:AC37, "v") + COUNTIF(AC18:AC37, "V")) &amp; "/" &amp; ((COUNTIF(AC18:AC37, "✓") + COUNTIF(AC18:AC37, "✔") + COUNTIF(AC18:AC37, "v") + COUNTIF(AC18:AC37, "V")) + COUNTIF(AC18:AC37, "✗") + COUNTIF(AC18:AC37, "x") + COUNTIF(AC18:AC37, "X")), "")</f>
        <v/>
      </c>
      <c r="AD38" s="33">
        <f>IF(((COUNTIF(AD18:AD37, "✓") + COUNTIF(AD18:AD37, "✔") + COUNTIF(AD18:AD37, "v") + COUNTIF(AD18:AD37, "V")) + COUNTIF(AD18:AD37, "✗") + COUNTIF(AD18:AD37, "x") + COUNTIF(AD18:AD37, "X")) &gt; 0, (COUNTIF(AD18:AD37, "✓") + COUNTIF(AD18:AD37, "✔") + COUNTIF(AD18:AD37, "v") + COUNTIF(AD18:AD37, "V")) &amp; "/" &amp; ((COUNTIF(AD18:AD37, "✓") + COUNTIF(AD18:AD37, "✔") + COUNTIF(AD18:AD37, "v") + COUNTIF(AD18:AD37, "V")) + COUNTIF(AD18:AD37, "✗") + COUNTIF(AD18:AD37, "x") + COUNTIF(AD18:AD37, "X")), "")</f>
        <v/>
      </c>
      <c r="AE38" s="33">
        <f>IF(((COUNTIF(AE18:AE37, "✓") + COUNTIF(AE18:AE37, "✔") + COUNTIF(AE18:AE37, "v") + COUNTIF(AE18:AE37, "V")) + COUNTIF(AE18:AE37, "✗") + COUNTIF(AE18:AE37, "x") + COUNTIF(AE18:AE37, "X")) &gt; 0, (COUNTIF(AE18:AE37, "✓") + COUNTIF(AE18:AE37, "✔") + COUNTIF(AE18:AE37, "v") + COUNTIF(AE18:AE37, "V")) &amp; "/" &amp; ((COUNTIF(AE18:AE37, "✓") + COUNTIF(AE18:AE37, "✔") + COUNTIF(AE18:AE37, "v") + COUNTIF(AE18:AE37, "V")) + COUNTIF(AE18:AE37, "✗") + COUNTIF(AE18:AE37, "x") + COUNTIF(AE18:AE37, "X")), "")</f>
        <v/>
      </c>
      <c r="AF38" s="33">
        <f>IF(((COUNTIF(AF18:AF37, "✓") + COUNTIF(AF18:AF37, "✔") + COUNTIF(AF18:AF37, "v") + COUNTIF(AF18:AF37, "V")) + COUNTIF(AF18:AF37, "✗") + COUNTIF(AF18:AF37, "x") + COUNTIF(AF18:AF37, "X")) &gt; 0, (COUNTIF(AF18:AF37, "✓") + COUNTIF(AF18:AF37, "✔") + COUNTIF(AF18:AF37, "v") + COUNTIF(AF18:AF37, "V")) &amp; "/" &amp; ((COUNTIF(AF18:AF37, "✓") + COUNTIF(AF18:AF37, "✔") + COUNTIF(AF18:AF37, "v") + COUNTIF(AF18:AF37, "V")) + COUNTIF(AF18:AF37, "✗") + COUNTIF(AF18:AF37, "x") + COUNTIF(AF18:AF37, "X")), "")</f>
        <v/>
      </c>
      <c r="AG38" s="33">
        <f>IF(((COUNTIF(AG18:AG37, "✓") + COUNTIF(AG18:AG37, "✔") + COUNTIF(AG18:AG37, "v") + COUNTIF(AG18:AG37, "V")) + COUNTIF(AG18:AG37, "✗") + COUNTIF(AG18:AG37, "x") + COUNTIF(AG18:AG37, "X")) &gt; 0, (COUNTIF(AG18:AG37, "✓") + COUNTIF(AG18:AG37, "✔") + COUNTIF(AG18:AG37, "v") + COUNTIF(AG18:AG37, "V")) &amp; "/" &amp; ((COUNTIF(AG18:AG37, "✓") + COUNTIF(AG18:AG37, "✔") + COUNTIF(AG18:AG37, "v") + COUNTIF(AG18:AG37, "V")) + COUNTIF(AG18:AG37, "✗") + COUNTIF(AG18:AG37, "x") + COUNTIF(AG18:AG37, "X")), "")</f>
        <v/>
      </c>
      <c r="AH38" s="33">
        <f>IF(((COUNTIF(AH18:AH37, "✓") + COUNTIF(AH18:AH37, "✔") + COUNTIF(AH18:AH37, "v") + COUNTIF(AH18:AH37, "V")) + COUNTIF(AH18:AH37, "✗") + COUNTIF(AH18:AH37, "x") + COUNTIF(AH18:AH37, "X")) &gt; 0, (COUNTIF(AH18:AH37, "✓") + COUNTIF(AH18:AH37, "✔") + COUNTIF(AH18:AH37, "v") + COUNTIF(AH18:AH37, "V")) &amp; "/" &amp; ((COUNTIF(AH18:AH37, "✓") + COUNTIF(AH18:AH37, "✔") + COUNTIF(AH18:AH37, "v") + COUNTIF(AH18:AH37, "V")) + COUNTIF(AH18:AH37, "✗") + COUNTIF(AH18:AH37, "x") + COUNTIF(AH18:AH37, "X")), "")</f>
        <v/>
      </c>
      <c r="AI38" s="133">
        <f>IF(SUM(D18:D37) &gt; 0, SUM(AL18:AL37) / SUM(D18:D37), "")</f>
        <v/>
      </c>
      <c r="AJ38" s="33">
        <f>IF(SUM(D18:D37) &gt; 0, SUM(AL18:AL37) &amp; "/" &amp; SUM(D18:D37), "")</f>
        <v/>
      </c>
      <c r="AK38" s="54" t="n"/>
    </row>
    <row r="39" ht="18" customHeight="1">
      <c r="A39" s="132" t="inlineStr">
        <is>
          <t>DAILY SUCCESS %</t>
        </is>
      </c>
      <c r="B39" s="54" t="n"/>
      <c r="C39" s="54" t="n"/>
      <c r="D39" s="54" t="n"/>
      <c r="E39" s="134">
        <f>IF(((COUNTIF(E18:E37, "✓") + COUNTIF(E18:E37, "✔") + COUNTIF(E18:E37, "v") + COUNTIF(E18:E37, "V")) + COUNTIF(E18:E37, "✗") + COUNTIF(E18:E37, "x") + COUNTIF(E18:E37, "X")) &gt; 0, (COUNTIF(E18:E37, "✓") + COUNTIF(E18:E37, "✔") + COUNTIF(E18:E37, "v") + COUNTIF(E18:E37, "V")) / ((COUNTIF(E18:E37, "✓") + COUNTIF(E18:E37, "✔") + COUNTIF(E18:E37, "v") + COUNTIF(E18:E37, "V")) + COUNTIF(E18:E37, "✗") + COUNTIF(E18:E37, "x") + COUNTIF(E18:E37, "X")), "")</f>
        <v/>
      </c>
      <c r="F39" s="134">
        <f>IF(((COUNTIF(F18:F37, "✓") + COUNTIF(F18:F37, "✔") + COUNTIF(F18:F37, "v") + COUNTIF(F18:F37, "V")) + COUNTIF(F18:F37, "✗") + COUNTIF(F18:F37, "x") + COUNTIF(F18:F37, "X")) &gt; 0, (COUNTIF(F18:F37, "✓") + COUNTIF(F18:F37, "✔") + COUNTIF(F18:F37, "v") + COUNTIF(F18:F37, "V")) / ((COUNTIF(F18:F37, "✓") + COUNTIF(F18:F37, "✔") + COUNTIF(F18:F37, "v") + COUNTIF(F18:F37, "V")) + COUNTIF(F18:F37, "✗") + COUNTIF(F18:F37, "x") + COUNTIF(F18:F37, "X")), "")</f>
        <v/>
      </c>
      <c r="G39" s="134">
        <f>IF(((COUNTIF(G18:G37, "✓") + COUNTIF(G18:G37, "✔") + COUNTIF(G18:G37, "v") + COUNTIF(G18:G37, "V")) + COUNTIF(G18:G37, "✗") + COUNTIF(G18:G37, "x") + COUNTIF(G18:G37, "X")) &gt; 0, (COUNTIF(G18:G37, "✓") + COUNTIF(G18:G37, "✔") + COUNTIF(G18:G37, "v") + COUNTIF(G18:G37, "V")) / ((COUNTIF(G18:G37, "✓") + COUNTIF(G18:G37, "✔") + COUNTIF(G18:G37, "v") + COUNTIF(G18:G37, "V")) + COUNTIF(G18:G37, "✗") + COUNTIF(G18:G37, "x") + COUNTIF(G18:G37, "X")), "")</f>
        <v/>
      </c>
      <c r="H39" s="134">
        <f>IF(((COUNTIF(H18:H37, "✓") + COUNTIF(H18:H37, "✔") + COUNTIF(H18:H37, "v") + COUNTIF(H18:H37, "V")) + COUNTIF(H18:H37, "✗") + COUNTIF(H18:H37, "x") + COUNTIF(H18:H37, "X")) &gt; 0, (COUNTIF(H18:H37, "✓") + COUNTIF(H18:H37, "✔") + COUNTIF(H18:H37, "v") + COUNTIF(H18:H37, "V")) / ((COUNTIF(H18:H37, "✓") + COUNTIF(H18:H37, "✔") + COUNTIF(H18:H37, "v") + COUNTIF(H18:H37, "V")) + COUNTIF(H18:H37, "✗") + COUNTIF(H18:H37, "x") + COUNTIF(H18:H37, "X")), "")</f>
        <v/>
      </c>
      <c r="I39" s="134">
        <f>IF(((COUNTIF(I18:I37, "✓") + COUNTIF(I18:I37, "✔") + COUNTIF(I18:I37, "v") + COUNTIF(I18:I37, "V")) + COUNTIF(I18:I37, "✗") + COUNTIF(I18:I37, "x") + COUNTIF(I18:I37, "X")) &gt; 0, (COUNTIF(I18:I37, "✓") + COUNTIF(I18:I37, "✔") + COUNTIF(I18:I37, "v") + COUNTIF(I18:I37, "V")) / ((COUNTIF(I18:I37, "✓") + COUNTIF(I18:I37, "✔") + COUNTIF(I18:I37, "v") + COUNTIF(I18:I37, "V")) + COUNTIF(I18:I37, "✗") + COUNTIF(I18:I37, "x") + COUNTIF(I18:I37, "X")), "")</f>
        <v/>
      </c>
      <c r="J39" s="134">
        <f>IF(((COUNTIF(J18:J37, "✓") + COUNTIF(J18:J37, "✔") + COUNTIF(J18:J37, "v") + COUNTIF(J18:J37, "V")) + COUNTIF(J18:J37, "✗") + COUNTIF(J18:J37, "x") + COUNTIF(J18:J37, "X")) &gt; 0, (COUNTIF(J18:J37, "✓") + COUNTIF(J18:J37, "✔") + COUNTIF(J18:J37, "v") + COUNTIF(J18:J37, "V")) / ((COUNTIF(J18:J37, "✓") + COUNTIF(J18:J37, "✔") + COUNTIF(J18:J37, "v") + COUNTIF(J18:J37, "V")) + COUNTIF(J18:J37, "✗") + COUNTIF(J18:J37, "x") + COUNTIF(J18:J37, "X")), "")</f>
        <v/>
      </c>
      <c r="K39" s="134">
        <f>IF(((COUNTIF(K18:K37, "✓") + COUNTIF(K18:K37, "✔") + COUNTIF(K18:K37, "v") + COUNTIF(K18:K37, "V")) + COUNTIF(K18:K37, "✗") + COUNTIF(K18:K37, "x") + COUNTIF(K18:K37, "X")) &gt; 0, (COUNTIF(K18:K37, "✓") + COUNTIF(K18:K37, "✔") + COUNTIF(K18:K37, "v") + COUNTIF(K18:K37, "V")) / ((COUNTIF(K18:K37, "✓") + COUNTIF(K18:K37, "✔") + COUNTIF(K18:K37, "v") + COUNTIF(K18:K37, "V")) + COUNTIF(K18:K37, "✗") + COUNTIF(K18:K37, "x") + COUNTIF(K18:K37, "X")), "")</f>
        <v/>
      </c>
      <c r="L39" s="134">
        <f>IF(((COUNTIF(L18:L37, "✓") + COUNTIF(L18:L37, "✔") + COUNTIF(L18:L37, "v") + COUNTIF(L18:L37, "V")) + COUNTIF(L18:L37, "✗") + COUNTIF(L18:L37, "x") + COUNTIF(L18:L37, "X")) &gt; 0, (COUNTIF(L18:L37, "✓") + COUNTIF(L18:L37, "✔") + COUNTIF(L18:L37, "v") + COUNTIF(L18:L37, "V")) / ((COUNTIF(L18:L37, "✓") + COUNTIF(L18:L37, "✔") + COUNTIF(L18:L37, "v") + COUNTIF(L18:L37, "V")) + COUNTIF(L18:L37, "✗") + COUNTIF(L18:L37, "x") + COUNTIF(L18:L37, "X")), "")</f>
        <v/>
      </c>
      <c r="M39" s="134">
        <f>IF(((COUNTIF(M18:M37, "✓") + COUNTIF(M18:M37, "✔") + COUNTIF(M18:M37, "v") + COUNTIF(M18:M37, "V")) + COUNTIF(M18:M37, "✗") + COUNTIF(M18:M37, "x") + COUNTIF(M18:M37, "X")) &gt; 0, (COUNTIF(M18:M37, "✓") + COUNTIF(M18:M37, "✔") + COUNTIF(M18:M37, "v") + COUNTIF(M18:M37, "V")) / ((COUNTIF(M18:M37, "✓") + COUNTIF(M18:M37, "✔") + COUNTIF(M18:M37, "v") + COUNTIF(M18:M37, "V")) + COUNTIF(M18:M37, "✗") + COUNTIF(M18:M37, "x") + COUNTIF(M18:M37, "X")), "")</f>
        <v/>
      </c>
      <c r="N39" s="134">
        <f>IF(((COUNTIF(N18:N37, "✓") + COUNTIF(N18:N37, "✔") + COUNTIF(N18:N37, "v") + COUNTIF(N18:N37, "V")) + COUNTIF(N18:N37, "✗") + COUNTIF(N18:N37, "x") + COUNTIF(N18:N37, "X")) &gt; 0, (COUNTIF(N18:N37, "✓") + COUNTIF(N18:N37, "✔") + COUNTIF(N18:N37, "v") + COUNTIF(N18:N37, "V")) / ((COUNTIF(N18:N37, "✓") + COUNTIF(N18:N37, "✔") + COUNTIF(N18:N37, "v") + COUNTIF(N18:N37, "V")) + COUNTIF(N18:N37, "✗") + COUNTIF(N18:N37, "x") + COUNTIF(N18:N37, "X")), "")</f>
        <v/>
      </c>
      <c r="O39" s="134">
        <f>IF(((COUNTIF(O18:O37, "✓") + COUNTIF(O18:O37, "✔") + COUNTIF(O18:O37, "v") + COUNTIF(O18:O37, "V")) + COUNTIF(O18:O37, "✗") + COUNTIF(O18:O37, "x") + COUNTIF(O18:O37, "X")) &gt; 0, (COUNTIF(O18:O37, "✓") + COUNTIF(O18:O37, "✔") + COUNTIF(O18:O37, "v") + COUNTIF(O18:O37, "V")) / ((COUNTIF(O18:O37, "✓") + COUNTIF(O18:O37, "✔") + COUNTIF(O18:O37, "v") + COUNTIF(O18:O37, "V")) + COUNTIF(O18:O37, "✗") + COUNTIF(O18:O37, "x") + COUNTIF(O18:O37, "X")), "")</f>
        <v/>
      </c>
      <c r="P39" s="134">
        <f>IF(((COUNTIF(P18:P37, "✓") + COUNTIF(P18:P37, "✔") + COUNTIF(P18:P37, "v") + COUNTIF(P18:P37, "V")) + COUNTIF(P18:P37, "✗") + COUNTIF(P18:P37, "x") + COUNTIF(P18:P37, "X")) &gt; 0, (COUNTIF(P18:P37, "✓") + COUNTIF(P18:P37, "✔") + COUNTIF(P18:P37, "v") + COUNTIF(P18:P37, "V")) / ((COUNTIF(P18:P37, "✓") + COUNTIF(P18:P37, "✔") + COUNTIF(P18:P37, "v") + COUNTIF(P18:P37, "V")) + COUNTIF(P18:P37, "✗") + COUNTIF(P18:P37, "x") + COUNTIF(P18:P37, "X")), "")</f>
        <v/>
      </c>
      <c r="Q39" s="134">
        <f>IF(((COUNTIF(Q18:Q37, "✓") + COUNTIF(Q18:Q37, "✔") + COUNTIF(Q18:Q37, "v") + COUNTIF(Q18:Q37, "V")) + COUNTIF(Q18:Q37, "✗") + COUNTIF(Q18:Q37, "x") + COUNTIF(Q18:Q37, "X")) &gt; 0, (COUNTIF(Q18:Q37, "✓") + COUNTIF(Q18:Q37, "✔") + COUNTIF(Q18:Q37, "v") + COUNTIF(Q18:Q37, "V")) / ((COUNTIF(Q18:Q37, "✓") + COUNTIF(Q18:Q37, "✔") + COUNTIF(Q18:Q37, "v") + COUNTIF(Q18:Q37, "V")) + COUNTIF(Q18:Q37, "✗") + COUNTIF(Q18:Q37, "x") + COUNTIF(Q18:Q37, "X")), "")</f>
        <v/>
      </c>
      <c r="R39" s="134">
        <f>IF(((COUNTIF(R18:R37, "✓") + COUNTIF(R18:R37, "✔") + COUNTIF(R18:R37, "v") + COUNTIF(R18:R37, "V")) + COUNTIF(R18:R37, "✗") + COUNTIF(R18:R37, "x") + COUNTIF(R18:R37, "X")) &gt; 0, (COUNTIF(R18:R37, "✓") + COUNTIF(R18:R37, "✔") + COUNTIF(R18:R37, "v") + COUNTIF(R18:R37, "V")) / ((COUNTIF(R18:R37, "✓") + COUNTIF(R18:R37, "✔") + COUNTIF(R18:R37, "v") + COUNTIF(R18:R37, "V")) + COUNTIF(R18:R37, "✗") + COUNTIF(R18:R37, "x") + COUNTIF(R18:R37, "X")), "")</f>
        <v/>
      </c>
      <c r="S39" s="134">
        <f>IF(((COUNTIF(S18:S37, "✓") + COUNTIF(S18:S37, "✔") + COUNTIF(S18:S37, "v") + COUNTIF(S18:S37, "V")) + COUNTIF(S18:S37, "✗") + COUNTIF(S18:S37, "x") + COUNTIF(S18:S37, "X")) &gt; 0, (COUNTIF(S18:S37, "✓") + COUNTIF(S18:S37, "✔") + COUNTIF(S18:S37, "v") + COUNTIF(S18:S37, "V")) / ((COUNTIF(S18:S37, "✓") + COUNTIF(S18:S37, "✔") + COUNTIF(S18:S37, "v") + COUNTIF(S18:S37, "V")) + COUNTIF(S18:S37, "✗") + COUNTIF(S18:S37, "x") + COUNTIF(S18:S37, "X")), "")</f>
        <v/>
      </c>
      <c r="T39" s="134">
        <f>IF(((COUNTIF(T18:T37, "✓") + COUNTIF(T18:T37, "✔") + COUNTIF(T18:T37, "v") + COUNTIF(T18:T37, "V")) + COUNTIF(T18:T37, "✗") + COUNTIF(T18:T37, "x") + COUNTIF(T18:T37, "X")) &gt; 0, (COUNTIF(T18:T37, "✓") + COUNTIF(T18:T37, "✔") + COUNTIF(T18:T37, "v") + COUNTIF(T18:T37, "V")) / ((COUNTIF(T18:T37, "✓") + COUNTIF(T18:T37, "✔") + COUNTIF(T18:T37, "v") + COUNTIF(T18:T37, "V")) + COUNTIF(T18:T37, "✗") + COUNTIF(T18:T37, "x") + COUNTIF(T18:T37, "X")), "")</f>
        <v/>
      </c>
      <c r="U39" s="134">
        <f>IF(((COUNTIF(U18:U37, "✓") + COUNTIF(U18:U37, "✔") + COUNTIF(U18:U37, "v") + COUNTIF(U18:U37, "V")) + COUNTIF(U18:U37, "✗") + COUNTIF(U18:U37, "x") + COUNTIF(U18:U37, "X")) &gt; 0, (COUNTIF(U18:U37, "✓") + COUNTIF(U18:U37, "✔") + COUNTIF(U18:U37, "v") + COUNTIF(U18:U37, "V")) / ((COUNTIF(U18:U37, "✓") + COUNTIF(U18:U37, "✔") + COUNTIF(U18:U37, "v") + COUNTIF(U18:U37, "V")) + COUNTIF(U18:U37, "✗") + COUNTIF(U18:U37, "x") + COUNTIF(U18:U37, "X")), "")</f>
        <v/>
      </c>
      <c r="V39" s="134">
        <f>IF(((COUNTIF(V18:V37, "✓") + COUNTIF(V18:V37, "✔") + COUNTIF(V18:V37, "v") + COUNTIF(V18:V37, "V")) + COUNTIF(V18:V37, "✗") + COUNTIF(V18:V37, "x") + COUNTIF(V18:V37, "X")) &gt; 0, (COUNTIF(V18:V37, "✓") + COUNTIF(V18:V37, "✔") + COUNTIF(V18:V37, "v") + COUNTIF(V18:V37, "V")) / ((COUNTIF(V18:V37, "✓") + COUNTIF(V18:V37, "✔") + COUNTIF(V18:V37, "v") + COUNTIF(V18:V37, "V")) + COUNTIF(V18:V37, "✗") + COUNTIF(V18:V37, "x") + COUNTIF(V18:V37, "X")), "")</f>
        <v/>
      </c>
      <c r="W39" s="134">
        <f>IF(((COUNTIF(W18:W37, "✓") + COUNTIF(W18:W37, "✔") + COUNTIF(W18:W37, "v") + COUNTIF(W18:W37, "V")) + COUNTIF(W18:W37, "✗") + COUNTIF(W18:W37, "x") + COUNTIF(W18:W37, "X")) &gt; 0, (COUNTIF(W18:W37, "✓") + COUNTIF(W18:W37, "✔") + COUNTIF(W18:W37, "v") + COUNTIF(W18:W37, "V")) / ((COUNTIF(W18:W37, "✓") + COUNTIF(W18:W37, "✔") + COUNTIF(W18:W37, "v") + COUNTIF(W18:W37, "V")) + COUNTIF(W18:W37, "✗") + COUNTIF(W18:W37, "x") + COUNTIF(W18:W37, "X")), "")</f>
        <v/>
      </c>
      <c r="X39" s="134">
        <f>IF(((COUNTIF(X18:X37, "✓") + COUNTIF(X18:X37, "✔") + COUNTIF(X18:X37, "v") + COUNTIF(X18:X37, "V")) + COUNTIF(X18:X37, "✗") + COUNTIF(X18:X37, "x") + COUNTIF(X18:X37, "X")) &gt; 0, (COUNTIF(X18:X37, "✓") + COUNTIF(X18:X37, "✔") + COUNTIF(X18:X37, "v") + COUNTIF(X18:X37, "V")) / ((COUNTIF(X18:X37, "✓") + COUNTIF(X18:X37, "✔") + COUNTIF(X18:X37, "v") + COUNTIF(X18:X37, "V")) + COUNTIF(X18:X37, "✗") + COUNTIF(X18:X37, "x") + COUNTIF(X18:X37, "X")), "")</f>
        <v/>
      </c>
      <c r="Y39" s="134">
        <f>IF(((COUNTIF(Y18:Y37, "✓") + COUNTIF(Y18:Y37, "✔") + COUNTIF(Y18:Y37, "v") + COUNTIF(Y18:Y37, "V")) + COUNTIF(Y18:Y37, "✗") + COUNTIF(Y18:Y37, "x") + COUNTIF(Y18:Y37, "X")) &gt; 0, (COUNTIF(Y18:Y37, "✓") + COUNTIF(Y18:Y37, "✔") + COUNTIF(Y18:Y37, "v") + COUNTIF(Y18:Y37, "V")) / ((COUNTIF(Y18:Y37, "✓") + COUNTIF(Y18:Y37, "✔") + COUNTIF(Y18:Y37, "v") + COUNTIF(Y18:Y37, "V")) + COUNTIF(Y18:Y37, "✗") + COUNTIF(Y18:Y37, "x") + COUNTIF(Y18:Y37, "X")), "")</f>
        <v/>
      </c>
      <c r="Z39" s="134">
        <f>IF(((COUNTIF(Z18:Z37, "✓") + COUNTIF(Z18:Z37, "✔") + COUNTIF(Z18:Z37, "v") + COUNTIF(Z18:Z37, "V")) + COUNTIF(Z18:Z37, "✗") + COUNTIF(Z18:Z37, "x") + COUNTIF(Z18:Z37, "X")) &gt; 0, (COUNTIF(Z18:Z37, "✓") + COUNTIF(Z18:Z37, "✔") + COUNTIF(Z18:Z37, "v") + COUNTIF(Z18:Z37, "V")) / ((COUNTIF(Z18:Z37, "✓") + COUNTIF(Z18:Z37, "✔") + COUNTIF(Z18:Z37, "v") + COUNTIF(Z18:Z37, "V")) + COUNTIF(Z18:Z37, "✗") + COUNTIF(Z18:Z37, "x") + COUNTIF(Z18:Z37, "X")), "")</f>
        <v/>
      </c>
      <c r="AA39" s="134">
        <f>IF(((COUNTIF(AA18:AA37, "✓") + COUNTIF(AA18:AA37, "✔") + COUNTIF(AA18:AA37, "v") + COUNTIF(AA18:AA37, "V")) + COUNTIF(AA18:AA37, "✗") + COUNTIF(AA18:AA37, "x") + COUNTIF(AA18:AA37, "X")) &gt; 0, (COUNTIF(AA18:AA37, "✓") + COUNTIF(AA18:AA37, "✔") + COUNTIF(AA18:AA37, "v") + COUNTIF(AA18:AA37, "V")) / ((COUNTIF(AA18:AA37, "✓") + COUNTIF(AA18:AA37, "✔") + COUNTIF(AA18:AA37, "v") + COUNTIF(AA18:AA37, "V")) + COUNTIF(AA18:AA37, "✗") + COUNTIF(AA18:AA37, "x") + COUNTIF(AA18:AA37, "X")), "")</f>
        <v/>
      </c>
      <c r="AB39" s="134">
        <f>IF(((COUNTIF(AB18:AB37, "✓") + COUNTIF(AB18:AB37, "✔") + COUNTIF(AB18:AB37, "v") + COUNTIF(AB18:AB37, "V")) + COUNTIF(AB18:AB37, "✗") + COUNTIF(AB18:AB37, "x") + COUNTIF(AB18:AB37, "X")) &gt; 0, (COUNTIF(AB18:AB37, "✓") + COUNTIF(AB18:AB37, "✔") + COUNTIF(AB18:AB37, "v") + COUNTIF(AB18:AB37, "V")) / ((COUNTIF(AB18:AB37, "✓") + COUNTIF(AB18:AB37, "✔") + COUNTIF(AB18:AB37, "v") + COUNTIF(AB18:AB37, "V")) + COUNTIF(AB18:AB37, "✗") + COUNTIF(AB18:AB37, "x") + COUNTIF(AB18:AB37, "X")), "")</f>
        <v/>
      </c>
      <c r="AC39" s="134">
        <f>IF(((COUNTIF(AC18:AC37, "✓") + COUNTIF(AC18:AC37, "✔") + COUNTIF(AC18:AC37, "v") + COUNTIF(AC18:AC37, "V")) + COUNTIF(AC18:AC37, "✗") + COUNTIF(AC18:AC37, "x") + COUNTIF(AC18:AC37, "X")) &gt; 0, (COUNTIF(AC18:AC37, "✓") + COUNTIF(AC18:AC37, "✔") + COUNTIF(AC18:AC37, "v") + COUNTIF(AC18:AC37, "V")) / ((COUNTIF(AC18:AC37, "✓") + COUNTIF(AC18:AC37, "✔") + COUNTIF(AC18:AC37, "v") + COUNTIF(AC18:AC37, "V")) + COUNTIF(AC18:AC37, "✗") + COUNTIF(AC18:AC37, "x") + COUNTIF(AC18:AC37, "X")), "")</f>
        <v/>
      </c>
      <c r="AD39" s="134">
        <f>IF(((COUNTIF(AD18:AD37, "✓") + COUNTIF(AD18:AD37, "✔") + COUNTIF(AD18:AD37, "v") + COUNTIF(AD18:AD37, "V")) + COUNTIF(AD18:AD37, "✗") + COUNTIF(AD18:AD37, "x") + COUNTIF(AD18:AD37, "X")) &gt; 0, (COUNTIF(AD18:AD37, "✓") + COUNTIF(AD18:AD37, "✔") + COUNTIF(AD18:AD37, "v") + COUNTIF(AD18:AD37, "V")) / ((COUNTIF(AD18:AD37, "✓") + COUNTIF(AD18:AD37, "✔") + COUNTIF(AD18:AD37, "v") + COUNTIF(AD18:AD37, "V")) + COUNTIF(AD18:AD37, "✗") + COUNTIF(AD18:AD37, "x") + COUNTIF(AD18:AD37, "X")), "")</f>
        <v/>
      </c>
      <c r="AE39" s="134">
        <f>IF(((COUNTIF(AE18:AE37, "✓") + COUNTIF(AE18:AE37, "✔") + COUNTIF(AE18:AE37, "v") + COUNTIF(AE18:AE37, "V")) + COUNTIF(AE18:AE37, "✗") + COUNTIF(AE18:AE37, "x") + COUNTIF(AE18:AE37, "X")) &gt; 0, (COUNTIF(AE18:AE37, "✓") + COUNTIF(AE18:AE37, "✔") + COUNTIF(AE18:AE37, "v") + COUNTIF(AE18:AE37, "V")) / ((COUNTIF(AE18:AE37, "✓") + COUNTIF(AE18:AE37, "✔") + COUNTIF(AE18:AE37, "v") + COUNTIF(AE18:AE37, "V")) + COUNTIF(AE18:AE37, "✗") + COUNTIF(AE18:AE37, "x") + COUNTIF(AE18:AE37, "X")), "")</f>
        <v/>
      </c>
      <c r="AF39" s="134">
        <f>IF(((COUNTIF(AF18:AF37, "✓") + COUNTIF(AF18:AF37, "✔") + COUNTIF(AF18:AF37, "v") + COUNTIF(AF18:AF37, "V")) + COUNTIF(AF18:AF37, "✗") + COUNTIF(AF18:AF37, "x") + COUNTIF(AF18:AF37, "X")) &gt; 0, (COUNTIF(AF18:AF37, "✓") + COUNTIF(AF18:AF37, "✔") + COUNTIF(AF18:AF37, "v") + COUNTIF(AF18:AF37, "V")) / ((COUNTIF(AF18:AF37, "✓") + COUNTIF(AF18:AF37, "✔") + COUNTIF(AF18:AF37, "v") + COUNTIF(AF18:AF37, "V")) + COUNTIF(AF18:AF37, "✗") + COUNTIF(AF18:AF37, "x") + COUNTIF(AF18:AF37, "X")), "")</f>
        <v/>
      </c>
      <c r="AG39" s="134">
        <f>IF(((COUNTIF(AG18:AG37, "✓") + COUNTIF(AG18:AG37, "✔") + COUNTIF(AG18:AG37, "v") + COUNTIF(AG18:AG37, "V")) + COUNTIF(AG18:AG37, "✗") + COUNTIF(AG18:AG37, "x") + COUNTIF(AG18:AG37, "X")) &gt; 0, (COUNTIF(AG18:AG37, "✓") + COUNTIF(AG18:AG37, "✔") + COUNTIF(AG18:AG37, "v") + COUNTIF(AG18:AG37, "V")) / ((COUNTIF(AG18:AG37, "✓") + COUNTIF(AG18:AG37, "✔") + COUNTIF(AG18:AG37, "v") + COUNTIF(AG18:AG37, "V")) + COUNTIF(AG18:AG37, "✗") + COUNTIF(AG18:AG37, "x") + COUNTIF(AG18:AG37, "X")), "")</f>
        <v/>
      </c>
      <c r="AH39" s="134">
        <f>IF(((COUNTIF(AH18:AH37, "✓") + COUNTIF(AH18:AH37, "✔") + COUNTIF(AH18:AH37, "v") + COUNTIF(AH18:AH37, "V")) + COUNTIF(AH18:AH37, "✗") + COUNTIF(AH18:AH37, "x") + COUNTIF(AH18:AH37, "X")) &gt; 0, (COUNTIF(AH18:AH37, "✓") + COUNTIF(AH18:AH37, "✔") + COUNTIF(AH18:AH37, "v") + COUNTIF(AH18:AH37, "V")) / ((COUNTIF(AH18:AH37, "✓") + COUNTIF(AH18:AH37, "✔") + COUNTIF(AH18:AH37, "v") + COUNTIF(AH18:AH37, "V")) + COUNTIF(AH18:AH37, "✗") + COUNTIF(AH18:AH37, "x") + COUNTIF(AH18:AH37, "X")), "")</f>
        <v/>
      </c>
      <c r="AI39" s="133">
        <f>IF(COUNT(E39:AH39) &gt; 0, AVERAGE(E39:AH39), "")</f>
        <v/>
      </c>
      <c r="AJ39" s="54" t="n"/>
      <c r="AK39" s="54" t="n"/>
    </row>
    <row r="40" ht="6" customHeight="1"/>
    <row r="41" ht="15" customHeight="1">
      <c r="A41" s="135" t="inlineStr">
        <is>
          <t>IF SUCCESS &lt; 80%, PUNISHMENT: ________________________________________________</t>
        </is>
      </c>
    </row>
    <row r="42" ht="15" customHeight="1">
      <c r="A42" s="136" t="inlineStr">
        <is>
          <t>IF SUCCESS &gt; 90%, REWARD: __________________________________________________</t>
        </is>
      </c>
    </row>
    <row r="43" ht="10" customHeight="1"/>
    <row r="44" ht="10" customHeight="1"/>
    <row r="45" ht="15" customHeight="1">
      <c r="A45" s="51" t="inlineStr">
        <is>
          <t>Sleep Tracking</t>
        </is>
      </c>
      <c r="B45" s="52" t="n"/>
      <c r="C45" s="52" t="n"/>
      <c r="D45" s="52" t="n"/>
      <c r="E45" s="137" t="n">
        <v>1</v>
      </c>
      <c r="F45" s="137" t="n">
        <v>2</v>
      </c>
      <c r="G45" s="137" t="n">
        <v>3</v>
      </c>
      <c r="H45" s="137" t="n">
        <v>4</v>
      </c>
      <c r="I45" s="138" t="n">
        <v>5</v>
      </c>
      <c r="J45" s="137" t="n">
        <v>6</v>
      </c>
      <c r="K45" s="137" t="n">
        <v>7</v>
      </c>
      <c r="L45" s="137" t="n">
        <v>8</v>
      </c>
      <c r="M45" s="137" t="n">
        <v>9</v>
      </c>
      <c r="N45" s="137" t="n">
        <v>10</v>
      </c>
      <c r="O45" s="137" t="n">
        <v>11</v>
      </c>
      <c r="P45" s="138" t="n">
        <v>12</v>
      </c>
      <c r="Q45" s="137" t="n">
        <v>13</v>
      </c>
      <c r="R45" s="137" t="n">
        <v>14</v>
      </c>
      <c r="S45" s="137" t="n">
        <v>15</v>
      </c>
      <c r="T45" s="137" t="n">
        <v>16</v>
      </c>
      <c r="U45" s="137" t="n">
        <v>17</v>
      </c>
      <c r="V45" s="137" t="n">
        <v>18</v>
      </c>
      <c r="W45" s="138" t="n">
        <v>19</v>
      </c>
      <c r="X45" s="137" t="n">
        <v>20</v>
      </c>
      <c r="Y45" s="137" t="n">
        <v>21</v>
      </c>
      <c r="Z45" s="137" t="n">
        <v>22</v>
      </c>
      <c r="AA45" s="137" t="n">
        <v>23</v>
      </c>
      <c r="AB45" s="137" t="n">
        <v>24</v>
      </c>
      <c r="AC45" s="137" t="n">
        <v>25</v>
      </c>
      <c r="AD45" s="138" t="n">
        <v>26</v>
      </c>
      <c r="AE45" s="137" t="n">
        <v>27</v>
      </c>
      <c r="AF45" s="137" t="n">
        <v>28</v>
      </c>
      <c r="AG45" s="137" t="n">
        <v>29</v>
      </c>
      <c r="AH45" s="137" t="n">
        <v>30</v>
      </c>
    </row>
    <row r="46" ht="15" customHeight="1">
      <c r="A46" s="52" t="n"/>
      <c r="B46" s="52" t="n"/>
      <c r="C46" s="52" t="n"/>
      <c r="D46" s="52" t="n"/>
      <c r="E46" s="139" t="inlineStr">
        <is>
          <t>W</t>
        </is>
      </c>
      <c r="F46" s="139" t="inlineStr">
        <is>
          <t>Th</t>
        </is>
      </c>
      <c r="G46" s="139" t="inlineStr">
        <is>
          <t>F</t>
        </is>
      </c>
      <c r="H46" s="139" t="inlineStr">
        <is>
          <t>Sa</t>
        </is>
      </c>
      <c r="I46" s="140" t="inlineStr">
        <is>
          <t>Su</t>
        </is>
      </c>
      <c r="J46" s="139" t="inlineStr">
        <is>
          <t>M</t>
        </is>
      </c>
      <c r="K46" s="139" t="inlineStr">
        <is>
          <t>T</t>
        </is>
      </c>
      <c r="L46" s="139" t="inlineStr">
        <is>
          <t>W</t>
        </is>
      </c>
      <c r="M46" s="139" t="inlineStr">
        <is>
          <t>Th</t>
        </is>
      </c>
      <c r="N46" s="139" t="inlineStr">
        <is>
          <t>F</t>
        </is>
      </c>
      <c r="O46" s="139" t="inlineStr">
        <is>
          <t>Sa</t>
        </is>
      </c>
      <c r="P46" s="140" t="inlineStr">
        <is>
          <t>Su</t>
        </is>
      </c>
      <c r="Q46" s="139" t="inlineStr">
        <is>
          <t>M</t>
        </is>
      </c>
      <c r="R46" s="139" t="inlineStr">
        <is>
          <t>T</t>
        </is>
      </c>
      <c r="S46" s="139" t="inlineStr">
        <is>
          <t>W</t>
        </is>
      </c>
      <c r="T46" s="139" t="inlineStr">
        <is>
          <t>Th</t>
        </is>
      </c>
      <c r="U46" s="139" t="inlineStr">
        <is>
          <t>F</t>
        </is>
      </c>
      <c r="V46" s="139" t="inlineStr">
        <is>
          <t>Sa</t>
        </is>
      </c>
      <c r="W46" s="140" t="inlineStr">
        <is>
          <t>Su</t>
        </is>
      </c>
      <c r="X46" s="139" t="inlineStr">
        <is>
          <t>M</t>
        </is>
      </c>
      <c r="Y46" s="139" t="inlineStr">
        <is>
          <t>T</t>
        </is>
      </c>
      <c r="Z46" s="139" t="inlineStr">
        <is>
          <t>W</t>
        </is>
      </c>
      <c r="AA46" s="139" t="inlineStr">
        <is>
          <t>Th</t>
        </is>
      </c>
      <c r="AB46" s="139" t="inlineStr">
        <is>
          <t>F</t>
        </is>
      </c>
      <c r="AC46" s="139" t="inlineStr">
        <is>
          <t>Sa</t>
        </is>
      </c>
      <c r="AD46" s="140" t="inlineStr">
        <is>
          <t>Su</t>
        </is>
      </c>
      <c r="AE46" s="139" t="inlineStr">
        <is>
          <t>M</t>
        </is>
      </c>
      <c r="AF46" s="139" t="inlineStr">
        <is>
          <t>T</t>
        </is>
      </c>
      <c r="AG46" s="139" t="inlineStr">
        <is>
          <t>W</t>
        </is>
      </c>
      <c r="AH46" s="139" t="inlineStr">
        <is>
          <t>Th</t>
        </is>
      </c>
    </row>
    <row r="47" ht="20" customHeight="1">
      <c r="A47" s="141" t="inlineStr">
        <is>
          <t>Sleep Hours (1-24)</t>
        </is>
      </c>
      <c r="B47" s="142" t="n"/>
      <c r="C47" s="142" t="n"/>
      <c r="D47" s="142" t="n"/>
      <c r="E47" s="143" t="n"/>
      <c r="F47" s="143" t="n"/>
      <c r="G47" s="143" t="n"/>
      <c r="H47" s="143" t="n"/>
      <c r="I47" s="144" t="n"/>
      <c r="J47" s="143" t="n"/>
      <c r="K47" s="143" t="n"/>
      <c r="L47" s="143" t="n"/>
      <c r="M47" s="143" t="n"/>
      <c r="N47" s="143" t="n"/>
      <c r="O47" s="143" t="n"/>
      <c r="P47" s="144" t="n"/>
      <c r="Q47" s="143" t="n"/>
      <c r="R47" s="143" t="n"/>
      <c r="S47" s="143" t="n"/>
      <c r="T47" s="143" t="n"/>
      <c r="U47" s="143" t="n"/>
      <c r="V47" s="143" t="n"/>
      <c r="W47" s="144" t="n"/>
      <c r="X47" s="143" t="n"/>
      <c r="Y47" s="143" t="n"/>
      <c r="Z47" s="143" t="n"/>
      <c r="AA47" s="143" t="n"/>
      <c r="AB47" s="143" t="n"/>
      <c r="AC47" s="143" t="n"/>
      <c r="AD47" s="144" t="n"/>
      <c r="AE47" s="143" t="n"/>
      <c r="AF47" s="143" t="n"/>
      <c r="AG47" s="143" t="n"/>
      <c r="AH47" s="143" t="n"/>
    </row>
    <row r="48" ht="6" customHeight="1"/>
    <row r="49" ht="14" customHeight="1"/>
    <row r="50" ht="14" customHeight="1"/>
    <row r="51" ht="14" customHeight="1"/>
    <row r="52" ht="14" customHeight="1"/>
    <row r="53" ht="14" customHeight="1"/>
    <row r="54" ht="14" customHeight="1"/>
    <row r="55" ht="14" customHeight="1"/>
    <row r="56" ht="14" customHeight="1"/>
    <row r="57" ht="14" customHeight="1"/>
    <row r="58" ht="14" customHeight="1"/>
    <row r="59" ht="14" customHeight="1"/>
    <row r="60" ht="14" customHeight="1"/>
    <row r="61" ht="14" customHeight="1"/>
    <row r="62" ht="14" customHeight="1"/>
    <row r="63" ht="14" customHeight="1"/>
    <row r="64" ht="14" customHeight="1"/>
    <row r="65" ht="14" customHeight="1"/>
    <row r="66" ht="8" customHeight="1"/>
    <row r="67">
      <c r="A67" s="145" t="inlineStr">
        <is>
          <t>MONTHLY SUCCESS RATE</t>
        </is>
      </c>
      <c r="B67" s="9" t="n"/>
      <c r="C67" s="9" t="n"/>
      <c r="D67" s="9" t="n"/>
      <c r="F67" s="146" t="inlineStr">
        <is>
          <t>ACTIVE PROTOCOLS</t>
        </is>
      </c>
      <c r="G67" s="11" t="n"/>
      <c r="H67" s="11" t="n"/>
      <c r="I67" s="11" t="n"/>
      <c r="K67" s="147" t="inlineStr">
        <is>
          <t>PERFECT DAYS (100%)</t>
        </is>
      </c>
      <c r="L67" s="13" t="n"/>
      <c r="M67" s="13" t="n"/>
      <c r="N67" s="13" t="n"/>
      <c r="P67" s="148" t="inlineStr">
        <is>
          <t>AVG SLEEP DURATION</t>
        </is>
      </c>
      <c r="Q67" s="15" t="n"/>
      <c r="R67" s="15" t="n"/>
      <c r="S67" s="15" t="n"/>
    </row>
    <row r="68">
      <c r="A68" s="149">
        <f>IF(SUM(D18:D37)&gt;0, SUM(AL18:AL37)/SUM(D18:D37), 0)</f>
        <v/>
      </c>
      <c r="B68" s="9" t="n"/>
      <c r="C68" s="9" t="n"/>
      <c r="D68" s="9" t="n"/>
      <c r="F68" s="150">
        <f>COUNTA(B18:B37) &amp; " / 20"</f>
        <v/>
      </c>
      <c r="G68" s="11" t="n"/>
      <c r="H68" s="11" t="n"/>
      <c r="I68" s="11" t="n"/>
      <c r="K68" s="151">
        <f>COUNTIF(E39:AH39, 1) &amp; " Days"</f>
        <v/>
      </c>
      <c r="L68" s="13" t="n"/>
      <c r="M68" s="13" t="n"/>
      <c r="N68" s="13" t="n"/>
      <c r="P68" s="152">
        <f>IFERROR(TEXT(AVERAGE(E47:AH47), "0.0") &amp; " hrs", "-")</f>
        <v/>
      </c>
      <c r="Q68" s="15" t="n"/>
      <c r="R68" s="15" t="n"/>
      <c r="S68" s="15" t="n"/>
    </row>
    <row r="69">
      <c r="A69" s="9" t="n"/>
      <c r="B69" s="9" t="n"/>
      <c r="C69" s="9" t="n"/>
      <c r="D69" s="9" t="n"/>
      <c r="F69" s="11" t="n"/>
      <c r="G69" s="11" t="n"/>
      <c r="H69" s="11" t="n"/>
      <c r="I69" s="11" t="n"/>
      <c r="K69" s="13" t="n"/>
      <c r="L69" s="13" t="n"/>
      <c r="M69" s="13" t="n"/>
      <c r="N69" s="13" t="n"/>
      <c r="P69" s="15" t="n"/>
      <c r="Q69" s="15" t="n"/>
      <c r="R69" s="15" t="n"/>
      <c r="S69" s="15" t="n"/>
    </row>
    <row r="70">
      <c r="A70" s="9" t="n"/>
      <c r="B70" s="9" t="n"/>
      <c r="C70" s="9" t="n"/>
      <c r="D70" s="9" t="n"/>
      <c r="F70" s="11" t="n"/>
      <c r="G70" s="11" t="n"/>
      <c r="H70" s="11" t="n"/>
      <c r="I70" s="11" t="n"/>
      <c r="K70" s="13" t="n"/>
      <c r="L70" s="13" t="n"/>
      <c r="M70" s="13" t="n"/>
      <c r="N70" s="13" t="n"/>
      <c r="P70" s="15" t="n"/>
      <c r="Q70" s="15" t="n"/>
      <c r="R70" s="15" t="n"/>
      <c r="S70" s="15" t="n"/>
    </row>
    <row r="71">
      <c r="A71" s="153" t="inlineStr">
        <is>
          <t>Target Completion</t>
        </is>
      </c>
      <c r="B71" s="9" t="n"/>
      <c r="C71" s="9" t="n"/>
      <c r="D71" s="9" t="n"/>
      <c r="F71" s="154" t="inlineStr">
        <is>
          <t>Habits Tracked</t>
        </is>
      </c>
      <c r="G71" s="11" t="n"/>
      <c r="H71" s="11" t="n"/>
      <c r="I71" s="11" t="n"/>
      <c r="K71" s="155" t="inlineStr">
        <is>
          <t>All Marked Habits Completed</t>
        </is>
      </c>
      <c r="L71" s="13" t="n"/>
      <c r="M71" s="13" t="n"/>
      <c r="N71" s="13" t="n"/>
      <c r="P71" s="156" t="inlineStr">
        <is>
          <t>Nightly Rest Average</t>
        </is>
      </c>
      <c r="Q71" s="15" t="n"/>
      <c r="R71" s="15" t="n"/>
      <c r="S71" s="15" t="n"/>
    </row>
    <row r="72" ht="8" customHeight="1"/>
    <row r="73" ht="6" customHeight="1"/>
    <row r="74">
      <c r="A74" s="67" t="inlineStr">
        <is>
          <t>WEEKLY PERFORMANCE (SLUMP DETECTOR)</t>
        </is>
      </c>
      <c r="B74" s="29" t="n"/>
      <c r="C74" s="29" t="n"/>
      <c r="D74" s="29" t="n"/>
      <c r="E74" s="29" t="n"/>
      <c r="N74" s="157" t="inlineStr">
        <is>
          <t>LIFE DOMAIN / CATEGORY BREAKDOWN</t>
        </is>
      </c>
      <c r="O74" s="158" t="n"/>
      <c r="P74" s="158" t="n"/>
      <c r="Q74" s="158" t="n"/>
      <c r="R74" s="158" t="n"/>
      <c r="S74" s="158" t="n"/>
    </row>
    <row r="75" ht="15" customHeight="1">
      <c r="A75" s="53" t="inlineStr">
        <is>
          <t>Week</t>
        </is>
      </c>
      <c r="B75" s="53" t="inlineStr">
        <is>
          <t>Days Range</t>
        </is>
      </c>
      <c r="C75" s="53" t="inlineStr">
        <is>
          <t>Checks Done</t>
        </is>
      </c>
      <c r="D75" s="53" t="inlineStr">
        <is>
          <t>Evaluated</t>
        </is>
      </c>
      <c r="E75" s="53" t="inlineStr">
        <is>
          <t>Success %</t>
        </is>
      </c>
      <c r="N75" s="53" t="inlineStr">
        <is>
          <t>Domain / Category</t>
        </is>
      </c>
      <c r="O75" s="54" t="n"/>
      <c r="P75" s="53" t="inlineStr">
        <is>
          <t>Active Habits</t>
        </is>
      </c>
      <c r="Q75" s="53" t="inlineStr">
        <is>
          <t>Target Days</t>
        </is>
      </c>
      <c r="R75" s="53" t="inlineStr">
        <is>
          <t>Done Checks</t>
        </is>
      </c>
      <c r="S75" s="53" t="inlineStr">
        <is>
          <t>Success %</t>
        </is>
      </c>
    </row>
    <row r="76" ht="14" customHeight="1">
      <c r="A76" s="33" t="inlineStr">
        <is>
          <t>Week 1</t>
        </is>
      </c>
      <c r="B76" s="34" t="inlineStr">
        <is>
          <t>Days 1 - 7</t>
        </is>
      </c>
      <c r="C76" s="34">
        <f>COUNTIF(E18:K37, "✓")</f>
        <v/>
      </c>
      <c r="D76" s="34">
        <f>COUNTIF(E18:K37, "✓") + COUNTIF(E18:K37, "✗")</f>
        <v/>
      </c>
      <c r="E76" s="35">
        <f>IFERROR(C76/D76, 0)</f>
        <v/>
      </c>
      <c r="N76" s="60" t="inlineStr">
        <is>
          <t>Health &amp; Fitness</t>
        </is>
      </c>
      <c r="O76" s="54" t="n"/>
      <c r="P76" s="34">
        <f>COUNTIF($C$18:$C$37, "Health &amp; Fitness")</f>
        <v/>
      </c>
      <c r="Q76" s="34">
        <f>SUMIF($C$18:$C$37, "Health &amp; Fitness", $D$18:$D$37)</f>
        <v/>
      </c>
      <c r="R76" s="34">
        <f>SUMIF($C$18:$C$37, "Health &amp; Fitness", $AL$18:$AL$37)</f>
        <v/>
      </c>
      <c r="S76" s="35">
        <f>IFERROR(R76/Q76, 0)</f>
        <v/>
      </c>
    </row>
    <row r="77" ht="14" customHeight="1">
      <c r="A77" s="33" t="inlineStr">
        <is>
          <t>Week 2</t>
        </is>
      </c>
      <c r="B77" s="34" t="inlineStr">
        <is>
          <t>Days 8 - 14</t>
        </is>
      </c>
      <c r="C77" s="34">
        <f>COUNTIF(L18:R37, "✓")</f>
        <v/>
      </c>
      <c r="D77" s="34">
        <f>COUNTIF(L18:R37, "✓") + COUNTIF(L18:R37, "✗")</f>
        <v/>
      </c>
      <c r="E77" s="35">
        <f>IFERROR(C77/D77, 0)</f>
        <v/>
      </c>
      <c r="N77" s="60" t="inlineStr">
        <is>
          <t>Mindset &amp; Learning</t>
        </is>
      </c>
      <c r="O77" s="54" t="n"/>
      <c r="P77" s="34">
        <f>COUNTIF($C$18:$C$37, "Mindset &amp; Learning")</f>
        <v/>
      </c>
      <c r="Q77" s="34">
        <f>SUMIF($C$18:$C$37, "Mindset &amp; Learning", $D$18:$D$37)</f>
        <v/>
      </c>
      <c r="R77" s="34">
        <f>SUMIF($C$18:$C$37, "Mindset &amp; Learning", $AL$18:$AL$37)</f>
        <v/>
      </c>
      <c r="S77" s="35">
        <f>IFERROR(R77/Q77, 0)</f>
        <v/>
      </c>
    </row>
    <row r="78" ht="14" customHeight="1">
      <c r="A78" s="33" t="inlineStr">
        <is>
          <t>Week 3</t>
        </is>
      </c>
      <c r="B78" s="34" t="inlineStr">
        <is>
          <t>Days 15 - 21</t>
        </is>
      </c>
      <c r="C78" s="34">
        <f>COUNTIF(S18:Y37, "✓")</f>
        <v/>
      </c>
      <c r="D78" s="34">
        <f>COUNTIF(S18:Y37, "✓") + COUNTIF(S18:Y37, "✗")</f>
        <v/>
      </c>
      <c r="E78" s="35">
        <f>IFERROR(C78/D78, 0)</f>
        <v/>
      </c>
      <c r="N78" s="60" t="inlineStr">
        <is>
          <t>Career &amp; Focus</t>
        </is>
      </c>
      <c r="O78" s="54" t="n"/>
      <c r="P78" s="34">
        <f>COUNTIF($C$18:$C$37, "Career &amp; Focus")</f>
        <v/>
      </c>
      <c r="Q78" s="34">
        <f>SUMIF($C$18:$C$37, "Career &amp; Focus", $D$18:$D$37)</f>
        <v/>
      </c>
      <c r="R78" s="34">
        <f>SUMIF($C$18:$C$37, "Career &amp; Focus", $AL$18:$AL$37)</f>
        <v/>
      </c>
      <c r="S78" s="35">
        <f>IFERROR(R78/Q78, 0)</f>
        <v/>
      </c>
    </row>
    <row r="79" ht="14" customHeight="1">
      <c r="A79" s="33" t="inlineStr">
        <is>
          <t>Week 4</t>
        </is>
      </c>
      <c r="B79" s="34" t="inlineStr">
        <is>
          <t>Days 22 - 28</t>
        </is>
      </c>
      <c r="C79" s="34">
        <f>COUNTIF(Z18:AF37, "✓")</f>
        <v/>
      </c>
      <c r="D79" s="34">
        <f>COUNTIF(Z18:AF37, "✓") + COUNTIF(Z18:AF37, "✗")</f>
        <v/>
      </c>
      <c r="E79" s="35">
        <f>IFERROR(C79/D79, 0)</f>
        <v/>
      </c>
      <c r="N79" s="60" t="inlineStr">
        <is>
          <t>Personal &amp; Home</t>
        </is>
      </c>
      <c r="O79" s="54" t="n"/>
      <c r="P79" s="34">
        <f>COUNTIF($C$18:$C$37, "Personal &amp; Home")</f>
        <v/>
      </c>
      <c r="Q79" s="34">
        <f>SUMIF($C$18:$C$37, "Personal &amp; Home", $D$18:$D$37)</f>
        <v/>
      </c>
      <c r="R79" s="34">
        <f>SUMIF($C$18:$C$37, "Personal &amp; Home", $AL$18:$AL$37)</f>
        <v/>
      </c>
      <c r="S79" s="35">
        <f>IFERROR(R79/Q79, 0)</f>
        <v/>
      </c>
    </row>
    <row r="80" ht="14" customHeight="1">
      <c r="A80" s="33" t="inlineStr">
        <is>
          <t>Week 5</t>
        </is>
      </c>
      <c r="B80" s="34" t="inlineStr">
        <is>
          <t>Days 29 - 30</t>
        </is>
      </c>
      <c r="C80" s="34">
        <f>COUNTIF(AG18:AH37, "✓")</f>
        <v/>
      </c>
      <c r="D80" s="34">
        <f>COUNTIF(AG18:AH37, "✓") + COUNTIF(AG18:AH37, "✗")</f>
        <v/>
      </c>
      <c r="E80" s="35">
        <f>IFERROR(C80/D80, 0)</f>
        <v/>
      </c>
      <c r="N80" s="60" t="inlineStr">
        <is>
          <t>Finance &amp; Wealth</t>
        </is>
      </c>
      <c r="O80" s="54" t="n"/>
      <c r="P80" s="34">
        <f>COUNTIF($C$18:$C$37, "Finance &amp; Wealth")</f>
        <v/>
      </c>
      <c r="Q80" s="34">
        <f>SUMIF($C$18:$C$37, "Finance &amp; Wealth", $D$18:$D$37)</f>
        <v/>
      </c>
      <c r="R80" s="34">
        <f>SUMIF($C$18:$C$37, "Finance &amp; Wealth", $AL$18:$AL$37)</f>
        <v/>
      </c>
      <c r="S80" s="35">
        <f>IFERROR(R80/Q80, 0)</f>
        <v/>
      </c>
    </row>
    <row r="81" ht="14" customHeight="1">
      <c r="A81" s="33" t="inlineStr">
        <is>
          <t>Total / Avg</t>
        </is>
      </c>
      <c r="B81" s="159" t="inlineStr">
        <is>
          <t>Month Total</t>
        </is>
      </c>
      <c r="C81" s="33">
        <f>SUM(C76:C80)</f>
        <v/>
      </c>
      <c r="D81" s="33">
        <f>SUM(D76:D80)</f>
        <v/>
      </c>
      <c r="E81" s="133">
        <f>IFERROR(C81/D81, 0)</f>
        <v/>
      </c>
    </row>
    <row r="82" ht="10" customHeight="1"/>
    <row r="83" ht="10" customHeight="1"/>
    <row r="84">
      <c r="A84" s="51" t="inlineStr">
        <is>
          <t>SLEEP &amp; PRODUCTIVITY CORRELATION ANALYSIS</t>
        </is>
      </c>
      <c r="B84" s="52" t="n"/>
      <c r="C84" s="52" t="n"/>
      <c r="D84" s="52" t="n"/>
      <c r="E84" s="52" t="n"/>
      <c r="F84" s="52" t="n"/>
      <c r="G84" s="52" t="n"/>
      <c r="H84" s="52" t="n"/>
      <c r="I84" s="52" t="n"/>
      <c r="J84" s="52" t="n"/>
      <c r="K84" s="52" t="n"/>
      <c r="L84" s="52" t="n"/>
      <c r="M84" s="52" t="n"/>
      <c r="N84" s="52" t="n"/>
      <c r="O84" s="52" t="n"/>
      <c r="P84" s="52" t="n"/>
      <c r="Q84" s="52" t="n"/>
      <c r="R84" s="52" t="n"/>
      <c r="S84" s="52" t="n"/>
      <c r="T84" s="52" t="n"/>
      <c r="U84" s="52" t="n"/>
      <c r="V84" s="52" t="n"/>
      <c r="W84" s="52" t="n"/>
      <c r="X84" s="52" t="n"/>
      <c r="Y84" s="52" t="n"/>
      <c r="Z84" s="52" t="n"/>
      <c r="AA84" s="52" t="n"/>
      <c r="AB84" s="52" t="n"/>
      <c r="AC84" s="52" t="n"/>
      <c r="AD84" s="52" t="n"/>
      <c r="AE84" s="52" t="n"/>
      <c r="AF84" s="52" t="n"/>
      <c r="AG84" s="52" t="n"/>
      <c r="AH84" s="52" t="n"/>
      <c r="AI84" s="52" t="n"/>
      <c r="AJ84" s="52" t="n"/>
      <c r="AK84" s="52" t="n"/>
    </row>
    <row r="85" ht="15" customHeight="1">
      <c r="A85" s="53" t="inlineStr">
        <is>
          <t>Rest Category</t>
        </is>
      </c>
      <c r="B85" s="54" t="n"/>
      <c r="C85" s="54" t="n"/>
      <c r="D85" s="53" t="inlineStr">
        <is>
          <t>Day Criteria</t>
        </is>
      </c>
      <c r="E85" s="54" t="n"/>
      <c r="F85" s="54" t="n"/>
      <c r="G85" s="53" t="inlineStr">
        <is>
          <t>Days Logged</t>
        </is>
      </c>
      <c r="H85" s="54" t="n"/>
      <c r="I85" s="54" t="n"/>
      <c r="J85" s="53" t="inlineStr">
        <is>
          <t>Avg Sleep Duration</t>
        </is>
      </c>
      <c r="K85" s="54" t="n"/>
      <c r="L85" s="54" t="n"/>
      <c r="M85" s="54" t="n"/>
      <c r="N85" s="53" t="inlineStr">
        <is>
          <t>Avg Habit Success %</t>
        </is>
      </c>
      <c r="O85" s="54" t="n"/>
      <c r="P85" s="54" t="n"/>
      <c r="Q85" s="54" t="n"/>
      <c r="R85" s="53" t="inlineStr">
        <is>
          <t>Productivity Delta</t>
        </is>
      </c>
      <c r="S85" s="54" t="n"/>
      <c r="T85" s="54" t="n"/>
      <c r="U85" s="54" t="n"/>
    </row>
    <row r="86" ht="15" customHeight="1">
      <c r="A86" s="160" t="inlineStr">
        <is>
          <t>Optimal Rest</t>
        </is>
      </c>
      <c r="B86" s="161" t="n"/>
      <c r="C86" s="56" t="n"/>
      <c r="D86" s="34" t="inlineStr">
        <is>
          <t>&gt;= 7 Hours / Night</t>
        </is>
      </c>
      <c r="E86" s="161" t="n"/>
      <c r="F86" s="56" t="n"/>
      <c r="G86" s="33">
        <f>COUNTIF(E47:AH47, "&gt;=7")</f>
        <v/>
      </c>
      <c r="H86" s="161" t="n"/>
      <c r="I86" s="56" t="n"/>
      <c r="J86" s="34">
        <f>IFERROR(TEXT(AVERAGEIF(E47:AH47, "&gt;=7"), "0.0") &amp; " hrs", "-")</f>
        <v/>
      </c>
      <c r="K86" s="161" t="n"/>
      <c r="L86" s="161" t="n"/>
      <c r="M86" s="56" t="n"/>
      <c r="N86" s="42">
        <f>IFERROR(AVERAGEIFS(E39:AH39, E47:AH47, "&gt;=7", E39:AH39, "&gt;0"), 0)</f>
        <v/>
      </c>
      <c r="O86" s="161" t="n"/>
      <c r="P86" s="161" t="n"/>
      <c r="Q86" s="56" t="n"/>
      <c r="R86" s="159" t="inlineStr">
        <is>
          <t>Baseline (Target)</t>
        </is>
      </c>
      <c r="S86" s="161" t="n"/>
      <c r="T86" s="161" t="n"/>
      <c r="U86" s="56" t="n"/>
    </row>
    <row r="87" ht="15" customHeight="1">
      <c r="A87" s="162" t="inlineStr">
        <is>
          <t>Sleep Deficit</t>
        </is>
      </c>
      <c r="B87" s="161" t="n"/>
      <c r="C87" s="56" t="n"/>
      <c r="D87" s="34" t="inlineStr">
        <is>
          <t>&lt; 7 Hours / Night</t>
        </is>
      </c>
      <c r="E87" s="161" t="n"/>
      <c r="F87" s="56" t="n"/>
      <c r="G87" s="33">
        <f>COUNTIF(E47:AH47, "&lt;7") - COUNTIF(E47:AH47, "")</f>
        <v/>
      </c>
      <c r="H87" s="161" t="n"/>
      <c r="I87" s="56" t="n"/>
      <c r="J87" s="34">
        <f>IFERROR(TEXT(AVERAGEIFS(E47:AH47, E47:AH47, "&lt;7", E47:AH47, "&gt;0"), "0.0") &amp; " hrs", "-")</f>
        <v/>
      </c>
      <c r="K87" s="161" t="n"/>
      <c r="L87" s="161" t="n"/>
      <c r="M87" s="56" t="n"/>
      <c r="N87" s="163">
        <f>IFERROR(AVERAGEIFS(E39:AH39, E47:AH47, "&lt;7", E39:AH39, "&gt;0"), 0)</f>
        <v/>
      </c>
      <c r="O87" s="161" t="n"/>
      <c r="P87" s="161" t="n"/>
      <c r="Q87" s="56" t="n"/>
      <c r="R87" s="160">
        <f>IFERROR(TEXT(N86 - N87, "+0.0%;-0.0%;0.0%") &amp; " Rest Advantage", "-")</f>
        <v/>
      </c>
      <c r="S87" s="161" t="n"/>
      <c r="T87" s="161" t="n"/>
      <c r="U87" s="56" t="n"/>
    </row>
    <row r="88" ht="18" customHeight="1">
      <c r="A88" s="164">
        <f>IF(AND(ISNUMBER(N86), ISNUMBER(N87), N86&gt;0, N87&gt;0), "💡 Sleep Correlation Insight: You complete " &amp; TEXT(ABS(N86-N87), "0.0%") &amp; IF(N86&gt;=N87, " MORE habits on days with 7+ hours of sleep!", " fewer habits on days with 7+ hours of sleep."), "💡 Log both habits and sleep hours daily to unlock automatic AI correlation insights!")</f>
        <v/>
      </c>
      <c r="B88" s="161" t="n"/>
      <c r="C88" s="161" t="n"/>
      <c r="D88" s="161" t="n"/>
      <c r="E88" s="161" t="n"/>
      <c r="F88" s="161" t="n"/>
      <c r="G88" s="161" t="n"/>
      <c r="H88" s="161" t="n"/>
      <c r="I88" s="161" t="n"/>
      <c r="J88" s="161" t="n"/>
      <c r="K88" s="161" t="n"/>
      <c r="L88" s="161" t="n"/>
      <c r="M88" s="161" t="n"/>
      <c r="N88" s="161" t="n"/>
      <c r="O88" s="161" t="n"/>
      <c r="P88" s="161" t="n"/>
      <c r="Q88" s="161" t="n"/>
      <c r="R88" s="161" t="n"/>
      <c r="S88" s="161" t="n"/>
      <c r="T88" s="161" t="n"/>
      <c r="U88" s="161" t="n"/>
      <c r="V88" s="161" t="n"/>
      <c r="W88" s="161" t="n"/>
      <c r="X88" s="161" t="n"/>
      <c r="Y88" s="161" t="n"/>
      <c r="Z88" s="161" t="n"/>
      <c r="AA88" s="161" t="n"/>
      <c r="AB88" s="161" t="n"/>
      <c r="AC88" s="161" t="n"/>
      <c r="AD88" s="161" t="n"/>
      <c r="AE88" s="161" t="n"/>
      <c r="AF88" s="161" t="n"/>
      <c r="AG88" s="161" t="n"/>
      <c r="AH88" s="161" t="n"/>
      <c r="AI88" s="161" t="n"/>
      <c r="AJ88" s="161" t="n"/>
      <c r="AK88" s="56" t="n"/>
    </row>
    <row r="89" ht="10" customHeight="1"/>
    <row r="90">
      <c r="A90" s="43" t="inlineStr">
        <is>
          <t>STANDARDIZED DATA BRIDGE (FOR ANNUAL &amp; QUARTERLY REVIEW SHEETS)</t>
        </is>
      </c>
      <c r="B90" s="44" t="n"/>
      <c r="C90" s="44" t="n"/>
      <c r="D90" s="44" t="n"/>
      <c r="E90" s="44" t="n"/>
      <c r="F90" s="44" t="n"/>
      <c r="G90" s="44" t="n"/>
      <c r="H90" s="44" t="n"/>
      <c r="I90" s="44" t="n"/>
      <c r="J90" s="44" t="n"/>
      <c r="K90" s="44" t="n"/>
      <c r="L90" s="44" t="n"/>
      <c r="M90" s="44" t="n"/>
      <c r="N90" s="44" t="n"/>
      <c r="O90" s="44" t="n"/>
      <c r="P90" s="44" t="n"/>
      <c r="Q90" s="44" t="n"/>
      <c r="R90" s="44" t="n"/>
      <c r="S90" s="44" t="n"/>
      <c r="T90" s="44" t="n"/>
      <c r="U90" s="44" t="n"/>
      <c r="V90" s="44" t="n"/>
      <c r="W90" s="44" t="n"/>
      <c r="X90" s="44" t="n"/>
      <c r="Y90" s="44" t="n"/>
      <c r="Z90" s="44" t="n"/>
      <c r="AA90" s="44" t="n"/>
      <c r="AB90" s="44" t="n"/>
      <c r="AC90" s="44" t="n"/>
      <c r="AD90" s="44" t="n"/>
      <c r="AE90" s="44" t="n"/>
      <c r="AF90" s="44" t="n"/>
      <c r="AG90" s="44" t="n"/>
      <c r="AH90" s="44" t="n"/>
      <c r="AI90" s="44" t="n"/>
      <c r="AJ90" s="44" t="n"/>
      <c r="AK90" s="44" t="n"/>
    </row>
    <row r="91" ht="15" customHeight="1">
      <c r="A91" s="53" t="inlineStr">
        <is>
          <t>Month</t>
        </is>
      </c>
      <c r="B91" s="54" t="n"/>
      <c r="C91" s="53" t="inlineStr">
        <is>
          <t>Year</t>
        </is>
      </c>
      <c r="D91" s="54" t="n"/>
      <c r="E91" s="53" t="inlineStr">
        <is>
          <t>Active Habits</t>
        </is>
      </c>
      <c r="F91" s="54" t="n"/>
      <c r="G91" s="53" t="inlineStr">
        <is>
          <t>Target Days</t>
        </is>
      </c>
      <c r="H91" s="54" t="n"/>
      <c r="I91" s="53" t="inlineStr">
        <is>
          <t>Done Checks</t>
        </is>
      </c>
      <c r="J91" s="54" t="n"/>
      <c r="K91" s="53" t="inlineStr">
        <is>
          <t>Success %</t>
        </is>
      </c>
      <c r="L91" s="54" t="n"/>
      <c r="M91" s="53" t="inlineStr">
        <is>
          <t>Perfect Days</t>
        </is>
      </c>
      <c r="N91" s="54" t="n"/>
      <c r="O91" s="53" t="inlineStr">
        <is>
          <t>Avg Sleep</t>
        </is>
      </c>
      <c r="P91" s="54" t="n"/>
      <c r="Q91" s="53" t="inlineStr">
        <is>
          <t>Best Week</t>
        </is>
      </c>
      <c r="R91" s="54" t="n"/>
      <c r="S91" s="54" t="n"/>
      <c r="T91" s="53" t="inlineStr">
        <is>
          <t>Top Life Domain</t>
        </is>
      </c>
      <c r="U91" s="54" t="n"/>
      <c r="V91" s="54" t="n"/>
      <c r="W91" s="54" t="n"/>
    </row>
    <row r="92" ht="16" customHeight="1">
      <c r="A92" s="165" t="inlineStr">
        <is>
          <t>Nov</t>
        </is>
      </c>
      <c r="B92" s="56" t="n"/>
      <c r="C92" s="165" t="n">
        <v>2028</v>
      </c>
      <c r="D92" s="56" t="n"/>
      <c r="E92" s="166">
        <f>COUNTA(B18:B37)</f>
        <v/>
      </c>
      <c r="F92" s="56" t="n"/>
      <c r="G92" s="166">
        <f>SUM(D18:D37)</f>
        <v/>
      </c>
      <c r="H92" s="56" t="n"/>
      <c r="I92" s="166">
        <f>SUM(AL18:AL37)</f>
        <v/>
      </c>
      <c r="J92" s="56" t="n"/>
      <c r="K92" s="167">
        <f>IF(G92&gt;0, I92/G92, 0)</f>
        <v/>
      </c>
      <c r="L92" s="56" t="n"/>
      <c r="M92" s="166">
        <f>COUNTIF(E39:AH39, 1)</f>
        <v/>
      </c>
      <c r="N92" s="56" t="n"/>
      <c r="O92" s="168">
        <f>IFERROR(AVERAGE(E47:AH47), 0)</f>
        <v/>
      </c>
      <c r="P92" s="56" t="n"/>
      <c r="Q92" s="166">
        <f>INDEX(A76:A80, MATCH(MAX(E76:E80), E76:E80, 0))</f>
        <v/>
      </c>
      <c r="R92" s="161" t="n"/>
      <c r="S92" s="56" t="n"/>
      <c r="T92" s="166">
        <f>INDEX(N76:N80, MATCH(MAX(S76:S80), S76:S80, 0))</f>
        <v/>
      </c>
      <c r="U92" s="161" t="n"/>
      <c r="V92" s="161" t="n"/>
      <c r="W92" s="56" t="n"/>
    </row>
    <row r="93" ht="14" customHeight="1">
      <c r="A93" s="169" t="inlineStr">
        <is>
          <t>📋 Note: Reference or copy Row 92 directly into an Annual / Quarterly review dashboard to track yearly habit trends.</t>
        </is>
      </c>
    </row>
    <row r="94" ht="8" customHeight="1"/>
    <row r="95">
      <c r="A95" s="170" t="inlineStr">
        <is>
          <t>🏆 MONTHLY WINS &amp; HIGHLIGHTS</t>
        </is>
      </c>
      <c r="J95" s="171" t="inlineStr">
        <is>
          <t>⚠️ FRICTION POINTS &amp; ROOT CAUSES</t>
        </is>
      </c>
      <c r="S95" s="172" t="inlineStr">
        <is>
          <t>🎯 3 KEY ADJUSTMENTS FOR NEXT MONTH</t>
        </is>
      </c>
    </row>
    <row r="96">
      <c r="A96" s="173" t="inlineStr">
        <is>
          <t>1. What went exceptionally well this month?
2. Which habit felt effortless and consistent?
3. Major milestone achieved:</t>
        </is>
      </c>
      <c r="B96" s="174" t="n"/>
      <c r="C96" s="174" t="n"/>
      <c r="D96" s="174" t="n"/>
      <c r="E96" s="174" t="n"/>
      <c r="F96" s="174" t="n"/>
      <c r="G96" s="174" t="n"/>
      <c r="H96" s="174" t="n"/>
      <c r="J96" s="175" t="inlineStr">
        <is>
          <t>1. What caused missed or skipped days?
2. Main triggers / energy drains encountered:
3. Which habit had the lowest consistency and why?</t>
        </is>
      </c>
      <c r="K96" s="176" t="n"/>
      <c r="L96" s="176" t="n"/>
      <c r="M96" s="176" t="n"/>
      <c r="N96" s="176" t="n"/>
      <c r="O96" s="176" t="n"/>
      <c r="P96" s="176" t="n"/>
      <c r="Q96" s="176" t="n"/>
      <c r="S96" s="177" t="inlineStr">
        <is>
          <t>1. Habit Stacking or time adjustment for next month:
2. Environment design change to eliminate friction:
3. One non-negotiable priority protocol:</t>
        </is>
      </c>
      <c r="T96" s="178" t="n"/>
      <c r="U96" s="178" t="n"/>
      <c r="V96" s="178" t="n"/>
      <c r="W96" s="178" t="n"/>
      <c r="X96" s="178" t="n"/>
      <c r="Y96" s="178" t="n"/>
      <c r="Z96" s="178" t="n"/>
    </row>
    <row r="97">
      <c r="A97" s="174" t="n"/>
      <c r="B97" s="174" t="n"/>
      <c r="C97" s="174" t="n"/>
      <c r="D97" s="174" t="n"/>
      <c r="E97" s="174" t="n"/>
      <c r="F97" s="174" t="n"/>
      <c r="G97" s="174" t="n"/>
      <c r="H97" s="174" t="n"/>
      <c r="J97" s="176" t="n"/>
      <c r="K97" s="176" t="n"/>
      <c r="L97" s="176" t="n"/>
      <c r="M97" s="176" t="n"/>
      <c r="N97" s="176" t="n"/>
      <c r="O97" s="176" t="n"/>
      <c r="P97" s="176" t="n"/>
      <c r="Q97" s="176" t="n"/>
      <c r="S97" s="178" t="n"/>
      <c r="T97" s="178" t="n"/>
      <c r="U97" s="178" t="n"/>
      <c r="V97" s="178" t="n"/>
      <c r="W97" s="178" t="n"/>
      <c r="X97" s="178" t="n"/>
      <c r="Y97" s="178" t="n"/>
      <c r="Z97" s="178" t="n"/>
    </row>
    <row r="98">
      <c r="A98" s="174" t="n"/>
      <c r="B98" s="174" t="n"/>
      <c r="C98" s="174" t="n"/>
      <c r="D98" s="174" t="n"/>
      <c r="E98" s="174" t="n"/>
      <c r="F98" s="174" t="n"/>
      <c r="G98" s="174" t="n"/>
      <c r="H98" s="174" t="n"/>
      <c r="J98" s="176" t="n"/>
      <c r="K98" s="176" t="n"/>
      <c r="L98" s="176" t="n"/>
      <c r="M98" s="176" t="n"/>
      <c r="N98" s="176" t="n"/>
      <c r="O98" s="176" t="n"/>
      <c r="P98" s="176" t="n"/>
      <c r="Q98" s="176" t="n"/>
      <c r="S98" s="178" t="n"/>
      <c r="T98" s="178" t="n"/>
      <c r="U98" s="178" t="n"/>
      <c r="V98" s="178" t="n"/>
      <c r="W98" s="178" t="n"/>
      <c r="X98" s="178" t="n"/>
      <c r="Y98" s="178" t="n"/>
      <c r="Z98" s="178" t="n"/>
    </row>
    <row r="99">
      <c r="A99" s="174" t="n"/>
      <c r="B99" s="174" t="n"/>
      <c r="C99" s="174" t="n"/>
      <c r="D99" s="174" t="n"/>
      <c r="E99" s="174" t="n"/>
      <c r="F99" s="174" t="n"/>
      <c r="G99" s="174" t="n"/>
      <c r="H99" s="174" t="n"/>
      <c r="J99" s="176" t="n"/>
      <c r="K99" s="176" t="n"/>
      <c r="L99" s="176" t="n"/>
      <c r="M99" s="176" t="n"/>
      <c r="N99" s="176" t="n"/>
      <c r="O99" s="176" t="n"/>
      <c r="P99" s="176" t="n"/>
      <c r="Q99" s="176" t="n"/>
      <c r="S99" s="178" t="n"/>
      <c r="T99" s="178" t="n"/>
      <c r="U99" s="178" t="n"/>
      <c r="V99" s="178" t="n"/>
      <c r="W99" s="178" t="n"/>
      <c r="X99" s="178" t="n"/>
      <c r="Y99" s="178" t="n"/>
      <c r="Z99" s="178" t="n"/>
    </row>
    <row r="100">
      <c r="A100" s="174" t="n"/>
      <c r="B100" s="174" t="n"/>
      <c r="C100" s="174" t="n"/>
      <c r="D100" s="174" t="n"/>
      <c r="E100" s="174" t="n"/>
      <c r="F100" s="174" t="n"/>
      <c r="G100" s="174" t="n"/>
      <c r="H100" s="174" t="n"/>
      <c r="J100" s="176" t="n"/>
      <c r="K100" s="176" t="n"/>
      <c r="L100" s="176" t="n"/>
      <c r="M100" s="176" t="n"/>
      <c r="N100" s="176" t="n"/>
      <c r="O100" s="176" t="n"/>
      <c r="P100" s="176" t="n"/>
      <c r="Q100" s="176" t="n"/>
      <c r="S100" s="178" t="n"/>
      <c r="T100" s="178" t="n"/>
      <c r="U100" s="178" t="n"/>
      <c r="V100" s="178" t="n"/>
      <c r="W100" s="178" t="n"/>
      <c r="X100" s="178" t="n"/>
      <c r="Y100" s="178" t="n"/>
      <c r="Z100" s="178" t="n"/>
    </row>
    <row r="101">
      <c r="A101" s="174" t="n"/>
      <c r="B101" s="174" t="n"/>
      <c r="C101" s="174" t="n"/>
      <c r="D101" s="174" t="n"/>
      <c r="E101" s="174" t="n"/>
      <c r="F101" s="174" t="n"/>
      <c r="G101" s="174" t="n"/>
      <c r="H101" s="174" t="n"/>
      <c r="J101" s="176" t="n"/>
      <c r="K101" s="176" t="n"/>
      <c r="L101" s="176" t="n"/>
      <c r="M101" s="176" t="n"/>
      <c r="N101" s="176" t="n"/>
      <c r="O101" s="176" t="n"/>
      <c r="P101" s="176" t="n"/>
      <c r="Q101" s="176" t="n"/>
      <c r="S101" s="178" t="n"/>
      <c r="T101" s="178" t="n"/>
      <c r="U101" s="178" t="n"/>
      <c r="V101" s="178" t="n"/>
      <c r="W101" s="178" t="n"/>
      <c r="X101" s="178" t="n"/>
      <c r="Y101" s="178" t="n"/>
      <c r="Z101" s="178" t="n"/>
    </row>
    <row r="102">
      <c r="A102" s="174" t="n"/>
      <c r="B102" s="174" t="n"/>
      <c r="C102" s="174" t="n"/>
      <c r="D102" s="174" t="n"/>
      <c r="E102" s="174" t="n"/>
      <c r="F102" s="174" t="n"/>
      <c r="G102" s="174" t="n"/>
      <c r="H102" s="174" t="n"/>
      <c r="J102" s="176" t="n"/>
      <c r="K102" s="176" t="n"/>
      <c r="L102" s="176" t="n"/>
      <c r="M102" s="176" t="n"/>
      <c r="N102" s="176" t="n"/>
      <c r="O102" s="176" t="n"/>
      <c r="P102" s="176" t="n"/>
      <c r="Q102" s="176" t="n"/>
      <c r="S102" s="178" t="n"/>
      <c r="T102" s="178" t="n"/>
      <c r="U102" s="178" t="n"/>
      <c r="V102" s="178" t="n"/>
      <c r="W102" s="178" t="n"/>
      <c r="X102" s="178" t="n"/>
      <c r="Y102" s="178" t="n"/>
      <c r="Z102" s="178" t="n"/>
    </row>
    <row r="103">
      <c r="A103" s="174" t="n"/>
      <c r="B103" s="174" t="n"/>
      <c r="C103" s="174" t="n"/>
      <c r="D103" s="174" t="n"/>
      <c r="E103" s="174" t="n"/>
      <c r="F103" s="174" t="n"/>
      <c r="G103" s="174" t="n"/>
      <c r="H103" s="174" t="n"/>
      <c r="J103" s="176" t="n"/>
      <c r="K103" s="176" t="n"/>
      <c r="L103" s="176" t="n"/>
      <c r="M103" s="176" t="n"/>
      <c r="N103" s="176" t="n"/>
      <c r="O103" s="176" t="n"/>
      <c r="P103" s="176" t="n"/>
      <c r="Q103" s="176" t="n"/>
      <c r="S103" s="178" t="n"/>
      <c r="T103" s="178" t="n"/>
      <c r="U103" s="178" t="n"/>
      <c r="V103" s="178" t="n"/>
      <c r="W103" s="178" t="n"/>
      <c r="X103" s="178" t="n"/>
      <c r="Y103" s="178" t="n"/>
      <c r="Z103" s="178" t="n"/>
    </row>
  </sheetData>
  <sheetProtection selectLockedCells="1" selectUnlockedCells="1" sheet="1" objects="0" insertRows="1" insertHyperlinks="1" autoFilter="1" scenarios="0" formatColumns="1" deleteColumns="1" insertColumns="1" pivotTables="1" deleteRows="1" formatCells="1" formatRows="1" sort="1"/>
  <mergeCells count="94">
    <mergeCell ref="A9:N9"/>
    <mergeCell ref="N76:O76"/>
    <mergeCell ref="F67:I67"/>
    <mergeCell ref="G87:I87"/>
    <mergeCell ref="A16:A17"/>
    <mergeCell ref="A45:D46"/>
    <mergeCell ref="C16:C17"/>
    <mergeCell ref="N75:O75"/>
    <mergeCell ref="N77:O77"/>
    <mergeCell ref="P68:S70"/>
    <mergeCell ref="A93:AK93"/>
    <mergeCell ref="D16:D17"/>
    <mergeCell ref="N85:Q85"/>
    <mergeCell ref="A95:H95"/>
    <mergeCell ref="Q91:S91"/>
    <mergeCell ref="P6:AK6"/>
    <mergeCell ref="E91:F91"/>
    <mergeCell ref="A8:N8"/>
    <mergeCell ref="G91:H91"/>
    <mergeCell ref="P8:AK8"/>
    <mergeCell ref="J86:M86"/>
    <mergeCell ref="S95:Z95"/>
    <mergeCell ref="K67:N67"/>
    <mergeCell ref="N79:O79"/>
    <mergeCell ref="K92:L92"/>
    <mergeCell ref="P7:AK7"/>
    <mergeCell ref="C92:D92"/>
    <mergeCell ref="F71:I71"/>
    <mergeCell ref="M92:N92"/>
    <mergeCell ref="A12:AK14"/>
    <mergeCell ref="K68:N70"/>
    <mergeCell ref="T91:W91"/>
    <mergeCell ref="AI16:AI17"/>
    <mergeCell ref="J95:Q95"/>
    <mergeCell ref="D85:F85"/>
    <mergeCell ref="N74:S74"/>
    <mergeCell ref="P9:AK9"/>
    <mergeCell ref="F68:I70"/>
    <mergeCell ref="A91:B91"/>
    <mergeCell ref="N78:O78"/>
    <mergeCell ref="C91:D91"/>
    <mergeCell ref="M91:N91"/>
    <mergeCell ref="O91:P91"/>
    <mergeCell ref="R86:U86"/>
    <mergeCell ref="A84:AK84"/>
    <mergeCell ref="N80:O80"/>
    <mergeCell ref="B16:B17"/>
    <mergeCell ref="A71:D71"/>
    <mergeCell ref="J85:M85"/>
    <mergeCell ref="D86:F86"/>
    <mergeCell ref="A92:B92"/>
    <mergeCell ref="N87:Q87"/>
    <mergeCell ref="A1:B1"/>
    <mergeCell ref="E92:F92"/>
    <mergeCell ref="A68:D70"/>
    <mergeCell ref="P71:S71"/>
    <mergeCell ref="A86:C86"/>
    <mergeCell ref="D87:F87"/>
    <mergeCell ref="O92:P92"/>
    <mergeCell ref="A6:N6"/>
    <mergeCell ref="A39:D39"/>
    <mergeCell ref="G86:I86"/>
    <mergeCell ref="A96:H103"/>
    <mergeCell ref="P67:S67"/>
    <mergeCell ref="A41:AK41"/>
    <mergeCell ref="T92:W92"/>
    <mergeCell ref="R85:U85"/>
    <mergeCell ref="H2:AC2"/>
    <mergeCell ref="K71:N71"/>
    <mergeCell ref="S96:Z103"/>
    <mergeCell ref="A38:D38"/>
    <mergeCell ref="A42:AK42"/>
    <mergeCell ref="H3:AC3"/>
    <mergeCell ref="A67:D67"/>
    <mergeCell ref="I91:J91"/>
    <mergeCell ref="A85:C85"/>
    <mergeCell ref="K91:L91"/>
    <mergeCell ref="N86:Q86"/>
    <mergeCell ref="A7:N7"/>
    <mergeCell ref="A74:E74"/>
    <mergeCell ref="G85:I85"/>
    <mergeCell ref="G92:H92"/>
    <mergeCell ref="I92:J92"/>
    <mergeCell ref="R87:U87"/>
    <mergeCell ref="AK16:AK17"/>
    <mergeCell ref="J87:M87"/>
    <mergeCell ref="AD2:AK2"/>
    <mergeCell ref="AJ16:AJ17"/>
    <mergeCell ref="J96:Q103"/>
    <mergeCell ref="A88:AK88"/>
    <mergeCell ref="A90:AK90"/>
    <mergeCell ref="Q92:S92"/>
    <mergeCell ref="A87:C87"/>
    <mergeCell ref="A47:D47"/>
  </mergeCells>
  <conditionalFormatting sqref="AI18:AI37">
    <cfRule type="dataBar" priority="1">
      <dataBar>
        <cfvo type="num" val="0"/>
        <cfvo type="num" val="1"/>
        <color rgb="0010B981"/>
      </dataBar>
    </cfRule>
  </conditionalFormatting>
  <conditionalFormatting sqref="E18:AH37">
    <cfRule type="cellIs" priority="2" operator="equal" dxfId="0">
      <formula>"✓"</formula>
    </cfRule>
    <cfRule type="cellIs" priority="3" operator="equal" dxfId="0">
      <formula>"✔"</formula>
    </cfRule>
    <cfRule type="cellIs" priority="4" operator="equal" dxfId="1">
      <formula>"✗"</formula>
    </cfRule>
    <cfRule type="cellIs" priority="5" operator="equal" dxfId="1">
      <formula>"x"</formula>
    </cfRule>
    <cfRule type="cellIs" priority="6" operator="equal" dxfId="1">
      <formula>"X"</formula>
    </cfRule>
  </conditionalFormatting>
  <conditionalFormatting sqref="E16:E17">
    <cfRule type="expression" priority="7" dxfId="2">
      <formula>AND(DAY(TODAY())=1, MONTH(TODAY())=11, YEAR(TODAY())=2028)</formula>
    </cfRule>
  </conditionalFormatting>
  <conditionalFormatting sqref="F16:F17">
    <cfRule type="expression" priority="8" dxfId="2">
      <formula>AND(DAY(TODAY())=2, MONTH(TODAY())=11, YEAR(TODAY())=2028)</formula>
    </cfRule>
  </conditionalFormatting>
  <conditionalFormatting sqref="G16:G17">
    <cfRule type="expression" priority="9" dxfId="2">
      <formula>AND(DAY(TODAY())=3, MONTH(TODAY())=11, YEAR(TODAY())=2028)</formula>
    </cfRule>
  </conditionalFormatting>
  <conditionalFormatting sqref="H16:H17">
    <cfRule type="expression" priority="10" dxfId="2">
      <formula>AND(DAY(TODAY())=4, MONTH(TODAY())=11, YEAR(TODAY())=2028)</formula>
    </cfRule>
  </conditionalFormatting>
  <conditionalFormatting sqref="I16:I17">
    <cfRule type="expression" priority="11" dxfId="2">
      <formula>AND(DAY(TODAY())=5, MONTH(TODAY())=11, YEAR(TODAY())=2028)</formula>
    </cfRule>
  </conditionalFormatting>
  <conditionalFormatting sqref="J16:J17">
    <cfRule type="expression" priority="12" dxfId="2">
      <formula>AND(DAY(TODAY())=6, MONTH(TODAY())=11, YEAR(TODAY())=2028)</formula>
    </cfRule>
  </conditionalFormatting>
  <conditionalFormatting sqref="K16:K17">
    <cfRule type="expression" priority="13" dxfId="2">
      <formula>AND(DAY(TODAY())=7, MONTH(TODAY())=11, YEAR(TODAY())=2028)</formula>
    </cfRule>
  </conditionalFormatting>
  <conditionalFormatting sqref="L16:L17">
    <cfRule type="expression" priority="14" dxfId="2">
      <formula>AND(DAY(TODAY())=8, MONTH(TODAY())=11, YEAR(TODAY())=2028)</formula>
    </cfRule>
  </conditionalFormatting>
  <conditionalFormatting sqref="M16:M17">
    <cfRule type="expression" priority="15" dxfId="2">
      <formula>AND(DAY(TODAY())=9, MONTH(TODAY())=11, YEAR(TODAY())=2028)</formula>
    </cfRule>
  </conditionalFormatting>
  <conditionalFormatting sqref="N16:N17">
    <cfRule type="expression" priority="16" dxfId="2">
      <formula>AND(DAY(TODAY())=10, MONTH(TODAY())=11, YEAR(TODAY())=2028)</formula>
    </cfRule>
  </conditionalFormatting>
  <conditionalFormatting sqref="O16:O17">
    <cfRule type="expression" priority="17" dxfId="2">
      <formula>AND(DAY(TODAY())=11, MONTH(TODAY())=11, YEAR(TODAY())=2028)</formula>
    </cfRule>
  </conditionalFormatting>
  <conditionalFormatting sqref="P16:P17">
    <cfRule type="expression" priority="18" dxfId="2">
      <formula>AND(DAY(TODAY())=12, MONTH(TODAY())=11, YEAR(TODAY())=2028)</formula>
    </cfRule>
  </conditionalFormatting>
  <conditionalFormatting sqref="Q16:Q17">
    <cfRule type="expression" priority="19" dxfId="2">
      <formula>AND(DAY(TODAY())=13, MONTH(TODAY())=11, YEAR(TODAY())=2028)</formula>
    </cfRule>
  </conditionalFormatting>
  <conditionalFormatting sqref="R16:R17">
    <cfRule type="expression" priority="20" dxfId="2">
      <formula>AND(DAY(TODAY())=14, MONTH(TODAY())=11, YEAR(TODAY())=2028)</formula>
    </cfRule>
  </conditionalFormatting>
  <conditionalFormatting sqref="S16:S17">
    <cfRule type="expression" priority="21" dxfId="2">
      <formula>AND(DAY(TODAY())=15, MONTH(TODAY())=11, YEAR(TODAY())=2028)</formula>
    </cfRule>
  </conditionalFormatting>
  <conditionalFormatting sqref="T16:T17">
    <cfRule type="expression" priority="22" dxfId="2">
      <formula>AND(DAY(TODAY())=16, MONTH(TODAY())=11, YEAR(TODAY())=2028)</formula>
    </cfRule>
  </conditionalFormatting>
  <conditionalFormatting sqref="U16:U17">
    <cfRule type="expression" priority="23" dxfId="2">
      <formula>AND(DAY(TODAY())=17, MONTH(TODAY())=11, YEAR(TODAY())=2028)</formula>
    </cfRule>
  </conditionalFormatting>
  <conditionalFormatting sqref="V16:V17">
    <cfRule type="expression" priority="24" dxfId="2">
      <formula>AND(DAY(TODAY())=18, MONTH(TODAY())=11, YEAR(TODAY())=2028)</formula>
    </cfRule>
  </conditionalFormatting>
  <conditionalFormatting sqref="W16:W17">
    <cfRule type="expression" priority="25" dxfId="2">
      <formula>AND(DAY(TODAY())=19, MONTH(TODAY())=11, YEAR(TODAY())=2028)</formula>
    </cfRule>
  </conditionalFormatting>
  <conditionalFormatting sqref="X16:X17">
    <cfRule type="expression" priority="26" dxfId="2">
      <formula>AND(DAY(TODAY())=20, MONTH(TODAY())=11, YEAR(TODAY())=2028)</formula>
    </cfRule>
  </conditionalFormatting>
  <conditionalFormatting sqref="Y16:Y17">
    <cfRule type="expression" priority="27" dxfId="2">
      <formula>AND(DAY(TODAY())=21, MONTH(TODAY())=11, YEAR(TODAY())=2028)</formula>
    </cfRule>
  </conditionalFormatting>
  <conditionalFormatting sqref="Z16:Z17">
    <cfRule type="expression" priority="28" dxfId="2">
      <formula>AND(DAY(TODAY())=22, MONTH(TODAY())=11, YEAR(TODAY())=2028)</formula>
    </cfRule>
  </conditionalFormatting>
  <conditionalFormatting sqref="AA16:AA17">
    <cfRule type="expression" priority="29" dxfId="2">
      <formula>AND(DAY(TODAY())=23, MONTH(TODAY())=11, YEAR(TODAY())=2028)</formula>
    </cfRule>
  </conditionalFormatting>
  <conditionalFormatting sqref="AB16:AB17">
    <cfRule type="expression" priority="30" dxfId="2">
      <formula>AND(DAY(TODAY())=24, MONTH(TODAY())=11, YEAR(TODAY())=2028)</formula>
    </cfRule>
  </conditionalFormatting>
  <conditionalFormatting sqref="AC16:AC17">
    <cfRule type="expression" priority="31" dxfId="2">
      <formula>AND(DAY(TODAY())=25, MONTH(TODAY())=11, YEAR(TODAY())=2028)</formula>
    </cfRule>
  </conditionalFormatting>
  <conditionalFormatting sqref="AD16:AD17">
    <cfRule type="expression" priority="32" dxfId="2">
      <formula>AND(DAY(TODAY())=26, MONTH(TODAY())=11, YEAR(TODAY())=2028)</formula>
    </cfRule>
  </conditionalFormatting>
  <conditionalFormatting sqref="AE16:AE17">
    <cfRule type="expression" priority="33" dxfId="2">
      <formula>AND(DAY(TODAY())=27, MONTH(TODAY())=11, YEAR(TODAY())=2028)</formula>
    </cfRule>
  </conditionalFormatting>
  <conditionalFormatting sqref="AF16:AF17">
    <cfRule type="expression" priority="34" dxfId="2">
      <formula>AND(DAY(TODAY())=28, MONTH(TODAY())=11, YEAR(TODAY())=2028)</formula>
    </cfRule>
  </conditionalFormatting>
  <conditionalFormatting sqref="AG16:AG17">
    <cfRule type="expression" priority="35" dxfId="2">
      <formula>AND(DAY(TODAY())=29, MONTH(TODAY())=11, YEAR(TODAY())=2028)</formula>
    </cfRule>
  </conditionalFormatting>
  <conditionalFormatting sqref="AH16:AH17">
    <cfRule type="expression" priority="36" dxfId="2">
      <formula>AND(DAY(TODAY())=30, MONTH(TODAY())=11, YEAR(TODAY())=2028)</formula>
    </cfRule>
  </conditionalFormatting>
  <dataValidations count="4">
    <dataValidation sqref="C18:C37" showDropDown="0" showInputMessage="0" showErrorMessage="0" allowBlank="1" type="list">
      <formula1>"Health &amp; Fitness,Mindset &amp; Learning,Career &amp; Focus,Personal &amp; Home,Finance &amp; Wealth,Other"</formula1>
    </dataValidation>
    <dataValidation sqref="D18:D37" showDropDown="0" showInputMessage="0" showErrorMessage="0" allowBlank="1" type="list">
      <formula1>"1,2,3,4,5,6,7,8,9,10,11,12,13,14,15,16,17,18,19,20,21,22,23,24,25,26,27,28,29,30,31"</formula1>
    </dataValidation>
    <dataValidation sqref="E18:AH37" showDropDown="0" showInputMessage="0" showErrorMessage="0" allowBlank="1" type="list">
      <formula1>"✓,✗"</formula1>
    </dataValidation>
    <dataValidation sqref="E47:AH47" showDropDown="0" showInputMessage="0" showErrorMessage="0" allowBlank="1" type="list">
      <formula1>"1,2,3,4,5,6,7,8,9,10,11,12,13,14,15,16,17,18,19,20,21,22,23,24"</formula1>
    </dataValidation>
  </dataValidations>
  <hyperlinks>
    <hyperlink xmlns:r="http://schemas.openxmlformats.org/officeDocument/2006/relationships" ref="A1" r:id="rId1"/>
    <hyperlink xmlns:r="http://schemas.openxmlformats.org/officeDocument/2006/relationships" ref="C1" r:id="rId2"/>
    <hyperlink xmlns:r="http://schemas.openxmlformats.org/officeDocument/2006/relationships" ref="D1" r:id="rId3"/>
    <hyperlink xmlns:r="http://schemas.openxmlformats.org/officeDocument/2006/relationships" ref="E1" r:id="rId4"/>
    <hyperlink xmlns:r="http://schemas.openxmlformats.org/officeDocument/2006/relationships" ref="F1" r:id="rId5"/>
    <hyperlink xmlns:r="http://schemas.openxmlformats.org/officeDocument/2006/relationships" ref="G1" r:id="rId6"/>
    <hyperlink xmlns:r="http://schemas.openxmlformats.org/officeDocument/2006/relationships" ref="H1" r:id="rId7"/>
    <hyperlink xmlns:r="http://schemas.openxmlformats.org/officeDocument/2006/relationships" ref="I1" r:id="rId8"/>
    <hyperlink xmlns:r="http://schemas.openxmlformats.org/officeDocument/2006/relationships" ref="J1" r:id="rId9"/>
    <hyperlink xmlns:r="http://schemas.openxmlformats.org/officeDocument/2006/relationships" ref="K1" r:id="rId10"/>
  </hyperlinks>
  <printOptions horizontalCentered="1" verticalCentered="0"/>
  <pageMargins left="0.75" right="0.75" top="1" bottom="1" header="0.5" footer="0.5"/>
  <pageSetup orientation="landscape" paperSize="9" fitToHeight="0" fitToWidth="1"/>
  <drawing xmlns:r="http://schemas.openxmlformats.org/officeDocument/2006/relationships" r:id="rId11"/>
</worksheet>
</file>

<file path=xl/worksheets/sheet31.xml><?xml version="1.0" encoding="utf-8"?>
<worksheet xmlns="http://schemas.openxmlformats.org/spreadsheetml/2006/main">
  <sheetPr>
    <outlinePr summaryBelow="1" summaryRight="1"/>
    <pageSetUpPr fitToPage="1"/>
  </sheetPr>
  <dimension ref="A1:AM103"/>
  <sheetViews>
    <sheetView showGridLines="1" workbookViewId="0">
      <selection activeCell="A1" sqref="A1"/>
    </sheetView>
  </sheetViews>
  <sheetFormatPr baseColWidth="8" defaultRowHeight="15"/>
  <cols>
    <col width="6" customWidth="1" min="1" max="1"/>
    <col width="25" customWidth="1" min="2" max="2"/>
    <col width="16.5" customWidth="1" min="3" max="3"/>
    <col width="8" customWidth="1" min="4" max="4"/>
    <col width="4.8" customWidth="1" min="5" max="5"/>
    <col width="4.8" customWidth="1" min="6" max="6"/>
    <col width="4.8" customWidth="1" min="7" max="7"/>
    <col width="4.8" customWidth="1" min="8" max="8"/>
    <col width="4.8" customWidth="1" min="9" max="9"/>
    <col width="4.8" customWidth="1" min="10" max="10"/>
    <col width="4.8" customWidth="1" min="11" max="11"/>
    <col width="4.8" customWidth="1" min="12" max="12"/>
    <col width="4.8" customWidth="1" min="13" max="13"/>
    <col width="4.8" customWidth="1" min="14" max="14"/>
    <col width="4.8" customWidth="1" min="15" max="15"/>
    <col width="4.8" customWidth="1" min="16" max="16"/>
    <col width="4.8" customWidth="1" min="17" max="17"/>
    <col width="4.8" customWidth="1" min="18" max="18"/>
    <col width="4.8" customWidth="1" min="19" max="19"/>
    <col width="4.8" customWidth="1" min="20" max="20"/>
    <col width="4.8" customWidth="1" min="21" max="21"/>
    <col width="4.8" customWidth="1" min="22" max="22"/>
    <col width="4.8" customWidth="1" min="23" max="23"/>
    <col width="4.8" customWidth="1" min="24" max="24"/>
    <col width="4.8" customWidth="1" min="25" max="25"/>
    <col width="4.8" customWidth="1" min="26" max="26"/>
    <col width="4.8" customWidth="1" min="27" max="27"/>
    <col width="4.8" customWidth="1" min="28" max="28"/>
    <col width="4.8" customWidth="1" min="29" max="29"/>
    <col width="4.8" customWidth="1" min="30" max="30"/>
    <col width="4.8" customWidth="1" min="31" max="31"/>
    <col width="4.8" customWidth="1" min="32" max="32"/>
    <col width="4.8" customWidth="1" min="33" max="33"/>
    <col width="4.8" customWidth="1" min="34" max="34"/>
    <col width="4.8" customWidth="1" min="35" max="35"/>
    <col width="11.5" customWidth="1" min="36" max="36"/>
    <col width="12" customWidth="1" min="37" max="37"/>
    <col width="13.5" customWidth="1" min="38" max="38"/>
    <col hidden="1" width="8" customWidth="1" min="39" max="39"/>
  </cols>
  <sheetData>
    <row r="1" ht="18" customHeight="1">
      <c r="A1" s="76" t="inlineStr">
        <is>
          <t>🏠 Master Dashboard</t>
        </is>
      </c>
      <c r="B1" s="40" t="n"/>
      <c r="C1" s="77" t="inlineStr">
        <is>
          <t>🏛️ Quarterly Hub</t>
        </is>
      </c>
      <c r="D1" s="78" t="inlineStr">
        <is>
          <t>📚 Habit Library</t>
        </is>
      </c>
      <c r="E1" s="80" t="inlineStr">
        <is>
          <t>2026</t>
        </is>
      </c>
      <c r="F1" s="80" t="inlineStr">
        <is>
          <t>2027</t>
        </is>
      </c>
      <c r="G1" s="79" t="inlineStr">
        <is>
          <t>2028</t>
        </is>
      </c>
      <c r="H1" s="80" t="inlineStr">
        <is>
          <t>2029</t>
        </is>
      </c>
      <c r="I1" s="80" t="inlineStr">
        <is>
          <t>2030</t>
        </is>
      </c>
      <c r="J1" s="82" t="inlineStr">
        <is>
          <t>◀ Prev</t>
        </is>
      </c>
      <c r="K1" s="82" t="inlineStr">
        <is>
          <t>Next ▶</t>
        </is>
      </c>
    </row>
    <row r="2" ht="24" customHeight="1">
      <c r="A2" s="83" t="inlineStr">
        <is>
          <t>Habit Tracker</t>
        </is>
      </c>
      <c r="H2" s="84" t="inlineStr">
        <is>
          <t>"Stay consistent."</t>
        </is>
      </c>
      <c r="AE2" s="85" t="inlineStr">
        <is>
          <t>@surajvansh</t>
        </is>
      </c>
    </row>
    <row r="3" ht="18" customHeight="1">
      <c r="A3" s="86" t="inlineStr">
        <is>
          <t>December 2028</t>
        </is>
      </c>
      <c r="H3" s="87" t="inlineStr">
        <is>
          <t>31 Days Dashboard</t>
        </is>
      </c>
    </row>
    <row r="4" ht="5" customHeight="1"/>
    <row r="5" ht="16" customHeight="1">
      <c r="A5" s="88" t="inlineStr">
        <is>
          <t>MONTHLY TARGETS</t>
        </is>
      </c>
    </row>
    <row r="6" ht="13" customHeight="1">
      <c r="A6" s="89" t="inlineStr">
        <is>
          <t>1. ____________________ : ____________________</t>
        </is>
      </c>
      <c r="P6" s="89" t="inlineStr">
        <is>
          <t>5. ____________________ : ____________________</t>
        </is>
      </c>
    </row>
    <row r="7" ht="13" customHeight="1">
      <c r="A7" s="89" t="inlineStr">
        <is>
          <t>2. ____________________ : ____________________</t>
        </is>
      </c>
      <c r="P7" s="89" t="inlineStr">
        <is>
          <t>6. ____________________ : ____________________</t>
        </is>
      </c>
    </row>
    <row r="8" ht="13" customHeight="1">
      <c r="A8" s="89" t="inlineStr">
        <is>
          <t>3. ____________________ : ____________________</t>
        </is>
      </c>
      <c r="P8" s="89" t="inlineStr">
        <is>
          <t>7. ____________________ : ____________________</t>
        </is>
      </c>
    </row>
    <row r="9" ht="13" customHeight="1">
      <c r="A9" s="89" t="inlineStr">
        <is>
          <t>4. ____________________ : ____________________</t>
        </is>
      </c>
      <c r="P9" s="89" t="inlineStr">
        <is>
          <t>8. ____________________ : ____________________</t>
        </is>
      </c>
    </row>
    <row r="10" ht="5" customHeight="1"/>
    <row r="11" ht="15" customHeight="1">
      <c r="A11" s="88" t="inlineStr">
        <is>
          <t>NOTES:</t>
        </is>
      </c>
    </row>
    <row r="12" ht="13" customHeight="1">
      <c r="A12" s="90" t="n"/>
      <c r="B12" s="91" t="n"/>
      <c r="C12" s="91" t="n"/>
      <c r="D12" s="91" t="n"/>
      <c r="E12" s="91" t="n"/>
      <c r="F12" s="91" t="n"/>
      <c r="G12" s="91" t="n"/>
      <c r="H12" s="91" t="n"/>
      <c r="I12" s="91" t="n"/>
      <c r="J12" s="91" t="n"/>
      <c r="K12" s="91" t="n"/>
      <c r="L12" s="91" t="n"/>
      <c r="M12" s="91" t="n"/>
      <c r="N12" s="91" t="n"/>
      <c r="O12" s="91" t="n"/>
      <c r="P12" s="91" t="n"/>
      <c r="Q12" s="91" t="n"/>
      <c r="R12" s="91" t="n"/>
      <c r="S12" s="91" t="n"/>
      <c r="T12" s="91" t="n"/>
      <c r="U12" s="91" t="n"/>
      <c r="V12" s="91" t="n"/>
      <c r="W12" s="91" t="n"/>
      <c r="X12" s="91" t="n"/>
      <c r="Y12" s="91" t="n"/>
      <c r="Z12" s="91" t="n"/>
      <c r="AA12" s="91" t="n"/>
      <c r="AB12" s="91" t="n"/>
      <c r="AC12" s="91" t="n"/>
      <c r="AD12" s="91" t="n"/>
      <c r="AE12" s="91" t="n"/>
      <c r="AF12" s="91" t="n"/>
      <c r="AG12" s="91" t="n"/>
      <c r="AH12" s="91" t="n"/>
      <c r="AI12" s="91" t="n"/>
      <c r="AJ12" s="91" t="n"/>
      <c r="AK12" s="91" t="n"/>
      <c r="AL12" s="91" t="n"/>
    </row>
    <row r="13" ht="13" customHeight="1">
      <c r="A13" s="91" t="n"/>
      <c r="B13" s="91" t="n"/>
      <c r="C13" s="91" t="n"/>
      <c r="D13" s="91" t="n"/>
      <c r="E13" s="91" t="n"/>
      <c r="F13" s="91" t="n"/>
      <c r="G13" s="91" t="n"/>
      <c r="H13" s="91" t="n"/>
      <c r="I13" s="91" t="n"/>
      <c r="J13" s="91" t="n"/>
      <c r="K13" s="91" t="n"/>
      <c r="L13" s="91" t="n"/>
      <c r="M13" s="91" t="n"/>
      <c r="N13" s="91" t="n"/>
      <c r="O13" s="91" t="n"/>
      <c r="P13" s="91" t="n"/>
      <c r="Q13" s="91" t="n"/>
      <c r="R13" s="91" t="n"/>
      <c r="S13" s="91" t="n"/>
      <c r="T13" s="91" t="n"/>
      <c r="U13" s="91" t="n"/>
      <c r="V13" s="91" t="n"/>
      <c r="W13" s="91" t="n"/>
      <c r="X13" s="91" t="n"/>
      <c r="Y13" s="91" t="n"/>
      <c r="Z13" s="91" t="n"/>
      <c r="AA13" s="91" t="n"/>
      <c r="AB13" s="91" t="n"/>
      <c r="AC13" s="91" t="n"/>
      <c r="AD13" s="91" t="n"/>
      <c r="AE13" s="91" t="n"/>
      <c r="AF13" s="91" t="n"/>
      <c r="AG13" s="91" t="n"/>
      <c r="AH13" s="91" t="n"/>
      <c r="AI13" s="91" t="n"/>
      <c r="AJ13" s="91" t="n"/>
      <c r="AK13" s="91" t="n"/>
      <c r="AL13" s="91" t="n"/>
    </row>
    <row r="14" ht="13" customHeight="1">
      <c r="A14" s="91" t="n"/>
      <c r="B14" s="91" t="n"/>
      <c r="C14" s="91" t="n"/>
      <c r="D14" s="91" t="n"/>
      <c r="E14" s="91" t="n"/>
      <c r="F14" s="91" t="n"/>
      <c r="G14" s="91" t="n"/>
      <c r="H14" s="91" t="n"/>
      <c r="I14" s="91" t="n"/>
      <c r="J14" s="91" t="n"/>
      <c r="K14" s="91" t="n"/>
      <c r="L14" s="91" t="n"/>
      <c r="M14" s="91" t="n"/>
      <c r="N14" s="91" t="n"/>
      <c r="O14" s="91" t="n"/>
      <c r="P14" s="91" t="n"/>
      <c r="Q14" s="91" t="n"/>
      <c r="R14" s="91" t="n"/>
      <c r="S14" s="91" t="n"/>
      <c r="T14" s="91" t="n"/>
      <c r="U14" s="91" t="n"/>
      <c r="V14" s="91" t="n"/>
      <c r="W14" s="91" t="n"/>
      <c r="X14" s="91" t="n"/>
      <c r="Y14" s="91" t="n"/>
      <c r="Z14" s="91" t="n"/>
      <c r="AA14" s="91" t="n"/>
      <c r="AB14" s="91" t="n"/>
      <c r="AC14" s="91" t="n"/>
      <c r="AD14" s="91" t="n"/>
      <c r="AE14" s="91" t="n"/>
      <c r="AF14" s="91" t="n"/>
      <c r="AG14" s="91" t="n"/>
      <c r="AH14" s="91" t="n"/>
      <c r="AI14" s="91" t="n"/>
      <c r="AJ14" s="91" t="n"/>
      <c r="AK14" s="91" t="n"/>
      <c r="AL14" s="91" t="n"/>
    </row>
    <row r="15" ht="8" customHeight="1"/>
    <row r="16" ht="15" customHeight="1">
      <c r="A16" s="33" t="inlineStr">
        <is>
          <t>S.No.</t>
        </is>
      </c>
      <c r="B16" s="33" t="inlineStr">
        <is>
          <t>Protocols</t>
        </is>
      </c>
      <c r="C16" s="33" t="inlineStr">
        <is>
          <t>Category</t>
        </is>
      </c>
      <c r="D16" s="33" t="inlineStr">
        <is>
          <t>Target</t>
        </is>
      </c>
      <c r="E16" s="92" t="n">
        <v>1</v>
      </c>
      <c r="F16" s="92" t="n">
        <v>2</v>
      </c>
      <c r="G16" s="93" t="n">
        <v>3</v>
      </c>
      <c r="H16" s="92" t="n">
        <v>4</v>
      </c>
      <c r="I16" s="92" t="n">
        <v>5</v>
      </c>
      <c r="J16" s="92" t="n">
        <v>6</v>
      </c>
      <c r="K16" s="92" t="n">
        <v>7</v>
      </c>
      <c r="L16" s="92" t="n">
        <v>8</v>
      </c>
      <c r="M16" s="92" t="n">
        <v>9</v>
      </c>
      <c r="N16" s="93" t="n">
        <v>10</v>
      </c>
      <c r="O16" s="92" t="n">
        <v>11</v>
      </c>
      <c r="P16" s="92" t="n">
        <v>12</v>
      </c>
      <c r="Q16" s="92" t="n">
        <v>13</v>
      </c>
      <c r="R16" s="92" t="n">
        <v>14</v>
      </c>
      <c r="S16" s="92" t="n">
        <v>15</v>
      </c>
      <c r="T16" s="92" t="n">
        <v>16</v>
      </c>
      <c r="U16" s="93" t="n">
        <v>17</v>
      </c>
      <c r="V16" s="92" t="n">
        <v>18</v>
      </c>
      <c r="W16" s="92" t="n">
        <v>19</v>
      </c>
      <c r="X16" s="92" t="n">
        <v>20</v>
      </c>
      <c r="Y16" s="92" t="n">
        <v>21</v>
      </c>
      <c r="Z16" s="92" t="n">
        <v>22</v>
      </c>
      <c r="AA16" s="92" t="n">
        <v>23</v>
      </c>
      <c r="AB16" s="93" t="n">
        <v>24</v>
      </c>
      <c r="AC16" s="92" t="n">
        <v>25</v>
      </c>
      <c r="AD16" s="92" t="n">
        <v>26</v>
      </c>
      <c r="AE16" s="92" t="n">
        <v>27</v>
      </c>
      <c r="AF16" s="92" t="n">
        <v>28</v>
      </c>
      <c r="AG16" s="92" t="n">
        <v>29</v>
      </c>
      <c r="AH16" s="92" t="n">
        <v>30</v>
      </c>
      <c r="AI16" s="93" t="n">
        <v>31</v>
      </c>
      <c r="AJ16" s="94" t="inlineStr">
        <is>
          <t>Success %</t>
        </is>
      </c>
      <c r="AK16" s="94" t="inlineStr">
        <is>
          <t>Done / Target</t>
        </is>
      </c>
      <c r="AL16" s="94" t="inlineStr">
        <is>
          <t>Status</t>
        </is>
      </c>
      <c r="AM16" t="inlineStr">
        <is>
          <t>Done Count</t>
        </is>
      </c>
    </row>
    <row r="17" ht="15" customHeight="1">
      <c r="A17" s="54" t="n"/>
      <c r="B17" s="54" t="n"/>
      <c r="C17" s="54" t="n"/>
      <c r="D17" s="54" t="n"/>
      <c r="E17" s="95" t="inlineStr">
        <is>
          <t>F</t>
        </is>
      </c>
      <c r="F17" s="95" t="inlineStr">
        <is>
          <t>Sa</t>
        </is>
      </c>
      <c r="G17" s="96" t="inlineStr">
        <is>
          <t>Su</t>
        </is>
      </c>
      <c r="H17" s="95" t="inlineStr">
        <is>
          <t>M</t>
        </is>
      </c>
      <c r="I17" s="95" t="inlineStr">
        <is>
          <t>T</t>
        </is>
      </c>
      <c r="J17" s="95" t="inlineStr">
        <is>
          <t>W</t>
        </is>
      </c>
      <c r="K17" s="95" t="inlineStr">
        <is>
          <t>Th</t>
        </is>
      </c>
      <c r="L17" s="95" t="inlineStr">
        <is>
          <t>F</t>
        </is>
      </c>
      <c r="M17" s="95" t="inlineStr">
        <is>
          <t>Sa</t>
        </is>
      </c>
      <c r="N17" s="96" t="inlineStr">
        <is>
          <t>Su</t>
        </is>
      </c>
      <c r="O17" s="95" t="inlineStr">
        <is>
          <t>M</t>
        </is>
      </c>
      <c r="P17" s="95" t="inlineStr">
        <is>
          <t>T</t>
        </is>
      </c>
      <c r="Q17" s="95" t="inlineStr">
        <is>
          <t>W</t>
        </is>
      </c>
      <c r="R17" s="95" t="inlineStr">
        <is>
          <t>Th</t>
        </is>
      </c>
      <c r="S17" s="95" t="inlineStr">
        <is>
          <t>F</t>
        </is>
      </c>
      <c r="T17" s="95" t="inlineStr">
        <is>
          <t>Sa</t>
        </is>
      </c>
      <c r="U17" s="96" t="inlineStr">
        <is>
          <t>Su</t>
        </is>
      </c>
      <c r="V17" s="95" t="inlineStr">
        <is>
          <t>M</t>
        </is>
      </c>
      <c r="W17" s="95" t="inlineStr">
        <is>
          <t>T</t>
        </is>
      </c>
      <c r="X17" s="95" t="inlineStr">
        <is>
          <t>W</t>
        </is>
      </c>
      <c r="Y17" s="95" t="inlineStr">
        <is>
          <t>Th</t>
        </is>
      </c>
      <c r="Z17" s="95" t="inlineStr">
        <is>
          <t>F</t>
        </is>
      </c>
      <c r="AA17" s="95" t="inlineStr">
        <is>
          <t>Sa</t>
        </is>
      </c>
      <c r="AB17" s="96" t="inlineStr">
        <is>
          <t>Su</t>
        </is>
      </c>
      <c r="AC17" s="95" t="inlineStr">
        <is>
          <t>M</t>
        </is>
      </c>
      <c r="AD17" s="95" t="inlineStr">
        <is>
          <t>T</t>
        </is>
      </c>
      <c r="AE17" s="95" t="inlineStr">
        <is>
          <t>W</t>
        </is>
      </c>
      <c r="AF17" s="95" t="inlineStr">
        <is>
          <t>Th</t>
        </is>
      </c>
      <c r="AG17" s="95" t="inlineStr">
        <is>
          <t>F</t>
        </is>
      </c>
      <c r="AH17" s="95" t="inlineStr">
        <is>
          <t>Sa</t>
        </is>
      </c>
      <c r="AI17" s="96" t="inlineStr">
        <is>
          <t>Su</t>
        </is>
      </c>
      <c r="AJ17" s="54" t="n"/>
      <c r="AK17" s="54" t="n"/>
      <c r="AL17" s="54" t="n"/>
    </row>
    <row r="18" ht="14.5" customHeight="1">
      <c r="A18" s="97" t="n">
        <v>1</v>
      </c>
      <c r="B18" s="98" t="n"/>
      <c r="C18" s="99" t="n"/>
      <c r="D18" s="99" t="n"/>
      <c r="E18" s="100" t="n"/>
      <c r="F18" s="100" t="n"/>
      <c r="G18" s="101" t="n"/>
      <c r="H18" s="100" t="n"/>
      <c r="I18" s="100" t="n"/>
      <c r="J18" s="100" t="n"/>
      <c r="K18" s="100" t="n"/>
      <c r="L18" s="100" t="n"/>
      <c r="M18" s="100" t="n"/>
      <c r="N18" s="101" t="n"/>
      <c r="O18" s="100" t="n"/>
      <c r="P18" s="100" t="n"/>
      <c r="Q18" s="100" t="n"/>
      <c r="R18" s="100" t="n"/>
      <c r="S18" s="100" t="n"/>
      <c r="T18" s="100" t="n"/>
      <c r="U18" s="101" t="n"/>
      <c r="V18" s="100" t="n"/>
      <c r="W18" s="100" t="n"/>
      <c r="X18" s="100" t="n"/>
      <c r="Y18" s="100" t="n"/>
      <c r="Z18" s="100" t="n"/>
      <c r="AA18" s="100" t="n"/>
      <c r="AB18" s="101" t="n"/>
      <c r="AC18" s="100" t="n"/>
      <c r="AD18" s="100" t="n"/>
      <c r="AE18" s="100" t="n"/>
      <c r="AF18" s="100" t="n"/>
      <c r="AG18" s="100" t="n"/>
      <c r="AH18" s="100" t="n"/>
      <c r="AI18" s="101" t="n"/>
      <c r="AJ18" s="102">
        <f>IF(ISBLANK(B18), "", IF(ISNUMBER(D18), IF(D18&gt;0, (COUNTIF(E18:AI18, "✓") + COUNTIF(E18:AI18, "✔") + COUNTIF(E18:AI18, "v") + COUNTIF(E18:AI18, "V"))/D18, 0), IF(((COUNTIF(E18:AI18, "✓") + COUNTIF(E18:AI18, "✔") + COUNTIF(E18:AI18, "v") + COUNTIF(E18:AI18, "V")) + COUNTIF(E18:AI18, "✗") + COUNTIF(E18:AI18, "x") + COUNTIF(E18:AI18, "X"))&gt;0, (COUNTIF(E18:AI18, "✓") + COUNTIF(E18:AI18, "✔") + COUNTIF(E18:AI18, "v") + COUNTIF(E18:AI18, "V"))/((COUNTIF(E18:AI18, "✓") + COUNTIF(E18:AI18, "✔") + COUNTIF(E18:AI18, "v") + COUNTIF(E18:AI18, "V")) + COUNTIF(E18:AI18, "✗") + COUNTIF(E18:AI18, "x") + COUNTIF(E18:AI18, "X")), "")))</f>
        <v/>
      </c>
      <c r="AK18" s="103">
        <f>IF(ISBLANK(B18), "", IF(ISNUMBER(D18), IF(D18&gt;0, (COUNTIF(E18:AI18, "✓") + COUNTIF(E18:AI18, "✔") + COUNTIF(E18:AI18, "v") + COUNTIF(E18:AI18, "V")) &amp; "/" &amp; D18, (COUNTIF(E18:AI18, "✓") + COUNTIF(E18:AI18, "✔") + COUNTIF(E18:AI18, "v") + COUNTIF(E18:AI18, "V")) &amp; "/0"), IF(((COUNTIF(E18:AI18, "✓") + COUNTIF(E18:AI18, "✔") + COUNTIF(E18:AI18, "v") + COUNTIF(E18:AI18, "V")) + COUNTIF(E18:AI18, "✗") + COUNTIF(E18:AI18, "x") + COUNTIF(E18:AI18, "X"))&gt;0, (COUNTIF(E18:AI18, "✓") + COUNTIF(E18:AI18, "✔") + COUNTIF(E18:AI18, "v") + COUNTIF(E18:AI18, "V")) &amp; "/" &amp; ((COUNTIF(E18:AI18, "✓") + COUNTIF(E18:AI18, "✔") + COUNTIF(E18:AI18, "v") + COUNTIF(E18:AI18, "V")) + COUNTIF(E18:AI18, "✗") + COUNTIF(E18:AI18, "x") + COUNTIF(E18:AI18, "X")), "")))</f>
        <v/>
      </c>
      <c r="AL18" s="103">
        <f>IF(ISBLANK(B18), "", IF(AJ18&gt;=0.85, "🔥 Mastered", IF(AJ18&gt;=0.7, "⚡ Consistent", "⚠️ Needs Focus")))</f>
        <v/>
      </c>
      <c r="AM18">
        <f>COUNTIF(E18:AI18, "✓")</f>
        <v/>
      </c>
    </row>
    <row r="19" ht="14.5" customHeight="1">
      <c r="A19" s="97" t="n">
        <v>2</v>
      </c>
      <c r="B19" s="98" t="n"/>
      <c r="C19" s="99" t="n"/>
      <c r="D19" s="99" t="n"/>
      <c r="E19" s="100" t="n"/>
      <c r="F19" s="100" t="n"/>
      <c r="G19" s="101" t="n"/>
      <c r="H19" s="100" t="n"/>
      <c r="I19" s="100" t="n"/>
      <c r="J19" s="100" t="n"/>
      <c r="K19" s="100" t="n"/>
      <c r="L19" s="100" t="n"/>
      <c r="M19" s="100" t="n"/>
      <c r="N19" s="101" t="n"/>
      <c r="O19" s="100" t="n"/>
      <c r="P19" s="100" t="n"/>
      <c r="Q19" s="100" t="n"/>
      <c r="R19" s="100" t="n"/>
      <c r="S19" s="100" t="n"/>
      <c r="T19" s="100" t="n"/>
      <c r="U19" s="101" t="n"/>
      <c r="V19" s="100" t="n"/>
      <c r="W19" s="100" t="n"/>
      <c r="X19" s="100" t="n"/>
      <c r="Y19" s="100" t="n"/>
      <c r="Z19" s="100" t="n"/>
      <c r="AA19" s="100" t="n"/>
      <c r="AB19" s="101" t="n"/>
      <c r="AC19" s="100" t="n"/>
      <c r="AD19" s="100" t="n"/>
      <c r="AE19" s="100" t="n"/>
      <c r="AF19" s="100" t="n"/>
      <c r="AG19" s="100" t="n"/>
      <c r="AH19" s="100" t="n"/>
      <c r="AI19" s="101" t="n"/>
      <c r="AJ19" s="102">
        <f>IF(ISBLANK(B19), "", IF(ISNUMBER(D19), IF(D19&gt;0, (COUNTIF(E19:AI19, "✓") + COUNTIF(E19:AI19, "✔") + COUNTIF(E19:AI19, "v") + COUNTIF(E19:AI19, "V"))/D19, 0), IF(((COUNTIF(E19:AI19, "✓") + COUNTIF(E19:AI19, "✔") + COUNTIF(E19:AI19, "v") + COUNTIF(E19:AI19, "V")) + COUNTIF(E19:AI19, "✗") + COUNTIF(E19:AI19, "x") + COUNTIF(E19:AI19, "X"))&gt;0, (COUNTIF(E19:AI19, "✓") + COUNTIF(E19:AI19, "✔") + COUNTIF(E19:AI19, "v") + COUNTIF(E19:AI19, "V"))/((COUNTIF(E19:AI19, "✓") + COUNTIF(E19:AI19, "✔") + COUNTIF(E19:AI19, "v") + COUNTIF(E19:AI19, "V")) + COUNTIF(E19:AI19, "✗") + COUNTIF(E19:AI19, "x") + COUNTIF(E19:AI19, "X")), "")))</f>
        <v/>
      </c>
      <c r="AK19" s="103">
        <f>IF(ISBLANK(B19), "", IF(ISNUMBER(D19), IF(D19&gt;0, (COUNTIF(E19:AI19, "✓") + COUNTIF(E19:AI19, "✔") + COUNTIF(E19:AI19, "v") + COUNTIF(E19:AI19, "V")) &amp; "/" &amp; D19, (COUNTIF(E19:AI19, "✓") + COUNTIF(E19:AI19, "✔") + COUNTIF(E19:AI19, "v") + COUNTIF(E19:AI19, "V")) &amp; "/0"), IF(((COUNTIF(E19:AI19, "✓") + COUNTIF(E19:AI19, "✔") + COUNTIF(E19:AI19, "v") + COUNTIF(E19:AI19, "V")) + COUNTIF(E19:AI19, "✗") + COUNTIF(E19:AI19, "x") + COUNTIF(E19:AI19, "X"))&gt;0, (COUNTIF(E19:AI19, "✓") + COUNTIF(E19:AI19, "✔") + COUNTIF(E19:AI19, "v") + COUNTIF(E19:AI19, "V")) &amp; "/" &amp; ((COUNTIF(E19:AI19, "✓") + COUNTIF(E19:AI19, "✔") + COUNTIF(E19:AI19, "v") + COUNTIF(E19:AI19, "V")) + COUNTIF(E19:AI19, "✗") + COUNTIF(E19:AI19, "x") + COUNTIF(E19:AI19, "X")), "")))</f>
        <v/>
      </c>
      <c r="AL19" s="103">
        <f>IF(ISBLANK(B19), "", IF(AJ19&gt;=0.85, "🔥 Mastered", IF(AJ19&gt;=0.7, "⚡ Consistent", "⚠️ Needs Focus")))</f>
        <v/>
      </c>
      <c r="AM19">
        <f>COUNTIF(E19:AI19, "✓")</f>
        <v/>
      </c>
    </row>
    <row r="20" ht="14.5" customHeight="1">
      <c r="A20" s="97" t="n">
        <v>3</v>
      </c>
      <c r="B20" s="98" t="n"/>
      <c r="C20" s="99" t="n"/>
      <c r="D20" s="99" t="n"/>
      <c r="E20" s="100" t="n"/>
      <c r="F20" s="100" t="n"/>
      <c r="G20" s="101" t="n"/>
      <c r="H20" s="100" t="n"/>
      <c r="I20" s="100" t="n"/>
      <c r="J20" s="100" t="n"/>
      <c r="K20" s="100" t="n"/>
      <c r="L20" s="100" t="n"/>
      <c r="M20" s="100" t="n"/>
      <c r="N20" s="101" t="n"/>
      <c r="O20" s="100" t="n"/>
      <c r="P20" s="100" t="n"/>
      <c r="Q20" s="100" t="n"/>
      <c r="R20" s="100" t="n"/>
      <c r="S20" s="100" t="n"/>
      <c r="T20" s="100" t="n"/>
      <c r="U20" s="101" t="n"/>
      <c r="V20" s="100" t="n"/>
      <c r="W20" s="100" t="n"/>
      <c r="X20" s="100" t="n"/>
      <c r="Y20" s="100" t="n"/>
      <c r="Z20" s="100" t="n"/>
      <c r="AA20" s="100" t="n"/>
      <c r="AB20" s="101" t="n"/>
      <c r="AC20" s="100" t="n"/>
      <c r="AD20" s="100" t="n"/>
      <c r="AE20" s="100" t="n"/>
      <c r="AF20" s="100" t="n"/>
      <c r="AG20" s="100" t="n"/>
      <c r="AH20" s="100" t="n"/>
      <c r="AI20" s="101" t="n"/>
      <c r="AJ20" s="102">
        <f>IF(ISBLANK(B20), "", IF(ISNUMBER(D20), IF(D20&gt;0, (COUNTIF(E20:AI20, "✓") + COUNTIF(E20:AI20, "✔") + COUNTIF(E20:AI20, "v") + COUNTIF(E20:AI20, "V"))/D20, 0), IF(((COUNTIF(E20:AI20, "✓") + COUNTIF(E20:AI20, "✔") + COUNTIF(E20:AI20, "v") + COUNTIF(E20:AI20, "V")) + COUNTIF(E20:AI20, "✗") + COUNTIF(E20:AI20, "x") + COUNTIF(E20:AI20, "X"))&gt;0, (COUNTIF(E20:AI20, "✓") + COUNTIF(E20:AI20, "✔") + COUNTIF(E20:AI20, "v") + COUNTIF(E20:AI20, "V"))/((COUNTIF(E20:AI20, "✓") + COUNTIF(E20:AI20, "✔") + COUNTIF(E20:AI20, "v") + COUNTIF(E20:AI20, "V")) + COUNTIF(E20:AI20, "✗") + COUNTIF(E20:AI20, "x") + COUNTIF(E20:AI20, "X")), "")))</f>
        <v/>
      </c>
      <c r="AK20" s="103">
        <f>IF(ISBLANK(B20), "", IF(ISNUMBER(D20), IF(D20&gt;0, (COUNTIF(E20:AI20, "✓") + COUNTIF(E20:AI20, "✔") + COUNTIF(E20:AI20, "v") + COUNTIF(E20:AI20, "V")) &amp; "/" &amp; D20, (COUNTIF(E20:AI20, "✓") + COUNTIF(E20:AI20, "✔") + COUNTIF(E20:AI20, "v") + COUNTIF(E20:AI20, "V")) &amp; "/0"), IF(((COUNTIF(E20:AI20, "✓") + COUNTIF(E20:AI20, "✔") + COUNTIF(E20:AI20, "v") + COUNTIF(E20:AI20, "V")) + COUNTIF(E20:AI20, "✗") + COUNTIF(E20:AI20, "x") + COUNTIF(E20:AI20, "X"))&gt;0, (COUNTIF(E20:AI20, "✓") + COUNTIF(E20:AI20, "✔") + COUNTIF(E20:AI20, "v") + COUNTIF(E20:AI20, "V")) &amp; "/" &amp; ((COUNTIF(E20:AI20, "✓") + COUNTIF(E20:AI20, "✔") + COUNTIF(E20:AI20, "v") + COUNTIF(E20:AI20, "V")) + COUNTIF(E20:AI20, "✗") + COUNTIF(E20:AI20, "x") + COUNTIF(E20:AI20, "X")), "")))</f>
        <v/>
      </c>
      <c r="AL20" s="103">
        <f>IF(ISBLANK(B20), "", IF(AJ20&gt;=0.85, "🔥 Mastered", IF(AJ20&gt;=0.7, "⚡ Consistent", "⚠️ Needs Focus")))</f>
        <v/>
      </c>
      <c r="AM20">
        <f>COUNTIF(E20:AI20, "✓")</f>
        <v/>
      </c>
    </row>
    <row r="21" ht="14.5" customHeight="1">
      <c r="A21" s="97" t="n">
        <v>4</v>
      </c>
      <c r="B21" s="98" t="n"/>
      <c r="C21" s="99" t="n"/>
      <c r="D21" s="99" t="n"/>
      <c r="E21" s="100" t="n"/>
      <c r="F21" s="100" t="n"/>
      <c r="G21" s="101" t="n"/>
      <c r="H21" s="100" t="n"/>
      <c r="I21" s="100" t="n"/>
      <c r="J21" s="100" t="n"/>
      <c r="K21" s="100" t="n"/>
      <c r="L21" s="100" t="n"/>
      <c r="M21" s="100" t="n"/>
      <c r="N21" s="101" t="n"/>
      <c r="O21" s="100" t="n"/>
      <c r="P21" s="100" t="n"/>
      <c r="Q21" s="100" t="n"/>
      <c r="R21" s="100" t="n"/>
      <c r="S21" s="100" t="n"/>
      <c r="T21" s="100" t="n"/>
      <c r="U21" s="101" t="n"/>
      <c r="V21" s="100" t="n"/>
      <c r="W21" s="100" t="n"/>
      <c r="X21" s="100" t="n"/>
      <c r="Y21" s="100" t="n"/>
      <c r="Z21" s="100" t="n"/>
      <c r="AA21" s="100" t="n"/>
      <c r="AB21" s="101" t="n"/>
      <c r="AC21" s="100" t="n"/>
      <c r="AD21" s="100" t="n"/>
      <c r="AE21" s="100" t="n"/>
      <c r="AF21" s="100" t="n"/>
      <c r="AG21" s="100" t="n"/>
      <c r="AH21" s="100" t="n"/>
      <c r="AI21" s="101" t="n"/>
      <c r="AJ21" s="102">
        <f>IF(ISBLANK(B21), "", IF(ISNUMBER(D21), IF(D21&gt;0, (COUNTIF(E21:AI21, "✓") + COUNTIF(E21:AI21, "✔") + COUNTIF(E21:AI21, "v") + COUNTIF(E21:AI21, "V"))/D21, 0), IF(((COUNTIF(E21:AI21, "✓") + COUNTIF(E21:AI21, "✔") + COUNTIF(E21:AI21, "v") + COUNTIF(E21:AI21, "V")) + COUNTIF(E21:AI21, "✗") + COUNTIF(E21:AI21, "x") + COUNTIF(E21:AI21, "X"))&gt;0, (COUNTIF(E21:AI21, "✓") + COUNTIF(E21:AI21, "✔") + COUNTIF(E21:AI21, "v") + COUNTIF(E21:AI21, "V"))/((COUNTIF(E21:AI21, "✓") + COUNTIF(E21:AI21, "✔") + COUNTIF(E21:AI21, "v") + COUNTIF(E21:AI21, "V")) + COUNTIF(E21:AI21, "✗") + COUNTIF(E21:AI21, "x") + COUNTIF(E21:AI21, "X")), "")))</f>
        <v/>
      </c>
      <c r="AK21" s="103">
        <f>IF(ISBLANK(B21), "", IF(ISNUMBER(D21), IF(D21&gt;0, (COUNTIF(E21:AI21, "✓") + COUNTIF(E21:AI21, "✔") + COUNTIF(E21:AI21, "v") + COUNTIF(E21:AI21, "V")) &amp; "/" &amp; D21, (COUNTIF(E21:AI21, "✓") + COUNTIF(E21:AI21, "✔") + COUNTIF(E21:AI21, "v") + COUNTIF(E21:AI21, "V")) &amp; "/0"), IF(((COUNTIF(E21:AI21, "✓") + COUNTIF(E21:AI21, "✔") + COUNTIF(E21:AI21, "v") + COUNTIF(E21:AI21, "V")) + COUNTIF(E21:AI21, "✗") + COUNTIF(E21:AI21, "x") + COUNTIF(E21:AI21, "X"))&gt;0, (COUNTIF(E21:AI21, "✓") + COUNTIF(E21:AI21, "✔") + COUNTIF(E21:AI21, "v") + COUNTIF(E21:AI21, "V")) &amp; "/" &amp; ((COUNTIF(E21:AI21, "✓") + COUNTIF(E21:AI21, "✔") + COUNTIF(E21:AI21, "v") + COUNTIF(E21:AI21, "V")) + COUNTIF(E21:AI21, "✗") + COUNTIF(E21:AI21, "x") + COUNTIF(E21:AI21, "X")), "")))</f>
        <v/>
      </c>
      <c r="AL21" s="103">
        <f>IF(ISBLANK(B21), "", IF(AJ21&gt;=0.85, "🔥 Mastered", IF(AJ21&gt;=0.7, "⚡ Consistent", "⚠️ Needs Focus")))</f>
        <v/>
      </c>
      <c r="AM21">
        <f>COUNTIF(E21:AI21, "✓")</f>
        <v/>
      </c>
    </row>
    <row r="22" ht="14.5" customHeight="1">
      <c r="A22" s="104" t="n">
        <v>5</v>
      </c>
      <c r="B22" s="105" t="n"/>
      <c r="C22" s="106" t="n"/>
      <c r="D22" s="106" t="n"/>
      <c r="E22" s="107" t="n"/>
      <c r="F22" s="107" t="n"/>
      <c r="G22" s="108" t="n"/>
      <c r="H22" s="107" t="n"/>
      <c r="I22" s="107" t="n"/>
      <c r="J22" s="107" t="n"/>
      <c r="K22" s="107" t="n"/>
      <c r="L22" s="107" t="n"/>
      <c r="M22" s="107" t="n"/>
      <c r="N22" s="108" t="n"/>
      <c r="O22" s="107" t="n"/>
      <c r="P22" s="107" t="n"/>
      <c r="Q22" s="107" t="n"/>
      <c r="R22" s="107" t="n"/>
      <c r="S22" s="107" t="n"/>
      <c r="T22" s="107" t="n"/>
      <c r="U22" s="108" t="n"/>
      <c r="V22" s="107" t="n"/>
      <c r="W22" s="107" t="n"/>
      <c r="X22" s="107" t="n"/>
      <c r="Y22" s="107" t="n"/>
      <c r="Z22" s="107" t="n"/>
      <c r="AA22" s="107" t="n"/>
      <c r="AB22" s="108" t="n"/>
      <c r="AC22" s="107" t="n"/>
      <c r="AD22" s="107" t="n"/>
      <c r="AE22" s="107" t="n"/>
      <c r="AF22" s="107" t="n"/>
      <c r="AG22" s="107" t="n"/>
      <c r="AH22" s="107" t="n"/>
      <c r="AI22" s="108" t="n"/>
      <c r="AJ22" s="109">
        <f>IF(ISBLANK(B22), "", IF(ISNUMBER(D22), IF(D22&gt;0, (COUNTIF(E22:AI22, "✓") + COUNTIF(E22:AI22, "✔") + COUNTIF(E22:AI22, "v") + COUNTIF(E22:AI22, "V"))/D22, 0), IF(((COUNTIF(E22:AI22, "✓") + COUNTIF(E22:AI22, "✔") + COUNTIF(E22:AI22, "v") + COUNTIF(E22:AI22, "V")) + COUNTIF(E22:AI22, "✗") + COUNTIF(E22:AI22, "x") + COUNTIF(E22:AI22, "X"))&gt;0, (COUNTIF(E22:AI22, "✓") + COUNTIF(E22:AI22, "✔") + COUNTIF(E22:AI22, "v") + COUNTIF(E22:AI22, "V"))/((COUNTIF(E22:AI22, "✓") + COUNTIF(E22:AI22, "✔") + COUNTIF(E22:AI22, "v") + COUNTIF(E22:AI22, "V")) + COUNTIF(E22:AI22, "✗") + COUNTIF(E22:AI22, "x") + COUNTIF(E22:AI22, "X")), "")))</f>
        <v/>
      </c>
      <c r="AK22" s="110">
        <f>IF(ISBLANK(B22), "", IF(ISNUMBER(D22), IF(D22&gt;0, (COUNTIF(E22:AI22, "✓") + COUNTIF(E22:AI22, "✔") + COUNTIF(E22:AI22, "v") + COUNTIF(E22:AI22, "V")) &amp; "/" &amp; D22, (COUNTIF(E22:AI22, "✓") + COUNTIF(E22:AI22, "✔") + COUNTIF(E22:AI22, "v") + COUNTIF(E22:AI22, "V")) &amp; "/0"), IF(((COUNTIF(E22:AI22, "✓") + COUNTIF(E22:AI22, "✔") + COUNTIF(E22:AI22, "v") + COUNTIF(E22:AI22, "V")) + COUNTIF(E22:AI22, "✗") + COUNTIF(E22:AI22, "x") + COUNTIF(E22:AI22, "X"))&gt;0, (COUNTIF(E22:AI22, "✓") + COUNTIF(E22:AI22, "✔") + COUNTIF(E22:AI22, "v") + COUNTIF(E22:AI22, "V")) &amp; "/" &amp; ((COUNTIF(E22:AI22, "✓") + COUNTIF(E22:AI22, "✔") + COUNTIF(E22:AI22, "v") + COUNTIF(E22:AI22, "V")) + COUNTIF(E22:AI22, "✗") + COUNTIF(E22:AI22, "x") + COUNTIF(E22:AI22, "X")), "")))</f>
        <v/>
      </c>
      <c r="AL22" s="110">
        <f>IF(ISBLANK(B22), "", IF(AJ22&gt;=0.85, "🔥 Mastered", IF(AJ22&gt;=0.7, "⚡ Consistent", "⚠️ Needs Focus")))</f>
        <v/>
      </c>
      <c r="AM22">
        <f>COUNTIF(E22:AI22, "✓")</f>
        <v/>
      </c>
    </row>
    <row r="23" ht="14.5" customHeight="1">
      <c r="A23" s="104" t="n">
        <v>6</v>
      </c>
      <c r="B23" s="105" t="n"/>
      <c r="C23" s="106" t="n"/>
      <c r="D23" s="106" t="n"/>
      <c r="E23" s="107" t="n"/>
      <c r="F23" s="107" t="n"/>
      <c r="G23" s="108" t="n"/>
      <c r="H23" s="107" t="n"/>
      <c r="I23" s="107" t="n"/>
      <c r="J23" s="107" t="n"/>
      <c r="K23" s="107" t="n"/>
      <c r="L23" s="107" t="n"/>
      <c r="M23" s="107" t="n"/>
      <c r="N23" s="108" t="n"/>
      <c r="O23" s="107" t="n"/>
      <c r="P23" s="107" t="n"/>
      <c r="Q23" s="107" t="n"/>
      <c r="R23" s="107" t="n"/>
      <c r="S23" s="107" t="n"/>
      <c r="T23" s="107" t="n"/>
      <c r="U23" s="108" t="n"/>
      <c r="V23" s="107" t="n"/>
      <c r="W23" s="107" t="n"/>
      <c r="X23" s="107" t="n"/>
      <c r="Y23" s="107" t="n"/>
      <c r="Z23" s="107" t="n"/>
      <c r="AA23" s="107" t="n"/>
      <c r="AB23" s="108" t="n"/>
      <c r="AC23" s="107" t="n"/>
      <c r="AD23" s="107" t="n"/>
      <c r="AE23" s="107" t="n"/>
      <c r="AF23" s="107" t="n"/>
      <c r="AG23" s="107" t="n"/>
      <c r="AH23" s="107" t="n"/>
      <c r="AI23" s="108" t="n"/>
      <c r="AJ23" s="109">
        <f>IF(ISBLANK(B23), "", IF(ISNUMBER(D23), IF(D23&gt;0, (COUNTIF(E23:AI23, "✓") + COUNTIF(E23:AI23, "✔") + COUNTIF(E23:AI23, "v") + COUNTIF(E23:AI23, "V"))/D23, 0), IF(((COUNTIF(E23:AI23, "✓") + COUNTIF(E23:AI23, "✔") + COUNTIF(E23:AI23, "v") + COUNTIF(E23:AI23, "V")) + COUNTIF(E23:AI23, "✗") + COUNTIF(E23:AI23, "x") + COUNTIF(E23:AI23, "X"))&gt;0, (COUNTIF(E23:AI23, "✓") + COUNTIF(E23:AI23, "✔") + COUNTIF(E23:AI23, "v") + COUNTIF(E23:AI23, "V"))/((COUNTIF(E23:AI23, "✓") + COUNTIF(E23:AI23, "✔") + COUNTIF(E23:AI23, "v") + COUNTIF(E23:AI23, "V")) + COUNTIF(E23:AI23, "✗") + COUNTIF(E23:AI23, "x") + COUNTIF(E23:AI23, "X")), "")))</f>
        <v/>
      </c>
      <c r="AK23" s="110">
        <f>IF(ISBLANK(B23), "", IF(ISNUMBER(D23), IF(D23&gt;0, (COUNTIF(E23:AI23, "✓") + COUNTIF(E23:AI23, "✔") + COUNTIF(E23:AI23, "v") + COUNTIF(E23:AI23, "V")) &amp; "/" &amp; D23, (COUNTIF(E23:AI23, "✓") + COUNTIF(E23:AI23, "✔") + COUNTIF(E23:AI23, "v") + COUNTIF(E23:AI23, "V")) &amp; "/0"), IF(((COUNTIF(E23:AI23, "✓") + COUNTIF(E23:AI23, "✔") + COUNTIF(E23:AI23, "v") + COUNTIF(E23:AI23, "V")) + COUNTIF(E23:AI23, "✗") + COUNTIF(E23:AI23, "x") + COUNTIF(E23:AI23, "X"))&gt;0, (COUNTIF(E23:AI23, "✓") + COUNTIF(E23:AI23, "✔") + COUNTIF(E23:AI23, "v") + COUNTIF(E23:AI23, "V")) &amp; "/" &amp; ((COUNTIF(E23:AI23, "✓") + COUNTIF(E23:AI23, "✔") + COUNTIF(E23:AI23, "v") + COUNTIF(E23:AI23, "V")) + COUNTIF(E23:AI23, "✗") + COUNTIF(E23:AI23, "x") + COUNTIF(E23:AI23, "X")), "")))</f>
        <v/>
      </c>
      <c r="AL23" s="110">
        <f>IF(ISBLANK(B23), "", IF(AJ23&gt;=0.85, "🔥 Mastered", IF(AJ23&gt;=0.7, "⚡ Consistent", "⚠️ Needs Focus")))</f>
        <v/>
      </c>
      <c r="AM23">
        <f>COUNTIF(E23:AI23, "✓")</f>
        <v/>
      </c>
    </row>
    <row r="24" ht="14.5" customHeight="1">
      <c r="A24" s="104" t="n">
        <v>7</v>
      </c>
      <c r="B24" s="105" t="n"/>
      <c r="C24" s="106" t="n"/>
      <c r="D24" s="106" t="n"/>
      <c r="E24" s="107" t="n"/>
      <c r="F24" s="107" t="n"/>
      <c r="G24" s="108" t="n"/>
      <c r="H24" s="107" t="n"/>
      <c r="I24" s="107" t="n"/>
      <c r="J24" s="107" t="n"/>
      <c r="K24" s="107" t="n"/>
      <c r="L24" s="107" t="n"/>
      <c r="M24" s="107" t="n"/>
      <c r="N24" s="108" t="n"/>
      <c r="O24" s="107" t="n"/>
      <c r="P24" s="107" t="n"/>
      <c r="Q24" s="107" t="n"/>
      <c r="R24" s="107" t="n"/>
      <c r="S24" s="107" t="n"/>
      <c r="T24" s="107" t="n"/>
      <c r="U24" s="108" t="n"/>
      <c r="V24" s="107" t="n"/>
      <c r="W24" s="107" t="n"/>
      <c r="X24" s="107" t="n"/>
      <c r="Y24" s="107" t="n"/>
      <c r="Z24" s="107" t="n"/>
      <c r="AA24" s="107" t="n"/>
      <c r="AB24" s="108" t="n"/>
      <c r="AC24" s="107" t="n"/>
      <c r="AD24" s="107" t="n"/>
      <c r="AE24" s="107" t="n"/>
      <c r="AF24" s="107" t="n"/>
      <c r="AG24" s="107" t="n"/>
      <c r="AH24" s="107" t="n"/>
      <c r="AI24" s="108" t="n"/>
      <c r="AJ24" s="109">
        <f>IF(ISBLANK(B24), "", IF(ISNUMBER(D24), IF(D24&gt;0, (COUNTIF(E24:AI24, "✓") + COUNTIF(E24:AI24, "✔") + COUNTIF(E24:AI24, "v") + COUNTIF(E24:AI24, "V"))/D24, 0), IF(((COUNTIF(E24:AI24, "✓") + COUNTIF(E24:AI24, "✔") + COUNTIF(E24:AI24, "v") + COUNTIF(E24:AI24, "V")) + COUNTIF(E24:AI24, "✗") + COUNTIF(E24:AI24, "x") + COUNTIF(E24:AI24, "X"))&gt;0, (COUNTIF(E24:AI24, "✓") + COUNTIF(E24:AI24, "✔") + COUNTIF(E24:AI24, "v") + COUNTIF(E24:AI24, "V"))/((COUNTIF(E24:AI24, "✓") + COUNTIF(E24:AI24, "✔") + COUNTIF(E24:AI24, "v") + COUNTIF(E24:AI24, "V")) + COUNTIF(E24:AI24, "✗") + COUNTIF(E24:AI24, "x") + COUNTIF(E24:AI24, "X")), "")))</f>
        <v/>
      </c>
      <c r="AK24" s="110">
        <f>IF(ISBLANK(B24), "", IF(ISNUMBER(D24), IF(D24&gt;0, (COUNTIF(E24:AI24, "✓") + COUNTIF(E24:AI24, "✔") + COUNTIF(E24:AI24, "v") + COUNTIF(E24:AI24, "V")) &amp; "/" &amp; D24, (COUNTIF(E24:AI24, "✓") + COUNTIF(E24:AI24, "✔") + COUNTIF(E24:AI24, "v") + COUNTIF(E24:AI24, "V")) &amp; "/0"), IF(((COUNTIF(E24:AI24, "✓") + COUNTIF(E24:AI24, "✔") + COUNTIF(E24:AI24, "v") + COUNTIF(E24:AI24, "V")) + COUNTIF(E24:AI24, "✗") + COUNTIF(E24:AI24, "x") + COUNTIF(E24:AI24, "X"))&gt;0, (COUNTIF(E24:AI24, "✓") + COUNTIF(E24:AI24, "✔") + COUNTIF(E24:AI24, "v") + COUNTIF(E24:AI24, "V")) &amp; "/" &amp; ((COUNTIF(E24:AI24, "✓") + COUNTIF(E24:AI24, "✔") + COUNTIF(E24:AI24, "v") + COUNTIF(E24:AI24, "V")) + COUNTIF(E24:AI24, "✗") + COUNTIF(E24:AI24, "x") + COUNTIF(E24:AI24, "X")), "")))</f>
        <v/>
      </c>
      <c r="AL24" s="110">
        <f>IF(ISBLANK(B24), "", IF(AJ24&gt;=0.85, "🔥 Mastered", IF(AJ24&gt;=0.7, "⚡ Consistent", "⚠️ Needs Focus")))</f>
        <v/>
      </c>
      <c r="AM24">
        <f>COUNTIF(E24:AI24, "✓")</f>
        <v/>
      </c>
    </row>
    <row r="25" ht="14.5" customHeight="1">
      <c r="A25" s="104" t="n">
        <v>8</v>
      </c>
      <c r="B25" s="105" t="n"/>
      <c r="C25" s="106" t="n"/>
      <c r="D25" s="106" t="n"/>
      <c r="E25" s="107" t="n"/>
      <c r="F25" s="107" t="n"/>
      <c r="G25" s="108" t="n"/>
      <c r="H25" s="107" t="n"/>
      <c r="I25" s="107" t="n"/>
      <c r="J25" s="107" t="n"/>
      <c r="K25" s="107" t="n"/>
      <c r="L25" s="107" t="n"/>
      <c r="M25" s="107" t="n"/>
      <c r="N25" s="108" t="n"/>
      <c r="O25" s="107" t="n"/>
      <c r="P25" s="107" t="n"/>
      <c r="Q25" s="107" t="n"/>
      <c r="R25" s="107" t="n"/>
      <c r="S25" s="107" t="n"/>
      <c r="T25" s="107" t="n"/>
      <c r="U25" s="108" t="n"/>
      <c r="V25" s="107" t="n"/>
      <c r="W25" s="107" t="n"/>
      <c r="X25" s="107" t="n"/>
      <c r="Y25" s="107" t="n"/>
      <c r="Z25" s="107" t="n"/>
      <c r="AA25" s="107" t="n"/>
      <c r="AB25" s="108" t="n"/>
      <c r="AC25" s="107" t="n"/>
      <c r="AD25" s="107" t="n"/>
      <c r="AE25" s="107" t="n"/>
      <c r="AF25" s="107" t="n"/>
      <c r="AG25" s="107" t="n"/>
      <c r="AH25" s="107" t="n"/>
      <c r="AI25" s="108" t="n"/>
      <c r="AJ25" s="109">
        <f>IF(ISBLANK(B25), "", IF(ISNUMBER(D25), IF(D25&gt;0, (COUNTIF(E25:AI25, "✓") + COUNTIF(E25:AI25, "✔") + COUNTIF(E25:AI25, "v") + COUNTIF(E25:AI25, "V"))/D25, 0), IF(((COUNTIF(E25:AI25, "✓") + COUNTIF(E25:AI25, "✔") + COUNTIF(E25:AI25, "v") + COUNTIF(E25:AI25, "V")) + COUNTIF(E25:AI25, "✗") + COUNTIF(E25:AI25, "x") + COUNTIF(E25:AI25, "X"))&gt;0, (COUNTIF(E25:AI25, "✓") + COUNTIF(E25:AI25, "✔") + COUNTIF(E25:AI25, "v") + COUNTIF(E25:AI25, "V"))/((COUNTIF(E25:AI25, "✓") + COUNTIF(E25:AI25, "✔") + COUNTIF(E25:AI25, "v") + COUNTIF(E25:AI25, "V")) + COUNTIF(E25:AI25, "✗") + COUNTIF(E25:AI25, "x") + COUNTIF(E25:AI25, "X")), "")))</f>
        <v/>
      </c>
      <c r="AK25" s="110">
        <f>IF(ISBLANK(B25), "", IF(ISNUMBER(D25), IF(D25&gt;0, (COUNTIF(E25:AI25, "✓") + COUNTIF(E25:AI25, "✔") + COUNTIF(E25:AI25, "v") + COUNTIF(E25:AI25, "V")) &amp; "/" &amp; D25, (COUNTIF(E25:AI25, "✓") + COUNTIF(E25:AI25, "✔") + COUNTIF(E25:AI25, "v") + COUNTIF(E25:AI25, "V")) &amp; "/0"), IF(((COUNTIF(E25:AI25, "✓") + COUNTIF(E25:AI25, "✔") + COUNTIF(E25:AI25, "v") + COUNTIF(E25:AI25, "V")) + COUNTIF(E25:AI25, "✗") + COUNTIF(E25:AI25, "x") + COUNTIF(E25:AI25, "X"))&gt;0, (COUNTIF(E25:AI25, "✓") + COUNTIF(E25:AI25, "✔") + COUNTIF(E25:AI25, "v") + COUNTIF(E25:AI25, "V")) &amp; "/" &amp; ((COUNTIF(E25:AI25, "✓") + COUNTIF(E25:AI25, "✔") + COUNTIF(E25:AI25, "v") + COUNTIF(E25:AI25, "V")) + COUNTIF(E25:AI25, "✗") + COUNTIF(E25:AI25, "x") + COUNTIF(E25:AI25, "X")), "")))</f>
        <v/>
      </c>
      <c r="AL25" s="110">
        <f>IF(ISBLANK(B25), "", IF(AJ25&gt;=0.85, "🔥 Mastered", IF(AJ25&gt;=0.7, "⚡ Consistent", "⚠️ Needs Focus")))</f>
        <v/>
      </c>
      <c r="AM25">
        <f>COUNTIF(E25:AI25, "✓")</f>
        <v/>
      </c>
    </row>
    <row r="26" ht="14.5" customHeight="1">
      <c r="A26" s="111" t="n">
        <v>9</v>
      </c>
      <c r="B26" s="112" t="n"/>
      <c r="C26" s="113" t="n"/>
      <c r="D26" s="113" t="n"/>
      <c r="E26" s="114" t="n"/>
      <c r="F26" s="114" t="n"/>
      <c r="G26" s="115" t="n"/>
      <c r="H26" s="114" t="n"/>
      <c r="I26" s="114" t="n"/>
      <c r="J26" s="114" t="n"/>
      <c r="K26" s="114" t="n"/>
      <c r="L26" s="114" t="n"/>
      <c r="M26" s="114" t="n"/>
      <c r="N26" s="115" t="n"/>
      <c r="O26" s="114" t="n"/>
      <c r="P26" s="114" t="n"/>
      <c r="Q26" s="114" t="n"/>
      <c r="R26" s="114" t="n"/>
      <c r="S26" s="114" t="n"/>
      <c r="T26" s="114" t="n"/>
      <c r="U26" s="115" t="n"/>
      <c r="V26" s="114" t="n"/>
      <c r="W26" s="114" t="n"/>
      <c r="X26" s="114" t="n"/>
      <c r="Y26" s="114" t="n"/>
      <c r="Z26" s="114" t="n"/>
      <c r="AA26" s="114" t="n"/>
      <c r="AB26" s="115" t="n"/>
      <c r="AC26" s="114" t="n"/>
      <c r="AD26" s="114" t="n"/>
      <c r="AE26" s="114" t="n"/>
      <c r="AF26" s="114" t="n"/>
      <c r="AG26" s="114" t="n"/>
      <c r="AH26" s="114" t="n"/>
      <c r="AI26" s="115" t="n"/>
      <c r="AJ26" s="116">
        <f>IF(ISBLANK(B26), "", IF(ISNUMBER(D26), IF(D26&gt;0, (COUNTIF(E26:AI26, "✓") + COUNTIF(E26:AI26, "✔") + COUNTIF(E26:AI26, "v") + COUNTIF(E26:AI26, "V"))/D26, 0), IF(((COUNTIF(E26:AI26, "✓") + COUNTIF(E26:AI26, "✔") + COUNTIF(E26:AI26, "v") + COUNTIF(E26:AI26, "V")) + COUNTIF(E26:AI26, "✗") + COUNTIF(E26:AI26, "x") + COUNTIF(E26:AI26, "X"))&gt;0, (COUNTIF(E26:AI26, "✓") + COUNTIF(E26:AI26, "✔") + COUNTIF(E26:AI26, "v") + COUNTIF(E26:AI26, "V"))/((COUNTIF(E26:AI26, "✓") + COUNTIF(E26:AI26, "✔") + COUNTIF(E26:AI26, "v") + COUNTIF(E26:AI26, "V")) + COUNTIF(E26:AI26, "✗") + COUNTIF(E26:AI26, "x") + COUNTIF(E26:AI26, "X")), "")))</f>
        <v/>
      </c>
      <c r="AK26" s="117">
        <f>IF(ISBLANK(B26), "", IF(ISNUMBER(D26), IF(D26&gt;0, (COUNTIF(E26:AI26, "✓") + COUNTIF(E26:AI26, "✔") + COUNTIF(E26:AI26, "v") + COUNTIF(E26:AI26, "V")) &amp; "/" &amp; D26, (COUNTIF(E26:AI26, "✓") + COUNTIF(E26:AI26, "✔") + COUNTIF(E26:AI26, "v") + COUNTIF(E26:AI26, "V")) &amp; "/0"), IF(((COUNTIF(E26:AI26, "✓") + COUNTIF(E26:AI26, "✔") + COUNTIF(E26:AI26, "v") + COUNTIF(E26:AI26, "V")) + COUNTIF(E26:AI26, "✗") + COUNTIF(E26:AI26, "x") + COUNTIF(E26:AI26, "X"))&gt;0, (COUNTIF(E26:AI26, "✓") + COUNTIF(E26:AI26, "✔") + COUNTIF(E26:AI26, "v") + COUNTIF(E26:AI26, "V")) &amp; "/" &amp; ((COUNTIF(E26:AI26, "✓") + COUNTIF(E26:AI26, "✔") + COUNTIF(E26:AI26, "v") + COUNTIF(E26:AI26, "V")) + COUNTIF(E26:AI26, "✗") + COUNTIF(E26:AI26, "x") + COUNTIF(E26:AI26, "X")), "")))</f>
        <v/>
      </c>
      <c r="AL26" s="117">
        <f>IF(ISBLANK(B26), "", IF(AJ26&gt;=0.85, "🔥 Mastered", IF(AJ26&gt;=0.7, "⚡ Consistent", "⚠️ Needs Focus")))</f>
        <v/>
      </c>
      <c r="AM26">
        <f>COUNTIF(E26:AI26, "✓")</f>
        <v/>
      </c>
    </row>
    <row r="27" ht="14.5" customHeight="1">
      <c r="A27" s="111" t="n">
        <v>10</v>
      </c>
      <c r="B27" s="112" t="n"/>
      <c r="C27" s="113" t="n"/>
      <c r="D27" s="113" t="n"/>
      <c r="E27" s="114" t="n"/>
      <c r="F27" s="114" t="n"/>
      <c r="G27" s="115" t="n"/>
      <c r="H27" s="114" t="n"/>
      <c r="I27" s="114" t="n"/>
      <c r="J27" s="114" t="n"/>
      <c r="K27" s="114" t="n"/>
      <c r="L27" s="114" t="n"/>
      <c r="M27" s="114" t="n"/>
      <c r="N27" s="115" t="n"/>
      <c r="O27" s="114" t="n"/>
      <c r="P27" s="114" t="n"/>
      <c r="Q27" s="114" t="n"/>
      <c r="R27" s="114" t="n"/>
      <c r="S27" s="114" t="n"/>
      <c r="T27" s="114" t="n"/>
      <c r="U27" s="115" t="n"/>
      <c r="V27" s="114" t="n"/>
      <c r="W27" s="114" t="n"/>
      <c r="X27" s="114" t="n"/>
      <c r="Y27" s="114" t="n"/>
      <c r="Z27" s="114" t="n"/>
      <c r="AA27" s="114" t="n"/>
      <c r="AB27" s="115" t="n"/>
      <c r="AC27" s="114" t="n"/>
      <c r="AD27" s="114" t="n"/>
      <c r="AE27" s="114" t="n"/>
      <c r="AF27" s="114" t="n"/>
      <c r="AG27" s="114" t="n"/>
      <c r="AH27" s="114" t="n"/>
      <c r="AI27" s="115" t="n"/>
      <c r="AJ27" s="116">
        <f>IF(ISBLANK(B27), "", IF(ISNUMBER(D27), IF(D27&gt;0, (COUNTIF(E27:AI27, "✓") + COUNTIF(E27:AI27, "✔") + COUNTIF(E27:AI27, "v") + COUNTIF(E27:AI27, "V"))/D27, 0), IF(((COUNTIF(E27:AI27, "✓") + COUNTIF(E27:AI27, "✔") + COUNTIF(E27:AI27, "v") + COUNTIF(E27:AI27, "V")) + COUNTIF(E27:AI27, "✗") + COUNTIF(E27:AI27, "x") + COUNTIF(E27:AI27, "X"))&gt;0, (COUNTIF(E27:AI27, "✓") + COUNTIF(E27:AI27, "✔") + COUNTIF(E27:AI27, "v") + COUNTIF(E27:AI27, "V"))/((COUNTIF(E27:AI27, "✓") + COUNTIF(E27:AI27, "✔") + COUNTIF(E27:AI27, "v") + COUNTIF(E27:AI27, "V")) + COUNTIF(E27:AI27, "✗") + COUNTIF(E27:AI27, "x") + COUNTIF(E27:AI27, "X")), "")))</f>
        <v/>
      </c>
      <c r="AK27" s="117">
        <f>IF(ISBLANK(B27), "", IF(ISNUMBER(D27), IF(D27&gt;0, (COUNTIF(E27:AI27, "✓") + COUNTIF(E27:AI27, "✔") + COUNTIF(E27:AI27, "v") + COUNTIF(E27:AI27, "V")) &amp; "/" &amp; D27, (COUNTIF(E27:AI27, "✓") + COUNTIF(E27:AI27, "✔") + COUNTIF(E27:AI27, "v") + COUNTIF(E27:AI27, "V")) &amp; "/0"), IF(((COUNTIF(E27:AI27, "✓") + COUNTIF(E27:AI27, "✔") + COUNTIF(E27:AI27, "v") + COUNTIF(E27:AI27, "V")) + COUNTIF(E27:AI27, "✗") + COUNTIF(E27:AI27, "x") + COUNTIF(E27:AI27, "X"))&gt;0, (COUNTIF(E27:AI27, "✓") + COUNTIF(E27:AI27, "✔") + COUNTIF(E27:AI27, "v") + COUNTIF(E27:AI27, "V")) &amp; "/" &amp; ((COUNTIF(E27:AI27, "✓") + COUNTIF(E27:AI27, "✔") + COUNTIF(E27:AI27, "v") + COUNTIF(E27:AI27, "V")) + COUNTIF(E27:AI27, "✗") + COUNTIF(E27:AI27, "x") + COUNTIF(E27:AI27, "X")), "")))</f>
        <v/>
      </c>
      <c r="AL27" s="117">
        <f>IF(ISBLANK(B27), "", IF(AJ27&gt;=0.85, "🔥 Mastered", IF(AJ27&gt;=0.7, "⚡ Consistent", "⚠️ Needs Focus")))</f>
        <v/>
      </c>
      <c r="AM27">
        <f>COUNTIF(E27:AI27, "✓")</f>
        <v/>
      </c>
    </row>
    <row r="28" ht="14.5" customHeight="1">
      <c r="A28" s="111" t="n">
        <v>11</v>
      </c>
      <c r="B28" s="112" t="n"/>
      <c r="C28" s="113" t="n"/>
      <c r="D28" s="113" t="n"/>
      <c r="E28" s="114" t="n"/>
      <c r="F28" s="114" t="n"/>
      <c r="G28" s="115" t="n"/>
      <c r="H28" s="114" t="n"/>
      <c r="I28" s="114" t="n"/>
      <c r="J28" s="114" t="n"/>
      <c r="K28" s="114" t="n"/>
      <c r="L28" s="114" t="n"/>
      <c r="M28" s="114" t="n"/>
      <c r="N28" s="115" t="n"/>
      <c r="O28" s="114" t="n"/>
      <c r="P28" s="114" t="n"/>
      <c r="Q28" s="114" t="n"/>
      <c r="R28" s="114" t="n"/>
      <c r="S28" s="114" t="n"/>
      <c r="T28" s="114" t="n"/>
      <c r="U28" s="115" t="n"/>
      <c r="V28" s="114" t="n"/>
      <c r="W28" s="114" t="n"/>
      <c r="X28" s="114" t="n"/>
      <c r="Y28" s="114" t="n"/>
      <c r="Z28" s="114" t="n"/>
      <c r="AA28" s="114" t="n"/>
      <c r="AB28" s="115" t="n"/>
      <c r="AC28" s="114" t="n"/>
      <c r="AD28" s="114" t="n"/>
      <c r="AE28" s="114" t="n"/>
      <c r="AF28" s="114" t="n"/>
      <c r="AG28" s="114" t="n"/>
      <c r="AH28" s="114" t="n"/>
      <c r="AI28" s="115" t="n"/>
      <c r="AJ28" s="116">
        <f>IF(ISBLANK(B28), "", IF(ISNUMBER(D28), IF(D28&gt;0, (COUNTIF(E28:AI28, "✓") + COUNTIF(E28:AI28, "✔") + COUNTIF(E28:AI28, "v") + COUNTIF(E28:AI28, "V"))/D28, 0), IF(((COUNTIF(E28:AI28, "✓") + COUNTIF(E28:AI28, "✔") + COUNTIF(E28:AI28, "v") + COUNTIF(E28:AI28, "V")) + COUNTIF(E28:AI28, "✗") + COUNTIF(E28:AI28, "x") + COUNTIF(E28:AI28, "X"))&gt;0, (COUNTIF(E28:AI28, "✓") + COUNTIF(E28:AI28, "✔") + COUNTIF(E28:AI28, "v") + COUNTIF(E28:AI28, "V"))/((COUNTIF(E28:AI28, "✓") + COUNTIF(E28:AI28, "✔") + COUNTIF(E28:AI28, "v") + COUNTIF(E28:AI28, "V")) + COUNTIF(E28:AI28, "✗") + COUNTIF(E28:AI28, "x") + COUNTIF(E28:AI28, "X")), "")))</f>
        <v/>
      </c>
      <c r="AK28" s="117">
        <f>IF(ISBLANK(B28), "", IF(ISNUMBER(D28), IF(D28&gt;0, (COUNTIF(E28:AI28, "✓") + COUNTIF(E28:AI28, "✔") + COUNTIF(E28:AI28, "v") + COUNTIF(E28:AI28, "V")) &amp; "/" &amp; D28, (COUNTIF(E28:AI28, "✓") + COUNTIF(E28:AI28, "✔") + COUNTIF(E28:AI28, "v") + COUNTIF(E28:AI28, "V")) &amp; "/0"), IF(((COUNTIF(E28:AI28, "✓") + COUNTIF(E28:AI28, "✔") + COUNTIF(E28:AI28, "v") + COUNTIF(E28:AI28, "V")) + COUNTIF(E28:AI28, "✗") + COUNTIF(E28:AI28, "x") + COUNTIF(E28:AI28, "X"))&gt;0, (COUNTIF(E28:AI28, "✓") + COUNTIF(E28:AI28, "✔") + COUNTIF(E28:AI28, "v") + COUNTIF(E28:AI28, "V")) &amp; "/" &amp; ((COUNTIF(E28:AI28, "✓") + COUNTIF(E28:AI28, "✔") + COUNTIF(E28:AI28, "v") + COUNTIF(E28:AI28, "V")) + COUNTIF(E28:AI28, "✗") + COUNTIF(E28:AI28, "x") + COUNTIF(E28:AI28, "X")), "")))</f>
        <v/>
      </c>
      <c r="AL28" s="117">
        <f>IF(ISBLANK(B28), "", IF(AJ28&gt;=0.85, "🔥 Mastered", IF(AJ28&gt;=0.7, "⚡ Consistent", "⚠️ Needs Focus")))</f>
        <v/>
      </c>
      <c r="AM28">
        <f>COUNTIF(E28:AI28, "✓")</f>
        <v/>
      </c>
    </row>
    <row r="29" ht="14.5" customHeight="1">
      <c r="A29" s="111" t="n">
        <v>12</v>
      </c>
      <c r="B29" s="112" t="n"/>
      <c r="C29" s="113" t="n"/>
      <c r="D29" s="113" t="n"/>
      <c r="E29" s="114" t="n"/>
      <c r="F29" s="114" t="n"/>
      <c r="G29" s="115" t="n"/>
      <c r="H29" s="114" t="n"/>
      <c r="I29" s="114" t="n"/>
      <c r="J29" s="114" t="n"/>
      <c r="K29" s="114" t="n"/>
      <c r="L29" s="114" t="n"/>
      <c r="M29" s="114" t="n"/>
      <c r="N29" s="115" t="n"/>
      <c r="O29" s="114" t="n"/>
      <c r="P29" s="114" t="n"/>
      <c r="Q29" s="114" t="n"/>
      <c r="R29" s="114" t="n"/>
      <c r="S29" s="114" t="n"/>
      <c r="T29" s="114" t="n"/>
      <c r="U29" s="115" t="n"/>
      <c r="V29" s="114" t="n"/>
      <c r="W29" s="114" t="n"/>
      <c r="X29" s="114" t="n"/>
      <c r="Y29" s="114" t="n"/>
      <c r="Z29" s="114" t="n"/>
      <c r="AA29" s="114" t="n"/>
      <c r="AB29" s="115" t="n"/>
      <c r="AC29" s="114" t="n"/>
      <c r="AD29" s="114" t="n"/>
      <c r="AE29" s="114" t="n"/>
      <c r="AF29" s="114" t="n"/>
      <c r="AG29" s="114" t="n"/>
      <c r="AH29" s="114" t="n"/>
      <c r="AI29" s="115" t="n"/>
      <c r="AJ29" s="116">
        <f>IF(ISBLANK(B29), "", IF(ISNUMBER(D29), IF(D29&gt;0, (COUNTIF(E29:AI29, "✓") + COUNTIF(E29:AI29, "✔") + COUNTIF(E29:AI29, "v") + COUNTIF(E29:AI29, "V"))/D29, 0), IF(((COUNTIF(E29:AI29, "✓") + COUNTIF(E29:AI29, "✔") + COUNTIF(E29:AI29, "v") + COUNTIF(E29:AI29, "V")) + COUNTIF(E29:AI29, "✗") + COUNTIF(E29:AI29, "x") + COUNTIF(E29:AI29, "X"))&gt;0, (COUNTIF(E29:AI29, "✓") + COUNTIF(E29:AI29, "✔") + COUNTIF(E29:AI29, "v") + COUNTIF(E29:AI29, "V"))/((COUNTIF(E29:AI29, "✓") + COUNTIF(E29:AI29, "✔") + COUNTIF(E29:AI29, "v") + COUNTIF(E29:AI29, "V")) + COUNTIF(E29:AI29, "✗") + COUNTIF(E29:AI29, "x") + COUNTIF(E29:AI29, "X")), "")))</f>
        <v/>
      </c>
      <c r="AK29" s="117">
        <f>IF(ISBLANK(B29), "", IF(ISNUMBER(D29), IF(D29&gt;0, (COUNTIF(E29:AI29, "✓") + COUNTIF(E29:AI29, "✔") + COUNTIF(E29:AI29, "v") + COUNTIF(E29:AI29, "V")) &amp; "/" &amp; D29, (COUNTIF(E29:AI29, "✓") + COUNTIF(E29:AI29, "✔") + COUNTIF(E29:AI29, "v") + COUNTIF(E29:AI29, "V")) &amp; "/0"), IF(((COUNTIF(E29:AI29, "✓") + COUNTIF(E29:AI29, "✔") + COUNTIF(E29:AI29, "v") + COUNTIF(E29:AI29, "V")) + COUNTIF(E29:AI29, "✗") + COUNTIF(E29:AI29, "x") + COUNTIF(E29:AI29, "X"))&gt;0, (COUNTIF(E29:AI29, "✓") + COUNTIF(E29:AI29, "✔") + COUNTIF(E29:AI29, "v") + COUNTIF(E29:AI29, "V")) &amp; "/" &amp; ((COUNTIF(E29:AI29, "✓") + COUNTIF(E29:AI29, "✔") + COUNTIF(E29:AI29, "v") + COUNTIF(E29:AI29, "V")) + COUNTIF(E29:AI29, "✗") + COUNTIF(E29:AI29, "x") + COUNTIF(E29:AI29, "X")), "")))</f>
        <v/>
      </c>
      <c r="AL29" s="117">
        <f>IF(ISBLANK(B29), "", IF(AJ29&gt;=0.85, "🔥 Mastered", IF(AJ29&gt;=0.7, "⚡ Consistent", "⚠️ Needs Focus")))</f>
        <v/>
      </c>
      <c r="AM29">
        <f>COUNTIF(E29:AI29, "✓")</f>
        <v/>
      </c>
    </row>
    <row r="30" ht="14.5" customHeight="1">
      <c r="A30" s="118" t="n">
        <v>13</v>
      </c>
      <c r="B30" s="119" t="n"/>
      <c r="C30" s="120" t="n"/>
      <c r="D30" s="120" t="n"/>
      <c r="E30" s="121" t="n"/>
      <c r="F30" s="121" t="n"/>
      <c r="G30" s="122" t="n"/>
      <c r="H30" s="121" t="n"/>
      <c r="I30" s="121" t="n"/>
      <c r="J30" s="121" t="n"/>
      <c r="K30" s="121" t="n"/>
      <c r="L30" s="121" t="n"/>
      <c r="M30" s="121" t="n"/>
      <c r="N30" s="122" t="n"/>
      <c r="O30" s="121" t="n"/>
      <c r="P30" s="121" t="n"/>
      <c r="Q30" s="121" t="n"/>
      <c r="R30" s="121" t="n"/>
      <c r="S30" s="121" t="n"/>
      <c r="T30" s="121" t="n"/>
      <c r="U30" s="122" t="n"/>
      <c r="V30" s="121" t="n"/>
      <c r="W30" s="121" t="n"/>
      <c r="X30" s="121" t="n"/>
      <c r="Y30" s="121" t="n"/>
      <c r="Z30" s="121" t="n"/>
      <c r="AA30" s="121" t="n"/>
      <c r="AB30" s="122" t="n"/>
      <c r="AC30" s="121" t="n"/>
      <c r="AD30" s="121" t="n"/>
      <c r="AE30" s="121" t="n"/>
      <c r="AF30" s="121" t="n"/>
      <c r="AG30" s="121" t="n"/>
      <c r="AH30" s="121" t="n"/>
      <c r="AI30" s="122" t="n"/>
      <c r="AJ30" s="123">
        <f>IF(ISBLANK(B30), "", IF(ISNUMBER(D30), IF(D30&gt;0, (COUNTIF(E30:AI30, "✓") + COUNTIF(E30:AI30, "✔") + COUNTIF(E30:AI30, "v") + COUNTIF(E30:AI30, "V"))/D30, 0), IF(((COUNTIF(E30:AI30, "✓") + COUNTIF(E30:AI30, "✔") + COUNTIF(E30:AI30, "v") + COUNTIF(E30:AI30, "V")) + COUNTIF(E30:AI30, "✗") + COUNTIF(E30:AI30, "x") + COUNTIF(E30:AI30, "X"))&gt;0, (COUNTIF(E30:AI30, "✓") + COUNTIF(E30:AI30, "✔") + COUNTIF(E30:AI30, "v") + COUNTIF(E30:AI30, "V"))/((COUNTIF(E30:AI30, "✓") + COUNTIF(E30:AI30, "✔") + COUNTIF(E30:AI30, "v") + COUNTIF(E30:AI30, "V")) + COUNTIF(E30:AI30, "✗") + COUNTIF(E30:AI30, "x") + COUNTIF(E30:AI30, "X")), "")))</f>
        <v/>
      </c>
      <c r="AK30" s="124">
        <f>IF(ISBLANK(B30), "", IF(ISNUMBER(D30), IF(D30&gt;0, (COUNTIF(E30:AI30, "✓") + COUNTIF(E30:AI30, "✔") + COUNTIF(E30:AI30, "v") + COUNTIF(E30:AI30, "V")) &amp; "/" &amp; D30, (COUNTIF(E30:AI30, "✓") + COUNTIF(E30:AI30, "✔") + COUNTIF(E30:AI30, "v") + COUNTIF(E30:AI30, "V")) &amp; "/0"), IF(((COUNTIF(E30:AI30, "✓") + COUNTIF(E30:AI30, "✔") + COUNTIF(E30:AI30, "v") + COUNTIF(E30:AI30, "V")) + COUNTIF(E30:AI30, "✗") + COUNTIF(E30:AI30, "x") + COUNTIF(E30:AI30, "X"))&gt;0, (COUNTIF(E30:AI30, "✓") + COUNTIF(E30:AI30, "✔") + COUNTIF(E30:AI30, "v") + COUNTIF(E30:AI30, "V")) &amp; "/" &amp; ((COUNTIF(E30:AI30, "✓") + COUNTIF(E30:AI30, "✔") + COUNTIF(E30:AI30, "v") + COUNTIF(E30:AI30, "V")) + COUNTIF(E30:AI30, "✗") + COUNTIF(E30:AI30, "x") + COUNTIF(E30:AI30, "X")), "")))</f>
        <v/>
      </c>
      <c r="AL30" s="124">
        <f>IF(ISBLANK(B30), "", IF(AJ30&gt;=0.85, "🔥 Mastered", IF(AJ30&gt;=0.7, "⚡ Consistent", "⚠️ Needs Focus")))</f>
        <v/>
      </c>
      <c r="AM30">
        <f>COUNTIF(E30:AI30, "✓")</f>
        <v/>
      </c>
    </row>
    <row r="31" ht="14.5" customHeight="1">
      <c r="A31" s="118" t="n">
        <v>14</v>
      </c>
      <c r="B31" s="119" t="n"/>
      <c r="C31" s="120" t="n"/>
      <c r="D31" s="120" t="n"/>
      <c r="E31" s="121" t="n"/>
      <c r="F31" s="121" t="n"/>
      <c r="G31" s="122" t="n"/>
      <c r="H31" s="121" t="n"/>
      <c r="I31" s="121" t="n"/>
      <c r="J31" s="121" t="n"/>
      <c r="K31" s="121" t="n"/>
      <c r="L31" s="121" t="n"/>
      <c r="M31" s="121" t="n"/>
      <c r="N31" s="122" t="n"/>
      <c r="O31" s="121" t="n"/>
      <c r="P31" s="121" t="n"/>
      <c r="Q31" s="121" t="n"/>
      <c r="R31" s="121" t="n"/>
      <c r="S31" s="121" t="n"/>
      <c r="T31" s="121" t="n"/>
      <c r="U31" s="122" t="n"/>
      <c r="V31" s="121" t="n"/>
      <c r="W31" s="121" t="n"/>
      <c r="X31" s="121" t="n"/>
      <c r="Y31" s="121" t="n"/>
      <c r="Z31" s="121" t="n"/>
      <c r="AA31" s="121" t="n"/>
      <c r="AB31" s="122" t="n"/>
      <c r="AC31" s="121" t="n"/>
      <c r="AD31" s="121" t="n"/>
      <c r="AE31" s="121" t="n"/>
      <c r="AF31" s="121" t="n"/>
      <c r="AG31" s="121" t="n"/>
      <c r="AH31" s="121" t="n"/>
      <c r="AI31" s="122" t="n"/>
      <c r="AJ31" s="123">
        <f>IF(ISBLANK(B31), "", IF(ISNUMBER(D31), IF(D31&gt;0, (COUNTIF(E31:AI31, "✓") + COUNTIF(E31:AI31, "✔") + COUNTIF(E31:AI31, "v") + COUNTIF(E31:AI31, "V"))/D31, 0), IF(((COUNTIF(E31:AI31, "✓") + COUNTIF(E31:AI31, "✔") + COUNTIF(E31:AI31, "v") + COUNTIF(E31:AI31, "V")) + COUNTIF(E31:AI31, "✗") + COUNTIF(E31:AI31, "x") + COUNTIF(E31:AI31, "X"))&gt;0, (COUNTIF(E31:AI31, "✓") + COUNTIF(E31:AI31, "✔") + COUNTIF(E31:AI31, "v") + COUNTIF(E31:AI31, "V"))/((COUNTIF(E31:AI31, "✓") + COUNTIF(E31:AI31, "✔") + COUNTIF(E31:AI31, "v") + COUNTIF(E31:AI31, "V")) + COUNTIF(E31:AI31, "✗") + COUNTIF(E31:AI31, "x") + COUNTIF(E31:AI31, "X")), "")))</f>
        <v/>
      </c>
      <c r="AK31" s="124">
        <f>IF(ISBLANK(B31), "", IF(ISNUMBER(D31), IF(D31&gt;0, (COUNTIF(E31:AI31, "✓") + COUNTIF(E31:AI31, "✔") + COUNTIF(E31:AI31, "v") + COUNTIF(E31:AI31, "V")) &amp; "/" &amp; D31, (COUNTIF(E31:AI31, "✓") + COUNTIF(E31:AI31, "✔") + COUNTIF(E31:AI31, "v") + COUNTIF(E31:AI31, "V")) &amp; "/0"), IF(((COUNTIF(E31:AI31, "✓") + COUNTIF(E31:AI31, "✔") + COUNTIF(E31:AI31, "v") + COUNTIF(E31:AI31, "V")) + COUNTIF(E31:AI31, "✗") + COUNTIF(E31:AI31, "x") + COUNTIF(E31:AI31, "X"))&gt;0, (COUNTIF(E31:AI31, "✓") + COUNTIF(E31:AI31, "✔") + COUNTIF(E31:AI31, "v") + COUNTIF(E31:AI31, "V")) &amp; "/" &amp; ((COUNTIF(E31:AI31, "✓") + COUNTIF(E31:AI31, "✔") + COUNTIF(E31:AI31, "v") + COUNTIF(E31:AI31, "V")) + COUNTIF(E31:AI31, "✗") + COUNTIF(E31:AI31, "x") + COUNTIF(E31:AI31, "X")), "")))</f>
        <v/>
      </c>
      <c r="AL31" s="124">
        <f>IF(ISBLANK(B31), "", IF(AJ31&gt;=0.85, "🔥 Mastered", IF(AJ31&gt;=0.7, "⚡ Consistent", "⚠️ Needs Focus")))</f>
        <v/>
      </c>
      <c r="AM31">
        <f>COUNTIF(E31:AI31, "✓")</f>
        <v/>
      </c>
    </row>
    <row r="32" ht="14.5" customHeight="1">
      <c r="A32" s="118" t="n">
        <v>15</v>
      </c>
      <c r="B32" s="119" t="n"/>
      <c r="C32" s="120" t="n"/>
      <c r="D32" s="120" t="n"/>
      <c r="E32" s="121" t="n"/>
      <c r="F32" s="121" t="n"/>
      <c r="G32" s="122" t="n"/>
      <c r="H32" s="121" t="n"/>
      <c r="I32" s="121" t="n"/>
      <c r="J32" s="121" t="n"/>
      <c r="K32" s="121" t="n"/>
      <c r="L32" s="121" t="n"/>
      <c r="M32" s="121" t="n"/>
      <c r="N32" s="122" t="n"/>
      <c r="O32" s="121" t="n"/>
      <c r="P32" s="121" t="n"/>
      <c r="Q32" s="121" t="n"/>
      <c r="R32" s="121" t="n"/>
      <c r="S32" s="121" t="n"/>
      <c r="T32" s="121" t="n"/>
      <c r="U32" s="122" t="n"/>
      <c r="V32" s="121" t="n"/>
      <c r="W32" s="121" t="n"/>
      <c r="X32" s="121" t="n"/>
      <c r="Y32" s="121" t="n"/>
      <c r="Z32" s="121" t="n"/>
      <c r="AA32" s="121" t="n"/>
      <c r="AB32" s="122" t="n"/>
      <c r="AC32" s="121" t="n"/>
      <c r="AD32" s="121" t="n"/>
      <c r="AE32" s="121" t="n"/>
      <c r="AF32" s="121" t="n"/>
      <c r="AG32" s="121" t="n"/>
      <c r="AH32" s="121" t="n"/>
      <c r="AI32" s="122" t="n"/>
      <c r="AJ32" s="123">
        <f>IF(ISBLANK(B32), "", IF(ISNUMBER(D32), IF(D32&gt;0, (COUNTIF(E32:AI32, "✓") + COUNTIF(E32:AI32, "✔") + COUNTIF(E32:AI32, "v") + COUNTIF(E32:AI32, "V"))/D32, 0), IF(((COUNTIF(E32:AI32, "✓") + COUNTIF(E32:AI32, "✔") + COUNTIF(E32:AI32, "v") + COUNTIF(E32:AI32, "V")) + COUNTIF(E32:AI32, "✗") + COUNTIF(E32:AI32, "x") + COUNTIF(E32:AI32, "X"))&gt;0, (COUNTIF(E32:AI32, "✓") + COUNTIF(E32:AI32, "✔") + COUNTIF(E32:AI32, "v") + COUNTIF(E32:AI32, "V"))/((COUNTIF(E32:AI32, "✓") + COUNTIF(E32:AI32, "✔") + COUNTIF(E32:AI32, "v") + COUNTIF(E32:AI32, "V")) + COUNTIF(E32:AI32, "✗") + COUNTIF(E32:AI32, "x") + COUNTIF(E32:AI32, "X")), "")))</f>
        <v/>
      </c>
      <c r="AK32" s="124">
        <f>IF(ISBLANK(B32), "", IF(ISNUMBER(D32), IF(D32&gt;0, (COUNTIF(E32:AI32, "✓") + COUNTIF(E32:AI32, "✔") + COUNTIF(E32:AI32, "v") + COUNTIF(E32:AI32, "V")) &amp; "/" &amp; D32, (COUNTIF(E32:AI32, "✓") + COUNTIF(E32:AI32, "✔") + COUNTIF(E32:AI32, "v") + COUNTIF(E32:AI32, "V")) &amp; "/0"), IF(((COUNTIF(E32:AI32, "✓") + COUNTIF(E32:AI32, "✔") + COUNTIF(E32:AI32, "v") + COUNTIF(E32:AI32, "V")) + COUNTIF(E32:AI32, "✗") + COUNTIF(E32:AI32, "x") + COUNTIF(E32:AI32, "X"))&gt;0, (COUNTIF(E32:AI32, "✓") + COUNTIF(E32:AI32, "✔") + COUNTIF(E32:AI32, "v") + COUNTIF(E32:AI32, "V")) &amp; "/" &amp; ((COUNTIF(E32:AI32, "✓") + COUNTIF(E32:AI32, "✔") + COUNTIF(E32:AI32, "v") + COUNTIF(E32:AI32, "V")) + COUNTIF(E32:AI32, "✗") + COUNTIF(E32:AI32, "x") + COUNTIF(E32:AI32, "X")), "")))</f>
        <v/>
      </c>
      <c r="AL32" s="124">
        <f>IF(ISBLANK(B32), "", IF(AJ32&gt;=0.85, "🔥 Mastered", IF(AJ32&gt;=0.7, "⚡ Consistent", "⚠️ Needs Focus")))</f>
        <v/>
      </c>
      <c r="AM32">
        <f>COUNTIF(E32:AI32, "✓")</f>
        <v/>
      </c>
    </row>
    <row r="33" ht="14.5" customHeight="1">
      <c r="A33" s="118" t="n">
        <v>16</v>
      </c>
      <c r="B33" s="119" t="n"/>
      <c r="C33" s="120" t="n"/>
      <c r="D33" s="120" t="n"/>
      <c r="E33" s="121" t="n"/>
      <c r="F33" s="121" t="n"/>
      <c r="G33" s="122" t="n"/>
      <c r="H33" s="121" t="n"/>
      <c r="I33" s="121" t="n"/>
      <c r="J33" s="121" t="n"/>
      <c r="K33" s="121" t="n"/>
      <c r="L33" s="121" t="n"/>
      <c r="M33" s="121" t="n"/>
      <c r="N33" s="122" t="n"/>
      <c r="O33" s="121" t="n"/>
      <c r="P33" s="121" t="n"/>
      <c r="Q33" s="121" t="n"/>
      <c r="R33" s="121" t="n"/>
      <c r="S33" s="121" t="n"/>
      <c r="T33" s="121" t="n"/>
      <c r="U33" s="122" t="n"/>
      <c r="V33" s="121" t="n"/>
      <c r="W33" s="121" t="n"/>
      <c r="X33" s="121" t="n"/>
      <c r="Y33" s="121" t="n"/>
      <c r="Z33" s="121" t="n"/>
      <c r="AA33" s="121" t="n"/>
      <c r="AB33" s="122" t="n"/>
      <c r="AC33" s="121" t="n"/>
      <c r="AD33" s="121" t="n"/>
      <c r="AE33" s="121" t="n"/>
      <c r="AF33" s="121" t="n"/>
      <c r="AG33" s="121" t="n"/>
      <c r="AH33" s="121" t="n"/>
      <c r="AI33" s="122" t="n"/>
      <c r="AJ33" s="123">
        <f>IF(ISBLANK(B33), "", IF(ISNUMBER(D33), IF(D33&gt;0, (COUNTIF(E33:AI33, "✓") + COUNTIF(E33:AI33, "✔") + COUNTIF(E33:AI33, "v") + COUNTIF(E33:AI33, "V"))/D33, 0), IF(((COUNTIF(E33:AI33, "✓") + COUNTIF(E33:AI33, "✔") + COUNTIF(E33:AI33, "v") + COUNTIF(E33:AI33, "V")) + COUNTIF(E33:AI33, "✗") + COUNTIF(E33:AI33, "x") + COUNTIF(E33:AI33, "X"))&gt;0, (COUNTIF(E33:AI33, "✓") + COUNTIF(E33:AI33, "✔") + COUNTIF(E33:AI33, "v") + COUNTIF(E33:AI33, "V"))/((COUNTIF(E33:AI33, "✓") + COUNTIF(E33:AI33, "✔") + COUNTIF(E33:AI33, "v") + COUNTIF(E33:AI33, "V")) + COUNTIF(E33:AI33, "✗") + COUNTIF(E33:AI33, "x") + COUNTIF(E33:AI33, "X")), "")))</f>
        <v/>
      </c>
      <c r="AK33" s="124">
        <f>IF(ISBLANK(B33), "", IF(ISNUMBER(D33), IF(D33&gt;0, (COUNTIF(E33:AI33, "✓") + COUNTIF(E33:AI33, "✔") + COUNTIF(E33:AI33, "v") + COUNTIF(E33:AI33, "V")) &amp; "/" &amp; D33, (COUNTIF(E33:AI33, "✓") + COUNTIF(E33:AI33, "✔") + COUNTIF(E33:AI33, "v") + COUNTIF(E33:AI33, "V")) &amp; "/0"), IF(((COUNTIF(E33:AI33, "✓") + COUNTIF(E33:AI33, "✔") + COUNTIF(E33:AI33, "v") + COUNTIF(E33:AI33, "V")) + COUNTIF(E33:AI33, "✗") + COUNTIF(E33:AI33, "x") + COUNTIF(E33:AI33, "X"))&gt;0, (COUNTIF(E33:AI33, "✓") + COUNTIF(E33:AI33, "✔") + COUNTIF(E33:AI33, "v") + COUNTIF(E33:AI33, "V")) &amp; "/" &amp; ((COUNTIF(E33:AI33, "✓") + COUNTIF(E33:AI33, "✔") + COUNTIF(E33:AI33, "v") + COUNTIF(E33:AI33, "V")) + COUNTIF(E33:AI33, "✗") + COUNTIF(E33:AI33, "x") + COUNTIF(E33:AI33, "X")), "")))</f>
        <v/>
      </c>
      <c r="AL33" s="124">
        <f>IF(ISBLANK(B33), "", IF(AJ33&gt;=0.85, "🔥 Mastered", IF(AJ33&gt;=0.7, "⚡ Consistent", "⚠️ Needs Focus")))</f>
        <v/>
      </c>
      <c r="AM33">
        <f>COUNTIF(E33:AI33, "✓")</f>
        <v/>
      </c>
    </row>
    <row r="34" ht="14.5" customHeight="1">
      <c r="A34" s="125" t="n">
        <v>17</v>
      </c>
      <c r="B34" s="126" t="n"/>
      <c r="C34" s="127" t="n"/>
      <c r="D34" s="127" t="n"/>
      <c r="E34" s="128" t="n"/>
      <c r="F34" s="128" t="n"/>
      <c r="G34" s="129" t="n"/>
      <c r="H34" s="128" t="n"/>
      <c r="I34" s="128" t="n"/>
      <c r="J34" s="128" t="n"/>
      <c r="K34" s="128" t="n"/>
      <c r="L34" s="128" t="n"/>
      <c r="M34" s="128" t="n"/>
      <c r="N34" s="129" t="n"/>
      <c r="O34" s="128" t="n"/>
      <c r="P34" s="128" t="n"/>
      <c r="Q34" s="128" t="n"/>
      <c r="R34" s="128" t="n"/>
      <c r="S34" s="128" t="n"/>
      <c r="T34" s="128" t="n"/>
      <c r="U34" s="129" t="n"/>
      <c r="V34" s="128" t="n"/>
      <c r="W34" s="128" t="n"/>
      <c r="X34" s="128" t="n"/>
      <c r="Y34" s="128" t="n"/>
      <c r="Z34" s="128" t="n"/>
      <c r="AA34" s="128" t="n"/>
      <c r="AB34" s="129" t="n"/>
      <c r="AC34" s="128" t="n"/>
      <c r="AD34" s="128" t="n"/>
      <c r="AE34" s="128" t="n"/>
      <c r="AF34" s="128" t="n"/>
      <c r="AG34" s="128" t="n"/>
      <c r="AH34" s="128" t="n"/>
      <c r="AI34" s="129" t="n"/>
      <c r="AJ34" s="130">
        <f>IF(ISBLANK(B34), "", IF(ISNUMBER(D34), IF(D34&gt;0, (COUNTIF(E34:AI34, "✓") + COUNTIF(E34:AI34, "✔") + COUNTIF(E34:AI34, "v") + COUNTIF(E34:AI34, "V"))/D34, 0), IF(((COUNTIF(E34:AI34, "✓") + COUNTIF(E34:AI34, "✔") + COUNTIF(E34:AI34, "v") + COUNTIF(E34:AI34, "V")) + COUNTIF(E34:AI34, "✗") + COUNTIF(E34:AI34, "x") + COUNTIF(E34:AI34, "X"))&gt;0, (COUNTIF(E34:AI34, "✓") + COUNTIF(E34:AI34, "✔") + COUNTIF(E34:AI34, "v") + COUNTIF(E34:AI34, "V"))/((COUNTIF(E34:AI34, "✓") + COUNTIF(E34:AI34, "✔") + COUNTIF(E34:AI34, "v") + COUNTIF(E34:AI34, "V")) + COUNTIF(E34:AI34, "✗") + COUNTIF(E34:AI34, "x") + COUNTIF(E34:AI34, "X")), "")))</f>
        <v/>
      </c>
      <c r="AK34" s="131">
        <f>IF(ISBLANK(B34), "", IF(ISNUMBER(D34), IF(D34&gt;0, (COUNTIF(E34:AI34, "✓") + COUNTIF(E34:AI34, "✔") + COUNTIF(E34:AI34, "v") + COUNTIF(E34:AI34, "V")) &amp; "/" &amp; D34, (COUNTIF(E34:AI34, "✓") + COUNTIF(E34:AI34, "✔") + COUNTIF(E34:AI34, "v") + COUNTIF(E34:AI34, "V")) &amp; "/0"), IF(((COUNTIF(E34:AI34, "✓") + COUNTIF(E34:AI34, "✔") + COUNTIF(E34:AI34, "v") + COUNTIF(E34:AI34, "V")) + COUNTIF(E34:AI34, "✗") + COUNTIF(E34:AI34, "x") + COUNTIF(E34:AI34, "X"))&gt;0, (COUNTIF(E34:AI34, "✓") + COUNTIF(E34:AI34, "✔") + COUNTIF(E34:AI34, "v") + COUNTIF(E34:AI34, "V")) &amp; "/" &amp; ((COUNTIF(E34:AI34, "✓") + COUNTIF(E34:AI34, "✔") + COUNTIF(E34:AI34, "v") + COUNTIF(E34:AI34, "V")) + COUNTIF(E34:AI34, "✗") + COUNTIF(E34:AI34, "x") + COUNTIF(E34:AI34, "X")), "")))</f>
        <v/>
      </c>
      <c r="AL34" s="131">
        <f>IF(ISBLANK(B34), "", IF(AJ34&gt;=0.85, "🔥 Mastered", IF(AJ34&gt;=0.7, "⚡ Consistent", "⚠️ Needs Focus")))</f>
        <v/>
      </c>
      <c r="AM34">
        <f>COUNTIF(E34:AI34, "✓")</f>
        <v/>
      </c>
    </row>
    <row r="35" ht="14.5" customHeight="1">
      <c r="A35" s="125" t="n">
        <v>18</v>
      </c>
      <c r="B35" s="126" t="n"/>
      <c r="C35" s="127" t="n"/>
      <c r="D35" s="127" t="n"/>
      <c r="E35" s="128" t="n"/>
      <c r="F35" s="128" t="n"/>
      <c r="G35" s="129" t="n"/>
      <c r="H35" s="128" t="n"/>
      <c r="I35" s="128" t="n"/>
      <c r="J35" s="128" t="n"/>
      <c r="K35" s="128" t="n"/>
      <c r="L35" s="128" t="n"/>
      <c r="M35" s="128" t="n"/>
      <c r="N35" s="129" t="n"/>
      <c r="O35" s="128" t="n"/>
      <c r="P35" s="128" t="n"/>
      <c r="Q35" s="128" t="n"/>
      <c r="R35" s="128" t="n"/>
      <c r="S35" s="128" t="n"/>
      <c r="T35" s="128" t="n"/>
      <c r="U35" s="129" t="n"/>
      <c r="V35" s="128" t="n"/>
      <c r="W35" s="128" t="n"/>
      <c r="X35" s="128" t="n"/>
      <c r="Y35" s="128" t="n"/>
      <c r="Z35" s="128" t="n"/>
      <c r="AA35" s="128" t="n"/>
      <c r="AB35" s="129" t="n"/>
      <c r="AC35" s="128" t="n"/>
      <c r="AD35" s="128" t="n"/>
      <c r="AE35" s="128" t="n"/>
      <c r="AF35" s="128" t="n"/>
      <c r="AG35" s="128" t="n"/>
      <c r="AH35" s="128" t="n"/>
      <c r="AI35" s="129" t="n"/>
      <c r="AJ35" s="130">
        <f>IF(ISBLANK(B35), "", IF(ISNUMBER(D35), IF(D35&gt;0, (COUNTIF(E35:AI35, "✓") + COUNTIF(E35:AI35, "✔") + COUNTIF(E35:AI35, "v") + COUNTIF(E35:AI35, "V"))/D35, 0), IF(((COUNTIF(E35:AI35, "✓") + COUNTIF(E35:AI35, "✔") + COUNTIF(E35:AI35, "v") + COUNTIF(E35:AI35, "V")) + COUNTIF(E35:AI35, "✗") + COUNTIF(E35:AI35, "x") + COUNTIF(E35:AI35, "X"))&gt;0, (COUNTIF(E35:AI35, "✓") + COUNTIF(E35:AI35, "✔") + COUNTIF(E35:AI35, "v") + COUNTIF(E35:AI35, "V"))/((COUNTIF(E35:AI35, "✓") + COUNTIF(E35:AI35, "✔") + COUNTIF(E35:AI35, "v") + COUNTIF(E35:AI35, "V")) + COUNTIF(E35:AI35, "✗") + COUNTIF(E35:AI35, "x") + COUNTIF(E35:AI35, "X")), "")))</f>
        <v/>
      </c>
      <c r="AK35" s="131">
        <f>IF(ISBLANK(B35), "", IF(ISNUMBER(D35), IF(D35&gt;0, (COUNTIF(E35:AI35, "✓") + COUNTIF(E35:AI35, "✔") + COUNTIF(E35:AI35, "v") + COUNTIF(E35:AI35, "V")) &amp; "/" &amp; D35, (COUNTIF(E35:AI35, "✓") + COUNTIF(E35:AI35, "✔") + COUNTIF(E35:AI35, "v") + COUNTIF(E35:AI35, "V")) &amp; "/0"), IF(((COUNTIF(E35:AI35, "✓") + COUNTIF(E35:AI35, "✔") + COUNTIF(E35:AI35, "v") + COUNTIF(E35:AI35, "V")) + COUNTIF(E35:AI35, "✗") + COUNTIF(E35:AI35, "x") + COUNTIF(E35:AI35, "X"))&gt;0, (COUNTIF(E35:AI35, "✓") + COUNTIF(E35:AI35, "✔") + COUNTIF(E35:AI35, "v") + COUNTIF(E35:AI35, "V")) &amp; "/" &amp; ((COUNTIF(E35:AI35, "✓") + COUNTIF(E35:AI35, "✔") + COUNTIF(E35:AI35, "v") + COUNTIF(E35:AI35, "V")) + COUNTIF(E35:AI35, "✗") + COUNTIF(E35:AI35, "x") + COUNTIF(E35:AI35, "X")), "")))</f>
        <v/>
      </c>
      <c r="AL35" s="131">
        <f>IF(ISBLANK(B35), "", IF(AJ35&gt;=0.85, "🔥 Mastered", IF(AJ35&gt;=0.7, "⚡ Consistent", "⚠️ Needs Focus")))</f>
        <v/>
      </c>
      <c r="AM35">
        <f>COUNTIF(E35:AI35, "✓")</f>
        <v/>
      </c>
    </row>
    <row r="36" ht="14.5" customHeight="1">
      <c r="A36" s="125" t="n">
        <v>19</v>
      </c>
      <c r="B36" s="126" t="n"/>
      <c r="C36" s="127" t="n"/>
      <c r="D36" s="127" t="n"/>
      <c r="E36" s="128" t="n"/>
      <c r="F36" s="128" t="n"/>
      <c r="G36" s="129" t="n"/>
      <c r="H36" s="128" t="n"/>
      <c r="I36" s="128" t="n"/>
      <c r="J36" s="128" t="n"/>
      <c r="K36" s="128" t="n"/>
      <c r="L36" s="128" t="n"/>
      <c r="M36" s="128" t="n"/>
      <c r="N36" s="129" t="n"/>
      <c r="O36" s="128" t="n"/>
      <c r="P36" s="128" t="n"/>
      <c r="Q36" s="128" t="n"/>
      <c r="R36" s="128" t="n"/>
      <c r="S36" s="128" t="n"/>
      <c r="T36" s="128" t="n"/>
      <c r="U36" s="129" t="n"/>
      <c r="V36" s="128" t="n"/>
      <c r="W36" s="128" t="n"/>
      <c r="X36" s="128" t="n"/>
      <c r="Y36" s="128" t="n"/>
      <c r="Z36" s="128" t="n"/>
      <c r="AA36" s="128" t="n"/>
      <c r="AB36" s="129" t="n"/>
      <c r="AC36" s="128" t="n"/>
      <c r="AD36" s="128" t="n"/>
      <c r="AE36" s="128" t="n"/>
      <c r="AF36" s="128" t="n"/>
      <c r="AG36" s="128" t="n"/>
      <c r="AH36" s="128" t="n"/>
      <c r="AI36" s="129" t="n"/>
      <c r="AJ36" s="130">
        <f>IF(ISBLANK(B36), "", IF(ISNUMBER(D36), IF(D36&gt;0, (COUNTIF(E36:AI36, "✓") + COUNTIF(E36:AI36, "✔") + COUNTIF(E36:AI36, "v") + COUNTIF(E36:AI36, "V"))/D36, 0), IF(((COUNTIF(E36:AI36, "✓") + COUNTIF(E36:AI36, "✔") + COUNTIF(E36:AI36, "v") + COUNTIF(E36:AI36, "V")) + COUNTIF(E36:AI36, "✗") + COUNTIF(E36:AI36, "x") + COUNTIF(E36:AI36, "X"))&gt;0, (COUNTIF(E36:AI36, "✓") + COUNTIF(E36:AI36, "✔") + COUNTIF(E36:AI36, "v") + COUNTIF(E36:AI36, "V"))/((COUNTIF(E36:AI36, "✓") + COUNTIF(E36:AI36, "✔") + COUNTIF(E36:AI36, "v") + COUNTIF(E36:AI36, "V")) + COUNTIF(E36:AI36, "✗") + COUNTIF(E36:AI36, "x") + COUNTIF(E36:AI36, "X")), "")))</f>
        <v/>
      </c>
      <c r="AK36" s="131">
        <f>IF(ISBLANK(B36), "", IF(ISNUMBER(D36), IF(D36&gt;0, (COUNTIF(E36:AI36, "✓") + COUNTIF(E36:AI36, "✔") + COUNTIF(E36:AI36, "v") + COUNTIF(E36:AI36, "V")) &amp; "/" &amp; D36, (COUNTIF(E36:AI36, "✓") + COUNTIF(E36:AI36, "✔") + COUNTIF(E36:AI36, "v") + COUNTIF(E36:AI36, "V")) &amp; "/0"), IF(((COUNTIF(E36:AI36, "✓") + COUNTIF(E36:AI36, "✔") + COUNTIF(E36:AI36, "v") + COUNTIF(E36:AI36, "V")) + COUNTIF(E36:AI36, "✗") + COUNTIF(E36:AI36, "x") + COUNTIF(E36:AI36, "X"))&gt;0, (COUNTIF(E36:AI36, "✓") + COUNTIF(E36:AI36, "✔") + COUNTIF(E36:AI36, "v") + COUNTIF(E36:AI36, "V")) &amp; "/" &amp; ((COUNTIF(E36:AI36, "✓") + COUNTIF(E36:AI36, "✔") + COUNTIF(E36:AI36, "v") + COUNTIF(E36:AI36, "V")) + COUNTIF(E36:AI36, "✗") + COUNTIF(E36:AI36, "x") + COUNTIF(E36:AI36, "X")), "")))</f>
        <v/>
      </c>
      <c r="AL36" s="131">
        <f>IF(ISBLANK(B36), "", IF(AJ36&gt;=0.85, "🔥 Mastered", IF(AJ36&gt;=0.7, "⚡ Consistent", "⚠️ Needs Focus")))</f>
        <v/>
      </c>
      <c r="AM36">
        <f>COUNTIF(E36:AI36, "✓")</f>
        <v/>
      </c>
    </row>
    <row r="37" ht="14.5" customHeight="1">
      <c r="A37" s="125" t="n">
        <v>20</v>
      </c>
      <c r="B37" s="126" t="n"/>
      <c r="C37" s="127" t="n"/>
      <c r="D37" s="127" t="n"/>
      <c r="E37" s="128" t="n"/>
      <c r="F37" s="128" t="n"/>
      <c r="G37" s="129" t="n"/>
      <c r="H37" s="128" t="n"/>
      <c r="I37" s="128" t="n"/>
      <c r="J37" s="128" t="n"/>
      <c r="K37" s="128" t="n"/>
      <c r="L37" s="128" t="n"/>
      <c r="M37" s="128" t="n"/>
      <c r="N37" s="129" t="n"/>
      <c r="O37" s="128" t="n"/>
      <c r="P37" s="128" t="n"/>
      <c r="Q37" s="128" t="n"/>
      <c r="R37" s="128" t="n"/>
      <c r="S37" s="128" t="n"/>
      <c r="T37" s="128" t="n"/>
      <c r="U37" s="129" t="n"/>
      <c r="V37" s="128" t="n"/>
      <c r="W37" s="128" t="n"/>
      <c r="X37" s="128" t="n"/>
      <c r="Y37" s="128" t="n"/>
      <c r="Z37" s="128" t="n"/>
      <c r="AA37" s="128" t="n"/>
      <c r="AB37" s="129" t="n"/>
      <c r="AC37" s="128" t="n"/>
      <c r="AD37" s="128" t="n"/>
      <c r="AE37" s="128" t="n"/>
      <c r="AF37" s="128" t="n"/>
      <c r="AG37" s="128" t="n"/>
      <c r="AH37" s="128" t="n"/>
      <c r="AI37" s="129" t="n"/>
      <c r="AJ37" s="130">
        <f>IF(ISBLANK(B37), "", IF(ISNUMBER(D37), IF(D37&gt;0, (COUNTIF(E37:AI37, "✓") + COUNTIF(E37:AI37, "✔") + COUNTIF(E37:AI37, "v") + COUNTIF(E37:AI37, "V"))/D37, 0), IF(((COUNTIF(E37:AI37, "✓") + COUNTIF(E37:AI37, "✔") + COUNTIF(E37:AI37, "v") + COUNTIF(E37:AI37, "V")) + COUNTIF(E37:AI37, "✗") + COUNTIF(E37:AI37, "x") + COUNTIF(E37:AI37, "X"))&gt;0, (COUNTIF(E37:AI37, "✓") + COUNTIF(E37:AI37, "✔") + COUNTIF(E37:AI37, "v") + COUNTIF(E37:AI37, "V"))/((COUNTIF(E37:AI37, "✓") + COUNTIF(E37:AI37, "✔") + COUNTIF(E37:AI37, "v") + COUNTIF(E37:AI37, "V")) + COUNTIF(E37:AI37, "✗") + COUNTIF(E37:AI37, "x") + COUNTIF(E37:AI37, "X")), "")))</f>
        <v/>
      </c>
      <c r="AK37" s="131">
        <f>IF(ISBLANK(B37), "", IF(ISNUMBER(D37), IF(D37&gt;0, (COUNTIF(E37:AI37, "✓") + COUNTIF(E37:AI37, "✔") + COUNTIF(E37:AI37, "v") + COUNTIF(E37:AI37, "V")) &amp; "/" &amp; D37, (COUNTIF(E37:AI37, "✓") + COUNTIF(E37:AI37, "✔") + COUNTIF(E37:AI37, "v") + COUNTIF(E37:AI37, "V")) &amp; "/0"), IF(((COUNTIF(E37:AI37, "✓") + COUNTIF(E37:AI37, "✔") + COUNTIF(E37:AI37, "v") + COUNTIF(E37:AI37, "V")) + COUNTIF(E37:AI37, "✗") + COUNTIF(E37:AI37, "x") + COUNTIF(E37:AI37, "X"))&gt;0, (COUNTIF(E37:AI37, "✓") + COUNTIF(E37:AI37, "✔") + COUNTIF(E37:AI37, "v") + COUNTIF(E37:AI37, "V")) &amp; "/" &amp; ((COUNTIF(E37:AI37, "✓") + COUNTIF(E37:AI37, "✔") + COUNTIF(E37:AI37, "v") + COUNTIF(E37:AI37, "V")) + COUNTIF(E37:AI37, "✗") + COUNTIF(E37:AI37, "x") + COUNTIF(E37:AI37, "X")), "")))</f>
        <v/>
      </c>
      <c r="AL37" s="131">
        <f>IF(ISBLANK(B37), "", IF(AJ37&gt;=0.85, "🔥 Mastered", IF(AJ37&gt;=0.7, "⚡ Consistent", "⚠️ Needs Focus")))</f>
        <v/>
      </c>
      <c r="AM37">
        <f>COUNTIF(E37:AI37, "✓")</f>
        <v/>
      </c>
    </row>
    <row r="38" ht="18" customHeight="1">
      <c r="A38" s="132" t="inlineStr">
        <is>
          <t>DAILY TOTAL SCORE</t>
        </is>
      </c>
      <c r="B38" s="54" t="n"/>
      <c r="C38" s="54" t="n"/>
      <c r="D38" s="54" t="n"/>
      <c r="E38" s="33">
        <f>IF(((COUNTIF(E18:E37, "✓") + COUNTIF(E18:E37, "✔") + COUNTIF(E18:E37, "v") + COUNTIF(E18:E37, "V")) + COUNTIF(E18:E37, "✗") + COUNTIF(E18:E37, "x") + COUNTIF(E18:E37, "X")) &gt; 0, (COUNTIF(E18:E37, "✓") + COUNTIF(E18:E37, "✔") + COUNTIF(E18:E37, "v") + COUNTIF(E18:E37, "V")) &amp; "/" &amp; ((COUNTIF(E18:E37, "✓") + COUNTIF(E18:E37, "✔") + COUNTIF(E18:E37, "v") + COUNTIF(E18:E37, "V")) + COUNTIF(E18:E37, "✗") + COUNTIF(E18:E37, "x") + COUNTIF(E18:E37, "X")), "")</f>
        <v/>
      </c>
      <c r="F38" s="33">
        <f>IF(((COUNTIF(F18:F37, "✓") + COUNTIF(F18:F37, "✔") + COUNTIF(F18:F37, "v") + COUNTIF(F18:F37, "V")) + COUNTIF(F18:F37, "✗") + COUNTIF(F18:F37, "x") + COUNTIF(F18:F37, "X")) &gt; 0, (COUNTIF(F18:F37, "✓") + COUNTIF(F18:F37, "✔") + COUNTIF(F18:F37, "v") + COUNTIF(F18:F37, "V")) &amp; "/" &amp; ((COUNTIF(F18:F37, "✓") + COUNTIF(F18:F37, "✔") + COUNTIF(F18:F37, "v") + COUNTIF(F18:F37, "V")) + COUNTIF(F18:F37, "✗") + COUNTIF(F18:F37, "x") + COUNTIF(F18:F37, "X")), "")</f>
        <v/>
      </c>
      <c r="G38" s="33">
        <f>IF(((COUNTIF(G18:G37, "✓") + COUNTIF(G18:G37, "✔") + COUNTIF(G18:G37, "v") + COUNTIF(G18:G37, "V")) + COUNTIF(G18:G37, "✗") + COUNTIF(G18:G37, "x") + COUNTIF(G18:G37, "X")) &gt; 0, (COUNTIF(G18:G37, "✓") + COUNTIF(G18:G37, "✔") + COUNTIF(G18:G37, "v") + COUNTIF(G18:G37, "V")) &amp; "/" &amp; ((COUNTIF(G18:G37, "✓") + COUNTIF(G18:G37, "✔") + COUNTIF(G18:G37, "v") + COUNTIF(G18:G37, "V")) + COUNTIF(G18:G37, "✗") + COUNTIF(G18:G37, "x") + COUNTIF(G18:G37, "X")), "")</f>
        <v/>
      </c>
      <c r="H38" s="33">
        <f>IF(((COUNTIF(H18:H37, "✓") + COUNTIF(H18:H37, "✔") + COUNTIF(H18:H37, "v") + COUNTIF(H18:H37, "V")) + COUNTIF(H18:H37, "✗") + COUNTIF(H18:H37, "x") + COUNTIF(H18:H37, "X")) &gt; 0, (COUNTIF(H18:H37, "✓") + COUNTIF(H18:H37, "✔") + COUNTIF(H18:H37, "v") + COUNTIF(H18:H37, "V")) &amp; "/" &amp; ((COUNTIF(H18:H37, "✓") + COUNTIF(H18:H37, "✔") + COUNTIF(H18:H37, "v") + COUNTIF(H18:H37, "V")) + COUNTIF(H18:H37, "✗") + COUNTIF(H18:H37, "x") + COUNTIF(H18:H37, "X")), "")</f>
        <v/>
      </c>
      <c r="I38" s="33">
        <f>IF(((COUNTIF(I18:I37, "✓") + COUNTIF(I18:I37, "✔") + COUNTIF(I18:I37, "v") + COUNTIF(I18:I37, "V")) + COUNTIF(I18:I37, "✗") + COUNTIF(I18:I37, "x") + COUNTIF(I18:I37, "X")) &gt; 0, (COUNTIF(I18:I37, "✓") + COUNTIF(I18:I37, "✔") + COUNTIF(I18:I37, "v") + COUNTIF(I18:I37, "V")) &amp; "/" &amp; ((COUNTIF(I18:I37, "✓") + COUNTIF(I18:I37, "✔") + COUNTIF(I18:I37, "v") + COUNTIF(I18:I37, "V")) + COUNTIF(I18:I37, "✗") + COUNTIF(I18:I37, "x") + COUNTIF(I18:I37, "X")), "")</f>
        <v/>
      </c>
      <c r="J38" s="33">
        <f>IF(((COUNTIF(J18:J37, "✓") + COUNTIF(J18:J37, "✔") + COUNTIF(J18:J37, "v") + COUNTIF(J18:J37, "V")) + COUNTIF(J18:J37, "✗") + COUNTIF(J18:J37, "x") + COUNTIF(J18:J37, "X")) &gt; 0, (COUNTIF(J18:J37, "✓") + COUNTIF(J18:J37, "✔") + COUNTIF(J18:J37, "v") + COUNTIF(J18:J37, "V")) &amp; "/" &amp; ((COUNTIF(J18:J37, "✓") + COUNTIF(J18:J37, "✔") + COUNTIF(J18:J37, "v") + COUNTIF(J18:J37, "V")) + COUNTIF(J18:J37, "✗") + COUNTIF(J18:J37, "x") + COUNTIF(J18:J37, "X")), "")</f>
        <v/>
      </c>
      <c r="K38" s="33">
        <f>IF(((COUNTIF(K18:K37, "✓") + COUNTIF(K18:K37, "✔") + COUNTIF(K18:K37, "v") + COUNTIF(K18:K37, "V")) + COUNTIF(K18:K37, "✗") + COUNTIF(K18:K37, "x") + COUNTIF(K18:K37, "X")) &gt; 0, (COUNTIF(K18:K37, "✓") + COUNTIF(K18:K37, "✔") + COUNTIF(K18:K37, "v") + COUNTIF(K18:K37, "V")) &amp; "/" &amp; ((COUNTIF(K18:K37, "✓") + COUNTIF(K18:K37, "✔") + COUNTIF(K18:K37, "v") + COUNTIF(K18:K37, "V")) + COUNTIF(K18:K37, "✗") + COUNTIF(K18:K37, "x") + COUNTIF(K18:K37, "X")), "")</f>
        <v/>
      </c>
      <c r="L38" s="33">
        <f>IF(((COUNTIF(L18:L37, "✓") + COUNTIF(L18:L37, "✔") + COUNTIF(L18:L37, "v") + COUNTIF(L18:L37, "V")) + COUNTIF(L18:L37, "✗") + COUNTIF(L18:L37, "x") + COUNTIF(L18:L37, "X")) &gt; 0, (COUNTIF(L18:L37, "✓") + COUNTIF(L18:L37, "✔") + COUNTIF(L18:L37, "v") + COUNTIF(L18:L37, "V")) &amp; "/" &amp; ((COUNTIF(L18:L37, "✓") + COUNTIF(L18:L37, "✔") + COUNTIF(L18:L37, "v") + COUNTIF(L18:L37, "V")) + COUNTIF(L18:L37, "✗") + COUNTIF(L18:L37, "x") + COUNTIF(L18:L37, "X")), "")</f>
        <v/>
      </c>
      <c r="M38" s="33">
        <f>IF(((COUNTIF(M18:M37, "✓") + COUNTIF(M18:M37, "✔") + COUNTIF(M18:M37, "v") + COUNTIF(M18:M37, "V")) + COUNTIF(M18:M37, "✗") + COUNTIF(M18:M37, "x") + COUNTIF(M18:M37, "X")) &gt; 0, (COUNTIF(M18:M37, "✓") + COUNTIF(M18:M37, "✔") + COUNTIF(M18:M37, "v") + COUNTIF(M18:M37, "V")) &amp; "/" &amp; ((COUNTIF(M18:M37, "✓") + COUNTIF(M18:M37, "✔") + COUNTIF(M18:M37, "v") + COUNTIF(M18:M37, "V")) + COUNTIF(M18:M37, "✗") + COUNTIF(M18:M37, "x") + COUNTIF(M18:M37, "X")), "")</f>
        <v/>
      </c>
      <c r="N38" s="33">
        <f>IF(((COUNTIF(N18:N37, "✓") + COUNTIF(N18:N37, "✔") + COUNTIF(N18:N37, "v") + COUNTIF(N18:N37, "V")) + COUNTIF(N18:N37, "✗") + COUNTIF(N18:N37, "x") + COUNTIF(N18:N37, "X")) &gt; 0, (COUNTIF(N18:N37, "✓") + COUNTIF(N18:N37, "✔") + COUNTIF(N18:N37, "v") + COUNTIF(N18:N37, "V")) &amp; "/" &amp; ((COUNTIF(N18:N37, "✓") + COUNTIF(N18:N37, "✔") + COUNTIF(N18:N37, "v") + COUNTIF(N18:N37, "V")) + COUNTIF(N18:N37, "✗") + COUNTIF(N18:N37, "x") + COUNTIF(N18:N37, "X")), "")</f>
        <v/>
      </c>
      <c r="O38" s="33">
        <f>IF(((COUNTIF(O18:O37, "✓") + COUNTIF(O18:O37, "✔") + COUNTIF(O18:O37, "v") + COUNTIF(O18:O37, "V")) + COUNTIF(O18:O37, "✗") + COUNTIF(O18:O37, "x") + COUNTIF(O18:O37, "X")) &gt; 0, (COUNTIF(O18:O37, "✓") + COUNTIF(O18:O37, "✔") + COUNTIF(O18:O37, "v") + COUNTIF(O18:O37, "V")) &amp; "/" &amp; ((COUNTIF(O18:O37, "✓") + COUNTIF(O18:O37, "✔") + COUNTIF(O18:O37, "v") + COUNTIF(O18:O37, "V")) + COUNTIF(O18:O37, "✗") + COUNTIF(O18:O37, "x") + COUNTIF(O18:O37, "X")), "")</f>
        <v/>
      </c>
      <c r="P38" s="33">
        <f>IF(((COUNTIF(P18:P37, "✓") + COUNTIF(P18:P37, "✔") + COUNTIF(P18:P37, "v") + COUNTIF(P18:P37, "V")) + COUNTIF(P18:P37, "✗") + COUNTIF(P18:P37, "x") + COUNTIF(P18:P37, "X")) &gt; 0, (COUNTIF(P18:P37, "✓") + COUNTIF(P18:P37, "✔") + COUNTIF(P18:P37, "v") + COUNTIF(P18:P37, "V")) &amp; "/" &amp; ((COUNTIF(P18:P37, "✓") + COUNTIF(P18:P37, "✔") + COUNTIF(P18:P37, "v") + COUNTIF(P18:P37, "V")) + COUNTIF(P18:P37, "✗") + COUNTIF(P18:P37, "x") + COUNTIF(P18:P37, "X")), "")</f>
        <v/>
      </c>
      <c r="Q38" s="33">
        <f>IF(((COUNTIF(Q18:Q37, "✓") + COUNTIF(Q18:Q37, "✔") + COUNTIF(Q18:Q37, "v") + COUNTIF(Q18:Q37, "V")) + COUNTIF(Q18:Q37, "✗") + COUNTIF(Q18:Q37, "x") + COUNTIF(Q18:Q37, "X")) &gt; 0, (COUNTIF(Q18:Q37, "✓") + COUNTIF(Q18:Q37, "✔") + COUNTIF(Q18:Q37, "v") + COUNTIF(Q18:Q37, "V")) &amp; "/" &amp; ((COUNTIF(Q18:Q37, "✓") + COUNTIF(Q18:Q37, "✔") + COUNTIF(Q18:Q37, "v") + COUNTIF(Q18:Q37, "V")) + COUNTIF(Q18:Q37, "✗") + COUNTIF(Q18:Q37, "x") + COUNTIF(Q18:Q37, "X")), "")</f>
        <v/>
      </c>
      <c r="R38" s="33">
        <f>IF(((COUNTIF(R18:R37, "✓") + COUNTIF(R18:R37, "✔") + COUNTIF(R18:R37, "v") + COUNTIF(R18:R37, "V")) + COUNTIF(R18:R37, "✗") + COUNTIF(R18:R37, "x") + COUNTIF(R18:R37, "X")) &gt; 0, (COUNTIF(R18:R37, "✓") + COUNTIF(R18:R37, "✔") + COUNTIF(R18:R37, "v") + COUNTIF(R18:R37, "V")) &amp; "/" &amp; ((COUNTIF(R18:R37, "✓") + COUNTIF(R18:R37, "✔") + COUNTIF(R18:R37, "v") + COUNTIF(R18:R37, "V")) + COUNTIF(R18:R37, "✗") + COUNTIF(R18:R37, "x") + COUNTIF(R18:R37, "X")), "")</f>
        <v/>
      </c>
      <c r="S38" s="33">
        <f>IF(((COUNTIF(S18:S37, "✓") + COUNTIF(S18:S37, "✔") + COUNTIF(S18:S37, "v") + COUNTIF(S18:S37, "V")) + COUNTIF(S18:S37, "✗") + COUNTIF(S18:S37, "x") + COUNTIF(S18:S37, "X")) &gt; 0, (COUNTIF(S18:S37, "✓") + COUNTIF(S18:S37, "✔") + COUNTIF(S18:S37, "v") + COUNTIF(S18:S37, "V")) &amp; "/" &amp; ((COUNTIF(S18:S37, "✓") + COUNTIF(S18:S37, "✔") + COUNTIF(S18:S37, "v") + COUNTIF(S18:S37, "V")) + COUNTIF(S18:S37, "✗") + COUNTIF(S18:S37, "x") + COUNTIF(S18:S37, "X")), "")</f>
        <v/>
      </c>
      <c r="T38" s="33">
        <f>IF(((COUNTIF(T18:T37, "✓") + COUNTIF(T18:T37, "✔") + COUNTIF(T18:T37, "v") + COUNTIF(T18:T37, "V")) + COUNTIF(T18:T37, "✗") + COUNTIF(T18:T37, "x") + COUNTIF(T18:T37, "X")) &gt; 0, (COUNTIF(T18:T37, "✓") + COUNTIF(T18:T37, "✔") + COUNTIF(T18:T37, "v") + COUNTIF(T18:T37, "V")) &amp; "/" &amp; ((COUNTIF(T18:T37, "✓") + COUNTIF(T18:T37, "✔") + COUNTIF(T18:T37, "v") + COUNTIF(T18:T37, "V")) + COUNTIF(T18:T37, "✗") + COUNTIF(T18:T37, "x") + COUNTIF(T18:T37, "X")), "")</f>
        <v/>
      </c>
      <c r="U38" s="33">
        <f>IF(((COUNTIF(U18:U37, "✓") + COUNTIF(U18:U37, "✔") + COUNTIF(U18:U37, "v") + COUNTIF(U18:U37, "V")) + COUNTIF(U18:U37, "✗") + COUNTIF(U18:U37, "x") + COUNTIF(U18:U37, "X")) &gt; 0, (COUNTIF(U18:U37, "✓") + COUNTIF(U18:U37, "✔") + COUNTIF(U18:U37, "v") + COUNTIF(U18:U37, "V")) &amp; "/" &amp; ((COUNTIF(U18:U37, "✓") + COUNTIF(U18:U37, "✔") + COUNTIF(U18:U37, "v") + COUNTIF(U18:U37, "V")) + COUNTIF(U18:U37, "✗") + COUNTIF(U18:U37, "x") + COUNTIF(U18:U37, "X")), "")</f>
        <v/>
      </c>
      <c r="V38" s="33">
        <f>IF(((COUNTIF(V18:V37, "✓") + COUNTIF(V18:V37, "✔") + COUNTIF(V18:V37, "v") + COUNTIF(V18:V37, "V")) + COUNTIF(V18:V37, "✗") + COUNTIF(V18:V37, "x") + COUNTIF(V18:V37, "X")) &gt; 0, (COUNTIF(V18:V37, "✓") + COUNTIF(V18:V37, "✔") + COUNTIF(V18:V37, "v") + COUNTIF(V18:V37, "V")) &amp; "/" &amp; ((COUNTIF(V18:V37, "✓") + COUNTIF(V18:V37, "✔") + COUNTIF(V18:V37, "v") + COUNTIF(V18:V37, "V")) + COUNTIF(V18:V37, "✗") + COUNTIF(V18:V37, "x") + COUNTIF(V18:V37, "X")), "")</f>
        <v/>
      </c>
      <c r="W38" s="33">
        <f>IF(((COUNTIF(W18:W37, "✓") + COUNTIF(W18:W37, "✔") + COUNTIF(W18:W37, "v") + COUNTIF(W18:W37, "V")) + COUNTIF(W18:W37, "✗") + COUNTIF(W18:W37, "x") + COUNTIF(W18:W37, "X")) &gt; 0, (COUNTIF(W18:W37, "✓") + COUNTIF(W18:W37, "✔") + COUNTIF(W18:W37, "v") + COUNTIF(W18:W37, "V")) &amp; "/" &amp; ((COUNTIF(W18:W37, "✓") + COUNTIF(W18:W37, "✔") + COUNTIF(W18:W37, "v") + COUNTIF(W18:W37, "V")) + COUNTIF(W18:W37, "✗") + COUNTIF(W18:W37, "x") + COUNTIF(W18:W37, "X")), "")</f>
        <v/>
      </c>
      <c r="X38" s="33">
        <f>IF(((COUNTIF(X18:X37, "✓") + COUNTIF(X18:X37, "✔") + COUNTIF(X18:X37, "v") + COUNTIF(X18:X37, "V")) + COUNTIF(X18:X37, "✗") + COUNTIF(X18:X37, "x") + COUNTIF(X18:X37, "X")) &gt; 0, (COUNTIF(X18:X37, "✓") + COUNTIF(X18:X37, "✔") + COUNTIF(X18:X37, "v") + COUNTIF(X18:X37, "V")) &amp; "/" &amp; ((COUNTIF(X18:X37, "✓") + COUNTIF(X18:X37, "✔") + COUNTIF(X18:X37, "v") + COUNTIF(X18:X37, "V")) + COUNTIF(X18:X37, "✗") + COUNTIF(X18:X37, "x") + COUNTIF(X18:X37, "X")), "")</f>
        <v/>
      </c>
      <c r="Y38" s="33">
        <f>IF(((COUNTIF(Y18:Y37, "✓") + COUNTIF(Y18:Y37, "✔") + COUNTIF(Y18:Y37, "v") + COUNTIF(Y18:Y37, "V")) + COUNTIF(Y18:Y37, "✗") + COUNTIF(Y18:Y37, "x") + COUNTIF(Y18:Y37, "X")) &gt; 0, (COUNTIF(Y18:Y37, "✓") + COUNTIF(Y18:Y37, "✔") + COUNTIF(Y18:Y37, "v") + COUNTIF(Y18:Y37, "V")) &amp; "/" &amp; ((COUNTIF(Y18:Y37, "✓") + COUNTIF(Y18:Y37, "✔") + COUNTIF(Y18:Y37, "v") + COUNTIF(Y18:Y37, "V")) + COUNTIF(Y18:Y37, "✗") + COUNTIF(Y18:Y37, "x") + COUNTIF(Y18:Y37, "X")), "")</f>
        <v/>
      </c>
      <c r="Z38" s="33">
        <f>IF(((COUNTIF(Z18:Z37, "✓") + COUNTIF(Z18:Z37, "✔") + COUNTIF(Z18:Z37, "v") + COUNTIF(Z18:Z37, "V")) + COUNTIF(Z18:Z37, "✗") + COUNTIF(Z18:Z37, "x") + COUNTIF(Z18:Z37, "X")) &gt; 0, (COUNTIF(Z18:Z37, "✓") + COUNTIF(Z18:Z37, "✔") + COUNTIF(Z18:Z37, "v") + COUNTIF(Z18:Z37, "V")) &amp; "/" &amp; ((COUNTIF(Z18:Z37, "✓") + COUNTIF(Z18:Z37, "✔") + COUNTIF(Z18:Z37, "v") + COUNTIF(Z18:Z37, "V")) + COUNTIF(Z18:Z37, "✗") + COUNTIF(Z18:Z37, "x") + COUNTIF(Z18:Z37, "X")), "")</f>
        <v/>
      </c>
      <c r="AA38" s="33">
        <f>IF(((COUNTIF(AA18:AA37, "✓") + COUNTIF(AA18:AA37, "✔") + COUNTIF(AA18:AA37, "v") + COUNTIF(AA18:AA37, "V")) + COUNTIF(AA18:AA37, "✗") + COUNTIF(AA18:AA37, "x") + COUNTIF(AA18:AA37, "X")) &gt; 0, (COUNTIF(AA18:AA37, "✓") + COUNTIF(AA18:AA37, "✔") + COUNTIF(AA18:AA37, "v") + COUNTIF(AA18:AA37, "V")) &amp; "/" &amp; ((COUNTIF(AA18:AA37, "✓") + COUNTIF(AA18:AA37, "✔") + COUNTIF(AA18:AA37, "v") + COUNTIF(AA18:AA37, "V")) + COUNTIF(AA18:AA37, "✗") + COUNTIF(AA18:AA37, "x") + COUNTIF(AA18:AA37, "X")), "")</f>
        <v/>
      </c>
      <c r="AB38" s="33">
        <f>IF(((COUNTIF(AB18:AB37, "✓") + COUNTIF(AB18:AB37, "✔") + COUNTIF(AB18:AB37, "v") + COUNTIF(AB18:AB37, "V")) + COUNTIF(AB18:AB37, "✗") + COUNTIF(AB18:AB37, "x") + COUNTIF(AB18:AB37, "X")) &gt; 0, (COUNTIF(AB18:AB37, "✓") + COUNTIF(AB18:AB37, "✔") + COUNTIF(AB18:AB37, "v") + COUNTIF(AB18:AB37, "V")) &amp; "/" &amp; ((COUNTIF(AB18:AB37, "✓") + COUNTIF(AB18:AB37, "✔") + COUNTIF(AB18:AB37, "v") + COUNTIF(AB18:AB37, "V")) + COUNTIF(AB18:AB37, "✗") + COUNTIF(AB18:AB37, "x") + COUNTIF(AB18:AB37, "X")), "")</f>
        <v/>
      </c>
      <c r="AC38" s="33">
        <f>IF(((COUNTIF(AC18:AC37, "✓") + COUNTIF(AC18:AC37, "✔") + COUNTIF(AC18:AC37, "v") + COUNTIF(AC18:AC37, "V")) + COUNTIF(AC18:AC37, "✗") + COUNTIF(AC18:AC37, "x") + COUNTIF(AC18:AC37, "X")) &gt; 0, (COUNTIF(AC18:AC37, "✓") + COUNTIF(AC18:AC37, "✔") + COUNTIF(AC18:AC37, "v") + COUNTIF(AC18:AC37, "V")) &amp; "/" &amp; ((COUNTIF(AC18:AC37, "✓") + COUNTIF(AC18:AC37, "✔") + COUNTIF(AC18:AC37, "v") + COUNTIF(AC18:AC37, "V")) + COUNTIF(AC18:AC37, "✗") + COUNTIF(AC18:AC37, "x") + COUNTIF(AC18:AC37, "X")), "")</f>
        <v/>
      </c>
      <c r="AD38" s="33">
        <f>IF(((COUNTIF(AD18:AD37, "✓") + COUNTIF(AD18:AD37, "✔") + COUNTIF(AD18:AD37, "v") + COUNTIF(AD18:AD37, "V")) + COUNTIF(AD18:AD37, "✗") + COUNTIF(AD18:AD37, "x") + COUNTIF(AD18:AD37, "X")) &gt; 0, (COUNTIF(AD18:AD37, "✓") + COUNTIF(AD18:AD37, "✔") + COUNTIF(AD18:AD37, "v") + COUNTIF(AD18:AD37, "V")) &amp; "/" &amp; ((COUNTIF(AD18:AD37, "✓") + COUNTIF(AD18:AD37, "✔") + COUNTIF(AD18:AD37, "v") + COUNTIF(AD18:AD37, "V")) + COUNTIF(AD18:AD37, "✗") + COUNTIF(AD18:AD37, "x") + COUNTIF(AD18:AD37, "X")), "")</f>
        <v/>
      </c>
      <c r="AE38" s="33">
        <f>IF(((COUNTIF(AE18:AE37, "✓") + COUNTIF(AE18:AE37, "✔") + COUNTIF(AE18:AE37, "v") + COUNTIF(AE18:AE37, "V")) + COUNTIF(AE18:AE37, "✗") + COUNTIF(AE18:AE37, "x") + COUNTIF(AE18:AE37, "X")) &gt; 0, (COUNTIF(AE18:AE37, "✓") + COUNTIF(AE18:AE37, "✔") + COUNTIF(AE18:AE37, "v") + COUNTIF(AE18:AE37, "V")) &amp; "/" &amp; ((COUNTIF(AE18:AE37, "✓") + COUNTIF(AE18:AE37, "✔") + COUNTIF(AE18:AE37, "v") + COUNTIF(AE18:AE37, "V")) + COUNTIF(AE18:AE37, "✗") + COUNTIF(AE18:AE37, "x") + COUNTIF(AE18:AE37, "X")), "")</f>
        <v/>
      </c>
      <c r="AF38" s="33">
        <f>IF(((COUNTIF(AF18:AF37, "✓") + COUNTIF(AF18:AF37, "✔") + COUNTIF(AF18:AF37, "v") + COUNTIF(AF18:AF37, "V")) + COUNTIF(AF18:AF37, "✗") + COUNTIF(AF18:AF37, "x") + COUNTIF(AF18:AF37, "X")) &gt; 0, (COUNTIF(AF18:AF37, "✓") + COUNTIF(AF18:AF37, "✔") + COUNTIF(AF18:AF37, "v") + COUNTIF(AF18:AF37, "V")) &amp; "/" &amp; ((COUNTIF(AF18:AF37, "✓") + COUNTIF(AF18:AF37, "✔") + COUNTIF(AF18:AF37, "v") + COUNTIF(AF18:AF37, "V")) + COUNTIF(AF18:AF37, "✗") + COUNTIF(AF18:AF37, "x") + COUNTIF(AF18:AF37, "X")), "")</f>
        <v/>
      </c>
      <c r="AG38" s="33">
        <f>IF(((COUNTIF(AG18:AG37, "✓") + COUNTIF(AG18:AG37, "✔") + COUNTIF(AG18:AG37, "v") + COUNTIF(AG18:AG37, "V")) + COUNTIF(AG18:AG37, "✗") + COUNTIF(AG18:AG37, "x") + COUNTIF(AG18:AG37, "X")) &gt; 0, (COUNTIF(AG18:AG37, "✓") + COUNTIF(AG18:AG37, "✔") + COUNTIF(AG18:AG37, "v") + COUNTIF(AG18:AG37, "V")) &amp; "/" &amp; ((COUNTIF(AG18:AG37, "✓") + COUNTIF(AG18:AG37, "✔") + COUNTIF(AG18:AG37, "v") + COUNTIF(AG18:AG37, "V")) + COUNTIF(AG18:AG37, "✗") + COUNTIF(AG18:AG37, "x") + COUNTIF(AG18:AG37, "X")), "")</f>
        <v/>
      </c>
      <c r="AH38" s="33">
        <f>IF(((COUNTIF(AH18:AH37, "✓") + COUNTIF(AH18:AH37, "✔") + COUNTIF(AH18:AH37, "v") + COUNTIF(AH18:AH37, "V")) + COUNTIF(AH18:AH37, "✗") + COUNTIF(AH18:AH37, "x") + COUNTIF(AH18:AH37, "X")) &gt; 0, (COUNTIF(AH18:AH37, "✓") + COUNTIF(AH18:AH37, "✔") + COUNTIF(AH18:AH37, "v") + COUNTIF(AH18:AH37, "V")) &amp; "/" &amp; ((COUNTIF(AH18:AH37, "✓") + COUNTIF(AH18:AH37, "✔") + COUNTIF(AH18:AH37, "v") + COUNTIF(AH18:AH37, "V")) + COUNTIF(AH18:AH37, "✗") + COUNTIF(AH18:AH37, "x") + COUNTIF(AH18:AH37, "X")), "")</f>
        <v/>
      </c>
      <c r="AI38" s="33">
        <f>IF(((COUNTIF(AI18:AI37, "✓") + COUNTIF(AI18:AI37, "✔") + COUNTIF(AI18:AI37, "v") + COUNTIF(AI18:AI37, "V")) + COUNTIF(AI18:AI37, "✗") + COUNTIF(AI18:AI37, "x") + COUNTIF(AI18:AI37, "X")) &gt; 0, (COUNTIF(AI18:AI37, "✓") + COUNTIF(AI18:AI37, "✔") + COUNTIF(AI18:AI37, "v") + COUNTIF(AI18:AI37, "V")) &amp; "/" &amp; ((COUNTIF(AI18:AI37, "✓") + COUNTIF(AI18:AI37, "✔") + COUNTIF(AI18:AI37, "v") + COUNTIF(AI18:AI37, "V")) + COUNTIF(AI18:AI37, "✗") + COUNTIF(AI18:AI37, "x") + COUNTIF(AI18:AI37, "X")), "")</f>
        <v/>
      </c>
      <c r="AJ38" s="133">
        <f>IF(SUM(D18:D37) &gt; 0, SUM(AM18:AM37) / SUM(D18:D37), "")</f>
        <v/>
      </c>
      <c r="AK38" s="33">
        <f>IF(SUM(D18:D37) &gt; 0, SUM(AM18:AM37) &amp; "/" &amp; SUM(D18:D37), "")</f>
        <v/>
      </c>
      <c r="AL38" s="54" t="n"/>
    </row>
    <row r="39" ht="18" customHeight="1">
      <c r="A39" s="132" t="inlineStr">
        <is>
          <t>DAILY SUCCESS %</t>
        </is>
      </c>
      <c r="B39" s="54" t="n"/>
      <c r="C39" s="54" t="n"/>
      <c r="D39" s="54" t="n"/>
      <c r="E39" s="134">
        <f>IF(((COUNTIF(E18:E37, "✓") + COUNTIF(E18:E37, "✔") + COUNTIF(E18:E37, "v") + COUNTIF(E18:E37, "V")) + COUNTIF(E18:E37, "✗") + COUNTIF(E18:E37, "x") + COUNTIF(E18:E37, "X")) &gt; 0, (COUNTIF(E18:E37, "✓") + COUNTIF(E18:E37, "✔") + COUNTIF(E18:E37, "v") + COUNTIF(E18:E37, "V")) / ((COUNTIF(E18:E37, "✓") + COUNTIF(E18:E37, "✔") + COUNTIF(E18:E37, "v") + COUNTIF(E18:E37, "V")) + COUNTIF(E18:E37, "✗") + COUNTIF(E18:E37, "x") + COUNTIF(E18:E37, "X")), "")</f>
        <v/>
      </c>
      <c r="F39" s="134">
        <f>IF(((COUNTIF(F18:F37, "✓") + COUNTIF(F18:F37, "✔") + COUNTIF(F18:F37, "v") + COUNTIF(F18:F37, "V")) + COUNTIF(F18:F37, "✗") + COUNTIF(F18:F37, "x") + COUNTIF(F18:F37, "X")) &gt; 0, (COUNTIF(F18:F37, "✓") + COUNTIF(F18:F37, "✔") + COUNTIF(F18:F37, "v") + COUNTIF(F18:F37, "V")) / ((COUNTIF(F18:F37, "✓") + COUNTIF(F18:F37, "✔") + COUNTIF(F18:F37, "v") + COUNTIF(F18:F37, "V")) + COUNTIF(F18:F37, "✗") + COUNTIF(F18:F37, "x") + COUNTIF(F18:F37, "X")), "")</f>
        <v/>
      </c>
      <c r="G39" s="134">
        <f>IF(((COUNTIF(G18:G37, "✓") + COUNTIF(G18:G37, "✔") + COUNTIF(G18:G37, "v") + COUNTIF(G18:G37, "V")) + COUNTIF(G18:G37, "✗") + COUNTIF(G18:G37, "x") + COUNTIF(G18:G37, "X")) &gt; 0, (COUNTIF(G18:G37, "✓") + COUNTIF(G18:G37, "✔") + COUNTIF(G18:G37, "v") + COUNTIF(G18:G37, "V")) / ((COUNTIF(G18:G37, "✓") + COUNTIF(G18:G37, "✔") + COUNTIF(G18:G37, "v") + COUNTIF(G18:G37, "V")) + COUNTIF(G18:G37, "✗") + COUNTIF(G18:G37, "x") + COUNTIF(G18:G37, "X")), "")</f>
        <v/>
      </c>
      <c r="H39" s="134">
        <f>IF(((COUNTIF(H18:H37, "✓") + COUNTIF(H18:H37, "✔") + COUNTIF(H18:H37, "v") + COUNTIF(H18:H37, "V")) + COUNTIF(H18:H37, "✗") + COUNTIF(H18:H37, "x") + COUNTIF(H18:H37, "X")) &gt; 0, (COUNTIF(H18:H37, "✓") + COUNTIF(H18:H37, "✔") + COUNTIF(H18:H37, "v") + COUNTIF(H18:H37, "V")) / ((COUNTIF(H18:H37, "✓") + COUNTIF(H18:H37, "✔") + COUNTIF(H18:H37, "v") + COUNTIF(H18:H37, "V")) + COUNTIF(H18:H37, "✗") + COUNTIF(H18:H37, "x") + COUNTIF(H18:H37, "X")), "")</f>
        <v/>
      </c>
      <c r="I39" s="134">
        <f>IF(((COUNTIF(I18:I37, "✓") + COUNTIF(I18:I37, "✔") + COUNTIF(I18:I37, "v") + COUNTIF(I18:I37, "V")) + COUNTIF(I18:I37, "✗") + COUNTIF(I18:I37, "x") + COUNTIF(I18:I37, "X")) &gt; 0, (COUNTIF(I18:I37, "✓") + COUNTIF(I18:I37, "✔") + COUNTIF(I18:I37, "v") + COUNTIF(I18:I37, "V")) / ((COUNTIF(I18:I37, "✓") + COUNTIF(I18:I37, "✔") + COUNTIF(I18:I37, "v") + COUNTIF(I18:I37, "V")) + COUNTIF(I18:I37, "✗") + COUNTIF(I18:I37, "x") + COUNTIF(I18:I37, "X")), "")</f>
        <v/>
      </c>
      <c r="J39" s="134">
        <f>IF(((COUNTIF(J18:J37, "✓") + COUNTIF(J18:J37, "✔") + COUNTIF(J18:J37, "v") + COUNTIF(J18:J37, "V")) + COUNTIF(J18:J37, "✗") + COUNTIF(J18:J37, "x") + COUNTIF(J18:J37, "X")) &gt; 0, (COUNTIF(J18:J37, "✓") + COUNTIF(J18:J37, "✔") + COUNTIF(J18:J37, "v") + COUNTIF(J18:J37, "V")) / ((COUNTIF(J18:J37, "✓") + COUNTIF(J18:J37, "✔") + COUNTIF(J18:J37, "v") + COUNTIF(J18:J37, "V")) + COUNTIF(J18:J37, "✗") + COUNTIF(J18:J37, "x") + COUNTIF(J18:J37, "X")), "")</f>
        <v/>
      </c>
      <c r="K39" s="134">
        <f>IF(((COUNTIF(K18:K37, "✓") + COUNTIF(K18:K37, "✔") + COUNTIF(K18:K37, "v") + COUNTIF(K18:K37, "V")) + COUNTIF(K18:K37, "✗") + COUNTIF(K18:K37, "x") + COUNTIF(K18:K37, "X")) &gt; 0, (COUNTIF(K18:K37, "✓") + COUNTIF(K18:K37, "✔") + COUNTIF(K18:K37, "v") + COUNTIF(K18:K37, "V")) / ((COUNTIF(K18:K37, "✓") + COUNTIF(K18:K37, "✔") + COUNTIF(K18:K37, "v") + COUNTIF(K18:K37, "V")) + COUNTIF(K18:K37, "✗") + COUNTIF(K18:K37, "x") + COUNTIF(K18:K37, "X")), "")</f>
        <v/>
      </c>
      <c r="L39" s="134">
        <f>IF(((COUNTIF(L18:L37, "✓") + COUNTIF(L18:L37, "✔") + COUNTIF(L18:L37, "v") + COUNTIF(L18:L37, "V")) + COUNTIF(L18:L37, "✗") + COUNTIF(L18:L37, "x") + COUNTIF(L18:L37, "X")) &gt; 0, (COUNTIF(L18:L37, "✓") + COUNTIF(L18:L37, "✔") + COUNTIF(L18:L37, "v") + COUNTIF(L18:L37, "V")) / ((COUNTIF(L18:L37, "✓") + COUNTIF(L18:L37, "✔") + COUNTIF(L18:L37, "v") + COUNTIF(L18:L37, "V")) + COUNTIF(L18:L37, "✗") + COUNTIF(L18:L37, "x") + COUNTIF(L18:L37, "X")), "")</f>
        <v/>
      </c>
      <c r="M39" s="134">
        <f>IF(((COUNTIF(M18:M37, "✓") + COUNTIF(M18:M37, "✔") + COUNTIF(M18:M37, "v") + COUNTIF(M18:M37, "V")) + COUNTIF(M18:M37, "✗") + COUNTIF(M18:M37, "x") + COUNTIF(M18:M37, "X")) &gt; 0, (COUNTIF(M18:M37, "✓") + COUNTIF(M18:M37, "✔") + COUNTIF(M18:M37, "v") + COUNTIF(M18:M37, "V")) / ((COUNTIF(M18:M37, "✓") + COUNTIF(M18:M37, "✔") + COUNTIF(M18:M37, "v") + COUNTIF(M18:M37, "V")) + COUNTIF(M18:M37, "✗") + COUNTIF(M18:M37, "x") + COUNTIF(M18:M37, "X")), "")</f>
        <v/>
      </c>
      <c r="N39" s="134">
        <f>IF(((COUNTIF(N18:N37, "✓") + COUNTIF(N18:N37, "✔") + COUNTIF(N18:N37, "v") + COUNTIF(N18:N37, "V")) + COUNTIF(N18:N37, "✗") + COUNTIF(N18:N37, "x") + COUNTIF(N18:N37, "X")) &gt; 0, (COUNTIF(N18:N37, "✓") + COUNTIF(N18:N37, "✔") + COUNTIF(N18:N37, "v") + COUNTIF(N18:N37, "V")) / ((COUNTIF(N18:N37, "✓") + COUNTIF(N18:N37, "✔") + COUNTIF(N18:N37, "v") + COUNTIF(N18:N37, "V")) + COUNTIF(N18:N37, "✗") + COUNTIF(N18:N37, "x") + COUNTIF(N18:N37, "X")), "")</f>
        <v/>
      </c>
      <c r="O39" s="134">
        <f>IF(((COUNTIF(O18:O37, "✓") + COUNTIF(O18:O37, "✔") + COUNTIF(O18:O37, "v") + COUNTIF(O18:O37, "V")) + COUNTIF(O18:O37, "✗") + COUNTIF(O18:O37, "x") + COUNTIF(O18:O37, "X")) &gt; 0, (COUNTIF(O18:O37, "✓") + COUNTIF(O18:O37, "✔") + COUNTIF(O18:O37, "v") + COUNTIF(O18:O37, "V")) / ((COUNTIF(O18:O37, "✓") + COUNTIF(O18:O37, "✔") + COUNTIF(O18:O37, "v") + COUNTIF(O18:O37, "V")) + COUNTIF(O18:O37, "✗") + COUNTIF(O18:O37, "x") + COUNTIF(O18:O37, "X")), "")</f>
        <v/>
      </c>
      <c r="P39" s="134">
        <f>IF(((COUNTIF(P18:P37, "✓") + COUNTIF(P18:P37, "✔") + COUNTIF(P18:P37, "v") + COUNTIF(P18:P37, "V")) + COUNTIF(P18:P37, "✗") + COUNTIF(P18:P37, "x") + COUNTIF(P18:P37, "X")) &gt; 0, (COUNTIF(P18:P37, "✓") + COUNTIF(P18:P37, "✔") + COUNTIF(P18:P37, "v") + COUNTIF(P18:P37, "V")) / ((COUNTIF(P18:P37, "✓") + COUNTIF(P18:P37, "✔") + COUNTIF(P18:P37, "v") + COUNTIF(P18:P37, "V")) + COUNTIF(P18:P37, "✗") + COUNTIF(P18:P37, "x") + COUNTIF(P18:P37, "X")), "")</f>
        <v/>
      </c>
      <c r="Q39" s="134">
        <f>IF(((COUNTIF(Q18:Q37, "✓") + COUNTIF(Q18:Q37, "✔") + COUNTIF(Q18:Q37, "v") + COUNTIF(Q18:Q37, "V")) + COUNTIF(Q18:Q37, "✗") + COUNTIF(Q18:Q37, "x") + COUNTIF(Q18:Q37, "X")) &gt; 0, (COUNTIF(Q18:Q37, "✓") + COUNTIF(Q18:Q37, "✔") + COUNTIF(Q18:Q37, "v") + COUNTIF(Q18:Q37, "V")) / ((COUNTIF(Q18:Q37, "✓") + COUNTIF(Q18:Q37, "✔") + COUNTIF(Q18:Q37, "v") + COUNTIF(Q18:Q37, "V")) + COUNTIF(Q18:Q37, "✗") + COUNTIF(Q18:Q37, "x") + COUNTIF(Q18:Q37, "X")), "")</f>
        <v/>
      </c>
      <c r="R39" s="134">
        <f>IF(((COUNTIF(R18:R37, "✓") + COUNTIF(R18:R37, "✔") + COUNTIF(R18:R37, "v") + COUNTIF(R18:R37, "V")) + COUNTIF(R18:R37, "✗") + COUNTIF(R18:R37, "x") + COUNTIF(R18:R37, "X")) &gt; 0, (COUNTIF(R18:R37, "✓") + COUNTIF(R18:R37, "✔") + COUNTIF(R18:R37, "v") + COUNTIF(R18:R37, "V")) / ((COUNTIF(R18:R37, "✓") + COUNTIF(R18:R37, "✔") + COUNTIF(R18:R37, "v") + COUNTIF(R18:R37, "V")) + COUNTIF(R18:R37, "✗") + COUNTIF(R18:R37, "x") + COUNTIF(R18:R37, "X")), "")</f>
        <v/>
      </c>
      <c r="S39" s="134">
        <f>IF(((COUNTIF(S18:S37, "✓") + COUNTIF(S18:S37, "✔") + COUNTIF(S18:S37, "v") + COUNTIF(S18:S37, "V")) + COUNTIF(S18:S37, "✗") + COUNTIF(S18:S37, "x") + COUNTIF(S18:S37, "X")) &gt; 0, (COUNTIF(S18:S37, "✓") + COUNTIF(S18:S37, "✔") + COUNTIF(S18:S37, "v") + COUNTIF(S18:S37, "V")) / ((COUNTIF(S18:S37, "✓") + COUNTIF(S18:S37, "✔") + COUNTIF(S18:S37, "v") + COUNTIF(S18:S37, "V")) + COUNTIF(S18:S37, "✗") + COUNTIF(S18:S37, "x") + COUNTIF(S18:S37, "X")), "")</f>
        <v/>
      </c>
      <c r="T39" s="134">
        <f>IF(((COUNTIF(T18:T37, "✓") + COUNTIF(T18:T37, "✔") + COUNTIF(T18:T37, "v") + COUNTIF(T18:T37, "V")) + COUNTIF(T18:T37, "✗") + COUNTIF(T18:T37, "x") + COUNTIF(T18:T37, "X")) &gt; 0, (COUNTIF(T18:T37, "✓") + COUNTIF(T18:T37, "✔") + COUNTIF(T18:T37, "v") + COUNTIF(T18:T37, "V")) / ((COUNTIF(T18:T37, "✓") + COUNTIF(T18:T37, "✔") + COUNTIF(T18:T37, "v") + COUNTIF(T18:T37, "V")) + COUNTIF(T18:T37, "✗") + COUNTIF(T18:T37, "x") + COUNTIF(T18:T37, "X")), "")</f>
        <v/>
      </c>
      <c r="U39" s="134">
        <f>IF(((COUNTIF(U18:U37, "✓") + COUNTIF(U18:U37, "✔") + COUNTIF(U18:U37, "v") + COUNTIF(U18:U37, "V")) + COUNTIF(U18:U37, "✗") + COUNTIF(U18:U37, "x") + COUNTIF(U18:U37, "X")) &gt; 0, (COUNTIF(U18:U37, "✓") + COUNTIF(U18:U37, "✔") + COUNTIF(U18:U37, "v") + COUNTIF(U18:U37, "V")) / ((COUNTIF(U18:U37, "✓") + COUNTIF(U18:U37, "✔") + COUNTIF(U18:U37, "v") + COUNTIF(U18:U37, "V")) + COUNTIF(U18:U37, "✗") + COUNTIF(U18:U37, "x") + COUNTIF(U18:U37, "X")), "")</f>
        <v/>
      </c>
      <c r="V39" s="134">
        <f>IF(((COUNTIF(V18:V37, "✓") + COUNTIF(V18:V37, "✔") + COUNTIF(V18:V37, "v") + COUNTIF(V18:V37, "V")) + COUNTIF(V18:V37, "✗") + COUNTIF(V18:V37, "x") + COUNTIF(V18:V37, "X")) &gt; 0, (COUNTIF(V18:V37, "✓") + COUNTIF(V18:V37, "✔") + COUNTIF(V18:V37, "v") + COUNTIF(V18:V37, "V")) / ((COUNTIF(V18:V37, "✓") + COUNTIF(V18:V37, "✔") + COUNTIF(V18:V37, "v") + COUNTIF(V18:V37, "V")) + COUNTIF(V18:V37, "✗") + COUNTIF(V18:V37, "x") + COUNTIF(V18:V37, "X")), "")</f>
        <v/>
      </c>
      <c r="W39" s="134">
        <f>IF(((COUNTIF(W18:W37, "✓") + COUNTIF(W18:W37, "✔") + COUNTIF(W18:W37, "v") + COUNTIF(W18:W37, "V")) + COUNTIF(W18:W37, "✗") + COUNTIF(W18:W37, "x") + COUNTIF(W18:W37, "X")) &gt; 0, (COUNTIF(W18:W37, "✓") + COUNTIF(W18:W37, "✔") + COUNTIF(W18:W37, "v") + COUNTIF(W18:W37, "V")) / ((COUNTIF(W18:W37, "✓") + COUNTIF(W18:W37, "✔") + COUNTIF(W18:W37, "v") + COUNTIF(W18:W37, "V")) + COUNTIF(W18:W37, "✗") + COUNTIF(W18:W37, "x") + COUNTIF(W18:W37, "X")), "")</f>
        <v/>
      </c>
      <c r="X39" s="134">
        <f>IF(((COUNTIF(X18:X37, "✓") + COUNTIF(X18:X37, "✔") + COUNTIF(X18:X37, "v") + COUNTIF(X18:X37, "V")) + COUNTIF(X18:X37, "✗") + COUNTIF(X18:X37, "x") + COUNTIF(X18:X37, "X")) &gt; 0, (COUNTIF(X18:X37, "✓") + COUNTIF(X18:X37, "✔") + COUNTIF(X18:X37, "v") + COUNTIF(X18:X37, "V")) / ((COUNTIF(X18:X37, "✓") + COUNTIF(X18:X37, "✔") + COUNTIF(X18:X37, "v") + COUNTIF(X18:X37, "V")) + COUNTIF(X18:X37, "✗") + COUNTIF(X18:X37, "x") + COUNTIF(X18:X37, "X")), "")</f>
        <v/>
      </c>
      <c r="Y39" s="134">
        <f>IF(((COUNTIF(Y18:Y37, "✓") + COUNTIF(Y18:Y37, "✔") + COUNTIF(Y18:Y37, "v") + COUNTIF(Y18:Y37, "V")) + COUNTIF(Y18:Y37, "✗") + COUNTIF(Y18:Y37, "x") + COUNTIF(Y18:Y37, "X")) &gt; 0, (COUNTIF(Y18:Y37, "✓") + COUNTIF(Y18:Y37, "✔") + COUNTIF(Y18:Y37, "v") + COUNTIF(Y18:Y37, "V")) / ((COUNTIF(Y18:Y37, "✓") + COUNTIF(Y18:Y37, "✔") + COUNTIF(Y18:Y37, "v") + COUNTIF(Y18:Y37, "V")) + COUNTIF(Y18:Y37, "✗") + COUNTIF(Y18:Y37, "x") + COUNTIF(Y18:Y37, "X")), "")</f>
        <v/>
      </c>
      <c r="Z39" s="134">
        <f>IF(((COUNTIF(Z18:Z37, "✓") + COUNTIF(Z18:Z37, "✔") + COUNTIF(Z18:Z37, "v") + COUNTIF(Z18:Z37, "V")) + COUNTIF(Z18:Z37, "✗") + COUNTIF(Z18:Z37, "x") + COUNTIF(Z18:Z37, "X")) &gt; 0, (COUNTIF(Z18:Z37, "✓") + COUNTIF(Z18:Z37, "✔") + COUNTIF(Z18:Z37, "v") + COUNTIF(Z18:Z37, "V")) / ((COUNTIF(Z18:Z37, "✓") + COUNTIF(Z18:Z37, "✔") + COUNTIF(Z18:Z37, "v") + COUNTIF(Z18:Z37, "V")) + COUNTIF(Z18:Z37, "✗") + COUNTIF(Z18:Z37, "x") + COUNTIF(Z18:Z37, "X")), "")</f>
        <v/>
      </c>
      <c r="AA39" s="134">
        <f>IF(((COUNTIF(AA18:AA37, "✓") + COUNTIF(AA18:AA37, "✔") + COUNTIF(AA18:AA37, "v") + COUNTIF(AA18:AA37, "V")) + COUNTIF(AA18:AA37, "✗") + COUNTIF(AA18:AA37, "x") + COUNTIF(AA18:AA37, "X")) &gt; 0, (COUNTIF(AA18:AA37, "✓") + COUNTIF(AA18:AA37, "✔") + COUNTIF(AA18:AA37, "v") + COUNTIF(AA18:AA37, "V")) / ((COUNTIF(AA18:AA37, "✓") + COUNTIF(AA18:AA37, "✔") + COUNTIF(AA18:AA37, "v") + COUNTIF(AA18:AA37, "V")) + COUNTIF(AA18:AA37, "✗") + COUNTIF(AA18:AA37, "x") + COUNTIF(AA18:AA37, "X")), "")</f>
        <v/>
      </c>
      <c r="AB39" s="134">
        <f>IF(((COUNTIF(AB18:AB37, "✓") + COUNTIF(AB18:AB37, "✔") + COUNTIF(AB18:AB37, "v") + COUNTIF(AB18:AB37, "V")) + COUNTIF(AB18:AB37, "✗") + COUNTIF(AB18:AB37, "x") + COUNTIF(AB18:AB37, "X")) &gt; 0, (COUNTIF(AB18:AB37, "✓") + COUNTIF(AB18:AB37, "✔") + COUNTIF(AB18:AB37, "v") + COUNTIF(AB18:AB37, "V")) / ((COUNTIF(AB18:AB37, "✓") + COUNTIF(AB18:AB37, "✔") + COUNTIF(AB18:AB37, "v") + COUNTIF(AB18:AB37, "V")) + COUNTIF(AB18:AB37, "✗") + COUNTIF(AB18:AB37, "x") + COUNTIF(AB18:AB37, "X")), "")</f>
        <v/>
      </c>
      <c r="AC39" s="134">
        <f>IF(((COUNTIF(AC18:AC37, "✓") + COUNTIF(AC18:AC37, "✔") + COUNTIF(AC18:AC37, "v") + COUNTIF(AC18:AC37, "V")) + COUNTIF(AC18:AC37, "✗") + COUNTIF(AC18:AC37, "x") + COUNTIF(AC18:AC37, "X")) &gt; 0, (COUNTIF(AC18:AC37, "✓") + COUNTIF(AC18:AC37, "✔") + COUNTIF(AC18:AC37, "v") + COUNTIF(AC18:AC37, "V")) / ((COUNTIF(AC18:AC37, "✓") + COUNTIF(AC18:AC37, "✔") + COUNTIF(AC18:AC37, "v") + COUNTIF(AC18:AC37, "V")) + COUNTIF(AC18:AC37, "✗") + COUNTIF(AC18:AC37, "x") + COUNTIF(AC18:AC37, "X")), "")</f>
        <v/>
      </c>
      <c r="AD39" s="134">
        <f>IF(((COUNTIF(AD18:AD37, "✓") + COUNTIF(AD18:AD37, "✔") + COUNTIF(AD18:AD37, "v") + COUNTIF(AD18:AD37, "V")) + COUNTIF(AD18:AD37, "✗") + COUNTIF(AD18:AD37, "x") + COUNTIF(AD18:AD37, "X")) &gt; 0, (COUNTIF(AD18:AD37, "✓") + COUNTIF(AD18:AD37, "✔") + COUNTIF(AD18:AD37, "v") + COUNTIF(AD18:AD37, "V")) / ((COUNTIF(AD18:AD37, "✓") + COUNTIF(AD18:AD37, "✔") + COUNTIF(AD18:AD37, "v") + COUNTIF(AD18:AD37, "V")) + COUNTIF(AD18:AD37, "✗") + COUNTIF(AD18:AD37, "x") + COUNTIF(AD18:AD37, "X")), "")</f>
        <v/>
      </c>
      <c r="AE39" s="134">
        <f>IF(((COUNTIF(AE18:AE37, "✓") + COUNTIF(AE18:AE37, "✔") + COUNTIF(AE18:AE37, "v") + COUNTIF(AE18:AE37, "V")) + COUNTIF(AE18:AE37, "✗") + COUNTIF(AE18:AE37, "x") + COUNTIF(AE18:AE37, "X")) &gt; 0, (COUNTIF(AE18:AE37, "✓") + COUNTIF(AE18:AE37, "✔") + COUNTIF(AE18:AE37, "v") + COUNTIF(AE18:AE37, "V")) / ((COUNTIF(AE18:AE37, "✓") + COUNTIF(AE18:AE37, "✔") + COUNTIF(AE18:AE37, "v") + COUNTIF(AE18:AE37, "V")) + COUNTIF(AE18:AE37, "✗") + COUNTIF(AE18:AE37, "x") + COUNTIF(AE18:AE37, "X")), "")</f>
        <v/>
      </c>
      <c r="AF39" s="134">
        <f>IF(((COUNTIF(AF18:AF37, "✓") + COUNTIF(AF18:AF37, "✔") + COUNTIF(AF18:AF37, "v") + COUNTIF(AF18:AF37, "V")) + COUNTIF(AF18:AF37, "✗") + COUNTIF(AF18:AF37, "x") + COUNTIF(AF18:AF37, "X")) &gt; 0, (COUNTIF(AF18:AF37, "✓") + COUNTIF(AF18:AF37, "✔") + COUNTIF(AF18:AF37, "v") + COUNTIF(AF18:AF37, "V")) / ((COUNTIF(AF18:AF37, "✓") + COUNTIF(AF18:AF37, "✔") + COUNTIF(AF18:AF37, "v") + COUNTIF(AF18:AF37, "V")) + COUNTIF(AF18:AF37, "✗") + COUNTIF(AF18:AF37, "x") + COUNTIF(AF18:AF37, "X")), "")</f>
        <v/>
      </c>
      <c r="AG39" s="134">
        <f>IF(((COUNTIF(AG18:AG37, "✓") + COUNTIF(AG18:AG37, "✔") + COUNTIF(AG18:AG37, "v") + COUNTIF(AG18:AG37, "V")) + COUNTIF(AG18:AG37, "✗") + COUNTIF(AG18:AG37, "x") + COUNTIF(AG18:AG37, "X")) &gt; 0, (COUNTIF(AG18:AG37, "✓") + COUNTIF(AG18:AG37, "✔") + COUNTIF(AG18:AG37, "v") + COUNTIF(AG18:AG37, "V")) / ((COUNTIF(AG18:AG37, "✓") + COUNTIF(AG18:AG37, "✔") + COUNTIF(AG18:AG37, "v") + COUNTIF(AG18:AG37, "V")) + COUNTIF(AG18:AG37, "✗") + COUNTIF(AG18:AG37, "x") + COUNTIF(AG18:AG37, "X")), "")</f>
        <v/>
      </c>
      <c r="AH39" s="134">
        <f>IF(((COUNTIF(AH18:AH37, "✓") + COUNTIF(AH18:AH37, "✔") + COUNTIF(AH18:AH37, "v") + COUNTIF(AH18:AH37, "V")) + COUNTIF(AH18:AH37, "✗") + COUNTIF(AH18:AH37, "x") + COUNTIF(AH18:AH37, "X")) &gt; 0, (COUNTIF(AH18:AH37, "✓") + COUNTIF(AH18:AH37, "✔") + COUNTIF(AH18:AH37, "v") + COUNTIF(AH18:AH37, "V")) / ((COUNTIF(AH18:AH37, "✓") + COUNTIF(AH18:AH37, "✔") + COUNTIF(AH18:AH37, "v") + COUNTIF(AH18:AH37, "V")) + COUNTIF(AH18:AH37, "✗") + COUNTIF(AH18:AH37, "x") + COUNTIF(AH18:AH37, "X")), "")</f>
        <v/>
      </c>
      <c r="AI39" s="134">
        <f>IF(((COUNTIF(AI18:AI37, "✓") + COUNTIF(AI18:AI37, "✔") + COUNTIF(AI18:AI37, "v") + COUNTIF(AI18:AI37, "V")) + COUNTIF(AI18:AI37, "✗") + COUNTIF(AI18:AI37, "x") + COUNTIF(AI18:AI37, "X")) &gt; 0, (COUNTIF(AI18:AI37, "✓") + COUNTIF(AI18:AI37, "✔") + COUNTIF(AI18:AI37, "v") + COUNTIF(AI18:AI37, "V")) / ((COUNTIF(AI18:AI37, "✓") + COUNTIF(AI18:AI37, "✔") + COUNTIF(AI18:AI37, "v") + COUNTIF(AI18:AI37, "V")) + COUNTIF(AI18:AI37, "✗") + COUNTIF(AI18:AI37, "x") + COUNTIF(AI18:AI37, "X")), "")</f>
        <v/>
      </c>
      <c r="AJ39" s="133">
        <f>IF(COUNT(E39:AI39) &gt; 0, AVERAGE(E39:AI39), "")</f>
        <v/>
      </c>
      <c r="AK39" s="54" t="n"/>
      <c r="AL39" s="54" t="n"/>
    </row>
    <row r="40" ht="6" customHeight="1"/>
    <row r="41" ht="15" customHeight="1">
      <c r="A41" s="135" t="inlineStr">
        <is>
          <t>IF SUCCESS &lt; 80%, PUNISHMENT: ________________________________________________</t>
        </is>
      </c>
    </row>
    <row r="42" ht="15" customHeight="1">
      <c r="A42" s="136" t="inlineStr">
        <is>
          <t>IF SUCCESS &gt; 90%, REWARD: __________________________________________________</t>
        </is>
      </c>
    </row>
    <row r="43" ht="10" customHeight="1"/>
    <row r="44" ht="10" customHeight="1"/>
    <row r="45" ht="15" customHeight="1">
      <c r="A45" s="51" t="inlineStr">
        <is>
          <t>Sleep Tracking</t>
        </is>
      </c>
      <c r="B45" s="52" t="n"/>
      <c r="C45" s="52" t="n"/>
      <c r="D45" s="52" t="n"/>
      <c r="E45" s="137" t="n">
        <v>1</v>
      </c>
      <c r="F45" s="137" t="n">
        <v>2</v>
      </c>
      <c r="G45" s="138" t="n">
        <v>3</v>
      </c>
      <c r="H45" s="137" t="n">
        <v>4</v>
      </c>
      <c r="I45" s="137" t="n">
        <v>5</v>
      </c>
      <c r="J45" s="137" t="n">
        <v>6</v>
      </c>
      <c r="K45" s="137" t="n">
        <v>7</v>
      </c>
      <c r="L45" s="137" t="n">
        <v>8</v>
      </c>
      <c r="M45" s="137" t="n">
        <v>9</v>
      </c>
      <c r="N45" s="138" t="n">
        <v>10</v>
      </c>
      <c r="O45" s="137" t="n">
        <v>11</v>
      </c>
      <c r="P45" s="137" t="n">
        <v>12</v>
      </c>
      <c r="Q45" s="137" t="n">
        <v>13</v>
      </c>
      <c r="R45" s="137" t="n">
        <v>14</v>
      </c>
      <c r="S45" s="137" t="n">
        <v>15</v>
      </c>
      <c r="T45" s="137" t="n">
        <v>16</v>
      </c>
      <c r="U45" s="138" t="n">
        <v>17</v>
      </c>
      <c r="V45" s="137" t="n">
        <v>18</v>
      </c>
      <c r="W45" s="137" t="n">
        <v>19</v>
      </c>
      <c r="X45" s="137" t="n">
        <v>20</v>
      </c>
      <c r="Y45" s="137" t="n">
        <v>21</v>
      </c>
      <c r="Z45" s="137" t="n">
        <v>22</v>
      </c>
      <c r="AA45" s="137" t="n">
        <v>23</v>
      </c>
      <c r="AB45" s="138" t="n">
        <v>24</v>
      </c>
      <c r="AC45" s="137" t="n">
        <v>25</v>
      </c>
      <c r="AD45" s="137" t="n">
        <v>26</v>
      </c>
      <c r="AE45" s="137" t="n">
        <v>27</v>
      </c>
      <c r="AF45" s="137" t="n">
        <v>28</v>
      </c>
      <c r="AG45" s="137" t="n">
        <v>29</v>
      </c>
      <c r="AH45" s="137" t="n">
        <v>30</v>
      </c>
      <c r="AI45" s="138" t="n">
        <v>31</v>
      </c>
    </row>
    <row r="46" ht="15" customHeight="1">
      <c r="A46" s="52" t="n"/>
      <c r="B46" s="52" t="n"/>
      <c r="C46" s="52" t="n"/>
      <c r="D46" s="52" t="n"/>
      <c r="E46" s="139" t="inlineStr">
        <is>
          <t>F</t>
        </is>
      </c>
      <c r="F46" s="139" t="inlineStr">
        <is>
          <t>Sa</t>
        </is>
      </c>
      <c r="G46" s="140" t="inlineStr">
        <is>
          <t>Su</t>
        </is>
      </c>
      <c r="H46" s="139" t="inlineStr">
        <is>
          <t>M</t>
        </is>
      </c>
      <c r="I46" s="139" t="inlineStr">
        <is>
          <t>T</t>
        </is>
      </c>
      <c r="J46" s="139" t="inlineStr">
        <is>
          <t>W</t>
        </is>
      </c>
      <c r="K46" s="139" t="inlineStr">
        <is>
          <t>Th</t>
        </is>
      </c>
      <c r="L46" s="139" t="inlineStr">
        <is>
          <t>F</t>
        </is>
      </c>
      <c r="M46" s="139" t="inlineStr">
        <is>
          <t>Sa</t>
        </is>
      </c>
      <c r="N46" s="140" t="inlineStr">
        <is>
          <t>Su</t>
        </is>
      </c>
      <c r="O46" s="139" t="inlineStr">
        <is>
          <t>M</t>
        </is>
      </c>
      <c r="P46" s="139" t="inlineStr">
        <is>
          <t>T</t>
        </is>
      </c>
      <c r="Q46" s="139" t="inlineStr">
        <is>
          <t>W</t>
        </is>
      </c>
      <c r="R46" s="139" t="inlineStr">
        <is>
          <t>Th</t>
        </is>
      </c>
      <c r="S46" s="139" t="inlineStr">
        <is>
          <t>F</t>
        </is>
      </c>
      <c r="T46" s="139" t="inlineStr">
        <is>
          <t>Sa</t>
        </is>
      </c>
      <c r="U46" s="140" t="inlineStr">
        <is>
          <t>Su</t>
        </is>
      </c>
      <c r="V46" s="139" t="inlineStr">
        <is>
          <t>M</t>
        </is>
      </c>
      <c r="W46" s="139" t="inlineStr">
        <is>
          <t>T</t>
        </is>
      </c>
      <c r="X46" s="139" t="inlineStr">
        <is>
          <t>W</t>
        </is>
      </c>
      <c r="Y46" s="139" t="inlineStr">
        <is>
          <t>Th</t>
        </is>
      </c>
      <c r="Z46" s="139" t="inlineStr">
        <is>
          <t>F</t>
        </is>
      </c>
      <c r="AA46" s="139" t="inlineStr">
        <is>
          <t>Sa</t>
        </is>
      </c>
      <c r="AB46" s="140" t="inlineStr">
        <is>
          <t>Su</t>
        </is>
      </c>
      <c r="AC46" s="139" t="inlineStr">
        <is>
          <t>M</t>
        </is>
      </c>
      <c r="AD46" s="139" t="inlineStr">
        <is>
          <t>T</t>
        </is>
      </c>
      <c r="AE46" s="139" t="inlineStr">
        <is>
          <t>W</t>
        </is>
      </c>
      <c r="AF46" s="139" t="inlineStr">
        <is>
          <t>Th</t>
        </is>
      </c>
      <c r="AG46" s="139" t="inlineStr">
        <is>
          <t>F</t>
        </is>
      </c>
      <c r="AH46" s="139" t="inlineStr">
        <is>
          <t>Sa</t>
        </is>
      </c>
      <c r="AI46" s="140" t="inlineStr">
        <is>
          <t>Su</t>
        </is>
      </c>
    </row>
    <row r="47" ht="20" customHeight="1">
      <c r="A47" s="141" t="inlineStr">
        <is>
          <t>Sleep Hours (1-24)</t>
        </is>
      </c>
      <c r="B47" s="142" t="n"/>
      <c r="C47" s="142" t="n"/>
      <c r="D47" s="142" t="n"/>
      <c r="E47" s="143" t="n"/>
      <c r="F47" s="143" t="n"/>
      <c r="G47" s="144" t="n"/>
      <c r="H47" s="143" t="n"/>
      <c r="I47" s="143" t="n"/>
      <c r="J47" s="143" t="n"/>
      <c r="K47" s="143" t="n"/>
      <c r="L47" s="143" t="n"/>
      <c r="M47" s="143" t="n"/>
      <c r="N47" s="144" t="n"/>
      <c r="O47" s="143" t="n"/>
      <c r="P47" s="143" t="n"/>
      <c r="Q47" s="143" t="n"/>
      <c r="R47" s="143" t="n"/>
      <c r="S47" s="143" t="n"/>
      <c r="T47" s="143" t="n"/>
      <c r="U47" s="144" t="n"/>
      <c r="V47" s="143" t="n"/>
      <c r="W47" s="143" t="n"/>
      <c r="X47" s="143" t="n"/>
      <c r="Y47" s="143" t="n"/>
      <c r="Z47" s="143" t="n"/>
      <c r="AA47" s="143" t="n"/>
      <c r="AB47" s="144" t="n"/>
      <c r="AC47" s="143" t="n"/>
      <c r="AD47" s="143" t="n"/>
      <c r="AE47" s="143" t="n"/>
      <c r="AF47" s="143" t="n"/>
      <c r="AG47" s="143" t="n"/>
      <c r="AH47" s="143" t="n"/>
      <c r="AI47" s="144" t="n"/>
    </row>
    <row r="48" ht="6" customHeight="1"/>
    <row r="49" ht="14" customHeight="1"/>
    <row r="50" ht="14" customHeight="1"/>
    <row r="51" ht="14" customHeight="1"/>
    <row r="52" ht="14" customHeight="1"/>
    <row r="53" ht="14" customHeight="1"/>
    <row r="54" ht="14" customHeight="1"/>
    <row r="55" ht="14" customHeight="1"/>
    <row r="56" ht="14" customHeight="1"/>
    <row r="57" ht="14" customHeight="1"/>
    <row r="58" ht="14" customHeight="1"/>
    <row r="59" ht="14" customHeight="1"/>
    <row r="60" ht="14" customHeight="1"/>
    <row r="61" ht="14" customHeight="1"/>
    <row r="62" ht="14" customHeight="1"/>
    <row r="63" ht="14" customHeight="1"/>
    <row r="64" ht="14" customHeight="1"/>
    <row r="65" ht="14" customHeight="1"/>
    <row r="66" ht="8" customHeight="1"/>
    <row r="67">
      <c r="A67" s="145" t="inlineStr">
        <is>
          <t>MONTHLY SUCCESS RATE</t>
        </is>
      </c>
      <c r="B67" s="9" t="n"/>
      <c r="C67" s="9" t="n"/>
      <c r="D67" s="9" t="n"/>
      <c r="F67" s="146" t="inlineStr">
        <is>
          <t>ACTIVE PROTOCOLS</t>
        </is>
      </c>
      <c r="G67" s="11" t="n"/>
      <c r="H67" s="11" t="n"/>
      <c r="I67" s="11" t="n"/>
      <c r="K67" s="147" t="inlineStr">
        <is>
          <t>PERFECT DAYS (100%)</t>
        </is>
      </c>
      <c r="L67" s="13" t="n"/>
      <c r="M67" s="13" t="n"/>
      <c r="N67" s="13" t="n"/>
      <c r="P67" s="148" t="inlineStr">
        <is>
          <t>AVG SLEEP DURATION</t>
        </is>
      </c>
      <c r="Q67" s="15" t="n"/>
      <c r="R67" s="15" t="n"/>
      <c r="S67" s="15" t="n"/>
    </row>
    <row r="68">
      <c r="A68" s="149">
        <f>IF(SUM(D18:D37)&gt;0, SUM(AM18:AM37)/SUM(D18:D37), 0)</f>
        <v/>
      </c>
      <c r="B68" s="9" t="n"/>
      <c r="C68" s="9" t="n"/>
      <c r="D68" s="9" t="n"/>
      <c r="F68" s="150">
        <f>COUNTA(B18:B37) &amp; " / 20"</f>
        <v/>
      </c>
      <c r="G68" s="11" t="n"/>
      <c r="H68" s="11" t="n"/>
      <c r="I68" s="11" t="n"/>
      <c r="K68" s="151">
        <f>COUNTIF(E39:AI39, 1) &amp; " Days"</f>
        <v/>
      </c>
      <c r="L68" s="13" t="n"/>
      <c r="M68" s="13" t="n"/>
      <c r="N68" s="13" t="n"/>
      <c r="P68" s="152">
        <f>IFERROR(TEXT(AVERAGE(E47:AI47), "0.0") &amp; " hrs", "-")</f>
        <v/>
      </c>
      <c r="Q68" s="15" t="n"/>
      <c r="R68" s="15" t="n"/>
      <c r="S68" s="15" t="n"/>
    </row>
    <row r="69">
      <c r="A69" s="9" t="n"/>
      <c r="B69" s="9" t="n"/>
      <c r="C69" s="9" t="n"/>
      <c r="D69" s="9" t="n"/>
      <c r="F69" s="11" t="n"/>
      <c r="G69" s="11" t="n"/>
      <c r="H69" s="11" t="n"/>
      <c r="I69" s="11" t="n"/>
      <c r="K69" s="13" t="n"/>
      <c r="L69" s="13" t="n"/>
      <c r="M69" s="13" t="n"/>
      <c r="N69" s="13" t="n"/>
      <c r="P69" s="15" t="n"/>
      <c r="Q69" s="15" t="n"/>
      <c r="R69" s="15" t="n"/>
      <c r="S69" s="15" t="n"/>
    </row>
    <row r="70">
      <c r="A70" s="9" t="n"/>
      <c r="B70" s="9" t="n"/>
      <c r="C70" s="9" t="n"/>
      <c r="D70" s="9" t="n"/>
      <c r="F70" s="11" t="n"/>
      <c r="G70" s="11" t="n"/>
      <c r="H70" s="11" t="n"/>
      <c r="I70" s="11" t="n"/>
      <c r="K70" s="13" t="n"/>
      <c r="L70" s="13" t="n"/>
      <c r="M70" s="13" t="n"/>
      <c r="N70" s="13" t="n"/>
      <c r="P70" s="15" t="n"/>
      <c r="Q70" s="15" t="n"/>
      <c r="R70" s="15" t="n"/>
      <c r="S70" s="15" t="n"/>
    </row>
    <row r="71">
      <c r="A71" s="153" t="inlineStr">
        <is>
          <t>Target Completion</t>
        </is>
      </c>
      <c r="B71" s="9" t="n"/>
      <c r="C71" s="9" t="n"/>
      <c r="D71" s="9" t="n"/>
      <c r="F71" s="154" t="inlineStr">
        <is>
          <t>Habits Tracked</t>
        </is>
      </c>
      <c r="G71" s="11" t="n"/>
      <c r="H71" s="11" t="n"/>
      <c r="I71" s="11" t="n"/>
      <c r="K71" s="155" t="inlineStr">
        <is>
          <t>All Marked Habits Completed</t>
        </is>
      </c>
      <c r="L71" s="13" t="n"/>
      <c r="M71" s="13" t="n"/>
      <c r="N71" s="13" t="n"/>
      <c r="P71" s="156" t="inlineStr">
        <is>
          <t>Nightly Rest Average</t>
        </is>
      </c>
      <c r="Q71" s="15" t="n"/>
      <c r="R71" s="15" t="n"/>
      <c r="S71" s="15" t="n"/>
    </row>
    <row r="72" ht="8" customHeight="1"/>
    <row r="73" ht="6" customHeight="1"/>
    <row r="74">
      <c r="A74" s="67" t="inlineStr">
        <is>
          <t>WEEKLY PERFORMANCE (SLUMP DETECTOR)</t>
        </is>
      </c>
      <c r="B74" s="29" t="n"/>
      <c r="C74" s="29" t="n"/>
      <c r="D74" s="29" t="n"/>
      <c r="E74" s="29" t="n"/>
      <c r="N74" s="157" t="inlineStr">
        <is>
          <t>LIFE DOMAIN / CATEGORY BREAKDOWN</t>
        </is>
      </c>
      <c r="O74" s="158" t="n"/>
      <c r="P74" s="158" t="n"/>
      <c r="Q74" s="158" t="n"/>
      <c r="R74" s="158" t="n"/>
      <c r="S74" s="158" t="n"/>
    </row>
    <row r="75" ht="15" customHeight="1">
      <c r="A75" s="53" t="inlineStr">
        <is>
          <t>Week</t>
        </is>
      </c>
      <c r="B75" s="53" t="inlineStr">
        <is>
          <t>Days Range</t>
        </is>
      </c>
      <c r="C75" s="53" t="inlineStr">
        <is>
          <t>Checks Done</t>
        </is>
      </c>
      <c r="D75" s="53" t="inlineStr">
        <is>
          <t>Evaluated</t>
        </is>
      </c>
      <c r="E75" s="53" t="inlineStr">
        <is>
          <t>Success %</t>
        </is>
      </c>
      <c r="N75" s="53" t="inlineStr">
        <is>
          <t>Domain / Category</t>
        </is>
      </c>
      <c r="O75" s="54" t="n"/>
      <c r="P75" s="53" t="inlineStr">
        <is>
          <t>Active Habits</t>
        </is>
      </c>
      <c r="Q75" s="53" t="inlineStr">
        <is>
          <t>Target Days</t>
        </is>
      </c>
      <c r="R75" s="53" t="inlineStr">
        <is>
          <t>Done Checks</t>
        </is>
      </c>
      <c r="S75" s="53" t="inlineStr">
        <is>
          <t>Success %</t>
        </is>
      </c>
    </row>
    <row r="76" ht="14" customHeight="1">
      <c r="A76" s="33" t="inlineStr">
        <is>
          <t>Week 1</t>
        </is>
      </c>
      <c r="B76" s="34" t="inlineStr">
        <is>
          <t>Days 1 - 7</t>
        </is>
      </c>
      <c r="C76" s="34">
        <f>COUNTIF(E18:K37, "✓")</f>
        <v/>
      </c>
      <c r="D76" s="34">
        <f>COUNTIF(E18:K37, "✓") + COUNTIF(E18:K37, "✗")</f>
        <v/>
      </c>
      <c r="E76" s="35">
        <f>IFERROR(C76/D76, 0)</f>
        <v/>
      </c>
      <c r="N76" s="60" t="inlineStr">
        <is>
          <t>Health &amp; Fitness</t>
        </is>
      </c>
      <c r="O76" s="54" t="n"/>
      <c r="P76" s="34">
        <f>COUNTIF($C$18:$C$37, "Health &amp; Fitness")</f>
        <v/>
      </c>
      <c r="Q76" s="34">
        <f>SUMIF($C$18:$C$37, "Health &amp; Fitness", $D$18:$D$37)</f>
        <v/>
      </c>
      <c r="R76" s="34">
        <f>SUMIF($C$18:$C$37, "Health &amp; Fitness", $AM$18:$AM$37)</f>
        <v/>
      </c>
      <c r="S76" s="35">
        <f>IFERROR(R76/Q76, 0)</f>
        <v/>
      </c>
    </row>
    <row r="77" ht="14" customHeight="1">
      <c r="A77" s="33" t="inlineStr">
        <is>
          <t>Week 2</t>
        </is>
      </c>
      <c r="B77" s="34" t="inlineStr">
        <is>
          <t>Days 8 - 14</t>
        </is>
      </c>
      <c r="C77" s="34">
        <f>COUNTIF(L18:R37, "✓")</f>
        <v/>
      </c>
      <c r="D77" s="34">
        <f>COUNTIF(L18:R37, "✓") + COUNTIF(L18:R37, "✗")</f>
        <v/>
      </c>
      <c r="E77" s="35">
        <f>IFERROR(C77/D77, 0)</f>
        <v/>
      </c>
      <c r="N77" s="60" t="inlineStr">
        <is>
          <t>Mindset &amp; Learning</t>
        </is>
      </c>
      <c r="O77" s="54" t="n"/>
      <c r="P77" s="34">
        <f>COUNTIF($C$18:$C$37, "Mindset &amp; Learning")</f>
        <v/>
      </c>
      <c r="Q77" s="34">
        <f>SUMIF($C$18:$C$37, "Mindset &amp; Learning", $D$18:$D$37)</f>
        <v/>
      </c>
      <c r="R77" s="34">
        <f>SUMIF($C$18:$C$37, "Mindset &amp; Learning", $AM$18:$AM$37)</f>
        <v/>
      </c>
      <c r="S77" s="35">
        <f>IFERROR(R77/Q77, 0)</f>
        <v/>
      </c>
    </row>
    <row r="78" ht="14" customHeight="1">
      <c r="A78" s="33" t="inlineStr">
        <is>
          <t>Week 3</t>
        </is>
      </c>
      <c r="B78" s="34" t="inlineStr">
        <is>
          <t>Days 15 - 21</t>
        </is>
      </c>
      <c r="C78" s="34">
        <f>COUNTIF(S18:Y37, "✓")</f>
        <v/>
      </c>
      <c r="D78" s="34">
        <f>COUNTIF(S18:Y37, "✓") + COUNTIF(S18:Y37, "✗")</f>
        <v/>
      </c>
      <c r="E78" s="35">
        <f>IFERROR(C78/D78, 0)</f>
        <v/>
      </c>
      <c r="N78" s="60" t="inlineStr">
        <is>
          <t>Career &amp; Focus</t>
        </is>
      </c>
      <c r="O78" s="54" t="n"/>
      <c r="P78" s="34">
        <f>COUNTIF($C$18:$C$37, "Career &amp; Focus")</f>
        <v/>
      </c>
      <c r="Q78" s="34">
        <f>SUMIF($C$18:$C$37, "Career &amp; Focus", $D$18:$D$37)</f>
        <v/>
      </c>
      <c r="R78" s="34">
        <f>SUMIF($C$18:$C$37, "Career &amp; Focus", $AM$18:$AM$37)</f>
        <v/>
      </c>
      <c r="S78" s="35">
        <f>IFERROR(R78/Q78, 0)</f>
        <v/>
      </c>
    </row>
    <row r="79" ht="14" customHeight="1">
      <c r="A79" s="33" t="inlineStr">
        <is>
          <t>Week 4</t>
        </is>
      </c>
      <c r="B79" s="34" t="inlineStr">
        <is>
          <t>Days 22 - 28</t>
        </is>
      </c>
      <c r="C79" s="34">
        <f>COUNTIF(Z18:AF37, "✓")</f>
        <v/>
      </c>
      <c r="D79" s="34">
        <f>COUNTIF(Z18:AF37, "✓") + COUNTIF(Z18:AF37, "✗")</f>
        <v/>
      </c>
      <c r="E79" s="35">
        <f>IFERROR(C79/D79, 0)</f>
        <v/>
      </c>
      <c r="N79" s="60" t="inlineStr">
        <is>
          <t>Personal &amp; Home</t>
        </is>
      </c>
      <c r="O79" s="54" t="n"/>
      <c r="P79" s="34">
        <f>COUNTIF($C$18:$C$37, "Personal &amp; Home")</f>
        <v/>
      </c>
      <c r="Q79" s="34">
        <f>SUMIF($C$18:$C$37, "Personal &amp; Home", $D$18:$D$37)</f>
        <v/>
      </c>
      <c r="R79" s="34">
        <f>SUMIF($C$18:$C$37, "Personal &amp; Home", $AM$18:$AM$37)</f>
        <v/>
      </c>
      <c r="S79" s="35">
        <f>IFERROR(R79/Q79, 0)</f>
        <v/>
      </c>
    </row>
    <row r="80" ht="14" customHeight="1">
      <c r="A80" s="33" t="inlineStr">
        <is>
          <t>Week 5</t>
        </is>
      </c>
      <c r="B80" s="34" t="inlineStr">
        <is>
          <t>Days 29 - 31</t>
        </is>
      </c>
      <c r="C80" s="34">
        <f>COUNTIF(AG18:AI37, "✓")</f>
        <v/>
      </c>
      <c r="D80" s="34">
        <f>COUNTIF(AG18:AI37, "✓") + COUNTIF(AG18:AI37, "✗")</f>
        <v/>
      </c>
      <c r="E80" s="35">
        <f>IFERROR(C80/D80, 0)</f>
        <v/>
      </c>
      <c r="N80" s="60" t="inlineStr">
        <is>
          <t>Finance &amp; Wealth</t>
        </is>
      </c>
      <c r="O80" s="54" t="n"/>
      <c r="P80" s="34">
        <f>COUNTIF($C$18:$C$37, "Finance &amp; Wealth")</f>
        <v/>
      </c>
      <c r="Q80" s="34">
        <f>SUMIF($C$18:$C$37, "Finance &amp; Wealth", $D$18:$D$37)</f>
        <v/>
      </c>
      <c r="R80" s="34">
        <f>SUMIF($C$18:$C$37, "Finance &amp; Wealth", $AM$18:$AM$37)</f>
        <v/>
      </c>
      <c r="S80" s="35">
        <f>IFERROR(R80/Q80, 0)</f>
        <v/>
      </c>
    </row>
    <row r="81" ht="14" customHeight="1">
      <c r="A81" s="33" t="inlineStr">
        <is>
          <t>Total / Avg</t>
        </is>
      </c>
      <c r="B81" s="159" t="inlineStr">
        <is>
          <t>Month Total</t>
        </is>
      </c>
      <c r="C81" s="33">
        <f>SUM(C76:C80)</f>
        <v/>
      </c>
      <c r="D81" s="33">
        <f>SUM(D76:D80)</f>
        <v/>
      </c>
      <c r="E81" s="133">
        <f>IFERROR(C81/D81, 0)</f>
        <v/>
      </c>
    </row>
    <row r="82" ht="10" customHeight="1"/>
    <row r="83" ht="10" customHeight="1"/>
    <row r="84">
      <c r="A84" s="51" t="inlineStr">
        <is>
          <t>SLEEP &amp; PRODUCTIVITY CORRELATION ANALYSIS</t>
        </is>
      </c>
      <c r="B84" s="52" t="n"/>
      <c r="C84" s="52" t="n"/>
      <c r="D84" s="52" t="n"/>
      <c r="E84" s="52" t="n"/>
      <c r="F84" s="52" t="n"/>
      <c r="G84" s="52" t="n"/>
      <c r="H84" s="52" t="n"/>
      <c r="I84" s="52" t="n"/>
      <c r="J84" s="52" t="n"/>
      <c r="K84" s="52" t="n"/>
      <c r="L84" s="52" t="n"/>
      <c r="M84" s="52" t="n"/>
      <c r="N84" s="52" t="n"/>
      <c r="O84" s="52" t="n"/>
      <c r="P84" s="52" t="n"/>
      <c r="Q84" s="52" t="n"/>
      <c r="R84" s="52" t="n"/>
      <c r="S84" s="52" t="n"/>
      <c r="T84" s="52" t="n"/>
      <c r="U84" s="52" t="n"/>
      <c r="V84" s="52" t="n"/>
      <c r="W84" s="52" t="n"/>
      <c r="X84" s="52" t="n"/>
      <c r="Y84" s="52" t="n"/>
      <c r="Z84" s="52" t="n"/>
      <c r="AA84" s="52" t="n"/>
      <c r="AB84" s="52" t="n"/>
      <c r="AC84" s="52" t="n"/>
      <c r="AD84" s="52" t="n"/>
      <c r="AE84" s="52" t="n"/>
      <c r="AF84" s="52" t="n"/>
      <c r="AG84" s="52" t="n"/>
      <c r="AH84" s="52" t="n"/>
      <c r="AI84" s="52" t="n"/>
      <c r="AJ84" s="52" t="n"/>
      <c r="AK84" s="52" t="n"/>
      <c r="AL84" s="52" t="n"/>
    </row>
    <row r="85" ht="15" customHeight="1">
      <c r="A85" s="53" t="inlineStr">
        <is>
          <t>Rest Category</t>
        </is>
      </c>
      <c r="B85" s="54" t="n"/>
      <c r="C85" s="54" t="n"/>
      <c r="D85" s="53" t="inlineStr">
        <is>
          <t>Day Criteria</t>
        </is>
      </c>
      <c r="E85" s="54" t="n"/>
      <c r="F85" s="54" t="n"/>
      <c r="G85" s="53" t="inlineStr">
        <is>
          <t>Days Logged</t>
        </is>
      </c>
      <c r="H85" s="54" t="n"/>
      <c r="I85" s="54" t="n"/>
      <c r="J85" s="53" t="inlineStr">
        <is>
          <t>Avg Sleep Duration</t>
        </is>
      </c>
      <c r="K85" s="54" t="n"/>
      <c r="L85" s="54" t="n"/>
      <c r="M85" s="54" t="n"/>
      <c r="N85" s="53" t="inlineStr">
        <is>
          <t>Avg Habit Success %</t>
        </is>
      </c>
      <c r="O85" s="54" t="n"/>
      <c r="P85" s="54" t="n"/>
      <c r="Q85" s="54" t="n"/>
      <c r="R85" s="53" t="inlineStr">
        <is>
          <t>Productivity Delta</t>
        </is>
      </c>
      <c r="S85" s="54" t="n"/>
      <c r="T85" s="54" t="n"/>
      <c r="U85" s="54" t="n"/>
    </row>
    <row r="86" ht="15" customHeight="1">
      <c r="A86" s="160" t="inlineStr">
        <is>
          <t>Optimal Rest</t>
        </is>
      </c>
      <c r="B86" s="161" t="n"/>
      <c r="C86" s="56" t="n"/>
      <c r="D86" s="34" t="inlineStr">
        <is>
          <t>&gt;= 7 Hours / Night</t>
        </is>
      </c>
      <c r="E86" s="161" t="n"/>
      <c r="F86" s="56" t="n"/>
      <c r="G86" s="33">
        <f>COUNTIF(E47:AI47, "&gt;=7")</f>
        <v/>
      </c>
      <c r="H86" s="161" t="n"/>
      <c r="I86" s="56" t="n"/>
      <c r="J86" s="34">
        <f>IFERROR(TEXT(AVERAGEIF(E47:AI47, "&gt;=7"), "0.0") &amp; " hrs", "-")</f>
        <v/>
      </c>
      <c r="K86" s="161" t="n"/>
      <c r="L86" s="161" t="n"/>
      <c r="M86" s="56" t="n"/>
      <c r="N86" s="42">
        <f>IFERROR(AVERAGEIFS(E39:AI39, E47:AI47, "&gt;=7", E39:AI39, "&gt;0"), 0)</f>
        <v/>
      </c>
      <c r="O86" s="161" t="n"/>
      <c r="P86" s="161" t="n"/>
      <c r="Q86" s="56" t="n"/>
      <c r="R86" s="159" t="inlineStr">
        <is>
          <t>Baseline (Target)</t>
        </is>
      </c>
      <c r="S86" s="161" t="n"/>
      <c r="T86" s="161" t="n"/>
      <c r="U86" s="56" t="n"/>
    </row>
    <row r="87" ht="15" customHeight="1">
      <c r="A87" s="162" t="inlineStr">
        <is>
          <t>Sleep Deficit</t>
        </is>
      </c>
      <c r="B87" s="161" t="n"/>
      <c r="C87" s="56" t="n"/>
      <c r="D87" s="34" t="inlineStr">
        <is>
          <t>&lt; 7 Hours / Night</t>
        </is>
      </c>
      <c r="E87" s="161" t="n"/>
      <c r="F87" s="56" t="n"/>
      <c r="G87" s="33">
        <f>COUNTIF(E47:AI47, "&lt;7") - COUNTIF(E47:AI47, "")</f>
        <v/>
      </c>
      <c r="H87" s="161" t="n"/>
      <c r="I87" s="56" t="n"/>
      <c r="J87" s="34">
        <f>IFERROR(TEXT(AVERAGEIFS(E47:AI47, E47:AI47, "&lt;7", E47:AI47, "&gt;0"), "0.0") &amp; " hrs", "-")</f>
        <v/>
      </c>
      <c r="K87" s="161" t="n"/>
      <c r="L87" s="161" t="n"/>
      <c r="M87" s="56" t="n"/>
      <c r="N87" s="163">
        <f>IFERROR(AVERAGEIFS(E39:AI39, E47:AI47, "&lt;7", E39:AI39, "&gt;0"), 0)</f>
        <v/>
      </c>
      <c r="O87" s="161" t="n"/>
      <c r="P87" s="161" t="n"/>
      <c r="Q87" s="56" t="n"/>
      <c r="R87" s="160">
        <f>IFERROR(TEXT(N86 - N87, "+0.0%;-0.0%;0.0%") &amp; " Rest Advantage", "-")</f>
        <v/>
      </c>
      <c r="S87" s="161" t="n"/>
      <c r="T87" s="161" t="n"/>
      <c r="U87" s="56" t="n"/>
    </row>
    <row r="88" ht="18" customHeight="1">
      <c r="A88" s="164">
        <f>IF(AND(ISNUMBER(N86), ISNUMBER(N87), N86&gt;0, N87&gt;0), "💡 Sleep Correlation Insight: You complete " &amp; TEXT(ABS(N86-N87), "0.0%") &amp; IF(N86&gt;=N87, " MORE habits on days with 7+ hours of sleep!", " fewer habits on days with 7+ hours of sleep."), "💡 Log both habits and sleep hours daily to unlock automatic AI correlation insights!")</f>
        <v/>
      </c>
      <c r="B88" s="161" t="n"/>
      <c r="C88" s="161" t="n"/>
      <c r="D88" s="161" t="n"/>
      <c r="E88" s="161" t="n"/>
      <c r="F88" s="161" t="n"/>
      <c r="G88" s="161" t="n"/>
      <c r="H88" s="161" t="n"/>
      <c r="I88" s="161" t="n"/>
      <c r="J88" s="161" t="n"/>
      <c r="K88" s="161" t="n"/>
      <c r="L88" s="161" t="n"/>
      <c r="M88" s="161" t="n"/>
      <c r="N88" s="161" t="n"/>
      <c r="O88" s="161" t="n"/>
      <c r="P88" s="161" t="n"/>
      <c r="Q88" s="161" t="n"/>
      <c r="R88" s="161" t="n"/>
      <c r="S88" s="161" t="n"/>
      <c r="T88" s="161" t="n"/>
      <c r="U88" s="161" t="n"/>
      <c r="V88" s="161" t="n"/>
      <c r="W88" s="161" t="n"/>
      <c r="X88" s="161" t="n"/>
      <c r="Y88" s="161" t="n"/>
      <c r="Z88" s="161" t="n"/>
      <c r="AA88" s="161" t="n"/>
      <c r="AB88" s="161" t="n"/>
      <c r="AC88" s="161" t="n"/>
      <c r="AD88" s="161" t="n"/>
      <c r="AE88" s="161" t="n"/>
      <c r="AF88" s="161" t="n"/>
      <c r="AG88" s="161" t="n"/>
      <c r="AH88" s="161" t="n"/>
      <c r="AI88" s="161" t="n"/>
      <c r="AJ88" s="161" t="n"/>
      <c r="AK88" s="161" t="n"/>
      <c r="AL88" s="56" t="n"/>
    </row>
    <row r="89" ht="10" customHeight="1"/>
    <row r="90">
      <c r="A90" s="43" t="inlineStr">
        <is>
          <t>STANDARDIZED DATA BRIDGE (FOR ANNUAL &amp; QUARTERLY REVIEW SHEETS)</t>
        </is>
      </c>
      <c r="B90" s="44" t="n"/>
      <c r="C90" s="44" t="n"/>
      <c r="D90" s="44" t="n"/>
      <c r="E90" s="44" t="n"/>
      <c r="F90" s="44" t="n"/>
      <c r="G90" s="44" t="n"/>
      <c r="H90" s="44" t="n"/>
      <c r="I90" s="44" t="n"/>
      <c r="J90" s="44" t="n"/>
      <c r="K90" s="44" t="n"/>
      <c r="L90" s="44" t="n"/>
      <c r="M90" s="44" t="n"/>
      <c r="N90" s="44" t="n"/>
      <c r="O90" s="44" t="n"/>
      <c r="P90" s="44" t="n"/>
      <c r="Q90" s="44" t="n"/>
      <c r="R90" s="44" t="n"/>
      <c r="S90" s="44" t="n"/>
      <c r="T90" s="44" t="n"/>
      <c r="U90" s="44" t="n"/>
      <c r="V90" s="44" t="n"/>
      <c r="W90" s="44" t="n"/>
      <c r="X90" s="44" t="n"/>
      <c r="Y90" s="44" t="n"/>
      <c r="Z90" s="44" t="n"/>
      <c r="AA90" s="44" t="n"/>
      <c r="AB90" s="44" t="n"/>
      <c r="AC90" s="44" t="n"/>
      <c r="AD90" s="44" t="n"/>
      <c r="AE90" s="44" t="n"/>
      <c r="AF90" s="44" t="n"/>
      <c r="AG90" s="44" t="n"/>
      <c r="AH90" s="44" t="n"/>
      <c r="AI90" s="44" t="n"/>
      <c r="AJ90" s="44" t="n"/>
      <c r="AK90" s="44" t="n"/>
      <c r="AL90" s="44" t="n"/>
    </row>
    <row r="91" ht="15" customHeight="1">
      <c r="A91" s="53" t="inlineStr">
        <is>
          <t>Month</t>
        </is>
      </c>
      <c r="B91" s="54" t="n"/>
      <c r="C91" s="53" t="inlineStr">
        <is>
          <t>Year</t>
        </is>
      </c>
      <c r="D91" s="54" t="n"/>
      <c r="E91" s="53" t="inlineStr">
        <is>
          <t>Active Habits</t>
        </is>
      </c>
      <c r="F91" s="54" t="n"/>
      <c r="G91" s="53" t="inlineStr">
        <is>
          <t>Target Days</t>
        </is>
      </c>
      <c r="H91" s="54" t="n"/>
      <c r="I91" s="53" t="inlineStr">
        <is>
          <t>Done Checks</t>
        </is>
      </c>
      <c r="J91" s="54" t="n"/>
      <c r="K91" s="53" t="inlineStr">
        <is>
          <t>Success %</t>
        </is>
      </c>
      <c r="L91" s="54" t="n"/>
      <c r="M91" s="53" t="inlineStr">
        <is>
          <t>Perfect Days</t>
        </is>
      </c>
      <c r="N91" s="54" t="n"/>
      <c r="O91" s="53" t="inlineStr">
        <is>
          <t>Avg Sleep</t>
        </is>
      </c>
      <c r="P91" s="54" t="n"/>
      <c r="Q91" s="53" t="inlineStr">
        <is>
          <t>Best Week</t>
        </is>
      </c>
      <c r="R91" s="54" t="n"/>
      <c r="S91" s="54" t="n"/>
      <c r="T91" s="53" t="inlineStr">
        <is>
          <t>Top Life Domain</t>
        </is>
      </c>
      <c r="U91" s="54" t="n"/>
      <c r="V91" s="54" t="n"/>
      <c r="W91" s="54" t="n"/>
    </row>
    <row r="92" ht="16" customHeight="1">
      <c r="A92" s="165" t="inlineStr">
        <is>
          <t>Dec</t>
        </is>
      </c>
      <c r="B92" s="56" t="n"/>
      <c r="C92" s="165" t="n">
        <v>2028</v>
      </c>
      <c r="D92" s="56" t="n"/>
      <c r="E92" s="166">
        <f>COUNTA(B18:B37)</f>
        <v/>
      </c>
      <c r="F92" s="56" t="n"/>
      <c r="G92" s="166">
        <f>SUM(D18:D37)</f>
        <v/>
      </c>
      <c r="H92" s="56" t="n"/>
      <c r="I92" s="166">
        <f>SUM(AM18:AM37)</f>
        <v/>
      </c>
      <c r="J92" s="56" t="n"/>
      <c r="K92" s="167">
        <f>IF(G92&gt;0, I92/G92, 0)</f>
        <v/>
      </c>
      <c r="L92" s="56" t="n"/>
      <c r="M92" s="166">
        <f>COUNTIF(E39:AI39, 1)</f>
        <v/>
      </c>
      <c r="N92" s="56" t="n"/>
      <c r="O92" s="168">
        <f>IFERROR(AVERAGE(E47:AI47), 0)</f>
        <v/>
      </c>
      <c r="P92" s="56" t="n"/>
      <c r="Q92" s="166">
        <f>INDEX(A76:A80, MATCH(MAX(E76:E80), E76:E80, 0))</f>
        <v/>
      </c>
      <c r="R92" s="161" t="n"/>
      <c r="S92" s="56" t="n"/>
      <c r="T92" s="166">
        <f>INDEX(N76:N80, MATCH(MAX(S76:S80), S76:S80, 0))</f>
        <v/>
      </c>
      <c r="U92" s="161" t="n"/>
      <c r="V92" s="161" t="n"/>
      <c r="W92" s="56" t="n"/>
    </row>
    <row r="93" ht="14" customHeight="1">
      <c r="A93" s="169" t="inlineStr">
        <is>
          <t>📋 Note: Reference or copy Row 92 directly into an Annual / Quarterly review dashboard to track yearly habit trends.</t>
        </is>
      </c>
    </row>
    <row r="94" ht="8" customHeight="1"/>
    <row r="95">
      <c r="A95" s="170" t="inlineStr">
        <is>
          <t>🏆 MONTHLY WINS &amp; HIGHLIGHTS</t>
        </is>
      </c>
      <c r="J95" s="171" t="inlineStr">
        <is>
          <t>⚠️ FRICTION POINTS &amp; ROOT CAUSES</t>
        </is>
      </c>
      <c r="S95" s="172" t="inlineStr">
        <is>
          <t>🎯 3 KEY ADJUSTMENTS FOR NEXT MONTH</t>
        </is>
      </c>
    </row>
    <row r="96">
      <c r="A96" s="173" t="inlineStr">
        <is>
          <t>1. What went exceptionally well this month?
2. Which habit felt effortless and consistent?
3. Major milestone achieved:</t>
        </is>
      </c>
      <c r="B96" s="174" t="n"/>
      <c r="C96" s="174" t="n"/>
      <c r="D96" s="174" t="n"/>
      <c r="E96" s="174" t="n"/>
      <c r="F96" s="174" t="n"/>
      <c r="G96" s="174" t="n"/>
      <c r="H96" s="174" t="n"/>
      <c r="J96" s="175" t="inlineStr">
        <is>
          <t>1. What caused missed or skipped days?
2. Main triggers / energy drains encountered:
3. Which habit had the lowest consistency and why?</t>
        </is>
      </c>
      <c r="K96" s="176" t="n"/>
      <c r="L96" s="176" t="n"/>
      <c r="M96" s="176" t="n"/>
      <c r="N96" s="176" t="n"/>
      <c r="O96" s="176" t="n"/>
      <c r="P96" s="176" t="n"/>
      <c r="Q96" s="176" t="n"/>
      <c r="S96" s="177" t="inlineStr">
        <is>
          <t>1. Habit Stacking or time adjustment for next month:
2. Environment design change to eliminate friction:
3. One non-negotiable priority protocol:</t>
        </is>
      </c>
      <c r="T96" s="178" t="n"/>
      <c r="U96" s="178" t="n"/>
      <c r="V96" s="178" t="n"/>
      <c r="W96" s="178" t="n"/>
      <c r="X96" s="178" t="n"/>
      <c r="Y96" s="178" t="n"/>
      <c r="Z96" s="178" t="n"/>
    </row>
    <row r="97">
      <c r="A97" s="174" t="n"/>
      <c r="B97" s="174" t="n"/>
      <c r="C97" s="174" t="n"/>
      <c r="D97" s="174" t="n"/>
      <c r="E97" s="174" t="n"/>
      <c r="F97" s="174" t="n"/>
      <c r="G97" s="174" t="n"/>
      <c r="H97" s="174" t="n"/>
      <c r="J97" s="176" t="n"/>
      <c r="K97" s="176" t="n"/>
      <c r="L97" s="176" t="n"/>
      <c r="M97" s="176" t="n"/>
      <c r="N97" s="176" t="n"/>
      <c r="O97" s="176" t="n"/>
      <c r="P97" s="176" t="n"/>
      <c r="Q97" s="176" t="n"/>
      <c r="S97" s="178" t="n"/>
      <c r="T97" s="178" t="n"/>
      <c r="U97" s="178" t="n"/>
      <c r="V97" s="178" t="n"/>
      <c r="W97" s="178" t="n"/>
      <c r="X97" s="178" t="n"/>
      <c r="Y97" s="178" t="n"/>
      <c r="Z97" s="178" t="n"/>
    </row>
    <row r="98">
      <c r="A98" s="174" t="n"/>
      <c r="B98" s="174" t="n"/>
      <c r="C98" s="174" t="n"/>
      <c r="D98" s="174" t="n"/>
      <c r="E98" s="174" t="n"/>
      <c r="F98" s="174" t="n"/>
      <c r="G98" s="174" t="n"/>
      <c r="H98" s="174" t="n"/>
      <c r="J98" s="176" t="n"/>
      <c r="K98" s="176" t="n"/>
      <c r="L98" s="176" t="n"/>
      <c r="M98" s="176" t="n"/>
      <c r="N98" s="176" t="n"/>
      <c r="O98" s="176" t="n"/>
      <c r="P98" s="176" t="n"/>
      <c r="Q98" s="176" t="n"/>
      <c r="S98" s="178" t="n"/>
      <c r="T98" s="178" t="n"/>
      <c r="U98" s="178" t="n"/>
      <c r="V98" s="178" t="n"/>
      <c r="W98" s="178" t="n"/>
      <c r="X98" s="178" t="n"/>
      <c r="Y98" s="178" t="n"/>
      <c r="Z98" s="178" t="n"/>
    </row>
    <row r="99">
      <c r="A99" s="174" t="n"/>
      <c r="B99" s="174" t="n"/>
      <c r="C99" s="174" t="n"/>
      <c r="D99" s="174" t="n"/>
      <c r="E99" s="174" t="n"/>
      <c r="F99" s="174" t="n"/>
      <c r="G99" s="174" t="n"/>
      <c r="H99" s="174" t="n"/>
      <c r="J99" s="176" t="n"/>
      <c r="K99" s="176" t="n"/>
      <c r="L99" s="176" t="n"/>
      <c r="M99" s="176" t="n"/>
      <c r="N99" s="176" t="n"/>
      <c r="O99" s="176" t="n"/>
      <c r="P99" s="176" t="n"/>
      <c r="Q99" s="176" t="n"/>
      <c r="S99" s="178" t="n"/>
      <c r="T99" s="178" t="n"/>
      <c r="U99" s="178" t="n"/>
      <c r="V99" s="178" t="n"/>
      <c r="W99" s="178" t="n"/>
      <c r="X99" s="178" t="n"/>
      <c r="Y99" s="178" t="n"/>
      <c r="Z99" s="178" t="n"/>
    </row>
    <row r="100">
      <c r="A100" s="174" t="n"/>
      <c r="B100" s="174" t="n"/>
      <c r="C100" s="174" t="n"/>
      <c r="D100" s="174" t="n"/>
      <c r="E100" s="174" t="n"/>
      <c r="F100" s="174" t="n"/>
      <c r="G100" s="174" t="n"/>
      <c r="H100" s="174" t="n"/>
      <c r="J100" s="176" t="n"/>
      <c r="K100" s="176" t="n"/>
      <c r="L100" s="176" t="n"/>
      <c r="M100" s="176" t="n"/>
      <c r="N100" s="176" t="n"/>
      <c r="O100" s="176" t="n"/>
      <c r="P100" s="176" t="n"/>
      <c r="Q100" s="176" t="n"/>
      <c r="S100" s="178" t="n"/>
      <c r="T100" s="178" t="n"/>
      <c r="U100" s="178" t="n"/>
      <c r="V100" s="178" t="n"/>
      <c r="W100" s="178" t="n"/>
      <c r="X100" s="178" t="n"/>
      <c r="Y100" s="178" t="n"/>
      <c r="Z100" s="178" t="n"/>
    </row>
    <row r="101">
      <c r="A101" s="174" t="n"/>
      <c r="B101" s="174" t="n"/>
      <c r="C101" s="174" t="n"/>
      <c r="D101" s="174" t="n"/>
      <c r="E101" s="174" t="n"/>
      <c r="F101" s="174" t="n"/>
      <c r="G101" s="174" t="n"/>
      <c r="H101" s="174" t="n"/>
      <c r="J101" s="176" t="n"/>
      <c r="K101" s="176" t="n"/>
      <c r="L101" s="176" t="n"/>
      <c r="M101" s="176" t="n"/>
      <c r="N101" s="176" t="n"/>
      <c r="O101" s="176" t="n"/>
      <c r="P101" s="176" t="n"/>
      <c r="Q101" s="176" t="n"/>
      <c r="S101" s="178" t="n"/>
      <c r="T101" s="178" t="n"/>
      <c r="U101" s="178" t="n"/>
      <c r="V101" s="178" t="n"/>
      <c r="W101" s="178" t="n"/>
      <c r="X101" s="178" t="n"/>
      <c r="Y101" s="178" t="n"/>
      <c r="Z101" s="178" t="n"/>
    </row>
    <row r="102">
      <c r="A102" s="174" t="n"/>
      <c r="B102" s="174" t="n"/>
      <c r="C102" s="174" t="n"/>
      <c r="D102" s="174" t="n"/>
      <c r="E102" s="174" t="n"/>
      <c r="F102" s="174" t="n"/>
      <c r="G102" s="174" t="n"/>
      <c r="H102" s="174" t="n"/>
      <c r="J102" s="176" t="n"/>
      <c r="K102" s="176" t="n"/>
      <c r="L102" s="176" t="n"/>
      <c r="M102" s="176" t="n"/>
      <c r="N102" s="176" t="n"/>
      <c r="O102" s="176" t="n"/>
      <c r="P102" s="176" t="n"/>
      <c r="Q102" s="176" t="n"/>
      <c r="S102" s="178" t="n"/>
      <c r="T102" s="178" t="n"/>
      <c r="U102" s="178" t="n"/>
      <c r="V102" s="178" t="n"/>
      <c r="W102" s="178" t="n"/>
      <c r="X102" s="178" t="n"/>
      <c r="Y102" s="178" t="n"/>
      <c r="Z102" s="178" t="n"/>
    </row>
    <row r="103">
      <c r="A103" s="174" t="n"/>
      <c r="B103" s="174" t="n"/>
      <c r="C103" s="174" t="n"/>
      <c r="D103" s="174" t="n"/>
      <c r="E103" s="174" t="n"/>
      <c r="F103" s="174" t="n"/>
      <c r="G103" s="174" t="n"/>
      <c r="H103" s="174" t="n"/>
      <c r="J103" s="176" t="n"/>
      <c r="K103" s="176" t="n"/>
      <c r="L103" s="176" t="n"/>
      <c r="M103" s="176" t="n"/>
      <c r="N103" s="176" t="n"/>
      <c r="O103" s="176" t="n"/>
      <c r="P103" s="176" t="n"/>
      <c r="Q103" s="176" t="n"/>
      <c r="S103" s="178" t="n"/>
      <c r="T103" s="178" t="n"/>
      <c r="U103" s="178" t="n"/>
      <c r="V103" s="178" t="n"/>
      <c r="W103" s="178" t="n"/>
      <c r="X103" s="178" t="n"/>
      <c r="Y103" s="178" t="n"/>
      <c r="Z103" s="178" t="n"/>
    </row>
  </sheetData>
  <sheetProtection selectLockedCells="1" selectUnlockedCells="1" sheet="1" objects="0" insertRows="1" insertHyperlinks="1" autoFilter="1" scenarios="0" formatColumns="1" deleteColumns="1" insertColumns="1" pivotTables="1" deleteRows="1" formatCells="1" formatRows="1" sort="1"/>
  <mergeCells count="94">
    <mergeCell ref="A9:N9"/>
    <mergeCell ref="N76:O76"/>
    <mergeCell ref="F67:I67"/>
    <mergeCell ref="G87:I87"/>
    <mergeCell ref="A16:A17"/>
    <mergeCell ref="A45:D46"/>
    <mergeCell ref="C16:C17"/>
    <mergeCell ref="N75:O75"/>
    <mergeCell ref="N77:O77"/>
    <mergeCell ref="AE2:AL2"/>
    <mergeCell ref="P9:AL9"/>
    <mergeCell ref="P68:S70"/>
    <mergeCell ref="D16:D17"/>
    <mergeCell ref="N85:Q85"/>
    <mergeCell ref="A95:H95"/>
    <mergeCell ref="A84:AL84"/>
    <mergeCell ref="Q91:S91"/>
    <mergeCell ref="E91:F91"/>
    <mergeCell ref="A8:N8"/>
    <mergeCell ref="A42:AL42"/>
    <mergeCell ref="G91:H91"/>
    <mergeCell ref="J86:M86"/>
    <mergeCell ref="H3:AD3"/>
    <mergeCell ref="K67:N67"/>
    <mergeCell ref="S95:Z95"/>
    <mergeCell ref="N79:O79"/>
    <mergeCell ref="K92:L92"/>
    <mergeCell ref="C92:D92"/>
    <mergeCell ref="M92:N92"/>
    <mergeCell ref="F71:I71"/>
    <mergeCell ref="A88:AL88"/>
    <mergeCell ref="K68:N70"/>
    <mergeCell ref="T91:W91"/>
    <mergeCell ref="A41:AL41"/>
    <mergeCell ref="A90:AL90"/>
    <mergeCell ref="J95:Q95"/>
    <mergeCell ref="D85:F85"/>
    <mergeCell ref="N74:S74"/>
    <mergeCell ref="H2:AD2"/>
    <mergeCell ref="F68:I70"/>
    <mergeCell ref="A91:B91"/>
    <mergeCell ref="N78:O78"/>
    <mergeCell ref="C91:D91"/>
    <mergeCell ref="M91:N91"/>
    <mergeCell ref="O91:P91"/>
    <mergeCell ref="R86:U86"/>
    <mergeCell ref="N80:O80"/>
    <mergeCell ref="B16:B17"/>
    <mergeCell ref="A71:D71"/>
    <mergeCell ref="J85:M85"/>
    <mergeCell ref="D86:F86"/>
    <mergeCell ref="A92:B92"/>
    <mergeCell ref="N87:Q87"/>
    <mergeCell ref="A1:B1"/>
    <mergeCell ref="E92:F92"/>
    <mergeCell ref="AL16:AL17"/>
    <mergeCell ref="A68:D70"/>
    <mergeCell ref="P71:S71"/>
    <mergeCell ref="A86:C86"/>
    <mergeCell ref="D87:F87"/>
    <mergeCell ref="O92:P92"/>
    <mergeCell ref="A6:N6"/>
    <mergeCell ref="A39:D39"/>
    <mergeCell ref="P8:AL8"/>
    <mergeCell ref="P7:AL7"/>
    <mergeCell ref="G86:I86"/>
    <mergeCell ref="A96:H103"/>
    <mergeCell ref="P67:S67"/>
    <mergeCell ref="T92:W92"/>
    <mergeCell ref="R85:U85"/>
    <mergeCell ref="K71:N71"/>
    <mergeCell ref="S96:Z103"/>
    <mergeCell ref="A93:AL93"/>
    <mergeCell ref="A38:D38"/>
    <mergeCell ref="A67:D67"/>
    <mergeCell ref="I91:J91"/>
    <mergeCell ref="A85:C85"/>
    <mergeCell ref="K91:L91"/>
    <mergeCell ref="N86:Q86"/>
    <mergeCell ref="A7:N7"/>
    <mergeCell ref="P6:AL6"/>
    <mergeCell ref="A74:E74"/>
    <mergeCell ref="G85:I85"/>
    <mergeCell ref="G92:H92"/>
    <mergeCell ref="I92:J92"/>
    <mergeCell ref="R87:U87"/>
    <mergeCell ref="AK16:AK17"/>
    <mergeCell ref="J87:M87"/>
    <mergeCell ref="AJ16:AJ17"/>
    <mergeCell ref="J96:Q103"/>
    <mergeCell ref="A12:AL14"/>
    <mergeCell ref="Q92:S92"/>
    <mergeCell ref="A87:C87"/>
    <mergeCell ref="A47:D47"/>
  </mergeCells>
  <conditionalFormatting sqref="AJ18:AJ37">
    <cfRule type="dataBar" priority="1">
      <dataBar>
        <cfvo type="num" val="0"/>
        <cfvo type="num" val="1"/>
        <color rgb="0010B981"/>
      </dataBar>
    </cfRule>
  </conditionalFormatting>
  <conditionalFormatting sqref="E18:AI37">
    <cfRule type="cellIs" priority="2" operator="equal" dxfId="0">
      <formula>"✓"</formula>
    </cfRule>
    <cfRule type="cellIs" priority="3" operator="equal" dxfId="0">
      <formula>"✔"</formula>
    </cfRule>
    <cfRule type="cellIs" priority="4" operator="equal" dxfId="1">
      <formula>"✗"</formula>
    </cfRule>
    <cfRule type="cellIs" priority="5" operator="equal" dxfId="1">
      <formula>"x"</formula>
    </cfRule>
    <cfRule type="cellIs" priority="6" operator="equal" dxfId="1">
      <formula>"X"</formula>
    </cfRule>
  </conditionalFormatting>
  <conditionalFormatting sqref="E16:E17">
    <cfRule type="expression" priority="7" dxfId="2">
      <formula>AND(DAY(TODAY())=1, MONTH(TODAY())=12, YEAR(TODAY())=2028)</formula>
    </cfRule>
  </conditionalFormatting>
  <conditionalFormatting sqref="F16:F17">
    <cfRule type="expression" priority="8" dxfId="2">
      <formula>AND(DAY(TODAY())=2, MONTH(TODAY())=12, YEAR(TODAY())=2028)</formula>
    </cfRule>
  </conditionalFormatting>
  <conditionalFormatting sqref="G16:G17">
    <cfRule type="expression" priority="9" dxfId="2">
      <formula>AND(DAY(TODAY())=3, MONTH(TODAY())=12, YEAR(TODAY())=2028)</formula>
    </cfRule>
  </conditionalFormatting>
  <conditionalFormatting sqref="H16:H17">
    <cfRule type="expression" priority="10" dxfId="2">
      <formula>AND(DAY(TODAY())=4, MONTH(TODAY())=12, YEAR(TODAY())=2028)</formula>
    </cfRule>
  </conditionalFormatting>
  <conditionalFormatting sqref="I16:I17">
    <cfRule type="expression" priority="11" dxfId="2">
      <formula>AND(DAY(TODAY())=5, MONTH(TODAY())=12, YEAR(TODAY())=2028)</formula>
    </cfRule>
  </conditionalFormatting>
  <conditionalFormatting sqref="J16:J17">
    <cfRule type="expression" priority="12" dxfId="2">
      <formula>AND(DAY(TODAY())=6, MONTH(TODAY())=12, YEAR(TODAY())=2028)</formula>
    </cfRule>
  </conditionalFormatting>
  <conditionalFormatting sqref="K16:K17">
    <cfRule type="expression" priority="13" dxfId="2">
      <formula>AND(DAY(TODAY())=7, MONTH(TODAY())=12, YEAR(TODAY())=2028)</formula>
    </cfRule>
  </conditionalFormatting>
  <conditionalFormatting sqref="L16:L17">
    <cfRule type="expression" priority="14" dxfId="2">
      <formula>AND(DAY(TODAY())=8, MONTH(TODAY())=12, YEAR(TODAY())=2028)</formula>
    </cfRule>
  </conditionalFormatting>
  <conditionalFormatting sqref="M16:M17">
    <cfRule type="expression" priority="15" dxfId="2">
      <formula>AND(DAY(TODAY())=9, MONTH(TODAY())=12, YEAR(TODAY())=2028)</formula>
    </cfRule>
  </conditionalFormatting>
  <conditionalFormatting sqref="N16:N17">
    <cfRule type="expression" priority="16" dxfId="2">
      <formula>AND(DAY(TODAY())=10, MONTH(TODAY())=12, YEAR(TODAY())=2028)</formula>
    </cfRule>
  </conditionalFormatting>
  <conditionalFormatting sqref="O16:O17">
    <cfRule type="expression" priority="17" dxfId="2">
      <formula>AND(DAY(TODAY())=11, MONTH(TODAY())=12, YEAR(TODAY())=2028)</formula>
    </cfRule>
  </conditionalFormatting>
  <conditionalFormatting sqref="P16:P17">
    <cfRule type="expression" priority="18" dxfId="2">
      <formula>AND(DAY(TODAY())=12, MONTH(TODAY())=12, YEAR(TODAY())=2028)</formula>
    </cfRule>
  </conditionalFormatting>
  <conditionalFormatting sqref="Q16:Q17">
    <cfRule type="expression" priority="19" dxfId="2">
      <formula>AND(DAY(TODAY())=13, MONTH(TODAY())=12, YEAR(TODAY())=2028)</formula>
    </cfRule>
  </conditionalFormatting>
  <conditionalFormatting sqref="R16:R17">
    <cfRule type="expression" priority="20" dxfId="2">
      <formula>AND(DAY(TODAY())=14, MONTH(TODAY())=12, YEAR(TODAY())=2028)</formula>
    </cfRule>
  </conditionalFormatting>
  <conditionalFormatting sqref="S16:S17">
    <cfRule type="expression" priority="21" dxfId="2">
      <formula>AND(DAY(TODAY())=15, MONTH(TODAY())=12, YEAR(TODAY())=2028)</formula>
    </cfRule>
  </conditionalFormatting>
  <conditionalFormatting sqref="T16:T17">
    <cfRule type="expression" priority="22" dxfId="2">
      <formula>AND(DAY(TODAY())=16, MONTH(TODAY())=12, YEAR(TODAY())=2028)</formula>
    </cfRule>
  </conditionalFormatting>
  <conditionalFormatting sqref="U16:U17">
    <cfRule type="expression" priority="23" dxfId="2">
      <formula>AND(DAY(TODAY())=17, MONTH(TODAY())=12, YEAR(TODAY())=2028)</formula>
    </cfRule>
  </conditionalFormatting>
  <conditionalFormatting sqref="V16:V17">
    <cfRule type="expression" priority="24" dxfId="2">
      <formula>AND(DAY(TODAY())=18, MONTH(TODAY())=12, YEAR(TODAY())=2028)</formula>
    </cfRule>
  </conditionalFormatting>
  <conditionalFormatting sqref="W16:W17">
    <cfRule type="expression" priority="25" dxfId="2">
      <formula>AND(DAY(TODAY())=19, MONTH(TODAY())=12, YEAR(TODAY())=2028)</formula>
    </cfRule>
  </conditionalFormatting>
  <conditionalFormatting sqref="X16:X17">
    <cfRule type="expression" priority="26" dxfId="2">
      <formula>AND(DAY(TODAY())=20, MONTH(TODAY())=12, YEAR(TODAY())=2028)</formula>
    </cfRule>
  </conditionalFormatting>
  <conditionalFormatting sqref="Y16:Y17">
    <cfRule type="expression" priority="27" dxfId="2">
      <formula>AND(DAY(TODAY())=21, MONTH(TODAY())=12, YEAR(TODAY())=2028)</formula>
    </cfRule>
  </conditionalFormatting>
  <conditionalFormatting sqref="Z16:Z17">
    <cfRule type="expression" priority="28" dxfId="2">
      <formula>AND(DAY(TODAY())=22, MONTH(TODAY())=12, YEAR(TODAY())=2028)</formula>
    </cfRule>
  </conditionalFormatting>
  <conditionalFormatting sqref="AA16:AA17">
    <cfRule type="expression" priority="29" dxfId="2">
      <formula>AND(DAY(TODAY())=23, MONTH(TODAY())=12, YEAR(TODAY())=2028)</formula>
    </cfRule>
  </conditionalFormatting>
  <conditionalFormatting sqref="AB16:AB17">
    <cfRule type="expression" priority="30" dxfId="2">
      <formula>AND(DAY(TODAY())=24, MONTH(TODAY())=12, YEAR(TODAY())=2028)</formula>
    </cfRule>
  </conditionalFormatting>
  <conditionalFormatting sqref="AC16:AC17">
    <cfRule type="expression" priority="31" dxfId="2">
      <formula>AND(DAY(TODAY())=25, MONTH(TODAY())=12, YEAR(TODAY())=2028)</formula>
    </cfRule>
  </conditionalFormatting>
  <conditionalFormatting sqref="AD16:AD17">
    <cfRule type="expression" priority="32" dxfId="2">
      <formula>AND(DAY(TODAY())=26, MONTH(TODAY())=12, YEAR(TODAY())=2028)</formula>
    </cfRule>
  </conditionalFormatting>
  <conditionalFormatting sqref="AE16:AE17">
    <cfRule type="expression" priority="33" dxfId="2">
      <formula>AND(DAY(TODAY())=27, MONTH(TODAY())=12, YEAR(TODAY())=2028)</formula>
    </cfRule>
  </conditionalFormatting>
  <conditionalFormatting sqref="AF16:AF17">
    <cfRule type="expression" priority="34" dxfId="2">
      <formula>AND(DAY(TODAY())=28, MONTH(TODAY())=12, YEAR(TODAY())=2028)</formula>
    </cfRule>
  </conditionalFormatting>
  <conditionalFormatting sqref="AG16:AG17">
    <cfRule type="expression" priority="35" dxfId="2">
      <formula>AND(DAY(TODAY())=29, MONTH(TODAY())=12, YEAR(TODAY())=2028)</formula>
    </cfRule>
  </conditionalFormatting>
  <conditionalFormatting sqref="AH16:AH17">
    <cfRule type="expression" priority="36" dxfId="2">
      <formula>AND(DAY(TODAY())=30, MONTH(TODAY())=12, YEAR(TODAY())=2028)</formula>
    </cfRule>
  </conditionalFormatting>
  <conditionalFormatting sqref="AI16:AI17">
    <cfRule type="expression" priority="37" dxfId="2">
      <formula>AND(DAY(TODAY())=31, MONTH(TODAY())=12, YEAR(TODAY())=2028)</formula>
    </cfRule>
  </conditionalFormatting>
  <dataValidations count="4">
    <dataValidation sqref="C18:C37" showDropDown="0" showInputMessage="0" showErrorMessage="0" allowBlank="1" type="list">
      <formula1>"Health &amp; Fitness,Mindset &amp; Learning,Career &amp; Focus,Personal &amp; Home,Finance &amp; Wealth,Other"</formula1>
    </dataValidation>
    <dataValidation sqref="D18:D37" showDropDown="0" showInputMessage="0" showErrorMessage="0" allowBlank="1" type="list">
      <formula1>"1,2,3,4,5,6,7,8,9,10,11,12,13,14,15,16,17,18,19,20,21,22,23,24,25,26,27,28,29,30,31"</formula1>
    </dataValidation>
    <dataValidation sqref="E18:AI37" showDropDown="0" showInputMessage="0" showErrorMessage="0" allowBlank="1" type="list">
      <formula1>"✓,✗"</formula1>
    </dataValidation>
    <dataValidation sqref="E47:AI47" showDropDown="0" showInputMessage="0" showErrorMessage="0" allowBlank="1" type="list">
      <formula1>"1,2,3,4,5,6,7,8,9,10,11,12,13,14,15,16,17,18,19,20,21,22,23,24"</formula1>
    </dataValidation>
  </dataValidations>
  <hyperlinks>
    <hyperlink xmlns:r="http://schemas.openxmlformats.org/officeDocument/2006/relationships" ref="A1" r:id="rId1"/>
    <hyperlink xmlns:r="http://schemas.openxmlformats.org/officeDocument/2006/relationships" ref="C1" r:id="rId2"/>
    <hyperlink xmlns:r="http://schemas.openxmlformats.org/officeDocument/2006/relationships" ref="D1" r:id="rId3"/>
    <hyperlink xmlns:r="http://schemas.openxmlformats.org/officeDocument/2006/relationships" ref="E1" r:id="rId4"/>
    <hyperlink xmlns:r="http://schemas.openxmlformats.org/officeDocument/2006/relationships" ref="F1" r:id="rId5"/>
    <hyperlink xmlns:r="http://schemas.openxmlformats.org/officeDocument/2006/relationships" ref="G1" r:id="rId6"/>
    <hyperlink xmlns:r="http://schemas.openxmlformats.org/officeDocument/2006/relationships" ref="H1" r:id="rId7"/>
    <hyperlink xmlns:r="http://schemas.openxmlformats.org/officeDocument/2006/relationships" ref="I1" r:id="rId8"/>
    <hyperlink xmlns:r="http://schemas.openxmlformats.org/officeDocument/2006/relationships" ref="J1" r:id="rId9"/>
    <hyperlink xmlns:r="http://schemas.openxmlformats.org/officeDocument/2006/relationships" ref="K1" r:id="rId10"/>
  </hyperlinks>
  <printOptions horizontalCentered="1" verticalCentered="0"/>
  <pageMargins left="0.75" right="0.75" top="1" bottom="1" header="0.5" footer="0.5"/>
  <pageSetup orientation="landscape" paperSize="9" fitToHeight="0" fitToWidth="1"/>
  <drawing xmlns:r="http://schemas.openxmlformats.org/officeDocument/2006/relationships" r:id="rId11"/>
</worksheet>
</file>

<file path=xl/worksheets/sheet32.xml><?xml version="1.0" encoding="utf-8"?>
<worksheet xmlns="http://schemas.openxmlformats.org/spreadsheetml/2006/main">
  <sheetPr>
    <outlinePr summaryBelow="1" summaryRight="1"/>
    <pageSetUpPr fitToPage="1"/>
  </sheetPr>
  <dimension ref="A1:AM103"/>
  <sheetViews>
    <sheetView showGridLines="1" workbookViewId="0">
      <selection activeCell="A1" sqref="A1"/>
    </sheetView>
  </sheetViews>
  <sheetFormatPr baseColWidth="8" defaultRowHeight="15"/>
  <cols>
    <col width="6" customWidth="1" min="1" max="1"/>
    <col width="25" customWidth="1" min="2" max="2"/>
    <col width="16.5" customWidth="1" min="3" max="3"/>
    <col width="8" customWidth="1" min="4" max="4"/>
    <col width="4.8" customWidth="1" min="5" max="5"/>
    <col width="4.8" customWidth="1" min="6" max="6"/>
    <col width="4.8" customWidth="1" min="7" max="7"/>
    <col width="4.8" customWidth="1" min="8" max="8"/>
    <col width="4.8" customWidth="1" min="9" max="9"/>
    <col width="4.8" customWidth="1" min="10" max="10"/>
    <col width="4.8" customWidth="1" min="11" max="11"/>
    <col width="4.8" customWidth="1" min="12" max="12"/>
    <col width="4.8" customWidth="1" min="13" max="13"/>
    <col width="4.8" customWidth="1" min="14" max="14"/>
    <col width="4.8" customWidth="1" min="15" max="15"/>
    <col width="4.8" customWidth="1" min="16" max="16"/>
    <col width="4.8" customWidth="1" min="17" max="17"/>
    <col width="4.8" customWidth="1" min="18" max="18"/>
    <col width="4.8" customWidth="1" min="19" max="19"/>
    <col width="4.8" customWidth="1" min="20" max="20"/>
    <col width="4.8" customWidth="1" min="21" max="21"/>
    <col width="4.8" customWidth="1" min="22" max="22"/>
    <col width="4.8" customWidth="1" min="23" max="23"/>
    <col width="4.8" customWidth="1" min="24" max="24"/>
    <col width="4.8" customWidth="1" min="25" max="25"/>
    <col width="4.8" customWidth="1" min="26" max="26"/>
    <col width="4.8" customWidth="1" min="27" max="27"/>
    <col width="4.8" customWidth="1" min="28" max="28"/>
    <col width="4.8" customWidth="1" min="29" max="29"/>
    <col width="4.8" customWidth="1" min="30" max="30"/>
    <col width="4.8" customWidth="1" min="31" max="31"/>
    <col width="4.8" customWidth="1" min="32" max="32"/>
    <col width="4.8" customWidth="1" min="33" max="33"/>
    <col width="4.8" customWidth="1" min="34" max="34"/>
    <col width="4.8" customWidth="1" min="35" max="35"/>
    <col width="11.5" customWidth="1" min="36" max="36"/>
    <col width="12" customWidth="1" min="37" max="37"/>
    <col width="13.5" customWidth="1" min="38" max="38"/>
    <col hidden="1" width="8" customWidth="1" min="39" max="39"/>
  </cols>
  <sheetData>
    <row r="1" ht="18" customHeight="1">
      <c r="A1" s="76" t="inlineStr">
        <is>
          <t>🏠 Master Dashboard</t>
        </is>
      </c>
      <c r="B1" s="40" t="n"/>
      <c r="C1" s="77" t="inlineStr">
        <is>
          <t>🏛️ Quarterly Hub</t>
        </is>
      </c>
      <c r="D1" s="78" t="inlineStr">
        <is>
          <t>📚 Habit Library</t>
        </is>
      </c>
      <c r="E1" s="80" t="inlineStr">
        <is>
          <t>2026</t>
        </is>
      </c>
      <c r="F1" s="80" t="inlineStr">
        <is>
          <t>2027</t>
        </is>
      </c>
      <c r="G1" s="80" t="inlineStr">
        <is>
          <t>2028</t>
        </is>
      </c>
      <c r="H1" s="79" t="inlineStr">
        <is>
          <t>2029</t>
        </is>
      </c>
      <c r="I1" s="80" t="inlineStr">
        <is>
          <t>2030</t>
        </is>
      </c>
      <c r="J1" s="82" t="inlineStr">
        <is>
          <t>◀ Prev</t>
        </is>
      </c>
      <c r="K1" s="82" t="inlineStr">
        <is>
          <t>Next ▶</t>
        </is>
      </c>
    </row>
    <row r="2" ht="24" customHeight="1">
      <c r="A2" s="83" t="inlineStr">
        <is>
          <t>Habit Tracker</t>
        </is>
      </c>
      <c r="H2" s="84" t="inlineStr">
        <is>
          <t>"Small daily improvements lead to stunning results."</t>
        </is>
      </c>
      <c r="AE2" s="85" t="inlineStr">
        <is>
          <t>@surajvansh</t>
        </is>
      </c>
    </row>
    <row r="3" ht="18" customHeight="1">
      <c r="A3" s="86" t="inlineStr">
        <is>
          <t>January 2029</t>
        </is>
      </c>
      <c r="H3" s="87" t="inlineStr">
        <is>
          <t>31 Days Dashboard</t>
        </is>
      </c>
    </row>
    <row r="4" ht="5" customHeight="1"/>
    <row r="5" ht="16" customHeight="1">
      <c r="A5" s="88" t="inlineStr">
        <is>
          <t>MONTHLY TARGETS</t>
        </is>
      </c>
    </row>
    <row r="6" ht="13" customHeight="1">
      <c r="A6" s="89" t="inlineStr">
        <is>
          <t>1. ____________________ : ____________________</t>
        </is>
      </c>
      <c r="P6" s="89" t="inlineStr">
        <is>
          <t>5. ____________________ : ____________________</t>
        </is>
      </c>
    </row>
    <row r="7" ht="13" customHeight="1">
      <c r="A7" s="89" t="inlineStr">
        <is>
          <t>2. ____________________ : ____________________</t>
        </is>
      </c>
      <c r="P7" s="89" t="inlineStr">
        <is>
          <t>6. ____________________ : ____________________</t>
        </is>
      </c>
    </row>
    <row r="8" ht="13" customHeight="1">
      <c r="A8" s="89" t="inlineStr">
        <is>
          <t>3. ____________________ : ____________________</t>
        </is>
      </c>
      <c r="P8" s="89" t="inlineStr">
        <is>
          <t>7. ____________________ : ____________________</t>
        </is>
      </c>
    </row>
    <row r="9" ht="13" customHeight="1">
      <c r="A9" s="89" t="inlineStr">
        <is>
          <t>4. ____________________ : ____________________</t>
        </is>
      </c>
      <c r="P9" s="89" t="inlineStr">
        <is>
          <t>8. ____________________ : ____________________</t>
        </is>
      </c>
    </row>
    <row r="10" ht="5" customHeight="1"/>
    <row r="11" ht="15" customHeight="1">
      <c r="A11" s="88" t="inlineStr">
        <is>
          <t>NOTES:</t>
        </is>
      </c>
    </row>
    <row r="12" ht="13" customHeight="1">
      <c r="A12" s="90" t="n"/>
      <c r="B12" s="91" t="n"/>
      <c r="C12" s="91" t="n"/>
      <c r="D12" s="91" t="n"/>
      <c r="E12" s="91" t="n"/>
      <c r="F12" s="91" t="n"/>
      <c r="G12" s="91" t="n"/>
      <c r="H12" s="91" t="n"/>
      <c r="I12" s="91" t="n"/>
      <c r="J12" s="91" t="n"/>
      <c r="K12" s="91" t="n"/>
      <c r="L12" s="91" t="n"/>
      <c r="M12" s="91" t="n"/>
      <c r="N12" s="91" t="n"/>
      <c r="O12" s="91" t="n"/>
      <c r="P12" s="91" t="n"/>
      <c r="Q12" s="91" t="n"/>
      <c r="R12" s="91" t="n"/>
      <c r="S12" s="91" t="n"/>
      <c r="T12" s="91" t="n"/>
      <c r="U12" s="91" t="n"/>
      <c r="V12" s="91" t="n"/>
      <c r="W12" s="91" t="n"/>
      <c r="X12" s="91" t="n"/>
      <c r="Y12" s="91" t="n"/>
      <c r="Z12" s="91" t="n"/>
      <c r="AA12" s="91" t="n"/>
      <c r="AB12" s="91" t="n"/>
      <c r="AC12" s="91" t="n"/>
      <c r="AD12" s="91" t="n"/>
      <c r="AE12" s="91" t="n"/>
      <c r="AF12" s="91" t="n"/>
      <c r="AG12" s="91" t="n"/>
      <c r="AH12" s="91" t="n"/>
      <c r="AI12" s="91" t="n"/>
      <c r="AJ12" s="91" t="n"/>
      <c r="AK12" s="91" t="n"/>
      <c r="AL12" s="91" t="n"/>
    </row>
    <row r="13" ht="13" customHeight="1">
      <c r="A13" s="91" t="n"/>
      <c r="B13" s="91" t="n"/>
      <c r="C13" s="91" t="n"/>
      <c r="D13" s="91" t="n"/>
      <c r="E13" s="91" t="n"/>
      <c r="F13" s="91" t="n"/>
      <c r="G13" s="91" t="n"/>
      <c r="H13" s="91" t="n"/>
      <c r="I13" s="91" t="n"/>
      <c r="J13" s="91" t="n"/>
      <c r="K13" s="91" t="n"/>
      <c r="L13" s="91" t="n"/>
      <c r="M13" s="91" t="n"/>
      <c r="N13" s="91" t="n"/>
      <c r="O13" s="91" t="n"/>
      <c r="P13" s="91" t="n"/>
      <c r="Q13" s="91" t="n"/>
      <c r="R13" s="91" t="n"/>
      <c r="S13" s="91" t="n"/>
      <c r="T13" s="91" t="n"/>
      <c r="U13" s="91" t="n"/>
      <c r="V13" s="91" t="n"/>
      <c r="W13" s="91" t="n"/>
      <c r="X13" s="91" t="n"/>
      <c r="Y13" s="91" t="n"/>
      <c r="Z13" s="91" t="n"/>
      <c r="AA13" s="91" t="n"/>
      <c r="AB13" s="91" t="n"/>
      <c r="AC13" s="91" t="n"/>
      <c r="AD13" s="91" t="n"/>
      <c r="AE13" s="91" t="n"/>
      <c r="AF13" s="91" t="n"/>
      <c r="AG13" s="91" t="n"/>
      <c r="AH13" s="91" t="n"/>
      <c r="AI13" s="91" t="n"/>
      <c r="AJ13" s="91" t="n"/>
      <c r="AK13" s="91" t="n"/>
      <c r="AL13" s="91" t="n"/>
    </row>
    <row r="14" ht="13" customHeight="1">
      <c r="A14" s="91" t="n"/>
      <c r="B14" s="91" t="n"/>
      <c r="C14" s="91" t="n"/>
      <c r="D14" s="91" t="n"/>
      <c r="E14" s="91" t="n"/>
      <c r="F14" s="91" t="n"/>
      <c r="G14" s="91" t="n"/>
      <c r="H14" s="91" t="n"/>
      <c r="I14" s="91" t="n"/>
      <c r="J14" s="91" t="n"/>
      <c r="K14" s="91" t="n"/>
      <c r="L14" s="91" t="n"/>
      <c r="M14" s="91" t="n"/>
      <c r="N14" s="91" t="n"/>
      <c r="O14" s="91" t="n"/>
      <c r="P14" s="91" t="n"/>
      <c r="Q14" s="91" t="n"/>
      <c r="R14" s="91" t="n"/>
      <c r="S14" s="91" t="n"/>
      <c r="T14" s="91" t="n"/>
      <c r="U14" s="91" t="n"/>
      <c r="V14" s="91" t="n"/>
      <c r="W14" s="91" t="n"/>
      <c r="X14" s="91" t="n"/>
      <c r="Y14" s="91" t="n"/>
      <c r="Z14" s="91" t="n"/>
      <c r="AA14" s="91" t="n"/>
      <c r="AB14" s="91" t="n"/>
      <c r="AC14" s="91" t="n"/>
      <c r="AD14" s="91" t="n"/>
      <c r="AE14" s="91" t="n"/>
      <c r="AF14" s="91" t="n"/>
      <c r="AG14" s="91" t="n"/>
      <c r="AH14" s="91" t="n"/>
      <c r="AI14" s="91" t="n"/>
      <c r="AJ14" s="91" t="n"/>
      <c r="AK14" s="91" t="n"/>
      <c r="AL14" s="91" t="n"/>
    </row>
    <row r="15" ht="8" customHeight="1"/>
    <row r="16" ht="15" customHeight="1">
      <c r="A16" s="33" t="inlineStr">
        <is>
          <t>S.No.</t>
        </is>
      </c>
      <c r="B16" s="33" t="inlineStr">
        <is>
          <t>Protocols</t>
        </is>
      </c>
      <c r="C16" s="33" t="inlineStr">
        <is>
          <t>Category</t>
        </is>
      </c>
      <c r="D16" s="33" t="inlineStr">
        <is>
          <t>Target</t>
        </is>
      </c>
      <c r="E16" s="92" t="n">
        <v>1</v>
      </c>
      <c r="F16" s="92" t="n">
        <v>2</v>
      </c>
      <c r="G16" s="92" t="n">
        <v>3</v>
      </c>
      <c r="H16" s="92" t="n">
        <v>4</v>
      </c>
      <c r="I16" s="92" t="n">
        <v>5</v>
      </c>
      <c r="J16" s="92" t="n">
        <v>6</v>
      </c>
      <c r="K16" s="93" t="n">
        <v>7</v>
      </c>
      <c r="L16" s="92" t="n">
        <v>8</v>
      </c>
      <c r="M16" s="92" t="n">
        <v>9</v>
      </c>
      <c r="N16" s="92" t="n">
        <v>10</v>
      </c>
      <c r="O16" s="92" t="n">
        <v>11</v>
      </c>
      <c r="P16" s="92" t="n">
        <v>12</v>
      </c>
      <c r="Q16" s="92" t="n">
        <v>13</v>
      </c>
      <c r="R16" s="93" t="n">
        <v>14</v>
      </c>
      <c r="S16" s="92" t="n">
        <v>15</v>
      </c>
      <c r="T16" s="92" t="n">
        <v>16</v>
      </c>
      <c r="U16" s="92" t="n">
        <v>17</v>
      </c>
      <c r="V16" s="92" t="n">
        <v>18</v>
      </c>
      <c r="W16" s="92" t="n">
        <v>19</v>
      </c>
      <c r="X16" s="92" t="n">
        <v>20</v>
      </c>
      <c r="Y16" s="93" t="n">
        <v>21</v>
      </c>
      <c r="Z16" s="92" t="n">
        <v>22</v>
      </c>
      <c r="AA16" s="92" t="n">
        <v>23</v>
      </c>
      <c r="AB16" s="92" t="n">
        <v>24</v>
      </c>
      <c r="AC16" s="92" t="n">
        <v>25</v>
      </c>
      <c r="AD16" s="92" t="n">
        <v>26</v>
      </c>
      <c r="AE16" s="92" t="n">
        <v>27</v>
      </c>
      <c r="AF16" s="93" t="n">
        <v>28</v>
      </c>
      <c r="AG16" s="92" t="n">
        <v>29</v>
      </c>
      <c r="AH16" s="92" t="n">
        <v>30</v>
      </c>
      <c r="AI16" s="92" t="n">
        <v>31</v>
      </c>
      <c r="AJ16" s="94" t="inlineStr">
        <is>
          <t>Success %</t>
        </is>
      </c>
      <c r="AK16" s="94" t="inlineStr">
        <is>
          <t>Done / Target</t>
        </is>
      </c>
      <c r="AL16" s="94" t="inlineStr">
        <is>
          <t>Status</t>
        </is>
      </c>
      <c r="AM16" t="inlineStr">
        <is>
          <t>Done Count</t>
        </is>
      </c>
    </row>
    <row r="17" ht="15" customHeight="1">
      <c r="A17" s="54" t="n"/>
      <c r="B17" s="54" t="n"/>
      <c r="C17" s="54" t="n"/>
      <c r="D17" s="54" t="n"/>
      <c r="E17" s="95" t="inlineStr">
        <is>
          <t>M</t>
        </is>
      </c>
      <c r="F17" s="95" t="inlineStr">
        <is>
          <t>T</t>
        </is>
      </c>
      <c r="G17" s="95" t="inlineStr">
        <is>
          <t>W</t>
        </is>
      </c>
      <c r="H17" s="95" t="inlineStr">
        <is>
          <t>Th</t>
        </is>
      </c>
      <c r="I17" s="95" t="inlineStr">
        <is>
          <t>F</t>
        </is>
      </c>
      <c r="J17" s="95" t="inlineStr">
        <is>
          <t>Sa</t>
        </is>
      </c>
      <c r="K17" s="96" t="inlineStr">
        <is>
          <t>Su</t>
        </is>
      </c>
      <c r="L17" s="95" t="inlineStr">
        <is>
          <t>M</t>
        </is>
      </c>
      <c r="M17" s="95" t="inlineStr">
        <is>
          <t>T</t>
        </is>
      </c>
      <c r="N17" s="95" t="inlineStr">
        <is>
          <t>W</t>
        </is>
      </c>
      <c r="O17" s="95" t="inlineStr">
        <is>
          <t>Th</t>
        </is>
      </c>
      <c r="P17" s="95" t="inlineStr">
        <is>
          <t>F</t>
        </is>
      </c>
      <c r="Q17" s="95" t="inlineStr">
        <is>
          <t>Sa</t>
        </is>
      </c>
      <c r="R17" s="96" t="inlineStr">
        <is>
          <t>Su</t>
        </is>
      </c>
      <c r="S17" s="95" t="inlineStr">
        <is>
          <t>M</t>
        </is>
      </c>
      <c r="T17" s="95" t="inlineStr">
        <is>
          <t>T</t>
        </is>
      </c>
      <c r="U17" s="95" t="inlineStr">
        <is>
          <t>W</t>
        </is>
      </c>
      <c r="V17" s="95" t="inlineStr">
        <is>
          <t>Th</t>
        </is>
      </c>
      <c r="W17" s="95" t="inlineStr">
        <is>
          <t>F</t>
        </is>
      </c>
      <c r="X17" s="95" t="inlineStr">
        <is>
          <t>Sa</t>
        </is>
      </c>
      <c r="Y17" s="96" t="inlineStr">
        <is>
          <t>Su</t>
        </is>
      </c>
      <c r="Z17" s="95" t="inlineStr">
        <is>
          <t>M</t>
        </is>
      </c>
      <c r="AA17" s="95" t="inlineStr">
        <is>
          <t>T</t>
        </is>
      </c>
      <c r="AB17" s="95" t="inlineStr">
        <is>
          <t>W</t>
        </is>
      </c>
      <c r="AC17" s="95" t="inlineStr">
        <is>
          <t>Th</t>
        </is>
      </c>
      <c r="AD17" s="95" t="inlineStr">
        <is>
          <t>F</t>
        </is>
      </c>
      <c r="AE17" s="95" t="inlineStr">
        <is>
          <t>Sa</t>
        </is>
      </c>
      <c r="AF17" s="96" t="inlineStr">
        <is>
          <t>Su</t>
        </is>
      </c>
      <c r="AG17" s="95" t="inlineStr">
        <is>
          <t>M</t>
        </is>
      </c>
      <c r="AH17" s="95" t="inlineStr">
        <is>
          <t>T</t>
        </is>
      </c>
      <c r="AI17" s="95" t="inlineStr">
        <is>
          <t>W</t>
        </is>
      </c>
      <c r="AJ17" s="54" t="n"/>
      <c r="AK17" s="54" t="n"/>
      <c r="AL17" s="54" t="n"/>
    </row>
    <row r="18" ht="14.5" customHeight="1">
      <c r="A18" s="97" t="n">
        <v>1</v>
      </c>
      <c r="B18" s="98" t="n"/>
      <c r="C18" s="99" t="n"/>
      <c r="D18" s="99" t="n"/>
      <c r="E18" s="100" t="n"/>
      <c r="F18" s="100" t="n"/>
      <c r="G18" s="100" t="n"/>
      <c r="H18" s="100" t="n"/>
      <c r="I18" s="100" t="n"/>
      <c r="J18" s="100" t="n"/>
      <c r="K18" s="101" t="n"/>
      <c r="L18" s="100" t="n"/>
      <c r="M18" s="100" t="n"/>
      <c r="N18" s="100" t="n"/>
      <c r="O18" s="100" t="n"/>
      <c r="P18" s="100" t="n"/>
      <c r="Q18" s="100" t="n"/>
      <c r="R18" s="101" t="n"/>
      <c r="S18" s="100" t="n"/>
      <c r="T18" s="100" t="n"/>
      <c r="U18" s="100" t="n"/>
      <c r="V18" s="100" t="n"/>
      <c r="W18" s="100" t="n"/>
      <c r="X18" s="100" t="n"/>
      <c r="Y18" s="101" t="n"/>
      <c r="Z18" s="100" t="n"/>
      <c r="AA18" s="100" t="n"/>
      <c r="AB18" s="100" t="n"/>
      <c r="AC18" s="100" t="n"/>
      <c r="AD18" s="100" t="n"/>
      <c r="AE18" s="100" t="n"/>
      <c r="AF18" s="101" t="n"/>
      <c r="AG18" s="100" t="n"/>
      <c r="AH18" s="100" t="n"/>
      <c r="AI18" s="100" t="n"/>
      <c r="AJ18" s="102">
        <f>IF(ISBLANK(B18), "", IF(ISNUMBER(D18), IF(D18&gt;0, (COUNTIF(E18:AI18, "✓") + COUNTIF(E18:AI18, "✔") + COUNTIF(E18:AI18, "v") + COUNTIF(E18:AI18, "V"))/D18, 0), IF(((COUNTIF(E18:AI18, "✓") + COUNTIF(E18:AI18, "✔") + COUNTIF(E18:AI18, "v") + COUNTIF(E18:AI18, "V")) + COUNTIF(E18:AI18, "✗") + COUNTIF(E18:AI18, "x") + COUNTIF(E18:AI18, "X"))&gt;0, (COUNTIF(E18:AI18, "✓") + COUNTIF(E18:AI18, "✔") + COUNTIF(E18:AI18, "v") + COUNTIF(E18:AI18, "V"))/((COUNTIF(E18:AI18, "✓") + COUNTIF(E18:AI18, "✔") + COUNTIF(E18:AI18, "v") + COUNTIF(E18:AI18, "V")) + COUNTIF(E18:AI18, "✗") + COUNTIF(E18:AI18, "x") + COUNTIF(E18:AI18, "X")), "")))</f>
        <v/>
      </c>
      <c r="AK18" s="103">
        <f>IF(ISBLANK(B18), "", IF(ISNUMBER(D18), IF(D18&gt;0, (COUNTIF(E18:AI18, "✓") + COUNTIF(E18:AI18, "✔") + COUNTIF(E18:AI18, "v") + COUNTIF(E18:AI18, "V")) &amp; "/" &amp; D18, (COUNTIF(E18:AI18, "✓") + COUNTIF(E18:AI18, "✔") + COUNTIF(E18:AI18, "v") + COUNTIF(E18:AI18, "V")) &amp; "/0"), IF(((COUNTIF(E18:AI18, "✓") + COUNTIF(E18:AI18, "✔") + COUNTIF(E18:AI18, "v") + COUNTIF(E18:AI18, "V")) + COUNTIF(E18:AI18, "✗") + COUNTIF(E18:AI18, "x") + COUNTIF(E18:AI18, "X"))&gt;0, (COUNTIF(E18:AI18, "✓") + COUNTIF(E18:AI18, "✔") + COUNTIF(E18:AI18, "v") + COUNTIF(E18:AI18, "V")) &amp; "/" &amp; ((COUNTIF(E18:AI18, "✓") + COUNTIF(E18:AI18, "✔") + COUNTIF(E18:AI18, "v") + COUNTIF(E18:AI18, "V")) + COUNTIF(E18:AI18, "✗") + COUNTIF(E18:AI18, "x") + COUNTIF(E18:AI18, "X")), "")))</f>
        <v/>
      </c>
      <c r="AL18" s="103">
        <f>IF(ISBLANK(B18), "", IF(AJ18&gt;=0.85, "🔥 Mastered", IF(AJ18&gt;=0.7, "⚡ Consistent", "⚠️ Needs Focus")))</f>
        <v/>
      </c>
      <c r="AM18">
        <f>COUNTIF(E18:AI18, "✓")</f>
        <v/>
      </c>
    </row>
    <row r="19" ht="14.5" customHeight="1">
      <c r="A19" s="97" t="n">
        <v>2</v>
      </c>
      <c r="B19" s="98" t="n"/>
      <c r="C19" s="99" t="n"/>
      <c r="D19" s="99" t="n"/>
      <c r="E19" s="100" t="n"/>
      <c r="F19" s="100" t="n"/>
      <c r="G19" s="100" t="n"/>
      <c r="H19" s="100" t="n"/>
      <c r="I19" s="100" t="n"/>
      <c r="J19" s="100" t="n"/>
      <c r="K19" s="101" t="n"/>
      <c r="L19" s="100" t="n"/>
      <c r="M19" s="100" t="n"/>
      <c r="N19" s="100" t="n"/>
      <c r="O19" s="100" t="n"/>
      <c r="P19" s="100" t="n"/>
      <c r="Q19" s="100" t="n"/>
      <c r="R19" s="101" t="n"/>
      <c r="S19" s="100" t="n"/>
      <c r="T19" s="100" t="n"/>
      <c r="U19" s="100" t="n"/>
      <c r="V19" s="100" t="n"/>
      <c r="W19" s="100" t="n"/>
      <c r="X19" s="100" t="n"/>
      <c r="Y19" s="101" t="n"/>
      <c r="Z19" s="100" t="n"/>
      <c r="AA19" s="100" t="n"/>
      <c r="AB19" s="100" t="n"/>
      <c r="AC19" s="100" t="n"/>
      <c r="AD19" s="100" t="n"/>
      <c r="AE19" s="100" t="n"/>
      <c r="AF19" s="101" t="n"/>
      <c r="AG19" s="100" t="n"/>
      <c r="AH19" s="100" t="n"/>
      <c r="AI19" s="100" t="n"/>
      <c r="AJ19" s="102">
        <f>IF(ISBLANK(B19), "", IF(ISNUMBER(D19), IF(D19&gt;0, (COUNTIF(E19:AI19, "✓") + COUNTIF(E19:AI19, "✔") + COUNTIF(E19:AI19, "v") + COUNTIF(E19:AI19, "V"))/D19, 0), IF(((COUNTIF(E19:AI19, "✓") + COUNTIF(E19:AI19, "✔") + COUNTIF(E19:AI19, "v") + COUNTIF(E19:AI19, "V")) + COUNTIF(E19:AI19, "✗") + COUNTIF(E19:AI19, "x") + COUNTIF(E19:AI19, "X"))&gt;0, (COUNTIF(E19:AI19, "✓") + COUNTIF(E19:AI19, "✔") + COUNTIF(E19:AI19, "v") + COUNTIF(E19:AI19, "V"))/((COUNTIF(E19:AI19, "✓") + COUNTIF(E19:AI19, "✔") + COUNTIF(E19:AI19, "v") + COUNTIF(E19:AI19, "V")) + COUNTIF(E19:AI19, "✗") + COUNTIF(E19:AI19, "x") + COUNTIF(E19:AI19, "X")), "")))</f>
        <v/>
      </c>
      <c r="AK19" s="103">
        <f>IF(ISBLANK(B19), "", IF(ISNUMBER(D19), IF(D19&gt;0, (COUNTIF(E19:AI19, "✓") + COUNTIF(E19:AI19, "✔") + COUNTIF(E19:AI19, "v") + COUNTIF(E19:AI19, "V")) &amp; "/" &amp; D19, (COUNTIF(E19:AI19, "✓") + COUNTIF(E19:AI19, "✔") + COUNTIF(E19:AI19, "v") + COUNTIF(E19:AI19, "V")) &amp; "/0"), IF(((COUNTIF(E19:AI19, "✓") + COUNTIF(E19:AI19, "✔") + COUNTIF(E19:AI19, "v") + COUNTIF(E19:AI19, "V")) + COUNTIF(E19:AI19, "✗") + COUNTIF(E19:AI19, "x") + COUNTIF(E19:AI19, "X"))&gt;0, (COUNTIF(E19:AI19, "✓") + COUNTIF(E19:AI19, "✔") + COUNTIF(E19:AI19, "v") + COUNTIF(E19:AI19, "V")) &amp; "/" &amp; ((COUNTIF(E19:AI19, "✓") + COUNTIF(E19:AI19, "✔") + COUNTIF(E19:AI19, "v") + COUNTIF(E19:AI19, "V")) + COUNTIF(E19:AI19, "✗") + COUNTIF(E19:AI19, "x") + COUNTIF(E19:AI19, "X")), "")))</f>
        <v/>
      </c>
      <c r="AL19" s="103">
        <f>IF(ISBLANK(B19), "", IF(AJ19&gt;=0.85, "🔥 Mastered", IF(AJ19&gt;=0.7, "⚡ Consistent", "⚠️ Needs Focus")))</f>
        <v/>
      </c>
      <c r="AM19">
        <f>COUNTIF(E19:AI19, "✓")</f>
        <v/>
      </c>
    </row>
    <row r="20" ht="14.5" customHeight="1">
      <c r="A20" s="97" t="n">
        <v>3</v>
      </c>
      <c r="B20" s="98" t="n"/>
      <c r="C20" s="99" t="n"/>
      <c r="D20" s="99" t="n"/>
      <c r="E20" s="100" t="n"/>
      <c r="F20" s="100" t="n"/>
      <c r="G20" s="100" t="n"/>
      <c r="H20" s="100" t="n"/>
      <c r="I20" s="100" t="n"/>
      <c r="J20" s="100" t="n"/>
      <c r="K20" s="101" t="n"/>
      <c r="L20" s="100" t="n"/>
      <c r="M20" s="100" t="n"/>
      <c r="N20" s="100" t="n"/>
      <c r="O20" s="100" t="n"/>
      <c r="P20" s="100" t="n"/>
      <c r="Q20" s="100" t="n"/>
      <c r="R20" s="101" t="n"/>
      <c r="S20" s="100" t="n"/>
      <c r="T20" s="100" t="n"/>
      <c r="U20" s="100" t="n"/>
      <c r="V20" s="100" t="n"/>
      <c r="W20" s="100" t="n"/>
      <c r="X20" s="100" t="n"/>
      <c r="Y20" s="101" t="n"/>
      <c r="Z20" s="100" t="n"/>
      <c r="AA20" s="100" t="n"/>
      <c r="AB20" s="100" t="n"/>
      <c r="AC20" s="100" t="n"/>
      <c r="AD20" s="100" t="n"/>
      <c r="AE20" s="100" t="n"/>
      <c r="AF20" s="101" t="n"/>
      <c r="AG20" s="100" t="n"/>
      <c r="AH20" s="100" t="n"/>
      <c r="AI20" s="100" t="n"/>
      <c r="AJ20" s="102">
        <f>IF(ISBLANK(B20), "", IF(ISNUMBER(D20), IF(D20&gt;0, (COUNTIF(E20:AI20, "✓") + COUNTIF(E20:AI20, "✔") + COUNTIF(E20:AI20, "v") + COUNTIF(E20:AI20, "V"))/D20, 0), IF(((COUNTIF(E20:AI20, "✓") + COUNTIF(E20:AI20, "✔") + COUNTIF(E20:AI20, "v") + COUNTIF(E20:AI20, "V")) + COUNTIF(E20:AI20, "✗") + COUNTIF(E20:AI20, "x") + COUNTIF(E20:AI20, "X"))&gt;0, (COUNTIF(E20:AI20, "✓") + COUNTIF(E20:AI20, "✔") + COUNTIF(E20:AI20, "v") + COUNTIF(E20:AI20, "V"))/((COUNTIF(E20:AI20, "✓") + COUNTIF(E20:AI20, "✔") + COUNTIF(E20:AI20, "v") + COUNTIF(E20:AI20, "V")) + COUNTIF(E20:AI20, "✗") + COUNTIF(E20:AI20, "x") + COUNTIF(E20:AI20, "X")), "")))</f>
        <v/>
      </c>
      <c r="AK20" s="103">
        <f>IF(ISBLANK(B20), "", IF(ISNUMBER(D20), IF(D20&gt;0, (COUNTIF(E20:AI20, "✓") + COUNTIF(E20:AI20, "✔") + COUNTIF(E20:AI20, "v") + COUNTIF(E20:AI20, "V")) &amp; "/" &amp; D20, (COUNTIF(E20:AI20, "✓") + COUNTIF(E20:AI20, "✔") + COUNTIF(E20:AI20, "v") + COUNTIF(E20:AI20, "V")) &amp; "/0"), IF(((COUNTIF(E20:AI20, "✓") + COUNTIF(E20:AI20, "✔") + COUNTIF(E20:AI20, "v") + COUNTIF(E20:AI20, "V")) + COUNTIF(E20:AI20, "✗") + COUNTIF(E20:AI20, "x") + COUNTIF(E20:AI20, "X"))&gt;0, (COUNTIF(E20:AI20, "✓") + COUNTIF(E20:AI20, "✔") + COUNTIF(E20:AI20, "v") + COUNTIF(E20:AI20, "V")) &amp; "/" &amp; ((COUNTIF(E20:AI20, "✓") + COUNTIF(E20:AI20, "✔") + COUNTIF(E20:AI20, "v") + COUNTIF(E20:AI20, "V")) + COUNTIF(E20:AI20, "✗") + COUNTIF(E20:AI20, "x") + COUNTIF(E20:AI20, "X")), "")))</f>
        <v/>
      </c>
      <c r="AL20" s="103">
        <f>IF(ISBLANK(B20), "", IF(AJ20&gt;=0.85, "🔥 Mastered", IF(AJ20&gt;=0.7, "⚡ Consistent", "⚠️ Needs Focus")))</f>
        <v/>
      </c>
      <c r="AM20">
        <f>COUNTIF(E20:AI20, "✓")</f>
        <v/>
      </c>
    </row>
    <row r="21" ht="14.5" customHeight="1">
      <c r="A21" s="97" t="n">
        <v>4</v>
      </c>
      <c r="B21" s="98" t="n"/>
      <c r="C21" s="99" t="n"/>
      <c r="D21" s="99" t="n"/>
      <c r="E21" s="100" t="n"/>
      <c r="F21" s="100" t="n"/>
      <c r="G21" s="100" t="n"/>
      <c r="H21" s="100" t="n"/>
      <c r="I21" s="100" t="n"/>
      <c r="J21" s="100" t="n"/>
      <c r="K21" s="101" t="n"/>
      <c r="L21" s="100" t="n"/>
      <c r="M21" s="100" t="n"/>
      <c r="N21" s="100" t="n"/>
      <c r="O21" s="100" t="n"/>
      <c r="P21" s="100" t="n"/>
      <c r="Q21" s="100" t="n"/>
      <c r="R21" s="101" t="n"/>
      <c r="S21" s="100" t="n"/>
      <c r="T21" s="100" t="n"/>
      <c r="U21" s="100" t="n"/>
      <c r="V21" s="100" t="n"/>
      <c r="W21" s="100" t="n"/>
      <c r="X21" s="100" t="n"/>
      <c r="Y21" s="101" t="n"/>
      <c r="Z21" s="100" t="n"/>
      <c r="AA21" s="100" t="n"/>
      <c r="AB21" s="100" t="n"/>
      <c r="AC21" s="100" t="n"/>
      <c r="AD21" s="100" t="n"/>
      <c r="AE21" s="100" t="n"/>
      <c r="AF21" s="101" t="n"/>
      <c r="AG21" s="100" t="n"/>
      <c r="AH21" s="100" t="n"/>
      <c r="AI21" s="100" t="n"/>
      <c r="AJ21" s="102">
        <f>IF(ISBLANK(B21), "", IF(ISNUMBER(D21), IF(D21&gt;0, (COUNTIF(E21:AI21, "✓") + COUNTIF(E21:AI21, "✔") + COUNTIF(E21:AI21, "v") + COUNTIF(E21:AI21, "V"))/D21, 0), IF(((COUNTIF(E21:AI21, "✓") + COUNTIF(E21:AI21, "✔") + COUNTIF(E21:AI21, "v") + COUNTIF(E21:AI21, "V")) + COUNTIF(E21:AI21, "✗") + COUNTIF(E21:AI21, "x") + COUNTIF(E21:AI21, "X"))&gt;0, (COUNTIF(E21:AI21, "✓") + COUNTIF(E21:AI21, "✔") + COUNTIF(E21:AI21, "v") + COUNTIF(E21:AI21, "V"))/((COUNTIF(E21:AI21, "✓") + COUNTIF(E21:AI21, "✔") + COUNTIF(E21:AI21, "v") + COUNTIF(E21:AI21, "V")) + COUNTIF(E21:AI21, "✗") + COUNTIF(E21:AI21, "x") + COUNTIF(E21:AI21, "X")), "")))</f>
        <v/>
      </c>
      <c r="AK21" s="103">
        <f>IF(ISBLANK(B21), "", IF(ISNUMBER(D21), IF(D21&gt;0, (COUNTIF(E21:AI21, "✓") + COUNTIF(E21:AI21, "✔") + COUNTIF(E21:AI21, "v") + COUNTIF(E21:AI21, "V")) &amp; "/" &amp; D21, (COUNTIF(E21:AI21, "✓") + COUNTIF(E21:AI21, "✔") + COUNTIF(E21:AI21, "v") + COUNTIF(E21:AI21, "V")) &amp; "/0"), IF(((COUNTIF(E21:AI21, "✓") + COUNTIF(E21:AI21, "✔") + COUNTIF(E21:AI21, "v") + COUNTIF(E21:AI21, "V")) + COUNTIF(E21:AI21, "✗") + COUNTIF(E21:AI21, "x") + COUNTIF(E21:AI21, "X"))&gt;0, (COUNTIF(E21:AI21, "✓") + COUNTIF(E21:AI21, "✔") + COUNTIF(E21:AI21, "v") + COUNTIF(E21:AI21, "V")) &amp; "/" &amp; ((COUNTIF(E21:AI21, "✓") + COUNTIF(E21:AI21, "✔") + COUNTIF(E21:AI21, "v") + COUNTIF(E21:AI21, "V")) + COUNTIF(E21:AI21, "✗") + COUNTIF(E21:AI21, "x") + COUNTIF(E21:AI21, "X")), "")))</f>
        <v/>
      </c>
      <c r="AL21" s="103">
        <f>IF(ISBLANK(B21), "", IF(AJ21&gt;=0.85, "🔥 Mastered", IF(AJ21&gt;=0.7, "⚡ Consistent", "⚠️ Needs Focus")))</f>
        <v/>
      </c>
      <c r="AM21">
        <f>COUNTIF(E21:AI21, "✓")</f>
        <v/>
      </c>
    </row>
    <row r="22" ht="14.5" customHeight="1">
      <c r="A22" s="104" t="n">
        <v>5</v>
      </c>
      <c r="B22" s="105" t="n"/>
      <c r="C22" s="106" t="n"/>
      <c r="D22" s="106" t="n"/>
      <c r="E22" s="107" t="n"/>
      <c r="F22" s="107" t="n"/>
      <c r="G22" s="107" t="n"/>
      <c r="H22" s="107" t="n"/>
      <c r="I22" s="107" t="n"/>
      <c r="J22" s="107" t="n"/>
      <c r="K22" s="108" t="n"/>
      <c r="L22" s="107" t="n"/>
      <c r="M22" s="107" t="n"/>
      <c r="N22" s="107" t="n"/>
      <c r="O22" s="107" t="n"/>
      <c r="P22" s="107" t="n"/>
      <c r="Q22" s="107" t="n"/>
      <c r="R22" s="108" t="n"/>
      <c r="S22" s="107" t="n"/>
      <c r="T22" s="107" t="n"/>
      <c r="U22" s="107" t="n"/>
      <c r="V22" s="107" t="n"/>
      <c r="W22" s="107" t="n"/>
      <c r="X22" s="107" t="n"/>
      <c r="Y22" s="108" t="n"/>
      <c r="Z22" s="107" t="n"/>
      <c r="AA22" s="107" t="n"/>
      <c r="AB22" s="107" t="n"/>
      <c r="AC22" s="107" t="n"/>
      <c r="AD22" s="107" t="n"/>
      <c r="AE22" s="107" t="n"/>
      <c r="AF22" s="108" t="n"/>
      <c r="AG22" s="107" t="n"/>
      <c r="AH22" s="107" t="n"/>
      <c r="AI22" s="107" t="n"/>
      <c r="AJ22" s="109">
        <f>IF(ISBLANK(B22), "", IF(ISNUMBER(D22), IF(D22&gt;0, (COUNTIF(E22:AI22, "✓") + COUNTIF(E22:AI22, "✔") + COUNTIF(E22:AI22, "v") + COUNTIF(E22:AI22, "V"))/D22, 0), IF(((COUNTIF(E22:AI22, "✓") + COUNTIF(E22:AI22, "✔") + COUNTIF(E22:AI22, "v") + COUNTIF(E22:AI22, "V")) + COUNTIF(E22:AI22, "✗") + COUNTIF(E22:AI22, "x") + COUNTIF(E22:AI22, "X"))&gt;0, (COUNTIF(E22:AI22, "✓") + COUNTIF(E22:AI22, "✔") + COUNTIF(E22:AI22, "v") + COUNTIF(E22:AI22, "V"))/((COUNTIF(E22:AI22, "✓") + COUNTIF(E22:AI22, "✔") + COUNTIF(E22:AI22, "v") + COUNTIF(E22:AI22, "V")) + COUNTIF(E22:AI22, "✗") + COUNTIF(E22:AI22, "x") + COUNTIF(E22:AI22, "X")), "")))</f>
        <v/>
      </c>
      <c r="AK22" s="110">
        <f>IF(ISBLANK(B22), "", IF(ISNUMBER(D22), IF(D22&gt;0, (COUNTIF(E22:AI22, "✓") + COUNTIF(E22:AI22, "✔") + COUNTIF(E22:AI22, "v") + COUNTIF(E22:AI22, "V")) &amp; "/" &amp; D22, (COUNTIF(E22:AI22, "✓") + COUNTIF(E22:AI22, "✔") + COUNTIF(E22:AI22, "v") + COUNTIF(E22:AI22, "V")) &amp; "/0"), IF(((COUNTIF(E22:AI22, "✓") + COUNTIF(E22:AI22, "✔") + COUNTIF(E22:AI22, "v") + COUNTIF(E22:AI22, "V")) + COUNTIF(E22:AI22, "✗") + COUNTIF(E22:AI22, "x") + COUNTIF(E22:AI22, "X"))&gt;0, (COUNTIF(E22:AI22, "✓") + COUNTIF(E22:AI22, "✔") + COUNTIF(E22:AI22, "v") + COUNTIF(E22:AI22, "V")) &amp; "/" &amp; ((COUNTIF(E22:AI22, "✓") + COUNTIF(E22:AI22, "✔") + COUNTIF(E22:AI22, "v") + COUNTIF(E22:AI22, "V")) + COUNTIF(E22:AI22, "✗") + COUNTIF(E22:AI22, "x") + COUNTIF(E22:AI22, "X")), "")))</f>
        <v/>
      </c>
      <c r="AL22" s="110">
        <f>IF(ISBLANK(B22), "", IF(AJ22&gt;=0.85, "🔥 Mastered", IF(AJ22&gt;=0.7, "⚡ Consistent", "⚠️ Needs Focus")))</f>
        <v/>
      </c>
      <c r="AM22">
        <f>COUNTIF(E22:AI22, "✓")</f>
        <v/>
      </c>
    </row>
    <row r="23" ht="14.5" customHeight="1">
      <c r="A23" s="104" t="n">
        <v>6</v>
      </c>
      <c r="B23" s="105" t="n"/>
      <c r="C23" s="106" t="n"/>
      <c r="D23" s="106" t="n"/>
      <c r="E23" s="107" t="n"/>
      <c r="F23" s="107" t="n"/>
      <c r="G23" s="107" t="n"/>
      <c r="H23" s="107" t="n"/>
      <c r="I23" s="107" t="n"/>
      <c r="J23" s="107" t="n"/>
      <c r="K23" s="108" t="n"/>
      <c r="L23" s="107" t="n"/>
      <c r="M23" s="107" t="n"/>
      <c r="N23" s="107" t="n"/>
      <c r="O23" s="107" t="n"/>
      <c r="P23" s="107" t="n"/>
      <c r="Q23" s="107" t="n"/>
      <c r="R23" s="108" t="n"/>
      <c r="S23" s="107" t="n"/>
      <c r="T23" s="107" t="n"/>
      <c r="U23" s="107" t="n"/>
      <c r="V23" s="107" t="n"/>
      <c r="W23" s="107" t="n"/>
      <c r="X23" s="107" t="n"/>
      <c r="Y23" s="108" t="n"/>
      <c r="Z23" s="107" t="n"/>
      <c r="AA23" s="107" t="n"/>
      <c r="AB23" s="107" t="n"/>
      <c r="AC23" s="107" t="n"/>
      <c r="AD23" s="107" t="n"/>
      <c r="AE23" s="107" t="n"/>
      <c r="AF23" s="108" t="n"/>
      <c r="AG23" s="107" t="n"/>
      <c r="AH23" s="107" t="n"/>
      <c r="AI23" s="107" t="n"/>
      <c r="AJ23" s="109">
        <f>IF(ISBLANK(B23), "", IF(ISNUMBER(D23), IF(D23&gt;0, (COUNTIF(E23:AI23, "✓") + COUNTIF(E23:AI23, "✔") + COUNTIF(E23:AI23, "v") + COUNTIF(E23:AI23, "V"))/D23, 0), IF(((COUNTIF(E23:AI23, "✓") + COUNTIF(E23:AI23, "✔") + COUNTIF(E23:AI23, "v") + COUNTIF(E23:AI23, "V")) + COUNTIF(E23:AI23, "✗") + COUNTIF(E23:AI23, "x") + COUNTIF(E23:AI23, "X"))&gt;0, (COUNTIF(E23:AI23, "✓") + COUNTIF(E23:AI23, "✔") + COUNTIF(E23:AI23, "v") + COUNTIF(E23:AI23, "V"))/((COUNTIF(E23:AI23, "✓") + COUNTIF(E23:AI23, "✔") + COUNTIF(E23:AI23, "v") + COUNTIF(E23:AI23, "V")) + COUNTIF(E23:AI23, "✗") + COUNTIF(E23:AI23, "x") + COUNTIF(E23:AI23, "X")), "")))</f>
        <v/>
      </c>
      <c r="AK23" s="110">
        <f>IF(ISBLANK(B23), "", IF(ISNUMBER(D23), IF(D23&gt;0, (COUNTIF(E23:AI23, "✓") + COUNTIF(E23:AI23, "✔") + COUNTIF(E23:AI23, "v") + COUNTIF(E23:AI23, "V")) &amp; "/" &amp; D23, (COUNTIF(E23:AI23, "✓") + COUNTIF(E23:AI23, "✔") + COUNTIF(E23:AI23, "v") + COUNTIF(E23:AI23, "V")) &amp; "/0"), IF(((COUNTIF(E23:AI23, "✓") + COUNTIF(E23:AI23, "✔") + COUNTIF(E23:AI23, "v") + COUNTIF(E23:AI23, "V")) + COUNTIF(E23:AI23, "✗") + COUNTIF(E23:AI23, "x") + COUNTIF(E23:AI23, "X"))&gt;0, (COUNTIF(E23:AI23, "✓") + COUNTIF(E23:AI23, "✔") + COUNTIF(E23:AI23, "v") + COUNTIF(E23:AI23, "V")) &amp; "/" &amp; ((COUNTIF(E23:AI23, "✓") + COUNTIF(E23:AI23, "✔") + COUNTIF(E23:AI23, "v") + COUNTIF(E23:AI23, "V")) + COUNTIF(E23:AI23, "✗") + COUNTIF(E23:AI23, "x") + COUNTIF(E23:AI23, "X")), "")))</f>
        <v/>
      </c>
      <c r="AL23" s="110">
        <f>IF(ISBLANK(B23), "", IF(AJ23&gt;=0.85, "🔥 Mastered", IF(AJ23&gt;=0.7, "⚡ Consistent", "⚠️ Needs Focus")))</f>
        <v/>
      </c>
      <c r="AM23">
        <f>COUNTIF(E23:AI23, "✓")</f>
        <v/>
      </c>
    </row>
    <row r="24" ht="14.5" customHeight="1">
      <c r="A24" s="104" t="n">
        <v>7</v>
      </c>
      <c r="B24" s="105" t="n"/>
      <c r="C24" s="106" t="n"/>
      <c r="D24" s="106" t="n"/>
      <c r="E24" s="107" t="n"/>
      <c r="F24" s="107" t="n"/>
      <c r="G24" s="107" t="n"/>
      <c r="H24" s="107" t="n"/>
      <c r="I24" s="107" t="n"/>
      <c r="J24" s="107" t="n"/>
      <c r="K24" s="108" t="n"/>
      <c r="L24" s="107" t="n"/>
      <c r="M24" s="107" t="n"/>
      <c r="N24" s="107" t="n"/>
      <c r="O24" s="107" t="n"/>
      <c r="P24" s="107" t="n"/>
      <c r="Q24" s="107" t="n"/>
      <c r="R24" s="108" t="n"/>
      <c r="S24" s="107" t="n"/>
      <c r="T24" s="107" t="n"/>
      <c r="U24" s="107" t="n"/>
      <c r="V24" s="107" t="n"/>
      <c r="W24" s="107" t="n"/>
      <c r="X24" s="107" t="n"/>
      <c r="Y24" s="108" t="n"/>
      <c r="Z24" s="107" t="n"/>
      <c r="AA24" s="107" t="n"/>
      <c r="AB24" s="107" t="n"/>
      <c r="AC24" s="107" t="n"/>
      <c r="AD24" s="107" t="n"/>
      <c r="AE24" s="107" t="n"/>
      <c r="AF24" s="108" t="n"/>
      <c r="AG24" s="107" t="n"/>
      <c r="AH24" s="107" t="n"/>
      <c r="AI24" s="107" t="n"/>
      <c r="AJ24" s="109">
        <f>IF(ISBLANK(B24), "", IF(ISNUMBER(D24), IF(D24&gt;0, (COUNTIF(E24:AI24, "✓") + COUNTIF(E24:AI24, "✔") + COUNTIF(E24:AI24, "v") + COUNTIF(E24:AI24, "V"))/D24, 0), IF(((COUNTIF(E24:AI24, "✓") + COUNTIF(E24:AI24, "✔") + COUNTIF(E24:AI24, "v") + COUNTIF(E24:AI24, "V")) + COUNTIF(E24:AI24, "✗") + COUNTIF(E24:AI24, "x") + COUNTIF(E24:AI24, "X"))&gt;0, (COUNTIF(E24:AI24, "✓") + COUNTIF(E24:AI24, "✔") + COUNTIF(E24:AI24, "v") + COUNTIF(E24:AI24, "V"))/((COUNTIF(E24:AI24, "✓") + COUNTIF(E24:AI24, "✔") + COUNTIF(E24:AI24, "v") + COUNTIF(E24:AI24, "V")) + COUNTIF(E24:AI24, "✗") + COUNTIF(E24:AI24, "x") + COUNTIF(E24:AI24, "X")), "")))</f>
        <v/>
      </c>
      <c r="AK24" s="110">
        <f>IF(ISBLANK(B24), "", IF(ISNUMBER(D24), IF(D24&gt;0, (COUNTIF(E24:AI24, "✓") + COUNTIF(E24:AI24, "✔") + COUNTIF(E24:AI24, "v") + COUNTIF(E24:AI24, "V")) &amp; "/" &amp; D24, (COUNTIF(E24:AI24, "✓") + COUNTIF(E24:AI24, "✔") + COUNTIF(E24:AI24, "v") + COUNTIF(E24:AI24, "V")) &amp; "/0"), IF(((COUNTIF(E24:AI24, "✓") + COUNTIF(E24:AI24, "✔") + COUNTIF(E24:AI24, "v") + COUNTIF(E24:AI24, "V")) + COUNTIF(E24:AI24, "✗") + COUNTIF(E24:AI24, "x") + COUNTIF(E24:AI24, "X"))&gt;0, (COUNTIF(E24:AI24, "✓") + COUNTIF(E24:AI24, "✔") + COUNTIF(E24:AI24, "v") + COUNTIF(E24:AI24, "V")) &amp; "/" &amp; ((COUNTIF(E24:AI24, "✓") + COUNTIF(E24:AI24, "✔") + COUNTIF(E24:AI24, "v") + COUNTIF(E24:AI24, "V")) + COUNTIF(E24:AI24, "✗") + COUNTIF(E24:AI24, "x") + COUNTIF(E24:AI24, "X")), "")))</f>
        <v/>
      </c>
      <c r="AL24" s="110">
        <f>IF(ISBLANK(B24), "", IF(AJ24&gt;=0.85, "🔥 Mastered", IF(AJ24&gt;=0.7, "⚡ Consistent", "⚠️ Needs Focus")))</f>
        <v/>
      </c>
      <c r="AM24">
        <f>COUNTIF(E24:AI24, "✓")</f>
        <v/>
      </c>
    </row>
    <row r="25" ht="14.5" customHeight="1">
      <c r="A25" s="104" t="n">
        <v>8</v>
      </c>
      <c r="B25" s="105" t="n"/>
      <c r="C25" s="106" t="n"/>
      <c r="D25" s="106" t="n"/>
      <c r="E25" s="107" t="n"/>
      <c r="F25" s="107" t="n"/>
      <c r="G25" s="107" t="n"/>
      <c r="H25" s="107" t="n"/>
      <c r="I25" s="107" t="n"/>
      <c r="J25" s="107" t="n"/>
      <c r="K25" s="108" t="n"/>
      <c r="L25" s="107" t="n"/>
      <c r="M25" s="107" t="n"/>
      <c r="N25" s="107" t="n"/>
      <c r="O25" s="107" t="n"/>
      <c r="P25" s="107" t="n"/>
      <c r="Q25" s="107" t="n"/>
      <c r="R25" s="108" t="n"/>
      <c r="S25" s="107" t="n"/>
      <c r="T25" s="107" t="n"/>
      <c r="U25" s="107" t="n"/>
      <c r="V25" s="107" t="n"/>
      <c r="W25" s="107" t="n"/>
      <c r="X25" s="107" t="n"/>
      <c r="Y25" s="108" t="n"/>
      <c r="Z25" s="107" t="n"/>
      <c r="AA25" s="107" t="n"/>
      <c r="AB25" s="107" t="n"/>
      <c r="AC25" s="107" t="n"/>
      <c r="AD25" s="107" t="n"/>
      <c r="AE25" s="107" t="n"/>
      <c r="AF25" s="108" t="n"/>
      <c r="AG25" s="107" t="n"/>
      <c r="AH25" s="107" t="n"/>
      <c r="AI25" s="107" t="n"/>
      <c r="AJ25" s="109">
        <f>IF(ISBLANK(B25), "", IF(ISNUMBER(D25), IF(D25&gt;0, (COUNTIF(E25:AI25, "✓") + COUNTIF(E25:AI25, "✔") + COUNTIF(E25:AI25, "v") + COUNTIF(E25:AI25, "V"))/D25, 0), IF(((COUNTIF(E25:AI25, "✓") + COUNTIF(E25:AI25, "✔") + COUNTIF(E25:AI25, "v") + COUNTIF(E25:AI25, "V")) + COUNTIF(E25:AI25, "✗") + COUNTIF(E25:AI25, "x") + COUNTIF(E25:AI25, "X"))&gt;0, (COUNTIF(E25:AI25, "✓") + COUNTIF(E25:AI25, "✔") + COUNTIF(E25:AI25, "v") + COUNTIF(E25:AI25, "V"))/((COUNTIF(E25:AI25, "✓") + COUNTIF(E25:AI25, "✔") + COUNTIF(E25:AI25, "v") + COUNTIF(E25:AI25, "V")) + COUNTIF(E25:AI25, "✗") + COUNTIF(E25:AI25, "x") + COUNTIF(E25:AI25, "X")), "")))</f>
        <v/>
      </c>
      <c r="AK25" s="110">
        <f>IF(ISBLANK(B25), "", IF(ISNUMBER(D25), IF(D25&gt;0, (COUNTIF(E25:AI25, "✓") + COUNTIF(E25:AI25, "✔") + COUNTIF(E25:AI25, "v") + COUNTIF(E25:AI25, "V")) &amp; "/" &amp; D25, (COUNTIF(E25:AI25, "✓") + COUNTIF(E25:AI25, "✔") + COUNTIF(E25:AI25, "v") + COUNTIF(E25:AI25, "V")) &amp; "/0"), IF(((COUNTIF(E25:AI25, "✓") + COUNTIF(E25:AI25, "✔") + COUNTIF(E25:AI25, "v") + COUNTIF(E25:AI25, "V")) + COUNTIF(E25:AI25, "✗") + COUNTIF(E25:AI25, "x") + COUNTIF(E25:AI25, "X"))&gt;0, (COUNTIF(E25:AI25, "✓") + COUNTIF(E25:AI25, "✔") + COUNTIF(E25:AI25, "v") + COUNTIF(E25:AI25, "V")) &amp; "/" &amp; ((COUNTIF(E25:AI25, "✓") + COUNTIF(E25:AI25, "✔") + COUNTIF(E25:AI25, "v") + COUNTIF(E25:AI25, "V")) + COUNTIF(E25:AI25, "✗") + COUNTIF(E25:AI25, "x") + COUNTIF(E25:AI25, "X")), "")))</f>
        <v/>
      </c>
      <c r="AL25" s="110">
        <f>IF(ISBLANK(B25), "", IF(AJ25&gt;=0.85, "🔥 Mastered", IF(AJ25&gt;=0.7, "⚡ Consistent", "⚠️ Needs Focus")))</f>
        <v/>
      </c>
      <c r="AM25">
        <f>COUNTIF(E25:AI25, "✓")</f>
        <v/>
      </c>
    </row>
    <row r="26" ht="14.5" customHeight="1">
      <c r="A26" s="111" t="n">
        <v>9</v>
      </c>
      <c r="B26" s="112" t="n"/>
      <c r="C26" s="113" t="n"/>
      <c r="D26" s="113" t="n"/>
      <c r="E26" s="114" t="n"/>
      <c r="F26" s="114" t="n"/>
      <c r="G26" s="114" t="n"/>
      <c r="H26" s="114" t="n"/>
      <c r="I26" s="114" t="n"/>
      <c r="J26" s="114" t="n"/>
      <c r="K26" s="115" t="n"/>
      <c r="L26" s="114" t="n"/>
      <c r="M26" s="114" t="n"/>
      <c r="N26" s="114" t="n"/>
      <c r="O26" s="114" t="n"/>
      <c r="P26" s="114" t="n"/>
      <c r="Q26" s="114" t="n"/>
      <c r="R26" s="115" t="n"/>
      <c r="S26" s="114" t="n"/>
      <c r="T26" s="114" t="n"/>
      <c r="U26" s="114" t="n"/>
      <c r="V26" s="114" t="n"/>
      <c r="W26" s="114" t="n"/>
      <c r="X26" s="114" t="n"/>
      <c r="Y26" s="115" t="n"/>
      <c r="Z26" s="114" t="n"/>
      <c r="AA26" s="114" t="n"/>
      <c r="AB26" s="114" t="n"/>
      <c r="AC26" s="114" t="n"/>
      <c r="AD26" s="114" t="n"/>
      <c r="AE26" s="114" t="n"/>
      <c r="AF26" s="115" t="n"/>
      <c r="AG26" s="114" t="n"/>
      <c r="AH26" s="114" t="n"/>
      <c r="AI26" s="114" t="n"/>
      <c r="AJ26" s="116">
        <f>IF(ISBLANK(B26), "", IF(ISNUMBER(D26), IF(D26&gt;0, (COUNTIF(E26:AI26, "✓") + COUNTIF(E26:AI26, "✔") + COUNTIF(E26:AI26, "v") + COUNTIF(E26:AI26, "V"))/D26, 0), IF(((COUNTIF(E26:AI26, "✓") + COUNTIF(E26:AI26, "✔") + COUNTIF(E26:AI26, "v") + COUNTIF(E26:AI26, "V")) + COUNTIF(E26:AI26, "✗") + COUNTIF(E26:AI26, "x") + COUNTIF(E26:AI26, "X"))&gt;0, (COUNTIF(E26:AI26, "✓") + COUNTIF(E26:AI26, "✔") + COUNTIF(E26:AI26, "v") + COUNTIF(E26:AI26, "V"))/((COUNTIF(E26:AI26, "✓") + COUNTIF(E26:AI26, "✔") + COUNTIF(E26:AI26, "v") + COUNTIF(E26:AI26, "V")) + COUNTIF(E26:AI26, "✗") + COUNTIF(E26:AI26, "x") + COUNTIF(E26:AI26, "X")), "")))</f>
        <v/>
      </c>
      <c r="AK26" s="117">
        <f>IF(ISBLANK(B26), "", IF(ISNUMBER(D26), IF(D26&gt;0, (COUNTIF(E26:AI26, "✓") + COUNTIF(E26:AI26, "✔") + COUNTIF(E26:AI26, "v") + COUNTIF(E26:AI26, "V")) &amp; "/" &amp; D26, (COUNTIF(E26:AI26, "✓") + COUNTIF(E26:AI26, "✔") + COUNTIF(E26:AI26, "v") + COUNTIF(E26:AI26, "V")) &amp; "/0"), IF(((COUNTIF(E26:AI26, "✓") + COUNTIF(E26:AI26, "✔") + COUNTIF(E26:AI26, "v") + COUNTIF(E26:AI26, "V")) + COUNTIF(E26:AI26, "✗") + COUNTIF(E26:AI26, "x") + COUNTIF(E26:AI26, "X"))&gt;0, (COUNTIF(E26:AI26, "✓") + COUNTIF(E26:AI26, "✔") + COUNTIF(E26:AI26, "v") + COUNTIF(E26:AI26, "V")) &amp; "/" &amp; ((COUNTIF(E26:AI26, "✓") + COUNTIF(E26:AI26, "✔") + COUNTIF(E26:AI26, "v") + COUNTIF(E26:AI26, "V")) + COUNTIF(E26:AI26, "✗") + COUNTIF(E26:AI26, "x") + COUNTIF(E26:AI26, "X")), "")))</f>
        <v/>
      </c>
      <c r="AL26" s="117">
        <f>IF(ISBLANK(B26), "", IF(AJ26&gt;=0.85, "🔥 Mastered", IF(AJ26&gt;=0.7, "⚡ Consistent", "⚠️ Needs Focus")))</f>
        <v/>
      </c>
      <c r="AM26">
        <f>COUNTIF(E26:AI26, "✓")</f>
        <v/>
      </c>
    </row>
    <row r="27" ht="14.5" customHeight="1">
      <c r="A27" s="111" t="n">
        <v>10</v>
      </c>
      <c r="B27" s="112" t="n"/>
      <c r="C27" s="113" t="n"/>
      <c r="D27" s="113" t="n"/>
      <c r="E27" s="114" t="n"/>
      <c r="F27" s="114" t="n"/>
      <c r="G27" s="114" t="n"/>
      <c r="H27" s="114" t="n"/>
      <c r="I27" s="114" t="n"/>
      <c r="J27" s="114" t="n"/>
      <c r="K27" s="115" t="n"/>
      <c r="L27" s="114" t="n"/>
      <c r="M27" s="114" t="n"/>
      <c r="N27" s="114" t="n"/>
      <c r="O27" s="114" t="n"/>
      <c r="P27" s="114" t="n"/>
      <c r="Q27" s="114" t="n"/>
      <c r="R27" s="115" t="n"/>
      <c r="S27" s="114" t="n"/>
      <c r="T27" s="114" t="n"/>
      <c r="U27" s="114" t="n"/>
      <c r="V27" s="114" t="n"/>
      <c r="W27" s="114" t="n"/>
      <c r="X27" s="114" t="n"/>
      <c r="Y27" s="115" t="n"/>
      <c r="Z27" s="114" t="n"/>
      <c r="AA27" s="114" t="n"/>
      <c r="AB27" s="114" t="n"/>
      <c r="AC27" s="114" t="n"/>
      <c r="AD27" s="114" t="n"/>
      <c r="AE27" s="114" t="n"/>
      <c r="AF27" s="115" t="n"/>
      <c r="AG27" s="114" t="n"/>
      <c r="AH27" s="114" t="n"/>
      <c r="AI27" s="114" t="n"/>
      <c r="AJ27" s="116">
        <f>IF(ISBLANK(B27), "", IF(ISNUMBER(D27), IF(D27&gt;0, (COUNTIF(E27:AI27, "✓") + COUNTIF(E27:AI27, "✔") + COUNTIF(E27:AI27, "v") + COUNTIF(E27:AI27, "V"))/D27, 0), IF(((COUNTIF(E27:AI27, "✓") + COUNTIF(E27:AI27, "✔") + COUNTIF(E27:AI27, "v") + COUNTIF(E27:AI27, "V")) + COUNTIF(E27:AI27, "✗") + COUNTIF(E27:AI27, "x") + COUNTIF(E27:AI27, "X"))&gt;0, (COUNTIF(E27:AI27, "✓") + COUNTIF(E27:AI27, "✔") + COUNTIF(E27:AI27, "v") + COUNTIF(E27:AI27, "V"))/((COUNTIF(E27:AI27, "✓") + COUNTIF(E27:AI27, "✔") + COUNTIF(E27:AI27, "v") + COUNTIF(E27:AI27, "V")) + COUNTIF(E27:AI27, "✗") + COUNTIF(E27:AI27, "x") + COUNTIF(E27:AI27, "X")), "")))</f>
        <v/>
      </c>
      <c r="AK27" s="117">
        <f>IF(ISBLANK(B27), "", IF(ISNUMBER(D27), IF(D27&gt;0, (COUNTIF(E27:AI27, "✓") + COUNTIF(E27:AI27, "✔") + COUNTIF(E27:AI27, "v") + COUNTIF(E27:AI27, "V")) &amp; "/" &amp; D27, (COUNTIF(E27:AI27, "✓") + COUNTIF(E27:AI27, "✔") + COUNTIF(E27:AI27, "v") + COUNTIF(E27:AI27, "V")) &amp; "/0"), IF(((COUNTIF(E27:AI27, "✓") + COUNTIF(E27:AI27, "✔") + COUNTIF(E27:AI27, "v") + COUNTIF(E27:AI27, "V")) + COUNTIF(E27:AI27, "✗") + COUNTIF(E27:AI27, "x") + COUNTIF(E27:AI27, "X"))&gt;0, (COUNTIF(E27:AI27, "✓") + COUNTIF(E27:AI27, "✔") + COUNTIF(E27:AI27, "v") + COUNTIF(E27:AI27, "V")) &amp; "/" &amp; ((COUNTIF(E27:AI27, "✓") + COUNTIF(E27:AI27, "✔") + COUNTIF(E27:AI27, "v") + COUNTIF(E27:AI27, "V")) + COUNTIF(E27:AI27, "✗") + COUNTIF(E27:AI27, "x") + COUNTIF(E27:AI27, "X")), "")))</f>
        <v/>
      </c>
      <c r="AL27" s="117">
        <f>IF(ISBLANK(B27), "", IF(AJ27&gt;=0.85, "🔥 Mastered", IF(AJ27&gt;=0.7, "⚡ Consistent", "⚠️ Needs Focus")))</f>
        <v/>
      </c>
      <c r="AM27">
        <f>COUNTIF(E27:AI27, "✓")</f>
        <v/>
      </c>
    </row>
    <row r="28" ht="14.5" customHeight="1">
      <c r="A28" s="111" t="n">
        <v>11</v>
      </c>
      <c r="B28" s="112" t="n"/>
      <c r="C28" s="113" t="n"/>
      <c r="D28" s="113" t="n"/>
      <c r="E28" s="114" t="n"/>
      <c r="F28" s="114" t="n"/>
      <c r="G28" s="114" t="n"/>
      <c r="H28" s="114" t="n"/>
      <c r="I28" s="114" t="n"/>
      <c r="J28" s="114" t="n"/>
      <c r="K28" s="115" t="n"/>
      <c r="L28" s="114" t="n"/>
      <c r="M28" s="114" t="n"/>
      <c r="N28" s="114" t="n"/>
      <c r="O28" s="114" t="n"/>
      <c r="P28" s="114" t="n"/>
      <c r="Q28" s="114" t="n"/>
      <c r="R28" s="115" t="n"/>
      <c r="S28" s="114" t="n"/>
      <c r="T28" s="114" t="n"/>
      <c r="U28" s="114" t="n"/>
      <c r="V28" s="114" t="n"/>
      <c r="W28" s="114" t="n"/>
      <c r="X28" s="114" t="n"/>
      <c r="Y28" s="115" t="n"/>
      <c r="Z28" s="114" t="n"/>
      <c r="AA28" s="114" t="n"/>
      <c r="AB28" s="114" t="n"/>
      <c r="AC28" s="114" t="n"/>
      <c r="AD28" s="114" t="n"/>
      <c r="AE28" s="114" t="n"/>
      <c r="AF28" s="115" t="n"/>
      <c r="AG28" s="114" t="n"/>
      <c r="AH28" s="114" t="n"/>
      <c r="AI28" s="114" t="n"/>
      <c r="AJ28" s="116">
        <f>IF(ISBLANK(B28), "", IF(ISNUMBER(D28), IF(D28&gt;0, (COUNTIF(E28:AI28, "✓") + COUNTIF(E28:AI28, "✔") + COUNTIF(E28:AI28, "v") + COUNTIF(E28:AI28, "V"))/D28, 0), IF(((COUNTIF(E28:AI28, "✓") + COUNTIF(E28:AI28, "✔") + COUNTIF(E28:AI28, "v") + COUNTIF(E28:AI28, "V")) + COUNTIF(E28:AI28, "✗") + COUNTIF(E28:AI28, "x") + COUNTIF(E28:AI28, "X"))&gt;0, (COUNTIF(E28:AI28, "✓") + COUNTIF(E28:AI28, "✔") + COUNTIF(E28:AI28, "v") + COUNTIF(E28:AI28, "V"))/((COUNTIF(E28:AI28, "✓") + COUNTIF(E28:AI28, "✔") + COUNTIF(E28:AI28, "v") + COUNTIF(E28:AI28, "V")) + COUNTIF(E28:AI28, "✗") + COUNTIF(E28:AI28, "x") + COUNTIF(E28:AI28, "X")), "")))</f>
        <v/>
      </c>
      <c r="AK28" s="117">
        <f>IF(ISBLANK(B28), "", IF(ISNUMBER(D28), IF(D28&gt;0, (COUNTIF(E28:AI28, "✓") + COUNTIF(E28:AI28, "✔") + COUNTIF(E28:AI28, "v") + COUNTIF(E28:AI28, "V")) &amp; "/" &amp; D28, (COUNTIF(E28:AI28, "✓") + COUNTIF(E28:AI28, "✔") + COUNTIF(E28:AI28, "v") + COUNTIF(E28:AI28, "V")) &amp; "/0"), IF(((COUNTIF(E28:AI28, "✓") + COUNTIF(E28:AI28, "✔") + COUNTIF(E28:AI28, "v") + COUNTIF(E28:AI28, "V")) + COUNTIF(E28:AI28, "✗") + COUNTIF(E28:AI28, "x") + COUNTIF(E28:AI28, "X"))&gt;0, (COUNTIF(E28:AI28, "✓") + COUNTIF(E28:AI28, "✔") + COUNTIF(E28:AI28, "v") + COUNTIF(E28:AI28, "V")) &amp; "/" &amp; ((COUNTIF(E28:AI28, "✓") + COUNTIF(E28:AI28, "✔") + COUNTIF(E28:AI28, "v") + COUNTIF(E28:AI28, "V")) + COUNTIF(E28:AI28, "✗") + COUNTIF(E28:AI28, "x") + COUNTIF(E28:AI28, "X")), "")))</f>
        <v/>
      </c>
      <c r="AL28" s="117">
        <f>IF(ISBLANK(B28), "", IF(AJ28&gt;=0.85, "🔥 Mastered", IF(AJ28&gt;=0.7, "⚡ Consistent", "⚠️ Needs Focus")))</f>
        <v/>
      </c>
      <c r="AM28">
        <f>COUNTIF(E28:AI28, "✓")</f>
        <v/>
      </c>
    </row>
    <row r="29" ht="14.5" customHeight="1">
      <c r="A29" s="111" t="n">
        <v>12</v>
      </c>
      <c r="B29" s="112" t="n"/>
      <c r="C29" s="113" t="n"/>
      <c r="D29" s="113" t="n"/>
      <c r="E29" s="114" t="n"/>
      <c r="F29" s="114" t="n"/>
      <c r="G29" s="114" t="n"/>
      <c r="H29" s="114" t="n"/>
      <c r="I29" s="114" t="n"/>
      <c r="J29" s="114" t="n"/>
      <c r="K29" s="115" t="n"/>
      <c r="L29" s="114" t="n"/>
      <c r="M29" s="114" t="n"/>
      <c r="N29" s="114" t="n"/>
      <c r="O29" s="114" t="n"/>
      <c r="P29" s="114" t="n"/>
      <c r="Q29" s="114" t="n"/>
      <c r="R29" s="115" t="n"/>
      <c r="S29" s="114" t="n"/>
      <c r="T29" s="114" t="n"/>
      <c r="U29" s="114" t="n"/>
      <c r="V29" s="114" t="n"/>
      <c r="W29" s="114" t="n"/>
      <c r="X29" s="114" t="n"/>
      <c r="Y29" s="115" t="n"/>
      <c r="Z29" s="114" t="n"/>
      <c r="AA29" s="114" t="n"/>
      <c r="AB29" s="114" t="n"/>
      <c r="AC29" s="114" t="n"/>
      <c r="AD29" s="114" t="n"/>
      <c r="AE29" s="114" t="n"/>
      <c r="AF29" s="115" t="n"/>
      <c r="AG29" s="114" t="n"/>
      <c r="AH29" s="114" t="n"/>
      <c r="AI29" s="114" t="n"/>
      <c r="AJ29" s="116">
        <f>IF(ISBLANK(B29), "", IF(ISNUMBER(D29), IF(D29&gt;0, (COUNTIF(E29:AI29, "✓") + COUNTIF(E29:AI29, "✔") + COUNTIF(E29:AI29, "v") + COUNTIF(E29:AI29, "V"))/D29, 0), IF(((COUNTIF(E29:AI29, "✓") + COUNTIF(E29:AI29, "✔") + COUNTIF(E29:AI29, "v") + COUNTIF(E29:AI29, "V")) + COUNTIF(E29:AI29, "✗") + COUNTIF(E29:AI29, "x") + COUNTIF(E29:AI29, "X"))&gt;0, (COUNTIF(E29:AI29, "✓") + COUNTIF(E29:AI29, "✔") + COUNTIF(E29:AI29, "v") + COUNTIF(E29:AI29, "V"))/((COUNTIF(E29:AI29, "✓") + COUNTIF(E29:AI29, "✔") + COUNTIF(E29:AI29, "v") + COUNTIF(E29:AI29, "V")) + COUNTIF(E29:AI29, "✗") + COUNTIF(E29:AI29, "x") + COUNTIF(E29:AI29, "X")), "")))</f>
        <v/>
      </c>
      <c r="AK29" s="117">
        <f>IF(ISBLANK(B29), "", IF(ISNUMBER(D29), IF(D29&gt;0, (COUNTIF(E29:AI29, "✓") + COUNTIF(E29:AI29, "✔") + COUNTIF(E29:AI29, "v") + COUNTIF(E29:AI29, "V")) &amp; "/" &amp; D29, (COUNTIF(E29:AI29, "✓") + COUNTIF(E29:AI29, "✔") + COUNTIF(E29:AI29, "v") + COUNTIF(E29:AI29, "V")) &amp; "/0"), IF(((COUNTIF(E29:AI29, "✓") + COUNTIF(E29:AI29, "✔") + COUNTIF(E29:AI29, "v") + COUNTIF(E29:AI29, "V")) + COUNTIF(E29:AI29, "✗") + COUNTIF(E29:AI29, "x") + COUNTIF(E29:AI29, "X"))&gt;0, (COUNTIF(E29:AI29, "✓") + COUNTIF(E29:AI29, "✔") + COUNTIF(E29:AI29, "v") + COUNTIF(E29:AI29, "V")) &amp; "/" &amp; ((COUNTIF(E29:AI29, "✓") + COUNTIF(E29:AI29, "✔") + COUNTIF(E29:AI29, "v") + COUNTIF(E29:AI29, "V")) + COUNTIF(E29:AI29, "✗") + COUNTIF(E29:AI29, "x") + COUNTIF(E29:AI29, "X")), "")))</f>
        <v/>
      </c>
      <c r="AL29" s="117">
        <f>IF(ISBLANK(B29), "", IF(AJ29&gt;=0.85, "🔥 Mastered", IF(AJ29&gt;=0.7, "⚡ Consistent", "⚠️ Needs Focus")))</f>
        <v/>
      </c>
      <c r="AM29">
        <f>COUNTIF(E29:AI29, "✓")</f>
        <v/>
      </c>
    </row>
    <row r="30" ht="14.5" customHeight="1">
      <c r="A30" s="118" t="n">
        <v>13</v>
      </c>
      <c r="B30" s="119" t="n"/>
      <c r="C30" s="120" t="n"/>
      <c r="D30" s="120" t="n"/>
      <c r="E30" s="121" t="n"/>
      <c r="F30" s="121" t="n"/>
      <c r="G30" s="121" t="n"/>
      <c r="H30" s="121" t="n"/>
      <c r="I30" s="121" t="n"/>
      <c r="J30" s="121" t="n"/>
      <c r="K30" s="122" t="n"/>
      <c r="L30" s="121" t="n"/>
      <c r="M30" s="121" t="n"/>
      <c r="N30" s="121" t="n"/>
      <c r="O30" s="121" t="n"/>
      <c r="P30" s="121" t="n"/>
      <c r="Q30" s="121" t="n"/>
      <c r="R30" s="122" t="n"/>
      <c r="S30" s="121" t="n"/>
      <c r="T30" s="121" t="n"/>
      <c r="U30" s="121" t="n"/>
      <c r="V30" s="121" t="n"/>
      <c r="W30" s="121" t="n"/>
      <c r="X30" s="121" t="n"/>
      <c r="Y30" s="122" t="n"/>
      <c r="Z30" s="121" t="n"/>
      <c r="AA30" s="121" t="n"/>
      <c r="AB30" s="121" t="n"/>
      <c r="AC30" s="121" t="n"/>
      <c r="AD30" s="121" t="n"/>
      <c r="AE30" s="121" t="n"/>
      <c r="AF30" s="122" t="n"/>
      <c r="AG30" s="121" t="n"/>
      <c r="AH30" s="121" t="n"/>
      <c r="AI30" s="121" t="n"/>
      <c r="AJ30" s="123">
        <f>IF(ISBLANK(B30), "", IF(ISNUMBER(D30), IF(D30&gt;0, (COUNTIF(E30:AI30, "✓") + COUNTIF(E30:AI30, "✔") + COUNTIF(E30:AI30, "v") + COUNTIF(E30:AI30, "V"))/D30, 0), IF(((COUNTIF(E30:AI30, "✓") + COUNTIF(E30:AI30, "✔") + COUNTIF(E30:AI30, "v") + COUNTIF(E30:AI30, "V")) + COUNTIF(E30:AI30, "✗") + COUNTIF(E30:AI30, "x") + COUNTIF(E30:AI30, "X"))&gt;0, (COUNTIF(E30:AI30, "✓") + COUNTIF(E30:AI30, "✔") + COUNTIF(E30:AI30, "v") + COUNTIF(E30:AI30, "V"))/((COUNTIF(E30:AI30, "✓") + COUNTIF(E30:AI30, "✔") + COUNTIF(E30:AI30, "v") + COUNTIF(E30:AI30, "V")) + COUNTIF(E30:AI30, "✗") + COUNTIF(E30:AI30, "x") + COUNTIF(E30:AI30, "X")), "")))</f>
        <v/>
      </c>
      <c r="AK30" s="124">
        <f>IF(ISBLANK(B30), "", IF(ISNUMBER(D30), IF(D30&gt;0, (COUNTIF(E30:AI30, "✓") + COUNTIF(E30:AI30, "✔") + COUNTIF(E30:AI30, "v") + COUNTIF(E30:AI30, "V")) &amp; "/" &amp; D30, (COUNTIF(E30:AI30, "✓") + COUNTIF(E30:AI30, "✔") + COUNTIF(E30:AI30, "v") + COUNTIF(E30:AI30, "V")) &amp; "/0"), IF(((COUNTIF(E30:AI30, "✓") + COUNTIF(E30:AI30, "✔") + COUNTIF(E30:AI30, "v") + COUNTIF(E30:AI30, "V")) + COUNTIF(E30:AI30, "✗") + COUNTIF(E30:AI30, "x") + COUNTIF(E30:AI30, "X"))&gt;0, (COUNTIF(E30:AI30, "✓") + COUNTIF(E30:AI30, "✔") + COUNTIF(E30:AI30, "v") + COUNTIF(E30:AI30, "V")) &amp; "/" &amp; ((COUNTIF(E30:AI30, "✓") + COUNTIF(E30:AI30, "✔") + COUNTIF(E30:AI30, "v") + COUNTIF(E30:AI30, "V")) + COUNTIF(E30:AI30, "✗") + COUNTIF(E30:AI30, "x") + COUNTIF(E30:AI30, "X")), "")))</f>
        <v/>
      </c>
      <c r="AL30" s="124">
        <f>IF(ISBLANK(B30), "", IF(AJ30&gt;=0.85, "🔥 Mastered", IF(AJ30&gt;=0.7, "⚡ Consistent", "⚠️ Needs Focus")))</f>
        <v/>
      </c>
      <c r="AM30">
        <f>COUNTIF(E30:AI30, "✓")</f>
        <v/>
      </c>
    </row>
    <row r="31" ht="14.5" customHeight="1">
      <c r="A31" s="118" t="n">
        <v>14</v>
      </c>
      <c r="B31" s="119" t="n"/>
      <c r="C31" s="120" t="n"/>
      <c r="D31" s="120" t="n"/>
      <c r="E31" s="121" t="n"/>
      <c r="F31" s="121" t="n"/>
      <c r="G31" s="121" t="n"/>
      <c r="H31" s="121" t="n"/>
      <c r="I31" s="121" t="n"/>
      <c r="J31" s="121" t="n"/>
      <c r="K31" s="122" t="n"/>
      <c r="L31" s="121" t="n"/>
      <c r="M31" s="121" t="n"/>
      <c r="N31" s="121" t="n"/>
      <c r="O31" s="121" t="n"/>
      <c r="P31" s="121" t="n"/>
      <c r="Q31" s="121" t="n"/>
      <c r="R31" s="122" t="n"/>
      <c r="S31" s="121" t="n"/>
      <c r="T31" s="121" t="n"/>
      <c r="U31" s="121" t="n"/>
      <c r="V31" s="121" t="n"/>
      <c r="W31" s="121" t="n"/>
      <c r="X31" s="121" t="n"/>
      <c r="Y31" s="122" t="n"/>
      <c r="Z31" s="121" t="n"/>
      <c r="AA31" s="121" t="n"/>
      <c r="AB31" s="121" t="n"/>
      <c r="AC31" s="121" t="n"/>
      <c r="AD31" s="121" t="n"/>
      <c r="AE31" s="121" t="n"/>
      <c r="AF31" s="122" t="n"/>
      <c r="AG31" s="121" t="n"/>
      <c r="AH31" s="121" t="n"/>
      <c r="AI31" s="121" t="n"/>
      <c r="AJ31" s="123">
        <f>IF(ISBLANK(B31), "", IF(ISNUMBER(D31), IF(D31&gt;0, (COUNTIF(E31:AI31, "✓") + COUNTIF(E31:AI31, "✔") + COUNTIF(E31:AI31, "v") + COUNTIF(E31:AI31, "V"))/D31, 0), IF(((COUNTIF(E31:AI31, "✓") + COUNTIF(E31:AI31, "✔") + COUNTIF(E31:AI31, "v") + COUNTIF(E31:AI31, "V")) + COUNTIF(E31:AI31, "✗") + COUNTIF(E31:AI31, "x") + COUNTIF(E31:AI31, "X"))&gt;0, (COUNTIF(E31:AI31, "✓") + COUNTIF(E31:AI31, "✔") + COUNTIF(E31:AI31, "v") + COUNTIF(E31:AI31, "V"))/((COUNTIF(E31:AI31, "✓") + COUNTIF(E31:AI31, "✔") + COUNTIF(E31:AI31, "v") + COUNTIF(E31:AI31, "V")) + COUNTIF(E31:AI31, "✗") + COUNTIF(E31:AI31, "x") + COUNTIF(E31:AI31, "X")), "")))</f>
        <v/>
      </c>
      <c r="AK31" s="124">
        <f>IF(ISBLANK(B31), "", IF(ISNUMBER(D31), IF(D31&gt;0, (COUNTIF(E31:AI31, "✓") + COUNTIF(E31:AI31, "✔") + COUNTIF(E31:AI31, "v") + COUNTIF(E31:AI31, "V")) &amp; "/" &amp; D31, (COUNTIF(E31:AI31, "✓") + COUNTIF(E31:AI31, "✔") + COUNTIF(E31:AI31, "v") + COUNTIF(E31:AI31, "V")) &amp; "/0"), IF(((COUNTIF(E31:AI31, "✓") + COUNTIF(E31:AI31, "✔") + COUNTIF(E31:AI31, "v") + COUNTIF(E31:AI31, "V")) + COUNTIF(E31:AI31, "✗") + COUNTIF(E31:AI31, "x") + COUNTIF(E31:AI31, "X"))&gt;0, (COUNTIF(E31:AI31, "✓") + COUNTIF(E31:AI31, "✔") + COUNTIF(E31:AI31, "v") + COUNTIF(E31:AI31, "V")) &amp; "/" &amp; ((COUNTIF(E31:AI31, "✓") + COUNTIF(E31:AI31, "✔") + COUNTIF(E31:AI31, "v") + COUNTIF(E31:AI31, "V")) + COUNTIF(E31:AI31, "✗") + COUNTIF(E31:AI31, "x") + COUNTIF(E31:AI31, "X")), "")))</f>
        <v/>
      </c>
      <c r="AL31" s="124">
        <f>IF(ISBLANK(B31), "", IF(AJ31&gt;=0.85, "🔥 Mastered", IF(AJ31&gt;=0.7, "⚡ Consistent", "⚠️ Needs Focus")))</f>
        <v/>
      </c>
      <c r="AM31">
        <f>COUNTIF(E31:AI31, "✓")</f>
        <v/>
      </c>
    </row>
    <row r="32" ht="14.5" customHeight="1">
      <c r="A32" s="118" t="n">
        <v>15</v>
      </c>
      <c r="B32" s="119" t="n"/>
      <c r="C32" s="120" t="n"/>
      <c r="D32" s="120" t="n"/>
      <c r="E32" s="121" t="n"/>
      <c r="F32" s="121" t="n"/>
      <c r="G32" s="121" t="n"/>
      <c r="H32" s="121" t="n"/>
      <c r="I32" s="121" t="n"/>
      <c r="J32" s="121" t="n"/>
      <c r="K32" s="122" t="n"/>
      <c r="L32" s="121" t="n"/>
      <c r="M32" s="121" t="n"/>
      <c r="N32" s="121" t="n"/>
      <c r="O32" s="121" t="n"/>
      <c r="P32" s="121" t="n"/>
      <c r="Q32" s="121" t="n"/>
      <c r="R32" s="122" t="n"/>
      <c r="S32" s="121" t="n"/>
      <c r="T32" s="121" t="n"/>
      <c r="U32" s="121" t="n"/>
      <c r="V32" s="121" t="n"/>
      <c r="W32" s="121" t="n"/>
      <c r="X32" s="121" t="n"/>
      <c r="Y32" s="122" t="n"/>
      <c r="Z32" s="121" t="n"/>
      <c r="AA32" s="121" t="n"/>
      <c r="AB32" s="121" t="n"/>
      <c r="AC32" s="121" t="n"/>
      <c r="AD32" s="121" t="n"/>
      <c r="AE32" s="121" t="n"/>
      <c r="AF32" s="122" t="n"/>
      <c r="AG32" s="121" t="n"/>
      <c r="AH32" s="121" t="n"/>
      <c r="AI32" s="121" t="n"/>
      <c r="AJ32" s="123">
        <f>IF(ISBLANK(B32), "", IF(ISNUMBER(D32), IF(D32&gt;0, (COUNTIF(E32:AI32, "✓") + COUNTIF(E32:AI32, "✔") + COUNTIF(E32:AI32, "v") + COUNTIF(E32:AI32, "V"))/D32, 0), IF(((COUNTIF(E32:AI32, "✓") + COUNTIF(E32:AI32, "✔") + COUNTIF(E32:AI32, "v") + COUNTIF(E32:AI32, "V")) + COUNTIF(E32:AI32, "✗") + COUNTIF(E32:AI32, "x") + COUNTIF(E32:AI32, "X"))&gt;0, (COUNTIF(E32:AI32, "✓") + COUNTIF(E32:AI32, "✔") + COUNTIF(E32:AI32, "v") + COUNTIF(E32:AI32, "V"))/((COUNTIF(E32:AI32, "✓") + COUNTIF(E32:AI32, "✔") + COUNTIF(E32:AI32, "v") + COUNTIF(E32:AI32, "V")) + COUNTIF(E32:AI32, "✗") + COUNTIF(E32:AI32, "x") + COUNTIF(E32:AI32, "X")), "")))</f>
        <v/>
      </c>
      <c r="AK32" s="124">
        <f>IF(ISBLANK(B32), "", IF(ISNUMBER(D32), IF(D32&gt;0, (COUNTIF(E32:AI32, "✓") + COUNTIF(E32:AI32, "✔") + COUNTIF(E32:AI32, "v") + COUNTIF(E32:AI32, "V")) &amp; "/" &amp; D32, (COUNTIF(E32:AI32, "✓") + COUNTIF(E32:AI32, "✔") + COUNTIF(E32:AI32, "v") + COUNTIF(E32:AI32, "V")) &amp; "/0"), IF(((COUNTIF(E32:AI32, "✓") + COUNTIF(E32:AI32, "✔") + COUNTIF(E32:AI32, "v") + COUNTIF(E32:AI32, "V")) + COUNTIF(E32:AI32, "✗") + COUNTIF(E32:AI32, "x") + COUNTIF(E32:AI32, "X"))&gt;0, (COUNTIF(E32:AI32, "✓") + COUNTIF(E32:AI32, "✔") + COUNTIF(E32:AI32, "v") + COUNTIF(E32:AI32, "V")) &amp; "/" &amp; ((COUNTIF(E32:AI32, "✓") + COUNTIF(E32:AI32, "✔") + COUNTIF(E32:AI32, "v") + COUNTIF(E32:AI32, "V")) + COUNTIF(E32:AI32, "✗") + COUNTIF(E32:AI32, "x") + COUNTIF(E32:AI32, "X")), "")))</f>
        <v/>
      </c>
      <c r="AL32" s="124">
        <f>IF(ISBLANK(B32), "", IF(AJ32&gt;=0.85, "🔥 Mastered", IF(AJ32&gt;=0.7, "⚡ Consistent", "⚠️ Needs Focus")))</f>
        <v/>
      </c>
      <c r="AM32">
        <f>COUNTIF(E32:AI32, "✓")</f>
        <v/>
      </c>
    </row>
    <row r="33" ht="14.5" customHeight="1">
      <c r="A33" s="118" t="n">
        <v>16</v>
      </c>
      <c r="B33" s="119" t="n"/>
      <c r="C33" s="120" t="n"/>
      <c r="D33" s="120" t="n"/>
      <c r="E33" s="121" t="n"/>
      <c r="F33" s="121" t="n"/>
      <c r="G33" s="121" t="n"/>
      <c r="H33" s="121" t="n"/>
      <c r="I33" s="121" t="n"/>
      <c r="J33" s="121" t="n"/>
      <c r="K33" s="122" t="n"/>
      <c r="L33" s="121" t="n"/>
      <c r="M33" s="121" t="n"/>
      <c r="N33" s="121" t="n"/>
      <c r="O33" s="121" t="n"/>
      <c r="P33" s="121" t="n"/>
      <c r="Q33" s="121" t="n"/>
      <c r="R33" s="122" t="n"/>
      <c r="S33" s="121" t="n"/>
      <c r="T33" s="121" t="n"/>
      <c r="U33" s="121" t="n"/>
      <c r="V33" s="121" t="n"/>
      <c r="W33" s="121" t="n"/>
      <c r="X33" s="121" t="n"/>
      <c r="Y33" s="122" t="n"/>
      <c r="Z33" s="121" t="n"/>
      <c r="AA33" s="121" t="n"/>
      <c r="AB33" s="121" t="n"/>
      <c r="AC33" s="121" t="n"/>
      <c r="AD33" s="121" t="n"/>
      <c r="AE33" s="121" t="n"/>
      <c r="AF33" s="122" t="n"/>
      <c r="AG33" s="121" t="n"/>
      <c r="AH33" s="121" t="n"/>
      <c r="AI33" s="121" t="n"/>
      <c r="AJ33" s="123">
        <f>IF(ISBLANK(B33), "", IF(ISNUMBER(D33), IF(D33&gt;0, (COUNTIF(E33:AI33, "✓") + COUNTIF(E33:AI33, "✔") + COUNTIF(E33:AI33, "v") + COUNTIF(E33:AI33, "V"))/D33, 0), IF(((COUNTIF(E33:AI33, "✓") + COUNTIF(E33:AI33, "✔") + COUNTIF(E33:AI33, "v") + COUNTIF(E33:AI33, "V")) + COUNTIF(E33:AI33, "✗") + COUNTIF(E33:AI33, "x") + COUNTIF(E33:AI33, "X"))&gt;0, (COUNTIF(E33:AI33, "✓") + COUNTIF(E33:AI33, "✔") + COUNTIF(E33:AI33, "v") + COUNTIF(E33:AI33, "V"))/((COUNTIF(E33:AI33, "✓") + COUNTIF(E33:AI33, "✔") + COUNTIF(E33:AI33, "v") + COUNTIF(E33:AI33, "V")) + COUNTIF(E33:AI33, "✗") + COUNTIF(E33:AI33, "x") + COUNTIF(E33:AI33, "X")), "")))</f>
        <v/>
      </c>
      <c r="AK33" s="124">
        <f>IF(ISBLANK(B33), "", IF(ISNUMBER(D33), IF(D33&gt;0, (COUNTIF(E33:AI33, "✓") + COUNTIF(E33:AI33, "✔") + COUNTIF(E33:AI33, "v") + COUNTIF(E33:AI33, "V")) &amp; "/" &amp; D33, (COUNTIF(E33:AI33, "✓") + COUNTIF(E33:AI33, "✔") + COUNTIF(E33:AI33, "v") + COUNTIF(E33:AI33, "V")) &amp; "/0"), IF(((COUNTIF(E33:AI33, "✓") + COUNTIF(E33:AI33, "✔") + COUNTIF(E33:AI33, "v") + COUNTIF(E33:AI33, "V")) + COUNTIF(E33:AI33, "✗") + COUNTIF(E33:AI33, "x") + COUNTIF(E33:AI33, "X"))&gt;0, (COUNTIF(E33:AI33, "✓") + COUNTIF(E33:AI33, "✔") + COUNTIF(E33:AI33, "v") + COUNTIF(E33:AI33, "V")) &amp; "/" &amp; ((COUNTIF(E33:AI33, "✓") + COUNTIF(E33:AI33, "✔") + COUNTIF(E33:AI33, "v") + COUNTIF(E33:AI33, "V")) + COUNTIF(E33:AI33, "✗") + COUNTIF(E33:AI33, "x") + COUNTIF(E33:AI33, "X")), "")))</f>
        <v/>
      </c>
      <c r="AL33" s="124">
        <f>IF(ISBLANK(B33), "", IF(AJ33&gt;=0.85, "🔥 Mastered", IF(AJ33&gt;=0.7, "⚡ Consistent", "⚠️ Needs Focus")))</f>
        <v/>
      </c>
      <c r="AM33">
        <f>COUNTIF(E33:AI33, "✓")</f>
        <v/>
      </c>
    </row>
    <row r="34" ht="14.5" customHeight="1">
      <c r="A34" s="125" t="n">
        <v>17</v>
      </c>
      <c r="B34" s="126" t="n"/>
      <c r="C34" s="127" t="n"/>
      <c r="D34" s="127" t="n"/>
      <c r="E34" s="128" t="n"/>
      <c r="F34" s="128" t="n"/>
      <c r="G34" s="128" t="n"/>
      <c r="H34" s="128" t="n"/>
      <c r="I34" s="128" t="n"/>
      <c r="J34" s="128" t="n"/>
      <c r="K34" s="129" t="n"/>
      <c r="L34" s="128" t="n"/>
      <c r="M34" s="128" t="n"/>
      <c r="N34" s="128" t="n"/>
      <c r="O34" s="128" t="n"/>
      <c r="P34" s="128" t="n"/>
      <c r="Q34" s="128" t="n"/>
      <c r="R34" s="129" t="n"/>
      <c r="S34" s="128" t="n"/>
      <c r="T34" s="128" t="n"/>
      <c r="U34" s="128" t="n"/>
      <c r="V34" s="128" t="n"/>
      <c r="W34" s="128" t="n"/>
      <c r="X34" s="128" t="n"/>
      <c r="Y34" s="129" t="n"/>
      <c r="Z34" s="128" t="n"/>
      <c r="AA34" s="128" t="n"/>
      <c r="AB34" s="128" t="n"/>
      <c r="AC34" s="128" t="n"/>
      <c r="AD34" s="128" t="n"/>
      <c r="AE34" s="128" t="n"/>
      <c r="AF34" s="129" t="n"/>
      <c r="AG34" s="128" t="n"/>
      <c r="AH34" s="128" t="n"/>
      <c r="AI34" s="128" t="n"/>
      <c r="AJ34" s="130">
        <f>IF(ISBLANK(B34), "", IF(ISNUMBER(D34), IF(D34&gt;0, (COUNTIF(E34:AI34, "✓") + COUNTIF(E34:AI34, "✔") + COUNTIF(E34:AI34, "v") + COUNTIF(E34:AI34, "V"))/D34, 0), IF(((COUNTIF(E34:AI34, "✓") + COUNTIF(E34:AI34, "✔") + COUNTIF(E34:AI34, "v") + COUNTIF(E34:AI34, "V")) + COUNTIF(E34:AI34, "✗") + COUNTIF(E34:AI34, "x") + COUNTIF(E34:AI34, "X"))&gt;0, (COUNTIF(E34:AI34, "✓") + COUNTIF(E34:AI34, "✔") + COUNTIF(E34:AI34, "v") + COUNTIF(E34:AI34, "V"))/((COUNTIF(E34:AI34, "✓") + COUNTIF(E34:AI34, "✔") + COUNTIF(E34:AI34, "v") + COUNTIF(E34:AI34, "V")) + COUNTIF(E34:AI34, "✗") + COUNTIF(E34:AI34, "x") + COUNTIF(E34:AI34, "X")), "")))</f>
        <v/>
      </c>
      <c r="AK34" s="131">
        <f>IF(ISBLANK(B34), "", IF(ISNUMBER(D34), IF(D34&gt;0, (COUNTIF(E34:AI34, "✓") + COUNTIF(E34:AI34, "✔") + COUNTIF(E34:AI34, "v") + COUNTIF(E34:AI34, "V")) &amp; "/" &amp; D34, (COUNTIF(E34:AI34, "✓") + COUNTIF(E34:AI34, "✔") + COUNTIF(E34:AI34, "v") + COUNTIF(E34:AI34, "V")) &amp; "/0"), IF(((COUNTIF(E34:AI34, "✓") + COUNTIF(E34:AI34, "✔") + COUNTIF(E34:AI34, "v") + COUNTIF(E34:AI34, "V")) + COUNTIF(E34:AI34, "✗") + COUNTIF(E34:AI34, "x") + COUNTIF(E34:AI34, "X"))&gt;0, (COUNTIF(E34:AI34, "✓") + COUNTIF(E34:AI34, "✔") + COUNTIF(E34:AI34, "v") + COUNTIF(E34:AI34, "V")) &amp; "/" &amp; ((COUNTIF(E34:AI34, "✓") + COUNTIF(E34:AI34, "✔") + COUNTIF(E34:AI34, "v") + COUNTIF(E34:AI34, "V")) + COUNTIF(E34:AI34, "✗") + COUNTIF(E34:AI34, "x") + COUNTIF(E34:AI34, "X")), "")))</f>
        <v/>
      </c>
      <c r="AL34" s="131">
        <f>IF(ISBLANK(B34), "", IF(AJ34&gt;=0.85, "🔥 Mastered", IF(AJ34&gt;=0.7, "⚡ Consistent", "⚠️ Needs Focus")))</f>
        <v/>
      </c>
      <c r="AM34">
        <f>COUNTIF(E34:AI34, "✓")</f>
        <v/>
      </c>
    </row>
    <row r="35" ht="14.5" customHeight="1">
      <c r="A35" s="125" t="n">
        <v>18</v>
      </c>
      <c r="B35" s="126" t="n"/>
      <c r="C35" s="127" t="n"/>
      <c r="D35" s="127" t="n"/>
      <c r="E35" s="128" t="n"/>
      <c r="F35" s="128" t="n"/>
      <c r="G35" s="128" t="n"/>
      <c r="H35" s="128" t="n"/>
      <c r="I35" s="128" t="n"/>
      <c r="J35" s="128" t="n"/>
      <c r="K35" s="129" t="n"/>
      <c r="L35" s="128" t="n"/>
      <c r="M35" s="128" t="n"/>
      <c r="N35" s="128" t="n"/>
      <c r="O35" s="128" t="n"/>
      <c r="P35" s="128" t="n"/>
      <c r="Q35" s="128" t="n"/>
      <c r="R35" s="129" t="n"/>
      <c r="S35" s="128" t="n"/>
      <c r="T35" s="128" t="n"/>
      <c r="U35" s="128" t="n"/>
      <c r="V35" s="128" t="n"/>
      <c r="W35" s="128" t="n"/>
      <c r="X35" s="128" t="n"/>
      <c r="Y35" s="129" t="n"/>
      <c r="Z35" s="128" t="n"/>
      <c r="AA35" s="128" t="n"/>
      <c r="AB35" s="128" t="n"/>
      <c r="AC35" s="128" t="n"/>
      <c r="AD35" s="128" t="n"/>
      <c r="AE35" s="128" t="n"/>
      <c r="AF35" s="129" t="n"/>
      <c r="AG35" s="128" t="n"/>
      <c r="AH35" s="128" t="n"/>
      <c r="AI35" s="128" t="n"/>
      <c r="AJ35" s="130">
        <f>IF(ISBLANK(B35), "", IF(ISNUMBER(D35), IF(D35&gt;0, (COUNTIF(E35:AI35, "✓") + COUNTIF(E35:AI35, "✔") + COUNTIF(E35:AI35, "v") + COUNTIF(E35:AI35, "V"))/D35, 0), IF(((COUNTIF(E35:AI35, "✓") + COUNTIF(E35:AI35, "✔") + COUNTIF(E35:AI35, "v") + COUNTIF(E35:AI35, "V")) + COUNTIF(E35:AI35, "✗") + COUNTIF(E35:AI35, "x") + COUNTIF(E35:AI35, "X"))&gt;0, (COUNTIF(E35:AI35, "✓") + COUNTIF(E35:AI35, "✔") + COUNTIF(E35:AI35, "v") + COUNTIF(E35:AI35, "V"))/((COUNTIF(E35:AI35, "✓") + COUNTIF(E35:AI35, "✔") + COUNTIF(E35:AI35, "v") + COUNTIF(E35:AI35, "V")) + COUNTIF(E35:AI35, "✗") + COUNTIF(E35:AI35, "x") + COUNTIF(E35:AI35, "X")), "")))</f>
        <v/>
      </c>
      <c r="AK35" s="131">
        <f>IF(ISBLANK(B35), "", IF(ISNUMBER(D35), IF(D35&gt;0, (COUNTIF(E35:AI35, "✓") + COUNTIF(E35:AI35, "✔") + COUNTIF(E35:AI35, "v") + COUNTIF(E35:AI35, "V")) &amp; "/" &amp; D35, (COUNTIF(E35:AI35, "✓") + COUNTIF(E35:AI35, "✔") + COUNTIF(E35:AI35, "v") + COUNTIF(E35:AI35, "V")) &amp; "/0"), IF(((COUNTIF(E35:AI35, "✓") + COUNTIF(E35:AI35, "✔") + COUNTIF(E35:AI35, "v") + COUNTIF(E35:AI35, "V")) + COUNTIF(E35:AI35, "✗") + COUNTIF(E35:AI35, "x") + COUNTIF(E35:AI35, "X"))&gt;0, (COUNTIF(E35:AI35, "✓") + COUNTIF(E35:AI35, "✔") + COUNTIF(E35:AI35, "v") + COUNTIF(E35:AI35, "V")) &amp; "/" &amp; ((COUNTIF(E35:AI35, "✓") + COUNTIF(E35:AI35, "✔") + COUNTIF(E35:AI35, "v") + COUNTIF(E35:AI35, "V")) + COUNTIF(E35:AI35, "✗") + COUNTIF(E35:AI35, "x") + COUNTIF(E35:AI35, "X")), "")))</f>
        <v/>
      </c>
      <c r="AL35" s="131">
        <f>IF(ISBLANK(B35), "", IF(AJ35&gt;=0.85, "🔥 Mastered", IF(AJ35&gt;=0.7, "⚡ Consistent", "⚠️ Needs Focus")))</f>
        <v/>
      </c>
      <c r="AM35">
        <f>COUNTIF(E35:AI35, "✓")</f>
        <v/>
      </c>
    </row>
    <row r="36" ht="14.5" customHeight="1">
      <c r="A36" s="125" t="n">
        <v>19</v>
      </c>
      <c r="B36" s="126" t="n"/>
      <c r="C36" s="127" t="n"/>
      <c r="D36" s="127" t="n"/>
      <c r="E36" s="128" t="n"/>
      <c r="F36" s="128" t="n"/>
      <c r="G36" s="128" t="n"/>
      <c r="H36" s="128" t="n"/>
      <c r="I36" s="128" t="n"/>
      <c r="J36" s="128" t="n"/>
      <c r="K36" s="129" t="n"/>
      <c r="L36" s="128" t="n"/>
      <c r="M36" s="128" t="n"/>
      <c r="N36" s="128" t="n"/>
      <c r="O36" s="128" t="n"/>
      <c r="P36" s="128" t="n"/>
      <c r="Q36" s="128" t="n"/>
      <c r="R36" s="129" t="n"/>
      <c r="S36" s="128" t="n"/>
      <c r="T36" s="128" t="n"/>
      <c r="U36" s="128" t="n"/>
      <c r="V36" s="128" t="n"/>
      <c r="W36" s="128" t="n"/>
      <c r="X36" s="128" t="n"/>
      <c r="Y36" s="129" t="n"/>
      <c r="Z36" s="128" t="n"/>
      <c r="AA36" s="128" t="n"/>
      <c r="AB36" s="128" t="n"/>
      <c r="AC36" s="128" t="n"/>
      <c r="AD36" s="128" t="n"/>
      <c r="AE36" s="128" t="n"/>
      <c r="AF36" s="129" t="n"/>
      <c r="AG36" s="128" t="n"/>
      <c r="AH36" s="128" t="n"/>
      <c r="AI36" s="128" t="n"/>
      <c r="AJ36" s="130">
        <f>IF(ISBLANK(B36), "", IF(ISNUMBER(D36), IF(D36&gt;0, (COUNTIF(E36:AI36, "✓") + COUNTIF(E36:AI36, "✔") + COUNTIF(E36:AI36, "v") + COUNTIF(E36:AI36, "V"))/D36, 0), IF(((COUNTIF(E36:AI36, "✓") + COUNTIF(E36:AI36, "✔") + COUNTIF(E36:AI36, "v") + COUNTIF(E36:AI36, "V")) + COUNTIF(E36:AI36, "✗") + COUNTIF(E36:AI36, "x") + COUNTIF(E36:AI36, "X"))&gt;0, (COUNTIF(E36:AI36, "✓") + COUNTIF(E36:AI36, "✔") + COUNTIF(E36:AI36, "v") + COUNTIF(E36:AI36, "V"))/((COUNTIF(E36:AI36, "✓") + COUNTIF(E36:AI36, "✔") + COUNTIF(E36:AI36, "v") + COUNTIF(E36:AI36, "V")) + COUNTIF(E36:AI36, "✗") + COUNTIF(E36:AI36, "x") + COUNTIF(E36:AI36, "X")), "")))</f>
        <v/>
      </c>
      <c r="AK36" s="131">
        <f>IF(ISBLANK(B36), "", IF(ISNUMBER(D36), IF(D36&gt;0, (COUNTIF(E36:AI36, "✓") + COUNTIF(E36:AI36, "✔") + COUNTIF(E36:AI36, "v") + COUNTIF(E36:AI36, "V")) &amp; "/" &amp; D36, (COUNTIF(E36:AI36, "✓") + COUNTIF(E36:AI36, "✔") + COUNTIF(E36:AI36, "v") + COUNTIF(E36:AI36, "V")) &amp; "/0"), IF(((COUNTIF(E36:AI36, "✓") + COUNTIF(E36:AI36, "✔") + COUNTIF(E36:AI36, "v") + COUNTIF(E36:AI36, "V")) + COUNTIF(E36:AI36, "✗") + COUNTIF(E36:AI36, "x") + COUNTIF(E36:AI36, "X"))&gt;0, (COUNTIF(E36:AI36, "✓") + COUNTIF(E36:AI36, "✔") + COUNTIF(E36:AI36, "v") + COUNTIF(E36:AI36, "V")) &amp; "/" &amp; ((COUNTIF(E36:AI36, "✓") + COUNTIF(E36:AI36, "✔") + COUNTIF(E36:AI36, "v") + COUNTIF(E36:AI36, "V")) + COUNTIF(E36:AI36, "✗") + COUNTIF(E36:AI36, "x") + COUNTIF(E36:AI36, "X")), "")))</f>
        <v/>
      </c>
      <c r="AL36" s="131">
        <f>IF(ISBLANK(B36), "", IF(AJ36&gt;=0.85, "🔥 Mastered", IF(AJ36&gt;=0.7, "⚡ Consistent", "⚠️ Needs Focus")))</f>
        <v/>
      </c>
      <c r="AM36">
        <f>COUNTIF(E36:AI36, "✓")</f>
        <v/>
      </c>
    </row>
    <row r="37" ht="14.5" customHeight="1">
      <c r="A37" s="125" t="n">
        <v>20</v>
      </c>
      <c r="B37" s="126" t="n"/>
      <c r="C37" s="127" t="n"/>
      <c r="D37" s="127" t="n"/>
      <c r="E37" s="128" t="n"/>
      <c r="F37" s="128" t="n"/>
      <c r="G37" s="128" t="n"/>
      <c r="H37" s="128" t="n"/>
      <c r="I37" s="128" t="n"/>
      <c r="J37" s="128" t="n"/>
      <c r="K37" s="129" t="n"/>
      <c r="L37" s="128" t="n"/>
      <c r="M37" s="128" t="n"/>
      <c r="N37" s="128" t="n"/>
      <c r="O37" s="128" t="n"/>
      <c r="P37" s="128" t="n"/>
      <c r="Q37" s="128" t="n"/>
      <c r="R37" s="129" t="n"/>
      <c r="S37" s="128" t="n"/>
      <c r="T37" s="128" t="n"/>
      <c r="U37" s="128" t="n"/>
      <c r="V37" s="128" t="n"/>
      <c r="W37" s="128" t="n"/>
      <c r="X37" s="128" t="n"/>
      <c r="Y37" s="129" t="n"/>
      <c r="Z37" s="128" t="n"/>
      <c r="AA37" s="128" t="n"/>
      <c r="AB37" s="128" t="n"/>
      <c r="AC37" s="128" t="n"/>
      <c r="AD37" s="128" t="n"/>
      <c r="AE37" s="128" t="n"/>
      <c r="AF37" s="129" t="n"/>
      <c r="AG37" s="128" t="n"/>
      <c r="AH37" s="128" t="n"/>
      <c r="AI37" s="128" t="n"/>
      <c r="AJ37" s="130">
        <f>IF(ISBLANK(B37), "", IF(ISNUMBER(D37), IF(D37&gt;0, (COUNTIF(E37:AI37, "✓") + COUNTIF(E37:AI37, "✔") + COUNTIF(E37:AI37, "v") + COUNTIF(E37:AI37, "V"))/D37, 0), IF(((COUNTIF(E37:AI37, "✓") + COUNTIF(E37:AI37, "✔") + COUNTIF(E37:AI37, "v") + COUNTIF(E37:AI37, "V")) + COUNTIF(E37:AI37, "✗") + COUNTIF(E37:AI37, "x") + COUNTIF(E37:AI37, "X"))&gt;0, (COUNTIF(E37:AI37, "✓") + COUNTIF(E37:AI37, "✔") + COUNTIF(E37:AI37, "v") + COUNTIF(E37:AI37, "V"))/((COUNTIF(E37:AI37, "✓") + COUNTIF(E37:AI37, "✔") + COUNTIF(E37:AI37, "v") + COUNTIF(E37:AI37, "V")) + COUNTIF(E37:AI37, "✗") + COUNTIF(E37:AI37, "x") + COUNTIF(E37:AI37, "X")), "")))</f>
        <v/>
      </c>
      <c r="AK37" s="131">
        <f>IF(ISBLANK(B37), "", IF(ISNUMBER(D37), IF(D37&gt;0, (COUNTIF(E37:AI37, "✓") + COUNTIF(E37:AI37, "✔") + COUNTIF(E37:AI37, "v") + COUNTIF(E37:AI37, "V")) &amp; "/" &amp; D37, (COUNTIF(E37:AI37, "✓") + COUNTIF(E37:AI37, "✔") + COUNTIF(E37:AI37, "v") + COUNTIF(E37:AI37, "V")) &amp; "/0"), IF(((COUNTIF(E37:AI37, "✓") + COUNTIF(E37:AI37, "✔") + COUNTIF(E37:AI37, "v") + COUNTIF(E37:AI37, "V")) + COUNTIF(E37:AI37, "✗") + COUNTIF(E37:AI37, "x") + COUNTIF(E37:AI37, "X"))&gt;0, (COUNTIF(E37:AI37, "✓") + COUNTIF(E37:AI37, "✔") + COUNTIF(E37:AI37, "v") + COUNTIF(E37:AI37, "V")) &amp; "/" &amp; ((COUNTIF(E37:AI37, "✓") + COUNTIF(E37:AI37, "✔") + COUNTIF(E37:AI37, "v") + COUNTIF(E37:AI37, "V")) + COUNTIF(E37:AI37, "✗") + COUNTIF(E37:AI37, "x") + COUNTIF(E37:AI37, "X")), "")))</f>
        <v/>
      </c>
      <c r="AL37" s="131">
        <f>IF(ISBLANK(B37), "", IF(AJ37&gt;=0.85, "🔥 Mastered", IF(AJ37&gt;=0.7, "⚡ Consistent", "⚠️ Needs Focus")))</f>
        <v/>
      </c>
      <c r="AM37">
        <f>COUNTIF(E37:AI37, "✓")</f>
        <v/>
      </c>
    </row>
    <row r="38" ht="18" customHeight="1">
      <c r="A38" s="132" t="inlineStr">
        <is>
          <t>DAILY TOTAL SCORE</t>
        </is>
      </c>
      <c r="B38" s="54" t="n"/>
      <c r="C38" s="54" t="n"/>
      <c r="D38" s="54" t="n"/>
      <c r="E38" s="33">
        <f>IF(((COUNTIF(E18:E37, "✓") + COUNTIF(E18:E37, "✔") + COUNTIF(E18:E37, "v") + COUNTIF(E18:E37, "V")) + COUNTIF(E18:E37, "✗") + COUNTIF(E18:E37, "x") + COUNTIF(E18:E37, "X")) &gt; 0, (COUNTIF(E18:E37, "✓") + COUNTIF(E18:E37, "✔") + COUNTIF(E18:E37, "v") + COUNTIF(E18:E37, "V")) &amp; "/" &amp; ((COUNTIF(E18:E37, "✓") + COUNTIF(E18:E37, "✔") + COUNTIF(E18:E37, "v") + COUNTIF(E18:E37, "V")) + COUNTIF(E18:E37, "✗") + COUNTIF(E18:E37, "x") + COUNTIF(E18:E37, "X")), "")</f>
        <v/>
      </c>
      <c r="F38" s="33">
        <f>IF(((COUNTIF(F18:F37, "✓") + COUNTIF(F18:F37, "✔") + COUNTIF(F18:F37, "v") + COUNTIF(F18:F37, "V")) + COUNTIF(F18:F37, "✗") + COUNTIF(F18:F37, "x") + COUNTIF(F18:F37, "X")) &gt; 0, (COUNTIF(F18:F37, "✓") + COUNTIF(F18:F37, "✔") + COUNTIF(F18:F37, "v") + COUNTIF(F18:F37, "V")) &amp; "/" &amp; ((COUNTIF(F18:F37, "✓") + COUNTIF(F18:F37, "✔") + COUNTIF(F18:F37, "v") + COUNTIF(F18:F37, "V")) + COUNTIF(F18:F37, "✗") + COUNTIF(F18:F37, "x") + COUNTIF(F18:F37, "X")), "")</f>
        <v/>
      </c>
      <c r="G38" s="33">
        <f>IF(((COUNTIF(G18:G37, "✓") + COUNTIF(G18:G37, "✔") + COUNTIF(G18:G37, "v") + COUNTIF(G18:G37, "V")) + COUNTIF(G18:G37, "✗") + COUNTIF(G18:G37, "x") + COUNTIF(G18:G37, "X")) &gt; 0, (COUNTIF(G18:G37, "✓") + COUNTIF(G18:G37, "✔") + COUNTIF(G18:G37, "v") + COUNTIF(G18:G37, "V")) &amp; "/" &amp; ((COUNTIF(G18:G37, "✓") + COUNTIF(G18:G37, "✔") + COUNTIF(G18:G37, "v") + COUNTIF(G18:G37, "V")) + COUNTIF(G18:G37, "✗") + COUNTIF(G18:G37, "x") + COUNTIF(G18:G37, "X")), "")</f>
        <v/>
      </c>
      <c r="H38" s="33">
        <f>IF(((COUNTIF(H18:H37, "✓") + COUNTIF(H18:H37, "✔") + COUNTIF(H18:H37, "v") + COUNTIF(H18:H37, "V")) + COUNTIF(H18:H37, "✗") + COUNTIF(H18:H37, "x") + COUNTIF(H18:H37, "X")) &gt; 0, (COUNTIF(H18:H37, "✓") + COUNTIF(H18:H37, "✔") + COUNTIF(H18:H37, "v") + COUNTIF(H18:H37, "V")) &amp; "/" &amp; ((COUNTIF(H18:H37, "✓") + COUNTIF(H18:H37, "✔") + COUNTIF(H18:H37, "v") + COUNTIF(H18:H37, "V")) + COUNTIF(H18:H37, "✗") + COUNTIF(H18:H37, "x") + COUNTIF(H18:H37, "X")), "")</f>
        <v/>
      </c>
      <c r="I38" s="33">
        <f>IF(((COUNTIF(I18:I37, "✓") + COUNTIF(I18:I37, "✔") + COUNTIF(I18:I37, "v") + COUNTIF(I18:I37, "V")) + COUNTIF(I18:I37, "✗") + COUNTIF(I18:I37, "x") + COUNTIF(I18:I37, "X")) &gt; 0, (COUNTIF(I18:I37, "✓") + COUNTIF(I18:I37, "✔") + COUNTIF(I18:I37, "v") + COUNTIF(I18:I37, "V")) &amp; "/" &amp; ((COUNTIF(I18:I37, "✓") + COUNTIF(I18:I37, "✔") + COUNTIF(I18:I37, "v") + COUNTIF(I18:I37, "V")) + COUNTIF(I18:I37, "✗") + COUNTIF(I18:I37, "x") + COUNTIF(I18:I37, "X")), "")</f>
        <v/>
      </c>
      <c r="J38" s="33">
        <f>IF(((COUNTIF(J18:J37, "✓") + COUNTIF(J18:J37, "✔") + COUNTIF(J18:J37, "v") + COUNTIF(J18:J37, "V")) + COUNTIF(J18:J37, "✗") + COUNTIF(J18:J37, "x") + COUNTIF(J18:J37, "X")) &gt; 0, (COUNTIF(J18:J37, "✓") + COUNTIF(J18:J37, "✔") + COUNTIF(J18:J37, "v") + COUNTIF(J18:J37, "V")) &amp; "/" &amp; ((COUNTIF(J18:J37, "✓") + COUNTIF(J18:J37, "✔") + COUNTIF(J18:J37, "v") + COUNTIF(J18:J37, "V")) + COUNTIF(J18:J37, "✗") + COUNTIF(J18:J37, "x") + COUNTIF(J18:J37, "X")), "")</f>
        <v/>
      </c>
      <c r="K38" s="33">
        <f>IF(((COUNTIF(K18:K37, "✓") + COUNTIF(K18:K37, "✔") + COUNTIF(K18:K37, "v") + COUNTIF(K18:K37, "V")) + COUNTIF(K18:K37, "✗") + COUNTIF(K18:K37, "x") + COUNTIF(K18:K37, "X")) &gt; 0, (COUNTIF(K18:K37, "✓") + COUNTIF(K18:K37, "✔") + COUNTIF(K18:K37, "v") + COUNTIF(K18:K37, "V")) &amp; "/" &amp; ((COUNTIF(K18:K37, "✓") + COUNTIF(K18:K37, "✔") + COUNTIF(K18:K37, "v") + COUNTIF(K18:K37, "V")) + COUNTIF(K18:K37, "✗") + COUNTIF(K18:K37, "x") + COUNTIF(K18:K37, "X")), "")</f>
        <v/>
      </c>
      <c r="L38" s="33">
        <f>IF(((COUNTIF(L18:L37, "✓") + COUNTIF(L18:L37, "✔") + COUNTIF(L18:L37, "v") + COUNTIF(L18:L37, "V")) + COUNTIF(L18:L37, "✗") + COUNTIF(L18:L37, "x") + COUNTIF(L18:L37, "X")) &gt; 0, (COUNTIF(L18:L37, "✓") + COUNTIF(L18:L37, "✔") + COUNTIF(L18:L37, "v") + COUNTIF(L18:L37, "V")) &amp; "/" &amp; ((COUNTIF(L18:L37, "✓") + COUNTIF(L18:L37, "✔") + COUNTIF(L18:L37, "v") + COUNTIF(L18:L37, "V")) + COUNTIF(L18:L37, "✗") + COUNTIF(L18:L37, "x") + COUNTIF(L18:L37, "X")), "")</f>
        <v/>
      </c>
      <c r="M38" s="33">
        <f>IF(((COUNTIF(M18:M37, "✓") + COUNTIF(M18:M37, "✔") + COUNTIF(M18:M37, "v") + COUNTIF(M18:M37, "V")) + COUNTIF(M18:M37, "✗") + COUNTIF(M18:M37, "x") + COUNTIF(M18:M37, "X")) &gt; 0, (COUNTIF(M18:M37, "✓") + COUNTIF(M18:M37, "✔") + COUNTIF(M18:M37, "v") + COUNTIF(M18:M37, "V")) &amp; "/" &amp; ((COUNTIF(M18:M37, "✓") + COUNTIF(M18:M37, "✔") + COUNTIF(M18:M37, "v") + COUNTIF(M18:M37, "V")) + COUNTIF(M18:M37, "✗") + COUNTIF(M18:M37, "x") + COUNTIF(M18:M37, "X")), "")</f>
        <v/>
      </c>
      <c r="N38" s="33">
        <f>IF(((COUNTIF(N18:N37, "✓") + COUNTIF(N18:N37, "✔") + COUNTIF(N18:N37, "v") + COUNTIF(N18:N37, "V")) + COUNTIF(N18:N37, "✗") + COUNTIF(N18:N37, "x") + COUNTIF(N18:N37, "X")) &gt; 0, (COUNTIF(N18:N37, "✓") + COUNTIF(N18:N37, "✔") + COUNTIF(N18:N37, "v") + COUNTIF(N18:N37, "V")) &amp; "/" &amp; ((COUNTIF(N18:N37, "✓") + COUNTIF(N18:N37, "✔") + COUNTIF(N18:N37, "v") + COUNTIF(N18:N37, "V")) + COUNTIF(N18:N37, "✗") + COUNTIF(N18:N37, "x") + COUNTIF(N18:N37, "X")), "")</f>
        <v/>
      </c>
      <c r="O38" s="33">
        <f>IF(((COUNTIF(O18:O37, "✓") + COUNTIF(O18:O37, "✔") + COUNTIF(O18:O37, "v") + COUNTIF(O18:O37, "V")) + COUNTIF(O18:O37, "✗") + COUNTIF(O18:O37, "x") + COUNTIF(O18:O37, "X")) &gt; 0, (COUNTIF(O18:O37, "✓") + COUNTIF(O18:O37, "✔") + COUNTIF(O18:O37, "v") + COUNTIF(O18:O37, "V")) &amp; "/" &amp; ((COUNTIF(O18:O37, "✓") + COUNTIF(O18:O37, "✔") + COUNTIF(O18:O37, "v") + COUNTIF(O18:O37, "V")) + COUNTIF(O18:O37, "✗") + COUNTIF(O18:O37, "x") + COUNTIF(O18:O37, "X")), "")</f>
        <v/>
      </c>
      <c r="P38" s="33">
        <f>IF(((COUNTIF(P18:P37, "✓") + COUNTIF(P18:P37, "✔") + COUNTIF(P18:P37, "v") + COUNTIF(P18:P37, "V")) + COUNTIF(P18:P37, "✗") + COUNTIF(P18:P37, "x") + COUNTIF(P18:P37, "X")) &gt; 0, (COUNTIF(P18:P37, "✓") + COUNTIF(P18:P37, "✔") + COUNTIF(P18:P37, "v") + COUNTIF(P18:P37, "V")) &amp; "/" &amp; ((COUNTIF(P18:P37, "✓") + COUNTIF(P18:P37, "✔") + COUNTIF(P18:P37, "v") + COUNTIF(P18:P37, "V")) + COUNTIF(P18:P37, "✗") + COUNTIF(P18:P37, "x") + COUNTIF(P18:P37, "X")), "")</f>
        <v/>
      </c>
      <c r="Q38" s="33">
        <f>IF(((COUNTIF(Q18:Q37, "✓") + COUNTIF(Q18:Q37, "✔") + COUNTIF(Q18:Q37, "v") + COUNTIF(Q18:Q37, "V")) + COUNTIF(Q18:Q37, "✗") + COUNTIF(Q18:Q37, "x") + COUNTIF(Q18:Q37, "X")) &gt; 0, (COUNTIF(Q18:Q37, "✓") + COUNTIF(Q18:Q37, "✔") + COUNTIF(Q18:Q37, "v") + COUNTIF(Q18:Q37, "V")) &amp; "/" &amp; ((COUNTIF(Q18:Q37, "✓") + COUNTIF(Q18:Q37, "✔") + COUNTIF(Q18:Q37, "v") + COUNTIF(Q18:Q37, "V")) + COUNTIF(Q18:Q37, "✗") + COUNTIF(Q18:Q37, "x") + COUNTIF(Q18:Q37, "X")), "")</f>
        <v/>
      </c>
      <c r="R38" s="33">
        <f>IF(((COUNTIF(R18:R37, "✓") + COUNTIF(R18:R37, "✔") + COUNTIF(R18:R37, "v") + COUNTIF(R18:R37, "V")) + COUNTIF(R18:R37, "✗") + COUNTIF(R18:R37, "x") + COUNTIF(R18:R37, "X")) &gt; 0, (COUNTIF(R18:R37, "✓") + COUNTIF(R18:R37, "✔") + COUNTIF(R18:R37, "v") + COUNTIF(R18:R37, "V")) &amp; "/" &amp; ((COUNTIF(R18:R37, "✓") + COUNTIF(R18:R37, "✔") + COUNTIF(R18:R37, "v") + COUNTIF(R18:R37, "V")) + COUNTIF(R18:R37, "✗") + COUNTIF(R18:R37, "x") + COUNTIF(R18:R37, "X")), "")</f>
        <v/>
      </c>
      <c r="S38" s="33">
        <f>IF(((COUNTIF(S18:S37, "✓") + COUNTIF(S18:S37, "✔") + COUNTIF(S18:S37, "v") + COUNTIF(S18:S37, "V")) + COUNTIF(S18:S37, "✗") + COUNTIF(S18:S37, "x") + COUNTIF(S18:S37, "X")) &gt; 0, (COUNTIF(S18:S37, "✓") + COUNTIF(S18:S37, "✔") + COUNTIF(S18:S37, "v") + COUNTIF(S18:S37, "V")) &amp; "/" &amp; ((COUNTIF(S18:S37, "✓") + COUNTIF(S18:S37, "✔") + COUNTIF(S18:S37, "v") + COUNTIF(S18:S37, "V")) + COUNTIF(S18:S37, "✗") + COUNTIF(S18:S37, "x") + COUNTIF(S18:S37, "X")), "")</f>
        <v/>
      </c>
      <c r="T38" s="33">
        <f>IF(((COUNTIF(T18:T37, "✓") + COUNTIF(T18:T37, "✔") + COUNTIF(T18:T37, "v") + COUNTIF(T18:T37, "V")) + COUNTIF(T18:T37, "✗") + COUNTIF(T18:T37, "x") + COUNTIF(T18:T37, "X")) &gt; 0, (COUNTIF(T18:T37, "✓") + COUNTIF(T18:T37, "✔") + COUNTIF(T18:T37, "v") + COUNTIF(T18:T37, "V")) &amp; "/" &amp; ((COUNTIF(T18:T37, "✓") + COUNTIF(T18:T37, "✔") + COUNTIF(T18:T37, "v") + COUNTIF(T18:T37, "V")) + COUNTIF(T18:T37, "✗") + COUNTIF(T18:T37, "x") + COUNTIF(T18:T37, "X")), "")</f>
        <v/>
      </c>
      <c r="U38" s="33">
        <f>IF(((COUNTIF(U18:U37, "✓") + COUNTIF(U18:U37, "✔") + COUNTIF(U18:U37, "v") + COUNTIF(U18:U37, "V")) + COUNTIF(U18:U37, "✗") + COUNTIF(U18:U37, "x") + COUNTIF(U18:U37, "X")) &gt; 0, (COUNTIF(U18:U37, "✓") + COUNTIF(U18:U37, "✔") + COUNTIF(U18:U37, "v") + COUNTIF(U18:U37, "V")) &amp; "/" &amp; ((COUNTIF(U18:U37, "✓") + COUNTIF(U18:U37, "✔") + COUNTIF(U18:U37, "v") + COUNTIF(U18:U37, "V")) + COUNTIF(U18:U37, "✗") + COUNTIF(U18:U37, "x") + COUNTIF(U18:U37, "X")), "")</f>
        <v/>
      </c>
      <c r="V38" s="33">
        <f>IF(((COUNTIF(V18:V37, "✓") + COUNTIF(V18:V37, "✔") + COUNTIF(V18:V37, "v") + COUNTIF(V18:V37, "V")) + COUNTIF(V18:V37, "✗") + COUNTIF(V18:V37, "x") + COUNTIF(V18:V37, "X")) &gt; 0, (COUNTIF(V18:V37, "✓") + COUNTIF(V18:V37, "✔") + COUNTIF(V18:V37, "v") + COUNTIF(V18:V37, "V")) &amp; "/" &amp; ((COUNTIF(V18:V37, "✓") + COUNTIF(V18:V37, "✔") + COUNTIF(V18:V37, "v") + COUNTIF(V18:V37, "V")) + COUNTIF(V18:V37, "✗") + COUNTIF(V18:V37, "x") + COUNTIF(V18:V37, "X")), "")</f>
        <v/>
      </c>
      <c r="W38" s="33">
        <f>IF(((COUNTIF(W18:W37, "✓") + COUNTIF(W18:W37, "✔") + COUNTIF(W18:W37, "v") + COUNTIF(W18:W37, "V")) + COUNTIF(W18:W37, "✗") + COUNTIF(W18:W37, "x") + COUNTIF(W18:W37, "X")) &gt; 0, (COUNTIF(W18:W37, "✓") + COUNTIF(W18:W37, "✔") + COUNTIF(W18:W37, "v") + COUNTIF(W18:W37, "V")) &amp; "/" &amp; ((COUNTIF(W18:W37, "✓") + COUNTIF(W18:W37, "✔") + COUNTIF(W18:W37, "v") + COUNTIF(W18:W37, "V")) + COUNTIF(W18:W37, "✗") + COUNTIF(W18:W37, "x") + COUNTIF(W18:W37, "X")), "")</f>
        <v/>
      </c>
      <c r="X38" s="33">
        <f>IF(((COUNTIF(X18:X37, "✓") + COUNTIF(X18:X37, "✔") + COUNTIF(X18:X37, "v") + COUNTIF(X18:X37, "V")) + COUNTIF(X18:X37, "✗") + COUNTIF(X18:X37, "x") + COUNTIF(X18:X37, "X")) &gt; 0, (COUNTIF(X18:X37, "✓") + COUNTIF(X18:X37, "✔") + COUNTIF(X18:X37, "v") + COUNTIF(X18:X37, "V")) &amp; "/" &amp; ((COUNTIF(X18:X37, "✓") + COUNTIF(X18:X37, "✔") + COUNTIF(X18:X37, "v") + COUNTIF(X18:X37, "V")) + COUNTIF(X18:X37, "✗") + COUNTIF(X18:X37, "x") + COUNTIF(X18:X37, "X")), "")</f>
        <v/>
      </c>
      <c r="Y38" s="33">
        <f>IF(((COUNTIF(Y18:Y37, "✓") + COUNTIF(Y18:Y37, "✔") + COUNTIF(Y18:Y37, "v") + COUNTIF(Y18:Y37, "V")) + COUNTIF(Y18:Y37, "✗") + COUNTIF(Y18:Y37, "x") + COUNTIF(Y18:Y37, "X")) &gt; 0, (COUNTIF(Y18:Y37, "✓") + COUNTIF(Y18:Y37, "✔") + COUNTIF(Y18:Y37, "v") + COUNTIF(Y18:Y37, "V")) &amp; "/" &amp; ((COUNTIF(Y18:Y37, "✓") + COUNTIF(Y18:Y37, "✔") + COUNTIF(Y18:Y37, "v") + COUNTIF(Y18:Y37, "V")) + COUNTIF(Y18:Y37, "✗") + COUNTIF(Y18:Y37, "x") + COUNTIF(Y18:Y37, "X")), "")</f>
        <v/>
      </c>
      <c r="Z38" s="33">
        <f>IF(((COUNTIF(Z18:Z37, "✓") + COUNTIF(Z18:Z37, "✔") + COUNTIF(Z18:Z37, "v") + COUNTIF(Z18:Z37, "V")) + COUNTIF(Z18:Z37, "✗") + COUNTIF(Z18:Z37, "x") + COUNTIF(Z18:Z37, "X")) &gt; 0, (COUNTIF(Z18:Z37, "✓") + COUNTIF(Z18:Z37, "✔") + COUNTIF(Z18:Z37, "v") + COUNTIF(Z18:Z37, "V")) &amp; "/" &amp; ((COUNTIF(Z18:Z37, "✓") + COUNTIF(Z18:Z37, "✔") + COUNTIF(Z18:Z37, "v") + COUNTIF(Z18:Z37, "V")) + COUNTIF(Z18:Z37, "✗") + COUNTIF(Z18:Z37, "x") + COUNTIF(Z18:Z37, "X")), "")</f>
        <v/>
      </c>
      <c r="AA38" s="33">
        <f>IF(((COUNTIF(AA18:AA37, "✓") + COUNTIF(AA18:AA37, "✔") + COUNTIF(AA18:AA37, "v") + COUNTIF(AA18:AA37, "V")) + COUNTIF(AA18:AA37, "✗") + COUNTIF(AA18:AA37, "x") + COUNTIF(AA18:AA37, "X")) &gt; 0, (COUNTIF(AA18:AA37, "✓") + COUNTIF(AA18:AA37, "✔") + COUNTIF(AA18:AA37, "v") + COUNTIF(AA18:AA37, "V")) &amp; "/" &amp; ((COUNTIF(AA18:AA37, "✓") + COUNTIF(AA18:AA37, "✔") + COUNTIF(AA18:AA37, "v") + COUNTIF(AA18:AA37, "V")) + COUNTIF(AA18:AA37, "✗") + COUNTIF(AA18:AA37, "x") + COUNTIF(AA18:AA37, "X")), "")</f>
        <v/>
      </c>
      <c r="AB38" s="33">
        <f>IF(((COUNTIF(AB18:AB37, "✓") + COUNTIF(AB18:AB37, "✔") + COUNTIF(AB18:AB37, "v") + COUNTIF(AB18:AB37, "V")) + COUNTIF(AB18:AB37, "✗") + COUNTIF(AB18:AB37, "x") + COUNTIF(AB18:AB37, "X")) &gt; 0, (COUNTIF(AB18:AB37, "✓") + COUNTIF(AB18:AB37, "✔") + COUNTIF(AB18:AB37, "v") + COUNTIF(AB18:AB37, "V")) &amp; "/" &amp; ((COUNTIF(AB18:AB37, "✓") + COUNTIF(AB18:AB37, "✔") + COUNTIF(AB18:AB37, "v") + COUNTIF(AB18:AB37, "V")) + COUNTIF(AB18:AB37, "✗") + COUNTIF(AB18:AB37, "x") + COUNTIF(AB18:AB37, "X")), "")</f>
        <v/>
      </c>
      <c r="AC38" s="33">
        <f>IF(((COUNTIF(AC18:AC37, "✓") + COUNTIF(AC18:AC37, "✔") + COUNTIF(AC18:AC37, "v") + COUNTIF(AC18:AC37, "V")) + COUNTIF(AC18:AC37, "✗") + COUNTIF(AC18:AC37, "x") + COUNTIF(AC18:AC37, "X")) &gt; 0, (COUNTIF(AC18:AC37, "✓") + COUNTIF(AC18:AC37, "✔") + COUNTIF(AC18:AC37, "v") + COUNTIF(AC18:AC37, "V")) &amp; "/" &amp; ((COUNTIF(AC18:AC37, "✓") + COUNTIF(AC18:AC37, "✔") + COUNTIF(AC18:AC37, "v") + COUNTIF(AC18:AC37, "V")) + COUNTIF(AC18:AC37, "✗") + COUNTIF(AC18:AC37, "x") + COUNTIF(AC18:AC37, "X")), "")</f>
        <v/>
      </c>
      <c r="AD38" s="33">
        <f>IF(((COUNTIF(AD18:AD37, "✓") + COUNTIF(AD18:AD37, "✔") + COUNTIF(AD18:AD37, "v") + COUNTIF(AD18:AD37, "V")) + COUNTIF(AD18:AD37, "✗") + COUNTIF(AD18:AD37, "x") + COUNTIF(AD18:AD37, "X")) &gt; 0, (COUNTIF(AD18:AD37, "✓") + COUNTIF(AD18:AD37, "✔") + COUNTIF(AD18:AD37, "v") + COUNTIF(AD18:AD37, "V")) &amp; "/" &amp; ((COUNTIF(AD18:AD37, "✓") + COUNTIF(AD18:AD37, "✔") + COUNTIF(AD18:AD37, "v") + COUNTIF(AD18:AD37, "V")) + COUNTIF(AD18:AD37, "✗") + COUNTIF(AD18:AD37, "x") + COUNTIF(AD18:AD37, "X")), "")</f>
        <v/>
      </c>
      <c r="AE38" s="33">
        <f>IF(((COUNTIF(AE18:AE37, "✓") + COUNTIF(AE18:AE37, "✔") + COUNTIF(AE18:AE37, "v") + COUNTIF(AE18:AE37, "V")) + COUNTIF(AE18:AE37, "✗") + COUNTIF(AE18:AE37, "x") + COUNTIF(AE18:AE37, "X")) &gt; 0, (COUNTIF(AE18:AE37, "✓") + COUNTIF(AE18:AE37, "✔") + COUNTIF(AE18:AE37, "v") + COUNTIF(AE18:AE37, "V")) &amp; "/" &amp; ((COUNTIF(AE18:AE37, "✓") + COUNTIF(AE18:AE37, "✔") + COUNTIF(AE18:AE37, "v") + COUNTIF(AE18:AE37, "V")) + COUNTIF(AE18:AE37, "✗") + COUNTIF(AE18:AE37, "x") + COUNTIF(AE18:AE37, "X")), "")</f>
        <v/>
      </c>
      <c r="AF38" s="33">
        <f>IF(((COUNTIF(AF18:AF37, "✓") + COUNTIF(AF18:AF37, "✔") + COUNTIF(AF18:AF37, "v") + COUNTIF(AF18:AF37, "V")) + COUNTIF(AF18:AF37, "✗") + COUNTIF(AF18:AF37, "x") + COUNTIF(AF18:AF37, "X")) &gt; 0, (COUNTIF(AF18:AF37, "✓") + COUNTIF(AF18:AF37, "✔") + COUNTIF(AF18:AF37, "v") + COUNTIF(AF18:AF37, "V")) &amp; "/" &amp; ((COUNTIF(AF18:AF37, "✓") + COUNTIF(AF18:AF37, "✔") + COUNTIF(AF18:AF37, "v") + COUNTIF(AF18:AF37, "V")) + COUNTIF(AF18:AF37, "✗") + COUNTIF(AF18:AF37, "x") + COUNTIF(AF18:AF37, "X")), "")</f>
        <v/>
      </c>
      <c r="AG38" s="33">
        <f>IF(((COUNTIF(AG18:AG37, "✓") + COUNTIF(AG18:AG37, "✔") + COUNTIF(AG18:AG37, "v") + COUNTIF(AG18:AG37, "V")) + COUNTIF(AG18:AG37, "✗") + COUNTIF(AG18:AG37, "x") + COUNTIF(AG18:AG37, "X")) &gt; 0, (COUNTIF(AG18:AG37, "✓") + COUNTIF(AG18:AG37, "✔") + COUNTIF(AG18:AG37, "v") + COUNTIF(AG18:AG37, "V")) &amp; "/" &amp; ((COUNTIF(AG18:AG37, "✓") + COUNTIF(AG18:AG37, "✔") + COUNTIF(AG18:AG37, "v") + COUNTIF(AG18:AG37, "V")) + COUNTIF(AG18:AG37, "✗") + COUNTIF(AG18:AG37, "x") + COUNTIF(AG18:AG37, "X")), "")</f>
        <v/>
      </c>
      <c r="AH38" s="33">
        <f>IF(((COUNTIF(AH18:AH37, "✓") + COUNTIF(AH18:AH37, "✔") + COUNTIF(AH18:AH37, "v") + COUNTIF(AH18:AH37, "V")) + COUNTIF(AH18:AH37, "✗") + COUNTIF(AH18:AH37, "x") + COUNTIF(AH18:AH37, "X")) &gt; 0, (COUNTIF(AH18:AH37, "✓") + COUNTIF(AH18:AH37, "✔") + COUNTIF(AH18:AH37, "v") + COUNTIF(AH18:AH37, "V")) &amp; "/" &amp; ((COUNTIF(AH18:AH37, "✓") + COUNTIF(AH18:AH37, "✔") + COUNTIF(AH18:AH37, "v") + COUNTIF(AH18:AH37, "V")) + COUNTIF(AH18:AH37, "✗") + COUNTIF(AH18:AH37, "x") + COUNTIF(AH18:AH37, "X")), "")</f>
        <v/>
      </c>
      <c r="AI38" s="33">
        <f>IF(((COUNTIF(AI18:AI37, "✓") + COUNTIF(AI18:AI37, "✔") + COUNTIF(AI18:AI37, "v") + COUNTIF(AI18:AI37, "V")) + COUNTIF(AI18:AI37, "✗") + COUNTIF(AI18:AI37, "x") + COUNTIF(AI18:AI37, "X")) &gt; 0, (COUNTIF(AI18:AI37, "✓") + COUNTIF(AI18:AI37, "✔") + COUNTIF(AI18:AI37, "v") + COUNTIF(AI18:AI37, "V")) &amp; "/" &amp; ((COUNTIF(AI18:AI37, "✓") + COUNTIF(AI18:AI37, "✔") + COUNTIF(AI18:AI37, "v") + COUNTIF(AI18:AI37, "V")) + COUNTIF(AI18:AI37, "✗") + COUNTIF(AI18:AI37, "x") + COUNTIF(AI18:AI37, "X")), "")</f>
        <v/>
      </c>
      <c r="AJ38" s="133">
        <f>IF(SUM(D18:D37) &gt; 0, SUM(AM18:AM37) / SUM(D18:D37), "")</f>
        <v/>
      </c>
      <c r="AK38" s="33">
        <f>IF(SUM(D18:D37) &gt; 0, SUM(AM18:AM37) &amp; "/" &amp; SUM(D18:D37), "")</f>
        <v/>
      </c>
      <c r="AL38" s="54" t="n"/>
    </row>
    <row r="39" ht="18" customHeight="1">
      <c r="A39" s="132" t="inlineStr">
        <is>
          <t>DAILY SUCCESS %</t>
        </is>
      </c>
      <c r="B39" s="54" t="n"/>
      <c r="C39" s="54" t="n"/>
      <c r="D39" s="54" t="n"/>
      <c r="E39" s="134">
        <f>IF(((COUNTIF(E18:E37, "✓") + COUNTIF(E18:E37, "✔") + COUNTIF(E18:E37, "v") + COUNTIF(E18:E37, "V")) + COUNTIF(E18:E37, "✗") + COUNTIF(E18:E37, "x") + COUNTIF(E18:E37, "X")) &gt; 0, (COUNTIF(E18:E37, "✓") + COUNTIF(E18:E37, "✔") + COUNTIF(E18:E37, "v") + COUNTIF(E18:E37, "V")) / ((COUNTIF(E18:E37, "✓") + COUNTIF(E18:E37, "✔") + COUNTIF(E18:E37, "v") + COUNTIF(E18:E37, "V")) + COUNTIF(E18:E37, "✗") + COUNTIF(E18:E37, "x") + COUNTIF(E18:E37, "X")), "")</f>
        <v/>
      </c>
      <c r="F39" s="134">
        <f>IF(((COUNTIF(F18:F37, "✓") + COUNTIF(F18:F37, "✔") + COUNTIF(F18:F37, "v") + COUNTIF(F18:F37, "V")) + COUNTIF(F18:F37, "✗") + COUNTIF(F18:F37, "x") + COUNTIF(F18:F37, "X")) &gt; 0, (COUNTIF(F18:F37, "✓") + COUNTIF(F18:F37, "✔") + COUNTIF(F18:F37, "v") + COUNTIF(F18:F37, "V")) / ((COUNTIF(F18:F37, "✓") + COUNTIF(F18:F37, "✔") + COUNTIF(F18:F37, "v") + COUNTIF(F18:F37, "V")) + COUNTIF(F18:F37, "✗") + COUNTIF(F18:F37, "x") + COUNTIF(F18:F37, "X")), "")</f>
        <v/>
      </c>
      <c r="G39" s="134">
        <f>IF(((COUNTIF(G18:G37, "✓") + COUNTIF(G18:G37, "✔") + COUNTIF(G18:G37, "v") + COUNTIF(G18:G37, "V")) + COUNTIF(G18:G37, "✗") + COUNTIF(G18:G37, "x") + COUNTIF(G18:G37, "X")) &gt; 0, (COUNTIF(G18:G37, "✓") + COUNTIF(G18:G37, "✔") + COUNTIF(G18:G37, "v") + COUNTIF(G18:G37, "V")) / ((COUNTIF(G18:G37, "✓") + COUNTIF(G18:G37, "✔") + COUNTIF(G18:G37, "v") + COUNTIF(G18:G37, "V")) + COUNTIF(G18:G37, "✗") + COUNTIF(G18:G37, "x") + COUNTIF(G18:G37, "X")), "")</f>
        <v/>
      </c>
      <c r="H39" s="134">
        <f>IF(((COUNTIF(H18:H37, "✓") + COUNTIF(H18:H37, "✔") + COUNTIF(H18:H37, "v") + COUNTIF(H18:H37, "V")) + COUNTIF(H18:H37, "✗") + COUNTIF(H18:H37, "x") + COUNTIF(H18:H37, "X")) &gt; 0, (COUNTIF(H18:H37, "✓") + COUNTIF(H18:H37, "✔") + COUNTIF(H18:H37, "v") + COUNTIF(H18:H37, "V")) / ((COUNTIF(H18:H37, "✓") + COUNTIF(H18:H37, "✔") + COUNTIF(H18:H37, "v") + COUNTIF(H18:H37, "V")) + COUNTIF(H18:H37, "✗") + COUNTIF(H18:H37, "x") + COUNTIF(H18:H37, "X")), "")</f>
        <v/>
      </c>
      <c r="I39" s="134">
        <f>IF(((COUNTIF(I18:I37, "✓") + COUNTIF(I18:I37, "✔") + COUNTIF(I18:I37, "v") + COUNTIF(I18:I37, "V")) + COUNTIF(I18:I37, "✗") + COUNTIF(I18:I37, "x") + COUNTIF(I18:I37, "X")) &gt; 0, (COUNTIF(I18:I37, "✓") + COUNTIF(I18:I37, "✔") + COUNTIF(I18:I37, "v") + COUNTIF(I18:I37, "V")) / ((COUNTIF(I18:I37, "✓") + COUNTIF(I18:I37, "✔") + COUNTIF(I18:I37, "v") + COUNTIF(I18:I37, "V")) + COUNTIF(I18:I37, "✗") + COUNTIF(I18:I37, "x") + COUNTIF(I18:I37, "X")), "")</f>
        <v/>
      </c>
      <c r="J39" s="134">
        <f>IF(((COUNTIF(J18:J37, "✓") + COUNTIF(J18:J37, "✔") + COUNTIF(J18:J37, "v") + COUNTIF(J18:J37, "V")) + COUNTIF(J18:J37, "✗") + COUNTIF(J18:J37, "x") + COUNTIF(J18:J37, "X")) &gt; 0, (COUNTIF(J18:J37, "✓") + COUNTIF(J18:J37, "✔") + COUNTIF(J18:J37, "v") + COUNTIF(J18:J37, "V")) / ((COUNTIF(J18:J37, "✓") + COUNTIF(J18:J37, "✔") + COUNTIF(J18:J37, "v") + COUNTIF(J18:J37, "V")) + COUNTIF(J18:J37, "✗") + COUNTIF(J18:J37, "x") + COUNTIF(J18:J37, "X")), "")</f>
        <v/>
      </c>
      <c r="K39" s="134">
        <f>IF(((COUNTIF(K18:K37, "✓") + COUNTIF(K18:K37, "✔") + COUNTIF(K18:K37, "v") + COUNTIF(K18:K37, "V")) + COUNTIF(K18:K37, "✗") + COUNTIF(K18:K37, "x") + COUNTIF(K18:K37, "X")) &gt; 0, (COUNTIF(K18:K37, "✓") + COUNTIF(K18:K37, "✔") + COUNTIF(K18:K37, "v") + COUNTIF(K18:K37, "V")) / ((COUNTIF(K18:K37, "✓") + COUNTIF(K18:K37, "✔") + COUNTIF(K18:K37, "v") + COUNTIF(K18:K37, "V")) + COUNTIF(K18:K37, "✗") + COUNTIF(K18:K37, "x") + COUNTIF(K18:K37, "X")), "")</f>
        <v/>
      </c>
      <c r="L39" s="134">
        <f>IF(((COUNTIF(L18:L37, "✓") + COUNTIF(L18:L37, "✔") + COUNTIF(L18:L37, "v") + COUNTIF(L18:L37, "V")) + COUNTIF(L18:L37, "✗") + COUNTIF(L18:L37, "x") + COUNTIF(L18:L37, "X")) &gt; 0, (COUNTIF(L18:L37, "✓") + COUNTIF(L18:L37, "✔") + COUNTIF(L18:L37, "v") + COUNTIF(L18:L37, "V")) / ((COUNTIF(L18:L37, "✓") + COUNTIF(L18:L37, "✔") + COUNTIF(L18:L37, "v") + COUNTIF(L18:L37, "V")) + COUNTIF(L18:L37, "✗") + COUNTIF(L18:L37, "x") + COUNTIF(L18:L37, "X")), "")</f>
        <v/>
      </c>
      <c r="M39" s="134">
        <f>IF(((COUNTIF(M18:M37, "✓") + COUNTIF(M18:M37, "✔") + COUNTIF(M18:M37, "v") + COUNTIF(M18:M37, "V")) + COUNTIF(M18:M37, "✗") + COUNTIF(M18:M37, "x") + COUNTIF(M18:M37, "X")) &gt; 0, (COUNTIF(M18:M37, "✓") + COUNTIF(M18:M37, "✔") + COUNTIF(M18:M37, "v") + COUNTIF(M18:M37, "V")) / ((COUNTIF(M18:M37, "✓") + COUNTIF(M18:M37, "✔") + COUNTIF(M18:M37, "v") + COUNTIF(M18:M37, "V")) + COUNTIF(M18:M37, "✗") + COUNTIF(M18:M37, "x") + COUNTIF(M18:M37, "X")), "")</f>
        <v/>
      </c>
      <c r="N39" s="134">
        <f>IF(((COUNTIF(N18:N37, "✓") + COUNTIF(N18:N37, "✔") + COUNTIF(N18:N37, "v") + COUNTIF(N18:N37, "V")) + COUNTIF(N18:N37, "✗") + COUNTIF(N18:N37, "x") + COUNTIF(N18:N37, "X")) &gt; 0, (COUNTIF(N18:N37, "✓") + COUNTIF(N18:N37, "✔") + COUNTIF(N18:N37, "v") + COUNTIF(N18:N37, "V")) / ((COUNTIF(N18:N37, "✓") + COUNTIF(N18:N37, "✔") + COUNTIF(N18:N37, "v") + COUNTIF(N18:N37, "V")) + COUNTIF(N18:N37, "✗") + COUNTIF(N18:N37, "x") + COUNTIF(N18:N37, "X")), "")</f>
        <v/>
      </c>
      <c r="O39" s="134">
        <f>IF(((COUNTIF(O18:O37, "✓") + COUNTIF(O18:O37, "✔") + COUNTIF(O18:O37, "v") + COUNTIF(O18:O37, "V")) + COUNTIF(O18:O37, "✗") + COUNTIF(O18:O37, "x") + COUNTIF(O18:O37, "X")) &gt; 0, (COUNTIF(O18:O37, "✓") + COUNTIF(O18:O37, "✔") + COUNTIF(O18:O37, "v") + COUNTIF(O18:O37, "V")) / ((COUNTIF(O18:O37, "✓") + COUNTIF(O18:O37, "✔") + COUNTIF(O18:O37, "v") + COUNTIF(O18:O37, "V")) + COUNTIF(O18:O37, "✗") + COUNTIF(O18:O37, "x") + COUNTIF(O18:O37, "X")), "")</f>
        <v/>
      </c>
      <c r="P39" s="134">
        <f>IF(((COUNTIF(P18:P37, "✓") + COUNTIF(P18:P37, "✔") + COUNTIF(P18:P37, "v") + COUNTIF(P18:P37, "V")) + COUNTIF(P18:P37, "✗") + COUNTIF(P18:P37, "x") + COUNTIF(P18:P37, "X")) &gt; 0, (COUNTIF(P18:P37, "✓") + COUNTIF(P18:P37, "✔") + COUNTIF(P18:P37, "v") + COUNTIF(P18:P37, "V")) / ((COUNTIF(P18:P37, "✓") + COUNTIF(P18:P37, "✔") + COUNTIF(P18:P37, "v") + COUNTIF(P18:P37, "V")) + COUNTIF(P18:P37, "✗") + COUNTIF(P18:P37, "x") + COUNTIF(P18:P37, "X")), "")</f>
        <v/>
      </c>
      <c r="Q39" s="134">
        <f>IF(((COUNTIF(Q18:Q37, "✓") + COUNTIF(Q18:Q37, "✔") + COUNTIF(Q18:Q37, "v") + COUNTIF(Q18:Q37, "V")) + COUNTIF(Q18:Q37, "✗") + COUNTIF(Q18:Q37, "x") + COUNTIF(Q18:Q37, "X")) &gt; 0, (COUNTIF(Q18:Q37, "✓") + COUNTIF(Q18:Q37, "✔") + COUNTIF(Q18:Q37, "v") + COUNTIF(Q18:Q37, "V")) / ((COUNTIF(Q18:Q37, "✓") + COUNTIF(Q18:Q37, "✔") + COUNTIF(Q18:Q37, "v") + COUNTIF(Q18:Q37, "V")) + COUNTIF(Q18:Q37, "✗") + COUNTIF(Q18:Q37, "x") + COUNTIF(Q18:Q37, "X")), "")</f>
        <v/>
      </c>
      <c r="R39" s="134">
        <f>IF(((COUNTIF(R18:R37, "✓") + COUNTIF(R18:R37, "✔") + COUNTIF(R18:R37, "v") + COUNTIF(R18:R37, "V")) + COUNTIF(R18:R37, "✗") + COUNTIF(R18:R37, "x") + COUNTIF(R18:R37, "X")) &gt; 0, (COUNTIF(R18:R37, "✓") + COUNTIF(R18:R37, "✔") + COUNTIF(R18:R37, "v") + COUNTIF(R18:R37, "V")) / ((COUNTIF(R18:R37, "✓") + COUNTIF(R18:R37, "✔") + COUNTIF(R18:R37, "v") + COUNTIF(R18:R37, "V")) + COUNTIF(R18:R37, "✗") + COUNTIF(R18:R37, "x") + COUNTIF(R18:R37, "X")), "")</f>
        <v/>
      </c>
      <c r="S39" s="134">
        <f>IF(((COUNTIF(S18:S37, "✓") + COUNTIF(S18:S37, "✔") + COUNTIF(S18:S37, "v") + COUNTIF(S18:S37, "V")) + COUNTIF(S18:S37, "✗") + COUNTIF(S18:S37, "x") + COUNTIF(S18:S37, "X")) &gt; 0, (COUNTIF(S18:S37, "✓") + COUNTIF(S18:S37, "✔") + COUNTIF(S18:S37, "v") + COUNTIF(S18:S37, "V")) / ((COUNTIF(S18:S37, "✓") + COUNTIF(S18:S37, "✔") + COUNTIF(S18:S37, "v") + COUNTIF(S18:S37, "V")) + COUNTIF(S18:S37, "✗") + COUNTIF(S18:S37, "x") + COUNTIF(S18:S37, "X")), "")</f>
        <v/>
      </c>
      <c r="T39" s="134">
        <f>IF(((COUNTIF(T18:T37, "✓") + COUNTIF(T18:T37, "✔") + COUNTIF(T18:T37, "v") + COUNTIF(T18:T37, "V")) + COUNTIF(T18:T37, "✗") + COUNTIF(T18:T37, "x") + COUNTIF(T18:T37, "X")) &gt; 0, (COUNTIF(T18:T37, "✓") + COUNTIF(T18:T37, "✔") + COUNTIF(T18:T37, "v") + COUNTIF(T18:T37, "V")) / ((COUNTIF(T18:T37, "✓") + COUNTIF(T18:T37, "✔") + COUNTIF(T18:T37, "v") + COUNTIF(T18:T37, "V")) + COUNTIF(T18:T37, "✗") + COUNTIF(T18:T37, "x") + COUNTIF(T18:T37, "X")), "")</f>
        <v/>
      </c>
      <c r="U39" s="134">
        <f>IF(((COUNTIF(U18:U37, "✓") + COUNTIF(U18:U37, "✔") + COUNTIF(U18:U37, "v") + COUNTIF(U18:U37, "V")) + COUNTIF(U18:U37, "✗") + COUNTIF(U18:U37, "x") + COUNTIF(U18:U37, "X")) &gt; 0, (COUNTIF(U18:U37, "✓") + COUNTIF(U18:U37, "✔") + COUNTIF(U18:U37, "v") + COUNTIF(U18:U37, "V")) / ((COUNTIF(U18:U37, "✓") + COUNTIF(U18:U37, "✔") + COUNTIF(U18:U37, "v") + COUNTIF(U18:U37, "V")) + COUNTIF(U18:U37, "✗") + COUNTIF(U18:U37, "x") + COUNTIF(U18:U37, "X")), "")</f>
        <v/>
      </c>
      <c r="V39" s="134">
        <f>IF(((COUNTIF(V18:V37, "✓") + COUNTIF(V18:V37, "✔") + COUNTIF(V18:V37, "v") + COUNTIF(V18:V37, "V")) + COUNTIF(V18:V37, "✗") + COUNTIF(V18:V37, "x") + COUNTIF(V18:V37, "X")) &gt; 0, (COUNTIF(V18:V37, "✓") + COUNTIF(V18:V37, "✔") + COUNTIF(V18:V37, "v") + COUNTIF(V18:V37, "V")) / ((COUNTIF(V18:V37, "✓") + COUNTIF(V18:V37, "✔") + COUNTIF(V18:V37, "v") + COUNTIF(V18:V37, "V")) + COUNTIF(V18:V37, "✗") + COUNTIF(V18:V37, "x") + COUNTIF(V18:V37, "X")), "")</f>
        <v/>
      </c>
      <c r="W39" s="134">
        <f>IF(((COUNTIF(W18:W37, "✓") + COUNTIF(W18:W37, "✔") + COUNTIF(W18:W37, "v") + COUNTIF(W18:W37, "V")) + COUNTIF(W18:W37, "✗") + COUNTIF(W18:W37, "x") + COUNTIF(W18:W37, "X")) &gt; 0, (COUNTIF(W18:W37, "✓") + COUNTIF(W18:W37, "✔") + COUNTIF(W18:W37, "v") + COUNTIF(W18:W37, "V")) / ((COUNTIF(W18:W37, "✓") + COUNTIF(W18:W37, "✔") + COUNTIF(W18:W37, "v") + COUNTIF(W18:W37, "V")) + COUNTIF(W18:W37, "✗") + COUNTIF(W18:W37, "x") + COUNTIF(W18:W37, "X")), "")</f>
        <v/>
      </c>
      <c r="X39" s="134">
        <f>IF(((COUNTIF(X18:X37, "✓") + COUNTIF(X18:X37, "✔") + COUNTIF(X18:X37, "v") + COUNTIF(X18:X37, "V")) + COUNTIF(X18:X37, "✗") + COUNTIF(X18:X37, "x") + COUNTIF(X18:X37, "X")) &gt; 0, (COUNTIF(X18:X37, "✓") + COUNTIF(X18:X37, "✔") + COUNTIF(X18:X37, "v") + COUNTIF(X18:X37, "V")) / ((COUNTIF(X18:X37, "✓") + COUNTIF(X18:X37, "✔") + COUNTIF(X18:X37, "v") + COUNTIF(X18:X37, "V")) + COUNTIF(X18:X37, "✗") + COUNTIF(X18:X37, "x") + COUNTIF(X18:X37, "X")), "")</f>
        <v/>
      </c>
      <c r="Y39" s="134">
        <f>IF(((COUNTIF(Y18:Y37, "✓") + COUNTIF(Y18:Y37, "✔") + COUNTIF(Y18:Y37, "v") + COUNTIF(Y18:Y37, "V")) + COUNTIF(Y18:Y37, "✗") + COUNTIF(Y18:Y37, "x") + COUNTIF(Y18:Y37, "X")) &gt; 0, (COUNTIF(Y18:Y37, "✓") + COUNTIF(Y18:Y37, "✔") + COUNTIF(Y18:Y37, "v") + COUNTIF(Y18:Y37, "V")) / ((COUNTIF(Y18:Y37, "✓") + COUNTIF(Y18:Y37, "✔") + COUNTIF(Y18:Y37, "v") + COUNTIF(Y18:Y37, "V")) + COUNTIF(Y18:Y37, "✗") + COUNTIF(Y18:Y37, "x") + COUNTIF(Y18:Y37, "X")), "")</f>
        <v/>
      </c>
      <c r="Z39" s="134">
        <f>IF(((COUNTIF(Z18:Z37, "✓") + COUNTIF(Z18:Z37, "✔") + COUNTIF(Z18:Z37, "v") + COUNTIF(Z18:Z37, "V")) + COUNTIF(Z18:Z37, "✗") + COUNTIF(Z18:Z37, "x") + COUNTIF(Z18:Z37, "X")) &gt; 0, (COUNTIF(Z18:Z37, "✓") + COUNTIF(Z18:Z37, "✔") + COUNTIF(Z18:Z37, "v") + COUNTIF(Z18:Z37, "V")) / ((COUNTIF(Z18:Z37, "✓") + COUNTIF(Z18:Z37, "✔") + COUNTIF(Z18:Z37, "v") + COUNTIF(Z18:Z37, "V")) + COUNTIF(Z18:Z37, "✗") + COUNTIF(Z18:Z37, "x") + COUNTIF(Z18:Z37, "X")), "")</f>
        <v/>
      </c>
      <c r="AA39" s="134">
        <f>IF(((COUNTIF(AA18:AA37, "✓") + COUNTIF(AA18:AA37, "✔") + COUNTIF(AA18:AA37, "v") + COUNTIF(AA18:AA37, "V")) + COUNTIF(AA18:AA37, "✗") + COUNTIF(AA18:AA37, "x") + COUNTIF(AA18:AA37, "X")) &gt; 0, (COUNTIF(AA18:AA37, "✓") + COUNTIF(AA18:AA37, "✔") + COUNTIF(AA18:AA37, "v") + COUNTIF(AA18:AA37, "V")) / ((COUNTIF(AA18:AA37, "✓") + COUNTIF(AA18:AA37, "✔") + COUNTIF(AA18:AA37, "v") + COUNTIF(AA18:AA37, "V")) + COUNTIF(AA18:AA37, "✗") + COUNTIF(AA18:AA37, "x") + COUNTIF(AA18:AA37, "X")), "")</f>
        <v/>
      </c>
      <c r="AB39" s="134">
        <f>IF(((COUNTIF(AB18:AB37, "✓") + COUNTIF(AB18:AB37, "✔") + COUNTIF(AB18:AB37, "v") + COUNTIF(AB18:AB37, "V")) + COUNTIF(AB18:AB37, "✗") + COUNTIF(AB18:AB37, "x") + COUNTIF(AB18:AB37, "X")) &gt; 0, (COUNTIF(AB18:AB37, "✓") + COUNTIF(AB18:AB37, "✔") + COUNTIF(AB18:AB37, "v") + COUNTIF(AB18:AB37, "V")) / ((COUNTIF(AB18:AB37, "✓") + COUNTIF(AB18:AB37, "✔") + COUNTIF(AB18:AB37, "v") + COUNTIF(AB18:AB37, "V")) + COUNTIF(AB18:AB37, "✗") + COUNTIF(AB18:AB37, "x") + COUNTIF(AB18:AB37, "X")), "")</f>
        <v/>
      </c>
      <c r="AC39" s="134">
        <f>IF(((COUNTIF(AC18:AC37, "✓") + COUNTIF(AC18:AC37, "✔") + COUNTIF(AC18:AC37, "v") + COUNTIF(AC18:AC37, "V")) + COUNTIF(AC18:AC37, "✗") + COUNTIF(AC18:AC37, "x") + COUNTIF(AC18:AC37, "X")) &gt; 0, (COUNTIF(AC18:AC37, "✓") + COUNTIF(AC18:AC37, "✔") + COUNTIF(AC18:AC37, "v") + COUNTIF(AC18:AC37, "V")) / ((COUNTIF(AC18:AC37, "✓") + COUNTIF(AC18:AC37, "✔") + COUNTIF(AC18:AC37, "v") + COUNTIF(AC18:AC37, "V")) + COUNTIF(AC18:AC37, "✗") + COUNTIF(AC18:AC37, "x") + COUNTIF(AC18:AC37, "X")), "")</f>
        <v/>
      </c>
      <c r="AD39" s="134">
        <f>IF(((COUNTIF(AD18:AD37, "✓") + COUNTIF(AD18:AD37, "✔") + COUNTIF(AD18:AD37, "v") + COUNTIF(AD18:AD37, "V")) + COUNTIF(AD18:AD37, "✗") + COUNTIF(AD18:AD37, "x") + COUNTIF(AD18:AD37, "X")) &gt; 0, (COUNTIF(AD18:AD37, "✓") + COUNTIF(AD18:AD37, "✔") + COUNTIF(AD18:AD37, "v") + COUNTIF(AD18:AD37, "V")) / ((COUNTIF(AD18:AD37, "✓") + COUNTIF(AD18:AD37, "✔") + COUNTIF(AD18:AD37, "v") + COUNTIF(AD18:AD37, "V")) + COUNTIF(AD18:AD37, "✗") + COUNTIF(AD18:AD37, "x") + COUNTIF(AD18:AD37, "X")), "")</f>
        <v/>
      </c>
      <c r="AE39" s="134">
        <f>IF(((COUNTIF(AE18:AE37, "✓") + COUNTIF(AE18:AE37, "✔") + COUNTIF(AE18:AE37, "v") + COUNTIF(AE18:AE37, "V")) + COUNTIF(AE18:AE37, "✗") + COUNTIF(AE18:AE37, "x") + COUNTIF(AE18:AE37, "X")) &gt; 0, (COUNTIF(AE18:AE37, "✓") + COUNTIF(AE18:AE37, "✔") + COUNTIF(AE18:AE37, "v") + COUNTIF(AE18:AE37, "V")) / ((COUNTIF(AE18:AE37, "✓") + COUNTIF(AE18:AE37, "✔") + COUNTIF(AE18:AE37, "v") + COUNTIF(AE18:AE37, "V")) + COUNTIF(AE18:AE37, "✗") + COUNTIF(AE18:AE37, "x") + COUNTIF(AE18:AE37, "X")), "")</f>
        <v/>
      </c>
      <c r="AF39" s="134">
        <f>IF(((COUNTIF(AF18:AF37, "✓") + COUNTIF(AF18:AF37, "✔") + COUNTIF(AF18:AF37, "v") + COUNTIF(AF18:AF37, "V")) + COUNTIF(AF18:AF37, "✗") + COUNTIF(AF18:AF37, "x") + COUNTIF(AF18:AF37, "X")) &gt; 0, (COUNTIF(AF18:AF37, "✓") + COUNTIF(AF18:AF37, "✔") + COUNTIF(AF18:AF37, "v") + COUNTIF(AF18:AF37, "V")) / ((COUNTIF(AF18:AF37, "✓") + COUNTIF(AF18:AF37, "✔") + COUNTIF(AF18:AF37, "v") + COUNTIF(AF18:AF37, "V")) + COUNTIF(AF18:AF37, "✗") + COUNTIF(AF18:AF37, "x") + COUNTIF(AF18:AF37, "X")), "")</f>
        <v/>
      </c>
      <c r="AG39" s="134">
        <f>IF(((COUNTIF(AG18:AG37, "✓") + COUNTIF(AG18:AG37, "✔") + COUNTIF(AG18:AG37, "v") + COUNTIF(AG18:AG37, "V")) + COUNTIF(AG18:AG37, "✗") + COUNTIF(AG18:AG37, "x") + COUNTIF(AG18:AG37, "X")) &gt; 0, (COUNTIF(AG18:AG37, "✓") + COUNTIF(AG18:AG37, "✔") + COUNTIF(AG18:AG37, "v") + COUNTIF(AG18:AG37, "V")) / ((COUNTIF(AG18:AG37, "✓") + COUNTIF(AG18:AG37, "✔") + COUNTIF(AG18:AG37, "v") + COUNTIF(AG18:AG37, "V")) + COUNTIF(AG18:AG37, "✗") + COUNTIF(AG18:AG37, "x") + COUNTIF(AG18:AG37, "X")), "")</f>
        <v/>
      </c>
      <c r="AH39" s="134">
        <f>IF(((COUNTIF(AH18:AH37, "✓") + COUNTIF(AH18:AH37, "✔") + COUNTIF(AH18:AH37, "v") + COUNTIF(AH18:AH37, "V")) + COUNTIF(AH18:AH37, "✗") + COUNTIF(AH18:AH37, "x") + COUNTIF(AH18:AH37, "X")) &gt; 0, (COUNTIF(AH18:AH37, "✓") + COUNTIF(AH18:AH37, "✔") + COUNTIF(AH18:AH37, "v") + COUNTIF(AH18:AH37, "V")) / ((COUNTIF(AH18:AH37, "✓") + COUNTIF(AH18:AH37, "✔") + COUNTIF(AH18:AH37, "v") + COUNTIF(AH18:AH37, "V")) + COUNTIF(AH18:AH37, "✗") + COUNTIF(AH18:AH37, "x") + COUNTIF(AH18:AH37, "X")), "")</f>
        <v/>
      </c>
      <c r="AI39" s="134">
        <f>IF(((COUNTIF(AI18:AI37, "✓") + COUNTIF(AI18:AI37, "✔") + COUNTIF(AI18:AI37, "v") + COUNTIF(AI18:AI37, "V")) + COUNTIF(AI18:AI37, "✗") + COUNTIF(AI18:AI37, "x") + COUNTIF(AI18:AI37, "X")) &gt; 0, (COUNTIF(AI18:AI37, "✓") + COUNTIF(AI18:AI37, "✔") + COUNTIF(AI18:AI37, "v") + COUNTIF(AI18:AI37, "V")) / ((COUNTIF(AI18:AI37, "✓") + COUNTIF(AI18:AI37, "✔") + COUNTIF(AI18:AI37, "v") + COUNTIF(AI18:AI37, "V")) + COUNTIF(AI18:AI37, "✗") + COUNTIF(AI18:AI37, "x") + COUNTIF(AI18:AI37, "X")), "")</f>
        <v/>
      </c>
      <c r="AJ39" s="133">
        <f>IF(COUNT(E39:AI39) &gt; 0, AVERAGE(E39:AI39), "")</f>
        <v/>
      </c>
      <c r="AK39" s="54" t="n"/>
      <c r="AL39" s="54" t="n"/>
    </row>
    <row r="40" ht="6" customHeight="1"/>
    <row r="41" ht="15" customHeight="1">
      <c r="A41" s="135" t="inlineStr">
        <is>
          <t>IF SUCCESS &lt; 80%, PUNISHMENT: ________________________________________________</t>
        </is>
      </c>
    </row>
    <row r="42" ht="15" customHeight="1">
      <c r="A42" s="136" t="inlineStr">
        <is>
          <t>IF SUCCESS &gt; 90%, REWARD: __________________________________________________</t>
        </is>
      </c>
    </row>
    <row r="43" ht="10" customHeight="1"/>
    <row r="44" ht="10" customHeight="1"/>
    <row r="45" ht="15" customHeight="1">
      <c r="A45" s="51" t="inlineStr">
        <is>
          <t>Sleep Tracking</t>
        </is>
      </c>
      <c r="B45" s="52" t="n"/>
      <c r="C45" s="52" t="n"/>
      <c r="D45" s="52" t="n"/>
      <c r="E45" s="137" t="n">
        <v>1</v>
      </c>
      <c r="F45" s="137" t="n">
        <v>2</v>
      </c>
      <c r="G45" s="137" t="n">
        <v>3</v>
      </c>
      <c r="H45" s="137" t="n">
        <v>4</v>
      </c>
      <c r="I45" s="137" t="n">
        <v>5</v>
      </c>
      <c r="J45" s="137" t="n">
        <v>6</v>
      </c>
      <c r="K45" s="138" t="n">
        <v>7</v>
      </c>
      <c r="L45" s="137" t="n">
        <v>8</v>
      </c>
      <c r="M45" s="137" t="n">
        <v>9</v>
      </c>
      <c r="N45" s="137" t="n">
        <v>10</v>
      </c>
      <c r="O45" s="137" t="n">
        <v>11</v>
      </c>
      <c r="P45" s="137" t="n">
        <v>12</v>
      </c>
      <c r="Q45" s="137" t="n">
        <v>13</v>
      </c>
      <c r="R45" s="138" t="n">
        <v>14</v>
      </c>
      <c r="S45" s="137" t="n">
        <v>15</v>
      </c>
      <c r="T45" s="137" t="n">
        <v>16</v>
      </c>
      <c r="U45" s="137" t="n">
        <v>17</v>
      </c>
      <c r="V45" s="137" t="n">
        <v>18</v>
      </c>
      <c r="W45" s="137" t="n">
        <v>19</v>
      </c>
      <c r="X45" s="137" t="n">
        <v>20</v>
      </c>
      <c r="Y45" s="138" t="n">
        <v>21</v>
      </c>
      <c r="Z45" s="137" t="n">
        <v>22</v>
      </c>
      <c r="AA45" s="137" t="n">
        <v>23</v>
      </c>
      <c r="AB45" s="137" t="n">
        <v>24</v>
      </c>
      <c r="AC45" s="137" t="n">
        <v>25</v>
      </c>
      <c r="AD45" s="137" t="n">
        <v>26</v>
      </c>
      <c r="AE45" s="137" t="n">
        <v>27</v>
      </c>
      <c r="AF45" s="138" t="n">
        <v>28</v>
      </c>
      <c r="AG45" s="137" t="n">
        <v>29</v>
      </c>
      <c r="AH45" s="137" t="n">
        <v>30</v>
      </c>
      <c r="AI45" s="137" t="n">
        <v>31</v>
      </c>
    </row>
    <row r="46" ht="15" customHeight="1">
      <c r="A46" s="52" t="n"/>
      <c r="B46" s="52" t="n"/>
      <c r="C46" s="52" t="n"/>
      <c r="D46" s="52" t="n"/>
      <c r="E46" s="139" t="inlineStr">
        <is>
          <t>M</t>
        </is>
      </c>
      <c r="F46" s="139" t="inlineStr">
        <is>
          <t>T</t>
        </is>
      </c>
      <c r="G46" s="139" t="inlineStr">
        <is>
          <t>W</t>
        </is>
      </c>
      <c r="H46" s="139" t="inlineStr">
        <is>
          <t>Th</t>
        </is>
      </c>
      <c r="I46" s="139" t="inlineStr">
        <is>
          <t>F</t>
        </is>
      </c>
      <c r="J46" s="139" t="inlineStr">
        <is>
          <t>Sa</t>
        </is>
      </c>
      <c r="K46" s="140" t="inlineStr">
        <is>
          <t>Su</t>
        </is>
      </c>
      <c r="L46" s="139" t="inlineStr">
        <is>
          <t>M</t>
        </is>
      </c>
      <c r="M46" s="139" t="inlineStr">
        <is>
          <t>T</t>
        </is>
      </c>
      <c r="N46" s="139" t="inlineStr">
        <is>
          <t>W</t>
        </is>
      </c>
      <c r="O46" s="139" t="inlineStr">
        <is>
          <t>Th</t>
        </is>
      </c>
      <c r="P46" s="139" t="inlineStr">
        <is>
          <t>F</t>
        </is>
      </c>
      <c r="Q46" s="139" t="inlineStr">
        <is>
          <t>Sa</t>
        </is>
      </c>
      <c r="R46" s="140" t="inlineStr">
        <is>
          <t>Su</t>
        </is>
      </c>
      <c r="S46" s="139" t="inlineStr">
        <is>
          <t>M</t>
        </is>
      </c>
      <c r="T46" s="139" t="inlineStr">
        <is>
          <t>T</t>
        </is>
      </c>
      <c r="U46" s="139" t="inlineStr">
        <is>
          <t>W</t>
        </is>
      </c>
      <c r="V46" s="139" t="inlineStr">
        <is>
          <t>Th</t>
        </is>
      </c>
      <c r="W46" s="139" t="inlineStr">
        <is>
          <t>F</t>
        </is>
      </c>
      <c r="X46" s="139" t="inlineStr">
        <is>
          <t>Sa</t>
        </is>
      </c>
      <c r="Y46" s="140" t="inlineStr">
        <is>
          <t>Su</t>
        </is>
      </c>
      <c r="Z46" s="139" t="inlineStr">
        <is>
          <t>M</t>
        </is>
      </c>
      <c r="AA46" s="139" t="inlineStr">
        <is>
          <t>T</t>
        </is>
      </c>
      <c r="AB46" s="139" t="inlineStr">
        <is>
          <t>W</t>
        </is>
      </c>
      <c r="AC46" s="139" t="inlineStr">
        <is>
          <t>Th</t>
        </is>
      </c>
      <c r="AD46" s="139" t="inlineStr">
        <is>
          <t>F</t>
        </is>
      </c>
      <c r="AE46" s="139" t="inlineStr">
        <is>
          <t>Sa</t>
        </is>
      </c>
      <c r="AF46" s="140" t="inlineStr">
        <is>
          <t>Su</t>
        </is>
      </c>
      <c r="AG46" s="139" t="inlineStr">
        <is>
          <t>M</t>
        </is>
      </c>
      <c r="AH46" s="139" t="inlineStr">
        <is>
          <t>T</t>
        </is>
      </c>
      <c r="AI46" s="139" t="inlineStr">
        <is>
          <t>W</t>
        </is>
      </c>
    </row>
    <row r="47" ht="20" customHeight="1">
      <c r="A47" s="141" t="inlineStr">
        <is>
          <t>Sleep Hours (1-24)</t>
        </is>
      </c>
      <c r="B47" s="142" t="n"/>
      <c r="C47" s="142" t="n"/>
      <c r="D47" s="142" t="n"/>
      <c r="E47" s="143" t="n"/>
      <c r="F47" s="143" t="n"/>
      <c r="G47" s="143" t="n"/>
      <c r="H47" s="143" t="n"/>
      <c r="I47" s="143" t="n"/>
      <c r="J47" s="143" t="n"/>
      <c r="K47" s="144" t="n"/>
      <c r="L47" s="143" t="n"/>
      <c r="M47" s="143" t="n"/>
      <c r="N47" s="143" t="n"/>
      <c r="O47" s="143" t="n"/>
      <c r="P47" s="143" t="n"/>
      <c r="Q47" s="143" t="n"/>
      <c r="R47" s="144" t="n"/>
      <c r="S47" s="143" t="n"/>
      <c r="T47" s="143" t="n"/>
      <c r="U47" s="143" t="n"/>
      <c r="V47" s="143" t="n"/>
      <c r="W47" s="143" t="n"/>
      <c r="X47" s="143" t="n"/>
      <c r="Y47" s="144" t="n"/>
      <c r="Z47" s="143" t="n"/>
      <c r="AA47" s="143" t="n"/>
      <c r="AB47" s="143" t="n"/>
      <c r="AC47" s="143" t="n"/>
      <c r="AD47" s="143" t="n"/>
      <c r="AE47" s="143" t="n"/>
      <c r="AF47" s="144" t="n"/>
      <c r="AG47" s="143" t="n"/>
      <c r="AH47" s="143" t="n"/>
      <c r="AI47" s="143" t="n"/>
    </row>
    <row r="48" ht="6" customHeight="1"/>
    <row r="49" ht="14" customHeight="1"/>
    <row r="50" ht="14" customHeight="1"/>
    <row r="51" ht="14" customHeight="1"/>
    <row r="52" ht="14" customHeight="1"/>
    <row r="53" ht="14" customHeight="1"/>
    <row r="54" ht="14" customHeight="1"/>
    <row r="55" ht="14" customHeight="1"/>
    <row r="56" ht="14" customHeight="1"/>
    <row r="57" ht="14" customHeight="1"/>
    <row r="58" ht="14" customHeight="1"/>
    <row r="59" ht="14" customHeight="1"/>
    <row r="60" ht="14" customHeight="1"/>
    <row r="61" ht="14" customHeight="1"/>
    <row r="62" ht="14" customHeight="1"/>
    <row r="63" ht="14" customHeight="1"/>
    <row r="64" ht="14" customHeight="1"/>
    <row r="65" ht="14" customHeight="1"/>
    <row r="66" ht="8" customHeight="1"/>
    <row r="67">
      <c r="A67" s="145" t="inlineStr">
        <is>
          <t>MONTHLY SUCCESS RATE</t>
        </is>
      </c>
      <c r="B67" s="9" t="n"/>
      <c r="C67" s="9" t="n"/>
      <c r="D67" s="9" t="n"/>
      <c r="F67" s="146" t="inlineStr">
        <is>
          <t>ACTIVE PROTOCOLS</t>
        </is>
      </c>
      <c r="G67" s="11" t="n"/>
      <c r="H67" s="11" t="n"/>
      <c r="I67" s="11" t="n"/>
      <c r="K67" s="147" t="inlineStr">
        <is>
          <t>PERFECT DAYS (100%)</t>
        </is>
      </c>
      <c r="L67" s="13" t="n"/>
      <c r="M67" s="13" t="n"/>
      <c r="N67" s="13" t="n"/>
      <c r="P67" s="148" t="inlineStr">
        <is>
          <t>AVG SLEEP DURATION</t>
        </is>
      </c>
      <c r="Q67" s="15" t="n"/>
      <c r="R67" s="15" t="n"/>
      <c r="S67" s="15" t="n"/>
    </row>
    <row r="68">
      <c r="A68" s="149">
        <f>IF(SUM(D18:D37)&gt;0, SUM(AM18:AM37)/SUM(D18:D37), 0)</f>
        <v/>
      </c>
      <c r="B68" s="9" t="n"/>
      <c r="C68" s="9" t="n"/>
      <c r="D68" s="9" t="n"/>
      <c r="F68" s="150">
        <f>COUNTA(B18:B37) &amp; " / 20"</f>
        <v/>
      </c>
      <c r="G68" s="11" t="n"/>
      <c r="H68" s="11" t="n"/>
      <c r="I68" s="11" t="n"/>
      <c r="K68" s="151">
        <f>COUNTIF(E39:AI39, 1) &amp; " Days"</f>
        <v/>
      </c>
      <c r="L68" s="13" t="n"/>
      <c r="M68" s="13" t="n"/>
      <c r="N68" s="13" t="n"/>
      <c r="P68" s="152">
        <f>IFERROR(TEXT(AVERAGE(E47:AI47), "0.0") &amp; " hrs", "-")</f>
        <v/>
      </c>
      <c r="Q68" s="15" t="n"/>
      <c r="R68" s="15" t="n"/>
      <c r="S68" s="15" t="n"/>
    </row>
    <row r="69">
      <c r="A69" s="9" t="n"/>
      <c r="B69" s="9" t="n"/>
      <c r="C69" s="9" t="n"/>
      <c r="D69" s="9" t="n"/>
      <c r="F69" s="11" t="n"/>
      <c r="G69" s="11" t="n"/>
      <c r="H69" s="11" t="n"/>
      <c r="I69" s="11" t="n"/>
      <c r="K69" s="13" t="n"/>
      <c r="L69" s="13" t="n"/>
      <c r="M69" s="13" t="n"/>
      <c r="N69" s="13" t="n"/>
      <c r="P69" s="15" t="n"/>
      <c r="Q69" s="15" t="n"/>
      <c r="R69" s="15" t="n"/>
      <c r="S69" s="15" t="n"/>
    </row>
    <row r="70">
      <c r="A70" s="9" t="n"/>
      <c r="B70" s="9" t="n"/>
      <c r="C70" s="9" t="n"/>
      <c r="D70" s="9" t="n"/>
      <c r="F70" s="11" t="n"/>
      <c r="G70" s="11" t="n"/>
      <c r="H70" s="11" t="n"/>
      <c r="I70" s="11" t="n"/>
      <c r="K70" s="13" t="n"/>
      <c r="L70" s="13" t="n"/>
      <c r="M70" s="13" t="n"/>
      <c r="N70" s="13" t="n"/>
      <c r="P70" s="15" t="n"/>
      <c r="Q70" s="15" t="n"/>
      <c r="R70" s="15" t="n"/>
      <c r="S70" s="15" t="n"/>
    </row>
    <row r="71">
      <c r="A71" s="153" t="inlineStr">
        <is>
          <t>Target Completion</t>
        </is>
      </c>
      <c r="B71" s="9" t="n"/>
      <c r="C71" s="9" t="n"/>
      <c r="D71" s="9" t="n"/>
      <c r="F71" s="154" t="inlineStr">
        <is>
          <t>Habits Tracked</t>
        </is>
      </c>
      <c r="G71" s="11" t="n"/>
      <c r="H71" s="11" t="n"/>
      <c r="I71" s="11" t="n"/>
      <c r="K71" s="155" t="inlineStr">
        <is>
          <t>All Marked Habits Completed</t>
        </is>
      </c>
      <c r="L71" s="13" t="n"/>
      <c r="M71" s="13" t="n"/>
      <c r="N71" s="13" t="n"/>
      <c r="P71" s="156" t="inlineStr">
        <is>
          <t>Nightly Rest Average</t>
        </is>
      </c>
      <c r="Q71" s="15" t="n"/>
      <c r="R71" s="15" t="n"/>
      <c r="S71" s="15" t="n"/>
    </row>
    <row r="72" ht="8" customHeight="1"/>
    <row r="73" ht="6" customHeight="1"/>
    <row r="74">
      <c r="A74" s="67" t="inlineStr">
        <is>
          <t>WEEKLY PERFORMANCE (SLUMP DETECTOR)</t>
        </is>
      </c>
      <c r="B74" s="29" t="n"/>
      <c r="C74" s="29" t="n"/>
      <c r="D74" s="29" t="n"/>
      <c r="E74" s="29" t="n"/>
      <c r="N74" s="157" t="inlineStr">
        <is>
          <t>LIFE DOMAIN / CATEGORY BREAKDOWN</t>
        </is>
      </c>
      <c r="O74" s="158" t="n"/>
      <c r="P74" s="158" t="n"/>
      <c r="Q74" s="158" t="n"/>
      <c r="R74" s="158" t="n"/>
      <c r="S74" s="158" t="n"/>
    </row>
    <row r="75" ht="15" customHeight="1">
      <c r="A75" s="53" t="inlineStr">
        <is>
          <t>Week</t>
        </is>
      </c>
      <c r="B75" s="53" t="inlineStr">
        <is>
          <t>Days Range</t>
        </is>
      </c>
      <c r="C75" s="53" t="inlineStr">
        <is>
          <t>Checks Done</t>
        </is>
      </c>
      <c r="D75" s="53" t="inlineStr">
        <is>
          <t>Evaluated</t>
        </is>
      </c>
      <c r="E75" s="53" t="inlineStr">
        <is>
          <t>Success %</t>
        </is>
      </c>
      <c r="N75" s="53" t="inlineStr">
        <is>
          <t>Domain / Category</t>
        </is>
      </c>
      <c r="O75" s="54" t="n"/>
      <c r="P75" s="53" t="inlineStr">
        <is>
          <t>Active Habits</t>
        </is>
      </c>
      <c r="Q75" s="53" t="inlineStr">
        <is>
          <t>Target Days</t>
        </is>
      </c>
      <c r="R75" s="53" t="inlineStr">
        <is>
          <t>Done Checks</t>
        </is>
      </c>
      <c r="S75" s="53" t="inlineStr">
        <is>
          <t>Success %</t>
        </is>
      </c>
    </row>
    <row r="76" ht="14" customHeight="1">
      <c r="A76" s="33" t="inlineStr">
        <is>
          <t>Week 1</t>
        </is>
      </c>
      <c r="B76" s="34" t="inlineStr">
        <is>
          <t>Days 1 - 7</t>
        </is>
      </c>
      <c r="C76" s="34">
        <f>COUNTIF(E18:K37, "✓")</f>
        <v/>
      </c>
      <c r="D76" s="34">
        <f>COUNTIF(E18:K37, "✓") + COUNTIF(E18:K37, "✗")</f>
        <v/>
      </c>
      <c r="E76" s="35">
        <f>IFERROR(C76/D76, 0)</f>
        <v/>
      </c>
      <c r="N76" s="60" t="inlineStr">
        <is>
          <t>Health &amp; Fitness</t>
        </is>
      </c>
      <c r="O76" s="54" t="n"/>
      <c r="P76" s="34">
        <f>COUNTIF($C$18:$C$37, "Health &amp; Fitness")</f>
        <v/>
      </c>
      <c r="Q76" s="34">
        <f>SUMIF($C$18:$C$37, "Health &amp; Fitness", $D$18:$D$37)</f>
        <v/>
      </c>
      <c r="R76" s="34">
        <f>SUMIF($C$18:$C$37, "Health &amp; Fitness", $AM$18:$AM$37)</f>
        <v/>
      </c>
      <c r="S76" s="35">
        <f>IFERROR(R76/Q76, 0)</f>
        <v/>
      </c>
    </row>
    <row r="77" ht="14" customHeight="1">
      <c r="A77" s="33" t="inlineStr">
        <is>
          <t>Week 2</t>
        </is>
      </c>
      <c r="B77" s="34" t="inlineStr">
        <is>
          <t>Days 8 - 14</t>
        </is>
      </c>
      <c r="C77" s="34">
        <f>COUNTIF(L18:R37, "✓")</f>
        <v/>
      </c>
      <c r="D77" s="34">
        <f>COUNTIF(L18:R37, "✓") + COUNTIF(L18:R37, "✗")</f>
        <v/>
      </c>
      <c r="E77" s="35">
        <f>IFERROR(C77/D77, 0)</f>
        <v/>
      </c>
      <c r="N77" s="60" t="inlineStr">
        <is>
          <t>Mindset &amp; Learning</t>
        </is>
      </c>
      <c r="O77" s="54" t="n"/>
      <c r="P77" s="34">
        <f>COUNTIF($C$18:$C$37, "Mindset &amp; Learning")</f>
        <v/>
      </c>
      <c r="Q77" s="34">
        <f>SUMIF($C$18:$C$37, "Mindset &amp; Learning", $D$18:$D$37)</f>
        <v/>
      </c>
      <c r="R77" s="34">
        <f>SUMIF($C$18:$C$37, "Mindset &amp; Learning", $AM$18:$AM$37)</f>
        <v/>
      </c>
      <c r="S77" s="35">
        <f>IFERROR(R77/Q77, 0)</f>
        <v/>
      </c>
    </row>
    <row r="78" ht="14" customHeight="1">
      <c r="A78" s="33" t="inlineStr">
        <is>
          <t>Week 3</t>
        </is>
      </c>
      <c r="B78" s="34" t="inlineStr">
        <is>
          <t>Days 15 - 21</t>
        </is>
      </c>
      <c r="C78" s="34">
        <f>COUNTIF(S18:Y37, "✓")</f>
        <v/>
      </c>
      <c r="D78" s="34">
        <f>COUNTIF(S18:Y37, "✓") + COUNTIF(S18:Y37, "✗")</f>
        <v/>
      </c>
      <c r="E78" s="35">
        <f>IFERROR(C78/D78, 0)</f>
        <v/>
      </c>
      <c r="N78" s="60" t="inlineStr">
        <is>
          <t>Career &amp; Focus</t>
        </is>
      </c>
      <c r="O78" s="54" t="n"/>
      <c r="P78" s="34">
        <f>COUNTIF($C$18:$C$37, "Career &amp; Focus")</f>
        <v/>
      </c>
      <c r="Q78" s="34">
        <f>SUMIF($C$18:$C$37, "Career &amp; Focus", $D$18:$D$37)</f>
        <v/>
      </c>
      <c r="R78" s="34">
        <f>SUMIF($C$18:$C$37, "Career &amp; Focus", $AM$18:$AM$37)</f>
        <v/>
      </c>
      <c r="S78" s="35">
        <f>IFERROR(R78/Q78, 0)</f>
        <v/>
      </c>
    </row>
    <row r="79" ht="14" customHeight="1">
      <c r="A79" s="33" t="inlineStr">
        <is>
          <t>Week 4</t>
        </is>
      </c>
      <c r="B79" s="34" t="inlineStr">
        <is>
          <t>Days 22 - 28</t>
        </is>
      </c>
      <c r="C79" s="34">
        <f>COUNTIF(Z18:AF37, "✓")</f>
        <v/>
      </c>
      <c r="D79" s="34">
        <f>COUNTIF(Z18:AF37, "✓") + COUNTIF(Z18:AF37, "✗")</f>
        <v/>
      </c>
      <c r="E79" s="35">
        <f>IFERROR(C79/D79, 0)</f>
        <v/>
      </c>
      <c r="N79" s="60" t="inlineStr">
        <is>
          <t>Personal &amp; Home</t>
        </is>
      </c>
      <c r="O79" s="54" t="n"/>
      <c r="P79" s="34">
        <f>COUNTIF($C$18:$C$37, "Personal &amp; Home")</f>
        <v/>
      </c>
      <c r="Q79" s="34">
        <f>SUMIF($C$18:$C$37, "Personal &amp; Home", $D$18:$D$37)</f>
        <v/>
      </c>
      <c r="R79" s="34">
        <f>SUMIF($C$18:$C$37, "Personal &amp; Home", $AM$18:$AM$37)</f>
        <v/>
      </c>
      <c r="S79" s="35">
        <f>IFERROR(R79/Q79, 0)</f>
        <v/>
      </c>
    </row>
    <row r="80" ht="14" customHeight="1">
      <c r="A80" s="33" t="inlineStr">
        <is>
          <t>Week 5</t>
        </is>
      </c>
      <c r="B80" s="34" t="inlineStr">
        <is>
          <t>Days 29 - 31</t>
        </is>
      </c>
      <c r="C80" s="34">
        <f>COUNTIF(AG18:AI37, "✓")</f>
        <v/>
      </c>
      <c r="D80" s="34">
        <f>COUNTIF(AG18:AI37, "✓") + COUNTIF(AG18:AI37, "✗")</f>
        <v/>
      </c>
      <c r="E80" s="35">
        <f>IFERROR(C80/D80, 0)</f>
        <v/>
      </c>
      <c r="N80" s="60" t="inlineStr">
        <is>
          <t>Finance &amp; Wealth</t>
        </is>
      </c>
      <c r="O80" s="54" t="n"/>
      <c r="P80" s="34">
        <f>COUNTIF($C$18:$C$37, "Finance &amp; Wealth")</f>
        <v/>
      </c>
      <c r="Q80" s="34">
        <f>SUMIF($C$18:$C$37, "Finance &amp; Wealth", $D$18:$D$37)</f>
        <v/>
      </c>
      <c r="R80" s="34">
        <f>SUMIF($C$18:$C$37, "Finance &amp; Wealth", $AM$18:$AM$37)</f>
        <v/>
      </c>
      <c r="S80" s="35">
        <f>IFERROR(R80/Q80, 0)</f>
        <v/>
      </c>
    </row>
    <row r="81" ht="14" customHeight="1">
      <c r="A81" s="33" t="inlineStr">
        <is>
          <t>Total / Avg</t>
        </is>
      </c>
      <c r="B81" s="159" t="inlineStr">
        <is>
          <t>Month Total</t>
        </is>
      </c>
      <c r="C81" s="33">
        <f>SUM(C76:C80)</f>
        <v/>
      </c>
      <c r="D81" s="33">
        <f>SUM(D76:D80)</f>
        <v/>
      </c>
      <c r="E81" s="133">
        <f>IFERROR(C81/D81, 0)</f>
        <v/>
      </c>
    </row>
    <row r="82" ht="10" customHeight="1"/>
    <row r="83" ht="10" customHeight="1"/>
    <row r="84">
      <c r="A84" s="51" t="inlineStr">
        <is>
          <t>SLEEP &amp; PRODUCTIVITY CORRELATION ANALYSIS</t>
        </is>
      </c>
      <c r="B84" s="52" t="n"/>
      <c r="C84" s="52" t="n"/>
      <c r="D84" s="52" t="n"/>
      <c r="E84" s="52" t="n"/>
      <c r="F84" s="52" t="n"/>
      <c r="G84" s="52" t="n"/>
      <c r="H84" s="52" t="n"/>
      <c r="I84" s="52" t="n"/>
      <c r="J84" s="52" t="n"/>
      <c r="K84" s="52" t="n"/>
      <c r="L84" s="52" t="n"/>
      <c r="M84" s="52" t="n"/>
      <c r="N84" s="52" t="n"/>
      <c r="O84" s="52" t="n"/>
      <c r="P84" s="52" t="n"/>
      <c r="Q84" s="52" t="n"/>
      <c r="R84" s="52" t="n"/>
      <c r="S84" s="52" t="n"/>
      <c r="T84" s="52" t="n"/>
      <c r="U84" s="52" t="n"/>
      <c r="V84" s="52" t="n"/>
      <c r="W84" s="52" t="n"/>
      <c r="X84" s="52" t="n"/>
      <c r="Y84" s="52" t="n"/>
      <c r="Z84" s="52" t="n"/>
      <c r="AA84" s="52" t="n"/>
      <c r="AB84" s="52" t="n"/>
      <c r="AC84" s="52" t="n"/>
      <c r="AD84" s="52" t="n"/>
      <c r="AE84" s="52" t="n"/>
      <c r="AF84" s="52" t="n"/>
      <c r="AG84" s="52" t="n"/>
      <c r="AH84" s="52" t="n"/>
      <c r="AI84" s="52" t="n"/>
      <c r="AJ84" s="52" t="n"/>
      <c r="AK84" s="52" t="n"/>
      <c r="AL84" s="52" t="n"/>
    </row>
    <row r="85" ht="15" customHeight="1">
      <c r="A85" s="53" t="inlineStr">
        <is>
          <t>Rest Category</t>
        </is>
      </c>
      <c r="B85" s="54" t="n"/>
      <c r="C85" s="54" t="n"/>
      <c r="D85" s="53" t="inlineStr">
        <is>
          <t>Day Criteria</t>
        </is>
      </c>
      <c r="E85" s="54" t="n"/>
      <c r="F85" s="54" t="n"/>
      <c r="G85" s="53" t="inlineStr">
        <is>
          <t>Days Logged</t>
        </is>
      </c>
      <c r="H85" s="54" t="n"/>
      <c r="I85" s="54" t="n"/>
      <c r="J85" s="53" t="inlineStr">
        <is>
          <t>Avg Sleep Duration</t>
        </is>
      </c>
      <c r="K85" s="54" t="n"/>
      <c r="L85" s="54" t="n"/>
      <c r="M85" s="54" t="n"/>
      <c r="N85" s="53" t="inlineStr">
        <is>
          <t>Avg Habit Success %</t>
        </is>
      </c>
      <c r="O85" s="54" t="n"/>
      <c r="P85" s="54" t="n"/>
      <c r="Q85" s="54" t="n"/>
      <c r="R85" s="53" t="inlineStr">
        <is>
          <t>Productivity Delta</t>
        </is>
      </c>
      <c r="S85" s="54" t="n"/>
      <c r="T85" s="54" t="n"/>
      <c r="U85" s="54" t="n"/>
    </row>
    <row r="86" ht="15" customHeight="1">
      <c r="A86" s="160" t="inlineStr">
        <is>
          <t>Optimal Rest</t>
        </is>
      </c>
      <c r="B86" s="161" t="n"/>
      <c r="C86" s="56" t="n"/>
      <c r="D86" s="34" t="inlineStr">
        <is>
          <t>&gt;= 7 Hours / Night</t>
        </is>
      </c>
      <c r="E86" s="161" t="n"/>
      <c r="F86" s="56" t="n"/>
      <c r="G86" s="33">
        <f>COUNTIF(E47:AI47, "&gt;=7")</f>
        <v/>
      </c>
      <c r="H86" s="161" t="n"/>
      <c r="I86" s="56" t="n"/>
      <c r="J86" s="34">
        <f>IFERROR(TEXT(AVERAGEIF(E47:AI47, "&gt;=7"), "0.0") &amp; " hrs", "-")</f>
        <v/>
      </c>
      <c r="K86" s="161" t="n"/>
      <c r="L86" s="161" t="n"/>
      <c r="M86" s="56" t="n"/>
      <c r="N86" s="42">
        <f>IFERROR(AVERAGEIFS(E39:AI39, E47:AI47, "&gt;=7", E39:AI39, "&gt;0"), 0)</f>
        <v/>
      </c>
      <c r="O86" s="161" t="n"/>
      <c r="P86" s="161" t="n"/>
      <c r="Q86" s="56" t="n"/>
      <c r="R86" s="159" t="inlineStr">
        <is>
          <t>Baseline (Target)</t>
        </is>
      </c>
      <c r="S86" s="161" t="n"/>
      <c r="T86" s="161" t="n"/>
      <c r="U86" s="56" t="n"/>
    </row>
    <row r="87" ht="15" customHeight="1">
      <c r="A87" s="162" t="inlineStr">
        <is>
          <t>Sleep Deficit</t>
        </is>
      </c>
      <c r="B87" s="161" t="n"/>
      <c r="C87" s="56" t="n"/>
      <c r="D87" s="34" t="inlineStr">
        <is>
          <t>&lt; 7 Hours / Night</t>
        </is>
      </c>
      <c r="E87" s="161" t="n"/>
      <c r="F87" s="56" t="n"/>
      <c r="G87" s="33">
        <f>COUNTIF(E47:AI47, "&lt;7") - COUNTIF(E47:AI47, "")</f>
        <v/>
      </c>
      <c r="H87" s="161" t="n"/>
      <c r="I87" s="56" t="n"/>
      <c r="J87" s="34">
        <f>IFERROR(TEXT(AVERAGEIFS(E47:AI47, E47:AI47, "&lt;7", E47:AI47, "&gt;0"), "0.0") &amp; " hrs", "-")</f>
        <v/>
      </c>
      <c r="K87" s="161" t="n"/>
      <c r="L87" s="161" t="n"/>
      <c r="M87" s="56" t="n"/>
      <c r="N87" s="163">
        <f>IFERROR(AVERAGEIFS(E39:AI39, E47:AI47, "&lt;7", E39:AI39, "&gt;0"), 0)</f>
        <v/>
      </c>
      <c r="O87" s="161" t="n"/>
      <c r="P87" s="161" t="n"/>
      <c r="Q87" s="56" t="n"/>
      <c r="R87" s="160">
        <f>IFERROR(TEXT(N86 - N87, "+0.0%;-0.0%;0.0%") &amp; " Rest Advantage", "-")</f>
        <v/>
      </c>
      <c r="S87" s="161" t="n"/>
      <c r="T87" s="161" t="n"/>
      <c r="U87" s="56" t="n"/>
    </row>
    <row r="88" ht="18" customHeight="1">
      <c r="A88" s="164">
        <f>IF(AND(ISNUMBER(N86), ISNUMBER(N87), N86&gt;0, N87&gt;0), "💡 Sleep Correlation Insight: You complete " &amp; TEXT(ABS(N86-N87), "0.0%") &amp; IF(N86&gt;=N87, " MORE habits on days with 7+ hours of sleep!", " fewer habits on days with 7+ hours of sleep."), "💡 Log both habits and sleep hours daily to unlock automatic AI correlation insights!")</f>
        <v/>
      </c>
      <c r="B88" s="161" t="n"/>
      <c r="C88" s="161" t="n"/>
      <c r="D88" s="161" t="n"/>
      <c r="E88" s="161" t="n"/>
      <c r="F88" s="161" t="n"/>
      <c r="G88" s="161" t="n"/>
      <c r="H88" s="161" t="n"/>
      <c r="I88" s="161" t="n"/>
      <c r="J88" s="161" t="n"/>
      <c r="K88" s="161" t="n"/>
      <c r="L88" s="161" t="n"/>
      <c r="M88" s="161" t="n"/>
      <c r="N88" s="161" t="n"/>
      <c r="O88" s="161" t="n"/>
      <c r="P88" s="161" t="n"/>
      <c r="Q88" s="161" t="n"/>
      <c r="R88" s="161" t="n"/>
      <c r="S88" s="161" t="n"/>
      <c r="T88" s="161" t="n"/>
      <c r="U88" s="161" t="n"/>
      <c r="V88" s="161" t="n"/>
      <c r="W88" s="161" t="n"/>
      <c r="X88" s="161" t="n"/>
      <c r="Y88" s="161" t="n"/>
      <c r="Z88" s="161" t="n"/>
      <c r="AA88" s="161" t="n"/>
      <c r="AB88" s="161" t="n"/>
      <c r="AC88" s="161" t="n"/>
      <c r="AD88" s="161" t="n"/>
      <c r="AE88" s="161" t="n"/>
      <c r="AF88" s="161" t="n"/>
      <c r="AG88" s="161" t="n"/>
      <c r="AH88" s="161" t="n"/>
      <c r="AI88" s="161" t="n"/>
      <c r="AJ88" s="161" t="n"/>
      <c r="AK88" s="161" t="n"/>
      <c r="AL88" s="56" t="n"/>
    </row>
    <row r="89" ht="10" customHeight="1"/>
    <row r="90">
      <c r="A90" s="43" t="inlineStr">
        <is>
          <t>STANDARDIZED DATA BRIDGE (FOR ANNUAL &amp; QUARTERLY REVIEW SHEETS)</t>
        </is>
      </c>
      <c r="B90" s="44" t="n"/>
      <c r="C90" s="44" t="n"/>
      <c r="D90" s="44" t="n"/>
      <c r="E90" s="44" t="n"/>
      <c r="F90" s="44" t="n"/>
      <c r="G90" s="44" t="n"/>
      <c r="H90" s="44" t="n"/>
      <c r="I90" s="44" t="n"/>
      <c r="J90" s="44" t="n"/>
      <c r="K90" s="44" t="n"/>
      <c r="L90" s="44" t="n"/>
      <c r="M90" s="44" t="n"/>
      <c r="N90" s="44" t="n"/>
      <c r="O90" s="44" t="n"/>
      <c r="P90" s="44" t="n"/>
      <c r="Q90" s="44" t="n"/>
      <c r="R90" s="44" t="n"/>
      <c r="S90" s="44" t="n"/>
      <c r="T90" s="44" t="n"/>
      <c r="U90" s="44" t="n"/>
      <c r="V90" s="44" t="n"/>
      <c r="W90" s="44" t="n"/>
      <c r="X90" s="44" t="n"/>
      <c r="Y90" s="44" t="n"/>
      <c r="Z90" s="44" t="n"/>
      <c r="AA90" s="44" t="n"/>
      <c r="AB90" s="44" t="n"/>
      <c r="AC90" s="44" t="n"/>
      <c r="AD90" s="44" t="n"/>
      <c r="AE90" s="44" t="n"/>
      <c r="AF90" s="44" t="n"/>
      <c r="AG90" s="44" t="n"/>
      <c r="AH90" s="44" t="n"/>
      <c r="AI90" s="44" t="n"/>
      <c r="AJ90" s="44" t="n"/>
      <c r="AK90" s="44" t="n"/>
      <c r="AL90" s="44" t="n"/>
    </row>
    <row r="91" ht="15" customHeight="1">
      <c r="A91" s="53" t="inlineStr">
        <is>
          <t>Month</t>
        </is>
      </c>
      <c r="B91" s="54" t="n"/>
      <c r="C91" s="53" t="inlineStr">
        <is>
          <t>Year</t>
        </is>
      </c>
      <c r="D91" s="54" t="n"/>
      <c r="E91" s="53" t="inlineStr">
        <is>
          <t>Active Habits</t>
        </is>
      </c>
      <c r="F91" s="54" t="n"/>
      <c r="G91" s="53" t="inlineStr">
        <is>
          <t>Target Days</t>
        </is>
      </c>
      <c r="H91" s="54" t="n"/>
      <c r="I91" s="53" t="inlineStr">
        <is>
          <t>Done Checks</t>
        </is>
      </c>
      <c r="J91" s="54" t="n"/>
      <c r="K91" s="53" t="inlineStr">
        <is>
          <t>Success %</t>
        </is>
      </c>
      <c r="L91" s="54" t="n"/>
      <c r="M91" s="53" t="inlineStr">
        <is>
          <t>Perfect Days</t>
        </is>
      </c>
      <c r="N91" s="54" t="n"/>
      <c r="O91" s="53" t="inlineStr">
        <is>
          <t>Avg Sleep</t>
        </is>
      </c>
      <c r="P91" s="54" t="n"/>
      <c r="Q91" s="53" t="inlineStr">
        <is>
          <t>Best Week</t>
        </is>
      </c>
      <c r="R91" s="54" t="n"/>
      <c r="S91" s="54" t="n"/>
      <c r="T91" s="53" t="inlineStr">
        <is>
          <t>Top Life Domain</t>
        </is>
      </c>
      <c r="U91" s="54" t="n"/>
      <c r="V91" s="54" t="n"/>
      <c r="W91" s="54" t="n"/>
    </row>
    <row r="92" ht="16" customHeight="1">
      <c r="A92" s="165" t="inlineStr">
        <is>
          <t>Jan</t>
        </is>
      </c>
      <c r="B92" s="56" t="n"/>
      <c r="C92" s="165" t="n">
        <v>2029</v>
      </c>
      <c r="D92" s="56" t="n"/>
      <c r="E92" s="166">
        <f>COUNTA(B18:B37)</f>
        <v/>
      </c>
      <c r="F92" s="56" t="n"/>
      <c r="G92" s="166">
        <f>SUM(D18:D37)</f>
        <v/>
      </c>
      <c r="H92" s="56" t="n"/>
      <c r="I92" s="166">
        <f>SUM(AM18:AM37)</f>
        <v/>
      </c>
      <c r="J92" s="56" t="n"/>
      <c r="K92" s="167">
        <f>IF(G92&gt;0, I92/G92, 0)</f>
        <v/>
      </c>
      <c r="L92" s="56" t="n"/>
      <c r="M92" s="166">
        <f>COUNTIF(E39:AI39, 1)</f>
        <v/>
      </c>
      <c r="N92" s="56" t="n"/>
      <c r="O92" s="168">
        <f>IFERROR(AVERAGE(E47:AI47), 0)</f>
        <v/>
      </c>
      <c r="P92" s="56" t="n"/>
      <c r="Q92" s="166">
        <f>INDEX(A76:A80, MATCH(MAX(E76:E80), E76:E80, 0))</f>
        <v/>
      </c>
      <c r="R92" s="161" t="n"/>
      <c r="S92" s="56" t="n"/>
      <c r="T92" s="166">
        <f>INDEX(N76:N80, MATCH(MAX(S76:S80), S76:S80, 0))</f>
        <v/>
      </c>
      <c r="U92" s="161" t="n"/>
      <c r="V92" s="161" t="n"/>
      <c r="W92" s="56" t="n"/>
    </row>
    <row r="93" ht="14" customHeight="1">
      <c r="A93" s="169" t="inlineStr">
        <is>
          <t>📋 Note: Reference or copy Row 92 directly into an Annual / Quarterly review dashboard to track yearly habit trends.</t>
        </is>
      </c>
    </row>
    <row r="94" ht="8" customHeight="1"/>
    <row r="95">
      <c r="A95" s="170" t="inlineStr">
        <is>
          <t>🏆 MONTHLY WINS &amp; HIGHLIGHTS</t>
        </is>
      </c>
      <c r="J95" s="171" t="inlineStr">
        <is>
          <t>⚠️ FRICTION POINTS &amp; ROOT CAUSES</t>
        </is>
      </c>
      <c r="S95" s="172" t="inlineStr">
        <is>
          <t>🎯 3 KEY ADJUSTMENTS FOR NEXT MONTH</t>
        </is>
      </c>
    </row>
    <row r="96">
      <c r="A96" s="173" t="inlineStr">
        <is>
          <t>1. What went exceptionally well this month?
2. Which habit felt effortless and consistent?
3. Major milestone achieved:</t>
        </is>
      </c>
      <c r="B96" s="174" t="n"/>
      <c r="C96" s="174" t="n"/>
      <c r="D96" s="174" t="n"/>
      <c r="E96" s="174" t="n"/>
      <c r="F96" s="174" t="n"/>
      <c r="G96" s="174" t="n"/>
      <c r="H96" s="174" t="n"/>
      <c r="J96" s="175" t="inlineStr">
        <is>
          <t>1. What caused missed or skipped days?
2. Main triggers / energy drains encountered:
3. Which habit had the lowest consistency and why?</t>
        </is>
      </c>
      <c r="K96" s="176" t="n"/>
      <c r="L96" s="176" t="n"/>
      <c r="M96" s="176" t="n"/>
      <c r="N96" s="176" t="n"/>
      <c r="O96" s="176" t="n"/>
      <c r="P96" s="176" t="n"/>
      <c r="Q96" s="176" t="n"/>
      <c r="S96" s="177" t="inlineStr">
        <is>
          <t>1. Habit Stacking or time adjustment for next month:
2. Environment design change to eliminate friction:
3. One non-negotiable priority protocol:</t>
        </is>
      </c>
      <c r="T96" s="178" t="n"/>
      <c r="U96" s="178" t="n"/>
      <c r="V96" s="178" t="n"/>
      <c r="W96" s="178" t="n"/>
      <c r="X96" s="178" t="n"/>
      <c r="Y96" s="178" t="n"/>
      <c r="Z96" s="178" t="n"/>
    </row>
    <row r="97">
      <c r="A97" s="174" t="n"/>
      <c r="B97" s="174" t="n"/>
      <c r="C97" s="174" t="n"/>
      <c r="D97" s="174" t="n"/>
      <c r="E97" s="174" t="n"/>
      <c r="F97" s="174" t="n"/>
      <c r="G97" s="174" t="n"/>
      <c r="H97" s="174" t="n"/>
      <c r="J97" s="176" t="n"/>
      <c r="K97" s="176" t="n"/>
      <c r="L97" s="176" t="n"/>
      <c r="M97" s="176" t="n"/>
      <c r="N97" s="176" t="n"/>
      <c r="O97" s="176" t="n"/>
      <c r="P97" s="176" t="n"/>
      <c r="Q97" s="176" t="n"/>
      <c r="S97" s="178" t="n"/>
      <c r="T97" s="178" t="n"/>
      <c r="U97" s="178" t="n"/>
      <c r="V97" s="178" t="n"/>
      <c r="W97" s="178" t="n"/>
      <c r="X97" s="178" t="n"/>
      <c r="Y97" s="178" t="n"/>
      <c r="Z97" s="178" t="n"/>
    </row>
    <row r="98">
      <c r="A98" s="174" t="n"/>
      <c r="B98" s="174" t="n"/>
      <c r="C98" s="174" t="n"/>
      <c r="D98" s="174" t="n"/>
      <c r="E98" s="174" t="n"/>
      <c r="F98" s="174" t="n"/>
      <c r="G98" s="174" t="n"/>
      <c r="H98" s="174" t="n"/>
      <c r="J98" s="176" t="n"/>
      <c r="K98" s="176" t="n"/>
      <c r="L98" s="176" t="n"/>
      <c r="M98" s="176" t="n"/>
      <c r="N98" s="176" t="n"/>
      <c r="O98" s="176" t="n"/>
      <c r="P98" s="176" t="n"/>
      <c r="Q98" s="176" t="n"/>
      <c r="S98" s="178" t="n"/>
      <c r="T98" s="178" t="n"/>
      <c r="U98" s="178" t="n"/>
      <c r="V98" s="178" t="n"/>
      <c r="W98" s="178" t="n"/>
      <c r="X98" s="178" t="n"/>
      <c r="Y98" s="178" t="n"/>
      <c r="Z98" s="178" t="n"/>
    </row>
    <row r="99">
      <c r="A99" s="174" t="n"/>
      <c r="B99" s="174" t="n"/>
      <c r="C99" s="174" t="n"/>
      <c r="D99" s="174" t="n"/>
      <c r="E99" s="174" t="n"/>
      <c r="F99" s="174" t="n"/>
      <c r="G99" s="174" t="n"/>
      <c r="H99" s="174" t="n"/>
      <c r="J99" s="176" t="n"/>
      <c r="K99" s="176" t="n"/>
      <c r="L99" s="176" t="n"/>
      <c r="M99" s="176" t="n"/>
      <c r="N99" s="176" t="n"/>
      <c r="O99" s="176" t="n"/>
      <c r="P99" s="176" t="n"/>
      <c r="Q99" s="176" t="n"/>
      <c r="S99" s="178" t="n"/>
      <c r="T99" s="178" t="n"/>
      <c r="U99" s="178" t="n"/>
      <c r="V99" s="178" t="n"/>
      <c r="W99" s="178" t="n"/>
      <c r="X99" s="178" t="n"/>
      <c r="Y99" s="178" t="n"/>
      <c r="Z99" s="178" t="n"/>
    </row>
    <row r="100">
      <c r="A100" s="174" t="n"/>
      <c r="B100" s="174" t="n"/>
      <c r="C100" s="174" t="n"/>
      <c r="D100" s="174" t="n"/>
      <c r="E100" s="174" t="n"/>
      <c r="F100" s="174" t="n"/>
      <c r="G100" s="174" t="n"/>
      <c r="H100" s="174" t="n"/>
      <c r="J100" s="176" t="n"/>
      <c r="K100" s="176" t="n"/>
      <c r="L100" s="176" t="n"/>
      <c r="M100" s="176" t="n"/>
      <c r="N100" s="176" t="n"/>
      <c r="O100" s="176" t="n"/>
      <c r="P100" s="176" t="n"/>
      <c r="Q100" s="176" t="n"/>
      <c r="S100" s="178" t="n"/>
      <c r="T100" s="178" t="n"/>
      <c r="U100" s="178" t="n"/>
      <c r="V100" s="178" t="n"/>
      <c r="W100" s="178" t="n"/>
      <c r="X100" s="178" t="n"/>
      <c r="Y100" s="178" t="n"/>
      <c r="Z100" s="178" t="n"/>
    </row>
    <row r="101">
      <c r="A101" s="174" t="n"/>
      <c r="B101" s="174" t="n"/>
      <c r="C101" s="174" t="n"/>
      <c r="D101" s="174" t="n"/>
      <c r="E101" s="174" t="n"/>
      <c r="F101" s="174" t="n"/>
      <c r="G101" s="174" t="n"/>
      <c r="H101" s="174" t="n"/>
      <c r="J101" s="176" t="n"/>
      <c r="K101" s="176" t="n"/>
      <c r="L101" s="176" t="n"/>
      <c r="M101" s="176" t="n"/>
      <c r="N101" s="176" t="n"/>
      <c r="O101" s="176" t="n"/>
      <c r="P101" s="176" t="n"/>
      <c r="Q101" s="176" t="n"/>
      <c r="S101" s="178" t="n"/>
      <c r="T101" s="178" t="n"/>
      <c r="U101" s="178" t="n"/>
      <c r="V101" s="178" t="n"/>
      <c r="W101" s="178" t="n"/>
      <c r="X101" s="178" t="n"/>
      <c r="Y101" s="178" t="n"/>
      <c r="Z101" s="178" t="n"/>
    </row>
    <row r="102">
      <c r="A102" s="174" t="n"/>
      <c r="B102" s="174" t="n"/>
      <c r="C102" s="174" t="n"/>
      <c r="D102" s="174" t="n"/>
      <c r="E102" s="174" t="n"/>
      <c r="F102" s="174" t="n"/>
      <c r="G102" s="174" t="n"/>
      <c r="H102" s="174" t="n"/>
      <c r="J102" s="176" t="n"/>
      <c r="K102" s="176" t="n"/>
      <c r="L102" s="176" t="n"/>
      <c r="M102" s="176" t="n"/>
      <c r="N102" s="176" t="n"/>
      <c r="O102" s="176" t="n"/>
      <c r="P102" s="176" t="n"/>
      <c r="Q102" s="176" t="n"/>
      <c r="S102" s="178" t="n"/>
      <c r="T102" s="178" t="n"/>
      <c r="U102" s="178" t="n"/>
      <c r="V102" s="178" t="n"/>
      <c r="W102" s="178" t="n"/>
      <c r="X102" s="178" t="n"/>
      <c r="Y102" s="178" t="n"/>
      <c r="Z102" s="178" t="n"/>
    </row>
    <row r="103">
      <c r="A103" s="174" t="n"/>
      <c r="B103" s="174" t="n"/>
      <c r="C103" s="174" t="n"/>
      <c r="D103" s="174" t="n"/>
      <c r="E103" s="174" t="n"/>
      <c r="F103" s="174" t="n"/>
      <c r="G103" s="174" t="n"/>
      <c r="H103" s="174" t="n"/>
      <c r="J103" s="176" t="n"/>
      <c r="K103" s="176" t="n"/>
      <c r="L103" s="176" t="n"/>
      <c r="M103" s="176" t="n"/>
      <c r="N103" s="176" t="n"/>
      <c r="O103" s="176" t="n"/>
      <c r="P103" s="176" t="n"/>
      <c r="Q103" s="176" t="n"/>
      <c r="S103" s="178" t="n"/>
      <c r="T103" s="178" t="n"/>
      <c r="U103" s="178" t="n"/>
      <c r="V103" s="178" t="n"/>
      <c r="W103" s="178" t="n"/>
      <c r="X103" s="178" t="n"/>
      <c r="Y103" s="178" t="n"/>
      <c r="Z103" s="178" t="n"/>
    </row>
  </sheetData>
  <sheetProtection selectLockedCells="1" selectUnlockedCells="1" sheet="1" objects="0" insertRows="1" insertHyperlinks="1" autoFilter="1" scenarios="0" formatColumns="1" deleteColumns="1" insertColumns="1" pivotTables="1" deleteRows="1" formatCells="1" formatRows="1" sort="1"/>
  <mergeCells count="94">
    <mergeCell ref="A9:N9"/>
    <mergeCell ref="N76:O76"/>
    <mergeCell ref="F67:I67"/>
    <mergeCell ref="G87:I87"/>
    <mergeCell ref="A16:A17"/>
    <mergeCell ref="A45:D46"/>
    <mergeCell ref="C16:C17"/>
    <mergeCell ref="N75:O75"/>
    <mergeCell ref="N77:O77"/>
    <mergeCell ref="AE2:AL2"/>
    <mergeCell ref="P9:AL9"/>
    <mergeCell ref="P68:S70"/>
    <mergeCell ref="D16:D17"/>
    <mergeCell ref="N85:Q85"/>
    <mergeCell ref="A95:H95"/>
    <mergeCell ref="A84:AL84"/>
    <mergeCell ref="Q91:S91"/>
    <mergeCell ref="E91:F91"/>
    <mergeCell ref="A8:N8"/>
    <mergeCell ref="A42:AL42"/>
    <mergeCell ref="G91:H91"/>
    <mergeCell ref="J86:M86"/>
    <mergeCell ref="H3:AD3"/>
    <mergeCell ref="K67:N67"/>
    <mergeCell ref="S95:Z95"/>
    <mergeCell ref="N79:O79"/>
    <mergeCell ref="K92:L92"/>
    <mergeCell ref="C92:D92"/>
    <mergeCell ref="M92:N92"/>
    <mergeCell ref="F71:I71"/>
    <mergeCell ref="A88:AL88"/>
    <mergeCell ref="K68:N70"/>
    <mergeCell ref="T91:W91"/>
    <mergeCell ref="A41:AL41"/>
    <mergeCell ref="A90:AL90"/>
    <mergeCell ref="J95:Q95"/>
    <mergeCell ref="D85:F85"/>
    <mergeCell ref="N74:S74"/>
    <mergeCell ref="H2:AD2"/>
    <mergeCell ref="F68:I70"/>
    <mergeCell ref="A91:B91"/>
    <mergeCell ref="N78:O78"/>
    <mergeCell ref="C91:D91"/>
    <mergeCell ref="M91:N91"/>
    <mergeCell ref="O91:P91"/>
    <mergeCell ref="R86:U86"/>
    <mergeCell ref="N80:O80"/>
    <mergeCell ref="B16:B17"/>
    <mergeCell ref="A71:D71"/>
    <mergeCell ref="J85:M85"/>
    <mergeCell ref="D86:F86"/>
    <mergeCell ref="A92:B92"/>
    <mergeCell ref="N87:Q87"/>
    <mergeCell ref="A1:B1"/>
    <mergeCell ref="E92:F92"/>
    <mergeCell ref="AL16:AL17"/>
    <mergeCell ref="A68:D70"/>
    <mergeCell ref="P71:S71"/>
    <mergeCell ref="A86:C86"/>
    <mergeCell ref="D87:F87"/>
    <mergeCell ref="O92:P92"/>
    <mergeCell ref="A6:N6"/>
    <mergeCell ref="A39:D39"/>
    <mergeCell ref="P8:AL8"/>
    <mergeCell ref="P7:AL7"/>
    <mergeCell ref="G86:I86"/>
    <mergeCell ref="A96:H103"/>
    <mergeCell ref="P67:S67"/>
    <mergeCell ref="T92:W92"/>
    <mergeCell ref="R85:U85"/>
    <mergeCell ref="K71:N71"/>
    <mergeCell ref="S96:Z103"/>
    <mergeCell ref="A93:AL93"/>
    <mergeCell ref="A38:D38"/>
    <mergeCell ref="A67:D67"/>
    <mergeCell ref="I91:J91"/>
    <mergeCell ref="A85:C85"/>
    <mergeCell ref="K91:L91"/>
    <mergeCell ref="N86:Q86"/>
    <mergeCell ref="A7:N7"/>
    <mergeCell ref="P6:AL6"/>
    <mergeCell ref="A74:E74"/>
    <mergeCell ref="G85:I85"/>
    <mergeCell ref="G92:H92"/>
    <mergeCell ref="I92:J92"/>
    <mergeCell ref="R87:U87"/>
    <mergeCell ref="AK16:AK17"/>
    <mergeCell ref="J87:M87"/>
    <mergeCell ref="AJ16:AJ17"/>
    <mergeCell ref="J96:Q103"/>
    <mergeCell ref="A12:AL14"/>
    <mergeCell ref="Q92:S92"/>
    <mergeCell ref="A87:C87"/>
    <mergeCell ref="A47:D47"/>
  </mergeCells>
  <conditionalFormatting sqref="AJ18:AJ37">
    <cfRule type="dataBar" priority="1">
      <dataBar>
        <cfvo type="num" val="0"/>
        <cfvo type="num" val="1"/>
        <color rgb="0010B981"/>
      </dataBar>
    </cfRule>
  </conditionalFormatting>
  <conditionalFormatting sqref="E18:AI37">
    <cfRule type="cellIs" priority="2" operator="equal" dxfId="0">
      <formula>"✓"</formula>
    </cfRule>
    <cfRule type="cellIs" priority="3" operator="equal" dxfId="0">
      <formula>"✔"</formula>
    </cfRule>
    <cfRule type="cellIs" priority="4" operator="equal" dxfId="1">
      <formula>"✗"</formula>
    </cfRule>
    <cfRule type="cellIs" priority="5" operator="equal" dxfId="1">
      <formula>"x"</formula>
    </cfRule>
    <cfRule type="cellIs" priority="6" operator="equal" dxfId="1">
      <formula>"X"</formula>
    </cfRule>
  </conditionalFormatting>
  <conditionalFormatting sqref="E16:E17">
    <cfRule type="expression" priority="7" dxfId="2">
      <formula>AND(DAY(TODAY())=1, MONTH(TODAY())=1, YEAR(TODAY())=2029)</formula>
    </cfRule>
  </conditionalFormatting>
  <conditionalFormatting sqref="F16:F17">
    <cfRule type="expression" priority="8" dxfId="2">
      <formula>AND(DAY(TODAY())=2, MONTH(TODAY())=1, YEAR(TODAY())=2029)</formula>
    </cfRule>
  </conditionalFormatting>
  <conditionalFormatting sqref="G16:G17">
    <cfRule type="expression" priority="9" dxfId="2">
      <formula>AND(DAY(TODAY())=3, MONTH(TODAY())=1, YEAR(TODAY())=2029)</formula>
    </cfRule>
  </conditionalFormatting>
  <conditionalFormatting sqref="H16:H17">
    <cfRule type="expression" priority="10" dxfId="2">
      <formula>AND(DAY(TODAY())=4, MONTH(TODAY())=1, YEAR(TODAY())=2029)</formula>
    </cfRule>
  </conditionalFormatting>
  <conditionalFormatting sqref="I16:I17">
    <cfRule type="expression" priority="11" dxfId="2">
      <formula>AND(DAY(TODAY())=5, MONTH(TODAY())=1, YEAR(TODAY())=2029)</formula>
    </cfRule>
  </conditionalFormatting>
  <conditionalFormatting sqref="J16:J17">
    <cfRule type="expression" priority="12" dxfId="2">
      <formula>AND(DAY(TODAY())=6, MONTH(TODAY())=1, YEAR(TODAY())=2029)</formula>
    </cfRule>
  </conditionalFormatting>
  <conditionalFormatting sqref="K16:K17">
    <cfRule type="expression" priority="13" dxfId="2">
      <formula>AND(DAY(TODAY())=7, MONTH(TODAY())=1, YEAR(TODAY())=2029)</formula>
    </cfRule>
  </conditionalFormatting>
  <conditionalFormatting sqref="L16:L17">
    <cfRule type="expression" priority="14" dxfId="2">
      <formula>AND(DAY(TODAY())=8, MONTH(TODAY())=1, YEAR(TODAY())=2029)</formula>
    </cfRule>
  </conditionalFormatting>
  <conditionalFormatting sqref="M16:M17">
    <cfRule type="expression" priority="15" dxfId="2">
      <formula>AND(DAY(TODAY())=9, MONTH(TODAY())=1, YEAR(TODAY())=2029)</formula>
    </cfRule>
  </conditionalFormatting>
  <conditionalFormatting sqref="N16:N17">
    <cfRule type="expression" priority="16" dxfId="2">
      <formula>AND(DAY(TODAY())=10, MONTH(TODAY())=1, YEAR(TODAY())=2029)</formula>
    </cfRule>
  </conditionalFormatting>
  <conditionalFormatting sqref="O16:O17">
    <cfRule type="expression" priority="17" dxfId="2">
      <formula>AND(DAY(TODAY())=11, MONTH(TODAY())=1, YEAR(TODAY())=2029)</formula>
    </cfRule>
  </conditionalFormatting>
  <conditionalFormatting sqref="P16:P17">
    <cfRule type="expression" priority="18" dxfId="2">
      <formula>AND(DAY(TODAY())=12, MONTH(TODAY())=1, YEAR(TODAY())=2029)</formula>
    </cfRule>
  </conditionalFormatting>
  <conditionalFormatting sqref="Q16:Q17">
    <cfRule type="expression" priority="19" dxfId="2">
      <formula>AND(DAY(TODAY())=13, MONTH(TODAY())=1, YEAR(TODAY())=2029)</formula>
    </cfRule>
  </conditionalFormatting>
  <conditionalFormatting sqref="R16:R17">
    <cfRule type="expression" priority="20" dxfId="2">
      <formula>AND(DAY(TODAY())=14, MONTH(TODAY())=1, YEAR(TODAY())=2029)</formula>
    </cfRule>
  </conditionalFormatting>
  <conditionalFormatting sqref="S16:S17">
    <cfRule type="expression" priority="21" dxfId="2">
      <formula>AND(DAY(TODAY())=15, MONTH(TODAY())=1, YEAR(TODAY())=2029)</formula>
    </cfRule>
  </conditionalFormatting>
  <conditionalFormatting sqref="T16:T17">
    <cfRule type="expression" priority="22" dxfId="2">
      <formula>AND(DAY(TODAY())=16, MONTH(TODAY())=1, YEAR(TODAY())=2029)</formula>
    </cfRule>
  </conditionalFormatting>
  <conditionalFormatting sqref="U16:U17">
    <cfRule type="expression" priority="23" dxfId="2">
      <formula>AND(DAY(TODAY())=17, MONTH(TODAY())=1, YEAR(TODAY())=2029)</formula>
    </cfRule>
  </conditionalFormatting>
  <conditionalFormatting sqref="V16:V17">
    <cfRule type="expression" priority="24" dxfId="2">
      <formula>AND(DAY(TODAY())=18, MONTH(TODAY())=1, YEAR(TODAY())=2029)</formula>
    </cfRule>
  </conditionalFormatting>
  <conditionalFormatting sqref="W16:W17">
    <cfRule type="expression" priority="25" dxfId="2">
      <formula>AND(DAY(TODAY())=19, MONTH(TODAY())=1, YEAR(TODAY())=2029)</formula>
    </cfRule>
  </conditionalFormatting>
  <conditionalFormatting sqref="X16:X17">
    <cfRule type="expression" priority="26" dxfId="2">
      <formula>AND(DAY(TODAY())=20, MONTH(TODAY())=1, YEAR(TODAY())=2029)</formula>
    </cfRule>
  </conditionalFormatting>
  <conditionalFormatting sqref="Y16:Y17">
    <cfRule type="expression" priority="27" dxfId="2">
      <formula>AND(DAY(TODAY())=21, MONTH(TODAY())=1, YEAR(TODAY())=2029)</formula>
    </cfRule>
  </conditionalFormatting>
  <conditionalFormatting sqref="Z16:Z17">
    <cfRule type="expression" priority="28" dxfId="2">
      <formula>AND(DAY(TODAY())=22, MONTH(TODAY())=1, YEAR(TODAY())=2029)</formula>
    </cfRule>
  </conditionalFormatting>
  <conditionalFormatting sqref="AA16:AA17">
    <cfRule type="expression" priority="29" dxfId="2">
      <formula>AND(DAY(TODAY())=23, MONTH(TODAY())=1, YEAR(TODAY())=2029)</formula>
    </cfRule>
  </conditionalFormatting>
  <conditionalFormatting sqref="AB16:AB17">
    <cfRule type="expression" priority="30" dxfId="2">
      <formula>AND(DAY(TODAY())=24, MONTH(TODAY())=1, YEAR(TODAY())=2029)</formula>
    </cfRule>
  </conditionalFormatting>
  <conditionalFormatting sqref="AC16:AC17">
    <cfRule type="expression" priority="31" dxfId="2">
      <formula>AND(DAY(TODAY())=25, MONTH(TODAY())=1, YEAR(TODAY())=2029)</formula>
    </cfRule>
  </conditionalFormatting>
  <conditionalFormatting sqref="AD16:AD17">
    <cfRule type="expression" priority="32" dxfId="2">
      <formula>AND(DAY(TODAY())=26, MONTH(TODAY())=1, YEAR(TODAY())=2029)</formula>
    </cfRule>
  </conditionalFormatting>
  <conditionalFormatting sqref="AE16:AE17">
    <cfRule type="expression" priority="33" dxfId="2">
      <formula>AND(DAY(TODAY())=27, MONTH(TODAY())=1, YEAR(TODAY())=2029)</formula>
    </cfRule>
  </conditionalFormatting>
  <conditionalFormatting sqref="AF16:AF17">
    <cfRule type="expression" priority="34" dxfId="2">
      <formula>AND(DAY(TODAY())=28, MONTH(TODAY())=1, YEAR(TODAY())=2029)</formula>
    </cfRule>
  </conditionalFormatting>
  <conditionalFormatting sqref="AG16:AG17">
    <cfRule type="expression" priority="35" dxfId="2">
      <formula>AND(DAY(TODAY())=29, MONTH(TODAY())=1, YEAR(TODAY())=2029)</formula>
    </cfRule>
  </conditionalFormatting>
  <conditionalFormatting sqref="AH16:AH17">
    <cfRule type="expression" priority="36" dxfId="2">
      <formula>AND(DAY(TODAY())=30, MONTH(TODAY())=1, YEAR(TODAY())=2029)</formula>
    </cfRule>
  </conditionalFormatting>
  <conditionalFormatting sqref="AI16:AI17">
    <cfRule type="expression" priority="37" dxfId="2">
      <formula>AND(DAY(TODAY())=31, MONTH(TODAY())=1, YEAR(TODAY())=2029)</formula>
    </cfRule>
  </conditionalFormatting>
  <dataValidations count="4">
    <dataValidation sqref="C18:C37" showDropDown="0" showInputMessage="0" showErrorMessage="0" allowBlank="1" type="list">
      <formula1>"Health &amp; Fitness,Mindset &amp; Learning,Career &amp; Focus,Personal &amp; Home,Finance &amp; Wealth,Other"</formula1>
    </dataValidation>
    <dataValidation sqref="D18:D37" showDropDown="0" showInputMessage="0" showErrorMessage="0" allowBlank="1" type="list">
      <formula1>"1,2,3,4,5,6,7,8,9,10,11,12,13,14,15,16,17,18,19,20,21,22,23,24,25,26,27,28,29,30,31"</formula1>
    </dataValidation>
    <dataValidation sqref="E18:AI37" showDropDown="0" showInputMessage="0" showErrorMessage="0" allowBlank="1" type="list">
      <formula1>"✓,✗"</formula1>
    </dataValidation>
    <dataValidation sqref="E47:AI47" showDropDown="0" showInputMessage="0" showErrorMessage="0" allowBlank="1" type="list">
      <formula1>"1,2,3,4,5,6,7,8,9,10,11,12,13,14,15,16,17,18,19,20,21,22,23,24"</formula1>
    </dataValidation>
  </dataValidations>
  <hyperlinks>
    <hyperlink xmlns:r="http://schemas.openxmlformats.org/officeDocument/2006/relationships" ref="A1" r:id="rId1"/>
    <hyperlink xmlns:r="http://schemas.openxmlformats.org/officeDocument/2006/relationships" ref="C1" r:id="rId2"/>
    <hyperlink xmlns:r="http://schemas.openxmlformats.org/officeDocument/2006/relationships" ref="D1" r:id="rId3"/>
    <hyperlink xmlns:r="http://schemas.openxmlformats.org/officeDocument/2006/relationships" ref="E1" r:id="rId4"/>
    <hyperlink xmlns:r="http://schemas.openxmlformats.org/officeDocument/2006/relationships" ref="F1" r:id="rId5"/>
    <hyperlink xmlns:r="http://schemas.openxmlformats.org/officeDocument/2006/relationships" ref="G1" r:id="rId6"/>
    <hyperlink xmlns:r="http://schemas.openxmlformats.org/officeDocument/2006/relationships" ref="H1" r:id="rId7"/>
    <hyperlink xmlns:r="http://schemas.openxmlformats.org/officeDocument/2006/relationships" ref="I1" r:id="rId8"/>
    <hyperlink xmlns:r="http://schemas.openxmlformats.org/officeDocument/2006/relationships" ref="J1" r:id="rId9"/>
    <hyperlink xmlns:r="http://schemas.openxmlformats.org/officeDocument/2006/relationships" ref="K1" r:id="rId10"/>
  </hyperlinks>
  <printOptions horizontalCentered="1" verticalCentered="0"/>
  <pageMargins left="0.75" right="0.75" top="1" bottom="1" header="0.5" footer="0.5"/>
  <pageSetup orientation="landscape" paperSize="9" fitToHeight="0" fitToWidth="1"/>
  <drawing xmlns:r="http://schemas.openxmlformats.org/officeDocument/2006/relationships" r:id="rId11"/>
</worksheet>
</file>

<file path=xl/worksheets/sheet33.xml><?xml version="1.0" encoding="utf-8"?>
<worksheet xmlns="http://schemas.openxmlformats.org/spreadsheetml/2006/main">
  <sheetPr>
    <outlinePr summaryBelow="1" summaryRight="1"/>
    <pageSetUpPr fitToPage="1"/>
  </sheetPr>
  <dimension ref="A1:AJ103"/>
  <sheetViews>
    <sheetView showGridLines="1" workbookViewId="0">
      <selection activeCell="A1" sqref="A1"/>
    </sheetView>
  </sheetViews>
  <sheetFormatPr baseColWidth="8" defaultRowHeight="15"/>
  <cols>
    <col width="6" customWidth="1" min="1" max="1"/>
    <col width="25" customWidth="1" min="2" max="2"/>
    <col width="16.5" customWidth="1" min="3" max="3"/>
    <col width="8" customWidth="1" min="4" max="4"/>
    <col width="4.8" customWidth="1" min="5" max="5"/>
    <col width="4.8" customWidth="1" min="6" max="6"/>
    <col width="4.8" customWidth="1" min="7" max="7"/>
    <col width="4.8" customWidth="1" min="8" max="8"/>
    <col width="4.8" customWidth="1" min="9" max="9"/>
    <col width="4.8" customWidth="1" min="10" max="10"/>
    <col width="4.8" customWidth="1" min="11" max="11"/>
    <col width="4.8" customWidth="1" min="12" max="12"/>
    <col width="4.8" customWidth="1" min="13" max="13"/>
    <col width="4.8" customWidth="1" min="14" max="14"/>
    <col width="4.8" customWidth="1" min="15" max="15"/>
    <col width="4.8" customWidth="1" min="16" max="16"/>
    <col width="4.8" customWidth="1" min="17" max="17"/>
    <col width="4.8" customWidth="1" min="18" max="18"/>
    <col width="4.8" customWidth="1" min="19" max="19"/>
    <col width="4.8" customWidth="1" min="20" max="20"/>
    <col width="4.8" customWidth="1" min="21" max="21"/>
    <col width="4.8" customWidth="1" min="22" max="22"/>
    <col width="4.8" customWidth="1" min="23" max="23"/>
    <col width="4.8" customWidth="1" min="24" max="24"/>
    <col width="4.8" customWidth="1" min="25" max="25"/>
    <col width="4.8" customWidth="1" min="26" max="26"/>
    <col width="4.8" customWidth="1" min="27" max="27"/>
    <col width="4.8" customWidth="1" min="28" max="28"/>
    <col width="4.8" customWidth="1" min="29" max="29"/>
    <col width="4.8" customWidth="1" min="30" max="30"/>
    <col width="4.8" customWidth="1" min="31" max="31"/>
    <col width="4.8" customWidth="1" min="32" max="32"/>
    <col width="11.5" customWidth="1" min="33" max="33"/>
    <col width="12" customWidth="1" min="34" max="34"/>
    <col width="13.5" customWidth="1" min="35" max="35"/>
    <col hidden="1" width="8" customWidth="1" min="36" max="36"/>
  </cols>
  <sheetData>
    <row r="1" ht="18" customHeight="1">
      <c r="A1" s="76" t="inlineStr">
        <is>
          <t>🏠 Master Dashboard</t>
        </is>
      </c>
      <c r="B1" s="40" t="n"/>
      <c r="C1" s="77" t="inlineStr">
        <is>
          <t>🏛️ Quarterly Hub</t>
        </is>
      </c>
      <c r="D1" s="78" t="inlineStr">
        <is>
          <t>📚 Habit Library</t>
        </is>
      </c>
      <c r="E1" s="80" t="inlineStr">
        <is>
          <t>2026</t>
        </is>
      </c>
      <c r="F1" s="80" t="inlineStr">
        <is>
          <t>2027</t>
        </is>
      </c>
      <c r="G1" s="80" t="inlineStr">
        <is>
          <t>2028</t>
        </is>
      </c>
      <c r="H1" s="79" t="inlineStr">
        <is>
          <t>2029</t>
        </is>
      </c>
      <c r="I1" s="80" t="inlineStr">
        <is>
          <t>2030</t>
        </is>
      </c>
      <c r="J1" s="82" t="inlineStr">
        <is>
          <t>◀ Prev</t>
        </is>
      </c>
      <c r="K1" s="82" t="inlineStr">
        <is>
          <t>Next ▶</t>
        </is>
      </c>
    </row>
    <row r="2" ht="24" customHeight="1">
      <c r="A2" s="83" t="inlineStr">
        <is>
          <t>Habit Tracker</t>
        </is>
      </c>
      <c r="H2" s="84" t="inlineStr">
        <is>
          <t>"We are what we repeatedly do."</t>
        </is>
      </c>
      <c r="AB2" s="85" t="inlineStr">
        <is>
          <t>@surajvansh</t>
        </is>
      </c>
    </row>
    <row r="3" ht="18" customHeight="1">
      <c r="A3" s="86" t="inlineStr">
        <is>
          <t>February 2029</t>
        </is>
      </c>
      <c r="H3" s="87" t="inlineStr">
        <is>
          <t>28 Days Dashboard</t>
        </is>
      </c>
    </row>
    <row r="4" ht="5" customHeight="1"/>
    <row r="5" ht="16" customHeight="1">
      <c r="A5" s="88" t="inlineStr">
        <is>
          <t>MONTHLY TARGETS</t>
        </is>
      </c>
    </row>
    <row r="6" ht="13" customHeight="1">
      <c r="A6" s="89" t="inlineStr">
        <is>
          <t>1. ____________________ : ____________________</t>
        </is>
      </c>
      <c r="P6" s="89" t="inlineStr">
        <is>
          <t>5. ____________________ : ____________________</t>
        </is>
      </c>
    </row>
    <row r="7" ht="13" customHeight="1">
      <c r="A7" s="89" t="inlineStr">
        <is>
          <t>2. ____________________ : ____________________</t>
        </is>
      </c>
      <c r="P7" s="89" t="inlineStr">
        <is>
          <t>6. ____________________ : ____________________</t>
        </is>
      </c>
    </row>
    <row r="8" ht="13" customHeight="1">
      <c r="A8" s="89" t="inlineStr">
        <is>
          <t>3. ____________________ : ____________________</t>
        </is>
      </c>
      <c r="P8" s="89" t="inlineStr">
        <is>
          <t>7. ____________________ : ____________________</t>
        </is>
      </c>
    </row>
    <row r="9" ht="13" customHeight="1">
      <c r="A9" s="89" t="inlineStr">
        <is>
          <t>4. ____________________ : ____________________</t>
        </is>
      </c>
      <c r="P9" s="89" t="inlineStr">
        <is>
          <t>8. ____________________ : ____________________</t>
        </is>
      </c>
    </row>
    <row r="10" ht="5" customHeight="1"/>
    <row r="11" ht="15" customHeight="1">
      <c r="A11" s="88" t="inlineStr">
        <is>
          <t>NOTES:</t>
        </is>
      </c>
    </row>
    <row r="12" ht="13" customHeight="1">
      <c r="A12" s="90" t="n"/>
      <c r="B12" s="91" t="n"/>
      <c r="C12" s="91" t="n"/>
      <c r="D12" s="91" t="n"/>
      <c r="E12" s="91" t="n"/>
      <c r="F12" s="91" t="n"/>
      <c r="G12" s="91" t="n"/>
      <c r="H12" s="91" t="n"/>
      <c r="I12" s="91" t="n"/>
      <c r="J12" s="91" t="n"/>
      <c r="K12" s="91" t="n"/>
      <c r="L12" s="91" t="n"/>
      <c r="M12" s="91" t="n"/>
      <c r="N12" s="91" t="n"/>
      <c r="O12" s="91" t="n"/>
      <c r="P12" s="91" t="n"/>
      <c r="Q12" s="91" t="n"/>
      <c r="R12" s="91" t="n"/>
      <c r="S12" s="91" t="n"/>
      <c r="T12" s="91" t="n"/>
      <c r="U12" s="91" t="n"/>
      <c r="V12" s="91" t="n"/>
      <c r="W12" s="91" t="n"/>
      <c r="X12" s="91" t="n"/>
      <c r="Y12" s="91" t="n"/>
      <c r="Z12" s="91" t="n"/>
      <c r="AA12" s="91" t="n"/>
      <c r="AB12" s="91" t="n"/>
      <c r="AC12" s="91" t="n"/>
      <c r="AD12" s="91" t="n"/>
      <c r="AE12" s="91" t="n"/>
      <c r="AF12" s="91" t="n"/>
      <c r="AG12" s="91" t="n"/>
      <c r="AH12" s="91" t="n"/>
      <c r="AI12" s="91" t="n"/>
    </row>
    <row r="13" ht="13" customHeight="1">
      <c r="A13" s="91" t="n"/>
      <c r="B13" s="91" t="n"/>
      <c r="C13" s="91" t="n"/>
      <c r="D13" s="91" t="n"/>
      <c r="E13" s="91" t="n"/>
      <c r="F13" s="91" t="n"/>
      <c r="G13" s="91" t="n"/>
      <c r="H13" s="91" t="n"/>
      <c r="I13" s="91" t="n"/>
      <c r="J13" s="91" t="n"/>
      <c r="K13" s="91" t="n"/>
      <c r="L13" s="91" t="n"/>
      <c r="M13" s="91" t="n"/>
      <c r="N13" s="91" t="n"/>
      <c r="O13" s="91" t="n"/>
      <c r="P13" s="91" t="n"/>
      <c r="Q13" s="91" t="n"/>
      <c r="R13" s="91" t="n"/>
      <c r="S13" s="91" t="n"/>
      <c r="T13" s="91" t="n"/>
      <c r="U13" s="91" t="n"/>
      <c r="V13" s="91" t="n"/>
      <c r="W13" s="91" t="n"/>
      <c r="X13" s="91" t="n"/>
      <c r="Y13" s="91" t="n"/>
      <c r="Z13" s="91" t="n"/>
      <c r="AA13" s="91" t="n"/>
      <c r="AB13" s="91" t="n"/>
      <c r="AC13" s="91" t="n"/>
      <c r="AD13" s="91" t="n"/>
      <c r="AE13" s="91" t="n"/>
      <c r="AF13" s="91" t="n"/>
      <c r="AG13" s="91" t="n"/>
      <c r="AH13" s="91" t="n"/>
      <c r="AI13" s="91" t="n"/>
    </row>
    <row r="14" ht="13" customHeight="1">
      <c r="A14" s="91" t="n"/>
      <c r="B14" s="91" t="n"/>
      <c r="C14" s="91" t="n"/>
      <c r="D14" s="91" t="n"/>
      <c r="E14" s="91" t="n"/>
      <c r="F14" s="91" t="n"/>
      <c r="G14" s="91" t="n"/>
      <c r="H14" s="91" t="n"/>
      <c r="I14" s="91" t="n"/>
      <c r="J14" s="91" t="n"/>
      <c r="K14" s="91" t="n"/>
      <c r="L14" s="91" t="n"/>
      <c r="M14" s="91" t="n"/>
      <c r="N14" s="91" t="n"/>
      <c r="O14" s="91" t="n"/>
      <c r="P14" s="91" t="n"/>
      <c r="Q14" s="91" t="n"/>
      <c r="R14" s="91" t="n"/>
      <c r="S14" s="91" t="n"/>
      <c r="T14" s="91" t="n"/>
      <c r="U14" s="91" t="n"/>
      <c r="V14" s="91" t="n"/>
      <c r="W14" s="91" t="n"/>
      <c r="X14" s="91" t="n"/>
      <c r="Y14" s="91" t="n"/>
      <c r="Z14" s="91" t="n"/>
      <c r="AA14" s="91" t="n"/>
      <c r="AB14" s="91" t="n"/>
      <c r="AC14" s="91" t="n"/>
      <c r="AD14" s="91" t="n"/>
      <c r="AE14" s="91" t="n"/>
      <c r="AF14" s="91" t="n"/>
      <c r="AG14" s="91" t="n"/>
      <c r="AH14" s="91" t="n"/>
      <c r="AI14" s="91" t="n"/>
    </row>
    <row r="15" ht="8" customHeight="1"/>
    <row r="16" ht="15" customHeight="1">
      <c r="A16" s="33" t="inlineStr">
        <is>
          <t>S.No.</t>
        </is>
      </c>
      <c r="B16" s="33" t="inlineStr">
        <is>
          <t>Protocols</t>
        </is>
      </c>
      <c r="C16" s="33" t="inlineStr">
        <is>
          <t>Category</t>
        </is>
      </c>
      <c r="D16" s="33" t="inlineStr">
        <is>
          <t>Target</t>
        </is>
      </c>
      <c r="E16" s="92" t="n">
        <v>1</v>
      </c>
      <c r="F16" s="92" t="n">
        <v>2</v>
      </c>
      <c r="G16" s="92" t="n">
        <v>3</v>
      </c>
      <c r="H16" s="93" t="n">
        <v>4</v>
      </c>
      <c r="I16" s="92" t="n">
        <v>5</v>
      </c>
      <c r="J16" s="92" t="n">
        <v>6</v>
      </c>
      <c r="K16" s="92" t="n">
        <v>7</v>
      </c>
      <c r="L16" s="92" t="n">
        <v>8</v>
      </c>
      <c r="M16" s="92" t="n">
        <v>9</v>
      </c>
      <c r="N16" s="92" t="n">
        <v>10</v>
      </c>
      <c r="O16" s="93" t="n">
        <v>11</v>
      </c>
      <c r="P16" s="92" t="n">
        <v>12</v>
      </c>
      <c r="Q16" s="92" t="n">
        <v>13</v>
      </c>
      <c r="R16" s="92" t="n">
        <v>14</v>
      </c>
      <c r="S16" s="92" t="n">
        <v>15</v>
      </c>
      <c r="T16" s="92" t="n">
        <v>16</v>
      </c>
      <c r="U16" s="92" t="n">
        <v>17</v>
      </c>
      <c r="V16" s="93" t="n">
        <v>18</v>
      </c>
      <c r="W16" s="92" t="n">
        <v>19</v>
      </c>
      <c r="X16" s="92" t="n">
        <v>20</v>
      </c>
      <c r="Y16" s="92" t="n">
        <v>21</v>
      </c>
      <c r="Z16" s="92" t="n">
        <v>22</v>
      </c>
      <c r="AA16" s="92" t="n">
        <v>23</v>
      </c>
      <c r="AB16" s="92" t="n">
        <v>24</v>
      </c>
      <c r="AC16" s="93" t="n">
        <v>25</v>
      </c>
      <c r="AD16" s="92" t="n">
        <v>26</v>
      </c>
      <c r="AE16" s="92" t="n">
        <v>27</v>
      </c>
      <c r="AF16" s="92" t="n">
        <v>28</v>
      </c>
      <c r="AG16" s="94" t="inlineStr">
        <is>
          <t>Success %</t>
        </is>
      </c>
      <c r="AH16" s="94" t="inlineStr">
        <is>
          <t>Done / Target</t>
        </is>
      </c>
      <c r="AI16" s="94" t="inlineStr">
        <is>
          <t>Status</t>
        </is>
      </c>
      <c r="AJ16" t="inlineStr">
        <is>
          <t>Done Count</t>
        </is>
      </c>
    </row>
    <row r="17" ht="15" customHeight="1">
      <c r="A17" s="54" t="n"/>
      <c r="B17" s="54" t="n"/>
      <c r="C17" s="54" t="n"/>
      <c r="D17" s="54" t="n"/>
      <c r="E17" s="95" t="inlineStr">
        <is>
          <t>Th</t>
        </is>
      </c>
      <c r="F17" s="95" t="inlineStr">
        <is>
          <t>F</t>
        </is>
      </c>
      <c r="G17" s="95" t="inlineStr">
        <is>
          <t>Sa</t>
        </is>
      </c>
      <c r="H17" s="96" t="inlineStr">
        <is>
          <t>Su</t>
        </is>
      </c>
      <c r="I17" s="95" t="inlineStr">
        <is>
          <t>M</t>
        </is>
      </c>
      <c r="J17" s="95" t="inlineStr">
        <is>
          <t>T</t>
        </is>
      </c>
      <c r="K17" s="95" t="inlineStr">
        <is>
          <t>W</t>
        </is>
      </c>
      <c r="L17" s="95" t="inlineStr">
        <is>
          <t>Th</t>
        </is>
      </c>
      <c r="M17" s="95" t="inlineStr">
        <is>
          <t>F</t>
        </is>
      </c>
      <c r="N17" s="95" t="inlineStr">
        <is>
          <t>Sa</t>
        </is>
      </c>
      <c r="O17" s="96" t="inlineStr">
        <is>
          <t>Su</t>
        </is>
      </c>
      <c r="P17" s="95" t="inlineStr">
        <is>
          <t>M</t>
        </is>
      </c>
      <c r="Q17" s="95" t="inlineStr">
        <is>
          <t>T</t>
        </is>
      </c>
      <c r="R17" s="95" t="inlineStr">
        <is>
          <t>W</t>
        </is>
      </c>
      <c r="S17" s="95" t="inlineStr">
        <is>
          <t>Th</t>
        </is>
      </c>
      <c r="T17" s="95" t="inlineStr">
        <is>
          <t>F</t>
        </is>
      </c>
      <c r="U17" s="95" t="inlineStr">
        <is>
          <t>Sa</t>
        </is>
      </c>
      <c r="V17" s="96" t="inlineStr">
        <is>
          <t>Su</t>
        </is>
      </c>
      <c r="W17" s="95" t="inlineStr">
        <is>
          <t>M</t>
        </is>
      </c>
      <c r="X17" s="95" t="inlineStr">
        <is>
          <t>T</t>
        </is>
      </c>
      <c r="Y17" s="95" t="inlineStr">
        <is>
          <t>W</t>
        </is>
      </c>
      <c r="Z17" s="95" t="inlineStr">
        <is>
          <t>Th</t>
        </is>
      </c>
      <c r="AA17" s="95" t="inlineStr">
        <is>
          <t>F</t>
        </is>
      </c>
      <c r="AB17" s="95" t="inlineStr">
        <is>
          <t>Sa</t>
        </is>
      </c>
      <c r="AC17" s="96" t="inlineStr">
        <is>
          <t>Su</t>
        </is>
      </c>
      <c r="AD17" s="95" t="inlineStr">
        <is>
          <t>M</t>
        </is>
      </c>
      <c r="AE17" s="95" t="inlineStr">
        <is>
          <t>T</t>
        </is>
      </c>
      <c r="AF17" s="95" t="inlineStr">
        <is>
          <t>W</t>
        </is>
      </c>
      <c r="AG17" s="54" t="n"/>
      <c r="AH17" s="54" t="n"/>
      <c r="AI17" s="54" t="n"/>
    </row>
    <row r="18" ht="14.5" customHeight="1">
      <c r="A18" s="97" t="n">
        <v>1</v>
      </c>
      <c r="B18" s="98" t="n"/>
      <c r="C18" s="99" t="n"/>
      <c r="D18" s="99" t="n"/>
      <c r="E18" s="100" t="n"/>
      <c r="F18" s="100" t="n"/>
      <c r="G18" s="100" t="n"/>
      <c r="H18" s="101" t="n"/>
      <c r="I18" s="100" t="n"/>
      <c r="J18" s="100" t="n"/>
      <c r="K18" s="100" t="n"/>
      <c r="L18" s="100" t="n"/>
      <c r="M18" s="100" t="n"/>
      <c r="N18" s="100" t="n"/>
      <c r="O18" s="101" t="n"/>
      <c r="P18" s="100" t="n"/>
      <c r="Q18" s="100" t="n"/>
      <c r="R18" s="100" t="n"/>
      <c r="S18" s="100" t="n"/>
      <c r="T18" s="100" t="n"/>
      <c r="U18" s="100" t="n"/>
      <c r="V18" s="101" t="n"/>
      <c r="W18" s="100" t="n"/>
      <c r="X18" s="100" t="n"/>
      <c r="Y18" s="100" t="n"/>
      <c r="Z18" s="100" t="n"/>
      <c r="AA18" s="100" t="n"/>
      <c r="AB18" s="100" t="n"/>
      <c r="AC18" s="101" t="n"/>
      <c r="AD18" s="100" t="n"/>
      <c r="AE18" s="100" t="n"/>
      <c r="AF18" s="100" t="n"/>
      <c r="AG18" s="102">
        <f>IF(ISBLANK(B18), "", IF(ISNUMBER(D18), IF(D18&gt;0, (COUNTIF(E18:AF18, "✓") + COUNTIF(E18:AF18, "✔") + COUNTIF(E18:AF18, "v") + COUNTIF(E18:AF18, "V"))/D18, 0), IF(((COUNTIF(E18:AF18, "✓") + COUNTIF(E18:AF18, "✔") + COUNTIF(E18:AF18, "v") + COUNTIF(E18:AF18, "V")) + COUNTIF(E18:AF18, "✗") + COUNTIF(E18:AF18, "x") + COUNTIF(E18:AF18, "X"))&gt;0, (COUNTIF(E18:AF18, "✓") + COUNTIF(E18:AF18, "✔") + COUNTIF(E18:AF18, "v") + COUNTIF(E18:AF18, "V"))/((COUNTIF(E18:AF18, "✓") + COUNTIF(E18:AF18, "✔") + COUNTIF(E18:AF18, "v") + COUNTIF(E18:AF18, "V")) + COUNTIF(E18:AF18, "✗") + COUNTIF(E18:AF18, "x") + COUNTIF(E18:AF18, "X")), "")))</f>
        <v/>
      </c>
      <c r="AH18" s="103">
        <f>IF(ISBLANK(B18), "", IF(ISNUMBER(D18), IF(D18&gt;0, (COUNTIF(E18:AF18, "✓") + COUNTIF(E18:AF18, "✔") + COUNTIF(E18:AF18, "v") + COUNTIF(E18:AF18, "V")) &amp; "/" &amp; D18, (COUNTIF(E18:AF18, "✓") + COUNTIF(E18:AF18, "✔") + COUNTIF(E18:AF18, "v") + COUNTIF(E18:AF18, "V")) &amp; "/0"), IF(((COUNTIF(E18:AF18, "✓") + COUNTIF(E18:AF18, "✔") + COUNTIF(E18:AF18, "v") + COUNTIF(E18:AF18, "V")) + COUNTIF(E18:AF18, "✗") + COUNTIF(E18:AF18, "x") + COUNTIF(E18:AF18, "X"))&gt;0, (COUNTIF(E18:AF18, "✓") + COUNTIF(E18:AF18, "✔") + COUNTIF(E18:AF18, "v") + COUNTIF(E18:AF18, "V")) &amp; "/" &amp; ((COUNTIF(E18:AF18, "✓") + COUNTIF(E18:AF18, "✔") + COUNTIF(E18:AF18, "v") + COUNTIF(E18:AF18, "V")) + COUNTIF(E18:AF18, "✗") + COUNTIF(E18:AF18, "x") + COUNTIF(E18:AF18, "X")), "")))</f>
        <v/>
      </c>
      <c r="AI18" s="103">
        <f>IF(ISBLANK(B18), "", IF(AG18&gt;=0.85, "🔥 Mastered", IF(AG18&gt;=0.7, "⚡ Consistent", "⚠️ Needs Focus")))</f>
        <v/>
      </c>
      <c r="AJ18">
        <f>COUNTIF(E18:AF18, "✓")</f>
        <v/>
      </c>
    </row>
    <row r="19" ht="14.5" customHeight="1">
      <c r="A19" s="97" t="n">
        <v>2</v>
      </c>
      <c r="B19" s="98" t="n"/>
      <c r="C19" s="99" t="n"/>
      <c r="D19" s="99" t="n"/>
      <c r="E19" s="100" t="n"/>
      <c r="F19" s="100" t="n"/>
      <c r="G19" s="100" t="n"/>
      <c r="H19" s="101" t="n"/>
      <c r="I19" s="100" t="n"/>
      <c r="J19" s="100" t="n"/>
      <c r="K19" s="100" t="n"/>
      <c r="L19" s="100" t="n"/>
      <c r="M19" s="100" t="n"/>
      <c r="N19" s="100" t="n"/>
      <c r="O19" s="101" t="n"/>
      <c r="P19" s="100" t="n"/>
      <c r="Q19" s="100" t="n"/>
      <c r="R19" s="100" t="n"/>
      <c r="S19" s="100" t="n"/>
      <c r="T19" s="100" t="n"/>
      <c r="U19" s="100" t="n"/>
      <c r="V19" s="101" t="n"/>
      <c r="W19" s="100" t="n"/>
      <c r="X19" s="100" t="n"/>
      <c r="Y19" s="100" t="n"/>
      <c r="Z19" s="100" t="n"/>
      <c r="AA19" s="100" t="n"/>
      <c r="AB19" s="100" t="n"/>
      <c r="AC19" s="101" t="n"/>
      <c r="AD19" s="100" t="n"/>
      <c r="AE19" s="100" t="n"/>
      <c r="AF19" s="100" t="n"/>
      <c r="AG19" s="102">
        <f>IF(ISBLANK(B19), "", IF(ISNUMBER(D19), IF(D19&gt;0, (COUNTIF(E19:AF19, "✓") + COUNTIF(E19:AF19, "✔") + COUNTIF(E19:AF19, "v") + COUNTIF(E19:AF19, "V"))/D19, 0), IF(((COUNTIF(E19:AF19, "✓") + COUNTIF(E19:AF19, "✔") + COUNTIF(E19:AF19, "v") + COUNTIF(E19:AF19, "V")) + COUNTIF(E19:AF19, "✗") + COUNTIF(E19:AF19, "x") + COUNTIF(E19:AF19, "X"))&gt;0, (COUNTIF(E19:AF19, "✓") + COUNTIF(E19:AF19, "✔") + COUNTIF(E19:AF19, "v") + COUNTIF(E19:AF19, "V"))/((COUNTIF(E19:AF19, "✓") + COUNTIF(E19:AF19, "✔") + COUNTIF(E19:AF19, "v") + COUNTIF(E19:AF19, "V")) + COUNTIF(E19:AF19, "✗") + COUNTIF(E19:AF19, "x") + COUNTIF(E19:AF19, "X")), "")))</f>
        <v/>
      </c>
      <c r="AH19" s="103">
        <f>IF(ISBLANK(B19), "", IF(ISNUMBER(D19), IF(D19&gt;0, (COUNTIF(E19:AF19, "✓") + COUNTIF(E19:AF19, "✔") + COUNTIF(E19:AF19, "v") + COUNTIF(E19:AF19, "V")) &amp; "/" &amp; D19, (COUNTIF(E19:AF19, "✓") + COUNTIF(E19:AF19, "✔") + COUNTIF(E19:AF19, "v") + COUNTIF(E19:AF19, "V")) &amp; "/0"), IF(((COUNTIF(E19:AF19, "✓") + COUNTIF(E19:AF19, "✔") + COUNTIF(E19:AF19, "v") + COUNTIF(E19:AF19, "V")) + COUNTIF(E19:AF19, "✗") + COUNTIF(E19:AF19, "x") + COUNTIF(E19:AF19, "X"))&gt;0, (COUNTIF(E19:AF19, "✓") + COUNTIF(E19:AF19, "✔") + COUNTIF(E19:AF19, "v") + COUNTIF(E19:AF19, "V")) &amp; "/" &amp; ((COUNTIF(E19:AF19, "✓") + COUNTIF(E19:AF19, "✔") + COUNTIF(E19:AF19, "v") + COUNTIF(E19:AF19, "V")) + COUNTIF(E19:AF19, "✗") + COUNTIF(E19:AF19, "x") + COUNTIF(E19:AF19, "X")), "")))</f>
        <v/>
      </c>
      <c r="AI19" s="103">
        <f>IF(ISBLANK(B19), "", IF(AG19&gt;=0.85, "🔥 Mastered", IF(AG19&gt;=0.7, "⚡ Consistent", "⚠️ Needs Focus")))</f>
        <v/>
      </c>
      <c r="AJ19">
        <f>COUNTIF(E19:AF19, "✓")</f>
        <v/>
      </c>
    </row>
    <row r="20" ht="14.5" customHeight="1">
      <c r="A20" s="97" t="n">
        <v>3</v>
      </c>
      <c r="B20" s="98" t="n"/>
      <c r="C20" s="99" t="n"/>
      <c r="D20" s="99" t="n"/>
      <c r="E20" s="100" t="n"/>
      <c r="F20" s="100" t="n"/>
      <c r="G20" s="100" t="n"/>
      <c r="H20" s="101" t="n"/>
      <c r="I20" s="100" t="n"/>
      <c r="J20" s="100" t="n"/>
      <c r="K20" s="100" t="n"/>
      <c r="L20" s="100" t="n"/>
      <c r="M20" s="100" t="n"/>
      <c r="N20" s="100" t="n"/>
      <c r="O20" s="101" t="n"/>
      <c r="P20" s="100" t="n"/>
      <c r="Q20" s="100" t="n"/>
      <c r="R20" s="100" t="n"/>
      <c r="S20" s="100" t="n"/>
      <c r="T20" s="100" t="n"/>
      <c r="U20" s="100" t="n"/>
      <c r="V20" s="101" t="n"/>
      <c r="W20" s="100" t="n"/>
      <c r="X20" s="100" t="n"/>
      <c r="Y20" s="100" t="n"/>
      <c r="Z20" s="100" t="n"/>
      <c r="AA20" s="100" t="n"/>
      <c r="AB20" s="100" t="n"/>
      <c r="AC20" s="101" t="n"/>
      <c r="AD20" s="100" t="n"/>
      <c r="AE20" s="100" t="n"/>
      <c r="AF20" s="100" t="n"/>
      <c r="AG20" s="102">
        <f>IF(ISBLANK(B20), "", IF(ISNUMBER(D20), IF(D20&gt;0, (COUNTIF(E20:AF20, "✓") + COUNTIF(E20:AF20, "✔") + COUNTIF(E20:AF20, "v") + COUNTIF(E20:AF20, "V"))/D20, 0), IF(((COUNTIF(E20:AF20, "✓") + COUNTIF(E20:AF20, "✔") + COUNTIF(E20:AF20, "v") + COUNTIF(E20:AF20, "V")) + COUNTIF(E20:AF20, "✗") + COUNTIF(E20:AF20, "x") + COUNTIF(E20:AF20, "X"))&gt;0, (COUNTIF(E20:AF20, "✓") + COUNTIF(E20:AF20, "✔") + COUNTIF(E20:AF20, "v") + COUNTIF(E20:AF20, "V"))/((COUNTIF(E20:AF20, "✓") + COUNTIF(E20:AF20, "✔") + COUNTIF(E20:AF20, "v") + COUNTIF(E20:AF20, "V")) + COUNTIF(E20:AF20, "✗") + COUNTIF(E20:AF20, "x") + COUNTIF(E20:AF20, "X")), "")))</f>
        <v/>
      </c>
      <c r="AH20" s="103">
        <f>IF(ISBLANK(B20), "", IF(ISNUMBER(D20), IF(D20&gt;0, (COUNTIF(E20:AF20, "✓") + COUNTIF(E20:AF20, "✔") + COUNTIF(E20:AF20, "v") + COUNTIF(E20:AF20, "V")) &amp; "/" &amp; D20, (COUNTIF(E20:AF20, "✓") + COUNTIF(E20:AF20, "✔") + COUNTIF(E20:AF20, "v") + COUNTIF(E20:AF20, "V")) &amp; "/0"), IF(((COUNTIF(E20:AF20, "✓") + COUNTIF(E20:AF20, "✔") + COUNTIF(E20:AF20, "v") + COUNTIF(E20:AF20, "V")) + COUNTIF(E20:AF20, "✗") + COUNTIF(E20:AF20, "x") + COUNTIF(E20:AF20, "X"))&gt;0, (COUNTIF(E20:AF20, "✓") + COUNTIF(E20:AF20, "✔") + COUNTIF(E20:AF20, "v") + COUNTIF(E20:AF20, "V")) &amp; "/" &amp; ((COUNTIF(E20:AF20, "✓") + COUNTIF(E20:AF20, "✔") + COUNTIF(E20:AF20, "v") + COUNTIF(E20:AF20, "V")) + COUNTIF(E20:AF20, "✗") + COUNTIF(E20:AF20, "x") + COUNTIF(E20:AF20, "X")), "")))</f>
        <v/>
      </c>
      <c r="AI20" s="103">
        <f>IF(ISBLANK(B20), "", IF(AG20&gt;=0.85, "🔥 Mastered", IF(AG20&gt;=0.7, "⚡ Consistent", "⚠️ Needs Focus")))</f>
        <v/>
      </c>
      <c r="AJ20">
        <f>COUNTIF(E20:AF20, "✓")</f>
        <v/>
      </c>
    </row>
    <row r="21" ht="14.5" customHeight="1">
      <c r="A21" s="97" t="n">
        <v>4</v>
      </c>
      <c r="B21" s="98" t="n"/>
      <c r="C21" s="99" t="n"/>
      <c r="D21" s="99" t="n"/>
      <c r="E21" s="100" t="n"/>
      <c r="F21" s="100" t="n"/>
      <c r="G21" s="100" t="n"/>
      <c r="H21" s="101" t="n"/>
      <c r="I21" s="100" t="n"/>
      <c r="J21" s="100" t="n"/>
      <c r="K21" s="100" t="n"/>
      <c r="L21" s="100" t="n"/>
      <c r="M21" s="100" t="n"/>
      <c r="N21" s="100" t="n"/>
      <c r="O21" s="101" t="n"/>
      <c r="P21" s="100" t="n"/>
      <c r="Q21" s="100" t="n"/>
      <c r="R21" s="100" t="n"/>
      <c r="S21" s="100" t="n"/>
      <c r="T21" s="100" t="n"/>
      <c r="U21" s="100" t="n"/>
      <c r="V21" s="101" t="n"/>
      <c r="W21" s="100" t="n"/>
      <c r="X21" s="100" t="n"/>
      <c r="Y21" s="100" t="n"/>
      <c r="Z21" s="100" t="n"/>
      <c r="AA21" s="100" t="n"/>
      <c r="AB21" s="100" t="n"/>
      <c r="AC21" s="101" t="n"/>
      <c r="AD21" s="100" t="n"/>
      <c r="AE21" s="100" t="n"/>
      <c r="AF21" s="100" t="n"/>
      <c r="AG21" s="102">
        <f>IF(ISBLANK(B21), "", IF(ISNUMBER(D21), IF(D21&gt;0, (COUNTIF(E21:AF21, "✓") + COUNTIF(E21:AF21, "✔") + COUNTIF(E21:AF21, "v") + COUNTIF(E21:AF21, "V"))/D21, 0), IF(((COUNTIF(E21:AF21, "✓") + COUNTIF(E21:AF21, "✔") + COUNTIF(E21:AF21, "v") + COUNTIF(E21:AF21, "V")) + COUNTIF(E21:AF21, "✗") + COUNTIF(E21:AF21, "x") + COUNTIF(E21:AF21, "X"))&gt;0, (COUNTIF(E21:AF21, "✓") + COUNTIF(E21:AF21, "✔") + COUNTIF(E21:AF21, "v") + COUNTIF(E21:AF21, "V"))/((COUNTIF(E21:AF21, "✓") + COUNTIF(E21:AF21, "✔") + COUNTIF(E21:AF21, "v") + COUNTIF(E21:AF21, "V")) + COUNTIF(E21:AF21, "✗") + COUNTIF(E21:AF21, "x") + COUNTIF(E21:AF21, "X")), "")))</f>
        <v/>
      </c>
      <c r="AH21" s="103">
        <f>IF(ISBLANK(B21), "", IF(ISNUMBER(D21), IF(D21&gt;0, (COUNTIF(E21:AF21, "✓") + COUNTIF(E21:AF21, "✔") + COUNTIF(E21:AF21, "v") + COUNTIF(E21:AF21, "V")) &amp; "/" &amp; D21, (COUNTIF(E21:AF21, "✓") + COUNTIF(E21:AF21, "✔") + COUNTIF(E21:AF21, "v") + COUNTIF(E21:AF21, "V")) &amp; "/0"), IF(((COUNTIF(E21:AF21, "✓") + COUNTIF(E21:AF21, "✔") + COUNTIF(E21:AF21, "v") + COUNTIF(E21:AF21, "V")) + COUNTIF(E21:AF21, "✗") + COUNTIF(E21:AF21, "x") + COUNTIF(E21:AF21, "X"))&gt;0, (COUNTIF(E21:AF21, "✓") + COUNTIF(E21:AF21, "✔") + COUNTIF(E21:AF21, "v") + COUNTIF(E21:AF21, "V")) &amp; "/" &amp; ((COUNTIF(E21:AF21, "✓") + COUNTIF(E21:AF21, "✔") + COUNTIF(E21:AF21, "v") + COUNTIF(E21:AF21, "V")) + COUNTIF(E21:AF21, "✗") + COUNTIF(E21:AF21, "x") + COUNTIF(E21:AF21, "X")), "")))</f>
        <v/>
      </c>
      <c r="AI21" s="103">
        <f>IF(ISBLANK(B21), "", IF(AG21&gt;=0.85, "🔥 Mastered", IF(AG21&gt;=0.7, "⚡ Consistent", "⚠️ Needs Focus")))</f>
        <v/>
      </c>
      <c r="AJ21">
        <f>COUNTIF(E21:AF21, "✓")</f>
        <v/>
      </c>
    </row>
    <row r="22" ht="14.5" customHeight="1">
      <c r="A22" s="104" t="n">
        <v>5</v>
      </c>
      <c r="B22" s="105" t="n"/>
      <c r="C22" s="106" t="n"/>
      <c r="D22" s="106" t="n"/>
      <c r="E22" s="107" t="n"/>
      <c r="F22" s="107" t="n"/>
      <c r="G22" s="107" t="n"/>
      <c r="H22" s="108" t="n"/>
      <c r="I22" s="107" t="n"/>
      <c r="J22" s="107" t="n"/>
      <c r="K22" s="107" t="n"/>
      <c r="L22" s="107" t="n"/>
      <c r="M22" s="107" t="n"/>
      <c r="N22" s="107" t="n"/>
      <c r="O22" s="108" t="n"/>
      <c r="P22" s="107" t="n"/>
      <c r="Q22" s="107" t="n"/>
      <c r="R22" s="107" t="n"/>
      <c r="S22" s="107" t="n"/>
      <c r="T22" s="107" t="n"/>
      <c r="U22" s="107" t="n"/>
      <c r="V22" s="108" t="n"/>
      <c r="W22" s="107" t="n"/>
      <c r="X22" s="107" t="n"/>
      <c r="Y22" s="107" t="n"/>
      <c r="Z22" s="107" t="n"/>
      <c r="AA22" s="107" t="n"/>
      <c r="AB22" s="107" t="n"/>
      <c r="AC22" s="108" t="n"/>
      <c r="AD22" s="107" t="n"/>
      <c r="AE22" s="107" t="n"/>
      <c r="AF22" s="107" t="n"/>
      <c r="AG22" s="109">
        <f>IF(ISBLANK(B22), "", IF(ISNUMBER(D22), IF(D22&gt;0, (COUNTIF(E22:AF22, "✓") + COUNTIF(E22:AF22, "✔") + COUNTIF(E22:AF22, "v") + COUNTIF(E22:AF22, "V"))/D22, 0), IF(((COUNTIF(E22:AF22, "✓") + COUNTIF(E22:AF22, "✔") + COUNTIF(E22:AF22, "v") + COUNTIF(E22:AF22, "V")) + COUNTIF(E22:AF22, "✗") + COUNTIF(E22:AF22, "x") + COUNTIF(E22:AF22, "X"))&gt;0, (COUNTIF(E22:AF22, "✓") + COUNTIF(E22:AF22, "✔") + COUNTIF(E22:AF22, "v") + COUNTIF(E22:AF22, "V"))/((COUNTIF(E22:AF22, "✓") + COUNTIF(E22:AF22, "✔") + COUNTIF(E22:AF22, "v") + COUNTIF(E22:AF22, "V")) + COUNTIF(E22:AF22, "✗") + COUNTIF(E22:AF22, "x") + COUNTIF(E22:AF22, "X")), "")))</f>
        <v/>
      </c>
      <c r="AH22" s="110">
        <f>IF(ISBLANK(B22), "", IF(ISNUMBER(D22), IF(D22&gt;0, (COUNTIF(E22:AF22, "✓") + COUNTIF(E22:AF22, "✔") + COUNTIF(E22:AF22, "v") + COUNTIF(E22:AF22, "V")) &amp; "/" &amp; D22, (COUNTIF(E22:AF22, "✓") + COUNTIF(E22:AF22, "✔") + COUNTIF(E22:AF22, "v") + COUNTIF(E22:AF22, "V")) &amp; "/0"), IF(((COUNTIF(E22:AF22, "✓") + COUNTIF(E22:AF22, "✔") + COUNTIF(E22:AF22, "v") + COUNTIF(E22:AF22, "V")) + COUNTIF(E22:AF22, "✗") + COUNTIF(E22:AF22, "x") + COUNTIF(E22:AF22, "X"))&gt;0, (COUNTIF(E22:AF22, "✓") + COUNTIF(E22:AF22, "✔") + COUNTIF(E22:AF22, "v") + COUNTIF(E22:AF22, "V")) &amp; "/" &amp; ((COUNTIF(E22:AF22, "✓") + COUNTIF(E22:AF22, "✔") + COUNTIF(E22:AF22, "v") + COUNTIF(E22:AF22, "V")) + COUNTIF(E22:AF22, "✗") + COUNTIF(E22:AF22, "x") + COUNTIF(E22:AF22, "X")), "")))</f>
        <v/>
      </c>
      <c r="AI22" s="110">
        <f>IF(ISBLANK(B22), "", IF(AG22&gt;=0.85, "🔥 Mastered", IF(AG22&gt;=0.7, "⚡ Consistent", "⚠️ Needs Focus")))</f>
        <v/>
      </c>
      <c r="AJ22">
        <f>COUNTIF(E22:AF22, "✓")</f>
        <v/>
      </c>
    </row>
    <row r="23" ht="14.5" customHeight="1">
      <c r="A23" s="104" t="n">
        <v>6</v>
      </c>
      <c r="B23" s="105" t="n"/>
      <c r="C23" s="106" t="n"/>
      <c r="D23" s="106" t="n"/>
      <c r="E23" s="107" t="n"/>
      <c r="F23" s="107" t="n"/>
      <c r="G23" s="107" t="n"/>
      <c r="H23" s="108" t="n"/>
      <c r="I23" s="107" t="n"/>
      <c r="J23" s="107" t="n"/>
      <c r="K23" s="107" t="n"/>
      <c r="L23" s="107" t="n"/>
      <c r="M23" s="107" t="n"/>
      <c r="N23" s="107" t="n"/>
      <c r="O23" s="108" t="n"/>
      <c r="P23" s="107" t="n"/>
      <c r="Q23" s="107" t="n"/>
      <c r="R23" s="107" t="n"/>
      <c r="S23" s="107" t="n"/>
      <c r="T23" s="107" t="n"/>
      <c r="U23" s="107" t="n"/>
      <c r="V23" s="108" t="n"/>
      <c r="W23" s="107" t="n"/>
      <c r="X23" s="107" t="n"/>
      <c r="Y23" s="107" t="n"/>
      <c r="Z23" s="107" t="n"/>
      <c r="AA23" s="107" t="n"/>
      <c r="AB23" s="107" t="n"/>
      <c r="AC23" s="108" t="n"/>
      <c r="AD23" s="107" t="n"/>
      <c r="AE23" s="107" t="n"/>
      <c r="AF23" s="107" t="n"/>
      <c r="AG23" s="109">
        <f>IF(ISBLANK(B23), "", IF(ISNUMBER(D23), IF(D23&gt;0, (COUNTIF(E23:AF23, "✓") + COUNTIF(E23:AF23, "✔") + COUNTIF(E23:AF23, "v") + COUNTIF(E23:AF23, "V"))/D23, 0), IF(((COUNTIF(E23:AF23, "✓") + COUNTIF(E23:AF23, "✔") + COUNTIF(E23:AF23, "v") + COUNTIF(E23:AF23, "V")) + COUNTIF(E23:AF23, "✗") + COUNTIF(E23:AF23, "x") + COUNTIF(E23:AF23, "X"))&gt;0, (COUNTIF(E23:AF23, "✓") + COUNTIF(E23:AF23, "✔") + COUNTIF(E23:AF23, "v") + COUNTIF(E23:AF23, "V"))/((COUNTIF(E23:AF23, "✓") + COUNTIF(E23:AF23, "✔") + COUNTIF(E23:AF23, "v") + COUNTIF(E23:AF23, "V")) + COUNTIF(E23:AF23, "✗") + COUNTIF(E23:AF23, "x") + COUNTIF(E23:AF23, "X")), "")))</f>
        <v/>
      </c>
      <c r="AH23" s="110">
        <f>IF(ISBLANK(B23), "", IF(ISNUMBER(D23), IF(D23&gt;0, (COUNTIF(E23:AF23, "✓") + COUNTIF(E23:AF23, "✔") + COUNTIF(E23:AF23, "v") + COUNTIF(E23:AF23, "V")) &amp; "/" &amp; D23, (COUNTIF(E23:AF23, "✓") + COUNTIF(E23:AF23, "✔") + COUNTIF(E23:AF23, "v") + COUNTIF(E23:AF23, "V")) &amp; "/0"), IF(((COUNTIF(E23:AF23, "✓") + COUNTIF(E23:AF23, "✔") + COUNTIF(E23:AF23, "v") + COUNTIF(E23:AF23, "V")) + COUNTIF(E23:AF23, "✗") + COUNTIF(E23:AF23, "x") + COUNTIF(E23:AF23, "X"))&gt;0, (COUNTIF(E23:AF23, "✓") + COUNTIF(E23:AF23, "✔") + COUNTIF(E23:AF23, "v") + COUNTIF(E23:AF23, "V")) &amp; "/" &amp; ((COUNTIF(E23:AF23, "✓") + COUNTIF(E23:AF23, "✔") + COUNTIF(E23:AF23, "v") + COUNTIF(E23:AF23, "V")) + COUNTIF(E23:AF23, "✗") + COUNTIF(E23:AF23, "x") + COUNTIF(E23:AF23, "X")), "")))</f>
        <v/>
      </c>
      <c r="AI23" s="110">
        <f>IF(ISBLANK(B23), "", IF(AG23&gt;=0.85, "🔥 Mastered", IF(AG23&gt;=0.7, "⚡ Consistent", "⚠️ Needs Focus")))</f>
        <v/>
      </c>
      <c r="AJ23">
        <f>COUNTIF(E23:AF23, "✓")</f>
        <v/>
      </c>
    </row>
    <row r="24" ht="14.5" customHeight="1">
      <c r="A24" s="104" t="n">
        <v>7</v>
      </c>
      <c r="B24" s="105" t="n"/>
      <c r="C24" s="106" t="n"/>
      <c r="D24" s="106" t="n"/>
      <c r="E24" s="107" t="n"/>
      <c r="F24" s="107" t="n"/>
      <c r="G24" s="107" t="n"/>
      <c r="H24" s="108" t="n"/>
      <c r="I24" s="107" t="n"/>
      <c r="J24" s="107" t="n"/>
      <c r="K24" s="107" t="n"/>
      <c r="L24" s="107" t="n"/>
      <c r="M24" s="107" t="n"/>
      <c r="N24" s="107" t="n"/>
      <c r="O24" s="108" t="n"/>
      <c r="P24" s="107" t="n"/>
      <c r="Q24" s="107" t="n"/>
      <c r="R24" s="107" t="n"/>
      <c r="S24" s="107" t="n"/>
      <c r="T24" s="107" t="n"/>
      <c r="U24" s="107" t="n"/>
      <c r="V24" s="108" t="n"/>
      <c r="W24" s="107" t="n"/>
      <c r="X24" s="107" t="n"/>
      <c r="Y24" s="107" t="n"/>
      <c r="Z24" s="107" t="n"/>
      <c r="AA24" s="107" t="n"/>
      <c r="AB24" s="107" t="n"/>
      <c r="AC24" s="108" t="n"/>
      <c r="AD24" s="107" t="n"/>
      <c r="AE24" s="107" t="n"/>
      <c r="AF24" s="107" t="n"/>
      <c r="AG24" s="109">
        <f>IF(ISBLANK(B24), "", IF(ISNUMBER(D24), IF(D24&gt;0, (COUNTIF(E24:AF24, "✓") + COUNTIF(E24:AF24, "✔") + COUNTIF(E24:AF24, "v") + COUNTIF(E24:AF24, "V"))/D24, 0), IF(((COUNTIF(E24:AF24, "✓") + COUNTIF(E24:AF24, "✔") + COUNTIF(E24:AF24, "v") + COUNTIF(E24:AF24, "V")) + COUNTIF(E24:AF24, "✗") + COUNTIF(E24:AF24, "x") + COUNTIF(E24:AF24, "X"))&gt;0, (COUNTIF(E24:AF24, "✓") + COUNTIF(E24:AF24, "✔") + COUNTIF(E24:AF24, "v") + COUNTIF(E24:AF24, "V"))/((COUNTIF(E24:AF24, "✓") + COUNTIF(E24:AF24, "✔") + COUNTIF(E24:AF24, "v") + COUNTIF(E24:AF24, "V")) + COUNTIF(E24:AF24, "✗") + COUNTIF(E24:AF24, "x") + COUNTIF(E24:AF24, "X")), "")))</f>
        <v/>
      </c>
      <c r="AH24" s="110">
        <f>IF(ISBLANK(B24), "", IF(ISNUMBER(D24), IF(D24&gt;0, (COUNTIF(E24:AF24, "✓") + COUNTIF(E24:AF24, "✔") + COUNTIF(E24:AF24, "v") + COUNTIF(E24:AF24, "V")) &amp; "/" &amp; D24, (COUNTIF(E24:AF24, "✓") + COUNTIF(E24:AF24, "✔") + COUNTIF(E24:AF24, "v") + COUNTIF(E24:AF24, "V")) &amp; "/0"), IF(((COUNTIF(E24:AF24, "✓") + COUNTIF(E24:AF24, "✔") + COUNTIF(E24:AF24, "v") + COUNTIF(E24:AF24, "V")) + COUNTIF(E24:AF24, "✗") + COUNTIF(E24:AF24, "x") + COUNTIF(E24:AF24, "X"))&gt;0, (COUNTIF(E24:AF24, "✓") + COUNTIF(E24:AF24, "✔") + COUNTIF(E24:AF24, "v") + COUNTIF(E24:AF24, "V")) &amp; "/" &amp; ((COUNTIF(E24:AF24, "✓") + COUNTIF(E24:AF24, "✔") + COUNTIF(E24:AF24, "v") + COUNTIF(E24:AF24, "V")) + COUNTIF(E24:AF24, "✗") + COUNTIF(E24:AF24, "x") + COUNTIF(E24:AF24, "X")), "")))</f>
        <v/>
      </c>
      <c r="AI24" s="110">
        <f>IF(ISBLANK(B24), "", IF(AG24&gt;=0.85, "🔥 Mastered", IF(AG24&gt;=0.7, "⚡ Consistent", "⚠️ Needs Focus")))</f>
        <v/>
      </c>
      <c r="AJ24">
        <f>COUNTIF(E24:AF24, "✓")</f>
        <v/>
      </c>
    </row>
    <row r="25" ht="14.5" customHeight="1">
      <c r="A25" s="104" t="n">
        <v>8</v>
      </c>
      <c r="B25" s="105" t="n"/>
      <c r="C25" s="106" t="n"/>
      <c r="D25" s="106" t="n"/>
      <c r="E25" s="107" t="n"/>
      <c r="F25" s="107" t="n"/>
      <c r="G25" s="107" t="n"/>
      <c r="H25" s="108" t="n"/>
      <c r="I25" s="107" t="n"/>
      <c r="J25" s="107" t="n"/>
      <c r="K25" s="107" t="n"/>
      <c r="L25" s="107" t="n"/>
      <c r="M25" s="107" t="n"/>
      <c r="N25" s="107" t="n"/>
      <c r="O25" s="108" t="n"/>
      <c r="P25" s="107" t="n"/>
      <c r="Q25" s="107" t="n"/>
      <c r="R25" s="107" t="n"/>
      <c r="S25" s="107" t="n"/>
      <c r="T25" s="107" t="n"/>
      <c r="U25" s="107" t="n"/>
      <c r="V25" s="108" t="n"/>
      <c r="W25" s="107" t="n"/>
      <c r="X25" s="107" t="n"/>
      <c r="Y25" s="107" t="n"/>
      <c r="Z25" s="107" t="n"/>
      <c r="AA25" s="107" t="n"/>
      <c r="AB25" s="107" t="n"/>
      <c r="AC25" s="108" t="n"/>
      <c r="AD25" s="107" t="n"/>
      <c r="AE25" s="107" t="n"/>
      <c r="AF25" s="107" t="n"/>
      <c r="AG25" s="109">
        <f>IF(ISBLANK(B25), "", IF(ISNUMBER(D25), IF(D25&gt;0, (COUNTIF(E25:AF25, "✓") + COUNTIF(E25:AF25, "✔") + COUNTIF(E25:AF25, "v") + COUNTIF(E25:AF25, "V"))/D25, 0), IF(((COUNTIF(E25:AF25, "✓") + COUNTIF(E25:AF25, "✔") + COUNTIF(E25:AF25, "v") + COUNTIF(E25:AF25, "V")) + COUNTIF(E25:AF25, "✗") + COUNTIF(E25:AF25, "x") + COUNTIF(E25:AF25, "X"))&gt;0, (COUNTIF(E25:AF25, "✓") + COUNTIF(E25:AF25, "✔") + COUNTIF(E25:AF25, "v") + COUNTIF(E25:AF25, "V"))/((COUNTIF(E25:AF25, "✓") + COUNTIF(E25:AF25, "✔") + COUNTIF(E25:AF25, "v") + COUNTIF(E25:AF25, "V")) + COUNTIF(E25:AF25, "✗") + COUNTIF(E25:AF25, "x") + COUNTIF(E25:AF25, "X")), "")))</f>
        <v/>
      </c>
      <c r="AH25" s="110">
        <f>IF(ISBLANK(B25), "", IF(ISNUMBER(D25), IF(D25&gt;0, (COUNTIF(E25:AF25, "✓") + COUNTIF(E25:AF25, "✔") + COUNTIF(E25:AF25, "v") + COUNTIF(E25:AF25, "V")) &amp; "/" &amp; D25, (COUNTIF(E25:AF25, "✓") + COUNTIF(E25:AF25, "✔") + COUNTIF(E25:AF25, "v") + COUNTIF(E25:AF25, "V")) &amp; "/0"), IF(((COUNTIF(E25:AF25, "✓") + COUNTIF(E25:AF25, "✔") + COUNTIF(E25:AF25, "v") + COUNTIF(E25:AF25, "V")) + COUNTIF(E25:AF25, "✗") + COUNTIF(E25:AF25, "x") + COUNTIF(E25:AF25, "X"))&gt;0, (COUNTIF(E25:AF25, "✓") + COUNTIF(E25:AF25, "✔") + COUNTIF(E25:AF25, "v") + COUNTIF(E25:AF25, "V")) &amp; "/" &amp; ((COUNTIF(E25:AF25, "✓") + COUNTIF(E25:AF25, "✔") + COUNTIF(E25:AF25, "v") + COUNTIF(E25:AF25, "V")) + COUNTIF(E25:AF25, "✗") + COUNTIF(E25:AF25, "x") + COUNTIF(E25:AF25, "X")), "")))</f>
        <v/>
      </c>
      <c r="AI25" s="110">
        <f>IF(ISBLANK(B25), "", IF(AG25&gt;=0.85, "🔥 Mastered", IF(AG25&gt;=0.7, "⚡ Consistent", "⚠️ Needs Focus")))</f>
        <v/>
      </c>
      <c r="AJ25">
        <f>COUNTIF(E25:AF25, "✓")</f>
        <v/>
      </c>
    </row>
    <row r="26" ht="14.5" customHeight="1">
      <c r="A26" s="111" t="n">
        <v>9</v>
      </c>
      <c r="B26" s="112" t="n"/>
      <c r="C26" s="113" t="n"/>
      <c r="D26" s="113" t="n"/>
      <c r="E26" s="114" t="n"/>
      <c r="F26" s="114" t="n"/>
      <c r="G26" s="114" t="n"/>
      <c r="H26" s="115" t="n"/>
      <c r="I26" s="114" t="n"/>
      <c r="J26" s="114" t="n"/>
      <c r="K26" s="114" t="n"/>
      <c r="L26" s="114" t="n"/>
      <c r="M26" s="114" t="n"/>
      <c r="N26" s="114" t="n"/>
      <c r="O26" s="115" t="n"/>
      <c r="P26" s="114" t="n"/>
      <c r="Q26" s="114" t="n"/>
      <c r="R26" s="114" t="n"/>
      <c r="S26" s="114" t="n"/>
      <c r="T26" s="114" t="n"/>
      <c r="U26" s="114" t="n"/>
      <c r="V26" s="115" t="n"/>
      <c r="W26" s="114" t="n"/>
      <c r="X26" s="114" t="n"/>
      <c r="Y26" s="114" t="n"/>
      <c r="Z26" s="114" t="n"/>
      <c r="AA26" s="114" t="n"/>
      <c r="AB26" s="114" t="n"/>
      <c r="AC26" s="115" t="n"/>
      <c r="AD26" s="114" t="n"/>
      <c r="AE26" s="114" t="n"/>
      <c r="AF26" s="114" t="n"/>
      <c r="AG26" s="116">
        <f>IF(ISBLANK(B26), "", IF(ISNUMBER(D26), IF(D26&gt;0, (COUNTIF(E26:AF26, "✓") + COUNTIF(E26:AF26, "✔") + COUNTIF(E26:AF26, "v") + COUNTIF(E26:AF26, "V"))/D26, 0), IF(((COUNTIF(E26:AF26, "✓") + COUNTIF(E26:AF26, "✔") + COUNTIF(E26:AF26, "v") + COUNTIF(E26:AF26, "V")) + COUNTIF(E26:AF26, "✗") + COUNTIF(E26:AF26, "x") + COUNTIF(E26:AF26, "X"))&gt;0, (COUNTIF(E26:AF26, "✓") + COUNTIF(E26:AF26, "✔") + COUNTIF(E26:AF26, "v") + COUNTIF(E26:AF26, "V"))/((COUNTIF(E26:AF26, "✓") + COUNTIF(E26:AF26, "✔") + COUNTIF(E26:AF26, "v") + COUNTIF(E26:AF26, "V")) + COUNTIF(E26:AF26, "✗") + COUNTIF(E26:AF26, "x") + COUNTIF(E26:AF26, "X")), "")))</f>
        <v/>
      </c>
      <c r="AH26" s="117">
        <f>IF(ISBLANK(B26), "", IF(ISNUMBER(D26), IF(D26&gt;0, (COUNTIF(E26:AF26, "✓") + COUNTIF(E26:AF26, "✔") + COUNTIF(E26:AF26, "v") + COUNTIF(E26:AF26, "V")) &amp; "/" &amp; D26, (COUNTIF(E26:AF26, "✓") + COUNTIF(E26:AF26, "✔") + COUNTIF(E26:AF26, "v") + COUNTIF(E26:AF26, "V")) &amp; "/0"), IF(((COUNTIF(E26:AF26, "✓") + COUNTIF(E26:AF26, "✔") + COUNTIF(E26:AF26, "v") + COUNTIF(E26:AF26, "V")) + COUNTIF(E26:AF26, "✗") + COUNTIF(E26:AF26, "x") + COUNTIF(E26:AF26, "X"))&gt;0, (COUNTIF(E26:AF26, "✓") + COUNTIF(E26:AF26, "✔") + COUNTIF(E26:AF26, "v") + COUNTIF(E26:AF26, "V")) &amp; "/" &amp; ((COUNTIF(E26:AF26, "✓") + COUNTIF(E26:AF26, "✔") + COUNTIF(E26:AF26, "v") + COUNTIF(E26:AF26, "V")) + COUNTIF(E26:AF26, "✗") + COUNTIF(E26:AF26, "x") + COUNTIF(E26:AF26, "X")), "")))</f>
        <v/>
      </c>
      <c r="AI26" s="117">
        <f>IF(ISBLANK(B26), "", IF(AG26&gt;=0.85, "🔥 Mastered", IF(AG26&gt;=0.7, "⚡ Consistent", "⚠️ Needs Focus")))</f>
        <v/>
      </c>
      <c r="AJ26">
        <f>COUNTIF(E26:AF26, "✓")</f>
        <v/>
      </c>
    </row>
    <row r="27" ht="14.5" customHeight="1">
      <c r="A27" s="111" t="n">
        <v>10</v>
      </c>
      <c r="B27" s="112" t="n"/>
      <c r="C27" s="113" t="n"/>
      <c r="D27" s="113" t="n"/>
      <c r="E27" s="114" t="n"/>
      <c r="F27" s="114" t="n"/>
      <c r="G27" s="114" t="n"/>
      <c r="H27" s="115" t="n"/>
      <c r="I27" s="114" t="n"/>
      <c r="J27" s="114" t="n"/>
      <c r="K27" s="114" t="n"/>
      <c r="L27" s="114" t="n"/>
      <c r="M27" s="114" t="n"/>
      <c r="N27" s="114" t="n"/>
      <c r="O27" s="115" t="n"/>
      <c r="P27" s="114" t="n"/>
      <c r="Q27" s="114" t="n"/>
      <c r="R27" s="114" t="n"/>
      <c r="S27" s="114" t="n"/>
      <c r="T27" s="114" t="n"/>
      <c r="U27" s="114" t="n"/>
      <c r="V27" s="115" t="n"/>
      <c r="W27" s="114" t="n"/>
      <c r="X27" s="114" t="n"/>
      <c r="Y27" s="114" t="n"/>
      <c r="Z27" s="114" t="n"/>
      <c r="AA27" s="114" t="n"/>
      <c r="AB27" s="114" t="n"/>
      <c r="AC27" s="115" t="n"/>
      <c r="AD27" s="114" t="n"/>
      <c r="AE27" s="114" t="n"/>
      <c r="AF27" s="114" t="n"/>
      <c r="AG27" s="116">
        <f>IF(ISBLANK(B27), "", IF(ISNUMBER(D27), IF(D27&gt;0, (COUNTIF(E27:AF27, "✓") + COUNTIF(E27:AF27, "✔") + COUNTIF(E27:AF27, "v") + COUNTIF(E27:AF27, "V"))/D27, 0), IF(((COUNTIF(E27:AF27, "✓") + COUNTIF(E27:AF27, "✔") + COUNTIF(E27:AF27, "v") + COUNTIF(E27:AF27, "V")) + COUNTIF(E27:AF27, "✗") + COUNTIF(E27:AF27, "x") + COUNTIF(E27:AF27, "X"))&gt;0, (COUNTIF(E27:AF27, "✓") + COUNTIF(E27:AF27, "✔") + COUNTIF(E27:AF27, "v") + COUNTIF(E27:AF27, "V"))/((COUNTIF(E27:AF27, "✓") + COUNTIF(E27:AF27, "✔") + COUNTIF(E27:AF27, "v") + COUNTIF(E27:AF27, "V")) + COUNTIF(E27:AF27, "✗") + COUNTIF(E27:AF27, "x") + COUNTIF(E27:AF27, "X")), "")))</f>
        <v/>
      </c>
      <c r="AH27" s="117">
        <f>IF(ISBLANK(B27), "", IF(ISNUMBER(D27), IF(D27&gt;0, (COUNTIF(E27:AF27, "✓") + COUNTIF(E27:AF27, "✔") + COUNTIF(E27:AF27, "v") + COUNTIF(E27:AF27, "V")) &amp; "/" &amp; D27, (COUNTIF(E27:AF27, "✓") + COUNTIF(E27:AF27, "✔") + COUNTIF(E27:AF27, "v") + COUNTIF(E27:AF27, "V")) &amp; "/0"), IF(((COUNTIF(E27:AF27, "✓") + COUNTIF(E27:AF27, "✔") + COUNTIF(E27:AF27, "v") + COUNTIF(E27:AF27, "V")) + COUNTIF(E27:AF27, "✗") + COUNTIF(E27:AF27, "x") + COUNTIF(E27:AF27, "X"))&gt;0, (COUNTIF(E27:AF27, "✓") + COUNTIF(E27:AF27, "✔") + COUNTIF(E27:AF27, "v") + COUNTIF(E27:AF27, "V")) &amp; "/" &amp; ((COUNTIF(E27:AF27, "✓") + COUNTIF(E27:AF27, "✔") + COUNTIF(E27:AF27, "v") + COUNTIF(E27:AF27, "V")) + COUNTIF(E27:AF27, "✗") + COUNTIF(E27:AF27, "x") + COUNTIF(E27:AF27, "X")), "")))</f>
        <v/>
      </c>
      <c r="AI27" s="117">
        <f>IF(ISBLANK(B27), "", IF(AG27&gt;=0.85, "🔥 Mastered", IF(AG27&gt;=0.7, "⚡ Consistent", "⚠️ Needs Focus")))</f>
        <v/>
      </c>
      <c r="AJ27">
        <f>COUNTIF(E27:AF27, "✓")</f>
        <v/>
      </c>
    </row>
    <row r="28" ht="14.5" customHeight="1">
      <c r="A28" s="111" t="n">
        <v>11</v>
      </c>
      <c r="B28" s="112" t="n"/>
      <c r="C28" s="113" t="n"/>
      <c r="D28" s="113" t="n"/>
      <c r="E28" s="114" t="n"/>
      <c r="F28" s="114" t="n"/>
      <c r="G28" s="114" t="n"/>
      <c r="H28" s="115" t="n"/>
      <c r="I28" s="114" t="n"/>
      <c r="J28" s="114" t="n"/>
      <c r="K28" s="114" t="n"/>
      <c r="L28" s="114" t="n"/>
      <c r="M28" s="114" t="n"/>
      <c r="N28" s="114" t="n"/>
      <c r="O28" s="115" t="n"/>
      <c r="P28" s="114" t="n"/>
      <c r="Q28" s="114" t="n"/>
      <c r="R28" s="114" t="n"/>
      <c r="S28" s="114" t="n"/>
      <c r="T28" s="114" t="n"/>
      <c r="U28" s="114" t="n"/>
      <c r="V28" s="115" t="n"/>
      <c r="W28" s="114" t="n"/>
      <c r="X28" s="114" t="n"/>
      <c r="Y28" s="114" t="n"/>
      <c r="Z28" s="114" t="n"/>
      <c r="AA28" s="114" t="n"/>
      <c r="AB28" s="114" t="n"/>
      <c r="AC28" s="115" t="n"/>
      <c r="AD28" s="114" t="n"/>
      <c r="AE28" s="114" t="n"/>
      <c r="AF28" s="114" t="n"/>
      <c r="AG28" s="116">
        <f>IF(ISBLANK(B28), "", IF(ISNUMBER(D28), IF(D28&gt;0, (COUNTIF(E28:AF28, "✓") + COUNTIF(E28:AF28, "✔") + COUNTIF(E28:AF28, "v") + COUNTIF(E28:AF28, "V"))/D28, 0), IF(((COUNTIF(E28:AF28, "✓") + COUNTIF(E28:AF28, "✔") + COUNTIF(E28:AF28, "v") + COUNTIF(E28:AF28, "V")) + COUNTIF(E28:AF28, "✗") + COUNTIF(E28:AF28, "x") + COUNTIF(E28:AF28, "X"))&gt;0, (COUNTIF(E28:AF28, "✓") + COUNTIF(E28:AF28, "✔") + COUNTIF(E28:AF28, "v") + COUNTIF(E28:AF28, "V"))/((COUNTIF(E28:AF28, "✓") + COUNTIF(E28:AF28, "✔") + COUNTIF(E28:AF28, "v") + COUNTIF(E28:AF28, "V")) + COUNTIF(E28:AF28, "✗") + COUNTIF(E28:AF28, "x") + COUNTIF(E28:AF28, "X")), "")))</f>
        <v/>
      </c>
      <c r="AH28" s="117">
        <f>IF(ISBLANK(B28), "", IF(ISNUMBER(D28), IF(D28&gt;0, (COUNTIF(E28:AF28, "✓") + COUNTIF(E28:AF28, "✔") + COUNTIF(E28:AF28, "v") + COUNTIF(E28:AF28, "V")) &amp; "/" &amp; D28, (COUNTIF(E28:AF28, "✓") + COUNTIF(E28:AF28, "✔") + COUNTIF(E28:AF28, "v") + COUNTIF(E28:AF28, "V")) &amp; "/0"), IF(((COUNTIF(E28:AF28, "✓") + COUNTIF(E28:AF28, "✔") + COUNTIF(E28:AF28, "v") + COUNTIF(E28:AF28, "V")) + COUNTIF(E28:AF28, "✗") + COUNTIF(E28:AF28, "x") + COUNTIF(E28:AF28, "X"))&gt;0, (COUNTIF(E28:AF28, "✓") + COUNTIF(E28:AF28, "✔") + COUNTIF(E28:AF28, "v") + COUNTIF(E28:AF28, "V")) &amp; "/" &amp; ((COUNTIF(E28:AF28, "✓") + COUNTIF(E28:AF28, "✔") + COUNTIF(E28:AF28, "v") + COUNTIF(E28:AF28, "V")) + COUNTIF(E28:AF28, "✗") + COUNTIF(E28:AF28, "x") + COUNTIF(E28:AF28, "X")), "")))</f>
        <v/>
      </c>
      <c r="AI28" s="117">
        <f>IF(ISBLANK(B28), "", IF(AG28&gt;=0.85, "🔥 Mastered", IF(AG28&gt;=0.7, "⚡ Consistent", "⚠️ Needs Focus")))</f>
        <v/>
      </c>
      <c r="AJ28">
        <f>COUNTIF(E28:AF28, "✓")</f>
        <v/>
      </c>
    </row>
    <row r="29" ht="14.5" customHeight="1">
      <c r="A29" s="111" t="n">
        <v>12</v>
      </c>
      <c r="B29" s="112" t="n"/>
      <c r="C29" s="113" t="n"/>
      <c r="D29" s="113" t="n"/>
      <c r="E29" s="114" t="n"/>
      <c r="F29" s="114" t="n"/>
      <c r="G29" s="114" t="n"/>
      <c r="H29" s="115" t="n"/>
      <c r="I29" s="114" t="n"/>
      <c r="J29" s="114" t="n"/>
      <c r="K29" s="114" t="n"/>
      <c r="L29" s="114" t="n"/>
      <c r="M29" s="114" t="n"/>
      <c r="N29" s="114" t="n"/>
      <c r="O29" s="115" t="n"/>
      <c r="P29" s="114" t="n"/>
      <c r="Q29" s="114" t="n"/>
      <c r="R29" s="114" t="n"/>
      <c r="S29" s="114" t="n"/>
      <c r="T29" s="114" t="n"/>
      <c r="U29" s="114" t="n"/>
      <c r="V29" s="115" t="n"/>
      <c r="W29" s="114" t="n"/>
      <c r="X29" s="114" t="n"/>
      <c r="Y29" s="114" t="n"/>
      <c r="Z29" s="114" t="n"/>
      <c r="AA29" s="114" t="n"/>
      <c r="AB29" s="114" t="n"/>
      <c r="AC29" s="115" t="n"/>
      <c r="AD29" s="114" t="n"/>
      <c r="AE29" s="114" t="n"/>
      <c r="AF29" s="114" t="n"/>
      <c r="AG29" s="116">
        <f>IF(ISBLANK(B29), "", IF(ISNUMBER(D29), IF(D29&gt;0, (COUNTIF(E29:AF29, "✓") + COUNTIF(E29:AF29, "✔") + COUNTIF(E29:AF29, "v") + COUNTIF(E29:AF29, "V"))/D29, 0), IF(((COUNTIF(E29:AF29, "✓") + COUNTIF(E29:AF29, "✔") + COUNTIF(E29:AF29, "v") + COUNTIF(E29:AF29, "V")) + COUNTIF(E29:AF29, "✗") + COUNTIF(E29:AF29, "x") + COUNTIF(E29:AF29, "X"))&gt;0, (COUNTIF(E29:AF29, "✓") + COUNTIF(E29:AF29, "✔") + COUNTIF(E29:AF29, "v") + COUNTIF(E29:AF29, "V"))/((COUNTIF(E29:AF29, "✓") + COUNTIF(E29:AF29, "✔") + COUNTIF(E29:AF29, "v") + COUNTIF(E29:AF29, "V")) + COUNTIF(E29:AF29, "✗") + COUNTIF(E29:AF29, "x") + COUNTIF(E29:AF29, "X")), "")))</f>
        <v/>
      </c>
      <c r="AH29" s="117">
        <f>IF(ISBLANK(B29), "", IF(ISNUMBER(D29), IF(D29&gt;0, (COUNTIF(E29:AF29, "✓") + COUNTIF(E29:AF29, "✔") + COUNTIF(E29:AF29, "v") + COUNTIF(E29:AF29, "V")) &amp; "/" &amp; D29, (COUNTIF(E29:AF29, "✓") + COUNTIF(E29:AF29, "✔") + COUNTIF(E29:AF29, "v") + COUNTIF(E29:AF29, "V")) &amp; "/0"), IF(((COUNTIF(E29:AF29, "✓") + COUNTIF(E29:AF29, "✔") + COUNTIF(E29:AF29, "v") + COUNTIF(E29:AF29, "V")) + COUNTIF(E29:AF29, "✗") + COUNTIF(E29:AF29, "x") + COUNTIF(E29:AF29, "X"))&gt;0, (COUNTIF(E29:AF29, "✓") + COUNTIF(E29:AF29, "✔") + COUNTIF(E29:AF29, "v") + COUNTIF(E29:AF29, "V")) &amp; "/" &amp; ((COUNTIF(E29:AF29, "✓") + COUNTIF(E29:AF29, "✔") + COUNTIF(E29:AF29, "v") + COUNTIF(E29:AF29, "V")) + COUNTIF(E29:AF29, "✗") + COUNTIF(E29:AF29, "x") + COUNTIF(E29:AF29, "X")), "")))</f>
        <v/>
      </c>
      <c r="AI29" s="117">
        <f>IF(ISBLANK(B29), "", IF(AG29&gt;=0.85, "🔥 Mastered", IF(AG29&gt;=0.7, "⚡ Consistent", "⚠️ Needs Focus")))</f>
        <v/>
      </c>
      <c r="AJ29">
        <f>COUNTIF(E29:AF29, "✓")</f>
        <v/>
      </c>
    </row>
    <row r="30" ht="14.5" customHeight="1">
      <c r="A30" s="118" t="n">
        <v>13</v>
      </c>
      <c r="B30" s="119" t="n"/>
      <c r="C30" s="120" t="n"/>
      <c r="D30" s="120" t="n"/>
      <c r="E30" s="121" t="n"/>
      <c r="F30" s="121" t="n"/>
      <c r="G30" s="121" t="n"/>
      <c r="H30" s="122" t="n"/>
      <c r="I30" s="121" t="n"/>
      <c r="J30" s="121" t="n"/>
      <c r="K30" s="121" t="n"/>
      <c r="L30" s="121" t="n"/>
      <c r="M30" s="121" t="n"/>
      <c r="N30" s="121" t="n"/>
      <c r="O30" s="122" t="n"/>
      <c r="P30" s="121" t="n"/>
      <c r="Q30" s="121" t="n"/>
      <c r="R30" s="121" t="n"/>
      <c r="S30" s="121" t="n"/>
      <c r="T30" s="121" t="n"/>
      <c r="U30" s="121" t="n"/>
      <c r="V30" s="122" t="n"/>
      <c r="W30" s="121" t="n"/>
      <c r="X30" s="121" t="n"/>
      <c r="Y30" s="121" t="n"/>
      <c r="Z30" s="121" t="n"/>
      <c r="AA30" s="121" t="n"/>
      <c r="AB30" s="121" t="n"/>
      <c r="AC30" s="122" t="n"/>
      <c r="AD30" s="121" t="n"/>
      <c r="AE30" s="121" t="n"/>
      <c r="AF30" s="121" t="n"/>
      <c r="AG30" s="123">
        <f>IF(ISBLANK(B30), "", IF(ISNUMBER(D30), IF(D30&gt;0, (COUNTIF(E30:AF30, "✓") + COUNTIF(E30:AF30, "✔") + COUNTIF(E30:AF30, "v") + COUNTIF(E30:AF30, "V"))/D30, 0), IF(((COUNTIF(E30:AF30, "✓") + COUNTIF(E30:AF30, "✔") + COUNTIF(E30:AF30, "v") + COUNTIF(E30:AF30, "V")) + COUNTIF(E30:AF30, "✗") + COUNTIF(E30:AF30, "x") + COUNTIF(E30:AF30, "X"))&gt;0, (COUNTIF(E30:AF30, "✓") + COUNTIF(E30:AF30, "✔") + COUNTIF(E30:AF30, "v") + COUNTIF(E30:AF30, "V"))/((COUNTIF(E30:AF30, "✓") + COUNTIF(E30:AF30, "✔") + COUNTIF(E30:AF30, "v") + COUNTIF(E30:AF30, "V")) + COUNTIF(E30:AF30, "✗") + COUNTIF(E30:AF30, "x") + COUNTIF(E30:AF30, "X")), "")))</f>
        <v/>
      </c>
      <c r="AH30" s="124">
        <f>IF(ISBLANK(B30), "", IF(ISNUMBER(D30), IF(D30&gt;0, (COUNTIF(E30:AF30, "✓") + COUNTIF(E30:AF30, "✔") + COUNTIF(E30:AF30, "v") + COUNTIF(E30:AF30, "V")) &amp; "/" &amp; D30, (COUNTIF(E30:AF30, "✓") + COUNTIF(E30:AF30, "✔") + COUNTIF(E30:AF30, "v") + COUNTIF(E30:AF30, "V")) &amp; "/0"), IF(((COUNTIF(E30:AF30, "✓") + COUNTIF(E30:AF30, "✔") + COUNTIF(E30:AF30, "v") + COUNTIF(E30:AF30, "V")) + COUNTIF(E30:AF30, "✗") + COUNTIF(E30:AF30, "x") + COUNTIF(E30:AF30, "X"))&gt;0, (COUNTIF(E30:AF30, "✓") + COUNTIF(E30:AF30, "✔") + COUNTIF(E30:AF30, "v") + COUNTIF(E30:AF30, "V")) &amp; "/" &amp; ((COUNTIF(E30:AF30, "✓") + COUNTIF(E30:AF30, "✔") + COUNTIF(E30:AF30, "v") + COUNTIF(E30:AF30, "V")) + COUNTIF(E30:AF30, "✗") + COUNTIF(E30:AF30, "x") + COUNTIF(E30:AF30, "X")), "")))</f>
        <v/>
      </c>
      <c r="AI30" s="124">
        <f>IF(ISBLANK(B30), "", IF(AG30&gt;=0.85, "🔥 Mastered", IF(AG30&gt;=0.7, "⚡ Consistent", "⚠️ Needs Focus")))</f>
        <v/>
      </c>
      <c r="AJ30">
        <f>COUNTIF(E30:AF30, "✓")</f>
        <v/>
      </c>
    </row>
    <row r="31" ht="14.5" customHeight="1">
      <c r="A31" s="118" t="n">
        <v>14</v>
      </c>
      <c r="B31" s="119" t="n"/>
      <c r="C31" s="120" t="n"/>
      <c r="D31" s="120" t="n"/>
      <c r="E31" s="121" t="n"/>
      <c r="F31" s="121" t="n"/>
      <c r="G31" s="121" t="n"/>
      <c r="H31" s="122" t="n"/>
      <c r="I31" s="121" t="n"/>
      <c r="J31" s="121" t="n"/>
      <c r="K31" s="121" t="n"/>
      <c r="L31" s="121" t="n"/>
      <c r="M31" s="121" t="n"/>
      <c r="N31" s="121" t="n"/>
      <c r="O31" s="122" t="n"/>
      <c r="P31" s="121" t="n"/>
      <c r="Q31" s="121" t="n"/>
      <c r="R31" s="121" t="n"/>
      <c r="S31" s="121" t="n"/>
      <c r="T31" s="121" t="n"/>
      <c r="U31" s="121" t="n"/>
      <c r="V31" s="122" t="n"/>
      <c r="W31" s="121" t="n"/>
      <c r="X31" s="121" t="n"/>
      <c r="Y31" s="121" t="n"/>
      <c r="Z31" s="121" t="n"/>
      <c r="AA31" s="121" t="n"/>
      <c r="AB31" s="121" t="n"/>
      <c r="AC31" s="122" t="n"/>
      <c r="AD31" s="121" t="n"/>
      <c r="AE31" s="121" t="n"/>
      <c r="AF31" s="121" t="n"/>
      <c r="AG31" s="123">
        <f>IF(ISBLANK(B31), "", IF(ISNUMBER(D31), IF(D31&gt;0, (COUNTIF(E31:AF31, "✓") + COUNTIF(E31:AF31, "✔") + COUNTIF(E31:AF31, "v") + COUNTIF(E31:AF31, "V"))/D31, 0), IF(((COUNTIF(E31:AF31, "✓") + COUNTIF(E31:AF31, "✔") + COUNTIF(E31:AF31, "v") + COUNTIF(E31:AF31, "V")) + COUNTIF(E31:AF31, "✗") + COUNTIF(E31:AF31, "x") + COUNTIF(E31:AF31, "X"))&gt;0, (COUNTIF(E31:AF31, "✓") + COUNTIF(E31:AF31, "✔") + COUNTIF(E31:AF31, "v") + COUNTIF(E31:AF31, "V"))/((COUNTIF(E31:AF31, "✓") + COUNTIF(E31:AF31, "✔") + COUNTIF(E31:AF31, "v") + COUNTIF(E31:AF31, "V")) + COUNTIF(E31:AF31, "✗") + COUNTIF(E31:AF31, "x") + COUNTIF(E31:AF31, "X")), "")))</f>
        <v/>
      </c>
      <c r="AH31" s="124">
        <f>IF(ISBLANK(B31), "", IF(ISNUMBER(D31), IF(D31&gt;0, (COUNTIF(E31:AF31, "✓") + COUNTIF(E31:AF31, "✔") + COUNTIF(E31:AF31, "v") + COUNTIF(E31:AF31, "V")) &amp; "/" &amp; D31, (COUNTIF(E31:AF31, "✓") + COUNTIF(E31:AF31, "✔") + COUNTIF(E31:AF31, "v") + COUNTIF(E31:AF31, "V")) &amp; "/0"), IF(((COUNTIF(E31:AF31, "✓") + COUNTIF(E31:AF31, "✔") + COUNTIF(E31:AF31, "v") + COUNTIF(E31:AF31, "V")) + COUNTIF(E31:AF31, "✗") + COUNTIF(E31:AF31, "x") + COUNTIF(E31:AF31, "X"))&gt;0, (COUNTIF(E31:AF31, "✓") + COUNTIF(E31:AF31, "✔") + COUNTIF(E31:AF31, "v") + COUNTIF(E31:AF31, "V")) &amp; "/" &amp; ((COUNTIF(E31:AF31, "✓") + COUNTIF(E31:AF31, "✔") + COUNTIF(E31:AF31, "v") + COUNTIF(E31:AF31, "V")) + COUNTIF(E31:AF31, "✗") + COUNTIF(E31:AF31, "x") + COUNTIF(E31:AF31, "X")), "")))</f>
        <v/>
      </c>
      <c r="AI31" s="124">
        <f>IF(ISBLANK(B31), "", IF(AG31&gt;=0.85, "🔥 Mastered", IF(AG31&gt;=0.7, "⚡ Consistent", "⚠️ Needs Focus")))</f>
        <v/>
      </c>
      <c r="AJ31">
        <f>COUNTIF(E31:AF31, "✓")</f>
        <v/>
      </c>
    </row>
    <row r="32" ht="14.5" customHeight="1">
      <c r="A32" s="118" t="n">
        <v>15</v>
      </c>
      <c r="B32" s="119" t="n"/>
      <c r="C32" s="120" t="n"/>
      <c r="D32" s="120" t="n"/>
      <c r="E32" s="121" t="n"/>
      <c r="F32" s="121" t="n"/>
      <c r="G32" s="121" t="n"/>
      <c r="H32" s="122" t="n"/>
      <c r="I32" s="121" t="n"/>
      <c r="J32" s="121" t="n"/>
      <c r="K32" s="121" t="n"/>
      <c r="L32" s="121" t="n"/>
      <c r="M32" s="121" t="n"/>
      <c r="N32" s="121" t="n"/>
      <c r="O32" s="122" t="n"/>
      <c r="P32" s="121" t="n"/>
      <c r="Q32" s="121" t="n"/>
      <c r="R32" s="121" t="n"/>
      <c r="S32" s="121" t="n"/>
      <c r="T32" s="121" t="n"/>
      <c r="U32" s="121" t="n"/>
      <c r="V32" s="122" t="n"/>
      <c r="W32" s="121" t="n"/>
      <c r="X32" s="121" t="n"/>
      <c r="Y32" s="121" t="n"/>
      <c r="Z32" s="121" t="n"/>
      <c r="AA32" s="121" t="n"/>
      <c r="AB32" s="121" t="n"/>
      <c r="AC32" s="122" t="n"/>
      <c r="AD32" s="121" t="n"/>
      <c r="AE32" s="121" t="n"/>
      <c r="AF32" s="121" t="n"/>
      <c r="AG32" s="123">
        <f>IF(ISBLANK(B32), "", IF(ISNUMBER(D32), IF(D32&gt;0, (COUNTIF(E32:AF32, "✓") + COUNTIF(E32:AF32, "✔") + COUNTIF(E32:AF32, "v") + COUNTIF(E32:AF32, "V"))/D32, 0), IF(((COUNTIF(E32:AF32, "✓") + COUNTIF(E32:AF32, "✔") + COUNTIF(E32:AF32, "v") + COUNTIF(E32:AF32, "V")) + COUNTIF(E32:AF32, "✗") + COUNTIF(E32:AF32, "x") + COUNTIF(E32:AF32, "X"))&gt;0, (COUNTIF(E32:AF32, "✓") + COUNTIF(E32:AF32, "✔") + COUNTIF(E32:AF32, "v") + COUNTIF(E32:AF32, "V"))/((COUNTIF(E32:AF32, "✓") + COUNTIF(E32:AF32, "✔") + COUNTIF(E32:AF32, "v") + COUNTIF(E32:AF32, "V")) + COUNTIF(E32:AF32, "✗") + COUNTIF(E32:AF32, "x") + COUNTIF(E32:AF32, "X")), "")))</f>
        <v/>
      </c>
      <c r="AH32" s="124">
        <f>IF(ISBLANK(B32), "", IF(ISNUMBER(D32), IF(D32&gt;0, (COUNTIF(E32:AF32, "✓") + COUNTIF(E32:AF32, "✔") + COUNTIF(E32:AF32, "v") + COUNTIF(E32:AF32, "V")) &amp; "/" &amp; D32, (COUNTIF(E32:AF32, "✓") + COUNTIF(E32:AF32, "✔") + COUNTIF(E32:AF32, "v") + COUNTIF(E32:AF32, "V")) &amp; "/0"), IF(((COUNTIF(E32:AF32, "✓") + COUNTIF(E32:AF32, "✔") + COUNTIF(E32:AF32, "v") + COUNTIF(E32:AF32, "V")) + COUNTIF(E32:AF32, "✗") + COUNTIF(E32:AF32, "x") + COUNTIF(E32:AF32, "X"))&gt;0, (COUNTIF(E32:AF32, "✓") + COUNTIF(E32:AF32, "✔") + COUNTIF(E32:AF32, "v") + COUNTIF(E32:AF32, "V")) &amp; "/" &amp; ((COUNTIF(E32:AF32, "✓") + COUNTIF(E32:AF32, "✔") + COUNTIF(E32:AF32, "v") + COUNTIF(E32:AF32, "V")) + COUNTIF(E32:AF32, "✗") + COUNTIF(E32:AF32, "x") + COUNTIF(E32:AF32, "X")), "")))</f>
        <v/>
      </c>
      <c r="AI32" s="124">
        <f>IF(ISBLANK(B32), "", IF(AG32&gt;=0.85, "🔥 Mastered", IF(AG32&gt;=0.7, "⚡ Consistent", "⚠️ Needs Focus")))</f>
        <v/>
      </c>
      <c r="AJ32">
        <f>COUNTIF(E32:AF32, "✓")</f>
        <v/>
      </c>
    </row>
    <row r="33" ht="14.5" customHeight="1">
      <c r="A33" s="118" t="n">
        <v>16</v>
      </c>
      <c r="B33" s="119" t="n"/>
      <c r="C33" s="120" t="n"/>
      <c r="D33" s="120" t="n"/>
      <c r="E33" s="121" t="n"/>
      <c r="F33" s="121" t="n"/>
      <c r="G33" s="121" t="n"/>
      <c r="H33" s="122" t="n"/>
      <c r="I33" s="121" t="n"/>
      <c r="J33" s="121" t="n"/>
      <c r="K33" s="121" t="n"/>
      <c r="L33" s="121" t="n"/>
      <c r="M33" s="121" t="n"/>
      <c r="N33" s="121" t="n"/>
      <c r="O33" s="122" t="n"/>
      <c r="P33" s="121" t="n"/>
      <c r="Q33" s="121" t="n"/>
      <c r="R33" s="121" t="n"/>
      <c r="S33" s="121" t="n"/>
      <c r="T33" s="121" t="n"/>
      <c r="U33" s="121" t="n"/>
      <c r="V33" s="122" t="n"/>
      <c r="W33" s="121" t="n"/>
      <c r="X33" s="121" t="n"/>
      <c r="Y33" s="121" t="n"/>
      <c r="Z33" s="121" t="n"/>
      <c r="AA33" s="121" t="n"/>
      <c r="AB33" s="121" t="n"/>
      <c r="AC33" s="122" t="n"/>
      <c r="AD33" s="121" t="n"/>
      <c r="AE33" s="121" t="n"/>
      <c r="AF33" s="121" t="n"/>
      <c r="AG33" s="123">
        <f>IF(ISBLANK(B33), "", IF(ISNUMBER(D33), IF(D33&gt;0, (COUNTIF(E33:AF33, "✓") + COUNTIF(E33:AF33, "✔") + COUNTIF(E33:AF33, "v") + COUNTIF(E33:AF33, "V"))/D33, 0), IF(((COUNTIF(E33:AF33, "✓") + COUNTIF(E33:AF33, "✔") + COUNTIF(E33:AF33, "v") + COUNTIF(E33:AF33, "V")) + COUNTIF(E33:AF33, "✗") + COUNTIF(E33:AF33, "x") + COUNTIF(E33:AF33, "X"))&gt;0, (COUNTIF(E33:AF33, "✓") + COUNTIF(E33:AF33, "✔") + COUNTIF(E33:AF33, "v") + COUNTIF(E33:AF33, "V"))/((COUNTIF(E33:AF33, "✓") + COUNTIF(E33:AF33, "✔") + COUNTIF(E33:AF33, "v") + COUNTIF(E33:AF33, "V")) + COUNTIF(E33:AF33, "✗") + COUNTIF(E33:AF33, "x") + COUNTIF(E33:AF33, "X")), "")))</f>
        <v/>
      </c>
      <c r="AH33" s="124">
        <f>IF(ISBLANK(B33), "", IF(ISNUMBER(D33), IF(D33&gt;0, (COUNTIF(E33:AF33, "✓") + COUNTIF(E33:AF33, "✔") + COUNTIF(E33:AF33, "v") + COUNTIF(E33:AF33, "V")) &amp; "/" &amp; D33, (COUNTIF(E33:AF33, "✓") + COUNTIF(E33:AF33, "✔") + COUNTIF(E33:AF33, "v") + COUNTIF(E33:AF33, "V")) &amp; "/0"), IF(((COUNTIF(E33:AF33, "✓") + COUNTIF(E33:AF33, "✔") + COUNTIF(E33:AF33, "v") + COUNTIF(E33:AF33, "V")) + COUNTIF(E33:AF33, "✗") + COUNTIF(E33:AF33, "x") + COUNTIF(E33:AF33, "X"))&gt;0, (COUNTIF(E33:AF33, "✓") + COUNTIF(E33:AF33, "✔") + COUNTIF(E33:AF33, "v") + COUNTIF(E33:AF33, "V")) &amp; "/" &amp; ((COUNTIF(E33:AF33, "✓") + COUNTIF(E33:AF33, "✔") + COUNTIF(E33:AF33, "v") + COUNTIF(E33:AF33, "V")) + COUNTIF(E33:AF33, "✗") + COUNTIF(E33:AF33, "x") + COUNTIF(E33:AF33, "X")), "")))</f>
        <v/>
      </c>
      <c r="AI33" s="124">
        <f>IF(ISBLANK(B33), "", IF(AG33&gt;=0.85, "🔥 Mastered", IF(AG33&gt;=0.7, "⚡ Consistent", "⚠️ Needs Focus")))</f>
        <v/>
      </c>
      <c r="AJ33">
        <f>COUNTIF(E33:AF33, "✓")</f>
        <v/>
      </c>
    </row>
    <row r="34" ht="14.5" customHeight="1">
      <c r="A34" s="125" t="n">
        <v>17</v>
      </c>
      <c r="B34" s="126" t="n"/>
      <c r="C34" s="127" t="n"/>
      <c r="D34" s="127" t="n"/>
      <c r="E34" s="128" t="n"/>
      <c r="F34" s="128" t="n"/>
      <c r="G34" s="128" t="n"/>
      <c r="H34" s="129" t="n"/>
      <c r="I34" s="128" t="n"/>
      <c r="J34" s="128" t="n"/>
      <c r="K34" s="128" t="n"/>
      <c r="L34" s="128" t="n"/>
      <c r="M34" s="128" t="n"/>
      <c r="N34" s="128" t="n"/>
      <c r="O34" s="129" t="n"/>
      <c r="P34" s="128" t="n"/>
      <c r="Q34" s="128" t="n"/>
      <c r="R34" s="128" t="n"/>
      <c r="S34" s="128" t="n"/>
      <c r="T34" s="128" t="n"/>
      <c r="U34" s="128" t="n"/>
      <c r="V34" s="129" t="n"/>
      <c r="W34" s="128" t="n"/>
      <c r="X34" s="128" t="n"/>
      <c r="Y34" s="128" t="n"/>
      <c r="Z34" s="128" t="n"/>
      <c r="AA34" s="128" t="n"/>
      <c r="AB34" s="128" t="n"/>
      <c r="AC34" s="129" t="n"/>
      <c r="AD34" s="128" t="n"/>
      <c r="AE34" s="128" t="n"/>
      <c r="AF34" s="128" t="n"/>
      <c r="AG34" s="130">
        <f>IF(ISBLANK(B34), "", IF(ISNUMBER(D34), IF(D34&gt;0, (COUNTIF(E34:AF34, "✓") + COUNTIF(E34:AF34, "✔") + COUNTIF(E34:AF34, "v") + COUNTIF(E34:AF34, "V"))/D34, 0), IF(((COUNTIF(E34:AF34, "✓") + COUNTIF(E34:AF34, "✔") + COUNTIF(E34:AF34, "v") + COUNTIF(E34:AF34, "V")) + COUNTIF(E34:AF34, "✗") + COUNTIF(E34:AF34, "x") + COUNTIF(E34:AF34, "X"))&gt;0, (COUNTIF(E34:AF34, "✓") + COUNTIF(E34:AF34, "✔") + COUNTIF(E34:AF34, "v") + COUNTIF(E34:AF34, "V"))/((COUNTIF(E34:AF34, "✓") + COUNTIF(E34:AF34, "✔") + COUNTIF(E34:AF34, "v") + COUNTIF(E34:AF34, "V")) + COUNTIF(E34:AF34, "✗") + COUNTIF(E34:AF34, "x") + COUNTIF(E34:AF34, "X")), "")))</f>
        <v/>
      </c>
      <c r="AH34" s="131">
        <f>IF(ISBLANK(B34), "", IF(ISNUMBER(D34), IF(D34&gt;0, (COUNTIF(E34:AF34, "✓") + COUNTIF(E34:AF34, "✔") + COUNTIF(E34:AF34, "v") + COUNTIF(E34:AF34, "V")) &amp; "/" &amp; D34, (COUNTIF(E34:AF34, "✓") + COUNTIF(E34:AF34, "✔") + COUNTIF(E34:AF34, "v") + COUNTIF(E34:AF34, "V")) &amp; "/0"), IF(((COUNTIF(E34:AF34, "✓") + COUNTIF(E34:AF34, "✔") + COUNTIF(E34:AF34, "v") + COUNTIF(E34:AF34, "V")) + COUNTIF(E34:AF34, "✗") + COUNTIF(E34:AF34, "x") + COUNTIF(E34:AF34, "X"))&gt;0, (COUNTIF(E34:AF34, "✓") + COUNTIF(E34:AF34, "✔") + COUNTIF(E34:AF34, "v") + COUNTIF(E34:AF34, "V")) &amp; "/" &amp; ((COUNTIF(E34:AF34, "✓") + COUNTIF(E34:AF34, "✔") + COUNTIF(E34:AF34, "v") + COUNTIF(E34:AF34, "V")) + COUNTIF(E34:AF34, "✗") + COUNTIF(E34:AF34, "x") + COUNTIF(E34:AF34, "X")), "")))</f>
        <v/>
      </c>
      <c r="AI34" s="131">
        <f>IF(ISBLANK(B34), "", IF(AG34&gt;=0.85, "🔥 Mastered", IF(AG34&gt;=0.7, "⚡ Consistent", "⚠️ Needs Focus")))</f>
        <v/>
      </c>
      <c r="AJ34">
        <f>COUNTIF(E34:AF34, "✓")</f>
        <v/>
      </c>
    </row>
    <row r="35" ht="14.5" customHeight="1">
      <c r="A35" s="125" t="n">
        <v>18</v>
      </c>
      <c r="B35" s="126" t="n"/>
      <c r="C35" s="127" t="n"/>
      <c r="D35" s="127" t="n"/>
      <c r="E35" s="128" t="n"/>
      <c r="F35" s="128" t="n"/>
      <c r="G35" s="128" t="n"/>
      <c r="H35" s="129" t="n"/>
      <c r="I35" s="128" t="n"/>
      <c r="J35" s="128" t="n"/>
      <c r="K35" s="128" t="n"/>
      <c r="L35" s="128" t="n"/>
      <c r="M35" s="128" t="n"/>
      <c r="N35" s="128" t="n"/>
      <c r="O35" s="129" t="n"/>
      <c r="P35" s="128" t="n"/>
      <c r="Q35" s="128" t="n"/>
      <c r="R35" s="128" t="n"/>
      <c r="S35" s="128" t="n"/>
      <c r="T35" s="128" t="n"/>
      <c r="U35" s="128" t="n"/>
      <c r="V35" s="129" t="n"/>
      <c r="W35" s="128" t="n"/>
      <c r="X35" s="128" t="n"/>
      <c r="Y35" s="128" t="n"/>
      <c r="Z35" s="128" t="n"/>
      <c r="AA35" s="128" t="n"/>
      <c r="AB35" s="128" t="n"/>
      <c r="AC35" s="129" t="n"/>
      <c r="AD35" s="128" t="n"/>
      <c r="AE35" s="128" t="n"/>
      <c r="AF35" s="128" t="n"/>
      <c r="AG35" s="130">
        <f>IF(ISBLANK(B35), "", IF(ISNUMBER(D35), IF(D35&gt;0, (COUNTIF(E35:AF35, "✓") + COUNTIF(E35:AF35, "✔") + COUNTIF(E35:AF35, "v") + COUNTIF(E35:AF35, "V"))/D35, 0), IF(((COUNTIF(E35:AF35, "✓") + COUNTIF(E35:AF35, "✔") + COUNTIF(E35:AF35, "v") + COUNTIF(E35:AF35, "V")) + COUNTIF(E35:AF35, "✗") + COUNTIF(E35:AF35, "x") + COUNTIF(E35:AF35, "X"))&gt;0, (COUNTIF(E35:AF35, "✓") + COUNTIF(E35:AF35, "✔") + COUNTIF(E35:AF35, "v") + COUNTIF(E35:AF35, "V"))/((COUNTIF(E35:AF35, "✓") + COUNTIF(E35:AF35, "✔") + COUNTIF(E35:AF35, "v") + COUNTIF(E35:AF35, "V")) + COUNTIF(E35:AF35, "✗") + COUNTIF(E35:AF35, "x") + COUNTIF(E35:AF35, "X")), "")))</f>
        <v/>
      </c>
      <c r="AH35" s="131">
        <f>IF(ISBLANK(B35), "", IF(ISNUMBER(D35), IF(D35&gt;0, (COUNTIF(E35:AF35, "✓") + COUNTIF(E35:AF35, "✔") + COUNTIF(E35:AF35, "v") + COUNTIF(E35:AF35, "V")) &amp; "/" &amp; D35, (COUNTIF(E35:AF35, "✓") + COUNTIF(E35:AF35, "✔") + COUNTIF(E35:AF35, "v") + COUNTIF(E35:AF35, "V")) &amp; "/0"), IF(((COUNTIF(E35:AF35, "✓") + COUNTIF(E35:AF35, "✔") + COUNTIF(E35:AF35, "v") + COUNTIF(E35:AF35, "V")) + COUNTIF(E35:AF35, "✗") + COUNTIF(E35:AF35, "x") + COUNTIF(E35:AF35, "X"))&gt;0, (COUNTIF(E35:AF35, "✓") + COUNTIF(E35:AF35, "✔") + COUNTIF(E35:AF35, "v") + COUNTIF(E35:AF35, "V")) &amp; "/" &amp; ((COUNTIF(E35:AF35, "✓") + COUNTIF(E35:AF35, "✔") + COUNTIF(E35:AF35, "v") + COUNTIF(E35:AF35, "V")) + COUNTIF(E35:AF35, "✗") + COUNTIF(E35:AF35, "x") + COUNTIF(E35:AF35, "X")), "")))</f>
        <v/>
      </c>
      <c r="AI35" s="131">
        <f>IF(ISBLANK(B35), "", IF(AG35&gt;=0.85, "🔥 Mastered", IF(AG35&gt;=0.7, "⚡ Consistent", "⚠️ Needs Focus")))</f>
        <v/>
      </c>
      <c r="AJ35">
        <f>COUNTIF(E35:AF35, "✓")</f>
        <v/>
      </c>
    </row>
    <row r="36" ht="14.5" customHeight="1">
      <c r="A36" s="125" t="n">
        <v>19</v>
      </c>
      <c r="B36" s="126" t="n"/>
      <c r="C36" s="127" t="n"/>
      <c r="D36" s="127" t="n"/>
      <c r="E36" s="128" t="n"/>
      <c r="F36" s="128" t="n"/>
      <c r="G36" s="128" t="n"/>
      <c r="H36" s="129" t="n"/>
      <c r="I36" s="128" t="n"/>
      <c r="J36" s="128" t="n"/>
      <c r="K36" s="128" t="n"/>
      <c r="L36" s="128" t="n"/>
      <c r="M36" s="128" t="n"/>
      <c r="N36" s="128" t="n"/>
      <c r="O36" s="129" t="n"/>
      <c r="P36" s="128" t="n"/>
      <c r="Q36" s="128" t="n"/>
      <c r="R36" s="128" t="n"/>
      <c r="S36" s="128" t="n"/>
      <c r="T36" s="128" t="n"/>
      <c r="U36" s="128" t="n"/>
      <c r="V36" s="129" t="n"/>
      <c r="W36" s="128" t="n"/>
      <c r="X36" s="128" t="n"/>
      <c r="Y36" s="128" t="n"/>
      <c r="Z36" s="128" t="n"/>
      <c r="AA36" s="128" t="n"/>
      <c r="AB36" s="128" t="n"/>
      <c r="AC36" s="129" t="n"/>
      <c r="AD36" s="128" t="n"/>
      <c r="AE36" s="128" t="n"/>
      <c r="AF36" s="128" t="n"/>
      <c r="AG36" s="130">
        <f>IF(ISBLANK(B36), "", IF(ISNUMBER(D36), IF(D36&gt;0, (COUNTIF(E36:AF36, "✓") + COUNTIF(E36:AF36, "✔") + COUNTIF(E36:AF36, "v") + COUNTIF(E36:AF36, "V"))/D36, 0), IF(((COUNTIF(E36:AF36, "✓") + COUNTIF(E36:AF36, "✔") + COUNTIF(E36:AF36, "v") + COUNTIF(E36:AF36, "V")) + COUNTIF(E36:AF36, "✗") + COUNTIF(E36:AF36, "x") + COUNTIF(E36:AF36, "X"))&gt;0, (COUNTIF(E36:AF36, "✓") + COUNTIF(E36:AF36, "✔") + COUNTIF(E36:AF36, "v") + COUNTIF(E36:AF36, "V"))/((COUNTIF(E36:AF36, "✓") + COUNTIF(E36:AF36, "✔") + COUNTIF(E36:AF36, "v") + COUNTIF(E36:AF36, "V")) + COUNTIF(E36:AF36, "✗") + COUNTIF(E36:AF36, "x") + COUNTIF(E36:AF36, "X")), "")))</f>
        <v/>
      </c>
      <c r="AH36" s="131">
        <f>IF(ISBLANK(B36), "", IF(ISNUMBER(D36), IF(D36&gt;0, (COUNTIF(E36:AF36, "✓") + COUNTIF(E36:AF36, "✔") + COUNTIF(E36:AF36, "v") + COUNTIF(E36:AF36, "V")) &amp; "/" &amp; D36, (COUNTIF(E36:AF36, "✓") + COUNTIF(E36:AF36, "✔") + COUNTIF(E36:AF36, "v") + COUNTIF(E36:AF36, "V")) &amp; "/0"), IF(((COUNTIF(E36:AF36, "✓") + COUNTIF(E36:AF36, "✔") + COUNTIF(E36:AF36, "v") + COUNTIF(E36:AF36, "V")) + COUNTIF(E36:AF36, "✗") + COUNTIF(E36:AF36, "x") + COUNTIF(E36:AF36, "X"))&gt;0, (COUNTIF(E36:AF36, "✓") + COUNTIF(E36:AF36, "✔") + COUNTIF(E36:AF36, "v") + COUNTIF(E36:AF36, "V")) &amp; "/" &amp; ((COUNTIF(E36:AF36, "✓") + COUNTIF(E36:AF36, "✔") + COUNTIF(E36:AF36, "v") + COUNTIF(E36:AF36, "V")) + COUNTIF(E36:AF36, "✗") + COUNTIF(E36:AF36, "x") + COUNTIF(E36:AF36, "X")), "")))</f>
        <v/>
      </c>
      <c r="AI36" s="131">
        <f>IF(ISBLANK(B36), "", IF(AG36&gt;=0.85, "🔥 Mastered", IF(AG36&gt;=0.7, "⚡ Consistent", "⚠️ Needs Focus")))</f>
        <v/>
      </c>
      <c r="AJ36">
        <f>COUNTIF(E36:AF36, "✓")</f>
        <v/>
      </c>
    </row>
    <row r="37" ht="14.5" customHeight="1">
      <c r="A37" s="125" t="n">
        <v>20</v>
      </c>
      <c r="B37" s="126" t="n"/>
      <c r="C37" s="127" t="n"/>
      <c r="D37" s="127" t="n"/>
      <c r="E37" s="128" t="n"/>
      <c r="F37" s="128" t="n"/>
      <c r="G37" s="128" t="n"/>
      <c r="H37" s="129" t="n"/>
      <c r="I37" s="128" t="n"/>
      <c r="J37" s="128" t="n"/>
      <c r="K37" s="128" t="n"/>
      <c r="L37" s="128" t="n"/>
      <c r="M37" s="128" t="n"/>
      <c r="N37" s="128" t="n"/>
      <c r="O37" s="129" t="n"/>
      <c r="P37" s="128" t="n"/>
      <c r="Q37" s="128" t="n"/>
      <c r="R37" s="128" t="n"/>
      <c r="S37" s="128" t="n"/>
      <c r="T37" s="128" t="n"/>
      <c r="U37" s="128" t="n"/>
      <c r="V37" s="129" t="n"/>
      <c r="W37" s="128" t="n"/>
      <c r="X37" s="128" t="n"/>
      <c r="Y37" s="128" t="n"/>
      <c r="Z37" s="128" t="n"/>
      <c r="AA37" s="128" t="n"/>
      <c r="AB37" s="128" t="n"/>
      <c r="AC37" s="129" t="n"/>
      <c r="AD37" s="128" t="n"/>
      <c r="AE37" s="128" t="n"/>
      <c r="AF37" s="128" t="n"/>
      <c r="AG37" s="130">
        <f>IF(ISBLANK(B37), "", IF(ISNUMBER(D37), IF(D37&gt;0, (COUNTIF(E37:AF37, "✓") + COUNTIF(E37:AF37, "✔") + COUNTIF(E37:AF37, "v") + COUNTIF(E37:AF37, "V"))/D37, 0), IF(((COUNTIF(E37:AF37, "✓") + COUNTIF(E37:AF37, "✔") + COUNTIF(E37:AF37, "v") + COUNTIF(E37:AF37, "V")) + COUNTIF(E37:AF37, "✗") + COUNTIF(E37:AF37, "x") + COUNTIF(E37:AF37, "X"))&gt;0, (COUNTIF(E37:AF37, "✓") + COUNTIF(E37:AF37, "✔") + COUNTIF(E37:AF37, "v") + COUNTIF(E37:AF37, "V"))/((COUNTIF(E37:AF37, "✓") + COUNTIF(E37:AF37, "✔") + COUNTIF(E37:AF37, "v") + COUNTIF(E37:AF37, "V")) + COUNTIF(E37:AF37, "✗") + COUNTIF(E37:AF37, "x") + COUNTIF(E37:AF37, "X")), "")))</f>
        <v/>
      </c>
      <c r="AH37" s="131">
        <f>IF(ISBLANK(B37), "", IF(ISNUMBER(D37), IF(D37&gt;0, (COUNTIF(E37:AF37, "✓") + COUNTIF(E37:AF37, "✔") + COUNTIF(E37:AF37, "v") + COUNTIF(E37:AF37, "V")) &amp; "/" &amp; D37, (COUNTIF(E37:AF37, "✓") + COUNTIF(E37:AF37, "✔") + COUNTIF(E37:AF37, "v") + COUNTIF(E37:AF37, "V")) &amp; "/0"), IF(((COUNTIF(E37:AF37, "✓") + COUNTIF(E37:AF37, "✔") + COUNTIF(E37:AF37, "v") + COUNTIF(E37:AF37, "V")) + COUNTIF(E37:AF37, "✗") + COUNTIF(E37:AF37, "x") + COUNTIF(E37:AF37, "X"))&gt;0, (COUNTIF(E37:AF37, "✓") + COUNTIF(E37:AF37, "✔") + COUNTIF(E37:AF37, "v") + COUNTIF(E37:AF37, "V")) &amp; "/" &amp; ((COUNTIF(E37:AF37, "✓") + COUNTIF(E37:AF37, "✔") + COUNTIF(E37:AF37, "v") + COUNTIF(E37:AF37, "V")) + COUNTIF(E37:AF37, "✗") + COUNTIF(E37:AF37, "x") + COUNTIF(E37:AF37, "X")), "")))</f>
        <v/>
      </c>
      <c r="AI37" s="131">
        <f>IF(ISBLANK(B37), "", IF(AG37&gt;=0.85, "🔥 Mastered", IF(AG37&gt;=0.7, "⚡ Consistent", "⚠️ Needs Focus")))</f>
        <v/>
      </c>
      <c r="AJ37">
        <f>COUNTIF(E37:AF37, "✓")</f>
        <v/>
      </c>
    </row>
    <row r="38" ht="18" customHeight="1">
      <c r="A38" s="132" t="inlineStr">
        <is>
          <t>DAILY TOTAL SCORE</t>
        </is>
      </c>
      <c r="B38" s="54" t="n"/>
      <c r="C38" s="54" t="n"/>
      <c r="D38" s="54" t="n"/>
      <c r="E38" s="33">
        <f>IF(((COUNTIF(E18:E37, "✓") + COUNTIF(E18:E37, "✔") + COUNTIF(E18:E37, "v") + COUNTIF(E18:E37, "V")) + COUNTIF(E18:E37, "✗") + COUNTIF(E18:E37, "x") + COUNTIF(E18:E37, "X")) &gt; 0, (COUNTIF(E18:E37, "✓") + COUNTIF(E18:E37, "✔") + COUNTIF(E18:E37, "v") + COUNTIF(E18:E37, "V")) &amp; "/" &amp; ((COUNTIF(E18:E37, "✓") + COUNTIF(E18:E37, "✔") + COUNTIF(E18:E37, "v") + COUNTIF(E18:E37, "V")) + COUNTIF(E18:E37, "✗") + COUNTIF(E18:E37, "x") + COUNTIF(E18:E37, "X")), "")</f>
        <v/>
      </c>
      <c r="F38" s="33">
        <f>IF(((COUNTIF(F18:F37, "✓") + COUNTIF(F18:F37, "✔") + COUNTIF(F18:F37, "v") + COUNTIF(F18:F37, "V")) + COUNTIF(F18:F37, "✗") + COUNTIF(F18:F37, "x") + COUNTIF(F18:F37, "X")) &gt; 0, (COUNTIF(F18:F37, "✓") + COUNTIF(F18:F37, "✔") + COUNTIF(F18:F37, "v") + COUNTIF(F18:F37, "V")) &amp; "/" &amp; ((COUNTIF(F18:F37, "✓") + COUNTIF(F18:F37, "✔") + COUNTIF(F18:F37, "v") + COUNTIF(F18:F37, "V")) + COUNTIF(F18:F37, "✗") + COUNTIF(F18:F37, "x") + COUNTIF(F18:F37, "X")), "")</f>
        <v/>
      </c>
      <c r="G38" s="33">
        <f>IF(((COUNTIF(G18:G37, "✓") + COUNTIF(G18:G37, "✔") + COUNTIF(G18:G37, "v") + COUNTIF(G18:G37, "V")) + COUNTIF(G18:G37, "✗") + COUNTIF(G18:G37, "x") + COUNTIF(G18:G37, "X")) &gt; 0, (COUNTIF(G18:G37, "✓") + COUNTIF(G18:G37, "✔") + COUNTIF(G18:G37, "v") + COUNTIF(G18:G37, "V")) &amp; "/" &amp; ((COUNTIF(G18:G37, "✓") + COUNTIF(G18:G37, "✔") + COUNTIF(G18:G37, "v") + COUNTIF(G18:G37, "V")) + COUNTIF(G18:G37, "✗") + COUNTIF(G18:G37, "x") + COUNTIF(G18:G37, "X")), "")</f>
        <v/>
      </c>
      <c r="H38" s="33">
        <f>IF(((COUNTIF(H18:H37, "✓") + COUNTIF(H18:H37, "✔") + COUNTIF(H18:H37, "v") + COUNTIF(H18:H37, "V")) + COUNTIF(H18:H37, "✗") + COUNTIF(H18:H37, "x") + COUNTIF(H18:H37, "X")) &gt; 0, (COUNTIF(H18:H37, "✓") + COUNTIF(H18:H37, "✔") + COUNTIF(H18:H37, "v") + COUNTIF(H18:H37, "V")) &amp; "/" &amp; ((COUNTIF(H18:H37, "✓") + COUNTIF(H18:H37, "✔") + COUNTIF(H18:H37, "v") + COUNTIF(H18:H37, "V")) + COUNTIF(H18:H37, "✗") + COUNTIF(H18:H37, "x") + COUNTIF(H18:H37, "X")), "")</f>
        <v/>
      </c>
      <c r="I38" s="33">
        <f>IF(((COUNTIF(I18:I37, "✓") + COUNTIF(I18:I37, "✔") + COUNTIF(I18:I37, "v") + COUNTIF(I18:I37, "V")) + COUNTIF(I18:I37, "✗") + COUNTIF(I18:I37, "x") + COUNTIF(I18:I37, "X")) &gt; 0, (COUNTIF(I18:I37, "✓") + COUNTIF(I18:I37, "✔") + COUNTIF(I18:I37, "v") + COUNTIF(I18:I37, "V")) &amp; "/" &amp; ((COUNTIF(I18:I37, "✓") + COUNTIF(I18:I37, "✔") + COUNTIF(I18:I37, "v") + COUNTIF(I18:I37, "V")) + COUNTIF(I18:I37, "✗") + COUNTIF(I18:I37, "x") + COUNTIF(I18:I37, "X")), "")</f>
        <v/>
      </c>
      <c r="J38" s="33">
        <f>IF(((COUNTIF(J18:J37, "✓") + COUNTIF(J18:J37, "✔") + COUNTIF(J18:J37, "v") + COUNTIF(J18:J37, "V")) + COUNTIF(J18:J37, "✗") + COUNTIF(J18:J37, "x") + COUNTIF(J18:J37, "X")) &gt; 0, (COUNTIF(J18:J37, "✓") + COUNTIF(J18:J37, "✔") + COUNTIF(J18:J37, "v") + COUNTIF(J18:J37, "V")) &amp; "/" &amp; ((COUNTIF(J18:J37, "✓") + COUNTIF(J18:J37, "✔") + COUNTIF(J18:J37, "v") + COUNTIF(J18:J37, "V")) + COUNTIF(J18:J37, "✗") + COUNTIF(J18:J37, "x") + COUNTIF(J18:J37, "X")), "")</f>
        <v/>
      </c>
      <c r="K38" s="33">
        <f>IF(((COUNTIF(K18:K37, "✓") + COUNTIF(K18:K37, "✔") + COUNTIF(K18:K37, "v") + COUNTIF(K18:K37, "V")) + COUNTIF(K18:K37, "✗") + COUNTIF(K18:K37, "x") + COUNTIF(K18:K37, "X")) &gt; 0, (COUNTIF(K18:K37, "✓") + COUNTIF(K18:K37, "✔") + COUNTIF(K18:K37, "v") + COUNTIF(K18:K37, "V")) &amp; "/" &amp; ((COUNTIF(K18:K37, "✓") + COUNTIF(K18:K37, "✔") + COUNTIF(K18:K37, "v") + COUNTIF(K18:K37, "V")) + COUNTIF(K18:K37, "✗") + COUNTIF(K18:K37, "x") + COUNTIF(K18:K37, "X")), "")</f>
        <v/>
      </c>
      <c r="L38" s="33">
        <f>IF(((COUNTIF(L18:L37, "✓") + COUNTIF(L18:L37, "✔") + COUNTIF(L18:L37, "v") + COUNTIF(L18:L37, "V")) + COUNTIF(L18:L37, "✗") + COUNTIF(L18:L37, "x") + COUNTIF(L18:L37, "X")) &gt; 0, (COUNTIF(L18:L37, "✓") + COUNTIF(L18:L37, "✔") + COUNTIF(L18:L37, "v") + COUNTIF(L18:L37, "V")) &amp; "/" &amp; ((COUNTIF(L18:L37, "✓") + COUNTIF(L18:L37, "✔") + COUNTIF(L18:L37, "v") + COUNTIF(L18:L37, "V")) + COUNTIF(L18:L37, "✗") + COUNTIF(L18:L37, "x") + COUNTIF(L18:L37, "X")), "")</f>
        <v/>
      </c>
      <c r="M38" s="33">
        <f>IF(((COUNTIF(M18:M37, "✓") + COUNTIF(M18:M37, "✔") + COUNTIF(M18:M37, "v") + COUNTIF(M18:M37, "V")) + COUNTIF(M18:M37, "✗") + COUNTIF(M18:M37, "x") + COUNTIF(M18:M37, "X")) &gt; 0, (COUNTIF(M18:M37, "✓") + COUNTIF(M18:M37, "✔") + COUNTIF(M18:M37, "v") + COUNTIF(M18:M37, "V")) &amp; "/" &amp; ((COUNTIF(M18:M37, "✓") + COUNTIF(M18:M37, "✔") + COUNTIF(M18:M37, "v") + COUNTIF(M18:M37, "V")) + COUNTIF(M18:M37, "✗") + COUNTIF(M18:M37, "x") + COUNTIF(M18:M37, "X")), "")</f>
        <v/>
      </c>
      <c r="N38" s="33">
        <f>IF(((COUNTIF(N18:N37, "✓") + COUNTIF(N18:N37, "✔") + COUNTIF(N18:N37, "v") + COUNTIF(N18:N37, "V")) + COUNTIF(N18:N37, "✗") + COUNTIF(N18:N37, "x") + COUNTIF(N18:N37, "X")) &gt; 0, (COUNTIF(N18:N37, "✓") + COUNTIF(N18:N37, "✔") + COUNTIF(N18:N37, "v") + COUNTIF(N18:N37, "V")) &amp; "/" &amp; ((COUNTIF(N18:N37, "✓") + COUNTIF(N18:N37, "✔") + COUNTIF(N18:N37, "v") + COUNTIF(N18:N37, "V")) + COUNTIF(N18:N37, "✗") + COUNTIF(N18:N37, "x") + COUNTIF(N18:N37, "X")), "")</f>
        <v/>
      </c>
      <c r="O38" s="33">
        <f>IF(((COUNTIF(O18:O37, "✓") + COUNTIF(O18:O37, "✔") + COUNTIF(O18:O37, "v") + COUNTIF(O18:O37, "V")) + COUNTIF(O18:O37, "✗") + COUNTIF(O18:O37, "x") + COUNTIF(O18:O37, "X")) &gt; 0, (COUNTIF(O18:O37, "✓") + COUNTIF(O18:O37, "✔") + COUNTIF(O18:O37, "v") + COUNTIF(O18:O37, "V")) &amp; "/" &amp; ((COUNTIF(O18:O37, "✓") + COUNTIF(O18:O37, "✔") + COUNTIF(O18:O37, "v") + COUNTIF(O18:O37, "V")) + COUNTIF(O18:O37, "✗") + COUNTIF(O18:O37, "x") + COUNTIF(O18:O37, "X")), "")</f>
        <v/>
      </c>
      <c r="P38" s="33">
        <f>IF(((COUNTIF(P18:P37, "✓") + COUNTIF(P18:P37, "✔") + COUNTIF(P18:P37, "v") + COUNTIF(P18:P37, "V")) + COUNTIF(P18:P37, "✗") + COUNTIF(P18:P37, "x") + COUNTIF(P18:P37, "X")) &gt; 0, (COUNTIF(P18:P37, "✓") + COUNTIF(P18:P37, "✔") + COUNTIF(P18:P37, "v") + COUNTIF(P18:P37, "V")) &amp; "/" &amp; ((COUNTIF(P18:P37, "✓") + COUNTIF(P18:P37, "✔") + COUNTIF(P18:P37, "v") + COUNTIF(P18:P37, "V")) + COUNTIF(P18:P37, "✗") + COUNTIF(P18:P37, "x") + COUNTIF(P18:P37, "X")), "")</f>
        <v/>
      </c>
      <c r="Q38" s="33">
        <f>IF(((COUNTIF(Q18:Q37, "✓") + COUNTIF(Q18:Q37, "✔") + COUNTIF(Q18:Q37, "v") + COUNTIF(Q18:Q37, "V")) + COUNTIF(Q18:Q37, "✗") + COUNTIF(Q18:Q37, "x") + COUNTIF(Q18:Q37, "X")) &gt; 0, (COUNTIF(Q18:Q37, "✓") + COUNTIF(Q18:Q37, "✔") + COUNTIF(Q18:Q37, "v") + COUNTIF(Q18:Q37, "V")) &amp; "/" &amp; ((COUNTIF(Q18:Q37, "✓") + COUNTIF(Q18:Q37, "✔") + COUNTIF(Q18:Q37, "v") + COUNTIF(Q18:Q37, "V")) + COUNTIF(Q18:Q37, "✗") + COUNTIF(Q18:Q37, "x") + COUNTIF(Q18:Q37, "X")), "")</f>
        <v/>
      </c>
      <c r="R38" s="33">
        <f>IF(((COUNTIF(R18:R37, "✓") + COUNTIF(R18:R37, "✔") + COUNTIF(R18:R37, "v") + COUNTIF(R18:R37, "V")) + COUNTIF(R18:R37, "✗") + COUNTIF(R18:R37, "x") + COUNTIF(R18:R37, "X")) &gt; 0, (COUNTIF(R18:R37, "✓") + COUNTIF(R18:R37, "✔") + COUNTIF(R18:R37, "v") + COUNTIF(R18:R37, "V")) &amp; "/" &amp; ((COUNTIF(R18:R37, "✓") + COUNTIF(R18:R37, "✔") + COUNTIF(R18:R37, "v") + COUNTIF(R18:R37, "V")) + COUNTIF(R18:R37, "✗") + COUNTIF(R18:R37, "x") + COUNTIF(R18:R37, "X")), "")</f>
        <v/>
      </c>
      <c r="S38" s="33">
        <f>IF(((COUNTIF(S18:S37, "✓") + COUNTIF(S18:S37, "✔") + COUNTIF(S18:S37, "v") + COUNTIF(S18:S37, "V")) + COUNTIF(S18:S37, "✗") + COUNTIF(S18:S37, "x") + COUNTIF(S18:S37, "X")) &gt; 0, (COUNTIF(S18:S37, "✓") + COUNTIF(S18:S37, "✔") + COUNTIF(S18:S37, "v") + COUNTIF(S18:S37, "V")) &amp; "/" &amp; ((COUNTIF(S18:S37, "✓") + COUNTIF(S18:S37, "✔") + COUNTIF(S18:S37, "v") + COUNTIF(S18:S37, "V")) + COUNTIF(S18:S37, "✗") + COUNTIF(S18:S37, "x") + COUNTIF(S18:S37, "X")), "")</f>
        <v/>
      </c>
      <c r="T38" s="33">
        <f>IF(((COUNTIF(T18:T37, "✓") + COUNTIF(T18:T37, "✔") + COUNTIF(T18:T37, "v") + COUNTIF(T18:T37, "V")) + COUNTIF(T18:T37, "✗") + COUNTIF(T18:T37, "x") + COUNTIF(T18:T37, "X")) &gt; 0, (COUNTIF(T18:T37, "✓") + COUNTIF(T18:T37, "✔") + COUNTIF(T18:T37, "v") + COUNTIF(T18:T37, "V")) &amp; "/" &amp; ((COUNTIF(T18:T37, "✓") + COUNTIF(T18:T37, "✔") + COUNTIF(T18:T37, "v") + COUNTIF(T18:T37, "V")) + COUNTIF(T18:T37, "✗") + COUNTIF(T18:T37, "x") + COUNTIF(T18:T37, "X")), "")</f>
        <v/>
      </c>
      <c r="U38" s="33">
        <f>IF(((COUNTIF(U18:U37, "✓") + COUNTIF(U18:U37, "✔") + COUNTIF(U18:U37, "v") + COUNTIF(U18:U37, "V")) + COUNTIF(U18:U37, "✗") + COUNTIF(U18:U37, "x") + COUNTIF(U18:U37, "X")) &gt; 0, (COUNTIF(U18:U37, "✓") + COUNTIF(U18:U37, "✔") + COUNTIF(U18:U37, "v") + COUNTIF(U18:U37, "V")) &amp; "/" &amp; ((COUNTIF(U18:U37, "✓") + COUNTIF(U18:U37, "✔") + COUNTIF(U18:U37, "v") + COUNTIF(U18:U37, "V")) + COUNTIF(U18:U37, "✗") + COUNTIF(U18:U37, "x") + COUNTIF(U18:U37, "X")), "")</f>
        <v/>
      </c>
      <c r="V38" s="33">
        <f>IF(((COUNTIF(V18:V37, "✓") + COUNTIF(V18:V37, "✔") + COUNTIF(V18:V37, "v") + COUNTIF(V18:V37, "V")) + COUNTIF(V18:V37, "✗") + COUNTIF(V18:V37, "x") + COUNTIF(V18:V37, "X")) &gt; 0, (COUNTIF(V18:V37, "✓") + COUNTIF(V18:V37, "✔") + COUNTIF(V18:V37, "v") + COUNTIF(V18:V37, "V")) &amp; "/" &amp; ((COUNTIF(V18:V37, "✓") + COUNTIF(V18:V37, "✔") + COUNTIF(V18:V37, "v") + COUNTIF(V18:V37, "V")) + COUNTIF(V18:V37, "✗") + COUNTIF(V18:V37, "x") + COUNTIF(V18:V37, "X")), "")</f>
        <v/>
      </c>
      <c r="W38" s="33">
        <f>IF(((COUNTIF(W18:W37, "✓") + COUNTIF(W18:W37, "✔") + COUNTIF(W18:W37, "v") + COUNTIF(W18:W37, "V")) + COUNTIF(W18:W37, "✗") + COUNTIF(W18:W37, "x") + COUNTIF(W18:W37, "X")) &gt; 0, (COUNTIF(W18:W37, "✓") + COUNTIF(W18:W37, "✔") + COUNTIF(W18:W37, "v") + COUNTIF(W18:W37, "V")) &amp; "/" &amp; ((COUNTIF(W18:W37, "✓") + COUNTIF(W18:W37, "✔") + COUNTIF(W18:W37, "v") + COUNTIF(W18:W37, "V")) + COUNTIF(W18:W37, "✗") + COUNTIF(W18:W37, "x") + COUNTIF(W18:W37, "X")), "")</f>
        <v/>
      </c>
      <c r="X38" s="33">
        <f>IF(((COUNTIF(X18:X37, "✓") + COUNTIF(X18:X37, "✔") + COUNTIF(X18:X37, "v") + COUNTIF(X18:X37, "V")) + COUNTIF(X18:X37, "✗") + COUNTIF(X18:X37, "x") + COUNTIF(X18:X37, "X")) &gt; 0, (COUNTIF(X18:X37, "✓") + COUNTIF(X18:X37, "✔") + COUNTIF(X18:X37, "v") + COUNTIF(X18:X37, "V")) &amp; "/" &amp; ((COUNTIF(X18:X37, "✓") + COUNTIF(X18:X37, "✔") + COUNTIF(X18:X37, "v") + COUNTIF(X18:X37, "V")) + COUNTIF(X18:X37, "✗") + COUNTIF(X18:X37, "x") + COUNTIF(X18:X37, "X")), "")</f>
        <v/>
      </c>
      <c r="Y38" s="33">
        <f>IF(((COUNTIF(Y18:Y37, "✓") + COUNTIF(Y18:Y37, "✔") + COUNTIF(Y18:Y37, "v") + COUNTIF(Y18:Y37, "V")) + COUNTIF(Y18:Y37, "✗") + COUNTIF(Y18:Y37, "x") + COUNTIF(Y18:Y37, "X")) &gt; 0, (COUNTIF(Y18:Y37, "✓") + COUNTIF(Y18:Y37, "✔") + COUNTIF(Y18:Y37, "v") + COUNTIF(Y18:Y37, "V")) &amp; "/" &amp; ((COUNTIF(Y18:Y37, "✓") + COUNTIF(Y18:Y37, "✔") + COUNTIF(Y18:Y37, "v") + COUNTIF(Y18:Y37, "V")) + COUNTIF(Y18:Y37, "✗") + COUNTIF(Y18:Y37, "x") + COUNTIF(Y18:Y37, "X")), "")</f>
        <v/>
      </c>
      <c r="Z38" s="33">
        <f>IF(((COUNTIF(Z18:Z37, "✓") + COUNTIF(Z18:Z37, "✔") + COUNTIF(Z18:Z37, "v") + COUNTIF(Z18:Z37, "V")) + COUNTIF(Z18:Z37, "✗") + COUNTIF(Z18:Z37, "x") + COUNTIF(Z18:Z37, "X")) &gt; 0, (COUNTIF(Z18:Z37, "✓") + COUNTIF(Z18:Z37, "✔") + COUNTIF(Z18:Z37, "v") + COUNTIF(Z18:Z37, "V")) &amp; "/" &amp; ((COUNTIF(Z18:Z37, "✓") + COUNTIF(Z18:Z37, "✔") + COUNTIF(Z18:Z37, "v") + COUNTIF(Z18:Z37, "V")) + COUNTIF(Z18:Z37, "✗") + COUNTIF(Z18:Z37, "x") + COUNTIF(Z18:Z37, "X")), "")</f>
        <v/>
      </c>
      <c r="AA38" s="33">
        <f>IF(((COUNTIF(AA18:AA37, "✓") + COUNTIF(AA18:AA37, "✔") + COUNTIF(AA18:AA37, "v") + COUNTIF(AA18:AA37, "V")) + COUNTIF(AA18:AA37, "✗") + COUNTIF(AA18:AA37, "x") + COUNTIF(AA18:AA37, "X")) &gt; 0, (COUNTIF(AA18:AA37, "✓") + COUNTIF(AA18:AA37, "✔") + COUNTIF(AA18:AA37, "v") + COUNTIF(AA18:AA37, "V")) &amp; "/" &amp; ((COUNTIF(AA18:AA37, "✓") + COUNTIF(AA18:AA37, "✔") + COUNTIF(AA18:AA37, "v") + COUNTIF(AA18:AA37, "V")) + COUNTIF(AA18:AA37, "✗") + COUNTIF(AA18:AA37, "x") + COUNTIF(AA18:AA37, "X")), "")</f>
        <v/>
      </c>
      <c r="AB38" s="33">
        <f>IF(((COUNTIF(AB18:AB37, "✓") + COUNTIF(AB18:AB37, "✔") + COUNTIF(AB18:AB37, "v") + COUNTIF(AB18:AB37, "V")) + COUNTIF(AB18:AB37, "✗") + COUNTIF(AB18:AB37, "x") + COUNTIF(AB18:AB37, "X")) &gt; 0, (COUNTIF(AB18:AB37, "✓") + COUNTIF(AB18:AB37, "✔") + COUNTIF(AB18:AB37, "v") + COUNTIF(AB18:AB37, "V")) &amp; "/" &amp; ((COUNTIF(AB18:AB37, "✓") + COUNTIF(AB18:AB37, "✔") + COUNTIF(AB18:AB37, "v") + COUNTIF(AB18:AB37, "V")) + COUNTIF(AB18:AB37, "✗") + COUNTIF(AB18:AB37, "x") + COUNTIF(AB18:AB37, "X")), "")</f>
        <v/>
      </c>
      <c r="AC38" s="33">
        <f>IF(((COUNTIF(AC18:AC37, "✓") + COUNTIF(AC18:AC37, "✔") + COUNTIF(AC18:AC37, "v") + COUNTIF(AC18:AC37, "V")) + COUNTIF(AC18:AC37, "✗") + COUNTIF(AC18:AC37, "x") + COUNTIF(AC18:AC37, "X")) &gt; 0, (COUNTIF(AC18:AC37, "✓") + COUNTIF(AC18:AC37, "✔") + COUNTIF(AC18:AC37, "v") + COUNTIF(AC18:AC37, "V")) &amp; "/" &amp; ((COUNTIF(AC18:AC37, "✓") + COUNTIF(AC18:AC37, "✔") + COUNTIF(AC18:AC37, "v") + COUNTIF(AC18:AC37, "V")) + COUNTIF(AC18:AC37, "✗") + COUNTIF(AC18:AC37, "x") + COUNTIF(AC18:AC37, "X")), "")</f>
        <v/>
      </c>
      <c r="AD38" s="33">
        <f>IF(((COUNTIF(AD18:AD37, "✓") + COUNTIF(AD18:AD37, "✔") + COUNTIF(AD18:AD37, "v") + COUNTIF(AD18:AD37, "V")) + COUNTIF(AD18:AD37, "✗") + COUNTIF(AD18:AD37, "x") + COUNTIF(AD18:AD37, "X")) &gt; 0, (COUNTIF(AD18:AD37, "✓") + COUNTIF(AD18:AD37, "✔") + COUNTIF(AD18:AD37, "v") + COUNTIF(AD18:AD37, "V")) &amp; "/" &amp; ((COUNTIF(AD18:AD37, "✓") + COUNTIF(AD18:AD37, "✔") + COUNTIF(AD18:AD37, "v") + COUNTIF(AD18:AD37, "V")) + COUNTIF(AD18:AD37, "✗") + COUNTIF(AD18:AD37, "x") + COUNTIF(AD18:AD37, "X")), "")</f>
        <v/>
      </c>
      <c r="AE38" s="33">
        <f>IF(((COUNTIF(AE18:AE37, "✓") + COUNTIF(AE18:AE37, "✔") + COUNTIF(AE18:AE37, "v") + COUNTIF(AE18:AE37, "V")) + COUNTIF(AE18:AE37, "✗") + COUNTIF(AE18:AE37, "x") + COUNTIF(AE18:AE37, "X")) &gt; 0, (COUNTIF(AE18:AE37, "✓") + COUNTIF(AE18:AE37, "✔") + COUNTIF(AE18:AE37, "v") + COUNTIF(AE18:AE37, "V")) &amp; "/" &amp; ((COUNTIF(AE18:AE37, "✓") + COUNTIF(AE18:AE37, "✔") + COUNTIF(AE18:AE37, "v") + COUNTIF(AE18:AE37, "V")) + COUNTIF(AE18:AE37, "✗") + COUNTIF(AE18:AE37, "x") + COUNTIF(AE18:AE37, "X")), "")</f>
        <v/>
      </c>
      <c r="AF38" s="33">
        <f>IF(((COUNTIF(AF18:AF37, "✓") + COUNTIF(AF18:AF37, "✔") + COUNTIF(AF18:AF37, "v") + COUNTIF(AF18:AF37, "V")) + COUNTIF(AF18:AF37, "✗") + COUNTIF(AF18:AF37, "x") + COUNTIF(AF18:AF37, "X")) &gt; 0, (COUNTIF(AF18:AF37, "✓") + COUNTIF(AF18:AF37, "✔") + COUNTIF(AF18:AF37, "v") + COUNTIF(AF18:AF37, "V")) &amp; "/" &amp; ((COUNTIF(AF18:AF37, "✓") + COUNTIF(AF18:AF37, "✔") + COUNTIF(AF18:AF37, "v") + COUNTIF(AF18:AF37, "V")) + COUNTIF(AF18:AF37, "✗") + COUNTIF(AF18:AF37, "x") + COUNTIF(AF18:AF37, "X")), "")</f>
        <v/>
      </c>
      <c r="AG38" s="133">
        <f>IF(SUM(D18:D37) &gt; 0, SUM(AJ18:AJ37) / SUM(D18:D37), "")</f>
        <v/>
      </c>
      <c r="AH38" s="33">
        <f>IF(SUM(D18:D37) &gt; 0, SUM(AJ18:AJ37) &amp; "/" &amp; SUM(D18:D37), "")</f>
        <v/>
      </c>
      <c r="AI38" s="54" t="n"/>
    </row>
    <row r="39" ht="18" customHeight="1">
      <c r="A39" s="132" t="inlineStr">
        <is>
          <t>DAILY SUCCESS %</t>
        </is>
      </c>
      <c r="B39" s="54" t="n"/>
      <c r="C39" s="54" t="n"/>
      <c r="D39" s="54" t="n"/>
      <c r="E39" s="134">
        <f>IF(((COUNTIF(E18:E37, "✓") + COUNTIF(E18:E37, "✔") + COUNTIF(E18:E37, "v") + COUNTIF(E18:E37, "V")) + COUNTIF(E18:E37, "✗") + COUNTIF(E18:E37, "x") + COUNTIF(E18:E37, "X")) &gt; 0, (COUNTIF(E18:E37, "✓") + COUNTIF(E18:E37, "✔") + COUNTIF(E18:E37, "v") + COUNTIF(E18:E37, "V")) / ((COUNTIF(E18:E37, "✓") + COUNTIF(E18:E37, "✔") + COUNTIF(E18:E37, "v") + COUNTIF(E18:E37, "V")) + COUNTIF(E18:E37, "✗") + COUNTIF(E18:E37, "x") + COUNTIF(E18:E37, "X")), "")</f>
        <v/>
      </c>
      <c r="F39" s="134">
        <f>IF(((COUNTIF(F18:F37, "✓") + COUNTIF(F18:F37, "✔") + COUNTIF(F18:F37, "v") + COUNTIF(F18:F37, "V")) + COUNTIF(F18:F37, "✗") + COUNTIF(F18:F37, "x") + COUNTIF(F18:F37, "X")) &gt; 0, (COUNTIF(F18:F37, "✓") + COUNTIF(F18:F37, "✔") + COUNTIF(F18:F37, "v") + COUNTIF(F18:F37, "V")) / ((COUNTIF(F18:F37, "✓") + COUNTIF(F18:F37, "✔") + COUNTIF(F18:F37, "v") + COUNTIF(F18:F37, "V")) + COUNTIF(F18:F37, "✗") + COUNTIF(F18:F37, "x") + COUNTIF(F18:F37, "X")), "")</f>
        <v/>
      </c>
      <c r="G39" s="134">
        <f>IF(((COUNTIF(G18:G37, "✓") + COUNTIF(G18:G37, "✔") + COUNTIF(G18:G37, "v") + COUNTIF(G18:G37, "V")) + COUNTIF(G18:G37, "✗") + COUNTIF(G18:G37, "x") + COUNTIF(G18:G37, "X")) &gt; 0, (COUNTIF(G18:G37, "✓") + COUNTIF(G18:G37, "✔") + COUNTIF(G18:G37, "v") + COUNTIF(G18:G37, "V")) / ((COUNTIF(G18:G37, "✓") + COUNTIF(G18:G37, "✔") + COUNTIF(G18:G37, "v") + COUNTIF(G18:G37, "V")) + COUNTIF(G18:G37, "✗") + COUNTIF(G18:G37, "x") + COUNTIF(G18:G37, "X")), "")</f>
        <v/>
      </c>
      <c r="H39" s="134">
        <f>IF(((COUNTIF(H18:H37, "✓") + COUNTIF(H18:H37, "✔") + COUNTIF(H18:H37, "v") + COUNTIF(H18:H37, "V")) + COUNTIF(H18:H37, "✗") + COUNTIF(H18:H37, "x") + COUNTIF(H18:H37, "X")) &gt; 0, (COUNTIF(H18:H37, "✓") + COUNTIF(H18:H37, "✔") + COUNTIF(H18:H37, "v") + COUNTIF(H18:H37, "V")) / ((COUNTIF(H18:H37, "✓") + COUNTIF(H18:H37, "✔") + COUNTIF(H18:H37, "v") + COUNTIF(H18:H37, "V")) + COUNTIF(H18:H37, "✗") + COUNTIF(H18:H37, "x") + COUNTIF(H18:H37, "X")), "")</f>
        <v/>
      </c>
      <c r="I39" s="134">
        <f>IF(((COUNTIF(I18:I37, "✓") + COUNTIF(I18:I37, "✔") + COUNTIF(I18:I37, "v") + COUNTIF(I18:I37, "V")) + COUNTIF(I18:I37, "✗") + COUNTIF(I18:I37, "x") + COUNTIF(I18:I37, "X")) &gt; 0, (COUNTIF(I18:I37, "✓") + COUNTIF(I18:I37, "✔") + COUNTIF(I18:I37, "v") + COUNTIF(I18:I37, "V")) / ((COUNTIF(I18:I37, "✓") + COUNTIF(I18:I37, "✔") + COUNTIF(I18:I37, "v") + COUNTIF(I18:I37, "V")) + COUNTIF(I18:I37, "✗") + COUNTIF(I18:I37, "x") + COUNTIF(I18:I37, "X")), "")</f>
        <v/>
      </c>
      <c r="J39" s="134">
        <f>IF(((COUNTIF(J18:J37, "✓") + COUNTIF(J18:J37, "✔") + COUNTIF(J18:J37, "v") + COUNTIF(J18:J37, "V")) + COUNTIF(J18:J37, "✗") + COUNTIF(J18:J37, "x") + COUNTIF(J18:J37, "X")) &gt; 0, (COUNTIF(J18:J37, "✓") + COUNTIF(J18:J37, "✔") + COUNTIF(J18:J37, "v") + COUNTIF(J18:J37, "V")) / ((COUNTIF(J18:J37, "✓") + COUNTIF(J18:J37, "✔") + COUNTIF(J18:J37, "v") + COUNTIF(J18:J37, "V")) + COUNTIF(J18:J37, "✗") + COUNTIF(J18:J37, "x") + COUNTIF(J18:J37, "X")), "")</f>
        <v/>
      </c>
      <c r="K39" s="134">
        <f>IF(((COUNTIF(K18:K37, "✓") + COUNTIF(K18:K37, "✔") + COUNTIF(K18:K37, "v") + COUNTIF(K18:K37, "V")) + COUNTIF(K18:K37, "✗") + COUNTIF(K18:K37, "x") + COUNTIF(K18:K37, "X")) &gt; 0, (COUNTIF(K18:K37, "✓") + COUNTIF(K18:K37, "✔") + COUNTIF(K18:K37, "v") + COUNTIF(K18:K37, "V")) / ((COUNTIF(K18:K37, "✓") + COUNTIF(K18:K37, "✔") + COUNTIF(K18:K37, "v") + COUNTIF(K18:K37, "V")) + COUNTIF(K18:K37, "✗") + COUNTIF(K18:K37, "x") + COUNTIF(K18:K37, "X")), "")</f>
        <v/>
      </c>
      <c r="L39" s="134">
        <f>IF(((COUNTIF(L18:L37, "✓") + COUNTIF(L18:L37, "✔") + COUNTIF(L18:L37, "v") + COUNTIF(L18:L37, "V")) + COUNTIF(L18:L37, "✗") + COUNTIF(L18:L37, "x") + COUNTIF(L18:L37, "X")) &gt; 0, (COUNTIF(L18:L37, "✓") + COUNTIF(L18:L37, "✔") + COUNTIF(L18:L37, "v") + COUNTIF(L18:L37, "V")) / ((COUNTIF(L18:L37, "✓") + COUNTIF(L18:L37, "✔") + COUNTIF(L18:L37, "v") + COUNTIF(L18:L37, "V")) + COUNTIF(L18:L37, "✗") + COUNTIF(L18:L37, "x") + COUNTIF(L18:L37, "X")), "")</f>
        <v/>
      </c>
      <c r="M39" s="134">
        <f>IF(((COUNTIF(M18:M37, "✓") + COUNTIF(M18:M37, "✔") + COUNTIF(M18:M37, "v") + COUNTIF(M18:M37, "V")) + COUNTIF(M18:M37, "✗") + COUNTIF(M18:M37, "x") + COUNTIF(M18:M37, "X")) &gt; 0, (COUNTIF(M18:M37, "✓") + COUNTIF(M18:M37, "✔") + COUNTIF(M18:M37, "v") + COUNTIF(M18:M37, "V")) / ((COUNTIF(M18:M37, "✓") + COUNTIF(M18:M37, "✔") + COUNTIF(M18:M37, "v") + COUNTIF(M18:M37, "V")) + COUNTIF(M18:M37, "✗") + COUNTIF(M18:M37, "x") + COUNTIF(M18:M37, "X")), "")</f>
        <v/>
      </c>
      <c r="N39" s="134">
        <f>IF(((COUNTIF(N18:N37, "✓") + COUNTIF(N18:N37, "✔") + COUNTIF(N18:N37, "v") + COUNTIF(N18:N37, "V")) + COUNTIF(N18:N37, "✗") + COUNTIF(N18:N37, "x") + COUNTIF(N18:N37, "X")) &gt; 0, (COUNTIF(N18:N37, "✓") + COUNTIF(N18:N37, "✔") + COUNTIF(N18:N37, "v") + COUNTIF(N18:N37, "V")) / ((COUNTIF(N18:N37, "✓") + COUNTIF(N18:N37, "✔") + COUNTIF(N18:N37, "v") + COUNTIF(N18:N37, "V")) + COUNTIF(N18:N37, "✗") + COUNTIF(N18:N37, "x") + COUNTIF(N18:N37, "X")), "")</f>
        <v/>
      </c>
      <c r="O39" s="134">
        <f>IF(((COUNTIF(O18:O37, "✓") + COUNTIF(O18:O37, "✔") + COUNTIF(O18:O37, "v") + COUNTIF(O18:O37, "V")) + COUNTIF(O18:O37, "✗") + COUNTIF(O18:O37, "x") + COUNTIF(O18:O37, "X")) &gt; 0, (COUNTIF(O18:O37, "✓") + COUNTIF(O18:O37, "✔") + COUNTIF(O18:O37, "v") + COUNTIF(O18:O37, "V")) / ((COUNTIF(O18:O37, "✓") + COUNTIF(O18:O37, "✔") + COUNTIF(O18:O37, "v") + COUNTIF(O18:O37, "V")) + COUNTIF(O18:O37, "✗") + COUNTIF(O18:O37, "x") + COUNTIF(O18:O37, "X")), "")</f>
        <v/>
      </c>
      <c r="P39" s="134">
        <f>IF(((COUNTIF(P18:P37, "✓") + COUNTIF(P18:P37, "✔") + COUNTIF(P18:P37, "v") + COUNTIF(P18:P37, "V")) + COUNTIF(P18:P37, "✗") + COUNTIF(P18:P37, "x") + COUNTIF(P18:P37, "X")) &gt; 0, (COUNTIF(P18:P37, "✓") + COUNTIF(P18:P37, "✔") + COUNTIF(P18:P37, "v") + COUNTIF(P18:P37, "V")) / ((COUNTIF(P18:P37, "✓") + COUNTIF(P18:P37, "✔") + COUNTIF(P18:P37, "v") + COUNTIF(P18:P37, "V")) + COUNTIF(P18:P37, "✗") + COUNTIF(P18:P37, "x") + COUNTIF(P18:P37, "X")), "")</f>
        <v/>
      </c>
      <c r="Q39" s="134">
        <f>IF(((COUNTIF(Q18:Q37, "✓") + COUNTIF(Q18:Q37, "✔") + COUNTIF(Q18:Q37, "v") + COUNTIF(Q18:Q37, "V")) + COUNTIF(Q18:Q37, "✗") + COUNTIF(Q18:Q37, "x") + COUNTIF(Q18:Q37, "X")) &gt; 0, (COUNTIF(Q18:Q37, "✓") + COUNTIF(Q18:Q37, "✔") + COUNTIF(Q18:Q37, "v") + COUNTIF(Q18:Q37, "V")) / ((COUNTIF(Q18:Q37, "✓") + COUNTIF(Q18:Q37, "✔") + COUNTIF(Q18:Q37, "v") + COUNTIF(Q18:Q37, "V")) + COUNTIF(Q18:Q37, "✗") + COUNTIF(Q18:Q37, "x") + COUNTIF(Q18:Q37, "X")), "")</f>
        <v/>
      </c>
      <c r="R39" s="134">
        <f>IF(((COUNTIF(R18:R37, "✓") + COUNTIF(R18:R37, "✔") + COUNTIF(R18:R37, "v") + COUNTIF(R18:R37, "V")) + COUNTIF(R18:R37, "✗") + COUNTIF(R18:R37, "x") + COUNTIF(R18:R37, "X")) &gt; 0, (COUNTIF(R18:R37, "✓") + COUNTIF(R18:R37, "✔") + COUNTIF(R18:R37, "v") + COUNTIF(R18:R37, "V")) / ((COUNTIF(R18:R37, "✓") + COUNTIF(R18:R37, "✔") + COUNTIF(R18:R37, "v") + COUNTIF(R18:R37, "V")) + COUNTIF(R18:R37, "✗") + COUNTIF(R18:R37, "x") + COUNTIF(R18:R37, "X")), "")</f>
        <v/>
      </c>
      <c r="S39" s="134">
        <f>IF(((COUNTIF(S18:S37, "✓") + COUNTIF(S18:S37, "✔") + COUNTIF(S18:S37, "v") + COUNTIF(S18:S37, "V")) + COUNTIF(S18:S37, "✗") + COUNTIF(S18:S37, "x") + COUNTIF(S18:S37, "X")) &gt; 0, (COUNTIF(S18:S37, "✓") + COUNTIF(S18:S37, "✔") + COUNTIF(S18:S37, "v") + COUNTIF(S18:S37, "V")) / ((COUNTIF(S18:S37, "✓") + COUNTIF(S18:S37, "✔") + COUNTIF(S18:S37, "v") + COUNTIF(S18:S37, "V")) + COUNTIF(S18:S37, "✗") + COUNTIF(S18:S37, "x") + COUNTIF(S18:S37, "X")), "")</f>
        <v/>
      </c>
      <c r="T39" s="134">
        <f>IF(((COUNTIF(T18:T37, "✓") + COUNTIF(T18:T37, "✔") + COUNTIF(T18:T37, "v") + COUNTIF(T18:T37, "V")) + COUNTIF(T18:T37, "✗") + COUNTIF(T18:T37, "x") + COUNTIF(T18:T37, "X")) &gt; 0, (COUNTIF(T18:T37, "✓") + COUNTIF(T18:T37, "✔") + COUNTIF(T18:T37, "v") + COUNTIF(T18:T37, "V")) / ((COUNTIF(T18:T37, "✓") + COUNTIF(T18:T37, "✔") + COUNTIF(T18:T37, "v") + COUNTIF(T18:T37, "V")) + COUNTIF(T18:T37, "✗") + COUNTIF(T18:T37, "x") + COUNTIF(T18:T37, "X")), "")</f>
        <v/>
      </c>
      <c r="U39" s="134">
        <f>IF(((COUNTIF(U18:U37, "✓") + COUNTIF(U18:U37, "✔") + COUNTIF(U18:U37, "v") + COUNTIF(U18:U37, "V")) + COUNTIF(U18:U37, "✗") + COUNTIF(U18:U37, "x") + COUNTIF(U18:U37, "X")) &gt; 0, (COUNTIF(U18:U37, "✓") + COUNTIF(U18:U37, "✔") + COUNTIF(U18:U37, "v") + COUNTIF(U18:U37, "V")) / ((COUNTIF(U18:U37, "✓") + COUNTIF(U18:U37, "✔") + COUNTIF(U18:U37, "v") + COUNTIF(U18:U37, "V")) + COUNTIF(U18:U37, "✗") + COUNTIF(U18:U37, "x") + COUNTIF(U18:U37, "X")), "")</f>
        <v/>
      </c>
      <c r="V39" s="134">
        <f>IF(((COUNTIF(V18:V37, "✓") + COUNTIF(V18:V37, "✔") + COUNTIF(V18:V37, "v") + COUNTIF(V18:V37, "V")) + COUNTIF(V18:V37, "✗") + COUNTIF(V18:V37, "x") + COUNTIF(V18:V37, "X")) &gt; 0, (COUNTIF(V18:V37, "✓") + COUNTIF(V18:V37, "✔") + COUNTIF(V18:V37, "v") + COUNTIF(V18:V37, "V")) / ((COUNTIF(V18:V37, "✓") + COUNTIF(V18:V37, "✔") + COUNTIF(V18:V37, "v") + COUNTIF(V18:V37, "V")) + COUNTIF(V18:V37, "✗") + COUNTIF(V18:V37, "x") + COUNTIF(V18:V37, "X")), "")</f>
        <v/>
      </c>
      <c r="W39" s="134">
        <f>IF(((COUNTIF(W18:W37, "✓") + COUNTIF(W18:W37, "✔") + COUNTIF(W18:W37, "v") + COUNTIF(W18:W37, "V")) + COUNTIF(W18:W37, "✗") + COUNTIF(W18:W37, "x") + COUNTIF(W18:W37, "X")) &gt; 0, (COUNTIF(W18:W37, "✓") + COUNTIF(W18:W37, "✔") + COUNTIF(W18:W37, "v") + COUNTIF(W18:W37, "V")) / ((COUNTIF(W18:W37, "✓") + COUNTIF(W18:W37, "✔") + COUNTIF(W18:W37, "v") + COUNTIF(W18:W37, "V")) + COUNTIF(W18:W37, "✗") + COUNTIF(W18:W37, "x") + COUNTIF(W18:W37, "X")), "")</f>
        <v/>
      </c>
      <c r="X39" s="134">
        <f>IF(((COUNTIF(X18:X37, "✓") + COUNTIF(X18:X37, "✔") + COUNTIF(X18:X37, "v") + COUNTIF(X18:X37, "V")) + COUNTIF(X18:X37, "✗") + COUNTIF(X18:X37, "x") + COUNTIF(X18:X37, "X")) &gt; 0, (COUNTIF(X18:X37, "✓") + COUNTIF(X18:X37, "✔") + COUNTIF(X18:X37, "v") + COUNTIF(X18:X37, "V")) / ((COUNTIF(X18:X37, "✓") + COUNTIF(X18:X37, "✔") + COUNTIF(X18:X37, "v") + COUNTIF(X18:X37, "V")) + COUNTIF(X18:X37, "✗") + COUNTIF(X18:X37, "x") + COUNTIF(X18:X37, "X")), "")</f>
        <v/>
      </c>
      <c r="Y39" s="134">
        <f>IF(((COUNTIF(Y18:Y37, "✓") + COUNTIF(Y18:Y37, "✔") + COUNTIF(Y18:Y37, "v") + COUNTIF(Y18:Y37, "V")) + COUNTIF(Y18:Y37, "✗") + COUNTIF(Y18:Y37, "x") + COUNTIF(Y18:Y37, "X")) &gt; 0, (COUNTIF(Y18:Y37, "✓") + COUNTIF(Y18:Y37, "✔") + COUNTIF(Y18:Y37, "v") + COUNTIF(Y18:Y37, "V")) / ((COUNTIF(Y18:Y37, "✓") + COUNTIF(Y18:Y37, "✔") + COUNTIF(Y18:Y37, "v") + COUNTIF(Y18:Y37, "V")) + COUNTIF(Y18:Y37, "✗") + COUNTIF(Y18:Y37, "x") + COUNTIF(Y18:Y37, "X")), "")</f>
        <v/>
      </c>
      <c r="Z39" s="134">
        <f>IF(((COUNTIF(Z18:Z37, "✓") + COUNTIF(Z18:Z37, "✔") + COUNTIF(Z18:Z37, "v") + COUNTIF(Z18:Z37, "V")) + COUNTIF(Z18:Z37, "✗") + COUNTIF(Z18:Z37, "x") + COUNTIF(Z18:Z37, "X")) &gt; 0, (COUNTIF(Z18:Z37, "✓") + COUNTIF(Z18:Z37, "✔") + COUNTIF(Z18:Z37, "v") + COUNTIF(Z18:Z37, "V")) / ((COUNTIF(Z18:Z37, "✓") + COUNTIF(Z18:Z37, "✔") + COUNTIF(Z18:Z37, "v") + COUNTIF(Z18:Z37, "V")) + COUNTIF(Z18:Z37, "✗") + COUNTIF(Z18:Z37, "x") + COUNTIF(Z18:Z37, "X")), "")</f>
        <v/>
      </c>
      <c r="AA39" s="134">
        <f>IF(((COUNTIF(AA18:AA37, "✓") + COUNTIF(AA18:AA37, "✔") + COUNTIF(AA18:AA37, "v") + COUNTIF(AA18:AA37, "V")) + COUNTIF(AA18:AA37, "✗") + COUNTIF(AA18:AA37, "x") + COUNTIF(AA18:AA37, "X")) &gt; 0, (COUNTIF(AA18:AA37, "✓") + COUNTIF(AA18:AA37, "✔") + COUNTIF(AA18:AA37, "v") + COUNTIF(AA18:AA37, "V")) / ((COUNTIF(AA18:AA37, "✓") + COUNTIF(AA18:AA37, "✔") + COUNTIF(AA18:AA37, "v") + COUNTIF(AA18:AA37, "V")) + COUNTIF(AA18:AA37, "✗") + COUNTIF(AA18:AA37, "x") + COUNTIF(AA18:AA37, "X")), "")</f>
        <v/>
      </c>
      <c r="AB39" s="134">
        <f>IF(((COUNTIF(AB18:AB37, "✓") + COUNTIF(AB18:AB37, "✔") + COUNTIF(AB18:AB37, "v") + COUNTIF(AB18:AB37, "V")) + COUNTIF(AB18:AB37, "✗") + COUNTIF(AB18:AB37, "x") + COUNTIF(AB18:AB37, "X")) &gt; 0, (COUNTIF(AB18:AB37, "✓") + COUNTIF(AB18:AB37, "✔") + COUNTIF(AB18:AB37, "v") + COUNTIF(AB18:AB37, "V")) / ((COUNTIF(AB18:AB37, "✓") + COUNTIF(AB18:AB37, "✔") + COUNTIF(AB18:AB37, "v") + COUNTIF(AB18:AB37, "V")) + COUNTIF(AB18:AB37, "✗") + COUNTIF(AB18:AB37, "x") + COUNTIF(AB18:AB37, "X")), "")</f>
        <v/>
      </c>
      <c r="AC39" s="134">
        <f>IF(((COUNTIF(AC18:AC37, "✓") + COUNTIF(AC18:AC37, "✔") + COUNTIF(AC18:AC37, "v") + COUNTIF(AC18:AC37, "V")) + COUNTIF(AC18:AC37, "✗") + COUNTIF(AC18:AC37, "x") + COUNTIF(AC18:AC37, "X")) &gt; 0, (COUNTIF(AC18:AC37, "✓") + COUNTIF(AC18:AC37, "✔") + COUNTIF(AC18:AC37, "v") + COUNTIF(AC18:AC37, "V")) / ((COUNTIF(AC18:AC37, "✓") + COUNTIF(AC18:AC37, "✔") + COUNTIF(AC18:AC37, "v") + COUNTIF(AC18:AC37, "V")) + COUNTIF(AC18:AC37, "✗") + COUNTIF(AC18:AC37, "x") + COUNTIF(AC18:AC37, "X")), "")</f>
        <v/>
      </c>
      <c r="AD39" s="134">
        <f>IF(((COUNTIF(AD18:AD37, "✓") + COUNTIF(AD18:AD37, "✔") + COUNTIF(AD18:AD37, "v") + COUNTIF(AD18:AD37, "V")) + COUNTIF(AD18:AD37, "✗") + COUNTIF(AD18:AD37, "x") + COUNTIF(AD18:AD37, "X")) &gt; 0, (COUNTIF(AD18:AD37, "✓") + COUNTIF(AD18:AD37, "✔") + COUNTIF(AD18:AD37, "v") + COUNTIF(AD18:AD37, "V")) / ((COUNTIF(AD18:AD37, "✓") + COUNTIF(AD18:AD37, "✔") + COUNTIF(AD18:AD37, "v") + COUNTIF(AD18:AD37, "V")) + COUNTIF(AD18:AD37, "✗") + COUNTIF(AD18:AD37, "x") + COUNTIF(AD18:AD37, "X")), "")</f>
        <v/>
      </c>
      <c r="AE39" s="134">
        <f>IF(((COUNTIF(AE18:AE37, "✓") + COUNTIF(AE18:AE37, "✔") + COUNTIF(AE18:AE37, "v") + COUNTIF(AE18:AE37, "V")) + COUNTIF(AE18:AE37, "✗") + COUNTIF(AE18:AE37, "x") + COUNTIF(AE18:AE37, "X")) &gt; 0, (COUNTIF(AE18:AE37, "✓") + COUNTIF(AE18:AE37, "✔") + COUNTIF(AE18:AE37, "v") + COUNTIF(AE18:AE37, "V")) / ((COUNTIF(AE18:AE37, "✓") + COUNTIF(AE18:AE37, "✔") + COUNTIF(AE18:AE37, "v") + COUNTIF(AE18:AE37, "V")) + COUNTIF(AE18:AE37, "✗") + COUNTIF(AE18:AE37, "x") + COUNTIF(AE18:AE37, "X")), "")</f>
        <v/>
      </c>
      <c r="AF39" s="134">
        <f>IF(((COUNTIF(AF18:AF37, "✓") + COUNTIF(AF18:AF37, "✔") + COUNTIF(AF18:AF37, "v") + COUNTIF(AF18:AF37, "V")) + COUNTIF(AF18:AF37, "✗") + COUNTIF(AF18:AF37, "x") + COUNTIF(AF18:AF37, "X")) &gt; 0, (COUNTIF(AF18:AF37, "✓") + COUNTIF(AF18:AF37, "✔") + COUNTIF(AF18:AF37, "v") + COUNTIF(AF18:AF37, "V")) / ((COUNTIF(AF18:AF37, "✓") + COUNTIF(AF18:AF37, "✔") + COUNTIF(AF18:AF37, "v") + COUNTIF(AF18:AF37, "V")) + COUNTIF(AF18:AF37, "✗") + COUNTIF(AF18:AF37, "x") + COUNTIF(AF18:AF37, "X")), "")</f>
        <v/>
      </c>
      <c r="AG39" s="133">
        <f>IF(COUNT(E39:AF39) &gt; 0, AVERAGE(E39:AF39), "")</f>
        <v/>
      </c>
      <c r="AH39" s="54" t="n"/>
      <c r="AI39" s="54" t="n"/>
    </row>
    <row r="40" ht="6" customHeight="1"/>
    <row r="41" ht="15" customHeight="1">
      <c r="A41" s="135" t="inlineStr">
        <is>
          <t>IF SUCCESS &lt; 80%, PUNISHMENT: ________________________________________________</t>
        </is>
      </c>
    </row>
    <row r="42" ht="15" customHeight="1">
      <c r="A42" s="136" t="inlineStr">
        <is>
          <t>IF SUCCESS &gt; 90%, REWARD: __________________________________________________</t>
        </is>
      </c>
    </row>
    <row r="43" ht="10" customHeight="1"/>
    <row r="44" ht="10" customHeight="1"/>
    <row r="45" ht="15" customHeight="1">
      <c r="A45" s="51" t="inlineStr">
        <is>
          <t>Sleep Tracking</t>
        </is>
      </c>
      <c r="B45" s="52" t="n"/>
      <c r="C45" s="52" t="n"/>
      <c r="D45" s="52" t="n"/>
      <c r="E45" s="137" t="n">
        <v>1</v>
      </c>
      <c r="F45" s="137" t="n">
        <v>2</v>
      </c>
      <c r="G45" s="137" t="n">
        <v>3</v>
      </c>
      <c r="H45" s="138" t="n">
        <v>4</v>
      </c>
      <c r="I45" s="137" t="n">
        <v>5</v>
      </c>
      <c r="J45" s="137" t="n">
        <v>6</v>
      </c>
      <c r="K45" s="137" t="n">
        <v>7</v>
      </c>
      <c r="L45" s="137" t="n">
        <v>8</v>
      </c>
      <c r="M45" s="137" t="n">
        <v>9</v>
      </c>
      <c r="N45" s="137" t="n">
        <v>10</v>
      </c>
      <c r="O45" s="138" t="n">
        <v>11</v>
      </c>
      <c r="P45" s="137" t="n">
        <v>12</v>
      </c>
      <c r="Q45" s="137" t="n">
        <v>13</v>
      </c>
      <c r="R45" s="137" t="n">
        <v>14</v>
      </c>
      <c r="S45" s="137" t="n">
        <v>15</v>
      </c>
      <c r="T45" s="137" t="n">
        <v>16</v>
      </c>
      <c r="U45" s="137" t="n">
        <v>17</v>
      </c>
      <c r="V45" s="138" t="n">
        <v>18</v>
      </c>
      <c r="W45" s="137" t="n">
        <v>19</v>
      </c>
      <c r="X45" s="137" t="n">
        <v>20</v>
      </c>
      <c r="Y45" s="137" t="n">
        <v>21</v>
      </c>
      <c r="Z45" s="137" t="n">
        <v>22</v>
      </c>
      <c r="AA45" s="137" t="n">
        <v>23</v>
      </c>
      <c r="AB45" s="137" t="n">
        <v>24</v>
      </c>
      <c r="AC45" s="138" t="n">
        <v>25</v>
      </c>
      <c r="AD45" s="137" t="n">
        <v>26</v>
      </c>
      <c r="AE45" s="137" t="n">
        <v>27</v>
      </c>
      <c r="AF45" s="137" t="n">
        <v>28</v>
      </c>
    </row>
    <row r="46" ht="15" customHeight="1">
      <c r="A46" s="52" t="n"/>
      <c r="B46" s="52" t="n"/>
      <c r="C46" s="52" t="n"/>
      <c r="D46" s="52" t="n"/>
      <c r="E46" s="139" t="inlineStr">
        <is>
          <t>Th</t>
        </is>
      </c>
      <c r="F46" s="139" t="inlineStr">
        <is>
          <t>F</t>
        </is>
      </c>
      <c r="G46" s="139" t="inlineStr">
        <is>
          <t>Sa</t>
        </is>
      </c>
      <c r="H46" s="140" t="inlineStr">
        <is>
          <t>Su</t>
        </is>
      </c>
      <c r="I46" s="139" t="inlineStr">
        <is>
          <t>M</t>
        </is>
      </c>
      <c r="J46" s="139" t="inlineStr">
        <is>
          <t>T</t>
        </is>
      </c>
      <c r="K46" s="139" t="inlineStr">
        <is>
          <t>W</t>
        </is>
      </c>
      <c r="L46" s="139" t="inlineStr">
        <is>
          <t>Th</t>
        </is>
      </c>
      <c r="M46" s="139" t="inlineStr">
        <is>
          <t>F</t>
        </is>
      </c>
      <c r="N46" s="139" t="inlineStr">
        <is>
          <t>Sa</t>
        </is>
      </c>
      <c r="O46" s="140" t="inlineStr">
        <is>
          <t>Su</t>
        </is>
      </c>
      <c r="P46" s="139" t="inlineStr">
        <is>
          <t>M</t>
        </is>
      </c>
      <c r="Q46" s="139" t="inlineStr">
        <is>
          <t>T</t>
        </is>
      </c>
      <c r="R46" s="139" t="inlineStr">
        <is>
          <t>W</t>
        </is>
      </c>
      <c r="S46" s="139" t="inlineStr">
        <is>
          <t>Th</t>
        </is>
      </c>
      <c r="T46" s="139" t="inlineStr">
        <is>
          <t>F</t>
        </is>
      </c>
      <c r="U46" s="139" t="inlineStr">
        <is>
          <t>Sa</t>
        </is>
      </c>
      <c r="V46" s="140" t="inlineStr">
        <is>
          <t>Su</t>
        </is>
      </c>
      <c r="W46" s="139" t="inlineStr">
        <is>
          <t>M</t>
        </is>
      </c>
      <c r="X46" s="139" t="inlineStr">
        <is>
          <t>T</t>
        </is>
      </c>
      <c r="Y46" s="139" t="inlineStr">
        <is>
          <t>W</t>
        </is>
      </c>
      <c r="Z46" s="139" t="inlineStr">
        <is>
          <t>Th</t>
        </is>
      </c>
      <c r="AA46" s="139" t="inlineStr">
        <is>
          <t>F</t>
        </is>
      </c>
      <c r="AB46" s="139" t="inlineStr">
        <is>
          <t>Sa</t>
        </is>
      </c>
      <c r="AC46" s="140" t="inlineStr">
        <is>
          <t>Su</t>
        </is>
      </c>
      <c r="AD46" s="139" t="inlineStr">
        <is>
          <t>M</t>
        </is>
      </c>
      <c r="AE46" s="139" t="inlineStr">
        <is>
          <t>T</t>
        </is>
      </c>
      <c r="AF46" s="139" t="inlineStr">
        <is>
          <t>W</t>
        </is>
      </c>
    </row>
    <row r="47" ht="20" customHeight="1">
      <c r="A47" s="141" t="inlineStr">
        <is>
          <t>Sleep Hours (1-24)</t>
        </is>
      </c>
      <c r="B47" s="142" t="n"/>
      <c r="C47" s="142" t="n"/>
      <c r="D47" s="142" t="n"/>
      <c r="E47" s="143" t="n"/>
      <c r="F47" s="143" t="n"/>
      <c r="G47" s="143" t="n"/>
      <c r="H47" s="144" t="n"/>
      <c r="I47" s="143" t="n"/>
      <c r="J47" s="143" t="n"/>
      <c r="K47" s="143" t="n"/>
      <c r="L47" s="143" t="n"/>
      <c r="M47" s="143" t="n"/>
      <c r="N47" s="143" t="n"/>
      <c r="O47" s="144" t="n"/>
      <c r="P47" s="143" t="n"/>
      <c r="Q47" s="143" t="n"/>
      <c r="R47" s="143" t="n"/>
      <c r="S47" s="143" t="n"/>
      <c r="T47" s="143" t="n"/>
      <c r="U47" s="143" t="n"/>
      <c r="V47" s="144" t="n"/>
      <c r="W47" s="143" t="n"/>
      <c r="X47" s="143" t="n"/>
      <c r="Y47" s="143" t="n"/>
      <c r="Z47" s="143" t="n"/>
      <c r="AA47" s="143" t="n"/>
      <c r="AB47" s="143" t="n"/>
      <c r="AC47" s="144" t="n"/>
      <c r="AD47" s="143" t="n"/>
      <c r="AE47" s="143" t="n"/>
      <c r="AF47" s="143" t="n"/>
    </row>
    <row r="48" ht="6" customHeight="1"/>
    <row r="49" ht="14" customHeight="1"/>
    <row r="50" ht="14" customHeight="1"/>
    <row r="51" ht="14" customHeight="1"/>
    <row r="52" ht="14" customHeight="1"/>
    <row r="53" ht="14" customHeight="1"/>
    <row r="54" ht="14" customHeight="1"/>
    <row r="55" ht="14" customHeight="1"/>
    <row r="56" ht="14" customHeight="1"/>
    <row r="57" ht="14" customHeight="1"/>
    <row r="58" ht="14" customHeight="1"/>
    <row r="59" ht="14" customHeight="1"/>
    <row r="60" ht="14" customHeight="1"/>
    <row r="61" ht="14" customHeight="1"/>
    <row r="62" ht="14" customHeight="1"/>
    <row r="63" ht="14" customHeight="1"/>
    <row r="64" ht="14" customHeight="1"/>
    <row r="65" ht="14" customHeight="1"/>
    <row r="66" ht="8" customHeight="1"/>
    <row r="67">
      <c r="A67" s="145" t="inlineStr">
        <is>
          <t>MONTHLY SUCCESS RATE</t>
        </is>
      </c>
      <c r="B67" s="9" t="n"/>
      <c r="C67" s="9" t="n"/>
      <c r="D67" s="9" t="n"/>
      <c r="F67" s="146" t="inlineStr">
        <is>
          <t>ACTIVE PROTOCOLS</t>
        </is>
      </c>
      <c r="G67" s="11" t="n"/>
      <c r="H67" s="11" t="n"/>
      <c r="I67" s="11" t="n"/>
      <c r="K67" s="147" t="inlineStr">
        <is>
          <t>PERFECT DAYS (100%)</t>
        </is>
      </c>
      <c r="L67" s="13" t="n"/>
      <c r="M67" s="13" t="n"/>
      <c r="N67" s="13" t="n"/>
      <c r="P67" s="148" t="inlineStr">
        <is>
          <t>AVG SLEEP DURATION</t>
        </is>
      </c>
      <c r="Q67" s="15" t="n"/>
      <c r="R67" s="15" t="n"/>
      <c r="S67" s="15" t="n"/>
    </row>
    <row r="68">
      <c r="A68" s="149">
        <f>IF(SUM(D18:D37)&gt;0, SUM(AJ18:AJ37)/SUM(D18:D37), 0)</f>
        <v/>
      </c>
      <c r="B68" s="9" t="n"/>
      <c r="C68" s="9" t="n"/>
      <c r="D68" s="9" t="n"/>
      <c r="F68" s="150">
        <f>COUNTA(B18:B37) &amp; " / 20"</f>
        <v/>
      </c>
      <c r="G68" s="11" t="n"/>
      <c r="H68" s="11" t="n"/>
      <c r="I68" s="11" t="n"/>
      <c r="K68" s="151">
        <f>COUNTIF(E39:AF39, 1) &amp; " Days"</f>
        <v/>
      </c>
      <c r="L68" s="13" t="n"/>
      <c r="M68" s="13" t="n"/>
      <c r="N68" s="13" t="n"/>
      <c r="P68" s="152">
        <f>IFERROR(TEXT(AVERAGE(E47:AF47), "0.0") &amp; " hrs", "-")</f>
        <v/>
      </c>
      <c r="Q68" s="15" t="n"/>
      <c r="R68" s="15" t="n"/>
      <c r="S68" s="15" t="n"/>
    </row>
    <row r="69">
      <c r="A69" s="9" t="n"/>
      <c r="B69" s="9" t="n"/>
      <c r="C69" s="9" t="n"/>
      <c r="D69" s="9" t="n"/>
      <c r="F69" s="11" t="n"/>
      <c r="G69" s="11" t="n"/>
      <c r="H69" s="11" t="n"/>
      <c r="I69" s="11" t="n"/>
      <c r="K69" s="13" t="n"/>
      <c r="L69" s="13" t="n"/>
      <c r="M69" s="13" t="n"/>
      <c r="N69" s="13" t="n"/>
      <c r="P69" s="15" t="n"/>
      <c r="Q69" s="15" t="n"/>
      <c r="R69" s="15" t="n"/>
      <c r="S69" s="15" t="n"/>
    </row>
    <row r="70">
      <c r="A70" s="9" t="n"/>
      <c r="B70" s="9" t="n"/>
      <c r="C70" s="9" t="n"/>
      <c r="D70" s="9" t="n"/>
      <c r="F70" s="11" t="n"/>
      <c r="G70" s="11" t="n"/>
      <c r="H70" s="11" t="n"/>
      <c r="I70" s="11" t="n"/>
      <c r="K70" s="13" t="n"/>
      <c r="L70" s="13" t="n"/>
      <c r="M70" s="13" t="n"/>
      <c r="N70" s="13" t="n"/>
      <c r="P70" s="15" t="n"/>
      <c r="Q70" s="15" t="n"/>
      <c r="R70" s="15" t="n"/>
      <c r="S70" s="15" t="n"/>
    </row>
    <row r="71">
      <c r="A71" s="153" t="inlineStr">
        <is>
          <t>Target Completion</t>
        </is>
      </c>
      <c r="B71" s="9" t="n"/>
      <c r="C71" s="9" t="n"/>
      <c r="D71" s="9" t="n"/>
      <c r="F71" s="154" t="inlineStr">
        <is>
          <t>Habits Tracked</t>
        </is>
      </c>
      <c r="G71" s="11" t="n"/>
      <c r="H71" s="11" t="n"/>
      <c r="I71" s="11" t="n"/>
      <c r="K71" s="155" t="inlineStr">
        <is>
          <t>All Marked Habits Completed</t>
        </is>
      </c>
      <c r="L71" s="13" t="n"/>
      <c r="M71" s="13" t="n"/>
      <c r="N71" s="13" t="n"/>
      <c r="P71" s="156" t="inlineStr">
        <is>
          <t>Nightly Rest Average</t>
        </is>
      </c>
      <c r="Q71" s="15" t="n"/>
      <c r="R71" s="15" t="n"/>
      <c r="S71" s="15" t="n"/>
    </row>
    <row r="72" ht="8" customHeight="1"/>
    <row r="73" ht="6" customHeight="1"/>
    <row r="74">
      <c r="A74" s="67" t="inlineStr">
        <is>
          <t>WEEKLY PERFORMANCE (SLUMP DETECTOR)</t>
        </is>
      </c>
      <c r="B74" s="29" t="n"/>
      <c r="C74" s="29" t="n"/>
      <c r="D74" s="29" t="n"/>
      <c r="E74" s="29" t="n"/>
      <c r="N74" s="157" t="inlineStr">
        <is>
          <t>LIFE DOMAIN / CATEGORY BREAKDOWN</t>
        </is>
      </c>
      <c r="O74" s="158" t="n"/>
      <c r="P74" s="158" t="n"/>
      <c r="Q74" s="158" t="n"/>
      <c r="R74" s="158" t="n"/>
      <c r="S74" s="158" t="n"/>
    </row>
    <row r="75" ht="15" customHeight="1">
      <c r="A75" s="53" t="inlineStr">
        <is>
          <t>Week</t>
        </is>
      </c>
      <c r="B75" s="53" t="inlineStr">
        <is>
          <t>Days Range</t>
        </is>
      </c>
      <c r="C75" s="53" t="inlineStr">
        <is>
          <t>Checks Done</t>
        </is>
      </c>
      <c r="D75" s="53" t="inlineStr">
        <is>
          <t>Evaluated</t>
        </is>
      </c>
      <c r="E75" s="53" t="inlineStr">
        <is>
          <t>Success %</t>
        </is>
      </c>
      <c r="N75" s="53" t="inlineStr">
        <is>
          <t>Domain / Category</t>
        </is>
      </c>
      <c r="O75" s="54" t="n"/>
      <c r="P75" s="53" t="inlineStr">
        <is>
          <t>Active Habits</t>
        </is>
      </c>
      <c r="Q75" s="53" t="inlineStr">
        <is>
          <t>Target Days</t>
        </is>
      </c>
      <c r="R75" s="53" t="inlineStr">
        <is>
          <t>Done Checks</t>
        </is>
      </c>
      <c r="S75" s="53" t="inlineStr">
        <is>
          <t>Success %</t>
        </is>
      </c>
    </row>
    <row r="76" ht="14" customHeight="1">
      <c r="A76" s="33" t="inlineStr">
        <is>
          <t>Week 1</t>
        </is>
      </c>
      <c r="B76" s="34" t="inlineStr">
        <is>
          <t>Days 1 - 7</t>
        </is>
      </c>
      <c r="C76" s="34">
        <f>COUNTIF(E18:K37, "✓")</f>
        <v/>
      </c>
      <c r="D76" s="34">
        <f>COUNTIF(E18:K37, "✓") + COUNTIF(E18:K37, "✗")</f>
        <v/>
      </c>
      <c r="E76" s="35">
        <f>IFERROR(C76/D76, 0)</f>
        <v/>
      </c>
      <c r="N76" s="60" t="inlineStr">
        <is>
          <t>Health &amp; Fitness</t>
        </is>
      </c>
      <c r="O76" s="54" t="n"/>
      <c r="P76" s="34">
        <f>COUNTIF($C$18:$C$37, "Health &amp; Fitness")</f>
        <v/>
      </c>
      <c r="Q76" s="34">
        <f>SUMIF($C$18:$C$37, "Health &amp; Fitness", $D$18:$D$37)</f>
        <v/>
      </c>
      <c r="R76" s="34">
        <f>SUMIF($C$18:$C$37, "Health &amp; Fitness", $AJ$18:$AJ$37)</f>
        <v/>
      </c>
      <c r="S76" s="35">
        <f>IFERROR(R76/Q76, 0)</f>
        <v/>
      </c>
    </row>
    <row r="77" ht="14" customHeight="1">
      <c r="A77" s="33" t="inlineStr">
        <is>
          <t>Week 2</t>
        </is>
      </c>
      <c r="B77" s="34" t="inlineStr">
        <is>
          <t>Days 8 - 14</t>
        </is>
      </c>
      <c r="C77" s="34">
        <f>COUNTIF(L18:R37, "✓")</f>
        <v/>
      </c>
      <c r="D77" s="34">
        <f>COUNTIF(L18:R37, "✓") + COUNTIF(L18:R37, "✗")</f>
        <v/>
      </c>
      <c r="E77" s="35">
        <f>IFERROR(C77/D77, 0)</f>
        <v/>
      </c>
      <c r="N77" s="60" t="inlineStr">
        <is>
          <t>Mindset &amp; Learning</t>
        </is>
      </c>
      <c r="O77" s="54" t="n"/>
      <c r="P77" s="34">
        <f>COUNTIF($C$18:$C$37, "Mindset &amp; Learning")</f>
        <v/>
      </c>
      <c r="Q77" s="34">
        <f>SUMIF($C$18:$C$37, "Mindset &amp; Learning", $D$18:$D$37)</f>
        <v/>
      </c>
      <c r="R77" s="34">
        <f>SUMIF($C$18:$C$37, "Mindset &amp; Learning", $AJ$18:$AJ$37)</f>
        <v/>
      </c>
      <c r="S77" s="35">
        <f>IFERROR(R77/Q77, 0)</f>
        <v/>
      </c>
    </row>
    <row r="78" ht="14" customHeight="1">
      <c r="A78" s="33" t="inlineStr">
        <is>
          <t>Week 3</t>
        </is>
      </c>
      <c r="B78" s="34" t="inlineStr">
        <is>
          <t>Days 15 - 21</t>
        </is>
      </c>
      <c r="C78" s="34">
        <f>COUNTIF(S18:Y37, "✓")</f>
        <v/>
      </c>
      <c r="D78" s="34">
        <f>COUNTIF(S18:Y37, "✓") + COUNTIF(S18:Y37, "✗")</f>
        <v/>
      </c>
      <c r="E78" s="35">
        <f>IFERROR(C78/D78, 0)</f>
        <v/>
      </c>
      <c r="N78" s="60" t="inlineStr">
        <is>
          <t>Career &amp; Focus</t>
        </is>
      </c>
      <c r="O78" s="54" t="n"/>
      <c r="P78" s="34">
        <f>COUNTIF($C$18:$C$37, "Career &amp; Focus")</f>
        <v/>
      </c>
      <c r="Q78" s="34">
        <f>SUMIF($C$18:$C$37, "Career &amp; Focus", $D$18:$D$37)</f>
        <v/>
      </c>
      <c r="R78" s="34">
        <f>SUMIF($C$18:$C$37, "Career &amp; Focus", $AJ$18:$AJ$37)</f>
        <v/>
      </c>
      <c r="S78" s="35">
        <f>IFERROR(R78/Q78, 0)</f>
        <v/>
      </c>
    </row>
    <row r="79" ht="14" customHeight="1">
      <c r="A79" s="33" t="inlineStr">
        <is>
          <t>Week 4</t>
        </is>
      </c>
      <c r="B79" s="34" t="inlineStr">
        <is>
          <t>Days 22 - 28</t>
        </is>
      </c>
      <c r="C79" s="34">
        <f>COUNTIF(Z18:AF37, "✓")</f>
        <v/>
      </c>
      <c r="D79" s="34">
        <f>COUNTIF(Z18:AF37, "✓") + COUNTIF(Z18:AF37, "✗")</f>
        <v/>
      </c>
      <c r="E79" s="35">
        <f>IFERROR(C79/D79, 0)</f>
        <v/>
      </c>
      <c r="N79" s="60" t="inlineStr">
        <is>
          <t>Personal &amp; Home</t>
        </is>
      </c>
      <c r="O79" s="54" t="n"/>
      <c r="P79" s="34">
        <f>COUNTIF($C$18:$C$37, "Personal &amp; Home")</f>
        <v/>
      </c>
      <c r="Q79" s="34">
        <f>SUMIF($C$18:$C$37, "Personal &amp; Home", $D$18:$D$37)</f>
        <v/>
      </c>
      <c r="R79" s="34">
        <f>SUMIF($C$18:$C$37, "Personal &amp; Home", $AJ$18:$AJ$37)</f>
        <v/>
      </c>
      <c r="S79" s="35">
        <f>IFERROR(R79/Q79, 0)</f>
        <v/>
      </c>
    </row>
    <row r="80" ht="14" customHeight="1">
      <c r="A80" s="33" t="inlineStr">
        <is>
          <t>Week 5</t>
        </is>
      </c>
      <c r="B80" s="34" t="inlineStr">
        <is>
          <t>N/A</t>
        </is>
      </c>
      <c r="C80" s="34" t="n">
        <v>0</v>
      </c>
      <c r="D80" s="34" t="n">
        <v>0</v>
      </c>
      <c r="E80" s="35" t="n">
        <v>0</v>
      </c>
      <c r="N80" s="60" t="inlineStr">
        <is>
          <t>Finance &amp; Wealth</t>
        </is>
      </c>
      <c r="O80" s="54" t="n"/>
      <c r="P80" s="34">
        <f>COUNTIF($C$18:$C$37, "Finance &amp; Wealth")</f>
        <v/>
      </c>
      <c r="Q80" s="34">
        <f>SUMIF($C$18:$C$37, "Finance &amp; Wealth", $D$18:$D$37)</f>
        <v/>
      </c>
      <c r="R80" s="34">
        <f>SUMIF($C$18:$C$37, "Finance &amp; Wealth", $AJ$18:$AJ$37)</f>
        <v/>
      </c>
      <c r="S80" s="35">
        <f>IFERROR(R80/Q80, 0)</f>
        <v/>
      </c>
    </row>
    <row r="81" ht="14" customHeight="1">
      <c r="A81" s="33" t="inlineStr">
        <is>
          <t>Total / Avg</t>
        </is>
      </c>
      <c r="B81" s="159" t="inlineStr">
        <is>
          <t>Month Total</t>
        </is>
      </c>
      <c r="C81" s="33">
        <f>SUM(C76:C80)</f>
        <v/>
      </c>
      <c r="D81" s="33">
        <f>SUM(D76:D80)</f>
        <v/>
      </c>
      <c r="E81" s="133">
        <f>IFERROR(C81/D81, 0)</f>
        <v/>
      </c>
    </row>
    <row r="82" ht="10" customHeight="1"/>
    <row r="83" ht="10" customHeight="1"/>
    <row r="84">
      <c r="A84" s="51" t="inlineStr">
        <is>
          <t>SLEEP &amp; PRODUCTIVITY CORRELATION ANALYSIS</t>
        </is>
      </c>
      <c r="B84" s="52" t="n"/>
      <c r="C84" s="52" t="n"/>
      <c r="D84" s="52" t="n"/>
      <c r="E84" s="52" t="n"/>
      <c r="F84" s="52" t="n"/>
      <c r="G84" s="52" t="n"/>
      <c r="H84" s="52" t="n"/>
      <c r="I84" s="52" t="n"/>
      <c r="J84" s="52" t="n"/>
      <c r="K84" s="52" t="n"/>
      <c r="L84" s="52" t="n"/>
      <c r="M84" s="52" t="n"/>
      <c r="N84" s="52" t="n"/>
      <c r="O84" s="52" t="n"/>
      <c r="P84" s="52" t="n"/>
      <c r="Q84" s="52" t="n"/>
      <c r="R84" s="52" t="n"/>
      <c r="S84" s="52" t="n"/>
      <c r="T84" s="52" t="n"/>
      <c r="U84" s="52" t="n"/>
      <c r="V84" s="52" t="n"/>
      <c r="W84" s="52" t="n"/>
      <c r="X84" s="52" t="n"/>
      <c r="Y84" s="52" t="n"/>
      <c r="Z84" s="52" t="n"/>
      <c r="AA84" s="52" t="n"/>
      <c r="AB84" s="52" t="n"/>
      <c r="AC84" s="52" t="n"/>
      <c r="AD84" s="52" t="n"/>
      <c r="AE84" s="52" t="n"/>
      <c r="AF84" s="52" t="n"/>
      <c r="AG84" s="52" t="n"/>
      <c r="AH84" s="52" t="n"/>
      <c r="AI84" s="52" t="n"/>
    </row>
    <row r="85" ht="15" customHeight="1">
      <c r="A85" s="53" t="inlineStr">
        <is>
          <t>Rest Category</t>
        </is>
      </c>
      <c r="B85" s="54" t="n"/>
      <c r="C85" s="54" t="n"/>
      <c r="D85" s="53" t="inlineStr">
        <is>
          <t>Day Criteria</t>
        </is>
      </c>
      <c r="E85" s="54" t="n"/>
      <c r="F85" s="54" t="n"/>
      <c r="G85" s="53" t="inlineStr">
        <is>
          <t>Days Logged</t>
        </is>
      </c>
      <c r="H85" s="54" t="n"/>
      <c r="I85" s="54" t="n"/>
      <c r="J85" s="53" t="inlineStr">
        <is>
          <t>Avg Sleep Duration</t>
        </is>
      </c>
      <c r="K85" s="54" t="n"/>
      <c r="L85" s="54" t="n"/>
      <c r="M85" s="54" t="n"/>
      <c r="N85" s="53" t="inlineStr">
        <is>
          <t>Avg Habit Success %</t>
        </is>
      </c>
      <c r="O85" s="54" t="n"/>
      <c r="P85" s="54" t="n"/>
      <c r="Q85" s="54" t="n"/>
      <c r="R85" s="53" t="inlineStr">
        <is>
          <t>Productivity Delta</t>
        </is>
      </c>
      <c r="S85" s="54" t="n"/>
      <c r="T85" s="54" t="n"/>
      <c r="U85" s="54" t="n"/>
    </row>
    <row r="86" ht="15" customHeight="1">
      <c r="A86" s="160" t="inlineStr">
        <is>
          <t>Optimal Rest</t>
        </is>
      </c>
      <c r="B86" s="161" t="n"/>
      <c r="C86" s="56" t="n"/>
      <c r="D86" s="34" t="inlineStr">
        <is>
          <t>&gt;= 7 Hours / Night</t>
        </is>
      </c>
      <c r="E86" s="161" t="n"/>
      <c r="F86" s="56" t="n"/>
      <c r="G86" s="33">
        <f>COUNTIF(E47:AF47, "&gt;=7")</f>
        <v/>
      </c>
      <c r="H86" s="161" t="n"/>
      <c r="I86" s="56" t="n"/>
      <c r="J86" s="34">
        <f>IFERROR(TEXT(AVERAGEIF(E47:AF47, "&gt;=7"), "0.0") &amp; " hrs", "-")</f>
        <v/>
      </c>
      <c r="K86" s="161" t="n"/>
      <c r="L86" s="161" t="n"/>
      <c r="M86" s="56" t="n"/>
      <c r="N86" s="42">
        <f>IFERROR(AVERAGEIFS(E39:AF39, E47:AF47, "&gt;=7", E39:AF39, "&gt;0"), 0)</f>
        <v/>
      </c>
      <c r="O86" s="161" t="n"/>
      <c r="P86" s="161" t="n"/>
      <c r="Q86" s="56" t="n"/>
      <c r="R86" s="159" t="inlineStr">
        <is>
          <t>Baseline (Target)</t>
        </is>
      </c>
      <c r="S86" s="161" t="n"/>
      <c r="T86" s="161" t="n"/>
      <c r="U86" s="56" t="n"/>
    </row>
    <row r="87" ht="15" customHeight="1">
      <c r="A87" s="162" t="inlineStr">
        <is>
          <t>Sleep Deficit</t>
        </is>
      </c>
      <c r="B87" s="161" t="n"/>
      <c r="C87" s="56" t="n"/>
      <c r="D87" s="34" t="inlineStr">
        <is>
          <t>&lt; 7 Hours / Night</t>
        </is>
      </c>
      <c r="E87" s="161" t="n"/>
      <c r="F87" s="56" t="n"/>
      <c r="G87" s="33">
        <f>COUNTIF(E47:AF47, "&lt;7") - COUNTIF(E47:AF47, "")</f>
        <v/>
      </c>
      <c r="H87" s="161" t="n"/>
      <c r="I87" s="56" t="n"/>
      <c r="J87" s="34">
        <f>IFERROR(TEXT(AVERAGEIFS(E47:AF47, E47:AF47, "&lt;7", E47:AF47, "&gt;0"), "0.0") &amp; " hrs", "-")</f>
        <v/>
      </c>
      <c r="K87" s="161" t="n"/>
      <c r="L87" s="161" t="n"/>
      <c r="M87" s="56" t="n"/>
      <c r="N87" s="163">
        <f>IFERROR(AVERAGEIFS(E39:AF39, E47:AF47, "&lt;7", E39:AF39, "&gt;0"), 0)</f>
        <v/>
      </c>
      <c r="O87" s="161" t="n"/>
      <c r="P87" s="161" t="n"/>
      <c r="Q87" s="56" t="n"/>
      <c r="R87" s="160">
        <f>IFERROR(TEXT(N86 - N87, "+0.0%;-0.0%;0.0%") &amp; " Rest Advantage", "-")</f>
        <v/>
      </c>
      <c r="S87" s="161" t="n"/>
      <c r="T87" s="161" t="n"/>
      <c r="U87" s="56" t="n"/>
    </row>
    <row r="88" ht="18" customHeight="1">
      <c r="A88" s="164">
        <f>IF(AND(ISNUMBER(N86), ISNUMBER(N87), N86&gt;0, N87&gt;0), "💡 Sleep Correlation Insight: You complete " &amp; TEXT(ABS(N86-N87), "0.0%") &amp; IF(N86&gt;=N87, " MORE habits on days with 7+ hours of sleep!", " fewer habits on days with 7+ hours of sleep."), "💡 Log both habits and sleep hours daily to unlock automatic AI correlation insights!")</f>
        <v/>
      </c>
      <c r="B88" s="161" t="n"/>
      <c r="C88" s="161" t="n"/>
      <c r="D88" s="161" t="n"/>
      <c r="E88" s="161" t="n"/>
      <c r="F88" s="161" t="n"/>
      <c r="G88" s="161" t="n"/>
      <c r="H88" s="161" t="n"/>
      <c r="I88" s="161" t="n"/>
      <c r="J88" s="161" t="n"/>
      <c r="K88" s="161" t="n"/>
      <c r="L88" s="161" t="n"/>
      <c r="M88" s="161" t="n"/>
      <c r="N88" s="161" t="n"/>
      <c r="O88" s="161" t="n"/>
      <c r="P88" s="161" t="n"/>
      <c r="Q88" s="161" t="n"/>
      <c r="R88" s="161" t="n"/>
      <c r="S88" s="161" t="n"/>
      <c r="T88" s="161" t="n"/>
      <c r="U88" s="161" t="n"/>
      <c r="V88" s="161" t="n"/>
      <c r="W88" s="161" t="n"/>
      <c r="X88" s="161" t="n"/>
      <c r="Y88" s="161" t="n"/>
      <c r="Z88" s="161" t="n"/>
      <c r="AA88" s="161" t="n"/>
      <c r="AB88" s="161" t="n"/>
      <c r="AC88" s="161" t="n"/>
      <c r="AD88" s="161" t="n"/>
      <c r="AE88" s="161" t="n"/>
      <c r="AF88" s="161" t="n"/>
      <c r="AG88" s="161" t="n"/>
      <c r="AH88" s="161" t="n"/>
      <c r="AI88" s="56" t="n"/>
    </row>
    <row r="89" ht="10" customHeight="1"/>
    <row r="90">
      <c r="A90" s="43" t="inlineStr">
        <is>
          <t>STANDARDIZED DATA BRIDGE (FOR ANNUAL &amp; QUARTERLY REVIEW SHEETS)</t>
        </is>
      </c>
      <c r="B90" s="44" t="n"/>
      <c r="C90" s="44" t="n"/>
      <c r="D90" s="44" t="n"/>
      <c r="E90" s="44" t="n"/>
      <c r="F90" s="44" t="n"/>
      <c r="G90" s="44" t="n"/>
      <c r="H90" s="44" t="n"/>
      <c r="I90" s="44" t="n"/>
      <c r="J90" s="44" t="n"/>
      <c r="K90" s="44" t="n"/>
      <c r="L90" s="44" t="n"/>
      <c r="M90" s="44" t="n"/>
      <c r="N90" s="44" t="n"/>
      <c r="O90" s="44" t="n"/>
      <c r="P90" s="44" t="n"/>
      <c r="Q90" s="44" t="n"/>
      <c r="R90" s="44" t="n"/>
      <c r="S90" s="44" t="n"/>
      <c r="T90" s="44" t="n"/>
      <c r="U90" s="44" t="n"/>
      <c r="V90" s="44" t="n"/>
      <c r="W90" s="44" t="n"/>
      <c r="X90" s="44" t="n"/>
      <c r="Y90" s="44" t="n"/>
      <c r="Z90" s="44" t="n"/>
      <c r="AA90" s="44" t="n"/>
      <c r="AB90" s="44" t="n"/>
      <c r="AC90" s="44" t="n"/>
      <c r="AD90" s="44" t="n"/>
      <c r="AE90" s="44" t="n"/>
      <c r="AF90" s="44" t="n"/>
      <c r="AG90" s="44" t="n"/>
      <c r="AH90" s="44" t="n"/>
      <c r="AI90" s="44" t="n"/>
    </row>
    <row r="91" ht="15" customHeight="1">
      <c r="A91" s="53" t="inlineStr">
        <is>
          <t>Month</t>
        </is>
      </c>
      <c r="B91" s="54" t="n"/>
      <c r="C91" s="53" t="inlineStr">
        <is>
          <t>Year</t>
        </is>
      </c>
      <c r="D91" s="54" t="n"/>
      <c r="E91" s="53" t="inlineStr">
        <is>
          <t>Active Habits</t>
        </is>
      </c>
      <c r="F91" s="54" t="n"/>
      <c r="G91" s="53" t="inlineStr">
        <is>
          <t>Target Days</t>
        </is>
      </c>
      <c r="H91" s="54" t="n"/>
      <c r="I91" s="53" t="inlineStr">
        <is>
          <t>Done Checks</t>
        </is>
      </c>
      <c r="J91" s="54" t="n"/>
      <c r="K91" s="53" t="inlineStr">
        <is>
          <t>Success %</t>
        </is>
      </c>
      <c r="L91" s="54" t="n"/>
      <c r="M91" s="53" t="inlineStr">
        <is>
          <t>Perfect Days</t>
        </is>
      </c>
      <c r="N91" s="54" t="n"/>
      <c r="O91" s="53" t="inlineStr">
        <is>
          <t>Avg Sleep</t>
        </is>
      </c>
      <c r="P91" s="54" t="n"/>
      <c r="Q91" s="53" t="inlineStr">
        <is>
          <t>Best Week</t>
        </is>
      </c>
      <c r="R91" s="54" t="n"/>
      <c r="S91" s="54" t="n"/>
      <c r="T91" s="53" t="inlineStr">
        <is>
          <t>Top Life Domain</t>
        </is>
      </c>
      <c r="U91" s="54" t="n"/>
      <c r="V91" s="54" t="n"/>
      <c r="W91" s="54" t="n"/>
    </row>
    <row r="92" ht="16" customHeight="1">
      <c r="A92" s="165" t="inlineStr">
        <is>
          <t>Feb</t>
        </is>
      </c>
      <c r="B92" s="56" t="n"/>
      <c r="C92" s="165" t="n">
        <v>2029</v>
      </c>
      <c r="D92" s="56" t="n"/>
      <c r="E92" s="166">
        <f>COUNTA(B18:B37)</f>
        <v/>
      </c>
      <c r="F92" s="56" t="n"/>
      <c r="G92" s="166">
        <f>SUM(D18:D37)</f>
        <v/>
      </c>
      <c r="H92" s="56" t="n"/>
      <c r="I92" s="166">
        <f>SUM(AJ18:AJ37)</f>
        <v/>
      </c>
      <c r="J92" s="56" t="n"/>
      <c r="K92" s="167">
        <f>IF(G92&gt;0, I92/G92, 0)</f>
        <v/>
      </c>
      <c r="L92" s="56" t="n"/>
      <c r="M92" s="166">
        <f>COUNTIF(E39:AF39, 1)</f>
        <v/>
      </c>
      <c r="N92" s="56" t="n"/>
      <c r="O92" s="168">
        <f>IFERROR(AVERAGE(E47:AF47), 0)</f>
        <v/>
      </c>
      <c r="P92" s="56" t="n"/>
      <c r="Q92" s="166">
        <f>INDEX(A76:A80, MATCH(MAX(E76:E80), E76:E80, 0))</f>
        <v/>
      </c>
      <c r="R92" s="161" t="n"/>
      <c r="S92" s="56" t="n"/>
      <c r="T92" s="166">
        <f>INDEX(N76:N80, MATCH(MAX(S76:S80), S76:S80, 0))</f>
        <v/>
      </c>
      <c r="U92" s="161" t="n"/>
      <c r="V92" s="161" t="n"/>
      <c r="W92" s="56" t="n"/>
    </row>
    <row r="93" ht="14" customHeight="1">
      <c r="A93" s="169" t="inlineStr">
        <is>
          <t>📋 Note: Reference or copy Row 92 directly into an Annual / Quarterly review dashboard to track yearly habit trends.</t>
        </is>
      </c>
    </row>
    <row r="94" ht="8" customHeight="1"/>
    <row r="95">
      <c r="A95" s="170" t="inlineStr">
        <is>
          <t>🏆 MONTHLY WINS &amp; HIGHLIGHTS</t>
        </is>
      </c>
      <c r="J95" s="171" t="inlineStr">
        <is>
          <t>⚠️ FRICTION POINTS &amp; ROOT CAUSES</t>
        </is>
      </c>
      <c r="S95" s="172" t="inlineStr">
        <is>
          <t>🎯 3 KEY ADJUSTMENTS FOR NEXT MONTH</t>
        </is>
      </c>
    </row>
    <row r="96">
      <c r="A96" s="173" t="inlineStr">
        <is>
          <t>1. What went exceptionally well this month?
2. Which habit felt effortless and consistent?
3. Major milestone achieved:</t>
        </is>
      </c>
      <c r="B96" s="174" t="n"/>
      <c r="C96" s="174" t="n"/>
      <c r="D96" s="174" t="n"/>
      <c r="E96" s="174" t="n"/>
      <c r="F96" s="174" t="n"/>
      <c r="G96" s="174" t="n"/>
      <c r="H96" s="174" t="n"/>
      <c r="J96" s="175" t="inlineStr">
        <is>
          <t>1. What caused missed or skipped days?
2. Main triggers / energy drains encountered:
3. Which habit had the lowest consistency and why?</t>
        </is>
      </c>
      <c r="K96" s="176" t="n"/>
      <c r="L96" s="176" t="n"/>
      <c r="M96" s="176" t="n"/>
      <c r="N96" s="176" t="n"/>
      <c r="O96" s="176" t="n"/>
      <c r="P96" s="176" t="n"/>
      <c r="Q96" s="176" t="n"/>
      <c r="S96" s="177" t="inlineStr">
        <is>
          <t>1. Habit Stacking or time adjustment for next month:
2. Environment design change to eliminate friction:
3. One non-negotiable priority protocol:</t>
        </is>
      </c>
      <c r="T96" s="178" t="n"/>
      <c r="U96" s="178" t="n"/>
      <c r="V96" s="178" t="n"/>
      <c r="W96" s="178" t="n"/>
      <c r="X96" s="178" t="n"/>
      <c r="Y96" s="178" t="n"/>
      <c r="Z96" s="178" t="n"/>
    </row>
    <row r="97">
      <c r="A97" s="174" t="n"/>
      <c r="B97" s="174" t="n"/>
      <c r="C97" s="174" t="n"/>
      <c r="D97" s="174" t="n"/>
      <c r="E97" s="174" t="n"/>
      <c r="F97" s="174" t="n"/>
      <c r="G97" s="174" t="n"/>
      <c r="H97" s="174" t="n"/>
      <c r="J97" s="176" t="n"/>
      <c r="K97" s="176" t="n"/>
      <c r="L97" s="176" t="n"/>
      <c r="M97" s="176" t="n"/>
      <c r="N97" s="176" t="n"/>
      <c r="O97" s="176" t="n"/>
      <c r="P97" s="176" t="n"/>
      <c r="Q97" s="176" t="n"/>
      <c r="S97" s="178" t="n"/>
      <c r="T97" s="178" t="n"/>
      <c r="U97" s="178" t="n"/>
      <c r="V97" s="178" t="n"/>
      <c r="W97" s="178" t="n"/>
      <c r="X97" s="178" t="n"/>
      <c r="Y97" s="178" t="n"/>
      <c r="Z97" s="178" t="n"/>
    </row>
    <row r="98">
      <c r="A98" s="174" t="n"/>
      <c r="B98" s="174" t="n"/>
      <c r="C98" s="174" t="n"/>
      <c r="D98" s="174" t="n"/>
      <c r="E98" s="174" t="n"/>
      <c r="F98" s="174" t="n"/>
      <c r="G98" s="174" t="n"/>
      <c r="H98" s="174" t="n"/>
      <c r="J98" s="176" t="n"/>
      <c r="K98" s="176" t="n"/>
      <c r="L98" s="176" t="n"/>
      <c r="M98" s="176" t="n"/>
      <c r="N98" s="176" t="n"/>
      <c r="O98" s="176" t="n"/>
      <c r="P98" s="176" t="n"/>
      <c r="Q98" s="176" t="n"/>
      <c r="S98" s="178" t="n"/>
      <c r="T98" s="178" t="n"/>
      <c r="U98" s="178" t="n"/>
      <c r="V98" s="178" t="n"/>
      <c r="W98" s="178" t="n"/>
      <c r="X98" s="178" t="n"/>
      <c r="Y98" s="178" t="n"/>
      <c r="Z98" s="178" t="n"/>
    </row>
    <row r="99">
      <c r="A99" s="174" t="n"/>
      <c r="B99" s="174" t="n"/>
      <c r="C99" s="174" t="n"/>
      <c r="D99" s="174" t="n"/>
      <c r="E99" s="174" t="n"/>
      <c r="F99" s="174" t="n"/>
      <c r="G99" s="174" t="n"/>
      <c r="H99" s="174" t="n"/>
      <c r="J99" s="176" t="n"/>
      <c r="K99" s="176" t="n"/>
      <c r="L99" s="176" t="n"/>
      <c r="M99" s="176" t="n"/>
      <c r="N99" s="176" t="n"/>
      <c r="O99" s="176" t="n"/>
      <c r="P99" s="176" t="n"/>
      <c r="Q99" s="176" t="n"/>
      <c r="S99" s="178" t="n"/>
      <c r="T99" s="178" t="n"/>
      <c r="U99" s="178" t="n"/>
      <c r="V99" s="178" t="n"/>
      <c r="W99" s="178" t="n"/>
      <c r="X99" s="178" t="n"/>
      <c r="Y99" s="178" t="n"/>
      <c r="Z99" s="178" t="n"/>
    </row>
    <row r="100">
      <c r="A100" s="174" t="n"/>
      <c r="B100" s="174" t="n"/>
      <c r="C100" s="174" t="n"/>
      <c r="D100" s="174" t="n"/>
      <c r="E100" s="174" t="n"/>
      <c r="F100" s="174" t="n"/>
      <c r="G100" s="174" t="n"/>
      <c r="H100" s="174" t="n"/>
      <c r="J100" s="176" t="n"/>
      <c r="K100" s="176" t="n"/>
      <c r="L100" s="176" t="n"/>
      <c r="M100" s="176" t="n"/>
      <c r="N100" s="176" t="n"/>
      <c r="O100" s="176" t="n"/>
      <c r="P100" s="176" t="n"/>
      <c r="Q100" s="176" t="n"/>
      <c r="S100" s="178" t="n"/>
      <c r="T100" s="178" t="n"/>
      <c r="U100" s="178" t="n"/>
      <c r="V100" s="178" t="n"/>
      <c r="W100" s="178" t="n"/>
      <c r="X100" s="178" t="n"/>
      <c r="Y100" s="178" t="n"/>
      <c r="Z100" s="178" t="n"/>
    </row>
    <row r="101">
      <c r="A101" s="174" t="n"/>
      <c r="B101" s="174" t="n"/>
      <c r="C101" s="174" t="n"/>
      <c r="D101" s="174" t="n"/>
      <c r="E101" s="174" t="n"/>
      <c r="F101" s="174" t="n"/>
      <c r="G101" s="174" t="n"/>
      <c r="H101" s="174" t="n"/>
      <c r="J101" s="176" t="n"/>
      <c r="K101" s="176" t="n"/>
      <c r="L101" s="176" t="n"/>
      <c r="M101" s="176" t="n"/>
      <c r="N101" s="176" t="n"/>
      <c r="O101" s="176" t="n"/>
      <c r="P101" s="176" t="n"/>
      <c r="Q101" s="176" t="n"/>
      <c r="S101" s="178" t="n"/>
      <c r="T101" s="178" t="n"/>
      <c r="U101" s="178" t="n"/>
      <c r="V101" s="178" t="n"/>
      <c r="W101" s="178" t="n"/>
      <c r="X101" s="178" t="n"/>
      <c r="Y101" s="178" t="n"/>
      <c r="Z101" s="178" t="n"/>
    </row>
    <row r="102">
      <c r="A102" s="174" t="n"/>
      <c r="B102" s="174" t="n"/>
      <c r="C102" s="174" t="n"/>
      <c r="D102" s="174" t="n"/>
      <c r="E102" s="174" t="n"/>
      <c r="F102" s="174" t="n"/>
      <c r="G102" s="174" t="n"/>
      <c r="H102" s="174" t="n"/>
      <c r="J102" s="176" t="n"/>
      <c r="K102" s="176" t="n"/>
      <c r="L102" s="176" t="n"/>
      <c r="M102" s="176" t="n"/>
      <c r="N102" s="176" t="n"/>
      <c r="O102" s="176" t="n"/>
      <c r="P102" s="176" t="n"/>
      <c r="Q102" s="176" t="n"/>
      <c r="S102" s="178" t="n"/>
      <c r="T102" s="178" t="n"/>
      <c r="U102" s="178" t="n"/>
      <c r="V102" s="178" t="n"/>
      <c r="W102" s="178" t="n"/>
      <c r="X102" s="178" t="n"/>
      <c r="Y102" s="178" t="n"/>
      <c r="Z102" s="178" t="n"/>
    </row>
    <row r="103">
      <c r="A103" s="174" t="n"/>
      <c r="B103" s="174" t="n"/>
      <c r="C103" s="174" t="n"/>
      <c r="D103" s="174" t="n"/>
      <c r="E103" s="174" t="n"/>
      <c r="F103" s="174" t="n"/>
      <c r="G103" s="174" t="n"/>
      <c r="H103" s="174" t="n"/>
      <c r="J103" s="176" t="n"/>
      <c r="K103" s="176" t="n"/>
      <c r="L103" s="176" t="n"/>
      <c r="M103" s="176" t="n"/>
      <c r="N103" s="176" t="n"/>
      <c r="O103" s="176" t="n"/>
      <c r="P103" s="176" t="n"/>
      <c r="Q103" s="176" t="n"/>
      <c r="S103" s="178" t="n"/>
      <c r="T103" s="178" t="n"/>
      <c r="U103" s="178" t="n"/>
      <c r="V103" s="178" t="n"/>
      <c r="W103" s="178" t="n"/>
      <c r="X103" s="178" t="n"/>
      <c r="Y103" s="178" t="n"/>
      <c r="Z103" s="178" t="n"/>
    </row>
  </sheetData>
  <sheetProtection selectLockedCells="1" selectUnlockedCells="1" sheet="1" objects="0" insertRows="1" insertHyperlinks="1" autoFilter="1" scenarios="0" formatColumns="1" deleteColumns="1" insertColumns="1" pivotTables="1" deleteRows="1" formatCells="1" formatRows="1" sort="1"/>
  <mergeCells count="94">
    <mergeCell ref="A9:N9"/>
    <mergeCell ref="N76:O76"/>
    <mergeCell ref="F67:I67"/>
    <mergeCell ref="A93:AI93"/>
    <mergeCell ref="G87:I87"/>
    <mergeCell ref="A16:A17"/>
    <mergeCell ref="A45:D46"/>
    <mergeCell ref="C16:C17"/>
    <mergeCell ref="N75:O75"/>
    <mergeCell ref="N77:O77"/>
    <mergeCell ref="P68:S70"/>
    <mergeCell ref="P6:AI6"/>
    <mergeCell ref="D16:D17"/>
    <mergeCell ref="N85:Q85"/>
    <mergeCell ref="A95:H95"/>
    <mergeCell ref="Q91:S91"/>
    <mergeCell ref="P7:AI7"/>
    <mergeCell ref="E91:F91"/>
    <mergeCell ref="A8:N8"/>
    <mergeCell ref="G91:H91"/>
    <mergeCell ref="J86:M86"/>
    <mergeCell ref="A12:AI14"/>
    <mergeCell ref="K67:N67"/>
    <mergeCell ref="S95:Z95"/>
    <mergeCell ref="N79:O79"/>
    <mergeCell ref="K92:L92"/>
    <mergeCell ref="C92:D92"/>
    <mergeCell ref="M92:N92"/>
    <mergeCell ref="F71:I71"/>
    <mergeCell ref="P9:AI9"/>
    <mergeCell ref="K68:N70"/>
    <mergeCell ref="T91:W91"/>
    <mergeCell ref="AG16:AG17"/>
    <mergeCell ref="AI16:AI17"/>
    <mergeCell ref="J95:Q95"/>
    <mergeCell ref="A84:AI84"/>
    <mergeCell ref="D85:F85"/>
    <mergeCell ref="N74:S74"/>
    <mergeCell ref="F68:I70"/>
    <mergeCell ref="A91:B91"/>
    <mergeCell ref="N78:O78"/>
    <mergeCell ref="C91:D91"/>
    <mergeCell ref="M91:N91"/>
    <mergeCell ref="O91:P91"/>
    <mergeCell ref="R86:U86"/>
    <mergeCell ref="N80:O80"/>
    <mergeCell ref="B16:B17"/>
    <mergeCell ref="A71:D71"/>
    <mergeCell ref="J85:M85"/>
    <mergeCell ref="D86:F86"/>
    <mergeCell ref="A92:B92"/>
    <mergeCell ref="N87:Q87"/>
    <mergeCell ref="A1:B1"/>
    <mergeCell ref="E92:F92"/>
    <mergeCell ref="A68:D70"/>
    <mergeCell ref="P71:S71"/>
    <mergeCell ref="A86:C86"/>
    <mergeCell ref="D87:F87"/>
    <mergeCell ref="O92:P92"/>
    <mergeCell ref="A6:N6"/>
    <mergeCell ref="A88:AI88"/>
    <mergeCell ref="A39:D39"/>
    <mergeCell ref="A41:AI41"/>
    <mergeCell ref="A90:AI90"/>
    <mergeCell ref="H2:AA2"/>
    <mergeCell ref="G86:I86"/>
    <mergeCell ref="A96:H103"/>
    <mergeCell ref="P67:S67"/>
    <mergeCell ref="A42:AI42"/>
    <mergeCell ref="AH16:AH17"/>
    <mergeCell ref="T92:W92"/>
    <mergeCell ref="H3:AA3"/>
    <mergeCell ref="R85:U85"/>
    <mergeCell ref="K71:N71"/>
    <mergeCell ref="S96:Z103"/>
    <mergeCell ref="A38:D38"/>
    <mergeCell ref="A67:D67"/>
    <mergeCell ref="I91:J91"/>
    <mergeCell ref="A85:C85"/>
    <mergeCell ref="K91:L91"/>
    <mergeCell ref="N86:Q86"/>
    <mergeCell ref="A7:N7"/>
    <mergeCell ref="P8:AI8"/>
    <mergeCell ref="A74:E74"/>
    <mergeCell ref="G85:I85"/>
    <mergeCell ref="G92:H92"/>
    <mergeCell ref="I92:J92"/>
    <mergeCell ref="R87:U87"/>
    <mergeCell ref="AB2:AI2"/>
    <mergeCell ref="J87:M87"/>
    <mergeCell ref="J96:Q103"/>
    <mergeCell ref="Q92:S92"/>
    <mergeCell ref="A87:C87"/>
    <mergeCell ref="A47:D47"/>
  </mergeCells>
  <conditionalFormatting sqref="AG18:AG37">
    <cfRule type="dataBar" priority="1">
      <dataBar>
        <cfvo type="num" val="0"/>
        <cfvo type="num" val="1"/>
        <color rgb="0010B981"/>
      </dataBar>
    </cfRule>
  </conditionalFormatting>
  <conditionalFormatting sqref="E18:AF37">
    <cfRule type="cellIs" priority="2" operator="equal" dxfId="0">
      <formula>"✓"</formula>
    </cfRule>
    <cfRule type="cellIs" priority="3" operator="equal" dxfId="0">
      <formula>"✔"</formula>
    </cfRule>
    <cfRule type="cellIs" priority="4" operator="equal" dxfId="1">
      <formula>"✗"</formula>
    </cfRule>
    <cfRule type="cellIs" priority="5" operator="equal" dxfId="1">
      <formula>"x"</formula>
    </cfRule>
    <cfRule type="cellIs" priority="6" operator="equal" dxfId="1">
      <formula>"X"</formula>
    </cfRule>
  </conditionalFormatting>
  <conditionalFormatting sqref="E16:E17">
    <cfRule type="expression" priority="7" dxfId="2">
      <formula>AND(DAY(TODAY())=1, MONTH(TODAY())=2, YEAR(TODAY())=2029)</formula>
    </cfRule>
  </conditionalFormatting>
  <conditionalFormatting sqref="F16:F17">
    <cfRule type="expression" priority="8" dxfId="2">
      <formula>AND(DAY(TODAY())=2, MONTH(TODAY())=2, YEAR(TODAY())=2029)</formula>
    </cfRule>
  </conditionalFormatting>
  <conditionalFormatting sqref="G16:G17">
    <cfRule type="expression" priority="9" dxfId="2">
      <formula>AND(DAY(TODAY())=3, MONTH(TODAY())=2, YEAR(TODAY())=2029)</formula>
    </cfRule>
  </conditionalFormatting>
  <conditionalFormatting sqref="H16:H17">
    <cfRule type="expression" priority="10" dxfId="2">
      <formula>AND(DAY(TODAY())=4, MONTH(TODAY())=2, YEAR(TODAY())=2029)</formula>
    </cfRule>
  </conditionalFormatting>
  <conditionalFormatting sqref="I16:I17">
    <cfRule type="expression" priority="11" dxfId="2">
      <formula>AND(DAY(TODAY())=5, MONTH(TODAY())=2, YEAR(TODAY())=2029)</formula>
    </cfRule>
  </conditionalFormatting>
  <conditionalFormatting sqref="J16:J17">
    <cfRule type="expression" priority="12" dxfId="2">
      <formula>AND(DAY(TODAY())=6, MONTH(TODAY())=2, YEAR(TODAY())=2029)</formula>
    </cfRule>
  </conditionalFormatting>
  <conditionalFormatting sqref="K16:K17">
    <cfRule type="expression" priority="13" dxfId="2">
      <formula>AND(DAY(TODAY())=7, MONTH(TODAY())=2, YEAR(TODAY())=2029)</formula>
    </cfRule>
  </conditionalFormatting>
  <conditionalFormatting sqref="L16:L17">
    <cfRule type="expression" priority="14" dxfId="2">
      <formula>AND(DAY(TODAY())=8, MONTH(TODAY())=2, YEAR(TODAY())=2029)</formula>
    </cfRule>
  </conditionalFormatting>
  <conditionalFormatting sqref="M16:M17">
    <cfRule type="expression" priority="15" dxfId="2">
      <formula>AND(DAY(TODAY())=9, MONTH(TODAY())=2, YEAR(TODAY())=2029)</formula>
    </cfRule>
  </conditionalFormatting>
  <conditionalFormatting sqref="N16:N17">
    <cfRule type="expression" priority="16" dxfId="2">
      <formula>AND(DAY(TODAY())=10, MONTH(TODAY())=2, YEAR(TODAY())=2029)</formula>
    </cfRule>
  </conditionalFormatting>
  <conditionalFormatting sqref="O16:O17">
    <cfRule type="expression" priority="17" dxfId="2">
      <formula>AND(DAY(TODAY())=11, MONTH(TODAY())=2, YEAR(TODAY())=2029)</formula>
    </cfRule>
  </conditionalFormatting>
  <conditionalFormatting sqref="P16:P17">
    <cfRule type="expression" priority="18" dxfId="2">
      <formula>AND(DAY(TODAY())=12, MONTH(TODAY())=2, YEAR(TODAY())=2029)</formula>
    </cfRule>
  </conditionalFormatting>
  <conditionalFormatting sqref="Q16:Q17">
    <cfRule type="expression" priority="19" dxfId="2">
      <formula>AND(DAY(TODAY())=13, MONTH(TODAY())=2, YEAR(TODAY())=2029)</formula>
    </cfRule>
  </conditionalFormatting>
  <conditionalFormatting sqref="R16:R17">
    <cfRule type="expression" priority="20" dxfId="2">
      <formula>AND(DAY(TODAY())=14, MONTH(TODAY())=2, YEAR(TODAY())=2029)</formula>
    </cfRule>
  </conditionalFormatting>
  <conditionalFormatting sqref="S16:S17">
    <cfRule type="expression" priority="21" dxfId="2">
      <formula>AND(DAY(TODAY())=15, MONTH(TODAY())=2, YEAR(TODAY())=2029)</formula>
    </cfRule>
  </conditionalFormatting>
  <conditionalFormatting sqref="T16:T17">
    <cfRule type="expression" priority="22" dxfId="2">
      <formula>AND(DAY(TODAY())=16, MONTH(TODAY())=2, YEAR(TODAY())=2029)</formula>
    </cfRule>
  </conditionalFormatting>
  <conditionalFormatting sqref="U16:U17">
    <cfRule type="expression" priority="23" dxfId="2">
      <formula>AND(DAY(TODAY())=17, MONTH(TODAY())=2, YEAR(TODAY())=2029)</formula>
    </cfRule>
  </conditionalFormatting>
  <conditionalFormatting sqref="V16:V17">
    <cfRule type="expression" priority="24" dxfId="2">
      <formula>AND(DAY(TODAY())=18, MONTH(TODAY())=2, YEAR(TODAY())=2029)</formula>
    </cfRule>
  </conditionalFormatting>
  <conditionalFormatting sqref="W16:W17">
    <cfRule type="expression" priority="25" dxfId="2">
      <formula>AND(DAY(TODAY())=19, MONTH(TODAY())=2, YEAR(TODAY())=2029)</formula>
    </cfRule>
  </conditionalFormatting>
  <conditionalFormatting sqref="X16:X17">
    <cfRule type="expression" priority="26" dxfId="2">
      <formula>AND(DAY(TODAY())=20, MONTH(TODAY())=2, YEAR(TODAY())=2029)</formula>
    </cfRule>
  </conditionalFormatting>
  <conditionalFormatting sqref="Y16:Y17">
    <cfRule type="expression" priority="27" dxfId="2">
      <formula>AND(DAY(TODAY())=21, MONTH(TODAY())=2, YEAR(TODAY())=2029)</formula>
    </cfRule>
  </conditionalFormatting>
  <conditionalFormatting sqref="Z16:Z17">
    <cfRule type="expression" priority="28" dxfId="2">
      <formula>AND(DAY(TODAY())=22, MONTH(TODAY())=2, YEAR(TODAY())=2029)</formula>
    </cfRule>
  </conditionalFormatting>
  <conditionalFormatting sqref="AA16:AA17">
    <cfRule type="expression" priority="29" dxfId="2">
      <formula>AND(DAY(TODAY())=23, MONTH(TODAY())=2, YEAR(TODAY())=2029)</formula>
    </cfRule>
  </conditionalFormatting>
  <conditionalFormatting sqref="AB16:AB17">
    <cfRule type="expression" priority="30" dxfId="2">
      <formula>AND(DAY(TODAY())=24, MONTH(TODAY())=2, YEAR(TODAY())=2029)</formula>
    </cfRule>
  </conditionalFormatting>
  <conditionalFormatting sqref="AC16:AC17">
    <cfRule type="expression" priority="31" dxfId="2">
      <formula>AND(DAY(TODAY())=25, MONTH(TODAY())=2, YEAR(TODAY())=2029)</formula>
    </cfRule>
  </conditionalFormatting>
  <conditionalFormatting sqref="AD16:AD17">
    <cfRule type="expression" priority="32" dxfId="2">
      <formula>AND(DAY(TODAY())=26, MONTH(TODAY())=2, YEAR(TODAY())=2029)</formula>
    </cfRule>
  </conditionalFormatting>
  <conditionalFormatting sqref="AE16:AE17">
    <cfRule type="expression" priority="33" dxfId="2">
      <formula>AND(DAY(TODAY())=27, MONTH(TODAY())=2, YEAR(TODAY())=2029)</formula>
    </cfRule>
  </conditionalFormatting>
  <conditionalFormatting sqref="AF16:AF17">
    <cfRule type="expression" priority="34" dxfId="2">
      <formula>AND(DAY(TODAY())=28, MONTH(TODAY())=2, YEAR(TODAY())=2029)</formula>
    </cfRule>
  </conditionalFormatting>
  <dataValidations count="4">
    <dataValidation sqref="C18:C37" showDropDown="0" showInputMessage="0" showErrorMessage="0" allowBlank="1" type="list">
      <formula1>"Health &amp; Fitness,Mindset &amp; Learning,Career &amp; Focus,Personal &amp; Home,Finance &amp; Wealth,Other"</formula1>
    </dataValidation>
    <dataValidation sqref="D18:D37" showDropDown="0" showInputMessage="0" showErrorMessage="0" allowBlank="1" type="list">
      <formula1>"1,2,3,4,5,6,7,8,9,10,11,12,13,14,15,16,17,18,19,20,21,22,23,24,25,26,27,28,29,30,31"</formula1>
    </dataValidation>
    <dataValidation sqref="E18:AF37" showDropDown="0" showInputMessage="0" showErrorMessage="0" allowBlank="1" type="list">
      <formula1>"✓,✗"</formula1>
    </dataValidation>
    <dataValidation sqref="E47:AF47" showDropDown="0" showInputMessage="0" showErrorMessage="0" allowBlank="1" type="list">
      <formula1>"1,2,3,4,5,6,7,8,9,10,11,12,13,14,15,16,17,18,19,20,21,22,23,24"</formula1>
    </dataValidation>
  </dataValidations>
  <hyperlinks>
    <hyperlink xmlns:r="http://schemas.openxmlformats.org/officeDocument/2006/relationships" ref="A1" r:id="rId1"/>
    <hyperlink xmlns:r="http://schemas.openxmlformats.org/officeDocument/2006/relationships" ref="C1" r:id="rId2"/>
    <hyperlink xmlns:r="http://schemas.openxmlformats.org/officeDocument/2006/relationships" ref="D1" r:id="rId3"/>
    <hyperlink xmlns:r="http://schemas.openxmlformats.org/officeDocument/2006/relationships" ref="E1" r:id="rId4"/>
    <hyperlink xmlns:r="http://schemas.openxmlformats.org/officeDocument/2006/relationships" ref="F1" r:id="rId5"/>
    <hyperlink xmlns:r="http://schemas.openxmlformats.org/officeDocument/2006/relationships" ref="G1" r:id="rId6"/>
    <hyperlink xmlns:r="http://schemas.openxmlformats.org/officeDocument/2006/relationships" ref="H1" r:id="rId7"/>
    <hyperlink xmlns:r="http://schemas.openxmlformats.org/officeDocument/2006/relationships" ref="I1" r:id="rId8"/>
    <hyperlink xmlns:r="http://schemas.openxmlformats.org/officeDocument/2006/relationships" ref="J1" r:id="rId9"/>
    <hyperlink xmlns:r="http://schemas.openxmlformats.org/officeDocument/2006/relationships" ref="K1" r:id="rId10"/>
  </hyperlinks>
  <printOptions horizontalCentered="1" verticalCentered="0"/>
  <pageMargins left="0.75" right="0.75" top="1" bottom="1" header="0.5" footer="0.5"/>
  <pageSetup orientation="landscape" paperSize="9" fitToHeight="0" fitToWidth="1"/>
  <drawing xmlns:r="http://schemas.openxmlformats.org/officeDocument/2006/relationships" r:id="rId11"/>
</worksheet>
</file>

<file path=xl/worksheets/sheet34.xml><?xml version="1.0" encoding="utf-8"?>
<worksheet xmlns="http://schemas.openxmlformats.org/spreadsheetml/2006/main">
  <sheetPr>
    <outlinePr summaryBelow="1" summaryRight="1"/>
    <pageSetUpPr fitToPage="1"/>
  </sheetPr>
  <dimension ref="A1:AM103"/>
  <sheetViews>
    <sheetView showGridLines="1" workbookViewId="0">
      <selection activeCell="A1" sqref="A1"/>
    </sheetView>
  </sheetViews>
  <sheetFormatPr baseColWidth="8" defaultRowHeight="15"/>
  <cols>
    <col width="6" customWidth="1" min="1" max="1"/>
    <col width="25" customWidth="1" min="2" max="2"/>
    <col width="16.5" customWidth="1" min="3" max="3"/>
    <col width="8" customWidth="1" min="4" max="4"/>
    <col width="4.8" customWidth="1" min="5" max="5"/>
    <col width="4.8" customWidth="1" min="6" max="6"/>
    <col width="4.8" customWidth="1" min="7" max="7"/>
    <col width="4.8" customWidth="1" min="8" max="8"/>
    <col width="4.8" customWidth="1" min="9" max="9"/>
    <col width="4.8" customWidth="1" min="10" max="10"/>
    <col width="4.8" customWidth="1" min="11" max="11"/>
    <col width="4.8" customWidth="1" min="12" max="12"/>
    <col width="4.8" customWidth="1" min="13" max="13"/>
    <col width="4.8" customWidth="1" min="14" max="14"/>
    <col width="4.8" customWidth="1" min="15" max="15"/>
    <col width="4.8" customWidth="1" min="16" max="16"/>
    <col width="4.8" customWidth="1" min="17" max="17"/>
    <col width="4.8" customWidth="1" min="18" max="18"/>
    <col width="4.8" customWidth="1" min="19" max="19"/>
    <col width="4.8" customWidth="1" min="20" max="20"/>
    <col width="4.8" customWidth="1" min="21" max="21"/>
    <col width="4.8" customWidth="1" min="22" max="22"/>
    <col width="4.8" customWidth="1" min="23" max="23"/>
    <col width="4.8" customWidth="1" min="24" max="24"/>
    <col width="4.8" customWidth="1" min="25" max="25"/>
    <col width="4.8" customWidth="1" min="26" max="26"/>
    <col width="4.8" customWidth="1" min="27" max="27"/>
    <col width="4.8" customWidth="1" min="28" max="28"/>
    <col width="4.8" customWidth="1" min="29" max="29"/>
    <col width="4.8" customWidth="1" min="30" max="30"/>
    <col width="4.8" customWidth="1" min="31" max="31"/>
    <col width="4.8" customWidth="1" min="32" max="32"/>
    <col width="4.8" customWidth="1" min="33" max="33"/>
    <col width="4.8" customWidth="1" min="34" max="34"/>
    <col width="4.8" customWidth="1" min="35" max="35"/>
    <col width="11.5" customWidth="1" min="36" max="36"/>
    <col width="12" customWidth="1" min="37" max="37"/>
    <col width="13.5" customWidth="1" min="38" max="38"/>
    <col hidden="1" width="8" customWidth="1" min="39" max="39"/>
  </cols>
  <sheetData>
    <row r="1" ht="18" customHeight="1">
      <c r="A1" s="76" t="inlineStr">
        <is>
          <t>🏠 Master Dashboard</t>
        </is>
      </c>
      <c r="B1" s="40" t="n"/>
      <c r="C1" s="77" t="inlineStr">
        <is>
          <t>🏛️ Quarterly Hub</t>
        </is>
      </c>
      <c r="D1" s="78" t="inlineStr">
        <is>
          <t>📚 Habit Library</t>
        </is>
      </c>
      <c r="E1" s="80" t="inlineStr">
        <is>
          <t>2026</t>
        </is>
      </c>
      <c r="F1" s="80" t="inlineStr">
        <is>
          <t>2027</t>
        </is>
      </c>
      <c r="G1" s="80" t="inlineStr">
        <is>
          <t>2028</t>
        </is>
      </c>
      <c r="H1" s="79" t="inlineStr">
        <is>
          <t>2029</t>
        </is>
      </c>
      <c r="I1" s="80" t="inlineStr">
        <is>
          <t>2030</t>
        </is>
      </c>
      <c r="J1" s="82" t="inlineStr">
        <is>
          <t>◀ Prev</t>
        </is>
      </c>
      <c r="K1" s="82" t="inlineStr">
        <is>
          <t>Next ▶</t>
        </is>
      </c>
    </row>
    <row r="2" ht="24" customHeight="1">
      <c r="A2" s="83" t="inlineStr">
        <is>
          <t>Habit Tracker</t>
        </is>
      </c>
      <c r="H2" s="84" t="inlineStr">
        <is>
          <t>"Action is the foundational key to all success."</t>
        </is>
      </c>
      <c r="AE2" s="85" t="inlineStr">
        <is>
          <t>@surajvansh</t>
        </is>
      </c>
    </row>
    <row r="3" ht="18" customHeight="1">
      <c r="A3" s="86" t="inlineStr">
        <is>
          <t>March 2029</t>
        </is>
      </c>
      <c r="H3" s="87" t="inlineStr">
        <is>
          <t>31 Days Dashboard</t>
        </is>
      </c>
    </row>
    <row r="4" ht="5" customHeight="1"/>
    <row r="5" ht="16" customHeight="1">
      <c r="A5" s="88" t="inlineStr">
        <is>
          <t>MONTHLY TARGETS</t>
        </is>
      </c>
    </row>
    <row r="6" ht="13" customHeight="1">
      <c r="A6" s="89" t="inlineStr">
        <is>
          <t>1. ____________________ : ____________________</t>
        </is>
      </c>
      <c r="P6" s="89" t="inlineStr">
        <is>
          <t>5. ____________________ : ____________________</t>
        </is>
      </c>
    </row>
    <row r="7" ht="13" customHeight="1">
      <c r="A7" s="89" t="inlineStr">
        <is>
          <t>2. ____________________ : ____________________</t>
        </is>
      </c>
      <c r="P7" s="89" t="inlineStr">
        <is>
          <t>6. ____________________ : ____________________</t>
        </is>
      </c>
    </row>
    <row r="8" ht="13" customHeight="1">
      <c r="A8" s="89" t="inlineStr">
        <is>
          <t>3. ____________________ : ____________________</t>
        </is>
      </c>
      <c r="P8" s="89" t="inlineStr">
        <is>
          <t>7. ____________________ : ____________________</t>
        </is>
      </c>
    </row>
    <row r="9" ht="13" customHeight="1">
      <c r="A9" s="89" t="inlineStr">
        <is>
          <t>4. ____________________ : ____________________</t>
        </is>
      </c>
      <c r="P9" s="89" t="inlineStr">
        <is>
          <t>8. ____________________ : ____________________</t>
        </is>
      </c>
    </row>
    <row r="10" ht="5" customHeight="1"/>
    <row r="11" ht="15" customHeight="1">
      <c r="A11" s="88" t="inlineStr">
        <is>
          <t>NOTES:</t>
        </is>
      </c>
    </row>
    <row r="12" ht="13" customHeight="1">
      <c r="A12" s="90" t="n"/>
      <c r="B12" s="91" t="n"/>
      <c r="C12" s="91" t="n"/>
      <c r="D12" s="91" t="n"/>
      <c r="E12" s="91" t="n"/>
      <c r="F12" s="91" t="n"/>
      <c r="G12" s="91" t="n"/>
      <c r="H12" s="91" t="n"/>
      <c r="I12" s="91" t="n"/>
      <c r="J12" s="91" t="n"/>
      <c r="K12" s="91" t="n"/>
      <c r="L12" s="91" t="n"/>
      <c r="M12" s="91" t="n"/>
      <c r="N12" s="91" t="n"/>
      <c r="O12" s="91" t="n"/>
      <c r="P12" s="91" t="n"/>
      <c r="Q12" s="91" t="n"/>
      <c r="R12" s="91" t="n"/>
      <c r="S12" s="91" t="n"/>
      <c r="T12" s="91" t="n"/>
      <c r="U12" s="91" t="n"/>
      <c r="V12" s="91" t="n"/>
      <c r="W12" s="91" t="n"/>
      <c r="X12" s="91" t="n"/>
      <c r="Y12" s="91" t="n"/>
      <c r="Z12" s="91" t="n"/>
      <c r="AA12" s="91" t="n"/>
      <c r="AB12" s="91" t="n"/>
      <c r="AC12" s="91" t="n"/>
      <c r="AD12" s="91" t="n"/>
      <c r="AE12" s="91" t="n"/>
      <c r="AF12" s="91" t="n"/>
      <c r="AG12" s="91" t="n"/>
      <c r="AH12" s="91" t="n"/>
      <c r="AI12" s="91" t="n"/>
      <c r="AJ12" s="91" t="n"/>
      <c r="AK12" s="91" t="n"/>
      <c r="AL12" s="91" t="n"/>
    </row>
    <row r="13" ht="13" customHeight="1">
      <c r="A13" s="91" t="n"/>
      <c r="B13" s="91" t="n"/>
      <c r="C13" s="91" t="n"/>
      <c r="D13" s="91" t="n"/>
      <c r="E13" s="91" t="n"/>
      <c r="F13" s="91" t="n"/>
      <c r="G13" s="91" t="n"/>
      <c r="H13" s="91" t="n"/>
      <c r="I13" s="91" t="n"/>
      <c r="J13" s="91" t="n"/>
      <c r="K13" s="91" t="n"/>
      <c r="L13" s="91" t="n"/>
      <c r="M13" s="91" t="n"/>
      <c r="N13" s="91" t="n"/>
      <c r="O13" s="91" t="n"/>
      <c r="P13" s="91" t="n"/>
      <c r="Q13" s="91" t="n"/>
      <c r="R13" s="91" t="n"/>
      <c r="S13" s="91" t="n"/>
      <c r="T13" s="91" t="n"/>
      <c r="U13" s="91" t="n"/>
      <c r="V13" s="91" t="n"/>
      <c r="W13" s="91" t="n"/>
      <c r="X13" s="91" t="n"/>
      <c r="Y13" s="91" t="n"/>
      <c r="Z13" s="91" t="n"/>
      <c r="AA13" s="91" t="n"/>
      <c r="AB13" s="91" t="n"/>
      <c r="AC13" s="91" t="n"/>
      <c r="AD13" s="91" t="n"/>
      <c r="AE13" s="91" t="n"/>
      <c r="AF13" s="91" t="n"/>
      <c r="AG13" s="91" t="n"/>
      <c r="AH13" s="91" t="n"/>
      <c r="AI13" s="91" t="n"/>
      <c r="AJ13" s="91" t="n"/>
      <c r="AK13" s="91" t="n"/>
      <c r="AL13" s="91" t="n"/>
    </row>
    <row r="14" ht="13" customHeight="1">
      <c r="A14" s="91" t="n"/>
      <c r="B14" s="91" t="n"/>
      <c r="C14" s="91" t="n"/>
      <c r="D14" s="91" t="n"/>
      <c r="E14" s="91" t="n"/>
      <c r="F14" s="91" t="n"/>
      <c r="G14" s="91" t="n"/>
      <c r="H14" s="91" t="n"/>
      <c r="I14" s="91" t="n"/>
      <c r="J14" s="91" t="n"/>
      <c r="K14" s="91" t="n"/>
      <c r="L14" s="91" t="n"/>
      <c r="M14" s="91" t="n"/>
      <c r="N14" s="91" t="n"/>
      <c r="O14" s="91" t="n"/>
      <c r="P14" s="91" t="n"/>
      <c r="Q14" s="91" t="n"/>
      <c r="R14" s="91" t="n"/>
      <c r="S14" s="91" t="n"/>
      <c r="T14" s="91" t="n"/>
      <c r="U14" s="91" t="n"/>
      <c r="V14" s="91" t="n"/>
      <c r="W14" s="91" t="n"/>
      <c r="X14" s="91" t="n"/>
      <c r="Y14" s="91" t="n"/>
      <c r="Z14" s="91" t="n"/>
      <c r="AA14" s="91" t="n"/>
      <c r="AB14" s="91" t="n"/>
      <c r="AC14" s="91" t="n"/>
      <c r="AD14" s="91" t="n"/>
      <c r="AE14" s="91" t="n"/>
      <c r="AF14" s="91" t="n"/>
      <c r="AG14" s="91" t="n"/>
      <c r="AH14" s="91" t="n"/>
      <c r="AI14" s="91" t="n"/>
      <c r="AJ14" s="91" t="n"/>
      <c r="AK14" s="91" t="n"/>
      <c r="AL14" s="91" t="n"/>
    </row>
    <row r="15" ht="8" customHeight="1"/>
    <row r="16" ht="15" customHeight="1">
      <c r="A16" s="33" t="inlineStr">
        <is>
          <t>S.No.</t>
        </is>
      </c>
      <c r="B16" s="33" t="inlineStr">
        <is>
          <t>Protocols</t>
        </is>
      </c>
      <c r="C16" s="33" t="inlineStr">
        <is>
          <t>Category</t>
        </is>
      </c>
      <c r="D16" s="33" t="inlineStr">
        <is>
          <t>Target</t>
        </is>
      </c>
      <c r="E16" s="92" t="n">
        <v>1</v>
      </c>
      <c r="F16" s="92" t="n">
        <v>2</v>
      </c>
      <c r="G16" s="92" t="n">
        <v>3</v>
      </c>
      <c r="H16" s="93" t="n">
        <v>4</v>
      </c>
      <c r="I16" s="92" t="n">
        <v>5</v>
      </c>
      <c r="J16" s="92" t="n">
        <v>6</v>
      </c>
      <c r="K16" s="92" t="n">
        <v>7</v>
      </c>
      <c r="L16" s="92" t="n">
        <v>8</v>
      </c>
      <c r="M16" s="92" t="n">
        <v>9</v>
      </c>
      <c r="N16" s="92" t="n">
        <v>10</v>
      </c>
      <c r="O16" s="93" t="n">
        <v>11</v>
      </c>
      <c r="P16" s="92" t="n">
        <v>12</v>
      </c>
      <c r="Q16" s="92" t="n">
        <v>13</v>
      </c>
      <c r="R16" s="92" t="n">
        <v>14</v>
      </c>
      <c r="S16" s="92" t="n">
        <v>15</v>
      </c>
      <c r="T16" s="92" t="n">
        <v>16</v>
      </c>
      <c r="U16" s="92" t="n">
        <v>17</v>
      </c>
      <c r="V16" s="93" t="n">
        <v>18</v>
      </c>
      <c r="W16" s="92" t="n">
        <v>19</v>
      </c>
      <c r="X16" s="92" t="n">
        <v>20</v>
      </c>
      <c r="Y16" s="92" t="n">
        <v>21</v>
      </c>
      <c r="Z16" s="92" t="n">
        <v>22</v>
      </c>
      <c r="AA16" s="92" t="n">
        <v>23</v>
      </c>
      <c r="AB16" s="92" t="n">
        <v>24</v>
      </c>
      <c r="AC16" s="93" t="n">
        <v>25</v>
      </c>
      <c r="AD16" s="92" t="n">
        <v>26</v>
      </c>
      <c r="AE16" s="92" t="n">
        <v>27</v>
      </c>
      <c r="AF16" s="92" t="n">
        <v>28</v>
      </c>
      <c r="AG16" s="92" t="n">
        <v>29</v>
      </c>
      <c r="AH16" s="92" t="n">
        <v>30</v>
      </c>
      <c r="AI16" s="92" t="n">
        <v>31</v>
      </c>
      <c r="AJ16" s="94" t="inlineStr">
        <is>
          <t>Success %</t>
        </is>
      </c>
      <c r="AK16" s="94" t="inlineStr">
        <is>
          <t>Done / Target</t>
        </is>
      </c>
      <c r="AL16" s="94" t="inlineStr">
        <is>
          <t>Status</t>
        </is>
      </c>
      <c r="AM16" t="inlineStr">
        <is>
          <t>Done Count</t>
        </is>
      </c>
    </row>
    <row r="17" ht="15" customHeight="1">
      <c r="A17" s="54" t="n"/>
      <c r="B17" s="54" t="n"/>
      <c r="C17" s="54" t="n"/>
      <c r="D17" s="54" t="n"/>
      <c r="E17" s="95" t="inlineStr">
        <is>
          <t>Th</t>
        </is>
      </c>
      <c r="F17" s="95" t="inlineStr">
        <is>
          <t>F</t>
        </is>
      </c>
      <c r="G17" s="95" t="inlineStr">
        <is>
          <t>Sa</t>
        </is>
      </c>
      <c r="H17" s="96" t="inlineStr">
        <is>
          <t>Su</t>
        </is>
      </c>
      <c r="I17" s="95" t="inlineStr">
        <is>
          <t>M</t>
        </is>
      </c>
      <c r="J17" s="95" t="inlineStr">
        <is>
          <t>T</t>
        </is>
      </c>
      <c r="K17" s="95" t="inlineStr">
        <is>
          <t>W</t>
        </is>
      </c>
      <c r="L17" s="95" t="inlineStr">
        <is>
          <t>Th</t>
        </is>
      </c>
      <c r="M17" s="95" t="inlineStr">
        <is>
          <t>F</t>
        </is>
      </c>
      <c r="N17" s="95" t="inlineStr">
        <is>
          <t>Sa</t>
        </is>
      </c>
      <c r="O17" s="96" t="inlineStr">
        <is>
          <t>Su</t>
        </is>
      </c>
      <c r="P17" s="95" t="inlineStr">
        <is>
          <t>M</t>
        </is>
      </c>
      <c r="Q17" s="95" t="inlineStr">
        <is>
          <t>T</t>
        </is>
      </c>
      <c r="R17" s="95" t="inlineStr">
        <is>
          <t>W</t>
        </is>
      </c>
      <c r="S17" s="95" t="inlineStr">
        <is>
          <t>Th</t>
        </is>
      </c>
      <c r="T17" s="95" t="inlineStr">
        <is>
          <t>F</t>
        </is>
      </c>
      <c r="U17" s="95" t="inlineStr">
        <is>
          <t>Sa</t>
        </is>
      </c>
      <c r="V17" s="96" t="inlineStr">
        <is>
          <t>Su</t>
        </is>
      </c>
      <c r="W17" s="95" t="inlineStr">
        <is>
          <t>M</t>
        </is>
      </c>
      <c r="X17" s="95" t="inlineStr">
        <is>
          <t>T</t>
        </is>
      </c>
      <c r="Y17" s="95" t="inlineStr">
        <is>
          <t>W</t>
        </is>
      </c>
      <c r="Z17" s="95" t="inlineStr">
        <is>
          <t>Th</t>
        </is>
      </c>
      <c r="AA17" s="95" t="inlineStr">
        <is>
          <t>F</t>
        </is>
      </c>
      <c r="AB17" s="95" t="inlineStr">
        <is>
          <t>Sa</t>
        </is>
      </c>
      <c r="AC17" s="96" t="inlineStr">
        <is>
          <t>Su</t>
        </is>
      </c>
      <c r="AD17" s="95" t="inlineStr">
        <is>
          <t>M</t>
        </is>
      </c>
      <c r="AE17" s="95" t="inlineStr">
        <is>
          <t>T</t>
        </is>
      </c>
      <c r="AF17" s="95" t="inlineStr">
        <is>
          <t>W</t>
        </is>
      </c>
      <c r="AG17" s="95" t="inlineStr">
        <is>
          <t>Th</t>
        </is>
      </c>
      <c r="AH17" s="95" t="inlineStr">
        <is>
          <t>F</t>
        </is>
      </c>
      <c r="AI17" s="95" t="inlineStr">
        <is>
          <t>Sa</t>
        </is>
      </c>
      <c r="AJ17" s="54" t="n"/>
      <c r="AK17" s="54" t="n"/>
      <c r="AL17" s="54" t="n"/>
    </row>
    <row r="18" ht="14.5" customHeight="1">
      <c r="A18" s="97" t="n">
        <v>1</v>
      </c>
      <c r="B18" s="98" t="n"/>
      <c r="C18" s="99" t="n"/>
      <c r="D18" s="99" t="n"/>
      <c r="E18" s="100" t="n"/>
      <c r="F18" s="100" t="n"/>
      <c r="G18" s="100" t="n"/>
      <c r="H18" s="101" t="n"/>
      <c r="I18" s="100" t="n"/>
      <c r="J18" s="100" t="n"/>
      <c r="K18" s="100" t="n"/>
      <c r="L18" s="100" t="n"/>
      <c r="M18" s="100" t="n"/>
      <c r="N18" s="100" t="n"/>
      <c r="O18" s="101" t="n"/>
      <c r="P18" s="100" t="n"/>
      <c r="Q18" s="100" t="n"/>
      <c r="R18" s="100" t="n"/>
      <c r="S18" s="100" t="n"/>
      <c r="T18" s="100" t="n"/>
      <c r="U18" s="100" t="n"/>
      <c r="V18" s="101" t="n"/>
      <c r="W18" s="100" t="n"/>
      <c r="X18" s="100" t="n"/>
      <c r="Y18" s="100" t="n"/>
      <c r="Z18" s="100" t="n"/>
      <c r="AA18" s="100" t="n"/>
      <c r="AB18" s="100" t="n"/>
      <c r="AC18" s="101" t="n"/>
      <c r="AD18" s="100" t="n"/>
      <c r="AE18" s="100" t="n"/>
      <c r="AF18" s="100" t="n"/>
      <c r="AG18" s="100" t="n"/>
      <c r="AH18" s="100" t="n"/>
      <c r="AI18" s="100" t="n"/>
      <c r="AJ18" s="102">
        <f>IF(ISBLANK(B18), "", IF(ISNUMBER(D18), IF(D18&gt;0, (COUNTIF(E18:AI18, "✓") + COUNTIF(E18:AI18, "✔") + COUNTIF(E18:AI18, "v") + COUNTIF(E18:AI18, "V"))/D18, 0), IF(((COUNTIF(E18:AI18, "✓") + COUNTIF(E18:AI18, "✔") + COUNTIF(E18:AI18, "v") + COUNTIF(E18:AI18, "V")) + COUNTIF(E18:AI18, "✗") + COUNTIF(E18:AI18, "x") + COUNTIF(E18:AI18, "X"))&gt;0, (COUNTIF(E18:AI18, "✓") + COUNTIF(E18:AI18, "✔") + COUNTIF(E18:AI18, "v") + COUNTIF(E18:AI18, "V"))/((COUNTIF(E18:AI18, "✓") + COUNTIF(E18:AI18, "✔") + COUNTIF(E18:AI18, "v") + COUNTIF(E18:AI18, "V")) + COUNTIF(E18:AI18, "✗") + COUNTIF(E18:AI18, "x") + COUNTIF(E18:AI18, "X")), "")))</f>
        <v/>
      </c>
      <c r="AK18" s="103">
        <f>IF(ISBLANK(B18), "", IF(ISNUMBER(D18), IF(D18&gt;0, (COUNTIF(E18:AI18, "✓") + COUNTIF(E18:AI18, "✔") + COUNTIF(E18:AI18, "v") + COUNTIF(E18:AI18, "V")) &amp; "/" &amp; D18, (COUNTIF(E18:AI18, "✓") + COUNTIF(E18:AI18, "✔") + COUNTIF(E18:AI18, "v") + COUNTIF(E18:AI18, "V")) &amp; "/0"), IF(((COUNTIF(E18:AI18, "✓") + COUNTIF(E18:AI18, "✔") + COUNTIF(E18:AI18, "v") + COUNTIF(E18:AI18, "V")) + COUNTIF(E18:AI18, "✗") + COUNTIF(E18:AI18, "x") + COUNTIF(E18:AI18, "X"))&gt;0, (COUNTIF(E18:AI18, "✓") + COUNTIF(E18:AI18, "✔") + COUNTIF(E18:AI18, "v") + COUNTIF(E18:AI18, "V")) &amp; "/" &amp; ((COUNTIF(E18:AI18, "✓") + COUNTIF(E18:AI18, "✔") + COUNTIF(E18:AI18, "v") + COUNTIF(E18:AI18, "V")) + COUNTIF(E18:AI18, "✗") + COUNTIF(E18:AI18, "x") + COUNTIF(E18:AI18, "X")), "")))</f>
        <v/>
      </c>
      <c r="AL18" s="103">
        <f>IF(ISBLANK(B18), "", IF(AJ18&gt;=0.85, "🔥 Mastered", IF(AJ18&gt;=0.7, "⚡ Consistent", "⚠️ Needs Focus")))</f>
        <v/>
      </c>
      <c r="AM18">
        <f>COUNTIF(E18:AI18, "✓")</f>
        <v/>
      </c>
    </row>
    <row r="19" ht="14.5" customHeight="1">
      <c r="A19" s="97" t="n">
        <v>2</v>
      </c>
      <c r="B19" s="98" t="n"/>
      <c r="C19" s="99" t="n"/>
      <c r="D19" s="99" t="n"/>
      <c r="E19" s="100" t="n"/>
      <c r="F19" s="100" t="n"/>
      <c r="G19" s="100" t="n"/>
      <c r="H19" s="101" t="n"/>
      <c r="I19" s="100" t="n"/>
      <c r="J19" s="100" t="n"/>
      <c r="K19" s="100" t="n"/>
      <c r="L19" s="100" t="n"/>
      <c r="M19" s="100" t="n"/>
      <c r="N19" s="100" t="n"/>
      <c r="O19" s="101" t="n"/>
      <c r="P19" s="100" t="n"/>
      <c r="Q19" s="100" t="n"/>
      <c r="R19" s="100" t="n"/>
      <c r="S19" s="100" t="n"/>
      <c r="T19" s="100" t="n"/>
      <c r="U19" s="100" t="n"/>
      <c r="V19" s="101" t="n"/>
      <c r="W19" s="100" t="n"/>
      <c r="X19" s="100" t="n"/>
      <c r="Y19" s="100" t="n"/>
      <c r="Z19" s="100" t="n"/>
      <c r="AA19" s="100" t="n"/>
      <c r="AB19" s="100" t="n"/>
      <c r="AC19" s="101" t="n"/>
      <c r="AD19" s="100" t="n"/>
      <c r="AE19" s="100" t="n"/>
      <c r="AF19" s="100" t="n"/>
      <c r="AG19" s="100" t="n"/>
      <c r="AH19" s="100" t="n"/>
      <c r="AI19" s="100" t="n"/>
      <c r="AJ19" s="102">
        <f>IF(ISBLANK(B19), "", IF(ISNUMBER(D19), IF(D19&gt;0, (COUNTIF(E19:AI19, "✓") + COUNTIF(E19:AI19, "✔") + COUNTIF(E19:AI19, "v") + COUNTIF(E19:AI19, "V"))/D19, 0), IF(((COUNTIF(E19:AI19, "✓") + COUNTIF(E19:AI19, "✔") + COUNTIF(E19:AI19, "v") + COUNTIF(E19:AI19, "V")) + COUNTIF(E19:AI19, "✗") + COUNTIF(E19:AI19, "x") + COUNTIF(E19:AI19, "X"))&gt;0, (COUNTIF(E19:AI19, "✓") + COUNTIF(E19:AI19, "✔") + COUNTIF(E19:AI19, "v") + COUNTIF(E19:AI19, "V"))/((COUNTIF(E19:AI19, "✓") + COUNTIF(E19:AI19, "✔") + COUNTIF(E19:AI19, "v") + COUNTIF(E19:AI19, "V")) + COUNTIF(E19:AI19, "✗") + COUNTIF(E19:AI19, "x") + COUNTIF(E19:AI19, "X")), "")))</f>
        <v/>
      </c>
      <c r="AK19" s="103">
        <f>IF(ISBLANK(B19), "", IF(ISNUMBER(D19), IF(D19&gt;0, (COUNTIF(E19:AI19, "✓") + COUNTIF(E19:AI19, "✔") + COUNTIF(E19:AI19, "v") + COUNTIF(E19:AI19, "V")) &amp; "/" &amp; D19, (COUNTIF(E19:AI19, "✓") + COUNTIF(E19:AI19, "✔") + COUNTIF(E19:AI19, "v") + COUNTIF(E19:AI19, "V")) &amp; "/0"), IF(((COUNTIF(E19:AI19, "✓") + COUNTIF(E19:AI19, "✔") + COUNTIF(E19:AI19, "v") + COUNTIF(E19:AI19, "V")) + COUNTIF(E19:AI19, "✗") + COUNTIF(E19:AI19, "x") + COUNTIF(E19:AI19, "X"))&gt;0, (COUNTIF(E19:AI19, "✓") + COUNTIF(E19:AI19, "✔") + COUNTIF(E19:AI19, "v") + COUNTIF(E19:AI19, "V")) &amp; "/" &amp; ((COUNTIF(E19:AI19, "✓") + COUNTIF(E19:AI19, "✔") + COUNTIF(E19:AI19, "v") + COUNTIF(E19:AI19, "V")) + COUNTIF(E19:AI19, "✗") + COUNTIF(E19:AI19, "x") + COUNTIF(E19:AI19, "X")), "")))</f>
        <v/>
      </c>
      <c r="AL19" s="103">
        <f>IF(ISBLANK(B19), "", IF(AJ19&gt;=0.85, "🔥 Mastered", IF(AJ19&gt;=0.7, "⚡ Consistent", "⚠️ Needs Focus")))</f>
        <v/>
      </c>
      <c r="AM19">
        <f>COUNTIF(E19:AI19, "✓")</f>
        <v/>
      </c>
    </row>
    <row r="20" ht="14.5" customHeight="1">
      <c r="A20" s="97" t="n">
        <v>3</v>
      </c>
      <c r="B20" s="98" t="n"/>
      <c r="C20" s="99" t="n"/>
      <c r="D20" s="99" t="n"/>
      <c r="E20" s="100" t="n"/>
      <c r="F20" s="100" t="n"/>
      <c r="G20" s="100" t="n"/>
      <c r="H20" s="101" t="n"/>
      <c r="I20" s="100" t="n"/>
      <c r="J20" s="100" t="n"/>
      <c r="K20" s="100" t="n"/>
      <c r="L20" s="100" t="n"/>
      <c r="M20" s="100" t="n"/>
      <c r="N20" s="100" t="n"/>
      <c r="O20" s="101" t="n"/>
      <c r="P20" s="100" t="n"/>
      <c r="Q20" s="100" t="n"/>
      <c r="R20" s="100" t="n"/>
      <c r="S20" s="100" t="n"/>
      <c r="T20" s="100" t="n"/>
      <c r="U20" s="100" t="n"/>
      <c r="V20" s="101" t="n"/>
      <c r="W20" s="100" t="n"/>
      <c r="X20" s="100" t="n"/>
      <c r="Y20" s="100" t="n"/>
      <c r="Z20" s="100" t="n"/>
      <c r="AA20" s="100" t="n"/>
      <c r="AB20" s="100" t="n"/>
      <c r="AC20" s="101" t="n"/>
      <c r="AD20" s="100" t="n"/>
      <c r="AE20" s="100" t="n"/>
      <c r="AF20" s="100" t="n"/>
      <c r="AG20" s="100" t="n"/>
      <c r="AH20" s="100" t="n"/>
      <c r="AI20" s="100" t="n"/>
      <c r="AJ20" s="102">
        <f>IF(ISBLANK(B20), "", IF(ISNUMBER(D20), IF(D20&gt;0, (COUNTIF(E20:AI20, "✓") + COUNTIF(E20:AI20, "✔") + COUNTIF(E20:AI20, "v") + COUNTIF(E20:AI20, "V"))/D20, 0), IF(((COUNTIF(E20:AI20, "✓") + COUNTIF(E20:AI20, "✔") + COUNTIF(E20:AI20, "v") + COUNTIF(E20:AI20, "V")) + COUNTIF(E20:AI20, "✗") + COUNTIF(E20:AI20, "x") + COUNTIF(E20:AI20, "X"))&gt;0, (COUNTIF(E20:AI20, "✓") + COUNTIF(E20:AI20, "✔") + COUNTIF(E20:AI20, "v") + COUNTIF(E20:AI20, "V"))/((COUNTIF(E20:AI20, "✓") + COUNTIF(E20:AI20, "✔") + COUNTIF(E20:AI20, "v") + COUNTIF(E20:AI20, "V")) + COUNTIF(E20:AI20, "✗") + COUNTIF(E20:AI20, "x") + COUNTIF(E20:AI20, "X")), "")))</f>
        <v/>
      </c>
      <c r="AK20" s="103">
        <f>IF(ISBLANK(B20), "", IF(ISNUMBER(D20), IF(D20&gt;0, (COUNTIF(E20:AI20, "✓") + COUNTIF(E20:AI20, "✔") + COUNTIF(E20:AI20, "v") + COUNTIF(E20:AI20, "V")) &amp; "/" &amp; D20, (COUNTIF(E20:AI20, "✓") + COUNTIF(E20:AI20, "✔") + COUNTIF(E20:AI20, "v") + COUNTIF(E20:AI20, "V")) &amp; "/0"), IF(((COUNTIF(E20:AI20, "✓") + COUNTIF(E20:AI20, "✔") + COUNTIF(E20:AI20, "v") + COUNTIF(E20:AI20, "V")) + COUNTIF(E20:AI20, "✗") + COUNTIF(E20:AI20, "x") + COUNTIF(E20:AI20, "X"))&gt;0, (COUNTIF(E20:AI20, "✓") + COUNTIF(E20:AI20, "✔") + COUNTIF(E20:AI20, "v") + COUNTIF(E20:AI20, "V")) &amp; "/" &amp; ((COUNTIF(E20:AI20, "✓") + COUNTIF(E20:AI20, "✔") + COUNTIF(E20:AI20, "v") + COUNTIF(E20:AI20, "V")) + COUNTIF(E20:AI20, "✗") + COUNTIF(E20:AI20, "x") + COUNTIF(E20:AI20, "X")), "")))</f>
        <v/>
      </c>
      <c r="AL20" s="103">
        <f>IF(ISBLANK(B20), "", IF(AJ20&gt;=0.85, "🔥 Mastered", IF(AJ20&gt;=0.7, "⚡ Consistent", "⚠️ Needs Focus")))</f>
        <v/>
      </c>
      <c r="AM20">
        <f>COUNTIF(E20:AI20, "✓")</f>
        <v/>
      </c>
    </row>
    <row r="21" ht="14.5" customHeight="1">
      <c r="A21" s="97" t="n">
        <v>4</v>
      </c>
      <c r="B21" s="98" t="n"/>
      <c r="C21" s="99" t="n"/>
      <c r="D21" s="99" t="n"/>
      <c r="E21" s="100" t="n"/>
      <c r="F21" s="100" t="n"/>
      <c r="G21" s="100" t="n"/>
      <c r="H21" s="101" t="n"/>
      <c r="I21" s="100" t="n"/>
      <c r="J21" s="100" t="n"/>
      <c r="K21" s="100" t="n"/>
      <c r="L21" s="100" t="n"/>
      <c r="M21" s="100" t="n"/>
      <c r="N21" s="100" t="n"/>
      <c r="O21" s="101" t="n"/>
      <c r="P21" s="100" t="n"/>
      <c r="Q21" s="100" t="n"/>
      <c r="R21" s="100" t="n"/>
      <c r="S21" s="100" t="n"/>
      <c r="T21" s="100" t="n"/>
      <c r="U21" s="100" t="n"/>
      <c r="V21" s="101" t="n"/>
      <c r="W21" s="100" t="n"/>
      <c r="X21" s="100" t="n"/>
      <c r="Y21" s="100" t="n"/>
      <c r="Z21" s="100" t="n"/>
      <c r="AA21" s="100" t="n"/>
      <c r="AB21" s="100" t="n"/>
      <c r="AC21" s="101" t="n"/>
      <c r="AD21" s="100" t="n"/>
      <c r="AE21" s="100" t="n"/>
      <c r="AF21" s="100" t="n"/>
      <c r="AG21" s="100" t="n"/>
      <c r="AH21" s="100" t="n"/>
      <c r="AI21" s="100" t="n"/>
      <c r="AJ21" s="102">
        <f>IF(ISBLANK(B21), "", IF(ISNUMBER(D21), IF(D21&gt;0, (COUNTIF(E21:AI21, "✓") + COUNTIF(E21:AI21, "✔") + COUNTIF(E21:AI21, "v") + COUNTIF(E21:AI21, "V"))/D21, 0), IF(((COUNTIF(E21:AI21, "✓") + COUNTIF(E21:AI21, "✔") + COUNTIF(E21:AI21, "v") + COUNTIF(E21:AI21, "V")) + COUNTIF(E21:AI21, "✗") + COUNTIF(E21:AI21, "x") + COUNTIF(E21:AI21, "X"))&gt;0, (COUNTIF(E21:AI21, "✓") + COUNTIF(E21:AI21, "✔") + COUNTIF(E21:AI21, "v") + COUNTIF(E21:AI21, "V"))/((COUNTIF(E21:AI21, "✓") + COUNTIF(E21:AI21, "✔") + COUNTIF(E21:AI21, "v") + COUNTIF(E21:AI21, "V")) + COUNTIF(E21:AI21, "✗") + COUNTIF(E21:AI21, "x") + COUNTIF(E21:AI21, "X")), "")))</f>
        <v/>
      </c>
      <c r="AK21" s="103">
        <f>IF(ISBLANK(B21), "", IF(ISNUMBER(D21), IF(D21&gt;0, (COUNTIF(E21:AI21, "✓") + COUNTIF(E21:AI21, "✔") + COUNTIF(E21:AI21, "v") + COUNTIF(E21:AI21, "V")) &amp; "/" &amp; D21, (COUNTIF(E21:AI21, "✓") + COUNTIF(E21:AI21, "✔") + COUNTIF(E21:AI21, "v") + COUNTIF(E21:AI21, "V")) &amp; "/0"), IF(((COUNTIF(E21:AI21, "✓") + COUNTIF(E21:AI21, "✔") + COUNTIF(E21:AI21, "v") + COUNTIF(E21:AI21, "V")) + COUNTIF(E21:AI21, "✗") + COUNTIF(E21:AI21, "x") + COUNTIF(E21:AI21, "X"))&gt;0, (COUNTIF(E21:AI21, "✓") + COUNTIF(E21:AI21, "✔") + COUNTIF(E21:AI21, "v") + COUNTIF(E21:AI21, "V")) &amp; "/" &amp; ((COUNTIF(E21:AI21, "✓") + COUNTIF(E21:AI21, "✔") + COUNTIF(E21:AI21, "v") + COUNTIF(E21:AI21, "V")) + COUNTIF(E21:AI21, "✗") + COUNTIF(E21:AI21, "x") + COUNTIF(E21:AI21, "X")), "")))</f>
        <v/>
      </c>
      <c r="AL21" s="103">
        <f>IF(ISBLANK(B21), "", IF(AJ21&gt;=0.85, "🔥 Mastered", IF(AJ21&gt;=0.7, "⚡ Consistent", "⚠️ Needs Focus")))</f>
        <v/>
      </c>
      <c r="AM21">
        <f>COUNTIF(E21:AI21, "✓")</f>
        <v/>
      </c>
    </row>
    <row r="22" ht="14.5" customHeight="1">
      <c r="A22" s="104" t="n">
        <v>5</v>
      </c>
      <c r="B22" s="105" t="n"/>
      <c r="C22" s="106" t="n"/>
      <c r="D22" s="106" t="n"/>
      <c r="E22" s="107" t="n"/>
      <c r="F22" s="107" t="n"/>
      <c r="G22" s="107" t="n"/>
      <c r="H22" s="108" t="n"/>
      <c r="I22" s="107" t="n"/>
      <c r="J22" s="107" t="n"/>
      <c r="K22" s="107" t="n"/>
      <c r="L22" s="107" t="n"/>
      <c r="M22" s="107" t="n"/>
      <c r="N22" s="107" t="n"/>
      <c r="O22" s="108" t="n"/>
      <c r="P22" s="107" t="n"/>
      <c r="Q22" s="107" t="n"/>
      <c r="R22" s="107" t="n"/>
      <c r="S22" s="107" t="n"/>
      <c r="T22" s="107" t="n"/>
      <c r="U22" s="107" t="n"/>
      <c r="V22" s="108" t="n"/>
      <c r="W22" s="107" t="n"/>
      <c r="X22" s="107" t="n"/>
      <c r="Y22" s="107" t="n"/>
      <c r="Z22" s="107" t="n"/>
      <c r="AA22" s="107" t="n"/>
      <c r="AB22" s="107" t="n"/>
      <c r="AC22" s="108" t="n"/>
      <c r="AD22" s="107" t="n"/>
      <c r="AE22" s="107" t="n"/>
      <c r="AF22" s="107" t="n"/>
      <c r="AG22" s="107" t="n"/>
      <c r="AH22" s="107" t="n"/>
      <c r="AI22" s="107" t="n"/>
      <c r="AJ22" s="109">
        <f>IF(ISBLANK(B22), "", IF(ISNUMBER(D22), IF(D22&gt;0, (COUNTIF(E22:AI22, "✓") + COUNTIF(E22:AI22, "✔") + COUNTIF(E22:AI22, "v") + COUNTIF(E22:AI22, "V"))/D22, 0), IF(((COUNTIF(E22:AI22, "✓") + COUNTIF(E22:AI22, "✔") + COUNTIF(E22:AI22, "v") + COUNTIF(E22:AI22, "V")) + COUNTIF(E22:AI22, "✗") + COUNTIF(E22:AI22, "x") + COUNTIF(E22:AI22, "X"))&gt;0, (COUNTIF(E22:AI22, "✓") + COUNTIF(E22:AI22, "✔") + COUNTIF(E22:AI22, "v") + COUNTIF(E22:AI22, "V"))/((COUNTIF(E22:AI22, "✓") + COUNTIF(E22:AI22, "✔") + COUNTIF(E22:AI22, "v") + COUNTIF(E22:AI22, "V")) + COUNTIF(E22:AI22, "✗") + COUNTIF(E22:AI22, "x") + COUNTIF(E22:AI22, "X")), "")))</f>
        <v/>
      </c>
      <c r="AK22" s="110">
        <f>IF(ISBLANK(B22), "", IF(ISNUMBER(D22), IF(D22&gt;0, (COUNTIF(E22:AI22, "✓") + COUNTIF(E22:AI22, "✔") + COUNTIF(E22:AI22, "v") + COUNTIF(E22:AI22, "V")) &amp; "/" &amp; D22, (COUNTIF(E22:AI22, "✓") + COUNTIF(E22:AI22, "✔") + COUNTIF(E22:AI22, "v") + COUNTIF(E22:AI22, "V")) &amp; "/0"), IF(((COUNTIF(E22:AI22, "✓") + COUNTIF(E22:AI22, "✔") + COUNTIF(E22:AI22, "v") + COUNTIF(E22:AI22, "V")) + COUNTIF(E22:AI22, "✗") + COUNTIF(E22:AI22, "x") + COUNTIF(E22:AI22, "X"))&gt;0, (COUNTIF(E22:AI22, "✓") + COUNTIF(E22:AI22, "✔") + COUNTIF(E22:AI22, "v") + COUNTIF(E22:AI22, "V")) &amp; "/" &amp; ((COUNTIF(E22:AI22, "✓") + COUNTIF(E22:AI22, "✔") + COUNTIF(E22:AI22, "v") + COUNTIF(E22:AI22, "V")) + COUNTIF(E22:AI22, "✗") + COUNTIF(E22:AI22, "x") + COUNTIF(E22:AI22, "X")), "")))</f>
        <v/>
      </c>
      <c r="AL22" s="110">
        <f>IF(ISBLANK(B22), "", IF(AJ22&gt;=0.85, "🔥 Mastered", IF(AJ22&gt;=0.7, "⚡ Consistent", "⚠️ Needs Focus")))</f>
        <v/>
      </c>
      <c r="AM22">
        <f>COUNTIF(E22:AI22, "✓")</f>
        <v/>
      </c>
    </row>
    <row r="23" ht="14.5" customHeight="1">
      <c r="A23" s="104" t="n">
        <v>6</v>
      </c>
      <c r="B23" s="105" t="n"/>
      <c r="C23" s="106" t="n"/>
      <c r="D23" s="106" t="n"/>
      <c r="E23" s="107" t="n"/>
      <c r="F23" s="107" t="n"/>
      <c r="G23" s="107" t="n"/>
      <c r="H23" s="108" t="n"/>
      <c r="I23" s="107" t="n"/>
      <c r="J23" s="107" t="n"/>
      <c r="K23" s="107" t="n"/>
      <c r="L23" s="107" t="n"/>
      <c r="M23" s="107" t="n"/>
      <c r="N23" s="107" t="n"/>
      <c r="O23" s="108" t="n"/>
      <c r="P23" s="107" t="n"/>
      <c r="Q23" s="107" t="n"/>
      <c r="R23" s="107" t="n"/>
      <c r="S23" s="107" t="n"/>
      <c r="T23" s="107" t="n"/>
      <c r="U23" s="107" t="n"/>
      <c r="V23" s="108" t="n"/>
      <c r="W23" s="107" t="n"/>
      <c r="X23" s="107" t="n"/>
      <c r="Y23" s="107" t="n"/>
      <c r="Z23" s="107" t="n"/>
      <c r="AA23" s="107" t="n"/>
      <c r="AB23" s="107" t="n"/>
      <c r="AC23" s="108" t="n"/>
      <c r="AD23" s="107" t="n"/>
      <c r="AE23" s="107" t="n"/>
      <c r="AF23" s="107" t="n"/>
      <c r="AG23" s="107" t="n"/>
      <c r="AH23" s="107" t="n"/>
      <c r="AI23" s="107" t="n"/>
      <c r="AJ23" s="109">
        <f>IF(ISBLANK(B23), "", IF(ISNUMBER(D23), IF(D23&gt;0, (COUNTIF(E23:AI23, "✓") + COUNTIF(E23:AI23, "✔") + COUNTIF(E23:AI23, "v") + COUNTIF(E23:AI23, "V"))/D23, 0), IF(((COUNTIF(E23:AI23, "✓") + COUNTIF(E23:AI23, "✔") + COUNTIF(E23:AI23, "v") + COUNTIF(E23:AI23, "V")) + COUNTIF(E23:AI23, "✗") + COUNTIF(E23:AI23, "x") + COUNTIF(E23:AI23, "X"))&gt;0, (COUNTIF(E23:AI23, "✓") + COUNTIF(E23:AI23, "✔") + COUNTIF(E23:AI23, "v") + COUNTIF(E23:AI23, "V"))/((COUNTIF(E23:AI23, "✓") + COUNTIF(E23:AI23, "✔") + COUNTIF(E23:AI23, "v") + COUNTIF(E23:AI23, "V")) + COUNTIF(E23:AI23, "✗") + COUNTIF(E23:AI23, "x") + COUNTIF(E23:AI23, "X")), "")))</f>
        <v/>
      </c>
      <c r="AK23" s="110">
        <f>IF(ISBLANK(B23), "", IF(ISNUMBER(D23), IF(D23&gt;0, (COUNTIF(E23:AI23, "✓") + COUNTIF(E23:AI23, "✔") + COUNTIF(E23:AI23, "v") + COUNTIF(E23:AI23, "V")) &amp; "/" &amp; D23, (COUNTIF(E23:AI23, "✓") + COUNTIF(E23:AI23, "✔") + COUNTIF(E23:AI23, "v") + COUNTIF(E23:AI23, "V")) &amp; "/0"), IF(((COUNTIF(E23:AI23, "✓") + COUNTIF(E23:AI23, "✔") + COUNTIF(E23:AI23, "v") + COUNTIF(E23:AI23, "V")) + COUNTIF(E23:AI23, "✗") + COUNTIF(E23:AI23, "x") + COUNTIF(E23:AI23, "X"))&gt;0, (COUNTIF(E23:AI23, "✓") + COUNTIF(E23:AI23, "✔") + COUNTIF(E23:AI23, "v") + COUNTIF(E23:AI23, "V")) &amp; "/" &amp; ((COUNTIF(E23:AI23, "✓") + COUNTIF(E23:AI23, "✔") + COUNTIF(E23:AI23, "v") + COUNTIF(E23:AI23, "V")) + COUNTIF(E23:AI23, "✗") + COUNTIF(E23:AI23, "x") + COUNTIF(E23:AI23, "X")), "")))</f>
        <v/>
      </c>
      <c r="AL23" s="110">
        <f>IF(ISBLANK(B23), "", IF(AJ23&gt;=0.85, "🔥 Mastered", IF(AJ23&gt;=0.7, "⚡ Consistent", "⚠️ Needs Focus")))</f>
        <v/>
      </c>
      <c r="AM23">
        <f>COUNTIF(E23:AI23, "✓")</f>
        <v/>
      </c>
    </row>
    <row r="24" ht="14.5" customHeight="1">
      <c r="A24" s="104" t="n">
        <v>7</v>
      </c>
      <c r="B24" s="105" t="n"/>
      <c r="C24" s="106" t="n"/>
      <c r="D24" s="106" t="n"/>
      <c r="E24" s="107" t="n"/>
      <c r="F24" s="107" t="n"/>
      <c r="G24" s="107" t="n"/>
      <c r="H24" s="108" t="n"/>
      <c r="I24" s="107" t="n"/>
      <c r="J24" s="107" t="n"/>
      <c r="K24" s="107" t="n"/>
      <c r="L24" s="107" t="n"/>
      <c r="M24" s="107" t="n"/>
      <c r="N24" s="107" t="n"/>
      <c r="O24" s="108" t="n"/>
      <c r="P24" s="107" t="n"/>
      <c r="Q24" s="107" t="n"/>
      <c r="R24" s="107" t="n"/>
      <c r="S24" s="107" t="n"/>
      <c r="T24" s="107" t="n"/>
      <c r="U24" s="107" t="n"/>
      <c r="V24" s="108" t="n"/>
      <c r="W24" s="107" t="n"/>
      <c r="X24" s="107" t="n"/>
      <c r="Y24" s="107" t="n"/>
      <c r="Z24" s="107" t="n"/>
      <c r="AA24" s="107" t="n"/>
      <c r="AB24" s="107" t="n"/>
      <c r="AC24" s="108" t="n"/>
      <c r="AD24" s="107" t="n"/>
      <c r="AE24" s="107" t="n"/>
      <c r="AF24" s="107" t="n"/>
      <c r="AG24" s="107" t="n"/>
      <c r="AH24" s="107" t="n"/>
      <c r="AI24" s="107" t="n"/>
      <c r="AJ24" s="109">
        <f>IF(ISBLANK(B24), "", IF(ISNUMBER(D24), IF(D24&gt;0, (COUNTIF(E24:AI24, "✓") + COUNTIF(E24:AI24, "✔") + COUNTIF(E24:AI24, "v") + COUNTIF(E24:AI24, "V"))/D24, 0), IF(((COUNTIF(E24:AI24, "✓") + COUNTIF(E24:AI24, "✔") + COUNTIF(E24:AI24, "v") + COUNTIF(E24:AI24, "V")) + COUNTIF(E24:AI24, "✗") + COUNTIF(E24:AI24, "x") + COUNTIF(E24:AI24, "X"))&gt;0, (COUNTIF(E24:AI24, "✓") + COUNTIF(E24:AI24, "✔") + COUNTIF(E24:AI24, "v") + COUNTIF(E24:AI24, "V"))/((COUNTIF(E24:AI24, "✓") + COUNTIF(E24:AI24, "✔") + COUNTIF(E24:AI24, "v") + COUNTIF(E24:AI24, "V")) + COUNTIF(E24:AI24, "✗") + COUNTIF(E24:AI24, "x") + COUNTIF(E24:AI24, "X")), "")))</f>
        <v/>
      </c>
      <c r="AK24" s="110">
        <f>IF(ISBLANK(B24), "", IF(ISNUMBER(D24), IF(D24&gt;0, (COUNTIF(E24:AI24, "✓") + COUNTIF(E24:AI24, "✔") + COUNTIF(E24:AI24, "v") + COUNTIF(E24:AI24, "V")) &amp; "/" &amp; D24, (COUNTIF(E24:AI24, "✓") + COUNTIF(E24:AI24, "✔") + COUNTIF(E24:AI24, "v") + COUNTIF(E24:AI24, "V")) &amp; "/0"), IF(((COUNTIF(E24:AI24, "✓") + COUNTIF(E24:AI24, "✔") + COUNTIF(E24:AI24, "v") + COUNTIF(E24:AI24, "V")) + COUNTIF(E24:AI24, "✗") + COUNTIF(E24:AI24, "x") + COUNTIF(E24:AI24, "X"))&gt;0, (COUNTIF(E24:AI24, "✓") + COUNTIF(E24:AI24, "✔") + COUNTIF(E24:AI24, "v") + COUNTIF(E24:AI24, "V")) &amp; "/" &amp; ((COUNTIF(E24:AI24, "✓") + COUNTIF(E24:AI24, "✔") + COUNTIF(E24:AI24, "v") + COUNTIF(E24:AI24, "V")) + COUNTIF(E24:AI24, "✗") + COUNTIF(E24:AI24, "x") + COUNTIF(E24:AI24, "X")), "")))</f>
        <v/>
      </c>
      <c r="AL24" s="110">
        <f>IF(ISBLANK(B24), "", IF(AJ24&gt;=0.85, "🔥 Mastered", IF(AJ24&gt;=0.7, "⚡ Consistent", "⚠️ Needs Focus")))</f>
        <v/>
      </c>
      <c r="AM24">
        <f>COUNTIF(E24:AI24, "✓")</f>
        <v/>
      </c>
    </row>
    <row r="25" ht="14.5" customHeight="1">
      <c r="A25" s="104" t="n">
        <v>8</v>
      </c>
      <c r="B25" s="105" t="n"/>
      <c r="C25" s="106" t="n"/>
      <c r="D25" s="106" t="n"/>
      <c r="E25" s="107" t="n"/>
      <c r="F25" s="107" t="n"/>
      <c r="G25" s="107" t="n"/>
      <c r="H25" s="108" t="n"/>
      <c r="I25" s="107" t="n"/>
      <c r="J25" s="107" t="n"/>
      <c r="K25" s="107" t="n"/>
      <c r="L25" s="107" t="n"/>
      <c r="M25" s="107" t="n"/>
      <c r="N25" s="107" t="n"/>
      <c r="O25" s="108" t="n"/>
      <c r="P25" s="107" t="n"/>
      <c r="Q25" s="107" t="n"/>
      <c r="R25" s="107" t="n"/>
      <c r="S25" s="107" t="n"/>
      <c r="T25" s="107" t="n"/>
      <c r="U25" s="107" t="n"/>
      <c r="V25" s="108" t="n"/>
      <c r="W25" s="107" t="n"/>
      <c r="X25" s="107" t="n"/>
      <c r="Y25" s="107" t="n"/>
      <c r="Z25" s="107" t="n"/>
      <c r="AA25" s="107" t="n"/>
      <c r="AB25" s="107" t="n"/>
      <c r="AC25" s="108" t="n"/>
      <c r="AD25" s="107" t="n"/>
      <c r="AE25" s="107" t="n"/>
      <c r="AF25" s="107" t="n"/>
      <c r="AG25" s="107" t="n"/>
      <c r="AH25" s="107" t="n"/>
      <c r="AI25" s="107" t="n"/>
      <c r="AJ25" s="109">
        <f>IF(ISBLANK(B25), "", IF(ISNUMBER(D25), IF(D25&gt;0, (COUNTIF(E25:AI25, "✓") + COUNTIF(E25:AI25, "✔") + COUNTIF(E25:AI25, "v") + COUNTIF(E25:AI25, "V"))/D25, 0), IF(((COUNTIF(E25:AI25, "✓") + COUNTIF(E25:AI25, "✔") + COUNTIF(E25:AI25, "v") + COUNTIF(E25:AI25, "V")) + COUNTIF(E25:AI25, "✗") + COUNTIF(E25:AI25, "x") + COUNTIF(E25:AI25, "X"))&gt;0, (COUNTIF(E25:AI25, "✓") + COUNTIF(E25:AI25, "✔") + COUNTIF(E25:AI25, "v") + COUNTIF(E25:AI25, "V"))/((COUNTIF(E25:AI25, "✓") + COUNTIF(E25:AI25, "✔") + COUNTIF(E25:AI25, "v") + COUNTIF(E25:AI25, "V")) + COUNTIF(E25:AI25, "✗") + COUNTIF(E25:AI25, "x") + COUNTIF(E25:AI25, "X")), "")))</f>
        <v/>
      </c>
      <c r="AK25" s="110">
        <f>IF(ISBLANK(B25), "", IF(ISNUMBER(D25), IF(D25&gt;0, (COUNTIF(E25:AI25, "✓") + COUNTIF(E25:AI25, "✔") + COUNTIF(E25:AI25, "v") + COUNTIF(E25:AI25, "V")) &amp; "/" &amp; D25, (COUNTIF(E25:AI25, "✓") + COUNTIF(E25:AI25, "✔") + COUNTIF(E25:AI25, "v") + COUNTIF(E25:AI25, "V")) &amp; "/0"), IF(((COUNTIF(E25:AI25, "✓") + COUNTIF(E25:AI25, "✔") + COUNTIF(E25:AI25, "v") + COUNTIF(E25:AI25, "V")) + COUNTIF(E25:AI25, "✗") + COUNTIF(E25:AI25, "x") + COUNTIF(E25:AI25, "X"))&gt;0, (COUNTIF(E25:AI25, "✓") + COUNTIF(E25:AI25, "✔") + COUNTIF(E25:AI25, "v") + COUNTIF(E25:AI25, "V")) &amp; "/" &amp; ((COUNTIF(E25:AI25, "✓") + COUNTIF(E25:AI25, "✔") + COUNTIF(E25:AI25, "v") + COUNTIF(E25:AI25, "V")) + COUNTIF(E25:AI25, "✗") + COUNTIF(E25:AI25, "x") + COUNTIF(E25:AI25, "X")), "")))</f>
        <v/>
      </c>
      <c r="AL25" s="110">
        <f>IF(ISBLANK(B25), "", IF(AJ25&gt;=0.85, "🔥 Mastered", IF(AJ25&gt;=0.7, "⚡ Consistent", "⚠️ Needs Focus")))</f>
        <v/>
      </c>
      <c r="AM25">
        <f>COUNTIF(E25:AI25, "✓")</f>
        <v/>
      </c>
    </row>
    <row r="26" ht="14.5" customHeight="1">
      <c r="A26" s="111" t="n">
        <v>9</v>
      </c>
      <c r="B26" s="112" t="n"/>
      <c r="C26" s="113" t="n"/>
      <c r="D26" s="113" t="n"/>
      <c r="E26" s="114" t="n"/>
      <c r="F26" s="114" t="n"/>
      <c r="G26" s="114" t="n"/>
      <c r="H26" s="115" t="n"/>
      <c r="I26" s="114" t="n"/>
      <c r="J26" s="114" t="n"/>
      <c r="K26" s="114" t="n"/>
      <c r="L26" s="114" t="n"/>
      <c r="M26" s="114" t="n"/>
      <c r="N26" s="114" t="n"/>
      <c r="O26" s="115" t="n"/>
      <c r="P26" s="114" t="n"/>
      <c r="Q26" s="114" t="n"/>
      <c r="R26" s="114" t="n"/>
      <c r="S26" s="114" t="n"/>
      <c r="T26" s="114" t="n"/>
      <c r="U26" s="114" t="n"/>
      <c r="V26" s="115" t="n"/>
      <c r="W26" s="114" t="n"/>
      <c r="X26" s="114" t="n"/>
      <c r="Y26" s="114" t="n"/>
      <c r="Z26" s="114" t="n"/>
      <c r="AA26" s="114" t="n"/>
      <c r="AB26" s="114" t="n"/>
      <c r="AC26" s="115" t="n"/>
      <c r="AD26" s="114" t="n"/>
      <c r="AE26" s="114" t="n"/>
      <c r="AF26" s="114" t="n"/>
      <c r="AG26" s="114" t="n"/>
      <c r="AH26" s="114" t="n"/>
      <c r="AI26" s="114" t="n"/>
      <c r="AJ26" s="116">
        <f>IF(ISBLANK(B26), "", IF(ISNUMBER(D26), IF(D26&gt;0, (COUNTIF(E26:AI26, "✓") + COUNTIF(E26:AI26, "✔") + COUNTIF(E26:AI26, "v") + COUNTIF(E26:AI26, "V"))/D26, 0), IF(((COUNTIF(E26:AI26, "✓") + COUNTIF(E26:AI26, "✔") + COUNTIF(E26:AI26, "v") + COUNTIF(E26:AI26, "V")) + COUNTIF(E26:AI26, "✗") + COUNTIF(E26:AI26, "x") + COUNTIF(E26:AI26, "X"))&gt;0, (COUNTIF(E26:AI26, "✓") + COUNTIF(E26:AI26, "✔") + COUNTIF(E26:AI26, "v") + COUNTIF(E26:AI26, "V"))/((COUNTIF(E26:AI26, "✓") + COUNTIF(E26:AI26, "✔") + COUNTIF(E26:AI26, "v") + COUNTIF(E26:AI26, "V")) + COUNTIF(E26:AI26, "✗") + COUNTIF(E26:AI26, "x") + COUNTIF(E26:AI26, "X")), "")))</f>
        <v/>
      </c>
      <c r="AK26" s="117">
        <f>IF(ISBLANK(B26), "", IF(ISNUMBER(D26), IF(D26&gt;0, (COUNTIF(E26:AI26, "✓") + COUNTIF(E26:AI26, "✔") + COUNTIF(E26:AI26, "v") + COUNTIF(E26:AI26, "V")) &amp; "/" &amp; D26, (COUNTIF(E26:AI26, "✓") + COUNTIF(E26:AI26, "✔") + COUNTIF(E26:AI26, "v") + COUNTIF(E26:AI26, "V")) &amp; "/0"), IF(((COUNTIF(E26:AI26, "✓") + COUNTIF(E26:AI26, "✔") + COUNTIF(E26:AI26, "v") + COUNTIF(E26:AI26, "V")) + COUNTIF(E26:AI26, "✗") + COUNTIF(E26:AI26, "x") + COUNTIF(E26:AI26, "X"))&gt;0, (COUNTIF(E26:AI26, "✓") + COUNTIF(E26:AI26, "✔") + COUNTIF(E26:AI26, "v") + COUNTIF(E26:AI26, "V")) &amp; "/" &amp; ((COUNTIF(E26:AI26, "✓") + COUNTIF(E26:AI26, "✔") + COUNTIF(E26:AI26, "v") + COUNTIF(E26:AI26, "V")) + COUNTIF(E26:AI26, "✗") + COUNTIF(E26:AI26, "x") + COUNTIF(E26:AI26, "X")), "")))</f>
        <v/>
      </c>
      <c r="AL26" s="117">
        <f>IF(ISBLANK(B26), "", IF(AJ26&gt;=0.85, "🔥 Mastered", IF(AJ26&gt;=0.7, "⚡ Consistent", "⚠️ Needs Focus")))</f>
        <v/>
      </c>
      <c r="AM26">
        <f>COUNTIF(E26:AI26, "✓")</f>
        <v/>
      </c>
    </row>
    <row r="27" ht="14.5" customHeight="1">
      <c r="A27" s="111" t="n">
        <v>10</v>
      </c>
      <c r="B27" s="112" t="n"/>
      <c r="C27" s="113" t="n"/>
      <c r="D27" s="113" t="n"/>
      <c r="E27" s="114" t="n"/>
      <c r="F27" s="114" t="n"/>
      <c r="G27" s="114" t="n"/>
      <c r="H27" s="115" t="n"/>
      <c r="I27" s="114" t="n"/>
      <c r="J27" s="114" t="n"/>
      <c r="K27" s="114" t="n"/>
      <c r="L27" s="114" t="n"/>
      <c r="M27" s="114" t="n"/>
      <c r="N27" s="114" t="n"/>
      <c r="O27" s="115" t="n"/>
      <c r="P27" s="114" t="n"/>
      <c r="Q27" s="114" t="n"/>
      <c r="R27" s="114" t="n"/>
      <c r="S27" s="114" t="n"/>
      <c r="T27" s="114" t="n"/>
      <c r="U27" s="114" t="n"/>
      <c r="V27" s="115" t="n"/>
      <c r="W27" s="114" t="n"/>
      <c r="X27" s="114" t="n"/>
      <c r="Y27" s="114" t="n"/>
      <c r="Z27" s="114" t="n"/>
      <c r="AA27" s="114" t="n"/>
      <c r="AB27" s="114" t="n"/>
      <c r="AC27" s="115" t="n"/>
      <c r="AD27" s="114" t="n"/>
      <c r="AE27" s="114" t="n"/>
      <c r="AF27" s="114" t="n"/>
      <c r="AG27" s="114" t="n"/>
      <c r="AH27" s="114" t="n"/>
      <c r="AI27" s="114" t="n"/>
      <c r="AJ27" s="116">
        <f>IF(ISBLANK(B27), "", IF(ISNUMBER(D27), IF(D27&gt;0, (COUNTIF(E27:AI27, "✓") + COUNTIF(E27:AI27, "✔") + COUNTIF(E27:AI27, "v") + COUNTIF(E27:AI27, "V"))/D27, 0), IF(((COUNTIF(E27:AI27, "✓") + COUNTIF(E27:AI27, "✔") + COUNTIF(E27:AI27, "v") + COUNTIF(E27:AI27, "V")) + COUNTIF(E27:AI27, "✗") + COUNTIF(E27:AI27, "x") + COUNTIF(E27:AI27, "X"))&gt;0, (COUNTIF(E27:AI27, "✓") + COUNTIF(E27:AI27, "✔") + COUNTIF(E27:AI27, "v") + COUNTIF(E27:AI27, "V"))/((COUNTIF(E27:AI27, "✓") + COUNTIF(E27:AI27, "✔") + COUNTIF(E27:AI27, "v") + COUNTIF(E27:AI27, "V")) + COUNTIF(E27:AI27, "✗") + COUNTIF(E27:AI27, "x") + COUNTIF(E27:AI27, "X")), "")))</f>
        <v/>
      </c>
      <c r="AK27" s="117">
        <f>IF(ISBLANK(B27), "", IF(ISNUMBER(D27), IF(D27&gt;0, (COUNTIF(E27:AI27, "✓") + COUNTIF(E27:AI27, "✔") + COUNTIF(E27:AI27, "v") + COUNTIF(E27:AI27, "V")) &amp; "/" &amp; D27, (COUNTIF(E27:AI27, "✓") + COUNTIF(E27:AI27, "✔") + COUNTIF(E27:AI27, "v") + COUNTIF(E27:AI27, "V")) &amp; "/0"), IF(((COUNTIF(E27:AI27, "✓") + COUNTIF(E27:AI27, "✔") + COUNTIF(E27:AI27, "v") + COUNTIF(E27:AI27, "V")) + COUNTIF(E27:AI27, "✗") + COUNTIF(E27:AI27, "x") + COUNTIF(E27:AI27, "X"))&gt;0, (COUNTIF(E27:AI27, "✓") + COUNTIF(E27:AI27, "✔") + COUNTIF(E27:AI27, "v") + COUNTIF(E27:AI27, "V")) &amp; "/" &amp; ((COUNTIF(E27:AI27, "✓") + COUNTIF(E27:AI27, "✔") + COUNTIF(E27:AI27, "v") + COUNTIF(E27:AI27, "V")) + COUNTIF(E27:AI27, "✗") + COUNTIF(E27:AI27, "x") + COUNTIF(E27:AI27, "X")), "")))</f>
        <v/>
      </c>
      <c r="AL27" s="117">
        <f>IF(ISBLANK(B27), "", IF(AJ27&gt;=0.85, "🔥 Mastered", IF(AJ27&gt;=0.7, "⚡ Consistent", "⚠️ Needs Focus")))</f>
        <v/>
      </c>
      <c r="AM27">
        <f>COUNTIF(E27:AI27, "✓")</f>
        <v/>
      </c>
    </row>
    <row r="28" ht="14.5" customHeight="1">
      <c r="A28" s="111" t="n">
        <v>11</v>
      </c>
      <c r="B28" s="112" t="n"/>
      <c r="C28" s="113" t="n"/>
      <c r="D28" s="113" t="n"/>
      <c r="E28" s="114" t="n"/>
      <c r="F28" s="114" t="n"/>
      <c r="G28" s="114" t="n"/>
      <c r="H28" s="115" t="n"/>
      <c r="I28" s="114" t="n"/>
      <c r="J28" s="114" t="n"/>
      <c r="K28" s="114" t="n"/>
      <c r="L28" s="114" t="n"/>
      <c r="M28" s="114" t="n"/>
      <c r="N28" s="114" t="n"/>
      <c r="O28" s="115" t="n"/>
      <c r="P28" s="114" t="n"/>
      <c r="Q28" s="114" t="n"/>
      <c r="R28" s="114" t="n"/>
      <c r="S28" s="114" t="n"/>
      <c r="T28" s="114" t="n"/>
      <c r="U28" s="114" t="n"/>
      <c r="V28" s="115" t="n"/>
      <c r="W28" s="114" t="n"/>
      <c r="X28" s="114" t="n"/>
      <c r="Y28" s="114" t="n"/>
      <c r="Z28" s="114" t="n"/>
      <c r="AA28" s="114" t="n"/>
      <c r="AB28" s="114" t="n"/>
      <c r="AC28" s="115" t="n"/>
      <c r="AD28" s="114" t="n"/>
      <c r="AE28" s="114" t="n"/>
      <c r="AF28" s="114" t="n"/>
      <c r="AG28" s="114" t="n"/>
      <c r="AH28" s="114" t="n"/>
      <c r="AI28" s="114" t="n"/>
      <c r="AJ28" s="116">
        <f>IF(ISBLANK(B28), "", IF(ISNUMBER(D28), IF(D28&gt;0, (COUNTIF(E28:AI28, "✓") + COUNTIF(E28:AI28, "✔") + COUNTIF(E28:AI28, "v") + COUNTIF(E28:AI28, "V"))/D28, 0), IF(((COUNTIF(E28:AI28, "✓") + COUNTIF(E28:AI28, "✔") + COUNTIF(E28:AI28, "v") + COUNTIF(E28:AI28, "V")) + COUNTIF(E28:AI28, "✗") + COUNTIF(E28:AI28, "x") + COUNTIF(E28:AI28, "X"))&gt;0, (COUNTIF(E28:AI28, "✓") + COUNTIF(E28:AI28, "✔") + COUNTIF(E28:AI28, "v") + COUNTIF(E28:AI28, "V"))/((COUNTIF(E28:AI28, "✓") + COUNTIF(E28:AI28, "✔") + COUNTIF(E28:AI28, "v") + COUNTIF(E28:AI28, "V")) + COUNTIF(E28:AI28, "✗") + COUNTIF(E28:AI28, "x") + COUNTIF(E28:AI28, "X")), "")))</f>
        <v/>
      </c>
      <c r="AK28" s="117">
        <f>IF(ISBLANK(B28), "", IF(ISNUMBER(D28), IF(D28&gt;0, (COUNTIF(E28:AI28, "✓") + COUNTIF(E28:AI28, "✔") + COUNTIF(E28:AI28, "v") + COUNTIF(E28:AI28, "V")) &amp; "/" &amp; D28, (COUNTIF(E28:AI28, "✓") + COUNTIF(E28:AI28, "✔") + COUNTIF(E28:AI28, "v") + COUNTIF(E28:AI28, "V")) &amp; "/0"), IF(((COUNTIF(E28:AI28, "✓") + COUNTIF(E28:AI28, "✔") + COUNTIF(E28:AI28, "v") + COUNTIF(E28:AI28, "V")) + COUNTIF(E28:AI28, "✗") + COUNTIF(E28:AI28, "x") + COUNTIF(E28:AI28, "X"))&gt;0, (COUNTIF(E28:AI28, "✓") + COUNTIF(E28:AI28, "✔") + COUNTIF(E28:AI28, "v") + COUNTIF(E28:AI28, "V")) &amp; "/" &amp; ((COUNTIF(E28:AI28, "✓") + COUNTIF(E28:AI28, "✔") + COUNTIF(E28:AI28, "v") + COUNTIF(E28:AI28, "V")) + COUNTIF(E28:AI28, "✗") + COUNTIF(E28:AI28, "x") + COUNTIF(E28:AI28, "X")), "")))</f>
        <v/>
      </c>
      <c r="AL28" s="117">
        <f>IF(ISBLANK(B28), "", IF(AJ28&gt;=0.85, "🔥 Mastered", IF(AJ28&gt;=0.7, "⚡ Consistent", "⚠️ Needs Focus")))</f>
        <v/>
      </c>
      <c r="AM28">
        <f>COUNTIF(E28:AI28, "✓")</f>
        <v/>
      </c>
    </row>
    <row r="29" ht="14.5" customHeight="1">
      <c r="A29" s="111" t="n">
        <v>12</v>
      </c>
      <c r="B29" s="112" t="n"/>
      <c r="C29" s="113" t="n"/>
      <c r="D29" s="113" t="n"/>
      <c r="E29" s="114" t="n"/>
      <c r="F29" s="114" t="n"/>
      <c r="G29" s="114" t="n"/>
      <c r="H29" s="115" t="n"/>
      <c r="I29" s="114" t="n"/>
      <c r="J29" s="114" t="n"/>
      <c r="K29" s="114" t="n"/>
      <c r="L29" s="114" t="n"/>
      <c r="M29" s="114" t="n"/>
      <c r="N29" s="114" t="n"/>
      <c r="O29" s="115" t="n"/>
      <c r="P29" s="114" t="n"/>
      <c r="Q29" s="114" t="n"/>
      <c r="R29" s="114" t="n"/>
      <c r="S29" s="114" t="n"/>
      <c r="T29" s="114" t="n"/>
      <c r="U29" s="114" t="n"/>
      <c r="V29" s="115" t="n"/>
      <c r="W29" s="114" t="n"/>
      <c r="X29" s="114" t="n"/>
      <c r="Y29" s="114" t="n"/>
      <c r="Z29" s="114" t="n"/>
      <c r="AA29" s="114" t="n"/>
      <c r="AB29" s="114" t="n"/>
      <c r="AC29" s="115" t="n"/>
      <c r="AD29" s="114" t="n"/>
      <c r="AE29" s="114" t="n"/>
      <c r="AF29" s="114" t="n"/>
      <c r="AG29" s="114" t="n"/>
      <c r="AH29" s="114" t="n"/>
      <c r="AI29" s="114" t="n"/>
      <c r="AJ29" s="116">
        <f>IF(ISBLANK(B29), "", IF(ISNUMBER(D29), IF(D29&gt;0, (COUNTIF(E29:AI29, "✓") + COUNTIF(E29:AI29, "✔") + COUNTIF(E29:AI29, "v") + COUNTIF(E29:AI29, "V"))/D29, 0), IF(((COUNTIF(E29:AI29, "✓") + COUNTIF(E29:AI29, "✔") + COUNTIF(E29:AI29, "v") + COUNTIF(E29:AI29, "V")) + COUNTIF(E29:AI29, "✗") + COUNTIF(E29:AI29, "x") + COUNTIF(E29:AI29, "X"))&gt;0, (COUNTIF(E29:AI29, "✓") + COUNTIF(E29:AI29, "✔") + COUNTIF(E29:AI29, "v") + COUNTIF(E29:AI29, "V"))/((COUNTIF(E29:AI29, "✓") + COUNTIF(E29:AI29, "✔") + COUNTIF(E29:AI29, "v") + COUNTIF(E29:AI29, "V")) + COUNTIF(E29:AI29, "✗") + COUNTIF(E29:AI29, "x") + COUNTIF(E29:AI29, "X")), "")))</f>
        <v/>
      </c>
      <c r="AK29" s="117">
        <f>IF(ISBLANK(B29), "", IF(ISNUMBER(D29), IF(D29&gt;0, (COUNTIF(E29:AI29, "✓") + COUNTIF(E29:AI29, "✔") + COUNTIF(E29:AI29, "v") + COUNTIF(E29:AI29, "V")) &amp; "/" &amp; D29, (COUNTIF(E29:AI29, "✓") + COUNTIF(E29:AI29, "✔") + COUNTIF(E29:AI29, "v") + COUNTIF(E29:AI29, "V")) &amp; "/0"), IF(((COUNTIF(E29:AI29, "✓") + COUNTIF(E29:AI29, "✔") + COUNTIF(E29:AI29, "v") + COUNTIF(E29:AI29, "V")) + COUNTIF(E29:AI29, "✗") + COUNTIF(E29:AI29, "x") + COUNTIF(E29:AI29, "X"))&gt;0, (COUNTIF(E29:AI29, "✓") + COUNTIF(E29:AI29, "✔") + COUNTIF(E29:AI29, "v") + COUNTIF(E29:AI29, "V")) &amp; "/" &amp; ((COUNTIF(E29:AI29, "✓") + COUNTIF(E29:AI29, "✔") + COUNTIF(E29:AI29, "v") + COUNTIF(E29:AI29, "V")) + COUNTIF(E29:AI29, "✗") + COUNTIF(E29:AI29, "x") + COUNTIF(E29:AI29, "X")), "")))</f>
        <v/>
      </c>
      <c r="AL29" s="117">
        <f>IF(ISBLANK(B29), "", IF(AJ29&gt;=0.85, "🔥 Mastered", IF(AJ29&gt;=0.7, "⚡ Consistent", "⚠️ Needs Focus")))</f>
        <v/>
      </c>
      <c r="AM29">
        <f>COUNTIF(E29:AI29, "✓")</f>
        <v/>
      </c>
    </row>
    <row r="30" ht="14.5" customHeight="1">
      <c r="A30" s="118" t="n">
        <v>13</v>
      </c>
      <c r="B30" s="119" t="n"/>
      <c r="C30" s="120" t="n"/>
      <c r="D30" s="120" t="n"/>
      <c r="E30" s="121" t="n"/>
      <c r="F30" s="121" t="n"/>
      <c r="G30" s="121" t="n"/>
      <c r="H30" s="122" t="n"/>
      <c r="I30" s="121" t="n"/>
      <c r="J30" s="121" t="n"/>
      <c r="K30" s="121" t="n"/>
      <c r="L30" s="121" t="n"/>
      <c r="M30" s="121" t="n"/>
      <c r="N30" s="121" t="n"/>
      <c r="O30" s="122" t="n"/>
      <c r="P30" s="121" t="n"/>
      <c r="Q30" s="121" t="n"/>
      <c r="R30" s="121" t="n"/>
      <c r="S30" s="121" t="n"/>
      <c r="T30" s="121" t="n"/>
      <c r="U30" s="121" t="n"/>
      <c r="V30" s="122" t="n"/>
      <c r="W30" s="121" t="n"/>
      <c r="X30" s="121" t="n"/>
      <c r="Y30" s="121" t="n"/>
      <c r="Z30" s="121" t="n"/>
      <c r="AA30" s="121" t="n"/>
      <c r="AB30" s="121" t="n"/>
      <c r="AC30" s="122" t="n"/>
      <c r="AD30" s="121" t="n"/>
      <c r="AE30" s="121" t="n"/>
      <c r="AF30" s="121" t="n"/>
      <c r="AG30" s="121" t="n"/>
      <c r="AH30" s="121" t="n"/>
      <c r="AI30" s="121" t="n"/>
      <c r="AJ30" s="123">
        <f>IF(ISBLANK(B30), "", IF(ISNUMBER(D30), IF(D30&gt;0, (COUNTIF(E30:AI30, "✓") + COUNTIF(E30:AI30, "✔") + COUNTIF(E30:AI30, "v") + COUNTIF(E30:AI30, "V"))/D30, 0), IF(((COUNTIF(E30:AI30, "✓") + COUNTIF(E30:AI30, "✔") + COUNTIF(E30:AI30, "v") + COUNTIF(E30:AI30, "V")) + COUNTIF(E30:AI30, "✗") + COUNTIF(E30:AI30, "x") + COUNTIF(E30:AI30, "X"))&gt;0, (COUNTIF(E30:AI30, "✓") + COUNTIF(E30:AI30, "✔") + COUNTIF(E30:AI30, "v") + COUNTIF(E30:AI30, "V"))/((COUNTIF(E30:AI30, "✓") + COUNTIF(E30:AI30, "✔") + COUNTIF(E30:AI30, "v") + COUNTIF(E30:AI30, "V")) + COUNTIF(E30:AI30, "✗") + COUNTIF(E30:AI30, "x") + COUNTIF(E30:AI30, "X")), "")))</f>
        <v/>
      </c>
      <c r="AK30" s="124">
        <f>IF(ISBLANK(B30), "", IF(ISNUMBER(D30), IF(D30&gt;0, (COUNTIF(E30:AI30, "✓") + COUNTIF(E30:AI30, "✔") + COUNTIF(E30:AI30, "v") + COUNTIF(E30:AI30, "V")) &amp; "/" &amp; D30, (COUNTIF(E30:AI30, "✓") + COUNTIF(E30:AI30, "✔") + COUNTIF(E30:AI30, "v") + COUNTIF(E30:AI30, "V")) &amp; "/0"), IF(((COUNTIF(E30:AI30, "✓") + COUNTIF(E30:AI30, "✔") + COUNTIF(E30:AI30, "v") + COUNTIF(E30:AI30, "V")) + COUNTIF(E30:AI30, "✗") + COUNTIF(E30:AI30, "x") + COUNTIF(E30:AI30, "X"))&gt;0, (COUNTIF(E30:AI30, "✓") + COUNTIF(E30:AI30, "✔") + COUNTIF(E30:AI30, "v") + COUNTIF(E30:AI30, "V")) &amp; "/" &amp; ((COUNTIF(E30:AI30, "✓") + COUNTIF(E30:AI30, "✔") + COUNTIF(E30:AI30, "v") + COUNTIF(E30:AI30, "V")) + COUNTIF(E30:AI30, "✗") + COUNTIF(E30:AI30, "x") + COUNTIF(E30:AI30, "X")), "")))</f>
        <v/>
      </c>
      <c r="AL30" s="124">
        <f>IF(ISBLANK(B30), "", IF(AJ30&gt;=0.85, "🔥 Mastered", IF(AJ30&gt;=0.7, "⚡ Consistent", "⚠️ Needs Focus")))</f>
        <v/>
      </c>
      <c r="AM30">
        <f>COUNTIF(E30:AI30, "✓")</f>
        <v/>
      </c>
    </row>
    <row r="31" ht="14.5" customHeight="1">
      <c r="A31" s="118" t="n">
        <v>14</v>
      </c>
      <c r="B31" s="119" t="n"/>
      <c r="C31" s="120" t="n"/>
      <c r="D31" s="120" t="n"/>
      <c r="E31" s="121" t="n"/>
      <c r="F31" s="121" t="n"/>
      <c r="G31" s="121" t="n"/>
      <c r="H31" s="122" t="n"/>
      <c r="I31" s="121" t="n"/>
      <c r="J31" s="121" t="n"/>
      <c r="K31" s="121" t="n"/>
      <c r="L31" s="121" t="n"/>
      <c r="M31" s="121" t="n"/>
      <c r="N31" s="121" t="n"/>
      <c r="O31" s="122" t="n"/>
      <c r="P31" s="121" t="n"/>
      <c r="Q31" s="121" t="n"/>
      <c r="R31" s="121" t="n"/>
      <c r="S31" s="121" t="n"/>
      <c r="T31" s="121" t="n"/>
      <c r="U31" s="121" t="n"/>
      <c r="V31" s="122" t="n"/>
      <c r="W31" s="121" t="n"/>
      <c r="X31" s="121" t="n"/>
      <c r="Y31" s="121" t="n"/>
      <c r="Z31" s="121" t="n"/>
      <c r="AA31" s="121" t="n"/>
      <c r="AB31" s="121" t="n"/>
      <c r="AC31" s="122" t="n"/>
      <c r="AD31" s="121" t="n"/>
      <c r="AE31" s="121" t="n"/>
      <c r="AF31" s="121" t="n"/>
      <c r="AG31" s="121" t="n"/>
      <c r="AH31" s="121" t="n"/>
      <c r="AI31" s="121" t="n"/>
      <c r="AJ31" s="123">
        <f>IF(ISBLANK(B31), "", IF(ISNUMBER(D31), IF(D31&gt;0, (COUNTIF(E31:AI31, "✓") + COUNTIF(E31:AI31, "✔") + COUNTIF(E31:AI31, "v") + COUNTIF(E31:AI31, "V"))/D31, 0), IF(((COUNTIF(E31:AI31, "✓") + COUNTIF(E31:AI31, "✔") + COUNTIF(E31:AI31, "v") + COUNTIF(E31:AI31, "V")) + COUNTIF(E31:AI31, "✗") + COUNTIF(E31:AI31, "x") + COUNTIF(E31:AI31, "X"))&gt;0, (COUNTIF(E31:AI31, "✓") + COUNTIF(E31:AI31, "✔") + COUNTIF(E31:AI31, "v") + COUNTIF(E31:AI31, "V"))/((COUNTIF(E31:AI31, "✓") + COUNTIF(E31:AI31, "✔") + COUNTIF(E31:AI31, "v") + COUNTIF(E31:AI31, "V")) + COUNTIF(E31:AI31, "✗") + COUNTIF(E31:AI31, "x") + COUNTIF(E31:AI31, "X")), "")))</f>
        <v/>
      </c>
      <c r="AK31" s="124">
        <f>IF(ISBLANK(B31), "", IF(ISNUMBER(D31), IF(D31&gt;0, (COUNTIF(E31:AI31, "✓") + COUNTIF(E31:AI31, "✔") + COUNTIF(E31:AI31, "v") + COUNTIF(E31:AI31, "V")) &amp; "/" &amp; D31, (COUNTIF(E31:AI31, "✓") + COUNTIF(E31:AI31, "✔") + COUNTIF(E31:AI31, "v") + COUNTIF(E31:AI31, "V")) &amp; "/0"), IF(((COUNTIF(E31:AI31, "✓") + COUNTIF(E31:AI31, "✔") + COUNTIF(E31:AI31, "v") + COUNTIF(E31:AI31, "V")) + COUNTIF(E31:AI31, "✗") + COUNTIF(E31:AI31, "x") + COUNTIF(E31:AI31, "X"))&gt;0, (COUNTIF(E31:AI31, "✓") + COUNTIF(E31:AI31, "✔") + COUNTIF(E31:AI31, "v") + COUNTIF(E31:AI31, "V")) &amp; "/" &amp; ((COUNTIF(E31:AI31, "✓") + COUNTIF(E31:AI31, "✔") + COUNTIF(E31:AI31, "v") + COUNTIF(E31:AI31, "V")) + COUNTIF(E31:AI31, "✗") + COUNTIF(E31:AI31, "x") + COUNTIF(E31:AI31, "X")), "")))</f>
        <v/>
      </c>
      <c r="AL31" s="124">
        <f>IF(ISBLANK(B31), "", IF(AJ31&gt;=0.85, "🔥 Mastered", IF(AJ31&gt;=0.7, "⚡ Consistent", "⚠️ Needs Focus")))</f>
        <v/>
      </c>
      <c r="AM31">
        <f>COUNTIF(E31:AI31, "✓")</f>
        <v/>
      </c>
    </row>
    <row r="32" ht="14.5" customHeight="1">
      <c r="A32" s="118" t="n">
        <v>15</v>
      </c>
      <c r="B32" s="119" t="n"/>
      <c r="C32" s="120" t="n"/>
      <c r="D32" s="120" t="n"/>
      <c r="E32" s="121" t="n"/>
      <c r="F32" s="121" t="n"/>
      <c r="G32" s="121" t="n"/>
      <c r="H32" s="122" t="n"/>
      <c r="I32" s="121" t="n"/>
      <c r="J32" s="121" t="n"/>
      <c r="K32" s="121" t="n"/>
      <c r="L32" s="121" t="n"/>
      <c r="M32" s="121" t="n"/>
      <c r="N32" s="121" t="n"/>
      <c r="O32" s="122" t="n"/>
      <c r="P32" s="121" t="n"/>
      <c r="Q32" s="121" t="n"/>
      <c r="R32" s="121" t="n"/>
      <c r="S32" s="121" t="n"/>
      <c r="T32" s="121" t="n"/>
      <c r="U32" s="121" t="n"/>
      <c r="V32" s="122" t="n"/>
      <c r="W32" s="121" t="n"/>
      <c r="X32" s="121" t="n"/>
      <c r="Y32" s="121" t="n"/>
      <c r="Z32" s="121" t="n"/>
      <c r="AA32" s="121" t="n"/>
      <c r="AB32" s="121" t="n"/>
      <c r="AC32" s="122" t="n"/>
      <c r="AD32" s="121" t="n"/>
      <c r="AE32" s="121" t="n"/>
      <c r="AF32" s="121" t="n"/>
      <c r="AG32" s="121" t="n"/>
      <c r="AH32" s="121" t="n"/>
      <c r="AI32" s="121" t="n"/>
      <c r="AJ32" s="123">
        <f>IF(ISBLANK(B32), "", IF(ISNUMBER(D32), IF(D32&gt;0, (COUNTIF(E32:AI32, "✓") + COUNTIF(E32:AI32, "✔") + COUNTIF(E32:AI32, "v") + COUNTIF(E32:AI32, "V"))/D32, 0), IF(((COUNTIF(E32:AI32, "✓") + COUNTIF(E32:AI32, "✔") + COUNTIF(E32:AI32, "v") + COUNTIF(E32:AI32, "V")) + COUNTIF(E32:AI32, "✗") + COUNTIF(E32:AI32, "x") + COUNTIF(E32:AI32, "X"))&gt;0, (COUNTIF(E32:AI32, "✓") + COUNTIF(E32:AI32, "✔") + COUNTIF(E32:AI32, "v") + COUNTIF(E32:AI32, "V"))/((COUNTIF(E32:AI32, "✓") + COUNTIF(E32:AI32, "✔") + COUNTIF(E32:AI32, "v") + COUNTIF(E32:AI32, "V")) + COUNTIF(E32:AI32, "✗") + COUNTIF(E32:AI32, "x") + COUNTIF(E32:AI32, "X")), "")))</f>
        <v/>
      </c>
      <c r="AK32" s="124">
        <f>IF(ISBLANK(B32), "", IF(ISNUMBER(D32), IF(D32&gt;0, (COUNTIF(E32:AI32, "✓") + COUNTIF(E32:AI32, "✔") + COUNTIF(E32:AI32, "v") + COUNTIF(E32:AI32, "V")) &amp; "/" &amp; D32, (COUNTIF(E32:AI32, "✓") + COUNTIF(E32:AI32, "✔") + COUNTIF(E32:AI32, "v") + COUNTIF(E32:AI32, "V")) &amp; "/0"), IF(((COUNTIF(E32:AI32, "✓") + COUNTIF(E32:AI32, "✔") + COUNTIF(E32:AI32, "v") + COUNTIF(E32:AI32, "V")) + COUNTIF(E32:AI32, "✗") + COUNTIF(E32:AI32, "x") + COUNTIF(E32:AI32, "X"))&gt;0, (COUNTIF(E32:AI32, "✓") + COUNTIF(E32:AI32, "✔") + COUNTIF(E32:AI32, "v") + COUNTIF(E32:AI32, "V")) &amp; "/" &amp; ((COUNTIF(E32:AI32, "✓") + COUNTIF(E32:AI32, "✔") + COUNTIF(E32:AI32, "v") + COUNTIF(E32:AI32, "V")) + COUNTIF(E32:AI32, "✗") + COUNTIF(E32:AI32, "x") + COUNTIF(E32:AI32, "X")), "")))</f>
        <v/>
      </c>
      <c r="AL32" s="124">
        <f>IF(ISBLANK(B32), "", IF(AJ32&gt;=0.85, "🔥 Mastered", IF(AJ32&gt;=0.7, "⚡ Consistent", "⚠️ Needs Focus")))</f>
        <v/>
      </c>
      <c r="AM32">
        <f>COUNTIF(E32:AI32, "✓")</f>
        <v/>
      </c>
    </row>
    <row r="33" ht="14.5" customHeight="1">
      <c r="A33" s="118" t="n">
        <v>16</v>
      </c>
      <c r="B33" s="119" t="n"/>
      <c r="C33" s="120" t="n"/>
      <c r="D33" s="120" t="n"/>
      <c r="E33" s="121" t="n"/>
      <c r="F33" s="121" t="n"/>
      <c r="G33" s="121" t="n"/>
      <c r="H33" s="122" t="n"/>
      <c r="I33" s="121" t="n"/>
      <c r="J33" s="121" t="n"/>
      <c r="K33" s="121" t="n"/>
      <c r="L33" s="121" t="n"/>
      <c r="M33" s="121" t="n"/>
      <c r="N33" s="121" t="n"/>
      <c r="O33" s="122" t="n"/>
      <c r="P33" s="121" t="n"/>
      <c r="Q33" s="121" t="n"/>
      <c r="R33" s="121" t="n"/>
      <c r="S33" s="121" t="n"/>
      <c r="T33" s="121" t="n"/>
      <c r="U33" s="121" t="n"/>
      <c r="V33" s="122" t="n"/>
      <c r="W33" s="121" t="n"/>
      <c r="X33" s="121" t="n"/>
      <c r="Y33" s="121" t="n"/>
      <c r="Z33" s="121" t="n"/>
      <c r="AA33" s="121" t="n"/>
      <c r="AB33" s="121" t="n"/>
      <c r="AC33" s="122" t="n"/>
      <c r="AD33" s="121" t="n"/>
      <c r="AE33" s="121" t="n"/>
      <c r="AF33" s="121" t="n"/>
      <c r="AG33" s="121" t="n"/>
      <c r="AH33" s="121" t="n"/>
      <c r="AI33" s="121" t="n"/>
      <c r="AJ33" s="123">
        <f>IF(ISBLANK(B33), "", IF(ISNUMBER(D33), IF(D33&gt;0, (COUNTIF(E33:AI33, "✓") + COUNTIF(E33:AI33, "✔") + COUNTIF(E33:AI33, "v") + COUNTIF(E33:AI33, "V"))/D33, 0), IF(((COUNTIF(E33:AI33, "✓") + COUNTIF(E33:AI33, "✔") + COUNTIF(E33:AI33, "v") + COUNTIF(E33:AI33, "V")) + COUNTIF(E33:AI33, "✗") + COUNTIF(E33:AI33, "x") + COUNTIF(E33:AI33, "X"))&gt;0, (COUNTIF(E33:AI33, "✓") + COUNTIF(E33:AI33, "✔") + COUNTIF(E33:AI33, "v") + COUNTIF(E33:AI33, "V"))/((COUNTIF(E33:AI33, "✓") + COUNTIF(E33:AI33, "✔") + COUNTIF(E33:AI33, "v") + COUNTIF(E33:AI33, "V")) + COUNTIF(E33:AI33, "✗") + COUNTIF(E33:AI33, "x") + COUNTIF(E33:AI33, "X")), "")))</f>
        <v/>
      </c>
      <c r="AK33" s="124">
        <f>IF(ISBLANK(B33), "", IF(ISNUMBER(D33), IF(D33&gt;0, (COUNTIF(E33:AI33, "✓") + COUNTIF(E33:AI33, "✔") + COUNTIF(E33:AI33, "v") + COUNTIF(E33:AI33, "V")) &amp; "/" &amp; D33, (COUNTIF(E33:AI33, "✓") + COUNTIF(E33:AI33, "✔") + COUNTIF(E33:AI33, "v") + COUNTIF(E33:AI33, "V")) &amp; "/0"), IF(((COUNTIF(E33:AI33, "✓") + COUNTIF(E33:AI33, "✔") + COUNTIF(E33:AI33, "v") + COUNTIF(E33:AI33, "V")) + COUNTIF(E33:AI33, "✗") + COUNTIF(E33:AI33, "x") + COUNTIF(E33:AI33, "X"))&gt;0, (COUNTIF(E33:AI33, "✓") + COUNTIF(E33:AI33, "✔") + COUNTIF(E33:AI33, "v") + COUNTIF(E33:AI33, "V")) &amp; "/" &amp; ((COUNTIF(E33:AI33, "✓") + COUNTIF(E33:AI33, "✔") + COUNTIF(E33:AI33, "v") + COUNTIF(E33:AI33, "V")) + COUNTIF(E33:AI33, "✗") + COUNTIF(E33:AI33, "x") + COUNTIF(E33:AI33, "X")), "")))</f>
        <v/>
      </c>
      <c r="AL33" s="124">
        <f>IF(ISBLANK(B33), "", IF(AJ33&gt;=0.85, "🔥 Mastered", IF(AJ33&gt;=0.7, "⚡ Consistent", "⚠️ Needs Focus")))</f>
        <v/>
      </c>
      <c r="AM33">
        <f>COUNTIF(E33:AI33, "✓")</f>
        <v/>
      </c>
    </row>
    <row r="34" ht="14.5" customHeight="1">
      <c r="A34" s="125" t="n">
        <v>17</v>
      </c>
      <c r="B34" s="126" t="n"/>
      <c r="C34" s="127" t="n"/>
      <c r="D34" s="127" t="n"/>
      <c r="E34" s="128" t="n"/>
      <c r="F34" s="128" t="n"/>
      <c r="G34" s="128" t="n"/>
      <c r="H34" s="129" t="n"/>
      <c r="I34" s="128" t="n"/>
      <c r="J34" s="128" t="n"/>
      <c r="K34" s="128" t="n"/>
      <c r="L34" s="128" t="n"/>
      <c r="M34" s="128" t="n"/>
      <c r="N34" s="128" t="n"/>
      <c r="O34" s="129" t="n"/>
      <c r="P34" s="128" t="n"/>
      <c r="Q34" s="128" t="n"/>
      <c r="R34" s="128" t="n"/>
      <c r="S34" s="128" t="n"/>
      <c r="T34" s="128" t="n"/>
      <c r="U34" s="128" t="n"/>
      <c r="V34" s="129" t="n"/>
      <c r="W34" s="128" t="n"/>
      <c r="X34" s="128" t="n"/>
      <c r="Y34" s="128" t="n"/>
      <c r="Z34" s="128" t="n"/>
      <c r="AA34" s="128" t="n"/>
      <c r="AB34" s="128" t="n"/>
      <c r="AC34" s="129" t="n"/>
      <c r="AD34" s="128" t="n"/>
      <c r="AE34" s="128" t="n"/>
      <c r="AF34" s="128" t="n"/>
      <c r="AG34" s="128" t="n"/>
      <c r="AH34" s="128" t="n"/>
      <c r="AI34" s="128" t="n"/>
      <c r="AJ34" s="130">
        <f>IF(ISBLANK(B34), "", IF(ISNUMBER(D34), IF(D34&gt;0, (COUNTIF(E34:AI34, "✓") + COUNTIF(E34:AI34, "✔") + COUNTIF(E34:AI34, "v") + COUNTIF(E34:AI34, "V"))/D34, 0), IF(((COUNTIF(E34:AI34, "✓") + COUNTIF(E34:AI34, "✔") + COUNTIF(E34:AI34, "v") + COUNTIF(E34:AI34, "V")) + COUNTIF(E34:AI34, "✗") + COUNTIF(E34:AI34, "x") + COUNTIF(E34:AI34, "X"))&gt;0, (COUNTIF(E34:AI34, "✓") + COUNTIF(E34:AI34, "✔") + COUNTIF(E34:AI34, "v") + COUNTIF(E34:AI34, "V"))/((COUNTIF(E34:AI34, "✓") + COUNTIF(E34:AI34, "✔") + COUNTIF(E34:AI34, "v") + COUNTIF(E34:AI34, "V")) + COUNTIF(E34:AI34, "✗") + COUNTIF(E34:AI34, "x") + COUNTIF(E34:AI34, "X")), "")))</f>
        <v/>
      </c>
      <c r="AK34" s="131">
        <f>IF(ISBLANK(B34), "", IF(ISNUMBER(D34), IF(D34&gt;0, (COUNTIF(E34:AI34, "✓") + COUNTIF(E34:AI34, "✔") + COUNTIF(E34:AI34, "v") + COUNTIF(E34:AI34, "V")) &amp; "/" &amp; D34, (COUNTIF(E34:AI34, "✓") + COUNTIF(E34:AI34, "✔") + COUNTIF(E34:AI34, "v") + COUNTIF(E34:AI34, "V")) &amp; "/0"), IF(((COUNTIF(E34:AI34, "✓") + COUNTIF(E34:AI34, "✔") + COUNTIF(E34:AI34, "v") + COUNTIF(E34:AI34, "V")) + COUNTIF(E34:AI34, "✗") + COUNTIF(E34:AI34, "x") + COUNTIF(E34:AI34, "X"))&gt;0, (COUNTIF(E34:AI34, "✓") + COUNTIF(E34:AI34, "✔") + COUNTIF(E34:AI34, "v") + COUNTIF(E34:AI34, "V")) &amp; "/" &amp; ((COUNTIF(E34:AI34, "✓") + COUNTIF(E34:AI34, "✔") + COUNTIF(E34:AI34, "v") + COUNTIF(E34:AI34, "V")) + COUNTIF(E34:AI34, "✗") + COUNTIF(E34:AI34, "x") + COUNTIF(E34:AI34, "X")), "")))</f>
        <v/>
      </c>
      <c r="AL34" s="131">
        <f>IF(ISBLANK(B34), "", IF(AJ34&gt;=0.85, "🔥 Mastered", IF(AJ34&gt;=0.7, "⚡ Consistent", "⚠️ Needs Focus")))</f>
        <v/>
      </c>
      <c r="AM34">
        <f>COUNTIF(E34:AI34, "✓")</f>
        <v/>
      </c>
    </row>
    <row r="35" ht="14.5" customHeight="1">
      <c r="A35" s="125" t="n">
        <v>18</v>
      </c>
      <c r="B35" s="126" t="n"/>
      <c r="C35" s="127" t="n"/>
      <c r="D35" s="127" t="n"/>
      <c r="E35" s="128" t="n"/>
      <c r="F35" s="128" t="n"/>
      <c r="G35" s="128" t="n"/>
      <c r="H35" s="129" t="n"/>
      <c r="I35" s="128" t="n"/>
      <c r="J35" s="128" t="n"/>
      <c r="K35" s="128" t="n"/>
      <c r="L35" s="128" t="n"/>
      <c r="M35" s="128" t="n"/>
      <c r="N35" s="128" t="n"/>
      <c r="O35" s="129" t="n"/>
      <c r="P35" s="128" t="n"/>
      <c r="Q35" s="128" t="n"/>
      <c r="R35" s="128" t="n"/>
      <c r="S35" s="128" t="n"/>
      <c r="T35" s="128" t="n"/>
      <c r="U35" s="128" t="n"/>
      <c r="V35" s="129" t="n"/>
      <c r="W35" s="128" t="n"/>
      <c r="X35" s="128" t="n"/>
      <c r="Y35" s="128" t="n"/>
      <c r="Z35" s="128" t="n"/>
      <c r="AA35" s="128" t="n"/>
      <c r="AB35" s="128" t="n"/>
      <c r="AC35" s="129" t="n"/>
      <c r="AD35" s="128" t="n"/>
      <c r="AE35" s="128" t="n"/>
      <c r="AF35" s="128" t="n"/>
      <c r="AG35" s="128" t="n"/>
      <c r="AH35" s="128" t="n"/>
      <c r="AI35" s="128" t="n"/>
      <c r="AJ35" s="130">
        <f>IF(ISBLANK(B35), "", IF(ISNUMBER(D35), IF(D35&gt;0, (COUNTIF(E35:AI35, "✓") + COUNTIF(E35:AI35, "✔") + COUNTIF(E35:AI35, "v") + COUNTIF(E35:AI35, "V"))/D35, 0), IF(((COUNTIF(E35:AI35, "✓") + COUNTIF(E35:AI35, "✔") + COUNTIF(E35:AI35, "v") + COUNTIF(E35:AI35, "V")) + COUNTIF(E35:AI35, "✗") + COUNTIF(E35:AI35, "x") + COUNTIF(E35:AI35, "X"))&gt;0, (COUNTIF(E35:AI35, "✓") + COUNTIF(E35:AI35, "✔") + COUNTIF(E35:AI35, "v") + COUNTIF(E35:AI35, "V"))/((COUNTIF(E35:AI35, "✓") + COUNTIF(E35:AI35, "✔") + COUNTIF(E35:AI35, "v") + COUNTIF(E35:AI35, "V")) + COUNTIF(E35:AI35, "✗") + COUNTIF(E35:AI35, "x") + COUNTIF(E35:AI35, "X")), "")))</f>
        <v/>
      </c>
      <c r="AK35" s="131">
        <f>IF(ISBLANK(B35), "", IF(ISNUMBER(D35), IF(D35&gt;0, (COUNTIF(E35:AI35, "✓") + COUNTIF(E35:AI35, "✔") + COUNTIF(E35:AI35, "v") + COUNTIF(E35:AI35, "V")) &amp; "/" &amp; D35, (COUNTIF(E35:AI35, "✓") + COUNTIF(E35:AI35, "✔") + COUNTIF(E35:AI35, "v") + COUNTIF(E35:AI35, "V")) &amp; "/0"), IF(((COUNTIF(E35:AI35, "✓") + COUNTIF(E35:AI35, "✔") + COUNTIF(E35:AI35, "v") + COUNTIF(E35:AI35, "V")) + COUNTIF(E35:AI35, "✗") + COUNTIF(E35:AI35, "x") + COUNTIF(E35:AI35, "X"))&gt;0, (COUNTIF(E35:AI35, "✓") + COUNTIF(E35:AI35, "✔") + COUNTIF(E35:AI35, "v") + COUNTIF(E35:AI35, "V")) &amp; "/" &amp; ((COUNTIF(E35:AI35, "✓") + COUNTIF(E35:AI35, "✔") + COUNTIF(E35:AI35, "v") + COUNTIF(E35:AI35, "V")) + COUNTIF(E35:AI35, "✗") + COUNTIF(E35:AI35, "x") + COUNTIF(E35:AI35, "X")), "")))</f>
        <v/>
      </c>
      <c r="AL35" s="131">
        <f>IF(ISBLANK(B35), "", IF(AJ35&gt;=0.85, "🔥 Mastered", IF(AJ35&gt;=0.7, "⚡ Consistent", "⚠️ Needs Focus")))</f>
        <v/>
      </c>
      <c r="AM35">
        <f>COUNTIF(E35:AI35, "✓")</f>
        <v/>
      </c>
    </row>
    <row r="36" ht="14.5" customHeight="1">
      <c r="A36" s="125" t="n">
        <v>19</v>
      </c>
      <c r="B36" s="126" t="n"/>
      <c r="C36" s="127" t="n"/>
      <c r="D36" s="127" t="n"/>
      <c r="E36" s="128" t="n"/>
      <c r="F36" s="128" t="n"/>
      <c r="G36" s="128" t="n"/>
      <c r="H36" s="129" t="n"/>
      <c r="I36" s="128" t="n"/>
      <c r="J36" s="128" t="n"/>
      <c r="K36" s="128" t="n"/>
      <c r="L36" s="128" t="n"/>
      <c r="M36" s="128" t="n"/>
      <c r="N36" s="128" t="n"/>
      <c r="O36" s="129" t="n"/>
      <c r="P36" s="128" t="n"/>
      <c r="Q36" s="128" t="n"/>
      <c r="R36" s="128" t="n"/>
      <c r="S36" s="128" t="n"/>
      <c r="T36" s="128" t="n"/>
      <c r="U36" s="128" t="n"/>
      <c r="V36" s="129" t="n"/>
      <c r="W36" s="128" t="n"/>
      <c r="X36" s="128" t="n"/>
      <c r="Y36" s="128" t="n"/>
      <c r="Z36" s="128" t="n"/>
      <c r="AA36" s="128" t="n"/>
      <c r="AB36" s="128" t="n"/>
      <c r="AC36" s="129" t="n"/>
      <c r="AD36" s="128" t="n"/>
      <c r="AE36" s="128" t="n"/>
      <c r="AF36" s="128" t="n"/>
      <c r="AG36" s="128" t="n"/>
      <c r="AH36" s="128" t="n"/>
      <c r="AI36" s="128" t="n"/>
      <c r="AJ36" s="130">
        <f>IF(ISBLANK(B36), "", IF(ISNUMBER(D36), IF(D36&gt;0, (COUNTIF(E36:AI36, "✓") + COUNTIF(E36:AI36, "✔") + COUNTIF(E36:AI36, "v") + COUNTIF(E36:AI36, "V"))/D36, 0), IF(((COUNTIF(E36:AI36, "✓") + COUNTIF(E36:AI36, "✔") + COUNTIF(E36:AI36, "v") + COUNTIF(E36:AI36, "V")) + COUNTIF(E36:AI36, "✗") + COUNTIF(E36:AI36, "x") + COUNTIF(E36:AI36, "X"))&gt;0, (COUNTIF(E36:AI36, "✓") + COUNTIF(E36:AI36, "✔") + COUNTIF(E36:AI36, "v") + COUNTIF(E36:AI36, "V"))/((COUNTIF(E36:AI36, "✓") + COUNTIF(E36:AI36, "✔") + COUNTIF(E36:AI36, "v") + COUNTIF(E36:AI36, "V")) + COUNTIF(E36:AI36, "✗") + COUNTIF(E36:AI36, "x") + COUNTIF(E36:AI36, "X")), "")))</f>
        <v/>
      </c>
      <c r="AK36" s="131">
        <f>IF(ISBLANK(B36), "", IF(ISNUMBER(D36), IF(D36&gt;0, (COUNTIF(E36:AI36, "✓") + COUNTIF(E36:AI36, "✔") + COUNTIF(E36:AI36, "v") + COUNTIF(E36:AI36, "V")) &amp; "/" &amp; D36, (COUNTIF(E36:AI36, "✓") + COUNTIF(E36:AI36, "✔") + COUNTIF(E36:AI36, "v") + COUNTIF(E36:AI36, "V")) &amp; "/0"), IF(((COUNTIF(E36:AI36, "✓") + COUNTIF(E36:AI36, "✔") + COUNTIF(E36:AI36, "v") + COUNTIF(E36:AI36, "V")) + COUNTIF(E36:AI36, "✗") + COUNTIF(E36:AI36, "x") + COUNTIF(E36:AI36, "X"))&gt;0, (COUNTIF(E36:AI36, "✓") + COUNTIF(E36:AI36, "✔") + COUNTIF(E36:AI36, "v") + COUNTIF(E36:AI36, "V")) &amp; "/" &amp; ((COUNTIF(E36:AI36, "✓") + COUNTIF(E36:AI36, "✔") + COUNTIF(E36:AI36, "v") + COUNTIF(E36:AI36, "V")) + COUNTIF(E36:AI36, "✗") + COUNTIF(E36:AI36, "x") + COUNTIF(E36:AI36, "X")), "")))</f>
        <v/>
      </c>
      <c r="AL36" s="131">
        <f>IF(ISBLANK(B36), "", IF(AJ36&gt;=0.85, "🔥 Mastered", IF(AJ36&gt;=0.7, "⚡ Consistent", "⚠️ Needs Focus")))</f>
        <v/>
      </c>
      <c r="AM36">
        <f>COUNTIF(E36:AI36, "✓")</f>
        <v/>
      </c>
    </row>
    <row r="37" ht="14.5" customHeight="1">
      <c r="A37" s="125" t="n">
        <v>20</v>
      </c>
      <c r="B37" s="126" t="n"/>
      <c r="C37" s="127" t="n"/>
      <c r="D37" s="127" t="n"/>
      <c r="E37" s="128" t="n"/>
      <c r="F37" s="128" t="n"/>
      <c r="G37" s="128" t="n"/>
      <c r="H37" s="129" t="n"/>
      <c r="I37" s="128" t="n"/>
      <c r="J37" s="128" t="n"/>
      <c r="K37" s="128" t="n"/>
      <c r="L37" s="128" t="n"/>
      <c r="M37" s="128" t="n"/>
      <c r="N37" s="128" t="n"/>
      <c r="O37" s="129" t="n"/>
      <c r="P37" s="128" t="n"/>
      <c r="Q37" s="128" t="n"/>
      <c r="R37" s="128" t="n"/>
      <c r="S37" s="128" t="n"/>
      <c r="T37" s="128" t="n"/>
      <c r="U37" s="128" t="n"/>
      <c r="V37" s="129" t="n"/>
      <c r="W37" s="128" t="n"/>
      <c r="X37" s="128" t="n"/>
      <c r="Y37" s="128" t="n"/>
      <c r="Z37" s="128" t="n"/>
      <c r="AA37" s="128" t="n"/>
      <c r="AB37" s="128" t="n"/>
      <c r="AC37" s="129" t="n"/>
      <c r="AD37" s="128" t="n"/>
      <c r="AE37" s="128" t="n"/>
      <c r="AF37" s="128" t="n"/>
      <c r="AG37" s="128" t="n"/>
      <c r="AH37" s="128" t="n"/>
      <c r="AI37" s="128" t="n"/>
      <c r="AJ37" s="130">
        <f>IF(ISBLANK(B37), "", IF(ISNUMBER(D37), IF(D37&gt;0, (COUNTIF(E37:AI37, "✓") + COUNTIF(E37:AI37, "✔") + COUNTIF(E37:AI37, "v") + COUNTIF(E37:AI37, "V"))/D37, 0), IF(((COUNTIF(E37:AI37, "✓") + COUNTIF(E37:AI37, "✔") + COUNTIF(E37:AI37, "v") + COUNTIF(E37:AI37, "V")) + COUNTIF(E37:AI37, "✗") + COUNTIF(E37:AI37, "x") + COUNTIF(E37:AI37, "X"))&gt;0, (COUNTIF(E37:AI37, "✓") + COUNTIF(E37:AI37, "✔") + COUNTIF(E37:AI37, "v") + COUNTIF(E37:AI37, "V"))/((COUNTIF(E37:AI37, "✓") + COUNTIF(E37:AI37, "✔") + COUNTIF(E37:AI37, "v") + COUNTIF(E37:AI37, "V")) + COUNTIF(E37:AI37, "✗") + COUNTIF(E37:AI37, "x") + COUNTIF(E37:AI37, "X")), "")))</f>
        <v/>
      </c>
      <c r="AK37" s="131">
        <f>IF(ISBLANK(B37), "", IF(ISNUMBER(D37), IF(D37&gt;0, (COUNTIF(E37:AI37, "✓") + COUNTIF(E37:AI37, "✔") + COUNTIF(E37:AI37, "v") + COUNTIF(E37:AI37, "V")) &amp; "/" &amp; D37, (COUNTIF(E37:AI37, "✓") + COUNTIF(E37:AI37, "✔") + COUNTIF(E37:AI37, "v") + COUNTIF(E37:AI37, "V")) &amp; "/0"), IF(((COUNTIF(E37:AI37, "✓") + COUNTIF(E37:AI37, "✔") + COUNTIF(E37:AI37, "v") + COUNTIF(E37:AI37, "V")) + COUNTIF(E37:AI37, "✗") + COUNTIF(E37:AI37, "x") + COUNTIF(E37:AI37, "X"))&gt;0, (COUNTIF(E37:AI37, "✓") + COUNTIF(E37:AI37, "✔") + COUNTIF(E37:AI37, "v") + COUNTIF(E37:AI37, "V")) &amp; "/" &amp; ((COUNTIF(E37:AI37, "✓") + COUNTIF(E37:AI37, "✔") + COUNTIF(E37:AI37, "v") + COUNTIF(E37:AI37, "V")) + COUNTIF(E37:AI37, "✗") + COUNTIF(E37:AI37, "x") + COUNTIF(E37:AI37, "X")), "")))</f>
        <v/>
      </c>
      <c r="AL37" s="131">
        <f>IF(ISBLANK(B37), "", IF(AJ37&gt;=0.85, "🔥 Mastered", IF(AJ37&gt;=0.7, "⚡ Consistent", "⚠️ Needs Focus")))</f>
        <v/>
      </c>
      <c r="AM37">
        <f>COUNTIF(E37:AI37, "✓")</f>
        <v/>
      </c>
    </row>
    <row r="38" ht="18" customHeight="1">
      <c r="A38" s="132" t="inlineStr">
        <is>
          <t>DAILY TOTAL SCORE</t>
        </is>
      </c>
      <c r="B38" s="54" t="n"/>
      <c r="C38" s="54" t="n"/>
      <c r="D38" s="54" t="n"/>
      <c r="E38" s="33">
        <f>IF(((COUNTIF(E18:E37, "✓") + COUNTIF(E18:E37, "✔") + COUNTIF(E18:E37, "v") + COUNTIF(E18:E37, "V")) + COUNTIF(E18:E37, "✗") + COUNTIF(E18:E37, "x") + COUNTIF(E18:E37, "X")) &gt; 0, (COUNTIF(E18:E37, "✓") + COUNTIF(E18:E37, "✔") + COUNTIF(E18:E37, "v") + COUNTIF(E18:E37, "V")) &amp; "/" &amp; ((COUNTIF(E18:E37, "✓") + COUNTIF(E18:E37, "✔") + COUNTIF(E18:E37, "v") + COUNTIF(E18:E37, "V")) + COUNTIF(E18:E37, "✗") + COUNTIF(E18:E37, "x") + COUNTIF(E18:E37, "X")), "")</f>
        <v/>
      </c>
      <c r="F38" s="33">
        <f>IF(((COUNTIF(F18:F37, "✓") + COUNTIF(F18:F37, "✔") + COUNTIF(F18:F37, "v") + COUNTIF(F18:F37, "V")) + COUNTIF(F18:F37, "✗") + COUNTIF(F18:F37, "x") + COUNTIF(F18:F37, "X")) &gt; 0, (COUNTIF(F18:F37, "✓") + COUNTIF(F18:F37, "✔") + COUNTIF(F18:F37, "v") + COUNTIF(F18:F37, "V")) &amp; "/" &amp; ((COUNTIF(F18:F37, "✓") + COUNTIF(F18:F37, "✔") + COUNTIF(F18:F37, "v") + COUNTIF(F18:F37, "V")) + COUNTIF(F18:F37, "✗") + COUNTIF(F18:F37, "x") + COUNTIF(F18:F37, "X")), "")</f>
        <v/>
      </c>
      <c r="G38" s="33">
        <f>IF(((COUNTIF(G18:G37, "✓") + COUNTIF(G18:G37, "✔") + COUNTIF(G18:G37, "v") + COUNTIF(G18:G37, "V")) + COUNTIF(G18:G37, "✗") + COUNTIF(G18:G37, "x") + COUNTIF(G18:G37, "X")) &gt; 0, (COUNTIF(G18:G37, "✓") + COUNTIF(G18:G37, "✔") + COUNTIF(G18:G37, "v") + COUNTIF(G18:G37, "V")) &amp; "/" &amp; ((COUNTIF(G18:G37, "✓") + COUNTIF(G18:G37, "✔") + COUNTIF(G18:G37, "v") + COUNTIF(G18:G37, "V")) + COUNTIF(G18:G37, "✗") + COUNTIF(G18:G37, "x") + COUNTIF(G18:G37, "X")), "")</f>
        <v/>
      </c>
      <c r="H38" s="33">
        <f>IF(((COUNTIF(H18:H37, "✓") + COUNTIF(H18:H37, "✔") + COUNTIF(H18:H37, "v") + COUNTIF(H18:H37, "V")) + COUNTIF(H18:H37, "✗") + COUNTIF(H18:H37, "x") + COUNTIF(H18:H37, "X")) &gt; 0, (COUNTIF(H18:H37, "✓") + COUNTIF(H18:H37, "✔") + COUNTIF(H18:H37, "v") + COUNTIF(H18:H37, "V")) &amp; "/" &amp; ((COUNTIF(H18:H37, "✓") + COUNTIF(H18:H37, "✔") + COUNTIF(H18:H37, "v") + COUNTIF(H18:H37, "V")) + COUNTIF(H18:H37, "✗") + COUNTIF(H18:H37, "x") + COUNTIF(H18:H37, "X")), "")</f>
        <v/>
      </c>
      <c r="I38" s="33">
        <f>IF(((COUNTIF(I18:I37, "✓") + COUNTIF(I18:I37, "✔") + COUNTIF(I18:I37, "v") + COUNTIF(I18:I37, "V")) + COUNTIF(I18:I37, "✗") + COUNTIF(I18:I37, "x") + COUNTIF(I18:I37, "X")) &gt; 0, (COUNTIF(I18:I37, "✓") + COUNTIF(I18:I37, "✔") + COUNTIF(I18:I37, "v") + COUNTIF(I18:I37, "V")) &amp; "/" &amp; ((COUNTIF(I18:I37, "✓") + COUNTIF(I18:I37, "✔") + COUNTIF(I18:I37, "v") + COUNTIF(I18:I37, "V")) + COUNTIF(I18:I37, "✗") + COUNTIF(I18:I37, "x") + COUNTIF(I18:I37, "X")), "")</f>
        <v/>
      </c>
      <c r="J38" s="33">
        <f>IF(((COUNTIF(J18:J37, "✓") + COUNTIF(J18:J37, "✔") + COUNTIF(J18:J37, "v") + COUNTIF(J18:J37, "V")) + COUNTIF(J18:J37, "✗") + COUNTIF(J18:J37, "x") + COUNTIF(J18:J37, "X")) &gt; 0, (COUNTIF(J18:J37, "✓") + COUNTIF(J18:J37, "✔") + COUNTIF(J18:J37, "v") + COUNTIF(J18:J37, "V")) &amp; "/" &amp; ((COUNTIF(J18:J37, "✓") + COUNTIF(J18:J37, "✔") + COUNTIF(J18:J37, "v") + COUNTIF(J18:J37, "V")) + COUNTIF(J18:J37, "✗") + COUNTIF(J18:J37, "x") + COUNTIF(J18:J37, "X")), "")</f>
        <v/>
      </c>
      <c r="K38" s="33">
        <f>IF(((COUNTIF(K18:K37, "✓") + COUNTIF(K18:K37, "✔") + COUNTIF(K18:K37, "v") + COUNTIF(K18:K37, "V")) + COUNTIF(K18:K37, "✗") + COUNTIF(K18:K37, "x") + COUNTIF(K18:K37, "X")) &gt; 0, (COUNTIF(K18:K37, "✓") + COUNTIF(K18:K37, "✔") + COUNTIF(K18:K37, "v") + COUNTIF(K18:K37, "V")) &amp; "/" &amp; ((COUNTIF(K18:K37, "✓") + COUNTIF(K18:K37, "✔") + COUNTIF(K18:K37, "v") + COUNTIF(K18:K37, "V")) + COUNTIF(K18:K37, "✗") + COUNTIF(K18:K37, "x") + COUNTIF(K18:K37, "X")), "")</f>
        <v/>
      </c>
      <c r="L38" s="33">
        <f>IF(((COUNTIF(L18:L37, "✓") + COUNTIF(L18:L37, "✔") + COUNTIF(L18:L37, "v") + COUNTIF(L18:L37, "V")) + COUNTIF(L18:L37, "✗") + COUNTIF(L18:L37, "x") + COUNTIF(L18:L37, "X")) &gt; 0, (COUNTIF(L18:L37, "✓") + COUNTIF(L18:L37, "✔") + COUNTIF(L18:L37, "v") + COUNTIF(L18:L37, "V")) &amp; "/" &amp; ((COUNTIF(L18:L37, "✓") + COUNTIF(L18:L37, "✔") + COUNTIF(L18:L37, "v") + COUNTIF(L18:L37, "V")) + COUNTIF(L18:L37, "✗") + COUNTIF(L18:L37, "x") + COUNTIF(L18:L37, "X")), "")</f>
        <v/>
      </c>
      <c r="M38" s="33">
        <f>IF(((COUNTIF(M18:M37, "✓") + COUNTIF(M18:M37, "✔") + COUNTIF(M18:M37, "v") + COUNTIF(M18:M37, "V")) + COUNTIF(M18:M37, "✗") + COUNTIF(M18:M37, "x") + COUNTIF(M18:M37, "X")) &gt; 0, (COUNTIF(M18:M37, "✓") + COUNTIF(M18:M37, "✔") + COUNTIF(M18:M37, "v") + COUNTIF(M18:M37, "V")) &amp; "/" &amp; ((COUNTIF(M18:M37, "✓") + COUNTIF(M18:M37, "✔") + COUNTIF(M18:M37, "v") + COUNTIF(M18:M37, "V")) + COUNTIF(M18:M37, "✗") + COUNTIF(M18:M37, "x") + COUNTIF(M18:M37, "X")), "")</f>
        <v/>
      </c>
      <c r="N38" s="33">
        <f>IF(((COUNTIF(N18:N37, "✓") + COUNTIF(N18:N37, "✔") + COUNTIF(N18:N37, "v") + COUNTIF(N18:N37, "V")) + COUNTIF(N18:N37, "✗") + COUNTIF(N18:N37, "x") + COUNTIF(N18:N37, "X")) &gt; 0, (COUNTIF(N18:N37, "✓") + COUNTIF(N18:N37, "✔") + COUNTIF(N18:N37, "v") + COUNTIF(N18:N37, "V")) &amp; "/" &amp; ((COUNTIF(N18:N37, "✓") + COUNTIF(N18:N37, "✔") + COUNTIF(N18:N37, "v") + COUNTIF(N18:N37, "V")) + COUNTIF(N18:N37, "✗") + COUNTIF(N18:N37, "x") + COUNTIF(N18:N37, "X")), "")</f>
        <v/>
      </c>
      <c r="O38" s="33">
        <f>IF(((COUNTIF(O18:O37, "✓") + COUNTIF(O18:O37, "✔") + COUNTIF(O18:O37, "v") + COUNTIF(O18:O37, "V")) + COUNTIF(O18:O37, "✗") + COUNTIF(O18:O37, "x") + COUNTIF(O18:O37, "X")) &gt; 0, (COUNTIF(O18:O37, "✓") + COUNTIF(O18:O37, "✔") + COUNTIF(O18:O37, "v") + COUNTIF(O18:O37, "V")) &amp; "/" &amp; ((COUNTIF(O18:O37, "✓") + COUNTIF(O18:O37, "✔") + COUNTIF(O18:O37, "v") + COUNTIF(O18:O37, "V")) + COUNTIF(O18:O37, "✗") + COUNTIF(O18:O37, "x") + COUNTIF(O18:O37, "X")), "")</f>
        <v/>
      </c>
      <c r="P38" s="33">
        <f>IF(((COUNTIF(P18:P37, "✓") + COUNTIF(P18:P37, "✔") + COUNTIF(P18:P37, "v") + COUNTIF(P18:P37, "V")) + COUNTIF(P18:P37, "✗") + COUNTIF(P18:P37, "x") + COUNTIF(P18:P37, "X")) &gt; 0, (COUNTIF(P18:P37, "✓") + COUNTIF(P18:P37, "✔") + COUNTIF(P18:P37, "v") + COUNTIF(P18:P37, "V")) &amp; "/" &amp; ((COUNTIF(P18:P37, "✓") + COUNTIF(P18:P37, "✔") + COUNTIF(P18:P37, "v") + COUNTIF(P18:P37, "V")) + COUNTIF(P18:P37, "✗") + COUNTIF(P18:P37, "x") + COUNTIF(P18:P37, "X")), "")</f>
        <v/>
      </c>
      <c r="Q38" s="33">
        <f>IF(((COUNTIF(Q18:Q37, "✓") + COUNTIF(Q18:Q37, "✔") + COUNTIF(Q18:Q37, "v") + COUNTIF(Q18:Q37, "V")) + COUNTIF(Q18:Q37, "✗") + COUNTIF(Q18:Q37, "x") + COUNTIF(Q18:Q37, "X")) &gt; 0, (COUNTIF(Q18:Q37, "✓") + COUNTIF(Q18:Q37, "✔") + COUNTIF(Q18:Q37, "v") + COUNTIF(Q18:Q37, "V")) &amp; "/" &amp; ((COUNTIF(Q18:Q37, "✓") + COUNTIF(Q18:Q37, "✔") + COUNTIF(Q18:Q37, "v") + COUNTIF(Q18:Q37, "V")) + COUNTIF(Q18:Q37, "✗") + COUNTIF(Q18:Q37, "x") + COUNTIF(Q18:Q37, "X")), "")</f>
        <v/>
      </c>
      <c r="R38" s="33">
        <f>IF(((COUNTIF(R18:R37, "✓") + COUNTIF(R18:R37, "✔") + COUNTIF(R18:R37, "v") + COUNTIF(R18:R37, "V")) + COUNTIF(R18:R37, "✗") + COUNTIF(R18:R37, "x") + COUNTIF(R18:R37, "X")) &gt; 0, (COUNTIF(R18:R37, "✓") + COUNTIF(R18:R37, "✔") + COUNTIF(R18:R37, "v") + COUNTIF(R18:R37, "V")) &amp; "/" &amp; ((COUNTIF(R18:R37, "✓") + COUNTIF(R18:R37, "✔") + COUNTIF(R18:R37, "v") + COUNTIF(R18:R37, "V")) + COUNTIF(R18:R37, "✗") + COUNTIF(R18:R37, "x") + COUNTIF(R18:R37, "X")), "")</f>
        <v/>
      </c>
      <c r="S38" s="33">
        <f>IF(((COUNTIF(S18:S37, "✓") + COUNTIF(S18:S37, "✔") + COUNTIF(S18:S37, "v") + COUNTIF(S18:S37, "V")) + COUNTIF(S18:S37, "✗") + COUNTIF(S18:S37, "x") + COUNTIF(S18:S37, "X")) &gt; 0, (COUNTIF(S18:S37, "✓") + COUNTIF(S18:S37, "✔") + COUNTIF(S18:S37, "v") + COUNTIF(S18:S37, "V")) &amp; "/" &amp; ((COUNTIF(S18:S37, "✓") + COUNTIF(S18:S37, "✔") + COUNTIF(S18:S37, "v") + COUNTIF(S18:S37, "V")) + COUNTIF(S18:S37, "✗") + COUNTIF(S18:S37, "x") + COUNTIF(S18:S37, "X")), "")</f>
        <v/>
      </c>
      <c r="T38" s="33">
        <f>IF(((COUNTIF(T18:T37, "✓") + COUNTIF(T18:T37, "✔") + COUNTIF(T18:T37, "v") + COUNTIF(T18:T37, "V")) + COUNTIF(T18:T37, "✗") + COUNTIF(T18:T37, "x") + COUNTIF(T18:T37, "X")) &gt; 0, (COUNTIF(T18:T37, "✓") + COUNTIF(T18:T37, "✔") + COUNTIF(T18:T37, "v") + COUNTIF(T18:T37, "V")) &amp; "/" &amp; ((COUNTIF(T18:T37, "✓") + COUNTIF(T18:T37, "✔") + COUNTIF(T18:T37, "v") + COUNTIF(T18:T37, "V")) + COUNTIF(T18:T37, "✗") + COUNTIF(T18:T37, "x") + COUNTIF(T18:T37, "X")), "")</f>
        <v/>
      </c>
      <c r="U38" s="33">
        <f>IF(((COUNTIF(U18:U37, "✓") + COUNTIF(U18:U37, "✔") + COUNTIF(U18:U37, "v") + COUNTIF(U18:U37, "V")) + COUNTIF(U18:U37, "✗") + COUNTIF(U18:U37, "x") + COUNTIF(U18:U37, "X")) &gt; 0, (COUNTIF(U18:U37, "✓") + COUNTIF(U18:U37, "✔") + COUNTIF(U18:U37, "v") + COUNTIF(U18:U37, "V")) &amp; "/" &amp; ((COUNTIF(U18:U37, "✓") + COUNTIF(U18:U37, "✔") + COUNTIF(U18:U37, "v") + COUNTIF(U18:U37, "V")) + COUNTIF(U18:U37, "✗") + COUNTIF(U18:U37, "x") + COUNTIF(U18:U37, "X")), "")</f>
        <v/>
      </c>
      <c r="V38" s="33">
        <f>IF(((COUNTIF(V18:V37, "✓") + COUNTIF(V18:V37, "✔") + COUNTIF(V18:V37, "v") + COUNTIF(V18:V37, "V")) + COUNTIF(V18:V37, "✗") + COUNTIF(V18:V37, "x") + COUNTIF(V18:V37, "X")) &gt; 0, (COUNTIF(V18:V37, "✓") + COUNTIF(V18:V37, "✔") + COUNTIF(V18:V37, "v") + COUNTIF(V18:V37, "V")) &amp; "/" &amp; ((COUNTIF(V18:V37, "✓") + COUNTIF(V18:V37, "✔") + COUNTIF(V18:V37, "v") + COUNTIF(V18:V37, "V")) + COUNTIF(V18:V37, "✗") + COUNTIF(V18:V37, "x") + COUNTIF(V18:V37, "X")), "")</f>
        <v/>
      </c>
      <c r="W38" s="33">
        <f>IF(((COUNTIF(W18:W37, "✓") + COUNTIF(W18:W37, "✔") + COUNTIF(W18:W37, "v") + COUNTIF(W18:W37, "V")) + COUNTIF(W18:W37, "✗") + COUNTIF(W18:W37, "x") + COUNTIF(W18:W37, "X")) &gt; 0, (COUNTIF(W18:W37, "✓") + COUNTIF(W18:W37, "✔") + COUNTIF(W18:W37, "v") + COUNTIF(W18:W37, "V")) &amp; "/" &amp; ((COUNTIF(W18:W37, "✓") + COUNTIF(W18:W37, "✔") + COUNTIF(W18:W37, "v") + COUNTIF(W18:W37, "V")) + COUNTIF(W18:W37, "✗") + COUNTIF(W18:W37, "x") + COUNTIF(W18:W37, "X")), "")</f>
        <v/>
      </c>
      <c r="X38" s="33">
        <f>IF(((COUNTIF(X18:X37, "✓") + COUNTIF(X18:X37, "✔") + COUNTIF(X18:X37, "v") + COUNTIF(X18:X37, "V")) + COUNTIF(X18:X37, "✗") + COUNTIF(X18:X37, "x") + COUNTIF(X18:X37, "X")) &gt; 0, (COUNTIF(X18:X37, "✓") + COUNTIF(X18:X37, "✔") + COUNTIF(X18:X37, "v") + COUNTIF(X18:X37, "V")) &amp; "/" &amp; ((COUNTIF(X18:X37, "✓") + COUNTIF(X18:X37, "✔") + COUNTIF(X18:X37, "v") + COUNTIF(X18:X37, "V")) + COUNTIF(X18:X37, "✗") + COUNTIF(X18:X37, "x") + COUNTIF(X18:X37, "X")), "")</f>
        <v/>
      </c>
      <c r="Y38" s="33">
        <f>IF(((COUNTIF(Y18:Y37, "✓") + COUNTIF(Y18:Y37, "✔") + COUNTIF(Y18:Y37, "v") + COUNTIF(Y18:Y37, "V")) + COUNTIF(Y18:Y37, "✗") + COUNTIF(Y18:Y37, "x") + COUNTIF(Y18:Y37, "X")) &gt; 0, (COUNTIF(Y18:Y37, "✓") + COUNTIF(Y18:Y37, "✔") + COUNTIF(Y18:Y37, "v") + COUNTIF(Y18:Y37, "V")) &amp; "/" &amp; ((COUNTIF(Y18:Y37, "✓") + COUNTIF(Y18:Y37, "✔") + COUNTIF(Y18:Y37, "v") + COUNTIF(Y18:Y37, "V")) + COUNTIF(Y18:Y37, "✗") + COUNTIF(Y18:Y37, "x") + COUNTIF(Y18:Y37, "X")), "")</f>
        <v/>
      </c>
      <c r="Z38" s="33">
        <f>IF(((COUNTIF(Z18:Z37, "✓") + COUNTIF(Z18:Z37, "✔") + COUNTIF(Z18:Z37, "v") + COUNTIF(Z18:Z37, "V")) + COUNTIF(Z18:Z37, "✗") + COUNTIF(Z18:Z37, "x") + COUNTIF(Z18:Z37, "X")) &gt; 0, (COUNTIF(Z18:Z37, "✓") + COUNTIF(Z18:Z37, "✔") + COUNTIF(Z18:Z37, "v") + COUNTIF(Z18:Z37, "V")) &amp; "/" &amp; ((COUNTIF(Z18:Z37, "✓") + COUNTIF(Z18:Z37, "✔") + COUNTIF(Z18:Z37, "v") + COUNTIF(Z18:Z37, "V")) + COUNTIF(Z18:Z37, "✗") + COUNTIF(Z18:Z37, "x") + COUNTIF(Z18:Z37, "X")), "")</f>
        <v/>
      </c>
      <c r="AA38" s="33">
        <f>IF(((COUNTIF(AA18:AA37, "✓") + COUNTIF(AA18:AA37, "✔") + COUNTIF(AA18:AA37, "v") + COUNTIF(AA18:AA37, "V")) + COUNTIF(AA18:AA37, "✗") + COUNTIF(AA18:AA37, "x") + COUNTIF(AA18:AA37, "X")) &gt; 0, (COUNTIF(AA18:AA37, "✓") + COUNTIF(AA18:AA37, "✔") + COUNTIF(AA18:AA37, "v") + COUNTIF(AA18:AA37, "V")) &amp; "/" &amp; ((COUNTIF(AA18:AA37, "✓") + COUNTIF(AA18:AA37, "✔") + COUNTIF(AA18:AA37, "v") + COUNTIF(AA18:AA37, "V")) + COUNTIF(AA18:AA37, "✗") + COUNTIF(AA18:AA37, "x") + COUNTIF(AA18:AA37, "X")), "")</f>
        <v/>
      </c>
      <c r="AB38" s="33">
        <f>IF(((COUNTIF(AB18:AB37, "✓") + COUNTIF(AB18:AB37, "✔") + COUNTIF(AB18:AB37, "v") + COUNTIF(AB18:AB37, "V")) + COUNTIF(AB18:AB37, "✗") + COUNTIF(AB18:AB37, "x") + COUNTIF(AB18:AB37, "X")) &gt; 0, (COUNTIF(AB18:AB37, "✓") + COUNTIF(AB18:AB37, "✔") + COUNTIF(AB18:AB37, "v") + COUNTIF(AB18:AB37, "V")) &amp; "/" &amp; ((COUNTIF(AB18:AB37, "✓") + COUNTIF(AB18:AB37, "✔") + COUNTIF(AB18:AB37, "v") + COUNTIF(AB18:AB37, "V")) + COUNTIF(AB18:AB37, "✗") + COUNTIF(AB18:AB37, "x") + COUNTIF(AB18:AB37, "X")), "")</f>
        <v/>
      </c>
      <c r="AC38" s="33">
        <f>IF(((COUNTIF(AC18:AC37, "✓") + COUNTIF(AC18:AC37, "✔") + COUNTIF(AC18:AC37, "v") + COUNTIF(AC18:AC37, "V")) + COUNTIF(AC18:AC37, "✗") + COUNTIF(AC18:AC37, "x") + COUNTIF(AC18:AC37, "X")) &gt; 0, (COUNTIF(AC18:AC37, "✓") + COUNTIF(AC18:AC37, "✔") + COUNTIF(AC18:AC37, "v") + COUNTIF(AC18:AC37, "V")) &amp; "/" &amp; ((COUNTIF(AC18:AC37, "✓") + COUNTIF(AC18:AC37, "✔") + COUNTIF(AC18:AC37, "v") + COUNTIF(AC18:AC37, "V")) + COUNTIF(AC18:AC37, "✗") + COUNTIF(AC18:AC37, "x") + COUNTIF(AC18:AC37, "X")), "")</f>
        <v/>
      </c>
      <c r="AD38" s="33">
        <f>IF(((COUNTIF(AD18:AD37, "✓") + COUNTIF(AD18:AD37, "✔") + COUNTIF(AD18:AD37, "v") + COUNTIF(AD18:AD37, "V")) + COUNTIF(AD18:AD37, "✗") + COUNTIF(AD18:AD37, "x") + COUNTIF(AD18:AD37, "X")) &gt; 0, (COUNTIF(AD18:AD37, "✓") + COUNTIF(AD18:AD37, "✔") + COUNTIF(AD18:AD37, "v") + COUNTIF(AD18:AD37, "V")) &amp; "/" &amp; ((COUNTIF(AD18:AD37, "✓") + COUNTIF(AD18:AD37, "✔") + COUNTIF(AD18:AD37, "v") + COUNTIF(AD18:AD37, "V")) + COUNTIF(AD18:AD37, "✗") + COUNTIF(AD18:AD37, "x") + COUNTIF(AD18:AD37, "X")), "")</f>
        <v/>
      </c>
      <c r="AE38" s="33">
        <f>IF(((COUNTIF(AE18:AE37, "✓") + COUNTIF(AE18:AE37, "✔") + COUNTIF(AE18:AE37, "v") + COUNTIF(AE18:AE37, "V")) + COUNTIF(AE18:AE37, "✗") + COUNTIF(AE18:AE37, "x") + COUNTIF(AE18:AE37, "X")) &gt; 0, (COUNTIF(AE18:AE37, "✓") + COUNTIF(AE18:AE37, "✔") + COUNTIF(AE18:AE37, "v") + COUNTIF(AE18:AE37, "V")) &amp; "/" &amp; ((COUNTIF(AE18:AE37, "✓") + COUNTIF(AE18:AE37, "✔") + COUNTIF(AE18:AE37, "v") + COUNTIF(AE18:AE37, "V")) + COUNTIF(AE18:AE37, "✗") + COUNTIF(AE18:AE37, "x") + COUNTIF(AE18:AE37, "X")), "")</f>
        <v/>
      </c>
      <c r="AF38" s="33">
        <f>IF(((COUNTIF(AF18:AF37, "✓") + COUNTIF(AF18:AF37, "✔") + COUNTIF(AF18:AF37, "v") + COUNTIF(AF18:AF37, "V")) + COUNTIF(AF18:AF37, "✗") + COUNTIF(AF18:AF37, "x") + COUNTIF(AF18:AF37, "X")) &gt; 0, (COUNTIF(AF18:AF37, "✓") + COUNTIF(AF18:AF37, "✔") + COUNTIF(AF18:AF37, "v") + COUNTIF(AF18:AF37, "V")) &amp; "/" &amp; ((COUNTIF(AF18:AF37, "✓") + COUNTIF(AF18:AF37, "✔") + COUNTIF(AF18:AF37, "v") + COUNTIF(AF18:AF37, "V")) + COUNTIF(AF18:AF37, "✗") + COUNTIF(AF18:AF37, "x") + COUNTIF(AF18:AF37, "X")), "")</f>
        <v/>
      </c>
      <c r="AG38" s="33">
        <f>IF(((COUNTIF(AG18:AG37, "✓") + COUNTIF(AG18:AG37, "✔") + COUNTIF(AG18:AG37, "v") + COUNTIF(AG18:AG37, "V")) + COUNTIF(AG18:AG37, "✗") + COUNTIF(AG18:AG37, "x") + COUNTIF(AG18:AG37, "X")) &gt; 0, (COUNTIF(AG18:AG37, "✓") + COUNTIF(AG18:AG37, "✔") + COUNTIF(AG18:AG37, "v") + COUNTIF(AG18:AG37, "V")) &amp; "/" &amp; ((COUNTIF(AG18:AG37, "✓") + COUNTIF(AG18:AG37, "✔") + COUNTIF(AG18:AG37, "v") + COUNTIF(AG18:AG37, "V")) + COUNTIF(AG18:AG37, "✗") + COUNTIF(AG18:AG37, "x") + COUNTIF(AG18:AG37, "X")), "")</f>
        <v/>
      </c>
      <c r="AH38" s="33">
        <f>IF(((COUNTIF(AH18:AH37, "✓") + COUNTIF(AH18:AH37, "✔") + COUNTIF(AH18:AH37, "v") + COUNTIF(AH18:AH37, "V")) + COUNTIF(AH18:AH37, "✗") + COUNTIF(AH18:AH37, "x") + COUNTIF(AH18:AH37, "X")) &gt; 0, (COUNTIF(AH18:AH37, "✓") + COUNTIF(AH18:AH37, "✔") + COUNTIF(AH18:AH37, "v") + COUNTIF(AH18:AH37, "V")) &amp; "/" &amp; ((COUNTIF(AH18:AH37, "✓") + COUNTIF(AH18:AH37, "✔") + COUNTIF(AH18:AH37, "v") + COUNTIF(AH18:AH37, "V")) + COUNTIF(AH18:AH37, "✗") + COUNTIF(AH18:AH37, "x") + COUNTIF(AH18:AH37, "X")), "")</f>
        <v/>
      </c>
      <c r="AI38" s="33">
        <f>IF(((COUNTIF(AI18:AI37, "✓") + COUNTIF(AI18:AI37, "✔") + COUNTIF(AI18:AI37, "v") + COUNTIF(AI18:AI37, "V")) + COUNTIF(AI18:AI37, "✗") + COUNTIF(AI18:AI37, "x") + COUNTIF(AI18:AI37, "X")) &gt; 0, (COUNTIF(AI18:AI37, "✓") + COUNTIF(AI18:AI37, "✔") + COUNTIF(AI18:AI37, "v") + COUNTIF(AI18:AI37, "V")) &amp; "/" &amp; ((COUNTIF(AI18:AI37, "✓") + COUNTIF(AI18:AI37, "✔") + COUNTIF(AI18:AI37, "v") + COUNTIF(AI18:AI37, "V")) + COUNTIF(AI18:AI37, "✗") + COUNTIF(AI18:AI37, "x") + COUNTIF(AI18:AI37, "X")), "")</f>
        <v/>
      </c>
      <c r="AJ38" s="133">
        <f>IF(SUM(D18:D37) &gt; 0, SUM(AM18:AM37) / SUM(D18:D37), "")</f>
        <v/>
      </c>
      <c r="AK38" s="33">
        <f>IF(SUM(D18:D37) &gt; 0, SUM(AM18:AM37) &amp; "/" &amp; SUM(D18:D37), "")</f>
        <v/>
      </c>
      <c r="AL38" s="54" t="n"/>
    </row>
    <row r="39" ht="18" customHeight="1">
      <c r="A39" s="132" t="inlineStr">
        <is>
          <t>DAILY SUCCESS %</t>
        </is>
      </c>
      <c r="B39" s="54" t="n"/>
      <c r="C39" s="54" t="n"/>
      <c r="D39" s="54" t="n"/>
      <c r="E39" s="134">
        <f>IF(((COUNTIF(E18:E37, "✓") + COUNTIF(E18:E37, "✔") + COUNTIF(E18:E37, "v") + COUNTIF(E18:E37, "V")) + COUNTIF(E18:E37, "✗") + COUNTIF(E18:E37, "x") + COUNTIF(E18:E37, "X")) &gt; 0, (COUNTIF(E18:E37, "✓") + COUNTIF(E18:E37, "✔") + COUNTIF(E18:E37, "v") + COUNTIF(E18:E37, "V")) / ((COUNTIF(E18:E37, "✓") + COUNTIF(E18:E37, "✔") + COUNTIF(E18:E37, "v") + COUNTIF(E18:E37, "V")) + COUNTIF(E18:E37, "✗") + COUNTIF(E18:E37, "x") + COUNTIF(E18:E37, "X")), "")</f>
        <v/>
      </c>
      <c r="F39" s="134">
        <f>IF(((COUNTIF(F18:F37, "✓") + COUNTIF(F18:F37, "✔") + COUNTIF(F18:F37, "v") + COUNTIF(F18:F37, "V")) + COUNTIF(F18:F37, "✗") + COUNTIF(F18:F37, "x") + COUNTIF(F18:F37, "X")) &gt; 0, (COUNTIF(F18:F37, "✓") + COUNTIF(F18:F37, "✔") + COUNTIF(F18:F37, "v") + COUNTIF(F18:F37, "V")) / ((COUNTIF(F18:F37, "✓") + COUNTIF(F18:F37, "✔") + COUNTIF(F18:F37, "v") + COUNTIF(F18:F37, "V")) + COUNTIF(F18:F37, "✗") + COUNTIF(F18:F37, "x") + COUNTIF(F18:F37, "X")), "")</f>
        <v/>
      </c>
      <c r="G39" s="134">
        <f>IF(((COUNTIF(G18:G37, "✓") + COUNTIF(G18:G37, "✔") + COUNTIF(G18:G37, "v") + COUNTIF(G18:G37, "V")) + COUNTIF(G18:G37, "✗") + COUNTIF(G18:G37, "x") + COUNTIF(G18:G37, "X")) &gt; 0, (COUNTIF(G18:G37, "✓") + COUNTIF(G18:G37, "✔") + COUNTIF(G18:G37, "v") + COUNTIF(G18:G37, "V")) / ((COUNTIF(G18:G37, "✓") + COUNTIF(G18:G37, "✔") + COUNTIF(G18:G37, "v") + COUNTIF(G18:G37, "V")) + COUNTIF(G18:G37, "✗") + COUNTIF(G18:G37, "x") + COUNTIF(G18:G37, "X")), "")</f>
        <v/>
      </c>
      <c r="H39" s="134">
        <f>IF(((COUNTIF(H18:H37, "✓") + COUNTIF(H18:H37, "✔") + COUNTIF(H18:H37, "v") + COUNTIF(H18:H37, "V")) + COUNTIF(H18:H37, "✗") + COUNTIF(H18:H37, "x") + COUNTIF(H18:H37, "X")) &gt; 0, (COUNTIF(H18:H37, "✓") + COUNTIF(H18:H37, "✔") + COUNTIF(H18:H37, "v") + COUNTIF(H18:H37, "V")) / ((COUNTIF(H18:H37, "✓") + COUNTIF(H18:H37, "✔") + COUNTIF(H18:H37, "v") + COUNTIF(H18:H37, "V")) + COUNTIF(H18:H37, "✗") + COUNTIF(H18:H37, "x") + COUNTIF(H18:H37, "X")), "")</f>
        <v/>
      </c>
      <c r="I39" s="134">
        <f>IF(((COUNTIF(I18:I37, "✓") + COUNTIF(I18:I37, "✔") + COUNTIF(I18:I37, "v") + COUNTIF(I18:I37, "V")) + COUNTIF(I18:I37, "✗") + COUNTIF(I18:I37, "x") + COUNTIF(I18:I37, "X")) &gt; 0, (COUNTIF(I18:I37, "✓") + COUNTIF(I18:I37, "✔") + COUNTIF(I18:I37, "v") + COUNTIF(I18:I37, "V")) / ((COUNTIF(I18:I37, "✓") + COUNTIF(I18:I37, "✔") + COUNTIF(I18:I37, "v") + COUNTIF(I18:I37, "V")) + COUNTIF(I18:I37, "✗") + COUNTIF(I18:I37, "x") + COUNTIF(I18:I37, "X")), "")</f>
        <v/>
      </c>
      <c r="J39" s="134">
        <f>IF(((COUNTIF(J18:J37, "✓") + COUNTIF(J18:J37, "✔") + COUNTIF(J18:J37, "v") + COUNTIF(J18:J37, "V")) + COUNTIF(J18:J37, "✗") + COUNTIF(J18:J37, "x") + COUNTIF(J18:J37, "X")) &gt; 0, (COUNTIF(J18:J37, "✓") + COUNTIF(J18:J37, "✔") + COUNTIF(J18:J37, "v") + COUNTIF(J18:J37, "V")) / ((COUNTIF(J18:J37, "✓") + COUNTIF(J18:J37, "✔") + COUNTIF(J18:J37, "v") + COUNTIF(J18:J37, "V")) + COUNTIF(J18:J37, "✗") + COUNTIF(J18:J37, "x") + COUNTIF(J18:J37, "X")), "")</f>
        <v/>
      </c>
      <c r="K39" s="134">
        <f>IF(((COUNTIF(K18:K37, "✓") + COUNTIF(K18:K37, "✔") + COUNTIF(K18:K37, "v") + COUNTIF(K18:K37, "V")) + COUNTIF(K18:K37, "✗") + COUNTIF(K18:K37, "x") + COUNTIF(K18:K37, "X")) &gt; 0, (COUNTIF(K18:K37, "✓") + COUNTIF(K18:K37, "✔") + COUNTIF(K18:K37, "v") + COUNTIF(K18:K37, "V")) / ((COUNTIF(K18:K37, "✓") + COUNTIF(K18:K37, "✔") + COUNTIF(K18:K37, "v") + COUNTIF(K18:K37, "V")) + COUNTIF(K18:K37, "✗") + COUNTIF(K18:K37, "x") + COUNTIF(K18:K37, "X")), "")</f>
        <v/>
      </c>
      <c r="L39" s="134">
        <f>IF(((COUNTIF(L18:L37, "✓") + COUNTIF(L18:L37, "✔") + COUNTIF(L18:L37, "v") + COUNTIF(L18:L37, "V")) + COUNTIF(L18:L37, "✗") + COUNTIF(L18:L37, "x") + COUNTIF(L18:L37, "X")) &gt; 0, (COUNTIF(L18:L37, "✓") + COUNTIF(L18:L37, "✔") + COUNTIF(L18:L37, "v") + COUNTIF(L18:L37, "V")) / ((COUNTIF(L18:L37, "✓") + COUNTIF(L18:L37, "✔") + COUNTIF(L18:L37, "v") + COUNTIF(L18:L37, "V")) + COUNTIF(L18:L37, "✗") + COUNTIF(L18:L37, "x") + COUNTIF(L18:L37, "X")), "")</f>
        <v/>
      </c>
      <c r="M39" s="134">
        <f>IF(((COUNTIF(M18:M37, "✓") + COUNTIF(M18:M37, "✔") + COUNTIF(M18:M37, "v") + COUNTIF(M18:M37, "V")) + COUNTIF(M18:M37, "✗") + COUNTIF(M18:M37, "x") + COUNTIF(M18:M37, "X")) &gt; 0, (COUNTIF(M18:M37, "✓") + COUNTIF(M18:M37, "✔") + COUNTIF(M18:M37, "v") + COUNTIF(M18:M37, "V")) / ((COUNTIF(M18:M37, "✓") + COUNTIF(M18:M37, "✔") + COUNTIF(M18:M37, "v") + COUNTIF(M18:M37, "V")) + COUNTIF(M18:M37, "✗") + COUNTIF(M18:M37, "x") + COUNTIF(M18:M37, "X")), "")</f>
        <v/>
      </c>
      <c r="N39" s="134">
        <f>IF(((COUNTIF(N18:N37, "✓") + COUNTIF(N18:N37, "✔") + COUNTIF(N18:N37, "v") + COUNTIF(N18:N37, "V")) + COUNTIF(N18:N37, "✗") + COUNTIF(N18:N37, "x") + COUNTIF(N18:N37, "X")) &gt; 0, (COUNTIF(N18:N37, "✓") + COUNTIF(N18:N37, "✔") + COUNTIF(N18:N37, "v") + COUNTIF(N18:N37, "V")) / ((COUNTIF(N18:N37, "✓") + COUNTIF(N18:N37, "✔") + COUNTIF(N18:N37, "v") + COUNTIF(N18:N37, "V")) + COUNTIF(N18:N37, "✗") + COUNTIF(N18:N37, "x") + COUNTIF(N18:N37, "X")), "")</f>
        <v/>
      </c>
      <c r="O39" s="134">
        <f>IF(((COUNTIF(O18:O37, "✓") + COUNTIF(O18:O37, "✔") + COUNTIF(O18:O37, "v") + COUNTIF(O18:O37, "V")) + COUNTIF(O18:O37, "✗") + COUNTIF(O18:O37, "x") + COUNTIF(O18:O37, "X")) &gt; 0, (COUNTIF(O18:O37, "✓") + COUNTIF(O18:O37, "✔") + COUNTIF(O18:O37, "v") + COUNTIF(O18:O37, "V")) / ((COUNTIF(O18:O37, "✓") + COUNTIF(O18:O37, "✔") + COUNTIF(O18:O37, "v") + COUNTIF(O18:O37, "V")) + COUNTIF(O18:O37, "✗") + COUNTIF(O18:O37, "x") + COUNTIF(O18:O37, "X")), "")</f>
        <v/>
      </c>
      <c r="P39" s="134">
        <f>IF(((COUNTIF(P18:P37, "✓") + COUNTIF(P18:P37, "✔") + COUNTIF(P18:P37, "v") + COUNTIF(P18:P37, "V")) + COUNTIF(P18:P37, "✗") + COUNTIF(P18:P37, "x") + COUNTIF(P18:P37, "X")) &gt; 0, (COUNTIF(P18:P37, "✓") + COUNTIF(P18:P37, "✔") + COUNTIF(P18:P37, "v") + COUNTIF(P18:P37, "V")) / ((COUNTIF(P18:P37, "✓") + COUNTIF(P18:P37, "✔") + COUNTIF(P18:P37, "v") + COUNTIF(P18:P37, "V")) + COUNTIF(P18:P37, "✗") + COUNTIF(P18:P37, "x") + COUNTIF(P18:P37, "X")), "")</f>
        <v/>
      </c>
      <c r="Q39" s="134">
        <f>IF(((COUNTIF(Q18:Q37, "✓") + COUNTIF(Q18:Q37, "✔") + COUNTIF(Q18:Q37, "v") + COUNTIF(Q18:Q37, "V")) + COUNTIF(Q18:Q37, "✗") + COUNTIF(Q18:Q37, "x") + COUNTIF(Q18:Q37, "X")) &gt; 0, (COUNTIF(Q18:Q37, "✓") + COUNTIF(Q18:Q37, "✔") + COUNTIF(Q18:Q37, "v") + COUNTIF(Q18:Q37, "V")) / ((COUNTIF(Q18:Q37, "✓") + COUNTIF(Q18:Q37, "✔") + COUNTIF(Q18:Q37, "v") + COUNTIF(Q18:Q37, "V")) + COUNTIF(Q18:Q37, "✗") + COUNTIF(Q18:Q37, "x") + COUNTIF(Q18:Q37, "X")), "")</f>
        <v/>
      </c>
      <c r="R39" s="134">
        <f>IF(((COUNTIF(R18:R37, "✓") + COUNTIF(R18:R37, "✔") + COUNTIF(R18:R37, "v") + COUNTIF(R18:R37, "V")) + COUNTIF(R18:R37, "✗") + COUNTIF(R18:R37, "x") + COUNTIF(R18:R37, "X")) &gt; 0, (COUNTIF(R18:R37, "✓") + COUNTIF(R18:R37, "✔") + COUNTIF(R18:R37, "v") + COUNTIF(R18:R37, "V")) / ((COUNTIF(R18:R37, "✓") + COUNTIF(R18:R37, "✔") + COUNTIF(R18:R37, "v") + COUNTIF(R18:R37, "V")) + COUNTIF(R18:R37, "✗") + COUNTIF(R18:R37, "x") + COUNTIF(R18:R37, "X")), "")</f>
        <v/>
      </c>
      <c r="S39" s="134">
        <f>IF(((COUNTIF(S18:S37, "✓") + COUNTIF(S18:S37, "✔") + COUNTIF(S18:S37, "v") + COUNTIF(S18:S37, "V")) + COUNTIF(S18:S37, "✗") + COUNTIF(S18:S37, "x") + COUNTIF(S18:S37, "X")) &gt; 0, (COUNTIF(S18:S37, "✓") + COUNTIF(S18:S37, "✔") + COUNTIF(S18:S37, "v") + COUNTIF(S18:S37, "V")) / ((COUNTIF(S18:S37, "✓") + COUNTIF(S18:S37, "✔") + COUNTIF(S18:S37, "v") + COUNTIF(S18:S37, "V")) + COUNTIF(S18:S37, "✗") + COUNTIF(S18:S37, "x") + COUNTIF(S18:S37, "X")), "")</f>
        <v/>
      </c>
      <c r="T39" s="134">
        <f>IF(((COUNTIF(T18:T37, "✓") + COUNTIF(T18:T37, "✔") + COUNTIF(T18:T37, "v") + COUNTIF(T18:T37, "V")) + COUNTIF(T18:T37, "✗") + COUNTIF(T18:T37, "x") + COUNTIF(T18:T37, "X")) &gt; 0, (COUNTIF(T18:T37, "✓") + COUNTIF(T18:T37, "✔") + COUNTIF(T18:T37, "v") + COUNTIF(T18:T37, "V")) / ((COUNTIF(T18:T37, "✓") + COUNTIF(T18:T37, "✔") + COUNTIF(T18:T37, "v") + COUNTIF(T18:T37, "V")) + COUNTIF(T18:T37, "✗") + COUNTIF(T18:T37, "x") + COUNTIF(T18:T37, "X")), "")</f>
        <v/>
      </c>
      <c r="U39" s="134">
        <f>IF(((COUNTIF(U18:U37, "✓") + COUNTIF(U18:U37, "✔") + COUNTIF(U18:U37, "v") + COUNTIF(U18:U37, "V")) + COUNTIF(U18:U37, "✗") + COUNTIF(U18:U37, "x") + COUNTIF(U18:U37, "X")) &gt; 0, (COUNTIF(U18:U37, "✓") + COUNTIF(U18:U37, "✔") + COUNTIF(U18:U37, "v") + COUNTIF(U18:U37, "V")) / ((COUNTIF(U18:U37, "✓") + COUNTIF(U18:U37, "✔") + COUNTIF(U18:U37, "v") + COUNTIF(U18:U37, "V")) + COUNTIF(U18:U37, "✗") + COUNTIF(U18:U37, "x") + COUNTIF(U18:U37, "X")), "")</f>
        <v/>
      </c>
      <c r="V39" s="134">
        <f>IF(((COUNTIF(V18:V37, "✓") + COUNTIF(V18:V37, "✔") + COUNTIF(V18:V37, "v") + COUNTIF(V18:V37, "V")) + COUNTIF(V18:V37, "✗") + COUNTIF(V18:V37, "x") + COUNTIF(V18:V37, "X")) &gt; 0, (COUNTIF(V18:V37, "✓") + COUNTIF(V18:V37, "✔") + COUNTIF(V18:V37, "v") + COUNTIF(V18:V37, "V")) / ((COUNTIF(V18:V37, "✓") + COUNTIF(V18:V37, "✔") + COUNTIF(V18:V37, "v") + COUNTIF(V18:V37, "V")) + COUNTIF(V18:V37, "✗") + COUNTIF(V18:V37, "x") + COUNTIF(V18:V37, "X")), "")</f>
        <v/>
      </c>
      <c r="W39" s="134">
        <f>IF(((COUNTIF(W18:W37, "✓") + COUNTIF(W18:W37, "✔") + COUNTIF(W18:W37, "v") + COUNTIF(W18:W37, "V")) + COUNTIF(W18:W37, "✗") + COUNTIF(W18:W37, "x") + COUNTIF(W18:W37, "X")) &gt; 0, (COUNTIF(W18:W37, "✓") + COUNTIF(W18:W37, "✔") + COUNTIF(W18:W37, "v") + COUNTIF(W18:W37, "V")) / ((COUNTIF(W18:W37, "✓") + COUNTIF(W18:W37, "✔") + COUNTIF(W18:W37, "v") + COUNTIF(W18:W37, "V")) + COUNTIF(W18:W37, "✗") + COUNTIF(W18:W37, "x") + COUNTIF(W18:W37, "X")), "")</f>
        <v/>
      </c>
      <c r="X39" s="134">
        <f>IF(((COUNTIF(X18:X37, "✓") + COUNTIF(X18:X37, "✔") + COUNTIF(X18:X37, "v") + COUNTIF(X18:X37, "V")) + COUNTIF(X18:X37, "✗") + COUNTIF(X18:X37, "x") + COUNTIF(X18:X37, "X")) &gt; 0, (COUNTIF(X18:X37, "✓") + COUNTIF(X18:X37, "✔") + COUNTIF(X18:X37, "v") + COUNTIF(X18:X37, "V")) / ((COUNTIF(X18:X37, "✓") + COUNTIF(X18:X37, "✔") + COUNTIF(X18:X37, "v") + COUNTIF(X18:X37, "V")) + COUNTIF(X18:X37, "✗") + COUNTIF(X18:X37, "x") + COUNTIF(X18:X37, "X")), "")</f>
        <v/>
      </c>
      <c r="Y39" s="134">
        <f>IF(((COUNTIF(Y18:Y37, "✓") + COUNTIF(Y18:Y37, "✔") + COUNTIF(Y18:Y37, "v") + COUNTIF(Y18:Y37, "V")) + COUNTIF(Y18:Y37, "✗") + COUNTIF(Y18:Y37, "x") + COUNTIF(Y18:Y37, "X")) &gt; 0, (COUNTIF(Y18:Y37, "✓") + COUNTIF(Y18:Y37, "✔") + COUNTIF(Y18:Y37, "v") + COUNTIF(Y18:Y37, "V")) / ((COUNTIF(Y18:Y37, "✓") + COUNTIF(Y18:Y37, "✔") + COUNTIF(Y18:Y37, "v") + COUNTIF(Y18:Y37, "V")) + COUNTIF(Y18:Y37, "✗") + COUNTIF(Y18:Y37, "x") + COUNTIF(Y18:Y37, "X")), "")</f>
        <v/>
      </c>
      <c r="Z39" s="134">
        <f>IF(((COUNTIF(Z18:Z37, "✓") + COUNTIF(Z18:Z37, "✔") + COUNTIF(Z18:Z37, "v") + COUNTIF(Z18:Z37, "V")) + COUNTIF(Z18:Z37, "✗") + COUNTIF(Z18:Z37, "x") + COUNTIF(Z18:Z37, "X")) &gt; 0, (COUNTIF(Z18:Z37, "✓") + COUNTIF(Z18:Z37, "✔") + COUNTIF(Z18:Z37, "v") + COUNTIF(Z18:Z37, "V")) / ((COUNTIF(Z18:Z37, "✓") + COUNTIF(Z18:Z37, "✔") + COUNTIF(Z18:Z37, "v") + COUNTIF(Z18:Z37, "V")) + COUNTIF(Z18:Z37, "✗") + COUNTIF(Z18:Z37, "x") + COUNTIF(Z18:Z37, "X")), "")</f>
        <v/>
      </c>
      <c r="AA39" s="134">
        <f>IF(((COUNTIF(AA18:AA37, "✓") + COUNTIF(AA18:AA37, "✔") + COUNTIF(AA18:AA37, "v") + COUNTIF(AA18:AA37, "V")) + COUNTIF(AA18:AA37, "✗") + COUNTIF(AA18:AA37, "x") + COUNTIF(AA18:AA37, "X")) &gt; 0, (COUNTIF(AA18:AA37, "✓") + COUNTIF(AA18:AA37, "✔") + COUNTIF(AA18:AA37, "v") + COUNTIF(AA18:AA37, "V")) / ((COUNTIF(AA18:AA37, "✓") + COUNTIF(AA18:AA37, "✔") + COUNTIF(AA18:AA37, "v") + COUNTIF(AA18:AA37, "V")) + COUNTIF(AA18:AA37, "✗") + COUNTIF(AA18:AA37, "x") + COUNTIF(AA18:AA37, "X")), "")</f>
        <v/>
      </c>
      <c r="AB39" s="134">
        <f>IF(((COUNTIF(AB18:AB37, "✓") + COUNTIF(AB18:AB37, "✔") + COUNTIF(AB18:AB37, "v") + COUNTIF(AB18:AB37, "V")) + COUNTIF(AB18:AB37, "✗") + COUNTIF(AB18:AB37, "x") + COUNTIF(AB18:AB37, "X")) &gt; 0, (COUNTIF(AB18:AB37, "✓") + COUNTIF(AB18:AB37, "✔") + COUNTIF(AB18:AB37, "v") + COUNTIF(AB18:AB37, "V")) / ((COUNTIF(AB18:AB37, "✓") + COUNTIF(AB18:AB37, "✔") + COUNTIF(AB18:AB37, "v") + COUNTIF(AB18:AB37, "V")) + COUNTIF(AB18:AB37, "✗") + COUNTIF(AB18:AB37, "x") + COUNTIF(AB18:AB37, "X")), "")</f>
        <v/>
      </c>
      <c r="AC39" s="134">
        <f>IF(((COUNTIF(AC18:AC37, "✓") + COUNTIF(AC18:AC37, "✔") + COUNTIF(AC18:AC37, "v") + COUNTIF(AC18:AC37, "V")) + COUNTIF(AC18:AC37, "✗") + COUNTIF(AC18:AC37, "x") + COUNTIF(AC18:AC37, "X")) &gt; 0, (COUNTIF(AC18:AC37, "✓") + COUNTIF(AC18:AC37, "✔") + COUNTIF(AC18:AC37, "v") + COUNTIF(AC18:AC37, "V")) / ((COUNTIF(AC18:AC37, "✓") + COUNTIF(AC18:AC37, "✔") + COUNTIF(AC18:AC37, "v") + COUNTIF(AC18:AC37, "V")) + COUNTIF(AC18:AC37, "✗") + COUNTIF(AC18:AC37, "x") + COUNTIF(AC18:AC37, "X")), "")</f>
        <v/>
      </c>
      <c r="AD39" s="134">
        <f>IF(((COUNTIF(AD18:AD37, "✓") + COUNTIF(AD18:AD37, "✔") + COUNTIF(AD18:AD37, "v") + COUNTIF(AD18:AD37, "V")) + COUNTIF(AD18:AD37, "✗") + COUNTIF(AD18:AD37, "x") + COUNTIF(AD18:AD37, "X")) &gt; 0, (COUNTIF(AD18:AD37, "✓") + COUNTIF(AD18:AD37, "✔") + COUNTIF(AD18:AD37, "v") + COUNTIF(AD18:AD37, "V")) / ((COUNTIF(AD18:AD37, "✓") + COUNTIF(AD18:AD37, "✔") + COUNTIF(AD18:AD37, "v") + COUNTIF(AD18:AD37, "V")) + COUNTIF(AD18:AD37, "✗") + COUNTIF(AD18:AD37, "x") + COUNTIF(AD18:AD37, "X")), "")</f>
        <v/>
      </c>
      <c r="AE39" s="134">
        <f>IF(((COUNTIF(AE18:AE37, "✓") + COUNTIF(AE18:AE37, "✔") + COUNTIF(AE18:AE37, "v") + COUNTIF(AE18:AE37, "V")) + COUNTIF(AE18:AE37, "✗") + COUNTIF(AE18:AE37, "x") + COUNTIF(AE18:AE37, "X")) &gt; 0, (COUNTIF(AE18:AE37, "✓") + COUNTIF(AE18:AE37, "✔") + COUNTIF(AE18:AE37, "v") + COUNTIF(AE18:AE37, "V")) / ((COUNTIF(AE18:AE37, "✓") + COUNTIF(AE18:AE37, "✔") + COUNTIF(AE18:AE37, "v") + COUNTIF(AE18:AE37, "V")) + COUNTIF(AE18:AE37, "✗") + COUNTIF(AE18:AE37, "x") + COUNTIF(AE18:AE37, "X")), "")</f>
        <v/>
      </c>
      <c r="AF39" s="134">
        <f>IF(((COUNTIF(AF18:AF37, "✓") + COUNTIF(AF18:AF37, "✔") + COUNTIF(AF18:AF37, "v") + COUNTIF(AF18:AF37, "V")) + COUNTIF(AF18:AF37, "✗") + COUNTIF(AF18:AF37, "x") + COUNTIF(AF18:AF37, "X")) &gt; 0, (COUNTIF(AF18:AF37, "✓") + COUNTIF(AF18:AF37, "✔") + COUNTIF(AF18:AF37, "v") + COUNTIF(AF18:AF37, "V")) / ((COUNTIF(AF18:AF37, "✓") + COUNTIF(AF18:AF37, "✔") + COUNTIF(AF18:AF37, "v") + COUNTIF(AF18:AF37, "V")) + COUNTIF(AF18:AF37, "✗") + COUNTIF(AF18:AF37, "x") + COUNTIF(AF18:AF37, "X")), "")</f>
        <v/>
      </c>
      <c r="AG39" s="134">
        <f>IF(((COUNTIF(AG18:AG37, "✓") + COUNTIF(AG18:AG37, "✔") + COUNTIF(AG18:AG37, "v") + COUNTIF(AG18:AG37, "V")) + COUNTIF(AG18:AG37, "✗") + COUNTIF(AG18:AG37, "x") + COUNTIF(AG18:AG37, "X")) &gt; 0, (COUNTIF(AG18:AG37, "✓") + COUNTIF(AG18:AG37, "✔") + COUNTIF(AG18:AG37, "v") + COUNTIF(AG18:AG37, "V")) / ((COUNTIF(AG18:AG37, "✓") + COUNTIF(AG18:AG37, "✔") + COUNTIF(AG18:AG37, "v") + COUNTIF(AG18:AG37, "V")) + COUNTIF(AG18:AG37, "✗") + COUNTIF(AG18:AG37, "x") + COUNTIF(AG18:AG37, "X")), "")</f>
        <v/>
      </c>
      <c r="AH39" s="134">
        <f>IF(((COUNTIF(AH18:AH37, "✓") + COUNTIF(AH18:AH37, "✔") + COUNTIF(AH18:AH37, "v") + COUNTIF(AH18:AH37, "V")) + COUNTIF(AH18:AH37, "✗") + COUNTIF(AH18:AH37, "x") + COUNTIF(AH18:AH37, "X")) &gt; 0, (COUNTIF(AH18:AH37, "✓") + COUNTIF(AH18:AH37, "✔") + COUNTIF(AH18:AH37, "v") + COUNTIF(AH18:AH37, "V")) / ((COUNTIF(AH18:AH37, "✓") + COUNTIF(AH18:AH37, "✔") + COUNTIF(AH18:AH37, "v") + COUNTIF(AH18:AH37, "V")) + COUNTIF(AH18:AH37, "✗") + COUNTIF(AH18:AH37, "x") + COUNTIF(AH18:AH37, "X")), "")</f>
        <v/>
      </c>
      <c r="AI39" s="134">
        <f>IF(((COUNTIF(AI18:AI37, "✓") + COUNTIF(AI18:AI37, "✔") + COUNTIF(AI18:AI37, "v") + COUNTIF(AI18:AI37, "V")) + COUNTIF(AI18:AI37, "✗") + COUNTIF(AI18:AI37, "x") + COUNTIF(AI18:AI37, "X")) &gt; 0, (COUNTIF(AI18:AI37, "✓") + COUNTIF(AI18:AI37, "✔") + COUNTIF(AI18:AI37, "v") + COUNTIF(AI18:AI37, "V")) / ((COUNTIF(AI18:AI37, "✓") + COUNTIF(AI18:AI37, "✔") + COUNTIF(AI18:AI37, "v") + COUNTIF(AI18:AI37, "V")) + COUNTIF(AI18:AI37, "✗") + COUNTIF(AI18:AI37, "x") + COUNTIF(AI18:AI37, "X")), "")</f>
        <v/>
      </c>
      <c r="AJ39" s="133">
        <f>IF(COUNT(E39:AI39) &gt; 0, AVERAGE(E39:AI39), "")</f>
        <v/>
      </c>
      <c r="AK39" s="54" t="n"/>
      <c r="AL39" s="54" t="n"/>
    </row>
    <row r="40" ht="6" customHeight="1"/>
    <row r="41" ht="15" customHeight="1">
      <c r="A41" s="135" t="inlineStr">
        <is>
          <t>IF SUCCESS &lt; 80%, PUNISHMENT: ________________________________________________</t>
        </is>
      </c>
    </row>
    <row r="42" ht="15" customHeight="1">
      <c r="A42" s="136" t="inlineStr">
        <is>
          <t>IF SUCCESS &gt; 90%, REWARD: __________________________________________________</t>
        </is>
      </c>
    </row>
    <row r="43" ht="10" customHeight="1"/>
    <row r="44" ht="10" customHeight="1"/>
    <row r="45" ht="15" customHeight="1">
      <c r="A45" s="51" t="inlineStr">
        <is>
          <t>Sleep Tracking</t>
        </is>
      </c>
      <c r="B45" s="52" t="n"/>
      <c r="C45" s="52" t="n"/>
      <c r="D45" s="52" t="n"/>
      <c r="E45" s="137" t="n">
        <v>1</v>
      </c>
      <c r="F45" s="137" t="n">
        <v>2</v>
      </c>
      <c r="G45" s="137" t="n">
        <v>3</v>
      </c>
      <c r="H45" s="138" t="n">
        <v>4</v>
      </c>
      <c r="I45" s="137" t="n">
        <v>5</v>
      </c>
      <c r="J45" s="137" t="n">
        <v>6</v>
      </c>
      <c r="K45" s="137" t="n">
        <v>7</v>
      </c>
      <c r="L45" s="137" t="n">
        <v>8</v>
      </c>
      <c r="M45" s="137" t="n">
        <v>9</v>
      </c>
      <c r="N45" s="137" t="n">
        <v>10</v>
      </c>
      <c r="O45" s="138" t="n">
        <v>11</v>
      </c>
      <c r="P45" s="137" t="n">
        <v>12</v>
      </c>
      <c r="Q45" s="137" t="n">
        <v>13</v>
      </c>
      <c r="R45" s="137" t="n">
        <v>14</v>
      </c>
      <c r="S45" s="137" t="n">
        <v>15</v>
      </c>
      <c r="T45" s="137" t="n">
        <v>16</v>
      </c>
      <c r="U45" s="137" t="n">
        <v>17</v>
      </c>
      <c r="V45" s="138" t="n">
        <v>18</v>
      </c>
      <c r="W45" s="137" t="n">
        <v>19</v>
      </c>
      <c r="X45" s="137" t="n">
        <v>20</v>
      </c>
      <c r="Y45" s="137" t="n">
        <v>21</v>
      </c>
      <c r="Z45" s="137" t="n">
        <v>22</v>
      </c>
      <c r="AA45" s="137" t="n">
        <v>23</v>
      </c>
      <c r="AB45" s="137" t="n">
        <v>24</v>
      </c>
      <c r="AC45" s="138" t="n">
        <v>25</v>
      </c>
      <c r="AD45" s="137" t="n">
        <v>26</v>
      </c>
      <c r="AE45" s="137" t="n">
        <v>27</v>
      </c>
      <c r="AF45" s="137" t="n">
        <v>28</v>
      </c>
      <c r="AG45" s="137" t="n">
        <v>29</v>
      </c>
      <c r="AH45" s="137" t="n">
        <v>30</v>
      </c>
      <c r="AI45" s="137" t="n">
        <v>31</v>
      </c>
    </row>
    <row r="46" ht="15" customHeight="1">
      <c r="A46" s="52" t="n"/>
      <c r="B46" s="52" t="n"/>
      <c r="C46" s="52" t="n"/>
      <c r="D46" s="52" t="n"/>
      <c r="E46" s="139" t="inlineStr">
        <is>
          <t>Th</t>
        </is>
      </c>
      <c r="F46" s="139" t="inlineStr">
        <is>
          <t>F</t>
        </is>
      </c>
      <c r="G46" s="139" t="inlineStr">
        <is>
          <t>Sa</t>
        </is>
      </c>
      <c r="H46" s="140" t="inlineStr">
        <is>
          <t>Su</t>
        </is>
      </c>
      <c r="I46" s="139" t="inlineStr">
        <is>
          <t>M</t>
        </is>
      </c>
      <c r="J46" s="139" t="inlineStr">
        <is>
          <t>T</t>
        </is>
      </c>
      <c r="K46" s="139" t="inlineStr">
        <is>
          <t>W</t>
        </is>
      </c>
      <c r="L46" s="139" t="inlineStr">
        <is>
          <t>Th</t>
        </is>
      </c>
      <c r="M46" s="139" t="inlineStr">
        <is>
          <t>F</t>
        </is>
      </c>
      <c r="N46" s="139" t="inlineStr">
        <is>
          <t>Sa</t>
        </is>
      </c>
      <c r="O46" s="140" t="inlineStr">
        <is>
          <t>Su</t>
        </is>
      </c>
      <c r="P46" s="139" t="inlineStr">
        <is>
          <t>M</t>
        </is>
      </c>
      <c r="Q46" s="139" t="inlineStr">
        <is>
          <t>T</t>
        </is>
      </c>
      <c r="R46" s="139" t="inlineStr">
        <is>
          <t>W</t>
        </is>
      </c>
      <c r="S46" s="139" t="inlineStr">
        <is>
          <t>Th</t>
        </is>
      </c>
      <c r="T46" s="139" t="inlineStr">
        <is>
          <t>F</t>
        </is>
      </c>
      <c r="U46" s="139" t="inlineStr">
        <is>
          <t>Sa</t>
        </is>
      </c>
      <c r="V46" s="140" t="inlineStr">
        <is>
          <t>Su</t>
        </is>
      </c>
      <c r="W46" s="139" t="inlineStr">
        <is>
          <t>M</t>
        </is>
      </c>
      <c r="X46" s="139" t="inlineStr">
        <is>
          <t>T</t>
        </is>
      </c>
      <c r="Y46" s="139" t="inlineStr">
        <is>
          <t>W</t>
        </is>
      </c>
      <c r="Z46" s="139" t="inlineStr">
        <is>
          <t>Th</t>
        </is>
      </c>
      <c r="AA46" s="139" t="inlineStr">
        <is>
          <t>F</t>
        </is>
      </c>
      <c r="AB46" s="139" t="inlineStr">
        <is>
          <t>Sa</t>
        </is>
      </c>
      <c r="AC46" s="140" t="inlineStr">
        <is>
          <t>Su</t>
        </is>
      </c>
      <c r="AD46" s="139" t="inlineStr">
        <is>
          <t>M</t>
        </is>
      </c>
      <c r="AE46" s="139" t="inlineStr">
        <is>
          <t>T</t>
        </is>
      </c>
      <c r="AF46" s="139" t="inlineStr">
        <is>
          <t>W</t>
        </is>
      </c>
      <c r="AG46" s="139" t="inlineStr">
        <is>
          <t>Th</t>
        </is>
      </c>
      <c r="AH46" s="139" t="inlineStr">
        <is>
          <t>F</t>
        </is>
      </c>
      <c r="AI46" s="139" t="inlineStr">
        <is>
          <t>Sa</t>
        </is>
      </c>
    </row>
    <row r="47" ht="20" customHeight="1">
      <c r="A47" s="141" t="inlineStr">
        <is>
          <t>Sleep Hours (1-24)</t>
        </is>
      </c>
      <c r="B47" s="142" t="n"/>
      <c r="C47" s="142" t="n"/>
      <c r="D47" s="142" t="n"/>
      <c r="E47" s="143" t="n"/>
      <c r="F47" s="143" t="n"/>
      <c r="G47" s="143" t="n"/>
      <c r="H47" s="144" t="n"/>
      <c r="I47" s="143" t="n"/>
      <c r="J47" s="143" t="n"/>
      <c r="K47" s="143" t="n"/>
      <c r="L47" s="143" t="n"/>
      <c r="M47" s="143" t="n"/>
      <c r="N47" s="143" t="n"/>
      <c r="O47" s="144" t="n"/>
      <c r="P47" s="143" t="n"/>
      <c r="Q47" s="143" t="n"/>
      <c r="R47" s="143" t="n"/>
      <c r="S47" s="143" t="n"/>
      <c r="T47" s="143" t="n"/>
      <c r="U47" s="143" t="n"/>
      <c r="V47" s="144" t="n"/>
      <c r="W47" s="143" t="n"/>
      <c r="X47" s="143" t="n"/>
      <c r="Y47" s="143" t="n"/>
      <c r="Z47" s="143" t="n"/>
      <c r="AA47" s="143" t="n"/>
      <c r="AB47" s="143" t="n"/>
      <c r="AC47" s="144" t="n"/>
      <c r="AD47" s="143" t="n"/>
      <c r="AE47" s="143" t="n"/>
      <c r="AF47" s="143" t="n"/>
      <c r="AG47" s="143" t="n"/>
      <c r="AH47" s="143" t="n"/>
      <c r="AI47" s="143" t="n"/>
    </row>
    <row r="48" ht="6" customHeight="1"/>
    <row r="49" ht="14" customHeight="1"/>
    <row r="50" ht="14" customHeight="1"/>
    <row r="51" ht="14" customHeight="1"/>
    <row r="52" ht="14" customHeight="1"/>
    <row r="53" ht="14" customHeight="1"/>
    <row r="54" ht="14" customHeight="1"/>
    <row r="55" ht="14" customHeight="1"/>
    <row r="56" ht="14" customHeight="1"/>
    <row r="57" ht="14" customHeight="1"/>
    <row r="58" ht="14" customHeight="1"/>
    <row r="59" ht="14" customHeight="1"/>
    <row r="60" ht="14" customHeight="1"/>
    <row r="61" ht="14" customHeight="1"/>
    <row r="62" ht="14" customHeight="1"/>
    <row r="63" ht="14" customHeight="1"/>
    <row r="64" ht="14" customHeight="1"/>
    <row r="65" ht="14" customHeight="1"/>
    <row r="66" ht="8" customHeight="1"/>
    <row r="67">
      <c r="A67" s="145" t="inlineStr">
        <is>
          <t>MONTHLY SUCCESS RATE</t>
        </is>
      </c>
      <c r="B67" s="9" t="n"/>
      <c r="C67" s="9" t="n"/>
      <c r="D67" s="9" t="n"/>
      <c r="F67" s="146" t="inlineStr">
        <is>
          <t>ACTIVE PROTOCOLS</t>
        </is>
      </c>
      <c r="G67" s="11" t="n"/>
      <c r="H67" s="11" t="n"/>
      <c r="I67" s="11" t="n"/>
      <c r="K67" s="147" t="inlineStr">
        <is>
          <t>PERFECT DAYS (100%)</t>
        </is>
      </c>
      <c r="L67" s="13" t="n"/>
      <c r="M67" s="13" t="n"/>
      <c r="N67" s="13" t="n"/>
      <c r="P67" s="148" t="inlineStr">
        <is>
          <t>AVG SLEEP DURATION</t>
        </is>
      </c>
      <c r="Q67" s="15" t="n"/>
      <c r="R67" s="15" t="n"/>
      <c r="S67" s="15" t="n"/>
    </row>
    <row r="68">
      <c r="A68" s="149">
        <f>IF(SUM(D18:D37)&gt;0, SUM(AM18:AM37)/SUM(D18:D37), 0)</f>
        <v/>
      </c>
      <c r="B68" s="9" t="n"/>
      <c r="C68" s="9" t="n"/>
      <c r="D68" s="9" t="n"/>
      <c r="F68" s="150">
        <f>COUNTA(B18:B37) &amp; " / 20"</f>
        <v/>
      </c>
      <c r="G68" s="11" t="n"/>
      <c r="H68" s="11" t="n"/>
      <c r="I68" s="11" t="n"/>
      <c r="K68" s="151">
        <f>COUNTIF(E39:AI39, 1) &amp; " Days"</f>
        <v/>
      </c>
      <c r="L68" s="13" t="n"/>
      <c r="M68" s="13" t="n"/>
      <c r="N68" s="13" t="n"/>
      <c r="P68" s="152">
        <f>IFERROR(TEXT(AVERAGE(E47:AI47), "0.0") &amp; " hrs", "-")</f>
        <v/>
      </c>
      <c r="Q68" s="15" t="n"/>
      <c r="R68" s="15" t="n"/>
      <c r="S68" s="15" t="n"/>
    </row>
    <row r="69">
      <c r="A69" s="9" t="n"/>
      <c r="B69" s="9" t="n"/>
      <c r="C69" s="9" t="n"/>
      <c r="D69" s="9" t="n"/>
      <c r="F69" s="11" t="n"/>
      <c r="G69" s="11" t="n"/>
      <c r="H69" s="11" t="n"/>
      <c r="I69" s="11" t="n"/>
      <c r="K69" s="13" t="n"/>
      <c r="L69" s="13" t="n"/>
      <c r="M69" s="13" t="n"/>
      <c r="N69" s="13" t="n"/>
      <c r="P69" s="15" t="n"/>
      <c r="Q69" s="15" t="n"/>
      <c r="R69" s="15" t="n"/>
      <c r="S69" s="15" t="n"/>
    </row>
    <row r="70">
      <c r="A70" s="9" t="n"/>
      <c r="B70" s="9" t="n"/>
      <c r="C70" s="9" t="n"/>
      <c r="D70" s="9" t="n"/>
      <c r="F70" s="11" t="n"/>
      <c r="G70" s="11" t="n"/>
      <c r="H70" s="11" t="n"/>
      <c r="I70" s="11" t="n"/>
      <c r="K70" s="13" t="n"/>
      <c r="L70" s="13" t="n"/>
      <c r="M70" s="13" t="n"/>
      <c r="N70" s="13" t="n"/>
      <c r="P70" s="15" t="n"/>
      <c r="Q70" s="15" t="n"/>
      <c r="R70" s="15" t="n"/>
      <c r="S70" s="15" t="n"/>
    </row>
    <row r="71">
      <c r="A71" s="153" t="inlineStr">
        <is>
          <t>Target Completion</t>
        </is>
      </c>
      <c r="B71" s="9" t="n"/>
      <c r="C71" s="9" t="n"/>
      <c r="D71" s="9" t="n"/>
      <c r="F71" s="154" t="inlineStr">
        <is>
          <t>Habits Tracked</t>
        </is>
      </c>
      <c r="G71" s="11" t="n"/>
      <c r="H71" s="11" t="n"/>
      <c r="I71" s="11" t="n"/>
      <c r="K71" s="155" t="inlineStr">
        <is>
          <t>All Marked Habits Completed</t>
        </is>
      </c>
      <c r="L71" s="13" t="n"/>
      <c r="M71" s="13" t="n"/>
      <c r="N71" s="13" t="n"/>
      <c r="P71" s="156" t="inlineStr">
        <is>
          <t>Nightly Rest Average</t>
        </is>
      </c>
      <c r="Q71" s="15" t="n"/>
      <c r="R71" s="15" t="n"/>
      <c r="S71" s="15" t="n"/>
    </row>
    <row r="72" ht="8" customHeight="1"/>
    <row r="73" ht="6" customHeight="1"/>
    <row r="74">
      <c r="A74" s="67" t="inlineStr">
        <is>
          <t>WEEKLY PERFORMANCE (SLUMP DETECTOR)</t>
        </is>
      </c>
      <c r="B74" s="29" t="n"/>
      <c r="C74" s="29" t="n"/>
      <c r="D74" s="29" t="n"/>
      <c r="E74" s="29" t="n"/>
      <c r="N74" s="157" t="inlineStr">
        <is>
          <t>LIFE DOMAIN / CATEGORY BREAKDOWN</t>
        </is>
      </c>
      <c r="O74" s="158" t="n"/>
      <c r="P74" s="158" t="n"/>
      <c r="Q74" s="158" t="n"/>
      <c r="R74" s="158" t="n"/>
      <c r="S74" s="158" t="n"/>
    </row>
    <row r="75" ht="15" customHeight="1">
      <c r="A75" s="53" t="inlineStr">
        <is>
          <t>Week</t>
        </is>
      </c>
      <c r="B75" s="53" t="inlineStr">
        <is>
          <t>Days Range</t>
        </is>
      </c>
      <c r="C75" s="53" t="inlineStr">
        <is>
          <t>Checks Done</t>
        </is>
      </c>
      <c r="D75" s="53" t="inlineStr">
        <is>
          <t>Evaluated</t>
        </is>
      </c>
      <c r="E75" s="53" t="inlineStr">
        <is>
          <t>Success %</t>
        </is>
      </c>
      <c r="N75" s="53" t="inlineStr">
        <is>
          <t>Domain / Category</t>
        </is>
      </c>
      <c r="O75" s="54" t="n"/>
      <c r="P75" s="53" t="inlineStr">
        <is>
          <t>Active Habits</t>
        </is>
      </c>
      <c r="Q75" s="53" t="inlineStr">
        <is>
          <t>Target Days</t>
        </is>
      </c>
      <c r="R75" s="53" t="inlineStr">
        <is>
          <t>Done Checks</t>
        </is>
      </c>
      <c r="S75" s="53" t="inlineStr">
        <is>
          <t>Success %</t>
        </is>
      </c>
    </row>
    <row r="76" ht="14" customHeight="1">
      <c r="A76" s="33" t="inlineStr">
        <is>
          <t>Week 1</t>
        </is>
      </c>
      <c r="B76" s="34" t="inlineStr">
        <is>
          <t>Days 1 - 7</t>
        </is>
      </c>
      <c r="C76" s="34">
        <f>COUNTIF(E18:K37, "✓")</f>
        <v/>
      </c>
      <c r="D76" s="34">
        <f>COUNTIF(E18:K37, "✓") + COUNTIF(E18:K37, "✗")</f>
        <v/>
      </c>
      <c r="E76" s="35">
        <f>IFERROR(C76/D76, 0)</f>
        <v/>
      </c>
      <c r="N76" s="60" t="inlineStr">
        <is>
          <t>Health &amp; Fitness</t>
        </is>
      </c>
      <c r="O76" s="54" t="n"/>
      <c r="P76" s="34">
        <f>COUNTIF($C$18:$C$37, "Health &amp; Fitness")</f>
        <v/>
      </c>
      <c r="Q76" s="34">
        <f>SUMIF($C$18:$C$37, "Health &amp; Fitness", $D$18:$D$37)</f>
        <v/>
      </c>
      <c r="R76" s="34">
        <f>SUMIF($C$18:$C$37, "Health &amp; Fitness", $AM$18:$AM$37)</f>
        <v/>
      </c>
      <c r="S76" s="35">
        <f>IFERROR(R76/Q76, 0)</f>
        <v/>
      </c>
    </row>
    <row r="77" ht="14" customHeight="1">
      <c r="A77" s="33" t="inlineStr">
        <is>
          <t>Week 2</t>
        </is>
      </c>
      <c r="B77" s="34" t="inlineStr">
        <is>
          <t>Days 8 - 14</t>
        </is>
      </c>
      <c r="C77" s="34">
        <f>COUNTIF(L18:R37, "✓")</f>
        <v/>
      </c>
      <c r="D77" s="34">
        <f>COUNTIF(L18:R37, "✓") + COUNTIF(L18:R37, "✗")</f>
        <v/>
      </c>
      <c r="E77" s="35">
        <f>IFERROR(C77/D77, 0)</f>
        <v/>
      </c>
      <c r="N77" s="60" t="inlineStr">
        <is>
          <t>Mindset &amp; Learning</t>
        </is>
      </c>
      <c r="O77" s="54" t="n"/>
      <c r="P77" s="34">
        <f>COUNTIF($C$18:$C$37, "Mindset &amp; Learning")</f>
        <v/>
      </c>
      <c r="Q77" s="34">
        <f>SUMIF($C$18:$C$37, "Mindset &amp; Learning", $D$18:$D$37)</f>
        <v/>
      </c>
      <c r="R77" s="34">
        <f>SUMIF($C$18:$C$37, "Mindset &amp; Learning", $AM$18:$AM$37)</f>
        <v/>
      </c>
      <c r="S77" s="35">
        <f>IFERROR(R77/Q77, 0)</f>
        <v/>
      </c>
    </row>
    <row r="78" ht="14" customHeight="1">
      <c r="A78" s="33" t="inlineStr">
        <is>
          <t>Week 3</t>
        </is>
      </c>
      <c r="B78" s="34" t="inlineStr">
        <is>
          <t>Days 15 - 21</t>
        </is>
      </c>
      <c r="C78" s="34">
        <f>COUNTIF(S18:Y37, "✓")</f>
        <v/>
      </c>
      <c r="D78" s="34">
        <f>COUNTIF(S18:Y37, "✓") + COUNTIF(S18:Y37, "✗")</f>
        <v/>
      </c>
      <c r="E78" s="35">
        <f>IFERROR(C78/D78, 0)</f>
        <v/>
      </c>
      <c r="N78" s="60" t="inlineStr">
        <is>
          <t>Career &amp; Focus</t>
        </is>
      </c>
      <c r="O78" s="54" t="n"/>
      <c r="P78" s="34">
        <f>COUNTIF($C$18:$C$37, "Career &amp; Focus")</f>
        <v/>
      </c>
      <c r="Q78" s="34">
        <f>SUMIF($C$18:$C$37, "Career &amp; Focus", $D$18:$D$37)</f>
        <v/>
      </c>
      <c r="R78" s="34">
        <f>SUMIF($C$18:$C$37, "Career &amp; Focus", $AM$18:$AM$37)</f>
        <v/>
      </c>
      <c r="S78" s="35">
        <f>IFERROR(R78/Q78, 0)</f>
        <v/>
      </c>
    </row>
    <row r="79" ht="14" customHeight="1">
      <c r="A79" s="33" t="inlineStr">
        <is>
          <t>Week 4</t>
        </is>
      </c>
      <c r="B79" s="34" t="inlineStr">
        <is>
          <t>Days 22 - 28</t>
        </is>
      </c>
      <c r="C79" s="34">
        <f>COUNTIF(Z18:AF37, "✓")</f>
        <v/>
      </c>
      <c r="D79" s="34">
        <f>COUNTIF(Z18:AF37, "✓") + COUNTIF(Z18:AF37, "✗")</f>
        <v/>
      </c>
      <c r="E79" s="35">
        <f>IFERROR(C79/D79, 0)</f>
        <v/>
      </c>
      <c r="N79" s="60" t="inlineStr">
        <is>
          <t>Personal &amp; Home</t>
        </is>
      </c>
      <c r="O79" s="54" t="n"/>
      <c r="P79" s="34">
        <f>COUNTIF($C$18:$C$37, "Personal &amp; Home")</f>
        <v/>
      </c>
      <c r="Q79" s="34">
        <f>SUMIF($C$18:$C$37, "Personal &amp; Home", $D$18:$D$37)</f>
        <v/>
      </c>
      <c r="R79" s="34">
        <f>SUMIF($C$18:$C$37, "Personal &amp; Home", $AM$18:$AM$37)</f>
        <v/>
      </c>
      <c r="S79" s="35">
        <f>IFERROR(R79/Q79, 0)</f>
        <v/>
      </c>
    </row>
    <row r="80" ht="14" customHeight="1">
      <c r="A80" s="33" t="inlineStr">
        <is>
          <t>Week 5</t>
        </is>
      </c>
      <c r="B80" s="34" t="inlineStr">
        <is>
          <t>Days 29 - 31</t>
        </is>
      </c>
      <c r="C80" s="34">
        <f>COUNTIF(AG18:AI37, "✓")</f>
        <v/>
      </c>
      <c r="D80" s="34">
        <f>COUNTIF(AG18:AI37, "✓") + COUNTIF(AG18:AI37, "✗")</f>
        <v/>
      </c>
      <c r="E80" s="35">
        <f>IFERROR(C80/D80, 0)</f>
        <v/>
      </c>
      <c r="N80" s="60" t="inlineStr">
        <is>
          <t>Finance &amp; Wealth</t>
        </is>
      </c>
      <c r="O80" s="54" t="n"/>
      <c r="P80" s="34">
        <f>COUNTIF($C$18:$C$37, "Finance &amp; Wealth")</f>
        <v/>
      </c>
      <c r="Q80" s="34">
        <f>SUMIF($C$18:$C$37, "Finance &amp; Wealth", $D$18:$D$37)</f>
        <v/>
      </c>
      <c r="R80" s="34">
        <f>SUMIF($C$18:$C$37, "Finance &amp; Wealth", $AM$18:$AM$37)</f>
        <v/>
      </c>
      <c r="S80" s="35">
        <f>IFERROR(R80/Q80, 0)</f>
        <v/>
      </c>
    </row>
    <row r="81" ht="14" customHeight="1">
      <c r="A81" s="33" t="inlineStr">
        <is>
          <t>Total / Avg</t>
        </is>
      </c>
      <c r="B81" s="159" t="inlineStr">
        <is>
          <t>Month Total</t>
        </is>
      </c>
      <c r="C81" s="33">
        <f>SUM(C76:C80)</f>
        <v/>
      </c>
      <c r="D81" s="33">
        <f>SUM(D76:D80)</f>
        <v/>
      </c>
      <c r="E81" s="133">
        <f>IFERROR(C81/D81, 0)</f>
        <v/>
      </c>
    </row>
    <row r="82" ht="10" customHeight="1"/>
    <row r="83" ht="10" customHeight="1"/>
    <row r="84">
      <c r="A84" s="51" t="inlineStr">
        <is>
          <t>SLEEP &amp; PRODUCTIVITY CORRELATION ANALYSIS</t>
        </is>
      </c>
      <c r="B84" s="52" t="n"/>
      <c r="C84" s="52" t="n"/>
      <c r="D84" s="52" t="n"/>
      <c r="E84" s="52" t="n"/>
      <c r="F84" s="52" t="n"/>
      <c r="G84" s="52" t="n"/>
      <c r="H84" s="52" t="n"/>
      <c r="I84" s="52" t="n"/>
      <c r="J84" s="52" t="n"/>
      <c r="K84" s="52" t="n"/>
      <c r="L84" s="52" t="n"/>
      <c r="M84" s="52" t="n"/>
      <c r="N84" s="52" t="n"/>
      <c r="O84" s="52" t="n"/>
      <c r="P84" s="52" t="n"/>
      <c r="Q84" s="52" t="n"/>
      <c r="R84" s="52" t="n"/>
      <c r="S84" s="52" t="n"/>
      <c r="T84" s="52" t="n"/>
      <c r="U84" s="52" t="n"/>
      <c r="V84" s="52" t="n"/>
      <c r="W84" s="52" t="n"/>
      <c r="X84" s="52" t="n"/>
      <c r="Y84" s="52" t="n"/>
      <c r="Z84" s="52" t="n"/>
      <c r="AA84" s="52" t="n"/>
      <c r="AB84" s="52" t="n"/>
      <c r="AC84" s="52" t="n"/>
      <c r="AD84" s="52" t="n"/>
      <c r="AE84" s="52" t="n"/>
      <c r="AF84" s="52" t="n"/>
      <c r="AG84" s="52" t="n"/>
      <c r="AH84" s="52" t="n"/>
      <c r="AI84" s="52" t="n"/>
      <c r="AJ84" s="52" t="n"/>
      <c r="AK84" s="52" t="n"/>
      <c r="AL84" s="52" t="n"/>
    </row>
    <row r="85" ht="15" customHeight="1">
      <c r="A85" s="53" t="inlineStr">
        <is>
          <t>Rest Category</t>
        </is>
      </c>
      <c r="B85" s="54" t="n"/>
      <c r="C85" s="54" t="n"/>
      <c r="D85" s="53" t="inlineStr">
        <is>
          <t>Day Criteria</t>
        </is>
      </c>
      <c r="E85" s="54" t="n"/>
      <c r="F85" s="54" t="n"/>
      <c r="G85" s="53" t="inlineStr">
        <is>
          <t>Days Logged</t>
        </is>
      </c>
      <c r="H85" s="54" t="n"/>
      <c r="I85" s="54" t="n"/>
      <c r="J85" s="53" t="inlineStr">
        <is>
          <t>Avg Sleep Duration</t>
        </is>
      </c>
      <c r="K85" s="54" t="n"/>
      <c r="L85" s="54" t="n"/>
      <c r="M85" s="54" t="n"/>
      <c r="N85" s="53" t="inlineStr">
        <is>
          <t>Avg Habit Success %</t>
        </is>
      </c>
      <c r="O85" s="54" t="n"/>
      <c r="P85" s="54" t="n"/>
      <c r="Q85" s="54" t="n"/>
      <c r="R85" s="53" t="inlineStr">
        <is>
          <t>Productivity Delta</t>
        </is>
      </c>
      <c r="S85" s="54" t="n"/>
      <c r="T85" s="54" t="n"/>
      <c r="U85" s="54" t="n"/>
    </row>
    <row r="86" ht="15" customHeight="1">
      <c r="A86" s="160" t="inlineStr">
        <is>
          <t>Optimal Rest</t>
        </is>
      </c>
      <c r="B86" s="161" t="n"/>
      <c r="C86" s="56" t="n"/>
      <c r="D86" s="34" t="inlineStr">
        <is>
          <t>&gt;= 7 Hours / Night</t>
        </is>
      </c>
      <c r="E86" s="161" t="n"/>
      <c r="F86" s="56" t="n"/>
      <c r="G86" s="33">
        <f>COUNTIF(E47:AI47, "&gt;=7")</f>
        <v/>
      </c>
      <c r="H86" s="161" t="n"/>
      <c r="I86" s="56" t="n"/>
      <c r="J86" s="34">
        <f>IFERROR(TEXT(AVERAGEIF(E47:AI47, "&gt;=7"), "0.0") &amp; " hrs", "-")</f>
        <v/>
      </c>
      <c r="K86" s="161" t="n"/>
      <c r="L86" s="161" t="n"/>
      <c r="M86" s="56" t="n"/>
      <c r="N86" s="42">
        <f>IFERROR(AVERAGEIFS(E39:AI39, E47:AI47, "&gt;=7", E39:AI39, "&gt;0"), 0)</f>
        <v/>
      </c>
      <c r="O86" s="161" t="n"/>
      <c r="P86" s="161" t="n"/>
      <c r="Q86" s="56" t="n"/>
      <c r="R86" s="159" t="inlineStr">
        <is>
          <t>Baseline (Target)</t>
        </is>
      </c>
      <c r="S86" s="161" t="n"/>
      <c r="T86" s="161" t="n"/>
      <c r="U86" s="56" t="n"/>
    </row>
    <row r="87" ht="15" customHeight="1">
      <c r="A87" s="162" t="inlineStr">
        <is>
          <t>Sleep Deficit</t>
        </is>
      </c>
      <c r="B87" s="161" t="n"/>
      <c r="C87" s="56" t="n"/>
      <c r="D87" s="34" t="inlineStr">
        <is>
          <t>&lt; 7 Hours / Night</t>
        </is>
      </c>
      <c r="E87" s="161" t="n"/>
      <c r="F87" s="56" t="n"/>
      <c r="G87" s="33">
        <f>COUNTIF(E47:AI47, "&lt;7") - COUNTIF(E47:AI47, "")</f>
        <v/>
      </c>
      <c r="H87" s="161" t="n"/>
      <c r="I87" s="56" t="n"/>
      <c r="J87" s="34">
        <f>IFERROR(TEXT(AVERAGEIFS(E47:AI47, E47:AI47, "&lt;7", E47:AI47, "&gt;0"), "0.0") &amp; " hrs", "-")</f>
        <v/>
      </c>
      <c r="K87" s="161" t="n"/>
      <c r="L87" s="161" t="n"/>
      <c r="M87" s="56" t="n"/>
      <c r="N87" s="163">
        <f>IFERROR(AVERAGEIFS(E39:AI39, E47:AI47, "&lt;7", E39:AI39, "&gt;0"), 0)</f>
        <v/>
      </c>
      <c r="O87" s="161" t="n"/>
      <c r="P87" s="161" t="n"/>
      <c r="Q87" s="56" t="n"/>
      <c r="R87" s="160">
        <f>IFERROR(TEXT(N86 - N87, "+0.0%;-0.0%;0.0%") &amp; " Rest Advantage", "-")</f>
        <v/>
      </c>
      <c r="S87" s="161" t="n"/>
      <c r="T87" s="161" t="n"/>
      <c r="U87" s="56" t="n"/>
    </row>
    <row r="88" ht="18" customHeight="1">
      <c r="A88" s="164">
        <f>IF(AND(ISNUMBER(N86), ISNUMBER(N87), N86&gt;0, N87&gt;0), "💡 Sleep Correlation Insight: You complete " &amp; TEXT(ABS(N86-N87), "0.0%") &amp; IF(N86&gt;=N87, " MORE habits on days with 7+ hours of sleep!", " fewer habits on days with 7+ hours of sleep."), "💡 Log both habits and sleep hours daily to unlock automatic AI correlation insights!")</f>
        <v/>
      </c>
      <c r="B88" s="161" t="n"/>
      <c r="C88" s="161" t="n"/>
      <c r="D88" s="161" t="n"/>
      <c r="E88" s="161" t="n"/>
      <c r="F88" s="161" t="n"/>
      <c r="G88" s="161" t="n"/>
      <c r="H88" s="161" t="n"/>
      <c r="I88" s="161" t="n"/>
      <c r="J88" s="161" t="n"/>
      <c r="K88" s="161" t="n"/>
      <c r="L88" s="161" t="n"/>
      <c r="M88" s="161" t="n"/>
      <c r="N88" s="161" t="n"/>
      <c r="O88" s="161" t="n"/>
      <c r="P88" s="161" t="n"/>
      <c r="Q88" s="161" t="n"/>
      <c r="R88" s="161" t="n"/>
      <c r="S88" s="161" t="n"/>
      <c r="T88" s="161" t="n"/>
      <c r="U88" s="161" t="n"/>
      <c r="V88" s="161" t="n"/>
      <c r="W88" s="161" t="n"/>
      <c r="X88" s="161" t="n"/>
      <c r="Y88" s="161" t="n"/>
      <c r="Z88" s="161" t="n"/>
      <c r="AA88" s="161" t="n"/>
      <c r="AB88" s="161" t="n"/>
      <c r="AC88" s="161" t="n"/>
      <c r="AD88" s="161" t="n"/>
      <c r="AE88" s="161" t="n"/>
      <c r="AF88" s="161" t="n"/>
      <c r="AG88" s="161" t="n"/>
      <c r="AH88" s="161" t="n"/>
      <c r="AI88" s="161" t="n"/>
      <c r="AJ88" s="161" t="n"/>
      <c r="AK88" s="161" t="n"/>
      <c r="AL88" s="56" t="n"/>
    </row>
    <row r="89" ht="10" customHeight="1"/>
    <row r="90">
      <c r="A90" s="43" t="inlineStr">
        <is>
          <t>STANDARDIZED DATA BRIDGE (FOR ANNUAL &amp; QUARTERLY REVIEW SHEETS)</t>
        </is>
      </c>
      <c r="B90" s="44" t="n"/>
      <c r="C90" s="44" t="n"/>
      <c r="D90" s="44" t="n"/>
      <c r="E90" s="44" t="n"/>
      <c r="F90" s="44" t="n"/>
      <c r="G90" s="44" t="n"/>
      <c r="H90" s="44" t="n"/>
      <c r="I90" s="44" t="n"/>
      <c r="J90" s="44" t="n"/>
      <c r="K90" s="44" t="n"/>
      <c r="L90" s="44" t="n"/>
      <c r="M90" s="44" t="n"/>
      <c r="N90" s="44" t="n"/>
      <c r="O90" s="44" t="n"/>
      <c r="P90" s="44" t="n"/>
      <c r="Q90" s="44" t="n"/>
      <c r="R90" s="44" t="n"/>
      <c r="S90" s="44" t="n"/>
      <c r="T90" s="44" t="n"/>
      <c r="U90" s="44" t="n"/>
      <c r="V90" s="44" t="n"/>
      <c r="W90" s="44" t="n"/>
      <c r="X90" s="44" t="n"/>
      <c r="Y90" s="44" t="n"/>
      <c r="Z90" s="44" t="n"/>
      <c r="AA90" s="44" t="n"/>
      <c r="AB90" s="44" t="n"/>
      <c r="AC90" s="44" t="n"/>
      <c r="AD90" s="44" t="n"/>
      <c r="AE90" s="44" t="n"/>
      <c r="AF90" s="44" t="n"/>
      <c r="AG90" s="44" t="n"/>
      <c r="AH90" s="44" t="n"/>
      <c r="AI90" s="44" t="n"/>
      <c r="AJ90" s="44" t="n"/>
      <c r="AK90" s="44" t="n"/>
      <c r="AL90" s="44" t="n"/>
    </row>
    <row r="91" ht="15" customHeight="1">
      <c r="A91" s="53" t="inlineStr">
        <is>
          <t>Month</t>
        </is>
      </c>
      <c r="B91" s="54" t="n"/>
      <c r="C91" s="53" t="inlineStr">
        <is>
          <t>Year</t>
        </is>
      </c>
      <c r="D91" s="54" t="n"/>
      <c r="E91" s="53" t="inlineStr">
        <is>
          <t>Active Habits</t>
        </is>
      </c>
      <c r="F91" s="54" t="n"/>
      <c r="G91" s="53" t="inlineStr">
        <is>
          <t>Target Days</t>
        </is>
      </c>
      <c r="H91" s="54" t="n"/>
      <c r="I91" s="53" t="inlineStr">
        <is>
          <t>Done Checks</t>
        </is>
      </c>
      <c r="J91" s="54" t="n"/>
      <c r="K91" s="53" t="inlineStr">
        <is>
          <t>Success %</t>
        </is>
      </c>
      <c r="L91" s="54" t="n"/>
      <c r="M91" s="53" t="inlineStr">
        <is>
          <t>Perfect Days</t>
        </is>
      </c>
      <c r="N91" s="54" t="n"/>
      <c r="O91" s="53" t="inlineStr">
        <is>
          <t>Avg Sleep</t>
        </is>
      </c>
      <c r="P91" s="54" t="n"/>
      <c r="Q91" s="53" t="inlineStr">
        <is>
          <t>Best Week</t>
        </is>
      </c>
      <c r="R91" s="54" t="n"/>
      <c r="S91" s="54" t="n"/>
      <c r="T91" s="53" t="inlineStr">
        <is>
          <t>Top Life Domain</t>
        </is>
      </c>
      <c r="U91" s="54" t="n"/>
      <c r="V91" s="54" t="n"/>
      <c r="W91" s="54" t="n"/>
    </row>
    <row r="92" ht="16" customHeight="1">
      <c r="A92" s="165" t="inlineStr">
        <is>
          <t>Mar</t>
        </is>
      </c>
      <c r="B92" s="56" t="n"/>
      <c r="C92" s="165" t="n">
        <v>2029</v>
      </c>
      <c r="D92" s="56" t="n"/>
      <c r="E92" s="166">
        <f>COUNTA(B18:B37)</f>
        <v/>
      </c>
      <c r="F92" s="56" t="n"/>
      <c r="G92" s="166">
        <f>SUM(D18:D37)</f>
        <v/>
      </c>
      <c r="H92" s="56" t="n"/>
      <c r="I92" s="166">
        <f>SUM(AM18:AM37)</f>
        <v/>
      </c>
      <c r="J92" s="56" t="n"/>
      <c r="K92" s="167">
        <f>IF(G92&gt;0, I92/G92, 0)</f>
        <v/>
      </c>
      <c r="L92" s="56" t="n"/>
      <c r="M92" s="166">
        <f>COUNTIF(E39:AI39, 1)</f>
        <v/>
      </c>
      <c r="N92" s="56" t="n"/>
      <c r="O92" s="168">
        <f>IFERROR(AVERAGE(E47:AI47), 0)</f>
        <v/>
      </c>
      <c r="P92" s="56" t="n"/>
      <c r="Q92" s="166">
        <f>INDEX(A76:A80, MATCH(MAX(E76:E80), E76:E80, 0))</f>
        <v/>
      </c>
      <c r="R92" s="161" t="n"/>
      <c r="S92" s="56" t="n"/>
      <c r="T92" s="166">
        <f>INDEX(N76:N80, MATCH(MAX(S76:S80), S76:S80, 0))</f>
        <v/>
      </c>
      <c r="U92" s="161" t="n"/>
      <c r="V92" s="161" t="n"/>
      <c r="W92" s="56" t="n"/>
    </row>
    <row r="93" ht="14" customHeight="1">
      <c r="A93" s="169" t="inlineStr">
        <is>
          <t>📋 Note: Reference or copy Row 92 directly into an Annual / Quarterly review dashboard to track yearly habit trends.</t>
        </is>
      </c>
    </row>
    <row r="94" ht="8" customHeight="1"/>
    <row r="95">
      <c r="A95" s="170" t="inlineStr">
        <is>
          <t>🏆 MONTHLY WINS &amp; HIGHLIGHTS</t>
        </is>
      </c>
      <c r="J95" s="171" t="inlineStr">
        <is>
          <t>⚠️ FRICTION POINTS &amp; ROOT CAUSES</t>
        </is>
      </c>
      <c r="S95" s="172" t="inlineStr">
        <is>
          <t>🎯 3 KEY ADJUSTMENTS FOR NEXT MONTH</t>
        </is>
      </c>
    </row>
    <row r="96">
      <c r="A96" s="173" t="inlineStr">
        <is>
          <t>1. What went exceptionally well this month?
2. Which habit felt effortless and consistent?
3. Major milestone achieved:</t>
        </is>
      </c>
      <c r="B96" s="174" t="n"/>
      <c r="C96" s="174" t="n"/>
      <c r="D96" s="174" t="n"/>
      <c r="E96" s="174" t="n"/>
      <c r="F96" s="174" t="n"/>
      <c r="G96" s="174" t="n"/>
      <c r="H96" s="174" t="n"/>
      <c r="J96" s="175" t="inlineStr">
        <is>
          <t>1. What caused missed or skipped days?
2. Main triggers / energy drains encountered:
3. Which habit had the lowest consistency and why?</t>
        </is>
      </c>
      <c r="K96" s="176" t="n"/>
      <c r="L96" s="176" t="n"/>
      <c r="M96" s="176" t="n"/>
      <c r="N96" s="176" t="n"/>
      <c r="O96" s="176" t="n"/>
      <c r="P96" s="176" t="n"/>
      <c r="Q96" s="176" t="n"/>
      <c r="S96" s="177" t="inlineStr">
        <is>
          <t>1. Habit Stacking or time adjustment for next month:
2. Environment design change to eliminate friction:
3. One non-negotiable priority protocol:</t>
        </is>
      </c>
      <c r="T96" s="178" t="n"/>
      <c r="U96" s="178" t="n"/>
      <c r="V96" s="178" t="n"/>
      <c r="W96" s="178" t="n"/>
      <c r="X96" s="178" t="n"/>
      <c r="Y96" s="178" t="n"/>
      <c r="Z96" s="178" t="n"/>
    </row>
    <row r="97">
      <c r="A97" s="174" t="n"/>
      <c r="B97" s="174" t="n"/>
      <c r="C97" s="174" t="n"/>
      <c r="D97" s="174" t="n"/>
      <c r="E97" s="174" t="n"/>
      <c r="F97" s="174" t="n"/>
      <c r="G97" s="174" t="n"/>
      <c r="H97" s="174" t="n"/>
      <c r="J97" s="176" t="n"/>
      <c r="K97" s="176" t="n"/>
      <c r="L97" s="176" t="n"/>
      <c r="M97" s="176" t="n"/>
      <c r="N97" s="176" t="n"/>
      <c r="O97" s="176" t="n"/>
      <c r="P97" s="176" t="n"/>
      <c r="Q97" s="176" t="n"/>
      <c r="S97" s="178" t="n"/>
      <c r="T97" s="178" t="n"/>
      <c r="U97" s="178" t="n"/>
      <c r="V97" s="178" t="n"/>
      <c r="W97" s="178" t="n"/>
      <c r="X97" s="178" t="n"/>
      <c r="Y97" s="178" t="n"/>
      <c r="Z97" s="178" t="n"/>
    </row>
    <row r="98">
      <c r="A98" s="174" t="n"/>
      <c r="B98" s="174" t="n"/>
      <c r="C98" s="174" t="n"/>
      <c r="D98" s="174" t="n"/>
      <c r="E98" s="174" t="n"/>
      <c r="F98" s="174" t="n"/>
      <c r="G98" s="174" t="n"/>
      <c r="H98" s="174" t="n"/>
      <c r="J98" s="176" t="n"/>
      <c r="K98" s="176" t="n"/>
      <c r="L98" s="176" t="n"/>
      <c r="M98" s="176" t="n"/>
      <c r="N98" s="176" t="n"/>
      <c r="O98" s="176" t="n"/>
      <c r="P98" s="176" t="n"/>
      <c r="Q98" s="176" t="n"/>
      <c r="S98" s="178" t="n"/>
      <c r="T98" s="178" t="n"/>
      <c r="U98" s="178" t="n"/>
      <c r="V98" s="178" t="n"/>
      <c r="W98" s="178" t="n"/>
      <c r="X98" s="178" t="n"/>
      <c r="Y98" s="178" t="n"/>
      <c r="Z98" s="178" t="n"/>
    </row>
    <row r="99">
      <c r="A99" s="174" t="n"/>
      <c r="B99" s="174" t="n"/>
      <c r="C99" s="174" t="n"/>
      <c r="D99" s="174" t="n"/>
      <c r="E99" s="174" t="n"/>
      <c r="F99" s="174" t="n"/>
      <c r="G99" s="174" t="n"/>
      <c r="H99" s="174" t="n"/>
      <c r="J99" s="176" t="n"/>
      <c r="K99" s="176" t="n"/>
      <c r="L99" s="176" t="n"/>
      <c r="M99" s="176" t="n"/>
      <c r="N99" s="176" t="n"/>
      <c r="O99" s="176" t="n"/>
      <c r="P99" s="176" t="n"/>
      <c r="Q99" s="176" t="n"/>
      <c r="S99" s="178" t="n"/>
      <c r="T99" s="178" t="n"/>
      <c r="U99" s="178" t="n"/>
      <c r="V99" s="178" t="n"/>
      <c r="W99" s="178" t="n"/>
      <c r="X99" s="178" t="n"/>
      <c r="Y99" s="178" t="n"/>
      <c r="Z99" s="178" t="n"/>
    </row>
    <row r="100">
      <c r="A100" s="174" t="n"/>
      <c r="B100" s="174" t="n"/>
      <c r="C100" s="174" t="n"/>
      <c r="D100" s="174" t="n"/>
      <c r="E100" s="174" t="n"/>
      <c r="F100" s="174" t="n"/>
      <c r="G100" s="174" t="n"/>
      <c r="H100" s="174" t="n"/>
      <c r="J100" s="176" t="n"/>
      <c r="K100" s="176" t="n"/>
      <c r="L100" s="176" t="n"/>
      <c r="M100" s="176" t="n"/>
      <c r="N100" s="176" t="n"/>
      <c r="O100" s="176" t="n"/>
      <c r="P100" s="176" t="n"/>
      <c r="Q100" s="176" t="n"/>
      <c r="S100" s="178" t="n"/>
      <c r="T100" s="178" t="n"/>
      <c r="U100" s="178" t="n"/>
      <c r="V100" s="178" t="n"/>
      <c r="W100" s="178" t="n"/>
      <c r="X100" s="178" t="n"/>
      <c r="Y100" s="178" t="n"/>
      <c r="Z100" s="178" t="n"/>
    </row>
    <row r="101">
      <c r="A101" s="174" t="n"/>
      <c r="B101" s="174" t="n"/>
      <c r="C101" s="174" t="n"/>
      <c r="D101" s="174" t="n"/>
      <c r="E101" s="174" t="n"/>
      <c r="F101" s="174" t="n"/>
      <c r="G101" s="174" t="n"/>
      <c r="H101" s="174" t="n"/>
      <c r="J101" s="176" t="n"/>
      <c r="K101" s="176" t="n"/>
      <c r="L101" s="176" t="n"/>
      <c r="M101" s="176" t="n"/>
      <c r="N101" s="176" t="n"/>
      <c r="O101" s="176" t="n"/>
      <c r="P101" s="176" t="n"/>
      <c r="Q101" s="176" t="n"/>
      <c r="S101" s="178" t="n"/>
      <c r="T101" s="178" t="n"/>
      <c r="U101" s="178" t="n"/>
      <c r="V101" s="178" t="n"/>
      <c r="W101" s="178" t="n"/>
      <c r="X101" s="178" t="n"/>
      <c r="Y101" s="178" t="n"/>
      <c r="Z101" s="178" t="n"/>
    </row>
    <row r="102">
      <c r="A102" s="174" t="n"/>
      <c r="B102" s="174" t="n"/>
      <c r="C102" s="174" t="n"/>
      <c r="D102" s="174" t="n"/>
      <c r="E102" s="174" t="n"/>
      <c r="F102" s="174" t="n"/>
      <c r="G102" s="174" t="n"/>
      <c r="H102" s="174" t="n"/>
      <c r="J102" s="176" t="n"/>
      <c r="K102" s="176" t="n"/>
      <c r="L102" s="176" t="n"/>
      <c r="M102" s="176" t="n"/>
      <c r="N102" s="176" t="n"/>
      <c r="O102" s="176" t="n"/>
      <c r="P102" s="176" t="n"/>
      <c r="Q102" s="176" t="n"/>
      <c r="S102" s="178" t="n"/>
      <c r="T102" s="178" t="n"/>
      <c r="U102" s="178" t="n"/>
      <c r="V102" s="178" t="n"/>
      <c r="W102" s="178" t="n"/>
      <c r="X102" s="178" t="n"/>
      <c r="Y102" s="178" t="n"/>
      <c r="Z102" s="178" t="n"/>
    </row>
    <row r="103">
      <c r="A103" s="174" t="n"/>
      <c r="B103" s="174" t="n"/>
      <c r="C103" s="174" t="n"/>
      <c r="D103" s="174" t="n"/>
      <c r="E103" s="174" t="n"/>
      <c r="F103" s="174" t="n"/>
      <c r="G103" s="174" t="n"/>
      <c r="H103" s="174" t="n"/>
      <c r="J103" s="176" t="n"/>
      <c r="K103" s="176" t="n"/>
      <c r="L103" s="176" t="n"/>
      <c r="M103" s="176" t="n"/>
      <c r="N103" s="176" t="n"/>
      <c r="O103" s="176" t="n"/>
      <c r="P103" s="176" t="n"/>
      <c r="Q103" s="176" t="n"/>
      <c r="S103" s="178" t="n"/>
      <c r="T103" s="178" t="n"/>
      <c r="U103" s="178" t="n"/>
      <c r="V103" s="178" t="n"/>
      <c r="W103" s="178" t="n"/>
      <c r="X103" s="178" t="n"/>
      <c r="Y103" s="178" t="n"/>
      <c r="Z103" s="178" t="n"/>
    </row>
  </sheetData>
  <sheetProtection selectLockedCells="1" selectUnlockedCells="1" sheet="1" objects="0" insertRows="1" insertHyperlinks="1" autoFilter="1" scenarios="0" formatColumns="1" deleteColumns="1" insertColumns="1" pivotTables="1" deleteRows="1" formatCells="1" formatRows="1" sort="1"/>
  <mergeCells count="94">
    <mergeCell ref="A9:N9"/>
    <mergeCell ref="N76:O76"/>
    <mergeCell ref="F67:I67"/>
    <mergeCell ref="G87:I87"/>
    <mergeCell ref="A16:A17"/>
    <mergeCell ref="A45:D46"/>
    <mergeCell ref="C16:C17"/>
    <mergeCell ref="N75:O75"/>
    <mergeCell ref="N77:O77"/>
    <mergeCell ref="AE2:AL2"/>
    <mergeCell ref="P9:AL9"/>
    <mergeCell ref="P68:S70"/>
    <mergeCell ref="D16:D17"/>
    <mergeCell ref="N85:Q85"/>
    <mergeCell ref="A95:H95"/>
    <mergeCell ref="A84:AL84"/>
    <mergeCell ref="Q91:S91"/>
    <mergeCell ref="E91:F91"/>
    <mergeCell ref="A8:N8"/>
    <mergeCell ref="A42:AL42"/>
    <mergeCell ref="G91:H91"/>
    <mergeCell ref="J86:M86"/>
    <mergeCell ref="H3:AD3"/>
    <mergeCell ref="K67:N67"/>
    <mergeCell ref="S95:Z95"/>
    <mergeCell ref="N79:O79"/>
    <mergeCell ref="K92:L92"/>
    <mergeCell ref="C92:D92"/>
    <mergeCell ref="M92:N92"/>
    <mergeCell ref="F71:I71"/>
    <mergeCell ref="A88:AL88"/>
    <mergeCell ref="K68:N70"/>
    <mergeCell ref="T91:W91"/>
    <mergeCell ref="A41:AL41"/>
    <mergeCell ref="A90:AL90"/>
    <mergeCell ref="J95:Q95"/>
    <mergeCell ref="D85:F85"/>
    <mergeCell ref="N74:S74"/>
    <mergeCell ref="H2:AD2"/>
    <mergeCell ref="F68:I70"/>
    <mergeCell ref="A91:B91"/>
    <mergeCell ref="N78:O78"/>
    <mergeCell ref="C91:D91"/>
    <mergeCell ref="M91:N91"/>
    <mergeCell ref="O91:P91"/>
    <mergeCell ref="R86:U86"/>
    <mergeCell ref="N80:O80"/>
    <mergeCell ref="B16:B17"/>
    <mergeCell ref="A71:D71"/>
    <mergeCell ref="J85:M85"/>
    <mergeCell ref="D86:F86"/>
    <mergeCell ref="A92:B92"/>
    <mergeCell ref="N87:Q87"/>
    <mergeCell ref="A1:B1"/>
    <mergeCell ref="E92:F92"/>
    <mergeCell ref="AL16:AL17"/>
    <mergeCell ref="A68:D70"/>
    <mergeCell ref="P71:S71"/>
    <mergeCell ref="A86:C86"/>
    <mergeCell ref="D87:F87"/>
    <mergeCell ref="O92:P92"/>
    <mergeCell ref="A6:N6"/>
    <mergeCell ref="A39:D39"/>
    <mergeCell ref="P8:AL8"/>
    <mergeCell ref="P7:AL7"/>
    <mergeCell ref="G86:I86"/>
    <mergeCell ref="A96:H103"/>
    <mergeCell ref="P67:S67"/>
    <mergeCell ref="T92:W92"/>
    <mergeCell ref="R85:U85"/>
    <mergeCell ref="K71:N71"/>
    <mergeCell ref="S96:Z103"/>
    <mergeCell ref="A93:AL93"/>
    <mergeCell ref="A38:D38"/>
    <mergeCell ref="A67:D67"/>
    <mergeCell ref="I91:J91"/>
    <mergeCell ref="A85:C85"/>
    <mergeCell ref="K91:L91"/>
    <mergeCell ref="N86:Q86"/>
    <mergeCell ref="A7:N7"/>
    <mergeCell ref="P6:AL6"/>
    <mergeCell ref="A74:E74"/>
    <mergeCell ref="G85:I85"/>
    <mergeCell ref="G92:H92"/>
    <mergeCell ref="I92:J92"/>
    <mergeCell ref="R87:U87"/>
    <mergeCell ref="AK16:AK17"/>
    <mergeCell ref="J87:M87"/>
    <mergeCell ref="AJ16:AJ17"/>
    <mergeCell ref="J96:Q103"/>
    <mergeCell ref="A12:AL14"/>
    <mergeCell ref="Q92:S92"/>
    <mergeCell ref="A87:C87"/>
    <mergeCell ref="A47:D47"/>
  </mergeCells>
  <conditionalFormatting sqref="AJ18:AJ37">
    <cfRule type="dataBar" priority="1">
      <dataBar>
        <cfvo type="num" val="0"/>
        <cfvo type="num" val="1"/>
        <color rgb="0010B981"/>
      </dataBar>
    </cfRule>
  </conditionalFormatting>
  <conditionalFormatting sqref="E18:AI37">
    <cfRule type="cellIs" priority="2" operator="equal" dxfId="0">
      <formula>"✓"</formula>
    </cfRule>
    <cfRule type="cellIs" priority="3" operator="equal" dxfId="0">
      <formula>"✔"</formula>
    </cfRule>
    <cfRule type="cellIs" priority="4" operator="equal" dxfId="1">
      <formula>"✗"</formula>
    </cfRule>
    <cfRule type="cellIs" priority="5" operator="equal" dxfId="1">
      <formula>"x"</formula>
    </cfRule>
    <cfRule type="cellIs" priority="6" operator="equal" dxfId="1">
      <formula>"X"</formula>
    </cfRule>
  </conditionalFormatting>
  <conditionalFormatting sqref="E16:E17">
    <cfRule type="expression" priority="7" dxfId="2">
      <formula>AND(DAY(TODAY())=1, MONTH(TODAY())=3, YEAR(TODAY())=2029)</formula>
    </cfRule>
  </conditionalFormatting>
  <conditionalFormatting sqref="F16:F17">
    <cfRule type="expression" priority="8" dxfId="2">
      <formula>AND(DAY(TODAY())=2, MONTH(TODAY())=3, YEAR(TODAY())=2029)</formula>
    </cfRule>
  </conditionalFormatting>
  <conditionalFormatting sqref="G16:G17">
    <cfRule type="expression" priority="9" dxfId="2">
      <formula>AND(DAY(TODAY())=3, MONTH(TODAY())=3, YEAR(TODAY())=2029)</formula>
    </cfRule>
  </conditionalFormatting>
  <conditionalFormatting sqref="H16:H17">
    <cfRule type="expression" priority="10" dxfId="2">
      <formula>AND(DAY(TODAY())=4, MONTH(TODAY())=3, YEAR(TODAY())=2029)</formula>
    </cfRule>
  </conditionalFormatting>
  <conditionalFormatting sqref="I16:I17">
    <cfRule type="expression" priority="11" dxfId="2">
      <formula>AND(DAY(TODAY())=5, MONTH(TODAY())=3, YEAR(TODAY())=2029)</formula>
    </cfRule>
  </conditionalFormatting>
  <conditionalFormatting sqref="J16:J17">
    <cfRule type="expression" priority="12" dxfId="2">
      <formula>AND(DAY(TODAY())=6, MONTH(TODAY())=3, YEAR(TODAY())=2029)</formula>
    </cfRule>
  </conditionalFormatting>
  <conditionalFormatting sqref="K16:K17">
    <cfRule type="expression" priority="13" dxfId="2">
      <formula>AND(DAY(TODAY())=7, MONTH(TODAY())=3, YEAR(TODAY())=2029)</formula>
    </cfRule>
  </conditionalFormatting>
  <conditionalFormatting sqref="L16:L17">
    <cfRule type="expression" priority="14" dxfId="2">
      <formula>AND(DAY(TODAY())=8, MONTH(TODAY())=3, YEAR(TODAY())=2029)</formula>
    </cfRule>
  </conditionalFormatting>
  <conditionalFormatting sqref="M16:M17">
    <cfRule type="expression" priority="15" dxfId="2">
      <formula>AND(DAY(TODAY())=9, MONTH(TODAY())=3, YEAR(TODAY())=2029)</formula>
    </cfRule>
  </conditionalFormatting>
  <conditionalFormatting sqref="N16:N17">
    <cfRule type="expression" priority="16" dxfId="2">
      <formula>AND(DAY(TODAY())=10, MONTH(TODAY())=3, YEAR(TODAY())=2029)</formula>
    </cfRule>
  </conditionalFormatting>
  <conditionalFormatting sqref="O16:O17">
    <cfRule type="expression" priority="17" dxfId="2">
      <formula>AND(DAY(TODAY())=11, MONTH(TODAY())=3, YEAR(TODAY())=2029)</formula>
    </cfRule>
  </conditionalFormatting>
  <conditionalFormatting sqref="P16:P17">
    <cfRule type="expression" priority="18" dxfId="2">
      <formula>AND(DAY(TODAY())=12, MONTH(TODAY())=3, YEAR(TODAY())=2029)</formula>
    </cfRule>
  </conditionalFormatting>
  <conditionalFormatting sqref="Q16:Q17">
    <cfRule type="expression" priority="19" dxfId="2">
      <formula>AND(DAY(TODAY())=13, MONTH(TODAY())=3, YEAR(TODAY())=2029)</formula>
    </cfRule>
  </conditionalFormatting>
  <conditionalFormatting sqref="R16:R17">
    <cfRule type="expression" priority="20" dxfId="2">
      <formula>AND(DAY(TODAY())=14, MONTH(TODAY())=3, YEAR(TODAY())=2029)</formula>
    </cfRule>
  </conditionalFormatting>
  <conditionalFormatting sqref="S16:S17">
    <cfRule type="expression" priority="21" dxfId="2">
      <formula>AND(DAY(TODAY())=15, MONTH(TODAY())=3, YEAR(TODAY())=2029)</formula>
    </cfRule>
  </conditionalFormatting>
  <conditionalFormatting sqref="T16:T17">
    <cfRule type="expression" priority="22" dxfId="2">
      <formula>AND(DAY(TODAY())=16, MONTH(TODAY())=3, YEAR(TODAY())=2029)</formula>
    </cfRule>
  </conditionalFormatting>
  <conditionalFormatting sqref="U16:U17">
    <cfRule type="expression" priority="23" dxfId="2">
      <formula>AND(DAY(TODAY())=17, MONTH(TODAY())=3, YEAR(TODAY())=2029)</formula>
    </cfRule>
  </conditionalFormatting>
  <conditionalFormatting sqref="V16:V17">
    <cfRule type="expression" priority="24" dxfId="2">
      <formula>AND(DAY(TODAY())=18, MONTH(TODAY())=3, YEAR(TODAY())=2029)</formula>
    </cfRule>
  </conditionalFormatting>
  <conditionalFormatting sqref="W16:W17">
    <cfRule type="expression" priority="25" dxfId="2">
      <formula>AND(DAY(TODAY())=19, MONTH(TODAY())=3, YEAR(TODAY())=2029)</formula>
    </cfRule>
  </conditionalFormatting>
  <conditionalFormatting sqref="X16:X17">
    <cfRule type="expression" priority="26" dxfId="2">
      <formula>AND(DAY(TODAY())=20, MONTH(TODAY())=3, YEAR(TODAY())=2029)</formula>
    </cfRule>
  </conditionalFormatting>
  <conditionalFormatting sqref="Y16:Y17">
    <cfRule type="expression" priority="27" dxfId="2">
      <formula>AND(DAY(TODAY())=21, MONTH(TODAY())=3, YEAR(TODAY())=2029)</formula>
    </cfRule>
  </conditionalFormatting>
  <conditionalFormatting sqref="Z16:Z17">
    <cfRule type="expression" priority="28" dxfId="2">
      <formula>AND(DAY(TODAY())=22, MONTH(TODAY())=3, YEAR(TODAY())=2029)</formula>
    </cfRule>
  </conditionalFormatting>
  <conditionalFormatting sqref="AA16:AA17">
    <cfRule type="expression" priority="29" dxfId="2">
      <formula>AND(DAY(TODAY())=23, MONTH(TODAY())=3, YEAR(TODAY())=2029)</formula>
    </cfRule>
  </conditionalFormatting>
  <conditionalFormatting sqref="AB16:AB17">
    <cfRule type="expression" priority="30" dxfId="2">
      <formula>AND(DAY(TODAY())=24, MONTH(TODAY())=3, YEAR(TODAY())=2029)</formula>
    </cfRule>
  </conditionalFormatting>
  <conditionalFormatting sqref="AC16:AC17">
    <cfRule type="expression" priority="31" dxfId="2">
      <formula>AND(DAY(TODAY())=25, MONTH(TODAY())=3, YEAR(TODAY())=2029)</formula>
    </cfRule>
  </conditionalFormatting>
  <conditionalFormatting sqref="AD16:AD17">
    <cfRule type="expression" priority="32" dxfId="2">
      <formula>AND(DAY(TODAY())=26, MONTH(TODAY())=3, YEAR(TODAY())=2029)</formula>
    </cfRule>
  </conditionalFormatting>
  <conditionalFormatting sqref="AE16:AE17">
    <cfRule type="expression" priority="33" dxfId="2">
      <formula>AND(DAY(TODAY())=27, MONTH(TODAY())=3, YEAR(TODAY())=2029)</formula>
    </cfRule>
  </conditionalFormatting>
  <conditionalFormatting sqref="AF16:AF17">
    <cfRule type="expression" priority="34" dxfId="2">
      <formula>AND(DAY(TODAY())=28, MONTH(TODAY())=3, YEAR(TODAY())=2029)</formula>
    </cfRule>
  </conditionalFormatting>
  <conditionalFormatting sqref="AG16:AG17">
    <cfRule type="expression" priority="35" dxfId="2">
      <formula>AND(DAY(TODAY())=29, MONTH(TODAY())=3, YEAR(TODAY())=2029)</formula>
    </cfRule>
  </conditionalFormatting>
  <conditionalFormatting sqref="AH16:AH17">
    <cfRule type="expression" priority="36" dxfId="2">
      <formula>AND(DAY(TODAY())=30, MONTH(TODAY())=3, YEAR(TODAY())=2029)</formula>
    </cfRule>
  </conditionalFormatting>
  <conditionalFormatting sqref="AI16:AI17">
    <cfRule type="expression" priority="37" dxfId="2">
      <formula>AND(DAY(TODAY())=31, MONTH(TODAY())=3, YEAR(TODAY())=2029)</formula>
    </cfRule>
  </conditionalFormatting>
  <dataValidations count="4">
    <dataValidation sqref="C18:C37" showDropDown="0" showInputMessage="0" showErrorMessage="0" allowBlank="1" type="list">
      <formula1>"Health &amp; Fitness,Mindset &amp; Learning,Career &amp; Focus,Personal &amp; Home,Finance &amp; Wealth,Other"</formula1>
    </dataValidation>
    <dataValidation sqref="D18:D37" showDropDown="0" showInputMessage="0" showErrorMessage="0" allowBlank="1" type="list">
      <formula1>"1,2,3,4,5,6,7,8,9,10,11,12,13,14,15,16,17,18,19,20,21,22,23,24,25,26,27,28,29,30,31"</formula1>
    </dataValidation>
    <dataValidation sqref="E18:AI37" showDropDown="0" showInputMessage="0" showErrorMessage="0" allowBlank="1" type="list">
      <formula1>"✓,✗"</formula1>
    </dataValidation>
    <dataValidation sqref="E47:AI47" showDropDown="0" showInputMessage="0" showErrorMessage="0" allowBlank="1" type="list">
      <formula1>"1,2,3,4,5,6,7,8,9,10,11,12,13,14,15,16,17,18,19,20,21,22,23,24"</formula1>
    </dataValidation>
  </dataValidations>
  <hyperlinks>
    <hyperlink xmlns:r="http://schemas.openxmlformats.org/officeDocument/2006/relationships" ref="A1" r:id="rId1"/>
    <hyperlink xmlns:r="http://schemas.openxmlformats.org/officeDocument/2006/relationships" ref="C1" r:id="rId2"/>
    <hyperlink xmlns:r="http://schemas.openxmlformats.org/officeDocument/2006/relationships" ref="D1" r:id="rId3"/>
    <hyperlink xmlns:r="http://schemas.openxmlformats.org/officeDocument/2006/relationships" ref="E1" r:id="rId4"/>
    <hyperlink xmlns:r="http://schemas.openxmlformats.org/officeDocument/2006/relationships" ref="F1" r:id="rId5"/>
    <hyperlink xmlns:r="http://schemas.openxmlformats.org/officeDocument/2006/relationships" ref="G1" r:id="rId6"/>
    <hyperlink xmlns:r="http://schemas.openxmlformats.org/officeDocument/2006/relationships" ref="H1" r:id="rId7"/>
    <hyperlink xmlns:r="http://schemas.openxmlformats.org/officeDocument/2006/relationships" ref="I1" r:id="rId8"/>
    <hyperlink xmlns:r="http://schemas.openxmlformats.org/officeDocument/2006/relationships" ref="J1" r:id="rId9"/>
    <hyperlink xmlns:r="http://schemas.openxmlformats.org/officeDocument/2006/relationships" ref="K1" r:id="rId10"/>
  </hyperlinks>
  <printOptions horizontalCentered="1" verticalCentered="0"/>
  <pageMargins left="0.75" right="0.75" top="1" bottom="1" header="0.5" footer="0.5"/>
  <pageSetup orientation="landscape" paperSize="9" fitToHeight="0" fitToWidth="1"/>
  <drawing xmlns:r="http://schemas.openxmlformats.org/officeDocument/2006/relationships" r:id="rId11"/>
</worksheet>
</file>

<file path=xl/worksheets/sheet35.xml><?xml version="1.0" encoding="utf-8"?>
<worksheet xmlns="http://schemas.openxmlformats.org/spreadsheetml/2006/main">
  <sheetPr>
    <outlinePr summaryBelow="1" summaryRight="1"/>
    <pageSetUpPr fitToPage="1"/>
  </sheetPr>
  <dimension ref="A1:AL103"/>
  <sheetViews>
    <sheetView showGridLines="1" workbookViewId="0">
      <selection activeCell="A1" sqref="A1"/>
    </sheetView>
  </sheetViews>
  <sheetFormatPr baseColWidth="8" defaultRowHeight="15"/>
  <cols>
    <col width="6" customWidth="1" min="1" max="1"/>
    <col width="25" customWidth="1" min="2" max="2"/>
    <col width="16.5" customWidth="1" min="3" max="3"/>
    <col width="8" customWidth="1" min="4" max="4"/>
    <col width="4.8" customWidth="1" min="5" max="5"/>
    <col width="4.8" customWidth="1" min="6" max="6"/>
    <col width="4.8" customWidth="1" min="7" max="7"/>
    <col width="4.8" customWidth="1" min="8" max="8"/>
    <col width="4.8" customWidth="1" min="9" max="9"/>
    <col width="4.8" customWidth="1" min="10" max="10"/>
    <col width="4.8" customWidth="1" min="11" max="11"/>
    <col width="4.8" customWidth="1" min="12" max="12"/>
    <col width="4.8" customWidth="1" min="13" max="13"/>
    <col width="4.8" customWidth="1" min="14" max="14"/>
    <col width="4.8" customWidth="1" min="15" max="15"/>
    <col width="4.8" customWidth="1" min="16" max="16"/>
    <col width="4.8" customWidth="1" min="17" max="17"/>
    <col width="4.8" customWidth="1" min="18" max="18"/>
    <col width="4.8" customWidth="1" min="19" max="19"/>
    <col width="4.8" customWidth="1" min="20" max="20"/>
    <col width="4.8" customWidth="1" min="21" max="21"/>
    <col width="4.8" customWidth="1" min="22" max="22"/>
    <col width="4.8" customWidth="1" min="23" max="23"/>
    <col width="4.8" customWidth="1" min="24" max="24"/>
    <col width="4.8" customWidth="1" min="25" max="25"/>
    <col width="4.8" customWidth="1" min="26" max="26"/>
    <col width="4.8" customWidth="1" min="27" max="27"/>
    <col width="4.8" customWidth="1" min="28" max="28"/>
    <col width="4.8" customWidth="1" min="29" max="29"/>
    <col width="4.8" customWidth="1" min="30" max="30"/>
    <col width="4.8" customWidth="1" min="31" max="31"/>
    <col width="4.8" customWidth="1" min="32" max="32"/>
    <col width="4.8" customWidth="1" min="33" max="33"/>
    <col width="4.8" customWidth="1" min="34" max="34"/>
    <col width="11.5" customWidth="1" min="35" max="35"/>
    <col width="12" customWidth="1" min="36" max="36"/>
    <col width="13.5" customWidth="1" min="37" max="37"/>
    <col hidden="1" width="8" customWidth="1" min="38" max="38"/>
  </cols>
  <sheetData>
    <row r="1" ht="18" customHeight="1">
      <c r="A1" s="76" t="inlineStr">
        <is>
          <t>🏠 Master Dashboard</t>
        </is>
      </c>
      <c r="B1" s="40" t="n"/>
      <c r="C1" s="77" t="inlineStr">
        <is>
          <t>🏛️ Quarterly Hub</t>
        </is>
      </c>
      <c r="D1" s="78" t="inlineStr">
        <is>
          <t>📚 Habit Library</t>
        </is>
      </c>
      <c r="E1" s="80" t="inlineStr">
        <is>
          <t>2026</t>
        </is>
      </c>
      <c r="F1" s="80" t="inlineStr">
        <is>
          <t>2027</t>
        </is>
      </c>
      <c r="G1" s="80" t="inlineStr">
        <is>
          <t>2028</t>
        </is>
      </c>
      <c r="H1" s="79" t="inlineStr">
        <is>
          <t>2029</t>
        </is>
      </c>
      <c r="I1" s="80" t="inlineStr">
        <is>
          <t>2030</t>
        </is>
      </c>
      <c r="J1" s="82" t="inlineStr">
        <is>
          <t>◀ Prev</t>
        </is>
      </c>
      <c r="K1" s="82" t="inlineStr">
        <is>
          <t>Next ▶</t>
        </is>
      </c>
    </row>
    <row r="2" ht="24" customHeight="1">
      <c r="A2" s="83" t="inlineStr">
        <is>
          <t>Habit Tracker</t>
        </is>
      </c>
      <c r="H2" s="84" t="inlineStr">
        <is>
          <t>"Success is the sum of small efforts repeated daily."</t>
        </is>
      </c>
      <c r="AD2" s="85" t="inlineStr">
        <is>
          <t>@surajvansh</t>
        </is>
      </c>
    </row>
    <row r="3" ht="18" customHeight="1">
      <c r="A3" s="86" t="inlineStr">
        <is>
          <t>April 2029</t>
        </is>
      </c>
      <c r="H3" s="87" t="inlineStr">
        <is>
          <t>30 Days Dashboard</t>
        </is>
      </c>
    </row>
    <row r="4" ht="5" customHeight="1"/>
    <row r="5" ht="16" customHeight="1">
      <c r="A5" s="88" t="inlineStr">
        <is>
          <t>MONTHLY TARGETS</t>
        </is>
      </c>
    </row>
    <row r="6" ht="13" customHeight="1">
      <c r="A6" s="89" t="inlineStr">
        <is>
          <t>1. ____________________ : ____________________</t>
        </is>
      </c>
      <c r="P6" s="89" t="inlineStr">
        <is>
          <t>5. ____________________ : ____________________</t>
        </is>
      </c>
    </row>
    <row r="7" ht="13" customHeight="1">
      <c r="A7" s="89" t="inlineStr">
        <is>
          <t>2. ____________________ : ____________________</t>
        </is>
      </c>
      <c r="P7" s="89" t="inlineStr">
        <is>
          <t>6. ____________________ : ____________________</t>
        </is>
      </c>
    </row>
    <row r="8" ht="13" customHeight="1">
      <c r="A8" s="89" t="inlineStr">
        <is>
          <t>3. ____________________ : ____________________</t>
        </is>
      </c>
      <c r="P8" s="89" t="inlineStr">
        <is>
          <t>7. ____________________ : ____________________</t>
        </is>
      </c>
    </row>
    <row r="9" ht="13" customHeight="1">
      <c r="A9" s="89" t="inlineStr">
        <is>
          <t>4. ____________________ : ____________________</t>
        </is>
      </c>
      <c r="P9" s="89" t="inlineStr">
        <is>
          <t>8. ____________________ : ____________________</t>
        </is>
      </c>
    </row>
    <row r="10" ht="5" customHeight="1"/>
    <row r="11" ht="15" customHeight="1">
      <c r="A11" s="88" t="inlineStr">
        <is>
          <t>NOTES:</t>
        </is>
      </c>
    </row>
    <row r="12" ht="13" customHeight="1">
      <c r="A12" s="90" t="n"/>
      <c r="B12" s="91" t="n"/>
      <c r="C12" s="91" t="n"/>
      <c r="D12" s="91" t="n"/>
      <c r="E12" s="91" t="n"/>
      <c r="F12" s="91" t="n"/>
      <c r="G12" s="91" t="n"/>
      <c r="H12" s="91" t="n"/>
      <c r="I12" s="91" t="n"/>
      <c r="J12" s="91" t="n"/>
      <c r="K12" s="91" t="n"/>
      <c r="L12" s="91" t="n"/>
      <c r="M12" s="91" t="n"/>
      <c r="N12" s="91" t="n"/>
      <c r="O12" s="91" t="n"/>
      <c r="P12" s="91" t="n"/>
      <c r="Q12" s="91" t="n"/>
      <c r="R12" s="91" t="n"/>
      <c r="S12" s="91" t="n"/>
      <c r="T12" s="91" t="n"/>
      <c r="U12" s="91" t="n"/>
      <c r="V12" s="91" t="n"/>
      <c r="W12" s="91" t="n"/>
      <c r="X12" s="91" t="n"/>
      <c r="Y12" s="91" t="n"/>
      <c r="Z12" s="91" t="n"/>
      <c r="AA12" s="91" t="n"/>
      <c r="AB12" s="91" t="n"/>
      <c r="AC12" s="91" t="n"/>
      <c r="AD12" s="91" t="n"/>
      <c r="AE12" s="91" t="n"/>
      <c r="AF12" s="91" t="n"/>
      <c r="AG12" s="91" t="n"/>
      <c r="AH12" s="91" t="n"/>
      <c r="AI12" s="91" t="n"/>
      <c r="AJ12" s="91" t="n"/>
      <c r="AK12" s="91" t="n"/>
    </row>
    <row r="13" ht="13" customHeight="1">
      <c r="A13" s="91" t="n"/>
      <c r="B13" s="91" t="n"/>
      <c r="C13" s="91" t="n"/>
      <c r="D13" s="91" t="n"/>
      <c r="E13" s="91" t="n"/>
      <c r="F13" s="91" t="n"/>
      <c r="G13" s="91" t="n"/>
      <c r="H13" s="91" t="n"/>
      <c r="I13" s="91" t="n"/>
      <c r="J13" s="91" t="n"/>
      <c r="K13" s="91" t="n"/>
      <c r="L13" s="91" t="n"/>
      <c r="M13" s="91" t="n"/>
      <c r="N13" s="91" t="n"/>
      <c r="O13" s="91" t="n"/>
      <c r="P13" s="91" t="n"/>
      <c r="Q13" s="91" t="n"/>
      <c r="R13" s="91" t="n"/>
      <c r="S13" s="91" t="n"/>
      <c r="T13" s="91" t="n"/>
      <c r="U13" s="91" t="n"/>
      <c r="V13" s="91" t="n"/>
      <c r="W13" s="91" t="n"/>
      <c r="X13" s="91" t="n"/>
      <c r="Y13" s="91" t="n"/>
      <c r="Z13" s="91" t="n"/>
      <c r="AA13" s="91" t="n"/>
      <c r="AB13" s="91" t="n"/>
      <c r="AC13" s="91" t="n"/>
      <c r="AD13" s="91" t="n"/>
      <c r="AE13" s="91" t="n"/>
      <c r="AF13" s="91" t="n"/>
      <c r="AG13" s="91" t="n"/>
      <c r="AH13" s="91" t="n"/>
      <c r="AI13" s="91" t="n"/>
      <c r="AJ13" s="91" t="n"/>
      <c r="AK13" s="91" t="n"/>
    </row>
    <row r="14" ht="13" customHeight="1">
      <c r="A14" s="91" t="n"/>
      <c r="B14" s="91" t="n"/>
      <c r="C14" s="91" t="n"/>
      <c r="D14" s="91" t="n"/>
      <c r="E14" s="91" t="n"/>
      <c r="F14" s="91" t="n"/>
      <c r="G14" s="91" t="n"/>
      <c r="H14" s="91" t="n"/>
      <c r="I14" s="91" t="n"/>
      <c r="J14" s="91" t="n"/>
      <c r="K14" s="91" t="n"/>
      <c r="L14" s="91" t="n"/>
      <c r="M14" s="91" t="n"/>
      <c r="N14" s="91" t="n"/>
      <c r="O14" s="91" t="n"/>
      <c r="P14" s="91" t="n"/>
      <c r="Q14" s="91" t="n"/>
      <c r="R14" s="91" t="n"/>
      <c r="S14" s="91" t="n"/>
      <c r="T14" s="91" t="n"/>
      <c r="U14" s="91" t="n"/>
      <c r="V14" s="91" t="n"/>
      <c r="W14" s="91" t="n"/>
      <c r="X14" s="91" t="n"/>
      <c r="Y14" s="91" t="n"/>
      <c r="Z14" s="91" t="n"/>
      <c r="AA14" s="91" t="n"/>
      <c r="AB14" s="91" t="n"/>
      <c r="AC14" s="91" t="n"/>
      <c r="AD14" s="91" t="n"/>
      <c r="AE14" s="91" t="n"/>
      <c r="AF14" s="91" t="n"/>
      <c r="AG14" s="91" t="n"/>
      <c r="AH14" s="91" t="n"/>
      <c r="AI14" s="91" t="n"/>
      <c r="AJ14" s="91" t="n"/>
      <c r="AK14" s="91" t="n"/>
    </row>
    <row r="15" ht="8" customHeight="1"/>
    <row r="16" ht="15" customHeight="1">
      <c r="A16" s="33" t="inlineStr">
        <is>
          <t>S.No.</t>
        </is>
      </c>
      <c r="B16" s="33" t="inlineStr">
        <is>
          <t>Protocols</t>
        </is>
      </c>
      <c r="C16" s="33" t="inlineStr">
        <is>
          <t>Category</t>
        </is>
      </c>
      <c r="D16" s="33" t="inlineStr">
        <is>
          <t>Target</t>
        </is>
      </c>
      <c r="E16" s="93" t="n">
        <v>1</v>
      </c>
      <c r="F16" s="92" t="n">
        <v>2</v>
      </c>
      <c r="G16" s="92" t="n">
        <v>3</v>
      </c>
      <c r="H16" s="92" t="n">
        <v>4</v>
      </c>
      <c r="I16" s="92" t="n">
        <v>5</v>
      </c>
      <c r="J16" s="92" t="n">
        <v>6</v>
      </c>
      <c r="K16" s="92" t="n">
        <v>7</v>
      </c>
      <c r="L16" s="93" t="n">
        <v>8</v>
      </c>
      <c r="M16" s="92" t="n">
        <v>9</v>
      </c>
      <c r="N16" s="92" t="n">
        <v>10</v>
      </c>
      <c r="O16" s="92" t="n">
        <v>11</v>
      </c>
      <c r="P16" s="92" t="n">
        <v>12</v>
      </c>
      <c r="Q16" s="92" t="n">
        <v>13</v>
      </c>
      <c r="R16" s="92" t="n">
        <v>14</v>
      </c>
      <c r="S16" s="93" t="n">
        <v>15</v>
      </c>
      <c r="T16" s="92" t="n">
        <v>16</v>
      </c>
      <c r="U16" s="92" t="n">
        <v>17</v>
      </c>
      <c r="V16" s="92" t="n">
        <v>18</v>
      </c>
      <c r="W16" s="92" t="n">
        <v>19</v>
      </c>
      <c r="X16" s="92" t="n">
        <v>20</v>
      </c>
      <c r="Y16" s="92" t="n">
        <v>21</v>
      </c>
      <c r="Z16" s="93" t="n">
        <v>22</v>
      </c>
      <c r="AA16" s="92" t="n">
        <v>23</v>
      </c>
      <c r="AB16" s="92" t="n">
        <v>24</v>
      </c>
      <c r="AC16" s="92" t="n">
        <v>25</v>
      </c>
      <c r="AD16" s="92" t="n">
        <v>26</v>
      </c>
      <c r="AE16" s="92" t="n">
        <v>27</v>
      </c>
      <c r="AF16" s="92" t="n">
        <v>28</v>
      </c>
      <c r="AG16" s="93" t="n">
        <v>29</v>
      </c>
      <c r="AH16" s="92" t="n">
        <v>30</v>
      </c>
      <c r="AI16" s="94" t="inlineStr">
        <is>
          <t>Success %</t>
        </is>
      </c>
      <c r="AJ16" s="94" t="inlineStr">
        <is>
          <t>Done / Target</t>
        </is>
      </c>
      <c r="AK16" s="94" t="inlineStr">
        <is>
          <t>Status</t>
        </is>
      </c>
      <c r="AL16" t="inlineStr">
        <is>
          <t>Done Count</t>
        </is>
      </c>
    </row>
    <row r="17" ht="15" customHeight="1">
      <c r="A17" s="54" t="n"/>
      <c r="B17" s="54" t="n"/>
      <c r="C17" s="54" t="n"/>
      <c r="D17" s="54" t="n"/>
      <c r="E17" s="96" t="inlineStr">
        <is>
          <t>Su</t>
        </is>
      </c>
      <c r="F17" s="95" t="inlineStr">
        <is>
          <t>M</t>
        </is>
      </c>
      <c r="G17" s="95" t="inlineStr">
        <is>
          <t>T</t>
        </is>
      </c>
      <c r="H17" s="95" t="inlineStr">
        <is>
          <t>W</t>
        </is>
      </c>
      <c r="I17" s="95" t="inlineStr">
        <is>
          <t>Th</t>
        </is>
      </c>
      <c r="J17" s="95" t="inlineStr">
        <is>
          <t>F</t>
        </is>
      </c>
      <c r="K17" s="95" t="inlineStr">
        <is>
          <t>Sa</t>
        </is>
      </c>
      <c r="L17" s="96" t="inlineStr">
        <is>
          <t>Su</t>
        </is>
      </c>
      <c r="M17" s="95" t="inlineStr">
        <is>
          <t>M</t>
        </is>
      </c>
      <c r="N17" s="95" t="inlineStr">
        <is>
          <t>T</t>
        </is>
      </c>
      <c r="O17" s="95" t="inlineStr">
        <is>
          <t>W</t>
        </is>
      </c>
      <c r="P17" s="95" t="inlineStr">
        <is>
          <t>Th</t>
        </is>
      </c>
      <c r="Q17" s="95" t="inlineStr">
        <is>
          <t>F</t>
        </is>
      </c>
      <c r="R17" s="95" t="inlineStr">
        <is>
          <t>Sa</t>
        </is>
      </c>
      <c r="S17" s="96" t="inlineStr">
        <is>
          <t>Su</t>
        </is>
      </c>
      <c r="T17" s="95" t="inlineStr">
        <is>
          <t>M</t>
        </is>
      </c>
      <c r="U17" s="95" t="inlineStr">
        <is>
          <t>T</t>
        </is>
      </c>
      <c r="V17" s="95" t="inlineStr">
        <is>
          <t>W</t>
        </is>
      </c>
      <c r="W17" s="95" t="inlineStr">
        <is>
          <t>Th</t>
        </is>
      </c>
      <c r="X17" s="95" t="inlineStr">
        <is>
          <t>F</t>
        </is>
      </c>
      <c r="Y17" s="95" t="inlineStr">
        <is>
          <t>Sa</t>
        </is>
      </c>
      <c r="Z17" s="96" t="inlineStr">
        <is>
          <t>Su</t>
        </is>
      </c>
      <c r="AA17" s="95" t="inlineStr">
        <is>
          <t>M</t>
        </is>
      </c>
      <c r="AB17" s="95" t="inlineStr">
        <is>
          <t>T</t>
        </is>
      </c>
      <c r="AC17" s="95" t="inlineStr">
        <is>
          <t>W</t>
        </is>
      </c>
      <c r="AD17" s="95" t="inlineStr">
        <is>
          <t>Th</t>
        </is>
      </c>
      <c r="AE17" s="95" t="inlineStr">
        <is>
          <t>F</t>
        </is>
      </c>
      <c r="AF17" s="95" t="inlineStr">
        <is>
          <t>Sa</t>
        </is>
      </c>
      <c r="AG17" s="96" t="inlineStr">
        <is>
          <t>Su</t>
        </is>
      </c>
      <c r="AH17" s="95" t="inlineStr">
        <is>
          <t>M</t>
        </is>
      </c>
      <c r="AI17" s="54" t="n"/>
      <c r="AJ17" s="54" t="n"/>
      <c r="AK17" s="54" t="n"/>
    </row>
    <row r="18" ht="14.5" customHeight="1">
      <c r="A18" s="97" t="n">
        <v>1</v>
      </c>
      <c r="B18" s="98" t="n"/>
      <c r="C18" s="99" t="n"/>
      <c r="D18" s="99" t="n"/>
      <c r="E18" s="101" t="n"/>
      <c r="F18" s="100" t="n"/>
      <c r="G18" s="100" t="n"/>
      <c r="H18" s="100" t="n"/>
      <c r="I18" s="100" t="n"/>
      <c r="J18" s="100" t="n"/>
      <c r="K18" s="100" t="n"/>
      <c r="L18" s="101" t="n"/>
      <c r="M18" s="100" t="n"/>
      <c r="N18" s="100" t="n"/>
      <c r="O18" s="100" t="n"/>
      <c r="P18" s="100" t="n"/>
      <c r="Q18" s="100" t="n"/>
      <c r="R18" s="100" t="n"/>
      <c r="S18" s="101" t="n"/>
      <c r="T18" s="100" t="n"/>
      <c r="U18" s="100" t="n"/>
      <c r="V18" s="100" t="n"/>
      <c r="W18" s="100" t="n"/>
      <c r="X18" s="100" t="n"/>
      <c r="Y18" s="100" t="n"/>
      <c r="Z18" s="101" t="n"/>
      <c r="AA18" s="100" t="n"/>
      <c r="AB18" s="100" t="n"/>
      <c r="AC18" s="100" t="n"/>
      <c r="AD18" s="100" t="n"/>
      <c r="AE18" s="100" t="n"/>
      <c r="AF18" s="100" t="n"/>
      <c r="AG18" s="101" t="n"/>
      <c r="AH18" s="100" t="n"/>
      <c r="AI18" s="102">
        <f>IF(ISBLANK(B18), "", IF(ISNUMBER(D18), IF(D18&gt;0, (COUNTIF(E18:AH18, "✓") + COUNTIF(E18:AH18, "✔") + COUNTIF(E18:AH18, "v") + COUNTIF(E18:AH18, "V"))/D18, 0), IF(((COUNTIF(E18:AH18, "✓") + COUNTIF(E18:AH18, "✔") + COUNTIF(E18:AH18, "v") + COUNTIF(E18:AH18, "V")) + COUNTIF(E18:AH18, "✗") + COUNTIF(E18:AH18, "x") + COUNTIF(E18:AH18, "X"))&gt;0, (COUNTIF(E18:AH18, "✓") + COUNTIF(E18:AH18, "✔") + COUNTIF(E18:AH18, "v") + COUNTIF(E18:AH18, "V"))/((COUNTIF(E18:AH18, "✓") + COUNTIF(E18:AH18, "✔") + COUNTIF(E18:AH18, "v") + COUNTIF(E18:AH18, "V")) + COUNTIF(E18:AH18, "✗") + COUNTIF(E18:AH18, "x") + COUNTIF(E18:AH18, "X")), "")))</f>
        <v/>
      </c>
      <c r="AJ18" s="103">
        <f>IF(ISBLANK(B18), "", IF(ISNUMBER(D18), IF(D18&gt;0, (COUNTIF(E18:AH18, "✓") + COUNTIF(E18:AH18, "✔") + COUNTIF(E18:AH18, "v") + COUNTIF(E18:AH18, "V")) &amp; "/" &amp; D18, (COUNTIF(E18:AH18, "✓") + COUNTIF(E18:AH18, "✔") + COUNTIF(E18:AH18, "v") + COUNTIF(E18:AH18, "V")) &amp; "/0"), IF(((COUNTIF(E18:AH18, "✓") + COUNTIF(E18:AH18, "✔") + COUNTIF(E18:AH18, "v") + COUNTIF(E18:AH18, "V")) + COUNTIF(E18:AH18, "✗") + COUNTIF(E18:AH18, "x") + COUNTIF(E18:AH18, "X"))&gt;0, (COUNTIF(E18:AH18, "✓") + COUNTIF(E18:AH18, "✔") + COUNTIF(E18:AH18, "v") + COUNTIF(E18:AH18, "V")) &amp; "/" &amp; ((COUNTIF(E18:AH18, "✓") + COUNTIF(E18:AH18, "✔") + COUNTIF(E18:AH18, "v") + COUNTIF(E18:AH18, "V")) + COUNTIF(E18:AH18, "✗") + COUNTIF(E18:AH18, "x") + COUNTIF(E18:AH18, "X")), "")))</f>
        <v/>
      </c>
      <c r="AK18" s="103">
        <f>IF(ISBLANK(B18), "", IF(AI18&gt;=0.85, "🔥 Mastered", IF(AI18&gt;=0.7, "⚡ Consistent", "⚠️ Needs Focus")))</f>
        <v/>
      </c>
      <c r="AL18">
        <f>COUNTIF(E18:AH18, "✓")</f>
        <v/>
      </c>
    </row>
    <row r="19" ht="14.5" customHeight="1">
      <c r="A19" s="97" t="n">
        <v>2</v>
      </c>
      <c r="B19" s="98" t="n"/>
      <c r="C19" s="99" t="n"/>
      <c r="D19" s="99" t="n"/>
      <c r="E19" s="101" t="n"/>
      <c r="F19" s="100" t="n"/>
      <c r="G19" s="100" t="n"/>
      <c r="H19" s="100" t="n"/>
      <c r="I19" s="100" t="n"/>
      <c r="J19" s="100" t="n"/>
      <c r="K19" s="100" t="n"/>
      <c r="L19" s="101" t="n"/>
      <c r="M19" s="100" t="n"/>
      <c r="N19" s="100" t="n"/>
      <c r="O19" s="100" t="n"/>
      <c r="P19" s="100" t="n"/>
      <c r="Q19" s="100" t="n"/>
      <c r="R19" s="100" t="n"/>
      <c r="S19" s="101" t="n"/>
      <c r="T19" s="100" t="n"/>
      <c r="U19" s="100" t="n"/>
      <c r="V19" s="100" t="n"/>
      <c r="W19" s="100" t="n"/>
      <c r="X19" s="100" t="n"/>
      <c r="Y19" s="100" t="n"/>
      <c r="Z19" s="101" t="n"/>
      <c r="AA19" s="100" t="n"/>
      <c r="AB19" s="100" t="n"/>
      <c r="AC19" s="100" t="n"/>
      <c r="AD19" s="100" t="n"/>
      <c r="AE19" s="100" t="n"/>
      <c r="AF19" s="100" t="n"/>
      <c r="AG19" s="101" t="n"/>
      <c r="AH19" s="100" t="n"/>
      <c r="AI19" s="102">
        <f>IF(ISBLANK(B19), "", IF(ISNUMBER(D19), IF(D19&gt;0, (COUNTIF(E19:AH19, "✓") + COUNTIF(E19:AH19, "✔") + COUNTIF(E19:AH19, "v") + COUNTIF(E19:AH19, "V"))/D19, 0), IF(((COUNTIF(E19:AH19, "✓") + COUNTIF(E19:AH19, "✔") + COUNTIF(E19:AH19, "v") + COUNTIF(E19:AH19, "V")) + COUNTIF(E19:AH19, "✗") + COUNTIF(E19:AH19, "x") + COUNTIF(E19:AH19, "X"))&gt;0, (COUNTIF(E19:AH19, "✓") + COUNTIF(E19:AH19, "✔") + COUNTIF(E19:AH19, "v") + COUNTIF(E19:AH19, "V"))/((COUNTIF(E19:AH19, "✓") + COUNTIF(E19:AH19, "✔") + COUNTIF(E19:AH19, "v") + COUNTIF(E19:AH19, "V")) + COUNTIF(E19:AH19, "✗") + COUNTIF(E19:AH19, "x") + COUNTIF(E19:AH19, "X")), "")))</f>
        <v/>
      </c>
      <c r="AJ19" s="103">
        <f>IF(ISBLANK(B19), "", IF(ISNUMBER(D19), IF(D19&gt;0, (COUNTIF(E19:AH19, "✓") + COUNTIF(E19:AH19, "✔") + COUNTIF(E19:AH19, "v") + COUNTIF(E19:AH19, "V")) &amp; "/" &amp; D19, (COUNTIF(E19:AH19, "✓") + COUNTIF(E19:AH19, "✔") + COUNTIF(E19:AH19, "v") + COUNTIF(E19:AH19, "V")) &amp; "/0"), IF(((COUNTIF(E19:AH19, "✓") + COUNTIF(E19:AH19, "✔") + COUNTIF(E19:AH19, "v") + COUNTIF(E19:AH19, "V")) + COUNTIF(E19:AH19, "✗") + COUNTIF(E19:AH19, "x") + COUNTIF(E19:AH19, "X"))&gt;0, (COUNTIF(E19:AH19, "✓") + COUNTIF(E19:AH19, "✔") + COUNTIF(E19:AH19, "v") + COUNTIF(E19:AH19, "V")) &amp; "/" &amp; ((COUNTIF(E19:AH19, "✓") + COUNTIF(E19:AH19, "✔") + COUNTIF(E19:AH19, "v") + COUNTIF(E19:AH19, "V")) + COUNTIF(E19:AH19, "✗") + COUNTIF(E19:AH19, "x") + COUNTIF(E19:AH19, "X")), "")))</f>
        <v/>
      </c>
      <c r="AK19" s="103">
        <f>IF(ISBLANK(B19), "", IF(AI19&gt;=0.85, "🔥 Mastered", IF(AI19&gt;=0.7, "⚡ Consistent", "⚠️ Needs Focus")))</f>
        <v/>
      </c>
      <c r="AL19">
        <f>COUNTIF(E19:AH19, "✓")</f>
        <v/>
      </c>
    </row>
    <row r="20" ht="14.5" customHeight="1">
      <c r="A20" s="97" t="n">
        <v>3</v>
      </c>
      <c r="B20" s="98" t="n"/>
      <c r="C20" s="99" t="n"/>
      <c r="D20" s="99" t="n"/>
      <c r="E20" s="101" t="n"/>
      <c r="F20" s="100" t="n"/>
      <c r="G20" s="100" t="n"/>
      <c r="H20" s="100" t="n"/>
      <c r="I20" s="100" t="n"/>
      <c r="J20" s="100" t="n"/>
      <c r="K20" s="100" t="n"/>
      <c r="L20" s="101" t="n"/>
      <c r="M20" s="100" t="n"/>
      <c r="N20" s="100" t="n"/>
      <c r="O20" s="100" t="n"/>
      <c r="P20" s="100" t="n"/>
      <c r="Q20" s="100" t="n"/>
      <c r="R20" s="100" t="n"/>
      <c r="S20" s="101" t="n"/>
      <c r="T20" s="100" t="n"/>
      <c r="U20" s="100" t="n"/>
      <c r="V20" s="100" t="n"/>
      <c r="W20" s="100" t="n"/>
      <c r="X20" s="100" t="n"/>
      <c r="Y20" s="100" t="n"/>
      <c r="Z20" s="101" t="n"/>
      <c r="AA20" s="100" t="n"/>
      <c r="AB20" s="100" t="n"/>
      <c r="AC20" s="100" t="n"/>
      <c r="AD20" s="100" t="n"/>
      <c r="AE20" s="100" t="n"/>
      <c r="AF20" s="100" t="n"/>
      <c r="AG20" s="101" t="n"/>
      <c r="AH20" s="100" t="n"/>
      <c r="AI20" s="102">
        <f>IF(ISBLANK(B20), "", IF(ISNUMBER(D20), IF(D20&gt;0, (COUNTIF(E20:AH20, "✓") + COUNTIF(E20:AH20, "✔") + COUNTIF(E20:AH20, "v") + COUNTIF(E20:AH20, "V"))/D20, 0), IF(((COUNTIF(E20:AH20, "✓") + COUNTIF(E20:AH20, "✔") + COUNTIF(E20:AH20, "v") + COUNTIF(E20:AH20, "V")) + COUNTIF(E20:AH20, "✗") + COUNTIF(E20:AH20, "x") + COUNTIF(E20:AH20, "X"))&gt;0, (COUNTIF(E20:AH20, "✓") + COUNTIF(E20:AH20, "✔") + COUNTIF(E20:AH20, "v") + COUNTIF(E20:AH20, "V"))/((COUNTIF(E20:AH20, "✓") + COUNTIF(E20:AH20, "✔") + COUNTIF(E20:AH20, "v") + COUNTIF(E20:AH20, "V")) + COUNTIF(E20:AH20, "✗") + COUNTIF(E20:AH20, "x") + COUNTIF(E20:AH20, "X")), "")))</f>
        <v/>
      </c>
      <c r="AJ20" s="103">
        <f>IF(ISBLANK(B20), "", IF(ISNUMBER(D20), IF(D20&gt;0, (COUNTIF(E20:AH20, "✓") + COUNTIF(E20:AH20, "✔") + COUNTIF(E20:AH20, "v") + COUNTIF(E20:AH20, "V")) &amp; "/" &amp; D20, (COUNTIF(E20:AH20, "✓") + COUNTIF(E20:AH20, "✔") + COUNTIF(E20:AH20, "v") + COUNTIF(E20:AH20, "V")) &amp; "/0"), IF(((COUNTIF(E20:AH20, "✓") + COUNTIF(E20:AH20, "✔") + COUNTIF(E20:AH20, "v") + COUNTIF(E20:AH20, "V")) + COUNTIF(E20:AH20, "✗") + COUNTIF(E20:AH20, "x") + COUNTIF(E20:AH20, "X"))&gt;0, (COUNTIF(E20:AH20, "✓") + COUNTIF(E20:AH20, "✔") + COUNTIF(E20:AH20, "v") + COUNTIF(E20:AH20, "V")) &amp; "/" &amp; ((COUNTIF(E20:AH20, "✓") + COUNTIF(E20:AH20, "✔") + COUNTIF(E20:AH20, "v") + COUNTIF(E20:AH20, "V")) + COUNTIF(E20:AH20, "✗") + COUNTIF(E20:AH20, "x") + COUNTIF(E20:AH20, "X")), "")))</f>
        <v/>
      </c>
      <c r="AK20" s="103">
        <f>IF(ISBLANK(B20), "", IF(AI20&gt;=0.85, "🔥 Mastered", IF(AI20&gt;=0.7, "⚡ Consistent", "⚠️ Needs Focus")))</f>
        <v/>
      </c>
      <c r="AL20">
        <f>COUNTIF(E20:AH20, "✓")</f>
        <v/>
      </c>
    </row>
    <row r="21" ht="14.5" customHeight="1">
      <c r="A21" s="97" t="n">
        <v>4</v>
      </c>
      <c r="B21" s="98" t="n"/>
      <c r="C21" s="99" t="n"/>
      <c r="D21" s="99" t="n"/>
      <c r="E21" s="101" t="n"/>
      <c r="F21" s="100" t="n"/>
      <c r="G21" s="100" t="n"/>
      <c r="H21" s="100" t="n"/>
      <c r="I21" s="100" t="n"/>
      <c r="J21" s="100" t="n"/>
      <c r="K21" s="100" t="n"/>
      <c r="L21" s="101" t="n"/>
      <c r="M21" s="100" t="n"/>
      <c r="N21" s="100" t="n"/>
      <c r="O21" s="100" t="n"/>
      <c r="P21" s="100" t="n"/>
      <c r="Q21" s="100" t="n"/>
      <c r="R21" s="100" t="n"/>
      <c r="S21" s="101" t="n"/>
      <c r="T21" s="100" t="n"/>
      <c r="U21" s="100" t="n"/>
      <c r="V21" s="100" t="n"/>
      <c r="W21" s="100" t="n"/>
      <c r="X21" s="100" t="n"/>
      <c r="Y21" s="100" t="n"/>
      <c r="Z21" s="101" t="n"/>
      <c r="AA21" s="100" t="n"/>
      <c r="AB21" s="100" t="n"/>
      <c r="AC21" s="100" t="n"/>
      <c r="AD21" s="100" t="n"/>
      <c r="AE21" s="100" t="n"/>
      <c r="AF21" s="100" t="n"/>
      <c r="AG21" s="101" t="n"/>
      <c r="AH21" s="100" t="n"/>
      <c r="AI21" s="102">
        <f>IF(ISBLANK(B21), "", IF(ISNUMBER(D21), IF(D21&gt;0, (COUNTIF(E21:AH21, "✓") + COUNTIF(E21:AH21, "✔") + COUNTIF(E21:AH21, "v") + COUNTIF(E21:AH21, "V"))/D21, 0), IF(((COUNTIF(E21:AH21, "✓") + COUNTIF(E21:AH21, "✔") + COUNTIF(E21:AH21, "v") + COUNTIF(E21:AH21, "V")) + COUNTIF(E21:AH21, "✗") + COUNTIF(E21:AH21, "x") + COUNTIF(E21:AH21, "X"))&gt;0, (COUNTIF(E21:AH21, "✓") + COUNTIF(E21:AH21, "✔") + COUNTIF(E21:AH21, "v") + COUNTIF(E21:AH21, "V"))/((COUNTIF(E21:AH21, "✓") + COUNTIF(E21:AH21, "✔") + COUNTIF(E21:AH21, "v") + COUNTIF(E21:AH21, "V")) + COUNTIF(E21:AH21, "✗") + COUNTIF(E21:AH21, "x") + COUNTIF(E21:AH21, "X")), "")))</f>
        <v/>
      </c>
      <c r="AJ21" s="103">
        <f>IF(ISBLANK(B21), "", IF(ISNUMBER(D21), IF(D21&gt;0, (COUNTIF(E21:AH21, "✓") + COUNTIF(E21:AH21, "✔") + COUNTIF(E21:AH21, "v") + COUNTIF(E21:AH21, "V")) &amp; "/" &amp; D21, (COUNTIF(E21:AH21, "✓") + COUNTIF(E21:AH21, "✔") + COUNTIF(E21:AH21, "v") + COUNTIF(E21:AH21, "V")) &amp; "/0"), IF(((COUNTIF(E21:AH21, "✓") + COUNTIF(E21:AH21, "✔") + COUNTIF(E21:AH21, "v") + COUNTIF(E21:AH21, "V")) + COUNTIF(E21:AH21, "✗") + COUNTIF(E21:AH21, "x") + COUNTIF(E21:AH21, "X"))&gt;0, (COUNTIF(E21:AH21, "✓") + COUNTIF(E21:AH21, "✔") + COUNTIF(E21:AH21, "v") + COUNTIF(E21:AH21, "V")) &amp; "/" &amp; ((COUNTIF(E21:AH21, "✓") + COUNTIF(E21:AH21, "✔") + COUNTIF(E21:AH21, "v") + COUNTIF(E21:AH21, "V")) + COUNTIF(E21:AH21, "✗") + COUNTIF(E21:AH21, "x") + COUNTIF(E21:AH21, "X")), "")))</f>
        <v/>
      </c>
      <c r="AK21" s="103">
        <f>IF(ISBLANK(B21), "", IF(AI21&gt;=0.85, "🔥 Mastered", IF(AI21&gt;=0.7, "⚡ Consistent", "⚠️ Needs Focus")))</f>
        <v/>
      </c>
      <c r="AL21">
        <f>COUNTIF(E21:AH21, "✓")</f>
        <v/>
      </c>
    </row>
    <row r="22" ht="14.5" customHeight="1">
      <c r="A22" s="104" t="n">
        <v>5</v>
      </c>
      <c r="B22" s="105" t="n"/>
      <c r="C22" s="106" t="n"/>
      <c r="D22" s="106" t="n"/>
      <c r="E22" s="108" t="n"/>
      <c r="F22" s="107" t="n"/>
      <c r="G22" s="107" t="n"/>
      <c r="H22" s="107" t="n"/>
      <c r="I22" s="107" t="n"/>
      <c r="J22" s="107" t="n"/>
      <c r="K22" s="107" t="n"/>
      <c r="L22" s="108" t="n"/>
      <c r="M22" s="107" t="n"/>
      <c r="N22" s="107" t="n"/>
      <c r="O22" s="107" t="n"/>
      <c r="P22" s="107" t="n"/>
      <c r="Q22" s="107" t="n"/>
      <c r="R22" s="107" t="n"/>
      <c r="S22" s="108" t="n"/>
      <c r="T22" s="107" t="n"/>
      <c r="U22" s="107" t="n"/>
      <c r="V22" s="107" t="n"/>
      <c r="W22" s="107" t="n"/>
      <c r="X22" s="107" t="n"/>
      <c r="Y22" s="107" t="n"/>
      <c r="Z22" s="108" t="n"/>
      <c r="AA22" s="107" t="n"/>
      <c r="AB22" s="107" t="n"/>
      <c r="AC22" s="107" t="n"/>
      <c r="AD22" s="107" t="n"/>
      <c r="AE22" s="107" t="n"/>
      <c r="AF22" s="107" t="n"/>
      <c r="AG22" s="108" t="n"/>
      <c r="AH22" s="107" t="n"/>
      <c r="AI22" s="109">
        <f>IF(ISBLANK(B22), "", IF(ISNUMBER(D22), IF(D22&gt;0, (COUNTIF(E22:AH22, "✓") + COUNTIF(E22:AH22, "✔") + COUNTIF(E22:AH22, "v") + COUNTIF(E22:AH22, "V"))/D22, 0), IF(((COUNTIF(E22:AH22, "✓") + COUNTIF(E22:AH22, "✔") + COUNTIF(E22:AH22, "v") + COUNTIF(E22:AH22, "V")) + COUNTIF(E22:AH22, "✗") + COUNTIF(E22:AH22, "x") + COUNTIF(E22:AH22, "X"))&gt;0, (COUNTIF(E22:AH22, "✓") + COUNTIF(E22:AH22, "✔") + COUNTIF(E22:AH22, "v") + COUNTIF(E22:AH22, "V"))/((COUNTIF(E22:AH22, "✓") + COUNTIF(E22:AH22, "✔") + COUNTIF(E22:AH22, "v") + COUNTIF(E22:AH22, "V")) + COUNTIF(E22:AH22, "✗") + COUNTIF(E22:AH22, "x") + COUNTIF(E22:AH22, "X")), "")))</f>
        <v/>
      </c>
      <c r="AJ22" s="110">
        <f>IF(ISBLANK(B22), "", IF(ISNUMBER(D22), IF(D22&gt;0, (COUNTIF(E22:AH22, "✓") + COUNTIF(E22:AH22, "✔") + COUNTIF(E22:AH22, "v") + COUNTIF(E22:AH22, "V")) &amp; "/" &amp; D22, (COUNTIF(E22:AH22, "✓") + COUNTIF(E22:AH22, "✔") + COUNTIF(E22:AH22, "v") + COUNTIF(E22:AH22, "V")) &amp; "/0"), IF(((COUNTIF(E22:AH22, "✓") + COUNTIF(E22:AH22, "✔") + COUNTIF(E22:AH22, "v") + COUNTIF(E22:AH22, "V")) + COUNTIF(E22:AH22, "✗") + COUNTIF(E22:AH22, "x") + COUNTIF(E22:AH22, "X"))&gt;0, (COUNTIF(E22:AH22, "✓") + COUNTIF(E22:AH22, "✔") + COUNTIF(E22:AH22, "v") + COUNTIF(E22:AH22, "V")) &amp; "/" &amp; ((COUNTIF(E22:AH22, "✓") + COUNTIF(E22:AH22, "✔") + COUNTIF(E22:AH22, "v") + COUNTIF(E22:AH22, "V")) + COUNTIF(E22:AH22, "✗") + COUNTIF(E22:AH22, "x") + COUNTIF(E22:AH22, "X")), "")))</f>
        <v/>
      </c>
      <c r="AK22" s="110">
        <f>IF(ISBLANK(B22), "", IF(AI22&gt;=0.85, "🔥 Mastered", IF(AI22&gt;=0.7, "⚡ Consistent", "⚠️ Needs Focus")))</f>
        <v/>
      </c>
      <c r="AL22">
        <f>COUNTIF(E22:AH22, "✓")</f>
        <v/>
      </c>
    </row>
    <row r="23" ht="14.5" customHeight="1">
      <c r="A23" s="104" t="n">
        <v>6</v>
      </c>
      <c r="B23" s="105" t="n"/>
      <c r="C23" s="106" t="n"/>
      <c r="D23" s="106" t="n"/>
      <c r="E23" s="108" t="n"/>
      <c r="F23" s="107" t="n"/>
      <c r="G23" s="107" t="n"/>
      <c r="H23" s="107" t="n"/>
      <c r="I23" s="107" t="n"/>
      <c r="J23" s="107" t="n"/>
      <c r="K23" s="107" t="n"/>
      <c r="L23" s="108" t="n"/>
      <c r="M23" s="107" t="n"/>
      <c r="N23" s="107" t="n"/>
      <c r="O23" s="107" t="n"/>
      <c r="P23" s="107" t="n"/>
      <c r="Q23" s="107" t="n"/>
      <c r="R23" s="107" t="n"/>
      <c r="S23" s="108" t="n"/>
      <c r="T23" s="107" t="n"/>
      <c r="U23" s="107" t="n"/>
      <c r="V23" s="107" t="n"/>
      <c r="W23" s="107" t="n"/>
      <c r="X23" s="107" t="n"/>
      <c r="Y23" s="107" t="n"/>
      <c r="Z23" s="108" t="n"/>
      <c r="AA23" s="107" t="n"/>
      <c r="AB23" s="107" t="n"/>
      <c r="AC23" s="107" t="n"/>
      <c r="AD23" s="107" t="n"/>
      <c r="AE23" s="107" t="n"/>
      <c r="AF23" s="107" t="n"/>
      <c r="AG23" s="108" t="n"/>
      <c r="AH23" s="107" t="n"/>
      <c r="AI23" s="109">
        <f>IF(ISBLANK(B23), "", IF(ISNUMBER(D23), IF(D23&gt;0, (COUNTIF(E23:AH23, "✓") + COUNTIF(E23:AH23, "✔") + COUNTIF(E23:AH23, "v") + COUNTIF(E23:AH23, "V"))/D23, 0), IF(((COUNTIF(E23:AH23, "✓") + COUNTIF(E23:AH23, "✔") + COUNTIF(E23:AH23, "v") + COUNTIF(E23:AH23, "V")) + COUNTIF(E23:AH23, "✗") + COUNTIF(E23:AH23, "x") + COUNTIF(E23:AH23, "X"))&gt;0, (COUNTIF(E23:AH23, "✓") + COUNTIF(E23:AH23, "✔") + COUNTIF(E23:AH23, "v") + COUNTIF(E23:AH23, "V"))/((COUNTIF(E23:AH23, "✓") + COUNTIF(E23:AH23, "✔") + COUNTIF(E23:AH23, "v") + COUNTIF(E23:AH23, "V")) + COUNTIF(E23:AH23, "✗") + COUNTIF(E23:AH23, "x") + COUNTIF(E23:AH23, "X")), "")))</f>
        <v/>
      </c>
      <c r="AJ23" s="110">
        <f>IF(ISBLANK(B23), "", IF(ISNUMBER(D23), IF(D23&gt;0, (COUNTIF(E23:AH23, "✓") + COUNTIF(E23:AH23, "✔") + COUNTIF(E23:AH23, "v") + COUNTIF(E23:AH23, "V")) &amp; "/" &amp; D23, (COUNTIF(E23:AH23, "✓") + COUNTIF(E23:AH23, "✔") + COUNTIF(E23:AH23, "v") + COUNTIF(E23:AH23, "V")) &amp; "/0"), IF(((COUNTIF(E23:AH23, "✓") + COUNTIF(E23:AH23, "✔") + COUNTIF(E23:AH23, "v") + COUNTIF(E23:AH23, "V")) + COUNTIF(E23:AH23, "✗") + COUNTIF(E23:AH23, "x") + COUNTIF(E23:AH23, "X"))&gt;0, (COUNTIF(E23:AH23, "✓") + COUNTIF(E23:AH23, "✔") + COUNTIF(E23:AH23, "v") + COUNTIF(E23:AH23, "V")) &amp; "/" &amp; ((COUNTIF(E23:AH23, "✓") + COUNTIF(E23:AH23, "✔") + COUNTIF(E23:AH23, "v") + COUNTIF(E23:AH23, "V")) + COUNTIF(E23:AH23, "✗") + COUNTIF(E23:AH23, "x") + COUNTIF(E23:AH23, "X")), "")))</f>
        <v/>
      </c>
      <c r="AK23" s="110">
        <f>IF(ISBLANK(B23), "", IF(AI23&gt;=0.85, "🔥 Mastered", IF(AI23&gt;=0.7, "⚡ Consistent", "⚠️ Needs Focus")))</f>
        <v/>
      </c>
      <c r="AL23">
        <f>COUNTIF(E23:AH23, "✓")</f>
        <v/>
      </c>
    </row>
    <row r="24" ht="14.5" customHeight="1">
      <c r="A24" s="104" t="n">
        <v>7</v>
      </c>
      <c r="B24" s="105" t="n"/>
      <c r="C24" s="106" t="n"/>
      <c r="D24" s="106" t="n"/>
      <c r="E24" s="108" t="n"/>
      <c r="F24" s="107" t="n"/>
      <c r="G24" s="107" t="n"/>
      <c r="H24" s="107" t="n"/>
      <c r="I24" s="107" t="n"/>
      <c r="J24" s="107" t="n"/>
      <c r="K24" s="107" t="n"/>
      <c r="L24" s="108" t="n"/>
      <c r="M24" s="107" t="n"/>
      <c r="N24" s="107" t="n"/>
      <c r="O24" s="107" t="n"/>
      <c r="P24" s="107" t="n"/>
      <c r="Q24" s="107" t="n"/>
      <c r="R24" s="107" t="n"/>
      <c r="S24" s="108" t="n"/>
      <c r="T24" s="107" t="n"/>
      <c r="U24" s="107" t="n"/>
      <c r="V24" s="107" t="n"/>
      <c r="W24" s="107" t="n"/>
      <c r="X24" s="107" t="n"/>
      <c r="Y24" s="107" t="n"/>
      <c r="Z24" s="108" t="n"/>
      <c r="AA24" s="107" t="n"/>
      <c r="AB24" s="107" t="n"/>
      <c r="AC24" s="107" t="n"/>
      <c r="AD24" s="107" t="n"/>
      <c r="AE24" s="107" t="n"/>
      <c r="AF24" s="107" t="n"/>
      <c r="AG24" s="108" t="n"/>
      <c r="AH24" s="107" t="n"/>
      <c r="AI24" s="109">
        <f>IF(ISBLANK(B24), "", IF(ISNUMBER(D24), IF(D24&gt;0, (COUNTIF(E24:AH24, "✓") + COUNTIF(E24:AH24, "✔") + COUNTIF(E24:AH24, "v") + COUNTIF(E24:AH24, "V"))/D24, 0), IF(((COUNTIF(E24:AH24, "✓") + COUNTIF(E24:AH24, "✔") + COUNTIF(E24:AH24, "v") + COUNTIF(E24:AH24, "V")) + COUNTIF(E24:AH24, "✗") + COUNTIF(E24:AH24, "x") + COUNTIF(E24:AH24, "X"))&gt;0, (COUNTIF(E24:AH24, "✓") + COUNTIF(E24:AH24, "✔") + COUNTIF(E24:AH24, "v") + COUNTIF(E24:AH24, "V"))/((COUNTIF(E24:AH24, "✓") + COUNTIF(E24:AH24, "✔") + COUNTIF(E24:AH24, "v") + COUNTIF(E24:AH24, "V")) + COUNTIF(E24:AH24, "✗") + COUNTIF(E24:AH24, "x") + COUNTIF(E24:AH24, "X")), "")))</f>
        <v/>
      </c>
      <c r="AJ24" s="110">
        <f>IF(ISBLANK(B24), "", IF(ISNUMBER(D24), IF(D24&gt;0, (COUNTIF(E24:AH24, "✓") + COUNTIF(E24:AH24, "✔") + COUNTIF(E24:AH24, "v") + COUNTIF(E24:AH24, "V")) &amp; "/" &amp; D24, (COUNTIF(E24:AH24, "✓") + COUNTIF(E24:AH24, "✔") + COUNTIF(E24:AH24, "v") + COUNTIF(E24:AH24, "V")) &amp; "/0"), IF(((COUNTIF(E24:AH24, "✓") + COUNTIF(E24:AH24, "✔") + COUNTIF(E24:AH24, "v") + COUNTIF(E24:AH24, "V")) + COUNTIF(E24:AH24, "✗") + COUNTIF(E24:AH24, "x") + COUNTIF(E24:AH24, "X"))&gt;0, (COUNTIF(E24:AH24, "✓") + COUNTIF(E24:AH24, "✔") + COUNTIF(E24:AH24, "v") + COUNTIF(E24:AH24, "V")) &amp; "/" &amp; ((COUNTIF(E24:AH24, "✓") + COUNTIF(E24:AH24, "✔") + COUNTIF(E24:AH24, "v") + COUNTIF(E24:AH24, "V")) + COUNTIF(E24:AH24, "✗") + COUNTIF(E24:AH24, "x") + COUNTIF(E24:AH24, "X")), "")))</f>
        <v/>
      </c>
      <c r="AK24" s="110">
        <f>IF(ISBLANK(B24), "", IF(AI24&gt;=0.85, "🔥 Mastered", IF(AI24&gt;=0.7, "⚡ Consistent", "⚠️ Needs Focus")))</f>
        <v/>
      </c>
      <c r="AL24">
        <f>COUNTIF(E24:AH24, "✓")</f>
        <v/>
      </c>
    </row>
    <row r="25" ht="14.5" customHeight="1">
      <c r="A25" s="104" t="n">
        <v>8</v>
      </c>
      <c r="B25" s="105" t="n"/>
      <c r="C25" s="106" t="n"/>
      <c r="D25" s="106" t="n"/>
      <c r="E25" s="108" t="n"/>
      <c r="F25" s="107" t="n"/>
      <c r="G25" s="107" t="n"/>
      <c r="H25" s="107" t="n"/>
      <c r="I25" s="107" t="n"/>
      <c r="J25" s="107" t="n"/>
      <c r="K25" s="107" t="n"/>
      <c r="L25" s="108" t="n"/>
      <c r="M25" s="107" t="n"/>
      <c r="N25" s="107" t="n"/>
      <c r="O25" s="107" t="n"/>
      <c r="P25" s="107" t="n"/>
      <c r="Q25" s="107" t="n"/>
      <c r="R25" s="107" t="n"/>
      <c r="S25" s="108" t="n"/>
      <c r="T25" s="107" t="n"/>
      <c r="U25" s="107" t="n"/>
      <c r="V25" s="107" t="n"/>
      <c r="W25" s="107" t="n"/>
      <c r="X25" s="107" t="n"/>
      <c r="Y25" s="107" t="n"/>
      <c r="Z25" s="108" t="n"/>
      <c r="AA25" s="107" t="n"/>
      <c r="AB25" s="107" t="n"/>
      <c r="AC25" s="107" t="n"/>
      <c r="AD25" s="107" t="n"/>
      <c r="AE25" s="107" t="n"/>
      <c r="AF25" s="107" t="n"/>
      <c r="AG25" s="108" t="n"/>
      <c r="AH25" s="107" t="n"/>
      <c r="AI25" s="109">
        <f>IF(ISBLANK(B25), "", IF(ISNUMBER(D25), IF(D25&gt;0, (COUNTIF(E25:AH25, "✓") + COUNTIF(E25:AH25, "✔") + COUNTIF(E25:AH25, "v") + COUNTIF(E25:AH25, "V"))/D25, 0), IF(((COUNTIF(E25:AH25, "✓") + COUNTIF(E25:AH25, "✔") + COUNTIF(E25:AH25, "v") + COUNTIF(E25:AH25, "V")) + COUNTIF(E25:AH25, "✗") + COUNTIF(E25:AH25, "x") + COUNTIF(E25:AH25, "X"))&gt;0, (COUNTIF(E25:AH25, "✓") + COUNTIF(E25:AH25, "✔") + COUNTIF(E25:AH25, "v") + COUNTIF(E25:AH25, "V"))/((COUNTIF(E25:AH25, "✓") + COUNTIF(E25:AH25, "✔") + COUNTIF(E25:AH25, "v") + COUNTIF(E25:AH25, "V")) + COUNTIF(E25:AH25, "✗") + COUNTIF(E25:AH25, "x") + COUNTIF(E25:AH25, "X")), "")))</f>
        <v/>
      </c>
      <c r="AJ25" s="110">
        <f>IF(ISBLANK(B25), "", IF(ISNUMBER(D25), IF(D25&gt;0, (COUNTIF(E25:AH25, "✓") + COUNTIF(E25:AH25, "✔") + COUNTIF(E25:AH25, "v") + COUNTIF(E25:AH25, "V")) &amp; "/" &amp; D25, (COUNTIF(E25:AH25, "✓") + COUNTIF(E25:AH25, "✔") + COUNTIF(E25:AH25, "v") + COUNTIF(E25:AH25, "V")) &amp; "/0"), IF(((COUNTIF(E25:AH25, "✓") + COUNTIF(E25:AH25, "✔") + COUNTIF(E25:AH25, "v") + COUNTIF(E25:AH25, "V")) + COUNTIF(E25:AH25, "✗") + COUNTIF(E25:AH25, "x") + COUNTIF(E25:AH25, "X"))&gt;0, (COUNTIF(E25:AH25, "✓") + COUNTIF(E25:AH25, "✔") + COUNTIF(E25:AH25, "v") + COUNTIF(E25:AH25, "V")) &amp; "/" &amp; ((COUNTIF(E25:AH25, "✓") + COUNTIF(E25:AH25, "✔") + COUNTIF(E25:AH25, "v") + COUNTIF(E25:AH25, "V")) + COUNTIF(E25:AH25, "✗") + COUNTIF(E25:AH25, "x") + COUNTIF(E25:AH25, "X")), "")))</f>
        <v/>
      </c>
      <c r="AK25" s="110">
        <f>IF(ISBLANK(B25), "", IF(AI25&gt;=0.85, "🔥 Mastered", IF(AI25&gt;=0.7, "⚡ Consistent", "⚠️ Needs Focus")))</f>
        <v/>
      </c>
      <c r="AL25">
        <f>COUNTIF(E25:AH25, "✓")</f>
        <v/>
      </c>
    </row>
    <row r="26" ht="14.5" customHeight="1">
      <c r="A26" s="111" t="n">
        <v>9</v>
      </c>
      <c r="B26" s="112" t="n"/>
      <c r="C26" s="113" t="n"/>
      <c r="D26" s="113" t="n"/>
      <c r="E26" s="115" t="n"/>
      <c r="F26" s="114" t="n"/>
      <c r="G26" s="114" t="n"/>
      <c r="H26" s="114" t="n"/>
      <c r="I26" s="114" t="n"/>
      <c r="J26" s="114" t="n"/>
      <c r="K26" s="114" t="n"/>
      <c r="L26" s="115" t="n"/>
      <c r="M26" s="114" t="n"/>
      <c r="N26" s="114" t="n"/>
      <c r="O26" s="114" t="n"/>
      <c r="P26" s="114" t="n"/>
      <c r="Q26" s="114" t="n"/>
      <c r="R26" s="114" t="n"/>
      <c r="S26" s="115" t="n"/>
      <c r="T26" s="114" t="n"/>
      <c r="U26" s="114" t="n"/>
      <c r="V26" s="114" t="n"/>
      <c r="W26" s="114" t="n"/>
      <c r="X26" s="114" t="n"/>
      <c r="Y26" s="114" t="n"/>
      <c r="Z26" s="115" t="n"/>
      <c r="AA26" s="114" t="n"/>
      <c r="AB26" s="114" t="n"/>
      <c r="AC26" s="114" t="n"/>
      <c r="AD26" s="114" t="n"/>
      <c r="AE26" s="114" t="n"/>
      <c r="AF26" s="114" t="n"/>
      <c r="AG26" s="115" t="n"/>
      <c r="AH26" s="114" t="n"/>
      <c r="AI26" s="116">
        <f>IF(ISBLANK(B26), "", IF(ISNUMBER(D26), IF(D26&gt;0, (COUNTIF(E26:AH26, "✓") + COUNTIF(E26:AH26, "✔") + COUNTIF(E26:AH26, "v") + COUNTIF(E26:AH26, "V"))/D26, 0), IF(((COUNTIF(E26:AH26, "✓") + COUNTIF(E26:AH26, "✔") + COUNTIF(E26:AH26, "v") + COUNTIF(E26:AH26, "V")) + COUNTIF(E26:AH26, "✗") + COUNTIF(E26:AH26, "x") + COUNTIF(E26:AH26, "X"))&gt;0, (COUNTIF(E26:AH26, "✓") + COUNTIF(E26:AH26, "✔") + COUNTIF(E26:AH26, "v") + COUNTIF(E26:AH26, "V"))/((COUNTIF(E26:AH26, "✓") + COUNTIF(E26:AH26, "✔") + COUNTIF(E26:AH26, "v") + COUNTIF(E26:AH26, "V")) + COUNTIF(E26:AH26, "✗") + COUNTIF(E26:AH26, "x") + COUNTIF(E26:AH26, "X")), "")))</f>
        <v/>
      </c>
      <c r="AJ26" s="117">
        <f>IF(ISBLANK(B26), "", IF(ISNUMBER(D26), IF(D26&gt;0, (COUNTIF(E26:AH26, "✓") + COUNTIF(E26:AH26, "✔") + COUNTIF(E26:AH26, "v") + COUNTIF(E26:AH26, "V")) &amp; "/" &amp; D26, (COUNTIF(E26:AH26, "✓") + COUNTIF(E26:AH26, "✔") + COUNTIF(E26:AH26, "v") + COUNTIF(E26:AH26, "V")) &amp; "/0"), IF(((COUNTIF(E26:AH26, "✓") + COUNTIF(E26:AH26, "✔") + COUNTIF(E26:AH26, "v") + COUNTIF(E26:AH26, "V")) + COUNTIF(E26:AH26, "✗") + COUNTIF(E26:AH26, "x") + COUNTIF(E26:AH26, "X"))&gt;0, (COUNTIF(E26:AH26, "✓") + COUNTIF(E26:AH26, "✔") + COUNTIF(E26:AH26, "v") + COUNTIF(E26:AH26, "V")) &amp; "/" &amp; ((COUNTIF(E26:AH26, "✓") + COUNTIF(E26:AH26, "✔") + COUNTIF(E26:AH26, "v") + COUNTIF(E26:AH26, "V")) + COUNTIF(E26:AH26, "✗") + COUNTIF(E26:AH26, "x") + COUNTIF(E26:AH26, "X")), "")))</f>
        <v/>
      </c>
      <c r="AK26" s="117">
        <f>IF(ISBLANK(B26), "", IF(AI26&gt;=0.85, "🔥 Mastered", IF(AI26&gt;=0.7, "⚡ Consistent", "⚠️ Needs Focus")))</f>
        <v/>
      </c>
      <c r="AL26">
        <f>COUNTIF(E26:AH26, "✓")</f>
        <v/>
      </c>
    </row>
    <row r="27" ht="14.5" customHeight="1">
      <c r="A27" s="111" t="n">
        <v>10</v>
      </c>
      <c r="B27" s="112" t="n"/>
      <c r="C27" s="113" t="n"/>
      <c r="D27" s="113" t="n"/>
      <c r="E27" s="115" t="n"/>
      <c r="F27" s="114" t="n"/>
      <c r="G27" s="114" t="n"/>
      <c r="H27" s="114" t="n"/>
      <c r="I27" s="114" t="n"/>
      <c r="J27" s="114" t="n"/>
      <c r="K27" s="114" t="n"/>
      <c r="L27" s="115" t="n"/>
      <c r="M27" s="114" t="n"/>
      <c r="N27" s="114" t="n"/>
      <c r="O27" s="114" t="n"/>
      <c r="P27" s="114" t="n"/>
      <c r="Q27" s="114" t="n"/>
      <c r="R27" s="114" t="n"/>
      <c r="S27" s="115" t="n"/>
      <c r="T27" s="114" t="n"/>
      <c r="U27" s="114" t="n"/>
      <c r="V27" s="114" t="n"/>
      <c r="W27" s="114" t="n"/>
      <c r="X27" s="114" t="n"/>
      <c r="Y27" s="114" t="n"/>
      <c r="Z27" s="115" t="n"/>
      <c r="AA27" s="114" t="n"/>
      <c r="AB27" s="114" t="n"/>
      <c r="AC27" s="114" t="n"/>
      <c r="AD27" s="114" t="n"/>
      <c r="AE27" s="114" t="n"/>
      <c r="AF27" s="114" t="n"/>
      <c r="AG27" s="115" t="n"/>
      <c r="AH27" s="114" t="n"/>
      <c r="AI27" s="116">
        <f>IF(ISBLANK(B27), "", IF(ISNUMBER(D27), IF(D27&gt;0, (COUNTIF(E27:AH27, "✓") + COUNTIF(E27:AH27, "✔") + COUNTIF(E27:AH27, "v") + COUNTIF(E27:AH27, "V"))/D27, 0), IF(((COUNTIF(E27:AH27, "✓") + COUNTIF(E27:AH27, "✔") + COUNTIF(E27:AH27, "v") + COUNTIF(E27:AH27, "V")) + COUNTIF(E27:AH27, "✗") + COUNTIF(E27:AH27, "x") + COUNTIF(E27:AH27, "X"))&gt;0, (COUNTIF(E27:AH27, "✓") + COUNTIF(E27:AH27, "✔") + COUNTIF(E27:AH27, "v") + COUNTIF(E27:AH27, "V"))/((COUNTIF(E27:AH27, "✓") + COUNTIF(E27:AH27, "✔") + COUNTIF(E27:AH27, "v") + COUNTIF(E27:AH27, "V")) + COUNTIF(E27:AH27, "✗") + COUNTIF(E27:AH27, "x") + COUNTIF(E27:AH27, "X")), "")))</f>
        <v/>
      </c>
      <c r="AJ27" s="117">
        <f>IF(ISBLANK(B27), "", IF(ISNUMBER(D27), IF(D27&gt;0, (COUNTIF(E27:AH27, "✓") + COUNTIF(E27:AH27, "✔") + COUNTIF(E27:AH27, "v") + COUNTIF(E27:AH27, "V")) &amp; "/" &amp; D27, (COUNTIF(E27:AH27, "✓") + COUNTIF(E27:AH27, "✔") + COUNTIF(E27:AH27, "v") + COUNTIF(E27:AH27, "V")) &amp; "/0"), IF(((COUNTIF(E27:AH27, "✓") + COUNTIF(E27:AH27, "✔") + COUNTIF(E27:AH27, "v") + COUNTIF(E27:AH27, "V")) + COUNTIF(E27:AH27, "✗") + COUNTIF(E27:AH27, "x") + COUNTIF(E27:AH27, "X"))&gt;0, (COUNTIF(E27:AH27, "✓") + COUNTIF(E27:AH27, "✔") + COUNTIF(E27:AH27, "v") + COUNTIF(E27:AH27, "V")) &amp; "/" &amp; ((COUNTIF(E27:AH27, "✓") + COUNTIF(E27:AH27, "✔") + COUNTIF(E27:AH27, "v") + COUNTIF(E27:AH27, "V")) + COUNTIF(E27:AH27, "✗") + COUNTIF(E27:AH27, "x") + COUNTIF(E27:AH27, "X")), "")))</f>
        <v/>
      </c>
      <c r="AK27" s="117">
        <f>IF(ISBLANK(B27), "", IF(AI27&gt;=0.85, "🔥 Mastered", IF(AI27&gt;=0.7, "⚡ Consistent", "⚠️ Needs Focus")))</f>
        <v/>
      </c>
      <c r="AL27">
        <f>COUNTIF(E27:AH27, "✓")</f>
        <v/>
      </c>
    </row>
    <row r="28" ht="14.5" customHeight="1">
      <c r="A28" s="111" t="n">
        <v>11</v>
      </c>
      <c r="B28" s="112" t="n"/>
      <c r="C28" s="113" t="n"/>
      <c r="D28" s="113" t="n"/>
      <c r="E28" s="115" t="n"/>
      <c r="F28" s="114" t="n"/>
      <c r="G28" s="114" t="n"/>
      <c r="H28" s="114" t="n"/>
      <c r="I28" s="114" t="n"/>
      <c r="J28" s="114" t="n"/>
      <c r="K28" s="114" t="n"/>
      <c r="L28" s="115" t="n"/>
      <c r="M28" s="114" t="n"/>
      <c r="N28" s="114" t="n"/>
      <c r="O28" s="114" t="n"/>
      <c r="P28" s="114" t="n"/>
      <c r="Q28" s="114" t="n"/>
      <c r="R28" s="114" t="n"/>
      <c r="S28" s="115" t="n"/>
      <c r="T28" s="114" t="n"/>
      <c r="U28" s="114" t="n"/>
      <c r="V28" s="114" t="n"/>
      <c r="W28" s="114" t="n"/>
      <c r="X28" s="114" t="n"/>
      <c r="Y28" s="114" t="n"/>
      <c r="Z28" s="115" t="n"/>
      <c r="AA28" s="114" t="n"/>
      <c r="AB28" s="114" t="n"/>
      <c r="AC28" s="114" t="n"/>
      <c r="AD28" s="114" t="n"/>
      <c r="AE28" s="114" t="n"/>
      <c r="AF28" s="114" t="n"/>
      <c r="AG28" s="115" t="n"/>
      <c r="AH28" s="114" t="n"/>
      <c r="AI28" s="116">
        <f>IF(ISBLANK(B28), "", IF(ISNUMBER(D28), IF(D28&gt;0, (COUNTIF(E28:AH28, "✓") + COUNTIF(E28:AH28, "✔") + COUNTIF(E28:AH28, "v") + COUNTIF(E28:AH28, "V"))/D28, 0), IF(((COUNTIF(E28:AH28, "✓") + COUNTIF(E28:AH28, "✔") + COUNTIF(E28:AH28, "v") + COUNTIF(E28:AH28, "V")) + COUNTIF(E28:AH28, "✗") + COUNTIF(E28:AH28, "x") + COUNTIF(E28:AH28, "X"))&gt;0, (COUNTIF(E28:AH28, "✓") + COUNTIF(E28:AH28, "✔") + COUNTIF(E28:AH28, "v") + COUNTIF(E28:AH28, "V"))/((COUNTIF(E28:AH28, "✓") + COUNTIF(E28:AH28, "✔") + COUNTIF(E28:AH28, "v") + COUNTIF(E28:AH28, "V")) + COUNTIF(E28:AH28, "✗") + COUNTIF(E28:AH28, "x") + COUNTIF(E28:AH28, "X")), "")))</f>
        <v/>
      </c>
      <c r="AJ28" s="117">
        <f>IF(ISBLANK(B28), "", IF(ISNUMBER(D28), IF(D28&gt;0, (COUNTIF(E28:AH28, "✓") + COUNTIF(E28:AH28, "✔") + COUNTIF(E28:AH28, "v") + COUNTIF(E28:AH28, "V")) &amp; "/" &amp; D28, (COUNTIF(E28:AH28, "✓") + COUNTIF(E28:AH28, "✔") + COUNTIF(E28:AH28, "v") + COUNTIF(E28:AH28, "V")) &amp; "/0"), IF(((COUNTIF(E28:AH28, "✓") + COUNTIF(E28:AH28, "✔") + COUNTIF(E28:AH28, "v") + COUNTIF(E28:AH28, "V")) + COUNTIF(E28:AH28, "✗") + COUNTIF(E28:AH28, "x") + COUNTIF(E28:AH28, "X"))&gt;0, (COUNTIF(E28:AH28, "✓") + COUNTIF(E28:AH28, "✔") + COUNTIF(E28:AH28, "v") + COUNTIF(E28:AH28, "V")) &amp; "/" &amp; ((COUNTIF(E28:AH28, "✓") + COUNTIF(E28:AH28, "✔") + COUNTIF(E28:AH28, "v") + COUNTIF(E28:AH28, "V")) + COUNTIF(E28:AH28, "✗") + COUNTIF(E28:AH28, "x") + COUNTIF(E28:AH28, "X")), "")))</f>
        <v/>
      </c>
      <c r="AK28" s="117">
        <f>IF(ISBLANK(B28), "", IF(AI28&gt;=0.85, "🔥 Mastered", IF(AI28&gt;=0.7, "⚡ Consistent", "⚠️ Needs Focus")))</f>
        <v/>
      </c>
      <c r="AL28">
        <f>COUNTIF(E28:AH28, "✓")</f>
        <v/>
      </c>
    </row>
    <row r="29" ht="14.5" customHeight="1">
      <c r="A29" s="111" t="n">
        <v>12</v>
      </c>
      <c r="B29" s="112" t="n"/>
      <c r="C29" s="113" t="n"/>
      <c r="D29" s="113" t="n"/>
      <c r="E29" s="115" t="n"/>
      <c r="F29" s="114" t="n"/>
      <c r="G29" s="114" t="n"/>
      <c r="H29" s="114" t="n"/>
      <c r="I29" s="114" t="n"/>
      <c r="J29" s="114" t="n"/>
      <c r="K29" s="114" t="n"/>
      <c r="L29" s="115" t="n"/>
      <c r="M29" s="114" t="n"/>
      <c r="N29" s="114" t="n"/>
      <c r="O29" s="114" t="n"/>
      <c r="P29" s="114" t="n"/>
      <c r="Q29" s="114" t="n"/>
      <c r="R29" s="114" t="n"/>
      <c r="S29" s="115" t="n"/>
      <c r="T29" s="114" t="n"/>
      <c r="U29" s="114" t="n"/>
      <c r="V29" s="114" t="n"/>
      <c r="W29" s="114" t="n"/>
      <c r="X29" s="114" t="n"/>
      <c r="Y29" s="114" t="n"/>
      <c r="Z29" s="115" t="n"/>
      <c r="AA29" s="114" t="n"/>
      <c r="AB29" s="114" t="n"/>
      <c r="AC29" s="114" t="n"/>
      <c r="AD29" s="114" t="n"/>
      <c r="AE29" s="114" t="n"/>
      <c r="AF29" s="114" t="n"/>
      <c r="AG29" s="115" t="n"/>
      <c r="AH29" s="114" t="n"/>
      <c r="AI29" s="116">
        <f>IF(ISBLANK(B29), "", IF(ISNUMBER(D29), IF(D29&gt;0, (COUNTIF(E29:AH29, "✓") + COUNTIF(E29:AH29, "✔") + COUNTIF(E29:AH29, "v") + COUNTIF(E29:AH29, "V"))/D29, 0), IF(((COUNTIF(E29:AH29, "✓") + COUNTIF(E29:AH29, "✔") + COUNTIF(E29:AH29, "v") + COUNTIF(E29:AH29, "V")) + COUNTIF(E29:AH29, "✗") + COUNTIF(E29:AH29, "x") + COUNTIF(E29:AH29, "X"))&gt;0, (COUNTIF(E29:AH29, "✓") + COUNTIF(E29:AH29, "✔") + COUNTIF(E29:AH29, "v") + COUNTIF(E29:AH29, "V"))/((COUNTIF(E29:AH29, "✓") + COUNTIF(E29:AH29, "✔") + COUNTIF(E29:AH29, "v") + COUNTIF(E29:AH29, "V")) + COUNTIF(E29:AH29, "✗") + COUNTIF(E29:AH29, "x") + COUNTIF(E29:AH29, "X")), "")))</f>
        <v/>
      </c>
      <c r="AJ29" s="117">
        <f>IF(ISBLANK(B29), "", IF(ISNUMBER(D29), IF(D29&gt;0, (COUNTIF(E29:AH29, "✓") + COUNTIF(E29:AH29, "✔") + COUNTIF(E29:AH29, "v") + COUNTIF(E29:AH29, "V")) &amp; "/" &amp; D29, (COUNTIF(E29:AH29, "✓") + COUNTIF(E29:AH29, "✔") + COUNTIF(E29:AH29, "v") + COUNTIF(E29:AH29, "V")) &amp; "/0"), IF(((COUNTIF(E29:AH29, "✓") + COUNTIF(E29:AH29, "✔") + COUNTIF(E29:AH29, "v") + COUNTIF(E29:AH29, "V")) + COUNTIF(E29:AH29, "✗") + COUNTIF(E29:AH29, "x") + COUNTIF(E29:AH29, "X"))&gt;0, (COUNTIF(E29:AH29, "✓") + COUNTIF(E29:AH29, "✔") + COUNTIF(E29:AH29, "v") + COUNTIF(E29:AH29, "V")) &amp; "/" &amp; ((COUNTIF(E29:AH29, "✓") + COUNTIF(E29:AH29, "✔") + COUNTIF(E29:AH29, "v") + COUNTIF(E29:AH29, "V")) + COUNTIF(E29:AH29, "✗") + COUNTIF(E29:AH29, "x") + COUNTIF(E29:AH29, "X")), "")))</f>
        <v/>
      </c>
      <c r="AK29" s="117">
        <f>IF(ISBLANK(B29), "", IF(AI29&gt;=0.85, "🔥 Mastered", IF(AI29&gt;=0.7, "⚡ Consistent", "⚠️ Needs Focus")))</f>
        <v/>
      </c>
      <c r="AL29">
        <f>COUNTIF(E29:AH29, "✓")</f>
        <v/>
      </c>
    </row>
    <row r="30" ht="14.5" customHeight="1">
      <c r="A30" s="118" t="n">
        <v>13</v>
      </c>
      <c r="B30" s="119" t="n"/>
      <c r="C30" s="120" t="n"/>
      <c r="D30" s="120" t="n"/>
      <c r="E30" s="122" t="n"/>
      <c r="F30" s="121" t="n"/>
      <c r="G30" s="121" t="n"/>
      <c r="H30" s="121" t="n"/>
      <c r="I30" s="121" t="n"/>
      <c r="J30" s="121" t="n"/>
      <c r="K30" s="121" t="n"/>
      <c r="L30" s="122" t="n"/>
      <c r="M30" s="121" t="n"/>
      <c r="N30" s="121" t="n"/>
      <c r="O30" s="121" t="n"/>
      <c r="P30" s="121" t="n"/>
      <c r="Q30" s="121" t="n"/>
      <c r="R30" s="121" t="n"/>
      <c r="S30" s="122" t="n"/>
      <c r="T30" s="121" t="n"/>
      <c r="U30" s="121" t="n"/>
      <c r="V30" s="121" t="n"/>
      <c r="W30" s="121" t="n"/>
      <c r="X30" s="121" t="n"/>
      <c r="Y30" s="121" t="n"/>
      <c r="Z30" s="122" t="n"/>
      <c r="AA30" s="121" t="n"/>
      <c r="AB30" s="121" t="n"/>
      <c r="AC30" s="121" t="n"/>
      <c r="AD30" s="121" t="n"/>
      <c r="AE30" s="121" t="n"/>
      <c r="AF30" s="121" t="n"/>
      <c r="AG30" s="122" t="n"/>
      <c r="AH30" s="121" t="n"/>
      <c r="AI30" s="123">
        <f>IF(ISBLANK(B30), "", IF(ISNUMBER(D30), IF(D30&gt;0, (COUNTIF(E30:AH30, "✓") + COUNTIF(E30:AH30, "✔") + COUNTIF(E30:AH30, "v") + COUNTIF(E30:AH30, "V"))/D30, 0), IF(((COUNTIF(E30:AH30, "✓") + COUNTIF(E30:AH30, "✔") + COUNTIF(E30:AH30, "v") + COUNTIF(E30:AH30, "V")) + COUNTIF(E30:AH30, "✗") + COUNTIF(E30:AH30, "x") + COUNTIF(E30:AH30, "X"))&gt;0, (COUNTIF(E30:AH30, "✓") + COUNTIF(E30:AH30, "✔") + COUNTIF(E30:AH30, "v") + COUNTIF(E30:AH30, "V"))/((COUNTIF(E30:AH30, "✓") + COUNTIF(E30:AH30, "✔") + COUNTIF(E30:AH30, "v") + COUNTIF(E30:AH30, "V")) + COUNTIF(E30:AH30, "✗") + COUNTIF(E30:AH30, "x") + COUNTIF(E30:AH30, "X")), "")))</f>
        <v/>
      </c>
      <c r="AJ30" s="124">
        <f>IF(ISBLANK(B30), "", IF(ISNUMBER(D30), IF(D30&gt;0, (COUNTIF(E30:AH30, "✓") + COUNTIF(E30:AH30, "✔") + COUNTIF(E30:AH30, "v") + COUNTIF(E30:AH30, "V")) &amp; "/" &amp; D30, (COUNTIF(E30:AH30, "✓") + COUNTIF(E30:AH30, "✔") + COUNTIF(E30:AH30, "v") + COUNTIF(E30:AH30, "V")) &amp; "/0"), IF(((COUNTIF(E30:AH30, "✓") + COUNTIF(E30:AH30, "✔") + COUNTIF(E30:AH30, "v") + COUNTIF(E30:AH30, "V")) + COUNTIF(E30:AH30, "✗") + COUNTIF(E30:AH30, "x") + COUNTIF(E30:AH30, "X"))&gt;0, (COUNTIF(E30:AH30, "✓") + COUNTIF(E30:AH30, "✔") + COUNTIF(E30:AH30, "v") + COUNTIF(E30:AH30, "V")) &amp; "/" &amp; ((COUNTIF(E30:AH30, "✓") + COUNTIF(E30:AH30, "✔") + COUNTIF(E30:AH30, "v") + COUNTIF(E30:AH30, "V")) + COUNTIF(E30:AH30, "✗") + COUNTIF(E30:AH30, "x") + COUNTIF(E30:AH30, "X")), "")))</f>
        <v/>
      </c>
      <c r="AK30" s="124">
        <f>IF(ISBLANK(B30), "", IF(AI30&gt;=0.85, "🔥 Mastered", IF(AI30&gt;=0.7, "⚡ Consistent", "⚠️ Needs Focus")))</f>
        <v/>
      </c>
      <c r="AL30">
        <f>COUNTIF(E30:AH30, "✓")</f>
        <v/>
      </c>
    </row>
    <row r="31" ht="14.5" customHeight="1">
      <c r="A31" s="118" t="n">
        <v>14</v>
      </c>
      <c r="B31" s="119" t="n"/>
      <c r="C31" s="120" t="n"/>
      <c r="D31" s="120" t="n"/>
      <c r="E31" s="122" t="n"/>
      <c r="F31" s="121" t="n"/>
      <c r="G31" s="121" t="n"/>
      <c r="H31" s="121" t="n"/>
      <c r="I31" s="121" t="n"/>
      <c r="J31" s="121" t="n"/>
      <c r="K31" s="121" t="n"/>
      <c r="L31" s="122" t="n"/>
      <c r="M31" s="121" t="n"/>
      <c r="N31" s="121" t="n"/>
      <c r="O31" s="121" t="n"/>
      <c r="P31" s="121" t="n"/>
      <c r="Q31" s="121" t="n"/>
      <c r="R31" s="121" t="n"/>
      <c r="S31" s="122" t="n"/>
      <c r="T31" s="121" t="n"/>
      <c r="U31" s="121" t="n"/>
      <c r="V31" s="121" t="n"/>
      <c r="W31" s="121" t="n"/>
      <c r="X31" s="121" t="n"/>
      <c r="Y31" s="121" t="n"/>
      <c r="Z31" s="122" t="n"/>
      <c r="AA31" s="121" t="n"/>
      <c r="AB31" s="121" t="n"/>
      <c r="AC31" s="121" t="n"/>
      <c r="AD31" s="121" t="n"/>
      <c r="AE31" s="121" t="n"/>
      <c r="AF31" s="121" t="n"/>
      <c r="AG31" s="122" t="n"/>
      <c r="AH31" s="121" t="n"/>
      <c r="AI31" s="123">
        <f>IF(ISBLANK(B31), "", IF(ISNUMBER(D31), IF(D31&gt;0, (COUNTIF(E31:AH31, "✓") + COUNTIF(E31:AH31, "✔") + COUNTIF(E31:AH31, "v") + COUNTIF(E31:AH31, "V"))/D31, 0), IF(((COUNTIF(E31:AH31, "✓") + COUNTIF(E31:AH31, "✔") + COUNTIF(E31:AH31, "v") + COUNTIF(E31:AH31, "V")) + COUNTIF(E31:AH31, "✗") + COUNTIF(E31:AH31, "x") + COUNTIF(E31:AH31, "X"))&gt;0, (COUNTIF(E31:AH31, "✓") + COUNTIF(E31:AH31, "✔") + COUNTIF(E31:AH31, "v") + COUNTIF(E31:AH31, "V"))/((COUNTIF(E31:AH31, "✓") + COUNTIF(E31:AH31, "✔") + COUNTIF(E31:AH31, "v") + COUNTIF(E31:AH31, "V")) + COUNTIF(E31:AH31, "✗") + COUNTIF(E31:AH31, "x") + COUNTIF(E31:AH31, "X")), "")))</f>
        <v/>
      </c>
      <c r="AJ31" s="124">
        <f>IF(ISBLANK(B31), "", IF(ISNUMBER(D31), IF(D31&gt;0, (COUNTIF(E31:AH31, "✓") + COUNTIF(E31:AH31, "✔") + COUNTIF(E31:AH31, "v") + COUNTIF(E31:AH31, "V")) &amp; "/" &amp; D31, (COUNTIF(E31:AH31, "✓") + COUNTIF(E31:AH31, "✔") + COUNTIF(E31:AH31, "v") + COUNTIF(E31:AH31, "V")) &amp; "/0"), IF(((COUNTIF(E31:AH31, "✓") + COUNTIF(E31:AH31, "✔") + COUNTIF(E31:AH31, "v") + COUNTIF(E31:AH31, "V")) + COUNTIF(E31:AH31, "✗") + COUNTIF(E31:AH31, "x") + COUNTIF(E31:AH31, "X"))&gt;0, (COUNTIF(E31:AH31, "✓") + COUNTIF(E31:AH31, "✔") + COUNTIF(E31:AH31, "v") + COUNTIF(E31:AH31, "V")) &amp; "/" &amp; ((COUNTIF(E31:AH31, "✓") + COUNTIF(E31:AH31, "✔") + COUNTIF(E31:AH31, "v") + COUNTIF(E31:AH31, "V")) + COUNTIF(E31:AH31, "✗") + COUNTIF(E31:AH31, "x") + COUNTIF(E31:AH31, "X")), "")))</f>
        <v/>
      </c>
      <c r="AK31" s="124">
        <f>IF(ISBLANK(B31), "", IF(AI31&gt;=0.85, "🔥 Mastered", IF(AI31&gt;=0.7, "⚡ Consistent", "⚠️ Needs Focus")))</f>
        <v/>
      </c>
      <c r="AL31">
        <f>COUNTIF(E31:AH31, "✓")</f>
        <v/>
      </c>
    </row>
    <row r="32" ht="14.5" customHeight="1">
      <c r="A32" s="118" t="n">
        <v>15</v>
      </c>
      <c r="B32" s="119" t="n"/>
      <c r="C32" s="120" t="n"/>
      <c r="D32" s="120" t="n"/>
      <c r="E32" s="122" t="n"/>
      <c r="F32" s="121" t="n"/>
      <c r="G32" s="121" t="n"/>
      <c r="H32" s="121" t="n"/>
      <c r="I32" s="121" t="n"/>
      <c r="J32" s="121" t="n"/>
      <c r="K32" s="121" t="n"/>
      <c r="L32" s="122" t="n"/>
      <c r="M32" s="121" t="n"/>
      <c r="N32" s="121" t="n"/>
      <c r="O32" s="121" t="n"/>
      <c r="P32" s="121" t="n"/>
      <c r="Q32" s="121" t="n"/>
      <c r="R32" s="121" t="n"/>
      <c r="S32" s="122" t="n"/>
      <c r="T32" s="121" t="n"/>
      <c r="U32" s="121" t="n"/>
      <c r="V32" s="121" t="n"/>
      <c r="W32" s="121" t="n"/>
      <c r="X32" s="121" t="n"/>
      <c r="Y32" s="121" t="n"/>
      <c r="Z32" s="122" t="n"/>
      <c r="AA32" s="121" t="n"/>
      <c r="AB32" s="121" t="n"/>
      <c r="AC32" s="121" t="n"/>
      <c r="AD32" s="121" t="n"/>
      <c r="AE32" s="121" t="n"/>
      <c r="AF32" s="121" t="n"/>
      <c r="AG32" s="122" t="n"/>
      <c r="AH32" s="121" t="n"/>
      <c r="AI32" s="123">
        <f>IF(ISBLANK(B32), "", IF(ISNUMBER(D32), IF(D32&gt;0, (COUNTIF(E32:AH32, "✓") + COUNTIF(E32:AH32, "✔") + COUNTIF(E32:AH32, "v") + COUNTIF(E32:AH32, "V"))/D32, 0), IF(((COUNTIF(E32:AH32, "✓") + COUNTIF(E32:AH32, "✔") + COUNTIF(E32:AH32, "v") + COUNTIF(E32:AH32, "V")) + COUNTIF(E32:AH32, "✗") + COUNTIF(E32:AH32, "x") + COUNTIF(E32:AH32, "X"))&gt;0, (COUNTIF(E32:AH32, "✓") + COUNTIF(E32:AH32, "✔") + COUNTIF(E32:AH32, "v") + COUNTIF(E32:AH32, "V"))/((COUNTIF(E32:AH32, "✓") + COUNTIF(E32:AH32, "✔") + COUNTIF(E32:AH32, "v") + COUNTIF(E32:AH32, "V")) + COUNTIF(E32:AH32, "✗") + COUNTIF(E32:AH32, "x") + COUNTIF(E32:AH32, "X")), "")))</f>
        <v/>
      </c>
      <c r="AJ32" s="124">
        <f>IF(ISBLANK(B32), "", IF(ISNUMBER(D32), IF(D32&gt;0, (COUNTIF(E32:AH32, "✓") + COUNTIF(E32:AH32, "✔") + COUNTIF(E32:AH32, "v") + COUNTIF(E32:AH32, "V")) &amp; "/" &amp; D32, (COUNTIF(E32:AH32, "✓") + COUNTIF(E32:AH32, "✔") + COUNTIF(E32:AH32, "v") + COUNTIF(E32:AH32, "V")) &amp; "/0"), IF(((COUNTIF(E32:AH32, "✓") + COUNTIF(E32:AH32, "✔") + COUNTIF(E32:AH32, "v") + COUNTIF(E32:AH32, "V")) + COUNTIF(E32:AH32, "✗") + COUNTIF(E32:AH32, "x") + COUNTIF(E32:AH32, "X"))&gt;0, (COUNTIF(E32:AH32, "✓") + COUNTIF(E32:AH32, "✔") + COUNTIF(E32:AH32, "v") + COUNTIF(E32:AH32, "V")) &amp; "/" &amp; ((COUNTIF(E32:AH32, "✓") + COUNTIF(E32:AH32, "✔") + COUNTIF(E32:AH32, "v") + COUNTIF(E32:AH32, "V")) + COUNTIF(E32:AH32, "✗") + COUNTIF(E32:AH32, "x") + COUNTIF(E32:AH32, "X")), "")))</f>
        <v/>
      </c>
      <c r="AK32" s="124">
        <f>IF(ISBLANK(B32), "", IF(AI32&gt;=0.85, "🔥 Mastered", IF(AI32&gt;=0.7, "⚡ Consistent", "⚠️ Needs Focus")))</f>
        <v/>
      </c>
      <c r="AL32">
        <f>COUNTIF(E32:AH32, "✓")</f>
        <v/>
      </c>
    </row>
    <row r="33" ht="14.5" customHeight="1">
      <c r="A33" s="118" t="n">
        <v>16</v>
      </c>
      <c r="B33" s="119" t="n"/>
      <c r="C33" s="120" t="n"/>
      <c r="D33" s="120" t="n"/>
      <c r="E33" s="122" t="n"/>
      <c r="F33" s="121" t="n"/>
      <c r="G33" s="121" t="n"/>
      <c r="H33" s="121" t="n"/>
      <c r="I33" s="121" t="n"/>
      <c r="J33" s="121" t="n"/>
      <c r="K33" s="121" t="n"/>
      <c r="L33" s="122" t="n"/>
      <c r="M33" s="121" t="n"/>
      <c r="N33" s="121" t="n"/>
      <c r="O33" s="121" t="n"/>
      <c r="P33" s="121" t="n"/>
      <c r="Q33" s="121" t="n"/>
      <c r="R33" s="121" t="n"/>
      <c r="S33" s="122" t="n"/>
      <c r="T33" s="121" t="n"/>
      <c r="U33" s="121" t="n"/>
      <c r="V33" s="121" t="n"/>
      <c r="W33" s="121" t="n"/>
      <c r="X33" s="121" t="n"/>
      <c r="Y33" s="121" t="n"/>
      <c r="Z33" s="122" t="n"/>
      <c r="AA33" s="121" t="n"/>
      <c r="AB33" s="121" t="n"/>
      <c r="AC33" s="121" t="n"/>
      <c r="AD33" s="121" t="n"/>
      <c r="AE33" s="121" t="n"/>
      <c r="AF33" s="121" t="n"/>
      <c r="AG33" s="122" t="n"/>
      <c r="AH33" s="121" t="n"/>
      <c r="AI33" s="123">
        <f>IF(ISBLANK(B33), "", IF(ISNUMBER(D33), IF(D33&gt;0, (COUNTIF(E33:AH33, "✓") + COUNTIF(E33:AH33, "✔") + COUNTIF(E33:AH33, "v") + COUNTIF(E33:AH33, "V"))/D33, 0), IF(((COUNTIF(E33:AH33, "✓") + COUNTIF(E33:AH33, "✔") + COUNTIF(E33:AH33, "v") + COUNTIF(E33:AH33, "V")) + COUNTIF(E33:AH33, "✗") + COUNTIF(E33:AH33, "x") + COUNTIF(E33:AH33, "X"))&gt;0, (COUNTIF(E33:AH33, "✓") + COUNTIF(E33:AH33, "✔") + COUNTIF(E33:AH33, "v") + COUNTIF(E33:AH33, "V"))/((COUNTIF(E33:AH33, "✓") + COUNTIF(E33:AH33, "✔") + COUNTIF(E33:AH33, "v") + COUNTIF(E33:AH33, "V")) + COUNTIF(E33:AH33, "✗") + COUNTIF(E33:AH33, "x") + COUNTIF(E33:AH33, "X")), "")))</f>
        <v/>
      </c>
      <c r="AJ33" s="124">
        <f>IF(ISBLANK(B33), "", IF(ISNUMBER(D33), IF(D33&gt;0, (COUNTIF(E33:AH33, "✓") + COUNTIF(E33:AH33, "✔") + COUNTIF(E33:AH33, "v") + COUNTIF(E33:AH33, "V")) &amp; "/" &amp; D33, (COUNTIF(E33:AH33, "✓") + COUNTIF(E33:AH33, "✔") + COUNTIF(E33:AH33, "v") + COUNTIF(E33:AH33, "V")) &amp; "/0"), IF(((COUNTIF(E33:AH33, "✓") + COUNTIF(E33:AH33, "✔") + COUNTIF(E33:AH33, "v") + COUNTIF(E33:AH33, "V")) + COUNTIF(E33:AH33, "✗") + COUNTIF(E33:AH33, "x") + COUNTIF(E33:AH33, "X"))&gt;0, (COUNTIF(E33:AH33, "✓") + COUNTIF(E33:AH33, "✔") + COUNTIF(E33:AH33, "v") + COUNTIF(E33:AH33, "V")) &amp; "/" &amp; ((COUNTIF(E33:AH33, "✓") + COUNTIF(E33:AH33, "✔") + COUNTIF(E33:AH33, "v") + COUNTIF(E33:AH33, "V")) + COUNTIF(E33:AH33, "✗") + COUNTIF(E33:AH33, "x") + COUNTIF(E33:AH33, "X")), "")))</f>
        <v/>
      </c>
      <c r="AK33" s="124">
        <f>IF(ISBLANK(B33), "", IF(AI33&gt;=0.85, "🔥 Mastered", IF(AI33&gt;=0.7, "⚡ Consistent", "⚠️ Needs Focus")))</f>
        <v/>
      </c>
      <c r="AL33">
        <f>COUNTIF(E33:AH33, "✓")</f>
        <v/>
      </c>
    </row>
    <row r="34" ht="14.5" customHeight="1">
      <c r="A34" s="125" t="n">
        <v>17</v>
      </c>
      <c r="B34" s="126" t="n"/>
      <c r="C34" s="127" t="n"/>
      <c r="D34" s="127" t="n"/>
      <c r="E34" s="129" t="n"/>
      <c r="F34" s="128" t="n"/>
      <c r="G34" s="128" t="n"/>
      <c r="H34" s="128" t="n"/>
      <c r="I34" s="128" t="n"/>
      <c r="J34" s="128" t="n"/>
      <c r="K34" s="128" t="n"/>
      <c r="L34" s="129" t="n"/>
      <c r="M34" s="128" t="n"/>
      <c r="N34" s="128" t="n"/>
      <c r="O34" s="128" t="n"/>
      <c r="P34" s="128" t="n"/>
      <c r="Q34" s="128" t="n"/>
      <c r="R34" s="128" t="n"/>
      <c r="S34" s="129" t="n"/>
      <c r="T34" s="128" t="n"/>
      <c r="U34" s="128" t="n"/>
      <c r="V34" s="128" t="n"/>
      <c r="W34" s="128" t="n"/>
      <c r="X34" s="128" t="n"/>
      <c r="Y34" s="128" t="n"/>
      <c r="Z34" s="129" t="n"/>
      <c r="AA34" s="128" t="n"/>
      <c r="AB34" s="128" t="n"/>
      <c r="AC34" s="128" t="n"/>
      <c r="AD34" s="128" t="n"/>
      <c r="AE34" s="128" t="n"/>
      <c r="AF34" s="128" t="n"/>
      <c r="AG34" s="129" t="n"/>
      <c r="AH34" s="128" t="n"/>
      <c r="AI34" s="130">
        <f>IF(ISBLANK(B34), "", IF(ISNUMBER(D34), IF(D34&gt;0, (COUNTIF(E34:AH34, "✓") + COUNTIF(E34:AH34, "✔") + COUNTIF(E34:AH34, "v") + COUNTIF(E34:AH34, "V"))/D34, 0), IF(((COUNTIF(E34:AH34, "✓") + COUNTIF(E34:AH34, "✔") + COUNTIF(E34:AH34, "v") + COUNTIF(E34:AH34, "V")) + COUNTIF(E34:AH34, "✗") + COUNTIF(E34:AH34, "x") + COUNTIF(E34:AH34, "X"))&gt;0, (COUNTIF(E34:AH34, "✓") + COUNTIF(E34:AH34, "✔") + COUNTIF(E34:AH34, "v") + COUNTIF(E34:AH34, "V"))/((COUNTIF(E34:AH34, "✓") + COUNTIF(E34:AH34, "✔") + COUNTIF(E34:AH34, "v") + COUNTIF(E34:AH34, "V")) + COUNTIF(E34:AH34, "✗") + COUNTIF(E34:AH34, "x") + COUNTIF(E34:AH34, "X")), "")))</f>
        <v/>
      </c>
      <c r="AJ34" s="131">
        <f>IF(ISBLANK(B34), "", IF(ISNUMBER(D34), IF(D34&gt;0, (COUNTIF(E34:AH34, "✓") + COUNTIF(E34:AH34, "✔") + COUNTIF(E34:AH34, "v") + COUNTIF(E34:AH34, "V")) &amp; "/" &amp; D34, (COUNTIF(E34:AH34, "✓") + COUNTIF(E34:AH34, "✔") + COUNTIF(E34:AH34, "v") + COUNTIF(E34:AH34, "V")) &amp; "/0"), IF(((COUNTIF(E34:AH34, "✓") + COUNTIF(E34:AH34, "✔") + COUNTIF(E34:AH34, "v") + COUNTIF(E34:AH34, "V")) + COUNTIF(E34:AH34, "✗") + COUNTIF(E34:AH34, "x") + COUNTIF(E34:AH34, "X"))&gt;0, (COUNTIF(E34:AH34, "✓") + COUNTIF(E34:AH34, "✔") + COUNTIF(E34:AH34, "v") + COUNTIF(E34:AH34, "V")) &amp; "/" &amp; ((COUNTIF(E34:AH34, "✓") + COUNTIF(E34:AH34, "✔") + COUNTIF(E34:AH34, "v") + COUNTIF(E34:AH34, "V")) + COUNTIF(E34:AH34, "✗") + COUNTIF(E34:AH34, "x") + COUNTIF(E34:AH34, "X")), "")))</f>
        <v/>
      </c>
      <c r="AK34" s="131">
        <f>IF(ISBLANK(B34), "", IF(AI34&gt;=0.85, "🔥 Mastered", IF(AI34&gt;=0.7, "⚡ Consistent", "⚠️ Needs Focus")))</f>
        <v/>
      </c>
      <c r="AL34">
        <f>COUNTIF(E34:AH34, "✓")</f>
        <v/>
      </c>
    </row>
    <row r="35" ht="14.5" customHeight="1">
      <c r="A35" s="125" t="n">
        <v>18</v>
      </c>
      <c r="B35" s="126" t="n"/>
      <c r="C35" s="127" t="n"/>
      <c r="D35" s="127" t="n"/>
      <c r="E35" s="129" t="n"/>
      <c r="F35" s="128" t="n"/>
      <c r="G35" s="128" t="n"/>
      <c r="H35" s="128" t="n"/>
      <c r="I35" s="128" t="n"/>
      <c r="J35" s="128" t="n"/>
      <c r="K35" s="128" t="n"/>
      <c r="L35" s="129" t="n"/>
      <c r="M35" s="128" t="n"/>
      <c r="N35" s="128" t="n"/>
      <c r="O35" s="128" t="n"/>
      <c r="P35" s="128" t="n"/>
      <c r="Q35" s="128" t="n"/>
      <c r="R35" s="128" t="n"/>
      <c r="S35" s="129" t="n"/>
      <c r="T35" s="128" t="n"/>
      <c r="U35" s="128" t="n"/>
      <c r="V35" s="128" t="n"/>
      <c r="W35" s="128" t="n"/>
      <c r="X35" s="128" t="n"/>
      <c r="Y35" s="128" t="n"/>
      <c r="Z35" s="129" t="n"/>
      <c r="AA35" s="128" t="n"/>
      <c r="AB35" s="128" t="n"/>
      <c r="AC35" s="128" t="n"/>
      <c r="AD35" s="128" t="n"/>
      <c r="AE35" s="128" t="n"/>
      <c r="AF35" s="128" t="n"/>
      <c r="AG35" s="129" t="n"/>
      <c r="AH35" s="128" t="n"/>
      <c r="AI35" s="130">
        <f>IF(ISBLANK(B35), "", IF(ISNUMBER(D35), IF(D35&gt;0, (COUNTIF(E35:AH35, "✓") + COUNTIF(E35:AH35, "✔") + COUNTIF(E35:AH35, "v") + COUNTIF(E35:AH35, "V"))/D35, 0), IF(((COUNTIF(E35:AH35, "✓") + COUNTIF(E35:AH35, "✔") + COUNTIF(E35:AH35, "v") + COUNTIF(E35:AH35, "V")) + COUNTIF(E35:AH35, "✗") + COUNTIF(E35:AH35, "x") + COUNTIF(E35:AH35, "X"))&gt;0, (COUNTIF(E35:AH35, "✓") + COUNTIF(E35:AH35, "✔") + COUNTIF(E35:AH35, "v") + COUNTIF(E35:AH35, "V"))/((COUNTIF(E35:AH35, "✓") + COUNTIF(E35:AH35, "✔") + COUNTIF(E35:AH35, "v") + COUNTIF(E35:AH35, "V")) + COUNTIF(E35:AH35, "✗") + COUNTIF(E35:AH35, "x") + COUNTIF(E35:AH35, "X")), "")))</f>
        <v/>
      </c>
      <c r="AJ35" s="131">
        <f>IF(ISBLANK(B35), "", IF(ISNUMBER(D35), IF(D35&gt;0, (COUNTIF(E35:AH35, "✓") + COUNTIF(E35:AH35, "✔") + COUNTIF(E35:AH35, "v") + COUNTIF(E35:AH35, "V")) &amp; "/" &amp; D35, (COUNTIF(E35:AH35, "✓") + COUNTIF(E35:AH35, "✔") + COUNTIF(E35:AH35, "v") + COUNTIF(E35:AH35, "V")) &amp; "/0"), IF(((COUNTIF(E35:AH35, "✓") + COUNTIF(E35:AH35, "✔") + COUNTIF(E35:AH35, "v") + COUNTIF(E35:AH35, "V")) + COUNTIF(E35:AH35, "✗") + COUNTIF(E35:AH35, "x") + COUNTIF(E35:AH35, "X"))&gt;0, (COUNTIF(E35:AH35, "✓") + COUNTIF(E35:AH35, "✔") + COUNTIF(E35:AH35, "v") + COUNTIF(E35:AH35, "V")) &amp; "/" &amp; ((COUNTIF(E35:AH35, "✓") + COUNTIF(E35:AH35, "✔") + COUNTIF(E35:AH35, "v") + COUNTIF(E35:AH35, "V")) + COUNTIF(E35:AH35, "✗") + COUNTIF(E35:AH35, "x") + COUNTIF(E35:AH35, "X")), "")))</f>
        <v/>
      </c>
      <c r="AK35" s="131">
        <f>IF(ISBLANK(B35), "", IF(AI35&gt;=0.85, "🔥 Mastered", IF(AI35&gt;=0.7, "⚡ Consistent", "⚠️ Needs Focus")))</f>
        <v/>
      </c>
      <c r="AL35">
        <f>COUNTIF(E35:AH35, "✓")</f>
        <v/>
      </c>
    </row>
    <row r="36" ht="14.5" customHeight="1">
      <c r="A36" s="125" t="n">
        <v>19</v>
      </c>
      <c r="B36" s="126" t="n"/>
      <c r="C36" s="127" t="n"/>
      <c r="D36" s="127" t="n"/>
      <c r="E36" s="129" t="n"/>
      <c r="F36" s="128" t="n"/>
      <c r="G36" s="128" t="n"/>
      <c r="H36" s="128" t="n"/>
      <c r="I36" s="128" t="n"/>
      <c r="J36" s="128" t="n"/>
      <c r="K36" s="128" t="n"/>
      <c r="L36" s="129" t="n"/>
      <c r="M36" s="128" t="n"/>
      <c r="N36" s="128" t="n"/>
      <c r="O36" s="128" t="n"/>
      <c r="P36" s="128" t="n"/>
      <c r="Q36" s="128" t="n"/>
      <c r="R36" s="128" t="n"/>
      <c r="S36" s="129" t="n"/>
      <c r="T36" s="128" t="n"/>
      <c r="U36" s="128" t="n"/>
      <c r="V36" s="128" t="n"/>
      <c r="W36" s="128" t="n"/>
      <c r="X36" s="128" t="n"/>
      <c r="Y36" s="128" t="n"/>
      <c r="Z36" s="129" t="n"/>
      <c r="AA36" s="128" t="n"/>
      <c r="AB36" s="128" t="n"/>
      <c r="AC36" s="128" t="n"/>
      <c r="AD36" s="128" t="n"/>
      <c r="AE36" s="128" t="n"/>
      <c r="AF36" s="128" t="n"/>
      <c r="AG36" s="129" t="n"/>
      <c r="AH36" s="128" t="n"/>
      <c r="AI36" s="130">
        <f>IF(ISBLANK(B36), "", IF(ISNUMBER(D36), IF(D36&gt;0, (COUNTIF(E36:AH36, "✓") + COUNTIF(E36:AH36, "✔") + COUNTIF(E36:AH36, "v") + COUNTIF(E36:AH36, "V"))/D36, 0), IF(((COUNTIF(E36:AH36, "✓") + COUNTIF(E36:AH36, "✔") + COUNTIF(E36:AH36, "v") + COUNTIF(E36:AH36, "V")) + COUNTIF(E36:AH36, "✗") + COUNTIF(E36:AH36, "x") + COUNTIF(E36:AH36, "X"))&gt;0, (COUNTIF(E36:AH36, "✓") + COUNTIF(E36:AH36, "✔") + COUNTIF(E36:AH36, "v") + COUNTIF(E36:AH36, "V"))/((COUNTIF(E36:AH36, "✓") + COUNTIF(E36:AH36, "✔") + COUNTIF(E36:AH36, "v") + COUNTIF(E36:AH36, "V")) + COUNTIF(E36:AH36, "✗") + COUNTIF(E36:AH36, "x") + COUNTIF(E36:AH36, "X")), "")))</f>
        <v/>
      </c>
      <c r="AJ36" s="131">
        <f>IF(ISBLANK(B36), "", IF(ISNUMBER(D36), IF(D36&gt;0, (COUNTIF(E36:AH36, "✓") + COUNTIF(E36:AH36, "✔") + COUNTIF(E36:AH36, "v") + COUNTIF(E36:AH36, "V")) &amp; "/" &amp; D36, (COUNTIF(E36:AH36, "✓") + COUNTIF(E36:AH36, "✔") + COUNTIF(E36:AH36, "v") + COUNTIF(E36:AH36, "V")) &amp; "/0"), IF(((COUNTIF(E36:AH36, "✓") + COUNTIF(E36:AH36, "✔") + COUNTIF(E36:AH36, "v") + COUNTIF(E36:AH36, "V")) + COUNTIF(E36:AH36, "✗") + COUNTIF(E36:AH36, "x") + COUNTIF(E36:AH36, "X"))&gt;0, (COUNTIF(E36:AH36, "✓") + COUNTIF(E36:AH36, "✔") + COUNTIF(E36:AH36, "v") + COUNTIF(E36:AH36, "V")) &amp; "/" &amp; ((COUNTIF(E36:AH36, "✓") + COUNTIF(E36:AH36, "✔") + COUNTIF(E36:AH36, "v") + COUNTIF(E36:AH36, "V")) + COUNTIF(E36:AH36, "✗") + COUNTIF(E36:AH36, "x") + COUNTIF(E36:AH36, "X")), "")))</f>
        <v/>
      </c>
      <c r="AK36" s="131">
        <f>IF(ISBLANK(B36), "", IF(AI36&gt;=0.85, "🔥 Mastered", IF(AI36&gt;=0.7, "⚡ Consistent", "⚠️ Needs Focus")))</f>
        <v/>
      </c>
      <c r="AL36">
        <f>COUNTIF(E36:AH36, "✓")</f>
        <v/>
      </c>
    </row>
    <row r="37" ht="14.5" customHeight="1">
      <c r="A37" s="125" t="n">
        <v>20</v>
      </c>
      <c r="B37" s="126" t="n"/>
      <c r="C37" s="127" t="n"/>
      <c r="D37" s="127" t="n"/>
      <c r="E37" s="129" t="n"/>
      <c r="F37" s="128" t="n"/>
      <c r="G37" s="128" t="n"/>
      <c r="H37" s="128" t="n"/>
      <c r="I37" s="128" t="n"/>
      <c r="J37" s="128" t="n"/>
      <c r="K37" s="128" t="n"/>
      <c r="L37" s="129" t="n"/>
      <c r="M37" s="128" t="n"/>
      <c r="N37" s="128" t="n"/>
      <c r="O37" s="128" t="n"/>
      <c r="P37" s="128" t="n"/>
      <c r="Q37" s="128" t="n"/>
      <c r="R37" s="128" t="n"/>
      <c r="S37" s="129" t="n"/>
      <c r="T37" s="128" t="n"/>
      <c r="U37" s="128" t="n"/>
      <c r="V37" s="128" t="n"/>
      <c r="W37" s="128" t="n"/>
      <c r="X37" s="128" t="n"/>
      <c r="Y37" s="128" t="n"/>
      <c r="Z37" s="129" t="n"/>
      <c r="AA37" s="128" t="n"/>
      <c r="AB37" s="128" t="n"/>
      <c r="AC37" s="128" t="n"/>
      <c r="AD37" s="128" t="n"/>
      <c r="AE37" s="128" t="n"/>
      <c r="AF37" s="128" t="n"/>
      <c r="AG37" s="129" t="n"/>
      <c r="AH37" s="128" t="n"/>
      <c r="AI37" s="130">
        <f>IF(ISBLANK(B37), "", IF(ISNUMBER(D37), IF(D37&gt;0, (COUNTIF(E37:AH37, "✓") + COUNTIF(E37:AH37, "✔") + COUNTIF(E37:AH37, "v") + COUNTIF(E37:AH37, "V"))/D37, 0), IF(((COUNTIF(E37:AH37, "✓") + COUNTIF(E37:AH37, "✔") + COUNTIF(E37:AH37, "v") + COUNTIF(E37:AH37, "V")) + COUNTIF(E37:AH37, "✗") + COUNTIF(E37:AH37, "x") + COUNTIF(E37:AH37, "X"))&gt;0, (COUNTIF(E37:AH37, "✓") + COUNTIF(E37:AH37, "✔") + COUNTIF(E37:AH37, "v") + COUNTIF(E37:AH37, "V"))/((COUNTIF(E37:AH37, "✓") + COUNTIF(E37:AH37, "✔") + COUNTIF(E37:AH37, "v") + COUNTIF(E37:AH37, "V")) + COUNTIF(E37:AH37, "✗") + COUNTIF(E37:AH37, "x") + COUNTIF(E37:AH37, "X")), "")))</f>
        <v/>
      </c>
      <c r="AJ37" s="131">
        <f>IF(ISBLANK(B37), "", IF(ISNUMBER(D37), IF(D37&gt;0, (COUNTIF(E37:AH37, "✓") + COUNTIF(E37:AH37, "✔") + COUNTIF(E37:AH37, "v") + COUNTIF(E37:AH37, "V")) &amp; "/" &amp; D37, (COUNTIF(E37:AH37, "✓") + COUNTIF(E37:AH37, "✔") + COUNTIF(E37:AH37, "v") + COUNTIF(E37:AH37, "V")) &amp; "/0"), IF(((COUNTIF(E37:AH37, "✓") + COUNTIF(E37:AH37, "✔") + COUNTIF(E37:AH37, "v") + COUNTIF(E37:AH37, "V")) + COUNTIF(E37:AH37, "✗") + COUNTIF(E37:AH37, "x") + COUNTIF(E37:AH37, "X"))&gt;0, (COUNTIF(E37:AH37, "✓") + COUNTIF(E37:AH37, "✔") + COUNTIF(E37:AH37, "v") + COUNTIF(E37:AH37, "V")) &amp; "/" &amp; ((COUNTIF(E37:AH37, "✓") + COUNTIF(E37:AH37, "✔") + COUNTIF(E37:AH37, "v") + COUNTIF(E37:AH37, "V")) + COUNTIF(E37:AH37, "✗") + COUNTIF(E37:AH37, "x") + COUNTIF(E37:AH37, "X")), "")))</f>
        <v/>
      </c>
      <c r="AK37" s="131">
        <f>IF(ISBLANK(B37), "", IF(AI37&gt;=0.85, "🔥 Mastered", IF(AI37&gt;=0.7, "⚡ Consistent", "⚠️ Needs Focus")))</f>
        <v/>
      </c>
      <c r="AL37">
        <f>COUNTIF(E37:AH37, "✓")</f>
        <v/>
      </c>
    </row>
    <row r="38" ht="18" customHeight="1">
      <c r="A38" s="132" t="inlineStr">
        <is>
          <t>DAILY TOTAL SCORE</t>
        </is>
      </c>
      <c r="B38" s="54" t="n"/>
      <c r="C38" s="54" t="n"/>
      <c r="D38" s="54" t="n"/>
      <c r="E38" s="33">
        <f>IF(((COUNTIF(E18:E37, "✓") + COUNTIF(E18:E37, "✔") + COUNTIF(E18:E37, "v") + COUNTIF(E18:E37, "V")) + COUNTIF(E18:E37, "✗") + COUNTIF(E18:E37, "x") + COUNTIF(E18:E37, "X")) &gt; 0, (COUNTIF(E18:E37, "✓") + COUNTIF(E18:E37, "✔") + COUNTIF(E18:E37, "v") + COUNTIF(E18:E37, "V")) &amp; "/" &amp; ((COUNTIF(E18:E37, "✓") + COUNTIF(E18:E37, "✔") + COUNTIF(E18:E37, "v") + COUNTIF(E18:E37, "V")) + COUNTIF(E18:E37, "✗") + COUNTIF(E18:E37, "x") + COUNTIF(E18:E37, "X")), "")</f>
        <v/>
      </c>
      <c r="F38" s="33">
        <f>IF(((COUNTIF(F18:F37, "✓") + COUNTIF(F18:F37, "✔") + COUNTIF(F18:F37, "v") + COUNTIF(F18:F37, "V")) + COUNTIF(F18:F37, "✗") + COUNTIF(F18:F37, "x") + COUNTIF(F18:F37, "X")) &gt; 0, (COUNTIF(F18:F37, "✓") + COUNTIF(F18:F37, "✔") + COUNTIF(F18:F37, "v") + COUNTIF(F18:F37, "V")) &amp; "/" &amp; ((COUNTIF(F18:F37, "✓") + COUNTIF(F18:F37, "✔") + COUNTIF(F18:F37, "v") + COUNTIF(F18:F37, "V")) + COUNTIF(F18:F37, "✗") + COUNTIF(F18:F37, "x") + COUNTIF(F18:F37, "X")), "")</f>
        <v/>
      </c>
      <c r="G38" s="33">
        <f>IF(((COUNTIF(G18:G37, "✓") + COUNTIF(G18:G37, "✔") + COUNTIF(G18:G37, "v") + COUNTIF(G18:G37, "V")) + COUNTIF(G18:G37, "✗") + COUNTIF(G18:G37, "x") + COUNTIF(G18:G37, "X")) &gt; 0, (COUNTIF(G18:G37, "✓") + COUNTIF(G18:G37, "✔") + COUNTIF(G18:G37, "v") + COUNTIF(G18:G37, "V")) &amp; "/" &amp; ((COUNTIF(G18:G37, "✓") + COUNTIF(G18:G37, "✔") + COUNTIF(G18:G37, "v") + COUNTIF(G18:G37, "V")) + COUNTIF(G18:G37, "✗") + COUNTIF(G18:G37, "x") + COUNTIF(G18:G37, "X")), "")</f>
        <v/>
      </c>
      <c r="H38" s="33">
        <f>IF(((COUNTIF(H18:H37, "✓") + COUNTIF(H18:H37, "✔") + COUNTIF(H18:H37, "v") + COUNTIF(H18:H37, "V")) + COUNTIF(H18:H37, "✗") + COUNTIF(H18:H37, "x") + COUNTIF(H18:H37, "X")) &gt; 0, (COUNTIF(H18:H37, "✓") + COUNTIF(H18:H37, "✔") + COUNTIF(H18:H37, "v") + COUNTIF(H18:H37, "V")) &amp; "/" &amp; ((COUNTIF(H18:H37, "✓") + COUNTIF(H18:H37, "✔") + COUNTIF(H18:H37, "v") + COUNTIF(H18:H37, "V")) + COUNTIF(H18:H37, "✗") + COUNTIF(H18:H37, "x") + COUNTIF(H18:H37, "X")), "")</f>
        <v/>
      </c>
      <c r="I38" s="33">
        <f>IF(((COUNTIF(I18:I37, "✓") + COUNTIF(I18:I37, "✔") + COUNTIF(I18:I37, "v") + COUNTIF(I18:I37, "V")) + COUNTIF(I18:I37, "✗") + COUNTIF(I18:I37, "x") + COUNTIF(I18:I37, "X")) &gt; 0, (COUNTIF(I18:I37, "✓") + COUNTIF(I18:I37, "✔") + COUNTIF(I18:I37, "v") + COUNTIF(I18:I37, "V")) &amp; "/" &amp; ((COUNTIF(I18:I37, "✓") + COUNTIF(I18:I37, "✔") + COUNTIF(I18:I37, "v") + COUNTIF(I18:I37, "V")) + COUNTIF(I18:I37, "✗") + COUNTIF(I18:I37, "x") + COUNTIF(I18:I37, "X")), "")</f>
        <v/>
      </c>
      <c r="J38" s="33">
        <f>IF(((COUNTIF(J18:J37, "✓") + COUNTIF(J18:J37, "✔") + COUNTIF(J18:J37, "v") + COUNTIF(J18:J37, "V")) + COUNTIF(J18:J37, "✗") + COUNTIF(J18:J37, "x") + COUNTIF(J18:J37, "X")) &gt; 0, (COUNTIF(J18:J37, "✓") + COUNTIF(J18:J37, "✔") + COUNTIF(J18:J37, "v") + COUNTIF(J18:J37, "V")) &amp; "/" &amp; ((COUNTIF(J18:J37, "✓") + COUNTIF(J18:J37, "✔") + COUNTIF(J18:J37, "v") + COUNTIF(J18:J37, "V")) + COUNTIF(J18:J37, "✗") + COUNTIF(J18:J37, "x") + COUNTIF(J18:J37, "X")), "")</f>
        <v/>
      </c>
      <c r="K38" s="33">
        <f>IF(((COUNTIF(K18:K37, "✓") + COUNTIF(K18:K37, "✔") + COUNTIF(K18:K37, "v") + COUNTIF(K18:K37, "V")) + COUNTIF(K18:K37, "✗") + COUNTIF(K18:K37, "x") + COUNTIF(K18:K37, "X")) &gt; 0, (COUNTIF(K18:K37, "✓") + COUNTIF(K18:K37, "✔") + COUNTIF(K18:K37, "v") + COUNTIF(K18:K37, "V")) &amp; "/" &amp; ((COUNTIF(K18:K37, "✓") + COUNTIF(K18:K37, "✔") + COUNTIF(K18:K37, "v") + COUNTIF(K18:K37, "V")) + COUNTIF(K18:K37, "✗") + COUNTIF(K18:K37, "x") + COUNTIF(K18:K37, "X")), "")</f>
        <v/>
      </c>
      <c r="L38" s="33">
        <f>IF(((COUNTIF(L18:L37, "✓") + COUNTIF(L18:L37, "✔") + COUNTIF(L18:L37, "v") + COUNTIF(L18:L37, "V")) + COUNTIF(L18:L37, "✗") + COUNTIF(L18:L37, "x") + COUNTIF(L18:L37, "X")) &gt; 0, (COUNTIF(L18:L37, "✓") + COUNTIF(L18:L37, "✔") + COUNTIF(L18:L37, "v") + COUNTIF(L18:L37, "V")) &amp; "/" &amp; ((COUNTIF(L18:L37, "✓") + COUNTIF(L18:L37, "✔") + COUNTIF(L18:L37, "v") + COUNTIF(L18:L37, "V")) + COUNTIF(L18:L37, "✗") + COUNTIF(L18:L37, "x") + COUNTIF(L18:L37, "X")), "")</f>
        <v/>
      </c>
      <c r="M38" s="33">
        <f>IF(((COUNTIF(M18:M37, "✓") + COUNTIF(M18:M37, "✔") + COUNTIF(M18:M37, "v") + COUNTIF(M18:M37, "V")) + COUNTIF(M18:M37, "✗") + COUNTIF(M18:M37, "x") + COUNTIF(M18:M37, "X")) &gt; 0, (COUNTIF(M18:M37, "✓") + COUNTIF(M18:M37, "✔") + COUNTIF(M18:M37, "v") + COUNTIF(M18:M37, "V")) &amp; "/" &amp; ((COUNTIF(M18:M37, "✓") + COUNTIF(M18:M37, "✔") + COUNTIF(M18:M37, "v") + COUNTIF(M18:M37, "V")) + COUNTIF(M18:M37, "✗") + COUNTIF(M18:M37, "x") + COUNTIF(M18:M37, "X")), "")</f>
        <v/>
      </c>
      <c r="N38" s="33">
        <f>IF(((COUNTIF(N18:N37, "✓") + COUNTIF(N18:N37, "✔") + COUNTIF(N18:N37, "v") + COUNTIF(N18:N37, "V")) + COUNTIF(N18:N37, "✗") + COUNTIF(N18:N37, "x") + COUNTIF(N18:N37, "X")) &gt; 0, (COUNTIF(N18:N37, "✓") + COUNTIF(N18:N37, "✔") + COUNTIF(N18:N37, "v") + COUNTIF(N18:N37, "V")) &amp; "/" &amp; ((COUNTIF(N18:N37, "✓") + COUNTIF(N18:N37, "✔") + COUNTIF(N18:N37, "v") + COUNTIF(N18:N37, "V")) + COUNTIF(N18:N37, "✗") + COUNTIF(N18:N37, "x") + COUNTIF(N18:N37, "X")), "")</f>
        <v/>
      </c>
      <c r="O38" s="33">
        <f>IF(((COUNTIF(O18:O37, "✓") + COUNTIF(O18:O37, "✔") + COUNTIF(O18:O37, "v") + COUNTIF(O18:O37, "V")) + COUNTIF(O18:O37, "✗") + COUNTIF(O18:O37, "x") + COUNTIF(O18:O37, "X")) &gt; 0, (COUNTIF(O18:O37, "✓") + COUNTIF(O18:O37, "✔") + COUNTIF(O18:O37, "v") + COUNTIF(O18:O37, "V")) &amp; "/" &amp; ((COUNTIF(O18:O37, "✓") + COUNTIF(O18:O37, "✔") + COUNTIF(O18:O37, "v") + COUNTIF(O18:O37, "V")) + COUNTIF(O18:O37, "✗") + COUNTIF(O18:O37, "x") + COUNTIF(O18:O37, "X")), "")</f>
        <v/>
      </c>
      <c r="P38" s="33">
        <f>IF(((COUNTIF(P18:P37, "✓") + COUNTIF(P18:P37, "✔") + COUNTIF(P18:P37, "v") + COUNTIF(P18:P37, "V")) + COUNTIF(P18:P37, "✗") + COUNTIF(P18:P37, "x") + COUNTIF(P18:P37, "X")) &gt; 0, (COUNTIF(P18:P37, "✓") + COUNTIF(P18:P37, "✔") + COUNTIF(P18:P37, "v") + COUNTIF(P18:P37, "V")) &amp; "/" &amp; ((COUNTIF(P18:P37, "✓") + COUNTIF(P18:P37, "✔") + COUNTIF(P18:P37, "v") + COUNTIF(P18:P37, "V")) + COUNTIF(P18:P37, "✗") + COUNTIF(P18:P37, "x") + COUNTIF(P18:P37, "X")), "")</f>
        <v/>
      </c>
      <c r="Q38" s="33">
        <f>IF(((COUNTIF(Q18:Q37, "✓") + COUNTIF(Q18:Q37, "✔") + COUNTIF(Q18:Q37, "v") + COUNTIF(Q18:Q37, "V")) + COUNTIF(Q18:Q37, "✗") + COUNTIF(Q18:Q37, "x") + COUNTIF(Q18:Q37, "X")) &gt; 0, (COUNTIF(Q18:Q37, "✓") + COUNTIF(Q18:Q37, "✔") + COUNTIF(Q18:Q37, "v") + COUNTIF(Q18:Q37, "V")) &amp; "/" &amp; ((COUNTIF(Q18:Q37, "✓") + COUNTIF(Q18:Q37, "✔") + COUNTIF(Q18:Q37, "v") + COUNTIF(Q18:Q37, "V")) + COUNTIF(Q18:Q37, "✗") + COUNTIF(Q18:Q37, "x") + COUNTIF(Q18:Q37, "X")), "")</f>
        <v/>
      </c>
      <c r="R38" s="33">
        <f>IF(((COUNTIF(R18:R37, "✓") + COUNTIF(R18:R37, "✔") + COUNTIF(R18:R37, "v") + COUNTIF(R18:R37, "V")) + COUNTIF(R18:R37, "✗") + COUNTIF(R18:R37, "x") + COUNTIF(R18:R37, "X")) &gt; 0, (COUNTIF(R18:R37, "✓") + COUNTIF(R18:R37, "✔") + COUNTIF(R18:R37, "v") + COUNTIF(R18:R37, "V")) &amp; "/" &amp; ((COUNTIF(R18:R37, "✓") + COUNTIF(R18:R37, "✔") + COUNTIF(R18:R37, "v") + COUNTIF(R18:R37, "V")) + COUNTIF(R18:R37, "✗") + COUNTIF(R18:R37, "x") + COUNTIF(R18:R37, "X")), "")</f>
        <v/>
      </c>
      <c r="S38" s="33">
        <f>IF(((COUNTIF(S18:S37, "✓") + COUNTIF(S18:S37, "✔") + COUNTIF(S18:S37, "v") + COUNTIF(S18:S37, "V")) + COUNTIF(S18:S37, "✗") + COUNTIF(S18:S37, "x") + COUNTIF(S18:S37, "X")) &gt; 0, (COUNTIF(S18:S37, "✓") + COUNTIF(S18:S37, "✔") + COUNTIF(S18:S37, "v") + COUNTIF(S18:S37, "V")) &amp; "/" &amp; ((COUNTIF(S18:S37, "✓") + COUNTIF(S18:S37, "✔") + COUNTIF(S18:S37, "v") + COUNTIF(S18:S37, "V")) + COUNTIF(S18:S37, "✗") + COUNTIF(S18:S37, "x") + COUNTIF(S18:S37, "X")), "")</f>
        <v/>
      </c>
      <c r="T38" s="33">
        <f>IF(((COUNTIF(T18:T37, "✓") + COUNTIF(T18:T37, "✔") + COUNTIF(T18:T37, "v") + COUNTIF(T18:T37, "V")) + COUNTIF(T18:T37, "✗") + COUNTIF(T18:T37, "x") + COUNTIF(T18:T37, "X")) &gt; 0, (COUNTIF(T18:T37, "✓") + COUNTIF(T18:T37, "✔") + COUNTIF(T18:T37, "v") + COUNTIF(T18:T37, "V")) &amp; "/" &amp; ((COUNTIF(T18:T37, "✓") + COUNTIF(T18:T37, "✔") + COUNTIF(T18:T37, "v") + COUNTIF(T18:T37, "V")) + COUNTIF(T18:T37, "✗") + COUNTIF(T18:T37, "x") + COUNTIF(T18:T37, "X")), "")</f>
        <v/>
      </c>
      <c r="U38" s="33">
        <f>IF(((COUNTIF(U18:U37, "✓") + COUNTIF(U18:U37, "✔") + COUNTIF(U18:U37, "v") + COUNTIF(U18:U37, "V")) + COUNTIF(U18:U37, "✗") + COUNTIF(U18:U37, "x") + COUNTIF(U18:U37, "X")) &gt; 0, (COUNTIF(U18:U37, "✓") + COUNTIF(U18:U37, "✔") + COUNTIF(U18:U37, "v") + COUNTIF(U18:U37, "V")) &amp; "/" &amp; ((COUNTIF(U18:U37, "✓") + COUNTIF(U18:U37, "✔") + COUNTIF(U18:U37, "v") + COUNTIF(U18:U37, "V")) + COUNTIF(U18:U37, "✗") + COUNTIF(U18:U37, "x") + COUNTIF(U18:U37, "X")), "")</f>
        <v/>
      </c>
      <c r="V38" s="33">
        <f>IF(((COUNTIF(V18:V37, "✓") + COUNTIF(V18:V37, "✔") + COUNTIF(V18:V37, "v") + COUNTIF(V18:V37, "V")) + COUNTIF(V18:V37, "✗") + COUNTIF(V18:V37, "x") + COUNTIF(V18:V37, "X")) &gt; 0, (COUNTIF(V18:V37, "✓") + COUNTIF(V18:V37, "✔") + COUNTIF(V18:V37, "v") + COUNTIF(V18:V37, "V")) &amp; "/" &amp; ((COUNTIF(V18:V37, "✓") + COUNTIF(V18:V37, "✔") + COUNTIF(V18:V37, "v") + COUNTIF(V18:V37, "V")) + COUNTIF(V18:V37, "✗") + COUNTIF(V18:V37, "x") + COUNTIF(V18:V37, "X")), "")</f>
        <v/>
      </c>
      <c r="W38" s="33">
        <f>IF(((COUNTIF(W18:W37, "✓") + COUNTIF(W18:W37, "✔") + COUNTIF(W18:W37, "v") + COUNTIF(W18:W37, "V")) + COUNTIF(W18:W37, "✗") + COUNTIF(W18:W37, "x") + COUNTIF(W18:W37, "X")) &gt; 0, (COUNTIF(W18:W37, "✓") + COUNTIF(W18:W37, "✔") + COUNTIF(W18:W37, "v") + COUNTIF(W18:W37, "V")) &amp; "/" &amp; ((COUNTIF(W18:W37, "✓") + COUNTIF(W18:W37, "✔") + COUNTIF(W18:W37, "v") + COUNTIF(W18:W37, "V")) + COUNTIF(W18:W37, "✗") + COUNTIF(W18:W37, "x") + COUNTIF(W18:W37, "X")), "")</f>
        <v/>
      </c>
      <c r="X38" s="33">
        <f>IF(((COUNTIF(X18:X37, "✓") + COUNTIF(X18:X37, "✔") + COUNTIF(X18:X37, "v") + COUNTIF(X18:X37, "V")) + COUNTIF(X18:X37, "✗") + COUNTIF(X18:X37, "x") + COUNTIF(X18:X37, "X")) &gt; 0, (COUNTIF(X18:X37, "✓") + COUNTIF(X18:X37, "✔") + COUNTIF(X18:X37, "v") + COUNTIF(X18:X37, "V")) &amp; "/" &amp; ((COUNTIF(X18:X37, "✓") + COUNTIF(X18:X37, "✔") + COUNTIF(X18:X37, "v") + COUNTIF(X18:X37, "V")) + COUNTIF(X18:X37, "✗") + COUNTIF(X18:X37, "x") + COUNTIF(X18:X37, "X")), "")</f>
        <v/>
      </c>
      <c r="Y38" s="33">
        <f>IF(((COUNTIF(Y18:Y37, "✓") + COUNTIF(Y18:Y37, "✔") + COUNTIF(Y18:Y37, "v") + COUNTIF(Y18:Y37, "V")) + COUNTIF(Y18:Y37, "✗") + COUNTIF(Y18:Y37, "x") + COUNTIF(Y18:Y37, "X")) &gt; 0, (COUNTIF(Y18:Y37, "✓") + COUNTIF(Y18:Y37, "✔") + COUNTIF(Y18:Y37, "v") + COUNTIF(Y18:Y37, "V")) &amp; "/" &amp; ((COUNTIF(Y18:Y37, "✓") + COUNTIF(Y18:Y37, "✔") + COUNTIF(Y18:Y37, "v") + COUNTIF(Y18:Y37, "V")) + COUNTIF(Y18:Y37, "✗") + COUNTIF(Y18:Y37, "x") + COUNTIF(Y18:Y37, "X")), "")</f>
        <v/>
      </c>
      <c r="Z38" s="33">
        <f>IF(((COUNTIF(Z18:Z37, "✓") + COUNTIF(Z18:Z37, "✔") + COUNTIF(Z18:Z37, "v") + COUNTIF(Z18:Z37, "V")) + COUNTIF(Z18:Z37, "✗") + COUNTIF(Z18:Z37, "x") + COUNTIF(Z18:Z37, "X")) &gt; 0, (COUNTIF(Z18:Z37, "✓") + COUNTIF(Z18:Z37, "✔") + COUNTIF(Z18:Z37, "v") + COUNTIF(Z18:Z37, "V")) &amp; "/" &amp; ((COUNTIF(Z18:Z37, "✓") + COUNTIF(Z18:Z37, "✔") + COUNTIF(Z18:Z37, "v") + COUNTIF(Z18:Z37, "V")) + COUNTIF(Z18:Z37, "✗") + COUNTIF(Z18:Z37, "x") + COUNTIF(Z18:Z37, "X")), "")</f>
        <v/>
      </c>
      <c r="AA38" s="33">
        <f>IF(((COUNTIF(AA18:AA37, "✓") + COUNTIF(AA18:AA37, "✔") + COUNTIF(AA18:AA37, "v") + COUNTIF(AA18:AA37, "V")) + COUNTIF(AA18:AA37, "✗") + COUNTIF(AA18:AA37, "x") + COUNTIF(AA18:AA37, "X")) &gt; 0, (COUNTIF(AA18:AA37, "✓") + COUNTIF(AA18:AA37, "✔") + COUNTIF(AA18:AA37, "v") + COUNTIF(AA18:AA37, "V")) &amp; "/" &amp; ((COUNTIF(AA18:AA37, "✓") + COUNTIF(AA18:AA37, "✔") + COUNTIF(AA18:AA37, "v") + COUNTIF(AA18:AA37, "V")) + COUNTIF(AA18:AA37, "✗") + COUNTIF(AA18:AA37, "x") + COUNTIF(AA18:AA37, "X")), "")</f>
        <v/>
      </c>
      <c r="AB38" s="33">
        <f>IF(((COUNTIF(AB18:AB37, "✓") + COUNTIF(AB18:AB37, "✔") + COUNTIF(AB18:AB37, "v") + COUNTIF(AB18:AB37, "V")) + COUNTIF(AB18:AB37, "✗") + COUNTIF(AB18:AB37, "x") + COUNTIF(AB18:AB37, "X")) &gt; 0, (COUNTIF(AB18:AB37, "✓") + COUNTIF(AB18:AB37, "✔") + COUNTIF(AB18:AB37, "v") + COUNTIF(AB18:AB37, "V")) &amp; "/" &amp; ((COUNTIF(AB18:AB37, "✓") + COUNTIF(AB18:AB37, "✔") + COUNTIF(AB18:AB37, "v") + COUNTIF(AB18:AB37, "V")) + COUNTIF(AB18:AB37, "✗") + COUNTIF(AB18:AB37, "x") + COUNTIF(AB18:AB37, "X")), "")</f>
        <v/>
      </c>
      <c r="AC38" s="33">
        <f>IF(((COUNTIF(AC18:AC37, "✓") + COUNTIF(AC18:AC37, "✔") + COUNTIF(AC18:AC37, "v") + COUNTIF(AC18:AC37, "V")) + COUNTIF(AC18:AC37, "✗") + COUNTIF(AC18:AC37, "x") + COUNTIF(AC18:AC37, "X")) &gt; 0, (COUNTIF(AC18:AC37, "✓") + COUNTIF(AC18:AC37, "✔") + COUNTIF(AC18:AC37, "v") + COUNTIF(AC18:AC37, "V")) &amp; "/" &amp; ((COUNTIF(AC18:AC37, "✓") + COUNTIF(AC18:AC37, "✔") + COUNTIF(AC18:AC37, "v") + COUNTIF(AC18:AC37, "V")) + COUNTIF(AC18:AC37, "✗") + COUNTIF(AC18:AC37, "x") + COUNTIF(AC18:AC37, "X")), "")</f>
        <v/>
      </c>
      <c r="AD38" s="33">
        <f>IF(((COUNTIF(AD18:AD37, "✓") + COUNTIF(AD18:AD37, "✔") + COUNTIF(AD18:AD37, "v") + COUNTIF(AD18:AD37, "V")) + COUNTIF(AD18:AD37, "✗") + COUNTIF(AD18:AD37, "x") + COUNTIF(AD18:AD37, "X")) &gt; 0, (COUNTIF(AD18:AD37, "✓") + COUNTIF(AD18:AD37, "✔") + COUNTIF(AD18:AD37, "v") + COUNTIF(AD18:AD37, "V")) &amp; "/" &amp; ((COUNTIF(AD18:AD37, "✓") + COUNTIF(AD18:AD37, "✔") + COUNTIF(AD18:AD37, "v") + COUNTIF(AD18:AD37, "V")) + COUNTIF(AD18:AD37, "✗") + COUNTIF(AD18:AD37, "x") + COUNTIF(AD18:AD37, "X")), "")</f>
        <v/>
      </c>
      <c r="AE38" s="33">
        <f>IF(((COUNTIF(AE18:AE37, "✓") + COUNTIF(AE18:AE37, "✔") + COUNTIF(AE18:AE37, "v") + COUNTIF(AE18:AE37, "V")) + COUNTIF(AE18:AE37, "✗") + COUNTIF(AE18:AE37, "x") + COUNTIF(AE18:AE37, "X")) &gt; 0, (COUNTIF(AE18:AE37, "✓") + COUNTIF(AE18:AE37, "✔") + COUNTIF(AE18:AE37, "v") + COUNTIF(AE18:AE37, "V")) &amp; "/" &amp; ((COUNTIF(AE18:AE37, "✓") + COUNTIF(AE18:AE37, "✔") + COUNTIF(AE18:AE37, "v") + COUNTIF(AE18:AE37, "V")) + COUNTIF(AE18:AE37, "✗") + COUNTIF(AE18:AE37, "x") + COUNTIF(AE18:AE37, "X")), "")</f>
        <v/>
      </c>
      <c r="AF38" s="33">
        <f>IF(((COUNTIF(AF18:AF37, "✓") + COUNTIF(AF18:AF37, "✔") + COUNTIF(AF18:AF37, "v") + COUNTIF(AF18:AF37, "V")) + COUNTIF(AF18:AF37, "✗") + COUNTIF(AF18:AF37, "x") + COUNTIF(AF18:AF37, "X")) &gt; 0, (COUNTIF(AF18:AF37, "✓") + COUNTIF(AF18:AF37, "✔") + COUNTIF(AF18:AF37, "v") + COUNTIF(AF18:AF37, "V")) &amp; "/" &amp; ((COUNTIF(AF18:AF37, "✓") + COUNTIF(AF18:AF37, "✔") + COUNTIF(AF18:AF37, "v") + COUNTIF(AF18:AF37, "V")) + COUNTIF(AF18:AF37, "✗") + COUNTIF(AF18:AF37, "x") + COUNTIF(AF18:AF37, "X")), "")</f>
        <v/>
      </c>
      <c r="AG38" s="33">
        <f>IF(((COUNTIF(AG18:AG37, "✓") + COUNTIF(AG18:AG37, "✔") + COUNTIF(AG18:AG37, "v") + COUNTIF(AG18:AG37, "V")) + COUNTIF(AG18:AG37, "✗") + COUNTIF(AG18:AG37, "x") + COUNTIF(AG18:AG37, "X")) &gt; 0, (COUNTIF(AG18:AG37, "✓") + COUNTIF(AG18:AG37, "✔") + COUNTIF(AG18:AG37, "v") + COUNTIF(AG18:AG37, "V")) &amp; "/" &amp; ((COUNTIF(AG18:AG37, "✓") + COUNTIF(AG18:AG37, "✔") + COUNTIF(AG18:AG37, "v") + COUNTIF(AG18:AG37, "V")) + COUNTIF(AG18:AG37, "✗") + COUNTIF(AG18:AG37, "x") + COUNTIF(AG18:AG37, "X")), "")</f>
        <v/>
      </c>
      <c r="AH38" s="33">
        <f>IF(((COUNTIF(AH18:AH37, "✓") + COUNTIF(AH18:AH37, "✔") + COUNTIF(AH18:AH37, "v") + COUNTIF(AH18:AH37, "V")) + COUNTIF(AH18:AH37, "✗") + COUNTIF(AH18:AH37, "x") + COUNTIF(AH18:AH37, "X")) &gt; 0, (COUNTIF(AH18:AH37, "✓") + COUNTIF(AH18:AH37, "✔") + COUNTIF(AH18:AH37, "v") + COUNTIF(AH18:AH37, "V")) &amp; "/" &amp; ((COUNTIF(AH18:AH37, "✓") + COUNTIF(AH18:AH37, "✔") + COUNTIF(AH18:AH37, "v") + COUNTIF(AH18:AH37, "V")) + COUNTIF(AH18:AH37, "✗") + COUNTIF(AH18:AH37, "x") + COUNTIF(AH18:AH37, "X")), "")</f>
        <v/>
      </c>
      <c r="AI38" s="133">
        <f>IF(SUM(D18:D37) &gt; 0, SUM(AL18:AL37) / SUM(D18:D37), "")</f>
        <v/>
      </c>
      <c r="AJ38" s="33">
        <f>IF(SUM(D18:D37) &gt; 0, SUM(AL18:AL37) &amp; "/" &amp; SUM(D18:D37), "")</f>
        <v/>
      </c>
      <c r="AK38" s="54" t="n"/>
    </row>
    <row r="39" ht="18" customHeight="1">
      <c r="A39" s="132" t="inlineStr">
        <is>
          <t>DAILY SUCCESS %</t>
        </is>
      </c>
      <c r="B39" s="54" t="n"/>
      <c r="C39" s="54" t="n"/>
      <c r="D39" s="54" t="n"/>
      <c r="E39" s="134">
        <f>IF(((COUNTIF(E18:E37, "✓") + COUNTIF(E18:E37, "✔") + COUNTIF(E18:E37, "v") + COUNTIF(E18:E37, "V")) + COUNTIF(E18:E37, "✗") + COUNTIF(E18:E37, "x") + COUNTIF(E18:E37, "X")) &gt; 0, (COUNTIF(E18:E37, "✓") + COUNTIF(E18:E37, "✔") + COUNTIF(E18:E37, "v") + COUNTIF(E18:E37, "V")) / ((COUNTIF(E18:E37, "✓") + COUNTIF(E18:E37, "✔") + COUNTIF(E18:E37, "v") + COUNTIF(E18:E37, "V")) + COUNTIF(E18:E37, "✗") + COUNTIF(E18:E37, "x") + COUNTIF(E18:E37, "X")), "")</f>
        <v/>
      </c>
      <c r="F39" s="134">
        <f>IF(((COUNTIF(F18:F37, "✓") + COUNTIF(F18:F37, "✔") + COUNTIF(F18:F37, "v") + COUNTIF(F18:F37, "V")) + COUNTIF(F18:F37, "✗") + COUNTIF(F18:F37, "x") + COUNTIF(F18:F37, "X")) &gt; 0, (COUNTIF(F18:F37, "✓") + COUNTIF(F18:F37, "✔") + COUNTIF(F18:F37, "v") + COUNTIF(F18:F37, "V")) / ((COUNTIF(F18:F37, "✓") + COUNTIF(F18:F37, "✔") + COUNTIF(F18:F37, "v") + COUNTIF(F18:F37, "V")) + COUNTIF(F18:F37, "✗") + COUNTIF(F18:F37, "x") + COUNTIF(F18:F37, "X")), "")</f>
        <v/>
      </c>
      <c r="G39" s="134">
        <f>IF(((COUNTIF(G18:G37, "✓") + COUNTIF(G18:G37, "✔") + COUNTIF(G18:G37, "v") + COUNTIF(G18:G37, "V")) + COUNTIF(G18:G37, "✗") + COUNTIF(G18:G37, "x") + COUNTIF(G18:G37, "X")) &gt; 0, (COUNTIF(G18:G37, "✓") + COUNTIF(G18:G37, "✔") + COUNTIF(G18:G37, "v") + COUNTIF(G18:G37, "V")) / ((COUNTIF(G18:G37, "✓") + COUNTIF(G18:G37, "✔") + COUNTIF(G18:G37, "v") + COUNTIF(G18:G37, "V")) + COUNTIF(G18:G37, "✗") + COUNTIF(G18:G37, "x") + COUNTIF(G18:G37, "X")), "")</f>
        <v/>
      </c>
      <c r="H39" s="134">
        <f>IF(((COUNTIF(H18:H37, "✓") + COUNTIF(H18:H37, "✔") + COUNTIF(H18:H37, "v") + COUNTIF(H18:H37, "V")) + COUNTIF(H18:H37, "✗") + COUNTIF(H18:H37, "x") + COUNTIF(H18:H37, "X")) &gt; 0, (COUNTIF(H18:H37, "✓") + COUNTIF(H18:H37, "✔") + COUNTIF(H18:H37, "v") + COUNTIF(H18:H37, "V")) / ((COUNTIF(H18:H37, "✓") + COUNTIF(H18:H37, "✔") + COUNTIF(H18:H37, "v") + COUNTIF(H18:H37, "V")) + COUNTIF(H18:H37, "✗") + COUNTIF(H18:H37, "x") + COUNTIF(H18:H37, "X")), "")</f>
        <v/>
      </c>
      <c r="I39" s="134">
        <f>IF(((COUNTIF(I18:I37, "✓") + COUNTIF(I18:I37, "✔") + COUNTIF(I18:I37, "v") + COUNTIF(I18:I37, "V")) + COUNTIF(I18:I37, "✗") + COUNTIF(I18:I37, "x") + COUNTIF(I18:I37, "X")) &gt; 0, (COUNTIF(I18:I37, "✓") + COUNTIF(I18:I37, "✔") + COUNTIF(I18:I37, "v") + COUNTIF(I18:I37, "V")) / ((COUNTIF(I18:I37, "✓") + COUNTIF(I18:I37, "✔") + COUNTIF(I18:I37, "v") + COUNTIF(I18:I37, "V")) + COUNTIF(I18:I37, "✗") + COUNTIF(I18:I37, "x") + COUNTIF(I18:I37, "X")), "")</f>
        <v/>
      </c>
      <c r="J39" s="134">
        <f>IF(((COUNTIF(J18:J37, "✓") + COUNTIF(J18:J37, "✔") + COUNTIF(J18:J37, "v") + COUNTIF(J18:J37, "V")) + COUNTIF(J18:J37, "✗") + COUNTIF(J18:J37, "x") + COUNTIF(J18:J37, "X")) &gt; 0, (COUNTIF(J18:J37, "✓") + COUNTIF(J18:J37, "✔") + COUNTIF(J18:J37, "v") + COUNTIF(J18:J37, "V")) / ((COUNTIF(J18:J37, "✓") + COUNTIF(J18:J37, "✔") + COUNTIF(J18:J37, "v") + COUNTIF(J18:J37, "V")) + COUNTIF(J18:J37, "✗") + COUNTIF(J18:J37, "x") + COUNTIF(J18:J37, "X")), "")</f>
        <v/>
      </c>
      <c r="K39" s="134">
        <f>IF(((COUNTIF(K18:K37, "✓") + COUNTIF(K18:K37, "✔") + COUNTIF(K18:K37, "v") + COUNTIF(K18:K37, "V")) + COUNTIF(K18:K37, "✗") + COUNTIF(K18:K37, "x") + COUNTIF(K18:K37, "X")) &gt; 0, (COUNTIF(K18:K37, "✓") + COUNTIF(K18:K37, "✔") + COUNTIF(K18:K37, "v") + COUNTIF(K18:K37, "V")) / ((COUNTIF(K18:K37, "✓") + COUNTIF(K18:K37, "✔") + COUNTIF(K18:K37, "v") + COUNTIF(K18:K37, "V")) + COUNTIF(K18:K37, "✗") + COUNTIF(K18:K37, "x") + COUNTIF(K18:K37, "X")), "")</f>
        <v/>
      </c>
      <c r="L39" s="134">
        <f>IF(((COUNTIF(L18:L37, "✓") + COUNTIF(L18:L37, "✔") + COUNTIF(L18:L37, "v") + COUNTIF(L18:L37, "V")) + COUNTIF(L18:L37, "✗") + COUNTIF(L18:L37, "x") + COUNTIF(L18:L37, "X")) &gt; 0, (COUNTIF(L18:L37, "✓") + COUNTIF(L18:L37, "✔") + COUNTIF(L18:L37, "v") + COUNTIF(L18:L37, "V")) / ((COUNTIF(L18:L37, "✓") + COUNTIF(L18:L37, "✔") + COUNTIF(L18:L37, "v") + COUNTIF(L18:L37, "V")) + COUNTIF(L18:L37, "✗") + COUNTIF(L18:L37, "x") + COUNTIF(L18:L37, "X")), "")</f>
        <v/>
      </c>
      <c r="M39" s="134">
        <f>IF(((COUNTIF(M18:M37, "✓") + COUNTIF(M18:M37, "✔") + COUNTIF(M18:M37, "v") + COUNTIF(M18:M37, "V")) + COUNTIF(M18:M37, "✗") + COUNTIF(M18:M37, "x") + COUNTIF(M18:M37, "X")) &gt; 0, (COUNTIF(M18:M37, "✓") + COUNTIF(M18:M37, "✔") + COUNTIF(M18:M37, "v") + COUNTIF(M18:M37, "V")) / ((COUNTIF(M18:M37, "✓") + COUNTIF(M18:M37, "✔") + COUNTIF(M18:M37, "v") + COUNTIF(M18:M37, "V")) + COUNTIF(M18:M37, "✗") + COUNTIF(M18:M37, "x") + COUNTIF(M18:M37, "X")), "")</f>
        <v/>
      </c>
      <c r="N39" s="134">
        <f>IF(((COUNTIF(N18:N37, "✓") + COUNTIF(N18:N37, "✔") + COUNTIF(N18:N37, "v") + COUNTIF(N18:N37, "V")) + COUNTIF(N18:N37, "✗") + COUNTIF(N18:N37, "x") + COUNTIF(N18:N37, "X")) &gt; 0, (COUNTIF(N18:N37, "✓") + COUNTIF(N18:N37, "✔") + COUNTIF(N18:N37, "v") + COUNTIF(N18:N37, "V")) / ((COUNTIF(N18:N37, "✓") + COUNTIF(N18:N37, "✔") + COUNTIF(N18:N37, "v") + COUNTIF(N18:N37, "V")) + COUNTIF(N18:N37, "✗") + COUNTIF(N18:N37, "x") + COUNTIF(N18:N37, "X")), "")</f>
        <v/>
      </c>
      <c r="O39" s="134">
        <f>IF(((COUNTIF(O18:O37, "✓") + COUNTIF(O18:O37, "✔") + COUNTIF(O18:O37, "v") + COUNTIF(O18:O37, "V")) + COUNTIF(O18:O37, "✗") + COUNTIF(O18:O37, "x") + COUNTIF(O18:O37, "X")) &gt; 0, (COUNTIF(O18:O37, "✓") + COUNTIF(O18:O37, "✔") + COUNTIF(O18:O37, "v") + COUNTIF(O18:O37, "V")) / ((COUNTIF(O18:O37, "✓") + COUNTIF(O18:O37, "✔") + COUNTIF(O18:O37, "v") + COUNTIF(O18:O37, "V")) + COUNTIF(O18:O37, "✗") + COUNTIF(O18:O37, "x") + COUNTIF(O18:O37, "X")), "")</f>
        <v/>
      </c>
      <c r="P39" s="134">
        <f>IF(((COUNTIF(P18:P37, "✓") + COUNTIF(P18:P37, "✔") + COUNTIF(P18:P37, "v") + COUNTIF(P18:P37, "V")) + COUNTIF(P18:P37, "✗") + COUNTIF(P18:P37, "x") + COUNTIF(P18:P37, "X")) &gt; 0, (COUNTIF(P18:P37, "✓") + COUNTIF(P18:P37, "✔") + COUNTIF(P18:P37, "v") + COUNTIF(P18:P37, "V")) / ((COUNTIF(P18:P37, "✓") + COUNTIF(P18:P37, "✔") + COUNTIF(P18:P37, "v") + COUNTIF(P18:P37, "V")) + COUNTIF(P18:P37, "✗") + COUNTIF(P18:P37, "x") + COUNTIF(P18:P37, "X")), "")</f>
        <v/>
      </c>
      <c r="Q39" s="134">
        <f>IF(((COUNTIF(Q18:Q37, "✓") + COUNTIF(Q18:Q37, "✔") + COUNTIF(Q18:Q37, "v") + COUNTIF(Q18:Q37, "V")) + COUNTIF(Q18:Q37, "✗") + COUNTIF(Q18:Q37, "x") + COUNTIF(Q18:Q37, "X")) &gt; 0, (COUNTIF(Q18:Q37, "✓") + COUNTIF(Q18:Q37, "✔") + COUNTIF(Q18:Q37, "v") + COUNTIF(Q18:Q37, "V")) / ((COUNTIF(Q18:Q37, "✓") + COUNTIF(Q18:Q37, "✔") + COUNTIF(Q18:Q37, "v") + COUNTIF(Q18:Q37, "V")) + COUNTIF(Q18:Q37, "✗") + COUNTIF(Q18:Q37, "x") + COUNTIF(Q18:Q37, "X")), "")</f>
        <v/>
      </c>
      <c r="R39" s="134">
        <f>IF(((COUNTIF(R18:R37, "✓") + COUNTIF(R18:R37, "✔") + COUNTIF(R18:R37, "v") + COUNTIF(R18:R37, "V")) + COUNTIF(R18:R37, "✗") + COUNTIF(R18:R37, "x") + COUNTIF(R18:R37, "X")) &gt; 0, (COUNTIF(R18:R37, "✓") + COUNTIF(R18:R37, "✔") + COUNTIF(R18:R37, "v") + COUNTIF(R18:R37, "V")) / ((COUNTIF(R18:R37, "✓") + COUNTIF(R18:R37, "✔") + COUNTIF(R18:R37, "v") + COUNTIF(R18:R37, "V")) + COUNTIF(R18:R37, "✗") + COUNTIF(R18:R37, "x") + COUNTIF(R18:R37, "X")), "")</f>
        <v/>
      </c>
      <c r="S39" s="134">
        <f>IF(((COUNTIF(S18:S37, "✓") + COUNTIF(S18:S37, "✔") + COUNTIF(S18:S37, "v") + COUNTIF(S18:S37, "V")) + COUNTIF(S18:S37, "✗") + COUNTIF(S18:S37, "x") + COUNTIF(S18:S37, "X")) &gt; 0, (COUNTIF(S18:S37, "✓") + COUNTIF(S18:S37, "✔") + COUNTIF(S18:S37, "v") + COUNTIF(S18:S37, "V")) / ((COUNTIF(S18:S37, "✓") + COUNTIF(S18:S37, "✔") + COUNTIF(S18:S37, "v") + COUNTIF(S18:S37, "V")) + COUNTIF(S18:S37, "✗") + COUNTIF(S18:S37, "x") + COUNTIF(S18:S37, "X")), "")</f>
        <v/>
      </c>
      <c r="T39" s="134">
        <f>IF(((COUNTIF(T18:T37, "✓") + COUNTIF(T18:T37, "✔") + COUNTIF(T18:T37, "v") + COUNTIF(T18:T37, "V")) + COUNTIF(T18:T37, "✗") + COUNTIF(T18:T37, "x") + COUNTIF(T18:T37, "X")) &gt; 0, (COUNTIF(T18:T37, "✓") + COUNTIF(T18:T37, "✔") + COUNTIF(T18:T37, "v") + COUNTIF(T18:T37, "V")) / ((COUNTIF(T18:T37, "✓") + COUNTIF(T18:T37, "✔") + COUNTIF(T18:T37, "v") + COUNTIF(T18:T37, "V")) + COUNTIF(T18:T37, "✗") + COUNTIF(T18:T37, "x") + COUNTIF(T18:T37, "X")), "")</f>
        <v/>
      </c>
      <c r="U39" s="134">
        <f>IF(((COUNTIF(U18:U37, "✓") + COUNTIF(U18:U37, "✔") + COUNTIF(U18:U37, "v") + COUNTIF(U18:U37, "V")) + COUNTIF(U18:U37, "✗") + COUNTIF(U18:U37, "x") + COUNTIF(U18:U37, "X")) &gt; 0, (COUNTIF(U18:U37, "✓") + COUNTIF(U18:U37, "✔") + COUNTIF(U18:U37, "v") + COUNTIF(U18:U37, "V")) / ((COUNTIF(U18:U37, "✓") + COUNTIF(U18:U37, "✔") + COUNTIF(U18:U37, "v") + COUNTIF(U18:U37, "V")) + COUNTIF(U18:U37, "✗") + COUNTIF(U18:U37, "x") + COUNTIF(U18:U37, "X")), "")</f>
        <v/>
      </c>
      <c r="V39" s="134">
        <f>IF(((COUNTIF(V18:V37, "✓") + COUNTIF(V18:V37, "✔") + COUNTIF(V18:V37, "v") + COUNTIF(V18:V37, "V")) + COUNTIF(V18:V37, "✗") + COUNTIF(V18:V37, "x") + COUNTIF(V18:V37, "X")) &gt; 0, (COUNTIF(V18:V37, "✓") + COUNTIF(V18:V37, "✔") + COUNTIF(V18:V37, "v") + COUNTIF(V18:V37, "V")) / ((COUNTIF(V18:V37, "✓") + COUNTIF(V18:V37, "✔") + COUNTIF(V18:V37, "v") + COUNTIF(V18:V37, "V")) + COUNTIF(V18:V37, "✗") + COUNTIF(V18:V37, "x") + COUNTIF(V18:V37, "X")), "")</f>
        <v/>
      </c>
      <c r="W39" s="134">
        <f>IF(((COUNTIF(W18:W37, "✓") + COUNTIF(W18:W37, "✔") + COUNTIF(W18:W37, "v") + COUNTIF(W18:W37, "V")) + COUNTIF(W18:W37, "✗") + COUNTIF(W18:W37, "x") + COUNTIF(W18:W37, "X")) &gt; 0, (COUNTIF(W18:W37, "✓") + COUNTIF(W18:W37, "✔") + COUNTIF(W18:W37, "v") + COUNTIF(W18:W37, "V")) / ((COUNTIF(W18:W37, "✓") + COUNTIF(W18:W37, "✔") + COUNTIF(W18:W37, "v") + COUNTIF(W18:W37, "V")) + COUNTIF(W18:W37, "✗") + COUNTIF(W18:W37, "x") + COUNTIF(W18:W37, "X")), "")</f>
        <v/>
      </c>
      <c r="X39" s="134">
        <f>IF(((COUNTIF(X18:X37, "✓") + COUNTIF(X18:X37, "✔") + COUNTIF(X18:X37, "v") + COUNTIF(X18:X37, "V")) + COUNTIF(X18:X37, "✗") + COUNTIF(X18:X37, "x") + COUNTIF(X18:X37, "X")) &gt; 0, (COUNTIF(X18:X37, "✓") + COUNTIF(X18:X37, "✔") + COUNTIF(X18:X37, "v") + COUNTIF(X18:X37, "V")) / ((COUNTIF(X18:X37, "✓") + COUNTIF(X18:X37, "✔") + COUNTIF(X18:X37, "v") + COUNTIF(X18:X37, "V")) + COUNTIF(X18:X37, "✗") + COUNTIF(X18:X37, "x") + COUNTIF(X18:X37, "X")), "")</f>
        <v/>
      </c>
      <c r="Y39" s="134">
        <f>IF(((COUNTIF(Y18:Y37, "✓") + COUNTIF(Y18:Y37, "✔") + COUNTIF(Y18:Y37, "v") + COUNTIF(Y18:Y37, "V")) + COUNTIF(Y18:Y37, "✗") + COUNTIF(Y18:Y37, "x") + COUNTIF(Y18:Y37, "X")) &gt; 0, (COUNTIF(Y18:Y37, "✓") + COUNTIF(Y18:Y37, "✔") + COUNTIF(Y18:Y37, "v") + COUNTIF(Y18:Y37, "V")) / ((COUNTIF(Y18:Y37, "✓") + COUNTIF(Y18:Y37, "✔") + COUNTIF(Y18:Y37, "v") + COUNTIF(Y18:Y37, "V")) + COUNTIF(Y18:Y37, "✗") + COUNTIF(Y18:Y37, "x") + COUNTIF(Y18:Y37, "X")), "")</f>
        <v/>
      </c>
      <c r="Z39" s="134">
        <f>IF(((COUNTIF(Z18:Z37, "✓") + COUNTIF(Z18:Z37, "✔") + COUNTIF(Z18:Z37, "v") + COUNTIF(Z18:Z37, "V")) + COUNTIF(Z18:Z37, "✗") + COUNTIF(Z18:Z37, "x") + COUNTIF(Z18:Z37, "X")) &gt; 0, (COUNTIF(Z18:Z37, "✓") + COUNTIF(Z18:Z37, "✔") + COUNTIF(Z18:Z37, "v") + COUNTIF(Z18:Z37, "V")) / ((COUNTIF(Z18:Z37, "✓") + COUNTIF(Z18:Z37, "✔") + COUNTIF(Z18:Z37, "v") + COUNTIF(Z18:Z37, "V")) + COUNTIF(Z18:Z37, "✗") + COUNTIF(Z18:Z37, "x") + COUNTIF(Z18:Z37, "X")), "")</f>
        <v/>
      </c>
      <c r="AA39" s="134">
        <f>IF(((COUNTIF(AA18:AA37, "✓") + COUNTIF(AA18:AA37, "✔") + COUNTIF(AA18:AA37, "v") + COUNTIF(AA18:AA37, "V")) + COUNTIF(AA18:AA37, "✗") + COUNTIF(AA18:AA37, "x") + COUNTIF(AA18:AA37, "X")) &gt; 0, (COUNTIF(AA18:AA37, "✓") + COUNTIF(AA18:AA37, "✔") + COUNTIF(AA18:AA37, "v") + COUNTIF(AA18:AA37, "V")) / ((COUNTIF(AA18:AA37, "✓") + COUNTIF(AA18:AA37, "✔") + COUNTIF(AA18:AA37, "v") + COUNTIF(AA18:AA37, "V")) + COUNTIF(AA18:AA37, "✗") + COUNTIF(AA18:AA37, "x") + COUNTIF(AA18:AA37, "X")), "")</f>
        <v/>
      </c>
      <c r="AB39" s="134">
        <f>IF(((COUNTIF(AB18:AB37, "✓") + COUNTIF(AB18:AB37, "✔") + COUNTIF(AB18:AB37, "v") + COUNTIF(AB18:AB37, "V")) + COUNTIF(AB18:AB37, "✗") + COUNTIF(AB18:AB37, "x") + COUNTIF(AB18:AB37, "X")) &gt; 0, (COUNTIF(AB18:AB37, "✓") + COUNTIF(AB18:AB37, "✔") + COUNTIF(AB18:AB37, "v") + COUNTIF(AB18:AB37, "V")) / ((COUNTIF(AB18:AB37, "✓") + COUNTIF(AB18:AB37, "✔") + COUNTIF(AB18:AB37, "v") + COUNTIF(AB18:AB37, "V")) + COUNTIF(AB18:AB37, "✗") + COUNTIF(AB18:AB37, "x") + COUNTIF(AB18:AB37, "X")), "")</f>
        <v/>
      </c>
      <c r="AC39" s="134">
        <f>IF(((COUNTIF(AC18:AC37, "✓") + COUNTIF(AC18:AC37, "✔") + COUNTIF(AC18:AC37, "v") + COUNTIF(AC18:AC37, "V")) + COUNTIF(AC18:AC37, "✗") + COUNTIF(AC18:AC37, "x") + COUNTIF(AC18:AC37, "X")) &gt; 0, (COUNTIF(AC18:AC37, "✓") + COUNTIF(AC18:AC37, "✔") + COUNTIF(AC18:AC37, "v") + COUNTIF(AC18:AC37, "V")) / ((COUNTIF(AC18:AC37, "✓") + COUNTIF(AC18:AC37, "✔") + COUNTIF(AC18:AC37, "v") + COUNTIF(AC18:AC37, "V")) + COUNTIF(AC18:AC37, "✗") + COUNTIF(AC18:AC37, "x") + COUNTIF(AC18:AC37, "X")), "")</f>
        <v/>
      </c>
      <c r="AD39" s="134">
        <f>IF(((COUNTIF(AD18:AD37, "✓") + COUNTIF(AD18:AD37, "✔") + COUNTIF(AD18:AD37, "v") + COUNTIF(AD18:AD37, "V")) + COUNTIF(AD18:AD37, "✗") + COUNTIF(AD18:AD37, "x") + COUNTIF(AD18:AD37, "X")) &gt; 0, (COUNTIF(AD18:AD37, "✓") + COUNTIF(AD18:AD37, "✔") + COUNTIF(AD18:AD37, "v") + COUNTIF(AD18:AD37, "V")) / ((COUNTIF(AD18:AD37, "✓") + COUNTIF(AD18:AD37, "✔") + COUNTIF(AD18:AD37, "v") + COUNTIF(AD18:AD37, "V")) + COUNTIF(AD18:AD37, "✗") + COUNTIF(AD18:AD37, "x") + COUNTIF(AD18:AD37, "X")), "")</f>
        <v/>
      </c>
      <c r="AE39" s="134">
        <f>IF(((COUNTIF(AE18:AE37, "✓") + COUNTIF(AE18:AE37, "✔") + COUNTIF(AE18:AE37, "v") + COUNTIF(AE18:AE37, "V")) + COUNTIF(AE18:AE37, "✗") + COUNTIF(AE18:AE37, "x") + COUNTIF(AE18:AE37, "X")) &gt; 0, (COUNTIF(AE18:AE37, "✓") + COUNTIF(AE18:AE37, "✔") + COUNTIF(AE18:AE37, "v") + COUNTIF(AE18:AE37, "V")) / ((COUNTIF(AE18:AE37, "✓") + COUNTIF(AE18:AE37, "✔") + COUNTIF(AE18:AE37, "v") + COUNTIF(AE18:AE37, "V")) + COUNTIF(AE18:AE37, "✗") + COUNTIF(AE18:AE37, "x") + COUNTIF(AE18:AE37, "X")), "")</f>
        <v/>
      </c>
      <c r="AF39" s="134">
        <f>IF(((COUNTIF(AF18:AF37, "✓") + COUNTIF(AF18:AF37, "✔") + COUNTIF(AF18:AF37, "v") + COUNTIF(AF18:AF37, "V")) + COUNTIF(AF18:AF37, "✗") + COUNTIF(AF18:AF37, "x") + COUNTIF(AF18:AF37, "X")) &gt; 0, (COUNTIF(AF18:AF37, "✓") + COUNTIF(AF18:AF37, "✔") + COUNTIF(AF18:AF37, "v") + COUNTIF(AF18:AF37, "V")) / ((COUNTIF(AF18:AF37, "✓") + COUNTIF(AF18:AF37, "✔") + COUNTIF(AF18:AF37, "v") + COUNTIF(AF18:AF37, "V")) + COUNTIF(AF18:AF37, "✗") + COUNTIF(AF18:AF37, "x") + COUNTIF(AF18:AF37, "X")), "")</f>
        <v/>
      </c>
      <c r="AG39" s="134">
        <f>IF(((COUNTIF(AG18:AG37, "✓") + COUNTIF(AG18:AG37, "✔") + COUNTIF(AG18:AG37, "v") + COUNTIF(AG18:AG37, "V")) + COUNTIF(AG18:AG37, "✗") + COUNTIF(AG18:AG37, "x") + COUNTIF(AG18:AG37, "X")) &gt; 0, (COUNTIF(AG18:AG37, "✓") + COUNTIF(AG18:AG37, "✔") + COUNTIF(AG18:AG37, "v") + COUNTIF(AG18:AG37, "V")) / ((COUNTIF(AG18:AG37, "✓") + COUNTIF(AG18:AG37, "✔") + COUNTIF(AG18:AG37, "v") + COUNTIF(AG18:AG37, "V")) + COUNTIF(AG18:AG37, "✗") + COUNTIF(AG18:AG37, "x") + COUNTIF(AG18:AG37, "X")), "")</f>
        <v/>
      </c>
      <c r="AH39" s="134">
        <f>IF(((COUNTIF(AH18:AH37, "✓") + COUNTIF(AH18:AH37, "✔") + COUNTIF(AH18:AH37, "v") + COUNTIF(AH18:AH37, "V")) + COUNTIF(AH18:AH37, "✗") + COUNTIF(AH18:AH37, "x") + COUNTIF(AH18:AH37, "X")) &gt; 0, (COUNTIF(AH18:AH37, "✓") + COUNTIF(AH18:AH37, "✔") + COUNTIF(AH18:AH37, "v") + COUNTIF(AH18:AH37, "V")) / ((COUNTIF(AH18:AH37, "✓") + COUNTIF(AH18:AH37, "✔") + COUNTIF(AH18:AH37, "v") + COUNTIF(AH18:AH37, "V")) + COUNTIF(AH18:AH37, "✗") + COUNTIF(AH18:AH37, "x") + COUNTIF(AH18:AH37, "X")), "")</f>
        <v/>
      </c>
      <c r="AI39" s="133">
        <f>IF(COUNT(E39:AH39) &gt; 0, AVERAGE(E39:AH39), "")</f>
        <v/>
      </c>
      <c r="AJ39" s="54" t="n"/>
      <c r="AK39" s="54" t="n"/>
    </row>
    <row r="40" ht="6" customHeight="1"/>
    <row r="41" ht="15" customHeight="1">
      <c r="A41" s="135" t="inlineStr">
        <is>
          <t>IF SUCCESS &lt; 80%, PUNISHMENT: ________________________________________________</t>
        </is>
      </c>
    </row>
    <row r="42" ht="15" customHeight="1">
      <c r="A42" s="136" t="inlineStr">
        <is>
          <t>IF SUCCESS &gt; 90%, REWARD: __________________________________________________</t>
        </is>
      </c>
    </row>
    <row r="43" ht="10" customHeight="1"/>
    <row r="44" ht="10" customHeight="1"/>
    <row r="45" ht="15" customHeight="1">
      <c r="A45" s="51" t="inlineStr">
        <is>
          <t>Sleep Tracking</t>
        </is>
      </c>
      <c r="B45" s="52" t="n"/>
      <c r="C45" s="52" t="n"/>
      <c r="D45" s="52" t="n"/>
      <c r="E45" s="138" t="n">
        <v>1</v>
      </c>
      <c r="F45" s="137" t="n">
        <v>2</v>
      </c>
      <c r="G45" s="137" t="n">
        <v>3</v>
      </c>
      <c r="H45" s="137" t="n">
        <v>4</v>
      </c>
      <c r="I45" s="137" t="n">
        <v>5</v>
      </c>
      <c r="J45" s="137" t="n">
        <v>6</v>
      </c>
      <c r="K45" s="137" t="n">
        <v>7</v>
      </c>
      <c r="L45" s="138" t="n">
        <v>8</v>
      </c>
      <c r="M45" s="137" t="n">
        <v>9</v>
      </c>
      <c r="N45" s="137" t="n">
        <v>10</v>
      </c>
      <c r="O45" s="137" t="n">
        <v>11</v>
      </c>
      <c r="P45" s="137" t="n">
        <v>12</v>
      </c>
      <c r="Q45" s="137" t="n">
        <v>13</v>
      </c>
      <c r="R45" s="137" t="n">
        <v>14</v>
      </c>
      <c r="S45" s="138" t="n">
        <v>15</v>
      </c>
      <c r="T45" s="137" t="n">
        <v>16</v>
      </c>
      <c r="U45" s="137" t="n">
        <v>17</v>
      </c>
      <c r="V45" s="137" t="n">
        <v>18</v>
      </c>
      <c r="W45" s="137" t="n">
        <v>19</v>
      </c>
      <c r="X45" s="137" t="n">
        <v>20</v>
      </c>
      <c r="Y45" s="137" t="n">
        <v>21</v>
      </c>
      <c r="Z45" s="138" t="n">
        <v>22</v>
      </c>
      <c r="AA45" s="137" t="n">
        <v>23</v>
      </c>
      <c r="AB45" s="137" t="n">
        <v>24</v>
      </c>
      <c r="AC45" s="137" t="n">
        <v>25</v>
      </c>
      <c r="AD45" s="137" t="n">
        <v>26</v>
      </c>
      <c r="AE45" s="137" t="n">
        <v>27</v>
      </c>
      <c r="AF45" s="137" t="n">
        <v>28</v>
      </c>
      <c r="AG45" s="138" t="n">
        <v>29</v>
      </c>
      <c r="AH45" s="137" t="n">
        <v>30</v>
      </c>
    </row>
    <row r="46" ht="15" customHeight="1">
      <c r="A46" s="52" t="n"/>
      <c r="B46" s="52" t="n"/>
      <c r="C46" s="52" t="n"/>
      <c r="D46" s="52" t="n"/>
      <c r="E46" s="140" t="inlineStr">
        <is>
          <t>Su</t>
        </is>
      </c>
      <c r="F46" s="139" t="inlineStr">
        <is>
          <t>M</t>
        </is>
      </c>
      <c r="G46" s="139" t="inlineStr">
        <is>
          <t>T</t>
        </is>
      </c>
      <c r="H46" s="139" t="inlineStr">
        <is>
          <t>W</t>
        </is>
      </c>
      <c r="I46" s="139" t="inlineStr">
        <is>
          <t>Th</t>
        </is>
      </c>
      <c r="J46" s="139" t="inlineStr">
        <is>
          <t>F</t>
        </is>
      </c>
      <c r="K46" s="139" t="inlineStr">
        <is>
          <t>Sa</t>
        </is>
      </c>
      <c r="L46" s="140" t="inlineStr">
        <is>
          <t>Su</t>
        </is>
      </c>
      <c r="M46" s="139" t="inlineStr">
        <is>
          <t>M</t>
        </is>
      </c>
      <c r="N46" s="139" t="inlineStr">
        <is>
          <t>T</t>
        </is>
      </c>
      <c r="O46" s="139" t="inlineStr">
        <is>
          <t>W</t>
        </is>
      </c>
      <c r="P46" s="139" t="inlineStr">
        <is>
          <t>Th</t>
        </is>
      </c>
      <c r="Q46" s="139" t="inlineStr">
        <is>
          <t>F</t>
        </is>
      </c>
      <c r="R46" s="139" t="inlineStr">
        <is>
          <t>Sa</t>
        </is>
      </c>
      <c r="S46" s="140" t="inlineStr">
        <is>
          <t>Su</t>
        </is>
      </c>
      <c r="T46" s="139" t="inlineStr">
        <is>
          <t>M</t>
        </is>
      </c>
      <c r="U46" s="139" t="inlineStr">
        <is>
          <t>T</t>
        </is>
      </c>
      <c r="V46" s="139" t="inlineStr">
        <is>
          <t>W</t>
        </is>
      </c>
      <c r="W46" s="139" t="inlineStr">
        <is>
          <t>Th</t>
        </is>
      </c>
      <c r="X46" s="139" t="inlineStr">
        <is>
          <t>F</t>
        </is>
      </c>
      <c r="Y46" s="139" t="inlineStr">
        <is>
          <t>Sa</t>
        </is>
      </c>
      <c r="Z46" s="140" t="inlineStr">
        <is>
          <t>Su</t>
        </is>
      </c>
      <c r="AA46" s="139" t="inlineStr">
        <is>
          <t>M</t>
        </is>
      </c>
      <c r="AB46" s="139" t="inlineStr">
        <is>
          <t>T</t>
        </is>
      </c>
      <c r="AC46" s="139" t="inlineStr">
        <is>
          <t>W</t>
        </is>
      </c>
      <c r="AD46" s="139" t="inlineStr">
        <is>
          <t>Th</t>
        </is>
      </c>
      <c r="AE46" s="139" t="inlineStr">
        <is>
          <t>F</t>
        </is>
      </c>
      <c r="AF46" s="139" t="inlineStr">
        <is>
          <t>Sa</t>
        </is>
      </c>
      <c r="AG46" s="140" t="inlineStr">
        <is>
          <t>Su</t>
        </is>
      </c>
      <c r="AH46" s="139" t="inlineStr">
        <is>
          <t>M</t>
        </is>
      </c>
    </row>
    <row r="47" ht="20" customHeight="1">
      <c r="A47" s="141" t="inlineStr">
        <is>
          <t>Sleep Hours (1-24)</t>
        </is>
      </c>
      <c r="B47" s="142" t="n"/>
      <c r="C47" s="142" t="n"/>
      <c r="D47" s="142" t="n"/>
      <c r="E47" s="144" t="n"/>
      <c r="F47" s="143" t="n"/>
      <c r="G47" s="143" t="n"/>
      <c r="H47" s="143" t="n"/>
      <c r="I47" s="143" t="n"/>
      <c r="J47" s="143" t="n"/>
      <c r="K47" s="143" t="n"/>
      <c r="L47" s="144" t="n"/>
      <c r="M47" s="143" t="n"/>
      <c r="N47" s="143" t="n"/>
      <c r="O47" s="143" t="n"/>
      <c r="P47" s="143" t="n"/>
      <c r="Q47" s="143" t="n"/>
      <c r="R47" s="143" t="n"/>
      <c r="S47" s="144" t="n"/>
      <c r="T47" s="143" t="n"/>
      <c r="U47" s="143" t="n"/>
      <c r="V47" s="143" t="n"/>
      <c r="W47" s="143" t="n"/>
      <c r="X47" s="143" t="n"/>
      <c r="Y47" s="143" t="n"/>
      <c r="Z47" s="144" t="n"/>
      <c r="AA47" s="143" t="n"/>
      <c r="AB47" s="143" t="n"/>
      <c r="AC47" s="143" t="n"/>
      <c r="AD47" s="143" t="n"/>
      <c r="AE47" s="143" t="n"/>
      <c r="AF47" s="143" t="n"/>
      <c r="AG47" s="144" t="n"/>
      <c r="AH47" s="143" t="n"/>
    </row>
    <row r="48" ht="6" customHeight="1"/>
    <row r="49" ht="14" customHeight="1"/>
    <row r="50" ht="14" customHeight="1"/>
    <row r="51" ht="14" customHeight="1"/>
    <row r="52" ht="14" customHeight="1"/>
    <row r="53" ht="14" customHeight="1"/>
    <row r="54" ht="14" customHeight="1"/>
    <row r="55" ht="14" customHeight="1"/>
    <row r="56" ht="14" customHeight="1"/>
    <row r="57" ht="14" customHeight="1"/>
    <row r="58" ht="14" customHeight="1"/>
    <row r="59" ht="14" customHeight="1"/>
    <row r="60" ht="14" customHeight="1"/>
    <row r="61" ht="14" customHeight="1"/>
    <row r="62" ht="14" customHeight="1"/>
    <row r="63" ht="14" customHeight="1"/>
    <row r="64" ht="14" customHeight="1"/>
    <row r="65" ht="14" customHeight="1"/>
    <row r="66" ht="8" customHeight="1"/>
    <row r="67">
      <c r="A67" s="145" t="inlineStr">
        <is>
          <t>MONTHLY SUCCESS RATE</t>
        </is>
      </c>
      <c r="B67" s="9" t="n"/>
      <c r="C67" s="9" t="n"/>
      <c r="D67" s="9" t="n"/>
      <c r="F67" s="146" t="inlineStr">
        <is>
          <t>ACTIVE PROTOCOLS</t>
        </is>
      </c>
      <c r="G67" s="11" t="n"/>
      <c r="H67" s="11" t="n"/>
      <c r="I67" s="11" t="n"/>
      <c r="K67" s="147" t="inlineStr">
        <is>
          <t>PERFECT DAYS (100%)</t>
        </is>
      </c>
      <c r="L67" s="13" t="n"/>
      <c r="M67" s="13" t="n"/>
      <c r="N67" s="13" t="n"/>
      <c r="P67" s="148" t="inlineStr">
        <is>
          <t>AVG SLEEP DURATION</t>
        </is>
      </c>
      <c r="Q67" s="15" t="n"/>
      <c r="R67" s="15" t="n"/>
      <c r="S67" s="15" t="n"/>
    </row>
    <row r="68">
      <c r="A68" s="149">
        <f>IF(SUM(D18:D37)&gt;0, SUM(AL18:AL37)/SUM(D18:D37), 0)</f>
        <v/>
      </c>
      <c r="B68" s="9" t="n"/>
      <c r="C68" s="9" t="n"/>
      <c r="D68" s="9" t="n"/>
      <c r="F68" s="150">
        <f>COUNTA(B18:B37) &amp; " / 20"</f>
        <v/>
      </c>
      <c r="G68" s="11" t="n"/>
      <c r="H68" s="11" t="n"/>
      <c r="I68" s="11" t="n"/>
      <c r="K68" s="151">
        <f>COUNTIF(E39:AH39, 1) &amp; " Days"</f>
        <v/>
      </c>
      <c r="L68" s="13" t="n"/>
      <c r="M68" s="13" t="n"/>
      <c r="N68" s="13" t="n"/>
      <c r="P68" s="152">
        <f>IFERROR(TEXT(AVERAGE(E47:AH47), "0.0") &amp; " hrs", "-")</f>
        <v/>
      </c>
      <c r="Q68" s="15" t="n"/>
      <c r="R68" s="15" t="n"/>
      <c r="S68" s="15" t="n"/>
    </row>
    <row r="69">
      <c r="A69" s="9" t="n"/>
      <c r="B69" s="9" t="n"/>
      <c r="C69" s="9" t="n"/>
      <c r="D69" s="9" t="n"/>
      <c r="F69" s="11" t="n"/>
      <c r="G69" s="11" t="n"/>
      <c r="H69" s="11" t="n"/>
      <c r="I69" s="11" t="n"/>
      <c r="K69" s="13" t="n"/>
      <c r="L69" s="13" t="n"/>
      <c r="M69" s="13" t="n"/>
      <c r="N69" s="13" t="n"/>
      <c r="P69" s="15" t="n"/>
      <c r="Q69" s="15" t="n"/>
      <c r="R69" s="15" t="n"/>
      <c r="S69" s="15" t="n"/>
    </row>
    <row r="70">
      <c r="A70" s="9" t="n"/>
      <c r="B70" s="9" t="n"/>
      <c r="C70" s="9" t="n"/>
      <c r="D70" s="9" t="n"/>
      <c r="F70" s="11" t="n"/>
      <c r="G70" s="11" t="n"/>
      <c r="H70" s="11" t="n"/>
      <c r="I70" s="11" t="n"/>
      <c r="K70" s="13" t="n"/>
      <c r="L70" s="13" t="n"/>
      <c r="M70" s="13" t="n"/>
      <c r="N70" s="13" t="n"/>
      <c r="P70" s="15" t="n"/>
      <c r="Q70" s="15" t="n"/>
      <c r="R70" s="15" t="n"/>
      <c r="S70" s="15" t="n"/>
    </row>
    <row r="71">
      <c r="A71" s="153" t="inlineStr">
        <is>
          <t>Target Completion</t>
        </is>
      </c>
      <c r="B71" s="9" t="n"/>
      <c r="C71" s="9" t="n"/>
      <c r="D71" s="9" t="n"/>
      <c r="F71" s="154" t="inlineStr">
        <is>
          <t>Habits Tracked</t>
        </is>
      </c>
      <c r="G71" s="11" t="n"/>
      <c r="H71" s="11" t="n"/>
      <c r="I71" s="11" t="n"/>
      <c r="K71" s="155" t="inlineStr">
        <is>
          <t>All Marked Habits Completed</t>
        </is>
      </c>
      <c r="L71" s="13" t="n"/>
      <c r="M71" s="13" t="n"/>
      <c r="N71" s="13" t="n"/>
      <c r="P71" s="156" t="inlineStr">
        <is>
          <t>Nightly Rest Average</t>
        </is>
      </c>
      <c r="Q71" s="15" t="n"/>
      <c r="R71" s="15" t="n"/>
      <c r="S71" s="15" t="n"/>
    </row>
    <row r="72" ht="8" customHeight="1"/>
    <row r="73" ht="6" customHeight="1"/>
    <row r="74">
      <c r="A74" s="67" t="inlineStr">
        <is>
          <t>WEEKLY PERFORMANCE (SLUMP DETECTOR)</t>
        </is>
      </c>
      <c r="B74" s="29" t="n"/>
      <c r="C74" s="29" t="n"/>
      <c r="D74" s="29" t="n"/>
      <c r="E74" s="29" t="n"/>
      <c r="N74" s="157" t="inlineStr">
        <is>
          <t>LIFE DOMAIN / CATEGORY BREAKDOWN</t>
        </is>
      </c>
      <c r="O74" s="158" t="n"/>
      <c r="P74" s="158" t="n"/>
      <c r="Q74" s="158" t="n"/>
      <c r="R74" s="158" t="n"/>
      <c r="S74" s="158" t="n"/>
    </row>
    <row r="75" ht="15" customHeight="1">
      <c r="A75" s="53" t="inlineStr">
        <is>
          <t>Week</t>
        </is>
      </c>
      <c r="B75" s="53" t="inlineStr">
        <is>
          <t>Days Range</t>
        </is>
      </c>
      <c r="C75" s="53" t="inlineStr">
        <is>
          <t>Checks Done</t>
        </is>
      </c>
      <c r="D75" s="53" t="inlineStr">
        <is>
          <t>Evaluated</t>
        </is>
      </c>
      <c r="E75" s="53" t="inlineStr">
        <is>
          <t>Success %</t>
        </is>
      </c>
      <c r="N75" s="53" t="inlineStr">
        <is>
          <t>Domain / Category</t>
        </is>
      </c>
      <c r="O75" s="54" t="n"/>
      <c r="P75" s="53" t="inlineStr">
        <is>
          <t>Active Habits</t>
        </is>
      </c>
      <c r="Q75" s="53" t="inlineStr">
        <is>
          <t>Target Days</t>
        </is>
      </c>
      <c r="R75" s="53" t="inlineStr">
        <is>
          <t>Done Checks</t>
        </is>
      </c>
      <c r="S75" s="53" t="inlineStr">
        <is>
          <t>Success %</t>
        </is>
      </c>
    </row>
    <row r="76" ht="14" customHeight="1">
      <c r="A76" s="33" t="inlineStr">
        <is>
          <t>Week 1</t>
        </is>
      </c>
      <c r="B76" s="34" t="inlineStr">
        <is>
          <t>Days 1 - 7</t>
        </is>
      </c>
      <c r="C76" s="34">
        <f>COUNTIF(E18:K37, "✓")</f>
        <v/>
      </c>
      <c r="D76" s="34">
        <f>COUNTIF(E18:K37, "✓") + COUNTIF(E18:K37, "✗")</f>
        <v/>
      </c>
      <c r="E76" s="35">
        <f>IFERROR(C76/D76, 0)</f>
        <v/>
      </c>
      <c r="N76" s="60" t="inlineStr">
        <is>
          <t>Health &amp; Fitness</t>
        </is>
      </c>
      <c r="O76" s="54" t="n"/>
      <c r="P76" s="34">
        <f>COUNTIF($C$18:$C$37, "Health &amp; Fitness")</f>
        <v/>
      </c>
      <c r="Q76" s="34">
        <f>SUMIF($C$18:$C$37, "Health &amp; Fitness", $D$18:$D$37)</f>
        <v/>
      </c>
      <c r="R76" s="34">
        <f>SUMIF($C$18:$C$37, "Health &amp; Fitness", $AL$18:$AL$37)</f>
        <v/>
      </c>
      <c r="S76" s="35">
        <f>IFERROR(R76/Q76, 0)</f>
        <v/>
      </c>
    </row>
    <row r="77" ht="14" customHeight="1">
      <c r="A77" s="33" t="inlineStr">
        <is>
          <t>Week 2</t>
        </is>
      </c>
      <c r="B77" s="34" t="inlineStr">
        <is>
          <t>Days 8 - 14</t>
        </is>
      </c>
      <c r="C77" s="34">
        <f>COUNTIF(L18:R37, "✓")</f>
        <v/>
      </c>
      <c r="D77" s="34">
        <f>COUNTIF(L18:R37, "✓") + COUNTIF(L18:R37, "✗")</f>
        <v/>
      </c>
      <c r="E77" s="35">
        <f>IFERROR(C77/D77, 0)</f>
        <v/>
      </c>
      <c r="N77" s="60" t="inlineStr">
        <is>
          <t>Mindset &amp; Learning</t>
        </is>
      </c>
      <c r="O77" s="54" t="n"/>
      <c r="P77" s="34">
        <f>COUNTIF($C$18:$C$37, "Mindset &amp; Learning")</f>
        <v/>
      </c>
      <c r="Q77" s="34">
        <f>SUMIF($C$18:$C$37, "Mindset &amp; Learning", $D$18:$D$37)</f>
        <v/>
      </c>
      <c r="R77" s="34">
        <f>SUMIF($C$18:$C$37, "Mindset &amp; Learning", $AL$18:$AL$37)</f>
        <v/>
      </c>
      <c r="S77" s="35">
        <f>IFERROR(R77/Q77, 0)</f>
        <v/>
      </c>
    </row>
    <row r="78" ht="14" customHeight="1">
      <c r="A78" s="33" t="inlineStr">
        <is>
          <t>Week 3</t>
        </is>
      </c>
      <c r="B78" s="34" t="inlineStr">
        <is>
          <t>Days 15 - 21</t>
        </is>
      </c>
      <c r="C78" s="34">
        <f>COUNTIF(S18:Y37, "✓")</f>
        <v/>
      </c>
      <c r="D78" s="34">
        <f>COUNTIF(S18:Y37, "✓") + COUNTIF(S18:Y37, "✗")</f>
        <v/>
      </c>
      <c r="E78" s="35">
        <f>IFERROR(C78/D78, 0)</f>
        <v/>
      </c>
      <c r="N78" s="60" t="inlineStr">
        <is>
          <t>Career &amp; Focus</t>
        </is>
      </c>
      <c r="O78" s="54" t="n"/>
      <c r="P78" s="34">
        <f>COUNTIF($C$18:$C$37, "Career &amp; Focus")</f>
        <v/>
      </c>
      <c r="Q78" s="34">
        <f>SUMIF($C$18:$C$37, "Career &amp; Focus", $D$18:$D$37)</f>
        <v/>
      </c>
      <c r="R78" s="34">
        <f>SUMIF($C$18:$C$37, "Career &amp; Focus", $AL$18:$AL$37)</f>
        <v/>
      </c>
      <c r="S78" s="35">
        <f>IFERROR(R78/Q78, 0)</f>
        <v/>
      </c>
    </row>
    <row r="79" ht="14" customHeight="1">
      <c r="A79" s="33" t="inlineStr">
        <is>
          <t>Week 4</t>
        </is>
      </c>
      <c r="B79" s="34" t="inlineStr">
        <is>
          <t>Days 22 - 28</t>
        </is>
      </c>
      <c r="C79" s="34">
        <f>COUNTIF(Z18:AF37, "✓")</f>
        <v/>
      </c>
      <c r="D79" s="34">
        <f>COUNTIF(Z18:AF37, "✓") + COUNTIF(Z18:AF37, "✗")</f>
        <v/>
      </c>
      <c r="E79" s="35">
        <f>IFERROR(C79/D79, 0)</f>
        <v/>
      </c>
      <c r="N79" s="60" t="inlineStr">
        <is>
          <t>Personal &amp; Home</t>
        </is>
      </c>
      <c r="O79" s="54" t="n"/>
      <c r="P79" s="34">
        <f>COUNTIF($C$18:$C$37, "Personal &amp; Home")</f>
        <v/>
      </c>
      <c r="Q79" s="34">
        <f>SUMIF($C$18:$C$37, "Personal &amp; Home", $D$18:$D$37)</f>
        <v/>
      </c>
      <c r="R79" s="34">
        <f>SUMIF($C$18:$C$37, "Personal &amp; Home", $AL$18:$AL$37)</f>
        <v/>
      </c>
      <c r="S79" s="35">
        <f>IFERROR(R79/Q79, 0)</f>
        <v/>
      </c>
    </row>
    <row r="80" ht="14" customHeight="1">
      <c r="A80" s="33" t="inlineStr">
        <is>
          <t>Week 5</t>
        </is>
      </c>
      <c r="B80" s="34" t="inlineStr">
        <is>
          <t>Days 29 - 30</t>
        </is>
      </c>
      <c r="C80" s="34">
        <f>COUNTIF(AG18:AH37, "✓")</f>
        <v/>
      </c>
      <c r="D80" s="34">
        <f>COUNTIF(AG18:AH37, "✓") + COUNTIF(AG18:AH37, "✗")</f>
        <v/>
      </c>
      <c r="E80" s="35">
        <f>IFERROR(C80/D80, 0)</f>
        <v/>
      </c>
      <c r="N80" s="60" t="inlineStr">
        <is>
          <t>Finance &amp; Wealth</t>
        </is>
      </c>
      <c r="O80" s="54" t="n"/>
      <c r="P80" s="34">
        <f>COUNTIF($C$18:$C$37, "Finance &amp; Wealth")</f>
        <v/>
      </c>
      <c r="Q80" s="34">
        <f>SUMIF($C$18:$C$37, "Finance &amp; Wealth", $D$18:$D$37)</f>
        <v/>
      </c>
      <c r="R80" s="34">
        <f>SUMIF($C$18:$C$37, "Finance &amp; Wealth", $AL$18:$AL$37)</f>
        <v/>
      </c>
      <c r="S80" s="35">
        <f>IFERROR(R80/Q80, 0)</f>
        <v/>
      </c>
    </row>
    <row r="81" ht="14" customHeight="1">
      <c r="A81" s="33" t="inlineStr">
        <is>
          <t>Total / Avg</t>
        </is>
      </c>
      <c r="B81" s="159" t="inlineStr">
        <is>
          <t>Month Total</t>
        </is>
      </c>
      <c r="C81" s="33">
        <f>SUM(C76:C80)</f>
        <v/>
      </c>
      <c r="D81" s="33">
        <f>SUM(D76:D80)</f>
        <v/>
      </c>
      <c r="E81" s="133">
        <f>IFERROR(C81/D81, 0)</f>
        <v/>
      </c>
    </row>
    <row r="82" ht="10" customHeight="1"/>
    <row r="83" ht="10" customHeight="1"/>
    <row r="84">
      <c r="A84" s="51" t="inlineStr">
        <is>
          <t>SLEEP &amp; PRODUCTIVITY CORRELATION ANALYSIS</t>
        </is>
      </c>
      <c r="B84" s="52" t="n"/>
      <c r="C84" s="52" t="n"/>
      <c r="D84" s="52" t="n"/>
      <c r="E84" s="52" t="n"/>
      <c r="F84" s="52" t="n"/>
      <c r="G84" s="52" t="n"/>
      <c r="H84" s="52" t="n"/>
      <c r="I84" s="52" t="n"/>
      <c r="J84" s="52" t="n"/>
      <c r="K84" s="52" t="n"/>
      <c r="L84" s="52" t="n"/>
      <c r="M84" s="52" t="n"/>
      <c r="N84" s="52" t="n"/>
      <c r="O84" s="52" t="n"/>
      <c r="P84" s="52" t="n"/>
      <c r="Q84" s="52" t="n"/>
      <c r="R84" s="52" t="n"/>
      <c r="S84" s="52" t="n"/>
      <c r="T84" s="52" t="n"/>
      <c r="U84" s="52" t="n"/>
      <c r="V84" s="52" t="n"/>
      <c r="W84" s="52" t="n"/>
      <c r="X84" s="52" t="n"/>
      <c r="Y84" s="52" t="n"/>
      <c r="Z84" s="52" t="n"/>
      <c r="AA84" s="52" t="n"/>
      <c r="AB84" s="52" t="n"/>
      <c r="AC84" s="52" t="n"/>
      <c r="AD84" s="52" t="n"/>
      <c r="AE84" s="52" t="n"/>
      <c r="AF84" s="52" t="n"/>
      <c r="AG84" s="52" t="n"/>
      <c r="AH84" s="52" t="n"/>
      <c r="AI84" s="52" t="n"/>
      <c r="AJ84" s="52" t="n"/>
      <c r="AK84" s="52" t="n"/>
    </row>
    <row r="85" ht="15" customHeight="1">
      <c r="A85" s="53" t="inlineStr">
        <is>
          <t>Rest Category</t>
        </is>
      </c>
      <c r="B85" s="54" t="n"/>
      <c r="C85" s="54" t="n"/>
      <c r="D85" s="53" t="inlineStr">
        <is>
          <t>Day Criteria</t>
        </is>
      </c>
      <c r="E85" s="54" t="n"/>
      <c r="F85" s="54" t="n"/>
      <c r="G85" s="53" t="inlineStr">
        <is>
          <t>Days Logged</t>
        </is>
      </c>
      <c r="H85" s="54" t="n"/>
      <c r="I85" s="54" t="n"/>
      <c r="J85" s="53" t="inlineStr">
        <is>
          <t>Avg Sleep Duration</t>
        </is>
      </c>
      <c r="K85" s="54" t="n"/>
      <c r="L85" s="54" t="n"/>
      <c r="M85" s="54" t="n"/>
      <c r="N85" s="53" t="inlineStr">
        <is>
          <t>Avg Habit Success %</t>
        </is>
      </c>
      <c r="O85" s="54" t="n"/>
      <c r="P85" s="54" t="n"/>
      <c r="Q85" s="54" t="n"/>
      <c r="R85" s="53" t="inlineStr">
        <is>
          <t>Productivity Delta</t>
        </is>
      </c>
      <c r="S85" s="54" t="n"/>
      <c r="T85" s="54" t="n"/>
      <c r="U85" s="54" t="n"/>
    </row>
    <row r="86" ht="15" customHeight="1">
      <c r="A86" s="160" t="inlineStr">
        <is>
          <t>Optimal Rest</t>
        </is>
      </c>
      <c r="B86" s="161" t="n"/>
      <c r="C86" s="56" t="n"/>
      <c r="D86" s="34" t="inlineStr">
        <is>
          <t>&gt;= 7 Hours / Night</t>
        </is>
      </c>
      <c r="E86" s="161" t="n"/>
      <c r="F86" s="56" t="n"/>
      <c r="G86" s="33">
        <f>COUNTIF(E47:AH47, "&gt;=7")</f>
        <v/>
      </c>
      <c r="H86" s="161" t="n"/>
      <c r="I86" s="56" t="n"/>
      <c r="J86" s="34">
        <f>IFERROR(TEXT(AVERAGEIF(E47:AH47, "&gt;=7"), "0.0") &amp; " hrs", "-")</f>
        <v/>
      </c>
      <c r="K86" s="161" t="n"/>
      <c r="L86" s="161" t="n"/>
      <c r="M86" s="56" t="n"/>
      <c r="N86" s="42">
        <f>IFERROR(AVERAGEIFS(E39:AH39, E47:AH47, "&gt;=7", E39:AH39, "&gt;0"), 0)</f>
        <v/>
      </c>
      <c r="O86" s="161" t="n"/>
      <c r="P86" s="161" t="n"/>
      <c r="Q86" s="56" t="n"/>
      <c r="R86" s="159" t="inlineStr">
        <is>
          <t>Baseline (Target)</t>
        </is>
      </c>
      <c r="S86" s="161" t="n"/>
      <c r="T86" s="161" t="n"/>
      <c r="U86" s="56" t="n"/>
    </row>
    <row r="87" ht="15" customHeight="1">
      <c r="A87" s="162" t="inlineStr">
        <is>
          <t>Sleep Deficit</t>
        </is>
      </c>
      <c r="B87" s="161" t="n"/>
      <c r="C87" s="56" t="n"/>
      <c r="D87" s="34" t="inlineStr">
        <is>
          <t>&lt; 7 Hours / Night</t>
        </is>
      </c>
      <c r="E87" s="161" t="n"/>
      <c r="F87" s="56" t="n"/>
      <c r="G87" s="33">
        <f>COUNTIF(E47:AH47, "&lt;7") - COUNTIF(E47:AH47, "")</f>
        <v/>
      </c>
      <c r="H87" s="161" t="n"/>
      <c r="I87" s="56" t="n"/>
      <c r="J87" s="34">
        <f>IFERROR(TEXT(AVERAGEIFS(E47:AH47, E47:AH47, "&lt;7", E47:AH47, "&gt;0"), "0.0") &amp; " hrs", "-")</f>
        <v/>
      </c>
      <c r="K87" s="161" t="n"/>
      <c r="L87" s="161" t="n"/>
      <c r="M87" s="56" t="n"/>
      <c r="N87" s="163">
        <f>IFERROR(AVERAGEIFS(E39:AH39, E47:AH47, "&lt;7", E39:AH39, "&gt;0"), 0)</f>
        <v/>
      </c>
      <c r="O87" s="161" t="n"/>
      <c r="P87" s="161" t="n"/>
      <c r="Q87" s="56" t="n"/>
      <c r="R87" s="160">
        <f>IFERROR(TEXT(N86 - N87, "+0.0%;-0.0%;0.0%") &amp; " Rest Advantage", "-")</f>
        <v/>
      </c>
      <c r="S87" s="161" t="n"/>
      <c r="T87" s="161" t="n"/>
      <c r="U87" s="56" t="n"/>
    </row>
    <row r="88" ht="18" customHeight="1">
      <c r="A88" s="164">
        <f>IF(AND(ISNUMBER(N86), ISNUMBER(N87), N86&gt;0, N87&gt;0), "💡 Sleep Correlation Insight: You complete " &amp; TEXT(ABS(N86-N87), "0.0%") &amp; IF(N86&gt;=N87, " MORE habits on days with 7+ hours of sleep!", " fewer habits on days with 7+ hours of sleep."), "💡 Log both habits and sleep hours daily to unlock automatic AI correlation insights!")</f>
        <v/>
      </c>
      <c r="B88" s="161" t="n"/>
      <c r="C88" s="161" t="n"/>
      <c r="D88" s="161" t="n"/>
      <c r="E88" s="161" t="n"/>
      <c r="F88" s="161" t="n"/>
      <c r="G88" s="161" t="n"/>
      <c r="H88" s="161" t="n"/>
      <c r="I88" s="161" t="n"/>
      <c r="J88" s="161" t="n"/>
      <c r="K88" s="161" t="n"/>
      <c r="L88" s="161" t="n"/>
      <c r="M88" s="161" t="n"/>
      <c r="N88" s="161" t="n"/>
      <c r="O88" s="161" t="n"/>
      <c r="P88" s="161" t="n"/>
      <c r="Q88" s="161" t="n"/>
      <c r="R88" s="161" t="n"/>
      <c r="S88" s="161" t="n"/>
      <c r="T88" s="161" t="n"/>
      <c r="U88" s="161" t="n"/>
      <c r="V88" s="161" t="n"/>
      <c r="W88" s="161" t="n"/>
      <c r="X88" s="161" t="n"/>
      <c r="Y88" s="161" t="n"/>
      <c r="Z88" s="161" t="n"/>
      <c r="AA88" s="161" t="n"/>
      <c r="AB88" s="161" t="n"/>
      <c r="AC88" s="161" t="n"/>
      <c r="AD88" s="161" t="n"/>
      <c r="AE88" s="161" t="n"/>
      <c r="AF88" s="161" t="n"/>
      <c r="AG88" s="161" t="n"/>
      <c r="AH88" s="161" t="n"/>
      <c r="AI88" s="161" t="n"/>
      <c r="AJ88" s="161" t="n"/>
      <c r="AK88" s="56" t="n"/>
    </row>
    <row r="89" ht="10" customHeight="1"/>
    <row r="90">
      <c r="A90" s="43" t="inlineStr">
        <is>
          <t>STANDARDIZED DATA BRIDGE (FOR ANNUAL &amp; QUARTERLY REVIEW SHEETS)</t>
        </is>
      </c>
      <c r="B90" s="44" t="n"/>
      <c r="C90" s="44" t="n"/>
      <c r="D90" s="44" t="n"/>
      <c r="E90" s="44" t="n"/>
      <c r="F90" s="44" t="n"/>
      <c r="G90" s="44" t="n"/>
      <c r="H90" s="44" t="n"/>
      <c r="I90" s="44" t="n"/>
      <c r="J90" s="44" t="n"/>
      <c r="K90" s="44" t="n"/>
      <c r="L90" s="44" t="n"/>
      <c r="M90" s="44" t="n"/>
      <c r="N90" s="44" t="n"/>
      <c r="O90" s="44" t="n"/>
      <c r="P90" s="44" t="n"/>
      <c r="Q90" s="44" t="n"/>
      <c r="R90" s="44" t="n"/>
      <c r="S90" s="44" t="n"/>
      <c r="T90" s="44" t="n"/>
      <c r="U90" s="44" t="n"/>
      <c r="V90" s="44" t="n"/>
      <c r="W90" s="44" t="n"/>
      <c r="X90" s="44" t="n"/>
      <c r="Y90" s="44" t="n"/>
      <c r="Z90" s="44" t="n"/>
      <c r="AA90" s="44" t="n"/>
      <c r="AB90" s="44" t="n"/>
      <c r="AC90" s="44" t="n"/>
      <c r="AD90" s="44" t="n"/>
      <c r="AE90" s="44" t="n"/>
      <c r="AF90" s="44" t="n"/>
      <c r="AG90" s="44" t="n"/>
      <c r="AH90" s="44" t="n"/>
      <c r="AI90" s="44" t="n"/>
      <c r="AJ90" s="44" t="n"/>
      <c r="AK90" s="44" t="n"/>
    </row>
    <row r="91" ht="15" customHeight="1">
      <c r="A91" s="53" t="inlineStr">
        <is>
          <t>Month</t>
        </is>
      </c>
      <c r="B91" s="54" t="n"/>
      <c r="C91" s="53" t="inlineStr">
        <is>
          <t>Year</t>
        </is>
      </c>
      <c r="D91" s="54" t="n"/>
      <c r="E91" s="53" t="inlineStr">
        <is>
          <t>Active Habits</t>
        </is>
      </c>
      <c r="F91" s="54" t="n"/>
      <c r="G91" s="53" t="inlineStr">
        <is>
          <t>Target Days</t>
        </is>
      </c>
      <c r="H91" s="54" t="n"/>
      <c r="I91" s="53" t="inlineStr">
        <is>
          <t>Done Checks</t>
        </is>
      </c>
      <c r="J91" s="54" t="n"/>
      <c r="K91" s="53" t="inlineStr">
        <is>
          <t>Success %</t>
        </is>
      </c>
      <c r="L91" s="54" t="n"/>
      <c r="M91" s="53" t="inlineStr">
        <is>
          <t>Perfect Days</t>
        </is>
      </c>
      <c r="N91" s="54" t="n"/>
      <c r="O91" s="53" t="inlineStr">
        <is>
          <t>Avg Sleep</t>
        </is>
      </c>
      <c r="P91" s="54" t="n"/>
      <c r="Q91" s="53" t="inlineStr">
        <is>
          <t>Best Week</t>
        </is>
      </c>
      <c r="R91" s="54" t="n"/>
      <c r="S91" s="54" t="n"/>
      <c r="T91" s="53" t="inlineStr">
        <is>
          <t>Top Life Domain</t>
        </is>
      </c>
      <c r="U91" s="54" t="n"/>
      <c r="V91" s="54" t="n"/>
      <c r="W91" s="54" t="n"/>
    </row>
    <row r="92" ht="16" customHeight="1">
      <c r="A92" s="165" t="inlineStr">
        <is>
          <t>Apr</t>
        </is>
      </c>
      <c r="B92" s="56" t="n"/>
      <c r="C92" s="165" t="n">
        <v>2029</v>
      </c>
      <c r="D92" s="56" t="n"/>
      <c r="E92" s="166">
        <f>COUNTA(B18:B37)</f>
        <v/>
      </c>
      <c r="F92" s="56" t="n"/>
      <c r="G92" s="166">
        <f>SUM(D18:D37)</f>
        <v/>
      </c>
      <c r="H92" s="56" t="n"/>
      <c r="I92" s="166">
        <f>SUM(AL18:AL37)</f>
        <v/>
      </c>
      <c r="J92" s="56" t="n"/>
      <c r="K92" s="167">
        <f>IF(G92&gt;0, I92/G92, 0)</f>
        <v/>
      </c>
      <c r="L92" s="56" t="n"/>
      <c r="M92" s="166">
        <f>COUNTIF(E39:AH39, 1)</f>
        <v/>
      </c>
      <c r="N92" s="56" t="n"/>
      <c r="O92" s="168">
        <f>IFERROR(AVERAGE(E47:AH47), 0)</f>
        <v/>
      </c>
      <c r="P92" s="56" t="n"/>
      <c r="Q92" s="166">
        <f>INDEX(A76:A80, MATCH(MAX(E76:E80), E76:E80, 0))</f>
        <v/>
      </c>
      <c r="R92" s="161" t="n"/>
      <c r="S92" s="56" t="n"/>
      <c r="T92" s="166">
        <f>INDEX(N76:N80, MATCH(MAX(S76:S80), S76:S80, 0))</f>
        <v/>
      </c>
      <c r="U92" s="161" t="n"/>
      <c r="V92" s="161" t="n"/>
      <c r="W92" s="56" t="n"/>
    </row>
    <row r="93" ht="14" customHeight="1">
      <c r="A93" s="169" t="inlineStr">
        <is>
          <t>📋 Note: Reference or copy Row 92 directly into an Annual / Quarterly review dashboard to track yearly habit trends.</t>
        </is>
      </c>
    </row>
    <row r="94" ht="8" customHeight="1"/>
    <row r="95">
      <c r="A95" s="170" t="inlineStr">
        <is>
          <t>🏆 MONTHLY WINS &amp; HIGHLIGHTS</t>
        </is>
      </c>
      <c r="J95" s="171" t="inlineStr">
        <is>
          <t>⚠️ FRICTION POINTS &amp; ROOT CAUSES</t>
        </is>
      </c>
      <c r="S95" s="172" t="inlineStr">
        <is>
          <t>🎯 3 KEY ADJUSTMENTS FOR NEXT MONTH</t>
        </is>
      </c>
    </row>
    <row r="96">
      <c r="A96" s="173" t="inlineStr">
        <is>
          <t>1. What went exceptionally well this month?
2. Which habit felt effortless and consistent?
3. Major milestone achieved:</t>
        </is>
      </c>
      <c r="B96" s="174" t="n"/>
      <c r="C96" s="174" t="n"/>
      <c r="D96" s="174" t="n"/>
      <c r="E96" s="174" t="n"/>
      <c r="F96" s="174" t="n"/>
      <c r="G96" s="174" t="n"/>
      <c r="H96" s="174" t="n"/>
      <c r="J96" s="175" t="inlineStr">
        <is>
          <t>1. What caused missed or skipped days?
2. Main triggers / energy drains encountered:
3. Which habit had the lowest consistency and why?</t>
        </is>
      </c>
      <c r="K96" s="176" t="n"/>
      <c r="L96" s="176" t="n"/>
      <c r="M96" s="176" t="n"/>
      <c r="N96" s="176" t="n"/>
      <c r="O96" s="176" t="n"/>
      <c r="P96" s="176" t="n"/>
      <c r="Q96" s="176" t="n"/>
      <c r="S96" s="177" t="inlineStr">
        <is>
          <t>1. Habit Stacking or time adjustment for next month:
2. Environment design change to eliminate friction:
3. One non-negotiable priority protocol:</t>
        </is>
      </c>
      <c r="T96" s="178" t="n"/>
      <c r="U96" s="178" t="n"/>
      <c r="V96" s="178" t="n"/>
      <c r="W96" s="178" t="n"/>
      <c r="X96" s="178" t="n"/>
      <c r="Y96" s="178" t="n"/>
      <c r="Z96" s="178" t="n"/>
    </row>
    <row r="97">
      <c r="A97" s="174" t="n"/>
      <c r="B97" s="174" t="n"/>
      <c r="C97" s="174" t="n"/>
      <c r="D97" s="174" t="n"/>
      <c r="E97" s="174" t="n"/>
      <c r="F97" s="174" t="n"/>
      <c r="G97" s="174" t="n"/>
      <c r="H97" s="174" t="n"/>
      <c r="J97" s="176" t="n"/>
      <c r="K97" s="176" t="n"/>
      <c r="L97" s="176" t="n"/>
      <c r="M97" s="176" t="n"/>
      <c r="N97" s="176" t="n"/>
      <c r="O97" s="176" t="n"/>
      <c r="P97" s="176" t="n"/>
      <c r="Q97" s="176" t="n"/>
      <c r="S97" s="178" t="n"/>
      <c r="T97" s="178" t="n"/>
      <c r="U97" s="178" t="n"/>
      <c r="V97" s="178" t="n"/>
      <c r="W97" s="178" t="n"/>
      <c r="X97" s="178" t="n"/>
      <c r="Y97" s="178" t="n"/>
      <c r="Z97" s="178" t="n"/>
    </row>
    <row r="98">
      <c r="A98" s="174" t="n"/>
      <c r="B98" s="174" t="n"/>
      <c r="C98" s="174" t="n"/>
      <c r="D98" s="174" t="n"/>
      <c r="E98" s="174" t="n"/>
      <c r="F98" s="174" t="n"/>
      <c r="G98" s="174" t="n"/>
      <c r="H98" s="174" t="n"/>
      <c r="J98" s="176" t="n"/>
      <c r="K98" s="176" t="n"/>
      <c r="L98" s="176" t="n"/>
      <c r="M98" s="176" t="n"/>
      <c r="N98" s="176" t="n"/>
      <c r="O98" s="176" t="n"/>
      <c r="P98" s="176" t="n"/>
      <c r="Q98" s="176" t="n"/>
      <c r="S98" s="178" t="n"/>
      <c r="T98" s="178" t="n"/>
      <c r="U98" s="178" t="n"/>
      <c r="V98" s="178" t="n"/>
      <c r="W98" s="178" t="n"/>
      <c r="X98" s="178" t="n"/>
      <c r="Y98" s="178" t="n"/>
      <c r="Z98" s="178" t="n"/>
    </row>
    <row r="99">
      <c r="A99" s="174" t="n"/>
      <c r="B99" s="174" t="n"/>
      <c r="C99" s="174" t="n"/>
      <c r="D99" s="174" t="n"/>
      <c r="E99" s="174" t="n"/>
      <c r="F99" s="174" t="n"/>
      <c r="G99" s="174" t="n"/>
      <c r="H99" s="174" t="n"/>
      <c r="J99" s="176" t="n"/>
      <c r="K99" s="176" t="n"/>
      <c r="L99" s="176" t="n"/>
      <c r="M99" s="176" t="n"/>
      <c r="N99" s="176" t="n"/>
      <c r="O99" s="176" t="n"/>
      <c r="P99" s="176" t="n"/>
      <c r="Q99" s="176" t="n"/>
      <c r="S99" s="178" t="n"/>
      <c r="T99" s="178" t="n"/>
      <c r="U99" s="178" t="n"/>
      <c r="V99" s="178" t="n"/>
      <c r="W99" s="178" t="n"/>
      <c r="X99" s="178" t="n"/>
      <c r="Y99" s="178" t="n"/>
      <c r="Z99" s="178" t="n"/>
    </row>
    <row r="100">
      <c r="A100" s="174" t="n"/>
      <c r="B100" s="174" t="n"/>
      <c r="C100" s="174" t="n"/>
      <c r="D100" s="174" t="n"/>
      <c r="E100" s="174" t="n"/>
      <c r="F100" s="174" t="n"/>
      <c r="G100" s="174" t="n"/>
      <c r="H100" s="174" t="n"/>
      <c r="J100" s="176" t="n"/>
      <c r="K100" s="176" t="n"/>
      <c r="L100" s="176" t="n"/>
      <c r="M100" s="176" t="n"/>
      <c r="N100" s="176" t="n"/>
      <c r="O100" s="176" t="n"/>
      <c r="P100" s="176" t="n"/>
      <c r="Q100" s="176" t="n"/>
      <c r="S100" s="178" t="n"/>
      <c r="T100" s="178" t="n"/>
      <c r="U100" s="178" t="n"/>
      <c r="V100" s="178" t="n"/>
      <c r="W100" s="178" t="n"/>
      <c r="X100" s="178" t="n"/>
      <c r="Y100" s="178" t="n"/>
      <c r="Z100" s="178" t="n"/>
    </row>
    <row r="101">
      <c r="A101" s="174" t="n"/>
      <c r="B101" s="174" t="n"/>
      <c r="C101" s="174" t="n"/>
      <c r="D101" s="174" t="n"/>
      <c r="E101" s="174" t="n"/>
      <c r="F101" s="174" t="n"/>
      <c r="G101" s="174" t="n"/>
      <c r="H101" s="174" t="n"/>
      <c r="J101" s="176" t="n"/>
      <c r="K101" s="176" t="n"/>
      <c r="L101" s="176" t="n"/>
      <c r="M101" s="176" t="n"/>
      <c r="N101" s="176" t="n"/>
      <c r="O101" s="176" t="n"/>
      <c r="P101" s="176" t="n"/>
      <c r="Q101" s="176" t="n"/>
      <c r="S101" s="178" t="n"/>
      <c r="T101" s="178" t="n"/>
      <c r="U101" s="178" t="n"/>
      <c r="V101" s="178" t="n"/>
      <c r="W101" s="178" t="n"/>
      <c r="X101" s="178" t="n"/>
      <c r="Y101" s="178" t="n"/>
      <c r="Z101" s="178" t="n"/>
    </row>
    <row r="102">
      <c r="A102" s="174" t="n"/>
      <c r="B102" s="174" t="n"/>
      <c r="C102" s="174" t="n"/>
      <c r="D102" s="174" t="n"/>
      <c r="E102" s="174" t="n"/>
      <c r="F102" s="174" t="n"/>
      <c r="G102" s="174" t="n"/>
      <c r="H102" s="174" t="n"/>
      <c r="J102" s="176" t="n"/>
      <c r="K102" s="176" t="n"/>
      <c r="L102" s="176" t="n"/>
      <c r="M102" s="176" t="n"/>
      <c r="N102" s="176" t="n"/>
      <c r="O102" s="176" t="n"/>
      <c r="P102" s="176" t="n"/>
      <c r="Q102" s="176" t="n"/>
      <c r="S102" s="178" t="n"/>
      <c r="T102" s="178" t="n"/>
      <c r="U102" s="178" t="n"/>
      <c r="V102" s="178" t="n"/>
      <c r="W102" s="178" t="n"/>
      <c r="X102" s="178" t="n"/>
      <c r="Y102" s="178" t="n"/>
      <c r="Z102" s="178" t="n"/>
    </row>
    <row r="103">
      <c r="A103" s="174" t="n"/>
      <c r="B103" s="174" t="n"/>
      <c r="C103" s="174" t="n"/>
      <c r="D103" s="174" t="n"/>
      <c r="E103" s="174" t="n"/>
      <c r="F103" s="174" t="n"/>
      <c r="G103" s="174" t="n"/>
      <c r="H103" s="174" t="n"/>
      <c r="J103" s="176" t="n"/>
      <c r="K103" s="176" t="n"/>
      <c r="L103" s="176" t="n"/>
      <c r="M103" s="176" t="n"/>
      <c r="N103" s="176" t="n"/>
      <c r="O103" s="176" t="n"/>
      <c r="P103" s="176" t="n"/>
      <c r="Q103" s="176" t="n"/>
      <c r="S103" s="178" t="n"/>
      <c r="T103" s="178" t="n"/>
      <c r="U103" s="178" t="n"/>
      <c r="V103" s="178" t="n"/>
      <c r="W103" s="178" t="n"/>
      <c r="X103" s="178" t="n"/>
      <c r="Y103" s="178" t="n"/>
      <c r="Z103" s="178" t="n"/>
    </row>
  </sheetData>
  <sheetProtection selectLockedCells="1" selectUnlockedCells="1" sheet="1" objects="0" insertRows="1" insertHyperlinks="1" autoFilter="1" scenarios="0" formatColumns="1" deleteColumns="1" insertColumns="1" pivotTables="1" deleteRows="1" formatCells="1" formatRows="1" sort="1"/>
  <mergeCells count="94">
    <mergeCell ref="A9:N9"/>
    <mergeCell ref="N76:O76"/>
    <mergeCell ref="F67:I67"/>
    <mergeCell ref="G87:I87"/>
    <mergeCell ref="A16:A17"/>
    <mergeCell ref="A45:D46"/>
    <mergeCell ref="C16:C17"/>
    <mergeCell ref="N75:O75"/>
    <mergeCell ref="N77:O77"/>
    <mergeCell ref="P68:S70"/>
    <mergeCell ref="A93:AK93"/>
    <mergeCell ref="D16:D17"/>
    <mergeCell ref="N85:Q85"/>
    <mergeCell ref="A95:H95"/>
    <mergeCell ref="Q91:S91"/>
    <mergeCell ref="P6:AK6"/>
    <mergeCell ref="E91:F91"/>
    <mergeCell ref="A8:N8"/>
    <mergeCell ref="G91:H91"/>
    <mergeCell ref="P8:AK8"/>
    <mergeCell ref="J86:M86"/>
    <mergeCell ref="S95:Z95"/>
    <mergeCell ref="K67:N67"/>
    <mergeCell ref="N79:O79"/>
    <mergeCell ref="K92:L92"/>
    <mergeCell ref="P7:AK7"/>
    <mergeCell ref="C92:D92"/>
    <mergeCell ref="F71:I71"/>
    <mergeCell ref="M92:N92"/>
    <mergeCell ref="A12:AK14"/>
    <mergeCell ref="K68:N70"/>
    <mergeCell ref="T91:W91"/>
    <mergeCell ref="AI16:AI17"/>
    <mergeCell ref="J95:Q95"/>
    <mergeCell ref="D85:F85"/>
    <mergeCell ref="N74:S74"/>
    <mergeCell ref="P9:AK9"/>
    <mergeCell ref="F68:I70"/>
    <mergeCell ref="A91:B91"/>
    <mergeCell ref="N78:O78"/>
    <mergeCell ref="C91:D91"/>
    <mergeCell ref="M91:N91"/>
    <mergeCell ref="O91:P91"/>
    <mergeCell ref="R86:U86"/>
    <mergeCell ref="A84:AK84"/>
    <mergeCell ref="N80:O80"/>
    <mergeCell ref="B16:B17"/>
    <mergeCell ref="A71:D71"/>
    <mergeCell ref="J85:M85"/>
    <mergeCell ref="D86:F86"/>
    <mergeCell ref="A92:B92"/>
    <mergeCell ref="N87:Q87"/>
    <mergeCell ref="A1:B1"/>
    <mergeCell ref="E92:F92"/>
    <mergeCell ref="A68:D70"/>
    <mergeCell ref="P71:S71"/>
    <mergeCell ref="A86:C86"/>
    <mergeCell ref="D87:F87"/>
    <mergeCell ref="O92:P92"/>
    <mergeCell ref="A6:N6"/>
    <mergeCell ref="A39:D39"/>
    <mergeCell ref="G86:I86"/>
    <mergeCell ref="A96:H103"/>
    <mergeCell ref="P67:S67"/>
    <mergeCell ref="A41:AK41"/>
    <mergeCell ref="T92:W92"/>
    <mergeCell ref="R85:U85"/>
    <mergeCell ref="H2:AC2"/>
    <mergeCell ref="K71:N71"/>
    <mergeCell ref="S96:Z103"/>
    <mergeCell ref="A38:D38"/>
    <mergeCell ref="A42:AK42"/>
    <mergeCell ref="H3:AC3"/>
    <mergeCell ref="A67:D67"/>
    <mergeCell ref="I91:J91"/>
    <mergeCell ref="A85:C85"/>
    <mergeCell ref="K91:L91"/>
    <mergeCell ref="N86:Q86"/>
    <mergeCell ref="A7:N7"/>
    <mergeCell ref="A74:E74"/>
    <mergeCell ref="G85:I85"/>
    <mergeCell ref="G92:H92"/>
    <mergeCell ref="I92:J92"/>
    <mergeCell ref="R87:U87"/>
    <mergeCell ref="AK16:AK17"/>
    <mergeCell ref="J87:M87"/>
    <mergeCell ref="AD2:AK2"/>
    <mergeCell ref="AJ16:AJ17"/>
    <mergeCell ref="J96:Q103"/>
    <mergeCell ref="A88:AK88"/>
    <mergeCell ref="A90:AK90"/>
    <mergeCell ref="Q92:S92"/>
    <mergeCell ref="A87:C87"/>
    <mergeCell ref="A47:D47"/>
  </mergeCells>
  <conditionalFormatting sqref="AI18:AI37">
    <cfRule type="dataBar" priority="1">
      <dataBar>
        <cfvo type="num" val="0"/>
        <cfvo type="num" val="1"/>
        <color rgb="0010B981"/>
      </dataBar>
    </cfRule>
  </conditionalFormatting>
  <conditionalFormatting sqref="E18:AH37">
    <cfRule type="cellIs" priority="2" operator="equal" dxfId="0">
      <formula>"✓"</formula>
    </cfRule>
    <cfRule type="cellIs" priority="3" operator="equal" dxfId="0">
      <formula>"✔"</formula>
    </cfRule>
    <cfRule type="cellIs" priority="4" operator="equal" dxfId="1">
      <formula>"✗"</formula>
    </cfRule>
    <cfRule type="cellIs" priority="5" operator="equal" dxfId="1">
      <formula>"x"</formula>
    </cfRule>
    <cfRule type="cellIs" priority="6" operator="equal" dxfId="1">
      <formula>"X"</formula>
    </cfRule>
  </conditionalFormatting>
  <conditionalFormatting sqref="E16:E17">
    <cfRule type="expression" priority="7" dxfId="2">
      <formula>AND(DAY(TODAY())=1, MONTH(TODAY())=4, YEAR(TODAY())=2029)</formula>
    </cfRule>
  </conditionalFormatting>
  <conditionalFormatting sqref="F16:F17">
    <cfRule type="expression" priority="8" dxfId="2">
      <formula>AND(DAY(TODAY())=2, MONTH(TODAY())=4, YEAR(TODAY())=2029)</formula>
    </cfRule>
  </conditionalFormatting>
  <conditionalFormatting sqref="G16:G17">
    <cfRule type="expression" priority="9" dxfId="2">
      <formula>AND(DAY(TODAY())=3, MONTH(TODAY())=4, YEAR(TODAY())=2029)</formula>
    </cfRule>
  </conditionalFormatting>
  <conditionalFormatting sqref="H16:H17">
    <cfRule type="expression" priority="10" dxfId="2">
      <formula>AND(DAY(TODAY())=4, MONTH(TODAY())=4, YEAR(TODAY())=2029)</formula>
    </cfRule>
  </conditionalFormatting>
  <conditionalFormatting sqref="I16:I17">
    <cfRule type="expression" priority="11" dxfId="2">
      <formula>AND(DAY(TODAY())=5, MONTH(TODAY())=4, YEAR(TODAY())=2029)</formula>
    </cfRule>
  </conditionalFormatting>
  <conditionalFormatting sqref="J16:J17">
    <cfRule type="expression" priority="12" dxfId="2">
      <formula>AND(DAY(TODAY())=6, MONTH(TODAY())=4, YEAR(TODAY())=2029)</formula>
    </cfRule>
  </conditionalFormatting>
  <conditionalFormatting sqref="K16:K17">
    <cfRule type="expression" priority="13" dxfId="2">
      <formula>AND(DAY(TODAY())=7, MONTH(TODAY())=4, YEAR(TODAY())=2029)</formula>
    </cfRule>
  </conditionalFormatting>
  <conditionalFormatting sqref="L16:L17">
    <cfRule type="expression" priority="14" dxfId="2">
      <formula>AND(DAY(TODAY())=8, MONTH(TODAY())=4, YEAR(TODAY())=2029)</formula>
    </cfRule>
  </conditionalFormatting>
  <conditionalFormatting sqref="M16:M17">
    <cfRule type="expression" priority="15" dxfId="2">
      <formula>AND(DAY(TODAY())=9, MONTH(TODAY())=4, YEAR(TODAY())=2029)</formula>
    </cfRule>
  </conditionalFormatting>
  <conditionalFormatting sqref="N16:N17">
    <cfRule type="expression" priority="16" dxfId="2">
      <formula>AND(DAY(TODAY())=10, MONTH(TODAY())=4, YEAR(TODAY())=2029)</formula>
    </cfRule>
  </conditionalFormatting>
  <conditionalFormatting sqref="O16:O17">
    <cfRule type="expression" priority="17" dxfId="2">
      <formula>AND(DAY(TODAY())=11, MONTH(TODAY())=4, YEAR(TODAY())=2029)</formula>
    </cfRule>
  </conditionalFormatting>
  <conditionalFormatting sqref="P16:P17">
    <cfRule type="expression" priority="18" dxfId="2">
      <formula>AND(DAY(TODAY())=12, MONTH(TODAY())=4, YEAR(TODAY())=2029)</formula>
    </cfRule>
  </conditionalFormatting>
  <conditionalFormatting sqref="Q16:Q17">
    <cfRule type="expression" priority="19" dxfId="2">
      <formula>AND(DAY(TODAY())=13, MONTH(TODAY())=4, YEAR(TODAY())=2029)</formula>
    </cfRule>
  </conditionalFormatting>
  <conditionalFormatting sqref="R16:R17">
    <cfRule type="expression" priority="20" dxfId="2">
      <formula>AND(DAY(TODAY())=14, MONTH(TODAY())=4, YEAR(TODAY())=2029)</formula>
    </cfRule>
  </conditionalFormatting>
  <conditionalFormatting sqref="S16:S17">
    <cfRule type="expression" priority="21" dxfId="2">
      <formula>AND(DAY(TODAY())=15, MONTH(TODAY())=4, YEAR(TODAY())=2029)</formula>
    </cfRule>
  </conditionalFormatting>
  <conditionalFormatting sqref="T16:T17">
    <cfRule type="expression" priority="22" dxfId="2">
      <formula>AND(DAY(TODAY())=16, MONTH(TODAY())=4, YEAR(TODAY())=2029)</formula>
    </cfRule>
  </conditionalFormatting>
  <conditionalFormatting sqref="U16:U17">
    <cfRule type="expression" priority="23" dxfId="2">
      <formula>AND(DAY(TODAY())=17, MONTH(TODAY())=4, YEAR(TODAY())=2029)</formula>
    </cfRule>
  </conditionalFormatting>
  <conditionalFormatting sqref="V16:V17">
    <cfRule type="expression" priority="24" dxfId="2">
      <formula>AND(DAY(TODAY())=18, MONTH(TODAY())=4, YEAR(TODAY())=2029)</formula>
    </cfRule>
  </conditionalFormatting>
  <conditionalFormatting sqref="W16:W17">
    <cfRule type="expression" priority="25" dxfId="2">
      <formula>AND(DAY(TODAY())=19, MONTH(TODAY())=4, YEAR(TODAY())=2029)</formula>
    </cfRule>
  </conditionalFormatting>
  <conditionalFormatting sqref="X16:X17">
    <cfRule type="expression" priority="26" dxfId="2">
      <formula>AND(DAY(TODAY())=20, MONTH(TODAY())=4, YEAR(TODAY())=2029)</formula>
    </cfRule>
  </conditionalFormatting>
  <conditionalFormatting sqref="Y16:Y17">
    <cfRule type="expression" priority="27" dxfId="2">
      <formula>AND(DAY(TODAY())=21, MONTH(TODAY())=4, YEAR(TODAY())=2029)</formula>
    </cfRule>
  </conditionalFormatting>
  <conditionalFormatting sqref="Z16:Z17">
    <cfRule type="expression" priority="28" dxfId="2">
      <formula>AND(DAY(TODAY())=22, MONTH(TODAY())=4, YEAR(TODAY())=2029)</formula>
    </cfRule>
  </conditionalFormatting>
  <conditionalFormatting sqref="AA16:AA17">
    <cfRule type="expression" priority="29" dxfId="2">
      <formula>AND(DAY(TODAY())=23, MONTH(TODAY())=4, YEAR(TODAY())=2029)</formula>
    </cfRule>
  </conditionalFormatting>
  <conditionalFormatting sqref="AB16:AB17">
    <cfRule type="expression" priority="30" dxfId="2">
      <formula>AND(DAY(TODAY())=24, MONTH(TODAY())=4, YEAR(TODAY())=2029)</formula>
    </cfRule>
  </conditionalFormatting>
  <conditionalFormatting sqref="AC16:AC17">
    <cfRule type="expression" priority="31" dxfId="2">
      <formula>AND(DAY(TODAY())=25, MONTH(TODAY())=4, YEAR(TODAY())=2029)</formula>
    </cfRule>
  </conditionalFormatting>
  <conditionalFormatting sqref="AD16:AD17">
    <cfRule type="expression" priority="32" dxfId="2">
      <formula>AND(DAY(TODAY())=26, MONTH(TODAY())=4, YEAR(TODAY())=2029)</formula>
    </cfRule>
  </conditionalFormatting>
  <conditionalFormatting sqref="AE16:AE17">
    <cfRule type="expression" priority="33" dxfId="2">
      <formula>AND(DAY(TODAY())=27, MONTH(TODAY())=4, YEAR(TODAY())=2029)</formula>
    </cfRule>
  </conditionalFormatting>
  <conditionalFormatting sqref="AF16:AF17">
    <cfRule type="expression" priority="34" dxfId="2">
      <formula>AND(DAY(TODAY())=28, MONTH(TODAY())=4, YEAR(TODAY())=2029)</formula>
    </cfRule>
  </conditionalFormatting>
  <conditionalFormatting sqref="AG16:AG17">
    <cfRule type="expression" priority="35" dxfId="2">
      <formula>AND(DAY(TODAY())=29, MONTH(TODAY())=4, YEAR(TODAY())=2029)</formula>
    </cfRule>
  </conditionalFormatting>
  <conditionalFormatting sqref="AH16:AH17">
    <cfRule type="expression" priority="36" dxfId="2">
      <formula>AND(DAY(TODAY())=30, MONTH(TODAY())=4, YEAR(TODAY())=2029)</formula>
    </cfRule>
  </conditionalFormatting>
  <dataValidations count="4">
    <dataValidation sqref="C18:C37" showDropDown="0" showInputMessage="0" showErrorMessage="0" allowBlank="1" type="list">
      <formula1>"Health &amp; Fitness,Mindset &amp; Learning,Career &amp; Focus,Personal &amp; Home,Finance &amp; Wealth,Other"</formula1>
    </dataValidation>
    <dataValidation sqref="D18:D37" showDropDown="0" showInputMessage="0" showErrorMessage="0" allowBlank="1" type="list">
      <formula1>"1,2,3,4,5,6,7,8,9,10,11,12,13,14,15,16,17,18,19,20,21,22,23,24,25,26,27,28,29,30,31"</formula1>
    </dataValidation>
    <dataValidation sqref="E18:AH37" showDropDown="0" showInputMessage="0" showErrorMessage="0" allowBlank="1" type="list">
      <formula1>"✓,✗"</formula1>
    </dataValidation>
    <dataValidation sqref="E47:AH47" showDropDown="0" showInputMessage="0" showErrorMessage="0" allowBlank="1" type="list">
      <formula1>"1,2,3,4,5,6,7,8,9,10,11,12,13,14,15,16,17,18,19,20,21,22,23,24"</formula1>
    </dataValidation>
  </dataValidations>
  <hyperlinks>
    <hyperlink xmlns:r="http://schemas.openxmlformats.org/officeDocument/2006/relationships" ref="A1" r:id="rId1"/>
    <hyperlink xmlns:r="http://schemas.openxmlformats.org/officeDocument/2006/relationships" ref="C1" r:id="rId2"/>
    <hyperlink xmlns:r="http://schemas.openxmlformats.org/officeDocument/2006/relationships" ref="D1" r:id="rId3"/>
    <hyperlink xmlns:r="http://schemas.openxmlformats.org/officeDocument/2006/relationships" ref="E1" r:id="rId4"/>
    <hyperlink xmlns:r="http://schemas.openxmlformats.org/officeDocument/2006/relationships" ref="F1" r:id="rId5"/>
    <hyperlink xmlns:r="http://schemas.openxmlformats.org/officeDocument/2006/relationships" ref="G1" r:id="rId6"/>
    <hyperlink xmlns:r="http://schemas.openxmlformats.org/officeDocument/2006/relationships" ref="H1" r:id="rId7"/>
    <hyperlink xmlns:r="http://schemas.openxmlformats.org/officeDocument/2006/relationships" ref="I1" r:id="rId8"/>
    <hyperlink xmlns:r="http://schemas.openxmlformats.org/officeDocument/2006/relationships" ref="J1" r:id="rId9"/>
    <hyperlink xmlns:r="http://schemas.openxmlformats.org/officeDocument/2006/relationships" ref="K1" r:id="rId10"/>
  </hyperlinks>
  <printOptions horizontalCentered="1" verticalCentered="0"/>
  <pageMargins left="0.75" right="0.75" top="1" bottom="1" header="0.5" footer="0.5"/>
  <pageSetup orientation="landscape" paperSize="9" fitToHeight="0" fitToWidth="1"/>
  <drawing xmlns:r="http://schemas.openxmlformats.org/officeDocument/2006/relationships" r:id="rId11"/>
</worksheet>
</file>

<file path=xl/worksheets/sheet36.xml><?xml version="1.0" encoding="utf-8"?>
<worksheet xmlns="http://schemas.openxmlformats.org/spreadsheetml/2006/main">
  <sheetPr>
    <outlinePr summaryBelow="1" summaryRight="1"/>
    <pageSetUpPr fitToPage="1"/>
  </sheetPr>
  <dimension ref="A1:AM103"/>
  <sheetViews>
    <sheetView showGridLines="1" workbookViewId="0">
      <selection activeCell="A1" sqref="A1"/>
    </sheetView>
  </sheetViews>
  <sheetFormatPr baseColWidth="8" defaultRowHeight="15"/>
  <cols>
    <col width="6" customWidth="1" min="1" max="1"/>
    <col width="25" customWidth="1" min="2" max="2"/>
    <col width="16.5" customWidth="1" min="3" max="3"/>
    <col width="8" customWidth="1" min="4" max="4"/>
    <col width="4.8" customWidth="1" min="5" max="5"/>
    <col width="4.8" customWidth="1" min="6" max="6"/>
    <col width="4.8" customWidth="1" min="7" max="7"/>
    <col width="4.8" customWidth="1" min="8" max="8"/>
    <col width="4.8" customWidth="1" min="9" max="9"/>
    <col width="4.8" customWidth="1" min="10" max="10"/>
    <col width="4.8" customWidth="1" min="11" max="11"/>
    <col width="4.8" customWidth="1" min="12" max="12"/>
    <col width="4.8" customWidth="1" min="13" max="13"/>
    <col width="4.8" customWidth="1" min="14" max="14"/>
    <col width="4.8" customWidth="1" min="15" max="15"/>
    <col width="4.8" customWidth="1" min="16" max="16"/>
    <col width="4.8" customWidth="1" min="17" max="17"/>
    <col width="4.8" customWidth="1" min="18" max="18"/>
    <col width="4.8" customWidth="1" min="19" max="19"/>
    <col width="4.8" customWidth="1" min="20" max="20"/>
    <col width="4.8" customWidth="1" min="21" max="21"/>
    <col width="4.8" customWidth="1" min="22" max="22"/>
    <col width="4.8" customWidth="1" min="23" max="23"/>
    <col width="4.8" customWidth="1" min="24" max="24"/>
    <col width="4.8" customWidth="1" min="25" max="25"/>
    <col width="4.8" customWidth="1" min="26" max="26"/>
    <col width="4.8" customWidth="1" min="27" max="27"/>
    <col width="4.8" customWidth="1" min="28" max="28"/>
    <col width="4.8" customWidth="1" min="29" max="29"/>
    <col width="4.8" customWidth="1" min="30" max="30"/>
    <col width="4.8" customWidth="1" min="31" max="31"/>
    <col width="4.8" customWidth="1" min="32" max="32"/>
    <col width="4.8" customWidth="1" min="33" max="33"/>
    <col width="4.8" customWidth="1" min="34" max="34"/>
    <col width="4.8" customWidth="1" min="35" max="35"/>
    <col width="11.5" customWidth="1" min="36" max="36"/>
    <col width="12" customWidth="1" min="37" max="37"/>
    <col width="13.5" customWidth="1" min="38" max="38"/>
    <col hidden="1" width="8" customWidth="1" min="39" max="39"/>
  </cols>
  <sheetData>
    <row r="1" ht="18" customHeight="1">
      <c r="A1" s="76" t="inlineStr">
        <is>
          <t>🏠 Master Dashboard</t>
        </is>
      </c>
      <c r="B1" s="40" t="n"/>
      <c r="C1" s="77" t="inlineStr">
        <is>
          <t>🏛️ Quarterly Hub</t>
        </is>
      </c>
      <c r="D1" s="78" t="inlineStr">
        <is>
          <t>📚 Habit Library</t>
        </is>
      </c>
      <c r="E1" s="80" t="inlineStr">
        <is>
          <t>2026</t>
        </is>
      </c>
      <c r="F1" s="80" t="inlineStr">
        <is>
          <t>2027</t>
        </is>
      </c>
      <c r="G1" s="80" t="inlineStr">
        <is>
          <t>2028</t>
        </is>
      </c>
      <c r="H1" s="79" t="inlineStr">
        <is>
          <t>2029</t>
        </is>
      </c>
      <c r="I1" s="80" t="inlineStr">
        <is>
          <t>2030</t>
        </is>
      </c>
      <c r="J1" s="82" t="inlineStr">
        <is>
          <t>◀ Prev</t>
        </is>
      </c>
      <c r="K1" s="82" t="inlineStr">
        <is>
          <t>Next ▶</t>
        </is>
      </c>
    </row>
    <row r="2" ht="24" customHeight="1">
      <c r="A2" s="83" t="inlineStr">
        <is>
          <t>Habit Tracker</t>
        </is>
      </c>
      <c r="H2" s="84" t="inlineStr">
        <is>
          <t>"Energy flows where attention goes."</t>
        </is>
      </c>
      <c r="AE2" s="85" t="inlineStr">
        <is>
          <t>@surajvansh</t>
        </is>
      </c>
    </row>
    <row r="3" ht="18" customHeight="1">
      <c r="A3" s="86" t="inlineStr">
        <is>
          <t>May 2029</t>
        </is>
      </c>
      <c r="H3" s="87" t="inlineStr">
        <is>
          <t>31 Days Dashboard</t>
        </is>
      </c>
    </row>
    <row r="4" ht="5" customHeight="1"/>
    <row r="5" ht="16" customHeight="1">
      <c r="A5" s="88" t="inlineStr">
        <is>
          <t>MONTHLY TARGETS</t>
        </is>
      </c>
    </row>
    <row r="6" ht="13" customHeight="1">
      <c r="A6" s="89" t="inlineStr">
        <is>
          <t>1. ____________________ : ____________________</t>
        </is>
      </c>
      <c r="P6" s="89" t="inlineStr">
        <is>
          <t>5. ____________________ : ____________________</t>
        </is>
      </c>
    </row>
    <row r="7" ht="13" customHeight="1">
      <c r="A7" s="89" t="inlineStr">
        <is>
          <t>2. ____________________ : ____________________</t>
        </is>
      </c>
      <c r="P7" s="89" t="inlineStr">
        <is>
          <t>6. ____________________ : ____________________</t>
        </is>
      </c>
    </row>
    <row r="8" ht="13" customHeight="1">
      <c r="A8" s="89" t="inlineStr">
        <is>
          <t>3. ____________________ : ____________________</t>
        </is>
      </c>
      <c r="P8" s="89" t="inlineStr">
        <is>
          <t>7. ____________________ : ____________________</t>
        </is>
      </c>
    </row>
    <row r="9" ht="13" customHeight="1">
      <c r="A9" s="89" t="inlineStr">
        <is>
          <t>4. ____________________ : ____________________</t>
        </is>
      </c>
      <c r="P9" s="89" t="inlineStr">
        <is>
          <t>8. ____________________ : ____________________</t>
        </is>
      </c>
    </row>
    <row r="10" ht="5" customHeight="1"/>
    <row r="11" ht="15" customHeight="1">
      <c r="A11" s="88" t="inlineStr">
        <is>
          <t>NOTES:</t>
        </is>
      </c>
    </row>
    <row r="12" ht="13" customHeight="1">
      <c r="A12" s="90" t="n"/>
      <c r="B12" s="91" t="n"/>
      <c r="C12" s="91" t="n"/>
      <c r="D12" s="91" t="n"/>
      <c r="E12" s="91" t="n"/>
      <c r="F12" s="91" t="n"/>
      <c r="G12" s="91" t="n"/>
      <c r="H12" s="91" t="n"/>
      <c r="I12" s="91" t="n"/>
      <c r="J12" s="91" t="n"/>
      <c r="K12" s="91" t="n"/>
      <c r="L12" s="91" t="n"/>
      <c r="M12" s="91" t="n"/>
      <c r="N12" s="91" t="n"/>
      <c r="O12" s="91" t="n"/>
      <c r="P12" s="91" t="n"/>
      <c r="Q12" s="91" t="n"/>
      <c r="R12" s="91" t="n"/>
      <c r="S12" s="91" t="n"/>
      <c r="T12" s="91" t="n"/>
      <c r="U12" s="91" t="n"/>
      <c r="V12" s="91" t="n"/>
      <c r="W12" s="91" t="n"/>
      <c r="X12" s="91" t="n"/>
      <c r="Y12" s="91" t="n"/>
      <c r="Z12" s="91" t="n"/>
      <c r="AA12" s="91" t="n"/>
      <c r="AB12" s="91" t="n"/>
      <c r="AC12" s="91" t="n"/>
      <c r="AD12" s="91" t="n"/>
      <c r="AE12" s="91" t="n"/>
      <c r="AF12" s="91" t="n"/>
      <c r="AG12" s="91" t="n"/>
      <c r="AH12" s="91" t="n"/>
      <c r="AI12" s="91" t="n"/>
      <c r="AJ12" s="91" t="n"/>
      <c r="AK12" s="91" t="n"/>
      <c r="AL12" s="91" t="n"/>
    </row>
    <row r="13" ht="13" customHeight="1">
      <c r="A13" s="91" t="n"/>
      <c r="B13" s="91" t="n"/>
      <c r="C13" s="91" t="n"/>
      <c r="D13" s="91" t="n"/>
      <c r="E13" s="91" t="n"/>
      <c r="F13" s="91" t="n"/>
      <c r="G13" s="91" t="n"/>
      <c r="H13" s="91" t="n"/>
      <c r="I13" s="91" t="n"/>
      <c r="J13" s="91" t="n"/>
      <c r="K13" s="91" t="n"/>
      <c r="L13" s="91" t="n"/>
      <c r="M13" s="91" t="n"/>
      <c r="N13" s="91" t="n"/>
      <c r="O13" s="91" t="n"/>
      <c r="P13" s="91" t="n"/>
      <c r="Q13" s="91" t="n"/>
      <c r="R13" s="91" t="n"/>
      <c r="S13" s="91" t="n"/>
      <c r="T13" s="91" t="n"/>
      <c r="U13" s="91" t="n"/>
      <c r="V13" s="91" t="n"/>
      <c r="W13" s="91" t="n"/>
      <c r="X13" s="91" t="n"/>
      <c r="Y13" s="91" t="n"/>
      <c r="Z13" s="91" t="n"/>
      <c r="AA13" s="91" t="n"/>
      <c r="AB13" s="91" t="n"/>
      <c r="AC13" s="91" t="n"/>
      <c r="AD13" s="91" t="n"/>
      <c r="AE13" s="91" t="n"/>
      <c r="AF13" s="91" t="n"/>
      <c r="AG13" s="91" t="n"/>
      <c r="AH13" s="91" t="n"/>
      <c r="AI13" s="91" t="n"/>
      <c r="AJ13" s="91" t="n"/>
      <c r="AK13" s="91" t="n"/>
      <c r="AL13" s="91" t="n"/>
    </row>
    <row r="14" ht="13" customHeight="1">
      <c r="A14" s="91" t="n"/>
      <c r="B14" s="91" t="n"/>
      <c r="C14" s="91" t="n"/>
      <c r="D14" s="91" t="n"/>
      <c r="E14" s="91" t="n"/>
      <c r="F14" s="91" t="n"/>
      <c r="G14" s="91" t="n"/>
      <c r="H14" s="91" t="n"/>
      <c r="I14" s="91" t="n"/>
      <c r="J14" s="91" t="n"/>
      <c r="K14" s="91" t="n"/>
      <c r="L14" s="91" t="n"/>
      <c r="M14" s="91" t="n"/>
      <c r="N14" s="91" t="n"/>
      <c r="O14" s="91" t="n"/>
      <c r="P14" s="91" t="n"/>
      <c r="Q14" s="91" t="n"/>
      <c r="R14" s="91" t="n"/>
      <c r="S14" s="91" t="n"/>
      <c r="T14" s="91" t="n"/>
      <c r="U14" s="91" t="n"/>
      <c r="V14" s="91" t="n"/>
      <c r="W14" s="91" t="n"/>
      <c r="X14" s="91" t="n"/>
      <c r="Y14" s="91" t="n"/>
      <c r="Z14" s="91" t="n"/>
      <c r="AA14" s="91" t="n"/>
      <c r="AB14" s="91" t="n"/>
      <c r="AC14" s="91" t="n"/>
      <c r="AD14" s="91" t="n"/>
      <c r="AE14" s="91" t="n"/>
      <c r="AF14" s="91" t="n"/>
      <c r="AG14" s="91" t="n"/>
      <c r="AH14" s="91" t="n"/>
      <c r="AI14" s="91" t="n"/>
      <c r="AJ14" s="91" t="n"/>
      <c r="AK14" s="91" t="n"/>
      <c r="AL14" s="91" t="n"/>
    </row>
    <row r="15" ht="8" customHeight="1"/>
    <row r="16" ht="15" customHeight="1">
      <c r="A16" s="33" t="inlineStr">
        <is>
          <t>S.No.</t>
        </is>
      </c>
      <c r="B16" s="33" t="inlineStr">
        <is>
          <t>Protocols</t>
        </is>
      </c>
      <c r="C16" s="33" t="inlineStr">
        <is>
          <t>Category</t>
        </is>
      </c>
      <c r="D16" s="33" t="inlineStr">
        <is>
          <t>Target</t>
        </is>
      </c>
      <c r="E16" s="92" t="n">
        <v>1</v>
      </c>
      <c r="F16" s="92" t="n">
        <v>2</v>
      </c>
      <c r="G16" s="92" t="n">
        <v>3</v>
      </c>
      <c r="H16" s="92" t="n">
        <v>4</v>
      </c>
      <c r="I16" s="92" t="n">
        <v>5</v>
      </c>
      <c r="J16" s="93" t="n">
        <v>6</v>
      </c>
      <c r="K16" s="92" t="n">
        <v>7</v>
      </c>
      <c r="L16" s="92" t="n">
        <v>8</v>
      </c>
      <c r="M16" s="92" t="n">
        <v>9</v>
      </c>
      <c r="N16" s="92" t="n">
        <v>10</v>
      </c>
      <c r="O16" s="92" t="n">
        <v>11</v>
      </c>
      <c r="P16" s="92" t="n">
        <v>12</v>
      </c>
      <c r="Q16" s="93" t="n">
        <v>13</v>
      </c>
      <c r="R16" s="92" t="n">
        <v>14</v>
      </c>
      <c r="S16" s="92" t="n">
        <v>15</v>
      </c>
      <c r="T16" s="92" t="n">
        <v>16</v>
      </c>
      <c r="U16" s="92" t="n">
        <v>17</v>
      </c>
      <c r="V16" s="92" t="n">
        <v>18</v>
      </c>
      <c r="W16" s="92" t="n">
        <v>19</v>
      </c>
      <c r="X16" s="93" t="n">
        <v>20</v>
      </c>
      <c r="Y16" s="92" t="n">
        <v>21</v>
      </c>
      <c r="Z16" s="92" t="n">
        <v>22</v>
      </c>
      <c r="AA16" s="92" t="n">
        <v>23</v>
      </c>
      <c r="AB16" s="92" t="n">
        <v>24</v>
      </c>
      <c r="AC16" s="92" t="n">
        <v>25</v>
      </c>
      <c r="AD16" s="92" t="n">
        <v>26</v>
      </c>
      <c r="AE16" s="93" t="n">
        <v>27</v>
      </c>
      <c r="AF16" s="92" t="n">
        <v>28</v>
      </c>
      <c r="AG16" s="92" t="n">
        <v>29</v>
      </c>
      <c r="AH16" s="92" t="n">
        <v>30</v>
      </c>
      <c r="AI16" s="92" t="n">
        <v>31</v>
      </c>
      <c r="AJ16" s="94" t="inlineStr">
        <is>
          <t>Success %</t>
        </is>
      </c>
      <c r="AK16" s="94" t="inlineStr">
        <is>
          <t>Done / Target</t>
        </is>
      </c>
      <c r="AL16" s="94" t="inlineStr">
        <is>
          <t>Status</t>
        </is>
      </c>
      <c r="AM16" t="inlineStr">
        <is>
          <t>Done Count</t>
        </is>
      </c>
    </row>
    <row r="17" ht="15" customHeight="1">
      <c r="A17" s="54" t="n"/>
      <c r="B17" s="54" t="n"/>
      <c r="C17" s="54" t="n"/>
      <c r="D17" s="54" t="n"/>
      <c r="E17" s="95" t="inlineStr">
        <is>
          <t>T</t>
        </is>
      </c>
      <c r="F17" s="95" t="inlineStr">
        <is>
          <t>W</t>
        </is>
      </c>
      <c r="G17" s="95" t="inlineStr">
        <is>
          <t>Th</t>
        </is>
      </c>
      <c r="H17" s="95" t="inlineStr">
        <is>
          <t>F</t>
        </is>
      </c>
      <c r="I17" s="95" t="inlineStr">
        <is>
          <t>Sa</t>
        </is>
      </c>
      <c r="J17" s="96" t="inlineStr">
        <is>
          <t>Su</t>
        </is>
      </c>
      <c r="K17" s="95" t="inlineStr">
        <is>
          <t>M</t>
        </is>
      </c>
      <c r="L17" s="95" t="inlineStr">
        <is>
          <t>T</t>
        </is>
      </c>
      <c r="M17" s="95" t="inlineStr">
        <is>
          <t>W</t>
        </is>
      </c>
      <c r="N17" s="95" t="inlineStr">
        <is>
          <t>Th</t>
        </is>
      </c>
      <c r="O17" s="95" t="inlineStr">
        <is>
          <t>F</t>
        </is>
      </c>
      <c r="P17" s="95" t="inlineStr">
        <is>
          <t>Sa</t>
        </is>
      </c>
      <c r="Q17" s="96" t="inlineStr">
        <is>
          <t>Su</t>
        </is>
      </c>
      <c r="R17" s="95" t="inlineStr">
        <is>
          <t>M</t>
        </is>
      </c>
      <c r="S17" s="95" t="inlineStr">
        <is>
          <t>T</t>
        </is>
      </c>
      <c r="T17" s="95" t="inlineStr">
        <is>
          <t>W</t>
        </is>
      </c>
      <c r="U17" s="95" t="inlineStr">
        <is>
          <t>Th</t>
        </is>
      </c>
      <c r="V17" s="95" t="inlineStr">
        <is>
          <t>F</t>
        </is>
      </c>
      <c r="W17" s="95" t="inlineStr">
        <is>
          <t>Sa</t>
        </is>
      </c>
      <c r="X17" s="96" t="inlineStr">
        <is>
          <t>Su</t>
        </is>
      </c>
      <c r="Y17" s="95" t="inlineStr">
        <is>
          <t>M</t>
        </is>
      </c>
      <c r="Z17" s="95" t="inlineStr">
        <is>
          <t>T</t>
        </is>
      </c>
      <c r="AA17" s="95" t="inlineStr">
        <is>
          <t>W</t>
        </is>
      </c>
      <c r="AB17" s="95" t="inlineStr">
        <is>
          <t>Th</t>
        </is>
      </c>
      <c r="AC17" s="95" t="inlineStr">
        <is>
          <t>F</t>
        </is>
      </c>
      <c r="AD17" s="95" t="inlineStr">
        <is>
          <t>Sa</t>
        </is>
      </c>
      <c r="AE17" s="96" t="inlineStr">
        <is>
          <t>Su</t>
        </is>
      </c>
      <c r="AF17" s="95" t="inlineStr">
        <is>
          <t>M</t>
        </is>
      </c>
      <c r="AG17" s="95" t="inlineStr">
        <is>
          <t>T</t>
        </is>
      </c>
      <c r="AH17" s="95" t="inlineStr">
        <is>
          <t>W</t>
        </is>
      </c>
      <c r="AI17" s="95" t="inlineStr">
        <is>
          <t>Th</t>
        </is>
      </c>
      <c r="AJ17" s="54" t="n"/>
      <c r="AK17" s="54" t="n"/>
      <c r="AL17" s="54" t="n"/>
    </row>
    <row r="18" ht="14.5" customHeight="1">
      <c r="A18" s="97" t="n">
        <v>1</v>
      </c>
      <c r="B18" s="98" t="n"/>
      <c r="C18" s="99" t="n"/>
      <c r="D18" s="99" t="n"/>
      <c r="E18" s="100" t="n"/>
      <c r="F18" s="100" t="n"/>
      <c r="G18" s="100" t="n"/>
      <c r="H18" s="100" t="n"/>
      <c r="I18" s="100" t="n"/>
      <c r="J18" s="101" t="n"/>
      <c r="K18" s="100" t="n"/>
      <c r="L18" s="100" t="n"/>
      <c r="M18" s="100" t="n"/>
      <c r="N18" s="100" t="n"/>
      <c r="O18" s="100" t="n"/>
      <c r="P18" s="100" t="n"/>
      <c r="Q18" s="101" t="n"/>
      <c r="R18" s="100" t="n"/>
      <c r="S18" s="100" t="n"/>
      <c r="T18" s="100" t="n"/>
      <c r="U18" s="100" t="n"/>
      <c r="V18" s="100" t="n"/>
      <c r="W18" s="100" t="n"/>
      <c r="X18" s="101" t="n"/>
      <c r="Y18" s="100" t="n"/>
      <c r="Z18" s="100" t="n"/>
      <c r="AA18" s="100" t="n"/>
      <c r="AB18" s="100" t="n"/>
      <c r="AC18" s="100" t="n"/>
      <c r="AD18" s="100" t="n"/>
      <c r="AE18" s="101" t="n"/>
      <c r="AF18" s="100" t="n"/>
      <c r="AG18" s="100" t="n"/>
      <c r="AH18" s="100" t="n"/>
      <c r="AI18" s="100" t="n"/>
      <c r="AJ18" s="102">
        <f>IF(ISBLANK(B18), "", IF(ISNUMBER(D18), IF(D18&gt;0, (COUNTIF(E18:AI18, "✓") + COUNTIF(E18:AI18, "✔") + COUNTIF(E18:AI18, "v") + COUNTIF(E18:AI18, "V"))/D18, 0), IF(((COUNTIF(E18:AI18, "✓") + COUNTIF(E18:AI18, "✔") + COUNTIF(E18:AI18, "v") + COUNTIF(E18:AI18, "V")) + COUNTIF(E18:AI18, "✗") + COUNTIF(E18:AI18, "x") + COUNTIF(E18:AI18, "X"))&gt;0, (COUNTIF(E18:AI18, "✓") + COUNTIF(E18:AI18, "✔") + COUNTIF(E18:AI18, "v") + COUNTIF(E18:AI18, "V"))/((COUNTIF(E18:AI18, "✓") + COUNTIF(E18:AI18, "✔") + COUNTIF(E18:AI18, "v") + COUNTIF(E18:AI18, "V")) + COUNTIF(E18:AI18, "✗") + COUNTIF(E18:AI18, "x") + COUNTIF(E18:AI18, "X")), "")))</f>
        <v/>
      </c>
      <c r="AK18" s="103">
        <f>IF(ISBLANK(B18), "", IF(ISNUMBER(D18), IF(D18&gt;0, (COUNTIF(E18:AI18, "✓") + COUNTIF(E18:AI18, "✔") + COUNTIF(E18:AI18, "v") + COUNTIF(E18:AI18, "V")) &amp; "/" &amp; D18, (COUNTIF(E18:AI18, "✓") + COUNTIF(E18:AI18, "✔") + COUNTIF(E18:AI18, "v") + COUNTIF(E18:AI18, "V")) &amp; "/0"), IF(((COUNTIF(E18:AI18, "✓") + COUNTIF(E18:AI18, "✔") + COUNTIF(E18:AI18, "v") + COUNTIF(E18:AI18, "V")) + COUNTIF(E18:AI18, "✗") + COUNTIF(E18:AI18, "x") + COUNTIF(E18:AI18, "X"))&gt;0, (COUNTIF(E18:AI18, "✓") + COUNTIF(E18:AI18, "✔") + COUNTIF(E18:AI18, "v") + COUNTIF(E18:AI18, "V")) &amp; "/" &amp; ((COUNTIF(E18:AI18, "✓") + COUNTIF(E18:AI18, "✔") + COUNTIF(E18:AI18, "v") + COUNTIF(E18:AI18, "V")) + COUNTIF(E18:AI18, "✗") + COUNTIF(E18:AI18, "x") + COUNTIF(E18:AI18, "X")), "")))</f>
        <v/>
      </c>
      <c r="AL18" s="103">
        <f>IF(ISBLANK(B18), "", IF(AJ18&gt;=0.85, "🔥 Mastered", IF(AJ18&gt;=0.7, "⚡ Consistent", "⚠️ Needs Focus")))</f>
        <v/>
      </c>
      <c r="AM18">
        <f>COUNTIF(E18:AI18, "✓")</f>
        <v/>
      </c>
    </row>
    <row r="19" ht="14.5" customHeight="1">
      <c r="A19" s="97" t="n">
        <v>2</v>
      </c>
      <c r="B19" s="98" t="n"/>
      <c r="C19" s="99" t="n"/>
      <c r="D19" s="99" t="n"/>
      <c r="E19" s="100" t="n"/>
      <c r="F19" s="100" t="n"/>
      <c r="G19" s="100" t="n"/>
      <c r="H19" s="100" t="n"/>
      <c r="I19" s="100" t="n"/>
      <c r="J19" s="101" t="n"/>
      <c r="K19" s="100" t="n"/>
      <c r="L19" s="100" t="n"/>
      <c r="M19" s="100" t="n"/>
      <c r="N19" s="100" t="n"/>
      <c r="O19" s="100" t="n"/>
      <c r="P19" s="100" t="n"/>
      <c r="Q19" s="101" t="n"/>
      <c r="R19" s="100" t="n"/>
      <c r="S19" s="100" t="n"/>
      <c r="T19" s="100" t="n"/>
      <c r="U19" s="100" t="n"/>
      <c r="V19" s="100" t="n"/>
      <c r="W19" s="100" t="n"/>
      <c r="X19" s="101" t="n"/>
      <c r="Y19" s="100" t="n"/>
      <c r="Z19" s="100" t="n"/>
      <c r="AA19" s="100" t="n"/>
      <c r="AB19" s="100" t="n"/>
      <c r="AC19" s="100" t="n"/>
      <c r="AD19" s="100" t="n"/>
      <c r="AE19" s="101" t="n"/>
      <c r="AF19" s="100" t="n"/>
      <c r="AG19" s="100" t="n"/>
      <c r="AH19" s="100" t="n"/>
      <c r="AI19" s="100" t="n"/>
      <c r="AJ19" s="102">
        <f>IF(ISBLANK(B19), "", IF(ISNUMBER(D19), IF(D19&gt;0, (COUNTIF(E19:AI19, "✓") + COUNTIF(E19:AI19, "✔") + COUNTIF(E19:AI19, "v") + COUNTIF(E19:AI19, "V"))/D19, 0), IF(((COUNTIF(E19:AI19, "✓") + COUNTIF(E19:AI19, "✔") + COUNTIF(E19:AI19, "v") + COUNTIF(E19:AI19, "V")) + COUNTIF(E19:AI19, "✗") + COUNTIF(E19:AI19, "x") + COUNTIF(E19:AI19, "X"))&gt;0, (COUNTIF(E19:AI19, "✓") + COUNTIF(E19:AI19, "✔") + COUNTIF(E19:AI19, "v") + COUNTIF(E19:AI19, "V"))/((COUNTIF(E19:AI19, "✓") + COUNTIF(E19:AI19, "✔") + COUNTIF(E19:AI19, "v") + COUNTIF(E19:AI19, "V")) + COUNTIF(E19:AI19, "✗") + COUNTIF(E19:AI19, "x") + COUNTIF(E19:AI19, "X")), "")))</f>
        <v/>
      </c>
      <c r="AK19" s="103">
        <f>IF(ISBLANK(B19), "", IF(ISNUMBER(D19), IF(D19&gt;0, (COUNTIF(E19:AI19, "✓") + COUNTIF(E19:AI19, "✔") + COUNTIF(E19:AI19, "v") + COUNTIF(E19:AI19, "V")) &amp; "/" &amp; D19, (COUNTIF(E19:AI19, "✓") + COUNTIF(E19:AI19, "✔") + COUNTIF(E19:AI19, "v") + COUNTIF(E19:AI19, "V")) &amp; "/0"), IF(((COUNTIF(E19:AI19, "✓") + COUNTIF(E19:AI19, "✔") + COUNTIF(E19:AI19, "v") + COUNTIF(E19:AI19, "V")) + COUNTIF(E19:AI19, "✗") + COUNTIF(E19:AI19, "x") + COUNTIF(E19:AI19, "X"))&gt;0, (COUNTIF(E19:AI19, "✓") + COUNTIF(E19:AI19, "✔") + COUNTIF(E19:AI19, "v") + COUNTIF(E19:AI19, "V")) &amp; "/" &amp; ((COUNTIF(E19:AI19, "✓") + COUNTIF(E19:AI19, "✔") + COUNTIF(E19:AI19, "v") + COUNTIF(E19:AI19, "V")) + COUNTIF(E19:AI19, "✗") + COUNTIF(E19:AI19, "x") + COUNTIF(E19:AI19, "X")), "")))</f>
        <v/>
      </c>
      <c r="AL19" s="103">
        <f>IF(ISBLANK(B19), "", IF(AJ19&gt;=0.85, "🔥 Mastered", IF(AJ19&gt;=0.7, "⚡ Consistent", "⚠️ Needs Focus")))</f>
        <v/>
      </c>
      <c r="AM19">
        <f>COUNTIF(E19:AI19, "✓")</f>
        <v/>
      </c>
    </row>
    <row r="20" ht="14.5" customHeight="1">
      <c r="A20" s="97" t="n">
        <v>3</v>
      </c>
      <c r="B20" s="98" t="n"/>
      <c r="C20" s="99" t="n"/>
      <c r="D20" s="99" t="n"/>
      <c r="E20" s="100" t="n"/>
      <c r="F20" s="100" t="n"/>
      <c r="G20" s="100" t="n"/>
      <c r="H20" s="100" t="n"/>
      <c r="I20" s="100" t="n"/>
      <c r="J20" s="101" t="n"/>
      <c r="K20" s="100" t="n"/>
      <c r="L20" s="100" t="n"/>
      <c r="M20" s="100" t="n"/>
      <c r="N20" s="100" t="n"/>
      <c r="O20" s="100" t="n"/>
      <c r="P20" s="100" t="n"/>
      <c r="Q20" s="101" t="n"/>
      <c r="R20" s="100" t="n"/>
      <c r="S20" s="100" t="n"/>
      <c r="T20" s="100" t="n"/>
      <c r="U20" s="100" t="n"/>
      <c r="V20" s="100" t="n"/>
      <c r="W20" s="100" t="n"/>
      <c r="X20" s="101" t="n"/>
      <c r="Y20" s="100" t="n"/>
      <c r="Z20" s="100" t="n"/>
      <c r="AA20" s="100" t="n"/>
      <c r="AB20" s="100" t="n"/>
      <c r="AC20" s="100" t="n"/>
      <c r="AD20" s="100" t="n"/>
      <c r="AE20" s="101" t="n"/>
      <c r="AF20" s="100" t="n"/>
      <c r="AG20" s="100" t="n"/>
      <c r="AH20" s="100" t="n"/>
      <c r="AI20" s="100" t="n"/>
      <c r="AJ20" s="102">
        <f>IF(ISBLANK(B20), "", IF(ISNUMBER(D20), IF(D20&gt;0, (COUNTIF(E20:AI20, "✓") + COUNTIF(E20:AI20, "✔") + COUNTIF(E20:AI20, "v") + COUNTIF(E20:AI20, "V"))/D20, 0), IF(((COUNTIF(E20:AI20, "✓") + COUNTIF(E20:AI20, "✔") + COUNTIF(E20:AI20, "v") + COUNTIF(E20:AI20, "V")) + COUNTIF(E20:AI20, "✗") + COUNTIF(E20:AI20, "x") + COUNTIF(E20:AI20, "X"))&gt;0, (COUNTIF(E20:AI20, "✓") + COUNTIF(E20:AI20, "✔") + COUNTIF(E20:AI20, "v") + COUNTIF(E20:AI20, "V"))/((COUNTIF(E20:AI20, "✓") + COUNTIF(E20:AI20, "✔") + COUNTIF(E20:AI20, "v") + COUNTIF(E20:AI20, "V")) + COUNTIF(E20:AI20, "✗") + COUNTIF(E20:AI20, "x") + COUNTIF(E20:AI20, "X")), "")))</f>
        <v/>
      </c>
      <c r="AK20" s="103">
        <f>IF(ISBLANK(B20), "", IF(ISNUMBER(D20), IF(D20&gt;0, (COUNTIF(E20:AI20, "✓") + COUNTIF(E20:AI20, "✔") + COUNTIF(E20:AI20, "v") + COUNTIF(E20:AI20, "V")) &amp; "/" &amp; D20, (COUNTIF(E20:AI20, "✓") + COUNTIF(E20:AI20, "✔") + COUNTIF(E20:AI20, "v") + COUNTIF(E20:AI20, "V")) &amp; "/0"), IF(((COUNTIF(E20:AI20, "✓") + COUNTIF(E20:AI20, "✔") + COUNTIF(E20:AI20, "v") + COUNTIF(E20:AI20, "V")) + COUNTIF(E20:AI20, "✗") + COUNTIF(E20:AI20, "x") + COUNTIF(E20:AI20, "X"))&gt;0, (COUNTIF(E20:AI20, "✓") + COUNTIF(E20:AI20, "✔") + COUNTIF(E20:AI20, "v") + COUNTIF(E20:AI20, "V")) &amp; "/" &amp; ((COUNTIF(E20:AI20, "✓") + COUNTIF(E20:AI20, "✔") + COUNTIF(E20:AI20, "v") + COUNTIF(E20:AI20, "V")) + COUNTIF(E20:AI20, "✗") + COUNTIF(E20:AI20, "x") + COUNTIF(E20:AI20, "X")), "")))</f>
        <v/>
      </c>
      <c r="AL20" s="103">
        <f>IF(ISBLANK(B20), "", IF(AJ20&gt;=0.85, "🔥 Mastered", IF(AJ20&gt;=0.7, "⚡ Consistent", "⚠️ Needs Focus")))</f>
        <v/>
      </c>
      <c r="AM20">
        <f>COUNTIF(E20:AI20, "✓")</f>
        <v/>
      </c>
    </row>
    <row r="21" ht="14.5" customHeight="1">
      <c r="A21" s="97" t="n">
        <v>4</v>
      </c>
      <c r="B21" s="98" t="n"/>
      <c r="C21" s="99" t="n"/>
      <c r="D21" s="99" t="n"/>
      <c r="E21" s="100" t="n"/>
      <c r="F21" s="100" t="n"/>
      <c r="G21" s="100" t="n"/>
      <c r="H21" s="100" t="n"/>
      <c r="I21" s="100" t="n"/>
      <c r="J21" s="101" t="n"/>
      <c r="K21" s="100" t="n"/>
      <c r="L21" s="100" t="n"/>
      <c r="M21" s="100" t="n"/>
      <c r="N21" s="100" t="n"/>
      <c r="O21" s="100" t="n"/>
      <c r="P21" s="100" t="n"/>
      <c r="Q21" s="101" t="n"/>
      <c r="R21" s="100" t="n"/>
      <c r="S21" s="100" t="n"/>
      <c r="T21" s="100" t="n"/>
      <c r="U21" s="100" t="n"/>
      <c r="V21" s="100" t="n"/>
      <c r="W21" s="100" t="n"/>
      <c r="X21" s="101" t="n"/>
      <c r="Y21" s="100" t="n"/>
      <c r="Z21" s="100" t="n"/>
      <c r="AA21" s="100" t="n"/>
      <c r="AB21" s="100" t="n"/>
      <c r="AC21" s="100" t="n"/>
      <c r="AD21" s="100" t="n"/>
      <c r="AE21" s="101" t="n"/>
      <c r="AF21" s="100" t="n"/>
      <c r="AG21" s="100" t="n"/>
      <c r="AH21" s="100" t="n"/>
      <c r="AI21" s="100" t="n"/>
      <c r="AJ21" s="102">
        <f>IF(ISBLANK(B21), "", IF(ISNUMBER(D21), IF(D21&gt;0, (COUNTIF(E21:AI21, "✓") + COUNTIF(E21:AI21, "✔") + COUNTIF(E21:AI21, "v") + COUNTIF(E21:AI21, "V"))/D21, 0), IF(((COUNTIF(E21:AI21, "✓") + COUNTIF(E21:AI21, "✔") + COUNTIF(E21:AI21, "v") + COUNTIF(E21:AI21, "V")) + COUNTIF(E21:AI21, "✗") + COUNTIF(E21:AI21, "x") + COUNTIF(E21:AI21, "X"))&gt;0, (COUNTIF(E21:AI21, "✓") + COUNTIF(E21:AI21, "✔") + COUNTIF(E21:AI21, "v") + COUNTIF(E21:AI21, "V"))/((COUNTIF(E21:AI21, "✓") + COUNTIF(E21:AI21, "✔") + COUNTIF(E21:AI21, "v") + COUNTIF(E21:AI21, "V")) + COUNTIF(E21:AI21, "✗") + COUNTIF(E21:AI21, "x") + COUNTIF(E21:AI21, "X")), "")))</f>
        <v/>
      </c>
      <c r="AK21" s="103">
        <f>IF(ISBLANK(B21), "", IF(ISNUMBER(D21), IF(D21&gt;0, (COUNTIF(E21:AI21, "✓") + COUNTIF(E21:AI21, "✔") + COUNTIF(E21:AI21, "v") + COUNTIF(E21:AI21, "V")) &amp; "/" &amp; D21, (COUNTIF(E21:AI21, "✓") + COUNTIF(E21:AI21, "✔") + COUNTIF(E21:AI21, "v") + COUNTIF(E21:AI21, "V")) &amp; "/0"), IF(((COUNTIF(E21:AI21, "✓") + COUNTIF(E21:AI21, "✔") + COUNTIF(E21:AI21, "v") + COUNTIF(E21:AI21, "V")) + COUNTIF(E21:AI21, "✗") + COUNTIF(E21:AI21, "x") + COUNTIF(E21:AI21, "X"))&gt;0, (COUNTIF(E21:AI21, "✓") + COUNTIF(E21:AI21, "✔") + COUNTIF(E21:AI21, "v") + COUNTIF(E21:AI21, "V")) &amp; "/" &amp; ((COUNTIF(E21:AI21, "✓") + COUNTIF(E21:AI21, "✔") + COUNTIF(E21:AI21, "v") + COUNTIF(E21:AI21, "V")) + COUNTIF(E21:AI21, "✗") + COUNTIF(E21:AI21, "x") + COUNTIF(E21:AI21, "X")), "")))</f>
        <v/>
      </c>
      <c r="AL21" s="103">
        <f>IF(ISBLANK(B21), "", IF(AJ21&gt;=0.85, "🔥 Mastered", IF(AJ21&gt;=0.7, "⚡ Consistent", "⚠️ Needs Focus")))</f>
        <v/>
      </c>
      <c r="AM21">
        <f>COUNTIF(E21:AI21, "✓")</f>
        <v/>
      </c>
    </row>
    <row r="22" ht="14.5" customHeight="1">
      <c r="A22" s="104" t="n">
        <v>5</v>
      </c>
      <c r="B22" s="105" t="n"/>
      <c r="C22" s="106" t="n"/>
      <c r="D22" s="106" t="n"/>
      <c r="E22" s="107" t="n"/>
      <c r="F22" s="107" t="n"/>
      <c r="G22" s="107" t="n"/>
      <c r="H22" s="107" t="n"/>
      <c r="I22" s="107" t="n"/>
      <c r="J22" s="108" t="n"/>
      <c r="K22" s="107" t="n"/>
      <c r="L22" s="107" t="n"/>
      <c r="M22" s="107" t="n"/>
      <c r="N22" s="107" t="n"/>
      <c r="O22" s="107" t="n"/>
      <c r="P22" s="107" t="n"/>
      <c r="Q22" s="108" t="n"/>
      <c r="R22" s="107" t="n"/>
      <c r="S22" s="107" t="n"/>
      <c r="T22" s="107" t="n"/>
      <c r="U22" s="107" t="n"/>
      <c r="V22" s="107" t="n"/>
      <c r="W22" s="107" t="n"/>
      <c r="X22" s="108" t="n"/>
      <c r="Y22" s="107" t="n"/>
      <c r="Z22" s="107" t="n"/>
      <c r="AA22" s="107" t="n"/>
      <c r="AB22" s="107" t="n"/>
      <c r="AC22" s="107" t="n"/>
      <c r="AD22" s="107" t="n"/>
      <c r="AE22" s="108" t="n"/>
      <c r="AF22" s="107" t="n"/>
      <c r="AG22" s="107" t="n"/>
      <c r="AH22" s="107" t="n"/>
      <c r="AI22" s="107" t="n"/>
      <c r="AJ22" s="109">
        <f>IF(ISBLANK(B22), "", IF(ISNUMBER(D22), IF(D22&gt;0, (COUNTIF(E22:AI22, "✓") + COUNTIF(E22:AI22, "✔") + COUNTIF(E22:AI22, "v") + COUNTIF(E22:AI22, "V"))/D22, 0), IF(((COUNTIF(E22:AI22, "✓") + COUNTIF(E22:AI22, "✔") + COUNTIF(E22:AI22, "v") + COUNTIF(E22:AI22, "V")) + COUNTIF(E22:AI22, "✗") + COUNTIF(E22:AI22, "x") + COUNTIF(E22:AI22, "X"))&gt;0, (COUNTIF(E22:AI22, "✓") + COUNTIF(E22:AI22, "✔") + COUNTIF(E22:AI22, "v") + COUNTIF(E22:AI22, "V"))/((COUNTIF(E22:AI22, "✓") + COUNTIF(E22:AI22, "✔") + COUNTIF(E22:AI22, "v") + COUNTIF(E22:AI22, "V")) + COUNTIF(E22:AI22, "✗") + COUNTIF(E22:AI22, "x") + COUNTIF(E22:AI22, "X")), "")))</f>
        <v/>
      </c>
      <c r="AK22" s="110">
        <f>IF(ISBLANK(B22), "", IF(ISNUMBER(D22), IF(D22&gt;0, (COUNTIF(E22:AI22, "✓") + COUNTIF(E22:AI22, "✔") + COUNTIF(E22:AI22, "v") + COUNTIF(E22:AI22, "V")) &amp; "/" &amp; D22, (COUNTIF(E22:AI22, "✓") + COUNTIF(E22:AI22, "✔") + COUNTIF(E22:AI22, "v") + COUNTIF(E22:AI22, "V")) &amp; "/0"), IF(((COUNTIF(E22:AI22, "✓") + COUNTIF(E22:AI22, "✔") + COUNTIF(E22:AI22, "v") + COUNTIF(E22:AI22, "V")) + COUNTIF(E22:AI22, "✗") + COUNTIF(E22:AI22, "x") + COUNTIF(E22:AI22, "X"))&gt;0, (COUNTIF(E22:AI22, "✓") + COUNTIF(E22:AI22, "✔") + COUNTIF(E22:AI22, "v") + COUNTIF(E22:AI22, "V")) &amp; "/" &amp; ((COUNTIF(E22:AI22, "✓") + COUNTIF(E22:AI22, "✔") + COUNTIF(E22:AI22, "v") + COUNTIF(E22:AI22, "V")) + COUNTIF(E22:AI22, "✗") + COUNTIF(E22:AI22, "x") + COUNTIF(E22:AI22, "X")), "")))</f>
        <v/>
      </c>
      <c r="AL22" s="110">
        <f>IF(ISBLANK(B22), "", IF(AJ22&gt;=0.85, "🔥 Mastered", IF(AJ22&gt;=0.7, "⚡ Consistent", "⚠️ Needs Focus")))</f>
        <v/>
      </c>
      <c r="AM22">
        <f>COUNTIF(E22:AI22, "✓")</f>
        <v/>
      </c>
    </row>
    <row r="23" ht="14.5" customHeight="1">
      <c r="A23" s="104" t="n">
        <v>6</v>
      </c>
      <c r="B23" s="105" t="n"/>
      <c r="C23" s="106" t="n"/>
      <c r="D23" s="106" t="n"/>
      <c r="E23" s="107" t="n"/>
      <c r="F23" s="107" t="n"/>
      <c r="G23" s="107" t="n"/>
      <c r="H23" s="107" t="n"/>
      <c r="I23" s="107" t="n"/>
      <c r="J23" s="108" t="n"/>
      <c r="K23" s="107" t="n"/>
      <c r="L23" s="107" t="n"/>
      <c r="M23" s="107" t="n"/>
      <c r="N23" s="107" t="n"/>
      <c r="O23" s="107" t="n"/>
      <c r="P23" s="107" t="n"/>
      <c r="Q23" s="108" t="n"/>
      <c r="R23" s="107" t="n"/>
      <c r="S23" s="107" t="n"/>
      <c r="T23" s="107" t="n"/>
      <c r="U23" s="107" t="n"/>
      <c r="V23" s="107" t="n"/>
      <c r="W23" s="107" t="n"/>
      <c r="X23" s="108" t="n"/>
      <c r="Y23" s="107" t="n"/>
      <c r="Z23" s="107" t="n"/>
      <c r="AA23" s="107" t="n"/>
      <c r="AB23" s="107" t="n"/>
      <c r="AC23" s="107" t="n"/>
      <c r="AD23" s="107" t="n"/>
      <c r="AE23" s="108" t="n"/>
      <c r="AF23" s="107" t="n"/>
      <c r="AG23" s="107" t="n"/>
      <c r="AH23" s="107" t="n"/>
      <c r="AI23" s="107" t="n"/>
      <c r="AJ23" s="109">
        <f>IF(ISBLANK(B23), "", IF(ISNUMBER(D23), IF(D23&gt;0, (COUNTIF(E23:AI23, "✓") + COUNTIF(E23:AI23, "✔") + COUNTIF(E23:AI23, "v") + COUNTIF(E23:AI23, "V"))/D23, 0), IF(((COUNTIF(E23:AI23, "✓") + COUNTIF(E23:AI23, "✔") + COUNTIF(E23:AI23, "v") + COUNTIF(E23:AI23, "V")) + COUNTIF(E23:AI23, "✗") + COUNTIF(E23:AI23, "x") + COUNTIF(E23:AI23, "X"))&gt;0, (COUNTIF(E23:AI23, "✓") + COUNTIF(E23:AI23, "✔") + COUNTIF(E23:AI23, "v") + COUNTIF(E23:AI23, "V"))/((COUNTIF(E23:AI23, "✓") + COUNTIF(E23:AI23, "✔") + COUNTIF(E23:AI23, "v") + COUNTIF(E23:AI23, "V")) + COUNTIF(E23:AI23, "✗") + COUNTIF(E23:AI23, "x") + COUNTIF(E23:AI23, "X")), "")))</f>
        <v/>
      </c>
      <c r="AK23" s="110">
        <f>IF(ISBLANK(B23), "", IF(ISNUMBER(D23), IF(D23&gt;0, (COUNTIF(E23:AI23, "✓") + COUNTIF(E23:AI23, "✔") + COUNTIF(E23:AI23, "v") + COUNTIF(E23:AI23, "V")) &amp; "/" &amp; D23, (COUNTIF(E23:AI23, "✓") + COUNTIF(E23:AI23, "✔") + COUNTIF(E23:AI23, "v") + COUNTIF(E23:AI23, "V")) &amp; "/0"), IF(((COUNTIF(E23:AI23, "✓") + COUNTIF(E23:AI23, "✔") + COUNTIF(E23:AI23, "v") + COUNTIF(E23:AI23, "V")) + COUNTIF(E23:AI23, "✗") + COUNTIF(E23:AI23, "x") + COUNTIF(E23:AI23, "X"))&gt;0, (COUNTIF(E23:AI23, "✓") + COUNTIF(E23:AI23, "✔") + COUNTIF(E23:AI23, "v") + COUNTIF(E23:AI23, "V")) &amp; "/" &amp; ((COUNTIF(E23:AI23, "✓") + COUNTIF(E23:AI23, "✔") + COUNTIF(E23:AI23, "v") + COUNTIF(E23:AI23, "V")) + COUNTIF(E23:AI23, "✗") + COUNTIF(E23:AI23, "x") + COUNTIF(E23:AI23, "X")), "")))</f>
        <v/>
      </c>
      <c r="AL23" s="110">
        <f>IF(ISBLANK(B23), "", IF(AJ23&gt;=0.85, "🔥 Mastered", IF(AJ23&gt;=0.7, "⚡ Consistent", "⚠️ Needs Focus")))</f>
        <v/>
      </c>
      <c r="AM23">
        <f>COUNTIF(E23:AI23, "✓")</f>
        <v/>
      </c>
    </row>
    <row r="24" ht="14.5" customHeight="1">
      <c r="A24" s="104" t="n">
        <v>7</v>
      </c>
      <c r="B24" s="105" t="n"/>
      <c r="C24" s="106" t="n"/>
      <c r="D24" s="106" t="n"/>
      <c r="E24" s="107" t="n"/>
      <c r="F24" s="107" t="n"/>
      <c r="G24" s="107" t="n"/>
      <c r="H24" s="107" t="n"/>
      <c r="I24" s="107" t="n"/>
      <c r="J24" s="108" t="n"/>
      <c r="K24" s="107" t="n"/>
      <c r="L24" s="107" t="n"/>
      <c r="M24" s="107" t="n"/>
      <c r="N24" s="107" t="n"/>
      <c r="O24" s="107" t="n"/>
      <c r="P24" s="107" t="n"/>
      <c r="Q24" s="108" t="n"/>
      <c r="R24" s="107" t="n"/>
      <c r="S24" s="107" t="n"/>
      <c r="T24" s="107" t="n"/>
      <c r="U24" s="107" t="n"/>
      <c r="V24" s="107" t="n"/>
      <c r="W24" s="107" t="n"/>
      <c r="X24" s="108" t="n"/>
      <c r="Y24" s="107" t="n"/>
      <c r="Z24" s="107" t="n"/>
      <c r="AA24" s="107" t="n"/>
      <c r="AB24" s="107" t="n"/>
      <c r="AC24" s="107" t="n"/>
      <c r="AD24" s="107" t="n"/>
      <c r="AE24" s="108" t="n"/>
      <c r="AF24" s="107" t="n"/>
      <c r="AG24" s="107" t="n"/>
      <c r="AH24" s="107" t="n"/>
      <c r="AI24" s="107" t="n"/>
      <c r="AJ24" s="109">
        <f>IF(ISBLANK(B24), "", IF(ISNUMBER(D24), IF(D24&gt;0, (COUNTIF(E24:AI24, "✓") + COUNTIF(E24:AI24, "✔") + COUNTIF(E24:AI24, "v") + COUNTIF(E24:AI24, "V"))/D24, 0), IF(((COUNTIF(E24:AI24, "✓") + COUNTIF(E24:AI24, "✔") + COUNTIF(E24:AI24, "v") + COUNTIF(E24:AI24, "V")) + COUNTIF(E24:AI24, "✗") + COUNTIF(E24:AI24, "x") + COUNTIF(E24:AI24, "X"))&gt;0, (COUNTIF(E24:AI24, "✓") + COUNTIF(E24:AI24, "✔") + COUNTIF(E24:AI24, "v") + COUNTIF(E24:AI24, "V"))/((COUNTIF(E24:AI24, "✓") + COUNTIF(E24:AI24, "✔") + COUNTIF(E24:AI24, "v") + COUNTIF(E24:AI24, "V")) + COUNTIF(E24:AI24, "✗") + COUNTIF(E24:AI24, "x") + COUNTIF(E24:AI24, "X")), "")))</f>
        <v/>
      </c>
      <c r="AK24" s="110">
        <f>IF(ISBLANK(B24), "", IF(ISNUMBER(D24), IF(D24&gt;0, (COUNTIF(E24:AI24, "✓") + COUNTIF(E24:AI24, "✔") + COUNTIF(E24:AI24, "v") + COUNTIF(E24:AI24, "V")) &amp; "/" &amp; D24, (COUNTIF(E24:AI24, "✓") + COUNTIF(E24:AI24, "✔") + COUNTIF(E24:AI24, "v") + COUNTIF(E24:AI24, "V")) &amp; "/0"), IF(((COUNTIF(E24:AI24, "✓") + COUNTIF(E24:AI24, "✔") + COUNTIF(E24:AI24, "v") + COUNTIF(E24:AI24, "V")) + COUNTIF(E24:AI24, "✗") + COUNTIF(E24:AI24, "x") + COUNTIF(E24:AI24, "X"))&gt;0, (COUNTIF(E24:AI24, "✓") + COUNTIF(E24:AI24, "✔") + COUNTIF(E24:AI24, "v") + COUNTIF(E24:AI24, "V")) &amp; "/" &amp; ((COUNTIF(E24:AI24, "✓") + COUNTIF(E24:AI24, "✔") + COUNTIF(E24:AI24, "v") + COUNTIF(E24:AI24, "V")) + COUNTIF(E24:AI24, "✗") + COUNTIF(E24:AI24, "x") + COUNTIF(E24:AI24, "X")), "")))</f>
        <v/>
      </c>
      <c r="AL24" s="110">
        <f>IF(ISBLANK(B24), "", IF(AJ24&gt;=0.85, "🔥 Mastered", IF(AJ24&gt;=0.7, "⚡ Consistent", "⚠️ Needs Focus")))</f>
        <v/>
      </c>
      <c r="AM24">
        <f>COUNTIF(E24:AI24, "✓")</f>
        <v/>
      </c>
    </row>
    <row r="25" ht="14.5" customHeight="1">
      <c r="A25" s="104" t="n">
        <v>8</v>
      </c>
      <c r="B25" s="105" t="n"/>
      <c r="C25" s="106" t="n"/>
      <c r="D25" s="106" t="n"/>
      <c r="E25" s="107" t="n"/>
      <c r="F25" s="107" t="n"/>
      <c r="G25" s="107" t="n"/>
      <c r="H25" s="107" t="n"/>
      <c r="I25" s="107" t="n"/>
      <c r="J25" s="108" t="n"/>
      <c r="K25" s="107" t="n"/>
      <c r="L25" s="107" t="n"/>
      <c r="M25" s="107" t="n"/>
      <c r="N25" s="107" t="n"/>
      <c r="O25" s="107" t="n"/>
      <c r="P25" s="107" t="n"/>
      <c r="Q25" s="108" t="n"/>
      <c r="R25" s="107" t="n"/>
      <c r="S25" s="107" t="n"/>
      <c r="T25" s="107" t="n"/>
      <c r="U25" s="107" t="n"/>
      <c r="V25" s="107" t="n"/>
      <c r="W25" s="107" t="n"/>
      <c r="X25" s="108" t="n"/>
      <c r="Y25" s="107" t="n"/>
      <c r="Z25" s="107" t="n"/>
      <c r="AA25" s="107" t="n"/>
      <c r="AB25" s="107" t="n"/>
      <c r="AC25" s="107" t="n"/>
      <c r="AD25" s="107" t="n"/>
      <c r="AE25" s="108" t="n"/>
      <c r="AF25" s="107" t="n"/>
      <c r="AG25" s="107" t="n"/>
      <c r="AH25" s="107" t="n"/>
      <c r="AI25" s="107" t="n"/>
      <c r="AJ25" s="109">
        <f>IF(ISBLANK(B25), "", IF(ISNUMBER(D25), IF(D25&gt;0, (COUNTIF(E25:AI25, "✓") + COUNTIF(E25:AI25, "✔") + COUNTIF(E25:AI25, "v") + COUNTIF(E25:AI25, "V"))/D25, 0), IF(((COUNTIF(E25:AI25, "✓") + COUNTIF(E25:AI25, "✔") + COUNTIF(E25:AI25, "v") + COUNTIF(E25:AI25, "V")) + COUNTIF(E25:AI25, "✗") + COUNTIF(E25:AI25, "x") + COUNTIF(E25:AI25, "X"))&gt;0, (COUNTIF(E25:AI25, "✓") + COUNTIF(E25:AI25, "✔") + COUNTIF(E25:AI25, "v") + COUNTIF(E25:AI25, "V"))/((COUNTIF(E25:AI25, "✓") + COUNTIF(E25:AI25, "✔") + COUNTIF(E25:AI25, "v") + COUNTIF(E25:AI25, "V")) + COUNTIF(E25:AI25, "✗") + COUNTIF(E25:AI25, "x") + COUNTIF(E25:AI25, "X")), "")))</f>
        <v/>
      </c>
      <c r="AK25" s="110">
        <f>IF(ISBLANK(B25), "", IF(ISNUMBER(D25), IF(D25&gt;0, (COUNTIF(E25:AI25, "✓") + COUNTIF(E25:AI25, "✔") + COUNTIF(E25:AI25, "v") + COUNTIF(E25:AI25, "V")) &amp; "/" &amp; D25, (COUNTIF(E25:AI25, "✓") + COUNTIF(E25:AI25, "✔") + COUNTIF(E25:AI25, "v") + COUNTIF(E25:AI25, "V")) &amp; "/0"), IF(((COUNTIF(E25:AI25, "✓") + COUNTIF(E25:AI25, "✔") + COUNTIF(E25:AI25, "v") + COUNTIF(E25:AI25, "V")) + COUNTIF(E25:AI25, "✗") + COUNTIF(E25:AI25, "x") + COUNTIF(E25:AI25, "X"))&gt;0, (COUNTIF(E25:AI25, "✓") + COUNTIF(E25:AI25, "✔") + COUNTIF(E25:AI25, "v") + COUNTIF(E25:AI25, "V")) &amp; "/" &amp; ((COUNTIF(E25:AI25, "✓") + COUNTIF(E25:AI25, "✔") + COUNTIF(E25:AI25, "v") + COUNTIF(E25:AI25, "V")) + COUNTIF(E25:AI25, "✗") + COUNTIF(E25:AI25, "x") + COUNTIF(E25:AI25, "X")), "")))</f>
        <v/>
      </c>
      <c r="AL25" s="110">
        <f>IF(ISBLANK(B25), "", IF(AJ25&gt;=0.85, "🔥 Mastered", IF(AJ25&gt;=0.7, "⚡ Consistent", "⚠️ Needs Focus")))</f>
        <v/>
      </c>
      <c r="AM25">
        <f>COUNTIF(E25:AI25, "✓")</f>
        <v/>
      </c>
    </row>
    <row r="26" ht="14.5" customHeight="1">
      <c r="A26" s="111" t="n">
        <v>9</v>
      </c>
      <c r="B26" s="112" t="n"/>
      <c r="C26" s="113" t="n"/>
      <c r="D26" s="113" t="n"/>
      <c r="E26" s="114" t="n"/>
      <c r="F26" s="114" t="n"/>
      <c r="G26" s="114" t="n"/>
      <c r="H26" s="114" t="n"/>
      <c r="I26" s="114" t="n"/>
      <c r="J26" s="115" t="n"/>
      <c r="K26" s="114" t="n"/>
      <c r="L26" s="114" t="n"/>
      <c r="M26" s="114" t="n"/>
      <c r="N26" s="114" t="n"/>
      <c r="O26" s="114" t="n"/>
      <c r="P26" s="114" t="n"/>
      <c r="Q26" s="115" t="n"/>
      <c r="R26" s="114" t="n"/>
      <c r="S26" s="114" t="n"/>
      <c r="T26" s="114" t="n"/>
      <c r="U26" s="114" t="n"/>
      <c r="V26" s="114" t="n"/>
      <c r="W26" s="114" t="n"/>
      <c r="X26" s="115" t="n"/>
      <c r="Y26" s="114" t="n"/>
      <c r="Z26" s="114" t="n"/>
      <c r="AA26" s="114" t="n"/>
      <c r="AB26" s="114" t="n"/>
      <c r="AC26" s="114" t="n"/>
      <c r="AD26" s="114" t="n"/>
      <c r="AE26" s="115" t="n"/>
      <c r="AF26" s="114" t="n"/>
      <c r="AG26" s="114" t="n"/>
      <c r="AH26" s="114" t="n"/>
      <c r="AI26" s="114" t="n"/>
      <c r="AJ26" s="116">
        <f>IF(ISBLANK(B26), "", IF(ISNUMBER(D26), IF(D26&gt;0, (COUNTIF(E26:AI26, "✓") + COUNTIF(E26:AI26, "✔") + COUNTIF(E26:AI26, "v") + COUNTIF(E26:AI26, "V"))/D26, 0), IF(((COUNTIF(E26:AI26, "✓") + COUNTIF(E26:AI26, "✔") + COUNTIF(E26:AI26, "v") + COUNTIF(E26:AI26, "V")) + COUNTIF(E26:AI26, "✗") + COUNTIF(E26:AI26, "x") + COUNTIF(E26:AI26, "X"))&gt;0, (COUNTIF(E26:AI26, "✓") + COUNTIF(E26:AI26, "✔") + COUNTIF(E26:AI26, "v") + COUNTIF(E26:AI26, "V"))/((COUNTIF(E26:AI26, "✓") + COUNTIF(E26:AI26, "✔") + COUNTIF(E26:AI26, "v") + COUNTIF(E26:AI26, "V")) + COUNTIF(E26:AI26, "✗") + COUNTIF(E26:AI26, "x") + COUNTIF(E26:AI26, "X")), "")))</f>
        <v/>
      </c>
      <c r="AK26" s="117">
        <f>IF(ISBLANK(B26), "", IF(ISNUMBER(D26), IF(D26&gt;0, (COUNTIF(E26:AI26, "✓") + COUNTIF(E26:AI26, "✔") + COUNTIF(E26:AI26, "v") + COUNTIF(E26:AI26, "V")) &amp; "/" &amp; D26, (COUNTIF(E26:AI26, "✓") + COUNTIF(E26:AI26, "✔") + COUNTIF(E26:AI26, "v") + COUNTIF(E26:AI26, "V")) &amp; "/0"), IF(((COUNTIF(E26:AI26, "✓") + COUNTIF(E26:AI26, "✔") + COUNTIF(E26:AI26, "v") + COUNTIF(E26:AI26, "V")) + COUNTIF(E26:AI26, "✗") + COUNTIF(E26:AI26, "x") + COUNTIF(E26:AI26, "X"))&gt;0, (COUNTIF(E26:AI26, "✓") + COUNTIF(E26:AI26, "✔") + COUNTIF(E26:AI26, "v") + COUNTIF(E26:AI26, "V")) &amp; "/" &amp; ((COUNTIF(E26:AI26, "✓") + COUNTIF(E26:AI26, "✔") + COUNTIF(E26:AI26, "v") + COUNTIF(E26:AI26, "V")) + COUNTIF(E26:AI26, "✗") + COUNTIF(E26:AI26, "x") + COUNTIF(E26:AI26, "X")), "")))</f>
        <v/>
      </c>
      <c r="AL26" s="117">
        <f>IF(ISBLANK(B26), "", IF(AJ26&gt;=0.85, "🔥 Mastered", IF(AJ26&gt;=0.7, "⚡ Consistent", "⚠️ Needs Focus")))</f>
        <v/>
      </c>
      <c r="AM26">
        <f>COUNTIF(E26:AI26, "✓")</f>
        <v/>
      </c>
    </row>
    <row r="27" ht="14.5" customHeight="1">
      <c r="A27" s="111" t="n">
        <v>10</v>
      </c>
      <c r="B27" s="112" t="n"/>
      <c r="C27" s="113" t="n"/>
      <c r="D27" s="113" t="n"/>
      <c r="E27" s="114" t="n"/>
      <c r="F27" s="114" t="n"/>
      <c r="G27" s="114" t="n"/>
      <c r="H27" s="114" t="n"/>
      <c r="I27" s="114" t="n"/>
      <c r="J27" s="115" t="n"/>
      <c r="K27" s="114" t="n"/>
      <c r="L27" s="114" t="n"/>
      <c r="M27" s="114" t="n"/>
      <c r="N27" s="114" t="n"/>
      <c r="O27" s="114" t="n"/>
      <c r="P27" s="114" t="n"/>
      <c r="Q27" s="115" t="n"/>
      <c r="R27" s="114" t="n"/>
      <c r="S27" s="114" t="n"/>
      <c r="T27" s="114" t="n"/>
      <c r="U27" s="114" t="n"/>
      <c r="V27" s="114" t="n"/>
      <c r="W27" s="114" t="n"/>
      <c r="X27" s="115" t="n"/>
      <c r="Y27" s="114" t="n"/>
      <c r="Z27" s="114" t="n"/>
      <c r="AA27" s="114" t="n"/>
      <c r="AB27" s="114" t="n"/>
      <c r="AC27" s="114" t="n"/>
      <c r="AD27" s="114" t="n"/>
      <c r="AE27" s="115" t="n"/>
      <c r="AF27" s="114" t="n"/>
      <c r="AG27" s="114" t="n"/>
      <c r="AH27" s="114" t="n"/>
      <c r="AI27" s="114" t="n"/>
      <c r="AJ27" s="116">
        <f>IF(ISBLANK(B27), "", IF(ISNUMBER(D27), IF(D27&gt;0, (COUNTIF(E27:AI27, "✓") + COUNTIF(E27:AI27, "✔") + COUNTIF(E27:AI27, "v") + COUNTIF(E27:AI27, "V"))/D27, 0), IF(((COUNTIF(E27:AI27, "✓") + COUNTIF(E27:AI27, "✔") + COUNTIF(E27:AI27, "v") + COUNTIF(E27:AI27, "V")) + COUNTIF(E27:AI27, "✗") + COUNTIF(E27:AI27, "x") + COUNTIF(E27:AI27, "X"))&gt;0, (COUNTIF(E27:AI27, "✓") + COUNTIF(E27:AI27, "✔") + COUNTIF(E27:AI27, "v") + COUNTIF(E27:AI27, "V"))/((COUNTIF(E27:AI27, "✓") + COUNTIF(E27:AI27, "✔") + COUNTIF(E27:AI27, "v") + COUNTIF(E27:AI27, "V")) + COUNTIF(E27:AI27, "✗") + COUNTIF(E27:AI27, "x") + COUNTIF(E27:AI27, "X")), "")))</f>
        <v/>
      </c>
      <c r="AK27" s="117">
        <f>IF(ISBLANK(B27), "", IF(ISNUMBER(D27), IF(D27&gt;0, (COUNTIF(E27:AI27, "✓") + COUNTIF(E27:AI27, "✔") + COUNTIF(E27:AI27, "v") + COUNTIF(E27:AI27, "V")) &amp; "/" &amp; D27, (COUNTIF(E27:AI27, "✓") + COUNTIF(E27:AI27, "✔") + COUNTIF(E27:AI27, "v") + COUNTIF(E27:AI27, "V")) &amp; "/0"), IF(((COUNTIF(E27:AI27, "✓") + COUNTIF(E27:AI27, "✔") + COUNTIF(E27:AI27, "v") + COUNTIF(E27:AI27, "V")) + COUNTIF(E27:AI27, "✗") + COUNTIF(E27:AI27, "x") + COUNTIF(E27:AI27, "X"))&gt;0, (COUNTIF(E27:AI27, "✓") + COUNTIF(E27:AI27, "✔") + COUNTIF(E27:AI27, "v") + COUNTIF(E27:AI27, "V")) &amp; "/" &amp; ((COUNTIF(E27:AI27, "✓") + COUNTIF(E27:AI27, "✔") + COUNTIF(E27:AI27, "v") + COUNTIF(E27:AI27, "V")) + COUNTIF(E27:AI27, "✗") + COUNTIF(E27:AI27, "x") + COUNTIF(E27:AI27, "X")), "")))</f>
        <v/>
      </c>
      <c r="AL27" s="117">
        <f>IF(ISBLANK(B27), "", IF(AJ27&gt;=0.85, "🔥 Mastered", IF(AJ27&gt;=0.7, "⚡ Consistent", "⚠️ Needs Focus")))</f>
        <v/>
      </c>
      <c r="AM27">
        <f>COUNTIF(E27:AI27, "✓")</f>
        <v/>
      </c>
    </row>
    <row r="28" ht="14.5" customHeight="1">
      <c r="A28" s="111" t="n">
        <v>11</v>
      </c>
      <c r="B28" s="112" t="n"/>
      <c r="C28" s="113" t="n"/>
      <c r="D28" s="113" t="n"/>
      <c r="E28" s="114" t="n"/>
      <c r="F28" s="114" t="n"/>
      <c r="G28" s="114" t="n"/>
      <c r="H28" s="114" t="n"/>
      <c r="I28" s="114" t="n"/>
      <c r="J28" s="115" t="n"/>
      <c r="K28" s="114" t="n"/>
      <c r="L28" s="114" t="n"/>
      <c r="M28" s="114" t="n"/>
      <c r="N28" s="114" t="n"/>
      <c r="O28" s="114" t="n"/>
      <c r="P28" s="114" t="n"/>
      <c r="Q28" s="115" t="n"/>
      <c r="R28" s="114" t="n"/>
      <c r="S28" s="114" t="n"/>
      <c r="T28" s="114" t="n"/>
      <c r="U28" s="114" t="n"/>
      <c r="V28" s="114" t="n"/>
      <c r="W28" s="114" t="n"/>
      <c r="X28" s="115" t="n"/>
      <c r="Y28" s="114" t="n"/>
      <c r="Z28" s="114" t="n"/>
      <c r="AA28" s="114" t="n"/>
      <c r="AB28" s="114" t="n"/>
      <c r="AC28" s="114" t="n"/>
      <c r="AD28" s="114" t="n"/>
      <c r="AE28" s="115" t="n"/>
      <c r="AF28" s="114" t="n"/>
      <c r="AG28" s="114" t="n"/>
      <c r="AH28" s="114" t="n"/>
      <c r="AI28" s="114" t="n"/>
      <c r="AJ28" s="116">
        <f>IF(ISBLANK(B28), "", IF(ISNUMBER(D28), IF(D28&gt;0, (COUNTIF(E28:AI28, "✓") + COUNTIF(E28:AI28, "✔") + COUNTIF(E28:AI28, "v") + COUNTIF(E28:AI28, "V"))/D28, 0), IF(((COUNTIF(E28:AI28, "✓") + COUNTIF(E28:AI28, "✔") + COUNTIF(E28:AI28, "v") + COUNTIF(E28:AI28, "V")) + COUNTIF(E28:AI28, "✗") + COUNTIF(E28:AI28, "x") + COUNTIF(E28:AI28, "X"))&gt;0, (COUNTIF(E28:AI28, "✓") + COUNTIF(E28:AI28, "✔") + COUNTIF(E28:AI28, "v") + COUNTIF(E28:AI28, "V"))/((COUNTIF(E28:AI28, "✓") + COUNTIF(E28:AI28, "✔") + COUNTIF(E28:AI28, "v") + COUNTIF(E28:AI28, "V")) + COUNTIF(E28:AI28, "✗") + COUNTIF(E28:AI28, "x") + COUNTIF(E28:AI28, "X")), "")))</f>
        <v/>
      </c>
      <c r="AK28" s="117">
        <f>IF(ISBLANK(B28), "", IF(ISNUMBER(D28), IF(D28&gt;0, (COUNTIF(E28:AI28, "✓") + COUNTIF(E28:AI28, "✔") + COUNTIF(E28:AI28, "v") + COUNTIF(E28:AI28, "V")) &amp; "/" &amp; D28, (COUNTIF(E28:AI28, "✓") + COUNTIF(E28:AI28, "✔") + COUNTIF(E28:AI28, "v") + COUNTIF(E28:AI28, "V")) &amp; "/0"), IF(((COUNTIF(E28:AI28, "✓") + COUNTIF(E28:AI28, "✔") + COUNTIF(E28:AI28, "v") + COUNTIF(E28:AI28, "V")) + COUNTIF(E28:AI28, "✗") + COUNTIF(E28:AI28, "x") + COUNTIF(E28:AI28, "X"))&gt;0, (COUNTIF(E28:AI28, "✓") + COUNTIF(E28:AI28, "✔") + COUNTIF(E28:AI28, "v") + COUNTIF(E28:AI28, "V")) &amp; "/" &amp; ((COUNTIF(E28:AI28, "✓") + COUNTIF(E28:AI28, "✔") + COUNTIF(E28:AI28, "v") + COUNTIF(E28:AI28, "V")) + COUNTIF(E28:AI28, "✗") + COUNTIF(E28:AI28, "x") + COUNTIF(E28:AI28, "X")), "")))</f>
        <v/>
      </c>
      <c r="AL28" s="117">
        <f>IF(ISBLANK(B28), "", IF(AJ28&gt;=0.85, "🔥 Mastered", IF(AJ28&gt;=0.7, "⚡ Consistent", "⚠️ Needs Focus")))</f>
        <v/>
      </c>
      <c r="AM28">
        <f>COUNTIF(E28:AI28, "✓")</f>
        <v/>
      </c>
    </row>
    <row r="29" ht="14.5" customHeight="1">
      <c r="A29" s="111" t="n">
        <v>12</v>
      </c>
      <c r="B29" s="112" t="n"/>
      <c r="C29" s="113" t="n"/>
      <c r="D29" s="113" t="n"/>
      <c r="E29" s="114" t="n"/>
      <c r="F29" s="114" t="n"/>
      <c r="G29" s="114" t="n"/>
      <c r="H29" s="114" t="n"/>
      <c r="I29" s="114" t="n"/>
      <c r="J29" s="115" t="n"/>
      <c r="K29" s="114" t="n"/>
      <c r="L29" s="114" t="n"/>
      <c r="M29" s="114" t="n"/>
      <c r="N29" s="114" t="n"/>
      <c r="O29" s="114" t="n"/>
      <c r="P29" s="114" t="n"/>
      <c r="Q29" s="115" t="n"/>
      <c r="R29" s="114" t="n"/>
      <c r="S29" s="114" t="n"/>
      <c r="T29" s="114" t="n"/>
      <c r="U29" s="114" t="n"/>
      <c r="V29" s="114" t="n"/>
      <c r="W29" s="114" t="n"/>
      <c r="X29" s="115" t="n"/>
      <c r="Y29" s="114" t="n"/>
      <c r="Z29" s="114" t="n"/>
      <c r="AA29" s="114" t="n"/>
      <c r="AB29" s="114" t="n"/>
      <c r="AC29" s="114" t="n"/>
      <c r="AD29" s="114" t="n"/>
      <c r="AE29" s="115" t="n"/>
      <c r="AF29" s="114" t="n"/>
      <c r="AG29" s="114" t="n"/>
      <c r="AH29" s="114" t="n"/>
      <c r="AI29" s="114" t="n"/>
      <c r="AJ29" s="116">
        <f>IF(ISBLANK(B29), "", IF(ISNUMBER(D29), IF(D29&gt;0, (COUNTIF(E29:AI29, "✓") + COUNTIF(E29:AI29, "✔") + COUNTIF(E29:AI29, "v") + COUNTIF(E29:AI29, "V"))/D29, 0), IF(((COUNTIF(E29:AI29, "✓") + COUNTIF(E29:AI29, "✔") + COUNTIF(E29:AI29, "v") + COUNTIF(E29:AI29, "V")) + COUNTIF(E29:AI29, "✗") + COUNTIF(E29:AI29, "x") + COUNTIF(E29:AI29, "X"))&gt;0, (COUNTIF(E29:AI29, "✓") + COUNTIF(E29:AI29, "✔") + COUNTIF(E29:AI29, "v") + COUNTIF(E29:AI29, "V"))/((COUNTIF(E29:AI29, "✓") + COUNTIF(E29:AI29, "✔") + COUNTIF(E29:AI29, "v") + COUNTIF(E29:AI29, "V")) + COUNTIF(E29:AI29, "✗") + COUNTIF(E29:AI29, "x") + COUNTIF(E29:AI29, "X")), "")))</f>
        <v/>
      </c>
      <c r="AK29" s="117">
        <f>IF(ISBLANK(B29), "", IF(ISNUMBER(D29), IF(D29&gt;0, (COUNTIF(E29:AI29, "✓") + COUNTIF(E29:AI29, "✔") + COUNTIF(E29:AI29, "v") + COUNTIF(E29:AI29, "V")) &amp; "/" &amp; D29, (COUNTIF(E29:AI29, "✓") + COUNTIF(E29:AI29, "✔") + COUNTIF(E29:AI29, "v") + COUNTIF(E29:AI29, "V")) &amp; "/0"), IF(((COUNTIF(E29:AI29, "✓") + COUNTIF(E29:AI29, "✔") + COUNTIF(E29:AI29, "v") + COUNTIF(E29:AI29, "V")) + COUNTIF(E29:AI29, "✗") + COUNTIF(E29:AI29, "x") + COUNTIF(E29:AI29, "X"))&gt;0, (COUNTIF(E29:AI29, "✓") + COUNTIF(E29:AI29, "✔") + COUNTIF(E29:AI29, "v") + COUNTIF(E29:AI29, "V")) &amp; "/" &amp; ((COUNTIF(E29:AI29, "✓") + COUNTIF(E29:AI29, "✔") + COUNTIF(E29:AI29, "v") + COUNTIF(E29:AI29, "V")) + COUNTIF(E29:AI29, "✗") + COUNTIF(E29:AI29, "x") + COUNTIF(E29:AI29, "X")), "")))</f>
        <v/>
      </c>
      <c r="AL29" s="117">
        <f>IF(ISBLANK(B29), "", IF(AJ29&gt;=0.85, "🔥 Mastered", IF(AJ29&gt;=0.7, "⚡ Consistent", "⚠️ Needs Focus")))</f>
        <v/>
      </c>
      <c r="AM29">
        <f>COUNTIF(E29:AI29, "✓")</f>
        <v/>
      </c>
    </row>
    <row r="30" ht="14.5" customHeight="1">
      <c r="A30" s="118" t="n">
        <v>13</v>
      </c>
      <c r="B30" s="119" t="n"/>
      <c r="C30" s="120" t="n"/>
      <c r="D30" s="120" t="n"/>
      <c r="E30" s="121" t="n"/>
      <c r="F30" s="121" t="n"/>
      <c r="G30" s="121" t="n"/>
      <c r="H30" s="121" t="n"/>
      <c r="I30" s="121" t="n"/>
      <c r="J30" s="122" t="n"/>
      <c r="K30" s="121" t="n"/>
      <c r="L30" s="121" t="n"/>
      <c r="M30" s="121" t="n"/>
      <c r="N30" s="121" t="n"/>
      <c r="O30" s="121" t="n"/>
      <c r="P30" s="121" t="n"/>
      <c r="Q30" s="122" t="n"/>
      <c r="R30" s="121" t="n"/>
      <c r="S30" s="121" t="n"/>
      <c r="T30" s="121" t="n"/>
      <c r="U30" s="121" t="n"/>
      <c r="V30" s="121" t="n"/>
      <c r="W30" s="121" t="n"/>
      <c r="X30" s="122" t="n"/>
      <c r="Y30" s="121" t="n"/>
      <c r="Z30" s="121" t="n"/>
      <c r="AA30" s="121" t="n"/>
      <c r="AB30" s="121" t="n"/>
      <c r="AC30" s="121" t="n"/>
      <c r="AD30" s="121" t="n"/>
      <c r="AE30" s="122" t="n"/>
      <c r="AF30" s="121" t="n"/>
      <c r="AG30" s="121" t="n"/>
      <c r="AH30" s="121" t="n"/>
      <c r="AI30" s="121" t="n"/>
      <c r="AJ30" s="123">
        <f>IF(ISBLANK(B30), "", IF(ISNUMBER(D30), IF(D30&gt;0, (COUNTIF(E30:AI30, "✓") + COUNTIF(E30:AI30, "✔") + COUNTIF(E30:AI30, "v") + COUNTIF(E30:AI30, "V"))/D30, 0), IF(((COUNTIF(E30:AI30, "✓") + COUNTIF(E30:AI30, "✔") + COUNTIF(E30:AI30, "v") + COUNTIF(E30:AI30, "V")) + COUNTIF(E30:AI30, "✗") + COUNTIF(E30:AI30, "x") + COUNTIF(E30:AI30, "X"))&gt;0, (COUNTIF(E30:AI30, "✓") + COUNTIF(E30:AI30, "✔") + COUNTIF(E30:AI30, "v") + COUNTIF(E30:AI30, "V"))/((COUNTIF(E30:AI30, "✓") + COUNTIF(E30:AI30, "✔") + COUNTIF(E30:AI30, "v") + COUNTIF(E30:AI30, "V")) + COUNTIF(E30:AI30, "✗") + COUNTIF(E30:AI30, "x") + COUNTIF(E30:AI30, "X")), "")))</f>
        <v/>
      </c>
      <c r="AK30" s="124">
        <f>IF(ISBLANK(B30), "", IF(ISNUMBER(D30), IF(D30&gt;0, (COUNTIF(E30:AI30, "✓") + COUNTIF(E30:AI30, "✔") + COUNTIF(E30:AI30, "v") + COUNTIF(E30:AI30, "V")) &amp; "/" &amp; D30, (COUNTIF(E30:AI30, "✓") + COUNTIF(E30:AI30, "✔") + COUNTIF(E30:AI30, "v") + COUNTIF(E30:AI30, "V")) &amp; "/0"), IF(((COUNTIF(E30:AI30, "✓") + COUNTIF(E30:AI30, "✔") + COUNTIF(E30:AI30, "v") + COUNTIF(E30:AI30, "V")) + COUNTIF(E30:AI30, "✗") + COUNTIF(E30:AI30, "x") + COUNTIF(E30:AI30, "X"))&gt;0, (COUNTIF(E30:AI30, "✓") + COUNTIF(E30:AI30, "✔") + COUNTIF(E30:AI30, "v") + COUNTIF(E30:AI30, "V")) &amp; "/" &amp; ((COUNTIF(E30:AI30, "✓") + COUNTIF(E30:AI30, "✔") + COUNTIF(E30:AI30, "v") + COUNTIF(E30:AI30, "V")) + COUNTIF(E30:AI30, "✗") + COUNTIF(E30:AI30, "x") + COUNTIF(E30:AI30, "X")), "")))</f>
        <v/>
      </c>
      <c r="AL30" s="124">
        <f>IF(ISBLANK(B30), "", IF(AJ30&gt;=0.85, "🔥 Mastered", IF(AJ30&gt;=0.7, "⚡ Consistent", "⚠️ Needs Focus")))</f>
        <v/>
      </c>
      <c r="AM30">
        <f>COUNTIF(E30:AI30, "✓")</f>
        <v/>
      </c>
    </row>
    <row r="31" ht="14.5" customHeight="1">
      <c r="A31" s="118" t="n">
        <v>14</v>
      </c>
      <c r="B31" s="119" t="n"/>
      <c r="C31" s="120" t="n"/>
      <c r="D31" s="120" t="n"/>
      <c r="E31" s="121" t="n"/>
      <c r="F31" s="121" t="n"/>
      <c r="G31" s="121" t="n"/>
      <c r="H31" s="121" t="n"/>
      <c r="I31" s="121" t="n"/>
      <c r="J31" s="122" t="n"/>
      <c r="K31" s="121" t="n"/>
      <c r="L31" s="121" t="n"/>
      <c r="M31" s="121" t="n"/>
      <c r="N31" s="121" t="n"/>
      <c r="O31" s="121" t="n"/>
      <c r="P31" s="121" t="n"/>
      <c r="Q31" s="122" t="n"/>
      <c r="R31" s="121" t="n"/>
      <c r="S31" s="121" t="n"/>
      <c r="T31" s="121" t="n"/>
      <c r="U31" s="121" t="n"/>
      <c r="V31" s="121" t="n"/>
      <c r="W31" s="121" t="n"/>
      <c r="X31" s="122" t="n"/>
      <c r="Y31" s="121" t="n"/>
      <c r="Z31" s="121" t="n"/>
      <c r="AA31" s="121" t="n"/>
      <c r="AB31" s="121" t="n"/>
      <c r="AC31" s="121" t="n"/>
      <c r="AD31" s="121" t="n"/>
      <c r="AE31" s="122" t="n"/>
      <c r="AF31" s="121" t="n"/>
      <c r="AG31" s="121" t="n"/>
      <c r="AH31" s="121" t="n"/>
      <c r="AI31" s="121" t="n"/>
      <c r="AJ31" s="123">
        <f>IF(ISBLANK(B31), "", IF(ISNUMBER(D31), IF(D31&gt;0, (COUNTIF(E31:AI31, "✓") + COUNTIF(E31:AI31, "✔") + COUNTIF(E31:AI31, "v") + COUNTIF(E31:AI31, "V"))/D31, 0), IF(((COUNTIF(E31:AI31, "✓") + COUNTIF(E31:AI31, "✔") + COUNTIF(E31:AI31, "v") + COUNTIF(E31:AI31, "V")) + COUNTIF(E31:AI31, "✗") + COUNTIF(E31:AI31, "x") + COUNTIF(E31:AI31, "X"))&gt;0, (COUNTIF(E31:AI31, "✓") + COUNTIF(E31:AI31, "✔") + COUNTIF(E31:AI31, "v") + COUNTIF(E31:AI31, "V"))/((COUNTIF(E31:AI31, "✓") + COUNTIF(E31:AI31, "✔") + COUNTIF(E31:AI31, "v") + COUNTIF(E31:AI31, "V")) + COUNTIF(E31:AI31, "✗") + COUNTIF(E31:AI31, "x") + COUNTIF(E31:AI31, "X")), "")))</f>
        <v/>
      </c>
      <c r="AK31" s="124">
        <f>IF(ISBLANK(B31), "", IF(ISNUMBER(D31), IF(D31&gt;0, (COUNTIF(E31:AI31, "✓") + COUNTIF(E31:AI31, "✔") + COUNTIF(E31:AI31, "v") + COUNTIF(E31:AI31, "V")) &amp; "/" &amp; D31, (COUNTIF(E31:AI31, "✓") + COUNTIF(E31:AI31, "✔") + COUNTIF(E31:AI31, "v") + COUNTIF(E31:AI31, "V")) &amp; "/0"), IF(((COUNTIF(E31:AI31, "✓") + COUNTIF(E31:AI31, "✔") + COUNTIF(E31:AI31, "v") + COUNTIF(E31:AI31, "V")) + COUNTIF(E31:AI31, "✗") + COUNTIF(E31:AI31, "x") + COUNTIF(E31:AI31, "X"))&gt;0, (COUNTIF(E31:AI31, "✓") + COUNTIF(E31:AI31, "✔") + COUNTIF(E31:AI31, "v") + COUNTIF(E31:AI31, "V")) &amp; "/" &amp; ((COUNTIF(E31:AI31, "✓") + COUNTIF(E31:AI31, "✔") + COUNTIF(E31:AI31, "v") + COUNTIF(E31:AI31, "V")) + COUNTIF(E31:AI31, "✗") + COUNTIF(E31:AI31, "x") + COUNTIF(E31:AI31, "X")), "")))</f>
        <v/>
      </c>
      <c r="AL31" s="124">
        <f>IF(ISBLANK(B31), "", IF(AJ31&gt;=0.85, "🔥 Mastered", IF(AJ31&gt;=0.7, "⚡ Consistent", "⚠️ Needs Focus")))</f>
        <v/>
      </c>
      <c r="AM31">
        <f>COUNTIF(E31:AI31, "✓")</f>
        <v/>
      </c>
    </row>
    <row r="32" ht="14.5" customHeight="1">
      <c r="A32" s="118" t="n">
        <v>15</v>
      </c>
      <c r="B32" s="119" t="n"/>
      <c r="C32" s="120" t="n"/>
      <c r="D32" s="120" t="n"/>
      <c r="E32" s="121" t="n"/>
      <c r="F32" s="121" t="n"/>
      <c r="G32" s="121" t="n"/>
      <c r="H32" s="121" t="n"/>
      <c r="I32" s="121" t="n"/>
      <c r="J32" s="122" t="n"/>
      <c r="K32" s="121" t="n"/>
      <c r="L32" s="121" t="n"/>
      <c r="M32" s="121" t="n"/>
      <c r="N32" s="121" t="n"/>
      <c r="O32" s="121" t="n"/>
      <c r="P32" s="121" t="n"/>
      <c r="Q32" s="122" t="n"/>
      <c r="R32" s="121" t="n"/>
      <c r="S32" s="121" t="n"/>
      <c r="T32" s="121" t="n"/>
      <c r="U32" s="121" t="n"/>
      <c r="V32" s="121" t="n"/>
      <c r="W32" s="121" t="n"/>
      <c r="X32" s="122" t="n"/>
      <c r="Y32" s="121" t="n"/>
      <c r="Z32" s="121" t="n"/>
      <c r="AA32" s="121" t="n"/>
      <c r="AB32" s="121" t="n"/>
      <c r="AC32" s="121" t="n"/>
      <c r="AD32" s="121" t="n"/>
      <c r="AE32" s="122" t="n"/>
      <c r="AF32" s="121" t="n"/>
      <c r="AG32" s="121" t="n"/>
      <c r="AH32" s="121" t="n"/>
      <c r="AI32" s="121" t="n"/>
      <c r="AJ32" s="123">
        <f>IF(ISBLANK(B32), "", IF(ISNUMBER(D32), IF(D32&gt;0, (COUNTIF(E32:AI32, "✓") + COUNTIF(E32:AI32, "✔") + COUNTIF(E32:AI32, "v") + COUNTIF(E32:AI32, "V"))/D32, 0), IF(((COUNTIF(E32:AI32, "✓") + COUNTIF(E32:AI32, "✔") + COUNTIF(E32:AI32, "v") + COUNTIF(E32:AI32, "V")) + COUNTIF(E32:AI32, "✗") + COUNTIF(E32:AI32, "x") + COUNTIF(E32:AI32, "X"))&gt;0, (COUNTIF(E32:AI32, "✓") + COUNTIF(E32:AI32, "✔") + COUNTIF(E32:AI32, "v") + COUNTIF(E32:AI32, "V"))/((COUNTIF(E32:AI32, "✓") + COUNTIF(E32:AI32, "✔") + COUNTIF(E32:AI32, "v") + COUNTIF(E32:AI32, "V")) + COUNTIF(E32:AI32, "✗") + COUNTIF(E32:AI32, "x") + COUNTIF(E32:AI32, "X")), "")))</f>
        <v/>
      </c>
      <c r="AK32" s="124">
        <f>IF(ISBLANK(B32), "", IF(ISNUMBER(D32), IF(D32&gt;0, (COUNTIF(E32:AI32, "✓") + COUNTIF(E32:AI32, "✔") + COUNTIF(E32:AI32, "v") + COUNTIF(E32:AI32, "V")) &amp; "/" &amp; D32, (COUNTIF(E32:AI32, "✓") + COUNTIF(E32:AI32, "✔") + COUNTIF(E32:AI32, "v") + COUNTIF(E32:AI32, "V")) &amp; "/0"), IF(((COUNTIF(E32:AI32, "✓") + COUNTIF(E32:AI32, "✔") + COUNTIF(E32:AI32, "v") + COUNTIF(E32:AI32, "V")) + COUNTIF(E32:AI32, "✗") + COUNTIF(E32:AI32, "x") + COUNTIF(E32:AI32, "X"))&gt;0, (COUNTIF(E32:AI32, "✓") + COUNTIF(E32:AI32, "✔") + COUNTIF(E32:AI32, "v") + COUNTIF(E32:AI32, "V")) &amp; "/" &amp; ((COUNTIF(E32:AI32, "✓") + COUNTIF(E32:AI32, "✔") + COUNTIF(E32:AI32, "v") + COUNTIF(E32:AI32, "V")) + COUNTIF(E32:AI32, "✗") + COUNTIF(E32:AI32, "x") + COUNTIF(E32:AI32, "X")), "")))</f>
        <v/>
      </c>
      <c r="AL32" s="124">
        <f>IF(ISBLANK(B32), "", IF(AJ32&gt;=0.85, "🔥 Mastered", IF(AJ32&gt;=0.7, "⚡ Consistent", "⚠️ Needs Focus")))</f>
        <v/>
      </c>
      <c r="AM32">
        <f>COUNTIF(E32:AI32, "✓")</f>
        <v/>
      </c>
    </row>
    <row r="33" ht="14.5" customHeight="1">
      <c r="A33" s="118" t="n">
        <v>16</v>
      </c>
      <c r="B33" s="119" t="n"/>
      <c r="C33" s="120" t="n"/>
      <c r="D33" s="120" t="n"/>
      <c r="E33" s="121" t="n"/>
      <c r="F33" s="121" t="n"/>
      <c r="G33" s="121" t="n"/>
      <c r="H33" s="121" t="n"/>
      <c r="I33" s="121" t="n"/>
      <c r="J33" s="122" t="n"/>
      <c r="K33" s="121" t="n"/>
      <c r="L33" s="121" t="n"/>
      <c r="M33" s="121" t="n"/>
      <c r="N33" s="121" t="n"/>
      <c r="O33" s="121" t="n"/>
      <c r="P33" s="121" t="n"/>
      <c r="Q33" s="122" t="n"/>
      <c r="R33" s="121" t="n"/>
      <c r="S33" s="121" t="n"/>
      <c r="T33" s="121" t="n"/>
      <c r="U33" s="121" t="n"/>
      <c r="V33" s="121" t="n"/>
      <c r="W33" s="121" t="n"/>
      <c r="X33" s="122" t="n"/>
      <c r="Y33" s="121" t="n"/>
      <c r="Z33" s="121" t="n"/>
      <c r="AA33" s="121" t="n"/>
      <c r="AB33" s="121" t="n"/>
      <c r="AC33" s="121" t="n"/>
      <c r="AD33" s="121" t="n"/>
      <c r="AE33" s="122" t="n"/>
      <c r="AF33" s="121" t="n"/>
      <c r="AG33" s="121" t="n"/>
      <c r="AH33" s="121" t="n"/>
      <c r="AI33" s="121" t="n"/>
      <c r="AJ33" s="123">
        <f>IF(ISBLANK(B33), "", IF(ISNUMBER(D33), IF(D33&gt;0, (COUNTIF(E33:AI33, "✓") + COUNTIF(E33:AI33, "✔") + COUNTIF(E33:AI33, "v") + COUNTIF(E33:AI33, "V"))/D33, 0), IF(((COUNTIF(E33:AI33, "✓") + COUNTIF(E33:AI33, "✔") + COUNTIF(E33:AI33, "v") + COUNTIF(E33:AI33, "V")) + COUNTIF(E33:AI33, "✗") + COUNTIF(E33:AI33, "x") + COUNTIF(E33:AI33, "X"))&gt;0, (COUNTIF(E33:AI33, "✓") + COUNTIF(E33:AI33, "✔") + COUNTIF(E33:AI33, "v") + COUNTIF(E33:AI33, "V"))/((COUNTIF(E33:AI33, "✓") + COUNTIF(E33:AI33, "✔") + COUNTIF(E33:AI33, "v") + COUNTIF(E33:AI33, "V")) + COUNTIF(E33:AI33, "✗") + COUNTIF(E33:AI33, "x") + COUNTIF(E33:AI33, "X")), "")))</f>
        <v/>
      </c>
      <c r="AK33" s="124">
        <f>IF(ISBLANK(B33), "", IF(ISNUMBER(D33), IF(D33&gt;0, (COUNTIF(E33:AI33, "✓") + COUNTIF(E33:AI33, "✔") + COUNTIF(E33:AI33, "v") + COUNTIF(E33:AI33, "V")) &amp; "/" &amp; D33, (COUNTIF(E33:AI33, "✓") + COUNTIF(E33:AI33, "✔") + COUNTIF(E33:AI33, "v") + COUNTIF(E33:AI33, "V")) &amp; "/0"), IF(((COUNTIF(E33:AI33, "✓") + COUNTIF(E33:AI33, "✔") + COUNTIF(E33:AI33, "v") + COUNTIF(E33:AI33, "V")) + COUNTIF(E33:AI33, "✗") + COUNTIF(E33:AI33, "x") + COUNTIF(E33:AI33, "X"))&gt;0, (COUNTIF(E33:AI33, "✓") + COUNTIF(E33:AI33, "✔") + COUNTIF(E33:AI33, "v") + COUNTIF(E33:AI33, "V")) &amp; "/" &amp; ((COUNTIF(E33:AI33, "✓") + COUNTIF(E33:AI33, "✔") + COUNTIF(E33:AI33, "v") + COUNTIF(E33:AI33, "V")) + COUNTIF(E33:AI33, "✗") + COUNTIF(E33:AI33, "x") + COUNTIF(E33:AI33, "X")), "")))</f>
        <v/>
      </c>
      <c r="AL33" s="124">
        <f>IF(ISBLANK(B33), "", IF(AJ33&gt;=0.85, "🔥 Mastered", IF(AJ33&gt;=0.7, "⚡ Consistent", "⚠️ Needs Focus")))</f>
        <v/>
      </c>
      <c r="AM33">
        <f>COUNTIF(E33:AI33, "✓")</f>
        <v/>
      </c>
    </row>
    <row r="34" ht="14.5" customHeight="1">
      <c r="A34" s="125" t="n">
        <v>17</v>
      </c>
      <c r="B34" s="126" t="n"/>
      <c r="C34" s="127" t="n"/>
      <c r="D34" s="127" t="n"/>
      <c r="E34" s="128" t="n"/>
      <c r="F34" s="128" t="n"/>
      <c r="G34" s="128" t="n"/>
      <c r="H34" s="128" t="n"/>
      <c r="I34" s="128" t="n"/>
      <c r="J34" s="129" t="n"/>
      <c r="K34" s="128" t="n"/>
      <c r="L34" s="128" t="n"/>
      <c r="M34" s="128" t="n"/>
      <c r="N34" s="128" t="n"/>
      <c r="O34" s="128" t="n"/>
      <c r="P34" s="128" t="n"/>
      <c r="Q34" s="129" t="n"/>
      <c r="R34" s="128" t="n"/>
      <c r="S34" s="128" t="n"/>
      <c r="T34" s="128" t="n"/>
      <c r="U34" s="128" t="n"/>
      <c r="V34" s="128" t="n"/>
      <c r="W34" s="128" t="n"/>
      <c r="X34" s="129" t="n"/>
      <c r="Y34" s="128" t="n"/>
      <c r="Z34" s="128" t="n"/>
      <c r="AA34" s="128" t="n"/>
      <c r="AB34" s="128" t="n"/>
      <c r="AC34" s="128" t="n"/>
      <c r="AD34" s="128" t="n"/>
      <c r="AE34" s="129" t="n"/>
      <c r="AF34" s="128" t="n"/>
      <c r="AG34" s="128" t="n"/>
      <c r="AH34" s="128" t="n"/>
      <c r="AI34" s="128" t="n"/>
      <c r="AJ34" s="130">
        <f>IF(ISBLANK(B34), "", IF(ISNUMBER(D34), IF(D34&gt;0, (COUNTIF(E34:AI34, "✓") + COUNTIF(E34:AI34, "✔") + COUNTIF(E34:AI34, "v") + COUNTIF(E34:AI34, "V"))/D34, 0), IF(((COUNTIF(E34:AI34, "✓") + COUNTIF(E34:AI34, "✔") + COUNTIF(E34:AI34, "v") + COUNTIF(E34:AI34, "V")) + COUNTIF(E34:AI34, "✗") + COUNTIF(E34:AI34, "x") + COUNTIF(E34:AI34, "X"))&gt;0, (COUNTIF(E34:AI34, "✓") + COUNTIF(E34:AI34, "✔") + COUNTIF(E34:AI34, "v") + COUNTIF(E34:AI34, "V"))/((COUNTIF(E34:AI34, "✓") + COUNTIF(E34:AI34, "✔") + COUNTIF(E34:AI34, "v") + COUNTIF(E34:AI34, "V")) + COUNTIF(E34:AI34, "✗") + COUNTIF(E34:AI34, "x") + COUNTIF(E34:AI34, "X")), "")))</f>
        <v/>
      </c>
      <c r="AK34" s="131">
        <f>IF(ISBLANK(B34), "", IF(ISNUMBER(D34), IF(D34&gt;0, (COUNTIF(E34:AI34, "✓") + COUNTIF(E34:AI34, "✔") + COUNTIF(E34:AI34, "v") + COUNTIF(E34:AI34, "V")) &amp; "/" &amp; D34, (COUNTIF(E34:AI34, "✓") + COUNTIF(E34:AI34, "✔") + COUNTIF(E34:AI34, "v") + COUNTIF(E34:AI34, "V")) &amp; "/0"), IF(((COUNTIF(E34:AI34, "✓") + COUNTIF(E34:AI34, "✔") + COUNTIF(E34:AI34, "v") + COUNTIF(E34:AI34, "V")) + COUNTIF(E34:AI34, "✗") + COUNTIF(E34:AI34, "x") + COUNTIF(E34:AI34, "X"))&gt;0, (COUNTIF(E34:AI34, "✓") + COUNTIF(E34:AI34, "✔") + COUNTIF(E34:AI34, "v") + COUNTIF(E34:AI34, "V")) &amp; "/" &amp; ((COUNTIF(E34:AI34, "✓") + COUNTIF(E34:AI34, "✔") + COUNTIF(E34:AI34, "v") + COUNTIF(E34:AI34, "V")) + COUNTIF(E34:AI34, "✗") + COUNTIF(E34:AI34, "x") + COUNTIF(E34:AI34, "X")), "")))</f>
        <v/>
      </c>
      <c r="AL34" s="131">
        <f>IF(ISBLANK(B34), "", IF(AJ34&gt;=0.85, "🔥 Mastered", IF(AJ34&gt;=0.7, "⚡ Consistent", "⚠️ Needs Focus")))</f>
        <v/>
      </c>
      <c r="AM34">
        <f>COUNTIF(E34:AI34, "✓")</f>
        <v/>
      </c>
    </row>
    <row r="35" ht="14.5" customHeight="1">
      <c r="A35" s="125" t="n">
        <v>18</v>
      </c>
      <c r="B35" s="126" t="n"/>
      <c r="C35" s="127" t="n"/>
      <c r="D35" s="127" t="n"/>
      <c r="E35" s="128" t="n"/>
      <c r="F35" s="128" t="n"/>
      <c r="G35" s="128" t="n"/>
      <c r="H35" s="128" t="n"/>
      <c r="I35" s="128" t="n"/>
      <c r="J35" s="129" t="n"/>
      <c r="K35" s="128" t="n"/>
      <c r="L35" s="128" t="n"/>
      <c r="M35" s="128" t="n"/>
      <c r="N35" s="128" t="n"/>
      <c r="O35" s="128" t="n"/>
      <c r="P35" s="128" t="n"/>
      <c r="Q35" s="129" t="n"/>
      <c r="R35" s="128" t="n"/>
      <c r="S35" s="128" t="n"/>
      <c r="T35" s="128" t="n"/>
      <c r="U35" s="128" t="n"/>
      <c r="V35" s="128" t="n"/>
      <c r="W35" s="128" t="n"/>
      <c r="X35" s="129" t="n"/>
      <c r="Y35" s="128" t="n"/>
      <c r="Z35" s="128" t="n"/>
      <c r="AA35" s="128" t="n"/>
      <c r="AB35" s="128" t="n"/>
      <c r="AC35" s="128" t="n"/>
      <c r="AD35" s="128" t="n"/>
      <c r="AE35" s="129" t="n"/>
      <c r="AF35" s="128" t="n"/>
      <c r="AG35" s="128" t="n"/>
      <c r="AH35" s="128" t="n"/>
      <c r="AI35" s="128" t="n"/>
      <c r="AJ35" s="130">
        <f>IF(ISBLANK(B35), "", IF(ISNUMBER(D35), IF(D35&gt;0, (COUNTIF(E35:AI35, "✓") + COUNTIF(E35:AI35, "✔") + COUNTIF(E35:AI35, "v") + COUNTIF(E35:AI35, "V"))/D35, 0), IF(((COUNTIF(E35:AI35, "✓") + COUNTIF(E35:AI35, "✔") + COUNTIF(E35:AI35, "v") + COUNTIF(E35:AI35, "V")) + COUNTIF(E35:AI35, "✗") + COUNTIF(E35:AI35, "x") + COUNTIF(E35:AI35, "X"))&gt;0, (COUNTIF(E35:AI35, "✓") + COUNTIF(E35:AI35, "✔") + COUNTIF(E35:AI35, "v") + COUNTIF(E35:AI35, "V"))/((COUNTIF(E35:AI35, "✓") + COUNTIF(E35:AI35, "✔") + COUNTIF(E35:AI35, "v") + COUNTIF(E35:AI35, "V")) + COUNTIF(E35:AI35, "✗") + COUNTIF(E35:AI35, "x") + COUNTIF(E35:AI35, "X")), "")))</f>
        <v/>
      </c>
      <c r="AK35" s="131">
        <f>IF(ISBLANK(B35), "", IF(ISNUMBER(D35), IF(D35&gt;0, (COUNTIF(E35:AI35, "✓") + COUNTIF(E35:AI35, "✔") + COUNTIF(E35:AI35, "v") + COUNTIF(E35:AI35, "V")) &amp; "/" &amp; D35, (COUNTIF(E35:AI35, "✓") + COUNTIF(E35:AI35, "✔") + COUNTIF(E35:AI35, "v") + COUNTIF(E35:AI35, "V")) &amp; "/0"), IF(((COUNTIF(E35:AI35, "✓") + COUNTIF(E35:AI35, "✔") + COUNTIF(E35:AI35, "v") + COUNTIF(E35:AI35, "V")) + COUNTIF(E35:AI35, "✗") + COUNTIF(E35:AI35, "x") + COUNTIF(E35:AI35, "X"))&gt;0, (COUNTIF(E35:AI35, "✓") + COUNTIF(E35:AI35, "✔") + COUNTIF(E35:AI35, "v") + COUNTIF(E35:AI35, "V")) &amp; "/" &amp; ((COUNTIF(E35:AI35, "✓") + COUNTIF(E35:AI35, "✔") + COUNTIF(E35:AI35, "v") + COUNTIF(E35:AI35, "V")) + COUNTIF(E35:AI35, "✗") + COUNTIF(E35:AI35, "x") + COUNTIF(E35:AI35, "X")), "")))</f>
        <v/>
      </c>
      <c r="AL35" s="131">
        <f>IF(ISBLANK(B35), "", IF(AJ35&gt;=0.85, "🔥 Mastered", IF(AJ35&gt;=0.7, "⚡ Consistent", "⚠️ Needs Focus")))</f>
        <v/>
      </c>
      <c r="AM35">
        <f>COUNTIF(E35:AI35, "✓")</f>
        <v/>
      </c>
    </row>
    <row r="36" ht="14.5" customHeight="1">
      <c r="A36" s="125" t="n">
        <v>19</v>
      </c>
      <c r="B36" s="126" t="n"/>
      <c r="C36" s="127" t="n"/>
      <c r="D36" s="127" t="n"/>
      <c r="E36" s="128" t="n"/>
      <c r="F36" s="128" t="n"/>
      <c r="G36" s="128" t="n"/>
      <c r="H36" s="128" t="n"/>
      <c r="I36" s="128" t="n"/>
      <c r="J36" s="129" t="n"/>
      <c r="K36" s="128" t="n"/>
      <c r="L36" s="128" t="n"/>
      <c r="M36" s="128" t="n"/>
      <c r="N36" s="128" t="n"/>
      <c r="O36" s="128" t="n"/>
      <c r="P36" s="128" t="n"/>
      <c r="Q36" s="129" t="n"/>
      <c r="R36" s="128" t="n"/>
      <c r="S36" s="128" t="n"/>
      <c r="T36" s="128" t="n"/>
      <c r="U36" s="128" t="n"/>
      <c r="V36" s="128" t="n"/>
      <c r="W36" s="128" t="n"/>
      <c r="X36" s="129" t="n"/>
      <c r="Y36" s="128" t="n"/>
      <c r="Z36" s="128" t="n"/>
      <c r="AA36" s="128" t="n"/>
      <c r="AB36" s="128" t="n"/>
      <c r="AC36" s="128" t="n"/>
      <c r="AD36" s="128" t="n"/>
      <c r="AE36" s="129" t="n"/>
      <c r="AF36" s="128" t="n"/>
      <c r="AG36" s="128" t="n"/>
      <c r="AH36" s="128" t="n"/>
      <c r="AI36" s="128" t="n"/>
      <c r="AJ36" s="130">
        <f>IF(ISBLANK(B36), "", IF(ISNUMBER(D36), IF(D36&gt;0, (COUNTIF(E36:AI36, "✓") + COUNTIF(E36:AI36, "✔") + COUNTIF(E36:AI36, "v") + COUNTIF(E36:AI36, "V"))/D36, 0), IF(((COUNTIF(E36:AI36, "✓") + COUNTIF(E36:AI36, "✔") + COUNTIF(E36:AI36, "v") + COUNTIF(E36:AI36, "V")) + COUNTIF(E36:AI36, "✗") + COUNTIF(E36:AI36, "x") + COUNTIF(E36:AI36, "X"))&gt;0, (COUNTIF(E36:AI36, "✓") + COUNTIF(E36:AI36, "✔") + COUNTIF(E36:AI36, "v") + COUNTIF(E36:AI36, "V"))/((COUNTIF(E36:AI36, "✓") + COUNTIF(E36:AI36, "✔") + COUNTIF(E36:AI36, "v") + COUNTIF(E36:AI36, "V")) + COUNTIF(E36:AI36, "✗") + COUNTIF(E36:AI36, "x") + COUNTIF(E36:AI36, "X")), "")))</f>
        <v/>
      </c>
      <c r="AK36" s="131">
        <f>IF(ISBLANK(B36), "", IF(ISNUMBER(D36), IF(D36&gt;0, (COUNTIF(E36:AI36, "✓") + COUNTIF(E36:AI36, "✔") + COUNTIF(E36:AI36, "v") + COUNTIF(E36:AI36, "V")) &amp; "/" &amp; D36, (COUNTIF(E36:AI36, "✓") + COUNTIF(E36:AI36, "✔") + COUNTIF(E36:AI36, "v") + COUNTIF(E36:AI36, "V")) &amp; "/0"), IF(((COUNTIF(E36:AI36, "✓") + COUNTIF(E36:AI36, "✔") + COUNTIF(E36:AI36, "v") + COUNTIF(E36:AI36, "V")) + COUNTIF(E36:AI36, "✗") + COUNTIF(E36:AI36, "x") + COUNTIF(E36:AI36, "X"))&gt;0, (COUNTIF(E36:AI36, "✓") + COUNTIF(E36:AI36, "✔") + COUNTIF(E36:AI36, "v") + COUNTIF(E36:AI36, "V")) &amp; "/" &amp; ((COUNTIF(E36:AI36, "✓") + COUNTIF(E36:AI36, "✔") + COUNTIF(E36:AI36, "v") + COUNTIF(E36:AI36, "V")) + COUNTIF(E36:AI36, "✗") + COUNTIF(E36:AI36, "x") + COUNTIF(E36:AI36, "X")), "")))</f>
        <v/>
      </c>
      <c r="AL36" s="131">
        <f>IF(ISBLANK(B36), "", IF(AJ36&gt;=0.85, "🔥 Mastered", IF(AJ36&gt;=0.7, "⚡ Consistent", "⚠️ Needs Focus")))</f>
        <v/>
      </c>
      <c r="AM36">
        <f>COUNTIF(E36:AI36, "✓")</f>
        <v/>
      </c>
    </row>
    <row r="37" ht="14.5" customHeight="1">
      <c r="A37" s="125" t="n">
        <v>20</v>
      </c>
      <c r="B37" s="126" t="n"/>
      <c r="C37" s="127" t="n"/>
      <c r="D37" s="127" t="n"/>
      <c r="E37" s="128" t="n"/>
      <c r="F37" s="128" t="n"/>
      <c r="G37" s="128" t="n"/>
      <c r="H37" s="128" t="n"/>
      <c r="I37" s="128" t="n"/>
      <c r="J37" s="129" t="n"/>
      <c r="K37" s="128" t="n"/>
      <c r="L37" s="128" t="n"/>
      <c r="M37" s="128" t="n"/>
      <c r="N37" s="128" t="n"/>
      <c r="O37" s="128" t="n"/>
      <c r="P37" s="128" t="n"/>
      <c r="Q37" s="129" t="n"/>
      <c r="R37" s="128" t="n"/>
      <c r="S37" s="128" t="n"/>
      <c r="T37" s="128" t="n"/>
      <c r="U37" s="128" t="n"/>
      <c r="V37" s="128" t="n"/>
      <c r="W37" s="128" t="n"/>
      <c r="X37" s="129" t="n"/>
      <c r="Y37" s="128" t="n"/>
      <c r="Z37" s="128" t="n"/>
      <c r="AA37" s="128" t="n"/>
      <c r="AB37" s="128" t="n"/>
      <c r="AC37" s="128" t="n"/>
      <c r="AD37" s="128" t="n"/>
      <c r="AE37" s="129" t="n"/>
      <c r="AF37" s="128" t="n"/>
      <c r="AG37" s="128" t="n"/>
      <c r="AH37" s="128" t="n"/>
      <c r="AI37" s="128" t="n"/>
      <c r="AJ37" s="130">
        <f>IF(ISBLANK(B37), "", IF(ISNUMBER(D37), IF(D37&gt;0, (COUNTIF(E37:AI37, "✓") + COUNTIF(E37:AI37, "✔") + COUNTIF(E37:AI37, "v") + COUNTIF(E37:AI37, "V"))/D37, 0), IF(((COUNTIF(E37:AI37, "✓") + COUNTIF(E37:AI37, "✔") + COUNTIF(E37:AI37, "v") + COUNTIF(E37:AI37, "V")) + COUNTIF(E37:AI37, "✗") + COUNTIF(E37:AI37, "x") + COUNTIF(E37:AI37, "X"))&gt;0, (COUNTIF(E37:AI37, "✓") + COUNTIF(E37:AI37, "✔") + COUNTIF(E37:AI37, "v") + COUNTIF(E37:AI37, "V"))/((COUNTIF(E37:AI37, "✓") + COUNTIF(E37:AI37, "✔") + COUNTIF(E37:AI37, "v") + COUNTIF(E37:AI37, "V")) + COUNTIF(E37:AI37, "✗") + COUNTIF(E37:AI37, "x") + COUNTIF(E37:AI37, "X")), "")))</f>
        <v/>
      </c>
      <c r="AK37" s="131">
        <f>IF(ISBLANK(B37), "", IF(ISNUMBER(D37), IF(D37&gt;0, (COUNTIF(E37:AI37, "✓") + COUNTIF(E37:AI37, "✔") + COUNTIF(E37:AI37, "v") + COUNTIF(E37:AI37, "V")) &amp; "/" &amp; D37, (COUNTIF(E37:AI37, "✓") + COUNTIF(E37:AI37, "✔") + COUNTIF(E37:AI37, "v") + COUNTIF(E37:AI37, "V")) &amp; "/0"), IF(((COUNTIF(E37:AI37, "✓") + COUNTIF(E37:AI37, "✔") + COUNTIF(E37:AI37, "v") + COUNTIF(E37:AI37, "V")) + COUNTIF(E37:AI37, "✗") + COUNTIF(E37:AI37, "x") + COUNTIF(E37:AI37, "X"))&gt;0, (COUNTIF(E37:AI37, "✓") + COUNTIF(E37:AI37, "✔") + COUNTIF(E37:AI37, "v") + COUNTIF(E37:AI37, "V")) &amp; "/" &amp; ((COUNTIF(E37:AI37, "✓") + COUNTIF(E37:AI37, "✔") + COUNTIF(E37:AI37, "v") + COUNTIF(E37:AI37, "V")) + COUNTIF(E37:AI37, "✗") + COUNTIF(E37:AI37, "x") + COUNTIF(E37:AI37, "X")), "")))</f>
        <v/>
      </c>
      <c r="AL37" s="131">
        <f>IF(ISBLANK(B37), "", IF(AJ37&gt;=0.85, "🔥 Mastered", IF(AJ37&gt;=0.7, "⚡ Consistent", "⚠️ Needs Focus")))</f>
        <v/>
      </c>
      <c r="AM37">
        <f>COUNTIF(E37:AI37, "✓")</f>
        <v/>
      </c>
    </row>
    <row r="38" ht="18" customHeight="1">
      <c r="A38" s="132" t="inlineStr">
        <is>
          <t>DAILY TOTAL SCORE</t>
        </is>
      </c>
      <c r="B38" s="54" t="n"/>
      <c r="C38" s="54" t="n"/>
      <c r="D38" s="54" t="n"/>
      <c r="E38" s="33">
        <f>IF(((COUNTIF(E18:E37, "✓") + COUNTIF(E18:E37, "✔") + COUNTIF(E18:E37, "v") + COUNTIF(E18:E37, "V")) + COUNTIF(E18:E37, "✗") + COUNTIF(E18:E37, "x") + COUNTIF(E18:E37, "X")) &gt; 0, (COUNTIF(E18:E37, "✓") + COUNTIF(E18:E37, "✔") + COUNTIF(E18:E37, "v") + COUNTIF(E18:E37, "V")) &amp; "/" &amp; ((COUNTIF(E18:E37, "✓") + COUNTIF(E18:E37, "✔") + COUNTIF(E18:E37, "v") + COUNTIF(E18:E37, "V")) + COUNTIF(E18:E37, "✗") + COUNTIF(E18:E37, "x") + COUNTIF(E18:E37, "X")), "")</f>
        <v/>
      </c>
      <c r="F38" s="33">
        <f>IF(((COUNTIF(F18:F37, "✓") + COUNTIF(F18:F37, "✔") + COUNTIF(F18:F37, "v") + COUNTIF(F18:F37, "V")) + COUNTIF(F18:F37, "✗") + COUNTIF(F18:F37, "x") + COUNTIF(F18:F37, "X")) &gt; 0, (COUNTIF(F18:F37, "✓") + COUNTIF(F18:F37, "✔") + COUNTIF(F18:F37, "v") + COUNTIF(F18:F37, "V")) &amp; "/" &amp; ((COUNTIF(F18:F37, "✓") + COUNTIF(F18:F37, "✔") + COUNTIF(F18:F37, "v") + COUNTIF(F18:F37, "V")) + COUNTIF(F18:F37, "✗") + COUNTIF(F18:F37, "x") + COUNTIF(F18:F37, "X")), "")</f>
        <v/>
      </c>
      <c r="G38" s="33">
        <f>IF(((COUNTIF(G18:G37, "✓") + COUNTIF(G18:G37, "✔") + COUNTIF(G18:G37, "v") + COUNTIF(G18:G37, "V")) + COUNTIF(G18:G37, "✗") + COUNTIF(G18:G37, "x") + COUNTIF(G18:G37, "X")) &gt; 0, (COUNTIF(G18:G37, "✓") + COUNTIF(G18:G37, "✔") + COUNTIF(G18:G37, "v") + COUNTIF(G18:G37, "V")) &amp; "/" &amp; ((COUNTIF(G18:G37, "✓") + COUNTIF(G18:G37, "✔") + COUNTIF(G18:G37, "v") + COUNTIF(G18:G37, "V")) + COUNTIF(G18:G37, "✗") + COUNTIF(G18:G37, "x") + COUNTIF(G18:G37, "X")), "")</f>
        <v/>
      </c>
      <c r="H38" s="33">
        <f>IF(((COUNTIF(H18:H37, "✓") + COUNTIF(H18:H37, "✔") + COUNTIF(H18:H37, "v") + COUNTIF(H18:H37, "V")) + COUNTIF(H18:H37, "✗") + COUNTIF(H18:H37, "x") + COUNTIF(H18:H37, "X")) &gt; 0, (COUNTIF(H18:H37, "✓") + COUNTIF(H18:H37, "✔") + COUNTIF(H18:H37, "v") + COUNTIF(H18:H37, "V")) &amp; "/" &amp; ((COUNTIF(H18:H37, "✓") + COUNTIF(H18:H37, "✔") + COUNTIF(H18:H37, "v") + COUNTIF(H18:H37, "V")) + COUNTIF(H18:H37, "✗") + COUNTIF(H18:H37, "x") + COUNTIF(H18:H37, "X")), "")</f>
        <v/>
      </c>
      <c r="I38" s="33">
        <f>IF(((COUNTIF(I18:I37, "✓") + COUNTIF(I18:I37, "✔") + COUNTIF(I18:I37, "v") + COUNTIF(I18:I37, "V")) + COUNTIF(I18:I37, "✗") + COUNTIF(I18:I37, "x") + COUNTIF(I18:I37, "X")) &gt; 0, (COUNTIF(I18:I37, "✓") + COUNTIF(I18:I37, "✔") + COUNTIF(I18:I37, "v") + COUNTIF(I18:I37, "V")) &amp; "/" &amp; ((COUNTIF(I18:I37, "✓") + COUNTIF(I18:I37, "✔") + COUNTIF(I18:I37, "v") + COUNTIF(I18:I37, "V")) + COUNTIF(I18:I37, "✗") + COUNTIF(I18:I37, "x") + COUNTIF(I18:I37, "X")), "")</f>
        <v/>
      </c>
      <c r="J38" s="33">
        <f>IF(((COUNTIF(J18:J37, "✓") + COUNTIF(J18:J37, "✔") + COUNTIF(J18:J37, "v") + COUNTIF(J18:J37, "V")) + COUNTIF(J18:J37, "✗") + COUNTIF(J18:J37, "x") + COUNTIF(J18:J37, "X")) &gt; 0, (COUNTIF(J18:J37, "✓") + COUNTIF(J18:J37, "✔") + COUNTIF(J18:J37, "v") + COUNTIF(J18:J37, "V")) &amp; "/" &amp; ((COUNTIF(J18:J37, "✓") + COUNTIF(J18:J37, "✔") + COUNTIF(J18:J37, "v") + COUNTIF(J18:J37, "V")) + COUNTIF(J18:J37, "✗") + COUNTIF(J18:J37, "x") + COUNTIF(J18:J37, "X")), "")</f>
        <v/>
      </c>
      <c r="K38" s="33">
        <f>IF(((COUNTIF(K18:K37, "✓") + COUNTIF(K18:K37, "✔") + COUNTIF(K18:K37, "v") + COUNTIF(K18:K37, "V")) + COUNTIF(K18:K37, "✗") + COUNTIF(K18:K37, "x") + COUNTIF(K18:K37, "X")) &gt; 0, (COUNTIF(K18:K37, "✓") + COUNTIF(K18:K37, "✔") + COUNTIF(K18:K37, "v") + COUNTIF(K18:K37, "V")) &amp; "/" &amp; ((COUNTIF(K18:K37, "✓") + COUNTIF(K18:K37, "✔") + COUNTIF(K18:K37, "v") + COUNTIF(K18:K37, "V")) + COUNTIF(K18:K37, "✗") + COUNTIF(K18:K37, "x") + COUNTIF(K18:K37, "X")), "")</f>
        <v/>
      </c>
      <c r="L38" s="33">
        <f>IF(((COUNTIF(L18:L37, "✓") + COUNTIF(L18:L37, "✔") + COUNTIF(L18:L37, "v") + COUNTIF(L18:L37, "V")) + COUNTIF(L18:L37, "✗") + COUNTIF(L18:L37, "x") + COUNTIF(L18:L37, "X")) &gt; 0, (COUNTIF(L18:L37, "✓") + COUNTIF(L18:L37, "✔") + COUNTIF(L18:L37, "v") + COUNTIF(L18:L37, "V")) &amp; "/" &amp; ((COUNTIF(L18:L37, "✓") + COUNTIF(L18:L37, "✔") + COUNTIF(L18:L37, "v") + COUNTIF(L18:L37, "V")) + COUNTIF(L18:L37, "✗") + COUNTIF(L18:L37, "x") + COUNTIF(L18:L37, "X")), "")</f>
        <v/>
      </c>
      <c r="M38" s="33">
        <f>IF(((COUNTIF(M18:M37, "✓") + COUNTIF(M18:M37, "✔") + COUNTIF(M18:M37, "v") + COUNTIF(M18:M37, "V")) + COUNTIF(M18:M37, "✗") + COUNTIF(M18:M37, "x") + COUNTIF(M18:M37, "X")) &gt; 0, (COUNTIF(M18:M37, "✓") + COUNTIF(M18:M37, "✔") + COUNTIF(M18:M37, "v") + COUNTIF(M18:M37, "V")) &amp; "/" &amp; ((COUNTIF(M18:M37, "✓") + COUNTIF(M18:M37, "✔") + COUNTIF(M18:M37, "v") + COUNTIF(M18:M37, "V")) + COUNTIF(M18:M37, "✗") + COUNTIF(M18:M37, "x") + COUNTIF(M18:M37, "X")), "")</f>
        <v/>
      </c>
      <c r="N38" s="33">
        <f>IF(((COUNTIF(N18:N37, "✓") + COUNTIF(N18:N37, "✔") + COUNTIF(N18:N37, "v") + COUNTIF(N18:N37, "V")) + COUNTIF(N18:N37, "✗") + COUNTIF(N18:N37, "x") + COUNTIF(N18:N37, "X")) &gt; 0, (COUNTIF(N18:N37, "✓") + COUNTIF(N18:N37, "✔") + COUNTIF(N18:N37, "v") + COUNTIF(N18:N37, "V")) &amp; "/" &amp; ((COUNTIF(N18:N37, "✓") + COUNTIF(N18:N37, "✔") + COUNTIF(N18:N37, "v") + COUNTIF(N18:N37, "V")) + COUNTIF(N18:N37, "✗") + COUNTIF(N18:N37, "x") + COUNTIF(N18:N37, "X")), "")</f>
        <v/>
      </c>
      <c r="O38" s="33">
        <f>IF(((COUNTIF(O18:O37, "✓") + COUNTIF(O18:O37, "✔") + COUNTIF(O18:O37, "v") + COUNTIF(O18:O37, "V")) + COUNTIF(O18:O37, "✗") + COUNTIF(O18:O37, "x") + COUNTIF(O18:O37, "X")) &gt; 0, (COUNTIF(O18:O37, "✓") + COUNTIF(O18:O37, "✔") + COUNTIF(O18:O37, "v") + COUNTIF(O18:O37, "V")) &amp; "/" &amp; ((COUNTIF(O18:O37, "✓") + COUNTIF(O18:O37, "✔") + COUNTIF(O18:O37, "v") + COUNTIF(O18:O37, "V")) + COUNTIF(O18:O37, "✗") + COUNTIF(O18:O37, "x") + COUNTIF(O18:O37, "X")), "")</f>
        <v/>
      </c>
      <c r="P38" s="33">
        <f>IF(((COUNTIF(P18:P37, "✓") + COUNTIF(P18:P37, "✔") + COUNTIF(P18:P37, "v") + COUNTIF(P18:P37, "V")) + COUNTIF(P18:P37, "✗") + COUNTIF(P18:P37, "x") + COUNTIF(P18:P37, "X")) &gt; 0, (COUNTIF(P18:P37, "✓") + COUNTIF(P18:P37, "✔") + COUNTIF(P18:P37, "v") + COUNTIF(P18:P37, "V")) &amp; "/" &amp; ((COUNTIF(P18:P37, "✓") + COUNTIF(P18:P37, "✔") + COUNTIF(P18:P37, "v") + COUNTIF(P18:P37, "V")) + COUNTIF(P18:P37, "✗") + COUNTIF(P18:P37, "x") + COUNTIF(P18:P37, "X")), "")</f>
        <v/>
      </c>
      <c r="Q38" s="33">
        <f>IF(((COUNTIF(Q18:Q37, "✓") + COUNTIF(Q18:Q37, "✔") + COUNTIF(Q18:Q37, "v") + COUNTIF(Q18:Q37, "V")) + COUNTIF(Q18:Q37, "✗") + COUNTIF(Q18:Q37, "x") + COUNTIF(Q18:Q37, "X")) &gt; 0, (COUNTIF(Q18:Q37, "✓") + COUNTIF(Q18:Q37, "✔") + COUNTIF(Q18:Q37, "v") + COUNTIF(Q18:Q37, "V")) &amp; "/" &amp; ((COUNTIF(Q18:Q37, "✓") + COUNTIF(Q18:Q37, "✔") + COUNTIF(Q18:Q37, "v") + COUNTIF(Q18:Q37, "V")) + COUNTIF(Q18:Q37, "✗") + COUNTIF(Q18:Q37, "x") + COUNTIF(Q18:Q37, "X")), "")</f>
        <v/>
      </c>
      <c r="R38" s="33">
        <f>IF(((COUNTIF(R18:R37, "✓") + COUNTIF(R18:R37, "✔") + COUNTIF(R18:R37, "v") + COUNTIF(R18:R37, "V")) + COUNTIF(R18:R37, "✗") + COUNTIF(R18:R37, "x") + COUNTIF(R18:R37, "X")) &gt; 0, (COUNTIF(R18:R37, "✓") + COUNTIF(R18:R37, "✔") + COUNTIF(R18:R37, "v") + COUNTIF(R18:R37, "V")) &amp; "/" &amp; ((COUNTIF(R18:R37, "✓") + COUNTIF(R18:R37, "✔") + COUNTIF(R18:R37, "v") + COUNTIF(R18:R37, "V")) + COUNTIF(R18:R37, "✗") + COUNTIF(R18:R37, "x") + COUNTIF(R18:R37, "X")), "")</f>
        <v/>
      </c>
      <c r="S38" s="33">
        <f>IF(((COUNTIF(S18:S37, "✓") + COUNTIF(S18:S37, "✔") + COUNTIF(S18:S37, "v") + COUNTIF(S18:S37, "V")) + COUNTIF(S18:S37, "✗") + COUNTIF(S18:S37, "x") + COUNTIF(S18:S37, "X")) &gt; 0, (COUNTIF(S18:S37, "✓") + COUNTIF(S18:S37, "✔") + COUNTIF(S18:S37, "v") + COUNTIF(S18:S37, "V")) &amp; "/" &amp; ((COUNTIF(S18:S37, "✓") + COUNTIF(S18:S37, "✔") + COUNTIF(S18:S37, "v") + COUNTIF(S18:S37, "V")) + COUNTIF(S18:S37, "✗") + COUNTIF(S18:S37, "x") + COUNTIF(S18:S37, "X")), "")</f>
        <v/>
      </c>
      <c r="T38" s="33">
        <f>IF(((COUNTIF(T18:T37, "✓") + COUNTIF(T18:T37, "✔") + COUNTIF(T18:T37, "v") + COUNTIF(T18:T37, "V")) + COUNTIF(T18:T37, "✗") + COUNTIF(T18:T37, "x") + COUNTIF(T18:T37, "X")) &gt; 0, (COUNTIF(T18:T37, "✓") + COUNTIF(T18:T37, "✔") + COUNTIF(T18:T37, "v") + COUNTIF(T18:T37, "V")) &amp; "/" &amp; ((COUNTIF(T18:T37, "✓") + COUNTIF(T18:T37, "✔") + COUNTIF(T18:T37, "v") + COUNTIF(T18:T37, "V")) + COUNTIF(T18:T37, "✗") + COUNTIF(T18:T37, "x") + COUNTIF(T18:T37, "X")), "")</f>
        <v/>
      </c>
      <c r="U38" s="33">
        <f>IF(((COUNTIF(U18:U37, "✓") + COUNTIF(U18:U37, "✔") + COUNTIF(U18:U37, "v") + COUNTIF(U18:U37, "V")) + COUNTIF(U18:U37, "✗") + COUNTIF(U18:U37, "x") + COUNTIF(U18:U37, "X")) &gt; 0, (COUNTIF(U18:U37, "✓") + COUNTIF(U18:U37, "✔") + COUNTIF(U18:U37, "v") + COUNTIF(U18:U37, "V")) &amp; "/" &amp; ((COUNTIF(U18:U37, "✓") + COUNTIF(U18:U37, "✔") + COUNTIF(U18:U37, "v") + COUNTIF(U18:U37, "V")) + COUNTIF(U18:U37, "✗") + COUNTIF(U18:U37, "x") + COUNTIF(U18:U37, "X")), "")</f>
        <v/>
      </c>
      <c r="V38" s="33">
        <f>IF(((COUNTIF(V18:V37, "✓") + COUNTIF(V18:V37, "✔") + COUNTIF(V18:V37, "v") + COUNTIF(V18:V37, "V")) + COUNTIF(V18:V37, "✗") + COUNTIF(V18:V37, "x") + COUNTIF(V18:V37, "X")) &gt; 0, (COUNTIF(V18:V37, "✓") + COUNTIF(V18:V37, "✔") + COUNTIF(V18:V37, "v") + COUNTIF(V18:V37, "V")) &amp; "/" &amp; ((COUNTIF(V18:V37, "✓") + COUNTIF(V18:V37, "✔") + COUNTIF(V18:V37, "v") + COUNTIF(V18:V37, "V")) + COUNTIF(V18:V37, "✗") + COUNTIF(V18:V37, "x") + COUNTIF(V18:V37, "X")), "")</f>
        <v/>
      </c>
      <c r="W38" s="33">
        <f>IF(((COUNTIF(W18:W37, "✓") + COUNTIF(W18:W37, "✔") + COUNTIF(W18:W37, "v") + COUNTIF(W18:W37, "V")) + COUNTIF(W18:W37, "✗") + COUNTIF(W18:W37, "x") + COUNTIF(W18:W37, "X")) &gt; 0, (COUNTIF(W18:W37, "✓") + COUNTIF(W18:W37, "✔") + COUNTIF(W18:W37, "v") + COUNTIF(W18:W37, "V")) &amp; "/" &amp; ((COUNTIF(W18:W37, "✓") + COUNTIF(W18:W37, "✔") + COUNTIF(W18:W37, "v") + COUNTIF(W18:W37, "V")) + COUNTIF(W18:W37, "✗") + COUNTIF(W18:W37, "x") + COUNTIF(W18:W37, "X")), "")</f>
        <v/>
      </c>
      <c r="X38" s="33">
        <f>IF(((COUNTIF(X18:X37, "✓") + COUNTIF(X18:X37, "✔") + COUNTIF(X18:X37, "v") + COUNTIF(X18:X37, "V")) + COUNTIF(X18:X37, "✗") + COUNTIF(X18:X37, "x") + COUNTIF(X18:X37, "X")) &gt; 0, (COUNTIF(X18:X37, "✓") + COUNTIF(X18:X37, "✔") + COUNTIF(X18:X37, "v") + COUNTIF(X18:X37, "V")) &amp; "/" &amp; ((COUNTIF(X18:X37, "✓") + COUNTIF(X18:X37, "✔") + COUNTIF(X18:X37, "v") + COUNTIF(X18:X37, "V")) + COUNTIF(X18:X37, "✗") + COUNTIF(X18:X37, "x") + COUNTIF(X18:X37, "X")), "")</f>
        <v/>
      </c>
      <c r="Y38" s="33">
        <f>IF(((COUNTIF(Y18:Y37, "✓") + COUNTIF(Y18:Y37, "✔") + COUNTIF(Y18:Y37, "v") + COUNTIF(Y18:Y37, "V")) + COUNTIF(Y18:Y37, "✗") + COUNTIF(Y18:Y37, "x") + COUNTIF(Y18:Y37, "X")) &gt; 0, (COUNTIF(Y18:Y37, "✓") + COUNTIF(Y18:Y37, "✔") + COUNTIF(Y18:Y37, "v") + COUNTIF(Y18:Y37, "V")) &amp; "/" &amp; ((COUNTIF(Y18:Y37, "✓") + COUNTIF(Y18:Y37, "✔") + COUNTIF(Y18:Y37, "v") + COUNTIF(Y18:Y37, "V")) + COUNTIF(Y18:Y37, "✗") + COUNTIF(Y18:Y37, "x") + COUNTIF(Y18:Y37, "X")), "")</f>
        <v/>
      </c>
      <c r="Z38" s="33">
        <f>IF(((COUNTIF(Z18:Z37, "✓") + COUNTIF(Z18:Z37, "✔") + COUNTIF(Z18:Z37, "v") + COUNTIF(Z18:Z37, "V")) + COUNTIF(Z18:Z37, "✗") + COUNTIF(Z18:Z37, "x") + COUNTIF(Z18:Z37, "X")) &gt; 0, (COUNTIF(Z18:Z37, "✓") + COUNTIF(Z18:Z37, "✔") + COUNTIF(Z18:Z37, "v") + COUNTIF(Z18:Z37, "V")) &amp; "/" &amp; ((COUNTIF(Z18:Z37, "✓") + COUNTIF(Z18:Z37, "✔") + COUNTIF(Z18:Z37, "v") + COUNTIF(Z18:Z37, "V")) + COUNTIF(Z18:Z37, "✗") + COUNTIF(Z18:Z37, "x") + COUNTIF(Z18:Z37, "X")), "")</f>
        <v/>
      </c>
      <c r="AA38" s="33">
        <f>IF(((COUNTIF(AA18:AA37, "✓") + COUNTIF(AA18:AA37, "✔") + COUNTIF(AA18:AA37, "v") + COUNTIF(AA18:AA37, "V")) + COUNTIF(AA18:AA37, "✗") + COUNTIF(AA18:AA37, "x") + COUNTIF(AA18:AA37, "X")) &gt; 0, (COUNTIF(AA18:AA37, "✓") + COUNTIF(AA18:AA37, "✔") + COUNTIF(AA18:AA37, "v") + COUNTIF(AA18:AA37, "V")) &amp; "/" &amp; ((COUNTIF(AA18:AA37, "✓") + COUNTIF(AA18:AA37, "✔") + COUNTIF(AA18:AA37, "v") + COUNTIF(AA18:AA37, "V")) + COUNTIF(AA18:AA37, "✗") + COUNTIF(AA18:AA37, "x") + COUNTIF(AA18:AA37, "X")), "")</f>
        <v/>
      </c>
      <c r="AB38" s="33">
        <f>IF(((COUNTIF(AB18:AB37, "✓") + COUNTIF(AB18:AB37, "✔") + COUNTIF(AB18:AB37, "v") + COUNTIF(AB18:AB37, "V")) + COUNTIF(AB18:AB37, "✗") + COUNTIF(AB18:AB37, "x") + COUNTIF(AB18:AB37, "X")) &gt; 0, (COUNTIF(AB18:AB37, "✓") + COUNTIF(AB18:AB37, "✔") + COUNTIF(AB18:AB37, "v") + COUNTIF(AB18:AB37, "V")) &amp; "/" &amp; ((COUNTIF(AB18:AB37, "✓") + COUNTIF(AB18:AB37, "✔") + COUNTIF(AB18:AB37, "v") + COUNTIF(AB18:AB37, "V")) + COUNTIF(AB18:AB37, "✗") + COUNTIF(AB18:AB37, "x") + COUNTIF(AB18:AB37, "X")), "")</f>
        <v/>
      </c>
      <c r="AC38" s="33">
        <f>IF(((COUNTIF(AC18:AC37, "✓") + COUNTIF(AC18:AC37, "✔") + COUNTIF(AC18:AC37, "v") + COUNTIF(AC18:AC37, "V")) + COUNTIF(AC18:AC37, "✗") + COUNTIF(AC18:AC37, "x") + COUNTIF(AC18:AC37, "X")) &gt; 0, (COUNTIF(AC18:AC37, "✓") + COUNTIF(AC18:AC37, "✔") + COUNTIF(AC18:AC37, "v") + COUNTIF(AC18:AC37, "V")) &amp; "/" &amp; ((COUNTIF(AC18:AC37, "✓") + COUNTIF(AC18:AC37, "✔") + COUNTIF(AC18:AC37, "v") + COUNTIF(AC18:AC37, "V")) + COUNTIF(AC18:AC37, "✗") + COUNTIF(AC18:AC37, "x") + COUNTIF(AC18:AC37, "X")), "")</f>
        <v/>
      </c>
      <c r="AD38" s="33">
        <f>IF(((COUNTIF(AD18:AD37, "✓") + COUNTIF(AD18:AD37, "✔") + COUNTIF(AD18:AD37, "v") + COUNTIF(AD18:AD37, "V")) + COUNTIF(AD18:AD37, "✗") + COUNTIF(AD18:AD37, "x") + COUNTIF(AD18:AD37, "X")) &gt; 0, (COUNTIF(AD18:AD37, "✓") + COUNTIF(AD18:AD37, "✔") + COUNTIF(AD18:AD37, "v") + COUNTIF(AD18:AD37, "V")) &amp; "/" &amp; ((COUNTIF(AD18:AD37, "✓") + COUNTIF(AD18:AD37, "✔") + COUNTIF(AD18:AD37, "v") + COUNTIF(AD18:AD37, "V")) + COUNTIF(AD18:AD37, "✗") + COUNTIF(AD18:AD37, "x") + COUNTIF(AD18:AD37, "X")), "")</f>
        <v/>
      </c>
      <c r="AE38" s="33">
        <f>IF(((COUNTIF(AE18:AE37, "✓") + COUNTIF(AE18:AE37, "✔") + COUNTIF(AE18:AE37, "v") + COUNTIF(AE18:AE37, "V")) + COUNTIF(AE18:AE37, "✗") + COUNTIF(AE18:AE37, "x") + COUNTIF(AE18:AE37, "X")) &gt; 0, (COUNTIF(AE18:AE37, "✓") + COUNTIF(AE18:AE37, "✔") + COUNTIF(AE18:AE37, "v") + COUNTIF(AE18:AE37, "V")) &amp; "/" &amp; ((COUNTIF(AE18:AE37, "✓") + COUNTIF(AE18:AE37, "✔") + COUNTIF(AE18:AE37, "v") + COUNTIF(AE18:AE37, "V")) + COUNTIF(AE18:AE37, "✗") + COUNTIF(AE18:AE37, "x") + COUNTIF(AE18:AE37, "X")), "")</f>
        <v/>
      </c>
      <c r="AF38" s="33">
        <f>IF(((COUNTIF(AF18:AF37, "✓") + COUNTIF(AF18:AF37, "✔") + COUNTIF(AF18:AF37, "v") + COUNTIF(AF18:AF37, "V")) + COUNTIF(AF18:AF37, "✗") + COUNTIF(AF18:AF37, "x") + COUNTIF(AF18:AF37, "X")) &gt; 0, (COUNTIF(AF18:AF37, "✓") + COUNTIF(AF18:AF37, "✔") + COUNTIF(AF18:AF37, "v") + COUNTIF(AF18:AF37, "V")) &amp; "/" &amp; ((COUNTIF(AF18:AF37, "✓") + COUNTIF(AF18:AF37, "✔") + COUNTIF(AF18:AF37, "v") + COUNTIF(AF18:AF37, "V")) + COUNTIF(AF18:AF37, "✗") + COUNTIF(AF18:AF37, "x") + COUNTIF(AF18:AF37, "X")), "")</f>
        <v/>
      </c>
      <c r="AG38" s="33">
        <f>IF(((COUNTIF(AG18:AG37, "✓") + COUNTIF(AG18:AG37, "✔") + COUNTIF(AG18:AG37, "v") + COUNTIF(AG18:AG37, "V")) + COUNTIF(AG18:AG37, "✗") + COUNTIF(AG18:AG37, "x") + COUNTIF(AG18:AG37, "X")) &gt; 0, (COUNTIF(AG18:AG37, "✓") + COUNTIF(AG18:AG37, "✔") + COUNTIF(AG18:AG37, "v") + COUNTIF(AG18:AG37, "V")) &amp; "/" &amp; ((COUNTIF(AG18:AG37, "✓") + COUNTIF(AG18:AG37, "✔") + COUNTIF(AG18:AG37, "v") + COUNTIF(AG18:AG37, "V")) + COUNTIF(AG18:AG37, "✗") + COUNTIF(AG18:AG37, "x") + COUNTIF(AG18:AG37, "X")), "")</f>
        <v/>
      </c>
      <c r="AH38" s="33">
        <f>IF(((COUNTIF(AH18:AH37, "✓") + COUNTIF(AH18:AH37, "✔") + COUNTIF(AH18:AH37, "v") + COUNTIF(AH18:AH37, "V")) + COUNTIF(AH18:AH37, "✗") + COUNTIF(AH18:AH37, "x") + COUNTIF(AH18:AH37, "X")) &gt; 0, (COUNTIF(AH18:AH37, "✓") + COUNTIF(AH18:AH37, "✔") + COUNTIF(AH18:AH37, "v") + COUNTIF(AH18:AH37, "V")) &amp; "/" &amp; ((COUNTIF(AH18:AH37, "✓") + COUNTIF(AH18:AH37, "✔") + COUNTIF(AH18:AH37, "v") + COUNTIF(AH18:AH37, "V")) + COUNTIF(AH18:AH37, "✗") + COUNTIF(AH18:AH37, "x") + COUNTIF(AH18:AH37, "X")), "")</f>
        <v/>
      </c>
      <c r="AI38" s="33">
        <f>IF(((COUNTIF(AI18:AI37, "✓") + COUNTIF(AI18:AI37, "✔") + COUNTIF(AI18:AI37, "v") + COUNTIF(AI18:AI37, "V")) + COUNTIF(AI18:AI37, "✗") + COUNTIF(AI18:AI37, "x") + COUNTIF(AI18:AI37, "X")) &gt; 0, (COUNTIF(AI18:AI37, "✓") + COUNTIF(AI18:AI37, "✔") + COUNTIF(AI18:AI37, "v") + COUNTIF(AI18:AI37, "V")) &amp; "/" &amp; ((COUNTIF(AI18:AI37, "✓") + COUNTIF(AI18:AI37, "✔") + COUNTIF(AI18:AI37, "v") + COUNTIF(AI18:AI37, "V")) + COUNTIF(AI18:AI37, "✗") + COUNTIF(AI18:AI37, "x") + COUNTIF(AI18:AI37, "X")), "")</f>
        <v/>
      </c>
      <c r="AJ38" s="133">
        <f>IF(SUM(D18:D37) &gt; 0, SUM(AM18:AM37) / SUM(D18:D37), "")</f>
        <v/>
      </c>
      <c r="AK38" s="33">
        <f>IF(SUM(D18:D37) &gt; 0, SUM(AM18:AM37) &amp; "/" &amp; SUM(D18:D37), "")</f>
        <v/>
      </c>
      <c r="AL38" s="54" t="n"/>
    </row>
    <row r="39" ht="18" customHeight="1">
      <c r="A39" s="132" t="inlineStr">
        <is>
          <t>DAILY SUCCESS %</t>
        </is>
      </c>
      <c r="B39" s="54" t="n"/>
      <c r="C39" s="54" t="n"/>
      <c r="D39" s="54" t="n"/>
      <c r="E39" s="134">
        <f>IF(((COUNTIF(E18:E37, "✓") + COUNTIF(E18:E37, "✔") + COUNTIF(E18:E37, "v") + COUNTIF(E18:E37, "V")) + COUNTIF(E18:E37, "✗") + COUNTIF(E18:E37, "x") + COUNTIF(E18:E37, "X")) &gt; 0, (COUNTIF(E18:E37, "✓") + COUNTIF(E18:E37, "✔") + COUNTIF(E18:E37, "v") + COUNTIF(E18:E37, "V")) / ((COUNTIF(E18:E37, "✓") + COUNTIF(E18:E37, "✔") + COUNTIF(E18:E37, "v") + COUNTIF(E18:E37, "V")) + COUNTIF(E18:E37, "✗") + COUNTIF(E18:E37, "x") + COUNTIF(E18:E37, "X")), "")</f>
        <v/>
      </c>
      <c r="F39" s="134">
        <f>IF(((COUNTIF(F18:F37, "✓") + COUNTIF(F18:F37, "✔") + COUNTIF(F18:F37, "v") + COUNTIF(F18:F37, "V")) + COUNTIF(F18:F37, "✗") + COUNTIF(F18:F37, "x") + COUNTIF(F18:F37, "X")) &gt; 0, (COUNTIF(F18:F37, "✓") + COUNTIF(F18:F37, "✔") + COUNTIF(F18:F37, "v") + COUNTIF(F18:F37, "V")) / ((COUNTIF(F18:F37, "✓") + COUNTIF(F18:F37, "✔") + COUNTIF(F18:F37, "v") + COUNTIF(F18:F37, "V")) + COUNTIF(F18:F37, "✗") + COUNTIF(F18:F37, "x") + COUNTIF(F18:F37, "X")), "")</f>
        <v/>
      </c>
      <c r="G39" s="134">
        <f>IF(((COUNTIF(G18:G37, "✓") + COUNTIF(G18:G37, "✔") + COUNTIF(G18:G37, "v") + COUNTIF(G18:G37, "V")) + COUNTIF(G18:G37, "✗") + COUNTIF(G18:G37, "x") + COUNTIF(G18:G37, "X")) &gt; 0, (COUNTIF(G18:G37, "✓") + COUNTIF(G18:G37, "✔") + COUNTIF(G18:G37, "v") + COUNTIF(G18:G37, "V")) / ((COUNTIF(G18:G37, "✓") + COUNTIF(G18:G37, "✔") + COUNTIF(G18:G37, "v") + COUNTIF(G18:G37, "V")) + COUNTIF(G18:G37, "✗") + COUNTIF(G18:G37, "x") + COUNTIF(G18:G37, "X")), "")</f>
        <v/>
      </c>
      <c r="H39" s="134">
        <f>IF(((COUNTIF(H18:H37, "✓") + COUNTIF(H18:H37, "✔") + COUNTIF(H18:H37, "v") + COUNTIF(H18:H37, "V")) + COUNTIF(H18:H37, "✗") + COUNTIF(H18:H37, "x") + COUNTIF(H18:H37, "X")) &gt; 0, (COUNTIF(H18:H37, "✓") + COUNTIF(H18:H37, "✔") + COUNTIF(H18:H37, "v") + COUNTIF(H18:H37, "V")) / ((COUNTIF(H18:H37, "✓") + COUNTIF(H18:H37, "✔") + COUNTIF(H18:H37, "v") + COUNTIF(H18:H37, "V")) + COUNTIF(H18:H37, "✗") + COUNTIF(H18:H37, "x") + COUNTIF(H18:H37, "X")), "")</f>
        <v/>
      </c>
      <c r="I39" s="134">
        <f>IF(((COUNTIF(I18:I37, "✓") + COUNTIF(I18:I37, "✔") + COUNTIF(I18:I37, "v") + COUNTIF(I18:I37, "V")) + COUNTIF(I18:I37, "✗") + COUNTIF(I18:I37, "x") + COUNTIF(I18:I37, "X")) &gt; 0, (COUNTIF(I18:I37, "✓") + COUNTIF(I18:I37, "✔") + COUNTIF(I18:I37, "v") + COUNTIF(I18:I37, "V")) / ((COUNTIF(I18:I37, "✓") + COUNTIF(I18:I37, "✔") + COUNTIF(I18:I37, "v") + COUNTIF(I18:I37, "V")) + COUNTIF(I18:I37, "✗") + COUNTIF(I18:I37, "x") + COUNTIF(I18:I37, "X")), "")</f>
        <v/>
      </c>
      <c r="J39" s="134">
        <f>IF(((COUNTIF(J18:J37, "✓") + COUNTIF(J18:J37, "✔") + COUNTIF(J18:J37, "v") + COUNTIF(J18:J37, "V")) + COUNTIF(J18:J37, "✗") + COUNTIF(J18:J37, "x") + COUNTIF(J18:J37, "X")) &gt; 0, (COUNTIF(J18:J37, "✓") + COUNTIF(J18:J37, "✔") + COUNTIF(J18:J37, "v") + COUNTIF(J18:J37, "V")) / ((COUNTIF(J18:J37, "✓") + COUNTIF(J18:J37, "✔") + COUNTIF(J18:J37, "v") + COUNTIF(J18:J37, "V")) + COUNTIF(J18:J37, "✗") + COUNTIF(J18:J37, "x") + COUNTIF(J18:J37, "X")), "")</f>
        <v/>
      </c>
      <c r="K39" s="134">
        <f>IF(((COUNTIF(K18:K37, "✓") + COUNTIF(K18:K37, "✔") + COUNTIF(K18:K37, "v") + COUNTIF(K18:K37, "V")) + COUNTIF(K18:K37, "✗") + COUNTIF(K18:K37, "x") + COUNTIF(K18:K37, "X")) &gt; 0, (COUNTIF(K18:K37, "✓") + COUNTIF(K18:K37, "✔") + COUNTIF(K18:K37, "v") + COUNTIF(K18:K37, "V")) / ((COUNTIF(K18:K37, "✓") + COUNTIF(K18:K37, "✔") + COUNTIF(K18:K37, "v") + COUNTIF(K18:K37, "V")) + COUNTIF(K18:K37, "✗") + COUNTIF(K18:K37, "x") + COUNTIF(K18:K37, "X")), "")</f>
        <v/>
      </c>
      <c r="L39" s="134">
        <f>IF(((COUNTIF(L18:L37, "✓") + COUNTIF(L18:L37, "✔") + COUNTIF(L18:L37, "v") + COUNTIF(L18:L37, "V")) + COUNTIF(L18:L37, "✗") + COUNTIF(L18:L37, "x") + COUNTIF(L18:L37, "X")) &gt; 0, (COUNTIF(L18:L37, "✓") + COUNTIF(L18:L37, "✔") + COUNTIF(L18:L37, "v") + COUNTIF(L18:L37, "V")) / ((COUNTIF(L18:L37, "✓") + COUNTIF(L18:L37, "✔") + COUNTIF(L18:L37, "v") + COUNTIF(L18:L37, "V")) + COUNTIF(L18:L37, "✗") + COUNTIF(L18:L37, "x") + COUNTIF(L18:L37, "X")), "")</f>
        <v/>
      </c>
      <c r="M39" s="134">
        <f>IF(((COUNTIF(M18:M37, "✓") + COUNTIF(M18:M37, "✔") + COUNTIF(M18:M37, "v") + COUNTIF(M18:M37, "V")) + COUNTIF(M18:M37, "✗") + COUNTIF(M18:M37, "x") + COUNTIF(M18:M37, "X")) &gt; 0, (COUNTIF(M18:M37, "✓") + COUNTIF(M18:M37, "✔") + COUNTIF(M18:M37, "v") + COUNTIF(M18:M37, "V")) / ((COUNTIF(M18:M37, "✓") + COUNTIF(M18:M37, "✔") + COUNTIF(M18:M37, "v") + COUNTIF(M18:M37, "V")) + COUNTIF(M18:M37, "✗") + COUNTIF(M18:M37, "x") + COUNTIF(M18:M37, "X")), "")</f>
        <v/>
      </c>
      <c r="N39" s="134">
        <f>IF(((COUNTIF(N18:N37, "✓") + COUNTIF(N18:N37, "✔") + COUNTIF(N18:N37, "v") + COUNTIF(N18:N37, "V")) + COUNTIF(N18:N37, "✗") + COUNTIF(N18:N37, "x") + COUNTIF(N18:N37, "X")) &gt; 0, (COUNTIF(N18:N37, "✓") + COUNTIF(N18:N37, "✔") + COUNTIF(N18:N37, "v") + COUNTIF(N18:N37, "V")) / ((COUNTIF(N18:N37, "✓") + COUNTIF(N18:N37, "✔") + COUNTIF(N18:N37, "v") + COUNTIF(N18:N37, "V")) + COUNTIF(N18:N37, "✗") + COUNTIF(N18:N37, "x") + COUNTIF(N18:N37, "X")), "")</f>
        <v/>
      </c>
      <c r="O39" s="134">
        <f>IF(((COUNTIF(O18:O37, "✓") + COUNTIF(O18:O37, "✔") + COUNTIF(O18:O37, "v") + COUNTIF(O18:O37, "V")) + COUNTIF(O18:O37, "✗") + COUNTIF(O18:O37, "x") + COUNTIF(O18:O37, "X")) &gt; 0, (COUNTIF(O18:O37, "✓") + COUNTIF(O18:O37, "✔") + COUNTIF(O18:O37, "v") + COUNTIF(O18:O37, "V")) / ((COUNTIF(O18:O37, "✓") + COUNTIF(O18:O37, "✔") + COUNTIF(O18:O37, "v") + COUNTIF(O18:O37, "V")) + COUNTIF(O18:O37, "✗") + COUNTIF(O18:O37, "x") + COUNTIF(O18:O37, "X")), "")</f>
        <v/>
      </c>
      <c r="P39" s="134">
        <f>IF(((COUNTIF(P18:P37, "✓") + COUNTIF(P18:P37, "✔") + COUNTIF(P18:P37, "v") + COUNTIF(P18:P37, "V")) + COUNTIF(P18:P37, "✗") + COUNTIF(P18:P37, "x") + COUNTIF(P18:P37, "X")) &gt; 0, (COUNTIF(P18:P37, "✓") + COUNTIF(P18:P37, "✔") + COUNTIF(P18:P37, "v") + COUNTIF(P18:P37, "V")) / ((COUNTIF(P18:P37, "✓") + COUNTIF(P18:P37, "✔") + COUNTIF(P18:P37, "v") + COUNTIF(P18:P37, "V")) + COUNTIF(P18:P37, "✗") + COUNTIF(P18:P37, "x") + COUNTIF(P18:P37, "X")), "")</f>
        <v/>
      </c>
      <c r="Q39" s="134">
        <f>IF(((COUNTIF(Q18:Q37, "✓") + COUNTIF(Q18:Q37, "✔") + COUNTIF(Q18:Q37, "v") + COUNTIF(Q18:Q37, "V")) + COUNTIF(Q18:Q37, "✗") + COUNTIF(Q18:Q37, "x") + COUNTIF(Q18:Q37, "X")) &gt; 0, (COUNTIF(Q18:Q37, "✓") + COUNTIF(Q18:Q37, "✔") + COUNTIF(Q18:Q37, "v") + COUNTIF(Q18:Q37, "V")) / ((COUNTIF(Q18:Q37, "✓") + COUNTIF(Q18:Q37, "✔") + COUNTIF(Q18:Q37, "v") + COUNTIF(Q18:Q37, "V")) + COUNTIF(Q18:Q37, "✗") + COUNTIF(Q18:Q37, "x") + COUNTIF(Q18:Q37, "X")), "")</f>
        <v/>
      </c>
      <c r="R39" s="134">
        <f>IF(((COUNTIF(R18:R37, "✓") + COUNTIF(R18:R37, "✔") + COUNTIF(R18:R37, "v") + COUNTIF(R18:R37, "V")) + COUNTIF(R18:R37, "✗") + COUNTIF(R18:R37, "x") + COUNTIF(R18:R37, "X")) &gt; 0, (COUNTIF(R18:R37, "✓") + COUNTIF(R18:R37, "✔") + COUNTIF(R18:R37, "v") + COUNTIF(R18:R37, "V")) / ((COUNTIF(R18:R37, "✓") + COUNTIF(R18:R37, "✔") + COUNTIF(R18:R37, "v") + COUNTIF(R18:R37, "V")) + COUNTIF(R18:R37, "✗") + COUNTIF(R18:R37, "x") + COUNTIF(R18:R37, "X")), "")</f>
        <v/>
      </c>
      <c r="S39" s="134">
        <f>IF(((COUNTIF(S18:S37, "✓") + COUNTIF(S18:S37, "✔") + COUNTIF(S18:S37, "v") + COUNTIF(S18:S37, "V")) + COUNTIF(S18:S37, "✗") + COUNTIF(S18:S37, "x") + COUNTIF(S18:S37, "X")) &gt; 0, (COUNTIF(S18:S37, "✓") + COUNTIF(S18:S37, "✔") + COUNTIF(S18:S37, "v") + COUNTIF(S18:S37, "V")) / ((COUNTIF(S18:S37, "✓") + COUNTIF(S18:S37, "✔") + COUNTIF(S18:S37, "v") + COUNTIF(S18:S37, "V")) + COUNTIF(S18:S37, "✗") + COUNTIF(S18:S37, "x") + COUNTIF(S18:S37, "X")), "")</f>
        <v/>
      </c>
      <c r="T39" s="134">
        <f>IF(((COUNTIF(T18:T37, "✓") + COUNTIF(T18:T37, "✔") + COUNTIF(T18:T37, "v") + COUNTIF(T18:T37, "V")) + COUNTIF(T18:T37, "✗") + COUNTIF(T18:T37, "x") + COUNTIF(T18:T37, "X")) &gt; 0, (COUNTIF(T18:T37, "✓") + COUNTIF(T18:T37, "✔") + COUNTIF(T18:T37, "v") + COUNTIF(T18:T37, "V")) / ((COUNTIF(T18:T37, "✓") + COUNTIF(T18:T37, "✔") + COUNTIF(T18:T37, "v") + COUNTIF(T18:T37, "V")) + COUNTIF(T18:T37, "✗") + COUNTIF(T18:T37, "x") + COUNTIF(T18:T37, "X")), "")</f>
        <v/>
      </c>
      <c r="U39" s="134">
        <f>IF(((COUNTIF(U18:U37, "✓") + COUNTIF(U18:U37, "✔") + COUNTIF(U18:U37, "v") + COUNTIF(U18:U37, "V")) + COUNTIF(U18:U37, "✗") + COUNTIF(U18:U37, "x") + COUNTIF(U18:U37, "X")) &gt; 0, (COUNTIF(U18:U37, "✓") + COUNTIF(U18:U37, "✔") + COUNTIF(U18:U37, "v") + COUNTIF(U18:U37, "V")) / ((COUNTIF(U18:U37, "✓") + COUNTIF(U18:U37, "✔") + COUNTIF(U18:U37, "v") + COUNTIF(U18:U37, "V")) + COUNTIF(U18:U37, "✗") + COUNTIF(U18:U37, "x") + COUNTIF(U18:U37, "X")), "")</f>
        <v/>
      </c>
      <c r="V39" s="134">
        <f>IF(((COUNTIF(V18:V37, "✓") + COUNTIF(V18:V37, "✔") + COUNTIF(V18:V37, "v") + COUNTIF(V18:V37, "V")) + COUNTIF(V18:V37, "✗") + COUNTIF(V18:V37, "x") + COUNTIF(V18:V37, "X")) &gt; 0, (COUNTIF(V18:V37, "✓") + COUNTIF(V18:V37, "✔") + COUNTIF(V18:V37, "v") + COUNTIF(V18:V37, "V")) / ((COUNTIF(V18:V37, "✓") + COUNTIF(V18:V37, "✔") + COUNTIF(V18:V37, "v") + COUNTIF(V18:V37, "V")) + COUNTIF(V18:V37, "✗") + COUNTIF(V18:V37, "x") + COUNTIF(V18:V37, "X")), "")</f>
        <v/>
      </c>
      <c r="W39" s="134">
        <f>IF(((COUNTIF(W18:W37, "✓") + COUNTIF(W18:W37, "✔") + COUNTIF(W18:W37, "v") + COUNTIF(W18:W37, "V")) + COUNTIF(W18:W37, "✗") + COUNTIF(W18:W37, "x") + COUNTIF(W18:W37, "X")) &gt; 0, (COUNTIF(W18:W37, "✓") + COUNTIF(W18:W37, "✔") + COUNTIF(W18:W37, "v") + COUNTIF(W18:W37, "V")) / ((COUNTIF(W18:W37, "✓") + COUNTIF(W18:W37, "✔") + COUNTIF(W18:W37, "v") + COUNTIF(W18:W37, "V")) + COUNTIF(W18:W37, "✗") + COUNTIF(W18:W37, "x") + COUNTIF(W18:W37, "X")), "")</f>
        <v/>
      </c>
      <c r="X39" s="134">
        <f>IF(((COUNTIF(X18:X37, "✓") + COUNTIF(X18:X37, "✔") + COUNTIF(X18:X37, "v") + COUNTIF(X18:X37, "V")) + COUNTIF(X18:X37, "✗") + COUNTIF(X18:X37, "x") + COUNTIF(X18:X37, "X")) &gt; 0, (COUNTIF(X18:X37, "✓") + COUNTIF(X18:X37, "✔") + COUNTIF(X18:X37, "v") + COUNTIF(X18:X37, "V")) / ((COUNTIF(X18:X37, "✓") + COUNTIF(X18:X37, "✔") + COUNTIF(X18:X37, "v") + COUNTIF(X18:X37, "V")) + COUNTIF(X18:X37, "✗") + COUNTIF(X18:X37, "x") + COUNTIF(X18:X37, "X")), "")</f>
        <v/>
      </c>
      <c r="Y39" s="134">
        <f>IF(((COUNTIF(Y18:Y37, "✓") + COUNTIF(Y18:Y37, "✔") + COUNTIF(Y18:Y37, "v") + COUNTIF(Y18:Y37, "V")) + COUNTIF(Y18:Y37, "✗") + COUNTIF(Y18:Y37, "x") + COUNTIF(Y18:Y37, "X")) &gt; 0, (COUNTIF(Y18:Y37, "✓") + COUNTIF(Y18:Y37, "✔") + COUNTIF(Y18:Y37, "v") + COUNTIF(Y18:Y37, "V")) / ((COUNTIF(Y18:Y37, "✓") + COUNTIF(Y18:Y37, "✔") + COUNTIF(Y18:Y37, "v") + COUNTIF(Y18:Y37, "V")) + COUNTIF(Y18:Y37, "✗") + COUNTIF(Y18:Y37, "x") + COUNTIF(Y18:Y37, "X")), "")</f>
        <v/>
      </c>
      <c r="Z39" s="134">
        <f>IF(((COUNTIF(Z18:Z37, "✓") + COUNTIF(Z18:Z37, "✔") + COUNTIF(Z18:Z37, "v") + COUNTIF(Z18:Z37, "V")) + COUNTIF(Z18:Z37, "✗") + COUNTIF(Z18:Z37, "x") + COUNTIF(Z18:Z37, "X")) &gt; 0, (COUNTIF(Z18:Z37, "✓") + COUNTIF(Z18:Z37, "✔") + COUNTIF(Z18:Z37, "v") + COUNTIF(Z18:Z37, "V")) / ((COUNTIF(Z18:Z37, "✓") + COUNTIF(Z18:Z37, "✔") + COUNTIF(Z18:Z37, "v") + COUNTIF(Z18:Z37, "V")) + COUNTIF(Z18:Z37, "✗") + COUNTIF(Z18:Z37, "x") + COUNTIF(Z18:Z37, "X")), "")</f>
        <v/>
      </c>
      <c r="AA39" s="134">
        <f>IF(((COUNTIF(AA18:AA37, "✓") + COUNTIF(AA18:AA37, "✔") + COUNTIF(AA18:AA37, "v") + COUNTIF(AA18:AA37, "V")) + COUNTIF(AA18:AA37, "✗") + COUNTIF(AA18:AA37, "x") + COUNTIF(AA18:AA37, "X")) &gt; 0, (COUNTIF(AA18:AA37, "✓") + COUNTIF(AA18:AA37, "✔") + COUNTIF(AA18:AA37, "v") + COUNTIF(AA18:AA37, "V")) / ((COUNTIF(AA18:AA37, "✓") + COUNTIF(AA18:AA37, "✔") + COUNTIF(AA18:AA37, "v") + COUNTIF(AA18:AA37, "V")) + COUNTIF(AA18:AA37, "✗") + COUNTIF(AA18:AA37, "x") + COUNTIF(AA18:AA37, "X")), "")</f>
        <v/>
      </c>
      <c r="AB39" s="134">
        <f>IF(((COUNTIF(AB18:AB37, "✓") + COUNTIF(AB18:AB37, "✔") + COUNTIF(AB18:AB37, "v") + COUNTIF(AB18:AB37, "V")) + COUNTIF(AB18:AB37, "✗") + COUNTIF(AB18:AB37, "x") + COUNTIF(AB18:AB37, "X")) &gt; 0, (COUNTIF(AB18:AB37, "✓") + COUNTIF(AB18:AB37, "✔") + COUNTIF(AB18:AB37, "v") + COUNTIF(AB18:AB37, "V")) / ((COUNTIF(AB18:AB37, "✓") + COUNTIF(AB18:AB37, "✔") + COUNTIF(AB18:AB37, "v") + COUNTIF(AB18:AB37, "V")) + COUNTIF(AB18:AB37, "✗") + COUNTIF(AB18:AB37, "x") + COUNTIF(AB18:AB37, "X")), "")</f>
        <v/>
      </c>
      <c r="AC39" s="134">
        <f>IF(((COUNTIF(AC18:AC37, "✓") + COUNTIF(AC18:AC37, "✔") + COUNTIF(AC18:AC37, "v") + COUNTIF(AC18:AC37, "V")) + COUNTIF(AC18:AC37, "✗") + COUNTIF(AC18:AC37, "x") + COUNTIF(AC18:AC37, "X")) &gt; 0, (COUNTIF(AC18:AC37, "✓") + COUNTIF(AC18:AC37, "✔") + COUNTIF(AC18:AC37, "v") + COUNTIF(AC18:AC37, "V")) / ((COUNTIF(AC18:AC37, "✓") + COUNTIF(AC18:AC37, "✔") + COUNTIF(AC18:AC37, "v") + COUNTIF(AC18:AC37, "V")) + COUNTIF(AC18:AC37, "✗") + COUNTIF(AC18:AC37, "x") + COUNTIF(AC18:AC37, "X")), "")</f>
        <v/>
      </c>
      <c r="AD39" s="134">
        <f>IF(((COUNTIF(AD18:AD37, "✓") + COUNTIF(AD18:AD37, "✔") + COUNTIF(AD18:AD37, "v") + COUNTIF(AD18:AD37, "V")) + COUNTIF(AD18:AD37, "✗") + COUNTIF(AD18:AD37, "x") + COUNTIF(AD18:AD37, "X")) &gt; 0, (COUNTIF(AD18:AD37, "✓") + COUNTIF(AD18:AD37, "✔") + COUNTIF(AD18:AD37, "v") + COUNTIF(AD18:AD37, "V")) / ((COUNTIF(AD18:AD37, "✓") + COUNTIF(AD18:AD37, "✔") + COUNTIF(AD18:AD37, "v") + COUNTIF(AD18:AD37, "V")) + COUNTIF(AD18:AD37, "✗") + COUNTIF(AD18:AD37, "x") + COUNTIF(AD18:AD37, "X")), "")</f>
        <v/>
      </c>
      <c r="AE39" s="134">
        <f>IF(((COUNTIF(AE18:AE37, "✓") + COUNTIF(AE18:AE37, "✔") + COUNTIF(AE18:AE37, "v") + COUNTIF(AE18:AE37, "V")) + COUNTIF(AE18:AE37, "✗") + COUNTIF(AE18:AE37, "x") + COUNTIF(AE18:AE37, "X")) &gt; 0, (COUNTIF(AE18:AE37, "✓") + COUNTIF(AE18:AE37, "✔") + COUNTIF(AE18:AE37, "v") + COUNTIF(AE18:AE37, "V")) / ((COUNTIF(AE18:AE37, "✓") + COUNTIF(AE18:AE37, "✔") + COUNTIF(AE18:AE37, "v") + COUNTIF(AE18:AE37, "V")) + COUNTIF(AE18:AE37, "✗") + COUNTIF(AE18:AE37, "x") + COUNTIF(AE18:AE37, "X")), "")</f>
        <v/>
      </c>
      <c r="AF39" s="134">
        <f>IF(((COUNTIF(AF18:AF37, "✓") + COUNTIF(AF18:AF37, "✔") + COUNTIF(AF18:AF37, "v") + COUNTIF(AF18:AF37, "V")) + COUNTIF(AF18:AF37, "✗") + COUNTIF(AF18:AF37, "x") + COUNTIF(AF18:AF37, "X")) &gt; 0, (COUNTIF(AF18:AF37, "✓") + COUNTIF(AF18:AF37, "✔") + COUNTIF(AF18:AF37, "v") + COUNTIF(AF18:AF37, "V")) / ((COUNTIF(AF18:AF37, "✓") + COUNTIF(AF18:AF37, "✔") + COUNTIF(AF18:AF37, "v") + COUNTIF(AF18:AF37, "V")) + COUNTIF(AF18:AF37, "✗") + COUNTIF(AF18:AF37, "x") + COUNTIF(AF18:AF37, "X")), "")</f>
        <v/>
      </c>
      <c r="AG39" s="134">
        <f>IF(((COUNTIF(AG18:AG37, "✓") + COUNTIF(AG18:AG37, "✔") + COUNTIF(AG18:AG37, "v") + COUNTIF(AG18:AG37, "V")) + COUNTIF(AG18:AG37, "✗") + COUNTIF(AG18:AG37, "x") + COUNTIF(AG18:AG37, "X")) &gt; 0, (COUNTIF(AG18:AG37, "✓") + COUNTIF(AG18:AG37, "✔") + COUNTIF(AG18:AG37, "v") + COUNTIF(AG18:AG37, "V")) / ((COUNTIF(AG18:AG37, "✓") + COUNTIF(AG18:AG37, "✔") + COUNTIF(AG18:AG37, "v") + COUNTIF(AG18:AG37, "V")) + COUNTIF(AG18:AG37, "✗") + COUNTIF(AG18:AG37, "x") + COUNTIF(AG18:AG37, "X")), "")</f>
        <v/>
      </c>
      <c r="AH39" s="134">
        <f>IF(((COUNTIF(AH18:AH37, "✓") + COUNTIF(AH18:AH37, "✔") + COUNTIF(AH18:AH37, "v") + COUNTIF(AH18:AH37, "V")) + COUNTIF(AH18:AH37, "✗") + COUNTIF(AH18:AH37, "x") + COUNTIF(AH18:AH37, "X")) &gt; 0, (COUNTIF(AH18:AH37, "✓") + COUNTIF(AH18:AH37, "✔") + COUNTIF(AH18:AH37, "v") + COUNTIF(AH18:AH37, "V")) / ((COUNTIF(AH18:AH37, "✓") + COUNTIF(AH18:AH37, "✔") + COUNTIF(AH18:AH37, "v") + COUNTIF(AH18:AH37, "V")) + COUNTIF(AH18:AH37, "✗") + COUNTIF(AH18:AH37, "x") + COUNTIF(AH18:AH37, "X")), "")</f>
        <v/>
      </c>
      <c r="AI39" s="134">
        <f>IF(((COUNTIF(AI18:AI37, "✓") + COUNTIF(AI18:AI37, "✔") + COUNTIF(AI18:AI37, "v") + COUNTIF(AI18:AI37, "V")) + COUNTIF(AI18:AI37, "✗") + COUNTIF(AI18:AI37, "x") + COUNTIF(AI18:AI37, "X")) &gt; 0, (COUNTIF(AI18:AI37, "✓") + COUNTIF(AI18:AI37, "✔") + COUNTIF(AI18:AI37, "v") + COUNTIF(AI18:AI37, "V")) / ((COUNTIF(AI18:AI37, "✓") + COUNTIF(AI18:AI37, "✔") + COUNTIF(AI18:AI37, "v") + COUNTIF(AI18:AI37, "V")) + COUNTIF(AI18:AI37, "✗") + COUNTIF(AI18:AI37, "x") + COUNTIF(AI18:AI37, "X")), "")</f>
        <v/>
      </c>
      <c r="AJ39" s="133">
        <f>IF(COUNT(E39:AI39) &gt; 0, AVERAGE(E39:AI39), "")</f>
        <v/>
      </c>
      <c r="AK39" s="54" t="n"/>
      <c r="AL39" s="54" t="n"/>
    </row>
    <row r="40" ht="6" customHeight="1"/>
    <row r="41" ht="15" customHeight="1">
      <c r="A41" s="135" t="inlineStr">
        <is>
          <t>IF SUCCESS &lt; 80%, PUNISHMENT: ________________________________________________</t>
        </is>
      </c>
    </row>
    <row r="42" ht="15" customHeight="1">
      <c r="A42" s="136" t="inlineStr">
        <is>
          <t>IF SUCCESS &gt; 90%, REWARD: __________________________________________________</t>
        </is>
      </c>
    </row>
    <row r="43" ht="10" customHeight="1"/>
    <row r="44" ht="10" customHeight="1"/>
    <row r="45" ht="15" customHeight="1">
      <c r="A45" s="51" t="inlineStr">
        <is>
          <t>Sleep Tracking</t>
        </is>
      </c>
      <c r="B45" s="52" t="n"/>
      <c r="C45" s="52" t="n"/>
      <c r="D45" s="52" t="n"/>
      <c r="E45" s="137" t="n">
        <v>1</v>
      </c>
      <c r="F45" s="137" t="n">
        <v>2</v>
      </c>
      <c r="G45" s="137" t="n">
        <v>3</v>
      </c>
      <c r="H45" s="137" t="n">
        <v>4</v>
      </c>
      <c r="I45" s="137" t="n">
        <v>5</v>
      </c>
      <c r="J45" s="138" t="n">
        <v>6</v>
      </c>
      <c r="K45" s="137" t="n">
        <v>7</v>
      </c>
      <c r="L45" s="137" t="n">
        <v>8</v>
      </c>
      <c r="M45" s="137" t="n">
        <v>9</v>
      </c>
      <c r="N45" s="137" t="n">
        <v>10</v>
      </c>
      <c r="O45" s="137" t="n">
        <v>11</v>
      </c>
      <c r="P45" s="137" t="n">
        <v>12</v>
      </c>
      <c r="Q45" s="138" t="n">
        <v>13</v>
      </c>
      <c r="R45" s="137" t="n">
        <v>14</v>
      </c>
      <c r="S45" s="137" t="n">
        <v>15</v>
      </c>
      <c r="T45" s="137" t="n">
        <v>16</v>
      </c>
      <c r="U45" s="137" t="n">
        <v>17</v>
      </c>
      <c r="V45" s="137" t="n">
        <v>18</v>
      </c>
      <c r="W45" s="137" t="n">
        <v>19</v>
      </c>
      <c r="X45" s="138" t="n">
        <v>20</v>
      </c>
      <c r="Y45" s="137" t="n">
        <v>21</v>
      </c>
      <c r="Z45" s="137" t="n">
        <v>22</v>
      </c>
      <c r="AA45" s="137" t="n">
        <v>23</v>
      </c>
      <c r="AB45" s="137" t="n">
        <v>24</v>
      </c>
      <c r="AC45" s="137" t="n">
        <v>25</v>
      </c>
      <c r="AD45" s="137" t="n">
        <v>26</v>
      </c>
      <c r="AE45" s="138" t="n">
        <v>27</v>
      </c>
      <c r="AF45" s="137" t="n">
        <v>28</v>
      </c>
      <c r="AG45" s="137" t="n">
        <v>29</v>
      </c>
      <c r="AH45" s="137" t="n">
        <v>30</v>
      </c>
      <c r="AI45" s="137" t="n">
        <v>31</v>
      </c>
    </row>
    <row r="46" ht="15" customHeight="1">
      <c r="A46" s="52" t="n"/>
      <c r="B46" s="52" t="n"/>
      <c r="C46" s="52" t="n"/>
      <c r="D46" s="52" t="n"/>
      <c r="E46" s="139" t="inlineStr">
        <is>
          <t>T</t>
        </is>
      </c>
      <c r="F46" s="139" t="inlineStr">
        <is>
          <t>W</t>
        </is>
      </c>
      <c r="G46" s="139" t="inlineStr">
        <is>
          <t>Th</t>
        </is>
      </c>
      <c r="H46" s="139" t="inlineStr">
        <is>
          <t>F</t>
        </is>
      </c>
      <c r="I46" s="139" t="inlineStr">
        <is>
          <t>Sa</t>
        </is>
      </c>
      <c r="J46" s="140" t="inlineStr">
        <is>
          <t>Su</t>
        </is>
      </c>
      <c r="K46" s="139" t="inlineStr">
        <is>
          <t>M</t>
        </is>
      </c>
      <c r="L46" s="139" t="inlineStr">
        <is>
          <t>T</t>
        </is>
      </c>
      <c r="M46" s="139" t="inlineStr">
        <is>
          <t>W</t>
        </is>
      </c>
      <c r="N46" s="139" t="inlineStr">
        <is>
          <t>Th</t>
        </is>
      </c>
      <c r="O46" s="139" t="inlineStr">
        <is>
          <t>F</t>
        </is>
      </c>
      <c r="P46" s="139" t="inlineStr">
        <is>
          <t>Sa</t>
        </is>
      </c>
      <c r="Q46" s="140" t="inlineStr">
        <is>
          <t>Su</t>
        </is>
      </c>
      <c r="R46" s="139" t="inlineStr">
        <is>
          <t>M</t>
        </is>
      </c>
      <c r="S46" s="139" t="inlineStr">
        <is>
          <t>T</t>
        </is>
      </c>
      <c r="T46" s="139" t="inlineStr">
        <is>
          <t>W</t>
        </is>
      </c>
      <c r="U46" s="139" t="inlineStr">
        <is>
          <t>Th</t>
        </is>
      </c>
      <c r="V46" s="139" t="inlineStr">
        <is>
          <t>F</t>
        </is>
      </c>
      <c r="W46" s="139" t="inlineStr">
        <is>
          <t>Sa</t>
        </is>
      </c>
      <c r="X46" s="140" t="inlineStr">
        <is>
          <t>Su</t>
        </is>
      </c>
      <c r="Y46" s="139" t="inlineStr">
        <is>
          <t>M</t>
        </is>
      </c>
      <c r="Z46" s="139" t="inlineStr">
        <is>
          <t>T</t>
        </is>
      </c>
      <c r="AA46" s="139" t="inlineStr">
        <is>
          <t>W</t>
        </is>
      </c>
      <c r="AB46" s="139" t="inlineStr">
        <is>
          <t>Th</t>
        </is>
      </c>
      <c r="AC46" s="139" t="inlineStr">
        <is>
          <t>F</t>
        </is>
      </c>
      <c r="AD46" s="139" t="inlineStr">
        <is>
          <t>Sa</t>
        </is>
      </c>
      <c r="AE46" s="140" t="inlineStr">
        <is>
          <t>Su</t>
        </is>
      </c>
      <c r="AF46" s="139" t="inlineStr">
        <is>
          <t>M</t>
        </is>
      </c>
      <c r="AG46" s="139" t="inlineStr">
        <is>
          <t>T</t>
        </is>
      </c>
      <c r="AH46" s="139" t="inlineStr">
        <is>
          <t>W</t>
        </is>
      </c>
      <c r="AI46" s="139" t="inlineStr">
        <is>
          <t>Th</t>
        </is>
      </c>
    </row>
    <row r="47" ht="20" customHeight="1">
      <c r="A47" s="141" t="inlineStr">
        <is>
          <t>Sleep Hours (1-24)</t>
        </is>
      </c>
      <c r="B47" s="142" t="n"/>
      <c r="C47" s="142" t="n"/>
      <c r="D47" s="142" t="n"/>
      <c r="E47" s="143" t="n"/>
      <c r="F47" s="143" t="n"/>
      <c r="G47" s="143" t="n"/>
      <c r="H47" s="143" t="n"/>
      <c r="I47" s="143" t="n"/>
      <c r="J47" s="144" t="n"/>
      <c r="K47" s="143" t="n"/>
      <c r="L47" s="143" t="n"/>
      <c r="M47" s="143" t="n"/>
      <c r="N47" s="143" t="n"/>
      <c r="O47" s="143" t="n"/>
      <c r="P47" s="143" t="n"/>
      <c r="Q47" s="144" t="n"/>
      <c r="R47" s="143" t="n"/>
      <c r="S47" s="143" t="n"/>
      <c r="T47" s="143" t="n"/>
      <c r="U47" s="143" t="n"/>
      <c r="V47" s="143" t="n"/>
      <c r="W47" s="143" t="n"/>
      <c r="X47" s="144" t="n"/>
      <c r="Y47" s="143" t="n"/>
      <c r="Z47" s="143" t="n"/>
      <c r="AA47" s="143" t="n"/>
      <c r="AB47" s="143" t="n"/>
      <c r="AC47" s="143" t="n"/>
      <c r="AD47" s="143" t="n"/>
      <c r="AE47" s="144" t="n"/>
      <c r="AF47" s="143" t="n"/>
      <c r="AG47" s="143" t="n"/>
      <c r="AH47" s="143" t="n"/>
      <c r="AI47" s="143" t="n"/>
    </row>
    <row r="48" ht="6" customHeight="1"/>
    <row r="49" ht="14" customHeight="1"/>
    <row r="50" ht="14" customHeight="1"/>
    <row r="51" ht="14" customHeight="1"/>
    <row r="52" ht="14" customHeight="1"/>
    <row r="53" ht="14" customHeight="1"/>
    <row r="54" ht="14" customHeight="1"/>
    <row r="55" ht="14" customHeight="1"/>
    <row r="56" ht="14" customHeight="1"/>
    <row r="57" ht="14" customHeight="1"/>
    <row r="58" ht="14" customHeight="1"/>
    <row r="59" ht="14" customHeight="1"/>
    <row r="60" ht="14" customHeight="1"/>
    <row r="61" ht="14" customHeight="1"/>
    <row r="62" ht="14" customHeight="1"/>
    <row r="63" ht="14" customHeight="1"/>
    <row r="64" ht="14" customHeight="1"/>
    <row r="65" ht="14" customHeight="1"/>
    <row r="66" ht="8" customHeight="1"/>
    <row r="67">
      <c r="A67" s="145" t="inlineStr">
        <is>
          <t>MONTHLY SUCCESS RATE</t>
        </is>
      </c>
      <c r="B67" s="9" t="n"/>
      <c r="C67" s="9" t="n"/>
      <c r="D67" s="9" t="n"/>
      <c r="F67" s="146" t="inlineStr">
        <is>
          <t>ACTIVE PROTOCOLS</t>
        </is>
      </c>
      <c r="G67" s="11" t="n"/>
      <c r="H67" s="11" t="n"/>
      <c r="I67" s="11" t="n"/>
      <c r="K67" s="147" t="inlineStr">
        <is>
          <t>PERFECT DAYS (100%)</t>
        </is>
      </c>
      <c r="L67" s="13" t="n"/>
      <c r="M67" s="13" t="n"/>
      <c r="N67" s="13" t="n"/>
      <c r="P67" s="148" t="inlineStr">
        <is>
          <t>AVG SLEEP DURATION</t>
        </is>
      </c>
      <c r="Q67" s="15" t="n"/>
      <c r="R67" s="15" t="n"/>
      <c r="S67" s="15" t="n"/>
    </row>
    <row r="68">
      <c r="A68" s="149">
        <f>IF(SUM(D18:D37)&gt;0, SUM(AM18:AM37)/SUM(D18:D37), 0)</f>
        <v/>
      </c>
      <c r="B68" s="9" t="n"/>
      <c r="C68" s="9" t="n"/>
      <c r="D68" s="9" t="n"/>
      <c r="F68" s="150">
        <f>COUNTA(B18:B37) &amp; " / 20"</f>
        <v/>
      </c>
      <c r="G68" s="11" t="n"/>
      <c r="H68" s="11" t="n"/>
      <c r="I68" s="11" t="n"/>
      <c r="K68" s="151">
        <f>COUNTIF(E39:AI39, 1) &amp; " Days"</f>
        <v/>
      </c>
      <c r="L68" s="13" t="n"/>
      <c r="M68" s="13" t="n"/>
      <c r="N68" s="13" t="n"/>
      <c r="P68" s="152">
        <f>IFERROR(TEXT(AVERAGE(E47:AI47), "0.0") &amp; " hrs", "-")</f>
        <v/>
      </c>
      <c r="Q68" s="15" t="n"/>
      <c r="R68" s="15" t="n"/>
      <c r="S68" s="15" t="n"/>
    </row>
    <row r="69">
      <c r="A69" s="9" t="n"/>
      <c r="B69" s="9" t="n"/>
      <c r="C69" s="9" t="n"/>
      <c r="D69" s="9" t="n"/>
      <c r="F69" s="11" t="n"/>
      <c r="G69" s="11" t="n"/>
      <c r="H69" s="11" t="n"/>
      <c r="I69" s="11" t="n"/>
      <c r="K69" s="13" t="n"/>
      <c r="L69" s="13" t="n"/>
      <c r="M69" s="13" t="n"/>
      <c r="N69" s="13" t="n"/>
      <c r="P69" s="15" t="n"/>
      <c r="Q69" s="15" t="n"/>
      <c r="R69" s="15" t="n"/>
      <c r="S69" s="15" t="n"/>
    </row>
    <row r="70">
      <c r="A70" s="9" t="n"/>
      <c r="B70" s="9" t="n"/>
      <c r="C70" s="9" t="n"/>
      <c r="D70" s="9" t="n"/>
      <c r="F70" s="11" t="n"/>
      <c r="G70" s="11" t="n"/>
      <c r="H70" s="11" t="n"/>
      <c r="I70" s="11" t="n"/>
      <c r="K70" s="13" t="n"/>
      <c r="L70" s="13" t="n"/>
      <c r="M70" s="13" t="n"/>
      <c r="N70" s="13" t="n"/>
      <c r="P70" s="15" t="n"/>
      <c r="Q70" s="15" t="n"/>
      <c r="R70" s="15" t="n"/>
      <c r="S70" s="15" t="n"/>
    </row>
    <row r="71">
      <c r="A71" s="153" t="inlineStr">
        <is>
          <t>Target Completion</t>
        </is>
      </c>
      <c r="B71" s="9" t="n"/>
      <c r="C71" s="9" t="n"/>
      <c r="D71" s="9" t="n"/>
      <c r="F71" s="154" t="inlineStr">
        <is>
          <t>Habits Tracked</t>
        </is>
      </c>
      <c r="G71" s="11" t="n"/>
      <c r="H71" s="11" t="n"/>
      <c r="I71" s="11" t="n"/>
      <c r="K71" s="155" t="inlineStr">
        <is>
          <t>All Marked Habits Completed</t>
        </is>
      </c>
      <c r="L71" s="13" t="n"/>
      <c r="M71" s="13" t="n"/>
      <c r="N71" s="13" t="n"/>
      <c r="P71" s="156" t="inlineStr">
        <is>
          <t>Nightly Rest Average</t>
        </is>
      </c>
      <c r="Q71" s="15" t="n"/>
      <c r="R71" s="15" t="n"/>
      <c r="S71" s="15" t="n"/>
    </row>
    <row r="72" ht="8" customHeight="1"/>
    <row r="73" ht="6" customHeight="1"/>
    <row r="74">
      <c r="A74" s="67" t="inlineStr">
        <is>
          <t>WEEKLY PERFORMANCE (SLUMP DETECTOR)</t>
        </is>
      </c>
      <c r="B74" s="29" t="n"/>
      <c r="C74" s="29" t="n"/>
      <c r="D74" s="29" t="n"/>
      <c r="E74" s="29" t="n"/>
      <c r="N74" s="157" t="inlineStr">
        <is>
          <t>LIFE DOMAIN / CATEGORY BREAKDOWN</t>
        </is>
      </c>
      <c r="O74" s="158" t="n"/>
      <c r="P74" s="158" t="n"/>
      <c r="Q74" s="158" t="n"/>
      <c r="R74" s="158" t="n"/>
      <c r="S74" s="158" t="n"/>
    </row>
    <row r="75" ht="15" customHeight="1">
      <c r="A75" s="53" t="inlineStr">
        <is>
          <t>Week</t>
        </is>
      </c>
      <c r="B75" s="53" t="inlineStr">
        <is>
          <t>Days Range</t>
        </is>
      </c>
      <c r="C75" s="53" t="inlineStr">
        <is>
          <t>Checks Done</t>
        </is>
      </c>
      <c r="D75" s="53" t="inlineStr">
        <is>
          <t>Evaluated</t>
        </is>
      </c>
      <c r="E75" s="53" t="inlineStr">
        <is>
          <t>Success %</t>
        </is>
      </c>
      <c r="N75" s="53" t="inlineStr">
        <is>
          <t>Domain / Category</t>
        </is>
      </c>
      <c r="O75" s="54" t="n"/>
      <c r="P75" s="53" t="inlineStr">
        <is>
          <t>Active Habits</t>
        </is>
      </c>
      <c r="Q75" s="53" t="inlineStr">
        <is>
          <t>Target Days</t>
        </is>
      </c>
      <c r="R75" s="53" t="inlineStr">
        <is>
          <t>Done Checks</t>
        </is>
      </c>
      <c r="S75" s="53" t="inlineStr">
        <is>
          <t>Success %</t>
        </is>
      </c>
    </row>
    <row r="76" ht="14" customHeight="1">
      <c r="A76" s="33" t="inlineStr">
        <is>
          <t>Week 1</t>
        </is>
      </c>
      <c r="B76" s="34" t="inlineStr">
        <is>
          <t>Days 1 - 7</t>
        </is>
      </c>
      <c r="C76" s="34">
        <f>COUNTIF(E18:K37, "✓")</f>
        <v/>
      </c>
      <c r="D76" s="34">
        <f>COUNTIF(E18:K37, "✓") + COUNTIF(E18:K37, "✗")</f>
        <v/>
      </c>
      <c r="E76" s="35">
        <f>IFERROR(C76/D76, 0)</f>
        <v/>
      </c>
      <c r="N76" s="60" t="inlineStr">
        <is>
          <t>Health &amp; Fitness</t>
        </is>
      </c>
      <c r="O76" s="54" t="n"/>
      <c r="P76" s="34">
        <f>COUNTIF($C$18:$C$37, "Health &amp; Fitness")</f>
        <v/>
      </c>
      <c r="Q76" s="34">
        <f>SUMIF($C$18:$C$37, "Health &amp; Fitness", $D$18:$D$37)</f>
        <v/>
      </c>
      <c r="R76" s="34">
        <f>SUMIF($C$18:$C$37, "Health &amp; Fitness", $AM$18:$AM$37)</f>
        <v/>
      </c>
      <c r="S76" s="35">
        <f>IFERROR(R76/Q76, 0)</f>
        <v/>
      </c>
    </row>
    <row r="77" ht="14" customHeight="1">
      <c r="A77" s="33" t="inlineStr">
        <is>
          <t>Week 2</t>
        </is>
      </c>
      <c r="B77" s="34" t="inlineStr">
        <is>
          <t>Days 8 - 14</t>
        </is>
      </c>
      <c r="C77" s="34">
        <f>COUNTIF(L18:R37, "✓")</f>
        <v/>
      </c>
      <c r="D77" s="34">
        <f>COUNTIF(L18:R37, "✓") + COUNTIF(L18:R37, "✗")</f>
        <v/>
      </c>
      <c r="E77" s="35">
        <f>IFERROR(C77/D77, 0)</f>
        <v/>
      </c>
      <c r="N77" s="60" t="inlineStr">
        <is>
          <t>Mindset &amp; Learning</t>
        </is>
      </c>
      <c r="O77" s="54" t="n"/>
      <c r="P77" s="34">
        <f>COUNTIF($C$18:$C$37, "Mindset &amp; Learning")</f>
        <v/>
      </c>
      <c r="Q77" s="34">
        <f>SUMIF($C$18:$C$37, "Mindset &amp; Learning", $D$18:$D$37)</f>
        <v/>
      </c>
      <c r="R77" s="34">
        <f>SUMIF($C$18:$C$37, "Mindset &amp; Learning", $AM$18:$AM$37)</f>
        <v/>
      </c>
      <c r="S77" s="35">
        <f>IFERROR(R77/Q77, 0)</f>
        <v/>
      </c>
    </row>
    <row r="78" ht="14" customHeight="1">
      <c r="A78" s="33" t="inlineStr">
        <is>
          <t>Week 3</t>
        </is>
      </c>
      <c r="B78" s="34" t="inlineStr">
        <is>
          <t>Days 15 - 21</t>
        </is>
      </c>
      <c r="C78" s="34">
        <f>COUNTIF(S18:Y37, "✓")</f>
        <v/>
      </c>
      <c r="D78" s="34">
        <f>COUNTIF(S18:Y37, "✓") + COUNTIF(S18:Y37, "✗")</f>
        <v/>
      </c>
      <c r="E78" s="35">
        <f>IFERROR(C78/D78, 0)</f>
        <v/>
      </c>
      <c r="N78" s="60" t="inlineStr">
        <is>
          <t>Career &amp; Focus</t>
        </is>
      </c>
      <c r="O78" s="54" t="n"/>
      <c r="P78" s="34">
        <f>COUNTIF($C$18:$C$37, "Career &amp; Focus")</f>
        <v/>
      </c>
      <c r="Q78" s="34">
        <f>SUMIF($C$18:$C$37, "Career &amp; Focus", $D$18:$D$37)</f>
        <v/>
      </c>
      <c r="R78" s="34">
        <f>SUMIF($C$18:$C$37, "Career &amp; Focus", $AM$18:$AM$37)</f>
        <v/>
      </c>
      <c r="S78" s="35">
        <f>IFERROR(R78/Q78, 0)</f>
        <v/>
      </c>
    </row>
    <row r="79" ht="14" customHeight="1">
      <c r="A79" s="33" t="inlineStr">
        <is>
          <t>Week 4</t>
        </is>
      </c>
      <c r="B79" s="34" t="inlineStr">
        <is>
          <t>Days 22 - 28</t>
        </is>
      </c>
      <c r="C79" s="34">
        <f>COUNTIF(Z18:AF37, "✓")</f>
        <v/>
      </c>
      <c r="D79" s="34">
        <f>COUNTIF(Z18:AF37, "✓") + COUNTIF(Z18:AF37, "✗")</f>
        <v/>
      </c>
      <c r="E79" s="35">
        <f>IFERROR(C79/D79, 0)</f>
        <v/>
      </c>
      <c r="N79" s="60" t="inlineStr">
        <is>
          <t>Personal &amp; Home</t>
        </is>
      </c>
      <c r="O79" s="54" t="n"/>
      <c r="P79" s="34">
        <f>COUNTIF($C$18:$C$37, "Personal &amp; Home")</f>
        <v/>
      </c>
      <c r="Q79" s="34">
        <f>SUMIF($C$18:$C$37, "Personal &amp; Home", $D$18:$D$37)</f>
        <v/>
      </c>
      <c r="R79" s="34">
        <f>SUMIF($C$18:$C$37, "Personal &amp; Home", $AM$18:$AM$37)</f>
        <v/>
      </c>
      <c r="S79" s="35">
        <f>IFERROR(R79/Q79, 0)</f>
        <v/>
      </c>
    </row>
    <row r="80" ht="14" customHeight="1">
      <c r="A80" s="33" t="inlineStr">
        <is>
          <t>Week 5</t>
        </is>
      </c>
      <c r="B80" s="34" t="inlineStr">
        <is>
          <t>Days 29 - 31</t>
        </is>
      </c>
      <c r="C80" s="34">
        <f>COUNTIF(AG18:AI37, "✓")</f>
        <v/>
      </c>
      <c r="D80" s="34">
        <f>COUNTIF(AG18:AI37, "✓") + COUNTIF(AG18:AI37, "✗")</f>
        <v/>
      </c>
      <c r="E80" s="35">
        <f>IFERROR(C80/D80, 0)</f>
        <v/>
      </c>
      <c r="N80" s="60" t="inlineStr">
        <is>
          <t>Finance &amp; Wealth</t>
        </is>
      </c>
      <c r="O80" s="54" t="n"/>
      <c r="P80" s="34">
        <f>COUNTIF($C$18:$C$37, "Finance &amp; Wealth")</f>
        <v/>
      </c>
      <c r="Q80" s="34">
        <f>SUMIF($C$18:$C$37, "Finance &amp; Wealth", $D$18:$D$37)</f>
        <v/>
      </c>
      <c r="R80" s="34">
        <f>SUMIF($C$18:$C$37, "Finance &amp; Wealth", $AM$18:$AM$37)</f>
        <v/>
      </c>
      <c r="S80" s="35">
        <f>IFERROR(R80/Q80, 0)</f>
        <v/>
      </c>
    </row>
    <row r="81" ht="14" customHeight="1">
      <c r="A81" s="33" t="inlineStr">
        <is>
          <t>Total / Avg</t>
        </is>
      </c>
      <c r="B81" s="159" t="inlineStr">
        <is>
          <t>Month Total</t>
        </is>
      </c>
      <c r="C81" s="33">
        <f>SUM(C76:C80)</f>
        <v/>
      </c>
      <c r="D81" s="33">
        <f>SUM(D76:D80)</f>
        <v/>
      </c>
      <c r="E81" s="133">
        <f>IFERROR(C81/D81, 0)</f>
        <v/>
      </c>
    </row>
    <row r="82" ht="10" customHeight="1"/>
    <row r="83" ht="10" customHeight="1"/>
    <row r="84">
      <c r="A84" s="51" t="inlineStr">
        <is>
          <t>SLEEP &amp; PRODUCTIVITY CORRELATION ANALYSIS</t>
        </is>
      </c>
      <c r="B84" s="52" t="n"/>
      <c r="C84" s="52" t="n"/>
      <c r="D84" s="52" t="n"/>
      <c r="E84" s="52" t="n"/>
      <c r="F84" s="52" t="n"/>
      <c r="G84" s="52" t="n"/>
      <c r="H84" s="52" t="n"/>
      <c r="I84" s="52" t="n"/>
      <c r="J84" s="52" t="n"/>
      <c r="K84" s="52" t="n"/>
      <c r="L84" s="52" t="n"/>
      <c r="M84" s="52" t="n"/>
      <c r="N84" s="52" t="n"/>
      <c r="O84" s="52" t="n"/>
      <c r="P84" s="52" t="n"/>
      <c r="Q84" s="52" t="n"/>
      <c r="R84" s="52" t="n"/>
      <c r="S84" s="52" t="n"/>
      <c r="T84" s="52" t="n"/>
      <c r="U84" s="52" t="n"/>
      <c r="V84" s="52" t="n"/>
      <c r="W84" s="52" t="n"/>
      <c r="X84" s="52" t="n"/>
      <c r="Y84" s="52" t="n"/>
      <c r="Z84" s="52" t="n"/>
      <c r="AA84" s="52" t="n"/>
      <c r="AB84" s="52" t="n"/>
      <c r="AC84" s="52" t="n"/>
      <c r="AD84" s="52" t="n"/>
      <c r="AE84" s="52" t="n"/>
      <c r="AF84" s="52" t="n"/>
      <c r="AG84" s="52" t="n"/>
      <c r="AH84" s="52" t="n"/>
      <c r="AI84" s="52" t="n"/>
      <c r="AJ84" s="52" t="n"/>
      <c r="AK84" s="52" t="n"/>
      <c r="AL84" s="52" t="n"/>
    </row>
    <row r="85" ht="15" customHeight="1">
      <c r="A85" s="53" t="inlineStr">
        <is>
          <t>Rest Category</t>
        </is>
      </c>
      <c r="B85" s="54" t="n"/>
      <c r="C85" s="54" t="n"/>
      <c r="D85" s="53" t="inlineStr">
        <is>
          <t>Day Criteria</t>
        </is>
      </c>
      <c r="E85" s="54" t="n"/>
      <c r="F85" s="54" t="n"/>
      <c r="G85" s="53" t="inlineStr">
        <is>
          <t>Days Logged</t>
        </is>
      </c>
      <c r="H85" s="54" t="n"/>
      <c r="I85" s="54" t="n"/>
      <c r="J85" s="53" t="inlineStr">
        <is>
          <t>Avg Sleep Duration</t>
        </is>
      </c>
      <c r="K85" s="54" t="n"/>
      <c r="L85" s="54" t="n"/>
      <c r="M85" s="54" t="n"/>
      <c r="N85" s="53" t="inlineStr">
        <is>
          <t>Avg Habit Success %</t>
        </is>
      </c>
      <c r="O85" s="54" t="n"/>
      <c r="P85" s="54" t="n"/>
      <c r="Q85" s="54" t="n"/>
      <c r="R85" s="53" t="inlineStr">
        <is>
          <t>Productivity Delta</t>
        </is>
      </c>
      <c r="S85" s="54" t="n"/>
      <c r="T85" s="54" t="n"/>
      <c r="U85" s="54" t="n"/>
    </row>
    <row r="86" ht="15" customHeight="1">
      <c r="A86" s="160" t="inlineStr">
        <is>
          <t>Optimal Rest</t>
        </is>
      </c>
      <c r="B86" s="161" t="n"/>
      <c r="C86" s="56" t="n"/>
      <c r="D86" s="34" t="inlineStr">
        <is>
          <t>&gt;= 7 Hours / Night</t>
        </is>
      </c>
      <c r="E86" s="161" t="n"/>
      <c r="F86" s="56" t="n"/>
      <c r="G86" s="33">
        <f>COUNTIF(E47:AI47, "&gt;=7")</f>
        <v/>
      </c>
      <c r="H86" s="161" t="n"/>
      <c r="I86" s="56" t="n"/>
      <c r="J86" s="34">
        <f>IFERROR(TEXT(AVERAGEIF(E47:AI47, "&gt;=7"), "0.0") &amp; " hrs", "-")</f>
        <v/>
      </c>
      <c r="K86" s="161" t="n"/>
      <c r="L86" s="161" t="n"/>
      <c r="M86" s="56" t="n"/>
      <c r="N86" s="42">
        <f>IFERROR(AVERAGEIFS(E39:AI39, E47:AI47, "&gt;=7", E39:AI39, "&gt;0"), 0)</f>
        <v/>
      </c>
      <c r="O86" s="161" t="n"/>
      <c r="P86" s="161" t="n"/>
      <c r="Q86" s="56" t="n"/>
      <c r="R86" s="159" t="inlineStr">
        <is>
          <t>Baseline (Target)</t>
        </is>
      </c>
      <c r="S86" s="161" t="n"/>
      <c r="T86" s="161" t="n"/>
      <c r="U86" s="56" t="n"/>
    </row>
    <row r="87" ht="15" customHeight="1">
      <c r="A87" s="162" t="inlineStr">
        <is>
          <t>Sleep Deficit</t>
        </is>
      </c>
      <c r="B87" s="161" t="n"/>
      <c r="C87" s="56" t="n"/>
      <c r="D87" s="34" t="inlineStr">
        <is>
          <t>&lt; 7 Hours / Night</t>
        </is>
      </c>
      <c r="E87" s="161" t="n"/>
      <c r="F87" s="56" t="n"/>
      <c r="G87" s="33">
        <f>COUNTIF(E47:AI47, "&lt;7") - COUNTIF(E47:AI47, "")</f>
        <v/>
      </c>
      <c r="H87" s="161" t="n"/>
      <c r="I87" s="56" t="n"/>
      <c r="J87" s="34">
        <f>IFERROR(TEXT(AVERAGEIFS(E47:AI47, E47:AI47, "&lt;7", E47:AI47, "&gt;0"), "0.0") &amp; " hrs", "-")</f>
        <v/>
      </c>
      <c r="K87" s="161" t="n"/>
      <c r="L87" s="161" t="n"/>
      <c r="M87" s="56" t="n"/>
      <c r="N87" s="163">
        <f>IFERROR(AVERAGEIFS(E39:AI39, E47:AI47, "&lt;7", E39:AI39, "&gt;0"), 0)</f>
        <v/>
      </c>
      <c r="O87" s="161" t="n"/>
      <c r="P87" s="161" t="n"/>
      <c r="Q87" s="56" t="n"/>
      <c r="R87" s="160">
        <f>IFERROR(TEXT(N86 - N87, "+0.0%;-0.0%;0.0%") &amp; " Rest Advantage", "-")</f>
        <v/>
      </c>
      <c r="S87" s="161" t="n"/>
      <c r="T87" s="161" t="n"/>
      <c r="U87" s="56" t="n"/>
    </row>
    <row r="88" ht="18" customHeight="1">
      <c r="A88" s="164">
        <f>IF(AND(ISNUMBER(N86), ISNUMBER(N87), N86&gt;0, N87&gt;0), "💡 Sleep Correlation Insight: You complete " &amp; TEXT(ABS(N86-N87), "0.0%") &amp; IF(N86&gt;=N87, " MORE habits on days with 7+ hours of sleep!", " fewer habits on days with 7+ hours of sleep."), "💡 Log both habits and sleep hours daily to unlock automatic AI correlation insights!")</f>
        <v/>
      </c>
      <c r="B88" s="161" t="n"/>
      <c r="C88" s="161" t="n"/>
      <c r="D88" s="161" t="n"/>
      <c r="E88" s="161" t="n"/>
      <c r="F88" s="161" t="n"/>
      <c r="G88" s="161" t="n"/>
      <c r="H88" s="161" t="n"/>
      <c r="I88" s="161" t="n"/>
      <c r="J88" s="161" t="n"/>
      <c r="K88" s="161" t="n"/>
      <c r="L88" s="161" t="n"/>
      <c r="M88" s="161" t="n"/>
      <c r="N88" s="161" t="n"/>
      <c r="O88" s="161" t="n"/>
      <c r="P88" s="161" t="n"/>
      <c r="Q88" s="161" t="n"/>
      <c r="R88" s="161" t="n"/>
      <c r="S88" s="161" t="n"/>
      <c r="T88" s="161" t="n"/>
      <c r="U88" s="161" t="n"/>
      <c r="V88" s="161" t="n"/>
      <c r="W88" s="161" t="n"/>
      <c r="X88" s="161" t="n"/>
      <c r="Y88" s="161" t="n"/>
      <c r="Z88" s="161" t="n"/>
      <c r="AA88" s="161" t="n"/>
      <c r="AB88" s="161" t="n"/>
      <c r="AC88" s="161" t="n"/>
      <c r="AD88" s="161" t="n"/>
      <c r="AE88" s="161" t="n"/>
      <c r="AF88" s="161" t="n"/>
      <c r="AG88" s="161" t="n"/>
      <c r="AH88" s="161" t="n"/>
      <c r="AI88" s="161" t="n"/>
      <c r="AJ88" s="161" t="n"/>
      <c r="AK88" s="161" t="n"/>
      <c r="AL88" s="56" t="n"/>
    </row>
    <row r="89" ht="10" customHeight="1"/>
    <row r="90">
      <c r="A90" s="43" t="inlineStr">
        <is>
          <t>STANDARDIZED DATA BRIDGE (FOR ANNUAL &amp; QUARTERLY REVIEW SHEETS)</t>
        </is>
      </c>
      <c r="B90" s="44" t="n"/>
      <c r="C90" s="44" t="n"/>
      <c r="D90" s="44" t="n"/>
      <c r="E90" s="44" t="n"/>
      <c r="F90" s="44" t="n"/>
      <c r="G90" s="44" t="n"/>
      <c r="H90" s="44" t="n"/>
      <c r="I90" s="44" t="n"/>
      <c r="J90" s="44" t="n"/>
      <c r="K90" s="44" t="n"/>
      <c r="L90" s="44" t="n"/>
      <c r="M90" s="44" t="n"/>
      <c r="N90" s="44" t="n"/>
      <c r="O90" s="44" t="n"/>
      <c r="P90" s="44" t="n"/>
      <c r="Q90" s="44" t="n"/>
      <c r="R90" s="44" t="n"/>
      <c r="S90" s="44" t="n"/>
      <c r="T90" s="44" t="n"/>
      <c r="U90" s="44" t="n"/>
      <c r="V90" s="44" t="n"/>
      <c r="W90" s="44" t="n"/>
      <c r="X90" s="44" t="n"/>
      <c r="Y90" s="44" t="n"/>
      <c r="Z90" s="44" t="n"/>
      <c r="AA90" s="44" t="n"/>
      <c r="AB90" s="44" t="n"/>
      <c r="AC90" s="44" t="n"/>
      <c r="AD90" s="44" t="n"/>
      <c r="AE90" s="44" t="n"/>
      <c r="AF90" s="44" t="n"/>
      <c r="AG90" s="44" t="n"/>
      <c r="AH90" s="44" t="n"/>
      <c r="AI90" s="44" t="n"/>
      <c r="AJ90" s="44" t="n"/>
      <c r="AK90" s="44" t="n"/>
      <c r="AL90" s="44" t="n"/>
    </row>
    <row r="91" ht="15" customHeight="1">
      <c r="A91" s="53" t="inlineStr">
        <is>
          <t>Month</t>
        </is>
      </c>
      <c r="B91" s="54" t="n"/>
      <c r="C91" s="53" t="inlineStr">
        <is>
          <t>Year</t>
        </is>
      </c>
      <c r="D91" s="54" t="n"/>
      <c r="E91" s="53" t="inlineStr">
        <is>
          <t>Active Habits</t>
        </is>
      </c>
      <c r="F91" s="54" t="n"/>
      <c r="G91" s="53" t="inlineStr">
        <is>
          <t>Target Days</t>
        </is>
      </c>
      <c r="H91" s="54" t="n"/>
      <c r="I91" s="53" t="inlineStr">
        <is>
          <t>Done Checks</t>
        </is>
      </c>
      <c r="J91" s="54" t="n"/>
      <c r="K91" s="53" t="inlineStr">
        <is>
          <t>Success %</t>
        </is>
      </c>
      <c r="L91" s="54" t="n"/>
      <c r="M91" s="53" t="inlineStr">
        <is>
          <t>Perfect Days</t>
        </is>
      </c>
      <c r="N91" s="54" t="n"/>
      <c r="O91" s="53" t="inlineStr">
        <is>
          <t>Avg Sleep</t>
        </is>
      </c>
      <c r="P91" s="54" t="n"/>
      <c r="Q91" s="53" t="inlineStr">
        <is>
          <t>Best Week</t>
        </is>
      </c>
      <c r="R91" s="54" t="n"/>
      <c r="S91" s="54" t="n"/>
      <c r="T91" s="53" t="inlineStr">
        <is>
          <t>Top Life Domain</t>
        </is>
      </c>
      <c r="U91" s="54" t="n"/>
      <c r="V91" s="54" t="n"/>
      <c r="W91" s="54" t="n"/>
    </row>
    <row r="92" ht="16" customHeight="1">
      <c r="A92" s="165" t="inlineStr">
        <is>
          <t>May</t>
        </is>
      </c>
      <c r="B92" s="56" t="n"/>
      <c r="C92" s="165" t="n">
        <v>2029</v>
      </c>
      <c r="D92" s="56" t="n"/>
      <c r="E92" s="166">
        <f>COUNTA(B18:B37)</f>
        <v/>
      </c>
      <c r="F92" s="56" t="n"/>
      <c r="G92" s="166">
        <f>SUM(D18:D37)</f>
        <v/>
      </c>
      <c r="H92" s="56" t="n"/>
      <c r="I92" s="166">
        <f>SUM(AM18:AM37)</f>
        <v/>
      </c>
      <c r="J92" s="56" t="n"/>
      <c r="K92" s="167">
        <f>IF(G92&gt;0, I92/G92, 0)</f>
        <v/>
      </c>
      <c r="L92" s="56" t="n"/>
      <c r="M92" s="166">
        <f>COUNTIF(E39:AI39, 1)</f>
        <v/>
      </c>
      <c r="N92" s="56" t="n"/>
      <c r="O92" s="168">
        <f>IFERROR(AVERAGE(E47:AI47), 0)</f>
        <v/>
      </c>
      <c r="P92" s="56" t="n"/>
      <c r="Q92" s="166">
        <f>INDEX(A76:A80, MATCH(MAX(E76:E80), E76:E80, 0))</f>
        <v/>
      </c>
      <c r="R92" s="161" t="n"/>
      <c r="S92" s="56" t="n"/>
      <c r="T92" s="166">
        <f>INDEX(N76:N80, MATCH(MAX(S76:S80), S76:S80, 0))</f>
        <v/>
      </c>
      <c r="U92" s="161" t="n"/>
      <c r="V92" s="161" t="n"/>
      <c r="W92" s="56" t="n"/>
    </row>
    <row r="93" ht="14" customHeight="1">
      <c r="A93" s="169" t="inlineStr">
        <is>
          <t>📋 Note: Reference or copy Row 92 directly into an Annual / Quarterly review dashboard to track yearly habit trends.</t>
        </is>
      </c>
    </row>
    <row r="94" ht="8" customHeight="1"/>
    <row r="95">
      <c r="A95" s="170" t="inlineStr">
        <is>
          <t>🏆 MONTHLY WINS &amp; HIGHLIGHTS</t>
        </is>
      </c>
      <c r="J95" s="171" t="inlineStr">
        <is>
          <t>⚠️ FRICTION POINTS &amp; ROOT CAUSES</t>
        </is>
      </c>
      <c r="S95" s="172" t="inlineStr">
        <is>
          <t>🎯 3 KEY ADJUSTMENTS FOR NEXT MONTH</t>
        </is>
      </c>
    </row>
    <row r="96">
      <c r="A96" s="173" t="inlineStr">
        <is>
          <t>1. What went exceptionally well this month?
2. Which habit felt effortless and consistent?
3. Major milestone achieved:</t>
        </is>
      </c>
      <c r="B96" s="174" t="n"/>
      <c r="C96" s="174" t="n"/>
      <c r="D96" s="174" t="n"/>
      <c r="E96" s="174" t="n"/>
      <c r="F96" s="174" t="n"/>
      <c r="G96" s="174" t="n"/>
      <c r="H96" s="174" t="n"/>
      <c r="J96" s="175" t="inlineStr">
        <is>
          <t>1. What caused missed or skipped days?
2. Main triggers / energy drains encountered:
3. Which habit had the lowest consistency and why?</t>
        </is>
      </c>
      <c r="K96" s="176" t="n"/>
      <c r="L96" s="176" t="n"/>
      <c r="M96" s="176" t="n"/>
      <c r="N96" s="176" t="n"/>
      <c r="O96" s="176" t="n"/>
      <c r="P96" s="176" t="n"/>
      <c r="Q96" s="176" t="n"/>
      <c r="S96" s="177" t="inlineStr">
        <is>
          <t>1. Habit Stacking or time adjustment for next month:
2. Environment design change to eliminate friction:
3. One non-negotiable priority protocol:</t>
        </is>
      </c>
      <c r="T96" s="178" t="n"/>
      <c r="U96" s="178" t="n"/>
      <c r="V96" s="178" t="n"/>
      <c r="W96" s="178" t="n"/>
      <c r="X96" s="178" t="n"/>
      <c r="Y96" s="178" t="n"/>
      <c r="Z96" s="178" t="n"/>
    </row>
    <row r="97">
      <c r="A97" s="174" t="n"/>
      <c r="B97" s="174" t="n"/>
      <c r="C97" s="174" t="n"/>
      <c r="D97" s="174" t="n"/>
      <c r="E97" s="174" t="n"/>
      <c r="F97" s="174" t="n"/>
      <c r="G97" s="174" t="n"/>
      <c r="H97" s="174" t="n"/>
      <c r="J97" s="176" t="n"/>
      <c r="K97" s="176" t="n"/>
      <c r="L97" s="176" t="n"/>
      <c r="M97" s="176" t="n"/>
      <c r="N97" s="176" t="n"/>
      <c r="O97" s="176" t="n"/>
      <c r="P97" s="176" t="n"/>
      <c r="Q97" s="176" t="n"/>
      <c r="S97" s="178" t="n"/>
      <c r="T97" s="178" t="n"/>
      <c r="U97" s="178" t="n"/>
      <c r="V97" s="178" t="n"/>
      <c r="W97" s="178" t="n"/>
      <c r="X97" s="178" t="n"/>
      <c r="Y97" s="178" t="n"/>
      <c r="Z97" s="178" t="n"/>
    </row>
    <row r="98">
      <c r="A98" s="174" t="n"/>
      <c r="B98" s="174" t="n"/>
      <c r="C98" s="174" t="n"/>
      <c r="D98" s="174" t="n"/>
      <c r="E98" s="174" t="n"/>
      <c r="F98" s="174" t="n"/>
      <c r="G98" s="174" t="n"/>
      <c r="H98" s="174" t="n"/>
      <c r="J98" s="176" t="n"/>
      <c r="K98" s="176" t="n"/>
      <c r="L98" s="176" t="n"/>
      <c r="M98" s="176" t="n"/>
      <c r="N98" s="176" t="n"/>
      <c r="O98" s="176" t="n"/>
      <c r="P98" s="176" t="n"/>
      <c r="Q98" s="176" t="n"/>
      <c r="S98" s="178" t="n"/>
      <c r="T98" s="178" t="n"/>
      <c r="U98" s="178" t="n"/>
      <c r="V98" s="178" t="n"/>
      <c r="W98" s="178" t="n"/>
      <c r="X98" s="178" t="n"/>
      <c r="Y98" s="178" t="n"/>
      <c r="Z98" s="178" t="n"/>
    </row>
    <row r="99">
      <c r="A99" s="174" t="n"/>
      <c r="B99" s="174" t="n"/>
      <c r="C99" s="174" t="n"/>
      <c r="D99" s="174" t="n"/>
      <c r="E99" s="174" t="n"/>
      <c r="F99" s="174" t="n"/>
      <c r="G99" s="174" t="n"/>
      <c r="H99" s="174" t="n"/>
      <c r="J99" s="176" t="n"/>
      <c r="K99" s="176" t="n"/>
      <c r="L99" s="176" t="n"/>
      <c r="M99" s="176" t="n"/>
      <c r="N99" s="176" t="n"/>
      <c r="O99" s="176" t="n"/>
      <c r="P99" s="176" t="n"/>
      <c r="Q99" s="176" t="n"/>
      <c r="S99" s="178" t="n"/>
      <c r="T99" s="178" t="n"/>
      <c r="U99" s="178" t="n"/>
      <c r="V99" s="178" t="n"/>
      <c r="W99" s="178" t="n"/>
      <c r="X99" s="178" t="n"/>
      <c r="Y99" s="178" t="n"/>
      <c r="Z99" s="178" t="n"/>
    </row>
    <row r="100">
      <c r="A100" s="174" t="n"/>
      <c r="B100" s="174" t="n"/>
      <c r="C100" s="174" t="n"/>
      <c r="D100" s="174" t="n"/>
      <c r="E100" s="174" t="n"/>
      <c r="F100" s="174" t="n"/>
      <c r="G100" s="174" t="n"/>
      <c r="H100" s="174" t="n"/>
      <c r="J100" s="176" t="n"/>
      <c r="K100" s="176" t="n"/>
      <c r="L100" s="176" t="n"/>
      <c r="M100" s="176" t="n"/>
      <c r="N100" s="176" t="n"/>
      <c r="O100" s="176" t="n"/>
      <c r="P100" s="176" t="n"/>
      <c r="Q100" s="176" t="n"/>
      <c r="S100" s="178" t="n"/>
      <c r="T100" s="178" t="n"/>
      <c r="U100" s="178" t="n"/>
      <c r="V100" s="178" t="n"/>
      <c r="W100" s="178" t="n"/>
      <c r="X100" s="178" t="n"/>
      <c r="Y100" s="178" t="n"/>
      <c r="Z100" s="178" t="n"/>
    </row>
    <row r="101">
      <c r="A101" s="174" t="n"/>
      <c r="B101" s="174" t="n"/>
      <c r="C101" s="174" t="n"/>
      <c r="D101" s="174" t="n"/>
      <c r="E101" s="174" t="n"/>
      <c r="F101" s="174" t="n"/>
      <c r="G101" s="174" t="n"/>
      <c r="H101" s="174" t="n"/>
      <c r="J101" s="176" t="n"/>
      <c r="K101" s="176" t="n"/>
      <c r="L101" s="176" t="n"/>
      <c r="M101" s="176" t="n"/>
      <c r="N101" s="176" t="n"/>
      <c r="O101" s="176" t="n"/>
      <c r="P101" s="176" t="n"/>
      <c r="Q101" s="176" t="n"/>
      <c r="S101" s="178" t="n"/>
      <c r="T101" s="178" t="n"/>
      <c r="U101" s="178" t="n"/>
      <c r="V101" s="178" t="n"/>
      <c r="W101" s="178" t="n"/>
      <c r="X101" s="178" t="n"/>
      <c r="Y101" s="178" t="n"/>
      <c r="Z101" s="178" t="n"/>
    </row>
    <row r="102">
      <c r="A102" s="174" t="n"/>
      <c r="B102" s="174" t="n"/>
      <c r="C102" s="174" t="n"/>
      <c r="D102" s="174" t="n"/>
      <c r="E102" s="174" t="n"/>
      <c r="F102" s="174" t="n"/>
      <c r="G102" s="174" t="n"/>
      <c r="H102" s="174" t="n"/>
      <c r="J102" s="176" t="n"/>
      <c r="K102" s="176" t="n"/>
      <c r="L102" s="176" t="n"/>
      <c r="M102" s="176" t="n"/>
      <c r="N102" s="176" t="n"/>
      <c r="O102" s="176" t="n"/>
      <c r="P102" s="176" t="n"/>
      <c r="Q102" s="176" t="n"/>
      <c r="S102" s="178" t="n"/>
      <c r="T102" s="178" t="n"/>
      <c r="U102" s="178" t="n"/>
      <c r="V102" s="178" t="n"/>
      <c r="W102" s="178" t="n"/>
      <c r="X102" s="178" t="n"/>
      <c r="Y102" s="178" t="n"/>
      <c r="Z102" s="178" t="n"/>
    </row>
    <row r="103">
      <c r="A103" s="174" t="n"/>
      <c r="B103" s="174" t="n"/>
      <c r="C103" s="174" t="n"/>
      <c r="D103" s="174" t="n"/>
      <c r="E103" s="174" t="n"/>
      <c r="F103" s="174" t="n"/>
      <c r="G103" s="174" t="n"/>
      <c r="H103" s="174" t="n"/>
      <c r="J103" s="176" t="n"/>
      <c r="K103" s="176" t="n"/>
      <c r="L103" s="176" t="n"/>
      <c r="M103" s="176" t="n"/>
      <c r="N103" s="176" t="n"/>
      <c r="O103" s="176" t="n"/>
      <c r="P103" s="176" t="n"/>
      <c r="Q103" s="176" t="n"/>
      <c r="S103" s="178" t="n"/>
      <c r="T103" s="178" t="n"/>
      <c r="U103" s="178" t="n"/>
      <c r="V103" s="178" t="n"/>
      <c r="W103" s="178" t="n"/>
      <c r="X103" s="178" t="n"/>
      <c r="Y103" s="178" t="n"/>
      <c r="Z103" s="178" t="n"/>
    </row>
  </sheetData>
  <sheetProtection selectLockedCells="1" selectUnlockedCells="1" sheet="1" objects="0" insertRows="1" insertHyperlinks="1" autoFilter="1" scenarios="0" formatColumns="1" deleteColumns="1" insertColumns="1" pivotTables="1" deleteRows="1" formatCells="1" formatRows="1" sort="1"/>
  <mergeCells count="94">
    <mergeCell ref="A9:N9"/>
    <mergeCell ref="N76:O76"/>
    <mergeCell ref="F67:I67"/>
    <mergeCell ref="G87:I87"/>
    <mergeCell ref="A16:A17"/>
    <mergeCell ref="A45:D46"/>
    <mergeCell ref="C16:C17"/>
    <mergeCell ref="N75:O75"/>
    <mergeCell ref="N77:O77"/>
    <mergeCell ref="AE2:AL2"/>
    <mergeCell ref="P9:AL9"/>
    <mergeCell ref="P68:S70"/>
    <mergeCell ref="D16:D17"/>
    <mergeCell ref="N85:Q85"/>
    <mergeCell ref="A95:H95"/>
    <mergeCell ref="A84:AL84"/>
    <mergeCell ref="Q91:S91"/>
    <mergeCell ref="E91:F91"/>
    <mergeCell ref="A8:N8"/>
    <mergeCell ref="A42:AL42"/>
    <mergeCell ref="G91:H91"/>
    <mergeCell ref="J86:M86"/>
    <mergeCell ref="H3:AD3"/>
    <mergeCell ref="K67:N67"/>
    <mergeCell ref="S95:Z95"/>
    <mergeCell ref="N79:O79"/>
    <mergeCell ref="K92:L92"/>
    <mergeCell ref="C92:D92"/>
    <mergeCell ref="M92:N92"/>
    <mergeCell ref="F71:I71"/>
    <mergeCell ref="A88:AL88"/>
    <mergeCell ref="K68:N70"/>
    <mergeCell ref="T91:W91"/>
    <mergeCell ref="A41:AL41"/>
    <mergeCell ref="A90:AL90"/>
    <mergeCell ref="J95:Q95"/>
    <mergeCell ref="D85:F85"/>
    <mergeCell ref="N74:S74"/>
    <mergeCell ref="H2:AD2"/>
    <mergeCell ref="F68:I70"/>
    <mergeCell ref="A91:B91"/>
    <mergeCell ref="N78:O78"/>
    <mergeCell ref="C91:D91"/>
    <mergeCell ref="M91:N91"/>
    <mergeCell ref="O91:P91"/>
    <mergeCell ref="R86:U86"/>
    <mergeCell ref="N80:O80"/>
    <mergeCell ref="B16:B17"/>
    <mergeCell ref="A71:D71"/>
    <mergeCell ref="J85:M85"/>
    <mergeCell ref="D86:F86"/>
    <mergeCell ref="A92:B92"/>
    <mergeCell ref="N87:Q87"/>
    <mergeCell ref="A1:B1"/>
    <mergeCell ref="E92:F92"/>
    <mergeCell ref="AL16:AL17"/>
    <mergeCell ref="A68:D70"/>
    <mergeCell ref="P71:S71"/>
    <mergeCell ref="A86:C86"/>
    <mergeCell ref="D87:F87"/>
    <mergeCell ref="O92:P92"/>
    <mergeCell ref="A6:N6"/>
    <mergeCell ref="A39:D39"/>
    <mergeCell ref="P8:AL8"/>
    <mergeCell ref="P7:AL7"/>
    <mergeCell ref="G86:I86"/>
    <mergeCell ref="A96:H103"/>
    <mergeCell ref="P67:S67"/>
    <mergeCell ref="T92:W92"/>
    <mergeCell ref="R85:U85"/>
    <mergeCell ref="K71:N71"/>
    <mergeCell ref="S96:Z103"/>
    <mergeCell ref="A93:AL93"/>
    <mergeCell ref="A38:D38"/>
    <mergeCell ref="A67:D67"/>
    <mergeCell ref="I91:J91"/>
    <mergeCell ref="A85:C85"/>
    <mergeCell ref="K91:L91"/>
    <mergeCell ref="N86:Q86"/>
    <mergeCell ref="A7:N7"/>
    <mergeCell ref="P6:AL6"/>
    <mergeCell ref="A74:E74"/>
    <mergeCell ref="G85:I85"/>
    <mergeCell ref="G92:H92"/>
    <mergeCell ref="I92:J92"/>
    <mergeCell ref="R87:U87"/>
    <mergeCell ref="AK16:AK17"/>
    <mergeCell ref="J87:M87"/>
    <mergeCell ref="AJ16:AJ17"/>
    <mergeCell ref="J96:Q103"/>
    <mergeCell ref="A12:AL14"/>
    <mergeCell ref="Q92:S92"/>
    <mergeCell ref="A87:C87"/>
    <mergeCell ref="A47:D47"/>
  </mergeCells>
  <conditionalFormatting sqref="AJ18:AJ37">
    <cfRule type="dataBar" priority="1">
      <dataBar>
        <cfvo type="num" val="0"/>
        <cfvo type="num" val="1"/>
        <color rgb="0010B981"/>
      </dataBar>
    </cfRule>
  </conditionalFormatting>
  <conditionalFormatting sqref="E18:AI37">
    <cfRule type="cellIs" priority="2" operator="equal" dxfId="0">
      <formula>"✓"</formula>
    </cfRule>
    <cfRule type="cellIs" priority="3" operator="equal" dxfId="0">
      <formula>"✔"</formula>
    </cfRule>
    <cfRule type="cellIs" priority="4" operator="equal" dxfId="1">
      <formula>"✗"</formula>
    </cfRule>
    <cfRule type="cellIs" priority="5" operator="equal" dxfId="1">
      <formula>"x"</formula>
    </cfRule>
    <cfRule type="cellIs" priority="6" operator="equal" dxfId="1">
      <formula>"X"</formula>
    </cfRule>
  </conditionalFormatting>
  <conditionalFormatting sqref="E16:E17">
    <cfRule type="expression" priority="7" dxfId="2">
      <formula>AND(DAY(TODAY())=1, MONTH(TODAY())=5, YEAR(TODAY())=2029)</formula>
    </cfRule>
  </conditionalFormatting>
  <conditionalFormatting sqref="F16:F17">
    <cfRule type="expression" priority="8" dxfId="2">
      <formula>AND(DAY(TODAY())=2, MONTH(TODAY())=5, YEAR(TODAY())=2029)</formula>
    </cfRule>
  </conditionalFormatting>
  <conditionalFormatting sqref="G16:G17">
    <cfRule type="expression" priority="9" dxfId="2">
      <formula>AND(DAY(TODAY())=3, MONTH(TODAY())=5, YEAR(TODAY())=2029)</formula>
    </cfRule>
  </conditionalFormatting>
  <conditionalFormatting sqref="H16:H17">
    <cfRule type="expression" priority="10" dxfId="2">
      <formula>AND(DAY(TODAY())=4, MONTH(TODAY())=5, YEAR(TODAY())=2029)</formula>
    </cfRule>
  </conditionalFormatting>
  <conditionalFormatting sqref="I16:I17">
    <cfRule type="expression" priority="11" dxfId="2">
      <formula>AND(DAY(TODAY())=5, MONTH(TODAY())=5, YEAR(TODAY())=2029)</formula>
    </cfRule>
  </conditionalFormatting>
  <conditionalFormatting sqref="J16:J17">
    <cfRule type="expression" priority="12" dxfId="2">
      <formula>AND(DAY(TODAY())=6, MONTH(TODAY())=5, YEAR(TODAY())=2029)</formula>
    </cfRule>
  </conditionalFormatting>
  <conditionalFormatting sqref="K16:K17">
    <cfRule type="expression" priority="13" dxfId="2">
      <formula>AND(DAY(TODAY())=7, MONTH(TODAY())=5, YEAR(TODAY())=2029)</formula>
    </cfRule>
  </conditionalFormatting>
  <conditionalFormatting sqref="L16:L17">
    <cfRule type="expression" priority="14" dxfId="2">
      <formula>AND(DAY(TODAY())=8, MONTH(TODAY())=5, YEAR(TODAY())=2029)</formula>
    </cfRule>
  </conditionalFormatting>
  <conditionalFormatting sqref="M16:M17">
    <cfRule type="expression" priority="15" dxfId="2">
      <formula>AND(DAY(TODAY())=9, MONTH(TODAY())=5, YEAR(TODAY())=2029)</formula>
    </cfRule>
  </conditionalFormatting>
  <conditionalFormatting sqref="N16:N17">
    <cfRule type="expression" priority="16" dxfId="2">
      <formula>AND(DAY(TODAY())=10, MONTH(TODAY())=5, YEAR(TODAY())=2029)</formula>
    </cfRule>
  </conditionalFormatting>
  <conditionalFormatting sqref="O16:O17">
    <cfRule type="expression" priority="17" dxfId="2">
      <formula>AND(DAY(TODAY())=11, MONTH(TODAY())=5, YEAR(TODAY())=2029)</formula>
    </cfRule>
  </conditionalFormatting>
  <conditionalFormatting sqref="P16:P17">
    <cfRule type="expression" priority="18" dxfId="2">
      <formula>AND(DAY(TODAY())=12, MONTH(TODAY())=5, YEAR(TODAY())=2029)</formula>
    </cfRule>
  </conditionalFormatting>
  <conditionalFormatting sqref="Q16:Q17">
    <cfRule type="expression" priority="19" dxfId="2">
      <formula>AND(DAY(TODAY())=13, MONTH(TODAY())=5, YEAR(TODAY())=2029)</formula>
    </cfRule>
  </conditionalFormatting>
  <conditionalFormatting sqref="R16:R17">
    <cfRule type="expression" priority="20" dxfId="2">
      <formula>AND(DAY(TODAY())=14, MONTH(TODAY())=5, YEAR(TODAY())=2029)</formula>
    </cfRule>
  </conditionalFormatting>
  <conditionalFormatting sqref="S16:S17">
    <cfRule type="expression" priority="21" dxfId="2">
      <formula>AND(DAY(TODAY())=15, MONTH(TODAY())=5, YEAR(TODAY())=2029)</formula>
    </cfRule>
  </conditionalFormatting>
  <conditionalFormatting sqref="T16:T17">
    <cfRule type="expression" priority="22" dxfId="2">
      <formula>AND(DAY(TODAY())=16, MONTH(TODAY())=5, YEAR(TODAY())=2029)</formula>
    </cfRule>
  </conditionalFormatting>
  <conditionalFormatting sqref="U16:U17">
    <cfRule type="expression" priority="23" dxfId="2">
      <formula>AND(DAY(TODAY())=17, MONTH(TODAY())=5, YEAR(TODAY())=2029)</formula>
    </cfRule>
  </conditionalFormatting>
  <conditionalFormatting sqref="V16:V17">
    <cfRule type="expression" priority="24" dxfId="2">
      <formula>AND(DAY(TODAY())=18, MONTH(TODAY())=5, YEAR(TODAY())=2029)</formula>
    </cfRule>
  </conditionalFormatting>
  <conditionalFormatting sqref="W16:W17">
    <cfRule type="expression" priority="25" dxfId="2">
      <formula>AND(DAY(TODAY())=19, MONTH(TODAY())=5, YEAR(TODAY())=2029)</formula>
    </cfRule>
  </conditionalFormatting>
  <conditionalFormatting sqref="X16:X17">
    <cfRule type="expression" priority="26" dxfId="2">
      <formula>AND(DAY(TODAY())=20, MONTH(TODAY())=5, YEAR(TODAY())=2029)</formula>
    </cfRule>
  </conditionalFormatting>
  <conditionalFormatting sqref="Y16:Y17">
    <cfRule type="expression" priority="27" dxfId="2">
      <formula>AND(DAY(TODAY())=21, MONTH(TODAY())=5, YEAR(TODAY())=2029)</formula>
    </cfRule>
  </conditionalFormatting>
  <conditionalFormatting sqref="Z16:Z17">
    <cfRule type="expression" priority="28" dxfId="2">
      <formula>AND(DAY(TODAY())=22, MONTH(TODAY())=5, YEAR(TODAY())=2029)</formula>
    </cfRule>
  </conditionalFormatting>
  <conditionalFormatting sqref="AA16:AA17">
    <cfRule type="expression" priority="29" dxfId="2">
      <formula>AND(DAY(TODAY())=23, MONTH(TODAY())=5, YEAR(TODAY())=2029)</formula>
    </cfRule>
  </conditionalFormatting>
  <conditionalFormatting sqref="AB16:AB17">
    <cfRule type="expression" priority="30" dxfId="2">
      <formula>AND(DAY(TODAY())=24, MONTH(TODAY())=5, YEAR(TODAY())=2029)</formula>
    </cfRule>
  </conditionalFormatting>
  <conditionalFormatting sqref="AC16:AC17">
    <cfRule type="expression" priority="31" dxfId="2">
      <formula>AND(DAY(TODAY())=25, MONTH(TODAY())=5, YEAR(TODAY())=2029)</formula>
    </cfRule>
  </conditionalFormatting>
  <conditionalFormatting sqref="AD16:AD17">
    <cfRule type="expression" priority="32" dxfId="2">
      <formula>AND(DAY(TODAY())=26, MONTH(TODAY())=5, YEAR(TODAY())=2029)</formula>
    </cfRule>
  </conditionalFormatting>
  <conditionalFormatting sqref="AE16:AE17">
    <cfRule type="expression" priority="33" dxfId="2">
      <formula>AND(DAY(TODAY())=27, MONTH(TODAY())=5, YEAR(TODAY())=2029)</formula>
    </cfRule>
  </conditionalFormatting>
  <conditionalFormatting sqref="AF16:AF17">
    <cfRule type="expression" priority="34" dxfId="2">
      <formula>AND(DAY(TODAY())=28, MONTH(TODAY())=5, YEAR(TODAY())=2029)</formula>
    </cfRule>
  </conditionalFormatting>
  <conditionalFormatting sqref="AG16:AG17">
    <cfRule type="expression" priority="35" dxfId="2">
      <formula>AND(DAY(TODAY())=29, MONTH(TODAY())=5, YEAR(TODAY())=2029)</formula>
    </cfRule>
  </conditionalFormatting>
  <conditionalFormatting sqref="AH16:AH17">
    <cfRule type="expression" priority="36" dxfId="2">
      <formula>AND(DAY(TODAY())=30, MONTH(TODAY())=5, YEAR(TODAY())=2029)</formula>
    </cfRule>
  </conditionalFormatting>
  <conditionalFormatting sqref="AI16:AI17">
    <cfRule type="expression" priority="37" dxfId="2">
      <formula>AND(DAY(TODAY())=31, MONTH(TODAY())=5, YEAR(TODAY())=2029)</formula>
    </cfRule>
  </conditionalFormatting>
  <dataValidations count="4">
    <dataValidation sqref="C18:C37" showDropDown="0" showInputMessage="0" showErrorMessage="0" allowBlank="1" type="list">
      <formula1>"Health &amp; Fitness,Mindset &amp; Learning,Career &amp; Focus,Personal &amp; Home,Finance &amp; Wealth,Other"</formula1>
    </dataValidation>
    <dataValidation sqref="D18:D37" showDropDown="0" showInputMessage="0" showErrorMessage="0" allowBlank="1" type="list">
      <formula1>"1,2,3,4,5,6,7,8,9,10,11,12,13,14,15,16,17,18,19,20,21,22,23,24,25,26,27,28,29,30,31"</formula1>
    </dataValidation>
    <dataValidation sqref="E18:AI37" showDropDown="0" showInputMessage="0" showErrorMessage="0" allowBlank="1" type="list">
      <formula1>"✓,✗"</formula1>
    </dataValidation>
    <dataValidation sqref="E47:AI47" showDropDown="0" showInputMessage="0" showErrorMessage="0" allowBlank="1" type="list">
      <formula1>"1,2,3,4,5,6,7,8,9,10,11,12,13,14,15,16,17,18,19,20,21,22,23,24"</formula1>
    </dataValidation>
  </dataValidations>
  <hyperlinks>
    <hyperlink xmlns:r="http://schemas.openxmlformats.org/officeDocument/2006/relationships" ref="A1" r:id="rId1"/>
    <hyperlink xmlns:r="http://schemas.openxmlformats.org/officeDocument/2006/relationships" ref="C1" r:id="rId2"/>
    <hyperlink xmlns:r="http://schemas.openxmlformats.org/officeDocument/2006/relationships" ref="D1" r:id="rId3"/>
    <hyperlink xmlns:r="http://schemas.openxmlformats.org/officeDocument/2006/relationships" ref="E1" r:id="rId4"/>
    <hyperlink xmlns:r="http://schemas.openxmlformats.org/officeDocument/2006/relationships" ref="F1" r:id="rId5"/>
    <hyperlink xmlns:r="http://schemas.openxmlformats.org/officeDocument/2006/relationships" ref="G1" r:id="rId6"/>
    <hyperlink xmlns:r="http://schemas.openxmlformats.org/officeDocument/2006/relationships" ref="H1" r:id="rId7"/>
    <hyperlink xmlns:r="http://schemas.openxmlformats.org/officeDocument/2006/relationships" ref="I1" r:id="rId8"/>
    <hyperlink xmlns:r="http://schemas.openxmlformats.org/officeDocument/2006/relationships" ref="J1" r:id="rId9"/>
    <hyperlink xmlns:r="http://schemas.openxmlformats.org/officeDocument/2006/relationships" ref="K1" r:id="rId10"/>
  </hyperlinks>
  <printOptions horizontalCentered="1" verticalCentered="0"/>
  <pageMargins left="0.75" right="0.75" top="1" bottom="1" header="0.5" footer="0.5"/>
  <pageSetup orientation="landscape" paperSize="9" fitToHeight="0" fitToWidth="1"/>
  <drawing xmlns:r="http://schemas.openxmlformats.org/officeDocument/2006/relationships" r:id="rId11"/>
</worksheet>
</file>

<file path=xl/worksheets/sheet37.xml><?xml version="1.0" encoding="utf-8"?>
<worksheet xmlns="http://schemas.openxmlformats.org/spreadsheetml/2006/main">
  <sheetPr>
    <outlinePr summaryBelow="1" summaryRight="1"/>
    <pageSetUpPr fitToPage="1"/>
  </sheetPr>
  <dimension ref="A1:AL103"/>
  <sheetViews>
    <sheetView showGridLines="1" workbookViewId="0">
      <selection activeCell="A1" sqref="A1"/>
    </sheetView>
  </sheetViews>
  <sheetFormatPr baseColWidth="8" defaultRowHeight="15"/>
  <cols>
    <col width="6" customWidth="1" min="1" max="1"/>
    <col width="25" customWidth="1" min="2" max="2"/>
    <col width="16.5" customWidth="1" min="3" max="3"/>
    <col width="8" customWidth="1" min="4" max="4"/>
    <col width="4.8" customWidth="1" min="5" max="5"/>
    <col width="4.8" customWidth="1" min="6" max="6"/>
    <col width="4.8" customWidth="1" min="7" max="7"/>
    <col width="4.8" customWidth="1" min="8" max="8"/>
    <col width="4.8" customWidth="1" min="9" max="9"/>
    <col width="4.8" customWidth="1" min="10" max="10"/>
    <col width="4.8" customWidth="1" min="11" max="11"/>
    <col width="4.8" customWidth="1" min="12" max="12"/>
    <col width="4.8" customWidth="1" min="13" max="13"/>
    <col width="4.8" customWidth="1" min="14" max="14"/>
    <col width="4.8" customWidth="1" min="15" max="15"/>
    <col width="4.8" customWidth="1" min="16" max="16"/>
    <col width="4.8" customWidth="1" min="17" max="17"/>
    <col width="4.8" customWidth="1" min="18" max="18"/>
    <col width="4.8" customWidth="1" min="19" max="19"/>
    <col width="4.8" customWidth="1" min="20" max="20"/>
    <col width="4.8" customWidth="1" min="21" max="21"/>
    <col width="4.8" customWidth="1" min="22" max="22"/>
    <col width="4.8" customWidth="1" min="23" max="23"/>
    <col width="4.8" customWidth="1" min="24" max="24"/>
    <col width="4.8" customWidth="1" min="25" max="25"/>
    <col width="4.8" customWidth="1" min="26" max="26"/>
    <col width="4.8" customWidth="1" min="27" max="27"/>
    <col width="4.8" customWidth="1" min="28" max="28"/>
    <col width="4.8" customWidth="1" min="29" max="29"/>
    <col width="4.8" customWidth="1" min="30" max="30"/>
    <col width="4.8" customWidth="1" min="31" max="31"/>
    <col width="4.8" customWidth="1" min="32" max="32"/>
    <col width="4.8" customWidth="1" min="33" max="33"/>
    <col width="4.8" customWidth="1" min="34" max="34"/>
    <col width="11.5" customWidth="1" min="35" max="35"/>
    <col width="12" customWidth="1" min="36" max="36"/>
    <col width="13.5" customWidth="1" min="37" max="37"/>
    <col hidden="1" width="8" customWidth="1" min="38" max="38"/>
  </cols>
  <sheetData>
    <row r="1" ht="18" customHeight="1">
      <c r="A1" s="76" t="inlineStr">
        <is>
          <t>🏠 Master Dashboard</t>
        </is>
      </c>
      <c r="B1" s="40" t="n"/>
      <c r="C1" s="77" t="inlineStr">
        <is>
          <t>🏛️ Quarterly Hub</t>
        </is>
      </c>
      <c r="D1" s="78" t="inlineStr">
        <is>
          <t>📚 Habit Library</t>
        </is>
      </c>
      <c r="E1" s="80" t="inlineStr">
        <is>
          <t>2026</t>
        </is>
      </c>
      <c r="F1" s="80" t="inlineStr">
        <is>
          <t>2027</t>
        </is>
      </c>
      <c r="G1" s="80" t="inlineStr">
        <is>
          <t>2028</t>
        </is>
      </c>
      <c r="H1" s="79" t="inlineStr">
        <is>
          <t>2029</t>
        </is>
      </c>
      <c r="I1" s="80" t="inlineStr">
        <is>
          <t>2030</t>
        </is>
      </c>
      <c r="J1" s="82" t="inlineStr">
        <is>
          <t>◀ Prev</t>
        </is>
      </c>
      <c r="K1" s="82" t="inlineStr">
        <is>
          <t>Next ▶</t>
        </is>
      </c>
    </row>
    <row r="2" ht="24" customHeight="1">
      <c r="A2" s="83" t="inlineStr">
        <is>
          <t>Habit Tracker</t>
        </is>
      </c>
      <c r="H2" s="84" t="inlineStr">
        <is>
          <t>"Your future is created by what you do today."</t>
        </is>
      </c>
      <c r="AD2" s="85" t="inlineStr">
        <is>
          <t>@surajvansh</t>
        </is>
      </c>
    </row>
    <row r="3" ht="18" customHeight="1">
      <c r="A3" s="86" t="inlineStr">
        <is>
          <t>June 2029</t>
        </is>
      </c>
      <c r="H3" s="87" t="inlineStr">
        <is>
          <t>30 Days Dashboard</t>
        </is>
      </c>
    </row>
    <row r="4" ht="5" customHeight="1"/>
    <row r="5" ht="16" customHeight="1">
      <c r="A5" s="88" t="inlineStr">
        <is>
          <t>MONTHLY TARGETS</t>
        </is>
      </c>
    </row>
    <row r="6" ht="13" customHeight="1">
      <c r="A6" s="89" t="inlineStr">
        <is>
          <t>1. ____________________ : ____________________</t>
        </is>
      </c>
      <c r="P6" s="89" t="inlineStr">
        <is>
          <t>5. ____________________ : ____________________</t>
        </is>
      </c>
    </row>
    <row r="7" ht="13" customHeight="1">
      <c r="A7" s="89" t="inlineStr">
        <is>
          <t>2. ____________________ : ____________________</t>
        </is>
      </c>
      <c r="P7" s="89" t="inlineStr">
        <is>
          <t>6. ____________________ : ____________________</t>
        </is>
      </c>
    </row>
    <row r="8" ht="13" customHeight="1">
      <c r="A8" s="89" t="inlineStr">
        <is>
          <t>3. ____________________ : ____________________</t>
        </is>
      </c>
      <c r="P8" s="89" t="inlineStr">
        <is>
          <t>7. ____________________ : ____________________</t>
        </is>
      </c>
    </row>
    <row r="9" ht="13" customHeight="1">
      <c r="A9" s="89" t="inlineStr">
        <is>
          <t>4. ____________________ : ____________________</t>
        </is>
      </c>
      <c r="P9" s="89" t="inlineStr">
        <is>
          <t>8. ____________________ : ____________________</t>
        </is>
      </c>
    </row>
    <row r="10" ht="5" customHeight="1"/>
    <row r="11" ht="15" customHeight="1">
      <c r="A11" s="88" t="inlineStr">
        <is>
          <t>NOTES:</t>
        </is>
      </c>
    </row>
    <row r="12" ht="13" customHeight="1">
      <c r="A12" s="90" t="n"/>
      <c r="B12" s="91" t="n"/>
      <c r="C12" s="91" t="n"/>
      <c r="D12" s="91" t="n"/>
      <c r="E12" s="91" t="n"/>
      <c r="F12" s="91" t="n"/>
      <c r="G12" s="91" t="n"/>
      <c r="H12" s="91" t="n"/>
      <c r="I12" s="91" t="n"/>
      <c r="J12" s="91" t="n"/>
      <c r="K12" s="91" t="n"/>
      <c r="L12" s="91" t="n"/>
      <c r="M12" s="91" t="n"/>
      <c r="N12" s="91" t="n"/>
      <c r="O12" s="91" t="n"/>
      <c r="P12" s="91" t="n"/>
      <c r="Q12" s="91" t="n"/>
      <c r="R12" s="91" t="n"/>
      <c r="S12" s="91" t="n"/>
      <c r="T12" s="91" t="n"/>
      <c r="U12" s="91" t="n"/>
      <c r="V12" s="91" t="n"/>
      <c r="W12" s="91" t="n"/>
      <c r="X12" s="91" t="n"/>
      <c r="Y12" s="91" t="n"/>
      <c r="Z12" s="91" t="n"/>
      <c r="AA12" s="91" t="n"/>
      <c r="AB12" s="91" t="n"/>
      <c r="AC12" s="91" t="n"/>
      <c r="AD12" s="91" t="n"/>
      <c r="AE12" s="91" t="n"/>
      <c r="AF12" s="91" t="n"/>
      <c r="AG12" s="91" t="n"/>
      <c r="AH12" s="91" t="n"/>
      <c r="AI12" s="91" t="n"/>
      <c r="AJ12" s="91" t="n"/>
      <c r="AK12" s="91" t="n"/>
    </row>
    <row r="13" ht="13" customHeight="1">
      <c r="A13" s="91" t="n"/>
      <c r="B13" s="91" t="n"/>
      <c r="C13" s="91" t="n"/>
      <c r="D13" s="91" t="n"/>
      <c r="E13" s="91" t="n"/>
      <c r="F13" s="91" t="n"/>
      <c r="G13" s="91" t="n"/>
      <c r="H13" s="91" t="n"/>
      <c r="I13" s="91" t="n"/>
      <c r="J13" s="91" t="n"/>
      <c r="K13" s="91" t="n"/>
      <c r="L13" s="91" t="n"/>
      <c r="M13" s="91" t="n"/>
      <c r="N13" s="91" t="n"/>
      <c r="O13" s="91" t="n"/>
      <c r="P13" s="91" t="n"/>
      <c r="Q13" s="91" t="n"/>
      <c r="R13" s="91" t="n"/>
      <c r="S13" s="91" t="n"/>
      <c r="T13" s="91" t="n"/>
      <c r="U13" s="91" t="n"/>
      <c r="V13" s="91" t="n"/>
      <c r="W13" s="91" t="n"/>
      <c r="X13" s="91" t="n"/>
      <c r="Y13" s="91" t="n"/>
      <c r="Z13" s="91" t="n"/>
      <c r="AA13" s="91" t="n"/>
      <c r="AB13" s="91" t="n"/>
      <c r="AC13" s="91" t="n"/>
      <c r="AD13" s="91" t="n"/>
      <c r="AE13" s="91" t="n"/>
      <c r="AF13" s="91" t="n"/>
      <c r="AG13" s="91" t="n"/>
      <c r="AH13" s="91" t="n"/>
      <c r="AI13" s="91" t="n"/>
      <c r="AJ13" s="91" t="n"/>
      <c r="AK13" s="91" t="n"/>
    </row>
    <row r="14" ht="13" customHeight="1">
      <c r="A14" s="91" t="n"/>
      <c r="B14" s="91" t="n"/>
      <c r="C14" s="91" t="n"/>
      <c r="D14" s="91" t="n"/>
      <c r="E14" s="91" t="n"/>
      <c r="F14" s="91" t="n"/>
      <c r="G14" s="91" t="n"/>
      <c r="H14" s="91" t="n"/>
      <c r="I14" s="91" t="n"/>
      <c r="J14" s="91" t="n"/>
      <c r="K14" s="91" t="n"/>
      <c r="L14" s="91" t="n"/>
      <c r="M14" s="91" t="n"/>
      <c r="N14" s="91" t="n"/>
      <c r="O14" s="91" t="n"/>
      <c r="P14" s="91" t="n"/>
      <c r="Q14" s="91" t="n"/>
      <c r="R14" s="91" t="n"/>
      <c r="S14" s="91" t="n"/>
      <c r="T14" s="91" t="n"/>
      <c r="U14" s="91" t="n"/>
      <c r="V14" s="91" t="n"/>
      <c r="W14" s="91" t="n"/>
      <c r="X14" s="91" t="n"/>
      <c r="Y14" s="91" t="n"/>
      <c r="Z14" s="91" t="n"/>
      <c r="AA14" s="91" t="n"/>
      <c r="AB14" s="91" t="n"/>
      <c r="AC14" s="91" t="n"/>
      <c r="AD14" s="91" t="n"/>
      <c r="AE14" s="91" t="n"/>
      <c r="AF14" s="91" t="n"/>
      <c r="AG14" s="91" t="n"/>
      <c r="AH14" s="91" t="n"/>
      <c r="AI14" s="91" t="n"/>
      <c r="AJ14" s="91" t="n"/>
      <c r="AK14" s="91" t="n"/>
    </row>
    <row r="15" ht="8" customHeight="1"/>
    <row r="16" ht="15" customHeight="1">
      <c r="A16" s="33" t="inlineStr">
        <is>
          <t>S.No.</t>
        </is>
      </c>
      <c r="B16" s="33" t="inlineStr">
        <is>
          <t>Protocols</t>
        </is>
      </c>
      <c r="C16" s="33" t="inlineStr">
        <is>
          <t>Category</t>
        </is>
      </c>
      <c r="D16" s="33" t="inlineStr">
        <is>
          <t>Target</t>
        </is>
      </c>
      <c r="E16" s="92" t="n">
        <v>1</v>
      </c>
      <c r="F16" s="92" t="n">
        <v>2</v>
      </c>
      <c r="G16" s="93" t="n">
        <v>3</v>
      </c>
      <c r="H16" s="92" t="n">
        <v>4</v>
      </c>
      <c r="I16" s="92" t="n">
        <v>5</v>
      </c>
      <c r="J16" s="92" t="n">
        <v>6</v>
      </c>
      <c r="K16" s="92" t="n">
        <v>7</v>
      </c>
      <c r="L16" s="92" t="n">
        <v>8</v>
      </c>
      <c r="M16" s="92" t="n">
        <v>9</v>
      </c>
      <c r="N16" s="93" t="n">
        <v>10</v>
      </c>
      <c r="O16" s="92" t="n">
        <v>11</v>
      </c>
      <c r="P16" s="92" t="n">
        <v>12</v>
      </c>
      <c r="Q16" s="92" t="n">
        <v>13</v>
      </c>
      <c r="R16" s="92" t="n">
        <v>14</v>
      </c>
      <c r="S16" s="92" t="n">
        <v>15</v>
      </c>
      <c r="T16" s="92" t="n">
        <v>16</v>
      </c>
      <c r="U16" s="93" t="n">
        <v>17</v>
      </c>
      <c r="V16" s="92" t="n">
        <v>18</v>
      </c>
      <c r="W16" s="92" t="n">
        <v>19</v>
      </c>
      <c r="X16" s="92" t="n">
        <v>20</v>
      </c>
      <c r="Y16" s="92" t="n">
        <v>21</v>
      </c>
      <c r="Z16" s="92" t="n">
        <v>22</v>
      </c>
      <c r="AA16" s="92" t="n">
        <v>23</v>
      </c>
      <c r="AB16" s="93" t="n">
        <v>24</v>
      </c>
      <c r="AC16" s="92" t="n">
        <v>25</v>
      </c>
      <c r="AD16" s="92" t="n">
        <v>26</v>
      </c>
      <c r="AE16" s="92" t="n">
        <v>27</v>
      </c>
      <c r="AF16" s="92" t="n">
        <v>28</v>
      </c>
      <c r="AG16" s="92" t="n">
        <v>29</v>
      </c>
      <c r="AH16" s="92" t="n">
        <v>30</v>
      </c>
      <c r="AI16" s="94" t="inlineStr">
        <is>
          <t>Success %</t>
        </is>
      </c>
      <c r="AJ16" s="94" t="inlineStr">
        <is>
          <t>Done / Target</t>
        </is>
      </c>
      <c r="AK16" s="94" t="inlineStr">
        <is>
          <t>Status</t>
        </is>
      </c>
      <c r="AL16" t="inlineStr">
        <is>
          <t>Done Count</t>
        </is>
      </c>
    </row>
    <row r="17" ht="15" customHeight="1">
      <c r="A17" s="54" t="n"/>
      <c r="B17" s="54" t="n"/>
      <c r="C17" s="54" t="n"/>
      <c r="D17" s="54" t="n"/>
      <c r="E17" s="95" t="inlineStr">
        <is>
          <t>F</t>
        </is>
      </c>
      <c r="F17" s="95" t="inlineStr">
        <is>
          <t>Sa</t>
        </is>
      </c>
      <c r="G17" s="96" t="inlineStr">
        <is>
          <t>Su</t>
        </is>
      </c>
      <c r="H17" s="95" t="inlineStr">
        <is>
          <t>M</t>
        </is>
      </c>
      <c r="I17" s="95" t="inlineStr">
        <is>
          <t>T</t>
        </is>
      </c>
      <c r="J17" s="95" t="inlineStr">
        <is>
          <t>W</t>
        </is>
      </c>
      <c r="K17" s="95" t="inlineStr">
        <is>
          <t>Th</t>
        </is>
      </c>
      <c r="L17" s="95" t="inlineStr">
        <is>
          <t>F</t>
        </is>
      </c>
      <c r="M17" s="95" t="inlineStr">
        <is>
          <t>Sa</t>
        </is>
      </c>
      <c r="N17" s="96" t="inlineStr">
        <is>
          <t>Su</t>
        </is>
      </c>
      <c r="O17" s="95" t="inlineStr">
        <is>
          <t>M</t>
        </is>
      </c>
      <c r="P17" s="95" t="inlineStr">
        <is>
          <t>T</t>
        </is>
      </c>
      <c r="Q17" s="95" t="inlineStr">
        <is>
          <t>W</t>
        </is>
      </c>
      <c r="R17" s="95" t="inlineStr">
        <is>
          <t>Th</t>
        </is>
      </c>
      <c r="S17" s="95" t="inlineStr">
        <is>
          <t>F</t>
        </is>
      </c>
      <c r="T17" s="95" t="inlineStr">
        <is>
          <t>Sa</t>
        </is>
      </c>
      <c r="U17" s="96" t="inlineStr">
        <is>
          <t>Su</t>
        </is>
      </c>
      <c r="V17" s="95" t="inlineStr">
        <is>
          <t>M</t>
        </is>
      </c>
      <c r="W17" s="95" t="inlineStr">
        <is>
          <t>T</t>
        </is>
      </c>
      <c r="X17" s="95" t="inlineStr">
        <is>
          <t>W</t>
        </is>
      </c>
      <c r="Y17" s="95" t="inlineStr">
        <is>
          <t>Th</t>
        </is>
      </c>
      <c r="Z17" s="95" t="inlineStr">
        <is>
          <t>F</t>
        </is>
      </c>
      <c r="AA17" s="95" t="inlineStr">
        <is>
          <t>Sa</t>
        </is>
      </c>
      <c r="AB17" s="96" t="inlineStr">
        <is>
          <t>Su</t>
        </is>
      </c>
      <c r="AC17" s="95" t="inlineStr">
        <is>
          <t>M</t>
        </is>
      </c>
      <c r="AD17" s="95" t="inlineStr">
        <is>
          <t>T</t>
        </is>
      </c>
      <c r="AE17" s="95" t="inlineStr">
        <is>
          <t>W</t>
        </is>
      </c>
      <c r="AF17" s="95" t="inlineStr">
        <is>
          <t>Th</t>
        </is>
      </c>
      <c r="AG17" s="95" t="inlineStr">
        <is>
          <t>F</t>
        </is>
      </c>
      <c r="AH17" s="95" t="inlineStr">
        <is>
          <t>Sa</t>
        </is>
      </c>
      <c r="AI17" s="54" t="n"/>
      <c r="AJ17" s="54" t="n"/>
      <c r="AK17" s="54" t="n"/>
    </row>
    <row r="18" ht="14.5" customHeight="1">
      <c r="A18" s="97" t="n">
        <v>1</v>
      </c>
      <c r="B18" s="98" t="n"/>
      <c r="C18" s="99" t="n"/>
      <c r="D18" s="99" t="n"/>
      <c r="E18" s="100" t="n"/>
      <c r="F18" s="100" t="n"/>
      <c r="G18" s="101" t="n"/>
      <c r="H18" s="100" t="n"/>
      <c r="I18" s="100" t="n"/>
      <c r="J18" s="100" t="n"/>
      <c r="K18" s="100" t="n"/>
      <c r="L18" s="100" t="n"/>
      <c r="M18" s="100" t="n"/>
      <c r="N18" s="101" t="n"/>
      <c r="O18" s="100" t="n"/>
      <c r="P18" s="100" t="n"/>
      <c r="Q18" s="100" t="n"/>
      <c r="R18" s="100" t="n"/>
      <c r="S18" s="100" t="n"/>
      <c r="T18" s="100" t="n"/>
      <c r="U18" s="101" t="n"/>
      <c r="V18" s="100" t="n"/>
      <c r="W18" s="100" t="n"/>
      <c r="X18" s="100" t="n"/>
      <c r="Y18" s="100" t="n"/>
      <c r="Z18" s="100" t="n"/>
      <c r="AA18" s="100" t="n"/>
      <c r="AB18" s="101" t="n"/>
      <c r="AC18" s="100" t="n"/>
      <c r="AD18" s="100" t="n"/>
      <c r="AE18" s="100" t="n"/>
      <c r="AF18" s="100" t="n"/>
      <c r="AG18" s="100" t="n"/>
      <c r="AH18" s="100" t="n"/>
      <c r="AI18" s="102">
        <f>IF(ISBLANK(B18), "", IF(ISNUMBER(D18), IF(D18&gt;0, (COUNTIF(E18:AH18, "✓") + COUNTIF(E18:AH18, "✔") + COUNTIF(E18:AH18, "v") + COUNTIF(E18:AH18, "V"))/D18, 0), IF(((COUNTIF(E18:AH18, "✓") + COUNTIF(E18:AH18, "✔") + COUNTIF(E18:AH18, "v") + COUNTIF(E18:AH18, "V")) + COUNTIF(E18:AH18, "✗") + COUNTIF(E18:AH18, "x") + COUNTIF(E18:AH18, "X"))&gt;0, (COUNTIF(E18:AH18, "✓") + COUNTIF(E18:AH18, "✔") + COUNTIF(E18:AH18, "v") + COUNTIF(E18:AH18, "V"))/((COUNTIF(E18:AH18, "✓") + COUNTIF(E18:AH18, "✔") + COUNTIF(E18:AH18, "v") + COUNTIF(E18:AH18, "V")) + COUNTIF(E18:AH18, "✗") + COUNTIF(E18:AH18, "x") + COUNTIF(E18:AH18, "X")), "")))</f>
        <v/>
      </c>
      <c r="AJ18" s="103">
        <f>IF(ISBLANK(B18), "", IF(ISNUMBER(D18), IF(D18&gt;0, (COUNTIF(E18:AH18, "✓") + COUNTIF(E18:AH18, "✔") + COUNTIF(E18:AH18, "v") + COUNTIF(E18:AH18, "V")) &amp; "/" &amp; D18, (COUNTIF(E18:AH18, "✓") + COUNTIF(E18:AH18, "✔") + COUNTIF(E18:AH18, "v") + COUNTIF(E18:AH18, "V")) &amp; "/0"), IF(((COUNTIF(E18:AH18, "✓") + COUNTIF(E18:AH18, "✔") + COUNTIF(E18:AH18, "v") + COUNTIF(E18:AH18, "V")) + COUNTIF(E18:AH18, "✗") + COUNTIF(E18:AH18, "x") + COUNTIF(E18:AH18, "X"))&gt;0, (COUNTIF(E18:AH18, "✓") + COUNTIF(E18:AH18, "✔") + COUNTIF(E18:AH18, "v") + COUNTIF(E18:AH18, "V")) &amp; "/" &amp; ((COUNTIF(E18:AH18, "✓") + COUNTIF(E18:AH18, "✔") + COUNTIF(E18:AH18, "v") + COUNTIF(E18:AH18, "V")) + COUNTIF(E18:AH18, "✗") + COUNTIF(E18:AH18, "x") + COUNTIF(E18:AH18, "X")), "")))</f>
        <v/>
      </c>
      <c r="AK18" s="103">
        <f>IF(ISBLANK(B18), "", IF(AI18&gt;=0.85, "🔥 Mastered", IF(AI18&gt;=0.7, "⚡ Consistent", "⚠️ Needs Focus")))</f>
        <v/>
      </c>
      <c r="AL18">
        <f>COUNTIF(E18:AH18, "✓")</f>
        <v/>
      </c>
    </row>
    <row r="19" ht="14.5" customHeight="1">
      <c r="A19" s="97" t="n">
        <v>2</v>
      </c>
      <c r="B19" s="98" t="n"/>
      <c r="C19" s="99" t="n"/>
      <c r="D19" s="99" t="n"/>
      <c r="E19" s="100" t="n"/>
      <c r="F19" s="100" t="n"/>
      <c r="G19" s="101" t="n"/>
      <c r="H19" s="100" t="n"/>
      <c r="I19" s="100" t="n"/>
      <c r="J19" s="100" t="n"/>
      <c r="K19" s="100" t="n"/>
      <c r="L19" s="100" t="n"/>
      <c r="M19" s="100" t="n"/>
      <c r="N19" s="101" t="n"/>
      <c r="O19" s="100" t="n"/>
      <c r="P19" s="100" t="n"/>
      <c r="Q19" s="100" t="n"/>
      <c r="R19" s="100" t="n"/>
      <c r="S19" s="100" t="n"/>
      <c r="T19" s="100" t="n"/>
      <c r="U19" s="101" t="n"/>
      <c r="V19" s="100" t="n"/>
      <c r="W19" s="100" t="n"/>
      <c r="X19" s="100" t="n"/>
      <c r="Y19" s="100" t="n"/>
      <c r="Z19" s="100" t="n"/>
      <c r="AA19" s="100" t="n"/>
      <c r="AB19" s="101" t="n"/>
      <c r="AC19" s="100" t="n"/>
      <c r="AD19" s="100" t="n"/>
      <c r="AE19" s="100" t="n"/>
      <c r="AF19" s="100" t="n"/>
      <c r="AG19" s="100" t="n"/>
      <c r="AH19" s="100" t="n"/>
      <c r="AI19" s="102">
        <f>IF(ISBLANK(B19), "", IF(ISNUMBER(D19), IF(D19&gt;0, (COUNTIF(E19:AH19, "✓") + COUNTIF(E19:AH19, "✔") + COUNTIF(E19:AH19, "v") + COUNTIF(E19:AH19, "V"))/D19, 0), IF(((COUNTIF(E19:AH19, "✓") + COUNTIF(E19:AH19, "✔") + COUNTIF(E19:AH19, "v") + COUNTIF(E19:AH19, "V")) + COUNTIF(E19:AH19, "✗") + COUNTIF(E19:AH19, "x") + COUNTIF(E19:AH19, "X"))&gt;0, (COUNTIF(E19:AH19, "✓") + COUNTIF(E19:AH19, "✔") + COUNTIF(E19:AH19, "v") + COUNTIF(E19:AH19, "V"))/((COUNTIF(E19:AH19, "✓") + COUNTIF(E19:AH19, "✔") + COUNTIF(E19:AH19, "v") + COUNTIF(E19:AH19, "V")) + COUNTIF(E19:AH19, "✗") + COUNTIF(E19:AH19, "x") + COUNTIF(E19:AH19, "X")), "")))</f>
        <v/>
      </c>
      <c r="AJ19" s="103">
        <f>IF(ISBLANK(B19), "", IF(ISNUMBER(D19), IF(D19&gt;0, (COUNTIF(E19:AH19, "✓") + COUNTIF(E19:AH19, "✔") + COUNTIF(E19:AH19, "v") + COUNTIF(E19:AH19, "V")) &amp; "/" &amp; D19, (COUNTIF(E19:AH19, "✓") + COUNTIF(E19:AH19, "✔") + COUNTIF(E19:AH19, "v") + COUNTIF(E19:AH19, "V")) &amp; "/0"), IF(((COUNTIF(E19:AH19, "✓") + COUNTIF(E19:AH19, "✔") + COUNTIF(E19:AH19, "v") + COUNTIF(E19:AH19, "V")) + COUNTIF(E19:AH19, "✗") + COUNTIF(E19:AH19, "x") + COUNTIF(E19:AH19, "X"))&gt;0, (COUNTIF(E19:AH19, "✓") + COUNTIF(E19:AH19, "✔") + COUNTIF(E19:AH19, "v") + COUNTIF(E19:AH19, "V")) &amp; "/" &amp; ((COUNTIF(E19:AH19, "✓") + COUNTIF(E19:AH19, "✔") + COUNTIF(E19:AH19, "v") + COUNTIF(E19:AH19, "V")) + COUNTIF(E19:AH19, "✗") + COUNTIF(E19:AH19, "x") + COUNTIF(E19:AH19, "X")), "")))</f>
        <v/>
      </c>
      <c r="AK19" s="103">
        <f>IF(ISBLANK(B19), "", IF(AI19&gt;=0.85, "🔥 Mastered", IF(AI19&gt;=0.7, "⚡ Consistent", "⚠️ Needs Focus")))</f>
        <v/>
      </c>
      <c r="AL19">
        <f>COUNTIF(E19:AH19, "✓")</f>
        <v/>
      </c>
    </row>
    <row r="20" ht="14.5" customHeight="1">
      <c r="A20" s="97" t="n">
        <v>3</v>
      </c>
      <c r="B20" s="98" t="n"/>
      <c r="C20" s="99" t="n"/>
      <c r="D20" s="99" t="n"/>
      <c r="E20" s="100" t="n"/>
      <c r="F20" s="100" t="n"/>
      <c r="G20" s="101" t="n"/>
      <c r="H20" s="100" t="n"/>
      <c r="I20" s="100" t="n"/>
      <c r="J20" s="100" t="n"/>
      <c r="K20" s="100" t="n"/>
      <c r="L20" s="100" t="n"/>
      <c r="M20" s="100" t="n"/>
      <c r="N20" s="101" t="n"/>
      <c r="O20" s="100" t="n"/>
      <c r="P20" s="100" t="n"/>
      <c r="Q20" s="100" t="n"/>
      <c r="R20" s="100" t="n"/>
      <c r="S20" s="100" t="n"/>
      <c r="T20" s="100" t="n"/>
      <c r="U20" s="101" t="n"/>
      <c r="V20" s="100" t="n"/>
      <c r="W20" s="100" t="n"/>
      <c r="X20" s="100" t="n"/>
      <c r="Y20" s="100" t="n"/>
      <c r="Z20" s="100" t="n"/>
      <c r="AA20" s="100" t="n"/>
      <c r="AB20" s="101" t="n"/>
      <c r="AC20" s="100" t="n"/>
      <c r="AD20" s="100" t="n"/>
      <c r="AE20" s="100" t="n"/>
      <c r="AF20" s="100" t="n"/>
      <c r="AG20" s="100" t="n"/>
      <c r="AH20" s="100" t="n"/>
      <c r="AI20" s="102">
        <f>IF(ISBLANK(B20), "", IF(ISNUMBER(D20), IF(D20&gt;0, (COUNTIF(E20:AH20, "✓") + COUNTIF(E20:AH20, "✔") + COUNTIF(E20:AH20, "v") + COUNTIF(E20:AH20, "V"))/D20, 0), IF(((COUNTIF(E20:AH20, "✓") + COUNTIF(E20:AH20, "✔") + COUNTIF(E20:AH20, "v") + COUNTIF(E20:AH20, "V")) + COUNTIF(E20:AH20, "✗") + COUNTIF(E20:AH20, "x") + COUNTIF(E20:AH20, "X"))&gt;0, (COUNTIF(E20:AH20, "✓") + COUNTIF(E20:AH20, "✔") + COUNTIF(E20:AH20, "v") + COUNTIF(E20:AH20, "V"))/((COUNTIF(E20:AH20, "✓") + COUNTIF(E20:AH20, "✔") + COUNTIF(E20:AH20, "v") + COUNTIF(E20:AH20, "V")) + COUNTIF(E20:AH20, "✗") + COUNTIF(E20:AH20, "x") + COUNTIF(E20:AH20, "X")), "")))</f>
        <v/>
      </c>
      <c r="AJ20" s="103">
        <f>IF(ISBLANK(B20), "", IF(ISNUMBER(D20), IF(D20&gt;0, (COUNTIF(E20:AH20, "✓") + COUNTIF(E20:AH20, "✔") + COUNTIF(E20:AH20, "v") + COUNTIF(E20:AH20, "V")) &amp; "/" &amp; D20, (COUNTIF(E20:AH20, "✓") + COUNTIF(E20:AH20, "✔") + COUNTIF(E20:AH20, "v") + COUNTIF(E20:AH20, "V")) &amp; "/0"), IF(((COUNTIF(E20:AH20, "✓") + COUNTIF(E20:AH20, "✔") + COUNTIF(E20:AH20, "v") + COUNTIF(E20:AH20, "V")) + COUNTIF(E20:AH20, "✗") + COUNTIF(E20:AH20, "x") + COUNTIF(E20:AH20, "X"))&gt;0, (COUNTIF(E20:AH20, "✓") + COUNTIF(E20:AH20, "✔") + COUNTIF(E20:AH20, "v") + COUNTIF(E20:AH20, "V")) &amp; "/" &amp; ((COUNTIF(E20:AH20, "✓") + COUNTIF(E20:AH20, "✔") + COUNTIF(E20:AH20, "v") + COUNTIF(E20:AH20, "V")) + COUNTIF(E20:AH20, "✗") + COUNTIF(E20:AH20, "x") + COUNTIF(E20:AH20, "X")), "")))</f>
        <v/>
      </c>
      <c r="AK20" s="103">
        <f>IF(ISBLANK(B20), "", IF(AI20&gt;=0.85, "🔥 Mastered", IF(AI20&gt;=0.7, "⚡ Consistent", "⚠️ Needs Focus")))</f>
        <v/>
      </c>
      <c r="AL20">
        <f>COUNTIF(E20:AH20, "✓")</f>
        <v/>
      </c>
    </row>
    <row r="21" ht="14.5" customHeight="1">
      <c r="A21" s="97" t="n">
        <v>4</v>
      </c>
      <c r="B21" s="98" t="n"/>
      <c r="C21" s="99" t="n"/>
      <c r="D21" s="99" t="n"/>
      <c r="E21" s="100" t="n"/>
      <c r="F21" s="100" t="n"/>
      <c r="G21" s="101" t="n"/>
      <c r="H21" s="100" t="n"/>
      <c r="I21" s="100" t="n"/>
      <c r="J21" s="100" t="n"/>
      <c r="K21" s="100" t="n"/>
      <c r="L21" s="100" t="n"/>
      <c r="M21" s="100" t="n"/>
      <c r="N21" s="101" t="n"/>
      <c r="O21" s="100" t="n"/>
      <c r="P21" s="100" t="n"/>
      <c r="Q21" s="100" t="n"/>
      <c r="R21" s="100" t="n"/>
      <c r="S21" s="100" t="n"/>
      <c r="T21" s="100" t="n"/>
      <c r="U21" s="101" t="n"/>
      <c r="V21" s="100" t="n"/>
      <c r="W21" s="100" t="n"/>
      <c r="X21" s="100" t="n"/>
      <c r="Y21" s="100" t="n"/>
      <c r="Z21" s="100" t="n"/>
      <c r="AA21" s="100" t="n"/>
      <c r="AB21" s="101" t="n"/>
      <c r="AC21" s="100" t="n"/>
      <c r="AD21" s="100" t="n"/>
      <c r="AE21" s="100" t="n"/>
      <c r="AF21" s="100" t="n"/>
      <c r="AG21" s="100" t="n"/>
      <c r="AH21" s="100" t="n"/>
      <c r="AI21" s="102">
        <f>IF(ISBLANK(B21), "", IF(ISNUMBER(D21), IF(D21&gt;0, (COUNTIF(E21:AH21, "✓") + COUNTIF(E21:AH21, "✔") + COUNTIF(E21:AH21, "v") + COUNTIF(E21:AH21, "V"))/D21, 0), IF(((COUNTIF(E21:AH21, "✓") + COUNTIF(E21:AH21, "✔") + COUNTIF(E21:AH21, "v") + COUNTIF(E21:AH21, "V")) + COUNTIF(E21:AH21, "✗") + COUNTIF(E21:AH21, "x") + COUNTIF(E21:AH21, "X"))&gt;0, (COUNTIF(E21:AH21, "✓") + COUNTIF(E21:AH21, "✔") + COUNTIF(E21:AH21, "v") + COUNTIF(E21:AH21, "V"))/((COUNTIF(E21:AH21, "✓") + COUNTIF(E21:AH21, "✔") + COUNTIF(E21:AH21, "v") + COUNTIF(E21:AH21, "V")) + COUNTIF(E21:AH21, "✗") + COUNTIF(E21:AH21, "x") + COUNTIF(E21:AH21, "X")), "")))</f>
        <v/>
      </c>
      <c r="AJ21" s="103">
        <f>IF(ISBLANK(B21), "", IF(ISNUMBER(D21), IF(D21&gt;0, (COUNTIF(E21:AH21, "✓") + COUNTIF(E21:AH21, "✔") + COUNTIF(E21:AH21, "v") + COUNTIF(E21:AH21, "V")) &amp; "/" &amp; D21, (COUNTIF(E21:AH21, "✓") + COUNTIF(E21:AH21, "✔") + COUNTIF(E21:AH21, "v") + COUNTIF(E21:AH21, "V")) &amp; "/0"), IF(((COUNTIF(E21:AH21, "✓") + COUNTIF(E21:AH21, "✔") + COUNTIF(E21:AH21, "v") + COUNTIF(E21:AH21, "V")) + COUNTIF(E21:AH21, "✗") + COUNTIF(E21:AH21, "x") + COUNTIF(E21:AH21, "X"))&gt;0, (COUNTIF(E21:AH21, "✓") + COUNTIF(E21:AH21, "✔") + COUNTIF(E21:AH21, "v") + COUNTIF(E21:AH21, "V")) &amp; "/" &amp; ((COUNTIF(E21:AH21, "✓") + COUNTIF(E21:AH21, "✔") + COUNTIF(E21:AH21, "v") + COUNTIF(E21:AH21, "V")) + COUNTIF(E21:AH21, "✗") + COUNTIF(E21:AH21, "x") + COUNTIF(E21:AH21, "X")), "")))</f>
        <v/>
      </c>
      <c r="AK21" s="103">
        <f>IF(ISBLANK(B21), "", IF(AI21&gt;=0.85, "🔥 Mastered", IF(AI21&gt;=0.7, "⚡ Consistent", "⚠️ Needs Focus")))</f>
        <v/>
      </c>
      <c r="AL21">
        <f>COUNTIF(E21:AH21, "✓")</f>
        <v/>
      </c>
    </row>
    <row r="22" ht="14.5" customHeight="1">
      <c r="A22" s="104" t="n">
        <v>5</v>
      </c>
      <c r="B22" s="105" t="n"/>
      <c r="C22" s="106" t="n"/>
      <c r="D22" s="106" t="n"/>
      <c r="E22" s="107" t="n"/>
      <c r="F22" s="107" t="n"/>
      <c r="G22" s="108" t="n"/>
      <c r="H22" s="107" t="n"/>
      <c r="I22" s="107" t="n"/>
      <c r="J22" s="107" t="n"/>
      <c r="K22" s="107" t="n"/>
      <c r="L22" s="107" t="n"/>
      <c r="M22" s="107" t="n"/>
      <c r="N22" s="108" t="n"/>
      <c r="O22" s="107" t="n"/>
      <c r="P22" s="107" t="n"/>
      <c r="Q22" s="107" t="n"/>
      <c r="R22" s="107" t="n"/>
      <c r="S22" s="107" t="n"/>
      <c r="T22" s="107" t="n"/>
      <c r="U22" s="108" t="n"/>
      <c r="V22" s="107" t="n"/>
      <c r="W22" s="107" t="n"/>
      <c r="X22" s="107" t="n"/>
      <c r="Y22" s="107" t="n"/>
      <c r="Z22" s="107" t="n"/>
      <c r="AA22" s="107" t="n"/>
      <c r="AB22" s="108" t="n"/>
      <c r="AC22" s="107" t="n"/>
      <c r="AD22" s="107" t="n"/>
      <c r="AE22" s="107" t="n"/>
      <c r="AF22" s="107" t="n"/>
      <c r="AG22" s="107" t="n"/>
      <c r="AH22" s="107" t="n"/>
      <c r="AI22" s="109">
        <f>IF(ISBLANK(B22), "", IF(ISNUMBER(D22), IF(D22&gt;0, (COUNTIF(E22:AH22, "✓") + COUNTIF(E22:AH22, "✔") + COUNTIF(E22:AH22, "v") + COUNTIF(E22:AH22, "V"))/D22, 0), IF(((COUNTIF(E22:AH22, "✓") + COUNTIF(E22:AH22, "✔") + COUNTIF(E22:AH22, "v") + COUNTIF(E22:AH22, "V")) + COUNTIF(E22:AH22, "✗") + COUNTIF(E22:AH22, "x") + COUNTIF(E22:AH22, "X"))&gt;0, (COUNTIF(E22:AH22, "✓") + COUNTIF(E22:AH22, "✔") + COUNTIF(E22:AH22, "v") + COUNTIF(E22:AH22, "V"))/((COUNTIF(E22:AH22, "✓") + COUNTIF(E22:AH22, "✔") + COUNTIF(E22:AH22, "v") + COUNTIF(E22:AH22, "V")) + COUNTIF(E22:AH22, "✗") + COUNTIF(E22:AH22, "x") + COUNTIF(E22:AH22, "X")), "")))</f>
        <v/>
      </c>
      <c r="AJ22" s="110">
        <f>IF(ISBLANK(B22), "", IF(ISNUMBER(D22), IF(D22&gt;0, (COUNTIF(E22:AH22, "✓") + COUNTIF(E22:AH22, "✔") + COUNTIF(E22:AH22, "v") + COUNTIF(E22:AH22, "V")) &amp; "/" &amp; D22, (COUNTIF(E22:AH22, "✓") + COUNTIF(E22:AH22, "✔") + COUNTIF(E22:AH22, "v") + COUNTIF(E22:AH22, "V")) &amp; "/0"), IF(((COUNTIF(E22:AH22, "✓") + COUNTIF(E22:AH22, "✔") + COUNTIF(E22:AH22, "v") + COUNTIF(E22:AH22, "V")) + COUNTIF(E22:AH22, "✗") + COUNTIF(E22:AH22, "x") + COUNTIF(E22:AH22, "X"))&gt;0, (COUNTIF(E22:AH22, "✓") + COUNTIF(E22:AH22, "✔") + COUNTIF(E22:AH22, "v") + COUNTIF(E22:AH22, "V")) &amp; "/" &amp; ((COUNTIF(E22:AH22, "✓") + COUNTIF(E22:AH22, "✔") + COUNTIF(E22:AH22, "v") + COUNTIF(E22:AH22, "V")) + COUNTIF(E22:AH22, "✗") + COUNTIF(E22:AH22, "x") + COUNTIF(E22:AH22, "X")), "")))</f>
        <v/>
      </c>
      <c r="AK22" s="110">
        <f>IF(ISBLANK(B22), "", IF(AI22&gt;=0.85, "🔥 Mastered", IF(AI22&gt;=0.7, "⚡ Consistent", "⚠️ Needs Focus")))</f>
        <v/>
      </c>
      <c r="AL22">
        <f>COUNTIF(E22:AH22, "✓")</f>
        <v/>
      </c>
    </row>
    <row r="23" ht="14.5" customHeight="1">
      <c r="A23" s="104" t="n">
        <v>6</v>
      </c>
      <c r="B23" s="105" t="n"/>
      <c r="C23" s="106" t="n"/>
      <c r="D23" s="106" t="n"/>
      <c r="E23" s="107" t="n"/>
      <c r="F23" s="107" t="n"/>
      <c r="G23" s="108" t="n"/>
      <c r="H23" s="107" t="n"/>
      <c r="I23" s="107" t="n"/>
      <c r="J23" s="107" t="n"/>
      <c r="K23" s="107" t="n"/>
      <c r="L23" s="107" t="n"/>
      <c r="M23" s="107" t="n"/>
      <c r="N23" s="108" t="n"/>
      <c r="O23" s="107" t="n"/>
      <c r="P23" s="107" t="n"/>
      <c r="Q23" s="107" t="n"/>
      <c r="R23" s="107" t="n"/>
      <c r="S23" s="107" t="n"/>
      <c r="T23" s="107" t="n"/>
      <c r="U23" s="108" t="n"/>
      <c r="V23" s="107" t="n"/>
      <c r="W23" s="107" t="n"/>
      <c r="X23" s="107" t="n"/>
      <c r="Y23" s="107" t="n"/>
      <c r="Z23" s="107" t="n"/>
      <c r="AA23" s="107" t="n"/>
      <c r="AB23" s="108" t="n"/>
      <c r="AC23" s="107" t="n"/>
      <c r="AD23" s="107" t="n"/>
      <c r="AE23" s="107" t="n"/>
      <c r="AF23" s="107" t="n"/>
      <c r="AG23" s="107" t="n"/>
      <c r="AH23" s="107" t="n"/>
      <c r="AI23" s="109">
        <f>IF(ISBLANK(B23), "", IF(ISNUMBER(D23), IF(D23&gt;0, (COUNTIF(E23:AH23, "✓") + COUNTIF(E23:AH23, "✔") + COUNTIF(E23:AH23, "v") + COUNTIF(E23:AH23, "V"))/D23, 0), IF(((COUNTIF(E23:AH23, "✓") + COUNTIF(E23:AH23, "✔") + COUNTIF(E23:AH23, "v") + COUNTIF(E23:AH23, "V")) + COUNTIF(E23:AH23, "✗") + COUNTIF(E23:AH23, "x") + COUNTIF(E23:AH23, "X"))&gt;0, (COUNTIF(E23:AH23, "✓") + COUNTIF(E23:AH23, "✔") + COUNTIF(E23:AH23, "v") + COUNTIF(E23:AH23, "V"))/((COUNTIF(E23:AH23, "✓") + COUNTIF(E23:AH23, "✔") + COUNTIF(E23:AH23, "v") + COUNTIF(E23:AH23, "V")) + COUNTIF(E23:AH23, "✗") + COUNTIF(E23:AH23, "x") + COUNTIF(E23:AH23, "X")), "")))</f>
        <v/>
      </c>
      <c r="AJ23" s="110">
        <f>IF(ISBLANK(B23), "", IF(ISNUMBER(D23), IF(D23&gt;0, (COUNTIF(E23:AH23, "✓") + COUNTIF(E23:AH23, "✔") + COUNTIF(E23:AH23, "v") + COUNTIF(E23:AH23, "V")) &amp; "/" &amp; D23, (COUNTIF(E23:AH23, "✓") + COUNTIF(E23:AH23, "✔") + COUNTIF(E23:AH23, "v") + COUNTIF(E23:AH23, "V")) &amp; "/0"), IF(((COUNTIF(E23:AH23, "✓") + COUNTIF(E23:AH23, "✔") + COUNTIF(E23:AH23, "v") + COUNTIF(E23:AH23, "V")) + COUNTIF(E23:AH23, "✗") + COUNTIF(E23:AH23, "x") + COUNTIF(E23:AH23, "X"))&gt;0, (COUNTIF(E23:AH23, "✓") + COUNTIF(E23:AH23, "✔") + COUNTIF(E23:AH23, "v") + COUNTIF(E23:AH23, "V")) &amp; "/" &amp; ((COUNTIF(E23:AH23, "✓") + COUNTIF(E23:AH23, "✔") + COUNTIF(E23:AH23, "v") + COUNTIF(E23:AH23, "V")) + COUNTIF(E23:AH23, "✗") + COUNTIF(E23:AH23, "x") + COUNTIF(E23:AH23, "X")), "")))</f>
        <v/>
      </c>
      <c r="AK23" s="110">
        <f>IF(ISBLANK(B23), "", IF(AI23&gt;=0.85, "🔥 Mastered", IF(AI23&gt;=0.7, "⚡ Consistent", "⚠️ Needs Focus")))</f>
        <v/>
      </c>
      <c r="AL23">
        <f>COUNTIF(E23:AH23, "✓")</f>
        <v/>
      </c>
    </row>
    <row r="24" ht="14.5" customHeight="1">
      <c r="A24" s="104" t="n">
        <v>7</v>
      </c>
      <c r="B24" s="105" t="n"/>
      <c r="C24" s="106" t="n"/>
      <c r="D24" s="106" t="n"/>
      <c r="E24" s="107" t="n"/>
      <c r="F24" s="107" t="n"/>
      <c r="G24" s="108" t="n"/>
      <c r="H24" s="107" t="n"/>
      <c r="I24" s="107" t="n"/>
      <c r="J24" s="107" t="n"/>
      <c r="K24" s="107" t="n"/>
      <c r="L24" s="107" t="n"/>
      <c r="M24" s="107" t="n"/>
      <c r="N24" s="108" t="n"/>
      <c r="O24" s="107" t="n"/>
      <c r="P24" s="107" t="n"/>
      <c r="Q24" s="107" t="n"/>
      <c r="R24" s="107" t="n"/>
      <c r="S24" s="107" t="n"/>
      <c r="T24" s="107" t="n"/>
      <c r="U24" s="108" t="n"/>
      <c r="V24" s="107" t="n"/>
      <c r="W24" s="107" t="n"/>
      <c r="X24" s="107" t="n"/>
      <c r="Y24" s="107" t="n"/>
      <c r="Z24" s="107" t="n"/>
      <c r="AA24" s="107" t="n"/>
      <c r="AB24" s="108" t="n"/>
      <c r="AC24" s="107" t="n"/>
      <c r="AD24" s="107" t="n"/>
      <c r="AE24" s="107" t="n"/>
      <c r="AF24" s="107" t="n"/>
      <c r="AG24" s="107" t="n"/>
      <c r="AH24" s="107" t="n"/>
      <c r="AI24" s="109">
        <f>IF(ISBLANK(B24), "", IF(ISNUMBER(D24), IF(D24&gt;0, (COUNTIF(E24:AH24, "✓") + COUNTIF(E24:AH24, "✔") + COUNTIF(E24:AH24, "v") + COUNTIF(E24:AH24, "V"))/D24, 0), IF(((COUNTIF(E24:AH24, "✓") + COUNTIF(E24:AH24, "✔") + COUNTIF(E24:AH24, "v") + COUNTIF(E24:AH24, "V")) + COUNTIF(E24:AH24, "✗") + COUNTIF(E24:AH24, "x") + COUNTIF(E24:AH24, "X"))&gt;0, (COUNTIF(E24:AH24, "✓") + COUNTIF(E24:AH24, "✔") + COUNTIF(E24:AH24, "v") + COUNTIF(E24:AH24, "V"))/((COUNTIF(E24:AH24, "✓") + COUNTIF(E24:AH24, "✔") + COUNTIF(E24:AH24, "v") + COUNTIF(E24:AH24, "V")) + COUNTIF(E24:AH24, "✗") + COUNTIF(E24:AH24, "x") + COUNTIF(E24:AH24, "X")), "")))</f>
        <v/>
      </c>
      <c r="AJ24" s="110">
        <f>IF(ISBLANK(B24), "", IF(ISNUMBER(D24), IF(D24&gt;0, (COUNTIF(E24:AH24, "✓") + COUNTIF(E24:AH24, "✔") + COUNTIF(E24:AH24, "v") + COUNTIF(E24:AH24, "V")) &amp; "/" &amp; D24, (COUNTIF(E24:AH24, "✓") + COUNTIF(E24:AH24, "✔") + COUNTIF(E24:AH24, "v") + COUNTIF(E24:AH24, "V")) &amp; "/0"), IF(((COUNTIF(E24:AH24, "✓") + COUNTIF(E24:AH24, "✔") + COUNTIF(E24:AH24, "v") + COUNTIF(E24:AH24, "V")) + COUNTIF(E24:AH24, "✗") + COUNTIF(E24:AH24, "x") + COUNTIF(E24:AH24, "X"))&gt;0, (COUNTIF(E24:AH24, "✓") + COUNTIF(E24:AH24, "✔") + COUNTIF(E24:AH24, "v") + COUNTIF(E24:AH24, "V")) &amp; "/" &amp; ((COUNTIF(E24:AH24, "✓") + COUNTIF(E24:AH24, "✔") + COUNTIF(E24:AH24, "v") + COUNTIF(E24:AH24, "V")) + COUNTIF(E24:AH24, "✗") + COUNTIF(E24:AH24, "x") + COUNTIF(E24:AH24, "X")), "")))</f>
        <v/>
      </c>
      <c r="AK24" s="110">
        <f>IF(ISBLANK(B24), "", IF(AI24&gt;=0.85, "🔥 Mastered", IF(AI24&gt;=0.7, "⚡ Consistent", "⚠️ Needs Focus")))</f>
        <v/>
      </c>
      <c r="AL24">
        <f>COUNTIF(E24:AH24, "✓")</f>
        <v/>
      </c>
    </row>
    <row r="25" ht="14.5" customHeight="1">
      <c r="A25" s="104" t="n">
        <v>8</v>
      </c>
      <c r="B25" s="105" t="n"/>
      <c r="C25" s="106" t="n"/>
      <c r="D25" s="106" t="n"/>
      <c r="E25" s="107" t="n"/>
      <c r="F25" s="107" t="n"/>
      <c r="G25" s="108" t="n"/>
      <c r="H25" s="107" t="n"/>
      <c r="I25" s="107" t="n"/>
      <c r="J25" s="107" t="n"/>
      <c r="K25" s="107" t="n"/>
      <c r="L25" s="107" t="n"/>
      <c r="M25" s="107" t="n"/>
      <c r="N25" s="108" t="n"/>
      <c r="O25" s="107" t="n"/>
      <c r="P25" s="107" t="n"/>
      <c r="Q25" s="107" t="n"/>
      <c r="R25" s="107" t="n"/>
      <c r="S25" s="107" t="n"/>
      <c r="T25" s="107" t="n"/>
      <c r="U25" s="108" t="n"/>
      <c r="V25" s="107" t="n"/>
      <c r="W25" s="107" t="n"/>
      <c r="X25" s="107" t="n"/>
      <c r="Y25" s="107" t="n"/>
      <c r="Z25" s="107" t="n"/>
      <c r="AA25" s="107" t="n"/>
      <c r="AB25" s="108" t="n"/>
      <c r="AC25" s="107" t="n"/>
      <c r="AD25" s="107" t="n"/>
      <c r="AE25" s="107" t="n"/>
      <c r="AF25" s="107" t="n"/>
      <c r="AG25" s="107" t="n"/>
      <c r="AH25" s="107" t="n"/>
      <c r="AI25" s="109">
        <f>IF(ISBLANK(B25), "", IF(ISNUMBER(D25), IF(D25&gt;0, (COUNTIF(E25:AH25, "✓") + COUNTIF(E25:AH25, "✔") + COUNTIF(E25:AH25, "v") + COUNTIF(E25:AH25, "V"))/D25, 0), IF(((COUNTIF(E25:AH25, "✓") + COUNTIF(E25:AH25, "✔") + COUNTIF(E25:AH25, "v") + COUNTIF(E25:AH25, "V")) + COUNTIF(E25:AH25, "✗") + COUNTIF(E25:AH25, "x") + COUNTIF(E25:AH25, "X"))&gt;0, (COUNTIF(E25:AH25, "✓") + COUNTIF(E25:AH25, "✔") + COUNTIF(E25:AH25, "v") + COUNTIF(E25:AH25, "V"))/((COUNTIF(E25:AH25, "✓") + COUNTIF(E25:AH25, "✔") + COUNTIF(E25:AH25, "v") + COUNTIF(E25:AH25, "V")) + COUNTIF(E25:AH25, "✗") + COUNTIF(E25:AH25, "x") + COUNTIF(E25:AH25, "X")), "")))</f>
        <v/>
      </c>
      <c r="AJ25" s="110">
        <f>IF(ISBLANK(B25), "", IF(ISNUMBER(D25), IF(D25&gt;0, (COUNTIF(E25:AH25, "✓") + COUNTIF(E25:AH25, "✔") + COUNTIF(E25:AH25, "v") + COUNTIF(E25:AH25, "V")) &amp; "/" &amp; D25, (COUNTIF(E25:AH25, "✓") + COUNTIF(E25:AH25, "✔") + COUNTIF(E25:AH25, "v") + COUNTIF(E25:AH25, "V")) &amp; "/0"), IF(((COUNTIF(E25:AH25, "✓") + COUNTIF(E25:AH25, "✔") + COUNTIF(E25:AH25, "v") + COUNTIF(E25:AH25, "V")) + COUNTIF(E25:AH25, "✗") + COUNTIF(E25:AH25, "x") + COUNTIF(E25:AH25, "X"))&gt;0, (COUNTIF(E25:AH25, "✓") + COUNTIF(E25:AH25, "✔") + COUNTIF(E25:AH25, "v") + COUNTIF(E25:AH25, "V")) &amp; "/" &amp; ((COUNTIF(E25:AH25, "✓") + COUNTIF(E25:AH25, "✔") + COUNTIF(E25:AH25, "v") + COUNTIF(E25:AH25, "V")) + COUNTIF(E25:AH25, "✗") + COUNTIF(E25:AH25, "x") + COUNTIF(E25:AH25, "X")), "")))</f>
        <v/>
      </c>
      <c r="AK25" s="110">
        <f>IF(ISBLANK(B25), "", IF(AI25&gt;=0.85, "🔥 Mastered", IF(AI25&gt;=0.7, "⚡ Consistent", "⚠️ Needs Focus")))</f>
        <v/>
      </c>
      <c r="AL25">
        <f>COUNTIF(E25:AH25, "✓")</f>
        <v/>
      </c>
    </row>
    <row r="26" ht="14.5" customHeight="1">
      <c r="A26" s="111" t="n">
        <v>9</v>
      </c>
      <c r="B26" s="112" t="n"/>
      <c r="C26" s="113" t="n"/>
      <c r="D26" s="113" t="n"/>
      <c r="E26" s="114" t="n"/>
      <c r="F26" s="114" t="n"/>
      <c r="G26" s="115" t="n"/>
      <c r="H26" s="114" t="n"/>
      <c r="I26" s="114" t="n"/>
      <c r="J26" s="114" t="n"/>
      <c r="K26" s="114" t="n"/>
      <c r="L26" s="114" t="n"/>
      <c r="M26" s="114" t="n"/>
      <c r="N26" s="115" t="n"/>
      <c r="O26" s="114" t="n"/>
      <c r="P26" s="114" t="n"/>
      <c r="Q26" s="114" t="n"/>
      <c r="R26" s="114" t="n"/>
      <c r="S26" s="114" t="n"/>
      <c r="T26" s="114" t="n"/>
      <c r="U26" s="115" t="n"/>
      <c r="V26" s="114" t="n"/>
      <c r="W26" s="114" t="n"/>
      <c r="X26" s="114" t="n"/>
      <c r="Y26" s="114" t="n"/>
      <c r="Z26" s="114" t="n"/>
      <c r="AA26" s="114" t="n"/>
      <c r="AB26" s="115" t="n"/>
      <c r="AC26" s="114" t="n"/>
      <c r="AD26" s="114" t="n"/>
      <c r="AE26" s="114" t="n"/>
      <c r="AF26" s="114" t="n"/>
      <c r="AG26" s="114" t="n"/>
      <c r="AH26" s="114" t="n"/>
      <c r="AI26" s="116">
        <f>IF(ISBLANK(B26), "", IF(ISNUMBER(D26), IF(D26&gt;0, (COUNTIF(E26:AH26, "✓") + COUNTIF(E26:AH26, "✔") + COUNTIF(E26:AH26, "v") + COUNTIF(E26:AH26, "V"))/D26, 0), IF(((COUNTIF(E26:AH26, "✓") + COUNTIF(E26:AH26, "✔") + COUNTIF(E26:AH26, "v") + COUNTIF(E26:AH26, "V")) + COUNTIF(E26:AH26, "✗") + COUNTIF(E26:AH26, "x") + COUNTIF(E26:AH26, "X"))&gt;0, (COUNTIF(E26:AH26, "✓") + COUNTIF(E26:AH26, "✔") + COUNTIF(E26:AH26, "v") + COUNTIF(E26:AH26, "V"))/((COUNTIF(E26:AH26, "✓") + COUNTIF(E26:AH26, "✔") + COUNTIF(E26:AH26, "v") + COUNTIF(E26:AH26, "V")) + COUNTIF(E26:AH26, "✗") + COUNTIF(E26:AH26, "x") + COUNTIF(E26:AH26, "X")), "")))</f>
        <v/>
      </c>
      <c r="AJ26" s="117">
        <f>IF(ISBLANK(B26), "", IF(ISNUMBER(D26), IF(D26&gt;0, (COUNTIF(E26:AH26, "✓") + COUNTIF(E26:AH26, "✔") + COUNTIF(E26:AH26, "v") + COUNTIF(E26:AH26, "V")) &amp; "/" &amp; D26, (COUNTIF(E26:AH26, "✓") + COUNTIF(E26:AH26, "✔") + COUNTIF(E26:AH26, "v") + COUNTIF(E26:AH26, "V")) &amp; "/0"), IF(((COUNTIF(E26:AH26, "✓") + COUNTIF(E26:AH26, "✔") + COUNTIF(E26:AH26, "v") + COUNTIF(E26:AH26, "V")) + COUNTIF(E26:AH26, "✗") + COUNTIF(E26:AH26, "x") + COUNTIF(E26:AH26, "X"))&gt;0, (COUNTIF(E26:AH26, "✓") + COUNTIF(E26:AH26, "✔") + COUNTIF(E26:AH26, "v") + COUNTIF(E26:AH26, "V")) &amp; "/" &amp; ((COUNTIF(E26:AH26, "✓") + COUNTIF(E26:AH26, "✔") + COUNTIF(E26:AH26, "v") + COUNTIF(E26:AH26, "V")) + COUNTIF(E26:AH26, "✗") + COUNTIF(E26:AH26, "x") + COUNTIF(E26:AH26, "X")), "")))</f>
        <v/>
      </c>
      <c r="AK26" s="117">
        <f>IF(ISBLANK(B26), "", IF(AI26&gt;=0.85, "🔥 Mastered", IF(AI26&gt;=0.7, "⚡ Consistent", "⚠️ Needs Focus")))</f>
        <v/>
      </c>
      <c r="AL26">
        <f>COUNTIF(E26:AH26, "✓")</f>
        <v/>
      </c>
    </row>
    <row r="27" ht="14.5" customHeight="1">
      <c r="A27" s="111" t="n">
        <v>10</v>
      </c>
      <c r="B27" s="112" t="n"/>
      <c r="C27" s="113" t="n"/>
      <c r="D27" s="113" t="n"/>
      <c r="E27" s="114" t="n"/>
      <c r="F27" s="114" t="n"/>
      <c r="G27" s="115" t="n"/>
      <c r="H27" s="114" t="n"/>
      <c r="I27" s="114" t="n"/>
      <c r="J27" s="114" t="n"/>
      <c r="K27" s="114" t="n"/>
      <c r="L27" s="114" t="n"/>
      <c r="M27" s="114" t="n"/>
      <c r="N27" s="115" t="n"/>
      <c r="O27" s="114" t="n"/>
      <c r="P27" s="114" t="n"/>
      <c r="Q27" s="114" t="n"/>
      <c r="R27" s="114" t="n"/>
      <c r="S27" s="114" t="n"/>
      <c r="T27" s="114" t="n"/>
      <c r="U27" s="115" t="n"/>
      <c r="V27" s="114" t="n"/>
      <c r="W27" s="114" t="n"/>
      <c r="X27" s="114" t="n"/>
      <c r="Y27" s="114" t="n"/>
      <c r="Z27" s="114" t="n"/>
      <c r="AA27" s="114" t="n"/>
      <c r="AB27" s="115" t="n"/>
      <c r="AC27" s="114" t="n"/>
      <c r="AD27" s="114" t="n"/>
      <c r="AE27" s="114" t="n"/>
      <c r="AF27" s="114" t="n"/>
      <c r="AG27" s="114" t="n"/>
      <c r="AH27" s="114" t="n"/>
      <c r="AI27" s="116">
        <f>IF(ISBLANK(B27), "", IF(ISNUMBER(D27), IF(D27&gt;0, (COUNTIF(E27:AH27, "✓") + COUNTIF(E27:AH27, "✔") + COUNTIF(E27:AH27, "v") + COUNTIF(E27:AH27, "V"))/D27, 0), IF(((COUNTIF(E27:AH27, "✓") + COUNTIF(E27:AH27, "✔") + COUNTIF(E27:AH27, "v") + COUNTIF(E27:AH27, "V")) + COUNTIF(E27:AH27, "✗") + COUNTIF(E27:AH27, "x") + COUNTIF(E27:AH27, "X"))&gt;0, (COUNTIF(E27:AH27, "✓") + COUNTIF(E27:AH27, "✔") + COUNTIF(E27:AH27, "v") + COUNTIF(E27:AH27, "V"))/((COUNTIF(E27:AH27, "✓") + COUNTIF(E27:AH27, "✔") + COUNTIF(E27:AH27, "v") + COUNTIF(E27:AH27, "V")) + COUNTIF(E27:AH27, "✗") + COUNTIF(E27:AH27, "x") + COUNTIF(E27:AH27, "X")), "")))</f>
        <v/>
      </c>
      <c r="AJ27" s="117">
        <f>IF(ISBLANK(B27), "", IF(ISNUMBER(D27), IF(D27&gt;0, (COUNTIF(E27:AH27, "✓") + COUNTIF(E27:AH27, "✔") + COUNTIF(E27:AH27, "v") + COUNTIF(E27:AH27, "V")) &amp; "/" &amp; D27, (COUNTIF(E27:AH27, "✓") + COUNTIF(E27:AH27, "✔") + COUNTIF(E27:AH27, "v") + COUNTIF(E27:AH27, "V")) &amp; "/0"), IF(((COUNTIF(E27:AH27, "✓") + COUNTIF(E27:AH27, "✔") + COUNTIF(E27:AH27, "v") + COUNTIF(E27:AH27, "V")) + COUNTIF(E27:AH27, "✗") + COUNTIF(E27:AH27, "x") + COUNTIF(E27:AH27, "X"))&gt;0, (COUNTIF(E27:AH27, "✓") + COUNTIF(E27:AH27, "✔") + COUNTIF(E27:AH27, "v") + COUNTIF(E27:AH27, "V")) &amp; "/" &amp; ((COUNTIF(E27:AH27, "✓") + COUNTIF(E27:AH27, "✔") + COUNTIF(E27:AH27, "v") + COUNTIF(E27:AH27, "V")) + COUNTIF(E27:AH27, "✗") + COUNTIF(E27:AH27, "x") + COUNTIF(E27:AH27, "X")), "")))</f>
        <v/>
      </c>
      <c r="AK27" s="117">
        <f>IF(ISBLANK(B27), "", IF(AI27&gt;=0.85, "🔥 Mastered", IF(AI27&gt;=0.7, "⚡ Consistent", "⚠️ Needs Focus")))</f>
        <v/>
      </c>
      <c r="AL27">
        <f>COUNTIF(E27:AH27, "✓")</f>
        <v/>
      </c>
    </row>
    <row r="28" ht="14.5" customHeight="1">
      <c r="A28" s="111" t="n">
        <v>11</v>
      </c>
      <c r="B28" s="112" t="n"/>
      <c r="C28" s="113" t="n"/>
      <c r="D28" s="113" t="n"/>
      <c r="E28" s="114" t="n"/>
      <c r="F28" s="114" t="n"/>
      <c r="G28" s="115" t="n"/>
      <c r="H28" s="114" t="n"/>
      <c r="I28" s="114" t="n"/>
      <c r="J28" s="114" t="n"/>
      <c r="K28" s="114" t="n"/>
      <c r="L28" s="114" t="n"/>
      <c r="M28" s="114" t="n"/>
      <c r="N28" s="115" t="n"/>
      <c r="O28" s="114" t="n"/>
      <c r="P28" s="114" t="n"/>
      <c r="Q28" s="114" t="n"/>
      <c r="R28" s="114" t="n"/>
      <c r="S28" s="114" t="n"/>
      <c r="T28" s="114" t="n"/>
      <c r="U28" s="115" t="n"/>
      <c r="V28" s="114" t="n"/>
      <c r="W28" s="114" t="n"/>
      <c r="X28" s="114" t="n"/>
      <c r="Y28" s="114" t="n"/>
      <c r="Z28" s="114" t="n"/>
      <c r="AA28" s="114" t="n"/>
      <c r="AB28" s="115" t="n"/>
      <c r="AC28" s="114" t="n"/>
      <c r="AD28" s="114" t="n"/>
      <c r="AE28" s="114" t="n"/>
      <c r="AF28" s="114" t="n"/>
      <c r="AG28" s="114" t="n"/>
      <c r="AH28" s="114" t="n"/>
      <c r="AI28" s="116">
        <f>IF(ISBLANK(B28), "", IF(ISNUMBER(D28), IF(D28&gt;0, (COUNTIF(E28:AH28, "✓") + COUNTIF(E28:AH28, "✔") + COUNTIF(E28:AH28, "v") + COUNTIF(E28:AH28, "V"))/D28, 0), IF(((COUNTIF(E28:AH28, "✓") + COUNTIF(E28:AH28, "✔") + COUNTIF(E28:AH28, "v") + COUNTIF(E28:AH28, "V")) + COUNTIF(E28:AH28, "✗") + COUNTIF(E28:AH28, "x") + COUNTIF(E28:AH28, "X"))&gt;0, (COUNTIF(E28:AH28, "✓") + COUNTIF(E28:AH28, "✔") + COUNTIF(E28:AH28, "v") + COUNTIF(E28:AH28, "V"))/((COUNTIF(E28:AH28, "✓") + COUNTIF(E28:AH28, "✔") + COUNTIF(E28:AH28, "v") + COUNTIF(E28:AH28, "V")) + COUNTIF(E28:AH28, "✗") + COUNTIF(E28:AH28, "x") + COUNTIF(E28:AH28, "X")), "")))</f>
        <v/>
      </c>
      <c r="AJ28" s="117">
        <f>IF(ISBLANK(B28), "", IF(ISNUMBER(D28), IF(D28&gt;0, (COUNTIF(E28:AH28, "✓") + COUNTIF(E28:AH28, "✔") + COUNTIF(E28:AH28, "v") + COUNTIF(E28:AH28, "V")) &amp; "/" &amp; D28, (COUNTIF(E28:AH28, "✓") + COUNTIF(E28:AH28, "✔") + COUNTIF(E28:AH28, "v") + COUNTIF(E28:AH28, "V")) &amp; "/0"), IF(((COUNTIF(E28:AH28, "✓") + COUNTIF(E28:AH28, "✔") + COUNTIF(E28:AH28, "v") + COUNTIF(E28:AH28, "V")) + COUNTIF(E28:AH28, "✗") + COUNTIF(E28:AH28, "x") + COUNTIF(E28:AH28, "X"))&gt;0, (COUNTIF(E28:AH28, "✓") + COUNTIF(E28:AH28, "✔") + COUNTIF(E28:AH28, "v") + COUNTIF(E28:AH28, "V")) &amp; "/" &amp; ((COUNTIF(E28:AH28, "✓") + COUNTIF(E28:AH28, "✔") + COUNTIF(E28:AH28, "v") + COUNTIF(E28:AH28, "V")) + COUNTIF(E28:AH28, "✗") + COUNTIF(E28:AH28, "x") + COUNTIF(E28:AH28, "X")), "")))</f>
        <v/>
      </c>
      <c r="AK28" s="117">
        <f>IF(ISBLANK(B28), "", IF(AI28&gt;=0.85, "🔥 Mastered", IF(AI28&gt;=0.7, "⚡ Consistent", "⚠️ Needs Focus")))</f>
        <v/>
      </c>
      <c r="AL28">
        <f>COUNTIF(E28:AH28, "✓")</f>
        <v/>
      </c>
    </row>
    <row r="29" ht="14.5" customHeight="1">
      <c r="A29" s="111" t="n">
        <v>12</v>
      </c>
      <c r="B29" s="112" t="n"/>
      <c r="C29" s="113" t="n"/>
      <c r="D29" s="113" t="n"/>
      <c r="E29" s="114" t="n"/>
      <c r="F29" s="114" t="n"/>
      <c r="G29" s="115" t="n"/>
      <c r="H29" s="114" t="n"/>
      <c r="I29" s="114" t="n"/>
      <c r="J29" s="114" t="n"/>
      <c r="K29" s="114" t="n"/>
      <c r="L29" s="114" t="n"/>
      <c r="M29" s="114" t="n"/>
      <c r="N29" s="115" t="n"/>
      <c r="O29" s="114" t="n"/>
      <c r="P29" s="114" t="n"/>
      <c r="Q29" s="114" t="n"/>
      <c r="R29" s="114" t="n"/>
      <c r="S29" s="114" t="n"/>
      <c r="T29" s="114" t="n"/>
      <c r="U29" s="115" t="n"/>
      <c r="V29" s="114" t="n"/>
      <c r="W29" s="114" t="n"/>
      <c r="X29" s="114" t="n"/>
      <c r="Y29" s="114" t="n"/>
      <c r="Z29" s="114" t="n"/>
      <c r="AA29" s="114" t="n"/>
      <c r="AB29" s="115" t="n"/>
      <c r="AC29" s="114" t="n"/>
      <c r="AD29" s="114" t="n"/>
      <c r="AE29" s="114" t="n"/>
      <c r="AF29" s="114" t="n"/>
      <c r="AG29" s="114" t="n"/>
      <c r="AH29" s="114" t="n"/>
      <c r="AI29" s="116">
        <f>IF(ISBLANK(B29), "", IF(ISNUMBER(D29), IF(D29&gt;0, (COUNTIF(E29:AH29, "✓") + COUNTIF(E29:AH29, "✔") + COUNTIF(E29:AH29, "v") + COUNTIF(E29:AH29, "V"))/D29, 0), IF(((COUNTIF(E29:AH29, "✓") + COUNTIF(E29:AH29, "✔") + COUNTIF(E29:AH29, "v") + COUNTIF(E29:AH29, "V")) + COUNTIF(E29:AH29, "✗") + COUNTIF(E29:AH29, "x") + COUNTIF(E29:AH29, "X"))&gt;0, (COUNTIF(E29:AH29, "✓") + COUNTIF(E29:AH29, "✔") + COUNTIF(E29:AH29, "v") + COUNTIF(E29:AH29, "V"))/((COUNTIF(E29:AH29, "✓") + COUNTIF(E29:AH29, "✔") + COUNTIF(E29:AH29, "v") + COUNTIF(E29:AH29, "V")) + COUNTIF(E29:AH29, "✗") + COUNTIF(E29:AH29, "x") + COUNTIF(E29:AH29, "X")), "")))</f>
        <v/>
      </c>
      <c r="AJ29" s="117">
        <f>IF(ISBLANK(B29), "", IF(ISNUMBER(D29), IF(D29&gt;0, (COUNTIF(E29:AH29, "✓") + COUNTIF(E29:AH29, "✔") + COUNTIF(E29:AH29, "v") + COUNTIF(E29:AH29, "V")) &amp; "/" &amp; D29, (COUNTIF(E29:AH29, "✓") + COUNTIF(E29:AH29, "✔") + COUNTIF(E29:AH29, "v") + COUNTIF(E29:AH29, "V")) &amp; "/0"), IF(((COUNTIF(E29:AH29, "✓") + COUNTIF(E29:AH29, "✔") + COUNTIF(E29:AH29, "v") + COUNTIF(E29:AH29, "V")) + COUNTIF(E29:AH29, "✗") + COUNTIF(E29:AH29, "x") + COUNTIF(E29:AH29, "X"))&gt;0, (COUNTIF(E29:AH29, "✓") + COUNTIF(E29:AH29, "✔") + COUNTIF(E29:AH29, "v") + COUNTIF(E29:AH29, "V")) &amp; "/" &amp; ((COUNTIF(E29:AH29, "✓") + COUNTIF(E29:AH29, "✔") + COUNTIF(E29:AH29, "v") + COUNTIF(E29:AH29, "V")) + COUNTIF(E29:AH29, "✗") + COUNTIF(E29:AH29, "x") + COUNTIF(E29:AH29, "X")), "")))</f>
        <v/>
      </c>
      <c r="AK29" s="117">
        <f>IF(ISBLANK(B29), "", IF(AI29&gt;=0.85, "🔥 Mastered", IF(AI29&gt;=0.7, "⚡ Consistent", "⚠️ Needs Focus")))</f>
        <v/>
      </c>
      <c r="AL29">
        <f>COUNTIF(E29:AH29, "✓")</f>
        <v/>
      </c>
    </row>
    <row r="30" ht="14.5" customHeight="1">
      <c r="A30" s="118" t="n">
        <v>13</v>
      </c>
      <c r="B30" s="119" t="n"/>
      <c r="C30" s="120" t="n"/>
      <c r="D30" s="120" t="n"/>
      <c r="E30" s="121" t="n"/>
      <c r="F30" s="121" t="n"/>
      <c r="G30" s="122" t="n"/>
      <c r="H30" s="121" t="n"/>
      <c r="I30" s="121" t="n"/>
      <c r="J30" s="121" t="n"/>
      <c r="K30" s="121" t="n"/>
      <c r="L30" s="121" t="n"/>
      <c r="M30" s="121" t="n"/>
      <c r="N30" s="122" t="n"/>
      <c r="O30" s="121" t="n"/>
      <c r="P30" s="121" t="n"/>
      <c r="Q30" s="121" t="n"/>
      <c r="R30" s="121" t="n"/>
      <c r="S30" s="121" t="n"/>
      <c r="T30" s="121" t="n"/>
      <c r="U30" s="122" t="n"/>
      <c r="V30" s="121" t="n"/>
      <c r="W30" s="121" t="n"/>
      <c r="X30" s="121" t="n"/>
      <c r="Y30" s="121" t="n"/>
      <c r="Z30" s="121" t="n"/>
      <c r="AA30" s="121" t="n"/>
      <c r="AB30" s="122" t="n"/>
      <c r="AC30" s="121" t="n"/>
      <c r="AD30" s="121" t="n"/>
      <c r="AE30" s="121" t="n"/>
      <c r="AF30" s="121" t="n"/>
      <c r="AG30" s="121" t="n"/>
      <c r="AH30" s="121" t="n"/>
      <c r="AI30" s="123">
        <f>IF(ISBLANK(B30), "", IF(ISNUMBER(D30), IF(D30&gt;0, (COUNTIF(E30:AH30, "✓") + COUNTIF(E30:AH30, "✔") + COUNTIF(E30:AH30, "v") + COUNTIF(E30:AH30, "V"))/D30, 0), IF(((COUNTIF(E30:AH30, "✓") + COUNTIF(E30:AH30, "✔") + COUNTIF(E30:AH30, "v") + COUNTIF(E30:AH30, "V")) + COUNTIF(E30:AH30, "✗") + COUNTIF(E30:AH30, "x") + COUNTIF(E30:AH30, "X"))&gt;0, (COUNTIF(E30:AH30, "✓") + COUNTIF(E30:AH30, "✔") + COUNTIF(E30:AH30, "v") + COUNTIF(E30:AH30, "V"))/((COUNTIF(E30:AH30, "✓") + COUNTIF(E30:AH30, "✔") + COUNTIF(E30:AH30, "v") + COUNTIF(E30:AH30, "V")) + COUNTIF(E30:AH30, "✗") + COUNTIF(E30:AH30, "x") + COUNTIF(E30:AH30, "X")), "")))</f>
        <v/>
      </c>
      <c r="AJ30" s="124">
        <f>IF(ISBLANK(B30), "", IF(ISNUMBER(D30), IF(D30&gt;0, (COUNTIF(E30:AH30, "✓") + COUNTIF(E30:AH30, "✔") + COUNTIF(E30:AH30, "v") + COUNTIF(E30:AH30, "V")) &amp; "/" &amp; D30, (COUNTIF(E30:AH30, "✓") + COUNTIF(E30:AH30, "✔") + COUNTIF(E30:AH30, "v") + COUNTIF(E30:AH30, "V")) &amp; "/0"), IF(((COUNTIF(E30:AH30, "✓") + COUNTIF(E30:AH30, "✔") + COUNTIF(E30:AH30, "v") + COUNTIF(E30:AH30, "V")) + COUNTIF(E30:AH30, "✗") + COUNTIF(E30:AH30, "x") + COUNTIF(E30:AH30, "X"))&gt;0, (COUNTIF(E30:AH30, "✓") + COUNTIF(E30:AH30, "✔") + COUNTIF(E30:AH30, "v") + COUNTIF(E30:AH30, "V")) &amp; "/" &amp; ((COUNTIF(E30:AH30, "✓") + COUNTIF(E30:AH30, "✔") + COUNTIF(E30:AH30, "v") + COUNTIF(E30:AH30, "V")) + COUNTIF(E30:AH30, "✗") + COUNTIF(E30:AH30, "x") + COUNTIF(E30:AH30, "X")), "")))</f>
        <v/>
      </c>
      <c r="AK30" s="124">
        <f>IF(ISBLANK(B30), "", IF(AI30&gt;=0.85, "🔥 Mastered", IF(AI30&gt;=0.7, "⚡ Consistent", "⚠️ Needs Focus")))</f>
        <v/>
      </c>
      <c r="AL30">
        <f>COUNTIF(E30:AH30, "✓")</f>
        <v/>
      </c>
    </row>
    <row r="31" ht="14.5" customHeight="1">
      <c r="A31" s="118" t="n">
        <v>14</v>
      </c>
      <c r="B31" s="119" t="n"/>
      <c r="C31" s="120" t="n"/>
      <c r="D31" s="120" t="n"/>
      <c r="E31" s="121" t="n"/>
      <c r="F31" s="121" t="n"/>
      <c r="G31" s="122" t="n"/>
      <c r="H31" s="121" t="n"/>
      <c r="I31" s="121" t="n"/>
      <c r="J31" s="121" t="n"/>
      <c r="K31" s="121" t="n"/>
      <c r="L31" s="121" t="n"/>
      <c r="M31" s="121" t="n"/>
      <c r="N31" s="122" t="n"/>
      <c r="O31" s="121" t="n"/>
      <c r="P31" s="121" t="n"/>
      <c r="Q31" s="121" t="n"/>
      <c r="R31" s="121" t="n"/>
      <c r="S31" s="121" t="n"/>
      <c r="T31" s="121" t="n"/>
      <c r="U31" s="122" t="n"/>
      <c r="V31" s="121" t="n"/>
      <c r="W31" s="121" t="n"/>
      <c r="X31" s="121" t="n"/>
      <c r="Y31" s="121" t="n"/>
      <c r="Z31" s="121" t="n"/>
      <c r="AA31" s="121" t="n"/>
      <c r="AB31" s="122" t="n"/>
      <c r="AC31" s="121" t="n"/>
      <c r="AD31" s="121" t="n"/>
      <c r="AE31" s="121" t="n"/>
      <c r="AF31" s="121" t="n"/>
      <c r="AG31" s="121" t="n"/>
      <c r="AH31" s="121" t="n"/>
      <c r="AI31" s="123">
        <f>IF(ISBLANK(B31), "", IF(ISNUMBER(D31), IF(D31&gt;0, (COUNTIF(E31:AH31, "✓") + COUNTIF(E31:AH31, "✔") + COUNTIF(E31:AH31, "v") + COUNTIF(E31:AH31, "V"))/D31, 0), IF(((COUNTIF(E31:AH31, "✓") + COUNTIF(E31:AH31, "✔") + COUNTIF(E31:AH31, "v") + COUNTIF(E31:AH31, "V")) + COUNTIF(E31:AH31, "✗") + COUNTIF(E31:AH31, "x") + COUNTIF(E31:AH31, "X"))&gt;0, (COUNTIF(E31:AH31, "✓") + COUNTIF(E31:AH31, "✔") + COUNTIF(E31:AH31, "v") + COUNTIF(E31:AH31, "V"))/((COUNTIF(E31:AH31, "✓") + COUNTIF(E31:AH31, "✔") + COUNTIF(E31:AH31, "v") + COUNTIF(E31:AH31, "V")) + COUNTIF(E31:AH31, "✗") + COUNTIF(E31:AH31, "x") + COUNTIF(E31:AH31, "X")), "")))</f>
        <v/>
      </c>
      <c r="AJ31" s="124">
        <f>IF(ISBLANK(B31), "", IF(ISNUMBER(D31), IF(D31&gt;0, (COUNTIF(E31:AH31, "✓") + COUNTIF(E31:AH31, "✔") + COUNTIF(E31:AH31, "v") + COUNTIF(E31:AH31, "V")) &amp; "/" &amp; D31, (COUNTIF(E31:AH31, "✓") + COUNTIF(E31:AH31, "✔") + COUNTIF(E31:AH31, "v") + COUNTIF(E31:AH31, "V")) &amp; "/0"), IF(((COUNTIF(E31:AH31, "✓") + COUNTIF(E31:AH31, "✔") + COUNTIF(E31:AH31, "v") + COUNTIF(E31:AH31, "V")) + COUNTIF(E31:AH31, "✗") + COUNTIF(E31:AH31, "x") + COUNTIF(E31:AH31, "X"))&gt;0, (COUNTIF(E31:AH31, "✓") + COUNTIF(E31:AH31, "✔") + COUNTIF(E31:AH31, "v") + COUNTIF(E31:AH31, "V")) &amp; "/" &amp; ((COUNTIF(E31:AH31, "✓") + COUNTIF(E31:AH31, "✔") + COUNTIF(E31:AH31, "v") + COUNTIF(E31:AH31, "V")) + COUNTIF(E31:AH31, "✗") + COUNTIF(E31:AH31, "x") + COUNTIF(E31:AH31, "X")), "")))</f>
        <v/>
      </c>
      <c r="AK31" s="124">
        <f>IF(ISBLANK(B31), "", IF(AI31&gt;=0.85, "🔥 Mastered", IF(AI31&gt;=0.7, "⚡ Consistent", "⚠️ Needs Focus")))</f>
        <v/>
      </c>
      <c r="AL31">
        <f>COUNTIF(E31:AH31, "✓")</f>
        <v/>
      </c>
    </row>
    <row r="32" ht="14.5" customHeight="1">
      <c r="A32" s="118" t="n">
        <v>15</v>
      </c>
      <c r="B32" s="119" t="n"/>
      <c r="C32" s="120" t="n"/>
      <c r="D32" s="120" t="n"/>
      <c r="E32" s="121" t="n"/>
      <c r="F32" s="121" t="n"/>
      <c r="G32" s="122" t="n"/>
      <c r="H32" s="121" t="n"/>
      <c r="I32" s="121" t="n"/>
      <c r="J32" s="121" t="n"/>
      <c r="K32" s="121" t="n"/>
      <c r="L32" s="121" t="n"/>
      <c r="M32" s="121" t="n"/>
      <c r="N32" s="122" t="n"/>
      <c r="O32" s="121" t="n"/>
      <c r="P32" s="121" t="n"/>
      <c r="Q32" s="121" t="n"/>
      <c r="R32" s="121" t="n"/>
      <c r="S32" s="121" t="n"/>
      <c r="T32" s="121" t="n"/>
      <c r="U32" s="122" t="n"/>
      <c r="V32" s="121" t="n"/>
      <c r="W32" s="121" t="n"/>
      <c r="X32" s="121" t="n"/>
      <c r="Y32" s="121" t="n"/>
      <c r="Z32" s="121" t="n"/>
      <c r="AA32" s="121" t="n"/>
      <c r="AB32" s="122" t="n"/>
      <c r="AC32" s="121" t="n"/>
      <c r="AD32" s="121" t="n"/>
      <c r="AE32" s="121" t="n"/>
      <c r="AF32" s="121" t="n"/>
      <c r="AG32" s="121" t="n"/>
      <c r="AH32" s="121" t="n"/>
      <c r="AI32" s="123">
        <f>IF(ISBLANK(B32), "", IF(ISNUMBER(D32), IF(D32&gt;0, (COUNTIF(E32:AH32, "✓") + COUNTIF(E32:AH32, "✔") + COUNTIF(E32:AH32, "v") + COUNTIF(E32:AH32, "V"))/D32, 0), IF(((COUNTIF(E32:AH32, "✓") + COUNTIF(E32:AH32, "✔") + COUNTIF(E32:AH32, "v") + COUNTIF(E32:AH32, "V")) + COUNTIF(E32:AH32, "✗") + COUNTIF(E32:AH32, "x") + COUNTIF(E32:AH32, "X"))&gt;0, (COUNTIF(E32:AH32, "✓") + COUNTIF(E32:AH32, "✔") + COUNTIF(E32:AH32, "v") + COUNTIF(E32:AH32, "V"))/((COUNTIF(E32:AH32, "✓") + COUNTIF(E32:AH32, "✔") + COUNTIF(E32:AH32, "v") + COUNTIF(E32:AH32, "V")) + COUNTIF(E32:AH32, "✗") + COUNTIF(E32:AH32, "x") + COUNTIF(E32:AH32, "X")), "")))</f>
        <v/>
      </c>
      <c r="AJ32" s="124">
        <f>IF(ISBLANK(B32), "", IF(ISNUMBER(D32), IF(D32&gt;0, (COUNTIF(E32:AH32, "✓") + COUNTIF(E32:AH32, "✔") + COUNTIF(E32:AH32, "v") + COUNTIF(E32:AH32, "V")) &amp; "/" &amp; D32, (COUNTIF(E32:AH32, "✓") + COUNTIF(E32:AH32, "✔") + COUNTIF(E32:AH32, "v") + COUNTIF(E32:AH32, "V")) &amp; "/0"), IF(((COUNTIF(E32:AH32, "✓") + COUNTIF(E32:AH32, "✔") + COUNTIF(E32:AH32, "v") + COUNTIF(E32:AH32, "V")) + COUNTIF(E32:AH32, "✗") + COUNTIF(E32:AH32, "x") + COUNTIF(E32:AH32, "X"))&gt;0, (COUNTIF(E32:AH32, "✓") + COUNTIF(E32:AH32, "✔") + COUNTIF(E32:AH32, "v") + COUNTIF(E32:AH32, "V")) &amp; "/" &amp; ((COUNTIF(E32:AH32, "✓") + COUNTIF(E32:AH32, "✔") + COUNTIF(E32:AH32, "v") + COUNTIF(E32:AH32, "V")) + COUNTIF(E32:AH32, "✗") + COUNTIF(E32:AH32, "x") + COUNTIF(E32:AH32, "X")), "")))</f>
        <v/>
      </c>
      <c r="AK32" s="124">
        <f>IF(ISBLANK(B32), "", IF(AI32&gt;=0.85, "🔥 Mastered", IF(AI32&gt;=0.7, "⚡ Consistent", "⚠️ Needs Focus")))</f>
        <v/>
      </c>
      <c r="AL32">
        <f>COUNTIF(E32:AH32, "✓")</f>
        <v/>
      </c>
    </row>
    <row r="33" ht="14.5" customHeight="1">
      <c r="A33" s="118" t="n">
        <v>16</v>
      </c>
      <c r="B33" s="119" t="n"/>
      <c r="C33" s="120" t="n"/>
      <c r="D33" s="120" t="n"/>
      <c r="E33" s="121" t="n"/>
      <c r="F33" s="121" t="n"/>
      <c r="G33" s="122" t="n"/>
      <c r="H33" s="121" t="n"/>
      <c r="I33" s="121" t="n"/>
      <c r="J33" s="121" t="n"/>
      <c r="K33" s="121" t="n"/>
      <c r="L33" s="121" t="n"/>
      <c r="M33" s="121" t="n"/>
      <c r="N33" s="122" t="n"/>
      <c r="O33" s="121" t="n"/>
      <c r="P33" s="121" t="n"/>
      <c r="Q33" s="121" t="n"/>
      <c r="R33" s="121" t="n"/>
      <c r="S33" s="121" t="n"/>
      <c r="T33" s="121" t="n"/>
      <c r="U33" s="122" t="n"/>
      <c r="V33" s="121" t="n"/>
      <c r="W33" s="121" t="n"/>
      <c r="X33" s="121" t="n"/>
      <c r="Y33" s="121" t="n"/>
      <c r="Z33" s="121" t="n"/>
      <c r="AA33" s="121" t="n"/>
      <c r="AB33" s="122" t="n"/>
      <c r="AC33" s="121" t="n"/>
      <c r="AD33" s="121" t="n"/>
      <c r="AE33" s="121" t="n"/>
      <c r="AF33" s="121" t="n"/>
      <c r="AG33" s="121" t="n"/>
      <c r="AH33" s="121" t="n"/>
      <c r="AI33" s="123">
        <f>IF(ISBLANK(B33), "", IF(ISNUMBER(D33), IF(D33&gt;0, (COUNTIF(E33:AH33, "✓") + COUNTIF(E33:AH33, "✔") + COUNTIF(E33:AH33, "v") + COUNTIF(E33:AH33, "V"))/D33, 0), IF(((COUNTIF(E33:AH33, "✓") + COUNTIF(E33:AH33, "✔") + COUNTIF(E33:AH33, "v") + COUNTIF(E33:AH33, "V")) + COUNTIF(E33:AH33, "✗") + COUNTIF(E33:AH33, "x") + COUNTIF(E33:AH33, "X"))&gt;0, (COUNTIF(E33:AH33, "✓") + COUNTIF(E33:AH33, "✔") + COUNTIF(E33:AH33, "v") + COUNTIF(E33:AH33, "V"))/((COUNTIF(E33:AH33, "✓") + COUNTIF(E33:AH33, "✔") + COUNTIF(E33:AH33, "v") + COUNTIF(E33:AH33, "V")) + COUNTIF(E33:AH33, "✗") + COUNTIF(E33:AH33, "x") + COUNTIF(E33:AH33, "X")), "")))</f>
        <v/>
      </c>
      <c r="AJ33" s="124">
        <f>IF(ISBLANK(B33), "", IF(ISNUMBER(D33), IF(D33&gt;0, (COUNTIF(E33:AH33, "✓") + COUNTIF(E33:AH33, "✔") + COUNTIF(E33:AH33, "v") + COUNTIF(E33:AH33, "V")) &amp; "/" &amp; D33, (COUNTIF(E33:AH33, "✓") + COUNTIF(E33:AH33, "✔") + COUNTIF(E33:AH33, "v") + COUNTIF(E33:AH33, "V")) &amp; "/0"), IF(((COUNTIF(E33:AH33, "✓") + COUNTIF(E33:AH33, "✔") + COUNTIF(E33:AH33, "v") + COUNTIF(E33:AH33, "V")) + COUNTIF(E33:AH33, "✗") + COUNTIF(E33:AH33, "x") + COUNTIF(E33:AH33, "X"))&gt;0, (COUNTIF(E33:AH33, "✓") + COUNTIF(E33:AH33, "✔") + COUNTIF(E33:AH33, "v") + COUNTIF(E33:AH33, "V")) &amp; "/" &amp; ((COUNTIF(E33:AH33, "✓") + COUNTIF(E33:AH33, "✔") + COUNTIF(E33:AH33, "v") + COUNTIF(E33:AH33, "V")) + COUNTIF(E33:AH33, "✗") + COUNTIF(E33:AH33, "x") + COUNTIF(E33:AH33, "X")), "")))</f>
        <v/>
      </c>
      <c r="AK33" s="124">
        <f>IF(ISBLANK(B33), "", IF(AI33&gt;=0.85, "🔥 Mastered", IF(AI33&gt;=0.7, "⚡ Consistent", "⚠️ Needs Focus")))</f>
        <v/>
      </c>
      <c r="AL33">
        <f>COUNTIF(E33:AH33, "✓")</f>
        <v/>
      </c>
    </row>
    <row r="34" ht="14.5" customHeight="1">
      <c r="A34" s="125" t="n">
        <v>17</v>
      </c>
      <c r="B34" s="126" t="n"/>
      <c r="C34" s="127" t="n"/>
      <c r="D34" s="127" t="n"/>
      <c r="E34" s="128" t="n"/>
      <c r="F34" s="128" t="n"/>
      <c r="G34" s="129" t="n"/>
      <c r="H34" s="128" t="n"/>
      <c r="I34" s="128" t="n"/>
      <c r="J34" s="128" t="n"/>
      <c r="K34" s="128" t="n"/>
      <c r="L34" s="128" t="n"/>
      <c r="M34" s="128" t="n"/>
      <c r="N34" s="129" t="n"/>
      <c r="O34" s="128" t="n"/>
      <c r="P34" s="128" t="n"/>
      <c r="Q34" s="128" t="n"/>
      <c r="R34" s="128" t="n"/>
      <c r="S34" s="128" t="n"/>
      <c r="T34" s="128" t="n"/>
      <c r="U34" s="129" t="n"/>
      <c r="V34" s="128" t="n"/>
      <c r="W34" s="128" t="n"/>
      <c r="X34" s="128" t="n"/>
      <c r="Y34" s="128" t="n"/>
      <c r="Z34" s="128" t="n"/>
      <c r="AA34" s="128" t="n"/>
      <c r="AB34" s="129" t="n"/>
      <c r="AC34" s="128" t="n"/>
      <c r="AD34" s="128" t="n"/>
      <c r="AE34" s="128" t="n"/>
      <c r="AF34" s="128" t="n"/>
      <c r="AG34" s="128" t="n"/>
      <c r="AH34" s="128" t="n"/>
      <c r="AI34" s="130">
        <f>IF(ISBLANK(B34), "", IF(ISNUMBER(D34), IF(D34&gt;0, (COUNTIF(E34:AH34, "✓") + COUNTIF(E34:AH34, "✔") + COUNTIF(E34:AH34, "v") + COUNTIF(E34:AH34, "V"))/D34, 0), IF(((COUNTIF(E34:AH34, "✓") + COUNTIF(E34:AH34, "✔") + COUNTIF(E34:AH34, "v") + COUNTIF(E34:AH34, "V")) + COUNTIF(E34:AH34, "✗") + COUNTIF(E34:AH34, "x") + COUNTIF(E34:AH34, "X"))&gt;0, (COUNTIF(E34:AH34, "✓") + COUNTIF(E34:AH34, "✔") + COUNTIF(E34:AH34, "v") + COUNTIF(E34:AH34, "V"))/((COUNTIF(E34:AH34, "✓") + COUNTIF(E34:AH34, "✔") + COUNTIF(E34:AH34, "v") + COUNTIF(E34:AH34, "V")) + COUNTIF(E34:AH34, "✗") + COUNTIF(E34:AH34, "x") + COUNTIF(E34:AH34, "X")), "")))</f>
        <v/>
      </c>
      <c r="AJ34" s="131">
        <f>IF(ISBLANK(B34), "", IF(ISNUMBER(D34), IF(D34&gt;0, (COUNTIF(E34:AH34, "✓") + COUNTIF(E34:AH34, "✔") + COUNTIF(E34:AH34, "v") + COUNTIF(E34:AH34, "V")) &amp; "/" &amp; D34, (COUNTIF(E34:AH34, "✓") + COUNTIF(E34:AH34, "✔") + COUNTIF(E34:AH34, "v") + COUNTIF(E34:AH34, "V")) &amp; "/0"), IF(((COUNTIF(E34:AH34, "✓") + COUNTIF(E34:AH34, "✔") + COUNTIF(E34:AH34, "v") + COUNTIF(E34:AH34, "V")) + COUNTIF(E34:AH34, "✗") + COUNTIF(E34:AH34, "x") + COUNTIF(E34:AH34, "X"))&gt;0, (COUNTIF(E34:AH34, "✓") + COUNTIF(E34:AH34, "✔") + COUNTIF(E34:AH34, "v") + COUNTIF(E34:AH34, "V")) &amp; "/" &amp; ((COUNTIF(E34:AH34, "✓") + COUNTIF(E34:AH34, "✔") + COUNTIF(E34:AH34, "v") + COUNTIF(E34:AH34, "V")) + COUNTIF(E34:AH34, "✗") + COUNTIF(E34:AH34, "x") + COUNTIF(E34:AH34, "X")), "")))</f>
        <v/>
      </c>
      <c r="AK34" s="131">
        <f>IF(ISBLANK(B34), "", IF(AI34&gt;=0.85, "🔥 Mastered", IF(AI34&gt;=0.7, "⚡ Consistent", "⚠️ Needs Focus")))</f>
        <v/>
      </c>
      <c r="AL34">
        <f>COUNTIF(E34:AH34, "✓")</f>
        <v/>
      </c>
    </row>
    <row r="35" ht="14.5" customHeight="1">
      <c r="A35" s="125" t="n">
        <v>18</v>
      </c>
      <c r="B35" s="126" t="n"/>
      <c r="C35" s="127" t="n"/>
      <c r="D35" s="127" t="n"/>
      <c r="E35" s="128" t="n"/>
      <c r="F35" s="128" t="n"/>
      <c r="G35" s="129" t="n"/>
      <c r="H35" s="128" t="n"/>
      <c r="I35" s="128" t="n"/>
      <c r="J35" s="128" t="n"/>
      <c r="K35" s="128" t="n"/>
      <c r="L35" s="128" t="n"/>
      <c r="M35" s="128" t="n"/>
      <c r="N35" s="129" t="n"/>
      <c r="O35" s="128" t="n"/>
      <c r="P35" s="128" t="n"/>
      <c r="Q35" s="128" t="n"/>
      <c r="R35" s="128" t="n"/>
      <c r="S35" s="128" t="n"/>
      <c r="T35" s="128" t="n"/>
      <c r="U35" s="129" t="n"/>
      <c r="V35" s="128" t="n"/>
      <c r="W35" s="128" t="n"/>
      <c r="X35" s="128" t="n"/>
      <c r="Y35" s="128" t="n"/>
      <c r="Z35" s="128" t="n"/>
      <c r="AA35" s="128" t="n"/>
      <c r="AB35" s="129" t="n"/>
      <c r="AC35" s="128" t="n"/>
      <c r="AD35" s="128" t="n"/>
      <c r="AE35" s="128" t="n"/>
      <c r="AF35" s="128" t="n"/>
      <c r="AG35" s="128" t="n"/>
      <c r="AH35" s="128" t="n"/>
      <c r="AI35" s="130">
        <f>IF(ISBLANK(B35), "", IF(ISNUMBER(D35), IF(D35&gt;0, (COUNTIF(E35:AH35, "✓") + COUNTIF(E35:AH35, "✔") + COUNTIF(E35:AH35, "v") + COUNTIF(E35:AH35, "V"))/D35, 0), IF(((COUNTIF(E35:AH35, "✓") + COUNTIF(E35:AH35, "✔") + COUNTIF(E35:AH35, "v") + COUNTIF(E35:AH35, "V")) + COUNTIF(E35:AH35, "✗") + COUNTIF(E35:AH35, "x") + COUNTIF(E35:AH35, "X"))&gt;0, (COUNTIF(E35:AH35, "✓") + COUNTIF(E35:AH35, "✔") + COUNTIF(E35:AH35, "v") + COUNTIF(E35:AH35, "V"))/((COUNTIF(E35:AH35, "✓") + COUNTIF(E35:AH35, "✔") + COUNTIF(E35:AH35, "v") + COUNTIF(E35:AH35, "V")) + COUNTIF(E35:AH35, "✗") + COUNTIF(E35:AH35, "x") + COUNTIF(E35:AH35, "X")), "")))</f>
        <v/>
      </c>
      <c r="AJ35" s="131">
        <f>IF(ISBLANK(B35), "", IF(ISNUMBER(D35), IF(D35&gt;0, (COUNTIF(E35:AH35, "✓") + COUNTIF(E35:AH35, "✔") + COUNTIF(E35:AH35, "v") + COUNTIF(E35:AH35, "V")) &amp; "/" &amp; D35, (COUNTIF(E35:AH35, "✓") + COUNTIF(E35:AH35, "✔") + COUNTIF(E35:AH35, "v") + COUNTIF(E35:AH35, "V")) &amp; "/0"), IF(((COUNTIF(E35:AH35, "✓") + COUNTIF(E35:AH35, "✔") + COUNTIF(E35:AH35, "v") + COUNTIF(E35:AH35, "V")) + COUNTIF(E35:AH35, "✗") + COUNTIF(E35:AH35, "x") + COUNTIF(E35:AH35, "X"))&gt;0, (COUNTIF(E35:AH35, "✓") + COUNTIF(E35:AH35, "✔") + COUNTIF(E35:AH35, "v") + COUNTIF(E35:AH35, "V")) &amp; "/" &amp; ((COUNTIF(E35:AH35, "✓") + COUNTIF(E35:AH35, "✔") + COUNTIF(E35:AH35, "v") + COUNTIF(E35:AH35, "V")) + COUNTIF(E35:AH35, "✗") + COUNTIF(E35:AH35, "x") + COUNTIF(E35:AH35, "X")), "")))</f>
        <v/>
      </c>
      <c r="AK35" s="131">
        <f>IF(ISBLANK(B35), "", IF(AI35&gt;=0.85, "🔥 Mastered", IF(AI35&gt;=0.7, "⚡ Consistent", "⚠️ Needs Focus")))</f>
        <v/>
      </c>
      <c r="AL35">
        <f>COUNTIF(E35:AH35, "✓")</f>
        <v/>
      </c>
    </row>
    <row r="36" ht="14.5" customHeight="1">
      <c r="A36" s="125" t="n">
        <v>19</v>
      </c>
      <c r="B36" s="126" t="n"/>
      <c r="C36" s="127" t="n"/>
      <c r="D36" s="127" t="n"/>
      <c r="E36" s="128" t="n"/>
      <c r="F36" s="128" t="n"/>
      <c r="G36" s="129" t="n"/>
      <c r="H36" s="128" t="n"/>
      <c r="I36" s="128" t="n"/>
      <c r="J36" s="128" t="n"/>
      <c r="K36" s="128" t="n"/>
      <c r="L36" s="128" t="n"/>
      <c r="M36" s="128" t="n"/>
      <c r="N36" s="129" t="n"/>
      <c r="O36" s="128" t="n"/>
      <c r="P36" s="128" t="n"/>
      <c r="Q36" s="128" t="n"/>
      <c r="R36" s="128" t="n"/>
      <c r="S36" s="128" t="n"/>
      <c r="T36" s="128" t="n"/>
      <c r="U36" s="129" t="n"/>
      <c r="V36" s="128" t="n"/>
      <c r="W36" s="128" t="n"/>
      <c r="X36" s="128" t="n"/>
      <c r="Y36" s="128" t="n"/>
      <c r="Z36" s="128" t="n"/>
      <c r="AA36" s="128" t="n"/>
      <c r="AB36" s="129" t="n"/>
      <c r="AC36" s="128" t="n"/>
      <c r="AD36" s="128" t="n"/>
      <c r="AE36" s="128" t="n"/>
      <c r="AF36" s="128" t="n"/>
      <c r="AG36" s="128" t="n"/>
      <c r="AH36" s="128" t="n"/>
      <c r="AI36" s="130">
        <f>IF(ISBLANK(B36), "", IF(ISNUMBER(D36), IF(D36&gt;0, (COUNTIF(E36:AH36, "✓") + COUNTIF(E36:AH36, "✔") + COUNTIF(E36:AH36, "v") + COUNTIF(E36:AH36, "V"))/D36, 0), IF(((COUNTIF(E36:AH36, "✓") + COUNTIF(E36:AH36, "✔") + COUNTIF(E36:AH36, "v") + COUNTIF(E36:AH36, "V")) + COUNTIF(E36:AH36, "✗") + COUNTIF(E36:AH36, "x") + COUNTIF(E36:AH36, "X"))&gt;0, (COUNTIF(E36:AH36, "✓") + COUNTIF(E36:AH36, "✔") + COUNTIF(E36:AH36, "v") + COUNTIF(E36:AH36, "V"))/((COUNTIF(E36:AH36, "✓") + COUNTIF(E36:AH36, "✔") + COUNTIF(E36:AH36, "v") + COUNTIF(E36:AH36, "V")) + COUNTIF(E36:AH36, "✗") + COUNTIF(E36:AH36, "x") + COUNTIF(E36:AH36, "X")), "")))</f>
        <v/>
      </c>
      <c r="AJ36" s="131">
        <f>IF(ISBLANK(B36), "", IF(ISNUMBER(D36), IF(D36&gt;0, (COUNTIF(E36:AH36, "✓") + COUNTIF(E36:AH36, "✔") + COUNTIF(E36:AH36, "v") + COUNTIF(E36:AH36, "V")) &amp; "/" &amp; D36, (COUNTIF(E36:AH36, "✓") + COUNTIF(E36:AH36, "✔") + COUNTIF(E36:AH36, "v") + COUNTIF(E36:AH36, "V")) &amp; "/0"), IF(((COUNTIF(E36:AH36, "✓") + COUNTIF(E36:AH36, "✔") + COUNTIF(E36:AH36, "v") + COUNTIF(E36:AH36, "V")) + COUNTIF(E36:AH36, "✗") + COUNTIF(E36:AH36, "x") + COUNTIF(E36:AH36, "X"))&gt;0, (COUNTIF(E36:AH36, "✓") + COUNTIF(E36:AH36, "✔") + COUNTIF(E36:AH36, "v") + COUNTIF(E36:AH36, "V")) &amp; "/" &amp; ((COUNTIF(E36:AH36, "✓") + COUNTIF(E36:AH36, "✔") + COUNTIF(E36:AH36, "v") + COUNTIF(E36:AH36, "V")) + COUNTIF(E36:AH36, "✗") + COUNTIF(E36:AH36, "x") + COUNTIF(E36:AH36, "X")), "")))</f>
        <v/>
      </c>
      <c r="AK36" s="131">
        <f>IF(ISBLANK(B36), "", IF(AI36&gt;=0.85, "🔥 Mastered", IF(AI36&gt;=0.7, "⚡ Consistent", "⚠️ Needs Focus")))</f>
        <v/>
      </c>
      <c r="AL36">
        <f>COUNTIF(E36:AH36, "✓")</f>
        <v/>
      </c>
    </row>
    <row r="37" ht="14.5" customHeight="1">
      <c r="A37" s="125" t="n">
        <v>20</v>
      </c>
      <c r="B37" s="126" t="n"/>
      <c r="C37" s="127" t="n"/>
      <c r="D37" s="127" t="n"/>
      <c r="E37" s="128" t="n"/>
      <c r="F37" s="128" t="n"/>
      <c r="G37" s="129" t="n"/>
      <c r="H37" s="128" t="n"/>
      <c r="I37" s="128" t="n"/>
      <c r="J37" s="128" t="n"/>
      <c r="K37" s="128" t="n"/>
      <c r="L37" s="128" t="n"/>
      <c r="M37" s="128" t="n"/>
      <c r="N37" s="129" t="n"/>
      <c r="O37" s="128" t="n"/>
      <c r="P37" s="128" t="n"/>
      <c r="Q37" s="128" t="n"/>
      <c r="R37" s="128" t="n"/>
      <c r="S37" s="128" t="n"/>
      <c r="T37" s="128" t="n"/>
      <c r="U37" s="129" t="n"/>
      <c r="V37" s="128" t="n"/>
      <c r="W37" s="128" t="n"/>
      <c r="X37" s="128" t="n"/>
      <c r="Y37" s="128" t="n"/>
      <c r="Z37" s="128" t="n"/>
      <c r="AA37" s="128" t="n"/>
      <c r="AB37" s="129" t="n"/>
      <c r="AC37" s="128" t="n"/>
      <c r="AD37" s="128" t="n"/>
      <c r="AE37" s="128" t="n"/>
      <c r="AF37" s="128" t="n"/>
      <c r="AG37" s="128" t="n"/>
      <c r="AH37" s="128" t="n"/>
      <c r="AI37" s="130">
        <f>IF(ISBLANK(B37), "", IF(ISNUMBER(D37), IF(D37&gt;0, (COUNTIF(E37:AH37, "✓") + COUNTIF(E37:AH37, "✔") + COUNTIF(E37:AH37, "v") + COUNTIF(E37:AH37, "V"))/D37, 0), IF(((COUNTIF(E37:AH37, "✓") + COUNTIF(E37:AH37, "✔") + COUNTIF(E37:AH37, "v") + COUNTIF(E37:AH37, "V")) + COUNTIF(E37:AH37, "✗") + COUNTIF(E37:AH37, "x") + COUNTIF(E37:AH37, "X"))&gt;0, (COUNTIF(E37:AH37, "✓") + COUNTIF(E37:AH37, "✔") + COUNTIF(E37:AH37, "v") + COUNTIF(E37:AH37, "V"))/((COUNTIF(E37:AH37, "✓") + COUNTIF(E37:AH37, "✔") + COUNTIF(E37:AH37, "v") + COUNTIF(E37:AH37, "V")) + COUNTIF(E37:AH37, "✗") + COUNTIF(E37:AH37, "x") + COUNTIF(E37:AH37, "X")), "")))</f>
        <v/>
      </c>
      <c r="AJ37" s="131">
        <f>IF(ISBLANK(B37), "", IF(ISNUMBER(D37), IF(D37&gt;0, (COUNTIF(E37:AH37, "✓") + COUNTIF(E37:AH37, "✔") + COUNTIF(E37:AH37, "v") + COUNTIF(E37:AH37, "V")) &amp; "/" &amp; D37, (COUNTIF(E37:AH37, "✓") + COUNTIF(E37:AH37, "✔") + COUNTIF(E37:AH37, "v") + COUNTIF(E37:AH37, "V")) &amp; "/0"), IF(((COUNTIF(E37:AH37, "✓") + COUNTIF(E37:AH37, "✔") + COUNTIF(E37:AH37, "v") + COUNTIF(E37:AH37, "V")) + COUNTIF(E37:AH37, "✗") + COUNTIF(E37:AH37, "x") + COUNTIF(E37:AH37, "X"))&gt;0, (COUNTIF(E37:AH37, "✓") + COUNTIF(E37:AH37, "✔") + COUNTIF(E37:AH37, "v") + COUNTIF(E37:AH37, "V")) &amp; "/" &amp; ((COUNTIF(E37:AH37, "✓") + COUNTIF(E37:AH37, "✔") + COUNTIF(E37:AH37, "v") + COUNTIF(E37:AH37, "V")) + COUNTIF(E37:AH37, "✗") + COUNTIF(E37:AH37, "x") + COUNTIF(E37:AH37, "X")), "")))</f>
        <v/>
      </c>
      <c r="AK37" s="131">
        <f>IF(ISBLANK(B37), "", IF(AI37&gt;=0.85, "🔥 Mastered", IF(AI37&gt;=0.7, "⚡ Consistent", "⚠️ Needs Focus")))</f>
        <v/>
      </c>
      <c r="AL37">
        <f>COUNTIF(E37:AH37, "✓")</f>
        <v/>
      </c>
    </row>
    <row r="38" ht="18" customHeight="1">
      <c r="A38" s="132" t="inlineStr">
        <is>
          <t>DAILY TOTAL SCORE</t>
        </is>
      </c>
      <c r="B38" s="54" t="n"/>
      <c r="C38" s="54" t="n"/>
      <c r="D38" s="54" t="n"/>
      <c r="E38" s="33">
        <f>IF(((COUNTIF(E18:E37, "✓") + COUNTIF(E18:E37, "✔") + COUNTIF(E18:E37, "v") + COUNTIF(E18:E37, "V")) + COUNTIF(E18:E37, "✗") + COUNTIF(E18:E37, "x") + COUNTIF(E18:E37, "X")) &gt; 0, (COUNTIF(E18:E37, "✓") + COUNTIF(E18:E37, "✔") + COUNTIF(E18:E37, "v") + COUNTIF(E18:E37, "V")) &amp; "/" &amp; ((COUNTIF(E18:E37, "✓") + COUNTIF(E18:E37, "✔") + COUNTIF(E18:E37, "v") + COUNTIF(E18:E37, "V")) + COUNTIF(E18:E37, "✗") + COUNTIF(E18:E37, "x") + COUNTIF(E18:E37, "X")), "")</f>
        <v/>
      </c>
      <c r="F38" s="33">
        <f>IF(((COUNTIF(F18:F37, "✓") + COUNTIF(F18:F37, "✔") + COUNTIF(F18:F37, "v") + COUNTIF(F18:F37, "V")) + COUNTIF(F18:F37, "✗") + COUNTIF(F18:F37, "x") + COUNTIF(F18:F37, "X")) &gt; 0, (COUNTIF(F18:F37, "✓") + COUNTIF(F18:F37, "✔") + COUNTIF(F18:F37, "v") + COUNTIF(F18:F37, "V")) &amp; "/" &amp; ((COUNTIF(F18:F37, "✓") + COUNTIF(F18:F37, "✔") + COUNTIF(F18:F37, "v") + COUNTIF(F18:F37, "V")) + COUNTIF(F18:F37, "✗") + COUNTIF(F18:F37, "x") + COUNTIF(F18:F37, "X")), "")</f>
        <v/>
      </c>
      <c r="G38" s="33">
        <f>IF(((COUNTIF(G18:G37, "✓") + COUNTIF(G18:G37, "✔") + COUNTIF(G18:G37, "v") + COUNTIF(G18:G37, "V")) + COUNTIF(G18:G37, "✗") + COUNTIF(G18:G37, "x") + COUNTIF(G18:G37, "X")) &gt; 0, (COUNTIF(G18:G37, "✓") + COUNTIF(G18:G37, "✔") + COUNTIF(G18:G37, "v") + COUNTIF(G18:G37, "V")) &amp; "/" &amp; ((COUNTIF(G18:G37, "✓") + COUNTIF(G18:G37, "✔") + COUNTIF(G18:G37, "v") + COUNTIF(G18:G37, "V")) + COUNTIF(G18:G37, "✗") + COUNTIF(G18:G37, "x") + COUNTIF(G18:G37, "X")), "")</f>
        <v/>
      </c>
      <c r="H38" s="33">
        <f>IF(((COUNTIF(H18:H37, "✓") + COUNTIF(H18:H37, "✔") + COUNTIF(H18:H37, "v") + COUNTIF(H18:H37, "V")) + COUNTIF(H18:H37, "✗") + COUNTIF(H18:H37, "x") + COUNTIF(H18:H37, "X")) &gt; 0, (COUNTIF(H18:H37, "✓") + COUNTIF(H18:H37, "✔") + COUNTIF(H18:H37, "v") + COUNTIF(H18:H37, "V")) &amp; "/" &amp; ((COUNTIF(H18:H37, "✓") + COUNTIF(H18:H37, "✔") + COUNTIF(H18:H37, "v") + COUNTIF(H18:H37, "V")) + COUNTIF(H18:H37, "✗") + COUNTIF(H18:H37, "x") + COUNTIF(H18:H37, "X")), "")</f>
        <v/>
      </c>
      <c r="I38" s="33">
        <f>IF(((COUNTIF(I18:I37, "✓") + COUNTIF(I18:I37, "✔") + COUNTIF(I18:I37, "v") + COUNTIF(I18:I37, "V")) + COUNTIF(I18:I37, "✗") + COUNTIF(I18:I37, "x") + COUNTIF(I18:I37, "X")) &gt; 0, (COUNTIF(I18:I37, "✓") + COUNTIF(I18:I37, "✔") + COUNTIF(I18:I37, "v") + COUNTIF(I18:I37, "V")) &amp; "/" &amp; ((COUNTIF(I18:I37, "✓") + COUNTIF(I18:I37, "✔") + COUNTIF(I18:I37, "v") + COUNTIF(I18:I37, "V")) + COUNTIF(I18:I37, "✗") + COUNTIF(I18:I37, "x") + COUNTIF(I18:I37, "X")), "")</f>
        <v/>
      </c>
      <c r="J38" s="33">
        <f>IF(((COUNTIF(J18:J37, "✓") + COUNTIF(J18:J37, "✔") + COUNTIF(J18:J37, "v") + COUNTIF(J18:J37, "V")) + COUNTIF(J18:J37, "✗") + COUNTIF(J18:J37, "x") + COUNTIF(J18:J37, "X")) &gt; 0, (COUNTIF(J18:J37, "✓") + COUNTIF(J18:J37, "✔") + COUNTIF(J18:J37, "v") + COUNTIF(J18:J37, "V")) &amp; "/" &amp; ((COUNTIF(J18:J37, "✓") + COUNTIF(J18:J37, "✔") + COUNTIF(J18:J37, "v") + COUNTIF(J18:J37, "V")) + COUNTIF(J18:J37, "✗") + COUNTIF(J18:J37, "x") + COUNTIF(J18:J37, "X")), "")</f>
        <v/>
      </c>
      <c r="K38" s="33">
        <f>IF(((COUNTIF(K18:K37, "✓") + COUNTIF(K18:K37, "✔") + COUNTIF(K18:K37, "v") + COUNTIF(K18:K37, "V")) + COUNTIF(K18:K37, "✗") + COUNTIF(K18:K37, "x") + COUNTIF(K18:K37, "X")) &gt; 0, (COUNTIF(K18:K37, "✓") + COUNTIF(K18:K37, "✔") + COUNTIF(K18:K37, "v") + COUNTIF(K18:K37, "V")) &amp; "/" &amp; ((COUNTIF(K18:K37, "✓") + COUNTIF(K18:K37, "✔") + COUNTIF(K18:K37, "v") + COUNTIF(K18:K37, "V")) + COUNTIF(K18:K37, "✗") + COUNTIF(K18:K37, "x") + COUNTIF(K18:K37, "X")), "")</f>
        <v/>
      </c>
      <c r="L38" s="33">
        <f>IF(((COUNTIF(L18:L37, "✓") + COUNTIF(L18:L37, "✔") + COUNTIF(L18:L37, "v") + COUNTIF(L18:L37, "V")) + COUNTIF(L18:L37, "✗") + COUNTIF(L18:L37, "x") + COUNTIF(L18:L37, "X")) &gt; 0, (COUNTIF(L18:L37, "✓") + COUNTIF(L18:L37, "✔") + COUNTIF(L18:L37, "v") + COUNTIF(L18:L37, "V")) &amp; "/" &amp; ((COUNTIF(L18:L37, "✓") + COUNTIF(L18:L37, "✔") + COUNTIF(L18:L37, "v") + COUNTIF(L18:L37, "V")) + COUNTIF(L18:L37, "✗") + COUNTIF(L18:L37, "x") + COUNTIF(L18:L37, "X")), "")</f>
        <v/>
      </c>
      <c r="M38" s="33">
        <f>IF(((COUNTIF(M18:M37, "✓") + COUNTIF(M18:M37, "✔") + COUNTIF(M18:M37, "v") + COUNTIF(M18:M37, "V")) + COUNTIF(M18:M37, "✗") + COUNTIF(M18:M37, "x") + COUNTIF(M18:M37, "X")) &gt; 0, (COUNTIF(M18:M37, "✓") + COUNTIF(M18:M37, "✔") + COUNTIF(M18:M37, "v") + COUNTIF(M18:M37, "V")) &amp; "/" &amp; ((COUNTIF(M18:M37, "✓") + COUNTIF(M18:M37, "✔") + COUNTIF(M18:M37, "v") + COUNTIF(M18:M37, "V")) + COUNTIF(M18:M37, "✗") + COUNTIF(M18:M37, "x") + COUNTIF(M18:M37, "X")), "")</f>
        <v/>
      </c>
      <c r="N38" s="33">
        <f>IF(((COUNTIF(N18:N37, "✓") + COUNTIF(N18:N37, "✔") + COUNTIF(N18:N37, "v") + COUNTIF(N18:N37, "V")) + COUNTIF(N18:N37, "✗") + COUNTIF(N18:N37, "x") + COUNTIF(N18:N37, "X")) &gt; 0, (COUNTIF(N18:N37, "✓") + COUNTIF(N18:N37, "✔") + COUNTIF(N18:N37, "v") + COUNTIF(N18:N37, "V")) &amp; "/" &amp; ((COUNTIF(N18:N37, "✓") + COUNTIF(N18:N37, "✔") + COUNTIF(N18:N37, "v") + COUNTIF(N18:N37, "V")) + COUNTIF(N18:N37, "✗") + COUNTIF(N18:N37, "x") + COUNTIF(N18:N37, "X")), "")</f>
        <v/>
      </c>
      <c r="O38" s="33">
        <f>IF(((COUNTIF(O18:O37, "✓") + COUNTIF(O18:O37, "✔") + COUNTIF(O18:O37, "v") + COUNTIF(O18:O37, "V")) + COUNTIF(O18:O37, "✗") + COUNTIF(O18:O37, "x") + COUNTIF(O18:O37, "X")) &gt; 0, (COUNTIF(O18:O37, "✓") + COUNTIF(O18:O37, "✔") + COUNTIF(O18:O37, "v") + COUNTIF(O18:O37, "V")) &amp; "/" &amp; ((COUNTIF(O18:O37, "✓") + COUNTIF(O18:O37, "✔") + COUNTIF(O18:O37, "v") + COUNTIF(O18:O37, "V")) + COUNTIF(O18:O37, "✗") + COUNTIF(O18:O37, "x") + COUNTIF(O18:O37, "X")), "")</f>
        <v/>
      </c>
      <c r="P38" s="33">
        <f>IF(((COUNTIF(P18:P37, "✓") + COUNTIF(P18:P37, "✔") + COUNTIF(P18:P37, "v") + COUNTIF(P18:P37, "V")) + COUNTIF(P18:P37, "✗") + COUNTIF(P18:P37, "x") + COUNTIF(P18:P37, "X")) &gt; 0, (COUNTIF(P18:P37, "✓") + COUNTIF(P18:P37, "✔") + COUNTIF(P18:P37, "v") + COUNTIF(P18:P37, "V")) &amp; "/" &amp; ((COUNTIF(P18:P37, "✓") + COUNTIF(P18:P37, "✔") + COUNTIF(P18:P37, "v") + COUNTIF(P18:P37, "V")) + COUNTIF(P18:P37, "✗") + COUNTIF(P18:P37, "x") + COUNTIF(P18:P37, "X")), "")</f>
        <v/>
      </c>
      <c r="Q38" s="33">
        <f>IF(((COUNTIF(Q18:Q37, "✓") + COUNTIF(Q18:Q37, "✔") + COUNTIF(Q18:Q37, "v") + COUNTIF(Q18:Q37, "V")) + COUNTIF(Q18:Q37, "✗") + COUNTIF(Q18:Q37, "x") + COUNTIF(Q18:Q37, "X")) &gt; 0, (COUNTIF(Q18:Q37, "✓") + COUNTIF(Q18:Q37, "✔") + COUNTIF(Q18:Q37, "v") + COUNTIF(Q18:Q37, "V")) &amp; "/" &amp; ((COUNTIF(Q18:Q37, "✓") + COUNTIF(Q18:Q37, "✔") + COUNTIF(Q18:Q37, "v") + COUNTIF(Q18:Q37, "V")) + COUNTIF(Q18:Q37, "✗") + COUNTIF(Q18:Q37, "x") + COUNTIF(Q18:Q37, "X")), "")</f>
        <v/>
      </c>
      <c r="R38" s="33">
        <f>IF(((COUNTIF(R18:R37, "✓") + COUNTIF(R18:R37, "✔") + COUNTIF(R18:R37, "v") + COUNTIF(R18:R37, "V")) + COUNTIF(R18:R37, "✗") + COUNTIF(R18:R37, "x") + COUNTIF(R18:R37, "X")) &gt; 0, (COUNTIF(R18:R37, "✓") + COUNTIF(R18:R37, "✔") + COUNTIF(R18:R37, "v") + COUNTIF(R18:R37, "V")) &amp; "/" &amp; ((COUNTIF(R18:R37, "✓") + COUNTIF(R18:R37, "✔") + COUNTIF(R18:R37, "v") + COUNTIF(R18:R37, "V")) + COUNTIF(R18:R37, "✗") + COUNTIF(R18:R37, "x") + COUNTIF(R18:R37, "X")), "")</f>
        <v/>
      </c>
      <c r="S38" s="33">
        <f>IF(((COUNTIF(S18:S37, "✓") + COUNTIF(S18:S37, "✔") + COUNTIF(S18:S37, "v") + COUNTIF(S18:S37, "V")) + COUNTIF(S18:S37, "✗") + COUNTIF(S18:S37, "x") + COUNTIF(S18:S37, "X")) &gt; 0, (COUNTIF(S18:S37, "✓") + COUNTIF(S18:S37, "✔") + COUNTIF(S18:S37, "v") + COUNTIF(S18:S37, "V")) &amp; "/" &amp; ((COUNTIF(S18:S37, "✓") + COUNTIF(S18:S37, "✔") + COUNTIF(S18:S37, "v") + COUNTIF(S18:S37, "V")) + COUNTIF(S18:S37, "✗") + COUNTIF(S18:S37, "x") + COUNTIF(S18:S37, "X")), "")</f>
        <v/>
      </c>
      <c r="T38" s="33">
        <f>IF(((COUNTIF(T18:T37, "✓") + COUNTIF(T18:T37, "✔") + COUNTIF(T18:T37, "v") + COUNTIF(T18:T37, "V")) + COUNTIF(T18:T37, "✗") + COUNTIF(T18:T37, "x") + COUNTIF(T18:T37, "X")) &gt; 0, (COUNTIF(T18:T37, "✓") + COUNTIF(T18:T37, "✔") + COUNTIF(T18:T37, "v") + COUNTIF(T18:T37, "V")) &amp; "/" &amp; ((COUNTIF(T18:T37, "✓") + COUNTIF(T18:T37, "✔") + COUNTIF(T18:T37, "v") + COUNTIF(T18:T37, "V")) + COUNTIF(T18:T37, "✗") + COUNTIF(T18:T37, "x") + COUNTIF(T18:T37, "X")), "")</f>
        <v/>
      </c>
      <c r="U38" s="33">
        <f>IF(((COUNTIF(U18:U37, "✓") + COUNTIF(U18:U37, "✔") + COUNTIF(U18:U37, "v") + COUNTIF(U18:U37, "V")) + COUNTIF(U18:U37, "✗") + COUNTIF(U18:U37, "x") + COUNTIF(U18:U37, "X")) &gt; 0, (COUNTIF(U18:U37, "✓") + COUNTIF(U18:U37, "✔") + COUNTIF(U18:U37, "v") + COUNTIF(U18:U37, "V")) &amp; "/" &amp; ((COUNTIF(U18:U37, "✓") + COUNTIF(U18:U37, "✔") + COUNTIF(U18:U37, "v") + COUNTIF(U18:U37, "V")) + COUNTIF(U18:U37, "✗") + COUNTIF(U18:U37, "x") + COUNTIF(U18:U37, "X")), "")</f>
        <v/>
      </c>
      <c r="V38" s="33">
        <f>IF(((COUNTIF(V18:V37, "✓") + COUNTIF(V18:V37, "✔") + COUNTIF(V18:V37, "v") + COUNTIF(V18:V37, "V")) + COUNTIF(V18:V37, "✗") + COUNTIF(V18:V37, "x") + COUNTIF(V18:V37, "X")) &gt; 0, (COUNTIF(V18:V37, "✓") + COUNTIF(V18:V37, "✔") + COUNTIF(V18:V37, "v") + COUNTIF(V18:V37, "V")) &amp; "/" &amp; ((COUNTIF(V18:V37, "✓") + COUNTIF(V18:V37, "✔") + COUNTIF(V18:V37, "v") + COUNTIF(V18:V37, "V")) + COUNTIF(V18:V37, "✗") + COUNTIF(V18:V37, "x") + COUNTIF(V18:V37, "X")), "")</f>
        <v/>
      </c>
      <c r="W38" s="33">
        <f>IF(((COUNTIF(W18:W37, "✓") + COUNTIF(W18:W37, "✔") + COUNTIF(W18:W37, "v") + COUNTIF(W18:W37, "V")) + COUNTIF(W18:W37, "✗") + COUNTIF(W18:W37, "x") + COUNTIF(W18:W37, "X")) &gt; 0, (COUNTIF(W18:W37, "✓") + COUNTIF(W18:W37, "✔") + COUNTIF(W18:W37, "v") + COUNTIF(W18:W37, "V")) &amp; "/" &amp; ((COUNTIF(W18:W37, "✓") + COUNTIF(W18:W37, "✔") + COUNTIF(W18:W37, "v") + COUNTIF(W18:W37, "V")) + COUNTIF(W18:W37, "✗") + COUNTIF(W18:W37, "x") + COUNTIF(W18:W37, "X")), "")</f>
        <v/>
      </c>
      <c r="X38" s="33">
        <f>IF(((COUNTIF(X18:X37, "✓") + COUNTIF(X18:X37, "✔") + COUNTIF(X18:X37, "v") + COUNTIF(X18:X37, "V")) + COUNTIF(X18:X37, "✗") + COUNTIF(X18:X37, "x") + COUNTIF(X18:X37, "X")) &gt; 0, (COUNTIF(X18:X37, "✓") + COUNTIF(X18:X37, "✔") + COUNTIF(X18:X37, "v") + COUNTIF(X18:X37, "V")) &amp; "/" &amp; ((COUNTIF(X18:X37, "✓") + COUNTIF(X18:X37, "✔") + COUNTIF(X18:X37, "v") + COUNTIF(X18:X37, "V")) + COUNTIF(X18:X37, "✗") + COUNTIF(X18:X37, "x") + COUNTIF(X18:X37, "X")), "")</f>
        <v/>
      </c>
      <c r="Y38" s="33">
        <f>IF(((COUNTIF(Y18:Y37, "✓") + COUNTIF(Y18:Y37, "✔") + COUNTIF(Y18:Y37, "v") + COUNTIF(Y18:Y37, "V")) + COUNTIF(Y18:Y37, "✗") + COUNTIF(Y18:Y37, "x") + COUNTIF(Y18:Y37, "X")) &gt; 0, (COUNTIF(Y18:Y37, "✓") + COUNTIF(Y18:Y37, "✔") + COUNTIF(Y18:Y37, "v") + COUNTIF(Y18:Y37, "V")) &amp; "/" &amp; ((COUNTIF(Y18:Y37, "✓") + COUNTIF(Y18:Y37, "✔") + COUNTIF(Y18:Y37, "v") + COUNTIF(Y18:Y37, "V")) + COUNTIF(Y18:Y37, "✗") + COUNTIF(Y18:Y37, "x") + COUNTIF(Y18:Y37, "X")), "")</f>
        <v/>
      </c>
      <c r="Z38" s="33">
        <f>IF(((COUNTIF(Z18:Z37, "✓") + COUNTIF(Z18:Z37, "✔") + COUNTIF(Z18:Z37, "v") + COUNTIF(Z18:Z37, "V")) + COUNTIF(Z18:Z37, "✗") + COUNTIF(Z18:Z37, "x") + COUNTIF(Z18:Z37, "X")) &gt; 0, (COUNTIF(Z18:Z37, "✓") + COUNTIF(Z18:Z37, "✔") + COUNTIF(Z18:Z37, "v") + COUNTIF(Z18:Z37, "V")) &amp; "/" &amp; ((COUNTIF(Z18:Z37, "✓") + COUNTIF(Z18:Z37, "✔") + COUNTIF(Z18:Z37, "v") + COUNTIF(Z18:Z37, "V")) + COUNTIF(Z18:Z37, "✗") + COUNTIF(Z18:Z37, "x") + COUNTIF(Z18:Z37, "X")), "")</f>
        <v/>
      </c>
      <c r="AA38" s="33">
        <f>IF(((COUNTIF(AA18:AA37, "✓") + COUNTIF(AA18:AA37, "✔") + COUNTIF(AA18:AA37, "v") + COUNTIF(AA18:AA37, "V")) + COUNTIF(AA18:AA37, "✗") + COUNTIF(AA18:AA37, "x") + COUNTIF(AA18:AA37, "X")) &gt; 0, (COUNTIF(AA18:AA37, "✓") + COUNTIF(AA18:AA37, "✔") + COUNTIF(AA18:AA37, "v") + COUNTIF(AA18:AA37, "V")) &amp; "/" &amp; ((COUNTIF(AA18:AA37, "✓") + COUNTIF(AA18:AA37, "✔") + COUNTIF(AA18:AA37, "v") + COUNTIF(AA18:AA37, "V")) + COUNTIF(AA18:AA37, "✗") + COUNTIF(AA18:AA37, "x") + COUNTIF(AA18:AA37, "X")), "")</f>
        <v/>
      </c>
      <c r="AB38" s="33">
        <f>IF(((COUNTIF(AB18:AB37, "✓") + COUNTIF(AB18:AB37, "✔") + COUNTIF(AB18:AB37, "v") + COUNTIF(AB18:AB37, "V")) + COUNTIF(AB18:AB37, "✗") + COUNTIF(AB18:AB37, "x") + COUNTIF(AB18:AB37, "X")) &gt; 0, (COUNTIF(AB18:AB37, "✓") + COUNTIF(AB18:AB37, "✔") + COUNTIF(AB18:AB37, "v") + COUNTIF(AB18:AB37, "V")) &amp; "/" &amp; ((COUNTIF(AB18:AB37, "✓") + COUNTIF(AB18:AB37, "✔") + COUNTIF(AB18:AB37, "v") + COUNTIF(AB18:AB37, "V")) + COUNTIF(AB18:AB37, "✗") + COUNTIF(AB18:AB37, "x") + COUNTIF(AB18:AB37, "X")), "")</f>
        <v/>
      </c>
      <c r="AC38" s="33">
        <f>IF(((COUNTIF(AC18:AC37, "✓") + COUNTIF(AC18:AC37, "✔") + COUNTIF(AC18:AC37, "v") + COUNTIF(AC18:AC37, "V")) + COUNTIF(AC18:AC37, "✗") + COUNTIF(AC18:AC37, "x") + COUNTIF(AC18:AC37, "X")) &gt; 0, (COUNTIF(AC18:AC37, "✓") + COUNTIF(AC18:AC37, "✔") + COUNTIF(AC18:AC37, "v") + COUNTIF(AC18:AC37, "V")) &amp; "/" &amp; ((COUNTIF(AC18:AC37, "✓") + COUNTIF(AC18:AC37, "✔") + COUNTIF(AC18:AC37, "v") + COUNTIF(AC18:AC37, "V")) + COUNTIF(AC18:AC37, "✗") + COUNTIF(AC18:AC37, "x") + COUNTIF(AC18:AC37, "X")), "")</f>
        <v/>
      </c>
      <c r="AD38" s="33">
        <f>IF(((COUNTIF(AD18:AD37, "✓") + COUNTIF(AD18:AD37, "✔") + COUNTIF(AD18:AD37, "v") + COUNTIF(AD18:AD37, "V")) + COUNTIF(AD18:AD37, "✗") + COUNTIF(AD18:AD37, "x") + COUNTIF(AD18:AD37, "X")) &gt; 0, (COUNTIF(AD18:AD37, "✓") + COUNTIF(AD18:AD37, "✔") + COUNTIF(AD18:AD37, "v") + COUNTIF(AD18:AD37, "V")) &amp; "/" &amp; ((COUNTIF(AD18:AD37, "✓") + COUNTIF(AD18:AD37, "✔") + COUNTIF(AD18:AD37, "v") + COUNTIF(AD18:AD37, "V")) + COUNTIF(AD18:AD37, "✗") + COUNTIF(AD18:AD37, "x") + COUNTIF(AD18:AD37, "X")), "")</f>
        <v/>
      </c>
      <c r="AE38" s="33">
        <f>IF(((COUNTIF(AE18:AE37, "✓") + COUNTIF(AE18:AE37, "✔") + COUNTIF(AE18:AE37, "v") + COUNTIF(AE18:AE37, "V")) + COUNTIF(AE18:AE37, "✗") + COUNTIF(AE18:AE37, "x") + COUNTIF(AE18:AE37, "X")) &gt; 0, (COUNTIF(AE18:AE37, "✓") + COUNTIF(AE18:AE37, "✔") + COUNTIF(AE18:AE37, "v") + COUNTIF(AE18:AE37, "V")) &amp; "/" &amp; ((COUNTIF(AE18:AE37, "✓") + COUNTIF(AE18:AE37, "✔") + COUNTIF(AE18:AE37, "v") + COUNTIF(AE18:AE37, "V")) + COUNTIF(AE18:AE37, "✗") + COUNTIF(AE18:AE37, "x") + COUNTIF(AE18:AE37, "X")), "")</f>
        <v/>
      </c>
      <c r="AF38" s="33">
        <f>IF(((COUNTIF(AF18:AF37, "✓") + COUNTIF(AF18:AF37, "✔") + COUNTIF(AF18:AF37, "v") + COUNTIF(AF18:AF37, "V")) + COUNTIF(AF18:AF37, "✗") + COUNTIF(AF18:AF37, "x") + COUNTIF(AF18:AF37, "X")) &gt; 0, (COUNTIF(AF18:AF37, "✓") + COUNTIF(AF18:AF37, "✔") + COUNTIF(AF18:AF37, "v") + COUNTIF(AF18:AF37, "V")) &amp; "/" &amp; ((COUNTIF(AF18:AF37, "✓") + COUNTIF(AF18:AF37, "✔") + COUNTIF(AF18:AF37, "v") + COUNTIF(AF18:AF37, "V")) + COUNTIF(AF18:AF37, "✗") + COUNTIF(AF18:AF37, "x") + COUNTIF(AF18:AF37, "X")), "")</f>
        <v/>
      </c>
      <c r="AG38" s="33">
        <f>IF(((COUNTIF(AG18:AG37, "✓") + COUNTIF(AG18:AG37, "✔") + COUNTIF(AG18:AG37, "v") + COUNTIF(AG18:AG37, "V")) + COUNTIF(AG18:AG37, "✗") + COUNTIF(AG18:AG37, "x") + COUNTIF(AG18:AG37, "X")) &gt; 0, (COUNTIF(AG18:AG37, "✓") + COUNTIF(AG18:AG37, "✔") + COUNTIF(AG18:AG37, "v") + COUNTIF(AG18:AG37, "V")) &amp; "/" &amp; ((COUNTIF(AG18:AG37, "✓") + COUNTIF(AG18:AG37, "✔") + COUNTIF(AG18:AG37, "v") + COUNTIF(AG18:AG37, "V")) + COUNTIF(AG18:AG37, "✗") + COUNTIF(AG18:AG37, "x") + COUNTIF(AG18:AG37, "X")), "")</f>
        <v/>
      </c>
      <c r="AH38" s="33">
        <f>IF(((COUNTIF(AH18:AH37, "✓") + COUNTIF(AH18:AH37, "✔") + COUNTIF(AH18:AH37, "v") + COUNTIF(AH18:AH37, "V")) + COUNTIF(AH18:AH37, "✗") + COUNTIF(AH18:AH37, "x") + COUNTIF(AH18:AH37, "X")) &gt; 0, (COUNTIF(AH18:AH37, "✓") + COUNTIF(AH18:AH37, "✔") + COUNTIF(AH18:AH37, "v") + COUNTIF(AH18:AH37, "V")) &amp; "/" &amp; ((COUNTIF(AH18:AH37, "✓") + COUNTIF(AH18:AH37, "✔") + COUNTIF(AH18:AH37, "v") + COUNTIF(AH18:AH37, "V")) + COUNTIF(AH18:AH37, "✗") + COUNTIF(AH18:AH37, "x") + COUNTIF(AH18:AH37, "X")), "")</f>
        <v/>
      </c>
      <c r="AI38" s="133">
        <f>IF(SUM(D18:D37) &gt; 0, SUM(AL18:AL37) / SUM(D18:D37), "")</f>
        <v/>
      </c>
      <c r="AJ38" s="33">
        <f>IF(SUM(D18:D37) &gt; 0, SUM(AL18:AL37) &amp; "/" &amp; SUM(D18:D37), "")</f>
        <v/>
      </c>
      <c r="AK38" s="54" t="n"/>
    </row>
    <row r="39" ht="18" customHeight="1">
      <c r="A39" s="132" t="inlineStr">
        <is>
          <t>DAILY SUCCESS %</t>
        </is>
      </c>
      <c r="B39" s="54" t="n"/>
      <c r="C39" s="54" t="n"/>
      <c r="D39" s="54" t="n"/>
      <c r="E39" s="134">
        <f>IF(((COUNTIF(E18:E37, "✓") + COUNTIF(E18:E37, "✔") + COUNTIF(E18:E37, "v") + COUNTIF(E18:E37, "V")) + COUNTIF(E18:E37, "✗") + COUNTIF(E18:E37, "x") + COUNTIF(E18:E37, "X")) &gt; 0, (COUNTIF(E18:E37, "✓") + COUNTIF(E18:E37, "✔") + COUNTIF(E18:E37, "v") + COUNTIF(E18:E37, "V")) / ((COUNTIF(E18:E37, "✓") + COUNTIF(E18:E37, "✔") + COUNTIF(E18:E37, "v") + COUNTIF(E18:E37, "V")) + COUNTIF(E18:E37, "✗") + COUNTIF(E18:E37, "x") + COUNTIF(E18:E37, "X")), "")</f>
        <v/>
      </c>
      <c r="F39" s="134">
        <f>IF(((COUNTIF(F18:F37, "✓") + COUNTIF(F18:F37, "✔") + COUNTIF(F18:F37, "v") + COUNTIF(F18:F37, "V")) + COUNTIF(F18:F37, "✗") + COUNTIF(F18:F37, "x") + COUNTIF(F18:F37, "X")) &gt; 0, (COUNTIF(F18:F37, "✓") + COUNTIF(F18:F37, "✔") + COUNTIF(F18:F37, "v") + COUNTIF(F18:F37, "V")) / ((COUNTIF(F18:F37, "✓") + COUNTIF(F18:F37, "✔") + COUNTIF(F18:F37, "v") + COUNTIF(F18:F37, "V")) + COUNTIF(F18:F37, "✗") + COUNTIF(F18:F37, "x") + COUNTIF(F18:F37, "X")), "")</f>
        <v/>
      </c>
      <c r="G39" s="134">
        <f>IF(((COUNTIF(G18:G37, "✓") + COUNTIF(G18:G37, "✔") + COUNTIF(G18:G37, "v") + COUNTIF(G18:G37, "V")) + COUNTIF(G18:G37, "✗") + COUNTIF(G18:G37, "x") + COUNTIF(G18:G37, "X")) &gt; 0, (COUNTIF(G18:G37, "✓") + COUNTIF(G18:G37, "✔") + COUNTIF(G18:G37, "v") + COUNTIF(G18:G37, "V")) / ((COUNTIF(G18:G37, "✓") + COUNTIF(G18:G37, "✔") + COUNTIF(G18:G37, "v") + COUNTIF(G18:G37, "V")) + COUNTIF(G18:G37, "✗") + COUNTIF(G18:G37, "x") + COUNTIF(G18:G37, "X")), "")</f>
        <v/>
      </c>
      <c r="H39" s="134">
        <f>IF(((COUNTIF(H18:H37, "✓") + COUNTIF(H18:H37, "✔") + COUNTIF(H18:H37, "v") + COUNTIF(H18:H37, "V")) + COUNTIF(H18:H37, "✗") + COUNTIF(H18:H37, "x") + COUNTIF(H18:H37, "X")) &gt; 0, (COUNTIF(H18:H37, "✓") + COUNTIF(H18:H37, "✔") + COUNTIF(H18:H37, "v") + COUNTIF(H18:H37, "V")) / ((COUNTIF(H18:H37, "✓") + COUNTIF(H18:H37, "✔") + COUNTIF(H18:H37, "v") + COUNTIF(H18:H37, "V")) + COUNTIF(H18:H37, "✗") + COUNTIF(H18:H37, "x") + COUNTIF(H18:H37, "X")), "")</f>
        <v/>
      </c>
      <c r="I39" s="134">
        <f>IF(((COUNTIF(I18:I37, "✓") + COUNTIF(I18:I37, "✔") + COUNTIF(I18:I37, "v") + COUNTIF(I18:I37, "V")) + COUNTIF(I18:I37, "✗") + COUNTIF(I18:I37, "x") + COUNTIF(I18:I37, "X")) &gt; 0, (COUNTIF(I18:I37, "✓") + COUNTIF(I18:I37, "✔") + COUNTIF(I18:I37, "v") + COUNTIF(I18:I37, "V")) / ((COUNTIF(I18:I37, "✓") + COUNTIF(I18:I37, "✔") + COUNTIF(I18:I37, "v") + COUNTIF(I18:I37, "V")) + COUNTIF(I18:I37, "✗") + COUNTIF(I18:I37, "x") + COUNTIF(I18:I37, "X")), "")</f>
        <v/>
      </c>
      <c r="J39" s="134">
        <f>IF(((COUNTIF(J18:J37, "✓") + COUNTIF(J18:J37, "✔") + COUNTIF(J18:J37, "v") + COUNTIF(J18:J37, "V")) + COUNTIF(J18:J37, "✗") + COUNTIF(J18:J37, "x") + COUNTIF(J18:J37, "X")) &gt; 0, (COUNTIF(J18:J37, "✓") + COUNTIF(J18:J37, "✔") + COUNTIF(J18:J37, "v") + COUNTIF(J18:J37, "V")) / ((COUNTIF(J18:J37, "✓") + COUNTIF(J18:J37, "✔") + COUNTIF(J18:J37, "v") + COUNTIF(J18:J37, "V")) + COUNTIF(J18:J37, "✗") + COUNTIF(J18:J37, "x") + COUNTIF(J18:J37, "X")), "")</f>
        <v/>
      </c>
      <c r="K39" s="134">
        <f>IF(((COUNTIF(K18:K37, "✓") + COUNTIF(K18:K37, "✔") + COUNTIF(K18:K37, "v") + COUNTIF(K18:K37, "V")) + COUNTIF(K18:K37, "✗") + COUNTIF(K18:K37, "x") + COUNTIF(K18:K37, "X")) &gt; 0, (COUNTIF(K18:K37, "✓") + COUNTIF(K18:K37, "✔") + COUNTIF(K18:K37, "v") + COUNTIF(K18:K37, "V")) / ((COUNTIF(K18:K37, "✓") + COUNTIF(K18:K37, "✔") + COUNTIF(K18:K37, "v") + COUNTIF(K18:K37, "V")) + COUNTIF(K18:K37, "✗") + COUNTIF(K18:K37, "x") + COUNTIF(K18:K37, "X")), "")</f>
        <v/>
      </c>
      <c r="L39" s="134">
        <f>IF(((COUNTIF(L18:L37, "✓") + COUNTIF(L18:L37, "✔") + COUNTIF(L18:L37, "v") + COUNTIF(L18:L37, "V")) + COUNTIF(L18:L37, "✗") + COUNTIF(L18:L37, "x") + COUNTIF(L18:L37, "X")) &gt; 0, (COUNTIF(L18:L37, "✓") + COUNTIF(L18:L37, "✔") + COUNTIF(L18:L37, "v") + COUNTIF(L18:L37, "V")) / ((COUNTIF(L18:L37, "✓") + COUNTIF(L18:L37, "✔") + COUNTIF(L18:L37, "v") + COUNTIF(L18:L37, "V")) + COUNTIF(L18:L37, "✗") + COUNTIF(L18:L37, "x") + COUNTIF(L18:L37, "X")), "")</f>
        <v/>
      </c>
      <c r="M39" s="134">
        <f>IF(((COUNTIF(M18:M37, "✓") + COUNTIF(M18:M37, "✔") + COUNTIF(M18:M37, "v") + COUNTIF(M18:M37, "V")) + COUNTIF(M18:M37, "✗") + COUNTIF(M18:M37, "x") + COUNTIF(M18:M37, "X")) &gt; 0, (COUNTIF(M18:M37, "✓") + COUNTIF(M18:M37, "✔") + COUNTIF(M18:M37, "v") + COUNTIF(M18:M37, "V")) / ((COUNTIF(M18:M37, "✓") + COUNTIF(M18:M37, "✔") + COUNTIF(M18:M37, "v") + COUNTIF(M18:M37, "V")) + COUNTIF(M18:M37, "✗") + COUNTIF(M18:M37, "x") + COUNTIF(M18:M37, "X")), "")</f>
        <v/>
      </c>
      <c r="N39" s="134">
        <f>IF(((COUNTIF(N18:N37, "✓") + COUNTIF(N18:N37, "✔") + COUNTIF(N18:N37, "v") + COUNTIF(N18:N37, "V")) + COUNTIF(N18:N37, "✗") + COUNTIF(N18:N37, "x") + COUNTIF(N18:N37, "X")) &gt; 0, (COUNTIF(N18:N37, "✓") + COUNTIF(N18:N37, "✔") + COUNTIF(N18:N37, "v") + COUNTIF(N18:N37, "V")) / ((COUNTIF(N18:N37, "✓") + COUNTIF(N18:N37, "✔") + COUNTIF(N18:N37, "v") + COUNTIF(N18:N37, "V")) + COUNTIF(N18:N37, "✗") + COUNTIF(N18:N37, "x") + COUNTIF(N18:N37, "X")), "")</f>
        <v/>
      </c>
      <c r="O39" s="134">
        <f>IF(((COUNTIF(O18:O37, "✓") + COUNTIF(O18:O37, "✔") + COUNTIF(O18:O37, "v") + COUNTIF(O18:O37, "V")) + COUNTIF(O18:O37, "✗") + COUNTIF(O18:O37, "x") + COUNTIF(O18:O37, "X")) &gt; 0, (COUNTIF(O18:O37, "✓") + COUNTIF(O18:O37, "✔") + COUNTIF(O18:O37, "v") + COUNTIF(O18:O37, "V")) / ((COUNTIF(O18:O37, "✓") + COUNTIF(O18:O37, "✔") + COUNTIF(O18:O37, "v") + COUNTIF(O18:O37, "V")) + COUNTIF(O18:O37, "✗") + COUNTIF(O18:O37, "x") + COUNTIF(O18:O37, "X")), "")</f>
        <v/>
      </c>
      <c r="P39" s="134">
        <f>IF(((COUNTIF(P18:P37, "✓") + COUNTIF(P18:P37, "✔") + COUNTIF(P18:P37, "v") + COUNTIF(P18:P37, "V")) + COUNTIF(P18:P37, "✗") + COUNTIF(P18:P37, "x") + COUNTIF(P18:P37, "X")) &gt; 0, (COUNTIF(P18:P37, "✓") + COUNTIF(P18:P37, "✔") + COUNTIF(P18:P37, "v") + COUNTIF(P18:P37, "V")) / ((COUNTIF(P18:P37, "✓") + COUNTIF(P18:P37, "✔") + COUNTIF(P18:P37, "v") + COUNTIF(P18:P37, "V")) + COUNTIF(P18:P37, "✗") + COUNTIF(P18:P37, "x") + COUNTIF(P18:P37, "X")), "")</f>
        <v/>
      </c>
      <c r="Q39" s="134">
        <f>IF(((COUNTIF(Q18:Q37, "✓") + COUNTIF(Q18:Q37, "✔") + COUNTIF(Q18:Q37, "v") + COUNTIF(Q18:Q37, "V")) + COUNTIF(Q18:Q37, "✗") + COUNTIF(Q18:Q37, "x") + COUNTIF(Q18:Q37, "X")) &gt; 0, (COUNTIF(Q18:Q37, "✓") + COUNTIF(Q18:Q37, "✔") + COUNTIF(Q18:Q37, "v") + COUNTIF(Q18:Q37, "V")) / ((COUNTIF(Q18:Q37, "✓") + COUNTIF(Q18:Q37, "✔") + COUNTIF(Q18:Q37, "v") + COUNTIF(Q18:Q37, "V")) + COUNTIF(Q18:Q37, "✗") + COUNTIF(Q18:Q37, "x") + COUNTIF(Q18:Q37, "X")), "")</f>
        <v/>
      </c>
      <c r="R39" s="134">
        <f>IF(((COUNTIF(R18:R37, "✓") + COUNTIF(R18:R37, "✔") + COUNTIF(R18:R37, "v") + COUNTIF(R18:R37, "V")) + COUNTIF(R18:R37, "✗") + COUNTIF(R18:R37, "x") + COUNTIF(R18:R37, "X")) &gt; 0, (COUNTIF(R18:R37, "✓") + COUNTIF(R18:R37, "✔") + COUNTIF(R18:R37, "v") + COUNTIF(R18:R37, "V")) / ((COUNTIF(R18:R37, "✓") + COUNTIF(R18:R37, "✔") + COUNTIF(R18:R37, "v") + COUNTIF(R18:R37, "V")) + COUNTIF(R18:R37, "✗") + COUNTIF(R18:R37, "x") + COUNTIF(R18:R37, "X")), "")</f>
        <v/>
      </c>
      <c r="S39" s="134">
        <f>IF(((COUNTIF(S18:S37, "✓") + COUNTIF(S18:S37, "✔") + COUNTIF(S18:S37, "v") + COUNTIF(S18:S37, "V")) + COUNTIF(S18:S37, "✗") + COUNTIF(S18:S37, "x") + COUNTIF(S18:S37, "X")) &gt; 0, (COUNTIF(S18:S37, "✓") + COUNTIF(S18:S37, "✔") + COUNTIF(S18:S37, "v") + COUNTIF(S18:S37, "V")) / ((COUNTIF(S18:S37, "✓") + COUNTIF(S18:S37, "✔") + COUNTIF(S18:S37, "v") + COUNTIF(S18:S37, "V")) + COUNTIF(S18:S37, "✗") + COUNTIF(S18:S37, "x") + COUNTIF(S18:S37, "X")), "")</f>
        <v/>
      </c>
      <c r="T39" s="134">
        <f>IF(((COUNTIF(T18:T37, "✓") + COUNTIF(T18:T37, "✔") + COUNTIF(T18:T37, "v") + COUNTIF(T18:T37, "V")) + COUNTIF(T18:T37, "✗") + COUNTIF(T18:T37, "x") + COUNTIF(T18:T37, "X")) &gt; 0, (COUNTIF(T18:T37, "✓") + COUNTIF(T18:T37, "✔") + COUNTIF(T18:T37, "v") + COUNTIF(T18:T37, "V")) / ((COUNTIF(T18:T37, "✓") + COUNTIF(T18:T37, "✔") + COUNTIF(T18:T37, "v") + COUNTIF(T18:T37, "V")) + COUNTIF(T18:T37, "✗") + COUNTIF(T18:T37, "x") + COUNTIF(T18:T37, "X")), "")</f>
        <v/>
      </c>
      <c r="U39" s="134">
        <f>IF(((COUNTIF(U18:U37, "✓") + COUNTIF(U18:U37, "✔") + COUNTIF(U18:U37, "v") + COUNTIF(U18:U37, "V")) + COUNTIF(U18:U37, "✗") + COUNTIF(U18:U37, "x") + COUNTIF(U18:U37, "X")) &gt; 0, (COUNTIF(U18:U37, "✓") + COUNTIF(U18:U37, "✔") + COUNTIF(U18:U37, "v") + COUNTIF(U18:U37, "V")) / ((COUNTIF(U18:U37, "✓") + COUNTIF(U18:U37, "✔") + COUNTIF(U18:U37, "v") + COUNTIF(U18:U37, "V")) + COUNTIF(U18:U37, "✗") + COUNTIF(U18:U37, "x") + COUNTIF(U18:U37, "X")), "")</f>
        <v/>
      </c>
      <c r="V39" s="134">
        <f>IF(((COUNTIF(V18:V37, "✓") + COUNTIF(V18:V37, "✔") + COUNTIF(V18:V37, "v") + COUNTIF(V18:V37, "V")) + COUNTIF(V18:V37, "✗") + COUNTIF(V18:V37, "x") + COUNTIF(V18:V37, "X")) &gt; 0, (COUNTIF(V18:V37, "✓") + COUNTIF(V18:V37, "✔") + COUNTIF(V18:V37, "v") + COUNTIF(V18:V37, "V")) / ((COUNTIF(V18:V37, "✓") + COUNTIF(V18:V37, "✔") + COUNTIF(V18:V37, "v") + COUNTIF(V18:V37, "V")) + COUNTIF(V18:V37, "✗") + COUNTIF(V18:V37, "x") + COUNTIF(V18:V37, "X")), "")</f>
        <v/>
      </c>
      <c r="W39" s="134">
        <f>IF(((COUNTIF(W18:W37, "✓") + COUNTIF(W18:W37, "✔") + COUNTIF(W18:W37, "v") + COUNTIF(W18:W37, "V")) + COUNTIF(W18:W37, "✗") + COUNTIF(W18:W37, "x") + COUNTIF(W18:W37, "X")) &gt; 0, (COUNTIF(W18:W37, "✓") + COUNTIF(W18:W37, "✔") + COUNTIF(W18:W37, "v") + COUNTIF(W18:W37, "V")) / ((COUNTIF(W18:W37, "✓") + COUNTIF(W18:W37, "✔") + COUNTIF(W18:W37, "v") + COUNTIF(W18:W37, "V")) + COUNTIF(W18:W37, "✗") + COUNTIF(W18:W37, "x") + COUNTIF(W18:W37, "X")), "")</f>
        <v/>
      </c>
      <c r="X39" s="134">
        <f>IF(((COUNTIF(X18:X37, "✓") + COUNTIF(X18:X37, "✔") + COUNTIF(X18:X37, "v") + COUNTIF(X18:X37, "V")) + COUNTIF(X18:X37, "✗") + COUNTIF(X18:X37, "x") + COUNTIF(X18:X37, "X")) &gt; 0, (COUNTIF(X18:X37, "✓") + COUNTIF(X18:X37, "✔") + COUNTIF(X18:X37, "v") + COUNTIF(X18:X37, "V")) / ((COUNTIF(X18:X37, "✓") + COUNTIF(X18:X37, "✔") + COUNTIF(X18:X37, "v") + COUNTIF(X18:X37, "V")) + COUNTIF(X18:X37, "✗") + COUNTIF(X18:X37, "x") + COUNTIF(X18:X37, "X")), "")</f>
        <v/>
      </c>
      <c r="Y39" s="134">
        <f>IF(((COUNTIF(Y18:Y37, "✓") + COUNTIF(Y18:Y37, "✔") + COUNTIF(Y18:Y37, "v") + COUNTIF(Y18:Y37, "V")) + COUNTIF(Y18:Y37, "✗") + COUNTIF(Y18:Y37, "x") + COUNTIF(Y18:Y37, "X")) &gt; 0, (COUNTIF(Y18:Y37, "✓") + COUNTIF(Y18:Y37, "✔") + COUNTIF(Y18:Y37, "v") + COUNTIF(Y18:Y37, "V")) / ((COUNTIF(Y18:Y37, "✓") + COUNTIF(Y18:Y37, "✔") + COUNTIF(Y18:Y37, "v") + COUNTIF(Y18:Y37, "V")) + COUNTIF(Y18:Y37, "✗") + COUNTIF(Y18:Y37, "x") + COUNTIF(Y18:Y37, "X")), "")</f>
        <v/>
      </c>
      <c r="Z39" s="134">
        <f>IF(((COUNTIF(Z18:Z37, "✓") + COUNTIF(Z18:Z37, "✔") + COUNTIF(Z18:Z37, "v") + COUNTIF(Z18:Z37, "V")) + COUNTIF(Z18:Z37, "✗") + COUNTIF(Z18:Z37, "x") + COUNTIF(Z18:Z37, "X")) &gt; 0, (COUNTIF(Z18:Z37, "✓") + COUNTIF(Z18:Z37, "✔") + COUNTIF(Z18:Z37, "v") + COUNTIF(Z18:Z37, "V")) / ((COUNTIF(Z18:Z37, "✓") + COUNTIF(Z18:Z37, "✔") + COUNTIF(Z18:Z37, "v") + COUNTIF(Z18:Z37, "V")) + COUNTIF(Z18:Z37, "✗") + COUNTIF(Z18:Z37, "x") + COUNTIF(Z18:Z37, "X")), "")</f>
        <v/>
      </c>
      <c r="AA39" s="134">
        <f>IF(((COUNTIF(AA18:AA37, "✓") + COUNTIF(AA18:AA37, "✔") + COUNTIF(AA18:AA37, "v") + COUNTIF(AA18:AA37, "V")) + COUNTIF(AA18:AA37, "✗") + COUNTIF(AA18:AA37, "x") + COUNTIF(AA18:AA37, "X")) &gt; 0, (COUNTIF(AA18:AA37, "✓") + COUNTIF(AA18:AA37, "✔") + COUNTIF(AA18:AA37, "v") + COUNTIF(AA18:AA37, "V")) / ((COUNTIF(AA18:AA37, "✓") + COUNTIF(AA18:AA37, "✔") + COUNTIF(AA18:AA37, "v") + COUNTIF(AA18:AA37, "V")) + COUNTIF(AA18:AA37, "✗") + COUNTIF(AA18:AA37, "x") + COUNTIF(AA18:AA37, "X")), "")</f>
        <v/>
      </c>
      <c r="AB39" s="134">
        <f>IF(((COUNTIF(AB18:AB37, "✓") + COUNTIF(AB18:AB37, "✔") + COUNTIF(AB18:AB37, "v") + COUNTIF(AB18:AB37, "V")) + COUNTIF(AB18:AB37, "✗") + COUNTIF(AB18:AB37, "x") + COUNTIF(AB18:AB37, "X")) &gt; 0, (COUNTIF(AB18:AB37, "✓") + COUNTIF(AB18:AB37, "✔") + COUNTIF(AB18:AB37, "v") + COUNTIF(AB18:AB37, "V")) / ((COUNTIF(AB18:AB37, "✓") + COUNTIF(AB18:AB37, "✔") + COUNTIF(AB18:AB37, "v") + COUNTIF(AB18:AB37, "V")) + COUNTIF(AB18:AB37, "✗") + COUNTIF(AB18:AB37, "x") + COUNTIF(AB18:AB37, "X")), "")</f>
        <v/>
      </c>
      <c r="AC39" s="134">
        <f>IF(((COUNTIF(AC18:AC37, "✓") + COUNTIF(AC18:AC37, "✔") + COUNTIF(AC18:AC37, "v") + COUNTIF(AC18:AC37, "V")) + COUNTIF(AC18:AC37, "✗") + COUNTIF(AC18:AC37, "x") + COUNTIF(AC18:AC37, "X")) &gt; 0, (COUNTIF(AC18:AC37, "✓") + COUNTIF(AC18:AC37, "✔") + COUNTIF(AC18:AC37, "v") + COUNTIF(AC18:AC37, "V")) / ((COUNTIF(AC18:AC37, "✓") + COUNTIF(AC18:AC37, "✔") + COUNTIF(AC18:AC37, "v") + COUNTIF(AC18:AC37, "V")) + COUNTIF(AC18:AC37, "✗") + COUNTIF(AC18:AC37, "x") + COUNTIF(AC18:AC37, "X")), "")</f>
        <v/>
      </c>
      <c r="AD39" s="134">
        <f>IF(((COUNTIF(AD18:AD37, "✓") + COUNTIF(AD18:AD37, "✔") + COUNTIF(AD18:AD37, "v") + COUNTIF(AD18:AD37, "V")) + COUNTIF(AD18:AD37, "✗") + COUNTIF(AD18:AD37, "x") + COUNTIF(AD18:AD37, "X")) &gt; 0, (COUNTIF(AD18:AD37, "✓") + COUNTIF(AD18:AD37, "✔") + COUNTIF(AD18:AD37, "v") + COUNTIF(AD18:AD37, "V")) / ((COUNTIF(AD18:AD37, "✓") + COUNTIF(AD18:AD37, "✔") + COUNTIF(AD18:AD37, "v") + COUNTIF(AD18:AD37, "V")) + COUNTIF(AD18:AD37, "✗") + COUNTIF(AD18:AD37, "x") + COUNTIF(AD18:AD37, "X")), "")</f>
        <v/>
      </c>
      <c r="AE39" s="134">
        <f>IF(((COUNTIF(AE18:AE37, "✓") + COUNTIF(AE18:AE37, "✔") + COUNTIF(AE18:AE37, "v") + COUNTIF(AE18:AE37, "V")) + COUNTIF(AE18:AE37, "✗") + COUNTIF(AE18:AE37, "x") + COUNTIF(AE18:AE37, "X")) &gt; 0, (COUNTIF(AE18:AE37, "✓") + COUNTIF(AE18:AE37, "✔") + COUNTIF(AE18:AE37, "v") + COUNTIF(AE18:AE37, "V")) / ((COUNTIF(AE18:AE37, "✓") + COUNTIF(AE18:AE37, "✔") + COUNTIF(AE18:AE37, "v") + COUNTIF(AE18:AE37, "V")) + COUNTIF(AE18:AE37, "✗") + COUNTIF(AE18:AE37, "x") + COUNTIF(AE18:AE37, "X")), "")</f>
        <v/>
      </c>
      <c r="AF39" s="134">
        <f>IF(((COUNTIF(AF18:AF37, "✓") + COUNTIF(AF18:AF37, "✔") + COUNTIF(AF18:AF37, "v") + COUNTIF(AF18:AF37, "V")) + COUNTIF(AF18:AF37, "✗") + COUNTIF(AF18:AF37, "x") + COUNTIF(AF18:AF37, "X")) &gt; 0, (COUNTIF(AF18:AF37, "✓") + COUNTIF(AF18:AF37, "✔") + COUNTIF(AF18:AF37, "v") + COUNTIF(AF18:AF37, "V")) / ((COUNTIF(AF18:AF37, "✓") + COUNTIF(AF18:AF37, "✔") + COUNTIF(AF18:AF37, "v") + COUNTIF(AF18:AF37, "V")) + COUNTIF(AF18:AF37, "✗") + COUNTIF(AF18:AF37, "x") + COUNTIF(AF18:AF37, "X")), "")</f>
        <v/>
      </c>
      <c r="AG39" s="134">
        <f>IF(((COUNTIF(AG18:AG37, "✓") + COUNTIF(AG18:AG37, "✔") + COUNTIF(AG18:AG37, "v") + COUNTIF(AG18:AG37, "V")) + COUNTIF(AG18:AG37, "✗") + COUNTIF(AG18:AG37, "x") + COUNTIF(AG18:AG37, "X")) &gt; 0, (COUNTIF(AG18:AG37, "✓") + COUNTIF(AG18:AG37, "✔") + COUNTIF(AG18:AG37, "v") + COUNTIF(AG18:AG37, "V")) / ((COUNTIF(AG18:AG37, "✓") + COUNTIF(AG18:AG37, "✔") + COUNTIF(AG18:AG37, "v") + COUNTIF(AG18:AG37, "V")) + COUNTIF(AG18:AG37, "✗") + COUNTIF(AG18:AG37, "x") + COUNTIF(AG18:AG37, "X")), "")</f>
        <v/>
      </c>
      <c r="AH39" s="134">
        <f>IF(((COUNTIF(AH18:AH37, "✓") + COUNTIF(AH18:AH37, "✔") + COUNTIF(AH18:AH37, "v") + COUNTIF(AH18:AH37, "V")) + COUNTIF(AH18:AH37, "✗") + COUNTIF(AH18:AH37, "x") + COUNTIF(AH18:AH37, "X")) &gt; 0, (COUNTIF(AH18:AH37, "✓") + COUNTIF(AH18:AH37, "✔") + COUNTIF(AH18:AH37, "v") + COUNTIF(AH18:AH37, "V")) / ((COUNTIF(AH18:AH37, "✓") + COUNTIF(AH18:AH37, "✔") + COUNTIF(AH18:AH37, "v") + COUNTIF(AH18:AH37, "V")) + COUNTIF(AH18:AH37, "✗") + COUNTIF(AH18:AH37, "x") + COUNTIF(AH18:AH37, "X")), "")</f>
        <v/>
      </c>
      <c r="AI39" s="133">
        <f>IF(COUNT(E39:AH39) &gt; 0, AVERAGE(E39:AH39), "")</f>
        <v/>
      </c>
      <c r="AJ39" s="54" t="n"/>
      <c r="AK39" s="54" t="n"/>
    </row>
    <row r="40" ht="6" customHeight="1"/>
    <row r="41" ht="15" customHeight="1">
      <c r="A41" s="135" t="inlineStr">
        <is>
          <t>IF SUCCESS &lt; 80%, PUNISHMENT: ________________________________________________</t>
        </is>
      </c>
    </row>
    <row r="42" ht="15" customHeight="1">
      <c r="A42" s="136" t="inlineStr">
        <is>
          <t>IF SUCCESS &gt; 90%, REWARD: __________________________________________________</t>
        </is>
      </c>
    </row>
    <row r="43" ht="10" customHeight="1"/>
    <row r="44" ht="10" customHeight="1"/>
    <row r="45" ht="15" customHeight="1">
      <c r="A45" s="51" t="inlineStr">
        <is>
          <t>Sleep Tracking</t>
        </is>
      </c>
      <c r="B45" s="52" t="n"/>
      <c r="C45" s="52" t="n"/>
      <c r="D45" s="52" t="n"/>
      <c r="E45" s="137" t="n">
        <v>1</v>
      </c>
      <c r="F45" s="137" t="n">
        <v>2</v>
      </c>
      <c r="G45" s="138" t="n">
        <v>3</v>
      </c>
      <c r="H45" s="137" t="n">
        <v>4</v>
      </c>
      <c r="I45" s="137" t="n">
        <v>5</v>
      </c>
      <c r="J45" s="137" t="n">
        <v>6</v>
      </c>
      <c r="K45" s="137" t="n">
        <v>7</v>
      </c>
      <c r="L45" s="137" t="n">
        <v>8</v>
      </c>
      <c r="M45" s="137" t="n">
        <v>9</v>
      </c>
      <c r="N45" s="138" t="n">
        <v>10</v>
      </c>
      <c r="O45" s="137" t="n">
        <v>11</v>
      </c>
      <c r="P45" s="137" t="n">
        <v>12</v>
      </c>
      <c r="Q45" s="137" t="n">
        <v>13</v>
      </c>
      <c r="R45" s="137" t="n">
        <v>14</v>
      </c>
      <c r="S45" s="137" t="n">
        <v>15</v>
      </c>
      <c r="T45" s="137" t="n">
        <v>16</v>
      </c>
      <c r="U45" s="138" t="n">
        <v>17</v>
      </c>
      <c r="V45" s="137" t="n">
        <v>18</v>
      </c>
      <c r="W45" s="137" t="n">
        <v>19</v>
      </c>
      <c r="X45" s="137" t="n">
        <v>20</v>
      </c>
      <c r="Y45" s="137" t="n">
        <v>21</v>
      </c>
      <c r="Z45" s="137" t="n">
        <v>22</v>
      </c>
      <c r="AA45" s="137" t="n">
        <v>23</v>
      </c>
      <c r="AB45" s="138" t="n">
        <v>24</v>
      </c>
      <c r="AC45" s="137" t="n">
        <v>25</v>
      </c>
      <c r="AD45" s="137" t="n">
        <v>26</v>
      </c>
      <c r="AE45" s="137" t="n">
        <v>27</v>
      </c>
      <c r="AF45" s="137" t="n">
        <v>28</v>
      </c>
      <c r="AG45" s="137" t="n">
        <v>29</v>
      </c>
      <c r="AH45" s="137" t="n">
        <v>30</v>
      </c>
    </row>
    <row r="46" ht="15" customHeight="1">
      <c r="A46" s="52" t="n"/>
      <c r="B46" s="52" t="n"/>
      <c r="C46" s="52" t="n"/>
      <c r="D46" s="52" t="n"/>
      <c r="E46" s="139" t="inlineStr">
        <is>
          <t>F</t>
        </is>
      </c>
      <c r="F46" s="139" t="inlineStr">
        <is>
          <t>Sa</t>
        </is>
      </c>
      <c r="G46" s="140" t="inlineStr">
        <is>
          <t>Su</t>
        </is>
      </c>
      <c r="H46" s="139" t="inlineStr">
        <is>
          <t>M</t>
        </is>
      </c>
      <c r="I46" s="139" t="inlineStr">
        <is>
          <t>T</t>
        </is>
      </c>
      <c r="J46" s="139" t="inlineStr">
        <is>
          <t>W</t>
        </is>
      </c>
      <c r="K46" s="139" t="inlineStr">
        <is>
          <t>Th</t>
        </is>
      </c>
      <c r="L46" s="139" t="inlineStr">
        <is>
          <t>F</t>
        </is>
      </c>
      <c r="M46" s="139" t="inlineStr">
        <is>
          <t>Sa</t>
        </is>
      </c>
      <c r="N46" s="140" t="inlineStr">
        <is>
          <t>Su</t>
        </is>
      </c>
      <c r="O46" s="139" t="inlineStr">
        <is>
          <t>M</t>
        </is>
      </c>
      <c r="P46" s="139" t="inlineStr">
        <is>
          <t>T</t>
        </is>
      </c>
      <c r="Q46" s="139" t="inlineStr">
        <is>
          <t>W</t>
        </is>
      </c>
      <c r="R46" s="139" t="inlineStr">
        <is>
          <t>Th</t>
        </is>
      </c>
      <c r="S46" s="139" t="inlineStr">
        <is>
          <t>F</t>
        </is>
      </c>
      <c r="T46" s="139" t="inlineStr">
        <is>
          <t>Sa</t>
        </is>
      </c>
      <c r="U46" s="140" t="inlineStr">
        <is>
          <t>Su</t>
        </is>
      </c>
      <c r="V46" s="139" t="inlineStr">
        <is>
          <t>M</t>
        </is>
      </c>
      <c r="W46" s="139" t="inlineStr">
        <is>
          <t>T</t>
        </is>
      </c>
      <c r="X46" s="139" t="inlineStr">
        <is>
          <t>W</t>
        </is>
      </c>
      <c r="Y46" s="139" t="inlineStr">
        <is>
          <t>Th</t>
        </is>
      </c>
      <c r="Z46" s="139" t="inlineStr">
        <is>
          <t>F</t>
        </is>
      </c>
      <c r="AA46" s="139" t="inlineStr">
        <is>
          <t>Sa</t>
        </is>
      </c>
      <c r="AB46" s="140" t="inlineStr">
        <is>
          <t>Su</t>
        </is>
      </c>
      <c r="AC46" s="139" t="inlineStr">
        <is>
          <t>M</t>
        </is>
      </c>
      <c r="AD46" s="139" t="inlineStr">
        <is>
          <t>T</t>
        </is>
      </c>
      <c r="AE46" s="139" t="inlineStr">
        <is>
          <t>W</t>
        </is>
      </c>
      <c r="AF46" s="139" t="inlineStr">
        <is>
          <t>Th</t>
        </is>
      </c>
      <c r="AG46" s="139" t="inlineStr">
        <is>
          <t>F</t>
        </is>
      </c>
      <c r="AH46" s="139" t="inlineStr">
        <is>
          <t>Sa</t>
        </is>
      </c>
    </row>
    <row r="47" ht="20" customHeight="1">
      <c r="A47" s="141" t="inlineStr">
        <is>
          <t>Sleep Hours (1-24)</t>
        </is>
      </c>
      <c r="B47" s="142" t="n"/>
      <c r="C47" s="142" t="n"/>
      <c r="D47" s="142" t="n"/>
      <c r="E47" s="143" t="n"/>
      <c r="F47" s="143" t="n"/>
      <c r="G47" s="144" t="n"/>
      <c r="H47" s="143" t="n"/>
      <c r="I47" s="143" t="n"/>
      <c r="J47" s="143" t="n"/>
      <c r="K47" s="143" t="n"/>
      <c r="L47" s="143" t="n"/>
      <c r="M47" s="143" t="n"/>
      <c r="N47" s="144" t="n"/>
      <c r="O47" s="143" t="n"/>
      <c r="P47" s="143" t="n"/>
      <c r="Q47" s="143" t="n"/>
      <c r="R47" s="143" t="n"/>
      <c r="S47" s="143" t="n"/>
      <c r="T47" s="143" t="n"/>
      <c r="U47" s="144" t="n"/>
      <c r="V47" s="143" t="n"/>
      <c r="W47" s="143" t="n"/>
      <c r="X47" s="143" t="n"/>
      <c r="Y47" s="143" t="n"/>
      <c r="Z47" s="143" t="n"/>
      <c r="AA47" s="143" t="n"/>
      <c r="AB47" s="144" t="n"/>
      <c r="AC47" s="143" t="n"/>
      <c r="AD47" s="143" t="n"/>
      <c r="AE47" s="143" t="n"/>
      <c r="AF47" s="143" t="n"/>
      <c r="AG47" s="143" t="n"/>
      <c r="AH47" s="143" t="n"/>
    </row>
    <row r="48" ht="6" customHeight="1"/>
    <row r="49" ht="14" customHeight="1"/>
    <row r="50" ht="14" customHeight="1"/>
    <row r="51" ht="14" customHeight="1"/>
    <row r="52" ht="14" customHeight="1"/>
    <row r="53" ht="14" customHeight="1"/>
    <row r="54" ht="14" customHeight="1"/>
    <row r="55" ht="14" customHeight="1"/>
    <row r="56" ht="14" customHeight="1"/>
    <row r="57" ht="14" customHeight="1"/>
    <row r="58" ht="14" customHeight="1"/>
    <row r="59" ht="14" customHeight="1"/>
    <row r="60" ht="14" customHeight="1"/>
    <row r="61" ht="14" customHeight="1"/>
    <row r="62" ht="14" customHeight="1"/>
    <row r="63" ht="14" customHeight="1"/>
    <row r="64" ht="14" customHeight="1"/>
    <row r="65" ht="14" customHeight="1"/>
    <row r="66" ht="8" customHeight="1"/>
    <row r="67">
      <c r="A67" s="145" t="inlineStr">
        <is>
          <t>MONTHLY SUCCESS RATE</t>
        </is>
      </c>
      <c r="B67" s="9" t="n"/>
      <c r="C67" s="9" t="n"/>
      <c r="D67" s="9" t="n"/>
      <c r="F67" s="146" t="inlineStr">
        <is>
          <t>ACTIVE PROTOCOLS</t>
        </is>
      </c>
      <c r="G67" s="11" t="n"/>
      <c r="H67" s="11" t="n"/>
      <c r="I67" s="11" t="n"/>
      <c r="K67" s="147" t="inlineStr">
        <is>
          <t>PERFECT DAYS (100%)</t>
        </is>
      </c>
      <c r="L67" s="13" t="n"/>
      <c r="M67" s="13" t="n"/>
      <c r="N67" s="13" t="n"/>
      <c r="P67" s="148" t="inlineStr">
        <is>
          <t>AVG SLEEP DURATION</t>
        </is>
      </c>
      <c r="Q67" s="15" t="n"/>
      <c r="R67" s="15" t="n"/>
      <c r="S67" s="15" t="n"/>
    </row>
    <row r="68">
      <c r="A68" s="149">
        <f>IF(SUM(D18:D37)&gt;0, SUM(AL18:AL37)/SUM(D18:D37), 0)</f>
        <v/>
      </c>
      <c r="B68" s="9" t="n"/>
      <c r="C68" s="9" t="n"/>
      <c r="D68" s="9" t="n"/>
      <c r="F68" s="150">
        <f>COUNTA(B18:B37) &amp; " / 20"</f>
        <v/>
      </c>
      <c r="G68" s="11" t="n"/>
      <c r="H68" s="11" t="n"/>
      <c r="I68" s="11" t="n"/>
      <c r="K68" s="151">
        <f>COUNTIF(E39:AH39, 1) &amp; " Days"</f>
        <v/>
      </c>
      <c r="L68" s="13" t="n"/>
      <c r="M68" s="13" t="n"/>
      <c r="N68" s="13" t="n"/>
      <c r="P68" s="152">
        <f>IFERROR(TEXT(AVERAGE(E47:AH47), "0.0") &amp; " hrs", "-")</f>
        <v/>
      </c>
      <c r="Q68" s="15" t="n"/>
      <c r="R68" s="15" t="n"/>
      <c r="S68" s="15" t="n"/>
    </row>
    <row r="69">
      <c r="A69" s="9" t="n"/>
      <c r="B69" s="9" t="n"/>
      <c r="C69" s="9" t="n"/>
      <c r="D69" s="9" t="n"/>
      <c r="F69" s="11" t="n"/>
      <c r="G69" s="11" t="n"/>
      <c r="H69" s="11" t="n"/>
      <c r="I69" s="11" t="n"/>
      <c r="K69" s="13" t="n"/>
      <c r="L69" s="13" t="n"/>
      <c r="M69" s="13" t="n"/>
      <c r="N69" s="13" t="n"/>
      <c r="P69" s="15" t="n"/>
      <c r="Q69" s="15" t="n"/>
      <c r="R69" s="15" t="n"/>
      <c r="S69" s="15" t="n"/>
    </row>
    <row r="70">
      <c r="A70" s="9" t="n"/>
      <c r="B70" s="9" t="n"/>
      <c r="C70" s="9" t="n"/>
      <c r="D70" s="9" t="n"/>
      <c r="F70" s="11" t="n"/>
      <c r="G70" s="11" t="n"/>
      <c r="H70" s="11" t="n"/>
      <c r="I70" s="11" t="n"/>
      <c r="K70" s="13" t="n"/>
      <c r="L70" s="13" t="n"/>
      <c r="M70" s="13" t="n"/>
      <c r="N70" s="13" t="n"/>
      <c r="P70" s="15" t="n"/>
      <c r="Q70" s="15" t="n"/>
      <c r="R70" s="15" t="n"/>
      <c r="S70" s="15" t="n"/>
    </row>
    <row r="71">
      <c r="A71" s="153" t="inlineStr">
        <is>
          <t>Target Completion</t>
        </is>
      </c>
      <c r="B71" s="9" t="n"/>
      <c r="C71" s="9" t="n"/>
      <c r="D71" s="9" t="n"/>
      <c r="F71" s="154" t="inlineStr">
        <is>
          <t>Habits Tracked</t>
        </is>
      </c>
      <c r="G71" s="11" t="n"/>
      <c r="H71" s="11" t="n"/>
      <c r="I71" s="11" t="n"/>
      <c r="K71" s="155" t="inlineStr">
        <is>
          <t>All Marked Habits Completed</t>
        </is>
      </c>
      <c r="L71" s="13" t="n"/>
      <c r="M71" s="13" t="n"/>
      <c r="N71" s="13" t="n"/>
      <c r="P71" s="156" t="inlineStr">
        <is>
          <t>Nightly Rest Average</t>
        </is>
      </c>
      <c r="Q71" s="15" t="n"/>
      <c r="R71" s="15" t="n"/>
      <c r="S71" s="15" t="n"/>
    </row>
    <row r="72" ht="8" customHeight="1"/>
    <row r="73" ht="6" customHeight="1"/>
    <row r="74">
      <c r="A74" s="67" t="inlineStr">
        <is>
          <t>WEEKLY PERFORMANCE (SLUMP DETECTOR)</t>
        </is>
      </c>
      <c r="B74" s="29" t="n"/>
      <c r="C74" s="29" t="n"/>
      <c r="D74" s="29" t="n"/>
      <c r="E74" s="29" t="n"/>
      <c r="N74" s="157" t="inlineStr">
        <is>
          <t>LIFE DOMAIN / CATEGORY BREAKDOWN</t>
        </is>
      </c>
      <c r="O74" s="158" t="n"/>
      <c r="P74" s="158" t="n"/>
      <c r="Q74" s="158" t="n"/>
      <c r="R74" s="158" t="n"/>
      <c r="S74" s="158" t="n"/>
    </row>
    <row r="75" ht="15" customHeight="1">
      <c r="A75" s="53" t="inlineStr">
        <is>
          <t>Week</t>
        </is>
      </c>
      <c r="B75" s="53" t="inlineStr">
        <is>
          <t>Days Range</t>
        </is>
      </c>
      <c r="C75" s="53" t="inlineStr">
        <is>
          <t>Checks Done</t>
        </is>
      </c>
      <c r="D75" s="53" t="inlineStr">
        <is>
          <t>Evaluated</t>
        </is>
      </c>
      <c r="E75" s="53" t="inlineStr">
        <is>
          <t>Success %</t>
        </is>
      </c>
      <c r="N75" s="53" t="inlineStr">
        <is>
          <t>Domain / Category</t>
        </is>
      </c>
      <c r="O75" s="54" t="n"/>
      <c r="P75" s="53" t="inlineStr">
        <is>
          <t>Active Habits</t>
        </is>
      </c>
      <c r="Q75" s="53" t="inlineStr">
        <is>
          <t>Target Days</t>
        </is>
      </c>
      <c r="R75" s="53" t="inlineStr">
        <is>
          <t>Done Checks</t>
        </is>
      </c>
      <c r="S75" s="53" t="inlineStr">
        <is>
          <t>Success %</t>
        </is>
      </c>
    </row>
    <row r="76" ht="14" customHeight="1">
      <c r="A76" s="33" t="inlineStr">
        <is>
          <t>Week 1</t>
        </is>
      </c>
      <c r="B76" s="34" t="inlineStr">
        <is>
          <t>Days 1 - 7</t>
        </is>
      </c>
      <c r="C76" s="34">
        <f>COUNTIF(E18:K37, "✓")</f>
        <v/>
      </c>
      <c r="D76" s="34">
        <f>COUNTIF(E18:K37, "✓") + COUNTIF(E18:K37, "✗")</f>
        <v/>
      </c>
      <c r="E76" s="35">
        <f>IFERROR(C76/D76, 0)</f>
        <v/>
      </c>
      <c r="N76" s="60" t="inlineStr">
        <is>
          <t>Health &amp; Fitness</t>
        </is>
      </c>
      <c r="O76" s="54" t="n"/>
      <c r="P76" s="34">
        <f>COUNTIF($C$18:$C$37, "Health &amp; Fitness")</f>
        <v/>
      </c>
      <c r="Q76" s="34">
        <f>SUMIF($C$18:$C$37, "Health &amp; Fitness", $D$18:$D$37)</f>
        <v/>
      </c>
      <c r="R76" s="34">
        <f>SUMIF($C$18:$C$37, "Health &amp; Fitness", $AL$18:$AL$37)</f>
        <v/>
      </c>
      <c r="S76" s="35">
        <f>IFERROR(R76/Q76, 0)</f>
        <v/>
      </c>
    </row>
    <row r="77" ht="14" customHeight="1">
      <c r="A77" s="33" t="inlineStr">
        <is>
          <t>Week 2</t>
        </is>
      </c>
      <c r="B77" s="34" t="inlineStr">
        <is>
          <t>Days 8 - 14</t>
        </is>
      </c>
      <c r="C77" s="34">
        <f>COUNTIF(L18:R37, "✓")</f>
        <v/>
      </c>
      <c r="D77" s="34">
        <f>COUNTIF(L18:R37, "✓") + COUNTIF(L18:R37, "✗")</f>
        <v/>
      </c>
      <c r="E77" s="35">
        <f>IFERROR(C77/D77, 0)</f>
        <v/>
      </c>
      <c r="N77" s="60" t="inlineStr">
        <is>
          <t>Mindset &amp; Learning</t>
        </is>
      </c>
      <c r="O77" s="54" t="n"/>
      <c r="P77" s="34">
        <f>COUNTIF($C$18:$C$37, "Mindset &amp; Learning")</f>
        <v/>
      </c>
      <c r="Q77" s="34">
        <f>SUMIF($C$18:$C$37, "Mindset &amp; Learning", $D$18:$D$37)</f>
        <v/>
      </c>
      <c r="R77" s="34">
        <f>SUMIF($C$18:$C$37, "Mindset &amp; Learning", $AL$18:$AL$37)</f>
        <v/>
      </c>
      <c r="S77" s="35">
        <f>IFERROR(R77/Q77, 0)</f>
        <v/>
      </c>
    </row>
    <row r="78" ht="14" customHeight="1">
      <c r="A78" s="33" t="inlineStr">
        <is>
          <t>Week 3</t>
        </is>
      </c>
      <c r="B78" s="34" t="inlineStr">
        <is>
          <t>Days 15 - 21</t>
        </is>
      </c>
      <c r="C78" s="34">
        <f>COUNTIF(S18:Y37, "✓")</f>
        <v/>
      </c>
      <c r="D78" s="34">
        <f>COUNTIF(S18:Y37, "✓") + COUNTIF(S18:Y37, "✗")</f>
        <v/>
      </c>
      <c r="E78" s="35">
        <f>IFERROR(C78/D78, 0)</f>
        <v/>
      </c>
      <c r="N78" s="60" t="inlineStr">
        <is>
          <t>Career &amp; Focus</t>
        </is>
      </c>
      <c r="O78" s="54" t="n"/>
      <c r="P78" s="34">
        <f>COUNTIF($C$18:$C$37, "Career &amp; Focus")</f>
        <v/>
      </c>
      <c r="Q78" s="34">
        <f>SUMIF($C$18:$C$37, "Career &amp; Focus", $D$18:$D$37)</f>
        <v/>
      </c>
      <c r="R78" s="34">
        <f>SUMIF($C$18:$C$37, "Career &amp; Focus", $AL$18:$AL$37)</f>
        <v/>
      </c>
      <c r="S78" s="35">
        <f>IFERROR(R78/Q78, 0)</f>
        <v/>
      </c>
    </row>
    <row r="79" ht="14" customHeight="1">
      <c r="A79" s="33" t="inlineStr">
        <is>
          <t>Week 4</t>
        </is>
      </c>
      <c r="B79" s="34" t="inlineStr">
        <is>
          <t>Days 22 - 28</t>
        </is>
      </c>
      <c r="C79" s="34">
        <f>COUNTIF(Z18:AF37, "✓")</f>
        <v/>
      </c>
      <c r="D79" s="34">
        <f>COUNTIF(Z18:AF37, "✓") + COUNTIF(Z18:AF37, "✗")</f>
        <v/>
      </c>
      <c r="E79" s="35">
        <f>IFERROR(C79/D79, 0)</f>
        <v/>
      </c>
      <c r="N79" s="60" t="inlineStr">
        <is>
          <t>Personal &amp; Home</t>
        </is>
      </c>
      <c r="O79" s="54" t="n"/>
      <c r="P79" s="34">
        <f>COUNTIF($C$18:$C$37, "Personal &amp; Home")</f>
        <v/>
      </c>
      <c r="Q79" s="34">
        <f>SUMIF($C$18:$C$37, "Personal &amp; Home", $D$18:$D$37)</f>
        <v/>
      </c>
      <c r="R79" s="34">
        <f>SUMIF($C$18:$C$37, "Personal &amp; Home", $AL$18:$AL$37)</f>
        <v/>
      </c>
      <c r="S79" s="35">
        <f>IFERROR(R79/Q79, 0)</f>
        <v/>
      </c>
    </row>
    <row r="80" ht="14" customHeight="1">
      <c r="A80" s="33" t="inlineStr">
        <is>
          <t>Week 5</t>
        </is>
      </c>
      <c r="B80" s="34" t="inlineStr">
        <is>
          <t>Days 29 - 30</t>
        </is>
      </c>
      <c r="C80" s="34">
        <f>COUNTIF(AG18:AH37, "✓")</f>
        <v/>
      </c>
      <c r="D80" s="34">
        <f>COUNTIF(AG18:AH37, "✓") + COUNTIF(AG18:AH37, "✗")</f>
        <v/>
      </c>
      <c r="E80" s="35">
        <f>IFERROR(C80/D80, 0)</f>
        <v/>
      </c>
      <c r="N80" s="60" t="inlineStr">
        <is>
          <t>Finance &amp; Wealth</t>
        </is>
      </c>
      <c r="O80" s="54" t="n"/>
      <c r="P80" s="34">
        <f>COUNTIF($C$18:$C$37, "Finance &amp; Wealth")</f>
        <v/>
      </c>
      <c r="Q80" s="34">
        <f>SUMIF($C$18:$C$37, "Finance &amp; Wealth", $D$18:$D$37)</f>
        <v/>
      </c>
      <c r="R80" s="34">
        <f>SUMIF($C$18:$C$37, "Finance &amp; Wealth", $AL$18:$AL$37)</f>
        <v/>
      </c>
      <c r="S80" s="35">
        <f>IFERROR(R80/Q80, 0)</f>
        <v/>
      </c>
    </row>
    <row r="81" ht="14" customHeight="1">
      <c r="A81" s="33" t="inlineStr">
        <is>
          <t>Total / Avg</t>
        </is>
      </c>
      <c r="B81" s="159" t="inlineStr">
        <is>
          <t>Month Total</t>
        </is>
      </c>
      <c r="C81" s="33">
        <f>SUM(C76:C80)</f>
        <v/>
      </c>
      <c r="D81" s="33">
        <f>SUM(D76:D80)</f>
        <v/>
      </c>
      <c r="E81" s="133">
        <f>IFERROR(C81/D81, 0)</f>
        <v/>
      </c>
    </row>
    <row r="82" ht="10" customHeight="1"/>
    <row r="83" ht="10" customHeight="1"/>
    <row r="84">
      <c r="A84" s="51" t="inlineStr">
        <is>
          <t>SLEEP &amp; PRODUCTIVITY CORRELATION ANALYSIS</t>
        </is>
      </c>
      <c r="B84" s="52" t="n"/>
      <c r="C84" s="52" t="n"/>
      <c r="D84" s="52" t="n"/>
      <c r="E84" s="52" t="n"/>
      <c r="F84" s="52" t="n"/>
      <c r="G84" s="52" t="n"/>
      <c r="H84" s="52" t="n"/>
      <c r="I84" s="52" t="n"/>
      <c r="J84" s="52" t="n"/>
      <c r="K84" s="52" t="n"/>
      <c r="L84" s="52" t="n"/>
      <c r="M84" s="52" t="n"/>
      <c r="N84" s="52" t="n"/>
      <c r="O84" s="52" t="n"/>
      <c r="P84" s="52" t="n"/>
      <c r="Q84" s="52" t="n"/>
      <c r="R84" s="52" t="n"/>
      <c r="S84" s="52" t="n"/>
      <c r="T84" s="52" t="n"/>
      <c r="U84" s="52" t="n"/>
      <c r="V84" s="52" t="n"/>
      <c r="W84" s="52" t="n"/>
      <c r="X84" s="52" t="n"/>
      <c r="Y84" s="52" t="n"/>
      <c r="Z84" s="52" t="n"/>
      <c r="AA84" s="52" t="n"/>
      <c r="AB84" s="52" t="n"/>
      <c r="AC84" s="52" t="n"/>
      <c r="AD84" s="52" t="n"/>
      <c r="AE84" s="52" t="n"/>
      <c r="AF84" s="52" t="n"/>
      <c r="AG84" s="52" t="n"/>
      <c r="AH84" s="52" t="n"/>
      <c r="AI84" s="52" t="n"/>
      <c r="AJ84" s="52" t="n"/>
      <c r="AK84" s="52" t="n"/>
    </row>
    <row r="85" ht="15" customHeight="1">
      <c r="A85" s="53" t="inlineStr">
        <is>
          <t>Rest Category</t>
        </is>
      </c>
      <c r="B85" s="54" t="n"/>
      <c r="C85" s="54" t="n"/>
      <c r="D85" s="53" t="inlineStr">
        <is>
          <t>Day Criteria</t>
        </is>
      </c>
      <c r="E85" s="54" t="n"/>
      <c r="F85" s="54" t="n"/>
      <c r="G85" s="53" t="inlineStr">
        <is>
          <t>Days Logged</t>
        </is>
      </c>
      <c r="H85" s="54" t="n"/>
      <c r="I85" s="54" t="n"/>
      <c r="J85" s="53" t="inlineStr">
        <is>
          <t>Avg Sleep Duration</t>
        </is>
      </c>
      <c r="K85" s="54" t="n"/>
      <c r="L85" s="54" t="n"/>
      <c r="M85" s="54" t="n"/>
      <c r="N85" s="53" t="inlineStr">
        <is>
          <t>Avg Habit Success %</t>
        </is>
      </c>
      <c r="O85" s="54" t="n"/>
      <c r="P85" s="54" t="n"/>
      <c r="Q85" s="54" t="n"/>
      <c r="R85" s="53" t="inlineStr">
        <is>
          <t>Productivity Delta</t>
        </is>
      </c>
      <c r="S85" s="54" t="n"/>
      <c r="T85" s="54" t="n"/>
      <c r="U85" s="54" t="n"/>
    </row>
    <row r="86" ht="15" customHeight="1">
      <c r="A86" s="160" t="inlineStr">
        <is>
          <t>Optimal Rest</t>
        </is>
      </c>
      <c r="B86" s="161" t="n"/>
      <c r="C86" s="56" t="n"/>
      <c r="D86" s="34" t="inlineStr">
        <is>
          <t>&gt;= 7 Hours / Night</t>
        </is>
      </c>
      <c r="E86" s="161" t="n"/>
      <c r="F86" s="56" t="n"/>
      <c r="G86" s="33">
        <f>COUNTIF(E47:AH47, "&gt;=7")</f>
        <v/>
      </c>
      <c r="H86" s="161" t="n"/>
      <c r="I86" s="56" t="n"/>
      <c r="J86" s="34">
        <f>IFERROR(TEXT(AVERAGEIF(E47:AH47, "&gt;=7"), "0.0") &amp; " hrs", "-")</f>
        <v/>
      </c>
      <c r="K86" s="161" t="n"/>
      <c r="L86" s="161" t="n"/>
      <c r="M86" s="56" t="n"/>
      <c r="N86" s="42">
        <f>IFERROR(AVERAGEIFS(E39:AH39, E47:AH47, "&gt;=7", E39:AH39, "&gt;0"), 0)</f>
        <v/>
      </c>
      <c r="O86" s="161" t="n"/>
      <c r="P86" s="161" t="n"/>
      <c r="Q86" s="56" t="n"/>
      <c r="R86" s="159" t="inlineStr">
        <is>
          <t>Baseline (Target)</t>
        </is>
      </c>
      <c r="S86" s="161" t="n"/>
      <c r="T86" s="161" t="n"/>
      <c r="U86" s="56" t="n"/>
    </row>
    <row r="87" ht="15" customHeight="1">
      <c r="A87" s="162" t="inlineStr">
        <is>
          <t>Sleep Deficit</t>
        </is>
      </c>
      <c r="B87" s="161" t="n"/>
      <c r="C87" s="56" t="n"/>
      <c r="D87" s="34" t="inlineStr">
        <is>
          <t>&lt; 7 Hours / Night</t>
        </is>
      </c>
      <c r="E87" s="161" t="n"/>
      <c r="F87" s="56" t="n"/>
      <c r="G87" s="33">
        <f>COUNTIF(E47:AH47, "&lt;7") - COUNTIF(E47:AH47, "")</f>
        <v/>
      </c>
      <c r="H87" s="161" t="n"/>
      <c r="I87" s="56" t="n"/>
      <c r="J87" s="34">
        <f>IFERROR(TEXT(AVERAGEIFS(E47:AH47, E47:AH47, "&lt;7", E47:AH47, "&gt;0"), "0.0") &amp; " hrs", "-")</f>
        <v/>
      </c>
      <c r="K87" s="161" t="n"/>
      <c r="L87" s="161" t="n"/>
      <c r="M87" s="56" t="n"/>
      <c r="N87" s="163">
        <f>IFERROR(AVERAGEIFS(E39:AH39, E47:AH47, "&lt;7", E39:AH39, "&gt;0"), 0)</f>
        <v/>
      </c>
      <c r="O87" s="161" t="n"/>
      <c r="P87" s="161" t="n"/>
      <c r="Q87" s="56" t="n"/>
      <c r="R87" s="160">
        <f>IFERROR(TEXT(N86 - N87, "+0.0%;-0.0%;0.0%") &amp; " Rest Advantage", "-")</f>
        <v/>
      </c>
      <c r="S87" s="161" t="n"/>
      <c r="T87" s="161" t="n"/>
      <c r="U87" s="56" t="n"/>
    </row>
    <row r="88" ht="18" customHeight="1">
      <c r="A88" s="164">
        <f>IF(AND(ISNUMBER(N86), ISNUMBER(N87), N86&gt;0, N87&gt;0), "💡 Sleep Correlation Insight: You complete " &amp; TEXT(ABS(N86-N87), "0.0%") &amp; IF(N86&gt;=N87, " MORE habits on days with 7+ hours of sleep!", " fewer habits on days with 7+ hours of sleep."), "💡 Log both habits and sleep hours daily to unlock automatic AI correlation insights!")</f>
        <v/>
      </c>
      <c r="B88" s="161" t="n"/>
      <c r="C88" s="161" t="n"/>
      <c r="D88" s="161" t="n"/>
      <c r="E88" s="161" t="n"/>
      <c r="F88" s="161" t="n"/>
      <c r="G88" s="161" t="n"/>
      <c r="H88" s="161" t="n"/>
      <c r="I88" s="161" t="n"/>
      <c r="J88" s="161" t="n"/>
      <c r="K88" s="161" t="n"/>
      <c r="L88" s="161" t="n"/>
      <c r="M88" s="161" t="n"/>
      <c r="N88" s="161" t="n"/>
      <c r="O88" s="161" t="n"/>
      <c r="P88" s="161" t="n"/>
      <c r="Q88" s="161" t="n"/>
      <c r="R88" s="161" t="n"/>
      <c r="S88" s="161" t="n"/>
      <c r="T88" s="161" t="n"/>
      <c r="U88" s="161" t="n"/>
      <c r="V88" s="161" t="n"/>
      <c r="W88" s="161" t="n"/>
      <c r="X88" s="161" t="n"/>
      <c r="Y88" s="161" t="n"/>
      <c r="Z88" s="161" t="n"/>
      <c r="AA88" s="161" t="n"/>
      <c r="AB88" s="161" t="n"/>
      <c r="AC88" s="161" t="n"/>
      <c r="AD88" s="161" t="n"/>
      <c r="AE88" s="161" t="n"/>
      <c r="AF88" s="161" t="n"/>
      <c r="AG88" s="161" t="n"/>
      <c r="AH88" s="161" t="n"/>
      <c r="AI88" s="161" t="n"/>
      <c r="AJ88" s="161" t="n"/>
      <c r="AK88" s="56" t="n"/>
    </row>
    <row r="89" ht="10" customHeight="1"/>
    <row r="90">
      <c r="A90" s="43" t="inlineStr">
        <is>
          <t>STANDARDIZED DATA BRIDGE (FOR ANNUAL &amp; QUARTERLY REVIEW SHEETS)</t>
        </is>
      </c>
      <c r="B90" s="44" t="n"/>
      <c r="C90" s="44" t="n"/>
      <c r="D90" s="44" t="n"/>
      <c r="E90" s="44" t="n"/>
      <c r="F90" s="44" t="n"/>
      <c r="G90" s="44" t="n"/>
      <c r="H90" s="44" t="n"/>
      <c r="I90" s="44" t="n"/>
      <c r="J90" s="44" t="n"/>
      <c r="K90" s="44" t="n"/>
      <c r="L90" s="44" t="n"/>
      <c r="M90" s="44" t="n"/>
      <c r="N90" s="44" t="n"/>
      <c r="O90" s="44" t="n"/>
      <c r="P90" s="44" t="n"/>
      <c r="Q90" s="44" t="n"/>
      <c r="R90" s="44" t="n"/>
      <c r="S90" s="44" t="n"/>
      <c r="T90" s="44" t="n"/>
      <c r="U90" s="44" t="n"/>
      <c r="V90" s="44" t="n"/>
      <c r="W90" s="44" t="n"/>
      <c r="X90" s="44" t="n"/>
      <c r="Y90" s="44" t="n"/>
      <c r="Z90" s="44" t="n"/>
      <c r="AA90" s="44" t="n"/>
      <c r="AB90" s="44" t="n"/>
      <c r="AC90" s="44" t="n"/>
      <c r="AD90" s="44" t="n"/>
      <c r="AE90" s="44" t="n"/>
      <c r="AF90" s="44" t="n"/>
      <c r="AG90" s="44" t="n"/>
      <c r="AH90" s="44" t="n"/>
      <c r="AI90" s="44" t="n"/>
      <c r="AJ90" s="44" t="n"/>
      <c r="AK90" s="44" t="n"/>
    </row>
    <row r="91" ht="15" customHeight="1">
      <c r="A91" s="53" t="inlineStr">
        <is>
          <t>Month</t>
        </is>
      </c>
      <c r="B91" s="54" t="n"/>
      <c r="C91" s="53" t="inlineStr">
        <is>
          <t>Year</t>
        </is>
      </c>
      <c r="D91" s="54" t="n"/>
      <c r="E91" s="53" t="inlineStr">
        <is>
          <t>Active Habits</t>
        </is>
      </c>
      <c r="F91" s="54" t="n"/>
      <c r="G91" s="53" t="inlineStr">
        <is>
          <t>Target Days</t>
        </is>
      </c>
      <c r="H91" s="54" t="n"/>
      <c r="I91" s="53" t="inlineStr">
        <is>
          <t>Done Checks</t>
        </is>
      </c>
      <c r="J91" s="54" t="n"/>
      <c r="K91" s="53" t="inlineStr">
        <is>
          <t>Success %</t>
        </is>
      </c>
      <c r="L91" s="54" t="n"/>
      <c r="M91" s="53" t="inlineStr">
        <is>
          <t>Perfect Days</t>
        </is>
      </c>
      <c r="N91" s="54" t="n"/>
      <c r="O91" s="53" t="inlineStr">
        <is>
          <t>Avg Sleep</t>
        </is>
      </c>
      <c r="P91" s="54" t="n"/>
      <c r="Q91" s="53" t="inlineStr">
        <is>
          <t>Best Week</t>
        </is>
      </c>
      <c r="R91" s="54" t="n"/>
      <c r="S91" s="54" t="n"/>
      <c r="T91" s="53" t="inlineStr">
        <is>
          <t>Top Life Domain</t>
        </is>
      </c>
      <c r="U91" s="54" t="n"/>
      <c r="V91" s="54" t="n"/>
      <c r="W91" s="54" t="n"/>
    </row>
    <row r="92" ht="16" customHeight="1">
      <c r="A92" s="165" t="inlineStr">
        <is>
          <t>Jun</t>
        </is>
      </c>
      <c r="B92" s="56" t="n"/>
      <c r="C92" s="165" t="n">
        <v>2029</v>
      </c>
      <c r="D92" s="56" t="n"/>
      <c r="E92" s="166">
        <f>COUNTA(B18:B37)</f>
        <v/>
      </c>
      <c r="F92" s="56" t="n"/>
      <c r="G92" s="166">
        <f>SUM(D18:D37)</f>
        <v/>
      </c>
      <c r="H92" s="56" t="n"/>
      <c r="I92" s="166">
        <f>SUM(AL18:AL37)</f>
        <v/>
      </c>
      <c r="J92" s="56" t="n"/>
      <c r="K92" s="167">
        <f>IF(G92&gt;0, I92/G92, 0)</f>
        <v/>
      </c>
      <c r="L92" s="56" t="n"/>
      <c r="M92" s="166">
        <f>COUNTIF(E39:AH39, 1)</f>
        <v/>
      </c>
      <c r="N92" s="56" t="n"/>
      <c r="O92" s="168">
        <f>IFERROR(AVERAGE(E47:AH47), 0)</f>
        <v/>
      </c>
      <c r="P92" s="56" t="n"/>
      <c r="Q92" s="166">
        <f>INDEX(A76:A80, MATCH(MAX(E76:E80), E76:E80, 0))</f>
        <v/>
      </c>
      <c r="R92" s="161" t="n"/>
      <c r="S92" s="56" t="n"/>
      <c r="T92" s="166">
        <f>INDEX(N76:N80, MATCH(MAX(S76:S80), S76:S80, 0))</f>
        <v/>
      </c>
      <c r="U92" s="161" t="n"/>
      <c r="V92" s="161" t="n"/>
      <c r="W92" s="56" t="n"/>
    </row>
    <row r="93" ht="14" customHeight="1">
      <c r="A93" s="169" t="inlineStr">
        <is>
          <t>📋 Note: Reference or copy Row 92 directly into an Annual / Quarterly review dashboard to track yearly habit trends.</t>
        </is>
      </c>
    </row>
    <row r="94" ht="8" customHeight="1"/>
    <row r="95">
      <c r="A95" s="170" t="inlineStr">
        <is>
          <t>🏆 MONTHLY WINS &amp; HIGHLIGHTS</t>
        </is>
      </c>
      <c r="J95" s="171" t="inlineStr">
        <is>
          <t>⚠️ FRICTION POINTS &amp; ROOT CAUSES</t>
        </is>
      </c>
      <c r="S95" s="172" t="inlineStr">
        <is>
          <t>🎯 3 KEY ADJUSTMENTS FOR NEXT MONTH</t>
        </is>
      </c>
    </row>
    <row r="96">
      <c r="A96" s="173" t="inlineStr">
        <is>
          <t>1. What went exceptionally well this month?
2. Which habit felt effortless and consistent?
3. Major milestone achieved:</t>
        </is>
      </c>
      <c r="B96" s="174" t="n"/>
      <c r="C96" s="174" t="n"/>
      <c r="D96" s="174" t="n"/>
      <c r="E96" s="174" t="n"/>
      <c r="F96" s="174" t="n"/>
      <c r="G96" s="174" t="n"/>
      <c r="H96" s="174" t="n"/>
      <c r="J96" s="175" t="inlineStr">
        <is>
          <t>1. What caused missed or skipped days?
2. Main triggers / energy drains encountered:
3. Which habit had the lowest consistency and why?</t>
        </is>
      </c>
      <c r="K96" s="176" t="n"/>
      <c r="L96" s="176" t="n"/>
      <c r="M96" s="176" t="n"/>
      <c r="N96" s="176" t="n"/>
      <c r="O96" s="176" t="n"/>
      <c r="P96" s="176" t="n"/>
      <c r="Q96" s="176" t="n"/>
      <c r="S96" s="177" t="inlineStr">
        <is>
          <t>1. Habit Stacking or time adjustment for next month:
2. Environment design change to eliminate friction:
3. One non-negotiable priority protocol:</t>
        </is>
      </c>
      <c r="T96" s="178" t="n"/>
      <c r="U96" s="178" t="n"/>
      <c r="V96" s="178" t="n"/>
      <c r="W96" s="178" t="n"/>
      <c r="X96" s="178" t="n"/>
      <c r="Y96" s="178" t="n"/>
      <c r="Z96" s="178" t="n"/>
    </row>
    <row r="97">
      <c r="A97" s="174" t="n"/>
      <c r="B97" s="174" t="n"/>
      <c r="C97" s="174" t="n"/>
      <c r="D97" s="174" t="n"/>
      <c r="E97" s="174" t="n"/>
      <c r="F97" s="174" t="n"/>
      <c r="G97" s="174" t="n"/>
      <c r="H97" s="174" t="n"/>
      <c r="J97" s="176" t="n"/>
      <c r="K97" s="176" t="n"/>
      <c r="L97" s="176" t="n"/>
      <c r="M97" s="176" t="n"/>
      <c r="N97" s="176" t="n"/>
      <c r="O97" s="176" t="n"/>
      <c r="P97" s="176" t="n"/>
      <c r="Q97" s="176" t="n"/>
      <c r="S97" s="178" t="n"/>
      <c r="T97" s="178" t="n"/>
      <c r="U97" s="178" t="n"/>
      <c r="V97" s="178" t="n"/>
      <c r="W97" s="178" t="n"/>
      <c r="X97" s="178" t="n"/>
      <c r="Y97" s="178" t="n"/>
      <c r="Z97" s="178" t="n"/>
    </row>
    <row r="98">
      <c r="A98" s="174" t="n"/>
      <c r="B98" s="174" t="n"/>
      <c r="C98" s="174" t="n"/>
      <c r="D98" s="174" t="n"/>
      <c r="E98" s="174" t="n"/>
      <c r="F98" s="174" t="n"/>
      <c r="G98" s="174" t="n"/>
      <c r="H98" s="174" t="n"/>
      <c r="J98" s="176" t="n"/>
      <c r="K98" s="176" t="n"/>
      <c r="L98" s="176" t="n"/>
      <c r="M98" s="176" t="n"/>
      <c r="N98" s="176" t="n"/>
      <c r="O98" s="176" t="n"/>
      <c r="P98" s="176" t="n"/>
      <c r="Q98" s="176" t="n"/>
      <c r="S98" s="178" t="n"/>
      <c r="T98" s="178" t="n"/>
      <c r="U98" s="178" t="n"/>
      <c r="V98" s="178" t="n"/>
      <c r="W98" s="178" t="n"/>
      <c r="X98" s="178" t="n"/>
      <c r="Y98" s="178" t="n"/>
      <c r="Z98" s="178" t="n"/>
    </row>
    <row r="99">
      <c r="A99" s="174" t="n"/>
      <c r="B99" s="174" t="n"/>
      <c r="C99" s="174" t="n"/>
      <c r="D99" s="174" t="n"/>
      <c r="E99" s="174" t="n"/>
      <c r="F99" s="174" t="n"/>
      <c r="G99" s="174" t="n"/>
      <c r="H99" s="174" t="n"/>
      <c r="J99" s="176" t="n"/>
      <c r="K99" s="176" t="n"/>
      <c r="L99" s="176" t="n"/>
      <c r="M99" s="176" t="n"/>
      <c r="N99" s="176" t="n"/>
      <c r="O99" s="176" t="n"/>
      <c r="P99" s="176" t="n"/>
      <c r="Q99" s="176" t="n"/>
      <c r="S99" s="178" t="n"/>
      <c r="T99" s="178" t="n"/>
      <c r="U99" s="178" t="n"/>
      <c r="V99" s="178" t="n"/>
      <c r="W99" s="178" t="n"/>
      <c r="X99" s="178" t="n"/>
      <c r="Y99" s="178" t="n"/>
      <c r="Z99" s="178" t="n"/>
    </row>
    <row r="100">
      <c r="A100" s="174" t="n"/>
      <c r="B100" s="174" t="n"/>
      <c r="C100" s="174" t="n"/>
      <c r="D100" s="174" t="n"/>
      <c r="E100" s="174" t="n"/>
      <c r="F100" s="174" t="n"/>
      <c r="G100" s="174" t="n"/>
      <c r="H100" s="174" t="n"/>
      <c r="J100" s="176" t="n"/>
      <c r="K100" s="176" t="n"/>
      <c r="L100" s="176" t="n"/>
      <c r="M100" s="176" t="n"/>
      <c r="N100" s="176" t="n"/>
      <c r="O100" s="176" t="n"/>
      <c r="P100" s="176" t="n"/>
      <c r="Q100" s="176" t="n"/>
      <c r="S100" s="178" t="n"/>
      <c r="T100" s="178" t="n"/>
      <c r="U100" s="178" t="n"/>
      <c r="V100" s="178" t="n"/>
      <c r="W100" s="178" t="n"/>
      <c r="X100" s="178" t="n"/>
      <c r="Y100" s="178" t="n"/>
      <c r="Z100" s="178" t="n"/>
    </row>
    <row r="101">
      <c r="A101" s="174" t="n"/>
      <c r="B101" s="174" t="n"/>
      <c r="C101" s="174" t="n"/>
      <c r="D101" s="174" t="n"/>
      <c r="E101" s="174" t="n"/>
      <c r="F101" s="174" t="n"/>
      <c r="G101" s="174" t="n"/>
      <c r="H101" s="174" t="n"/>
      <c r="J101" s="176" t="n"/>
      <c r="K101" s="176" t="n"/>
      <c r="L101" s="176" t="n"/>
      <c r="M101" s="176" t="n"/>
      <c r="N101" s="176" t="n"/>
      <c r="O101" s="176" t="n"/>
      <c r="P101" s="176" t="n"/>
      <c r="Q101" s="176" t="n"/>
      <c r="S101" s="178" t="n"/>
      <c r="T101" s="178" t="n"/>
      <c r="U101" s="178" t="n"/>
      <c r="V101" s="178" t="n"/>
      <c r="W101" s="178" t="n"/>
      <c r="X101" s="178" t="n"/>
      <c r="Y101" s="178" t="n"/>
      <c r="Z101" s="178" t="n"/>
    </row>
    <row r="102">
      <c r="A102" s="174" t="n"/>
      <c r="B102" s="174" t="n"/>
      <c r="C102" s="174" t="n"/>
      <c r="D102" s="174" t="n"/>
      <c r="E102" s="174" t="n"/>
      <c r="F102" s="174" t="n"/>
      <c r="G102" s="174" t="n"/>
      <c r="H102" s="174" t="n"/>
      <c r="J102" s="176" t="n"/>
      <c r="K102" s="176" t="n"/>
      <c r="L102" s="176" t="n"/>
      <c r="M102" s="176" t="n"/>
      <c r="N102" s="176" t="n"/>
      <c r="O102" s="176" t="n"/>
      <c r="P102" s="176" t="n"/>
      <c r="Q102" s="176" t="n"/>
      <c r="S102" s="178" t="n"/>
      <c r="T102" s="178" t="n"/>
      <c r="U102" s="178" t="n"/>
      <c r="V102" s="178" t="n"/>
      <c r="W102" s="178" t="n"/>
      <c r="X102" s="178" t="n"/>
      <c r="Y102" s="178" t="n"/>
      <c r="Z102" s="178" t="n"/>
    </row>
    <row r="103">
      <c r="A103" s="174" t="n"/>
      <c r="B103" s="174" t="n"/>
      <c r="C103" s="174" t="n"/>
      <c r="D103" s="174" t="n"/>
      <c r="E103" s="174" t="n"/>
      <c r="F103" s="174" t="n"/>
      <c r="G103" s="174" t="n"/>
      <c r="H103" s="174" t="n"/>
      <c r="J103" s="176" t="n"/>
      <c r="K103" s="176" t="n"/>
      <c r="L103" s="176" t="n"/>
      <c r="M103" s="176" t="n"/>
      <c r="N103" s="176" t="n"/>
      <c r="O103" s="176" t="n"/>
      <c r="P103" s="176" t="n"/>
      <c r="Q103" s="176" t="n"/>
      <c r="S103" s="178" t="n"/>
      <c r="T103" s="178" t="n"/>
      <c r="U103" s="178" t="n"/>
      <c r="V103" s="178" t="n"/>
      <c r="W103" s="178" t="n"/>
      <c r="X103" s="178" t="n"/>
      <c r="Y103" s="178" t="n"/>
      <c r="Z103" s="178" t="n"/>
    </row>
  </sheetData>
  <sheetProtection selectLockedCells="1" selectUnlockedCells="1" sheet="1" objects="0" insertRows="1" insertHyperlinks="1" autoFilter="1" scenarios="0" formatColumns="1" deleteColumns="1" insertColumns="1" pivotTables="1" deleteRows="1" formatCells="1" formatRows="1" sort="1"/>
  <mergeCells count="94">
    <mergeCell ref="A9:N9"/>
    <mergeCell ref="N76:O76"/>
    <mergeCell ref="F67:I67"/>
    <mergeCell ref="G87:I87"/>
    <mergeCell ref="A16:A17"/>
    <mergeCell ref="A45:D46"/>
    <mergeCell ref="C16:C17"/>
    <mergeCell ref="N75:O75"/>
    <mergeCell ref="N77:O77"/>
    <mergeCell ref="P68:S70"/>
    <mergeCell ref="A93:AK93"/>
    <mergeCell ref="D16:D17"/>
    <mergeCell ref="N85:Q85"/>
    <mergeCell ref="A95:H95"/>
    <mergeCell ref="Q91:S91"/>
    <mergeCell ref="P6:AK6"/>
    <mergeCell ref="E91:F91"/>
    <mergeCell ref="A8:N8"/>
    <mergeCell ref="G91:H91"/>
    <mergeCell ref="P8:AK8"/>
    <mergeCell ref="J86:M86"/>
    <mergeCell ref="S95:Z95"/>
    <mergeCell ref="K67:N67"/>
    <mergeCell ref="N79:O79"/>
    <mergeCell ref="K92:L92"/>
    <mergeCell ref="P7:AK7"/>
    <mergeCell ref="C92:D92"/>
    <mergeCell ref="F71:I71"/>
    <mergeCell ref="M92:N92"/>
    <mergeCell ref="A12:AK14"/>
    <mergeCell ref="K68:N70"/>
    <mergeCell ref="T91:W91"/>
    <mergeCell ref="AI16:AI17"/>
    <mergeCell ref="J95:Q95"/>
    <mergeCell ref="D85:F85"/>
    <mergeCell ref="N74:S74"/>
    <mergeCell ref="P9:AK9"/>
    <mergeCell ref="F68:I70"/>
    <mergeCell ref="A91:B91"/>
    <mergeCell ref="N78:O78"/>
    <mergeCell ref="C91:D91"/>
    <mergeCell ref="M91:N91"/>
    <mergeCell ref="O91:P91"/>
    <mergeCell ref="R86:U86"/>
    <mergeCell ref="A84:AK84"/>
    <mergeCell ref="N80:O80"/>
    <mergeCell ref="B16:B17"/>
    <mergeCell ref="A71:D71"/>
    <mergeCell ref="J85:M85"/>
    <mergeCell ref="D86:F86"/>
    <mergeCell ref="A92:B92"/>
    <mergeCell ref="N87:Q87"/>
    <mergeCell ref="A1:B1"/>
    <mergeCell ref="E92:F92"/>
    <mergeCell ref="A68:D70"/>
    <mergeCell ref="P71:S71"/>
    <mergeCell ref="A86:C86"/>
    <mergeCell ref="D87:F87"/>
    <mergeCell ref="O92:P92"/>
    <mergeCell ref="A6:N6"/>
    <mergeCell ref="A39:D39"/>
    <mergeCell ref="G86:I86"/>
    <mergeCell ref="A96:H103"/>
    <mergeCell ref="P67:S67"/>
    <mergeCell ref="A41:AK41"/>
    <mergeCell ref="T92:W92"/>
    <mergeCell ref="R85:U85"/>
    <mergeCell ref="H2:AC2"/>
    <mergeCell ref="K71:N71"/>
    <mergeCell ref="S96:Z103"/>
    <mergeCell ref="A38:D38"/>
    <mergeCell ref="A42:AK42"/>
    <mergeCell ref="H3:AC3"/>
    <mergeCell ref="A67:D67"/>
    <mergeCell ref="I91:J91"/>
    <mergeCell ref="A85:C85"/>
    <mergeCell ref="K91:L91"/>
    <mergeCell ref="N86:Q86"/>
    <mergeCell ref="A7:N7"/>
    <mergeCell ref="A74:E74"/>
    <mergeCell ref="G85:I85"/>
    <mergeCell ref="G92:H92"/>
    <mergeCell ref="I92:J92"/>
    <mergeCell ref="R87:U87"/>
    <mergeCell ref="AK16:AK17"/>
    <mergeCell ref="J87:M87"/>
    <mergeCell ref="AD2:AK2"/>
    <mergeCell ref="AJ16:AJ17"/>
    <mergeCell ref="J96:Q103"/>
    <mergeCell ref="A88:AK88"/>
    <mergeCell ref="A90:AK90"/>
    <mergeCell ref="Q92:S92"/>
    <mergeCell ref="A87:C87"/>
    <mergeCell ref="A47:D47"/>
  </mergeCells>
  <conditionalFormatting sqref="AI18:AI37">
    <cfRule type="dataBar" priority="1">
      <dataBar>
        <cfvo type="num" val="0"/>
        <cfvo type="num" val="1"/>
        <color rgb="0010B981"/>
      </dataBar>
    </cfRule>
  </conditionalFormatting>
  <conditionalFormatting sqref="E18:AH37">
    <cfRule type="cellIs" priority="2" operator="equal" dxfId="0">
      <formula>"✓"</formula>
    </cfRule>
    <cfRule type="cellIs" priority="3" operator="equal" dxfId="0">
      <formula>"✔"</formula>
    </cfRule>
    <cfRule type="cellIs" priority="4" operator="equal" dxfId="1">
      <formula>"✗"</formula>
    </cfRule>
    <cfRule type="cellIs" priority="5" operator="equal" dxfId="1">
      <formula>"x"</formula>
    </cfRule>
    <cfRule type="cellIs" priority="6" operator="equal" dxfId="1">
      <formula>"X"</formula>
    </cfRule>
  </conditionalFormatting>
  <conditionalFormatting sqref="E16:E17">
    <cfRule type="expression" priority="7" dxfId="2">
      <formula>AND(DAY(TODAY())=1, MONTH(TODAY())=6, YEAR(TODAY())=2029)</formula>
    </cfRule>
  </conditionalFormatting>
  <conditionalFormatting sqref="F16:F17">
    <cfRule type="expression" priority="8" dxfId="2">
      <formula>AND(DAY(TODAY())=2, MONTH(TODAY())=6, YEAR(TODAY())=2029)</formula>
    </cfRule>
  </conditionalFormatting>
  <conditionalFormatting sqref="G16:G17">
    <cfRule type="expression" priority="9" dxfId="2">
      <formula>AND(DAY(TODAY())=3, MONTH(TODAY())=6, YEAR(TODAY())=2029)</formula>
    </cfRule>
  </conditionalFormatting>
  <conditionalFormatting sqref="H16:H17">
    <cfRule type="expression" priority="10" dxfId="2">
      <formula>AND(DAY(TODAY())=4, MONTH(TODAY())=6, YEAR(TODAY())=2029)</formula>
    </cfRule>
  </conditionalFormatting>
  <conditionalFormatting sqref="I16:I17">
    <cfRule type="expression" priority="11" dxfId="2">
      <formula>AND(DAY(TODAY())=5, MONTH(TODAY())=6, YEAR(TODAY())=2029)</formula>
    </cfRule>
  </conditionalFormatting>
  <conditionalFormatting sqref="J16:J17">
    <cfRule type="expression" priority="12" dxfId="2">
      <formula>AND(DAY(TODAY())=6, MONTH(TODAY())=6, YEAR(TODAY())=2029)</formula>
    </cfRule>
  </conditionalFormatting>
  <conditionalFormatting sqref="K16:K17">
    <cfRule type="expression" priority="13" dxfId="2">
      <formula>AND(DAY(TODAY())=7, MONTH(TODAY())=6, YEAR(TODAY())=2029)</formula>
    </cfRule>
  </conditionalFormatting>
  <conditionalFormatting sqref="L16:L17">
    <cfRule type="expression" priority="14" dxfId="2">
      <formula>AND(DAY(TODAY())=8, MONTH(TODAY())=6, YEAR(TODAY())=2029)</formula>
    </cfRule>
  </conditionalFormatting>
  <conditionalFormatting sqref="M16:M17">
    <cfRule type="expression" priority="15" dxfId="2">
      <formula>AND(DAY(TODAY())=9, MONTH(TODAY())=6, YEAR(TODAY())=2029)</formula>
    </cfRule>
  </conditionalFormatting>
  <conditionalFormatting sqref="N16:N17">
    <cfRule type="expression" priority="16" dxfId="2">
      <formula>AND(DAY(TODAY())=10, MONTH(TODAY())=6, YEAR(TODAY())=2029)</formula>
    </cfRule>
  </conditionalFormatting>
  <conditionalFormatting sqref="O16:O17">
    <cfRule type="expression" priority="17" dxfId="2">
      <formula>AND(DAY(TODAY())=11, MONTH(TODAY())=6, YEAR(TODAY())=2029)</formula>
    </cfRule>
  </conditionalFormatting>
  <conditionalFormatting sqref="P16:P17">
    <cfRule type="expression" priority="18" dxfId="2">
      <formula>AND(DAY(TODAY())=12, MONTH(TODAY())=6, YEAR(TODAY())=2029)</formula>
    </cfRule>
  </conditionalFormatting>
  <conditionalFormatting sqref="Q16:Q17">
    <cfRule type="expression" priority="19" dxfId="2">
      <formula>AND(DAY(TODAY())=13, MONTH(TODAY())=6, YEAR(TODAY())=2029)</formula>
    </cfRule>
  </conditionalFormatting>
  <conditionalFormatting sqref="R16:R17">
    <cfRule type="expression" priority="20" dxfId="2">
      <formula>AND(DAY(TODAY())=14, MONTH(TODAY())=6, YEAR(TODAY())=2029)</formula>
    </cfRule>
  </conditionalFormatting>
  <conditionalFormatting sqref="S16:S17">
    <cfRule type="expression" priority="21" dxfId="2">
      <formula>AND(DAY(TODAY())=15, MONTH(TODAY())=6, YEAR(TODAY())=2029)</formula>
    </cfRule>
  </conditionalFormatting>
  <conditionalFormatting sqref="T16:T17">
    <cfRule type="expression" priority="22" dxfId="2">
      <formula>AND(DAY(TODAY())=16, MONTH(TODAY())=6, YEAR(TODAY())=2029)</formula>
    </cfRule>
  </conditionalFormatting>
  <conditionalFormatting sqref="U16:U17">
    <cfRule type="expression" priority="23" dxfId="2">
      <formula>AND(DAY(TODAY())=17, MONTH(TODAY())=6, YEAR(TODAY())=2029)</formula>
    </cfRule>
  </conditionalFormatting>
  <conditionalFormatting sqref="V16:V17">
    <cfRule type="expression" priority="24" dxfId="2">
      <formula>AND(DAY(TODAY())=18, MONTH(TODAY())=6, YEAR(TODAY())=2029)</formula>
    </cfRule>
  </conditionalFormatting>
  <conditionalFormatting sqref="W16:W17">
    <cfRule type="expression" priority="25" dxfId="2">
      <formula>AND(DAY(TODAY())=19, MONTH(TODAY())=6, YEAR(TODAY())=2029)</formula>
    </cfRule>
  </conditionalFormatting>
  <conditionalFormatting sqref="X16:X17">
    <cfRule type="expression" priority="26" dxfId="2">
      <formula>AND(DAY(TODAY())=20, MONTH(TODAY())=6, YEAR(TODAY())=2029)</formula>
    </cfRule>
  </conditionalFormatting>
  <conditionalFormatting sqref="Y16:Y17">
    <cfRule type="expression" priority="27" dxfId="2">
      <formula>AND(DAY(TODAY())=21, MONTH(TODAY())=6, YEAR(TODAY())=2029)</formula>
    </cfRule>
  </conditionalFormatting>
  <conditionalFormatting sqref="Z16:Z17">
    <cfRule type="expression" priority="28" dxfId="2">
      <formula>AND(DAY(TODAY())=22, MONTH(TODAY())=6, YEAR(TODAY())=2029)</formula>
    </cfRule>
  </conditionalFormatting>
  <conditionalFormatting sqref="AA16:AA17">
    <cfRule type="expression" priority="29" dxfId="2">
      <formula>AND(DAY(TODAY())=23, MONTH(TODAY())=6, YEAR(TODAY())=2029)</formula>
    </cfRule>
  </conditionalFormatting>
  <conditionalFormatting sqref="AB16:AB17">
    <cfRule type="expression" priority="30" dxfId="2">
      <formula>AND(DAY(TODAY())=24, MONTH(TODAY())=6, YEAR(TODAY())=2029)</formula>
    </cfRule>
  </conditionalFormatting>
  <conditionalFormatting sqref="AC16:AC17">
    <cfRule type="expression" priority="31" dxfId="2">
      <formula>AND(DAY(TODAY())=25, MONTH(TODAY())=6, YEAR(TODAY())=2029)</formula>
    </cfRule>
  </conditionalFormatting>
  <conditionalFormatting sqref="AD16:AD17">
    <cfRule type="expression" priority="32" dxfId="2">
      <formula>AND(DAY(TODAY())=26, MONTH(TODAY())=6, YEAR(TODAY())=2029)</formula>
    </cfRule>
  </conditionalFormatting>
  <conditionalFormatting sqref="AE16:AE17">
    <cfRule type="expression" priority="33" dxfId="2">
      <formula>AND(DAY(TODAY())=27, MONTH(TODAY())=6, YEAR(TODAY())=2029)</formula>
    </cfRule>
  </conditionalFormatting>
  <conditionalFormatting sqref="AF16:AF17">
    <cfRule type="expression" priority="34" dxfId="2">
      <formula>AND(DAY(TODAY())=28, MONTH(TODAY())=6, YEAR(TODAY())=2029)</formula>
    </cfRule>
  </conditionalFormatting>
  <conditionalFormatting sqref="AG16:AG17">
    <cfRule type="expression" priority="35" dxfId="2">
      <formula>AND(DAY(TODAY())=29, MONTH(TODAY())=6, YEAR(TODAY())=2029)</formula>
    </cfRule>
  </conditionalFormatting>
  <conditionalFormatting sqref="AH16:AH17">
    <cfRule type="expression" priority="36" dxfId="2">
      <formula>AND(DAY(TODAY())=30, MONTH(TODAY())=6, YEAR(TODAY())=2029)</formula>
    </cfRule>
  </conditionalFormatting>
  <dataValidations count="4">
    <dataValidation sqref="C18:C37" showDropDown="0" showInputMessage="0" showErrorMessage="0" allowBlank="1" type="list">
      <formula1>"Health &amp; Fitness,Mindset &amp; Learning,Career &amp; Focus,Personal &amp; Home,Finance &amp; Wealth,Other"</formula1>
    </dataValidation>
    <dataValidation sqref="D18:D37" showDropDown="0" showInputMessage="0" showErrorMessage="0" allowBlank="1" type="list">
      <formula1>"1,2,3,4,5,6,7,8,9,10,11,12,13,14,15,16,17,18,19,20,21,22,23,24,25,26,27,28,29,30,31"</formula1>
    </dataValidation>
    <dataValidation sqref="E18:AH37" showDropDown="0" showInputMessage="0" showErrorMessage="0" allowBlank="1" type="list">
      <formula1>"✓,✗"</formula1>
    </dataValidation>
    <dataValidation sqref="E47:AH47" showDropDown="0" showInputMessage="0" showErrorMessage="0" allowBlank="1" type="list">
      <formula1>"1,2,3,4,5,6,7,8,9,10,11,12,13,14,15,16,17,18,19,20,21,22,23,24"</formula1>
    </dataValidation>
  </dataValidations>
  <hyperlinks>
    <hyperlink xmlns:r="http://schemas.openxmlformats.org/officeDocument/2006/relationships" ref="A1" r:id="rId1"/>
    <hyperlink xmlns:r="http://schemas.openxmlformats.org/officeDocument/2006/relationships" ref="C1" r:id="rId2"/>
    <hyperlink xmlns:r="http://schemas.openxmlformats.org/officeDocument/2006/relationships" ref="D1" r:id="rId3"/>
    <hyperlink xmlns:r="http://schemas.openxmlformats.org/officeDocument/2006/relationships" ref="E1" r:id="rId4"/>
    <hyperlink xmlns:r="http://schemas.openxmlformats.org/officeDocument/2006/relationships" ref="F1" r:id="rId5"/>
    <hyperlink xmlns:r="http://schemas.openxmlformats.org/officeDocument/2006/relationships" ref="G1" r:id="rId6"/>
    <hyperlink xmlns:r="http://schemas.openxmlformats.org/officeDocument/2006/relationships" ref="H1" r:id="rId7"/>
    <hyperlink xmlns:r="http://schemas.openxmlformats.org/officeDocument/2006/relationships" ref="I1" r:id="rId8"/>
    <hyperlink xmlns:r="http://schemas.openxmlformats.org/officeDocument/2006/relationships" ref="J1" r:id="rId9"/>
    <hyperlink xmlns:r="http://schemas.openxmlformats.org/officeDocument/2006/relationships" ref="K1" r:id="rId10"/>
  </hyperlinks>
  <printOptions horizontalCentered="1" verticalCentered="0"/>
  <pageMargins left="0.75" right="0.75" top="1" bottom="1" header="0.5" footer="0.5"/>
  <pageSetup orientation="landscape" paperSize="9" fitToHeight="0" fitToWidth="1"/>
  <drawing xmlns:r="http://schemas.openxmlformats.org/officeDocument/2006/relationships" r:id="rId11"/>
</worksheet>
</file>

<file path=xl/worksheets/sheet38.xml><?xml version="1.0" encoding="utf-8"?>
<worksheet xmlns="http://schemas.openxmlformats.org/spreadsheetml/2006/main">
  <sheetPr>
    <outlinePr summaryBelow="1" summaryRight="1"/>
    <pageSetUpPr fitToPage="1"/>
  </sheetPr>
  <dimension ref="A1:AM103"/>
  <sheetViews>
    <sheetView showGridLines="1" workbookViewId="0">
      <selection activeCell="A1" sqref="A1"/>
    </sheetView>
  </sheetViews>
  <sheetFormatPr baseColWidth="8" defaultRowHeight="15"/>
  <cols>
    <col width="6" customWidth="1" min="1" max="1"/>
    <col width="25" customWidth="1" min="2" max="2"/>
    <col width="16.5" customWidth="1" min="3" max="3"/>
    <col width="8" customWidth="1" min="4" max="4"/>
    <col width="4.8" customWidth="1" min="5" max="5"/>
    <col width="4.8" customWidth="1" min="6" max="6"/>
    <col width="4.8" customWidth="1" min="7" max="7"/>
    <col width="4.8" customWidth="1" min="8" max="8"/>
    <col width="4.8" customWidth="1" min="9" max="9"/>
    <col width="4.8" customWidth="1" min="10" max="10"/>
    <col width="4.8" customWidth="1" min="11" max="11"/>
    <col width="4.8" customWidth="1" min="12" max="12"/>
    <col width="4.8" customWidth="1" min="13" max="13"/>
    <col width="4.8" customWidth="1" min="14" max="14"/>
    <col width="4.8" customWidth="1" min="15" max="15"/>
    <col width="4.8" customWidth="1" min="16" max="16"/>
    <col width="4.8" customWidth="1" min="17" max="17"/>
    <col width="4.8" customWidth="1" min="18" max="18"/>
    <col width="4.8" customWidth="1" min="19" max="19"/>
    <col width="4.8" customWidth="1" min="20" max="20"/>
    <col width="4.8" customWidth="1" min="21" max="21"/>
    <col width="4.8" customWidth="1" min="22" max="22"/>
    <col width="4.8" customWidth="1" min="23" max="23"/>
    <col width="4.8" customWidth="1" min="24" max="24"/>
    <col width="4.8" customWidth="1" min="25" max="25"/>
    <col width="4.8" customWidth="1" min="26" max="26"/>
    <col width="4.8" customWidth="1" min="27" max="27"/>
    <col width="4.8" customWidth="1" min="28" max="28"/>
    <col width="4.8" customWidth="1" min="29" max="29"/>
    <col width="4.8" customWidth="1" min="30" max="30"/>
    <col width="4.8" customWidth="1" min="31" max="31"/>
    <col width="4.8" customWidth="1" min="32" max="32"/>
    <col width="4.8" customWidth="1" min="33" max="33"/>
    <col width="4.8" customWidth="1" min="34" max="34"/>
    <col width="4.8" customWidth="1" min="35" max="35"/>
    <col width="11.5" customWidth="1" min="36" max="36"/>
    <col width="12" customWidth="1" min="37" max="37"/>
    <col width="13.5" customWidth="1" min="38" max="38"/>
    <col hidden="1" width="8" customWidth="1" min="39" max="39"/>
  </cols>
  <sheetData>
    <row r="1" ht="18" customHeight="1">
      <c r="A1" s="76" t="inlineStr">
        <is>
          <t>🏠 Master Dashboard</t>
        </is>
      </c>
      <c r="B1" s="40" t="n"/>
      <c r="C1" s="77" t="inlineStr">
        <is>
          <t>🏛️ Quarterly Hub</t>
        </is>
      </c>
      <c r="D1" s="78" t="inlineStr">
        <is>
          <t>📚 Habit Library</t>
        </is>
      </c>
      <c r="E1" s="80" t="inlineStr">
        <is>
          <t>2026</t>
        </is>
      </c>
      <c r="F1" s="80" t="inlineStr">
        <is>
          <t>2027</t>
        </is>
      </c>
      <c r="G1" s="80" t="inlineStr">
        <is>
          <t>2028</t>
        </is>
      </c>
      <c r="H1" s="79" t="inlineStr">
        <is>
          <t>2029</t>
        </is>
      </c>
      <c r="I1" s="80" t="inlineStr">
        <is>
          <t>2030</t>
        </is>
      </c>
      <c r="J1" s="82" t="inlineStr">
        <is>
          <t>◀ Prev</t>
        </is>
      </c>
      <c r="K1" s="82" t="inlineStr">
        <is>
          <t>Next ▶</t>
        </is>
      </c>
    </row>
    <row r="2" ht="24" customHeight="1">
      <c r="A2" s="83" t="inlineStr">
        <is>
          <t>Habit Tracker</t>
        </is>
      </c>
      <c r="H2" s="84" t="inlineStr">
        <is>
          <t>"Mastery is a journey, not a destination."</t>
        </is>
      </c>
      <c r="AE2" s="85" t="inlineStr">
        <is>
          <t>@surajvansh</t>
        </is>
      </c>
    </row>
    <row r="3" ht="18" customHeight="1">
      <c r="A3" s="86" t="inlineStr">
        <is>
          <t>July 2029</t>
        </is>
      </c>
      <c r="H3" s="87" t="inlineStr">
        <is>
          <t>31 Days Dashboard</t>
        </is>
      </c>
    </row>
    <row r="4" ht="5" customHeight="1"/>
    <row r="5" ht="16" customHeight="1">
      <c r="A5" s="88" t="inlineStr">
        <is>
          <t>MONTHLY TARGETS</t>
        </is>
      </c>
    </row>
    <row r="6" ht="13" customHeight="1">
      <c r="A6" s="89" t="inlineStr">
        <is>
          <t>1. ____________________ : ____________________</t>
        </is>
      </c>
      <c r="P6" s="89" t="inlineStr">
        <is>
          <t>5. ____________________ : ____________________</t>
        </is>
      </c>
    </row>
    <row r="7" ht="13" customHeight="1">
      <c r="A7" s="89" t="inlineStr">
        <is>
          <t>2. ____________________ : ____________________</t>
        </is>
      </c>
      <c r="P7" s="89" t="inlineStr">
        <is>
          <t>6. ____________________ : ____________________</t>
        </is>
      </c>
    </row>
    <row r="8" ht="13" customHeight="1">
      <c r="A8" s="89" t="inlineStr">
        <is>
          <t>3. ____________________ : ____________________</t>
        </is>
      </c>
      <c r="P8" s="89" t="inlineStr">
        <is>
          <t>7. ____________________ : ____________________</t>
        </is>
      </c>
    </row>
    <row r="9" ht="13" customHeight="1">
      <c r="A9" s="89" t="inlineStr">
        <is>
          <t>4. ____________________ : ____________________</t>
        </is>
      </c>
      <c r="P9" s="89" t="inlineStr">
        <is>
          <t>8. ____________________ : ____________________</t>
        </is>
      </c>
    </row>
    <row r="10" ht="5" customHeight="1"/>
    <row r="11" ht="15" customHeight="1">
      <c r="A11" s="88" t="inlineStr">
        <is>
          <t>NOTES:</t>
        </is>
      </c>
    </row>
    <row r="12" ht="13" customHeight="1">
      <c r="A12" s="90" t="n"/>
      <c r="B12" s="91" t="n"/>
      <c r="C12" s="91" t="n"/>
      <c r="D12" s="91" t="n"/>
      <c r="E12" s="91" t="n"/>
      <c r="F12" s="91" t="n"/>
      <c r="G12" s="91" t="n"/>
      <c r="H12" s="91" t="n"/>
      <c r="I12" s="91" t="n"/>
      <c r="J12" s="91" t="n"/>
      <c r="K12" s="91" t="n"/>
      <c r="L12" s="91" t="n"/>
      <c r="M12" s="91" t="n"/>
      <c r="N12" s="91" t="n"/>
      <c r="O12" s="91" t="n"/>
      <c r="P12" s="91" t="n"/>
      <c r="Q12" s="91" t="n"/>
      <c r="R12" s="91" t="n"/>
      <c r="S12" s="91" t="n"/>
      <c r="T12" s="91" t="n"/>
      <c r="U12" s="91" t="n"/>
      <c r="V12" s="91" t="n"/>
      <c r="W12" s="91" t="n"/>
      <c r="X12" s="91" t="n"/>
      <c r="Y12" s="91" t="n"/>
      <c r="Z12" s="91" t="n"/>
      <c r="AA12" s="91" t="n"/>
      <c r="AB12" s="91" t="n"/>
      <c r="AC12" s="91" t="n"/>
      <c r="AD12" s="91" t="n"/>
      <c r="AE12" s="91" t="n"/>
      <c r="AF12" s="91" t="n"/>
      <c r="AG12" s="91" t="n"/>
      <c r="AH12" s="91" t="n"/>
      <c r="AI12" s="91" t="n"/>
      <c r="AJ12" s="91" t="n"/>
      <c r="AK12" s="91" t="n"/>
      <c r="AL12" s="91" t="n"/>
    </row>
    <row r="13" ht="13" customHeight="1">
      <c r="A13" s="91" t="n"/>
      <c r="B13" s="91" t="n"/>
      <c r="C13" s="91" t="n"/>
      <c r="D13" s="91" t="n"/>
      <c r="E13" s="91" t="n"/>
      <c r="F13" s="91" t="n"/>
      <c r="G13" s="91" t="n"/>
      <c r="H13" s="91" t="n"/>
      <c r="I13" s="91" t="n"/>
      <c r="J13" s="91" t="n"/>
      <c r="K13" s="91" t="n"/>
      <c r="L13" s="91" t="n"/>
      <c r="M13" s="91" t="n"/>
      <c r="N13" s="91" t="n"/>
      <c r="O13" s="91" t="n"/>
      <c r="P13" s="91" t="n"/>
      <c r="Q13" s="91" t="n"/>
      <c r="R13" s="91" t="n"/>
      <c r="S13" s="91" t="n"/>
      <c r="T13" s="91" t="n"/>
      <c r="U13" s="91" t="n"/>
      <c r="V13" s="91" t="n"/>
      <c r="W13" s="91" t="n"/>
      <c r="X13" s="91" t="n"/>
      <c r="Y13" s="91" t="n"/>
      <c r="Z13" s="91" t="n"/>
      <c r="AA13" s="91" t="n"/>
      <c r="AB13" s="91" t="n"/>
      <c r="AC13" s="91" t="n"/>
      <c r="AD13" s="91" t="n"/>
      <c r="AE13" s="91" t="n"/>
      <c r="AF13" s="91" t="n"/>
      <c r="AG13" s="91" t="n"/>
      <c r="AH13" s="91" t="n"/>
      <c r="AI13" s="91" t="n"/>
      <c r="AJ13" s="91" t="n"/>
      <c r="AK13" s="91" t="n"/>
      <c r="AL13" s="91" t="n"/>
    </row>
    <row r="14" ht="13" customHeight="1">
      <c r="A14" s="91" t="n"/>
      <c r="B14" s="91" t="n"/>
      <c r="C14" s="91" t="n"/>
      <c r="D14" s="91" t="n"/>
      <c r="E14" s="91" t="n"/>
      <c r="F14" s="91" t="n"/>
      <c r="G14" s="91" t="n"/>
      <c r="H14" s="91" t="n"/>
      <c r="I14" s="91" t="n"/>
      <c r="J14" s="91" t="n"/>
      <c r="K14" s="91" t="n"/>
      <c r="L14" s="91" t="n"/>
      <c r="M14" s="91" t="n"/>
      <c r="N14" s="91" t="n"/>
      <c r="O14" s="91" t="n"/>
      <c r="P14" s="91" t="n"/>
      <c r="Q14" s="91" t="n"/>
      <c r="R14" s="91" t="n"/>
      <c r="S14" s="91" t="n"/>
      <c r="T14" s="91" t="n"/>
      <c r="U14" s="91" t="n"/>
      <c r="V14" s="91" t="n"/>
      <c r="W14" s="91" t="n"/>
      <c r="X14" s="91" t="n"/>
      <c r="Y14" s="91" t="n"/>
      <c r="Z14" s="91" t="n"/>
      <c r="AA14" s="91" t="n"/>
      <c r="AB14" s="91" t="n"/>
      <c r="AC14" s="91" t="n"/>
      <c r="AD14" s="91" t="n"/>
      <c r="AE14" s="91" t="n"/>
      <c r="AF14" s="91" t="n"/>
      <c r="AG14" s="91" t="n"/>
      <c r="AH14" s="91" t="n"/>
      <c r="AI14" s="91" t="n"/>
      <c r="AJ14" s="91" t="n"/>
      <c r="AK14" s="91" t="n"/>
      <c r="AL14" s="91" t="n"/>
    </row>
    <row r="15" ht="8" customHeight="1"/>
    <row r="16" ht="15" customHeight="1">
      <c r="A16" s="33" t="inlineStr">
        <is>
          <t>S.No.</t>
        </is>
      </c>
      <c r="B16" s="33" t="inlineStr">
        <is>
          <t>Protocols</t>
        </is>
      </c>
      <c r="C16" s="33" t="inlineStr">
        <is>
          <t>Category</t>
        </is>
      </c>
      <c r="D16" s="33" t="inlineStr">
        <is>
          <t>Target</t>
        </is>
      </c>
      <c r="E16" s="93" t="n">
        <v>1</v>
      </c>
      <c r="F16" s="92" t="n">
        <v>2</v>
      </c>
      <c r="G16" s="92" t="n">
        <v>3</v>
      </c>
      <c r="H16" s="92" t="n">
        <v>4</v>
      </c>
      <c r="I16" s="92" t="n">
        <v>5</v>
      </c>
      <c r="J16" s="92" t="n">
        <v>6</v>
      </c>
      <c r="K16" s="92" t="n">
        <v>7</v>
      </c>
      <c r="L16" s="93" t="n">
        <v>8</v>
      </c>
      <c r="M16" s="92" t="n">
        <v>9</v>
      </c>
      <c r="N16" s="92" t="n">
        <v>10</v>
      </c>
      <c r="O16" s="92" t="n">
        <v>11</v>
      </c>
      <c r="P16" s="92" t="n">
        <v>12</v>
      </c>
      <c r="Q16" s="92" t="n">
        <v>13</v>
      </c>
      <c r="R16" s="92" t="n">
        <v>14</v>
      </c>
      <c r="S16" s="93" t="n">
        <v>15</v>
      </c>
      <c r="T16" s="92" t="n">
        <v>16</v>
      </c>
      <c r="U16" s="92" t="n">
        <v>17</v>
      </c>
      <c r="V16" s="92" t="n">
        <v>18</v>
      </c>
      <c r="W16" s="92" t="n">
        <v>19</v>
      </c>
      <c r="X16" s="92" t="n">
        <v>20</v>
      </c>
      <c r="Y16" s="92" t="n">
        <v>21</v>
      </c>
      <c r="Z16" s="93" t="n">
        <v>22</v>
      </c>
      <c r="AA16" s="92" t="n">
        <v>23</v>
      </c>
      <c r="AB16" s="92" t="n">
        <v>24</v>
      </c>
      <c r="AC16" s="92" t="n">
        <v>25</v>
      </c>
      <c r="AD16" s="92" t="n">
        <v>26</v>
      </c>
      <c r="AE16" s="92" t="n">
        <v>27</v>
      </c>
      <c r="AF16" s="92" t="n">
        <v>28</v>
      </c>
      <c r="AG16" s="93" t="n">
        <v>29</v>
      </c>
      <c r="AH16" s="92" t="n">
        <v>30</v>
      </c>
      <c r="AI16" s="92" t="n">
        <v>31</v>
      </c>
      <c r="AJ16" s="94" t="inlineStr">
        <is>
          <t>Success %</t>
        </is>
      </c>
      <c r="AK16" s="94" t="inlineStr">
        <is>
          <t>Done / Target</t>
        </is>
      </c>
      <c r="AL16" s="94" t="inlineStr">
        <is>
          <t>Status</t>
        </is>
      </c>
      <c r="AM16" t="inlineStr">
        <is>
          <t>Done Count</t>
        </is>
      </c>
    </row>
    <row r="17" ht="15" customHeight="1">
      <c r="A17" s="54" t="n"/>
      <c r="B17" s="54" t="n"/>
      <c r="C17" s="54" t="n"/>
      <c r="D17" s="54" t="n"/>
      <c r="E17" s="96" t="inlineStr">
        <is>
          <t>Su</t>
        </is>
      </c>
      <c r="F17" s="95" t="inlineStr">
        <is>
          <t>M</t>
        </is>
      </c>
      <c r="G17" s="95" t="inlineStr">
        <is>
          <t>T</t>
        </is>
      </c>
      <c r="H17" s="95" t="inlineStr">
        <is>
          <t>W</t>
        </is>
      </c>
      <c r="I17" s="95" t="inlineStr">
        <is>
          <t>Th</t>
        </is>
      </c>
      <c r="J17" s="95" t="inlineStr">
        <is>
          <t>F</t>
        </is>
      </c>
      <c r="K17" s="95" t="inlineStr">
        <is>
          <t>Sa</t>
        </is>
      </c>
      <c r="L17" s="96" t="inlineStr">
        <is>
          <t>Su</t>
        </is>
      </c>
      <c r="M17" s="95" t="inlineStr">
        <is>
          <t>M</t>
        </is>
      </c>
      <c r="N17" s="95" t="inlineStr">
        <is>
          <t>T</t>
        </is>
      </c>
      <c r="O17" s="95" t="inlineStr">
        <is>
          <t>W</t>
        </is>
      </c>
      <c r="P17" s="95" t="inlineStr">
        <is>
          <t>Th</t>
        </is>
      </c>
      <c r="Q17" s="95" t="inlineStr">
        <is>
          <t>F</t>
        </is>
      </c>
      <c r="R17" s="95" t="inlineStr">
        <is>
          <t>Sa</t>
        </is>
      </c>
      <c r="S17" s="96" t="inlineStr">
        <is>
          <t>Su</t>
        </is>
      </c>
      <c r="T17" s="95" t="inlineStr">
        <is>
          <t>M</t>
        </is>
      </c>
      <c r="U17" s="95" t="inlineStr">
        <is>
          <t>T</t>
        </is>
      </c>
      <c r="V17" s="95" t="inlineStr">
        <is>
          <t>W</t>
        </is>
      </c>
      <c r="W17" s="95" t="inlineStr">
        <is>
          <t>Th</t>
        </is>
      </c>
      <c r="X17" s="95" t="inlineStr">
        <is>
          <t>F</t>
        </is>
      </c>
      <c r="Y17" s="95" t="inlineStr">
        <is>
          <t>Sa</t>
        </is>
      </c>
      <c r="Z17" s="96" t="inlineStr">
        <is>
          <t>Su</t>
        </is>
      </c>
      <c r="AA17" s="95" t="inlineStr">
        <is>
          <t>M</t>
        </is>
      </c>
      <c r="AB17" s="95" t="inlineStr">
        <is>
          <t>T</t>
        </is>
      </c>
      <c r="AC17" s="95" t="inlineStr">
        <is>
          <t>W</t>
        </is>
      </c>
      <c r="AD17" s="95" t="inlineStr">
        <is>
          <t>Th</t>
        </is>
      </c>
      <c r="AE17" s="95" t="inlineStr">
        <is>
          <t>F</t>
        </is>
      </c>
      <c r="AF17" s="95" t="inlineStr">
        <is>
          <t>Sa</t>
        </is>
      </c>
      <c r="AG17" s="96" t="inlineStr">
        <is>
          <t>Su</t>
        </is>
      </c>
      <c r="AH17" s="95" t="inlineStr">
        <is>
          <t>M</t>
        </is>
      </c>
      <c r="AI17" s="95" t="inlineStr">
        <is>
          <t>T</t>
        </is>
      </c>
      <c r="AJ17" s="54" t="n"/>
      <c r="AK17" s="54" t="n"/>
      <c r="AL17" s="54" t="n"/>
    </row>
    <row r="18" ht="14.5" customHeight="1">
      <c r="A18" s="97" t="n">
        <v>1</v>
      </c>
      <c r="B18" s="98" t="n"/>
      <c r="C18" s="99" t="n"/>
      <c r="D18" s="99" t="n"/>
      <c r="E18" s="101" t="n"/>
      <c r="F18" s="100" t="n"/>
      <c r="G18" s="100" t="n"/>
      <c r="H18" s="100" t="n"/>
      <c r="I18" s="100" t="n"/>
      <c r="J18" s="100" t="n"/>
      <c r="K18" s="100" t="n"/>
      <c r="L18" s="101" t="n"/>
      <c r="M18" s="100" t="n"/>
      <c r="N18" s="100" t="n"/>
      <c r="O18" s="100" t="n"/>
      <c r="P18" s="100" t="n"/>
      <c r="Q18" s="100" t="n"/>
      <c r="R18" s="100" t="n"/>
      <c r="S18" s="101" t="n"/>
      <c r="T18" s="100" t="n"/>
      <c r="U18" s="100" t="n"/>
      <c r="V18" s="100" t="n"/>
      <c r="W18" s="100" t="n"/>
      <c r="X18" s="100" t="n"/>
      <c r="Y18" s="100" t="n"/>
      <c r="Z18" s="101" t="n"/>
      <c r="AA18" s="100" t="n"/>
      <c r="AB18" s="100" t="n"/>
      <c r="AC18" s="100" t="n"/>
      <c r="AD18" s="100" t="n"/>
      <c r="AE18" s="100" t="n"/>
      <c r="AF18" s="100" t="n"/>
      <c r="AG18" s="101" t="n"/>
      <c r="AH18" s="100" t="n"/>
      <c r="AI18" s="100" t="n"/>
      <c r="AJ18" s="102">
        <f>IF(ISBLANK(B18), "", IF(ISNUMBER(D18), IF(D18&gt;0, (COUNTIF(E18:AI18, "✓") + COUNTIF(E18:AI18, "✔") + COUNTIF(E18:AI18, "v") + COUNTIF(E18:AI18, "V"))/D18, 0), IF(((COUNTIF(E18:AI18, "✓") + COUNTIF(E18:AI18, "✔") + COUNTIF(E18:AI18, "v") + COUNTIF(E18:AI18, "V")) + COUNTIF(E18:AI18, "✗") + COUNTIF(E18:AI18, "x") + COUNTIF(E18:AI18, "X"))&gt;0, (COUNTIF(E18:AI18, "✓") + COUNTIF(E18:AI18, "✔") + COUNTIF(E18:AI18, "v") + COUNTIF(E18:AI18, "V"))/((COUNTIF(E18:AI18, "✓") + COUNTIF(E18:AI18, "✔") + COUNTIF(E18:AI18, "v") + COUNTIF(E18:AI18, "V")) + COUNTIF(E18:AI18, "✗") + COUNTIF(E18:AI18, "x") + COUNTIF(E18:AI18, "X")), "")))</f>
        <v/>
      </c>
      <c r="AK18" s="103">
        <f>IF(ISBLANK(B18), "", IF(ISNUMBER(D18), IF(D18&gt;0, (COUNTIF(E18:AI18, "✓") + COUNTIF(E18:AI18, "✔") + COUNTIF(E18:AI18, "v") + COUNTIF(E18:AI18, "V")) &amp; "/" &amp; D18, (COUNTIF(E18:AI18, "✓") + COUNTIF(E18:AI18, "✔") + COUNTIF(E18:AI18, "v") + COUNTIF(E18:AI18, "V")) &amp; "/0"), IF(((COUNTIF(E18:AI18, "✓") + COUNTIF(E18:AI18, "✔") + COUNTIF(E18:AI18, "v") + COUNTIF(E18:AI18, "V")) + COUNTIF(E18:AI18, "✗") + COUNTIF(E18:AI18, "x") + COUNTIF(E18:AI18, "X"))&gt;0, (COUNTIF(E18:AI18, "✓") + COUNTIF(E18:AI18, "✔") + COUNTIF(E18:AI18, "v") + COUNTIF(E18:AI18, "V")) &amp; "/" &amp; ((COUNTIF(E18:AI18, "✓") + COUNTIF(E18:AI18, "✔") + COUNTIF(E18:AI18, "v") + COUNTIF(E18:AI18, "V")) + COUNTIF(E18:AI18, "✗") + COUNTIF(E18:AI18, "x") + COUNTIF(E18:AI18, "X")), "")))</f>
        <v/>
      </c>
      <c r="AL18" s="103">
        <f>IF(ISBLANK(B18), "", IF(AJ18&gt;=0.85, "🔥 Mastered", IF(AJ18&gt;=0.7, "⚡ Consistent", "⚠️ Needs Focus")))</f>
        <v/>
      </c>
      <c r="AM18">
        <f>COUNTIF(E18:AI18, "✓")</f>
        <v/>
      </c>
    </row>
    <row r="19" ht="14.5" customHeight="1">
      <c r="A19" s="97" t="n">
        <v>2</v>
      </c>
      <c r="B19" s="98" t="n"/>
      <c r="C19" s="99" t="n"/>
      <c r="D19" s="99" t="n"/>
      <c r="E19" s="101" t="n"/>
      <c r="F19" s="100" t="n"/>
      <c r="G19" s="100" t="n"/>
      <c r="H19" s="100" t="n"/>
      <c r="I19" s="100" t="n"/>
      <c r="J19" s="100" t="n"/>
      <c r="K19" s="100" t="n"/>
      <c r="L19" s="101" t="n"/>
      <c r="M19" s="100" t="n"/>
      <c r="N19" s="100" t="n"/>
      <c r="O19" s="100" t="n"/>
      <c r="P19" s="100" t="n"/>
      <c r="Q19" s="100" t="n"/>
      <c r="R19" s="100" t="n"/>
      <c r="S19" s="101" t="n"/>
      <c r="T19" s="100" t="n"/>
      <c r="U19" s="100" t="n"/>
      <c r="V19" s="100" t="n"/>
      <c r="W19" s="100" t="n"/>
      <c r="X19" s="100" t="n"/>
      <c r="Y19" s="100" t="n"/>
      <c r="Z19" s="101" t="n"/>
      <c r="AA19" s="100" t="n"/>
      <c r="AB19" s="100" t="n"/>
      <c r="AC19" s="100" t="n"/>
      <c r="AD19" s="100" t="n"/>
      <c r="AE19" s="100" t="n"/>
      <c r="AF19" s="100" t="n"/>
      <c r="AG19" s="101" t="n"/>
      <c r="AH19" s="100" t="n"/>
      <c r="AI19" s="100" t="n"/>
      <c r="AJ19" s="102">
        <f>IF(ISBLANK(B19), "", IF(ISNUMBER(D19), IF(D19&gt;0, (COUNTIF(E19:AI19, "✓") + COUNTIF(E19:AI19, "✔") + COUNTIF(E19:AI19, "v") + COUNTIF(E19:AI19, "V"))/D19, 0), IF(((COUNTIF(E19:AI19, "✓") + COUNTIF(E19:AI19, "✔") + COUNTIF(E19:AI19, "v") + COUNTIF(E19:AI19, "V")) + COUNTIF(E19:AI19, "✗") + COUNTIF(E19:AI19, "x") + COUNTIF(E19:AI19, "X"))&gt;0, (COUNTIF(E19:AI19, "✓") + COUNTIF(E19:AI19, "✔") + COUNTIF(E19:AI19, "v") + COUNTIF(E19:AI19, "V"))/((COUNTIF(E19:AI19, "✓") + COUNTIF(E19:AI19, "✔") + COUNTIF(E19:AI19, "v") + COUNTIF(E19:AI19, "V")) + COUNTIF(E19:AI19, "✗") + COUNTIF(E19:AI19, "x") + COUNTIF(E19:AI19, "X")), "")))</f>
        <v/>
      </c>
      <c r="AK19" s="103">
        <f>IF(ISBLANK(B19), "", IF(ISNUMBER(D19), IF(D19&gt;0, (COUNTIF(E19:AI19, "✓") + COUNTIF(E19:AI19, "✔") + COUNTIF(E19:AI19, "v") + COUNTIF(E19:AI19, "V")) &amp; "/" &amp; D19, (COUNTIF(E19:AI19, "✓") + COUNTIF(E19:AI19, "✔") + COUNTIF(E19:AI19, "v") + COUNTIF(E19:AI19, "V")) &amp; "/0"), IF(((COUNTIF(E19:AI19, "✓") + COUNTIF(E19:AI19, "✔") + COUNTIF(E19:AI19, "v") + COUNTIF(E19:AI19, "V")) + COUNTIF(E19:AI19, "✗") + COUNTIF(E19:AI19, "x") + COUNTIF(E19:AI19, "X"))&gt;0, (COUNTIF(E19:AI19, "✓") + COUNTIF(E19:AI19, "✔") + COUNTIF(E19:AI19, "v") + COUNTIF(E19:AI19, "V")) &amp; "/" &amp; ((COUNTIF(E19:AI19, "✓") + COUNTIF(E19:AI19, "✔") + COUNTIF(E19:AI19, "v") + COUNTIF(E19:AI19, "V")) + COUNTIF(E19:AI19, "✗") + COUNTIF(E19:AI19, "x") + COUNTIF(E19:AI19, "X")), "")))</f>
        <v/>
      </c>
      <c r="AL19" s="103">
        <f>IF(ISBLANK(B19), "", IF(AJ19&gt;=0.85, "🔥 Mastered", IF(AJ19&gt;=0.7, "⚡ Consistent", "⚠️ Needs Focus")))</f>
        <v/>
      </c>
      <c r="AM19">
        <f>COUNTIF(E19:AI19, "✓")</f>
        <v/>
      </c>
    </row>
    <row r="20" ht="14.5" customHeight="1">
      <c r="A20" s="97" t="n">
        <v>3</v>
      </c>
      <c r="B20" s="98" t="n"/>
      <c r="C20" s="99" t="n"/>
      <c r="D20" s="99" t="n"/>
      <c r="E20" s="101" t="n"/>
      <c r="F20" s="100" t="n"/>
      <c r="G20" s="100" t="n"/>
      <c r="H20" s="100" t="n"/>
      <c r="I20" s="100" t="n"/>
      <c r="J20" s="100" t="n"/>
      <c r="K20" s="100" t="n"/>
      <c r="L20" s="101" t="n"/>
      <c r="M20" s="100" t="n"/>
      <c r="N20" s="100" t="n"/>
      <c r="O20" s="100" t="n"/>
      <c r="P20" s="100" t="n"/>
      <c r="Q20" s="100" t="n"/>
      <c r="R20" s="100" t="n"/>
      <c r="S20" s="101" t="n"/>
      <c r="T20" s="100" t="n"/>
      <c r="U20" s="100" t="n"/>
      <c r="V20" s="100" t="n"/>
      <c r="W20" s="100" t="n"/>
      <c r="X20" s="100" t="n"/>
      <c r="Y20" s="100" t="n"/>
      <c r="Z20" s="101" t="n"/>
      <c r="AA20" s="100" t="n"/>
      <c r="AB20" s="100" t="n"/>
      <c r="AC20" s="100" t="n"/>
      <c r="AD20" s="100" t="n"/>
      <c r="AE20" s="100" t="n"/>
      <c r="AF20" s="100" t="n"/>
      <c r="AG20" s="101" t="n"/>
      <c r="AH20" s="100" t="n"/>
      <c r="AI20" s="100" t="n"/>
      <c r="AJ20" s="102">
        <f>IF(ISBLANK(B20), "", IF(ISNUMBER(D20), IF(D20&gt;0, (COUNTIF(E20:AI20, "✓") + COUNTIF(E20:AI20, "✔") + COUNTIF(E20:AI20, "v") + COUNTIF(E20:AI20, "V"))/D20, 0), IF(((COUNTIF(E20:AI20, "✓") + COUNTIF(E20:AI20, "✔") + COUNTIF(E20:AI20, "v") + COUNTIF(E20:AI20, "V")) + COUNTIF(E20:AI20, "✗") + COUNTIF(E20:AI20, "x") + COUNTIF(E20:AI20, "X"))&gt;0, (COUNTIF(E20:AI20, "✓") + COUNTIF(E20:AI20, "✔") + COUNTIF(E20:AI20, "v") + COUNTIF(E20:AI20, "V"))/((COUNTIF(E20:AI20, "✓") + COUNTIF(E20:AI20, "✔") + COUNTIF(E20:AI20, "v") + COUNTIF(E20:AI20, "V")) + COUNTIF(E20:AI20, "✗") + COUNTIF(E20:AI20, "x") + COUNTIF(E20:AI20, "X")), "")))</f>
        <v/>
      </c>
      <c r="AK20" s="103">
        <f>IF(ISBLANK(B20), "", IF(ISNUMBER(D20), IF(D20&gt;0, (COUNTIF(E20:AI20, "✓") + COUNTIF(E20:AI20, "✔") + COUNTIF(E20:AI20, "v") + COUNTIF(E20:AI20, "V")) &amp; "/" &amp; D20, (COUNTIF(E20:AI20, "✓") + COUNTIF(E20:AI20, "✔") + COUNTIF(E20:AI20, "v") + COUNTIF(E20:AI20, "V")) &amp; "/0"), IF(((COUNTIF(E20:AI20, "✓") + COUNTIF(E20:AI20, "✔") + COUNTIF(E20:AI20, "v") + COUNTIF(E20:AI20, "V")) + COUNTIF(E20:AI20, "✗") + COUNTIF(E20:AI20, "x") + COUNTIF(E20:AI20, "X"))&gt;0, (COUNTIF(E20:AI20, "✓") + COUNTIF(E20:AI20, "✔") + COUNTIF(E20:AI20, "v") + COUNTIF(E20:AI20, "V")) &amp; "/" &amp; ((COUNTIF(E20:AI20, "✓") + COUNTIF(E20:AI20, "✔") + COUNTIF(E20:AI20, "v") + COUNTIF(E20:AI20, "V")) + COUNTIF(E20:AI20, "✗") + COUNTIF(E20:AI20, "x") + COUNTIF(E20:AI20, "X")), "")))</f>
        <v/>
      </c>
      <c r="AL20" s="103">
        <f>IF(ISBLANK(B20), "", IF(AJ20&gt;=0.85, "🔥 Mastered", IF(AJ20&gt;=0.7, "⚡ Consistent", "⚠️ Needs Focus")))</f>
        <v/>
      </c>
      <c r="AM20">
        <f>COUNTIF(E20:AI20, "✓")</f>
        <v/>
      </c>
    </row>
    <row r="21" ht="14.5" customHeight="1">
      <c r="A21" s="97" t="n">
        <v>4</v>
      </c>
      <c r="B21" s="98" t="n"/>
      <c r="C21" s="99" t="n"/>
      <c r="D21" s="99" t="n"/>
      <c r="E21" s="101" t="n"/>
      <c r="F21" s="100" t="n"/>
      <c r="G21" s="100" t="n"/>
      <c r="H21" s="100" t="n"/>
      <c r="I21" s="100" t="n"/>
      <c r="J21" s="100" t="n"/>
      <c r="K21" s="100" t="n"/>
      <c r="L21" s="101" t="n"/>
      <c r="M21" s="100" t="n"/>
      <c r="N21" s="100" t="n"/>
      <c r="O21" s="100" t="n"/>
      <c r="P21" s="100" t="n"/>
      <c r="Q21" s="100" t="n"/>
      <c r="R21" s="100" t="n"/>
      <c r="S21" s="101" t="n"/>
      <c r="T21" s="100" t="n"/>
      <c r="U21" s="100" t="n"/>
      <c r="V21" s="100" t="n"/>
      <c r="W21" s="100" t="n"/>
      <c r="X21" s="100" t="n"/>
      <c r="Y21" s="100" t="n"/>
      <c r="Z21" s="101" t="n"/>
      <c r="AA21" s="100" t="n"/>
      <c r="AB21" s="100" t="n"/>
      <c r="AC21" s="100" t="n"/>
      <c r="AD21" s="100" t="n"/>
      <c r="AE21" s="100" t="n"/>
      <c r="AF21" s="100" t="n"/>
      <c r="AG21" s="101" t="n"/>
      <c r="AH21" s="100" t="n"/>
      <c r="AI21" s="100" t="n"/>
      <c r="AJ21" s="102">
        <f>IF(ISBLANK(B21), "", IF(ISNUMBER(D21), IF(D21&gt;0, (COUNTIF(E21:AI21, "✓") + COUNTIF(E21:AI21, "✔") + COUNTIF(E21:AI21, "v") + COUNTIF(E21:AI21, "V"))/D21, 0), IF(((COUNTIF(E21:AI21, "✓") + COUNTIF(E21:AI21, "✔") + COUNTIF(E21:AI21, "v") + COUNTIF(E21:AI21, "V")) + COUNTIF(E21:AI21, "✗") + COUNTIF(E21:AI21, "x") + COUNTIF(E21:AI21, "X"))&gt;0, (COUNTIF(E21:AI21, "✓") + COUNTIF(E21:AI21, "✔") + COUNTIF(E21:AI21, "v") + COUNTIF(E21:AI21, "V"))/((COUNTIF(E21:AI21, "✓") + COUNTIF(E21:AI21, "✔") + COUNTIF(E21:AI21, "v") + COUNTIF(E21:AI21, "V")) + COUNTIF(E21:AI21, "✗") + COUNTIF(E21:AI21, "x") + COUNTIF(E21:AI21, "X")), "")))</f>
        <v/>
      </c>
      <c r="AK21" s="103">
        <f>IF(ISBLANK(B21), "", IF(ISNUMBER(D21), IF(D21&gt;0, (COUNTIF(E21:AI21, "✓") + COUNTIF(E21:AI21, "✔") + COUNTIF(E21:AI21, "v") + COUNTIF(E21:AI21, "V")) &amp; "/" &amp; D21, (COUNTIF(E21:AI21, "✓") + COUNTIF(E21:AI21, "✔") + COUNTIF(E21:AI21, "v") + COUNTIF(E21:AI21, "V")) &amp; "/0"), IF(((COUNTIF(E21:AI21, "✓") + COUNTIF(E21:AI21, "✔") + COUNTIF(E21:AI21, "v") + COUNTIF(E21:AI21, "V")) + COUNTIF(E21:AI21, "✗") + COUNTIF(E21:AI21, "x") + COUNTIF(E21:AI21, "X"))&gt;0, (COUNTIF(E21:AI21, "✓") + COUNTIF(E21:AI21, "✔") + COUNTIF(E21:AI21, "v") + COUNTIF(E21:AI21, "V")) &amp; "/" &amp; ((COUNTIF(E21:AI21, "✓") + COUNTIF(E21:AI21, "✔") + COUNTIF(E21:AI21, "v") + COUNTIF(E21:AI21, "V")) + COUNTIF(E21:AI21, "✗") + COUNTIF(E21:AI21, "x") + COUNTIF(E21:AI21, "X")), "")))</f>
        <v/>
      </c>
      <c r="AL21" s="103">
        <f>IF(ISBLANK(B21), "", IF(AJ21&gt;=0.85, "🔥 Mastered", IF(AJ21&gt;=0.7, "⚡ Consistent", "⚠️ Needs Focus")))</f>
        <v/>
      </c>
      <c r="AM21">
        <f>COUNTIF(E21:AI21, "✓")</f>
        <v/>
      </c>
    </row>
    <row r="22" ht="14.5" customHeight="1">
      <c r="A22" s="104" t="n">
        <v>5</v>
      </c>
      <c r="B22" s="105" t="n"/>
      <c r="C22" s="106" t="n"/>
      <c r="D22" s="106" t="n"/>
      <c r="E22" s="108" t="n"/>
      <c r="F22" s="107" t="n"/>
      <c r="G22" s="107" t="n"/>
      <c r="H22" s="107" t="n"/>
      <c r="I22" s="107" t="n"/>
      <c r="J22" s="107" t="n"/>
      <c r="K22" s="107" t="n"/>
      <c r="L22" s="108" t="n"/>
      <c r="M22" s="107" t="n"/>
      <c r="N22" s="107" t="n"/>
      <c r="O22" s="107" t="n"/>
      <c r="P22" s="107" t="n"/>
      <c r="Q22" s="107" t="n"/>
      <c r="R22" s="107" t="n"/>
      <c r="S22" s="108" t="n"/>
      <c r="T22" s="107" t="n"/>
      <c r="U22" s="107" t="n"/>
      <c r="V22" s="107" t="n"/>
      <c r="W22" s="107" t="n"/>
      <c r="X22" s="107" t="n"/>
      <c r="Y22" s="107" t="n"/>
      <c r="Z22" s="108" t="n"/>
      <c r="AA22" s="107" t="n"/>
      <c r="AB22" s="107" t="n"/>
      <c r="AC22" s="107" t="n"/>
      <c r="AD22" s="107" t="n"/>
      <c r="AE22" s="107" t="n"/>
      <c r="AF22" s="107" t="n"/>
      <c r="AG22" s="108" t="n"/>
      <c r="AH22" s="107" t="n"/>
      <c r="AI22" s="107" t="n"/>
      <c r="AJ22" s="109">
        <f>IF(ISBLANK(B22), "", IF(ISNUMBER(D22), IF(D22&gt;0, (COUNTIF(E22:AI22, "✓") + COUNTIF(E22:AI22, "✔") + COUNTIF(E22:AI22, "v") + COUNTIF(E22:AI22, "V"))/D22, 0), IF(((COUNTIF(E22:AI22, "✓") + COUNTIF(E22:AI22, "✔") + COUNTIF(E22:AI22, "v") + COUNTIF(E22:AI22, "V")) + COUNTIF(E22:AI22, "✗") + COUNTIF(E22:AI22, "x") + COUNTIF(E22:AI22, "X"))&gt;0, (COUNTIF(E22:AI22, "✓") + COUNTIF(E22:AI22, "✔") + COUNTIF(E22:AI22, "v") + COUNTIF(E22:AI22, "V"))/((COUNTIF(E22:AI22, "✓") + COUNTIF(E22:AI22, "✔") + COUNTIF(E22:AI22, "v") + COUNTIF(E22:AI22, "V")) + COUNTIF(E22:AI22, "✗") + COUNTIF(E22:AI22, "x") + COUNTIF(E22:AI22, "X")), "")))</f>
        <v/>
      </c>
      <c r="AK22" s="110">
        <f>IF(ISBLANK(B22), "", IF(ISNUMBER(D22), IF(D22&gt;0, (COUNTIF(E22:AI22, "✓") + COUNTIF(E22:AI22, "✔") + COUNTIF(E22:AI22, "v") + COUNTIF(E22:AI22, "V")) &amp; "/" &amp; D22, (COUNTIF(E22:AI22, "✓") + COUNTIF(E22:AI22, "✔") + COUNTIF(E22:AI22, "v") + COUNTIF(E22:AI22, "V")) &amp; "/0"), IF(((COUNTIF(E22:AI22, "✓") + COUNTIF(E22:AI22, "✔") + COUNTIF(E22:AI22, "v") + COUNTIF(E22:AI22, "V")) + COUNTIF(E22:AI22, "✗") + COUNTIF(E22:AI22, "x") + COUNTIF(E22:AI22, "X"))&gt;0, (COUNTIF(E22:AI22, "✓") + COUNTIF(E22:AI22, "✔") + COUNTIF(E22:AI22, "v") + COUNTIF(E22:AI22, "V")) &amp; "/" &amp; ((COUNTIF(E22:AI22, "✓") + COUNTIF(E22:AI22, "✔") + COUNTIF(E22:AI22, "v") + COUNTIF(E22:AI22, "V")) + COUNTIF(E22:AI22, "✗") + COUNTIF(E22:AI22, "x") + COUNTIF(E22:AI22, "X")), "")))</f>
        <v/>
      </c>
      <c r="AL22" s="110">
        <f>IF(ISBLANK(B22), "", IF(AJ22&gt;=0.85, "🔥 Mastered", IF(AJ22&gt;=0.7, "⚡ Consistent", "⚠️ Needs Focus")))</f>
        <v/>
      </c>
      <c r="AM22">
        <f>COUNTIF(E22:AI22, "✓")</f>
        <v/>
      </c>
    </row>
    <row r="23" ht="14.5" customHeight="1">
      <c r="A23" s="104" t="n">
        <v>6</v>
      </c>
      <c r="B23" s="105" t="n"/>
      <c r="C23" s="106" t="n"/>
      <c r="D23" s="106" t="n"/>
      <c r="E23" s="108" t="n"/>
      <c r="F23" s="107" t="n"/>
      <c r="G23" s="107" t="n"/>
      <c r="H23" s="107" t="n"/>
      <c r="I23" s="107" t="n"/>
      <c r="J23" s="107" t="n"/>
      <c r="K23" s="107" t="n"/>
      <c r="L23" s="108" t="n"/>
      <c r="M23" s="107" t="n"/>
      <c r="N23" s="107" t="n"/>
      <c r="O23" s="107" t="n"/>
      <c r="P23" s="107" t="n"/>
      <c r="Q23" s="107" t="n"/>
      <c r="R23" s="107" t="n"/>
      <c r="S23" s="108" t="n"/>
      <c r="T23" s="107" t="n"/>
      <c r="U23" s="107" t="n"/>
      <c r="V23" s="107" t="n"/>
      <c r="W23" s="107" t="n"/>
      <c r="X23" s="107" t="n"/>
      <c r="Y23" s="107" t="n"/>
      <c r="Z23" s="108" t="n"/>
      <c r="AA23" s="107" t="n"/>
      <c r="AB23" s="107" t="n"/>
      <c r="AC23" s="107" t="n"/>
      <c r="AD23" s="107" t="n"/>
      <c r="AE23" s="107" t="n"/>
      <c r="AF23" s="107" t="n"/>
      <c r="AG23" s="108" t="n"/>
      <c r="AH23" s="107" t="n"/>
      <c r="AI23" s="107" t="n"/>
      <c r="AJ23" s="109">
        <f>IF(ISBLANK(B23), "", IF(ISNUMBER(D23), IF(D23&gt;0, (COUNTIF(E23:AI23, "✓") + COUNTIF(E23:AI23, "✔") + COUNTIF(E23:AI23, "v") + COUNTIF(E23:AI23, "V"))/D23, 0), IF(((COUNTIF(E23:AI23, "✓") + COUNTIF(E23:AI23, "✔") + COUNTIF(E23:AI23, "v") + COUNTIF(E23:AI23, "V")) + COUNTIF(E23:AI23, "✗") + COUNTIF(E23:AI23, "x") + COUNTIF(E23:AI23, "X"))&gt;0, (COUNTIF(E23:AI23, "✓") + COUNTIF(E23:AI23, "✔") + COUNTIF(E23:AI23, "v") + COUNTIF(E23:AI23, "V"))/((COUNTIF(E23:AI23, "✓") + COUNTIF(E23:AI23, "✔") + COUNTIF(E23:AI23, "v") + COUNTIF(E23:AI23, "V")) + COUNTIF(E23:AI23, "✗") + COUNTIF(E23:AI23, "x") + COUNTIF(E23:AI23, "X")), "")))</f>
        <v/>
      </c>
      <c r="AK23" s="110">
        <f>IF(ISBLANK(B23), "", IF(ISNUMBER(D23), IF(D23&gt;0, (COUNTIF(E23:AI23, "✓") + COUNTIF(E23:AI23, "✔") + COUNTIF(E23:AI23, "v") + COUNTIF(E23:AI23, "V")) &amp; "/" &amp; D23, (COUNTIF(E23:AI23, "✓") + COUNTIF(E23:AI23, "✔") + COUNTIF(E23:AI23, "v") + COUNTIF(E23:AI23, "V")) &amp; "/0"), IF(((COUNTIF(E23:AI23, "✓") + COUNTIF(E23:AI23, "✔") + COUNTIF(E23:AI23, "v") + COUNTIF(E23:AI23, "V")) + COUNTIF(E23:AI23, "✗") + COUNTIF(E23:AI23, "x") + COUNTIF(E23:AI23, "X"))&gt;0, (COUNTIF(E23:AI23, "✓") + COUNTIF(E23:AI23, "✔") + COUNTIF(E23:AI23, "v") + COUNTIF(E23:AI23, "V")) &amp; "/" &amp; ((COUNTIF(E23:AI23, "✓") + COUNTIF(E23:AI23, "✔") + COUNTIF(E23:AI23, "v") + COUNTIF(E23:AI23, "V")) + COUNTIF(E23:AI23, "✗") + COUNTIF(E23:AI23, "x") + COUNTIF(E23:AI23, "X")), "")))</f>
        <v/>
      </c>
      <c r="AL23" s="110">
        <f>IF(ISBLANK(B23), "", IF(AJ23&gt;=0.85, "🔥 Mastered", IF(AJ23&gt;=0.7, "⚡ Consistent", "⚠️ Needs Focus")))</f>
        <v/>
      </c>
      <c r="AM23">
        <f>COUNTIF(E23:AI23, "✓")</f>
        <v/>
      </c>
    </row>
    <row r="24" ht="14.5" customHeight="1">
      <c r="A24" s="104" t="n">
        <v>7</v>
      </c>
      <c r="B24" s="105" t="n"/>
      <c r="C24" s="106" t="n"/>
      <c r="D24" s="106" t="n"/>
      <c r="E24" s="108" t="n"/>
      <c r="F24" s="107" t="n"/>
      <c r="G24" s="107" t="n"/>
      <c r="H24" s="107" t="n"/>
      <c r="I24" s="107" t="n"/>
      <c r="J24" s="107" t="n"/>
      <c r="K24" s="107" t="n"/>
      <c r="L24" s="108" t="n"/>
      <c r="M24" s="107" t="n"/>
      <c r="N24" s="107" t="n"/>
      <c r="O24" s="107" t="n"/>
      <c r="P24" s="107" t="n"/>
      <c r="Q24" s="107" t="n"/>
      <c r="R24" s="107" t="n"/>
      <c r="S24" s="108" t="n"/>
      <c r="T24" s="107" t="n"/>
      <c r="U24" s="107" t="n"/>
      <c r="V24" s="107" t="n"/>
      <c r="W24" s="107" t="n"/>
      <c r="X24" s="107" t="n"/>
      <c r="Y24" s="107" t="n"/>
      <c r="Z24" s="108" t="n"/>
      <c r="AA24" s="107" t="n"/>
      <c r="AB24" s="107" t="n"/>
      <c r="AC24" s="107" t="n"/>
      <c r="AD24" s="107" t="n"/>
      <c r="AE24" s="107" t="n"/>
      <c r="AF24" s="107" t="n"/>
      <c r="AG24" s="108" t="n"/>
      <c r="AH24" s="107" t="n"/>
      <c r="AI24" s="107" t="n"/>
      <c r="AJ24" s="109">
        <f>IF(ISBLANK(B24), "", IF(ISNUMBER(D24), IF(D24&gt;0, (COUNTIF(E24:AI24, "✓") + COUNTIF(E24:AI24, "✔") + COUNTIF(E24:AI24, "v") + COUNTIF(E24:AI24, "V"))/D24, 0), IF(((COUNTIF(E24:AI24, "✓") + COUNTIF(E24:AI24, "✔") + COUNTIF(E24:AI24, "v") + COUNTIF(E24:AI24, "V")) + COUNTIF(E24:AI24, "✗") + COUNTIF(E24:AI24, "x") + COUNTIF(E24:AI24, "X"))&gt;0, (COUNTIF(E24:AI24, "✓") + COUNTIF(E24:AI24, "✔") + COUNTIF(E24:AI24, "v") + COUNTIF(E24:AI24, "V"))/((COUNTIF(E24:AI24, "✓") + COUNTIF(E24:AI24, "✔") + COUNTIF(E24:AI24, "v") + COUNTIF(E24:AI24, "V")) + COUNTIF(E24:AI24, "✗") + COUNTIF(E24:AI24, "x") + COUNTIF(E24:AI24, "X")), "")))</f>
        <v/>
      </c>
      <c r="AK24" s="110">
        <f>IF(ISBLANK(B24), "", IF(ISNUMBER(D24), IF(D24&gt;0, (COUNTIF(E24:AI24, "✓") + COUNTIF(E24:AI24, "✔") + COUNTIF(E24:AI24, "v") + COUNTIF(E24:AI24, "V")) &amp; "/" &amp; D24, (COUNTIF(E24:AI24, "✓") + COUNTIF(E24:AI24, "✔") + COUNTIF(E24:AI24, "v") + COUNTIF(E24:AI24, "V")) &amp; "/0"), IF(((COUNTIF(E24:AI24, "✓") + COUNTIF(E24:AI24, "✔") + COUNTIF(E24:AI24, "v") + COUNTIF(E24:AI24, "V")) + COUNTIF(E24:AI24, "✗") + COUNTIF(E24:AI24, "x") + COUNTIF(E24:AI24, "X"))&gt;0, (COUNTIF(E24:AI24, "✓") + COUNTIF(E24:AI24, "✔") + COUNTIF(E24:AI24, "v") + COUNTIF(E24:AI24, "V")) &amp; "/" &amp; ((COUNTIF(E24:AI24, "✓") + COUNTIF(E24:AI24, "✔") + COUNTIF(E24:AI24, "v") + COUNTIF(E24:AI24, "V")) + COUNTIF(E24:AI24, "✗") + COUNTIF(E24:AI24, "x") + COUNTIF(E24:AI24, "X")), "")))</f>
        <v/>
      </c>
      <c r="AL24" s="110">
        <f>IF(ISBLANK(B24), "", IF(AJ24&gt;=0.85, "🔥 Mastered", IF(AJ24&gt;=0.7, "⚡ Consistent", "⚠️ Needs Focus")))</f>
        <v/>
      </c>
      <c r="AM24">
        <f>COUNTIF(E24:AI24, "✓")</f>
        <v/>
      </c>
    </row>
    <row r="25" ht="14.5" customHeight="1">
      <c r="A25" s="104" t="n">
        <v>8</v>
      </c>
      <c r="B25" s="105" t="n"/>
      <c r="C25" s="106" t="n"/>
      <c r="D25" s="106" t="n"/>
      <c r="E25" s="108" t="n"/>
      <c r="F25" s="107" t="n"/>
      <c r="G25" s="107" t="n"/>
      <c r="H25" s="107" t="n"/>
      <c r="I25" s="107" t="n"/>
      <c r="J25" s="107" t="n"/>
      <c r="K25" s="107" t="n"/>
      <c r="L25" s="108" t="n"/>
      <c r="M25" s="107" t="n"/>
      <c r="N25" s="107" t="n"/>
      <c r="O25" s="107" t="n"/>
      <c r="P25" s="107" t="n"/>
      <c r="Q25" s="107" t="n"/>
      <c r="R25" s="107" t="n"/>
      <c r="S25" s="108" t="n"/>
      <c r="T25" s="107" t="n"/>
      <c r="U25" s="107" t="n"/>
      <c r="V25" s="107" t="n"/>
      <c r="W25" s="107" t="n"/>
      <c r="X25" s="107" t="n"/>
      <c r="Y25" s="107" t="n"/>
      <c r="Z25" s="108" t="n"/>
      <c r="AA25" s="107" t="n"/>
      <c r="AB25" s="107" t="n"/>
      <c r="AC25" s="107" t="n"/>
      <c r="AD25" s="107" t="n"/>
      <c r="AE25" s="107" t="n"/>
      <c r="AF25" s="107" t="n"/>
      <c r="AG25" s="108" t="n"/>
      <c r="AH25" s="107" t="n"/>
      <c r="AI25" s="107" t="n"/>
      <c r="AJ25" s="109">
        <f>IF(ISBLANK(B25), "", IF(ISNUMBER(D25), IF(D25&gt;0, (COUNTIF(E25:AI25, "✓") + COUNTIF(E25:AI25, "✔") + COUNTIF(E25:AI25, "v") + COUNTIF(E25:AI25, "V"))/D25, 0), IF(((COUNTIF(E25:AI25, "✓") + COUNTIF(E25:AI25, "✔") + COUNTIF(E25:AI25, "v") + COUNTIF(E25:AI25, "V")) + COUNTIF(E25:AI25, "✗") + COUNTIF(E25:AI25, "x") + COUNTIF(E25:AI25, "X"))&gt;0, (COUNTIF(E25:AI25, "✓") + COUNTIF(E25:AI25, "✔") + COUNTIF(E25:AI25, "v") + COUNTIF(E25:AI25, "V"))/((COUNTIF(E25:AI25, "✓") + COUNTIF(E25:AI25, "✔") + COUNTIF(E25:AI25, "v") + COUNTIF(E25:AI25, "V")) + COUNTIF(E25:AI25, "✗") + COUNTIF(E25:AI25, "x") + COUNTIF(E25:AI25, "X")), "")))</f>
        <v/>
      </c>
      <c r="AK25" s="110">
        <f>IF(ISBLANK(B25), "", IF(ISNUMBER(D25), IF(D25&gt;0, (COUNTIF(E25:AI25, "✓") + COUNTIF(E25:AI25, "✔") + COUNTIF(E25:AI25, "v") + COUNTIF(E25:AI25, "V")) &amp; "/" &amp; D25, (COUNTIF(E25:AI25, "✓") + COUNTIF(E25:AI25, "✔") + COUNTIF(E25:AI25, "v") + COUNTIF(E25:AI25, "V")) &amp; "/0"), IF(((COUNTIF(E25:AI25, "✓") + COUNTIF(E25:AI25, "✔") + COUNTIF(E25:AI25, "v") + COUNTIF(E25:AI25, "V")) + COUNTIF(E25:AI25, "✗") + COUNTIF(E25:AI25, "x") + COUNTIF(E25:AI25, "X"))&gt;0, (COUNTIF(E25:AI25, "✓") + COUNTIF(E25:AI25, "✔") + COUNTIF(E25:AI25, "v") + COUNTIF(E25:AI25, "V")) &amp; "/" &amp; ((COUNTIF(E25:AI25, "✓") + COUNTIF(E25:AI25, "✔") + COUNTIF(E25:AI25, "v") + COUNTIF(E25:AI25, "V")) + COUNTIF(E25:AI25, "✗") + COUNTIF(E25:AI25, "x") + COUNTIF(E25:AI25, "X")), "")))</f>
        <v/>
      </c>
      <c r="AL25" s="110">
        <f>IF(ISBLANK(B25), "", IF(AJ25&gt;=0.85, "🔥 Mastered", IF(AJ25&gt;=0.7, "⚡ Consistent", "⚠️ Needs Focus")))</f>
        <v/>
      </c>
      <c r="AM25">
        <f>COUNTIF(E25:AI25, "✓")</f>
        <v/>
      </c>
    </row>
    <row r="26" ht="14.5" customHeight="1">
      <c r="A26" s="111" t="n">
        <v>9</v>
      </c>
      <c r="B26" s="112" t="n"/>
      <c r="C26" s="113" t="n"/>
      <c r="D26" s="113" t="n"/>
      <c r="E26" s="115" t="n"/>
      <c r="F26" s="114" t="n"/>
      <c r="G26" s="114" t="n"/>
      <c r="H26" s="114" t="n"/>
      <c r="I26" s="114" t="n"/>
      <c r="J26" s="114" t="n"/>
      <c r="K26" s="114" t="n"/>
      <c r="L26" s="115" t="n"/>
      <c r="M26" s="114" t="n"/>
      <c r="N26" s="114" t="n"/>
      <c r="O26" s="114" t="n"/>
      <c r="P26" s="114" t="n"/>
      <c r="Q26" s="114" t="n"/>
      <c r="R26" s="114" t="n"/>
      <c r="S26" s="115" t="n"/>
      <c r="T26" s="114" t="n"/>
      <c r="U26" s="114" t="n"/>
      <c r="V26" s="114" t="n"/>
      <c r="W26" s="114" t="n"/>
      <c r="X26" s="114" t="n"/>
      <c r="Y26" s="114" t="n"/>
      <c r="Z26" s="115" t="n"/>
      <c r="AA26" s="114" t="n"/>
      <c r="AB26" s="114" t="n"/>
      <c r="AC26" s="114" t="n"/>
      <c r="AD26" s="114" t="n"/>
      <c r="AE26" s="114" t="n"/>
      <c r="AF26" s="114" t="n"/>
      <c r="AG26" s="115" t="n"/>
      <c r="AH26" s="114" t="n"/>
      <c r="AI26" s="114" t="n"/>
      <c r="AJ26" s="116">
        <f>IF(ISBLANK(B26), "", IF(ISNUMBER(D26), IF(D26&gt;0, (COUNTIF(E26:AI26, "✓") + COUNTIF(E26:AI26, "✔") + COUNTIF(E26:AI26, "v") + COUNTIF(E26:AI26, "V"))/D26, 0), IF(((COUNTIF(E26:AI26, "✓") + COUNTIF(E26:AI26, "✔") + COUNTIF(E26:AI26, "v") + COUNTIF(E26:AI26, "V")) + COUNTIF(E26:AI26, "✗") + COUNTIF(E26:AI26, "x") + COUNTIF(E26:AI26, "X"))&gt;0, (COUNTIF(E26:AI26, "✓") + COUNTIF(E26:AI26, "✔") + COUNTIF(E26:AI26, "v") + COUNTIF(E26:AI26, "V"))/((COUNTIF(E26:AI26, "✓") + COUNTIF(E26:AI26, "✔") + COUNTIF(E26:AI26, "v") + COUNTIF(E26:AI26, "V")) + COUNTIF(E26:AI26, "✗") + COUNTIF(E26:AI26, "x") + COUNTIF(E26:AI26, "X")), "")))</f>
        <v/>
      </c>
      <c r="AK26" s="117">
        <f>IF(ISBLANK(B26), "", IF(ISNUMBER(D26), IF(D26&gt;0, (COUNTIF(E26:AI26, "✓") + COUNTIF(E26:AI26, "✔") + COUNTIF(E26:AI26, "v") + COUNTIF(E26:AI26, "V")) &amp; "/" &amp; D26, (COUNTIF(E26:AI26, "✓") + COUNTIF(E26:AI26, "✔") + COUNTIF(E26:AI26, "v") + COUNTIF(E26:AI26, "V")) &amp; "/0"), IF(((COUNTIF(E26:AI26, "✓") + COUNTIF(E26:AI26, "✔") + COUNTIF(E26:AI26, "v") + COUNTIF(E26:AI26, "V")) + COUNTIF(E26:AI26, "✗") + COUNTIF(E26:AI26, "x") + COUNTIF(E26:AI26, "X"))&gt;0, (COUNTIF(E26:AI26, "✓") + COUNTIF(E26:AI26, "✔") + COUNTIF(E26:AI26, "v") + COUNTIF(E26:AI26, "V")) &amp; "/" &amp; ((COUNTIF(E26:AI26, "✓") + COUNTIF(E26:AI26, "✔") + COUNTIF(E26:AI26, "v") + COUNTIF(E26:AI26, "V")) + COUNTIF(E26:AI26, "✗") + COUNTIF(E26:AI26, "x") + COUNTIF(E26:AI26, "X")), "")))</f>
        <v/>
      </c>
      <c r="AL26" s="117">
        <f>IF(ISBLANK(B26), "", IF(AJ26&gt;=0.85, "🔥 Mastered", IF(AJ26&gt;=0.7, "⚡ Consistent", "⚠️ Needs Focus")))</f>
        <v/>
      </c>
      <c r="AM26">
        <f>COUNTIF(E26:AI26, "✓")</f>
        <v/>
      </c>
    </row>
    <row r="27" ht="14.5" customHeight="1">
      <c r="A27" s="111" t="n">
        <v>10</v>
      </c>
      <c r="B27" s="112" t="n"/>
      <c r="C27" s="113" t="n"/>
      <c r="D27" s="113" t="n"/>
      <c r="E27" s="115" t="n"/>
      <c r="F27" s="114" t="n"/>
      <c r="G27" s="114" t="n"/>
      <c r="H27" s="114" t="n"/>
      <c r="I27" s="114" t="n"/>
      <c r="J27" s="114" t="n"/>
      <c r="K27" s="114" t="n"/>
      <c r="L27" s="115" t="n"/>
      <c r="M27" s="114" t="n"/>
      <c r="N27" s="114" t="n"/>
      <c r="O27" s="114" t="n"/>
      <c r="P27" s="114" t="n"/>
      <c r="Q27" s="114" t="n"/>
      <c r="R27" s="114" t="n"/>
      <c r="S27" s="115" t="n"/>
      <c r="T27" s="114" t="n"/>
      <c r="U27" s="114" t="n"/>
      <c r="V27" s="114" t="n"/>
      <c r="W27" s="114" t="n"/>
      <c r="X27" s="114" t="n"/>
      <c r="Y27" s="114" t="n"/>
      <c r="Z27" s="115" t="n"/>
      <c r="AA27" s="114" t="n"/>
      <c r="AB27" s="114" t="n"/>
      <c r="AC27" s="114" t="n"/>
      <c r="AD27" s="114" t="n"/>
      <c r="AE27" s="114" t="n"/>
      <c r="AF27" s="114" t="n"/>
      <c r="AG27" s="115" t="n"/>
      <c r="AH27" s="114" t="n"/>
      <c r="AI27" s="114" t="n"/>
      <c r="AJ27" s="116">
        <f>IF(ISBLANK(B27), "", IF(ISNUMBER(D27), IF(D27&gt;0, (COUNTIF(E27:AI27, "✓") + COUNTIF(E27:AI27, "✔") + COUNTIF(E27:AI27, "v") + COUNTIF(E27:AI27, "V"))/D27, 0), IF(((COUNTIF(E27:AI27, "✓") + COUNTIF(E27:AI27, "✔") + COUNTIF(E27:AI27, "v") + COUNTIF(E27:AI27, "V")) + COUNTIF(E27:AI27, "✗") + COUNTIF(E27:AI27, "x") + COUNTIF(E27:AI27, "X"))&gt;0, (COUNTIF(E27:AI27, "✓") + COUNTIF(E27:AI27, "✔") + COUNTIF(E27:AI27, "v") + COUNTIF(E27:AI27, "V"))/((COUNTIF(E27:AI27, "✓") + COUNTIF(E27:AI27, "✔") + COUNTIF(E27:AI27, "v") + COUNTIF(E27:AI27, "V")) + COUNTIF(E27:AI27, "✗") + COUNTIF(E27:AI27, "x") + COUNTIF(E27:AI27, "X")), "")))</f>
        <v/>
      </c>
      <c r="AK27" s="117">
        <f>IF(ISBLANK(B27), "", IF(ISNUMBER(D27), IF(D27&gt;0, (COUNTIF(E27:AI27, "✓") + COUNTIF(E27:AI27, "✔") + COUNTIF(E27:AI27, "v") + COUNTIF(E27:AI27, "V")) &amp; "/" &amp; D27, (COUNTIF(E27:AI27, "✓") + COUNTIF(E27:AI27, "✔") + COUNTIF(E27:AI27, "v") + COUNTIF(E27:AI27, "V")) &amp; "/0"), IF(((COUNTIF(E27:AI27, "✓") + COUNTIF(E27:AI27, "✔") + COUNTIF(E27:AI27, "v") + COUNTIF(E27:AI27, "V")) + COUNTIF(E27:AI27, "✗") + COUNTIF(E27:AI27, "x") + COUNTIF(E27:AI27, "X"))&gt;0, (COUNTIF(E27:AI27, "✓") + COUNTIF(E27:AI27, "✔") + COUNTIF(E27:AI27, "v") + COUNTIF(E27:AI27, "V")) &amp; "/" &amp; ((COUNTIF(E27:AI27, "✓") + COUNTIF(E27:AI27, "✔") + COUNTIF(E27:AI27, "v") + COUNTIF(E27:AI27, "V")) + COUNTIF(E27:AI27, "✗") + COUNTIF(E27:AI27, "x") + COUNTIF(E27:AI27, "X")), "")))</f>
        <v/>
      </c>
      <c r="AL27" s="117">
        <f>IF(ISBLANK(B27), "", IF(AJ27&gt;=0.85, "🔥 Mastered", IF(AJ27&gt;=0.7, "⚡ Consistent", "⚠️ Needs Focus")))</f>
        <v/>
      </c>
      <c r="AM27">
        <f>COUNTIF(E27:AI27, "✓")</f>
        <v/>
      </c>
    </row>
    <row r="28" ht="14.5" customHeight="1">
      <c r="A28" s="111" t="n">
        <v>11</v>
      </c>
      <c r="B28" s="112" t="n"/>
      <c r="C28" s="113" t="n"/>
      <c r="D28" s="113" t="n"/>
      <c r="E28" s="115" t="n"/>
      <c r="F28" s="114" t="n"/>
      <c r="G28" s="114" t="n"/>
      <c r="H28" s="114" t="n"/>
      <c r="I28" s="114" t="n"/>
      <c r="J28" s="114" t="n"/>
      <c r="K28" s="114" t="n"/>
      <c r="L28" s="115" t="n"/>
      <c r="M28" s="114" t="n"/>
      <c r="N28" s="114" t="n"/>
      <c r="O28" s="114" t="n"/>
      <c r="P28" s="114" t="n"/>
      <c r="Q28" s="114" t="n"/>
      <c r="R28" s="114" t="n"/>
      <c r="S28" s="115" t="n"/>
      <c r="T28" s="114" t="n"/>
      <c r="U28" s="114" t="n"/>
      <c r="V28" s="114" t="n"/>
      <c r="W28" s="114" t="n"/>
      <c r="X28" s="114" t="n"/>
      <c r="Y28" s="114" t="n"/>
      <c r="Z28" s="115" t="n"/>
      <c r="AA28" s="114" t="n"/>
      <c r="AB28" s="114" t="n"/>
      <c r="AC28" s="114" t="n"/>
      <c r="AD28" s="114" t="n"/>
      <c r="AE28" s="114" t="n"/>
      <c r="AF28" s="114" t="n"/>
      <c r="AG28" s="115" t="n"/>
      <c r="AH28" s="114" t="n"/>
      <c r="AI28" s="114" t="n"/>
      <c r="AJ28" s="116">
        <f>IF(ISBLANK(B28), "", IF(ISNUMBER(D28), IF(D28&gt;0, (COUNTIF(E28:AI28, "✓") + COUNTIF(E28:AI28, "✔") + COUNTIF(E28:AI28, "v") + COUNTIF(E28:AI28, "V"))/D28, 0), IF(((COUNTIF(E28:AI28, "✓") + COUNTIF(E28:AI28, "✔") + COUNTIF(E28:AI28, "v") + COUNTIF(E28:AI28, "V")) + COUNTIF(E28:AI28, "✗") + COUNTIF(E28:AI28, "x") + COUNTIF(E28:AI28, "X"))&gt;0, (COUNTIF(E28:AI28, "✓") + COUNTIF(E28:AI28, "✔") + COUNTIF(E28:AI28, "v") + COUNTIF(E28:AI28, "V"))/((COUNTIF(E28:AI28, "✓") + COUNTIF(E28:AI28, "✔") + COUNTIF(E28:AI28, "v") + COUNTIF(E28:AI28, "V")) + COUNTIF(E28:AI28, "✗") + COUNTIF(E28:AI28, "x") + COUNTIF(E28:AI28, "X")), "")))</f>
        <v/>
      </c>
      <c r="AK28" s="117">
        <f>IF(ISBLANK(B28), "", IF(ISNUMBER(D28), IF(D28&gt;0, (COUNTIF(E28:AI28, "✓") + COUNTIF(E28:AI28, "✔") + COUNTIF(E28:AI28, "v") + COUNTIF(E28:AI28, "V")) &amp; "/" &amp; D28, (COUNTIF(E28:AI28, "✓") + COUNTIF(E28:AI28, "✔") + COUNTIF(E28:AI28, "v") + COUNTIF(E28:AI28, "V")) &amp; "/0"), IF(((COUNTIF(E28:AI28, "✓") + COUNTIF(E28:AI28, "✔") + COUNTIF(E28:AI28, "v") + COUNTIF(E28:AI28, "V")) + COUNTIF(E28:AI28, "✗") + COUNTIF(E28:AI28, "x") + COUNTIF(E28:AI28, "X"))&gt;0, (COUNTIF(E28:AI28, "✓") + COUNTIF(E28:AI28, "✔") + COUNTIF(E28:AI28, "v") + COUNTIF(E28:AI28, "V")) &amp; "/" &amp; ((COUNTIF(E28:AI28, "✓") + COUNTIF(E28:AI28, "✔") + COUNTIF(E28:AI28, "v") + COUNTIF(E28:AI28, "V")) + COUNTIF(E28:AI28, "✗") + COUNTIF(E28:AI28, "x") + COUNTIF(E28:AI28, "X")), "")))</f>
        <v/>
      </c>
      <c r="AL28" s="117">
        <f>IF(ISBLANK(B28), "", IF(AJ28&gt;=0.85, "🔥 Mastered", IF(AJ28&gt;=0.7, "⚡ Consistent", "⚠️ Needs Focus")))</f>
        <v/>
      </c>
      <c r="AM28">
        <f>COUNTIF(E28:AI28, "✓")</f>
        <v/>
      </c>
    </row>
    <row r="29" ht="14.5" customHeight="1">
      <c r="A29" s="111" t="n">
        <v>12</v>
      </c>
      <c r="B29" s="112" t="n"/>
      <c r="C29" s="113" t="n"/>
      <c r="D29" s="113" t="n"/>
      <c r="E29" s="115" t="n"/>
      <c r="F29" s="114" t="n"/>
      <c r="G29" s="114" t="n"/>
      <c r="H29" s="114" t="n"/>
      <c r="I29" s="114" t="n"/>
      <c r="J29" s="114" t="n"/>
      <c r="K29" s="114" t="n"/>
      <c r="L29" s="115" t="n"/>
      <c r="M29" s="114" t="n"/>
      <c r="N29" s="114" t="n"/>
      <c r="O29" s="114" t="n"/>
      <c r="P29" s="114" t="n"/>
      <c r="Q29" s="114" t="n"/>
      <c r="R29" s="114" t="n"/>
      <c r="S29" s="115" t="n"/>
      <c r="T29" s="114" t="n"/>
      <c r="U29" s="114" t="n"/>
      <c r="V29" s="114" t="n"/>
      <c r="W29" s="114" t="n"/>
      <c r="X29" s="114" t="n"/>
      <c r="Y29" s="114" t="n"/>
      <c r="Z29" s="115" t="n"/>
      <c r="AA29" s="114" t="n"/>
      <c r="AB29" s="114" t="n"/>
      <c r="AC29" s="114" t="n"/>
      <c r="AD29" s="114" t="n"/>
      <c r="AE29" s="114" t="n"/>
      <c r="AF29" s="114" t="n"/>
      <c r="AG29" s="115" t="n"/>
      <c r="AH29" s="114" t="n"/>
      <c r="AI29" s="114" t="n"/>
      <c r="AJ29" s="116">
        <f>IF(ISBLANK(B29), "", IF(ISNUMBER(D29), IF(D29&gt;0, (COUNTIF(E29:AI29, "✓") + COUNTIF(E29:AI29, "✔") + COUNTIF(E29:AI29, "v") + COUNTIF(E29:AI29, "V"))/D29, 0), IF(((COUNTIF(E29:AI29, "✓") + COUNTIF(E29:AI29, "✔") + COUNTIF(E29:AI29, "v") + COUNTIF(E29:AI29, "V")) + COUNTIF(E29:AI29, "✗") + COUNTIF(E29:AI29, "x") + COUNTIF(E29:AI29, "X"))&gt;0, (COUNTIF(E29:AI29, "✓") + COUNTIF(E29:AI29, "✔") + COUNTIF(E29:AI29, "v") + COUNTIF(E29:AI29, "V"))/((COUNTIF(E29:AI29, "✓") + COUNTIF(E29:AI29, "✔") + COUNTIF(E29:AI29, "v") + COUNTIF(E29:AI29, "V")) + COUNTIF(E29:AI29, "✗") + COUNTIF(E29:AI29, "x") + COUNTIF(E29:AI29, "X")), "")))</f>
        <v/>
      </c>
      <c r="AK29" s="117">
        <f>IF(ISBLANK(B29), "", IF(ISNUMBER(D29), IF(D29&gt;0, (COUNTIF(E29:AI29, "✓") + COUNTIF(E29:AI29, "✔") + COUNTIF(E29:AI29, "v") + COUNTIF(E29:AI29, "V")) &amp; "/" &amp; D29, (COUNTIF(E29:AI29, "✓") + COUNTIF(E29:AI29, "✔") + COUNTIF(E29:AI29, "v") + COUNTIF(E29:AI29, "V")) &amp; "/0"), IF(((COUNTIF(E29:AI29, "✓") + COUNTIF(E29:AI29, "✔") + COUNTIF(E29:AI29, "v") + COUNTIF(E29:AI29, "V")) + COUNTIF(E29:AI29, "✗") + COUNTIF(E29:AI29, "x") + COUNTIF(E29:AI29, "X"))&gt;0, (COUNTIF(E29:AI29, "✓") + COUNTIF(E29:AI29, "✔") + COUNTIF(E29:AI29, "v") + COUNTIF(E29:AI29, "V")) &amp; "/" &amp; ((COUNTIF(E29:AI29, "✓") + COUNTIF(E29:AI29, "✔") + COUNTIF(E29:AI29, "v") + COUNTIF(E29:AI29, "V")) + COUNTIF(E29:AI29, "✗") + COUNTIF(E29:AI29, "x") + COUNTIF(E29:AI29, "X")), "")))</f>
        <v/>
      </c>
      <c r="AL29" s="117">
        <f>IF(ISBLANK(B29), "", IF(AJ29&gt;=0.85, "🔥 Mastered", IF(AJ29&gt;=0.7, "⚡ Consistent", "⚠️ Needs Focus")))</f>
        <v/>
      </c>
      <c r="AM29">
        <f>COUNTIF(E29:AI29, "✓")</f>
        <v/>
      </c>
    </row>
    <row r="30" ht="14.5" customHeight="1">
      <c r="A30" s="118" t="n">
        <v>13</v>
      </c>
      <c r="B30" s="119" t="n"/>
      <c r="C30" s="120" t="n"/>
      <c r="D30" s="120" t="n"/>
      <c r="E30" s="122" t="n"/>
      <c r="F30" s="121" t="n"/>
      <c r="G30" s="121" t="n"/>
      <c r="H30" s="121" t="n"/>
      <c r="I30" s="121" t="n"/>
      <c r="J30" s="121" t="n"/>
      <c r="K30" s="121" t="n"/>
      <c r="L30" s="122" t="n"/>
      <c r="M30" s="121" t="n"/>
      <c r="N30" s="121" t="n"/>
      <c r="O30" s="121" t="n"/>
      <c r="P30" s="121" t="n"/>
      <c r="Q30" s="121" t="n"/>
      <c r="R30" s="121" t="n"/>
      <c r="S30" s="122" t="n"/>
      <c r="T30" s="121" t="n"/>
      <c r="U30" s="121" t="n"/>
      <c r="V30" s="121" t="n"/>
      <c r="W30" s="121" t="n"/>
      <c r="X30" s="121" t="n"/>
      <c r="Y30" s="121" t="n"/>
      <c r="Z30" s="122" t="n"/>
      <c r="AA30" s="121" t="n"/>
      <c r="AB30" s="121" t="n"/>
      <c r="AC30" s="121" t="n"/>
      <c r="AD30" s="121" t="n"/>
      <c r="AE30" s="121" t="n"/>
      <c r="AF30" s="121" t="n"/>
      <c r="AG30" s="122" t="n"/>
      <c r="AH30" s="121" t="n"/>
      <c r="AI30" s="121" t="n"/>
      <c r="AJ30" s="123">
        <f>IF(ISBLANK(B30), "", IF(ISNUMBER(D30), IF(D30&gt;0, (COUNTIF(E30:AI30, "✓") + COUNTIF(E30:AI30, "✔") + COUNTIF(E30:AI30, "v") + COUNTIF(E30:AI30, "V"))/D30, 0), IF(((COUNTIF(E30:AI30, "✓") + COUNTIF(E30:AI30, "✔") + COUNTIF(E30:AI30, "v") + COUNTIF(E30:AI30, "V")) + COUNTIF(E30:AI30, "✗") + COUNTIF(E30:AI30, "x") + COUNTIF(E30:AI30, "X"))&gt;0, (COUNTIF(E30:AI30, "✓") + COUNTIF(E30:AI30, "✔") + COUNTIF(E30:AI30, "v") + COUNTIF(E30:AI30, "V"))/((COUNTIF(E30:AI30, "✓") + COUNTIF(E30:AI30, "✔") + COUNTIF(E30:AI30, "v") + COUNTIF(E30:AI30, "V")) + COUNTIF(E30:AI30, "✗") + COUNTIF(E30:AI30, "x") + COUNTIF(E30:AI30, "X")), "")))</f>
        <v/>
      </c>
      <c r="AK30" s="124">
        <f>IF(ISBLANK(B30), "", IF(ISNUMBER(D30), IF(D30&gt;0, (COUNTIF(E30:AI30, "✓") + COUNTIF(E30:AI30, "✔") + COUNTIF(E30:AI30, "v") + COUNTIF(E30:AI30, "V")) &amp; "/" &amp; D30, (COUNTIF(E30:AI30, "✓") + COUNTIF(E30:AI30, "✔") + COUNTIF(E30:AI30, "v") + COUNTIF(E30:AI30, "V")) &amp; "/0"), IF(((COUNTIF(E30:AI30, "✓") + COUNTIF(E30:AI30, "✔") + COUNTIF(E30:AI30, "v") + COUNTIF(E30:AI30, "V")) + COUNTIF(E30:AI30, "✗") + COUNTIF(E30:AI30, "x") + COUNTIF(E30:AI30, "X"))&gt;0, (COUNTIF(E30:AI30, "✓") + COUNTIF(E30:AI30, "✔") + COUNTIF(E30:AI30, "v") + COUNTIF(E30:AI30, "V")) &amp; "/" &amp; ((COUNTIF(E30:AI30, "✓") + COUNTIF(E30:AI30, "✔") + COUNTIF(E30:AI30, "v") + COUNTIF(E30:AI30, "V")) + COUNTIF(E30:AI30, "✗") + COUNTIF(E30:AI30, "x") + COUNTIF(E30:AI30, "X")), "")))</f>
        <v/>
      </c>
      <c r="AL30" s="124">
        <f>IF(ISBLANK(B30), "", IF(AJ30&gt;=0.85, "🔥 Mastered", IF(AJ30&gt;=0.7, "⚡ Consistent", "⚠️ Needs Focus")))</f>
        <v/>
      </c>
      <c r="AM30">
        <f>COUNTIF(E30:AI30, "✓")</f>
        <v/>
      </c>
    </row>
    <row r="31" ht="14.5" customHeight="1">
      <c r="A31" s="118" t="n">
        <v>14</v>
      </c>
      <c r="B31" s="119" t="n"/>
      <c r="C31" s="120" t="n"/>
      <c r="D31" s="120" t="n"/>
      <c r="E31" s="122" t="n"/>
      <c r="F31" s="121" t="n"/>
      <c r="G31" s="121" t="n"/>
      <c r="H31" s="121" t="n"/>
      <c r="I31" s="121" t="n"/>
      <c r="J31" s="121" t="n"/>
      <c r="K31" s="121" t="n"/>
      <c r="L31" s="122" t="n"/>
      <c r="M31" s="121" t="n"/>
      <c r="N31" s="121" t="n"/>
      <c r="O31" s="121" t="n"/>
      <c r="P31" s="121" t="n"/>
      <c r="Q31" s="121" t="n"/>
      <c r="R31" s="121" t="n"/>
      <c r="S31" s="122" t="n"/>
      <c r="T31" s="121" t="n"/>
      <c r="U31" s="121" t="n"/>
      <c r="V31" s="121" t="n"/>
      <c r="W31" s="121" t="n"/>
      <c r="X31" s="121" t="n"/>
      <c r="Y31" s="121" t="n"/>
      <c r="Z31" s="122" t="n"/>
      <c r="AA31" s="121" t="n"/>
      <c r="AB31" s="121" t="n"/>
      <c r="AC31" s="121" t="n"/>
      <c r="AD31" s="121" t="n"/>
      <c r="AE31" s="121" t="n"/>
      <c r="AF31" s="121" t="n"/>
      <c r="AG31" s="122" t="n"/>
      <c r="AH31" s="121" t="n"/>
      <c r="AI31" s="121" t="n"/>
      <c r="AJ31" s="123">
        <f>IF(ISBLANK(B31), "", IF(ISNUMBER(D31), IF(D31&gt;0, (COUNTIF(E31:AI31, "✓") + COUNTIF(E31:AI31, "✔") + COUNTIF(E31:AI31, "v") + COUNTIF(E31:AI31, "V"))/D31, 0), IF(((COUNTIF(E31:AI31, "✓") + COUNTIF(E31:AI31, "✔") + COUNTIF(E31:AI31, "v") + COUNTIF(E31:AI31, "V")) + COUNTIF(E31:AI31, "✗") + COUNTIF(E31:AI31, "x") + COUNTIF(E31:AI31, "X"))&gt;0, (COUNTIF(E31:AI31, "✓") + COUNTIF(E31:AI31, "✔") + COUNTIF(E31:AI31, "v") + COUNTIF(E31:AI31, "V"))/((COUNTIF(E31:AI31, "✓") + COUNTIF(E31:AI31, "✔") + COUNTIF(E31:AI31, "v") + COUNTIF(E31:AI31, "V")) + COUNTIF(E31:AI31, "✗") + COUNTIF(E31:AI31, "x") + COUNTIF(E31:AI31, "X")), "")))</f>
        <v/>
      </c>
      <c r="AK31" s="124">
        <f>IF(ISBLANK(B31), "", IF(ISNUMBER(D31), IF(D31&gt;0, (COUNTIF(E31:AI31, "✓") + COUNTIF(E31:AI31, "✔") + COUNTIF(E31:AI31, "v") + COUNTIF(E31:AI31, "V")) &amp; "/" &amp; D31, (COUNTIF(E31:AI31, "✓") + COUNTIF(E31:AI31, "✔") + COUNTIF(E31:AI31, "v") + COUNTIF(E31:AI31, "V")) &amp; "/0"), IF(((COUNTIF(E31:AI31, "✓") + COUNTIF(E31:AI31, "✔") + COUNTIF(E31:AI31, "v") + COUNTIF(E31:AI31, "V")) + COUNTIF(E31:AI31, "✗") + COUNTIF(E31:AI31, "x") + COUNTIF(E31:AI31, "X"))&gt;0, (COUNTIF(E31:AI31, "✓") + COUNTIF(E31:AI31, "✔") + COUNTIF(E31:AI31, "v") + COUNTIF(E31:AI31, "V")) &amp; "/" &amp; ((COUNTIF(E31:AI31, "✓") + COUNTIF(E31:AI31, "✔") + COUNTIF(E31:AI31, "v") + COUNTIF(E31:AI31, "V")) + COUNTIF(E31:AI31, "✗") + COUNTIF(E31:AI31, "x") + COUNTIF(E31:AI31, "X")), "")))</f>
        <v/>
      </c>
      <c r="AL31" s="124">
        <f>IF(ISBLANK(B31), "", IF(AJ31&gt;=0.85, "🔥 Mastered", IF(AJ31&gt;=0.7, "⚡ Consistent", "⚠️ Needs Focus")))</f>
        <v/>
      </c>
      <c r="AM31">
        <f>COUNTIF(E31:AI31, "✓")</f>
        <v/>
      </c>
    </row>
    <row r="32" ht="14.5" customHeight="1">
      <c r="A32" s="118" t="n">
        <v>15</v>
      </c>
      <c r="B32" s="119" t="n"/>
      <c r="C32" s="120" t="n"/>
      <c r="D32" s="120" t="n"/>
      <c r="E32" s="122" t="n"/>
      <c r="F32" s="121" t="n"/>
      <c r="G32" s="121" t="n"/>
      <c r="H32" s="121" t="n"/>
      <c r="I32" s="121" t="n"/>
      <c r="J32" s="121" t="n"/>
      <c r="K32" s="121" t="n"/>
      <c r="L32" s="122" t="n"/>
      <c r="M32" s="121" t="n"/>
      <c r="N32" s="121" t="n"/>
      <c r="O32" s="121" t="n"/>
      <c r="P32" s="121" t="n"/>
      <c r="Q32" s="121" t="n"/>
      <c r="R32" s="121" t="n"/>
      <c r="S32" s="122" t="n"/>
      <c r="T32" s="121" t="n"/>
      <c r="U32" s="121" t="n"/>
      <c r="V32" s="121" t="n"/>
      <c r="W32" s="121" t="n"/>
      <c r="X32" s="121" t="n"/>
      <c r="Y32" s="121" t="n"/>
      <c r="Z32" s="122" t="n"/>
      <c r="AA32" s="121" t="n"/>
      <c r="AB32" s="121" t="n"/>
      <c r="AC32" s="121" t="n"/>
      <c r="AD32" s="121" t="n"/>
      <c r="AE32" s="121" t="n"/>
      <c r="AF32" s="121" t="n"/>
      <c r="AG32" s="122" t="n"/>
      <c r="AH32" s="121" t="n"/>
      <c r="AI32" s="121" t="n"/>
      <c r="AJ32" s="123">
        <f>IF(ISBLANK(B32), "", IF(ISNUMBER(D32), IF(D32&gt;0, (COUNTIF(E32:AI32, "✓") + COUNTIF(E32:AI32, "✔") + COUNTIF(E32:AI32, "v") + COUNTIF(E32:AI32, "V"))/D32, 0), IF(((COUNTIF(E32:AI32, "✓") + COUNTIF(E32:AI32, "✔") + COUNTIF(E32:AI32, "v") + COUNTIF(E32:AI32, "V")) + COUNTIF(E32:AI32, "✗") + COUNTIF(E32:AI32, "x") + COUNTIF(E32:AI32, "X"))&gt;0, (COUNTIF(E32:AI32, "✓") + COUNTIF(E32:AI32, "✔") + COUNTIF(E32:AI32, "v") + COUNTIF(E32:AI32, "V"))/((COUNTIF(E32:AI32, "✓") + COUNTIF(E32:AI32, "✔") + COUNTIF(E32:AI32, "v") + COUNTIF(E32:AI32, "V")) + COUNTIF(E32:AI32, "✗") + COUNTIF(E32:AI32, "x") + COUNTIF(E32:AI32, "X")), "")))</f>
        <v/>
      </c>
      <c r="AK32" s="124">
        <f>IF(ISBLANK(B32), "", IF(ISNUMBER(D32), IF(D32&gt;0, (COUNTIF(E32:AI32, "✓") + COUNTIF(E32:AI32, "✔") + COUNTIF(E32:AI32, "v") + COUNTIF(E32:AI32, "V")) &amp; "/" &amp; D32, (COUNTIF(E32:AI32, "✓") + COUNTIF(E32:AI32, "✔") + COUNTIF(E32:AI32, "v") + COUNTIF(E32:AI32, "V")) &amp; "/0"), IF(((COUNTIF(E32:AI32, "✓") + COUNTIF(E32:AI32, "✔") + COUNTIF(E32:AI32, "v") + COUNTIF(E32:AI32, "V")) + COUNTIF(E32:AI32, "✗") + COUNTIF(E32:AI32, "x") + COUNTIF(E32:AI32, "X"))&gt;0, (COUNTIF(E32:AI32, "✓") + COUNTIF(E32:AI32, "✔") + COUNTIF(E32:AI32, "v") + COUNTIF(E32:AI32, "V")) &amp; "/" &amp; ((COUNTIF(E32:AI32, "✓") + COUNTIF(E32:AI32, "✔") + COUNTIF(E32:AI32, "v") + COUNTIF(E32:AI32, "V")) + COUNTIF(E32:AI32, "✗") + COUNTIF(E32:AI32, "x") + COUNTIF(E32:AI32, "X")), "")))</f>
        <v/>
      </c>
      <c r="AL32" s="124">
        <f>IF(ISBLANK(B32), "", IF(AJ32&gt;=0.85, "🔥 Mastered", IF(AJ32&gt;=0.7, "⚡ Consistent", "⚠️ Needs Focus")))</f>
        <v/>
      </c>
      <c r="AM32">
        <f>COUNTIF(E32:AI32, "✓")</f>
        <v/>
      </c>
    </row>
    <row r="33" ht="14.5" customHeight="1">
      <c r="A33" s="118" t="n">
        <v>16</v>
      </c>
      <c r="B33" s="119" t="n"/>
      <c r="C33" s="120" t="n"/>
      <c r="D33" s="120" t="n"/>
      <c r="E33" s="122" t="n"/>
      <c r="F33" s="121" t="n"/>
      <c r="G33" s="121" t="n"/>
      <c r="H33" s="121" t="n"/>
      <c r="I33" s="121" t="n"/>
      <c r="J33" s="121" t="n"/>
      <c r="K33" s="121" t="n"/>
      <c r="L33" s="122" t="n"/>
      <c r="M33" s="121" t="n"/>
      <c r="N33" s="121" t="n"/>
      <c r="O33" s="121" t="n"/>
      <c r="P33" s="121" t="n"/>
      <c r="Q33" s="121" t="n"/>
      <c r="R33" s="121" t="n"/>
      <c r="S33" s="122" t="n"/>
      <c r="T33" s="121" t="n"/>
      <c r="U33" s="121" t="n"/>
      <c r="V33" s="121" t="n"/>
      <c r="W33" s="121" t="n"/>
      <c r="X33" s="121" t="n"/>
      <c r="Y33" s="121" t="n"/>
      <c r="Z33" s="122" t="n"/>
      <c r="AA33" s="121" t="n"/>
      <c r="AB33" s="121" t="n"/>
      <c r="AC33" s="121" t="n"/>
      <c r="AD33" s="121" t="n"/>
      <c r="AE33" s="121" t="n"/>
      <c r="AF33" s="121" t="n"/>
      <c r="AG33" s="122" t="n"/>
      <c r="AH33" s="121" t="n"/>
      <c r="AI33" s="121" t="n"/>
      <c r="AJ33" s="123">
        <f>IF(ISBLANK(B33), "", IF(ISNUMBER(D33), IF(D33&gt;0, (COUNTIF(E33:AI33, "✓") + COUNTIF(E33:AI33, "✔") + COUNTIF(E33:AI33, "v") + COUNTIF(E33:AI33, "V"))/D33, 0), IF(((COUNTIF(E33:AI33, "✓") + COUNTIF(E33:AI33, "✔") + COUNTIF(E33:AI33, "v") + COUNTIF(E33:AI33, "V")) + COUNTIF(E33:AI33, "✗") + COUNTIF(E33:AI33, "x") + COUNTIF(E33:AI33, "X"))&gt;0, (COUNTIF(E33:AI33, "✓") + COUNTIF(E33:AI33, "✔") + COUNTIF(E33:AI33, "v") + COUNTIF(E33:AI33, "V"))/((COUNTIF(E33:AI33, "✓") + COUNTIF(E33:AI33, "✔") + COUNTIF(E33:AI33, "v") + COUNTIF(E33:AI33, "V")) + COUNTIF(E33:AI33, "✗") + COUNTIF(E33:AI33, "x") + COUNTIF(E33:AI33, "X")), "")))</f>
        <v/>
      </c>
      <c r="AK33" s="124">
        <f>IF(ISBLANK(B33), "", IF(ISNUMBER(D33), IF(D33&gt;0, (COUNTIF(E33:AI33, "✓") + COUNTIF(E33:AI33, "✔") + COUNTIF(E33:AI33, "v") + COUNTIF(E33:AI33, "V")) &amp; "/" &amp; D33, (COUNTIF(E33:AI33, "✓") + COUNTIF(E33:AI33, "✔") + COUNTIF(E33:AI33, "v") + COUNTIF(E33:AI33, "V")) &amp; "/0"), IF(((COUNTIF(E33:AI33, "✓") + COUNTIF(E33:AI33, "✔") + COUNTIF(E33:AI33, "v") + COUNTIF(E33:AI33, "V")) + COUNTIF(E33:AI33, "✗") + COUNTIF(E33:AI33, "x") + COUNTIF(E33:AI33, "X"))&gt;0, (COUNTIF(E33:AI33, "✓") + COUNTIF(E33:AI33, "✔") + COUNTIF(E33:AI33, "v") + COUNTIF(E33:AI33, "V")) &amp; "/" &amp; ((COUNTIF(E33:AI33, "✓") + COUNTIF(E33:AI33, "✔") + COUNTIF(E33:AI33, "v") + COUNTIF(E33:AI33, "V")) + COUNTIF(E33:AI33, "✗") + COUNTIF(E33:AI33, "x") + COUNTIF(E33:AI33, "X")), "")))</f>
        <v/>
      </c>
      <c r="AL33" s="124">
        <f>IF(ISBLANK(B33), "", IF(AJ33&gt;=0.85, "🔥 Mastered", IF(AJ33&gt;=0.7, "⚡ Consistent", "⚠️ Needs Focus")))</f>
        <v/>
      </c>
      <c r="AM33">
        <f>COUNTIF(E33:AI33, "✓")</f>
        <v/>
      </c>
    </row>
    <row r="34" ht="14.5" customHeight="1">
      <c r="A34" s="125" t="n">
        <v>17</v>
      </c>
      <c r="B34" s="126" t="n"/>
      <c r="C34" s="127" t="n"/>
      <c r="D34" s="127" t="n"/>
      <c r="E34" s="129" t="n"/>
      <c r="F34" s="128" t="n"/>
      <c r="G34" s="128" t="n"/>
      <c r="H34" s="128" t="n"/>
      <c r="I34" s="128" t="n"/>
      <c r="J34" s="128" t="n"/>
      <c r="K34" s="128" t="n"/>
      <c r="L34" s="129" t="n"/>
      <c r="M34" s="128" t="n"/>
      <c r="N34" s="128" t="n"/>
      <c r="O34" s="128" t="n"/>
      <c r="P34" s="128" t="n"/>
      <c r="Q34" s="128" t="n"/>
      <c r="R34" s="128" t="n"/>
      <c r="S34" s="129" t="n"/>
      <c r="T34" s="128" t="n"/>
      <c r="U34" s="128" t="n"/>
      <c r="V34" s="128" t="n"/>
      <c r="W34" s="128" t="n"/>
      <c r="X34" s="128" t="n"/>
      <c r="Y34" s="128" t="n"/>
      <c r="Z34" s="129" t="n"/>
      <c r="AA34" s="128" t="n"/>
      <c r="AB34" s="128" t="n"/>
      <c r="AC34" s="128" t="n"/>
      <c r="AD34" s="128" t="n"/>
      <c r="AE34" s="128" t="n"/>
      <c r="AF34" s="128" t="n"/>
      <c r="AG34" s="129" t="n"/>
      <c r="AH34" s="128" t="n"/>
      <c r="AI34" s="128" t="n"/>
      <c r="AJ34" s="130">
        <f>IF(ISBLANK(B34), "", IF(ISNUMBER(D34), IF(D34&gt;0, (COUNTIF(E34:AI34, "✓") + COUNTIF(E34:AI34, "✔") + COUNTIF(E34:AI34, "v") + COUNTIF(E34:AI34, "V"))/D34, 0), IF(((COUNTIF(E34:AI34, "✓") + COUNTIF(E34:AI34, "✔") + COUNTIF(E34:AI34, "v") + COUNTIF(E34:AI34, "V")) + COUNTIF(E34:AI34, "✗") + COUNTIF(E34:AI34, "x") + COUNTIF(E34:AI34, "X"))&gt;0, (COUNTIF(E34:AI34, "✓") + COUNTIF(E34:AI34, "✔") + COUNTIF(E34:AI34, "v") + COUNTIF(E34:AI34, "V"))/((COUNTIF(E34:AI34, "✓") + COUNTIF(E34:AI34, "✔") + COUNTIF(E34:AI34, "v") + COUNTIF(E34:AI34, "V")) + COUNTIF(E34:AI34, "✗") + COUNTIF(E34:AI34, "x") + COUNTIF(E34:AI34, "X")), "")))</f>
        <v/>
      </c>
      <c r="AK34" s="131">
        <f>IF(ISBLANK(B34), "", IF(ISNUMBER(D34), IF(D34&gt;0, (COUNTIF(E34:AI34, "✓") + COUNTIF(E34:AI34, "✔") + COUNTIF(E34:AI34, "v") + COUNTIF(E34:AI34, "V")) &amp; "/" &amp; D34, (COUNTIF(E34:AI34, "✓") + COUNTIF(E34:AI34, "✔") + COUNTIF(E34:AI34, "v") + COUNTIF(E34:AI34, "V")) &amp; "/0"), IF(((COUNTIF(E34:AI34, "✓") + COUNTIF(E34:AI34, "✔") + COUNTIF(E34:AI34, "v") + COUNTIF(E34:AI34, "V")) + COUNTIF(E34:AI34, "✗") + COUNTIF(E34:AI34, "x") + COUNTIF(E34:AI34, "X"))&gt;0, (COUNTIF(E34:AI34, "✓") + COUNTIF(E34:AI34, "✔") + COUNTIF(E34:AI34, "v") + COUNTIF(E34:AI34, "V")) &amp; "/" &amp; ((COUNTIF(E34:AI34, "✓") + COUNTIF(E34:AI34, "✔") + COUNTIF(E34:AI34, "v") + COUNTIF(E34:AI34, "V")) + COUNTIF(E34:AI34, "✗") + COUNTIF(E34:AI34, "x") + COUNTIF(E34:AI34, "X")), "")))</f>
        <v/>
      </c>
      <c r="AL34" s="131">
        <f>IF(ISBLANK(B34), "", IF(AJ34&gt;=0.85, "🔥 Mastered", IF(AJ34&gt;=0.7, "⚡ Consistent", "⚠️ Needs Focus")))</f>
        <v/>
      </c>
      <c r="AM34">
        <f>COUNTIF(E34:AI34, "✓")</f>
        <v/>
      </c>
    </row>
    <row r="35" ht="14.5" customHeight="1">
      <c r="A35" s="125" t="n">
        <v>18</v>
      </c>
      <c r="B35" s="126" t="n"/>
      <c r="C35" s="127" t="n"/>
      <c r="D35" s="127" t="n"/>
      <c r="E35" s="129" t="n"/>
      <c r="F35" s="128" t="n"/>
      <c r="G35" s="128" t="n"/>
      <c r="H35" s="128" t="n"/>
      <c r="I35" s="128" t="n"/>
      <c r="J35" s="128" t="n"/>
      <c r="K35" s="128" t="n"/>
      <c r="L35" s="129" t="n"/>
      <c r="M35" s="128" t="n"/>
      <c r="N35" s="128" t="n"/>
      <c r="O35" s="128" t="n"/>
      <c r="P35" s="128" t="n"/>
      <c r="Q35" s="128" t="n"/>
      <c r="R35" s="128" t="n"/>
      <c r="S35" s="129" t="n"/>
      <c r="T35" s="128" t="n"/>
      <c r="U35" s="128" t="n"/>
      <c r="V35" s="128" t="n"/>
      <c r="W35" s="128" t="n"/>
      <c r="X35" s="128" t="n"/>
      <c r="Y35" s="128" t="n"/>
      <c r="Z35" s="129" t="n"/>
      <c r="AA35" s="128" t="n"/>
      <c r="AB35" s="128" t="n"/>
      <c r="AC35" s="128" t="n"/>
      <c r="AD35" s="128" t="n"/>
      <c r="AE35" s="128" t="n"/>
      <c r="AF35" s="128" t="n"/>
      <c r="AG35" s="129" t="n"/>
      <c r="AH35" s="128" t="n"/>
      <c r="AI35" s="128" t="n"/>
      <c r="AJ35" s="130">
        <f>IF(ISBLANK(B35), "", IF(ISNUMBER(D35), IF(D35&gt;0, (COUNTIF(E35:AI35, "✓") + COUNTIF(E35:AI35, "✔") + COUNTIF(E35:AI35, "v") + COUNTIF(E35:AI35, "V"))/D35, 0), IF(((COUNTIF(E35:AI35, "✓") + COUNTIF(E35:AI35, "✔") + COUNTIF(E35:AI35, "v") + COUNTIF(E35:AI35, "V")) + COUNTIF(E35:AI35, "✗") + COUNTIF(E35:AI35, "x") + COUNTIF(E35:AI35, "X"))&gt;0, (COUNTIF(E35:AI35, "✓") + COUNTIF(E35:AI35, "✔") + COUNTIF(E35:AI35, "v") + COUNTIF(E35:AI35, "V"))/((COUNTIF(E35:AI35, "✓") + COUNTIF(E35:AI35, "✔") + COUNTIF(E35:AI35, "v") + COUNTIF(E35:AI35, "V")) + COUNTIF(E35:AI35, "✗") + COUNTIF(E35:AI35, "x") + COUNTIF(E35:AI35, "X")), "")))</f>
        <v/>
      </c>
      <c r="AK35" s="131">
        <f>IF(ISBLANK(B35), "", IF(ISNUMBER(D35), IF(D35&gt;0, (COUNTIF(E35:AI35, "✓") + COUNTIF(E35:AI35, "✔") + COUNTIF(E35:AI35, "v") + COUNTIF(E35:AI35, "V")) &amp; "/" &amp; D35, (COUNTIF(E35:AI35, "✓") + COUNTIF(E35:AI35, "✔") + COUNTIF(E35:AI35, "v") + COUNTIF(E35:AI35, "V")) &amp; "/0"), IF(((COUNTIF(E35:AI35, "✓") + COUNTIF(E35:AI35, "✔") + COUNTIF(E35:AI35, "v") + COUNTIF(E35:AI35, "V")) + COUNTIF(E35:AI35, "✗") + COUNTIF(E35:AI35, "x") + COUNTIF(E35:AI35, "X"))&gt;0, (COUNTIF(E35:AI35, "✓") + COUNTIF(E35:AI35, "✔") + COUNTIF(E35:AI35, "v") + COUNTIF(E35:AI35, "V")) &amp; "/" &amp; ((COUNTIF(E35:AI35, "✓") + COUNTIF(E35:AI35, "✔") + COUNTIF(E35:AI35, "v") + COUNTIF(E35:AI35, "V")) + COUNTIF(E35:AI35, "✗") + COUNTIF(E35:AI35, "x") + COUNTIF(E35:AI35, "X")), "")))</f>
        <v/>
      </c>
      <c r="AL35" s="131">
        <f>IF(ISBLANK(B35), "", IF(AJ35&gt;=0.85, "🔥 Mastered", IF(AJ35&gt;=0.7, "⚡ Consistent", "⚠️ Needs Focus")))</f>
        <v/>
      </c>
      <c r="AM35">
        <f>COUNTIF(E35:AI35, "✓")</f>
        <v/>
      </c>
    </row>
    <row r="36" ht="14.5" customHeight="1">
      <c r="A36" s="125" t="n">
        <v>19</v>
      </c>
      <c r="B36" s="126" t="n"/>
      <c r="C36" s="127" t="n"/>
      <c r="D36" s="127" t="n"/>
      <c r="E36" s="129" t="n"/>
      <c r="F36" s="128" t="n"/>
      <c r="G36" s="128" t="n"/>
      <c r="H36" s="128" t="n"/>
      <c r="I36" s="128" t="n"/>
      <c r="J36" s="128" t="n"/>
      <c r="K36" s="128" t="n"/>
      <c r="L36" s="129" t="n"/>
      <c r="M36" s="128" t="n"/>
      <c r="N36" s="128" t="n"/>
      <c r="O36" s="128" t="n"/>
      <c r="P36" s="128" t="n"/>
      <c r="Q36" s="128" t="n"/>
      <c r="R36" s="128" t="n"/>
      <c r="S36" s="129" t="n"/>
      <c r="T36" s="128" t="n"/>
      <c r="U36" s="128" t="n"/>
      <c r="V36" s="128" t="n"/>
      <c r="W36" s="128" t="n"/>
      <c r="X36" s="128" t="n"/>
      <c r="Y36" s="128" t="n"/>
      <c r="Z36" s="129" t="n"/>
      <c r="AA36" s="128" t="n"/>
      <c r="AB36" s="128" t="n"/>
      <c r="AC36" s="128" t="n"/>
      <c r="AD36" s="128" t="n"/>
      <c r="AE36" s="128" t="n"/>
      <c r="AF36" s="128" t="n"/>
      <c r="AG36" s="129" t="n"/>
      <c r="AH36" s="128" t="n"/>
      <c r="AI36" s="128" t="n"/>
      <c r="AJ36" s="130">
        <f>IF(ISBLANK(B36), "", IF(ISNUMBER(D36), IF(D36&gt;0, (COUNTIF(E36:AI36, "✓") + COUNTIF(E36:AI36, "✔") + COUNTIF(E36:AI36, "v") + COUNTIF(E36:AI36, "V"))/D36, 0), IF(((COUNTIF(E36:AI36, "✓") + COUNTIF(E36:AI36, "✔") + COUNTIF(E36:AI36, "v") + COUNTIF(E36:AI36, "V")) + COUNTIF(E36:AI36, "✗") + COUNTIF(E36:AI36, "x") + COUNTIF(E36:AI36, "X"))&gt;0, (COUNTIF(E36:AI36, "✓") + COUNTIF(E36:AI36, "✔") + COUNTIF(E36:AI36, "v") + COUNTIF(E36:AI36, "V"))/((COUNTIF(E36:AI36, "✓") + COUNTIF(E36:AI36, "✔") + COUNTIF(E36:AI36, "v") + COUNTIF(E36:AI36, "V")) + COUNTIF(E36:AI36, "✗") + COUNTIF(E36:AI36, "x") + COUNTIF(E36:AI36, "X")), "")))</f>
        <v/>
      </c>
      <c r="AK36" s="131">
        <f>IF(ISBLANK(B36), "", IF(ISNUMBER(D36), IF(D36&gt;0, (COUNTIF(E36:AI36, "✓") + COUNTIF(E36:AI36, "✔") + COUNTIF(E36:AI36, "v") + COUNTIF(E36:AI36, "V")) &amp; "/" &amp; D36, (COUNTIF(E36:AI36, "✓") + COUNTIF(E36:AI36, "✔") + COUNTIF(E36:AI36, "v") + COUNTIF(E36:AI36, "V")) &amp; "/0"), IF(((COUNTIF(E36:AI36, "✓") + COUNTIF(E36:AI36, "✔") + COUNTIF(E36:AI36, "v") + COUNTIF(E36:AI36, "V")) + COUNTIF(E36:AI36, "✗") + COUNTIF(E36:AI36, "x") + COUNTIF(E36:AI36, "X"))&gt;0, (COUNTIF(E36:AI36, "✓") + COUNTIF(E36:AI36, "✔") + COUNTIF(E36:AI36, "v") + COUNTIF(E36:AI36, "V")) &amp; "/" &amp; ((COUNTIF(E36:AI36, "✓") + COUNTIF(E36:AI36, "✔") + COUNTIF(E36:AI36, "v") + COUNTIF(E36:AI36, "V")) + COUNTIF(E36:AI36, "✗") + COUNTIF(E36:AI36, "x") + COUNTIF(E36:AI36, "X")), "")))</f>
        <v/>
      </c>
      <c r="AL36" s="131">
        <f>IF(ISBLANK(B36), "", IF(AJ36&gt;=0.85, "🔥 Mastered", IF(AJ36&gt;=0.7, "⚡ Consistent", "⚠️ Needs Focus")))</f>
        <v/>
      </c>
      <c r="AM36">
        <f>COUNTIF(E36:AI36, "✓")</f>
        <v/>
      </c>
    </row>
    <row r="37" ht="14.5" customHeight="1">
      <c r="A37" s="125" t="n">
        <v>20</v>
      </c>
      <c r="B37" s="126" t="n"/>
      <c r="C37" s="127" t="n"/>
      <c r="D37" s="127" t="n"/>
      <c r="E37" s="129" t="n"/>
      <c r="F37" s="128" t="n"/>
      <c r="G37" s="128" t="n"/>
      <c r="H37" s="128" t="n"/>
      <c r="I37" s="128" t="n"/>
      <c r="J37" s="128" t="n"/>
      <c r="K37" s="128" t="n"/>
      <c r="L37" s="129" t="n"/>
      <c r="M37" s="128" t="n"/>
      <c r="N37" s="128" t="n"/>
      <c r="O37" s="128" t="n"/>
      <c r="P37" s="128" t="n"/>
      <c r="Q37" s="128" t="n"/>
      <c r="R37" s="128" t="n"/>
      <c r="S37" s="129" t="n"/>
      <c r="T37" s="128" t="n"/>
      <c r="U37" s="128" t="n"/>
      <c r="V37" s="128" t="n"/>
      <c r="W37" s="128" t="n"/>
      <c r="X37" s="128" t="n"/>
      <c r="Y37" s="128" t="n"/>
      <c r="Z37" s="129" t="n"/>
      <c r="AA37" s="128" t="n"/>
      <c r="AB37" s="128" t="n"/>
      <c r="AC37" s="128" t="n"/>
      <c r="AD37" s="128" t="n"/>
      <c r="AE37" s="128" t="n"/>
      <c r="AF37" s="128" t="n"/>
      <c r="AG37" s="129" t="n"/>
      <c r="AH37" s="128" t="n"/>
      <c r="AI37" s="128" t="n"/>
      <c r="AJ37" s="130">
        <f>IF(ISBLANK(B37), "", IF(ISNUMBER(D37), IF(D37&gt;0, (COUNTIF(E37:AI37, "✓") + COUNTIF(E37:AI37, "✔") + COUNTIF(E37:AI37, "v") + COUNTIF(E37:AI37, "V"))/D37, 0), IF(((COUNTIF(E37:AI37, "✓") + COUNTIF(E37:AI37, "✔") + COUNTIF(E37:AI37, "v") + COUNTIF(E37:AI37, "V")) + COUNTIF(E37:AI37, "✗") + COUNTIF(E37:AI37, "x") + COUNTIF(E37:AI37, "X"))&gt;0, (COUNTIF(E37:AI37, "✓") + COUNTIF(E37:AI37, "✔") + COUNTIF(E37:AI37, "v") + COUNTIF(E37:AI37, "V"))/((COUNTIF(E37:AI37, "✓") + COUNTIF(E37:AI37, "✔") + COUNTIF(E37:AI37, "v") + COUNTIF(E37:AI37, "V")) + COUNTIF(E37:AI37, "✗") + COUNTIF(E37:AI37, "x") + COUNTIF(E37:AI37, "X")), "")))</f>
        <v/>
      </c>
      <c r="AK37" s="131">
        <f>IF(ISBLANK(B37), "", IF(ISNUMBER(D37), IF(D37&gt;0, (COUNTIF(E37:AI37, "✓") + COUNTIF(E37:AI37, "✔") + COUNTIF(E37:AI37, "v") + COUNTIF(E37:AI37, "V")) &amp; "/" &amp; D37, (COUNTIF(E37:AI37, "✓") + COUNTIF(E37:AI37, "✔") + COUNTIF(E37:AI37, "v") + COUNTIF(E37:AI37, "V")) &amp; "/0"), IF(((COUNTIF(E37:AI37, "✓") + COUNTIF(E37:AI37, "✔") + COUNTIF(E37:AI37, "v") + COUNTIF(E37:AI37, "V")) + COUNTIF(E37:AI37, "✗") + COUNTIF(E37:AI37, "x") + COUNTIF(E37:AI37, "X"))&gt;0, (COUNTIF(E37:AI37, "✓") + COUNTIF(E37:AI37, "✔") + COUNTIF(E37:AI37, "v") + COUNTIF(E37:AI37, "V")) &amp; "/" &amp; ((COUNTIF(E37:AI37, "✓") + COUNTIF(E37:AI37, "✔") + COUNTIF(E37:AI37, "v") + COUNTIF(E37:AI37, "V")) + COUNTIF(E37:AI37, "✗") + COUNTIF(E37:AI37, "x") + COUNTIF(E37:AI37, "X")), "")))</f>
        <v/>
      </c>
      <c r="AL37" s="131">
        <f>IF(ISBLANK(B37), "", IF(AJ37&gt;=0.85, "🔥 Mastered", IF(AJ37&gt;=0.7, "⚡ Consistent", "⚠️ Needs Focus")))</f>
        <v/>
      </c>
      <c r="AM37">
        <f>COUNTIF(E37:AI37, "✓")</f>
        <v/>
      </c>
    </row>
    <row r="38" ht="18" customHeight="1">
      <c r="A38" s="132" t="inlineStr">
        <is>
          <t>DAILY TOTAL SCORE</t>
        </is>
      </c>
      <c r="B38" s="54" t="n"/>
      <c r="C38" s="54" t="n"/>
      <c r="D38" s="54" t="n"/>
      <c r="E38" s="33">
        <f>IF(((COUNTIF(E18:E37, "✓") + COUNTIF(E18:E37, "✔") + COUNTIF(E18:E37, "v") + COUNTIF(E18:E37, "V")) + COUNTIF(E18:E37, "✗") + COUNTIF(E18:E37, "x") + COUNTIF(E18:E37, "X")) &gt; 0, (COUNTIF(E18:E37, "✓") + COUNTIF(E18:E37, "✔") + COUNTIF(E18:E37, "v") + COUNTIF(E18:E37, "V")) &amp; "/" &amp; ((COUNTIF(E18:E37, "✓") + COUNTIF(E18:E37, "✔") + COUNTIF(E18:E37, "v") + COUNTIF(E18:E37, "V")) + COUNTIF(E18:E37, "✗") + COUNTIF(E18:E37, "x") + COUNTIF(E18:E37, "X")), "")</f>
        <v/>
      </c>
      <c r="F38" s="33">
        <f>IF(((COUNTIF(F18:F37, "✓") + COUNTIF(F18:F37, "✔") + COUNTIF(F18:F37, "v") + COUNTIF(F18:F37, "V")) + COUNTIF(F18:F37, "✗") + COUNTIF(F18:F37, "x") + COUNTIF(F18:F37, "X")) &gt; 0, (COUNTIF(F18:F37, "✓") + COUNTIF(F18:F37, "✔") + COUNTIF(F18:F37, "v") + COUNTIF(F18:F37, "V")) &amp; "/" &amp; ((COUNTIF(F18:F37, "✓") + COUNTIF(F18:F37, "✔") + COUNTIF(F18:F37, "v") + COUNTIF(F18:F37, "V")) + COUNTIF(F18:F37, "✗") + COUNTIF(F18:F37, "x") + COUNTIF(F18:F37, "X")), "")</f>
        <v/>
      </c>
      <c r="G38" s="33">
        <f>IF(((COUNTIF(G18:G37, "✓") + COUNTIF(G18:G37, "✔") + COUNTIF(G18:G37, "v") + COUNTIF(G18:G37, "V")) + COUNTIF(G18:G37, "✗") + COUNTIF(G18:G37, "x") + COUNTIF(G18:G37, "X")) &gt; 0, (COUNTIF(G18:G37, "✓") + COUNTIF(G18:G37, "✔") + COUNTIF(G18:G37, "v") + COUNTIF(G18:G37, "V")) &amp; "/" &amp; ((COUNTIF(G18:G37, "✓") + COUNTIF(G18:G37, "✔") + COUNTIF(G18:G37, "v") + COUNTIF(G18:G37, "V")) + COUNTIF(G18:G37, "✗") + COUNTIF(G18:G37, "x") + COUNTIF(G18:G37, "X")), "")</f>
        <v/>
      </c>
      <c r="H38" s="33">
        <f>IF(((COUNTIF(H18:H37, "✓") + COUNTIF(H18:H37, "✔") + COUNTIF(H18:H37, "v") + COUNTIF(H18:H37, "V")) + COUNTIF(H18:H37, "✗") + COUNTIF(H18:H37, "x") + COUNTIF(H18:H37, "X")) &gt; 0, (COUNTIF(H18:H37, "✓") + COUNTIF(H18:H37, "✔") + COUNTIF(H18:H37, "v") + COUNTIF(H18:H37, "V")) &amp; "/" &amp; ((COUNTIF(H18:H37, "✓") + COUNTIF(H18:H37, "✔") + COUNTIF(H18:H37, "v") + COUNTIF(H18:H37, "V")) + COUNTIF(H18:H37, "✗") + COUNTIF(H18:H37, "x") + COUNTIF(H18:H37, "X")), "")</f>
        <v/>
      </c>
      <c r="I38" s="33">
        <f>IF(((COUNTIF(I18:I37, "✓") + COUNTIF(I18:I37, "✔") + COUNTIF(I18:I37, "v") + COUNTIF(I18:I37, "V")) + COUNTIF(I18:I37, "✗") + COUNTIF(I18:I37, "x") + COUNTIF(I18:I37, "X")) &gt; 0, (COUNTIF(I18:I37, "✓") + COUNTIF(I18:I37, "✔") + COUNTIF(I18:I37, "v") + COUNTIF(I18:I37, "V")) &amp; "/" &amp; ((COUNTIF(I18:I37, "✓") + COUNTIF(I18:I37, "✔") + COUNTIF(I18:I37, "v") + COUNTIF(I18:I37, "V")) + COUNTIF(I18:I37, "✗") + COUNTIF(I18:I37, "x") + COUNTIF(I18:I37, "X")), "")</f>
        <v/>
      </c>
      <c r="J38" s="33">
        <f>IF(((COUNTIF(J18:J37, "✓") + COUNTIF(J18:J37, "✔") + COUNTIF(J18:J37, "v") + COUNTIF(J18:J37, "V")) + COUNTIF(J18:J37, "✗") + COUNTIF(J18:J37, "x") + COUNTIF(J18:J37, "X")) &gt; 0, (COUNTIF(J18:J37, "✓") + COUNTIF(J18:J37, "✔") + COUNTIF(J18:J37, "v") + COUNTIF(J18:J37, "V")) &amp; "/" &amp; ((COUNTIF(J18:J37, "✓") + COUNTIF(J18:J37, "✔") + COUNTIF(J18:J37, "v") + COUNTIF(J18:J37, "V")) + COUNTIF(J18:J37, "✗") + COUNTIF(J18:J37, "x") + COUNTIF(J18:J37, "X")), "")</f>
        <v/>
      </c>
      <c r="K38" s="33">
        <f>IF(((COUNTIF(K18:K37, "✓") + COUNTIF(K18:K37, "✔") + COUNTIF(K18:K37, "v") + COUNTIF(K18:K37, "V")) + COUNTIF(K18:K37, "✗") + COUNTIF(K18:K37, "x") + COUNTIF(K18:K37, "X")) &gt; 0, (COUNTIF(K18:K37, "✓") + COUNTIF(K18:K37, "✔") + COUNTIF(K18:K37, "v") + COUNTIF(K18:K37, "V")) &amp; "/" &amp; ((COUNTIF(K18:K37, "✓") + COUNTIF(K18:K37, "✔") + COUNTIF(K18:K37, "v") + COUNTIF(K18:K37, "V")) + COUNTIF(K18:K37, "✗") + COUNTIF(K18:K37, "x") + COUNTIF(K18:K37, "X")), "")</f>
        <v/>
      </c>
      <c r="L38" s="33">
        <f>IF(((COUNTIF(L18:L37, "✓") + COUNTIF(L18:L37, "✔") + COUNTIF(L18:L37, "v") + COUNTIF(L18:L37, "V")) + COUNTIF(L18:L37, "✗") + COUNTIF(L18:L37, "x") + COUNTIF(L18:L37, "X")) &gt; 0, (COUNTIF(L18:L37, "✓") + COUNTIF(L18:L37, "✔") + COUNTIF(L18:L37, "v") + COUNTIF(L18:L37, "V")) &amp; "/" &amp; ((COUNTIF(L18:L37, "✓") + COUNTIF(L18:L37, "✔") + COUNTIF(L18:L37, "v") + COUNTIF(L18:L37, "V")) + COUNTIF(L18:L37, "✗") + COUNTIF(L18:L37, "x") + COUNTIF(L18:L37, "X")), "")</f>
        <v/>
      </c>
      <c r="M38" s="33">
        <f>IF(((COUNTIF(M18:M37, "✓") + COUNTIF(M18:M37, "✔") + COUNTIF(M18:M37, "v") + COUNTIF(M18:M37, "V")) + COUNTIF(M18:M37, "✗") + COUNTIF(M18:M37, "x") + COUNTIF(M18:M37, "X")) &gt; 0, (COUNTIF(M18:M37, "✓") + COUNTIF(M18:M37, "✔") + COUNTIF(M18:M37, "v") + COUNTIF(M18:M37, "V")) &amp; "/" &amp; ((COUNTIF(M18:M37, "✓") + COUNTIF(M18:M37, "✔") + COUNTIF(M18:M37, "v") + COUNTIF(M18:M37, "V")) + COUNTIF(M18:M37, "✗") + COUNTIF(M18:M37, "x") + COUNTIF(M18:M37, "X")), "")</f>
        <v/>
      </c>
      <c r="N38" s="33">
        <f>IF(((COUNTIF(N18:N37, "✓") + COUNTIF(N18:N37, "✔") + COUNTIF(N18:N37, "v") + COUNTIF(N18:N37, "V")) + COUNTIF(N18:N37, "✗") + COUNTIF(N18:N37, "x") + COUNTIF(N18:N37, "X")) &gt; 0, (COUNTIF(N18:N37, "✓") + COUNTIF(N18:N37, "✔") + COUNTIF(N18:N37, "v") + COUNTIF(N18:N37, "V")) &amp; "/" &amp; ((COUNTIF(N18:N37, "✓") + COUNTIF(N18:N37, "✔") + COUNTIF(N18:N37, "v") + COUNTIF(N18:N37, "V")) + COUNTIF(N18:N37, "✗") + COUNTIF(N18:N37, "x") + COUNTIF(N18:N37, "X")), "")</f>
        <v/>
      </c>
      <c r="O38" s="33">
        <f>IF(((COUNTIF(O18:O37, "✓") + COUNTIF(O18:O37, "✔") + COUNTIF(O18:O37, "v") + COUNTIF(O18:O37, "V")) + COUNTIF(O18:O37, "✗") + COUNTIF(O18:O37, "x") + COUNTIF(O18:O37, "X")) &gt; 0, (COUNTIF(O18:O37, "✓") + COUNTIF(O18:O37, "✔") + COUNTIF(O18:O37, "v") + COUNTIF(O18:O37, "V")) &amp; "/" &amp; ((COUNTIF(O18:O37, "✓") + COUNTIF(O18:O37, "✔") + COUNTIF(O18:O37, "v") + COUNTIF(O18:O37, "V")) + COUNTIF(O18:O37, "✗") + COUNTIF(O18:O37, "x") + COUNTIF(O18:O37, "X")), "")</f>
        <v/>
      </c>
      <c r="P38" s="33">
        <f>IF(((COUNTIF(P18:P37, "✓") + COUNTIF(P18:P37, "✔") + COUNTIF(P18:P37, "v") + COUNTIF(P18:P37, "V")) + COUNTIF(P18:P37, "✗") + COUNTIF(P18:P37, "x") + COUNTIF(P18:P37, "X")) &gt; 0, (COUNTIF(P18:P37, "✓") + COUNTIF(P18:P37, "✔") + COUNTIF(P18:P37, "v") + COUNTIF(P18:P37, "V")) &amp; "/" &amp; ((COUNTIF(P18:P37, "✓") + COUNTIF(P18:P37, "✔") + COUNTIF(P18:P37, "v") + COUNTIF(P18:P37, "V")) + COUNTIF(P18:P37, "✗") + COUNTIF(P18:P37, "x") + COUNTIF(P18:P37, "X")), "")</f>
        <v/>
      </c>
      <c r="Q38" s="33">
        <f>IF(((COUNTIF(Q18:Q37, "✓") + COUNTIF(Q18:Q37, "✔") + COUNTIF(Q18:Q37, "v") + COUNTIF(Q18:Q37, "V")) + COUNTIF(Q18:Q37, "✗") + COUNTIF(Q18:Q37, "x") + COUNTIF(Q18:Q37, "X")) &gt; 0, (COUNTIF(Q18:Q37, "✓") + COUNTIF(Q18:Q37, "✔") + COUNTIF(Q18:Q37, "v") + COUNTIF(Q18:Q37, "V")) &amp; "/" &amp; ((COUNTIF(Q18:Q37, "✓") + COUNTIF(Q18:Q37, "✔") + COUNTIF(Q18:Q37, "v") + COUNTIF(Q18:Q37, "V")) + COUNTIF(Q18:Q37, "✗") + COUNTIF(Q18:Q37, "x") + COUNTIF(Q18:Q37, "X")), "")</f>
        <v/>
      </c>
      <c r="R38" s="33">
        <f>IF(((COUNTIF(R18:R37, "✓") + COUNTIF(R18:R37, "✔") + COUNTIF(R18:R37, "v") + COUNTIF(R18:R37, "V")) + COUNTIF(R18:R37, "✗") + COUNTIF(R18:R37, "x") + COUNTIF(R18:R37, "X")) &gt; 0, (COUNTIF(R18:R37, "✓") + COUNTIF(R18:R37, "✔") + COUNTIF(R18:R37, "v") + COUNTIF(R18:R37, "V")) &amp; "/" &amp; ((COUNTIF(R18:R37, "✓") + COUNTIF(R18:R37, "✔") + COUNTIF(R18:R37, "v") + COUNTIF(R18:R37, "V")) + COUNTIF(R18:R37, "✗") + COUNTIF(R18:R37, "x") + COUNTIF(R18:R37, "X")), "")</f>
        <v/>
      </c>
      <c r="S38" s="33">
        <f>IF(((COUNTIF(S18:S37, "✓") + COUNTIF(S18:S37, "✔") + COUNTIF(S18:S37, "v") + COUNTIF(S18:S37, "V")) + COUNTIF(S18:S37, "✗") + COUNTIF(S18:S37, "x") + COUNTIF(S18:S37, "X")) &gt; 0, (COUNTIF(S18:S37, "✓") + COUNTIF(S18:S37, "✔") + COUNTIF(S18:S37, "v") + COUNTIF(S18:S37, "V")) &amp; "/" &amp; ((COUNTIF(S18:S37, "✓") + COUNTIF(S18:S37, "✔") + COUNTIF(S18:S37, "v") + COUNTIF(S18:S37, "V")) + COUNTIF(S18:S37, "✗") + COUNTIF(S18:S37, "x") + COUNTIF(S18:S37, "X")), "")</f>
        <v/>
      </c>
      <c r="T38" s="33">
        <f>IF(((COUNTIF(T18:T37, "✓") + COUNTIF(T18:T37, "✔") + COUNTIF(T18:T37, "v") + COUNTIF(T18:T37, "V")) + COUNTIF(T18:T37, "✗") + COUNTIF(T18:T37, "x") + COUNTIF(T18:T37, "X")) &gt; 0, (COUNTIF(T18:T37, "✓") + COUNTIF(T18:T37, "✔") + COUNTIF(T18:T37, "v") + COUNTIF(T18:T37, "V")) &amp; "/" &amp; ((COUNTIF(T18:T37, "✓") + COUNTIF(T18:T37, "✔") + COUNTIF(T18:T37, "v") + COUNTIF(T18:T37, "V")) + COUNTIF(T18:T37, "✗") + COUNTIF(T18:T37, "x") + COUNTIF(T18:T37, "X")), "")</f>
        <v/>
      </c>
      <c r="U38" s="33">
        <f>IF(((COUNTIF(U18:U37, "✓") + COUNTIF(U18:U37, "✔") + COUNTIF(U18:U37, "v") + COUNTIF(U18:U37, "V")) + COUNTIF(U18:U37, "✗") + COUNTIF(U18:U37, "x") + COUNTIF(U18:U37, "X")) &gt; 0, (COUNTIF(U18:U37, "✓") + COUNTIF(U18:U37, "✔") + COUNTIF(U18:U37, "v") + COUNTIF(U18:U37, "V")) &amp; "/" &amp; ((COUNTIF(U18:U37, "✓") + COUNTIF(U18:U37, "✔") + COUNTIF(U18:U37, "v") + COUNTIF(U18:U37, "V")) + COUNTIF(U18:U37, "✗") + COUNTIF(U18:U37, "x") + COUNTIF(U18:U37, "X")), "")</f>
        <v/>
      </c>
      <c r="V38" s="33">
        <f>IF(((COUNTIF(V18:V37, "✓") + COUNTIF(V18:V37, "✔") + COUNTIF(V18:V37, "v") + COUNTIF(V18:V37, "V")) + COUNTIF(V18:V37, "✗") + COUNTIF(V18:V37, "x") + COUNTIF(V18:V37, "X")) &gt; 0, (COUNTIF(V18:V37, "✓") + COUNTIF(V18:V37, "✔") + COUNTIF(V18:V37, "v") + COUNTIF(V18:V37, "V")) &amp; "/" &amp; ((COUNTIF(V18:V37, "✓") + COUNTIF(V18:V37, "✔") + COUNTIF(V18:V37, "v") + COUNTIF(V18:V37, "V")) + COUNTIF(V18:V37, "✗") + COUNTIF(V18:V37, "x") + COUNTIF(V18:V37, "X")), "")</f>
        <v/>
      </c>
      <c r="W38" s="33">
        <f>IF(((COUNTIF(W18:W37, "✓") + COUNTIF(W18:W37, "✔") + COUNTIF(W18:W37, "v") + COUNTIF(W18:W37, "V")) + COUNTIF(W18:W37, "✗") + COUNTIF(W18:W37, "x") + COUNTIF(W18:W37, "X")) &gt; 0, (COUNTIF(W18:W37, "✓") + COUNTIF(W18:W37, "✔") + COUNTIF(W18:W37, "v") + COUNTIF(W18:W37, "V")) &amp; "/" &amp; ((COUNTIF(W18:W37, "✓") + COUNTIF(W18:W37, "✔") + COUNTIF(W18:W37, "v") + COUNTIF(W18:W37, "V")) + COUNTIF(W18:W37, "✗") + COUNTIF(W18:W37, "x") + COUNTIF(W18:W37, "X")), "")</f>
        <v/>
      </c>
      <c r="X38" s="33">
        <f>IF(((COUNTIF(X18:X37, "✓") + COUNTIF(X18:X37, "✔") + COUNTIF(X18:X37, "v") + COUNTIF(X18:X37, "V")) + COUNTIF(X18:X37, "✗") + COUNTIF(X18:X37, "x") + COUNTIF(X18:X37, "X")) &gt; 0, (COUNTIF(X18:X37, "✓") + COUNTIF(X18:X37, "✔") + COUNTIF(X18:X37, "v") + COUNTIF(X18:X37, "V")) &amp; "/" &amp; ((COUNTIF(X18:X37, "✓") + COUNTIF(X18:X37, "✔") + COUNTIF(X18:X37, "v") + COUNTIF(X18:X37, "V")) + COUNTIF(X18:X37, "✗") + COUNTIF(X18:X37, "x") + COUNTIF(X18:X37, "X")), "")</f>
        <v/>
      </c>
      <c r="Y38" s="33">
        <f>IF(((COUNTIF(Y18:Y37, "✓") + COUNTIF(Y18:Y37, "✔") + COUNTIF(Y18:Y37, "v") + COUNTIF(Y18:Y37, "V")) + COUNTIF(Y18:Y37, "✗") + COUNTIF(Y18:Y37, "x") + COUNTIF(Y18:Y37, "X")) &gt; 0, (COUNTIF(Y18:Y37, "✓") + COUNTIF(Y18:Y37, "✔") + COUNTIF(Y18:Y37, "v") + COUNTIF(Y18:Y37, "V")) &amp; "/" &amp; ((COUNTIF(Y18:Y37, "✓") + COUNTIF(Y18:Y37, "✔") + COUNTIF(Y18:Y37, "v") + COUNTIF(Y18:Y37, "V")) + COUNTIF(Y18:Y37, "✗") + COUNTIF(Y18:Y37, "x") + COUNTIF(Y18:Y37, "X")), "")</f>
        <v/>
      </c>
      <c r="Z38" s="33">
        <f>IF(((COUNTIF(Z18:Z37, "✓") + COUNTIF(Z18:Z37, "✔") + COUNTIF(Z18:Z37, "v") + COUNTIF(Z18:Z37, "V")) + COUNTIF(Z18:Z37, "✗") + COUNTIF(Z18:Z37, "x") + COUNTIF(Z18:Z37, "X")) &gt; 0, (COUNTIF(Z18:Z37, "✓") + COUNTIF(Z18:Z37, "✔") + COUNTIF(Z18:Z37, "v") + COUNTIF(Z18:Z37, "V")) &amp; "/" &amp; ((COUNTIF(Z18:Z37, "✓") + COUNTIF(Z18:Z37, "✔") + COUNTIF(Z18:Z37, "v") + COUNTIF(Z18:Z37, "V")) + COUNTIF(Z18:Z37, "✗") + COUNTIF(Z18:Z37, "x") + COUNTIF(Z18:Z37, "X")), "")</f>
        <v/>
      </c>
      <c r="AA38" s="33">
        <f>IF(((COUNTIF(AA18:AA37, "✓") + COUNTIF(AA18:AA37, "✔") + COUNTIF(AA18:AA37, "v") + COUNTIF(AA18:AA37, "V")) + COUNTIF(AA18:AA37, "✗") + COUNTIF(AA18:AA37, "x") + COUNTIF(AA18:AA37, "X")) &gt; 0, (COUNTIF(AA18:AA37, "✓") + COUNTIF(AA18:AA37, "✔") + COUNTIF(AA18:AA37, "v") + COUNTIF(AA18:AA37, "V")) &amp; "/" &amp; ((COUNTIF(AA18:AA37, "✓") + COUNTIF(AA18:AA37, "✔") + COUNTIF(AA18:AA37, "v") + COUNTIF(AA18:AA37, "V")) + COUNTIF(AA18:AA37, "✗") + COUNTIF(AA18:AA37, "x") + COUNTIF(AA18:AA37, "X")), "")</f>
        <v/>
      </c>
      <c r="AB38" s="33">
        <f>IF(((COUNTIF(AB18:AB37, "✓") + COUNTIF(AB18:AB37, "✔") + COUNTIF(AB18:AB37, "v") + COUNTIF(AB18:AB37, "V")) + COUNTIF(AB18:AB37, "✗") + COUNTIF(AB18:AB37, "x") + COUNTIF(AB18:AB37, "X")) &gt; 0, (COUNTIF(AB18:AB37, "✓") + COUNTIF(AB18:AB37, "✔") + COUNTIF(AB18:AB37, "v") + COUNTIF(AB18:AB37, "V")) &amp; "/" &amp; ((COUNTIF(AB18:AB37, "✓") + COUNTIF(AB18:AB37, "✔") + COUNTIF(AB18:AB37, "v") + COUNTIF(AB18:AB37, "V")) + COUNTIF(AB18:AB37, "✗") + COUNTIF(AB18:AB37, "x") + COUNTIF(AB18:AB37, "X")), "")</f>
        <v/>
      </c>
      <c r="AC38" s="33">
        <f>IF(((COUNTIF(AC18:AC37, "✓") + COUNTIF(AC18:AC37, "✔") + COUNTIF(AC18:AC37, "v") + COUNTIF(AC18:AC37, "V")) + COUNTIF(AC18:AC37, "✗") + COUNTIF(AC18:AC37, "x") + COUNTIF(AC18:AC37, "X")) &gt; 0, (COUNTIF(AC18:AC37, "✓") + COUNTIF(AC18:AC37, "✔") + COUNTIF(AC18:AC37, "v") + COUNTIF(AC18:AC37, "V")) &amp; "/" &amp; ((COUNTIF(AC18:AC37, "✓") + COUNTIF(AC18:AC37, "✔") + COUNTIF(AC18:AC37, "v") + COUNTIF(AC18:AC37, "V")) + COUNTIF(AC18:AC37, "✗") + COUNTIF(AC18:AC37, "x") + COUNTIF(AC18:AC37, "X")), "")</f>
        <v/>
      </c>
      <c r="AD38" s="33">
        <f>IF(((COUNTIF(AD18:AD37, "✓") + COUNTIF(AD18:AD37, "✔") + COUNTIF(AD18:AD37, "v") + COUNTIF(AD18:AD37, "V")) + COUNTIF(AD18:AD37, "✗") + COUNTIF(AD18:AD37, "x") + COUNTIF(AD18:AD37, "X")) &gt; 0, (COUNTIF(AD18:AD37, "✓") + COUNTIF(AD18:AD37, "✔") + COUNTIF(AD18:AD37, "v") + COUNTIF(AD18:AD37, "V")) &amp; "/" &amp; ((COUNTIF(AD18:AD37, "✓") + COUNTIF(AD18:AD37, "✔") + COUNTIF(AD18:AD37, "v") + COUNTIF(AD18:AD37, "V")) + COUNTIF(AD18:AD37, "✗") + COUNTIF(AD18:AD37, "x") + COUNTIF(AD18:AD37, "X")), "")</f>
        <v/>
      </c>
      <c r="AE38" s="33">
        <f>IF(((COUNTIF(AE18:AE37, "✓") + COUNTIF(AE18:AE37, "✔") + COUNTIF(AE18:AE37, "v") + COUNTIF(AE18:AE37, "V")) + COUNTIF(AE18:AE37, "✗") + COUNTIF(AE18:AE37, "x") + COUNTIF(AE18:AE37, "X")) &gt; 0, (COUNTIF(AE18:AE37, "✓") + COUNTIF(AE18:AE37, "✔") + COUNTIF(AE18:AE37, "v") + COUNTIF(AE18:AE37, "V")) &amp; "/" &amp; ((COUNTIF(AE18:AE37, "✓") + COUNTIF(AE18:AE37, "✔") + COUNTIF(AE18:AE37, "v") + COUNTIF(AE18:AE37, "V")) + COUNTIF(AE18:AE37, "✗") + COUNTIF(AE18:AE37, "x") + COUNTIF(AE18:AE37, "X")), "")</f>
        <v/>
      </c>
      <c r="AF38" s="33">
        <f>IF(((COUNTIF(AF18:AF37, "✓") + COUNTIF(AF18:AF37, "✔") + COUNTIF(AF18:AF37, "v") + COUNTIF(AF18:AF37, "V")) + COUNTIF(AF18:AF37, "✗") + COUNTIF(AF18:AF37, "x") + COUNTIF(AF18:AF37, "X")) &gt; 0, (COUNTIF(AF18:AF37, "✓") + COUNTIF(AF18:AF37, "✔") + COUNTIF(AF18:AF37, "v") + COUNTIF(AF18:AF37, "V")) &amp; "/" &amp; ((COUNTIF(AF18:AF37, "✓") + COUNTIF(AF18:AF37, "✔") + COUNTIF(AF18:AF37, "v") + COUNTIF(AF18:AF37, "V")) + COUNTIF(AF18:AF37, "✗") + COUNTIF(AF18:AF37, "x") + COUNTIF(AF18:AF37, "X")), "")</f>
        <v/>
      </c>
      <c r="AG38" s="33">
        <f>IF(((COUNTIF(AG18:AG37, "✓") + COUNTIF(AG18:AG37, "✔") + COUNTIF(AG18:AG37, "v") + COUNTIF(AG18:AG37, "V")) + COUNTIF(AG18:AG37, "✗") + COUNTIF(AG18:AG37, "x") + COUNTIF(AG18:AG37, "X")) &gt; 0, (COUNTIF(AG18:AG37, "✓") + COUNTIF(AG18:AG37, "✔") + COUNTIF(AG18:AG37, "v") + COUNTIF(AG18:AG37, "V")) &amp; "/" &amp; ((COUNTIF(AG18:AG37, "✓") + COUNTIF(AG18:AG37, "✔") + COUNTIF(AG18:AG37, "v") + COUNTIF(AG18:AG37, "V")) + COUNTIF(AG18:AG37, "✗") + COUNTIF(AG18:AG37, "x") + COUNTIF(AG18:AG37, "X")), "")</f>
        <v/>
      </c>
      <c r="AH38" s="33">
        <f>IF(((COUNTIF(AH18:AH37, "✓") + COUNTIF(AH18:AH37, "✔") + COUNTIF(AH18:AH37, "v") + COUNTIF(AH18:AH37, "V")) + COUNTIF(AH18:AH37, "✗") + COUNTIF(AH18:AH37, "x") + COUNTIF(AH18:AH37, "X")) &gt; 0, (COUNTIF(AH18:AH37, "✓") + COUNTIF(AH18:AH37, "✔") + COUNTIF(AH18:AH37, "v") + COUNTIF(AH18:AH37, "V")) &amp; "/" &amp; ((COUNTIF(AH18:AH37, "✓") + COUNTIF(AH18:AH37, "✔") + COUNTIF(AH18:AH37, "v") + COUNTIF(AH18:AH37, "V")) + COUNTIF(AH18:AH37, "✗") + COUNTIF(AH18:AH37, "x") + COUNTIF(AH18:AH37, "X")), "")</f>
        <v/>
      </c>
      <c r="AI38" s="33">
        <f>IF(((COUNTIF(AI18:AI37, "✓") + COUNTIF(AI18:AI37, "✔") + COUNTIF(AI18:AI37, "v") + COUNTIF(AI18:AI37, "V")) + COUNTIF(AI18:AI37, "✗") + COUNTIF(AI18:AI37, "x") + COUNTIF(AI18:AI37, "X")) &gt; 0, (COUNTIF(AI18:AI37, "✓") + COUNTIF(AI18:AI37, "✔") + COUNTIF(AI18:AI37, "v") + COUNTIF(AI18:AI37, "V")) &amp; "/" &amp; ((COUNTIF(AI18:AI37, "✓") + COUNTIF(AI18:AI37, "✔") + COUNTIF(AI18:AI37, "v") + COUNTIF(AI18:AI37, "V")) + COUNTIF(AI18:AI37, "✗") + COUNTIF(AI18:AI37, "x") + COUNTIF(AI18:AI37, "X")), "")</f>
        <v/>
      </c>
      <c r="AJ38" s="133">
        <f>IF(SUM(D18:D37) &gt; 0, SUM(AM18:AM37) / SUM(D18:D37), "")</f>
        <v/>
      </c>
      <c r="AK38" s="33">
        <f>IF(SUM(D18:D37) &gt; 0, SUM(AM18:AM37) &amp; "/" &amp; SUM(D18:D37), "")</f>
        <v/>
      </c>
      <c r="AL38" s="54" t="n"/>
    </row>
    <row r="39" ht="18" customHeight="1">
      <c r="A39" s="132" t="inlineStr">
        <is>
          <t>DAILY SUCCESS %</t>
        </is>
      </c>
      <c r="B39" s="54" t="n"/>
      <c r="C39" s="54" t="n"/>
      <c r="D39" s="54" t="n"/>
      <c r="E39" s="134">
        <f>IF(((COUNTIF(E18:E37, "✓") + COUNTIF(E18:E37, "✔") + COUNTIF(E18:E37, "v") + COUNTIF(E18:E37, "V")) + COUNTIF(E18:E37, "✗") + COUNTIF(E18:E37, "x") + COUNTIF(E18:E37, "X")) &gt; 0, (COUNTIF(E18:E37, "✓") + COUNTIF(E18:E37, "✔") + COUNTIF(E18:E37, "v") + COUNTIF(E18:E37, "V")) / ((COUNTIF(E18:E37, "✓") + COUNTIF(E18:E37, "✔") + COUNTIF(E18:E37, "v") + COUNTIF(E18:E37, "V")) + COUNTIF(E18:E37, "✗") + COUNTIF(E18:E37, "x") + COUNTIF(E18:E37, "X")), "")</f>
        <v/>
      </c>
      <c r="F39" s="134">
        <f>IF(((COUNTIF(F18:F37, "✓") + COUNTIF(F18:F37, "✔") + COUNTIF(F18:F37, "v") + COUNTIF(F18:F37, "V")) + COUNTIF(F18:F37, "✗") + COUNTIF(F18:F37, "x") + COUNTIF(F18:F37, "X")) &gt; 0, (COUNTIF(F18:F37, "✓") + COUNTIF(F18:F37, "✔") + COUNTIF(F18:F37, "v") + COUNTIF(F18:F37, "V")) / ((COUNTIF(F18:F37, "✓") + COUNTIF(F18:F37, "✔") + COUNTIF(F18:F37, "v") + COUNTIF(F18:F37, "V")) + COUNTIF(F18:F37, "✗") + COUNTIF(F18:F37, "x") + COUNTIF(F18:F37, "X")), "")</f>
        <v/>
      </c>
      <c r="G39" s="134">
        <f>IF(((COUNTIF(G18:G37, "✓") + COUNTIF(G18:G37, "✔") + COUNTIF(G18:G37, "v") + COUNTIF(G18:G37, "V")) + COUNTIF(G18:G37, "✗") + COUNTIF(G18:G37, "x") + COUNTIF(G18:G37, "X")) &gt; 0, (COUNTIF(G18:G37, "✓") + COUNTIF(G18:G37, "✔") + COUNTIF(G18:G37, "v") + COUNTIF(G18:G37, "V")) / ((COUNTIF(G18:G37, "✓") + COUNTIF(G18:G37, "✔") + COUNTIF(G18:G37, "v") + COUNTIF(G18:G37, "V")) + COUNTIF(G18:G37, "✗") + COUNTIF(G18:G37, "x") + COUNTIF(G18:G37, "X")), "")</f>
        <v/>
      </c>
      <c r="H39" s="134">
        <f>IF(((COUNTIF(H18:H37, "✓") + COUNTIF(H18:H37, "✔") + COUNTIF(H18:H37, "v") + COUNTIF(H18:H37, "V")) + COUNTIF(H18:H37, "✗") + COUNTIF(H18:H37, "x") + COUNTIF(H18:H37, "X")) &gt; 0, (COUNTIF(H18:H37, "✓") + COUNTIF(H18:H37, "✔") + COUNTIF(H18:H37, "v") + COUNTIF(H18:H37, "V")) / ((COUNTIF(H18:H37, "✓") + COUNTIF(H18:H37, "✔") + COUNTIF(H18:H37, "v") + COUNTIF(H18:H37, "V")) + COUNTIF(H18:H37, "✗") + COUNTIF(H18:H37, "x") + COUNTIF(H18:H37, "X")), "")</f>
        <v/>
      </c>
      <c r="I39" s="134">
        <f>IF(((COUNTIF(I18:I37, "✓") + COUNTIF(I18:I37, "✔") + COUNTIF(I18:I37, "v") + COUNTIF(I18:I37, "V")) + COUNTIF(I18:I37, "✗") + COUNTIF(I18:I37, "x") + COUNTIF(I18:I37, "X")) &gt; 0, (COUNTIF(I18:I37, "✓") + COUNTIF(I18:I37, "✔") + COUNTIF(I18:I37, "v") + COUNTIF(I18:I37, "V")) / ((COUNTIF(I18:I37, "✓") + COUNTIF(I18:I37, "✔") + COUNTIF(I18:I37, "v") + COUNTIF(I18:I37, "V")) + COUNTIF(I18:I37, "✗") + COUNTIF(I18:I37, "x") + COUNTIF(I18:I37, "X")), "")</f>
        <v/>
      </c>
      <c r="J39" s="134">
        <f>IF(((COUNTIF(J18:J37, "✓") + COUNTIF(J18:J37, "✔") + COUNTIF(J18:J37, "v") + COUNTIF(J18:J37, "V")) + COUNTIF(J18:J37, "✗") + COUNTIF(J18:J37, "x") + COUNTIF(J18:J37, "X")) &gt; 0, (COUNTIF(J18:J37, "✓") + COUNTIF(J18:J37, "✔") + COUNTIF(J18:J37, "v") + COUNTIF(J18:J37, "V")) / ((COUNTIF(J18:J37, "✓") + COUNTIF(J18:J37, "✔") + COUNTIF(J18:J37, "v") + COUNTIF(J18:J37, "V")) + COUNTIF(J18:J37, "✗") + COUNTIF(J18:J37, "x") + COUNTIF(J18:J37, "X")), "")</f>
        <v/>
      </c>
      <c r="K39" s="134">
        <f>IF(((COUNTIF(K18:K37, "✓") + COUNTIF(K18:K37, "✔") + COUNTIF(K18:K37, "v") + COUNTIF(K18:K37, "V")) + COUNTIF(K18:K37, "✗") + COUNTIF(K18:K37, "x") + COUNTIF(K18:K37, "X")) &gt; 0, (COUNTIF(K18:K37, "✓") + COUNTIF(K18:K37, "✔") + COUNTIF(K18:K37, "v") + COUNTIF(K18:K37, "V")) / ((COUNTIF(K18:K37, "✓") + COUNTIF(K18:K37, "✔") + COUNTIF(K18:K37, "v") + COUNTIF(K18:K37, "V")) + COUNTIF(K18:K37, "✗") + COUNTIF(K18:K37, "x") + COUNTIF(K18:K37, "X")), "")</f>
        <v/>
      </c>
      <c r="L39" s="134">
        <f>IF(((COUNTIF(L18:L37, "✓") + COUNTIF(L18:L37, "✔") + COUNTIF(L18:L37, "v") + COUNTIF(L18:L37, "V")) + COUNTIF(L18:L37, "✗") + COUNTIF(L18:L37, "x") + COUNTIF(L18:L37, "X")) &gt; 0, (COUNTIF(L18:L37, "✓") + COUNTIF(L18:L37, "✔") + COUNTIF(L18:L37, "v") + COUNTIF(L18:L37, "V")) / ((COUNTIF(L18:L37, "✓") + COUNTIF(L18:L37, "✔") + COUNTIF(L18:L37, "v") + COUNTIF(L18:L37, "V")) + COUNTIF(L18:L37, "✗") + COUNTIF(L18:L37, "x") + COUNTIF(L18:L37, "X")), "")</f>
        <v/>
      </c>
      <c r="M39" s="134">
        <f>IF(((COUNTIF(M18:M37, "✓") + COUNTIF(M18:M37, "✔") + COUNTIF(M18:M37, "v") + COUNTIF(M18:M37, "V")) + COUNTIF(M18:M37, "✗") + COUNTIF(M18:M37, "x") + COUNTIF(M18:M37, "X")) &gt; 0, (COUNTIF(M18:M37, "✓") + COUNTIF(M18:M37, "✔") + COUNTIF(M18:M37, "v") + COUNTIF(M18:M37, "V")) / ((COUNTIF(M18:M37, "✓") + COUNTIF(M18:M37, "✔") + COUNTIF(M18:M37, "v") + COUNTIF(M18:M37, "V")) + COUNTIF(M18:M37, "✗") + COUNTIF(M18:M37, "x") + COUNTIF(M18:M37, "X")), "")</f>
        <v/>
      </c>
      <c r="N39" s="134">
        <f>IF(((COUNTIF(N18:N37, "✓") + COUNTIF(N18:N37, "✔") + COUNTIF(N18:N37, "v") + COUNTIF(N18:N37, "V")) + COUNTIF(N18:N37, "✗") + COUNTIF(N18:N37, "x") + COUNTIF(N18:N37, "X")) &gt; 0, (COUNTIF(N18:N37, "✓") + COUNTIF(N18:N37, "✔") + COUNTIF(N18:N37, "v") + COUNTIF(N18:N37, "V")) / ((COUNTIF(N18:N37, "✓") + COUNTIF(N18:N37, "✔") + COUNTIF(N18:N37, "v") + COUNTIF(N18:N37, "V")) + COUNTIF(N18:N37, "✗") + COUNTIF(N18:N37, "x") + COUNTIF(N18:N37, "X")), "")</f>
        <v/>
      </c>
      <c r="O39" s="134">
        <f>IF(((COUNTIF(O18:O37, "✓") + COUNTIF(O18:O37, "✔") + COUNTIF(O18:O37, "v") + COUNTIF(O18:O37, "V")) + COUNTIF(O18:O37, "✗") + COUNTIF(O18:O37, "x") + COUNTIF(O18:O37, "X")) &gt; 0, (COUNTIF(O18:O37, "✓") + COUNTIF(O18:O37, "✔") + COUNTIF(O18:O37, "v") + COUNTIF(O18:O37, "V")) / ((COUNTIF(O18:O37, "✓") + COUNTIF(O18:O37, "✔") + COUNTIF(O18:O37, "v") + COUNTIF(O18:O37, "V")) + COUNTIF(O18:O37, "✗") + COUNTIF(O18:O37, "x") + COUNTIF(O18:O37, "X")), "")</f>
        <v/>
      </c>
      <c r="P39" s="134">
        <f>IF(((COUNTIF(P18:P37, "✓") + COUNTIF(P18:P37, "✔") + COUNTIF(P18:P37, "v") + COUNTIF(P18:P37, "V")) + COUNTIF(P18:P37, "✗") + COUNTIF(P18:P37, "x") + COUNTIF(P18:P37, "X")) &gt; 0, (COUNTIF(P18:P37, "✓") + COUNTIF(P18:P37, "✔") + COUNTIF(P18:P37, "v") + COUNTIF(P18:P37, "V")) / ((COUNTIF(P18:P37, "✓") + COUNTIF(P18:P37, "✔") + COUNTIF(P18:P37, "v") + COUNTIF(P18:P37, "V")) + COUNTIF(P18:P37, "✗") + COUNTIF(P18:P37, "x") + COUNTIF(P18:P37, "X")), "")</f>
        <v/>
      </c>
      <c r="Q39" s="134">
        <f>IF(((COUNTIF(Q18:Q37, "✓") + COUNTIF(Q18:Q37, "✔") + COUNTIF(Q18:Q37, "v") + COUNTIF(Q18:Q37, "V")) + COUNTIF(Q18:Q37, "✗") + COUNTIF(Q18:Q37, "x") + COUNTIF(Q18:Q37, "X")) &gt; 0, (COUNTIF(Q18:Q37, "✓") + COUNTIF(Q18:Q37, "✔") + COUNTIF(Q18:Q37, "v") + COUNTIF(Q18:Q37, "V")) / ((COUNTIF(Q18:Q37, "✓") + COUNTIF(Q18:Q37, "✔") + COUNTIF(Q18:Q37, "v") + COUNTIF(Q18:Q37, "V")) + COUNTIF(Q18:Q37, "✗") + COUNTIF(Q18:Q37, "x") + COUNTIF(Q18:Q37, "X")), "")</f>
        <v/>
      </c>
      <c r="R39" s="134">
        <f>IF(((COUNTIF(R18:R37, "✓") + COUNTIF(R18:R37, "✔") + COUNTIF(R18:R37, "v") + COUNTIF(R18:R37, "V")) + COUNTIF(R18:R37, "✗") + COUNTIF(R18:R37, "x") + COUNTIF(R18:R37, "X")) &gt; 0, (COUNTIF(R18:R37, "✓") + COUNTIF(R18:R37, "✔") + COUNTIF(R18:R37, "v") + COUNTIF(R18:R37, "V")) / ((COUNTIF(R18:R37, "✓") + COUNTIF(R18:R37, "✔") + COUNTIF(R18:R37, "v") + COUNTIF(R18:R37, "V")) + COUNTIF(R18:R37, "✗") + COUNTIF(R18:R37, "x") + COUNTIF(R18:R37, "X")), "")</f>
        <v/>
      </c>
      <c r="S39" s="134">
        <f>IF(((COUNTIF(S18:S37, "✓") + COUNTIF(S18:S37, "✔") + COUNTIF(S18:S37, "v") + COUNTIF(S18:S37, "V")) + COUNTIF(S18:S37, "✗") + COUNTIF(S18:S37, "x") + COUNTIF(S18:S37, "X")) &gt; 0, (COUNTIF(S18:S37, "✓") + COUNTIF(S18:S37, "✔") + COUNTIF(S18:S37, "v") + COUNTIF(S18:S37, "V")) / ((COUNTIF(S18:S37, "✓") + COUNTIF(S18:S37, "✔") + COUNTIF(S18:S37, "v") + COUNTIF(S18:S37, "V")) + COUNTIF(S18:S37, "✗") + COUNTIF(S18:S37, "x") + COUNTIF(S18:S37, "X")), "")</f>
        <v/>
      </c>
      <c r="T39" s="134">
        <f>IF(((COUNTIF(T18:T37, "✓") + COUNTIF(T18:T37, "✔") + COUNTIF(T18:T37, "v") + COUNTIF(T18:T37, "V")) + COUNTIF(T18:T37, "✗") + COUNTIF(T18:T37, "x") + COUNTIF(T18:T37, "X")) &gt; 0, (COUNTIF(T18:T37, "✓") + COUNTIF(T18:T37, "✔") + COUNTIF(T18:T37, "v") + COUNTIF(T18:T37, "V")) / ((COUNTIF(T18:T37, "✓") + COUNTIF(T18:T37, "✔") + COUNTIF(T18:T37, "v") + COUNTIF(T18:T37, "V")) + COUNTIF(T18:T37, "✗") + COUNTIF(T18:T37, "x") + COUNTIF(T18:T37, "X")), "")</f>
        <v/>
      </c>
      <c r="U39" s="134">
        <f>IF(((COUNTIF(U18:U37, "✓") + COUNTIF(U18:U37, "✔") + COUNTIF(U18:U37, "v") + COUNTIF(U18:U37, "V")) + COUNTIF(U18:U37, "✗") + COUNTIF(U18:U37, "x") + COUNTIF(U18:U37, "X")) &gt; 0, (COUNTIF(U18:U37, "✓") + COUNTIF(U18:U37, "✔") + COUNTIF(U18:U37, "v") + COUNTIF(U18:U37, "V")) / ((COUNTIF(U18:U37, "✓") + COUNTIF(U18:U37, "✔") + COUNTIF(U18:U37, "v") + COUNTIF(U18:U37, "V")) + COUNTIF(U18:U37, "✗") + COUNTIF(U18:U37, "x") + COUNTIF(U18:U37, "X")), "")</f>
        <v/>
      </c>
      <c r="V39" s="134">
        <f>IF(((COUNTIF(V18:V37, "✓") + COUNTIF(V18:V37, "✔") + COUNTIF(V18:V37, "v") + COUNTIF(V18:V37, "V")) + COUNTIF(V18:V37, "✗") + COUNTIF(V18:V37, "x") + COUNTIF(V18:V37, "X")) &gt; 0, (COUNTIF(V18:V37, "✓") + COUNTIF(V18:V37, "✔") + COUNTIF(V18:V37, "v") + COUNTIF(V18:V37, "V")) / ((COUNTIF(V18:V37, "✓") + COUNTIF(V18:V37, "✔") + COUNTIF(V18:V37, "v") + COUNTIF(V18:V37, "V")) + COUNTIF(V18:V37, "✗") + COUNTIF(V18:V37, "x") + COUNTIF(V18:V37, "X")), "")</f>
        <v/>
      </c>
      <c r="W39" s="134">
        <f>IF(((COUNTIF(W18:W37, "✓") + COUNTIF(W18:W37, "✔") + COUNTIF(W18:W37, "v") + COUNTIF(W18:W37, "V")) + COUNTIF(W18:W37, "✗") + COUNTIF(W18:W37, "x") + COUNTIF(W18:W37, "X")) &gt; 0, (COUNTIF(W18:W37, "✓") + COUNTIF(W18:W37, "✔") + COUNTIF(W18:W37, "v") + COUNTIF(W18:W37, "V")) / ((COUNTIF(W18:W37, "✓") + COUNTIF(W18:W37, "✔") + COUNTIF(W18:W37, "v") + COUNTIF(W18:W37, "V")) + COUNTIF(W18:W37, "✗") + COUNTIF(W18:W37, "x") + COUNTIF(W18:W37, "X")), "")</f>
        <v/>
      </c>
      <c r="X39" s="134">
        <f>IF(((COUNTIF(X18:X37, "✓") + COUNTIF(X18:X37, "✔") + COUNTIF(X18:X37, "v") + COUNTIF(X18:X37, "V")) + COUNTIF(X18:X37, "✗") + COUNTIF(X18:X37, "x") + COUNTIF(X18:X37, "X")) &gt; 0, (COUNTIF(X18:X37, "✓") + COUNTIF(X18:X37, "✔") + COUNTIF(X18:X37, "v") + COUNTIF(X18:X37, "V")) / ((COUNTIF(X18:X37, "✓") + COUNTIF(X18:X37, "✔") + COUNTIF(X18:X37, "v") + COUNTIF(X18:X37, "V")) + COUNTIF(X18:X37, "✗") + COUNTIF(X18:X37, "x") + COUNTIF(X18:X37, "X")), "")</f>
        <v/>
      </c>
      <c r="Y39" s="134">
        <f>IF(((COUNTIF(Y18:Y37, "✓") + COUNTIF(Y18:Y37, "✔") + COUNTIF(Y18:Y37, "v") + COUNTIF(Y18:Y37, "V")) + COUNTIF(Y18:Y37, "✗") + COUNTIF(Y18:Y37, "x") + COUNTIF(Y18:Y37, "X")) &gt; 0, (COUNTIF(Y18:Y37, "✓") + COUNTIF(Y18:Y37, "✔") + COUNTIF(Y18:Y37, "v") + COUNTIF(Y18:Y37, "V")) / ((COUNTIF(Y18:Y37, "✓") + COUNTIF(Y18:Y37, "✔") + COUNTIF(Y18:Y37, "v") + COUNTIF(Y18:Y37, "V")) + COUNTIF(Y18:Y37, "✗") + COUNTIF(Y18:Y37, "x") + COUNTIF(Y18:Y37, "X")), "")</f>
        <v/>
      </c>
      <c r="Z39" s="134">
        <f>IF(((COUNTIF(Z18:Z37, "✓") + COUNTIF(Z18:Z37, "✔") + COUNTIF(Z18:Z37, "v") + COUNTIF(Z18:Z37, "V")) + COUNTIF(Z18:Z37, "✗") + COUNTIF(Z18:Z37, "x") + COUNTIF(Z18:Z37, "X")) &gt; 0, (COUNTIF(Z18:Z37, "✓") + COUNTIF(Z18:Z37, "✔") + COUNTIF(Z18:Z37, "v") + COUNTIF(Z18:Z37, "V")) / ((COUNTIF(Z18:Z37, "✓") + COUNTIF(Z18:Z37, "✔") + COUNTIF(Z18:Z37, "v") + COUNTIF(Z18:Z37, "V")) + COUNTIF(Z18:Z37, "✗") + COUNTIF(Z18:Z37, "x") + COUNTIF(Z18:Z37, "X")), "")</f>
        <v/>
      </c>
      <c r="AA39" s="134">
        <f>IF(((COUNTIF(AA18:AA37, "✓") + COUNTIF(AA18:AA37, "✔") + COUNTIF(AA18:AA37, "v") + COUNTIF(AA18:AA37, "V")) + COUNTIF(AA18:AA37, "✗") + COUNTIF(AA18:AA37, "x") + COUNTIF(AA18:AA37, "X")) &gt; 0, (COUNTIF(AA18:AA37, "✓") + COUNTIF(AA18:AA37, "✔") + COUNTIF(AA18:AA37, "v") + COUNTIF(AA18:AA37, "V")) / ((COUNTIF(AA18:AA37, "✓") + COUNTIF(AA18:AA37, "✔") + COUNTIF(AA18:AA37, "v") + COUNTIF(AA18:AA37, "V")) + COUNTIF(AA18:AA37, "✗") + COUNTIF(AA18:AA37, "x") + COUNTIF(AA18:AA37, "X")), "")</f>
        <v/>
      </c>
      <c r="AB39" s="134">
        <f>IF(((COUNTIF(AB18:AB37, "✓") + COUNTIF(AB18:AB37, "✔") + COUNTIF(AB18:AB37, "v") + COUNTIF(AB18:AB37, "V")) + COUNTIF(AB18:AB37, "✗") + COUNTIF(AB18:AB37, "x") + COUNTIF(AB18:AB37, "X")) &gt; 0, (COUNTIF(AB18:AB37, "✓") + COUNTIF(AB18:AB37, "✔") + COUNTIF(AB18:AB37, "v") + COUNTIF(AB18:AB37, "V")) / ((COUNTIF(AB18:AB37, "✓") + COUNTIF(AB18:AB37, "✔") + COUNTIF(AB18:AB37, "v") + COUNTIF(AB18:AB37, "V")) + COUNTIF(AB18:AB37, "✗") + COUNTIF(AB18:AB37, "x") + COUNTIF(AB18:AB37, "X")), "")</f>
        <v/>
      </c>
      <c r="AC39" s="134">
        <f>IF(((COUNTIF(AC18:AC37, "✓") + COUNTIF(AC18:AC37, "✔") + COUNTIF(AC18:AC37, "v") + COUNTIF(AC18:AC37, "V")) + COUNTIF(AC18:AC37, "✗") + COUNTIF(AC18:AC37, "x") + COUNTIF(AC18:AC37, "X")) &gt; 0, (COUNTIF(AC18:AC37, "✓") + COUNTIF(AC18:AC37, "✔") + COUNTIF(AC18:AC37, "v") + COUNTIF(AC18:AC37, "V")) / ((COUNTIF(AC18:AC37, "✓") + COUNTIF(AC18:AC37, "✔") + COUNTIF(AC18:AC37, "v") + COUNTIF(AC18:AC37, "V")) + COUNTIF(AC18:AC37, "✗") + COUNTIF(AC18:AC37, "x") + COUNTIF(AC18:AC37, "X")), "")</f>
        <v/>
      </c>
      <c r="AD39" s="134">
        <f>IF(((COUNTIF(AD18:AD37, "✓") + COUNTIF(AD18:AD37, "✔") + COUNTIF(AD18:AD37, "v") + COUNTIF(AD18:AD37, "V")) + COUNTIF(AD18:AD37, "✗") + COUNTIF(AD18:AD37, "x") + COUNTIF(AD18:AD37, "X")) &gt; 0, (COUNTIF(AD18:AD37, "✓") + COUNTIF(AD18:AD37, "✔") + COUNTIF(AD18:AD37, "v") + COUNTIF(AD18:AD37, "V")) / ((COUNTIF(AD18:AD37, "✓") + COUNTIF(AD18:AD37, "✔") + COUNTIF(AD18:AD37, "v") + COUNTIF(AD18:AD37, "V")) + COUNTIF(AD18:AD37, "✗") + COUNTIF(AD18:AD37, "x") + COUNTIF(AD18:AD37, "X")), "")</f>
        <v/>
      </c>
      <c r="AE39" s="134">
        <f>IF(((COUNTIF(AE18:AE37, "✓") + COUNTIF(AE18:AE37, "✔") + COUNTIF(AE18:AE37, "v") + COUNTIF(AE18:AE37, "V")) + COUNTIF(AE18:AE37, "✗") + COUNTIF(AE18:AE37, "x") + COUNTIF(AE18:AE37, "X")) &gt; 0, (COUNTIF(AE18:AE37, "✓") + COUNTIF(AE18:AE37, "✔") + COUNTIF(AE18:AE37, "v") + COUNTIF(AE18:AE37, "V")) / ((COUNTIF(AE18:AE37, "✓") + COUNTIF(AE18:AE37, "✔") + COUNTIF(AE18:AE37, "v") + COUNTIF(AE18:AE37, "V")) + COUNTIF(AE18:AE37, "✗") + COUNTIF(AE18:AE37, "x") + COUNTIF(AE18:AE37, "X")), "")</f>
        <v/>
      </c>
      <c r="AF39" s="134">
        <f>IF(((COUNTIF(AF18:AF37, "✓") + COUNTIF(AF18:AF37, "✔") + COUNTIF(AF18:AF37, "v") + COUNTIF(AF18:AF37, "V")) + COUNTIF(AF18:AF37, "✗") + COUNTIF(AF18:AF37, "x") + COUNTIF(AF18:AF37, "X")) &gt; 0, (COUNTIF(AF18:AF37, "✓") + COUNTIF(AF18:AF37, "✔") + COUNTIF(AF18:AF37, "v") + COUNTIF(AF18:AF37, "V")) / ((COUNTIF(AF18:AF37, "✓") + COUNTIF(AF18:AF37, "✔") + COUNTIF(AF18:AF37, "v") + COUNTIF(AF18:AF37, "V")) + COUNTIF(AF18:AF37, "✗") + COUNTIF(AF18:AF37, "x") + COUNTIF(AF18:AF37, "X")), "")</f>
        <v/>
      </c>
      <c r="AG39" s="134">
        <f>IF(((COUNTIF(AG18:AG37, "✓") + COUNTIF(AG18:AG37, "✔") + COUNTIF(AG18:AG37, "v") + COUNTIF(AG18:AG37, "V")) + COUNTIF(AG18:AG37, "✗") + COUNTIF(AG18:AG37, "x") + COUNTIF(AG18:AG37, "X")) &gt; 0, (COUNTIF(AG18:AG37, "✓") + COUNTIF(AG18:AG37, "✔") + COUNTIF(AG18:AG37, "v") + COUNTIF(AG18:AG37, "V")) / ((COUNTIF(AG18:AG37, "✓") + COUNTIF(AG18:AG37, "✔") + COUNTIF(AG18:AG37, "v") + COUNTIF(AG18:AG37, "V")) + COUNTIF(AG18:AG37, "✗") + COUNTIF(AG18:AG37, "x") + COUNTIF(AG18:AG37, "X")), "")</f>
        <v/>
      </c>
      <c r="AH39" s="134">
        <f>IF(((COUNTIF(AH18:AH37, "✓") + COUNTIF(AH18:AH37, "✔") + COUNTIF(AH18:AH37, "v") + COUNTIF(AH18:AH37, "V")) + COUNTIF(AH18:AH37, "✗") + COUNTIF(AH18:AH37, "x") + COUNTIF(AH18:AH37, "X")) &gt; 0, (COUNTIF(AH18:AH37, "✓") + COUNTIF(AH18:AH37, "✔") + COUNTIF(AH18:AH37, "v") + COUNTIF(AH18:AH37, "V")) / ((COUNTIF(AH18:AH37, "✓") + COUNTIF(AH18:AH37, "✔") + COUNTIF(AH18:AH37, "v") + COUNTIF(AH18:AH37, "V")) + COUNTIF(AH18:AH37, "✗") + COUNTIF(AH18:AH37, "x") + COUNTIF(AH18:AH37, "X")), "")</f>
        <v/>
      </c>
      <c r="AI39" s="134">
        <f>IF(((COUNTIF(AI18:AI37, "✓") + COUNTIF(AI18:AI37, "✔") + COUNTIF(AI18:AI37, "v") + COUNTIF(AI18:AI37, "V")) + COUNTIF(AI18:AI37, "✗") + COUNTIF(AI18:AI37, "x") + COUNTIF(AI18:AI37, "X")) &gt; 0, (COUNTIF(AI18:AI37, "✓") + COUNTIF(AI18:AI37, "✔") + COUNTIF(AI18:AI37, "v") + COUNTIF(AI18:AI37, "V")) / ((COUNTIF(AI18:AI37, "✓") + COUNTIF(AI18:AI37, "✔") + COUNTIF(AI18:AI37, "v") + COUNTIF(AI18:AI37, "V")) + COUNTIF(AI18:AI37, "✗") + COUNTIF(AI18:AI37, "x") + COUNTIF(AI18:AI37, "X")), "")</f>
        <v/>
      </c>
      <c r="AJ39" s="133">
        <f>IF(COUNT(E39:AI39) &gt; 0, AVERAGE(E39:AI39), "")</f>
        <v/>
      </c>
      <c r="AK39" s="54" t="n"/>
      <c r="AL39" s="54" t="n"/>
    </row>
    <row r="40" ht="6" customHeight="1"/>
    <row r="41" ht="15" customHeight="1">
      <c r="A41" s="135" t="inlineStr">
        <is>
          <t>IF SUCCESS &lt; 80%, PUNISHMENT: ________________________________________________</t>
        </is>
      </c>
    </row>
    <row r="42" ht="15" customHeight="1">
      <c r="A42" s="136" t="inlineStr">
        <is>
          <t>IF SUCCESS &gt; 90%, REWARD: __________________________________________________</t>
        </is>
      </c>
    </row>
    <row r="43" ht="10" customHeight="1"/>
    <row r="44" ht="10" customHeight="1"/>
    <row r="45" ht="15" customHeight="1">
      <c r="A45" s="51" t="inlineStr">
        <is>
          <t>Sleep Tracking</t>
        </is>
      </c>
      <c r="B45" s="52" t="n"/>
      <c r="C45" s="52" t="n"/>
      <c r="D45" s="52" t="n"/>
      <c r="E45" s="138" t="n">
        <v>1</v>
      </c>
      <c r="F45" s="137" t="n">
        <v>2</v>
      </c>
      <c r="G45" s="137" t="n">
        <v>3</v>
      </c>
      <c r="H45" s="137" t="n">
        <v>4</v>
      </c>
      <c r="I45" s="137" t="n">
        <v>5</v>
      </c>
      <c r="J45" s="137" t="n">
        <v>6</v>
      </c>
      <c r="K45" s="137" t="n">
        <v>7</v>
      </c>
      <c r="L45" s="138" t="n">
        <v>8</v>
      </c>
      <c r="M45" s="137" t="n">
        <v>9</v>
      </c>
      <c r="N45" s="137" t="n">
        <v>10</v>
      </c>
      <c r="O45" s="137" t="n">
        <v>11</v>
      </c>
      <c r="P45" s="137" t="n">
        <v>12</v>
      </c>
      <c r="Q45" s="137" t="n">
        <v>13</v>
      </c>
      <c r="R45" s="137" t="n">
        <v>14</v>
      </c>
      <c r="S45" s="138" t="n">
        <v>15</v>
      </c>
      <c r="T45" s="137" t="n">
        <v>16</v>
      </c>
      <c r="U45" s="137" t="n">
        <v>17</v>
      </c>
      <c r="V45" s="137" t="n">
        <v>18</v>
      </c>
      <c r="W45" s="137" t="n">
        <v>19</v>
      </c>
      <c r="X45" s="137" t="n">
        <v>20</v>
      </c>
      <c r="Y45" s="137" t="n">
        <v>21</v>
      </c>
      <c r="Z45" s="138" t="n">
        <v>22</v>
      </c>
      <c r="AA45" s="137" t="n">
        <v>23</v>
      </c>
      <c r="AB45" s="137" t="n">
        <v>24</v>
      </c>
      <c r="AC45" s="137" t="n">
        <v>25</v>
      </c>
      <c r="AD45" s="137" t="n">
        <v>26</v>
      </c>
      <c r="AE45" s="137" t="n">
        <v>27</v>
      </c>
      <c r="AF45" s="137" t="n">
        <v>28</v>
      </c>
      <c r="AG45" s="138" t="n">
        <v>29</v>
      </c>
      <c r="AH45" s="137" t="n">
        <v>30</v>
      </c>
      <c r="AI45" s="137" t="n">
        <v>31</v>
      </c>
    </row>
    <row r="46" ht="15" customHeight="1">
      <c r="A46" s="52" t="n"/>
      <c r="B46" s="52" t="n"/>
      <c r="C46" s="52" t="n"/>
      <c r="D46" s="52" t="n"/>
      <c r="E46" s="140" t="inlineStr">
        <is>
          <t>Su</t>
        </is>
      </c>
      <c r="F46" s="139" t="inlineStr">
        <is>
          <t>M</t>
        </is>
      </c>
      <c r="G46" s="139" t="inlineStr">
        <is>
          <t>T</t>
        </is>
      </c>
      <c r="H46" s="139" t="inlineStr">
        <is>
          <t>W</t>
        </is>
      </c>
      <c r="I46" s="139" t="inlineStr">
        <is>
          <t>Th</t>
        </is>
      </c>
      <c r="J46" s="139" t="inlineStr">
        <is>
          <t>F</t>
        </is>
      </c>
      <c r="K46" s="139" t="inlineStr">
        <is>
          <t>Sa</t>
        </is>
      </c>
      <c r="L46" s="140" t="inlineStr">
        <is>
          <t>Su</t>
        </is>
      </c>
      <c r="M46" s="139" t="inlineStr">
        <is>
          <t>M</t>
        </is>
      </c>
      <c r="N46" s="139" t="inlineStr">
        <is>
          <t>T</t>
        </is>
      </c>
      <c r="O46" s="139" t="inlineStr">
        <is>
          <t>W</t>
        </is>
      </c>
      <c r="P46" s="139" t="inlineStr">
        <is>
          <t>Th</t>
        </is>
      </c>
      <c r="Q46" s="139" t="inlineStr">
        <is>
          <t>F</t>
        </is>
      </c>
      <c r="R46" s="139" t="inlineStr">
        <is>
          <t>Sa</t>
        </is>
      </c>
      <c r="S46" s="140" t="inlineStr">
        <is>
          <t>Su</t>
        </is>
      </c>
      <c r="T46" s="139" t="inlineStr">
        <is>
          <t>M</t>
        </is>
      </c>
      <c r="U46" s="139" t="inlineStr">
        <is>
          <t>T</t>
        </is>
      </c>
      <c r="V46" s="139" t="inlineStr">
        <is>
          <t>W</t>
        </is>
      </c>
      <c r="W46" s="139" t="inlineStr">
        <is>
          <t>Th</t>
        </is>
      </c>
      <c r="X46" s="139" t="inlineStr">
        <is>
          <t>F</t>
        </is>
      </c>
      <c r="Y46" s="139" t="inlineStr">
        <is>
          <t>Sa</t>
        </is>
      </c>
      <c r="Z46" s="140" t="inlineStr">
        <is>
          <t>Su</t>
        </is>
      </c>
      <c r="AA46" s="139" t="inlineStr">
        <is>
          <t>M</t>
        </is>
      </c>
      <c r="AB46" s="139" t="inlineStr">
        <is>
          <t>T</t>
        </is>
      </c>
      <c r="AC46" s="139" t="inlineStr">
        <is>
          <t>W</t>
        </is>
      </c>
      <c r="AD46" s="139" t="inlineStr">
        <is>
          <t>Th</t>
        </is>
      </c>
      <c r="AE46" s="139" t="inlineStr">
        <is>
          <t>F</t>
        </is>
      </c>
      <c r="AF46" s="139" t="inlineStr">
        <is>
          <t>Sa</t>
        </is>
      </c>
      <c r="AG46" s="140" t="inlineStr">
        <is>
          <t>Su</t>
        </is>
      </c>
      <c r="AH46" s="139" t="inlineStr">
        <is>
          <t>M</t>
        </is>
      </c>
      <c r="AI46" s="139" t="inlineStr">
        <is>
          <t>T</t>
        </is>
      </c>
    </row>
    <row r="47" ht="20" customHeight="1">
      <c r="A47" s="141" t="inlineStr">
        <is>
          <t>Sleep Hours (1-24)</t>
        </is>
      </c>
      <c r="B47" s="142" t="n"/>
      <c r="C47" s="142" t="n"/>
      <c r="D47" s="142" t="n"/>
      <c r="E47" s="144" t="n"/>
      <c r="F47" s="143" t="n"/>
      <c r="G47" s="143" t="n"/>
      <c r="H47" s="143" t="n"/>
      <c r="I47" s="143" t="n"/>
      <c r="J47" s="143" t="n"/>
      <c r="K47" s="143" t="n"/>
      <c r="L47" s="144" t="n"/>
      <c r="M47" s="143" t="n"/>
      <c r="N47" s="143" t="n"/>
      <c r="O47" s="143" t="n"/>
      <c r="P47" s="143" t="n"/>
      <c r="Q47" s="143" t="n"/>
      <c r="R47" s="143" t="n"/>
      <c r="S47" s="144" t="n"/>
      <c r="T47" s="143" t="n"/>
      <c r="U47" s="143" t="n"/>
      <c r="V47" s="143" t="n"/>
      <c r="W47" s="143" t="n"/>
      <c r="X47" s="143" t="n"/>
      <c r="Y47" s="143" t="n"/>
      <c r="Z47" s="144" t="n"/>
      <c r="AA47" s="143" t="n"/>
      <c r="AB47" s="143" t="n"/>
      <c r="AC47" s="143" t="n"/>
      <c r="AD47" s="143" t="n"/>
      <c r="AE47" s="143" t="n"/>
      <c r="AF47" s="143" t="n"/>
      <c r="AG47" s="144" t="n"/>
      <c r="AH47" s="143" t="n"/>
      <c r="AI47" s="143" t="n"/>
    </row>
    <row r="48" ht="6" customHeight="1"/>
    <row r="49" ht="14" customHeight="1"/>
    <row r="50" ht="14" customHeight="1"/>
    <row r="51" ht="14" customHeight="1"/>
    <row r="52" ht="14" customHeight="1"/>
    <row r="53" ht="14" customHeight="1"/>
    <row r="54" ht="14" customHeight="1"/>
    <row r="55" ht="14" customHeight="1"/>
    <row r="56" ht="14" customHeight="1"/>
    <row r="57" ht="14" customHeight="1"/>
    <row r="58" ht="14" customHeight="1"/>
    <row r="59" ht="14" customHeight="1"/>
    <row r="60" ht="14" customHeight="1"/>
    <row r="61" ht="14" customHeight="1"/>
    <row r="62" ht="14" customHeight="1"/>
    <row r="63" ht="14" customHeight="1"/>
    <row r="64" ht="14" customHeight="1"/>
    <row r="65" ht="14" customHeight="1"/>
    <row r="66" ht="8" customHeight="1"/>
    <row r="67">
      <c r="A67" s="145" t="inlineStr">
        <is>
          <t>MONTHLY SUCCESS RATE</t>
        </is>
      </c>
      <c r="B67" s="9" t="n"/>
      <c r="C67" s="9" t="n"/>
      <c r="D67" s="9" t="n"/>
      <c r="F67" s="146" t="inlineStr">
        <is>
          <t>ACTIVE PROTOCOLS</t>
        </is>
      </c>
      <c r="G67" s="11" t="n"/>
      <c r="H67" s="11" t="n"/>
      <c r="I67" s="11" t="n"/>
      <c r="K67" s="147" t="inlineStr">
        <is>
          <t>PERFECT DAYS (100%)</t>
        </is>
      </c>
      <c r="L67" s="13" t="n"/>
      <c r="M67" s="13" t="n"/>
      <c r="N67" s="13" t="n"/>
      <c r="P67" s="148" t="inlineStr">
        <is>
          <t>AVG SLEEP DURATION</t>
        </is>
      </c>
      <c r="Q67" s="15" t="n"/>
      <c r="R67" s="15" t="n"/>
      <c r="S67" s="15" t="n"/>
    </row>
    <row r="68">
      <c r="A68" s="149">
        <f>IF(SUM(D18:D37)&gt;0, SUM(AM18:AM37)/SUM(D18:D37), 0)</f>
        <v/>
      </c>
      <c r="B68" s="9" t="n"/>
      <c r="C68" s="9" t="n"/>
      <c r="D68" s="9" t="n"/>
      <c r="F68" s="150">
        <f>COUNTA(B18:B37) &amp; " / 20"</f>
        <v/>
      </c>
      <c r="G68" s="11" t="n"/>
      <c r="H68" s="11" t="n"/>
      <c r="I68" s="11" t="n"/>
      <c r="K68" s="151">
        <f>COUNTIF(E39:AI39, 1) &amp; " Days"</f>
        <v/>
      </c>
      <c r="L68" s="13" t="n"/>
      <c r="M68" s="13" t="n"/>
      <c r="N68" s="13" t="n"/>
      <c r="P68" s="152">
        <f>IFERROR(TEXT(AVERAGE(E47:AI47), "0.0") &amp; " hrs", "-")</f>
        <v/>
      </c>
      <c r="Q68" s="15" t="n"/>
      <c r="R68" s="15" t="n"/>
      <c r="S68" s="15" t="n"/>
    </row>
    <row r="69">
      <c r="A69" s="9" t="n"/>
      <c r="B69" s="9" t="n"/>
      <c r="C69" s="9" t="n"/>
      <c r="D69" s="9" t="n"/>
      <c r="F69" s="11" t="n"/>
      <c r="G69" s="11" t="n"/>
      <c r="H69" s="11" t="n"/>
      <c r="I69" s="11" t="n"/>
      <c r="K69" s="13" t="n"/>
      <c r="L69" s="13" t="n"/>
      <c r="M69" s="13" t="n"/>
      <c r="N69" s="13" t="n"/>
      <c r="P69" s="15" t="n"/>
      <c r="Q69" s="15" t="n"/>
      <c r="R69" s="15" t="n"/>
      <c r="S69" s="15" t="n"/>
    </row>
    <row r="70">
      <c r="A70" s="9" t="n"/>
      <c r="B70" s="9" t="n"/>
      <c r="C70" s="9" t="n"/>
      <c r="D70" s="9" t="n"/>
      <c r="F70" s="11" t="n"/>
      <c r="G70" s="11" t="n"/>
      <c r="H70" s="11" t="n"/>
      <c r="I70" s="11" t="n"/>
      <c r="K70" s="13" t="n"/>
      <c r="L70" s="13" t="n"/>
      <c r="M70" s="13" t="n"/>
      <c r="N70" s="13" t="n"/>
      <c r="P70" s="15" t="n"/>
      <c r="Q70" s="15" t="n"/>
      <c r="R70" s="15" t="n"/>
      <c r="S70" s="15" t="n"/>
    </row>
    <row r="71">
      <c r="A71" s="153" t="inlineStr">
        <is>
          <t>Target Completion</t>
        </is>
      </c>
      <c r="B71" s="9" t="n"/>
      <c r="C71" s="9" t="n"/>
      <c r="D71" s="9" t="n"/>
      <c r="F71" s="154" t="inlineStr">
        <is>
          <t>Habits Tracked</t>
        </is>
      </c>
      <c r="G71" s="11" t="n"/>
      <c r="H71" s="11" t="n"/>
      <c r="I71" s="11" t="n"/>
      <c r="K71" s="155" t="inlineStr">
        <is>
          <t>All Marked Habits Completed</t>
        </is>
      </c>
      <c r="L71" s="13" t="n"/>
      <c r="M71" s="13" t="n"/>
      <c r="N71" s="13" t="n"/>
      <c r="P71" s="156" t="inlineStr">
        <is>
          <t>Nightly Rest Average</t>
        </is>
      </c>
      <c r="Q71" s="15" t="n"/>
      <c r="R71" s="15" t="n"/>
      <c r="S71" s="15" t="n"/>
    </row>
    <row r="72" ht="8" customHeight="1"/>
    <row r="73" ht="6" customHeight="1"/>
    <row r="74">
      <c r="A74" s="67" t="inlineStr">
        <is>
          <t>WEEKLY PERFORMANCE (SLUMP DETECTOR)</t>
        </is>
      </c>
      <c r="B74" s="29" t="n"/>
      <c r="C74" s="29" t="n"/>
      <c r="D74" s="29" t="n"/>
      <c r="E74" s="29" t="n"/>
      <c r="N74" s="157" t="inlineStr">
        <is>
          <t>LIFE DOMAIN / CATEGORY BREAKDOWN</t>
        </is>
      </c>
      <c r="O74" s="158" t="n"/>
      <c r="P74" s="158" t="n"/>
      <c r="Q74" s="158" t="n"/>
      <c r="R74" s="158" t="n"/>
      <c r="S74" s="158" t="n"/>
    </row>
    <row r="75" ht="15" customHeight="1">
      <c r="A75" s="53" t="inlineStr">
        <is>
          <t>Week</t>
        </is>
      </c>
      <c r="B75" s="53" t="inlineStr">
        <is>
          <t>Days Range</t>
        </is>
      </c>
      <c r="C75" s="53" t="inlineStr">
        <is>
          <t>Checks Done</t>
        </is>
      </c>
      <c r="D75" s="53" t="inlineStr">
        <is>
          <t>Evaluated</t>
        </is>
      </c>
      <c r="E75" s="53" t="inlineStr">
        <is>
          <t>Success %</t>
        </is>
      </c>
      <c r="N75" s="53" t="inlineStr">
        <is>
          <t>Domain / Category</t>
        </is>
      </c>
      <c r="O75" s="54" t="n"/>
      <c r="P75" s="53" t="inlineStr">
        <is>
          <t>Active Habits</t>
        </is>
      </c>
      <c r="Q75" s="53" t="inlineStr">
        <is>
          <t>Target Days</t>
        </is>
      </c>
      <c r="R75" s="53" t="inlineStr">
        <is>
          <t>Done Checks</t>
        </is>
      </c>
      <c r="S75" s="53" t="inlineStr">
        <is>
          <t>Success %</t>
        </is>
      </c>
    </row>
    <row r="76" ht="14" customHeight="1">
      <c r="A76" s="33" t="inlineStr">
        <is>
          <t>Week 1</t>
        </is>
      </c>
      <c r="B76" s="34" t="inlineStr">
        <is>
          <t>Days 1 - 7</t>
        </is>
      </c>
      <c r="C76" s="34">
        <f>COUNTIF(E18:K37, "✓")</f>
        <v/>
      </c>
      <c r="D76" s="34">
        <f>COUNTIF(E18:K37, "✓") + COUNTIF(E18:K37, "✗")</f>
        <v/>
      </c>
      <c r="E76" s="35">
        <f>IFERROR(C76/D76, 0)</f>
        <v/>
      </c>
      <c r="N76" s="60" t="inlineStr">
        <is>
          <t>Health &amp; Fitness</t>
        </is>
      </c>
      <c r="O76" s="54" t="n"/>
      <c r="P76" s="34">
        <f>COUNTIF($C$18:$C$37, "Health &amp; Fitness")</f>
        <v/>
      </c>
      <c r="Q76" s="34">
        <f>SUMIF($C$18:$C$37, "Health &amp; Fitness", $D$18:$D$37)</f>
        <v/>
      </c>
      <c r="R76" s="34">
        <f>SUMIF($C$18:$C$37, "Health &amp; Fitness", $AM$18:$AM$37)</f>
        <v/>
      </c>
      <c r="S76" s="35">
        <f>IFERROR(R76/Q76, 0)</f>
        <v/>
      </c>
    </row>
    <row r="77" ht="14" customHeight="1">
      <c r="A77" s="33" t="inlineStr">
        <is>
          <t>Week 2</t>
        </is>
      </c>
      <c r="B77" s="34" t="inlineStr">
        <is>
          <t>Days 8 - 14</t>
        </is>
      </c>
      <c r="C77" s="34">
        <f>COUNTIF(L18:R37, "✓")</f>
        <v/>
      </c>
      <c r="D77" s="34">
        <f>COUNTIF(L18:R37, "✓") + COUNTIF(L18:R37, "✗")</f>
        <v/>
      </c>
      <c r="E77" s="35">
        <f>IFERROR(C77/D77, 0)</f>
        <v/>
      </c>
      <c r="N77" s="60" t="inlineStr">
        <is>
          <t>Mindset &amp; Learning</t>
        </is>
      </c>
      <c r="O77" s="54" t="n"/>
      <c r="P77" s="34">
        <f>COUNTIF($C$18:$C$37, "Mindset &amp; Learning")</f>
        <v/>
      </c>
      <c r="Q77" s="34">
        <f>SUMIF($C$18:$C$37, "Mindset &amp; Learning", $D$18:$D$37)</f>
        <v/>
      </c>
      <c r="R77" s="34">
        <f>SUMIF($C$18:$C$37, "Mindset &amp; Learning", $AM$18:$AM$37)</f>
        <v/>
      </c>
      <c r="S77" s="35">
        <f>IFERROR(R77/Q77, 0)</f>
        <v/>
      </c>
    </row>
    <row r="78" ht="14" customHeight="1">
      <c r="A78" s="33" t="inlineStr">
        <is>
          <t>Week 3</t>
        </is>
      </c>
      <c r="B78" s="34" t="inlineStr">
        <is>
          <t>Days 15 - 21</t>
        </is>
      </c>
      <c r="C78" s="34">
        <f>COUNTIF(S18:Y37, "✓")</f>
        <v/>
      </c>
      <c r="D78" s="34">
        <f>COUNTIF(S18:Y37, "✓") + COUNTIF(S18:Y37, "✗")</f>
        <v/>
      </c>
      <c r="E78" s="35">
        <f>IFERROR(C78/D78, 0)</f>
        <v/>
      </c>
      <c r="N78" s="60" t="inlineStr">
        <is>
          <t>Career &amp; Focus</t>
        </is>
      </c>
      <c r="O78" s="54" t="n"/>
      <c r="P78" s="34">
        <f>COUNTIF($C$18:$C$37, "Career &amp; Focus")</f>
        <v/>
      </c>
      <c r="Q78" s="34">
        <f>SUMIF($C$18:$C$37, "Career &amp; Focus", $D$18:$D$37)</f>
        <v/>
      </c>
      <c r="R78" s="34">
        <f>SUMIF($C$18:$C$37, "Career &amp; Focus", $AM$18:$AM$37)</f>
        <v/>
      </c>
      <c r="S78" s="35">
        <f>IFERROR(R78/Q78, 0)</f>
        <v/>
      </c>
    </row>
    <row r="79" ht="14" customHeight="1">
      <c r="A79" s="33" t="inlineStr">
        <is>
          <t>Week 4</t>
        </is>
      </c>
      <c r="B79" s="34" t="inlineStr">
        <is>
          <t>Days 22 - 28</t>
        </is>
      </c>
      <c r="C79" s="34">
        <f>COUNTIF(Z18:AF37, "✓")</f>
        <v/>
      </c>
      <c r="D79" s="34">
        <f>COUNTIF(Z18:AF37, "✓") + COUNTIF(Z18:AF37, "✗")</f>
        <v/>
      </c>
      <c r="E79" s="35">
        <f>IFERROR(C79/D79, 0)</f>
        <v/>
      </c>
      <c r="N79" s="60" t="inlineStr">
        <is>
          <t>Personal &amp; Home</t>
        </is>
      </c>
      <c r="O79" s="54" t="n"/>
      <c r="P79" s="34">
        <f>COUNTIF($C$18:$C$37, "Personal &amp; Home")</f>
        <v/>
      </c>
      <c r="Q79" s="34">
        <f>SUMIF($C$18:$C$37, "Personal &amp; Home", $D$18:$D$37)</f>
        <v/>
      </c>
      <c r="R79" s="34">
        <f>SUMIF($C$18:$C$37, "Personal &amp; Home", $AM$18:$AM$37)</f>
        <v/>
      </c>
      <c r="S79" s="35">
        <f>IFERROR(R79/Q79, 0)</f>
        <v/>
      </c>
    </row>
    <row r="80" ht="14" customHeight="1">
      <c r="A80" s="33" t="inlineStr">
        <is>
          <t>Week 5</t>
        </is>
      </c>
      <c r="B80" s="34" t="inlineStr">
        <is>
          <t>Days 29 - 31</t>
        </is>
      </c>
      <c r="C80" s="34">
        <f>COUNTIF(AG18:AI37, "✓")</f>
        <v/>
      </c>
      <c r="D80" s="34">
        <f>COUNTIF(AG18:AI37, "✓") + COUNTIF(AG18:AI37, "✗")</f>
        <v/>
      </c>
      <c r="E80" s="35">
        <f>IFERROR(C80/D80, 0)</f>
        <v/>
      </c>
      <c r="N80" s="60" t="inlineStr">
        <is>
          <t>Finance &amp; Wealth</t>
        </is>
      </c>
      <c r="O80" s="54" t="n"/>
      <c r="P80" s="34">
        <f>COUNTIF($C$18:$C$37, "Finance &amp; Wealth")</f>
        <v/>
      </c>
      <c r="Q80" s="34">
        <f>SUMIF($C$18:$C$37, "Finance &amp; Wealth", $D$18:$D$37)</f>
        <v/>
      </c>
      <c r="R80" s="34">
        <f>SUMIF($C$18:$C$37, "Finance &amp; Wealth", $AM$18:$AM$37)</f>
        <v/>
      </c>
      <c r="S80" s="35">
        <f>IFERROR(R80/Q80, 0)</f>
        <v/>
      </c>
    </row>
    <row r="81" ht="14" customHeight="1">
      <c r="A81" s="33" t="inlineStr">
        <is>
          <t>Total / Avg</t>
        </is>
      </c>
      <c r="B81" s="159" t="inlineStr">
        <is>
          <t>Month Total</t>
        </is>
      </c>
      <c r="C81" s="33">
        <f>SUM(C76:C80)</f>
        <v/>
      </c>
      <c r="D81" s="33">
        <f>SUM(D76:D80)</f>
        <v/>
      </c>
      <c r="E81" s="133">
        <f>IFERROR(C81/D81, 0)</f>
        <v/>
      </c>
    </row>
    <row r="82" ht="10" customHeight="1"/>
    <row r="83" ht="10" customHeight="1"/>
    <row r="84">
      <c r="A84" s="51" t="inlineStr">
        <is>
          <t>SLEEP &amp; PRODUCTIVITY CORRELATION ANALYSIS</t>
        </is>
      </c>
      <c r="B84" s="52" t="n"/>
      <c r="C84" s="52" t="n"/>
      <c r="D84" s="52" t="n"/>
      <c r="E84" s="52" t="n"/>
      <c r="F84" s="52" t="n"/>
      <c r="G84" s="52" t="n"/>
      <c r="H84" s="52" t="n"/>
      <c r="I84" s="52" t="n"/>
      <c r="J84" s="52" t="n"/>
      <c r="K84" s="52" t="n"/>
      <c r="L84" s="52" t="n"/>
      <c r="M84" s="52" t="n"/>
      <c r="N84" s="52" t="n"/>
      <c r="O84" s="52" t="n"/>
      <c r="P84" s="52" t="n"/>
      <c r="Q84" s="52" t="n"/>
      <c r="R84" s="52" t="n"/>
      <c r="S84" s="52" t="n"/>
      <c r="T84" s="52" t="n"/>
      <c r="U84" s="52" t="n"/>
      <c r="V84" s="52" t="n"/>
      <c r="W84" s="52" t="n"/>
      <c r="X84" s="52" t="n"/>
      <c r="Y84" s="52" t="n"/>
      <c r="Z84" s="52" t="n"/>
      <c r="AA84" s="52" t="n"/>
      <c r="AB84" s="52" t="n"/>
      <c r="AC84" s="52" t="n"/>
      <c r="AD84" s="52" t="n"/>
      <c r="AE84" s="52" t="n"/>
      <c r="AF84" s="52" t="n"/>
      <c r="AG84" s="52" t="n"/>
      <c r="AH84" s="52" t="n"/>
      <c r="AI84" s="52" t="n"/>
      <c r="AJ84" s="52" t="n"/>
      <c r="AK84" s="52" t="n"/>
      <c r="AL84" s="52" t="n"/>
    </row>
    <row r="85" ht="15" customHeight="1">
      <c r="A85" s="53" t="inlineStr">
        <is>
          <t>Rest Category</t>
        </is>
      </c>
      <c r="B85" s="54" t="n"/>
      <c r="C85" s="54" t="n"/>
      <c r="D85" s="53" t="inlineStr">
        <is>
          <t>Day Criteria</t>
        </is>
      </c>
      <c r="E85" s="54" t="n"/>
      <c r="F85" s="54" t="n"/>
      <c r="G85" s="53" t="inlineStr">
        <is>
          <t>Days Logged</t>
        </is>
      </c>
      <c r="H85" s="54" t="n"/>
      <c r="I85" s="54" t="n"/>
      <c r="J85" s="53" t="inlineStr">
        <is>
          <t>Avg Sleep Duration</t>
        </is>
      </c>
      <c r="K85" s="54" t="n"/>
      <c r="L85" s="54" t="n"/>
      <c r="M85" s="54" t="n"/>
      <c r="N85" s="53" t="inlineStr">
        <is>
          <t>Avg Habit Success %</t>
        </is>
      </c>
      <c r="O85" s="54" t="n"/>
      <c r="P85" s="54" t="n"/>
      <c r="Q85" s="54" t="n"/>
      <c r="R85" s="53" t="inlineStr">
        <is>
          <t>Productivity Delta</t>
        </is>
      </c>
      <c r="S85" s="54" t="n"/>
      <c r="T85" s="54" t="n"/>
      <c r="U85" s="54" t="n"/>
    </row>
    <row r="86" ht="15" customHeight="1">
      <c r="A86" s="160" t="inlineStr">
        <is>
          <t>Optimal Rest</t>
        </is>
      </c>
      <c r="B86" s="161" t="n"/>
      <c r="C86" s="56" t="n"/>
      <c r="D86" s="34" t="inlineStr">
        <is>
          <t>&gt;= 7 Hours / Night</t>
        </is>
      </c>
      <c r="E86" s="161" t="n"/>
      <c r="F86" s="56" t="n"/>
      <c r="G86" s="33">
        <f>COUNTIF(E47:AI47, "&gt;=7")</f>
        <v/>
      </c>
      <c r="H86" s="161" t="n"/>
      <c r="I86" s="56" t="n"/>
      <c r="J86" s="34">
        <f>IFERROR(TEXT(AVERAGEIF(E47:AI47, "&gt;=7"), "0.0") &amp; " hrs", "-")</f>
        <v/>
      </c>
      <c r="K86" s="161" t="n"/>
      <c r="L86" s="161" t="n"/>
      <c r="M86" s="56" t="n"/>
      <c r="N86" s="42">
        <f>IFERROR(AVERAGEIFS(E39:AI39, E47:AI47, "&gt;=7", E39:AI39, "&gt;0"), 0)</f>
        <v/>
      </c>
      <c r="O86" s="161" t="n"/>
      <c r="P86" s="161" t="n"/>
      <c r="Q86" s="56" t="n"/>
      <c r="R86" s="159" t="inlineStr">
        <is>
          <t>Baseline (Target)</t>
        </is>
      </c>
      <c r="S86" s="161" t="n"/>
      <c r="T86" s="161" t="n"/>
      <c r="U86" s="56" t="n"/>
    </row>
    <row r="87" ht="15" customHeight="1">
      <c r="A87" s="162" t="inlineStr">
        <is>
          <t>Sleep Deficit</t>
        </is>
      </c>
      <c r="B87" s="161" t="n"/>
      <c r="C87" s="56" t="n"/>
      <c r="D87" s="34" t="inlineStr">
        <is>
          <t>&lt; 7 Hours / Night</t>
        </is>
      </c>
      <c r="E87" s="161" t="n"/>
      <c r="F87" s="56" t="n"/>
      <c r="G87" s="33">
        <f>COUNTIF(E47:AI47, "&lt;7") - COUNTIF(E47:AI47, "")</f>
        <v/>
      </c>
      <c r="H87" s="161" t="n"/>
      <c r="I87" s="56" t="n"/>
      <c r="J87" s="34">
        <f>IFERROR(TEXT(AVERAGEIFS(E47:AI47, E47:AI47, "&lt;7", E47:AI47, "&gt;0"), "0.0") &amp; " hrs", "-")</f>
        <v/>
      </c>
      <c r="K87" s="161" t="n"/>
      <c r="L87" s="161" t="n"/>
      <c r="M87" s="56" t="n"/>
      <c r="N87" s="163">
        <f>IFERROR(AVERAGEIFS(E39:AI39, E47:AI47, "&lt;7", E39:AI39, "&gt;0"), 0)</f>
        <v/>
      </c>
      <c r="O87" s="161" t="n"/>
      <c r="P87" s="161" t="n"/>
      <c r="Q87" s="56" t="n"/>
      <c r="R87" s="160">
        <f>IFERROR(TEXT(N86 - N87, "+0.0%;-0.0%;0.0%") &amp; " Rest Advantage", "-")</f>
        <v/>
      </c>
      <c r="S87" s="161" t="n"/>
      <c r="T87" s="161" t="n"/>
      <c r="U87" s="56" t="n"/>
    </row>
    <row r="88" ht="18" customHeight="1">
      <c r="A88" s="164">
        <f>IF(AND(ISNUMBER(N86), ISNUMBER(N87), N86&gt;0, N87&gt;0), "💡 Sleep Correlation Insight: You complete " &amp; TEXT(ABS(N86-N87), "0.0%") &amp; IF(N86&gt;=N87, " MORE habits on days with 7+ hours of sleep!", " fewer habits on days with 7+ hours of sleep."), "💡 Log both habits and sleep hours daily to unlock automatic AI correlation insights!")</f>
        <v/>
      </c>
      <c r="B88" s="161" t="n"/>
      <c r="C88" s="161" t="n"/>
      <c r="D88" s="161" t="n"/>
      <c r="E88" s="161" t="n"/>
      <c r="F88" s="161" t="n"/>
      <c r="G88" s="161" t="n"/>
      <c r="H88" s="161" t="n"/>
      <c r="I88" s="161" t="n"/>
      <c r="J88" s="161" t="n"/>
      <c r="K88" s="161" t="n"/>
      <c r="L88" s="161" t="n"/>
      <c r="M88" s="161" t="n"/>
      <c r="N88" s="161" t="n"/>
      <c r="O88" s="161" t="n"/>
      <c r="P88" s="161" t="n"/>
      <c r="Q88" s="161" t="n"/>
      <c r="R88" s="161" t="n"/>
      <c r="S88" s="161" t="n"/>
      <c r="T88" s="161" t="n"/>
      <c r="U88" s="161" t="n"/>
      <c r="V88" s="161" t="n"/>
      <c r="W88" s="161" t="n"/>
      <c r="X88" s="161" t="n"/>
      <c r="Y88" s="161" t="n"/>
      <c r="Z88" s="161" t="n"/>
      <c r="AA88" s="161" t="n"/>
      <c r="AB88" s="161" t="n"/>
      <c r="AC88" s="161" t="n"/>
      <c r="AD88" s="161" t="n"/>
      <c r="AE88" s="161" t="n"/>
      <c r="AF88" s="161" t="n"/>
      <c r="AG88" s="161" t="n"/>
      <c r="AH88" s="161" t="n"/>
      <c r="AI88" s="161" t="n"/>
      <c r="AJ88" s="161" t="n"/>
      <c r="AK88" s="161" t="n"/>
      <c r="AL88" s="56" t="n"/>
    </row>
    <row r="89" ht="10" customHeight="1"/>
    <row r="90">
      <c r="A90" s="43" t="inlineStr">
        <is>
          <t>STANDARDIZED DATA BRIDGE (FOR ANNUAL &amp; QUARTERLY REVIEW SHEETS)</t>
        </is>
      </c>
      <c r="B90" s="44" t="n"/>
      <c r="C90" s="44" t="n"/>
      <c r="D90" s="44" t="n"/>
      <c r="E90" s="44" t="n"/>
      <c r="F90" s="44" t="n"/>
      <c r="G90" s="44" t="n"/>
      <c r="H90" s="44" t="n"/>
      <c r="I90" s="44" t="n"/>
      <c r="J90" s="44" t="n"/>
      <c r="K90" s="44" t="n"/>
      <c r="L90" s="44" t="n"/>
      <c r="M90" s="44" t="n"/>
      <c r="N90" s="44" t="n"/>
      <c r="O90" s="44" t="n"/>
      <c r="P90" s="44" t="n"/>
      <c r="Q90" s="44" t="n"/>
      <c r="R90" s="44" t="n"/>
      <c r="S90" s="44" t="n"/>
      <c r="T90" s="44" t="n"/>
      <c r="U90" s="44" t="n"/>
      <c r="V90" s="44" t="n"/>
      <c r="W90" s="44" t="n"/>
      <c r="X90" s="44" t="n"/>
      <c r="Y90" s="44" t="n"/>
      <c r="Z90" s="44" t="n"/>
      <c r="AA90" s="44" t="n"/>
      <c r="AB90" s="44" t="n"/>
      <c r="AC90" s="44" t="n"/>
      <c r="AD90" s="44" t="n"/>
      <c r="AE90" s="44" t="n"/>
      <c r="AF90" s="44" t="n"/>
      <c r="AG90" s="44" t="n"/>
      <c r="AH90" s="44" t="n"/>
      <c r="AI90" s="44" t="n"/>
      <c r="AJ90" s="44" t="n"/>
      <c r="AK90" s="44" t="n"/>
      <c r="AL90" s="44" t="n"/>
    </row>
    <row r="91" ht="15" customHeight="1">
      <c r="A91" s="53" t="inlineStr">
        <is>
          <t>Month</t>
        </is>
      </c>
      <c r="B91" s="54" t="n"/>
      <c r="C91" s="53" t="inlineStr">
        <is>
          <t>Year</t>
        </is>
      </c>
      <c r="D91" s="54" t="n"/>
      <c r="E91" s="53" t="inlineStr">
        <is>
          <t>Active Habits</t>
        </is>
      </c>
      <c r="F91" s="54" t="n"/>
      <c r="G91" s="53" t="inlineStr">
        <is>
          <t>Target Days</t>
        </is>
      </c>
      <c r="H91" s="54" t="n"/>
      <c r="I91" s="53" t="inlineStr">
        <is>
          <t>Done Checks</t>
        </is>
      </c>
      <c r="J91" s="54" t="n"/>
      <c r="K91" s="53" t="inlineStr">
        <is>
          <t>Success %</t>
        </is>
      </c>
      <c r="L91" s="54" t="n"/>
      <c r="M91" s="53" t="inlineStr">
        <is>
          <t>Perfect Days</t>
        </is>
      </c>
      <c r="N91" s="54" t="n"/>
      <c r="O91" s="53" t="inlineStr">
        <is>
          <t>Avg Sleep</t>
        </is>
      </c>
      <c r="P91" s="54" t="n"/>
      <c r="Q91" s="53" t="inlineStr">
        <is>
          <t>Best Week</t>
        </is>
      </c>
      <c r="R91" s="54" t="n"/>
      <c r="S91" s="54" t="n"/>
      <c r="T91" s="53" t="inlineStr">
        <is>
          <t>Top Life Domain</t>
        </is>
      </c>
      <c r="U91" s="54" t="n"/>
      <c r="V91" s="54" t="n"/>
      <c r="W91" s="54" t="n"/>
    </row>
    <row r="92" ht="16" customHeight="1">
      <c r="A92" s="165" t="inlineStr">
        <is>
          <t>Jul</t>
        </is>
      </c>
      <c r="B92" s="56" t="n"/>
      <c r="C92" s="165" t="n">
        <v>2029</v>
      </c>
      <c r="D92" s="56" t="n"/>
      <c r="E92" s="166">
        <f>COUNTA(B18:B37)</f>
        <v/>
      </c>
      <c r="F92" s="56" t="n"/>
      <c r="G92" s="166">
        <f>SUM(D18:D37)</f>
        <v/>
      </c>
      <c r="H92" s="56" t="n"/>
      <c r="I92" s="166">
        <f>SUM(AM18:AM37)</f>
        <v/>
      </c>
      <c r="J92" s="56" t="n"/>
      <c r="K92" s="167">
        <f>IF(G92&gt;0, I92/G92, 0)</f>
        <v/>
      </c>
      <c r="L92" s="56" t="n"/>
      <c r="M92" s="166">
        <f>COUNTIF(E39:AI39, 1)</f>
        <v/>
      </c>
      <c r="N92" s="56" t="n"/>
      <c r="O92" s="168">
        <f>IFERROR(AVERAGE(E47:AI47), 0)</f>
        <v/>
      </c>
      <c r="P92" s="56" t="n"/>
      <c r="Q92" s="166">
        <f>INDEX(A76:A80, MATCH(MAX(E76:E80), E76:E80, 0))</f>
        <v/>
      </c>
      <c r="R92" s="161" t="n"/>
      <c r="S92" s="56" t="n"/>
      <c r="T92" s="166">
        <f>INDEX(N76:N80, MATCH(MAX(S76:S80), S76:S80, 0))</f>
        <v/>
      </c>
      <c r="U92" s="161" t="n"/>
      <c r="V92" s="161" t="n"/>
      <c r="W92" s="56" t="n"/>
    </row>
    <row r="93" ht="14" customHeight="1">
      <c r="A93" s="169" t="inlineStr">
        <is>
          <t>📋 Note: Reference or copy Row 92 directly into an Annual / Quarterly review dashboard to track yearly habit trends.</t>
        </is>
      </c>
    </row>
    <row r="94" ht="8" customHeight="1"/>
    <row r="95">
      <c r="A95" s="170" t="inlineStr">
        <is>
          <t>🏆 MONTHLY WINS &amp; HIGHLIGHTS</t>
        </is>
      </c>
      <c r="J95" s="171" t="inlineStr">
        <is>
          <t>⚠️ FRICTION POINTS &amp; ROOT CAUSES</t>
        </is>
      </c>
      <c r="S95" s="172" t="inlineStr">
        <is>
          <t>🎯 3 KEY ADJUSTMENTS FOR NEXT MONTH</t>
        </is>
      </c>
    </row>
    <row r="96">
      <c r="A96" s="173" t="inlineStr">
        <is>
          <t>1. What went exceptionally well this month?
2. Which habit felt effortless and consistent?
3. Major milestone achieved:</t>
        </is>
      </c>
      <c r="B96" s="174" t="n"/>
      <c r="C96" s="174" t="n"/>
      <c r="D96" s="174" t="n"/>
      <c r="E96" s="174" t="n"/>
      <c r="F96" s="174" t="n"/>
      <c r="G96" s="174" t="n"/>
      <c r="H96" s="174" t="n"/>
      <c r="J96" s="175" t="inlineStr">
        <is>
          <t>1. What caused missed or skipped days?
2. Main triggers / energy drains encountered:
3. Which habit had the lowest consistency and why?</t>
        </is>
      </c>
      <c r="K96" s="176" t="n"/>
      <c r="L96" s="176" t="n"/>
      <c r="M96" s="176" t="n"/>
      <c r="N96" s="176" t="n"/>
      <c r="O96" s="176" t="n"/>
      <c r="P96" s="176" t="n"/>
      <c r="Q96" s="176" t="n"/>
      <c r="S96" s="177" t="inlineStr">
        <is>
          <t>1. Habit Stacking or time adjustment for next month:
2. Environment design change to eliminate friction:
3. One non-negotiable priority protocol:</t>
        </is>
      </c>
      <c r="T96" s="178" t="n"/>
      <c r="U96" s="178" t="n"/>
      <c r="V96" s="178" t="n"/>
      <c r="W96" s="178" t="n"/>
      <c r="X96" s="178" t="n"/>
      <c r="Y96" s="178" t="n"/>
      <c r="Z96" s="178" t="n"/>
    </row>
    <row r="97">
      <c r="A97" s="174" t="n"/>
      <c r="B97" s="174" t="n"/>
      <c r="C97" s="174" t="n"/>
      <c r="D97" s="174" t="n"/>
      <c r="E97" s="174" t="n"/>
      <c r="F97" s="174" t="n"/>
      <c r="G97" s="174" t="n"/>
      <c r="H97" s="174" t="n"/>
      <c r="J97" s="176" t="n"/>
      <c r="K97" s="176" t="n"/>
      <c r="L97" s="176" t="n"/>
      <c r="M97" s="176" t="n"/>
      <c r="N97" s="176" t="n"/>
      <c r="O97" s="176" t="n"/>
      <c r="P97" s="176" t="n"/>
      <c r="Q97" s="176" t="n"/>
      <c r="S97" s="178" t="n"/>
      <c r="T97" s="178" t="n"/>
      <c r="U97" s="178" t="n"/>
      <c r="V97" s="178" t="n"/>
      <c r="W97" s="178" t="n"/>
      <c r="X97" s="178" t="n"/>
      <c r="Y97" s="178" t="n"/>
      <c r="Z97" s="178" t="n"/>
    </row>
    <row r="98">
      <c r="A98" s="174" t="n"/>
      <c r="B98" s="174" t="n"/>
      <c r="C98" s="174" t="n"/>
      <c r="D98" s="174" t="n"/>
      <c r="E98" s="174" t="n"/>
      <c r="F98" s="174" t="n"/>
      <c r="G98" s="174" t="n"/>
      <c r="H98" s="174" t="n"/>
      <c r="J98" s="176" t="n"/>
      <c r="K98" s="176" t="n"/>
      <c r="L98" s="176" t="n"/>
      <c r="M98" s="176" t="n"/>
      <c r="N98" s="176" t="n"/>
      <c r="O98" s="176" t="n"/>
      <c r="P98" s="176" t="n"/>
      <c r="Q98" s="176" t="n"/>
      <c r="S98" s="178" t="n"/>
      <c r="T98" s="178" t="n"/>
      <c r="U98" s="178" t="n"/>
      <c r="V98" s="178" t="n"/>
      <c r="W98" s="178" t="n"/>
      <c r="X98" s="178" t="n"/>
      <c r="Y98" s="178" t="n"/>
      <c r="Z98" s="178" t="n"/>
    </row>
    <row r="99">
      <c r="A99" s="174" t="n"/>
      <c r="B99" s="174" t="n"/>
      <c r="C99" s="174" t="n"/>
      <c r="D99" s="174" t="n"/>
      <c r="E99" s="174" t="n"/>
      <c r="F99" s="174" t="n"/>
      <c r="G99" s="174" t="n"/>
      <c r="H99" s="174" t="n"/>
      <c r="J99" s="176" t="n"/>
      <c r="K99" s="176" t="n"/>
      <c r="L99" s="176" t="n"/>
      <c r="M99" s="176" t="n"/>
      <c r="N99" s="176" t="n"/>
      <c r="O99" s="176" t="n"/>
      <c r="P99" s="176" t="n"/>
      <c r="Q99" s="176" t="n"/>
      <c r="S99" s="178" t="n"/>
      <c r="T99" s="178" t="n"/>
      <c r="U99" s="178" t="n"/>
      <c r="V99" s="178" t="n"/>
      <c r="W99" s="178" t="n"/>
      <c r="X99" s="178" t="n"/>
      <c r="Y99" s="178" t="n"/>
      <c r="Z99" s="178" t="n"/>
    </row>
    <row r="100">
      <c r="A100" s="174" t="n"/>
      <c r="B100" s="174" t="n"/>
      <c r="C100" s="174" t="n"/>
      <c r="D100" s="174" t="n"/>
      <c r="E100" s="174" t="n"/>
      <c r="F100" s="174" t="n"/>
      <c r="G100" s="174" t="n"/>
      <c r="H100" s="174" t="n"/>
      <c r="J100" s="176" t="n"/>
      <c r="K100" s="176" t="n"/>
      <c r="L100" s="176" t="n"/>
      <c r="M100" s="176" t="n"/>
      <c r="N100" s="176" t="n"/>
      <c r="O100" s="176" t="n"/>
      <c r="P100" s="176" t="n"/>
      <c r="Q100" s="176" t="n"/>
      <c r="S100" s="178" t="n"/>
      <c r="T100" s="178" t="n"/>
      <c r="U100" s="178" t="n"/>
      <c r="V100" s="178" t="n"/>
      <c r="W100" s="178" t="n"/>
      <c r="X100" s="178" t="n"/>
      <c r="Y100" s="178" t="n"/>
      <c r="Z100" s="178" t="n"/>
    </row>
    <row r="101">
      <c r="A101" s="174" t="n"/>
      <c r="B101" s="174" t="n"/>
      <c r="C101" s="174" t="n"/>
      <c r="D101" s="174" t="n"/>
      <c r="E101" s="174" t="n"/>
      <c r="F101" s="174" t="n"/>
      <c r="G101" s="174" t="n"/>
      <c r="H101" s="174" t="n"/>
      <c r="J101" s="176" t="n"/>
      <c r="K101" s="176" t="n"/>
      <c r="L101" s="176" t="n"/>
      <c r="M101" s="176" t="n"/>
      <c r="N101" s="176" t="n"/>
      <c r="O101" s="176" t="n"/>
      <c r="P101" s="176" t="n"/>
      <c r="Q101" s="176" t="n"/>
      <c r="S101" s="178" t="n"/>
      <c r="T101" s="178" t="n"/>
      <c r="U101" s="178" t="n"/>
      <c r="V101" s="178" t="n"/>
      <c r="W101" s="178" t="n"/>
      <c r="X101" s="178" t="n"/>
      <c r="Y101" s="178" t="n"/>
      <c r="Z101" s="178" t="n"/>
    </row>
    <row r="102">
      <c r="A102" s="174" t="n"/>
      <c r="B102" s="174" t="n"/>
      <c r="C102" s="174" t="n"/>
      <c r="D102" s="174" t="n"/>
      <c r="E102" s="174" t="n"/>
      <c r="F102" s="174" t="n"/>
      <c r="G102" s="174" t="n"/>
      <c r="H102" s="174" t="n"/>
      <c r="J102" s="176" t="n"/>
      <c r="K102" s="176" t="n"/>
      <c r="L102" s="176" t="n"/>
      <c r="M102" s="176" t="n"/>
      <c r="N102" s="176" t="n"/>
      <c r="O102" s="176" t="n"/>
      <c r="P102" s="176" t="n"/>
      <c r="Q102" s="176" t="n"/>
      <c r="S102" s="178" t="n"/>
      <c r="T102" s="178" t="n"/>
      <c r="U102" s="178" t="n"/>
      <c r="V102" s="178" t="n"/>
      <c r="W102" s="178" t="n"/>
      <c r="X102" s="178" t="n"/>
      <c r="Y102" s="178" t="n"/>
      <c r="Z102" s="178" t="n"/>
    </row>
    <row r="103">
      <c r="A103" s="174" t="n"/>
      <c r="B103" s="174" t="n"/>
      <c r="C103" s="174" t="n"/>
      <c r="D103" s="174" t="n"/>
      <c r="E103" s="174" t="n"/>
      <c r="F103" s="174" t="n"/>
      <c r="G103" s="174" t="n"/>
      <c r="H103" s="174" t="n"/>
      <c r="J103" s="176" t="n"/>
      <c r="K103" s="176" t="n"/>
      <c r="L103" s="176" t="n"/>
      <c r="M103" s="176" t="n"/>
      <c r="N103" s="176" t="n"/>
      <c r="O103" s="176" t="n"/>
      <c r="P103" s="176" t="n"/>
      <c r="Q103" s="176" t="n"/>
      <c r="S103" s="178" t="n"/>
      <c r="T103" s="178" t="n"/>
      <c r="U103" s="178" t="n"/>
      <c r="V103" s="178" t="n"/>
      <c r="W103" s="178" t="n"/>
      <c r="X103" s="178" t="n"/>
      <c r="Y103" s="178" t="n"/>
      <c r="Z103" s="178" t="n"/>
    </row>
  </sheetData>
  <sheetProtection selectLockedCells="1" selectUnlockedCells="1" sheet="1" objects="0" insertRows="1" insertHyperlinks="1" autoFilter="1" scenarios="0" formatColumns="1" deleteColumns="1" insertColumns="1" pivotTables="1" deleteRows="1" formatCells="1" formatRows="1" sort="1"/>
  <mergeCells count="94">
    <mergeCell ref="A9:N9"/>
    <mergeCell ref="N76:O76"/>
    <mergeCell ref="F67:I67"/>
    <mergeCell ref="G87:I87"/>
    <mergeCell ref="A16:A17"/>
    <mergeCell ref="A45:D46"/>
    <mergeCell ref="C16:C17"/>
    <mergeCell ref="N75:O75"/>
    <mergeCell ref="N77:O77"/>
    <mergeCell ref="AE2:AL2"/>
    <mergeCell ref="P9:AL9"/>
    <mergeCell ref="P68:S70"/>
    <mergeCell ref="D16:D17"/>
    <mergeCell ref="N85:Q85"/>
    <mergeCell ref="A95:H95"/>
    <mergeCell ref="A84:AL84"/>
    <mergeCell ref="Q91:S91"/>
    <mergeCell ref="E91:F91"/>
    <mergeCell ref="A8:N8"/>
    <mergeCell ref="A42:AL42"/>
    <mergeCell ref="G91:H91"/>
    <mergeCell ref="J86:M86"/>
    <mergeCell ref="H3:AD3"/>
    <mergeCell ref="K67:N67"/>
    <mergeCell ref="S95:Z95"/>
    <mergeCell ref="N79:O79"/>
    <mergeCell ref="K92:L92"/>
    <mergeCell ref="C92:D92"/>
    <mergeCell ref="M92:N92"/>
    <mergeCell ref="F71:I71"/>
    <mergeCell ref="A88:AL88"/>
    <mergeCell ref="K68:N70"/>
    <mergeCell ref="T91:W91"/>
    <mergeCell ref="A41:AL41"/>
    <mergeCell ref="A90:AL90"/>
    <mergeCell ref="J95:Q95"/>
    <mergeCell ref="D85:F85"/>
    <mergeCell ref="N74:S74"/>
    <mergeCell ref="H2:AD2"/>
    <mergeCell ref="F68:I70"/>
    <mergeCell ref="A91:B91"/>
    <mergeCell ref="N78:O78"/>
    <mergeCell ref="C91:D91"/>
    <mergeCell ref="M91:N91"/>
    <mergeCell ref="O91:P91"/>
    <mergeCell ref="R86:U86"/>
    <mergeCell ref="N80:O80"/>
    <mergeCell ref="B16:B17"/>
    <mergeCell ref="A71:D71"/>
    <mergeCell ref="J85:M85"/>
    <mergeCell ref="D86:F86"/>
    <mergeCell ref="A92:B92"/>
    <mergeCell ref="N87:Q87"/>
    <mergeCell ref="A1:B1"/>
    <mergeCell ref="E92:F92"/>
    <mergeCell ref="AL16:AL17"/>
    <mergeCell ref="A68:D70"/>
    <mergeCell ref="P71:S71"/>
    <mergeCell ref="A86:C86"/>
    <mergeCell ref="D87:F87"/>
    <mergeCell ref="O92:P92"/>
    <mergeCell ref="A6:N6"/>
    <mergeCell ref="A39:D39"/>
    <mergeCell ref="P8:AL8"/>
    <mergeCell ref="P7:AL7"/>
    <mergeCell ref="G86:I86"/>
    <mergeCell ref="A96:H103"/>
    <mergeCell ref="P67:S67"/>
    <mergeCell ref="T92:W92"/>
    <mergeCell ref="R85:U85"/>
    <mergeCell ref="K71:N71"/>
    <mergeCell ref="S96:Z103"/>
    <mergeCell ref="A93:AL93"/>
    <mergeCell ref="A38:D38"/>
    <mergeCell ref="A67:D67"/>
    <mergeCell ref="I91:J91"/>
    <mergeCell ref="A85:C85"/>
    <mergeCell ref="K91:L91"/>
    <mergeCell ref="N86:Q86"/>
    <mergeCell ref="A7:N7"/>
    <mergeCell ref="P6:AL6"/>
    <mergeCell ref="A74:E74"/>
    <mergeCell ref="G85:I85"/>
    <mergeCell ref="G92:H92"/>
    <mergeCell ref="I92:J92"/>
    <mergeCell ref="R87:U87"/>
    <mergeCell ref="AK16:AK17"/>
    <mergeCell ref="J87:M87"/>
    <mergeCell ref="AJ16:AJ17"/>
    <mergeCell ref="J96:Q103"/>
    <mergeCell ref="A12:AL14"/>
    <mergeCell ref="Q92:S92"/>
    <mergeCell ref="A87:C87"/>
    <mergeCell ref="A47:D47"/>
  </mergeCells>
  <conditionalFormatting sqref="AJ18:AJ37">
    <cfRule type="dataBar" priority="1">
      <dataBar>
        <cfvo type="num" val="0"/>
        <cfvo type="num" val="1"/>
        <color rgb="0010B981"/>
      </dataBar>
    </cfRule>
  </conditionalFormatting>
  <conditionalFormatting sqref="E18:AI37">
    <cfRule type="cellIs" priority="2" operator="equal" dxfId="0">
      <formula>"✓"</formula>
    </cfRule>
    <cfRule type="cellIs" priority="3" operator="equal" dxfId="0">
      <formula>"✔"</formula>
    </cfRule>
    <cfRule type="cellIs" priority="4" operator="equal" dxfId="1">
      <formula>"✗"</formula>
    </cfRule>
    <cfRule type="cellIs" priority="5" operator="equal" dxfId="1">
      <formula>"x"</formula>
    </cfRule>
    <cfRule type="cellIs" priority="6" operator="equal" dxfId="1">
      <formula>"X"</formula>
    </cfRule>
  </conditionalFormatting>
  <conditionalFormatting sqref="E16:E17">
    <cfRule type="expression" priority="7" dxfId="2">
      <formula>AND(DAY(TODAY())=1, MONTH(TODAY())=7, YEAR(TODAY())=2029)</formula>
    </cfRule>
  </conditionalFormatting>
  <conditionalFormatting sqref="F16:F17">
    <cfRule type="expression" priority="8" dxfId="2">
      <formula>AND(DAY(TODAY())=2, MONTH(TODAY())=7, YEAR(TODAY())=2029)</formula>
    </cfRule>
  </conditionalFormatting>
  <conditionalFormatting sqref="G16:G17">
    <cfRule type="expression" priority="9" dxfId="2">
      <formula>AND(DAY(TODAY())=3, MONTH(TODAY())=7, YEAR(TODAY())=2029)</formula>
    </cfRule>
  </conditionalFormatting>
  <conditionalFormatting sqref="H16:H17">
    <cfRule type="expression" priority="10" dxfId="2">
      <formula>AND(DAY(TODAY())=4, MONTH(TODAY())=7, YEAR(TODAY())=2029)</formula>
    </cfRule>
  </conditionalFormatting>
  <conditionalFormatting sqref="I16:I17">
    <cfRule type="expression" priority="11" dxfId="2">
      <formula>AND(DAY(TODAY())=5, MONTH(TODAY())=7, YEAR(TODAY())=2029)</formula>
    </cfRule>
  </conditionalFormatting>
  <conditionalFormatting sqref="J16:J17">
    <cfRule type="expression" priority="12" dxfId="2">
      <formula>AND(DAY(TODAY())=6, MONTH(TODAY())=7, YEAR(TODAY())=2029)</formula>
    </cfRule>
  </conditionalFormatting>
  <conditionalFormatting sqref="K16:K17">
    <cfRule type="expression" priority="13" dxfId="2">
      <formula>AND(DAY(TODAY())=7, MONTH(TODAY())=7, YEAR(TODAY())=2029)</formula>
    </cfRule>
  </conditionalFormatting>
  <conditionalFormatting sqref="L16:L17">
    <cfRule type="expression" priority="14" dxfId="2">
      <formula>AND(DAY(TODAY())=8, MONTH(TODAY())=7, YEAR(TODAY())=2029)</formula>
    </cfRule>
  </conditionalFormatting>
  <conditionalFormatting sqref="M16:M17">
    <cfRule type="expression" priority="15" dxfId="2">
      <formula>AND(DAY(TODAY())=9, MONTH(TODAY())=7, YEAR(TODAY())=2029)</formula>
    </cfRule>
  </conditionalFormatting>
  <conditionalFormatting sqref="N16:N17">
    <cfRule type="expression" priority="16" dxfId="2">
      <formula>AND(DAY(TODAY())=10, MONTH(TODAY())=7, YEAR(TODAY())=2029)</formula>
    </cfRule>
  </conditionalFormatting>
  <conditionalFormatting sqref="O16:O17">
    <cfRule type="expression" priority="17" dxfId="2">
      <formula>AND(DAY(TODAY())=11, MONTH(TODAY())=7, YEAR(TODAY())=2029)</formula>
    </cfRule>
  </conditionalFormatting>
  <conditionalFormatting sqref="P16:P17">
    <cfRule type="expression" priority="18" dxfId="2">
      <formula>AND(DAY(TODAY())=12, MONTH(TODAY())=7, YEAR(TODAY())=2029)</formula>
    </cfRule>
  </conditionalFormatting>
  <conditionalFormatting sqref="Q16:Q17">
    <cfRule type="expression" priority="19" dxfId="2">
      <formula>AND(DAY(TODAY())=13, MONTH(TODAY())=7, YEAR(TODAY())=2029)</formula>
    </cfRule>
  </conditionalFormatting>
  <conditionalFormatting sqref="R16:R17">
    <cfRule type="expression" priority="20" dxfId="2">
      <formula>AND(DAY(TODAY())=14, MONTH(TODAY())=7, YEAR(TODAY())=2029)</formula>
    </cfRule>
  </conditionalFormatting>
  <conditionalFormatting sqref="S16:S17">
    <cfRule type="expression" priority="21" dxfId="2">
      <formula>AND(DAY(TODAY())=15, MONTH(TODAY())=7, YEAR(TODAY())=2029)</formula>
    </cfRule>
  </conditionalFormatting>
  <conditionalFormatting sqref="T16:T17">
    <cfRule type="expression" priority="22" dxfId="2">
      <formula>AND(DAY(TODAY())=16, MONTH(TODAY())=7, YEAR(TODAY())=2029)</formula>
    </cfRule>
  </conditionalFormatting>
  <conditionalFormatting sqref="U16:U17">
    <cfRule type="expression" priority="23" dxfId="2">
      <formula>AND(DAY(TODAY())=17, MONTH(TODAY())=7, YEAR(TODAY())=2029)</formula>
    </cfRule>
  </conditionalFormatting>
  <conditionalFormatting sqref="V16:V17">
    <cfRule type="expression" priority="24" dxfId="2">
      <formula>AND(DAY(TODAY())=18, MONTH(TODAY())=7, YEAR(TODAY())=2029)</formula>
    </cfRule>
  </conditionalFormatting>
  <conditionalFormatting sqref="W16:W17">
    <cfRule type="expression" priority="25" dxfId="2">
      <formula>AND(DAY(TODAY())=19, MONTH(TODAY())=7, YEAR(TODAY())=2029)</formula>
    </cfRule>
  </conditionalFormatting>
  <conditionalFormatting sqref="X16:X17">
    <cfRule type="expression" priority="26" dxfId="2">
      <formula>AND(DAY(TODAY())=20, MONTH(TODAY())=7, YEAR(TODAY())=2029)</formula>
    </cfRule>
  </conditionalFormatting>
  <conditionalFormatting sqref="Y16:Y17">
    <cfRule type="expression" priority="27" dxfId="2">
      <formula>AND(DAY(TODAY())=21, MONTH(TODAY())=7, YEAR(TODAY())=2029)</formula>
    </cfRule>
  </conditionalFormatting>
  <conditionalFormatting sqref="Z16:Z17">
    <cfRule type="expression" priority="28" dxfId="2">
      <formula>AND(DAY(TODAY())=22, MONTH(TODAY())=7, YEAR(TODAY())=2029)</formula>
    </cfRule>
  </conditionalFormatting>
  <conditionalFormatting sqref="AA16:AA17">
    <cfRule type="expression" priority="29" dxfId="2">
      <formula>AND(DAY(TODAY())=23, MONTH(TODAY())=7, YEAR(TODAY())=2029)</formula>
    </cfRule>
  </conditionalFormatting>
  <conditionalFormatting sqref="AB16:AB17">
    <cfRule type="expression" priority="30" dxfId="2">
      <formula>AND(DAY(TODAY())=24, MONTH(TODAY())=7, YEAR(TODAY())=2029)</formula>
    </cfRule>
  </conditionalFormatting>
  <conditionalFormatting sqref="AC16:AC17">
    <cfRule type="expression" priority="31" dxfId="2">
      <formula>AND(DAY(TODAY())=25, MONTH(TODAY())=7, YEAR(TODAY())=2029)</formula>
    </cfRule>
  </conditionalFormatting>
  <conditionalFormatting sqref="AD16:AD17">
    <cfRule type="expression" priority="32" dxfId="2">
      <formula>AND(DAY(TODAY())=26, MONTH(TODAY())=7, YEAR(TODAY())=2029)</formula>
    </cfRule>
  </conditionalFormatting>
  <conditionalFormatting sqref="AE16:AE17">
    <cfRule type="expression" priority="33" dxfId="2">
      <formula>AND(DAY(TODAY())=27, MONTH(TODAY())=7, YEAR(TODAY())=2029)</formula>
    </cfRule>
  </conditionalFormatting>
  <conditionalFormatting sqref="AF16:AF17">
    <cfRule type="expression" priority="34" dxfId="2">
      <formula>AND(DAY(TODAY())=28, MONTH(TODAY())=7, YEAR(TODAY())=2029)</formula>
    </cfRule>
  </conditionalFormatting>
  <conditionalFormatting sqref="AG16:AG17">
    <cfRule type="expression" priority="35" dxfId="2">
      <formula>AND(DAY(TODAY())=29, MONTH(TODAY())=7, YEAR(TODAY())=2029)</formula>
    </cfRule>
  </conditionalFormatting>
  <conditionalFormatting sqref="AH16:AH17">
    <cfRule type="expression" priority="36" dxfId="2">
      <formula>AND(DAY(TODAY())=30, MONTH(TODAY())=7, YEAR(TODAY())=2029)</formula>
    </cfRule>
  </conditionalFormatting>
  <conditionalFormatting sqref="AI16:AI17">
    <cfRule type="expression" priority="37" dxfId="2">
      <formula>AND(DAY(TODAY())=31, MONTH(TODAY())=7, YEAR(TODAY())=2029)</formula>
    </cfRule>
  </conditionalFormatting>
  <dataValidations count="4">
    <dataValidation sqref="C18:C37" showDropDown="0" showInputMessage="0" showErrorMessage="0" allowBlank="1" type="list">
      <formula1>"Health &amp; Fitness,Mindset &amp; Learning,Career &amp; Focus,Personal &amp; Home,Finance &amp; Wealth,Other"</formula1>
    </dataValidation>
    <dataValidation sqref="D18:D37" showDropDown="0" showInputMessage="0" showErrorMessage="0" allowBlank="1" type="list">
      <formula1>"1,2,3,4,5,6,7,8,9,10,11,12,13,14,15,16,17,18,19,20,21,22,23,24,25,26,27,28,29,30,31"</formula1>
    </dataValidation>
    <dataValidation sqref="E18:AI37" showDropDown="0" showInputMessage="0" showErrorMessage="0" allowBlank="1" type="list">
      <formula1>"✓,✗"</formula1>
    </dataValidation>
    <dataValidation sqref="E47:AI47" showDropDown="0" showInputMessage="0" showErrorMessage="0" allowBlank="1" type="list">
      <formula1>"1,2,3,4,5,6,7,8,9,10,11,12,13,14,15,16,17,18,19,20,21,22,23,24"</formula1>
    </dataValidation>
  </dataValidations>
  <hyperlinks>
    <hyperlink xmlns:r="http://schemas.openxmlformats.org/officeDocument/2006/relationships" ref="A1" r:id="rId1"/>
    <hyperlink xmlns:r="http://schemas.openxmlformats.org/officeDocument/2006/relationships" ref="C1" r:id="rId2"/>
    <hyperlink xmlns:r="http://schemas.openxmlformats.org/officeDocument/2006/relationships" ref="D1" r:id="rId3"/>
    <hyperlink xmlns:r="http://schemas.openxmlformats.org/officeDocument/2006/relationships" ref="E1" r:id="rId4"/>
    <hyperlink xmlns:r="http://schemas.openxmlformats.org/officeDocument/2006/relationships" ref="F1" r:id="rId5"/>
    <hyperlink xmlns:r="http://schemas.openxmlformats.org/officeDocument/2006/relationships" ref="G1" r:id="rId6"/>
    <hyperlink xmlns:r="http://schemas.openxmlformats.org/officeDocument/2006/relationships" ref="H1" r:id="rId7"/>
    <hyperlink xmlns:r="http://schemas.openxmlformats.org/officeDocument/2006/relationships" ref="I1" r:id="rId8"/>
    <hyperlink xmlns:r="http://schemas.openxmlformats.org/officeDocument/2006/relationships" ref="J1" r:id="rId9"/>
    <hyperlink xmlns:r="http://schemas.openxmlformats.org/officeDocument/2006/relationships" ref="K1" r:id="rId10"/>
  </hyperlinks>
  <printOptions horizontalCentered="1" verticalCentered="0"/>
  <pageMargins left="0.75" right="0.75" top="1" bottom="1" header="0.5" footer="0.5"/>
  <pageSetup orientation="landscape" paperSize="9" fitToHeight="0" fitToWidth="1"/>
  <drawing xmlns:r="http://schemas.openxmlformats.org/officeDocument/2006/relationships" r:id="rId11"/>
</worksheet>
</file>

<file path=xl/worksheets/sheet39.xml><?xml version="1.0" encoding="utf-8"?>
<worksheet xmlns="http://schemas.openxmlformats.org/spreadsheetml/2006/main">
  <sheetPr>
    <outlinePr summaryBelow="1" summaryRight="1"/>
    <pageSetUpPr fitToPage="1"/>
  </sheetPr>
  <dimension ref="A1:AM103"/>
  <sheetViews>
    <sheetView showGridLines="1" workbookViewId="0">
      <selection activeCell="A1" sqref="A1"/>
    </sheetView>
  </sheetViews>
  <sheetFormatPr baseColWidth="8" defaultRowHeight="15"/>
  <cols>
    <col width="6" customWidth="1" min="1" max="1"/>
    <col width="25" customWidth="1" min="2" max="2"/>
    <col width="16.5" customWidth="1" min="3" max="3"/>
    <col width="8" customWidth="1" min="4" max="4"/>
    <col width="4.8" customWidth="1" min="5" max="5"/>
    <col width="4.8" customWidth="1" min="6" max="6"/>
    <col width="4.8" customWidth="1" min="7" max="7"/>
    <col width="4.8" customWidth="1" min="8" max="8"/>
    <col width="4.8" customWidth="1" min="9" max="9"/>
    <col width="4.8" customWidth="1" min="10" max="10"/>
    <col width="4.8" customWidth="1" min="11" max="11"/>
    <col width="4.8" customWidth="1" min="12" max="12"/>
    <col width="4.8" customWidth="1" min="13" max="13"/>
    <col width="4.8" customWidth="1" min="14" max="14"/>
    <col width="4.8" customWidth="1" min="15" max="15"/>
    <col width="4.8" customWidth="1" min="16" max="16"/>
    <col width="4.8" customWidth="1" min="17" max="17"/>
    <col width="4.8" customWidth="1" min="18" max="18"/>
    <col width="4.8" customWidth="1" min="19" max="19"/>
    <col width="4.8" customWidth="1" min="20" max="20"/>
    <col width="4.8" customWidth="1" min="21" max="21"/>
    <col width="4.8" customWidth="1" min="22" max="22"/>
    <col width="4.8" customWidth="1" min="23" max="23"/>
    <col width="4.8" customWidth="1" min="24" max="24"/>
    <col width="4.8" customWidth="1" min="25" max="25"/>
    <col width="4.8" customWidth="1" min="26" max="26"/>
    <col width="4.8" customWidth="1" min="27" max="27"/>
    <col width="4.8" customWidth="1" min="28" max="28"/>
    <col width="4.8" customWidth="1" min="29" max="29"/>
    <col width="4.8" customWidth="1" min="30" max="30"/>
    <col width="4.8" customWidth="1" min="31" max="31"/>
    <col width="4.8" customWidth="1" min="32" max="32"/>
    <col width="4.8" customWidth="1" min="33" max="33"/>
    <col width="4.8" customWidth="1" min="34" max="34"/>
    <col width="4.8" customWidth="1" min="35" max="35"/>
    <col width="11.5" customWidth="1" min="36" max="36"/>
    <col width="12" customWidth="1" min="37" max="37"/>
    <col width="13.5" customWidth="1" min="38" max="38"/>
    <col hidden="1" width="8" customWidth="1" min="39" max="39"/>
  </cols>
  <sheetData>
    <row r="1" ht="18" customHeight="1">
      <c r="A1" s="76" t="inlineStr">
        <is>
          <t>🏠 Master Dashboard</t>
        </is>
      </c>
      <c r="B1" s="40" t="n"/>
      <c r="C1" s="77" t="inlineStr">
        <is>
          <t>🏛️ Quarterly Hub</t>
        </is>
      </c>
      <c r="D1" s="78" t="inlineStr">
        <is>
          <t>📚 Habit Library</t>
        </is>
      </c>
      <c r="E1" s="80" t="inlineStr">
        <is>
          <t>2026</t>
        </is>
      </c>
      <c r="F1" s="80" t="inlineStr">
        <is>
          <t>2027</t>
        </is>
      </c>
      <c r="G1" s="80" t="inlineStr">
        <is>
          <t>2028</t>
        </is>
      </c>
      <c r="H1" s="79" t="inlineStr">
        <is>
          <t>2029</t>
        </is>
      </c>
      <c r="I1" s="80" t="inlineStr">
        <is>
          <t>2030</t>
        </is>
      </c>
      <c r="J1" s="82" t="inlineStr">
        <is>
          <t>◀ Prev</t>
        </is>
      </c>
      <c r="K1" s="82" t="inlineStr">
        <is>
          <t>Next ▶</t>
        </is>
      </c>
    </row>
    <row r="2" ht="24" customHeight="1">
      <c r="A2" s="83" t="inlineStr">
        <is>
          <t>Habit Tracker</t>
        </is>
      </c>
      <c r="H2" s="84" t="inlineStr">
        <is>
          <t>"Consistency creates momentum."</t>
        </is>
      </c>
      <c r="AE2" s="85" t="inlineStr">
        <is>
          <t>@surajvansh</t>
        </is>
      </c>
    </row>
    <row r="3" ht="18" customHeight="1">
      <c r="A3" s="86" t="inlineStr">
        <is>
          <t>August 2029</t>
        </is>
      </c>
      <c r="H3" s="87" t="inlineStr">
        <is>
          <t>31 Days Dashboard</t>
        </is>
      </c>
    </row>
    <row r="4" ht="5" customHeight="1"/>
    <row r="5" ht="16" customHeight="1">
      <c r="A5" s="88" t="inlineStr">
        <is>
          <t>MONTHLY TARGETS</t>
        </is>
      </c>
    </row>
    <row r="6" ht="13" customHeight="1">
      <c r="A6" s="89" t="inlineStr">
        <is>
          <t>1. ____________________ : ____________________</t>
        </is>
      </c>
      <c r="P6" s="89" t="inlineStr">
        <is>
          <t>5. ____________________ : ____________________</t>
        </is>
      </c>
    </row>
    <row r="7" ht="13" customHeight="1">
      <c r="A7" s="89" t="inlineStr">
        <is>
          <t>2. ____________________ : ____________________</t>
        </is>
      </c>
      <c r="P7" s="89" t="inlineStr">
        <is>
          <t>6. ____________________ : ____________________</t>
        </is>
      </c>
    </row>
    <row r="8" ht="13" customHeight="1">
      <c r="A8" s="89" t="inlineStr">
        <is>
          <t>3. ____________________ : ____________________</t>
        </is>
      </c>
      <c r="P8" s="89" t="inlineStr">
        <is>
          <t>7. ____________________ : ____________________</t>
        </is>
      </c>
    </row>
    <row r="9" ht="13" customHeight="1">
      <c r="A9" s="89" t="inlineStr">
        <is>
          <t>4. ____________________ : ____________________</t>
        </is>
      </c>
      <c r="P9" s="89" t="inlineStr">
        <is>
          <t>8. ____________________ : ____________________</t>
        </is>
      </c>
    </row>
    <row r="10" ht="5" customHeight="1"/>
    <row r="11" ht="15" customHeight="1">
      <c r="A11" s="88" t="inlineStr">
        <is>
          <t>NOTES:</t>
        </is>
      </c>
    </row>
    <row r="12" ht="13" customHeight="1">
      <c r="A12" s="90" t="n"/>
      <c r="B12" s="91" t="n"/>
      <c r="C12" s="91" t="n"/>
      <c r="D12" s="91" t="n"/>
      <c r="E12" s="91" t="n"/>
      <c r="F12" s="91" t="n"/>
      <c r="G12" s="91" t="n"/>
      <c r="H12" s="91" t="n"/>
      <c r="I12" s="91" t="n"/>
      <c r="J12" s="91" t="n"/>
      <c r="K12" s="91" t="n"/>
      <c r="L12" s="91" t="n"/>
      <c r="M12" s="91" t="n"/>
      <c r="N12" s="91" t="n"/>
      <c r="O12" s="91" t="n"/>
      <c r="P12" s="91" t="n"/>
      <c r="Q12" s="91" t="n"/>
      <c r="R12" s="91" t="n"/>
      <c r="S12" s="91" t="n"/>
      <c r="T12" s="91" t="n"/>
      <c r="U12" s="91" t="n"/>
      <c r="V12" s="91" t="n"/>
      <c r="W12" s="91" t="n"/>
      <c r="X12" s="91" t="n"/>
      <c r="Y12" s="91" t="n"/>
      <c r="Z12" s="91" t="n"/>
      <c r="AA12" s="91" t="n"/>
      <c r="AB12" s="91" t="n"/>
      <c r="AC12" s="91" t="n"/>
      <c r="AD12" s="91" t="n"/>
      <c r="AE12" s="91" t="n"/>
      <c r="AF12" s="91" t="n"/>
      <c r="AG12" s="91" t="n"/>
      <c r="AH12" s="91" t="n"/>
      <c r="AI12" s="91" t="n"/>
      <c r="AJ12" s="91" t="n"/>
      <c r="AK12" s="91" t="n"/>
      <c r="AL12" s="91" t="n"/>
    </row>
    <row r="13" ht="13" customHeight="1">
      <c r="A13" s="91" t="n"/>
      <c r="B13" s="91" t="n"/>
      <c r="C13" s="91" t="n"/>
      <c r="D13" s="91" t="n"/>
      <c r="E13" s="91" t="n"/>
      <c r="F13" s="91" t="n"/>
      <c r="G13" s="91" t="n"/>
      <c r="H13" s="91" t="n"/>
      <c r="I13" s="91" t="n"/>
      <c r="J13" s="91" t="n"/>
      <c r="K13" s="91" t="n"/>
      <c r="L13" s="91" t="n"/>
      <c r="M13" s="91" t="n"/>
      <c r="N13" s="91" t="n"/>
      <c r="O13" s="91" t="n"/>
      <c r="P13" s="91" t="n"/>
      <c r="Q13" s="91" t="n"/>
      <c r="R13" s="91" t="n"/>
      <c r="S13" s="91" t="n"/>
      <c r="T13" s="91" t="n"/>
      <c r="U13" s="91" t="n"/>
      <c r="V13" s="91" t="n"/>
      <c r="W13" s="91" t="n"/>
      <c r="X13" s="91" t="n"/>
      <c r="Y13" s="91" t="n"/>
      <c r="Z13" s="91" t="n"/>
      <c r="AA13" s="91" t="n"/>
      <c r="AB13" s="91" t="n"/>
      <c r="AC13" s="91" t="n"/>
      <c r="AD13" s="91" t="n"/>
      <c r="AE13" s="91" t="n"/>
      <c r="AF13" s="91" t="n"/>
      <c r="AG13" s="91" t="n"/>
      <c r="AH13" s="91" t="n"/>
      <c r="AI13" s="91" t="n"/>
      <c r="AJ13" s="91" t="n"/>
      <c r="AK13" s="91" t="n"/>
      <c r="AL13" s="91" t="n"/>
    </row>
    <row r="14" ht="13" customHeight="1">
      <c r="A14" s="91" t="n"/>
      <c r="B14" s="91" t="n"/>
      <c r="C14" s="91" t="n"/>
      <c r="D14" s="91" t="n"/>
      <c r="E14" s="91" t="n"/>
      <c r="F14" s="91" t="n"/>
      <c r="G14" s="91" t="n"/>
      <c r="H14" s="91" t="n"/>
      <c r="I14" s="91" t="n"/>
      <c r="J14" s="91" t="n"/>
      <c r="K14" s="91" t="n"/>
      <c r="L14" s="91" t="n"/>
      <c r="M14" s="91" t="n"/>
      <c r="N14" s="91" t="n"/>
      <c r="O14" s="91" t="n"/>
      <c r="P14" s="91" t="n"/>
      <c r="Q14" s="91" t="n"/>
      <c r="R14" s="91" t="n"/>
      <c r="S14" s="91" t="n"/>
      <c r="T14" s="91" t="n"/>
      <c r="U14" s="91" t="n"/>
      <c r="V14" s="91" t="n"/>
      <c r="W14" s="91" t="n"/>
      <c r="X14" s="91" t="n"/>
      <c r="Y14" s="91" t="n"/>
      <c r="Z14" s="91" t="n"/>
      <c r="AA14" s="91" t="n"/>
      <c r="AB14" s="91" t="n"/>
      <c r="AC14" s="91" t="n"/>
      <c r="AD14" s="91" t="n"/>
      <c r="AE14" s="91" t="n"/>
      <c r="AF14" s="91" t="n"/>
      <c r="AG14" s="91" t="n"/>
      <c r="AH14" s="91" t="n"/>
      <c r="AI14" s="91" t="n"/>
      <c r="AJ14" s="91" t="n"/>
      <c r="AK14" s="91" t="n"/>
      <c r="AL14" s="91" t="n"/>
    </row>
    <row r="15" ht="8" customHeight="1"/>
    <row r="16" ht="15" customHeight="1">
      <c r="A16" s="33" t="inlineStr">
        <is>
          <t>S.No.</t>
        </is>
      </c>
      <c r="B16" s="33" t="inlineStr">
        <is>
          <t>Protocols</t>
        </is>
      </c>
      <c r="C16" s="33" t="inlineStr">
        <is>
          <t>Category</t>
        </is>
      </c>
      <c r="D16" s="33" t="inlineStr">
        <is>
          <t>Target</t>
        </is>
      </c>
      <c r="E16" s="92" t="n">
        <v>1</v>
      </c>
      <c r="F16" s="92" t="n">
        <v>2</v>
      </c>
      <c r="G16" s="92" t="n">
        <v>3</v>
      </c>
      <c r="H16" s="92" t="n">
        <v>4</v>
      </c>
      <c r="I16" s="93" t="n">
        <v>5</v>
      </c>
      <c r="J16" s="92" t="n">
        <v>6</v>
      </c>
      <c r="K16" s="92" t="n">
        <v>7</v>
      </c>
      <c r="L16" s="92" t="n">
        <v>8</v>
      </c>
      <c r="M16" s="92" t="n">
        <v>9</v>
      </c>
      <c r="N16" s="92" t="n">
        <v>10</v>
      </c>
      <c r="O16" s="92" t="n">
        <v>11</v>
      </c>
      <c r="P16" s="93" t="n">
        <v>12</v>
      </c>
      <c r="Q16" s="92" t="n">
        <v>13</v>
      </c>
      <c r="R16" s="92" t="n">
        <v>14</v>
      </c>
      <c r="S16" s="92" t="n">
        <v>15</v>
      </c>
      <c r="T16" s="92" t="n">
        <v>16</v>
      </c>
      <c r="U16" s="92" t="n">
        <v>17</v>
      </c>
      <c r="V16" s="92" t="n">
        <v>18</v>
      </c>
      <c r="W16" s="93" t="n">
        <v>19</v>
      </c>
      <c r="X16" s="92" t="n">
        <v>20</v>
      </c>
      <c r="Y16" s="92" t="n">
        <v>21</v>
      </c>
      <c r="Z16" s="92" t="n">
        <v>22</v>
      </c>
      <c r="AA16" s="92" t="n">
        <v>23</v>
      </c>
      <c r="AB16" s="92" t="n">
        <v>24</v>
      </c>
      <c r="AC16" s="92" t="n">
        <v>25</v>
      </c>
      <c r="AD16" s="93" t="n">
        <v>26</v>
      </c>
      <c r="AE16" s="92" t="n">
        <v>27</v>
      </c>
      <c r="AF16" s="92" t="n">
        <v>28</v>
      </c>
      <c r="AG16" s="92" t="n">
        <v>29</v>
      </c>
      <c r="AH16" s="92" t="n">
        <v>30</v>
      </c>
      <c r="AI16" s="92" t="n">
        <v>31</v>
      </c>
      <c r="AJ16" s="94" t="inlineStr">
        <is>
          <t>Success %</t>
        </is>
      </c>
      <c r="AK16" s="94" t="inlineStr">
        <is>
          <t>Done / Target</t>
        </is>
      </c>
      <c r="AL16" s="94" t="inlineStr">
        <is>
          <t>Status</t>
        </is>
      </c>
      <c r="AM16" t="inlineStr">
        <is>
          <t>Done Count</t>
        </is>
      </c>
    </row>
    <row r="17" ht="15" customHeight="1">
      <c r="A17" s="54" t="n"/>
      <c r="B17" s="54" t="n"/>
      <c r="C17" s="54" t="n"/>
      <c r="D17" s="54" t="n"/>
      <c r="E17" s="95" t="inlineStr">
        <is>
          <t>W</t>
        </is>
      </c>
      <c r="F17" s="95" t="inlineStr">
        <is>
          <t>Th</t>
        </is>
      </c>
      <c r="G17" s="95" t="inlineStr">
        <is>
          <t>F</t>
        </is>
      </c>
      <c r="H17" s="95" t="inlineStr">
        <is>
          <t>Sa</t>
        </is>
      </c>
      <c r="I17" s="96" t="inlineStr">
        <is>
          <t>Su</t>
        </is>
      </c>
      <c r="J17" s="95" t="inlineStr">
        <is>
          <t>M</t>
        </is>
      </c>
      <c r="K17" s="95" t="inlineStr">
        <is>
          <t>T</t>
        </is>
      </c>
      <c r="L17" s="95" t="inlineStr">
        <is>
          <t>W</t>
        </is>
      </c>
      <c r="M17" s="95" t="inlineStr">
        <is>
          <t>Th</t>
        </is>
      </c>
      <c r="N17" s="95" t="inlineStr">
        <is>
          <t>F</t>
        </is>
      </c>
      <c r="O17" s="95" t="inlineStr">
        <is>
          <t>Sa</t>
        </is>
      </c>
      <c r="P17" s="96" t="inlineStr">
        <is>
          <t>Su</t>
        </is>
      </c>
      <c r="Q17" s="95" t="inlineStr">
        <is>
          <t>M</t>
        </is>
      </c>
      <c r="R17" s="95" t="inlineStr">
        <is>
          <t>T</t>
        </is>
      </c>
      <c r="S17" s="95" t="inlineStr">
        <is>
          <t>W</t>
        </is>
      </c>
      <c r="T17" s="95" t="inlineStr">
        <is>
          <t>Th</t>
        </is>
      </c>
      <c r="U17" s="95" t="inlineStr">
        <is>
          <t>F</t>
        </is>
      </c>
      <c r="V17" s="95" t="inlineStr">
        <is>
          <t>Sa</t>
        </is>
      </c>
      <c r="W17" s="96" t="inlineStr">
        <is>
          <t>Su</t>
        </is>
      </c>
      <c r="X17" s="95" t="inlineStr">
        <is>
          <t>M</t>
        </is>
      </c>
      <c r="Y17" s="95" t="inlineStr">
        <is>
          <t>T</t>
        </is>
      </c>
      <c r="Z17" s="95" t="inlineStr">
        <is>
          <t>W</t>
        </is>
      </c>
      <c r="AA17" s="95" t="inlineStr">
        <is>
          <t>Th</t>
        </is>
      </c>
      <c r="AB17" s="95" t="inlineStr">
        <is>
          <t>F</t>
        </is>
      </c>
      <c r="AC17" s="95" t="inlineStr">
        <is>
          <t>Sa</t>
        </is>
      </c>
      <c r="AD17" s="96" t="inlineStr">
        <is>
          <t>Su</t>
        </is>
      </c>
      <c r="AE17" s="95" t="inlineStr">
        <is>
          <t>M</t>
        </is>
      </c>
      <c r="AF17" s="95" t="inlineStr">
        <is>
          <t>T</t>
        </is>
      </c>
      <c r="AG17" s="95" t="inlineStr">
        <is>
          <t>W</t>
        </is>
      </c>
      <c r="AH17" s="95" t="inlineStr">
        <is>
          <t>Th</t>
        </is>
      </c>
      <c r="AI17" s="95" t="inlineStr">
        <is>
          <t>F</t>
        </is>
      </c>
      <c r="AJ17" s="54" t="n"/>
      <c r="AK17" s="54" t="n"/>
      <c r="AL17" s="54" t="n"/>
    </row>
    <row r="18" ht="14.5" customHeight="1">
      <c r="A18" s="97" t="n">
        <v>1</v>
      </c>
      <c r="B18" s="98" t="n"/>
      <c r="C18" s="99" t="n"/>
      <c r="D18" s="99" t="n"/>
      <c r="E18" s="100" t="n"/>
      <c r="F18" s="100" t="n"/>
      <c r="G18" s="100" t="n"/>
      <c r="H18" s="100" t="n"/>
      <c r="I18" s="101" t="n"/>
      <c r="J18" s="100" t="n"/>
      <c r="K18" s="100" t="n"/>
      <c r="L18" s="100" t="n"/>
      <c r="M18" s="100" t="n"/>
      <c r="N18" s="100" t="n"/>
      <c r="O18" s="100" t="n"/>
      <c r="P18" s="101" t="n"/>
      <c r="Q18" s="100" t="n"/>
      <c r="R18" s="100" t="n"/>
      <c r="S18" s="100" t="n"/>
      <c r="T18" s="100" t="n"/>
      <c r="U18" s="100" t="n"/>
      <c r="V18" s="100" t="n"/>
      <c r="W18" s="101" t="n"/>
      <c r="X18" s="100" t="n"/>
      <c r="Y18" s="100" t="n"/>
      <c r="Z18" s="100" t="n"/>
      <c r="AA18" s="100" t="n"/>
      <c r="AB18" s="100" t="n"/>
      <c r="AC18" s="100" t="n"/>
      <c r="AD18" s="101" t="n"/>
      <c r="AE18" s="100" t="n"/>
      <c r="AF18" s="100" t="n"/>
      <c r="AG18" s="100" t="n"/>
      <c r="AH18" s="100" t="n"/>
      <c r="AI18" s="100" t="n"/>
      <c r="AJ18" s="102">
        <f>IF(ISBLANK(B18), "", IF(ISNUMBER(D18), IF(D18&gt;0, (COUNTIF(E18:AI18, "✓") + COUNTIF(E18:AI18, "✔") + COUNTIF(E18:AI18, "v") + COUNTIF(E18:AI18, "V"))/D18, 0), IF(((COUNTIF(E18:AI18, "✓") + COUNTIF(E18:AI18, "✔") + COUNTIF(E18:AI18, "v") + COUNTIF(E18:AI18, "V")) + COUNTIF(E18:AI18, "✗") + COUNTIF(E18:AI18, "x") + COUNTIF(E18:AI18, "X"))&gt;0, (COUNTIF(E18:AI18, "✓") + COUNTIF(E18:AI18, "✔") + COUNTIF(E18:AI18, "v") + COUNTIF(E18:AI18, "V"))/((COUNTIF(E18:AI18, "✓") + COUNTIF(E18:AI18, "✔") + COUNTIF(E18:AI18, "v") + COUNTIF(E18:AI18, "V")) + COUNTIF(E18:AI18, "✗") + COUNTIF(E18:AI18, "x") + COUNTIF(E18:AI18, "X")), "")))</f>
        <v/>
      </c>
      <c r="AK18" s="103">
        <f>IF(ISBLANK(B18), "", IF(ISNUMBER(D18), IF(D18&gt;0, (COUNTIF(E18:AI18, "✓") + COUNTIF(E18:AI18, "✔") + COUNTIF(E18:AI18, "v") + COUNTIF(E18:AI18, "V")) &amp; "/" &amp; D18, (COUNTIF(E18:AI18, "✓") + COUNTIF(E18:AI18, "✔") + COUNTIF(E18:AI18, "v") + COUNTIF(E18:AI18, "V")) &amp; "/0"), IF(((COUNTIF(E18:AI18, "✓") + COUNTIF(E18:AI18, "✔") + COUNTIF(E18:AI18, "v") + COUNTIF(E18:AI18, "V")) + COUNTIF(E18:AI18, "✗") + COUNTIF(E18:AI18, "x") + COUNTIF(E18:AI18, "X"))&gt;0, (COUNTIF(E18:AI18, "✓") + COUNTIF(E18:AI18, "✔") + COUNTIF(E18:AI18, "v") + COUNTIF(E18:AI18, "V")) &amp; "/" &amp; ((COUNTIF(E18:AI18, "✓") + COUNTIF(E18:AI18, "✔") + COUNTIF(E18:AI18, "v") + COUNTIF(E18:AI18, "V")) + COUNTIF(E18:AI18, "✗") + COUNTIF(E18:AI18, "x") + COUNTIF(E18:AI18, "X")), "")))</f>
        <v/>
      </c>
      <c r="AL18" s="103">
        <f>IF(ISBLANK(B18), "", IF(AJ18&gt;=0.85, "🔥 Mastered", IF(AJ18&gt;=0.7, "⚡ Consistent", "⚠️ Needs Focus")))</f>
        <v/>
      </c>
      <c r="AM18">
        <f>COUNTIF(E18:AI18, "✓")</f>
        <v/>
      </c>
    </row>
    <row r="19" ht="14.5" customHeight="1">
      <c r="A19" s="97" t="n">
        <v>2</v>
      </c>
      <c r="B19" s="98" t="n"/>
      <c r="C19" s="99" t="n"/>
      <c r="D19" s="99" t="n"/>
      <c r="E19" s="100" t="n"/>
      <c r="F19" s="100" t="n"/>
      <c r="G19" s="100" t="n"/>
      <c r="H19" s="100" t="n"/>
      <c r="I19" s="101" t="n"/>
      <c r="J19" s="100" t="n"/>
      <c r="K19" s="100" t="n"/>
      <c r="L19" s="100" t="n"/>
      <c r="M19" s="100" t="n"/>
      <c r="N19" s="100" t="n"/>
      <c r="O19" s="100" t="n"/>
      <c r="P19" s="101" t="n"/>
      <c r="Q19" s="100" t="n"/>
      <c r="R19" s="100" t="n"/>
      <c r="S19" s="100" t="n"/>
      <c r="T19" s="100" t="n"/>
      <c r="U19" s="100" t="n"/>
      <c r="V19" s="100" t="n"/>
      <c r="W19" s="101" t="n"/>
      <c r="X19" s="100" t="n"/>
      <c r="Y19" s="100" t="n"/>
      <c r="Z19" s="100" t="n"/>
      <c r="AA19" s="100" t="n"/>
      <c r="AB19" s="100" t="n"/>
      <c r="AC19" s="100" t="n"/>
      <c r="AD19" s="101" t="n"/>
      <c r="AE19" s="100" t="n"/>
      <c r="AF19" s="100" t="n"/>
      <c r="AG19" s="100" t="n"/>
      <c r="AH19" s="100" t="n"/>
      <c r="AI19" s="100" t="n"/>
      <c r="AJ19" s="102">
        <f>IF(ISBLANK(B19), "", IF(ISNUMBER(D19), IF(D19&gt;0, (COUNTIF(E19:AI19, "✓") + COUNTIF(E19:AI19, "✔") + COUNTIF(E19:AI19, "v") + COUNTIF(E19:AI19, "V"))/D19, 0), IF(((COUNTIF(E19:AI19, "✓") + COUNTIF(E19:AI19, "✔") + COUNTIF(E19:AI19, "v") + COUNTIF(E19:AI19, "V")) + COUNTIF(E19:AI19, "✗") + COUNTIF(E19:AI19, "x") + COUNTIF(E19:AI19, "X"))&gt;0, (COUNTIF(E19:AI19, "✓") + COUNTIF(E19:AI19, "✔") + COUNTIF(E19:AI19, "v") + COUNTIF(E19:AI19, "V"))/((COUNTIF(E19:AI19, "✓") + COUNTIF(E19:AI19, "✔") + COUNTIF(E19:AI19, "v") + COUNTIF(E19:AI19, "V")) + COUNTIF(E19:AI19, "✗") + COUNTIF(E19:AI19, "x") + COUNTIF(E19:AI19, "X")), "")))</f>
        <v/>
      </c>
      <c r="AK19" s="103">
        <f>IF(ISBLANK(B19), "", IF(ISNUMBER(D19), IF(D19&gt;0, (COUNTIF(E19:AI19, "✓") + COUNTIF(E19:AI19, "✔") + COUNTIF(E19:AI19, "v") + COUNTIF(E19:AI19, "V")) &amp; "/" &amp; D19, (COUNTIF(E19:AI19, "✓") + COUNTIF(E19:AI19, "✔") + COUNTIF(E19:AI19, "v") + COUNTIF(E19:AI19, "V")) &amp; "/0"), IF(((COUNTIF(E19:AI19, "✓") + COUNTIF(E19:AI19, "✔") + COUNTIF(E19:AI19, "v") + COUNTIF(E19:AI19, "V")) + COUNTIF(E19:AI19, "✗") + COUNTIF(E19:AI19, "x") + COUNTIF(E19:AI19, "X"))&gt;0, (COUNTIF(E19:AI19, "✓") + COUNTIF(E19:AI19, "✔") + COUNTIF(E19:AI19, "v") + COUNTIF(E19:AI19, "V")) &amp; "/" &amp; ((COUNTIF(E19:AI19, "✓") + COUNTIF(E19:AI19, "✔") + COUNTIF(E19:AI19, "v") + COUNTIF(E19:AI19, "V")) + COUNTIF(E19:AI19, "✗") + COUNTIF(E19:AI19, "x") + COUNTIF(E19:AI19, "X")), "")))</f>
        <v/>
      </c>
      <c r="AL19" s="103">
        <f>IF(ISBLANK(B19), "", IF(AJ19&gt;=0.85, "🔥 Mastered", IF(AJ19&gt;=0.7, "⚡ Consistent", "⚠️ Needs Focus")))</f>
        <v/>
      </c>
      <c r="AM19">
        <f>COUNTIF(E19:AI19, "✓")</f>
        <v/>
      </c>
    </row>
    <row r="20" ht="14.5" customHeight="1">
      <c r="A20" s="97" t="n">
        <v>3</v>
      </c>
      <c r="B20" s="98" t="n"/>
      <c r="C20" s="99" t="n"/>
      <c r="D20" s="99" t="n"/>
      <c r="E20" s="100" t="n"/>
      <c r="F20" s="100" t="n"/>
      <c r="G20" s="100" t="n"/>
      <c r="H20" s="100" t="n"/>
      <c r="I20" s="101" t="n"/>
      <c r="J20" s="100" t="n"/>
      <c r="K20" s="100" t="n"/>
      <c r="L20" s="100" t="n"/>
      <c r="M20" s="100" t="n"/>
      <c r="N20" s="100" t="n"/>
      <c r="O20" s="100" t="n"/>
      <c r="P20" s="101" t="n"/>
      <c r="Q20" s="100" t="n"/>
      <c r="R20" s="100" t="n"/>
      <c r="S20" s="100" t="n"/>
      <c r="T20" s="100" t="n"/>
      <c r="U20" s="100" t="n"/>
      <c r="V20" s="100" t="n"/>
      <c r="W20" s="101" t="n"/>
      <c r="X20" s="100" t="n"/>
      <c r="Y20" s="100" t="n"/>
      <c r="Z20" s="100" t="n"/>
      <c r="AA20" s="100" t="n"/>
      <c r="AB20" s="100" t="n"/>
      <c r="AC20" s="100" t="n"/>
      <c r="AD20" s="101" t="n"/>
      <c r="AE20" s="100" t="n"/>
      <c r="AF20" s="100" t="n"/>
      <c r="AG20" s="100" t="n"/>
      <c r="AH20" s="100" t="n"/>
      <c r="AI20" s="100" t="n"/>
      <c r="AJ20" s="102">
        <f>IF(ISBLANK(B20), "", IF(ISNUMBER(D20), IF(D20&gt;0, (COUNTIF(E20:AI20, "✓") + COUNTIF(E20:AI20, "✔") + COUNTIF(E20:AI20, "v") + COUNTIF(E20:AI20, "V"))/D20, 0), IF(((COUNTIF(E20:AI20, "✓") + COUNTIF(E20:AI20, "✔") + COUNTIF(E20:AI20, "v") + COUNTIF(E20:AI20, "V")) + COUNTIF(E20:AI20, "✗") + COUNTIF(E20:AI20, "x") + COUNTIF(E20:AI20, "X"))&gt;0, (COUNTIF(E20:AI20, "✓") + COUNTIF(E20:AI20, "✔") + COUNTIF(E20:AI20, "v") + COUNTIF(E20:AI20, "V"))/((COUNTIF(E20:AI20, "✓") + COUNTIF(E20:AI20, "✔") + COUNTIF(E20:AI20, "v") + COUNTIF(E20:AI20, "V")) + COUNTIF(E20:AI20, "✗") + COUNTIF(E20:AI20, "x") + COUNTIF(E20:AI20, "X")), "")))</f>
        <v/>
      </c>
      <c r="AK20" s="103">
        <f>IF(ISBLANK(B20), "", IF(ISNUMBER(D20), IF(D20&gt;0, (COUNTIF(E20:AI20, "✓") + COUNTIF(E20:AI20, "✔") + COUNTIF(E20:AI20, "v") + COUNTIF(E20:AI20, "V")) &amp; "/" &amp; D20, (COUNTIF(E20:AI20, "✓") + COUNTIF(E20:AI20, "✔") + COUNTIF(E20:AI20, "v") + COUNTIF(E20:AI20, "V")) &amp; "/0"), IF(((COUNTIF(E20:AI20, "✓") + COUNTIF(E20:AI20, "✔") + COUNTIF(E20:AI20, "v") + COUNTIF(E20:AI20, "V")) + COUNTIF(E20:AI20, "✗") + COUNTIF(E20:AI20, "x") + COUNTIF(E20:AI20, "X"))&gt;0, (COUNTIF(E20:AI20, "✓") + COUNTIF(E20:AI20, "✔") + COUNTIF(E20:AI20, "v") + COUNTIF(E20:AI20, "V")) &amp; "/" &amp; ((COUNTIF(E20:AI20, "✓") + COUNTIF(E20:AI20, "✔") + COUNTIF(E20:AI20, "v") + COUNTIF(E20:AI20, "V")) + COUNTIF(E20:AI20, "✗") + COUNTIF(E20:AI20, "x") + COUNTIF(E20:AI20, "X")), "")))</f>
        <v/>
      </c>
      <c r="AL20" s="103">
        <f>IF(ISBLANK(B20), "", IF(AJ20&gt;=0.85, "🔥 Mastered", IF(AJ20&gt;=0.7, "⚡ Consistent", "⚠️ Needs Focus")))</f>
        <v/>
      </c>
      <c r="AM20">
        <f>COUNTIF(E20:AI20, "✓")</f>
        <v/>
      </c>
    </row>
    <row r="21" ht="14.5" customHeight="1">
      <c r="A21" s="97" t="n">
        <v>4</v>
      </c>
      <c r="B21" s="98" t="n"/>
      <c r="C21" s="99" t="n"/>
      <c r="D21" s="99" t="n"/>
      <c r="E21" s="100" t="n"/>
      <c r="F21" s="100" t="n"/>
      <c r="G21" s="100" t="n"/>
      <c r="H21" s="100" t="n"/>
      <c r="I21" s="101" t="n"/>
      <c r="J21" s="100" t="n"/>
      <c r="K21" s="100" t="n"/>
      <c r="L21" s="100" t="n"/>
      <c r="M21" s="100" t="n"/>
      <c r="N21" s="100" t="n"/>
      <c r="O21" s="100" t="n"/>
      <c r="P21" s="101" t="n"/>
      <c r="Q21" s="100" t="n"/>
      <c r="R21" s="100" t="n"/>
      <c r="S21" s="100" t="n"/>
      <c r="T21" s="100" t="n"/>
      <c r="U21" s="100" t="n"/>
      <c r="V21" s="100" t="n"/>
      <c r="W21" s="101" t="n"/>
      <c r="X21" s="100" t="n"/>
      <c r="Y21" s="100" t="n"/>
      <c r="Z21" s="100" t="n"/>
      <c r="AA21" s="100" t="n"/>
      <c r="AB21" s="100" t="n"/>
      <c r="AC21" s="100" t="n"/>
      <c r="AD21" s="101" t="n"/>
      <c r="AE21" s="100" t="n"/>
      <c r="AF21" s="100" t="n"/>
      <c r="AG21" s="100" t="n"/>
      <c r="AH21" s="100" t="n"/>
      <c r="AI21" s="100" t="n"/>
      <c r="AJ21" s="102">
        <f>IF(ISBLANK(B21), "", IF(ISNUMBER(D21), IF(D21&gt;0, (COUNTIF(E21:AI21, "✓") + COUNTIF(E21:AI21, "✔") + COUNTIF(E21:AI21, "v") + COUNTIF(E21:AI21, "V"))/D21, 0), IF(((COUNTIF(E21:AI21, "✓") + COUNTIF(E21:AI21, "✔") + COUNTIF(E21:AI21, "v") + COUNTIF(E21:AI21, "V")) + COUNTIF(E21:AI21, "✗") + COUNTIF(E21:AI21, "x") + COUNTIF(E21:AI21, "X"))&gt;0, (COUNTIF(E21:AI21, "✓") + COUNTIF(E21:AI21, "✔") + COUNTIF(E21:AI21, "v") + COUNTIF(E21:AI21, "V"))/((COUNTIF(E21:AI21, "✓") + COUNTIF(E21:AI21, "✔") + COUNTIF(E21:AI21, "v") + COUNTIF(E21:AI21, "V")) + COUNTIF(E21:AI21, "✗") + COUNTIF(E21:AI21, "x") + COUNTIF(E21:AI21, "X")), "")))</f>
        <v/>
      </c>
      <c r="AK21" s="103">
        <f>IF(ISBLANK(B21), "", IF(ISNUMBER(D21), IF(D21&gt;0, (COUNTIF(E21:AI21, "✓") + COUNTIF(E21:AI21, "✔") + COUNTIF(E21:AI21, "v") + COUNTIF(E21:AI21, "V")) &amp; "/" &amp; D21, (COUNTIF(E21:AI21, "✓") + COUNTIF(E21:AI21, "✔") + COUNTIF(E21:AI21, "v") + COUNTIF(E21:AI21, "V")) &amp; "/0"), IF(((COUNTIF(E21:AI21, "✓") + COUNTIF(E21:AI21, "✔") + COUNTIF(E21:AI21, "v") + COUNTIF(E21:AI21, "V")) + COUNTIF(E21:AI21, "✗") + COUNTIF(E21:AI21, "x") + COUNTIF(E21:AI21, "X"))&gt;0, (COUNTIF(E21:AI21, "✓") + COUNTIF(E21:AI21, "✔") + COUNTIF(E21:AI21, "v") + COUNTIF(E21:AI21, "V")) &amp; "/" &amp; ((COUNTIF(E21:AI21, "✓") + COUNTIF(E21:AI21, "✔") + COUNTIF(E21:AI21, "v") + COUNTIF(E21:AI21, "V")) + COUNTIF(E21:AI21, "✗") + COUNTIF(E21:AI21, "x") + COUNTIF(E21:AI21, "X")), "")))</f>
        <v/>
      </c>
      <c r="AL21" s="103">
        <f>IF(ISBLANK(B21), "", IF(AJ21&gt;=0.85, "🔥 Mastered", IF(AJ21&gt;=0.7, "⚡ Consistent", "⚠️ Needs Focus")))</f>
        <v/>
      </c>
      <c r="AM21">
        <f>COUNTIF(E21:AI21, "✓")</f>
        <v/>
      </c>
    </row>
    <row r="22" ht="14.5" customHeight="1">
      <c r="A22" s="104" t="n">
        <v>5</v>
      </c>
      <c r="B22" s="105" t="n"/>
      <c r="C22" s="106" t="n"/>
      <c r="D22" s="106" t="n"/>
      <c r="E22" s="107" t="n"/>
      <c r="F22" s="107" t="n"/>
      <c r="G22" s="107" t="n"/>
      <c r="H22" s="107" t="n"/>
      <c r="I22" s="108" t="n"/>
      <c r="J22" s="107" t="n"/>
      <c r="K22" s="107" t="n"/>
      <c r="L22" s="107" t="n"/>
      <c r="M22" s="107" t="n"/>
      <c r="N22" s="107" t="n"/>
      <c r="O22" s="107" t="n"/>
      <c r="P22" s="108" t="n"/>
      <c r="Q22" s="107" t="n"/>
      <c r="R22" s="107" t="n"/>
      <c r="S22" s="107" t="n"/>
      <c r="T22" s="107" t="n"/>
      <c r="U22" s="107" t="n"/>
      <c r="V22" s="107" t="n"/>
      <c r="W22" s="108" t="n"/>
      <c r="X22" s="107" t="n"/>
      <c r="Y22" s="107" t="n"/>
      <c r="Z22" s="107" t="n"/>
      <c r="AA22" s="107" t="n"/>
      <c r="AB22" s="107" t="n"/>
      <c r="AC22" s="107" t="n"/>
      <c r="AD22" s="108" t="n"/>
      <c r="AE22" s="107" t="n"/>
      <c r="AF22" s="107" t="n"/>
      <c r="AG22" s="107" t="n"/>
      <c r="AH22" s="107" t="n"/>
      <c r="AI22" s="107" t="n"/>
      <c r="AJ22" s="109">
        <f>IF(ISBLANK(B22), "", IF(ISNUMBER(D22), IF(D22&gt;0, (COUNTIF(E22:AI22, "✓") + COUNTIF(E22:AI22, "✔") + COUNTIF(E22:AI22, "v") + COUNTIF(E22:AI22, "V"))/D22, 0), IF(((COUNTIF(E22:AI22, "✓") + COUNTIF(E22:AI22, "✔") + COUNTIF(E22:AI22, "v") + COUNTIF(E22:AI22, "V")) + COUNTIF(E22:AI22, "✗") + COUNTIF(E22:AI22, "x") + COUNTIF(E22:AI22, "X"))&gt;0, (COUNTIF(E22:AI22, "✓") + COUNTIF(E22:AI22, "✔") + COUNTIF(E22:AI22, "v") + COUNTIF(E22:AI22, "V"))/((COUNTIF(E22:AI22, "✓") + COUNTIF(E22:AI22, "✔") + COUNTIF(E22:AI22, "v") + COUNTIF(E22:AI22, "V")) + COUNTIF(E22:AI22, "✗") + COUNTIF(E22:AI22, "x") + COUNTIF(E22:AI22, "X")), "")))</f>
        <v/>
      </c>
      <c r="AK22" s="110">
        <f>IF(ISBLANK(B22), "", IF(ISNUMBER(D22), IF(D22&gt;0, (COUNTIF(E22:AI22, "✓") + COUNTIF(E22:AI22, "✔") + COUNTIF(E22:AI22, "v") + COUNTIF(E22:AI22, "V")) &amp; "/" &amp; D22, (COUNTIF(E22:AI22, "✓") + COUNTIF(E22:AI22, "✔") + COUNTIF(E22:AI22, "v") + COUNTIF(E22:AI22, "V")) &amp; "/0"), IF(((COUNTIF(E22:AI22, "✓") + COUNTIF(E22:AI22, "✔") + COUNTIF(E22:AI22, "v") + COUNTIF(E22:AI22, "V")) + COUNTIF(E22:AI22, "✗") + COUNTIF(E22:AI22, "x") + COUNTIF(E22:AI22, "X"))&gt;0, (COUNTIF(E22:AI22, "✓") + COUNTIF(E22:AI22, "✔") + COUNTIF(E22:AI22, "v") + COUNTIF(E22:AI22, "V")) &amp; "/" &amp; ((COUNTIF(E22:AI22, "✓") + COUNTIF(E22:AI22, "✔") + COUNTIF(E22:AI22, "v") + COUNTIF(E22:AI22, "V")) + COUNTIF(E22:AI22, "✗") + COUNTIF(E22:AI22, "x") + COUNTIF(E22:AI22, "X")), "")))</f>
        <v/>
      </c>
      <c r="AL22" s="110">
        <f>IF(ISBLANK(B22), "", IF(AJ22&gt;=0.85, "🔥 Mastered", IF(AJ22&gt;=0.7, "⚡ Consistent", "⚠️ Needs Focus")))</f>
        <v/>
      </c>
      <c r="AM22">
        <f>COUNTIF(E22:AI22, "✓")</f>
        <v/>
      </c>
    </row>
    <row r="23" ht="14.5" customHeight="1">
      <c r="A23" s="104" t="n">
        <v>6</v>
      </c>
      <c r="B23" s="105" t="n"/>
      <c r="C23" s="106" t="n"/>
      <c r="D23" s="106" t="n"/>
      <c r="E23" s="107" t="n"/>
      <c r="F23" s="107" t="n"/>
      <c r="G23" s="107" t="n"/>
      <c r="H23" s="107" t="n"/>
      <c r="I23" s="108" t="n"/>
      <c r="J23" s="107" t="n"/>
      <c r="K23" s="107" t="n"/>
      <c r="L23" s="107" t="n"/>
      <c r="M23" s="107" t="n"/>
      <c r="N23" s="107" t="n"/>
      <c r="O23" s="107" t="n"/>
      <c r="P23" s="108" t="n"/>
      <c r="Q23" s="107" t="n"/>
      <c r="R23" s="107" t="n"/>
      <c r="S23" s="107" t="n"/>
      <c r="T23" s="107" t="n"/>
      <c r="U23" s="107" t="n"/>
      <c r="V23" s="107" t="n"/>
      <c r="W23" s="108" t="n"/>
      <c r="X23" s="107" t="n"/>
      <c r="Y23" s="107" t="n"/>
      <c r="Z23" s="107" t="n"/>
      <c r="AA23" s="107" t="n"/>
      <c r="AB23" s="107" t="n"/>
      <c r="AC23" s="107" t="n"/>
      <c r="AD23" s="108" t="n"/>
      <c r="AE23" s="107" t="n"/>
      <c r="AF23" s="107" t="n"/>
      <c r="AG23" s="107" t="n"/>
      <c r="AH23" s="107" t="n"/>
      <c r="AI23" s="107" t="n"/>
      <c r="AJ23" s="109">
        <f>IF(ISBLANK(B23), "", IF(ISNUMBER(D23), IF(D23&gt;0, (COUNTIF(E23:AI23, "✓") + COUNTIF(E23:AI23, "✔") + COUNTIF(E23:AI23, "v") + COUNTIF(E23:AI23, "V"))/D23, 0), IF(((COUNTIF(E23:AI23, "✓") + COUNTIF(E23:AI23, "✔") + COUNTIF(E23:AI23, "v") + COUNTIF(E23:AI23, "V")) + COUNTIF(E23:AI23, "✗") + COUNTIF(E23:AI23, "x") + COUNTIF(E23:AI23, "X"))&gt;0, (COUNTIF(E23:AI23, "✓") + COUNTIF(E23:AI23, "✔") + COUNTIF(E23:AI23, "v") + COUNTIF(E23:AI23, "V"))/((COUNTIF(E23:AI23, "✓") + COUNTIF(E23:AI23, "✔") + COUNTIF(E23:AI23, "v") + COUNTIF(E23:AI23, "V")) + COUNTIF(E23:AI23, "✗") + COUNTIF(E23:AI23, "x") + COUNTIF(E23:AI23, "X")), "")))</f>
        <v/>
      </c>
      <c r="AK23" s="110">
        <f>IF(ISBLANK(B23), "", IF(ISNUMBER(D23), IF(D23&gt;0, (COUNTIF(E23:AI23, "✓") + COUNTIF(E23:AI23, "✔") + COUNTIF(E23:AI23, "v") + COUNTIF(E23:AI23, "V")) &amp; "/" &amp; D23, (COUNTIF(E23:AI23, "✓") + COUNTIF(E23:AI23, "✔") + COUNTIF(E23:AI23, "v") + COUNTIF(E23:AI23, "V")) &amp; "/0"), IF(((COUNTIF(E23:AI23, "✓") + COUNTIF(E23:AI23, "✔") + COUNTIF(E23:AI23, "v") + COUNTIF(E23:AI23, "V")) + COUNTIF(E23:AI23, "✗") + COUNTIF(E23:AI23, "x") + COUNTIF(E23:AI23, "X"))&gt;0, (COUNTIF(E23:AI23, "✓") + COUNTIF(E23:AI23, "✔") + COUNTIF(E23:AI23, "v") + COUNTIF(E23:AI23, "V")) &amp; "/" &amp; ((COUNTIF(E23:AI23, "✓") + COUNTIF(E23:AI23, "✔") + COUNTIF(E23:AI23, "v") + COUNTIF(E23:AI23, "V")) + COUNTIF(E23:AI23, "✗") + COUNTIF(E23:AI23, "x") + COUNTIF(E23:AI23, "X")), "")))</f>
        <v/>
      </c>
      <c r="AL23" s="110">
        <f>IF(ISBLANK(B23), "", IF(AJ23&gt;=0.85, "🔥 Mastered", IF(AJ23&gt;=0.7, "⚡ Consistent", "⚠️ Needs Focus")))</f>
        <v/>
      </c>
      <c r="AM23">
        <f>COUNTIF(E23:AI23, "✓")</f>
        <v/>
      </c>
    </row>
    <row r="24" ht="14.5" customHeight="1">
      <c r="A24" s="104" t="n">
        <v>7</v>
      </c>
      <c r="B24" s="105" t="n"/>
      <c r="C24" s="106" t="n"/>
      <c r="D24" s="106" t="n"/>
      <c r="E24" s="107" t="n"/>
      <c r="F24" s="107" t="n"/>
      <c r="G24" s="107" t="n"/>
      <c r="H24" s="107" t="n"/>
      <c r="I24" s="108" t="n"/>
      <c r="J24" s="107" t="n"/>
      <c r="K24" s="107" t="n"/>
      <c r="L24" s="107" t="n"/>
      <c r="M24" s="107" t="n"/>
      <c r="N24" s="107" t="n"/>
      <c r="O24" s="107" t="n"/>
      <c r="P24" s="108" t="n"/>
      <c r="Q24" s="107" t="n"/>
      <c r="R24" s="107" t="n"/>
      <c r="S24" s="107" t="n"/>
      <c r="T24" s="107" t="n"/>
      <c r="U24" s="107" t="n"/>
      <c r="V24" s="107" t="n"/>
      <c r="W24" s="108" t="n"/>
      <c r="X24" s="107" t="n"/>
      <c r="Y24" s="107" t="n"/>
      <c r="Z24" s="107" t="n"/>
      <c r="AA24" s="107" t="n"/>
      <c r="AB24" s="107" t="n"/>
      <c r="AC24" s="107" t="n"/>
      <c r="AD24" s="108" t="n"/>
      <c r="AE24" s="107" t="n"/>
      <c r="AF24" s="107" t="n"/>
      <c r="AG24" s="107" t="n"/>
      <c r="AH24" s="107" t="n"/>
      <c r="AI24" s="107" t="n"/>
      <c r="AJ24" s="109">
        <f>IF(ISBLANK(B24), "", IF(ISNUMBER(D24), IF(D24&gt;0, (COUNTIF(E24:AI24, "✓") + COUNTIF(E24:AI24, "✔") + COUNTIF(E24:AI24, "v") + COUNTIF(E24:AI24, "V"))/D24, 0), IF(((COUNTIF(E24:AI24, "✓") + COUNTIF(E24:AI24, "✔") + COUNTIF(E24:AI24, "v") + COUNTIF(E24:AI24, "V")) + COUNTIF(E24:AI24, "✗") + COUNTIF(E24:AI24, "x") + COUNTIF(E24:AI24, "X"))&gt;0, (COUNTIF(E24:AI24, "✓") + COUNTIF(E24:AI24, "✔") + COUNTIF(E24:AI24, "v") + COUNTIF(E24:AI24, "V"))/((COUNTIF(E24:AI24, "✓") + COUNTIF(E24:AI24, "✔") + COUNTIF(E24:AI24, "v") + COUNTIF(E24:AI24, "V")) + COUNTIF(E24:AI24, "✗") + COUNTIF(E24:AI24, "x") + COUNTIF(E24:AI24, "X")), "")))</f>
        <v/>
      </c>
      <c r="AK24" s="110">
        <f>IF(ISBLANK(B24), "", IF(ISNUMBER(D24), IF(D24&gt;0, (COUNTIF(E24:AI24, "✓") + COUNTIF(E24:AI24, "✔") + COUNTIF(E24:AI24, "v") + COUNTIF(E24:AI24, "V")) &amp; "/" &amp; D24, (COUNTIF(E24:AI24, "✓") + COUNTIF(E24:AI24, "✔") + COUNTIF(E24:AI24, "v") + COUNTIF(E24:AI24, "V")) &amp; "/0"), IF(((COUNTIF(E24:AI24, "✓") + COUNTIF(E24:AI24, "✔") + COUNTIF(E24:AI24, "v") + COUNTIF(E24:AI24, "V")) + COUNTIF(E24:AI24, "✗") + COUNTIF(E24:AI24, "x") + COUNTIF(E24:AI24, "X"))&gt;0, (COUNTIF(E24:AI24, "✓") + COUNTIF(E24:AI24, "✔") + COUNTIF(E24:AI24, "v") + COUNTIF(E24:AI24, "V")) &amp; "/" &amp; ((COUNTIF(E24:AI24, "✓") + COUNTIF(E24:AI24, "✔") + COUNTIF(E24:AI24, "v") + COUNTIF(E24:AI24, "V")) + COUNTIF(E24:AI24, "✗") + COUNTIF(E24:AI24, "x") + COUNTIF(E24:AI24, "X")), "")))</f>
        <v/>
      </c>
      <c r="AL24" s="110">
        <f>IF(ISBLANK(B24), "", IF(AJ24&gt;=0.85, "🔥 Mastered", IF(AJ24&gt;=0.7, "⚡ Consistent", "⚠️ Needs Focus")))</f>
        <v/>
      </c>
      <c r="AM24">
        <f>COUNTIF(E24:AI24, "✓")</f>
        <v/>
      </c>
    </row>
    <row r="25" ht="14.5" customHeight="1">
      <c r="A25" s="104" t="n">
        <v>8</v>
      </c>
      <c r="B25" s="105" t="n"/>
      <c r="C25" s="106" t="n"/>
      <c r="D25" s="106" t="n"/>
      <c r="E25" s="107" t="n"/>
      <c r="F25" s="107" t="n"/>
      <c r="G25" s="107" t="n"/>
      <c r="H25" s="107" t="n"/>
      <c r="I25" s="108" t="n"/>
      <c r="J25" s="107" t="n"/>
      <c r="K25" s="107" t="n"/>
      <c r="L25" s="107" t="n"/>
      <c r="M25" s="107" t="n"/>
      <c r="N25" s="107" t="n"/>
      <c r="O25" s="107" t="n"/>
      <c r="P25" s="108" t="n"/>
      <c r="Q25" s="107" t="n"/>
      <c r="R25" s="107" t="n"/>
      <c r="S25" s="107" t="n"/>
      <c r="T25" s="107" t="n"/>
      <c r="U25" s="107" t="n"/>
      <c r="V25" s="107" t="n"/>
      <c r="W25" s="108" t="n"/>
      <c r="X25" s="107" t="n"/>
      <c r="Y25" s="107" t="n"/>
      <c r="Z25" s="107" t="n"/>
      <c r="AA25" s="107" t="n"/>
      <c r="AB25" s="107" t="n"/>
      <c r="AC25" s="107" t="n"/>
      <c r="AD25" s="108" t="n"/>
      <c r="AE25" s="107" t="n"/>
      <c r="AF25" s="107" t="n"/>
      <c r="AG25" s="107" t="n"/>
      <c r="AH25" s="107" t="n"/>
      <c r="AI25" s="107" t="n"/>
      <c r="AJ25" s="109">
        <f>IF(ISBLANK(B25), "", IF(ISNUMBER(D25), IF(D25&gt;0, (COUNTIF(E25:AI25, "✓") + COUNTIF(E25:AI25, "✔") + COUNTIF(E25:AI25, "v") + COUNTIF(E25:AI25, "V"))/D25, 0), IF(((COUNTIF(E25:AI25, "✓") + COUNTIF(E25:AI25, "✔") + COUNTIF(E25:AI25, "v") + COUNTIF(E25:AI25, "V")) + COUNTIF(E25:AI25, "✗") + COUNTIF(E25:AI25, "x") + COUNTIF(E25:AI25, "X"))&gt;0, (COUNTIF(E25:AI25, "✓") + COUNTIF(E25:AI25, "✔") + COUNTIF(E25:AI25, "v") + COUNTIF(E25:AI25, "V"))/((COUNTIF(E25:AI25, "✓") + COUNTIF(E25:AI25, "✔") + COUNTIF(E25:AI25, "v") + COUNTIF(E25:AI25, "V")) + COUNTIF(E25:AI25, "✗") + COUNTIF(E25:AI25, "x") + COUNTIF(E25:AI25, "X")), "")))</f>
        <v/>
      </c>
      <c r="AK25" s="110">
        <f>IF(ISBLANK(B25), "", IF(ISNUMBER(D25), IF(D25&gt;0, (COUNTIF(E25:AI25, "✓") + COUNTIF(E25:AI25, "✔") + COUNTIF(E25:AI25, "v") + COUNTIF(E25:AI25, "V")) &amp; "/" &amp; D25, (COUNTIF(E25:AI25, "✓") + COUNTIF(E25:AI25, "✔") + COUNTIF(E25:AI25, "v") + COUNTIF(E25:AI25, "V")) &amp; "/0"), IF(((COUNTIF(E25:AI25, "✓") + COUNTIF(E25:AI25, "✔") + COUNTIF(E25:AI25, "v") + COUNTIF(E25:AI25, "V")) + COUNTIF(E25:AI25, "✗") + COUNTIF(E25:AI25, "x") + COUNTIF(E25:AI25, "X"))&gt;0, (COUNTIF(E25:AI25, "✓") + COUNTIF(E25:AI25, "✔") + COUNTIF(E25:AI25, "v") + COUNTIF(E25:AI25, "V")) &amp; "/" &amp; ((COUNTIF(E25:AI25, "✓") + COUNTIF(E25:AI25, "✔") + COUNTIF(E25:AI25, "v") + COUNTIF(E25:AI25, "V")) + COUNTIF(E25:AI25, "✗") + COUNTIF(E25:AI25, "x") + COUNTIF(E25:AI25, "X")), "")))</f>
        <v/>
      </c>
      <c r="AL25" s="110">
        <f>IF(ISBLANK(B25), "", IF(AJ25&gt;=0.85, "🔥 Mastered", IF(AJ25&gt;=0.7, "⚡ Consistent", "⚠️ Needs Focus")))</f>
        <v/>
      </c>
      <c r="AM25">
        <f>COUNTIF(E25:AI25, "✓")</f>
        <v/>
      </c>
    </row>
    <row r="26" ht="14.5" customHeight="1">
      <c r="A26" s="111" t="n">
        <v>9</v>
      </c>
      <c r="B26" s="112" t="n"/>
      <c r="C26" s="113" t="n"/>
      <c r="D26" s="113" t="n"/>
      <c r="E26" s="114" t="n"/>
      <c r="F26" s="114" t="n"/>
      <c r="G26" s="114" t="n"/>
      <c r="H26" s="114" t="n"/>
      <c r="I26" s="115" t="n"/>
      <c r="J26" s="114" t="n"/>
      <c r="K26" s="114" t="n"/>
      <c r="L26" s="114" t="n"/>
      <c r="M26" s="114" t="n"/>
      <c r="N26" s="114" t="n"/>
      <c r="O26" s="114" t="n"/>
      <c r="P26" s="115" t="n"/>
      <c r="Q26" s="114" t="n"/>
      <c r="R26" s="114" t="n"/>
      <c r="S26" s="114" t="n"/>
      <c r="T26" s="114" t="n"/>
      <c r="U26" s="114" t="n"/>
      <c r="V26" s="114" t="n"/>
      <c r="W26" s="115" t="n"/>
      <c r="X26" s="114" t="n"/>
      <c r="Y26" s="114" t="n"/>
      <c r="Z26" s="114" t="n"/>
      <c r="AA26" s="114" t="n"/>
      <c r="AB26" s="114" t="n"/>
      <c r="AC26" s="114" t="n"/>
      <c r="AD26" s="115" t="n"/>
      <c r="AE26" s="114" t="n"/>
      <c r="AF26" s="114" t="n"/>
      <c r="AG26" s="114" t="n"/>
      <c r="AH26" s="114" t="n"/>
      <c r="AI26" s="114" t="n"/>
      <c r="AJ26" s="116">
        <f>IF(ISBLANK(B26), "", IF(ISNUMBER(D26), IF(D26&gt;0, (COUNTIF(E26:AI26, "✓") + COUNTIF(E26:AI26, "✔") + COUNTIF(E26:AI26, "v") + COUNTIF(E26:AI26, "V"))/D26, 0), IF(((COUNTIF(E26:AI26, "✓") + COUNTIF(E26:AI26, "✔") + COUNTIF(E26:AI26, "v") + COUNTIF(E26:AI26, "V")) + COUNTIF(E26:AI26, "✗") + COUNTIF(E26:AI26, "x") + COUNTIF(E26:AI26, "X"))&gt;0, (COUNTIF(E26:AI26, "✓") + COUNTIF(E26:AI26, "✔") + COUNTIF(E26:AI26, "v") + COUNTIF(E26:AI26, "V"))/((COUNTIF(E26:AI26, "✓") + COUNTIF(E26:AI26, "✔") + COUNTIF(E26:AI26, "v") + COUNTIF(E26:AI26, "V")) + COUNTIF(E26:AI26, "✗") + COUNTIF(E26:AI26, "x") + COUNTIF(E26:AI26, "X")), "")))</f>
        <v/>
      </c>
      <c r="AK26" s="117">
        <f>IF(ISBLANK(B26), "", IF(ISNUMBER(D26), IF(D26&gt;0, (COUNTIF(E26:AI26, "✓") + COUNTIF(E26:AI26, "✔") + COUNTIF(E26:AI26, "v") + COUNTIF(E26:AI26, "V")) &amp; "/" &amp; D26, (COUNTIF(E26:AI26, "✓") + COUNTIF(E26:AI26, "✔") + COUNTIF(E26:AI26, "v") + COUNTIF(E26:AI26, "V")) &amp; "/0"), IF(((COUNTIF(E26:AI26, "✓") + COUNTIF(E26:AI26, "✔") + COUNTIF(E26:AI26, "v") + COUNTIF(E26:AI26, "V")) + COUNTIF(E26:AI26, "✗") + COUNTIF(E26:AI26, "x") + COUNTIF(E26:AI26, "X"))&gt;0, (COUNTIF(E26:AI26, "✓") + COUNTIF(E26:AI26, "✔") + COUNTIF(E26:AI26, "v") + COUNTIF(E26:AI26, "V")) &amp; "/" &amp; ((COUNTIF(E26:AI26, "✓") + COUNTIF(E26:AI26, "✔") + COUNTIF(E26:AI26, "v") + COUNTIF(E26:AI26, "V")) + COUNTIF(E26:AI26, "✗") + COUNTIF(E26:AI26, "x") + COUNTIF(E26:AI26, "X")), "")))</f>
        <v/>
      </c>
      <c r="AL26" s="117">
        <f>IF(ISBLANK(B26), "", IF(AJ26&gt;=0.85, "🔥 Mastered", IF(AJ26&gt;=0.7, "⚡ Consistent", "⚠️ Needs Focus")))</f>
        <v/>
      </c>
      <c r="AM26">
        <f>COUNTIF(E26:AI26, "✓")</f>
        <v/>
      </c>
    </row>
    <row r="27" ht="14.5" customHeight="1">
      <c r="A27" s="111" t="n">
        <v>10</v>
      </c>
      <c r="B27" s="112" t="n"/>
      <c r="C27" s="113" t="n"/>
      <c r="D27" s="113" t="n"/>
      <c r="E27" s="114" t="n"/>
      <c r="F27" s="114" t="n"/>
      <c r="G27" s="114" t="n"/>
      <c r="H27" s="114" t="n"/>
      <c r="I27" s="115" t="n"/>
      <c r="J27" s="114" t="n"/>
      <c r="K27" s="114" t="n"/>
      <c r="L27" s="114" t="n"/>
      <c r="M27" s="114" t="n"/>
      <c r="N27" s="114" t="n"/>
      <c r="O27" s="114" t="n"/>
      <c r="P27" s="115" t="n"/>
      <c r="Q27" s="114" t="n"/>
      <c r="R27" s="114" t="n"/>
      <c r="S27" s="114" t="n"/>
      <c r="T27" s="114" t="n"/>
      <c r="U27" s="114" t="n"/>
      <c r="V27" s="114" t="n"/>
      <c r="W27" s="115" t="n"/>
      <c r="X27" s="114" t="n"/>
      <c r="Y27" s="114" t="n"/>
      <c r="Z27" s="114" t="n"/>
      <c r="AA27" s="114" t="n"/>
      <c r="AB27" s="114" t="n"/>
      <c r="AC27" s="114" t="n"/>
      <c r="AD27" s="115" t="n"/>
      <c r="AE27" s="114" t="n"/>
      <c r="AF27" s="114" t="n"/>
      <c r="AG27" s="114" t="n"/>
      <c r="AH27" s="114" t="n"/>
      <c r="AI27" s="114" t="n"/>
      <c r="AJ27" s="116">
        <f>IF(ISBLANK(B27), "", IF(ISNUMBER(D27), IF(D27&gt;0, (COUNTIF(E27:AI27, "✓") + COUNTIF(E27:AI27, "✔") + COUNTIF(E27:AI27, "v") + COUNTIF(E27:AI27, "V"))/D27, 0), IF(((COUNTIF(E27:AI27, "✓") + COUNTIF(E27:AI27, "✔") + COUNTIF(E27:AI27, "v") + COUNTIF(E27:AI27, "V")) + COUNTIF(E27:AI27, "✗") + COUNTIF(E27:AI27, "x") + COUNTIF(E27:AI27, "X"))&gt;0, (COUNTIF(E27:AI27, "✓") + COUNTIF(E27:AI27, "✔") + COUNTIF(E27:AI27, "v") + COUNTIF(E27:AI27, "V"))/((COUNTIF(E27:AI27, "✓") + COUNTIF(E27:AI27, "✔") + COUNTIF(E27:AI27, "v") + COUNTIF(E27:AI27, "V")) + COUNTIF(E27:AI27, "✗") + COUNTIF(E27:AI27, "x") + COUNTIF(E27:AI27, "X")), "")))</f>
        <v/>
      </c>
      <c r="AK27" s="117">
        <f>IF(ISBLANK(B27), "", IF(ISNUMBER(D27), IF(D27&gt;0, (COUNTIF(E27:AI27, "✓") + COUNTIF(E27:AI27, "✔") + COUNTIF(E27:AI27, "v") + COUNTIF(E27:AI27, "V")) &amp; "/" &amp; D27, (COUNTIF(E27:AI27, "✓") + COUNTIF(E27:AI27, "✔") + COUNTIF(E27:AI27, "v") + COUNTIF(E27:AI27, "V")) &amp; "/0"), IF(((COUNTIF(E27:AI27, "✓") + COUNTIF(E27:AI27, "✔") + COUNTIF(E27:AI27, "v") + COUNTIF(E27:AI27, "V")) + COUNTIF(E27:AI27, "✗") + COUNTIF(E27:AI27, "x") + COUNTIF(E27:AI27, "X"))&gt;0, (COUNTIF(E27:AI27, "✓") + COUNTIF(E27:AI27, "✔") + COUNTIF(E27:AI27, "v") + COUNTIF(E27:AI27, "V")) &amp; "/" &amp; ((COUNTIF(E27:AI27, "✓") + COUNTIF(E27:AI27, "✔") + COUNTIF(E27:AI27, "v") + COUNTIF(E27:AI27, "V")) + COUNTIF(E27:AI27, "✗") + COUNTIF(E27:AI27, "x") + COUNTIF(E27:AI27, "X")), "")))</f>
        <v/>
      </c>
      <c r="AL27" s="117">
        <f>IF(ISBLANK(B27), "", IF(AJ27&gt;=0.85, "🔥 Mastered", IF(AJ27&gt;=0.7, "⚡ Consistent", "⚠️ Needs Focus")))</f>
        <v/>
      </c>
      <c r="AM27">
        <f>COUNTIF(E27:AI27, "✓")</f>
        <v/>
      </c>
    </row>
    <row r="28" ht="14.5" customHeight="1">
      <c r="A28" s="111" t="n">
        <v>11</v>
      </c>
      <c r="B28" s="112" t="n"/>
      <c r="C28" s="113" t="n"/>
      <c r="D28" s="113" t="n"/>
      <c r="E28" s="114" t="n"/>
      <c r="F28" s="114" t="n"/>
      <c r="G28" s="114" t="n"/>
      <c r="H28" s="114" t="n"/>
      <c r="I28" s="115" t="n"/>
      <c r="J28" s="114" t="n"/>
      <c r="K28" s="114" t="n"/>
      <c r="L28" s="114" t="n"/>
      <c r="M28" s="114" t="n"/>
      <c r="N28" s="114" t="n"/>
      <c r="O28" s="114" t="n"/>
      <c r="P28" s="115" t="n"/>
      <c r="Q28" s="114" t="n"/>
      <c r="R28" s="114" t="n"/>
      <c r="S28" s="114" t="n"/>
      <c r="T28" s="114" t="n"/>
      <c r="U28" s="114" t="n"/>
      <c r="V28" s="114" t="n"/>
      <c r="W28" s="115" t="n"/>
      <c r="X28" s="114" t="n"/>
      <c r="Y28" s="114" t="n"/>
      <c r="Z28" s="114" t="n"/>
      <c r="AA28" s="114" t="n"/>
      <c r="AB28" s="114" t="n"/>
      <c r="AC28" s="114" t="n"/>
      <c r="AD28" s="115" t="n"/>
      <c r="AE28" s="114" t="n"/>
      <c r="AF28" s="114" t="n"/>
      <c r="AG28" s="114" t="n"/>
      <c r="AH28" s="114" t="n"/>
      <c r="AI28" s="114" t="n"/>
      <c r="AJ28" s="116">
        <f>IF(ISBLANK(B28), "", IF(ISNUMBER(D28), IF(D28&gt;0, (COUNTIF(E28:AI28, "✓") + COUNTIF(E28:AI28, "✔") + COUNTIF(E28:AI28, "v") + COUNTIF(E28:AI28, "V"))/D28, 0), IF(((COUNTIF(E28:AI28, "✓") + COUNTIF(E28:AI28, "✔") + COUNTIF(E28:AI28, "v") + COUNTIF(E28:AI28, "V")) + COUNTIF(E28:AI28, "✗") + COUNTIF(E28:AI28, "x") + COUNTIF(E28:AI28, "X"))&gt;0, (COUNTIF(E28:AI28, "✓") + COUNTIF(E28:AI28, "✔") + COUNTIF(E28:AI28, "v") + COUNTIF(E28:AI28, "V"))/((COUNTIF(E28:AI28, "✓") + COUNTIF(E28:AI28, "✔") + COUNTIF(E28:AI28, "v") + COUNTIF(E28:AI28, "V")) + COUNTIF(E28:AI28, "✗") + COUNTIF(E28:AI28, "x") + COUNTIF(E28:AI28, "X")), "")))</f>
        <v/>
      </c>
      <c r="AK28" s="117">
        <f>IF(ISBLANK(B28), "", IF(ISNUMBER(D28), IF(D28&gt;0, (COUNTIF(E28:AI28, "✓") + COUNTIF(E28:AI28, "✔") + COUNTIF(E28:AI28, "v") + COUNTIF(E28:AI28, "V")) &amp; "/" &amp; D28, (COUNTIF(E28:AI28, "✓") + COUNTIF(E28:AI28, "✔") + COUNTIF(E28:AI28, "v") + COUNTIF(E28:AI28, "V")) &amp; "/0"), IF(((COUNTIF(E28:AI28, "✓") + COUNTIF(E28:AI28, "✔") + COUNTIF(E28:AI28, "v") + COUNTIF(E28:AI28, "V")) + COUNTIF(E28:AI28, "✗") + COUNTIF(E28:AI28, "x") + COUNTIF(E28:AI28, "X"))&gt;0, (COUNTIF(E28:AI28, "✓") + COUNTIF(E28:AI28, "✔") + COUNTIF(E28:AI28, "v") + COUNTIF(E28:AI28, "V")) &amp; "/" &amp; ((COUNTIF(E28:AI28, "✓") + COUNTIF(E28:AI28, "✔") + COUNTIF(E28:AI28, "v") + COUNTIF(E28:AI28, "V")) + COUNTIF(E28:AI28, "✗") + COUNTIF(E28:AI28, "x") + COUNTIF(E28:AI28, "X")), "")))</f>
        <v/>
      </c>
      <c r="AL28" s="117">
        <f>IF(ISBLANK(B28), "", IF(AJ28&gt;=0.85, "🔥 Mastered", IF(AJ28&gt;=0.7, "⚡ Consistent", "⚠️ Needs Focus")))</f>
        <v/>
      </c>
      <c r="AM28">
        <f>COUNTIF(E28:AI28, "✓")</f>
        <v/>
      </c>
    </row>
    <row r="29" ht="14.5" customHeight="1">
      <c r="A29" s="111" t="n">
        <v>12</v>
      </c>
      <c r="B29" s="112" t="n"/>
      <c r="C29" s="113" t="n"/>
      <c r="D29" s="113" t="n"/>
      <c r="E29" s="114" t="n"/>
      <c r="F29" s="114" t="n"/>
      <c r="G29" s="114" t="n"/>
      <c r="H29" s="114" t="n"/>
      <c r="I29" s="115" t="n"/>
      <c r="J29" s="114" t="n"/>
      <c r="K29" s="114" t="n"/>
      <c r="L29" s="114" t="n"/>
      <c r="M29" s="114" t="n"/>
      <c r="N29" s="114" t="n"/>
      <c r="O29" s="114" t="n"/>
      <c r="P29" s="115" t="n"/>
      <c r="Q29" s="114" t="n"/>
      <c r="R29" s="114" t="n"/>
      <c r="S29" s="114" t="n"/>
      <c r="T29" s="114" t="n"/>
      <c r="U29" s="114" t="n"/>
      <c r="V29" s="114" t="n"/>
      <c r="W29" s="115" t="n"/>
      <c r="X29" s="114" t="n"/>
      <c r="Y29" s="114" t="n"/>
      <c r="Z29" s="114" t="n"/>
      <c r="AA29" s="114" t="n"/>
      <c r="AB29" s="114" t="n"/>
      <c r="AC29" s="114" t="n"/>
      <c r="AD29" s="115" t="n"/>
      <c r="AE29" s="114" t="n"/>
      <c r="AF29" s="114" t="n"/>
      <c r="AG29" s="114" t="n"/>
      <c r="AH29" s="114" t="n"/>
      <c r="AI29" s="114" t="n"/>
      <c r="AJ29" s="116">
        <f>IF(ISBLANK(B29), "", IF(ISNUMBER(D29), IF(D29&gt;0, (COUNTIF(E29:AI29, "✓") + COUNTIF(E29:AI29, "✔") + COUNTIF(E29:AI29, "v") + COUNTIF(E29:AI29, "V"))/D29, 0), IF(((COUNTIF(E29:AI29, "✓") + COUNTIF(E29:AI29, "✔") + COUNTIF(E29:AI29, "v") + COUNTIF(E29:AI29, "V")) + COUNTIF(E29:AI29, "✗") + COUNTIF(E29:AI29, "x") + COUNTIF(E29:AI29, "X"))&gt;0, (COUNTIF(E29:AI29, "✓") + COUNTIF(E29:AI29, "✔") + COUNTIF(E29:AI29, "v") + COUNTIF(E29:AI29, "V"))/((COUNTIF(E29:AI29, "✓") + COUNTIF(E29:AI29, "✔") + COUNTIF(E29:AI29, "v") + COUNTIF(E29:AI29, "V")) + COUNTIF(E29:AI29, "✗") + COUNTIF(E29:AI29, "x") + COUNTIF(E29:AI29, "X")), "")))</f>
        <v/>
      </c>
      <c r="AK29" s="117">
        <f>IF(ISBLANK(B29), "", IF(ISNUMBER(D29), IF(D29&gt;0, (COUNTIF(E29:AI29, "✓") + COUNTIF(E29:AI29, "✔") + COUNTIF(E29:AI29, "v") + COUNTIF(E29:AI29, "V")) &amp; "/" &amp; D29, (COUNTIF(E29:AI29, "✓") + COUNTIF(E29:AI29, "✔") + COUNTIF(E29:AI29, "v") + COUNTIF(E29:AI29, "V")) &amp; "/0"), IF(((COUNTIF(E29:AI29, "✓") + COUNTIF(E29:AI29, "✔") + COUNTIF(E29:AI29, "v") + COUNTIF(E29:AI29, "V")) + COUNTIF(E29:AI29, "✗") + COUNTIF(E29:AI29, "x") + COUNTIF(E29:AI29, "X"))&gt;0, (COUNTIF(E29:AI29, "✓") + COUNTIF(E29:AI29, "✔") + COUNTIF(E29:AI29, "v") + COUNTIF(E29:AI29, "V")) &amp; "/" &amp; ((COUNTIF(E29:AI29, "✓") + COUNTIF(E29:AI29, "✔") + COUNTIF(E29:AI29, "v") + COUNTIF(E29:AI29, "V")) + COUNTIF(E29:AI29, "✗") + COUNTIF(E29:AI29, "x") + COUNTIF(E29:AI29, "X")), "")))</f>
        <v/>
      </c>
      <c r="AL29" s="117">
        <f>IF(ISBLANK(B29), "", IF(AJ29&gt;=0.85, "🔥 Mastered", IF(AJ29&gt;=0.7, "⚡ Consistent", "⚠️ Needs Focus")))</f>
        <v/>
      </c>
      <c r="AM29">
        <f>COUNTIF(E29:AI29, "✓")</f>
        <v/>
      </c>
    </row>
    <row r="30" ht="14.5" customHeight="1">
      <c r="A30" s="118" t="n">
        <v>13</v>
      </c>
      <c r="B30" s="119" t="n"/>
      <c r="C30" s="120" t="n"/>
      <c r="D30" s="120" t="n"/>
      <c r="E30" s="121" t="n"/>
      <c r="F30" s="121" t="n"/>
      <c r="G30" s="121" t="n"/>
      <c r="H30" s="121" t="n"/>
      <c r="I30" s="122" t="n"/>
      <c r="J30" s="121" t="n"/>
      <c r="K30" s="121" t="n"/>
      <c r="L30" s="121" t="n"/>
      <c r="M30" s="121" t="n"/>
      <c r="N30" s="121" t="n"/>
      <c r="O30" s="121" t="n"/>
      <c r="P30" s="122" t="n"/>
      <c r="Q30" s="121" t="n"/>
      <c r="R30" s="121" t="n"/>
      <c r="S30" s="121" t="n"/>
      <c r="T30" s="121" t="n"/>
      <c r="U30" s="121" t="n"/>
      <c r="V30" s="121" t="n"/>
      <c r="W30" s="122" t="n"/>
      <c r="X30" s="121" t="n"/>
      <c r="Y30" s="121" t="n"/>
      <c r="Z30" s="121" t="n"/>
      <c r="AA30" s="121" t="n"/>
      <c r="AB30" s="121" t="n"/>
      <c r="AC30" s="121" t="n"/>
      <c r="AD30" s="122" t="n"/>
      <c r="AE30" s="121" t="n"/>
      <c r="AF30" s="121" t="n"/>
      <c r="AG30" s="121" t="n"/>
      <c r="AH30" s="121" t="n"/>
      <c r="AI30" s="121" t="n"/>
      <c r="AJ30" s="123">
        <f>IF(ISBLANK(B30), "", IF(ISNUMBER(D30), IF(D30&gt;0, (COUNTIF(E30:AI30, "✓") + COUNTIF(E30:AI30, "✔") + COUNTIF(E30:AI30, "v") + COUNTIF(E30:AI30, "V"))/D30, 0), IF(((COUNTIF(E30:AI30, "✓") + COUNTIF(E30:AI30, "✔") + COUNTIF(E30:AI30, "v") + COUNTIF(E30:AI30, "V")) + COUNTIF(E30:AI30, "✗") + COUNTIF(E30:AI30, "x") + COUNTIF(E30:AI30, "X"))&gt;0, (COUNTIF(E30:AI30, "✓") + COUNTIF(E30:AI30, "✔") + COUNTIF(E30:AI30, "v") + COUNTIF(E30:AI30, "V"))/((COUNTIF(E30:AI30, "✓") + COUNTIF(E30:AI30, "✔") + COUNTIF(E30:AI30, "v") + COUNTIF(E30:AI30, "V")) + COUNTIF(E30:AI30, "✗") + COUNTIF(E30:AI30, "x") + COUNTIF(E30:AI30, "X")), "")))</f>
        <v/>
      </c>
      <c r="AK30" s="124">
        <f>IF(ISBLANK(B30), "", IF(ISNUMBER(D30), IF(D30&gt;0, (COUNTIF(E30:AI30, "✓") + COUNTIF(E30:AI30, "✔") + COUNTIF(E30:AI30, "v") + COUNTIF(E30:AI30, "V")) &amp; "/" &amp; D30, (COUNTIF(E30:AI30, "✓") + COUNTIF(E30:AI30, "✔") + COUNTIF(E30:AI30, "v") + COUNTIF(E30:AI30, "V")) &amp; "/0"), IF(((COUNTIF(E30:AI30, "✓") + COUNTIF(E30:AI30, "✔") + COUNTIF(E30:AI30, "v") + COUNTIF(E30:AI30, "V")) + COUNTIF(E30:AI30, "✗") + COUNTIF(E30:AI30, "x") + COUNTIF(E30:AI30, "X"))&gt;0, (COUNTIF(E30:AI30, "✓") + COUNTIF(E30:AI30, "✔") + COUNTIF(E30:AI30, "v") + COUNTIF(E30:AI30, "V")) &amp; "/" &amp; ((COUNTIF(E30:AI30, "✓") + COUNTIF(E30:AI30, "✔") + COUNTIF(E30:AI30, "v") + COUNTIF(E30:AI30, "V")) + COUNTIF(E30:AI30, "✗") + COUNTIF(E30:AI30, "x") + COUNTIF(E30:AI30, "X")), "")))</f>
        <v/>
      </c>
      <c r="AL30" s="124">
        <f>IF(ISBLANK(B30), "", IF(AJ30&gt;=0.85, "🔥 Mastered", IF(AJ30&gt;=0.7, "⚡ Consistent", "⚠️ Needs Focus")))</f>
        <v/>
      </c>
      <c r="AM30">
        <f>COUNTIF(E30:AI30, "✓")</f>
        <v/>
      </c>
    </row>
    <row r="31" ht="14.5" customHeight="1">
      <c r="A31" s="118" t="n">
        <v>14</v>
      </c>
      <c r="B31" s="119" t="n"/>
      <c r="C31" s="120" t="n"/>
      <c r="D31" s="120" t="n"/>
      <c r="E31" s="121" t="n"/>
      <c r="F31" s="121" t="n"/>
      <c r="G31" s="121" t="n"/>
      <c r="H31" s="121" t="n"/>
      <c r="I31" s="122" t="n"/>
      <c r="J31" s="121" t="n"/>
      <c r="K31" s="121" t="n"/>
      <c r="L31" s="121" t="n"/>
      <c r="M31" s="121" t="n"/>
      <c r="N31" s="121" t="n"/>
      <c r="O31" s="121" t="n"/>
      <c r="P31" s="122" t="n"/>
      <c r="Q31" s="121" t="n"/>
      <c r="R31" s="121" t="n"/>
      <c r="S31" s="121" t="n"/>
      <c r="T31" s="121" t="n"/>
      <c r="U31" s="121" t="n"/>
      <c r="V31" s="121" t="n"/>
      <c r="W31" s="122" t="n"/>
      <c r="X31" s="121" t="n"/>
      <c r="Y31" s="121" t="n"/>
      <c r="Z31" s="121" t="n"/>
      <c r="AA31" s="121" t="n"/>
      <c r="AB31" s="121" t="n"/>
      <c r="AC31" s="121" t="n"/>
      <c r="AD31" s="122" t="n"/>
      <c r="AE31" s="121" t="n"/>
      <c r="AF31" s="121" t="n"/>
      <c r="AG31" s="121" t="n"/>
      <c r="AH31" s="121" t="n"/>
      <c r="AI31" s="121" t="n"/>
      <c r="AJ31" s="123">
        <f>IF(ISBLANK(B31), "", IF(ISNUMBER(D31), IF(D31&gt;0, (COUNTIF(E31:AI31, "✓") + COUNTIF(E31:AI31, "✔") + COUNTIF(E31:AI31, "v") + COUNTIF(E31:AI31, "V"))/D31, 0), IF(((COUNTIF(E31:AI31, "✓") + COUNTIF(E31:AI31, "✔") + COUNTIF(E31:AI31, "v") + COUNTIF(E31:AI31, "V")) + COUNTIF(E31:AI31, "✗") + COUNTIF(E31:AI31, "x") + COUNTIF(E31:AI31, "X"))&gt;0, (COUNTIF(E31:AI31, "✓") + COUNTIF(E31:AI31, "✔") + COUNTIF(E31:AI31, "v") + COUNTIF(E31:AI31, "V"))/((COUNTIF(E31:AI31, "✓") + COUNTIF(E31:AI31, "✔") + COUNTIF(E31:AI31, "v") + COUNTIF(E31:AI31, "V")) + COUNTIF(E31:AI31, "✗") + COUNTIF(E31:AI31, "x") + COUNTIF(E31:AI31, "X")), "")))</f>
        <v/>
      </c>
      <c r="AK31" s="124">
        <f>IF(ISBLANK(B31), "", IF(ISNUMBER(D31), IF(D31&gt;0, (COUNTIF(E31:AI31, "✓") + COUNTIF(E31:AI31, "✔") + COUNTIF(E31:AI31, "v") + COUNTIF(E31:AI31, "V")) &amp; "/" &amp; D31, (COUNTIF(E31:AI31, "✓") + COUNTIF(E31:AI31, "✔") + COUNTIF(E31:AI31, "v") + COUNTIF(E31:AI31, "V")) &amp; "/0"), IF(((COUNTIF(E31:AI31, "✓") + COUNTIF(E31:AI31, "✔") + COUNTIF(E31:AI31, "v") + COUNTIF(E31:AI31, "V")) + COUNTIF(E31:AI31, "✗") + COUNTIF(E31:AI31, "x") + COUNTIF(E31:AI31, "X"))&gt;0, (COUNTIF(E31:AI31, "✓") + COUNTIF(E31:AI31, "✔") + COUNTIF(E31:AI31, "v") + COUNTIF(E31:AI31, "V")) &amp; "/" &amp; ((COUNTIF(E31:AI31, "✓") + COUNTIF(E31:AI31, "✔") + COUNTIF(E31:AI31, "v") + COUNTIF(E31:AI31, "V")) + COUNTIF(E31:AI31, "✗") + COUNTIF(E31:AI31, "x") + COUNTIF(E31:AI31, "X")), "")))</f>
        <v/>
      </c>
      <c r="AL31" s="124">
        <f>IF(ISBLANK(B31), "", IF(AJ31&gt;=0.85, "🔥 Mastered", IF(AJ31&gt;=0.7, "⚡ Consistent", "⚠️ Needs Focus")))</f>
        <v/>
      </c>
      <c r="AM31">
        <f>COUNTIF(E31:AI31, "✓")</f>
        <v/>
      </c>
    </row>
    <row r="32" ht="14.5" customHeight="1">
      <c r="A32" s="118" t="n">
        <v>15</v>
      </c>
      <c r="B32" s="119" t="n"/>
      <c r="C32" s="120" t="n"/>
      <c r="D32" s="120" t="n"/>
      <c r="E32" s="121" t="n"/>
      <c r="F32" s="121" t="n"/>
      <c r="G32" s="121" t="n"/>
      <c r="H32" s="121" t="n"/>
      <c r="I32" s="122" t="n"/>
      <c r="J32" s="121" t="n"/>
      <c r="K32" s="121" t="n"/>
      <c r="L32" s="121" t="n"/>
      <c r="M32" s="121" t="n"/>
      <c r="N32" s="121" t="n"/>
      <c r="O32" s="121" t="n"/>
      <c r="P32" s="122" t="n"/>
      <c r="Q32" s="121" t="n"/>
      <c r="R32" s="121" t="n"/>
      <c r="S32" s="121" t="n"/>
      <c r="T32" s="121" t="n"/>
      <c r="U32" s="121" t="n"/>
      <c r="V32" s="121" t="n"/>
      <c r="W32" s="122" t="n"/>
      <c r="X32" s="121" t="n"/>
      <c r="Y32" s="121" t="n"/>
      <c r="Z32" s="121" t="n"/>
      <c r="AA32" s="121" t="n"/>
      <c r="AB32" s="121" t="n"/>
      <c r="AC32" s="121" t="n"/>
      <c r="AD32" s="122" t="n"/>
      <c r="AE32" s="121" t="n"/>
      <c r="AF32" s="121" t="n"/>
      <c r="AG32" s="121" t="n"/>
      <c r="AH32" s="121" t="n"/>
      <c r="AI32" s="121" t="n"/>
      <c r="AJ32" s="123">
        <f>IF(ISBLANK(B32), "", IF(ISNUMBER(D32), IF(D32&gt;0, (COUNTIF(E32:AI32, "✓") + COUNTIF(E32:AI32, "✔") + COUNTIF(E32:AI32, "v") + COUNTIF(E32:AI32, "V"))/D32, 0), IF(((COUNTIF(E32:AI32, "✓") + COUNTIF(E32:AI32, "✔") + COUNTIF(E32:AI32, "v") + COUNTIF(E32:AI32, "V")) + COUNTIF(E32:AI32, "✗") + COUNTIF(E32:AI32, "x") + COUNTIF(E32:AI32, "X"))&gt;0, (COUNTIF(E32:AI32, "✓") + COUNTIF(E32:AI32, "✔") + COUNTIF(E32:AI32, "v") + COUNTIF(E32:AI32, "V"))/((COUNTIF(E32:AI32, "✓") + COUNTIF(E32:AI32, "✔") + COUNTIF(E32:AI32, "v") + COUNTIF(E32:AI32, "V")) + COUNTIF(E32:AI32, "✗") + COUNTIF(E32:AI32, "x") + COUNTIF(E32:AI32, "X")), "")))</f>
        <v/>
      </c>
      <c r="AK32" s="124">
        <f>IF(ISBLANK(B32), "", IF(ISNUMBER(D32), IF(D32&gt;0, (COUNTIF(E32:AI32, "✓") + COUNTIF(E32:AI32, "✔") + COUNTIF(E32:AI32, "v") + COUNTIF(E32:AI32, "V")) &amp; "/" &amp; D32, (COUNTIF(E32:AI32, "✓") + COUNTIF(E32:AI32, "✔") + COUNTIF(E32:AI32, "v") + COUNTIF(E32:AI32, "V")) &amp; "/0"), IF(((COUNTIF(E32:AI32, "✓") + COUNTIF(E32:AI32, "✔") + COUNTIF(E32:AI32, "v") + COUNTIF(E32:AI32, "V")) + COUNTIF(E32:AI32, "✗") + COUNTIF(E32:AI32, "x") + COUNTIF(E32:AI32, "X"))&gt;0, (COUNTIF(E32:AI32, "✓") + COUNTIF(E32:AI32, "✔") + COUNTIF(E32:AI32, "v") + COUNTIF(E32:AI32, "V")) &amp; "/" &amp; ((COUNTIF(E32:AI32, "✓") + COUNTIF(E32:AI32, "✔") + COUNTIF(E32:AI32, "v") + COUNTIF(E32:AI32, "V")) + COUNTIF(E32:AI32, "✗") + COUNTIF(E32:AI32, "x") + COUNTIF(E32:AI32, "X")), "")))</f>
        <v/>
      </c>
      <c r="AL32" s="124">
        <f>IF(ISBLANK(B32), "", IF(AJ32&gt;=0.85, "🔥 Mastered", IF(AJ32&gt;=0.7, "⚡ Consistent", "⚠️ Needs Focus")))</f>
        <v/>
      </c>
      <c r="AM32">
        <f>COUNTIF(E32:AI32, "✓")</f>
        <v/>
      </c>
    </row>
    <row r="33" ht="14.5" customHeight="1">
      <c r="A33" s="118" t="n">
        <v>16</v>
      </c>
      <c r="B33" s="119" t="n"/>
      <c r="C33" s="120" t="n"/>
      <c r="D33" s="120" t="n"/>
      <c r="E33" s="121" t="n"/>
      <c r="F33" s="121" t="n"/>
      <c r="G33" s="121" t="n"/>
      <c r="H33" s="121" t="n"/>
      <c r="I33" s="122" t="n"/>
      <c r="J33" s="121" t="n"/>
      <c r="K33" s="121" t="n"/>
      <c r="L33" s="121" t="n"/>
      <c r="M33" s="121" t="n"/>
      <c r="N33" s="121" t="n"/>
      <c r="O33" s="121" t="n"/>
      <c r="P33" s="122" t="n"/>
      <c r="Q33" s="121" t="n"/>
      <c r="R33" s="121" t="n"/>
      <c r="S33" s="121" t="n"/>
      <c r="T33" s="121" t="n"/>
      <c r="U33" s="121" t="n"/>
      <c r="V33" s="121" t="n"/>
      <c r="W33" s="122" t="n"/>
      <c r="X33" s="121" t="n"/>
      <c r="Y33" s="121" t="n"/>
      <c r="Z33" s="121" t="n"/>
      <c r="AA33" s="121" t="n"/>
      <c r="AB33" s="121" t="n"/>
      <c r="AC33" s="121" t="n"/>
      <c r="AD33" s="122" t="n"/>
      <c r="AE33" s="121" t="n"/>
      <c r="AF33" s="121" t="n"/>
      <c r="AG33" s="121" t="n"/>
      <c r="AH33" s="121" t="n"/>
      <c r="AI33" s="121" t="n"/>
      <c r="AJ33" s="123">
        <f>IF(ISBLANK(B33), "", IF(ISNUMBER(D33), IF(D33&gt;0, (COUNTIF(E33:AI33, "✓") + COUNTIF(E33:AI33, "✔") + COUNTIF(E33:AI33, "v") + COUNTIF(E33:AI33, "V"))/D33, 0), IF(((COUNTIF(E33:AI33, "✓") + COUNTIF(E33:AI33, "✔") + COUNTIF(E33:AI33, "v") + COUNTIF(E33:AI33, "V")) + COUNTIF(E33:AI33, "✗") + COUNTIF(E33:AI33, "x") + COUNTIF(E33:AI33, "X"))&gt;0, (COUNTIF(E33:AI33, "✓") + COUNTIF(E33:AI33, "✔") + COUNTIF(E33:AI33, "v") + COUNTIF(E33:AI33, "V"))/((COUNTIF(E33:AI33, "✓") + COUNTIF(E33:AI33, "✔") + COUNTIF(E33:AI33, "v") + COUNTIF(E33:AI33, "V")) + COUNTIF(E33:AI33, "✗") + COUNTIF(E33:AI33, "x") + COUNTIF(E33:AI33, "X")), "")))</f>
        <v/>
      </c>
      <c r="AK33" s="124">
        <f>IF(ISBLANK(B33), "", IF(ISNUMBER(D33), IF(D33&gt;0, (COUNTIF(E33:AI33, "✓") + COUNTIF(E33:AI33, "✔") + COUNTIF(E33:AI33, "v") + COUNTIF(E33:AI33, "V")) &amp; "/" &amp; D33, (COUNTIF(E33:AI33, "✓") + COUNTIF(E33:AI33, "✔") + COUNTIF(E33:AI33, "v") + COUNTIF(E33:AI33, "V")) &amp; "/0"), IF(((COUNTIF(E33:AI33, "✓") + COUNTIF(E33:AI33, "✔") + COUNTIF(E33:AI33, "v") + COUNTIF(E33:AI33, "V")) + COUNTIF(E33:AI33, "✗") + COUNTIF(E33:AI33, "x") + COUNTIF(E33:AI33, "X"))&gt;0, (COUNTIF(E33:AI33, "✓") + COUNTIF(E33:AI33, "✔") + COUNTIF(E33:AI33, "v") + COUNTIF(E33:AI33, "V")) &amp; "/" &amp; ((COUNTIF(E33:AI33, "✓") + COUNTIF(E33:AI33, "✔") + COUNTIF(E33:AI33, "v") + COUNTIF(E33:AI33, "V")) + COUNTIF(E33:AI33, "✗") + COUNTIF(E33:AI33, "x") + COUNTIF(E33:AI33, "X")), "")))</f>
        <v/>
      </c>
      <c r="AL33" s="124">
        <f>IF(ISBLANK(B33), "", IF(AJ33&gt;=0.85, "🔥 Mastered", IF(AJ33&gt;=0.7, "⚡ Consistent", "⚠️ Needs Focus")))</f>
        <v/>
      </c>
      <c r="AM33">
        <f>COUNTIF(E33:AI33, "✓")</f>
        <v/>
      </c>
    </row>
    <row r="34" ht="14.5" customHeight="1">
      <c r="A34" s="125" t="n">
        <v>17</v>
      </c>
      <c r="B34" s="126" t="n"/>
      <c r="C34" s="127" t="n"/>
      <c r="D34" s="127" t="n"/>
      <c r="E34" s="128" t="n"/>
      <c r="F34" s="128" t="n"/>
      <c r="G34" s="128" t="n"/>
      <c r="H34" s="128" t="n"/>
      <c r="I34" s="129" t="n"/>
      <c r="J34" s="128" t="n"/>
      <c r="K34" s="128" t="n"/>
      <c r="L34" s="128" t="n"/>
      <c r="M34" s="128" t="n"/>
      <c r="N34" s="128" t="n"/>
      <c r="O34" s="128" t="n"/>
      <c r="P34" s="129" t="n"/>
      <c r="Q34" s="128" t="n"/>
      <c r="R34" s="128" t="n"/>
      <c r="S34" s="128" t="n"/>
      <c r="T34" s="128" t="n"/>
      <c r="U34" s="128" t="n"/>
      <c r="V34" s="128" t="n"/>
      <c r="W34" s="129" t="n"/>
      <c r="X34" s="128" t="n"/>
      <c r="Y34" s="128" t="n"/>
      <c r="Z34" s="128" t="n"/>
      <c r="AA34" s="128" t="n"/>
      <c r="AB34" s="128" t="n"/>
      <c r="AC34" s="128" t="n"/>
      <c r="AD34" s="129" t="n"/>
      <c r="AE34" s="128" t="n"/>
      <c r="AF34" s="128" t="n"/>
      <c r="AG34" s="128" t="n"/>
      <c r="AH34" s="128" t="n"/>
      <c r="AI34" s="128" t="n"/>
      <c r="AJ34" s="130">
        <f>IF(ISBLANK(B34), "", IF(ISNUMBER(D34), IF(D34&gt;0, (COUNTIF(E34:AI34, "✓") + COUNTIF(E34:AI34, "✔") + COUNTIF(E34:AI34, "v") + COUNTIF(E34:AI34, "V"))/D34, 0), IF(((COUNTIF(E34:AI34, "✓") + COUNTIF(E34:AI34, "✔") + COUNTIF(E34:AI34, "v") + COUNTIF(E34:AI34, "V")) + COUNTIF(E34:AI34, "✗") + COUNTIF(E34:AI34, "x") + COUNTIF(E34:AI34, "X"))&gt;0, (COUNTIF(E34:AI34, "✓") + COUNTIF(E34:AI34, "✔") + COUNTIF(E34:AI34, "v") + COUNTIF(E34:AI34, "V"))/((COUNTIF(E34:AI34, "✓") + COUNTIF(E34:AI34, "✔") + COUNTIF(E34:AI34, "v") + COUNTIF(E34:AI34, "V")) + COUNTIF(E34:AI34, "✗") + COUNTIF(E34:AI34, "x") + COUNTIF(E34:AI34, "X")), "")))</f>
        <v/>
      </c>
      <c r="AK34" s="131">
        <f>IF(ISBLANK(B34), "", IF(ISNUMBER(D34), IF(D34&gt;0, (COUNTIF(E34:AI34, "✓") + COUNTIF(E34:AI34, "✔") + COUNTIF(E34:AI34, "v") + COUNTIF(E34:AI34, "V")) &amp; "/" &amp; D34, (COUNTIF(E34:AI34, "✓") + COUNTIF(E34:AI34, "✔") + COUNTIF(E34:AI34, "v") + COUNTIF(E34:AI34, "V")) &amp; "/0"), IF(((COUNTIF(E34:AI34, "✓") + COUNTIF(E34:AI34, "✔") + COUNTIF(E34:AI34, "v") + COUNTIF(E34:AI34, "V")) + COUNTIF(E34:AI34, "✗") + COUNTIF(E34:AI34, "x") + COUNTIF(E34:AI34, "X"))&gt;0, (COUNTIF(E34:AI34, "✓") + COUNTIF(E34:AI34, "✔") + COUNTIF(E34:AI34, "v") + COUNTIF(E34:AI34, "V")) &amp; "/" &amp; ((COUNTIF(E34:AI34, "✓") + COUNTIF(E34:AI34, "✔") + COUNTIF(E34:AI34, "v") + COUNTIF(E34:AI34, "V")) + COUNTIF(E34:AI34, "✗") + COUNTIF(E34:AI34, "x") + COUNTIF(E34:AI34, "X")), "")))</f>
        <v/>
      </c>
      <c r="AL34" s="131">
        <f>IF(ISBLANK(B34), "", IF(AJ34&gt;=0.85, "🔥 Mastered", IF(AJ34&gt;=0.7, "⚡ Consistent", "⚠️ Needs Focus")))</f>
        <v/>
      </c>
      <c r="AM34">
        <f>COUNTIF(E34:AI34, "✓")</f>
        <v/>
      </c>
    </row>
    <row r="35" ht="14.5" customHeight="1">
      <c r="A35" s="125" t="n">
        <v>18</v>
      </c>
      <c r="B35" s="126" t="n"/>
      <c r="C35" s="127" t="n"/>
      <c r="D35" s="127" t="n"/>
      <c r="E35" s="128" t="n"/>
      <c r="F35" s="128" t="n"/>
      <c r="G35" s="128" t="n"/>
      <c r="H35" s="128" t="n"/>
      <c r="I35" s="129" t="n"/>
      <c r="J35" s="128" t="n"/>
      <c r="K35" s="128" t="n"/>
      <c r="L35" s="128" t="n"/>
      <c r="M35" s="128" t="n"/>
      <c r="N35" s="128" t="n"/>
      <c r="O35" s="128" t="n"/>
      <c r="P35" s="129" t="n"/>
      <c r="Q35" s="128" t="n"/>
      <c r="R35" s="128" t="n"/>
      <c r="S35" s="128" t="n"/>
      <c r="T35" s="128" t="n"/>
      <c r="U35" s="128" t="n"/>
      <c r="V35" s="128" t="n"/>
      <c r="W35" s="129" t="n"/>
      <c r="X35" s="128" t="n"/>
      <c r="Y35" s="128" t="n"/>
      <c r="Z35" s="128" t="n"/>
      <c r="AA35" s="128" t="n"/>
      <c r="AB35" s="128" t="n"/>
      <c r="AC35" s="128" t="n"/>
      <c r="AD35" s="129" t="n"/>
      <c r="AE35" s="128" t="n"/>
      <c r="AF35" s="128" t="n"/>
      <c r="AG35" s="128" t="n"/>
      <c r="AH35" s="128" t="n"/>
      <c r="AI35" s="128" t="n"/>
      <c r="AJ35" s="130">
        <f>IF(ISBLANK(B35), "", IF(ISNUMBER(D35), IF(D35&gt;0, (COUNTIF(E35:AI35, "✓") + COUNTIF(E35:AI35, "✔") + COUNTIF(E35:AI35, "v") + COUNTIF(E35:AI35, "V"))/D35, 0), IF(((COUNTIF(E35:AI35, "✓") + COUNTIF(E35:AI35, "✔") + COUNTIF(E35:AI35, "v") + COUNTIF(E35:AI35, "V")) + COUNTIF(E35:AI35, "✗") + COUNTIF(E35:AI35, "x") + COUNTIF(E35:AI35, "X"))&gt;0, (COUNTIF(E35:AI35, "✓") + COUNTIF(E35:AI35, "✔") + COUNTIF(E35:AI35, "v") + COUNTIF(E35:AI35, "V"))/((COUNTIF(E35:AI35, "✓") + COUNTIF(E35:AI35, "✔") + COUNTIF(E35:AI35, "v") + COUNTIF(E35:AI35, "V")) + COUNTIF(E35:AI35, "✗") + COUNTIF(E35:AI35, "x") + COUNTIF(E35:AI35, "X")), "")))</f>
        <v/>
      </c>
      <c r="AK35" s="131">
        <f>IF(ISBLANK(B35), "", IF(ISNUMBER(D35), IF(D35&gt;0, (COUNTIF(E35:AI35, "✓") + COUNTIF(E35:AI35, "✔") + COUNTIF(E35:AI35, "v") + COUNTIF(E35:AI35, "V")) &amp; "/" &amp; D35, (COUNTIF(E35:AI35, "✓") + COUNTIF(E35:AI35, "✔") + COUNTIF(E35:AI35, "v") + COUNTIF(E35:AI35, "V")) &amp; "/0"), IF(((COUNTIF(E35:AI35, "✓") + COUNTIF(E35:AI35, "✔") + COUNTIF(E35:AI35, "v") + COUNTIF(E35:AI35, "V")) + COUNTIF(E35:AI35, "✗") + COUNTIF(E35:AI35, "x") + COUNTIF(E35:AI35, "X"))&gt;0, (COUNTIF(E35:AI35, "✓") + COUNTIF(E35:AI35, "✔") + COUNTIF(E35:AI35, "v") + COUNTIF(E35:AI35, "V")) &amp; "/" &amp; ((COUNTIF(E35:AI35, "✓") + COUNTIF(E35:AI35, "✔") + COUNTIF(E35:AI35, "v") + COUNTIF(E35:AI35, "V")) + COUNTIF(E35:AI35, "✗") + COUNTIF(E35:AI35, "x") + COUNTIF(E35:AI35, "X")), "")))</f>
        <v/>
      </c>
      <c r="AL35" s="131">
        <f>IF(ISBLANK(B35), "", IF(AJ35&gt;=0.85, "🔥 Mastered", IF(AJ35&gt;=0.7, "⚡ Consistent", "⚠️ Needs Focus")))</f>
        <v/>
      </c>
      <c r="AM35">
        <f>COUNTIF(E35:AI35, "✓")</f>
        <v/>
      </c>
    </row>
    <row r="36" ht="14.5" customHeight="1">
      <c r="A36" s="125" t="n">
        <v>19</v>
      </c>
      <c r="B36" s="126" t="n"/>
      <c r="C36" s="127" t="n"/>
      <c r="D36" s="127" t="n"/>
      <c r="E36" s="128" t="n"/>
      <c r="F36" s="128" t="n"/>
      <c r="G36" s="128" t="n"/>
      <c r="H36" s="128" t="n"/>
      <c r="I36" s="129" t="n"/>
      <c r="J36" s="128" t="n"/>
      <c r="K36" s="128" t="n"/>
      <c r="L36" s="128" t="n"/>
      <c r="M36" s="128" t="n"/>
      <c r="N36" s="128" t="n"/>
      <c r="O36" s="128" t="n"/>
      <c r="P36" s="129" t="n"/>
      <c r="Q36" s="128" t="n"/>
      <c r="R36" s="128" t="n"/>
      <c r="S36" s="128" t="n"/>
      <c r="T36" s="128" t="n"/>
      <c r="U36" s="128" t="n"/>
      <c r="V36" s="128" t="n"/>
      <c r="W36" s="129" t="n"/>
      <c r="X36" s="128" t="n"/>
      <c r="Y36" s="128" t="n"/>
      <c r="Z36" s="128" t="n"/>
      <c r="AA36" s="128" t="n"/>
      <c r="AB36" s="128" t="n"/>
      <c r="AC36" s="128" t="n"/>
      <c r="AD36" s="129" t="n"/>
      <c r="AE36" s="128" t="n"/>
      <c r="AF36" s="128" t="n"/>
      <c r="AG36" s="128" t="n"/>
      <c r="AH36" s="128" t="n"/>
      <c r="AI36" s="128" t="n"/>
      <c r="AJ36" s="130">
        <f>IF(ISBLANK(B36), "", IF(ISNUMBER(D36), IF(D36&gt;0, (COUNTIF(E36:AI36, "✓") + COUNTIF(E36:AI36, "✔") + COUNTIF(E36:AI36, "v") + COUNTIF(E36:AI36, "V"))/D36, 0), IF(((COUNTIF(E36:AI36, "✓") + COUNTIF(E36:AI36, "✔") + COUNTIF(E36:AI36, "v") + COUNTIF(E36:AI36, "V")) + COUNTIF(E36:AI36, "✗") + COUNTIF(E36:AI36, "x") + COUNTIF(E36:AI36, "X"))&gt;0, (COUNTIF(E36:AI36, "✓") + COUNTIF(E36:AI36, "✔") + COUNTIF(E36:AI36, "v") + COUNTIF(E36:AI36, "V"))/((COUNTIF(E36:AI36, "✓") + COUNTIF(E36:AI36, "✔") + COUNTIF(E36:AI36, "v") + COUNTIF(E36:AI36, "V")) + COUNTIF(E36:AI36, "✗") + COUNTIF(E36:AI36, "x") + COUNTIF(E36:AI36, "X")), "")))</f>
        <v/>
      </c>
      <c r="AK36" s="131">
        <f>IF(ISBLANK(B36), "", IF(ISNUMBER(D36), IF(D36&gt;0, (COUNTIF(E36:AI36, "✓") + COUNTIF(E36:AI36, "✔") + COUNTIF(E36:AI36, "v") + COUNTIF(E36:AI36, "V")) &amp; "/" &amp; D36, (COUNTIF(E36:AI36, "✓") + COUNTIF(E36:AI36, "✔") + COUNTIF(E36:AI36, "v") + COUNTIF(E36:AI36, "V")) &amp; "/0"), IF(((COUNTIF(E36:AI36, "✓") + COUNTIF(E36:AI36, "✔") + COUNTIF(E36:AI36, "v") + COUNTIF(E36:AI36, "V")) + COUNTIF(E36:AI36, "✗") + COUNTIF(E36:AI36, "x") + COUNTIF(E36:AI36, "X"))&gt;0, (COUNTIF(E36:AI36, "✓") + COUNTIF(E36:AI36, "✔") + COUNTIF(E36:AI36, "v") + COUNTIF(E36:AI36, "V")) &amp; "/" &amp; ((COUNTIF(E36:AI36, "✓") + COUNTIF(E36:AI36, "✔") + COUNTIF(E36:AI36, "v") + COUNTIF(E36:AI36, "V")) + COUNTIF(E36:AI36, "✗") + COUNTIF(E36:AI36, "x") + COUNTIF(E36:AI36, "X")), "")))</f>
        <v/>
      </c>
      <c r="AL36" s="131">
        <f>IF(ISBLANK(B36), "", IF(AJ36&gt;=0.85, "🔥 Mastered", IF(AJ36&gt;=0.7, "⚡ Consistent", "⚠️ Needs Focus")))</f>
        <v/>
      </c>
      <c r="AM36">
        <f>COUNTIF(E36:AI36, "✓")</f>
        <v/>
      </c>
    </row>
    <row r="37" ht="14.5" customHeight="1">
      <c r="A37" s="125" t="n">
        <v>20</v>
      </c>
      <c r="B37" s="126" t="n"/>
      <c r="C37" s="127" t="n"/>
      <c r="D37" s="127" t="n"/>
      <c r="E37" s="128" t="n"/>
      <c r="F37" s="128" t="n"/>
      <c r="G37" s="128" t="n"/>
      <c r="H37" s="128" t="n"/>
      <c r="I37" s="129" t="n"/>
      <c r="J37" s="128" t="n"/>
      <c r="K37" s="128" t="n"/>
      <c r="L37" s="128" t="n"/>
      <c r="M37" s="128" t="n"/>
      <c r="N37" s="128" t="n"/>
      <c r="O37" s="128" t="n"/>
      <c r="P37" s="129" t="n"/>
      <c r="Q37" s="128" t="n"/>
      <c r="R37" s="128" t="n"/>
      <c r="S37" s="128" t="n"/>
      <c r="T37" s="128" t="n"/>
      <c r="U37" s="128" t="n"/>
      <c r="V37" s="128" t="n"/>
      <c r="W37" s="129" t="n"/>
      <c r="X37" s="128" t="n"/>
      <c r="Y37" s="128" t="n"/>
      <c r="Z37" s="128" t="n"/>
      <c r="AA37" s="128" t="n"/>
      <c r="AB37" s="128" t="n"/>
      <c r="AC37" s="128" t="n"/>
      <c r="AD37" s="129" t="n"/>
      <c r="AE37" s="128" t="n"/>
      <c r="AF37" s="128" t="n"/>
      <c r="AG37" s="128" t="n"/>
      <c r="AH37" s="128" t="n"/>
      <c r="AI37" s="128" t="n"/>
      <c r="AJ37" s="130">
        <f>IF(ISBLANK(B37), "", IF(ISNUMBER(D37), IF(D37&gt;0, (COUNTIF(E37:AI37, "✓") + COUNTIF(E37:AI37, "✔") + COUNTIF(E37:AI37, "v") + COUNTIF(E37:AI37, "V"))/D37, 0), IF(((COUNTIF(E37:AI37, "✓") + COUNTIF(E37:AI37, "✔") + COUNTIF(E37:AI37, "v") + COUNTIF(E37:AI37, "V")) + COUNTIF(E37:AI37, "✗") + COUNTIF(E37:AI37, "x") + COUNTIF(E37:AI37, "X"))&gt;0, (COUNTIF(E37:AI37, "✓") + COUNTIF(E37:AI37, "✔") + COUNTIF(E37:AI37, "v") + COUNTIF(E37:AI37, "V"))/((COUNTIF(E37:AI37, "✓") + COUNTIF(E37:AI37, "✔") + COUNTIF(E37:AI37, "v") + COUNTIF(E37:AI37, "V")) + COUNTIF(E37:AI37, "✗") + COUNTIF(E37:AI37, "x") + COUNTIF(E37:AI37, "X")), "")))</f>
        <v/>
      </c>
      <c r="AK37" s="131">
        <f>IF(ISBLANK(B37), "", IF(ISNUMBER(D37), IF(D37&gt;0, (COUNTIF(E37:AI37, "✓") + COUNTIF(E37:AI37, "✔") + COUNTIF(E37:AI37, "v") + COUNTIF(E37:AI37, "V")) &amp; "/" &amp; D37, (COUNTIF(E37:AI37, "✓") + COUNTIF(E37:AI37, "✔") + COUNTIF(E37:AI37, "v") + COUNTIF(E37:AI37, "V")) &amp; "/0"), IF(((COUNTIF(E37:AI37, "✓") + COUNTIF(E37:AI37, "✔") + COUNTIF(E37:AI37, "v") + COUNTIF(E37:AI37, "V")) + COUNTIF(E37:AI37, "✗") + COUNTIF(E37:AI37, "x") + COUNTIF(E37:AI37, "X"))&gt;0, (COUNTIF(E37:AI37, "✓") + COUNTIF(E37:AI37, "✔") + COUNTIF(E37:AI37, "v") + COUNTIF(E37:AI37, "V")) &amp; "/" &amp; ((COUNTIF(E37:AI37, "✓") + COUNTIF(E37:AI37, "✔") + COUNTIF(E37:AI37, "v") + COUNTIF(E37:AI37, "V")) + COUNTIF(E37:AI37, "✗") + COUNTIF(E37:AI37, "x") + COUNTIF(E37:AI37, "X")), "")))</f>
        <v/>
      </c>
      <c r="AL37" s="131">
        <f>IF(ISBLANK(B37), "", IF(AJ37&gt;=0.85, "🔥 Mastered", IF(AJ37&gt;=0.7, "⚡ Consistent", "⚠️ Needs Focus")))</f>
        <v/>
      </c>
      <c r="AM37">
        <f>COUNTIF(E37:AI37, "✓")</f>
        <v/>
      </c>
    </row>
    <row r="38" ht="18" customHeight="1">
      <c r="A38" s="132" t="inlineStr">
        <is>
          <t>DAILY TOTAL SCORE</t>
        </is>
      </c>
      <c r="B38" s="54" t="n"/>
      <c r="C38" s="54" t="n"/>
      <c r="D38" s="54" t="n"/>
      <c r="E38" s="33">
        <f>IF(((COUNTIF(E18:E37, "✓") + COUNTIF(E18:E37, "✔") + COUNTIF(E18:E37, "v") + COUNTIF(E18:E37, "V")) + COUNTIF(E18:E37, "✗") + COUNTIF(E18:E37, "x") + COUNTIF(E18:E37, "X")) &gt; 0, (COUNTIF(E18:E37, "✓") + COUNTIF(E18:E37, "✔") + COUNTIF(E18:E37, "v") + COUNTIF(E18:E37, "V")) &amp; "/" &amp; ((COUNTIF(E18:E37, "✓") + COUNTIF(E18:E37, "✔") + COUNTIF(E18:E37, "v") + COUNTIF(E18:E37, "V")) + COUNTIF(E18:E37, "✗") + COUNTIF(E18:E37, "x") + COUNTIF(E18:E37, "X")), "")</f>
        <v/>
      </c>
      <c r="F38" s="33">
        <f>IF(((COUNTIF(F18:F37, "✓") + COUNTIF(F18:F37, "✔") + COUNTIF(F18:F37, "v") + COUNTIF(F18:F37, "V")) + COUNTIF(F18:F37, "✗") + COUNTIF(F18:F37, "x") + COUNTIF(F18:F37, "X")) &gt; 0, (COUNTIF(F18:F37, "✓") + COUNTIF(F18:F37, "✔") + COUNTIF(F18:F37, "v") + COUNTIF(F18:F37, "V")) &amp; "/" &amp; ((COUNTIF(F18:F37, "✓") + COUNTIF(F18:F37, "✔") + COUNTIF(F18:F37, "v") + COUNTIF(F18:F37, "V")) + COUNTIF(F18:F37, "✗") + COUNTIF(F18:F37, "x") + COUNTIF(F18:F37, "X")), "")</f>
        <v/>
      </c>
      <c r="G38" s="33">
        <f>IF(((COUNTIF(G18:G37, "✓") + COUNTIF(G18:G37, "✔") + COUNTIF(G18:G37, "v") + COUNTIF(G18:G37, "V")) + COUNTIF(G18:G37, "✗") + COUNTIF(G18:G37, "x") + COUNTIF(G18:G37, "X")) &gt; 0, (COUNTIF(G18:G37, "✓") + COUNTIF(G18:G37, "✔") + COUNTIF(G18:G37, "v") + COUNTIF(G18:G37, "V")) &amp; "/" &amp; ((COUNTIF(G18:G37, "✓") + COUNTIF(G18:G37, "✔") + COUNTIF(G18:G37, "v") + COUNTIF(G18:G37, "V")) + COUNTIF(G18:G37, "✗") + COUNTIF(G18:G37, "x") + COUNTIF(G18:G37, "X")), "")</f>
        <v/>
      </c>
      <c r="H38" s="33">
        <f>IF(((COUNTIF(H18:H37, "✓") + COUNTIF(H18:H37, "✔") + COUNTIF(H18:H37, "v") + COUNTIF(H18:H37, "V")) + COUNTIF(H18:H37, "✗") + COUNTIF(H18:H37, "x") + COUNTIF(H18:H37, "X")) &gt; 0, (COUNTIF(H18:H37, "✓") + COUNTIF(H18:H37, "✔") + COUNTIF(H18:H37, "v") + COUNTIF(H18:H37, "V")) &amp; "/" &amp; ((COUNTIF(H18:H37, "✓") + COUNTIF(H18:H37, "✔") + COUNTIF(H18:H37, "v") + COUNTIF(H18:H37, "V")) + COUNTIF(H18:H37, "✗") + COUNTIF(H18:H37, "x") + COUNTIF(H18:H37, "X")), "")</f>
        <v/>
      </c>
      <c r="I38" s="33">
        <f>IF(((COUNTIF(I18:I37, "✓") + COUNTIF(I18:I37, "✔") + COUNTIF(I18:I37, "v") + COUNTIF(I18:I37, "V")) + COUNTIF(I18:I37, "✗") + COUNTIF(I18:I37, "x") + COUNTIF(I18:I37, "X")) &gt; 0, (COUNTIF(I18:I37, "✓") + COUNTIF(I18:I37, "✔") + COUNTIF(I18:I37, "v") + COUNTIF(I18:I37, "V")) &amp; "/" &amp; ((COUNTIF(I18:I37, "✓") + COUNTIF(I18:I37, "✔") + COUNTIF(I18:I37, "v") + COUNTIF(I18:I37, "V")) + COUNTIF(I18:I37, "✗") + COUNTIF(I18:I37, "x") + COUNTIF(I18:I37, "X")), "")</f>
        <v/>
      </c>
      <c r="J38" s="33">
        <f>IF(((COUNTIF(J18:J37, "✓") + COUNTIF(J18:J37, "✔") + COUNTIF(J18:J37, "v") + COUNTIF(J18:J37, "V")) + COUNTIF(J18:J37, "✗") + COUNTIF(J18:J37, "x") + COUNTIF(J18:J37, "X")) &gt; 0, (COUNTIF(J18:J37, "✓") + COUNTIF(J18:J37, "✔") + COUNTIF(J18:J37, "v") + COUNTIF(J18:J37, "V")) &amp; "/" &amp; ((COUNTIF(J18:J37, "✓") + COUNTIF(J18:J37, "✔") + COUNTIF(J18:J37, "v") + COUNTIF(J18:J37, "V")) + COUNTIF(J18:J37, "✗") + COUNTIF(J18:J37, "x") + COUNTIF(J18:J37, "X")), "")</f>
        <v/>
      </c>
      <c r="K38" s="33">
        <f>IF(((COUNTIF(K18:K37, "✓") + COUNTIF(K18:K37, "✔") + COUNTIF(K18:K37, "v") + COUNTIF(K18:K37, "V")) + COUNTIF(K18:K37, "✗") + COUNTIF(K18:K37, "x") + COUNTIF(K18:K37, "X")) &gt; 0, (COUNTIF(K18:K37, "✓") + COUNTIF(K18:K37, "✔") + COUNTIF(K18:K37, "v") + COUNTIF(K18:K37, "V")) &amp; "/" &amp; ((COUNTIF(K18:K37, "✓") + COUNTIF(K18:K37, "✔") + COUNTIF(K18:K37, "v") + COUNTIF(K18:K37, "V")) + COUNTIF(K18:K37, "✗") + COUNTIF(K18:K37, "x") + COUNTIF(K18:K37, "X")), "")</f>
        <v/>
      </c>
      <c r="L38" s="33">
        <f>IF(((COUNTIF(L18:L37, "✓") + COUNTIF(L18:L37, "✔") + COUNTIF(L18:L37, "v") + COUNTIF(L18:L37, "V")) + COUNTIF(L18:L37, "✗") + COUNTIF(L18:L37, "x") + COUNTIF(L18:L37, "X")) &gt; 0, (COUNTIF(L18:L37, "✓") + COUNTIF(L18:L37, "✔") + COUNTIF(L18:L37, "v") + COUNTIF(L18:L37, "V")) &amp; "/" &amp; ((COUNTIF(L18:L37, "✓") + COUNTIF(L18:L37, "✔") + COUNTIF(L18:L37, "v") + COUNTIF(L18:L37, "V")) + COUNTIF(L18:L37, "✗") + COUNTIF(L18:L37, "x") + COUNTIF(L18:L37, "X")), "")</f>
        <v/>
      </c>
      <c r="M38" s="33">
        <f>IF(((COUNTIF(M18:M37, "✓") + COUNTIF(M18:M37, "✔") + COUNTIF(M18:M37, "v") + COUNTIF(M18:M37, "V")) + COUNTIF(M18:M37, "✗") + COUNTIF(M18:M37, "x") + COUNTIF(M18:M37, "X")) &gt; 0, (COUNTIF(M18:M37, "✓") + COUNTIF(M18:M37, "✔") + COUNTIF(M18:M37, "v") + COUNTIF(M18:M37, "V")) &amp; "/" &amp; ((COUNTIF(M18:M37, "✓") + COUNTIF(M18:M37, "✔") + COUNTIF(M18:M37, "v") + COUNTIF(M18:M37, "V")) + COUNTIF(M18:M37, "✗") + COUNTIF(M18:M37, "x") + COUNTIF(M18:M37, "X")), "")</f>
        <v/>
      </c>
      <c r="N38" s="33">
        <f>IF(((COUNTIF(N18:N37, "✓") + COUNTIF(N18:N37, "✔") + COUNTIF(N18:N37, "v") + COUNTIF(N18:N37, "V")) + COUNTIF(N18:N37, "✗") + COUNTIF(N18:N37, "x") + COUNTIF(N18:N37, "X")) &gt; 0, (COUNTIF(N18:N37, "✓") + COUNTIF(N18:N37, "✔") + COUNTIF(N18:N37, "v") + COUNTIF(N18:N37, "V")) &amp; "/" &amp; ((COUNTIF(N18:N37, "✓") + COUNTIF(N18:N37, "✔") + COUNTIF(N18:N37, "v") + COUNTIF(N18:N37, "V")) + COUNTIF(N18:N37, "✗") + COUNTIF(N18:N37, "x") + COUNTIF(N18:N37, "X")), "")</f>
        <v/>
      </c>
      <c r="O38" s="33">
        <f>IF(((COUNTIF(O18:O37, "✓") + COUNTIF(O18:O37, "✔") + COUNTIF(O18:O37, "v") + COUNTIF(O18:O37, "V")) + COUNTIF(O18:O37, "✗") + COUNTIF(O18:O37, "x") + COUNTIF(O18:O37, "X")) &gt; 0, (COUNTIF(O18:O37, "✓") + COUNTIF(O18:O37, "✔") + COUNTIF(O18:O37, "v") + COUNTIF(O18:O37, "V")) &amp; "/" &amp; ((COUNTIF(O18:O37, "✓") + COUNTIF(O18:O37, "✔") + COUNTIF(O18:O37, "v") + COUNTIF(O18:O37, "V")) + COUNTIF(O18:O37, "✗") + COUNTIF(O18:O37, "x") + COUNTIF(O18:O37, "X")), "")</f>
        <v/>
      </c>
      <c r="P38" s="33">
        <f>IF(((COUNTIF(P18:P37, "✓") + COUNTIF(P18:P37, "✔") + COUNTIF(P18:P37, "v") + COUNTIF(P18:P37, "V")) + COUNTIF(P18:P37, "✗") + COUNTIF(P18:P37, "x") + COUNTIF(P18:P37, "X")) &gt; 0, (COUNTIF(P18:P37, "✓") + COUNTIF(P18:P37, "✔") + COUNTIF(P18:P37, "v") + COUNTIF(P18:P37, "V")) &amp; "/" &amp; ((COUNTIF(P18:P37, "✓") + COUNTIF(P18:P37, "✔") + COUNTIF(P18:P37, "v") + COUNTIF(P18:P37, "V")) + COUNTIF(P18:P37, "✗") + COUNTIF(P18:P37, "x") + COUNTIF(P18:P37, "X")), "")</f>
        <v/>
      </c>
      <c r="Q38" s="33">
        <f>IF(((COUNTIF(Q18:Q37, "✓") + COUNTIF(Q18:Q37, "✔") + COUNTIF(Q18:Q37, "v") + COUNTIF(Q18:Q37, "V")) + COUNTIF(Q18:Q37, "✗") + COUNTIF(Q18:Q37, "x") + COUNTIF(Q18:Q37, "X")) &gt; 0, (COUNTIF(Q18:Q37, "✓") + COUNTIF(Q18:Q37, "✔") + COUNTIF(Q18:Q37, "v") + COUNTIF(Q18:Q37, "V")) &amp; "/" &amp; ((COUNTIF(Q18:Q37, "✓") + COUNTIF(Q18:Q37, "✔") + COUNTIF(Q18:Q37, "v") + COUNTIF(Q18:Q37, "V")) + COUNTIF(Q18:Q37, "✗") + COUNTIF(Q18:Q37, "x") + COUNTIF(Q18:Q37, "X")), "")</f>
        <v/>
      </c>
      <c r="R38" s="33">
        <f>IF(((COUNTIF(R18:R37, "✓") + COUNTIF(R18:R37, "✔") + COUNTIF(R18:R37, "v") + COUNTIF(R18:R37, "V")) + COUNTIF(R18:R37, "✗") + COUNTIF(R18:R37, "x") + COUNTIF(R18:R37, "X")) &gt; 0, (COUNTIF(R18:R37, "✓") + COUNTIF(R18:R37, "✔") + COUNTIF(R18:R37, "v") + COUNTIF(R18:R37, "V")) &amp; "/" &amp; ((COUNTIF(R18:R37, "✓") + COUNTIF(R18:R37, "✔") + COUNTIF(R18:R37, "v") + COUNTIF(R18:R37, "V")) + COUNTIF(R18:R37, "✗") + COUNTIF(R18:R37, "x") + COUNTIF(R18:R37, "X")), "")</f>
        <v/>
      </c>
      <c r="S38" s="33">
        <f>IF(((COUNTIF(S18:S37, "✓") + COUNTIF(S18:S37, "✔") + COUNTIF(S18:S37, "v") + COUNTIF(S18:S37, "V")) + COUNTIF(S18:S37, "✗") + COUNTIF(S18:S37, "x") + COUNTIF(S18:S37, "X")) &gt; 0, (COUNTIF(S18:S37, "✓") + COUNTIF(S18:S37, "✔") + COUNTIF(S18:S37, "v") + COUNTIF(S18:S37, "V")) &amp; "/" &amp; ((COUNTIF(S18:S37, "✓") + COUNTIF(S18:S37, "✔") + COUNTIF(S18:S37, "v") + COUNTIF(S18:S37, "V")) + COUNTIF(S18:S37, "✗") + COUNTIF(S18:S37, "x") + COUNTIF(S18:S37, "X")), "")</f>
        <v/>
      </c>
      <c r="T38" s="33">
        <f>IF(((COUNTIF(T18:T37, "✓") + COUNTIF(T18:T37, "✔") + COUNTIF(T18:T37, "v") + COUNTIF(T18:T37, "V")) + COUNTIF(T18:T37, "✗") + COUNTIF(T18:T37, "x") + COUNTIF(T18:T37, "X")) &gt; 0, (COUNTIF(T18:T37, "✓") + COUNTIF(T18:T37, "✔") + COUNTIF(T18:T37, "v") + COUNTIF(T18:T37, "V")) &amp; "/" &amp; ((COUNTIF(T18:T37, "✓") + COUNTIF(T18:T37, "✔") + COUNTIF(T18:T37, "v") + COUNTIF(T18:T37, "V")) + COUNTIF(T18:T37, "✗") + COUNTIF(T18:T37, "x") + COUNTIF(T18:T37, "X")), "")</f>
        <v/>
      </c>
      <c r="U38" s="33">
        <f>IF(((COUNTIF(U18:U37, "✓") + COUNTIF(U18:U37, "✔") + COUNTIF(U18:U37, "v") + COUNTIF(U18:U37, "V")) + COUNTIF(U18:U37, "✗") + COUNTIF(U18:U37, "x") + COUNTIF(U18:U37, "X")) &gt; 0, (COUNTIF(U18:U37, "✓") + COUNTIF(U18:U37, "✔") + COUNTIF(U18:U37, "v") + COUNTIF(U18:U37, "V")) &amp; "/" &amp; ((COUNTIF(U18:U37, "✓") + COUNTIF(U18:U37, "✔") + COUNTIF(U18:U37, "v") + COUNTIF(U18:U37, "V")) + COUNTIF(U18:U37, "✗") + COUNTIF(U18:U37, "x") + COUNTIF(U18:U37, "X")), "")</f>
        <v/>
      </c>
      <c r="V38" s="33">
        <f>IF(((COUNTIF(V18:V37, "✓") + COUNTIF(V18:V37, "✔") + COUNTIF(V18:V37, "v") + COUNTIF(V18:V37, "V")) + COUNTIF(V18:V37, "✗") + COUNTIF(V18:V37, "x") + COUNTIF(V18:V37, "X")) &gt; 0, (COUNTIF(V18:V37, "✓") + COUNTIF(V18:V37, "✔") + COUNTIF(V18:V37, "v") + COUNTIF(V18:V37, "V")) &amp; "/" &amp; ((COUNTIF(V18:V37, "✓") + COUNTIF(V18:V37, "✔") + COUNTIF(V18:V37, "v") + COUNTIF(V18:V37, "V")) + COUNTIF(V18:V37, "✗") + COUNTIF(V18:V37, "x") + COUNTIF(V18:V37, "X")), "")</f>
        <v/>
      </c>
      <c r="W38" s="33">
        <f>IF(((COUNTIF(W18:W37, "✓") + COUNTIF(W18:W37, "✔") + COUNTIF(W18:W37, "v") + COUNTIF(W18:W37, "V")) + COUNTIF(W18:W37, "✗") + COUNTIF(W18:W37, "x") + COUNTIF(W18:W37, "X")) &gt; 0, (COUNTIF(W18:W37, "✓") + COUNTIF(W18:W37, "✔") + COUNTIF(W18:W37, "v") + COUNTIF(W18:W37, "V")) &amp; "/" &amp; ((COUNTIF(W18:W37, "✓") + COUNTIF(W18:W37, "✔") + COUNTIF(W18:W37, "v") + COUNTIF(W18:W37, "V")) + COUNTIF(W18:W37, "✗") + COUNTIF(W18:W37, "x") + COUNTIF(W18:W37, "X")), "")</f>
        <v/>
      </c>
      <c r="X38" s="33">
        <f>IF(((COUNTIF(X18:X37, "✓") + COUNTIF(X18:X37, "✔") + COUNTIF(X18:X37, "v") + COUNTIF(X18:X37, "V")) + COUNTIF(X18:X37, "✗") + COUNTIF(X18:X37, "x") + COUNTIF(X18:X37, "X")) &gt; 0, (COUNTIF(X18:X37, "✓") + COUNTIF(X18:X37, "✔") + COUNTIF(X18:X37, "v") + COUNTIF(X18:X37, "V")) &amp; "/" &amp; ((COUNTIF(X18:X37, "✓") + COUNTIF(X18:X37, "✔") + COUNTIF(X18:X37, "v") + COUNTIF(X18:X37, "V")) + COUNTIF(X18:X37, "✗") + COUNTIF(X18:X37, "x") + COUNTIF(X18:X37, "X")), "")</f>
        <v/>
      </c>
      <c r="Y38" s="33">
        <f>IF(((COUNTIF(Y18:Y37, "✓") + COUNTIF(Y18:Y37, "✔") + COUNTIF(Y18:Y37, "v") + COUNTIF(Y18:Y37, "V")) + COUNTIF(Y18:Y37, "✗") + COUNTIF(Y18:Y37, "x") + COUNTIF(Y18:Y37, "X")) &gt; 0, (COUNTIF(Y18:Y37, "✓") + COUNTIF(Y18:Y37, "✔") + COUNTIF(Y18:Y37, "v") + COUNTIF(Y18:Y37, "V")) &amp; "/" &amp; ((COUNTIF(Y18:Y37, "✓") + COUNTIF(Y18:Y37, "✔") + COUNTIF(Y18:Y37, "v") + COUNTIF(Y18:Y37, "V")) + COUNTIF(Y18:Y37, "✗") + COUNTIF(Y18:Y37, "x") + COUNTIF(Y18:Y37, "X")), "")</f>
        <v/>
      </c>
      <c r="Z38" s="33">
        <f>IF(((COUNTIF(Z18:Z37, "✓") + COUNTIF(Z18:Z37, "✔") + COUNTIF(Z18:Z37, "v") + COUNTIF(Z18:Z37, "V")) + COUNTIF(Z18:Z37, "✗") + COUNTIF(Z18:Z37, "x") + COUNTIF(Z18:Z37, "X")) &gt; 0, (COUNTIF(Z18:Z37, "✓") + COUNTIF(Z18:Z37, "✔") + COUNTIF(Z18:Z37, "v") + COUNTIF(Z18:Z37, "V")) &amp; "/" &amp; ((COUNTIF(Z18:Z37, "✓") + COUNTIF(Z18:Z37, "✔") + COUNTIF(Z18:Z37, "v") + COUNTIF(Z18:Z37, "V")) + COUNTIF(Z18:Z37, "✗") + COUNTIF(Z18:Z37, "x") + COUNTIF(Z18:Z37, "X")), "")</f>
        <v/>
      </c>
      <c r="AA38" s="33">
        <f>IF(((COUNTIF(AA18:AA37, "✓") + COUNTIF(AA18:AA37, "✔") + COUNTIF(AA18:AA37, "v") + COUNTIF(AA18:AA37, "V")) + COUNTIF(AA18:AA37, "✗") + COUNTIF(AA18:AA37, "x") + COUNTIF(AA18:AA37, "X")) &gt; 0, (COUNTIF(AA18:AA37, "✓") + COUNTIF(AA18:AA37, "✔") + COUNTIF(AA18:AA37, "v") + COUNTIF(AA18:AA37, "V")) &amp; "/" &amp; ((COUNTIF(AA18:AA37, "✓") + COUNTIF(AA18:AA37, "✔") + COUNTIF(AA18:AA37, "v") + COUNTIF(AA18:AA37, "V")) + COUNTIF(AA18:AA37, "✗") + COUNTIF(AA18:AA37, "x") + COUNTIF(AA18:AA37, "X")), "")</f>
        <v/>
      </c>
      <c r="AB38" s="33">
        <f>IF(((COUNTIF(AB18:AB37, "✓") + COUNTIF(AB18:AB37, "✔") + COUNTIF(AB18:AB37, "v") + COUNTIF(AB18:AB37, "V")) + COUNTIF(AB18:AB37, "✗") + COUNTIF(AB18:AB37, "x") + COUNTIF(AB18:AB37, "X")) &gt; 0, (COUNTIF(AB18:AB37, "✓") + COUNTIF(AB18:AB37, "✔") + COUNTIF(AB18:AB37, "v") + COUNTIF(AB18:AB37, "V")) &amp; "/" &amp; ((COUNTIF(AB18:AB37, "✓") + COUNTIF(AB18:AB37, "✔") + COUNTIF(AB18:AB37, "v") + COUNTIF(AB18:AB37, "V")) + COUNTIF(AB18:AB37, "✗") + COUNTIF(AB18:AB37, "x") + COUNTIF(AB18:AB37, "X")), "")</f>
        <v/>
      </c>
      <c r="AC38" s="33">
        <f>IF(((COUNTIF(AC18:AC37, "✓") + COUNTIF(AC18:AC37, "✔") + COUNTIF(AC18:AC37, "v") + COUNTIF(AC18:AC37, "V")) + COUNTIF(AC18:AC37, "✗") + COUNTIF(AC18:AC37, "x") + COUNTIF(AC18:AC37, "X")) &gt; 0, (COUNTIF(AC18:AC37, "✓") + COUNTIF(AC18:AC37, "✔") + COUNTIF(AC18:AC37, "v") + COUNTIF(AC18:AC37, "V")) &amp; "/" &amp; ((COUNTIF(AC18:AC37, "✓") + COUNTIF(AC18:AC37, "✔") + COUNTIF(AC18:AC37, "v") + COUNTIF(AC18:AC37, "V")) + COUNTIF(AC18:AC37, "✗") + COUNTIF(AC18:AC37, "x") + COUNTIF(AC18:AC37, "X")), "")</f>
        <v/>
      </c>
      <c r="AD38" s="33">
        <f>IF(((COUNTIF(AD18:AD37, "✓") + COUNTIF(AD18:AD37, "✔") + COUNTIF(AD18:AD37, "v") + COUNTIF(AD18:AD37, "V")) + COUNTIF(AD18:AD37, "✗") + COUNTIF(AD18:AD37, "x") + COUNTIF(AD18:AD37, "X")) &gt; 0, (COUNTIF(AD18:AD37, "✓") + COUNTIF(AD18:AD37, "✔") + COUNTIF(AD18:AD37, "v") + COUNTIF(AD18:AD37, "V")) &amp; "/" &amp; ((COUNTIF(AD18:AD37, "✓") + COUNTIF(AD18:AD37, "✔") + COUNTIF(AD18:AD37, "v") + COUNTIF(AD18:AD37, "V")) + COUNTIF(AD18:AD37, "✗") + COUNTIF(AD18:AD37, "x") + COUNTIF(AD18:AD37, "X")), "")</f>
        <v/>
      </c>
      <c r="AE38" s="33">
        <f>IF(((COUNTIF(AE18:AE37, "✓") + COUNTIF(AE18:AE37, "✔") + COUNTIF(AE18:AE37, "v") + COUNTIF(AE18:AE37, "V")) + COUNTIF(AE18:AE37, "✗") + COUNTIF(AE18:AE37, "x") + COUNTIF(AE18:AE37, "X")) &gt; 0, (COUNTIF(AE18:AE37, "✓") + COUNTIF(AE18:AE37, "✔") + COUNTIF(AE18:AE37, "v") + COUNTIF(AE18:AE37, "V")) &amp; "/" &amp; ((COUNTIF(AE18:AE37, "✓") + COUNTIF(AE18:AE37, "✔") + COUNTIF(AE18:AE37, "v") + COUNTIF(AE18:AE37, "V")) + COUNTIF(AE18:AE37, "✗") + COUNTIF(AE18:AE37, "x") + COUNTIF(AE18:AE37, "X")), "")</f>
        <v/>
      </c>
      <c r="AF38" s="33">
        <f>IF(((COUNTIF(AF18:AF37, "✓") + COUNTIF(AF18:AF37, "✔") + COUNTIF(AF18:AF37, "v") + COUNTIF(AF18:AF37, "V")) + COUNTIF(AF18:AF37, "✗") + COUNTIF(AF18:AF37, "x") + COUNTIF(AF18:AF37, "X")) &gt; 0, (COUNTIF(AF18:AF37, "✓") + COUNTIF(AF18:AF37, "✔") + COUNTIF(AF18:AF37, "v") + COUNTIF(AF18:AF37, "V")) &amp; "/" &amp; ((COUNTIF(AF18:AF37, "✓") + COUNTIF(AF18:AF37, "✔") + COUNTIF(AF18:AF37, "v") + COUNTIF(AF18:AF37, "V")) + COUNTIF(AF18:AF37, "✗") + COUNTIF(AF18:AF37, "x") + COUNTIF(AF18:AF37, "X")), "")</f>
        <v/>
      </c>
      <c r="AG38" s="33">
        <f>IF(((COUNTIF(AG18:AG37, "✓") + COUNTIF(AG18:AG37, "✔") + COUNTIF(AG18:AG37, "v") + COUNTIF(AG18:AG37, "V")) + COUNTIF(AG18:AG37, "✗") + COUNTIF(AG18:AG37, "x") + COUNTIF(AG18:AG37, "X")) &gt; 0, (COUNTIF(AG18:AG37, "✓") + COUNTIF(AG18:AG37, "✔") + COUNTIF(AG18:AG37, "v") + COUNTIF(AG18:AG37, "V")) &amp; "/" &amp; ((COUNTIF(AG18:AG37, "✓") + COUNTIF(AG18:AG37, "✔") + COUNTIF(AG18:AG37, "v") + COUNTIF(AG18:AG37, "V")) + COUNTIF(AG18:AG37, "✗") + COUNTIF(AG18:AG37, "x") + COUNTIF(AG18:AG37, "X")), "")</f>
        <v/>
      </c>
      <c r="AH38" s="33">
        <f>IF(((COUNTIF(AH18:AH37, "✓") + COUNTIF(AH18:AH37, "✔") + COUNTIF(AH18:AH37, "v") + COUNTIF(AH18:AH37, "V")) + COUNTIF(AH18:AH37, "✗") + COUNTIF(AH18:AH37, "x") + COUNTIF(AH18:AH37, "X")) &gt; 0, (COUNTIF(AH18:AH37, "✓") + COUNTIF(AH18:AH37, "✔") + COUNTIF(AH18:AH37, "v") + COUNTIF(AH18:AH37, "V")) &amp; "/" &amp; ((COUNTIF(AH18:AH37, "✓") + COUNTIF(AH18:AH37, "✔") + COUNTIF(AH18:AH37, "v") + COUNTIF(AH18:AH37, "V")) + COUNTIF(AH18:AH37, "✗") + COUNTIF(AH18:AH37, "x") + COUNTIF(AH18:AH37, "X")), "")</f>
        <v/>
      </c>
      <c r="AI38" s="33">
        <f>IF(((COUNTIF(AI18:AI37, "✓") + COUNTIF(AI18:AI37, "✔") + COUNTIF(AI18:AI37, "v") + COUNTIF(AI18:AI37, "V")) + COUNTIF(AI18:AI37, "✗") + COUNTIF(AI18:AI37, "x") + COUNTIF(AI18:AI37, "X")) &gt; 0, (COUNTIF(AI18:AI37, "✓") + COUNTIF(AI18:AI37, "✔") + COUNTIF(AI18:AI37, "v") + COUNTIF(AI18:AI37, "V")) &amp; "/" &amp; ((COUNTIF(AI18:AI37, "✓") + COUNTIF(AI18:AI37, "✔") + COUNTIF(AI18:AI37, "v") + COUNTIF(AI18:AI37, "V")) + COUNTIF(AI18:AI37, "✗") + COUNTIF(AI18:AI37, "x") + COUNTIF(AI18:AI37, "X")), "")</f>
        <v/>
      </c>
      <c r="AJ38" s="133">
        <f>IF(SUM(D18:D37) &gt; 0, SUM(AM18:AM37) / SUM(D18:D37), "")</f>
        <v/>
      </c>
      <c r="AK38" s="33">
        <f>IF(SUM(D18:D37) &gt; 0, SUM(AM18:AM37) &amp; "/" &amp; SUM(D18:D37), "")</f>
        <v/>
      </c>
      <c r="AL38" s="54" t="n"/>
    </row>
    <row r="39" ht="18" customHeight="1">
      <c r="A39" s="132" t="inlineStr">
        <is>
          <t>DAILY SUCCESS %</t>
        </is>
      </c>
      <c r="B39" s="54" t="n"/>
      <c r="C39" s="54" t="n"/>
      <c r="D39" s="54" t="n"/>
      <c r="E39" s="134">
        <f>IF(((COUNTIF(E18:E37, "✓") + COUNTIF(E18:E37, "✔") + COUNTIF(E18:E37, "v") + COUNTIF(E18:E37, "V")) + COUNTIF(E18:E37, "✗") + COUNTIF(E18:E37, "x") + COUNTIF(E18:E37, "X")) &gt; 0, (COUNTIF(E18:E37, "✓") + COUNTIF(E18:E37, "✔") + COUNTIF(E18:E37, "v") + COUNTIF(E18:E37, "V")) / ((COUNTIF(E18:E37, "✓") + COUNTIF(E18:E37, "✔") + COUNTIF(E18:E37, "v") + COUNTIF(E18:E37, "V")) + COUNTIF(E18:E37, "✗") + COUNTIF(E18:E37, "x") + COUNTIF(E18:E37, "X")), "")</f>
        <v/>
      </c>
      <c r="F39" s="134">
        <f>IF(((COUNTIF(F18:F37, "✓") + COUNTIF(F18:F37, "✔") + COUNTIF(F18:F37, "v") + COUNTIF(F18:F37, "V")) + COUNTIF(F18:F37, "✗") + COUNTIF(F18:F37, "x") + COUNTIF(F18:F37, "X")) &gt; 0, (COUNTIF(F18:F37, "✓") + COUNTIF(F18:F37, "✔") + COUNTIF(F18:F37, "v") + COUNTIF(F18:F37, "V")) / ((COUNTIF(F18:F37, "✓") + COUNTIF(F18:F37, "✔") + COUNTIF(F18:F37, "v") + COUNTIF(F18:F37, "V")) + COUNTIF(F18:F37, "✗") + COUNTIF(F18:F37, "x") + COUNTIF(F18:F37, "X")), "")</f>
        <v/>
      </c>
      <c r="G39" s="134">
        <f>IF(((COUNTIF(G18:G37, "✓") + COUNTIF(G18:G37, "✔") + COUNTIF(G18:G37, "v") + COUNTIF(G18:G37, "V")) + COUNTIF(G18:G37, "✗") + COUNTIF(G18:G37, "x") + COUNTIF(G18:G37, "X")) &gt; 0, (COUNTIF(G18:G37, "✓") + COUNTIF(G18:G37, "✔") + COUNTIF(G18:G37, "v") + COUNTIF(G18:G37, "V")) / ((COUNTIF(G18:G37, "✓") + COUNTIF(G18:G37, "✔") + COUNTIF(G18:G37, "v") + COUNTIF(G18:G37, "V")) + COUNTIF(G18:G37, "✗") + COUNTIF(G18:G37, "x") + COUNTIF(G18:G37, "X")), "")</f>
        <v/>
      </c>
      <c r="H39" s="134">
        <f>IF(((COUNTIF(H18:H37, "✓") + COUNTIF(H18:H37, "✔") + COUNTIF(H18:H37, "v") + COUNTIF(H18:H37, "V")) + COUNTIF(H18:H37, "✗") + COUNTIF(H18:H37, "x") + COUNTIF(H18:H37, "X")) &gt; 0, (COUNTIF(H18:H37, "✓") + COUNTIF(H18:H37, "✔") + COUNTIF(H18:H37, "v") + COUNTIF(H18:H37, "V")) / ((COUNTIF(H18:H37, "✓") + COUNTIF(H18:H37, "✔") + COUNTIF(H18:H37, "v") + COUNTIF(H18:H37, "V")) + COUNTIF(H18:H37, "✗") + COUNTIF(H18:H37, "x") + COUNTIF(H18:H37, "X")), "")</f>
        <v/>
      </c>
      <c r="I39" s="134">
        <f>IF(((COUNTIF(I18:I37, "✓") + COUNTIF(I18:I37, "✔") + COUNTIF(I18:I37, "v") + COUNTIF(I18:I37, "V")) + COUNTIF(I18:I37, "✗") + COUNTIF(I18:I37, "x") + COUNTIF(I18:I37, "X")) &gt; 0, (COUNTIF(I18:I37, "✓") + COUNTIF(I18:I37, "✔") + COUNTIF(I18:I37, "v") + COUNTIF(I18:I37, "V")) / ((COUNTIF(I18:I37, "✓") + COUNTIF(I18:I37, "✔") + COUNTIF(I18:I37, "v") + COUNTIF(I18:I37, "V")) + COUNTIF(I18:I37, "✗") + COUNTIF(I18:I37, "x") + COUNTIF(I18:I37, "X")), "")</f>
        <v/>
      </c>
      <c r="J39" s="134">
        <f>IF(((COUNTIF(J18:J37, "✓") + COUNTIF(J18:J37, "✔") + COUNTIF(J18:J37, "v") + COUNTIF(J18:J37, "V")) + COUNTIF(J18:J37, "✗") + COUNTIF(J18:J37, "x") + COUNTIF(J18:J37, "X")) &gt; 0, (COUNTIF(J18:J37, "✓") + COUNTIF(J18:J37, "✔") + COUNTIF(J18:J37, "v") + COUNTIF(J18:J37, "V")) / ((COUNTIF(J18:J37, "✓") + COUNTIF(J18:J37, "✔") + COUNTIF(J18:J37, "v") + COUNTIF(J18:J37, "V")) + COUNTIF(J18:J37, "✗") + COUNTIF(J18:J37, "x") + COUNTIF(J18:J37, "X")), "")</f>
        <v/>
      </c>
      <c r="K39" s="134">
        <f>IF(((COUNTIF(K18:K37, "✓") + COUNTIF(K18:K37, "✔") + COUNTIF(K18:K37, "v") + COUNTIF(K18:K37, "V")) + COUNTIF(K18:K37, "✗") + COUNTIF(K18:K37, "x") + COUNTIF(K18:K37, "X")) &gt; 0, (COUNTIF(K18:K37, "✓") + COUNTIF(K18:K37, "✔") + COUNTIF(K18:K37, "v") + COUNTIF(K18:K37, "V")) / ((COUNTIF(K18:K37, "✓") + COUNTIF(K18:K37, "✔") + COUNTIF(K18:K37, "v") + COUNTIF(K18:K37, "V")) + COUNTIF(K18:K37, "✗") + COUNTIF(K18:K37, "x") + COUNTIF(K18:K37, "X")), "")</f>
        <v/>
      </c>
      <c r="L39" s="134">
        <f>IF(((COUNTIF(L18:L37, "✓") + COUNTIF(L18:L37, "✔") + COUNTIF(L18:L37, "v") + COUNTIF(L18:L37, "V")) + COUNTIF(L18:L37, "✗") + COUNTIF(L18:L37, "x") + COUNTIF(L18:L37, "X")) &gt; 0, (COUNTIF(L18:L37, "✓") + COUNTIF(L18:L37, "✔") + COUNTIF(L18:L37, "v") + COUNTIF(L18:L37, "V")) / ((COUNTIF(L18:L37, "✓") + COUNTIF(L18:L37, "✔") + COUNTIF(L18:L37, "v") + COUNTIF(L18:L37, "V")) + COUNTIF(L18:L37, "✗") + COUNTIF(L18:L37, "x") + COUNTIF(L18:L37, "X")), "")</f>
        <v/>
      </c>
      <c r="M39" s="134">
        <f>IF(((COUNTIF(M18:M37, "✓") + COUNTIF(M18:M37, "✔") + COUNTIF(M18:M37, "v") + COUNTIF(M18:M37, "V")) + COUNTIF(M18:M37, "✗") + COUNTIF(M18:M37, "x") + COUNTIF(M18:M37, "X")) &gt; 0, (COUNTIF(M18:M37, "✓") + COUNTIF(M18:M37, "✔") + COUNTIF(M18:M37, "v") + COUNTIF(M18:M37, "V")) / ((COUNTIF(M18:M37, "✓") + COUNTIF(M18:M37, "✔") + COUNTIF(M18:M37, "v") + COUNTIF(M18:M37, "V")) + COUNTIF(M18:M37, "✗") + COUNTIF(M18:M37, "x") + COUNTIF(M18:M37, "X")), "")</f>
        <v/>
      </c>
      <c r="N39" s="134">
        <f>IF(((COUNTIF(N18:N37, "✓") + COUNTIF(N18:N37, "✔") + COUNTIF(N18:N37, "v") + COUNTIF(N18:N37, "V")) + COUNTIF(N18:N37, "✗") + COUNTIF(N18:N37, "x") + COUNTIF(N18:N37, "X")) &gt; 0, (COUNTIF(N18:N37, "✓") + COUNTIF(N18:N37, "✔") + COUNTIF(N18:N37, "v") + COUNTIF(N18:N37, "V")) / ((COUNTIF(N18:N37, "✓") + COUNTIF(N18:N37, "✔") + COUNTIF(N18:N37, "v") + COUNTIF(N18:N37, "V")) + COUNTIF(N18:N37, "✗") + COUNTIF(N18:N37, "x") + COUNTIF(N18:N37, "X")), "")</f>
        <v/>
      </c>
      <c r="O39" s="134">
        <f>IF(((COUNTIF(O18:O37, "✓") + COUNTIF(O18:O37, "✔") + COUNTIF(O18:O37, "v") + COUNTIF(O18:O37, "V")) + COUNTIF(O18:O37, "✗") + COUNTIF(O18:O37, "x") + COUNTIF(O18:O37, "X")) &gt; 0, (COUNTIF(O18:O37, "✓") + COUNTIF(O18:O37, "✔") + COUNTIF(O18:O37, "v") + COUNTIF(O18:O37, "V")) / ((COUNTIF(O18:O37, "✓") + COUNTIF(O18:O37, "✔") + COUNTIF(O18:O37, "v") + COUNTIF(O18:O37, "V")) + COUNTIF(O18:O37, "✗") + COUNTIF(O18:O37, "x") + COUNTIF(O18:O37, "X")), "")</f>
        <v/>
      </c>
      <c r="P39" s="134">
        <f>IF(((COUNTIF(P18:P37, "✓") + COUNTIF(P18:P37, "✔") + COUNTIF(P18:P37, "v") + COUNTIF(P18:P37, "V")) + COUNTIF(P18:P37, "✗") + COUNTIF(P18:P37, "x") + COUNTIF(P18:P37, "X")) &gt; 0, (COUNTIF(P18:P37, "✓") + COUNTIF(P18:P37, "✔") + COUNTIF(P18:P37, "v") + COUNTIF(P18:P37, "V")) / ((COUNTIF(P18:P37, "✓") + COUNTIF(P18:P37, "✔") + COUNTIF(P18:P37, "v") + COUNTIF(P18:P37, "V")) + COUNTIF(P18:P37, "✗") + COUNTIF(P18:P37, "x") + COUNTIF(P18:P37, "X")), "")</f>
        <v/>
      </c>
      <c r="Q39" s="134">
        <f>IF(((COUNTIF(Q18:Q37, "✓") + COUNTIF(Q18:Q37, "✔") + COUNTIF(Q18:Q37, "v") + COUNTIF(Q18:Q37, "V")) + COUNTIF(Q18:Q37, "✗") + COUNTIF(Q18:Q37, "x") + COUNTIF(Q18:Q37, "X")) &gt; 0, (COUNTIF(Q18:Q37, "✓") + COUNTIF(Q18:Q37, "✔") + COUNTIF(Q18:Q37, "v") + COUNTIF(Q18:Q37, "V")) / ((COUNTIF(Q18:Q37, "✓") + COUNTIF(Q18:Q37, "✔") + COUNTIF(Q18:Q37, "v") + COUNTIF(Q18:Q37, "V")) + COUNTIF(Q18:Q37, "✗") + COUNTIF(Q18:Q37, "x") + COUNTIF(Q18:Q37, "X")), "")</f>
        <v/>
      </c>
      <c r="R39" s="134">
        <f>IF(((COUNTIF(R18:R37, "✓") + COUNTIF(R18:R37, "✔") + COUNTIF(R18:R37, "v") + COUNTIF(R18:R37, "V")) + COUNTIF(R18:R37, "✗") + COUNTIF(R18:R37, "x") + COUNTIF(R18:R37, "X")) &gt; 0, (COUNTIF(R18:R37, "✓") + COUNTIF(R18:R37, "✔") + COUNTIF(R18:R37, "v") + COUNTIF(R18:R37, "V")) / ((COUNTIF(R18:R37, "✓") + COUNTIF(R18:R37, "✔") + COUNTIF(R18:R37, "v") + COUNTIF(R18:R37, "V")) + COUNTIF(R18:R37, "✗") + COUNTIF(R18:R37, "x") + COUNTIF(R18:R37, "X")), "")</f>
        <v/>
      </c>
      <c r="S39" s="134">
        <f>IF(((COUNTIF(S18:S37, "✓") + COUNTIF(S18:S37, "✔") + COUNTIF(S18:S37, "v") + COUNTIF(S18:S37, "V")) + COUNTIF(S18:S37, "✗") + COUNTIF(S18:S37, "x") + COUNTIF(S18:S37, "X")) &gt; 0, (COUNTIF(S18:S37, "✓") + COUNTIF(S18:S37, "✔") + COUNTIF(S18:S37, "v") + COUNTIF(S18:S37, "V")) / ((COUNTIF(S18:S37, "✓") + COUNTIF(S18:S37, "✔") + COUNTIF(S18:S37, "v") + COUNTIF(S18:S37, "V")) + COUNTIF(S18:S37, "✗") + COUNTIF(S18:S37, "x") + COUNTIF(S18:S37, "X")), "")</f>
        <v/>
      </c>
      <c r="T39" s="134">
        <f>IF(((COUNTIF(T18:T37, "✓") + COUNTIF(T18:T37, "✔") + COUNTIF(T18:T37, "v") + COUNTIF(T18:T37, "V")) + COUNTIF(T18:T37, "✗") + COUNTIF(T18:T37, "x") + COUNTIF(T18:T37, "X")) &gt; 0, (COUNTIF(T18:T37, "✓") + COUNTIF(T18:T37, "✔") + COUNTIF(T18:T37, "v") + COUNTIF(T18:T37, "V")) / ((COUNTIF(T18:T37, "✓") + COUNTIF(T18:T37, "✔") + COUNTIF(T18:T37, "v") + COUNTIF(T18:T37, "V")) + COUNTIF(T18:T37, "✗") + COUNTIF(T18:T37, "x") + COUNTIF(T18:T37, "X")), "")</f>
        <v/>
      </c>
      <c r="U39" s="134">
        <f>IF(((COUNTIF(U18:U37, "✓") + COUNTIF(U18:U37, "✔") + COUNTIF(U18:U37, "v") + COUNTIF(U18:U37, "V")) + COUNTIF(U18:U37, "✗") + COUNTIF(U18:U37, "x") + COUNTIF(U18:U37, "X")) &gt; 0, (COUNTIF(U18:U37, "✓") + COUNTIF(U18:U37, "✔") + COUNTIF(U18:U37, "v") + COUNTIF(U18:U37, "V")) / ((COUNTIF(U18:U37, "✓") + COUNTIF(U18:U37, "✔") + COUNTIF(U18:U37, "v") + COUNTIF(U18:U37, "V")) + COUNTIF(U18:U37, "✗") + COUNTIF(U18:U37, "x") + COUNTIF(U18:U37, "X")), "")</f>
        <v/>
      </c>
      <c r="V39" s="134">
        <f>IF(((COUNTIF(V18:V37, "✓") + COUNTIF(V18:V37, "✔") + COUNTIF(V18:V37, "v") + COUNTIF(V18:V37, "V")) + COUNTIF(V18:V37, "✗") + COUNTIF(V18:V37, "x") + COUNTIF(V18:V37, "X")) &gt; 0, (COUNTIF(V18:V37, "✓") + COUNTIF(V18:V37, "✔") + COUNTIF(V18:V37, "v") + COUNTIF(V18:V37, "V")) / ((COUNTIF(V18:V37, "✓") + COUNTIF(V18:V37, "✔") + COUNTIF(V18:V37, "v") + COUNTIF(V18:V37, "V")) + COUNTIF(V18:V37, "✗") + COUNTIF(V18:V37, "x") + COUNTIF(V18:V37, "X")), "")</f>
        <v/>
      </c>
      <c r="W39" s="134">
        <f>IF(((COUNTIF(W18:W37, "✓") + COUNTIF(W18:W37, "✔") + COUNTIF(W18:W37, "v") + COUNTIF(W18:W37, "V")) + COUNTIF(W18:W37, "✗") + COUNTIF(W18:W37, "x") + COUNTIF(W18:W37, "X")) &gt; 0, (COUNTIF(W18:W37, "✓") + COUNTIF(W18:W37, "✔") + COUNTIF(W18:W37, "v") + COUNTIF(W18:W37, "V")) / ((COUNTIF(W18:W37, "✓") + COUNTIF(W18:W37, "✔") + COUNTIF(W18:W37, "v") + COUNTIF(W18:W37, "V")) + COUNTIF(W18:W37, "✗") + COUNTIF(W18:W37, "x") + COUNTIF(W18:W37, "X")), "")</f>
        <v/>
      </c>
      <c r="X39" s="134">
        <f>IF(((COUNTIF(X18:X37, "✓") + COUNTIF(X18:X37, "✔") + COUNTIF(X18:X37, "v") + COUNTIF(X18:X37, "V")) + COUNTIF(X18:X37, "✗") + COUNTIF(X18:X37, "x") + COUNTIF(X18:X37, "X")) &gt; 0, (COUNTIF(X18:X37, "✓") + COUNTIF(X18:X37, "✔") + COUNTIF(X18:X37, "v") + COUNTIF(X18:X37, "V")) / ((COUNTIF(X18:X37, "✓") + COUNTIF(X18:X37, "✔") + COUNTIF(X18:X37, "v") + COUNTIF(X18:X37, "V")) + COUNTIF(X18:X37, "✗") + COUNTIF(X18:X37, "x") + COUNTIF(X18:X37, "X")), "")</f>
        <v/>
      </c>
      <c r="Y39" s="134">
        <f>IF(((COUNTIF(Y18:Y37, "✓") + COUNTIF(Y18:Y37, "✔") + COUNTIF(Y18:Y37, "v") + COUNTIF(Y18:Y37, "V")) + COUNTIF(Y18:Y37, "✗") + COUNTIF(Y18:Y37, "x") + COUNTIF(Y18:Y37, "X")) &gt; 0, (COUNTIF(Y18:Y37, "✓") + COUNTIF(Y18:Y37, "✔") + COUNTIF(Y18:Y37, "v") + COUNTIF(Y18:Y37, "V")) / ((COUNTIF(Y18:Y37, "✓") + COUNTIF(Y18:Y37, "✔") + COUNTIF(Y18:Y37, "v") + COUNTIF(Y18:Y37, "V")) + COUNTIF(Y18:Y37, "✗") + COUNTIF(Y18:Y37, "x") + COUNTIF(Y18:Y37, "X")), "")</f>
        <v/>
      </c>
      <c r="Z39" s="134">
        <f>IF(((COUNTIF(Z18:Z37, "✓") + COUNTIF(Z18:Z37, "✔") + COUNTIF(Z18:Z37, "v") + COUNTIF(Z18:Z37, "V")) + COUNTIF(Z18:Z37, "✗") + COUNTIF(Z18:Z37, "x") + COUNTIF(Z18:Z37, "X")) &gt; 0, (COUNTIF(Z18:Z37, "✓") + COUNTIF(Z18:Z37, "✔") + COUNTIF(Z18:Z37, "v") + COUNTIF(Z18:Z37, "V")) / ((COUNTIF(Z18:Z37, "✓") + COUNTIF(Z18:Z37, "✔") + COUNTIF(Z18:Z37, "v") + COUNTIF(Z18:Z37, "V")) + COUNTIF(Z18:Z37, "✗") + COUNTIF(Z18:Z37, "x") + COUNTIF(Z18:Z37, "X")), "")</f>
        <v/>
      </c>
      <c r="AA39" s="134">
        <f>IF(((COUNTIF(AA18:AA37, "✓") + COUNTIF(AA18:AA37, "✔") + COUNTIF(AA18:AA37, "v") + COUNTIF(AA18:AA37, "V")) + COUNTIF(AA18:AA37, "✗") + COUNTIF(AA18:AA37, "x") + COUNTIF(AA18:AA37, "X")) &gt; 0, (COUNTIF(AA18:AA37, "✓") + COUNTIF(AA18:AA37, "✔") + COUNTIF(AA18:AA37, "v") + COUNTIF(AA18:AA37, "V")) / ((COUNTIF(AA18:AA37, "✓") + COUNTIF(AA18:AA37, "✔") + COUNTIF(AA18:AA37, "v") + COUNTIF(AA18:AA37, "V")) + COUNTIF(AA18:AA37, "✗") + COUNTIF(AA18:AA37, "x") + COUNTIF(AA18:AA37, "X")), "")</f>
        <v/>
      </c>
      <c r="AB39" s="134">
        <f>IF(((COUNTIF(AB18:AB37, "✓") + COUNTIF(AB18:AB37, "✔") + COUNTIF(AB18:AB37, "v") + COUNTIF(AB18:AB37, "V")) + COUNTIF(AB18:AB37, "✗") + COUNTIF(AB18:AB37, "x") + COUNTIF(AB18:AB37, "X")) &gt; 0, (COUNTIF(AB18:AB37, "✓") + COUNTIF(AB18:AB37, "✔") + COUNTIF(AB18:AB37, "v") + COUNTIF(AB18:AB37, "V")) / ((COUNTIF(AB18:AB37, "✓") + COUNTIF(AB18:AB37, "✔") + COUNTIF(AB18:AB37, "v") + COUNTIF(AB18:AB37, "V")) + COUNTIF(AB18:AB37, "✗") + COUNTIF(AB18:AB37, "x") + COUNTIF(AB18:AB37, "X")), "")</f>
        <v/>
      </c>
      <c r="AC39" s="134">
        <f>IF(((COUNTIF(AC18:AC37, "✓") + COUNTIF(AC18:AC37, "✔") + COUNTIF(AC18:AC37, "v") + COUNTIF(AC18:AC37, "V")) + COUNTIF(AC18:AC37, "✗") + COUNTIF(AC18:AC37, "x") + COUNTIF(AC18:AC37, "X")) &gt; 0, (COUNTIF(AC18:AC37, "✓") + COUNTIF(AC18:AC37, "✔") + COUNTIF(AC18:AC37, "v") + COUNTIF(AC18:AC37, "V")) / ((COUNTIF(AC18:AC37, "✓") + COUNTIF(AC18:AC37, "✔") + COUNTIF(AC18:AC37, "v") + COUNTIF(AC18:AC37, "V")) + COUNTIF(AC18:AC37, "✗") + COUNTIF(AC18:AC37, "x") + COUNTIF(AC18:AC37, "X")), "")</f>
        <v/>
      </c>
      <c r="AD39" s="134">
        <f>IF(((COUNTIF(AD18:AD37, "✓") + COUNTIF(AD18:AD37, "✔") + COUNTIF(AD18:AD37, "v") + COUNTIF(AD18:AD37, "V")) + COUNTIF(AD18:AD37, "✗") + COUNTIF(AD18:AD37, "x") + COUNTIF(AD18:AD37, "X")) &gt; 0, (COUNTIF(AD18:AD37, "✓") + COUNTIF(AD18:AD37, "✔") + COUNTIF(AD18:AD37, "v") + COUNTIF(AD18:AD37, "V")) / ((COUNTIF(AD18:AD37, "✓") + COUNTIF(AD18:AD37, "✔") + COUNTIF(AD18:AD37, "v") + COUNTIF(AD18:AD37, "V")) + COUNTIF(AD18:AD37, "✗") + COUNTIF(AD18:AD37, "x") + COUNTIF(AD18:AD37, "X")), "")</f>
        <v/>
      </c>
      <c r="AE39" s="134">
        <f>IF(((COUNTIF(AE18:AE37, "✓") + COUNTIF(AE18:AE37, "✔") + COUNTIF(AE18:AE37, "v") + COUNTIF(AE18:AE37, "V")) + COUNTIF(AE18:AE37, "✗") + COUNTIF(AE18:AE37, "x") + COUNTIF(AE18:AE37, "X")) &gt; 0, (COUNTIF(AE18:AE37, "✓") + COUNTIF(AE18:AE37, "✔") + COUNTIF(AE18:AE37, "v") + COUNTIF(AE18:AE37, "V")) / ((COUNTIF(AE18:AE37, "✓") + COUNTIF(AE18:AE37, "✔") + COUNTIF(AE18:AE37, "v") + COUNTIF(AE18:AE37, "V")) + COUNTIF(AE18:AE37, "✗") + COUNTIF(AE18:AE37, "x") + COUNTIF(AE18:AE37, "X")), "")</f>
        <v/>
      </c>
      <c r="AF39" s="134">
        <f>IF(((COUNTIF(AF18:AF37, "✓") + COUNTIF(AF18:AF37, "✔") + COUNTIF(AF18:AF37, "v") + COUNTIF(AF18:AF37, "V")) + COUNTIF(AF18:AF37, "✗") + COUNTIF(AF18:AF37, "x") + COUNTIF(AF18:AF37, "X")) &gt; 0, (COUNTIF(AF18:AF37, "✓") + COUNTIF(AF18:AF37, "✔") + COUNTIF(AF18:AF37, "v") + COUNTIF(AF18:AF37, "V")) / ((COUNTIF(AF18:AF37, "✓") + COUNTIF(AF18:AF37, "✔") + COUNTIF(AF18:AF37, "v") + COUNTIF(AF18:AF37, "V")) + COUNTIF(AF18:AF37, "✗") + COUNTIF(AF18:AF37, "x") + COUNTIF(AF18:AF37, "X")), "")</f>
        <v/>
      </c>
      <c r="AG39" s="134">
        <f>IF(((COUNTIF(AG18:AG37, "✓") + COUNTIF(AG18:AG37, "✔") + COUNTIF(AG18:AG37, "v") + COUNTIF(AG18:AG37, "V")) + COUNTIF(AG18:AG37, "✗") + COUNTIF(AG18:AG37, "x") + COUNTIF(AG18:AG37, "X")) &gt; 0, (COUNTIF(AG18:AG37, "✓") + COUNTIF(AG18:AG37, "✔") + COUNTIF(AG18:AG37, "v") + COUNTIF(AG18:AG37, "V")) / ((COUNTIF(AG18:AG37, "✓") + COUNTIF(AG18:AG37, "✔") + COUNTIF(AG18:AG37, "v") + COUNTIF(AG18:AG37, "V")) + COUNTIF(AG18:AG37, "✗") + COUNTIF(AG18:AG37, "x") + COUNTIF(AG18:AG37, "X")), "")</f>
        <v/>
      </c>
      <c r="AH39" s="134">
        <f>IF(((COUNTIF(AH18:AH37, "✓") + COUNTIF(AH18:AH37, "✔") + COUNTIF(AH18:AH37, "v") + COUNTIF(AH18:AH37, "V")) + COUNTIF(AH18:AH37, "✗") + COUNTIF(AH18:AH37, "x") + COUNTIF(AH18:AH37, "X")) &gt; 0, (COUNTIF(AH18:AH37, "✓") + COUNTIF(AH18:AH37, "✔") + COUNTIF(AH18:AH37, "v") + COUNTIF(AH18:AH37, "V")) / ((COUNTIF(AH18:AH37, "✓") + COUNTIF(AH18:AH37, "✔") + COUNTIF(AH18:AH37, "v") + COUNTIF(AH18:AH37, "V")) + COUNTIF(AH18:AH37, "✗") + COUNTIF(AH18:AH37, "x") + COUNTIF(AH18:AH37, "X")), "")</f>
        <v/>
      </c>
      <c r="AI39" s="134">
        <f>IF(((COUNTIF(AI18:AI37, "✓") + COUNTIF(AI18:AI37, "✔") + COUNTIF(AI18:AI37, "v") + COUNTIF(AI18:AI37, "V")) + COUNTIF(AI18:AI37, "✗") + COUNTIF(AI18:AI37, "x") + COUNTIF(AI18:AI37, "X")) &gt; 0, (COUNTIF(AI18:AI37, "✓") + COUNTIF(AI18:AI37, "✔") + COUNTIF(AI18:AI37, "v") + COUNTIF(AI18:AI37, "V")) / ((COUNTIF(AI18:AI37, "✓") + COUNTIF(AI18:AI37, "✔") + COUNTIF(AI18:AI37, "v") + COUNTIF(AI18:AI37, "V")) + COUNTIF(AI18:AI37, "✗") + COUNTIF(AI18:AI37, "x") + COUNTIF(AI18:AI37, "X")), "")</f>
        <v/>
      </c>
      <c r="AJ39" s="133">
        <f>IF(COUNT(E39:AI39) &gt; 0, AVERAGE(E39:AI39), "")</f>
        <v/>
      </c>
      <c r="AK39" s="54" t="n"/>
      <c r="AL39" s="54" t="n"/>
    </row>
    <row r="40" ht="6" customHeight="1"/>
    <row r="41" ht="15" customHeight="1">
      <c r="A41" s="135" t="inlineStr">
        <is>
          <t>IF SUCCESS &lt; 80%, PUNISHMENT: ________________________________________________</t>
        </is>
      </c>
    </row>
    <row r="42" ht="15" customHeight="1">
      <c r="A42" s="136" t="inlineStr">
        <is>
          <t>IF SUCCESS &gt; 90%, REWARD: __________________________________________________</t>
        </is>
      </c>
    </row>
    <row r="43" ht="10" customHeight="1"/>
    <row r="44" ht="10" customHeight="1"/>
    <row r="45" ht="15" customHeight="1">
      <c r="A45" s="51" t="inlineStr">
        <is>
          <t>Sleep Tracking</t>
        </is>
      </c>
      <c r="B45" s="52" t="n"/>
      <c r="C45" s="52" t="n"/>
      <c r="D45" s="52" t="n"/>
      <c r="E45" s="137" t="n">
        <v>1</v>
      </c>
      <c r="F45" s="137" t="n">
        <v>2</v>
      </c>
      <c r="G45" s="137" t="n">
        <v>3</v>
      </c>
      <c r="H45" s="137" t="n">
        <v>4</v>
      </c>
      <c r="I45" s="138" t="n">
        <v>5</v>
      </c>
      <c r="J45" s="137" t="n">
        <v>6</v>
      </c>
      <c r="K45" s="137" t="n">
        <v>7</v>
      </c>
      <c r="L45" s="137" t="n">
        <v>8</v>
      </c>
      <c r="M45" s="137" t="n">
        <v>9</v>
      </c>
      <c r="N45" s="137" t="n">
        <v>10</v>
      </c>
      <c r="O45" s="137" t="n">
        <v>11</v>
      </c>
      <c r="P45" s="138" t="n">
        <v>12</v>
      </c>
      <c r="Q45" s="137" t="n">
        <v>13</v>
      </c>
      <c r="R45" s="137" t="n">
        <v>14</v>
      </c>
      <c r="S45" s="137" t="n">
        <v>15</v>
      </c>
      <c r="T45" s="137" t="n">
        <v>16</v>
      </c>
      <c r="U45" s="137" t="n">
        <v>17</v>
      </c>
      <c r="V45" s="137" t="n">
        <v>18</v>
      </c>
      <c r="W45" s="138" t="n">
        <v>19</v>
      </c>
      <c r="X45" s="137" t="n">
        <v>20</v>
      </c>
      <c r="Y45" s="137" t="n">
        <v>21</v>
      </c>
      <c r="Z45" s="137" t="n">
        <v>22</v>
      </c>
      <c r="AA45" s="137" t="n">
        <v>23</v>
      </c>
      <c r="AB45" s="137" t="n">
        <v>24</v>
      </c>
      <c r="AC45" s="137" t="n">
        <v>25</v>
      </c>
      <c r="AD45" s="138" t="n">
        <v>26</v>
      </c>
      <c r="AE45" s="137" t="n">
        <v>27</v>
      </c>
      <c r="AF45" s="137" t="n">
        <v>28</v>
      </c>
      <c r="AG45" s="137" t="n">
        <v>29</v>
      </c>
      <c r="AH45" s="137" t="n">
        <v>30</v>
      </c>
      <c r="AI45" s="137" t="n">
        <v>31</v>
      </c>
    </row>
    <row r="46" ht="15" customHeight="1">
      <c r="A46" s="52" t="n"/>
      <c r="B46" s="52" t="n"/>
      <c r="C46" s="52" t="n"/>
      <c r="D46" s="52" t="n"/>
      <c r="E46" s="139" t="inlineStr">
        <is>
          <t>W</t>
        </is>
      </c>
      <c r="F46" s="139" t="inlineStr">
        <is>
          <t>Th</t>
        </is>
      </c>
      <c r="G46" s="139" t="inlineStr">
        <is>
          <t>F</t>
        </is>
      </c>
      <c r="H46" s="139" t="inlineStr">
        <is>
          <t>Sa</t>
        </is>
      </c>
      <c r="I46" s="140" t="inlineStr">
        <is>
          <t>Su</t>
        </is>
      </c>
      <c r="J46" s="139" t="inlineStr">
        <is>
          <t>M</t>
        </is>
      </c>
      <c r="K46" s="139" t="inlineStr">
        <is>
          <t>T</t>
        </is>
      </c>
      <c r="L46" s="139" t="inlineStr">
        <is>
          <t>W</t>
        </is>
      </c>
      <c r="M46" s="139" t="inlineStr">
        <is>
          <t>Th</t>
        </is>
      </c>
      <c r="N46" s="139" t="inlineStr">
        <is>
          <t>F</t>
        </is>
      </c>
      <c r="O46" s="139" t="inlineStr">
        <is>
          <t>Sa</t>
        </is>
      </c>
      <c r="P46" s="140" t="inlineStr">
        <is>
          <t>Su</t>
        </is>
      </c>
      <c r="Q46" s="139" t="inlineStr">
        <is>
          <t>M</t>
        </is>
      </c>
      <c r="R46" s="139" t="inlineStr">
        <is>
          <t>T</t>
        </is>
      </c>
      <c r="S46" s="139" t="inlineStr">
        <is>
          <t>W</t>
        </is>
      </c>
      <c r="T46" s="139" t="inlineStr">
        <is>
          <t>Th</t>
        </is>
      </c>
      <c r="U46" s="139" t="inlineStr">
        <is>
          <t>F</t>
        </is>
      </c>
      <c r="V46" s="139" t="inlineStr">
        <is>
          <t>Sa</t>
        </is>
      </c>
      <c r="W46" s="140" t="inlineStr">
        <is>
          <t>Su</t>
        </is>
      </c>
      <c r="X46" s="139" t="inlineStr">
        <is>
          <t>M</t>
        </is>
      </c>
      <c r="Y46" s="139" t="inlineStr">
        <is>
          <t>T</t>
        </is>
      </c>
      <c r="Z46" s="139" t="inlineStr">
        <is>
          <t>W</t>
        </is>
      </c>
      <c r="AA46" s="139" t="inlineStr">
        <is>
          <t>Th</t>
        </is>
      </c>
      <c r="AB46" s="139" t="inlineStr">
        <is>
          <t>F</t>
        </is>
      </c>
      <c r="AC46" s="139" t="inlineStr">
        <is>
          <t>Sa</t>
        </is>
      </c>
      <c r="AD46" s="140" t="inlineStr">
        <is>
          <t>Su</t>
        </is>
      </c>
      <c r="AE46" s="139" t="inlineStr">
        <is>
          <t>M</t>
        </is>
      </c>
      <c r="AF46" s="139" t="inlineStr">
        <is>
          <t>T</t>
        </is>
      </c>
      <c r="AG46" s="139" t="inlineStr">
        <is>
          <t>W</t>
        </is>
      </c>
      <c r="AH46" s="139" t="inlineStr">
        <is>
          <t>Th</t>
        </is>
      </c>
      <c r="AI46" s="139" t="inlineStr">
        <is>
          <t>F</t>
        </is>
      </c>
    </row>
    <row r="47" ht="20" customHeight="1">
      <c r="A47" s="141" t="inlineStr">
        <is>
          <t>Sleep Hours (1-24)</t>
        </is>
      </c>
      <c r="B47" s="142" t="n"/>
      <c r="C47" s="142" t="n"/>
      <c r="D47" s="142" t="n"/>
      <c r="E47" s="143" t="n"/>
      <c r="F47" s="143" t="n"/>
      <c r="G47" s="143" t="n"/>
      <c r="H47" s="143" t="n"/>
      <c r="I47" s="144" t="n"/>
      <c r="J47" s="143" t="n"/>
      <c r="K47" s="143" t="n"/>
      <c r="L47" s="143" t="n"/>
      <c r="M47" s="143" t="n"/>
      <c r="N47" s="143" t="n"/>
      <c r="O47" s="143" t="n"/>
      <c r="P47" s="144" t="n"/>
      <c r="Q47" s="143" t="n"/>
      <c r="R47" s="143" t="n"/>
      <c r="S47" s="143" t="n"/>
      <c r="T47" s="143" t="n"/>
      <c r="U47" s="143" t="n"/>
      <c r="V47" s="143" t="n"/>
      <c r="W47" s="144" t="n"/>
      <c r="X47" s="143" t="n"/>
      <c r="Y47" s="143" t="n"/>
      <c r="Z47" s="143" t="n"/>
      <c r="AA47" s="143" t="n"/>
      <c r="AB47" s="143" t="n"/>
      <c r="AC47" s="143" t="n"/>
      <c r="AD47" s="144" t="n"/>
      <c r="AE47" s="143" t="n"/>
      <c r="AF47" s="143" t="n"/>
      <c r="AG47" s="143" t="n"/>
      <c r="AH47" s="143" t="n"/>
      <c r="AI47" s="143" t="n"/>
    </row>
    <row r="48" ht="6" customHeight="1"/>
    <row r="49" ht="14" customHeight="1"/>
    <row r="50" ht="14" customHeight="1"/>
    <row r="51" ht="14" customHeight="1"/>
    <row r="52" ht="14" customHeight="1"/>
    <row r="53" ht="14" customHeight="1"/>
    <row r="54" ht="14" customHeight="1"/>
    <row r="55" ht="14" customHeight="1"/>
    <row r="56" ht="14" customHeight="1"/>
    <row r="57" ht="14" customHeight="1"/>
    <row r="58" ht="14" customHeight="1"/>
    <row r="59" ht="14" customHeight="1"/>
    <row r="60" ht="14" customHeight="1"/>
    <row r="61" ht="14" customHeight="1"/>
    <row r="62" ht="14" customHeight="1"/>
    <row r="63" ht="14" customHeight="1"/>
    <row r="64" ht="14" customHeight="1"/>
    <row r="65" ht="14" customHeight="1"/>
    <row r="66" ht="8" customHeight="1"/>
    <row r="67">
      <c r="A67" s="145" t="inlineStr">
        <is>
          <t>MONTHLY SUCCESS RATE</t>
        </is>
      </c>
      <c r="B67" s="9" t="n"/>
      <c r="C67" s="9" t="n"/>
      <c r="D67" s="9" t="n"/>
      <c r="F67" s="146" t="inlineStr">
        <is>
          <t>ACTIVE PROTOCOLS</t>
        </is>
      </c>
      <c r="G67" s="11" t="n"/>
      <c r="H67" s="11" t="n"/>
      <c r="I67" s="11" t="n"/>
      <c r="K67" s="147" t="inlineStr">
        <is>
          <t>PERFECT DAYS (100%)</t>
        </is>
      </c>
      <c r="L67" s="13" t="n"/>
      <c r="M67" s="13" t="n"/>
      <c r="N67" s="13" t="n"/>
      <c r="P67" s="148" t="inlineStr">
        <is>
          <t>AVG SLEEP DURATION</t>
        </is>
      </c>
      <c r="Q67" s="15" t="n"/>
      <c r="R67" s="15" t="n"/>
      <c r="S67" s="15" t="n"/>
    </row>
    <row r="68">
      <c r="A68" s="149">
        <f>IF(SUM(D18:D37)&gt;0, SUM(AM18:AM37)/SUM(D18:D37), 0)</f>
        <v/>
      </c>
      <c r="B68" s="9" t="n"/>
      <c r="C68" s="9" t="n"/>
      <c r="D68" s="9" t="n"/>
      <c r="F68" s="150">
        <f>COUNTA(B18:B37) &amp; " / 20"</f>
        <v/>
      </c>
      <c r="G68" s="11" t="n"/>
      <c r="H68" s="11" t="n"/>
      <c r="I68" s="11" t="n"/>
      <c r="K68" s="151">
        <f>COUNTIF(E39:AI39, 1) &amp; " Days"</f>
        <v/>
      </c>
      <c r="L68" s="13" t="n"/>
      <c r="M68" s="13" t="n"/>
      <c r="N68" s="13" t="n"/>
      <c r="P68" s="152">
        <f>IFERROR(TEXT(AVERAGE(E47:AI47), "0.0") &amp; " hrs", "-")</f>
        <v/>
      </c>
      <c r="Q68" s="15" t="n"/>
      <c r="R68" s="15" t="n"/>
      <c r="S68" s="15" t="n"/>
    </row>
    <row r="69">
      <c r="A69" s="9" t="n"/>
      <c r="B69" s="9" t="n"/>
      <c r="C69" s="9" t="n"/>
      <c r="D69" s="9" t="n"/>
      <c r="F69" s="11" t="n"/>
      <c r="G69" s="11" t="n"/>
      <c r="H69" s="11" t="n"/>
      <c r="I69" s="11" t="n"/>
      <c r="K69" s="13" t="n"/>
      <c r="L69" s="13" t="n"/>
      <c r="M69" s="13" t="n"/>
      <c r="N69" s="13" t="n"/>
      <c r="P69" s="15" t="n"/>
      <c r="Q69" s="15" t="n"/>
      <c r="R69" s="15" t="n"/>
      <c r="S69" s="15" t="n"/>
    </row>
    <row r="70">
      <c r="A70" s="9" t="n"/>
      <c r="B70" s="9" t="n"/>
      <c r="C70" s="9" t="n"/>
      <c r="D70" s="9" t="n"/>
      <c r="F70" s="11" t="n"/>
      <c r="G70" s="11" t="n"/>
      <c r="H70" s="11" t="n"/>
      <c r="I70" s="11" t="n"/>
      <c r="K70" s="13" t="n"/>
      <c r="L70" s="13" t="n"/>
      <c r="M70" s="13" t="n"/>
      <c r="N70" s="13" t="n"/>
      <c r="P70" s="15" t="n"/>
      <c r="Q70" s="15" t="n"/>
      <c r="R70" s="15" t="n"/>
      <c r="S70" s="15" t="n"/>
    </row>
    <row r="71">
      <c r="A71" s="153" t="inlineStr">
        <is>
          <t>Target Completion</t>
        </is>
      </c>
      <c r="B71" s="9" t="n"/>
      <c r="C71" s="9" t="n"/>
      <c r="D71" s="9" t="n"/>
      <c r="F71" s="154" t="inlineStr">
        <is>
          <t>Habits Tracked</t>
        </is>
      </c>
      <c r="G71" s="11" t="n"/>
      <c r="H71" s="11" t="n"/>
      <c r="I71" s="11" t="n"/>
      <c r="K71" s="155" t="inlineStr">
        <is>
          <t>All Marked Habits Completed</t>
        </is>
      </c>
      <c r="L71" s="13" t="n"/>
      <c r="M71" s="13" t="n"/>
      <c r="N71" s="13" t="n"/>
      <c r="P71" s="156" t="inlineStr">
        <is>
          <t>Nightly Rest Average</t>
        </is>
      </c>
      <c r="Q71" s="15" t="n"/>
      <c r="R71" s="15" t="n"/>
      <c r="S71" s="15" t="n"/>
    </row>
    <row r="72" ht="8" customHeight="1"/>
    <row r="73" ht="6" customHeight="1"/>
    <row r="74">
      <c r="A74" s="67" t="inlineStr">
        <is>
          <t>WEEKLY PERFORMANCE (SLUMP DETECTOR)</t>
        </is>
      </c>
      <c r="B74" s="29" t="n"/>
      <c r="C74" s="29" t="n"/>
      <c r="D74" s="29" t="n"/>
      <c r="E74" s="29" t="n"/>
      <c r="N74" s="157" t="inlineStr">
        <is>
          <t>LIFE DOMAIN / CATEGORY BREAKDOWN</t>
        </is>
      </c>
      <c r="O74" s="158" t="n"/>
      <c r="P74" s="158" t="n"/>
      <c r="Q74" s="158" t="n"/>
      <c r="R74" s="158" t="n"/>
      <c r="S74" s="158" t="n"/>
    </row>
    <row r="75" ht="15" customHeight="1">
      <c r="A75" s="53" t="inlineStr">
        <is>
          <t>Week</t>
        </is>
      </c>
      <c r="B75" s="53" t="inlineStr">
        <is>
          <t>Days Range</t>
        </is>
      </c>
      <c r="C75" s="53" t="inlineStr">
        <is>
          <t>Checks Done</t>
        </is>
      </c>
      <c r="D75" s="53" t="inlineStr">
        <is>
          <t>Evaluated</t>
        </is>
      </c>
      <c r="E75" s="53" t="inlineStr">
        <is>
          <t>Success %</t>
        </is>
      </c>
      <c r="N75" s="53" t="inlineStr">
        <is>
          <t>Domain / Category</t>
        </is>
      </c>
      <c r="O75" s="54" t="n"/>
      <c r="P75" s="53" t="inlineStr">
        <is>
          <t>Active Habits</t>
        </is>
      </c>
      <c r="Q75" s="53" t="inlineStr">
        <is>
          <t>Target Days</t>
        </is>
      </c>
      <c r="R75" s="53" t="inlineStr">
        <is>
          <t>Done Checks</t>
        </is>
      </c>
      <c r="S75" s="53" t="inlineStr">
        <is>
          <t>Success %</t>
        </is>
      </c>
    </row>
    <row r="76" ht="14" customHeight="1">
      <c r="A76" s="33" t="inlineStr">
        <is>
          <t>Week 1</t>
        </is>
      </c>
      <c r="B76" s="34" t="inlineStr">
        <is>
          <t>Days 1 - 7</t>
        </is>
      </c>
      <c r="C76" s="34">
        <f>COUNTIF(E18:K37, "✓")</f>
        <v/>
      </c>
      <c r="D76" s="34">
        <f>COUNTIF(E18:K37, "✓") + COUNTIF(E18:K37, "✗")</f>
        <v/>
      </c>
      <c r="E76" s="35">
        <f>IFERROR(C76/D76, 0)</f>
        <v/>
      </c>
      <c r="N76" s="60" t="inlineStr">
        <is>
          <t>Health &amp; Fitness</t>
        </is>
      </c>
      <c r="O76" s="54" t="n"/>
      <c r="P76" s="34">
        <f>COUNTIF($C$18:$C$37, "Health &amp; Fitness")</f>
        <v/>
      </c>
      <c r="Q76" s="34">
        <f>SUMIF($C$18:$C$37, "Health &amp; Fitness", $D$18:$D$37)</f>
        <v/>
      </c>
      <c r="R76" s="34">
        <f>SUMIF($C$18:$C$37, "Health &amp; Fitness", $AM$18:$AM$37)</f>
        <v/>
      </c>
      <c r="S76" s="35">
        <f>IFERROR(R76/Q76, 0)</f>
        <v/>
      </c>
    </row>
    <row r="77" ht="14" customHeight="1">
      <c r="A77" s="33" t="inlineStr">
        <is>
          <t>Week 2</t>
        </is>
      </c>
      <c r="B77" s="34" t="inlineStr">
        <is>
          <t>Days 8 - 14</t>
        </is>
      </c>
      <c r="C77" s="34">
        <f>COUNTIF(L18:R37, "✓")</f>
        <v/>
      </c>
      <c r="D77" s="34">
        <f>COUNTIF(L18:R37, "✓") + COUNTIF(L18:R37, "✗")</f>
        <v/>
      </c>
      <c r="E77" s="35">
        <f>IFERROR(C77/D77, 0)</f>
        <v/>
      </c>
      <c r="N77" s="60" t="inlineStr">
        <is>
          <t>Mindset &amp; Learning</t>
        </is>
      </c>
      <c r="O77" s="54" t="n"/>
      <c r="P77" s="34">
        <f>COUNTIF($C$18:$C$37, "Mindset &amp; Learning")</f>
        <v/>
      </c>
      <c r="Q77" s="34">
        <f>SUMIF($C$18:$C$37, "Mindset &amp; Learning", $D$18:$D$37)</f>
        <v/>
      </c>
      <c r="R77" s="34">
        <f>SUMIF($C$18:$C$37, "Mindset &amp; Learning", $AM$18:$AM$37)</f>
        <v/>
      </c>
      <c r="S77" s="35">
        <f>IFERROR(R77/Q77, 0)</f>
        <v/>
      </c>
    </row>
    <row r="78" ht="14" customHeight="1">
      <c r="A78" s="33" t="inlineStr">
        <is>
          <t>Week 3</t>
        </is>
      </c>
      <c r="B78" s="34" t="inlineStr">
        <is>
          <t>Days 15 - 21</t>
        </is>
      </c>
      <c r="C78" s="34">
        <f>COUNTIF(S18:Y37, "✓")</f>
        <v/>
      </c>
      <c r="D78" s="34">
        <f>COUNTIF(S18:Y37, "✓") + COUNTIF(S18:Y37, "✗")</f>
        <v/>
      </c>
      <c r="E78" s="35">
        <f>IFERROR(C78/D78, 0)</f>
        <v/>
      </c>
      <c r="N78" s="60" t="inlineStr">
        <is>
          <t>Career &amp; Focus</t>
        </is>
      </c>
      <c r="O78" s="54" t="n"/>
      <c r="P78" s="34">
        <f>COUNTIF($C$18:$C$37, "Career &amp; Focus")</f>
        <v/>
      </c>
      <c r="Q78" s="34">
        <f>SUMIF($C$18:$C$37, "Career &amp; Focus", $D$18:$D$37)</f>
        <v/>
      </c>
      <c r="R78" s="34">
        <f>SUMIF($C$18:$C$37, "Career &amp; Focus", $AM$18:$AM$37)</f>
        <v/>
      </c>
      <c r="S78" s="35">
        <f>IFERROR(R78/Q78, 0)</f>
        <v/>
      </c>
    </row>
    <row r="79" ht="14" customHeight="1">
      <c r="A79" s="33" t="inlineStr">
        <is>
          <t>Week 4</t>
        </is>
      </c>
      <c r="B79" s="34" t="inlineStr">
        <is>
          <t>Days 22 - 28</t>
        </is>
      </c>
      <c r="C79" s="34">
        <f>COUNTIF(Z18:AF37, "✓")</f>
        <v/>
      </c>
      <c r="D79" s="34">
        <f>COUNTIF(Z18:AF37, "✓") + COUNTIF(Z18:AF37, "✗")</f>
        <v/>
      </c>
      <c r="E79" s="35">
        <f>IFERROR(C79/D79, 0)</f>
        <v/>
      </c>
      <c r="N79" s="60" t="inlineStr">
        <is>
          <t>Personal &amp; Home</t>
        </is>
      </c>
      <c r="O79" s="54" t="n"/>
      <c r="P79" s="34">
        <f>COUNTIF($C$18:$C$37, "Personal &amp; Home")</f>
        <v/>
      </c>
      <c r="Q79" s="34">
        <f>SUMIF($C$18:$C$37, "Personal &amp; Home", $D$18:$D$37)</f>
        <v/>
      </c>
      <c r="R79" s="34">
        <f>SUMIF($C$18:$C$37, "Personal &amp; Home", $AM$18:$AM$37)</f>
        <v/>
      </c>
      <c r="S79" s="35">
        <f>IFERROR(R79/Q79, 0)</f>
        <v/>
      </c>
    </row>
    <row r="80" ht="14" customHeight="1">
      <c r="A80" s="33" t="inlineStr">
        <is>
          <t>Week 5</t>
        </is>
      </c>
      <c r="B80" s="34" t="inlineStr">
        <is>
          <t>Days 29 - 31</t>
        </is>
      </c>
      <c r="C80" s="34">
        <f>COUNTIF(AG18:AI37, "✓")</f>
        <v/>
      </c>
      <c r="D80" s="34">
        <f>COUNTIF(AG18:AI37, "✓") + COUNTIF(AG18:AI37, "✗")</f>
        <v/>
      </c>
      <c r="E80" s="35">
        <f>IFERROR(C80/D80, 0)</f>
        <v/>
      </c>
      <c r="N80" s="60" t="inlineStr">
        <is>
          <t>Finance &amp; Wealth</t>
        </is>
      </c>
      <c r="O80" s="54" t="n"/>
      <c r="P80" s="34">
        <f>COUNTIF($C$18:$C$37, "Finance &amp; Wealth")</f>
        <v/>
      </c>
      <c r="Q80" s="34">
        <f>SUMIF($C$18:$C$37, "Finance &amp; Wealth", $D$18:$D$37)</f>
        <v/>
      </c>
      <c r="R80" s="34">
        <f>SUMIF($C$18:$C$37, "Finance &amp; Wealth", $AM$18:$AM$37)</f>
        <v/>
      </c>
      <c r="S80" s="35">
        <f>IFERROR(R80/Q80, 0)</f>
        <v/>
      </c>
    </row>
    <row r="81" ht="14" customHeight="1">
      <c r="A81" s="33" t="inlineStr">
        <is>
          <t>Total / Avg</t>
        </is>
      </c>
      <c r="B81" s="159" t="inlineStr">
        <is>
          <t>Month Total</t>
        </is>
      </c>
      <c r="C81" s="33">
        <f>SUM(C76:C80)</f>
        <v/>
      </c>
      <c r="D81" s="33">
        <f>SUM(D76:D80)</f>
        <v/>
      </c>
      <c r="E81" s="133">
        <f>IFERROR(C81/D81, 0)</f>
        <v/>
      </c>
    </row>
    <row r="82" ht="10" customHeight="1"/>
    <row r="83" ht="10" customHeight="1"/>
    <row r="84">
      <c r="A84" s="51" t="inlineStr">
        <is>
          <t>SLEEP &amp; PRODUCTIVITY CORRELATION ANALYSIS</t>
        </is>
      </c>
      <c r="B84" s="52" t="n"/>
      <c r="C84" s="52" t="n"/>
      <c r="D84" s="52" t="n"/>
      <c r="E84" s="52" t="n"/>
      <c r="F84" s="52" t="n"/>
      <c r="G84" s="52" t="n"/>
      <c r="H84" s="52" t="n"/>
      <c r="I84" s="52" t="n"/>
      <c r="J84" s="52" t="n"/>
      <c r="K84" s="52" t="n"/>
      <c r="L84" s="52" t="n"/>
      <c r="M84" s="52" t="n"/>
      <c r="N84" s="52" t="n"/>
      <c r="O84" s="52" t="n"/>
      <c r="P84" s="52" t="n"/>
      <c r="Q84" s="52" t="n"/>
      <c r="R84" s="52" t="n"/>
      <c r="S84" s="52" t="n"/>
      <c r="T84" s="52" t="n"/>
      <c r="U84" s="52" t="n"/>
      <c r="V84" s="52" t="n"/>
      <c r="W84" s="52" t="n"/>
      <c r="X84" s="52" t="n"/>
      <c r="Y84" s="52" t="n"/>
      <c r="Z84" s="52" t="n"/>
      <c r="AA84" s="52" t="n"/>
      <c r="AB84" s="52" t="n"/>
      <c r="AC84" s="52" t="n"/>
      <c r="AD84" s="52" t="n"/>
      <c r="AE84" s="52" t="n"/>
      <c r="AF84" s="52" t="n"/>
      <c r="AG84" s="52" t="n"/>
      <c r="AH84" s="52" t="n"/>
      <c r="AI84" s="52" t="n"/>
      <c r="AJ84" s="52" t="n"/>
      <c r="AK84" s="52" t="n"/>
      <c r="AL84" s="52" t="n"/>
    </row>
    <row r="85" ht="15" customHeight="1">
      <c r="A85" s="53" t="inlineStr">
        <is>
          <t>Rest Category</t>
        </is>
      </c>
      <c r="B85" s="54" t="n"/>
      <c r="C85" s="54" t="n"/>
      <c r="D85" s="53" t="inlineStr">
        <is>
          <t>Day Criteria</t>
        </is>
      </c>
      <c r="E85" s="54" t="n"/>
      <c r="F85" s="54" t="n"/>
      <c r="G85" s="53" t="inlineStr">
        <is>
          <t>Days Logged</t>
        </is>
      </c>
      <c r="H85" s="54" t="n"/>
      <c r="I85" s="54" t="n"/>
      <c r="J85" s="53" t="inlineStr">
        <is>
          <t>Avg Sleep Duration</t>
        </is>
      </c>
      <c r="K85" s="54" t="n"/>
      <c r="L85" s="54" t="n"/>
      <c r="M85" s="54" t="n"/>
      <c r="N85" s="53" t="inlineStr">
        <is>
          <t>Avg Habit Success %</t>
        </is>
      </c>
      <c r="O85" s="54" t="n"/>
      <c r="P85" s="54" t="n"/>
      <c r="Q85" s="54" t="n"/>
      <c r="R85" s="53" t="inlineStr">
        <is>
          <t>Productivity Delta</t>
        </is>
      </c>
      <c r="S85" s="54" t="n"/>
      <c r="T85" s="54" t="n"/>
      <c r="U85" s="54" t="n"/>
    </row>
    <row r="86" ht="15" customHeight="1">
      <c r="A86" s="160" t="inlineStr">
        <is>
          <t>Optimal Rest</t>
        </is>
      </c>
      <c r="B86" s="161" t="n"/>
      <c r="C86" s="56" t="n"/>
      <c r="D86" s="34" t="inlineStr">
        <is>
          <t>&gt;= 7 Hours / Night</t>
        </is>
      </c>
      <c r="E86" s="161" t="n"/>
      <c r="F86" s="56" t="n"/>
      <c r="G86" s="33">
        <f>COUNTIF(E47:AI47, "&gt;=7")</f>
        <v/>
      </c>
      <c r="H86" s="161" t="n"/>
      <c r="I86" s="56" t="n"/>
      <c r="J86" s="34">
        <f>IFERROR(TEXT(AVERAGEIF(E47:AI47, "&gt;=7"), "0.0") &amp; " hrs", "-")</f>
        <v/>
      </c>
      <c r="K86" s="161" t="n"/>
      <c r="L86" s="161" t="n"/>
      <c r="M86" s="56" t="n"/>
      <c r="N86" s="42">
        <f>IFERROR(AVERAGEIFS(E39:AI39, E47:AI47, "&gt;=7", E39:AI39, "&gt;0"), 0)</f>
        <v/>
      </c>
      <c r="O86" s="161" t="n"/>
      <c r="P86" s="161" t="n"/>
      <c r="Q86" s="56" t="n"/>
      <c r="R86" s="159" t="inlineStr">
        <is>
          <t>Baseline (Target)</t>
        </is>
      </c>
      <c r="S86" s="161" t="n"/>
      <c r="T86" s="161" t="n"/>
      <c r="U86" s="56" t="n"/>
    </row>
    <row r="87" ht="15" customHeight="1">
      <c r="A87" s="162" t="inlineStr">
        <is>
          <t>Sleep Deficit</t>
        </is>
      </c>
      <c r="B87" s="161" t="n"/>
      <c r="C87" s="56" t="n"/>
      <c r="D87" s="34" t="inlineStr">
        <is>
          <t>&lt; 7 Hours / Night</t>
        </is>
      </c>
      <c r="E87" s="161" t="n"/>
      <c r="F87" s="56" t="n"/>
      <c r="G87" s="33">
        <f>COUNTIF(E47:AI47, "&lt;7") - COUNTIF(E47:AI47, "")</f>
        <v/>
      </c>
      <c r="H87" s="161" t="n"/>
      <c r="I87" s="56" t="n"/>
      <c r="J87" s="34">
        <f>IFERROR(TEXT(AVERAGEIFS(E47:AI47, E47:AI47, "&lt;7", E47:AI47, "&gt;0"), "0.0") &amp; " hrs", "-")</f>
        <v/>
      </c>
      <c r="K87" s="161" t="n"/>
      <c r="L87" s="161" t="n"/>
      <c r="M87" s="56" t="n"/>
      <c r="N87" s="163">
        <f>IFERROR(AVERAGEIFS(E39:AI39, E47:AI47, "&lt;7", E39:AI39, "&gt;0"), 0)</f>
        <v/>
      </c>
      <c r="O87" s="161" t="n"/>
      <c r="P87" s="161" t="n"/>
      <c r="Q87" s="56" t="n"/>
      <c r="R87" s="160">
        <f>IFERROR(TEXT(N86 - N87, "+0.0%;-0.0%;0.0%") &amp; " Rest Advantage", "-")</f>
        <v/>
      </c>
      <c r="S87" s="161" t="n"/>
      <c r="T87" s="161" t="n"/>
      <c r="U87" s="56" t="n"/>
    </row>
    <row r="88" ht="18" customHeight="1">
      <c r="A88" s="164">
        <f>IF(AND(ISNUMBER(N86), ISNUMBER(N87), N86&gt;0, N87&gt;0), "💡 Sleep Correlation Insight: You complete " &amp; TEXT(ABS(N86-N87), "0.0%") &amp; IF(N86&gt;=N87, " MORE habits on days with 7+ hours of sleep!", " fewer habits on days with 7+ hours of sleep."), "💡 Log both habits and sleep hours daily to unlock automatic AI correlation insights!")</f>
        <v/>
      </c>
      <c r="B88" s="161" t="n"/>
      <c r="C88" s="161" t="n"/>
      <c r="D88" s="161" t="n"/>
      <c r="E88" s="161" t="n"/>
      <c r="F88" s="161" t="n"/>
      <c r="G88" s="161" t="n"/>
      <c r="H88" s="161" t="n"/>
      <c r="I88" s="161" t="n"/>
      <c r="J88" s="161" t="n"/>
      <c r="K88" s="161" t="n"/>
      <c r="L88" s="161" t="n"/>
      <c r="M88" s="161" t="n"/>
      <c r="N88" s="161" t="n"/>
      <c r="O88" s="161" t="n"/>
      <c r="P88" s="161" t="n"/>
      <c r="Q88" s="161" t="n"/>
      <c r="R88" s="161" t="n"/>
      <c r="S88" s="161" t="n"/>
      <c r="T88" s="161" t="n"/>
      <c r="U88" s="161" t="n"/>
      <c r="V88" s="161" t="n"/>
      <c r="W88" s="161" t="n"/>
      <c r="X88" s="161" t="n"/>
      <c r="Y88" s="161" t="n"/>
      <c r="Z88" s="161" t="n"/>
      <c r="AA88" s="161" t="n"/>
      <c r="AB88" s="161" t="n"/>
      <c r="AC88" s="161" t="n"/>
      <c r="AD88" s="161" t="n"/>
      <c r="AE88" s="161" t="n"/>
      <c r="AF88" s="161" t="n"/>
      <c r="AG88" s="161" t="n"/>
      <c r="AH88" s="161" t="n"/>
      <c r="AI88" s="161" t="n"/>
      <c r="AJ88" s="161" t="n"/>
      <c r="AK88" s="161" t="n"/>
      <c r="AL88" s="56" t="n"/>
    </row>
    <row r="89" ht="10" customHeight="1"/>
    <row r="90">
      <c r="A90" s="43" t="inlineStr">
        <is>
          <t>STANDARDIZED DATA BRIDGE (FOR ANNUAL &amp; QUARTERLY REVIEW SHEETS)</t>
        </is>
      </c>
      <c r="B90" s="44" t="n"/>
      <c r="C90" s="44" t="n"/>
      <c r="D90" s="44" t="n"/>
      <c r="E90" s="44" t="n"/>
      <c r="F90" s="44" t="n"/>
      <c r="G90" s="44" t="n"/>
      <c r="H90" s="44" t="n"/>
      <c r="I90" s="44" t="n"/>
      <c r="J90" s="44" t="n"/>
      <c r="K90" s="44" t="n"/>
      <c r="L90" s="44" t="n"/>
      <c r="M90" s="44" t="n"/>
      <c r="N90" s="44" t="n"/>
      <c r="O90" s="44" t="n"/>
      <c r="P90" s="44" t="n"/>
      <c r="Q90" s="44" t="n"/>
      <c r="R90" s="44" t="n"/>
      <c r="S90" s="44" t="n"/>
      <c r="T90" s="44" t="n"/>
      <c r="U90" s="44" t="n"/>
      <c r="V90" s="44" t="n"/>
      <c r="W90" s="44" t="n"/>
      <c r="X90" s="44" t="n"/>
      <c r="Y90" s="44" t="n"/>
      <c r="Z90" s="44" t="n"/>
      <c r="AA90" s="44" t="n"/>
      <c r="AB90" s="44" t="n"/>
      <c r="AC90" s="44" t="n"/>
      <c r="AD90" s="44" t="n"/>
      <c r="AE90" s="44" t="n"/>
      <c r="AF90" s="44" t="n"/>
      <c r="AG90" s="44" t="n"/>
      <c r="AH90" s="44" t="n"/>
      <c r="AI90" s="44" t="n"/>
      <c r="AJ90" s="44" t="n"/>
      <c r="AK90" s="44" t="n"/>
      <c r="AL90" s="44" t="n"/>
    </row>
    <row r="91" ht="15" customHeight="1">
      <c r="A91" s="53" t="inlineStr">
        <is>
          <t>Month</t>
        </is>
      </c>
      <c r="B91" s="54" t="n"/>
      <c r="C91" s="53" t="inlineStr">
        <is>
          <t>Year</t>
        </is>
      </c>
      <c r="D91" s="54" t="n"/>
      <c r="E91" s="53" t="inlineStr">
        <is>
          <t>Active Habits</t>
        </is>
      </c>
      <c r="F91" s="54" t="n"/>
      <c r="G91" s="53" t="inlineStr">
        <is>
          <t>Target Days</t>
        </is>
      </c>
      <c r="H91" s="54" t="n"/>
      <c r="I91" s="53" t="inlineStr">
        <is>
          <t>Done Checks</t>
        </is>
      </c>
      <c r="J91" s="54" t="n"/>
      <c r="K91" s="53" t="inlineStr">
        <is>
          <t>Success %</t>
        </is>
      </c>
      <c r="L91" s="54" t="n"/>
      <c r="M91" s="53" t="inlineStr">
        <is>
          <t>Perfect Days</t>
        </is>
      </c>
      <c r="N91" s="54" t="n"/>
      <c r="O91" s="53" t="inlineStr">
        <is>
          <t>Avg Sleep</t>
        </is>
      </c>
      <c r="P91" s="54" t="n"/>
      <c r="Q91" s="53" t="inlineStr">
        <is>
          <t>Best Week</t>
        </is>
      </c>
      <c r="R91" s="54" t="n"/>
      <c r="S91" s="54" t="n"/>
      <c r="T91" s="53" t="inlineStr">
        <is>
          <t>Top Life Domain</t>
        </is>
      </c>
      <c r="U91" s="54" t="n"/>
      <c r="V91" s="54" t="n"/>
      <c r="W91" s="54" t="n"/>
    </row>
    <row r="92" ht="16" customHeight="1">
      <c r="A92" s="165" t="inlineStr">
        <is>
          <t>Aug</t>
        </is>
      </c>
      <c r="B92" s="56" t="n"/>
      <c r="C92" s="165" t="n">
        <v>2029</v>
      </c>
      <c r="D92" s="56" t="n"/>
      <c r="E92" s="166">
        <f>COUNTA(B18:B37)</f>
        <v/>
      </c>
      <c r="F92" s="56" t="n"/>
      <c r="G92" s="166">
        <f>SUM(D18:D37)</f>
        <v/>
      </c>
      <c r="H92" s="56" t="n"/>
      <c r="I92" s="166">
        <f>SUM(AM18:AM37)</f>
        <v/>
      </c>
      <c r="J92" s="56" t="n"/>
      <c r="K92" s="167">
        <f>IF(G92&gt;0, I92/G92, 0)</f>
        <v/>
      </c>
      <c r="L92" s="56" t="n"/>
      <c r="M92" s="166">
        <f>COUNTIF(E39:AI39, 1)</f>
        <v/>
      </c>
      <c r="N92" s="56" t="n"/>
      <c r="O92" s="168">
        <f>IFERROR(AVERAGE(E47:AI47), 0)</f>
        <v/>
      </c>
      <c r="P92" s="56" t="n"/>
      <c r="Q92" s="166">
        <f>INDEX(A76:A80, MATCH(MAX(E76:E80), E76:E80, 0))</f>
        <v/>
      </c>
      <c r="R92" s="161" t="n"/>
      <c r="S92" s="56" t="n"/>
      <c r="T92" s="166">
        <f>INDEX(N76:N80, MATCH(MAX(S76:S80), S76:S80, 0))</f>
        <v/>
      </c>
      <c r="U92" s="161" t="n"/>
      <c r="V92" s="161" t="n"/>
      <c r="W92" s="56" t="n"/>
    </row>
    <row r="93" ht="14" customHeight="1">
      <c r="A93" s="169" t="inlineStr">
        <is>
          <t>📋 Note: Reference or copy Row 92 directly into an Annual / Quarterly review dashboard to track yearly habit trends.</t>
        </is>
      </c>
    </row>
    <row r="94" ht="8" customHeight="1"/>
    <row r="95">
      <c r="A95" s="170" t="inlineStr">
        <is>
          <t>🏆 MONTHLY WINS &amp; HIGHLIGHTS</t>
        </is>
      </c>
      <c r="J95" s="171" t="inlineStr">
        <is>
          <t>⚠️ FRICTION POINTS &amp; ROOT CAUSES</t>
        </is>
      </c>
      <c r="S95" s="172" t="inlineStr">
        <is>
          <t>🎯 3 KEY ADJUSTMENTS FOR NEXT MONTH</t>
        </is>
      </c>
    </row>
    <row r="96">
      <c r="A96" s="173" t="inlineStr">
        <is>
          <t>1. What went exceptionally well this month?
2. Which habit felt effortless and consistent?
3. Major milestone achieved:</t>
        </is>
      </c>
      <c r="B96" s="174" t="n"/>
      <c r="C96" s="174" t="n"/>
      <c r="D96" s="174" t="n"/>
      <c r="E96" s="174" t="n"/>
      <c r="F96" s="174" t="n"/>
      <c r="G96" s="174" t="n"/>
      <c r="H96" s="174" t="n"/>
      <c r="J96" s="175" t="inlineStr">
        <is>
          <t>1. What caused missed or skipped days?
2. Main triggers / energy drains encountered:
3. Which habit had the lowest consistency and why?</t>
        </is>
      </c>
      <c r="K96" s="176" t="n"/>
      <c r="L96" s="176" t="n"/>
      <c r="M96" s="176" t="n"/>
      <c r="N96" s="176" t="n"/>
      <c r="O96" s="176" t="n"/>
      <c r="P96" s="176" t="n"/>
      <c r="Q96" s="176" t="n"/>
      <c r="S96" s="177" t="inlineStr">
        <is>
          <t>1. Habit Stacking or time adjustment for next month:
2. Environment design change to eliminate friction:
3. One non-negotiable priority protocol:</t>
        </is>
      </c>
      <c r="T96" s="178" t="n"/>
      <c r="U96" s="178" t="n"/>
      <c r="V96" s="178" t="n"/>
      <c r="W96" s="178" t="n"/>
      <c r="X96" s="178" t="n"/>
      <c r="Y96" s="178" t="n"/>
      <c r="Z96" s="178" t="n"/>
    </row>
    <row r="97">
      <c r="A97" s="174" t="n"/>
      <c r="B97" s="174" t="n"/>
      <c r="C97" s="174" t="n"/>
      <c r="D97" s="174" t="n"/>
      <c r="E97" s="174" t="n"/>
      <c r="F97" s="174" t="n"/>
      <c r="G97" s="174" t="n"/>
      <c r="H97" s="174" t="n"/>
      <c r="J97" s="176" t="n"/>
      <c r="K97" s="176" t="n"/>
      <c r="L97" s="176" t="n"/>
      <c r="M97" s="176" t="n"/>
      <c r="N97" s="176" t="n"/>
      <c r="O97" s="176" t="n"/>
      <c r="P97" s="176" t="n"/>
      <c r="Q97" s="176" t="n"/>
      <c r="S97" s="178" t="n"/>
      <c r="T97" s="178" t="n"/>
      <c r="U97" s="178" t="n"/>
      <c r="V97" s="178" t="n"/>
      <c r="W97" s="178" t="n"/>
      <c r="X97" s="178" t="n"/>
      <c r="Y97" s="178" t="n"/>
      <c r="Z97" s="178" t="n"/>
    </row>
    <row r="98">
      <c r="A98" s="174" t="n"/>
      <c r="B98" s="174" t="n"/>
      <c r="C98" s="174" t="n"/>
      <c r="D98" s="174" t="n"/>
      <c r="E98" s="174" t="n"/>
      <c r="F98" s="174" t="n"/>
      <c r="G98" s="174" t="n"/>
      <c r="H98" s="174" t="n"/>
      <c r="J98" s="176" t="n"/>
      <c r="K98" s="176" t="n"/>
      <c r="L98" s="176" t="n"/>
      <c r="M98" s="176" t="n"/>
      <c r="N98" s="176" t="n"/>
      <c r="O98" s="176" t="n"/>
      <c r="P98" s="176" t="n"/>
      <c r="Q98" s="176" t="n"/>
      <c r="S98" s="178" t="n"/>
      <c r="T98" s="178" t="n"/>
      <c r="U98" s="178" t="n"/>
      <c r="V98" s="178" t="n"/>
      <c r="W98" s="178" t="n"/>
      <c r="X98" s="178" t="n"/>
      <c r="Y98" s="178" t="n"/>
      <c r="Z98" s="178" t="n"/>
    </row>
    <row r="99">
      <c r="A99" s="174" t="n"/>
      <c r="B99" s="174" t="n"/>
      <c r="C99" s="174" t="n"/>
      <c r="D99" s="174" t="n"/>
      <c r="E99" s="174" t="n"/>
      <c r="F99" s="174" t="n"/>
      <c r="G99" s="174" t="n"/>
      <c r="H99" s="174" t="n"/>
      <c r="J99" s="176" t="n"/>
      <c r="K99" s="176" t="n"/>
      <c r="L99" s="176" t="n"/>
      <c r="M99" s="176" t="n"/>
      <c r="N99" s="176" t="n"/>
      <c r="O99" s="176" t="n"/>
      <c r="P99" s="176" t="n"/>
      <c r="Q99" s="176" t="n"/>
      <c r="S99" s="178" t="n"/>
      <c r="T99" s="178" t="n"/>
      <c r="U99" s="178" t="n"/>
      <c r="V99" s="178" t="n"/>
      <c r="W99" s="178" t="n"/>
      <c r="X99" s="178" t="n"/>
      <c r="Y99" s="178" t="n"/>
      <c r="Z99" s="178" t="n"/>
    </row>
    <row r="100">
      <c r="A100" s="174" t="n"/>
      <c r="B100" s="174" t="n"/>
      <c r="C100" s="174" t="n"/>
      <c r="D100" s="174" t="n"/>
      <c r="E100" s="174" t="n"/>
      <c r="F100" s="174" t="n"/>
      <c r="G100" s="174" t="n"/>
      <c r="H100" s="174" t="n"/>
      <c r="J100" s="176" t="n"/>
      <c r="K100" s="176" t="n"/>
      <c r="L100" s="176" t="n"/>
      <c r="M100" s="176" t="n"/>
      <c r="N100" s="176" t="n"/>
      <c r="O100" s="176" t="n"/>
      <c r="P100" s="176" t="n"/>
      <c r="Q100" s="176" t="n"/>
      <c r="S100" s="178" t="n"/>
      <c r="T100" s="178" t="n"/>
      <c r="U100" s="178" t="n"/>
      <c r="V100" s="178" t="n"/>
      <c r="W100" s="178" t="n"/>
      <c r="X100" s="178" t="n"/>
      <c r="Y100" s="178" t="n"/>
      <c r="Z100" s="178" t="n"/>
    </row>
    <row r="101">
      <c r="A101" s="174" t="n"/>
      <c r="B101" s="174" t="n"/>
      <c r="C101" s="174" t="n"/>
      <c r="D101" s="174" t="n"/>
      <c r="E101" s="174" t="n"/>
      <c r="F101" s="174" t="n"/>
      <c r="G101" s="174" t="n"/>
      <c r="H101" s="174" t="n"/>
      <c r="J101" s="176" t="n"/>
      <c r="K101" s="176" t="n"/>
      <c r="L101" s="176" t="n"/>
      <c r="M101" s="176" t="n"/>
      <c r="N101" s="176" t="n"/>
      <c r="O101" s="176" t="n"/>
      <c r="P101" s="176" t="n"/>
      <c r="Q101" s="176" t="n"/>
      <c r="S101" s="178" t="n"/>
      <c r="T101" s="178" t="n"/>
      <c r="U101" s="178" t="n"/>
      <c r="V101" s="178" t="n"/>
      <c r="W101" s="178" t="n"/>
      <c r="X101" s="178" t="n"/>
      <c r="Y101" s="178" t="n"/>
      <c r="Z101" s="178" t="n"/>
    </row>
    <row r="102">
      <c r="A102" s="174" t="n"/>
      <c r="B102" s="174" t="n"/>
      <c r="C102" s="174" t="n"/>
      <c r="D102" s="174" t="n"/>
      <c r="E102" s="174" t="n"/>
      <c r="F102" s="174" t="n"/>
      <c r="G102" s="174" t="n"/>
      <c r="H102" s="174" t="n"/>
      <c r="J102" s="176" t="n"/>
      <c r="K102" s="176" t="n"/>
      <c r="L102" s="176" t="n"/>
      <c r="M102" s="176" t="n"/>
      <c r="N102" s="176" t="n"/>
      <c r="O102" s="176" t="n"/>
      <c r="P102" s="176" t="n"/>
      <c r="Q102" s="176" t="n"/>
      <c r="S102" s="178" t="n"/>
      <c r="T102" s="178" t="n"/>
      <c r="U102" s="178" t="n"/>
      <c r="V102" s="178" t="n"/>
      <c r="W102" s="178" t="n"/>
      <c r="X102" s="178" t="n"/>
      <c r="Y102" s="178" t="n"/>
      <c r="Z102" s="178" t="n"/>
    </row>
    <row r="103">
      <c r="A103" s="174" t="n"/>
      <c r="B103" s="174" t="n"/>
      <c r="C103" s="174" t="n"/>
      <c r="D103" s="174" t="n"/>
      <c r="E103" s="174" t="n"/>
      <c r="F103" s="174" t="n"/>
      <c r="G103" s="174" t="n"/>
      <c r="H103" s="174" t="n"/>
      <c r="J103" s="176" t="n"/>
      <c r="K103" s="176" t="n"/>
      <c r="L103" s="176" t="n"/>
      <c r="M103" s="176" t="n"/>
      <c r="N103" s="176" t="n"/>
      <c r="O103" s="176" t="n"/>
      <c r="P103" s="176" t="n"/>
      <c r="Q103" s="176" t="n"/>
      <c r="S103" s="178" t="n"/>
      <c r="T103" s="178" t="n"/>
      <c r="U103" s="178" t="n"/>
      <c r="V103" s="178" t="n"/>
      <c r="W103" s="178" t="n"/>
      <c r="X103" s="178" t="n"/>
      <c r="Y103" s="178" t="n"/>
      <c r="Z103" s="178" t="n"/>
    </row>
  </sheetData>
  <sheetProtection selectLockedCells="1" selectUnlockedCells="1" sheet="1" objects="0" insertRows="1" insertHyperlinks="1" autoFilter="1" scenarios="0" formatColumns="1" deleteColumns="1" insertColumns="1" pivotTables="1" deleteRows="1" formatCells="1" formatRows="1" sort="1"/>
  <mergeCells count="94">
    <mergeCell ref="A9:N9"/>
    <mergeCell ref="N76:O76"/>
    <mergeCell ref="F67:I67"/>
    <mergeCell ref="G87:I87"/>
    <mergeCell ref="A16:A17"/>
    <mergeCell ref="A45:D46"/>
    <mergeCell ref="C16:C17"/>
    <mergeCell ref="N75:O75"/>
    <mergeCell ref="N77:O77"/>
    <mergeCell ref="AE2:AL2"/>
    <mergeCell ref="P9:AL9"/>
    <mergeCell ref="P68:S70"/>
    <mergeCell ref="D16:D17"/>
    <mergeCell ref="N85:Q85"/>
    <mergeCell ref="A95:H95"/>
    <mergeCell ref="A84:AL84"/>
    <mergeCell ref="Q91:S91"/>
    <mergeCell ref="E91:F91"/>
    <mergeCell ref="A8:N8"/>
    <mergeCell ref="A42:AL42"/>
    <mergeCell ref="G91:H91"/>
    <mergeCell ref="J86:M86"/>
    <mergeCell ref="H3:AD3"/>
    <mergeCell ref="K67:N67"/>
    <mergeCell ref="S95:Z95"/>
    <mergeCell ref="N79:O79"/>
    <mergeCell ref="K92:L92"/>
    <mergeCell ref="C92:D92"/>
    <mergeCell ref="M92:N92"/>
    <mergeCell ref="F71:I71"/>
    <mergeCell ref="A88:AL88"/>
    <mergeCell ref="K68:N70"/>
    <mergeCell ref="T91:W91"/>
    <mergeCell ref="A41:AL41"/>
    <mergeCell ref="A90:AL90"/>
    <mergeCell ref="J95:Q95"/>
    <mergeCell ref="D85:F85"/>
    <mergeCell ref="N74:S74"/>
    <mergeCell ref="H2:AD2"/>
    <mergeCell ref="F68:I70"/>
    <mergeCell ref="A91:B91"/>
    <mergeCell ref="N78:O78"/>
    <mergeCell ref="C91:D91"/>
    <mergeCell ref="M91:N91"/>
    <mergeCell ref="O91:P91"/>
    <mergeCell ref="R86:U86"/>
    <mergeCell ref="N80:O80"/>
    <mergeCell ref="B16:B17"/>
    <mergeCell ref="A71:D71"/>
    <mergeCell ref="J85:M85"/>
    <mergeCell ref="D86:F86"/>
    <mergeCell ref="A92:B92"/>
    <mergeCell ref="N87:Q87"/>
    <mergeCell ref="A1:B1"/>
    <mergeCell ref="E92:F92"/>
    <mergeCell ref="AL16:AL17"/>
    <mergeCell ref="A68:D70"/>
    <mergeCell ref="P71:S71"/>
    <mergeCell ref="A86:C86"/>
    <mergeCell ref="D87:F87"/>
    <mergeCell ref="O92:P92"/>
    <mergeCell ref="A6:N6"/>
    <mergeCell ref="A39:D39"/>
    <mergeCell ref="P8:AL8"/>
    <mergeCell ref="P7:AL7"/>
    <mergeCell ref="G86:I86"/>
    <mergeCell ref="A96:H103"/>
    <mergeCell ref="P67:S67"/>
    <mergeCell ref="T92:W92"/>
    <mergeCell ref="R85:U85"/>
    <mergeCell ref="K71:N71"/>
    <mergeCell ref="S96:Z103"/>
    <mergeCell ref="A93:AL93"/>
    <mergeCell ref="A38:D38"/>
    <mergeCell ref="A67:D67"/>
    <mergeCell ref="I91:J91"/>
    <mergeCell ref="A85:C85"/>
    <mergeCell ref="K91:L91"/>
    <mergeCell ref="N86:Q86"/>
    <mergeCell ref="A7:N7"/>
    <mergeCell ref="P6:AL6"/>
    <mergeCell ref="A74:E74"/>
    <mergeCell ref="G85:I85"/>
    <mergeCell ref="G92:H92"/>
    <mergeCell ref="I92:J92"/>
    <mergeCell ref="R87:U87"/>
    <mergeCell ref="AK16:AK17"/>
    <mergeCell ref="J87:M87"/>
    <mergeCell ref="AJ16:AJ17"/>
    <mergeCell ref="J96:Q103"/>
    <mergeCell ref="A12:AL14"/>
    <mergeCell ref="Q92:S92"/>
    <mergeCell ref="A87:C87"/>
    <mergeCell ref="A47:D47"/>
  </mergeCells>
  <conditionalFormatting sqref="AJ18:AJ37">
    <cfRule type="dataBar" priority="1">
      <dataBar>
        <cfvo type="num" val="0"/>
        <cfvo type="num" val="1"/>
        <color rgb="0010B981"/>
      </dataBar>
    </cfRule>
  </conditionalFormatting>
  <conditionalFormatting sqref="E18:AI37">
    <cfRule type="cellIs" priority="2" operator="equal" dxfId="0">
      <formula>"✓"</formula>
    </cfRule>
    <cfRule type="cellIs" priority="3" operator="equal" dxfId="0">
      <formula>"✔"</formula>
    </cfRule>
    <cfRule type="cellIs" priority="4" operator="equal" dxfId="1">
      <formula>"✗"</formula>
    </cfRule>
    <cfRule type="cellIs" priority="5" operator="equal" dxfId="1">
      <formula>"x"</formula>
    </cfRule>
    <cfRule type="cellIs" priority="6" operator="equal" dxfId="1">
      <formula>"X"</formula>
    </cfRule>
  </conditionalFormatting>
  <conditionalFormatting sqref="E16:E17">
    <cfRule type="expression" priority="7" dxfId="2">
      <formula>AND(DAY(TODAY())=1, MONTH(TODAY())=8, YEAR(TODAY())=2029)</formula>
    </cfRule>
  </conditionalFormatting>
  <conditionalFormatting sqref="F16:F17">
    <cfRule type="expression" priority="8" dxfId="2">
      <formula>AND(DAY(TODAY())=2, MONTH(TODAY())=8, YEAR(TODAY())=2029)</formula>
    </cfRule>
  </conditionalFormatting>
  <conditionalFormatting sqref="G16:G17">
    <cfRule type="expression" priority="9" dxfId="2">
      <formula>AND(DAY(TODAY())=3, MONTH(TODAY())=8, YEAR(TODAY())=2029)</formula>
    </cfRule>
  </conditionalFormatting>
  <conditionalFormatting sqref="H16:H17">
    <cfRule type="expression" priority="10" dxfId="2">
      <formula>AND(DAY(TODAY())=4, MONTH(TODAY())=8, YEAR(TODAY())=2029)</formula>
    </cfRule>
  </conditionalFormatting>
  <conditionalFormatting sqref="I16:I17">
    <cfRule type="expression" priority="11" dxfId="2">
      <formula>AND(DAY(TODAY())=5, MONTH(TODAY())=8, YEAR(TODAY())=2029)</formula>
    </cfRule>
  </conditionalFormatting>
  <conditionalFormatting sqref="J16:J17">
    <cfRule type="expression" priority="12" dxfId="2">
      <formula>AND(DAY(TODAY())=6, MONTH(TODAY())=8, YEAR(TODAY())=2029)</formula>
    </cfRule>
  </conditionalFormatting>
  <conditionalFormatting sqref="K16:K17">
    <cfRule type="expression" priority="13" dxfId="2">
      <formula>AND(DAY(TODAY())=7, MONTH(TODAY())=8, YEAR(TODAY())=2029)</formula>
    </cfRule>
  </conditionalFormatting>
  <conditionalFormatting sqref="L16:L17">
    <cfRule type="expression" priority="14" dxfId="2">
      <formula>AND(DAY(TODAY())=8, MONTH(TODAY())=8, YEAR(TODAY())=2029)</formula>
    </cfRule>
  </conditionalFormatting>
  <conditionalFormatting sqref="M16:M17">
    <cfRule type="expression" priority="15" dxfId="2">
      <formula>AND(DAY(TODAY())=9, MONTH(TODAY())=8, YEAR(TODAY())=2029)</formula>
    </cfRule>
  </conditionalFormatting>
  <conditionalFormatting sqref="N16:N17">
    <cfRule type="expression" priority="16" dxfId="2">
      <formula>AND(DAY(TODAY())=10, MONTH(TODAY())=8, YEAR(TODAY())=2029)</formula>
    </cfRule>
  </conditionalFormatting>
  <conditionalFormatting sqref="O16:O17">
    <cfRule type="expression" priority="17" dxfId="2">
      <formula>AND(DAY(TODAY())=11, MONTH(TODAY())=8, YEAR(TODAY())=2029)</formula>
    </cfRule>
  </conditionalFormatting>
  <conditionalFormatting sqref="P16:P17">
    <cfRule type="expression" priority="18" dxfId="2">
      <formula>AND(DAY(TODAY())=12, MONTH(TODAY())=8, YEAR(TODAY())=2029)</formula>
    </cfRule>
  </conditionalFormatting>
  <conditionalFormatting sqref="Q16:Q17">
    <cfRule type="expression" priority="19" dxfId="2">
      <formula>AND(DAY(TODAY())=13, MONTH(TODAY())=8, YEAR(TODAY())=2029)</formula>
    </cfRule>
  </conditionalFormatting>
  <conditionalFormatting sqref="R16:R17">
    <cfRule type="expression" priority="20" dxfId="2">
      <formula>AND(DAY(TODAY())=14, MONTH(TODAY())=8, YEAR(TODAY())=2029)</formula>
    </cfRule>
  </conditionalFormatting>
  <conditionalFormatting sqref="S16:S17">
    <cfRule type="expression" priority="21" dxfId="2">
      <formula>AND(DAY(TODAY())=15, MONTH(TODAY())=8, YEAR(TODAY())=2029)</formula>
    </cfRule>
  </conditionalFormatting>
  <conditionalFormatting sqref="T16:T17">
    <cfRule type="expression" priority="22" dxfId="2">
      <formula>AND(DAY(TODAY())=16, MONTH(TODAY())=8, YEAR(TODAY())=2029)</formula>
    </cfRule>
  </conditionalFormatting>
  <conditionalFormatting sqref="U16:U17">
    <cfRule type="expression" priority="23" dxfId="2">
      <formula>AND(DAY(TODAY())=17, MONTH(TODAY())=8, YEAR(TODAY())=2029)</formula>
    </cfRule>
  </conditionalFormatting>
  <conditionalFormatting sqref="V16:V17">
    <cfRule type="expression" priority="24" dxfId="2">
      <formula>AND(DAY(TODAY())=18, MONTH(TODAY())=8, YEAR(TODAY())=2029)</formula>
    </cfRule>
  </conditionalFormatting>
  <conditionalFormatting sqref="W16:W17">
    <cfRule type="expression" priority="25" dxfId="2">
      <formula>AND(DAY(TODAY())=19, MONTH(TODAY())=8, YEAR(TODAY())=2029)</formula>
    </cfRule>
  </conditionalFormatting>
  <conditionalFormatting sqref="X16:X17">
    <cfRule type="expression" priority="26" dxfId="2">
      <formula>AND(DAY(TODAY())=20, MONTH(TODAY())=8, YEAR(TODAY())=2029)</formula>
    </cfRule>
  </conditionalFormatting>
  <conditionalFormatting sqref="Y16:Y17">
    <cfRule type="expression" priority="27" dxfId="2">
      <formula>AND(DAY(TODAY())=21, MONTH(TODAY())=8, YEAR(TODAY())=2029)</formula>
    </cfRule>
  </conditionalFormatting>
  <conditionalFormatting sqref="Z16:Z17">
    <cfRule type="expression" priority="28" dxfId="2">
      <formula>AND(DAY(TODAY())=22, MONTH(TODAY())=8, YEAR(TODAY())=2029)</formula>
    </cfRule>
  </conditionalFormatting>
  <conditionalFormatting sqref="AA16:AA17">
    <cfRule type="expression" priority="29" dxfId="2">
      <formula>AND(DAY(TODAY())=23, MONTH(TODAY())=8, YEAR(TODAY())=2029)</formula>
    </cfRule>
  </conditionalFormatting>
  <conditionalFormatting sqref="AB16:AB17">
    <cfRule type="expression" priority="30" dxfId="2">
      <formula>AND(DAY(TODAY())=24, MONTH(TODAY())=8, YEAR(TODAY())=2029)</formula>
    </cfRule>
  </conditionalFormatting>
  <conditionalFormatting sqref="AC16:AC17">
    <cfRule type="expression" priority="31" dxfId="2">
      <formula>AND(DAY(TODAY())=25, MONTH(TODAY())=8, YEAR(TODAY())=2029)</formula>
    </cfRule>
  </conditionalFormatting>
  <conditionalFormatting sqref="AD16:AD17">
    <cfRule type="expression" priority="32" dxfId="2">
      <formula>AND(DAY(TODAY())=26, MONTH(TODAY())=8, YEAR(TODAY())=2029)</formula>
    </cfRule>
  </conditionalFormatting>
  <conditionalFormatting sqref="AE16:AE17">
    <cfRule type="expression" priority="33" dxfId="2">
      <formula>AND(DAY(TODAY())=27, MONTH(TODAY())=8, YEAR(TODAY())=2029)</formula>
    </cfRule>
  </conditionalFormatting>
  <conditionalFormatting sqref="AF16:AF17">
    <cfRule type="expression" priority="34" dxfId="2">
      <formula>AND(DAY(TODAY())=28, MONTH(TODAY())=8, YEAR(TODAY())=2029)</formula>
    </cfRule>
  </conditionalFormatting>
  <conditionalFormatting sqref="AG16:AG17">
    <cfRule type="expression" priority="35" dxfId="2">
      <formula>AND(DAY(TODAY())=29, MONTH(TODAY())=8, YEAR(TODAY())=2029)</formula>
    </cfRule>
  </conditionalFormatting>
  <conditionalFormatting sqref="AH16:AH17">
    <cfRule type="expression" priority="36" dxfId="2">
      <formula>AND(DAY(TODAY())=30, MONTH(TODAY())=8, YEAR(TODAY())=2029)</formula>
    </cfRule>
  </conditionalFormatting>
  <conditionalFormatting sqref="AI16:AI17">
    <cfRule type="expression" priority="37" dxfId="2">
      <formula>AND(DAY(TODAY())=31, MONTH(TODAY())=8, YEAR(TODAY())=2029)</formula>
    </cfRule>
  </conditionalFormatting>
  <dataValidations count="4">
    <dataValidation sqref="C18:C37" showDropDown="0" showInputMessage="0" showErrorMessage="0" allowBlank="1" type="list">
      <formula1>"Health &amp; Fitness,Mindset &amp; Learning,Career &amp; Focus,Personal &amp; Home,Finance &amp; Wealth,Other"</formula1>
    </dataValidation>
    <dataValidation sqref="D18:D37" showDropDown="0" showInputMessage="0" showErrorMessage="0" allowBlank="1" type="list">
      <formula1>"1,2,3,4,5,6,7,8,9,10,11,12,13,14,15,16,17,18,19,20,21,22,23,24,25,26,27,28,29,30,31"</formula1>
    </dataValidation>
    <dataValidation sqref="E18:AI37" showDropDown="0" showInputMessage="0" showErrorMessage="0" allowBlank="1" type="list">
      <formula1>"✓,✗"</formula1>
    </dataValidation>
    <dataValidation sqref="E47:AI47" showDropDown="0" showInputMessage="0" showErrorMessage="0" allowBlank="1" type="list">
      <formula1>"1,2,3,4,5,6,7,8,9,10,11,12,13,14,15,16,17,18,19,20,21,22,23,24"</formula1>
    </dataValidation>
  </dataValidations>
  <hyperlinks>
    <hyperlink xmlns:r="http://schemas.openxmlformats.org/officeDocument/2006/relationships" ref="A1" r:id="rId1"/>
    <hyperlink xmlns:r="http://schemas.openxmlformats.org/officeDocument/2006/relationships" ref="C1" r:id="rId2"/>
    <hyperlink xmlns:r="http://schemas.openxmlformats.org/officeDocument/2006/relationships" ref="D1" r:id="rId3"/>
    <hyperlink xmlns:r="http://schemas.openxmlformats.org/officeDocument/2006/relationships" ref="E1" r:id="rId4"/>
    <hyperlink xmlns:r="http://schemas.openxmlformats.org/officeDocument/2006/relationships" ref="F1" r:id="rId5"/>
    <hyperlink xmlns:r="http://schemas.openxmlformats.org/officeDocument/2006/relationships" ref="G1" r:id="rId6"/>
    <hyperlink xmlns:r="http://schemas.openxmlformats.org/officeDocument/2006/relationships" ref="H1" r:id="rId7"/>
    <hyperlink xmlns:r="http://schemas.openxmlformats.org/officeDocument/2006/relationships" ref="I1" r:id="rId8"/>
    <hyperlink xmlns:r="http://schemas.openxmlformats.org/officeDocument/2006/relationships" ref="J1" r:id="rId9"/>
    <hyperlink xmlns:r="http://schemas.openxmlformats.org/officeDocument/2006/relationships" ref="K1" r:id="rId10"/>
  </hyperlinks>
  <printOptions horizontalCentered="1" verticalCentered="0"/>
  <pageMargins left="0.75" right="0.75" top="1" bottom="1" header="0.5" footer="0.5"/>
  <pageSetup orientation="landscape" paperSize="9" fitToHeight="0" fitToWidth="1"/>
  <drawing xmlns:r="http://schemas.openxmlformats.org/officeDocument/2006/relationships" r:id="rId11"/>
</worksheet>
</file>

<file path=xl/worksheets/sheet40.xml><?xml version="1.0" encoding="utf-8"?>
<worksheet xmlns="http://schemas.openxmlformats.org/spreadsheetml/2006/main">
  <sheetPr>
    <outlinePr summaryBelow="1" summaryRight="1"/>
    <pageSetUpPr fitToPage="1"/>
  </sheetPr>
  <dimension ref="A1:AL103"/>
  <sheetViews>
    <sheetView showGridLines="1" workbookViewId="0">
      <selection activeCell="A1" sqref="A1"/>
    </sheetView>
  </sheetViews>
  <sheetFormatPr baseColWidth="8" defaultRowHeight="15"/>
  <cols>
    <col width="6" customWidth="1" min="1" max="1"/>
    <col width="25" customWidth="1" min="2" max="2"/>
    <col width="16.5" customWidth="1" min="3" max="3"/>
    <col width="8" customWidth="1" min="4" max="4"/>
    <col width="4.8" customWidth="1" min="5" max="5"/>
    <col width="4.8" customWidth="1" min="6" max="6"/>
    <col width="4.8" customWidth="1" min="7" max="7"/>
    <col width="4.8" customWidth="1" min="8" max="8"/>
    <col width="4.8" customWidth="1" min="9" max="9"/>
    <col width="4.8" customWidth="1" min="10" max="10"/>
    <col width="4.8" customWidth="1" min="11" max="11"/>
    <col width="4.8" customWidth="1" min="12" max="12"/>
    <col width="4.8" customWidth="1" min="13" max="13"/>
    <col width="4.8" customWidth="1" min="14" max="14"/>
    <col width="4.8" customWidth="1" min="15" max="15"/>
    <col width="4.8" customWidth="1" min="16" max="16"/>
    <col width="4.8" customWidth="1" min="17" max="17"/>
    <col width="4.8" customWidth="1" min="18" max="18"/>
    <col width="4.8" customWidth="1" min="19" max="19"/>
    <col width="4.8" customWidth="1" min="20" max="20"/>
    <col width="4.8" customWidth="1" min="21" max="21"/>
    <col width="4.8" customWidth="1" min="22" max="22"/>
    <col width="4.8" customWidth="1" min="23" max="23"/>
    <col width="4.8" customWidth="1" min="24" max="24"/>
    <col width="4.8" customWidth="1" min="25" max="25"/>
    <col width="4.8" customWidth="1" min="26" max="26"/>
    <col width="4.8" customWidth="1" min="27" max="27"/>
    <col width="4.8" customWidth="1" min="28" max="28"/>
    <col width="4.8" customWidth="1" min="29" max="29"/>
    <col width="4.8" customWidth="1" min="30" max="30"/>
    <col width="4.8" customWidth="1" min="31" max="31"/>
    <col width="4.8" customWidth="1" min="32" max="32"/>
    <col width="4.8" customWidth="1" min="33" max="33"/>
    <col width="4.8" customWidth="1" min="34" max="34"/>
    <col width="11.5" customWidth="1" min="35" max="35"/>
    <col width="12" customWidth="1" min="36" max="36"/>
    <col width="13.5" customWidth="1" min="37" max="37"/>
    <col hidden="1" width="8" customWidth="1" min="38" max="38"/>
  </cols>
  <sheetData>
    <row r="1" ht="18" customHeight="1">
      <c r="A1" s="76" t="inlineStr">
        <is>
          <t>🏠 Master Dashboard</t>
        </is>
      </c>
      <c r="B1" s="40" t="n"/>
      <c r="C1" s="77" t="inlineStr">
        <is>
          <t>🏛️ Quarterly Hub</t>
        </is>
      </c>
      <c r="D1" s="78" t="inlineStr">
        <is>
          <t>📚 Habit Library</t>
        </is>
      </c>
      <c r="E1" s="80" t="inlineStr">
        <is>
          <t>2026</t>
        </is>
      </c>
      <c r="F1" s="80" t="inlineStr">
        <is>
          <t>2027</t>
        </is>
      </c>
      <c r="G1" s="80" t="inlineStr">
        <is>
          <t>2028</t>
        </is>
      </c>
      <c r="H1" s="79" t="inlineStr">
        <is>
          <t>2029</t>
        </is>
      </c>
      <c r="I1" s="80" t="inlineStr">
        <is>
          <t>2030</t>
        </is>
      </c>
      <c r="J1" s="82" t="inlineStr">
        <is>
          <t>◀ Prev</t>
        </is>
      </c>
      <c r="K1" s="82" t="inlineStr">
        <is>
          <t>Next ▶</t>
        </is>
      </c>
    </row>
    <row r="2" ht="24" customHeight="1">
      <c r="A2" s="83" t="inlineStr">
        <is>
          <t>Habit Tracker</t>
        </is>
      </c>
      <c r="H2" s="84" t="inlineStr">
        <is>
          <t>"Win the morning, win the day."</t>
        </is>
      </c>
      <c r="AD2" s="85" t="inlineStr">
        <is>
          <t>@surajvansh</t>
        </is>
      </c>
    </row>
    <row r="3" ht="18" customHeight="1">
      <c r="A3" s="86" t="inlineStr">
        <is>
          <t>September 2029</t>
        </is>
      </c>
      <c r="H3" s="87" t="inlineStr">
        <is>
          <t>30 Days Dashboard</t>
        </is>
      </c>
    </row>
    <row r="4" ht="5" customHeight="1"/>
    <row r="5" ht="16" customHeight="1">
      <c r="A5" s="88" t="inlineStr">
        <is>
          <t>MONTHLY TARGETS</t>
        </is>
      </c>
    </row>
    <row r="6" ht="13" customHeight="1">
      <c r="A6" s="89" t="inlineStr">
        <is>
          <t>1. ____________________ : ____________________</t>
        </is>
      </c>
      <c r="P6" s="89" t="inlineStr">
        <is>
          <t>5. ____________________ : ____________________</t>
        </is>
      </c>
    </row>
    <row r="7" ht="13" customHeight="1">
      <c r="A7" s="89" t="inlineStr">
        <is>
          <t>2. ____________________ : ____________________</t>
        </is>
      </c>
      <c r="P7" s="89" t="inlineStr">
        <is>
          <t>6. ____________________ : ____________________</t>
        </is>
      </c>
    </row>
    <row r="8" ht="13" customHeight="1">
      <c r="A8" s="89" t="inlineStr">
        <is>
          <t>3. ____________________ : ____________________</t>
        </is>
      </c>
      <c r="P8" s="89" t="inlineStr">
        <is>
          <t>7. ____________________ : ____________________</t>
        </is>
      </c>
    </row>
    <row r="9" ht="13" customHeight="1">
      <c r="A9" s="89" t="inlineStr">
        <is>
          <t>4. ____________________ : ____________________</t>
        </is>
      </c>
      <c r="P9" s="89" t="inlineStr">
        <is>
          <t>8. ____________________ : ____________________</t>
        </is>
      </c>
    </row>
    <row r="10" ht="5" customHeight="1"/>
    <row r="11" ht="15" customHeight="1">
      <c r="A11" s="88" t="inlineStr">
        <is>
          <t>NOTES:</t>
        </is>
      </c>
    </row>
    <row r="12" ht="13" customHeight="1">
      <c r="A12" s="90" t="n"/>
      <c r="B12" s="91" t="n"/>
      <c r="C12" s="91" t="n"/>
      <c r="D12" s="91" t="n"/>
      <c r="E12" s="91" t="n"/>
      <c r="F12" s="91" t="n"/>
      <c r="G12" s="91" t="n"/>
      <c r="H12" s="91" t="n"/>
      <c r="I12" s="91" t="n"/>
      <c r="J12" s="91" t="n"/>
      <c r="K12" s="91" t="n"/>
      <c r="L12" s="91" t="n"/>
      <c r="M12" s="91" t="n"/>
      <c r="N12" s="91" t="n"/>
      <c r="O12" s="91" t="n"/>
      <c r="P12" s="91" t="n"/>
      <c r="Q12" s="91" t="n"/>
      <c r="R12" s="91" t="n"/>
      <c r="S12" s="91" t="n"/>
      <c r="T12" s="91" t="n"/>
      <c r="U12" s="91" t="n"/>
      <c r="V12" s="91" t="n"/>
      <c r="W12" s="91" t="n"/>
      <c r="X12" s="91" t="n"/>
      <c r="Y12" s="91" t="n"/>
      <c r="Z12" s="91" t="n"/>
      <c r="AA12" s="91" t="n"/>
      <c r="AB12" s="91" t="n"/>
      <c r="AC12" s="91" t="n"/>
      <c r="AD12" s="91" t="n"/>
      <c r="AE12" s="91" t="n"/>
      <c r="AF12" s="91" t="n"/>
      <c r="AG12" s="91" t="n"/>
      <c r="AH12" s="91" t="n"/>
      <c r="AI12" s="91" t="n"/>
      <c r="AJ12" s="91" t="n"/>
      <c r="AK12" s="91" t="n"/>
    </row>
    <row r="13" ht="13" customHeight="1">
      <c r="A13" s="91" t="n"/>
      <c r="B13" s="91" t="n"/>
      <c r="C13" s="91" t="n"/>
      <c r="D13" s="91" t="n"/>
      <c r="E13" s="91" t="n"/>
      <c r="F13" s="91" t="n"/>
      <c r="G13" s="91" t="n"/>
      <c r="H13" s="91" t="n"/>
      <c r="I13" s="91" t="n"/>
      <c r="J13" s="91" t="n"/>
      <c r="K13" s="91" t="n"/>
      <c r="L13" s="91" t="n"/>
      <c r="M13" s="91" t="n"/>
      <c r="N13" s="91" t="n"/>
      <c r="O13" s="91" t="n"/>
      <c r="P13" s="91" t="n"/>
      <c r="Q13" s="91" t="n"/>
      <c r="R13" s="91" t="n"/>
      <c r="S13" s="91" t="n"/>
      <c r="T13" s="91" t="n"/>
      <c r="U13" s="91" t="n"/>
      <c r="V13" s="91" t="n"/>
      <c r="W13" s="91" t="n"/>
      <c r="X13" s="91" t="n"/>
      <c r="Y13" s="91" t="n"/>
      <c r="Z13" s="91" t="n"/>
      <c r="AA13" s="91" t="n"/>
      <c r="AB13" s="91" t="n"/>
      <c r="AC13" s="91" t="n"/>
      <c r="AD13" s="91" t="n"/>
      <c r="AE13" s="91" t="n"/>
      <c r="AF13" s="91" t="n"/>
      <c r="AG13" s="91" t="n"/>
      <c r="AH13" s="91" t="n"/>
      <c r="AI13" s="91" t="n"/>
      <c r="AJ13" s="91" t="n"/>
      <c r="AK13" s="91" t="n"/>
    </row>
    <row r="14" ht="13" customHeight="1">
      <c r="A14" s="91" t="n"/>
      <c r="B14" s="91" t="n"/>
      <c r="C14" s="91" t="n"/>
      <c r="D14" s="91" t="n"/>
      <c r="E14" s="91" t="n"/>
      <c r="F14" s="91" t="n"/>
      <c r="G14" s="91" t="n"/>
      <c r="H14" s="91" t="n"/>
      <c r="I14" s="91" t="n"/>
      <c r="J14" s="91" t="n"/>
      <c r="K14" s="91" t="n"/>
      <c r="L14" s="91" t="n"/>
      <c r="M14" s="91" t="n"/>
      <c r="N14" s="91" t="n"/>
      <c r="O14" s="91" t="n"/>
      <c r="P14" s="91" t="n"/>
      <c r="Q14" s="91" t="n"/>
      <c r="R14" s="91" t="n"/>
      <c r="S14" s="91" t="n"/>
      <c r="T14" s="91" t="n"/>
      <c r="U14" s="91" t="n"/>
      <c r="V14" s="91" t="n"/>
      <c r="W14" s="91" t="n"/>
      <c r="X14" s="91" t="n"/>
      <c r="Y14" s="91" t="n"/>
      <c r="Z14" s="91" t="n"/>
      <c r="AA14" s="91" t="n"/>
      <c r="AB14" s="91" t="n"/>
      <c r="AC14" s="91" t="n"/>
      <c r="AD14" s="91" t="n"/>
      <c r="AE14" s="91" t="n"/>
      <c r="AF14" s="91" t="n"/>
      <c r="AG14" s="91" t="n"/>
      <c r="AH14" s="91" t="n"/>
      <c r="AI14" s="91" t="n"/>
      <c r="AJ14" s="91" t="n"/>
      <c r="AK14" s="91" t="n"/>
    </row>
    <row r="15" ht="8" customHeight="1"/>
    <row r="16" ht="15" customHeight="1">
      <c r="A16" s="33" t="inlineStr">
        <is>
          <t>S.No.</t>
        </is>
      </c>
      <c r="B16" s="33" t="inlineStr">
        <is>
          <t>Protocols</t>
        </is>
      </c>
      <c r="C16" s="33" t="inlineStr">
        <is>
          <t>Category</t>
        </is>
      </c>
      <c r="D16" s="33" t="inlineStr">
        <is>
          <t>Target</t>
        </is>
      </c>
      <c r="E16" s="92" t="n">
        <v>1</v>
      </c>
      <c r="F16" s="93" t="n">
        <v>2</v>
      </c>
      <c r="G16" s="92" t="n">
        <v>3</v>
      </c>
      <c r="H16" s="92" t="n">
        <v>4</v>
      </c>
      <c r="I16" s="92" t="n">
        <v>5</v>
      </c>
      <c r="J16" s="92" t="n">
        <v>6</v>
      </c>
      <c r="K16" s="92" t="n">
        <v>7</v>
      </c>
      <c r="L16" s="92" t="n">
        <v>8</v>
      </c>
      <c r="M16" s="93" t="n">
        <v>9</v>
      </c>
      <c r="N16" s="92" t="n">
        <v>10</v>
      </c>
      <c r="O16" s="92" t="n">
        <v>11</v>
      </c>
      <c r="P16" s="92" t="n">
        <v>12</v>
      </c>
      <c r="Q16" s="92" t="n">
        <v>13</v>
      </c>
      <c r="R16" s="92" t="n">
        <v>14</v>
      </c>
      <c r="S16" s="92" t="n">
        <v>15</v>
      </c>
      <c r="T16" s="93" t="n">
        <v>16</v>
      </c>
      <c r="U16" s="92" t="n">
        <v>17</v>
      </c>
      <c r="V16" s="92" t="n">
        <v>18</v>
      </c>
      <c r="W16" s="92" t="n">
        <v>19</v>
      </c>
      <c r="X16" s="92" t="n">
        <v>20</v>
      </c>
      <c r="Y16" s="92" t="n">
        <v>21</v>
      </c>
      <c r="Z16" s="92" t="n">
        <v>22</v>
      </c>
      <c r="AA16" s="93" t="n">
        <v>23</v>
      </c>
      <c r="AB16" s="92" t="n">
        <v>24</v>
      </c>
      <c r="AC16" s="92" t="n">
        <v>25</v>
      </c>
      <c r="AD16" s="92" t="n">
        <v>26</v>
      </c>
      <c r="AE16" s="92" t="n">
        <v>27</v>
      </c>
      <c r="AF16" s="92" t="n">
        <v>28</v>
      </c>
      <c r="AG16" s="92" t="n">
        <v>29</v>
      </c>
      <c r="AH16" s="93" t="n">
        <v>30</v>
      </c>
      <c r="AI16" s="94" t="inlineStr">
        <is>
          <t>Success %</t>
        </is>
      </c>
      <c r="AJ16" s="94" t="inlineStr">
        <is>
          <t>Done / Target</t>
        </is>
      </c>
      <c r="AK16" s="94" t="inlineStr">
        <is>
          <t>Status</t>
        </is>
      </c>
      <c r="AL16" t="inlineStr">
        <is>
          <t>Done Count</t>
        </is>
      </c>
    </row>
    <row r="17" ht="15" customHeight="1">
      <c r="A17" s="54" t="n"/>
      <c r="B17" s="54" t="n"/>
      <c r="C17" s="54" t="n"/>
      <c r="D17" s="54" t="n"/>
      <c r="E17" s="95" t="inlineStr">
        <is>
          <t>Sa</t>
        </is>
      </c>
      <c r="F17" s="96" t="inlineStr">
        <is>
          <t>Su</t>
        </is>
      </c>
      <c r="G17" s="95" t="inlineStr">
        <is>
          <t>M</t>
        </is>
      </c>
      <c r="H17" s="95" t="inlineStr">
        <is>
          <t>T</t>
        </is>
      </c>
      <c r="I17" s="95" t="inlineStr">
        <is>
          <t>W</t>
        </is>
      </c>
      <c r="J17" s="95" t="inlineStr">
        <is>
          <t>Th</t>
        </is>
      </c>
      <c r="K17" s="95" t="inlineStr">
        <is>
          <t>F</t>
        </is>
      </c>
      <c r="L17" s="95" t="inlineStr">
        <is>
          <t>Sa</t>
        </is>
      </c>
      <c r="M17" s="96" t="inlineStr">
        <is>
          <t>Su</t>
        </is>
      </c>
      <c r="N17" s="95" t="inlineStr">
        <is>
          <t>M</t>
        </is>
      </c>
      <c r="O17" s="95" t="inlineStr">
        <is>
          <t>T</t>
        </is>
      </c>
      <c r="P17" s="95" t="inlineStr">
        <is>
          <t>W</t>
        </is>
      </c>
      <c r="Q17" s="95" t="inlineStr">
        <is>
          <t>Th</t>
        </is>
      </c>
      <c r="R17" s="95" t="inlineStr">
        <is>
          <t>F</t>
        </is>
      </c>
      <c r="S17" s="95" t="inlineStr">
        <is>
          <t>Sa</t>
        </is>
      </c>
      <c r="T17" s="96" t="inlineStr">
        <is>
          <t>Su</t>
        </is>
      </c>
      <c r="U17" s="95" t="inlineStr">
        <is>
          <t>M</t>
        </is>
      </c>
      <c r="V17" s="95" t="inlineStr">
        <is>
          <t>T</t>
        </is>
      </c>
      <c r="W17" s="95" t="inlineStr">
        <is>
          <t>W</t>
        </is>
      </c>
      <c r="X17" s="95" t="inlineStr">
        <is>
          <t>Th</t>
        </is>
      </c>
      <c r="Y17" s="95" t="inlineStr">
        <is>
          <t>F</t>
        </is>
      </c>
      <c r="Z17" s="95" t="inlineStr">
        <is>
          <t>Sa</t>
        </is>
      </c>
      <c r="AA17" s="96" t="inlineStr">
        <is>
          <t>Su</t>
        </is>
      </c>
      <c r="AB17" s="95" t="inlineStr">
        <is>
          <t>M</t>
        </is>
      </c>
      <c r="AC17" s="95" t="inlineStr">
        <is>
          <t>T</t>
        </is>
      </c>
      <c r="AD17" s="95" t="inlineStr">
        <is>
          <t>W</t>
        </is>
      </c>
      <c r="AE17" s="95" t="inlineStr">
        <is>
          <t>Th</t>
        </is>
      </c>
      <c r="AF17" s="95" t="inlineStr">
        <is>
          <t>F</t>
        </is>
      </c>
      <c r="AG17" s="95" t="inlineStr">
        <is>
          <t>Sa</t>
        </is>
      </c>
      <c r="AH17" s="96" t="inlineStr">
        <is>
          <t>Su</t>
        </is>
      </c>
      <c r="AI17" s="54" t="n"/>
      <c r="AJ17" s="54" t="n"/>
      <c r="AK17" s="54" t="n"/>
    </row>
    <row r="18" ht="14.5" customHeight="1">
      <c r="A18" s="97" t="n">
        <v>1</v>
      </c>
      <c r="B18" s="98" t="n"/>
      <c r="C18" s="99" t="n"/>
      <c r="D18" s="99" t="n"/>
      <c r="E18" s="100" t="n"/>
      <c r="F18" s="101" t="n"/>
      <c r="G18" s="100" t="n"/>
      <c r="H18" s="100" t="n"/>
      <c r="I18" s="100" t="n"/>
      <c r="J18" s="100" t="n"/>
      <c r="K18" s="100" t="n"/>
      <c r="L18" s="100" t="n"/>
      <c r="M18" s="101" t="n"/>
      <c r="N18" s="100" t="n"/>
      <c r="O18" s="100" t="n"/>
      <c r="P18" s="100" t="n"/>
      <c r="Q18" s="100" t="n"/>
      <c r="R18" s="100" t="n"/>
      <c r="S18" s="100" t="n"/>
      <c r="T18" s="101" t="n"/>
      <c r="U18" s="100" t="n"/>
      <c r="V18" s="100" t="n"/>
      <c r="W18" s="100" t="n"/>
      <c r="X18" s="100" t="n"/>
      <c r="Y18" s="100" t="n"/>
      <c r="Z18" s="100" t="n"/>
      <c r="AA18" s="101" t="n"/>
      <c r="AB18" s="100" t="n"/>
      <c r="AC18" s="100" t="n"/>
      <c r="AD18" s="100" t="n"/>
      <c r="AE18" s="100" t="n"/>
      <c r="AF18" s="100" t="n"/>
      <c r="AG18" s="100" t="n"/>
      <c r="AH18" s="101" t="n"/>
      <c r="AI18" s="102">
        <f>IF(ISBLANK(B18), "", IF(ISNUMBER(D18), IF(D18&gt;0, (COUNTIF(E18:AH18, "✓") + COUNTIF(E18:AH18, "✔") + COUNTIF(E18:AH18, "v") + COUNTIF(E18:AH18, "V"))/D18, 0), IF(((COUNTIF(E18:AH18, "✓") + COUNTIF(E18:AH18, "✔") + COUNTIF(E18:AH18, "v") + COUNTIF(E18:AH18, "V")) + COUNTIF(E18:AH18, "✗") + COUNTIF(E18:AH18, "x") + COUNTIF(E18:AH18, "X"))&gt;0, (COUNTIF(E18:AH18, "✓") + COUNTIF(E18:AH18, "✔") + COUNTIF(E18:AH18, "v") + COUNTIF(E18:AH18, "V"))/((COUNTIF(E18:AH18, "✓") + COUNTIF(E18:AH18, "✔") + COUNTIF(E18:AH18, "v") + COUNTIF(E18:AH18, "V")) + COUNTIF(E18:AH18, "✗") + COUNTIF(E18:AH18, "x") + COUNTIF(E18:AH18, "X")), "")))</f>
        <v/>
      </c>
      <c r="AJ18" s="103">
        <f>IF(ISBLANK(B18), "", IF(ISNUMBER(D18), IF(D18&gt;0, (COUNTIF(E18:AH18, "✓") + COUNTIF(E18:AH18, "✔") + COUNTIF(E18:AH18, "v") + COUNTIF(E18:AH18, "V")) &amp; "/" &amp; D18, (COUNTIF(E18:AH18, "✓") + COUNTIF(E18:AH18, "✔") + COUNTIF(E18:AH18, "v") + COUNTIF(E18:AH18, "V")) &amp; "/0"), IF(((COUNTIF(E18:AH18, "✓") + COUNTIF(E18:AH18, "✔") + COUNTIF(E18:AH18, "v") + COUNTIF(E18:AH18, "V")) + COUNTIF(E18:AH18, "✗") + COUNTIF(E18:AH18, "x") + COUNTIF(E18:AH18, "X"))&gt;0, (COUNTIF(E18:AH18, "✓") + COUNTIF(E18:AH18, "✔") + COUNTIF(E18:AH18, "v") + COUNTIF(E18:AH18, "V")) &amp; "/" &amp; ((COUNTIF(E18:AH18, "✓") + COUNTIF(E18:AH18, "✔") + COUNTIF(E18:AH18, "v") + COUNTIF(E18:AH18, "V")) + COUNTIF(E18:AH18, "✗") + COUNTIF(E18:AH18, "x") + COUNTIF(E18:AH18, "X")), "")))</f>
        <v/>
      </c>
      <c r="AK18" s="103">
        <f>IF(ISBLANK(B18), "", IF(AI18&gt;=0.85, "🔥 Mastered", IF(AI18&gt;=0.7, "⚡ Consistent", "⚠️ Needs Focus")))</f>
        <v/>
      </c>
      <c r="AL18">
        <f>COUNTIF(E18:AH18, "✓")</f>
        <v/>
      </c>
    </row>
    <row r="19" ht="14.5" customHeight="1">
      <c r="A19" s="97" t="n">
        <v>2</v>
      </c>
      <c r="B19" s="98" t="n"/>
      <c r="C19" s="99" t="n"/>
      <c r="D19" s="99" t="n"/>
      <c r="E19" s="100" t="n"/>
      <c r="F19" s="101" t="n"/>
      <c r="G19" s="100" t="n"/>
      <c r="H19" s="100" t="n"/>
      <c r="I19" s="100" t="n"/>
      <c r="J19" s="100" t="n"/>
      <c r="K19" s="100" t="n"/>
      <c r="L19" s="100" t="n"/>
      <c r="M19" s="101" t="n"/>
      <c r="N19" s="100" t="n"/>
      <c r="O19" s="100" t="n"/>
      <c r="P19" s="100" t="n"/>
      <c r="Q19" s="100" t="n"/>
      <c r="R19" s="100" t="n"/>
      <c r="S19" s="100" t="n"/>
      <c r="T19" s="101" t="n"/>
      <c r="U19" s="100" t="n"/>
      <c r="V19" s="100" t="n"/>
      <c r="W19" s="100" t="n"/>
      <c r="X19" s="100" t="n"/>
      <c r="Y19" s="100" t="n"/>
      <c r="Z19" s="100" t="n"/>
      <c r="AA19" s="101" t="n"/>
      <c r="AB19" s="100" t="n"/>
      <c r="AC19" s="100" t="n"/>
      <c r="AD19" s="100" t="n"/>
      <c r="AE19" s="100" t="n"/>
      <c r="AF19" s="100" t="n"/>
      <c r="AG19" s="100" t="n"/>
      <c r="AH19" s="101" t="n"/>
      <c r="AI19" s="102">
        <f>IF(ISBLANK(B19), "", IF(ISNUMBER(D19), IF(D19&gt;0, (COUNTIF(E19:AH19, "✓") + COUNTIF(E19:AH19, "✔") + COUNTIF(E19:AH19, "v") + COUNTIF(E19:AH19, "V"))/D19, 0), IF(((COUNTIF(E19:AH19, "✓") + COUNTIF(E19:AH19, "✔") + COUNTIF(E19:AH19, "v") + COUNTIF(E19:AH19, "V")) + COUNTIF(E19:AH19, "✗") + COUNTIF(E19:AH19, "x") + COUNTIF(E19:AH19, "X"))&gt;0, (COUNTIF(E19:AH19, "✓") + COUNTIF(E19:AH19, "✔") + COUNTIF(E19:AH19, "v") + COUNTIF(E19:AH19, "V"))/((COUNTIF(E19:AH19, "✓") + COUNTIF(E19:AH19, "✔") + COUNTIF(E19:AH19, "v") + COUNTIF(E19:AH19, "V")) + COUNTIF(E19:AH19, "✗") + COUNTIF(E19:AH19, "x") + COUNTIF(E19:AH19, "X")), "")))</f>
        <v/>
      </c>
      <c r="AJ19" s="103">
        <f>IF(ISBLANK(B19), "", IF(ISNUMBER(D19), IF(D19&gt;0, (COUNTIF(E19:AH19, "✓") + COUNTIF(E19:AH19, "✔") + COUNTIF(E19:AH19, "v") + COUNTIF(E19:AH19, "V")) &amp; "/" &amp; D19, (COUNTIF(E19:AH19, "✓") + COUNTIF(E19:AH19, "✔") + COUNTIF(E19:AH19, "v") + COUNTIF(E19:AH19, "V")) &amp; "/0"), IF(((COUNTIF(E19:AH19, "✓") + COUNTIF(E19:AH19, "✔") + COUNTIF(E19:AH19, "v") + COUNTIF(E19:AH19, "V")) + COUNTIF(E19:AH19, "✗") + COUNTIF(E19:AH19, "x") + COUNTIF(E19:AH19, "X"))&gt;0, (COUNTIF(E19:AH19, "✓") + COUNTIF(E19:AH19, "✔") + COUNTIF(E19:AH19, "v") + COUNTIF(E19:AH19, "V")) &amp; "/" &amp; ((COUNTIF(E19:AH19, "✓") + COUNTIF(E19:AH19, "✔") + COUNTIF(E19:AH19, "v") + COUNTIF(E19:AH19, "V")) + COUNTIF(E19:AH19, "✗") + COUNTIF(E19:AH19, "x") + COUNTIF(E19:AH19, "X")), "")))</f>
        <v/>
      </c>
      <c r="AK19" s="103">
        <f>IF(ISBLANK(B19), "", IF(AI19&gt;=0.85, "🔥 Mastered", IF(AI19&gt;=0.7, "⚡ Consistent", "⚠️ Needs Focus")))</f>
        <v/>
      </c>
      <c r="AL19">
        <f>COUNTIF(E19:AH19, "✓")</f>
        <v/>
      </c>
    </row>
    <row r="20" ht="14.5" customHeight="1">
      <c r="A20" s="97" t="n">
        <v>3</v>
      </c>
      <c r="B20" s="98" t="n"/>
      <c r="C20" s="99" t="n"/>
      <c r="D20" s="99" t="n"/>
      <c r="E20" s="100" t="n"/>
      <c r="F20" s="101" t="n"/>
      <c r="G20" s="100" t="n"/>
      <c r="H20" s="100" t="n"/>
      <c r="I20" s="100" t="n"/>
      <c r="J20" s="100" t="n"/>
      <c r="K20" s="100" t="n"/>
      <c r="L20" s="100" t="n"/>
      <c r="M20" s="101" t="n"/>
      <c r="N20" s="100" t="n"/>
      <c r="O20" s="100" t="n"/>
      <c r="P20" s="100" t="n"/>
      <c r="Q20" s="100" t="n"/>
      <c r="R20" s="100" t="n"/>
      <c r="S20" s="100" t="n"/>
      <c r="T20" s="101" t="n"/>
      <c r="U20" s="100" t="n"/>
      <c r="V20" s="100" t="n"/>
      <c r="W20" s="100" t="n"/>
      <c r="X20" s="100" t="n"/>
      <c r="Y20" s="100" t="n"/>
      <c r="Z20" s="100" t="n"/>
      <c r="AA20" s="101" t="n"/>
      <c r="AB20" s="100" t="n"/>
      <c r="AC20" s="100" t="n"/>
      <c r="AD20" s="100" t="n"/>
      <c r="AE20" s="100" t="n"/>
      <c r="AF20" s="100" t="n"/>
      <c r="AG20" s="100" t="n"/>
      <c r="AH20" s="101" t="n"/>
      <c r="AI20" s="102">
        <f>IF(ISBLANK(B20), "", IF(ISNUMBER(D20), IF(D20&gt;0, (COUNTIF(E20:AH20, "✓") + COUNTIF(E20:AH20, "✔") + COUNTIF(E20:AH20, "v") + COUNTIF(E20:AH20, "V"))/D20, 0), IF(((COUNTIF(E20:AH20, "✓") + COUNTIF(E20:AH20, "✔") + COUNTIF(E20:AH20, "v") + COUNTIF(E20:AH20, "V")) + COUNTIF(E20:AH20, "✗") + COUNTIF(E20:AH20, "x") + COUNTIF(E20:AH20, "X"))&gt;0, (COUNTIF(E20:AH20, "✓") + COUNTIF(E20:AH20, "✔") + COUNTIF(E20:AH20, "v") + COUNTIF(E20:AH20, "V"))/((COUNTIF(E20:AH20, "✓") + COUNTIF(E20:AH20, "✔") + COUNTIF(E20:AH20, "v") + COUNTIF(E20:AH20, "V")) + COUNTIF(E20:AH20, "✗") + COUNTIF(E20:AH20, "x") + COUNTIF(E20:AH20, "X")), "")))</f>
        <v/>
      </c>
      <c r="AJ20" s="103">
        <f>IF(ISBLANK(B20), "", IF(ISNUMBER(D20), IF(D20&gt;0, (COUNTIF(E20:AH20, "✓") + COUNTIF(E20:AH20, "✔") + COUNTIF(E20:AH20, "v") + COUNTIF(E20:AH20, "V")) &amp; "/" &amp; D20, (COUNTIF(E20:AH20, "✓") + COUNTIF(E20:AH20, "✔") + COUNTIF(E20:AH20, "v") + COUNTIF(E20:AH20, "V")) &amp; "/0"), IF(((COUNTIF(E20:AH20, "✓") + COUNTIF(E20:AH20, "✔") + COUNTIF(E20:AH20, "v") + COUNTIF(E20:AH20, "V")) + COUNTIF(E20:AH20, "✗") + COUNTIF(E20:AH20, "x") + COUNTIF(E20:AH20, "X"))&gt;0, (COUNTIF(E20:AH20, "✓") + COUNTIF(E20:AH20, "✔") + COUNTIF(E20:AH20, "v") + COUNTIF(E20:AH20, "V")) &amp; "/" &amp; ((COUNTIF(E20:AH20, "✓") + COUNTIF(E20:AH20, "✔") + COUNTIF(E20:AH20, "v") + COUNTIF(E20:AH20, "V")) + COUNTIF(E20:AH20, "✗") + COUNTIF(E20:AH20, "x") + COUNTIF(E20:AH20, "X")), "")))</f>
        <v/>
      </c>
      <c r="AK20" s="103">
        <f>IF(ISBLANK(B20), "", IF(AI20&gt;=0.85, "🔥 Mastered", IF(AI20&gt;=0.7, "⚡ Consistent", "⚠️ Needs Focus")))</f>
        <v/>
      </c>
      <c r="AL20">
        <f>COUNTIF(E20:AH20, "✓")</f>
        <v/>
      </c>
    </row>
    <row r="21" ht="14.5" customHeight="1">
      <c r="A21" s="97" t="n">
        <v>4</v>
      </c>
      <c r="B21" s="98" t="n"/>
      <c r="C21" s="99" t="n"/>
      <c r="D21" s="99" t="n"/>
      <c r="E21" s="100" t="n"/>
      <c r="F21" s="101" t="n"/>
      <c r="G21" s="100" t="n"/>
      <c r="H21" s="100" t="n"/>
      <c r="I21" s="100" t="n"/>
      <c r="J21" s="100" t="n"/>
      <c r="K21" s="100" t="n"/>
      <c r="L21" s="100" t="n"/>
      <c r="M21" s="101" t="n"/>
      <c r="N21" s="100" t="n"/>
      <c r="O21" s="100" t="n"/>
      <c r="P21" s="100" t="n"/>
      <c r="Q21" s="100" t="n"/>
      <c r="R21" s="100" t="n"/>
      <c r="S21" s="100" t="n"/>
      <c r="T21" s="101" t="n"/>
      <c r="U21" s="100" t="n"/>
      <c r="V21" s="100" t="n"/>
      <c r="W21" s="100" t="n"/>
      <c r="X21" s="100" t="n"/>
      <c r="Y21" s="100" t="n"/>
      <c r="Z21" s="100" t="n"/>
      <c r="AA21" s="101" t="n"/>
      <c r="AB21" s="100" t="n"/>
      <c r="AC21" s="100" t="n"/>
      <c r="AD21" s="100" t="n"/>
      <c r="AE21" s="100" t="n"/>
      <c r="AF21" s="100" t="n"/>
      <c r="AG21" s="100" t="n"/>
      <c r="AH21" s="101" t="n"/>
      <c r="AI21" s="102">
        <f>IF(ISBLANK(B21), "", IF(ISNUMBER(D21), IF(D21&gt;0, (COUNTIF(E21:AH21, "✓") + COUNTIF(E21:AH21, "✔") + COUNTIF(E21:AH21, "v") + COUNTIF(E21:AH21, "V"))/D21, 0), IF(((COUNTIF(E21:AH21, "✓") + COUNTIF(E21:AH21, "✔") + COUNTIF(E21:AH21, "v") + COUNTIF(E21:AH21, "V")) + COUNTIF(E21:AH21, "✗") + COUNTIF(E21:AH21, "x") + COUNTIF(E21:AH21, "X"))&gt;0, (COUNTIF(E21:AH21, "✓") + COUNTIF(E21:AH21, "✔") + COUNTIF(E21:AH21, "v") + COUNTIF(E21:AH21, "V"))/((COUNTIF(E21:AH21, "✓") + COUNTIF(E21:AH21, "✔") + COUNTIF(E21:AH21, "v") + COUNTIF(E21:AH21, "V")) + COUNTIF(E21:AH21, "✗") + COUNTIF(E21:AH21, "x") + COUNTIF(E21:AH21, "X")), "")))</f>
        <v/>
      </c>
      <c r="AJ21" s="103">
        <f>IF(ISBLANK(B21), "", IF(ISNUMBER(D21), IF(D21&gt;0, (COUNTIF(E21:AH21, "✓") + COUNTIF(E21:AH21, "✔") + COUNTIF(E21:AH21, "v") + COUNTIF(E21:AH21, "V")) &amp; "/" &amp; D21, (COUNTIF(E21:AH21, "✓") + COUNTIF(E21:AH21, "✔") + COUNTIF(E21:AH21, "v") + COUNTIF(E21:AH21, "V")) &amp; "/0"), IF(((COUNTIF(E21:AH21, "✓") + COUNTIF(E21:AH21, "✔") + COUNTIF(E21:AH21, "v") + COUNTIF(E21:AH21, "V")) + COUNTIF(E21:AH21, "✗") + COUNTIF(E21:AH21, "x") + COUNTIF(E21:AH21, "X"))&gt;0, (COUNTIF(E21:AH21, "✓") + COUNTIF(E21:AH21, "✔") + COUNTIF(E21:AH21, "v") + COUNTIF(E21:AH21, "V")) &amp; "/" &amp; ((COUNTIF(E21:AH21, "✓") + COUNTIF(E21:AH21, "✔") + COUNTIF(E21:AH21, "v") + COUNTIF(E21:AH21, "V")) + COUNTIF(E21:AH21, "✗") + COUNTIF(E21:AH21, "x") + COUNTIF(E21:AH21, "X")), "")))</f>
        <v/>
      </c>
      <c r="AK21" s="103">
        <f>IF(ISBLANK(B21), "", IF(AI21&gt;=0.85, "🔥 Mastered", IF(AI21&gt;=0.7, "⚡ Consistent", "⚠️ Needs Focus")))</f>
        <v/>
      </c>
      <c r="AL21">
        <f>COUNTIF(E21:AH21, "✓")</f>
        <v/>
      </c>
    </row>
    <row r="22" ht="14.5" customHeight="1">
      <c r="A22" s="104" t="n">
        <v>5</v>
      </c>
      <c r="B22" s="105" t="n"/>
      <c r="C22" s="106" t="n"/>
      <c r="D22" s="106" t="n"/>
      <c r="E22" s="107" t="n"/>
      <c r="F22" s="108" t="n"/>
      <c r="G22" s="107" t="n"/>
      <c r="H22" s="107" t="n"/>
      <c r="I22" s="107" t="n"/>
      <c r="J22" s="107" t="n"/>
      <c r="K22" s="107" t="n"/>
      <c r="L22" s="107" t="n"/>
      <c r="M22" s="108" t="n"/>
      <c r="N22" s="107" t="n"/>
      <c r="O22" s="107" t="n"/>
      <c r="P22" s="107" t="n"/>
      <c r="Q22" s="107" t="n"/>
      <c r="R22" s="107" t="n"/>
      <c r="S22" s="107" t="n"/>
      <c r="T22" s="108" t="n"/>
      <c r="U22" s="107" t="n"/>
      <c r="V22" s="107" t="n"/>
      <c r="W22" s="107" t="n"/>
      <c r="X22" s="107" t="n"/>
      <c r="Y22" s="107" t="n"/>
      <c r="Z22" s="107" t="n"/>
      <c r="AA22" s="108" t="n"/>
      <c r="AB22" s="107" t="n"/>
      <c r="AC22" s="107" t="n"/>
      <c r="AD22" s="107" t="n"/>
      <c r="AE22" s="107" t="n"/>
      <c r="AF22" s="107" t="n"/>
      <c r="AG22" s="107" t="n"/>
      <c r="AH22" s="108" t="n"/>
      <c r="AI22" s="109">
        <f>IF(ISBLANK(B22), "", IF(ISNUMBER(D22), IF(D22&gt;0, (COUNTIF(E22:AH22, "✓") + COUNTIF(E22:AH22, "✔") + COUNTIF(E22:AH22, "v") + COUNTIF(E22:AH22, "V"))/D22, 0), IF(((COUNTIF(E22:AH22, "✓") + COUNTIF(E22:AH22, "✔") + COUNTIF(E22:AH22, "v") + COUNTIF(E22:AH22, "V")) + COUNTIF(E22:AH22, "✗") + COUNTIF(E22:AH22, "x") + COUNTIF(E22:AH22, "X"))&gt;0, (COUNTIF(E22:AH22, "✓") + COUNTIF(E22:AH22, "✔") + COUNTIF(E22:AH22, "v") + COUNTIF(E22:AH22, "V"))/((COUNTIF(E22:AH22, "✓") + COUNTIF(E22:AH22, "✔") + COUNTIF(E22:AH22, "v") + COUNTIF(E22:AH22, "V")) + COUNTIF(E22:AH22, "✗") + COUNTIF(E22:AH22, "x") + COUNTIF(E22:AH22, "X")), "")))</f>
        <v/>
      </c>
      <c r="AJ22" s="110">
        <f>IF(ISBLANK(B22), "", IF(ISNUMBER(D22), IF(D22&gt;0, (COUNTIF(E22:AH22, "✓") + COUNTIF(E22:AH22, "✔") + COUNTIF(E22:AH22, "v") + COUNTIF(E22:AH22, "V")) &amp; "/" &amp; D22, (COUNTIF(E22:AH22, "✓") + COUNTIF(E22:AH22, "✔") + COUNTIF(E22:AH22, "v") + COUNTIF(E22:AH22, "V")) &amp; "/0"), IF(((COUNTIF(E22:AH22, "✓") + COUNTIF(E22:AH22, "✔") + COUNTIF(E22:AH22, "v") + COUNTIF(E22:AH22, "V")) + COUNTIF(E22:AH22, "✗") + COUNTIF(E22:AH22, "x") + COUNTIF(E22:AH22, "X"))&gt;0, (COUNTIF(E22:AH22, "✓") + COUNTIF(E22:AH22, "✔") + COUNTIF(E22:AH22, "v") + COUNTIF(E22:AH22, "V")) &amp; "/" &amp; ((COUNTIF(E22:AH22, "✓") + COUNTIF(E22:AH22, "✔") + COUNTIF(E22:AH22, "v") + COUNTIF(E22:AH22, "V")) + COUNTIF(E22:AH22, "✗") + COUNTIF(E22:AH22, "x") + COUNTIF(E22:AH22, "X")), "")))</f>
        <v/>
      </c>
      <c r="AK22" s="110">
        <f>IF(ISBLANK(B22), "", IF(AI22&gt;=0.85, "🔥 Mastered", IF(AI22&gt;=0.7, "⚡ Consistent", "⚠️ Needs Focus")))</f>
        <v/>
      </c>
      <c r="AL22">
        <f>COUNTIF(E22:AH22, "✓")</f>
        <v/>
      </c>
    </row>
    <row r="23" ht="14.5" customHeight="1">
      <c r="A23" s="104" t="n">
        <v>6</v>
      </c>
      <c r="B23" s="105" t="n"/>
      <c r="C23" s="106" t="n"/>
      <c r="D23" s="106" t="n"/>
      <c r="E23" s="107" t="n"/>
      <c r="F23" s="108" t="n"/>
      <c r="G23" s="107" t="n"/>
      <c r="H23" s="107" t="n"/>
      <c r="I23" s="107" t="n"/>
      <c r="J23" s="107" t="n"/>
      <c r="K23" s="107" t="n"/>
      <c r="L23" s="107" t="n"/>
      <c r="M23" s="108" t="n"/>
      <c r="N23" s="107" t="n"/>
      <c r="O23" s="107" t="n"/>
      <c r="P23" s="107" t="n"/>
      <c r="Q23" s="107" t="n"/>
      <c r="R23" s="107" t="n"/>
      <c r="S23" s="107" t="n"/>
      <c r="T23" s="108" t="n"/>
      <c r="U23" s="107" t="n"/>
      <c r="V23" s="107" t="n"/>
      <c r="W23" s="107" t="n"/>
      <c r="X23" s="107" t="n"/>
      <c r="Y23" s="107" t="n"/>
      <c r="Z23" s="107" t="n"/>
      <c r="AA23" s="108" t="n"/>
      <c r="AB23" s="107" t="n"/>
      <c r="AC23" s="107" t="n"/>
      <c r="AD23" s="107" t="n"/>
      <c r="AE23" s="107" t="n"/>
      <c r="AF23" s="107" t="n"/>
      <c r="AG23" s="107" t="n"/>
      <c r="AH23" s="108" t="n"/>
      <c r="AI23" s="109">
        <f>IF(ISBLANK(B23), "", IF(ISNUMBER(D23), IF(D23&gt;0, (COUNTIF(E23:AH23, "✓") + COUNTIF(E23:AH23, "✔") + COUNTIF(E23:AH23, "v") + COUNTIF(E23:AH23, "V"))/D23, 0), IF(((COUNTIF(E23:AH23, "✓") + COUNTIF(E23:AH23, "✔") + COUNTIF(E23:AH23, "v") + COUNTIF(E23:AH23, "V")) + COUNTIF(E23:AH23, "✗") + COUNTIF(E23:AH23, "x") + COUNTIF(E23:AH23, "X"))&gt;0, (COUNTIF(E23:AH23, "✓") + COUNTIF(E23:AH23, "✔") + COUNTIF(E23:AH23, "v") + COUNTIF(E23:AH23, "V"))/((COUNTIF(E23:AH23, "✓") + COUNTIF(E23:AH23, "✔") + COUNTIF(E23:AH23, "v") + COUNTIF(E23:AH23, "V")) + COUNTIF(E23:AH23, "✗") + COUNTIF(E23:AH23, "x") + COUNTIF(E23:AH23, "X")), "")))</f>
        <v/>
      </c>
      <c r="AJ23" s="110">
        <f>IF(ISBLANK(B23), "", IF(ISNUMBER(D23), IF(D23&gt;0, (COUNTIF(E23:AH23, "✓") + COUNTIF(E23:AH23, "✔") + COUNTIF(E23:AH23, "v") + COUNTIF(E23:AH23, "V")) &amp; "/" &amp; D23, (COUNTIF(E23:AH23, "✓") + COUNTIF(E23:AH23, "✔") + COUNTIF(E23:AH23, "v") + COUNTIF(E23:AH23, "V")) &amp; "/0"), IF(((COUNTIF(E23:AH23, "✓") + COUNTIF(E23:AH23, "✔") + COUNTIF(E23:AH23, "v") + COUNTIF(E23:AH23, "V")) + COUNTIF(E23:AH23, "✗") + COUNTIF(E23:AH23, "x") + COUNTIF(E23:AH23, "X"))&gt;0, (COUNTIF(E23:AH23, "✓") + COUNTIF(E23:AH23, "✔") + COUNTIF(E23:AH23, "v") + COUNTIF(E23:AH23, "V")) &amp; "/" &amp; ((COUNTIF(E23:AH23, "✓") + COUNTIF(E23:AH23, "✔") + COUNTIF(E23:AH23, "v") + COUNTIF(E23:AH23, "V")) + COUNTIF(E23:AH23, "✗") + COUNTIF(E23:AH23, "x") + COUNTIF(E23:AH23, "X")), "")))</f>
        <v/>
      </c>
      <c r="AK23" s="110">
        <f>IF(ISBLANK(B23), "", IF(AI23&gt;=0.85, "🔥 Mastered", IF(AI23&gt;=0.7, "⚡ Consistent", "⚠️ Needs Focus")))</f>
        <v/>
      </c>
      <c r="AL23">
        <f>COUNTIF(E23:AH23, "✓")</f>
        <v/>
      </c>
    </row>
    <row r="24" ht="14.5" customHeight="1">
      <c r="A24" s="104" t="n">
        <v>7</v>
      </c>
      <c r="B24" s="105" t="n"/>
      <c r="C24" s="106" t="n"/>
      <c r="D24" s="106" t="n"/>
      <c r="E24" s="107" t="n"/>
      <c r="F24" s="108" t="n"/>
      <c r="G24" s="107" t="n"/>
      <c r="H24" s="107" t="n"/>
      <c r="I24" s="107" t="n"/>
      <c r="J24" s="107" t="n"/>
      <c r="K24" s="107" t="n"/>
      <c r="L24" s="107" t="n"/>
      <c r="M24" s="108" t="n"/>
      <c r="N24" s="107" t="n"/>
      <c r="O24" s="107" t="n"/>
      <c r="P24" s="107" t="n"/>
      <c r="Q24" s="107" t="n"/>
      <c r="R24" s="107" t="n"/>
      <c r="S24" s="107" t="n"/>
      <c r="T24" s="108" t="n"/>
      <c r="U24" s="107" t="n"/>
      <c r="V24" s="107" t="n"/>
      <c r="W24" s="107" t="n"/>
      <c r="X24" s="107" t="n"/>
      <c r="Y24" s="107" t="n"/>
      <c r="Z24" s="107" t="n"/>
      <c r="AA24" s="108" t="n"/>
      <c r="AB24" s="107" t="n"/>
      <c r="AC24" s="107" t="n"/>
      <c r="AD24" s="107" t="n"/>
      <c r="AE24" s="107" t="n"/>
      <c r="AF24" s="107" t="n"/>
      <c r="AG24" s="107" t="n"/>
      <c r="AH24" s="108" t="n"/>
      <c r="AI24" s="109">
        <f>IF(ISBLANK(B24), "", IF(ISNUMBER(D24), IF(D24&gt;0, (COUNTIF(E24:AH24, "✓") + COUNTIF(E24:AH24, "✔") + COUNTIF(E24:AH24, "v") + COUNTIF(E24:AH24, "V"))/D24, 0), IF(((COUNTIF(E24:AH24, "✓") + COUNTIF(E24:AH24, "✔") + COUNTIF(E24:AH24, "v") + COUNTIF(E24:AH24, "V")) + COUNTIF(E24:AH24, "✗") + COUNTIF(E24:AH24, "x") + COUNTIF(E24:AH24, "X"))&gt;0, (COUNTIF(E24:AH24, "✓") + COUNTIF(E24:AH24, "✔") + COUNTIF(E24:AH24, "v") + COUNTIF(E24:AH24, "V"))/((COUNTIF(E24:AH24, "✓") + COUNTIF(E24:AH24, "✔") + COUNTIF(E24:AH24, "v") + COUNTIF(E24:AH24, "V")) + COUNTIF(E24:AH24, "✗") + COUNTIF(E24:AH24, "x") + COUNTIF(E24:AH24, "X")), "")))</f>
        <v/>
      </c>
      <c r="AJ24" s="110">
        <f>IF(ISBLANK(B24), "", IF(ISNUMBER(D24), IF(D24&gt;0, (COUNTIF(E24:AH24, "✓") + COUNTIF(E24:AH24, "✔") + COUNTIF(E24:AH24, "v") + COUNTIF(E24:AH24, "V")) &amp; "/" &amp; D24, (COUNTIF(E24:AH24, "✓") + COUNTIF(E24:AH24, "✔") + COUNTIF(E24:AH24, "v") + COUNTIF(E24:AH24, "V")) &amp; "/0"), IF(((COUNTIF(E24:AH24, "✓") + COUNTIF(E24:AH24, "✔") + COUNTIF(E24:AH24, "v") + COUNTIF(E24:AH24, "V")) + COUNTIF(E24:AH24, "✗") + COUNTIF(E24:AH24, "x") + COUNTIF(E24:AH24, "X"))&gt;0, (COUNTIF(E24:AH24, "✓") + COUNTIF(E24:AH24, "✔") + COUNTIF(E24:AH24, "v") + COUNTIF(E24:AH24, "V")) &amp; "/" &amp; ((COUNTIF(E24:AH24, "✓") + COUNTIF(E24:AH24, "✔") + COUNTIF(E24:AH24, "v") + COUNTIF(E24:AH24, "V")) + COUNTIF(E24:AH24, "✗") + COUNTIF(E24:AH24, "x") + COUNTIF(E24:AH24, "X")), "")))</f>
        <v/>
      </c>
      <c r="AK24" s="110">
        <f>IF(ISBLANK(B24), "", IF(AI24&gt;=0.85, "🔥 Mastered", IF(AI24&gt;=0.7, "⚡ Consistent", "⚠️ Needs Focus")))</f>
        <v/>
      </c>
      <c r="AL24">
        <f>COUNTIF(E24:AH24, "✓")</f>
        <v/>
      </c>
    </row>
    <row r="25" ht="14.5" customHeight="1">
      <c r="A25" s="104" t="n">
        <v>8</v>
      </c>
      <c r="B25" s="105" t="n"/>
      <c r="C25" s="106" t="n"/>
      <c r="D25" s="106" t="n"/>
      <c r="E25" s="107" t="n"/>
      <c r="F25" s="108" t="n"/>
      <c r="G25" s="107" t="n"/>
      <c r="H25" s="107" t="n"/>
      <c r="I25" s="107" t="n"/>
      <c r="J25" s="107" t="n"/>
      <c r="K25" s="107" t="n"/>
      <c r="L25" s="107" t="n"/>
      <c r="M25" s="108" t="n"/>
      <c r="N25" s="107" t="n"/>
      <c r="O25" s="107" t="n"/>
      <c r="P25" s="107" t="n"/>
      <c r="Q25" s="107" t="n"/>
      <c r="R25" s="107" t="n"/>
      <c r="S25" s="107" t="n"/>
      <c r="T25" s="108" t="n"/>
      <c r="U25" s="107" t="n"/>
      <c r="V25" s="107" t="n"/>
      <c r="W25" s="107" t="n"/>
      <c r="X25" s="107" t="n"/>
      <c r="Y25" s="107" t="n"/>
      <c r="Z25" s="107" t="n"/>
      <c r="AA25" s="108" t="n"/>
      <c r="AB25" s="107" t="n"/>
      <c r="AC25" s="107" t="n"/>
      <c r="AD25" s="107" t="n"/>
      <c r="AE25" s="107" t="n"/>
      <c r="AF25" s="107" t="n"/>
      <c r="AG25" s="107" t="n"/>
      <c r="AH25" s="108" t="n"/>
      <c r="AI25" s="109">
        <f>IF(ISBLANK(B25), "", IF(ISNUMBER(D25), IF(D25&gt;0, (COUNTIF(E25:AH25, "✓") + COUNTIF(E25:AH25, "✔") + COUNTIF(E25:AH25, "v") + COUNTIF(E25:AH25, "V"))/D25, 0), IF(((COUNTIF(E25:AH25, "✓") + COUNTIF(E25:AH25, "✔") + COUNTIF(E25:AH25, "v") + COUNTIF(E25:AH25, "V")) + COUNTIF(E25:AH25, "✗") + COUNTIF(E25:AH25, "x") + COUNTIF(E25:AH25, "X"))&gt;0, (COUNTIF(E25:AH25, "✓") + COUNTIF(E25:AH25, "✔") + COUNTIF(E25:AH25, "v") + COUNTIF(E25:AH25, "V"))/((COUNTIF(E25:AH25, "✓") + COUNTIF(E25:AH25, "✔") + COUNTIF(E25:AH25, "v") + COUNTIF(E25:AH25, "V")) + COUNTIF(E25:AH25, "✗") + COUNTIF(E25:AH25, "x") + COUNTIF(E25:AH25, "X")), "")))</f>
        <v/>
      </c>
      <c r="AJ25" s="110">
        <f>IF(ISBLANK(B25), "", IF(ISNUMBER(D25), IF(D25&gt;0, (COUNTIF(E25:AH25, "✓") + COUNTIF(E25:AH25, "✔") + COUNTIF(E25:AH25, "v") + COUNTIF(E25:AH25, "V")) &amp; "/" &amp; D25, (COUNTIF(E25:AH25, "✓") + COUNTIF(E25:AH25, "✔") + COUNTIF(E25:AH25, "v") + COUNTIF(E25:AH25, "V")) &amp; "/0"), IF(((COUNTIF(E25:AH25, "✓") + COUNTIF(E25:AH25, "✔") + COUNTIF(E25:AH25, "v") + COUNTIF(E25:AH25, "V")) + COUNTIF(E25:AH25, "✗") + COUNTIF(E25:AH25, "x") + COUNTIF(E25:AH25, "X"))&gt;0, (COUNTIF(E25:AH25, "✓") + COUNTIF(E25:AH25, "✔") + COUNTIF(E25:AH25, "v") + COUNTIF(E25:AH25, "V")) &amp; "/" &amp; ((COUNTIF(E25:AH25, "✓") + COUNTIF(E25:AH25, "✔") + COUNTIF(E25:AH25, "v") + COUNTIF(E25:AH25, "V")) + COUNTIF(E25:AH25, "✗") + COUNTIF(E25:AH25, "x") + COUNTIF(E25:AH25, "X")), "")))</f>
        <v/>
      </c>
      <c r="AK25" s="110">
        <f>IF(ISBLANK(B25), "", IF(AI25&gt;=0.85, "🔥 Mastered", IF(AI25&gt;=0.7, "⚡ Consistent", "⚠️ Needs Focus")))</f>
        <v/>
      </c>
      <c r="AL25">
        <f>COUNTIF(E25:AH25, "✓")</f>
        <v/>
      </c>
    </row>
    <row r="26" ht="14.5" customHeight="1">
      <c r="A26" s="111" t="n">
        <v>9</v>
      </c>
      <c r="B26" s="112" t="n"/>
      <c r="C26" s="113" t="n"/>
      <c r="D26" s="113" t="n"/>
      <c r="E26" s="114" t="n"/>
      <c r="F26" s="115" t="n"/>
      <c r="G26" s="114" t="n"/>
      <c r="H26" s="114" t="n"/>
      <c r="I26" s="114" t="n"/>
      <c r="J26" s="114" t="n"/>
      <c r="K26" s="114" t="n"/>
      <c r="L26" s="114" t="n"/>
      <c r="M26" s="115" t="n"/>
      <c r="N26" s="114" t="n"/>
      <c r="O26" s="114" t="n"/>
      <c r="P26" s="114" t="n"/>
      <c r="Q26" s="114" t="n"/>
      <c r="R26" s="114" t="n"/>
      <c r="S26" s="114" t="n"/>
      <c r="T26" s="115" t="n"/>
      <c r="U26" s="114" t="n"/>
      <c r="V26" s="114" t="n"/>
      <c r="W26" s="114" t="n"/>
      <c r="X26" s="114" t="n"/>
      <c r="Y26" s="114" t="n"/>
      <c r="Z26" s="114" t="n"/>
      <c r="AA26" s="115" t="n"/>
      <c r="AB26" s="114" t="n"/>
      <c r="AC26" s="114" t="n"/>
      <c r="AD26" s="114" t="n"/>
      <c r="AE26" s="114" t="n"/>
      <c r="AF26" s="114" t="n"/>
      <c r="AG26" s="114" t="n"/>
      <c r="AH26" s="115" t="n"/>
      <c r="AI26" s="116">
        <f>IF(ISBLANK(B26), "", IF(ISNUMBER(D26), IF(D26&gt;0, (COUNTIF(E26:AH26, "✓") + COUNTIF(E26:AH26, "✔") + COUNTIF(E26:AH26, "v") + COUNTIF(E26:AH26, "V"))/D26, 0), IF(((COUNTIF(E26:AH26, "✓") + COUNTIF(E26:AH26, "✔") + COUNTIF(E26:AH26, "v") + COUNTIF(E26:AH26, "V")) + COUNTIF(E26:AH26, "✗") + COUNTIF(E26:AH26, "x") + COUNTIF(E26:AH26, "X"))&gt;0, (COUNTIF(E26:AH26, "✓") + COUNTIF(E26:AH26, "✔") + COUNTIF(E26:AH26, "v") + COUNTIF(E26:AH26, "V"))/((COUNTIF(E26:AH26, "✓") + COUNTIF(E26:AH26, "✔") + COUNTIF(E26:AH26, "v") + COUNTIF(E26:AH26, "V")) + COUNTIF(E26:AH26, "✗") + COUNTIF(E26:AH26, "x") + COUNTIF(E26:AH26, "X")), "")))</f>
        <v/>
      </c>
      <c r="AJ26" s="117">
        <f>IF(ISBLANK(B26), "", IF(ISNUMBER(D26), IF(D26&gt;0, (COUNTIF(E26:AH26, "✓") + COUNTIF(E26:AH26, "✔") + COUNTIF(E26:AH26, "v") + COUNTIF(E26:AH26, "V")) &amp; "/" &amp; D26, (COUNTIF(E26:AH26, "✓") + COUNTIF(E26:AH26, "✔") + COUNTIF(E26:AH26, "v") + COUNTIF(E26:AH26, "V")) &amp; "/0"), IF(((COUNTIF(E26:AH26, "✓") + COUNTIF(E26:AH26, "✔") + COUNTIF(E26:AH26, "v") + COUNTIF(E26:AH26, "V")) + COUNTIF(E26:AH26, "✗") + COUNTIF(E26:AH26, "x") + COUNTIF(E26:AH26, "X"))&gt;0, (COUNTIF(E26:AH26, "✓") + COUNTIF(E26:AH26, "✔") + COUNTIF(E26:AH26, "v") + COUNTIF(E26:AH26, "V")) &amp; "/" &amp; ((COUNTIF(E26:AH26, "✓") + COUNTIF(E26:AH26, "✔") + COUNTIF(E26:AH26, "v") + COUNTIF(E26:AH26, "V")) + COUNTIF(E26:AH26, "✗") + COUNTIF(E26:AH26, "x") + COUNTIF(E26:AH26, "X")), "")))</f>
        <v/>
      </c>
      <c r="AK26" s="117">
        <f>IF(ISBLANK(B26), "", IF(AI26&gt;=0.85, "🔥 Mastered", IF(AI26&gt;=0.7, "⚡ Consistent", "⚠️ Needs Focus")))</f>
        <v/>
      </c>
      <c r="AL26">
        <f>COUNTIF(E26:AH26, "✓")</f>
        <v/>
      </c>
    </row>
    <row r="27" ht="14.5" customHeight="1">
      <c r="A27" s="111" t="n">
        <v>10</v>
      </c>
      <c r="B27" s="112" t="n"/>
      <c r="C27" s="113" t="n"/>
      <c r="D27" s="113" t="n"/>
      <c r="E27" s="114" t="n"/>
      <c r="F27" s="115" t="n"/>
      <c r="G27" s="114" t="n"/>
      <c r="H27" s="114" t="n"/>
      <c r="I27" s="114" t="n"/>
      <c r="J27" s="114" t="n"/>
      <c r="K27" s="114" t="n"/>
      <c r="L27" s="114" t="n"/>
      <c r="M27" s="115" t="n"/>
      <c r="N27" s="114" t="n"/>
      <c r="O27" s="114" t="n"/>
      <c r="P27" s="114" t="n"/>
      <c r="Q27" s="114" t="n"/>
      <c r="R27" s="114" t="n"/>
      <c r="S27" s="114" t="n"/>
      <c r="T27" s="115" t="n"/>
      <c r="U27" s="114" t="n"/>
      <c r="V27" s="114" t="n"/>
      <c r="W27" s="114" t="n"/>
      <c r="X27" s="114" t="n"/>
      <c r="Y27" s="114" t="n"/>
      <c r="Z27" s="114" t="n"/>
      <c r="AA27" s="115" t="n"/>
      <c r="AB27" s="114" t="n"/>
      <c r="AC27" s="114" t="n"/>
      <c r="AD27" s="114" t="n"/>
      <c r="AE27" s="114" t="n"/>
      <c r="AF27" s="114" t="n"/>
      <c r="AG27" s="114" t="n"/>
      <c r="AH27" s="115" t="n"/>
      <c r="AI27" s="116">
        <f>IF(ISBLANK(B27), "", IF(ISNUMBER(D27), IF(D27&gt;0, (COUNTIF(E27:AH27, "✓") + COUNTIF(E27:AH27, "✔") + COUNTIF(E27:AH27, "v") + COUNTIF(E27:AH27, "V"))/D27, 0), IF(((COUNTIF(E27:AH27, "✓") + COUNTIF(E27:AH27, "✔") + COUNTIF(E27:AH27, "v") + COUNTIF(E27:AH27, "V")) + COUNTIF(E27:AH27, "✗") + COUNTIF(E27:AH27, "x") + COUNTIF(E27:AH27, "X"))&gt;0, (COUNTIF(E27:AH27, "✓") + COUNTIF(E27:AH27, "✔") + COUNTIF(E27:AH27, "v") + COUNTIF(E27:AH27, "V"))/((COUNTIF(E27:AH27, "✓") + COUNTIF(E27:AH27, "✔") + COUNTIF(E27:AH27, "v") + COUNTIF(E27:AH27, "V")) + COUNTIF(E27:AH27, "✗") + COUNTIF(E27:AH27, "x") + COUNTIF(E27:AH27, "X")), "")))</f>
        <v/>
      </c>
      <c r="AJ27" s="117">
        <f>IF(ISBLANK(B27), "", IF(ISNUMBER(D27), IF(D27&gt;0, (COUNTIF(E27:AH27, "✓") + COUNTIF(E27:AH27, "✔") + COUNTIF(E27:AH27, "v") + COUNTIF(E27:AH27, "V")) &amp; "/" &amp; D27, (COUNTIF(E27:AH27, "✓") + COUNTIF(E27:AH27, "✔") + COUNTIF(E27:AH27, "v") + COUNTIF(E27:AH27, "V")) &amp; "/0"), IF(((COUNTIF(E27:AH27, "✓") + COUNTIF(E27:AH27, "✔") + COUNTIF(E27:AH27, "v") + COUNTIF(E27:AH27, "V")) + COUNTIF(E27:AH27, "✗") + COUNTIF(E27:AH27, "x") + COUNTIF(E27:AH27, "X"))&gt;0, (COUNTIF(E27:AH27, "✓") + COUNTIF(E27:AH27, "✔") + COUNTIF(E27:AH27, "v") + COUNTIF(E27:AH27, "V")) &amp; "/" &amp; ((COUNTIF(E27:AH27, "✓") + COUNTIF(E27:AH27, "✔") + COUNTIF(E27:AH27, "v") + COUNTIF(E27:AH27, "V")) + COUNTIF(E27:AH27, "✗") + COUNTIF(E27:AH27, "x") + COUNTIF(E27:AH27, "X")), "")))</f>
        <v/>
      </c>
      <c r="AK27" s="117">
        <f>IF(ISBLANK(B27), "", IF(AI27&gt;=0.85, "🔥 Mastered", IF(AI27&gt;=0.7, "⚡ Consistent", "⚠️ Needs Focus")))</f>
        <v/>
      </c>
      <c r="AL27">
        <f>COUNTIF(E27:AH27, "✓")</f>
        <v/>
      </c>
    </row>
    <row r="28" ht="14.5" customHeight="1">
      <c r="A28" s="111" t="n">
        <v>11</v>
      </c>
      <c r="B28" s="112" t="n"/>
      <c r="C28" s="113" t="n"/>
      <c r="D28" s="113" t="n"/>
      <c r="E28" s="114" t="n"/>
      <c r="F28" s="115" t="n"/>
      <c r="G28" s="114" t="n"/>
      <c r="H28" s="114" t="n"/>
      <c r="I28" s="114" t="n"/>
      <c r="J28" s="114" t="n"/>
      <c r="K28" s="114" t="n"/>
      <c r="L28" s="114" t="n"/>
      <c r="M28" s="115" t="n"/>
      <c r="N28" s="114" t="n"/>
      <c r="O28" s="114" t="n"/>
      <c r="P28" s="114" t="n"/>
      <c r="Q28" s="114" t="n"/>
      <c r="R28" s="114" t="n"/>
      <c r="S28" s="114" t="n"/>
      <c r="T28" s="115" t="n"/>
      <c r="U28" s="114" t="n"/>
      <c r="V28" s="114" t="n"/>
      <c r="W28" s="114" t="n"/>
      <c r="X28" s="114" t="n"/>
      <c r="Y28" s="114" t="n"/>
      <c r="Z28" s="114" t="n"/>
      <c r="AA28" s="115" t="n"/>
      <c r="AB28" s="114" t="n"/>
      <c r="AC28" s="114" t="n"/>
      <c r="AD28" s="114" t="n"/>
      <c r="AE28" s="114" t="n"/>
      <c r="AF28" s="114" t="n"/>
      <c r="AG28" s="114" t="n"/>
      <c r="AH28" s="115" t="n"/>
      <c r="AI28" s="116">
        <f>IF(ISBLANK(B28), "", IF(ISNUMBER(D28), IF(D28&gt;0, (COUNTIF(E28:AH28, "✓") + COUNTIF(E28:AH28, "✔") + COUNTIF(E28:AH28, "v") + COUNTIF(E28:AH28, "V"))/D28, 0), IF(((COUNTIF(E28:AH28, "✓") + COUNTIF(E28:AH28, "✔") + COUNTIF(E28:AH28, "v") + COUNTIF(E28:AH28, "V")) + COUNTIF(E28:AH28, "✗") + COUNTIF(E28:AH28, "x") + COUNTIF(E28:AH28, "X"))&gt;0, (COUNTIF(E28:AH28, "✓") + COUNTIF(E28:AH28, "✔") + COUNTIF(E28:AH28, "v") + COUNTIF(E28:AH28, "V"))/((COUNTIF(E28:AH28, "✓") + COUNTIF(E28:AH28, "✔") + COUNTIF(E28:AH28, "v") + COUNTIF(E28:AH28, "V")) + COUNTIF(E28:AH28, "✗") + COUNTIF(E28:AH28, "x") + COUNTIF(E28:AH28, "X")), "")))</f>
        <v/>
      </c>
      <c r="AJ28" s="117">
        <f>IF(ISBLANK(B28), "", IF(ISNUMBER(D28), IF(D28&gt;0, (COUNTIF(E28:AH28, "✓") + COUNTIF(E28:AH28, "✔") + COUNTIF(E28:AH28, "v") + COUNTIF(E28:AH28, "V")) &amp; "/" &amp; D28, (COUNTIF(E28:AH28, "✓") + COUNTIF(E28:AH28, "✔") + COUNTIF(E28:AH28, "v") + COUNTIF(E28:AH28, "V")) &amp; "/0"), IF(((COUNTIF(E28:AH28, "✓") + COUNTIF(E28:AH28, "✔") + COUNTIF(E28:AH28, "v") + COUNTIF(E28:AH28, "V")) + COUNTIF(E28:AH28, "✗") + COUNTIF(E28:AH28, "x") + COUNTIF(E28:AH28, "X"))&gt;0, (COUNTIF(E28:AH28, "✓") + COUNTIF(E28:AH28, "✔") + COUNTIF(E28:AH28, "v") + COUNTIF(E28:AH28, "V")) &amp; "/" &amp; ((COUNTIF(E28:AH28, "✓") + COUNTIF(E28:AH28, "✔") + COUNTIF(E28:AH28, "v") + COUNTIF(E28:AH28, "V")) + COUNTIF(E28:AH28, "✗") + COUNTIF(E28:AH28, "x") + COUNTIF(E28:AH28, "X")), "")))</f>
        <v/>
      </c>
      <c r="AK28" s="117">
        <f>IF(ISBLANK(B28), "", IF(AI28&gt;=0.85, "🔥 Mastered", IF(AI28&gt;=0.7, "⚡ Consistent", "⚠️ Needs Focus")))</f>
        <v/>
      </c>
      <c r="AL28">
        <f>COUNTIF(E28:AH28, "✓")</f>
        <v/>
      </c>
    </row>
    <row r="29" ht="14.5" customHeight="1">
      <c r="A29" s="111" t="n">
        <v>12</v>
      </c>
      <c r="B29" s="112" t="n"/>
      <c r="C29" s="113" t="n"/>
      <c r="D29" s="113" t="n"/>
      <c r="E29" s="114" t="n"/>
      <c r="F29" s="115" t="n"/>
      <c r="G29" s="114" t="n"/>
      <c r="H29" s="114" t="n"/>
      <c r="I29" s="114" t="n"/>
      <c r="J29" s="114" t="n"/>
      <c r="K29" s="114" t="n"/>
      <c r="L29" s="114" t="n"/>
      <c r="M29" s="115" t="n"/>
      <c r="N29" s="114" t="n"/>
      <c r="O29" s="114" t="n"/>
      <c r="P29" s="114" t="n"/>
      <c r="Q29" s="114" t="n"/>
      <c r="R29" s="114" t="n"/>
      <c r="S29" s="114" t="n"/>
      <c r="T29" s="115" t="n"/>
      <c r="U29" s="114" t="n"/>
      <c r="V29" s="114" t="n"/>
      <c r="W29" s="114" t="n"/>
      <c r="X29" s="114" t="n"/>
      <c r="Y29" s="114" t="n"/>
      <c r="Z29" s="114" t="n"/>
      <c r="AA29" s="115" t="n"/>
      <c r="AB29" s="114" t="n"/>
      <c r="AC29" s="114" t="n"/>
      <c r="AD29" s="114" t="n"/>
      <c r="AE29" s="114" t="n"/>
      <c r="AF29" s="114" t="n"/>
      <c r="AG29" s="114" t="n"/>
      <c r="AH29" s="115" t="n"/>
      <c r="AI29" s="116">
        <f>IF(ISBLANK(B29), "", IF(ISNUMBER(D29), IF(D29&gt;0, (COUNTIF(E29:AH29, "✓") + COUNTIF(E29:AH29, "✔") + COUNTIF(E29:AH29, "v") + COUNTIF(E29:AH29, "V"))/D29, 0), IF(((COUNTIF(E29:AH29, "✓") + COUNTIF(E29:AH29, "✔") + COUNTIF(E29:AH29, "v") + COUNTIF(E29:AH29, "V")) + COUNTIF(E29:AH29, "✗") + COUNTIF(E29:AH29, "x") + COUNTIF(E29:AH29, "X"))&gt;0, (COUNTIF(E29:AH29, "✓") + COUNTIF(E29:AH29, "✔") + COUNTIF(E29:AH29, "v") + COUNTIF(E29:AH29, "V"))/((COUNTIF(E29:AH29, "✓") + COUNTIF(E29:AH29, "✔") + COUNTIF(E29:AH29, "v") + COUNTIF(E29:AH29, "V")) + COUNTIF(E29:AH29, "✗") + COUNTIF(E29:AH29, "x") + COUNTIF(E29:AH29, "X")), "")))</f>
        <v/>
      </c>
      <c r="AJ29" s="117">
        <f>IF(ISBLANK(B29), "", IF(ISNUMBER(D29), IF(D29&gt;0, (COUNTIF(E29:AH29, "✓") + COUNTIF(E29:AH29, "✔") + COUNTIF(E29:AH29, "v") + COUNTIF(E29:AH29, "V")) &amp; "/" &amp; D29, (COUNTIF(E29:AH29, "✓") + COUNTIF(E29:AH29, "✔") + COUNTIF(E29:AH29, "v") + COUNTIF(E29:AH29, "V")) &amp; "/0"), IF(((COUNTIF(E29:AH29, "✓") + COUNTIF(E29:AH29, "✔") + COUNTIF(E29:AH29, "v") + COUNTIF(E29:AH29, "V")) + COUNTIF(E29:AH29, "✗") + COUNTIF(E29:AH29, "x") + COUNTIF(E29:AH29, "X"))&gt;0, (COUNTIF(E29:AH29, "✓") + COUNTIF(E29:AH29, "✔") + COUNTIF(E29:AH29, "v") + COUNTIF(E29:AH29, "V")) &amp; "/" &amp; ((COUNTIF(E29:AH29, "✓") + COUNTIF(E29:AH29, "✔") + COUNTIF(E29:AH29, "v") + COUNTIF(E29:AH29, "V")) + COUNTIF(E29:AH29, "✗") + COUNTIF(E29:AH29, "x") + COUNTIF(E29:AH29, "X")), "")))</f>
        <v/>
      </c>
      <c r="AK29" s="117">
        <f>IF(ISBLANK(B29), "", IF(AI29&gt;=0.85, "🔥 Mastered", IF(AI29&gt;=0.7, "⚡ Consistent", "⚠️ Needs Focus")))</f>
        <v/>
      </c>
      <c r="AL29">
        <f>COUNTIF(E29:AH29, "✓")</f>
        <v/>
      </c>
    </row>
    <row r="30" ht="14.5" customHeight="1">
      <c r="A30" s="118" t="n">
        <v>13</v>
      </c>
      <c r="B30" s="119" t="n"/>
      <c r="C30" s="120" t="n"/>
      <c r="D30" s="120" t="n"/>
      <c r="E30" s="121" t="n"/>
      <c r="F30" s="122" t="n"/>
      <c r="G30" s="121" t="n"/>
      <c r="H30" s="121" t="n"/>
      <c r="I30" s="121" t="n"/>
      <c r="J30" s="121" t="n"/>
      <c r="K30" s="121" t="n"/>
      <c r="L30" s="121" t="n"/>
      <c r="M30" s="122" t="n"/>
      <c r="N30" s="121" t="n"/>
      <c r="O30" s="121" t="n"/>
      <c r="P30" s="121" t="n"/>
      <c r="Q30" s="121" t="n"/>
      <c r="R30" s="121" t="n"/>
      <c r="S30" s="121" t="n"/>
      <c r="T30" s="122" t="n"/>
      <c r="U30" s="121" t="n"/>
      <c r="V30" s="121" t="n"/>
      <c r="W30" s="121" t="n"/>
      <c r="X30" s="121" t="n"/>
      <c r="Y30" s="121" t="n"/>
      <c r="Z30" s="121" t="n"/>
      <c r="AA30" s="122" t="n"/>
      <c r="AB30" s="121" t="n"/>
      <c r="AC30" s="121" t="n"/>
      <c r="AD30" s="121" t="n"/>
      <c r="AE30" s="121" t="n"/>
      <c r="AF30" s="121" t="n"/>
      <c r="AG30" s="121" t="n"/>
      <c r="AH30" s="122" t="n"/>
      <c r="AI30" s="123">
        <f>IF(ISBLANK(B30), "", IF(ISNUMBER(D30), IF(D30&gt;0, (COUNTIF(E30:AH30, "✓") + COUNTIF(E30:AH30, "✔") + COUNTIF(E30:AH30, "v") + COUNTIF(E30:AH30, "V"))/D30, 0), IF(((COUNTIF(E30:AH30, "✓") + COUNTIF(E30:AH30, "✔") + COUNTIF(E30:AH30, "v") + COUNTIF(E30:AH30, "V")) + COUNTIF(E30:AH30, "✗") + COUNTIF(E30:AH30, "x") + COUNTIF(E30:AH30, "X"))&gt;0, (COUNTIF(E30:AH30, "✓") + COUNTIF(E30:AH30, "✔") + COUNTIF(E30:AH30, "v") + COUNTIF(E30:AH30, "V"))/((COUNTIF(E30:AH30, "✓") + COUNTIF(E30:AH30, "✔") + COUNTIF(E30:AH30, "v") + COUNTIF(E30:AH30, "V")) + COUNTIF(E30:AH30, "✗") + COUNTIF(E30:AH30, "x") + COUNTIF(E30:AH30, "X")), "")))</f>
        <v/>
      </c>
      <c r="AJ30" s="124">
        <f>IF(ISBLANK(B30), "", IF(ISNUMBER(D30), IF(D30&gt;0, (COUNTIF(E30:AH30, "✓") + COUNTIF(E30:AH30, "✔") + COUNTIF(E30:AH30, "v") + COUNTIF(E30:AH30, "V")) &amp; "/" &amp; D30, (COUNTIF(E30:AH30, "✓") + COUNTIF(E30:AH30, "✔") + COUNTIF(E30:AH30, "v") + COUNTIF(E30:AH30, "V")) &amp; "/0"), IF(((COUNTIF(E30:AH30, "✓") + COUNTIF(E30:AH30, "✔") + COUNTIF(E30:AH30, "v") + COUNTIF(E30:AH30, "V")) + COUNTIF(E30:AH30, "✗") + COUNTIF(E30:AH30, "x") + COUNTIF(E30:AH30, "X"))&gt;0, (COUNTIF(E30:AH30, "✓") + COUNTIF(E30:AH30, "✔") + COUNTIF(E30:AH30, "v") + COUNTIF(E30:AH30, "V")) &amp; "/" &amp; ((COUNTIF(E30:AH30, "✓") + COUNTIF(E30:AH30, "✔") + COUNTIF(E30:AH30, "v") + COUNTIF(E30:AH30, "V")) + COUNTIF(E30:AH30, "✗") + COUNTIF(E30:AH30, "x") + COUNTIF(E30:AH30, "X")), "")))</f>
        <v/>
      </c>
      <c r="AK30" s="124">
        <f>IF(ISBLANK(B30), "", IF(AI30&gt;=0.85, "🔥 Mastered", IF(AI30&gt;=0.7, "⚡ Consistent", "⚠️ Needs Focus")))</f>
        <v/>
      </c>
      <c r="AL30">
        <f>COUNTIF(E30:AH30, "✓")</f>
        <v/>
      </c>
    </row>
    <row r="31" ht="14.5" customHeight="1">
      <c r="A31" s="118" t="n">
        <v>14</v>
      </c>
      <c r="B31" s="119" t="n"/>
      <c r="C31" s="120" t="n"/>
      <c r="D31" s="120" t="n"/>
      <c r="E31" s="121" t="n"/>
      <c r="F31" s="122" t="n"/>
      <c r="G31" s="121" t="n"/>
      <c r="H31" s="121" t="n"/>
      <c r="I31" s="121" t="n"/>
      <c r="J31" s="121" t="n"/>
      <c r="K31" s="121" t="n"/>
      <c r="L31" s="121" t="n"/>
      <c r="M31" s="122" t="n"/>
      <c r="N31" s="121" t="n"/>
      <c r="O31" s="121" t="n"/>
      <c r="P31" s="121" t="n"/>
      <c r="Q31" s="121" t="n"/>
      <c r="R31" s="121" t="n"/>
      <c r="S31" s="121" t="n"/>
      <c r="T31" s="122" t="n"/>
      <c r="U31" s="121" t="n"/>
      <c r="V31" s="121" t="n"/>
      <c r="W31" s="121" t="n"/>
      <c r="X31" s="121" t="n"/>
      <c r="Y31" s="121" t="n"/>
      <c r="Z31" s="121" t="n"/>
      <c r="AA31" s="122" t="n"/>
      <c r="AB31" s="121" t="n"/>
      <c r="AC31" s="121" t="n"/>
      <c r="AD31" s="121" t="n"/>
      <c r="AE31" s="121" t="n"/>
      <c r="AF31" s="121" t="n"/>
      <c r="AG31" s="121" t="n"/>
      <c r="AH31" s="122" t="n"/>
      <c r="AI31" s="123">
        <f>IF(ISBLANK(B31), "", IF(ISNUMBER(D31), IF(D31&gt;0, (COUNTIF(E31:AH31, "✓") + COUNTIF(E31:AH31, "✔") + COUNTIF(E31:AH31, "v") + COUNTIF(E31:AH31, "V"))/D31, 0), IF(((COUNTIF(E31:AH31, "✓") + COUNTIF(E31:AH31, "✔") + COUNTIF(E31:AH31, "v") + COUNTIF(E31:AH31, "V")) + COUNTIF(E31:AH31, "✗") + COUNTIF(E31:AH31, "x") + COUNTIF(E31:AH31, "X"))&gt;0, (COUNTIF(E31:AH31, "✓") + COUNTIF(E31:AH31, "✔") + COUNTIF(E31:AH31, "v") + COUNTIF(E31:AH31, "V"))/((COUNTIF(E31:AH31, "✓") + COUNTIF(E31:AH31, "✔") + COUNTIF(E31:AH31, "v") + COUNTIF(E31:AH31, "V")) + COUNTIF(E31:AH31, "✗") + COUNTIF(E31:AH31, "x") + COUNTIF(E31:AH31, "X")), "")))</f>
        <v/>
      </c>
      <c r="AJ31" s="124">
        <f>IF(ISBLANK(B31), "", IF(ISNUMBER(D31), IF(D31&gt;0, (COUNTIF(E31:AH31, "✓") + COUNTIF(E31:AH31, "✔") + COUNTIF(E31:AH31, "v") + COUNTIF(E31:AH31, "V")) &amp; "/" &amp; D31, (COUNTIF(E31:AH31, "✓") + COUNTIF(E31:AH31, "✔") + COUNTIF(E31:AH31, "v") + COUNTIF(E31:AH31, "V")) &amp; "/0"), IF(((COUNTIF(E31:AH31, "✓") + COUNTIF(E31:AH31, "✔") + COUNTIF(E31:AH31, "v") + COUNTIF(E31:AH31, "V")) + COUNTIF(E31:AH31, "✗") + COUNTIF(E31:AH31, "x") + COUNTIF(E31:AH31, "X"))&gt;0, (COUNTIF(E31:AH31, "✓") + COUNTIF(E31:AH31, "✔") + COUNTIF(E31:AH31, "v") + COUNTIF(E31:AH31, "V")) &amp; "/" &amp; ((COUNTIF(E31:AH31, "✓") + COUNTIF(E31:AH31, "✔") + COUNTIF(E31:AH31, "v") + COUNTIF(E31:AH31, "V")) + COUNTIF(E31:AH31, "✗") + COUNTIF(E31:AH31, "x") + COUNTIF(E31:AH31, "X")), "")))</f>
        <v/>
      </c>
      <c r="AK31" s="124">
        <f>IF(ISBLANK(B31), "", IF(AI31&gt;=0.85, "🔥 Mastered", IF(AI31&gt;=0.7, "⚡ Consistent", "⚠️ Needs Focus")))</f>
        <v/>
      </c>
      <c r="AL31">
        <f>COUNTIF(E31:AH31, "✓")</f>
        <v/>
      </c>
    </row>
    <row r="32" ht="14.5" customHeight="1">
      <c r="A32" s="118" t="n">
        <v>15</v>
      </c>
      <c r="B32" s="119" t="n"/>
      <c r="C32" s="120" t="n"/>
      <c r="D32" s="120" t="n"/>
      <c r="E32" s="121" t="n"/>
      <c r="F32" s="122" t="n"/>
      <c r="G32" s="121" t="n"/>
      <c r="H32" s="121" t="n"/>
      <c r="I32" s="121" t="n"/>
      <c r="J32" s="121" t="n"/>
      <c r="K32" s="121" t="n"/>
      <c r="L32" s="121" t="n"/>
      <c r="M32" s="122" t="n"/>
      <c r="N32" s="121" t="n"/>
      <c r="O32" s="121" t="n"/>
      <c r="P32" s="121" t="n"/>
      <c r="Q32" s="121" t="n"/>
      <c r="R32" s="121" t="n"/>
      <c r="S32" s="121" t="n"/>
      <c r="T32" s="122" t="n"/>
      <c r="U32" s="121" t="n"/>
      <c r="V32" s="121" t="n"/>
      <c r="W32" s="121" t="n"/>
      <c r="X32" s="121" t="n"/>
      <c r="Y32" s="121" t="n"/>
      <c r="Z32" s="121" t="n"/>
      <c r="AA32" s="122" t="n"/>
      <c r="AB32" s="121" t="n"/>
      <c r="AC32" s="121" t="n"/>
      <c r="AD32" s="121" t="n"/>
      <c r="AE32" s="121" t="n"/>
      <c r="AF32" s="121" t="n"/>
      <c r="AG32" s="121" t="n"/>
      <c r="AH32" s="122" t="n"/>
      <c r="AI32" s="123">
        <f>IF(ISBLANK(B32), "", IF(ISNUMBER(D32), IF(D32&gt;0, (COUNTIF(E32:AH32, "✓") + COUNTIF(E32:AH32, "✔") + COUNTIF(E32:AH32, "v") + COUNTIF(E32:AH32, "V"))/D32, 0), IF(((COUNTIF(E32:AH32, "✓") + COUNTIF(E32:AH32, "✔") + COUNTIF(E32:AH32, "v") + COUNTIF(E32:AH32, "V")) + COUNTIF(E32:AH32, "✗") + COUNTIF(E32:AH32, "x") + COUNTIF(E32:AH32, "X"))&gt;0, (COUNTIF(E32:AH32, "✓") + COUNTIF(E32:AH32, "✔") + COUNTIF(E32:AH32, "v") + COUNTIF(E32:AH32, "V"))/((COUNTIF(E32:AH32, "✓") + COUNTIF(E32:AH32, "✔") + COUNTIF(E32:AH32, "v") + COUNTIF(E32:AH32, "V")) + COUNTIF(E32:AH32, "✗") + COUNTIF(E32:AH32, "x") + COUNTIF(E32:AH32, "X")), "")))</f>
        <v/>
      </c>
      <c r="AJ32" s="124">
        <f>IF(ISBLANK(B32), "", IF(ISNUMBER(D32), IF(D32&gt;0, (COUNTIF(E32:AH32, "✓") + COUNTIF(E32:AH32, "✔") + COUNTIF(E32:AH32, "v") + COUNTIF(E32:AH32, "V")) &amp; "/" &amp; D32, (COUNTIF(E32:AH32, "✓") + COUNTIF(E32:AH32, "✔") + COUNTIF(E32:AH32, "v") + COUNTIF(E32:AH32, "V")) &amp; "/0"), IF(((COUNTIF(E32:AH32, "✓") + COUNTIF(E32:AH32, "✔") + COUNTIF(E32:AH32, "v") + COUNTIF(E32:AH32, "V")) + COUNTIF(E32:AH32, "✗") + COUNTIF(E32:AH32, "x") + COUNTIF(E32:AH32, "X"))&gt;0, (COUNTIF(E32:AH32, "✓") + COUNTIF(E32:AH32, "✔") + COUNTIF(E32:AH32, "v") + COUNTIF(E32:AH32, "V")) &amp; "/" &amp; ((COUNTIF(E32:AH32, "✓") + COUNTIF(E32:AH32, "✔") + COUNTIF(E32:AH32, "v") + COUNTIF(E32:AH32, "V")) + COUNTIF(E32:AH32, "✗") + COUNTIF(E32:AH32, "x") + COUNTIF(E32:AH32, "X")), "")))</f>
        <v/>
      </c>
      <c r="AK32" s="124">
        <f>IF(ISBLANK(B32), "", IF(AI32&gt;=0.85, "🔥 Mastered", IF(AI32&gt;=0.7, "⚡ Consistent", "⚠️ Needs Focus")))</f>
        <v/>
      </c>
      <c r="AL32">
        <f>COUNTIF(E32:AH32, "✓")</f>
        <v/>
      </c>
    </row>
    <row r="33" ht="14.5" customHeight="1">
      <c r="A33" s="118" t="n">
        <v>16</v>
      </c>
      <c r="B33" s="119" t="n"/>
      <c r="C33" s="120" t="n"/>
      <c r="D33" s="120" t="n"/>
      <c r="E33" s="121" t="n"/>
      <c r="F33" s="122" t="n"/>
      <c r="G33" s="121" t="n"/>
      <c r="H33" s="121" t="n"/>
      <c r="I33" s="121" t="n"/>
      <c r="J33" s="121" t="n"/>
      <c r="K33" s="121" t="n"/>
      <c r="L33" s="121" t="n"/>
      <c r="M33" s="122" t="n"/>
      <c r="N33" s="121" t="n"/>
      <c r="O33" s="121" t="n"/>
      <c r="P33" s="121" t="n"/>
      <c r="Q33" s="121" t="n"/>
      <c r="R33" s="121" t="n"/>
      <c r="S33" s="121" t="n"/>
      <c r="T33" s="122" t="n"/>
      <c r="U33" s="121" t="n"/>
      <c r="V33" s="121" t="n"/>
      <c r="W33" s="121" t="n"/>
      <c r="X33" s="121" t="n"/>
      <c r="Y33" s="121" t="n"/>
      <c r="Z33" s="121" t="n"/>
      <c r="AA33" s="122" t="n"/>
      <c r="AB33" s="121" t="n"/>
      <c r="AC33" s="121" t="n"/>
      <c r="AD33" s="121" t="n"/>
      <c r="AE33" s="121" t="n"/>
      <c r="AF33" s="121" t="n"/>
      <c r="AG33" s="121" t="n"/>
      <c r="AH33" s="122" t="n"/>
      <c r="AI33" s="123">
        <f>IF(ISBLANK(B33), "", IF(ISNUMBER(D33), IF(D33&gt;0, (COUNTIF(E33:AH33, "✓") + COUNTIF(E33:AH33, "✔") + COUNTIF(E33:AH33, "v") + COUNTIF(E33:AH33, "V"))/D33, 0), IF(((COUNTIF(E33:AH33, "✓") + COUNTIF(E33:AH33, "✔") + COUNTIF(E33:AH33, "v") + COUNTIF(E33:AH33, "V")) + COUNTIF(E33:AH33, "✗") + COUNTIF(E33:AH33, "x") + COUNTIF(E33:AH33, "X"))&gt;0, (COUNTIF(E33:AH33, "✓") + COUNTIF(E33:AH33, "✔") + COUNTIF(E33:AH33, "v") + COUNTIF(E33:AH33, "V"))/((COUNTIF(E33:AH33, "✓") + COUNTIF(E33:AH33, "✔") + COUNTIF(E33:AH33, "v") + COUNTIF(E33:AH33, "V")) + COUNTIF(E33:AH33, "✗") + COUNTIF(E33:AH33, "x") + COUNTIF(E33:AH33, "X")), "")))</f>
        <v/>
      </c>
      <c r="AJ33" s="124">
        <f>IF(ISBLANK(B33), "", IF(ISNUMBER(D33), IF(D33&gt;0, (COUNTIF(E33:AH33, "✓") + COUNTIF(E33:AH33, "✔") + COUNTIF(E33:AH33, "v") + COUNTIF(E33:AH33, "V")) &amp; "/" &amp; D33, (COUNTIF(E33:AH33, "✓") + COUNTIF(E33:AH33, "✔") + COUNTIF(E33:AH33, "v") + COUNTIF(E33:AH33, "V")) &amp; "/0"), IF(((COUNTIF(E33:AH33, "✓") + COUNTIF(E33:AH33, "✔") + COUNTIF(E33:AH33, "v") + COUNTIF(E33:AH33, "V")) + COUNTIF(E33:AH33, "✗") + COUNTIF(E33:AH33, "x") + COUNTIF(E33:AH33, "X"))&gt;0, (COUNTIF(E33:AH33, "✓") + COUNTIF(E33:AH33, "✔") + COUNTIF(E33:AH33, "v") + COUNTIF(E33:AH33, "V")) &amp; "/" &amp; ((COUNTIF(E33:AH33, "✓") + COUNTIF(E33:AH33, "✔") + COUNTIF(E33:AH33, "v") + COUNTIF(E33:AH33, "V")) + COUNTIF(E33:AH33, "✗") + COUNTIF(E33:AH33, "x") + COUNTIF(E33:AH33, "X")), "")))</f>
        <v/>
      </c>
      <c r="AK33" s="124">
        <f>IF(ISBLANK(B33), "", IF(AI33&gt;=0.85, "🔥 Mastered", IF(AI33&gt;=0.7, "⚡ Consistent", "⚠️ Needs Focus")))</f>
        <v/>
      </c>
      <c r="AL33">
        <f>COUNTIF(E33:AH33, "✓")</f>
        <v/>
      </c>
    </row>
    <row r="34" ht="14.5" customHeight="1">
      <c r="A34" s="125" t="n">
        <v>17</v>
      </c>
      <c r="B34" s="126" t="n"/>
      <c r="C34" s="127" t="n"/>
      <c r="D34" s="127" t="n"/>
      <c r="E34" s="128" t="n"/>
      <c r="F34" s="129" t="n"/>
      <c r="G34" s="128" t="n"/>
      <c r="H34" s="128" t="n"/>
      <c r="I34" s="128" t="n"/>
      <c r="J34" s="128" t="n"/>
      <c r="K34" s="128" t="n"/>
      <c r="L34" s="128" t="n"/>
      <c r="M34" s="129" t="n"/>
      <c r="N34" s="128" t="n"/>
      <c r="O34" s="128" t="n"/>
      <c r="P34" s="128" t="n"/>
      <c r="Q34" s="128" t="n"/>
      <c r="R34" s="128" t="n"/>
      <c r="S34" s="128" t="n"/>
      <c r="T34" s="129" t="n"/>
      <c r="U34" s="128" t="n"/>
      <c r="V34" s="128" t="n"/>
      <c r="W34" s="128" t="n"/>
      <c r="X34" s="128" t="n"/>
      <c r="Y34" s="128" t="n"/>
      <c r="Z34" s="128" t="n"/>
      <c r="AA34" s="129" t="n"/>
      <c r="AB34" s="128" t="n"/>
      <c r="AC34" s="128" t="n"/>
      <c r="AD34" s="128" t="n"/>
      <c r="AE34" s="128" t="n"/>
      <c r="AF34" s="128" t="n"/>
      <c r="AG34" s="128" t="n"/>
      <c r="AH34" s="129" t="n"/>
      <c r="AI34" s="130">
        <f>IF(ISBLANK(B34), "", IF(ISNUMBER(D34), IF(D34&gt;0, (COUNTIF(E34:AH34, "✓") + COUNTIF(E34:AH34, "✔") + COUNTIF(E34:AH34, "v") + COUNTIF(E34:AH34, "V"))/D34, 0), IF(((COUNTIF(E34:AH34, "✓") + COUNTIF(E34:AH34, "✔") + COUNTIF(E34:AH34, "v") + COUNTIF(E34:AH34, "V")) + COUNTIF(E34:AH34, "✗") + COUNTIF(E34:AH34, "x") + COUNTIF(E34:AH34, "X"))&gt;0, (COUNTIF(E34:AH34, "✓") + COUNTIF(E34:AH34, "✔") + COUNTIF(E34:AH34, "v") + COUNTIF(E34:AH34, "V"))/((COUNTIF(E34:AH34, "✓") + COUNTIF(E34:AH34, "✔") + COUNTIF(E34:AH34, "v") + COUNTIF(E34:AH34, "V")) + COUNTIF(E34:AH34, "✗") + COUNTIF(E34:AH34, "x") + COUNTIF(E34:AH34, "X")), "")))</f>
        <v/>
      </c>
      <c r="AJ34" s="131">
        <f>IF(ISBLANK(B34), "", IF(ISNUMBER(D34), IF(D34&gt;0, (COUNTIF(E34:AH34, "✓") + COUNTIF(E34:AH34, "✔") + COUNTIF(E34:AH34, "v") + COUNTIF(E34:AH34, "V")) &amp; "/" &amp; D34, (COUNTIF(E34:AH34, "✓") + COUNTIF(E34:AH34, "✔") + COUNTIF(E34:AH34, "v") + COUNTIF(E34:AH34, "V")) &amp; "/0"), IF(((COUNTIF(E34:AH34, "✓") + COUNTIF(E34:AH34, "✔") + COUNTIF(E34:AH34, "v") + COUNTIF(E34:AH34, "V")) + COUNTIF(E34:AH34, "✗") + COUNTIF(E34:AH34, "x") + COUNTIF(E34:AH34, "X"))&gt;0, (COUNTIF(E34:AH34, "✓") + COUNTIF(E34:AH34, "✔") + COUNTIF(E34:AH34, "v") + COUNTIF(E34:AH34, "V")) &amp; "/" &amp; ((COUNTIF(E34:AH34, "✓") + COUNTIF(E34:AH34, "✔") + COUNTIF(E34:AH34, "v") + COUNTIF(E34:AH34, "V")) + COUNTIF(E34:AH34, "✗") + COUNTIF(E34:AH34, "x") + COUNTIF(E34:AH34, "X")), "")))</f>
        <v/>
      </c>
      <c r="AK34" s="131">
        <f>IF(ISBLANK(B34), "", IF(AI34&gt;=0.85, "🔥 Mastered", IF(AI34&gt;=0.7, "⚡ Consistent", "⚠️ Needs Focus")))</f>
        <v/>
      </c>
      <c r="AL34">
        <f>COUNTIF(E34:AH34, "✓")</f>
        <v/>
      </c>
    </row>
    <row r="35" ht="14.5" customHeight="1">
      <c r="A35" s="125" t="n">
        <v>18</v>
      </c>
      <c r="B35" s="126" t="n"/>
      <c r="C35" s="127" t="n"/>
      <c r="D35" s="127" t="n"/>
      <c r="E35" s="128" t="n"/>
      <c r="F35" s="129" t="n"/>
      <c r="G35" s="128" t="n"/>
      <c r="H35" s="128" t="n"/>
      <c r="I35" s="128" t="n"/>
      <c r="J35" s="128" t="n"/>
      <c r="K35" s="128" t="n"/>
      <c r="L35" s="128" t="n"/>
      <c r="M35" s="129" t="n"/>
      <c r="N35" s="128" t="n"/>
      <c r="O35" s="128" t="n"/>
      <c r="P35" s="128" t="n"/>
      <c r="Q35" s="128" t="n"/>
      <c r="R35" s="128" t="n"/>
      <c r="S35" s="128" t="n"/>
      <c r="T35" s="129" t="n"/>
      <c r="U35" s="128" t="n"/>
      <c r="V35" s="128" t="n"/>
      <c r="W35" s="128" t="n"/>
      <c r="X35" s="128" t="n"/>
      <c r="Y35" s="128" t="n"/>
      <c r="Z35" s="128" t="n"/>
      <c r="AA35" s="129" t="n"/>
      <c r="AB35" s="128" t="n"/>
      <c r="AC35" s="128" t="n"/>
      <c r="AD35" s="128" t="n"/>
      <c r="AE35" s="128" t="n"/>
      <c r="AF35" s="128" t="n"/>
      <c r="AG35" s="128" t="n"/>
      <c r="AH35" s="129" t="n"/>
      <c r="AI35" s="130">
        <f>IF(ISBLANK(B35), "", IF(ISNUMBER(D35), IF(D35&gt;0, (COUNTIF(E35:AH35, "✓") + COUNTIF(E35:AH35, "✔") + COUNTIF(E35:AH35, "v") + COUNTIF(E35:AH35, "V"))/D35, 0), IF(((COUNTIF(E35:AH35, "✓") + COUNTIF(E35:AH35, "✔") + COUNTIF(E35:AH35, "v") + COUNTIF(E35:AH35, "V")) + COUNTIF(E35:AH35, "✗") + COUNTIF(E35:AH35, "x") + COUNTIF(E35:AH35, "X"))&gt;0, (COUNTIF(E35:AH35, "✓") + COUNTIF(E35:AH35, "✔") + COUNTIF(E35:AH35, "v") + COUNTIF(E35:AH35, "V"))/((COUNTIF(E35:AH35, "✓") + COUNTIF(E35:AH35, "✔") + COUNTIF(E35:AH35, "v") + COUNTIF(E35:AH35, "V")) + COUNTIF(E35:AH35, "✗") + COUNTIF(E35:AH35, "x") + COUNTIF(E35:AH35, "X")), "")))</f>
        <v/>
      </c>
      <c r="AJ35" s="131">
        <f>IF(ISBLANK(B35), "", IF(ISNUMBER(D35), IF(D35&gt;0, (COUNTIF(E35:AH35, "✓") + COUNTIF(E35:AH35, "✔") + COUNTIF(E35:AH35, "v") + COUNTIF(E35:AH35, "V")) &amp; "/" &amp; D35, (COUNTIF(E35:AH35, "✓") + COUNTIF(E35:AH35, "✔") + COUNTIF(E35:AH35, "v") + COUNTIF(E35:AH35, "V")) &amp; "/0"), IF(((COUNTIF(E35:AH35, "✓") + COUNTIF(E35:AH35, "✔") + COUNTIF(E35:AH35, "v") + COUNTIF(E35:AH35, "V")) + COUNTIF(E35:AH35, "✗") + COUNTIF(E35:AH35, "x") + COUNTIF(E35:AH35, "X"))&gt;0, (COUNTIF(E35:AH35, "✓") + COUNTIF(E35:AH35, "✔") + COUNTIF(E35:AH35, "v") + COUNTIF(E35:AH35, "V")) &amp; "/" &amp; ((COUNTIF(E35:AH35, "✓") + COUNTIF(E35:AH35, "✔") + COUNTIF(E35:AH35, "v") + COUNTIF(E35:AH35, "V")) + COUNTIF(E35:AH35, "✗") + COUNTIF(E35:AH35, "x") + COUNTIF(E35:AH35, "X")), "")))</f>
        <v/>
      </c>
      <c r="AK35" s="131">
        <f>IF(ISBLANK(B35), "", IF(AI35&gt;=0.85, "🔥 Mastered", IF(AI35&gt;=0.7, "⚡ Consistent", "⚠️ Needs Focus")))</f>
        <v/>
      </c>
      <c r="AL35">
        <f>COUNTIF(E35:AH35, "✓")</f>
        <v/>
      </c>
    </row>
    <row r="36" ht="14.5" customHeight="1">
      <c r="A36" s="125" t="n">
        <v>19</v>
      </c>
      <c r="B36" s="126" t="n"/>
      <c r="C36" s="127" t="n"/>
      <c r="D36" s="127" t="n"/>
      <c r="E36" s="128" t="n"/>
      <c r="F36" s="129" t="n"/>
      <c r="G36" s="128" t="n"/>
      <c r="H36" s="128" t="n"/>
      <c r="I36" s="128" t="n"/>
      <c r="J36" s="128" t="n"/>
      <c r="K36" s="128" t="n"/>
      <c r="L36" s="128" t="n"/>
      <c r="M36" s="129" t="n"/>
      <c r="N36" s="128" t="n"/>
      <c r="O36" s="128" t="n"/>
      <c r="P36" s="128" t="n"/>
      <c r="Q36" s="128" t="n"/>
      <c r="R36" s="128" t="n"/>
      <c r="S36" s="128" t="n"/>
      <c r="T36" s="129" t="n"/>
      <c r="U36" s="128" t="n"/>
      <c r="V36" s="128" t="n"/>
      <c r="W36" s="128" t="n"/>
      <c r="X36" s="128" t="n"/>
      <c r="Y36" s="128" t="n"/>
      <c r="Z36" s="128" t="n"/>
      <c r="AA36" s="129" t="n"/>
      <c r="AB36" s="128" t="n"/>
      <c r="AC36" s="128" t="n"/>
      <c r="AD36" s="128" t="n"/>
      <c r="AE36" s="128" t="n"/>
      <c r="AF36" s="128" t="n"/>
      <c r="AG36" s="128" t="n"/>
      <c r="AH36" s="129" t="n"/>
      <c r="AI36" s="130">
        <f>IF(ISBLANK(B36), "", IF(ISNUMBER(D36), IF(D36&gt;0, (COUNTIF(E36:AH36, "✓") + COUNTIF(E36:AH36, "✔") + COUNTIF(E36:AH36, "v") + COUNTIF(E36:AH36, "V"))/D36, 0), IF(((COUNTIF(E36:AH36, "✓") + COUNTIF(E36:AH36, "✔") + COUNTIF(E36:AH36, "v") + COUNTIF(E36:AH36, "V")) + COUNTIF(E36:AH36, "✗") + COUNTIF(E36:AH36, "x") + COUNTIF(E36:AH36, "X"))&gt;0, (COUNTIF(E36:AH36, "✓") + COUNTIF(E36:AH36, "✔") + COUNTIF(E36:AH36, "v") + COUNTIF(E36:AH36, "V"))/((COUNTIF(E36:AH36, "✓") + COUNTIF(E36:AH36, "✔") + COUNTIF(E36:AH36, "v") + COUNTIF(E36:AH36, "V")) + COUNTIF(E36:AH36, "✗") + COUNTIF(E36:AH36, "x") + COUNTIF(E36:AH36, "X")), "")))</f>
        <v/>
      </c>
      <c r="AJ36" s="131">
        <f>IF(ISBLANK(B36), "", IF(ISNUMBER(D36), IF(D36&gt;0, (COUNTIF(E36:AH36, "✓") + COUNTIF(E36:AH36, "✔") + COUNTIF(E36:AH36, "v") + COUNTIF(E36:AH36, "V")) &amp; "/" &amp; D36, (COUNTIF(E36:AH36, "✓") + COUNTIF(E36:AH36, "✔") + COUNTIF(E36:AH36, "v") + COUNTIF(E36:AH36, "V")) &amp; "/0"), IF(((COUNTIF(E36:AH36, "✓") + COUNTIF(E36:AH36, "✔") + COUNTIF(E36:AH36, "v") + COUNTIF(E36:AH36, "V")) + COUNTIF(E36:AH36, "✗") + COUNTIF(E36:AH36, "x") + COUNTIF(E36:AH36, "X"))&gt;0, (COUNTIF(E36:AH36, "✓") + COUNTIF(E36:AH36, "✔") + COUNTIF(E36:AH36, "v") + COUNTIF(E36:AH36, "V")) &amp; "/" &amp; ((COUNTIF(E36:AH36, "✓") + COUNTIF(E36:AH36, "✔") + COUNTIF(E36:AH36, "v") + COUNTIF(E36:AH36, "V")) + COUNTIF(E36:AH36, "✗") + COUNTIF(E36:AH36, "x") + COUNTIF(E36:AH36, "X")), "")))</f>
        <v/>
      </c>
      <c r="AK36" s="131">
        <f>IF(ISBLANK(B36), "", IF(AI36&gt;=0.85, "🔥 Mastered", IF(AI36&gt;=0.7, "⚡ Consistent", "⚠️ Needs Focus")))</f>
        <v/>
      </c>
      <c r="AL36">
        <f>COUNTIF(E36:AH36, "✓")</f>
        <v/>
      </c>
    </row>
    <row r="37" ht="14.5" customHeight="1">
      <c r="A37" s="125" t="n">
        <v>20</v>
      </c>
      <c r="B37" s="126" t="n"/>
      <c r="C37" s="127" t="n"/>
      <c r="D37" s="127" t="n"/>
      <c r="E37" s="128" t="n"/>
      <c r="F37" s="129" t="n"/>
      <c r="G37" s="128" t="n"/>
      <c r="H37" s="128" t="n"/>
      <c r="I37" s="128" t="n"/>
      <c r="J37" s="128" t="n"/>
      <c r="K37" s="128" t="n"/>
      <c r="L37" s="128" t="n"/>
      <c r="M37" s="129" t="n"/>
      <c r="N37" s="128" t="n"/>
      <c r="O37" s="128" t="n"/>
      <c r="P37" s="128" t="n"/>
      <c r="Q37" s="128" t="n"/>
      <c r="R37" s="128" t="n"/>
      <c r="S37" s="128" t="n"/>
      <c r="T37" s="129" t="n"/>
      <c r="U37" s="128" t="n"/>
      <c r="V37" s="128" t="n"/>
      <c r="W37" s="128" t="n"/>
      <c r="X37" s="128" t="n"/>
      <c r="Y37" s="128" t="n"/>
      <c r="Z37" s="128" t="n"/>
      <c r="AA37" s="129" t="n"/>
      <c r="AB37" s="128" t="n"/>
      <c r="AC37" s="128" t="n"/>
      <c r="AD37" s="128" t="n"/>
      <c r="AE37" s="128" t="n"/>
      <c r="AF37" s="128" t="n"/>
      <c r="AG37" s="128" t="n"/>
      <c r="AH37" s="129" t="n"/>
      <c r="AI37" s="130">
        <f>IF(ISBLANK(B37), "", IF(ISNUMBER(D37), IF(D37&gt;0, (COUNTIF(E37:AH37, "✓") + COUNTIF(E37:AH37, "✔") + COUNTIF(E37:AH37, "v") + COUNTIF(E37:AH37, "V"))/D37, 0), IF(((COUNTIF(E37:AH37, "✓") + COUNTIF(E37:AH37, "✔") + COUNTIF(E37:AH37, "v") + COUNTIF(E37:AH37, "V")) + COUNTIF(E37:AH37, "✗") + COUNTIF(E37:AH37, "x") + COUNTIF(E37:AH37, "X"))&gt;0, (COUNTIF(E37:AH37, "✓") + COUNTIF(E37:AH37, "✔") + COUNTIF(E37:AH37, "v") + COUNTIF(E37:AH37, "V"))/((COUNTIF(E37:AH37, "✓") + COUNTIF(E37:AH37, "✔") + COUNTIF(E37:AH37, "v") + COUNTIF(E37:AH37, "V")) + COUNTIF(E37:AH37, "✗") + COUNTIF(E37:AH37, "x") + COUNTIF(E37:AH37, "X")), "")))</f>
        <v/>
      </c>
      <c r="AJ37" s="131">
        <f>IF(ISBLANK(B37), "", IF(ISNUMBER(D37), IF(D37&gt;0, (COUNTIF(E37:AH37, "✓") + COUNTIF(E37:AH37, "✔") + COUNTIF(E37:AH37, "v") + COUNTIF(E37:AH37, "V")) &amp; "/" &amp; D37, (COUNTIF(E37:AH37, "✓") + COUNTIF(E37:AH37, "✔") + COUNTIF(E37:AH37, "v") + COUNTIF(E37:AH37, "V")) &amp; "/0"), IF(((COUNTIF(E37:AH37, "✓") + COUNTIF(E37:AH37, "✔") + COUNTIF(E37:AH37, "v") + COUNTIF(E37:AH37, "V")) + COUNTIF(E37:AH37, "✗") + COUNTIF(E37:AH37, "x") + COUNTIF(E37:AH37, "X"))&gt;0, (COUNTIF(E37:AH37, "✓") + COUNTIF(E37:AH37, "✔") + COUNTIF(E37:AH37, "v") + COUNTIF(E37:AH37, "V")) &amp; "/" &amp; ((COUNTIF(E37:AH37, "✓") + COUNTIF(E37:AH37, "✔") + COUNTIF(E37:AH37, "v") + COUNTIF(E37:AH37, "V")) + COUNTIF(E37:AH37, "✗") + COUNTIF(E37:AH37, "x") + COUNTIF(E37:AH37, "X")), "")))</f>
        <v/>
      </c>
      <c r="AK37" s="131">
        <f>IF(ISBLANK(B37), "", IF(AI37&gt;=0.85, "🔥 Mastered", IF(AI37&gt;=0.7, "⚡ Consistent", "⚠️ Needs Focus")))</f>
        <v/>
      </c>
      <c r="AL37">
        <f>COUNTIF(E37:AH37, "✓")</f>
        <v/>
      </c>
    </row>
    <row r="38" ht="18" customHeight="1">
      <c r="A38" s="132" t="inlineStr">
        <is>
          <t>DAILY TOTAL SCORE</t>
        </is>
      </c>
      <c r="B38" s="54" t="n"/>
      <c r="C38" s="54" t="n"/>
      <c r="D38" s="54" t="n"/>
      <c r="E38" s="33">
        <f>IF(((COUNTIF(E18:E37, "✓") + COUNTIF(E18:E37, "✔") + COUNTIF(E18:E37, "v") + COUNTIF(E18:E37, "V")) + COUNTIF(E18:E37, "✗") + COUNTIF(E18:E37, "x") + COUNTIF(E18:E37, "X")) &gt; 0, (COUNTIF(E18:E37, "✓") + COUNTIF(E18:E37, "✔") + COUNTIF(E18:E37, "v") + COUNTIF(E18:E37, "V")) &amp; "/" &amp; ((COUNTIF(E18:E37, "✓") + COUNTIF(E18:E37, "✔") + COUNTIF(E18:E37, "v") + COUNTIF(E18:E37, "V")) + COUNTIF(E18:E37, "✗") + COUNTIF(E18:E37, "x") + COUNTIF(E18:E37, "X")), "")</f>
        <v/>
      </c>
      <c r="F38" s="33">
        <f>IF(((COUNTIF(F18:F37, "✓") + COUNTIF(F18:F37, "✔") + COUNTIF(F18:F37, "v") + COUNTIF(F18:F37, "V")) + COUNTIF(F18:F37, "✗") + COUNTIF(F18:F37, "x") + COUNTIF(F18:F37, "X")) &gt; 0, (COUNTIF(F18:F37, "✓") + COUNTIF(F18:F37, "✔") + COUNTIF(F18:F37, "v") + COUNTIF(F18:F37, "V")) &amp; "/" &amp; ((COUNTIF(F18:F37, "✓") + COUNTIF(F18:F37, "✔") + COUNTIF(F18:F37, "v") + COUNTIF(F18:F37, "V")) + COUNTIF(F18:F37, "✗") + COUNTIF(F18:F37, "x") + COUNTIF(F18:F37, "X")), "")</f>
        <v/>
      </c>
      <c r="G38" s="33">
        <f>IF(((COUNTIF(G18:G37, "✓") + COUNTIF(G18:G37, "✔") + COUNTIF(G18:G37, "v") + COUNTIF(G18:G37, "V")) + COUNTIF(G18:G37, "✗") + COUNTIF(G18:G37, "x") + COUNTIF(G18:G37, "X")) &gt; 0, (COUNTIF(G18:G37, "✓") + COUNTIF(G18:G37, "✔") + COUNTIF(G18:G37, "v") + COUNTIF(G18:G37, "V")) &amp; "/" &amp; ((COUNTIF(G18:G37, "✓") + COUNTIF(G18:G37, "✔") + COUNTIF(G18:G37, "v") + COUNTIF(G18:G37, "V")) + COUNTIF(G18:G37, "✗") + COUNTIF(G18:G37, "x") + COUNTIF(G18:G37, "X")), "")</f>
        <v/>
      </c>
      <c r="H38" s="33">
        <f>IF(((COUNTIF(H18:H37, "✓") + COUNTIF(H18:H37, "✔") + COUNTIF(H18:H37, "v") + COUNTIF(H18:H37, "V")) + COUNTIF(H18:H37, "✗") + COUNTIF(H18:H37, "x") + COUNTIF(H18:H37, "X")) &gt; 0, (COUNTIF(H18:H37, "✓") + COUNTIF(H18:H37, "✔") + COUNTIF(H18:H37, "v") + COUNTIF(H18:H37, "V")) &amp; "/" &amp; ((COUNTIF(H18:H37, "✓") + COUNTIF(H18:H37, "✔") + COUNTIF(H18:H37, "v") + COUNTIF(H18:H37, "V")) + COUNTIF(H18:H37, "✗") + COUNTIF(H18:H37, "x") + COUNTIF(H18:H37, "X")), "")</f>
        <v/>
      </c>
      <c r="I38" s="33">
        <f>IF(((COUNTIF(I18:I37, "✓") + COUNTIF(I18:I37, "✔") + COUNTIF(I18:I37, "v") + COUNTIF(I18:I37, "V")) + COUNTIF(I18:I37, "✗") + COUNTIF(I18:I37, "x") + COUNTIF(I18:I37, "X")) &gt; 0, (COUNTIF(I18:I37, "✓") + COUNTIF(I18:I37, "✔") + COUNTIF(I18:I37, "v") + COUNTIF(I18:I37, "V")) &amp; "/" &amp; ((COUNTIF(I18:I37, "✓") + COUNTIF(I18:I37, "✔") + COUNTIF(I18:I37, "v") + COUNTIF(I18:I37, "V")) + COUNTIF(I18:I37, "✗") + COUNTIF(I18:I37, "x") + COUNTIF(I18:I37, "X")), "")</f>
        <v/>
      </c>
      <c r="J38" s="33">
        <f>IF(((COUNTIF(J18:J37, "✓") + COUNTIF(J18:J37, "✔") + COUNTIF(J18:J37, "v") + COUNTIF(J18:J37, "V")) + COUNTIF(J18:J37, "✗") + COUNTIF(J18:J37, "x") + COUNTIF(J18:J37, "X")) &gt; 0, (COUNTIF(J18:J37, "✓") + COUNTIF(J18:J37, "✔") + COUNTIF(J18:J37, "v") + COUNTIF(J18:J37, "V")) &amp; "/" &amp; ((COUNTIF(J18:J37, "✓") + COUNTIF(J18:J37, "✔") + COUNTIF(J18:J37, "v") + COUNTIF(J18:J37, "V")) + COUNTIF(J18:J37, "✗") + COUNTIF(J18:J37, "x") + COUNTIF(J18:J37, "X")), "")</f>
        <v/>
      </c>
      <c r="K38" s="33">
        <f>IF(((COUNTIF(K18:K37, "✓") + COUNTIF(K18:K37, "✔") + COUNTIF(K18:K37, "v") + COUNTIF(K18:K37, "V")) + COUNTIF(K18:K37, "✗") + COUNTIF(K18:K37, "x") + COUNTIF(K18:K37, "X")) &gt; 0, (COUNTIF(K18:K37, "✓") + COUNTIF(K18:K37, "✔") + COUNTIF(K18:K37, "v") + COUNTIF(K18:K37, "V")) &amp; "/" &amp; ((COUNTIF(K18:K37, "✓") + COUNTIF(K18:K37, "✔") + COUNTIF(K18:K37, "v") + COUNTIF(K18:K37, "V")) + COUNTIF(K18:K37, "✗") + COUNTIF(K18:K37, "x") + COUNTIF(K18:K37, "X")), "")</f>
        <v/>
      </c>
      <c r="L38" s="33">
        <f>IF(((COUNTIF(L18:L37, "✓") + COUNTIF(L18:L37, "✔") + COUNTIF(L18:L37, "v") + COUNTIF(L18:L37, "V")) + COUNTIF(L18:L37, "✗") + COUNTIF(L18:L37, "x") + COUNTIF(L18:L37, "X")) &gt; 0, (COUNTIF(L18:L37, "✓") + COUNTIF(L18:L37, "✔") + COUNTIF(L18:L37, "v") + COUNTIF(L18:L37, "V")) &amp; "/" &amp; ((COUNTIF(L18:L37, "✓") + COUNTIF(L18:L37, "✔") + COUNTIF(L18:L37, "v") + COUNTIF(L18:L37, "V")) + COUNTIF(L18:L37, "✗") + COUNTIF(L18:L37, "x") + COUNTIF(L18:L37, "X")), "")</f>
        <v/>
      </c>
      <c r="M38" s="33">
        <f>IF(((COUNTIF(M18:M37, "✓") + COUNTIF(M18:M37, "✔") + COUNTIF(M18:M37, "v") + COUNTIF(M18:M37, "V")) + COUNTIF(M18:M37, "✗") + COUNTIF(M18:M37, "x") + COUNTIF(M18:M37, "X")) &gt; 0, (COUNTIF(M18:M37, "✓") + COUNTIF(M18:M37, "✔") + COUNTIF(M18:M37, "v") + COUNTIF(M18:M37, "V")) &amp; "/" &amp; ((COUNTIF(M18:M37, "✓") + COUNTIF(M18:M37, "✔") + COUNTIF(M18:M37, "v") + COUNTIF(M18:M37, "V")) + COUNTIF(M18:M37, "✗") + COUNTIF(M18:M37, "x") + COUNTIF(M18:M37, "X")), "")</f>
        <v/>
      </c>
      <c r="N38" s="33">
        <f>IF(((COUNTIF(N18:N37, "✓") + COUNTIF(N18:N37, "✔") + COUNTIF(N18:N37, "v") + COUNTIF(N18:N37, "V")) + COUNTIF(N18:N37, "✗") + COUNTIF(N18:N37, "x") + COUNTIF(N18:N37, "X")) &gt; 0, (COUNTIF(N18:N37, "✓") + COUNTIF(N18:N37, "✔") + COUNTIF(N18:N37, "v") + COUNTIF(N18:N37, "V")) &amp; "/" &amp; ((COUNTIF(N18:N37, "✓") + COUNTIF(N18:N37, "✔") + COUNTIF(N18:N37, "v") + COUNTIF(N18:N37, "V")) + COUNTIF(N18:N37, "✗") + COUNTIF(N18:N37, "x") + COUNTIF(N18:N37, "X")), "")</f>
        <v/>
      </c>
      <c r="O38" s="33">
        <f>IF(((COUNTIF(O18:O37, "✓") + COUNTIF(O18:O37, "✔") + COUNTIF(O18:O37, "v") + COUNTIF(O18:O37, "V")) + COUNTIF(O18:O37, "✗") + COUNTIF(O18:O37, "x") + COUNTIF(O18:O37, "X")) &gt; 0, (COUNTIF(O18:O37, "✓") + COUNTIF(O18:O37, "✔") + COUNTIF(O18:O37, "v") + COUNTIF(O18:O37, "V")) &amp; "/" &amp; ((COUNTIF(O18:O37, "✓") + COUNTIF(O18:O37, "✔") + COUNTIF(O18:O37, "v") + COUNTIF(O18:O37, "V")) + COUNTIF(O18:O37, "✗") + COUNTIF(O18:O37, "x") + COUNTIF(O18:O37, "X")), "")</f>
        <v/>
      </c>
      <c r="P38" s="33">
        <f>IF(((COUNTIF(P18:P37, "✓") + COUNTIF(P18:P37, "✔") + COUNTIF(P18:P37, "v") + COUNTIF(P18:P37, "V")) + COUNTIF(P18:P37, "✗") + COUNTIF(P18:P37, "x") + COUNTIF(P18:P37, "X")) &gt; 0, (COUNTIF(P18:P37, "✓") + COUNTIF(P18:P37, "✔") + COUNTIF(P18:P37, "v") + COUNTIF(P18:P37, "V")) &amp; "/" &amp; ((COUNTIF(P18:P37, "✓") + COUNTIF(P18:P37, "✔") + COUNTIF(P18:P37, "v") + COUNTIF(P18:P37, "V")) + COUNTIF(P18:P37, "✗") + COUNTIF(P18:P37, "x") + COUNTIF(P18:P37, "X")), "")</f>
        <v/>
      </c>
      <c r="Q38" s="33">
        <f>IF(((COUNTIF(Q18:Q37, "✓") + COUNTIF(Q18:Q37, "✔") + COUNTIF(Q18:Q37, "v") + COUNTIF(Q18:Q37, "V")) + COUNTIF(Q18:Q37, "✗") + COUNTIF(Q18:Q37, "x") + COUNTIF(Q18:Q37, "X")) &gt; 0, (COUNTIF(Q18:Q37, "✓") + COUNTIF(Q18:Q37, "✔") + COUNTIF(Q18:Q37, "v") + COUNTIF(Q18:Q37, "V")) &amp; "/" &amp; ((COUNTIF(Q18:Q37, "✓") + COUNTIF(Q18:Q37, "✔") + COUNTIF(Q18:Q37, "v") + COUNTIF(Q18:Q37, "V")) + COUNTIF(Q18:Q37, "✗") + COUNTIF(Q18:Q37, "x") + COUNTIF(Q18:Q37, "X")), "")</f>
        <v/>
      </c>
      <c r="R38" s="33">
        <f>IF(((COUNTIF(R18:R37, "✓") + COUNTIF(R18:R37, "✔") + COUNTIF(R18:R37, "v") + COUNTIF(R18:R37, "V")) + COUNTIF(R18:R37, "✗") + COUNTIF(R18:R37, "x") + COUNTIF(R18:R37, "X")) &gt; 0, (COUNTIF(R18:R37, "✓") + COUNTIF(R18:R37, "✔") + COUNTIF(R18:R37, "v") + COUNTIF(R18:R37, "V")) &amp; "/" &amp; ((COUNTIF(R18:R37, "✓") + COUNTIF(R18:R37, "✔") + COUNTIF(R18:R37, "v") + COUNTIF(R18:R37, "V")) + COUNTIF(R18:R37, "✗") + COUNTIF(R18:R37, "x") + COUNTIF(R18:R37, "X")), "")</f>
        <v/>
      </c>
      <c r="S38" s="33">
        <f>IF(((COUNTIF(S18:S37, "✓") + COUNTIF(S18:S37, "✔") + COUNTIF(S18:S37, "v") + COUNTIF(S18:S37, "V")) + COUNTIF(S18:S37, "✗") + COUNTIF(S18:S37, "x") + COUNTIF(S18:S37, "X")) &gt; 0, (COUNTIF(S18:S37, "✓") + COUNTIF(S18:S37, "✔") + COUNTIF(S18:S37, "v") + COUNTIF(S18:S37, "V")) &amp; "/" &amp; ((COUNTIF(S18:S37, "✓") + COUNTIF(S18:S37, "✔") + COUNTIF(S18:S37, "v") + COUNTIF(S18:S37, "V")) + COUNTIF(S18:S37, "✗") + COUNTIF(S18:S37, "x") + COUNTIF(S18:S37, "X")), "")</f>
        <v/>
      </c>
      <c r="T38" s="33">
        <f>IF(((COUNTIF(T18:T37, "✓") + COUNTIF(T18:T37, "✔") + COUNTIF(T18:T37, "v") + COUNTIF(T18:T37, "V")) + COUNTIF(T18:T37, "✗") + COUNTIF(T18:T37, "x") + COUNTIF(T18:T37, "X")) &gt; 0, (COUNTIF(T18:T37, "✓") + COUNTIF(T18:T37, "✔") + COUNTIF(T18:T37, "v") + COUNTIF(T18:T37, "V")) &amp; "/" &amp; ((COUNTIF(T18:T37, "✓") + COUNTIF(T18:T37, "✔") + COUNTIF(T18:T37, "v") + COUNTIF(T18:T37, "V")) + COUNTIF(T18:T37, "✗") + COUNTIF(T18:T37, "x") + COUNTIF(T18:T37, "X")), "")</f>
        <v/>
      </c>
      <c r="U38" s="33">
        <f>IF(((COUNTIF(U18:U37, "✓") + COUNTIF(U18:U37, "✔") + COUNTIF(U18:U37, "v") + COUNTIF(U18:U37, "V")) + COUNTIF(U18:U37, "✗") + COUNTIF(U18:U37, "x") + COUNTIF(U18:U37, "X")) &gt; 0, (COUNTIF(U18:U37, "✓") + COUNTIF(U18:U37, "✔") + COUNTIF(U18:U37, "v") + COUNTIF(U18:U37, "V")) &amp; "/" &amp; ((COUNTIF(U18:U37, "✓") + COUNTIF(U18:U37, "✔") + COUNTIF(U18:U37, "v") + COUNTIF(U18:U37, "V")) + COUNTIF(U18:U37, "✗") + COUNTIF(U18:U37, "x") + COUNTIF(U18:U37, "X")), "")</f>
        <v/>
      </c>
      <c r="V38" s="33">
        <f>IF(((COUNTIF(V18:V37, "✓") + COUNTIF(V18:V37, "✔") + COUNTIF(V18:V37, "v") + COUNTIF(V18:V37, "V")) + COUNTIF(V18:V37, "✗") + COUNTIF(V18:V37, "x") + COUNTIF(V18:V37, "X")) &gt; 0, (COUNTIF(V18:V37, "✓") + COUNTIF(V18:V37, "✔") + COUNTIF(V18:V37, "v") + COUNTIF(V18:V37, "V")) &amp; "/" &amp; ((COUNTIF(V18:V37, "✓") + COUNTIF(V18:V37, "✔") + COUNTIF(V18:V37, "v") + COUNTIF(V18:V37, "V")) + COUNTIF(V18:V37, "✗") + COUNTIF(V18:V37, "x") + COUNTIF(V18:V37, "X")), "")</f>
        <v/>
      </c>
      <c r="W38" s="33">
        <f>IF(((COUNTIF(W18:W37, "✓") + COUNTIF(W18:W37, "✔") + COUNTIF(W18:W37, "v") + COUNTIF(W18:W37, "V")) + COUNTIF(W18:W37, "✗") + COUNTIF(W18:W37, "x") + COUNTIF(W18:W37, "X")) &gt; 0, (COUNTIF(W18:W37, "✓") + COUNTIF(W18:W37, "✔") + COUNTIF(W18:W37, "v") + COUNTIF(W18:W37, "V")) &amp; "/" &amp; ((COUNTIF(W18:W37, "✓") + COUNTIF(W18:W37, "✔") + COUNTIF(W18:W37, "v") + COUNTIF(W18:W37, "V")) + COUNTIF(W18:W37, "✗") + COUNTIF(W18:W37, "x") + COUNTIF(W18:W37, "X")), "")</f>
        <v/>
      </c>
      <c r="X38" s="33">
        <f>IF(((COUNTIF(X18:X37, "✓") + COUNTIF(X18:X37, "✔") + COUNTIF(X18:X37, "v") + COUNTIF(X18:X37, "V")) + COUNTIF(X18:X37, "✗") + COUNTIF(X18:X37, "x") + COUNTIF(X18:X37, "X")) &gt; 0, (COUNTIF(X18:X37, "✓") + COUNTIF(X18:X37, "✔") + COUNTIF(X18:X37, "v") + COUNTIF(X18:X37, "V")) &amp; "/" &amp; ((COUNTIF(X18:X37, "✓") + COUNTIF(X18:X37, "✔") + COUNTIF(X18:X37, "v") + COUNTIF(X18:X37, "V")) + COUNTIF(X18:X37, "✗") + COUNTIF(X18:X37, "x") + COUNTIF(X18:X37, "X")), "")</f>
        <v/>
      </c>
      <c r="Y38" s="33">
        <f>IF(((COUNTIF(Y18:Y37, "✓") + COUNTIF(Y18:Y37, "✔") + COUNTIF(Y18:Y37, "v") + COUNTIF(Y18:Y37, "V")) + COUNTIF(Y18:Y37, "✗") + COUNTIF(Y18:Y37, "x") + COUNTIF(Y18:Y37, "X")) &gt; 0, (COUNTIF(Y18:Y37, "✓") + COUNTIF(Y18:Y37, "✔") + COUNTIF(Y18:Y37, "v") + COUNTIF(Y18:Y37, "V")) &amp; "/" &amp; ((COUNTIF(Y18:Y37, "✓") + COUNTIF(Y18:Y37, "✔") + COUNTIF(Y18:Y37, "v") + COUNTIF(Y18:Y37, "V")) + COUNTIF(Y18:Y37, "✗") + COUNTIF(Y18:Y37, "x") + COUNTIF(Y18:Y37, "X")), "")</f>
        <v/>
      </c>
      <c r="Z38" s="33">
        <f>IF(((COUNTIF(Z18:Z37, "✓") + COUNTIF(Z18:Z37, "✔") + COUNTIF(Z18:Z37, "v") + COUNTIF(Z18:Z37, "V")) + COUNTIF(Z18:Z37, "✗") + COUNTIF(Z18:Z37, "x") + COUNTIF(Z18:Z37, "X")) &gt; 0, (COUNTIF(Z18:Z37, "✓") + COUNTIF(Z18:Z37, "✔") + COUNTIF(Z18:Z37, "v") + COUNTIF(Z18:Z37, "V")) &amp; "/" &amp; ((COUNTIF(Z18:Z37, "✓") + COUNTIF(Z18:Z37, "✔") + COUNTIF(Z18:Z37, "v") + COUNTIF(Z18:Z37, "V")) + COUNTIF(Z18:Z37, "✗") + COUNTIF(Z18:Z37, "x") + COUNTIF(Z18:Z37, "X")), "")</f>
        <v/>
      </c>
      <c r="AA38" s="33">
        <f>IF(((COUNTIF(AA18:AA37, "✓") + COUNTIF(AA18:AA37, "✔") + COUNTIF(AA18:AA37, "v") + COUNTIF(AA18:AA37, "V")) + COUNTIF(AA18:AA37, "✗") + COUNTIF(AA18:AA37, "x") + COUNTIF(AA18:AA37, "X")) &gt; 0, (COUNTIF(AA18:AA37, "✓") + COUNTIF(AA18:AA37, "✔") + COUNTIF(AA18:AA37, "v") + COUNTIF(AA18:AA37, "V")) &amp; "/" &amp; ((COUNTIF(AA18:AA37, "✓") + COUNTIF(AA18:AA37, "✔") + COUNTIF(AA18:AA37, "v") + COUNTIF(AA18:AA37, "V")) + COUNTIF(AA18:AA37, "✗") + COUNTIF(AA18:AA37, "x") + COUNTIF(AA18:AA37, "X")), "")</f>
        <v/>
      </c>
      <c r="AB38" s="33">
        <f>IF(((COUNTIF(AB18:AB37, "✓") + COUNTIF(AB18:AB37, "✔") + COUNTIF(AB18:AB37, "v") + COUNTIF(AB18:AB37, "V")) + COUNTIF(AB18:AB37, "✗") + COUNTIF(AB18:AB37, "x") + COUNTIF(AB18:AB37, "X")) &gt; 0, (COUNTIF(AB18:AB37, "✓") + COUNTIF(AB18:AB37, "✔") + COUNTIF(AB18:AB37, "v") + COUNTIF(AB18:AB37, "V")) &amp; "/" &amp; ((COUNTIF(AB18:AB37, "✓") + COUNTIF(AB18:AB37, "✔") + COUNTIF(AB18:AB37, "v") + COUNTIF(AB18:AB37, "V")) + COUNTIF(AB18:AB37, "✗") + COUNTIF(AB18:AB37, "x") + COUNTIF(AB18:AB37, "X")), "")</f>
        <v/>
      </c>
      <c r="AC38" s="33">
        <f>IF(((COUNTIF(AC18:AC37, "✓") + COUNTIF(AC18:AC37, "✔") + COUNTIF(AC18:AC37, "v") + COUNTIF(AC18:AC37, "V")) + COUNTIF(AC18:AC37, "✗") + COUNTIF(AC18:AC37, "x") + COUNTIF(AC18:AC37, "X")) &gt; 0, (COUNTIF(AC18:AC37, "✓") + COUNTIF(AC18:AC37, "✔") + COUNTIF(AC18:AC37, "v") + COUNTIF(AC18:AC37, "V")) &amp; "/" &amp; ((COUNTIF(AC18:AC37, "✓") + COUNTIF(AC18:AC37, "✔") + COUNTIF(AC18:AC37, "v") + COUNTIF(AC18:AC37, "V")) + COUNTIF(AC18:AC37, "✗") + COUNTIF(AC18:AC37, "x") + COUNTIF(AC18:AC37, "X")), "")</f>
        <v/>
      </c>
      <c r="AD38" s="33">
        <f>IF(((COUNTIF(AD18:AD37, "✓") + COUNTIF(AD18:AD37, "✔") + COUNTIF(AD18:AD37, "v") + COUNTIF(AD18:AD37, "V")) + COUNTIF(AD18:AD37, "✗") + COUNTIF(AD18:AD37, "x") + COUNTIF(AD18:AD37, "X")) &gt; 0, (COUNTIF(AD18:AD37, "✓") + COUNTIF(AD18:AD37, "✔") + COUNTIF(AD18:AD37, "v") + COUNTIF(AD18:AD37, "V")) &amp; "/" &amp; ((COUNTIF(AD18:AD37, "✓") + COUNTIF(AD18:AD37, "✔") + COUNTIF(AD18:AD37, "v") + COUNTIF(AD18:AD37, "V")) + COUNTIF(AD18:AD37, "✗") + COUNTIF(AD18:AD37, "x") + COUNTIF(AD18:AD37, "X")), "")</f>
        <v/>
      </c>
      <c r="AE38" s="33">
        <f>IF(((COUNTIF(AE18:AE37, "✓") + COUNTIF(AE18:AE37, "✔") + COUNTIF(AE18:AE37, "v") + COUNTIF(AE18:AE37, "V")) + COUNTIF(AE18:AE37, "✗") + COUNTIF(AE18:AE37, "x") + COUNTIF(AE18:AE37, "X")) &gt; 0, (COUNTIF(AE18:AE37, "✓") + COUNTIF(AE18:AE37, "✔") + COUNTIF(AE18:AE37, "v") + COUNTIF(AE18:AE37, "V")) &amp; "/" &amp; ((COUNTIF(AE18:AE37, "✓") + COUNTIF(AE18:AE37, "✔") + COUNTIF(AE18:AE37, "v") + COUNTIF(AE18:AE37, "V")) + COUNTIF(AE18:AE37, "✗") + COUNTIF(AE18:AE37, "x") + COUNTIF(AE18:AE37, "X")), "")</f>
        <v/>
      </c>
      <c r="AF38" s="33">
        <f>IF(((COUNTIF(AF18:AF37, "✓") + COUNTIF(AF18:AF37, "✔") + COUNTIF(AF18:AF37, "v") + COUNTIF(AF18:AF37, "V")) + COUNTIF(AF18:AF37, "✗") + COUNTIF(AF18:AF37, "x") + COUNTIF(AF18:AF37, "X")) &gt; 0, (COUNTIF(AF18:AF37, "✓") + COUNTIF(AF18:AF37, "✔") + COUNTIF(AF18:AF37, "v") + COUNTIF(AF18:AF37, "V")) &amp; "/" &amp; ((COUNTIF(AF18:AF37, "✓") + COUNTIF(AF18:AF37, "✔") + COUNTIF(AF18:AF37, "v") + COUNTIF(AF18:AF37, "V")) + COUNTIF(AF18:AF37, "✗") + COUNTIF(AF18:AF37, "x") + COUNTIF(AF18:AF37, "X")), "")</f>
        <v/>
      </c>
      <c r="AG38" s="33">
        <f>IF(((COUNTIF(AG18:AG37, "✓") + COUNTIF(AG18:AG37, "✔") + COUNTIF(AG18:AG37, "v") + COUNTIF(AG18:AG37, "V")) + COUNTIF(AG18:AG37, "✗") + COUNTIF(AG18:AG37, "x") + COUNTIF(AG18:AG37, "X")) &gt; 0, (COUNTIF(AG18:AG37, "✓") + COUNTIF(AG18:AG37, "✔") + COUNTIF(AG18:AG37, "v") + COUNTIF(AG18:AG37, "V")) &amp; "/" &amp; ((COUNTIF(AG18:AG37, "✓") + COUNTIF(AG18:AG37, "✔") + COUNTIF(AG18:AG37, "v") + COUNTIF(AG18:AG37, "V")) + COUNTIF(AG18:AG37, "✗") + COUNTIF(AG18:AG37, "x") + COUNTIF(AG18:AG37, "X")), "")</f>
        <v/>
      </c>
      <c r="AH38" s="33">
        <f>IF(((COUNTIF(AH18:AH37, "✓") + COUNTIF(AH18:AH37, "✔") + COUNTIF(AH18:AH37, "v") + COUNTIF(AH18:AH37, "V")) + COUNTIF(AH18:AH37, "✗") + COUNTIF(AH18:AH37, "x") + COUNTIF(AH18:AH37, "X")) &gt; 0, (COUNTIF(AH18:AH37, "✓") + COUNTIF(AH18:AH37, "✔") + COUNTIF(AH18:AH37, "v") + COUNTIF(AH18:AH37, "V")) &amp; "/" &amp; ((COUNTIF(AH18:AH37, "✓") + COUNTIF(AH18:AH37, "✔") + COUNTIF(AH18:AH37, "v") + COUNTIF(AH18:AH37, "V")) + COUNTIF(AH18:AH37, "✗") + COUNTIF(AH18:AH37, "x") + COUNTIF(AH18:AH37, "X")), "")</f>
        <v/>
      </c>
      <c r="AI38" s="133">
        <f>IF(SUM(D18:D37) &gt; 0, SUM(AL18:AL37) / SUM(D18:D37), "")</f>
        <v/>
      </c>
      <c r="AJ38" s="33">
        <f>IF(SUM(D18:D37) &gt; 0, SUM(AL18:AL37) &amp; "/" &amp; SUM(D18:D37), "")</f>
        <v/>
      </c>
      <c r="AK38" s="54" t="n"/>
    </row>
    <row r="39" ht="18" customHeight="1">
      <c r="A39" s="132" t="inlineStr">
        <is>
          <t>DAILY SUCCESS %</t>
        </is>
      </c>
      <c r="B39" s="54" t="n"/>
      <c r="C39" s="54" t="n"/>
      <c r="D39" s="54" t="n"/>
      <c r="E39" s="134">
        <f>IF(((COUNTIF(E18:E37, "✓") + COUNTIF(E18:E37, "✔") + COUNTIF(E18:E37, "v") + COUNTIF(E18:E37, "V")) + COUNTIF(E18:E37, "✗") + COUNTIF(E18:E37, "x") + COUNTIF(E18:E37, "X")) &gt; 0, (COUNTIF(E18:E37, "✓") + COUNTIF(E18:E37, "✔") + COUNTIF(E18:E37, "v") + COUNTIF(E18:E37, "V")) / ((COUNTIF(E18:E37, "✓") + COUNTIF(E18:E37, "✔") + COUNTIF(E18:E37, "v") + COUNTIF(E18:E37, "V")) + COUNTIF(E18:E37, "✗") + COUNTIF(E18:E37, "x") + COUNTIF(E18:E37, "X")), "")</f>
        <v/>
      </c>
      <c r="F39" s="134">
        <f>IF(((COUNTIF(F18:F37, "✓") + COUNTIF(F18:F37, "✔") + COUNTIF(F18:F37, "v") + COUNTIF(F18:F37, "V")) + COUNTIF(F18:F37, "✗") + COUNTIF(F18:F37, "x") + COUNTIF(F18:F37, "X")) &gt; 0, (COUNTIF(F18:F37, "✓") + COUNTIF(F18:F37, "✔") + COUNTIF(F18:F37, "v") + COUNTIF(F18:F37, "V")) / ((COUNTIF(F18:F37, "✓") + COUNTIF(F18:F37, "✔") + COUNTIF(F18:F37, "v") + COUNTIF(F18:F37, "V")) + COUNTIF(F18:F37, "✗") + COUNTIF(F18:F37, "x") + COUNTIF(F18:F37, "X")), "")</f>
        <v/>
      </c>
      <c r="G39" s="134">
        <f>IF(((COUNTIF(G18:G37, "✓") + COUNTIF(G18:G37, "✔") + COUNTIF(G18:G37, "v") + COUNTIF(G18:G37, "V")) + COUNTIF(G18:G37, "✗") + COUNTIF(G18:G37, "x") + COUNTIF(G18:G37, "X")) &gt; 0, (COUNTIF(G18:G37, "✓") + COUNTIF(G18:G37, "✔") + COUNTIF(G18:G37, "v") + COUNTIF(G18:G37, "V")) / ((COUNTIF(G18:G37, "✓") + COUNTIF(G18:G37, "✔") + COUNTIF(G18:G37, "v") + COUNTIF(G18:G37, "V")) + COUNTIF(G18:G37, "✗") + COUNTIF(G18:G37, "x") + COUNTIF(G18:G37, "X")), "")</f>
        <v/>
      </c>
      <c r="H39" s="134">
        <f>IF(((COUNTIF(H18:H37, "✓") + COUNTIF(H18:H37, "✔") + COUNTIF(H18:H37, "v") + COUNTIF(H18:H37, "V")) + COUNTIF(H18:H37, "✗") + COUNTIF(H18:H37, "x") + COUNTIF(H18:H37, "X")) &gt; 0, (COUNTIF(H18:H37, "✓") + COUNTIF(H18:H37, "✔") + COUNTIF(H18:H37, "v") + COUNTIF(H18:H37, "V")) / ((COUNTIF(H18:H37, "✓") + COUNTIF(H18:H37, "✔") + COUNTIF(H18:H37, "v") + COUNTIF(H18:H37, "V")) + COUNTIF(H18:H37, "✗") + COUNTIF(H18:H37, "x") + COUNTIF(H18:H37, "X")), "")</f>
        <v/>
      </c>
      <c r="I39" s="134">
        <f>IF(((COUNTIF(I18:I37, "✓") + COUNTIF(I18:I37, "✔") + COUNTIF(I18:I37, "v") + COUNTIF(I18:I37, "V")) + COUNTIF(I18:I37, "✗") + COUNTIF(I18:I37, "x") + COUNTIF(I18:I37, "X")) &gt; 0, (COUNTIF(I18:I37, "✓") + COUNTIF(I18:I37, "✔") + COUNTIF(I18:I37, "v") + COUNTIF(I18:I37, "V")) / ((COUNTIF(I18:I37, "✓") + COUNTIF(I18:I37, "✔") + COUNTIF(I18:I37, "v") + COUNTIF(I18:I37, "V")) + COUNTIF(I18:I37, "✗") + COUNTIF(I18:I37, "x") + COUNTIF(I18:I37, "X")), "")</f>
        <v/>
      </c>
      <c r="J39" s="134">
        <f>IF(((COUNTIF(J18:J37, "✓") + COUNTIF(J18:J37, "✔") + COUNTIF(J18:J37, "v") + COUNTIF(J18:J37, "V")) + COUNTIF(J18:J37, "✗") + COUNTIF(J18:J37, "x") + COUNTIF(J18:J37, "X")) &gt; 0, (COUNTIF(J18:J37, "✓") + COUNTIF(J18:J37, "✔") + COUNTIF(J18:J37, "v") + COUNTIF(J18:J37, "V")) / ((COUNTIF(J18:J37, "✓") + COUNTIF(J18:J37, "✔") + COUNTIF(J18:J37, "v") + COUNTIF(J18:J37, "V")) + COUNTIF(J18:J37, "✗") + COUNTIF(J18:J37, "x") + COUNTIF(J18:J37, "X")), "")</f>
        <v/>
      </c>
      <c r="K39" s="134">
        <f>IF(((COUNTIF(K18:K37, "✓") + COUNTIF(K18:K37, "✔") + COUNTIF(K18:K37, "v") + COUNTIF(K18:K37, "V")) + COUNTIF(K18:K37, "✗") + COUNTIF(K18:K37, "x") + COUNTIF(K18:K37, "X")) &gt; 0, (COUNTIF(K18:K37, "✓") + COUNTIF(K18:K37, "✔") + COUNTIF(K18:K37, "v") + COUNTIF(K18:K37, "V")) / ((COUNTIF(K18:K37, "✓") + COUNTIF(K18:K37, "✔") + COUNTIF(K18:K37, "v") + COUNTIF(K18:K37, "V")) + COUNTIF(K18:K37, "✗") + COUNTIF(K18:K37, "x") + COUNTIF(K18:K37, "X")), "")</f>
        <v/>
      </c>
      <c r="L39" s="134">
        <f>IF(((COUNTIF(L18:L37, "✓") + COUNTIF(L18:L37, "✔") + COUNTIF(L18:L37, "v") + COUNTIF(L18:L37, "V")) + COUNTIF(L18:L37, "✗") + COUNTIF(L18:L37, "x") + COUNTIF(L18:L37, "X")) &gt; 0, (COUNTIF(L18:L37, "✓") + COUNTIF(L18:L37, "✔") + COUNTIF(L18:L37, "v") + COUNTIF(L18:L37, "V")) / ((COUNTIF(L18:L37, "✓") + COUNTIF(L18:L37, "✔") + COUNTIF(L18:L37, "v") + COUNTIF(L18:L37, "V")) + COUNTIF(L18:L37, "✗") + COUNTIF(L18:L37, "x") + COUNTIF(L18:L37, "X")), "")</f>
        <v/>
      </c>
      <c r="M39" s="134">
        <f>IF(((COUNTIF(M18:M37, "✓") + COUNTIF(M18:M37, "✔") + COUNTIF(M18:M37, "v") + COUNTIF(M18:M37, "V")) + COUNTIF(M18:M37, "✗") + COUNTIF(M18:M37, "x") + COUNTIF(M18:M37, "X")) &gt; 0, (COUNTIF(M18:M37, "✓") + COUNTIF(M18:M37, "✔") + COUNTIF(M18:M37, "v") + COUNTIF(M18:M37, "V")) / ((COUNTIF(M18:M37, "✓") + COUNTIF(M18:M37, "✔") + COUNTIF(M18:M37, "v") + COUNTIF(M18:M37, "V")) + COUNTIF(M18:M37, "✗") + COUNTIF(M18:M37, "x") + COUNTIF(M18:M37, "X")), "")</f>
        <v/>
      </c>
      <c r="N39" s="134">
        <f>IF(((COUNTIF(N18:N37, "✓") + COUNTIF(N18:N37, "✔") + COUNTIF(N18:N37, "v") + COUNTIF(N18:N37, "V")) + COUNTIF(N18:N37, "✗") + COUNTIF(N18:N37, "x") + COUNTIF(N18:N37, "X")) &gt; 0, (COUNTIF(N18:N37, "✓") + COUNTIF(N18:N37, "✔") + COUNTIF(N18:N37, "v") + COUNTIF(N18:N37, "V")) / ((COUNTIF(N18:N37, "✓") + COUNTIF(N18:N37, "✔") + COUNTIF(N18:N37, "v") + COUNTIF(N18:N37, "V")) + COUNTIF(N18:N37, "✗") + COUNTIF(N18:N37, "x") + COUNTIF(N18:N37, "X")), "")</f>
        <v/>
      </c>
      <c r="O39" s="134">
        <f>IF(((COUNTIF(O18:O37, "✓") + COUNTIF(O18:O37, "✔") + COUNTIF(O18:O37, "v") + COUNTIF(O18:O37, "V")) + COUNTIF(O18:O37, "✗") + COUNTIF(O18:O37, "x") + COUNTIF(O18:O37, "X")) &gt; 0, (COUNTIF(O18:O37, "✓") + COUNTIF(O18:O37, "✔") + COUNTIF(O18:O37, "v") + COUNTIF(O18:O37, "V")) / ((COUNTIF(O18:O37, "✓") + COUNTIF(O18:O37, "✔") + COUNTIF(O18:O37, "v") + COUNTIF(O18:O37, "V")) + COUNTIF(O18:O37, "✗") + COUNTIF(O18:O37, "x") + COUNTIF(O18:O37, "X")), "")</f>
        <v/>
      </c>
      <c r="P39" s="134">
        <f>IF(((COUNTIF(P18:P37, "✓") + COUNTIF(P18:P37, "✔") + COUNTIF(P18:P37, "v") + COUNTIF(P18:P37, "V")) + COUNTIF(P18:P37, "✗") + COUNTIF(P18:P37, "x") + COUNTIF(P18:P37, "X")) &gt; 0, (COUNTIF(P18:P37, "✓") + COUNTIF(P18:P37, "✔") + COUNTIF(P18:P37, "v") + COUNTIF(P18:P37, "V")) / ((COUNTIF(P18:P37, "✓") + COUNTIF(P18:P37, "✔") + COUNTIF(P18:P37, "v") + COUNTIF(P18:P37, "V")) + COUNTIF(P18:P37, "✗") + COUNTIF(P18:P37, "x") + COUNTIF(P18:P37, "X")), "")</f>
        <v/>
      </c>
      <c r="Q39" s="134">
        <f>IF(((COUNTIF(Q18:Q37, "✓") + COUNTIF(Q18:Q37, "✔") + COUNTIF(Q18:Q37, "v") + COUNTIF(Q18:Q37, "V")) + COUNTIF(Q18:Q37, "✗") + COUNTIF(Q18:Q37, "x") + COUNTIF(Q18:Q37, "X")) &gt; 0, (COUNTIF(Q18:Q37, "✓") + COUNTIF(Q18:Q37, "✔") + COUNTIF(Q18:Q37, "v") + COUNTIF(Q18:Q37, "V")) / ((COUNTIF(Q18:Q37, "✓") + COUNTIF(Q18:Q37, "✔") + COUNTIF(Q18:Q37, "v") + COUNTIF(Q18:Q37, "V")) + COUNTIF(Q18:Q37, "✗") + COUNTIF(Q18:Q37, "x") + COUNTIF(Q18:Q37, "X")), "")</f>
        <v/>
      </c>
      <c r="R39" s="134">
        <f>IF(((COUNTIF(R18:R37, "✓") + COUNTIF(R18:R37, "✔") + COUNTIF(R18:R37, "v") + COUNTIF(R18:R37, "V")) + COUNTIF(R18:R37, "✗") + COUNTIF(R18:R37, "x") + COUNTIF(R18:R37, "X")) &gt; 0, (COUNTIF(R18:R37, "✓") + COUNTIF(R18:R37, "✔") + COUNTIF(R18:R37, "v") + COUNTIF(R18:R37, "V")) / ((COUNTIF(R18:R37, "✓") + COUNTIF(R18:R37, "✔") + COUNTIF(R18:R37, "v") + COUNTIF(R18:R37, "V")) + COUNTIF(R18:R37, "✗") + COUNTIF(R18:R37, "x") + COUNTIF(R18:R37, "X")), "")</f>
        <v/>
      </c>
      <c r="S39" s="134">
        <f>IF(((COUNTIF(S18:S37, "✓") + COUNTIF(S18:S37, "✔") + COUNTIF(S18:S37, "v") + COUNTIF(S18:S37, "V")) + COUNTIF(S18:S37, "✗") + COUNTIF(S18:S37, "x") + COUNTIF(S18:S37, "X")) &gt; 0, (COUNTIF(S18:S37, "✓") + COUNTIF(S18:S37, "✔") + COUNTIF(S18:S37, "v") + COUNTIF(S18:S37, "V")) / ((COUNTIF(S18:S37, "✓") + COUNTIF(S18:S37, "✔") + COUNTIF(S18:S37, "v") + COUNTIF(S18:S37, "V")) + COUNTIF(S18:S37, "✗") + COUNTIF(S18:S37, "x") + COUNTIF(S18:S37, "X")), "")</f>
        <v/>
      </c>
      <c r="T39" s="134">
        <f>IF(((COUNTIF(T18:T37, "✓") + COUNTIF(T18:T37, "✔") + COUNTIF(T18:T37, "v") + COUNTIF(T18:T37, "V")) + COUNTIF(T18:T37, "✗") + COUNTIF(T18:T37, "x") + COUNTIF(T18:T37, "X")) &gt; 0, (COUNTIF(T18:T37, "✓") + COUNTIF(T18:T37, "✔") + COUNTIF(T18:T37, "v") + COUNTIF(T18:T37, "V")) / ((COUNTIF(T18:T37, "✓") + COUNTIF(T18:T37, "✔") + COUNTIF(T18:T37, "v") + COUNTIF(T18:T37, "V")) + COUNTIF(T18:T37, "✗") + COUNTIF(T18:T37, "x") + COUNTIF(T18:T37, "X")), "")</f>
        <v/>
      </c>
      <c r="U39" s="134">
        <f>IF(((COUNTIF(U18:U37, "✓") + COUNTIF(U18:U37, "✔") + COUNTIF(U18:U37, "v") + COUNTIF(U18:U37, "V")) + COUNTIF(U18:U37, "✗") + COUNTIF(U18:U37, "x") + COUNTIF(U18:U37, "X")) &gt; 0, (COUNTIF(U18:U37, "✓") + COUNTIF(U18:U37, "✔") + COUNTIF(U18:U37, "v") + COUNTIF(U18:U37, "V")) / ((COUNTIF(U18:U37, "✓") + COUNTIF(U18:U37, "✔") + COUNTIF(U18:U37, "v") + COUNTIF(U18:U37, "V")) + COUNTIF(U18:U37, "✗") + COUNTIF(U18:U37, "x") + COUNTIF(U18:U37, "X")), "")</f>
        <v/>
      </c>
      <c r="V39" s="134">
        <f>IF(((COUNTIF(V18:V37, "✓") + COUNTIF(V18:V37, "✔") + COUNTIF(V18:V37, "v") + COUNTIF(V18:V37, "V")) + COUNTIF(V18:V37, "✗") + COUNTIF(V18:V37, "x") + COUNTIF(V18:V37, "X")) &gt; 0, (COUNTIF(V18:V37, "✓") + COUNTIF(V18:V37, "✔") + COUNTIF(V18:V37, "v") + COUNTIF(V18:V37, "V")) / ((COUNTIF(V18:V37, "✓") + COUNTIF(V18:V37, "✔") + COUNTIF(V18:V37, "v") + COUNTIF(V18:V37, "V")) + COUNTIF(V18:V37, "✗") + COUNTIF(V18:V37, "x") + COUNTIF(V18:V37, "X")), "")</f>
        <v/>
      </c>
      <c r="W39" s="134">
        <f>IF(((COUNTIF(W18:W37, "✓") + COUNTIF(W18:W37, "✔") + COUNTIF(W18:W37, "v") + COUNTIF(W18:W37, "V")) + COUNTIF(W18:W37, "✗") + COUNTIF(W18:W37, "x") + COUNTIF(W18:W37, "X")) &gt; 0, (COUNTIF(W18:W37, "✓") + COUNTIF(W18:W37, "✔") + COUNTIF(W18:W37, "v") + COUNTIF(W18:W37, "V")) / ((COUNTIF(W18:W37, "✓") + COUNTIF(W18:W37, "✔") + COUNTIF(W18:W37, "v") + COUNTIF(W18:W37, "V")) + COUNTIF(W18:W37, "✗") + COUNTIF(W18:W37, "x") + COUNTIF(W18:W37, "X")), "")</f>
        <v/>
      </c>
      <c r="X39" s="134">
        <f>IF(((COUNTIF(X18:X37, "✓") + COUNTIF(X18:X37, "✔") + COUNTIF(X18:X37, "v") + COUNTIF(X18:X37, "V")) + COUNTIF(X18:X37, "✗") + COUNTIF(X18:X37, "x") + COUNTIF(X18:X37, "X")) &gt; 0, (COUNTIF(X18:X37, "✓") + COUNTIF(X18:X37, "✔") + COUNTIF(X18:X37, "v") + COUNTIF(X18:X37, "V")) / ((COUNTIF(X18:X37, "✓") + COUNTIF(X18:X37, "✔") + COUNTIF(X18:X37, "v") + COUNTIF(X18:X37, "V")) + COUNTIF(X18:X37, "✗") + COUNTIF(X18:X37, "x") + COUNTIF(X18:X37, "X")), "")</f>
        <v/>
      </c>
      <c r="Y39" s="134">
        <f>IF(((COUNTIF(Y18:Y37, "✓") + COUNTIF(Y18:Y37, "✔") + COUNTIF(Y18:Y37, "v") + COUNTIF(Y18:Y37, "V")) + COUNTIF(Y18:Y37, "✗") + COUNTIF(Y18:Y37, "x") + COUNTIF(Y18:Y37, "X")) &gt; 0, (COUNTIF(Y18:Y37, "✓") + COUNTIF(Y18:Y37, "✔") + COUNTIF(Y18:Y37, "v") + COUNTIF(Y18:Y37, "V")) / ((COUNTIF(Y18:Y37, "✓") + COUNTIF(Y18:Y37, "✔") + COUNTIF(Y18:Y37, "v") + COUNTIF(Y18:Y37, "V")) + COUNTIF(Y18:Y37, "✗") + COUNTIF(Y18:Y37, "x") + COUNTIF(Y18:Y37, "X")), "")</f>
        <v/>
      </c>
      <c r="Z39" s="134">
        <f>IF(((COUNTIF(Z18:Z37, "✓") + COUNTIF(Z18:Z37, "✔") + COUNTIF(Z18:Z37, "v") + COUNTIF(Z18:Z37, "V")) + COUNTIF(Z18:Z37, "✗") + COUNTIF(Z18:Z37, "x") + COUNTIF(Z18:Z37, "X")) &gt; 0, (COUNTIF(Z18:Z37, "✓") + COUNTIF(Z18:Z37, "✔") + COUNTIF(Z18:Z37, "v") + COUNTIF(Z18:Z37, "V")) / ((COUNTIF(Z18:Z37, "✓") + COUNTIF(Z18:Z37, "✔") + COUNTIF(Z18:Z37, "v") + COUNTIF(Z18:Z37, "V")) + COUNTIF(Z18:Z37, "✗") + COUNTIF(Z18:Z37, "x") + COUNTIF(Z18:Z37, "X")), "")</f>
        <v/>
      </c>
      <c r="AA39" s="134">
        <f>IF(((COUNTIF(AA18:AA37, "✓") + COUNTIF(AA18:AA37, "✔") + COUNTIF(AA18:AA37, "v") + COUNTIF(AA18:AA37, "V")) + COUNTIF(AA18:AA37, "✗") + COUNTIF(AA18:AA37, "x") + COUNTIF(AA18:AA37, "X")) &gt; 0, (COUNTIF(AA18:AA37, "✓") + COUNTIF(AA18:AA37, "✔") + COUNTIF(AA18:AA37, "v") + COUNTIF(AA18:AA37, "V")) / ((COUNTIF(AA18:AA37, "✓") + COUNTIF(AA18:AA37, "✔") + COUNTIF(AA18:AA37, "v") + COUNTIF(AA18:AA37, "V")) + COUNTIF(AA18:AA37, "✗") + COUNTIF(AA18:AA37, "x") + COUNTIF(AA18:AA37, "X")), "")</f>
        <v/>
      </c>
      <c r="AB39" s="134">
        <f>IF(((COUNTIF(AB18:AB37, "✓") + COUNTIF(AB18:AB37, "✔") + COUNTIF(AB18:AB37, "v") + COUNTIF(AB18:AB37, "V")) + COUNTIF(AB18:AB37, "✗") + COUNTIF(AB18:AB37, "x") + COUNTIF(AB18:AB37, "X")) &gt; 0, (COUNTIF(AB18:AB37, "✓") + COUNTIF(AB18:AB37, "✔") + COUNTIF(AB18:AB37, "v") + COUNTIF(AB18:AB37, "V")) / ((COUNTIF(AB18:AB37, "✓") + COUNTIF(AB18:AB37, "✔") + COUNTIF(AB18:AB37, "v") + COUNTIF(AB18:AB37, "V")) + COUNTIF(AB18:AB37, "✗") + COUNTIF(AB18:AB37, "x") + COUNTIF(AB18:AB37, "X")), "")</f>
        <v/>
      </c>
      <c r="AC39" s="134">
        <f>IF(((COUNTIF(AC18:AC37, "✓") + COUNTIF(AC18:AC37, "✔") + COUNTIF(AC18:AC37, "v") + COUNTIF(AC18:AC37, "V")) + COUNTIF(AC18:AC37, "✗") + COUNTIF(AC18:AC37, "x") + COUNTIF(AC18:AC37, "X")) &gt; 0, (COUNTIF(AC18:AC37, "✓") + COUNTIF(AC18:AC37, "✔") + COUNTIF(AC18:AC37, "v") + COUNTIF(AC18:AC37, "V")) / ((COUNTIF(AC18:AC37, "✓") + COUNTIF(AC18:AC37, "✔") + COUNTIF(AC18:AC37, "v") + COUNTIF(AC18:AC37, "V")) + COUNTIF(AC18:AC37, "✗") + COUNTIF(AC18:AC37, "x") + COUNTIF(AC18:AC37, "X")), "")</f>
        <v/>
      </c>
      <c r="AD39" s="134">
        <f>IF(((COUNTIF(AD18:AD37, "✓") + COUNTIF(AD18:AD37, "✔") + COUNTIF(AD18:AD37, "v") + COUNTIF(AD18:AD37, "V")) + COUNTIF(AD18:AD37, "✗") + COUNTIF(AD18:AD37, "x") + COUNTIF(AD18:AD37, "X")) &gt; 0, (COUNTIF(AD18:AD37, "✓") + COUNTIF(AD18:AD37, "✔") + COUNTIF(AD18:AD37, "v") + COUNTIF(AD18:AD37, "V")) / ((COUNTIF(AD18:AD37, "✓") + COUNTIF(AD18:AD37, "✔") + COUNTIF(AD18:AD37, "v") + COUNTIF(AD18:AD37, "V")) + COUNTIF(AD18:AD37, "✗") + COUNTIF(AD18:AD37, "x") + COUNTIF(AD18:AD37, "X")), "")</f>
        <v/>
      </c>
      <c r="AE39" s="134">
        <f>IF(((COUNTIF(AE18:AE37, "✓") + COUNTIF(AE18:AE37, "✔") + COUNTIF(AE18:AE37, "v") + COUNTIF(AE18:AE37, "V")) + COUNTIF(AE18:AE37, "✗") + COUNTIF(AE18:AE37, "x") + COUNTIF(AE18:AE37, "X")) &gt; 0, (COUNTIF(AE18:AE37, "✓") + COUNTIF(AE18:AE37, "✔") + COUNTIF(AE18:AE37, "v") + COUNTIF(AE18:AE37, "V")) / ((COUNTIF(AE18:AE37, "✓") + COUNTIF(AE18:AE37, "✔") + COUNTIF(AE18:AE37, "v") + COUNTIF(AE18:AE37, "V")) + COUNTIF(AE18:AE37, "✗") + COUNTIF(AE18:AE37, "x") + COUNTIF(AE18:AE37, "X")), "")</f>
        <v/>
      </c>
      <c r="AF39" s="134">
        <f>IF(((COUNTIF(AF18:AF37, "✓") + COUNTIF(AF18:AF37, "✔") + COUNTIF(AF18:AF37, "v") + COUNTIF(AF18:AF37, "V")) + COUNTIF(AF18:AF37, "✗") + COUNTIF(AF18:AF37, "x") + COUNTIF(AF18:AF37, "X")) &gt; 0, (COUNTIF(AF18:AF37, "✓") + COUNTIF(AF18:AF37, "✔") + COUNTIF(AF18:AF37, "v") + COUNTIF(AF18:AF37, "V")) / ((COUNTIF(AF18:AF37, "✓") + COUNTIF(AF18:AF37, "✔") + COUNTIF(AF18:AF37, "v") + COUNTIF(AF18:AF37, "V")) + COUNTIF(AF18:AF37, "✗") + COUNTIF(AF18:AF37, "x") + COUNTIF(AF18:AF37, "X")), "")</f>
        <v/>
      </c>
      <c r="AG39" s="134">
        <f>IF(((COUNTIF(AG18:AG37, "✓") + COUNTIF(AG18:AG37, "✔") + COUNTIF(AG18:AG37, "v") + COUNTIF(AG18:AG37, "V")) + COUNTIF(AG18:AG37, "✗") + COUNTIF(AG18:AG37, "x") + COUNTIF(AG18:AG37, "X")) &gt; 0, (COUNTIF(AG18:AG37, "✓") + COUNTIF(AG18:AG37, "✔") + COUNTIF(AG18:AG37, "v") + COUNTIF(AG18:AG37, "V")) / ((COUNTIF(AG18:AG37, "✓") + COUNTIF(AG18:AG37, "✔") + COUNTIF(AG18:AG37, "v") + COUNTIF(AG18:AG37, "V")) + COUNTIF(AG18:AG37, "✗") + COUNTIF(AG18:AG37, "x") + COUNTIF(AG18:AG37, "X")), "")</f>
        <v/>
      </c>
      <c r="AH39" s="134">
        <f>IF(((COUNTIF(AH18:AH37, "✓") + COUNTIF(AH18:AH37, "✔") + COUNTIF(AH18:AH37, "v") + COUNTIF(AH18:AH37, "V")) + COUNTIF(AH18:AH37, "✗") + COUNTIF(AH18:AH37, "x") + COUNTIF(AH18:AH37, "X")) &gt; 0, (COUNTIF(AH18:AH37, "✓") + COUNTIF(AH18:AH37, "✔") + COUNTIF(AH18:AH37, "v") + COUNTIF(AH18:AH37, "V")) / ((COUNTIF(AH18:AH37, "✓") + COUNTIF(AH18:AH37, "✔") + COUNTIF(AH18:AH37, "v") + COUNTIF(AH18:AH37, "V")) + COUNTIF(AH18:AH37, "✗") + COUNTIF(AH18:AH37, "x") + COUNTIF(AH18:AH37, "X")), "")</f>
        <v/>
      </c>
      <c r="AI39" s="133">
        <f>IF(COUNT(E39:AH39) &gt; 0, AVERAGE(E39:AH39), "")</f>
        <v/>
      </c>
      <c r="AJ39" s="54" t="n"/>
      <c r="AK39" s="54" t="n"/>
    </row>
    <row r="40" ht="6" customHeight="1"/>
    <row r="41" ht="15" customHeight="1">
      <c r="A41" s="135" t="inlineStr">
        <is>
          <t>IF SUCCESS &lt; 80%, PUNISHMENT: ________________________________________________</t>
        </is>
      </c>
    </row>
    <row r="42" ht="15" customHeight="1">
      <c r="A42" s="136" t="inlineStr">
        <is>
          <t>IF SUCCESS &gt; 90%, REWARD: __________________________________________________</t>
        </is>
      </c>
    </row>
    <row r="43" ht="10" customHeight="1"/>
    <row r="44" ht="10" customHeight="1"/>
    <row r="45" ht="15" customHeight="1">
      <c r="A45" s="51" t="inlineStr">
        <is>
          <t>Sleep Tracking</t>
        </is>
      </c>
      <c r="B45" s="52" t="n"/>
      <c r="C45" s="52" t="n"/>
      <c r="D45" s="52" t="n"/>
      <c r="E45" s="137" t="n">
        <v>1</v>
      </c>
      <c r="F45" s="138" t="n">
        <v>2</v>
      </c>
      <c r="G45" s="137" t="n">
        <v>3</v>
      </c>
      <c r="H45" s="137" t="n">
        <v>4</v>
      </c>
      <c r="I45" s="137" t="n">
        <v>5</v>
      </c>
      <c r="J45" s="137" t="n">
        <v>6</v>
      </c>
      <c r="K45" s="137" t="n">
        <v>7</v>
      </c>
      <c r="L45" s="137" t="n">
        <v>8</v>
      </c>
      <c r="M45" s="138" t="n">
        <v>9</v>
      </c>
      <c r="N45" s="137" t="n">
        <v>10</v>
      </c>
      <c r="O45" s="137" t="n">
        <v>11</v>
      </c>
      <c r="P45" s="137" t="n">
        <v>12</v>
      </c>
      <c r="Q45" s="137" t="n">
        <v>13</v>
      </c>
      <c r="R45" s="137" t="n">
        <v>14</v>
      </c>
      <c r="S45" s="137" t="n">
        <v>15</v>
      </c>
      <c r="T45" s="138" t="n">
        <v>16</v>
      </c>
      <c r="U45" s="137" t="n">
        <v>17</v>
      </c>
      <c r="V45" s="137" t="n">
        <v>18</v>
      </c>
      <c r="W45" s="137" t="n">
        <v>19</v>
      </c>
      <c r="X45" s="137" t="n">
        <v>20</v>
      </c>
      <c r="Y45" s="137" t="n">
        <v>21</v>
      </c>
      <c r="Z45" s="137" t="n">
        <v>22</v>
      </c>
      <c r="AA45" s="138" t="n">
        <v>23</v>
      </c>
      <c r="AB45" s="137" t="n">
        <v>24</v>
      </c>
      <c r="AC45" s="137" t="n">
        <v>25</v>
      </c>
      <c r="AD45" s="137" t="n">
        <v>26</v>
      </c>
      <c r="AE45" s="137" t="n">
        <v>27</v>
      </c>
      <c r="AF45" s="137" t="n">
        <v>28</v>
      </c>
      <c r="AG45" s="137" t="n">
        <v>29</v>
      </c>
      <c r="AH45" s="138" t="n">
        <v>30</v>
      </c>
    </row>
    <row r="46" ht="15" customHeight="1">
      <c r="A46" s="52" t="n"/>
      <c r="B46" s="52" t="n"/>
      <c r="C46" s="52" t="n"/>
      <c r="D46" s="52" t="n"/>
      <c r="E46" s="139" t="inlineStr">
        <is>
          <t>Sa</t>
        </is>
      </c>
      <c r="F46" s="140" t="inlineStr">
        <is>
          <t>Su</t>
        </is>
      </c>
      <c r="G46" s="139" t="inlineStr">
        <is>
          <t>M</t>
        </is>
      </c>
      <c r="H46" s="139" t="inlineStr">
        <is>
          <t>T</t>
        </is>
      </c>
      <c r="I46" s="139" t="inlineStr">
        <is>
          <t>W</t>
        </is>
      </c>
      <c r="J46" s="139" t="inlineStr">
        <is>
          <t>Th</t>
        </is>
      </c>
      <c r="K46" s="139" t="inlineStr">
        <is>
          <t>F</t>
        </is>
      </c>
      <c r="L46" s="139" t="inlineStr">
        <is>
          <t>Sa</t>
        </is>
      </c>
      <c r="M46" s="140" t="inlineStr">
        <is>
          <t>Su</t>
        </is>
      </c>
      <c r="N46" s="139" t="inlineStr">
        <is>
          <t>M</t>
        </is>
      </c>
      <c r="O46" s="139" t="inlineStr">
        <is>
          <t>T</t>
        </is>
      </c>
      <c r="P46" s="139" t="inlineStr">
        <is>
          <t>W</t>
        </is>
      </c>
      <c r="Q46" s="139" t="inlineStr">
        <is>
          <t>Th</t>
        </is>
      </c>
      <c r="R46" s="139" t="inlineStr">
        <is>
          <t>F</t>
        </is>
      </c>
      <c r="S46" s="139" t="inlineStr">
        <is>
          <t>Sa</t>
        </is>
      </c>
      <c r="T46" s="140" t="inlineStr">
        <is>
          <t>Su</t>
        </is>
      </c>
      <c r="U46" s="139" t="inlineStr">
        <is>
          <t>M</t>
        </is>
      </c>
      <c r="V46" s="139" t="inlineStr">
        <is>
          <t>T</t>
        </is>
      </c>
      <c r="W46" s="139" t="inlineStr">
        <is>
          <t>W</t>
        </is>
      </c>
      <c r="X46" s="139" t="inlineStr">
        <is>
          <t>Th</t>
        </is>
      </c>
      <c r="Y46" s="139" t="inlineStr">
        <is>
          <t>F</t>
        </is>
      </c>
      <c r="Z46" s="139" t="inlineStr">
        <is>
          <t>Sa</t>
        </is>
      </c>
      <c r="AA46" s="140" t="inlineStr">
        <is>
          <t>Su</t>
        </is>
      </c>
      <c r="AB46" s="139" t="inlineStr">
        <is>
          <t>M</t>
        </is>
      </c>
      <c r="AC46" s="139" t="inlineStr">
        <is>
          <t>T</t>
        </is>
      </c>
      <c r="AD46" s="139" t="inlineStr">
        <is>
          <t>W</t>
        </is>
      </c>
      <c r="AE46" s="139" t="inlineStr">
        <is>
          <t>Th</t>
        </is>
      </c>
      <c r="AF46" s="139" t="inlineStr">
        <is>
          <t>F</t>
        </is>
      </c>
      <c r="AG46" s="139" t="inlineStr">
        <is>
          <t>Sa</t>
        </is>
      </c>
      <c r="AH46" s="140" t="inlineStr">
        <is>
          <t>Su</t>
        </is>
      </c>
    </row>
    <row r="47" ht="20" customHeight="1">
      <c r="A47" s="141" t="inlineStr">
        <is>
          <t>Sleep Hours (1-24)</t>
        </is>
      </c>
      <c r="B47" s="142" t="n"/>
      <c r="C47" s="142" t="n"/>
      <c r="D47" s="142" t="n"/>
      <c r="E47" s="143" t="n"/>
      <c r="F47" s="144" t="n"/>
      <c r="G47" s="143" t="n"/>
      <c r="H47" s="143" t="n"/>
      <c r="I47" s="143" t="n"/>
      <c r="J47" s="143" t="n"/>
      <c r="K47" s="143" t="n"/>
      <c r="L47" s="143" t="n"/>
      <c r="M47" s="144" t="n"/>
      <c r="N47" s="143" t="n"/>
      <c r="O47" s="143" t="n"/>
      <c r="P47" s="143" t="n"/>
      <c r="Q47" s="143" t="n"/>
      <c r="R47" s="143" t="n"/>
      <c r="S47" s="143" t="n"/>
      <c r="T47" s="144" t="n"/>
      <c r="U47" s="143" t="n"/>
      <c r="V47" s="143" t="n"/>
      <c r="W47" s="143" t="n"/>
      <c r="X47" s="143" t="n"/>
      <c r="Y47" s="143" t="n"/>
      <c r="Z47" s="143" t="n"/>
      <c r="AA47" s="144" t="n"/>
      <c r="AB47" s="143" t="n"/>
      <c r="AC47" s="143" t="n"/>
      <c r="AD47" s="143" t="n"/>
      <c r="AE47" s="143" t="n"/>
      <c r="AF47" s="143" t="n"/>
      <c r="AG47" s="143" t="n"/>
      <c r="AH47" s="144" t="n"/>
    </row>
    <row r="48" ht="6" customHeight="1"/>
    <row r="49" ht="14" customHeight="1"/>
    <row r="50" ht="14" customHeight="1"/>
    <row r="51" ht="14" customHeight="1"/>
    <row r="52" ht="14" customHeight="1"/>
    <row r="53" ht="14" customHeight="1"/>
    <row r="54" ht="14" customHeight="1"/>
    <row r="55" ht="14" customHeight="1"/>
    <row r="56" ht="14" customHeight="1"/>
    <row r="57" ht="14" customHeight="1"/>
    <row r="58" ht="14" customHeight="1"/>
    <row r="59" ht="14" customHeight="1"/>
    <row r="60" ht="14" customHeight="1"/>
    <row r="61" ht="14" customHeight="1"/>
    <row r="62" ht="14" customHeight="1"/>
    <row r="63" ht="14" customHeight="1"/>
    <row r="64" ht="14" customHeight="1"/>
    <row r="65" ht="14" customHeight="1"/>
    <row r="66" ht="8" customHeight="1"/>
    <row r="67">
      <c r="A67" s="145" t="inlineStr">
        <is>
          <t>MONTHLY SUCCESS RATE</t>
        </is>
      </c>
      <c r="B67" s="9" t="n"/>
      <c r="C67" s="9" t="n"/>
      <c r="D67" s="9" t="n"/>
      <c r="F67" s="146" t="inlineStr">
        <is>
          <t>ACTIVE PROTOCOLS</t>
        </is>
      </c>
      <c r="G67" s="11" t="n"/>
      <c r="H67" s="11" t="n"/>
      <c r="I67" s="11" t="n"/>
      <c r="K67" s="147" t="inlineStr">
        <is>
          <t>PERFECT DAYS (100%)</t>
        </is>
      </c>
      <c r="L67" s="13" t="n"/>
      <c r="M67" s="13" t="n"/>
      <c r="N67" s="13" t="n"/>
      <c r="P67" s="148" t="inlineStr">
        <is>
          <t>AVG SLEEP DURATION</t>
        </is>
      </c>
      <c r="Q67" s="15" t="n"/>
      <c r="R67" s="15" t="n"/>
      <c r="S67" s="15" t="n"/>
    </row>
    <row r="68">
      <c r="A68" s="149">
        <f>IF(SUM(D18:D37)&gt;0, SUM(AL18:AL37)/SUM(D18:D37), 0)</f>
        <v/>
      </c>
      <c r="B68" s="9" t="n"/>
      <c r="C68" s="9" t="n"/>
      <c r="D68" s="9" t="n"/>
      <c r="F68" s="150">
        <f>COUNTA(B18:B37) &amp; " / 20"</f>
        <v/>
      </c>
      <c r="G68" s="11" t="n"/>
      <c r="H68" s="11" t="n"/>
      <c r="I68" s="11" t="n"/>
      <c r="K68" s="151">
        <f>COUNTIF(E39:AH39, 1) &amp; " Days"</f>
        <v/>
      </c>
      <c r="L68" s="13" t="n"/>
      <c r="M68" s="13" t="n"/>
      <c r="N68" s="13" t="n"/>
      <c r="P68" s="152">
        <f>IFERROR(TEXT(AVERAGE(E47:AH47), "0.0") &amp; " hrs", "-")</f>
        <v/>
      </c>
      <c r="Q68" s="15" t="n"/>
      <c r="R68" s="15" t="n"/>
      <c r="S68" s="15" t="n"/>
    </row>
    <row r="69">
      <c r="A69" s="9" t="n"/>
      <c r="B69" s="9" t="n"/>
      <c r="C69" s="9" t="n"/>
      <c r="D69" s="9" t="n"/>
      <c r="F69" s="11" t="n"/>
      <c r="G69" s="11" t="n"/>
      <c r="H69" s="11" t="n"/>
      <c r="I69" s="11" t="n"/>
      <c r="K69" s="13" t="n"/>
      <c r="L69" s="13" t="n"/>
      <c r="M69" s="13" t="n"/>
      <c r="N69" s="13" t="n"/>
      <c r="P69" s="15" t="n"/>
      <c r="Q69" s="15" t="n"/>
      <c r="R69" s="15" t="n"/>
      <c r="S69" s="15" t="n"/>
    </row>
    <row r="70">
      <c r="A70" s="9" t="n"/>
      <c r="B70" s="9" t="n"/>
      <c r="C70" s="9" t="n"/>
      <c r="D70" s="9" t="n"/>
      <c r="F70" s="11" t="n"/>
      <c r="G70" s="11" t="n"/>
      <c r="H70" s="11" t="n"/>
      <c r="I70" s="11" t="n"/>
      <c r="K70" s="13" t="n"/>
      <c r="L70" s="13" t="n"/>
      <c r="M70" s="13" t="n"/>
      <c r="N70" s="13" t="n"/>
      <c r="P70" s="15" t="n"/>
      <c r="Q70" s="15" t="n"/>
      <c r="R70" s="15" t="n"/>
      <c r="S70" s="15" t="n"/>
    </row>
    <row r="71">
      <c r="A71" s="153" t="inlineStr">
        <is>
          <t>Target Completion</t>
        </is>
      </c>
      <c r="B71" s="9" t="n"/>
      <c r="C71" s="9" t="n"/>
      <c r="D71" s="9" t="n"/>
      <c r="F71" s="154" t="inlineStr">
        <is>
          <t>Habits Tracked</t>
        </is>
      </c>
      <c r="G71" s="11" t="n"/>
      <c r="H71" s="11" t="n"/>
      <c r="I71" s="11" t="n"/>
      <c r="K71" s="155" t="inlineStr">
        <is>
          <t>All Marked Habits Completed</t>
        </is>
      </c>
      <c r="L71" s="13" t="n"/>
      <c r="M71" s="13" t="n"/>
      <c r="N71" s="13" t="n"/>
      <c r="P71" s="156" t="inlineStr">
        <is>
          <t>Nightly Rest Average</t>
        </is>
      </c>
      <c r="Q71" s="15" t="n"/>
      <c r="R71" s="15" t="n"/>
      <c r="S71" s="15" t="n"/>
    </row>
    <row r="72" ht="8" customHeight="1"/>
    <row r="73" ht="6" customHeight="1"/>
    <row r="74">
      <c r="A74" s="67" t="inlineStr">
        <is>
          <t>WEEKLY PERFORMANCE (SLUMP DETECTOR)</t>
        </is>
      </c>
      <c r="B74" s="29" t="n"/>
      <c r="C74" s="29" t="n"/>
      <c r="D74" s="29" t="n"/>
      <c r="E74" s="29" t="n"/>
      <c r="N74" s="157" t="inlineStr">
        <is>
          <t>LIFE DOMAIN / CATEGORY BREAKDOWN</t>
        </is>
      </c>
      <c r="O74" s="158" t="n"/>
      <c r="P74" s="158" t="n"/>
      <c r="Q74" s="158" t="n"/>
      <c r="R74" s="158" t="n"/>
      <c r="S74" s="158" t="n"/>
    </row>
    <row r="75" ht="15" customHeight="1">
      <c r="A75" s="53" t="inlineStr">
        <is>
          <t>Week</t>
        </is>
      </c>
      <c r="B75" s="53" t="inlineStr">
        <is>
          <t>Days Range</t>
        </is>
      </c>
      <c r="C75" s="53" t="inlineStr">
        <is>
          <t>Checks Done</t>
        </is>
      </c>
      <c r="D75" s="53" t="inlineStr">
        <is>
          <t>Evaluated</t>
        </is>
      </c>
      <c r="E75" s="53" t="inlineStr">
        <is>
          <t>Success %</t>
        </is>
      </c>
      <c r="N75" s="53" t="inlineStr">
        <is>
          <t>Domain / Category</t>
        </is>
      </c>
      <c r="O75" s="54" t="n"/>
      <c r="P75" s="53" t="inlineStr">
        <is>
          <t>Active Habits</t>
        </is>
      </c>
      <c r="Q75" s="53" t="inlineStr">
        <is>
          <t>Target Days</t>
        </is>
      </c>
      <c r="R75" s="53" t="inlineStr">
        <is>
          <t>Done Checks</t>
        </is>
      </c>
      <c r="S75" s="53" t="inlineStr">
        <is>
          <t>Success %</t>
        </is>
      </c>
    </row>
    <row r="76" ht="14" customHeight="1">
      <c r="A76" s="33" t="inlineStr">
        <is>
          <t>Week 1</t>
        </is>
      </c>
      <c r="B76" s="34" t="inlineStr">
        <is>
          <t>Days 1 - 7</t>
        </is>
      </c>
      <c r="C76" s="34">
        <f>COUNTIF(E18:K37, "✓")</f>
        <v/>
      </c>
      <c r="D76" s="34">
        <f>COUNTIF(E18:K37, "✓") + COUNTIF(E18:K37, "✗")</f>
        <v/>
      </c>
      <c r="E76" s="35">
        <f>IFERROR(C76/D76, 0)</f>
        <v/>
      </c>
      <c r="N76" s="60" t="inlineStr">
        <is>
          <t>Health &amp; Fitness</t>
        </is>
      </c>
      <c r="O76" s="54" t="n"/>
      <c r="P76" s="34">
        <f>COUNTIF($C$18:$C$37, "Health &amp; Fitness")</f>
        <v/>
      </c>
      <c r="Q76" s="34">
        <f>SUMIF($C$18:$C$37, "Health &amp; Fitness", $D$18:$D$37)</f>
        <v/>
      </c>
      <c r="R76" s="34">
        <f>SUMIF($C$18:$C$37, "Health &amp; Fitness", $AL$18:$AL$37)</f>
        <v/>
      </c>
      <c r="S76" s="35">
        <f>IFERROR(R76/Q76, 0)</f>
        <v/>
      </c>
    </row>
    <row r="77" ht="14" customHeight="1">
      <c r="A77" s="33" t="inlineStr">
        <is>
          <t>Week 2</t>
        </is>
      </c>
      <c r="B77" s="34" t="inlineStr">
        <is>
          <t>Days 8 - 14</t>
        </is>
      </c>
      <c r="C77" s="34">
        <f>COUNTIF(L18:R37, "✓")</f>
        <v/>
      </c>
      <c r="D77" s="34">
        <f>COUNTIF(L18:R37, "✓") + COUNTIF(L18:R37, "✗")</f>
        <v/>
      </c>
      <c r="E77" s="35">
        <f>IFERROR(C77/D77, 0)</f>
        <v/>
      </c>
      <c r="N77" s="60" t="inlineStr">
        <is>
          <t>Mindset &amp; Learning</t>
        </is>
      </c>
      <c r="O77" s="54" t="n"/>
      <c r="P77" s="34">
        <f>COUNTIF($C$18:$C$37, "Mindset &amp; Learning")</f>
        <v/>
      </c>
      <c r="Q77" s="34">
        <f>SUMIF($C$18:$C$37, "Mindset &amp; Learning", $D$18:$D$37)</f>
        <v/>
      </c>
      <c r="R77" s="34">
        <f>SUMIF($C$18:$C$37, "Mindset &amp; Learning", $AL$18:$AL$37)</f>
        <v/>
      </c>
      <c r="S77" s="35">
        <f>IFERROR(R77/Q77, 0)</f>
        <v/>
      </c>
    </row>
    <row r="78" ht="14" customHeight="1">
      <c r="A78" s="33" t="inlineStr">
        <is>
          <t>Week 3</t>
        </is>
      </c>
      <c r="B78" s="34" t="inlineStr">
        <is>
          <t>Days 15 - 21</t>
        </is>
      </c>
      <c r="C78" s="34">
        <f>COUNTIF(S18:Y37, "✓")</f>
        <v/>
      </c>
      <c r="D78" s="34">
        <f>COUNTIF(S18:Y37, "✓") + COUNTIF(S18:Y37, "✗")</f>
        <v/>
      </c>
      <c r="E78" s="35">
        <f>IFERROR(C78/D78, 0)</f>
        <v/>
      </c>
      <c r="N78" s="60" t="inlineStr">
        <is>
          <t>Career &amp; Focus</t>
        </is>
      </c>
      <c r="O78" s="54" t="n"/>
      <c r="P78" s="34">
        <f>COUNTIF($C$18:$C$37, "Career &amp; Focus")</f>
        <v/>
      </c>
      <c r="Q78" s="34">
        <f>SUMIF($C$18:$C$37, "Career &amp; Focus", $D$18:$D$37)</f>
        <v/>
      </c>
      <c r="R78" s="34">
        <f>SUMIF($C$18:$C$37, "Career &amp; Focus", $AL$18:$AL$37)</f>
        <v/>
      </c>
      <c r="S78" s="35">
        <f>IFERROR(R78/Q78, 0)</f>
        <v/>
      </c>
    </row>
    <row r="79" ht="14" customHeight="1">
      <c r="A79" s="33" t="inlineStr">
        <is>
          <t>Week 4</t>
        </is>
      </c>
      <c r="B79" s="34" t="inlineStr">
        <is>
          <t>Days 22 - 28</t>
        </is>
      </c>
      <c r="C79" s="34">
        <f>COUNTIF(Z18:AF37, "✓")</f>
        <v/>
      </c>
      <c r="D79" s="34">
        <f>COUNTIF(Z18:AF37, "✓") + COUNTIF(Z18:AF37, "✗")</f>
        <v/>
      </c>
      <c r="E79" s="35">
        <f>IFERROR(C79/D79, 0)</f>
        <v/>
      </c>
      <c r="N79" s="60" t="inlineStr">
        <is>
          <t>Personal &amp; Home</t>
        </is>
      </c>
      <c r="O79" s="54" t="n"/>
      <c r="P79" s="34">
        <f>COUNTIF($C$18:$C$37, "Personal &amp; Home")</f>
        <v/>
      </c>
      <c r="Q79" s="34">
        <f>SUMIF($C$18:$C$37, "Personal &amp; Home", $D$18:$D$37)</f>
        <v/>
      </c>
      <c r="R79" s="34">
        <f>SUMIF($C$18:$C$37, "Personal &amp; Home", $AL$18:$AL$37)</f>
        <v/>
      </c>
      <c r="S79" s="35">
        <f>IFERROR(R79/Q79, 0)</f>
        <v/>
      </c>
    </row>
    <row r="80" ht="14" customHeight="1">
      <c r="A80" s="33" t="inlineStr">
        <is>
          <t>Week 5</t>
        </is>
      </c>
      <c r="B80" s="34" t="inlineStr">
        <is>
          <t>Days 29 - 30</t>
        </is>
      </c>
      <c r="C80" s="34">
        <f>COUNTIF(AG18:AH37, "✓")</f>
        <v/>
      </c>
      <c r="D80" s="34">
        <f>COUNTIF(AG18:AH37, "✓") + COUNTIF(AG18:AH37, "✗")</f>
        <v/>
      </c>
      <c r="E80" s="35">
        <f>IFERROR(C80/D80, 0)</f>
        <v/>
      </c>
      <c r="N80" s="60" t="inlineStr">
        <is>
          <t>Finance &amp; Wealth</t>
        </is>
      </c>
      <c r="O80" s="54" t="n"/>
      <c r="P80" s="34">
        <f>COUNTIF($C$18:$C$37, "Finance &amp; Wealth")</f>
        <v/>
      </c>
      <c r="Q80" s="34">
        <f>SUMIF($C$18:$C$37, "Finance &amp; Wealth", $D$18:$D$37)</f>
        <v/>
      </c>
      <c r="R80" s="34">
        <f>SUMIF($C$18:$C$37, "Finance &amp; Wealth", $AL$18:$AL$37)</f>
        <v/>
      </c>
      <c r="S80" s="35">
        <f>IFERROR(R80/Q80, 0)</f>
        <v/>
      </c>
    </row>
    <row r="81" ht="14" customHeight="1">
      <c r="A81" s="33" t="inlineStr">
        <is>
          <t>Total / Avg</t>
        </is>
      </c>
      <c r="B81" s="159" t="inlineStr">
        <is>
          <t>Month Total</t>
        </is>
      </c>
      <c r="C81" s="33">
        <f>SUM(C76:C80)</f>
        <v/>
      </c>
      <c r="D81" s="33">
        <f>SUM(D76:D80)</f>
        <v/>
      </c>
      <c r="E81" s="133">
        <f>IFERROR(C81/D81, 0)</f>
        <v/>
      </c>
    </row>
    <row r="82" ht="10" customHeight="1"/>
    <row r="83" ht="10" customHeight="1"/>
    <row r="84">
      <c r="A84" s="51" t="inlineStr">
        <is>
          <t>SLEEP &amp; PRODUCTIVITY CORRELATION ANALYSIS</t>
        </is>
      </c>
      <c r="B84" s="52" t="n"/>
      <c r="C84" s="52" t="n"/>
      <c r="D84" s="52" t="n"/>
      <c r="E84" s="52" t="n"/>
      <c r="F84" s="52" t="n"/>
      <c r="G84" s="52" t="n"/>
      <c r="H84" s="52" t="n"/>
      <c r="I84" s="52" t="n"/>
      <c r="J84" s="52" t="n"/>
      <c r="K84" s="52" t="n"/>
      <c r="L84" s="52" t="n"/>
      <c r="M84" s="52" t="n"/>
      <c r="N84" s="52" t="n"/>
      <c r="O84" s="52" t="n"/>
      <c r="P84" s="52" t="n"/>
      <c r="Q84" s="52" t="n"/>
      <c r="R84" s="52" t="n"/>
      <c r="S84" s="52" t="n"/>
      <c r="T84" s="52" t="n"/>
      <c r="U84" s="52" t="n"/>
      <c r="V84" s="52" t="n"/>
      <c r="W84" s="52" t="n"/>
      <c r="X84" s="52" t="n"/>
      <c r="Y84" s="52" t="n"/>
      <c r="Z84" s="52" t="n"/>
      <c r="AA84" s="52" t="n"/>
      <c r="AB84" s="52" t="n"/>
      <c r="AC84" s="52" t="n"/>
      <c r="AD84" s="52" t="n"/>
      <c r="AE84" s="52" t="n"/>
      <c r="AF84" s="52" t="n"/>
      <c r="AG84" s="52" t="n"/>
      <c r="AH84" s="52" t="n"/>
      <c r="AI84" s="52" t="n"/>
      <c r="AJ84" s="52" t="n"/>
      <c r="AK84" s="52" t="n"/>
    </row>
    <row r="85" ht="15" customHeight="1">
      <c r="A85" s="53" t="inlineStr">
        <is>
          <t>Rest Category</t>
        </is>
      </c>
      <c r="B85" s="54" t="n"/>
      <c r="C85" s="54" t="n"/>
      <c r="D85" s="53" t="inlineStr">
        <is>
          <t>Day Criteria</t>
        </is>
      </c>
      <c r="E85" s="54" t="n"/>
      <c r="F85" s="54" t="n"/>
      <c r="G85" s="53" t="inlineStr">
        <is>
          <t>Days Logged</t>
        </is>
      </c>
      <c r="H85" s="54" t="n"/>
      <c r="I85" s="54" t="n"/>
      <c r="J85" s="53" t="inlineStr">
        <is>
          <t>Avg Sleep Duration</t>
        </is>
      </c>
      <c r="K85" s="54" t="n"/>
      <c r="L85" s="54" t="n"/>
      <c r="M85" s="54" t="n"/>
      <c r="N85" s="53" t="inlineStr">
        <is>
          <t>Avg Habit Success %</t>
        </is>
      </c>
      <c r="O85" s="54" t="n"/>
      <c r="P85" s="54" t="n"/>
      <c r="Q85" s="54" t="n"/>
      <c r="R85" s="53" t="inlineStr">
        <is>
          <t>Productivity Delta</t>
        </is>
      </c>
      <c r="S85" s="54" t="n"/>
      <c r="T85" s="54" t="n"/>
      <c r="U85" s="54" t="n"/>
    </row>
    <row r="86" ht="15" customHeight="1">
      <c r="A86" s="160" t="inlineStr">
        <is>
          <t>Optimal Rest</t>
        </is>
      </c>
      <c r="B86" s="161" t="n"/>
      <c r="C86" s="56" t="n"/>
      <c r="D86" s="34" t="inlineStr">
        <is>
          <t>&gt;= 7 Hours / Night</t>
        </is>
      </c>
      <c r="E86" s="161" t="n"/>
      <c r="F86" s="56" t="n"/>
      <c r="G86" s="33">
        <f>COUNTIF(E47:AH47, "&gt;=7")</f>
        <v/>
      </c>
      <c r="H86" s="161" t="n"/>
      <c r="I86" s="56" t="n"/>
      <c r="J86" s="34">
        <f>IFERROR(TEXT(AVERAGEIF(E47:AH47, "&gt;=7"), "0.0") &amp; " hrs", "-")</f>
        <v/>
      </c>
      <c r="K86" s="161" t="n"/>
      <c r="L86" s="161" t="n"/>
      <c r="M86" s="56" t="n"/>
      <c r="N86" s="42">
        <f>IFERROR(AVERAGEIFS(E39:AH39, E47:AH47, "&gt;=7", E39:AH39, "&gt;0"), 0)</f>
        <v/>
      </c>
      <c r="O86" s="161" t="n"/>
      <c r="P86" s="161" t="n"/>
      <c r="Q86" s="56" t="n"/>
      <c r="R86" s="159" t="inlineStr">
        <is>
          <t>Baseline (Target)</t>
        </is>
      </c>
      <c r="S86" s="161" t="n"/>
      <c r="T86" s="161" t="n"/>
      <c r="U86" s="56" t="n"/>
    </row>
    <row r="87" ht="15" customHeight="1">
      <c r="A87" s="162" t="inlineStr">
        <is>
          <t>Sleep Deficit</t>
        </is>
      </c>
      <c r="B87" s="161" t="n"/>
      <c r="C87" s="56" t="n"/>
      <c r="D87" s="34" t="inlineStr">
        <is>
          <t>&lt; 7 Hours / Night</t>
        </is>
      </c>
      <c r="E87" s="161" t="n"/>
      <c r="F87" s="56" t="n"/>
      <c r="G87" s="33">
        <f>COUNTIF(E47:AH47, "&lt;7") - COUNTIF(E47:AH47, "")</f>
        <v/>
      </c>
      <c r="H87" s="161" t="n"/>
      <c r="I87" s="56" t="n"/>
      <c r="J87" s="34">
        <f>IFERROR(TEXT(AVERAGEIFS(E47:AH47, E47:AH47, "&lt;7", E47:AH47, "&gt;0"), "0.0") &amp; " hrs", "-")</f>
        <v/>
      </c>
      <c r="K87" s="161" t="n"/>
      <c r="L87" s="161" t="n"/>
      <c r="M87" s="56" t="n"/>
      <c r="N87" s="163">
        <f>IFERROR(AVERAGEIFS(E39:AH39, E47:AH47, "&lt;7", E39:AH39, "&gt;0"), 0)</f>
        <v/>
      </c>
      <c r="O87" s="161" t="n"/>
      <c r="P87" s="161" t="n"/>
      <c r="Q87" s="56" t="n"/>
      <c r="R87" s="160">
        <f>IFERROR(TEXT(N86 - N87, "+0.0%;-0.0%;0.0%") &amp; " Rest Advantage", "-")</f>
        <v/>
      </c>
      <c r="S87" s="161" t="n"/>
      <c r="T87" s="161" t="n"/>
      <c r="U87" s="56" t="n"/>
    </row>
    <row r="88" ht="18" customHeight="1">
      <c r="A88" s="164">
        <f>IF(AND(ISNUMBER(N86), ISNUMBER(N87), N86&gt;0, N87&gt;0), "💡 Sleep Correlation Insight: You complete " &amp; TEXT(ABS(N86-N87), "0.0%") &amp; IF(N86&gt;=N87, " MORE habits on days with 7+ hours of sleep!", " fewer habits on days with 7+ hours of sleep."), "💡 Log both habits and sleep hours daily to unlock automatic AI correlation insights!")</f>
        <v/>
      </c>
      <c r="B88" s="161" t="n"/>
      <c r="C88" s="161" t="n"/>
      <c r="D88" s="161" t="n"/>
      <c r="E88" s="161" t="n"/>
      <c r="F88" s="161" t="n"/>
      <c r="G88" s="161" t="n"/>
      <c r="H88" s="161" t="n"/>
      <c r="I88" s="161" t="n"/>
      <c r="J88" s="161" t="n"/>
      <c r="K88" s="161" t="n"/>
      <c r="L88" s="161" t="n"/>
      <c r="M88" s="161" t="n"/>
      <c r="N88" s="161" t="n"/>
      <c r="O88" s="161" t="n"/>
      <c r="P88" s="161" t="n"/>
      <c r="Q88" s="161" t="n"/>
      <c r="R88" s="161" t="n"/>
      <c r="S88" s="161" t="n"/>
      <c r="T88" s="161" t="n"/>
      <c r="U88" s="161" t="n"/>
      <c r="V88" s="161" t="n"/>
      <c r="W88" s="161" t="n"/>
      <c r="X88" s="161" t="n"/>
      <c r="Y88" s="161" t="n"/>
      <c r="Z88" s="161" t="n"/>
      <c r="AA88" s="161" t="n"/>
      <c r="AB88" s="161" t="n"/>
      <c r="AC88" s="161" t="n"/>
      <c r="AD88" s="161" t="n"/>
      <c r="AE88" s="161" t="n"/>
      <c r="AF88" s="161" t="n"/>
      <c r="AG88" s="161" t="n"/>
      <c r="AH88" s="161" t="n"/>
      <c r="AI88" s="161" t="n"/>
      <c r="AJ88" s="161" t="n"/>
      <c r="AK88" s="56" t="n"/>
    </row>
    <row r="89" ht="10" customHeight="1"/>
    <row r="90">
      <c r="A90" s="43" t="inlineStr">
        <is>
          <t>STANDARDIZED DATA BRIDGE (FOR ANNUAL &amp; QUARTERLY REVIEW SHEETS)</t>
        </is>
      </c>
      <c r="B90" s="44" t="n"/>
      <c r="C90" s="44" t="n"/>
      <c r="D90" s="44" t="n"/>
      <c r="E90" s="44" t="n"/>
      <c r="F90" s="44" t="n"/>
      <c r="G90" s="44" t="n"/>
      <c r="H90" s="44" t="n"/>
      <c r="I90" s="44" t="n"/>
      <c r="J90" s="44" t="n"/>
      <c r="K90" s="44" t="n"/>
      <c r="L90" s="44" t="n"/>
      <c r="M90" s="44" t="n"/>
      <c r="N90" s="44" t="n"/>
      <c r="O90" s="44" t="n"/>
      <c r="P90" s="44" t="n"/>
      <c r="Q90" s="44" t="n"/>
      <c r="R90" s="44" t="n"/>
      <c r="S90" s="44" t="n"/>
      <c r="T90" s="44" t="n"/>
      <c r="U90" s="44" t="n"/>
      <c r="V90" s="44" t="n"/>
      <c r="W90" s="44" t="n"/>
      <c r="X90" s="44" t="n"/>
      <c r="Y90" s="44" t="n"/>
      <c r="Z90" s="44" t="n"/>
      <c r="AA90" s="44" t="n"/>
      <c r="AB90" s="44" t="n"/>
      <c r="AC90" s="44" t="n"/>
      <c r="AD90" s="44" t="n"/>
      <c r="AE90" s="44" t="n"/>
      <c r="AF90" s="44" t="n"/>
      <c r="AG90" s="44" t="n"/>
      <c r="AH90" s="44" t="n"/>
      <c r="AI90" s="44" t="n"/>
      <c r="AJ90" s="44" t="n"/>
      <c r="AK90" s="44" t="n"/>
    </row>
    <row r="91" ht="15" customHeight="1">
      <c r="A91" s="53" t="inlineStr">
        <is>
          <t>Month</t>
        </is>
      </c>
      <c r="B91" s="54" t="n"/>
      <c r="C91" s="53" t="inlineStr">
        <is>
          <t>Year</t>
        </is>
      </c>
      <c r="D91" s="54" t="n"/>
      <c r="E91" s="53" t="inlineStr">
        <is>
          <t>Active Habits</t>
        </is>
      </c>
      <c r="F91" s="54" t="n"/>
      <c r="G91" s="53" t="inlineStr">
        <is>
          <t>Target Days</t>
        </is>
      </c>
      <c r="H91" s="54" t="n"/>
      <c r="I91" s="53" t="inlineStr">
        <is>
          <t>Done Checks</t>
        </is>
      </c>
      <c r="J91" s="54" t="n"/>
      <c r="K91" s="53" t="inlineStr">
        <is>
          <t>Success %</t>
        </is>
      </c>
      <c r="L91" s="54" t="n"/>
      <c r="M91" s="53" t="inlineStr">
        <is>
          <t>Perfect Days</t>
        </is>
      </c>
      <c r="N91" s="54" t="n"/>
      <c r="O91" s="53" t="inlineStr">
        <is>
          <t>Avg Sleep</t>
        </is>
      </c>
      <c r="P91" s="54" t="n"/>
      <c r="Q91" s="53" t="inlineStr">
        <is>
          <t>Best Week</t>
        </is>
      </c>
      <c r="R91" s="54" t="n"/>
      <c r="S91" s="54" t="n"/>
      <c r="T91" s="53" t="inlineStr">
        <is>
          <t>Top Life Domain</t>
        </is>
      </c>
      <c r="U91" s="54" t="n"/>
      <c r="V91" s="54" t="n"/>
      <c r="W91" s="54" t="n"/>
    </row>
    <row r="92" ht="16" customHeight="1">
      <c r="A92" s="165" t="inlineStr">
        <is>
          <t>Sep</t>
        </is>
      </c>
      <c r="B92" s="56" t="n"/>
      <c r="C92" s="165" t="n">
        <v>2029</v>
      </c>
      <c r="D92" s="56" t="n"/>
      <c r="E92" s="166">
        <f>COUNTA(B18:B37)</f>
        <v/>
      </c>
      <c r="F92" s="56" t="n"/>
      <c r="G92" s="166">
        <f>SUM(D18:D37)</f>
        <v/>
      </c>
      <c r="H92" s="56" t="n"/>
      <c r="I92" s="166">
        <f>SUM(AL18:AL37)</f>
        <v/>
      </c>
      <c r="J92" s="56" t="n"/>
      <c r="K92" s="167">
        <f>IF(G92&gt;0, I92/G92, 0)</f>
        <v/>
      </c>
      <c r="L92" s="56" t="n"/>
      <c r="M92" s="166">
        <f>COUNTIF(E39:AH39, 1)</f>
        <v/>
      </c>
      <c r="N92" s="56" t="n"/>
      <c r="O92" s="168">
        <f>IFERROR(AVERAGE(E47:AH47), 0)</f>
        <v/>
      </c>
      <c r="P92" s="56" t="n"/>
      <c r="Q92" s="166">
        <f>INDEX(A76:A80, MATCH(MAX(E76:E80), E76:E80, 0))</f>
        <v/>
      </c>
      <c r="R92" s="161" t="n"/>
      <c r="S92" s="56" t="n"/>
      <c r="T92" s="166">
        <f>INDEX(N76:N80, MATCH(MAX(S76:S80), S76:S80, 0))</f>
        <v/>
      </c>
      <c r="U92" s="161" t="n"/>
      <c r="V92" s="161" t="n"/>
      <c r="W92" s="56" t="n"/>
    </row>
    <row r="93" ht="14" customHeight="1">
      <c r="A93" s="169" t="inlineStr">
        <is>
          <t>📋 Note: Reference or copy Row 92 directly into an Annual / Quarterly review dashboard to track yearly habit trends.</t>
        </is>
      </c>
    </row>
    <row r="94" ht="8" customHeight="1"/>
    <row r="95">
      <c r="A95" s="170" t="inlineStr">
        <is>
          <t>🏆 MONTHLY WINS &amp; HIGHLIGHTS</t>
        </is>
      </c>
      <c r="J95" s="171" t="inlineStr">
        <is>
          <t>⚠️ FRICTION POINTS &amp; ROOT CAUSES</t>
        </is>
      </c>
      <c r="S95" s="172" t="inlineStr">
        <is>
          <t>🎯 3 KEY ADJUSTMENTS FOR NEXT MONTH</t>
        </is>
      </c>
    </row>
    <row r="96">
      <c r="A96" s="173" t="inlineStr">
        <is>
          <t>1. What went exceptionally well this month?
2. Which habit felt effortless and consistent?
3. Major milestone achieved:</t>
        </is>
      </c>
      <c r="B96" s="174" t="n"/>
      <c r="C96" s="174" t="n"/>
      <c r="D96" s="174" t="n"/>
      <c r="E96" s="174" t="n"/>
      <c r="F96" s="174" t="n"/>
      <c r="G96" s="174" t="n"/>
      <c r="H96" s="174" t="n"/>
      <c r="J96" s="175" t="inlineStr">
        <is>
          <t>1. What caused missed or skipped days?
2. Main triggers / energy drains encountered:
3. Which habit had the lowest consistency and why?</t>
        </is>
      </c>
      <c r="K96" s="176" t="n"/>
      <c r="L96" s="176" t="n"/>
      <c r="M96" s="176" t="n"/>
      <c r="N96" s="176" t="n"/>
      <c r="O96" s="176" t="n"/>
      <c r="P96" s="176" t="n"/>
      <c r="Q96" s="176" t="n"/>
      <c r="S96" s="177" t="inlineStr">
        <is>
          <t>1. Habit Stacking or time adjustment for next month:
2. Environment design change to eliminate friction:
3. One non-negotiable priority protocol:</t>
        </is>
      </c>
      <c r="T96" s="178" t="n"/>
      <c r="U96" s="178" t="n"/>
      <c r="V96" s="178" t="n"/>
      <c r="W96" s="178" t="n"/>
      <c r="X96" s="178" t="n"/>
      <c r="Y96" s="178" t="n"/>
      <c r="Z96" s="178" t="n"/>
    </row>
    <row r="97">
      <c r="A97" s="174" t="n"/>
      <c r="B97" s="174" t="n"/>
      <c r="C97" s="174" t="n"/>
      <c r="D97" s="174" t="n"/>
      <c r="E97" s="174" t="n"/>
      <c r="F97" s="174" t="n"/>
      <c r="G97" s="174" t="n"/>
      <c r="H97" s="174" t="n"/>
      <c r="J97" s="176" t="n"/>
      <c r="K97" s="176" t="n"/>
      <c r="L97" s="176" t="n"/>
      <c r="M97" s="176" t="n"/>
      <c r="N97" s="176" t="n"/>
      <c r="O97" s="176" t="n"/>
      <c r="P97" s="176" t="n"/>
      <c r="Q97" s="176" t="n"/>
      <c r="S97" s="178" t="n"/>
      <c r="T97" s="178" t="n"/>
      <c r="U97" s="178" t="n"/>
      <c r="V97" s="178" t="n"/>
      <c r="W97" s="178" t="n"/>
      <c r="X97" s="178" t="n"/>
      <c r="Y97" s="178" t="n"/>
      <c r="Z97" s="178" t="n"/>
    </row>
    <row r="98">
      <c r="A98" s="174" t="n"/>
      <c r="B98" s="174" t="n"/>
      <c r="C98" s="174" t="n"/>
      <c r="D98" s="174" t="n"/>
      <c r="E98" s="174" t="n"/>
      <c r="F98" s="174" t="n"/>
      <c r="G98" s="174" t="n"/>
      <c r="H98" s="174" t="n"/>
      <c r="J98" s="176" t="n"/>
      <c r="K98" s="176" t="n"/>
      <c r="L98" s="176" t="n"/>
      <c r="M98" s="176" t="n"/>
      <c r="N98" s="176" t="n"/>
      <c r="O98" s="176" t="n"/>
      <c r="P98" s="176" t="n"/>
      <c r="Q98" s="176" t="n"/>
      <c r="S98" s="178" t="n"/>
      <c r="T98" s="178" t="n"/>
      <c r="U98" s="178" t="n"/>
      <c r="V98" s="178" t="n"/>
      <c r="W98" s="178" t="n"/>
      <c r="X98" s="178" t="n"/>
      <c r="Y98" s="178" t="n"/>
      <c r="Z98" s="178" t="n"/>
    </row>
    <row r="99">
      <c r="A99" s="174" t="n"/>
      <c r="B99" s="174" t="n"/>
      <c r="C99" s="174" t="n"/>
      <c r="D99" s="174" t="n"/>
      <c r="E99" s="174" t="n"/>
      <c r="F99" s="174" t="n"/>
      <c r="G99" s="174" t="n"/>
      <c r="H99" s="174" t="n"/>
      <c r="J99" s="176" t="n"/>
      <c r="K99" s="176" t="n"/>
      <c r="L99" s="176" t="n"/>
      <c r="M99" s="176" t="n"/>
      <c r="N99" s="176" t="n"/>
      <c r="O99" s="176" t="n"/>
      <c r="P99" s="176" t="n"/>
      <c r="Q99" s="176" t="n"/>
      <c r="S99" s="178" t="n"/>
      <c r="T99" s="178" t="n"/>
      <c r="U99" s="178" t="n"/>
      <c r="V99" s="178" t="n"/>
      <c r="W99" s="178" t="n"/>
      <c r="X99" s="178" t="n"/>
      <c r="Y99" s="178" t="n"/>
      <c r="Z99" s="178" t="n"/>
    </row>
    <row r="100">
      <c r="A100" s="174" t="n"/>
      <c r="B100" s="174" t="n"/>
      <c r="C100" s="174" t="n"/>
      <c r="D100" s="174" t="n"/>
      <c r="E100" s="174" t="n"/>
      <c r="F100" s="174" t="n"/>
      <c r="G100" s="174" t="n"/>
      <c r="H100" s="174" t="n"/>
      <c r="J100" s="176" t="n"/>
      <c r="K100" s="176" t="n"/>
      <c r="L100" s="176" t="n"/>
      <c r="M100" s="176" t="n"/>
      <c r="N100" s="176" t="n"/>
      <c r="O100" s="176" t="n"/>
      <c r="P100" s="176" t="n"/>
      <c r="Q100" s="176" t="n"/>
      <c r="S100" s="178" t="n"/>
      <c r="T100" s="178" t="n"/>
      <c r="U100" s="178" t="n"/>
      <c r="V100" s="178" t="n"/>
      <c r="W100" s="178" t="n"/>
      <c r="X100" s="178" t="n"/>
      <c r="Y100" s="178" t="n"/>
      <c r="Z100" s="178" t="n"/>
    </row>
    <row r="101">
      <c r="A101" s="174" t="n"/>
      <c r="B101" s="174" t="n"/>
      <c r="C101" s="174" t="n"/>
      <c r="D101" s="174" t="n"/>
      <c r="E101" s="174" t="n"/>
      <c r="F101" s="174" t="n"/>
      <c r="G101" s="174" t="n"/>
      <c r="H101" s="174" t="n"/>
      <c r="J101" s="176" t="n"/>
      <c r="K101" s="176" t="n"/>
      <c r="L101" s="176" t="n"/>
      <c r="M101" s="176" t="n"/>
      <c r="N101" s="176" t="n"/>
      <c r="O101" s="176" t="n"/>
      <c r="P101" s="176" t="n"/>
      <c r="Q101" s="176" t="n"/>
      <c r="S101" s="178" t="n"/>
      <c r="T101" s="178" t="n"/>
      <c r="U101" s="178" t="n"/>
      <c r="V101" s="178" t="n"/>
      <c r="W101" s="178" t="n"/>
      <c r="X101" s="178" t="n"/>
      <c r="Y101" s="178" t="n"/>
      <c r="Z101" s="178" t="n"/>
    </row>
    <row r="102">
      <c r="A102" s="174" t="n"/>
      <c r="B102" s="174" t="n"/>
      <c r="C102" s="174" t="n"/>
      <c r="D102" s="174" t="n"/>
      <c r="E102" s="174" t="n"/>
      <c r="F102" s="174" t="n"/>
      <c r="G102" s="174" t="n"/>
      <c r="H102" s="174" t="n"/>
      <c r="J102" s="176" t="n"/>
      <c r="K102" s="176" t="n"/>
      <c r="L102" s="176" t="n"/>
      <c r="M102" s="176" t="n"/>
      <c r="N102" s="176" t="n"/>
      <c r="O102" s="176" t="n"/>
      <c r="P102" s="176" t="n"/>
      <c r="Q102" s="176" t="n"/>
      <c r="S102" s="178" t="n"/>
      <c r="T102" s="178" t="n"/>
      <c r="U102" s="178" t="n"/>
      <c r="V102" s="178" t="n"/>
      <c r="W102" s="178" t="n"/>
      <c r="X102" s="178" t="n"/>
      <c r="Y102" s="178" t="n"/>
      <c r="Z102" s="178" t="n"/>
    </row>
    <row r="103">
      <c r="A103" s="174" t="n"/>
      <c r="B103" s="174" t="n"/>
      <c r="C103" s="174" t="n"/>
      <c r="D103" s="174" t="n"/>
      <c r="E103" s="174" t="n"/>
      <c r="F103" s="174" t="n"/>
      <c r="G103" s="174" t="n"/>
      <c r="H103" s="174" t="n"/>
      <c r="J103" s="176" t="n"/>
      <c r="K103" s="176" t="n"/>
      <c r="L103" s="176" t="n"/>
      <c r="M103" s="176" t="n"/>
      <c r="N103" s="176" t="n"/>
      <c r="O103" s="176" t="n"/>
      <c r="P103" s="176" t="n"/>
      <c r="Q103" s="176" t="n"/>
      <c r="S103" s="178" t="n"/>
      <c r="T103" s="178" t="n"/>
      <c r="U103" s="178" t="n"/>
      <c r="V103" s="178" t="n"/>
      <c r="W103" s="178" t="n"/>
      <c r="X103" s="178" t="n"/>
      <c r="Y103" s="178" t="n"/>
      <c r="Z103" s="178" t="n"/>
    </row>
  </sheetData>
  <sheetProtection selectLockedCells="1" selectUnlockedCells="1" sheet="1" objects="0" insertRows="1" insertHyperlinks="1" autoFilter="1" scenarios="0" formatColumns="1" deleteColumns="1" insertColumns="1" pivotTables="1" deleteRows="1" formatCells="1" formatRows="1" sort="1"/>
  <mergeCells count="94">
    <mergeCell ref="A9:N9"/>
    <mergeCell ref="N76:O76"/>
    <mergeCell ref="F67:I67"/>
    <mergeCell ref="G87:I87"/>
    <mergeCell ref="A16:A17"/>
    <mergeCell ref="A45:D46"/>
    <mergeCell ref="C16:C17"/>
    <mergeCell ref="N75:O75"/>
    <mergeCell ref="N77:O77"/>
    <mergeCell ref="P68:S70"/>
    <mergeCell ref="A93:AK93"/>
    <mergeCell ref="D16:D17"/>
    <mergeCell ref="N85:Q85"/>
    <mergeCell ref="A95:H95"/>
    <mergeCell ref="Q91:S91"/>
    <mergeCell ref="P6:AK6"/>
    <mergeCell ref="E91:F91"/>
    <mergeCell ref="A8:N8"/>
    <mergeCell ref="G91:H91"/>
    <mergeCell ref="P8:AK8"/>
    <mergeCell ref="J86:M86"/>
    <mergeCell ref="S95:Z95"/>
    <mergeCell ref="K67:N67"/>
    <mergeCell ref="N79:O79"/>
    <mergeCell ref="K92:L92"/>
    <mergeCell ref="P7:AK7"/>
    <mergeCell ref="C92:D92"/>
    <mergeCell ref="F71:I71"/>
    <mergeCell ref="M92:N92"/>
    <mergeCell ref="A12:AK14"/>
    <mergeCell ref="K68:N70"/>
    <mergeCell ref="T91:W91"/>
    <mergeCell ref="AI16:AI17"/>
    <mergeCell ref="J95:Q95"/>
    <mergeCell ref="D85:F85"/>
    <mergeCell ref="N74:S74"/>
    <mergeCell ref="P9:AK9"/>
    <mergeCell ref="F68:I70"/>
    <mergeCell ref="A91:B91"/>
    <mergeCell ref="N78:O78"/>
    <mergeCell ref="C91:D91"/>
    <mergeCell ref="M91:N91"/>
    <mergeCell ref="O91:P91"/>
    <mergeCell ref="R86:U86"/>
    <mergeCell ref="A84:AK84"/>
    <mergeCell ref="N80:O80"/>
    <mergeCell ref="B16:B17"/>
    <mergeCell ref="A71:D71"/>
    <mergeCell ref="J85:M85"/>
    <mergeCell ref="D86:F86"/>
    <mergeCell ref="A92:B92"/>
    <mergeCell ref="N87:Q87"/>
    <mergeCell ref="A1:B1"/>
    <mergeCell ref="E92:F92"/>
    <mergeCell ref="A68:D70"/>
    <mergeCell ref="P71:S71"/>
    <mergeCell ref="A86:C86"/>
    <mergeCell ref="D87:F87"/>
    <mergeCell ref="O92:P92"/>
    <mergeCell ref="A6:N6"/>
    <mergeCell ref="A39:D39"/>
    <mergeCell ref="G86:I86"/>
    <mergeCell ref="A96:H103"/>
    <mergeCell ref="P67:S67"/>
    <mergeCell ref="A41:AK41"/>
    <mergeCell ref="T92:W92"/>
    <mergeCell ref="R85:U85"/>
    <mergeCell ref="H2:AC2"/>
    <mergeCell ref="K71:N71"/>
    <mergeCell ref="S96:Z103"/>
    <mergeCell ref="A38:D38"/>
    <mergeCell ref="A42:AK42"/>
    <mergeCell ref="H3:AC3"/>
    <mergeCell ref="A67:D67"/>
    <mergeCell ref="I91:J91"/>
    <mergeCell ref="A85:C85"/>
    <mergeCell ref="K91:L91"/>
    <mergeCell ref="N86:Q86"/>
    <mergeCell ref="A7:N7"/>
    <mergeCell ref="A74:E74"/>
    <mergeCell ref="G85:I85"/>
    <mergeCell ref="G92:H92"/>
    <mergeCell ref="I92:J92"/>
    <mergeCell ref="R87:U87"/>
    <mergeCell ref="AK16:AK17"/>
    <mergeCell ref="J87:M87"/>
    <mergeCell ref="AD2:AK2"/>
    <mergeCell ref="AJ16:AJ17"/>
    <mergeCell ref="J96:Q103"/>
    <mergeCell ref="A88:AK88"/>
    <mergeCell ref="A90:AK90"/>
    <mergeCell ref="Q92:S92"/>
    <mergeCell ref="A87:C87"/>
    <mergeCell ref="A47:D47"/>
  </mergeCells>
  <conditionalFormatting sqref="AI18:AI37">
    <cfRule type="dataBar" priority="1">
      <dataBar>
        <cfvo type="num" val="0"/>
        <cfvo type="num" val="1"/>
        <color rgb="0010B981"/>
      </dataBar>
    </cfRule>
  </conditionalFormatting>
  <conditionalFormatting sqref="E18:AH37">
    <cfRule type="cellIs" priority="2" operator="equal" dxfId="0">
      <formula>"✓"</formula>
    </cfRule>
    <cfRule type="cellIs" priority="3" operator="equal" dxfId="0">
      <formula>"✔"</formula>
    </cfRule>
    <cfRule type="cellIs" priority="4" operator="equal" dxfId="1">
      <formula>"✗"</formula>
    </cfRule>
    <cfRule type="cellIs" priority="5" operator="equal" dxfId="1">
      <formula>"x"</formula>
    </cfRule>
    <cfRule type="cellIs" priority="6" operator="equal" dxfId="1">
      <formula>"X"</formula>
    </cfRule>
  </conditionalFormatting>
  <conditionalFormatting sqref="E16:E17">
    <cfRule type="expression" priority="7" dxfId="2">
      <formula>AND(DAY(TODAY())=1, MONTH(TODAY())=9, YEAR(TODAY())=2029)</formula>
    </cfRule>
  </conditionalFormatting>
  <conditionalFormatting sqref="F16:F17">
    <cfRule type="expression" priority="8" dxfId="2">
      <formula>AND(DAY(TODAY())=2, MONTH(TODAY())=9, YEAR(TODAY())=2029)</formula>
    </cfRule>
  </conditionalFormatting>
  <conditionalFormatting sqref="G16:G17">
    <cfRule type="expression" priority="9" dxfId="2">
      <formula>AND(DAY(TODAY())=3, MONTH(TODAY())=9, YEAR(TODAY())=2029)</formula>
    </cfRule>
  </conditionalFormatting>
  <conditionalFormatting sqref="H16:H17">
    <cfRule type="expression" priority="10" dxfId="2">
      <formula>AND(DAY(TODAY())=4, MONTH(TODAY())=9, YEAR(TODAY())=2029)</formula>
    </cfRule>
  </conditionalFormatting>
  <conditionalFormatting sqref="I16:I17">
    <cfRule type="expression" priority="11" dxfId="2">
      <formula>AND(DAY(TODAY())=5, MONTH(TODAY())=9, YEAR(TODAY())=2029)</formula>
    </cfRule>
  </conditionalFormatting>
  <conditionalFormatting sqref="J16:J17">
    <cfRule type="expression" priority="12" dxfId="2">
      <formula>AND(DAY(TODAY())=6, MONTH(TODAY())=9, YEAR(TODAY())=2029)</formula>
    </cfRule>
  </conditionalFormatting>
  <conditionalFormatting sqref="K16:K17">
    <cfRule type="expression" priority="13" dxfId="2">
      <formula>AND(DAY(TODAY())=7, MONTH(TODAY())=9, YEAR(TODAY())=2029)</formula>
    </cfRule>
  </conditionalFormatting>
  <conditionalFormatting sqref="L16:L17">
    <cfRule type="expression" priority="14" dxfId="2">
      <formula>AND(DAY(TODAY())=8, MONTH(TODAY())=9, YEAR(TODAY())=2029)</formula>
    </cfRule>
  </conditionalFormatting>
  <conditionalFormatting sqref="M16:M17">
    <cfRule type="expression" priority="15" dxfId="2">
      <formula>AND(DAY(TODAY())=9, MONTH(TODAY())=9, YEAR(TODAY())=2029)</formula>
    </cfRule>
  </conditionalFormatting>
  <conditionalFormatting sqref="N16:N17">
    <cfRule type="expression" priority="16" dxfId="2">
      <formula>AND(DAY(TODAY())=10, MONTH(TODAY())=9, YEAR(TODAY())=2029)</formula>
    </cfRule>
  </conditionalFormatting>
  <conditionalFormatting sqref="O16:O17">
    <cfRule type="expression" priority="17" dxfId="2">
      <formula>AND(DAY(TODAY())=11, MONTH(TODAY())=9, YEAR(TODAY())=2029)</formula>
    </cfRule>
  </conditionalFormatting>
  <conditionalFormatting sqref="P16:P17">
    <cfRule type="expression" priority="18" dxfId="2">
      <formula>AND(DAY(TODAY())=12, MONTH(TODAY())=9, YEAR(TODAY())=2029)</formula>
    </cfRule>
  </conditionalFormatting>
  <conditionalFormatting sqref="Q16:Q17">
    <cfRule type="expression" priority="19" dxfId="2">
      <formula>AND(DAY(TODAY())=13, MONTH(TODAY())=9, YEAR(TODAY())=2029)</formula>
    </cfRule>
  </conditionalFormatting>
  <conditionalFormatting sqref="R16:R17">
    <cfRule type="expression" priority="20" dxfId="2">
      <formula>AND(DAY(TODAY())=14, MONTH(TODAY())=9, YEAR(TODAY())=2029)</formula>
    </cfRule>
  </conditionalFormatting>
  <conditionalFormatting sqref="S16:S17">
    <cfRule type="expression" priority="21" dxfId="2">
      <formula>AND(DAY(TODAY())=15, MONTH(TODAY())=9, YEAR(TODAY())=2029)</formula>
    </cfRule>
  </conditionalFormatting>
  <conditionalFormatting sqref="T16:T17">
    <cfRule type="expression" priority="22" dxfId="2">
      <formula>AND(DAY(TODAY())=16, MONTH(TODAY())=9, YEAR(TODAY())=2029)</formula>
    </cfRule>
  </conditionalFormatting>
  <conditionalFormatting sqref="U16:U17">
    <cfRule type="expression" priority="23" dxfId="2">
      <formula>AND(DAY(TODAY())=17, MONTH(TODAY())=9, YEAR(TODAY())=2029)</formula>
    </cfRule>
  </conditionalFormatting>
  <conditionalFormatting sqref="V16:V17">
    <cfRule type="expression" priority="24" dxfId="2">
      <formula>AND(DAY(TODAY())=18, MONTH(TODAY())=9, YEAR(TODAY())=2029)</formula>
    </cfRule>
  </conditionalFormatting>
  <conditionalFormatting sqref="W16:W17">
    <cfRule type="expression" priority="25" dxfId="2">
      <formula>AND(DAY(TODAY())=19, MONTH(TODAY())=9, YEAR(TODAY())=2029)</formula>
    </cfRule>
  </conditionalFormatting>
  <conditionalFormatting sqref="X16:X17">
    <cfRule type="expression" priority="26" dxfId="2">
      <formula>AND(DAY(TODAY())=20, MONTH(TODAY())=9, YEAR(TODAY())=2029)</formula>
    </cfRule>
  </conditionalFormatting>
  <conditionalFormatting sqref="Y16:Y17">
    <cfRule type="expression" priority="27" dxfId="2">
      <formula>AND(DAY(TODAY())=21, MONTH(TODAY())=9, YEAR(TODAY())=2029)</formula>
    </cfRule>
  </conditionalFormatting>
  <conditionalFormatting sqref="Z16:Z17">
    <cfRule type="expression" priority="28" dxfId="2">
      <formula>AND(DAY(TODAY())=22, MONTH(TODAY())=9, YEAR(TODAY())=2029)</formula>
    </cfRule>
  </conditionalFormatting>
  <conditionalFormatting sqref="AA16:AA17">
    <cfRule type="expression" priority="29" dxfId="2">
      <formula>AND(DAY(TODAY())=23, MONTH(TODAY())=9, YEAR(TODAY())=2029)</formula>
    </cfRule>
  </conditionalFormatting>
  <conditionalFormatting sqref="AB16:AB17">
    <cfRule type="expression" priority="30" dxfId="2">
      <formula>AND(DAY(TODAY())=24, MONTH(TODAY())=9, YEAR(TODAY())=2029)</formula>
    </cfRule>
  </conditionalFormatting>
  <conditionalFormatting sqref="AC16:AC17">
    <cfRule type="expression" priority="31" dxfId="2">
      <formula>AND(DAY(TODAY())=25, MONTH(TODAY())=9, YEAR(TODAY())=2029)</formula>
    </cfRule>
  </conditionalFormatting>
  <conditionalFormatting sqref="AD16:AD17">
    <cfRule type="expression" priority="32" dxfId="2">
      <formula>AND(DAY(TODAY())=26, MONTH(TODAY())=9, YEAR(TODAY())=2029)</formula>
    </cfRule>
  </conditionalFormatting>
  <conditionalFormatting sqref="AE16:AE17">
    <cfRule type="expression" priority="33" dxfId="2">
      <formula>AND(DAY(TODAY())=27, MONTH(TODAY())=9, YEAR(TODAY())=2029)</formula>
    </cfRule>
  </conditionalFormatting>
  <conditionalFormatting sqref="AF16:AF17">
    <cfRule type="expression" priority="34" dxfId="2">
      <formula>AND(DAY(TODAY())=28, MONTH(TODAY())=9, YEAR(TODAY())=2029)</formula>
    </cfRule>
  </conditionalFormatting>
  <conditionalFormatting sqref="AG16:AG17">
    <cfRule type="expression" priority="35" dxfId="2">
      <formula>AND(DAY(TODAY())=29, MONTH(TODAY())=9, YEAR(TODAY())=2029)</formula>
    </cfRule>
  </conditionalFormatting>
  <conditionalFormatting sqref="AH16:AH17">
    <cfRule type="expression" priority="36" dxfId="2">
      <formula>AND(DAY(TODAY())=30, MONTH(TODAY())=9, YEAR(TODAY())=2029)</formula>
    </cfRule>
  </conditionalFormatting>
  <dataValidations count="4">
    <dataValidation sqref="C18:C37" showDropDown="0" showInputMessage="0" showErrorMessage="0" allowBlank="1" type="list">
      <formula1>"Health &amp; Fitness,Mindset &amp; Learning,Career &amp; Focus,Personal &amp; Home,Finance &amp; Wealth,Other"</formula1>
    </dataValidation>
    <dataValidation sqref="D18:D37" showDropDown="0" showInputMessage="0" showErrorMessage="0" allowBlank="1" type="list">
      <formula1>"1,2,3,4,5,6,7,8,9,10,11,12,13,14,15,16,17,18,19,20,21,22,23,24,25,26,27,28,29,30,31"</formula1>
    </dataValidation>
    <dataValidation sqref="E18:AH37" showDropDown="0" showInputMessage="0" showErrorMessage="0" allowBlank="1" type="list">
      <formula1>"✓,✗"</formula1>
    </dataValidation>
    <dataValidation sqref="E47:AH47" showDropDown="0" showInputMessage="0" showErrorMessage="0" allowBlank="1" type="list">
      <formula1>"1,2,3,4,5,6,7,8,9,10,11,12,13,14,15,16,17,18,19,20,21,22,23,24"</formula1>
    </dataValidation>
  </dataValidations>
  <hyperlinks>
    <hyperlink xmlns:r="http://schemas.openxmlformats.org/officeDocument/2006/relationships" ref="A1" r:id="rId1"/>
    <hyperlink xmlns:r="http://schemas.openxmlformats.org/officeDocument/2006/relationships" ref="C1" r:id="rId2"/>
    <hyperlink xmlns:r="http://schemas.openxmlformats.org/officeDocument/2006/relationships" ref="D1" r:id="rId3"/>
    <hyperlink xmlns:r="http://schemas.openxmlformats.org/officeDocument/2006/relationships" ref="E1" r:id="rId4"/>
    <hyperlink xmlns:r="http://schemas.openxmlformats.org/officeDocument/2006/relationships" ref="F1" r:id="rId5"/>
    <hyperlink xmlns:r="http://schemas.openxmlformats.org/officeDocument/2006/relationships" ref="G1" r:id="rId6"/>
    <hyperlink xmlns:r="http://schemas.openxmlformats.org/officeDocument/2006/relationships" ref="H1" r:id="rId7"/>
    <hyperlink xmlns:r="http://schemas.openxmlformats.org/officeDocument/2006/relationships" ref="I1" r:id="rId8"/>
    <hyperlink xmlns:r="http://schemas.openxmlformats.org/officeDocument/2006/relationships" ref="J1" r:id="rId9"/>
    <hyperlink xmlns:r="http://schemas.openxmlformats.org/officeDocument/2006/relationships" ref="K1" r:id="rId10"/>
  </hyperlinks>
  <printOptions horizontalCentered="1" verticalCentered="0"/>
  <pageMargins left="0.75" right="0.75" top="1" bottom="1" header="0.5" footer="0.5"/>
  <pageSetup orientation="landscape" paperSize="9" fitToHeight="0" fitToWidth="1"/>
  <drawing xmlns:r="http://schemas.openxmlformats.org/officeDocument/2006/relationships" r:id="rId11"/>
</worksheet>
</file>

<file path=xl/worksheets/sheet41.xml><?xml version="1.0" encoding="utf-8"?>
<worksheet xmlns="http://schemas.openxmlformats.org/spreadsheetml/2006/main">
  <sheetPr>
    <outlinePr summaryBelow="1" summaryRight="1"/>
    <pageSetUpPr fitToPage="1"/>
  </sheetPr>
  <dimension ref="A1:AM103"/>
  <sheetViews>
    <sheetView showGridLines="1" workbookViewId="0">
      <selection activeCell="A1" sqref="A1"/>
    </sheetView>
  </sheetViews>
  <sheetFormatPr baseColWidth="8" defaultRowHeight="15"/>
  <cols>
    <col width="6" customWidth="1" min="1" max="1"/>
    <col width="25" customWidth="1" min="2" max="2"/>
    <col width="16.5" customWidth="1" min="3" max="3"/>
    <col width="8" customWidth="1" min="4" max="4"/>
    <col width="4.8" customWidth="1" min="5" max="5"/>
    <col width="4.8" customWidth="1" min="6" max="6"/>
    <col width="4.8" customWidth="1" min="7" max="7"/>
    <col width="4.8" customWidth="1" min="8" max="8"/>
    <col width="4.8" customWidth="1" min="9" max="9"/>
    <col width="4.8" customWidth="1" min="10" max="10"/>
    <col width="4.8" customWidth="1" min="11" max="11"/>
    <col width="4.8" customWidth="1" min="12" max="12"/>
    <col width="4.8" customWidth="1" min="13" max="13"/>
    <col width="4.8" customWidth="1" min="14" max="14"/>
    <col width="4.8" customWidth="1" min="15" max="15"/>
    <col width="4.8" customWidth="1" min="16" max="16"/>
    <col width="4.8" customWidth="1" min="17" max="17"/>
    <col width="4.8" customWidth="1" min="18" max="18"/>
    <col width="4.8" customWidth="1" min="19" max="19"/>
    <col width="4.8" customWidth="1" min="20" max="20"/>
    <col width="4.8" customWidth="1" min="21" max="21"/>
    <col width="4.8" customWidth="1" min="22" max="22"/>
    <col width="4.8" customWidth="1" min="23" max="23"/>
    <col width="4.8" customWidth="1" min="24" max="24"/>
    <col width="4.8" customWidth="1" min="25" max="25"/>
    <col width="4.8" customWidth="1" min="26" max="26"/>
    <col width="4.8" customWidth="1" min="27" max="27"/>
    <col width="4.8" customWidth="1" min="28" max="28"/>
    <col width="4.8" customWidth="1" min="29" max="29"/>
    <col width="4.8" customWidth="1" min="30" max="30"/>
    <col width="4.8" customWidth="1" min="31" max="31"/>
    <col width="4.8" customWidth="1" min="32" max="32"/>
    <col width="4.8" customWidth="1" min="33" max="33"/>
    <col width="4.8" customWidth="1" min="34" max="34"/>
    <col width="4.8" customWidth="1" min="35" max="35"/>
    <col width="11.5" customWidth="1" min="36" max="36"/>
    <col width="12" customWidth="1" min="37" max="37"/>
    <col width="13.5" customWidth="1" min="38" max="38"/>
    <col hidden="1" width="8" customWidth="1" min="39" max="39"/>
  </cols>
  <sheetData>
    <row r="1" ht="18" customHeight="1">
      <c r="A1" s="76" t="inlineStr">
        <is>
          <t>🏠 Master Dashboard</t>
        </is>
      </c>
      <c r="B1" s="40" t="n"/>
      <c r="C1" s="77" t="inlineStr">
        <is>
          <t>🏛️ Quarterly Hub</t>
        </is>
      </c>
      <c r="D1" s="78" t="inlineStr">
        <is>
          <t>📚 Habit Library</t>
        </is>
      </c>
      <c r="E1" s="80" t="inlineStr">
        <is>
          <t>2026</t>
        </is>
      </c>
      <c r="F1" s="80" t="inlineStr">
        <is>
          <t>2027</t>
        </is>
      </c>
      <c r="G1" s="80" t="inlineStr">
        <is>
          <t>2028</t>
        </is>
      </c>
      <c r="H1" s="79" t="inlineStr">
        <is>
          <t>2029</t>
        </is>
      </c>
      <c r="I1" s="80" t="inlineStr">
        <is>
          <t>2030</t>
        </is>
      </c>
      <c r="J1" s="82" t="inlineStr">
        <is>
          <t>◀ Prev</t>
        </is>
      </c>
      <c r="K1" s="82" t="inlineStr">
        <is>
          <t>Next ▶</t>
        </is>
      </c>
    </row>
    <row r="2" ht="24" customHeight="1">
      <c r="A2" s="83" t="inlineStr">
        <is>
          <t>Habit Tracker</t>
        </is>
      </c>
      <c r="H2" s="84" t="inlineStr">
        <is>
          <t>"Discipline equals freedom."</t>
        </is>
      </c>
      <c r="AE2" s="85" t="inlineStr">
        <is>
          <t>@surajvansh</t>
        </is>
      </c>
    </row>
    <row r="3" ht="18" customHeight="1">
      <c r="A3" s="86" t="inlineStr">
        <is>
          <t>October 2029</t>
        </is>
      </c>
      <c r="H3" s="87" t="inlineStr">
        <is>
          <t>31 Days Dashboard</t>
        </is>
      </c>
    </row>
    <row r="4" ht="5" customHeight="1"/>
    <row r="5" ht="16" customHeight="1">
      <c r="A5" s="88" t="inlineStr">
        <is>
          <t>MONTHLY TARGETS</t>
        </is>
      </c>
    </row>
    <row r="6" ht="13" customHeight="1">
      <c r="A6" s="89" t="inlineStr">
        <is>
          <t>1. ____________________ : ____________________</t>
        </is>
      </c>
      <c r="P6" s="89" t="inlineStr">
        <is>
          <t>5. ____________________ : ____________________</t>
        </is>
      </c>
    </row>
    <row r="7" ht="13" customHeight="1">
      <c r="A7" s="89" t="inlineStr">
        <is>
          <t>2. ____________________ : ____________________</t>
        </is>
      </c>
      <c r="P7" s="89" t="inlineStr">
        <is>
          <t>6. ____________________ : ____________________</t>
        </is>
      </c>
    </row>
    <row r="8" ht="13" customHeight="1">
      <c r="A8" s="89" t="inlineStr">
        <is>
          <t>3. ____________________ : ____________________</t>
        </is>
      </c>
      <c r="P8" s="89" t="inlineStr">
        <is>
          <t>7. ____________________ : ____________________</t>
        </is>
      </c>
    </row>
    <row r="9" ht="13" customHeight="1">
      <c r="A9" s="89" t="inlineStr">
        <is>
          <t>4. ____________________ : ____________________</t>
        </is>
      </c>
      <c r="P9" s="89" t="inlineStr">
        <is>
          <t>8. ____________________ : ____________________</t>
        </is>
      </c>
    </row>
    <row r="10" ht="5" customHeight="1"/>
    <row r="11" ht="15" customHeight="1">
      <c r="A11" s="88" t="inlineStr">
        <is>
          <t>NOTES:</t>
        </is>
      </c>
    </row>
    <row r="12" ht="13" customHeight="1">
      <c r="A12" s="90" t="n"/>
      <c r="B12" s="91" t="n"/>
      <c r="C12" s="91" t="n"/>
      <c r="D12" s="91" t="n"/>
      <c r="E12" s="91" t="n"/>
      <c r="F12" s="91" t="n"/>
      <c r="G12" s="91" t="n"/>
      <c r="H12" s="91" t="n"/>
      <c r="I12" s="91" t="n"/>
      <c r="J12" s="91" t="n"/>
      <c r="K12" s="91" t="n"/>
      <c r="L12" s="91" t="n"/>
      <c r="M12" s="91" t="n"/>
      <c r="N12" s="91" t="n"/>
      <c r="O12" s="91" t="n"/>
      <c r="P12" s="91" t="n"/>
      <c r="Q12" s="91" t="n"/>
      <c r="R12" s="91" t="n"/>
      <c r="S12" s="91" t="n"/>
      <c r="T12" s="91" t="n"/>
      <c r="U12" s="91" t="n"/>
      <c r="V12" s="91" t="n"/>
      <c r="W12" s="91" t="n"/>
      <c r="X12" s="91" t="n"/>
      <c r="Y12" s="91" t="n"/>
      <c r="Z12" s="91" t="n"/>
      <c r="AA12" s="91" t="n"/>
      <c r="AB12" s="91" t="n"/>
      <c r="AC12" s="91" t="n"/>
      <c r="AD12" s="91" t="n"/>
      <c r="AE12" s="91" t="n"/>
      <c r="AF12" s="91" t="n"/>
      <c r="AG12" s="91" t="n"/>
      <c r="AH12" s="91" t="n"/>
      <c r="AI12" s="91" t="n"/>
      <c r="AJ12" s="91" t="n"/>
      <c r="AK12" s="91" t="n"/>
      <c r="AL12" s="91" t="n"/>
    </row>
    <row r="13" ht="13" customHeight="1">
      <c r="A13" s="91" t="n"/>
      <c r="B13" s="91" t="n"/>
      <c r="C13" s="91" t="n"/>
      <c r="D13" s="91" t="n"/>
      <c r="E13" s="91" t="n"/>
      <c r="F13" s="91" t="n"/>
      <c r="G13" s="91" t="n"/>
      <c r="H13" s="91" t="n"/>
      <c r="I13" s="91" t="n"/>
      <c r="J13" s="91" t="n"/>
      <c r="K13" s="91" t="n"/>
      <c r="L13" s="91" t="n"/>
      <c r="M13" s="91" t="n"/>
      <c r="N13" s="91" t="n"/>
      <c r="O13" s="91" t="n"/>
      <c r="P13" s="91" t="n"/>
      <c r="Q13" s="91" t="n"/>
      <c r="R13" s="91" t="n"/>
      <c r="S13" s="91" t="n"/>
      <c r="T13" s="91" t="n"/>
      <c r="U13" s="91" t="n"/>
      <c r="V13" s="91" t="n"/>
      <c r="W13" s="91" t="n"/>
      <c r="X13" s="91" t="n"/>
      <c r="Y13" s="91" t="n"/>
      <c r="Z13" s="91" t="n"/>
      <c r="AA13" s="91" t="n"/>
      <c r="AB13" s="91" t="n"/>
      <c r="AC13" s="91" t="n"/>
      <c r="AD13" s="91" t="n"/>
      <c r="AE13" s="91" t="n"/>
      <c r="AF13" s="91" t="n"/>
      <c r="AG13" s="91" t="n"/>
      <c r="AH13" s="91" t="n"/>
      <c r="AI13" s="91" t="n"/>
      <c r="AJ13" s="91" t="n"/>
      <c r="AK13" s="91" t="n"/>
      <c r="AL13" s="91" t="n"/>
    </row>
    <row r="14" ht="13" customHeight="1">
      <c r="A14" s="91" t="n"/>
      <c r="B14" s="91" t="n"/>
      <c r="C14" s="91" t="n"/>
      <c r="D14" s="91" t="n"/>
      <c r="E14" s="91" t="n"/>
      <c r="F14" s="91" t="n"/>
      <c r="G14" s="91" t="n"/>
      <c r="H14" s="91" t="n"/>
      <c r="I14" s="91" t="n"/>
      <c r="J14" s="91" t="n"/>
      <c r="K14" s="91" t="n"/>
      <c r="L14" s="91" t="n"/>
      <c r="M14" s="91" t="n"/>
      <c r="N14" s="91" t="n"/>
      <c r="O14" s="91" t="n"/>
      <c r="P14" s="91" t="n"/>
      <c r="Q14" s="91" t="n"/>
      <c r="R14" s="91" t="n"/>
      <c r="S14" s="91" t="n"/>
      <c r="T14" s="91" t="n"/>
      <c r="U14" s="91" t="n"/>
      <c r="V14" s="91" t="n"/>
      <c r="W14" s="91" t="n"/>
      <c r="X14" s="91" t="n"/>
      <c r="Y14" s="91" t="n"/>
      <c r="Z14" s="91" t="n"/>
      <c r="AA14" s="91" t="n"/>
      <c r="AB14" s="91" t="n"/>
      <c r="AC14" s="91" t="n"/>
      <c r="AD14" s="91" t="n"/>
      <c r="AE14" s="91" t="n"/>
      <c r="AF14" s="91" t="n"/>
      <c r="AG14" s="91" t="n"/>
      <c r="AH14" s="91" t="n"/>
      <c r="AI14" s="91" t="n"/>
      <c r="AJ14" s="91" t="n"/>
      <c r="AK14" s="91" t="n"/>
      <c r="AL14" s="91" t="n"/>
    </row>
    <row r="15" ht="8" customHeight="1"/>
    <row r="16" ht="15" customHeight="1">
      <c r="A16" s="33" t="inlineStr">
        <is>
          <t>S.No.</t>
        </is>
      </c>
      <c r="B16" s="33" t="inlineStr">
        <is>
          <t>Protocols</t>
        </is>
      </c>
      <c r="C16" s="33" t="inlineStr">
        <is>
          <t>Category</t>
        </is>
      </c>
      <c r="D16" s="33" t="inlineStr">
        <is>
          <t>Target</t>
        </is>
      </c>
      <c r="E16" s="92" t="n">
        <v>1</v>
      </c>
      <c r="F16" s="92" t="n">
        <v>2</v>
      </c>
      <c r="G16" s="92" t="n">
        <v>3</v>
      </c>
      <c r="H16" s="92" t="n">
        <v>4</v>
      </c>
      <c r="I16" s="92" t="n">
        <v>5</v>
      </c>
      <c r="J16" s="92" t="n">
        <v>6</v>
      </c>
      <c r="K16" s="93" t="n">
        <v>7</v>
      </c>
      <c r="L16" s="92" t="n">
        <v>8</v>
      </c>
      <c r="M16" s="92" t="n">
        <v>9</v>
      </c>
      <c r="N16" s="92" t="n">
        <v>10</v>
      </c>
      <c r="O16" s="92" t="n">
        <v>11</v>
      </c>
      <c r="P16" s="92" t="n">
        <v>12</v>
      </c>
      <c r="Q16" s="92" t="n">
        <v>13</v>
      </c>
      <c r="R16" s="93" t="n">
        <v>14</v>
      </c>
      <c r="S16" s="92" t="n">
        <v>15</v>
      </c>
      <c r="T16" s="92" t="n">
        <v>16</v>
      </c>
      <c r="U16" s="92" t="n">
        <v>17</v>
      </c>
      <c r="V16" s="92" t="n">
        <v>18</v>
      </c>
      <c r="W16" s="92" t="n">
        <v>19</v>
      </c>
      <c r="X16" s="92" t="n">
        <v>20</v>
      </c>
      <c r="Y16" s="93" t="n">
        <v>21</v>
      </c>
      <c r="Z16" s="92" t="n">
        <v>22</v>
      </c>
      <c r="AA16" s="92" t="n">
        <v>23</v>
      </c>
      <c r="AB16" s="92" t="n">
        <v>24</v>
      </c>
      <c r="AC16" s="92" t="n">
        <v>25</v>
      </c>
      <c r="AD16" s="92" t="n">
        <v>26</v>
      </c>
      <c r="AE16" s="92" t="n">
        <v>27</v>
      </c>
      <c r="AF16" s="93" t="n">
        <v>28</v>
      </c>
      <c r="AG16" s="92" t="n">
        <v>29</v>
      </c>
      <c r="AH16" s="92" t="n">
        <v>30</v>
      </c>
      <c r="AI16" s="92" t="n">
        <v>31</v>
      </c>
      <c r="AJ16" s="94" t="inlineStr">
        <is>
          <t>Success %</t>
        </is>
      </c>
      <c r="AK16" s="94" t="inlineStr">
        <is>
          <t>Done / Target</t>
        </is>
      </c>
      <c r="AL16" s="94" t="inlineStr">
        <is>
          <t>Status</t>
        </is>
      </c>
      <c r="AM16" t="inlineStr">
        <is>
          <t>Done Count</t>
        </is>
      </c>
    </row>
    <row r="17" ht="15" customHeight="1">
      <c r="A17" s="54" t="n"/>
      <c r="B17" s="54" t="n"/>
      <c r="C17" s="54" t="n"/>
      <c r="D17" s="54" t="n"/>
      <c r="E17" s="95" t="inlineStr">
        <is>
          <t>M</t>
        </is>
      </c>
      <c r="F17" s="95" t="inlineStr">
        <is>
          <t>T</t>
        </is>
      </c>
      <c r="G17" s="95" t="inlineStr">
        <is>
          <t>W</t>
        </is>
      </c>
      <c r="H17" s="95" t="inlineStr">
        <is>
          <t>Th</t>
        </is>
      </c>
      <c r="I17" s="95" t="inlineStr">
        <is>
          <t>F</t>
        </is>
      </c>
      <c r="J17" s="95" t="inlineStr">
        <is>
          <t>Sa</t>
        </is>
      </c>
      <c r="K17" s="96" t="inlineStr">
        <is>
          <t>Su</t>
        </is>
      </c>
      <c r="L17" s="95" t="inlineStr">
        <is>
          <t>M</t>
        </is>
      </c>
      <c r="M17" s="95" t="inlineStr">
        <is>
          <t>T</t>
        </is>
      </c>
      <c r="N17" s="95" t="inlineStr">
        <is>
          <t>W</t>
        </is>
      </c>
      <c r="O17" s="95" t="inlineStr">
        <is>
          <t>Th</t>
        </is>
      </c>
      <c r="P17" s="95" t="inlineStr">
        <is>
          <t>F</t>
        </is>
      </c>
      <c r="Q17" s="95" t="inlineStr">
        <is>
          <t>Sa</t>
        </is>
      </c>
      <c r="R17" s="96" t="inlineStr">
        <is>
          <t>Su</t>
        </is>
      </c>
      <c r="S17" s="95" t="inlineStr">
        <is>
          <t>M</t>
        </is>
      </c>
      <c r="T17" s="95" t="inlineStr">
        <is>
          <t>T</t>
        </is>
      </c>
      <c r="U17" s="95" t="inlineStr">
        <is>
          <t>W</t>
        </is>
      </c>
      <c r="V17" s="95" t="inlineStr">
        <is>
          <t>Th</t>
        </is>
      </c>
      <c r="W17" s="95" t="inlineStr">
        <is>
          <t>F</t>
        </is>
      </c>
      <c r="X17" s="95" t="inlineStr">
        <is>
          <t>Sa</t>
        </is>
      </c>
      <c r="Y17" s="96" t="inlineStr">
        <is>
          <t>Su</t>
        </is>
      </c>
      <c r="Z17" s="95" t="inlineStr">
        <is>
          <t>M</t>
        </is>
      </c>
      <c r="AA17" s="95" t="inlineStr">
        <is>
          <t>T</t>
        </is>
      </c>
      <c r="AB17" s="95" t="inlineStr">
        <is>
          <t>W</t>
        </is>
      </c>
      <c r="AC17" s="95" t="inlineStr">
        <is>
          <t>Th</t>
        </is>
      </c>
      <c r="AD17" s="95" t="inlineStr">
        <is>
          <t>F</t>
        </is>
      </c>
      <c r="AE17" s="95" t="inlineStr">
        <is>
          <t>Sa</t>
        </is>
      </c>
      <c r="AF17" s="96" t="inlineStr">
        <is>
          <t>Su</t>
        </is>
      </c>
      <c r="AG17" s="95" t="inlineStr">
        <is>
          <t>M</t>
        </is>
      </c>
      <c r="AH17" s="95" t="inlineStr">
        <is>
          <t>T</t>
        </is>
      </c>
      <c r="AI17" s="95" t="inlineStr">
        <is>
          <t>W</t>
        </is>
      </c>
      <c r="AJ17" s="54" t="n"/>
      <c r="AK17" s="54" t="n"/>
      <c r="AL17" s="54" t="n"/>
    </row>
    <row r="18" ht="14.5" customHeight="1">
      <c r="A18" s="97" t="n">
        <v>1</v>
      </c>
      <c r="B18" s="98" t="n"/>
      <c r="C18" s="99" t="n"/>
      <c r="D18" s="99" t="n"/>
      <c r="E18" s="100" t="n"/>
      <c r="F18" s="100" t="n"/>
      <c r="G18" s="100" t="n"/>
      <c r="H18" s="100" t="n"/>
      <c r="I18" s="100" t="n"/>
      <c r="J18" s="100" t="n"/>
      <c r="K18" s="101" t="n"/>
      <c r="L18" s="100" t="n"/>
      <c r="M18" s="100" t="n"/>
      <c r="N18" s="100" t="n"/>
      <c r="O18" s="100" t="n"/>
      <c r="P18" s="100" t="n"/>
      <c r="Q18" s="100" t="n"/>
      <c r="R18" s="101" t="n"/>
      <c r="S18" s="100" t="n"/>
      <c r="T18" s="100" t="n"/>
      <c r="U18" s="100" t="n"/>
      <c r="V18" s="100" t="n"/>
      <c r="W18" s="100" t="n"/>
      <c r="X18" s="100" t="n"/>
      <c r="Y18" s="101" t="n"/>
      <c r="Z18" s="100" t="n"/>
      <c r="AA18" s="100" t="n"/>
      <c r="AB18" s="100" t="n"/>
      <c r="AC18" s="100" t="n"/>
      <c r="AD18" s="100" t="n"/>
      <c r="AE18" s="100" t="n"/>
      <c r="AF18" s="101" t="n"/>
      <c r="AG18" s="100" t="n"/>
      <c r="AH18" s="100" t="n"/>
      <c r="AI18" s="100" t="n"/>
      <c r="AJ18" s="102">
        <f>IF(ISBLANK(B18), "", IF(ISNUMBER(D18), IF(D18&gt;0, (COUNTIF(E18:AI18, "✓") + COUNTIF(E18:AI18, "✔") + COUNTIF(E18:AI18, "v") + COUNTIF(E18:AI18, "V"))/D18, 0), IF(((COUNTIF(E18:AI18, "✓") + COUNTIF(E18:AI18, "✔") + COUNTIF(E18:AI18, "v") + COUNTIF(E18:AI18, "V")) + COUNTIF(E18:AI18, "✗") + COUNTIF(E18:AI18, "x") + COUNTIF(E18:AI18, "X"))&gt;0, (COUNTIF(E18:AI18, "✓") + COUNTIF(E18:AI18, "✔") + COUNTIF(E18:AI18, "v") + COUNTIF(E18:AI18, "V"))/((COUNTIF(E18:AI18, "✓") + COUNTIF(E18:AI18, "✔") + COUNTIF(E18:AI18, "v") + COUNTIF(E18:AI18, "V")) + COUNTIF(E18:AI18, "✗") + COUNTIF(E18:AI18, "x") + COUNTIF(E18:AI18, "X")), "")))</f>
        <v/>
      </c>
      <c r="AK18" s="103">
        <f>IF(ISBLANK(B18), "", IF(ISNUMBER(D18), IF(D18&gt;0, (COUNTIF(E18:AI18, "✓") + COUNTIF(E18:AI18, "✔") + COUNTIF(E18:AI18, "v") + COUNTIF(E18:AI18, "V")) &amp; "/" &amp; D18, (COUNTIF(E18:AI18, "✓") + COUNTIF(E18:AI18, "✔") + COUNTIF(E18:AI18, "v") + COUNTIF(E18:AI18, "V")) &amp; "/0"), IF(((COUNTIF(E18:AI18, "✓") + COUNTIF(E18:AI18, "✔") + COUNTIF(E18:AI18, "v") + COUNTIF(E18:AI18, "V")) + COUNTIF(E18:AI18, "✗") + COUNTIF(E18:AI18, "x") + COUNTIF(E18:AI18, "X"))&gt;0, (COUNTIF(E18:AI18, "✓") + COUNTIF(E18:AI18, "✔") + COUNTIF(E18:AI18, "v") + COUNTIF(E18:AI18, "V")) &amp; "/" &amp; ((COUNTIF(E18:AI18, "✓") + COUNTIF(E18:AI18, "✔") + COUNTIF(E18:AI18, "v") + COUNTIF(E18:AI18, "V")) + COUNTIF(E18:AI18, "✗") + COUNTIF(E18:AI18, "x") + COUNTIF(E18:AI18, "X")), "")))</f>
        <v/>
      </c>
      <c r="AL18" s="103">
        <f>IF(ISBLANK(B18), "", IF(AJ18&gt;=0.85, "🔥 Mastered", IF(AJ18&gt;=0.7, "⚡ Consistent", "⚠️ Needs Focus")))</f>
        <v/>
      </c>
      <c r="AM18">
        <f>COUNTIF(E18:AI18, "✓")</f>
        <v/>
      </c>
    </row>
    <row r="19" ht="14.5" customHeight="1">
      <c r="A19" s="97" t="n">
        <v>2</v>
      </c>
      <c r="B19" s="98" t="n"/>
      <c r="C19" s="99" t="n"/>
      <c r="D19" s="99" t="n"/>
      <c r="E19" s="100" t="n"/>
      <c r="F19" s="100" t="n"/>
      <c r="G19" s="100" t="n"/>
      <c r="H19" s="100" t="n"/>
      <c r="I19" s="100" t="n"/>
      <c r="J19" s="100" t="n"/>
      <c r="K19" s="101" t="n"/>
      <c r="L19" s="100" t="n"/>
      <c r="M19" s="100" t="n"/>
      <c r="N19" s="100" t="n"/>
      <c r="O19" s="100" t="n"/>
      <c r="P19" s="100" t="n"/>
      <c r="Q19" s="100" t="n"/>
      <c r="R19" s="101" t="n"/>
      <c r="S19" s="100" t="n"/>
      <c r="T19" s="100" t="n"/>
      <c r="U19" s="100" t="n"/>
      <c r="V19" s="100" t="n"/>
      <c r="W19" s="100" t="n"/>
      <c r="X19" s="100" t="n"/>
      <c r="Y19" s="101" t="n"/>
      <c r="Z19" s="100" t="n"/>
      <c r="AA19" s="100" t="n"/>
      <c r="AB19" s="100" t="n"/>
      <c r="AC19" s="100" t="n"/>
      <c r="AD19" s="100" t="n"/>
      <c r="AE19" s="100" t="n"/>
      <c r="AF19" s="101" t="n"/>
      <c r="AG19" s="100" t="n"/>
      <c r="AH19" s="100" t="n"/>
      <c r="AI19" s="100" t="n"/>
      <c r="AJ19" s="102">
        <f>IF(ISBLANK(B19), "", IF(ISNUMBER(D19), IF(D19&gt;0, (COUNTIF(E19:AI19, "✓") + COUNTIF(E19:AI19, "✔") + COUNTIF(E19:AI19, "v") + COUNTIF(E19:AI19, "V"))/D19, 0), IF(((COUNTIF(E19:AI19, "✓") + COUNTIF(E19:AI19, "✔") + COUNTIF(E19:AI19, "v") + COUNTIF(E19:AI19, "V")) + COUNTIF(E19:AI19, "✗") + COUNTIF(E19:AI19, "x") + COUNTIF(E19:AI19, "X"))&gt;0, (COUNTIF(E19:AI19, "✓") + COUNTIF(E19:AI19, "✔") + COUNTIF(E19:AI19, "v") + COUNTIF(E19:AI19, "V"))/((COUNTIF(E19:AI19, "✓") + COUNTIF(E19:AI19, "✔") + COUNTIF(E19:AI19, "v") + COUNTIF(E19:AI19, "V")) + COUNTIF(E19:AI19, "✗") + COUNTIF(E19:AI19, "x") + COUNTIF(E19:AI19, "X")), "")))</f>
        <v/>
      </c>
      <c r="AK19" s="103">
        <f>IF(ISBLANK(B19), "", IF(ISNUMBER(D19), IF(D19&gt;0, (COUNTIF(E19:AI19, "✓") + COUNTIF(E19:AI19, "✔") + COUNTIF(E19:AI19, "v") + COUNTIF(E19:AI19, "V")) &amp; "/" &amp; D19, (COUNTIF(E19:AI19, "✓") + COUNTIF(E19:AI19, "✔") + COUNTIF(E19:AI19, "v") + COUNTIF(E19:AI19, "V")) &amp; "/0"), IF(((COUNTIF(E19:AI19, "✓") + COUNTIF(E19:AI19, "✔") + COUNTIF(E19:AI19, "v") + COUNTIF(E19:AI19, "V")) + COUNTIF(E19:AI19, "✗") + COUNTIF(E19:AI19, "x") + COUNTIF(E19:AI19, "X"))&gt;0, (COUNTIF(E19:AI19, "✓") + COUNTIF(E19:AI19, "✔") + COUNTIF(E19:AI19, "v") + COUNTIF(E19:AI19, "V")) &amp; "/" &amp; ((COUNTIF(E19:AI19, "✓") + COUNTIF(E19:AI19, "✔") + COUNTIF(E19:AI19, "v") + COUNTIF(E19:AI19, "V")) + COUNTIF(E19:AI19, "✗") + COUNTIF(E19:AI19, "x") + COUNTIF(E19:AI19, "X")), "")))</f>
        <v/>
      </c>
      <c r="AL19" s="103">
        <f>IF(ISBLANK(B19), "", IF(AJ19&gt;=0.85, "🔥 Mastered", IF(AJ19&gt;=0.7, "⚡ Consistent", "⚠️ Needs Focus")))</f>
        <v/>
      </c>
      <c r="AM19">
        <f>COUNTIF(E19:AI19, "✓")</f>
        <v/>
      </c>
    </row>
    <row r="20" ht="14.5" customHeight="1">
      <c r="A20" s="97" t="n">
        <v>3</v>
      </c>
      <c r="B20" s="98" t="n"/>
      <c r="C20" s="99" t="n"/>
      <c r="D20" s="99" t="n"/>
      <c r="E20" s="100" t="n"/>
      <c r="F20" s="100" t="n"/>
      <c r="G20" s="100" t="n"/>
      <c r="H20" s="100" t="n"/>
      <c r="I20" s="100" t="n"/>
      <c r="J20" s="100" t="n"/>
      <c r="K20" s="101" t="n"/>
      <c r="L20" s="100" t="n"/>
      <c r="M20" s="100" t="n"/>
      <c r="N20" s="100" t="n"/>
      <c r="O20" s="100" t="n"/>
      <c r="P20" s="100" t="n"/>
      <c r="Q20" s="100" t="n"/>
      <c r="R20" s="101" t="n"/>
      <c r="S20" s="100" t="n"/>
      <c r="T20" s="100" t="n"/>
      <c r="U20" s="100" t="n"/>
      <c r="V20" s="100" t="n"/>
      <c r="W20" s="100" t="n"/>
      <c r="X20" s="100" t="n"/>
      <c r="Y20" s="101" t="n"/>
      <c r="Z20" s="100" t="n"/>
      <c r="AA20" s="100" t="n"/>
      <c r="AB20" s="100" t="n"/>
      <c r="AC20" s="100" t="n"/>
      <c r="AD20" s="100" t="n"/>
      <c r="AE20" s="100" t="n"/>
      <c r="AF20" s="101" t="n"/>
      <c r="AG20" s="100" t="n"/>
      <c r="AH20" s="100" t="n"/>
      <c r="AI20" s="100" t="n"/>
      <c r="AJ20" s="102">
        <f>IF(ISBLANK(B20), "", IF(ISNUMBER(D20), IF(D20&gt;0, (COUNTIF(E20:AI20, "✓") + COUNTIF(E20:AI20, "✔") + COUNTIF(E20:AI20, "v") + COUNTIF(E20:AI20, "V"))/D20, 0), IF(((COUNTIF(E20:AI20, "✓") + COUNTIF(E20:AI20, "✔") + COUNTIF(E20:AI20, "v") + COUNTIF(E20:AI20, "V")) + COUNTIF(E20:AI20, "✗") + COUNTIF(E20:AI20, "x") + COUNTIF(E20:AI20, "X"))&gt;0, (COUNTIF(E20:AI20, "✓") + COUNTIF(E20:AI20, "✔") + COUNTIF(E20:AI20, "v") + COUNTIF(E20:AI20, "V"))/((COUNTIF(E20:AI20, "✓") + COUNTIF(E20:AI20, "✔") + COUNTIF(E20:AI20, "v") + COUNTIF(E20:AI20, "V")) + COUNTIF(E20:AI20, "✗") + COUNTIF(E20:AI20, "x") + COUNTIF(E20:AI20, "X")), "")))</f>
        <v/>
      </c>
      <c r="AK20" s="103">
        <f>IF(ISBLANK(B20), "", IF(ISNUMBER(D20), IF(D20&gt;0, (COUNTIF(E20:AI20, "✓") + COUNTIF(E20:AI20, "✔") + COUNTIF(E20:AI20, "v") + COUNTIF(E20:AI20, "V")) &amp; "/" &amp; D20, (COUNTIF(E20:AI20, "✓") + COUNTIF(E20:AI20, "✔") + COUNTIF(E20:AI20, "v") + COUNTIF(E20:AI20, "V")) &amp; "/0"), IF(((COUNTIF(E20:AI20, "✓") + COUNTIF(E20:AI20, "✔") + COUNTIF(E20:AI20, "v") + COUNTIF(E20:AI20, "V")) + COUNTIF(E20:AI20, "✗") + COUNTIF(E20:AI20, "x") + COUNTIF(E20:AI20, "X"))&gt;0, (COUNTIF(E20:AI20, "✓") + COUNTIF(E20:AI20, "✔") + COUNTIF(E20:AI20, "v") + COUNTIF(E20:AI20, "V")) &amp; "/" &amp; ((COUNTIF(E20:AI20, "✓") + COUNTIF(E20:AI20, "✔") + COUNTIF(E20:AI20, "v") + COUNTIF(E20:AI20, "V")) + COUNTIF(E20:AI20, "✗") + COUNTIF(E20:AI20, "x") + COUNTIF(E20:AI20, "X")), "")))</f>
        <v/>
      </c>
      <c r="AL20" s="103">
        <f>IF(ISBLANK(B20), "", IF(AJ20&gt;=0.85, "🔥 Mastered", IF(AJ20&gt;=0.7, "⚡ Consistent", "⚠️ Needs Focus")))</f>
        <v/>
      </c>
      <c r="AM20">
        <f>COUNTIF(E20:AI20, "✓")</f>
        <v/>
      </c>
    </row>
    <row r="21" ht="14.5" customHeight="1">
      <c r="A21" s="97" t="n">
        <v>4</v>
      </c>
      <c r="B21" s="98" t="n"/>
      <c r="C21" s="99" t="n"/>
      <c r="D21" s="99" t="n"/>
      <c r="E21" s="100" t="n"/>
      <c r="F21" s="100" t="n"/>
      <c r="G21" s="100" t="n"/>
      <c r="H21" s="100" t="n"/>
      <c r="I21" s="100" t="n"/>
      <c r="J21" s="100" t="n"/>
      <c r="K21" s="101" t="n"/>
      <c r="L21" s="100" t="n"/>
      <c r="M21" s="100" t="n"/>
      <c r="N21" s="100" t="n"/>
      <c r="O21" s="100" t="n"/>
      <c r="P21" s="100" t="n"/>
      <c r="Q21" s="100" t="n"/>
      <c r="R21" s="101" t="n"/>
      <c r="S21" s="100" t="n"/>
      <c r="T21" s="100" t="n"/>
      <c r="U21" s="100" t="n"/>
      <c r="V21" s="100" t="n"/>
      <c r="W21" s="100" t="n"/>
      <c r="X21" s="100" t="n"/>
      <c r="Y21" s="101" t="n"/>
      <c r="Z21" s="100" t="n"/>
      <c r="AA21" s="100" t="n"/>
      <c r="AB21" s="100" t="n"/>
      <c r="AC21" s="100" t="n"/>
      <c r="AD21" s="100" t="n"/>
      <c r="AE21" s="100" t="n"/>
      <c r="AF21" s="101" t="n"/>
      <c r="AG21" s="100" t="n"/>
      <c r="AH21" s="100" t="n"/>
      <c r="AI21" s="100" t="n"/>
      <c r="AJ21" s="102">
        <f>IF(ISBLANK(B21), "", IF(ISNUMBER(D21), IF(D21&gt;0, (COUNTIF(E21:AI21, "✓") + COUNTIF(E21:AI21, "✔") + COUNTIF(E21:AI21, "v") + COUNTIF(E21:AI21, "V"))/D21, 0), IF(((COUNTIF(E21:AI21, "✓") + COUNTIF(E21:AI21, "✔") + COUNTIF(E21:AI21, "v") + COUNTIF(E21:AI21, "V")) + COUNTIF(E21:AI21, "✗") + COUNTIF(E21:AI21, "x") + COUNTIF(E21:AI21, "X"))&gt;0, (COUNTIF(E21:AI21, "✓") + COUNTIF(E21:AI21, "✔") + COUNTIF(E21:AI21, "v") + COUNTIF(E21:AI21, "V"))/((COUNTIF(E21:AI21, "✓") + COUNTIF(E21:AI21, "✔") + COUNTIF(E21:AI21, "v") + COUNTIF(E21:AI21, "V")) + COUNTIF(E21:AI21, "✗") + COUNTIF(E21:AI21, "x") + COUNTIF(E21:AI21, "X")), "")))</f>
        <v/>
      </c>
      <c r="AK21" s="103">
        <f>IF(ISBLANK(B21), "", IF(ISNUMBER(D21), IF(D21&gt;0, (COUNTIF(E21:AI21, "✓") + COUNTIF(E21:AI21, "✔") + COUNTIF(E21:AI21, "v") + COUNTIF(E21:AI21, "V")) &amp; "/" &amp; D21, (COUNTIF(E21:AI21, "✓") + COUNTIF(E21:AI21, "✔") + COUNTIF(E21:AI21, "v") + COUNTIF(E21:AI21, "V")) &amp; "/0"), IF(((COUNTIF(E21:AI21, "✓") + COUNTIF(E21:AI21, "✔") + COUNTIF(E21:AI21, "v") + COUNTIF(E21:AI21, "V")) + COUNTIF(E21:AI21, "✗") + COUNTIF(E21:AI21, "x") + COUNTIF(E21:AI21, "X"))&gt;0, (COUNTIF(E21:AI21, "✓") + COUNTIF(E21:AI21, "✔") + COUNTIF(E21:AI21, "v") + COUNTIF(E21:AI21, "V")) &amp; "/" &amp; ((COUNTIF(E21:AI21, "✓") + COUNTIF(E21:AI21, "✔") + COUNTIF(E21:AI21, "v") + COUNTIF(E21:AI21, "V")) + COUNTIF(E21:AI21, "✗") + COUNTIF(E21:AI21, "x") + COUNTIF(E21:AI21, "X")), "")))</f>
        <v/>
      </c>
      <c r="AL21" s="103">
        <f>IF(ISBLANK(B21), "", IF(AJ21&gt;=0.85, "🔥 Mastered", IF(AJ21&gt;=0.7, "⚡ Consistent", "⚠️ Needs Focus")))</f>
        <v/>
      </c>
      <c r="AM21">
        <f>COUNTIF(E21:AI21, "✓")</f>
        <v/>
      </c>
    </row>
    <row r="22" ht="14.5" customHeight="1">
      <c r="A22" s="104" t="n">
        <v>5</v>
      </c>
      <c r="B22" s="105" t="n"/>
      <c r="C22" s="106" t="n"/>
      <c r="D22" s="106" t="n"/>
      <c r="E22" s="107" t="n"/>
      <c r="F22" s="107" t="n"/>
      <c r="G22" s="107" t="n"/>
      <c r="H22" s="107" t="n"/>
      <c r="I22" s="107" t="n"/>
      <c r="J22" s="107" t="n"/>
      <c r="K22" s="108" t="n"/>
      <c r="L22" s="107" t="n"/>
      <c r="M22" s="107" t="n"/>
      <c r="N22" s="107" t="n"/>
      <c r="O22" s="107" t="n"/>
      <c r="P22" s="107" t="n"/>
      <c r="Q22" s="107" t="n"/>
      <c r="R22" s="108" t="n"/>
      <c r="S22" s="107" t="n"/>
      <c r="T22" s="107" t="n"/>
      <c r="U22" s="107" t="n"/>
      <c r="V22" s="107" t="n"/>
      <c r="W22" s="107" t="n"/>
      <c r="X22" s="107" t="n"/>
      <c r="Y22" s="108" t="n"/>
      <c r="Z22" s="107" t="n"/>
      <c r="AA22" s="107" t="n"/>
      <c r="AB22" s="107" t="n"/>
      <c r="AC22" s="107" t="n"/>
      <c r="AD22" s="107" t="n"/>
      <c r="AE22" s="107" t="n"/>
      <c r="AF22" s="108" t="n"/>
      <c r="AG22" s="107" t="n"/>
      <c r="AH22" s="107" t="n"/>
      <c r="AI22" s="107" t="n"/>
      <c r="AJ22" s="109">
        <f>IF(ISBLANK(B22), "", IF(ISNUMBER(D22), IF(D22&gt;0, (COUNTIF(E22:AI22, "✓") + COUNTIF(E22:AI22, "✔") + COUNTIF(E22:AI22, "v") + COUNTIF(E22:AI22, "V"))/D22, 0), IF(((COUNTIF(E22:AI22, "✓") + COUNTIF(E22:AI22, "✔") + COUNTIF(E22:AI22, "v") + COUNTIF(E22:AI22, "V")) + COUNTIF(E22:AI22, "✗") + COUNTIF(E22:AI22, "x") + COUNTIF(E22:AI22, "X"))&gt;0, (COUNTIF(E22:AI22, "✓") + COUNTIF(E22:AI22, "✔") + COUNTIF(E22:AI22, "v") + COUNTIF(E22:AI22, "V"))/((COUNTIF(E22:AI22, "✓") + COUNTIF(E22:AI22, "✔") + COUNTIF(E22:AI22, "v") + COUNTIF(E22:AI22, "V")) + COUNTIF(E22:AI22, "✗") + COUNTIF(E22:AI22, "x") + COUNTIF(E22:AI22, "X")), "")))</f>
        <v/>
      </c>
      <c r="AK22" s="110">
        <f>IF(ISBLANK(B22), "", IF(ISNUMBER(D22), IF(D22&gt;0, (COUNTIF(E22:AI22, "✓") + COUNTIF(E22:AI22, "✔") + COUNTIF(E22:AI22, "v") + COUNTIF(E22:AI22, "V")) &amp; "/" &amp; D22, (COUNTIF(E22:AI22, "✓") + COUNTIF(E22:AI22, "✔") + COUNTIF(E22:AI22, "v") + COUNTIF(E22:AI22, "V")) &amp; "/0"), IF(((COUNTIF(E22:AI22, "✓") + COUNTIF(E22:AI22, "✔") + COUNTIF(E22:AI22, "v") + COUNTIF(E22:AI22, "V")) + COUNTIF(E22:AI22, "✗") + COUNTIF(E22:AI22, "x") + COUNTIF(E22:AI22, "X"))&gt;0, (COUNTIF(E22:AI22, "✓") + COUNTIF(E22:AI22, "✔") + COUNTIF(E22:AI22, "v") + COUNTIF(E22:AI22, "V")) &amp; "/" &amp; ((COUNTIF(E22:AI22, "✓") + COUNTIF(E22:AI22, "✔") + COUNTIF(E22:AI22, "v") + COUNTIF(E22:AI22, "V")) + COUNTIF(E22:AI22, "✗") + COUNTIF(E22:AI22, "x") + COUNTIF(E22:AI22, "X")), "")))</f>
        <v/>
      </c>
      <c r="AL22" s="110">
        <f>IF(ISBLANK(B22), "", IF(AJ22&gt;=0.85, "🔥 Mastered", IF(AJ22&gt;=0.7, "⚡ Consistent", "⚠️ Needs Focus")))</f>
        <v/>
      </c>
      <c r="AM22">
        <f>COUNTIF(E22:AI22, "✓")</f>
        <v/>
      </c>
    </row>
    <row r="23" ht="14.5" customHeight="1">
      <c r="A23" s="104" t="n">
        <v>6</v>
      </c>
      <c r="B23" s="105" t="n"/>
      <c r="C23" s="106" t="n"/>
      <c r="D23" s="106" t="n"/>
      <c r="E23" s="107" t="n"/>
      <c r="F23" s="107" t="n"/>
      <c r="G23" s="107" t="n"/>
      <c r="H23" s="107" t="n"/>
      <c r="I23" s="107" t="n"/>
      <c r="J23" s="107" t="n"/>
      <c r="K23" s="108" t="n"/>
      <c r="L23" s="107" t="n"/>
      <c r="M23" s="107" t="n"/>
      <c r="N23" s="107" t="n"/>
      <c r="O23" s="107" t="n"/>
      <c r="P23" s="107" t="n"/>
      <c r="Q23" s="107" t="n"/>
      <c r="R23" s="108" t="n"/>
      <c r="S23" s="107" t="n"/>
      <c r="T23" s="107" t="n"/>
      <c r="U23" s="107" t="n"/>
      <c r="V23" s="107" t="n"/>
      <c r="W23" s="107" t="n"/>
      <c r="X23" s="107" t="n"/>
      <c r="Y23" s="108" t="n"/>
      <c r="Z23" s="107" t="n"/>
      <c r="AA23" s="107" t="n"/>
      <c r="AB23" s="107" t="n"/>
      <c r="AC23" s="107" t="n"/>
      <c r="AD23" s="107" t="n"/>
      <c r="AE23" s="107" t="n"/>
      <c r="AF23" s="108" t="n"/>
      <c r="AG23" s="107" t="n"/>
      <c r="AH23" s="107" t="n"/>
      <c r="AI23" s="107" t="n"/>
      <c r="AJ23" s="109">
        <f>IF(ISBLANK(B23), "", IF(ISNUMBER(D23), IF(D23&gt;0, (COUNTIF(E23:AI23, "✓") + COUNTIF(E23:AI23, "✔") + COUNTIF(E23:AI23, "v") + COUNTIF(E23:AI23, "V"))/D23, 0), IF(((COUNTIF(E23:AI23, "✓") + COUNTIF(E23:AI23, "✔") + COUNTIF(E23:AI23, "v") + COUNTIF(E23:AI23, "V")) + COUNTIF(E23:AI23, "✗") + COUNTIF(E23:AI23, "x") + COUNTIF(E23:AI23, "X"))&gt;0, (COUNTIF(E23:AI23, "✓") + COUNTIF(E23:AI23, "✔") + COUNTIF(E23:AI23, "v") + COUNTIF(E23:AI23, "V"))/((COUNTIF(E23:AI23, "✓") + COUNTIF(E23:AI23, "✔") + COUNTIF(E23:AI23, "v") + COUNTIF(E23:AI23, "V")) + COUNTIF(E23:AI23, "✗") + COUNTIF(E23:AI23, "x") + COUNTIF(E23:AI23, "X")), "")))</f>
        <v/>
      </c>
      <c r="AK23" s="110">
        <f>IF(ISBLANK(B23), "", IF(ISNUMBER(D23), IF(D23&gt;0, (COUNTIF(E23:AI23, "✓") + COUNTIF(E23:AI23, "✔") + COUNTIF(E23:AI23, "v") + COUNTIF(E23:AI23, "V")) &amp; "/" &amp; D23, (COUNTIF(E23:AI23, "✓") + COUNTIF(E23:AI23, "✔") + COUNTIF(E23:AI23, "v") + COUNTIF(E23:AI23, "V")) &amp; "/0"), IF(((COUNTIF(E23:AI23, "✓") + COUNTIF(E23:AI23, "✔") + COUNTIF(E23:AI23, "v") + COUNTIF(E23:AI23, "V")) + COUNTIF(E23:AI23, "✗") + COUNTIF(E23:AI23, "x") + COUNTIF(E23:AI23, "X"))&gt;0, (COUNTIF(E23:AI23, "✓") + COUNTIF(E23:AI23, "✔") + COUNTIF(E23:AI23, "v") + COUNTIF(E23:AI23, "V")) &amp; "/" &amp; ((COUNTIF(E23:AI23, "✓") + COUNTIF(E23:AI23, "✔") + COUNTIF(E23:AI23, "v") + COUNTIF(E23:AI23, "V")) + COUNTIF(E23:AI23, "✗") + COUNTIF(E23:AI23, "x") + COUNTIF(E23:AI23, "X")), "")))</f>
        <v/>
      </c>
      <c r="AL23" s="110">
        <f>IF(ISBLANK(B23), "", IF(AJ23&gt;=0.85, "🔥 Mastered", IF(AJ23&gt;=0.7, "⚡ Consistent", "⚠️ Needs Focus")))</f>
        <v/>
      </c>
      <c r="AM23">
        <f>COUNTIF(E23:AI23, "✓")</f>
        <v/>
      </c>
    </row>
    <row r="24" ht="14.5" customHeight="1">
      <c r="A24" s="104" t="n">
        <v>7</v>
      </c>
      <c r="B24" s="105" t="n"/>
      <c r="C24" s="106" t="n"/>
      <c r="D24" s="106" t="n"/>
      <c r="E24" s="107" t="n"/>
      <c r="F24" s="107" t="n"/>
      <c r="G24" s="107" t="n"/>
      <c r="H24" s="107" t="n"/>
      <c r="I24" s="107" t="n"/>
      <c r="J24" s="107" t="n"/>
      <c r="K24" s="108" t="n"/>
      <c r="L24" s="107" t="n"/>
      <c r="M24" s="107" t="n"/>
      <c r="N24" s="107" t="n"/>
      <c r="O24" s="107" t="n"/>
      <c r="P24" s="107" t="n"/>
      <c r="Q24" s="107" t="n"/>
      <c r="R24" s="108" t="n"/>
      <c r="S24" s="107" t="n"/>
      <c r="T24" s="107" t="n"/>
      <c r="U24" s="107" t="n"/>
      <c r="V24" s="107" t="n"/>
      <c r="W24" s="107" t="n"/>
      <c r="X24" s="107" t="n"/>
      <c r="Y24" s="108" t="n"/>
      <c r="Z24" s="107" t="n"/>
      <c r="AA24" s="107" t="n"/>
      <c r="AB24" s="107" t="n"/>
      <c r="AC24" s="107" t="n"/>
      <c r="AD24" s="107" t="n"/>
      <c r="AE24" s="107" t="n"/>
      <c r="AF24" s="108" t="n"/>
      <c r="AG24" s="107" t="n"/>
      <c r="AH24" s="107" t="n"/>
      <c r="AI24" s="107" t="n"/>
      <c r="AJ24" s="109">
        <f>IF(ISBLANK(B24), "", IF(ISNUMBER(D24), IF(D24&gt;0, (COUNTIF(E24:AI24, "✓") + COUNTIF(E24:AI24, "✔") + COUNTIF(E24:AI24, "v") + COUNTIF(E24:AI24, "V"))/D24, 0), IF(((COUNTIF(E24:AI24, "✓") + COUNTIF(E24:AI24, "✔") + COUNTIF(E24:AI24, "v") + COUNTIF(E24:AI24, "V")) + COUNTIF(E24:AI24, "✗") + COUNTIF(E24:AI24, "x") + COUNTIF(E24:AI24, "X"))&gt;0, (COUNTIF(E24:AI24, "✓") + COUNTIF(E24:AI24, "✔") + COUNTIF(E24:AI24, "v") + COUNTIF(E24:AI24, "V"))/((COUNTIF(E24:AI24, "✓") + COUNTIF(E24:AI24, "✔") + COUNTIF(E24:AI24, "v") + COUNTIF(E24:AI24, "V")) + COUNTIF(E24:AI24, "✗") + COUNTIF(E24:AI24, "x") + COUNTIF(E24:AI24, "X")), "")))</f>
        <v/>
      </c>
      <c r="AK24" s="110">
        <f>IF(ISBLANK(B24), "", IF(ISNUMBER(D24), IF(D24&gt;0, (COUNTIF(E24:AI24, "✓") + COUNTIF(E24:AI24, "✔") + COUNTIF(E24:AI24, "v") + COUNTIF(E24:AI24, "V")) &amp; "/" &amp; D24, (COUNTIF(E24:AI24, "✓") + COUNTIF(E24:AI24, "✔") + COUNTIF(E24:AI24, "v") + COUNTIF(E24:AI24, "V")) &amp; "/0"), IF(((COUNTIF(E24:AI24, "✓") + COUNTIF(E24:AI24, "✔") + COUNTIF(E24:AI24, "v") + COUNTIF(E24:AI24, "V")) + COUNTIF(E24:AI24, "✗") + COUNTIF(E24:AI24, "x") + COUNTIF(E24:AI24, "X"))&gt;0, (COUNTIF(E24:AI24, "✓") + COUNTIF(E24:AI24, "✔") + COUNTIF(E24:AI24, "v") + COUNTIF(E24:AI24, "V")) &amp; "/" &amp; ((COUNTIF(E24:AI24, "✓") + COUNTIF(E24:AI24, "✔") + COUNTIF(E24:AI24, "v") + COUNTIF(E24:AI24, "V")) + COUNTIF(E24:AI24, "✗") + COUNTIF(E24:AI24, "x") + COUNTIF(E24:AI24, "X")), "")))</f>
        <v/>
      </c>
      <c r="AL24" s="110">
        <f>IF(ISBLANK(B24), "", IF(AJ24&gt;=0.85, "🔥 Mastered", IF(AJ24&gt;=0.7, "⚡ Consistent", "⚠️ Needs Focus")))</f>
        <v/>
      </c>
      <c r="AM24">
        <f>COUNTIF(E24:AI24, "✓")</f>
        <v/>
      </c>
    </row>
    <row r="25" ht="14.5" customHeight="1">
      <c r="A25" s="104" t="n">
        <v>8</v>
      </c>
      <c r="B25" s="105" t="n"/>
      <c r="C25" s="106" t="n"/>
      <c r="D25" s="106" t="n"/>
      <c r="E25" s="107" t="n"/>
      <c r="F25" s="107" t="n"/>
      <c r="G25" s="107" t="n"/>
      <c r="H25" s="107" t="n"/>
      <c r="I25" s="107" t="n"/>
      <c r="J25" s="107" t="n"/>
      <c r="K25" s="108" t="n"/>
      <c r="L25" s="107" t="n"/>
      <c r="M25" s="107" t="n"/>
      <c r="N25" s="107" t="n"/>
      <c r="O25" s="107" t="n"/>
      <c r="P25" s="107" t="n"/>
      <c r="Q25" s="107" t="n"/>
      <c r="R25" s="108" t="n"/>
      <c r="S25" s="107" t="n"/>
      <c r="T25" s="107" t="n"/>
      <c r="U25" s="107" t="n"/>
      <c r="V25" s="107" t="n"/>
      <c r="W25" s="107" t="n"/>
      <c r="X25" s="107" t="n"/>
      <c r="Y25" s="108" t="n"/>
      <c r="Z25" s="107" t="n"/>
      <c r="AA25" s="107" t="n"/>
      <c r="AB25" s="107" t="n"/>
      <c r="AC25" s="107" t="n"/>
      <c r="AD25" s="107" t="n"/>
      <c r="AE25" s="107" t="n"/>
      <c r="AF25" s="108" t="n"/>
      <c r="AG25" s="107" t="n"/>
      <c r="AH25" s="107" t="n"/>
      <c r="AI25" s="107" t="n"/>
      <c r="AJ25" s="109">
        <f>IF(ISBLANK(B25), "", IF(ISNUMBER(D25), IF(D25&gt;0, (COUNTIF(E25:AI25, "✓") + COUNTIF(E25:AI25, "✔") + COUNTIF(E25:AI25, "v") + COUNTIF(E25:AI25, "V"))/D25, 0), IF(((COUNTIF(E25:AI25, "✓") + COUNTIF(E25:AI25, "✔") + COUNTIF(E25:AI25, "v") + COUNTIF(E25:AI25, "V")) + COUNTIF(E25:AI25, "✗") + COUNTIF(E25:AI25, "x") + COUNTIF(E25:AI25, "X"))&gt;0, (COUNTIF(E25:AI25, "✓") + COUNTIF(E25:AI25, "✔") + COUNTIF(E25:AI25, "v") + COUNTIF(E25:AI25, "V"))/((COUNTIF(E25:AI25, "✓") + COUNTIF(E25:AI25, "✔") + COUNTIF(E25:AI25, "v") + COUNTIF(E25:AI25, "V")) + COUNTIF(E25:AI25, "✗") + COUNTIF(E25:AI25, "x") + COUNTIF(E25:AI25, "X")), "")))</f>
        <v/>
      </c>
      <c r="AK25" s="110">
        <f>IF(ISBLANK(B25), "", IF(ISNUMBER(D25), IF(D25&gt;0, (COUNTIF(E25:AI25, "✓") + COUNTIF(E25:AI25, "✔") + COUNTIF(E25:AI25, "v") + COUNTIF(E25:AI25, "V")) &amp; "/" &amp; D25, (COUNTIF(E25:AI25, "✓") + COUNTIF(E25:AI25, "✔") + COUNTIF(E25:AI25, "v") + COUNTIF(E25:AI25, "V")) &amp; "/0"), IF(((COUNTIF(E25:AI25, "✓") + COUNTIF(E25:AI25, "✔") + COUNTIF(E25:AI25, "v") + COUNTIF(E25:AI25, "V")) + COUNTIF(E25:AI25, "✗") + COUNTIF(E25:AI25, "x") + COUNTIF(E25:AI25, "X"))&gt;0, (COUNTIF(E25:AI25, "✓") + COUNTIF(E25:AI25, "✔") + COUNTIF(E25:AI25, "v") + COUNTIF(E25:AI25, "V")) &amp; "/" &amp; ((COUNTIF(E25:AI25, "✓") + COUNTIF(E25:AI25, "✔") + COUNTIF(E25:AI25, "v") + COUNTIF(E25:AI25, "V")) + COUNTIF(E25:AI25, "✗") + COUNTIF(E25:AI25, "x") + COUNTIF(E25:AI25, "X")), "")))</f>
        <v/>
      </c>
      <c r="AL25" s="110">
        <f>IF(ISBLANK(B25), "", IF(AJ25&gt;=0.85, "🔥 Mastered", IF(AJ25&gt;=0.7, "⚡ Consistent", "⚠️ Needs Focus")))</f>
        <v/>
      </c>
      <c r="AM25">
        <f>COUNTIF(E25:AI25, "✓")</f>
        <v/>
      </c>
    </row>
    <row r="26" ht="14.5" customHeight="1">
      <c r="A26" s="111" t="n">
        <v>9</v>
      </c>
      <c r="B26" s="112" t="n"/>
      <c r="C26" s="113" t="n"/>
      <c r="D26" s="113" t="n"/>
      <c r="E26" s="114" t="n"/>
      <c r="F26" s="114" t="n"/>
      <c r="G26" s="114" t="n"/>
      <c r="H26" s="114" t="n"/>
      <c r="I26" s="114" t="n"/>
      <c r="J26" s="114" t="n"/>
      <c r="K26" s="115" t="n"/>
      <c r="L26" s="114" t="n"/>
      <c r="M26" s="114" t="n"/>
      <c r="N26" s="114" t="n"/>
      <c r="O26" s="114" t="n"/>
      <c r="P26" s="114" t="n"/>
      <c r="Q26" s="114" t="n"/>
      <c r="R26" s="115" t="n"/>
      <c r="S26" s="114" t="n"/>
      <c r="T26" s="114" t="n"/>
      <c r="U26" s="114" t="n"/>
      <c r="V26" s="114" t="n"/>
      <c r="W26" s="114" t="n"/>
      <c r="X26" s="114" t="n"/>
      <c r="Y26" s="115" t="n"/>
      <c r="Z26" s="114" t="n"/>
      <c r="AA26" s="114" t="n"/>
      <c r="AB26" s="114" t="n"/>
      <c r="AC26" s="114" t="n"/>
      <c r="AD26" s="114" t="n"/>
      <c r="AE26" s="114" t="n"/>
      <c r="AF26" s="115" t="n"/>
      <c r="AG26" s="114" t="n"/>
      <c r="AH26" s="114" t="n"/>
      <c r="AI26" s="114" t="n"/>
      <c r="AJ26" s="116">
        <f>IF(ISBLANK(B26), "", IF(ISNUMBER(D26), IF(D26&gt;0, (COUNTIF(E26:AI26, "✓") + COUNTIF(E26:AI26, "✔") + COUNTIF(E26:AI26, "v") + COUNTIF(E26:AI26, "V"))/D26, 0), IF(((COUNTIF(E26:AI26, "✓") + COUNTIF(E26:AI26, "✔") + COUNTIF(E26:AI26, "v") + COUNTIF(E26:AI26, "V")) + COUNTIF(E26:AI26, "✗") + COUNTIF(E26:AI26, "x") + COUNTIF(E26:AI26, "X"))&gt;0, (COUNTIF(E26:AI26, "✓") + COUNTIF(E26:AI26, "✔") + COUNTIF(E26:AI26, "v") + COUNTIF(E26:AI26, "V"))/((COUNTIF(E26:AI26, "✓") + COUNTIF(E26:AI26, "✔") + COUNTIF(E26:AI26, "v") + COUNTIF(E26:AI26, "V")) + COUNTIF(E26:AI26, "✗") + COUNTIF(E26:AI26, "x") + COUNTIF(E26:AI26, "X")), "")))</f>
        <v/>
      </c>
      <c r="AK26" s="117">
        <f>IF(ISBLANK(B26), "", IF(ISNUMBER(D26), IF(D26&gt;0, (COUNTIF(E26:AI26, "✓") + COUNTIF(E26:AI26, "✔") + COUNTIF(E26:AI26, "v") + COUNTIF(E26:AI26, "V")) &amp; "/" &amp; D26, (COUNTIF(E26:AI26, "✓") + COUNTIF(E26:AI26, "✔") + COUNTIF(E26:AI26, "v") + COUNTIF(E26:AI26, "V")) &amp; "/0"), IF(((COUNTIF(E26:AI26, "✓") + COUNTIF(E26:AI26, "✔") + COUNTIF(E26:AI26, "v") + COUNTIF(E26:AI26, "V")) + COUNTIF(E26:AI26, "✗") + COUNTIF(E26:AI26, "x") + COUNTIF(E26:AI26, "X"))&gt;0, (COUNTIF(E26:AI26, "✓") + COUNTIF(E26:AI26, "✔") + COUNTIF(E26:AI26, "v") + COUNTIF(E26:AI26, "V")) &amp; "/" &amp; ((COUNTIF(E26:AI26, "✓") + COUNTIF(E26:AI26, "✔") + COUNTIF(E26:AI26, "v") + COUNTIF(E26:AI26, "V")) + COUNTIF(E26:AI26, "✗") + COUNTIF(E26:AI26, "x") + COUNTIF(E26:AI26, "X")), "")))</f>
        <v/>
      </c>
      <c r="AL26" s="117">
        <f>IF(ISBLANK(B26), "", IF(AJ26&gt;=0.85, "🔥 Mastered", IF(AJ26&gt;=0.7, "⚡ Consistent", "⚠️ Needs Focus")))</f>
        <v/>
      </c>
      <c r="AM26">
        <f>COUNTIF(E26:AI26, "✓")</f>
        <v/>
      </c>
    </row>
    <row r="27" ht="14.5" customHeight="1">
      <c r="A27" s="111" t="n">
        <v>10</v>
      </c>
      <c r="B27" s="112" t="n"/>
      <c r="C27" s="113" t="n"/>
      <c r="D27" s="113" t="n"/>
      <c r="E27" s="114" t="n"/>
      <c r="F27" s="114" t="n"/>
      <c r="G27" s="114" t="n"/>
      <c r="H27" s="114" t="n"/>
      <c r="I27" s="114" t="n"/>
      <c r="J27" s="114" t="n"/>
      <c r="K27" s="115" t="n"/>
      <c r="L27" s="114" t="n"/>
      <c r="M27" s="114" t="n"/>
      <c r="N27" s="114" t="n"/>
      <c r="O27" s="114" t="n"/>
      <c r="P27" s="114" t="n"/>
      <c r="Q27" s="114" t="n"/>
      <c r="R27" s="115" t="n"/>
      <c r="S27" s="114" t="n"/>
      <c r="T27" s="114" t="n"/>
      <c r="U27" s="114" t="n"/>
      <c r="V27" s="114" t="n"/>
      <c r="W27" s="114" t="n"/>
      <c r="X27" s="114" t="n"/>
      <c r="Y27" s="115" t="n"/>
      <c r="Z27" s="114" t="n"/>
      <c r="AA27" s="114" t="n"/>
      <c r="AB27" s="114" t="n"/>
      <c r="AC27" s="114" t="n"/>
      <c r="AD27" s="114" t="n"/>
      <c r="AE27" s="114" t="n"/>
      <c r="AF27" s="115" t="n"/>
      <c r="AG27" s="114" t="n"/>
      <c r="AH27" s="114" t="n"/>
      <c r="AI27" s="114" t="n"/>
      <c r="AJ27" s="116">
        <f>IF(ISBLANK(B27), "", IF(ISNUMBER(D27), IF(D27&gt;0, (COUNTIF(E27:AI27, "✓") + COUNTIF(E27:AI27, "✔") + COUNTIF(E27:AI27, "v") + COUNTIF(E27:AI27, "V"))/D27, 0), IF(((COUNTIF(E27:AI27, "✓") + COUNTIF(E27:AI27, "✔") + COUNTIF(E27:AI27, "v") + COUNTIF(E27:AI27, "V")) + COUNTIF(E27:AI27, "✗") + COUNTIF(E27:AI27, "x") + COUNTIF(E27:AI27, "X"))&gt;0, (COUNTIF(E27:AI27, "✓") + COUNTIF(E27:AI27, "✔") + COUNTIF(E27:AI27, "v") + COUNTIF(E27:AI27, "V"))/((COUNTIF(E27:AI27, "✓") + COUNTIF(E27:AI27, "✔") + COUNTIF(E27:AI27, "v") + COUNTIF(E27:AI27, "V")) + COUNTIF(E27:AI27, "✗") + COUNTIF(E27:AI27, "x") + COUNTIF(E27:AI27, "X")), "")))</f>
        <v/>
      </c>
      <c r="AK27" s="117">
        <f>IF(ISBLANK(B27), "", IF(ISNUMBER(D27), IF(D27&gt;0, (COUNTIF(E27:AI27, "✓") + COUNTIF(E27:AI27, "✔") + COUNTIF(E27:AI27, "v") + COUNTIF(E27:AI27, "V")) &amp; "/" &amp; D27, (COUNTIF(E27:AI27, "✓") + COUNTIF(E27:AI27, "✔") + COUNTIF(E27:AI27, "v") + COUNTIF(E27:AI27, "V")) &amp; "/0"), IF(((COUNTIF(E27:AI27, "✓") + COUNTIF(E27:AI27, "✔") + COUNTIF(E27:AI27, "v") + COUNTIF(E27:AI27, "V")) + COUNTIF(E27:AI27, "✗") + COUNTIF(E27:AI27, "x") + COUNTIF(E27:AI27, "X"))&gt;0, (COUNTIF(E27:AI27, "✓") + COUNTIF(E27:AI27, "✔") + COUNTIF(E27:AI27, "v") + COUNTIF(E27:AI27, "V")) &amp; "/" &amp; ((COUNTIF(E27:AI27, "✓") + COUNTIF(E27:AI27, "✔") + COUNTIF(E27:AI27, "v") + COUNTIF(E27:AI27, "V")) + COUNTIF(E27:AI27, "✗") + COUNTIF(E27:AI27, "x") + COUNTIF(E27:AI27, "X")), "")))</f>
        <v/>
      </c>
      <c r="AL27" s="117">
        <f>IF(ISBLANK(B27), "", IF(AJ27&gt;=0.85, "🔥 Mastered", IF(AJ27&gt;=0.7, "⚡ Consistent", "⚠️ Needs Focus")))</f>
        <v/>
      </c>
      <c r="AM27">
        <f>COUNTIF(E27:AI27, "✓")</f>
        <v/>
      </c>
    </row>
    <row r="28" ht="14.5" customHeight="1">
      <c r="A28" s="111" t="n">
        <v>11</v>
      </c>
      <c r="B28" s="112" t="n"/>
      <c r="C28" s="113" t="n"/>
      <c r="D28" s="113" t="n"/>
      <c r="E28" s="114" t="n"/>
      <c r="F28" s="114" t="n"/>
      <c r="G28" s="114" t="n"/>
      <c r="H28" s="114" t="n"/>
      <c r="I28" s="114" t="n"/>
      <c r="J28" s="114" t="n"/>
      <c r="K28" s="115" t="n"/>
      <c r="L28" s="114" t="n"/>
      <c r="M28" s="114" t="n"/>
      <c r="N28" s="114" t="n"/>
      <c r="O28" s="114" t="n"/>
      <c r="P28" s="114" t="n"/>
      <c r="Q28" s="114" t="n"/>
      <c r="R28" s="115" t="n"/>
      <c r="S28" s="114" t="n"/>
      <c r="T28" s="114" t="n"/>
      <c r="U28" s="114" t="n"/>
      <c r="V28" s="114" t="n"/>
      <c r="W28" s="114" t="n"/>
      <c r="X28" s="114" t="n"/>
      <c r="Y28" s="115" t="n"/>
      <c r="Z28" s="114" t="n"/>
      <c r="AA28" s="114" t="n"/>
      <c r="AB28" s="114" t="n"/>
      <c r="AC28" s="114" t="n"/>
      <c r="AD28" s="114" t="n"/>
      <c r="AE28" s="114" t="n"/>
      <c r="AF28" s="115" t="n"/>
      <c r="AG28" s="114" t="n"/>
      <c r="AH28" s="114" t="n"/>
      <c r="AI28" s="114" t="n"/>
      <c r="AJ28" s="116">
        <f>IF(ISBLANK(B28), "", IF(ISNUMBER(D28), IF(D28&gt;0, (COUNTIF(E28:AI28, "✓") + COUNTIF(E28:AI28, "✔") + COUNTIF(E28:AI28, "v") + COUNTIF(E28:AI28, "V"))/D28, 0), IF(((COUNTIF(E28:AI28, "✓") + COUNTIF(E28:AI28, "✔") + COUNTIF(E28:AI28, "v") + COUNTIF(E28:AI28, "V")) + COUNTIF(E28:AI28, "✗") + COUNTIF(E28:AI28, "x") + COUNTIF(E28:AI28, "X"))&gt;0, (COUNTIF(E28:AI28, "✓") + COUNTIF(E28:AI28, "✔") + COUNTIF(E28:AI28, "v") + COUNTIF(E28:AI28, "V"))/((COUNTIF(E28:AI28, "✓") + COUNTIF(E28:AI28, "✔") + COUNTIF(E28:AI28, "v") + COUNTIF(E28:AI28, "V")) + COUNTIF(E28:AI28, "✗") + COUNTIF(E28:AI28, "x") + COUNTIF(E28:AI28, "X")), "")))</f>
        <v/>
      </c>
      <c r="AK28" s="117">
        <f>IF(ISBLANK(B28), "", IF(ISNUMBER(D28), IF(D28&gt;0, (COUNTIF(E28:AI28, "✓") + COUNTIF(E28:AI28, "✔") + COUNTIF(E28:AI28, "v") + COUNTIF(E28:AI28, "V")) &amp; "/" &amp; D28, (COUNTIF(E28:AI28, "✓") + COUNTIF(E28:AI28, "✔") + COUNTIF(E28:AI28, "v") + COUNTIF(E28:AI28, "V")) &amp; "/0"), IF(((COUNTIF(E28:AI28, "✓") + COUNTIF(E28:AI28, "✔") + COUNTIF(E28:AI28, "v") + COUNTIF(E28:AI28, "V")) + COUNTIF(E28:AI28, "✗") + COUNTIF(E28:AI28, "x") + COUNTIF(E28:AI28, "X"))&gt;0, (COUNTIF(E28:AI28, "✓") + COUNTIF(E28:AI28, "✔") + COUNTIF(E28:AI28, "v") + COUNTIF(E28:AI28, "V")) &amp; "/" &amp; ((COUNTIF(E28:AI28, "✓") + COUNTIF(E28:AI28, "✔") + COUNTIF(E28:AI28, "v") + COUNTIF(E28:AI28, "V")) + COUNTIF(E28:AI28, "✗") + COUNTIF(E28:AI28, "x") + COUNTIF(E28:AI28, "X")), "")))</f>
        <v/>
      </c>
      <c r="AL28" s="117">
        <f>IF(ISBLANK(B28), "", IF(AJ28&gt;=0.85, "🔥 Mastered", IF(AJ28&gt;=0.7, "⚡ Consistent", "⚠️ Needs Focus")))</f>
        <v/>
      </c>
      <c r="AM28">
        <f>COUNTIF(E28:AI28, "✓")</f>
        <v/>
      </c>
    </row>
    <row r="29" ht="14.5" customHeight="1">
      <c r="A29" s="111" t="n">
        <v>12</v>
      </c>
      <c r="B29" s="112" t="n"/>
      <c r="C29" s="113" t="n"/>
      <c r="D29" s="113" t="n"/>
      <c r="E29" s="114" t="n"/>
      <c r="F29" s="114" t="n"/>
      <c r="G29" s="114" t="n"/>
      <c r="H29" s="114" t="n"/>
      <c r="I29" s="114" t="n"/>
      <c r="J29" s="114" t="n"/>
      <c r="K29" s="115" t="n"/>
      <c r="L29" s="114" t="n"/>
      <c r="M29" s="114" t="n"/>
      <c r="N29" s="114" t="n"/>
      <c r="O29" s="114" t="n"/>
      <c r="P29" s="114" t="n"/>
      <c r="Q29" s="114" t="n"/>
      <c r="R29" s="115" t="n"/>
      <c r="S29" s="114" t="n"/>
      <c r="T29" s="114" t="n"/>
      <c r="U29" s="114" t="n"/>
      <c r="V29" s="114" t="n"/>
      <c r="W29" s="114" t="n"/>
      <c r="X29" s="114" t="n"/>
      <c r="Y29" s="115" t="n"/>
      <c r="Z29" s="114" t="n"/>
      <c r="AA29" s="114" t="n"/>
      <c r="AB29" s="114" t="n"/>
      <c r="AC29" s="114" t="n"/>
      <c r="AD29" s="114" t="n"/>
      <c r="AE29" s="114" t="n"/>
      <c r="AF29" s="115" t="n"/>
      <c r="AG29" s="114" t="n"/>
      <c r="AH29" s="114" t="n"/>
      <c r="AI29" s="114" t="n"/>
      <c r="AJ29" s="116">
        <f>IF(ISBLANK(B29), "", IF(ISNUMBER(D29), IF(D29&gt;0, (COUNTIF(E29:AI29, "✓") + COUNTIF(E29:AI29, "✔") + COUNTIF(E29:AI29, "v") + COUNTIF(E29:AI29, "V"))/D29, 0), IF(((COUNTIF(E29:AI29, "✓") + COUNTIF(E29:AI29, "✔") + COUNTIF(E29:AI29, "v") + COUNTIF(E29:AI29, "V")) + COUNTIF(E29:AI29, "✗") + COUNTIF(E29:AI29, "x") + COUNTIF(E29:AI29, "X"))&gt;0, (COUNTIF(E29:AI29, "✓") + COUNTIF(E29:AI29, "✔") + COUNTIF(E29:AI29, "v") + COUNTIF(E29:AI29, "V"))/((COUNTIF(E29:AI29, "✓") + COUNTIF(E29:AI29, "✔") + COUNTIF(E29:AI29, "v") + COUNTIF(E29:AI29, "V")) + COUNTIF(E29:AI29, "✗") + COUNTIF(E29:AI29, "x") + COUNTIF(E29:AI29, "X")), "")))</f>
        <v/>
      </c>
      <c r="AK29" s="117">
        <f>IF(ISBLANK(B29), "", IF(ISNUMBER(D29), IF(D29&gt;0, (COUNTIF(E29:AI29, "✓") + COUNTIF(E29:AI29, "✔") + COUNTIF(E29:AI29, "v") + COUNTIF(E29:AI29, "V")) &amp; "/" &amp; D29, (COUNTIF(E29:AI29, "✓") + COUNTIF(E29:AI29, "✔") + COUNTIF(E29:AI29, "v") + COUNTIF(E29:AI29, "V")) &amp; "/0"), IF(((COUNTIF(E29:AI29, "✓") + COUNTIF(E29:AI29, "✔") + COUNTIF(E29:AI29, "v") + COUNTIF(E29:AI29, "V")) + COUNTIF(E29:AI29, "✗") + COUNTIF(E29:AI29, "x") + COUNTIF(E29:AI29, "X"))&gt;0, (COUNTIF(E29:AI29, "✓") + COUNTIF(E29:AI29, "✔") + COUNTIF(E29:AI29, "v") + COUNTIF(E29:AI29, "V")) &amp; "/" &amp; ((COUNTIF(E29:AI29, "✓") + COUNTIF(E29:AI29, "✔") + COUNTIF(E29:AI29, "v") + COUNTIF(E29:AI29, "V")) + COUNTIF(E29:AI29, "✗") + COUNTIF(E29:AI29, "x") + COUNTIF(E29:AI29, "X")), "")))</f>
        <v/>
      </c>
      <c r="AL29" s="117">
        <f>IF(ISBLANK(B29), "", IF(AJ29&gt;=0.85, "🔥 Mastered", IF(AJ29&gt;=0.7, "⚡ Consistent", "⚠️ Needs Focus")))</f>
        <v/>
      </c>
      <c r="AM29">
        <f>COUNTIF(E29:AI29, "✓")</f>
        <v/>
      </c>
    </row>
    <row r="30" ht="14.5" customHeight="1">
      <c r="A30" s="118" t="n">
        <v>13</v>
      </c>
      <c r="B30" s="119" t="n"/>
      <c r="C30" s="120" t="n"/>
      <c r="D30" s="120" t="n"/>
      <c r="E30" s="121" t="n"/>
      <c r="F30" s="121" t="n"/>
      <c r="G30" s="121" t="n"/>
      <c r="H30" s="121" t="n"/>
      <c r="I30" s="121" t="n"/>
      <c r="J30" s="121" t="n"/>
      <c r="K30" s="122" t="n"/>
      <c r="L30" s="121" t="n"/>
      <c r="M30" s="121" t="n"/>
      <c r="N30" s="121" t="n"/>
      <c r="O30" s="121" t="n"/>
      <c r="P30" s="121" t="n"/>
      <c r="Q30" s="121" t="n"/>
      <c r="R30" s="122" t="n"/>
      <c r="S30" s="121" t="n"/>
      <c r="T30" s="121" t="n"/>
      <c r="U30" s="121" t="n"/>
      <c r="V30" s="121" t="n"/>
      <c r="W30" s="121" t="n"/>
      <c r="X30" s="121" t="n"/>
      <c r="Y30" s="122" t="n"/>
      <c r="Z30" s="121" t="n"/>
      <c r="AA30" s="121" t="n"/>
      <c r="AB30" s="121" t="n"/>
      <c r="AC30" s="121" t="n"/>
      <c r="AD30" s="121" t="n"/>
      <c r="AE30" s="121" t="n"/>
      <c r="AF30" s="122" t="n"/>
      <c r="AG30" s="121" t="n"/>
      <c r="AH30" s="121" t="n"/>
      <c r="AI30" s="121" t="n"/>
      <c r="AJ30" s="123">
        <f>IF(ISBLANK(B30), "", IF(ISNUMBER(D30), IF(D30&gt;0, (COUNTIF(E30:AI30, "✓") + COUNTIF(E30:AI30, "✔") + COUNTIF(E30:AI30, "v") + COUNTIF(E30:AI30, "V"))/D30, 0), IF(((COUNTIF(E30:AI30, "✓") + COUNTIF(E30:AI30, "✔") + COUNTIF(E30:AI30, "v") + COUNTIF(E30:AI30, "V")) + COUNTIF(E30:AI30, "✗") + COUNTIF(E30:AI30, "x") + COUNTIF(E30:AI30, "X"))&gt;0, (COUNTIF(E30:AI30, "✓") + COUNTIF(E30:AI30, "✔") + COUNTIF(E30:AI30, "v") + COUNTIF(E30:AI30, "V"))/((COUNTIF(E30:AI30, "✓") + COUNTIF(E30:AI30, "✔") + COUNTIF(E30:AI30, "v") + COUNTIF(E30:AI30, "V")) + COUNTIF(E30:AI30, "✗") + COUNTIF(E30:AI30, "x") + COUNTIF(E30:AI30, "X")), "")))</f>
        <v/>
      </c>
      <c r="AK30" s="124">
        <f>IF(ISBLANK(B30), "", IF(ISNUMBER(D30), IF(D30&gt;0, (COUNTIF(E30:AI30, "✓") + COUNTIF(E30:AI30, "✔") + COUNTIF(E30:AI30, "v") + COUNTIF(E30:AI30, "V")) &amp; "/" &amp; D30, (COUNTIF(E30:AI30, "✓") + COUNTIF(E30:AI30, "✔") + COUNTIF(E30:AI30, "v") + COUNTIF(E30:AI30, "V")) &amp; "/0"), IF(((COUNTIF(E30:AI30, "✓") + COUNTIF(E30:AI30, "✔") + COUNTIF(E30:AI30, "v") + COUNTIF(E30:AI30, "V")) + COUNTIF(E30:AI30, "✗") + COUNTIF(E30:AI30, "x") + COUNTIF(E30:AI30, "X"))&gt;0, (COUNTIF(E30:AI30, "✓") + COUNTIF(E30:AI30, "✔") + COUNTIF(E30:AI30, "v") + COUNTIF(E30:AI30, "V")) &amp; "/" &amp; ((COUNTIF(E30:AI30, "✓") + COUNTIF(E30:AI30, "✔") + COUNTIF(E30:AI30, "v") + COUNTIF(E30:AI30, "V")) + COUNTIF(E30:AI30, "✗") + COUNTIF(E30:AI30, "x") + COUNTIF(E30:AI30, "X")), "")))</f>
        <v/>
      </c>
      <c r="AL30" s="124">
        <f>IF(ISBLANK(B30), "", IF(AJ30&gt;=0.85, "🔥 Mastered", IF(AJ30&gt;=0.7, "⚡ Consistent", "⚠️ Needs Focus")))</f>
        <v/>
      </c>
      <c r="AM30">
        <f>COUNTIF(E30:AI30, "✓")</f>
        <v/>
      </c>
    </row>
    <row r="31" ht="14.5" customHeight="1">
      <c r="A31" s="118" t="n">
        <v>14</v>
      </c>
      <c r="B31" s="119" t="n"/>
      <c r="C31" s="120" t="n"/>
      <c r="D31" s="120" t="n"/>
      <c r="E31" s="121" t="n"/>
      <c r="F31" s="121" t="n"/>
      <c r="G31" s="121" t="n"/>
      <c r="H31" s="121" t="n"/>
      <c r="I31" s="121" t="n"/>
      <c r="J31" s="121" t="n"/>
      <c r="K31" s="122" t="n"/>
      <c r="L31" s="121" t="n"/>
      <c r="M31" s="121" t="n"/>
      <c r="N31" s="121" t="n"/>
      <c r="O31" s="121" t="n"/>
      <c r="P31" s="121" t="n"/>
      <c r="Q31" s="121" t="n"/>
      <c r="R31" s="122" t="n"/>
      <c r="S31" s="121" t="n"/>
      <c r="T31" s="121" t="n"/>
      <c r="U31" s="121" t="n"/>
      <c r="V31" s="121" t="n"/>
      <c r="W31" s="121" t="n"/>
      <c r="X31" s="121" t="n"/>
      <c r="Y31" s="122" t="n"/>
      <c r="Z31" s="121" t="n"/>
      <c r="AA31" s="121" t="n"/>
      <c r="AB31" s="121" t="n"/>
      <c r="AC31" s="121" t="n"/>
      <c r="AD31" s="121" t="n"/>
      <c r="AE31" s="121" t="n"/>
      <c r="AF31" s="122" t="n"/>
      <c r="AG31" s="121" t="n"/>
      <c r="AH31" s="121" t="n"/>
      <c r="AI31" s="121" t="n"/>
      <c r="AJ31" s="123">
        <f>IF(ISBLANK(B31), "", IF(ISNUMBER(D31), IF(D31&gt;0, (COUNTIF(E31:AI31, "✓") + COUNTIF(E31:AI31, "✔") + COUNTIF(E31:AI31, "v") + COUNTIF(E31:AI31, "V"))/D31, 0), IF(((COUNTIF(E31:AI31, "✓") + COUNTIF(E31:AI31, "✔") + COUNTIF(E31:AI31, "v") + COUNTIF(E31:AI31, "V")) + COUNTIF(E31:AI31, "✗") + COUNTIF(E31:AI31, "x") + COUNTIF(E31:AI31, "X"))&gt;0, (COUNTIF(E31:AI31, "✓") + COUNTIF(E31:AI31, "✔") + COUNTIF(E31:AI31, "v") + COUNTIF(E31:AI31, "V"))/((COUNTIF(E31:AI31, "✓") + COUNTIF(E31:AI31, "✔") + COUNTIF(E31:AI31, "v") + COUNTIF(E31:AI31, "V")) + COUNTIF(E31:AI31, "✗") + COUNTIF(E31:AI31, "x") + COUNTIF(E31:AI31, "X")), "")))</f>
        <v/>
      </c>
      <c r="AK31" s="124">
        <f>IF(ISBLANK(B31), "", IF(ISNUMBER(D31), IF(D31&gt;0, (COUNTIF(E31:AI31, "✓") + COUNTIF(E31:AI31, "✔") + COUNTIF(E31:AI31, "v") + COUNTIF(E31:AI31, "V")) &amp; "/" &amp; D31, (COUNTIF(E31:AI31, "✓") + COUNTIF(E31:AI31, "✔") + COUNTIF(E31:AI31, "v") + COUNTIF(E31:AI31, "V")) &amp; "/0"), IF(((COUNTIF(E31:AI31, "✓") + COUNTIF(E31:AI31, "✔") + COUNTIF(E31:AI31, "v") + COUNTIF(E31:AI31, "V")) + COUNTIF(E31:AI31, "✗") + COUNTIF(E31:AI31, "x") + COUNTIF(E31:AI31, "X"))&gt;0, (COUNTIF(E31:AI31, "✓") + COUNTIF(E31:AI31, "✔") + COUNTIF(E31:AI31, "v") + COUNTIF(E31:AI31, "V")) &amp; "/" &amp; ((COUNTIF(E31:AI31, "✓") + COUNTIF(E31:AI31, "✔") + COUNTIF(E31:AI31, "v") + COUNTIF(E31:AI31, "V")) + COUNTIF(E31:AI31, "✗") + COUNTIF(E31:AI31, "x") + COUNTIF(E31:AI31, "X")), "")))</f>
        <v/>
      </c>
      <c r="AL31" s="124">
        <f>IF(ISBLANK(B31), "", IF(AJ31&gt;=0.85, "🔥 Mastered", IF(AJ31&gt;=0.7, "⚡ Consistent", "⚠️ Needs Focus")))</f>
        <v/>
      </c>
      <c r="AM31">
        <f>COUNTIF(E31:AI31, "✓")</f>
        <v/>
      </c>
    </row>
    <row r="32" ht="14.5" customHeight="1">
      <c r="A32" s="118" t="n">
        <v>15</v>
      </c>
      <c r="B32" s="119" t="n"/>
      <c r="C32" s="120" t="n"/>
      <c r="D32" s="120" t="n"/>
      <c r="E32" s="121" t="n"/>
      <c r="F32" s="121" t="n"/>
      <c r="G32" s="121" t="n"/>
      <c r="H32" s="121" t="n"/>
      <c r="I32" s="121" t="n"/>
      <c r="J32" s="121" t="n"/>
      <c r="K32" s="122" t="n"/>
      <c r="L32" s="121" t="n"/>
      <c r="M32" s="121" t="n"/>
      <c r="N32" s="121" t="n"/>
      <c r="O32" s="121" t="n"/>
      <c r="P32" s="121" t="n"/>
      <c r="Q32" s="121" t="n"/>
      <c r="R32" s="122" t="n"/>
      <c r="S32" s="121" t="n"/>
      <c r="T32" s="121" t="n"/>
      <c r="U32" s="121" t="n"/>
      <c r="V32" s="121" t="n"/>
      <c r="W32" s="121" t="n"/>
      <c r="X32" s="121" t="n"/>
      <c r="Y32" s="122" t="n"/>
      <c r="Z32" s="121" t="n"/>
      <c r="AA32" s="121" t="n"/>
      <c r="AB32" s="121" t="n"/>
      <c r="AC32" s="121" t="n"/>
      <c r="AD32" s="121" t="n"/>
      <c r="AE32" s="121" t="n"/>
      <c r="AF32" s="122" t="n"/>
      <c r="AG32" s="121" t="n"/>
      <c r="AH32" s="121" t="n"/>
      <c r="AI32" s="121" t="n"/>
      <c r="AJ32" s="123">
        <f>IF(ISBLANK(B32), "", IF(ISNUMBER(D32), IF(D32&gt;0, (COUNTIF(E32:AI32, "✓") + COUNTIF(E32:AI32, "✔") + COUNTIF(E32:AI32, "v") + COUNTIF(E32:AI32, "V"))/D32, 0), IF(((COUNTIF(E32:AI32, "✓") + COUNTIF(E32:AI32, "✔") + COUNTIF(E32:AI32, "v") + COUNTIF(E32:AI32, "V")) + COUNTIF(E32:AI32, "✗") + COUNTIF(E32:AI32, "x") + COUNTIF(E32:AI32, "X"))&gt;0, (COUNTIF(E32:AI32, "✓") + COUNTIF(E32:AI32, "✔") + COUNTIF(E32:AI32, "v") + COUNTIF(E32:AI32, "V"))/((COUNTIF(E32:AI32, "✓") + COUNTIF(E32:AI32, "✔") + COUNTIF(E32:AI32, "v") + COUNTIF(E32:AI32, "V")) + COUNTIF(E32:AI32, "✗") + COUNTIF(E32:AI32, "x") + COUNTIF(E32:AI32, "X")), "")))</f>
        <v/>
      </c>
      <c r="AK32" s="124">
        <f>IF(ISBLANK(B32), "", IF(ISNUMBER(D32), IF(D32&gt;0, (COUNTIF(E32:AI32, "✓") + COUNTIF(E32:AI32, "✔") + COUNTIF(E32:AI32, "v") + COUNTIF(E32:AI32, "V")) &amp; "/" &amp; D32, (COUNTIF(E32:AI32, "✓") + COUNTIF(E32:AI32, "✔") + COUNTIF(E32:AI32, "v") + COUNTIF(E32:AI32, "V")) &amp; "/0"), IF(((COUNTIF(E32:AI32, "✓") + COUNTIF(E32:AI32, "✔") + COUNTIF(E32:AI32, "v") + COUNTIF(E32:AI32, "V")) + COUNTIF(E32:AI32, "✗") + COUNTIF(E32:AI32, "x") + COUNTIF(E32:AI32, "X"))&gt;0, (COUNTIF(E32:AI32, "✓") + COUNTIF(E32:AI32, "✔") + COUNTIF(E32:AI32, "v") + COUNTIF(E32:AI32, "V")) &amp; "/" &amp; ((COUNTIF(E32:AI32, "✓") + COUNTIF(E32:AI32, "✔") + COUNTIF(E32:AI32, "v") + COUNTIF(E32:AI32, "V")) + COUNTIF(E32:AI32, "✗") + COUNTIF(E32:AI32, "x") + COUNTIF(E32:AI32, "X")), "")))</f>
        <v/>
      </c>
      <c r="AL32" s="124">
        <f>IF(ISBLANK(B32), "", IF(AJ32&gt;=0.85, "🔥 Mastered", IF(AJ32&gt;=0.7, "⚡ Consistent", "⚠️ Needs Focus")))</f>
        <v/>
      </c>
      <c r="AM32">
        <f>COUNTIF(E32:AI32, "✓")</f>
        <v/>
      </c>
    </row>
    <row r="33" ht="14.5" customHeight="1">
      <c r="A33" s="118" t="n">
        <v>16</v>
      </c>
      <c r="B33" s="119" t="n"/>
      <c r="C33" s="120" t="n"/>
      <c r="D33" s="120" t="n"/>
      <c r="E33" s="121" t="n"/>
      <c r="F33" s="121" t="n"/>
      <c r="G33" s="121" t="n"/>
      <c r="H33" s="121" t="n"/>
      <c r="I33" s="121" t="n"/>
      <c r="J33" s="121" t="n"/>
      <c r="K33" s="122" t="n"/>
      <c r="L33" s="121" t="n"/>
      <c r="M33" s="121" t="n"/>
      <c r="N33" s="121" t="n"/>
      <c r="O33" s="121" t="n"/>
      <c r="P33" s="121" t="n"/>
      <c r="Q33" s="121" t="n"/>
      <c r="R33" s="122" t="n"/>
      <c r="S33" s="121" t="n"/>
      <c r="T33" s="121" t="n"/>
      <c r="U33" s="121" t="n"/>
      <c r="V33" s="121" t="n"/>
      <c r="W33" s="121" t="n"/>
      <c r="X33" s="121" t="n"/>
      <c r="Y33" s="122" t="n"/>
      <c r="Z33" s="121" t="n"/>
      <c r="AA33" s="121" t="n"/>
      <c r="AB33" s="121" t="n"/>
      <c r="AC33" s="121" t="n"/>
      <c r="AD33" s="121" t="n"/>
      <c r="AE33" s="121" t="n"/>
      <c r="AF33" s="122" t="n"/>
      <c r="AG33" s="121" t="n"/>
      <c r="AH33" s="121" t="n"/>
      <c r="AI33" s="121" t="n"/>
      <c r="AJ33" s="123">
        <f>IF(ISBLANK(B33), "", IF(ISNUMBER(D33), IF(D33&gt;0, (COUNTIF(E33:AI33, "✓") + COUNTIF(E33:AI33, "✔") + COUNTIF(E33:AI33, "v") + COUNTIF(E33:AI33, "V"))/D33, 0), IF(((COUNTIF(E33:AI33, "✓") + COUNTIF(E33:AI33, "✔") + COUNTIF(E33:AI33, "v") + COUNTIF(E33:AI33, "V")) + COUNTIF(E33:AI33, "✗") + COUNTIF(E33:AI33, "x") + COUNTIF(E33:AI33, "X"))&gt;0, (COUNTIF(E33:AI33, "✓") + COUNTIF(E33:AI33, "✔") + COUNTIF(E33:AI33, "v") + COUNTIF(E33:AI33, "V"))/((COUNTIF(E33:AI33, "✓") + COUNTIF(E33:AI33, "✔") + COUNTIF(E33:AI33, "v") + COUNTIF(E33:AI33, "V")) + COUNTIF(E33:AI33, "✗") + COUNTIF(E33:AI33, "x") + COUNTIF(E33:AI33, "X")), "")))</f>
        <v/>
      </c>
      <c r="AK33" s="124">
        <f>IF(ISBLANK(B33), "", IF(ISNUMBER(D33), IF(D33&gt;0, (COUNTIF(E33:AI33, "✓") + COUNTIF(E33:AI33, "✔") + COUNTIF(E33:AI33, "v") + COUNTIF(E33:AI33, "V")) &amp; "/" &amp; D33, (COUNTIF(E33:AI33, "✓") + COUNTIF(E33:AI33, "✔") + COUNTIF(E33:AI33, "v") + COUNTIF(E33:AI33, "V")) &amp; "/0"), IF(((COUNTIF(E33:AI33, "✓") + COUNTIF(E33:AI33, "✔") + COUNTIF(E33:AI33, "v") + COUNTIF(E33:AI33, "V")) + COUNTIF(E33:AI33, "✗") + COUNTIF(E33:AI33, "x") + COUNTIF(E33:AI33, "X"))&gt;0, (COUNTIF(E33:AI33, "✓") + COUNTIF(E33:AI33, "✔") + COUNTIF(E33:AI33, "v") + COUNTIF(E33:AI33, "V")) &amp; "/" &amp; ((COUNTIF(E33:AI33, "✓") + COUNTIF(E33:AI33, "✔") + COUNTIF(E33:AI33, "v") + COUNTIF(E33:AI33, "V")) + COUNTIF(E33:AI33, "✗") + COUNTIF(E33:AI33, "x") + COUNTIF(E33:AI33, "X")), "")))</f>
        <v/>
      </c>
      <c r="AL33" s="124">
        <f>IF(ISBLANK(B33), "", IF(AJ33&gt;=0.85, "🔥 Mastered", IF(AJ33&gt;=0.7, "⚡ Consistent", "⚠️ Needs Focus")))</f>
        <v/>
      </c>
      <c r="AM33">
        <f>COUNTIF(E33:AI33, "✓")</f>
        <v/>
      </c>
    </row>
    <row r="34" ht="14.5" customHeight="1">
      <c r="A34" s="125" t="n">
        <v>17</v>
      </c>
      <c r="B34" s="126" t="n"/>
      <c r="C34" s="127" t="n"/>
      <c r="D34" s="127" t="n"/>
      <c r="E34" s="128" t="n"/>
      <c r="F34" s="128" t="n"/>
      <c r="G34" s="128" t="n"/>
      <c r="H34" s="128" t="n"/>
      <c r="I34" s="128" t="n"/>
      <c r="J34" s="128" t="n"/>
      <c r="K34" s="129" t="n"/>
      <c r="L34" s="128" t="n"/>
      <c r="M34" s="128" t="n"/>
      <c r="N34" s="128" t="n"/>
      <c r="O34" s="128" t="n"/>
      <c r="P34" s="128" t="n"/>
      <c r="Q34" s="128" t="n"/>
      <c r="R34" s="129" t="n"/>
      <c r="S34" s="128" t="n"/>
      <c r="T34" s="128" t="n"/>
      <c r="U34" s="128" t="n"/>
      <c r="V34" s="128" t="n"/>
      <c r="W34" s="128" t="n"/>
      <c r="X34" s="128" t="n"/>
      <c r="Y34" s="129" t="n"/>
      <c r="Z34" s="128" t="n"/>
      <c r="AA34" s="128" t="n"/>
      <c r="AB34" s="128" t="n"/>
      <c r="AC34" s="128" t="n"/>
      <c r="AD34" s="128" t="n"/>
      <c r="AE34" s="128" t="n"/>
      <c r="AF34" s="129" t="n"/>
      <c r="AG34" s="128" t="n"/>
      <c r="AH34" s="128" t="n"/>
      <c r="AI34" s="128" t="n"/>
      <c r="AJ34" s="130">
        <f>IF(ISBLANK(B34), "", IF(ISNUMBER(D34), IF(D34&gt;0, (COUNTIF(E34:AI34, "✓") + COUNTIF(E34:AI34, "✔") + COUNTIF(E34:AI34, "v") + COUNTIF(E34:AI34, "V"))/D34, 0), IF(((COUNTIF(E34:AI34, "✓") + COUNTIF(E34:AI34, "✔") + COUNTIF(E34:AI34, "v") + COUNTIF(E34:AI34, "V")) + COUNTIF(E34:AI34, "✗") + COUNTIF(E34:AI34, "x") + COUNTIF(E34:AI34, "X"))&gt;0, (COUNTIF(E34:AI34, "✓") + COUNTIF(E34:AI34, "✔") + COUNTIF(E34:AI34, "v") + COUNTIF(E34:AI34, "V"))/((COUNTIF(E34:AI34, "✓") + COUNTIF(E34:AI34, "✔") + COUNTIF(E34:AI34, "v") + COUNTIF(E34:AI34, "V")) + COUNTIF(E34:AI34, "✗") + COUNTIF(E34:AI34, "x") + COUNTIF(E34:AI34, "X")), "")))</f>
        <v/>
      </c>
      <c r="AK34" s="131">
        <f>IF(ISBLANK(B34), "", IF(ISNUMBER(D34), IF(D34&gt;0, (COUNTIF(E34:AI34, "✓") + COUNTIF(E34:AI34, "✔") + COUNTIF(E34:AI34, "v") + COUNTIF(E34:AI34, "V")) &amp; "/" &amp; D34, (COUNTIF(E34:AI34, "✓") + COUNTIF(E34:AI34, "✔") + COUNTIF(E34:AI34, "v") + COUNTIF(E34:AI34, "V")) &amp; "/0"), IF(((COUNTIF(E34:AI34, "✓") + COUNTIF(E34:AI34, "✔") + COUNTIF(E34:AI34, "v") + COUNTIF(E34:AI34, "V")) + COUNTIF(E34:AI34, "✗") + COUNTIF(E34:AI34, "x") + COUNTIF(E34:AI34, "X"))&gt;0, (COUNTIF(E34:AI34, "✓") + COUNTIF(E34:AI34, "✔") + COUNTIF(E34:AI34, "v") + COUNTIF(E34:AI34, "V")) &amp; "/" &amp; ((COUNTIF(E34:AI34, "✓") + COUNTIF(E34:AI34, "✔") + COUNTIF(E34:AI34, "v") + COUNTIF(E34:AI34, "V")) + COUNTIF(E34:AI34, "✗") + COUNTIF(E34:AI34, "x") + COUNTIF(E34:AI34, "X")), "")))</f>
        <v/>
      </c>
      <c r="AL34" s="131">
        <f>IF(ISBLANK(B34), "", IF(AJ34&gt;=0.85, "🔥 Mastered", IF(AJ34&gt;=0.7, "⚡ Consistent", "⚠️ Needs Focus")))</f>
        <v/>
      </c>
      <c r="AM34">
        <f>COUNTIF(E34:AI34, "✓")</f>
        <v/>
      </c>
    </row>
    <row r="35" ht="14.5" customHeight="1">
      <c r="A35" s="125" t="n">
        <v>18</v>
      </c>
      <c r="B35" s="126" t="n"/>
      <c r="C35" s="127" t="n"/>
      <c r="D35" s="127" t="n"/>
      <c r="E35" s="128" t="n"/>
      <c r="F35" s="128" t="n"/>
      <c r="G35" s="128" t="n"/>
      <c r="H35" s="128" t="n"/>
      <c r="I35" s="128" t="n"/>
      <c r="J35" s="128" t="n"/>
      <c r="K35" s="129" t="n"/>
      <c r="L35" s="128" t="n"/>
      <c r="M35" s="128" t="n"/>
      <c r="N35" s="128" t="n"/>
      <c r="O35" s="128" t="n"/>
      <c r="P35" s="128" t="n"/>
      <c r="Q35" s="128" t="n"/>
      <c r="R35" s="129" t="n"/>
      <c r="S35" s="128" t="n"/>
      <c r="T35" s="128" t="n"/>
      <c r="U35" s="128" t="n"/>
      <c r="V35" s="128" t="n"/>
      <c r="W35" s="128" t="n"/>
      <c r="X35" s="128" t="n"/>
      <c r="Y35" s="129" t="n"/>
      <c r="Z35" s="128" t="n"/>
      <c r="AA35" s="128" t="n"/>
      <c r="AB35" s="128" t="n"/>
      <c r="AC35" s="128" t="n"/>
      <c r="AD35" s="128" t="n"/>
      <c r="AE35" s="128" t="n"/>
      <c r="AF35" s="129" t="n"/>
      <c r="AG35" s="128" t="n"/>
      <c r="AH35" s="128" t="n"/>
      <c r="AI35" s="128" t="n"/>
      <c r="AJ35" s="130">
        <f>IF(ISBLANK(B35), "", IF(ISNUMBER(D35), IF(D35&gt;0, (COUNTIF(E35:AI35, "✓") + COUNTIF(E35:AI35, "✔") + COUNTIF(E35:AI35, "v") + COUNTIF(E35:AI35, "V"))/D35, 0), IF(((COUNTIF(E35:AI35, "✓") + COUNTIF(E35:AI35, "✔") + COUNTIF(E35:AI35, "v") + COUNTIF(E35:AI35, "V")) + COUNTIF(E35:AI35, "✗") + COUNTIF(E35:AI35, "x") + COUNTIF(E35:AI35, "X"))&gt;0, (COUNTIF(E35:AI35, "✓") + COUNTIF(E35:AI35, "✔") + COUNTIF(E35:AI35, "v") + COUNTIF(E35:AI35, "V"))/((COUNTIF(E35:AI35, "✓") + COUNTIF(E35:AI35, "✔") + COUNTIF(E35:AI35, "v") + COUNTIF(E35:AI35, "V")) + COUNTIF(E35:AI35, "✗") + COUNTIF(E35:AI35, "x") + COUNTIF(E35:AI35, "X")), "")))</f>
        <v/>
      </c>
      <c r="AK35" s="131">
        <f>IF(ISBLANK(B35), "", IF(ISNUMBER(D35), IF(D35&gt;0, (COUNTIF(E35:AI35, "✓") + COUNTIF(E35:AI35, "✔") + COUNTIF(E35:AI35, "v") + COUNTIF(E35:AI35, "V")) &amp; "/" &amp; D35, (COUNTIF(E35:AI35, "✓") + COUNTIF(E35:AI35, "✔") + COUNTIF(E35:AI35, "v") + COUNTIF(E35:AI35, "V")) &amp; "/0"), IF(((COUNTIF(E35:AI35, "✓") + COUNTIF(E35:AI35, "✔") + COUNTIF(E35:AI35, "v") + COUNTIF(E35:AI35, "V")) + COUNTIF(E35:AI35, "✗") + COUNTIF(E35:AI35, "x") + COUNTIF(E35:AI35, "X"))&gt;0, (COUNTIF(E35:AI35, "✓") + COUNTIF(E35:AI35, "✔") + COUNTIF(E35:AI35, "v") + COUNTIF(E35:AI35, "V")) &amp; "/" &amp; ((COUNTIF(E35:AI35, "✓") + COUNTIF(E35:AI35, "✔") + COUNTIF(E35:AI35, "v") + COUNTIF(E35:AI35, "V")) + COUNTIF(E35:AI35, "✗") + COUNTIF(E35:AI35, "x") + COUNTIF(E35:AI35, "X")), "")))</f>
        <v/>
      </c>
      <c r="AL35" s="131">
        <f>IF(ISBLANK(B35), "", IF(AJ35&gt;=0.85, "🔥 Mastered", IF(AJ35&gt;=0.7, "⚡ Consistent", "⚠️ Needs Focus")))</f>
        <v/>
      </c>
      <c r="AM35">
        <f>COUNTIF(E35:AI35, "✓")</f>
        <v/>
      </c>
    </row>
    <row r="36" ht="14.5" customHeight="1">
      <c r="A36" s="125" t="n">
        <v>19</v>
      </c>
      <c r="B36" s="126" t="n"/>
      <c r="C36" s="127" t="n"/>
      <c r="D36" s="127" t="n"/>
      <c r="E36" s="128" t="n"/>
      <c r="F36" s="128" t="n"/>
      <c r="G36" s="128" t="n"/>
      <c r="H36" s="128" t="n"/>
      <c r="I36" s="128" t="n"/>
      <c r="J36" s="128" t="n"/>
      <c r="K36" s="129" t="n"/>
      <c r="L36" s="128" t="n"/>
      <c r="M36" s="128" t="n"/>
      <c r="N36" s="128" t="n"/>
      <c r="O36" s="128" t="n"/>
      <c r="P36" s="128" t="n"/>
      <c r="Q36" s="128" t="n"/>
      <c r="R36" s="129" t="n"/>
      <c r="S36" s="128" t="n"/>
      <c r="T36" s="128" t="n"/>
      <c r="U36" s="128" t="n"/>
      <c r="V36" s="128" t="n"/>
      <c r="W36" s="128" t="n"/>
      <c r="X36" s="128" t="n"/>
      <c r="Y36" s="129" t="n"/>
      <c r="Z36" s="128" t="n"/>
      <c r="AA36" s="128" t="n"/>
      <c r="AB36" s="128" t="n"/>
      <c r="AC36" s="128" t="n"/>
      <c r="AD36" s="128" t="n"/>
      <c r="AE36" s="128" t="n"/>
      <c r="AF36" s="129" t="n"/>
      <c r="AG36" s="128" t="n"/>
      <c r="AH36" s="128" t="n"/>
      <c r="AI36" s="128" t="n"/>
      <c r="AJ36" s="130">
        <f>IF(ISBLANK(B36), "", IF(ISNUMBER(D36), IF(D36&gt;0, (COUNTIF(E36:AI36, "✓") + COUNTIF(E36:AI36, "✔") + COUNTIF(E36:AI36, "v") + COUNTIF(E36:AI36, "V"))/D36, 0), IF(((COUNTIF(E36:AI36, "✓") + COUNTIF(E36:AI36, "✔") + COUNTIF(E36:AI36, "v") + COUNTIF(E36:AI36, "V")) + COUNTIF(E36:AI36, "✗") + COUNTIF(E36:AI36, "x") + COUNTIF(E36:AI36, "X"))&gt;0, (COUNTIF(E36:AI36, "✓") + COUNTIF(E36:AI36, "✔") + COUNTIF(E36:AI36, "v") + COUNTIF(E36:AI36, "V"))/((COUNTIF(E36:AI36, "✓") + COUNTIF(E36:AI36, "✔") + COUNTIF(E36:AI36, "v") + COUNTIF(E36:AI36, "V")) + COUNTIF(E36:AI36, "✗") + COUNTIF(E36:AI36, "x") + COUNTIF(E36:AI36, "X")), "")))</f>
        <v/>
      </c>
      <c r="AK36" s="131">
        <f>IF(ISBLANK(B36), "", IF(ISNUMBER(D36), IF(D36&gt;0, (COUNTIF(E36:AI36, "✓") + COUNTIF(E36:AI36, "✔") + COUNTIF(E36:AI36, "v") + COUNTIF(E36:AI36, "V")) &amp; "/" &amp; D36, (COUNTIF(E36:AI36, "✓") + COUNTIF(E36:AI36, "✔") + COUNTIF(E36:AI36, "v") + COUNTIF(E36:AI36, "V")) &amp; "/0"), IF(((COUNTIF(E36:AI36, "✓") + COUNTIF(E36:AI36, "✔") + COUNTIF(E36:AI36, "v") + COUNTIF(E36:AI36, "V")) + COUNTIF(E36:AI36, "✗") + COUNTIF(E36:AI36, "x") + COUNTIF(E36:AI36, "X"))&gt;0, (COUNTIF(E36:AI36, "✓") + COUNTIF(E36:AI36, "✔") + COUNTIF(E36:AI36, "v") + COUNTIF(E36:AI36, "V")) &amp; "/" &amp; ((COUNTIF(E36:AI36, "✓") + COUNTIF(E36:AI36, "✔") + COUNTIF(E36:AI36, "v") + COUNTIF(E36:AI36, "V")) + COUNTIF(E36:AI36, "✗") + COUNTIF(E36:AI36, "x") + COUNTIF(E36:AI36, "X")), "")))</f>
        <v/>
      </c>
      <c r="AL36" s="131">
        <f>IF(ISBLANK(B36), "", IF(AJ36&gt;=0.85, "🔥 Mastered", IF(AJ36&gt;=0.7, "⚡ Consistent", "⚠️ Needs Focus")))</f>
        <v/>
      </c>
      <c r="AM36">
        <f>COUNTIF(E36:AI36, "✓")</f>
        <v/>
      </c>
    </row>
    <row r="37" ht="14.5" customHeight="1">
      <c r="A37" s="125" t="n">
        <v>20</v>
      </c>
      <c r="B37" s="126" t="n"/>
      <c r="C37" s="127" t="n"/>
      <c r="D37" s="127" t="n"/>
      <c r="E37" s="128" t="n"/>
      <c r="F37" s="128" t="n"/>
      <c r="G37" s="128" t="n"/>
      <c r="H37" s="128" t="n"/>
      <c r="I37" s="128" t="n"/>
      <c r="J37" s="128" t="n"/>
      <c r="K37" s="129" t="n"/>
      <c r="L37" s="128" t="n"/>
      <c r="M37" s="128" t="n"/>
      <c r="N37" s="128" t="n"/>
      <c r="O37" s="128" t="n"/>
      <c r="P37" s="128" t="n"/>
      <c r="Q37" s="128" t="n"/>
      <c r="R37" s="129" t="n"/>
      <c r="S37" s="128" t="n"/>
      <c r="T37" s="128" t="n"/>
      <c r="U37" s="128" t="n"/>
      <c r="V37" s="128" t="n"/>
      <c r="W37" s="128" t="n"/>
      <c r="X37" s="128" t="n"/>
      <c r="Y37" s="129" t="n"/>
      <c r="Z37" s="128" t="n"/>
      <c r="AA37" s="128" t="n"/>
      <c r="AB37" s="128" t="n"/>
      <c r="AC37" s="128" t="n"/>
      <c r="AD37" s="128" t="n"/>
      <c r="AE37" s="128" t="n"/>
      <c r="AF37" s="129" t="n"/>
      <c r="AG37" s="128" t="n"/>
      <c r="AH37" s="128" t="n"/>
      <c r="AI37" s="128" t="n"/>
      <c r="AJ37" s="130">
        <f>IF(ISBLANK(B37), "", IF(ISNUMBER(D37), IF(D37&gt;0, (COUNTIF(E37:AI37, "✓") + COUNTIF(E37:AI37, "✔") + COUNTIF(E37:AI37, "v") + COUNTIF(E37:AI37, "V"))/D37, 0), IF(((COUNTIF(E37:AI37, "✓") + COUNTIF(E37:AI37, "✔") + COUNTIF(E37:AI37, "v") + COUNTIF(E37:AI37, "V")) + COUNTIF(E37:AI37, "✗") + COUNTIF(E37:AI37, "x") + COUNTIF(E37:AI37, "X"))&gt;0, (COUNTIF(E37:AI37, "✓") + COUNTIF(E37:AI37, "✔") + COUNTIF(E37:AI37, "v") + COUNTIF(E37:AI37, "V"))/((COUNTIF(E37:AI37, "✓") + COUNTIF(E37:AI37, "✔") + COUNTIF(E37:AI37, "v") + COUNTIF(E37:AI37, "V")) + COUNTIF(E37:AI37, "✗") + COUNTIF(E37:AI37, "x") + COUNTIF(E37:AI37, "X")), "")))</f>
        <v/>
      </c>
      <c r="AK37" s="131">
        <f>IF(ISBLANK(B37), "", IF(ISNUMBER(D37), IF(D37&gt;0, (COUNTIF(E37:AI37, "✓") + COUNTIF(E37:AI37, "✔") + COUNTIF(E37:AI37, "v") + COUNTIF(E37:AI37, "V")) &amp; "/" &amp; D37, (COUNTIF(E37:AI37, "✓") + COUNTIF(E37:AI37, "✔") + COUNTIF(E37:AI37, "v") + COUNTIF(E37:AI37, "V")) &amp; "/0"), IF(((COUNTIF(E37:AI37, "✓") + COUNTIF(E37:AI37, "✔") + COUNTIF(E37:AI37, "v") + COUNTIF(E37:AI37, "V")) + COUNTIF(E37:AI37, "✗") + COUNTIF(E37:AI37, "x") + COUNTIF(E37:AI37, "X"))&gt;0, (COUNTIF(E37:AI37, "✓") + COUNTIF(E37:AI37, "✔") + COUNTIF(E37:AI37, "v") + COUNTIF(E37:AI37, "V")) &amp; "/" &amp; ((COUNTIF(E37:AI37, "✓") + COUNTIF(E37:AI37, "✔") + COUNTIF(E37:AI37, "v") + COUNTIF(E37:AI37, "V")) + COUNTIF(E37:AI37, "✗") + COUNTIF(E37:AI37, "x") + COUNTIF(E37:AI37, "X")), "")))</f>
        <v/>
      </c>
      <c r="AL37" s="131">
        <f>IF(ISBLANK(B37), "", IF(AJ37&gt;=0.85, "🔥 Mastered", IF(AJ37&gt;=0.7, "⚡ Consistent", "⚠️ Needs Focus")))</f>
        <v/>
      </c>
      <c r="AM37">
        <f>COUNTIF(E37:AI37, "✓")</f>
        <v/>
      </c>
    </row>
    <row r="38" ht="18" customHeight="1">
      <c r="A38" s="132" t="inlineStr">
        <is>
          <t>DAILY TOTAL SCORE</t>
        </is>
      </c>
      <c r="B38" s="54" t="n"/>
      <c r="C38" s="54" t="n"/>
      <c r="D38" s="54" t="n"/>
      <c r="E38" s="33">
        <f>IF(((COUNTIF(E18:E37, "✓") + COUNTIF(E18:E37, "✔") + COUNTIF(E18:E37, "v") + COUNTIF(E18:E37, "V")) + COUNTIF(E18:E37, "✗") + COUNTIF(E18:E37, "x") + COUNTIF(E18:E37, "X")) &gt; 0, (COUNTIF(E18:E37, "✓") + COUNTIF(E18:E37, "✔") + COUNTIF(E18:E37, "v") + COUNTIF(E18:E37, "V")) &amp; "/" &amp; ((COUNTIF(E18:E37, "✓") + COUNTIF(E18:E37, "✔") + COUNTIF(E18:E37, "v") + COUNTIF(E18:E37, "V")) + COUNTIF(E18:E37, "✗") + COUNTIF(E18:E37, "x") + COUNTIF(E18:E37, "X")), "")</f>
        <v/>
      </c>
      <c r="F38" s="33">
        <f>IF(((COUNTIF(F18:F37, "✓") + COUNTIF(F18:F37, "✔") + COUNTIF(F18:F37, "v") + COUNTIF(F18:F37, "V")) + COUNTIF(F18:F37, "✗") + COUNTIF(F18:F37, "x") + COUNTIF(F18:F37, "X")) &gt; 0, (COUNTIF(F18:F37, "✓") + COUNTIF(F18:F37, "✔") + COUNTIF(F18:F37, "v") + COUNTIF(F18:F37, "V")) &amp; "/" &amp; ((COUNTIF(F18:F37, "✓") + COUNTIF(F18:F37, "✔") + COUNTIF(F18:F37, "v") + COUNTIF(F18:F37, "V")) + COUNTIF(F18:F37, "✗") + COUNTIF(F18:F37, "x") + COUNTIF(F18:F37, "X")), "")</f>
        <v/>
      </c>
      <c r="G38" s="33">
        <f>IF(((COUNTIF(G18:G37, "✓") + COUNTIF(G18:G37, "✔") + COUNTIF(G18:G37, "v") + COUNTIF(G18:G37, "V")) + COUNTIF(G18:G37, "✗") + COUNTIF(G18:G37, "x") + COUNTIF(G18:G37, "X")) &gt; 0, (COUNTIF(G18:G37, "✓") + COUNTIF(G18:G37, "✔") + COUNTIF(G18:G37, "v") + COUNTIF(G18:G37, "V")) &amp; "/" &amp; ((COUNTIF(G18:G37, "✓") + COUNTIF(G18:G37, "✔") + COUNTIF(G18:G37, "v") + COUNTIF(G18:G37, "V")) + COUNTIF(G18:G37, "✗") + COUNTIF(G18:G37, "x") + COUNTIF(G18:G37, "X")), "")</f>
        <v/>
      </c>
      <c r="H38" s="33">
        <f>IF(((COUNTIF(H18:H37, "✓") + COUNTIF(H18:H37, "✔") + COUNTIF(H18:H37, "v") + COUNTIF(H18:H37, "V")) + COUNTIF(H18:H37, "✗") + COUNTIF(H18:H37, "x") + COUNTIF(H18:H37, "X")) &gt; 0, (COUNTIF(H18:H37, "✓") + COUNTIF(H18:H37, "✔") + COUNTIF(H18:H37, "v") + COUNTIF(H18:H37, "V")) &amp; "/" &amp; ((COUNTIF(H18:H37, "✓") + COUNTIF(H18:H37, "✔") + COUNTIF(H18:H37, "v") + COUNTIF(H18:H37, "V")) + COUNTIF(H18:H37, "✗") + COUNTIF(H18:H37, "x") + COUNTIF(H18:H37, "X")), "")</f>
        <v/>
      </c>
      <c r="I38" s="33">
        <f>IF(((COUNTIF(I18:I37, "✓") + COUNTIF(I18:I37, "✔") + COUNTIF(I18:I37, "v") + COUNTIF(I18:I37, "V")) + COUNTIF(I18:I37, "✗") + COUNTIF(I18:I37, "x") + COUNTIF(I18:I37, "X")) &gt; 0, (COUNTIF(I18:I37, "✓") + COUNTIF(I18:I37, "✔") + COUNTIF(I18:I37, "v") + COUNTIF(I18:I37, "V")) &amp; "/" &amp; ((COUNTIF(I18:I37, "✓") + COUNTIF(I18:I37, "✔") + COUNTIF(I18:I37, "v") + COUNTIF(I18:I37, "V")) + COUNTIF(I18:I37, "✗") + COUNTIF(I18:I37, "x") + COUNTIF(I18:I37, "X")), "")</f>
        <v/>
      </c>
      <c r="J38" s="33">
        <f>IF(((COUNTIF(J18:J37, "✓") + COUNTIF(J18:J37, "✔") + COUNTIF(J18:J37, "v") + COUNTIF(J18:J37, "V")) + COUNTIF(J18:J37, "✗") + COUNTIF(J18:J37, "x") + COUNTIF(J18:J37, "X")) &gt; 0, (COUNTIF(J18:J37, "✓") + COUNTIF(J18:J37, "✔") + COUNTIF(J18:J37, "v") + COUNTIF(J18:J37, "V")) &amp; "/" &amp; ((COUNTIF(J18:J37, "✓") + COUNTIF(J18:J37, "✔") + COUNTIF(J18:J37, "v") + COUNTIF(J18:J37, "V")) + COUNTIF(J18:J37, "✗") + COUNTIF(J18:J37, "x") + COUNTIF(J18:J37, "X")), "")</f>
        <v/>
      </c>
      <c r="K38" s="33">
        <f>IF(((COUNTIF(K18:K37, "✓") + COUNTIF(K18:K37, "✔") + COUNTIF(K18:K37, "v") + COUNTIF(K18:K37, "V")) + COUNTIF(K18:K37, "✗") + COUNTIF(K18:K37, "x") + COUNTIF(K18:K37, "X")) &gt; 0, (COUNTIF(K18:K37, "✓") + COUNTIF(K18:K37, "✔") + COUNTIF(K18:K37, "v") + COUNTIF(K18:K37, "V")) &amp; "/" &amp; ((COUNTIF(K18:K37, "✓") + COUNTIF(K18:K37, "✔") + COUNTIF(K18:K37, "v") + COUNTIF(K18:K37, "V")) + COUNTIF(K18:K37, "✗") + COUNTIF(K18:K37, "x") + COUNTIF(K18:K37, "X")), "")</f>
        <v/>
      </c>
      <c r="L38" s="33">
        <f>IF(((COUNTIF(L18:L37, "✓") + COUNTIF(L18:L37, "✔") + COUNTIF(L18:L37, "v") + COUNTIF(L18:L37, "V")) + COUNTIF(L18:L37, "✗") + COUNTIF(L18:L37, "x") + COUNTIF(L18:L37, "X")) &gt; 0, (COUNTIF(L18:L37, "✓") + COUNTIF(L18:L37, "✔") + COUNTIF(L18:L37, "v") + COUNTIF(L18:L37, "V")) &amp; "/" &amp; ((COUNTIF(L18:L37, "✓") + COUNTIF(L18:L37, "✔") + COUNTIF(L18:L37, "v") + COUNTIF(L18:L37, "V")) + COUNTIF(L18:L37, "✗") + COUNTIF(L18:L37, "x") + COUNTIF(L18:L37, "X")), "")</f>
        <v/>
      </c>
      <c r="M38" s="33">
        <f>IF(((COUNTIF(M18:M37, "✓") + COUNTIF(M18:M37, "✔") + COUNTIF(M18:M37, "v") + COUNTIF(M18:M37, "V")) + COUNTIF(M18:M37, "✗") + COUNTIF(M18:M37, "x") + COUNTIF(M18:M37, "X")) &gt; 0, (COUNTIF(M18:M37, "✓") + COUNTIF(M18:M37, "✔") + COUNTIF(M18:M37, "v") + COUNTIF(M18:M37, "V")) &amp; "/" &amp; ((COUNTIF(M18:M37, "✓") + COUNTIF(M18:M37, "✔") + COUNTIF(M18:M37, "v") + COUNTIF(M18:M37, "V")) + COUNTIF(M18:M37, "✗") + COUNTIF(M18:M37, "x") + COUNTIF(M18:M37, "X")), "")</f>
        <v/>
      </c>
      <c r="N38" s="33">
        <f>IF(((COUNTIF(N18:N37, "✓") + COUNTIF(N18:N37, "✔") + COUNTIF(N18:N37, "v") + COUNTIF(N18:N37, "V")) + COUNTIF(N18:N37, "✗") + COUNTIF(N18:N37, "x") + COUNTIF(N18:N37, "X")) &gt; 0, (COUNTIF(N18:N37, "✓") + COUNTIF(N18:N37, "✔") + COUNTIF(N18:N37, "v") + COUNTIF(N18:N37, "V")) &amp; "/" &amp; ((COUNTIF(N18:N37, "✓") + COUNTIF(N18:N37, "✔") + COUNTIF(N18:N37, "v") + COUNTIF(N18:N37, "V")) + COUNTIF(N18:N37, "✗") + COUNTIF(N18:N37, "x") + COUNTIF(N18:N37, "X")), "")</f>
        <v/>
      </c>
      <c r="O38" s="33">
        <f>IF(((COUNTIF(O18:O37, "✓") + COUNTIF(O18:O37, "✔") + COUNTIF(O18:O37, "v") + COUNTIF(O18:O37, "V")) + COUNTIF(O18:O37, "✗") + COUNTIF(O18:O37, "x") + COUNTIF(O18:O37, "X")) &gt; 0, (COUNTIF(O18:O37, "✓") + COUNTIF(O18:O37, "✔") + COUNTIF(O18:O37, "v") + COUNTIF(O18:O37, "V")) &amp; "/" &amp; ((COUNTIF(O18:O37, "✓") + COUNTIF(O18:O37, "✔") + COUNTIF(O18:O37, "v") + COUNTIF(O18:O37, "V")) + COUNTIF(O18:O37, "✗") + COUNTIF(O18:O37, "x") + COUNTIF(O18:O37, "X")), "")</f>
        <v/>
      </c>
      <c r="P38" s="33">
        <f>IF(((COUNTIF(P18:P37, "✓") + COUNTIF(P18:P37, "✔") + COUNTIF(P18:P37, "v") + COUNTIF(P18:P37, "V")) + COUNTIF(P18:P37, "✗") + COUNTIF(P18:P37, "x") + COUNTIF(P18:P37, "X")) &gt; 0, (COUNTIF(P18:P37, "✓") + COUNTIF(P18:P37, "✔") + COUNTIF(P18:P37, "v") + COUNTIF(P18:P37, "V")) &amp; "/" &amp; ((COUNTIF(P18:P37, "✓") + COUNTIF(P18:P37, "✔") + COUNTIF(P18:P37, "v") + COUNTIF(P18:P37, "V")) + COUNTIF(P18:P37, "✗") + COUNTIF(P18:P37, "x") + COUNTIF(P18:P37, "X")), "")</f>
        <v/>
      </c>
      <c r="Q38" s="33">
        <f>IF(((COUNTIF(Q18:Q37, "✓") + COUNTIF(Q18:Q37, "✔") + COUNTIF(Q18:Q37, "v") + COUNTIF(Q18:Q37, "V")) + COUNTIF(Q18:Q37, "✗") + COUNTIF(Q18:Q37, "x") + COUNTIF(Q18:Q37, "X")) &gt; 0, (COUNTIF(Q18:Q37, "✓") + COUNTIF(Q18:Q37, "✔") + COUNTIF(Q18:Q37, "v") + COUNTIF(Q18:Q37, "V")) &amp; "/" &amp; ((COUNTIF(Q18:Q37, "✓") + COUNTIF(Q18:Q37, "✔") + COUNTIF(Q18:Q37, "v") + COUNTIF(Q18:Q37, "V")) + COUNTIF(Q18:Q37, "✗") + COUNTIF(Q18:Q37, "x") + COUNTIF(Q18:Q37, "X")), "")</f>
        <v/>
      </c>
      <c r="R38" s="33">
        <f>IF(((COUNTIF(R18:R37, "✓") + COUNTIF(R18:R37, "✔") + COUNTIF(R18:R37, "v") + COUNTIF(R18:R37, "V")) + COUNTIF(R18:R37, "✗") + COUNTIF(R18:R37, "x") + COUNTIF(R18:R37, "X")) &gt; 0, (COUNTIF(R18:R37, "✓") + COUNTIF(R18:R37, "✔") + COUNTIF(R18:R37, "v") + COUNTIF(R18:R37, "V")) &amp; "/" &amp; ((COUNTIF(R18:R37, "✓") + COUNTIF(R18:R37, "✔") + COUNTIF(R18:R37, "v") + COUNTIF(R18:R37, "V")) + COUNTIF(R18:R37, "✗") + COUNTIF(R18:R37, "x") + COUNTIF(R18:R37, "X")), "")</f>
        <v/>
      </c>
      <c r="S38" s="33">
        <f>IF(((COUNTIF(S18:S37, "✓") + COUNTIF(S18:S37, "✔") + COUNTIF(S18:S37, "v") + COUNTIF(S18:S37, "V")) + COUNTIF(S18:S37, "✗") + COUNTIF(S18:S37, "x") + COUNTIF(S18:S37, "X")) &gt; 0, (COUNTIF(S18:S37, "✓") + COUNTIF(S18:S37, "✔") + COUNTIF(S18:S37, "v") + COUNTIF(S18:S37, "V")) &amp; "/" &amp; ((COUNTIF(S18:S37, "✓") + COUNTIF(S18:S37, "✔") + COUNTIF(S18:S37, "v") + COUNTIF(S18:S37, "V")) + COUNTIF(S18:S37, "✗") + COUNTIF(S18:S37, "x") + COUNTIF(S18:S37, "X")), "")</f>
        <v/>
      </c>
      <c r="T38" s="33">
        <f>IF(((COUNTIF(T18:T37, "✓") + COUNTIF(T18:T37, "✔") + COUNTIF(T18:T37, "v") + COUNTIF(T18:T37, "V")) + COUNTIF(T18:T37, "✗") + COUNTIF(T18:T37, "x") + COUNTIF(T18:T37, "X")) &gt; 0, (COUNTIF(T18:T37, "✓") + COUNTIF(T18:T37, "✔") + COUNTIF(T18:T37, "v") + COUNTIF(T18:T37, "V")) &amp; "/" &amp; ((COUNTIF(T18:T37, "✓") + COUNTIF(T18:T37, "✔") + COUNTIF(T18:T37, "v") + COUNTIF(T18:T37, "V")) + COUNTIF(T18:T37, "✗") + COUNTIF(T18:T37, "x") + COUNTIF(T18:T37, "X")), "")</f>
        <v/>
      </c>
      <c r="U38" s="33">
        <f>IF(((COUNTIF(U18:U37, "✓") + COUNTIF(U18:U37, "✔") + COUNTIF(U18:U37, "v") + COUNTIF(U18:U37, "V")) + COUNTIF(U18:U37, "✗") + COUNTIF(U18:U37, "x") + COUNTIF(U18:U37, "X")) &gt; 0, (COUNTIF(U18:U37, "✓") + COUNTIF(U18:U37, "✔") + COUNTIF(U18:U37, "v") + COUNTIF(U18:U37, "V")) &amp; "/" &amp; ((COUNTIF(U18:U37, "✓") + COUNTIF(U18:U37, "✔") + COUNTIF(U18:U37, "v") + COUNTIF(U18:U37, "V")) + COUNTIF(U18:U37, "✗") + COUNTIF(U18:U37, "x") + COUNTIF(U18:U37, "X")), "")</f>
        <v/>
      </c>
      <c r="V38" s="33">
        <f>IF(((COUNTIF(V18:V37, "✓") + COUNTIF(V18:V37, "✔") + COUNTIF(V18:V37, "v") + COUNTIF(V18:V37, "V")) + COUNTIF(V18:V37, "✗") + COUNTIF(V18:V37, "x") + COUNTIF(V18:V37, "X")) &gt; 0, (COUNTIF(V18:V37, "✓") + COUNTIF(V18:V37, "✔") + COUNTIF(V18:V37, "v") + COUNTIF(V18:V37, "V")) &amp; "/" &amp; ((COUNTIF(V18:V37, "✓") + COUNTIF(V18:V37, "✔") + COUNTIF(V18:V37, "v") + COUNTIF(V18:V37, "V")) + COUNTIF(V18:V37, "✗") + COUNTIF(V18:V37, "x") + COUNTIF(V18:V37, "X")), "")</f>
        <v/>
      </c>
      <c r="W38" s="33">
        <f>IF(((COUNTIF(W18:W37, "✓") + COUNTIF(W18:W37, "✔") + COUNTIF(W18:W37, "v") + COUNTIF(W18:W37, "V")) + COUNTIF(W18:W37, "✗") + COUNTIF(W18:W37, "x") + COUNTIF(W18:W37, "X")) &gt; 0, (COUNTIF(W18:W37, "✓") + COUNTIF(W18:W37, "✔") + COUNTIF(W18:W37, "v") + COUNTIF(W18:W37, "V")) &amp; "/" &amp; ((COUNTIF(W18:W37, "✓") + COUNTIF(W18:W37, "✔") + COUNTIF(W18:W37, "v") + COUNTIF(W18:W37, "V")) + COUNTIF(W18:W37, "✗") + COUNTIF(W18:W37, "x") + COUNTIF(W18:W37, "X")), "")</f>
        <v/>
      </c>
      <c r="X38" s="33">
        <f>IF(((COUNTIF(X18:X37, "✓") + COUNTIF(X18:X37, "✔") + COUNTIF(X18:X37, "v") + COUNTIF(X18:X37, "V")) + COUNTIF(X18:X37, "✗") + COUNTIF(X18:X37, "x") + COUNTIF(X18:X37, "X")) &gt; 0, (COUNTIF(X18:X37, "✓") + COUNTIF(X18:X37, "✔") + COUNTIF(X18:X37, "v") + COUNTIF(X18:X37, "V")) &amp; "/" &amp; ((COUNTIF(X18:X37, "✓") + COUNTIF(X18:X37, "✔") + COUNTIF(X18:X37, "v") + COUNTIF(X18:X37, "V")) + COUNTIF(X18:X37, "✗") + COUNTIF(X18:X37, "x") + COUNTIF(X18:X37, "X")), "")</f>
        <v/>
      </c>
      <c r="Y38" s="33">
        <f>IF(((COUNTIF(Y18:Y37, "✓") + COUNTIF(Y18:Y37, "✔") + COUNTIF(Y18:Y37, "v") + COUNTIF(Y18:Y37, "V")) + COUNTIF(Y18:Y37, "✗") + COUNTIF(Y18:Y37, "x") + COUNTIF(Y18:Y37, "X")) &gt; 0, (COUNTIF(Y18:Y37, "✓") + COUNTIF(Y18:Y37, "✔") + COUNTIF(Y18:Y37, "v") + COUNTIF(Y18:Y37, "V")) &amp; "/" &amp; ((COUNTIF(Y18:Y37, "✓") + COUNTIF(Y18:Y37, "✔") + COUNTIF(Y18:Y37, "v") + COUNTIF(Y18:Y37, "V")) + COUNTIF(Y18:Y37, "✗") + COUNTIF(Y18:Y37, "x") + COUNTIF(Y18:Y37, "X")), "")</f>
        <v/>
      </c>
      <c r="Z38" s="33">
        <f>IF(((COUNTIF(Z18:Z37, "✓") + COUNTIF(Z18:Z37, "✔") + COUNTIF(Z18:Z37, "v") + COUNTIF(Z18:Z37, "V")) + COUNTIF(Z18:Z37, "✗") + COUNTIF(Z18:Z37, "x") + COUNTIF(Z18:Z37, "X")) &gt; 0, (COUNTIF(Z18:Z37, "✓") + COUNTIF(Z18:Z37, "✔") + COUNTIF(Z18:Z37, "v") + COUNTIF(Z18:Z37, "V")) &amp; "/" &amp; ((COUNTIF(Z18:Z37, "✓") + COUNTIF(Z18:Z37, "✔") + COUNTIF(Z18:Z37, "v") + COUNTIF(Z18:Z37, "V")) + COUNTIF(Z18:Z37, "✗") + COUNTIF(Z18:Z37, "x") + COUNTIF(Z18:Z37, "X")), "")</f>
        <v/>
      </c>
      <c r="AA38" s="33">
        <f>IF(((COUNTIF(AA18:AA37, "✓") + COUNTIF(AA18:AA37, "✔") + COUNTIF(AA18:AA37, "v") + COUNTIF(AA18:AA37, "V")) + COUNTIF(AA18:AA37, "✗") + COUNTIF(AA18:AA37, "x") + COUNTIF(AA18:AA37, "X")) &gt; 0, (COUNTIF(AA18:AA37, "✓") + COUNTIF(AA18:AA37, "✔") + COUNTIF(AA18:AA37, "v") + COUNTIF(AA18:AA37, "V")) &amp; "/" &amp; ((COUNTIF(AA18:AA37, "✓") + COUNTIF(AA18:AA37, "✔") + COUNTIF(AA18:AA37, "v") + COUNTIF(AA18:AA37, "V")) + COUNTIF(AA18:AA37, "✗") + COUNTIF(AA18:AA37, "x") + COUNTIF(AA18:AA37, "X")), "")</f>
        <v/>
      </c>
      <c r="AB38" s="33">
        <f>IF(((COUNTIF(AB18:AB37, "✓") + COUNTIF(AB18:AB37, "✔") + COUNTIF(AB18:AB37, "v") + COUNTIF(AB18:AB37, "V")) + COUNTIF(AB18:AB37, "✗") + COUNTIF(AB18:AB37, "x") + COUNTIF(AB18:AB37, "X")) &gt; 0, (COUNTIF(AB18:AB37, "✓") + COUNTIF(AB18:AB37, "✔") + COUNTIF(AB18:AB37, "v") + COUNTIF(AB18:AB37, "V")) &amp; "/" &amp; ((COUNTIF(AB18:AB37, "✓") + COUNTIF(AB18:AB37, "✔") + COUNTIF(AB18:AB37, "v") + COUNTIF(AB18:AB37, "V")) + COUNTIF(AB18:AB37, "✗") + COUNTIF(AB18:AB37, "x") + COUNTIF(AB18:AB37, "X")), "")</f>
        <v/>
      </c>
      <c r="AC38" s="33">
        <f>IF(((COUNTIF(AC18:AC37, "✓") + COUNTIF(AC18:AC37, "✔") + COUNTIF(AC18:AC37, "v") + COUNTIF(AC18:AC37, "V")) + COUNTIF(AC18:AC37, "✗") + COUNTIF(AC18:AC37, "x") + COUNTIF(AC18:AC37, "X")) &gt; 0, (COUNTIF(AC18:AC37, "✓") + COUNTIF(AC18:AC37, "✔") + COUNTIF(AC18:AC37, "v") + COUNTIF(AC18:AC37, "V")) &amp; "/" &amp; ((COUNTIF(AC18:AC37, "✓") + COUNTIF(AC18:AC37, "✔") + COUNTIF(AC18:AC37, "v") + COUNTIF(AC18:AC37, "V")) + COUNTIF(AC18:AC37, "✗") + COUNTIF(AC18:AC37, "x") + COUNTIF(AC18:AC37, "X")), "")</f>
        <v/>
      </c>
      <c r="AD38" s="33">
        <f>IF(((COUNTIF(AD18:AD37, "✓") + COUNTIF(AD18:AD37, "✔") + COUNTIF(AD18:AD37, "v") + COUNTIF(AD18:AD37, "V")) + COUNTIF(AD18:AD37, "✗") + COUNTIF(AD18:AD37, "x") + COUNTIF(AD18:AD37, "X")) &gt; 0, (COUNTIF(AD18:AD37, "✓") + COUNTIF(AD18:AD37, "✔") + COUNTIF(AD18:AD37, "v") + COUNTIF(AD18:AD37, "V")) &amp; "/" &amp; ((COUNTIF(AD18:AD37, "✓") + COUNTIF(AD18:AD37, "✔") + COUNTIF(AD18:AD37, "v") + COUNTIF(AD18:AD37, "V")) + COUNTIF(AD18:AD37, "✗") + COUNTIF(AD18:AD37, "x") + COUNTIF(AD18:AD37, "X")), "")</f>
        <v/>
      </c>
      <c r="AE38" s="33">
        <f>IF(((COUNTIF(AE18:AE37, "✓") + COUNTIF(AE18:AE37, "✔") + COUNTIF(AE18:AE37, "v") + COUNTIF(AE18:AE37, "V")) + COUNTIF(AE18:AE37, "✗") + COUNTIF(AE18:AE37, "x") + COUNTIF(AE18:AE37, "X")) &gt; 0, (COUNTIF(AE18:AE37, "✓") + COUNTIF(AE18:AE37, "✔") + COUNTIF(AE18:AE37, "v") + COUNTIF(AE18:AE37, "V")) &amp; "/" &amp; ((COUNTIF(AE18:AE37, "✓") + COUNTIF(AE18:AE37, "✔") + COUNTIF(AE18:AE37, "v") + COUNTIF(AE18:AE37, "V")) + COUNTIF(AE18:AE37, "✗") + COUNTIF(AE18:AE37, "x") + COUNTIF(AE18:AE37, "X")), "")</f>
        <v/>
      </c>
      <c r="AF38" s="33">
        <f>IF(((COUNTIF(AF18:AF37, "✓") + COUNTIF(AF18:AF37, "✔") + COUNTIF(AF18:AF37, "v") + COUNTIF(AF18:AF37, "V")) + COUNTIF(AF18:AF37, "✗") + COUNTIF(AF18:AF37, "x") + COUNTIF(AF18:AF37, "X")) &gt; 0, (COUNTIF(AF18:AF37, "✓") + COUNTIF(AF18:AF37, "✔") + COUNTIF(AF18:AF37, "v") + COUNTIF(AF18:AF37, "V")) &amp; "/" &amp; ((COUNTIF(AF18:AF37, "✓") + COUNTIF(AF18:AF37, "✔") + COUNTIF(AF18:AF37, "v") + COUNTIF(AF18:AF37, "V")) + COUNTIF(AF18:AF37, "✗") + COUNTIF(AF18:AF37, "x") + COUNTIF(AF18:AF37, "X")), "")</f>
        <v/>
      </c>
      <c r="AG38" s="33">
        <f>IF(((COUNTIF(AG18:AG37, "✓") + COUNTIF(AG18:AG37, "✔") + COUNTIF(AG18:AG37, "v") + COUNTIF(AG18:AG37, "V")) + COUNTIF(AG18:AG37, "✗") + COUNTIF(AG18:AG37, "x") + COUNTIF(AG18:AG37, "X")) &gt; 0, (COUNTIF(AG18:AG37, "✓") + COUNTIF(AG18:AG37, "✔") + COUNTIF(AG18:AG37, "v") + COUNTIF(AG18:AG37, "V")) &amp; "/" &amp; ((COUNTIF(AG18:AG37, "✓") + COUNTIF(AG18:AG37, "✔") + COUNTIF(AG18:AG37, "v") + COUNTIF(AG18:AG37, "V")) + COUNTIF(AG18:AG37, "✗") + COUNTIF(AG18:AG37, "x") + COUNTIF(AG18:AG37, "X")), "")</f>
        <v/>
      </c>
      <c r="AH38" s="33">
        <f>IF(((COUNTIF(AH18:AH37, "✓") + COUNTIF(AH18:AH37, "✔") + COUNTIF(AH18:AH37, "v") + COUNTIF(AH18:AH37, "V")) + COUNTIF(AH18:AH37, "✗") + COUNTIF(AH18:AH37, "x") + COUNTIF(AH18:AH37, "X")) &gt; 0, (COUNTIF(AH18:AH37, "✓") + COUNTIF(AH18:AH37, "✔") + COUNTIF(AH18:AH37, "v") + COUNTIF(AH18:AH37, "V")) &amp; "/" &amp; ((COUNTIF(AH18:AH37, "✓") + COUNTIF(AH18:AH37, "✔") + COUNTIF(AH18:AH37, "v") + COUNTIF(AH18:AH37, "V")) + COUNTIF(AH18:AH37, "✗") + COUNTIF(AH18:AH37, "x") + COUNTIF(AH18:AH37, "X")), "")</f>
        <v/>
      </c>
      <c r="AI38" s="33">
        <f>IF(((COUNTIF(AI18:AI37, "✓") + COUNTIF(AI18:AI37, "✔") + COUNTIF(AI18:AI37, "v") + COUNTIF(AI18:AI37, "V")) + COUNTIF(AI18:AI37, "✗") + COUNTIF(AI18:AI37, "x") + COUNTIF(AI18:AI37, "X")) &gt; 0, (COUNTIF(AI18:AI37, "✓") + COUNTIF(AI18:AI37, "✔") + COUNTIF(AI18:AI37, "v") + COUNTIF(AI18:AI37, "V")) &amp; "/" &amp; ((COUNTIF(AI18:AI37, "✓") + COUNTIF(AI18:AI37, "✔") + COUNTIF(AI18:AI37, "v") + COUNTIF(AI18:AI37, "V")) + COUNTIF(AI18:AI37, "✗") + COUNTIF(AI18:AI37, "x") + COUNTIF(AI18:AI37, "X")), "")</f>
        <v/>
      </c>
      <c r="AJ38" s="133">
        <f>IF(SUM(D18:D37) &gt; 0, SUM(AM18:AM37) / SUM(D18:D37), "")</f>
        <v/>
      </c>
      <c r="AK38" s="33">
        <f>IF(SUM(D18:D37) &gt; 0, SUM(AM18:AM37) &amp; "/" &amp; SUM(D18:D37), "")</f>
        <v/>
      </c>
      <c r="AL38" s="54" t="n"/>
    </row>
    <row r="39" ht="18" customHeight="1">
      <c r="A39" s="132" t="inlineStr">
        <is>
          <t>DAILY SUCCESS %</t>
        </is>
      </c>
      <c r="B39" s="54" t="n"/>
      <c r="C39" s="54" t="n"/>
      <c r="D39" s="54" t="n"/>
      <c r="E39" s="134">
        <f>IF(((COUNTIF(E18:E37, "✓") + COUNTIF(E18:E37, "✔") + COUNTIF(E18:E37, "v") + COUNTIF(E18:E37, "V")) + COUNTIF(E18:E37, "✗") + COUNTIF(E18:E37, "x") + COUNTIF(E18:E37, "X")) &gt; 0, (COUNTIF(E18:E37, "✓") + COUNTIF(E18:E37, "✔") + COUNTIF(E18:E37, "v") + COUNTIF(E18:E37, "V")) / ((COUNTIF(E18:E37, "✓") + COUNTIF(E18:E37, "✔") + COUNTIF(E18:E37, "v") + COUNTIF(E18:E37, "V")) + COUNTIF(E18:E37, "✗") + COUNTIF(E18:E37, "x") + COUNTIF(E18:E37, "X")), "")</f>
        <v/>
      </c>
      <c r="F39" s="134">
        <f>IF(((COUNTIF(F18:F37, "✓") + COUNTIF(F18:F37, "✔") + COUNTIF(F18:F37, "v") + COUNTIF(F18:F37, "V")) + COUNTIF(F18:F37, "✗") + COUNTIF(F18:F37, "x") + COUNTIF(F18:F37, "X")) &gt; 0, (COUNTIF(F18:F37, "✓") + COUNTIF(F18:F37, "✔") + COUNTIF(F18:F37, "v") + COUNTIF(F18:F37, "V")) / ((COUNTIF(F18:F37, "✓") + COUNTIF(F18:F37, "✔") + COUNTIF(F18:F37, "v") + COUNTIF(F18:F37, "V")) + COUNTIF(F18:F37, "✗") + COUNTIF(F18:F37, "x") + COUNTIF(F18:F37, "X")), "")</f>
        <v/>
      </c>
      <c r="G39" s="134">
        <f>IF(((COUNTIF(G18:G37, "✓") + COUNTIF(G18:G37, "✔") + COUNTIF(G18:G37, "v") + COUNTIF(G18:G37, "V")) + COUNTIF(G18:G37, "✗") + COUNTIF(G18:G37, "x") + COUNTIF(G18:G37, "X")) &gt; 0, (COUNTIF(G18:G37, "✓") + COUNTIF(G18:G37, "✔") + COUNTIF(G18:G37, "v") + COUNTIF(G18:G37, "V")) / ((COUNTIF(G18:G37, "✓") + COUNTIF(G18:G37, "✔") + COUNTIF(G18:G37, "v") + COUNTIF(G18:G37, "V")) + COUNTIF(G18:G37, "✗") + COUNTIF(G18:G37, "x") + COUNTIF(G18:G37, "X")), "")</f>
        <v/>
      </c>
      <c r="H39" s="134">
        <f>IF(((COUNTIF(H18:H37, "✓") + COUNTIF(H18:H37, "✔") + COUNTIF(H18:H37, "v") + COUNTIF(H18:H37, "V")) + COUNTIF(H18:H37, "✗") + COUNTIF(H18:H37, "x") + COUNTIF(H18:H37, "X")) &gt; 0, (COUNTIF(H18:H37, "✓") + COUNTIF(H18:H37, "✔") + COUNTIF(H18:H37, "v") + COUNTIF(H18:H37, "V")) / ((COUNTIF(H18:H37, "✓") + COUNTIF(H18:H37, "✔") + COUNTIF(H18:H37, "v") + COUNTIF(H18:H37, "V")) + COUNTIF(H18:H37, "✗") + COUNTIF(H18:H37, "x") + COUNTIF(H18:H37, "X")), "")</f>
        <v/>
      </c>
      <c r="I39" s="134">
        <f>IF(((COUNTIF(I18:I37, "✓") + COUNTIF(I18:I37, "✔") + COUNTIF(I18:I37, "v") + COUNTIF(I18:I37, "V")) + COUNTIF(I18:I37, "✗") + COUNTIF(I18:I37, "x") + COUNTIF(I18:I37, "X")) &gt; 0, (COUNTIF(I18:I37, "✓") + COUNTIF(I18:I37, "✔") + COUNTIF(I18:I37, "v") + COUNTIF(I18:I37, "V")) / ((COUNTIF(I18:I37, "✓") + COUNTIF(I18:I37, "✔") + COUNTIF(I18:I37, "v") + COUNTIF(I18:I37, "V")) + COUNTIF(I18:I37, "✗") + COUNTIF(I18:I37, "x") + COUNTIF(I18:I37, "X")), "")</f>
        <v/>
      </c>
      <c r="J39" s="134">
        <f>IF(((COUNTIF(J18:J37, "✓") + COUNTIF(J18:J37, "✔") + COUNTIF(J18:J37, "v") + COUNTIF(J18:J37, "V")) + COUNTIF(J18:J37, "✗") + COUNTIF(J18:J37, "x") + COUNTIF(J18:J37, "X")) &gt; 0, (COUNTIF(J18:J37, "✓") + COUNTIF(J18:J37, "✔") + COUNTIF(J18:J37, "v") + COUNTIF(J18:J37, "V")) / ((COUNTIF(J18:J37, "✓") + COUNTIF(J18:J37, "✔") + COUNTIF(J18:J37, "v") + COUNTIF(J18:J37, "V")) + COUNTIF(J18:J37, "✗") + COUNTIF(J18:J37, "x") + COUNTIF(J18:J37, "X")), "")</f>
        <v/>
      </c>
      <c r="K39" s="134">
        <f>IF(((COUNTIF(K18:K37, "✓") + COUNTIF(K18:K37, "✔") + COUNTIF(K18:K37, "v") + COUNTIF(K18:K37, "V")) + COUNTIF(K18:K37, "✗") + COUNTIF(K18:K37, "x") + COUNTIF(K18:K37, "X")) &gt; 0, (COUNTIF(K18:K37, "✓") + COUNTIF(K18:K37, "✔") + COUNTIF(K18:K37, "v") + COUNTIF(K18:K37, "V")) / ((COUNTIF(K18:K37, "✓") + COUNTIF(K18:K37, "✔") + COUNTIF(K18:K37, "v") + COUNTIF(K18:K37, "V")) + COUNTIF(K18:K37, "✗") + COUNTIF(K18:K37, "x") + COUNTIF(K18:K37, "X")), "")</f>
        <v/>
      </c>
      <c r="L39" s="134">
        <f>IF(((COUNTIF(L18:L37, "✓") + COUNTIF(L18:L37, "✔") + COUNTIF(L18:L37, "v") + COUNTIF(L18:L37, "V")) + COUNTIF(L18:L37, "✗") + COUNTIF(L18:L37, "x") + COUNTIF(L18:L37, "X")) &gt; 0, (COUNTIF(L18:L37, "✓") + COUNTIF(L18:L37, "✔") + COUNTIF(L18:L37, "v") + COUNTIF(L18:L37, "V")) / ((COUNTIF(L18:L37, "✓") + COUNTIF(L18:L37, "✔") + COUNTIF(L18:L37, "v") + COUNTIF(L18:L37, "V")) + COUNTIF(L18:L37, "✗") + COUNTIF(L18:L37, "x") + COUNTIF(L18:L37, "X")), "")</f>
        <v/>
      </c>
      <c r="M39" s="134">
        <f>IF(((COUNTIF(M18:M37, "✓") + COUNTIF(M18:M37, "✔") + COUNTIF(M18:M37, "v") + COUNTIF(M18:M37, "V")) + COUNTIF(M18:M37, "✗") + COUNTIF(M18:M37, "x") + COUNTIF(M18:M37, "X")) &gt; 0, (COUNTIF(M18:M37, "✓") + COUNTIF(M18:M37, "✔") + COUNTIF(M18:M37, "v") + COUNTIF(M18:M37, "V")) / ((COUNTIF(M18:M37, "✓") + COUNTIF(M18:M37, "✔") + COUNTIF(M18:M37, "v") + COUNTIF(M18:M37, "V")) + COUNTIF(M18:M37, "✗") + COUNTIF(M18:M37, "x") + COUNTIF(M18:M37, "X")), "")</f>
        <v/>
      </c>
      <c r="N39" s="134">
        <f>IF(((COUNTIF(N18:N37, "✓") + COUNTIF(N18:N37, "✔") + COUNTIF(N18:N37, "v") + COUNTIF(N18:N37, "V")) + COUNTIF(N18:N37, "✗") + COUNTIF(N18:N37, "x") + COUNTIF(N18:N37, "X")) &gt; 0, (COUNTIF(N18:N37, "✓") + COUNTIF(N18:N37, "✔") + COUNTIF(N18:N37, "v") + COUNTIF(N18:N37, "V")) / ((COUNTIF(N18:N37, "✓") + COUNTIF(N18:N37, "✔") + COUNTIF(N18:N37, "v") + COUNTIF(N18:N37, "V")) + COUNTIF(N18:N37, "✗") + COUNTIF(N18:N37, "x") + COUNTIF(N18:N37, "X")), "")</f>
        <v/>
      </c>
      <c r="O39" s="134">
        <f>IF(((COUNTIF(O18:O37, "✓") + COUNTIF(O18:O37, "✔") + COUNTIF(O18:O37, "v") + COUNTIF(O18:O37, "V")) + COUNTIF(O18:O37, "✗") + COUNTIF(O18:O37, "x") + COUNTIF(O18:O37, "X")) &gt; 0, (COUNTIF(O18:O37, "✓") + COUNTIF(O18:O37, "✔") + COUNTIF(O18:O37, "v") + COUNTIF(O18:O37, "V")) / ((COUNTIF(O18:O37, "✓") + COUNTIF(O18:O37, "✔") + COUNTIF(O18:O37, "v") + COUNTIF(O18:O37, "V")) + COUNTIF(O18:O37, "✗") + COUNTIF(O18:O37, "x") + COUNTIF(O18:O37, "X")), "")</f>
        <v/>
      </c>
      <c r="P39" s="134">
        <f>IF(((COUNTIF(P18:P37, "✓") + COUNTIF(P18:P37, "✔") + COUNTIF(P18:P37, "v") + COUNTIF(P18:P37, "V")) + COUNTIF(P18:P37, "✗") + COUNTIF(P18:P37, "x") + COUNTIF(P18:P37, "X")) &gt; 0, (COUNTIF(P18:P37, "✓") + COUNTIF(P18:P37, "✔") + COUNTIF(P18:P37, "v") + COUNTIF(P18:P37, "V")) / ((COUNTIF(P18:P37, "✓") + COUNTIF(P18:P37, "✔") + COUNTIF(P18:P37, "v") + COUNTIF(P18:P37, "V")) + COUNTIF(P18:P37, "✗") + COUNTIF(P18:P37, "x") + COUNTIF(P18:P37, "X")), "")</f>
        <v/>
      </c>
      <c r="Q39" s="134">
        <f>IF(((COUNTIF(Q18:Q37, "✓") + COUNTIF(Q18:Q37, "✔") + COUNTIF(Q18:Q37, "v") + COUNTIF(Q18:Q37, "V")) + COUNTIF(Q18:Q37, "✗") + COUNTIF(Q18:Q37, "x") + COUNTIF(Q18:Q37, "X")) &gt; 0, (COUNTIF(Q18:Q37, "✓") + COUNTIF(Q18:Q37, "✔") + COUNTIF(Q18:Q37, "v") + COUNTIF(Q18:Q37, "V")) / ((COUNTIF(Q18:Q37, "✓") + COUNTIF(Q18:Q37, "✔") + COUNTIF(Q18:Q37, "v") + COUNTIF(Q18:Q37, "V")) + COUNTIF(Q18:Q37, "✗") + COUNTIF(Q18:Q37, "x") + COUNTIF(Q18:Q37, "X")), "")</f>
        <v/>
      </c>
      <c r="R39" s="134">
        <f>IF(((COUNTIF(R18:R37, "✓") + COUNTIF(R18:R37, "✔") + COUNTIF(R18:R37, "v") + COUNTIF(R18:R37, "V")) + COUNTIF(R18:R37, "✗") + COUNTIF(R18:R37, "x") + COUNTIF(R18:R37, "X")) &gt; 0, (COUNTIF(R18:R37, "✓") + COUNTIF(R18:R37, "✔") + COUNTIF(R18:R37, "v") + COUNTIF(R18:R37, "V")) / ((COUNTIF(R18:R37, "✓") + COUNTIF(R18:R37, "✔") + COUNTIF(R18:R37, "v") + COUNTIF(R18:R37, "V")) + COUNTIF(R18:R37, "✗") + COUNTIF(R18:R37, "x") + COUNTIF(R18:R37, "X")), "")</f>
        <v/>
      </c>
      <c r="S39" s="134">
        <f>IF(((COUNTIF(S18:S37, "✓") + COUNTIF(S18:S37, "✔") + COUNTIF(S18:S37, "v") + COUNTIF(S18:S37, "V")) + COUNTIF(S18:S37, "✗") + COUNTIF(S18:S37, "x") + COUNTIF(S18:S37, "X")) &gt; 0, (COUNTIF(S18:S37, "✓") + COUNTIF(S18:S37, "✔") + COUNTIF(S18:S37, "v") + COUNTIF(S18:S37, "V")) / ((COUNTIF(S18:S37, "✓") + COUNTIF(S18:S37, "✔") + COUNTIF(S18:S37, "v") + COUNTIF(S18:S37, "V")) + COUNTIF(S18:S37, "✗") + COUNTIF(S18:S37, "x") + COUNTIF(S18:S37, "X")), "")</f>
        <v/>
      </c>
      <c r="T39" s="134">
        <f>IF(((COUNTIF(T18:T37, "✓") + COUNTIF(T18:T37, "✔") + COUNTIF(T18:T37, "v") + COUNTIF(T18:T37, "V")) + COUNTIF(T18:T37, "✗") + COUNTIF(T18:T37, "x") + COUNTIF(T18:T37, "X")) &gt; 0, (COUNTIF(T18:T37, "✓") + COUNTIF(T18:T37, "✔") + COUNTIF(T18:T37, "v") + COUNTIF(T18:T37, "V")) / ((COUNTIF(T18:T37, "✓") + COUNTIF(T18:T37, "✔") + COUNTIF(T18:T37, "v") + COUNTIF(T18:T37, "V")) + COUNTIF(T18:T37, "✗") + COUNTIF(T18:T37, "x") + COUNTIF(T18:T37, "X")), "")</f>
        <v/>
      </c>
      <c r="U39" s="134">
        <f>IF(((COUNTIF(U18:U37, "✓") + COUNTIF(U18:U37, "✔") + COUNTIF(U18:U37, "v") + COUNTIF(U18:U37, "V")) + COUNTIF(U18:U37, "✗") + COUNTIF(U18:U37, "x") + COUNTIF(U18:U37, "X")) &gt; 0, (COUNTIF(U18:U37, "✓") + COUNTIF(U18:U37, "✔") + COUNTIF(U18:U37, "v") + COUNTIF(U18:U37, "V")) / ((COUNTIF(U18:U37, "✓") + COUNTIF(U18:U37, "✔") + COUNTIF(U18:U37, "v") + COUNTIF(U18:U37, "V")) + COUNTIF(U18:U37, "✗") + COUNTIF(U18:U37, "x") + COUNTIF(U18:U37, "X")), "")</f>
        <v/>
      </c>
      <c r="V39" s="134">
        <f>IF(((COUNTIF(V18:V37, "✓") + COUNTIF(V18:V37, "✔") + COUNTIF(V18:V37, "v") + COUNTIF(V18:V37, "V")) + COUNTIF(V18:V37, "✗") + COUNTIF(V18:V37, "x") + COUNTIF(V18:V37, "X")) &gt; 0, (COUNTIF(V18:V37, "✓") + COUNTIF(V18:V37, "✔") + COUNTIF(V18:V37, "v") + COUNTIF(V18:V37, "V")) / ((COUNTIF(V18:V37, "✓") + COUNTIF(V18:V37, "✔") + COUNTIF(V18:V37, "v") + COUNTIF(V18:V37, "V")) + COUNTIF(V18:V37, "✗") + COUNTIF(V18:V37, "x") + COUNTIF(V18:V37, "X")), "")</f>
        <v/>
      </c>
      <c r="W39" s="134">
        <f>IF(((COUNTIF(W18:W37, "✓") + COUNTIF(W18:W37, "✔") + COUNTIF(W18:W37, "v") + COUNTIF(W18:W37, "V")) + COUNTIF(W18:W37, "✗") + COUNTIF(W18:W37, "x") + COUNTIF(W18:W37, "X")) &gt; 0, (COUNTIF(W18:W37, "✓") + COUNTIF(W18:W37, "✔") + COUNTIF(W18:W37, "v") + COUNTIF(W18:W37, "V")) / ((COUNTIF(W18:W37, "✓") + COUNTIF(W18:W37, "✔") + COUNTIF(W18:W37, "v") + COUNTIF(W18:W37, "V")) + COUNTIF(W18:W37, "✗") + COUNTIF(W18:W37, "x") + COUNTIF(W18:W37, "X")), "")</f>
        <v/>
      </c>
      <c r="X39" s="134">
        <f>IF(((COUNTIF(X18:X37, "✓") + COUNTIF(X18:X37, "✔") + COUNTIF(X18:X37, "v") + COUNTIF(X18:X37, "V")) + COUNTIF(X18:X37, "✗") + COUNTIF(X18:X37, "x") + COUNTIF(X18:X37, "X")) &gt; 0, (COUNTIF(X18:X37, "✓") + COUNTIF(X18:X37, "✔") + COUNTIF(X18:X37, "v") + COUNTIF(X18:X37, "V")) / ((COUNTIF(X18:X37, "✓") + COUNTIF(X18:X37, "✔") + COUNTIF(X18:X37, "v") + COUNTIF(X18:X37, "V")) + COUNTIF(X18:X37, "✗") + COUNTIF(X18:X37, "x") + COUNTIF(X18:X37, "X")), "")</f>
        <v/>
      </c>
      <c r="Y39" s="134">
        <f>IF(((COUNTIF(Y18:Y37, "✓") + COUNTIF(Y18:Y37, "✔") + COUNTIF(Y18:Y37, "v") + COUNTIF(Y18:Y37, "V")) + COUNTIF(Y18:Y37, "✗") + COUNTIF(Y18:Y37, "x") + COUNTIF(Y18:Y37, "X")) &gt; 0, (COUNTIF(Y18:Y37, "✓") + COUNTIF(Y18:Y37, "✔") + COUNTIF(Y18:Y37, "v") + COUNTIF(Y18:Y37, "V")) / ((COUNTIF(Y18:Y37, "✓") + COUNTIF(Y18:Y37, "✔") + COUNTIF(Y18:Y37, "v") + COUNTIF(Y18:Y37, "V")) + COUNTIF(Y18:Y37, "✗") + COUNTIF(Y18:Y37, "x") + COUNTIF(Y18:Y37, "X")), "")</f>
        <v/>
      </c>
      <c r="Z39" s="134">
        <f>IF(((COUNTIF(Z18:Z37, "✓") + COUNTIF(Z18:Z37, "✔") + COUNTIF(Z18:Z37, "v") + COUNTIF(Z18:Z37, "V")) + COUNTIF(Z18:Z37, "✗") + COUNTIF(Z18:Z37, "x") + COUNTIF(Z18:Z37, "X")) &gt; 0, (COUNTIF(Z18:Z37, "✓") + COUNTIF(Z18:Z37, "✔") + COUNTIF(Z18:Z37, "v") + COUNTIF(Z18:Z37, "V")) / ((COUNTIF(Z18:Z37, "✓") + COUNTIF(Z18:Z37, "✔") + COUNTIF(Z18:Z37, "v") + COUNTIF(Z18:Z37, "V")) + COUNTIF(Z18:Z37, "✗") + COUNTIF(Z18:Z37, "x") + COUNTIF(Z18:Z37, "X")), "")</f>
        <v/>
      </c>
      <c r="AA39" s="134">
        <f>IF(((COUNTIF(AA18:AA37, "✓") + COUNTIF(AA18:AA37, "✔") + COUNTIF(AA18:AA37, "v") + COUNTIF(AA18:AA37, "V")) + COUNTIF(AA18:AA37, "✗") + COUNTIF(AA18:AA37, "x") + COUNTIF(AA18:AA37, "X")) &gt; 0, (COUNTIF(AA18:AA37, "✓") + COUNTIF(AA18:AA37, "✔") + COUNTIF(AA18:AA37, "v") + COUNTIF(AA18:AA37, "V")) / ((COUNTIF(AA18:AA37, "✓") + COUNTIF(AA18:AA37, "✔") + COUNTIF(AA18:AA37, "v") + COUNTIF(AA18:AA37, "V")) + COUNTIF(AA18:AA37, "✗") + COUNTIF(AA18:AA37, "x") + COUNTIF(AA18:AA37, "X")), "")</f>
        <v/>
      </c>
      <c r="AB39" s="134">
        <f>IF(((COUNTIF(AB18:AB37, "✓") + COUNTIF(AB18:AB37, "✔") + COUNTIF(AB18:AB37, "v") + COUNTIF(AB18:AB37, "V")) + COUNTIF(AB18:AB37, "✗") + COUNTIF(AB18:AB37, "x") + COUNTIF(AB18:AB37, "X")) &gt; 0, (COUNTIF(AB18:AB37, "✓") + COUNTIF(AB18:AB37, "✔") + COUNTIF(AB18:AB37, "v") + COUNTIF(AB18:AB37, "V")) / ((COUNTIF(AB18:AB37, "✓") + COUNTIF(AB18:AB37, "✔") + COUNTIF(AB18:AB37, "v") + COUNTIF(AB18:AB37, "V")) + COUNTIF(AB18:AB37, "✗") + COUNTIF(AB18:AB37, "x") + COUNTIF(AB18:AB37, "X")), "")</f>
        <v/>
      </c>
      <c r="AC39" s="134">
        <f>IF(((COUNTIF(AC18:AC37, "✓") + COUNTIF(AC18:AC37, "✔") + COUNTIF(AC18:AC37, "v") + COUNTIF(AC18:AC37, "V")) + COUNTIF(AC18:AC37, "✗") + COUNTIF(AC18:AC37, "x") + COUNTIF(AC18:AC37, "X")) &gt; 0, (COUNTIF(AC18:AC37, "✓") + COUNTIF(AC18:AC37, "✔") + COUNTIF(AC18:AC37, "v") + COUNTIF(AC18:AC37, "V")) / ((COUNTIF(AC18:AC37, "✓") + COUNTIF(AC18:AC37, "✔") + COUNTIF(AC18:AC37, "v") + COUNTIF(AC18:AC37, "V")) + COUNTIF(AC18:AC37, "✗") + COUNTIF(AC18:AC37, "x") + COUNTIF(AC18:AC37, "X")), "")</f>
        <v/>
      </c>
      <c r="AD39" s="134">
        <f>IF(((COUNTIF(AD18:AD37, "✓") + COUNTIF(AD18:AD37, "✔") + COUNTIF(AD18:AD37, "v") + COUNTIF(AD18:AD37, "V")) + COUNTIF(AD18:AD37, "✗") + COUNTIF(AD18:AD37, "x") + COUNTIF(AD18:AD37, "X")) &gt; 0, (COUNTIF(AD18:AD37, "✓") + COUNTIF(AD18:AD37, "✔") + COUNTIF(AD18:AD37, "v") + COUNTIF(AD18:AD37, "V")) / ((COUNTIF(AD18:AD37, "✓") + COUNTIF(AD18:AD37, "✔") + COUNTIF(AD18:AD37, "v") + COUNTIF(AD18:AD37, "V")) + COUNTIF(AD18:AD37, "✗") + COUNTIF(AD18:AD37, "x") + COUNTIF(AD18:AD37, "X")), "")</f>
        <v/>
      </c>
      <c r="AE39" s="134">
        <f>IF(((COUNTIF(AE18:AE37, "✓") + COUNTIF(AE18:AE37, "✔") + COUNTIF(AE18:AE37, "v") + COUNTIF(AE18:AE37, "V")) + COUNTIF(AE18:AE37, "✗") + COUNTIF(AE18:AE37, "x") + COUNTIF(AE18:AE37, "X")) &gt; 0, (COUNTIF(AE18:AE37, "✓") + COUNTIF(AE18:AE37, "✔") + COUNTIF(AE18:AE37, "v") + COUNTIF(AE18:AE37, "V")) / ((COUNTIF(AE18:AE37, "✓") + COUNTIF(AE18:AE37, "✔") + COUNTIF(AE18:AE37, "v") + COUNTIF(AE18:AE37, "V")) + COUNTIF(AE18:AE37, "✗") + COUNTIF(AE18:AE37, "x") + COUNTIF(AE18:AE37, "X")), "")</f>
        <v/>
      </c>
      <c r="AF39" s="134">
        <f>IF(((COUNTIF(AF18:AF37, "✓") + COUNTIF(AF18:AF37, "✔") + COUNTIF(AF18:AF37, "v") + COUNTIF(AF18:AF37, "V")) + COUNTIF(AF18:AF37, "✗") + COUNTIF(AF18:AF37, "x") + COUNTIF(AF18:AF37, "X")) &gt; 0, (COUNTIF(AF18:AF37, "✓") + COUNTIF(AF18:AF37, "✔") + COUNTIF(AF18:AF37, "v") + COUNTIF(AF18:AF37, "V")) / ((COUNTIF(AF18:AF37, "✓") + COUNTIF(AF18:AF37, "✔") + COUNTIF(AF18:AF37, "v") + COUNTIF(AF18:AF37, "V")) + COUNTIF(AF18:AF37, "✗") + COUNTIF(AF18:AF37, "x") + COUNTIF(AF18:AF37, "X")), "")</f>
        <v/>
      </c>
      <c r="AG39" s="134">
        <f>IF(((COUNTIF(AG18:AG37, "✓") + COUNTIF(AG18:AG37, "✔") + COUNTIF(AG18:AG37, "v") + COUNTIF(AG18:AG37, "V")) + COUNTIF(AG18:AG37, "✗") + COUNTIF(AG18:AG37, "x") + COUNTIF(AG18:AG37, "X")) &gt; 0, (COUNTIF(AG18:AG37, "✓") + COUNTIF(AG18:AG37, "✔") + COUNTIF(AG18:AG37, "v") + COUNTIF(AG18:AG37, "V")) / ((COUNTIF(AG18:AG37, "✓") + COUNTIF(AG18:AG37, "✔") + COUNTIF(AG18:AG37, "v") + COUNTIF(AG18:AG37, "V")) + COUNTIF(AG18:AG37, "✗") + COUNTIF(AG18:AG37, "x") + COUNTIF(AG18:AG37, "X")), "")</f>
        <v/>
      </c>
      <c r="AH39" s="134">
        <f>IF(((COUNTIF(AH18:AH37, "✓") + COUNTIF(AH18:AH37, "✔") + COUNTIF(AH18:AH37, "v") + COUNTIF(AH18:AH37, "V")) + COUNTIF(AH18:AH37, "✗") + COUNTIF(AH18:AH37, "x") + COUNTIF(AH18:AH37, "X")) &gt; 0, (COUNTIF(AH18:AH37, "✓") + COUNTIF(AH18:AH37, "✔") + COUNTIF(AH18:AH37, "v") + COUNTIF(AH18:AH37, "V")) / ((COUNTIF(AH18:AH37, "✓") + COUNTIF(AH18:AH37, "✔") + COUNTIF(AH18:AH37, "v") + COUNTIF(AH18:AH37, "V")) + COUNTIF(AH18:AH37, "✗") + COUNTIF(AH18:AH37, "x") + COUNTIF(AH18:AH37, "X")), "")</f>
        <v/>
      </c>
      <c r="AI39" s="134">
        <f>IF(((COUNTIF(AI18:AI37, "✓") + COUNTIF(AI18:AI37, "✔") + COUNTIF(AI18:AI37, "v") + COUNTIF(AI18:AI37, "V")) + COUNTIF(AI18:AI37, "✗") + COUNTIF(AI18:AI37, "x") + COUNTIF(AI18:AI37, "X")) &gt; 0, (COUNTIF(AI18:AI37, "✓") + COUNTIF(AI18:AI37, "✔") + COUNTIF(AI18:AI37, "v") + COUNTIF(AI18:AI37, "V")) / ((COUNTIF(AI18:AI37, "✓") + COUNTIF(AI18:AI37, "✔") + COUNTIF(AI18:AI37, "v") + COUNTIF(AI18:AI37, "V")) + COUNTIF(AI18:AI37, "✗") + COUNTIF(AI18:AI37, "x") + COUNTIF(AI18:AI37, "X")), "")</f>
        <v/>
      </c>
      <c r="AJ39" s="133">
        <f>IF(COUNT(E39:AI39) &gt; 0, AVERAGE(E39:AI39), "")</f>
        <v/>
      </c>
      <c r="AK39" s="54" t="n"/>
      <c r="AL39" s="54" t="n"/>
    </row>
    <row r="40" ht="6" customHeight="1"/>
    <row r="41" ht="15" customHeight="1">
      <c r="A41" s="135" t="inlineStr">
        <is>
          <t>IF SUCCESS &lt; 80%, PUNISHMENT: ________________________________________________</t>
        </is>
      </c>
    </row>
    <row r="42" ht="15" customHeight="1">
      <c r="A42" s="136" t="inlineStr">
        <is>
          <t>IF SUCCESS &gt; 90%, REWARD: __________________________________________________</t>
        </is>
      </c>
    </row>
    <row r="43" ht="10" customHeight="1"/>
    <row r="44" ht="10" customHeight="1"/>
    <row r="45" ht="15" customHeight="1">
      <c r="A45" s="51" t="inlineStr">
        <is>
          <t>Sleep Tracking</t>
        </is>
      </c>
      <c r="B45" s="52" t="n"/>
      <c r="C45" s="52" t="n"/>
      <c r="D45" s="52" t="n"/>
      <c r="E45" s="137" t="n">
        <v>1</v>
      </c>
      <c r="F45" s="137" t="n">
        <v>2</v>
      </c>
      <c r="G45" s="137" t="n">
        <v>3</v>
      </c>
      <c r="H45" s="137" t="n">
        <v>4</v>
      </c>
      <c r="I45" s="137" t="n">
        <v>5</v>
      </c>
      <c r="J45" s="137" t="n">
        <v>6</v>
      </c>
      <c r="K45" s="138" t="n">
        <v>7</v>
      </c>
      <c r="L45" s="137" t="n">
        <v>8</v>
      </c>
      <c r="M45" s="137" t="n">
        <v>9</v>
      </c>
      <c r="N45" s="137" t="n">
        <v>10</v>
      </c>
      <c r="O45" s="137" t="n">
        <v>11</v>
      </c>
      <c r="P45" s="137" t="n">
        <v>12</v>
      </c>
      <c r="Q45" s="137" t="n">
        <v>13</v>
      </c>
      <c r="R45" s="138" t="n">
        <v>14</v>
      </c>
      <c r="S45" s="137" t="n">
        <v>15</v>
      </c>
      <c r="T45" s="137" t="n">
        <v>16</v>
      </c>
      <c r="U45" s="137" t="n">
        <v>17</v>
      </c>
      <c r="V45" s="137" t="n">
        <v>18</v>
      </c>
      <c r="W45" s="137" t="n">
        <v>19</v>
      </c>
      <c r="X45" s="137" t="n">
        <v>20</v>
      </c>
      <c r="Y45" s="138" t="n">
        <v>21</v>
      </c>
      <c r="Z45" s="137" t="n">
        <v>22</v>
      </c>
      <c r="AA45" s="137" t="n">
        <v>23</v>
      </c>
      <c r="AB45" s="137" t="n">
        <v>24</v>
      </c>
      <c r="AC45" s="137" t="n">
        <v>25</v>
      </c>
      <c r="AD45" s="137" t="n">
        <v>26</v>
      </c>
      <c r="AE45" s="137" t="n">
        <v>27</v>
      </c>
      <c r="AF45" s="138" t="n">
        <v>28</v>
      </c>
      <c r="AG45" s="137" t="n">
        <v>29</v>
      </c>
      <c r="AH45" s="137" t="n">
        <v>30</v>
      </c>
      <c r="AI45" s="137" t="n">
        <v>31</v>
      </c>
    </row>
    <row r="46" ht="15" customHeight="1">
      <c r="A46" s="52" t="n"/>
      <c r="B46" s="52" t="n"/>
      <c r="C46" s="52" t="n"/>
      <c r="D46" s="52" t="n"/>
      <c r="E46" s="139" t="inlineStr">
        <is>
          <t>M</t>
        </is>
      </c>
      <c r="F46" s="139" t="inlineStr">
        <is>
          <t>T</t>
        </is>
      </c>
      <c r="G46" s="139" t="inlineStr">
        <is>
          <t>W</t>
        </is>
      </c>
      <c r="H46" s="139" t="inlineStr">
        <is>
          <t>Th</t>
        </is>
      </c>
      <c r="I46" s="139" t="inlineStr">
        <is>
          <t>F</t>
        </is>
      </c>
      <c r="J46" s="139" t="inlineStr">
        <is>
          <t>Sa</t>
        </is>
      </c>
      <c r="K46" s="140" t="inlineStr">
        <is>
          <t>Su</t>
        </is>
      </c>
      <c r="L46" s="139" t="inlineStr">
        <is>
          <t>M</t>
        </is>
      </c>
      <c r="M46" s="139" t="inlineStr">
        <is>
          <t>T</t>
        </is>
      </c>
      <c r="N46" s="139" t="inlineStr">
        <is>
          <t>W</t>
        </is>
      </c>
      <c r="O46" s="139" t="inlineStr">
        <is>
          <t>Th</t>
        </is>
      </c>
      <c r="P46" s="139" t="inlineStr">
        <is>
          <t>F</t>
        </is>
      </c>
      <c r="Q46" s="139" t="inlineStr">
        <is>
          <t>Sa</t>
        </is>
      </c>
      <c r="R46" s="140" t="inlineStr">
        <is>
          <t>Su</t>
        </is>
      </c>
      <c r="S46" s="139" t="inlineStr">
        <is>
          <t>M</t>
        </is>
      </c>
      <c r="T46" s="139" t="inlineStr">
        <is>
          <t>T</t>
        </is>
      </c>
      <c r="U46" s="139" t="inlineStr">
        <is>
          <t>W</t>
        </is>
      </c>
      <c r="V46" s="139" t="inlineStr">
        <is>
          <t>Th</t>
        </is>
      </c>
      <c r="W46" s="139" t="inlineStr">
        <is>
          <t>F</t>
        </is>
      </c>
      <c r="X46" s="139" t="inlineStr">
        <is>
          <t>Sa</t>
        </is>
      </c>
      <c r="Y46" s="140" t="inlineStr">
        <is>
          <t>Su</t>
        </is>
      </c>
      <c r="Z46" s="139" t="inlineStr">
        <is>
          <t>M</t>
        </is>
      </c>
      <c r="AA46" s="139" t="inlineStr">
        <is>
          <t>T</t>
        </is>
      </c>
      <c r="AB46" s="139" t="inlineStr">
        <is>
          <t>W</t>
        </is>
      </c>
      <c r="AC46" s="139" t="inlineStr">
        <is>
          <t>Th</t>
        </is>
      </c>
      <c r="AD46" s="139" t="inlineStr">
        <is>
          <t>F</t>
        </is>
      </c>
      <c r="AE46" s="139" t="inlineStr">
        <is>
          <t>Sa</t>
        </is>
      </c>
      <c r="AF46" s="140" t="inlineStr">
        <is>
          <t>Su</t>
        </is>
      </c>
      <c r="AG46" s="139" t="inlineStr">
        <is>
          <t>M</t>
        </is>
      </c>
      <c r="AH46" s="139" t="inlineStr">
        <is>
          <t>T</t>
        </is>
      </c>
      <c r="AI46" s="139" t="inlineStr">
        <is>
          <t>W</t>
        </is>
      </c>
    </row>
    <row r="47" ht="20" customHeight="1">
      <c r="A47" s="141" t="inlineStr">
        <is>
          <t>Sleep Hours (1-24)</t>
        </is>
      </c>
      <c r="B47" s="142" t="n"/>
      <c r="C47" s="142" t="n"/>
      <c r="D47" s="142" t="n"/>
      <c r="E47" s="143" t="n"/>
      <c r="F47" s="143" t="n"/>
      <c r="G47" s="143" t="n"/>
      <c r="H47" s="143" t="n"/>
      <c r="I47" s="143" t="n"/>
      <c r="J47" s="143" t="n"/>
      <c r="K47" s="144" t="n"/>
      <c r="L47" s="143" t="n"/>
      <c r="M47" s="143" t="n"/>
      <c r="N47" s="143" t="n"/>
      <c r="O47" s="143" t="n"/>
      <c r="P47" s="143" t="n"/>
      <c r="Q47" s="143" t="n"/>
      <c r="R47" s="144" t="n"/>
      <c r="S47" s="143" t="n"/>
      <c r="T47" s="143" t="n"/>
      <c r="U47" s="143" t="n"/>
      <c r="V47" s="143" t="n"/>
      <c r="W47" s="143" t="n"/>
      <c r="X47" s="143" t="n"/>
      <c r="Y47" s="144" t="n"/>
      <c r="Z47" s="143" t="n"/>
      <c r="AA47" s="143" t="n"/>
      <c r="AB47" s="143" t="n"/>
      <c r="AC47" s="143" t="n"/>
      <c r="AD47" s="143" t="n"/>
      <c r="AE47" s="143" t="n"/>
      <c r="AF47" s="144" t="n"/>
      <c r="AG47" s="143" t="n"/>
      <c r="AH47" s="143" t="n"/>
      <c r="AI47" s="143" t="n"/>
    </row>
    <row r="48" ht="6" customHeight="1"/>
    <row r="49" ht="14" customHeight="1"/>
    <row r="50" ht="14" customHeight="1"/>
    <row r="51" ht="14" customHeight="1"/>
    <row r="52" ht="14" customHeight="1"/>
    <row r="53" ht="14" customHeight="1"/>
    <row r="54" ht="14" customHeight="1"/>
    <row r="55" ht="14" customHeight="1"/>
    <row r="56" ht="14" customHeight="1"/>
    <row r="57" ht="14" customHeight="1"/>
    <row r="58" ht="14" customHeight="1"/>
    <row r="59" ht="14" customHeight="1"/>
    <row r="60" ht="14" customHeight="1"/>
    <row r="61" ht="14" customHeight="1"/>
    <row r="62" ht="14" customHeight="1"/>
    <row r="63" ht="14" customHeight="1"/>
    <row r="64" ht="14" customHeight="1"/>
    <row r="65" ht="14" customHeight="1"/>
    <row r="66" ht="8" customHeight="1"/>
    <row r="67">
      <c r="A67" s="145" t="inlineStr">
        <is>
          <t>MONTHLY SUCCESS RATE</t>
        </is>
      </c>
      <c r="B67" s="9" t="n"/>
      <c r="C67" s="9" t="n"/>
      <c r="D67" s="9" t="n"/>
      <c r="F67" s="146" t="inlineStr">
        <is>
          <t>ACTIVE PROTOCOLS</t>
        </is>
      </c>
      <c r="G67" s="11" t="n"/>
      <c r="H67" s="11" t="n"/>
      <c r="I67" s="11" t="n"/>
      <c r="K67" s="147" t="inlineStr">
        <is>
          <t>PERFECT DAYS (100%)</t>
        </is>
      </c>
      <c r="L67" s="13" t="n"/>
      <c r="M67" s="13" t="n"/>
      <c r="N67" s="13" t="n"/>
      <c r="P67" s="148" t="inlineStr">
        <is>
          <t>AVG SLEEP DURATION</t>
        </is>
      </c>
      <c r="Q67" s="15" t="n"/>
      <c r="R67" s="15" t="n"/>
      <c r="S67" s="15" t="n"/>
    </row>
    <row r="68">
      <c r="A68" s="149">
        <f>IF(SUM(D18:D37)&gt;0, SUM(AM18:AM37)/SUM(D18:D37), 0)</f>
        <v/>
      </c>
      <c r="B68" s="9" t="n"/>
      <c r="C68" s="9" t="n"/>
      <c r="D68" s="9" t="n"/>
      <c r="F68" s="150">
        <f>COUNTA(B18:B37) &amp; " / 20"</f>
        <v/>
      </c>
      <c r="G68" s="11" t="n"/>
      <c r="H68" s="11" t="n"/>
      <c r="I68" s="11" t="n"/>
      <c r="K68" s="151">
        <f>COUNTIF(E39:AI39, 1) &amp; " Days"</f>
        <v/>
      </c>
      <c r="L68" s="13" t="n"/>
      <c r="M68" s="13" t="n"/>
      <c r="N68" s="13" t="n"/>
      <c r="P68" s="152">
        <f>IFERROR(TEXT(AVERAGE(E47:AI47), "0.0") &amp; " hrs", "-")</f>
        <v/>
      </c>
      <c r="Q68" s="15" t="n"/>
      <c r="R68" s="15" t="n"/>
      <c r="S68" s="15" t="n"/>
    </row>
    <row r="69">
      <c r="A69" s="9" t="n"/>
      <c r="B69" s="9" t="n"/>
      <c r="C69" s="9" t="n"/>
      <c r="D69" s="9" t="n"/>
      <c r="F69" s="11" t="n"/>
      <c r="G69" s="11" t="n"/>
      <c r="H69" s="11" t="n"/>
      <c r="I69" s="11" t="n"/>
      <c r="K69" s="13" t="n"/>
      <c r="L69" s="13" t="n"/>
      <c r="M69" s="13" t="n"/>
      <c r="N69" s="13" t="n"/>
      <c r="P69" s="15" t="n"/>
      <c r="Q69" s="15" t="n"/>
      <c r="R69" s="15" t="n"/>
      <c r="S69" s="15" t="n"/>
    </row>
    <row r="70">
      <c r="A70" s="9" t="n"/>
      <c r="B70" s="9" t="n"/>
      <c r="C70" s="9" t="n"/>
      <c r="D70" s="9" t="n"/>
      <c r="F70" s="11" t="n"/>
      <c r="G70" s="11" t="n"/>
      <c r="H70" s="11" t="n"/>
      <c r="I70" s="11" t="n"/>
      <c r="K70" s="13" t="n"/>
      <c r="L70" s="13" t="n"/>
      <c r="M70" s="13" t="n"/>
      <c r="N70" s="13" t="n"/>
      <c r="P70" s="15" t="n"/>
      <c r="Q70" s="15" t="n"/>
      <c r="R70" s="15" t="n"/>
      <c r="S70" s="15" t="n"/>
    </row>
    <row r="71">
      <c r="A71" s="153" t="inlineStr">
        <is>
          <t>Target Completion</t>
        </is>
      </c>
      <c r="B71" s="9" t="n"/>
      <c r="C71" s="9" t="n"/>
      <c r="D71" s="9" t="n"/>
      <c r="F71" s="154" t="inlineStr">
        <is>
          <t>Habits Tracked</t>
        </is>
      </c>
      <c r="G71" s="11" t="n"/>
      <c r="H71" s="11" t="n"/>
      <c r="I71" s="11" t="n"/>
      <c r="K71" s="155" t="inlineStr">
        <is>
          <t>All Marked Habits Completed</t>
        </is>
      </c>
      <c r="L71" s="13" t="n"/>
      <c r="M71" s="13" t="n"/>
      <c r="N71" s="13" t="n"/>
      <c r="P71" s="156" t="inlineStr">
        <is>
          <t>Nightly Rest Average</t>
        </is>
      </c>
      <c r="Q71" s="15" t="n"/>
      <c r="R71" s="15" t="n"/>
      <c r="S71" s="15" t="n"/>
    </row>
    <row r="72" ht="8" customHeight="1"/>
    <row r="73" ht="6" customHeight="1"/>
    <row r="74">
      <c r="A74" s="67" t="inlineStr">
        <is>
          <t>WEEKLY PERFORMANCE (SLUMP DETECTOR)</t>
        </is>
      </c>
      <c r="B74" s="29" t="n"/>
      <c r="C74" s="29" t="n"/>
      <c r="D74" s="29" t="n"/>
      <c r="E74" s="29" t="n"/>
      <c r="N74" s="157" t="inlineStr">
        <is>
          <t>LIFE DOMAIN / CATEGORY BREAKDOWN</t>
        </is>
      </c>
      <c r="O74" s="158" t="n"/>
      <c r="P74" s="158" t="n"/>
      <c r="Q74" s="158" t="n"/>
      <c r="R74" s="158" t="n"/>
      <c r="S74" s="158" t="n"/>
    </row>
    <row r="75" ht="15" customHeight="1">
      <c r="A75" s="53" t="inlineStr">
        <is>
          <t>Week</t>
        </is>
      </c>
      <c r="B75" s="53" t="inlineStr">
        <is>
          <t>Days Range</t>
        </is>
      </c>
      <c r="C75" s="53" t="inlineStr">
        <is>
          <t>Checks Done</t>
        </is>
      </c>
      <c r="D75" s="53" t="inlineStr">
        <is>
          <t>Evaluated</t>
        </is>
      </c>
      <c r="E75" s="53" t="inlineStr">
        <is>
          <t>Success %</t>
        </is>
      </c>
      <c r="N75" s="53" t="inlineStr">
        <is>
          <t>Domain / Category</t>
        </is>
      </c>
      <c r="O75" s="54" t="n"/>
      <c r="P75" s="53" t="inlineStr">
        <is>
          <t>Active Habits</t>
        </is>
      </c>
      <c r="Q75" s="53" t="inlineStr">
        <is>
          <t>Target Days</t>
        </is>
      </c>
      <c r="R75" s="53" t="inlineStr">
        <is>
          <t>Done Checks</t>
        </is>
      </c>
      <c r="S75" s="53" t="inlineStr">
        <is>
          <t>Success %</t>
        </is>
      </c>
    </row>
    <row r="76" ht="14" customHeight="1">
      <c r="A76" s="33" t="inlineStr">
        <is>
          <t>Week 1</t>
        </is>
      </c>
      <c r="B76" s="34" t="inlineStr">
        <is>
          <t>Days 1 - 7</t>
        </is>
      </c>
      <c r="C76" s="34">
        <f>COUNTIF(E18:K37, "✓")</f>
        <v/>
      </c>
      <c r="D76" s="34">
        <f>COUNTIF(E18:K37, "✓") + COUNTIF(E18:K37, "✗")</f>
        <v/>
      </c>
      <c r="E76" s="35">
        <f>IFERROR(C76/D76, 0)</f>
        <v/>
      </c>
      <c r="N76" s="60" t="inlineStr">
        <is>
          <t>Health &amp; Fitness</t>
        </is>
      </c>
      <c r="O76" s="54" t="n"/>
      <c r="P76" s="34">
        <f>COUNTIF($C$18:$C$37, "Health &amp; Fitness")</f>
        <v/>
      </c>
      <c r="Q76" s="34">
        <f>SUMIF($C$18:$C$37, "Health &amp; Fitness", $D$18:$D$37)</f>
        <v/>
      </c>
      <c r="R76" s="34">
        <f>SUMIF($C$18:$C$37, "Health &amp; Fitness", $AM$18:$AM$37)</f>
        <v/>
      </c>
      <c r="S76" s="35">
        <f>IFERROR(R76/Q76, 0)</f>
        <v/>
      </c>
    </row>
    <row r="77" ht="14" customHeight="1">
      <c r="A77" s="33" t="inlineStr">
        <is>
          <t>Week 2</t>
        </is>
      </c>
      <c r="B77" s="34" t="inlineStr">
        <is>
          <t>Days 8 - 14</t>
        </is>
      </c>
      <c r="C77" s="34">
        <f>COUNTIF(L18:R37, "✓")</f>
        <v/>
      </c>
      <c r="D77" s="34">
        <f>COUNTIF(L18:R37, "✓") + COUNTIF(L18:R37, "✗")</f>
        <v/>
      </c>
      <c r="E77" s="35">
        <f>IFERROR(C77/D77, 0)</f>
        <v/>
      </c>
      <c r="N77" s="60" t="inlineStr">
        <is>
          <t>Mindset &amp; Learning</t>
        </is>
      </c>
      <c r="O77" s="54" t="n"/>
      <c r="P77" s="34">
        <f>COUNTIF($C$18:$C$37, "Mindset &amp; Learning")</f>
        <v/>
      </c>
      <c r="Q77" s="34">
        <f>SUMIF($C$18:$C$37, "Mindset &amp; Learning", $D$18:$D$37)</f>
        <v/>
      </c>
      <c r="R77" s="34">
        <f>SUMIF($C$18:$C$37, "Mindset &amp; Learning", $AM$18:$AM$37)</f>
        <v/>
      </c>
      <c r="S77" s="35">
        <f>IFERROR(R77/Q77, 0)</f>
        <v/>
      </c>
    </row>
    <row r="78" ht="14" customHeight="1">
      <c r="A78" s="33" t="inlineStr">
        <is>
          <t>Week 3</t>
        </is>
      </c>
      <c r="B78" s="34" t="inlineStr">
        <is>
          <t>Days 15 - 21</t>
        </is>
      </c>
      <c r="C78" s="34">
        <f>COUNTIF(S18:Y37, "✓")</f>
        <v/>
      </c>
      <c r="D78" s="34">
        <f>COUNTIF(S18:Y37, "✓") + COUNTIF(S18:Y37, "✗")</f>
        <v/>
      </c>
      <c r="E78" s="35">
        <f>IFERROR(C78/D78, 0)</f>
        <v/>
      </c>
      <c r="N78" s="60" t="inlineStr">
        <is>
          <t>Career &amp; Focus</t>
        </is>
      </c>
      <c r="O78" s="54" t="n"/>
      <c r="P78" s="34">
        <f>COUNTIF($C$18:$C$37, "Career &amp; Focus")</f>
        <v/>
      </c>
      <c r="Q78" s="34">
        <f>SUMIF($C$18:$C$37, "Career &amp; Focus", $D$18:$D$37)</f>
        <v/>
      </c>
      <c r="R78" s="34">
        <f>SUMIF($C$18:$C$37, "Career &amp; Focus", $AM$18:$AM$37)</f>
        <v/>
      </c>
      <c r="S78" s="35">
        <f>IFERROR(R78/Q78, 0)</f>
        <v/>
      </c>
    </row>
    <row r="79" ht="14" customHeight="1">
      <c r="A79" s="33" t="inlineStr">
        <is>
          <t>Week 4</t>
        </is>
      </c>
      <c r="B79" s="34" t="inlineStr">
        <is>
          <t>Days 22 - 28</t>
        </is>
      </c>
      <c r="C79" s="34">
        <f>COUNTIF(Z18:AF37, "✓")</f>
        <v/>
      </c>
      <c r="D79" s="34">
        <f>COUNTIF(Z18:AF37, "✓") + COUNTIF(Z18:AF37, "✗")</f>
        <v/>
      </c>
      <c r="E79" s="35">
        <f>IFERROR(C79/D79, 0)</f>
        <v/>
      </c>
      <c r="N79" s="60" t="inlineStr">
        <is>
          <t>Personal &amp; Home</t>
        </is>
      </c>
      <c r="O79" s="54" t="n"/>
      <c r="P79" s="34">
        <f>COUNTIF($C$18:$C$37, "Personal &amp; Home")</f>
        <v/>
      </c>
      <c r="Q79" s="34">
        <f>SUMIF($C$18:$C$37, "Personal &amp; Home", $D$18:$D$37)</f>
        <v/>
      </c>
      <c r="R79" s="34">
        <f>SUMIF($C$18:$C$37, "Personal &amp; Home", $AM$18:$AM$37)</f>
        <v/>
      </c>
      <c r="S79" s="35">
        <f>IFERROR(R79/Q79, 0)</f>
        <v/>
      </c>
    </row>
    <row r="80" ht="14" customHeight="1">
      <c r="A80" s="33" t="inlineStr">
        <is>
          <t>Week 5</t>
        </is>
      </c>
      <c r="B80" s="34" t="inlineStr">
        <is>
          <t>Days 29 - 31</t>
        </is>
      </c>
      <c r="C80" s="34">
        <f>COUNTIF(AG18:AI37, "✓")</f>
        <v/>
      </c>
      <c r="D80" s="34">
        <f>COUNTIF(AG18:AI37, "✓") + COUNTIF(AG18:AI37, "✗")</f>
        <v/>
      </c>
      <c r="E80" s="35">
        <f>IFERROR(C80/D80, 0)</f>
        <v/>
      </c>
      <c r="N80" s="60" t="inlineStr">
        <is>
          <t>Finance &amp; Wealth</t>
        </is>
      </c>
      <c r="O80" s="54" t="n"/>
      <c r="P80" s="34">
        <f>COUNTIF($C$18:$C$37, "Finance &amp; Wealth")</f>
        <v/>
      </c>
      <c r="Q80" s="34">
        <f>SUMIF($C$18:$C$37, "Finance &amp; Wealth", $D$18:$D$37)</f>
        <v/>
      </c>
      <c r="R80" s="34">
        <f>SUMIF($C$18:$C$37, "Finance &amp; Wealth", $AM$18:$AM$37)</f>
        <v/>
      </c>
      <c r="S80" s="35">
        <f>IFERROR(R80/Q80, 0)</f>
        <v/>
      </c>
    </row>
    <row r="81" ht="14" customHeight="1">
      <c r="A81" s="33" t="inlineStr">
        <is>
          <t>Total / Avg</t>
        </is>
      </c>
      <c r="B81" s="159" t="inlineStr">
        <is>
          <t>Month Total</t>
        </is>
      </c>
      <c r="C81" s="33">
        <f>SUM(C76:C80)</f>
        <v/>
      </c>
      <c r="D81" s="33">
        <f>SUM(D76:D80)</f>
        <v/>
      </c>
      <c r="E81" s="133">
        <f>IFERROR(C81/D81, 0)</f>
        <v/>
      </c>
    </row>
    <row r="82" ht="10" customHeight="1"/>
    <row r="83" ht="10" customHeight="1"/>
    <row r="84">
      <c r="A84" s="51" t="inlineStr">
        <is>
          <t>SLEEP &amp; PRODUCTIVITY CORRELATION ANALYSIS</t>
        </is>
      </c>
      <c r="B84" s="52" t="n"/>
      <c r="C84" s="52" t="n"/>
      <c r="D84" s="52" t="n"/>
      <c r="E84" s="52" t="n"/>
      <c r="F84" s="52" t="n"/>
      <c r="G84" s="52" t="n"/>
      <c r="H84" s="52" t="n"/>
      <c r="I84" s="52" t="n"/>
      <c r="J84" s="52" t="n"/>
      <c r="K84" s="52" t="n"/>
      <c r="L84" s="52" t="n"/>
      <c r="M84" s="52" t="n"/>
      <c r="N84" s="52" t="n"/>
      <c r="O84" s="52" t="n"/>
      <c r="P84" s="52" t="n"/>
      <c r="Q84" s="52" t="n"/>
      <c r="R84" s="52" t="n"/>
      <c r="S84" s="52" t="n"/>
      <c r="T84" s="52" t="n"/>
      <c r="U84" s="52" t="n"/>
      <c r="V84" s="52" t="n"/>
      <c r="W84" s="52" t="n"/>
      <c r="X84" s="52" t="n"/>
      <c r="Y84" s="52" t="n"/>
      <c r="Z84" s="52" t="n"/>
      <c r="AA84" s="52" t="n"/>
      <c r="AB84" s="52" t="n"/>
      <c r="AC84" s="52" t="n"/>
      <c r="AD84" s="52" t="n"/>
      <c r="AE84" s="52" t="n"/>
      <c r="AF84" s="52" t="n"/>
      <c r="AG84" s="52" t="n"/>
      <c r="AH84" s="52" t="n"/>
      <c r="AI84" s="52" t="n"/>
      <c r="AJ84" s="52" t="n"/>
      <c r="AK84" s="52" t="n"/>
      <c r="AL84" s="52" t="n"/>
    </row>
    <row r="85" ht="15" customHeight="1">
      <c r="A85" s="53" t="inlineStr">
        <is>
          <t>Rest Category</t>
        </is>
      </c>
      <c r="B85" s="54" t="n"/>
      <c r="C85" s="54" t="n"/>
      <c r="D85" s="53" t="inlineStr">
        <is>
          <t>Day Criteria</t>
        </is>
      </c>
      <c r="E85" s="54" t="n"/>
      <c r="F85" s="54" t="n"/>
      <c r="G85" s="53" t="inlineStr">
        <is>
          <t>Days Logged</t>
        </is>
      </c>
      <c r="H85" s="54" t="n"/>
      <c r="I85" s="54" t="n"/>
      <c r="J85" s="53" t="inlineStr">
        <is>
          <t>Avg Sleep Duration</t>
        </is>
      </c>
      <c r="K85" s="54" t="n"/>
      <c r="L85" s="54" t="n"/>
      <c r="M85" s="54" t="n"/>
      <c r="N85" s="53" t="inlineStr">
        <is>
          <t>Avg Habit Success %</t>
        </is>
      </c>
      <c r="O85" s="54" t="n"/>
      <c r="P85" s="54" t="n"/>
      <c r="Q85" s="54" t="n"/>
      <c r="R85" s="53" t="inlineStr">
        <is>
          <t>Productivity Delta</t>
        </is>
      </c>
      <c r="S85" s="54" t="n"/>
      <c r="T85" s="54" t="n"/>
      <c r="U85" s="54" t="n"/>
    </row>
    <row r="86" ht="15" customHeight="1">
      <c r="A86" s="160" t="inlineStr">
        <is>
          <t>Optimal Rest</t>
        </is>
      </c>
      <c r="B86" s="161" t="n"/>
      <c r="C86" s="56" t="n"/>
      <c r="D86" s="34" t="inlineStr">
        <is>
          <t>&gt;= 7 Hours / Night</t>
        </is>
      </c>
      <c r="E86" s="161" t="n"/>
      <c r="F86" s="56" t="n"/>
      <c r="G86" s="33">
        <f>COUNTIF(E47:AI47, "&gt;=7")</f>
        <v/>
      </c>
      <c r="H86" s="161" t="n"/>
      <c r="I86" s="56" t="n"/>
      <c r="J86" s="34">
        <f>IFERROR(TEXT(AVERAGEIF(E47:AI47, "&gt;=7"), "0.0") &amp; " hrs", "-")</f>
        <v/>
      </c>
      <c r="K86" s="161" t="n"/>
      <c r="L86" s="161" t="n"/>
      <c r="M86" s="56" t="n"/>
      <c r="N86" s="42">
        <f>IFERROR(AVERAGEIFS(E39:AI39, E47:AI47, "&gt;=7", E39:AI39, "&gt;0"), 0)</f>
        <v/>
      </c>
      <c r="O86" s="161" t="n"/>
      <c r="P86" s="161" t="n"/>
      <c r="Q86" s="56" t="n"/>
      <c r="R86" s="159" t="inlineStr">
        <is>
          <t>Baseline (Target)</t>
        </is>
      </c>
      <c r="S86" s="161" t="n"/>
      <c r="T86" s="161" t="n"/>
      <c r="U86" s="56" t="n"/>
    </row>
    <row r="87" ht="15" customHeight="1">
      <c r="A87" s="162" t="inlineStr">
        <is>
          <t>Sleep Deficit</t>
        </is>
      </c>
      <c r="B87" s="161" t="n"/>
      <c r="C87" s="56" t="n"/>
      <c r="D87" s="34" t="inlineStr">
        <is>
          <t>&lt; 7 Hours / Night</t>
        </is>
      </c>
      <c r="E87" s="161" t="n"/>
      <c r="F87" s="56" t="n"/>
      <c r="G87" s="33">
        <f>COUNTIF(E47:AI47, "&lt;7") - COUNTIF(E47:AI47, "")</f>
        <v/>
      </c>
      <c r="H87" s="161" t="n"/>
      <c r="I87" s="56" t="n"/>
      <c r="J87" s="34">
        <f>IFERROR(TEXT(AVERAGEIFS(E47:AI47, E47:AI47, "&lt;7", E47:AI47, "&gt;0"), "0.0") &amp; " hrs", "-")</f>
        <v/>
      </c>
      <c r="K87" s="161" t="n"/>
      <c r="L87" s="161" t="n"/>
      <c r="M87" s="56" t="n"/>
      <c r="N87" s="163">
        <f>IFERROR(AVERAGEIFS(E39:AI39, E47:AI47, "&lt;7", E39:AI39, "&gt;0"), 0)</f>
        <v/>
      </c>
      <c r="O87" s="161" t="n"/>
      <c r="P87" s="161" t="n"/>
      <c r="Q87" s="56" t="n"/>
      <c r="R87" s="160">
        <f>IFERROR(TEXT(N86 - N87, "+0.0%;-0.0%;0.0%") &amp; " Rest Advantage", "-")</f>
        <v/>
      </c>
      <c r="S87" s="161" t="n"/>
      <c r="T87" s="161" t="n"/>
      <c r="U87" s="56" t="n"/>
    </row>
    <row r="88" ht="18" customHeight="1">
      <c r="A88" s="164">
        <f>IF(AND(ISNUMBER(N86), ISNUMBER(N87), N86&gt;0, N87&gt;0), "💡 Sleep Correlation Insight: You complete " &amp; TEXT(ABS(N86-N87), "0.0%") &amp; IF(N86&gt;=N87, " MORE habits on days with 7+ hours of sleep!", " fewer habits on days with 7+ hours of sleep."), "💡 Log both habits and sleep hours daily to unlock automatic AI correlation insights!")</f>
        <v/>
      </c>
      <c r="B88" s="161" t="n"/>
      <c r="C88" s="161" t="n"/>
      <c r="D88" s="161" t="n"/>
      <c r="E88" s="161" t="n"/>
      <c r="F88" s="161" t="n"/>
      <c r="G88" s="161" t="n"/>
      <c r="H88" s="161" t="n"/>
      <c r="I88" s="161" t="n"/>
      <c r="J88" s="161" t="n"/>
      <c r="K88" s="161" t="n"/>
      <c r="L88" s="161" t="n"/>
      <c r="M88" s="161" t="n"/>
      <c r="N88" s="161" t="n"/>
      <c r="O88" s="161" t="n"/>
      <c r="P88" s="161" t="n"/>
      <c r="Q88" s="161" t="n"/>
      <c r="R88" s="161" t="n"/>
      <c r="S88" s="161" t="n"/>
      <c r="T88" s="161" t="n"/>
      <c r="U88" s="161" t="n"/>
      <c r="V88" s="161" t="n"/>
      <c r="W88" s="161" t="n"/>
      <c r="X88" s="161" t="n"/>
      <c r="Y88" s="161" t="n"/>
      <c r="Z88" s="161" t="n"/>
      <c r="AA88" s="161" t="n"/>
      <c r="AB88" s="161" t="n"/>
      <c r="AC88" s="161" t="n"/>
      <c r="AD88" s="161" t="n"/>
      <c r="AE88" s="161" t="n"/>
      <c r="AF88" s="161" t="n"/>
      <c r="AG88" s="161" t="n"/>
      <c r="AH88" s="161" t="n"/>
      <c r="AI88" s="161" t="n"/>
      <c r="AJ88" s="161" t="n"/>
      <c r="AK88" s="161" t="n"/>
      <c r="AL88" s="56" t="n"/>
    </row>
    <row r="89" ht="10" customHeight="1"/>
    <row r="90">
      <c r="A90" s="43" t="inlineStr">
        <is>
          <t>STANDARDIZED DATA BRIDGE (FOR ANNUAL &amp; QUARTERLY REVIEW SHEETS)</t>
        </is>
      </c>
      <c r="B90" s="44" t="n"/>
      <c r="C90" s="44" t="n"/>
      <c r="D90" s="44" t="n"/>
      <c r="E90" s="44" t="n"/>
      <c r="F90" s="44" t="n"/>
      <c r="G90" s="44" t="n"/>
      <c r="H90" s="44" t="n"/>
      <c r="I90" s="44" t="n"/>
      <c r="J90" s="44" t="n"/>
      <c r="K90" s="44" t="n"/>
      <c r="L90" s="44" t="n"/>
      <c r="M90" s="44" t="n"/>
      <c r="N90" s="44" t="n"/>
      <c r="O90" s="44" t="n"/>
      <c r="P90" s="44" t="n"/>
      <c r="Q90" s="44" t="n"/>
      <c r="R90" s="44" t="n"/>
      <c r="S90" s="44" t="n"/>
      <c r="T90" s="44" t="n"/>
      <c r="U90" s="44" t="n"/>
      <c r="V90" s="44" t="n"/>
      <c r="W90" s="44" t="n"/>
      <c r="X90" s="44" t="n"/>
      <c r="Y90" s="44" t="n"/>
      <c r="Z90" s="44" t="n"/>
      <c r="AA90" s="44" t="n"/>
      <c r="AB90" s="44" t="n"/>
      <c r="AC90" s="44" t="n"/>
      <c r="AD90" s="44" t="n"/>
      <c r="AE90" s="44" t="n"/>
      <c r="AF90" s="44" t="n"/>
      <c r="AG90" s="44" t="n"/>
      <c r="AH90" s="44" t="n"/>
      <c r="AI90" s="44" t="n"/>
      <c r="AJ90" s="44" t="n"/>
      <c r="AK90" s="44" t="n"/>
      <c r="AL90" s="44" t="n"/>
    </row>
    <row r="91" ht="15" customHeight="1">
      <c r="A91" s="53" t="inlineStr">
        <is>
          <t>Month</t>
        </is>
      </c>
      <c r="B91" s="54" t="n"/>
      <c r="C91" s="53" t="inlineStr">
        <is>
          <t>Year</t>
        </is>
      </c>
      <c r="D91" s="54" t="n"/>
      <c r="E91" s="53" t="inlineStr">
        <is>
          <t>Active Habits</t>
        </is>
      </c>
      <c r="F91" s="54" t="n"/>
      <c r="G91" s="53" t="inlineStr">
        <is>
          <t>Target Days</t>
        </is>
      </c>
      <c r="H91" s="54" t="n"/>
      <c r="I91" s="53" t="inlineStr">
        <is>
          <t>Done Checks</t>
        </is>
      </c>
      <c r="J91" s="54" t="n"/>
      <c r="K91" s="53" t="inlineStr">
        <is>
          <t>Success %</t>
        </is>
      </c>
      <c r="L91" s="54" t="n"/>
      <c r="M91" s="53" t="inlineStr">
        <is>
          <t>Perfect Days</t>
        </is>
      </c>
      <c r="N91" s="54" t="n"/>
      <c r="O91" s="53" t="inlineStr">
        <is>
          <t>Avg Sleep</t>
        </is>
      </c>
      <c r="P91" s="54" t="n"/>
      <c r="Q91" s="53" t="inlineStr">
        <is>
          <t>Best Week</t>
        </is>
      </c>
      <c r="R91" s="54" t="n"/>
      <c r="S91" s="54" t="n"/>
      <c r="T91" s="53" t="inlineStr">
        <is>
          <t>Top Life Domain</t>
        </is>
      </c>
      <c r="U91" s="54" t="n"/>
      <c r="V91" s="54" t="n"/>
      <c r="W91" s="54" t="n"/>
    </row>
    <row r="92" ht="16" customHeight="1">
      <c r="A92" s="165" t="inlineStr">
        <is>
          <t>Oct</t>
        </is>
      </c>
      <c r="B92" s="56" t="n"/>
      <c r="C92" s="165" t="n">
        <v>2029</v>
      </c>
      <c r="D92" s="56" t="n"/>
      <c r="E92" s="166">
        <f>COUNTA(B18:B37)</f>
        <v/>
      </c>
      <c r="F92" s="56" t="n"/>
      <c r="G92" s="166">
        <f>SUM(D18:D37)</f>
        <v/>
      </c>
      <c r="H92" s="56" t="n"/>
      <c r="I92" s="166">
        <f>SUM(AM18:AM37)</f>
        <v/>
      </c>
      <c r="J92" s="56" t="n"/>
      <c r="K92" s="167">
        <f>IF(G92&gt;0, I92/G92, 0)</f>
        <v/>
      </c>
      <c r="L92" s="56" t="n"/>
      <c r="M92" s="166">
        <f>COUNTIF(E39:AI39, 1)</f>
        <v/>
      </c>
      <c r="N92" s="56" t="n"/>
      <c r="O92" s="168">
        <f>IFERROR(AVERAGE(E47:AI47), 0)</f>
        <v/>
      </c>
      <c r="P92" s="56" t="n"/>
      <c r="Q92" s="166">
        <f>INDEX(A76:A80, MATCH(MAX(E76:E80), E76:E80, 0))</f>
        <v/>
      </c>
      <c r="R92" s="161" t="n"/>
      <c r="S92" s="56" t="n"/>
      <c r="T92" s="166">
        <f>INDEX(N76:N80, MATCH(MAX(S76:S80), S76:S80, 0))</f>
        <v/>
      </c>
      <c r="U92" s="161" t="n"/>
      <c r="V92" s="161" t="n"/>
      <c r="W92" s="56" t="n"/>
    </row>
    <row r="93" ht="14" customHeight="1">
      <c r="A93" s="169" t="inlineStr">
        <is>
          <t>📋 Note: Reference or copy Row 92 directly into an Annual / Quarterly review dashboard to track yearly habit trends.</t>
        </is>
      </c>
    </row>
    <row r="94" ht="8" customHeight="1"/>
    <row r="95">
      <c r="A95" s="170" t="inlineStr">
        <is>
          <t>🏆 MONTHLY WINS &amp; HIGHLIGHTS</t>
        </is>
      </c>
      <c r="J95" s="171" t="inlineStr">
        <is>
          <t>⚠️ FRICTION POINTS &amp; ROOT CAUSES</t>
        </is>
      </c>
      <c r="S95" s="172" t="inlineStr">
        <is>
          <t>🎯 3 KEY ADJUSTMENTS FOR NEXT MONTH</t>
        </is>
      </c>
    </row>
    <row r="96">
      <c r="A96" s="173" t="inlineStr">
        <is>
          <t>1. What went exceptionally well this month?
2. Which habit felt effortless and consistent?
3. Major milestone achieved:</t>
        </is>
      </c>
      <c r="B96" s="174" t="n"/>
      <c r="C96" s="174" t="n"/>
      <c r="D96" s="174" t="n"/>
      <c r="E96" s="174" t="n"/>
      <c r="F96" s="174" t="n"/>
      <c r="G96" s="174" t="n"/>
      <c r="H96" s="174" t="n"/>
      <c r="J96" s="175" t="inlineStr">
        <is>
          <t>1. What caused missed or skipped days?
2. Main triggers / energy drains encountered:
3. Which habit had the lowest consistency and why?</t>
        </is>
      </c>
      <c r="K96" s="176" t="n"/>
      <c r="L96" s="176" t="n"/>
      <c r="M96" s="176" t="n"/>
      <c r="N96" s="176" t="n"/>
      <c r="O96" s="176" t="n"/>
      <c r="P96" s="176" t="n"/>
      <c r="Q96" s="176" t="n"/>
      <c r="S96" s="177" t="inlineStr">
        <is>
          <t>1. Habit Stacking or time adjustment for next month:
2. Environment design change to eliminate friction:
3. One non-negotiable priority protocol:</t>
        </is>
      </c>
      <c r="T96" s="178" t="n"/>
      <c r="U96" s="178" t="n"/>
      <c r="V96" s="178" t="n"/>
      <c r="W96" s="178" t="n"/>
      <c r="X96" s="178" t="n"/>
      <c r="Y96" s="178" t="n"/>
      <c r="Z96" s="178" t="n"/>
    </row>
    <row r="97">
      <c r="A97" s="174" t="n"/>
      <c r="B97" s="174" t="n"/>
      <c r="C97" s="174" t="n"/>
      <c r="D97" s="174" t="n"/>
      <c r="E97" s="174" t="n"/>
      <c r="F97" s="174" t="n"/>
      <c r="G97" s="174" t="n"/>
      <c r="H97" s="174" t="n"/>
      <c r="J97" s="176" t="n"/>
      <c r="K97" s="176" t="n"/>
      <c r="L97" s="176" t="n"/>
      <c r="M97" s="176" t="n"/>
      <c r="N97" s="176" t="n"/>
      <c r="O97" s="176" t="n"/>
      <c r="P97" s="176" t="n"/>
      <c r="Q97" s="176" t="n"/>
      <c r="S97" s="178" t="n"/>
      <c r="T97" s="178" t="n"/>
      <c r="U97" s="178" t="n"/>
      <c r="V97" s="178" t="n"/>
      <c r="W97" s="178" t="n"/>
      <c r="X97" s="178" t="n"/>
      <c r="Y97" s="178" t="n"/>
      <c r="Z97" s="178" t="n"/>
    </row>
    <row r="98">
      <c r="A98" s="174" t="n"/>
      <c r="B98" s="174" t="n"/>
      <c r="C98" s="174" t="n"/>
      <c r="D98" s="174" t="n"/>
      <c r="E98" s="174" t="n"/>
      <c r="F98" s="174" t="n"/>
      <c r="G98" s="174" t="n"/>
      <c r="H98" s="174" t="n"/>
      <c r="J98" s="176" t="n"/>
      <c r="K98" s="176" t="n"/>
      <c r="L98" s="176" t="n"/>
      <c r="M98" s="176" t="n"/>
      <c r="N98" s="176" t="n"/>
      <c r="O98" s="176" t="n"/>
      <c r="P98" s="176" t="n"/>
      <c r="Q98" s="176" t="n"/>
      <c r="S98" s="178" t="n"/>
      <c r="T98" s="178" t="n"/>
      <c r="U98" s="178" t="n"/>
      <c r="V98" s="178" t="n"/>
      <c r="W98" s="178" t="n"/>
      <c r="X98" s="178" t="n"/>
      <c r="Y98" s="178" t="n"/>
      <c r="Z98" s="178" t="n"/>
    </row>
    <row r="99">
      <c r="A99" s="174" t="n"/>
      <c r="B99" s="174" t="n"/>
      <c r="C99" s="174" t="n"/>
      <c r="D99" s="174" t="n"/>
      <c r="E99" s="174" t="n"/>
      <c r="F99" s="174" t="n"/>
      <c r="G99" s="174" t="n"/>
      <c r="H99" s="174" t="n"/>
      <c r="J99" s="176" t="n"/>
      <c r="K99" s="176" t="n"/>
      <c r="L99" s="176" t="n"/>
      <c r="M99" s="176" t="n"/>
      <c r="N99" s="176" t="n"/>
      <c r="O99" s="176" t="n"/>
      <c r="P99" s="176" t="n"/>
      <c r="Q99" s="176" t="n"/>
      <c r="S99" s="178" t="n"/>
      <c r="T99" s="178" t="n"/>
      <c r="U99" s="178" t="n"/>
      <c r="V99" s="178" t="n"/>
      <c r="W99" s="178" t="n"/>
      <c r="X99" s="178" t="n"/>
      <c r="Y99" s="178" t="n"/>
      <c r="Z99" s="178" t="n"/>
    </row>
    <row r="100">
      <c r="A100" s="174" t="n"/>
      <c r="B100" s="174" t="n"/>
      <c r="C100" s="174" t="n"/>
      <c r="D100" s="174" t="n"/>
      <c r="E100" s="174" t="n"/>
      <c r="F100" s="174" t="n"/>
      <c r="G100" s="174" t="n"/>
      <c r="H100" s="174" t="n"/>
      <c r="J100" s="176" t="n"/>
      <c r="K100" s="176" t="n"/>
      <c r="L100" s="176" t="n"/>
      <c r="M100" s="176" t="n"/>
      <c r="N100" s="176" t="n"/>
      <c r="O100" s="176" t="n"/>
      <c r="P100" s="176" t="n"/>
      <c r="Q100" s="176" t="n"/>
      <c r="S100" s="178" t="n"/>
      <c r="T100" s="178" t="n"/>
      <c r="U100" s="178" t="n"/>
      <c r="V100" s="178" t="n"/>
      <c r="W100" s="178" t="n"/>
      <c r="X100" s="178" t="n"/>
      <c r="Y100" s="178" t="n"/>
      <c r="Z100" s="178" t="n"/>
    </row>
    <row r="101">
      <c r="A101" s="174" t="n"/>
      <c r="B101" s="174" t="n"/>
      <c r="C101" s="174" t="n"/>
      <c r="D101" s="174" t="n"/>
      <c r="E101" s="174" t="n"/>
      <c r="F101" s="174" t="n"/>
      <c r="G101" s="174" t="n"/>
      <c r="H101" s="174" t="n"/>
      <c r="J101" s="176" t="n"/>
      <c r="K101" s="176" t="n"/>
      <c r="L101" s="176" t="n"/>
      <c r="M101" s="176" t="n"/>
      <c r="N101" s="176" t="n"/>
      <c r="O101" s="176" t="n"/>
      <c r="P101" s="176" t="n"/>
      <c r="Q101" s="176" t="n"/>
      <c r="S101" s="178" t="n"/>
      <c r="T101" s="178" t="n"/>
      <c r="U101" s="178" t="n"/>
      <c r="V101" s="178" t="n"/>
      <c r="W101" s="178" t="n"/>
      <c r="X101" s="178" t="n"/>
      <c r="Y101" s="178" t="n"/>
      <c r="Z101" s="178" t="n"/>
    </row>
    <row r="102">
      <c r="A102" s="174" t="n"/>
      <c r="B102" s="174" t="n"/>
      <c r="C102" s="174" t="n"/>
      <c r="D102" s="174" t="n"/>
      <c r="E102" s="174" t="n"/>
      <c r="F102" s="174" t="n"/>
      <c r="G102" s="174" t="n"/>
      <c r="H102" s="174" t="n"/>
      <c r="J102" s="176" t="n"/>
      <c r="K102" s="176" t="n"/>
      <c r="L102" s="176" t="n"/>
      <c r="M102" s="176" t="n"/>
      <c r="N102" s="176" t="n"/>
      <c r="O102" s="176" t="n"/>
      <c r="P102" s="176" t="n"/>
      <c r="Q102" s="176" t="n"/>
      <c r="S102" s="178" t="n"/>
      <c r="T102" s="178" t="n"/>
      <c r="U102" s="178" t="n"/>
      <c r="V102" s="178" t="n"/>
      <c r="W102" s="178" t="n"/>
      <c r="X102" s="178" t="n"/>
      <c r="Y102" s="178" t="n"/>
      <c r="Z102" s="178" t="n"/>
    </row>
    <row r="103">
      <c r="A103" s="174" t="n"/>
      <c r="B103" s="174" t="n"/>
      <c r="C103" s="174" t="n"/>
      <c r="D103" s="174" t="n"/>
      <c r="E103" s="174" t="n"/>
      <c r="F103" s="174" t="n"/>
      <c r="G103" s="174" t="n"/>
      <c r="H103" s="174" t="n"/>
      <c r="J103" s="176" t="n"/>
      <c r="K103" s="176" t="n"/>
      <c r="L103" s="176" t="n"/>
      <c r="M103" s="176" t="n"/>
      <c r="N103" s="176" t="n"/>
      <c r="O103" s="176" t="n"/>
      <c r="P103" s="176" t="n"/>
      <c r="Q103" s="176" t="n"/>
      <c r="S103" s="178" t="n"/>
      <c r="T103" s="178" t="n"/>
      <c r="U103" s="178" t="n"/>
      <c r="V103" s="178" t="n"/>
      <c r="W103" s="178" t="n"/>
      <c r="X103" s="178" t="n"/>
      <c r="Y103" s="178" t="n"/>
      <c r="Z103" s="178" t="n"/>
    </row>
  </sheetData>
  <sheetProtection selectLockedCells="1" selectUnlockedCells="1" sheet="1" objects="0" insertRows="1" insertHyperlinks="1" autoFilter="1" scenarios="0" formatColumns="1" deleteColumns="1" insertColumns="1" pivotTables="1" deleteRows="1" formatCells="1" formatRows="1" sort="1"/>
  <mergeCells count="94">
    <mergeCell ref="A9:N9"/>
    <mergeCell ref="N76:O76"/>
    <mergeCell ref="F67:I67"/>
    <mergeCell ref="G87:I87"/>
    <mergeCell ref="A16:A17"/>
    <mergeCell ref="A45:D46"/>
    <mergeCell ref="C16:C17"/>
    <mergeCell ref="N75:O75"/>
    <mergeCell ref="N77:O77"/>
    <mergeCell ref="AE2:AL2"/>
    <mergeCell ref="P9:AL9"/>
    <mergeCell ref="P68:S70"/>
    <mergeCell ref="D16:D17"/>
    <mergeCell ref="N85:Q85"/>
    <mergeCell ref="A95:H95"/>
    <mergeCell ref="A84:AL84"/>
    <mergeCell ref="Q91:S91"/>
    <mergeCell ref="E91:F91"/>
    <mergeCell ref="A8:N8"/>
    <mergeCell ref="A42:AL42"/>
    <mergeCell ref="G91:H91"/>
    <mergeCell ref="J86:M86"/>
    <mergeCell ref="H3:AD3"/>
    <mergeCell ref="K67:N67"/>
    <mergeCell ref="S95:Z95"/>
    <mergeCell ref="N79:O79"/>
    <mergeCell ref="K92:L92"/>
    <mergeCell ref="C92:D92"/>
    <mergeCell ref="M92:N92"/>
    <mergeCell ref="F71:I71"/>
    <mergeCell ref="A88:AL88"/>
    <mergeCell ref="K68:N70"/>
    <mergeCell ref="T91:W91"/>
    <mergeCell ref="A41:AL41"/>
    <mergeCell ref="A90:AL90"/>
    <mergeCell ref="J95:Q95"/>
    <mergeCell ref="D85:F85"/>
    <mergeCell ref="N74:S74"/>
    <mergeCell ref="H2:AD2"/>
    <mergeCell ref="F68:I70"/>
    <mergeCell ref="A91:B91"/>
    <mergeCell ref="N78:O78"/>
    <mergeCell ref="C91:D91"/>
    <mergeCell ref="M91:N91"/>
    <mergeCell ref="O91:P91"/>
    <mergeCell ref="R86:U86"/>
    <mergeCell ref="N80:O80"/>
    <mergeCell ref="B16:B17"/>
    <mergeCell ref="A71:D71"/>
    <mergeCell ref="J85:M85"/>
    <mergeCell ref="D86:F86"/>
    <mergeCell ref="A92:B92"/>
    <mergeCell ref="N87:Q87"/>
    <mergeCell ref="A1:B1"/>
    <mergeCell ref="E92:F92"/>
    <mergeCell ref="AL16:AL17"/>
    <mergeCell ref="A68:D70"/>
    <mergeCell ref="P71:S71"/>
    <mergeCell ref="A86:C86"/>
    <mergeCell ref="D87:F87"/>
    <mergeCell ref="O92:P92"/>
    <mergeCell ref="A6:N6"/>
    <mergeCell ref="A39:D39"/>
    <mergeCell ref="P8:AL8"/>
    <mergeCell ref="P7:AL7"/>
    <mergeCell ref="G86:I86"/>
    <mergeCell ref="A96:H103"/>
    <mergeCell ref="P67:S67"/>
    <mergeCell ref="T92:W92"/>
    <mergeCell ref="R85:U85"/>
    <mergeCell ref="K71:N71"/>
    <mergeCell ref="S96:Z103"/>
    <mergeCell ref="A93:AL93"/>
    <mergeCell ref="A38:D38"/>
    <mergeCell ref="A67:D67"/>
    <mergeCell ref="I91:J91"/>
    <mergeCell ref="A85:C85"/>
    <mergeCell ref="K91:L91"/>
    <mergeCell ref="N86:Q86"/>
    <mergeCell ref="A7:N7"/>
    <mergeCell ref="P6:AL6"/>
    <mergeCell ref="A74:E74"/>
    <mergeCell ref="G85:I85"/>
    <mergeCell ref="G92:H92"/>
    <mergeCell ref="I92:J92"/>
    <mergeCell ref="R87:U87"/>
    <mergeCell ref="AK16:AK17"/>
    <mergeCell ref="J87:M87"/>
    <mergeCell ref="AJ16:AJ17"/>
    <mergeCell ref="J96:Q103"/>
    <mergeCell ref="A12:AL14"/>
    <mergeCell ref="Q92:S92"/>
    <mergeCell ref="A87:C87"/>
    <mergeCell ref="A47:D47"/>
  </mergeCells>
  <conditionalFormatting sqref="AJ18:AJ37">
    <cfRule type="dataBar" priority="1">
      <dataBar>
        <cfvo type="num" val="0"/>
        <cfvo type="num" val="1"/>
        <color rgb="0010B981"/>
      </dataBar>
    </cfRule>
  </conditionalFormatting>
  <conditionalFormatting sqref="E18:AI37">
    <cfRule type="cellIs" priority="2" operator="equal" dxfId="0">
      <formula>"✓"</formula>
    </cfRule>
    <cfRule type="cellIs" priority="3" operator="equal" dxfId="0">
      <formula>"✔"</formula>
    </cfRule>
    <cfRule type="cellIs" priority="4" operator="equal" dxfId="1">
      <formula>"✗"</formula>
    </cfRule>
    <cfRule type="cellIs" priority="5" operator="equal" dxfId="1">
      <formula>"x"</formula>
    </cfRule>
    <cfRule type="cellIs" priority="6" operator="equal" dxfId="1">
      <formula>"X"</formula>
    </cfRule>
  </conditionalFormatting>
  <conditionalFormatting sqref="E16:E17">
    <cfRule type="expression" priority="7" dxfId="2">
      <formula>AND(DAY(TODAY())=1, MONTH(TODAY())=10, YEAR(TODAY())=2029)</formula>
    </cfRule>
  </conditionalFormatting>
  <conditionalFormatting sqref="F16:F17">
    <cfRule type="expression" priority="8" dxfId="2">
      <formula>AND(DAY(TODAY())=2, MONTH(TODAY())=10, YEAR(TODAY())=2029)</formula>
    </cfRule>
  </conditionalFormatting>
  <conditionalFormatting sqref="G16:G17">
    <cfRule type="expression" priority="9" dxfId="2">
      <formula>AND(DAY(TODAY())=3, MONTH(TODAY())=10, YEAR(TODAY())=2029)</formula>
    </cfRule>
  </conditionalFormatting>
  <conditionalFormatting sqref="H16:H17">
    <cfRule type="expression" priority="10" dxfId="2">
      <formula>AND(DAY(TODAY())=4, MONTH(TODAY())=10, YEAR(TODAY())=2029)</formula>
    </cfRule>
  </conditionalFormatting>
  <conditionalFormatting sqref="I16:I17">
    <cfRule type="expression" priority="11" dxfId="2">
      <formula>AND(DAY(TODAY())=5, MONTH(TODAY())=10, YEAR(TODAY())=2029)</formula>
    </cfRule>
  </conditionalFormatting>
  <conditionalFormatting sqref="J16:J17">
    <cfRule type="expression" priority="12" dxfId="2">
      <formula>AND(DAY(TODAY())=6, MONTH(TODAY())=10, YEAR(TODAY())=2029)</formula>
    </cfRule>
  </conditionalFormatting>
  <conditionalFormatting sqref="K16:K17">
    <cfRule type="expression" priority="13" dxfId="2">
      <formula>AND(DAY(TODAY())=7, MONTH(TODAY())=10, YEAR(TODAY())=2029)</formula>
    </cfRule>
  </conditionalFormatting>
  <conditionalFormatting sqref="L16:L17">
    <cfRule type="expression" priority="14" dxfId="2">
      <formula>AND(DAY(TODAY())=8, MONTH(TODAY())=10, YEAR(TODAY())=2029)</formula>
    </cfRule>
  </conditionalFormatting>
  <conditionalFormatting sqref="M16:M17">
    <cfRule type="expression" priority="15" dxfId="2">
      <formula>AND(DAY(TODAY())=9, MONTH(TODAY())=10, YEAR(TODAY())=2029)</formula>
    </cfRule>
  </conditionalFormatting>
  <conditionalFormatting sqref="N16:N17">
    <cfRule type="expression" priority="16" dxfId="2">
      <formula>AND(DAY(TODAY())=10, MONTH(TODAY())=10, YEAR(TODAY())=2029)</formula>
    </cfRule>
  </conditionalFormatting>
  <conditionalFormatting sqref="O16:O17">
    <cfRule type="expression" priority="17" dxfId="2">
      <formula>AND(DAY(TODAY())=11, MONTH(TODAY())=10, YEAR(TODAY())=2029)</formula>
    </cfRule>
  </conditionalFormatting>
  <conditionalFormatting sqref="P16:P17">
    <cfRule type="expression" priority="18" dxfId="2">
      <formula>AND(DAY(TODAY())=12, MONTH(TODAY())=10, YEAR(TODAY())=2029)</formula>
    </cfRule>
  </conditionalFormatting>
  <conditionalFormatting sqref="Q16:Q17">
    <cfRule type="expression" priority="19" dxfId="2">
      <formula>AND(DAY(TODAY())=13, MONTH(TODAY())=10, YEAR(TODAY())=2029)</formula>
    </cfRule>
  </conditionalFormatting>
  <conditionalFormatting sqref="R16:R17">
    <cfRule type="expression" priority="20" dxfId="2">
      <formula>AND(DAY(TODAY())=14, MONTH(TODAY())=10, YEAR(TODAY())=2029)</formula>
    </cfRule>
  </conditionalFormatting>
  <conditionalFormatting sqref="S16:S17">
    <cfRule type="expression" priority="21" dxfId="2">
      <formula>AND(DAY(TODAY())=15, MONTH(TODAY())=10, YEAR(TODAY())=2029)</formula>
    </cfRule>
  </conditionalFormatting>
  <conditionalFormatting sqref="T16:T17">
    <cfRule type="expression" priority="22" dxfId="2">
      <formula>AND(DAY(TODAY())=16, MONTH(TODAY())=10, YEAR(TODAY())=2029)</formula>
    </cfRule>
  </conditionalFormatting>
  <conditionalFormatting sqref="U16:U17">
    <cfRule type="expression" priority="23" dxfId="2">
      <formula>AND(DAY(TODAY())=17, MONTH(TODAY())=10, YEAR(TODAY())=2029)</formula>
    </cfRule>
  </conditionalFormatting>
  <conditionalFormatting sqref="V16:V17">
    <cfRule type="expression" priority="24" dxfId="2">
      <formula>AND(DAY(TODAY())=18, MONTH(TODAY())=10, YEAR(TODAY())=2029)</formula>
    </cfRule>
  </conditionalFormatting>
  <conditionalFormatting sqref="W16:W17">
    <cfRule type="expression" priority="25" dxfId="2">
      <formula>AND(DAY(TODAY())=19, MONTH(TODAY())=10, YEAR(TODAY())=2029)</formula>
    </cfRule>
  </conditionalFormatting>
  <conditionalFormatting sqref="X16:X17">
    <cfRule type="expression" priority="26" dxfId="2">
      <formula>AND(DAY(TODAY())=20, MONTH(TODAY())=10, YEAR(TODAY())=2029)</formula>
    </cfRule>
  </conditionalFormatting>
  <conditionalFormatting sqref="Y16:Y17">
    <cfRule type="expression" priority="27" dxfId="2">
      <formula>AND(DAY(TODAY())=21, MONTH(TODAY())=10, YEAR(TODAY())=2029)</formula>
    </cfRule>
  </conditionalFormatting>
  <conditionalFormatting sqref="Z16:Z17">
    <cfRule type="expression" priority="28" dxfId="2">
      <formula>AND(DAY(TODAY())=22, MONTH(TODAY())=10, YEAR(TODAY())=2029)</formula>
    </cfRule>
  </conditionalFormatting>
  <conditionalFormatting sqref="AA16:AA17">
    <cfRule type="expression" priority="29" dxfId="2">
      <formula>AND(DAY(TODAY())=23, MONTH(TODAY())=10, YEAR(TODAY())=2029)</formula>
    </cfRule>
  </conditionalFormatting>
  <conditionalFormatting sqref="AB16:AB17">
    <cfRule type="expression" priority="30" dxfId="2">
      <formula>AND(DAY(TODAY())=24, MONTH(TODAY())=10, YEAR(TODAY())=2029)</formula>
    </cfRule>
  </conditionalFormatting>
  <conditionalFormatting sqref="AC16:AC17">
    <cfRule type="expression" priority="31" dxfId="2">
      <formula>AND(DAY(TODAY())=25, MONTH(TODAY())=10, YEAR(TODAY())=2029)</formula>
    </cfRule>
  </conditionalFormatting>
  <conditionalFormatting sqref="AD16:AD17">
    <cfRule type="expression" priority="32" dxfId="2">
      <formula>AND(DAY(TODAY())=26, MONTH(TODAY())=10, YEAR(TODAY())=2029)</formula>
    </cfRule>
  </conditionalFormatting>
  <conditionalFormatting sqref="AE16:AE17">
    <cfRule type="expression" priority="33" dxfId="2">
      <formula>AND(DAY(TODAY())=27, MONTH(TODAY())=10, YEAR(TODAY())=2029)</formula>
    </cfRule>
  </conditionalFormatting>
  <conditionalFormatting sqref="AF16:AF17">
    <cfRule type="expression" priority="34" dxfId="2">
      <formula>AND(DAY(TODAY())=28, MONTH(TODAY())=10, YEAR(TODAY())=2029)</formula>
    </cfRule>
  </conditionalFormatting>
  <conditionalFormatting sqref="AG16:AG17">
    <cfRule type="expression" priority="35" dxfId="2">
      <formula>AND(DAY(TODAY())=29, MONTH(TODAY())=10, YEAR(TODAY())=2029)</formula>
    </cfRule>
  </conditionalFormatting>
  <conditionalFormatting sqref="AH16:AH17">
    <cfRule type="expression" priority="36" dxfId="2">
      <formula>AND(DAY(TODAY())=30, MONTH(TODAY())=10, YEAR(TODAY())=2029)</formula>
    </cfRule>
  </conditionalFormatting>
  <conditionalFormatting sqref="AI16:AI17">
    <cfRule type="expression" priority="37" dxfId="2">
      <formula>AND(DAY(TODAY())=31, MONTH(TODAY())=10, YEAR(TODAY())=2029)</formula>
    </cfRule>
  </conditionalFormatting>
  <dataValidations count="4">
    <dataValidation sqref="C18:C37" showDropDown="0" showInputMessage="0" showErrorMessage="0" allowBlank="1" type="list">
      <formula1>"Health &amp; Fitness,Mindset &amp; Learning,Career &amp; Focus,Personal &amp; Home,Finance &amp; Wealth,Other"</formula1>
    </dataValidation>
    <dataValidation sqref="D18:D37" showDropDown="0" showInputMessage="0" showErrorMessage="0" allowBlank="1" type="list">
      <formula1>"1,2,3,4,5,6,7,8,9,10,11,12,13,14,15,16,17,18,19,20,21,22,23,24,25,26,27,28,29,30,31"</formula1>
    </dataValidation>
    <dataValidation sqref="E18:AI37" showDropDown="0" showInputMessage="0" showErrorMessage="0" allowBlank="1" type="list">
      <formula1>"✓,✗"</formula1>
    </dataValidation>
    <dataValidation sqref="E47:AI47" showDropDown="0" showInputMessage="0" showErrorMessage="0" allowBlank="1" type="list">
      <formula1>"1,2,3,4,5,6,7,8,9,10,11,12,13,14,15,16,17,18,19,20,21,22,23,24"</formula1>
    </dataValidation>
  </dataValidations>
  <hyperlinks>
    <hyperlink xmlns:r="http://schemas.openxmlformats.org/officeDocument/2006/relationships" ref="A1" r:id="rId1"/>
    <hyperlink xmlns:r="http://schemas.openxmlformats.org/officeDocument/2006/relationships" ref="C1" r:id="rId2"/>
    <hyperlink xmlns:r="http://schemas.openxmlformats.org/officeDocument/2006/relationships" ref="D1" r:id="rId3"/>
    <hyperlink xmlns:r="http://schemas.openxmlformats.org/officeDocument/2006/relationships" ref="E1" r:id="rId4"/>
    <hyperlink xmlns:r="http://schemas.openxmlformats.org/officeDocument/2006/relationships" ref="F1" r:id="rId5"/>
    <hyperlink xmlns:r="http://schemas.openxmlformats.org/officeDocument/2006/relationships" ref="G1" r:id="rId6"/>
    <hyperlink xmlns:r="http://schemas.openxmlformats.org/officeDocument/2006/relationships" ref="H1" r:id="rId7"/>
    <hyperlink xmlns:r="http://schemas.openxmlformats.org/officeDocument/2006/relationships" ref="I1" r:id="rId8"/>
    <hyperlink xmlns:r="http://schemas.openxmlformats.org/officeDocument/2006/relationships" ref="J1" r:id="rId9"/>
    <hyperlink xmlns:r="http://schemas.openxmlformats.org/officeDocument/2006/relationships" ref="K1" r:id="rId10"/>
  </hyperlinks>
  <printOptions horizontalCentered="1" verticalCentered="0"/>
  <pageMargins left="0.75" right="0.75" top="1" bottom="1" header="0.5" footer="0.5"/>
  <pageSetup orientation="landscape" paperSize="9" fitToHeight="0" fitToWidth="1"/>
  <drawing xmlns:r="http://schemas.openxmlformats.org/officeDocument/2006/relationships" r:id="rId11"/>
</worksheet>
</file>

<file path=xl/worksheets/sheet42.xml><?xml version="1.0" encoding="utf-8"?>
<worksheet xmlns="http://schemas.openxmlformats.org/spreadsheetml/2006/main">
  <sheetPr>
    <outlinePr summaryBelow="1" summaryRight="1"/>
    <pageSetUpPr fitToPage="1"/>
  </sheetPr>
  <dimension ref="A1:AL103"/>
  <sheetViews>
    <sheetView showGridLines="1" workbookViewId="0">
      <selection activeCell="A1" sqref="A1"/>
    </sheetView>
  </sheetViews>
  <sheetFormatPr baseColWidth="8" defaultRowHeight="15"/>
  <cols>
    <col width="6" customWidth="1" min="1" max="1"/>
    <col width="25" customWidth="1" min="2" max="2"/>
    <col width="16.5" customWidth="1" min="3" max="3"/>
    <col width="8" customWidth="1" min="4" max="4"/>
    <col width="4.8" customWidth="1" min="5" max="5"/>
    <col width="4.8" customWidth="1" min="6" max="6"/>
    <col width="4.8" customWidth="1" min="7" max="7"/>
    <col width="4.8" customWidth="1" min="8" max="8"/>
    <col width="4.8" customWidth="1" min="9" max="9"/>
    <col width="4.8" customWidth="1" min="10" max="10"/>
    <col width="4.8" customWidth="1" min="11" max="11"/>
    <col width="4.8" customWidth="1" min="12" max="12"/>
    <col width="4.8" customWidth="1" min="13" max="13"/>
    <col width="4.8" customWidth="1" min="14" max="14"/>
    <col width="4.8" customWidth="1" min="15" max="15"/>
    <col width="4.8" customWidth="1" min="16" max="16"/>
    <col width="4.8" customWidth="1" min="17" max="17"/>
    <col width="4.8" customWidth="1" min="18" max="18"/>
    <col width="4.8" customWidth="1" min="19" max="19"/>
    <col width="4.8" customWidth="1" min="20" max="20"/>
    <col width="4.8" customWidth="1" min="21" max="21"/>
    <col width="4.8" customWidth="1" min="22" max="22"/>
    <col width="4.8" customWidth="1" min="23" max="23"/>
    <col width="4.8" customWidth="1" min="24" max="24"/>
    <col width="4.8" customWidth="1" min="25" max="25"/>
    <col width="4.8" customWidth="1" min="26" max="26"/>
    <col width="4.8" customWidth="1" min="27" max="27"/>
    <col width="4.8" customWidth="1" min="28" max="28"/>
    <col width="4.8" customWidth="1" min="29" max="29"/>
    <col width="4.8" customWidth="1" min="30" max="30"/>
    <col width="4.8" customWidth="1" min="31" max="31"/>
    <col width="4.8" customWidth="1" min="32" max="32"/>
    <col width="4.8" customWidth="1" min="33" max="33"/>
    <col width="4.8" customWidth="1" min="34" max="34"/>
    <col width="11.5" customWidth="1" min="35" max="35"/>
    <col width="12" customWidth="1" min="36" max="36"/>
    <col width="13.5" customWidth="1" min="37" max="37"/>
    <col hidden="1" width="8" customWidth="1" min="38" max="38"/>
  </cols>
  <sheetData>
    <row r="1" ht="18" customHeight="1">
      <c r="A1" s="76" t="inlineStr">
        <is>
          <t>🏠 Master Dashboard</t>
        </is>
      </c>
      <c r="B1" s="40" t="n"/>
      <c r="C1" s="77" t="inlineStr">
        <is>
          <t>🏛️ Quarterly Hub</t>
        </is>
      </c>
      <c r="D1" s="78" t="inlineStr">
        <is>
          <t>📚 Habit Library</t>
        </is>
      </c>
      <c r="E1" s="80" t="inlineStr">
        <is>
          <t>2026</t>
        </is>
      </c>
      <c r="F1" s="80" t="inlineStr">
        <is>
          <t>2027</t>
        </is>
      </c>
      <c r="G1" s="80" t="inlineStr">
        <is>
          <t>2028</t>
        </is>
      </c>
      <c r="H1" s="79" t="inlineStr">
        <is>
          <t>2029</t>
        </is>
      </c>
      <c r="I1" s="80" t="inlineStr">
        <is>
          <t>2030</t>
        </is>
      </c>
      <c r="J1" s="82" t="inlineStr">
        <is>
          <t>◀ Prev</t>
        </is>
      </c>
      <c r="K1" s="82" t="inlineStr">
        <is>
          <t>Next ▶</t>
        </is>
      </c>
    </row>
    <row r="2" ht="24" customHeight="1">
      <c r="A2" s="83" t="inlineStr">
        <is>
          <t>Habit Tracker</t>
        </is>
      </c>
      <c r="H2" s="84" t="inlineStr">
        <is>
          <t>"Focus on the process."</t>
        </is>
      </c>
      <c r="AD2" s="85" t="inlineStr">
        <is>
          <t>@surajvansh</t>
        </is>
      </c>
    </row>
    <row r="3" ht="18" customHeight="1">
      <c r="A3" s="86" t="inlineStr">
        <is>
          <t>November 2029</t>
        </is>
      </c>
      <c r="H3" s="87" t="inlineStr">
        <is>
          <t>30 Days Dashboard</t>
        </is>
      </c>
    </row>
    <row r="4" ht="5" customHeight="1"/>
    <row r="5" ht="16" customHeight="1">
      <c r="A5" s="88" t="inlineStr">
        <is>
          <t>MONTHLY TARGETS</t>
        </is>
      </c>
    </row>
    <row r="6" ht="13" customHeight="1">
      <c r="A6" s="89" t="inlineStr">
        <is>
          <t>1. ____________________ : ____________________</t>
        </is>
      </c>
      <c r="P6" s="89" t="inlineStr">
        <is>
          <t>5. ____________________ : ____________________</t>
        </is>
      </c>
    </row>
    <row r="7" ht="13" customHeight="1">
      <c r="A7" s="89" t="inlineStr">
        <is>
          <t>2. ____________________ : ____________________</t>
        </is>
      </c>
      <c r="P7" s="89" t="inlineStr">
        <is>
          <t>6. ____________________ : ____________________</t>
        </is>
      </c>
    </row>
    <row r="8" ht="13" customHeight="1">
      <c r="A8" s="89" t="inlineStr">
        <is>
          <t>3. ____________________ : ____________________</t>
        </is>
      </c>
      <c r="P8" s="89" t="inlineStr">
        <is>
          <t>7. ____________________ : ____________________</t>
        </is>
      </c>
    </row>
    <row r="9" ht="13" customHeight="1">
      <c r="A9" s="89" t="inlineStr">
        <is>
          <t>4. ____________________ : ____________________</t>
        </is>
      </c>
      <c r="P9" s="89" t="inlineStr">
        <is>
          <t>8. ____________________ : ____________________</t>
        </is>
      </c>
    </row>
    <row r="10" ht="5" customHeight="1"/>
    <row r="11" ht="15" customHeight="1">
      <c r="A11" s="88" t="inlineStr">
        <is>
          <t>NOTES:</t>
        </is>
      </c>
    </row>
    <row r="12" ht="13" customHeight="1">
      <c r="A12" s="90" t="n"/>
      <c r="B12" s="91" t="n"/>
      <c r="C12" s="91" t="n"/>
      <c r="D12" s="91" t="n"/>
      <c r="E12" s="91" t="n"/>
      <c r="F12" s="91" t="n"/>
      <c r="G12" s="91" t="n"/>
      <c r="H12" s="91" t="n"/>
      <c r="I12" s="91" t="n"/>
      <c r="J12" s="91" t="n"/>
      <c r="K12" s="91" t="n"/>
      <c r="L12" s="91" t="n"/>
      <c r="M12" s="91" t="n"/>
      <c r="N12" s="91" t="n"/>
      <c r="O12" s="91" t="n"/>
      <c r="P12" s="91" t="n"/>
      <c r="Q12" s="91" t="n"/>
      <c r="R12" s="91" t="n"/>
      <c r="S12" s="91" t="n"/>
      <c r="T12" s="91" t="n"/>
      <c r="U12" s="91" t="n"/>
      <c r="V12" s="91" t="n"/>
      <c r="W12" s="91" t="n"/>
      <c r="X12" s="91" t="n"/>
      <c r="Y12" s="91" t="n"/>
      <c r="Z12" s="91" t="n"/>
      <c r="AA12" s="91" t="n"/>
      <c r="AB12" s="91" t="n"/>
      <c r="AC12" s="91" t="n"/>
      <c r="AD12" s="91" t="n"/>
      <c r="AE12" s="91" t="n"/>
      <c r="AF12" s="91" t="n"/>
      <c r="AG12" s="91" t="n"/>
      <c r="AH12" s="91" t="n"/>
      <c r="AI12" s="91" t="n"/>
      <c r="AJ12" s="91" t="n"/>
      <c r="AK12" s="91" t="n"/>
    </row>
    <row r="13" ht="13" customHeight="1">
      <c r="A13" s="91" t="n"/>
      <c r="B13" s="91" t="n"/>
      <c r="C13" s="91" t="n"/>
      <c r="D13" s="91" t="n"/>
      <c r="E13" s="91" t="n"/>
      <c r="F13" s="91" t="n"/>
      <c r="G13" s="91" t="n"/>
      <c r="H13" s="91" t="n"/>
      <c r="I13" s="91" t="n"/>
      <c r="J13" s="91" t="n"/>
      <c r="K13" s="91" t="n"/>
      <c r="L13" s="91" t="n"/>
      <c r="M13" s="91" t="n"/>
      <c r="N13" s="91" t="n"/>
      <c r="O13" s="91" t="n"/>
      <c r="P13" s="91" t="n"/>
      <c r="Q13" s="91" t="n"/>
      <c r="R13" s="91" t="n"/>
      <c r="S13" s="91" t="n"/>
      <c r="T13" s="91" t="n"/>
      <c r="U13" s="91" t="n"/>
      <c r="V13" s="91" t="n"/>
      <c r="W13" s="91" t="n"/>
      <c r="X13" s="91" t="n"/>
      <c r="Y13" s="91" t="n"/>
      <c r="Z13" s="91" t="n"/>
      <c r="AA13" s="91" t="n"/>
      <c r="AB13" s="91" t="n"/>
      <c r="AC13" s="91" t="n"/>
      <c r="AD13" s="91" t="n"/>
      <c r="AE13" s="91" t="n"/>
      <c r="AF13" s="91" t="n"/>
      <c r="AG13" s="91" t="n"/>
      <c r="AH13" s="91" t="n"/>
      <c r="AI13" s="91" t="n"/>
      <c r="AJ13" s="91" t="n"/>
      <c r="AK13" s="91" t="n"/>
    </row>
    <row r="14" ht="13" customHeight="1">
      <c r="A14" s="91" t="n"/>
      <c r="B14" s="91" t="n"/>
      <c r="C14" s="91" t="n"/>
      <c r="D14" s="91" t="n"/>
      <c r="E14" s="91" t="n"/>
      <c r="F14" s="91" t="n"/>
      <c r="G14" s="91" t="n"/>
      <c r="H14" s="91" t="n"/>
      <c r="I14" s="91" t="n"/>
      <c r="J14" s="91" t="n"/>
      <c r="K14" s="91" t="n"/>
      <c r="L14" s="91" t="n"/>
      <c r="M14" s="91" t="n"/>
      <c r="N14" s="91" t="n"/>
      <c r="O14" s="91" t="n"/>
      <c r="P14" s="91" t="n"/>
      <c r="Q14" s="91" t="n"/>
      <c r="R14" s="91" t="n"/>
      <c r="S14" s="91" t="n"/>
      <c r="T14" s="91" t="n"/>
      <c r="U14" s="91" t="n"/>
      <c r="V14" s="91" t="n"/>
      <c r="W14" s="91" t="n"/>
      <c r="X14" s="91" t="n"/>
      <c r="Y14" s="91" t="n"/>
      <c r="Z14" s="91" t="n"/>
      <c r="AA14" s="91" t="n"/>
      <c r="AB14" s="91" t="n"/>
      <c r="AC14" s="91" t="n"/>
      <c r="AD14" s="91" t="n"/>
      <c r="AE14" s="91" t="n"/>
      <c r="AF14" s="91" t="n"/>
      <c r="AG14" s="91" t="n"/>
      <c r="AH14" s="91" t="n"/>
      <c r="AI14" s="91" t="n"/>
      <c r="AJ14" s="91" t="n"/>
      <c r="AK14" s="91" t="n"/>
    </row>
    <row r="15" ht="8" customHeight="1"/>
    <row r="16" ht="15" customHeight="1">
      <c r="A16" s="33" t="inlineStr">
        <is>
          <t>S.No.</t>
        </is>
      </c>
      <c r="B16" s="33" t="inlineStr">
        <is>
          <t>Protocols</t>
        </is>
      </c>
      <c r="C16" s="33" t="inlineStr">
        <is>
          <t>Category</t>
        </is>
      </c>
      <c r="D16" s="33" t="inlineStr">
        <is>
          <t>Target</t>
        </is>
      </c>
      <c r="E16" s="92" t="n">
        <v>1</v>
      </c>
      <c r="F16" s="92" t="n">
        <v>2</v>
      </c>
      <c r="G16" s="92" t="n">
        <v>3</v>
      </c>
      <c r="H16" s="93" t="n">
        <v>4</v>
      </c>
      <c r="I16" s="92" t="n">
        <v>5</v>
      </c>
      <c r="J16" s="92" t="n">
        <v>6</v>
      </c>
      <c r="K16" s="92" t="n">
        <v>7</v>
      </c>
      <c r="L16" s="92" t="n">
        <v>8</v>
      </c>
      <c r="M16" s="92" t="n">
        <v>9</v>
      </c>
      <c r="N16" s="92" t="n">
        <v>10</v>
      </c>
      <c r="O16" s="93" t="n">
        <v>11</v>
      </c>
      <c r="P16" s="92" t="n">
        <v>12</v>
      </c>
      <c r="Q16" s="92" t="n">
        <v>13</v>
      </c>
      <c r="R16" s="92" t="n">
        <v>14</v>
      </c>
      <c r="S16" s="92" t="n">
        <v>15</v>
      </c>
      <c r="T16" s="92" t="n">
        <v>16</v>
      </c>
      <c r="U16" s="92" t="n">
        <v>17</v>
      </c>
      <c r="V16" s="93" t="n">
        <v>18</v>
      </c>
      <c r="W16" s="92" t="n">
        <v>19</v>
      </c>
      <c r="X16" s="92" t="n">
        <v>20</v>
      </c>
      <c r="Y16" s="92" t="n">
        <v>21</v>
      </c>
      <c r="Z16" s="92" t="n">
        <v>22</v>
      </c>
      <c r="AA16" s="92" t="n">
        <v>23</v>
      </c>
      <c r="AB16" s="92" t="n">
        <v>24</v>
      </c>
      <c r="AC16" s="93" t="n">
        <v>25</v>
      </c>
      <c r="AD16" s="92" t="n">
        <v>26</v>
      </c>
      <c r="AE16" s="92" t="n">
        <v>27</v>
      </c>
      <c r="AF16" s="92" t="n">
        <v>28</v>
      </c>
      <c r="AG16" s="92" t="n">
        <v>29</v>
      </c>
      <c r="AH16" s="92" t="n">
        <v>30</v>
      </c>
      <c r="AI16" s="94" t="inlineStr">
        <is>
          <t>Success %</t>
        </is>
      </c>
      <c r="AJ16" s="94" t="inlineStr">
        <is>
          <t>Done / Target</t>
        </is>
      </c>
      <c r="AK16" s="94" t="inlineStr">
        <is>
          <t>Status</t>
        </is>
      </c>
      <c r="AL16" t="inlineStr">
        <is>
          <t>Done Count</t>
        </is>
      </c>
    </row>
    <row r="17" ht="15" customHeight="1">
      <c r="A17" s="54" t="n"/>
      <c r="B17" s="54" t="n"/>
      <c r="C17" s="54" t="n"/>
      <c r="D17" s="54" t="n"/>
      <c r="E17" s="95" t="inlineStr">
        <is>
          <t>Th</t>
        </is>
      </c>
      <c r="F17" s="95" t="inlineStr">
        <is>
          <t>F</t>
        </is>
      </c>
      <c r="G17" s="95" t="inlineStr">
        <is>
          <t>Sa</t>
        </is>
      </c>
      <c r="H17" s="96" t="inlineStr">
        <is>
          <t>Su</t>
        </is>
      </c>
      <c r="I17" s="95" t="inlineStr">
        <is>
          <t>M</t>
        </is>
      </c>
      <c r="J17" s="95" t="inlineStr">
        <is>
          <t>T</t>
        </is>
      </c>
      <c r="K17" s="95" t="inlineStr">
        <is>
          <t>W</t>
        </is>
      </c>
      <c r="L17" s="95" t="inlineStr">
        <is>
          <t>Th</t>
        </is>
      </c>
      <c r="M17" s="95" t="inlineStr">
        <is>
          <t>F</t>
        </is>
      </c>
      <c r="N17" s="95" t="inlineStr">
        <is>
          <t>Sa</t>
        </is>
      </c>
      <c r="O17" s="96" t="inlineStr">
        <is>
          <t>Su</t>
        </is>
      </c>
      <c r="P17" s="95" t="inlineStr">
        <is>
          <t>M</t>
        </is>
      </c>
      <c r="Q17" s="95" t="inlineStr">
        <is>
          <t>T</t>
        </is>
      </c>
      <c r="R17" s="95" t="inlineStr">
        <is>
          <t>W</t>
        </is>
      </c>
      <c r="S17" s="95" t="inlineStr">
        <is>
          <t>Th</t>
        </is>
      </c>
      <c r="T17" s="95" t="inlineStr">
        <is>
          <t>F</t>
        </is>
      </c>
      <c r="U17" s="95" t="inlineStr">
        <is>
          <t>Sa</t>
        </is>
      </c>
      <c r="V17" s="96" t="inlineStr">
        <is>
          <t>Su</t>
        </is>
      </c>
      <c r="W17" s="95" t="inlineStr">
        <is>
          <t>M</t>
        </is>
      </c>
      <c r="X17" s="95" t="inlineStr">
        <is>
          <t>T</t>
        </is>
      </c>
      <c r="Y17" s="95" t="inlineStr">
        <is>
          <t>W</t>
        </is>
      </c>
      <c r="Z17" s="95" t="inlineStr">
        <is>
          <t>Th</t>
        </is>
      </c>
      <c r="AA17" s="95" t="inlineStr">
        <is>
          <t>F</t>
        </is>
      </c>
      <c r="AB17" s="95" t="inlineStr">
        <is>
          <t>Sa</t>
        </is>
      </c>
      <c r="AC17" s="96" t="inlineStr">
        <is>
          <t>Su</t>
        </is>
      </c>
      <c r="AD17" s="95" t="inlineStr">
        <is>
          <t>M</t>
        </is>
      </c>
      <c r="AE17" s="95" t="inlineStr">
        <is>
          <t>T</t>
        </is>
      </c>
      <c r="AF17" s="95" t="inlineStr">
        <is>
          <t>W</t>
        </is>
      </c>
      <c r="AG17" s="95" t="inlineStr">
        <is>
          <t>Th</t>
        </is>
      </c>
      <c r="AH17" s="95" t="inlineStr">
        <is>
          <t>F</t>
        </is>
      </c>
      <c r="AI17" s="54" t="n"/>
      <c r="AJ17" s="54" t="n"/>
      <c r="AK17" s="54" t="n"/>
    </row>
    <row r="18" ht="14.5" customHeight="1">
      <c r="A18" s="97" t="n">
        <v>1</v>
      </c>
      <c r="B18" s="98" t="n"/>
      <c r="C18" s="99" t="n"/>
      <c r="D18" s="99" t="n"/>
      <c r="E18" s="100" t="n"/>
      <c r="F18" s="100" t="n"/>
      <c r="G18" s="100" t="n"/>
      <c r="H18" s="101" t="n"/>
      <c r="I18" s="100" t="n"/>
      <c r="J18" s="100" t="n"/>
      <c r="K18" s="100" t="n"/>
      <c r="L18" s="100" t="n"/>
      <c r="M18" s="100" t="n"/>
      <c r="N18" s="100" t="n"/>
      <c r="O18" s="101" t="n"/>
      <c r="P18" s="100" t="n"/>
      <c r="Q18" s="100" t="n"/>
      <c r="R18" s="100" t="n"/>
      <c r="S18" s="100" t="n"/>
      <c r="T18" s="100" t="n"/>
      <c r="U18" s="100" t="n"/>
      <c r="V18" s="101" t="n"/>
      <c r="W18" s="100" t="n"/>
      <c r="X18" s="100" t="n"/>
      <c r="Y18" s="100" t="n"/>
      <c r="Z18" s="100" t="n"/>
      <c r="AA18" s="100" t="n"/>
      <c r="AB18" s="100" t="n"/>
      <c r="AC18" s="101" t="n"/>
      <c r="AD18" s="100" t="n"/>
      <c r="AE18" s="100" t="n"/>
      <c r="AF18" s="100" t="n"/>
      <c r="AG18" s="100" t="n"/>
      <c r="AH18" s="100" t="n"/>
      <c r="AI18" s="102">
        <f>IF(ISBLANK(B18), "", IF(ISNUMBER(D18), IF(D18&gt;0, (COUNTIF(E18:AH18, "✓") + COUNTIF(E18:AH18, "✔") + COUNTIF(E18:AH18, "v") + COUNTIF(E18:AH18, "V"))/D18, 0), IF(((COUNTIF(E18:AH18, "✓") + COUNTIF(E18:AH18, "✔") + COUNTIF(E18:AH18, "v") + COUNTIF(E18:AH18, "V")) + COUNTIF(E18:AH18, "✗") + COUNTIF(E18:AH18, "x") + COUNTIF(E18:AH18, "X"))&gt;0, (COUNTIF(E18:AH18, "✓") + COUNTIF(E18:AH18, "✔") + COUNTIF(E18:AH18, "v") + COUNTIF(E18:AH18, "V"))/((COUNTIF(E18:AH18, "✓") + COUNTIF(E18:AH18, "✔") + COUNTIF(E18:AH18, "v") + COUNTIF(E18:AH18, "V")) + COUNTIF(E18:AH18, "✗") + COUNTIF(E18:AH18, "x") + COUNTIF(E18:AH18, "X")), "")))</f>
        <v/>
      </c>
      <c r="AJ18" s="103">
        <f>IF(ISBLANK(B18), "", IF(ISNUMBER(D18), IF(D18&gt;0, (COUNTIF(E18:AH18, "✓") + COUNTIF(E18:AH18, "✔") + COUNTIF(E18:AH18, "v") + COUNTIF(E18:AH18, "V")) &amp; "/" &amp; D18, (COUNTIF(E18:AH18, "✓") + COUNTIF(E18:AH18, "✔") + COUNTIF(E18:AH18, "v") + COUNTIF(E18:AH18, "V")) &amp; "/0"), IF(((COUNTIF(E18:AH18, "✓") + COUNTIF(E18:AH18, "✔") + COUNTIF(E18:AH18, "v") + COUNTIF(E18:AH18, "V")) + COUNTIF(E18:AH18, "✗") + COUNTIF(E18:AH18, "x") + COUNTIF(E18:AH18, "X"))&gt;0, (COUNTIF(E18:AH18, "✓") + COUNTIF(E18:AH18, "✔") + COUNTIF(E18:AH18, "v") + COUNTIF(E18:AH18, "V")) &amp; "/" &amp; ((COUNTIF(E18:AH18, "✓") + COUNTIF(E18:AH18, "✔") + COUNTIF(E18:AH18, "v") + COUNTIF(E18:AH18, "V")) + COUNTIF(E18:AH18, "✗") + COUNTIF(E18:AH18, "x") + COUNTIF(E18:AH18, "X")), "")))</f>
        <v/>
      </c>
      <c r="AK18" s="103">
        <f>IF(ISBLANK(B18), "", IF(AI18&gt;=0.85, "🔥 Mastered", IF(AI18&gt;=0.7, "⚡ Consistent", "⚠️ Needs Focus")))</f>
        <v/>
      </c>
      <c r="AL18">
        <f>COUNTIF(E18:AH18, "✓")</f>
        <v/>
      </c>
    </row>
    <row r="19" ht="14.5" customHeight="1">
      <c r="A19" s="97" t="n">
        <v>2</v>
      </c>
      <c r="B19" s="98" t="n"/>
      <c r="C19" s="99" t="n"/>
      <c r="D19" s="99" t="n"/>
      <c r="E19" s="100" t="n"/>
      <c r="F19" s="100" t="n"/>
      <c r="G19" s="100" t="n"/>
      <c r="H19" s="101" t="n"/>
      <c r="I19" s="100" t="n"/>
      <c r="J19" s="100" t="n"/>
      <c r="K19" s="100" t="n"/>
      <c r="L19" s="100" t="n"/>
      <c r="M19" s="100" t="n"/>
      <c r="N19" s="100" t="n"/>
      <c r="O19" s="101" t="n"/>
      <c r="P19" s="100" t="n"/>
      <c r="Q19" s="100" t="n"/>
      <c r="R19" s="100" t="n"/>
      <c r="S19" s="100" t="n"/>
      <c r="T19" s="100" t="n"/>
      <c r="U19" s="100" t="n"/>
      <c r="V19" s="101" t="n"/>
      <c r="W19" s="100" t="n"/>
      <c r="X19" s="100" t="n"/>
      <c r="Y19" s="100" t="n"/>
      <c r="Z19" s="100" t="n"/>
      <c r="AA19" s="100" t="n"/>
      <c r="AB19" s="100" t="n"/>
      <c r="AC19" s="101" t="n"/>
      <c r="AD19" s="100" t="n"/>
      <c r="AE19" s="100" t="n"/>
      <c r="AF19" s="100" t="n"/>
      <c r="AG19" s="100" t="n"/>
      <c r="AH19" s="100" t="n"/>
      <c r="AI19" s="102">
        <f>IF(ISBLANK(B19), "", IF(ISNUMBER(D19), IF(D19&gt;0, (COUNTIF(E19:AH19, "✓") + COUNTIF(E19:AH19, "✔") + COUNTIF(E19:AH19, "v") + COUNTIF(E19:AH19, "V"))/D19, 0), IF(((COUNTIF(E19:AH19, "✓") + COUNTIF(E19:AH19, "✔") + COUNTIF(E19:AH19, "v") + COUNTIF(E19:AH19, "V")) + COUNTIF(E19:AH19, "✗") + COUNTIF(E19:AH19, "x") + COUNTIF(E19:AH19, "X"))&gt;0, (COUNTIF(E19:AH19, "✓") + COUNTIF(E19:AH19, "✔") + COUNTIF(E19:AH19, "v") + COUNTIF(E19:AH19, "V"))/((COUNTIF(E19:AH19, "✓") + COUNTIF(E19:AH19, "✔") + COUNTIF(E19:AH19, "v") + COUNTIF(E19:AH19, "V")) + COUNTIF(E19:AH19, "✗") + COUNTIF(E19:AH19, "x") + COUNTIF(E19:AH19, "X")), "")))</f>
        <v/>
      </c>
      <c r="AJ19" s="103">
        <f>IF(ISBLANK(B19), "", IF(ISNUMBER(D19), IF(D19&gt;0, (COUNTIF(E19:AH19, "✓") + COUNTIF(E19:AH19, "✔") + COUNTIF(E19:AH19, "v") + COUNTIF(E19:AH19, "V")) &amp; "/" &amp; D19, (COUNTIF(E19:AH19, "✓") + COUNTIF(E19:AH19, "✔") + COUNTIF(E19:AH19, "v") + COUNTIF(E19:AH19, "V")) &amp; "/0"), IF(((COUNTIF(E19:AH19, "✓") + COUNTIF(E19:AH19, "✔") + COUNTIF(E19:AH19, "v") + COUNTIF(E19:AH19, "V")) + COUNTIF(E19:AH19, "✗") + COUNTIF(E19:AH19, "x") + COUNTIF(E19:AH19, "X"))&gt;0, (COUNTIF(E19:AH19, "✓") + COUNTIF(E19:AH19, "✔") + COUNTIF(E19:AH19, "v") + COUNTIF(E19:AH19, "V")) &amp; "/" &amp; ((COUNTIF(E19:AH19, "✓") + COUNTIF(E19:AH19, "✔") + COUNTIF(E19:AH19, "v") + COUNTIF(E19:AH19, "V")) + COUNTIF(E19:AH19, "✗") + COUNTIF(E19:AH19, "x") + COUNTIF(E19:AH19, "X")), "")))</f>
        <v/>
      </c>
      <c r="AK19" s="103">
        <f>IF(ISBLANK(B19), "", IF(AI19&gt;=0.85, "🔥 Mastered", IF(AI19&gt;=0.7, "⚡ Consistent", "⚠️ Needs Focus")))</f>
        <v/>
      </c>
      <c r="AL19">
        <f>COUNTIF(E19:AH19, "✓")</f>
        <v/>
      </c>
    </row>
    <row r="20" ht="14.5" customHeight="1">
      <c r="A20" s="97" t="n">
        <v>3</v>
      </c>
      <c r="B20" s="98" t="n"/>
      <c r="C20" s="99" t="n"/>
      <c r="D20" s="99" t="n"/>
      <c r="E20" s="100" t="n"/>
      <c r="F20" s="100" t="n"/>
      <c r="G20" s="100" t="n"/>
      <c r="H20" s="101" t="n"/>
      <c r="I20" s="100" t="n"/>
      <c r="J20" s="100" t="n"/>
      <c r="K20" s="100" t="n"/>
      <c r="L20" s="100" t="n"/>
      <c r="M20" s="100" t="n"/>
      <c r="N20" s="100" t="n"/>
      <c r="O20" s="101" t="n"/>
      <c r="P20" s="100" t="n"/>
      <c r="Q20" s="100" t="n"/>
      <c r="R20" s="100" t="n"/>
      <c r="S20" s="100" t="n"/>
      <c r="T20" s="100" t="n"/>
      <c r="U20" s="100" t="n"/>
      <c r="V20" s="101" t="n"/>
      <c r="W20" s="100" t="n"/>
      <c r="X20" s="100" t="n"/>
      <c r="Y20" s="100" t="n"/>
      <c r="Z20" s="100" t="n"/>
      <c r="AA20" s="100" t="n"/>
      <c r="AB20" s="100" t="n"/>
      <c r="AC20" s="101" t="n"/>
      <c r="AD20" s="100" t="n"/>
      <c r="AE20" s="100" t="n"/>
      <c r="AF20" s="100" t="n"/>
      <c r="AG20" s="100" t="n"/>
      <c r="AH20" s="100" t="n"/>
      <c r="AI20" s="102">
        <f>IF(ISBLANK(B20), "", IF(ISNUMBER(D20), IF(D20&gt;0, (COUNTIF(E20:AH20, "✓") + COUNTIF(E20:AH20, "✔") + COUNTIF(E20:AH20, "v") + COUNTIF(E20:AH20, "V"))/D20, 0), IF(((COUNTIF(E20:AH20, "✓") + COUNTIF(E20:AH20, "✔") + COUNTIF(E20:AH20, "v") + COUNTIF(E20:AH20, "V")) + COUNTIF(E20:AH20, "✗") + COUNTIF(E20:AH20, "x") + COUNTIF(E20:AH20, "X"))&gt;0, (COUNTIF(E20:AH20, "✓") + COUNTIF(E20:AH20, "✔") + COUNTIF(E20:AH20, "v") + COUNTIF(E20:AH20, "V"))/((COUNTIF(E20:AH20, "✓") + COUNTIF(E20:AH20, "✔") + COUNTIF(E20:AH20, "v") + COUNTIF(E20:AH20, "V")) + COUNTIF(E20:AH20, "✗") + COUNTIF(E20:AH20, "x") + COUNTIF(E20:AH20, "X")), "")))</f>
        <v/>
      </c>
      <c r="AJ20" s="103">
        <f>IF(ISBLANK(B20), "", IF(ISNUMBER(D20), IF(D20&gt;0, (COUNTIF(E20:AH20, "✓") + COUNTIF(E20:AH20, "✔") + COUNTIF(E20:AH20, "v") + COUNTIF(E20:AH20, "V")) &amp; "/" &amp; D20, (COUNTIF(E20:AH20, "✓") + COUNTIF(E20:AH20, "✔") + COUNTIF(E20:AH20, "v") + COUNTIF(E20:AH20, "V")) &amp; "/0"), IF(((COUNTIF(E20:AH20, "✓") + COUNTIF(E20:AH20, "✔") + COUNTIF(E20:AH20, "v") + COUNTIF(E20:AH20, "V")) + COUNTIF(E20:AH20, "✗") + COUNTIF(E20:AH20, "x") + COUNTIF(E20:AH20, "X"))&gt;0, (COUNTIF(E20:AH20, "✓") + COUNTIF(E20:AH20, "✔") + COUNTIF(E20:AH20, "v") + COUNTIF(E20:AH20, "V")) &amp; "/" &amp; ((COUNTIF(E20:AH20, "✓") + COUNTIF(E20:AH20, "✔") + COUNTIF(E20:AH20, "v") + COUNTIF(E20:AH20, "V")) + COUNTIF(E20:AH20, "✗") + COUNTIF(E20:AH20, "x") + COUNTIF(E20:AH20, "X")), "")))</f>
        <v/>
      </c>
      <c r="AK20" s="103">
        <f>IF(ISBLANK(B20), "", IF(AI20&gt;=0.85, "🔥 Mastered", IF(AI20&gt;=0.7, "⚡ Consistent", "⚠️ Needs Focus")))</f>
        <v/>
      </c>
      <c r="AL20">
        <f>COUNTIF(E20:AH20, "✓")</f>
        <v/>
      </c>
    </row>
    <row r="21" ht="14.5" customHeight="1">
      <c r="A21" s="97" t="n">
        <v>4</v>
      </c>
      <c r="B21" s="98" t="n"/>
      <c r="C21" s="99" t="n"/>
      <c r="D21" s="99" t="n"/>
      <c r="E21" s="100" t="n"/>
      <c r="F21" s="100" t="n"/>
      <c r="G21" s="100" t="n"/>
      <c r="H21" s="101" t="n"/>
      <c r="I21" s="100" t="n"/>
      <c r="J21" s="100" t="n"/>
      <c r="K21" s="100" t="n"/>
      <c r="L21" s="100" t="n"/>
      <c r="M21" s="100" t="n"/>
      <c r="N21" s="100" t="n"/>
      <c r="O21" s="101" t="n"/>
      <c r="P21" s="100" t="n"/>
      <c r="Q21" s="100" t="n"/>
      <c r="R21" s="100" t="n"/>
      <c r="S21" s="100" t="n"/>
      <c r="T21" s="100" t="n"/>
      <c r="U21" s="100" t="n"/>
      <c r="V21" s="101" t="n"/>
      <c r="W21" s="100" t="n"/>
      <c r="X21" s="100" t="n"/>
      <c r="Y21" s="100" t="n"/>
      <c r="Z21" s="100" t="n"/>
      <c r="AA21" s="100" t="n"/>
      <c r="AB21" s="100" t="n"/>
      <c r="AC21" s="101" t="n"/>
      <c r="AD21" s="100" t="n"/>
      <c r="AE21" s="100" t="n"/>
      <c r="AF21" s="100" t="n"/>
      <c r="AG21" s="100" t="n"/>
      <c r="AH21" s="100" t="n"/>
      <c r="AI21" s="102">
        <f>IF(ISBLANK(B21), "", IF(ISNUMBER(D21), IF(D21&gt;0, (COUNTIF(E21:AH21, "✓") + COUNTIF(E21:AH21, "✔") + COUNTIF(E21:AH21, "v") + COUNTIF(E21:AH21, "V"))/D21, 0), IF(((COUNTIF(E21:AH21, "✓") + COUNTIF(E21:AH21, "✔") + COUNTIF(E21:AH21, "v") + COUNTIF(E21:AH21, "V")) + COUNTIF(E21:AH21, "✗") + COUNTIF(E21:AH21, "x") + COUNTIF(E21:AH21, "X"))&gt;0, (COUNTIF(E21:AH21, "✓") + COUNTIF(E21:AH21, "✔") + COUNTIF(E21:AH21, "v") + COUNTIF(E21:AH21, "V"))/((COUNTIF(E21:AH21, "✓") + COUNTIF(E21:AH21, "✔") + COUNTIF(E21:AH21, "v") + COUNTIF(E21:AH21, "V")) + COUNTIF(E21:AH21, "✗") + COUNTIF(E21:AH21, "x") + COUNTIF(E21:AH21, "X")), "")))</f>
        <v/>
      </c>
      <c r="AJ21" s="103">
        <f>IF(ISBLANK(B21), "", IF(ISNUMBER(D21), IF(D21&gt;0, (COUNTIF(E21:AH21, "✓") + COUNTIF(E21:AH21, "✔") + COUNTIF(E21:AH21, "v") + COUNTIF(E21:AH21, "V")) &amp; "/" &amp; D21, (COUNTIF(E21:AH21, "✓") + COUNTIF(E21:AH21, "✔") + COUNTIF(E21:AH21, "v") + COUNTIF(E21:AH21, "V")) &amp; "/0"), IF(((COUNTIF(E21:AH21, "✓") + COUNTIF(E21:AH21, "✔") + COUNTIF(E21:AH21, "v") + COUNTIF(E21:AH21, "V")) + COUNTIF(E21:AH21, "✗") + COUNTIF(E21:AH21, "x") + COUNTIF(E21:AH21, "X"))&gt;0, (COUNTIF(E21:AH21, "✓") + COUNTIF(E21:AH21, "✔") + COUNTIF(E21:AH21, "v") + COUNTIF(E21:AH21, "V")) &amp; "/" &amp; ((COUNTIF(E21:AH21, "✓") + COUNTIF(E21:AH21, "✔") + COUNTIF(E21:AH21, "v") + COUNTIF(E21:AH21, "V")) + COUNTIF(E21:AH21, "✗") + COUNTIF(E21:AH21, "x") + COUNTIF(E21:AH21, "X")), "")))</f>
        <v/>
      </c>
      <c r="AK21" s="103">
        <f>IF(ISBLANK(B21), "", IF(AI21&gt;=0.85, "🔥 Mastered", IF(AI21&gt;=0.7, "⚡ Consistent", "⚠️ Needs Focus")))</f>
        <v/>
      </c>
      <c r="AL21">
        <f>COUNTIF(E21:AH21, "✓")</f>
        <v/>
      </c>
    </row>
    <row r="22" ht="14.5" customHeight="1">
      <c r="A22" s="104" t="n">
        <v>5</v>
      </c>
      <c r="B22" s="105" t="n"/>
      <c r="C22" s="106" t="n"/>
      <c r="D22" s="106" t="n"/>
      <c r="E22" s="107" t="n"/>
      <c r="F22" s="107" t="n"/>
      <c r="G22" s="107" t="n"/>
      <c r="H22" s="108" t="n"/>
      <c r="I22" s="107" t="n"/>
      <c r="J22" s="107" t="n"/>
      <c r="K22" s="107" t="n"/>
      <c r="L22" s="107" t="n"/>
      <c r="M22" s="107" t="n"/>
      <c r="N22" s="107" t="n"/>
      <c r="O22" s="108" t="n"/>
      <c r="P22" s="107" t="n"/>
      <c r="Q22" s="107" t="n"/>
      <c r="R22" s="107" t="n"/>
      <c r="S22" s="107" t="n"/>
      <c r="T22" s="107" t="n"/>
      <c r="U22" s="107" t="n"/>
      <c r="V22" s="108" t="n"/>
      <c r="W22" s="107" t="n"/>
      <c r="X22" s="107" t="n"/>
      <c r="Y22" s="107" t="n"/>
      <c r="Z22" s="107" t="n"/>
      <c r="AA22" s="107" t="n"/>
      <c r="AB22" s="107" t="n"/>
      <c r="AC22" s="108" t="n"/>
      <c r="AD22" s="107" t="n"/>
      <c r="AE22" s="107" t="n"/>
      <c r="AF22" s="107" t="n"/>
      <c r="AG22" s="107" t="n"/>
      <c r="AH22" s="107" t="n"/>
      <c r="AI22" s="109">
        <f>IF(ISBLANK(B22), "", IF(ISNUMBER(D22), IF(D22&gt;0, (COUNTIF(E22:AH22, "✓") + COUNTIF(E22:AH22, "✔") + COUNTIF(E22:AH22, "v") + COUNTIF(E22:AH22, "V"))/D22, 0), IF(((COUNTIF(E22:AH22, "✓") + COUNTIF(E22:AH22, "✔") + COUNTIF(E22:AH22, "v") + COUNTIF(E22:AH22, "V")) + COUNTIF(E22:AH22, "✗") + COUNTIF(E22:AH22, "x") + COUNTIF(E22:AH22, "X"))&gt;0, (COUNTIF(E22:AH22, "✓") + COUNTIF(E22:AH22, "✔") + COUNTIF(E22:AH22, "v") + COUNTIF(E22:AH22, "V"))/((COUNTIF(E22:AH22, "✓") + COUNTIF(E22:AH22, "✔") + COUNTIF(E22:AH22, "v") + COUNTIF(E22:AH22, "V")) + COUNTIF(E22:AH22, "✗") + COUNTIF(E22:AH22, "x") + COUNTIF(E22:AH22, "X")), "")))</f>
        <v/>
      </c>
      <c r="AJ22" s="110">
        <f>IF(ISBLANK(B22), "", IF(ISNUMBER(D22), IF(D22&gt;0, (COUNTIF(E22:AH22, "✓") + COUNTIF(E22:AH22, "✔") + COUNTIF(E22:AH22, "v") + COUNTIF(E22:AH22, "V")) &amp; "/" &amp; D22, (COUNTIF(E22:AH22, "✓") + COUNTIF(E22:AH22, "✔") + COUNTIF(E22:AH22, "v") + COUNTIF(E22:AH22, "V")) &amp; "/0"), IF(((COUNTIF(E22:AH22, "✓") + COUNTIF(E22:AH22, "✔") + COUNTIF(E22:AH22, "v") + COUNTIF(E22:AH22, "V")) + COUNTIF(E22:AH22, "✗") + COUNTIF(E22:AH22, "x") + COUNTIF(E22:AH22, "X"))&gt;0, (COUNTIF(E22:AH22, "✓") + COUNTIF(E22:AH22, "✔") + COUNTIF(E22:AH22, "v") + COUNTIF(E22:AH22, "V")) &amp; "/" &amp; ((COUNTIF(E22:AH22, "✓") + COUNTIF(E22:AH22, "✔") + COUNTIF(E22:AH22, "v") + COUNTIF(E22:AH22, "V")) + COUNTIF(E22:AH22, "✗") + COUNTIF(E22:AH22, "x") + COUNTIF(E22:AH22, "X")), "")))</f>
        <v/>
      </c>
      <c r="AK22" s="110">
        <f>IF(ISBLANK(B22), "", IF(AI22&gt;=0.85, "🔥 Mastered", IF(AI22&gt;=0.7, "⚡ Consistent", "⚠️ Needs Focus")))</f>
        <v/>
      </c>
      <c r="AL22">
        <f>COUNTIF(E22:AH22, "✓")</f>
        <v/>
      </c>
    </row>
    <row r="23" ht="14.5" customHeight="1">
      <c r="A23" s="104" t="n">
        <v>6</v>
      </c>
      <c r="B23" s="105" t="n"/>
      <c r="C23" s="106" t="n"/>
      <c r="D23" s="106" t="n"/>
      <c r="E23" s="107" t="n"/>
      <c r="F23" s="107" t="n"/>
      <c r="G23" s="107" t="n"/>
      <c r="H23" s="108" t="n"/>
      <c r="I23" s="107" t="n"/>
      <c r="J23" s="107" t="n"/>
      <c r="K23" s="107" t="n"/>
      <c r="L23" s="107" t="n"/>
      <c r="M23" s="107" t="n"/>
      <c r="N23" s="107" t="n"/>
      <c r="O23" s="108" t="n"/>
      <c r="P23" s="107" t="n"/>
      <c r="Q23" s="107" t="n"/>
      <c r="R23" s="107" t="n"/>
      <c r="S23" s="107" t="n"/>
      <c r="T23" s="107" t="n"/>
      <c r="U23" s="107" t="n"/>
      <c r="V23" s="108" t="n"/>
      <c r="W23" s="107" t="n"/>
      <c r="X23" s="107" t="n"/>
      <c r="Y23" s="107" t="n"/>
      <c r="Z23" s="107" t="n"/>
      <c r="AA23" s="107" t="n"/>
      <c r="AB23" s="107" t="n"/>
      <c r="AC23" s="108" t="n"/>
      <c r="AD23" s="107" t="n"/>
      <c r="AE23" s="107" t="n"/>
      <c r="AF23" s="107" t="n"/>
      <c r="AG23" s="107" t="n"/>
      <c r="AH23" s="107" t="n"/>
      <c r="AI23" s="109">
        <f>IF(ISBLANK(B23), "", IF(ISNUMBER(D23), IF(D23&gt;0, (COUNTIF(E23:AH23, "✓") + COUNTIF(E23:AH23, "✔") + COUNTIF(E23:AH23, "v") + COUNTIF(E23:AH23, "V"))/D23, 0), IF(((COUNTIF(E23:AH23, "✓") + COUNTIF(E23:AH23, "✔") + COUNTIF(E23:AH23, "v") + COUNTIF(E23:AH23, "V")) + COUNTIF(E23:AH23, "✗") + COUNTIF(E23:AH23, "x") + COUNTIF(E23:AH23, "X"))&gt;0, (COUNTIF(E23:AH23, "✓") + COUNTIF(E23:AH23, "✔") + COUNTIF(E23:AH23, "v") + COUNTIF(E23:AH23, "V"))/((COUNTIF(E23:AH23, "✓") + COUNTIF(E23:AH23, "✔") + COUNTIF(E23:AH23, "v") + COUNTIF(E23:AH23, "V")) + COUNTIF(E23:AH23, "✗") + COUNTIF(E23:AH23, "x") + COUNTIF(E23:AH23, "X")), "")))</f>
        <v/>
      </c>
      <c r="AJ23" s="110">
        <f>IF(ISBLANK(B23), "", IF(ISNUMBER(D23), IF(D23&gt;0, (COUNTIF(E23:AH23, "✓") + COUNTIF(E23:AH23, "✔") + COUNTIF(E23:AH23, "v") + COUNTIF(E23:AH23, "V")) &amp; "/" &amp; D23, (COUNTIF(E23:AH23, "✓") + COUNTIF(E23:AH23, "✔") + COUNTIF(E23:AH23, "v") + COUNTIF(E23:AH23, "V")) &amp; "/0"), IF(((COUNTIF(E23:AH23, "✓") + COUNTIF(E23:AH23, "✔") + COUNTIF(E23:AH23, "v") + COUNTIF(E23:AH23, "V")) + COUNTIF(E23:AH23, "✗") + COUNTIF(E23:AH23, "x") + COUNTIF(E23:AH23, "X"))&gt;0, (COUNTIF(E23:AH23, "✓") + COUNTIF(E23:AH23, "✔") + COUNTIF(E23:AH23, "v") + COUNTIF(E23:AH23, "V")) &amp; "/" &amp; ((COUNTIF(E23:AH23, "✓") + COUNTIF(E23:AH23, "✔") + COUNTIF(E23:AH23, "v") + COUNTIF(E23:AH23, "V")) + COUNTIF(E23:AH23, "✗") + COUNTIF(E23:AH23, "x") + COUNTIF(E23:AH23, "X")), "")))</f>
        <v/>
      </c>
      <c r="AK23" s="110">
        <f>IF(ISBLANK(B23), "", IF(AI23&gt;=0.85, "🔥 Mastered", IF(AI23&gt;=0.7, "⚡ Consistent", "⚠️ Needs Focus")))</f>
        <v/>
      </c>
      <c r="AL23">
        <f>COUNTIF(E23:AH23, "✓")</f>
        <v/>
      </c>
    </row>
    <row r="24" ht="14.5" customHeight="1">
      <c r="A24" s="104" t="n">
        <v>7</v>
      </c>
      <c r="B24" s="105" t="n"/>
      <c r="C24" s="106" t="n"/>
      <c r="D24" s="106" t="n"/>
      <c r="E24" s="107" t="n"/>
      <c r="F24" s="107" t="n"/>
      <c r="G24" s="107" t="n"/>
      <c r="H24" s="108" t="n"/>
      <c r="I24" s="107" t="n"/>
      <c r="J24" s="107" t="n"/>
      <c r="K24" s="107" t="n"/>
      <c r="L24" s="107" t="n"/>
      <c r="M24" s="107" t="n"/>
      <c r="N24" s="107" t="n"/>
      <c r="O24" s="108" t="n"/>
      <c r="P24" s="107" t="n"/>
      <c r="Q24" s="107" t="n"/>
      <c r="R24" s="107" t="n"/>
      <c r="S24" s="107" t="n"/>
      <c r="T24" s="107" t="n"/>
      <c r="U24" s="107" t="n"/>
      <c r="V24" s="108" t="n"/>
      <c r="W24" s="107" t="n"/>
      <c r="X24" s="107" t="n"/>
      <c r="Y24" s="107" t="n"/>
      <c r="Z24" s="107" t="n"/>
      <c r="AA24" s="107" t="n"/>
      <c r="AB24" s="107" t="n"/>
      <c r="AC24" s="108" t="n"/>
      <c r="AD24" s="107" t="n"/>
      <c r="AE24" s="107" t="n"/>
      <c r="AF24" s="107" t="n"/>
      <c r="AG24" s="107" t="n"/>
      <c r="AH24" s="107" t="n"/>
      <c r="AI24" s="109">
        <f>IF(ISBLANK(B24), "", IF(ISNUMBER(D24), IF(D24&gt;0, (COUNTIF(E24:AH24, "✓") + COUNTIF(E24:AH24, "✔") + COUNTIF(E24:AH24, "v") + COUNTIF(E24:AH24, "V"))/D24, 0), IF(((COUNTIF(E24:AH24, "✓") + COUNTIF(E24:AH24, "✔") + COUNTIF(E24:AH24, "v") + COUNTIF(E24:AH24, "V")) + COUNTIF(E24:AH24, "✗") + COUNTIF(E24:AH24, "x") + COUNTIF(E24:AH24, "X"))&gt;0, (COUNTIF(E24:AH24, "✓") + COUNTIF(E24:AH24, "✔") + COUNTIF(E24:AH24, "v") + COUNTIF(E24:AH24, "V"))/((COUNTIF(E24:AH24, "✓") + COUNTIF(E24:AH24, "✔") + COUNTIF(E24:AH24, "v") + COUNTIF(E24:AH24, "V")) + COUNTIF(E24:AH24, "✗") + COUNTIF(E24:AH24, "x") + COUNTIF(E24:AH24, "X")), "")))</f>
        <v/>
      </c>
      <c r="AJ24" s="110">
        <f>IF(ISBLANK(B24), "", IF(ISNUMBER(D24), IF(D24&gt;0, (COUNTIF(E24:AH24, "✓") + COUNTIF(E24:AH24, "✔") + COUNTIF(E24:AH24, "v") + COUNTIF(E24:AH24, "V")) &amp; "/" &amp; D24, (COUNTIF(E24:AH24, "✓") + COUNTIF(E24:AH24, "✔") + COUNTIF(E24:AH24, "v") + COUNTIF(E24:AH24, "V")) &amp; "/0"), IF(((COUNTIF(E24:AH24, "✓") + COUNTIF(E24:AH24, "✔") + COUNTIF(E24:AH24, "v") + COUNTIF(E24:AH24, "V")) + COUNTIF(E24:AH24, "✗") + COUNTIF(E24:AH24, "x") + COUNTIF(E24:AH24, "X"))&gt;0, (COUNTIF(E24:AH24, "✓") + COUNTIF(E24:AH24, "✔") + COUNTIF(E24:AH24, "v") + COUNTIF(E24:AH24, "V")) &amp; "/" &amp; ((COUNTIF(E24:AH24, "✓") + COUNTIF(E24:AH24, "✔") + COUNTIF(E24:AH24, "v") + COUNTIF(E24:AH24, "V")) + COUNTIF(E24:AH24, "✗") + COUNTIF(E24:AH24, "x") + COUNTIF(E24:AH24, "X")), "")))</f>
        <v/>
      </c>
      <c r="AK24" s="110">
        <f>IF(ISBLANK(B24), "", IF(AI24&gt;=0.85, "🔥 Mastered", IF(AI24&gt;=0.7, "⚡ Consistent", "⚠️ Needs Focus")))</f>
        <v/>
      </c>
      <c r="AL24">
        <f>COUNTIF(E24:AH24, "✓")</f>
        <v/>
      </c>
    </row>
    <row r="25" ht="14.5" customHeight="1">
      <c r="A25" s="104" t="n">
        <v>8</v>
      </c>
      <c r="B25" s="105" t="n"/>
      <c r="C25" s="106" t="n"/>
      <c r="D25" s="106" t="n"/>
      <c r="E25" s="107" t="n"/>
      <c r="F25" s="107" t="n"/>
      <c r="G25" s="107" t="n"/>
      <c r="H25" s="108" t="n"/>
      <c r="I25" s="107" t="n"/>
      <c r="J25" s="107" t="n"/>
      <c r="K25" s="107" t="n"/>
      <c r="L25" s="107" t="n"/>
      <c r="M25" s="107" t="n"/>
      <c r="N25" s="107" t="n"/>
      <c r="O25" s="108" t="n"/>
      <c r="P25" s="107" t="n"/>
      <c r="Q25" s="107" t="n"/>
      <c r="R25" s="107" t="n"/>
      <c r="S25" s="107" t="n"/>
      <c r="T25" s="107" t="n"/>
      <c r="U25" s="107" t="n"/>
      <c r="V25" s="108" t="n"/>
      <c r="W25" s="107" t="n"/>
      <c r="X25" s="107" t="n"/>
      <c r="Y25" s="107" t="n"/>
      <c r="Z25" s="107" t="n"/>
      <c r="AA25" s="107" t="n"/>
      <c r="AB25" s="107" t="n"/>
      <c r="AC25" s="108" t="n"/>
      <c r="AD25" s="107" t="n"/>
      <c r="AE25" s="107" t="n"/>
      <c r="AF25" s="107" t="n"/>
      <c r="AG25" s="107" t="n"/>
      <c r="AH25" s="107" t="n"/>
      <c r="AI25" s="109">
        <f>IF(ISBLANK(B25), "", IF(ISNUMBER(D25), IF(D25&gt;0, (COUNTIF(E25:AH25, "✓") + COUNTIF(E25:AH25, "✔") + COUNTIF(E25:AH25, "v") + COUNTIF(E25:AH25, "V"))/D25, 0), IF(((COUNTIF(E25:AH25, "✓") + COUNTIF(E25:AH25, "✔") + COUNTIF(E25:AH25, "v") + COUNTIF(E25:AH25, "V")) + COUNTIF(E25:AH25, "✗") + COUNTIF(E25:AH25, "x") + COUNTIF(E25:AH25, "X"))&gt;0, (COUNTIF(E25:AH25, "✓") + COUNTIF(E25:AH25, "✔") + COUNTIF(E25:AH25, "v") + COUNTIF(E25:AH25, "V"))/((COUNTIF(E25:AH25, "✓") + COUNTIF(E25:AH25, "✔") + COUNTIF(E25:AH25, "v") + COUNTIF(E25:AH25, "V")) + COUNTIF(E25:AH25, "✗") + COUNTIF(E25:AH25, "x") + COUNTIF(E25:AH25, "X")), "")))</f>
        <v/>
      </c>
      <c r="AJ25" s="110">
        <f>IF(ISBLANK(B25), "", IF(ISNUMBER(D25), IF(D25&gt;0, (COUNTIF(E25:AH25, "✓") + COUNTIF(E25:AH25, "✔") + COUNTIF(E25:AH25, "v") + COUNTIF(E25:AH25, "V")) &amp; "/" &amp; D25, (COUNTIF(E25:AH25, "✓") + COUNTIF(E25:AH25, "✔") + COUNTIF(E25:AH25, "v") + COUNTIF(E25:AH25, "V")) &amp; "/0"), IF(((COUNTIF(E25:AH25, "✓") + COUNTIF(E25:AH25, "✔") + COUNTIF(E25:AH25, "v") + COUNTIF(E25:AH25, "V")) + COUNTIF(E25:AH25, "✗") + COUNTIF(E25:AH25, "x") + COUNTIF(E25:AH25, "X"))&gt;0, (COUNTIF(E25:AH25, "✓") + COUNTIF(E25:AH25, "✔") + COUNTIF(E25:AH25, "v") + COUNTIF(E25:AH25, "V")) &amp; "/" &amp; ((COUNTIF(E25:AH25, "✓") + COUNTIF(E25:AH25, "✔") + COUNTIF(E25:AH25, "v") + COUNTIF(E25:AH25, "V")) + COUNTIF(E25:AH25, "✗") + COUNTIF(E25:AH25, "x") + COUNTIF(E25:AH25, "X")), "")))</f>
        <v/>
      </c>
      <c r="AK25" s="110">
        <f>IF(ISBLANK(B25), "", IF(AI25&gt;=0.85, "🔥 Mastered", IF(AI25&gt;=0.7, "⚡ Consistent", "⚠️ Needs Focus")))</f>
        <v/>
      </c>
      <c r="AL25">
        <f>COUNTIF(E25:AH25, "✓")</f>
        <v/>
      </c>
    </row>
    <row r="26" ht="14.5" customHeight="1">
      <c r="A26" s="111" t="n">
        <v>9</v>
      </c>
      <c r="B26" s="112" t="n"/>
      <c r="C26" s="113" t="n"/>
      <c r="D26" s="113" t="n"/>
      <c r="E26" s="114" t="n"/>
      <c r="F26" s="114" t="n"/>
      <c r="G26" s="114" t="n"/>
      <c r="H26" s="115" t="n"/>
      <c r="I26" s="114" t="n"/>
      <c r="J26" s="114" t="n"/>
      <c r="K26" s="114" t="n"/>
      <c r="L26" s="114" t="n"/>
      <c r="M26" s="114" t="n"/>
      <c r="N26" s="114" t="n"/>
      <c r="O26" s="115" t="n"/>
      <c r="P26" s="114" t="n"/>
      <c r="Q26" s="114" t="n"/>
      <c r="R26" s="114" t="n"/>
      <c r="S26" s="114" t="n"/>
      <c r="T26" s="114" t="n"/>
      <c r="U26" s="114" t="n"/>
      <c r="V26" s="115" t="n"/>
      <c r="W26" s="114" t="n"/>
      <c r="X26" s="114" t="n"/>
      <c r="Y26" s="114" t="n"/>
      <c r="Z26" s="114" t="n"/>
      <c r="AA26" s="114" t="n"/>
      <c r="AB26" s="114" t="n"/>
      <c r="AC26" s="115" t="n"/>
      <c r="AD26" s="114" t="n"/>
      <c r="AE26" s="114" t="n"/>
      <c r="AF26" s="114" t="n"/>
      <c r="AG26" s="114" t="n"/>
      <c r="AH26" s="114" t="n"/>
      <c r="AI26" s="116">
        <f>IF(ISBLANK(B26), "", IF(ISNUMBER(D26), IF(D26&gt;0, (COUNTIF(E26:AH26, "✓") + COUNTIF(E26:AH26, "✔") + COUNTIF(E26:AH26, "v") + COUNTIF(E26:AH26, "V"))/D26, 0), IF(((COUNTIF(E26:AH26, "✓") + COUNTIF(E26:AH26, "✔") + COUNTIF(E26:AH26, "v") + COUNTIF(E26:AH26, "V")) + COUNTIF(E26:AH26, "✗") + COUNTIF(E26:AH26, "x") + COUNTIF(E26:AH26, "X"))&gt;0, (COUNTIF(E26:AH26, "✓") + COUNTIF(E26:AH26, "✔") + COUNTIF(E26:AH26, "v") + COUNTIF(E26:AH26, "V"))/((COUNTIF(E26:AH26, "✓") + COUNTIF(E26:AH26, "✔") + COUNTIF(E26:AH26, "v") + COUNTIF(E26:AH26, "V")) + COUNTIF(E26:AH26, "✗") + COUNTIF(E26:AH26, "x") + COUNTIF(E26:AH26, "X")), "")))</f>
        <v/>
      </c>
      <c r="AJ26" s="117">
        <f>IF(ISBLANK(B26), "", IF(ISNUMBER(D26), IF(D26&gt;0, (COUNTIF(E26:AH26, "✓") + COUNTIF(E26:AH26, "✔") + COUNTIF(E26:AH26, "v") + COUNTIF(E26:AH26, "V")) &amp; "/" &amp; D26, (COUNTIF(E26:AH26, "✓") + COUNTIF(E26:AH26, "✔") + COUNTIF(E26:AH26, "v") + COUNTIF(E26:AH26, "V")) &amp; "/0"), IF(((COUNTIF(E26:AH26, "✓") + COUNTIF(E26:AH26, "✔") + COUNTIF(E26:AH26, "v") + COUNTIF(E26:AH26, "V")) + COUNTIF(E26:AH26, "✗") + COUNTIF(E26:AH26, "x") + COUNTIF(E26:AH26, "X"))&gt;0, (COUNTIF(E26:AH26, "✓") + COUNTIF(E26:AH26, "✔") + COUNTIF(E26:AH26, "v") + COUNTIF(E26:AH26, "V")) &amp; "/" &amp; ((COUNTIF(E26:AH26, "✓") + COUNTIF(E26:AH26, "✔") + COUNTIF(E26:AH26, "v") + COUNTIF(E26:AH26, "V")) + COUNTIF(E26:AH26, "✗") + COUNTIF(E26:AH26, "x") + COUNTIF(E26:AH26, "X")), "")))</f>
        <v/>
      </c>
      <c r="AK26" s="117">
        <f>IF(ISBLANK(B26), "", IF(AI26&gt;=0.85, "🔥 Mastered", IF(AI26&gt;=0.7, "⚡ Consistent", "⚠️ Needs Focus")))</f>
        <v/>
      </c>
      <c r="AL26">
        <f>COUNTIF(E26:AH26, "✓")</f>
        <v/>
      </c>
    </row>
    <row r="27" ht="14.5" customHeight="1">
      <c r="A27" s="111" t="n">
        <v>10</v>
      </c>
      <c r="B27" s="112" t="n"/>
      <c r="C27" s="113" t="n"/>
      <c r="D27" s="113" t="n"/>
      <c r="E27" s="114" t="n"/>
      <c r="F27" s="114" t="n"/>
      <c r="G27" s="114" t="n"/>
      <c r="H27" s="115" t="n"/>
      <c r="I27" s="114" t="n"/>
      <c r="J27" s="114" t="n"/>
      <c r="K27" s="114" t="n"/>
      <c r="L27" s="114" t="n"/>
      <c r="M27" s="114" t="n"/>
      <c r="N27" s="114" t="n"/>
      <c r="O27" s="115" t="n"/>
      <c r="P27" s="114" t="n"/>
      <c r="Q27" s="114" t="n"/>
      <c r="R27" s="114" t="n"/>
      <c r="S27" s="114" t="n"/>
      <c r="T27" s="114" t="n"/>
      <c r="U27" s="114" t="n"/>
      <c r="V27" s="115" t="n"/>
      <c r="W27" s="114" t="n"/>
      <c r="X27" s="114" t="n"/>
      <c r="Y27" s="114" t="n"/>
      <c r="Z27" s="114" t="n"/>
      <c r="AA27" s="114" t="n"/>
      <c r="AB27" s="114" t="n"/>
      <c r="AC27" s="115" t="n"/>
      <c r="AD27" s="114" t="n"/>
      <c r="AE27" s="114" t="n"/>
      <c r="AF27" s="114" t="n"/>
      <c r="AG27" s="114" t="n"/>
      <c r="AH27" s="114" t="n"/>
      <c r="AI27" s="116">
        <f>IF(ISBLANK(B27), "", IF(ISNUMBER(D27), IF(D27&gt;0, (COUNTIF(E27:AH27, "✓") + COUNTIF(E27:AH27, "✔") + COUNTIF(E27:AH27, "v") + COUNTIF(E27:AH27, "V"))/D27, 0), IF(((COUNTIF(E27:AH27, "✓") + COUNTIF(E27:AH27, "✔") + COUNTIF(E27:AH27, "v") + COUNTIF(E27:AH27, "V")) + COUNTIF(E27:AH27, "✗") + COUNTIF(E27:AH27, "x") + COUNTIF(E27:AH27, "X"))&gt;0, (COUNTIF(E27:AH27, "✓") + COUNTIF(E27:AH27, "✔") + COUNTIF(E27:AH27, "v") + COUNTIF(E27:AH27, "V"))/((COUNTIF(E27:AH27, "✓") + COUNTIF(E27:AH27, "✔") + COUNTIF(E27:AH27, "v") + COUNTIF(E27:AH27, "V")) + COUNTIF(E27:AH27, "✗") + COUNTIF(E27:AH27, "x") + COUNTIF(E27:AH27, "X")), "")))</f>
        <v/>
      </c>
      <c r="AJ27" s="117">
        <f>IF(ISBLANK(B27), "", IF(ISNUMBER(D27), IF(D27&gt;0, (COUNTIF(E27:AH27, "✓") + COUNTIF(E27:AH27, "✔") + COUNTIF(E27:AH27, "v") + COUNTIF(E27:AH27, "V")) &amp; "/" &amp; D27, (COUNTIF(E27:AH27, "✓") + COUNTIF(E27:AH27, "✔") + COUNTIF(E27:AH27, "v") + COUNTIF(E27:AH27, "V")) &amp; "/0"), IF(((COUNTIF(E27:AH27, "✓") + COUNTIF(E27:AH27, "✔") + COUNTIF(E27:AH27, "v") + COUNTIF(E27:AH27, "V")) + COUNTIF(E27:AH27, "✗") + COUNTIF(E27:AH27, "x") + COUNTIF(E27:AH27, "X"))&gt;0, (COUNTIF(E27:AH27, "✓") + COUNTIF(E27:AH27, "✔") + COUNTIF(E27:AH27, "v") + COUNTIF(E27:AH27, "V")) &amp; "/" &amp; ((COUNTIF(E27:AH27, "✓") + COUNTIF(E27:AH27, "✔") + COUNTIF(E27:AH27, "v") + COUNTIF(E27:AH27, "V")) + COUNTIF(E27:AH27, "✗") + COUNTIF(E27:AH27, "x") + COUNTIF(E27:AH27, "X")), "")))</f>
        <v/>
      </c>
      <c r="AK27" s="117">
        <f>IF(ISBLANK(B27), "", IF(AI27&gt;=0.85, "🔥 Mastered", IF(AI27&gt;=0.7, "⚡ Consistent", "⚠️ Needs Focus")))</f>
        <v/>
      </c>
      <c r="AL27">
        <f>COUNTIF(E27:AH27, "✓")</f>
        <v/>
      </c>
    </row>
    <row r="28" ht="14.5" customHeight="1">
      <c r="A28" s="111" t="n">
        <v>11</v>
      </c>
      <c r="B28" s="112" t="n"/>
      <c r="C28" s="113" t="n"/>
      <c r="D28" s="113" t="n"/>
      <c r="E28" s="114" t="n"/>
      <c r="F28" s="114" t="n"/>
      <c r="G28" s="114" t="n"/>
      <c r="H28" s="115" t="n"/>
      <c r="I28" s="114" t="n"/>
      <c r="J28" s="114" t="n"/>
      <c r="K28" s="114" t="n"/>
      <c r="L28" s="114" t="n"/>
      <c r="M28" s="114" t="n"/>
      <c r="N28" s="114" t="n"/>
      <c r="O28" s="115" t="n"/>
      <c r="P28" s="114" t="n"/>
      <c r="Q28" s="114" t="n"/>
      <c r="R28" s="114" t="n"/>
      <c r="S28" s="114" t="n"/>
      <c r="T28" s="114" t="n"/>
      <c r="U28" s="114" t="n"/>
      <c r="V28" s="115" t="n"/>
      <c r="W28" s="114" t="n"/>
      <c r="X28" s="114" t="n"/>
      <c r="Y28" s="114" t="n"/>
      <c r="Z28" s="114" t="n"/>
      <c r="AA28" s="114" t="n"/>
      <c r="AB28" s="114" t="n"/>
      <c r="AC28" s="115" t="n"/>
      <c r="AD28" s="114" t="n"/>
      <c r="AE28" s="114" t="n"/>
      <c r="AF28" s="114" t="n"/>
      <c r="AG28" s="114" t="n"/>
      <c r="AH28" s="114" t="n"/>
      <c r="AI28" s="116">
        <f>IF(ISBLANK(B28), "", IF(ISNUMBER(D28), IF(D28&gt;0, (COUNTIF(E28:AH28, "✓") + COUNTIF(E28:AH28, "✔") + COUNTIF(E28:AH28, "v") + COUNTIF(E28:AH28, "V"))/D28, 0), IF(((COUNTIF(E28:AH28, "✓") + COUNTIF(E28:AH28, "✔") + COUNTIF(E28:AH28, "v") + COUNTIF(E28:AH28, "V")) + COUNTIF(E28:AH28, "✗") + COUNTIF(E28:AH28, "x") + COUNTIF(E28:AH28, "X"))&gt;0, (COUNTIF(E28:AH28, "✓") + COUNTIF(E28:AH28, "✔") + COUNTIF(E28:AH28, "v") + COUNTIF(E28:AH28, "V"))/((COUNTIF(E28:AH28, "✓") + COUNTIF(E28:AH28, "✔") + COUNTIF(E28:AH28, "v") + COUNTIF(E28:AH28, "V")) + COUNTIF(E28:AH28, "✗") + COUNTIF(E28:AH28, "x") + COUNTIF(E28:AH28, "X")), "")))</f>
        <v/>
      </c>
      <c r="AJ28" s="117">
        <f>IF(ISBLANK(B28), "", IF(ISNUMBER(D28), IF(D28&gt;0, (COUNTIF(E28:AH28, "✓") + COUNTIF(E28:AH28, "✔") + COUNTIF(E28:AH28, "v") + COUNTIF(E28:AH28, "V")) &amp; "/" &amp; D28, (COUNTIF(E28:AH28, "✓") + COUNTIF(E28:AH28, "✔") + COUNTIF(E28:AH28, "v") + COUNTIF(E28:AH28, "V")) &amp; "/0"), IF(((COUNTIF(E28:AH28, "✓") + COUNTIF(E28:AH28, "✔") + COUNTIF(E28:AH28, "v") + COUNTIF(E28:AH28, "V")) + COUNTIF(E28:AH28, "✗") + COUNTIF(E28:AH28, "x") + COUNTIF(E28:AH28, "X"))&gt;0, (COUNTIF(E28:AH28, "✓") + COUNTIF(E28:AH28, "✔") + COUNTIF(E28:AH28, "v") + COUNTIF(E28:AH28, "V")) &amp; "/" &amp; ((COUNTIF(E28:AH28, "✓") + COUNTIF(E28:AH28, "✔") + COUNTIF(E28:AH28, "v") + COUNTIF(E28:AH28, "V")) + COUNTIF(E28:AH28, "✗") + COUNTIF(E28:AH28, "x") + COUNTIF(E28:AH28, "X")), "")))</f>
        <v/>
      </c>
      <c r="AK28" s="117">
        <f>IF(ISBLANK(B28), "", IF(AI28&gt;=0.85, "🔥 Mastered", IF(AI28&gt;=0.7, "⚡ Consistent", "⚠️ Needs Focus")))</f>
        <v/>
      </c>
      <c r="AL28">
        <f>COUNTIF(E28:AH28, "✓")</f>
        <v/>
      </c>
    </row>
    <row r="29" ht="14.5" customHeight="1">
      <c r="A29" s="111" t="n">
        <v>12</v>
      </c>
      <c r="B29" s="112" t="n"/>
      <c r="C29" s="113" t="n"/>
      <c r="D29" s="113" t="n"/>
      <c r="E29" s="114" t="n"/>
      <c r="F29" s="114" t="n"/>
      <c r="G29" s="114" t="n"/>
      <c r="H29" s="115" t="n"/>
      <c r="I29" s="114" t="n"/>
      <c r="J29" s="114" t="n"/>
      <c r="K29" s="114" t="n"/>
      <c r="L29" s="114" t="n"/>
      <c r="M29" s="114" t="n"/>
      <c r="N29" s="114" t="n"/>
      <c r="O29" s="115" t="n"/>
      <c r="P29" s="114" t="n"/>
      <c r="Q29" s="114" t="n"/>
      <c r="R29" s="114" t="n"/>
      <c r="S29" s="114" t="n"/>
      <c r="T29" s="114" t="n"/>
      <c r="U29" s="114" t="n"/>
      <c r="V29" s="115" t="n"/>
      <c r="W29" s="114" t="n"/>
      <c r="X29" s="114" t="n"/>
      <c r="Y29" s="114" t="n"/>
      <c r="Z29" s="114" t="n"/>
      <c r="AA29" s="114" t="n"/>
      <c r="AB29" s="114" t="n"/>
      <c r="AC29" s="115" t="n"/>
      <c r="AD29" s="114" t="n"/>
      <c r="AE29" s="114" t="n"/>
      <c r="AF29" s="114" t="n"/>
      <c r="AG29" s="114" t="n"/>
      <c r="AH29" s="114" t="n"/>
      <c r="AI29" s="116">
        <f>IF(ISBLANK(B29), "", IF(ISNUMBER(D29), IF(D29&gt;0, (COUNTIF(E29:AH29, "✓") + COUNTIF(E29:AH29, "✔") + COUNTIF(E29:AH29, "v") + COUNTIF(E29:AH29, "V"))/D29, 0), IF(((COUNTIF(E29:AH29, "✓") + COUNTIF(E29:AH29, "✔") + COUNTIF(E29:AH29, "v") + COUNTIF(E29:AH29, "V")) + COUNTIF(E29:AH29, "✗") + COUNTIF(E29:AH29, "x") + COUNTIF(E29:AH29, "X"))&gt;0, (COUNTIF(E29:AH29, "✓") + COUNTIF(E29:AH29, "✔") + COUNTIF(E29:AH29, "v") + COUNTIF(E29:AH29, "V"))/((COUNTIF(E29:AH29, "✓") + COUNTIF(E29:AH29, "✔") + COUNTIF(E29:AH29, "v") + COUNTIF(E29:AH29, "V")) + COUNTIF(E29:AH29, "✗") + COUNTIF(E29:AH29, "x") + COUNTIF(E29:AH29, "X")), "")))</f>
        <v/>
      </c>
      <c r="AJ29" s="117">
        <f>IF(ISBLANK(B29), "", IF(ISNUMBER(D29), IF(D29&gt;0, (COUNTIF(E29:AH29, "✓") + COUNTIF(E29:AH29, "✔") + COUNTIF(E29:AH29, "v") + COUNTIF(E29:AH29, "V")) &amp; "/" &amp; D29, (COUNTIF(E29:AH29, "✓") + COUNTIF(E29:AH29, "✔") + COUNTIF(E29:AH29, "v") + COUNTIF(E29:AH29, "V")) &amp; "/0"), IF(((COUNTIF(E29:AH29, "✓") + COUNTIF(E29:AH29, "✔") + COUNTIF(E29:AH29, "v") + COUNTIF(E29:AH29, "V")) + COUNTIF(E29:AH29, "✗") + COUNTIF(E29:AH29, "x") + COUNTIF(E29:AH29, "X"))&gt;0, (COUNTIF(E29:AH29, "✓") + COUNTIF(E29:AH29, "✔") + COUNTIF(E29:AH29, "v") + COUNTIF(E29:AH29, "V")) &amp; "/" &amp; ((COUNTIF(E29:AH29, "✓") + COUNTIF(E29:AH29, "✔") + COUNTIF(E29:AH29, "v") + COUNTIF(E29:AH29, "V")) + COUNTIF(E29:AH29, "✗") + COUNTIF(E29:AH29, "x") + COUNTIF(E29:AH29, "X")), "")))</f>
        <v/>
      </c>
      <c r="AK29" s="117">
        <f>IF(ISBLANK(B29), "", IF(AI29&gt;=0.85, "🔥 Mastered", IF(AI29&gt;=0.7, "⚡ Consistent", "⚠️ Needs Focus")))</f>
        <v/>
      </c>
      <c r="AL29">
        <f>COUNTIF(E29:AH29, "✓")</f>
        <v/>
      </c>
    </row>
    <row r="30" ht="14.5" customHeight="1">
      <c r="A30" s="118" t="n">
        <v>13</v>
      </c>
      <c r="B30" s="119" t="n"/>
      <c r="C30" s="120" t="n"/>
      <c r="D30" s="120" t="n"/>
      <c r="E30" s="121" t="n"/>
      <c r="F30" s="121" t="n"/>
      <c r="G30" s="121" t="n"/>
      <c r="H30" s="122" t="n"/>
      <c r="I30" s="121" t="n"/>
      <c r="J30" s="121" t="n"/>
      <c r="K30" s="121" t="n"/>
      <c r="L30" s="121" t="n"/>
      <c r="M30" s="121" t="n"/>
      <c r="N30" s="121" t="n"/>
      <c r="O30" s="122" t="n"/>
      <c r="P30" s="121" t="n"/>
      <c r="Q30" s="121" t="n"/>
      <c r="R30" s="121" t="n"/>
      <c r="S30" s="121" t="n"/>
      <c r="T30" s="121" t="n"/>
      <c r="U30" s="121" t="n"/>
      <c r="V30" s="122" t="n"/>
      <c r="W30" s="121" t="n"/>
      <c r="X30" s="121" t="n"/>
      <c r="Y30" s="121" t="n"/>
      <c r="Z30" s="121" t="n"/>
      <c r="AA30" s="121" t="n"/>
      <c r="AB30" s="121" t="n"/>
      <c r="AC30" s="122" t="n"/>
      <c r="AD30" s="121" t="n"/>
      <c r="AE30" s="121" t="n"/>
      <c r="AF30" s="121" t="n"/>
      <c r="AG30" s="121" t="n"/>
      <c r="AH30" s="121" t="n"/>
      <c r="AI30" s="123">
        <f>IF(ISBLANK(B30), "", IF(ISNUMBER(D30), IF(D30&gt;0, (COUNTIF(E30:AH30, "✓") + COUNTIF(E30:AH30, "✔") + COUNTIF(E30:AH30, "v") + COUNTIF(E30:AH30, "V"))/D30, 0), IF(((COUNTIF(E30:AH30, "✓") + COUNTIF(E30:AH30, "✔") + COUNTIF(E30:AH30, "v") + COUNTIF(E30:AH30, "V")) + COUNTIF(E30:AH30, "✗") + COUNTIF(E30:AH30, "x") + COUNTIF(E30:AH30, "X"))&gt;0, (COUNTIF(E30:AH30, "✓") + COUNTIF(E30:AH30, "✔") + COUNTIF(E30:AH30, "v") + COUNTIF(E30:AH30, "V"))/((COUNTIF(E30:AH30, "✓") + COUNTIF(E30:AH30, "✔") + COUNTIF(E30:AH30, "v") + COUNTIF(E30:AH30, "V")) + COUNTIF(E30:AH30, "✗") + COUNTIF(E30:AH30, "x") + COUNTIF(E30:AH30, "X")), "")))</f>
        <v/>
      </c>
      <c r="AJ30" s="124">
        <f>IF(ISBLANK(B30), "", IF(ISNUMBER(D30), IF(D30&gt;0, (COUNTIF(E30:AH30, "✓") + COUNTIF(E30:AH30, "✔") + COUNTIF(E30:AH30, "v") + COUNTIF(E30:AH30, "V")) &amp; "/" &amp; D30, (COUNTIF(E30:AH30, "✓") + COUNTIF(E30:AH30, "✔") + COUNTIF(E30:AH30, "v") + COUNTIF(E30:AH30, "V")) &amp; "/0"), IF(((COUNTIF(E30:AH30, "✓") + COUNTIF(E30:AH30, "✔") + COUNTIF(E30:AH30, "v") + COUNTIF(E30:AH30, "V")) + COUNTIF(E30:AH30, "✗") + COUNTIF(E30:AH30, "x") + COUNTIF(E30:AH30, "X"))&gt;0, (COUNTIF(E30:AH30, "✓") + COUNTIF(E30:AH30, "✔") + COUNTIF(E30:AH30, "v") + COUNTIF(E30:AH30, "V")) &amp; "/" &amp; ((COUNTIF(E30:AH30, "✓") + COUNTIF(E30:AH30, "✔") + COUNTIF(E30:AH30, "v") + COUNTIF(E30:AH30, "V")) + COUNTIF(E30:AH30, "✗") + COUNTIF(E30:AH30, "x") + COUNTIF(E30:AH30, "X")), "")))</f>
        <v/>
      </c>
      <c r="AK30" s="124">
        <f>IF(ISBLANK(B30), "", IF(AI30&gt;=0.85, "🔥 Mastered", IF(AI30&gt;=0.7, "⚡ Consistent", "⚠️ Needs Focus")))</f>
        <v/>
      </c>
      <c r="AL30">
        <f>COUNTIF(E30:AH30, "✓")</f>
        <v/>
      </c>
    </row>
    <row r="31" ht="14.5" customHeight="1">
      <c r="A31" s="118" t="n">
        <v>14</v>
      </c>
      <c r="B31" s="119" t="n"/>
      <c r="C31" s="120" t="n"/>
      <c r="D31" s="120" t="n"/>
      <c r="E31" s="121" t="n"/>
      <c r="F31" s="121" t="n"/>
      <c r="G31" s="121" t="n"/>
      <c r="H31" s="122" t="n"/>
      <c r="I31" s="121" t="n"/>
      <c r="J31" s="121" t="n"/>
      <c r="K31" s="121" t="n"/>
      <c r="L31" s="121" t="n"/>
      <c r="M31" s="121" t="n"/>
      <c r="N31" s="121" t="n"/>
      <c r="O31" s="122" t="n"/>
      <c r="P31" s="121" t="n"/>
      <c r="Q31" s="121" t="n"/>
      <c r="R31" s="121" t="n"/>
      <c r="S31" s="121" t="n"/>
      <c r="T31" s="121" t="n"/>
      <c r="U31" s="121" t="n"/>
      <c r="V31" s="122" t="n"/>
      <c r="W31" s="121" t="n"/>
      <c r="X31" s="121" t="n"/>
      <c r="Y31" s="121" t="n"/>
      <c r="Z31" s="121" t="n"/>
      <c r="AA31" s="121" t="n"/>
      <c r="AB31" s="121" t="n"/>
      <c r="AC31" s="122" t="n"/>
      <c r="AD31" s="121" t="n"/>
      <c r="AE31" s="121" t="n"/>
      <c r="AF31" s="121" t="n"/>
      <c r="AG31" s="121" t="n"/>
      <c r="AH31" s="121" t="n"/>
      <c r="AI31" s="123">
        <f>IF(ISBLANK(B31), "", IF(ISNUMBER(D31), IF(D31&gt;0, (COUNTIF(E31:AH31, "✓") + COUNTIF(E31:AH31, "✔") + COUNTIF(E31:AH31, "v") + COUNTIF(E31:AH31, "V"))/D31, 0), IF(((COUNTIF(E31:AH31, "✓") + COUNTIF(E31:AH31, "✔") + COUNTIF(E31:AH31, "v") + COUNTIF(E31:AH31, "V")) + COUNTIF(E31:AH31, "✗") + COUNTIF(E31:AH31, "x") + COUNTIF(E31:AH31, "X"))&gt;0, (COUNTIF(E31:AH31, "✓") + COUNTIF(E31:AH31, "✔") + COUNTIF(E31:AH31, "v") + COUNTIF(E31:AH31, "V"))/((COUNTIF(E31:AH31, "✓") + COUNTIF(E31:AH31, "✔") + COUNTIF(E31:AH31, "v") + COUNTIF(E31:AH31, "V")) + COUNTIF(E31:AH31, "✗") + COUNTIF(E31:AH31, "x") + COUNTIF(E31:AH31, "X")), "")))</f>
        <v/>
      </c>
      <c r="AJ31" s="124">
        <f>IF(ISBLANK(B31), "", IF(ISNUMBER(D31), IF(D31&gt;0, (COUNTIF(E31:AH31, "✓") + COUNTIF(E31:AH31, "✔") + COUNTIF(E31:AH31, "v") + COUNTIF(E31:AH31, "V")) &amp; "/" &amp; D31, (COUNTIF(E31:AH31, "✓") + COUNTIF(E31:AH31, "✔") + COUNTIF(E31:AH31, "v") + COUNTIF(E31:AH31, "V")) &amp; "/0"), IF(((COUNTIF(E31:AH31, "✓") + COUNTIF(E31:AH31, "✔") + COUNTIF(E31:AH31, "v") + COUNTIF(E31:AH31, "V")) + COUNTIF(E31:AH31, "✗") + COUNTIF(E31:AH31, "x") + COUNTIF(E31:AH31, "X"))&gt;0, (COUNTIF(E31:AH31, "✓") + COUNTIF(E31:AH31, "✔") + COUNTIF(E31:AH31, "v") + COUNTIF(E31:AH31, "V")) &amp; "/" &amp; ((COUNTIF(E31:AH31, "✓") + COUNTIF(E31:AH31, "✔") + COUNTIF(E31:AH31, "v") + COUNTIF(E31:AH31, "V")) + COUNTIF(E31:AH31, "✗") + COUNTIF(E31:AH31, "x") + COUNTIF(E31:AH31, "X")), "")))</f>
        <v/>
      </c>
      <c r="AK31" s="124">
        <f>IF(ISBLANK(B31), "", IF(AI31&gt;=0.85, "🔥 Mastered", IF(AI31&gt;=0.7, "⚡ Consistent", "⚠️ Needs Focus")))</f>
        <v/>
      </c>
      <c r="AL31">
        <f>COUNTIF(E31:AH31, "✓")</f>
        <v/>
      </c>
    </row>
    <row r="32" ht="14.5" customHeight="1">
      <c r="A32" s="118" t="n">
        <v>15</v>
      </c>
      <c r="B32" s="119" t="n"/>
      <c r="C32" s="120" t="n"/>
      <c r="D32" s="120" t="n"/>
      <c r="E32" s="121" t="n"/>
      <c r="F32" s="121" t="n"/>
      <c r="G32" s="121" t="n"/>
      <c r="H32" s="122" t="n"/>
      <c r="I32" s="121" t="n"/>
      <c r="J32" s="121" t="n"/>
      <c r="K32" s="121" t="n"/>
      <c r="L32" s="121" t="n"/>
      <c r="M32" s="121" t="n"/>
      <c r="N32" s="121" t="n"/>
      <c r="O32" s="122" t="n"/>
      <c r="P32" s="121" t="n"/>
      <c r="Q32" s="121" t="n"/>
      <c r="R32" s="121" t="n"/>
      <c r="S32" s="121" t="n"/>
      <c r="T32" s="121" t="n"/>
      <c r="U32" s="121" t="n"/>
      <c r="V32" s="122" t="n"/>
      <c r="W32" s="121" t="n"/>
      <c r="X32" s="121" t="n"/>
      <c r="Y32" s="121" t="n"/>
      <c r="Z32" s="121" t="n"/>
      <c r="AA32" s="121" t="n"/>
      <c r="AB32" s="121" t="n"/>
      <c r="AC32" s="122" t="n"/>
      <c r="AD32" s="121" t="n"/>
      <c r="AE32" s="121" t="n"/>
      <c r="AF32" s="121" t="n"/>
      <c r="AG32" s="121" t="n"/>
      <c r="AH32" s="121" t="n"/>
      <c r="AI32" s="123">
        <f>IF(ISBLANK(B32), "", IF(ISNUMBER(D32), IF(D32&gt;0, (COUNTIF(E32:AH32, "✓") + COUNTIF(E32:AH32, "✔") + COUNTIF(E32:AH32, "v") + COUNTIF(E32:AH32, "V"))/D32, 0), IF(((COUNTIF(E32:AH32, "✓") + COUNTIF(E32:AH32, "✔") + COUNTIF(E32:AH32, "v") + COUNTIF(E32:AH32, "V")) + COUNTIF(E32:AH32, "✗") + COUNTIF(E32:AH32, "x") + COUNTIF(E32:AH32, "X"))&gt;0, (COUNTIF(E32:AH32, "✓") + COUNTIF(E32:AH32, "✔") + COUNTIF(E32:AH32, "v") + COUNTIF(E32:AH32, "V"))/((COUNTIF(E32:AH32, "✓") + COUNTIF(E32:AH32, "✔") + COUNTIF(E32:AH32, "v") + COUNTIF(E32:AH32, "V")) + COUNTIF(E32:AH32, "✗") + COUNTIF(E32:AH32, "x") + COUNTIF(E32:AH32, "X")), "")))</f>
        <v/>
      </c>
      <c r="AJ32" s="124">
        <f>IF(ISBLANK(B32), "", IF(ISNUMBER(D32), IF(D32&gt;0, (COUNTIF(E32:AH32, "✓") + COUNTIF(E32:AH32, "✔") + COUNTIF(E32:AH32, "v") + COUNTIF(E32:AH32, "V")) &amp; "/" &amp; D32, (COUNTIF(E32:AH32, "✓") + COUNTIF(E32:AH32, "✔") + COUNTIF(E32:AH32, "v") + COUNTIF(E32:AH32, "V")) &amp; "/0"), IF(((COUNTIF(E32:AH32, "✓") + COUNTIF(E32:AH32, "✔") + COUNTIF(E32:AH32, "v") + COUNTIF(E32:AH32, "V")) + COUNTIF(E32:AH32, "✗") + COUNTIF(E32:AH32, "x") + COUNTIF(E32:AH32, "X"))&gt;0, (COUNTIF(E32:AH32, "✓") + COUNTIF(E32:AH32, "✔") + COUNTIF(E32:AH32, "v") + COUNTIF(E32:AH32, "V")) &amp; "/" &amp; ((COUNTIF(E32:AH32, "✓") + COUNTIF(E32:AH32, "✔") + COUNTIF(E32:AH32, "v") + COUNTIF(E32:AH32, "V")) + COUNTIF(E32:AH32, "✗") + COUNTIF(E32:AH32, "x") + COUNTIF(E32:AH32, "X")), "")))</f>
        <v/>
      </c>
      <c r="AK32" s="124">
        <f>IF(ISBLANK(B32), "", IF(AI32&gt;=0.85, "🔥 Mastered", IF(AI32&gt;=0.7, "⚡ Consistent", "⚠️ Needs Focus")))</f>
        <v/>
      </c>
      <c r="AL32">
        <f>COUNTIF(E32:AH32, "✓")</f>
        <v/>
      </c>
    </row>
    <row r="33" ht="14.5" customHeight="1">
      <c r="A33" s="118" t="n">
        <v>16</v>
      </c>
      <c r="B33" s="119" t="n"/>
      <c r="C33" s="120" t="n"/>
      <c r="D33" s="120" t="n"/>
      <c r="E33" s="121" t="n"/>
      <c r="F33" s="121" t="n"/>
      <c r="G33" s="121" t="n"/>
      <c r="H33" s="122" t="n"/>
      <c r="I33" s="121" t="n"/>
      <c r="J33" s="121" t="n"/>
      <c r="K33" s="121" t="n"/>
      <c r="L33" s="121" t="n"/>
      <c r="M33" s="121" t="n"/>
      <c r="N33" s="121" t="n"/>
      <c r="O33" s="122" t="n"/>
      <c r="P33" s="121" t="n"/>
      <c r="Q33" s="121" t="n"/>
      <c r="R33" s="121" t="n"/>
      <c r="S33" s="121" t="n"/>
      <c r="T33" s="121" t="n"/>
      <c r="U33" s="121" t="n"/>
      <c r="V33" s="122" t="n"/>
      <c r="W33" s="121" t="n"/>
      <c r="X33" s="121" t="n"/>
      <c r="Y33" s="121" t="n"/>
      <c r="Z33" s="121" t="n"/>
      <c r="AA33" s="121" t="n"/>
      <c r="AB33" s="121" t="n"/>
      <c r="AC33" s="122" t="n"/>
      <c r="AD33" s="121" t="n"/>
      <c r="AE33" s="121" t="n"/>
      <c r="AF33" s="121" t="n"/>
      <c r="AG33" s="121" t="n"/>
      <c r="AH33" s="121" t="n"/>
      <c r="AI33" s="123">
        <f>IF(ISBLANK(B33), "", IF(ISNUMBER(D33), IF(D33&gt;0, (COUNTIF(E33:AH33, "✓") + COUNTIF(E33:AH33, "✔") + COUNTIF(E33:AH33, "v") + COUNTIF(E33:AH33, "V"))/D33, 0), IF(((COUNTIF(E33:AH33, "✓") + COUNTIF(E33:AH33, "✔") + COUNTIF(E33:AH33, "v") + COUNTIF(E33:AH33, "V")) + COUNTIF(E33:AH33, "✗") + COUNTIF(E33:AH33, "x") + COUNTIF(E33:AH33, "X"))&gt;0, (COUNTIF(E33:AH33, "✓") + COUNTIF(E33:AH33, "✔") + COUNTIF(E33:AH33, "v") + COUNTIF(E33:AH33, "V"))/((COUNTIF(E33:AH33, "✓") + COUNTIF(E33:AH33, "✔") + COUNTIF(E33:AH33, "v") + COUNTIF(E33:AH33, "V")) + COUNTIF(E33:AH33, "✗") + COUNTIF(E33:AH33, "x") + COUNTIF(E33:AH33, "X")), "")))</f>
        <v/>
      </c>
      <c r="AJ33" s="124">
        <f>IF(ISBLANK(B33), "", IF(ISNUMBER(D33), IF(D33&gt;0, (COUNTIF(E33:AH33, "✓") + COUNTIF(E33:AH33, "✔") + COUNTIF(E33:AH33, "v") + COUNTIF(E33:AH33, "V")) &amp; "/" &amp; D33, (COUNTIF(E33:AH33, "✓") + COUNTIF(E33:AH33, "✔") + COUNTIF(E33:AH33, "v") + COUNTIF(E33:AH33, "V")) &amp; "/0"), IF(((COUNTIF(E33:AH33, "✓") + COUNTIF(E33:AH33, "✔") + COUNTIF(E33:AH33, "v") + COUNTIF(E33:AH33, "V")) + COUNTIF(E33:AH33, "✗") + COUNTIF(E33:AH33, "x") + COUNTIF(E33:AH33, "X"))&gt;0, (COUNTIF(E33:AH33, "✓") + COUNTIF(E33:AH33, "✔") + COUNTIF(E33:AH33, "v") + COUNTIF(E33:AH33, "V")) &amp; "/" &amp; ((COUNTIF(E33:AH33, "✓") + COUNTIF(E33:AH33, "✔") + COUNTIF(E33:AH33, "v") + COUNTIF(E33:AH33, "V")) + COUNTIF(E33:AH33, "✗") + COUNTIF(E33:AH33, "x") + COUNTIF(E33:AH33, "X")), "")))</f>
        <v/>
      </c>
      <c r="AK33" s="124">
        <f>IF(ISBLANK(B33), "", IF(AI33&gt;=0.85, "🔥 Mastered", IF(AI33&gt;=0.7, "⚡ Consistent", "⚠️ Needs Focus")))</f>
        <v/>
      </c>
      <c r="AL33">
        <f>COUNTIF(E33:AH33, "✓")</f>
        <v/>
      </c>
    </row>
    <row r="34" ht="14.5" customHeight="1">
      <c r="A34" s="125" t="n">
        <v>17</v>
      </c>
      <c r="B34" s="126" t="n"/>
      <c r="C34" s="127" t="n"/>
      <c r="D34" s="127" t="n"/>
      <c r="E34" s="128" t="n"/>
      <c r="F34" s="128" t="n"/>
      <c r="G34" s="128" t="n"/>
      <c r="H34" s="129" t="n"/>
      <c r="I34" s="128" t="n"/>
      <c r="J34" s="128" t="n"/>
      <c r="K34" s="128" t="n"/>
      <c r="L34" s="128" t="n"/>
      <c r="M34" s="128" t="n"/>
      <c r="N34" s="128" t="n"/>
      <c r="O34" s="129" t="n"/>
      <c r="P34" s="128" t="n"/>
      <c r="Q34" s="128" t="n"/>
      <c r="R34" s="128" t="n"/>
      <c r="S34" s="128" t="n"/>
      <c r="T34" s="128" t="n"/>
      <c r="U34" s="128" t="n"/>
      <c r="V34" s="129" t="n"/>
      <c r="W34" s="128" t="n"/>
      <c r="X34" s="128" t="n"/>
      <c r="Y34" s="128" t="n"/>
      <c r="Z34" s="128" t="n"/>
      <c r="AA34" s="128" t="n"/>
      <c r="AB34" s="128" t="n"/>
      <c r="AC34" s="129" t="n"/>
      <c r="AD34" s="128" t="n"/>
      <c r="AE34" s="128" t="n"/>
      <c r="AF34" s="128" t="n"/>
      <c r="AG34" s="128" t="n"/>
      <c r="AH34" s="128" t="n"/>
      <c r="AI34" s="130">
        <f>IF(ISBLANK(B34), "", IF(ISNUMBER(D34), IF(D34&gt;0, (COUNTIF(E34:AH34, "✓") + COUNTIF(E34:AH34, "✔") + COUNTIF(E34:AH34, "v") + COUNTIF(E34:AH34, "V"))/D34, 0), IF(((COUNTIF(E34:AH34, "✓") + COUNTIF(E34:AH34, "✔") + COUNTIF(E34:AH34, "v") + COUNTIF(E34:AH34, "V")) + COUNTIF(E34:AH34, "✗") + COUNTIF(E34:AH34, "x") + COUNTIF(E34:AH34, "X"))&gt;0, (COUNTIF(E34:AH34, "✓") + COUNTIF(E34:AH34, "✔") + COUNTIF(E34:AH34, "v") + COUNTIF(E34:AH34, "V"))/((COUNTIF(E34:AH34, "✓") + COUNTIF(E34:AH34, "✔") + COUNTIF(E34:AH34, "v") + COUNTIF(E34:AH34, "V")) + COUNTIF(E34:AH34, "✗") + COUNTIF(E34:AH34, "x") + COUNTIF(E34:AH34, "X")), "")))</f>
        <v/>
      </c>
      <c r="AJ34" s="131">
        <f>IF(ISBLANK(B34), "", IF(ISNUMBER(D34), IF(D34&gt;0, (COUNTIF(E34:AH34, "✓") + COUNTIF(E34:AH34, "✔") + COUNTIF(E34:AH34, "v") + COUNTIF(E34:AH34, "V")) &amp; "/" &amp; D34, (COUNTIF(E34:AH34, "✓") + COUNTIF(E34:AH34, "✔") + COUNTIF(E34:AH34, "v") + COUNTIF(E34:AH34, "V")) &amp; "/0"), IF(((COUNTIF(E34:AH34, "✓") + COUNTIF(E34:AH34, "✔") + COUNTIF(E34:AH34, "v") + COUNTIF(E34:AH34, "V")) + COUNTIF(E34:AH34, "✗") + COUNTIF(E34:AH34, "x") + COUNTIF(E34:AH34, "X"))&gt;0, (COUNTIF(E34:AH34, "✓") + COUNTIF(E34:AH34, "✔") + COUNTIF(E34:AH34, "v") + COUNTIF(E34:AH34, "V")) &amp; "/" &amp; ((COUNTIF(E34:AH34, "✓") + COUNTIF(E34:AH34, "✔") + COUNTIF(E34:AH34, "v") + COUNTIF(E34:AH34, "V")) + COUNTIF(E34:AH34, "✗") + COUNTIF(E34:AH34, "x") + COUNTIF(E34:AH34, "X")), "")))</f>
        <v/>
      </c>
      <c r="AK34" s="131">
        <f>IF(ISBLANK(B34), "", IF(AI34&gt;=0.85, "🔥 Mastered", IF(AI34&gt;=0.7, "⚡ Consistent", "⚠️ Needs Focus")))</f>
        <v/>
      </c>
      <c r="AL34">
        <f>COUNTIF(E34:AH34, "✓")</f>
        <v/>
      </c>
    </row>
    <row r="35" ht="14.5" customHeight="1">
      <c r="A35" s="125" t="n">
        <v>18</v>
      </c>
      <c r="B35" s="126" t="n"/>
      <c r="C35" s="127" t="n"/>
      <c r="D35" s="127" t="n"/>
      <c r="E35" s="128" t="n"/>
      <c r="F35" s="128" t="n"/>
      <c r="G35" s="128" t="n"/>
      <c r="H35" s="129" t="n"/>
      <c r="I35" s="128" t="n"/>
      <c r="J35" s="128" t="n"/>
      <c r="K35" s="128" t="n"/>
      <c r="L35" s="128" t="n"/>
      <c r="M35" s="128" t="n"/>
      <c r="N35" s="128" t="n"/>
      <c r="O35" s="129" t="n"/>
      <c r="P35" s="128" t="n"/>
      <c r="Q35" s="128" t="n"/>
      <c r="R35" s="128" t="n"/>
      <c r="S35" s="128" t="n"/>
      <c r="T35" s="128" t="n"/>
      <c r="U35" s="128" t="n"/>
      <c r="V35" s="129" t="n"/>
      <c r="W35" s="128" t="n"/>
      <c r="X35" s="128" t="n"/>
      <c r="Y35" s="128" t="n"/>
      <c r="Z35" s="128" t="n"/>
      <c r="AA35" s="128" t="n"/>
      <c r="AB35" s="128" t="n"/>
      <c r="AC35" s="129" t="n"/>
      <c r="AD35" s="128" t="n"/>
      <c r="AE35" s="128" t="n"/>
      <c r="AF35" s="128" t="n"/>
      <c r="AG35" s="128" t="n"/>
      <c r="AH35" s="128" t="n"/>
      <c r="AI35" s="130">
        <f>IF(ISBLANK(B35), "", IF(ISNUMBER(D35), IF(D35&gt;0, (COUNTIF(E35:AH35, "✓") + COUNTIF(E35:AH35, "✔") + COUNTIF(E35:AH35, "v") + COUNTIF(E35:AH35, "V"))/D35, 0), IF(((COUNTIF(E35:AH35, "✓") + COUNTIF(E35:AH35, "✔") + COUNTIF(E35:AH35, "v") + COUNTIF(E35:AH35, "V")) + COUNTIF(E35:AH35, "✗") + COUNTIF(E35:AH35, "x") + COUNTIF(E35:AH35, "X"))&gt;0, (COUNTIF(E35:AH35, "✓") + COUNTIF(E35:AH35, "✔") + COUNTIF(E35:AH35, "v") + COUNTIF(E35:AH35, "V"))/((COUNTIF(E35:AH35, "✓") + COUNTIF(E35:AH35, "✔") + COUNTIF(E35:AH35, "v") + COUNTIF(E35:AH35, "V")) + COUNTIF(E35:AH35, "✗") + COUNTIF(E35:AH35, "x") + COUNTIF(E35:AH35, "X")), "")))</f>
        <v/>
      </c>
      <c r="AJ35" s="131">
        <f>IF(ISBLANK(B35), "", IF(ISNUMBER(D35), IF(D35&gt;0, (COUNTIF(E35:AH35, "✓") + COUNTIF(E35:AH35, "✔") + COUNTIF(E35:AH35, "v") + COUNTIF(E35:AH35, "V")) &amp; "/" &amp; D35, (COUNTIF(E35:AH35, "✓") + COUNTIF(E35:AH35, "✔") + COUNTIF(E35:AH35, "v") + COUNTIF(E35:AH35, "V")) &amp; "/0"), IF(((COUNTIF(E35:AH35, "✓") + COUNTIF(E35:AH35, "✔") + COUNTIF(E35:AH35, "v") + COUNTIF(E35:AH35, "V")) + COUNTIF(E35:AH35, "✗") + COUNTIF(E35:AH35, "x") + COUNTIF(E35:AH35, "X"))&gt;0, (COUNTIF(E35:AH35, "✓") + COUNTIF(E35:AH35, "✔") + COUNTIF(E35:AH35, "v") + COUNTIF(E35:AH35, "V")) &amp; "/" &amp; ((COUNTIF(E35:AH35, "✓") + COUNTIF(E35:AH35, "✔") + COUNTIF(E35:AH35, "v") + COUNTIF(E35:AH35, "V")) + COUNTIF(E35:AH35, "✗") + COUNTIF(E35:AH35, "x") + COUNTIF(E35:AH35, "X")), "")))</f>
        <v/>
      </c>
      <c r="AK35" s="131">
        <f>IF(ISBLANK(B35), "", IF(AI35&gt;=0.85, "🔥 Mastered", IF(AI35&gt;=0.7, "⚡ Consistent", "⚠️ Needs Focus")))</f>
        <v/>
      </c>
      <c r="AL35">
        <f>COUNTIF(E35:AH35, "✓")</f>
        <v/>
      </c>
    </row>
    <row r="36" ht="14.5" customHeight="1">
      <c r="A36" s="125" t="n">
        <v>19</v>
      </c>
      <c r="B36" s="126" t="n"/>
      <c r="C36" s="127" t="n"/>
      <c r="D36" s="127" t="n"/>
      <c r="E36" s="128" t="n"/>
      <c r="F36" s="128" t="n"/>
      <c r="G36" s="128" t="n"/>
      <c r="H36" s="129" t="n"/>
      <c r="I36" s="128" t="n"/>
      <c r="J36" s="128" t="n"/>
      <c r="K36" s="128" t="n"/>
      <c r="L36" s="128" t="n"/>
      <c r="M36" s="128" t="n"/>
      <c r="N36" s="128" t="n"/>
      <c r="O36" s="129" t="n"/>
      <c r="P36" s="128" t="n"/>
      <c r="Q36" s="128" t="n"/>
      <c r="R36" s="128" t="n"/>
      <c r="S36" s="128" t="n"/>
      <c r="T36" s="128" t="n"/>
      <c r="U36" s="128" t="n"/>
      <c r="V36" s="129" t="n"/>
      <c r="W36" s="128" t="n"/>
      <c r="X36" s="128" t="n"/>
      <c r="Y36" s="128" t="n"/>
      <c r="Z36" s="128" t="n"/>
      <c r="AA36" s="128" t="n"/>
      <c r="AB36" s="128" t="n"/>
      <c r="AC36" s="129" t="n"/>
      <c r="AD36" s="128" t="n"/>
      <c r="AE36" s="128" t="n"/>
      <c r="AF36" s="128" t="n"/>
      <c r="AG36" s="128" t="n"/>
      <c r="AH36" s="128" t="n"/>
      <c r="AI36" s="130">
        <f>IF(ISBLANK(B36), "", IF(ISNUMBER(D36), IF(D36&gt;0, (COUNTIF(E36:AH36, "✓") + COUNTIF(E36:AH36, "✔") + COUNTIF(E36:AH36, "v") + COUNTIF(E36:AH36, "V"))/D36, 0), IF(((COUNTIF(E36:AH36, "✓") + COUNTIF(E36:AH36, "✔") + COUNTIF(E36:AH36, "v") + COUNTIF(E36:AH36, "V")) + COUNTIF(E36:AH36, "✗") + COUNTIF(E36:AH36, "x") + COUNTIF(E36:AH36, "X"))&gt;0, (COUNTIF(E36:AH36, "✓") + COUNTIF(E36:AH36, "✔") + COUNTIF(E36:AH36, "v") + COUNTIF(E36:AH36, "V"))/((COUNTIF(E36:AH36, "✓") + COUNTIF(E36:AH36, "✔") + COUNTIF(E36:AH36, "v") + COUNTIF(E36:AH36, "V")) + COUNTIF(E36:AH36, "✗") + COUNTIF(E36:AH36, "x") + COUNTIF(E36:AH36, "X")), "")))</f>
        <v/>
      </c>
      <c r="AJ36" s="131">
        <f>IF(ISBLANK(B36), "", IF(ISNUMBER(D36), IF(D36&gt;0, (COUNTIF(E36:AH36, "✓") + COUNTIF(E36:AH36, "✔") + COUNTIF(E36:AH36, "v") + COUNTIF(E36:AH36, "V")) &amp; "/" &amp; D36, (COUNTIF(E36:AH36, "✓") + COUNTIF(E36:AH36, "✔") + COUNTIF(E36:AH36, "v") + COUNTIF(E36:AH36, "V")) &amp; "/0"), IF(((COUNTIF(E36:AH36, "✓") + COUNTIF(E36:AH36, "✔") + COUNTIF(E36:AH36, "v") + COUNTIF(E36:AH36, "V")) + COUNTIF(E36:AH36, "✗") + COUNTIF(E36:AH36, "x") + COUNTIF(E36:AH36, "X"))&gt;0, (COUNTIF(E36:AH36, "✓") + COUNTIF(E36:AH36, "✔") + COUNTIF(E36:AH36, "v") + COUNTIF(E36:AH36, "V")) &amp; "/" &amp; ((COUNTIF(E36:AH36, "✓") + COUNTIF(E36:AH36, "✔") + COUNTIF(E36:AH36, "v") + COUNTIF(E36:AH36, "V")) + COUNTIF(E36:AH36, "✗") + COUNTIF(E36:AH36, "x") + COUNTIF(E36:AH36, "X")), "")))</f>
        <v/>
      </c>
      <c r="AK36" s="131">
        <f>IF(ISBLANK(B36), "", IF(AI36&gt;=0.85, "🔥 Mastered", IF(AI36&gt;=0.7, "⚡ Consistent", "⚠️ Needs Focus")))</f>
        <v/>
      </c>
      <c r="AL36">
        <f>COUNTIF(E36:AH36, "✓")</f>
        <v/>
      </c>
    </row>
    <row r="37" ht="14.5" customHeight="1">
      <c r="A37" s="125" t="n">
        <v>20</v>
      </c>
      <c r="B37" s="126" t="n"/>
      <c r="C37" s="127" t="n"/>
      <c r="D37" s="127" t="n"/>
      <c r="E37" s="128" t="n"/>
      <c r="F37" s="128" t="n"/>
      <c r="G37" s="128" t="n"/>
      <c r="H37" s="129" t="n"/>
      <c r="I37" s="128" t="n"/>
      <c r="J37" s="128" t="n"/>
      <c r="K37" s="128" t="n"/>
      <c r="L37" s="128" t="n"/>
      <c r="M37" s="128" t="n"/>
      <c r="N37" s="128" t="n"/>
      <c r="O37" s="129" t="n"/>
      <c r="P37" s="128" t="n"/>
      <c r="Q37" s="128" t="n"/>
      <c r="R37" s="128" t="n"/>
      <c r="S37" s="128" t="n"/>
      <c r="T37" s="128" t="n"/>
      <c r="U37" s="128" t="n"/>
      <c r="V37" s="129" t="n"/>
      <c r="W37" s="128" t="n"/>
      <c r="X37" s="128" t="n"/>
      <c r="Y37" s="128" t="n"/>
      <c r="Z37" s="128" t="n"/>
      <c r="AA37" s="128" t="n"/>
      <c r="AB37" s="128" t="n"/>
      <c r="AC37" s="129" t="n"/>
      <c r="AD37" s="128" t="n"/>
      <c r="AE37" s="128" t="n"/>
      <c r="AF37" s="128" t="n"/>
      <c r="AG37" s="128" t="n"/>
      <c r="AH37" s="128" t="n"/>
      <c r="AI37" s="130">
        <f>IF(ISBLANK(B37), "", IF(ISNUMBER(D37), IF(D37&gt;0, (COUNTIF(E37:AH37, "✓") + COUNTIF(E37:AH37, "✔") + COUNTIF(E37:AH37, "v") + COUNTIF(E37:AH37, "V"))/D37, 0), IF(((COUNTIF(E37:AH37, "✓") + COUNTIF(E37:AH37, "✔") + COUNTIF(E37:AH37, "v") + COUNTIF(E37:AH37, "V")) + COUNTIF(E37:AH37, "✗") + COUNTIF(E37:AH37, "x") + COUNTIF(E37:AH37, "X"))&gt;0, (COUNTIF(E37:AH37, "✓") + COUNTIF(E37:AH37, "✔") + COUNTIF(E37:AH37, "v") + COUNTIF(E37:AH37, "V"))/((COUNTIF(E37:AH37, "✓") + COUNTIF(E37:AH37, "✔") + COUNTIF(E37:AH37, "v") + COUNTIF(E37:AH37, "V")) + COUNTIF(E37:AH37, "✗") + COUNTIF(E37:AH37, "x") + COUNTIF(E37:AH37, "X")), "")))</f>
        <v/>
      </c>
      <c r="AJ37" s="131">
        <f>IF(ISBLANK(B37), "", IF(ISNUMBER(D37), IF(D37&gt;0, (COUNTIF(E37:AH37, "✓") + COUNTIF(E37:AH37, "✔") + COUNTIF(E37:AH37, "v") + COUNTIF(E37:AH37, "V")) &amp; "/" &amp; D37, (COUNTIF(E37:AH37, "✓") + COUNTIF(E37:AH37, "✔") + COUNTIF(E37:AH37, "v") + COUNTIF(E37:AH37, "V")) &amp; "/0"), IF(((COUNTIF(E37:AH37, "✓") + COUNTIF(E37:AH37, "✔") + COUNTIF(E37:AH37, "v") + COUNTIF(E37:AH37, "V")) + COUNTIF(E37:AH37, "✗") + COUNTIF(E37:AH37, "x") + COUNTIF(E37:AH37, "X"))&gt;0, (COUNTIF(E37:AH37, "✓") + COUNTIF(E37:AH37, "✔") + COUNTIF(E37:AH37, "v") + COUNTIF(E37:AH37, "V")) &amp; "/" &amp; ((COUNTIF(E37:AH37, "✓") + COUNTIF(E37:AH37, "✔") + COUNTIF(E37:AH37, "v") + COUNTIF(E37:AH37, "V")) + COUNTIF(E37:AH37, "✗") + COUNTIF(E37:AH37, "x") + COUNTIF(E37:AH37, "X")), "")))</f>
        <v/>
      </c>
      <c r="AK37" s="131">
        <f>IF(ISBLANK(B37), "", IF(AI37&gt;=0.85, "🔥 Mastered", IF(AI37&gt;=0.7, "⚡ Consistent", "⚠️ Needs Focus")))</f>
        <v/>
      </c>
      <c r="AL37">
        <f>COUNTIF(E37:AH37, "✓")</f>
        <v/>
      </c>
    </row>
    <row r="38" ht="18" customHeight="1">
      <c r="A38" s="132" t="inlineStr">
        <is>
          <t>DAILY TOTAL SCORE</t>
        </is>
      </c>
      <c r="B38" s="54" t="n"/>
      <c r="C38" s="54" t="n"/>
      <c r="D38" s="54" t="n"/>
      <c r="E38" s="33">
        <f>IF(((COUNTIF(E18:E37, "✓") + COUNTIF(E18:E37, "✔") + COUNTIF(E18:E37, "v") + COUNTIF(E18:E37, "V")) + COUNTIF(E18:E37, "✗") + COUNTIF(E18:E37, "x") + COUNTIF(E18:E37, "X")) &gt; 0, (COUNTIF(E18:E37, "✓") + COUNTIF(E18:E37, "✔") + COUNTIF(E18:E37, "v") + COUNTIF(E18:E37, "V")) &amp; "/" &amp; ((COUNTIF(E18:E37, "✓") + COUNTIF(E18:E37, "✔") + COUNTIF(E18:E37, "v") + COUNTIF(E18:E37, "V")) + COUNTIF(E18:E37, "✗") + COUNTIF(E18:E37, "x") + COUNTIF(E18:E37, "X")), "")</f>
        <v/>
      </c>
      <c r="F38" s="33">
        <f>IF(((COUNTIF(F18:F37, "✓") + COUNTIF(F18:F37, "✔") + COUNTIF(F18:F37, "v") + COUNTIF(F18:F37, "V")) + COUNTIF(F18:F37, "✗") + COUNTIF(F18:F37, "x") + COUNTIF(F18:F37, "X")) &gt; 0, (COUNTIF(F18:F37, "✓") + COUNTIF(F18:F37, "✔") + COUNTIF(F18:F37, "v") + COUNTIF(F18:F37, "V")) &amp; "/" &amp; ((COUNTIF(F18:F37, "✓") + COUNTIF(F18:F37, "✔") + COUNTIF(F18:F37, "v") + COUNTIF(F18:F37, "V")) + COUNTIF(F18:F37, "✗") + COUNTIF(F18:F37, "x") + COUNTIF(F18:F37, "X")), "")</f>
        <v/>
      </c>
      <c r="G38" s="33">
        <f>IF(((COUNTIF(G18:G37, "✓") + COUNTIF(G18:G37, "✔") + COUNTIF(G18:G37, "v") + COUNTIF(G18:G37, "V")) + COUNTIF(G18:G37, "✗") + COUNTIF(G18:G37, "x") + COUNTIF(G18:G37, "X")) &gt; 0, (COUNTIF(G18:G37, "✓") + COUNTIF(G18:G37, "✔") + COUNTIF(G18:G37, "v") + COUNTIF(G18:G37, "V")) &amp; "/" &amp; ((COUNTIF(G18:G37, "✓") + COUNTIF(G18:G37, "✔") + COUNTIF(G18:G37, "v") + COUNTIF(G18:G37, "V")) + COUNTIF(G18:G37, "✗") + COUNTIF(G18:G37, "x") + COUNTIF(G18:G37, "X")), "")</f>
        <v/>
      </c>
      <c r="H38" s="33">
        <f>IF(((COUNTIF(H18:H37, "✓") + COUNTIF(H18:H37, "✔") + COUNTIF(H18:H37, "v") + COUNTIF(H18:H37, "V")) + COUNTIF(H18:H37, "✗") + COUNTIF(H18:H37, "x") + COUNTIF(H18:H37, "X")) &gt; 0, (COUNTIF(H18:H37, "✓") + COUNTIF(H18:H37, "✔") + COUNTIF(H18:H37, "v") + COUNTIF(H18:H37, "V")) &amp; "/" &amp; ((COUNTIF(H18:H37, "✓") + COUNTIF(H18:H37, "✔") + COUNTIF(H18:H37, "v") + COUNTIF(H18:H37, "V")) + COUNTIF(H18:H37, "✗") + COUNTIF(H18:H37, "x") + COUNTIF(H18:H37, "X")), "")</f>
        <v/>
      </c>
      <c r="I38" s="33">
        <f>IF(((COUNTIF(I18:I37, "✓") + COUNTIF(I18:I37, "✔") + COUNTIF(I18:I37, "v") + COUNTIF(I18:I37, "V")) + COUNTIF(I18:I37, "✗") + COUNTIF(I18:I37, "x") + COUNTIF(I18:I37, "X")) &gt; 0, (COUNTIF(I18:I37, "✓") + COUNTIF(I18:I37, "✔") + COUNTIF(I18:I37, "v") + COUNTIF(I18:I37, "V")) &amp; "/" &amp; ((COUNTIF(I18:I37, "✓") + COUNTIF(I18:I37, "✔") + COUNTIF(I18:I37, "v") + COUNTIF(I18:I37, "V")) + COUNTIF(I18:I37, "✗") + COUNTIF(I18:I37, "x") + COUNTIF(I18:I37, "X")), "")</f>
        <v/>
      </c>
      <c r="J38" s="33">
        <f>IF(((COUNTIF(J18:J37, "✓") + COUNTIF(J18:J37, "✔") + COUNTIF(J18:J37, "v") + COUNTIF(J18:J37, "V")) + COUNTIF(J18:J37, "✗") + COUNTIF(J18:J37, "x") + COUNTIF(J18:J37, "X")) &gt; 0, (COUNTIF(J18:J37, "✓") + COUNTIF(J18:J37, "✔") + COUNTIF(J18:J37, "v") + COUNTIF(J18:J37, "V")) &amp; "/" &amp; ((COUNTIF(J18:J37, "✓") + COUNTIF(J18:J37, "✔") + COUNTIF(J18:J37, "v") + COUNTIF(J18:J37, "V")) + COUNTIF(J18:J37, "✗") + COUNTIF(J18:J37, "x") + COUNTIF(J18:J37, "X")), "")</f>
        <v/>
      </c>
      <c r="K38" s="33">
        <f>IF(((COUNTIF(K18:K37, "✓") + COUNTIF(K18:K37, "✔") + COUNTIF(K18:K37, "v") + COUNTIF(K18:K37, "V")) + COUNTIF(K18:K37, "✗") + COUNTIF(K18:K37, "x") + COUNTIF(K18:K37, "X")) &gt; 0, (COUNTIF(K18:K37, "✓") + COUNTIF(K18:K37, "✔") + COUNTIF(K18:K37, "v") + COUNTIF(K18:K37, "V")) &amp; "/" &amp; ((COUNTIF(K18:K37, "✓") + COUNTIF(K18:K37, "✔") + COUNTIF(K18:K37, "v") + COUNTIF(K18:K37, "V")) + COUNTIF(K18:K37, "✗") + COUNTIF(K18:K37, "x") + COUNTIF(K18:K37, "X")), "")</f>
        <v/>
      </c>
      <c r="L38" s="33">
        <f>IF(((COUNTIF(L18:L37, "✓") + COUNTIF(L18:L37, "✔") + COUNTIF(L18:L37, "v") + COUNTIF(L18:L37, "V")) + COUNTIF(L18:L37, "✗") + COUNTIF(L18:L37, "x") + COUNTIF(L18:L37, "X")) &gt; 0, (COUNTIF(L18:L37, "✓") + COUNTIF(L18:L37, "✔") + COUNTIF(L18:L37, "v") + COUNTIF(L18:L37, "V")) &amp; "/" &amp; ((COUNTIF(L18:L37, "✓") + COUNTIF(L18:L37, "✔") + COUNTIF(L18:L37, "v") + COUNTIF(L18:L37, "V")) + COUNTIF(L18:L37, "✗") + COUNTIF(L18:L37, "x") + COUNTIF(L18:L37, "X")), "")</f>
        <v/>
      </c>
      <c r="M38" s="33">
        <f>IF(((COUNTIF(M18:M37, "✓") + COUNTIF(M18:M37, "✔") + COUNTIF(M18:M37, "v") + COUNTIF(M18:M37, "V")) + COUNTIF(M18:M37, "✗") + COUNTIF(M18:M37, "x") + COUNTIF(M18:M37, "X")) &gt; 0, (COUNTIF(M18:M37, "✓") + COUNTIF(M18:M37, "✔") + COUNTIF(M18:M37, "v") + COUNTIF(M18:M37, "V")) &amp; "/" &amp; ((COUNTIF(M18:M37, "✓") + COUNTIF(M18:M37, "✔") + COUNTIF(M18:M37, "v") + COUNTIF(M18:M37, "V")) + COUNTIF(M18:M37, "✗") + COUNTIF(M18:M37, "x") + COUNTIF(M18:M37, "X")), "")</f>
        <v/>
      </c>
      <c r="N38" s="33">
        <f>IF(((COUNTIF(N18:N37, "✓") + COUNTIF(N18:N37, "✔") + COUNTIF(N18:N37, "v") + COUNTIF(N18:N37, "V")) + COUNTIF(N18:N37, "✗") + COUNTIF(N18:N37, "x") + COUNTIF(N18:N37, "X")) &gt; 0, (COUNTIF(N18:N37, "✓") + COUNTIF(N18:N37, "✔") + COUNTIF(N18:N37, "v") + COUNTIF(N18:N37, "V")) &amp; "/" &amp; ((COUNTIF(N18:N37, "✓") + COUNTIF(N18:N37, "✔") + COUNTIF(N18:N37, "v") + COUNTIF(N18:N37, "V")) + COUNTIF(N18:N37, "✗") + COUNTIF(N18:N37, "x") + COUNTIF(N18:N37, "X")), "")</f>
        <v/>
      </c>
      <c r="O38" s="33">
        <f>IF(((COUNTIF(O18:O37, "✓") + COUNTIF(O18:O37, "✔") + COUNTIF(O18:O37, "v") + COUNTIF(O18:O37, "V")) + COUNTIF(O18:O37, "✗") + COUNTIF(O18:O37, "x") + COUNTIF(O18:O37, "X")) &gt; 0, (COUNTIF(O18:O37, "✓") + COUNTIF(O18:O37, "✔") + COUNTIF(O18:O37, "v") + COUNTIF(O18:O37, "V")) &amp; "/" &amp; ((COUNTIF(O18:O37, "✓") + COUNTIF(O18:O37, "✔") + COUNTIF(O18:O37, "v") + COUNTIF(O18:O37, "V")) + COUNTIF(O18:O37, "✗") + COUNTIF(O18:O37, "x") + COUNTIF(O18:O37, "X")), "")</f>
        <v/>
      </c>
      <c r="P38" s="33">
        <f>IF(((COUNTIF(P18:P37, "✓") + COUNTIF(P18:P37, "✔") + COUNTIF(P18:P37, "v") + COUNTIF(P18:P37, "V")) + COUNTIF(P18:P37, "✗") + COUNTIF(P18:P37, "x") + COUNTIF(P18:P37, "X")) &gt; 0, (COUNTIF(P18:P37, "✓") + COUNTIF(P18:P37, "✔") + COUNTIF(P18:P37, "v") + COUNTIF(P18:P37, "V")) &amp; "/" &amp; ((COUNTIF(P18:P37, "✓") + COUNTIF(P18:P37, "✔") + COUNTIF(P18:P37, "v") + COUNTIF(P18:P37, "V")) + COUNTIF(P18:P37, "✗") + COUNTIF(P18:P37, "x") + COUNTIF(P18:P37, "X")), "")</f>
        <v/>
      </c>
      <c r="Q38" s="33">
        <f>IF(((COUNTIF(Q18:Q37, "✓") + COUNTIF(Q18:Q37, "✔") + COUNTIF(Q18:Q37, "v") + COUNTIF(Q18:Q37, "V")) + COUNTIF(Q18:Q37, "✗") + COUNTIF(Q18:Q37, "x") + COUNTIF(Q18:Q37, "X")) &gt; 0, (COUNTIF(Q18:Q37, "✓") + COUNTIF(Q18:Q37, "✔") + COUNTIF(Q18:Q37, "v") + COUNTIF(Q18:Q37, "V")) &amp; "/" &amp; ((COUNTIF(Q18:Q37, "✓") + COUNTIF(Q18:Q37, "✔") + COUNTIF(Q18:Q37, "v") + COUNTIF(Q18:Q37, "V")) + COUNTIF(Q18:Q37, "✗") + COUNTIF(Q18:Q37, "x") + COUNTIF(Q18:Q37, "X")), "")</f>
        <v/>
      </c>
      <c r="R38" s="33">
        <f>IF(((COUNTIF(R18:R37, "✓") + COUNTIF(R18:R37, "✔") + COUNTIF(R18:R37, "v") + COUNTIF(R18:R37, "V")) + COUNTIF(R18:R37, "✗") + COUNTIF(R18:R37, "x") + COUNTIF(R18:R37, "X")) &gt; 0, (COUNTIF(R18:R37, "✓") + COUNTIF(R18:R37, "✔") + COUNTIF(R18:R37, "v") + COUNTIF(R18:R37, "V")) &amp; "/" &amp; ((COUNTIF(R18:R37, "✓") + COUNTIF(R18:R37, "✔") + COUNTIF(R18:R37, "v") + COUNTIF(R18:R37, "V")) + COUNTIF(R18:R37, "✗") + COUNTIF(R18:R37, "x") + COUNTIF(R18:R37, "X")), "")</f>
        <v/>
      </c>
      <c r="S38" s="33">
        <f>IF(((COUNTIF(S18:S37, "✓") + COUNTIF(S18:S37, "✔") + COUNTIF(S18:S37, "v") + COUNTIF(S18:S37, "V")) + COUNTIF(S18:S37, "✗") + COUNTIF(S18:S37, "x") + COUNTIF(S18:S37, "X")) &gt; 0, (COUNTIF(S18:S37, "✓") + COUNTIF(S18:S37, "✔") + COUNTIF(S18:S37, "v") + COUNTIF(S18:S37, "V")) &amp; "/" &amp; ((COUNTIF(S18:S37, "✓") + COUNTIF(S18:S37, "✔") + COUNTIF(S18:S37, "v") + COUNTIF(S18:S37, "V")) + COUNTIF(S18:S37, "✗") + COUNTIF(S18:S37, "x") + COUNTIF(S18:S37, "X")), "")</f>
        <v/>
      </c>
      <c r="T38" s="33">
        <f>IF(((COUNTIF(T18:T37, "✓") + COUNTIF(T18:T37, "✔") + COUNTIF(T18:T37, "v") + COUNTIF(T18:T37, "V")) + COUNTIF(T18:T37, "✗") + COUNTIF(T18:T37, "x") + COUNTIF(T18:T37, "X")) &gt; 0, (COUNTIF(T18:T37, "✓") + COUNTIF(T18:T37, "✔") + COUNTIF(T18:T37, "v") + COUNTIF(T18:T37, "V")) &amp; "/" &amp; ((COUNTIF(T18:T37, "✓") + COUNTIF(T18:T37, "✔") + COUNTIF(T18:T37, "v") + COUNTIF(T18:T37, "V")) + COUNTIF(T18:T37, "✗") + COUNTIF(T18:T37, "x") + COUNTIF(T18:T37, "X")), "")</f>
        <v/>
      </c>
      <c r="U38" s="33">
        <f>IF(((COUNTIF(U18:U37, "✓") + COUNTIF(U18:U37, "✔") + COUNTIF(U18:U37, "v") + COUNTIF(U18:U37, "V")) + COUNTIF(U18:U37, "✗") + COUNTIF(U18:U37, "x") + COUNTIF(U18:U37, "X")) &gt; 0, (COUNTIF(U18:U37, "✓") + COUNTIF(U18:U37, "✔") + COUNTIF(U18:U37, "v") + COUNTIF(U18:U37, "V")) &amp; "/" &amp; ((COUNTIF(U18:U37, "✓") + COUNTIF(U18:U37, "✔") + COUNTIF(U18:U37, "v") + COUNTIF(U18:U37, "V")) + COUNTIF(U18:U37, "✗") + COUNTIF(U18:U37, "x") + COUNTIF(U18:U37, "X")), "")</f>
        <v/>
      </c>
      <c r="V38" s="33">
        <f>IF(((COUNTIF(V18:V37, "✓") + COUNTIF(V18:V37, "✔") + COUNTIF(V18:V37, "v") + COUNTIF(V18:V37, "V")) + COUNTIF(V18:V37, "✗") + COUNTIF(V18:V37, "x") + COUNTIF(V18:V37, "X")) &gt; 0, (COUNTIF(V18:V37, "✓") + COUNTIF(V18:V37, "✔") + COUNTIF(V18:V37, "v") + COUNTIF(V18:V37, "V")) &amp; "/" &amp; ((COUNTIF(V18:V37, "✓") + COUNTIF(V18:V37, "✔") + COUNTIF(V18:V37, "v") + COUNTIF(V18:V37, "V")) + COUNTIF(V18:V37, "✗") + COUNTIF(V18:V37, "x") + COUNTIF(V18:V37, "X")), "")</f>
        <v/>
      </c>
      <c r="W38" s="33">
        <f>IF(((COUNTIF(W18:W37, "✓") + COUNTIF(W18:W37, "✔") + COUNTIF(W18:W37, "v") + COUNTIF(W18:W37, "V")) + COUNTIF(W18:W37, "✗") + COUNTIF(W18:W37, "x") + COUNTIF(W18:W37, "X")) &gt; 0, (COUNTIF(W18:W37, "✓") + COUNTIF(W18:W37, "✔") + COUNTIF(W18:W37, "v") + COUNTIF(W18:W37, "V")) &amp; "/" &amp; ((COUNTIF(W18:W37, "✓") + COUNTIF(W18:W37, "✔") + COUNTIF(W18:W37, "v") + COUNTIF(W18:W37, "V")) + COUNTIF(W18:W37, "✗") + COUNTIF(W18:W37, "x") + COUNTIF(W18:W37, "X")), "")</f>
        <v/>
      </c>
      <c r="X38" s="33">
        <f>IF(((COUNTIF(X18:X37, "✓") + COUNTIF(X18:X37, "✔") + COUNTIF(X18:X37, "v") + COUNTIF(X18:X37, "V")) + COUNTIF(X18:X37, "✗") + COUNTIF(X18:X37, "x") + COUNTIF(X18:X37, "X")) &gt; 0, (COUNTIF(X18:X37, "✓") + COUNTIF(X18:X37, "✔") + COUNTIF(X18:X37, "v") + COUNTIF(X18:X37, "V")) &amp; "/" &amp; ((COUNTIF(X18:X37, "✓") + COUNTIF(X18:X37, "✔") + COUNTIF(X18:X37, "v") + COUNTIF(X18:X37, "V")) + COUNTIF(X18:X37, "✗") + COUNTIF(X18:X37, "x") + COUNTIF(X18:X37, "X")), "")</f>
        <v/>
      </c>
      <c r="Y38" s="33">
        <f>IF(((COUNTIF(Y18:Y37, "✓") + COUNTIF(Y18:Y37, "✔") + COUNTIF(Y18:Y37, "v") + COUNTIF(Y18:Y37, "V")) + COUNTIF(Y18:Y37, "✗") + COUNTIF(Y18:Y37, "x") + COUNTIF(Y18:Y37, "X")) &gt; 0, (COUNTIF(Y18:Y37, "✓") + COUNTIF(Y18:Y37, "✔") + COUNTIF(Y18:Y37, "v") + COUNTIF(Y18:Y37, "V")) &amp; "/" &amp; ((COUNTIF(Y18:Y37, "✓") + COUNTIF(Y18:Y37, "✔") + COUNTIF(Y18:Y37, "v") + COUNTIF(Y18:Y37, "V")) + COUNTIF(Y18:Y37, "✗") + COUNTIF(Y18:Y37, "x") + COUNTIF(Y18:Y37, "X")), "")</f>
        <v/>
      </c>
      <c r="Z38" s="33">
        <f>IF(((COUNTIF(Z18:Z37, "✓") + COUNTIF(Z18:Z37, "✔") + COUNTIF(Z18:Z37, "v") + COUNTIF(Z18:Z37, "V")) + COUNTIF(Z18:Z37, "✗") + COUNTIF(Z18:Z37, "x") + COUNTIF(Z18:Z37, "X")) &gt; 0, (COUNTIF(Z18:Z37, "✓") + COUNTIF(Z18:Z37, "✔") + COUNTIF(Z18:Z37, "v") + COUNTIF(Z18:Z37, "V")) &amp; "/" &amp; ((COUNTIF(Z18:Z37, "✓") + COUNTIF(Z18:Z37, "✔") + COUNTIF(Z18:Z37, "v") + COUNTIF(Z18:Z37, "V")) + COUNTIF(Z18:Z37, "✗") + COUNTIF(Z18:Z37, "x") + COUNTIF(Z18:Z37, "X")), "")</f>
        <v/>
      </c>
      <c r="AA38" s="33">
        <f>IF(((COUNTIF(AA18:AA37, "✓") + COUNTIF(AA18:AA37, "✔") + COUNTIF(AA18:AA37, "v") + COUNTIF(AA18:AA37, "V")) + COUNTIF(AA18:AA37, "✗") + COUNTIF(AA18:AA37, "x") + COUNTIF(AA18:AA37, "X")) &gt; 0, (COUNTIF(AA18:AA37, "✓") + COUNTIF(AA18:AA37, "✔") + COUNTIF(AA18:AA37, "v") + COUNTIF(AA18:AA37, "V")) &amp; "/" &amp; ((COUNTIF(AA18:AA37, "✓") + COUNTIF(AA18:AA37, "✔") + COUNTIF(AA18:AA37, "v") + COUNTIF(AA18:AA37, "V")) + COUNTIF(AA18:AA37, "✗") + COUNTIF(AA18:AA37, "x") + COUNTIF(AA18:AA37, "X")), "")</f>
        <v/>
      </c>
      <c r="AB38" s="33">
        <f>IF(((COUNTIF(AB18:AB37, "✓") + COUNTIF(AB18:AB37, "✔") + COUNTIF(AB18:AB37, "v") + COUNTIF(AB18:AB37, "V")) + COUNTIF(AB18:AB37, "✗") + COUNTIF(AB18:AB37, "x") + COUNTIF(AB18:AB37, "X")) &gt; 0, (COUNTIF(AB18:AB37, "✓") + COUNTIF(AB18:AB37, "✔") + COUNTIF(AB18:AB37, "v") + COUNTIF(AB18:AB37, "V")) &amp; "/" &amp; ((COUNTIF(AB18:AB37, "✓") + COUNTIF(AB18:AB37, "✔") + COUNTIF(AB18:AB37, "v") + COUNTIF(AB18:AB37, "V")) + COUNTIF(AB18:AB37, "✗") + COUNTIF(AB18:AB37, "x") + COUNTIF(AB18:AB37, "X")), "")</f>
        <v/>
      </c>
      <c r="AC38" s="33">
        <f>IF(((COUNTIF(AC18:AC37, "✓") + COUNTIF(AC18:AC37, "✔") + COUNTIF(AC18:AC37, "v") + COUNTIF(AC18:AC37, "V")) + COUNTIF(AC18:AC37, "✗") + COUNTIF(AC18:AC37, "x") + COUNTIF(AC18:AC37, "X")) &gt; 0, (COUNTIF(AC18:AC37, "✓") + COUNTIF(AC18:AC37, "✔") + COUNTIF(AC18:AC37, "v") + COUNTIF(AC18:AC37, "V")) &amp; "/" &amp; ((COUNTIF(AC18:AC37, "✓") + COUNTIF(AC18:AC37, "✔") + COUNTIF(AC18:AC37, "v") + COUNTIF(AC18:AC37, "V")) + COUNTIF(AC18:AC37, "✗") + COUNTIF(AC18:AC37, "x") + COUNTIF(AC18:AC37, "X")), "")</f>
        <v/>
      </c>
      <c r="AD38" s="33">
        <f>IF(((COUNTIF(AD18:AD37, "✓") + COUNTIF(AD18:AD37, "✔") + COUNTIF(AD18:AD37, "v") + COUNTIF(AD18:AD37, "V")) + COUNTIF(AD18:AD37, "✗") + COUNTIF(AD18:AD37, "x") + COUNTIF(AD18:AD37, "X")) &gt; 0, (COUNTIF(AD18:AD37, "✓") + COUNTIF(AD18:AD37, "✔") + COUNTIF(AD18:AD37, "v") + COUNTIF(AD18:AD37, "V")) &amp; "/" &amp; ((COUNTIF(AD18:AD37, "✓") + COUNTIF(AD18:AD37, "✔") + COUNTIF(AD18:AD37, "v") + COUNTIF(AD18:AD37, "V")) + COUNTIF(AD18:AD37, "✗") + COUNTIF(AD18:AD37, "x") + COUNTIF(AD18:AD37, "X")), "")</f>
        <v/>
      </c>
      <c r="AE38" s="33">
        <f>IF(((COUNTIF(AE18:AE37, "✓") + COUNTIF(AE18:AE37, "✔") + COUNTIF(AE18:AE37, "v") + COUNTIF(AE18:AE37, "V")) + COUNTIF(AE18:AE37, "✗") + COUNTIF(AE18:AE37, "x") + COUNTIF(AE18:AE37, "X")) &gt; 0, (COUNTIF(AE18:AE37, "✓") + COUNTIF(AE18:AE37, "✔") + COUNTIF(AE18:AE37, "v") + COUNTIF(AE18:AE37, "V")) &amp; "/" &amp; ((COUNTIF(AE18:AE37, "✓") + COUNTIF(AE18:AE37, "✔") + COUNTIF(AE18:AE37, "v") + COUNTIF(AE18:AE37, "V")) + COUNTIF(AE18:AE37, "✗") + COUNTIF(AE18:AE37, "x") + COUNTIF(AE18:AE37, "X")), "")</f>
        <v/>
      </c>
      <c r="AF38" s="33">
        <f>IF(((COUNTIF(AF18:AF37, "✓") + COUNTIF(AF18:AF37, "✔") + COUNTIF(AF18:AF37, "v") + COUNTIF(AF18:AF37, "V")) + COUNTIF(AF18:AF37, "✗") + COUNTIF(AF18:AF37, "x") + COUNTIF(AF18:AF37, "X")) &gt; 0, (COUNTIF(AF18:AF37, "✓") + COUNTIF(AF18:AF37, "✔") + COUNTIF(AF18:AF37, "v") + COUNTIF(AF18:AF37, "V")) &amp; "/" &amp; ((COUNTIF(AF18:AF37, "✓") + COUNTIF(AF18:AF37, "✔") + COUNTIF(AF18:AF37, "v") + COUNTIF(AF18:AF37, "V")) + COUNTIF(AF18:AF37, "✗") + COUNTIF(AF18:AF37, "x") + COUNTIF(AF18:AF37, "X")), "")</f>
        <v/>
      </c>
      <c r="AG38" s="33">
        <f>IF(((COUNTIF(AG18:AG37, "✓") + COUNTIF(AG18:AG37, "✔") + COUNTIF(AG18:AG37, "v") + COUNTIF(AG18:AG37, "V")) + COUNTIF(AG18:AG37, "✗") + COUNTIF(AG18:AG37, "x") + COUNTIF(AG18:AG37, "X")) &gt; 0, (COUNTIF(AG18:AG37, "✓") + COUNTIF(AG18:AG37, "✔") + COUNTIF(AG18:AG37, "v") + COUNTIF(AG18:AG37, "V")) &amp; "/" &amp; ((COUNTIF(AG18:AG37, "✓") + COUNTIF(AG18:AG37, "✔") + COUNTIF(AG18:AG37, "v") + COUNTIF(AG18:AG37, "V")) + COUNTIF(AG18:AG37, "✗") + COUNTIF(AG18:AG37, "x") + COUNTIF(AG18:AG37, "X")), "")</f>
        <v/>
      </c>
      <c r="AH38" s="33">
        <f>IF(((COUNTIF(AH18:AH37, "✓") + COUNTIF(AH18:AH37, "✔") + COUNTIF(AH18:AH37, "v") + COUNTIF(AH18:AH37, "V")) + COUNTIF(AH18:AH37, "✗") + COUNTIF(AH18:AH37, "x") + COUNTIF(AH18:AH37, "X")) &gt; 0, (COUNTIF(AH18:AH37, "✓") + COUNTIF(AH18:AH37, "✔") + COUNTIF(AH18:AH37, "v") + COUNTIF(AH18:AH37, "V")) &amp; "/" &amp; ((COUNTIF(AH18:AH37, "✓") + COUNTIF(AH18:AH37, "✔") + COUNTIF(AH18:AH37, "v") + COUNTIF(AH18:AH37, "V")) + COUNTIF(AH18:AH37, "✗") + COUNTIF(AH18:AH37, "x") + COUNTIF(AH18:AH37, "X")), "")</f>
        <v/>
      </c>
      <c r="AI38" s="133">
        <f>IF(SUM(D18:D37) &gt; 0, SUM(AL18:AL37) / SUM(D18:D37), "")</f>
        <v/>
      </c>
      <c r="AJ38" s="33">
        <f>IF(SUM(D18:D37) &gt; 0, SUM(AL18:AL37) &amp; "/" &amp; SUM(D18:D37), "")</f>
        <v/>
      </c>
      <c r="AK38" s="54" t="n"/>
    </row>
    <row r="39" ht="18" customHeight="1">
      <c r="A39" s="132" t="inlineStr">
        <is>
          <t>DAILY SUCCESS %</t>
        </is>
      </c>
      <c r="B39" s="54" t="n"/>
      <c r="C39" s="54" t="n"/>
      <c r="D39" s="54" t="n"/>
      <c r="E39" s="134">
        <f>IF(((COUNTIF(E18:E37, "✓") + COUNTIF(E18:E37, "✔") + COUNTIF(E18:E37, "v") + COUNTIF(E18:E37, "V")) + COUNTIF(E18:E37, "✗") + COUNTIF(E18:E37, "x") + COUNTIF(E18:E37, "X")) &gt; 0, (COUNTIF(E18:E37, "✓") + COUNTIF(E18:E37, "✔") + COUNTIF(E18:E37, "v") + COUNTIF(E18:E37, "V")) / ((COUNTIF(E18:E37, "✓") + COUNTIF(E18:E37, "✔") + COUNTIF(E18:E37, "v") + COUNTIF(E18:E37, "V")) + COUNTIF(E18:E37, "✗") + COUNTIF(E18:E37, "x") + COUNTIF(E18:E37, "X")), "")</f>
        <v/>
      </c>
      <c r="F39" s="134">
        <f>IF(((COUNTIF(F18:F37, "✓") + COUNTIF(F18:F37, "✔") + COUNTIF(F18:F37, "v") + COUNTIF(F18:F37, "V")) + COUNTIF(F18:F37, "✗") + COUNTIF(F18:F37, "x") + COUNTIF(F18:F37, "X")) &gt; 0, (COUNTIF(F18:F37, "✓") + COUNTIF(F18:F37, "✔") + COUNTIF(F18:F37, "v") + COUNTIF(F18:F37, "V")) / ((COUNTIF(F18:F37, "✓") + COUNTIF(F18:F37, "✔") + COUNTIF(F18:F37, "v") + COUNTIF(F18:F37, "V")) + COUNTIF(F18:F37, "✗") + COUNTIF(F18:F37, "x") + COUNTIF(F18:F37, "X")), "")</f>
        <v/>
      </c>
      <c r="G39" s="134">
        <f>IF(((COUNTIF(G18:G37, "✓") + COUNTIF(G18:G37, "✔") + COUNTIF(G18:G37, "v") + COUNTIF(G18:G37, "V")) + COUNTIF(G18:G37, "✗") + COUNTIF(G18:G37, "x") + COUNTIF(G18:G37, "X")) &gt; 0, (COUNTIF(G18:G37, "✓") + COUNTIF(G18:G37, "✔") + COUNTIF(G18:G37, "v") + COUNTIF(G18:G37, "V")) / ((COUNTIF(G18:G37, "✓") + COUNTIF(G18:G37, "✔") + COUNTIF(G18:G37, "v") + COUNTIF(G18:G37, "V")) + COUNTIF(G18:G37, "✗") + COUNTIF(G18:G37, "x") + COUNTIF(G18:G37, "X")), "")</f>
        <v/>
      </c>
      <c r="H39" s="134">
        <f>IF(((COUNTIF(H18:H37, "✓") + COUNTIF(H18:H37, "✔") + COUNTIF(H18:H37, "v") + COUNTIF(H18:H37, "V")) + COUNTIF(H18:H37, "✗") + COUNTIF(H18:H37, "x") + COUNTIF(H18:H37, "X")) &gt; 0, (COUNTIF(H18:H37, "✓") + COUNTIF(H18:H37, "✔") + COUNTIF(H18:H37, "v") + COUNTIF(H18:H37, "V")) / ((COUNTIF(H18:H37, "✓") + COUNTIF(H18:H37, "✔") + COUNTIF(H18:H37, "v") + COUNTIF(H18:H37, "V")) + COUNTIF(H18:H37, "✗") + COUNTIF(H18:H37, "x") + COUNTIF(H18:H37, "X")), "")</f>
        <v/>
      </c>
      <c r="I39" s="134">
        <f>IF(((COUNTIF(I18:I37, "✓") + COUNTIF(I18:I37, "✔") + COUNTIF(I18:I37, "v") + COUNTIF(I18:I37, "V")) + COUNTIF(I18:I37, "✗") + COUNTIF(I18:I37, "x") + COUNTIF(I18:I37, "X")) &gt; 0, (COUNTIF(I18:I37, "✓") + COUNTIF(I18:I37, "✔") + COUNTIF(I18:I37, "v") + COUNTIF(I18:I37, "V")) / ((COUNTIF(I18:I37, "✓") + COUNTIF(I18:I37, "✔") + COUNTIF(I18:I37, "v") + COUNTIF(I18:I37, "V")) + COUNTIF(I18:I37, "✗") + COUNTIF(I18:I37, "x") + COUNTIF(I18:I37, "X")), "")</f>
        <v/>
      </c>
      <c r="J39" s="134">
        <f>IF(((COUNTIF(J18:J37, "✓") + COUNTIF(J18:J37, "✔") + COUNTIF(J18:J37, "v") + COUNTIF(J18:J37, "V")) + COUNTIF(J18:J37, "✗") + COUNTIF(J18:J37, "x") + COUNTIF(J18:J37, "X")) &gt; 0, (COUNTIF(J18:J37, "✓") + COUNTIF(J18:J37, "✔") + COUNTIF(J18:J37, "v") + COUNTIF(J18:J37, "V")) / ((COUNTIF(J18:J37, "✓") + COUNTIF(J18:J37, "✔") + COUNTIF(J18:J37, "v") + COUNTIF(J18:J37, "V")) + COUNTIF(J18:J37, "✗") + COUNTIF(J18:J37, "x") + COUNTIF(J18:J37, "X")), "")</f>
        <v/>
      </c>
      <c r="K39" s="134">
        <f>IF(((COUNTIF(K18:K37, "✓") + COUNTIF(K18:K37, "✔") + COUNTIF(K18:K37, "v") + COUNTIF(K18:K37, "V")) + COUNTIF(K18:K37, "✗") + COUNTIF(K18:K37, "x") + COUNTIF(K18:K37, "X")) &gt; 0, (COUNTIF(K18:K37, "✓") + COUNTIF(K18:K37, "✔") + COUNTIF(K18:K37, "v") + COUNTIF(K18:K37, "V")) / ((COUNTIF(K18:K37, "✓") + COUNTIF(K18:K37, "✔") + COUNTIF(K18:K37, "v") + COUNTIF(K18:K37, "V")) + COUNTIF(K18:K37, "✗") + COUNTIF(K18:K37, "x") + COUNTIF(K18:K37, "X")), "")</f>
        <v/>
      </c>
      <c r="L39" s="134">
        <f>IF(((COUNTIF(L18:L37, "✓") + COUNTIF(L18:L37, "✔") + COUNTIF(L18:L37, "v") + COUNTIF(L18:L37, "V")) + COUNTIF(L18:L37, "✗") + COUNTIF(L18:L37, "x") + COUNTIF(L18:L37, "X")) &gt; 0, (COUNTIF(L18:L37, "✓") + COUNTIF(L18:L37, "✔") + COUNTIF(L18:L37, "v") + COUNTIF(L18:L37, "V")) / ((COUNTIF(L18:L37, "✓") + COUNTIF(L18:L37, "✔") + COUNTIF(L18:L37, "v") + COUNTIF(L18:L37, "V")) + COUNTIF(L18:L37, "✗") + COUNTIF(L18:L37, "x") + COUNTIF(L18:L37, "X")), "")</f>
        <v/>
      </c>
      <c r="M39" s="134">
        <f>IF(((COUNTIF(M18:M37, "✓") + COUNTIF(M18:M37, "✔") + COUNTIF(M18:M37, "v") + COUNTIF(M18:M37, "V")) + COUNTIF(M18:M37, "✗") + COUNTIF(M18:M37, "x") + COUNTIF(M18:M37, "X")) &gt; 0, (COUNTIF(M18:M37, "✓") + COUNTIF(M18:M37, "✔") + COUNTIF(M18:M37, "v") + COUNTIF(M18:M37, "V")) / ((COUNTIF(M18:M37, "✓") + COUNTIF(M18:M37, "✔") + COUNTIF(M18:M37, "v") + COUNTIF(M18:M37, "V")) + COUNTIF(M18:M37, "✗") + COUNTIF(M18:M37, "x") + COUNTIF(M18:M37, "X")), "")</f>
        <v/>
      </c>
      <c r="N39" s="134">
        <f>IF(((COUNTIF(N18:N37, "✓") + COUNTIF(N18:N37, "✔") + COUNTIF(N18:N37, "v") + COUNTIF(N18:N37, "V")) + COUNTIF(N18:N37, "✗") + COUNTIF(N18:N37, "x") + COUNTIF(N18:N37, "X")) &gt; 0, (COUNTIF(N18:N37, "✓") + COUNTIF(N18:N37, "✔") + COUNTIF(N18:N37, "v") + COUNTIF(N18:N37, "V")) / ((COUNTIF(N18:N37, "✓") + COUNTIF(N18:N37, "✔") + COUNTIF(N18:N37, "v") + COUNTIF(N18:N37, "V")) + COUNTIF(N18:N37, "✗") + COUNTIF(N18:N37, "x") + COUNTIF(N18:N37, "X")), "")</f>
        <v/>
      </c>
      <c r="O39" s="134">
        <f>IF(((COUNTIF(O18:O37, "✓") + COUNTIF(O18:O37, "✔") + COUNTIF(O18:O37, "v") + COUNTIF(O18:O37, "V")) + COUNTIF(O18:O37, "✗") + COUNTIF(O18:O37, "x") + COUNTIF(O18:O37, "X")) &gt; 0, (COUNTIF(O18:O37, "✓") + COUNTIF(O18:O37, "✔") + COUNTIF(O18:O37, "v") + COUNTIF(O18:O37, "V")) / ((COUNTIF(O18:O37, "✓") + COUNTIF(O18:O37, "✔") + COUNTIF(O18:O37, "v") + COUNTIF(O18:O37, "V")) + COUNTIF(O18:O37, "✗") + COUNTIF(O18:O37, "x") + COUNTIF(O18:O37, "X")), "")</f>
        <v/>
      </c>
      <c r="P39" s="134">
        <f>IF(((COUNTIF(P18:P37, "✓") + COUNTIF(P18:P37, "✔") + COUNTIF(P18:P37, "v") + COUNTIF(P18:P37, "V")) + COUNTIF(P18:P37, "✗") + COUNTIF(P18:P37, "x") + COUNTIF(P18:P37, "X")) &gt; 0, (COUNTIF(P18:P37, "✓") + COUNTIF(P18:P37, "✔") + COUNTIF(P18:P37, "v") + COUNTIF(P18:P37, "V")) / ((COUNTIF(P18:P37, "✓") + COUNTIF(P18:P37, "✔") + COUNTIF(P18:P37, "v") + COUNTIF(P18:P37, "V")) + COUNTIF(P18:P37, "✗") + COUNTIF(P18:P37, "x") + COUNTIF(P18:P37, "X")), "")</f>
        <v/>
      </c>
      <c r="Q39" s="134">
        <f>IF(((COUNTIF(Q18:Q37, "✓") + COUNTIF(Q18:Q37, "✔") + COUNTIF(Q18:Q37, "v") + COUNTIF(Q18:Q37, "V")) + COUNTIF(Q18:Q37, "✗") + COUNTIF(Q18:Q37, "x") + COUNTIF(Q18:Q37, "X")) &gt; 0, (COUNTIF(Q18:Q37, "✓") + COUNTIF(Q18:Q37, "✔") + COUNTIF(Q18:Q37, "v") + COUNTIF(Q18:Q37, "V")) / ((COUNTIF(Q18:Q37, "✓") + COUNTIF(Q18:Q37, "✔") + COUNTIF(Q18:Q37, "v") + COUNTIF(Q18:Q37, "V")) + COUNTIF(Q18:Q37, "✗") + COUNTIF(Q18:Q37, "x") + COUNTIF(Q18:Q37, "X")), "")</f>
        <v/>
      </c>
      <c r="R39" s="134">
        <f>IF(((COUNTIF(R18:R37, "✓") + COUNTIF(R18:R37, "✔") + COUNTIF(R18:R37, "v") + COUNTIF(R18:R37, "V")) + COUNTIF(R18:R37, "✗") + COUNTIF(R18:R37, "x") + COUNTIF(R18:R37, "X")) &gt; 0, (COUNTIF(R18:R37, "✓") + COUNTIF(R18:R37, "✔") + COUNTIF(R18:R37, "v") + COUNTIF(R18:R37, "V")) / ((COUNTIF(R18:R37, "✓") + COUNTIF(R18:R37, "✔") + COUNTIF(R18:R37, "v") + COUNTIF(R18:R37, "V")) + COUNTIF(R18:R37, "✗") + COUNTIF(R18:R37, "x") + COUNTIF(R18:R37, "X")), "")</f>
        <v/>
      </c>
      <c r="S39" s="134">
        <f>IF(((COUNTIF(S18:S37, "✓") + COUNTIF(S18:S37, "✔") + COUNTIF(S18:S37, "v") + COUNTIF(S18:S37, "V")) + COUNTIF(S18:S37, "✗") + COUNTIF(S18:S37, "x") + COUNTIF(S18:S37, "X")) &gt; 0, (COUNTIF(S18:S37, "✓") + COUNTIF(S18:S37, "✔") + COUNTIF(S18:S37, "v") + COUNTIF(S18:S37, "V")) / ((COUNTIF(S18:S37, "✓") + COUNTIF(S18:S37, "✔") + COUNTIF(S18:S37, "v") + COUNTIF(S18:S37, "V")) + COUNTIF(S18:S37, "✗") + COUNTIF(S18:S37, "x") + COUNTIF(S18:S37, "X")), "")</f>
        <v/>
      </c>
      <c r="T39" s="134">
        <f>IF(((COUNTIF(T18:T37, "✓") + COUNTIF(T18:T37, "✔") + COUNTIF(T18:T37, "v") + COUNTIF(T18:T37, "V")) + COUNTIF(T18:T37, "✗") + COUNTIF(T18:T37, "x") + COUNTIF(T18:T37, "X")) &gt; 0, (COUNTIF(T18:T37, "✓") + COUNTIF(T18:T37, "✔") + COUNTIF(T18:T37, "v") + COUNTIF(T18:T37, "V")) / ((COUNTIF(T18:T37, "✓") + COUNTIF(T18:T37, "✔") + COUNTIF(T18:T37, "v") + COUNTIF(T18:T37, "V")) + COUNTIF(T18:T37, "✗") + COUNTIF(T18:T37, "x") + COUNTIF(T18:T37, "X")), "")</f>
        <v/>
      </c>
      <c r="U39" s="134">
        <f>IF(((COUNTIF(U18:U37, "✓") + COUNTIF(U18:U37, "✔") + COUNTIF(U18:U37, "v") + COUNTIF(U18:U37, "V")) + COUNTIF(U18:U37, "✗") + COUNTIF(U18:U37, "x") + COUNTIF(U18:U37, "X")) &gt; 0, (COUNTIF(U18:U37, "✓") + COUNTIF(U18:U37, "✔") + COUNTIF(U18:U37, "v") + COUNTIF(U18:U37, "V")) / ((COUNTIF(U18:U37, "✓") + COUNTIF(U18:U37, "✔") + COUNTIF(U18:U37, "v") + COUNTIF(U18:U37, "V")) + COUNTIF(U18:U37, "✗") + COUNTIF(U18:U37, "x") + COUNTIF(U18:U37, "X")), "")</f>
        <v/>
      </c>
      <c r="V39" s="134">
        <f>IF(((COUNTIF(V18:V37, "✓") + COUNTIF(V18:V37, "✔") + COUNTIF(V18:V37, "v") + COUNTIF(V18:V37, "V")) + COUNTIF(V18:V37, "✗") + COUNTIF(V18:V37, "x") + COUNTIF(V18:V37, "X")) &gt; 0, (COUNTIF(V18:V37, "✓") + COUNTIF(V18:V37, "✔") + COUNTIF(V18:V37, "v") + COUNTIF(V18:V37, "V")) / ((COUNTIF(V18:V37, "✓") + COUNTIF(V18:V37, "✔") + COUNTIF(V18:V37, "v") + COUNTIF(V18:V37, "V")) + COUNTIF(V18:V37, "✗") + COUNTIF(V18:V37, "x") + COUNTIF(V18:V37, "X")), "")</f>
        <v/>
      </c>
      <c r="W39" s="134">
        <f>IF(((COUNTIF(W18:W37, "✓") + COUNTIF(W18:W37, "✔") + COUNTIF(W18:W37, "v") + COUNTIF(W18:W37, "V")) + COUNTIF(W18:W37, "✗") + COUNTIF(W18:W37, "x") + COUNTIF(W18:W37, "X")) &gt; 0, (COUNTIF(W18:W37, "✓") + COUNTIF(W18:W37, "✔") + COUNTIF(W18:W37, "v") + COUNTIF(W18:W37, "V")) / ((COUNTIF(W18:W37, "✓") + COUNTIF(W18:W37, "✔") + COUNTIF(W18:W37, "v") + COUNTIF(W18:W37, "V")) + COUNTIF(W18:W37, "✗") + COUNTIF(W18:W37, "x") + COUNTIF(W18:W37, "X")), "")</f>
        <v/>
      </c>
      <c r="X39" s="134">
        <f>IF(((COUNTIF(X18:X37, "✓") + COUNTIF(X18:X37, "✔") + COUNTIF(X18:X37, "v") + COUNTIF(X18:X37, "V")) + COUNTIF(X18:X37, "✗") + COUNTIF(X18:X37, "x") + COUNTIF(X18:X37, "X")) &gt; 0, (COUNTIF(X18:X37, "✓") + COUNTIF(X18:X37, "✔") + COUNTIF(X18:X37, "v") + COUNTIF(X18:X37, "V")) / ((COUNTIF(X18:X37, "✓") + COUNTIF(X18:X37, "✔") + COUNTIF(X18:X37, "v") + COUNTIF(X18:X37, "V")) + COUNTIF(X18:X37, "✗") + COUNTIF(X18:X37, "x") + COUNTIF(X18:X37, "X")), "")</f>
        <v/>
      </c>
      <c r="Y39" s="134">
        <f>IF(((COUNTIF(Y18:Y37, "✓") + COUNTIF(Y18:Y37, "✔") + COUNTIF(Y18:Y37, "v") + COUNTIF(Y18:Y37, "V")) + COUNTIF(Y18:Y37, "✗") + COUNTIF(Y18:Y37, "x") + COUNTIF(Y18:Y37, "X")) &gt; 0, (COUNTIF(Y18:Y37, "✓") + COUNTIF(Y18:Y37, "✔") + COUNTIF(Y18:Y37, "v") + COUNTIF(Y18:Y37, "V")) / ((COUNTIF(Y18:Y37, "✓") + COUNTIF(Y18:Y37, "✔") + COUNTIF(Y18:Y37, "v") + COUNTIF(Y18:Y37, "V")) + COUNTIF(Y18:Y37, "✗") + COUNTIF(Y18:Y37, "x") + COUNTIF(Y18:Y37, "X")), "")</f>
        <v/>
      </c>
      <c r="Z39" s="134">
        <f>IF(((COUNTIF(Z18:Z37, "✓") + COUNTIF(Z18:Z37, "✔") + COUNTIF(Z18:Z37, "v") + COUNTIF(Z18:Z37, "V")) + COUNTIF(Z18:Z37, "✗") + COUNTIF(Z18:Z37, "x") + COUNTIF(Z18:Z37, "X")) &gt; 0, (COUNTIF(Z18:Z37, "✓") + COUNTIF(Z18:Z37, "✔") + COUNTIF(Z18:Z37, "v") + COUNTIF(Z18:Z37, "V")) / ((COUNTIF(Z18:Z37, "✓") + COUNTIF(Z18:Z37, "✔") + COUNTIF(Z18:Z37, "v") + COUNTIF(Z18:Z37, "V")) + COUNTIF(Z18:Z37, "✗") + COUNTIF(Z18:Z37, "x") + COUNTIF(Z18:Z37, "X")), "")</f>
        <v/>
      </c>
      <c r="AA39" s="134">
        <f>IF(((COUNTIF(AA18:AA37, "✓") + COUNTIF(AA18:AA37, "✔") + COUNTIF(AA18:AA37, "v") + COUNTIF(AA18:AA37, "V")) + COUNTIF(AA18:AA37, "✗") + COUNTIF(AA18:AA37, "x") + COUNTIF(AA18:AA37, "X")) &gt; 0, (COUNTIF(AA18:AA37, "✓") + COUNTIF(AA18:AA37, "✔") + COUNTIF(AA18:AA37, "v") + COUNTIF(AA18:AA37, "V")) / ((COUNTIF(AA18:AA37, "✓") + COUNTIF(AA18:AA37, "✔") + COUNTIF(AA18:AA37, "v") + COUNTIF(AA18:AA37, "V")) + COUNTIF(AA18:AA37, "✗") + COUNTIF(AA18:AA37, "x") + COUNTIF(AA18:AA37, "X")), "")</f>
        <v/>
      </c>
      <c r="AB39" s="134">
        <f>IF(((COUNTIF(AB18:AB37, "✓") + COUNTIF(AB18:AB37, "✔") + COUNTIF(AB18:AB37, "v") + COUNTIF(AB18:AB37, "V")) + COUNTIF(AB18:AB37, "✗") + COUNTIF(AB18:AB37, "x") + COUNTIF(AB18:AB37, "X")) &gt; 0, (COUNTIF(AB18:AB37, "✓") + COUNTIF(AB18:AB37, "✔") + COUNTIF(AB18:AB37, "v") + COUNTIF(AB18:AB37, "V")) / ((COUNTIF(AB18:AB37, "✓") + COUNTIF(AB18:AB37, "✔") + COUNTIF(AB18:AB37, "v") + COUNTIF(AB18:AB37, "V")) + COUNTIF(AB18:AB37, "✗") + COUNTIF(AB18:AB37, "x") + COUNTIF(AB18:AB37, "X")), "")</f>
        <v/>
      </c>
      <c r="AC39" s="134">
        <f>IF(((COUNTIF(AC18:AC37, "✓") + COUNTIF(AC18:AC37, "✔") + COUNTIF(AC18:AC37, "v") + COUNTIF(AC18:AC37, "V")) + COUNTIF(AC18:AC37, "✗") + COUNTIF(AC18:AC37, "x") + COUNTIF(AC18:AC37, "X")) &gt; 0, (COUNTIF(AC18:AC37, "✓") + COUNTIF(AC18:AC37, "✔") + COUNTIF(AC18:AC37, "v") + COUNTIF(AC18:AC37, "V")) / ((COUNTIF(AC18:AC37, "✓") + COUNTIF(AC18:AC37, "✔") + COUNTIF(AC18:AC37, "v") + COUNTIF(AC18:AC37, "V")) + COUNTIF(AC18:AC37, "✗") + COUNTIF(AC18:AC37, "x") + COUNTIF(AC18:AC37, "X")), "")</f>
        <v/>
      </c>
      <c r="AD39" s="134">
        <f>IF(((COUNTIF(AD18:AD37, "✓") + COUNTIF(AD18:AD37, "✔") + COUNTIF(AD18:AD37, "v") + COUNTIF(AD18:AD37, "V")) + COUNTIF(AD18:AD37, "✗") + COUNTIF(AD18:AD37, "x") + COUNTIF(AD18:AD37, "X")) &gt; 0, (COUNTIF(AD18:AD37, "✓") + COUNTIF(AD18:AD37, "✔") + COUNTIF(AD18:AD37, "v") + COUNTIF(AD18:AD37, "V")) / ((COUNTIF(AD18:AD37, "✓") + COUNTIF(AD18:AD37, "✔") + COUNTIF(AD18:AD37, "v") + COUNTIF(AD18:AD37, "V")) + COUNTIF(AD18:AD37, "✗") + COUNTIF(AD18:AD37, "x") + COUNTIF(AD18:AD37, "X")), "")</f>
        <v/>
      </c>
      <c r="AE39" s="134">
        <f>IF(((COUNTIF(AE18:AE37, "✓") + COUNTIF(AE18:AE37, "✔") + COUNTIF(AE18:AE37, "v") + COUNTIF(AE18:AE37, "V")) + COUNTIF(AE18:AE37, "✗") + COUNTIF(AE18:AE37, "x") + COUNTIF(AE18:AE37, "X")) &gt; 0, (COUNTIF(AE18:AE37, "✓") + COUNTIF(AE18:AE37, "✔") + COUNTIF(AE18:AE37, "v") + COUNTIF(AE18:AE37, "V")) / ((COUNTIF(AE18:AE37, "✓") + COUNTIF(AE18:AE37, "✔") + COUNTIF(AE18:AE37, "v") + COUNTIF(AE18:AE37, "V")) + COUNTIF(AE18:AE37, "✗") + COUNTIF(AE18:AE37, "x") + COUNTIF(AE18:AE37, "X")), "")</f>
        <v/>
      </c>
      <c r="AF39" s="134">
        <f>IF(((COUNTIF(AF18:AF37, "✓") + COUNTIF(AF18:AF37, "✔") + COUNTIF(AF18:AF37, "v") + COUNTIF(AF18:AF37, "V")) + COUNTIF(AF18:AF37, "✗") + COUNTIF(AF18:AF37, "x") + COUNTIF(AF18:AF37, "X")) &gt; 0, (COUNTIF(AF18:AF37, "✓") + COUNTIF(AF18:AF37, "✔") + COUNTIF(AF18:AF37, "v") + COUNTIF(AF18:AF37, "V")) / ((COUNTIF(AF18:AF37, "✓") + COUNTIF(AF18:AF37, "✔") + COUNTIF(AF18:AF37, "v") + COUNTIF(AF18:AF37, "V")) + COUNTIF(AF18:AF37, "✗") + COUNTIF(AF18:AF37, "x") + COUNTIF(AF18:AF37, "X")), "")</f>
        <v/>
      </c>
      <c r="AG39" s="134">
        <f>IF(((COUNTIF(AG18:AG37, "✓") + COUNTIF(AG18:AG37, "✔") + COUNTIF(AG18:AG37, "v") + COUNTIF(AG18:AG37, "V")) + COUNTIF(AG18:AG37, "✗") + COUNTIF(AG18:AG37, "x") + COUNTIF(AG18:AG37, "X")) &gt; 0, (COUNTIF(AG18:AG37, "✓") + COUNTIF(AG18:AG37, "✔") + COUNTIF(AG18:AG37, "v") + COUNTIF(AG18:AG37, "V")) / ((COUNTIF(AG18:AG37, "✓") + COUNTIF(AG18:AG37, "✔") + COUNTIF(AG18:AG37, "v") + COUNTIF(AG18:AG37, "V")) + COUNTIF(AG18:AG37, "✗") + COUNTIF(AG18:AG37, "x") + COUNTIF(AG18:AG37, "X")), "")</f>
        <v/>
      </c>
      <c r="AH39" s="134">
        <f>IF(((COUNTIF(AH18:AH37, "✓") + COUNTIF(AH18:AH37, "✔") + COUNTIF(AH18:AH37, "v") + COUNTIF(AH18:AH37, "V")) + COUNTIF(AH18:AH37, "✗") + COUNTIF(AH18:AH37, "x") + COUNTIF(AH18:AH37, "X")) &gt; 0, (COUNTIF(AH18:AH37, "✓") + COUNTIF(AH18:AH37, "✔") + COUNTIF(AH18:AH37, "v") + COUNTIF(AH18:AH37, "V")) / ((COUNTIF(AH18:AH37, "✓") + COUNTIF(AH18:AH37, "✔") + COUNTIF(AH18:AH37, "v") + COUNTIF(AH18:AH37, "V")) + COUNTIF(AH18:AH37, "✗") + COUNTIF(AH18:AH37, "x") + COUNTIF(AH18:AH37, "X")), "")</f>
        <v/>
      </c>
      <c r="AI39" s="133">
        <f>IF(COUNT(E39:AH39) &gt; 0, AVERAGE(E39:AH39), "")</f>
        <v/>
      </c>
      <c r="AJ39" s="54" t="n"/>
      <c r="AK39" s="54" t="n"/>
    </row>
    <row r="40" ht="6" customHeight="1"/>
    <row r="41" ht="15" customHeight="1">
      <c r="A41" s="135" t="inlineStr">
        <is>
          <t>IF SUCCESS &lt; 80%, PUNISHMENT: ________________________________________________</t>
        </is>
      </c>
    </row>
    <row r="42" ht="15" customHeight="1">
      <c r="A42" s="136" t="inlineStr">
        <is>
          <t>IF SUCCESS &gt; 90%, REWARD: __________________________________________________</t>
        </is>
      </c>
    </row>
    <row r="43" ht="10" customHeight="1"/>
    <row r="44" ht="10" customHeight="1"/>
    <row r="45" ht="15" customHeight="1">
      <c r="A45" s="51" t="inlineStr">
        <is>
          <t>Sleep Tracking</t>
        </is>
      </c>
      <c r="B45" s="52" t="n"/>
      <c r="C45" s="52" t="n"/>
      <c r="D45" s="52" t="n"/>
      <c r="E45" s="137" t="n">
        <v>1</v>
      </c>
      <c r="F45" s="137" t="n">
        <v>2</v>
      </c>
      <c r="G45" s="137" t="n">
        <v>3</v>
      </c>
      <c r="H45" s="138" t="n">
        <v>4</v>
      </c>
      <c r="I45" s="137" t="n">
        <v>5</v>
      </c>
      <c r="J45" s="137" t="n">
        <v>6</v>
      </c>
      <c r="K45" s="137" t="n">
        <v>7</v>
      </c>
      <c r="L45" s="137" t="n">
        <v>8</v>
      </c>
      <c r="M45" s="137" t="n">
        <v>9</v>
      </c>
      <c r="N45" s="137" t="n">
        <v>10</v>
      </c>
      <c r="O45" s="138" t="n">
        <v>11</v>
      </c>
      <c r="P45" s="137" t="n">
        <v>12</v>
      </c>
      <c r="Q45" s="137" t="n">
        <v>13</v>
      </c>
      <c r="R45" s="137" t="n">
        <v>14</v>
      </c>
      <c r="S45" s="137" t="n">
        <v>15</v>
      </c>
      <c r="T45" s="137" t="n">
        <v>16</v>
      </c>
      <c r="U45" s="137" t="n">
        <v>17</v>
      </c>
      <c r="V45" s="138" t="n">
        <v>18</v>
      </c>
      <c r="W45" s="137" t="n">
        <v>19</v>
      </c>
      <c r="X45" s="137" t="n">
        <v>20</v>
      </c>
      <c r="Y45" s="137" t="n">
        <v>21</v>
      </c>
      <c r="Z45" s="137" t="n">
        <v>22</v>
      </c>
      <c r="AA45" s="137" t="n">
        <v>23</v>
      </c>
      <c r="AB45" s="137" t="n">
        <v>24</v>
      </c>
      <c r="AC45" s="138" t="n">
        <v>25</v>
      </c>
      <c r="AD45" s="137" t="n">
        <v>26</v>
      </c>
      <c r="AE45" s="137" t="n">
        <v>27</v>
      </c>
      <c r="AF45" s="137" t="n">
        <v>28</v>
      </c>
      <c r="AG45" s="137" t="n">
        <v>29</v>
      </c>
      <c r="AH45" s="137" t="n">
        <v>30</v>
      </c>
    </row>
    <row r="46" ht="15" customHeight="1">
      <c r="A46" s="52" t="n"/>
      <c r="B46" s="52" t="n"/>
      <c r="C46" s="52" t="n"/>
      <c r="D46" s="52" t="n"/>
      <c r="E46" s="139" t="inlineStr">
        <is>
          <t>Th</t>
        </is>
      </c>
      <c r="F46" s="139" t="inlineStr">
        <is>
          <t>F</t>
        </is>
      </c>
      <c r="G46" s="139" t="inlineStr">
        <is>
          <t>Sa</t>
        </is>
      </c>
      <c r="H46" s="140" t="inlineStr">
        <is>
          <t>Su</t>
        </is>
      </c>
      <c r="I46" s="139" t="inlineStr">
        <is>
          <t>M</t>
        </is>
      </c>
      <c r="J46" s="139" t="inlineStr">
        <is>
          <t>T</t>
        </is>
      </c>
      <c r="K46" s="139" t="inlineStr">
        <is>
          <t>W</t>
        </is>
      </c>
      <c r="L46" s="139" t="inlineStr">
        <is>
          <t>Th</t>
        </is>
      </c>
      <c r="M46" s="139" t="inlineStr">
        <is>
          <t>F</t>
        </is>
      </c>
      <c r="N46" s="139" t="inlineStr">
        <is>
          <t>Sa</t>
        </is>
      </c>
      <c r="O46" s="140" t="inlineStr">
        <is>
          <t>Su</t>
        </is>
      </c>
      <c r="P46" s="139" t="inlineStr">
        <is>
          <t>M</t>
        </is>
      </c>
      <c r="Q46" s="139" t="inlineStr">
        <is>
          <t>T</t>
        </is>
      </c>
      <c r="R46" s="139" t="inlineStr">
        <is>
          <t>W</t>
        </is>
      </c>
      <c r="S46" s="139" t="inlineStr">
        <is>
          <t>Th</t>
        </is>
      </c>
      <c r="T46" s="139" t="inlineStr">
        <is>
          <t>F</t>
        </is>
      </c>
      <c r="U46" s="139" t="inlineStr">
        <is>
          <t>Sa</t>
        </is>
      </c>
      <c r="V46" s="140" t="inlineStr">
        <is>
          <t>Su</t>
        </is>
      </c>
      <c r="W46" s="139" t="inlineStr">
        <is>
          <t>M</t>
        </is>
      </c>
      <c r="X46" s="139" t="inlineStr">
        <is>
          <t>T</t>
        </is>
      </c>
      <c r="Y46" s="139" t="inlineStr">
        <is>
          <t>W</t>
        </is>
      </c>
      <c r="Z46" s="139" t="inlineStr">
        <is>
          <t>Th</t>
        </is>
      </c>
      <c r="AA46" s="139" t="inlineStr">
        <is>
          <t>F</t>
        </is>
      </c>
      <c r="AB46" s="139" t="inlineStr">
        <is>
          <t>Sa</t>
        </is>
      </c>
      <c r="AC46" s="140" t="inlineStr">
        <is>
          <t>Su</t>
        </is>
      </c>
      <c r="AD46" s="139" t="inlineStr">
        <is>
          <t>M</t>
        </is>
      </c>
      <c r="AE46" s="139" t="inlineStr">
        <is>
          <t>T</t>
        </is>
      </c>
      <c r="AF46" s="139" t="inlineStr">
        <is>
          <t>W</t>
        </is>
      </c>
      <c r="AG46" s="139" t="inlineStr">
        <is>
          <t>Th</t>
        </is>
      </c>
      <c r="AH46" s="139" t="inlineStr">
        <is>
          <t>F</t>
        </is>
      </c>
    </row>
    <row r="47" ht="20" customHeight="1">
      <c r="A47" s="141" t="inlineStr">
        <is>
          <t>Sleep Hours (1-24)</t>
        </is>
      </c>
      <c r="B47" s="142" t="n"/>
      <c r="C47" s="142" t="n"/>
      <c r="D47" s="142" t="n"/>
      <c r="E47" s="143" t="n"/>
      <c r="F47" s="143" t="n"/>
      <c r="G47" s="143" t="n"/>
      <c r="H47" s="144" t="n"/>
      <c r="I47" s="143" t="n"/>
      <c r="J47" s="143" t="n"/>
      <c r="K47" s="143" t="n"/>
      <c r="L47" s="143" t="n"/>
      <c r="M47" s="143" t="n"/>
      <c r="N47" s="143" t="n"/>
      <c r="O47" s="144" t="n"/>
      <c r="P47" s="143" t="n"/>
      <c r="Q47" s="143" t="n"/>
      <c r="R47" s="143" t="n"/>
      <c r="S47" s="143" t="n"/>
      <c r="T47" s="143" t="n"/>
      <c r="U47" s="143" t="n"/>
      <c r="V47" s="144" t="n"/>
      <c r="W47" s="143" t="n"/>
      <c r="X47" s="143" t="n"/>
      <c r="Y47" s="143" t="n"/>
      <c r="Z47" s="143" t="n"/>
      <c r="AA47" s="143" t="n"/>
      <c r="AB47" s="143" t="n"/>
      <c r="AC47" s="144" t="n"/>
      <c r="AD47" s="143" t="n"/>
      <c r="AE47" s="143" t="n"/>
      <c r="AF47" s="143" t="n"/>
      <c r="AG47" s="143" t="n"/>
      <c r="AH47" s="143" t="n"/>
    </row>
    <row r="48" ht="6" customHeight="1"/>
    <row r="49" ht="14" customHeight="1"/>
    <row r="50" ht="14" customHeight="1"/>
    <row r="51" ht="14" customHeight="1"/>
    <row r="52" ht="14" customHeight="1"/>
    <row r="53" ht="14" customHeight="1"/>
    <row r="54" ht="14" customHeight="1"/>
    <row r="55" ht="14" customHeight="1"/>
    <row r="56" ht="14" customHeight="1"/>
    <row r="57" ht="14" customHeight="1"/>
    <row r="58" ht="14" customHeight="1"/>
    <row r="59" ht="14" customHeight="1"/>
    <row r="60" ht="14" customHeight="1"/>
    <row r="61" ht="14" customHeight="1"/>
    <row r="62" ht="14" customHeight="1"/>
    <row r="63" ht="14" customHeight="1"/>
    <row r="64" ht="14" customHeight="1"/>
    <row r="65" ht="14" customHeight="1"/>
    <row r="66" ht="8" customHeight="1"/>
    <row r="67">
      <c r="A67" s="145" t="inlineStr">
        <is>
          <t>MONTHLY SUCCESS RATE</t>
        </is>
      </c>
      <c r="B67" s="9" t="n"/>
      <c r="C67" s="9" t="n"/>
      <c r="D67" s="9" t="n"/>
      <c r="F67" s="146" t="inlineStr">
        <is>
          <t>ACTIVE PROTOCOLS</t>
        </is>
      </c>
      <c r="G67" s="11" t="n"/>
      <c r="H67" s="11" t="n"/>
      <c r="I67" s="11" t="n"/>
      <c r="K67" s="147" t="inlineStr">
        <is>
          <t>PERFECT DAYS (100%)</t>
        </is>
      </c>
      <c r="L67" s="13" t="n"/>
      <c r="M67" s="13" t="n"/>
      <c r="N67" s="13" t="n"/>
      <c r="P67" s="148" t="inlineStr">
        <is>
          <t>AVG SLEEP DURATION</t>
        </is>
      </c>
      <c r="Q67" s="15" t="n"/>
      <c r="R67" s="15" t="n"/>
      <c r="S67" s="15" t="n"/>
    </row>
    <row r="68">
      <c r="A68" s="149">
        <f>IF(SUM(D18:D37)&gt;0, SUM(AL18:AL37)/SUM(D18:D37), 0)</f>
        <v/>
      </c>
      <c r="B68" s="9" t="n"/>
      <c r="C68" s="9" t="n"/>
      <c r="D68" s="9" t="n"/>
      <c r="F68" s="150">
        <f>COUNTA(B18:B37) &amp; " / 20"</f>
        <v/>
      </c>
      <c r="G68" s="11" t="n"/>
      <c r="H68" s="11" t="n"/>
      <c r="I68" s="11" t="n"/>
      <c r="K68" s="151">
        <f>COUNTIF(E39:AH39, 1) &amp; " Days"</f>
        <v/>
      </c>
      <c r="L68" s="13" t="n"/>
      <c r="M68" s="13" t="n"/>
      <c r="N68" s="13" t="n"/>
      <c r="P68" s="152">
        <f>IFERROR(TEXT(AVERAGE(E47:AH47), "0.0") &amp; " hrs", "-")</f>
        <v/>
      </c>
      <c r="Q68" s="15" t="n"/>
      <c r="R68" s="15" t="n"/>
      <c r="S68" s="15" t="n"/>
    </row>
    <row r="69">
      <c r="A69" s="9" t="n"/>
      <c r="B69" s="9" t="n"/>
      <c r="C69" s="9" t="n"/>
      <c r="D69" s="9" t="n"/>
      <c r="F69" s="11" t="n"/>
      <c r="G69" s="11" t="n"/>
      <c r="H69" s="11" t="n"/>
      <c r="I69" s="11" t="n"/>
      <c r="K69" s="13" t="n"/>
      <c r="L69" s="13" t="n"/>
      <c r="M69" s="13" t="n"/>
      <c r="N69" s="13" t="n"/>
      <c r="P69" s="15" t="n"/>
      <c r="Q69" s="15" t="n"/>
      <c r="R69" s="15" t="n"/>
      <c r="S69" s="15" t="n"/>
    </row>
    <row r="70">
      <c r="A70" s="9" t="n"/>
      <c r="B70" s="9" t="n"/>
      <c r="C70" s="9" t="n"/>
      <c r="D70" s="9" t="n"/>
      <c r="F70" s="11" t="n"/>
      <c r="G70" s="11" t="n"/>
      <c r="H70" s="11" t="n"/>
      <c r="I70" s="11" t="n"/>
      <c r="K70" s="13" t="n"/>
      <c r="L70" s="13" t="n"/>
      <c r="M70" s="13" t="n"/>
      <c r="N70" s="13" t="n"/>
      <c r="P70" s="15" t="n"/>
      <c r="Q70" s="15" t="n"/>
      <c r="R70" s="15" t="n"/>
      <c r="S70" s="15" t="n"/>
    </row>
    <row r="71">
      <c r="A71" s="153" t="inlineStr">
        <is>
          <t>Target Completion</t>
        </is>
      </c>
      <c r="B71" s="9" t="n"/>
      <c r="C71" s="9" t="n"/>
      <c r="D71" s="9" t="n"/>
      <c r="F71" s="154" t="inlineStr">
        <is>
          <t>Habits Tracked</t>
        </is>
      </c>
      <c r="G71" s="11" t="n"/>
      <c r="H71" s="11" t="n"/>
      <c r="I71" s="11" t="n"/>
      <c r="K71" s="155" t="inlineStr">
        <is>
          <t>All Marked Habits Completed</t>
        </is>
      </c>
      <c r="L71" s="13" t="n"/>
      <c r="M71" s="13" t="n"/>
      <c r="N71" s="13" t="n"/>
      <c r="P71" s="156" t="inlineStr">
        <is>
          <t>Nightly Rest Average</t>
        </is>
      </c>
      <c r="Q71" s="15" t="n"/>
      <c r="R71" s="15" t="n"/>
      <c r="S71" s="15" t="n"/>
    </row>
    <row r="72" ht="8" customHeight="1"/>
    <row r="73" ht="6" customHeight="1"/>
    <row r="74">
      <c r="A74" s="67" t="inlineStr">
        <is>
          <t>WEEKLY PERFORMANCE (SLUMP DETECTOR)</t>
        </is>
      </c>
      <c r="B74" s="29" t="n"/>
      <c r="C74" s="29" t="n"/>
      <c r="D74" s="29" t="n"/>
      <c r="E74" s="29" t="n"/>
      <c r="N74" s="157" t="inlineStr">
        <is>
          <t>LIFE DOMAIN / CATEGORY BREAKDOWN</t>
        </is>
      </c>
      <c r="O74" s="158" t="n"/>
      <c r="P74" s="158" t="n"/>
      <c r="Q74" s="158" t="n"/>
      <c r="R74" s="158" t="n"/>
      <c r="S74" s="158" t="n"/>
    </row>
    <row r="75" ht="15" customHeight="1">
      <c r="A75" s="53" t="inlineStr">
        <is>
          <t>Week</t>
        </is>
      </c>
      <c r="B75" s="53" t="inlineStr">
        <is>
          <t>Days Range</t>
        </is>
      </c>
      <c r="C75" s="53" t="inlineStr">
        <is>
          <t>Checks Done</t>
        </is>
      </c>
      <c r="D75" s="53" t="inlineStr">
        <is>
          <t>Evaluated</t>
        </is>
      </c>
      <c r="E75" s="53" t="inlineStr">
        <is>
          <t>Success %</t>
        </is>
      </c>
      <c r="N75" s="53" t="inlineStr">
        <is>
          <t>Domain / Category</t>
        </is>
      </c>
      <c r="O75" s="54" t="n"/>
      <c r="P75" s="53" t="inlineStr">
        <is>
          <t>Active Habits</t>
        </is>
      </c>
      <c r="Q75" s="53" t="inlineStr">
        <is>
          <t>Target Days</t>
        </is>
      </c>
      <c r="R75" s="53" t="inlineStr">
        <is>
          <t>Done Checks</t>
        </is>
      </c>
      <c r="S75" s="53" t="inlineStr">
        <is>
          <t>Success %</t>
        </is>
      </c>
    </row>
    <row r="76" ht="14" customHeight="1">
      <c r="A76" s="33" t="inlineStr">
        <is>
          <t>Week 1</t>
        </is>
      </c>
      <c r="B76" s="34" t="inlineStr">
        <is>
          <t>Days 1 - 7</t>
        </is>
      </c>
      <c r="C76" s="34">
        <f>COUNTIF(E18:K37, "✓")</f>
        <v/>
      </c>
      <c r="D76" s="34">
        <f>COUNTIF(E18:K37, "✓") + COUNTIF(E18:K37, "✗")</f>
        <v/>
      </c>
      <c r="E76" s="35">
        <f>IFERROR(C76/D76, 0)</f>
        <v/>
      </c>
      <c r="N76" s="60" t="inlineStr">
        <is>
          <t>Health &amp; Fitness</t>
        </is>
      </c>
      <c r="O76" s="54" t="n"/>
      <c r="P76" s="34">
        <f>COUNTIF($C$18:$C$37, "Health &amp; Fitness")</f>
        <v/>
      </c>
      <c r="Q76" s="34">
        <f>SUMIF($C$18:$C$37, "Health &amp; Fitness", $D$18:$D$37)</f>
        <v/>
      </c>
      <c r="R76" s="34">
        <f>SUMIF($C$18:$C$37, "Health &amp; Fitness", $AL$18:$AL$37)</f>
        <v/>
      </c>
      <c r="S76" s="35">
        <f>IFERROR(R76/Q76, 0)</f>
        <v/>
      </c>
    </row>
    <row r="77" ht="14" customHeight="1">
      <c r="A77" s="33" t="inlineStr">
        <is>
          <t>Week 2</t>
        </is>
      </c>
      <c r="B77" s="34" t="inlineStr">
        <is>
          <t>Days 8 - 14</t>
        </is>
      </c>
      <c r="C77" s="34">
        <f>COUNTIF(L18:R37, "✓")</f>
        <v/>
      </c>
      <c r="D77" s="34">
        <f>COUNTIF(L18:R37, "✓") + COUNTIF(L18:R37, "✗")</f>
        <v/>
      </c>
      <c r="E77" s="35">
        <f>IFERROR(C77/D77, 0)</f>
        <v/>
      </c>
      <c r="N77" s="60" t="inlineStr">
        <is>
          <t>Mindset &amp; Learning</t>
        </is>
      </c>
      <c r="O77" s="54" t="n"/>
      <c r="P77" s="34">
        <f>COUNTIF($C$18:$C$37, "Mindset &amp; Learning")</f>
        <v/>
      </c>
      <c r="Q77" s="34">
        <f>SUMIF($C$18:$C$37, "Mindset &amp; Learning", $D$18:$D$37)</f>
        <v/>
      </c>
      <c r="R77" s="34">
        <f>SUMIF($C$18:$C$37, "Mindset &amp; Learning", $AL$18:$AL$37)</f>
        <v/>
      </c>
      <c r="S77" s="35">
        <f>IFERROR(R77/Q77, 0)</f>
        <v/>
      </c>
    </row>
    <row r="78" ht="14" customHeight="1">
      <c r="A78" s="33" t="inlineStr">
        <is>
          <t>Week 3</t>
        </is>
      </c>
      <c r="B78" s="34" t="inlineStr">
        <is>
          <t>Days 15 - 21</t>
        </is>
      </c>
      <c r="C78" s="34">
        <f>COUNTIF(S18:Y37, "✓")</f>
        <v/>
      </c>
      <c r="D78" s="34">
        <f>COUNTIF(S18:Y37, "✓") + COUNTIF(S18:Y37, "✗")</f>
        <v/>
      </c>
      <c r="E78" s="35">
        <f>IFERROR(C78/D78, 0)</f>
        <v/>
      </c>
      <c r="N78" s="60" t="inlineStr">
        <is>
          <t>Career &amp; Focus</t>
        </is>
      </c>
      <c r="O78" s="54" t="n"/>
      <c r="P78" s="34">
        <f>COUNTIF($C$18:$C$37, "Career &amp; Focus")</f>
        <v/>
      </c>
      <c r="Q78" s="34">
        <f>SUMIF($C$18:$C$37, "Career &amp; Focus", $D$18:$D$37)</f>
        <v/>
      </c>
      <c r="R78" s="34">
        <f>SUMIF($C$18:$C$37, "Career &amp; Focus", $AL$18:$AL$37)</f>
        <v/>
      </c>
      <c r="S78" s="35">
        <f>IFERROR(R78/Q78, 0)</f>
        <v/>
      </c>
    </row>
    <row r="79" ht="14" customHeight="1">
      <c r="A79" s="33" t="inlineStr">
        <is>
          <t>Week 4</t>
        </is>
      </c>
      <c r="B79" s="34" t="inlineStr">
        <is>
          <t>Days 22 - 28</t>
        </is>
      </c>
      <c r="C79" s="34">
        <f>COUNTIF(Z18:AF37, "✓")</f>
        <v/>
      </c>
      <c r="D79" s="34">
        <f>COUNTIF(Z18:AF37, "✓") + COUNTIF(Z18:AF37, "✗")</f>
        <v/>
      </c>
      <c r="E79" s="35">
        <f>IFERROR(C79/D79, 0)</f>
        <v/>
      </c>
      <c r="N79" s="60" t="inlineStr">
        <is>
          <t>Personal &amp; Home</t>
        </is>
      </c>
      <c r="O79" s="54" t="n"/>
      <c r="P79" s="34">
        <f>COUNTIF($C$18:$C$37, "Personal &amp; Home")</f>
        <v/>
      </c>
      <c r="Q79" s="34">
        <f>SUMIF($C$18:$C$37, "Personal &amp; Home", $D$18:$D$37)</f>
        <v/>
      </c>
      <c r="R79" s="34">
        <f>SUMIF($C$18:$C$37, "Personal &amp; Home", $AL$18:$AL$37)</f>
        <v/>
      </c>
      <c r="S79" s="35">
        <f>IFERROR(R79/Q79, 0)</f>
        <v/>
      </c>
    </row>
    <row r="80" ht="14" customHeight="1">
      <c r="A80" s="33" t="inlineStr">
        <is>
          <t>Week 5</t>
        </is>
      </c>
      <c r="B80" s="34" t="inlineStr">
        <is>
          <t>Days 29 - 30</t>
        </is>
      </c>
      <c r="C80" s="34">
        <f>COUNTIF(AG18:AH37, "✓")</f>
        <v/>
      </c>
      <c r="D80" s="34">
        <f>COUNTIF(AG18:AH37, "✓") + COUNTIF(AG18:AH37, "✗")</f>
        <v/>
      </c>
      <c r="E80" s="35">
        <f>IFERROR(C80/D80, 0)</f>
        <v/>
      </c>
      <c r="N80" s="60" t="inlineStr">
        <is>
          <t>Finance &amp; Wealth</t>
        </is>
      </c>
      <c r="O80" s="54" t="n"/>
      <c r="P80" s="34">
        <f>COUNTIF($C$18:$C$37, "Finance &amp; Wealth")</f>
        <v/>
      </c>
      <c r="Q80" s="34">
        <f>SUMIF($C$18:$C$37, "Finance &amp; Wealth", $D$18:$D$37)</f>
        <v/>
      </c>
      <c r="R80" s="34">
        <f>SUMIF($C$18:$C$37, "Finance &amp; Wealth", $AL$18:$AL$37)</f>
        <v/>
      </c>
      <c r="S80" s="35">
        <f>IFERROR(R80/Q80, 0)</f>
        <v/>
      </c>
    </row>
    <row r="81" ht="14" customHeight="1">
      <c r="A81" s="33" t="inlineStr">
        <is>
          <t>Total / Avg</t>
        </is>
      </c>
      <c r="B81" s="159" t="inlineStr">
        <is>
          <t>Month Total</t>
        </is>
      </c>
      <c r="C81" s="33">
        <f>SUM(C76:C80)</f>
        <v/>
      </c>
      <c r="D81" s="33">
        <f>SUM(D76:D80)</f>
        <v/>
      </c>
      <c r="E81" s="133">
        <f>IFERROR(C81/D81, 0)</f>
        <v/>
      </c>
    </row>
    <row r="82" ht="10" customHeight="1"/>
    <row r="83" ht="10" customHeight="1"/>
    <row r="84">
      <c r="A84" s="51" t="inlineStr">
        <is>
          <t>SLEEP &amp; PRODUCTIVITY CORRELATION ANALYSIS</t>
        </is>
      </c>
      <c r="B84" s="52" t="n"/>
      <c r="C84" s="52" t="n"/>
      <c r="D84" s="52" t="n"/>
      <c r="E84" s="52" t="n"/>
      <c r="F84" s="52" t="n"/>
      <c r="G84" s="52" t="n"/>
      <c r="H84" s="52" t="n"/>
      <c r="I84" s="52" t="n"/>
      <c r="J84" s="52" t="n"/>
      <c r="K84" s="52" t="n"/>
      <c r="L84" s="52" t="n"/>
      <c r="M84" s="52" t="n"/>
      <c r="N84" s="52" t="n"/>
      <c r="O84" s="52" t="n"/>
      <c r="P84" s="52" t="n"/>
      <c r="Q84" s="52" t="n"/>
      <c r="R84" s="52" t="n"/>
      <c r="S84" s="52" t="n"/>
      <c r="T84" s="52" t="n"/>
      <c r="U84" s="52" t="n"/>
      <c r="V84" s="52" t="n"/>
      <c r="W84" s="52" t="n"/>
      <c r="X84" s="52" t="n"/>
      <c r="Y84" s="52" t="n"/>
      <c r="Z84" s="52" t="n"/>
      <c r="AA84" s="52" t="n"/>
      <c r="AB84" s="52" t="n"/>
      <c r="AC84" s="52" t="n"/>
      <c r="AD84" s="52" t="n"/>
      <c r="AE84" s="52" t="n"/>
      <c r="AF84" s="52" t="n"/>
      <c r="AG84" s="52" t="n"/>
      <c r="AH84" s="52" t="n"/>
      <c r="AI84" s="52" t="n"/>
      <c r="AJ84" s="52" t="n"/>
      <c r="AK84" s="52" t="n"/>
    </row>
    <row r="85" ht="15" customHeight="1">
      <c r="A85" s="53" t="inlineStr">
        <is>
          <t>Rest Category</t>
        </is>
      </c>
      <c r="B85" s="54" t="n"/>
      <c r="C85" s="54" t="n"/>
      <c r="D85" s="53" t="inlineStr">
        <is>
          <t>Day Criteria</t>
        </is>
      </c>
      <c r="E85" s="54" t="n"/>
      <c r="F85" s="54" t="n"/>
      <c r="G85" s="53" t="inlineStr">
        <is>
          <t>Days Logged</t>
        </is>
      </c>
      <c r="H85" s="54" t="n"/>
      <c r="I85" s="54" t="n"/>
      <c r="J85" s="53" t="inlineStr">
        <is>
          <t>Avg Sleep Duration</t>
        </is>
      </c>
      <c r="K85" s="54" t="n"/>
      <c r="L85" s="54" t="n"/>
      <c r="M85" s="54" t="n"/>
      <c r="N85" s="53" t="inlineStr">
        <is>
          <t>Avg Habit Success %</t>
        </is>
      </c>
      <c r="O85" s="54" t="n"/>
      <c r="P85" s="54" t="n"/>
      <c r="Q85" s="54" t="n"/>
      <c r="R85" s="53" t="inlineStr">
        <is>
          <t>Productivity Delta</t>
        </is>
      </c>
      <c r="S85" s="54" t="n"/>
      <c r="T85" s="54" t="n"/>
      <c r="U85" s="54" t="n"/>
    </row>
    <row r="86" ht="15" customHeight="1">
      <c r="A86" s="160" t="inlineStr">
        <is>
          <t>Optimal Rest</t>
        </is>
      </c>
      <c r="B86" s="161" t="n"/>
      <c r="C86" s="56" t="n"/>
      <c r="D86" s="34" t="inlineStr">
        <is>
          <t>&gt;= 7 Hours / Night</t>
        </is>
      </c>
      <c r="E86" s="161" t="n"/>
      <c r="F86" s="56" t="n"/>
      <c r="G86" s="33">
        <f>COUNTIF(E47:AH47, "&gt;=7")</f>
        <v/>
      </c>
      <c r="H86" s="161" t="n"/>
      <c r="I86" s="56" t="n"/>
      <c r="J86" s="34">
        <f>IFERROR(TEXT(AVERAGEIF(E47:AH47, "&gt;=7"), "0.0") &amp; " hrs", "-")</f>
        <v/>
      </c>
      <c r="K86" s="161" t="n"/>
      <c r="L86" s="161" t="n"/>
      <c r="M86" s="56" t="n"/>
      <c r="N86" s="42">
        <f>IFERROR(AVERAGEIFS(E39:AH39, E47:AH47, "&gt;=7", E39:AH39, "&gt;0"), 0)</f>
        <v/>
      </c>
      <c r="O86" s="161" t="n"/>
      <c r="P86" s="161" t="n"/>
      <c r="Q86" s="56" t="n"/>
      <c r="R86" s="159" t="inlineStr">
        <is>
          <t>Baseline (Target)</t>
        </is>
      </c>
      <c r="S86" s="161" t="n"/>
      <c r="T86" s="161" t="n"/>
      <c r="U86" s="56" t="n"/>
    </row>
    <row r="87" ht="15" customHeight="1">
      <c r="A87" s="162" t="inlineStr">
        <is>
          <t>Sleep Deficit</t>
        </is>
      </c>
      <c r="B87" s="161" t="n"/>
      <c r="C87" s="56" t="n"/>
      <c r="D87" s="34" t="inlineStr">
        <is>
          <t>&lt; 7 Hours / Night</t>
        </is>
      </c>
      <c r="E87" s="161" t="n"/>
      <c r="F87" s="56" t="n"/>
      <c r="G87" s="33">
        <f>COUNTIF(E47:AH47, "&lt;7") - COUNTIF(E47:AH47, "")</f>
        <v/>
      </c>
      <c r="H87" s="161" t="n"/>
      <c r="I87" s="56" t="n"/>
      <c r="J87" s="34">
        <f>IFERROR(TEXT(AVERAGEIFS(E47:AH47, E47:AH47, "&lt;7", E47:AH47, "&gt;0"), "0.0") &amp; " hrs", "-")</f>
        <v/>
      </c>
      <c r="K87" s="161" t="n"/>
      <c r="L87" s="161" t="n"/>
      <c r="M87" s="56" t="n"/>
      <c r="N87" s="163">
        <f>IFERROR(AVERAGEIFS(E39:AH39, E47:AH47, "&lt;7", E39:AH39, "&gt;0"), 0)</f>
        <v/>
      </c>
      <c r="O87" s="161" t="n"/>
      <c r="P87" s="161" t="n"/>
      <c r="Q87" s="56" t="n"/>
      <c r="R87" s="160">
        <f>IFERROR(TEXT(N86 - N87, "+0.0%;-0.0%;0.0%") &amp; " Rest Advantage", "-")</f>
        <v/>
      </c>
      <c r="S87" s="161" t="n"/>
      <c r="T87" s="161" t="n"/>
      <c r="U87" s="56" t="n"/>
    </row>
    <row r="88" ht="18" customHeight="1">
      <c r="A88" s="164">
        <f>IF(AND(ISNUMBER(N86), ISNUMBER(N87), N86&gt;0, N87&gt;0), "💡 Sleep Correlation Insight: You complete " &amp; TEXT(ABS(N86-N87), "0.0%") &amp; IF(N86&gt;=N87, " MORE habits on days with 7+ hours of sleep!", " fewer habits on days with 7+ hours of sleep."), "💡 Log both habits and sleep hours daily to unlock automatic AI correlation insights!")</f>
        <v/>
      </c>
      <c r="B88" s="161" t="n"/>
      <c r="C88" s="161" t="n"/>
      <c r="D88" s="161" t="n"/>
      <c r="E88" s="161" t="n"/>
      <c r="F88" s="161" t="n"/>
      <c r="G88" s="161" t="n"/>
      <c r="H88" s="161" t="n"/>
      <c r="I88" s="161" t="n"/>
      <c r="J88" s="161" t="n"/>
      <c r="K88" s="161" t="n"/>
      <c r="L88" s="161" t="n"/>
      <c r="M88" s="161" t="n"/>
      <c r="N88" s="161" t="n"/>
      <c r="O88" s="161" t="n"/>
      <c r="P88" s="161" t="n"/>
      <c r="Q88" s="161" t="n"/>
      <c r="R88" s="161" t="n"/>
      <c r="S88" s="161" t="n"/>
      <c r="T88" s="161" t="n"/>
      <c r="U88" s="161" t="n"/>
      <c r="V88" s="161" t="n"/>
      <c r="W88" s="161" t="n"/>
      <c r="X88" s="161" t="n"/>
      <c r="Y88" s="161" t="n"/>
      <c r="Z88" s="161" t="n"/>
      <c r="AA88" s="161" t="n"/>
      <c r="AB88" s="161" t="n"/>
      <c r="AC88" s="161" t="n"/>
      <c r="AD88" s="161" t="n"/>
      <c r="AE88" s="161" t="n"/>
      <c r="AF88" s="161" t="n"/>
      <c r="AG88" s="161" t="n"/>
      <c r="AH88" s="161" t="n"/>
      <c r="AI88" s="161" t="n"/>
      <c r="AJ88" s="161" t="n"/>
      <c r="AK88" s="56" t="n"/>
    </row>
    <row r="89" ht="10" customHeight="1"/>
    <row r="90">
      <c r="A90" s="43" t="inlineStr">
        <is>
          <t>STANDARDIZED DATA BRIDGE (FOR ANNUAL &amp; QUARTERLY REVIEW SHEETS)</t>
        </is>
      </c>
      <c r="B90" s="44" t="n"/>
      <c r="C90" s="44" t="n"/>
      <c r="D90" s="44" t="n"/>
      <c r="E90" s="44" t="n"/>
      <c r="F90" s="44" t="n"/>
      <c r="G90" s="44" t="n"/>
      <c r="H90" s="44" t="n"/>
      <c r="I90" s="44" t="n"/>
      <c r="J90" s="44" t="n"/>
      <c r="K90" s="44" t="n"/>
      <c r="L90" s="44" t="n"/>
      <c r="M90" s="44" t="n"/>
      <c r="N90" s="44" t="n"/>
      <c r="O90" s="44" t="n"/>
      <c r="P90" s="44" t="n"/>
      <c r="Q90" s="44" t="n"/>
      <c r="R90" s="44" t="n"/>
      <c r="S90" s="44" t="n"/>
      <c r="T90" s="44" t="n"/>
      <c r="U90" s="44" t="n"/>
      <c r="V90" s="44" t="n"/>
      <c r="W90" s="44" t="n"/>
      <c r="X90" s="44" t="n"/>
      <c r="Y90" s="44" t="n"/>
      <c r="Z90" s="44" t="n"/>
      <c r="AA90" s="44" t="n"/>
      <c r="AB90" s="44" t="n"/>
      <c r="AC90" s="44" t="n"/>
      <c r="AD90" s="44" t="n"/>
      <c r="AE90" s="44" t="n"/>
      <c r="AF90" s="44" t="n"/>
      <c r="AG90" s="44" t="n"/>
      <c r="AH90" s="44" t="n"/>
      <c r="AI90" s="44" t="n"/>
      <c r="AJ90" s="44" t="n"/>
      <c r="AK90" s="44" t="n"/>
    </row>
    <row r="91" ht="15" customHeight="1">
      <c r="A91" s="53" t="inlineStr">
        <is>
          <t>Month</t>
        </is>
      </c>
      <c r="B91" s="54" t="n"/>
      <c r="C91" s="53" t="inlineStr">
        <is>
          <t>Year</t>
        </is>
      </c>
      <c r="D91" s="54" t="n"/>
      <c r="E91" s="53" t="inlineStr">
        <is>
          <t>Active Habits</t>
        </is>
      </c>
      <c r="F91" s="54" t="n"/>
      <c r="G91" s="53" t="inlineStr">
        <is>
          <t>Target Days</t>
        </is>
      </c>
      <c r="H91" s="54" t="n"/>
      <c r="I91" s="53" t="inlineStr">
        <is>
          <t>Done Checks</t>
        </is>
      </c>
      <c r="J91" s="54" t="n"/>
      <c r="K91" s="53" t="inlineStr">
        <is>
          <t>Success %</t>
        </is>
      </c>
      <c r="L91" s="54" t="n"/>
      <c r="M91" s="53" t="inlineStr">
        <is>
          <t>Perfect Days</t>
        </is>
      </c>
      <c r="N91" s="54" t="n"/>
      <c r="O91" s="53" t="inlineStr">
        <is>
          <t>Avg Sleep</t>
        </is>
      </c>
      <c r="P91" s="54" t="n"/>
      <c r="Q91" s="53" t="inlineStr">
        <is>
          <t>Best Week</t>
        </is>
      </c>
      <c r="R91" s="54" t="n"/>
      <c r="S91" s="54" t="n"/>
      <c r="T91" s="53" t="inlineStr">
        <is>
          <t>Top Life Domain</t>
        </is>
      </c>
      <c r="U91" s="54" t="n"/>
      <c r="V91" s="54" t="n"/>
      <c r="W91" s="54" t="n"/>
    </row>
    <row r="92" ht="16" customHeight="1">
      <c r="A92" s="165" t="inlineStr">
        <is>
          <t>Nov</t>
        </is>
      </c>
      <c r="B92" s="56" t="n"/>
      <c r="C92" s="165" t="n">
        <v>2029</v>
      </c>
      <c r="D92" s="56" t="n"/>
      <c r="E92" s="166">
        <f>COUNTA(B18:B37)</f>
        <v/>
      </c>
      <c r="F92" s="56" t="n"/>
      <c r="G92" s="166">
        <f>SUM(D18:D37)</f>
        <v/>
      </c>
      <c r="H92" s="56" t="n"/>
      <c r="I92" s="166">
        <f>SUM(AL18:AL37)</f>
        <v/>
      </c>
      <c r="J92" s="56" t="n"/>
      <c r="K92" s="167">
        <f>IF(G92&gt;0, I92/G92, 0)</f>
        <v/>
      </c>
      <c r="L92" s="56" t="n"/>
      <c r="M92" s="166">
        <f>COUNTIF(E39:AH39, 1)</f>
        <v/>
      </c>
      <c r="N92" s="56" t="n"/>
      <c r="O92" s="168">
        <f>IFERROR(AVERAGE(E47:AH47), 0)</f>
        <v/>
      </c>
      <c r="P92" s="56" t="n"/>
      <c r="Q92" s="166">
        <f>INDEX(A76:A80, MATCH(MAX(E76:E80), E76:E80, 0))</f>
        <v/>
      </c>
      <c r="R92" s="161" t="n"/>
      <c r="S92" s="56" t="n"/>
      <c r="T92" s="166">
        <f>INDEX(N76:N80, MATCH(MAX(S76:S80), S76:S80, 0))</f>
        <v/>
      </c>
      <c r="U92" s="161" t="n"/>
      <c r="V92" s="161" t="n"/>
      <c r="W92" s="56" t="n"/>
    </row>
    <row r="93" ht="14" customHeight="1">
      <c r="A93" s="169" t="inlineStr">
        <is>
          <t>📋 Note: Reference or copy Row 92 directly into an Annual / Quarterly review dashboard to track yearly habit trends.</t>
        </is>
      </c>
    </row>
    <row r="94" ht="8" customHeight="1"/>
    <row r="95">
      <c r="A95" s="170" t="inlineStr">
        <is>
          <t>🏆 MONTHLY WINS &amp; HIGHLIGHTS</t>
        </is>
      </c>
      <c r="J95" s="171" t="inlineStr">
        <is>
          <t>⚠️ FRICTION POINTS &amp; ROOT CAUSES</t>
        </is>
      </c>
      <c r="S95" s="172" t="inlineStr">
        <is>
          <t>🎯 3 KEY ADJUSTMENTS FOR NEXT MONTH</t>
        </is>
      </c>
    </row>
    <row r="96">
      <c r="A96" s="173" t="inlineStr">
        <is>
          <t>1. What went exceptionally well this month?
2. Which habit felt effortless and consistent?
3. Major milestone achieved:</t>
        </is>
      </c>
      <c r="B96" s="174" t="n"/>
      <c r="C96" s="174" t="n"/>
      <c r="D96" s="174" t="n"/>
      <c r="E96" s="174" t="n"/>
      <c r="F96" s="174" t="n"/>
      <c r="G96" s="174" t="n"/>
      <c r="H96" s="174" t="n"/>
      <c r="J96" s="175" t="inlineStr">
        <is>
          <t>1. What caused missed or skipped days?
2. Main triggers / energy drains encountered:
3. Which habit had the lowest consistency and why?</t>
        </is>
      </c>
      <c r="K96" s="176" t="n"/>
      <c r="L96" s="176" t="n"/>
      <c r="M96" s="176" t="n"/>
      <c r="N96" s="176" t="n"/>
      <c r="O96" s="176" t="n"/>
      <c r="P96" s="176" t="n"/>
      <c r="Q96" s="176" t="n"/>
      <c r="S96" s="177" t="inlineStr">
        <is>
          <t>1. Habit Stacking or time adjustment for next month:
2. Environment design change to eliminate friction:
3. One non-negotiable priority protocol:</t>
        </is>
      </c>
      <c r="T96" s="178" t="n"/>
      <c r="U96" s="178" t="n"/>
      <c r="V96" s="178" t="n"/>
      <c r="W96" s="178" t="n"/>
      <c r="X96" s="178" t="n"/>
      <c r="Y96" s="178" t="n"/>
      <c r="Z96" s="178" t="n"/>
    </row>
    <row r="97">
      <c r="A97" s="174" t="n"/>
      <c r="B97" s="174" t="n"/>
      <c r="C97" s="174" t="n"/>
      <c r="D97" s="174" t="n"/>
      <c r="E97" s="174" t="n"/>
      <c r="F97" s="174" t="n"/>
      <c r="G97" s="174" t="n"/>
      <c r="H97" s="174" t="n"/>
      <c r="J97" s="176" t="n"/>
      <c r="K97" s="176" t="n"/>
      <c r="L97" s="176" t="n"/>
      <c r="M97" s="176" t="n"/>
      <c r="N97" s="176" t="n"/>
      <c r="O97" s="176" t="n"/>
      <c r="P97" s="176" t="n"/>
      <c r="Q97" s="176" t="n"/>
      <c r="S97" s="178" t="n"/>
      <c r="T97" s="178" t="n"/>
      <c r="U97" s="178" t="n"/>
      <c r="V97" s="178" t="n"/>
      <c r="W97" s="178" t="n"/>
      <c r="X97" s="178" t="n"/>
      <c r="Y97" s="178" t="n"/>
      <c r="Z97" s="178" t="n"/>
    </row>
    <row r="98">
      <c r="A98" s="174" t="n"/>
      <c r="B98" s="174" t="n"/>
      <c r="C98" s="174" t="n"/>
      <c r="D98" s="174" t="n"/>
      <c r="E98" s="174" t="n"/>
      <c r="F98" s="174" t="n"/>
      <c r="G98" s="174" t="n"/>
      <c r="H98" s="174" t="n"/>
      <c r="J98" s="176" t="n"/>
      <c r="K98" s="176" t="n"/>
      <c r="L98" s="176" t="n"/>
      <c r="M98" s="176" t="n"/>
      <c r="N98" s="176" t="n"/>
      <c r="O98" s="176" t="n"/>
      <c r="P98" s="176" t="n"/>
      <c r="Q98" s="176" t="n"/>
      <c r="S98" s="178" t="n"/>
      <c r="T98" s="178" t="n"/>
      <c r="U98" s="178" t="n"/>
      <c r="V98" s="178" t="n"/>
      <c r="W98" s="178" t="n"/>
      <c r="X98" s="178" t="n"/>
      <c r="Y98" s="178" t="n"/>
      <c r="Z98" s="178" t="n"/>
    </row>
    <row r="99">
      <c r="A99" s="174" t="n"/>
      <c r="B99" s="174" t="n"/>
      <c r="C99" s="174" t="n"/>
      <c r="D99" s="174" t="n"/>
      <c r="E99" s="174" t="n"/>
      <c r="F99" s="174" t="n"/>
      <c r="G99" s="174" t="n"/>
      <c r="H99" s="174" t="n"/>
      <c r="J99" s="176" t="n"/>
      <c r="K99" s="176" t="n"/>
      <c r="L99" s="176" t="n"/>
      <c r="M99" s="176" t="n"/>
      <c r="N99" s="176" t="n"/>
      <c r="O99" s="176" t="n"/>
      <c r="P99" s="176" t="n"/>
      <c r="Q99" s="176" t="n"/>
      <c r="S99" s="178" t="n"/>
      <c r="T99" s="178" t="n"/>
      <c r="U99" s="178" t="n"/>
      <c r="V99" s="178" t="n"/>
      <c r="W99" s="178" t="n"/>
      <c r="X99" s="178" t="n"/>
      <c r="Y99" s="178" t="n"/>
      <c r="Z99" s="178" t="n"/>
    </row>
    <row r="100">
      <c r="A100" s="174" t="n"/>
      <c r="B100" s="174" t="n"/>
      <c r="C100" s="174" t="n"/>
      <c r="D100" s="174" t="n"/>
      <c r="E100" s="174" t="n"/>
      <c r="F100" s="174" t="n"/>
      <c r="G100" s="174" t="n"/>
      <c r="H100" s="174" t="n"/>
      <c r="J100" s="176" t="n"/>
      <c r="K100" s="176" t="n"/>
      <c r="L100" s="176" t="n"/>
      <c r="M100" s="176" t="n"/>
      <c r="N100" s="176" t="n"/>
      <c r="O100" s="176" t="n"/>
      <c r="P100" s="176" t="n"/>
      <c r="Q100" s="176" t="n"/>
      <c r="S100" s="178" t="n"/>
      <c r="T100" s="178" t="n"/>
      <c r="U100" s="178" t="n"/>
      <c r="V100" s="178" t="n"/>
      <c r="W100" s="178" t="n"/>
      <c r="X100" s="178" t="n"/>
      <c r="Y100" s="178" t="n"/>
      <c r="Z100" s="178" t="n"/>
    </row>
    <row r="101">
      <c r="A101" s="174" t="n"/>
      <c r="B101" s="174" t="n"/>
      <c r="C101" s="174" t="n"/>
      <c r="D101" s="174" t="n"/>
      <c r="E101" s="174" t="n"/>
      <c r="F101" s="174" t="n"/>
      <c r="G101" s="174" t="n"/>
      <c r="H101" s="174" t="n"/>
      <c r="J101" s="176" t="n"/>
      <c r="K101" s="176" t="n"/>
      <c r="L101" s="176" t="n"/>
      <c r="M101" s="176" t="n"/>
      <c r="N101" s="176" t="n"/>
      <c r="O101" s="176" t="n"/>
      <c r="P101" s="176" t="n"/>
      <c r="Q101" s="176" t="n"/>
      <c r="S101" s="178" t="n"/>
      <c r="T101" s="178" t="n"/>
      <c r="U101" s="178" t="n"/>
      <c r="V101" s="178" t="n"/>
      <c r="W101" s="178" t="n"/>
      <c r="X101" s="178" t="n"/>
      <c r="Y101" s="178" t="n"/>
      <c r="Z101" s="178" t="n"/>
    </row>
    <row r="102">
      <c r="A102" s="174" t="n"/>
      <c r="B102" s="174" t="n"/>
      <c r="C102" s="174" t="n"/>
      <c r="D102" s="174" t="n"/>
      <c r="E102" s="174" t="n"/>
      <c r="F102" s="174" t="n"/>
      <c r="G102" s="174" t="n"/>
      <c r="H102" s="174" t="n"/>
      <c r="J102" s="176" t="n"/>
      <c r="K102" s="176" t="n"/>
      <c r="L102" s="176" t="n"/>
      <c r="M102" s="176" t="n"/>
      <c r="N102" s="176" t="n"/>
      <c r="O102" s="176" t="n"/>
      <c r="P102" s="176" t="n"/>
      <c r="Q102" s="176" t="n"/>
      <c r="S102" s="178" t="n"/>
      <c r="T102" s="178" t="n"/>
      <c r="U102" s="178" t="n"/>
      <c r="V102" s="178" t="n"/>
      <c r="W102" s="178" t="n"/>
      <c r="X102" s="178" t="n"/>
      <c r="Y102" s="178" t="n"/>
      <c r="Z102" s="178" t="n"/>
    </row>
    <row r="103">
      <c r="A103" s="174" t="n"/>
      <c r="B103" s="174" t="n"/>
      <c r="C103" s="174" t="n"/>
      <c r="D103" s="174" t="n"/>
      <c r="E103" s="174" t="n"/>
      <c r="F103" s="174" t="n"/>
      <c r="G103" s="174" t="n"/>
      <c r="H103" s="174" t="n"/>
      <c r="J103" s="176" t="n"/>
      <c r="K103" s="176" t="n"/>
      <c r="L103" s="176" t="n"/>
      <c r="M103" s="176" t="n"/>
      <c r="N103" s="176" t="n"/>
      <c r="O103" s="176" t="n"/>
      <c r="P103" s="176" t="n"/>
      <c r="Q103" s="176" t="n"/>
      <c r="S103" s="178" t="n"/>
      <c r="T103" s="178" t="n"/>
      <c r="U103" s="178" t="n"/>
      <c r="V103" s="178" t="n"/>
      <c r="W103" s="178" t="n"/>
      <c r="X103" s="178" t="n"/>
      <c r="Y103" s="178" t="n"/>
      <c r="Z103" s="178" t="n"/>
    </row>
  </sheetData>
  <sheetProtection selectLockedCells="1" selectUnlockedCells="1" sheet="1" objects="0" insertRows="1" insertHyperlinks="1" autoFilter="1" scenarios="0" formatColumns="1" deleteColumns="1" insertColumns="1" pivotTables="1" deleteRows="1" formatCells="1" formatRows="1" sort="1"/>
  <mergeCells count="94">
    <mergeCell ref="A9:N9"/>
    <mergeCell ref="N76:O76"/>
    <mergeCell ref="F67:I67"/>
    <mergeCell ref="G87:I87"/>
    <mergeCell ref="A16:A17"/>
    <mergeCell ref="A45:D46"/>
    <mergeCell ref="C16:C17"/>
    <mergeCell ref="N75:O75"/>
    <mergeCell ref="N77:O77"/>
    <mergeCell ref="P68:S70"/>
    <mergeCell ref="A93:AK93"/>
    <mergeCell ref="D16:D17"/>
    <mergeCell ref="N85:Q85"/>
    <mergeCell ref="A95:H95"/>
    <mergeCell ref="Q91:S91"/>
    <mergeCell ref="P6:AK6"/>
    <mergeCell ref="E91:F91"/>
    <mergeCell ref="A8:N8"/>
    <mergeCell ref="G91:H91"/>
    <mergeCell ref="P8:AK8"/>
    <mergeCell ref="J86:M86"/>
    <mergeCell ref="S95:Z95"/>
    <mergeCell ref="K67:N67"/>
    <mergeCell ref="N79:O79"/>
    <mergeCell ref="K92:L92"/>
    <mergeCell ref="P7:AK7"/>
    <mergeCell ref="C92:D92"/>
    <mergeCell ref="F71:I71"/>
    <mergeCell ref="M92:N92"/>
    <mergeCell ref="A12:AK14"/>
    <mergeCell ref="K68:N70"/>
    <mergeCell ref="T91:W91"/>
    <mergeCell ref="AI16:AI17"/>
    <mergeCell ref="J95:Q95"/>
    <mergeCell ref="D85:F85"/>
    <mergeCell ref="N74:S74"/>
    <mergeCell ref="P9:AK9"/>
    <mergeCell ref="F68:I70"/>
    <mergeCell ref="A91:B91"/>
    <mergeCell ref="N78:O78"/>
    <mergeCell ref="C91:D91"/>
    <mergeCell ref="M91:N91"/>
    <mergeCell ref="O91:P91"/>
    <mergeCell ref="R86:U86"/>
    <mergeCell ref="A84:AK84"/>
    <mergeCell ref="N80:O80"/>
    <mergeCell ref="B16:B17"/>
    <mergeCell ref="A71:D71"/>
    <mergeCell ref="J85:M85"/>
    <mergeCell ref="D86:F86"/>
    <mergeCell ref="A92:B92"/>
    <mergeCell ref="N87:Q87"/>
    <mergeCell ref="A1:B1"/>
    <mergeCell ref="E92:F92"/>
    <mergeCell ref="A68:D70"/>
    <mergeCell ref="P71:S71"/>
    <mergeCell ref="A86:C86"/>
    <mergeCell ref="D87:F87"/>
    <mergeCell ref="O92:P92"/>
    <mergeCell ref="A6:N6"/>
    <mergeCell ref="A39:D39"/>
    <mergeCell ref="G86:I86"/>
    <mergeCell ref="A96:H103"/>
    <mergeCell ref="P67:S67"/>
    <mergeCell ref="A41:AK41"/>
    <mergeCell ref="T92:W92"/>
    <mergeCell ref="R85:U85"/>
    <mergeCell ref="H2:AC2"/>
    <mergeCell ref="K71:N71"/>
    <mergeCell ref="S96:Z103"/>
    <mergeCell ref="A38:D38"/>
    <mergeCell ref="A42:AK42"/>
    <mergeCell ref="H3:AC3"/>
    <mergeCell ref="A67:D67"/>
    <mergeCell ref="I91:J91"/>
    <mergeCell ref="A85:C85"/>
    <mergeCell ref="K91:L91"/>
    <mergeCell ref="N86:Q86"/>
    <mergeCell ref="A7:N7"/>
    <mergeCell ref="A74:E74"/>
    <mergeCell ref="G85:I85"/>
    <mergeCell ref="G92:H92"/>
    <mergeCell ref="I92:J92"/>
    <mergeCell ref="R87:U87"/>
    <mergeCell ref="AK16:AK17"/>
    <mergeCell ref="J87:M87"/>
    <mergeCell ref="AD2:AK2"/>
    <mergeCell ref="AJ16:AJ17"/>
    <mergeCell ref="J96:Q103"/>
    <mergeCell ref="A88:AK88"/>
    <mergeCell ref="A90:AK90"/>
    <mergeCell ref="Q92:S92"/>
    <mergeCell ref="A87:C87"/>
    <mergeCell ref="A47:D47"/>
  </mergeCells>
  <conditionalFormatting sqref="AI18:AI37">
    <cfRule type="dataBar" priority="1">
      <dataBar>
        <cfvo type="num" val="0"/>
        <cfvo type="num" val="1"/>
        <color rgb="0010B981"/>
      </dataBar>
    </cfRule>
  </conditionalFormatting>
  <conditionalFormatting sqref="E18:AH37">
    <cfRule type="cellIs" priority="2" operator="equal" dxfId="0">
      <formula>"✓"</formula>
    </cfRule>
    <cfRule type="cellIs" priority="3" operator="equal" dxfId="0">
      <formula>"✔"</formula>
    </cfRule>
    <cfRule type="cellIs" priority="4" operator="equal" dxfId="1">
      <formula>"✗"</formula>
    </cfRule>
    <cfRule type="cellIs" priority="5" operator="equal" dxfId="1">
      <formula>"x"</formula>
    </cfRule>
    <cfRule type="cellIs" priority="6" operator="equal" dxfId="1">
      <formula>"X"</formula>
    </cfRule>
  </conditionalFormatting>
  <conditionalFormatting sqref="E16:E17">
    <cfRule type="expression" priority="7" dxfId="2">
      <formula>AND(DAY(TODAY())=1, MONTH(TODAY())=11, YEAR(TODAY())=2029)</formula>
    </cfRule>
  </conditionalFormatting>
  <conditionalFormatting sqref="F16:F17">
    <cfRule type="expression" priority="8" dxfId="2">
      <formula>AND(DAY(TODAY())=2, MONTH(TODAY())=11, YEAR(TODAY())=2029)</formula>
    </cfRule>
  </conditionalFormatting>
  <conditionalFormatting sqref="G16:G17">
    <cfRule type="expression" priority="9" dxfId="2">
      <formula>AND(DAY(TODAY())=3, MONTH(TODAY())=11, YEAR(TODAY())=2029)</formula>
    </cfRule>
  </conditionalFormatting>
  <conditionalFormatting sqref="H16:H17">
    <cfRule type="expression" priority="10" dxfId="2">
      <formula>AND(DAY(TODAY())=4, MONTH(TODAY())=11, YEAR(TODAY())=2029)</formula>
    </cfRule>
  </conditionalFormatting>
  <conditionalFormatting sqref="I16:I17">
    <cfRule type="expression" priority="11" dxfId="2">
      <formula>AND(DAY(TODAY())=5, MONTH(TODAY())=11, YEAR(TODAY())=2029)</formula>
    </cfRule>
  </conditionalFormatting>
  <conditionalFormatting sqref="J16:J17">
    <cfRule type="expression" priority="12" dxfId="2">
      <formula>AND(DAY(TODAY())=6, MONTH(TODAY())=11, YEAR(TODAY())=2029)</formula>
    </cfRule>
  </conditionalFormatting>
  <conditionalFormatting sqref="K16:K17">
    <cfRule type="expression" priority="13" dxfId="2">
      <formula>AND(DAY(TODAY())=7, MONTH(TODAY())=11, YEAR(TODAY())=2029)</formula>
    </cfRule>
  </conditionalFormatting>
  <conditionalFormatting sqref="L16:L17">
    <cfRule type="expression" priority="14" dxfId="2">
      <formula>AND(DAY(TODAY())=8, MONTH(TODAY())=11, YEAR(TODAY())=2029)</formula>
    </cfRule>
  </conditionalFormatting>
  <conditionalFormatting sqref="M16:M17">
    <cfRule type="expression" priority="15" dxfId="2">
      <formula>AND(DAY(TODAY())=9, MONTH(TODAY())=11, YEAR(TODAY())=2029)</formula>
    </cfRule>
  </conditionalFormatting>
  <conditionalFormatting sqref="N16:N17">
    <cfRule type="expression" priority="16" dxfId="2">
      <formula>AND(DAY(TODAY())=10, MONTH(TODAY())=11, YEAR(TODAY())=2029)</formula>
    </cfRule>
  </conditionalFormatting>
  <conditionalFormatting sqref="O16:O17">
    <cfRule type="expression" priority="17" dxfId="2">
      <formula>AND(DAY(TODAY())=11, MONTH(TODAY())=11, YEAR(TODAY())=2029)</formula>
    </cfRule>
  </conditionalFormatting>
  <conditionalFormatting sqref="P16:P17">
    <cfRule type="expression" priority="18" dxfId="2">
      <formula>AND(DAY(TODAY())=12, MONTH(TODAY())=11, YEAR(TODAY())=2029)</formula>
    </cfRule>
  </conditionalFormatting>
  <conditionalFormatting sqref="Q16:Q17">
    <cfRule type="expression" priority="19" dxfId="2">
      <formula>AND(DAY(TODAY())=13, MONTH(TODAY())=11, YEAR(TODAY())=2029)</formula>
    </cfRule>
  </conditionalFormatting>
  <conditionalFormatting sqref="R16:R17">
    <cfRule type="expression" priority="20" dxfId="2">
      <formula>AND(DAY(TODAY())=14, MONTH(TODAY())=11, YEAR(TODAY())=2029)</formula>
    </cfRule>
  </conditionalFormatting>
  <conditionalFormatting sqref="S16:S17">
    <cfRule type="expression" priority="21" dxfId="2">
      <formula>AND(DAY(TODAY())=15, MONTH(TODAY())=11, YEAR(TODAY())=2029)</formula>
    </cfRule>
  </conditionalFormatting>
  <conditionalFormatting sqref="T16:T17">
    <cfRule type="expression" priority="22" dxfId="2">
      <formula>AND(DAY(TODAY())=16, MONTH(TODAY())=11, YEAR(TODAY())=2029)</formula>
    </cfRule>
  </conditionalFormatting>
  <conditionalFormatting sqref="U16:U17">
    <cfRule type="expression" priority="23" dxfId="2">
      <formula>AND(DAY(TODAY())=17, MONTH(TODAY())=11, YEAR(TODAY())=2029)</formula>
    </cfRule>
  </conditionalFormatting>
  <conditionalFormatting sqref="V16:V17">
    <cfRule type="expression" priority="24" dxfId="2">
      <formula>AND(DAY(TODAY())=18, MONTH(TODAY())=11, YEAR(TODAY())=2029)</formula>
    </cfRule>
  </conditionalFormatting>
  <conditionalFormatting sqref="W16:W17">
    <cfRule type="expression" priority="25" dxfId="2">
      <formula>AND(DAY(TODAY())=19, MONTH(TODAY())=11, YEAR(TODAY())=2029)</formula>
    </cfRule>
  </conditionalFormatting>
  <conditionalFormatting sqref="X16:X17">
    <cfRule type="expression" priority="26" dxfId="2">
      <formula>AND(DAY(TODAY())=20, MONTH(TODAY())=11, YEAR(TODAY())=2029)</formula>
    </cfRule>
  </conditionalFormatting>
  <conditionalFormatting sqref="Y16:Y17">
    <cfRule type="expression" priority="27" dxfId="2">
      <formula>AND(DAY(TODAY())=21, MONTH(TODAY())=11, YEAR(TODAY())=2029)</formula>
    </cfRule>
  </conditionalFormatting>
  <conditionalFormatting sqref="Z16:Z17">
    <cfRule type="expression" priority="28" dxfId="2">
      <formula>AND(DAY(TODAY())=22, MONTH(TODAY())=11, YEAR(TODAY())=2029)</formula>
    </cfRule>
  </conditionalFormatting>
  <conditionalFormatting sqref="AA16:AA17">
    <cfRule type="expression" priority="29" dxfId="2">
      <formula>AND(DAY(TODAY())=23, MONTH(TODAY())=11, YEAR(TODAY())=2029)</formula>
    </cfRule>
  </conditionalFormatting>
  <conditionalFormatting sqref="AB16:AB17">
    <cfRule type="expression" priority="30" dxfId="2">
      <formula>AND(DAY(TODAY())=24, MONTH(TODAY())=11, YEAR(TODAY())=2029)</formula>
    </cfRule>
  </conditionalFormatting>
  <conditionalFormatting sqref="AC16:AC17">
    <cfRule type="expression" priority="31" dxfId="2">
      <formula>AND(DAY(TODAY())=25, MONTH(TODAY())=11, YEAR(TODAY())=2029)</formula>
    </cfRule>
  </conditionalFormatting>
  <conditionalFormatting sqref="AD16:AD17">
    <cfRule type="expression" priority="32" dxfId="2">
      <formula>AND(DAY(TODAY())=26, MONTH(TODAY())=11, YEAR(TODAY())=2029)</formula>
    </cfRule>
  </conditionalFormatting>
  <conditionalFormatting sqref="AE16:AE17">
    <cfRule type="expression" priority="33" dxfId="2">
      <formula>AND(DAY(TODAY())=27, MONTH(TODAY())=11, YEAR(TODAY())=2029)</formula>
    </cfRule>
  </conditionalFormatting>
  <conditionalFormatting sqref="AF16:AF17">
    <cfRule type="expression" priority="34" dxfId="2">
      <formula>AND(DAY(TODAY())=28, MONTH(TODAY())=11, YEAR(TODAY())=2029)</formula>
    </cfRule>
  </conditionalFormatting>
  <conditionalFormatting sqref="AG16:AG17">
    <cfRule type="expression" priority="35" dxfId="2">
      <formula>AND(DAY(TODAY())=29, MONTH(TODAY())=11, YEAR(TODAY())=2029)</formula>
    </cfRule>
  </conditionalFormatting>
  <conditionalFormatting sqref="AH16:AH17">
    <cfRule type="expression" priority="36" dxfId="2">
      <formula>AND(DAY(TODAY())=30, MONTH(TODAY())=11, YEAR(TODAY())=2029)</formula>
    </cfRule>
  </conditionalFormatting>
  <dataValidations count="4">
    <dataValidation sqref="C18:C37" showDropDown="0" showInputMessage="0" showErrorMessage="0" allowBlank="1" type="list">
      <formula1>"Health &amp; Fitness,Mindset &amp; Learning,Career &amp; Focus,Personal &amp; Home,Finance &amp; Wealth,Other"</formula1>
    </dataValidation>
    <dataValidation sqref="D18:D37" showDropDown="0" showInputMessage="0" showErrorMessage="0" allowBlank="1" type="list">
      <formula1>"1,2,3,4,5,6,7,8,9,10,11,12,13,14,15,16,17,18,19,20,21,22,23,24,25,26,27,28,29,30,31"</formula1>
    </dataValidation>
    <dataValidation sqref="E18:AH37" showDropDown="0" showInputMessage="0" showErrorMessage="0" allowBlank="1" type="list">
      <formula1>"✓,✗"</formula1>
    </dataValidation>
    <dataValidation sqref="E47:AH47" showDropDown="0" showInputMessage="0" showErrorMessage="0" allowBlank="1" type="list">
      <formula1>"1,2,3,4,5,6,7,8,9,10,11,12,13,14,15,16,17,18,19,20,21,22,23,24"</formula1>
    </dataValidation>
  </dataValidations>
  <hyperlinks>
    <hyperlink xmlns:r="http://schemas.openxmlformats.org/officeDocument/2006/relationships" ref="A1" r:id="rId1"/>
    <hyperlink xmlns:r="http://schemas.openxmlformats.org/officeDocument/2006/relationships" ref="C1" r:id="rId2"/>
    <hyperlink xmlns:r="http://schemas.openxmlformats.org/officeDocument/2006/relationships" ref="D1" r:id="rId3"/>
    <hyperlink xmlns:r="http://schemas.openxmlformats.org/officeDocument/2006/relationships" ref="E1" r:id="rId4"/>
    <hyperlink xmlns:r="http://schemas.openxmlformats.org/officeDocument/2006/relationships" ref="F1" r:id="rId5"/>
    <hyperlink xmlns:r="http://schemas.openxmlformats.org/officeDocument/2006/relationships" ref="G1" r:id="rId6"/>
    <hyperlink xmlns:r="http://schemas.openxmlformats.org/officeDocument/2006/relationships" ref="H1" r:id="rId7"/>
    <hyperlink xmlns:r="http://schemas.openxmlformats.org/officeDocument/2006/relationships" ref="I1" r:id="rId8"/>
    <hyperlink xmlns:r="http://schemas.openxmlformats.org/officeDocument/2006/relationships" ref="J1" r:id="rId9"/>
    <hyperlink xmlns:r="http://schemas.openxmlformats.org/officeDocument/2006/relationships" ref="K1" r:id="rId10"/>
  </hyperlinks>
  <printOptions horizontalCentered="1" verticalCentered="0"/>
  <pageMargins left="0.75" right="0.75" top="1" bottom="1" header="0.5" footer="0.5"/>
  <pageSetup orientation="landscape" paperSize="9" fitToHeight="0" fitToWidth="1"/>
  <drawing xmlns:r="http://schemas.openxmlformats.org/officeDocument/2006/relationships" r:id="rId11"/>
</worksheet>
</file>

<file path=xl/worksheets/sheet43.xml><?xml version="1.0" encoding="utf-8"?>
<worksheet xmlns="http://schemas.openxmlformats.org/spreadsheetml/2006/main">
  <sheetPr>
    <outlinePr summaryBelow="1" summaryRight="1"/>
    <pageSetUpPr fitToPage="1"/>
  </sheetPr>
  <dimension ref="A1:AM103"/>
  <sheetViews>
    <sheetView showGridLines="1" workbookViewId="0">
      <selection activeCell="A1" sqref="A1"/>
    </sheetView>
  </sheetViews>
  <sheetFormatPr baseColWidth="8" defaultRowHeight="15"/>
  <cols>
    <col width="6" customWidth="1" min="1" max="1"/>
    <col width="25" customWidth="1" min="2" max="2"/>
    <col width="16.5" customWidth="1" min="3" max="3"/>
    <col width="8" customWidth="1" min="4" max="4"/>
    <col width="4.8" customWidth="1" min="5" max="5"/>
    <col width="4.8" customWidth="1" min="6" max="6"/>
    <col width="4.8" customWidth="1" min="7" max="7"/>
    <col width="4.8" customWidth="1" min="8" max="8"/>
    <col width="4.8" customWidth="1" min="9" max="9"/>
    <col width="4.8" customWidth="1" min="10" max="10"/>
    <col width="4.8" customWidth="1" min="11" max="11"/>
    <col width="4.8" customWidth="1" min="12" max="12"/>
    <col width="4.8" customWidth="1" min="13" max="13"/>
    <col width="4.8" customWidth="1" min="14" max="14"/>
    <col width="4.8" customWidth="1" min="15" max="15"/>
    <col width="4.8" customWidth="1" min="16" max="16"/>
    <col width="4.8" customWidth="1" min="17" max="17"/>
    <col width="4.8" customWidth="1" min="18" max="18"/>
    <col width="4.8" customWidth="1" min="19" max="19"/>
    <col width="4.8" customWidth="1" min="20" max="20"/>
    <col width="4.8" customWidth="1" min="21" max="21"/>
    <col width="4.8" customWidth="1" min="22" max="22"/>
    <col width="4.8" customWidth="1" min="23" max="23"/>
    <col width="4.8" customWidth="1" min="24" max="24"/>
    <col width="4.8" customWidth="1" min="25" max="25"/>
    <col width="4.8" customWidth="1" min="26" max="26"/>
    <col width="4.8" customWidth="1" min="27" max="27"/>
    <col width="4.8" customWidth="1" min="28" max="28"/>
    <col width="4.8" customWidth="1" min="29" max="29"/>
    <col width="4.8" customWidth="1" min="30" max="30"/>
    <col width="4.8" customWidth="1" min="31" max="31"/>
    <col width="4.8" customWidth="1" min="32" max="32"/>
    <col width="4.8" customWidth="1" min="33" max="33"/>
    <col width="4.8" customWidth="1" min="34" max="34"/>
    <col width="4.8" customWidth="1" min="35" max="35"/>
    <col width="11.5" customWidth="1" min="36" max="36"/>
    <col width="12" customWidth="1" min="37" max="37"/>
    <col width="13.5" customWidth="1" min="38" max="38"/>
    <col hidden="1" width="8" customWidth="1" min="39" max="39"/>
  </cols>
  <sheetData>
    <row r="1" ht="18" customHeight="1">
      <c r="A1" s="76" t="inlineStr">
        <is>
          <t>🏠 Master Dashboard</t>
        </is>
      </c>
      <c r="B1" s="40" t="n"/>
      <c r="C1" s="77" t="inlineStr">
        <is>
          <t>🏛️ Quarterly Hub</t>
        </is>
      </c>
      <c r="D1" s="78" t="inlineStr">
        <is>
          <t>📚 Habit Library</t>
        </is>
      </c>
      <c r="E1" s="80" t="inlineStr">
        <is>
          <t>2026</t>
        </is>
      </c>
      <c r="F1" s="80" t="inlineStr">
        <is>
          <t>2027</t>
        </is>
      </c>
      <c r="G1" s="80" t="inlineStr">
        <is>
          <t>2028</t>
        </is>
      </c>
      <c r="H1" s="79" t="inlineStr">
        <is>
          <t>2029</t>
        </is>
      </c>
      <c r="I1" s="80" t="inlineStr">
        <is>
          <t>2030</t>
        </is>
      </c>
      <c r="J1" s="82" t="inlineStr">
        <is>
          <t>◀ Prev</t>
        </is>
      </c>
      <c r="K1" s="82" t="inlineStr">
        <is>
          <t>Next ▶</t>
        </is>
      </c>
    </row>
    <row r="2" ht="24" customHeight="1">
      <c r="A2" s="83" t="inlineStr">
        <is>
          <t>Habit Tracker</t>
        </is>
      </c>
      <c r="H2" s="84" t="inlineStr">
        <is>
          <t>"Stay consistent."</t>
        </is>
      </c>
      <c r="AE2" s="85" t="inlineStr">
        <is>
          <t>@surajvansh</t>
        </is>
      </c>
    </row>
    <row r="3" ht="18" customHeight="1">
      <c r="A3" s="86" t="inlineStr">
        <is>
          <t>December 2029</t>
        </is>
      </c>
      <c r="H3" s="87" t="inlineStr">
        <is>
          <t>31 Days Dashboard</t>
        </is>
      </c>
    </row>
    <row r="4" ht="5" customHeight="1"/>
    <row r="5" ht="16" customHeight="1">
      <c r="A5" s="88" t="inlineStr">
        <is>
          <t>MONTHLY TARGETS</t>
        </is>
      </c>
    </row>
    <row r="6" ht="13" customHeight="1">
      <c r="A6" s="89" t="inlineStr">
        <is>
          <t>1. ____________________ : ____________________</t>
        </is>
      </c>
      <c r="P6" s="89" t="inlineStr">
        <is>
          <t>5. ____________________ : ____________________</t>
        </is>
      </c>
    </row>
    <row r="7" ht="13" customHeight="1">
      <c r="A7" s="89" t="inlineStr">
        <is>
          <t>2. ____________________ : ____________________</t>
        </is>
      </c>
      <c r="P7" s="89" t="inlineStr">
        <is>
          <t>6. ____________________ : ____________________</t>
        </is>
      </c>
    </row>
    <row r="8" ht="13" customHeight="1">
      <c r="A8" s="89" t="inlineStr">
        <is>
          <t>3. ____________________ : ____________________</t>
        </is>
      </c>
      <c r="P8" s="89" t="inlineStr">
        <is>
          <t>7. ____________________ : ____________________</t>
        </is>
      </c>
    </row>
    <row r="9" ht="13" customHeight="1">
      <c r="A9" s="89" t="inlineStr">
        <is>
          <t>4. ____________________ : ____________________</t>
        </is>
      </c>
      <c r="P9" s="89" t="inlineStr">
        <is>
          <t>8. ____________________ : ____________________</t>
        </is>
      </c>
    </row>
    <row r="10" ht="5" customHeight="1"/>
    <row r="11" ht="15" customHeight="1">
      <c r="A11" s="88" t="inlineStr">
        <is>
          <t>NOTES:</t>
        </is>
      </c>
    </row>
    <row r="12" ht="13" customHeight="1">
      <c r="A12" s="90" t="n"/>
      <c r="B12" s="91" t="n"/>
      <c r="C12" s="91" t="n"/>
      <c r="D12" s="91" t="n"/>
      <c r="E12" s="91" t="n"/>
      <c r="F12" s="91" t="n"/>
      <c r="G12" s="91" t="n"/>
      <c r="H12" s="91" t="n"/>
      <c r="I12" s="91" t="n"/>
      <c r="J12" s="91" t="n"/>
      <c r="K12" s="91" t="n"/>
      <c r="L12" s="91" t="n"/>
      <c r="M12" s="91" t="n"/>
      <c r="N12" s="91" t="n"/>
      <c r="O12" s="91" t="n"/>
      <c r="P12" s="91" t="n"/>
      <c r="Q12" s="91" t="n"/>
      <c r="R12" s="91" t="n"/>
      <c r="S12" s="91" t="n"/>
      <c r="T12" s="91" t="n"/>
      <c r="U12" s="91" t="n"/>
      <c r="V12" s="91" t="n"/>
      <c r="W12" s="91" t="n"/>
      <c r="X12" s="91" t="n"/>
      <c r="Y12" s="91" t="n"/>
      <c r="Z12" s="91" t="n"/>
      <c r="AA12" s="91" t="n"/>
      <c r="AB12" s="91" t="n"/>
      <c r="AC12" s="91" t="n"/>
      <c r="AD12" s="91" t="n"/>
      <c r="AE12" s="91" t="n"/>
      <c r="AF12" s="91" t="n"/>
      <c r="AG12" s="91" t="n"/>
      <c r="AH12" s="91" t="n"/>
      <c r="AI12" s="91" t="n"/>
      <c r="AJ12" s="91" t="n"/>
      <c r="AK12" s="91" t="n"/>
      <c r="AL12" s="91" t="n"/>
    </row>
    <row r="13" ht="13" customHeight="1">
      <c r="A13" s="91" t="n"/>
      <c r="B13" s="91" t="n"/>
      <c r="C13" s="91" t="n"/>
      <c r="D13" s="91" t="n"/>
      <c r="E13" s="91" t="n"/>
      <c r="F13" s="91" t="n"/>
      <c r="G13" s="91" t="n"/>
      <c r="H13" s="91" t="n"/>
      <c r="I13" s="91" t="n"/>
      <c r="J13" s="91" t="n"/>
      <c r="K13" s="91" t="n"/>
      <c r="L13" s="91" t="n"/>
      <c r="M13" s="91" t="n"/>
      <c r="N13" s="91" t="n"/>
      <c r="O13" s="91" t="n"/>
      <c r="P13" s="91" t="n"/>
      <c r="Q13" s="91" t="n"/>
      <c r="R13" s="91" t="n"/>
      <c r="S13" s="91" t="n"/>
      <c r="T13" s="91" t="n"/>
      <c r="U13" s="91" t="n"/>
      <c r="V13" s="91" t="n"/>
      <c r="W13" s="91" t="n"/>
      <c r="X13" s="91" t="n"/>
      <c r="Y13" s="91" t="n"/>
      <c r="Z13" s="91" t="n"/>
      <c r="AA13" s="91" t="n"/>
      <c r="AB13" s="91" t="n"/>
      <c r="AC13" s="91" t="n"/>
      <c r="AD13" s="91" t="n"/>
      <c r="AE13" s="91" t="n"/>
      <c r="AF13" s="91" t="n"/>
      <c r="AG13" s="91" t="n"/>
      <c r="AH13" s="91" t="n"/>
      <c r="AI13" s="91" t="n"/>
      <c r="AJ13" s="91" t="n"/>
      <c r="AK13" s="91" t="n"/>
      <c r="AL13" s="91" t="n"/>
    </row>
    <row r="14" ht="13" customHeight="1">
      <c r="A14" s="91" t="n"/>
      <c r="B14" s="91" t="n"/>
      <c r="C14" s="91" t="n"/>
      <c r="D14" s="91" t="n"/>
      <c r="E14" s="91" t="n"/>
      <c r="F14" s="91" t="n"/>
      <c r="G14" s="91" t="n"/>
      <c r="H14" s="91" t="n"/>
      <c r="I14" s="91" t="n"/>
      <c r="J14" s="91" t="n"/>
      <c r="K14" s="91" t="n"/>
      <c r="L14" s="91" t="n"/>
      <c r="M14" s="91" t="n"/>
      <c r="N14" s="91" t="n"/>
      <c r="O14" s="91" t="n"/>
      <c r="P14" s="91" t="n"/>
      <c r="Q14" s="91" t="n"/>
      <c r="R14" s="91" t="n"/>
      <c r="S14" s="91" t="n"/>
      <c r="T14" s="91" t="n"/>
      <c r="U14" s="91" t="n"/>
      <c r="V14" s="91" t="n"/>
      <c r="W14" s="91" t="n"/>
      <c r="X14" s="91" t="n"/>
      <c r="Y14" s="91" t="n"/>
      <c r="Z14" s="91" t="n"/>
      <c r="AA14" s="91" t="n"/>
      <c r="AB14" s="91" t="n"/>
      <c r="AC14" s="91" t="n"/>
      <c r="AD14" s="91" t="n"/>
      <c r="AE14" s="91" t="n"/>
      <c r="AF14" s="91" t="n"/>
      <c r="AG14" s="91" t="n"/>
      <c r="AH14" s="91" t="n"/>
      <c r="AI14" s="91" t="n"/>
      <c r="AJ14" s="91" t="n"/>
      <c r="AK14" s="91" t="n"/>
      <c r="AL14" s="91" t="n"/>
    </row>
    <row r="15" ht="8" customHeight="1"/>
    <row r="16" ht="15" customHeight="1">
      <c r="A16" s="33" t="inlineStr">
        <is>
          <t>S.No.</t>
        </is>
      </c>
      <c r="B16" s="33" t="inlineStr">
        <is>
          <t>Protocols</t>
        </is>
      </c>
      <c r="C16" s="33" t="inlineStr">
        <is>
          <t>Category</t>
        </is>
      </c>
      <c r="D16" s="33" t="inlineStr">
        <is>
          <t>Target</t>
        </is>
      </c>
      <c r="E16" s="92" t="n">
        <v>1</v>
      </c>
      <c r="F16" s="93" t="n">
        <v>2</v>
      </c>
      <c r="G16" s="92" t="n">
        <v>3</v>
      </c>
      <c r="H16" s="92" t="n">
        <v>4</v>
      </c>
      <c r="I16" s="92" t="n">
        <v>5</v>
      </c>
      <c r="J16" s="92" t="n">
        <v>6</v>
      </c>
      <c r="K16" s="92" t="n">
        <v>7</v>
      </c>
      <c r="L16" s="92" t="n">
        <v>8</v>
      </c>
      <c r="M16" s="93" t="n">
        <v>9</v>
      </c>
      <c r="N16" s="92" t="n">
        <v>10</v>
      </c>
      <c r="O16" s="92" t="n">
        <v>11</v>
      </c>
      <c r="P16" s="92" t="n">
        <v>12</v>
      </c>
      <c r="Q16" s="92" t="n">
        <v>13</v>
      </c>
      <c r="R16" s="92" t="n">
        <v>14</v>
      </c>
      <c r="S16" s="92" t="n">
        <v>15</v>
      </c>
      <c r="T16" s="93" t="n">
        <v>16</v>
      </c>
      <c r="U16" s="92" t="n">
        <v>17</v>
      </c>
      <c r="V16" s="92" t="n">
        <v>18</v>
      </c>
      <c r="W16" s="92" t="n">
        <v>19</v>
      </c>
      <c r="X16" s="92" t="n">
        <v>20</v>
      </c>
      <c r="Y16" s="92" t="n">
        <v>21</v>
      </c>
      <c r="Z16" s="92" t="n">
        <v>22</v>
      </c>
      <c r="AA16" s="93" t="n">
        <v>23</v>
      </c>
      <c r="AB16" s="92" t="n">
        <v>24</v>
      </c>
      <c r="AC16" s="92" t="n">
        <v>25</v>
      </c>
      <c r="AD16" s="92" t="n">
        <v>26</v>
      </c>
      <c r="AE16" s="92" t="n">
        <v>27</v>
      </c>
      <c r="AF16" s="92" t="n">
        <v>28</v>
      </c>
      <c r="AG16" s="92" t="n">
        <v>29</v>
      </c>
      <c r="AH16" s="93" t="n">
        <v>30</v>
      </c>
      <c r="AI16" s="92" t="n">
        <v>31</v>
      </c>
      <c r="AJ16" s="94" t="inlineStr">
        <is>
          <t>Success %</t>
        </is>
      </c>
      <c r="AK16" s="94" t="inlineStr">
        <is>
          <t>Done / Target</t>
        </is>
      </c>
      <c r="AL16" s="94" t="inlineStr">
        <is>
          <t>Status</t>
        </is>
      </c>
      <c r="AM16" t="inlineStr">
        <is>
          <t>Done Count</t>
        </is>
      </c>
    </row>
    <row r="17" ht="15" customHeight="1">
      <c r="A17" s="54" t="n"/>
      <c r="B17" s="54" t="n"/>
      <c r="C17" s="54" t="n"/>
      <c r="D17" s="54" t="n"/>
      <c r="E17" s="95" t="inlineStr">
        <is>
          <t>Sa</t>
        </is>
      </c>
      <c r="F17" s="96" t="inlineStr">
        <is>
          <t>Su</t>
        </is>
      </c>
      <c r="G17" s="95" t="inlineStr">
        <is>
          <t>M</t>
        </is>
      </c>
      <c r="H17" s="95" t="inlineStr">
        <is>
          <t>T</t>
        </is>
      </c>
      <c r="I17" s="95" t="inlineStr">
        <is>
          <t>W</t>
        </is>
      </c>
      <c r="J17" s="95" t="inlineStr">
        <is>
          <t>Th</t>
        </is>
      </c>
      <c r="K17" s="95" t="inlineStr">
        <is>
          <t>F</t>
        </is>
      </c>
      <c r="L17" s="95" t="inlineStr">
        <is>
          <t>Sa</t>
        </is>
      </c>
      <c r="M17" s="96" t="inlineStr">
        <is>
          <t>Su</t>
        </is>
      </c>
      <c r="N17" s="95" t="inlineStr">
        <is>
          <t>M</t>
        </is>
      </c>
      <c r="O17" s="95" t="inlineStr">
        <is>
          <t>T</t>
        </is>
      </c>
      <c r="P17" s="95" t="inlineStr">
        <is>
          <t>W</t>
        </is>
      </c>
      <c r="Q17" s="95" t="inlineStr">
        <is>
          <t>Th</t>
        </is>
      </c>
      <c r="R17" s="95" t="inlineStr">
        <is>
          <t>F</t>
        </is>
      </c>
      <c r="S17" s="95" t="inlineStr">
        <is>
          <t>Sa</t>
        </is>
      </c>
      <c r="T17" s="96" t="inlineStr">
        <is>
          <t>Su</t>
        </is>
      </c>
      <c r="U17" s="95" t="inlineStr">
        <is>
          <t>M</t>
        </is>
      </c>
      <c r="V17" s="95" t="inlineStr">
        <is>
          <t>T</t>
        </is>
      </c>
      <c r="W17" s="95" t="inlineStr">
        <is>
          <t>W</t>
        </is>
      </c>
      <c r="X17" s="95" t="inlineStr">
        <is>
          <t>Th</t>
        </is>
      </c>
      <c r="Y17" s="95" t="inlineStr">
        <is>
          <t>F</t>
        </is>
      </c>
      <c r="Z17" s="95" t="inlineStr">
        <is>
          <t>Sa</t>
        </is>
      </c>
      <c r="AA17" s="96" t="inlineStr">
        <is>
          <t>Su</t>
        </is>
      </c>
      <c r="AB17" s="95" t="inlineStr">
        <is>
          <t>M</t>
        </is>
      </c>
      <c r="AC17" s="95" t="inlineStr">
        <is>
          <t>T</t>
        </is>
      </c>
      <c r="AD17" s="95" t="inlineStr">
        <is>
          <t>W</t>
        </is>
      </c>
      <c r="AE17" s="95" t="inlineStr">
        <is>
          <t>Th</t>
        </is>
      </c>
      <c r="AF17" s="95" t="inlineStr">
        <is>
          <t>F</t>
        </is>
      </c>
      <c r="AG17" s="95" t="inlineStr">
        <is>
          <t>Sa</t>
        </is>
      </c>
      <c r="AH17" s="96" t="inlineStr">
        <is>
          <t>Su</t>
        </is>
      </c>
      <c r="AI17" s="95" t="inlineStr">
        <is>
          <t>M</t>
        </is>
      </c>
      <c r="AJ17" s="54" t="n"/>
      <c r="AK17" s="54" t="n"/>
      <c r="AL17" s="54" t="n"/>
    </row>
    <row r="18" ht="14.5" customHeight="1">
      <c r="A18" s="97" t="n">
        <v>1</v>
      </c>
      <c r="B18" s="98" t="n"/>
      <c r="C18" s="99" t="n"/>
      <c r="D18" s="99" t="n"/>
      <c r="E18" s="100" t="n"/>
      <c r="F18" s="101" t="n"/>
      <c r="G18" s="100" t="n"/>
      <c r="H18" s="100" t="n"/>
      <c r="I18" s="100" t="n"/>
      <c r="J18" s="100" t="n"/>
      <c r="K18" s="100" t="n"/>
      <c r="L18" s="100" t="n"/>
      <c r="M18" s="101" t="n"/>
      <c r="N18" s="100" t="n"/>
      <c r="O18" s="100" t="n"/>
      <c r="P18" s="100" t="n"/>
      <c r="Q18" s="100" t="n"/>
      <c r="R18" s="100" t="n"/>
      <c r="S18" s="100" t="n"/>
      <c r="T18" s="101" t="n"/>
      <c r="U18" s="100" t="n"/>
      <c r="V18" s="100" t="n"/>
      <c r="W18" s="100" t="n"/>
      <c r="X18" s="100" t="n"/>
      <c r="Y18" s="100" t="n"/>
      <c r="Z18" s="100" t="n"/>
      <c r="AA18" s="101" t="n"/>
      <c r="AB18" s="100" t="n"/>
      <c r="AC18" s="100" t="n"/>
      <c r="AD18" s="100" t="n"/>
      <c r="AE18" s="100" t="n"/>
      <c r="AF18" s="100" t="n"/>
      <c r="AG18" s="100" t="n"/>
      <c r="AH18" s="101" t="n"/>
      <c r="AI18" s="100" t="n"/>
      <c r="AJ18" s="102">
        <f>IF(ISBLANK(B18), "", IF(ISNUMBER(D18), IF(D18&gt;0, (COUNTIF(E18:AI18, "✓") + COUNTIF(E18:AI18, "✔") + COUNTIF(E18:AI18, "v") + COUNTIF(E18:AI18, "V"))/D18, 0), IF(((COUNTIF(E18:AI18, "✓") + COUNTIF(E18:AI18, "✔") + COUNTIF(E18:AI18, "v") + COUNTIF(E18:AI18, "V")) + COUNTIF(E18:AI18, "✗") + COUNTIF(E18:AI18, "x") + COUNTIF(E18:AI18, "X"))&gt;0, (COUNTIF(E18:AI18, "✓") + COUNTIF(E18:AI18, "✔") + COUNTIF(E18:AI18, "v") + COUNTIF(E18:AI18, "V"))/((COUNTIF(E18:AI18, "✓") + COUNTIF(E18:AI18, "✔") + COUNTIF(E18:AI18, "v") + COUNTIF(E18:AI18, "V")) + COUNTIF(E18:AI18, "✗") + COUNTIF(E18:AI18, "x") + COUNTIF(E18:AI18, "X")), "")))</f>
        <v/>
      </c>
      <c r="AK18" s="103">
        <f>IF(ISBLANK(B18), "", IF(ISNUMBER(D18), IF(D18&gt;0, (COUNTIF(E18:AI18, "✓") + COUNTIF(E18:AI18, "✔") + COUNTIF(E18:AI18, "v") + COUNTIF(E18:AI18, "V")) &amp; "/" &amp; D18, (COUNTIF(E18:AI18, "✓") + COUNTIF(E18:AI18, "✔") + COUNTIF(E18:AI18, "v") + COUNTIF(E18:AI18, "V")) &amp; "/0"), IF(((COUNTIF(E18:AI18, "✓") + COUNTIF(E18:AI18, "✔") + COUNTIF(E18:AI18, "v") + COUNTIF(E18:AI18, "V")) + COUNTIF(E18:AI18, "✗") + COUNTIF(E18:AI18, "x") + COUNTIF(E18:AI18, "X"))&gt;0, (COUNTIF(E18:AI18, "✓") + COUNTIF(E18:AI18, "✔") + COUNTIF(E18:AI18, "v") + COUNTIF(E18:AI18, "V")) &amp; "/" &amp; ((COUNTIF(E18:AI18, "✓") + COUNTIF(E18:AI18, "✔") + COUNTIF(E18:AI18, "v") + COUNTIF(E18:AI18, "V")) + COUNTIF(E18:AI18, "✗") + COUNTIF(E18:AI18, "x") + COUNTIF(E18:AI18, "X")), "")))</f>
        <v/>
      </c>
      <c r="AL18" s="103">
        <f>IF(ISBLANK(B18), "", IF(AJ18&gt;=0.85, "🔥 Mastered", IF(AJ18&gt;=0.7, "⚡ Consistent", "⚠️ Needs Focus")))</f>
        <v/>
      </c>
      <c r="AM18">
        <f>COUNTIF(E18:AI18, "✓")</f>
        <v/>
      </c>
    </row>
    <row r="19" ht="14.5" customHeight="1">
      <c r="A19" s="97" t="n">
        <v>2</v>
      </c>
      <c r="B19" s="98" t="n"/>
      <c r="C19" s="99" t="n"/>
      <c r="D19" s="99" t="n"/>
      <c r="E19" s="100" t="n"/>
      <c r="F19" s="101" t="n"/>
      <c r="G19" s="100" t="n"/>
      <c r="H19" s="100" t="n"/>
      <c r="I19" s="100" t="n"/>
      <c r="J19" s="100" t="n"/>
      <c r="K19" s="100" t="n"/>
      <c r="L19" s="100" t="n"/>
      <c r="M19" s="101" t="n"/>
      <c r="N19" s="100" t="n"/>
      <c r="O19" s="100" t="n"/>
      <c r="P19" s="100" t="n"/>
      <c r="Q19" s="100" t="n"/>
      <c r="R19" s="100" t="n"/>
      <c r="S19" s="100" t="n"/>
      <c r="T19" s="101" t="n"/>
      <c r="U19" s="100" t="n"/>
      <c r="V19" s="100" t="n"/>
      <c r="W19" s="100" t="n"/>
      <c r="X19" s="100" t="n"/>
      <c r="Y19" s="100" t="n"/>
      <c r="Z19" s="100" t="n"/>
      <c r="AA19" s="101" t="n"/>
      <c r="AB19" s="100" t="n"/>
      <c r="AC19" s="100" t="n"/>
      <c r="AD19" s="100" t="n"/>
      <c r="AE19" s="100" t="n"/>
      <c r="AF19" s="100" t="n"/>
      <c r="AG19" s="100" t="n"/>
      <c r="AH19" s="101" t="n"/>
      <c r="AI19" s="100" t="n"/>
      <c r="AJ19" s="102">
        <f>IF(ISBLANK(B19), "", IF(ISNUMBER(D19), IF(D19&gt;0, (COUNTIF(E19:AI19, "✓") + COUNTIF(E19:AI19, "✔") + COUNTIF(E19:AI19, "v") + COUNTIF(E19:AI19, "V"))/D19, 0), IF(((COUNTIF(E19:AI19, "✓") + COUNTIF(E19:AI19, "✔") + COUNTIF(E19:AI19, "v") + COUNTIF(E19:AI19, "V")) + COUNTIF(E19:AI19, "✗") + COUNTIF(E19:AI19, "x") + COUNTIF(E19:AI19, "X"))&gt;0, (COUNTIF(E19:AI19, "✓") + COUNTIF(E19:AI19, "✔") + COUNTIF(E19:AI19, "v") + COUNTIF(E19:AI19, "V"))/((COUNTIF(E19:AI19, "✓") + COUNTIF(E19:AI19, "✔") + COUNTIF(E19:AI19, "v") + COUNTIF(E19:AI19, "V")) + COUNTIF(E19:AI19, "✗") + COUNTIF(E19:AI19, "x") + COUNTIF(E19:AI19, "X")), "")))</f>
        <v/>
      </c>
      <c r="AK19" s="103">
        <f>IF(ISBLANK(B19), "", IF(ISNUMBER(D19), IF(D19&gt;0, (COUNTIF(E19:AI19, "✓") + COUNTIF(E19:AI19, "✔") + COUNTIF(E19:AI19, "v") + COUNTIF(E19:AI19, "V")) &amp; "/" &amp; D19, (COUNTIF(E19:AI19, "✓") + COUNTIF(E19:AI19, "✔") + COUNTIF(E19:AI19, "v") + COUNTIF(E19:AI19, "V")) &amp; "/0"), IF(((COUNTIF(E19:AI19, "✓") + COUNTIF(E19:AI19, "✔") + COUNTIF(E19:AI19, "v") + COUNTIF(E19:AI19, "V")) + COUNTIF(E19:AI19, "✗") + COUNTIF(E19:AI19, "x") + COUNTIF(E19:AI19, "X"))&gt;0, (COUNTIF(E19:AI19, "✓") + COUNTIF(E19:AI19, "✔") + COUNTIF(E19:AI19, "v") + COUNTIF(E19:AI19, "V")) &amp; "/" &amp; ((COUNTIF(E19:AI19, "✓") + COUNTIF(E19:AI19, "✔") + COUNTIF(E19:AI19, "v") + COUNTIF(E19:AI19, "V")) + COUNTIF(E19:AI19, "✗") + COUNTIF(E19:AI19, "x") + COUNTIF(E19:AI19, "X")), "")))</f>
        <v/>
      </c>
      <c r="AL19" s="103">
        <f>IF(ISBLANK(B19), "", IF(AJ19&gt;=0.85, "🔥 Mastered", IF(AJ19&gt;=0.7, "⚡ Consistent", "⚠️ Needs Focus")))</f>
        <v/>
      </c>
      <c r="AM19">
        <f>COUNTIF(E19:AI19, "✓")</f>
        <v/>
      </c>
    </row>
    <row r="20" ht="14.5" customHeight="1">
      <c r="A20" s="97" t="n">
        <v>3</v>
      </c>
      <c r="B20" s="98" t="n"/>
      <c r="C20" s="99" t="n"/>
      <c r="D20" s="99" t="n"/>
      <c r="E20" s="100" t="n"/>
      <c r="F20" s="101" t="n"/>
      <c r="G20" s="100" t="n"/>
      <c r="H20" s="100" t="n"/>
      <c r="I20" s="100" t="n"/>
      <c r="J20" s="100" t="n"/>
      <c r="K20" s="100" t="n"/>
      <c r="L20" s="100" t="n"/>
      <c r="M20" s="101" t="n"/>
      <c r="N20" s="100" t="n"/>
      <c r="O20" s="100" t="n"/>
      <c r="P20" s="100" t="n"/>
      <c r="Q20" s="100" t="n"/>
      <c r="R20" s="100" t="n"/>
      <c r="S20" s="100" t="n"/>
      <c r="T20" s="101" t="n"/>
      <c r="U20" s="100" t="n"/>
      <c r="V20" s="100" t="n"/>
      <c r="W20" s="100" t="n"/>
      <c r="X20" s="100" t="n"/>
      <c r="Y20" s="100" t="n"/>
      <c r="Z20" s="100" t="n"/>
      <c r="AA20" s="101" t="n"/>
      <c r="AB20" s="100" t="n"/>
      <c r="AC20" s="100" t="n"/>
      <c r="AD20" s="100" t="n"/>
      <c r="AE20" s="100" t="n"/>
      <c r="AF20" s="100" t="n"/>
      <c r="AG20" s="100" t="n"/>
      <c r="AH20" s="101" t="n"/>
      <c r="AI20" s="100" t="n"/>
      <c r="AJ20" s="102">
        <f>IF(ISBLANK(B20), "", IF(ISNUMBER(D20), IF(D20&gt;0, (COUNTIF(E20:AI20, "✓") + COUNTIF(E20:AI20, "✔") + COUNTIF(E20:AI20, "v") + COUNTIF(E20:AI20, "V"))/D20, 0), IF(((COUNTIF(E20:AI20, "✓") + COUNTIF(E20:AI20, "✔") + COUNTIF(E20:AI20, "v") + COUNTIF(E20:AI20, "V")) + COUNTIF(E20:AI20, "✗") + COUNTIF(E20:AI20, "x") + COUNTIF(E20:AI20, "X"))&gt;0, (COUNTIF(E20:AI20, "✓") + COUNTIF(E20:AI20, "✔") + COUNTIF(E20:AI20, "v") + COUNTIF(E20:AI20, "V"))/((COUNTIF(E20:AI20, "✓") + COUNTIF(E20:AI20, "✔") + COUNTIF(E20:AI20, "v") + COUNTIF(E20:AI20, "V")) + COUNTIF(E20:AI20, "✗") + COUNTIF(E20:AI20, "x") + COUNTIF(E20:AI20, "X")), "")))</f>
        <v/>
      </c>
      <c r="AK20" s="103">
        <f>IF(ISBLANK(B20), "", IF(ISNUMBER(D20), IF(D20&gt;0, (COUNTIF(E20:AI20, "✓") + COUNTIF(E20:AI20, "✔") + COUNTIF(E20:AI20, "v") + COUNTIF(E20:AI20, "V")) &amp; "/" &amp; D20, (COUNTIF(E20:AI20, "✓") + COUNTIF(E20:AI20, "✔") + COUNTIF(E20:AI20, "v") + COUNTIF(E20:AI20, "V")) &amp; "/0"), IF(((COUNTIF(E20:AI20, "✓") + COUNTIF(E20:AI20, "✔") + COUNTIF(E20:AI20, "v") + COUNTIF(E20:AI20, "V")) + COUNTIF(E20:AI20, "✗") + COUNTIF(E20:AI20, "x") + COUNTIF(E20:AI20, "X"))&gt;0, (COUNTIF(E20:AI20, "✓") + COUNTIF(E20:AI20, "✔") + COUNTIF(E20:AI20, "v") + COUNTIF(E20:AI20, "V")) &amp; "/" &amp; ((COUNTIF(E20:AI20, "✓") + COUNTIF(E20:AI20, "✔") + COUNTIF(E20:AI20, "v") + COUNTIF(E20:AI20, "V")) + COUNTIF(E20:AI20, "✗") + COUNTIF(E20:AI20, "x") + COUNTIF(E20:AI20, "X")), "")))</f>
        <v/>
      </c>
      <c r="AL20" s="103">
        <f>IF(ISBLANK(B20), "", IF(AJ20&gt;=0.85, "🔥 Mastered", IF(AJ20&gt;=0.7, "⚡ Consistent", "⚠️ Needs Focus")))</f>
        <v/>
      </c>
      <c r="AM20">
        <f>COUNTIF(E20:AI20, "✓")</f>
        <v/>
      </c>
    </row>
    <row r="21" ht="14.5" customHeight="1">
      <c r="A21" s="97" t="n">
        <v>4</v>
      </c>
      <c r="B21" s="98" t="n"/>
      <c r="C21" s="99" t="n"/>
      <c r="D21" s="99" t="n"/>
      <c r="E21" s="100" t="n"/>
      <c r="F21" s="101" t="n"/>
      <c r="G21" s="100" t="n"/>
      <c r="H21" s="100" t="n"/>
      <c r="I21" s="100" t="n"/>
      <c r="J21" s="100" t="n"/>
      <c r="K21" s="100" t="n"/>
      <c r="L21" s="100" t="n"/>
      <c r="M21" s="101" t="n"/>
      <c r="N21" s="100" t="n"/>
      <c r="O21" s="100" t="n"/>
      <c r="P21" s="100" t="n"/>
      <c r="Q21" s="100" t="n"/>
      <c r="R21" s="100" t="n"/>
      <c r="S21" s="100" t="n"/>
      <c r="T21" s="101" t="n"/>
      <c r="U21" s="100" t="n"/>
      <c r="V21" s="100" t="n"/>
      <c r="W21" s="100" t="n"/>
      <c r="X21" s="100" t="n"/>
      <c r="Y21" s="100" t="n"/>
      <c r="Z21" s="100" t="n"/>
      <c r="AA21" s="101" t="n"/>
      <c r="AB21" s="100" t="n"/>
      <c r="AC21" s="100" t="n"/>
      <c r="AD21" s="100" t="n"/>
      <c r="AE21" s="100" t="n"/>
      <c r="AF21" s="100" t="n"/>
      <c r="AG21" s="100" t="n"/>
      <c r="AH21" s="101" t="n"/>
      <c r="AI21" s="100" t="n"/>
      <c r="AJ21" s="102">
        <f>IF(ISBLANK(B21), "", IF(ISNUMBER(D21), IF(D21&gt;0, (COUNTIF(E21:AI21, "✓") + COUNTIF(E21:AI21, "✔") + COUNTIF(E21:AI21, "v") + COUNTIF(E21:AI21, "V"))/D21, 0), IF(((COUNTIF(E21:AI21, "✓") + COUNTIF(E21:AI21, "✔") + COUNTIF(E21:AI21, "v") + COUNTIF(E21:AI21, "V")) + COUNTIF(E21:AI21, "✗") + COUNTIF(E21:AI21, "x") + COUNTIF(E21:AI21, "X"))&gt;0, (COUNTIF(E21:AI21, "✓") + COUNTIF(E21:AI21, "✔") + COUNTIF(E21:AI21, "v") + COUNTIF(E21:AI21, "V"))/((COUNTIF(E21:AI21, "✓") + COUNTIF(E21:AI21, "✔") + COUNTIF(E21:AI21, "v") + COUNTIF(E21:AI21, "V")) + COUNTIF(E21:AI21, "✗") + COUNTIF(E21:AI21, "x") + COUNTIF(E21:AI21, "X")), "")))</f>
        <v/>
      </c>
      <c r="AK21" s="103">
        <f>IF(ISBLANK(B21), "", IF(ISNUMBER(D21), IF(D21&gt;0, (COUNTIF(E21:AI21, "✓") + COUNTIF(E21:AI21, "✔") + COUNTIF(E21:AI21, "v") + COUNTIF(E21:AI21, "V")) &amp; "/" &amp; D21, (COUNTIF(E21:AI21, "✓") + COUNTIF(E21:AI21, "✔") + COUNTIF(E21:AI21, "v") + COUNTIF(E21:AI21, "V")) &amp; "/0"), IF(((COUNTIF(E21:AI21, "✓") + COUNTIF(E21:AI21, "✔") + COUNTIF(E21:AI21, "v") + COUNTIF(E21:AI21, "V")) + COUNTIF(E21:AI21, "✗") + COUNTIF(E21:AI21, "x") + COUNTIF(E21:AI21, "X"))&gt;0, (COUNTIF(E21:AI21, "✓") + COUNTIF(E21:AI21, "✔") + COUNTIF(E21:AI21, "v") + COUNTIF(E21:AI21, "V")) &amp; "/" &amp; ((COUNTIF(E21:AI21, "✓") + COUNTIF(E21:AI21, "✔") + COUNTIF(E21:AI21, "v") + COUNTIF(E21:AI21, "V")) + COUNTIF(E21:AI21, "✗") + COUNTIF(E21:AI21, "x") + COUNTIF(E21:AI21, "X")), "")))</f>
        <v/>
      </c>
      <c r="AL21" s="103">
        <f>IF(ISBLANK(B21), "", IF(AJ21&gt;=0.85, "🔥 Mastered", IF(AJ21&gt;=0.7, "⚡ Consistent", "⚠️ Needs Focus")))</f>
        <v/>
      </c>
      <c r="AM21">
        <f>COUNTIF(E21:AI21, "✓")</f>
        <v/>
      </c>
    </row>
    <row r="22" ht="14.5" customHeight="1">
      <c r="A22" s="104" t="n">
        <v>5</v>
      </c>
      <c r="B22" s="105" t="n"/>
      <c r="C22" s="106" t="n"/>
      <c r="D22" s="106" t="n"/>
      <c r="E22" s="107" t="n"/>
      <c r="F22" s="108" t="n"/>
      <c r="G22" s="107" t="n"/>
      <c r="H22" s="107" t="n"/>
      <c r="I22" s="107" t="n"/>
      <c r="J22" s="107" t="n"/>
      <c r="K22" s="107" t="n"/>
      <c r="L22" s="107" t="n"/>
      <c r="M22" s="108" t="n"/>
      <c r="N22" s="107" t="n"/>
      <c r="O22" s="107" t="n"/>
      <c r="P22" s="107" t="n"/>
      <c r="Q22" s="107" t="n"/>
      <c r="R22" s="107" t="n"/>
      <c r="S22" s="107" t="n"/>
      <c r="T22" s="108" t="n"/>
      <c r="U22" s="107" t="n"/>
      <c r="V22" s="107" t="n"/>
      <c r="W22" s="107" t="n"/>
      <c r="X22" s="107" t="n"/>
      <c r="Y22" s="107" t="n"/>
      <c r="Z22" s="107" t="n"/>
      <c r="AA22" s="108" t="n"/>
      <c r="AB22" s="107" t="n"/>
      <c r="AC22" s="107" t="n"/>
      <c r="AD22" s="107" t="n"/>
      <c r="AE22" s="107" t="n"/>
      <c r="AF22" s="107" t="n"/>
      <c r="AG22" s="107" t="n"/>
      <c r="AH22" s="108" t="n"/>
      <c r="AI22" s="107" t="n"/>
      <c r="AJ22" s="109">
        <f>IF(ISBLANK(B22), "", IF(ISNUMBER(D22), IF(D22&gt;0, (COUNTIF(E22:AI22, "✓") + COUNTIF(E22:AI22, "✔") + COUNTIF(E22:AI22, "v") + COUNTIF(E22:AI22, "V"))/D22, 0), IF(((COUNTIF(E22:AI22, "✓") + COUNTIF(E22:AI22, "✔") + COUNTIF(E22:AI22, "v") + COUNTIF(E22:AI22, "V")) + COUNTIF(E22:AI22, "✗") + COUNTIF(E22:AI22, "x") + COUNTIF(E22:AI22, "X"))&gt;0, (COUNTIF(E22:AI22, "✓") + COUNTIF(E22:AI22, "✔") + COUNTIF(E22:AI22, "v") + COUNTIF(E22:AI22, "V"))/((COUNTIF(E22:AI22, "✓") + COUNTIF(E22:AI22, "✔") + COUNTIF(E22:AI22, "v") + COUNTIF(E22:AI22, "V")) + COUNTIF(E22:AI22, "✗") + COUNTIF(E22:AI22, "x") + COUNTIF(E22:AI22, "X")), "")))</f>
        <v/>
      </c>
      <c r="AK22" s="110">
        <f>IF(ISBLANK(B22), "", IF(ISNUMBER(D22), IF(D22&gt;0, (COUNTIF(E22:AI22, "✓") + COUNTIF(E22:AI22, "✔") + COUNTIF(E22:AI22, "v") + COUNTIF(E22:AI22, "V")) &amp; "/" &amp; D22, (COUNTIF(E22:AI22, "✓") + COUNTIF(E22:AI22, "✔") + COUNTIF(E22:AI22, "v") + COUNTIF(E22:AI22, "V")) &amp; "/0"), IF(((COUNTIF(E22:AI22, "✓") + COUNTIF(E22:AI22, "✔") + COUNTIF(E22:AI22, "v") + COUNTIF(E22:AI22, "V")) + COUNTIF(E22:AI22, "✗") + COUNTIF(E22:AI22, "x") + COUNTIF(E22:AI22, "X"))&gt;0, (COUNTIF(E22:AI22, "✓") + COUNTIF(E22:AI22, "✔") + COUNTIF(E22:AI22, "v") + COUNTIF(E22:AI22, "V")) &amp; "/" &amp; ((COUNTIF(E22:AI22, "✓") + COUNTIF(E22:AI22, "✔") + COUNTIF(E22:AI22, "v") + COUNTIF(E22:AI22, "V")) + COUNTIF(E22:AI22, "✗") + COUNTIF(E22:AI22, "x") + COUNTIF(E22:AI22, "X")), "")))</f>
        <v/>
      </c>
      <c r="AL22" s="110">
        <f>IF(ISBLANK(B22), "", IF(AJ22&gt;=0.85, "🔥 Mastered", IF(AJ22&gt;=0.7, "⚡ Consistent", "⚠️ Needs Focus")))</f>
        <v/>
      </c>
      <c r="AM22">
        <f>COUNTIF(E22:AI22, "✓")</f>
        <v/>
      </c>
    </row>
    <row r="23" ht="14.5" customHeight="1">
      <c r="A23" s="104" t="n">
        <v>6</v>
      </c>
      <c r="B23" s="105" t="n"/>
      <c r="C23" s="106" t="n"/>
      <c r="D23" s="106" t="n"/>
      <c r="E23" s="107" t="n"/>
      <c r="F23" s="108" t="n"/>
      <c r="G23" s="107" t="n"/>
      <c r="H23" s="107" t="n"/>
      <c r="I23" s="107" t="n"/>
      <c r="J23" s="107" t="n"/>
      <c r="K23" s="107" t="n"/>
      <c r="L23" s="107" t="n"/>
      <c r="M23" s="108" t="n"/>
      <c r="N23" s="107" t="n"/>
      <c r="O23" s="107" t="n"/>
      <c r="P23" s="107" t="n"/>
      <c r="Q23" s="107" t="n"/>
      <c r="R23" s="107" t="n"/>
      <c r="S23" s="107" t="n"/>
      <c r="T23" s="108" t="n"/>
      <c r="U23" s="107" t="n"/>
      <c r="V23" s="107" t="n"/>
      <c r="W23" s="107" t="n"/>
      <c r="X23" s="107" t="n"/>
      <c r="Y23" s="107" t="n"/>
      <c r="Z23" s="107" t="n"/>
      <c r="AA23" s="108" t="n"/>
      <c r="AB23" s="107" t="n"/>
      <c r="AC23" s="107" t="n"/>
      <c r="AD23" s="107" t="n"/>
      <c r="AE23" s="107" t="n"/>
      <c r="AF23" s="107" t="n"/>
      <c r="AG23" s="107" t="n"/>
      <c r="AH23" s="108" t="n"/>
      <c r="AI23" s="107" t="n"/>
      <c r="AJ23" s="109">
        <f>IF(ISBLANK(B23), "", IF(ISNUMBER(D23), IF(D23&gt;0, (COUNTIF(E23:AI23, "✓") + COUNTIF(E23:AI23, "✔") + COUNTIF(E23:AI23, "v") + COUNTIF(E23:AI23, "V"))/D23, 0), IF(((COUNTIF(E23:AI23, "✓") + COUNTIF(E23:AI23, "✔") + COUNTIF(E23:AI23, "v") + COUNTIF(E23:AI23, "V")) + COUNTIF(E23:AI23, "✗") + COUNTIF(E23:AI23, "x") + COUNTIF(E23:AI23, "X"))&gt;0, (COUNTIF(E23:AI23, "✓") + COUNTIF(E23:AI23, "✔") + COUNTIF(E23:AI23, "v") + COUNTIF(E23:AI23, "V"))/((COUNTIF(E23:AI23, "✓") + COUNTIF(E23:AI23, "✔") + COUNTIF(E23:AI23, "v") + COUNTIF(E23:AI23, "V")) + COUNTIF(E23:AI23, "✗") + COUNTIF(E23:AI23, "x") + COUNTIF(E23:AI23, "X")), "")))</f>
        <v/>
      </c>
      <c r="AK23" s="110">
        <f>IF(ISBLANK(B23), "", IF(ISNUMBER(D23), IF(D23&gt;0, (COUNTIF(E23:AI23, "✓") + COUNTIF(E23:AI23, "✔") + COUNTIF(E23:AI23, "v") + COUNTIF(E23:AI23, "V")) &amp; "/" &amp; D23, (COUNTIF(E23:AI23, "✓") + COUNTIF(E23:AI23, "✔") + COUNTIF(E23:AI23, "v") + COUNTIF(E23:AI23, "V")) &amp; "/0"), IF(((COUNTIF(E23:AI23, "✓") + COUNTIF(E23:AI23, "✔") + COUNTIF(E23:AI23, "v") + COUNTIF(E23:AI23, "V")) + COUNTIF(E23:AI23, "✗") + COUNTIF(E23:AI23, "x") + COUNTIF(E23:AI23, "X"))&gt;0, (COUNTIF(E23:AI23, "✓") + COUNTIF(E23:AI23, "✔") + COUNTIF(E23:AI23, "v") + COUNTIF(E23:AI23, "V")) &amp; "/" &amp; ((COUNTIF(E23:AI23, "✓") + COUNTIF(E23:AI23, "✔") + COUNTIF(E23:AI23, "v") + COUNTIF(E23:AI23, "V")) + COUNTIF(E23:AI23, "✗") + COUNTIF(E23:AI23, "x") + COUNTIF(E23:AI23, "X")), "")))</f>
        <v/>
      </c>
      <c r="AL23" s="110">
        <f>IF(ISBLANK(B23), "", IF(AJ23&gt;=0.85, "🔥 Mastered", IF(AJ23&gt;=0.7, "⚡ Consistent", "⚠️ Needs Focus")))</f>
        <v/>
      </c>
      <c r="AM23">
        <f>COUNTIF(E23:AI23, "✓")</f>
        <v/>
      </c>
    </row>
    <row r="24" ht="14.5" customHeight="1">
      <c r="A24" s="104" t="n">
        <v>7</v>
      </c>
      <c r="B24" s="105" t="n"/>
      <c r="C24" s="106" t="n"/>
      <c r="D24" s="106" t="n"/>
      <c r="E24" s="107" t="n"/>
      <c r="F24" s="108" t="n"/>
      <c r="G24" s="107" t="n"/>
      <c r="H24" s="107" t="n"/>
      <c r="I24" s="107" t="n"/>
      <c r="J24" s="107" t="n"/>
      <c r="K24" s="107" t="n"/>
      <c r="L24" s="107" t="n"/>
      <c r="M24" s="108" t="n"/>
      <c r="N24" s="107" t="n"/>
      <c r="O24" s="107" t="n"/>
      <c r="P24" s="107" t="n"/>
      <c r="Q24" s="107" t="n"/>
      <c r="R24" s="107" t="n"/>
      <c r="S24" s="107" t="n"/>
      <c r="T24" s="108" t="n"/>
      <c r="U24" s="107" t="n"/>
      <c r="V24" s="107" t="n"/>
      <c r="W24" s="107" t="n"/>
      <c r="X24" s="107" t="n"/>
      <c r="Y24" s="107" t="n"/>
      <c r="Z24" s="107" t="n"/>
      <c r="AA24" s="108" t="n"/>
      <c r="AB24" s="107" t="n"/>
      <c r="AC24" s="107" t="n"/>
      <c r="AD24" s="107" t="n"/>
      <c r="AE24" s="107" t="n"/>
      <c r="AF24" s="107" t="n"/>
      <c r="AG24" s="107" t="n"/>
      <c r="AH24" s="108" t="n"/>
      <c r="AI24" s="107" t="n"/>
      <c r="AJ24" s="109">
        <f>IF(ISBLANK(B24), "", IF(ISNUMBER(D24), IF(D24&gt;0, (COUNTIF(E24:AI24, "✓") + COUNTIF(E24:AI24, "✔") + COUNTIF(E24:AI24, "v") + COUNTIF(E24:AI24, "V"))/D24, 0), IF(((COUNTIF(E24:AI24, "✓") + COUNTIF(E24:AI24, "✔") + COUNTIF(E24:AI24, "v") + COUNTIF(E24:AI24, "V")) + COUNTIF(E24:AI24, "✗") + COUNTIF(E24:AI24, "x") + COUNTIF(E24:AI24, "X"))&gt;0, (COUNTIF(E24:AI24, "✓") + COUNTIF(E24:AI24, "✔") + COUNTIF(E24:AI24, "v") + COUNTIF(E24:AI24, "V"))/((COUNTIF(E24:AI24, "✓") + COUNTIF(E24:AI24, "✔") + COUNTIF(E24:AI24, "v") + COUNTIF(E24:AI24, "V")) + COUNTIF(E24:AI24, "✗") + COUNTIF(E24:AI24, "x") + COUNTIF(E24:AI24, "X")), "")))</f>
        <v/>
      </c>
      <c r="AK24" s="110">
        <f>IF(ISBLANK(B24), "", IF(ISNUMBER(D24), IF(D24&gt;0, (COUNTIF(E24:AI24, "✓") + COUNTIF(E24:AI24, "✔") + COUNTIF(E24:AI24, "v") + COUNTIF(E24:AI24, "V")) &amp; "/" &amp; D24, (COUNTIF(E24:AI24, "✓") + COUNTIF(E24:AI24, "✔") + COUNTIF(E24:AI24, "v") + COUNTIF(E24:AI24, "V")) &amp; "/0"), IF(((COUNTIF(E24:AI24, "✓") + COUNTIF(E24:AI24, "✔") + COUNTIF(E24:AI24, "v") + COUNTIF(E24:AI24, "V")) + COUNTIF(E24:AI24, "✗") + COUNTIF(E24:AI24, "x") + COUNTIF(E24:AI24, "X"))&gt;0, (COUNTIF(E24:AI24, "✓") + COUNTIF(E24:AI24, "✔") + COUNTIF(E24:AI24, "v") + COUNTIF(E24:AI24, "V")) &amp; "/" &amp; ((COUNTIF(E24:AI24, "✓") + COUNTIF(E24:AI24, "✔") + COUNTIF(E24:AI24, "v") + COUNTIF(E24:AI24, "V")) + COUNTIF(E24:AI24, "✗") + COUNTIF(E24:AI24, "x") + COUNTIF(E24:AI24, "X")), "")))</f>
        <v/>
      </c>
      <c r="AL24" s="110">
        <f>IF(ISBLANK(B24), "", IF(AJ24&gt;=0.85, "🔥 Mastered", IF(AJ24&gt;=0.7, "⚡ Consistent", "⚠️ Needs Focus")))</f>
        <v/>
      </c>
      <c r="AM24">
        <f>COUNTIF(E24:AI24, "✓")</f>
        <v/>
      </c>
    </row>
    <row r="25" ht="14.5" customHeight="1">
      <c r="A25" s="104" t="n">
        <v>8</v>
      </c>
      <c r="B25" s="105" t="n"/>
      <c r="C25" s="106" t="n"/>
      <c r="D25" s="106" t="n"/>
      <c r="E25" s="107" t="n"/>
      <c r="F25" s="108" t="n"/>
      <c r="G25" s="107" t="n"/>
      <c r="H25" s="107" t="n"/>
      <c r="I25" s="107" t="n"/>
      <c r="J25" s="107" t="n"/>
      <c r="K25" s="107" t="n"/>
      <c r="L25" s="107" t="n"/>
      <c r="M25" s="108" t="n"/>
      <c r="N25" s="107" t="n"/>
      <c r="O25" s="107" t="n"/>
      <c r="P25" s="107" t="n"/>
      <c r="Q25" s="107" t="n"/>
      <c r="R25" s="107" t="n"/>
      <c r="S25" s="107" t="n"/>
      <c r="T25" s="108" t="n"/>
      <c r="U25" s="107" t="n"/>
      <c r="V25" s="107" t="n"/>
      <c r="W25" s="107" t="n"/>
      <c r="X25" s="107" t="n"/>
      <c r="Y25" s="107" t="n"/>
      <c r="Z25" s="107" t="n"/>
      <c r="AA25" s="108" t="n"/>
      <c r="AB25" s="107" t="n"/>
      <c r="AC25" s="107" t="n"/>
      <c r="AD25" s="107" t="n"/>
      <c r="AE25" s="107" t="n"/>
      <c r="AF25" s="107" t="n"/>
      <c r="AG25" s="107" t="n"/>
      <c r="AH25" s="108" t="n"/>
      <c r="AI25" s="107" t="n"/>
      <c r="AJ25" s="109">
        <f>IF(ISBLANK(B25), "", IF(ISNUMBER(D25), IF(D25&gt;0, (COUNTIF(E25:AI25, "✓") + COUNTIF(E25:AI25, "✔") + COUNTIF(E25:AI25, "v") + COUNTIF(E25:AI25, "V"))/D25, 0), IF(((COUNTIF(E25:AI25, "✓") + COUNTIF(E25:AI25, "✔") + COUNTIF(E25:AI25, "v") + COUNTIF(E25:AI25, "V")) + COUNTIF(E25:AI25, "✗") + COUNTIF(E25:AI25, "x") + COUNTIF(E25:AI25, "X"))&gt;0, (COUNTIF(E25:AI25, "✓") + COUNTIF(E25:AI25, "✔") + COUNTIF(E25:AI25, "v") + COUNTIF(E25:AI25, "V"))/((COUNTIF(E25:AI25, "✓") + COUNTIF(E25:AI25, "✔") + COUNTIF(E25:AI25, "v") + COUNTIF(E25:AI25, "V")) + COUNTIF(E25:AI25, "✗") + COUNTIF(E25:AI25, "x") + COUNTIF(E25:AI25, "X")), "")))</f>
        <v/>
      </c>
      <c r="AK25" s="110">
        <f>IF(ISBLANK(B25), "", IF(ISNUMBER(D25), IF(D25&gt;0, (COUNTIF(E25:AI25, "✓") + COUNTIF(E25:AI25, "✔") + COUNTIF(E25:AI25, "v") + COUNTIF(E25:AI25, "V")) &amp; "/" &amp; D25, (COUNTIF(E25:AI25, "✓") + COUNTIF(E25:AI25, "✔") + COUNTIF(E25:AI25, "v") + COUNTIF(E25:AI25, "V")) &amp; "/0"), IF(((COUNTIF(E25:AI25, "✓") + COUNTIF(E25:AI25, "✔") + COUNTIF(E25:AI25, "v") + COUNTIF(E25:AI25, "V")) + COUNTIF(E25:AI25, "✗") + COUNTIF(E25:AI25, "x") + COUNTIF(E25:AI25, "X"))&gt;0, (COUNTIF(E25:AI25, "✓") + COUNTIF(E25:AI25, "✔") + COUNTIF(E25:AI25, "v") + COUNTIF(E25:AI25, "V")) &amp; "/" &amp; ((COUNTIF(E25:AI25, "✓") + COUNTIF(E25:AI25, "✔") + COUNTIF(E25:AI25, "v") + COUNTIF(E25:AI25, "V")) + COUNTIF(E25:AI25, "✗") + COUNTIF(E25:AI25, "x") + COUNTIF(E25:AI25, "X")), "")))</f>
        <v/>
      </c>
      <c r="AL25" s="110">
        <f>IF(ISBLANK(B25), "", IF(AJ25&gt;=0.85, "🔥 Mastered", IF(AJ25&gt;=0.7, "⚡ Consistent", "⚠️ Needs Focus")))</f>
        <v/>
      </c>
      <c r="AM25">
        <f>COUNTIF(E25:AI25, "✓")</f>
        <v/>
      </c>
    </row>
    <row r="26" ht="14.5" customHeight="1">
      <c r="A26" s="111" t="n">
        <v>9</v>
      </c>
      <c r="B26" s="112" t="n"/>
      <c r="C26" s="113" t="n"/>
      <c r="D26" s="113" t="n"/>
      <c r="E26" s="114" t="n"/>
      <c r="F26" s="115" t="n"/>
      <c r="G26" s="114" t="n"/>
      <c r="H26" s="114" t="n"/>
      <c r="I26" s="114" t="n"/>
      <c r="J26" s="114" t="n"/>
      <c r="K26" s="114" t="n"/>
      <c r="L26" s="114" t="n"/>
      <c r="M26" s="115" t="n"/>
      <c r="N26" s="114" t="n"/>
      <c r="O26" s="114" t="n"/>
      <c r="P26" s="114" t="n"/>
      <c r="Q26" s="114" t="n"/>
      <c r="R26" s="114" t="n"/>
      <c r="S26" s="114" t="n"/>
      <c r="T26" s="115" t="n"/>
      <c r="U26" s="114" t="n"/>
      <c r="V26" s="114" t="n"/>
      <c r="W26" s="114" t="n"/>
      <c r="X26" s="114" t="n"/>
      <c r="Y26" s="114" t="n"/>
      <c r="Z26" s="114" t="n"/>
      <c r="AA26" s="115" t="n"/>
      <c r="AB26" s="114" t="n"/>
      <c r="AC26" s="114" t="n"/>
      <c r="AD26" s="114" t="n"/>
      <c r="AE26" s="114" t="n"/>
      <c r="AF26" s="114" t="n"/>
      <c r="AG26" s="114" t="n"/>
      <c r="AH26" s="115" t="n"/>
      <c r="AI26" s="114" t="n"/>
      <c r="AJ26" s="116">
        <f>IF(ISBLANK(B26), "", IF(ISNUMBER(D26), IF(D26&gt;0, (COUNTIF(E26:AI26, "✓") + COUNTIF(E26:AI26, "✔") + COUNTIF(E26:AI26, "v") + COUNTIF(E26:AI26, "V"))/D26, 0), IF(((COUNTIF(E26:AI26, "✓") + COUNTIF(E26:AI26, "✔") + COUNTIF(E26:AI26, "v") + COUNTIF(E26:AI26, "V")) + COUNTIF(E26:AI26, "✗") + COUNTIF(E26:AI26, "x") + COUNTIF(E26:AI26, "X"))&gt;0, (COUNTIF(E26:AI26, "✓") + COUNTIF(E26:AI26, "✔") + COUNTIF(E26:AI26, "v") + COUNTIF(E26:AI26, "V"))/((COUNTIF(E26:AI26, "✓") + COUNTIF(E26:AI26, "✔") + COUNTIF(E26:AI26, "v") + COUNTIF(E26:AI26, "V")) + COUNTIF(E26:AI26, "✗") + COUNTIF(E26:AI26, "x") + COUNTIF(E26:AI26, "X")), "")))</f>
        <v/>
      </c>
      <c r="AK26" s="117">
        <f>IF(ISBLANK(B26), "", IF(ISNUMBER(D26), IF(D26&gt;0, (COUNTIF(E26:AI26, "✓") + COUNTIF(E26:AI26, "✔") + COUNTIF(E26:AI26, "v") + COUNTIF(E26:AI26, "V")) &amp; "/" &amp; D26, (COUNTIF(E26:AI26, "✓") + COUNTIF(E26:AI26, "✔") + COUNTIF(E26:AI26, "v") + COUNTIF(E26:AI26, "V")) &amp; "/0"), IF(((COUNTIF(E26:AI26, "✓") + COUNTIF(E26:AI26, "✔") + COUNTIF(E26:AI26, "v") + COUNTIF(E26:AI26, "V")) + COUNTIF(E26:AI26, "✗") + COUNTIF(E26:AI26, "x") + COUNTIF(E26:AI26, "X"))&gt;0, (COUNTIF(E26:AI26, "✓") + COUNTIF(E26:AI26, "✔") + COUNTIF(E26:AI26, "v") + COUNTIF(E26:AI26, "V")) &amp; "/" &amp; ((COUNTIF(E26:AI26, "✓") + COUNTIF(E26:AI26, "✔") + COUNTIF(E26:AI26, "v") + COUNTIF(E26:AI26, "V")) + COUNTIF(E26:AI26, "✗") + COUNTIF(E26:AI26, "x") + COUNTIF(E26:AI26, "X")), "")))</f>
        <v/>
      </c>
      <c r="AL26" s="117">
        <f>IF(ISBLANK(B26), "", IF(AJ26&gt;=0.85, "🔥 Mastered", IF(AJ26&gt;=0.7, "⚡ Consistent", "⚠️ Needs Focus")))</f>
        <v/>
      </c>
      <c r="AM26">
        <f>COUNTIF(E26:AI26, "✓")</f>
        <v/>
      </c>
    </row>
    <row r="27" ht="14.5" customHeight="1">
      <c r="A27" s="111" t="n">
        <v>10</v>
      </c>
      <c r="B27" s="112" t="n"/>
      <c r="C27" s="113" t="n"/>
      <c r="D27" s="113" t="n"/>
      <c r="E27" s="114" t="n"/>
      <c r="F27" s="115" t="n"/>
      <c r="G27" s="114" t="n"/>
      <c r="H27" s="114" t="n"/>
      <c r="I27" s="114" t="n"/>
      <c r="J27" s="114" t="n"/>
      <c r="K27" s="114" t="n"/>
      <c r="L27" s="114" t="n"/>
      <c r="M27" s="115" t="n"/>
      <c r="N27" s="114" t="n"/>
      <c r="O27" s="114" t="n"/>
      <c r="P27" s="114" t="n"/>
      <c r="Q27" s="114" t="n"/>
      <c r="R27" s="114" t="n"/>
      <c r="S27" s="114" t="n"/>
      <c r="T27" s="115" t="n"/>
      <c r="U27" s="114" t="n"/>
      <c r="V27" s="114" t="n"/>
      <c r="W27" s="114" t="n"/>
      <c r="X27" s="114" t="n"/>
      <c r="Y27" s="114" t="n"/>
      <c r="Z27" s="114" t="n"/>
      <c r="AA27" s="115" t="n"/>
      <c r="AB27" s="114" t="n"/>
      <c r="AC27" s="114" t="n"/>
      <c r="AD27" s="114" t="n"/>
      <c r="AE27" s="114" t="n"/>
      <c r="AF27" s="114" t="n"/>
      <c r="AG27" s="114" t="n"/>
      <c r="AH27" s="115" t="n"/>
      <c r="AI27" s="114" t="n"/>
      <c r="AJ27" s="116">
        <f>IF(ISBLANK(B27), "", IF(ISNUMBER(D27), IF(D27&gt;0, (COUNTIF(E27:AI27, "✓") + COUNTIF(E27:AI27, "✔") + COUNTIF(E27:AI27, "v") + COUNTIF(E27:AI27, "V"))/D27, 0), IF(((COUNTIF(E27:AI27, "✓") + COUNTIF(E27:AI27, "✔") + COUNTIF(E27:AI27, "v") + COUNTIF(E27:AI27, "V")) + COUNTIF(E27:AI27, "✗") + COUNTIF(E27:AI27, "x") + COUNTIF(E27:AI27, "X"))&gt;0, (COUNTIF(E27:AI27, "✓") + COUNTIF(E27:AI27, "✔") + COUNTIF(E27:AI27, "v") + COUNTIF(E27:AI27, "V"))/((COUNTIF(E27:AI27, "✓") + COUNTIF(E27:AI27, "✔") + COUNTIF(E27:AI27, "v") + COUNTIF(E27:AI27, "V")) + COUNTIF(E27:AI27, "✗") + COUNTIF(E27:AI27, "x") + COUNTIF(E27:AI27, "X")), "")))</f>
        <v/>
      </c>
      <c r="AK27" s="117">
        <f>IF(ISBLANK(B27), "", IF(ISNUMBER(D27), IF(D27&gt;0, (COUNTIF(E27:AI27, "✓") + COUNTIF(E27:AI27, "✔") + COUNTIF(E27:AI27, "v") + COUNTIF(E27:AI27, "V")) &amp; "/" &amp; D27, (COUNTIF(E27:AI27, "✓") + COUNTIF(E27:AI27, "✔") + COUNTIF(E27:AI27, "v") + COUNTIF(E27:AI27, "V")) &amp; "/0"), IF(((COUNTIF(E27:AI27, "✓") + COUNTIF(E27:AI27, "✔") + COUNTIF(E27:AI27, "v") + COUNTIF(E27:AI27, "V")) + COUNTIF(E27:AI27, "✗") + COUNTIF(E27:AI27, "x") + COUNTIF(E27:AI27, "X"))&gt;0, (COUNTIF(E27:AI27, "✓") + COUNTIF(E27:AI27, "✔") + COUNTIF(E27:AI27, "v") + COUNTIF(E27:AI27, "V")) &amp; "/" &amp; ((COUNTIF(E27:AI27, "✓") + COUNTIF(E27:AI27, "✔") + COUNTIF(E27:AI27, "v") + COUNTIF(E27:AI27, "V")) + COUNTIF(E27:AI27, "✗") + COUNTIF(E27:AI27, "x") + COUNTIF(E27:AI27, "X")), "")))</f>
        <v/>
      </c>
      <c r="AL27" s="117">
        <f>IF(ISBLANK(B27), "", IF(AJ27&gt;=0.85, "🔥 Mastered", IF(AJ27&gt;=0.7, "⚡ Consistent", "⚠️ Needs Focus")))</f>
        <v/>
      </c>
      <c r="AM27">
        <f>COUNTIF(E27:AI27, "✓")</f>
        <v/>
      </c>
    </row>
    <row r="28" ht="14.5" customHeight="1">
      <c r="A28" s="111" t="n">
        <v>11</v>
      </c>
      <c r="B28" s="112" t="n"/>
      <c r="C28" s="113" t="n"/>
      <c r="D28" s="113" t="n"/>
      <c r="E28" s="114" t="n"/>
      <c r="F28" s="115" t="n"/>
      <c r="G28" s="114" t="n"/>
      <c r="H28" s="114" t="n"/>
      <c r="I28" s="114" t="n"/>
      <c r="J28" s="114" t="n"/>
      <c r="K28" s="114" t="n"/>
      <c r="L28" s="114" t="n"/>
      <c r="M28" s="115" t="n"/>
      <c r="N28" s="114" t="n"/>
      <c r="O28" s="114" t="n"/>
      <c r="P28" s="114" t="n"/>
      <c r="Q28" s="114" t="n"/>
      <c r="R28" s="114" t="n"/>
      <c r="S28" s="114" t="n"/>
      <c r="T28" s="115" t="n"/>
      <c r="U28" s="114" t="n"/>
      <c r="V28" s="114" t="n"/>
      <c r="W28" s="114" t="n"/>
      <c r="X28" s="114" t="n"/>
      <c r="Y28" s="114" t="n"/>
      <c r="Z28" s="114" t="n"/>
      <c r="AA28" s="115" t="n"/>
      <c r="AB28" s="114" t="n"/>
      <c r="AC28" s="114" t="n"/>
      <c r="AD28" s="114" t="n"/>
      <c r="AE28" s="114" t="n"/>
      <c r="AF28" s="114" t="n"/>
      <c r="AG28" s="114" t="n"/>
      <c r="AH28" s="115" t="n"/>
      <c r="AI28" s="114" t="n"/>
      <c r="AJ28" s="116">
        <f>IF(ISBLANK(B28), "", IF(ISNUMBER(D28), IF(D28&gt;0, (COUNTIF(E28:AI28, "✓") + COUNTIF(E28:AI28, "✔") + COUNTIF(E28:AI28, "v") + COUNTIF(E28:AI28, "V"))/D28, 0), IF(((COUNTIF(E28:AI28, "✓") + COUNTIF(E28:AI28, "✔") + COUNTIF(E28:AI28, "v") + COUNTIF(E28:AI28, "V")) + COUNTIF(E28:AI28, "✗") + COUNTIF(E28:AI28, "x") + COUNTIF(E28:AI28, "X"))&gt;0, (COUNTIF(E28:AI28, "✓") + COUNTIF(E28:AI28, "✔") + COUNTIF(E28:AI28, "v") + COUNTIF(E28:AI28, "V"))/((COUNTIF(E28:AI28, "✓") + COUNTIF(E28:AI28, "✔") + COUNTIF(E28:AI28, "v") + COUNTIF(E28:AI28, "V")) + COUNTIF(E28:AI28, "✗") + COUNTIF(E28:AI28, "x") + COUNTIF(E28:AI28, "X")), "")))</f>
        <v/>
      </c>
      <c r="AK28" s="117">
        <f>IF(ISBLANK(B28), "", IF(ISNUMBER(D28), IF(D28&gt;0, (COUNTIF(E28:AI28, "✓") + COUNTIF(E28:AI28, "✔") + COUNTIF(E28:AI28, "v") + COUNTIF(E28:AI28, "V")) &amp; "/" &amp; D28, (COUNTIF(E28:AI28, "✓") + COUNTIF(E28:AI28, "✔") + COUNTIF(E28:AI28, "v") + COUNTIF(E28:AI28, "V")) &amp; "/0"), IF(((COUNTIF(E28:AI28, "✓") + COUNTIF(E28:AI28, "✔") + COUNTIF(E28:AI28, "v") + COUNTIF(E28:AI28, "V")) + COUNTIF(E28:AI28, "✗") + COUNTIF(E28:AI28, "x") + COUNTIF(E28:AI28, "X"))&gt;0, (COUNTIF(E28:AI28, "✓") + COUNTIF(E28:AI28, "✔") + COUNTIF(E28:AI28, "v") + COUNTIF(E28:AI28, "V")) &amp; "/" &amp; ((COUNTIF(E28:AI28, "✓") + COUNTIF(E28:AI28, "✔") + COUNTIF(E28:AI28, "v") + COUNTIF(E28:AI28, "V")) + COUNTIF(E28:AI28, "✗") + COUNTIF(E28:AI28, "x") + COUNTIF(E28:AI28, "X")), "")))</f>
        <v/>
      </c>
      <c r="AL28" s="117">
        <f>IF(ISBLANK(B28), "", IF(AJ28&gt;=0.85, "🔥 Mastered", IF(AJ28&gt;=0.7, "⚡ Consistent", "⚠️ Needs Focus")))</f>
        <v/>
      </c>
      <c r="AM28">
        <f>COUNTIF(E28:AI28, "✓")</f>
        <v/>
      </c>
    </row>
    <row r="29" ht="14.5" customHeight="1">
      <c r="A29" s="111" t="n">
        <v>12</v>
      </c>
      <c r="B29" s="112" t="n"/>
      <c r="C29" s="113" t="n"/>
      <c r="D29" s="113" t="n"/>
      <c r="E29" s="114" t="n"/>
      <c r="F29" s="115" t="n"/>
      <c r="G29" s="114" t="n"/>
      <c r="H29" s="114" t="n"/>
      <c r="I29" s="114" t="n"/>
      <c r="J29" s="114" t="n"/>
      <c r="K29" s="114" t="n"/>
      <c r="L29" s="114" t="n"/>
      <c r="M29" s="115" t="n"/>
      <c r="N29" s="114" t="n"/>
      <c r="O29" s="114" t="n"/>
      <c r="P29" s="114" t="n"/>
      <c r="Q29" s="114" t="n"/>
      <c r="R29" s="114" t="n"/>
      <c r="S29" s="114" t="n"/>
      <c r="T29" s="115" t="n"/>
      <c r="U29" s="114" t="n"/>
      <c r="V29" s="114" t="n"/>
      <c r="W29" s="114" t="n"/>
      <c r="X29" s="114" t="n"/>
      <c r="Y29" s="114" t="n"/>
      <c r="Z29" s="114" t="n"/>
      <c r="AA29" s="115" t="n"/>
      <c r="AB29" s="114" t="n"/>
      <c r="AC29" s="114" t="n"/>
      <c r="AD29" s="114" t="n"/>
      <c r="AE29" s="114" t="n"/>
      <c r="AF29" s="114" t="n"/>
      <c r="AG29" s="114" t="n"/>
      <c r="AH29" s="115" t="n"/>
      <c r="AI29" s="114" t="n"/>
      <c r="AJ29" s="116">
        <f>IF(ISBLANK(B29), "", IF(ISNUMBER(D29), IF(D29&gt;0, (COUNTIF(E29:AI29, "✓") + COUNTIF(E29:AI29, "✔") + COUNTIF(E29:AI29, "v") + COUNTIF(E29:AI29, "V"))/D29, 0), IF(((COUNTIF(E29:AI29, "✓") + COUNTIF(E29:AI29, "✔") + COUNTIF(E29:AI29, "v") + COUNTIF(E29:AI29, "V")) + COUNTIF(E29:AI29, "✗") + COUNTIF(E29:AI29, "x") + COUNTIF(E29:AI29, "X"))&gt;0, (COUNTIF(E29:AI29, "✓") + COUNTIF(E29:AI29, "✔") + COUNTIF(E29:AI29, "v") + COUNTIF(E29:AI29, "V"))/((COUNTIF(E29:AI29, "✓") + COUNTIF(E29:AI29, "✔") + COUNTIF(E29:AI29, "v") + COUNTIF(E29:AI29, "V")) + COUNTIF(E29:AI29, "✗") + COUNTIF(E29:AI29, "x") + COUNTIF(E29:AI29, "X")), "")))</f>
        <v/>
      </c>
      <c r="AK29" s="117">
        <f>IF(ISBLANK(B29), "", IF(ISNUMBER(D29), IF(D29&gt;0, (COUNTIF(E29:AI29, "✓") + COUNTIF(E29:AI29, "✔") + COUNTIF(E29:AI29, "v") + COUNTIF(E29:AI29, "V")) &amp; "/" &amp; D29, (COUNTIF(E29:AI29, "✓") + COUNTIF(E29:AI29, "✔") + COUNTIF(E29:AI29, "v") + COUNTIF(E29:AI29, "V")) &amp; "/0"), IF(((COUNTIF(E29:AI29, "✓") + COUNTIF(E29:AI29, "✔") + COUNTIF(E29:AI29, "v") + COUNTIF(E29:AI29, "V")) + COUNTIF(E29:AI29, "✗") + COUNTIF(E29:AI29, "x") + COUNTIF(E29:AI29, "X"))&gt;0, (COUNTIF(E29:AI29, "✓") + COUNTIF(E29:AI29, "✔") + COUNTIF(E29:AI29, "v") + COUNTIF(E29:AI29, "V")) &amp; "/" &amp; ((COUNTIF(E29:AI29, "✓") + COUNTIF(E29:AI29, "✔") + COUNTIF(E29:AI29, "v") + COUNTIF(E29:AI29, "V")) + COUNTIF(E29:AI29, "✗") + COUNTIF(E29:AI29, "x") + COUNTIF(E29:AI29, "X")), "")))</f>
        <v/>
      </c>
      <c r="AL29" s="117">
        <f>IF(ISBLANK(B29), "", IF(AJ29&gt;=0.85, "🔥 Mastered", IF(AJ29&gt;=0.7, "⚡ Consistent", "⚠️ Needs Focus")))</f>
        <v/>
      </c>
      <c r="AM29">
        <f>COUNTIF(E29:AI29, "✓")</f>
        <v/>
      </c>
    </row>
    <row r="30" ht="14.5" customHeight="1">
      <c r="A30" s="118" t="n">
        <v>13</v>
      </c>
      <c r="B30" s="119" t="n"/>
      <c r="C30" s="120" t="n"/>
      <c r="D30" s="120" t="n"/>
      <c r="E30" s="121" t="n"/>
      <c r="F30" s="122" t="n"/>
      <c r="G30" s="121" t="n"/>
      <c r="H30" s="121" t="n"/>
      <c r="I30" s="121" t="n"/>
      <c r="J30" s="121" t="n"/>
      <c r="K30" s="121" t="n"/>
      <c r="L30" s="121" t="n"/>
      <c r="M30" s="122" t="n"/>
      <c r="N30" s="121" t="n"/>
      <c r="O30" s="121" t="n"/>
      <c r="P30" s="121" t="n"/>
      <c r="Q30" s="121" t="n"/>
      <c r="R30" s="121" t="n"/>
      <c r="S30" s="121" t="n"/>
      <c r="T30" s="122" t="n"/>
      <c r="U30" s="121" t="n"/>
      <c r="V30" s="121" t="n"/>
      <c r="W30" s="121" t="n"/>
      <c r="X30" s="121" t="n"/>
      <c r="Y30" s="121" t="n"/>
      <c r="Z30" s="121" t="n"/>
      <c r="AA30" s="122" t="n"/>
      <c r="AB30" s="121" t="n"/>
      <c r="AC30" s="121" t="n"/>
      <c r="AD30" s="121" t="n"/>
      <c r="AE30" s="121" t="n"/>
      <c r="AF30" s="121" t="n"/>
      <c r="AG30" s="121" t="n"/>
      <c r="AH30" s="122" t="n"/>
      <c r="AI30" s="121" t="n"/>
      <c r="AJ30" s="123">
        <f>IF(ISBLANK(B30), "", IF(ISNUMBER(D30), IF(D30&gt;0, (COUNTIF(E30:AI30, "✓") + COUNTIF(E30:AI30, "✔") + COUNTIF(E30:AI30, "v") + COUNTIF(E30:AI30, "V"))/D30, 0), IF(((COUNTIF(E30:AI30, "✓") + COUNTIF(E30:AI30, "✔") + COUNTIF(E30:AI30, "v") + COUNTIF(E30:AI30, "V")) + COUNTIF(E30:AI30, "✗") + COUNTIF(E30:AI30, "x") + COUNTIF(E30:AI30, "X"))&gt;0, (COUNTIF(E30:AI30, "✓") + COUNTIF(E30:AI30, "✔") + COUNTIF(E30:AI30, "v") + COUNTIF(E30:AI30, "V"))/((COUNTIF(E30:AI30, "✓") + COUNTIF(E30:AI30, "✔") + COUNTIF(E30:AI30, "v") + COUNTIF(E30:AI30, "V")) + COUNTIF(E30:AI30, "✗") + COUNTIF(E30:AI30, "x") + COUNTIF(E30:AI30, "X")), "")))</f>
        <v/>
      </c>
      <c r="AK30" s="124">
        <f>IF(ISBLANK(B30), "", IF(ISNUMBER(D30), IF(D30&gt;0, (COUNTIF(E30:AI30, "✓") + COUNTIF(E30:AI30, "✔") + COUNTIF(E30:AI30, "v") + COUNTIF(E30:AI30, "V")) &amp; "/" &amp; D30, (COUNTIF(E30:AI30, "✓") + COUNTIF(E30:AI30, "✔") + COUNTIF(E30:AI30, "v") + COUNTIF(E30:AI30, "V")) &amp; "/0"), IF(((COUNTIF(E30:AI30, "✓") + COUNTIF(E30:AI30, "✔") + COUNTIF(E30:AI30, "v") + COUNTIF(E30:AI30, "V")) + COUNTIF(E30:AI30, "✗") + COUNTIF(E30:AI30, "x") + COUNTIF(E30:AI30, "X"))&gt;0, (COUNTIF(E30:AI30, "✓") + COUNTIF(E30:AI30, "✔") + COUNTIF(E30:AI30, "v") + COUNTIF(E30:AI30, "V")) &amp; "/" &amp; ((COUNTIF(E30:AI30, "✓") + COUNTIF(E30:AI30, "✔") + COUNTIF(E30:AI30, "v") + COUNTIF(E30:AI30, "V")) + COUNTIF(E30:AI30, "✗") + COUNTIF(E30:AI30, "x") + COUNTIF(E30:AI30, "X")), "")))</f>
        <v/>
      </c>
      <c r="AL30" s="124">
        <f>IF(ISBLANK(B30), "", IF(AJ30&gt;=0.85, "🔥 Mastered", IF(AJ30&gt;=0.7, "⚡ Consistent", "⚠️ Needs Focus")))</f>
        <v/>
      </c>
      <c r="AM30">
        <f>COUNTIF(E30:AI30, "✓")</f>
        <v/>
      </c>
    </row>
    <row r="31" ht="14.5" customHeight="1">
      <c r="A31" s="118" t="n">
        <v>14</v>
      </c>
      <c r="B31" s="119" t="n"/>
      <c r="C31" s="120" t="n"/>
      <c r="D31" s="120" t="n"/>
      <c r="E31" s="121" t="n"/>
      <c r="F31" s="122" t="n"/>
      <c r="G31" s="121" t="n"/>
      <c r="H31" s="121" t="n"/>
      <c r="I31" s="121" t="n"/>
      <c r="J31" s="121" t="n"/>
      <c r="K31" s="121" t="n"/>
      <c r="L31" s="121" t="n"/>
      <c r="M31" s="122" t="n"/>
      <c r="N31" s="121" t="n"/>
      <c r="O31" s="121" t="n"/>
      <c r="P31" s="121" t="n"/>
      <c r="Q31" s="121" t="n"/>
      <c r="R31" s="121" t="n"/>
      <c r="S31" s="121" t="n"/>
      <c r="T31" s="122" t="n"/>
      <c r="U31" s="121" t="n"/>
      <c r="V31" s="121" t="n"/>
      <c r="W31" s="121" t="n"/>
      <c r="X31" s="121" t="n"/>
      <c r="Y31" s="121" t="n"/>
      <c r="Z31" s="121" t="n"/>
      <c r="AA31" s="122" t="n"/>
      <c r="AB31" s="121" t="n"/>
      <c r="AC31" s="121" t="n"/>
      <c r="AD31" s="121" t="n"/>
      <c r="AE31" s="121" t="n"/>
      <c r="AF31" s="121" t="n"/>
      <c r="AG31" s="121" t="n"/>
      <c r="AH31" s="122" t="n"/>
      <c r="AI31" s="121" t="n"/>
      <c r="AJ31" s="123">
        <f>IF(ISBLANK(B31), "", IF(ISNUMBER(D31), IF(D31&gt;0, (COUNTIF(E31:AI31, "✓") + COUNTIF(E31:AI31, "✔") + COUNTIF(E31:AI31, "v") + COUNTIF(E31:AI31, "V"))/D31, 0), IF(((COUNTIF(E31:AI31, "✓") + COUNTIF(E31:AI31, "✔") + COUNTIF(E31:AI31, "v") + COUNTIF(E31:AI31, "V")) + COUNTIF(E31:AI31, "✗") + COUNTIF(E31:AI31, "x") + COUNTIF(E31:AI31, "X"))&gt;0, (COUNTIF(E31:AI31, "✓") + COUNTIF(E31:AI31, "✔") + COUNTIF(E31:AI31, "v") + COUNTIF(E31:AI31, "V"))/((COUNTIF(E31:AI31, "✓") + COUNTIF(E31:AI31, "✔") + COUNTIF(E31:AI31, "v") + COUNTIF(E31:AI31, "V")) + COUNTIF(E31:AI31, "✗") + COUNTIF(E31:AI31, "x") + COUNTIF(E31:AI31, "X")), "")))</f>
        <v/>
      </c>
      <c r="AK31" s="124">
        <f>IF(ISBLANK(B31), "", IF(ISNUMBER(D31), IF(D31&gt;0, (COUNTIF(E31:AI31, "✓") + COUNTIF(E31:AI31, "✔") + COUNTIF(E31:AI31, "v") + COUNTIF(E31:AI31, "V")) &amp; "/" &amp; D31, (COUNTIF(E31:AI31, "✓") + COUNTIF(E31:AI31, "✔") + COUNTIF(E31:AI31, "v") + COUNTIF(E31:AI31, "V")) &amp; "/0"), IF(((COUNTIF(E31:AI31, "✓") + COUNTIF(E31:AI31, "✔") + COUNTIF(E31:AI31, "v") + COUNTIF(E31:AI31, "V")) + COUNTIF(E31:AI31, "✗") + COUNTIF(E31:AI31, "x") + COUNTIF(E31:AI31, "X"))&gt;0, (COUNTIF(E31:AI31, "✓") + COUNTIF(E31:AI31, "✔") + COUNTIF(E31:AI31, "v") + COUNTIF(E31:AI31, "V")) &amp; "/" &amp; ((COUNTIF(E31:AI31, "✓") + COUNTIF(E31:AI31, "✔") + COUNTIF(E31:AI31, "v") + COUNTIF(E31:AI31, "V")) + COUNTIF(E31:AI31, "✗") + COUNTIF(E31:AI31, "x") + COUNTIF(E31:AI31, "X")), "")))</f>
        <v/>
      </c>
      <c r="AL31" s="124">
        <f>IF(ISBLANK(B31), "", IF(AJ31&gt;=0.85, "🔥 Mastered", IF(AJ31&gt;=0.7, "⚡ Consistent", "⚠️ Needs Focus")))</f>
        <v/>
      </c>
      <c r="AM31">
        <f>COUNTIF(E31:AI31, "✓")</f>
        <v/>
      </c>
    </row>
    <row r="32" ht="14.5" customHeight="1">
      <c r="A32" s="118" t="n">
        <v>15</v>
      </c>
      <c r="B32" s="119" t="n"/>
      <c r="C32" s="120" t="n"/>
      <c r="D32" s="120" t="n"/>
      <c r="E32" s="121" t="n"/>
      <c r="F32" s="122" t="n"/>
      <c r="G32" s="121" t="n"/>
      <c r="H32" s="121" t="n"/>
      <c r="I32" s="121" t="n"/>
      <c r="J32" s="121" t="n"/>
      <c r="K32" s="121" t="n"/>
      <c r="L32" s="121" t="n"/>
      <c r="M32" s="122" t="n"/>
      <c r="N32" s="121" t="n"/>
      <c r="O32" s="121" t="n"/>
      <c r="P32" s="121" t="n"/>
      <c r="Q32" s="121" t="n"/>
      <c r="R32" s="121" t="n"/>
      <c r="S32" s="121" t="n"/>
      <c r="T32" s="122" t="n"/>
      <c r="U32" s="121" t="n"/>
      <c r="V32" s="121" t="n"/>
      <c r="W32" s="121" t="n"/>
      <c r="X32" s="121" t="n"/>
      <c r="Y32" s="121" t="n"/>
      <c r="Z32" s="121" t="n"/>
      <c r="AA32" s="122" t="n"/>
      <c r="AB32" s="121" t="n"/>
      <c r="AC32" s="121" t="n"/>
      <c r="AD32" s="121" t="n"/>
      <c r="AE32" s="121" t="n"/>
      <c r="AF32" s="121" t="n"/>
      <c r="AG32" s="121" t="n"/>
      <c r="AH32" s="122" t="n"/>
      <c r="AI32" s="121" t="n"/>
      <c r="AJ32" s="123">
        <f>IF(ISBLANK(B32), "", IF(ISNUMBER(D32), IF(D32&gt;0, (COUNTIF(E32:AI32, "✓") + COUNTIF(E32:AI32, "✔") + COUNTIF(E32:AI32, "v") + COUNTIF(E32:AI32, "V"))/D32, 0), IF(((COUNTIF(E32:AI32, "✓") + COUNTIF(E32:AI32, "✔") + COUNTIF(E32:AI32, "v") + COUNTIF(E32:AI32, "V")) + COUNTIF(E32:AI32, "✗") + COUNTIF(E32:AI32, "x") + COUNTIF(E32:AI32, "X"))&gt;0, (COUNTIF(E32:AI32, "✓") + COUNTIF(E32:AI32, "✔") + COUNTIF(E32:AI32, "v") + COUNTIF(E32:AI32, "V"))/((COUNTIF(E32:AI32, "✓") + COUNTIF(E32:AI32, "✔") + COUNTIF(E32:AI32, "v") + COUNTIF(E32:AI32, "V")) + COUNTIF(E32:AI32, "✗") + COUNTIF(E32:AI32, "x") + COUNTIF(E32:AI32, "X")), "")))</f>
        <v/>
      </c>
      <c r="AK32" s="124">
        <f>IF(ISBLANK(B32), "", IF(ISNUMBER(D32), IF(D32&gt;0, (COUNTIF(E32:AI32, "✓") + COUNTIF(E32:AI32, "✔") + COUNTIF(E32:AI32, "v") + COUNTIF(E32:AI32, "V")) &amp; "/" &amp; D32, (COUNTIF(E32:AI32, "✓") + COUNTIF(E32:AI32, "✔") + COUNTIF(E32:AI32, "v") + COUNTIF(E32:AI32, "V")) &amp; "/0"), IF(((COUNTIF(E32:AI32, "✓") + COUNTIF(E32:AI32, "✔") + COUNTIF(E32:AI32, "v") + COUNTIF(E32:AI32, "V")) + COUNTIF(E32:AI32, "✗") + COUNTIF(E32:AI32, "x") + COUNTIF(E32:AI32, "X"))&gt;0, (COUNTIF(E32:AI32, "✓") + COUNTIF(E32:AI32, "✔") + COUNTIF(E32:AI32, "v") + COUNTIF(E32:AI32, "V")) &amp; "/" &amp; ((COUNTIF(E32:AI32, "✓") + COUNTIF(E32:AI32, "✔") + COUNTIF(E32:AI32, "v") + COUNTIF(E32:AI32, "V")) + COUNTIF(E32:AI32, "✗") + COUNTIF(E32:AI32, "x") + COUNTIF(E32:AI32, "X")), "")))</f>
        <v/>
      </c>
      <c r="AL32" s="124">
        <f>IF(ISBLANK(B32), "", IF(AJ32&gt;=0.85, "🔥 Mastered", IF(AJ32&gt;=0.7, "⚡ Consistent", "⚠️ Needs Focus")))</f>
        <v/>
      </c>
      <c r="AM32">
        <f>COUNTIF(E32:AI32, "✓")</f>
        <v/>
      </c>
    </row>
    <row r="33" ht="14.5" customHeight="1">
      <c r="A33" s="118" t="n">
        <v>16</v>
      </c>
      <c r="B33" s="119" t="n"/>
      <c r="C33" s="120" t="n"/>
      <c r="D33" s="120" t="n"/>
      <c r="E33" s="121" t="n"/>
      <c r="F33" s="122" t="n"/>
      <c r="G33" s="121" t="n"/>
      <c r="H33" s="121" t="n"/>
      <c r="I33" s="121" t="n"/>
      <c r="J33" s="121" t="n"/>
      <c r="K33" s="121" t="n"/>
      <c r="L33" s="121" t="n"/>
      <c r="M33" s="122" t="n"/>
      <c r="N33" s="121" t="n"/>
      <c r="O33" s="121" t="n"/>
      <c r="P33" s="121" t="n"/>
      <c r="Q33" s="121" t="n"/>
      <c r="R33" s="121" t="n"/>
      <c r="S33" s="121" t="n"/>
      <c r="T33" s="122" t="n"/>
      <c r="U33" s="121" t="n"/>
      <c r="V33" s="121" t="n"/>
      <c r="W33" s="121" t="n"/>
      <c r="X33" s="121" t="n"/>
      <c r="Y33" s="121" t="n"/>
      <c r="Z33" s="121" t="n"/>
      <c r="AA33" s="122" t="n"/>
      <c r="AB33" s="121" t="n"/>
      <c r="AC33" s="121" t="n"/>
      <c r="AD33" s="121" t="n"/>
      <c r="AE33" s="121" t="n"/>
      <c r="AF33" s="121" t="n"/>
      <c r="AG33" s="121" t="n"/>
      <c r="AH33" s="122" t="n"/>
      <c r="AI33" s="121" t="n"/>
      <c r="AJ33" s="123">
        <f>IF(ISBLANK(B33), "", IF(ISNUMBER(D33), IF(D33&gt;0, (COUNTIF(E33:AI33, "✓") + COUNTIF(E33:AI33, "✔") + COUNTIF(E33:AI33, "v") + COUNTIF(E33:AI33, "V"))/D33, 0), IF(((COUNTIF(E33:AI33, "✓") + COUNTIF(E33:AI33, "✔") + COUNTIF(E33:AI33, "v") + COUNTIF(E33:AI33, "V")) + COUNTIF(E33:AI33, "✗") + COUNTIF(E33:AI33, "x") + COUNTIF(E33:AI33, "X"))&gt;0, (COUNTIF(E33:AI33, "✓") + COUNTIF(E33:AI33, "✔") + COUNTIF(E33:AI33, "v") + COUNTIF(E33:AI33, "V"))/((COUNTIF(E33:AI33, "✓") + COUNTIF(E33:AI33, "✔") + COUNTIF(E33:AI33, "v") + COUNTIF(E33:AI33, "V")) + COUNTIF(E33:AI33, "✗") + COUNTIF(E33:AI33, "x") + COUNTIF(E33:AI33, "X")), "")))</f>
        <v/>
      </c>
      <c r="AK33" s="124">
        <f>IF(ISBLANK(B33), "", IF(ISNUMBER(D33), IF(D33&gt;0, (COUNTIF(E33:AI33, "✓") + COUNTIF(E33:AI33, "✔") + COUNTIF(E33:AI33, "v") + COUNTIF(E33:AI33, "V")) &amp; "/" &amp; D33, (COUNTIF(E33:AI33, "✓") + COUNTIF(E33:AI33, "✔") + COUNTIF(E33:AI33, "v") + COUNTIF(E33:AI33, "V")) &amp; "/0"), IF(((COUNTIF(E33:AI33, "✓") + COUNTIF(E33:AI33, "✔") + COUNTIF(E33:AI33, "v") + COUNTIF(E33:AI33, "V")) + COUNTIF(E33:AI33, "✗") + COUNTIF(E33:AI33, "x") + COUNTIF(E33:AI33, "X"))&gt;0, (COUNTIF(E33:AI33, "✓") + COUNTIF(E33:AI33, "✔") + COUNTIF(E33:AI33, "v") + COUNTIF(E33:AI33, "V")) &amp; "/" &amp; ((COUNTIF(E33:AI33, "✓") + COUNTIF(E33:AI33, "✔") + COUNTIF(E33:AI33, "v") + COUNTIF(E33:AI33, "V")) + COUNTIF(E33:AI33, "✗") + COUNTIF(E33:AI33, "x") + COUNTIF(E33:AI33, "X")), "")))</f>
        <v/>
      </c>
      <c r="AL33" s="124">
        <f>IF(ISBLANK(B33), "", IF(AJ33&gt;=0.85, "🔥 Mastered", IF(AJ33&gt;=0.7, "⚡ Consistent", "⚠️ Needs Focus")))</f>
        <v/>
      </c>
      <c r="AM33">
        <f>COUNTIF(E33:AI33, "✓")</f>
        <v/>
      </c>
    </row>
    <row r="34" ht="14.5" customHeight="1">
      <c r="A34" s="125" t="n">
        <v>17</v>
      </c>
      <c r="B34" s="126" t="n"/>
      <c r="C34" s="127" t="n"/>
      <c r="D34" s="127" t="n"/>
      <c r="E34" s="128" t="n"/>
      <c r="F34" s="129" t="n"/>
      <c r="G34" s="128" t="n"/>
      <c r="H34" s="128" t="n"/>
      <c r="I34" s="128" t="n"/>
      <c r="J34" s="128" t="n"/>
      <c r="K34" s="128" t="n"/>
      <c r="L34" s="128" t="n"/>
      <c r="M34" s="129" t="n"/>
      <c r="N34" s="128" t="n"/>
      <c r="O34" s="128" t="n"/>
      <c r="P34" s="128" t="n"/>
      <c r="Q34" s="128" t="n"/>
      <c r="R34" s="128" t="n"/>
      <c r="S34" s="128" t="n"/>
      <c r="T34" s="129" t="n"/>
      <c r="U34" s="128" t="n"/>
      <c r="V34" s="128" t="n"/>
      <c r="W34" s="128" t="n"/>
      <c r="X34" s="128" t="n"/>
      <c r="Y34" s="128" t="n"/>
      <c r="Z34" s="128" t="n"/>
      <c r="AA34" s="129" t="n"/>
      <c r="AB34" s="128" t="n"/>
      <c r="AC34" s="128" t="n"/>
      <c r="AD34" s="128" t="n"/>
      <c r="AE34" s="128" t="n"/>
      <c r="AF34" s="128" t="n"/>
      <c r="AG34" s="128" t="n"/>
      <c r="AH34" s="129" t="n"/>
      <c r="AI34" s="128" t="n"/>
      <c r="AJ34" s="130">
        <f>IF(ISBLANK(B34), "", IF(ISNUMBER(D34), IF(D34&gt;0, (COUNTIF(E34:AI34, "✓") + COUNTIF(E34:AI34, "✔") + COUNTIF(E34:AI34, "v") + COUNTIF(E34:AI34, "V"))/D34, 0), IF(((COUNTIF(E34:AI34, "✓") + COUNTIF(E34:AI34, "✔") + COUNTIF(E34:AI34, "v") + COUNTIF(E34:AI34, "V")) + COUNTIF(E34:AI34, "✗") + COUNTIF(E34:AI34, "x") + COUNTIF(E34:AI34, "X"))&gt;0, (COUNTIF(E34:AI34, "✓") + COUNTIF(E34:AI34, "✔") + COUNTIF(E34:AI34, "v") + COUNTIF(E34:AI34, "V"))/((COUNTIF(E34:AI34, "✓") + COUNTIF(E34:AI34, "✔") + COUNTIF(E34:AI34, "v") + COUNTIF(E34:AI34, "V")) + COUNTIF(E34:AI34, "✗") + COUNTIF(E34:AI34, "x") + COUNTIF(E34:AI34, "X")), "")))</f>
        <v/>
      </c>
      <c r="AK34" s="131">
        <f>IF(ISBLANK(B34), "", IF(ISNUMBER(D34), IF(D34&gt;0, (COUNTIF(E34:AI34, "✓") + COUNTIF(E34:AI34, "✔") + COUNTIF(E34:AI34, "v") + COUNTIF(E34:AI34, "V")) &amp; "/" &amp; D34, (COUNTIF(E34:AI34, "✓") + COUNTIF(E34:AI34, "✔") + COUNTIF(E34:AI34, "v") + COUNTIF(E34:AI34, "V")) &amp; "/0"), IF(((COUNTIF(E34:AI34, "✓") + COUNTIF(E34:AI34, "✔") + COUNTIF(E34:AI34, "v") + COUNTIF(E34:AI34, "V")) + COUNTIF(E34:AI34, "✗") + COUNTIF(E34:AI34, "x") + COUNTIF(E34:AI34, "X"))&gt;0, (COUNTIF(E34:AI34, "✓") + COUNTIF(E34:AI34, "✔") + COUNTIF(E34:AI34, "v") + COUNTIF(E34:AI34, "V")) &amp; "/" &amp; ((COUNTIF(E34:AI34, "✓") + COUNTIF(E34:AI34, "✔") + COUNTIF(E34:AI34, "v") + COUNTIF(E34:AI34, "V")) + COUNTIF(E34:AI34, "✗") + COUNTIF(E34:AI34, "x") + COUNTIF(E34:AI34, "X")), "")))</f>
        <v/>
      </c>
      <c r="AL34" s="131">
        <f>IF(ISBLANK(B34), "", IF(AJ34&gt;=0.85, "🔥 Mastered", IF(AJ34&gt;=0.7, "⚡ Consistent", "⚠️ Needs Focus")))</f>
        <v/>
      </c>
      <c r="AM34">
        <f>COUNTIF(E34:AI34, "✓")</f>
        <v/>
      </c>
    </row>
    <row r="35" ht="14.5" customHeight="1">
      <c r="A35" s="125" t="n">
        <v>18</v>
      </c>
      <c r="B35" s="126" t="n"/>
      <c r="C35" s="127" t="n"/>
      <c r="D35" s="127" t="n"/>
      <c r="E35" s="128" t="n"/>
      <c r="F35" s="129" t="n"/>
      <c r="G35" s="128" t="n"/>
      <c r="H35" s="128" t="n"/>
      <c r="I35" s="128" t="n"/>
      <c r="J35" s="128" t="n"/>
      <c r="K35" s="128" t="n"/>
      <c r="L35" s="128" t="n"/>
      <c r="M35" s="129" t="n"/>
      <c r="N35" s="128" t="n"/>
      <c r="O35" s="128" t="n"/>
      <c r="P35" s="128" t="n"/>
      <c r="Q35" s="128" t="n"/>
      <c r="R35" s="128" t="n"/>
      <c r="S35" s="128" t="n"/>
      <c r="T35" s="129" t="n"/>
      <c r="U35" s="128" t="n"/>
      <c r="V35" s="128" t="n"/>
      <c r="W35" s="128" t="n"/>
      <c r="X35" s="128" t="n"/>
      <c r="Y35" s="128" t="n"/>
      <c r="Z35" s="128" t="n"/>
      <c r="AA35" s="129" t="n"/>
      <c r="AB35" s="128" t="n"/>
      <c r="AC35" s="128" t="n"/>
      <c r="AD35" s="128" t="n"/>
      <c r="AE35" s="128" t="n"/>
      <c r="AF35" s="128" t="n"/>
      <c r="AG35" s="128" t="n"/>
      <c r="AH35" s="129" t="n"/>
      <c r="AI35" s="128" t="n"/>
      <c r="AJ35" s="130">
        <f>IF(ISBLANK(B35), "", IF(ISNUMBER(D35), IF(D35&gt;0, (COUNTIF(E35:AI35, "✓") + COUNTIF(E35:AI35, "✔") + COUNTIF(E35:AI35, "v") + COUNTIF(E35:AI35, "V"))/D35, 0), IF(((COUNTIF(E35:AI35, "✓") + COUNTIF(E35:AI35, "✔") + COUNTIF(E35:AI35, "v") + COUNTIF(E35:AI35, "V")) + COUNTIF(E35:AI35, "✗") + COUNTIF(E35:AI35, "x") + COUNTIF(E35:AI35, "X"))&gt;0, (COUNTIF(E35:AI35, "✓") + COUNTIF(E35:AI35, "✔") + COUNTIF(E35:AI35, "v") + COUNTIF(E35:AI35, "V"))/((COUNTIF(E35:AI35, "✓") + COUNTIF(E35:AI35, "✔") + COUNTIF(E35:AI35, "v") + COUNTIF(E35:AI35, "V")) + COUNTIF(E35:AI35, "✗") + COUNTIF(E35:AI35, "x") + COUNTIF(E35:AI35, "X")), "")))</f>
        <v/>
      </c>
      <c r="AK35" s="131">
        <f>IF(ISBLANK(B35), "", IF(ISNUMBER(D35), IF(D35&gt;0, (COUNTIF(E35:AI35, "✓") + COUNTIF(E35:AI35, "✔") + COUNTIF(E35:AI35, "v") + COUNTIF(E35:AI35, "V")) &amp; "/" &amp; D35, (COUNTIF(E35:AI35, "✓") + COUNTIF(E35:AI35, "✔") + COUNTIF(E35:AI35, "v") + COUNTIF(E35:AI35, "V")) &amp; "/0"), IF(((COUNTIF(E35:AI35, "✓") + COUNTIF(E35:AI35, "✔") + COUNTIF(E35:AI35, "v") + COUNTIF(E35:AI35, "V")) + COUNTIF(E35:AI35, "✗") + COUNTIF(E35:AI35, "x") + COUNTIF(E35:AI35, "X"))&gt;0, (COUNTIF(E35:AI35, "✓") + COUNTIF(E35:AI35, "✔") + COUNTIF(E35:AI35, "v") + COUNTIF(E35:AI35, "V")) &amp; "/" &amp; ((COUNTIF(E35:AI35, "✓") + COUNTIF(E35:AI35, "✔") + COUNTIF(E35:AI35, "v") + COUNTIF(E35:AI35, "V")) + COUNTIF(E35:AI35, "✗") + COUNTIF(E35:AI35, "x") + COUNTIF(E35:AI35, "X")), "")))</f>
        <v/>
      </c>
      <c r="AL35" s="131">
        <f>IF(ISBLANK(B35), "", IF(AJ35&gt;=0.85, "🔥 Mastered", IF(AJ35&gt;=0.7, "⚡ Consistent", "⚠️ Needs Focus")))</f>
        <v/>
      </c>
      <c r="AM35">
        <f>COUNTIF(E35:AI35, "✓")</f>
        <v/>
      </c>
    </row>
    <row r="36" ht="14.5" customHeight="1">
      <c r="A36" s="125" t="n">
        <v>19</v>
      </c>
      <c r="B36" s="126" t="n"/>
      <c r="C36" s="127" t="n"/>
      <c r="D36" s="127" t="n"/>
      <c r="E36" s="128" t="n"/>
      <c r="F36" s="129" t="n"/>
      <c r="G36" s="128" t="n"/>
      <c r="H36" s="128" t="n"/>
      <c r="I36" s="128" t="n"/>
      <c r="J36" s="128" t="n"/>
      <c r="K36" s="128" t="n"/>
      <c r="L36" s="128" t="n"/>
      <c r="M36" s="129" t="n"/>
      <c r="N36" s="128" t="n"/>
      <c r="O36" s="128" t="n"/>
      <c r="P36" s="128" t="n"/>
      <c r="Q36" s="128" t="n"/>
      <c r="R36" s="128" t="n"/>
      <c r="S36" s="128" t="n"/>
      <c r="T36" s="129" t="n"/>
      <c r="U36" s="128" t="n"/>
      <c r="V36" s="128" t="n"/>
      <c r="W36" s="128" t="n"/>
      <c r="X36" s="128" t="n"/>
      <c r="Y36" s="128" t="n"/>
      <c r="Z36" s="128" t="n"/>
      <c r="AA36" s="129" t="n"/>
      <c r="AB36" s="128" t="n"/>
      <c r="AC36" s="128" t="n"/>
      <c r="AD36" s="128" t="n"/>
      <c r="AE36" s="128" t="n"/>
      <c r="AF36" s="128" t="n"/>
      <c r="AG36" s="128" t="n"/>
      <c r="AH36" s="129" t="n"/>
      <c r="AI36" s="128" t="n"/>
      <c r="AJ36" s="130">
        <f>IF(ISBLANK(B36), "", IF(ISNUMBER(D36), IF(D36&gt;0, (COUNTIF(E36:AI36, "✓") + COUNTIF(E36:AI36, "✔") + COUNTIF(E36:AI36, "v") + COUNTIF(E36:AI36, "V"))/D36, 0), IF(((COUNTIF(E36:AI36, "✓") + COUNTIF(E36:AI36, "✔") + COUNTIF(E36:AI36, "v") + COUNTIF(E36:AI36, "V")) + COUNTIF(E36:AI36, "✗") + COUNTIF(E36:AI36, "x") + COUNTIF(E36:AI36, "X"))&gt;0, (COUNTIF(E36:AI36, "✓") + COUNTIF(E36:AI36, "✔") + COUNTIF(E36:AI36, "v") + COUNTIF(E36:AI36, "V"))/((COUNTIF(E36:AI36, "✓") + COUNTIF(E36:AI36, "✔") + COUNTIF(E36:AI36, "v") + COUNTIF(E36:AI36, "V")) + COUNTIF(E36:AI36, "✗") + COUNTIF(E36:AI36, "x") + COUNTIF(E36:AI36, "X")), "")))</f>
        <v/>
      </c>
      <c r="AK36" s="131">
        <f>IF(ISBLANK(B36), "", IF(ISNUMBER(D36), IF(D36&gt;0, (COUNTIF(E36:AI36, "✓") + COUNTIF(E36:AI36, "✔") + COUNTIF(E36:AI36, "v") + COUNTIF(E36:AI36, "V")) &amp; "/" &amp; D36, (COUNTIF(E36:AI36, "✓") + COUNTIF(E36:AI36, "✔") + COUNTIF(E36:AI36, "v") + COUNTIF(E36:AI36, "V")) &amp; "/0"), IF(((COUNTIF(E36:AI36, "✓") + COUNTIF(E36:AI36, "✔") + COUNTIF(E36:AI36, "v") + COUNTIF(E36:AI36, "V")) + COUNTIF(E36:AI36, "✗") + COUNTIF(E36:AI36, "x") + COUNTIF(E36:AI36, "X"))&gt;0, (COUNTIF(E36:AI36, "✓") + COUNTIF(E36:AI36, "✔") + COUNTIF(E36:AI36, "v") + COUNTIF(E36:AI36, "V")) &amp; "/" &amp; ((COUNTIF(E36:AI36, "✓") + COUNTIF(E36:AI36, "✔") + COUNTIF(E36:AI36, "v") + COUNTIF(E36:AI36, "V")) + COUNTIF(E36:AI36, "✗") + COUNTIF(E36:AI36, "x") + COUNTIF(E36:AI36, "X")), "")))</f>
        <v/>
      </c>
      <c r="AL36" s="131">
        <f>IF(ISBLANK(B36), "", IF(AJ36&gt;=0.85, "🔥 Mastered", IF(AJ36&gt;=0.7, "⚡ Consistent", "⚠️ Needs Focus")))</f>
        <v/>
      </c>
      <c r="AM36">
        <f>COUNTIF(E36:AI36, "✓")</f>
        <v/>
      </c>
    </row>
    <row r="37" ht="14.5" customHeight="1">
      <c r="A37" s="125" t="n">
        <v>20</v>
      </c>
      <c r="B37" s="126" t="n"/>
      <c r="C37" s="127" t="n"/>
      <c r="D37" s="127" t="n"/>
      <c r="E37" s="128" t="n"/>
      <c r="F37" s="129" t="n"/>
      <c r="G37" s="128" t="n"/>
      <c r="H37" s="128" t="n"/>
      <c r="I37" s="128" t="n"/>
      <c r="J37" s="128" t="n"/>
      <c r="K37" s="128" t="n"/>
      <c r="L37" s="128" t="n"/>
      <c r="M37" s="129" t="n"/>
      <c r="N37" s="128" t="n"/>
      <c r="O37" s="128" t="n"/>
      <c r="P37" s="128" t="n"/>
      <c r="Q37" s="128" t="n"/>
      <c r="R37" s="128" t="n"/>
      <c r="S37" s="128" t="n"/>
      <c r="T37" s="129" t="n"/>
      <c r="U37" s="128" t="n"/>
      <c r="V37" s="128" t="n"/>
      <c r="W37" s="128" t="n"/>
      <c r="X37" s="128" t="n"/>
      <c r="Y37" s="128" t="n"/>
      <c r="Z37" s="128" t="n"/>
      <c r="AA37" s="129" t="n"/>
      <c r="AB37" s="128" t="n"/>
      <c r="AC37" s="128" t="n"/>
      <c r="AD37" s="128" t="n"/>
      <c r="AE37" s="128" t="n"/>
      <c r="AF37" s="128" t="n"/>
      <c r="AG37" s="128" t="n"/>
      <c r="AH37" s="129" t="n"/>
      <c r="AI37" s="128" t="n"/>
      <c r="AJ37" s="130">
        <f>IF(ISBLANK(B37), "", IF(ISNUMBER(D37), IF(D37&gt;0, (COUNTIF(E37:AI37, "✓") + COUNTIF(E37:AI37, "✔") + COUNTIF(E37:AI37, "v") + COUNTIF(E37:AI37, "V"))/D37, 0), IF(((COUNTIF(E37:AI37, "✓") + COUNTIF(E37:AI37, "✔") + COUNTIF(E37:AI37, "v") + COUNTIF(E37:AI37, "V")) + COUNTIF(E37:AI37, "✗") + COUNTIF(E37:AI37, "x") + COUNTIF(E37:AI37, "X"))&gt;0, (COUNTIF(E37:AI37, "✓") + COUNTIF(E37:AI37, "✔") + COUNTIF(E37:AI37, "v") + COUNTIF(E37:AI37, "V"))/((COUNTIF(E37:AI37, "✓") + COUNTIF(E37:AI37, "✔") + COUNTIF(E37:AI37, "v") + COUNTIF(E37:AI37, "V")) + COUNTIF(E37:AI37, "✗") + COUNTIF(E37:AI37, "x") + COUNTIF(E37:AI37, "X")), "")))</f>
        <v/>
      </c>
      <c r="AK37" s="131">
        <f>IF(ISBLANK(B37), "", IF(ISNUMBER(D37), IF(D37&gt;0, (COUNTIF(E37:AI37, "✓") + COUNTIF(E37:AI37, "✔") + COUNTIF(E37:AI37, "v") + COUNTIF(E37:AI37, "V")) &amp; "/" &amp; D37, (COUNTIF(E37:AI37, "✓") + COUNTIF(E37:AI37, "✔") + COUNTIF(E37:AI37, "v") + COUNTIF(E37:AI37, "V")) &amp; "/0"), IF(((COUNTIF(E37:AI37, "✓") + COUNTIF(E37:AI37, "✔") + COUNTIF(E37:AI37, "v") + COUNTIF(E37:AI37, "V")) + COUNTIF(E37:AI37, "✗") + COUNTIF(E37:AI37, "x") + COUNTIF(E37:AI37, "X"))&gt;0, (COUNTIF(E37:AI37, "✓") + COUNTIF(E37:AI37, "✔") + COUNTIF(E37:AI37, "v") + COUNTIF(E37:AI37, "V")) &amp; "/" &amp; ((COUNTIF(E37:AI37, "✓") + COUNTIF(E37:AI37, "✔") + COUNTIF(E37:AI37, "v") + COUNTIF(E37:AI37, "V")) + COUNTIF(E37:AI37, "✗") + COUNTIF(E37:AI37, "x") + COUNTIF(E37:AI37, "X")), "")))</f>
        <v/>
      </c>
      <c r="AL37" s="131">
        <f>IF(ISBLANK(B37), "", IF(AJ37&gt;=0.85, "🔥 Mastered", IF(AJ37&gt;=0.7, "⚡ Consistent", "⚠️ Needs Focus")))</f>
        <v/>
      </c>
      <c r="AM37">
        <f>COUNTIF(E37:AI37, "✓")</f>
        <v/>
      </c>
    </row>
    <row r="38" ht="18" customHeight="1">
      <c r="A38" s="132" t="inlineStr">
        <is>
          <t>DAILY TOTAL SCORE</t>
        </is>
      </c>
      <c r="B38" s="54" t="n"/>
      <c r="C38" s="54" t="n"/>
      <c r="D38" s="54" t="n"/>
      <c r="E38" s="33">
        <f>IF(((COUNTIF(E18:E37, "✓") + COUNTIF(E18:E37, "✔") + COUNTIF(E18:E37, "v") + COUNTIF(E18:E37, "V")) + COUNTIF(E18:E37, "✗") + COUNTIF(E18:E37, "x") + COUNTIF(E18:E37, "X")) &gt; 0, (COUNTIF(E18:E37, "✓") + COUNTIF(E18:E37, "✔") + COUNTIF(E18:E37, "v") + COUNTIF(E18:E37, "V")) &amp; "/" &amp; ((COUNTIF(E18:E37, "✓") + COUNTIF(E18:E37, "✔") + COUNTIF(E18:E37, "v") + COUNTIF(E18:E37, "V")) + COUNTIF(E18:E37, "✗") + COUNTIF(E18:E37, "x") + COUNTIF(E18:E37, "X")), "")</f>
        <v/>
      </c>
      <c r="F38" s="33">
        <f>IF(((COUNTIF(F18:F37, "✓") + COUNTIF(F18:F37, "✔") + COUNTIF(F18:F37, "v") + COUNTIF(F18:F37, "V")) + COUNTIF(F18:F37, "✗") + COUNTIF(F18:F37, "x") + COUNTIF(F18:F37, "X")) &gt; 0, (COUNTIF(F18:F37, "✓") + COUNTIF(F18:F37, "✔") + COUNTIF(F18:F37, "v") + COUNTIF(F18:F37, "V")) &amp; "/" &amp; ((COUNTIF(F18:F37, "✓") + COUNTIF(F18:F37, "✔") + COUNTIF(F18:F37, "v") + COUNTIF(F18:F37, "V")) + COUNTIF(F18:F37, "✗") + COUNTIF(F18:F37, "x") + COUNTIF(F18:F37, "X")), "")</f>
        <v/>
      </c>
      <c r="G38" s="33">
        <f>IF(((COUNTIF(G18:G37, "✓") + COUNTIF(G18:G37, "✔") + COUNTIF(G18:G37, "v") + COUNTIF(G18:G37, "V")) + COUNTIF(G18:G37, "✗") + COUNTIF(G18:G37, "x") + COUNTIF(G18:G37, "X")) &gt; 0, (COUNTIF(G18:G37, "✓") + COUNTIF(G18:G37, "✔") + COUNTIF(G18:G37, "v") + COUNTIF(G18:G37, "V")) &amp; "/" &amp; ((COUNTIF(G18:G37, "✓") + COUNTIF(G18:G37, "✔") + COUNTIF(G18:G37, "v") + COUNTIF(G18:G37, "V")) + COUNTIF(G18:G37, "✗") + COUNTIF(G18:G37, "x") + COUNTIF(G18:G37, "X")), "")</f>
        <v/>
      </c>
      <c r="H38" s="33">
        <f>IF(((COUNTIF(H18:H37, "✓") + COUNTIF(H18:H37, "✔") + COUNTIF(H18:H37, "v") + COUNTIF(H18:H37, "V")) + COUNTIF(H18:H37, "✗") + COUNTIF(H18:H37, "x") + COUNTIF(H18:H37, "X")) &gt; 0, (COUNTIF(H18:H37, "✓") + COUNTIF(H18:H37, "✔") + COUNTIF(H18:H37, "v") + COUNTIF(H18:H37, "V")) &amp; "/" &amp; ((COUNTIF(H18:H37, "✓") + COUNTIF(H18:H37, "✔") + COUNTIF(H18:H37, "v") + COUNTIF(H18:H37, "V")) + COUNTIF(H18:H37, "✗") + COUNTIF(H18:H37, "x") + COUNTIF(H18:H37, "X")), "")</f>
        <v/>
      </c>
      <c r="I38" s="33">
        <f>IF(((COUNTIF(I18:I37, "✓") + COUNTIF(I18:I37, "✔") + COUNTIF(I18:I37, "v") + COUNTIF(I18:I37, "V")) + COUNTIF(I18:I37, "✗") + COUNTIF(I18:I37, "x") + COUNTIF(I18:I37, "X")) &gt; 0, (COUNTIF(I18:I37, "✓") + COUNTIF(I18:I37, "✔") + COUNTIF(I18:I37, "v") + COUNTIF(I18:I37, "V")) &amp; "/" &amp; ((COUNTIF(I18:I37, "✓") + COUNTIF(I18:I37, "✔") + COUNTIF(I18:I37, "v") + COUNTIF(I18:I37, "V")) + COUNTIF(I18:I37, "✗") + COUNTIF(I18:I37, "x") + COUNTIF(I18:I37, "X")), "")</f>
        <v/>
      </c>
      <c r="J38" s="33">
        <f>IF(((COUNTIF(J18:J37, "✓") + COUNTIF(J18:J37, "✔") + COUNTIF(J18:J37, "v") + COUNTIF(J18:J37, "V")) + COUNTIF(J18:J37, "✗") + COUNTIF(J18:J37, "x") + COUNTIF(J18:J37, "X")) &gt; 0, (COUNTIF(J18:J37, "✓") + COUNTIF(J18:J37, "✔") + COUNTIF(J18:J37, "v") + COUNTIF(J18:J37, "V")) &amp; "/" &amp; ((COUNTIF(J18:J37, "✓") + COUNTIF(J18:J37, "✔") + COUNTIF(J18:J37, "v") + COUNTIF(J18:J37, "V")) + COUNTIF(J18:J37, "✗") + COUNTIF(J18:J37, "x") + COUNTIF(J18:J37, "X")), "")</f>
        <v/>
      </c>
      <c r="K38" s="33">
        <f>IF(((COUNTIF(K18:K37, "✓") + COUNTIF(K18:K37, "✔") + COUNTIF(K18:K37, "v") + COUNTIF(K18:K37, "V")) + COUNTIF(K18:K37, "✗") + COUNTIF(K18:K37, "x") + COUNTIF(K18:K37, "X")) &gt; 0, (COUNTIF(K18:K37, "✓") + COUNTIF(K18:K37, "✔") + COUNTIF(K18:K37, "v") + COUNTIF(K18:K37, "V")) &amp; "/" &amp; ((COUNTIF(K18:K37, "✓") + COUNTIF(K18:K37, "✔") + COUNTIF(K18:K37, "v") + COUNTIF(K18:K37, "V")) + COUNTIF(K18:K37, "✗") + COUNTIF(K18:K37, "x") + COUNTIF(K18:K37, "X")), "")</f>
        <v/>
      </c>
      <c r="L38" s="33">
        <f>IF(((COUNTIF(L18:L37, "✓") + COUNTIF(L18:L37, "✔") + COUNTIF(L18:L37, "v") + COUNTIF(L18:L37, "V")) + COUNTIF(L18:L37, "✗") + COUNTIF(L18:L37, "x") + COUNTIF(L18:L37, "X")) &gt; 0, (COUNTIF(L18:L37, "✓") + COUNTIF(L18:L37, "✔") + COUNTIF(L18:L37, "v") + COUNTIF(L18:L37, "V")) &amp; "/" &amp; ((COUNTIF(L18:L37, "✓") + COUNTIF(L18:L37, "✔") + COUNTIF(L18:L37, "v") + COUNTIF(L18:L37, "V")) + COUNTIF(L18:L37, "✗") + COUNTIF(L18:L37, "x") + COUNTIF(L18:L37, "X")), "")</f>
        <v/>
      </c>
      <c r="M38" s="33">
        <f>IF(((COUNTIF(M18:M37, "✓") + COUNTIF(M18:M37, "✔") + COUNTIF(M18:M37, "v") + COUNTIF(M18:M37, "V")) + COUNTIF(M18:M37, "✗") + COUNTIF(M18:M37, "x") + COUNTIF(M18:M37, "X")) &gt; 0, (COUNTIF(M18:M37, "✓") + COUNTIF(M18:M37, "✔") + COUNTIF(M18:M37, "v") + COUNTIF(M18:M37, "V")) &amp; "/" &amp; ((COUNTIF(M18:M37, "✓") + COUNTIF(M18:M37, "✔") + COUNTIF(M18:M37, "v") + COUNTIF(M18:M37, "V")) + COUNTIF(M18:M37, "✗") + COUNTIF(M18:M37, "x") + COUNTIF(M18:M37, "X")), "")</f>
        <v/>
      </c>
      <c r="N38" s="33">
        <f>IF(((COUNTIF(N18:N37, "✓") + COUNTIF(N18:N37, "✔") + COUNTIF(N18:N37, "v") + COUNTIF(N18:N37, "V")) + COUNTIF(N18:N37, "✗") + COUNTIF(N18:N37, "x") + COUNTIF(N18:N37, "X")) &gt; 0, (COUNTIF(N18:N37, "✓") + COUNTIF(N18:N37, "✔") + COUNTIF(N18:N37, "v") + COUNTIF(N18:N37, "V")) &amp; "/" &amp; ((COUNTIF(N18:N37, "✓") + COUNTIF(N18:N37, "✔") + COUNTIF(N18:N37, "v") + COUNTIF(N18:N37, "V")) + COUNTIF(N18:N37, "✗") + COUNTIF(N18:N37, "x") + COUNTIF(N18:N37, "X")), "")</f>
        <v/>
      </c>
      <c r="O38" s="33">
        <f>IF(((COUNTIF(O18:O37, "✓") + COUNTIF(O18:O37, "✔") + COUNTIF(O18:O37, "v") + COUNTIF(O18:O37, "V")) + COUNTIF(O18:O37, "✗") + COUNTIF(O18:O37, "x") + COUNTIF(O18:O37, "X")) &gt; 0, (COUNTIF(O18:O37, "✓") + COUNTIF(O18:O37, "✔") + COUNTIF(O18:O37, "v") + COUNTIF(O18:O37, "V")) &amp; "/" &amp; ((COUNTIF(O18:O37, "✓") + COUNTIF(O18:O37, "✔") + COUNTIF(O18:O37, "v") + COUNTIF(O18:O37, "V")) + COUNTIF(O18:O37, "✗") + COUNTIF(O18:O37, "x") + COUNTIF(O18:O37, "X")), "")</f>
        <v/>
      </c>
      <c r="P38" s="33">
        <f>IF(((COUNTIF(P18:P37, "✓") + COUNTIF(P18:P37, "✔") + COUNTIF(P18:P37, "v") + COUNTIF(P18:P37, "V")) + COUNTIF(P18:P37, "✗") + COUNTIF(P18:P37, "x") + COUNTIF(P18:P37, "X")) &gt; 0, (COUNTIF(P18:P37, "✓") + COUNTIF(P18:P37, "✔") + COUNTIF(P18:P37, "v") + COUNTIF(P18:P37, "V")) &amp; "/" &amp; ((COUNTIF(P18:P37, "✓") + COUNTIF(P18:P37, "✔") + COUNTIF(P18:P37, "v") + COUNTIF(P18:P37, "V")) + COUNTIF(P18:P37, "✗") + COUNTIF(P18:P37, "x") + COUNTIF(P18:P37, "X")), "")</f>
        <v/>
      </c>
      <c r="Q38" s="33">
        <f>IF(((COUNTIF(Q18:Q37, "✓") + COUNTIF(Q18:Q37, "✔") + COUNTIF(Q18:Q37, "v") + COUNTIF(Q18:Q37, "V")) + COUNTIF(Q18:Q37, "✗") + COUNTIF(Q18:Q37, "x") + COUNTIF(Q18:Q37, "X")) &gt; 0, (COUNTIF(Q18:Q37, "✓") + COUNTIF(Q18:Q37, "✔") + COUNTIF(Q18:Q37, "v") + COUNTIF(Q18:Q37, "V")) &amp; "/" &amp; ((COUNTIF(Q18:Q37, "✓") + COUNTIF(Q18:Q37, "✔") + COUNTIF(Q18:Q37, "v") + COUNTIF(Q18:Q37, "V")) + COUNTIF(Q18:Q37, "✗") + COUNTIF(Q18:Q37, "x") + COUNTIF(Q18:Q37, "X")), "")</f>
        <v/>
      </c>
      <c r="R38" s="33">
        <f>IF(((COUNTIF(R18:R37, "✓") + COUNTIF(R18:R37, "✔") + COUNTIF(R18:R37, "v") + COUNTIF(R18:R37, "V")) + COUNTIF(R18:R37, "✗") + COUNTIF(R18:R37, "x") + COUNTIF(R18:R37, "X")) &gt; 0, (COUNTIF(R18:R37, "✓") + COUNTIF(R18:R37, "✔") + COUNTIF(R18:R37, "v") + COUNTIF(R18:R37, "V")) &amp; "/" &amp; ((COUNTIF(R18:R37, "✓") + COUNTIF(R18:R37, "✔") + COUNTIF(R18:R37, "v") + COUNTIF(R18:R37, "V")) + COUNTIF(R18:R37, "✗") + COUNTIF(R18:R37, "x") + COUNTIF(R18:R37, "X")), "")</f>
        <v/>
      </c>
      <c r="S38" s="33">
        <f>IF(((COUNTIF(S18:S37, "✓") + COUNTIF(S18:S37, "✔") + COUNTIF(S18:S37, "v") + COUNTIF(S18:S37, "V")) + COUNTIF(S18:S37, "✗") + COUNTIF(S18:S37, "x") + COUNTIF(S18:S37, "X")) &gt; 0, (COUNTIF(S18:S37, "✓") + COUNTIF(S18:S37, "✔") + COUNTIF(S18:S37, "v") + COUNTIF(S18:S37, "V")) &amp; "/" &amp; ((COUNTIF(S18:S37, "✓") + COUNTIF(S18:S37, "✔") + COUNTIF(S18:S37, "v") + COUNTIF(S18:S37, "V")) + COUNTIF(S18:S37, "✗") + COUNTIF(S18:S37, "x") + COUNTIF(S18:S37, "X")), "")</f>
        <v/>
      </c>
      <c r="T38" s="33">
        <f>IF(((COUNTIF(T18:T37, "✓") + COUNTIF(T18:T37, "✔") + COUNTIF(T18:T37, "v") + COUNTIF(T18:T37, "V")) + COUNTIF(T18:T37, "✗") + COUNTIF(T18:T37, "x") + COUNTIF(T18:T37, "X")) &gt; 0, (COUNTIF(T18:T37, "✓") + COUNTIF(T18:T37, "✔") + COUNTIF(T18:T37, "v") + COUNTIF(T18:T37, "V")) &amp; "/" &amp; ((COUNTIF(T18:T37, "✓") + COUNTIF(T18:T37, "✔") + COUNTIF(T18:T37, "v") + COUNTIF(T18:T37, "V")) + COUNTIF(T18:T37, "✗") + COUNTIF(T18:T37, "x") + COUNTIF(T18:T37, "X")), "")</f>
        <v/>
      </c>
      <c r="U38" s="33">
        <f>IF(((COUNTIF(U18:U37, "✓") + COUNTIF(U18:U37, "✔") + COUNTIF(U18:U37, "v") + COUNTIF(U18:U37, "V")) + COUNTIF(U18:U37, "✗") + COUNTIF(U18:U37, "x") + COUNTIF(U18:U37, "X")) &gt; 0, (COUNTIF(U18:U37, "✓") + COUNTIF(U18:U37, "✔") + COUNTIF(U18:U37, "v") + COUNTIF(U18:U37, "V")) &amp; "/" &amp; ((COUNTIF(U18:U37, "✓") + COUNTIF(U18:U37, "✔") + COUNTIF(U18:U37, "v") + COUNTIF(U18:U37, "V")) + COUNTIF(U18:U37, "✗") + COUNTIF(U18:U37, "x") + COUNTIF(U18:U37, "X")), "")</f>
        <v/>
      </c>
      <c r="V38" s="33">
        <f>IF(((COUNTIF(V18:V37, "✓") + COUNTIF(V18:V37, "✔") + COUNTIF(V18:V37, "v") + COUNTIF(V18:V37, "V")) + COUNTIF(V18:V37, "✗") + COUNTIF(V18:V37, "x") + COUNTIF(V18:V37, "X")) &gt; 0, (COUNTIF(V18:V37, "✓") + COUNTIF(V18:V37, "✔") + COUNTIF(V18:V37, "v") + COUNTIF(V18:V37, "V")) &amp; "/" &amp; ((COUNTIF(V18:V37, "✓") + COUNTIF(V18:V37, "✔") + COUNTIF(V18:V37, "v") + COUNTIF(V18:V37, "V")) + COUNTIF(V18:V37, "✗") + COUNTIF(V18:V37, "x") + COUNTIF(V18:V37, "X")), "")</f>
        <v/>
      </c>
      <c r="W38" s="33">
        <f>IF(((COUNTIF(W18:W37, "✓") + COUNTIF(W18:W37, "✔") + COUNTIF(W18:W37, "v") + COUNTIF(W18:W37, "V")) + COUNTIF(W18:W37, "✗") + COUNTIF(W18:W37, "x") + COUNTIF(W18:W37, "X")) &gt; 0, (COUNTIF(W18:W37, "✓") + COUNTIF(W18:W37, "✔") + COUNTIF(W18:W37, "v") + COUNTIF(W18:W37, "V")) &amp; "/" &amp; ((COUNTIF(W18:W37, "✓") + COUNTIF(W18:W37, "✔") + COUNTIF(W18:W37, "v") + COUNTIF(W18:W37, "V")) + COUNTIF(W18:W37, "✗") + COUNTIF(W18:W37, "x") + COUNTIF(W18:W37, "X")), "")</f>
        <v/>
      </c>
      <c r="X38" s="33">
        <f>IF(((COUNTIF(X18:X37, "✓") + COUNTIF(X18:X37, "✔") + COUNTIF(X18:X37, "v") + COUNTIF(X18:X37, "V")) + COUNTIF(X18:X37, "✗") + COUNTIF(X18:X37, "x") + COUNTIF(X18:X37, "X")) &gt; 0, (COUNTIF(X18:X37, "✓") + COUNTIF(X18:X37, "✔") + COUNTIF(X18:X37, "v") + COUNTIF(X18:X37, "V")) &amp; "/" &amp; ((COUNTIF(X18:X37, "✓") + COUNTIF(X18:X37, "✔") + COUNTIF(X18:X37, "v") + COUNTIF(X18:X37, "V")) + COUNTIF(X18:X37, "✗") + COUNTIF(X18:X37, "x") + COUNTIF(X18:X37, "X")), "")</f>
        <v/>
      </c>
      <c r="Y38" s="33">
        <f>IF(((COUNTIF(Y18:Y37, "✓") + COUNTIF(Y18:Y37, "✔") + COUNTIF(Y18:Y37, "v") + COUNTIF(Y18:Y37, "V")) + COUNTIF(Y18:Y37, "✗") + COUNTIF(Y18:Y37, "x") + COUNTIF(Y18:Y37, "X")) &gt; 0, (COUNTIF(Y18:Y37, "✓") + COUNTIF(Y18:Y37, "✔") + COUNTIF(Y18:Y37, "v") + COUNTIF(Y18:Y37, "V")) &amp; "/" &amp; ((COUNTIF(Y18:Y37, "✓") + COUNTIF(Y18:Y37, "✔") + COUNTIF(Y18:Y37, "v") + COUNTIF(Y18:Y37, "V")) + COUNTIF(Y18:Y37, "✗") + COUNTIF(Y18:Y37, "x") + COUNTIF(Y18:Y37, "X")), "")</f>
        <v/>
      </c>
      <c r="Z38" s="33">
        <f>IF(((COUNTIF(Z18:Z37, "✓") + COUNTIF(Z18:Z37, "✔") + COUNTIF(Z18:Z37, "v") + COUNTIF(Z18:Z37, "V")) + COUNTIF(Z18:Z37, "✗") + COUNTIF(Z18:Z37, "x") + COUNTIF(Z18:Z37, "X")) &gt; 0, (COUNTIF(Z18:Z37, "✓") + COUNTIF(Z18:Z37, "✔") + COUNTIF(Z18:Z37, "v") + COUNTIF(Z18:Z37, "V")) &amp; "/" &amp; ((COUNTIF(Z18:Z37, "✓") + COUNTIF(Z18:Z37, "✔") + COUNTIF(Z18:Z37, "v") + COUNTIF(Z18:Z37, "V")) + COUNTIF(Z18:Z37, "✗") + COUNTIF(Z18:Z37, "x") + COUNTIF(Z18:Z37, "X")), "")</f>
        <v/>
      </c>
      <c r="AA38" s="33">
        <f>IF(((COUNTIF(AA18:AA37, "✓") + COUNTIF(AA18:AA37, "✔") + COUNTIF(AA18:AA37, "v") + COUNTIF(AA18:AA37, "V")) + COUNTIF(AA18:AA37, "✗") + COUNTIF(AA18:AA37, "x") + COUNTIF(AA18:AA37, "X")) &gt; 0, (COUNTIF(AA18:AA37, "✓") + COUNTIF(AA18:AA37, "✔") + COUNTIF(AA18:AA37, "v") + COUNTIF(AA18:AA37, "V")) &amp; "/" &amp; ((COUNTIF(AA18:AA37, "✓") + COUNTIF(AA18:AA37, "✔") + COUNTIF(AA18:AA37, "v") + COUNTIF(AA18:AA37, "V")) + COUNTIF(AA18:AA37, "✗") + COUNTIF(AA18:AA37, "x") + COUNTIF(AA18:AA37, "X")), "")</f>
        <v/>
      </c>
      <c r="AB38" s="33">
        <f>IF(((COUNTIF(AB18:AB37, "✓") + COUNTIF(AB18:AB37, "✔") + COUNTIF(AB18:AB37, "v") + COUNTIF(AB18:AB37, "V")) + COUNTIF(AB18:AB37, "✗") + COUNTIF(AB18:AB37, "x") + COUNTIF(AB18:AB37, "X")) &gt; 0, (COUNTIF(AB18:AB37, "✓") + COUNTIF(AB18:AB37, "✔") + COUNTIF(AB18:AB37, "v") + COUNTIF(AB18:AB37, "V")) &amp; "/" &amp; ((COUNTIF(AB18:AB37, "✓") + COUNTIF(AB18:AB37, "✔") + COUNTIF(AB18:AB37, "v") + COUNTIF(AB18:AB37, "V")) + COUNTIF(AB18:AB37, "✗") + COUNTIF(AB18:AB37, "x") + COUNTIF(AB18:AB37, "X")), "")</f>
        <v/>
      </c>
      <c r="AC38" s="33">
        <f>IF(((COUNTIF(AC18:AC37, "✓") + COUNTIF(AC18:AC37, "✔") + COUNTIF(AC18:AC37, "v") + COUNTIF(AC18:AC37, "V")) + COUNTIF(AC18:AC37, "✗") + COUNTIF(AC18:AC37, "x") + COUNTIF(AC18:AC37, "X")) &gt; 0, (COUNTIF(AC18:AC37, "✓") + COUNTIF(AC18:AC37, "✔") + COUNTIF(AC18:AC37, "v") + COUNTIF(AC18:AC37, "V")) &amp; "/" &amp; ((COUNTIF(AC18:AC37, "✓") + COUNTIF(AC18:AC37, "✔") + COUNTIF(AC18:AC37, "v") + COUNTIF(AC18:AC37, "V")) + COUNTIF(AC18:AC37, "✗") + COUNTIF(AC18:AC37, "x") + COUNTIF(AC18:AC37, "X")), "")</f>
        <v/>
      </c>
      <c r="AD38" s="33">
        <f>IF(((COUNTIF(AD18:AD37, "✓") + COUNTIF(AD18:AD37, "✔") + COUNTIF(AD18:AD37, "v") + COUNTIF(AD18:AD37, "V")) + COUNTIF(AD18:AD37, "✗") + COUNTIF(AD18:AD37, "x") + COUNTIF(AD18:AD37, "X")) &gt; 0, (COUNTIF(AD18:AD37, "✓") + COUNTIF(AD18:AD37, "✔") + COUNTIF(AD18:AD37, "v") + COUNTIF(AD18:AD37, "V")) &amp; "/" &amp; ((COUNTIF(AD18:AD37, "✓") + COUNTIF(AD18:AD37, "✔") + COUNTIF(AD18:AD37, "v") + COUNTIF(AD18:AD37, "V")) + COUNTIF(AD18:AD37, "✗") + COUNTIF(AD18:AD37, "x") + COUNTIF(AD18:AD37, "X")), "")</f>
        <v/>
      </c>
      <c r="AE38" s="33">
        <f>IF(((COUNTIF(AE18:AE37, "✓") + COUNTIF(AE18:AE37, "✔") + COUNTIF(AE18:AE37, "v") + COUNTIF(AE18:AE37, "V")) + COUNTIF(AE18:AE37, "✗") + COUNTIF(AE18:AE37, "x") + COUNTIF(AE18:AE37, "X")) &gt; 0, (COUNTIF(AE18:AE37, "✓") + COUNTIF(AE18:AE37, "✔") + COUNTIF(AE18:AE37, "v") + COUNTIF(AE18:AE37, "V")) &amp; "/" &amp; ((COUNTIF(AE18:AE37, "✓") + COUNTIF(AE18:AE37, "✔") + COUNTIF(AE18:AE37, "v") + COUNTIF(AE18:AE37, "V")) + COUNTIF(AE18:AE37, "✗") + COUNTIF(AE18:AE37, "x") + COUNTIF(AE18:AE37, "X")), "")</f>
        <v/>
      </c>
      <c r="AF38" s="33">
        <f>IF(((COUNTIF(AF18:AF37, "✓") + COUNTIF(AF18:AF37, "✔") + COUNTIF(AF18:AF37, "v") + COUNTIF(AF18:AF37, "V")) + COUNTIF(AF18:AF37, "✗") + COUNTIF(AF18:AF37, "x") + COUNTIF(AF18:AF37, "X")) &gt; 0, (COUNTIF(AF18:AF37, "✓") + COUNTIF(AF18:AF37, "✔") + COUNTIF(AF18:AF37, "v") + COUNTIF(AF18:AF37, "V")) &amp; "/" &amp; ((COUNTIF(AF18:AF37, "✓") + COUNTIF(AF18:AF37, "✔") + COUNTIF(AF18:AF37, "v") + COUNTIF(AF18:AF37, "V")) + COUNTIF(AF18:AF37, "✗") + COUNTIF(AF18:AF37, "x") + COUNTIF(AF18:AF37, "X")), "")</f>
        <v/>
      </c>
      <c r="AG38" s="33">
        <f>IF(((COUNTIF(AG18:AG37, "✓") + COUNTIF(AG18:AG37, "✔") + COUNTIF(AG18:AG37, "v") + COUNTIF(AG18:AG37, "V")) + COUNTIF(AG18:AG37, "✗") + COUNTIF(AG18:AG37, "x") + COUNTIF(AG18:AG37, "X")) &gt; 0, (COUNTIF(AG18:AG37, "✓") + COUNTIF(AG18:AG37, "✔") + COUNTIF(AG18:AG37, "v") + COUNTIF(AG18:AG37, "V")) &amp; "/" &amp; ((COUNTIF(AG18:AG37, "✓") + COUNTIF(AG18:AG37, "✔") + COUNTIF(AG18:AG37, "v") + COUNTIF(AG18:AG37, "V")) + COUNTIF(AG18:AG37, "✗") + COUNTIF(AG18:AG37, "x") + COUNTIF(AG18:AG37, "X")), "")</f>
        <v/>
      </c>
      <c r="AH38" s="33">
        <f>IF(((COUNTIF(AH18:AH37, "✓") + COUNTIF(AH18:AH37, "✔") + COUNTIF(AH18:AH37, "v") + COUNTIF(AH18:AH37, "V")) + COUNTIF(AH18:AH37, "✗") + COUNTIF(AH18:AH37, "x") + COUNTIF(AH18:AH37, "X")) &gt; 0, (COUNTIF(AH18:AH37, "✓") + COUNTIF(AH18:AH37, "✔") + COUNTIF(AH18:AH37, "v") + COUNTIF(AH18:AH37, "V")) &amp; "/" &amp; ((COUNTIF(AH18:AH37, "✓") + COUNTIF(AH18:AH37, "✔") + COUNTIF(AH18:AH37, "v") + COUNTIF(AH18:AH37, "V")) + COUNTIF(AH18:AH37, "✗") + COUNTIF(AH18:AH37, "x") + COUNTIF(AH18:AH37, "X")), "")</f>
        <v/>
      </c>
      <c r="AI38" s="33">
        <f>IF(((COUNTIF(AI18:AI37, "✓") + COUNTIF(AI18:AI37, "✔") + COUNTIF(AI18:AI37, "v") + COUNTIF(AI18:AI37, "V")) + COUNTIF(AI18:AI37, "✗") + COUNTIF(AI18:AI37, "x") + COUNTIF(AI18:AI37, "X")) &gt; 0, (COUNTIF(AI18:AI37, "✓") + COUNTIF(AI18:AI37, "✔") + COUNTIF(AI18:AI37, "v") + COUNTIF(AI18:AI37, "V")) &amp; "/" &amp; ((COUNTIF(AI18:AI37, "✓") + COUNTIF(AI18:AI37, "✔") + COUNTIF(AI18:AI37, "v") + COUNTIF(AI18:AI37, "V")) + COUNTIF(AI18:AI37, "✗") + COUNTIF(AI18:AI37, "x") + COUNTIF(AI18:AI37, "X")), "")</f>
        <v/>
      </c>
      <c r="AJ38" s="133">
        <f>IF(SUM(D18:D37) &gt; 0, SUM(AM18:AM37) / SUM(D18:D37), "")</f>
        <v/>
      </c>
      <c r="AK38" s="33">
        <f>IF(SUM(D18:D37) &gt; 0, SUM(AM18:AM37) &amp; "/" &amp; SUM(D18:D37), "")</f>
        <v/>
      </c>
      <c r="AL38" s="54" t="n"/>
    </row>
    <row r="39" ht="18" customHeight="1">
      <c r="A39" s="132" t="inlineStr">
        <is>
          <t>DAILY SUCCESS %</t>
        </is>
      </c>
      <c r="B39" s="54" t="n"/>
      <c r="C39" s="54" t="n"/>
      <c r="D39" s="54" t="n"/>
      <c r="E39" s="134">
        <f>IF(((COUNTIF(E18:E37, "✓") + COUNTIF(E18:E37, "✔") + COUNTIF(E18:E37, "v") + COUNTIF(E18:E37, "V")) + COUNTIF(E18:E37, "✗") + COUNTIF(E18:E37, "x") + COUNTIF(E18:E37, "X")) &gt; 0, (COUNTIF(E18:E37, "✓") + COUNTIF(E18:E37, "✔") + COUNTIF(E18:E37, "v") + COUNTIF(E18:E37, "V")) / ((COUNTIF(E18:E37, "✓") + COUNTIF(E18:E37, "✔") + COUNTIF(E18:E37, "v") + COUNTIF(E18:E37, "V")) + COUNTIF(E18:E37, "✗") + COUNTIF(E18:E37, "x") + COUNTIF(E18:E37, "X")), "")</f>
        <v/>
      </c>
      <c r="F39" s="134">
        <f>IF(((COUNTIF(F18:F37, "✓") + COUNTIF(F18:F37, "✔") + COUNTIF(F18:F37, "v") + COUNTIF(F18:F37, "V")) + COUNTIF(F18:F37, "✗") + COUNTIF(F18:F37, "x") + COUNTIF(F18:F37, "X")) &gt; 0, (COUNTIF(F18:F37, "✓") + COUNTIF(F18:F37, "✔") + COUNTIF(F18:F37, "v") + COUNTIF(F18:F37, "V")) / ((COUNTIF(F18:F37, "✓") + COUNTIF(F18:F37, "✔") + COUNTIF(F18:F37, "v") + COUNTIF(F18:F37, "V")) + COUNTIF(F18:F37, "✗") + COUNTIF(F18:F37, "x") + COUNTIF(F18:F37, "X")), "")</f>
        <v/>
      </c>
      <c r="G39" s="134">
        <f>IF(((COUNTIF(G18:G37, "✓") + COUNTIF(G18:G37, "✔") + COUNTIF(G18:G37, "v") + COUNTIF(G18:G37, "V")) + COUNTIF(G18:G37, "✗") + COUNTIF(G18:G37, "x") + COUNTIF(G18:G37, "X")) &gt; 0, (COUNTIF(G18:G37, "✓") + COUNTIF(G18:G37, "✔") + COUNTIF(G18:G37, "v") + COUNTIF(G18:G37, "V")) / ((COUNTIF(G18:G37, "✓") + COUNTIF(G18:G37, "✔") + COUNTIF(G18:G37, "v") + COUNTIF(G18:G37, "V")) + COUNTIF(G18:G37, "✗") + COUNTIF(G18:G37, "x") + COUNTIF(G18:G37, "X")), "")</f>
        <v/>
      </c>
      <c r="H39" s="134">
        <f>IF(((COUNTIF(H18:H37, "✓") + COUNTIF(H18:H37, "✔") + COUNTIF(H18:H37, "v") + COUNTIF(H18:H37, "V")) + COUNTIF(H18:H37, "✗") + COUNTIF(H18:H37, "x") + COUNTIF(H18:H37, "X")) &gt; 0, (COUNTIF(H18:H37, "✓") + COUNTIF(H18:H37, "✔") + COUNTIF(H18:H37, "v") + COUNTIF(H18:H37, "V")) / ((COUNTIF(H18:H37, "✓") + COUNTIF(H18:H37, "✔") + COUNTIF(H18:H37, "v") + COUNTIF(H18:H37, "V")) + COUNTIF(H18:H37, "✗") + COUNTIF(H18:H37, "x") + COUNTIF(H18:H37, "X")), "")</f>
        <v/>
      </c>
      <c r="I39" s="134">
        <f>IF(((COUNTIF(I18:I37, "✓") + COUNTIF(I18:I37, "✔") + COUNTIF(I18:I37, "v") + COUNTIF(I18:I37, "V")) + COUNTIF(I18:I37, "✗") + COUNTIF(I18:I37, "x") + COUNTIF(I18:I37, "X")) &gt; 0, (COUNTIF(I18:I37, "✓") + COUNTIF(I18:I37, "✔") + COUNTIF(I18:I37, "v") + COUNTIF(I18:I37, "V")) / ((COUNTIF(I18:I37, "✓") + COUNTIF(I18:I37, "✔") + COUNTIF(I18:I37, "v") + COUNTIF(I18:I37, "V")) + COUNTIF(I18:I37, "✗") + COUNTIF(I18:I37, "x") + COUNTIF(I18:I37, "X")), "")</f>
        <v/>
      </c>
      <c r="J39" s="134">
        <f>IF(((COUNTIF(J18:J37, "✓") + COUNTIF(J18:J37, "✔") + COUNTIF(J18:J37, "v") + COUNTIF(J18:J37, "V")) + COUNTIF(J18:J37, "✗") + COUNTIF(J18:J37, "x") + COUNTIF(J18:J37, "X")) &gt; 0, (COUNTIF(J18:J37, "✓") + COUNTIF(J18:J37, "✔") + COUNTIF(J18:J37, "v") + COUNTIF(J18:J37, "V")) / ((COUNTIF(J18:J37, "✓") + COUNTIF(J18:J37, "✔") + COUNTIF(J18:J37, "v") + COUNTIF(J18:J37, "V")) + COUNTIF(J18:J37, "✗") + COUNTIF(J18:J37, "x") + COUNTIF(J18:J37, "X")), "")</f>
        <v/>
      </c>
      <c r="K39" s="134">
        <f>IF(((COUNTIF(K18:K37, "✓") + COUNTIF(K18:K37, "✔") + COUNTIF(K18:K37, "v") + COUNTIF(K18:K37, "V")) + COUNTIF(K18:K37, "✗") + COUNTIF(K18:K37, "x") + COUNTIF(K18:K37, "X")) &gt; 0, (COUNTIF(K18:K37, "✓") + COUNTIF(K18:K37, "✔") + COUNTIF(K18:K37, "v") + COUNTIF(K18:K37, "V")) / ((COUNTIF(K18:K37, "✓") + COUNTIF(K18:K37, "✔") + COUNTIF(K18:K37, "v") + COUNTIF(K18:K37, "V")) + COUNTIF(K18:K37, "✗") + COUNTIF(K18:K37, "x") + COUNTIF(K18:K37, "X")), "")</f>
        <v/>
      </c>
      <c r="L39" s="134">
        <f>IF(((COUNTIF(L18:L37, "✓") + COUNTIF(L18:L37, "✔") + COUNTIF(L18:L37, "v") + COUNTIF(L18:L37, "V")) + COUNTIF(L18:L37, "✗") + COUNTIF(L18:L37, "x") + COUNTIF(L18:L37, "X")) &gt; 0, (COUNTIF(L18:L37, "✓") + COUNTIF(L18:L37, "✔") + COUNTIF(L18:L37, "v") + COUNTIF(L18:L37, "V")) / ((COUNTIF(L18:L37, "✓") + COUNTIF(L18:L37, "✔") + COUNTIF(L18:L37, "v") + COUNTIF(L18:L37, "V")) + COUNTIF(L18:L37, "✗") + COUNTIF(L18:L37, "x") + COUNTIF(L18:L37, "X")), "")</f>
        <v/>
      </c>
      <c r="M39" s="134">
        <f>IF(((COUNTIF(M18:M37, "✓") + COUNTIF(M18:M37, "✔") + COUNTIF(M18:M37, "v") + COUNTIF(M18:M37, "V")) + COUNTIF(M18:M37, "✗") + COUNTIF(M18:M37, "x") + COUNTIF(M18:M37, "X")) &gt; 0, (COUNTIF(M18:M37, "✓") + COUNTIF(M18:M37, "✔") + COUNTIF(M18:M37, "v") + COUNTIF(M18:M37, "V")) / ((COUNTIF(M18:M37, "✓") + COUNTIF(M18:M37, "✔") + COUNTIF(M18:M37, "v") + COUNTIF(M18:M37, "V")) + COUNTIF(M18:M37, "✗") + COUNTIF(M18:M37, "x") + COUNTIF(M18:M37, "X")), "")</f>
        <v/>
      </c>
      <c r="N39" s="134">
        <f>IF(((COUNTIF(N18:N37, "✓") + COUNTIF(N18:N37, "✔") + COUNTIF(N18:N37, "v") + COUNTIF(N18:N37, "V")) + COUNTIF(N18:N37, "✗") + COUNTIF(N18:N37, "x") + COUNTIF(N18:N37, "X")) &gt; 0, (COUNTIF(N18:N37, "✓") + COUNTIF(N18:N37, "✔") + COUNTIF(N18:N37, "v") + COUNTIF(N18:N37, "V")) / ((COUNTIF(N18:N37, "✓") + COUNTIF(N18:N37, "✔") + COUNTIF(N18:N37, "v") + COUNTIF(N18:N37, "V")) + COUNTIF(N18:N37, "✗") + COUNTIF(N18:N37, "x") + COUNTIF(N18:N37, "X")), "")</f>
        <v/>
      </c>
      <c r="O39" s="134">
        <f>IF(((COUNTIF(O18:O37, "✓") + COUNTIF(O18:O37, "✔") + COUNTIF(O18:O37, "v") + COUNTIF(O18:O37, "V")) + COUNTIF(O18:O37, "✗") + COUNTIF(O18:O37, "x") + COUNTIF(O18:O37, "X")) &gt; 0, (COUNTIF(O18:O37, "✓") + COUNTIF(O18:O37, "✔") + COUNTIF(O18:O37, "v") + COUNTIF(O18:O37, "V")) / ((COUNTIF(O18:O37, "✓") + COUNTIF(O18:O37, "✔") + COUNTIF(O18:O37, "v") + COUNTIF(O18:O37, "V")) + COUNTIF(O18:O37, "✗") + COUNTIF(O18:O37, "x") + COUNTIF(O18:O37, "X")), "")</f>
        <v/>
      </c>
      <c r="P39" s="134">
        <f>IF(((COUNTIF(P18:P37, "✓") + COUNTIF(P18:P37, "✔") + COUNTIF(P18:P37, "v") + COUNTIF(P18:P37, "V")) + COUNTIF(P18:P37, "✗") + COUNTIF(P18:P37, "x") + COUNTIF(P18:P37, "X")) &gt; 0, (COUNTIF(P18:P37, "✓") + COUNTIF(P18:P37, "✔") + COUNTIF(P18:P37, "v") + COUNTIF(P18:P37, "V")) / ((COUNTIF(P18:P37, "✓") + COUNTIF(P18:P37, "✔") + COUNTIF(P18:P37, "v") + COUNTIF(P18:P37, "V")) + COUNTIF(P18:P37, "✗") + COUNTIF(P18:P37, "x") + COUNTIF(P18:P37, "X")), "")</f>
        <v/>
      </c>
      <c r="Q39" s="134">
        <f>IF(((COUNTIF(Q18:Q37, "✓") + COUNTIF(Q18:Q37, "✔") + COUNTIF(Q18:Q37, "v") + COUNTIF(Q18:Q37, "V")) + COUNTIF(Q18:Q37, "✗") + COUNTIF(Q18:Q37, "x") + COUNTIF(Q18:Q37, "X")) &gt; 0, (COUNTIF(Q18:Q37, "✓") + COUNTIF(Q18:Q37, "✔") + COUNTIF(Q18:Q37, "v") + COUNTIF(Q18:Q37, "V")) / ((COUNTIF(Q18:Q37, "✓") + COUNTIF(Q18:Q37, "✔") + COUNTIF(Q18:Q37, "v") + COUNTIF(Q18:Q37, "V")) + COUNTIF(Q18:Q37, "✗") + COUNTIF(Q18:Q37, "x") + COUNTIF(Q18:Q37, "X")), "")</f>
        <v/>
      </c>
      <c r="R39" s="134">
        <f>IF(((COUNTIF(R18:R37, "✓") + COUNTIF(R18:R37, "✔") + COUNTIF(R18:R37, "v") + COUNTIF(R18:R37, "V")) + COUNTIF(R18:R37, "✗") + COUNTIF(R18:R37, "x") + COUNTIF(R18:R37, "X")) &gt; 0, (COUNTIF(R18:R37, "✓") + COUNTIF(R18:R37, "✔") + COUNTIF(R18:R37, "v") + COUNTIF(R18:R37, "V")) / ((COUNTIF(R18:R37, "✓") + COUNTIF(R18:R37, "✔") + COUNTIF(R18:R37, "v") + COUNTIF(R18:R37, "V")) + COUNTIF(R18:R37, "✗") + COUNTIF(R18:R37, "x") + COUNTIF(R18:R37, "X")), "")</f>
        <v/>
      </c>
      <c r="S39" s="134">
        <f>IF(((COUNTIF(S18:S37, "✓") + COUNTIF(S18:S37, "✔") + COUNTIF(S18:S37, "v") + COUNTIF(S18:S37, "V")) + COUNTIF(S18:S37, "✗") + COUNTIF(S18:S37, "x") + COUNTIF(S18:S37, "X")) &gt; 0, (COUNTIF(S18:S37, "✓") + COUNTIF(S18:S37, "✔") + COUNTIF(S18:S37, "v") + COUNTIF(S18:S37, "V")) / ((COUNTIF(S18:S37, "✓") + COUNTIF(S18:S37, "✔") + COUNTIF(S18:S37, "v") + COUNTIF(S18:S37, "V")) + COUNTIF(S18:S37, "✗") + COUNTIF(S18:S37, "x") + COUNTIF(S18:S37, "X")), "")</f>
        <v/>
      </c>
      <c r="T39" s="134">
        <f>IF(((COUNTIF(T18:T37, "✓") + COUNTIF(T18:T37, "✔") + COUNTIF(T18:T37, "v") + COUNTIF(T18:T37, "V")) + COUNTIF(T18:T37, "✗") + COUNTIF(T18:T37, "x") + COUNTIF(T18:T37, "X")) &gt; 0, (COUNTIF(T18:T37, "✓") + COUNTIF(T18:T37, "✔") + COUNTIF(T18:T37, "v") + COUNTIF(T18:T37, "V")) / ((COUNTIF(T18:T37, "✓") + COUNTIF(T18:T37, "✔") + COUNTIF(T18:T37, "v") + COUNTIF(T18:T37, "V")) + COUNTIF(T18:T37, "✗") + COUNTIF(T18:T37, "x") + COUNTIF(T18:T37, "X")), "")</f>
        <v/>
      </c>
      <c r="U39" s="134">
        <f>IF(((COUNTIF(U18:U37, "✓") + COUNTIF(U18:U37, "✔") + COUNTIF(U18:U37, "v") + COUNTIF(U18:U37, "V")) + COUNTIF(U18:U37, "✗") + COUNTIF(U18:U37, "x") + COUNTIF(U18:U37, "X")) &gt; 0, (COUNTIF(U18:U37, "✓") + COUNTIF(U18:U37, "✔") + COUNTIF(U18:U37, "v") + COUNTIF(U18:U37, "V")) / ((COUNTIF(U18:U37, "✓") + COUNTIF(U18:U37, "✔") + COUNTIF(U18:U37, "v") + COUNTIF(U18:U37, "V")) + COUNTIF(U18:U37, "✗") + COUNTIF(U18:U37, "x") + COUNTIF(U18:U37, "X")), "")</f>
        <v/>
      </c>
      <c r="V39" s="134">
        <f>IF(((COUNTIF(V18:V37, "✓") + COUNTIF(V18:V37, "✔") + COUNTIF(V18:V37, "v") + COUNTIF(V18:V37, "V")) + COUNTIF(V18:V37, "✗") + COUNTIF(V18:V37, "x") + COUNTIF(V18:V37, "X")) &gt; 0, (COUNTIF(V18:V37, "✓") + COUNTIF(V18:V37, "✔") + COUNTIF(V18:V37, "v") + COUNTIF(V18:V37, "V")) / ((COUNTIF(V18:V37, "✓") + COUNTIF(V18:V37, "✔") + COUNTIF(V18:V37, "v") + COUNTIF(V18:V37, "V")) + COUNTIF(V18:V37, "✗") + COUNTIF(V18:V37, "x") + COUNTIF(V18:V37, "X")), "")</f>
        <v/>
      </c>
      <c r="W39" s="134">
        <f>IF(((COUNTIF(W18:W37, "✓") + COUNTIF(W18:W37, "✔") + COUNTIF(W18:W37, "v") + COUNTIF(W18:W37, "V")) + COUNTIF(W18:W37, "✗") + COUNTIF(W18:W37, "x") + COUNTIF(W18:W37, "X")) &gt; 0, (COUNTIF(W18:W37, "✓") + COUNTIF(W18:W37, "✔") + COUNTIF(W18:W37, "v") + COUNTIF(W18:W37, "V")) / ((COUNTIF(W18:W37, "✓") + COUNTIF(W18:W37, "✔") + COUNTIF(W18:W37, "v") + COUNTIF(W18:W37, "V")) + COUNTIF(W18:W37, "✗") + COUNTIF(W18:W37, "x") + COUNTIF(W18:W37, "X")), "")</f>
        <v/>
      </c>
      <c r="X39" s="134">
        <f>IF(((COUNTIF(X18:X37, "✓") + COUNTIF(X18:X37, "✔") + COUNTIF(X18:X37, "v") + COUNTIF(X18:X37, "V")) + COUNTIF(X18:X37, "✗") + COUNTIF(X18:X37, "x") + COUNTIF(X18:X37, "X")) &gt; 0, (COUNTIF(X18:X37, "✓") + COUNTIF(X18:X37, "✔") + COUNTIF(X18:X37, "v") + COUNTIF(X18:X37, "V")) / ((COUNTIF(X18:X37, "✓") + COUNTIF(X18:X37, "✔") + COUNTIF(X18:X37, "v") + COUNTIF(X18:X37, "V")) + COUNTIF(X18:X37, "✗") + COUNTIF(X18:X37, "x") + COUNTIF(X18:X37, "X")), "")</f>
        <v/>
      </c>
      <c r="Y39" s="134">
        <f>IF(((COUNTIF(Y18:Y37, "✓") + COUNTIF(Y18:Y37, "✔") + COUNTIF(Y18:Y37, "v") + COUNTIF(Y18:Y37, "V")) + COUNTIF(Y18:Y37, "✗") + COUNTIF(Y18:Y37, "x") + COUNTIF(Y18:Y37, "X")) &gt; 0, (COUNTIF(Y18:Y37, "✓") + COUNTIF(Y18:Y37, "✔") + COUNTIF(Y18:Y37, "v") + COUNTIF(Y18:Y37, "V")) / ((COUNTIF(Y18:Y37, "✓") + COUNTIF(Y18:Y37, "✔") + COUNTIF(Y18:Y37, "v") + COUNTIF(Y18:Y37, "V")) + COUNTIF(Y18:Y37, "✗") + COUNTIF(Y18:Y37, "x") + COUNTIF(Y18:Y37, "X")), "")</f>
        <v/>
      </c>
      <c r="Z39" s="134">
        <f>IF(((COUNTIF(Z18:Z37, "✓") + COUNTIF(Z18:Z37, "✔") + COUNTIF(Z18:Z37, "v") + COUNTIF(Z18:Z37, "V")) + COUNTIF(Z18:Z37, "✗") + COUNTIF(Z18:Z37, "x") + COUNTIF(Z18:Z37, "X")) &gt; 0, (COUNTIF(Z18:Z37, "✓") + COUNTIF(Z18:Z37, "✔") + COUNTIF(Z18:Z37, "v") + COUNTIF(Z18:Z37, "V")) / ((COUNTIF(Z18:Z37, "✓") + COUNTIF(Z18:Z37, "✔") + COUNTIF(Z18:Z37, "v") + COUNTIF(Z18:Z37, "V")) + COUNTIF(Z18:Z37, "✗") + COUNTIF(Z18:Z37, "x") + COUNTIF(Z18:Z37, "X")), "")</f>
        <v/>
      </c>
      <c r="AA39" s="134">
        <f>IF(((COUNTIF(AA18:AA37, "✓") + COUNTIF(AA18:AA37, "✔") + COUNTIF(AA18:AA37, "v") + COUNTIF(AA18:AA37, "V")) + COUNTIF(AA18:AA37, "✗") + COUNTIF(AA18:AA37, "x") + COUNTIF(AA18:AA37, "X")) &gt; 0, (COUNTIF(AA18:AA37, "✓") + COUNTIF(AA18:AA37, "✔") + COUNTIF(AA18:AA37, "v") + COUNTIF(AA18:AA37, "V")) / ((COUNTIF(AA18:AA37, "✓") + COUNTIF(AA18:AA37, "✔") + COUNTIF(AA18:AA37, "v") + COUNTIF(AA18:AA37, "V")) + COUNTIF(AA18:AA37, "✗") + COUNTIF(AA18:AA37, "x") + COUNTIF(AA18:AA37, "X")), "")</f>
        <v/>
      </c>
      <c r="AB39" s="134">
        <f>IF(((COUNTIF(AB18:AB37, "✓") + COUNTIF(AB18:AB37, "✔") + COUNTIF(AB18:AB37, "v") + COUNTIF(AB18:AB37, "V")) + COUNTIF(AB18:AB37, "✗") + COUNTIF(AB18:AB37, "x") + COUNTIF(AB18:AB37, "X")) &gt; 0, (COUNTIF(AB18:AB37, "✓") + COUNTIF(AB18:AB37, "✔") + COUNTIF(AB18:AB37, "v") + COUNTIF(AB18:AB37, "V")) / ((COUNTIF(AB18:AB37, "✓") + COUNTIF(AB18:AB37, "✔") + COUNTIF(AB18:AB37, "v") + COUNTIF(AB18:AB37, "V")) + COUNTIF(AB18:AB37, "✗") + COUNTIF(AB18:AB37, "x") + COUNTIF(AB18:AB37, "X")), "")</f>
        <v/>
      </c>
      <c r="AC39" s="134">
        <f>IF(((COUNTIF(AC18:AC37, "✓") + COUNTIF(AC18:AC37, "✔") + COUNTIF(AC18:AC37, "v") + COUNTIF(AC18:AC37, "V")) + COUNTIF(AC18:AC37, "✗") + COUNTIF(AC18:AC37, "x") + COUNTIF(AC18:AC37, "X")) &gt; 0, (COUNTIF(AC18:AC37, "✓") + COUNTIF(AC18:AC37, "✔") + COUNTIF(AC18:AC37, "v") + COUNTIF(AC18:AC37, "V")) / ((COUNTIF(AC18:AC37, "✓") + COUNTIF(AC18:AC37, "✔") + COUNTIF(AC18:AC37, "v") + COUNTIF(AC18:AC37, "V")) + COUNTIF(AC18:AC37, "✗") + COUNTIF(AC18:AC37, "x") + COUNTIF(AC18:AC37, "X")), "")</f>
        <v/>
      </c>
      <c r="AD39" s="134">
        <f>IF(((COUNTIF(AD18:AD37, "✓") + COUNTIF(AD18:AD37, "✔") + COUNTIF(AD18:AD37, "v") + COUNTIF(AD18:AD37, "V")) + COUNTIF(AD18:AD37, "✗") + COUNTIF(AD18:AD37, "x") + COUNTIF(AD18:AD37, "X")) &gt; 0, (COUNTIF(AD18:AD37, "✓") + COUNTIF(AD18:AD37, "✔") + COUNTIF(AD18:AD37, "v") + COUNTIF(AD18:AD37, "V")) / ((COUNTIF(AD18:AD37, "✓") + COUNTIF(AD18:AD37, "✔") + COUNTIF(AD18:AD37, "v") + COUNTIF(AD18:AD37, "V")) + COUNTIF(AD18:AD37, "✗") + COUNTIF(AD18:AD37, "x") + COUNTIF(AD18:AD37, "X")), "")</f>
        <v/>
      </c>
      <c r="AE39" s="134">
        <f>IF(((COUNTIF(AE18:AE37, "✓") + COUNTIF(AE18:AE37, "✔") + COUNTIF(AE18:AE37, "v") + COUNTIF(AE18:AE37, "V")) + COUNTIF(AE18:AE37, "✗") + COUNTIF(AE18:AE37, "x") + COUNTIF(AE18:AE37, "X")) &gt; 0, (COUNTIF(AE18:AE37, "✓") + COUNTIF(AE18:AE37, "✔") + COUNTIF(AE18:AE37, "v") + COUNTIF(AE18:AE37, "V")) / ((COUNTIF(AE18:AE37, "✓") + COUNTIF(AE18:AE37, "✔") + COUNTIF(AE18:AE37, "v") + COUNTIF(AE18:AE37, "V")) + COUNTIF(AE18:AE37, "✗") + COUNTIF(AE18:AE37, "x") + COUNTIF(AE18:AE37, "X")), "")</f>
        <v/>
      </c>
      <c r="AF39" s="134">
        <f>IF(((COUNTIF(AF18:AF37, "✓") + COUNTIF(AF18:AF37, "✔") + COUNTIF(AF18:AF37, "v") + COUNTIF(AF18:AF37, "V")) + COUNTIF(AF18:AF37, "✗") + COUNTIF(AF18:AF37, "x") + COUNTIF(AF18:AF37, "X")) &gt; 0, (COUNTIF(AF18:AF37, "✓") + COUNTIF(AF18:AF37, "✔") + COUNTIF(AF18:AF37, "v") + COUNTIF(AF18:AF37, "V")) / ((COUNTIF(AF18:AF37, "✓") + COUNTIF(AF18:AF37, "✔") + COUNTIF(AF18:AF37, "v") + COUNTIF(AF18:AF37, "V")) + COUNTIF(AF18:AF37, "✗") + COUNTIF(AF18:AF37, "x") + COUNTIF(AF18:AF37, "X")), "")</f>
        <v/>
      </c>
      <c r="AG39" s="134">
        <f>IF(((COUNTIF(AG18:AG37, "✓") + COUNTIF(AG18:AG37, "✔") + COUNTIF(AG18:AG37, "v") + COUNTIF(AG18:AG37, "V")) + COUNTIF(AG18:AG37, "✗") + COUNTIF(AG18:AG37, "x") + COUNTIF(AG18:AG37, "X")) &gt; 0, (COUNTIF(AG18:AG37, "✓") + COUNTIF(AG18:AG37, "✔") + COUNTIF(AG18:AG37, "v") + COUNTIF(AG18:AG37, "V")) / ((COUNTIF(AG18:AG37, "✓") + COUNTIF(AG18:AG37, "✔") + COUNTIF(AG18:AG37, "v") + COUNTIF(AG18:AG37, "V")) + COUNTIF(AG18:AG37, "✗") + COUNTIF(AG18:AG37, "x") + COUNTIF(AG18:AG37, "X")), "")</f>
        <v/>
      </c>
      <c r="AH39" s="134">
        <f>IF(((COUNTIF(AH18:AH37, "✓") + COUNTIF(AH18:AH37, "✔") + COUNTIF(AH18:AH37, "v") + COUNTIF(AH18:AH37, "V")) + COUNTIF(AH18:AH37, "✗") + COUNTIF(AH18:AH37, "x") + COUNTIF(AH18:AH37, "X")) &gt; 0, (COUNTIF(AH18:AH37, "✓") + COUNTIF(AH18:AH37, "✔") + COUNTIF(AH18:AH37, "v") + COUNTIF(AH18:AH37, "V")) / ((COUNTIF(AH18:AH37, "✓") + COUNTIF(AH18:AH37, "✔") + COUNTIF(AH18:AH37, "v") + COUNTIF(AH18:AH37, "V")) + COUNTIF(AH18:AH37, "✗") + COUNTIF(AH18:AH37, "x") + COUNTIF(AH18:AH37, "X")), "")</f>
        <v/>
      </c>
      <c r="AI39" s="134">
        <f>IF(((COUNTIF(AI18:AI37, "✓") + COUNTIF(AI18:AI37, "✔") + COUNTIF(AI18:AI37, "v") + COUNTIF(AI18:AI37, "V")) + COUNTIF(AI18:AI37, "✗") + COUNTIF(AI18:AI37, "x") + COUNTIF(AI18:AI37, "X")) &gt; 0, (COUNTIF(AI18:AI37, "✓") + COUNTIF(AI18:AI37, "✔") + COUNTIF(AI18:AI37, "v") + COUNTIF(AI18:AI37, "V")) / ((COUNTIF(AI18:AI37, "✓") + COUNTIF(AI18:AI37, "✔") + COUNTIF(AI18:AI37, "v") + COUNTIF(AI18:AI37, "V")) + COUNTIF(AI18:AI37, "✗") + COUNTIF(AI18:AI37, "x") + COUNTIF(AI18:AI37, "X")), "")</f>
        <v/>
      </c>
      <c r="AJ39" s="133">
        <f>IF(COUNT(E39:AI39) &gt; 0, AVERAGE(E39:AI39), "")</f>
        <v/>
      </c>
      <c r="AK39" s="54" t="n"/>
      <c r="AL39" s="54" t="n"/>
    </row>
    <row r="40" ht="6" customHeight="1"/>
    <row r="41" ht="15" customHeight="1">
      <c r="A41" s="135" t="inlineStr">
        <is>
          <t>IF SUCCESS &lt; 80%, PUNISHMENT: ________________________________________________</t>
        </is>
      </c>
    </row>
    <row r="42" ht="15" customHeight="1">
      <c r="A42" s="136" t="inlineStr">
        <is>
          <t>IF SUCCESS &gt; 90%, REWARD: __________________________________________________</t>
        </is>
      </c>
    </row>
    <row r="43" ht="10" customHeight="1"/>
    <row r="44" ht="10" customHeight="1"/>
    <row r="45" ht="15" customHeight="1">
      <c r="A45" s="51" t="inlineStr">
        <is>
          <t>Sleep Tracking</t>
        </is>
      </c>
      <c r="B45" s="52" t="n"/>
      <c r="C45" s="52" t="n"/>
      <c r="D45" s="52" t="n"/>
      <c r="E45" s="137" t="n">
        <v>1</v>
      </c>
      <c r="F45" s="138" t="n">
        <v>2</v>
      </c>
      <c r="G45" s="137" t="n">
        <v>3</v>
      </c>
      <c r="H45" s="137" t="n">
        <v>4</v>
      </c>
      <c r="I45" s="137" t="n">
        <v>5</v>
      </c>
      <c r="J45" s="137" t="n">
        <v>6</v>
      </c>
      <c r="K45" s="137" t="n">
        <v>7</v>
      </c>
      <c r="L45" s="137" t="n">
        <v>8</v>
      </c>
      <c r="M45" s="138" t="n">
        <v>9</v>
      </c>
      <c r="N45" s="137" t="n">
        <v>10</v>
      </c>
      <c r="O45" s="137" t="n">
        <v>11</v>
      </c>
      <c r="P45" s="137" t="n">
        <v>12</v>
      </c>
      <c r="Q45" s="137" t="n">
        <v>13</v>
      </c>
      <c r="R45" s="137" t="n">
        <v>14</v>
      </c>
      <c r="S45" s="137" t="n">
        <v>15</v>
      </c>
      <c r="T45" s="138" t="n">
        <v>16</v>
      </c>
      <c r="U45" s="137" t="n">
        <v>17</v>
      </c>
      <c r="V45" s="137" t="n">
        <v>18</v>
      </c>
      <c r="W45" s="137" t="n">
        <v>19</v>
      </c>
      <c r="X45" s="137" t="n">
        <v>20</v>
      </c>
      <c r="Y45" s="137" t="n">
        <v>21</v>
      </c>
      <c r="Z45" s="137" t="n">
        <v>22</v>
      </c>
      <c r="AA45" s="138" t="n">
        <v>23</v>
      </c>
      <c r="AB45" s="137" t="n">
        <v>24</v>
      </c>
      <c r="AC45" s="137" t="n">
        <v>25</v>
      </c>
      <c r="AD45" s="137" t="n">
        <v>26</v>
      </c>
      <c r="AE45" s="137" t="n">
        <v>27</v>
      </c>
      <c r="AF45" s="137" t="n">
        <v>28</v>
      </c>
      <c r="AG45" s="137" t="n">
        <v>29</v>
      </c>
      <c r="AH45" s="138" t="n">
        <v>30</v>
      </c>
      <c r="AI45" s="137" t="n">
        <v>31</v>
      </c>
    </row>
    <row r="46" ht="15" customHeight="1">
      <c r="A46" s="52" t="n"/>
      <c r="B46" s="52" t="n"/>
      <c r="C46" s="52" t="n"/>
      <c r="D46" s="52" t="n"/>
      <c r="E46" s="139" t="inlineStr">
        <is>
          <t>Sa</t>
        </is>
      </c>
      <c r="F46" s="140" t="inlineStr">
        <is>
          <t>Su</t>
        </is>
      </c>
      <c r="G46" s="139" t="inlineStr">
        <is>
          <t>M</t>
        </is>
      </c>
      <c r="H46" s="139" t="inlineStr">
        <is>
          <t>T</t>
        </is>
      </c>
      <c r="I46" s="139" t="inlineStr">
        <is>
          <t>W</t>
        </is>
      </c>
      <c r="J46" s="139" t="inlineStr">
        <is>
          <t>Th</t>
        </is>
      </c>
      <c r="K46" s="139" t="inlineStr">
        <is>
          <t>F</t>
        </is>
      </c>
      <c r="L46" s="139" t="inlineStr">
        <is>
          <t>Sa</t>
        </is>
      </c>
      <c r="M46" s="140" t="inlineStr">
        <is>
          <t>Su</t>
        </is>
      </c>
      <c r="N46" s="139" t="inlineStr">
        <is>
          <t>M</t>
        </is>
      </c>
      <c r="O46" s="139" t="inlineStr">
        <is>
          <t>T</t>
        </is>
      </c>
      <c r="P46" s="139" t="inlineStr">
        <is>
          <t>W</t>
        </is>
      </c>
      <c r="Q46" s="139" t="inlineStr">
        <is>
          <t>Th</t>
        </is>
      </c>
      <c r="R46" s="139" t="inlineStr">
        <is>
          <t>F</t>
        </is>
      </c>
      <c r="S46" s="139" t="inlineStr">
        <is>
          <t>Sa</t>
        </is>
      </c>
      <c r="T46" s="140" t="inlineStr">
        <is>
          <t>Su</t>
        </is>
      </c>
      <c r="U46" s="139" t="inlineStr">
        <is>
          <t>M</t>
        </is>
      </c>
      <c r="V46" s="139" t="inlineStr">
        <is>
          <t>T</t>
        </is>
      </c>
      <c r="W46" s="139" t="inlineStr">
        <is>
          <t>W</t>
        </is>
      </c>
      <c r="X46" s="139" t="inlineStr">
        <is>
          <t>Th</t>
        </is>
      </c>
      <c r="Y46" s="139" t="inlineStr">
        <is>
          <t>F</t>
        </is>
      </c>
      <c r="Z46" s="139" t="inlineStr">
        <is>
          <t>Sa</t>
        </is>
      </c>
      <c r="AA46" s="140" t="inlineStr">
        <is>
          <t>Su</t>
        </is>
      </c>
      <c r="AB46" s="139" t="inlineStr">
        <is>
          <t>M</t>
        </is>
      </c>
      <c r="AC46" s="139" t="inlineStr">
        <is>
          <t>T</t>
        </is>
      </c>
      <c r="AD46" s="139" t="inlineStr">
        <is>
          <t>W</t>
        </is>
      </c>
      <c r="AE46" s="139" t="inlineStr">
        <is>
          <t>Th</t>
        </is>
      </c>
      <c r="AF46" s="139" t="inlineStr">
        <is>
          <t>F</t>
        </is>
      </c>
      <c r="AG46" s="139" t="inlineStr">
        <is>
          <t>Sa</t>
        </is>
      </c>
      <c r="AH46" s="140" t="inlineStr">
        <is>
          <t>Su</t>
        </is>
      </c>
      <c r="AI46" s="139" t="inlineStr">
        <is>
          <t>M</t>
        </is>
      </c>
    </row>
    <row r="47" ht="20" customHeight="1">
      <c r="A47" s="141" t="inlineStr">
        <is>
          <t>Sleep Hours (1-24)</t>
        </is>
      </c>
      <c r="B47" s="142" t="n"/>
      <c r="C47" s="142" t="n"/>
      <c r="D47" s="142" t="n"/>
      <c r="E47" s="143" t="n"/>
      <c r="F47" s="144" t="n"/>
      <c r="G47" s="143" t="n"/>
      <c r="H47" s="143" t="n"/>
      <c r="I47" s="143" t="n"/>
      <c r="J47" s="143" t="n"/>
      <c r="K47" s="143" t="n"/>
      <c r="L47" s="143" t="n"/>
      <c r="M47" s="144" t="n"/>
      <c r="N47" s="143" t="n"/>
      <c r="O47" s="143" t="n"/>
      <c r="P47" s="143" t="n"/>
      <c r="Q47" s="143" t="n"/>
      <c r="R47" s="143" t="n"/>
      <c r="S47" s="143" t="n"/>
      <c r="T47" s="144" t="n"/>
      <c r="U47" s="143" t="n"/>
      <c r="V47" s="143" t="n"/>
      <c r="W47" s="143" t="n"/>
      <c r="X47" s="143" t="n"/>
      <c r="Y47" s="143" t="n"/>
      <c r="Z47" s="143" t="n"/>
      <c r="AA47" s="144" t="n"/>
      <c r="AB47" s="143" t="n"/>
      <c r="AC47" s="143" t="n"/>
      <c r="AD47" s="143" t="n"/>
      <c r="AE47" s="143" t="n"/>
      <c r="AF47" s="143" t="n"/>
      <c r="AG47" s="143" t="n"/>
      <c r="AH47" s="144" t="n"/>
      <c r="AI47" s="143" t="n"/>
    </row>
    <row r="48" ht="6" customHeight="1"/>
    <row r="49" ht="14" customHeight="1"/>
    <row r="50" ht="14" customHeight="1"/>
    <row r="51" ht="14" customHeight="1"/>
    <row r="52" ht="14" customHeight="1"/>
    <row r="53" ht="14" customHeight="1"/>
    <row r="54" ht="14" customHeight="1"/>
    <row r="55" ht="14" customHeight="1"/>
    <row r="56" ht="14" customHeight="1"/>
    <row r="57" ht="14" customHeight="1"/>
    <row r="58" ht="14" customHeight="1"/>
    <row r="59" ht="14" customHeight="1"/>
    <row r="60" ht="14" customHeight="1"/>
    <row r="61" ht="14" customHeight="1"/>
    <row r="62" ht="14" customHeight="1"/>
    <row r="63" ht="14" customHeight="1"/>
    <row r="64" ht="14" customHeight="1"/>
    <row r="65" ht="14" customHeight="1"/>
    <row r="66" ht="8" customHeight="1"/>
    <row r="67">
      <c r="A67" s="145" t="inlineStr">
        <is>
          <t>MONTHLY SUCCESS RATE</t>
        </is>
      </c>
      <c r="B67" s="9" t="n"/>
      <c r="C67" s="9" t="n"/>
      <c r="D67" s="9" t="n"/>
      <c r="F67" s="146" t="inlineStr">
        <is>
          <t>ACTIVE PROTOCOLS</t>
        </is>
      </c>
      <c r="G67" s="11" t="n"/>
      <c r="H67" s="11" t="n"/>
      <c r="I67" s="11" t="n"/>
      <c r="K67" s="147" t="inlineStr">
        <is>
          <t>PERFECT DAYS (100%)</t>
        </is>
      </c>
      <c r="L67" s="13" t="n"/>
      <c r="M67" s="13" t="n"/>
      <c r="N67" s="13" t="n"/>
      <c r="P67" s="148" t="inlineStr">
        <is>
          <t>AVG SLEEP DURATION</t>
        </is>
      </c>
      <c r="Q67" s="15" t="n"/>
      <c r="R67" s="15" t="n"/>
      <c r="S67" s="15" t="n"/>
    </row>
    <row r="68">
      <c r="A68" s="149">
        <f>IF(SUM(D18:D37)&gt;0, SUM(AM18:AM37)/SUM(D18:D37), 0)</f>
        <v/>
      </c>
      <c r="B68" s="9" t="n"/>
      <c r="C68" s="9" t="n"/>
      <c r="D68" s="9" t="n"/>
      <c r="F68" s="150">
        <f>COUNTA(B18:B37) &amp; " / 20"</f>
        <v/>
      </c>
      <c r="G68" s="11" t="n"/>
      <c r="H68" s="11" t="n"/>
      <c r="I68" s="11" t="n"/>
      <c r="K68" s="151">
        <f>COUNTIF(E39:AI39, 1) &amp; " Days"</f>
        <v/>
      </c>
      <c r="L68" s="13" t="n"/>
      <c r="M68" s="13" t="n"/>
      <c r="N68" s="13" t="n"/>
      <c r="P68" s="152">
        <f>IFERROR(TEXT(AVERAGE(E47:AI47), "0.0") &amp; " hrs", "-")</f>
        <v/>
      </c>
      <c r="Q68" s="15" t="n"/>
      <c r="R68" s="15" t="n"/>
      <c r="S68" s="15" t="n"/>
    </row>
    <row r="69">
      <c r="A69" s="9" t="n"/>
      <c r="B69" s="9" t="n"/>
      <c r="C69" s="9" t="n"/>
      <c r="D69" s="9" t="n"/>
      <c r="F69" s="11" t="n"/>
      <c r="G69" s="11" t="n"/>
      <c r="H69" s="11" t="n"/>
      <c r="I69" s="11" t="n"/>
      <c r="K69" s="13" t="n"/>
      <c r="L69" s="13" t="n"/>
      <c r="M69" s="13" t="n"/>
      <c r="N69" s="13" t="n"/>
      <c r="P69" s="15" t="n"/>
      <c r="Q69" s="15" t="n"/>
      <c r="R69" s="15" t="n"/>
      <c r="S69" s="15" t="n"/>
    </row>
    <row r="70">
      <c r="A70" s="9" t="n"/>
      <c r="B70" s="9" t="n"/>
      <c r="C70" s="9" t="n"/>
      <c r="D70" s="9" t="n"/>
      <c r="F70" s="11" t="n"/>
      <c r="G70" s="11" t="n"/>
      <c r="H70" s="11" t="n"/>
      <c r="I70" s="11" t="n"/>
      <c r="K70" s="13" t="n"/>
      <c r="L70" s="13" t="n"/>
      <c r="M70" s="13" t="n"/>
      <c r="N70" s="13" t="n"/>
      <c r="P70" s="15" t="n"/>
      <c r="Q70" s="15" t="n"/>
      <c r="R70" s="15" t="n"/>
      <c r="S70" s="15" t="n"/>
    </row>
    <row r="71">
      <c r="A71" s="153" t="inlineStr">
        <is>
          <t>Target Completion</t>
        </is>
      </c>
      <c r="B71" s="9" t="n"/>
      <c r="C71" s="9" t="n"/>
      <c r="D71" s="9" t="n"/>
      <c r="F71" s="154" t="inlineStr">
        <is>
          <t>Habits Tracked</t>
        </is>
      </c>
      <c r="G71" s="11" t="n"/>
      <c r="H71" s="11" t="n"/>
      <c r="I71" s="11" t="n"/>
      <c r="K71" s="155" t="inlineStr">
        <is>
          <t>All Marked Habits Completed</t>
        </is>
      </c>
      <c r="L71" s="13" t="n"/>
      <c r="M71" s="13" t="n"/>
      <c r="N71" s="13" t="n"/>
      <c r="P71" s="156" t="inlineStr">
        <is>
          <t>Nightly Rest Average</t>
        </is>
      </c>
      <c r="Q71" s="15" t="n"/>
      <c r="R71" s="15" t="n"/>
      <c r="S71" s="15" t="n"/>
    </row>
    <row r="72" ht="8" customHeight="1"/>
    <row r="73" ht="6" customHeight="1"/>
    <row r="74">
      <c r="A74" s="67" t="inlineStr">
        <is>
          <t>WEEKLY PERFORMANCE (SLUMP DETECTOR)</t>
        </is>
      </c>
      <c r="B74" s="29" t="n"/>
      <c r="C74" s="29" t="n"/>
      <c r="D74" s="29" t="n"/>
      <c r="E74" s="29" t="n"/>
      <c r="N74" s="157" t="inlineStr">
        <is>
          <t>LIFE DOMAIN / CATEGORY BREAKDOWN</t>
        </is>
      </c>
      <c r="O74" s="158" t="n"/>
      <c r="P74" s="158" t="n"/>
      <c r="Q74" s="158" t="n"/>
      <c r="R74" s="158" t="n"/>
      <c r="S74" s="158" t="n"/>
    </row>
    <row r="75" ht="15" customHeight="1">
      <c r="A75" s="53" t="inlineStr">
        <is>
          <t>Week</t>
        </is>
      </c>
      <c r="B75" s="53" t="inlineStr">
        <is>
          <t>Days Range</t>
        </is>
      </c>
      <c r="C75" s="53" t="inlineStr">
        <is>
          <t>Checks Done</t>
        </is>
      </c>
      <c r="D75" s="53" t="inlineStr">
        <is>
          <t>Evaluated</t>
        </is>
      </c>
      <c r="E75" s="53" t="inlineStr">
        <is>
          <t>Success %</t>
        </is>
      </c>
      <c r="N75" s="53" t="inlineStr">
        <is>
          <t>Domain / Category</t>
        </is>
      </c>
      <c r="O75" s="54" t="n"/>
      <c r="P75" s="53" t="inlineStr">
        <is>
          <t>Active Habits</t>
        </is>
      </c>
      <c r="Q75" s="53" t="inlineStr">
        <is>
          <t>Target Days</t>
        </is>
      </c>
      <c r="R75" s="53" t="inlineStr">
        <is>
          <t>Done Checks</t>
        </is>
      </c>
      <c r="S75" s="53" t="inlineStr">
        <is>
          <t>Success %</t>
        </is>
      </c>
    </row>
    <row r="76" ht="14" customHeight="1">
      <c r="A76" s="33" t="inlineStr">
        <is>
          <t>Week 1</t>
        </is>
      </c>
      <c r="B76" s="34" t="inlineStr">
        <is>
          <t>Days 1 - 7</t>
        </is>
      </c>
      <c r="C76" s="34">
        <f>COUNTIF(E18:K37, "✓")</f>
        <v/>
      </c>
      <c r="D76" s="34">
        <f>COUNTIF(E18:K37, "✓") + COUNTIF(E18:K37, "✗")</f>
        <v/>
      </c>
      <c r="E76" s="35">
        <f>IFERROR(C76/D76, 0)</f>
        <v/>
      </c>
      <c r="N76" s="60" t="inlineStr">
        <is>
          <t>Health &amp; Fitness</t>
        </is>
      </c>
      <c r="O76" s="54" t="n"/>
      <c r="P76" s="34">
        <f>COUNTIF($C$18:$C$37, "Health &amp; Fitness")</f>
        <v/>
      </c>
      <c r="Q76" s="34">
        <f>SUMIF($C$18:$C$37, "Health &amp; Fitness", $D$18:$D$37)</f>
        <v/>
      </c>
      <c r="R76" s="34">
        <f>SUMIF($C$18:$C$37, "Health &amp; Fitness", $AM$18:$AM$37)</f>
        <v/>
      </c>
      <c r="S76" s="35">
        <f>IFERROR(R76/Q76, 0)</f>
        <v/>
      </c>
    </row>
    <row r="77" ht="14" customHeight="1">
      <c r="A77" s="33" t="inlineStr">
        <is>
          <t>Week 2</t>
        </is>
      </c>
      <c r="B77" s="34" t="inlineStr">
        <is>
          <t>Days 8 - 14</t>
        </is>
      </c>
      <c r="C77" s="34">
        <f>COUNTIF(L18:R37, "✓")</f>
        <v/>
      </c>
      <c r="D77" s="34">
        <f>COUNTIF(L18:R37, "✓") + COUNTIF(L18:R37, "✗")</f>
        <v/>
      </c>
      <c r="E77" s="35">
        <f>IFERROR(C77/D77, 0)</f>
        <v/>
      </c>
      <c r="N77" s="60" t="inlineStr">
        <is>
          <t>Mindset &amp; Learning</t>
        </is>
      </c>
      <c r="O77" s="54" t="n"/>
      <c r="P77" s="34">
        <f>COUNTIF($C$18:$C$37, "Mindset &amp; Learning")</f>
        <v/>
      </c>
      <c r="Q77" s="34">
        <f>SUMIF($C$18:$C$37, "Mindset &amp; Learning", $D$18:$D$37)</f>
        <v/>
      </c>
      <c r="R77" s="34">
        <f>SUMIF($C$18:$C$37, "Mindset &amp; Learning", $AM$18:$AM$37)</f>
        <v/>
      </c>
      <c r="S77" s="35">
        <f>IFERROR(R77/Q77, 0)</f>
        <v/>
      </c>
    </row>
    <row r="78" ht="14" customHeight="1">
      <c r="A78" s="33" t="inlineStr">
        <is>
          <t>Week 3</t>
        </is>
      </c>
      <c r="B78" s="34" t="inlineStr">
        <is>
          <t>Days 15 - 21</t>
        </is>
      </c>
      <c r="C78" s="34">
        <f>COUNTIF(S18:Y37, "✓")</f>
        <v/>
      </c>
      <c r="D78" s="34">
        <f>COUNTIF(S18:Y37, "✓") + COUNTIF(S18:Y37, "✗")</f>
        <v/>
      </c>
      <c r="E78" s="35">
        <f>IFERROR(C78/D78, 0)</f>
        <v/>
      </c>
      <c r="N78" s="60" t="inlineStr">
        <is>
          <t>Career &amp; Focus</t>
        </is>
      </c>
      <c r="O78" s="54" t="n"/>
      <c r="P78" s="34">
        <f>COUNTIF($C$18:$C$37, "Career &amp; Focus")</f>
        <v/>
      </c>
      <c r="Q78" s="34">
        <f>SUMIF($C$18:$C$37, "Career &amp; Focus", $D$18:$D$37)</f>
        <v/>
      </c>
      <c r="R78" s="34">
        <f>SUMIF($C$18:$C$37, "Career &amp; Focus", $AM$18:$AM$37)</f>
        <v/>
      </c>
      <c r="S78" s="35">
        <f>IFERROR(R78/Q78, 0)</f>
        <v/>
      </c>
    </row>
    <row r="79" ht="14" customHeight="1">
      <c r="A79" s="33" t="inlineStr">
        <is>
          <t>Week 4</t>
        </is>
      </c>
      <c r="B79" s="34" t="inlineStr">
        <is>
          <t>Days 22 - 28</t>
        </is>
      </c>
      <c r="C79" s="34">
        <f>COUNTIF(Z18:AF37, "✓")</f>
        <v/>
      </c>
      <c r="D79" s="34">
        <f>COUNTIF(Z18:AF37, "✓") + COUNTIF(Z18:AF37, "✗")</f>
        <v/>
      </c>
      <c r="E79" s="35">
        <f>IFERROR(C79/D79, 0)</f>
        <v/>
      </c>
      <c r="N79" s="60" t="inlineStr">
        <is>
          <t>Personal &amp; Home</t>
        </is>
      </c>
      <c r="O79" s="54" t="n"/>
      <c r="P79" s="34">
        <f>COUNTIF($C$18:$C$37, "Personal &amp; Home")</f>
        <v/>
      </c>
      <c r="Q79" s="34">
        <f>SUMIF($C$18:$C$37, "Personal &amp; Home", $D$18:$D$37)</f>
        <v/>
      </c>
      <c r="R79" s="34">
        <f>SUMIF($C$18:$C$37, "Personal &amp; Home", $AM$18:$AM$37)</f>
        <v/>
      </c>
      <c r="S79" s="35">
        <f>IFERROR(R79/Q79, 0)</f>
        <v/>
      </c>
    </row>
    <row r="80" ht="14" customHeight="1">
      <c r="A80" s="33" t="inlineStr">
        <is>
          <t>Week 5</t>
        </is>
      </c>
      <c r="B80" s="34" t="inlineStr">
        <is>
          <t>Days 29 - 31</t>
        </is>
      </c>
      <c r="C80" s="34">
        <f>COUNTIF(AG18:AI37, "✓")</f>
        <v/>
      </c>
      <c r="D80" s="34">
        <f>COUNTIF(AG18:AI37, "✓") + COUNTIF(AG18:AI37, "✗")</f>
        <v/>
      </c>
      <c r="E80" s="35">
        <f>IFERROR(C80/D80, 0)</f>
        <v/>
      </c>
      <c r="N80" s="60" t="inlineStr">
        <is>
          <t>Finance &amp; Wealth</t>
        </is>
      </c>
      <c r="O80" s="54" t="n"/>
      <c r="P80" s="34">
        <f>COUNTIF($C$18:$C$37, "Finance &amp; Wealth")</f>
        <v/>
      </c>
      <c r="Q80" s="34">
        <f>SUMIF($C$18:$C$37, "Finance &amp; Wealth", $D$18:$D$37)</f>
        <v/>
      </c>
      <c r="R80" s="34">
        <f>SUMIF($C$18:$C$37, "Finance &amp; Wealth", $AM$18:$AM$37)</f>
        <v/>
      </c>
      <c r="S80" s="35">
        <f>IFERROR(R80/Q80, 0)</f>
        <v/>
      </c>
    </row>
    <row r="81" ht="14" customHeight="1">
      <c r="A81" s="33" t="inlineStr">
        <is>
          <t>Total / Avg</t>
        </is>
      </c>
      <c r="B81" s="159" t="inlineStr">
        <is>
          <t>Month Total</t>
        </is>
      </c>
      <c r="C81" s="33">
        <f>SUM(C76:C80)</f>
        <v/>
      </c>
      <c r="D81" s="33">
        <f>SUM(D76:D80)</f>
        <v/>
      </c>
      <c r="E81" s="133">
        <f>IFERROR(C81/D81, 0)</f>
        <v/>
      </c>
    </row>
    <row r="82" ht="10" customHeight="1"/>
    <row r="83" ht="10" customHeight="1"/>
    <row r="84">
      <c r="A84" s="51" t="inlineStr">
        <is>
          <t>SLEEP &amp; PRODUCTIVITY CORRELATION ANALYSIS</t>
        </is>
      </c>
      <c r="B84" s="52" t="n"/>
      <c r="C84" s="52" t="n"/>
      <c r="D84" s="52" t="n"/>
      <c r="E84" s="52" t="n"/>
      <c r="F84" s="52" t="n"/>
      <c r="G84" s="52" t="n"/>
      <c r="H84" s="52" t="n"/>
      <c r="I84" s="52" t="n"/>
      <c r="J84" s="52" t="n"/>
      <c r="K84" s="52" t="n"/>
      <c r="L84" s="52" t="n"/>
      <c r="M84" s="52" t="n"/>
      <c r="N84" s="52" t="n"/>
      <c r="O84" s="52" t="n"/>
      <c r="P84" s="52" t="n"/>
      <c r="Q84" s="52" t="n"/>
      <c r="R84" s="52" t="n"/>
      <c r="S84" s="52" t="n"/>
      <c r="T84" s="52" t="n"/>
      <c r="U84" s="52" t="n"/>
      <c r="V84" s="52" t="n"/>
      <c r="W84" s="52" t="n"/>
      <c r="X84" s="52" t="n"/>
      <c r="Y84" s="52" t="n"/>
      <c r="Z84" s="52" t="n"/>
      <c r="AA84" s="52" t="n"/>
      <c r="AB84" s="52" t="n"/>
      <c r="AC84" s="52" t="n"/>
      <c r="AD84" s="52" t="n"/>
      <c r="AE84" s="52" t="n"/>
      <c r="AF84" s="52" t="n"/>
      <c r="AG84" s="52" t="n"/>
      <c r="AH84" s="52" t="n"/>
      <c r="AI84" s="52" t="n"/>
      <c r="AJ84" s="52" t="n"/>
      <c r="AK84" s="52" t="n"/>
      <c r="AL84" s="52" t="n"/>
    </row>
    <row r="85" ht="15" customHeight="1">
      <c r="A85" s="53" t="inlineStr">
        <is>
          <t>Rest Category</t>
        </is>
      </c>
      <c r="B85" s="54" t="n"/>
      <c r="C85" s="54" t="n"/>
      <c r="D85" s="53" t="inlineStr">
        <is>
          <t>Day Criteria</t>
        </is>
      </c>
      <c r="E85" s="54" t="n"/>
      <c r="F85" s="54" t="n"/>
      <c r="G85" s="53" t="inlineStr">
        <is>
          <t>Days Logged</t>
        </is>
      </c>
      <c r="H85" s="54" t="n"/>
      <c r="I85" s="54" t="n"/>
      <c r="J85" s="53" t="inlineStr">
        <is>
          <t>Avg Sleep Duration</t>
        </is>
      </c>
      <c r="K85" s="54" t="n"/>
      <c r="L85" s="54" t="n"/>
      <c r="M85" s="54" t="n"/>
      <c r="N85" s="53" t="inlineStr">
        <is>
          <t>Avg Habit Success %</t>
        </is>
      </c>
      <c r="O85" s="54" t="n"/>
      <c r="P85" s="54" t="n"/>
      <c r="Q85" s="54" t="n"/>
      <c r="R85" s="53" t="inlineStr">
        <is>
          <t>Productivity Delta</t>
        </is>
      </c>
      <c r="S85" s="54" t="n"/>
      <c r="T85" s="54" t="n"/>
      <c r="U85" s="54" t="n"/>
    </row>
    <row r="86" ht="15" customHeight="1">
      <c r="A86" s="160" t="inlineStr">
        <is>
          <t>Optimal Rest</t>
        </is>
      </c>
      <c r="B86" s="161" t="n"/>
      <c r="C86" s="56" t="n"/>
      <c r="D86" s="34" t="inlineStr">
        <is>
          <t>&gt;= 7 Hours / Night</t>
        </is>
      </c>
      <c r="E86" s="161" t="n"/>
      <c r="F86" s="56" t="n"/>
      <c r="G86" s="33">
        <f>COUNTIF(E47:AI47, "&gt;=7")</f>
        <v/>
      </c>
      <c r="H86" s="161" t="n"/>
      <c r="I86" s="56" t="n"/>
      <c r="J86" s="34">
        <f>IFERROR(TEXT(AVERAGEIF(E47:AI47, "&gt;=7"), "0.0") &amp; " hrs", "-")</f>
        <v/>
      </c>
      <c r="K86" s="161" t="n"/>
      <c r="L86" s="161" t="n"/>
      <c r="M86" s="56" t="n"/>
      <c r="N86" s="42">
        <f>IFERROR(AVERAGEIFS(E39:AI39, E47:AI47, "&gt;=7", E39:AI39, "&gt;0"), 0)</f>
        <v/>
      </c>
      <c r="O86" s="161" t="n"/>
      <c r="P86" s="161" t="n"/>
      <c r="Q86" s="56" t="n"/>
      <c r="R86" s="159" t="inlineStr">
        <is>
          <t>Baseline (Target)</t>
        </is>
      </c>
      <c r="S86" s="161" t="n"/>
      <c r="T86" s="161" t="n"/>
      <c r="U86" s="56" t="n"/>
    </row>
    <row r="87" ht="15" customHeight="1">
      <c r="A87" s="162" t="inlineStr">
        <is>
          <t>Sleep Deficit</t>
        </is>
      </c>
      <c r="B87" s="161" t="n"/>
      <c r="C87" s="56" t="n"/>
      <c r="D87" s="34" t="inlineStr">
        <is>
          <t>&lt; 7 Hours / Night</t>
        </is>
      </c>
      <c r="E87" s="161" t="n"/>
      <c r="F87" s="56" t="n"/>
      <c r="G87" s="33">
        <f>COUNTIF(E47:AI47, "&lt;7") - COUNTIF(E47:AI47, "")</f>
        <v/>
      </c>
      <c r="H87" s="161" t="n"/>
      <c r="I87" s="56" t="n"/>
      <c r="J87" s="34">
        <f>IFERROR(TEXT(AVERAGEIFS(E47:AI47, E47:AI47, "&lt;7", E47:AI47, "&gt;0"), "0.0") &amp; " hrs", "-")</f>
        <v/>
      </c>
      <c r="K87" s="161" t="n"/>
      <c r="L87" s="161" t="n"/>
      <c r="M87" s="56" t="n"/>
      <c r="N87" s="163">
        <f>IFERROR(AVERAGEIFS(E39:AI39, E47:AI47, "&lt;7", E39:AI39, "&gt;0"), 0)</f>
        <v/>
      </c>
      <c r="O87" s="161" t="n"/>
      <c r="P87" s="161" t="n"/>
      <c r="Q87" s="56" t="n"/>
      <c r="R87" s="160">
        <f>IFERROR(TEXT(N86 - N87, "+0.0%;-0.0%;0.0%") &amp; " Rest Advantage", "-")</f>
        <v/>
      </c>
      <c r="S87" s="161" t="n"/>
      <c r="T87" s="161" t="n"/>
      <c r="U87" s="56" t="n"/>
    </row>
    <row r="88" ht="18" customHeight="1">
      <c r="A88" s="164">
        <f>IF(AND(ISNUMBER(N86), ISNUMBER(N87), N86&gt;0, N87&gt;0), "💡 Sleep Correlation Insight: You complete " &amp; TEXT(ABS(N86-N87), "0.0%") &amp; IF(N86&gt;=N87, " MORE habits on days with 7+ hours of sleep!", " fewer habits on days with 7+ hours of sleep."), "💡 Log both habits and sleep hours daily to unlock automatic AI correlation insights!")</f>
        <v/>
      </c>
      <c r="B88" s="161" t="n"/>
      <c r="C88" s="161" t="n"/>
      <c r="D88" s="161" t="n"/>
      <c r="E88" s="161" t="n"/>
      <c r="F88" s="161" t="n"/>
      <c r="G88" s="161" t="n"/>
      <c r="H88" s="161" t="n"/>
      <c r="I88" s="161" t="n"/>
      <c r="J88" s="161" t="n"/>
      <c r="K88" s="161" t="n"/>
      <c r="L88" s="161" t="n"/>
      <c r="M88" s="161" t="n"/>
      <c r="N88" s="161" t="n"/>
      <c r="O88" s="161" t="n"/>
      <c r="P88" s="161" t="n"/>
      <c r="Q88" s="161" t="n"/>
      <c r="R88" s="161" t="n"/>
      <c r="S88" s="161" t="n"/>
      <c r="T88" s="161" t="n"/>
      <c r="U88" s="161" t="n"/>
      <c r="V88" s="161" t="n"/>
      <c r="W88" s="161" t="n"/>
      <c r="X88" s="161" t="n"/>
      <c r="Y88" s="161" t="n"/>
      <c r="Z88" s="161" t="n"/>
      <c r="AA88" s="161" t="n"/>
      <c r="AB88" s="161" t="n"/>
      <c r="AC88" s="161" t="n"/>
      <c r="AD88" s="161" t="n"/>
      <c r="AE88" s="161" t="n"/>
      <c r="AF88" s="161" t="n"/>
      <c r="AG88" s="161" t="n"/>
      <c r="AH88" s="161" t="n"/>
      <c r="AI88" s="161" t="n"/>
      <c r="AJ88" s="161" t="n"/>
      <c r="AK88" s="161" t="n"/>
      <c r="AL88" s="56" t="n"/>
    </row>
    <row r="89" ht="10" customHeight="1"/>
    <row r="90">
      <c r="A90" s="43" t="inlineStr">
        <is>
          <t>STANDARDIZED DATA BRIDGE (FOR ANNUAL &amp; QUARTERLY REVIEW SHEETS)</t>
        </is>
      </c>
      <c r="B90" s="44" t="n"/>
      <c r="C90" s="44" t="n"/>
      <c r="D90" s="44" t="n"/>
      <c r="E90" s="44" t="n"/>
      <c r="F90" s="44" t="n"/>
      <c r="G90" s="44" t="n"/>
      <c r="H90" s="44" t="n"/>
      <c r="I90" s="44" t="n"/>
      <c r="J90" s="44" t="n"/>
      <c r="K90" s="44" t="n"/>
      <c r="L90" s="44" t="n"/>
      <c r="M90" s="44" t="n"/>
      <c r="N90" s="44" t="n"/>
      <c r="O90" s="44" t="n"/>
      <c r="P90" s="44" t="n"/>
      <c r="Q90" s="44" t="n"/>
      <c r="R90" s="44" t="n"/>
      <c r="S90" s="44" t="n"/>
      <c r="T90" s="44" t="n"/>
      <c r="U90" s="44" t="n"/>
      <c r="V90" s="44" t="n"/>
      <c r="W90" s="44" t="n"/>
      <c r="X90" s="44" t="n"/>
      <c r="Y90" s="44" t="n"/>
      <c r="Z90" s="44" t="n"/>
      <c r="AA90" s="44" t="n"/>
      <c r="AB90" s="44" t="n"/>
      <c r="AC90" s="44" t="n"/>
      <c r="AD90" s="44" t="n"/>
      <c r="AE90" s="44" t="n"/>
      <c r="AF90" s="44" t="n"/>
      <c r="AG90" s="44" t="n"/>
      <c r="AH90" s="44" t="n"/>
      <c r="AI90" s="44" t="n"/>
      <c r="AJ90" s="44" t="n"/>
      <c r="AK90" s="44" t="n"/>
      <c r="AL90" s="44" t="n"/>
    </row>
    <row r="91" ht="15" customHeight="1">
      <c r="A91" s="53" t="inlineStr">
        <is>
          <t>Month</t>
        </is>
      </c>
      <c r="B91" s="54" t="n"/>
      <c r="C91" s="53" t="inlineStr">
        <is>
          <t>Year</t>
        </is>
      </c>
      <c r="D91" s="54" t="n"/>
      <c r="E91" s="53" t="inlineStr">
        <is>
          <t>Active Habits</t>
        </is>
      </c>
      <c r="F91" s="54" t="n"/>
      <c r="G91" s="53" t="inlineStr">
        <is>
          <t>Target Days</t>
        </is>
      </c>
      <c r="H91" s="54" t="n"/>
      <c r="I91" s="53" t="inlineStr">
        <is>
          <t>Done Checks</t>
        </is>
      </c>
      <c r="J91" s="54" t="n"/>
      <c r="K91" s="53" t="inlineStr">
        <is>
          <t>Success %</t>
        </is>
      </c>
      <c r="L91" s="54" t="n"/>
      <c r="M91" s="53" t="inlineStr">
        <is>
          <t>Perfect Days</t>
        </is>
      </c>
      <c r="N91" s="54" t="n"/>
      <c r="O91" s="53" t="inlineStr">
        <is>
          <t>Avg Sleep</t>
        </is>
      </c>
      <c r="P91" s="54" t="n"/>
      <c r="Q91" s="53" t="inlineStr">
        <is>
          <t>Best Week</t>
        </is>
      </c>
      <c r="R91" s="54" t="n"/>
      <c r="S91" s="54" t="n"/>
      <c r="T91" s="53" t="inlineStr">
        <is>
          <t>Top Life Domain</t>
        </is>
      </c>
      <c r="U91" s="54" t="n"/>
      <c r="V91" s="54" t="n"/>
      <c r="W91" s="54" t="n"/>
    </row>
    <row r="92" ht="16" customHeight="1">
      <c r="A92" s="165" t="inlineStr">
        <is>
          <t>Dec</t>
        </is>
      </c>
      <c r="B92" s="56" t="n"/>
      <c r="C92" s="165" t="n">
        <v>2029</v>
      </c>
      <c r="D92" s="56" t="n"/>
      <c r="E92" s="166">
        <f>COUNTA(B18:B37)</f>
        <v/>
      </c>
      <c r="F92" s="56" t="n"/>
      <c r="G92" s="166">
        <f>SUM(D18:D37)</f>
        <v/>
      </c>
      <c r="H92" s="56" t="n"/>
      <c r="I92" s="166">
        <f>SUM(AM18:AM37)</f>
        <v/>
      </c>
      <c r="J92" s="56" t="n"/>
      <c r="K92" s="167">
        <f>IF(G92&gt;0, I92/G92, 0)</f>
        <v/>
      </c>
      <c r="L92" s="56" t="n"/>
      <c r="M92" s="166">
        <f>COUNTIF(E39:AI39, 1)</f>
        <v/>
      </c>
      <c r="N92" s="56" t="n"/>
      <c r="O92" s="168">
        <f>IFERROR(AVERAGE(E47:AI47), 0)</f>
        <v/>
      </c>
      <c r="P92" s="56" t="n"/>
      <c r="Q92" s="166">
        <f>INDEX(A76:A80, MATCH(MAX(E76:E80), E76:E80, 0))</f>
        <v/>
      </c>
      <c r="R92" s="161" t="n"/>
      <c r="S92" s="56" t="n"/>
      <c r="T92" s="166">
        <f>INDEX(N76:N80, MATCH(MAX(S76:S80), S76:S80, 0))</f>
        <v/>
      </c>
      <c r="U92" s="161" t="n"/>
      <c r="V92" s="161" t="n"/>
      <c r="W92" s="56" t="n"/>
    </row>
    <row r="93" ht="14" customHeight="1">
      <c r="A93" s="169" t="inlineStr">
        <is>
          <t>📋 Note: Reference or copy Row 92 directly into an Annual / Quarterly review dashboard to track yearly habit trends.</t>
        </is>
      </c>
    </row>
    <row r="94" ht="8" customHeight="1"/>
    <row r="95">
      <c r="A95" s="170" t="inlineStr">
        <is>
          <t>🏆 MONTHLY WINS &amp; HIGHLIGHTS</t>
        </is>
      </c>
      <c r="J95" s="171" t="inlineStr">
        <is>
          <t>⚠️ FRICTION POINTS &amp; ROOT CAUSES</t>
        </is>
      </c>
      <c r="S95" s="172" t="inlineStr">
        <is>
          <t>🎯 3 KEY ADJUSTMENTS FOR NEXT MONTH</t>
        </is>
      </c>
    </row>
    <row r="96">
      <c r="A96" s="173" t="inlineStr">
        <is>
          <t>1. What went exceptionally well this month?
2. Which habit felt effortless and consistent?
3. Major milestone achieved:</t>
        </is>
      </c>
      <c r="B96" s="174" t="n"/>
      <c r="C96" s="174" t="n"/>
      <c r="D96" s="174" t="n"/>
      <c r="E96" s="174" t="n"/>
      <c r="F96" s="174" t="n"/>
      <c r="G96" s="174" t="n"/>
      <c r="H96" s="174" t="n"/>
      <c r="J96" s="175" t="inlineStr">
        <is>
          <t>1. What caused missed or skipped days?
2. Main triggers / energy drains encountered:
3. Which habit had the lowest consistency and why?</t>
        </is>
      </c>
      <c r="K96" s="176" t="n"/>
      <c r="L96" s="176" t="n"/>
      <c r="M96" s="176" t="n"/>
      <c r="N96" s="176" t="n"/>
      <c r="O96" s="176" t="n"/>
      <c r="P96" s="176" t="n"/>
      <c r="Q96" s="176" t="n"/>
      <c r="S96" s="177" t="inlineStr">
        <is>
          <t>1. Habit Stacking or time adjustment for next month:
2. Environment design change to eliminate friction:
3. One non-negotiable priority protocol:</t>
        </is>
      </c>
      <c r="T96" s="178" t="n"/>
      <c r="U96" s="178" t="n"/>
      <c r="V96" s="178" t="n"/>
      <c r="W96" s="178" t="n"/>
      <c r="X96" s="178" t="n"/>
      <c r="Y96" s="178" t="n"/>
      <c r="Z96" s="178" t="n"/>
    </row>
    <row r="97">
      <c r="A97" s="174" t="n"/>
      <c r="B97" s="174" t="n"/>
      <c r="C97" s="174" t="n"/>
      <c r="D97" s="174" t="n"/>
      <c r="E97" s="174" t="n"/>
      <c r="F97" s="174" t="n"/>
      <c r="G97" s="174" t="n"/>
      <c r="H97" s="174" t="n"/>
      <c r="J97" s="176" t="n"/>
      <c r="K97" s="176" t="n"/>
      <c r="L97" s="176" t="n"/>
      <c r="M97" s="176" t="n"/>
      <c r="N97" s="176" t="n"/>
      <c r="O97" s="176" t="n"/>
      <c r="P97" s="176" t="n"/>
      <c r="Q97" s="176" t="n"/>
      <c r="S97" s="178" t="n"/>
      <c r="T97" s="178" t="n"/>
      <c r="U97" s="178" t="n"/>
      <c r="V97" s="178" t="n"/>
      <c r="W97" s="178" t="n"/>
      <c r="X97" s="178" t="n"/>
      <c r="Y97" s="178" t="n"/>
      <c r="Z97" s="178" t="n"/>
    </row>
    <row r="98">
      <c r="A98" s="174" t="n"/>
      <c r="B98" s="174" t="n"/>
      <c r="C98" s="174" t="n"/>
      <c r="D98" s="174" t="n"/>
      <c r="E98" s="174" t="n"/>
      <c r="F98" s="174" t="n"/>
      <c r="G98" s="174" t="n"/>
      <c r="H98" s="174" t="n"/>
      <c r="J98" s="176" t="n"/>
      <c r="K98" s="176" t="n"/>
      <c r="L98" s="176" t="n"/>
      <c r="M98" s="176" t="n"/>
      <c r="N98" s="176" t="n"/>
      <c r="O98" s="176" t="n"/>
      <c r="P98" s="176" t="n"/>
      <c r="Q98" s="176" t="n"/>
      <c r="S98" s="178" t="n"/>
      <c r="T98" s="178" t="n"/>
      <c r="U98" s="178" t="n"/>
      <c r="V98" s="178" t="n"/>
      <c r="W98" s="178" t="n"/>
      <c r="X98" s="178" t="n"/>
      <c r="Y98" s="178" t="n"/>
      <c r="Z98" s="178" t="n"/>
    </row>
    <row r="99">
      <c r="A99" s="174" t="n"/>
      <c r="B99" s="174" t="n"/>
      <c r="C99" s="174" t="n"/>
      <c r="D99" s="174" t="n"/>
      <c r="E99" s="174" t="n"/>
      <c r="F99" s="174" t="n"/>
      <c r="G99" s="174" t="n"/>
      <c r="H99" s="174" t="n"/>
      <c r="J99" s="176" t="n"/>
      <c r="K99" s="176" t="n"/>
      <c r="L99" s="176" t="n"/>
      <c r="M99" s="176" t="n"/>
      <c r="N99" s="176" t="n"/>
      <c r="O99" s="176" t="n"/>
      <c r="P99" s="176" t="n"/>
      <c r="Q99" s="176" t="n"/>
      <c r="S99" s="178" t="n"/>
      <c r="T99" s="178" t="n"/>
      <c r="U99" s="178" t="n"/>
      <c r="V99" s="178" t="n"/>
      <c r="W99" s="178" t="n"/>
      <c r="X99" s="178" t="n"/>
      <c r="Y99" s="178" t="n"/>
      <c r="Z99" s="178" t="n"/>
    </row>
    <row r="100">
      <c r="A100" s="174" t="n"/>
      <c r="B100" s="174" t="n"/>
      <c r="C100" s="174" t="n"/>
      <c r="D100" s="174" t="n"/>
      <c r="E100" s="174" t="n"/>
      <c r="F100" s="174" t="n"/>
      <c r="G100" s="174" t="n"/>
      <c r="H100" s="174" t="n"/>
      <c r="J100" s="176" t="n"/>
      <c r="K100" s="176" t="n"/>
      <c r="L100" s="176" t="n"/>
      <c r="M100" s="176" t="n"/>
      <c r="N100" s="176" t="n"/>
      <c r="O100" s="176" t="n"/>
      <c r="P100" s="176" t="n"/>
      <c r="Q100" s="176" t="n"/>
      <c r="S100" s="178" t="n"/>
      <c r="T100" s="178" t="n"/>
      <c r="U100" s="178" t="n"/>
      <c r="V100" s="178" t="n"/>
      <c r="W100" s="178" t="n"/>
      <c r="X100" s="178" t="n"/>
      <c r="Y100" s="178" t="n"/>
      <c r="Z100" s="178" t="n"/>
    </row>
    <row r="101">
      <c r="A101" s="174" t="n"/>
      <c r="B101" s="174" t="n"/>
      <c r="C101" s="174" t="n"/>
      <c r="D101" s="174" t="n"/>
      <c r="E101" s="174" t="n"/>
      <c r="F101" s="174" t="n"/>
      <c r="G101" s="174" t="n"/>
      <c r="H101" s="174" t="n"/>
      <c r="J101" s="176" t="n"/>
      <c r="K101" s="176" t="n"/>
      <c r="L101" s="176" t="n"/>
      <c r="M101" s="176" t="n"/>
      <c r="N101" s="176" t="n"/>
      <c r="O101" s="176" t="n"/>
      <c r="P101" s="176" t="n"/>
      <c r="Q101" s="176" t="n"/>
      <c r="S101" s="178" t="n"/>
      <c r="T101" s="178" t="n"/>
      <c r="U101" s="178" t="n"/>
      <c r="V101" s="178" t="n"/>
      <c r="W101" s="178" t="n"/>
      <c r="X101" s="178" t="n"/>
      <c r="Y101" s="178" t="n"/>
      <c r="Z101" s="178" t="n"/>
    </row>
    <row r="102">
      <c r="A102" s="174" t="n"/>
      <c r="B102" s="174" t="n"/>
      <c r="C102" s="174" t="n"/>
      <c r="D102" s="174" t="n"/>
      <c r="E102" s="174" t="n"/>
      <c r="F102" s="174" t="n"/>
      <c r="G102" s="174" t="n"/>
      <c r="H102" s="174" t="n"/>
      <c r="J102" s="176" t="n"/>
      <c r="K102" s="176" t="n"/>
      <c r="L102" s="176" t="n"/>
      <c r="M102" s="176" t="n"/>
      <c r="N102" s="176" t="n"/>
      <c r="O102" s="176" t="n"/>
      <c r="P102" s="176" t="n"/>
      <c r="Q102" s="176" t="n"/>
      <c r="S102" s="178" t="n"/>
      <c r="T102" s="178" t="n"/>
      <c r="U102" s="178" t="n"/>
      <c r="V102" s="178" t="n"/>
      <c r="W102" s="178" t="n"/>
      <c r="X102" s="178" t="n"/>
      <c r="Y102" s="178" t="n"/>
      <c r="Z102" s="178" t="n"/>
    </row>
    <row r="103">
      <c r="A103" s="174" t="n"/>
      <c r="B103" s="174" t="n"/>
      <c r="C103" s="174" t="n"/>
      <c r="D103" s="174" t="n"/>
      <c r="E103" s="174" t="n"/>
      <c r="F103" s="174" t="n"/>
      <c r="G103" s="174" t="n"/>
      <c r="H103" s="174" t="n"/>
      <c r="J103" s="176" t="n"/>
      <c r="K103" s="176" t="n"/>
      <c r="L103" s="176" t="n"/>
      <c r="M103" s="176" t="n"/>
      <c r="N103" s="176" t="n"/>
      <c r="O103" s="176" t="n"/>
      <c r="P103" s="176" t="n"/>
      <c r="Q103" s="176" t="n"/>
      <c r="S103" s="178" t="n"/>
      <c r="T103" s="178" t="n"/>
      <c r="U103" s="178" t="n"/>
      <c r="V103" s="178" t="n"/>
      <c r="W103" s="178" t="n"/>
      <c r="X103" s="178" t="n"/>
      <c r="Y103" s="178" t="n"/>
      <c r="Z103" s="178" t="n"/>
    </row>
  </sheetData>
  <sheetProtection selectLockedCells="1" selectUnlockedCells="1" sheet="1" objects="0" insertRows="1" insertHyperlinks="1" autoFilter="1" scenarios="0" formatColumns="1" deleteColumns="1" insertColumns="1" pivotTables="1" deleteRows="1" formatCells="1" formatRows="1" sort="1"/>
  <mergeCells count="94">
    <mergeCell ref="A9:N9"/>
    <mergeCell ref="N76:O76"/>
    <mergeCell ref="F67:I67"/>
    <mergeCell ref="G87:I87"/>
    <mergeCell ref="A16:A17"/>
    <mergeCell ref="A45:D46"/>
    <mergeCell ref="C16:C17"/>
    <mergeCell ref="N75:O75"/>
    <mergeCell ref="N77:O77"/>
    <mergeCell ref="AE2:AL2"/>
    <mergeCell ref="P9:AL9"/>
    <mergeCell ref="P68:S70"/>
    <mergeCell ref="D16:D17"/>
    <mergeCell ref="N85:Q85"/>
    <mergeCell ref="A95:H95"/>
    <mergeCell ref="A84:AL84"/>
    <mergeCell ref="Q91:S91"/>
    <mergeCell ref="E91:F91"/>
    <mergeCell ref="A8:N8"/>
    <mergeCell ref="A42:AL42"/>
    <mergeCell ref="G91:H91"/>
    <mergeCell ref="J86:M86"/>
    <mergeCell ref="H3:AD3"/>
    <mergeCell ref="K67:N67"/>
    <mergeCell ref="S95:Z95"/>
    <mergeCell ref="N79:O79"/>
    <mergeCell ref="K92:L92"/>
    <mergeCell ref="C92:D92"/>
    <mergeCell ref="M92:N92"/>
    <mergeCell ref="F71:I71"/>
    <mergeCell ref="A88:AL88"/>
    <mergeCell ref="K68:N70"/>
    <mergeCell ref="T91:W91"/>
    <mergeCell ref="A41:AL41"/>
    <mergeCell ref="A90:AL90"/>
    <mergeCell ref="J95:Q95"/>
    <mergeCell ref="D85:F85"/>
    <mergeCell ref="N74:S74"/>
    <mergeCell ref="H2:AD2"/>
    <mergeCell ref="F68:I70"/>
    <mergeCell ref="A91:B91"/>
    <mergeCell ref="N78:O78"/>
    <mergeCell ref="C91:D91"/>
    <mergeCell ref="M91:N91"/>
    <mergeCell ref="O91:P91"/>
    <mergeCell ref="R86:U86"/>
    <mergeCell ref="N80:O80"/>
    <mergeCell ref="B16:B17"/>
    <mergeCell ref="A71:D71"/>
    <mergeCell ref="J85:M85"/>
    <mergeCell ref="D86:F86"/>
    <mergeCell ref="A92:B92"/>
    <mergeCell ref="N87:Q87"/>
    <mergeCell ref="A1:B1"/>
    <mergeCell ref="E92:F92"/>
    <mergeCell ref="AL16:AL17"/>
    <mergeCell ref="A68:D70"/>
    <mergeCell ref="P71:S71"/>
    <mergeCell ref="A86:C86"/>
    <mergeCell ref="D87:F87"/>
    <mergeCell ref="O92:P92"/>
    <mergeCell ref="A6:N6"/>
    <mergeCell ref="A39:D39"/>
    <mergeCell ref="P8:AL8"/>
    <mergeCell ref="P7:AL7"/>
    <mergeCell ref="G86:I86"/>
    <mergeCell ref="A96:H103"/>
    <mergeCell ref="P67:S67"/>
    <mergeCell ref="T92:W92"/>
    <mergeCell ref="R85:U85"/>
    <mergeCell ref="K71:N71"/>
    <mergeCell ref="S96:Z103"/>
    <mergeCell ref="A93:AL93"/>
    <mergeCell ref="A38:D38"/>
    <mergeCell ref="A67:D67"/>
    <mergeCell ref="I91:J91"/>
    <mergeCell ref="A85:C85"/>
    <mergeCell ref="K91:L91"/>
    <mergeCell ref="N86:Q86"/>
    <mergeCell ref="A7:N7"/>
    <mergeCell ref="P6:AL6"/>
    <mergeCell ref="A74:E74"/>
    <mergeCell ref="G85:I85"/>
    <mergeCell ref="G92:H92"/>
    <mergeCell ref="I92:J92"/>
    <mergeCell ref="R87:U87"/>
    <mergeCell ref="AK16:AK17"/>
    <mergeCell ref="J87:M87"/>
    <mergeCell ref="AJ16:AJ17"/>
    <mergeCell ref="J96:Q103"/>
    <mergeCell ref="A12:AL14"/>
    <mergeCell ref="Q92:S92"/>
    <mergeCell ref="A87:C87"/>
    <mergeCell ref="A47:D47"/>
  </mergeCells>
  <conditionalFormatting sqref="AJ18:AJ37">
    <cfRule type="dataBar" priority="1">
      <dataBar>
        <cfvo type="num" val="0"/>
        <cfvo type="num" val="1"/>
        <color rgb="0010B981"/>
      </dataBar>
    </cfRule>
  </conditionalFormatting>
  <conditionalFormatting sqref="E18:AI37">
    <cfRule type="cellIs" priority="2" operator="equal" dxfId="0">
      <formula>"✓"</formula>
    </cfRule>
    <cfRule type="cellIs" priority="3" operator="equal" dxfId="0">
      <formula>"✔"</formula>
    </cfRule>
    <cfRule type="cellIs" priority="4" operator="equal" dxfId="1">
      <formula>"✗"</formula>
    </cfRule>
    <cfRule type="cellIs" priority="5" operator="equal" dxfId="1">
      <formula>"x"</formula>
    </cfRule>
    <cfRule type="cellIs" priority="6" operator="equal" dxfId="1">
      <formula>"X"</formula>
    </cfRule>
  </conditionalFormatting>
  <conditionalFormatting sqref="E16:E17">
    <cfRule type="expression" priority="7" dxfId="2">
      <formula>AND(DAY(TODAY())=1, MONTH(TODAY())=12, YEAR(TODAY())=2029)</formula>
    </cfRule>
  </conditionalFormatting>
  <conditionalFormatting sqref="F16:F17">
    <cfRule type="expression" priority="8" dxfId="2">
      <formula>AND(DAY(TODAY())=2, MONTH(TODAY())=12, YEAR(TODAY())=2029)</formula>
    </cfRule>
  </conditionalFormatting>
  <conditionalFormatting sqref="G16:G17">
    <cfRule type="expression" priority="9" dxfId="2">
      <formula>AND(DAY(TODAY())=3, MONTH(TODAY())=12, YEAR(TODAY())=2029)</formula>
    </cfRule>
  </conditionalFormatting>
  <conditionalFormatting sqref="H16:H17">
    <cfRule type="expression" priority="10" dxfId="2">
      <formula>AND(DAY(TODAY())=4, MONTH(TODAY())=12, YEAR(TODAY())=2029)</formula>
    </cfRule>
  </conditionalFormatting>
  <conditionalFormatting sqref="I16:I17">
    <cfRule type="expression" priority="11" dxfId="2">
      <formula>AND(DAY(TODAY())=5, MONTH(TODAY())=12, YEAR(TODAY())=2029)</formula>
    </cfRule>
  </conditionalFormatting>
  <conditionalFormatting sqref="J16:J17">
    <cfRule type="expression" priority="12" dxfId="2">
      <formula>AND(DAY(TODAY())=6, MONTH(TODAY())=12, YEAR(TODAY())=2029)</formula>
    </cfRule>
  </conditionalFormatting>
  <conditionalFormatting sqref="K16:K17">
    <cfRule type="expression" priority="13" dxfId="2">
      <formula>AND(DAY(TODAY())=7, MONTH(TODAY())=12, YEAR(TODAY())=2029)</formula>
    </cfRule>
  </conditionalFormatting>
  <conditionalFormatting sqref="L16:L17">
    <cfRule type="expression" priority="14" dxfId="2">
      <formula>AND(DAY(TODAY())=8, MONTH(TODAY())=12, YEAR(TODAY())=2029)</formula>
    </cfRule>
  </conditionalFormatting>
  <conditionalFormatting sqref="M16:M17">
    <cfRule type="expression" priority="15" dxfId="2">
      <formula>AND(DAY(TODAY())=9, MONTH(TODAY())=12, YEAR(TODAY())=2029)</formula>
    </cfRule>
  </conditionalFormatting>
  <conditionalFormatting sqref="N16:N17">
    <cfRule type="expression" priority="16" dxfId="2">
      <formula>AND(DAY(TODAY())=10, MONTH(TODAY())=12, YEAR(TODAY())=2029)</formula>
    </cfRule>
  </conditionalFormatting>
  <conditionalFormatting sqref="O16:O17">
    <cfRule type="expression" priority="17" dxfId="2">
      <formula>AND(DAY(TODAY())=11, MONTH(TODAY())=12, YEAR(TODAY())=2029)</formula>
    </cfRule>
  </conditionalFormatting>
  <conditionalFormatting sqref="P16:P17">
    <cfRule type="expression" priority="18" dxfId="2">
      <formula>AND(DAY(TODAY())=12, MONTH(TODAY())=12, YEAR(TODAY())=2029)</formula>
    </cfRule>
  </conditionalFormatting>
  <conditionalFormatting sqref="Q16:Q17">
    <cfRule type="expression" priority="19" dxfId="2">
      <formula>AND(DAY(TODAY())=13, MONTH(TODAY())=12, YEAR(TODAY())=2029)</formula>
    </cfRule>
  </conditionalFormatting>
  <conditionalFormatting sqref="R16:R17">
    <cfRule type="expression" priority="20" dxfId="2">
      <formula>AND(DAY(TODAY())=14, MONTH(TODAY())=12, YEAR(TODAY())=2029)</formula>
    </cfRule>
  </conditionalFormatting>
  <conditionalFormatting sqref="S16:S17">
    <cfRule type="expression" priority="21" dxfId="2">
      <formula>AND(DAY(TODAY())=15, MONTH(TODAY())=12, YEAR(TODAY())=2029)</formula>
    </cfRule>
  </conditionalFormatting>
  <conditionalFormatting sqref="T16:T17">
    <cfRule type="expression" priority="22" dxfId="2">
      <formula>AND(DAY(TODAY())=16, MONTH(TODAY())=12, YEAR(TODAY())=2029)</formula>
    </cfRule>
  </conditionalFormatting>
  <conditionalFormatting sqref="U16:U17">
    <cfRule type="expression" priority="23" dxfId="2">
      <formula>AND(DAY(TODAY())=17, MONTH(TODAY())=12, YEAR(TODAY())=2029)</formula>
    </cfRule>
  </conditionalFormatting>
  <conditionalFormatting sqref="V16:V17">
    <cfRule type="expression" priority="24" dxfId="2">
      <formula>AND(DAY(TODAY())=18, MONTH(TODAY())=12, YEAR(TODAY())=2029)</formula>
    </cfRule>
  </conditionalFormatting>
  <conditionalFormatting sqref="W16:W17">
    <cfRule type="expression" priority="25" dxfId="2">
      <formula>AND(DAY(TODAY())=19, MONTH(TODAY())=12, YEAR(TODAY())=2029)</formula>
    </cfRule>
  </conditionalFormatting>
  <conditionalFormatting sqref="X16:X17">
    <cfRule type="expression" priority="26" dxfId="2">
      <formula>AND(DAY(TODAY())=20, MONTH(TODAY())=12, YEAR(TODAY())=2029)</formula>
    </cfRule>
  </conditionalFormatting>
  <conditionalFormatting sqref="Y16:Y17">
    <cfRule type="expression" priority="27" dxfId="2">
      <formula>AND(DAY(TODAY())=21, MONTH(TODAY())=12, YEAR(TODAY())=2029)</formula>
    </cfRule>
  </conditionalFormatting>
  <conditionalFormatting sqref="Z16:Z17">
    <cfRule type="expression" priority="28" dxfId="2">
      <formula>AND(DAY(TODAY())=22, MONTH(TODAY())=12, YEAR(TODAY())=2029)</formula>
    </cfRule>
  </conditionalFormatting>
  <conditionalFormatting sqref="AA16:AA17">
    <cfRule type="expression" priority="29" dxfId="2">
      <formula>AND(DAY(TODAY())=23, MONTH(TODAY())=12, YEAR(TODAY())=2029)</formula>
    </cfRule>
  </conditionalFormatting>
  <conditionalFormatting sqref="AB16:AB17">
    <cfRule type="expression" priority="30" dxfId="2">
      <formula>AND(DAY(TODAY())=24, MONTH(TODAY())=12, YEAR(TODAY())=2029)</formula>
    </cfRule>
  </conditionalFormatting>
  <conditionalFormatting sqref="AC16:AC17">
    <cfRule type="expression" priority="31" dxfId="2">
      <formula>AND(DAY(TODAY())=25, MONTH(TODAY())=12, YEAR(TODAY())=2029)</formula>
    </cfRule>
  </conditionalFormatting>
  <conditionalFormatting sqref="AD16:AD17">
    <cfRule type="expression" priority="32" dxfId="2">
      <formula>AND(DAY(TODAY())=26, MONTH(TODAY())=12, YEAR(TODAY())=2029)</formula>
    </cfRule>
  </conditionalFormatting>
  <conditionalFormatting sqref="AE16:AE17">
    <cfRule type="expression" priority="33" dxfId="2">
      <formula>AND(DAY(TODAY())=27, MONTH(TODAY())=12, YEAR(TODAY())=2029)</formula>
    </cfRule>
  </conditionalFormatting>
  <conditionalFormatting sqref="AF16:AF17">
    <cfRule type="expression" priority="34" dxfId="2">
      <formula>AND(DAY(TODAY())=28, MONTH(TODAY())=12, YEAR(TODAY())=2029)</formula>
    </cfRule>
  </conditionalFormatting>
  <conditionalFormatting sqref="AG16:AG17">
    <cfRule type="expression" priority="35" dxfId="2">
      <formula>AND(DAY(TODAY())=29, MONTH(TODAY())=12, YEAR(TODAY())=2029)</formula>
    </cfRule>
  </conditionalFormatting>
  <conditionalFormatting sqref="AH16:AH17">
    <cfRule type="expression" priority="36" dxfId="2">
      <formula>AND(DAY(TODAY())=30, MONTH(TODAY())=12, YEAR(TODAY())=2029)</formula>
    </cfRule>
  </conditionalFormatting>
  <conditionalFormatting sqref="AI16:AI17">
    <cfRule type="expression" priority="37" dxfId="2">
      <formula>AND(DAY(TODAY())=31, MONTH(TODAY())=12, YEAR(TODAY())=2029)</formula>
    </cfRule>
  </conditionalFormatting>
  <dataValidations count="4">
    <dataValidation sqref="C18:C37" showDropDown="0" showInputMessage="0" showErrorMessage="0" allowBlank="1" type="list">
      <formula1>"Health &amp; Fitness,Mindset &amp; Learning,Career &amp; Focus,Personal &amp; Home,Finance &amp; Wealth,Other"</formula1>
    </dataValidation>
    <dataValidation sqref="D18:D37" showDropDown="0" showInputMessage="0" showErrorMessage="0" allowBlank="1" type="list">
      <formula1>"1,2,3,4,5,6,7,8,9,10,11,12,13,14,15,16,17,18,19,20,21,22,23,24,25,26,27,28,29,30,31"</formula1>
    </dataValidation>
    <dataValidation sqref="E18:AI37" showDropDown="0" showInputMessage="0" showErrorMessage="0" allowBlank="1" type="list">
      <formula1>"✓,✗"</formula1>
    </dataValidation>
    <dataValidation sqref="E47:AI47" showDropDown="0" showInputMessage="0" showErrorMessage="0" allowBlank="1" type="list">
      <formula1>"1,2,3,4,5,6,7,8,9,10,11,12,13,14,15,16,17,18,19,20,21,22,23,24"</formula1>
    </dataValidation>
  </dataValidations>
  <hyperlinks>
    <hyperlink xmlns:r="http://schemas.openxmlformats.org/officeDocument/2006/relationships" ref="A1" r:id="rId1"/>
    <hyperlink xmlns:r="http://schemas.openxmlformats.org/officeDocument/2006/relationships" ref="C1" r:id="rId2"/>
    <hyperlink xmlns:r="http://schemas.openxmlformats.org/officeDocument/2006/relationships" ref="D1" r:id="rId3"/>
    <hyperlink xmlns:r="http://schemas.openxmlformats.org/officeDocument/2006/relationships" ref="E1" r:id="rId4"/>
    <hyperlink xmlns:r="http://schemas.openxmlformats.org/officeDocument/2006/relationships" ref="F1" r:id="rId5"/>
    <hyperlink xmlns:r="http://schemas.openxmlformats.org/officeDocument/2006/relationships" ref="G1" r:id="rId6"/>
    <hyperlink xmlns:r="http://schemas.openxmlformats.org/officeDocument/2006/relationships" ref="H1" r:id="rId7"/>
    <hyperlink xmlns:r="http://schemas.openxmlformats.org/officeDocument/2006/relationships" ref="I1" r:id="rId8"/>
    <hyperlink xmlns:r="http://schemas.openxmlformats.org/officeDocument/2006/relationships" ref="J1" r:id="rId9"/>
    <hyperlink xmlns:r="http://schemas.openxmlformats.org/officeDocument/2006/relationships" ref="K1" r:id="rId10"/>
  </hyperlinks>
  <printOptions horizontalCentered="1" verticalCentered="0"/>
  <pageMargins left="0.75" right="0.75" top="1" bottom="1" header="0.5" footer="0.5"/>
  <pageSetup orientation="landscape" paperSize="9" fitToHeight="0" fitToWidth="1"/>
  <drawing xmlns:r="http://schemas.openxmlformats.org/officeDocument/2006/relationships" r:id="rId11"/>
</worksheet>
</file>

<file path=xl/worksheets/sheet44.xml><?xml version="1.0" encoding="utf-8"?>
<worksheet xmlns="http://schemas.openxmlformats.org/spreadsheetml/2006/main">
  <sheetPr>
    <outlinePr summaryBelow="1" summaryRight="1"/>
    <pageSetUpPr fitToPage="1"/>
  </sheetPr>
  <dimension ref="A1:AM103"/>
  <sheetViews>
    <sheetView showGridLines="1" workbookViewId="0">
      <selection activeCell="A1" sqref="A1"/>
    </sheetView>
  </sheetViews>
  <sheetFormatPr baseColWidth="8" defaultRowHeight="15"/>
  <cols>
    <col width="6" customWidth="1" min="1" max="1"/>
    <col width="25" customWidth="1" min="2" max="2"/>
    <col width="16.5" customWidth="1" min="3" max="3"/>
    <col width="8" customWidth="1" min="4" max="4"/>
    <col width="4.8" customWidth="1" min="5" max="5"/>
    <col width="4.8" customWidth="1" min="6" max="6"/>
    <col width="4.8" customWidth="1" min="7" max="7"/>
    <col width="4.8" customWidth="1" min="8" max="8"/>
    <col width="4.8" customWidth="1" min="9" max="9"/>
    <col width="4.8" customWidth="1" min="10" max="10"/>
    <col width="4.8" customWidth="1" min="11" max="11"/>
    <col width="4.8" customWidth="1" min="12" max="12"/>
    <col width="4.8" customWidth="1" min="13" max="13"/>
    <col width="4.8" customWidth="1" min="14" max="14"/>
    <col width="4.8" customWidth="1" min="15" max="15"/>
    <col width="4.8" customWidth="1" min="16" max="16"/>
    <col width="4.8" customWidth="1" min="17" max="17"/>
    <col width="4.8" customWidth="1" min="18" max="18"/>
    <col width="4.8" customWidth="1" min="19" max="19"/>
    <col width="4.8" customWidth="1" min="20" max="20"/>
    <col width="4.8" customWidth="1" min="21" max="21"/>
    <col width="4.8" customWidth="1" min="22" max="22"/>
    <col width="4.8" customWidth="1" min="23" max="23"/>
    <col width="4.8" customWidth="1" min="24" max="24"/>
    <col width="4.8" customWidth="1" min="25" max="25"/>
    <col width="4.8" customWidth="1" min="26" max="26"/>
    <col width="4.8" customWidth="1" min="27" max="27"/>
    <col width="4.8" customWidth="1" min="28" max="28"/>
    <col width="4.8" customWidth="1" min="29" max="29"/>
    <col width="4.8" customWidth="1" min="30" max="30"/>
    <col width="4.8" customWidth="1" min="31" max="31"/>
    <col width="4.8" customWidth="1" min="32" max="32"/>
    <col width="4.8" customWidth="1" min="33" max="33"/>
    <col width="4.8" customWidth="1" min="34" max="34"/>
    <col width="4.8" customWidth="1" min="35" max="35"/>
    <col width="11.5" customWidth="1" min="36" max="36"/>
    <col width="12" customWidth="1" min="37" max="37"/>
    <col width="13.5" customWidth="1" min="38" max="38"/>
    <col hidden="1" width="8" customWidth="1" min="39" max="39"/>
  </cols>
  <sheetData>
    <row r="1" ht="18" customHeight="1">
      <c r="A1" s="76" t="inlineStr">
        <is>
          <t>🏠 Master Dashboard</t>
        </is>
      </c>
      <c r="B1" s="40" t="n"/>
      <c r="C1" s="77" t="inlineStr">
        <is>
          <t>🏛️ Quarterly Hub</t>
        </is>
      </c>
      <c r="D1" s="78" t="inlineStr">
        <is>
          <t>📚 Habit Library</t>
        </is>
      </c>
      <c r="E1" s="80" t="inlineStr">
        <is>
          <t>2026</t>
        </is>
      </c>
      <c r="F1" s="80" t="inlineStr">
        <is>
          <t>2027</t>
        </is>
      </c>
      <c r="G1" s="80" t="inlineStr">
        <is>
          <t>2028</t>
        </is>
      </c>
      <c r="H1" s="80" t="inlineStr">
        <is>
          <t>2029</t>
        </is>
      </c>
      <c r="I1" s="79" t="inlineStr">
        <is>
          <t>2030</t>
        </is>
      </c>
      <c r="J1" s="82" t="inlineStr">
        <is>
          <t>◀ Prev</t>
        </is>
      </c>
      <c r="K1" s="82" t="inlineStr">
        <is>
          <t>Next ▶</t>
        </is>
      </c>
    </row>
    <row r="2" ht="24" customHeight="1">
      <c r="A2" s="83" t="inlineStr">
        <is>
          <t>Habit Tracker</t>
        </is>
      </c>
      <c r="H2" s="84" t="inlineStr">
        <is>
          <t>"Small daily improvements lead to stunning results."</t>
        </is>
      </c>
      <c r="AE2" s="85" t="inlineStr">
        <is>
          <t>@surajvansh</t>
        </is>
      </c>
    </row>
    <row r="3" ht="18" customHeight="1">
      <c r="A3" s="86" t="inlineStr">
        <is>
          <t>January 2030</t>
        </is>
      </c>
      <c r="H3" s="87" t="inlineStr">
        <is>
          <t>31 Days Dashboard</t>
        </is>
      </c>
    </row>
    <row r="4" ht="5" customHeight="1"/>
    <row r="5" ht="16" customHeight="1">
      <c r="A5" s="88" t="inlineStr">
        <is>
          <t>MONTHLY TARGETS</t>
        </is>
      </c>
    </row>
    <row r="6" ht="13" customHeight="1">
      <c r="A6" s="89" t="inlineStr">
        <is>
          <t>1. ____________________ : ____________________</t>
        </is>
      </c>
      <c r="P6" s="89" t="inlineStr">
        <is>
          <t>5. ____________________ : ____________________</t>
        </is>
      </c>
    </row>
    <row r="7" ht="13" customHeight="1">
      <c r="A7" s="89" t="inlineStr">
        <is>
          <t>2. ____________________ : ____________________</t>
        </is>
      </c>
      <c r="P7" s="89" t="inlineStr">
        <is>
          <t>6. ____________________ : ____________________</t>
        </is>
      </c>
    </row>
    <row r="8" ht="13" customHeight="1">
      <c r="A8" s="89" t="inlineStr">
        <is>
          <t>3. ____________________ : ____________________</t>
        </is>
      </c>
      <c r="P8" s="89" t="inlineStr">
        <is>
          <t>7. ____________________ : ____________________</t>
        </is>
      </c>
    </row>
    <row r="9" ht="13" customHeight="1">
      <c r="A9" s="89" t="inlineStr">
        <is>
          <t>4. ____________________ : ____________________</t>
        </is>
      </c>
      <c r="P9" s="89" t="inlineStr">
        <is>
          <t>8. ____________________ : ____________________</t>
        </is>
      </c>
    </row>
    <row r="10" ht="5" customHeight="1"/>
    <row r="11" ht="15" customHeight="1">
      <c r="A11" s="88" t="inlineStr">
        <is>
          <t>NOTES:</t>
        </is>
      </c>
    </row>
    <row r="12" ht="13" customHeight="1">
      <c r="A12" s="90" t="n"/>
      <c r="B12" s="91" t="n"/>
      <c r="C12" s="91" t="n"/>
      <c r="D12" s="91" t="n"/>
      <c r="E12" s="91" t="n"/>
      <c r="F12" s="91" t="n"/>
      <c r="G12" s="91" t="n"/>
      <c r="H12" s="91" t="n"/>
      <c r="I12" s="91" t="n"/>
      <c r="J12" s="91" t="n"/>
      <c r="K12" s="91" t="n"/>
      <c r="L12" s="91" t="n"/>
      <c r="M12" s="91" t="n"/>
      <c r="N12" s="91" t="n"/>
      <c r="O12" s="91" t="n"/>
      <c r="P12" s="91" t="n"/>
      <c r="Q12" s="91" t="n"/>
      <c r="R12" s="91" t="n"/>
      <c r="S12" s="91" t="n"/>
      <c r="T12" s="91" t="n"/>
      <c r="U12" s="91" t="n"/>
      <c r="V12" s="91" t="n"/>
      <c r="W12" s="91" t="n"/>
      <c r="X12" s="91" t="n"/>
      <c r="Y12" s="91" t="n"/>
      <c r="Z12" s="91" t="n"/>
      <c r="AA12" s="91" t="n"/>
      <c r="AB12" s="91" t="n"/>
      <c r="AC12" s="91" t="n"/>
      <c r="AD12" s="91" t="n"/>
      <c r="AE12" s="91" t="n"/>
      <c r="AF12" s="91" t="n"/>
      <c r="AG12" s="91" t="n"/>
      <c r="AH12" s="91" t="n"/>
      <c r="AI12" s="91" t="n"/>
      <c r="AJ12" s="91" t="n"/>
      <c r="AK12" s="91" t="n"/>
      <c r="AL12" s="91" t="n"/>
    </row>
    <row r="13" ht="13" customHeight="1">
      <c r="A13" s="91" t="n"/>
      <c r="B13" s="91" t="n"/>
      <c r="C13" s="91" t="n"/>
      <c r="D13" s="91" t="n"/>
      <c r="E13" s="91" t="n"/>
      <c r="F13" s="91" t="n"/>
      <c r="G13" s="91" t="n"/>
      <c r="H13" s="91" t="n"/>
      <c r="I13" s="91" t="n"/>
      <c r="J13" s="91" t="n"/>
      <c r="K13" s="91" t="n"/>
      <c r="L13" s="91" t="n"/>
      <c r="M13" s="91" t="n"/>
      <c r="N13" s="91" t="n"/>
      <c r="O13" s="91" t="n"/>
      <c r="P13" s="91" t="n"/>
      <c r="Q13" s="91" t="n"/>
      <c r="R13" s="91" t="n"/>
      <c r="S13" s="91" t="n"/>
      <c r="T13" s="91" t="n"/>
      <c r="U13" s="91" t="n"/>
      <c r="V13" s="91" t="n"/>
      <c r="W13" s="91" t="n"/>
      <c r="X13" s="91" t="n"/>
      <c r="Y13" s="91" t="n"/>
      <c r="Z13" s="91" t="n"/>
      <c r="AA13" s="91" t="n"/>
      <c r="AB13" s="91" t="n"/>
      <c r="AC13" s="91" t="n"/>
      <c r="AD13" s="91" t="n"/>
      <c r="AE13" s="91" t="n"/>
      <c r="AF13" s="91" t="n"/>
      <c r="AG13" s="91" t="n"/>
      <c r="AH13" s="91" t="n"/>
      <c r="AI13" s="91" t="n"/>
      <c r="AJ13" s="91" t="n"/>
      <c r="AK13" s="91" t="n"/>
      <c r="AL13" s="91" t="n"/>
    </row>
    <row r="14" ht="13" customHeight="1">
      <c r="A14" s="91" t="n"/>
      <c r="B14" s="91" t="n"/>
      <c r="C14" s="91" t="n"/>
      <c r="D14" s="91" t="n"/>
      <c r="E14" s="91" t="n"/>
      <c r="F14" s="91" t="n"/>
      <c r="G14" s="91" t="n"/>
      <c r="H14" s="91" t="n"/>
      <c r="I14" s="91" t="n"/>
      <c r="J14" s="91" t="n"/>
      <c r="K14" s="91" t="n"/>
      <c r="L14" s="91" t="n"/>
      <c r="M14" s="91" t="n"/>
      <c r="N14" s="91" t="n"/>
      <c r="O14" s="91" t="n"/>
      <c r="P14" s="91" t="n"/>
      <c r="Q14" s="91" t="n"/>
      <c r="R14" s="91" t="n"/>
      <c r="S14" s="91" t="n"/>
      <c r="T14" s="91" t="n"/>
      <c r="U14" s="91" t="n"/>
      <c r="V14" s="91" t="n"/>
      <c r="W14" s="91" t="n"/>
      <c r="X14" s="91" t="n"/>
      <c r="Y14" s="91" t="n"/>
      <c r="Z14" s="91" t="n"/>
      <c r="AA14" s="91" t="n"/>
      <c r="AB14" s="91" t="n"/>
      <c r="AC14" s="91" t="n"/>
      <c r="AD14" s="91" t="n"/>
      <c r="AE14" s="91" t="n"/>
      <c r="AF14" s="91" t="n"/>
      <c r="AG14" s="91" t="n"/>
      <c r="AH14" s="91" t="n"/>
      <c r="AI14" s="91" t="n"/>
      <c r="AJ14" s="91" t="n"/>
      <c r="AK14" s="91" t="n"/>
      <c r="AL14" s="91" t="n"/>
    </row>
    <row r="15" ht="8" customHeight="1"/>
    <row r="16" ht="15" customHeight="1">
      <c r="A16" s="33" t="inlineStr">
        <is>
          <t>S.No.</t>
        </is>
      </c>
      <c r="B16" s="33" t="inlineStr">
        <is>
          <t>Protocols</t>
        </is>
      </c>
      <c r="C16" s="33" t="inlineStr">
        <is>
          <t>Category</t>
        </is>
      </c>
      <c r="D16" s="33" t="inlineStr">
        <is>
          <t>Target</t>
        </is>
      </c>
      <c r="E16" s="92" t="n">
        <v>1</v>
      </c>
      <c r="F16" s="92" t="n">
        <v>2</v>
      </c>
      <c r="G16" s="92" t="n">
        <v>3</v>
      </c>
      <c r="H16" s="92" t="n">
        <v>4</v>
      </c>
      <c r="I16" s="92" t="n">
        <v>5</v>
      </c>
      <c r="J16" s="93" t="n">
        <v>6</v>
      </c>
      <c r="K16" s="92" t="n">
        <v>7</v>
      </c>
      <c r="L16" s="92" t="n">
        <v>8</v>
      </c>
      <c r="M16" s="92" t="n">
        <v>9</v>
      </c>
      <c r="N16" s="92" t="n">
        <v>10</v>
      </c>
      <c r="O16" s="92" t="n">
        <v>11</v>
      </c>
      <c r="P16" s="92" t="n">
        <v>12</v>
      </c>
      <c r="Q16" s="93" t="n">
        <v>13</v>
      </c>
      <c r="R16" s="92" t="n">
        <v>14</v>
      </c>
      <c r="S16" s="92" t="n">
        <v>15</v>
      </c>
      <c r="T16" s="92" t="n">
        <v>16</v>
      </c>
      <c r="U16" s="92" t="n">
        <v>17</v>
      </c>
      <c r="V16" s="92" t="n">
        <v>18</v>
      </c>
      <c r="W16" s="92" t="n">
        <v>19</v>
      </c>
      <c r="X16" s="93" t="n">
        <v>20</v>
      </c>
      <c r="Y16" s="92" t="n">
        <v>21</v>
      </c>
      <c r="Z16" s="92" t="n">
        <v>22</v>
      </c>
      <c r="AA16" s="92" t="n">
        <v>23</v>
      </c>
      <c r="AB16" s="92" t="n">
        <v>24</v>
      </c>
      <c r="AC16" s="92" t="n">
        <v>25</v>
      </c>
      <c r="AD16" s="92" t="n">
        <v>26</v>
      </c>
      <c r="AE16" s="93" t="n">
        <v>27</v>
      </c>
      <c r="AF16" s="92" t="n">
        <v>28</v>
      </c>
      <c r="AG16" s="92" t="n">
        <v>29</v>
      </c>
      <c r="AH16" s="92" t="n">
        <v>30</v>
      </c>
      <c r="AI16" s="92" t="n">
        <v>31</v>
      </c>
      <c r="AJ16" s="94" t="inlineStr">
        <is>
          <t>Success %</t>
        </is>
      </c>
      <c r="AK16" s="94" t="inlineStr">
        <is>
          <t>Done / Target</t>
        </is>
      </c>
      <c r="AL16" s="94" t="inlineStr">
        <is>
          <t>Status</t>
        </is>
      </c>
      <c r="AM16" t="inlineStr">
        <is>
          <t>Done Count</t>
        </is>
      </c>
    </row>
    <row r="17" ht="15" customHeight="1">
      <c r="A17" s="54" t="n"/>
      <c r="B17" s="54" t="n"/>
      <c r="C17" s="54" t="n"/>
      <c r="D17" s="54" t="n"/>
      <c r="E17" s="95" t="inlineStr">
        <is>
          <t>T</t>
        </is>
      </c>
      <c r="F17" s="95" t="inlineStr">
        <is>
          <t>W</t>
        </is>
      </c>
      <c r="G17" s="95" t="inlineStr">
        <is>
          <t>Th</t>
        </is>
      </c>
      <c r="H17" s="95" t="inlineStr">
        <is>
          <t>F</t>
        </is>
      </c>
      <c r="I17" s="95" t="inlineStr">
        <is>
          <t>Sa</t>
        </is>
      </c>
      <c r="J17" s="96" t="inlineStr">
        <is>
          <t>Su</t>
        </is>
      </c>
      <c r="K17" s="95" t="inlineStr">
        <is>
          <t>M</t>
        </is>
      </c>
      <c r="L17" s="95" t="inlineStr">
        <is>
          <t>T</t>
        </is>
      </c>
      <c r="M17" s="95" t="inlineStr">
        <is>
          <t>W</t>
        </is>
      </c>
      <c r="N17" s="95" t="inlineStr">
        <is>
          <t>Th</t>
        </is>
      </c>
      <c r="O17" s="95" t="inlineStr">
        <is>
          <t>F</t>
        </is>
      </c>
      <c r="P17" s="95" t="inlineStr">
        <is>
          <t>Sa</t>
        </is>
      </c>
      <c r="Q17" s="96" t="inlineStr">
        <is>
          <t>Su</t>
        </is>
      </c>
      <c r="R17" s="95" t="inlineStr">
        <is>
          <t>M</t>
        </is>
      </c>
      <c r="S17" s="95" t="inlineStr">
        <is>
          <t>T</t>
        </is>
      </c>
      <c r="T17" s="95" t="inlineStr">
        <is>
          <t>W</t>
        </is>
      </c>
      <c r="U17" s="95" t="inlineStr">
        <is>
          <t>Th</t>
        </is>
      </c>
      <c r="V17" s="95" t="inlineStr">
        <is>
          <t>F</t>
        </is>
      </c>
      <c r="W17" s="95" t="inlineStr">
        <is>
          <t>Sa</t>
        </is>
      </c>
      <c r="X17" s="96" t="inlineStr">
        <is>
          <t>Su</t>
        </is>
      </c>
      <c r="Y17" s="95" t="inlineStr">
        <is>
          <t>M</t>
        </is>
      </c>
      <c r="Z17" s="95" t="inlineStr">
        <is>
          <t>T</t>
        </is>
      </c>
      <c r="AA17" s="95" t="inlineStr">
        <is>
          <t>W</t>
        </is>
      </c>
      <c r="AB17" s="95" t="inlineStr">
        <is>
          <t>Th</t>
        </is>
      </c>
      <c r="AC17" s="95" t="inlineStr">
        <is>
          <t>F</t>
        </is>
      </c>
      <c r="AD17" s="95" t="inlineStr">
        <is>
          <t>Sa</t>
        </is>
      </c>
      <c r="AE17" s="96" t="inlineStr">
        <is>
          <t>Su</t>
        </is>
      </c>
      <c r="AF17" s="95" t="inlineStr">
        <is>
          <t>M</t>
        </is>
      </c>
      <c r="AG17" s="95" t="inlineStr">
        <is>
          <t>T</t>
        </is>
      </c>
      <c r="AH17" s="95" t="inlineStr">
        <is>
          <t>W</t>
        </is>
      </c>
      <c r="AI17" s="95" t="inlineStr">
        <is>
          <t>Th</t>
        </is>
      </c>
      <c r="AJ17" s="54" t="n"/>
      <c r="AK17" s="54" t="n"/>
      <c r="AL17" s="54" t="n"/>
    </row>
    <row r="18" ht="14.5" customHeight="1">
      <c r="A18" s="97" t="n">
        <v>1</v>
      </c>
      <c r="B18" s="98" t="n"/>
      <c r="C18" s="99" t="n"/>
      <c r="D18" s="99" t="n"/>
      <c r="E18" s="100" t="n"/>
      <c r="F18" s="100" t="n"/>
      <c r="G18" s="100" t="n"/>
      <c r="H18" s="100" t="n"/>
      <c r="I18" s="100" t="n"/>
      <c r="J18" s="101" t="n"/>
      <c r="K18" s="100" t="n"/>
      <c r="L18" s="100" t="n"/>
      <c r="M18" s="100" t="n"/>
      <c r="N18" s="100" t="n"/>
      <c r="O18" s="100" t="n"/>
      <c r="P18" s="100" t="n"/>
      <c r="Q18" s="101" t="n"/>
      <c r="R18" s="100" t="n"/>
      <c r="S18" s="100" t="n"/>
      <c r="T18" s="100" t="n"/>
      <c r="U18" s="100" t="n"/>
      <c r="V18" s="100" t="n"/>
      <c r="W18" s="100" t="n"/>
      <c r="X18" s="101" t="n"/>
      <c r="Y18" s="100" t="n"/>
      <c r="Z18" s="100" t="n"/>
      <c r="AA18" s="100" t="n"/>
      <c r="AB18" s="100" t="n"/>
      <c r="AC18" s="100" t="n"/>
      <c r="AD18" s="100" t="n"/>
      <c r="AE18" s="101" t="n"/>
      <c r="AF18" s="100" t="n"/>
      <c r="AG18" s="100" t="n"/>
      <c r="AH18" s="100" t="n"/>
      <c r="AI18" s="100" t="n"/>
      <c r="AJ18" s="102">
        <f>IF(ISBLANK(B18), "", IF(ISNUMBER(D18), IF(D18&gt;0, (COUNTIF(E18:AI18, "✓") + COUNTIF(E18:AI18, "✔") + COUNTIF(E18:AI18, "v") + COUNTIF(E18:AI18, "V"))/D18, 0), IF(((COUNTIF(E18:AI18, "✓") + COUNTIF(E18:AI18, "✔") + COUNTIF(E18:AI18, "v") + COUNTIF(E18:AI18, "V")) + COUNTIF(E18:AI18, "✗") + COUNTIF(E18:AI18, "x") + COUNTIF(E18:AI18, "X"))&gt;0, (COUNTIF(E18:AI18, "✓") + COUNTIF(E18:AI18, "✔") + COUNTIF(E18:AI18, "v") + COUNTIF(E18:AI18, "V"))/((COUNTIF(E18:AI18, "✓") + COUNTIF(E18:AI18, "✔") + COUNTIF(E18:AI18, "v") + COUNTIF(E18:AI18, "V")) + COUNTIF(E18:AI18, "✗") + COUNTIF(E18:AI18, "x") + COUNTIF(E18:AI18, "X")), "")))</f>
        <v/>
      </c>
      <c r="AK18" s="103">
        <f>IF(ISBLANK(B18), "", IF(ISNUMBER(D18), IF(D18&gt;0, (COUNTIF(E18:AI18, "✓") + COUNTIF(E18:AI18, "✔") + COUNTIF(E18:AI18, "v") + COUNTIF(E18:AI18, "V")) &amp; "/" &amp; D18, (COUNTIF(E18:AI18, "✓") + COUNTIF(E18:AI18, "✔") + COUNTIF(E18:AI18, "v") + COUNTIF(E18:AI18, "V")) &amp; "/0"), IF(((COUNTIF(E18:AI18, "✓") + COUNTIF(E18:AI18, "✔") + COUNTIF(E18:AI18, "v") + COUNTIF(E18:AI18, "V")) + COUNTIF(E18:AI18, "✗") + COUNTIF(E18:AI18, "x") + COUNTIF(E18:AI18, "X"))&gt;0, (COUNTIF(E18:AI18, "✓") + COUNTIF(E18:AI18, "✔") + COUNTIF(E18:AI18, "v") + COUNTIF(E18:AI18, "V")) &amp; "/" &amp; ((COUNTIF(E18:AI18, "✓") + COUNTIF(E18:AI18, "✔") + COUNTIF(E18:AI18, "v") + COUNTIF(E18:AI18, "V")) + COUNTIF(E18:AI18, "✗") + COUNTIF(E18:AI18, "x") + COUNTIF(E18:AI18, "X")), "")))</f>
        <v/>
      </c>
      <c r="AL18" s="103">
        <f>IF(ISBLANK(B18), "", IF(AJ18&gt;=0.85, "🔥 Mastered", IF(AJ18&gt;=0.7, "⚡ Consistent", "⚠️ Needs Focus")))</f>
        <v/>
      </c>
      <c r="AM18">
        <f>COUNTIF(E18:AI18, "✓")</f>
        <v/>
      </c>
    </row>
    <row r="19" ht="14.5" customHeight="1">
      <c r="A19" s="97" t="n">
        <v>2</v>
      </c>
      <c r="B19" s="98" t="n"/>
      <c r="C19" s="99" t="n"/>
      <c r="D19" s="99" t="n"/>
      <c r="E19" s="100" t="n"/>
      <c r="F19" s="100" t="n"/>
      <c r="G19" s="100" t="n"/>
      <c r="H19" s="100" t="n"/>
      <c r="I19" s="100" t="n"/>
      <c r="J19" s="101" t="n"/>
      <c r="K19" s="100" t="n"/>
      <c r="L19" s="100" t="n"/>
      <c r="M19" s="100" t="n"/>
      <c r="N19" s="100" t="n"/>
      <c r="O19" s="100" t="n"/>
      <c r="P19" s="100" t="n"/>
      <c r="Q19" s="101" t="n"/>
      <c r="R19" s="100" t="n"/>
      <c r="S19" s="100" t="n"/>
      <c r="T19" s="100" t="n"/>
      <c r="U19" s="100" t="n"/>
      <c r="V19" s="100" t="n"/>
      <c r="W19" s="100" t="n"/>
      <c r="X19" s="101" t="n"/>
      <c r="Y19" s="100" t="n"/>
      <c r="Z19" s="100" t="n"/>
      <c r="AA19" s="100" t="n"/>
      <c r="AB19" s="100" t="n"/>
      <c r="AC19" s="100" t="n"/>
      <c r="AD19" s="100" t="n"/>
      <c r="AE19" s="101" t="n"/>
      <c r="AF19" s="100" t="n"/>
      <c r="AG19" s="100" t="n"/>
      <c r="AH19" s="100" t="n"/>
      <c r="AI19" s="100" t="n"/>
      <c r="AJ19" s="102">
        <f>IF(ISBLANK(B19), "", IF(ISNUMBER(D19), IF(D19&gt;0, (COUNTIF(E19:AI19, "✓") + COUNTIF(E19:AI19, "✔") + COUNTIF(E19:AI19, "v") + COUNTIF(E19:AI19, "V"))/D19, 0), IF(((COUNTIF(E19:AI19, "✓") + COUNTIF(E19:AI19, "✔") + COUNTIF(E19:AI19, "v") + COUNTIF(E19:AI19, "V")) + COUNTIF(E19:AI19, "✗") + COUNTIF(E19:AI19, "x") + COUNTIF(E19:AI19, "X"))&gt;0, (COUNTIF(E19:AI19, "✓") + COUNTIF(E19:AI19, "✔") + COUNTIF(E19:AI19, "v") + COUNTIF(E19:AI19, "V"))/((COUNTIF(E19:AI19, "✓") + COUNTIF(E19:AI19, "✔") + COUNTIF(E19:AI19, "v") + COUNTIF(E19:AI19, "V")) + COUNTIF(E19:AI19, "✗") + COUNTIF(E19:AI19, "x") + COUNTIF(E19:AI19, "X")), "")))</f>
        <v/>
      </c>
      <c r="AK19" s="103">
        <f>IF(ISBLANK(B19), "", IF(ISNUMBER(D19), IF(D19&gt;0, (COUNTIF(E19:AI19, "✓") + COUNTIF(E19:AI19, "✔") + COUNTIF(E19:AI19, "v") + COUNTIF(E19:AI19, "V")) &amp; "/" &amp; D19, (COUNTIF(E19:AI19, "✓") + COUNTIF(E19:AI19, "✔") + COUNTIF(E19:AI19, "v") + COUNTIF(E19:AI19, "V")) &amp; "/0"), IF(((COUNTIF(E19:AI19, "✓") + COUNTIF(E19:AI19, "✔") + COUNTIF(E19:AI19, "v") + COUNTIF(E19:AI19, "V")) + COUNTIF(E19:AI19, "✗") + COUNTIF(E19:AI19, "x") + COUNTIF(E19:AI19, "X"))&gt;0, (COUNTIF(E19:AI19, "✓") + COUNTIF(E19:AI19, "✔") + COUNTIF(E19:AI19, "v") + COUNTIF(E19:AI19, "V")) &amp; "/" &amp; ((COUNTIF(E19:AI19, "✓") + COUNTIF(E19:AI19, "✔") + COUNTIF(E19:AI19, "v") + COUNTIF(E19:AI19, "V")) + COUNTIF(E19:AI19, "✗") + COUNTIF(E19:AI19, "x") + COUNTIF(E19:AI19, "X")), "")))</f>
        <v/>
      </c>
      <c r="AL19" s="103">
        <f>IF(ISBLANK(B19), "", IF(AJ19&gt;=0.85, "🔥 Mastered", IF(AJ19&gt;=0.7, "⚡ Consistent", "⚠️ Needs Focus")))</f>
        <v/>
      </c>
      <c r="AM19">
        <f>COUNTIF(E19:AI19, "✓")</f>
        <v/>
      </c>
    </row>
    <row r="20" ht="14.5" customHeight="1">
      <c r="A20" s="97" t="n">
        <v>3</v>
      </c>
      <c r="B20" s="98" t="n"/>
      <c r="C20" s="99" t="n"/>
      <c r="D20" s="99" t="n"/>
      <c r="E20" s="100" t="n"/>
      <c r="F20" s="100" t="n"/>
      <c r="G20" s="100" t="n"/>
      <c r="H20" s="100" t="n"/>
      <c r="I20" s="100" t="n"/>
      <c r="J20" s="101" t="n"/>
      <c r="K20" s="100" t="n"/>
      <c r="L20" s="100" t="n"/>
      <c r="M20" s="100" t="n"/>
      <c r="N20" s="100" t="n"/>
      <c r="O20" s="100" t="n"/>
      <c r="P20" s="100" t="n"/>
      <c r="Q20" s="101" t="n"/>
      <c r="R20" s="100" t="n"/>
      <c r="S20" s="100" t="n"/>
      <c r="T20" s="100" t="n"/>
      <c r="U20" s="100" t="n"/>
      <c r="V20" s="100" t="n"/>
      <c r="W20" s="100" t="n"/>
      <c r="X20" s="101" t="n"/>
      <c r="Y20" s="100" t="n"/>
      <c r="Z20" s="100" t="n"/>
      <c r="AA20" s="100" t="n"/>
      <c r="AB20" s="100" t="n"/>
      <c r="AC20" s="100" t="n"/>
      <c r="AD20" s="100" t="n"/>
      <c r="AE20" s="101" t="n"/>
      <c r="AF20" s="100" t="n"/>
      <c r="AG20" s="100" t="n"/>
      <c r="AH20" s="100" t="n"/>
      <c r="AI20" s="100" t="n"/>
      <c r="AJ20" s="102">
        <f>IF(ISBLANK(B20), "", IF(ISNUMBER(D20), IF(D20&gt;0, (COUNTIF(E20:AI20, "✓") + COUNTIF(E20:AI20, "✔") + COUNTIF(E20:AI20, "v") + COUNTIF(E20:AI20, "V"))/D20, 0), IF(((COUNTIF(E20:AI20, "✓") + COUNTIF(E20:AI20, "✔") + COUNTIF(E20:AI20, "v") + COUNTIF(E20:AI20, "V")) + COUNTIF(E20:AI20, "✗") + COUNTIF(E20:AI20, "x") + COUNTIF(E20:AI20, "X"))&gt;0, (COUNTIF(E20:AI20, "✓") + COUNTIF(E20:AI20, "✔") + COUNTIF(E20:AI20, "v") + COUNTIF(E20:AI20, "V"))/((COUNTIF(E20:AI20, "✓") + COUNTIF(E20:AI20, "✔") + COUNTIF(E20:AI20, "v") + COUNTIF(E20:AI20, "V")) + COUNTIF(E20:AI20, "✗") + COUNTIF(E20:AI20, "x") + COUNTIF(E20:AI20, "X")), "")))</f>
        <v/>
      </c>
      <c r="AK20" s="103">
        <f>IF(ISBLANK(B20), "", IF(ISNUMBER(D20), IF(D20&gt;0, (COUNTIF(E20:AI20, "✓") + COUNTIF(E20:AI20, "✔") + COUNTIF(E20:AI20, "v") + COUNTIF(E20:AI20, "V")) &amp; "/" &amp; D20, (COUNTIF(E20:AI20, "✓") + COUNTIF(E20:AI20, "✔") + COUNTIF(E20:AI20, "v") + COUNTIF(E20:AI20, "V")) &amp; "/0"), IF(((COUNTIF(E20:AI20, "✓") + COUNTIF(E20:AI20, "✔") + COUNTIF(E20:AI20, "v") + COUNTIF(E20:AI20, "V")) + COUNTIF(E20:AI20, "✗") + COUNTIF(E20:AI20, "x") + COUNTIF(E20:AI20, "X"))&gt;0, (COUNTIF(E20:AI20, "✓") + COUNTIF(E20:AI20, "✔") + COUNTIF(E20:AI20, "v") + COUNTIF(E20:AI20, "V")) &amp; "/" &amp; ((COUNTIF(E20:AI20, "✓") + COUNTIF(E20:AI20, "✔") + COUNTIF(E20:AI20, "v") + COUNTIF(E20:AI20, "V")) + COUNTIF(E20:AI20, "✗") + COUNTIF(E20:AI20, "x") + COUNTIF(E20:AI20, "X")), "")))</f>
        <v/>
      </c>
      <c r="AL20" s="103">
        <f>IF(ISBLANK(B20), "", IF(AJ20&gt;=0.85, "🔥 Mastered", IF(AJ20&gt;=0.7, "⚡ Consistent", "⚠️ Needs Focus")))</f>
        <v/>
      </c>
      <c r="AM20">
        <f>COUNTIF(E20:AI20, "✓")</f>
        <v/>
      </c>
    </row>
    <row r="21" ht="14.5" customHeight="1">
      <c r="A21" s="97" t="n">
        <v>4</v>
      </c>
      <c r="B21" s="98" t="n"/>
      <c r="C21" s="99" t="n"/>
      <c r="D21" s="99" t="n"/>
      <c r="E21" s="100" t="n"/>
      <c r="F21" s="100" t="n"/>
      <c r="G21" s="100" t="n"/>
      <c r="H21" s="100" t="n"/>
      <c r="I21" s="100" t="n"/>
      <c r="J21" s="101" t="n"/>
      <c r="K21" s="100" t="n"/>
      <c r="L21" s="100" t="n"/>
      <c r="M21" s="100" t="n"/>
      <c r="N21" s="100" t="n"/>
      <c r="O21" s="100" t="n"/>
      <c r="P21" s="100" t="n"/>
      <c r="Q21" s="101" t="n"/>
      <c r="R21" s="100" t="n"/>
      <c r="S21" s="100" t="n"/>
      <c r="T21" s="100" t="n"/>
      <c r="U21" s="100" t="n"/>
      <c r="V21" s="100" t="n"/>
      <c r="W21" s="100" t="n"/>
      <c r="X21" s="101" t="n"/>
      <c r="Y21" s="100" t="n"/>
      <c r="Z21" s="100" t="n"/>
      <c r="AA21" s="100" t="n"/>
      <c r="AB21" s="100" t="n"/>
      <c r="AC21" s="100" t="n"/>
      <c r="AD21" s="100" t="n"/>
      <c r="AE21" s="101" t="n"/>
      <c r="AF21" s="100" t="n"/>
      <c r="AG21" s="100" t="n"/>
      <c r="AH21" s="100" t="n"/>
      <c r="AI21" s="100" t="n"/>
      <c r="AJ21" s="102">
        <f>IF(ISBLANK(B21), "", IF(ISNUMBER(D21), IF(D21&gt;0, (COUNTIF(E21:AI21, "✓") + COUNTIF(E21:AI21, "✔") + COUNTIF(E21:AI21, "v") + COUNTIF(E21:AI21, "V"))/D21, 0), IF(((COUNTIF(E21:AI21, "✓") + COUNTIF(E21:AI21, "✔") + COUNTIF(E21:AI21, "v") + COUNTIF(E21:AI21, "V")) + COUNTIF(E21:AI21, "✗") + COUNTIF(E21:AI21, "x") + COUNTIF(E21:AI21, "X"))&gt;0, (COUNTIF(E21:AI21, "✓") + COUNTIF(E21:AI21, "✔") + COUNTIF(E21:AI21, "v") + COUNTIF(E21:AI21, "V"))/((COUNTIF(E21:AI21, "✓") + COUNTIF(E21:AI21, "✔") + COUNTIF(E21:AI21, "v") + COUNTIF(E21:AI21, "V")) + COUNTIF(E21:AI21, "✗") + COUNTIF(E21:AI21, "x") + COUNTIF(E21:AI21, "X")), "")))</f>
        <v/>
      </c>
      <c r="AK21" s="103">
        <f>IF(ISBLANK(B21), "", IF(ISNUMBER(D21), IF(D21&gt;0, (COUNTIF(E21:AI21, "✓") + COUNTIF(E21:AI21, "✔") + COUNTIF(E21:AI21, "v") + COUNTIF(E21:AI21, "V")) &amp; "/" &amp; D21, (COUNTIF(E21:AI21, "✓") + COUNTIF(E21:AI21, "✔") + COUNTIF(E21:AI21, "v") + COUNTIF(E21:AI21, "V")) &amp; "/0"), IF(((COUNTIF(E21:AI21, "✓") + COUNTIF(E21:AI21, "✔") + COUNTIF(E21:AI21, "v") + COUNTIF(E21:AI21, "V")) + COUNTIF(E21:AI21, "✗") + COUNTIF(E21:AI21, "x") + COUNTIF(E21:AI21, "X"))&gt;0, (COUNTIF(E21:AI21, "✓") + COUNTIF(E21:AI21, "✔") + COUNTIF(E21:AI21, "v") + COUNTIF(E21:AI21, "V")) &amp; "/" &amp; ((COUNTIF(E21:AI21, "✓") + COUNTIF(E21:AI21, "✔") + COUNTIF(E21:AI21, "v") + COUNTIF(E21:AI21, "V")) + COUNTIF(E21:AI21, "✗") + COUNTIF(E21:AI21, "x") + COUNTIF(E21:AI21, "X")), "")))</f>
        <v/>
      </c>
      <c r="AL21" s="103">
        <f>IF(ISBLANK(B21), "", IF(AJ21&gt;=0.85, "🔥 Mastered", IF(AJ21&gt;=0.7, "⚡ Consistent", "⚠️ Needs Focus")))</f>
        <v/>
      </c>
      <c r="AM21">
        <f>COUNTIF(E21:AI21, "✓")</f>
        <v/>
      </c>
    </row>
    <row r="22" ht="14.5" customHeight="1">
      <c r="A22" s="104" t="n">
        <v>5</v>
      </c>
      <c r="B22" s="105" t="n"/>
      <c r="C22" s="106" t="n"/>
      <c r="D22" s="106" t="n"/>
      <c r="E22" s="107" t="n"/>
      <c r="F22" s="107" t="n"/>
      <c r="G22" s="107" t="n"/>
      <c r="H22" s="107" t="n"/>
      <c r="I22" s="107" t="n"/>
      <c r="J22" s="108" t="n"/>
      <c r="K22" s="107" t="n"/>
      <c r="L22" s="107" t="n"/>
      <c r="M22" s="107" t="n"/>
      <c r="N22" s="107" t="n"/>
      <c r="O22" s="107" t="n"/>
      <c r="P22" s="107" t="n"/>
      <c r="Q22" s="108" t="n"/>
      <c r="R22" s="107" t="n"/>
      <c r="S22" s="107" t="n"/>
      <c r="T22" s="107" t="n"/>
      <c r="U22" s="107" t="n"/>
      <c r="V22" s="107" t="n"/>
      <c r="W22" s="107" t="n"/>
      <c r="X22" s="108" t="n"/>
      <c r="Y22" s="107" t="n"/>
      <c r="Z22" s="107" t="n"/>
      <c r="AA22" s="107" t="n"/>
      <c r="AB22" s="107" t="n"/>
      <c r="AC22" s="107" t="n"/>
      <c r="AD22" s="107" t="n"/>
      <c r="AE22" s="108" t="n"/>
      <c r="AF22" s="107" t="n"/>
      <c r="AG22" s="107" t="n"/>
      <c r="AH22" s="107" t="n"/>
      <c r="AI22" s="107" t="n"/>
      <c r="AJ22" s="109">
        <f>IF(ISBLANK(B22), "", IF(ISNUMBER(D22), IF(D22&gt;0, (COUNTIF(E22:AI22, "✓") + COUNTIF(E22:AI22, "✔") + COUNTIF(E22:AI22, "v") + COUNTIF(E22:AI22, "V"))/D22, 0), IF(((COUNTIF(E22:AI22, "✓") + COUNTIF(E22:AI22, "✔") + COUNTIF(E22:AI22, "v") + COUNTIF(E22:AI22, "V")) + COUNTIF(E22:AI22, "✗") + COUNTIF(E22:AI22, "x") + COUNTIF(E22:AI22, "X"))&gt;0, (COUNTIF(E22:AI22, "✓") + COUNTIF(E22:AI22, "✔") + COUNTIF(E22:AI22, "v") + COUNTIF(E22:AI22, "V"))/((COUNTIF(E22:AI22, "✓") + COUNTIF(E22:AI22, "✔") + COUNTIF(E22:AI22, "v") + COUNTIF(E22:AI22, "V")) + COUNTIF(E22:AI22, "✗") + COUNTIF(E22:AI22, "x") + COUNTIF(E22:AI22, "X")), "")))</f>
        <v/>
      </c>
      <c r="AK22" s="110">
        <f>IF(ISBLANK(B22), "", IF(ISNUMBER(D22), IF(D22&gt;0, (COUNTIF(E22:AI22, "✓") + COUNTIF(E22:AI22, "✔") + COUNTIF(E22:AI22, "v") + COUNTIF(E22:AI22, "V")) &amp; "/" &amp; D22, (COUNTIF(E22:AI22, "✓") + COUNTIF(E22:AI22, "✔") + COUNTIF(E22:AI22, "v") + COUNTIF(E22:AI22, "V")) &amp; "/0"), IF(((COUNTIF(E22:AI22, "✓") + COUNTIF(E22:AI22, "✔") + COUNTIF(E22:AI22, "v") + COUNTIF(E22:AI22, "V")) + COUNTIF(E22:AI22, "✗") + COUNTIF(E22:AI22, "x") + COUNTIF(E22:AI22, "X"))&gt;0, (COUNTIF(E22:AI22, "✓") + COUNTIF(E22:AI22, "✔") + COUNTIF(E22:AI22, "v") + COUNTIF(E22:AI22, "V")) &amp; "/" &amp; ((COUNTIF(E22:AI22, "✓") + COUNTIF(E22:AI22, "✔") + COUNTIF(E22:AI22, "v") + COUNTIF(E22:AI22, "V")) + COUNTIF(E22:AI22, "✗") + COUNTIF(E22:AI22, "x") + COUNTIF(E22:AI22, "X")), "")))</f>
        <v/>
      </c>
      <c r="AL22" s="110">
        <f>IF(ISBLANK(B22), "", IF(AJ22&gt;=0.85, "🔥 Mastered", IF(AJ22&gt;=0.7, "⚡ Consistent", "⚠️ Needs Focus")))</f>
        <v/>
      </c>
      <c r="AM22">
        <f>COUNTIF(E22:AI22, "✓")</f>
        <v/>
      </c>
    </row>
    <row r="23" ht="14.5" customHeight="1">
      <c r="A23" s="104" t="n">
        <v>6</v>
      </c>
      <c r="B23" s="105" t="n"/>
      <c r="C23" s="106" t="n"/>
      <c r="D23" s="106" t="n"/>
      <c r="E23" s="107" t="n"/>
      <c r="F23" s="107" t="n"/>
      <c r="G23" s="107" t="n"/>
      <c r="H23" s="107" t="n"/>
      <c r="I23" s="107" t="n"/>
      <c r="J23" s="108" t="n"/>
      <c r="K23" s="107" t="n"/>
      <c r="L23" s="107" t="n"/>
      <c r="M23" s="107" t="n"/>
      <c r="N23" s="107" t="n"/>
      <c r="O23" s="107" t="n"/>
      <c r="P23" s="107" t="n"/>
      <c r="Q23" s="108" t="n"/>
      <c r="R23" s="107" t="n"/>
      <c r="S23" s="107" t="n"/>
      <c r="T23" s="107" t="n"/>
      <c r="U23" s="107" t="n"/>
      <c r="V23" s="107" t="n"/>
      <c r="W23" s="107" t="n"/>
      <c r="X23" s="108" t="n"/>
      <c r="Y23" s="107" t="n"/>
      <c r="Z23" s="107" t="n"/>
      <c r="AA23" s="107" t="n"/>
      <c r="AB23" s="107" t="n"/>
      <c r="AC23" s="107" t="n"/>
      <c r="AD23" s="107" t="n"/>
      <c r="AE23" s="108" t="n"/>
      <c r="AF23" s="107" t="n"/>
      <c r="AG23" s="107" t="n"/>
      <c r="AH23" s="107" t="n"/>
      <c r="AI23" s="107" t="n"/>
      <c r="AJ23" s="109">
        <f>IF(ISBLANK(B23), "", IF(ISNUMBER(D23), IF(D23&gt;0, (COUNTIF(E23:AI23, "✓") + COUNTIF(E23:AI23, "✔") + COUNTIF(E23:AI23, "v") + COUNTIF(E23:AI23, "V"))/D23, 0), IF(((COUNTIF(E23:AI23, "✓") + COUNTIF(E23:AI23, "✔") + COUNTIF(E23:AI23, "v") + COUNTIF(E23:AI23, "V")) + COUNTIF(E23:AI23, "✗") + COUNTIF(E23:AI23, "x") + COUNTIF(E23:AI23, "X"))&gt;0, (COUNTIF(E23:AI23, "✓") + COUNTIF(E23:AI23, "✔") + COUNTIF(E23:AI23, "v") + COUNTIF(E23:AI23, "V"))/((COUNTIF(E23:AI23, "✓") + COUNTIF(E23:AI23, "✔") + COUNTIF(E23:AI23, "v") + COUNTIF(E23:AI23, "V")) + COUNTIF(E23:AI23, "✗") + COUNTIF(E23:AI23, "x") + COUNTIF(E23:AI23, "X")), "")))</f>
        <v/>
      </c>
      <c r="AK23" s="110">
        <f>IF(ISBLANK(B23), "", IF(ISNUMBER(D23), IF(D23&gt;0, (COUNTIF(E23:AI23, "✓") + COUNTIF(E23:AI23, "✔") + COUNTIF(E23:AI23, "v") + COUNTIF(E23:AI23, "V")) &amp; "/" &amp; D23, (COUNTIF(E23:AI23, "✓") + COUNTIF(E23:AI23, "✔") + COUNTIF(E23:AI23, "v") + COUNTIF(E23:AI23, "V")) &amp; "/0"), IF(((COUNTIF(E23:AI23, "✓") + COUNTIF(E23:AI23, "✔") + COUNTIF(E23:AI23, "v") + COUNTIF(E23:AI23, "V")) + COUNTIF(E23:AI23, "✗") + COUNTIF(E23:AI23, "x") + COUNTIF(E23:AI23, "X"))&gt;0, (COUNTIF(E23:AI23, "✓") + COUNTIF(E23:AI23, "✔") + COUNTIF(E23:AI23, "v") + COUNTIF(E23:AI23, "V")) &amp; "/" &amp; ((COUNTIF(E23:AI23, "✓") + COUNTIF(E23:AI23, "✔") + COUNTIF(E23:AI23, "v") + COUNTIF(E23:AI23, "V")) + COUNTIF(E23:AI23, "✗") + COUNTIF(E23:AI23, "x") + COUNTIF(E23:AI23, "X")), "")))</f>
        <v/>
      </c>
      <c r="AL23" s="110">
        <f>IF(ISBLANK(B23), "", IF(AJ23&gt;=0.85, "🔥 Mastered", IF(AJ23&gt;=0.7, "⚡ Consistent", "⚠️ Needs Focus")))</f>
        <v/>
      </c>
      <c r="AM23">
        <f>COUNTIF(E23:AI23, "✓")</f>
        <v/>
      </c>
    </row>
    <row r="24" ht="14.5" customHeight="1">
      <c r="A24" s="104" t="n">
        <v>7</v>
      </c>
      <c r="B24" s="105" t="n"/>
      <c r="C24" s="106" t="n"/>
      <c r="D24" s="106" t="n"/>
      <c r="E24" s="107" t="n"/>
      <c r="F24" s="107" t="n"/>
      <c r="G24" s="107" t="n"/>
      <c r="H24" s="107" t="n"/>
      <c r="I24" s="107" t="n"/>
      <c r="J24" s="108" t="n"/>
      <c r="K24" s="107" t="n"/>
      <c r="L24" s="107" t="n"/>
      <c r="M24" s="107" t="n"/>
      <c r="N24" s="107" t="n"/>
      <c r="O24" s="107" t="n"/>
      <c r="P24" s="107" t="n"/>
      <c r="Q24" s="108" t="n"/>
      <c r="R24" s="107" t="n"/>
      <c r="S24" s="107" t="n"/>
      <c r="T24" s="107" t="n"/>
      <c r="U24" s="107" t="n"/>
      <c r="V24" s="107" t="n"/>
      <c r="W24" s="107" t="n"/>
      <c r="X24" s="108" t="n"/>
      <c r="Y24" s="107" t="n"/>
      <c r="Z24" s="107" t="n"/>
      <c r="AA24" s="107" t="n"/>
      <c r="AB24" s="107" t="n"/>
      <c r="AC24" s="107" t="n"/>
      <c r="AD24" s="107" t="n"/>
      <c r="AE24" s="108" t="n"/>
      <c r="AF24" s="107" t="n"/>
      <c r="AG24" s="107" t="n"/>
      <c r="AH24" s="107" t="n"/>
      <c r="AI24" s="107" t="n"/>
      <c r="AJ24" s="109">
        <f>IF(ISBLANK(B24), "", IF(ISNUMBER(D24), IF(D24&gt;0, (COUNTIF(E24:AI24, "✓") + COUNTIF(E24:AI24, "✔") + COUNTIF(E24:AI24, "v") + COUNTIF(E24:AI24, "V"))/D24, 0), IF(((COUNTIF(E24:AI24, "✓") + COUNTIF(E24:AI24, "✔") + COUNTIF(E24:AI24, "v") + COUNTIF(E24:AI24, "V")) + COUNTIF(E24:AI24, "✗") + COUNTIF(E24:AI24, "x") + COUNTIF(E24:AI24, "X"))&gt;0, (COUNTIF(E24:AI24, "✓") + COUNTIF(E24:AI24, "✔") + COUNTIF(E24:AI24, "v") + COUNTIF(E24:AI24, "V"))/((COUNTIF(E24:AI24, "✓") + COUNTIF(E24:AI24, "✔") + COUNTIF(E24:AI24, "v") + COUNTIF(E24:AI24, "V")) + COUNTIF(E24:AI24, "✗") + COUNTIF(E24:AI24, "x") + COUNTIF(E24:AI24, "X")), "")))</f>
        <v/>
      </c>
      <c r="AK24" s="110">
        <f>IF(ISBLANK(B24), "", IF(ISNUMBER(D24), IF(D24&gt;0, (COUNTIF(E24:AI24, "✓") + COUNTIF(E24:AI24, "✔") + COUNTIF(E24:AI24, "v") + COUNTIF(E24:AI24, "V")) &amp; "/" &amp; D24, (COUNTIF(E24:AI24, "✓") + COUNTIF(E24:AI24, "✔") + COUNTIF(E24:AI24, "v") + COUNTIF(E24:AI24, "V")) &amp; "/0"), IF(((COUNTIF(E24:AI24, "✓") + COUNTIF(E24:AI24, "✔") + COUNTIF(E24:AI24, "v") + COUNTIF(E24:AI24, "V")) + COUNTIF(E24:AI24, "✗") + COUNTIF(E24:AI24, "x") + COUNTIF(E24:AI24, "X"))&gt;0, (COUNTIF(E24:AI24, "✓") + COUNTIF(E24:AI24, "✔") + COUNTIF(E24:AI24, "v") + COUNTIF(E24:AI24, "V")) &amp; "/" &amp; ((COUNTIF(E24:AI24, "✓") + COUNTIF(E24:AI24, "✔") + COUNTIF(E24:AI24, "v") + COUNTIF(E24:AI24, "V")) + COUNTIF(E24:AI24, "✗") + COUNTIF(E24:AI24, "x") + COUNTIF(E24:AI24, "X")), "")))</f>
        <v/>
      </c>
      <c r="AL24" s="110">
        <f>IF(ISBLANK(B24), "", IF(AJ24&gt;=0.85, "🔥 Mastered", IF(AJ24&gt;=0.7, "⚡ Consistent", "⚠️ Needs Focus")))</f>
        <v/>
      </c>
      <c r="AM24">
        <f>COUNTIF(E24:AI24, "✓")</f>
        <v/>
      </c>
    </row>
    <row r="25" ht="14.5" customHeight="1">
      <c r="A25" s="104" t="n">
        <v>8</v>
      </c>
      <c r="B25" s="105" t="n"/>
      <c r="C25" s="106" t="n"/>
      <c r="D25" s="106" t="n"/>
      <c r="E25" s="107" t="n"/>
      <c r="F25" s="107" t="n"/>
      <c r="G25" s="107" t="n"/>
      <c r="H25" s="107" t="n"/>
      <c r="I25" s="107" t="n"/>
      <c r="J25" s="108" t="n"/>
      <c r="K25" s="107" t="n"/>
      <c r="L25" s="107" t="n"/>
      <c r="M25" s="107" t="n"/>
      <c r="N25" s="107" t="n"/>
      <c r="O25" s="107" t="n"/>
      <c r="P25" s="107" t="n"/>
      <c r="Q25" s="108" t="n"/>
      <c r="R25" s="107" t="n"/>
      <c r="S25" s="107" t="n"/>
      <c r="T25" s="107" t="n"/>
      <c r="U25" s="107" t="n"/>
      <c r="V25" s="107" t="n"/>
      <c r="W25" s="107" t="n"/>
      <c r="X25" s="108" t="n"/>
      <c r="Y25" s="107" t="n"/>
      <c r="Z25" s="107" t="n"/>
      <c r="AA25" s="107" t="n"/>
      <c r="AB25" s="107" t="n"/>
      <c r="AC25" s="107" t="n"/>
      <c r="AD25" s="107" t="n"/>
      <c r="AE25" s="108" t="n"/>
      <c r="AF25" s="107" t="n"/>
      <c r="AG25" s="107" t="n"/>
      <c r="AH25" s="107" t="n"/>
      <c r="AI25" s="107" t="n"/>
      <c r="AJ25" s="109">
        <f>IF(ISBLANK(B25), "", IF(ISNUMBER(D25), IF(D25&gt;0, (COUNTIF(E25:AI25, "✓") + COUNTIF(E25:AI25, "✔") + COUNTIF(E25:AI25, "v") + COUNTIF(E25:AI25, "V"))/D25, 0), IF(((COUNTIF(E25:AI25, "✓") + COUNTIF(E25:AI25, "✔") + COUNTIF(E25:AI25, "v") + COUNTIF(E25:AI25, "V")) + COUNTIF(E25:AI25, "✗") + COUNTIF(E25:AI25, "x") + COUNTIF(E25:AI25, "X"))&gt;0, (COUNTIF(E25:AI25, "✓") + COUNTIF(E25:AI25, "✔") + COUNTIF(E25:AI25, "v") + COUNTIF(E25:AI25, "V"))/((COUNTIF(E25:AI25, "✓") + COUNTIF(E25:AI25, "✔") + COUNTIF(E25:AI25, "v") + COUNTIF(E25:AI25, "V")) + COUNTIF(E25:AI25, "✗") + COUNTIF(E25:AI25, "x") + COUNTIF(E25:AI25, "X")), "")))</f>
        <v/>
      </c>
      <c r="AK25" s="110">
        <f>IF(ISBLANK(B25), "", IF(ISNUMBER(D25), IF(D25&gt;0, (COUNTIF(E25:AI25, "✓") + COUNTIF(E25:AI25, "✔") + COUNTIF(E25:AI25, "v") + COUNTIF(E25:AI25, "V")) &amp; "/" &amp; D25, (COUNTIF(E25:AI25, "✓") + COUNTIF(E25:AI25, "✔") + COUNTIF(E25:AI25, "v") + COUNTIF(E25:AI25, "V")) &amp; "/0"), IF(((COUNTIF(E25:AI25, "✓") + COUNTIF(E25:AI25, "✔") + COUNTIF(E25:AI25, "v") + COUNTIF(E25:AI25, "V")) + COUNTIF(E25:AI25, "✗") + COUNTIF(E25:AI25, "x") + COUNTIF(E25:AI25, "X"))&gt;0, (COUNTIF(E25:AI25, "✓") + COUNTIF(E25:AI25, "✔") + COUNTIF(E25:AI25, "v") + COUNTIF(E25:AI25, "V")) &amp; "/" &amp; ((COUNTIF(E25:AI25, "✓") + COUNTIF(E25:AI25, "✔") + COUNTIF(E25:AI25, "v") + COUNTIF(E25:AI25, "V")) + COUNTIF(E25:AI25, "✗") + COUNTIF(E25:AI25, "x") + COUNTIF(E25:AI25, "X")), "")))</f>
        <v/>
      </c>
      <c r="AL25" s="110">
        <f>IF(ISBLANK(B25), "", IF(AJ25&gt;=0.85, "🔥 Mastered", IF(AJ25&gt;=0.7, "⚡ Consistent", "⚠️ Needs Focus")))</f>
        <v/>
      </c>
      <c r="AM25">
        <f>COUNTIF(E25:AI25, "✓")</f>
        <v/>
      </c>
    </row>
    <row r="26" ht="14.5" customHeight="1">
      <c r="A26" s="111" t="n">
        <v>9</v>
      </c>
      <c r="B26" s="112" t="n"/>
      <c r="C26" s="113" t="n"/>
      <c r="D26" s="113" t="n"/>
      <c r="E26" s="114" t="n"/>
      <c r="F26" s="114" t="n"/>
      <c r="G26" s="114" t="n"/>
      <c r="H26" s="114" t="n"/>
      <c r="I26" s="114" t="n"/>
      <c r="J26" s="115" t="n"/>
      <c r="K26" s="114" t="n"/>
      <c r="L26" s="114" t="n"/>
      <c r="M26" s="114" t="n"/>
      <c r="N26" s="114" t="n"/>
      <c r="O26" s="114" t="n"/>
      <c r="P26" s="114" t="n"/>
      <c r="Q26" s="115" t="n"/>
      <c r="R26" s="114" t="n"/>
      <c r="S26" s="114" t="n"/>
      <c r="T26" s="114" t="n"/>
      <c r="U26" s="114" t="n"/>
      <c r="V26" s="114" t="n"/>
      <c r="W26" s="114" t="n"/>
      <c r="X26" s="115" t="n"/>
      <c r="Y26" s="114" t="n"/>
      <c r="Z26" s="114" t="n"/>
      <c r="AA26" s="114" t="n"/>
      <c r="AB26" s="114" t="n"/>
      <c r="AC26" s="114" t="n"/>
      <c r="AD26" s="114" t="n"/>
      <c r="AE26" s="115" t="n"/>
      <c r="AF26" s="114" t="n"/>
      <c r="AG26" s="114" t="n"/>
      <c r="AH26" s="114" t="n"/>
      <c r="AI26" s="114" t="n"/>
      <c r="AJ26" s="116">
        <f>IF(ISBLANK(B26), "", IF(ISNUMBER(D26), IF(D26&gt;0, (COUNTIF(E26:AI26, "✓") + COUNTIF(E26:AI26, "✔") + COUNTIF(E26:AI26, "v") + COUNTIF(E26:AI26, "V"))/D26, 0), IF(((COUNTIF(E26:AI26, "✓") + COUNTIF(E26:AI26, "✔") + COUNTIF(E26:AI26, "v") + COUNTIF(E26:AI26, "V")) + COUNTIF(E26:AI26, "✗") + COUNTIF(E26:AI26, "x") + COUNTIF(E26:AI26, "X"))&gt;0, (COUNTIF(E26:AI26, "✓") + COUNTIF(E26:AI26, "✔") + COUNTIF(E26:AI26, "v") + COUNTIF(E26:AI26, "V"))/((COUNTIF(E26:AI26, "✓") + COUNTIF(E26:AI26, "✔") + COUNTIF(E26:AI26, "v") + COUNTIF(E26:AI26, "V")) + COUNTIF(E26:AI26, "✗") + COUNTIF(E26:AI26, "x") + COUNTIF(E26:AI26, "X")), "")))</f>
        <v/>
      </c>
      <c r="AK26" s="117">
        <f>IF(ISBLANK(B26), "", IF(ISNUMBER(D26), IF(D26&gt;0, (COUNTIF(E26:AI26, "✓") + COUNTIF(E26:AI26, "✔") + COUNTIF(E26:AI26, "v") + COUNTIF(E26:AI26, "V")) &amp; "/" &amp; D26, (COUNTIF(E26:AI26, "✓") + COUNTIF(E26:AI26, "✔") + COUNTIF(E26:AI26, "v") + COUNTIF(E26:AI26, "V")) &amp; "/0"), IF(((COUNTIF(E26:AI26, "✓") + COUNTIF(E26:AI26, "✔") + COUNTIF(E26:AI26, "v") + COUNTIF(E26:AI26, "V")) + COUNTIF(E26:AI26, "✗") + COUNTIF(E26:AI26, "x") + COUNTIF(E26:AI26, "X"))&gt;0, (COUNTIF(E26:AI26, "✓") + COUNTIF(E26:AI26, "✔") + COUNTIF(E26:AI26, "v") + COUNTIF(E26:AI26, "V")) &amp; "/" &amp; ((COUNTIF(E26:AI26, "✓") + COUNTIF(E26:AI26, "✔") + COUNTIF(E26:AI26, "v") + COUNTIF(E26:AI26, "V")) + COUNTIF(E26:AI26, "✗") + COUNTIF(E26:AI26, "x") + COUNTIF(E26:AI26, "X")), "")))</f>
        <v/>
      </c>
      <c r="AL26" s="117">
        <f>IF(ISBLANK(B26), "", IF(AJ26&gt;=0.85, "🔥 Mastered", IF(AJ26&gt;=0.7, "⚡ Consistent", "⚠️ Needs Focus")))</f>
        <v/>
      </c>
      <c r="AM26">
        <f>COUNTIF(E26:AI26, "✓")</f>
        <v/>
      </c>
    </row>
    <row r="27" ht="14.5" customHeight="1">
      <c r="A27" s="111" t="n">
        <v>10</v>
      </c>
      <c r="B27" s="112" t="n"/>
      <c r="C27" s="113" t="n"/>
      <c r="D27" s="113" t="n"/>
      <c r="E27" s="114" t="n"/>
      <c r="F27" s="114" t="n"/>
      <c r="G27" s="114" t="n"/>
      <c r="H27" s="114" t="n"/>
      <c r="I27" s="114" t="n"/>
      <c r="J27" s="115" t="n"/>
      <c r="K27" s="114" t="n"/>
      <c r="L27" s="114" t="n"/>
      <c r="M27" s="114" t="n"/>
      <c r="N27" s="114" t="n"/>
      <c r="O27" s="114" t="n"/>
      <c r="P27" s="114" t="n"/>
      <c r="Q27" s="115" t="n"/>
      <c r="R27" s="114" t="n"/>
      <c r="S27" s="114" t="n"/>
      <c r="T27" s="114" t="n"/>
      <c r="U27" s="114" t="n"/>
      <c r="V27" s="114" t="n"/>
      <c r="W27" s="114" t="n"/>
      <c r="X27" s="115" t="n"/>
      <c r="Y27" s="114" t="n"/>
      <c r="Z27" s="114" t="n"/>
      <c r="AA27" s="114" t="n"/>
      <c r="AB27" s="114" t="n"/>
      <c r="AC27" s="114" t="n"/>
      <c r="AD27" s="114" t="n"/>
      <c r="AE27" s="115" t="n"/>
      <c r="AF27" s="114" t="n"/>
      <c r="AG27" s="114" t="n"/>
      <c r="AH27" s="114" t="n"/>
      <c r="AI27" s="114" t="n"/>
      <c r="AJ27" s="116">
        <f>IF(ISBLANK(B27), "", IF(ISNUMBER(D27), IF(D27&gt;0, (COUNTIF(E27:AI27, "✓") + COUNTIF(E27:AI27, "✔") + COUNTIF(E27:AI27, "v") + COUNTIF(E27:AI27, "V"))/D27, 0), IF(((COUNTIF(E27:AI27, "✓") + COUNTIF(E27:AI27, "✔") + COUNTIF(E27:AI27, "v") + COUNTIF(E27:AI27, "V")) + COUNTIF(E27:AI27, "✗") + COUNTIF(E27:AI27, "x") + COUNTIF(E27:AI27, "X"))&gt;0, (COUNTIF(E27:AI27, "✓") + COUNTIF(E27:AI27, "✔") + COUNTIF(E27:AI27, "v") + COUNTIF(E27:AI27, "V"))/((COUNTIF(E27:AI27, "✓") + COUNTIF(E27:AI27, "✔") + COUNTIF(E27:AI27, "v") + COUNTIF(E27:AI27, "V")) + COUNTIF(E27:AI27, "✗") + COUNTIF(E27:AI27, "x") + COUNTIF(E27:AI27, "X")), "")))</f>
        <v/>
      </c>
      <c r="AK27" s="117">
        <f>IF(ISBLANK(B27), "", IF(ISNUMBER(D27), IF(D27&gt;0, (COUNTIF(E27:AI27, "✓") + COUNTIF(E27:AI27, "✔") + COUNTIF(E27:AI27, "v") + COUNTIF(E27:AI27, "V")) &amp; "/" &amp; D27, (COUNTIF(E27:AI27, "✓") + COUNTIF(E27:AI27, "✔") + COUNTIF(E27:AI27, "v") + COUNTIF(E27:AI27, "V")) &amp; "/0"), IF(((COUNTIF(E27:AI27, "✓") + COUNTIF(E27:AI27, "✔") + COUNTIF(E27:AI27, "v") + COUNTIF(E27:AI27, "V")) + COUNTIF(E27:AI27, "✗") + COUNTIF(E27:AI27, "x") + COUNTIF(E27:AI27, "X"))&gt;0, (COUNTIF(E27:AI27, "✓") + COUNTIF(E27:AI27, "✔") + COUNTIF(E27:AI27, "v") + COUNTIF(E27:AI27, "V")) &amp; "/" &amp; ((COUNTIF(E27:AI27, "✓") + COUNTIF(E27:AI27, "✔") + COUNTIF(E27:AI27, "v") + COUNTIF(E27:AI27, "V")) + COUNTIF(E27:AI27, "✗") + COUNTIF(E27:AI27, "x") + COUNTIF(E27:AI27, "X")), "")))</f>
        <v/>
      </c>
      <c r="AL27" s="117">
        <f>IF(ISBLANK(B27), "", IF(AJ27&gt;=0.85, "🔥 Mastered", IF(AJ27&gt;=0.7, "⚡ Consistent", "⚠️ Needs Focus")))</f>
        <v/>
      </c>
      <c r="AM27">
        <f>COUNTIF(E27:AI27, "✓")</f>
        <v/>
      </c>
    </row>
    <row r="28" ht="14.5" customHeight="1">
      <c r="A28" s="111" t="n">
        <v>11</v>
      </c>
      <c r="B28" s="112" t="n"/>
      <c r="C28" s="113" t="n"/>
      <c r="D28" s="113" t="n"/>
      <c r="E28" s="114" t="n"/>
      <c r="F28" s="114" t="n"/>
      <c r="G28" s="114" t="n"/>
      <c r="H28" s="114" t="n"/>
      <c r="I28" s="114" t="n"/>
      <c r="J28" s="115" t="n"/>
      <c r="K28" s="114" t="n"/>
      <c r="L28" s="114" t="n"/>
      <c r="M28" s="114" t="n"/>
      <c r="N28" s="114" t="n"/>
      <c r="O28" s="114" t="n"/>
      <c r="P28" s="114" t="n"/>
      <c r="Q28" s="115" t="n"/>
      <c r="R28" s="114" t="n"/>
      <c r="S28" s="114" t="n"/>
      <c r="T28" s="114" t="n"/>
      <c r="U28" s="114" t="n"/>
      <c r="V28" s="114" t="n"/>
      <c r="W28" s="114" t="n"/>
      <c r="X28" s="115" t="n"/>
      <c r="Y28" s="114" t="n"/>
      <c r="Z28" s="114" t="n"/>
      <c r="AA28" s="114" t="n"/>
      <c r="AB28" s="114" t="n"/>
      <c r="AC28" s="114" t="n"/>
      <c r="AD28" s="114" t="n"/>
      <c r="AE28" s="115" t="n"/>
      <c r="AF28" s="114" t="n"/>
      <c r="AG28" s="114" t="n"/>
      <c r="AH28" s="114" t="n"/>
      <c r="AI28" s="114" t="n"/>
      <c r="AJ28" s="116">
        <f>IF(ISBLANK(B28), "", IF(ISNUMBER(D28), IF(D28&gt;0, (COUNTIF(E28:AI28, "✓") + COUNTIF(E28:AI28, "✔") + COUNTIF(E28:AI28, "v") + COUNTIF(E28:AI28, "V"))/D28, 0), IF(((COUNTIF(E28:AI28, "✓") + COUNTIF(E28:AI28, "✔") + COUNTIF(E28:AI28, "v") + COUNTIF(E28:AI28, "V")) + COUNTIF(E28:AI28, "✗") + COUNTIF(E28:AI28, "x") + COUNTIF(E28:AI28, "X"))&gt;0, (COUNTIF(E28:AI28, "✓") + COUNTIF(E28:AI28, "✔") + COUNTIF(E28:AI28, "v") + COUNTIF(E28:AI28, "V"))/((COUNTIF(E28:AI28, "✓") + COUNTIF(E28:AI28, "✔") + COUNTIF(E28:AI28, "v") + COUNTIF(E28:AI28, "V")) + COUNTIF(E28:AI28, "✗") + COUNTIF(E28:AI28, "x") + COUNTIF(E28:AI28, "X")), "")))</f>
        <v/>
      </c>
      <c r="AK28" s="117">
        <f>IF(ISBLANK(B28), "", IF(ISNUMBER(D28), IF(D28&gt;0, (COUNTIF(E28:AI28, "✓") + COUNTIF(E28:AI28, "✔") + COUNTIF(E28:AI28, "v") + COUNTIF(E28:AI28, "V")) &amp; "/" &amp; D28, (COUNTIF(E28:AI28, "✓") + COUNTIF(E28:AI28, "✔") + COUNTIF(E28:AI28, "v") + COUNTIF(E28:AI28, "V")) &amp; "/0"), IF(((COUNTIF(E28:AI28, "✓") + COUNTIF(E28:AI28, "✔") + COUNTIF(E28:AI28, "v") + COUNTIF(E28:AI28, "V")) + COUNTIF(E28:AI28, "✗") + COUNTIF(E28:AI28, "x") + COUNTIF(E28:AI28, "X"))&gt;0, (COUNTIF(E28:AI28, "✓") + COUNTIF(E28:AI28, "✔") + COUNTIF(E28:AI28, "v") + COUNTIF(E28:AI28, "V")) &amp; "/" &amp; ((COUNTIF(E28:AI28, "✓") + COUNTIF(E28:AI28, "✔") + COUNTIF(E28:AI28, "v") + COUNTIF(E28:AI28, "V")) + COUNTIF(E28:AI28, "✗") + COUNTIF(E28:AI28, "x") + COUNTIF(E28:AI28, "X")), "")))</f>
        <v/>
      </c>
      <c r="AL28" s="117">
        <f>IF(ISBLANK(B28), "", IF(AJ28&gt;=0.85, "🔥 Mastered", IF(AJ28&gt;=0.7, "⚡ Consistent", "⚠️ Needs Focus")))</f>
        <v/>
      </c>
      <c r="AM28">
        <f>COUNTIF(E28:AI28, "✓")</f>
        <v/>
      </c>
    </row>
    <row r="29" ht="14.5" customHeight="1">
      <c r="A29" s="111" t="n">
        <v>12</v>
      </c>
      <c r="B29" s="112" t="n"/>
      <c r="C29" s="113" t="n"/>
      <c r="D29" s="113" t="n"/>
      <c r="E29" s="114" t="n"/>
      <c r="F29" s="114" t="n"/>
      <c r="G29" s="114" t="n"/>
      <c r="H29" s="114" t="n"/>
      <c r="I29" s="114" t="n"/>
      <c r="J29" s="115" t="n"/>
      <c r="K29" s="114" t="n"/>
      <c r="L29" s="114" t="n"/>
      <c r="M29" s="114" t="n"/>
      <c r="N29" s="114" t="n"/>
      <c r="O29" s="114" t="n"/>
      <c r="P29" s="114" t="n"/>
      <c r="Q29" s="115" t="n"/>
      <c r="R29" s="114" t="n"/>
      <c r="S29" s="114" t="n"/>
      <c r="T29" s="114" t="n"/>
      <c r="U29" s="114" t="n"/>
      <c r="V29" s="114" t="n"/>
      <c r="W29" s="114" t="n"/>
      <c r="X29" s="115" t="n"/>
      <c r="Y29" s="114" t="n"/>
      <c r="Z29" s="114" t="n"/>
      <c r="AA29" s="114" t="n"/>
      <c r="AB29" s="114" t="n"/>
      <c r="AC29" s="114" t="n"/>
      <c r="AD29" s="114" t="n"/>
      <c r="AE29" s="115" t="n"/>
      <c r="AF29" s="114" t="n"/>
      <c r="AG29" s="114" t="n"/>
      <c r="AH29" s="114" t="n"/>
      <c r="AI29" s="114" t="n"/>
      <c r="AJ29" s="116">
        <f>IF(ISBLANK(B29), "", IF(ISNUMBER(D29), IF(D29&gt;0, (COUNTIF(E29:AI29, "✓") + COUNTIF(E29:AI29, "✔") + COUNTIF(E29:AI29, "v") + COUNTIF(E29:AI29, "V"))/D29, 0), IF(((COUNTIF(E29:AI29, "✓") + COUNTIF(E29:AI29, "✔") + COUNTIF(E29:AI29, "v") + COUNTIF(E29:AI29, "V")) + COUNTIF(E29:AI29, "✗") + COUNTIF(E29:AI29, "x") + COUNTIF(E29:AI29, "X"))&gt;0, (COUNTIF(E29:AI29, "✓") + COUNTIF(E29:AI29, "✔") + COUNTIF(E29:AI29, "v") + COUNTIF(E29:AI29, "V"))/((COUNTIF(E29:AI29, "✓") + COUNTIF(E29:AI29, "✔") + COUNTIF(E29:AI29, "v") + COUNTIF(E29:AI29, "V")) + COUNTIF(E29:AI29, "✗") + COUNTIF(E29:AI29, "x") + COUNTIF(E29:AI29, "X")), "")))</f>
        <v/>
      </c>
      <c r="AK29" s="117">
        <f>IF(ISBLANK(B29), "", IF(ISNUMBER(D29), IF(D29&gt;0, (COUNTIF(E29:AI29, "✓") + COUNTIF(E29:AI29, "✔") + COUNTIF(E29:AI29, "v") + COUNTIF(E29:AI29, "V")) &amp; "/" &amp; D29, (COUNTIF(E29:AI29, "✓") + COUNTIF(E29:AI29, "✔") + COUNTIF(E29:AI29, "v") + COUNTIF(E29:AI29, "V")) &amp; "/0"), IF(((COUNTIF(E29:AI29, "✓") + COUNTIF(E29:AI29, "✔") + COUNTIF(E29:AI29, "v") + COUNTIF(E29:AI29, "V")) + COUNTIF(E29:AI29, "✗") + COUNTIF(E29:AI29, "x") + COUNTIF(E29:AI29, "X"))&gt;0, (COUNTIF(E29:AI29, "✓") + COUNTIF(E29:AI29, "✔") + COUNTIF(E29:AI29, "v") + COUNTIF(E29:AI29, "V")) &amp; "/" &amp; ((COUNTIF(E29:AI29, "✓") + COUNTIF(E29:AI29, "✔") + COUNTIF(E29:AI29, "v") + COUNTIF(E29:AI29, "V")) + COUNTIF(E29:AI29, "✗") + COUNTIF(E29:AI29, "x") + COUNTIF(E29:AI29, "X")), "")))</f>
        <v/>
      </c>
      <c r="AL29" s="117">
        <f>IF(ISBLANK(B29), "", IF(AJ29&gt;=0.85, "🔥 Mastered", IF(AJ29&gt;=0.7, "⚡ Consistent", "⚠️ Needs Focus")))</f>
        <v/>
      </c>
      <c r="AM29">
        <f>COUNTIF(E29:AI29, "✓")</f>
        <v/>
      </c>
    </row>
    <row r="30" ht="14.5" customHeight="1">
      <c r="A30" s="118" t="n">
        <v>13</v>
      </c>
      <c r="B30" s="119" t="n"/>
      <c r="C30" s="120" t="n"/>
      <c r="D30" s="120" t="n"/>
      <c r="E30" s="121" t="n"/>
      <c r="F30" s="121" t="n"/>
      <c r="G30" s="121" t="n"/>
      <c r="H30" s="121" t="n"/>
      <c r="I30" s="121" t="n"/>
      <c r="J30" s="122" t="n"/>
      <c r="K30" s="121" t="n"/>
      <c r="L30" s="121" t="n"/>
      <c r="M30" s="121" t="n"/>
      <c r="N30" s="121" t="n"/>
      <c r="O30" s="121" t="n"/>
      <c r="P30" s="121" t="n"/>
      <c r="Q30" s="122" t="n"/>
      <c r="R30" s="121" t="n"/>
      <c r="S30" s="121" t="n"/>
      <c r="T30" s="121" t="n"/>
      <c r="U30" s="121" t="n"/>
      <c r="V30" s="121" t="n"/>
      <c r="W30" s="121" t="n"/>
      <c r="X30" s="122" t="n"/>
      <c r="Y30" s="121" t="n"/>
      <c r="Z30" s="121" t="n"/>
      <c r="AA30" s="121" t="n"/>
      <c r="AB30" s="121" t="n"/>
      <c r="AC30" s="121" t="n"/>
      <c r="AD30" s="121" t="n"/>
      <c r="AE30" s="122" t="n"/>
      <c r="AF30" s="121" t="n"/>
      <c r="AG30" s="121" t="n"/>
      <c r="AH30" s="121" t="n"/>
      <c r="AI30" s="121" t="n"/>
      <c r="AJ30" s="123">
        <f>IF(ISBLANK(B30), "", IF(ISNUMBER(D30), IF(D30&gt;0, (COUNTIF(E30:AI30, "✓") + COUNTIF(E30:AI30, "✔") + COUNTIF(E30:AI30, "v") + COUNTIF(E30:AI30, "V"))/D30, 0), IF(((COUNTIF(E30:AI30, "✓") + COUNTIF(E30:AI30, "✔") + COUNTIF(E30:AI30, "v") + COUNTIF(E30:AI30, "V")) + COUNTIF(E30:AI30, "✗") + COUNTIF(E30:AI30, "x") + COUNTIF(E30:AI30, "X"))&gt;0, (COUNTIF(E30:AI30, "✓") + COUNTIF(E30:AI30, "✔") + COUNTIF(E30:AI30, "v") + COUNTIF(E30:AI30, "V"))/((COUNTIF(E30:AI30, "✓") + COUNTIF(E30:AI30, "✔") + COUNTIF(E30:AI30, "v") + COUNTIF(E30:AI30, "V")) + COUNTIF(E30:AI30, "✗") + COUNTIF(E30:AI30, "x") + COUNTIF(E30:AI30, "X")), "")))</f>
        <v/>
      </c>
      <c r="AK30" s="124">
        <f>IF(ISBLANK(B30), "", IF(ISNUMBER(D30), IF(D30&gt;0, (COUNTIF(E30:AI30, "✓") + COUNTIF(E30:AI30, "✔") + COUNTIF(E30:AI30, "v") + COUNTIF(E30:AI30, "V")) &amp; "/" &amp; D30, (COUNTIF(E30:AI30, "✓") + COUNTIF(E30:AI30, "✔") + COUNTIF(E30:AI30, "v") + COUNTIF(E30:AI30, "V")) &amp; "/0"), IF(((COUNTIF(E30:AI30, "✓") + COUNTIF(E30:AI30, "✔") + COUNTIF(E30:AI30, "v") + COUNTIF(E30:AI30, "V")) + COUNTIF(E30:AI30, "✗") + COUNTIF(E30:AI30, "x") + COUNTIF(E30:AI30, "X"))&gt;0, (COUNTIF(E30:AI30, "✓") + COUNTIF(E30:AI30, "✔") + COUNTIF(E30:AI30, "v") + COUNTIF(E30:AI30, "V")) &amp; "/" &amp; ((COUNTIF(E30:AI30, "✓") + COUNTIF(E30:AI30, "✔") + COUNTIF(E30:AI30, "v") + COUNTIF(E30:AI30, "V")) + COUNTIF(E30:AI30, "✗") + COUNTIF(E30:AI30, "x") + COUNTIF(E30:AI30, "X")), "")))</f>
        <v/>
      </c>
      <c r="AL30" s="124">
        <f>IF(ISBLANK(B30), "", IF(AJ30&gt;=0.85, "🔥 Mastered", IF(AJ30&gt;=0.7, "⚡ Consistent", "⚠️ Needs Focus")))</f>
        <v/>
      </c>
      <c r="AM30">
        <f>COUNTIF(E30:AI30, "✓")</f>
        <v/>
      </c>
    </row>
    <row r="31" ht="14.5" customHeight="1">
      <c r="A31" s="118" t="n">
        <v>14</v>
      </c>
      <c r="B31" s="119" t="n"/>
      <c r="C31" s="120" t="n"/>
      <c r="D31" s="120" t="n"/>
      <c r="E31" s="121" t="n"/>
      <c r="F31" s="121" t="n"/>
      <c r="G31" s="121" t="n"/>
      <c r="H31" s="121" t="n"/>
      <c r="I31" s="121" t="n"/>
      <c r="J31" s="122" t="n"/>
      <c r="K31" s="121" t="n"/>
      <c r="L31" s="121" t="n"/>
      <c r="M31" s="121" t="n"/>
      <c r="N31" s="121" t="n"/>
      <c r="O31" s="121" t="n"/>
      <c r="P31" s="121" t="n"/>
      <c r="Q31" s="122" t="n"/>
      <c r="R31" s="121" t="n"/>
      <c r="S31" s="121" t="n"/>
      <c r="T31" s="121" t="n"/>
      <c r="U31" s="121" t="n"/>
      <c r="V31" s="121" t="n"/>
      <c r="W31" s="121" t="n"/>
      <c r="X31" s="122" t="n"/>
      <c r="Y31" s="121" t="n"/>
      <c r="Z31" s="121" t="n"/>
      <c r="AA31" s="121" t="n"/>
      <c r="AB31" s="121" t="n"/>
      <c r="AC31" s="121" t="n"/>
      <c r="AD31" s="121" t="n"/>
      <c r="AE31" s="122" t="n"/>
      <c r="AF31" s="121" t="n"/>
      <c r="AG31" s="121" t="n"/>
      <c r="AH31" s="121" t="n"/>
      <c r="AI31" s="121" t="n"/>
      <c r="AJ31" s="123">
        <f>IF(ISBLANK(B31), "", IF(ISNUMBER(D31), IF(D31&gt;0, (COUNTIF(E31:AI31, "✓") + COUNTIF(E31:AI31, "✔") + COUNTIF(E31:AI31, "v") + COUNTIF(E31:AI31, "V"))/D31, 0), IF(((COUNTIF(E31:AI31, "✓") + COUNTIF(E31:AI31, "✔") + COUNTIF(E31:AI31, "v") + COUNTIF(E31:AI31, "V")) + COUNTIF(E31:AI31, "✗") + COUNTIF(E31:AI31, "x") + COUNTIF(E31:AI31, "X"))&gt;0, (COUNTIF(E31:AI31, "✓") + COUNTIF(E31:AI31, "✔") + COUNTIF(E31:AI31, "v") + COUNTIF(E31:AI31, "V"))/((COUNTIF(E31:AI31, "✓") + COUNTIF(E31:AI31, "✔") + COUNTIF(E31:AI31, "v") + COUNTIF(E31:AI31, "V")) + COUNTIF(E31:AI31, "✗") + COUNTIF(E31:AI31, "x") + COUNTIF(E31:AI31, "X")), "")))</f>
        <v/>
      </c>
      <c r="AK31" s="124">
        <f>IF(ISBLANK(B31), "", IF(ISNUMBER(D31), IF(D31&gt;0, (COUNTIF(E31:AI31, "✓") + COUNTIF(E31:AI31, "✔") + COUNTIF(E31:AI31, "v") + COUNTIF(E31:AI31, "V")) &amp; "/" &amp; D31, (COUNTIF(E31:AI31, "✓") + COUNTIF(E31:AI31, "✔") + COUNTIF(E31:AI31, "v") + COUNTIF(E31:AI31, "V")) &amp; "/0"), IF(((COUNTIF(E31:AI31, "✓") + COUNTIF(E31:AI31, "✔") + COUNTIF(E31:AI31, "v") + COUNTIF(E31:AI31, "V")) + COUNTIF(E31:AI31, "✗") + COUNTIF(E31:AI31, "x") + COUNTIF(E31:AI31, "X"))&gt;0, (COUNTIF(E31:AI31, "✓") + COUNTIF(E31:AI31, "✔") + COUNTIF(E31:AI31, "v") + COUNTIF(E31:AI31, "V")) &amp; "/" &amp; ((COUNTIF(E31:AI31, "✓") + COUNTIF(E31:AI31, "✔") + COUNTIF(E31:AI31, "v") + COUNTIF(E31:AI31, "V")) + COUNTIF(E31:AI31, "✗") + COUNTIF(E31:AI31, "x") + COUNTIF(E31:AI31, "X")), "")))</f>
        <v/>
      </c>
      <c r="AL31" s="124">
        <f>IF(ISBLANK(B31), "", IF(AJ31&gt;=0.85, "🔥 Mastered", IF(AJ31&gt;=0.7, "⚡ Consistent", "⚠️ Needs Focus")))</f>
        <v/>
      </c>
      <c r="AM31">
        <f>COUNTIF(E31:AI31, "✓")</f>
        <v/>
      </c>
    </row>
    <row r="32" ht="14.5" customHeight="1">
      <c r="A32" s="118" t="n">
        <v>15</v>
      </c>
      <c r="B32" s="119" t="n"/>
      <c r="C32" s="120" t="n"/>
      <c r="D32" s="120" t="n"/>
      <c r="E32" s="121" t="n"/>
      <c r="F32" s="121" t="n"/>
      <c r="G32" s="121" t="n"/>
      <c r="H32" s="121" t="n"/>
      <c r="I32" s="121" t="n"/>
      <c r="J32" s="122" t="n"/>
      <c r="K32" s="121" t="n"/>
      <c r="L32" s="121" t="n"/>
      <c r="M32" s="121" t="n"/>
      <c r="N32" s="121" t="n"/>
      <c r="O32" s="121" t="n"/>
      <c r="P32" s="121" t="n"/>
      <c r="Q32" s="122" t="n"/>
      <c r="R32" s="121" t="n"/>
      <c r="S32" s="121" t="n"/>
      <c r="T32" s="121" t="n"/>
      <c r="U32" s="121" t="n"/>
      <c r="V32" s="121" t="n"/>
      <c r="W32" s="121" t="n"/>
      <c r="X32" s="122" t="n"/>
      <c r="Y32" s="121" t="n"/>
      <c r="Z32" s="121" t="n"/>
      <c r="AA32" s="121" t="n"/>
      <c r="AB32" s="121" t="n"/>
      <c r="AC32" s="121" t="n"/>
      <c r="AD32" s="121" t="n"/>
      <c r="AE32" s="122" t="n"/>
      <c r="AF32" s="121" t="n"/>
      <c r="AG32" s="121" t="n"/>
      <c r="AH32" s="121" t="n"/>
      <c r="AI32" s="121" t="n"/>
      <c r="AJ32" s="123">
        <f>IF(ISBLANK(B32), "", IF(ISNUMBER(D32), IF(D32&gt;0, (COUNTIF(E32:AI32, "✓") + COUNTIF(E32:AI32, "✔") + COUNTIF(E32:AI32, "v") + COUNTIF(E32:AI32, "V"))/D32, 0), IF(((COUNTIF(E32:AI32, "✓") + COUNTIF(E32:AI32, "✔") + COUNTIF(E32:AI32, "v") + COUNTIF(E32:AI32, "V")) + COUNTIF(E32:AI32, "✗") + COUNTIF(E32:AI32, "x") + COUNTIF(E32:AI32, "X"))&gt;0, (COUNTIF(E32:AI32, "✓") + COUNTIF(E32:AI32, "✔") + COUNTIF(E32:AI32, "v") + COUNTIF(E32:AI32, "V"))/((COUNTIF(E32:AI32, "✓") + COUNTIF(E32:AI32, "✔") + COUNTIF(E32:AI32, "v") + COUNTIF(E32:AI32, "V")) + COUNTIF(E32:AI32, "✗") + COUNTIF(E32:AI32, "x") + COUNTIF(E32:AI32, "X")), "")))</f>
        <v/>
      </c>
      <c r="AK32" s="124">
        <f>IF(ISBLANK(B32), "", IF(ISNUMBER(D32), IF(D32&gt;0, (COUNTIF(E32:AI32, "✓") + COUNTIF(E32:AI32, "✔") + COUNTIF(E32:AI32, "v") + COUNTIF(E32:AI32, "V")) &amp; "/" &amp; D32, (COUNTIF(E32:AI32, "✓") + COUNTIF(E32:AI32, "✔") + COUNTIF(E32:AI32, "v") + COUNTIF(E32:AI32, "V")) &amp; "/0"), IF(((COUNTIF(E32:AI32, "✓") + COUNTIF(E32:AI32, "✔") + COUNTIF(E32:AI32, "v") + COUNTIF(E32:AI32, "V")) + COUNTIF(E32:AI32, "✗") + COUNTIF(E32:AI32, "x") + COUNTIF(E32:AI32, "X"))&gt;0, (COUNTIF(E32:AI32, "✓") + COUNTIF(E32:AI32, "✔") + COUNTIF(E32:AI32, "v") + COUNTIF(E32:AI32, "V")) &amp; "/" &amp; ((COUNTIF(E32:AI32, "✓") + COUNTIF(E32:AI32, "✔") + COUNTIF(E32:AI32, "v") + COUNTIF(E32:AI32, "V")) + COUNTIF(E32:AI32, "✗") + COUNTIF(E32:AI32, "x") + COUNTIF(E32:AI32, "X")), "")))</f>
        <v/>
      </c>
      <c r="AL32" s="124">
        <f>IF(ISBLANK(B32), "", IF(AJ32&gt;=0.85, "🔥 Mastered", IF(AJ32&gt;=0.7, "⚡ Consistent", "⚠️ Needs Focus")))</f>
        <v/>
      </c>
      <c r="AM32">
        <f>COUNTIF(E32:AI32, "✓")</f>
        <v/>
      </c>
    </row>
    <row r="33" ht="14.5" customHeight="1">
      <c r="A33" s="118" t="n">
        <v>16</v>
      </c>
      <c r="B33" s="119" t="n"/>
      <c r="C33" s="120" t="n"/>
      <c r="D33" s="120" t="n"/>
      <c r="E33" s="121" t="n"/>
      <c r="F33" s="121" t="n"/>
      <c r="G33" s="121" t="n"/>
      <c r="H33" s="121" t="n"/>
      <c r="I33" s="121" t="n"/>
      <c r="J33" s="122" t="n"/>
      <c r="K33" s="121" t="n"/>
      <c r="L33" s="121" t="n"/>
      <c r="M33" s="121" t="n"/>
      <c r="N33" s="121" t="n"/>
      <c r="O33" s="121" t="n"/>
      <c r="P33" s="121" t="n"/>
      <c r="Q33" s="122" t="n"/>
      <c r="R33" s="121" t="n"/>
      <c r="S33" s="121" t="n"/>
      <c r="T33" s="121" t="n"/>
      <c r="U33" s="121" t="n"/>
      <c r="V33" s="121" t="n"/>
      <c r="W33" s="121" t="n"/>
      <c r="X33" s="122" t="n"/>
      <c r="Y33" s="121" t="n"/>
      <c r="Z33" s="121" t="n"/>
      <c r="AA33" s="121" t="n"/>
      <c r="AB33" s="121" t="n"/>
      <c r="AC33" s="121" t="n"/>
      <c r="AD33" s="121" t="n"/>
      <c r="AE33" s="122" t="n"/>
      <c r="AF33" s="121" t="n"/>
      <c r="AG33" s="121" t="n"/>
      <c r="AH33" s="121" t="n"/>
      <c r="AI33" s="121" t="n"/>
      <c r="AJ33" s="123">
        <f>IF(ISBLANK(B33), "", IF(ISNUMBER(D33), IF(D33&gt;0, (COUNTIF(E33:AI33, "✓") + COUNTIF(E33:AI33, "✔") + COUNTIF(E33:AI33, "v") + COUNTIF(E33:AI33, "V"))/D33, 0), IF(((COUNTIF(E33:AI33, "✓") + COUNTIF(E33:AI33, "✔") + COUNTIF(E33:AI33, "v") + COUNTIF(E33:AI33, "V")) + COUNTIF(E33:AI33, "✗") + COUNTIF(E33:AI33, "x") + COUNTIF(E33:AI33, "X"))&gt;0, (COUNTIF(E33:AI33, "✓") + COUNTIF(E33:AI33, "✔") + COUNTIF(E33:AI33, "v") + COUNTIF(E33:AI33, "V"))/((COUNTIF(E33:AI33, "✓") + COUNTIF(E33:AI33, "✔") + COUNTIF(E33:AI33, "v") + COUNTIF(E33:AI33, "V")) + COUNTIF(E33:AI33, "✗") + COUNTIF(E33:AI33, "x") + COUNTIF(E33:AI33, "X")), "")))</f>
        <v/>
      </c>
      <c r="AK33" s="124">
        <f>IF(ISBLANK(B33), "", IF(ISNUMBER(D33), IF(D33&gt;0, (COUNTIF(E33:AI33, "✓") + COUNTIF(E33:AI33, "✔") + COUNTIF(E33:AI33, "v") + COUNTIF(E33:AI33, "V")) &amp; "/" &amp; D33, (COUNTIF(E33:AI33, "✓") + COUNTIF(E33:AI33, "✔") + COUNTIF(E33:AI33, "v") + COUNTIF(E33:AI33, "V")) &amp; "/0"), IF(((COUNTIF(E33:AI33, "✓") + COUNTIF(E33:AI33, "✔") + COUNTIF(E33:AI33, "v") + COUNTIF(E33:AI33, "V")) + COUNTIF(E33:AI33, "✗") + COUNTIF(E33:AI33, "x") + COUNTIF(E33:AI33, "X"))&gt;0, (COUNTIF(E33:AI33, "✓") + COUNTIF(E33:AI33, "✔") + COUNTIF(E33:AI33, "v") + COUNTIF(E33:AI33, "V")) &amp; "/" &amp; ((COUNTIF(E33:AI33, "✓") + COUNTIF(E33:AI33, "✔") + COUNTIF(E33:AI33, "v") + COUNTIF(E33:AI33, "V")) + COUNTIF(E33:AI33, "✗") + COUNTIF(E33:AI33, "x") + COUNTIF(E33:AI33, "X")), "")))</f>
        <v/>
      </c>
      <c r="AL33" s="124">
        <f>IF(ISBLANK(B33), "", IF(AJ33&gt;=0.85, "🔥 Mastered", IF(AJ33&gt;=0.7, "⚡ Consistent", "⚠️ Needs Focus")))</f>
        <v/>
      </c>
      <c r="AM33">
        <f>COUNTIF(E33:AI33, "✓")</f>
        <v/>
      </c>
    </row>
    <row r="34" ht="14.5" customHeight="1">
      <c r="A34" s="125" t="n">
        <v>17</v>
      </c>
      <c r="B34" s="126" t="n"/>
      <c r="C34" s="127" t="n"/>
      <c r="D34" s="127" t="n"/>
      <c r="E34" s="128" t="n"/>
      <c r="F34" s="128" t="n"/>
      <c r="G34" s="128" t="n"/>
      <c r="H34" s="128" t="n"/>
      <c r="I34" s="128" t="n"/>
      <c r="J34" s="129" t="n"/>
      <c r="K34" s="128" t="n"/>
      <c r="L34" s="128" t="n"/>
      <c r="M34" s="128" t="n"/>
      <c r="N34" s="128" t="n"/>
      <c r="O34" s="128" t="n"/>
      <c r="P34" s="128" t="n"/>
      <c r="Q34" s="129" t="n"/>
      <c r="R34" s="128" t="n"/>
      <c r="S34" s="128" t="n"/>
      <c r="T34" s="128" t="n"/>
      <c r="U34" s="128" t="n"/>
      <c r="V34" s="128" t="n"/>
      <c r="W34" s="128" t="n"/>
      <c r="X34" s="129" t="n"/>
      <c r="Y34" s="128" t="n"/>
      <c r="Z34" s="128" t="n"/>
      <c r="AA34" s="128" t="n"/>
      <c r="AB34" s="128" t="n"/>
      <c r="AC34" s="128" t="n"/>
      <c r="AD34" s="128" t="n"/>
      <c r="AE34" s="129" t="n"/>
      <c r="AF34" s="128" t="n"/>
      <c r="AG34" s="128" t="n"/>
      <c r="AH34" s="128" t="n"/>
      <c r="AI34" s="128" t="n"/>
      <c r="AJ34" s="130">
        <f>IF(ISBLANK(B34), "", IF(ISNUMBER(D34), IF(D34&gt;0, (COUNTIF(E34:AI34, "✓") + COUNTIF(E34:AI34, "✔") + COUNTIF(E34:AI34, "v") + COUNTIF(E34:AI34, "V"))/D34, 0), IF(((COUNTIF(E34:AI34, "✓") + COUNTIF(E34:AI34, "✔") + COUNTIF(E34:AI34, "v") + COUNTIF(E34:AI34, "V")) + COUNTIF(E34:AI34, "✗") + COUNTIF(E34:AI34, "x") + COUNTIF(E34:AI34, "X"))&gt;0, (COUNTIF(E34:AI34, "✓") + COUNTIF(E34:AI34, "✔") + COUNTIF(E34:AI34, "v") + COUNTIF(E34:AI34, "V"))/((COUNTIF(E34:AI34, "✓") + COUNTIF(E34:AI34, "✔") + COUNTIF(E34:AI34, "v") + COUNTIF(E34:AI34, "V")) + COUNTIF(E34:AI34, "✗") + COUNTIF(E34:AI34, "x") + COUNTIF(E34:AI34, "X")), "")))</f>
        <v/>
      </c>
      <c r="AK34" s="131">
        <f>IF(ISBLANK(B34), "", IF(ISNUMBER(D34), IF(D34&gt;0, (COUNTIF(E34:AI34, "✓") + COUNTIF(E34:AI34, "✔") + COUNTIF(E34:AI34, "v") + COUNTIF(E34:AI34, "V")) &amp; "/" &amp; D34, (COUNTIF(E34:AI34, "✓") + COUNTIF(E34:AI34, "✔") + COUNTIF(E34:AI34, "v") + COUNTIF(E34:AI34, "V")) &amp; "/0"), IF(((COUNTIF(E34:AI34, "✓") + COUNTIF(E34:AI34, "✔") + COUNTIF(E34:AI34, "v") + COUNTIF(E34:AI34, "V")) + COUNTIF(E34:AI34, "✗") + COUNTIF(E34:AI34, "x") + COUNTIF(E34:AI34, "X"))&gt;0, (COUNTIF(E34:AI34, "✓") + COUNTIF(E34:AI34, "✔") + COUNTIF(E34:AI34, "v") + COUNTIF(E34:AI34, "V")) &amp; "/" &amp; ((COUNTIF(E34:AI34, "✓") + COUNTIF(E34:AI34, "✔") + COUNTIF(E34:AI34, "v") + COUNTIF(E34:AI34, "V")) + COUNTIF(E34:AI34, "✗") + COUNTIF(E34:AI34, "x") + COUNTIF(E34:AI34, "X")), "")))</f>
        <v/>
      </c>
      <c r="AL34" s="131">
        <f>IF(ISBLANK(B34), "", IF(AJ34&gt;=0.85, "🔥 Mastered", IF(AJ34&gt;=0.7, "⚡ Consistent", "⚠️ Needs Focus")))</f>
        <v/>
      </c>
      <c r="AM34">
        <f>COUNTIF(E34:AI34, "✓")</f>
        <v/>
      </c>
    </row>
    <row r="35" ht="14.5" customHeight="1">
      <c r="A35" s="125" t="n">
        <v>18</v>
      </c>
      <c r="B35" s="126" t="n"/>
      <c r="C35" s="127" t="n"/>
      <c r="D35" s="127" t="n"/>
      <c r="E35" s="128" t="n"/>
      <c r="F35" s="128" t="n"/>
      <c r="G35" s="128" t="n"/>
      <c r="H35" s="128" t="n"/>
      <c r="I35" s="128" t="n"/>
      <c r="J35" s="129" t="n"/>
      <c r="K35" s="128" t="n"/>
      <c r="L35" s="128" t="n"/>
      <c r="M35" s="128" t="n"/>
      <c r="N35" s="128" t="n"/>
      <c r="O35" s="128" t="n"/>
      <c r="P35" s="128" t="n"/>
      <c r="Q35" s="129" t="n"/>
      <c r="R35" s="128" t="n"/>
      <c r="S35" s="128" t="n"/>
      <c r="T35" s="128" t="n"/>
      <c r="U35" s="128" t="n"/>
      <c r="V35" s="128" t="n"/>
      <c r="W35" s="128" t="n"/>
      <c r="X35" s="129" t="n"/>
      <c r="Y35" s="128" t="n"/>
      <c r="Z35" s="128" t="n"/>
      <c r="AA35" s="128" t="n"/>
      <c r="AB35" s="128" t="n"/>
      <c r="AC35" s="128" t="n"/>
      <c r="AD35" s="128" t="n"/>
      <c r="AE35" s="129" t="n"/>
      <c r="AF35" s="128" t="n"/>
      <c r="AG35" s="128" t="n"/>
      <c r="AH35" s="128" t="n"/>
      <c r="AI35" s="128" t="n"/>
      <c r="AJ35" s="130">
        <f>IF(ISBLANK(B35), "", IF(ISNUMBER(D35), IF(D35&gt;0, (COUNTIF(E35:AI35, "✓") + COUNTIF(E35:AI35, "✔") + COUNTIF(E35:AI35, "v") + COUNTIF(E35:AI35, "V"))/D35, 0), IF(((COUNTIF(E35:AI35, "✓") + COUNTIF(E35:AI35, "✔") + COUNTIF(E35:AI35, "v") + COUNTIF(E35:AI35, "V")) + COUNTIF(E35:AI35, "✗") + COUNTIF(E35:AI35, "x") + COUNTIF(E35:AI35, "X"))&gt;0, (COUNTIF(E35:AI35, "✓") + COUNTIF(E35:AI35, "✔") + COUNTIF(E35:AI35, "v") + COUNTIF(E35:AI35, "V"))/((COUNTIF(E35:AI35, "✓") + COUNTIF(E35:AI35, "✔") + COUNTIF(E35:AI35, "v") + COUNTIF(E35:AI35, "V")) + COUNTIF(E35:AI35, "✗") + COUNTIF(E35:AI35, "x") + COUNTIF(E35:AI35, "X")), "")))</f>
        <v/>
      </c>
      <c r="AK35" s="131">
        <f>IF(ISBLANK(B35), "", IF(ISNUMBER(D35), IF(D35&gt;0, (COUNTIF(E35:AI35, "✓") + COUNTIF(E35:AI35, "✔") + COUNTIF(E35:AI35, "v") + COUNTIF(E35:AI35, "V")) &amp; "/" &amp; D35, (COUNTIF(E35:AI35, "✓") + COUNTIF(E35:AI35, "✔") + COUNTIF(E35:AI35, "v") + COUNTIF(E35:AI35, "V")) &amp; "/0"), IF(((COUNTIF(E35:AI35, "✓") + COUNTIF(E35:AI35, "✔") + COUNTIF(E35:AI35, "v") + COUNTIF(E35:AI35, "V")) + COUNTIF(E35:AI35, "✗") + COUNTIF(E35:AI35, "x") + COUNTIF(E35:AI35, "X"))&gt;0, (COUNTIF(E35:AI35, "✓") + COUNTIF(E35:AI35, "✔") + COUNTIF(E35:AI35, "v") + COUNTIF(E35:AI35, "V")) &amp; "/" &amp; ((COUNTIF(E35:AI35, "✓") + COUNTIF(E35:AI35, "✔") + COUNTIF(E35:AI35, "v") + COUNTIF(E35:AI35, "V")) + COUNTIF(E35:AI35, "✗") + COUNTIF(E35:AI35, "x") + COUNTIF(E35:AI35, "X")), "")))</f>
        <v/>
      </c>
      <c r="AL35" s="131">
        <f>IF(ISBLANK(B35), "", IF(AJ35&gt;=0.85, "🔥 Mastered", IF(AJ35&gt;=0.7, "⚡ Consistent", "⚠️ Needs Focus")))</f>
        <v/>
      </c>
      <c r="AM35">
        <f>COUNTIF(E35:AI35, "✓")</f>
        <v/>
      </c>
    </row>
    <row r="36" ht="14.5" customHeight="1">
      <c r="A36" s="125" t="n">
        <v>19</v>
      </c>
      <c r="B36" s="126" t="n"/>
      <c r="C36" s="127" t="n"/>
      <c r="D36" s="127" t="n"/>
      <c r="E36" s="128" t="n"/>
      <c r="F36" s="128" t="n"/>
      <c r="G36" s="128" t="n"/>
      <c r="H36" s="128" t="n"/>
      <c r="I36" s="128" t="n"/>
      <c r="J36" s="129" t="n"/>
      <c r="K36" s="128" t="n"/>
      <c r="L36" s="128" t="n"/>
      <c r="M36" s="128" t="n"/>
      <c r="N36" s="128" t="n"/>
      <c r="O36" s="128" t="n"/>
      <c r="P36" s="128" t="n"/>
      <c r="Q36" s="129" t="n"/>
      <c r="R36" s="128" t="n"/>
      <c r="S36" s="128" t="n"/>
      <c r="T36" s="128" t="n"/>
      <c r="U36" s="128" t="n"/>
      <c r="V36" s="128" t="n"/>
      <c r="W36" s="128" t="n"/>
      <c r="X36" s="129" t="n"/>
      <c r="Y36" s="128" t="n"/>
      <c r="Z36" s="128" t="n"/>
      <c r="AA36" s="128" t="n"/>
      <c r="AB36" s="128" t="n"/>
      <c r="AC36" s="128" t="n"/>
      <c r="AD36" s="128" t="n"/>
      <c r="AE36" s="129" t="n"/>
      <c r="AF36" s="128" t="n"/>
      <c r="AG36" s="128" t="n"/>
      <c r="AH36" s="128" t="n"/>
      <c r="AI36" s="128" t="n"/>
      <c r="AJ36" s="130">
        <f>IF(ISBLANK(B36), "", IF(ISNUMBER(D36), IF(D36&gt;0, (COUNTIF(E36:AI36, "✓") + COUNTIF(E36:AI36, "✔") + COUNTIF(E36:AI36, "v") + COUNTIF(E36:AI36, "V"))/D36, 0), IF(((COUNTIF(E36:AI36, "✓") + COUNTIF(E36:AI36, "✔") + COUNTIF(E36:AI36, "v") + COUNTIF(E36:AI36, "V")) + COUNTIF(E36:AI36, "✗") + COUNTIF(E36:AI36, "x") + COUNTIF(E36:AI36, "X"))&gt;0, (COUNTIF(E36:AI36, "✓") + COUNTIF(E36:AI36, "✔") + COUNTIF(E36:AI36, "v") + COUNTIF(E36:AI36, "V"))/((COUNTIF(E36:AI36, "✓") + COUNTIF(E36:AI36, "✔") + COUNTIF(E36:AI36, "v") + COUNTIF(E36:AI36, "V")) + COUNTIF(E36:AI36, "✗") + COUNTIF(E36:AI36, "x") + COUNTIF(E36:AI36, "X")), "")))</f>
        <v/>
      </c>
      <c r="AK36" s="131">
        <f>IF(ISBLANK(B36), "", IF(ISNUMBER(D36), IF(D36&gt;0, (COUNTIF(E36:AI36, "✓") + COUNTIF(E36:AI36, "✔") + COUNTIF(E36:AI36, "v") + COUNTIF(E36:AI36, "V")) &amp; "/" &amp; D36, (COUNTIF(E36:AI36, "✓") + COUNTIF(E36:AI36, "✔") + COUNTIF(E36:AI36, "v") + COUNTIF(E36:AI36, "V")) &amp; "/0"), IF(((COUNTIF(E36:AI36, "✓") + COUNTIF(E36:AI36, "✔") + COUNTIF(E36:AI36, "v") + COUNTIF(E36:AI36, "V")) + COUNTIF(E36:AI36, "✗") + COUNTIF(E36:AI36, "x") + COUNTIF(E36:AI36, "X"))&gt;0, (COUNTIF(E36:AI36, "✓") + COUNTIF(E36:AI36, "✔") + COUNTIF(E36:AI36, "v") + COUNTIF(E36:AI36, "V")) &amp; "/" &amp; ((COUNTIF(E36:AI36, "✓") + COUNTIF(E36:AI36, "✔") + COUNTIF(E36:AI36, "v") + COUNTIF(E36:AI36, "V")) + COUNTIF(E36:AI36, "✗") + COUNTIF(E36:AI36, "x") + COUNTIF(E36:AI36, "X")), "")))</f>
        <v/>
      </c>
      <c r="AL36" s="131">
        <f>IF(ISBLANK(B36), "", IF(AJ36&gt;=0.85, "🔥 Mastered", IF(AJ36&gt;=0.7, "⚡ Consistent", "⚠️ Needs Focus")))</f>
        <v/>
      </c>
      <c r="AM36">
        <f>COUNTIF(E36:AI36, "✓")</f>
        <v/>
      </c>
    </row>
    <row r="37" ht="14.5" customHeight="1">
      <c r="A37" s="125" t="n">
        <v>20</v>
      </c>
      <c r="B37" s="126" t="n"/>
      <c r="C37" s="127" t="n"/>
      <c r="D37" s="127" t="n"/>
      <c r="E37" s="128" t="n"/>
      <c r="F37" s="128" t="n"/>
      <c r="G37" s="128" t="n"/>
      <c r="H37" s="128" t="n"/>
      <c r="I37" s="128" t="n"/>
      <c r="J37" s="129" t="n"/>
      <c r="K37" s="128" t="n"/>
      <c r="L37" s="128" t="n"/>
      <c r="M37" s="128" t="n"/>
      <c r="N37" s="128" t="n"/>
      <c r="O37" s="128" t="n"/>
      <c r="P37" s="128" t="n"/>
      <c r="Q37" s="129" t="n"/>
      <c r="R37" s="128" t="n"/>
      <c r="S37" s="128" t="n"/>
      <c r="T37" s="128" t="n"/>
      <c r="U37" s="128" t="n"/>
      <c r="V37" s="128" t="n"/>
      <c r="W37" s="128" t="n"/>
      <c r="X37" s="129" t="n"/>
      <c r="Y37" s="128" t="n"/>
      <c r="Z37" s="128" t="n"/>
      <c r="AA37" s="128" t="n"/>
      <c r="AB37" s="128" t="n"/>
      <c r="AC37" s="128" t="n"/>
      <c r="AD37" s="128" t="n"/>
      <c r="AE37" s="129" t="n"/>
      <c r="AF37" s="128" t="n"/>
      <c r="AG37" s="128" t="n"/>
      <c r="AH37" s="128" t="n"/>
      <c r="AI37" s="128" t="n"/>
      <c r="AJ37" s="130">
        <f>IF(ISBLANK(B37), "", IF(ISNUMBER(D37), IF(D37&gt;0, (COUNTIF(E37:AI37, "✓") + COUNTIF(E37:AI37, "✔") + COUNTIF(E37:AI37, "v") + COUNTIF(E37:AI37, "V"))/D37, 0), IF(((COUNTIF(E37:AI37, "✓") + COUNTIF(E37:AI37, "✔") + COUNTIF(E37:AI37, "v") + COUNTIF(E37:AI37, "V")) + COUNTIF(E37:AI37, "✗") + COUNTIF(E37:AI37, "x") + COUNTIF(E37:AI37, "X"))&gt;0, (COUNTIF(E37:AI37, "✓") + COUNTIF(E37:AI37, "✔") + COUNTIF(E37:AI37, "v") + COUNTIF(E37:AI37, "V"))/((COUNTIF(E37:AI37, "✓") + COUNTIF(E37:AI37, "✔") + COUNTIF(E37:AI37, "v") + COUNTIF(E37:AI37, "V")) + COUNTIF(E37:AI37, "✗") + COUNTIF(E37:AI37, "x") + COUNTIF(E37:AI37, "X")), "")))</f>
        <v/>
      </c>
      <c r="AK37" s="131">
        <f>IF(ISBLANK(B37), "", IF(ISNUMBER(D37), IF(D37&gt;0, (COUNTIF(E37:AI37, "✓") + COUNTIF(E37:AI37, "✔") + COUNTIF(E37:AI37, "v") + COUNTIF(E37:AI37, "V")) &amp; "/" &amp; D37, (COUNTIF(E37:AI37, "✓") + COUNTIF(E37:AI37, "✔") + COUNTIF(E37:AI37, "v") + COUNTIF(E37:AI37, "V")) &amp; "/0"), IF(((COUNTIF(E37:AI37, "✓") + COUNTIF(E37:AI37, "✔") + COUNTIF(E37:AI37, "v") + COUNTIF(E37:AI37, "V")) + COUNTIF(E37:AI37, "✗") + COUNTIF(E37:AI37, "x") + COUNTIF(E37:AI37, "X"))&gt;0, (COUNTIF(E37:AI37, "✓") + COUNTIF(E37:AI37, "✔") + COUNTIF(E37:AI37, "v") + COUNTIF(E37:AI37, "V")) &amp; "/" &amp; ((COUNTIF(E37:AI37, "✓") + COUNTIF(E37:AI37, "✔") + COUNTIF(E37:AI37, "v") + COUNTIF(E37:AI37, "V")) + COUNTIF(E37:AI37, "✗") + COUNTIF(E37:AI37, "x") + COUNTIF(E37:AI37, "X")), "")))</f>
        <v/>
      </c>
      <c r="AL37" s="131">
        <f>IF(ISBLANK(B37), "", IF(AJ37&gt;=0.85, "🔥 Mastered", IF(AJ37&gt;=0.7, "⚡ Consistent", "⚠️ Needs Focus")))</f>
        <v/>
      </c>
      <c r="AM37">
        <f>COUNTIF(E37:AI37, "✓")</f>
        <v/>
      </c>
    </row>
    <row r="38" ht="18" customHeight="1">
      <c r="A38" s="132" t="inlineStr">
        <is>
          <t>DAILY TOTAL SCORE</t>
        </is>
      </c>
      <c r="B38" s="54" t="n"/>
      <c r="C38" s="54" t="n"/>
      <c r="D38" s="54" t="n"/>
      <c r="E38" s="33">
        <f>IF(((COUNTIF(E18:E37, "✓") + COUNTIF(E18:E37, "✔") + COUNTIF(E18:E37, "v") + COUNTIF(E18:E37, "V")) + COUNTIF(E18:E37, "✗") + COUNTIF(E18:E37, "x") + COUNTIF(E18:E37, "X")) &gt; 0, (COUNTIF(E18:E37, "✓") + COUNTIF(E18:E37, "✔") + COUNTIF(E18:E37, "v") + COUNTIF(E18:E37, "V")) &amp; "/" &amp; ((COUNTIF(E18:E37, "✓") + COUNTIF(E18:E37, "✔") + COUNTIF(E18:E37, "v") + COUNTIF(E18:E37, "V")) + COUNTIF(E18:E37, "✗") + COUNTIF(E18:E37, "x") + COUNTIF(E18:E37, "X")), "")</f>
        <v/>
      </c>
      <c r="F38" s="33">
        <f>IF(((COUNTIF(F18:F37, "✓") + COUNTIF(F18:F37, "✔") + COUNTIF(F18:F37, "v") + COUNTIF(F18:F37, "V")) + COUNTIF(F18:F37, "✗") + COUNTIF(F18:F37, "x") + COUNTIF(F18:F37, "X")) &gt; 0, (COUNTIF(F18:F37, "✓") + COUNTIF(F18:F37, "✔") + COUNTIF(F18:F37, "v") + COUNTIF(F18:F37, "V")) &amp; "/" &amp; ((COUNTIF(F18:F37, "✓") + COUNTIF(F18:F37, "✔") + COUNTIF(F18:F37, "v") + COUNTIF(F18:F37, "V")) + COUNTIF(F18:F37, "✗") + COUNTIF(F18:F37, "x") + COUNTIF(F18:F37, "X")), "")</f>
        <v/>
      </c>
      <c r="G38" s="33">
        <f>IF(((COUNTIF(G18:G37, "✓") + COUNTIF(G18:G37, "✔") + COUNTIF(G18:G37, "v") + COUNTIF(G18:G37, "V")) + COUNTIF(G18:G37, "✗") + COUNTIF(G18:G37, "x") + COUNTIF(G18:G37, "X")) &gt; 0, (COUNTIF(G18:G37, "✓") + COUNTIF(G18:G37, "✔") + COUNTIF(G18:G37, "v") + COUNTIF(G18:G37, "V")) &amp; "/" &amp; ((COUNTIF(G18:G37, "✓") + COUNTIF(G18:G37, "✔") + COUNTIF(G18:G37, "v") + COUNTIF(G18:G37, "V")) + COUNTIF(G18:G37, "✗") + COUNTIF(G18:G37, "x") + COUNTIF(G18:G37, "X")), "")</f>
        <v/>
      </c>
      <c r="H38" s="33">
        <f>IF(((COUNTIF(H18:H37, "✓") + COUNTIF(H18:H37, "✔") + COUNTIF(H18:H37, "v") + COUNTIF(H18:H37, "V")) + COUNTIF(H18:H37, "✗") + COUNTIF(H18:H37, "x") + COUNTIF(H18:H37, "X")) &gt; 0, (COUNTIF(H18:H37, "✓") + COUNTIF(H18:H37, "✔") + COUNTIF(H18:H37, "v") + COUNTIF(H18:H37, "V")) &amp; "/" &amp; ((COUNTIF(H18:H37, "✓") + COUNTIF(H18:H37, "✔") + COUNTIF(H18:H37, "v") + COUNTIF(H18:H37, "V")) + COUNTIF(H18:H37, "✗") + COUNTIF(H18:H37, "x") + COUNTIF(H18:H37, "X")), "")</f>
        <v/>
      </c>
      <c r="I38" s="33">
        <f>IF(((COUNTIF(I18:I37, "✓") + COUNTIF(I18:I37, "✔") + COUNTIF(I18:I37, "v") + COUNTIF(I18:I37, "V")) + COUNTIF(I18:I37, "✗") + COUNTIF(I18:I37, "x") + COUNTIF(I18:I37, "X")) &gt; 0, (COUNTIF(I18:I37, "✓") + COUNTIF(I18:I37, "✔") + COUNTIF(I18:I37, "v") + COUNTIF(I18:I37, "V")) &amp; "/" &amp; ((COUNTIF(I18:I37, "✓") + COUNTIF(I18:I37, "✔") + COUNTIF(I18:I37, "v") + COUNTIF(I18:I37, "V")) + COUNTIF(I18:I37, "✗") + COUNTIF(I18:I37, "x") + COUNTIF(I18:I37, "X")), "")</f>
        <v/>
      </c>
      <c r="J38" s="33">
        <f>IF(((COUNTIF(J18:J37, "✓") + COUNTIF(J18:J37, "✔") + COUNTIF(J18:J37, "v") + COUNTIF(J18:J37, "V")) + COUNTIF(J18:J37, "✗") + COUNTIF(J18:J37, "x") + COUNTIF(J18:J37, "X")) &gt; 0, (COUNTIF(J18:J37, "✓") + COUNTIF(J18:J37, "✔") + COUNTIF(J18:J37, "v") + COUNTIF(J18:J37, "V")) &amp; "/" &amp; ((COUNTIF(J18:J37, "✓") + COUNTIF(J18:J37, "✔") + COUNTIF(J18:J37, "v") + COUNTIF(J18:J37, "V")) + COUNTIF(J18:J37, "✗") + COUNTIF(J18:J37, "x") + COUNTIF(J18:J37, "X")), "")</f>
        <v/>
      </c>
      <c r="K38" s="33">
        <f>IF(((COUNTIF(K18:K37, "✓") + COUNTIF(K18:K37, "✔") + COUNTIF(K18:K37, "v") + COUNTIF(K18:K37, "V")) + COUNTIF(K18:K37, "✗") + COUNTIF(K18:K37, "x") + COUNTIF(K18:K37, "X")) &gt; 0, (COUNTIF(K18:K37, "✓") + COUNTIF(K18:K37, "✔") + COUNTIF(K18:K37, "v") + COUNTIF(K18:K37, "V")) &amp; "/" &amp; ((COUNTIF(K18:K37, "✓") + COUNTIF(K18:K37, "✔") + COUNTIF(K18:K37, "v") + COUNTIF(K18:K37, "V")) + COUNTIF(K18:K37, "✗") + COUNTIF(K18:K37, "x") + COUNTIF(K18:K37, "X")), "")</f>
        <v/>
      </c>
      <c r="L38" s="33">
        <f>IF(((COUNTIF(L18:L37, "✓") + COUNTIF(L18:L37, "✔") + COUNTIF(L18:L37, "v") + COUNTIF(L18:L37, "V")) + COUNTIF(L18:L37, "✗") + COUNTIF(L18:L37, "x") + COUNTIF(L18:L37, "X")) &gt; 0, (COUNTIF(L18:L37, "✓") + COUNTIF(L18:L37, "✔") + COUNTIF(L18:L37, "v") + COUNTIF(L18:L37, "V")) &amp; "/" &amp; ((COUNTIF(L18:L37, "✓") + COUNTIF(L18:L37, "✔") + COUNTIF(L18:L37, "v") + COUNTIF(L18:L37, "V")) + COUNTIF(L18:L37, "✗") + COUNTIF(L18:L37, "x") + COUNTIF(L18:L37, "X")), "")</f>
        <v/>
      </c>
      <c r="M38" s="33">
        <f>IF(((COUNTIF(M18:M37, "✓") + COUNTIF(M18:M37, "✔") + COUNTIF(M18:M37, "v") + COUNTIF(M18:M37, "V")) + COUNTIF(M18:M37, "✗") + COUNTIF(M18:M37, "x") + COUNTIF(M18:M37, "X")) &gt; 0, (COUNTIF(M18:M37, "✓") + COUNTIF(M18:M37, "✔") + COUNTIF(M18:M37, "v") + COUNTIF(M18:M37, "V")) &amp; "/" &amp; ((COUNTIF(M18:M37, "✓") + COUNTIF(M18:M37, "✔") + COUNTIF(M18:M37, "v") + COUNTIF(M18:M37, "V")) + COUNTIF(M18:M37, "✗") + COUNTIF(M18:M37, "x") + COUNTIF(M18:M37, "X")), "")</f>
        <v/>
      </c>
      <c r="N38" s="33">
        <f>IF(((COUNTIF(N18:N37, "✓") + COUNTIF(N18:N37, "✔") + COUNTIF(N18:N37, "v") + COUNTIF(N18:N37, "V")) + COUNTIF(N18:N37, "✗") + COUNTIF(N18:N37, "x") + COUNTIF(N18:N37, "X")) &gt; 0, (COUNTIF(N18:N37, "✓") + COUNTIF(N18:N37, "✔") + COUNTIF(N18:N37, "v") + COUNTIF(N18:N37, "V")) &amp; "/" &amp; ((COUNTIF(N18:N37, "✓") + COUNTIF(N18:N37, "✔") + COUNTIF(N18:N37, "v") + COUNTIF(N18:N37, "V")) + COUNTIF(N18:N37, "✗") + COUNTIF(N18:N37, "x") + COUNTIF(N18:N37, "X")), "")</f>
        <v/>
      </c>
      <c r="O38" s="33">
        <f>IF(((COUNTIF(O18:O37, "✓") + COUNTIF(O18:O37, "✔") + COUNTIF(O18:O37, "v") + COUNTIF(O18:O37, "V")) + COUNTIF(O18:O37, "✗") + COUNTIF(O18:O37, "x") + COUNTIF(O18:O37, "X")) &gt; 0, (COUNTIF(O18:O37, "✓") + COUNTIF(O18:O37, "✔") + COUNTIF(O18:O37, "v") + COUNTIF(O18:O37, "V")) &amp; "/" &amp; ((COUNTIF(O18:O37, "✓") + COUNTIF(O18:O37, "✔") + COUNTIF(O18:O37, "v") + COUNTIF(O18:O37, "V")) + COUNTIF(O18:O37, "✗") + COUNTIF(O18:O37, "x") + COUNTIF(O18:O37, "X")), "")</f>
        <v/>
      </c>
      <c r="P38" s="33">
        <f>IF(((COUNTIF(P18:P37, "✓") + COUNTIF(P18:P37, "✔") + COUNTIF(P18:P37, "v") + COUNTIF(P18:P37, "V")) + COUNTIF(P18:P37, "✗") + COUNTIF(P18:P37, "x") + COUNTIF(P18:P37, "X")) &gt; 0, (COUNTIF(P18:P37, "✓") + COUNTIF(P18:P37, "✔") + COUNTIF(P18:P37, "v") + COUNTIF(P18:P37, "V")) &amp; "/" &amp; ((COUNTIF(P18:P37, "✓") + COUNTIF(P18:P37, "✔") + COUNTIF(P18:P37, "v") + COUNTIF(P18:P37, "V")) + COUNTIF(P18:P37, "✗") + COUNTIF(P18:P37, "x") + COUNTIF(P18:P37, "X")), "")</f>
        <v/>
      </c>
      <c r="Q38" s="33">
        <f>IF(((COUNTIF(Q18:Q37, "✓") + COUNTIF(Q18:Q37, "✔") + COUNTIF(Q18:Q37, "v") + COUNTIF(Q18:Q37, "V")) + COUNTIF(Q18:Q37, "✗") + COUNTIF(Q18:Q37, "x") + COUNTIF(Q18:Q37, "X")) &gt; 0, (COUNTIF(Q18:Q37, "✓") + COUNTIF(Q18:Q37, "✔") + COUNTIF(Q18:Q37, "v") + COUNTIF(Q18:Q37, "V")) &amp; "/" &amp; ((COUNTIF(Q18:Q37, "✓") + COUNTIF(Q18:Q37, "✔") + COUNTIF(Q18:Q37, "v") + COUNTIF(Q18:Q37, "V")) + COUNTIF(Q18:Q37, "✗") + COUNTIF(Q18:Q37, "x") + COUNTIF(Q18:Q37, "X")), "")</f>
        <v/>
      </c>
      <c r="R38" s="33">
        <f>IF(((COUNTIF(R18:R37, "✓") + COUNTIF(R18:R37, "✔") + COUNTIF(R18:R37, "v") + COUNTIF(R18:R37, "V")) + COUNTIF(R18:R37, "✗") + COUNTIF(R18:R37, "x") + COUNTIF(R18:R37, "X")) &gt; 0, (COUNTIF(R18:R37, "✓") + COUNTIF(R18:R37, "✔") + COUNTIF(R18:R37, "v") + COUNTIF(R18:R37, "V")) &amp; "/" &amp; ((COUNTIF(R18:R37, "✓") + COUNTIF(R18:R37, "✔") + COUNTIF(R18:R37, "v") + COUNTIF(R18:R37, "V")) + COUNTIF(R18:R37, "✗") + COUNTIF(R18:R37, "x") + COUNTIF(R18:R37, "X")), "")</f>
        <v/>
      </c>
      <c r="S38" s="33">
        <f>IF(((COUNTIF(S18:S37, "✓") + COUNTIF(S18:S37, "✔") + COUNTIF(S18:S37, "v") + COUNTIF(S18:S37, "V")) + COUNTIF(S18:S37, "✗") + COUNTIF(S18:S37, "x") + COUNTIF(S18:S37, "X")) &gt; 0, (COUNTIF(S18:S37, "✓") + COUNTIF(S18:S37, "✔") + COUNTIF(S18:S37, "v") + COUNTIF(S18:S37, "V")) &amp; "/" &amp; ((COUNTIF(S18:S37, "✓") + COUNTIF(S18:S37, "✔") + COUNTIF(S18:S37, "v") + COUNTIF(S18:S37, "V")) + COUNTIF(S18:S37, "✗") + COUNTIF(S18:S37, "x") + COUNTIF(S18:S37, "X")), "")</f>
        <v/>
      </c>
      <c r="T38" s="33">
        <f>IF(((COUNTIF(T18:T37, "✓") + COUNTIF(T18:T37, "✔") + COUNTIF(T18:T37, "v") + COUNTIF(T18:T37, "V")) + COUNTIF(T18:T37, "✗") + COUNTIF(T18:T37, "x") + COUNTIF(T18:T37, "X")) &gt; 0, (COUNTIF(T18:T37, "✓") + COUNTIF(T18:T37, "✔") + COUNTIF(T18:T37, "v") + COUNTIF(T18:T37, "V")) &amp; "/" &amp; ((COUNTIF(T18:T37, "✓") + COUNTIF(T18:T37, "✔") + COUNTIF(T18:T37, "v") + COUNTIF(T18:T37, "V")) + COUNTIF(T18:T37, "✗") + COUNTIF(T18:T37, "x") + COUNTIF(T18:T37, "X")), "")</f>
        <v/>
      </c>
      <c r="U38" s="33">
        <f>IF(((COUNTIF(U18:U37, "✓") + COUNTIF(U18:U37, "✔") + COUNTIF(U18:U37, "v") + COUNTIF(U18:U37, "V")) + COUNTIF(U18:U37, "✗") + COUNTIF(U18:U37, "x") + COUNTIF(U18:U37, "X")) &gt; 0, (COUNTIF(U18:U37, "✓") + COUNTIF(U18:U37, "✔") + COUNTIF(U18:U37, "v") + COUNTIF(U18:U37, "V")) &amp; "/" &amp; ((COUNTIF(U18:U37, "✓") + COUNTIF(U18:U37, "✔") + COUNTIF(U18:U37, "v") + COUNTIF(U18:U37, "V")) + COUNTIF(U18:U37, "✗") + COUNTIF(U18:U37, "x") + COUNTIF(U18:U37, "X")), "")</f>
        <v/>
      </c>
      <c r="V38" s="33">
        <f>IF(((COUNTIF(V18:V37, "✓") + COUNTIF(V18:V37, "✔") + COUNTIF(V18:V37, "v") + COUNTIF(V18:V37, "V")) + COUNTIF(V18:V37, "✗") + COUNTIF(V18:V37, "x") + COUNTIF(V18:V37, "X")) &gt; 0, (COUNTIF(V18:V37, "✓") + COUNTIF(V18:V37, "✔") + COUNTIF(V18:V37, "v") + COUNTIF(V18:V37, "V")) &amp; "/" &amp; ((COUNTIF(V18:V37, "✓") + COUNTIF(V18:V37, "✔") + COUNTIF(V18:V37, "v") + COUNTIF(V18:V37, "V")) + COUNTIF(V18:V37, "✗") + COUNTIF(V18:V37, "x") + COUNTIF(V18:V37, "X")), "")</f>
        <v/>
      </c>
      <c r="W38" s="33">
        <f>IF(((COUNTIF(W18:W37, "✓") + COUNTIF(W18:W37, "✔") + COUNTIF(W18:W37, "v") + COUNTIF(W18:W37, "V")) + COUNTIF(W18:W37, "✗") + COUNTIF(W18:W37, "x") + COUNTIF(W18:W37, "X")) &gt; 0, (COUNTIF(W18:W37, "✓") + COUNTIF(W18:W37, "✔") + COUNTIF(W18:W37, "v") + COUNTIF(W18:W37, "V")) &amp; "/" &amp; ((COUNTIF(W18:W37, "✓") + COUNTIF(W18:W37, "✔") + COUNTIF(W18:W37, "v") + COUNTIF(W18:W37, "V")) + COUNTIF(W18:W37, "✗") + COUNTIF(W18:W37, "x") + COUNTIF(W18:W37, "X")), "")</f>
        <v/>
      </c>
      <c r="X38" s="33">
        <f>IF(((COUNTIF(X18:X37, "✓") + COUNTIF(X18:X37, "✔") + COUNTIF(X18:X37, "v") + COUNTIF(X18:X37, "V")) + COUNTIF(X18:X37, "✗") + COUNTIF(X18:X37, "x") + COUNTIF(X18:X37, "X")) &gt; 0, (COUNTIF(X18:X37, "✓") + COUNTIF(X18:X37, "✔") + COUNTIF(X18:X37, "v") + COUNTIF(X18:X37, "V")) &amp; "/" &amp; ((COUNTIF(X18:X37, "✓") + COUNTIF(X18:X37, "✔") + COUNTIF(X18:X37, "v") + COUNTIF(X18:X37, "V")) + COUNTIF(X18:X37, "✗") + COUNTIF(X18:X37, "x") + COUNTIF(X18:X37, "X")), "")</f>
        <v/>
      </c>
      <c r="Y38" s="33">
        <f>IF(((COUNTIF(Y18:Y37, "✓") + COUNTIF(Y18:Y37, "✔") + COUNTIF(Y18:Y37, "v") + COUNTIF(Y18:Y37, "V")) + COUNTIF(Y18:Y37, "✗") + COUNTIF(Y18:Y37, "x") + COUNTIF(Y18:Y37, "X")) &gt; 0, (COUNTIF(Y18:Y37, "✓") + COUNTIF(Y18:Y37, "✔") + COUNTIF(Y18:Y37, "v") + COUNTIF(Y18:Y37, "V")) &amp; "/" &amp; ((COUNTIF(Y18:Y37, "✓") + COUNTIF(Y18:Y37, "✔") + COUNTIF(Y18:Y37, "v") + COUNTIF(Y18:Y37, "V")) + COUNTIF(Y18:Y37, "✗") + COUNTIF(Y18:Y37, "x") + COUNTIF(Y18:Y37, "X")), "")</f>
        <v/>
      </c>
      <c r="Z38" s="33">
        <f>IF(((COUNTIF(Z18:Z37, "✓") + COUNTIF(Z18:Z37, "✔") + COUNTIF(Z18:Z37, "v") + COUNTIF(Z18:Z37, "V")) + COUNTIF(Z18:Z37, "✗") + COUNTIF(Z18:Z37, "x") + COUNTIF(Z18:Z37, "X")) &gt; 0, (COUNTIF(Z18:Z37, "✓") + COUNTIF(Z18:Z37, "✔") + COUNTIF(Z18:Z37, "v") + COUNTIF(Z18:Z37, "V")) &amp; "/" &amp; ((COUNTIF(Z18:Z37, "✓") + COUNTIF(Z18:Z37, "✔") + COUNTIF(Z18:Z37, "v") + COUNTIF(Z18:Z37, "V")) + COUNTIF(Z18:Z37, "✗") + COUNTIF(Z18:Z37, "x") + COUNTIF(Z18:Z37, "X")), "")</f>
        <v/>
      </c>
      <c r="AA38" s="33">
        <f>IF(((COUNTIF(AA18:AA37, "✓") + COUNTIF(AA18:AA37, "✔") + COUNTIF(AA18:AA37, "v") + COUNTIF(AA18:AA37, "V")) + COUNTIF(AA18:AA37, "✗") + COUNTIF(AA18:AA37, "x") + COUNTIF(AA18:AA37, "X")) &gt; 0, (COUNTIF(AA18:AA37, "✓") + COUNTIF(AA18:AA37, "✔") + COUNTIF(AA18:AA37, "v") + COUNTIF(AA18:AA37, "V")) &amp; "/" &amp; ((COUNTIF(AA18:AA37, "✓") + COUNTIF(AA18:AA37, "✔") + COUNTIF(AA18:AA37, "v") + COUNTIF(AA18:AA37, "V")) + COUNTIF(AA18:AA37, "✗") + COUNTIF(AA18:AA37, "x") + COUNTIF(AA18:AA37, "X")), "")</f>
        <v/>
      </c>
      <c r="AB38" s="33">
        <f>IF(((COUNTIF(AB18:AB37, "✓") + COUNTIF(AB18:AB37, "✔") + COUNTIF(AB18:AB37, "v") + COUNTIF(AB18:AB37, "V")) + COUNTIF(AB18:AB37, "✗") + COUNTIF(AB18:AB37, "x") + COUNTIF(AB18:AB37, "X")) &gt; 0, (COUNTIF(AB18:AB37, "✓") + COUNTIF(AB18:AB37, "✔") + COUNTIF(AB18:AB37, "v") + COUNTIF(AB18:AB37, "V")) &amp; "/" &amp; ((COUNTIF(AB18:AB37, "✓") + COUNTIF(AB18:AB37, "✔") + COUNTIF(AB18:AB37, "v") + COUNTIF(AB18:AB37, "V")) + COUNTIF(AB18:AB37, "✗") + COUNTIF(AB18:AB37, "x") + COUNTIF(AB18:AB37, "X")), "")</f>
        <v/>
      </c>
      <c r="AC38" s="33">
        <f>IF(((COUNTIF(AC18:AC37, "✓") + COUNTIF(AC18:AC37, "✔") + COUNTIF(AC18:AC37, "v") + COUNTIF(AC18:AC37, "V")) + COUNTIF(AC18:AC37, "✗") + COUNTIF(AC18:AC37, "x") + COUNTIF(AC18:AC37, "X")) &gt; 0, (COUNTIF(AC18:AC37, "✓") + COUNTIF(AC18:AC37, "✔") + COUNTIF(AC18:AC37, "v") + COUNTIF(AC18:AC37, "V")) &amp; "/" &amp; ((COUNTIF(AC18:AC37, "✓") + COUNTIF(AC18:AC37, "✔") + COUNTIF(AC18:AC37, "v") + COUNTIF(AC18:AC37, "V")) + COUNTIF(AC18:AC37, "✗") + COUNTIF(AC18:AC37, "x") + COUNTIF(AC18:AC37, "X")), "")</f>
        <v/>
      </c>
      <c r="AD38" s="33">
        <f>IF(((COUNTIF(AD18:AD37, "✓") + COUNTIF(AD18:AD37, "✔") + COUNTIF(AD18:AD37, "v") + COUNTIF(AD18:AD37, "V")) + COUNTIF(AD18:AD37, "✗") + COUNTIF(AD18:AD37, "x") + COUNTIF(AD18:AD37, "X")) &gt; 0, (COUNTIF(AD18:AD37, "✓") + COUNTIF(AD18:AD37, "✔") + COUNTIF(AD18:AD37, "v") + COUNTIF(AD18:AD37, "V")) &amp; "/" &amp; ((COUNTIF(AD18:AD37, "✓") + COUNTIF(AD18:AD37, "✔") + COUNTIF(AD18:AD37, "v") + COUNTIF(AD18:AD37, "V")) + COUNTIF(AD18:AD37, "✗") + COUNTIF(AD18:AD37, "x") + COUNTIF(AD18:AD37, "X")), "")</f>
        <v/>
      </c>
      <c r="AE38" s="33">
        <f>IF(((COUNTIF(AE18:AE37, "✓") + COUNTIF(AE18:AE37, "✔") + COUNTIF(AE18:AE37, "v") + COUNTIF(AE18:AE37, "V")) + COUNTIF(AE18:AE37, "✗") + COUNTIF(AE18:AE37, "x") + COUNTIF(AE18:AE37, "X")) &gt; 0, (COUNTIF(AE18:AE37, "✓") + COUNTIF(AE18:AE37, "✔") + COUNTIF(AE18:AE37, "v") + COUNTIF(AE18:AE37, "V")) &amp; "/" &amp; ((COUNTIF(AE18:AE37, "✓") + COUNTIF(AE18:AE37, "✔") + COUNTIF(AE18:AE37, "v") + COUNTIF(AE18:AE37, "V")) + COUNTIF(AE18:AE37, "✗") + COUNTIF(AE18:AE37, "x") + COUNTIF(AE18:AE37, "X")), "")</f>
        <v/>
      </c>
      <c r="AF38" s="33">
        <f>IF(((COUNTIF(AF18:AF37, "✓") + COUNTIF(AF18:AF37, "✔") + COUNTIF(AF18:AF37, "v") + COUNTIF(AF18:AF37, "V")) + COUNTIF(AF18:AF37, "✗") + COUNTIF(AF18:AF37, "x") + COUNTIF(AF18:AF37, "X")) &gt; 0, (COUNTIF(AF18:AF37, "✓") + COUNTIF(AF18:AF37, "✔") + COUNTIF(AF18:AF37, "v") + COUNTIF(AF18:AF37, "V")) &amp; "/" &amp; ((COUNTIF(AF18:AF37, "✓") + COUNTIF(AF18:AF37, "✔") + COUNTIF(AF18:AF37, "v") + COUNTIF(AF18:AF37, "V")) + COUNTIF(AF18:AF37, "✗") + COUNTIF(AF18:AF37, "x") + COUNTIF(AF18:AF37, "X")), "")</f>
        <v/>
      </c>
      <c r="AG38" s="33">
        <f>IF(((COUNTIF(AG18:AG37, "✓") + COUNTIF(AG18:AG37, "✔") + COUNTIF(AG18:AG37, "v") + COUNTIF(AG18:AG37, "V")) + COUNTIF(AG18:AG37, "✗") + COUNTIF(AG18:AG37, "x") + COUNTIF(AG18:AG37, "X")) &gt; 0, (COUNTIF(AG18:AG37, "✓") + COUNTIF(AG18:AG37, "✔") + COUNTIF(AG18:AG37, "v") + COUNTIF(AG18:AG37, "V")) &amp; "/" &amp; ((COUNTIF(AG18:AG37, "✓") + COUNTIF(AG18:AG37, "✔") + COUNTIF(AG18:AG37, "v") + COUNTIF(AG18:AG37, "V")) + COUNTIF(AG18:AG37, "✗") + COUNTIF(AG18:AG37, "x") + COUNTIF(AG18:AG37, "X")), "")</f>
        <v/>
      </c>
      <c r="AH38" s="33">
        <f>IF(((COUNTIF(AH18:AH37, "✓") + COUNTIF(AH18:AH37, "✔") + COUNTIF(AH18:AH37, "v") + COUNTIF(AH18:AH37, "V")) + COUNTIF(AH18:AH37, "✗") + COUNTIF(AH18:AH37, "x") + COUNTIF(AH18:AH37, "X")) &gt; 0, (COUNTIF(AH18:AH37, "✓") + COUNTIF(AH18:AH37, "✔") + COUNTIF(AH18:AH37, "v") + COUNTIF(AH18:AH37, "V")) &amp; "/" &amp; ((COUNTIF(AH18:AH37, "✓") + COUNTIF(AH18:AH37, "✔") + COUNTIF(AH18:AH37, "v") + COUNTIF(AH18:AH37, "V")) + COUNTIF(AH18:AH37, "✗") + COUNTIF(AH18:AH37, "x") + COUNTIF(AH18:AH37, "X")), "")</f>
        <v/>
      </c>
      <c r="AI38" s="33">
        <f>IF(((COUNTIF(AI18:AI37, "✓") + COUNTIF(AI18:AI37, "✔") + COUNTIF(AI18:AI37, "v") + COUNTIF(AI18:AI37, "V")) + COUNTIF(AI18:AI37, "✗") + COUNTIF(AI18:AI37, "x") + COUNTIF(AI18:AI37, "X")) &gt; 0, (COUNTIF(AI18:AI37, "✓") + COUNTIF(AI18:AI37, "✔") + COUNTIF(AI18:AI37, "v") + COUNTIF(AI18:AI37, "V")) &amp; "/" &amp; ((COUNTIF(AI18:AI37, "✓") + COUNTIF(AI18:AI37, "✔") + COUNTIF(AI18:AI37, "v") + COUNTIF(AI18:AI37, "V")) + COUNTIF(AI18:AI37, "✗") + COUNTIF(AI18:AI37, "x") + COUNTIF(AI18:AI37, "X")), "")</f>
        <v/>
      </c>
      <c r="AJ38" s="133">
        <f>IF(SUM(D18:D37) &gt; 0, SUM(AM18:AM37) / SUM(D18:D37), "")</f>
        <v/>
      </c>
      <c r="AK38" s="33">
        <f>IF(SUM(D18:D37) &gt; 0, SUM(AM18:AM37) &amp; "/" &amp; SUM(D18:D37), "")</f>
        <v/>
      </c>
      <c r="AL38" s="54" t="n"/>
    </row>
    <row r="39" ht="18" customHeight="1">
      <c r="A39" s="132" t="inlineStr">
        <is>
          <t>DAILY SUCCESS %</t>
        </is>
      </c>
      <c r="B39" s="54" t="n"/>
      <c r="C39" s="54" t="n"/>
      <c r="D39" s="54" t="n"/>
      <c r="E39" s="134">
        <f>IF(((COUNTIF(E18:E37, "✓") + COUNTIF(E18:E37, "✔") + COUNTIF(E18:E37, "v") + COUNTIF(E18:E37, "V")) + COUNTIF(E18:E37, "✗") + COUNTIF(E18:E37, "x") + COUNTIF(E18:E37, "X")) &gt; 0, (COUNTIF(E18:E37, "✓") + COUNTIF(E18:E37, "✔") + COUNTIF(E18:E37, "v") + COUNTIF(E18:E37, "V")) / ((COUNTIF(E18:E37, "✓") + COUNTIF(E18:E37, "✔") + COUNTIF(E18:E37, "v") + COUNTIF(E18:E37, "V")) + COUNTIF(E18:E37, "✗") + COUNTIF(E18:E37, "x") + COUNTIF(E18:E37, "X")), "")</f>
        <v/>
      </c>
      <c r="F39" s="134">
        <f>IF(((COUNTIF(F18:F37, "✓") + COUNTIF(F18:F37, "✔") + COUNTIF(F18:F37, "v") + COUNTIF(F18:F37, "V")) + COUNTIF(F18:F37, "✗") + COUNTIF(F18:F37, "x") + COUNTIF(F18:F37, "X")) &gt; 0, (COUNTIF(F18:F37, "✓") + COUNTIF(F18:F37, "✔") + COUNTIF(F18:F37, "v") + COUNTIF(F18:F37, "V")) / ((COUNTIF(F18:F37, "✓") + COUNTIF(F18:F37, "✔") + COUNTIF(F18:F37, "v") + COUNTIF(F18:F37, "V")) + COUNTIF(F18:F37, "✗") + COUNTIF(F18:F37, "x") + COUNTIF(F18:F37, "X")), "")</f>
        <v/>
      </c>
      <c r="G39" s="134">
        <f>IF(((COUNTIF(G18:G37, "✓") + COUNTIF(G18:G37, "✔") + COUNTIF(G18:G37, "v") + COUNTIF(G18:G37, "V")) + COUNTIF(G18:G37, "✗") + COUNTIF(G18:G37, "x") + COUNTIF(G18:G37, "X")) &gt; 0, (COUNTIF(G18:G37, "✓") + COUNTIF(G18:G37, "✔") + COUNTIF(G18:G37, "v") + COUNTIF(G18:G37, "V")) / ((COUNTIF(G18:G37, "✓") + COUNTIF(G18:G37, "✔") + COUNTIF(G18:G37, "v") + COUNTIF(G18:G37, "V")) + COUNTIF(G18:G37, "✗") + COUNTIF(G18:G37, "x") + COUNTIF(G18:G37, "X")), "")</f>
        <v/>
      </c>
      <c r="H39" s="134">
        <f>IF(((COUNTIF(H18:H37, "✓") + COUNTIF(H18:H37, "✔") + COUNTIF(H18:H37, "v") + COUNTIF(H18:H37, "V")) + COUNTIF(H18:H37, "✗") + COUNTIF(H18:H37, "x") + COUNTIF(H18:H37, "X")) &gt; 0, (COUNTIF(H18:H37, "✓") + COUNTIF(H18:H37, "✔") + COUNTIF(H18:H37, "v") + COUNTIF(H18:H37, "V")) / ((COUNTIF(H18:H37, "✓") + COUNTIF(H18:H37, "✔") + COUNTIF(H18:H37, "v") + COUNTIF(H18:H37, "V")) + COUNTIF(H18:H37, "✗") + COUNTIF(H18:H37, "x") + COUNTIF(H18:H37, "X")), "")</f>
        <v/>
      </c>
      <c r="I39" s="134">
        <f>IF(((COUNTIF(I18:I37, "✓") + COUNTIF(I18:I37, "✔") + COUNTIF(I18:I37, "v") + COUNTIF(I18:I37, "V")) + COUNTIF(I18:I37, "✗") + COUNTIF(I18:I37, "x") + COUNTIF(I18:I37, "X")) &gt; 0, (COUNTIF(I18:I37, "✓") + COUNTIF(I18:I37, "✔") + COUNTIF(I18:I37, "v") + COUNTIF(I18:I37, "V")) / ((COUNTIF(I18:I37, "✓") + COUNTIF(I18:I37, "✔") + COUNTIF(I18:I37, "v") + COUNTIF(I18:I37, "V")) + COUNTIF(I18:I37, "✗") + COUNTIF(I18:I37, "x") + COUNTIF(I18:I37, "X")), "")</f>
        <v/>
      </c>
      <c r="J39" s="134">
        <f>IF(((COUNTIF(J18:J37, "✓") + COUNTIF(J18:J37, "✔") + COUNTIF(J18:J37, "v") + COUNTIF(J18:J37, "V")) + COUNTIF(J18:J37, "✗") + COUNTIF(J18:J37, "x") + COUNTIF(J18:J37, "X")) &gt; 0, (COUNTIF(J18:J37, "✓") + COUNTIF(J18:J37, "✔") + COUNTIF(J18:J37, "v") + COUNTIF(J18:J37, "V")) / ((COUNTIF(J18:J37, "✓") + COUNTIF(J18:J37, "✔") + COUNTIF(J18:J37, "v") + COUNTIF(J18:J37, "V")) + COUNTIF(J18:J37, "✗") + COUNTIF(J18:J37, "x") + COUNTIF(J18:J37, "X")), "")</f>
        <v/>
      </c>
      <c r="K39" s="134">
        <f>IF(((COUNTIF(K18:K37, "✓") + COUNTIF(K18:K37, "✔") + COUNTIF(K18:K37, "v") + COUNTIF(K18:K37, "V")) + COUNTIF(K18:K37, "✗") + COUNTIF(K18:K37, "x") + COUNTIF(K18:K37, "X")) &gt; 0, (COUNTIF(K18:K37, "✓") + COUNTIF(K18:K37, "✔") + COUNTIF(K18:K37, "v") + COUNTIF(K18:K37, "V")) / ((COUNTIF(K18:K37, "✓") + COUNTIF(K18:K37, "✔") + COUNTIF(K18:K37, "v") + COUNTIF(K18:K37, "V")) + COUNTIF(K18:K37, "✗") + COUNTIF(K18:K37, "x") + COUNTIF(K18:K37, "X")), "")</f>
        <v/>
      </c>
      <c r="L39" s="134">
        <f>IF(((COUNTIF(L18:L37, "✓") + COUNTIF(L18:L37, "✔") + COUNTIF(L18:L37, "v") + COUNTIF(L18:L37, "V")) + COUNTIF(L18:L37, "✗") + COUNTIF(L18:L37, "x") + COUNTIF(L18:L37, "X")) &gt; 0, (COUNTIF(L18:L37, "✓") + COUNTIF(L18:L37, "✔") + COUNTIF(L18:L37, "v") + COUNTIF(L18:L37, "V")) / ((COUNTIF(L18:L37, "✓") + COUNTIF(L18:L37, "✔") + COUNTIF(L18:L37, "v") + COUNTIF(L18:L37, "V")) + COUNTIF(L18:L37, "✗") + COUNTIF(L18:L37, "x") + COUNTIF(L18:L37, "X")), "")</f>
        <v/>
      </c>
      <c r="M39" s="134">
        <f>IF(((COUNTIF(M18:M37, "✓") + COUNTIF(M18:M37, "✔") + COUNTIF(M18:M37, "v") + COUNTIF(M18:M37, "V")) + COUNTIF(M18:M37, "✗") + COUNTIF(M18:M37, "x") + COUNTIF(M18:M37, "X")) &gt; 0, (COUNTIF(M18:M37, "✓") + COUNTIF(M18:M37, "✔") + COUNTIF(M18:M37, "v") + COUNTIF(M18:M37, "V")) / ((COUNTIF(M18:M37, "✓") + COUNTIF(M18:M37, "✔") + COUNTIF(M18:M37, "v") + COUNTIF(M18:M37, "V")) + COUNTIF(M18:M37, "✗") + COUNTIF(M18:M37, "x") + COUNTIF(M18:M37, "X")), "")</f>
        <v/>
      </c>
      <c r="N39" s="134">
        <f>IF(((COUNTIF(N18:N37, "✓") + COUNTIF(N18:N37, "✔") + COUNTIF(N18:N37, "v") + COUNTIF(N18:N37, "V")) + COUNTIF(N18:N37, "✗") + COUNTIF(N18:N37, "x") + COUNTIF(N18:N37, "X")) &gt; 0, (COUNTIF(N18:N37, "✓") + COUNTIF(N18:N37, "✔") + COUNTIF(N18:N37, "v") + COUNTIF(N18:N37, "V")) / ((COUNTIF(N18:N37, "✓") + COUNTIF(N18:N37, "✔") + COUNTIF(N18:N37, "v") + COUNTIF(N18:N37, "V")) + COUNTIF(N18:N37, "✗") + COUNTIF(N18:N37, "x") + COUNTIF(N18:N37, "X")), "")</f>
        <v/>
      </c>
      <c r="O39" s="134">
        <f>IF(((COUNTIF(O18:O37, "✓") + COUNTIF(O18:O37, "✔") + COUNTIF(O18:O37, "v") + COUNTIF(O18:O37, "V")) + COUNTIF(O18:O37, "✗") + COUNTIF(O18:O37, "x") + COUNTIF(O18:O37, "X")) &gt; 0, (COUNTIF(O18:O37, "✓") + COUNTIF(O18:O37, "✔") + COUNTIF(O18:O37, "v") + COUNTIF(O18:O37, "V")) / ((COUNTIF(O18:O37, "✓") + COUNTIF(O18:O37, "✔") + COUNTIF(O18:O37, "v") + COUNTIF(O18:O37, "V")) + COUNTIF(O18:O37, "✗") + COUNTIF(O18:O37, "x") + COUNTIF(O18:O37, "X")), "")</f>
        <v/>
      </c>
      <c r="P39" s="134">
        <f>IF(((COUNTIF(P18:P37, "✓") + COUNTIF(P18:P37, "✔") + COUNTIF(P18:P37, "v") + COUNTIF(P18:P37, "V")) + COUNTIF(P18:P37, "✗") + COUNTIF(P18:P37, "x") + COUNTIF(P18:P37, "X")) &gt; 0, (COUNTIF(P18:P37, "✓") + COUNTIF(P18:P37, "✔") + COUNTIF(P18:P37, "v") + COUNTIF(P18:P37, "V")) / ((COUNTIF(P18:P37, "✓") + COUNTIF(P18:P37, "✔") + COUNTIF(P18:P37, "v") + COUNTIF(P18:P37, "V")) + COUNTIF(P18:P37, "✗") + COUNTIF(P18:P37, "x") + COUNTIF(P18:P37, "X")), "")</f>
        <v/>
      </c>
      <c r="Q39" s="134">
        <f>IF(((COUNTIF(Q18:Q37, "✓") + COUNTIF(Q18:Q37, "✔") + COUNTIF(Q18:Q37, "v") + COUNTIF(Q18:Q37, "V")) + COUNTIF(Q18:Q37, "✗") + COUNTIF(Q18:Q37, "x") + COUNTIF(Q18:Q37, "X")) &gt; 0, (COUNTIF(Q18:Q37, "✓") + COUNTIF(Q18:Q37, "✔") + COUNTIF(Q18:Q37, "v") + COUNTIF(Q18:Q37, "V")) / ((COUNTIF(Q18:Q37, "✓") + COUNTIF(Q18:Q37, "✔") + COUNTIF(Q18:Q37, "v") + COUNTIF(Q18:Q37, "V")) + COUNTIF(Q18:Q37, "✗") + COUNTIF(Q18:Q37, "x") + COUNTIF(Q18:Q37, "X")), "")</f>
        <v/>
      </c>
      <c r="R39" s="134">
        <f>IF(((COUNTIF(R18:R37, "✓") + COUNTIF(R18:R37, "✔") + COUNTIF(R18:R37, "v") + COUNTIF(R18:R37, "V")) + COUNTIF(R18:R37, "✗") + COUNTIF(R18:R37, "x") + COUNTIF(R18:R37, "X")) &gt; 0, (COUNTIF(R18:R37, "✓") + COUNTIF(R18:R37, "✔") + COUNTIF(R18:R37, "v") + COUNTIF(R18:R37, "V")) / ((COUNTIF(R18:R37, "✓") + COUNTIF(R18:R37, "✔") + COUNTIF(R18:R37, "v") + COUNTIF(R18:R37, "V")) + COUNTIF(R18:R37, "✗") + COUNTIF(R18:R37, "x") + COUNTIF(R18:R37, "X")), "")</f>
        <v/>
      </c>
      <c r="S39" s="134">
        <f>IF(((COUNTIF(S18:S37, "✓") + COUNTIF(S18:S37, "✔") + COUNTIF(S18:S37, "v") + COUNTIF(S18:S37, "V")) + COUNTIF(S18:S37, "✗") + COUNTIF(S18:S37, "x") + COUNTIF(S18:S37, "X")) &gt; 0, (COUNTIF(S18:S37, "✓") + COUNTIF(S18:S37, "✔") + COUNTIF(S18:S37, "v") + COUNTIF(S18:S37, "V")) / ((COUNTIF(S18:S37, "✓") + COUNTIF(S18:S37, "✔") + COUNTIF(S18:S37, "v") + COUNTIF(S18:S37, "V")) + COUNTIF(S18:S37, "✗") + COUNTIF(S18:S37, "x") + COUNTIF(S18:S37, "X")), "")</f>
        <v/>
      </c>
      <c r="T39" s="134">
        <f>IF(((COUNTIF(T18:T37, "✓") + COUNTIF(T18:T37, "✔") + COUNTIF(T18:T37, "v") + COUNTIF(T18:T37, "V")) + COUNTIF(T18:T37, "✗") + COUNTIF(T18:T37, "x") + COUNTIF(T18:T37, "X")) &gt; 0, (COUNTIF(T18:T37, "✓") + COUNTIF(T18:T37, "✔") + COUNTIF(T18:T37, "v") + COUNTIF(T18:T37, "V")) / ((COUNTIF(T18:T37, "✓") + COUNTIF(T18:T37, "✔") + COUNTIF(T18:T37, "v") + COUNTIF(T18:T37, "V")) + COUNTIF(T18:T37, "✗") + COUNTIF(T18:T37, "x") + COUNTIF(T18:T37, "X")), "")</f>
        <v/>
      </c>
      <c r="U39" s="134">
        <f>IF(((COUNTIF(U18:U37, "✓") + COUNTIF(U18:U37, "✔") + COUNTIF(U18:U37, "v") + COUNTIF(U18:U37, "V")) + COUNTIF(U18:U37, "✗") + COUNTIF(U18:U37, "x") + COUNTIF(U18:U37, "X")) &gt; 0, (COUNTIF(U18:U37, "✓") + COUNTIF(U18:U37, "✔") + COUNTIF(U18:U37, "v") + COUNTIF(U18:U37, "V")) / ((COUNTIF(U18:U37, "✓") + COUNTIF(U18:U37, "✔") + COUNTIF(U18:U37, "v") + COUNTIF(U18:U37, "V")) + COUNTIF(U18:U37, "✗") + COUNTIF(U18:U37, "x") + COUNTIF(U18:U37, "X")), "")</f>
        <v/>
      </c>
      <c r="V39" s="134">
        <f>IF(((COUNTIF(V18:V37, "✓") + COUNTIF(V18:V37, "✔") + COUNTIF(V18:V37, "v") + COUNTIF(V18:V37, "V")) + COUNTIF(V18:V37, "✗") + COUNTIF(V18:V37, "x") + COUNTIF(V18:V37, "X")) &gt; 0, (COUNTIF(V18:V37, "✓") + COUNTIF(V18:V37, "✔") + COUNTIF(V18:V37, "v") + COUNTIF(V18:V37, "V")) / ((COUNTIF(V18:V37, "✓") + COUNTIF(V18:V37, "✔") + COUNTIF(V18:V37, "v") + COUNTIF(V18:V37, "V")) + COUNTIF(V18:V37, "✗") + COUNTIF(V18:V37, "x") + COUNTIF(V18:V37, "X")), "")</f>
        <v/>
      </c>
      <c r="W39" s="134">
        <f>IF(((COUNTIF(W18:W37, "✓") + COUNTIF(W18:W37, "✔") + COUNTIF(W18:W37, "v") + COUNTIF(W18:W37, "V")) + COUNTIF(W18:W37, "✗") + COUNTIF(W18:W37, "x") + COUNTIF(W18:W37, "X")) &gt; 0, (COUNTIF(W18:W37, "✓") + COUNTIF(W18:W37, "✔") + COUNTIF(W18:W37, "v") + COUNTIF(W18:W37, "V")) / ((COUNTIF(W18:W37, "✓") + COUNTIF(W18:W37, "✔") + COUNTIF(W18:W37, "v") + COUNTIF(W18:W37, "V")) + COUNTIF(W18:W37, "✗") + COUNTIF(W18:W37, "x") + COUNTIF(W18:W37, "X")), "")</f>
        <v/>
      </c>
      <c r="X39" s="134">
        <f>IF(((COUNTIF(X18:X37, "✓") + COUNTIF(X18:X37, "✔") + COUNTIF(X18:X37, "v") + COUNTIF(X18:X37, "V")) + COUNTIF(X18:X37, "✗") + COUNTIF(X18:X37, "x") + COUNTIF(X18:X37, "X")) &gt; 0, (COUNTIF(X18:X37, "✓") + COUNTIF(X18:X37, "✔") + COUNTIF(X18:X37, "v") + COUNTIF(X18:X37, "V")) / ((COUNTIF(X18:X37, "✓") + COUNTIF(X18:X37, "✔") + COUNTIF(X18:X37, "v") + COUNTIF(X18:X37, "V")) + COUNTIF(X18:X37, "✗") + COUNTIF(X18:X37, "x") + COUNTIF(X18:X37, "X")), "")</f>
        <v/>
      </c>
      <c r="Y39" s="134">
        <f>IF(((COUNTIF(Y18:Y37, "✓") + COUNTIF(Y18:Y37, "✔") + COUNTIF(Y18:Y37, "v") + COUNTIF(Y18:Y37, "V")) + COUNTIF(Y18:Y37, "✗") + COUNTIF(Y18:Y37, "x") + COUNTIF(Y18:Y37, "X")) &gt; 0, (COUNTIF(Y18:Y37, "✓") + COUNTIF(Y18:Y37, "✔") + COUNTIF(Y18:Y37, "v") + COUNTIF(Y18:Y37, "V")) / ((COUNTIF(Y18:Y37, "✓") + COUNTIF(Y18:Y37, "✔") + COUNTIF(Y18:Y37, "v") + COUNTIF(Y18:Y37, "V")) + COUNTIF(Y18:Y37, "✗") + COUNTIF(Y18:Y37, "x") + COUNTIF(Y18:Y37, "X")), "")</f>
        <v/>
      </c>
      <c r="Z39" s="134">
        <f>IF(((COUNTIF(Z18:Z37, "✓") + COUNTIF(Z18:Z37, "✔") + COUNTIF(Z18:Z37, "v") + COUNTIF(Z18:Z37, "V")) + COUNTIF(Z18:Z37, "✗") + COUNTIF(Z18:Z37, "x") + COUNTIF(Z18:Z37, "X")) &gt; 0, (COUNTIF(Z18:Z37, "✓") + COUNTIF(Z18:Z37, "✔") + COUNTIF(Z18:Z37, "v") + COUNTIF(Z18:Z37, "V")) / ((COUNTIF(Z18:Z37, "✓") + COUNTIF(Z18:Z37, "✔") + COUNTIF(Z18:Z37, "v") + COUNTIF(Z18:Z37, "V")) + COUNTIF(Z18:Z37, "✗") + COUNTIF(Z18:Z37, "x") + COUNTIF(Z18:Z37, "X")), "")</f>
        <v/>
      </c>
      <c r="AA39" s="134">
        <f>IF(((COUNTIF(AA18:AA37, "✓") + COUNTIF(AA18:AA37, "✔") + COUNTIF(AA18:AA37, "v") + COUNTIF(AA18:AA37, "V")) + COUNTIF(AA18:AA37, "✗") + COUNTIF(AA18:AA37, "x") + COUNTIF(AA18:AA37, "X")) &gt; 0, (COUNTIF(AA18:AA37, "✓") + COUNTIF(AA18:AA37, "✔") + COUNTIF(AA18:AA37, "v") + COUNTIF(AA18:AA37, "V")) / ((COUNTIF(AA18:AA37, "✓") + COUNTIF(AA18:AA37, "✔") + COUNTIF(AA18:AA37, "v") + COUNTIF(AA18:AA37, "V")) + COUNTIF(AA18:AA37, "✗") + COUNTIF(AA18:AA37, "x") + COUNTIF(AA18:AA37, "X")), "")</f>
        <v/>
      </c>
      <c r="AB39" s="134">
        <f>IF(((COUNTIF(AB18:AB37, "✓") + COUNTIF(AB18:AB37, "✔") + COUNTIF(AB18:AB37, "v") + COUNTIF(AB18:AB37, "V")) + COUNTIF(AB18:AB37, "✗") + COUNTIF(AB18:AB37, "x") + COUNTIF(AB18:AB37, "X")) &gt; 0, (COUNTIF(AB18:AB37, "✓") + COUNTIF(AB18:AB37, "✔") + COUNTIF(AB18:AB37, "v") + COUNTIF(AB18:AB37, "V")) / ((COUNTIF(AB18:AB37, "✓") + COUNTIF(AB18:AB37, "✔") + COUNTIF(AB18:AB37, "v") + COUNTIF(AB18:AB37, "V")) + COUNTIF(AB18:AB37, "✗") + COUNTIF(AB18:AB37, "x") + COUNTIF(AB18:AB37, "X")), "")</f>
        <v/>
      </c>
      <c r="AC39" s="134">
        <f>IF(((COUNTIF(AC18:AC37, "✓") + COUNTIF(AC18:AC37, "✔") + COUNTIF(AC18:AC37, "v") + COUNTIF(AC18:AC37, "V")) + COUNTIF(AC18:AC37, "✗") + COUNTIF(AC18:AC37, "x") + COUNTIF(AC18:AC37, "X")) &gt; 0, (COUNTIF(AC18:AC37, "✓") + COUNTIF(AC18:AC37, "✔") + COUNTIF(AC18:AC37, "v") + COUNTIF(AC18:AC37, "V")) / ((COUNTIF(AC18:AC37, "✓") + COUNTIF(AC18:AC37, "✔") + COUNTIF(AC18:AC37, "v") + COUNTIF(AC18:AC37, "V")) + COUNTIF(AC18:AC37, "✗") + COUNTIF(AC18:AC37, "x") + COUNTIF(AC18:AC37, "X")), "")</f>
        <v/>
      </c>
      <c r="AD39" s="134">
        <f>IF(((COUNTIF(AD18:AD37, "✓") + COUNTIF(AD18:AD37, "✔") + COUNTIF(AD18:AD37, "v") + COUNTIF(AD18:AD37, "V")) + COUNTIF(AD18:AD37, "✗") + COUNTIF(AD18:AD37, "x") + COUNTIF(AD18:AD37, "X")) &gt; 0, (COUNTIF(AD18:AD37, "✓") + COUNTIF(AD18:AD37, "✔") + COUNTIF(AD18:AD37, "v") + COUNTIF(AD18:AD37, "V")) / ((COUNTIF(AD18:AD37, "✓") + COUNTIF(AD18:AD37, "✔") + COUNTIF(AD18:AD37, "v") + COUNTIF(AD18:AD37, "V")) + COUNTIF(AD18:AD37, "✗") + COUNTIF(AD18:AD37, "x") + COUNTIF(AD18:AD37, "X")), "")</f>
        <v/>
      </c>
      <c r="AE39" s="134">
        <f>IF(((COUNTIF(AE18:AE37, "✓") + COUNTIF(AE18:AE37, "✔") + COUNTIF(AE18:AE37, "v") + COUNTIF(AE18:AE37, "V")) + COUNTIF(AE18:AE37, "✗") + COUNTIF(AE18:AE37, "x") + COUNTIF(AE18:AE37, "X")) &gt; 0, (COUNTIF(AE18:AE37, "✓") + COUNTIF(AE18:AE37, "✔") + COUNTIF(AE18:AE37, "v") + COUNTIF(AE18:AE37, "V")) / ((COUNTIF(AE18:AE37, "✓") + COUNTIF(AE18:AE37, "✔") + COUNTIF(AE18:AE37, "v") + COUNTIF(AE18:AE37, "V")) + COUNTIF(AE18:AE37, "✗") + COUNTIF(AE18:AE37, "x") + COUNTIF(AE18:AE37, "X")), "")</f>
        <v/>
      </c>
      <c r="AF39" s="134">
        <f>IF(((COUNTIF(AF18:AF37, "✓") + COUNTIF(AF18:AF37, "✔") + COUNTIF(AF18:AF37, "v") + COUNTIF(AF18:AF37, "V")) + COUNTIF(AF18:AF37, "✗") + COUNTIF(AF18:AF37, "x") + COUNTIF(AF18:AF37, "X")) &gt; 0, (COUNTIF(AF18:AF37, "✓") + COUNTIF(AF18:AF37, "✔") + COUNTIF(AF18:AF37, "v") + COUNTIF(AF18:AF37, "V")) / ((COUNTIF(AF18:AF37, "✓") + COUNTIF(AF18:AF37, "✔") + COUNTIF(AF18:AF37, "v") + COUNTIF(AF18:AF37, "V")) + COUNTIF(AF18:AF37, "✗") + COUNTIF(AF18:AF37, "x") + COUNTIF(AF18:AF37, "X")), "")</f>
        <v/>
      </c>
      <c r="AG39" s="134">
        <f>IF(((COUNTIF(AG18:AG37, "✓") + COUNTIF(AG18:AG37, "✔") + COUNTIF(AG18:AG37, "v") + COUNTIF(AG18:AG37, "V")) + COUNTIF(AG18:AG37, "✗") + COUNTIF(AG18:AG37, "x") + COUNTIF(AG18:AG37, "X")) &gt; 0, (COUNTIF(AG18:AG37, "✓") + COUNTIF(AG18:AG37, "✔") + COUNTIF(AG18:AG37, "v") + COUNTIF(AG18:AG37, "V")) / ((COUNTIF(AG18:AG37, "✓") + COUNTIF(AG18:AG37, "✔") + COUNTIF(AG18:AG37, "v") + COUNTIF(AG18:AG37, "V")) + COUNTIF(AG18:AG37, "✗") + COUNTIF(AG18:AG37, "x") + COUNTIF(AG18:AG37, "X")), "")</f>
        <v/>
      </c>
      <c r="AH39" s="134">
        <f>IF(((COUNTIF(AH18:AH37, "✓") + COUNTIF(AH18:AH37, "✔") + COUNTIF(AH18:AH37, "v") + COUNTIF(AH18:AH37, "V")) + COUNTIF(AH18:AH37, "✗") + COUNTIF(AH18:AH37, "x") + COUNTIF(AH18:AH37, "X")) &gt; 0, (COUNTIF(AH18:AH37, "✓") + COUNTIF(AH18:AH37, "✔") + COUNTIF(AH18:AH37, "v") + COUNTIF(AH18:AH37, "V")) / ((COUNTIF(AH18:AH37, "✓") + COUNTIF(AH18:AH37, "✔") + COUNTIF(AH18:AH37, "v") + COUNTIF(AH18:AH37, "V")) + COUNTIF(AH18:AH37, "✗") + COUNTIF(AH18:AH37, "x") + COUNTIF(AH18:AH37, "X")), "")</f>
        <v/>
      </c>
      <c r="AI39" s="134">
        <f>IF(((COUNTIF(AI18:AI37, "✓") + COUNTIF(AI18:AI37, "✔") + COUNTIF(AI18:AI37, "v") + COUNTIF(AI18:AI37, "V")) + COUNTIF(AI18:AI37, "✗") + COUNTIF(AI18:AI37, "x") + COUNTIF(AI18:AI37, "X")) &gt; 0, (COUNTIF(AI18:AI37, "✓") + COUNTIF(AI18:AI37, "✔") + COUNTIF(AI18:AI37, "v") + COUNTIF(AI18:AI37, "V")) / ((COUNTIF(AI18:AI37, "✓") + COUNTIF(AI18:AI37, "✔") + COUNTIF(AI18:AI37, "v") + COUNTIF(AI18:AI37, "V")) + COUNTIF(AI18:AI37, "✗") + COUNTIF(AI18:AI37, "x") + COUNTIF(AI18:AI37, "X")), "")</f>
        <v/>
      </c>
      <c r="AJ39" s="133">
        <f>IF(COUNT(E39:AI39) &gt; 0, AVERAGE(E39:AI39), "")</f>
        <v/>
      </c>
      <c r="AK39" s="54" t="n"/>
      <c r="AL39" s="54" t="n"/>
    </row>
    <row r="40" ht="6" customHeight="1"/>
    <row r="41" ht="15" customHeight="1">
      <c r="A41" s="135" t="inlineStr">
        <is>
          <t>IF SUCCESS &lt; 80%, PUNISHMENT: ________________________________________________</t>
        </is>
      </c>
    </row>
    <row r="42" ht="15" customHeight="1">
      <c r="A42" s="136" t="inlineStr">
        <is>
          <t>IF SUCCESS &gt; 90%, REWARD: __________________________________________________</t>
        </is>
      </c>
    </row>
    <row r="43" ht="10" customHeight="1"/>
    <row r="44" ht="10" customHeight="1"/>
    <row r="45" ht="15" customHeight="1">
      <c r="A45" s="51" t="inlineStr">
        <is>
          <t>Sleep Tracking</t>
        </is>
      </c>
      <c r="B45" s="52" t="n"/>
      <c r="C45" s="52" t="n"/>
      <c r="D45" s="52" t="n"/>
      <c r="E45" s="137" t="n">
        <v>1</v>
      </c>
      <c r="F45" s="137" t="n">
        <v>2</v>
      </c>
      <c r="G45" s="137" t="n">
        <v>3</v>
      </c>
      <c r="H45" s="137" t="n">
        <v>4</v>
      </c>
      <c r="I45" s="137" t="n">
        <v>5</v>
      </c>
      <c r="J45" s="138" t="n">
        <v>6</v>
      </c>
      <c r="K45" s="137" t="n">
        <v>7</v>
      </c>
      <c r="L45" s="137" t="n">
        <v>8</v>
      </c>
      <c r="M45" s="137" t="n">
        <v>9</v>
      </c>
      <c r="N45" s="137" t="n">
        <v>10</v>
      </c>
      <c r="O45" s="137" t="n">
        <v>11</v>
      </c>
      <c r="P45" s="137" t="n">
        <v>12</v>
      </c>
      <c r="Q45" s="138" t="n">
        <v>13</v>
      </c>
      <c r="R45" s="137" t="n">
        <v>14</v>
      </c>
      <c r="S45" s="137" t="n">
        <v>15</v>
      </c>
      <c r="T45" s="137" t="n">
        <v>16</v>
      </c>
      <c r="U45" s="137" t="n">
        <v>17</v>
      </c>
      <c r="V45" s="137" t="n">
        <v>18</v>
      </c>
      <c r="W45" s="137" t="n">
        <v>19</v>
      </c>
      <c r="X45" s="138" t="n">
        <v>20</v>
      </c>
      <c r="Y45" s="137" t="n">
        <v>21</v>
      </c>
      <c r="Z45" s="137" t="n">
        <v>22</v>
      </c>
      <c r="AA45" s="137" t="n">
        <v>23</v>
      </c>
      <c r="AB45" s="137" t="n">
        <v>24</v>
      </c>
      <c r="AC45" s="137" t="n">
        <v>25</v>
      </c>
      <c r="AD45" s="137" t="n">
        <v>26</v>
      </c>
      <c r="AE45" s="138" t="n">
        <v>27</v>
      </c>
      <c r="AF45" s="137" t="n">
        <v>28</v>
      </c>
      <c r="AG45" s="137" t="n">
        <v>29</v>
      </c>
      <c r="AH45" s="137" t="n">
        <v>30</v>
      </c>
      <c r="AI45" s="137" t="n">
        <v>31</v>
      </c>
    </row>
    <row r="46" ht="15" customHeight="1">
      <c r="A46" s="52" t="n"/>
      <c r="B46" s="52" t="n"/>
      <c r="C46" s="52" t="n"/>
      <c r="D46" s="52" t="n"/>
      <c r="E46" s="139" t="inlineStr">
        <is>
          <t>T</t>
        </is>
      </c>
      <c r="F46" s="139" t="inlineStr">
        <is>
          <t>W</t>
        </is>
      </c>
      <c r="G46" s="139" t="inlineStr">
        <is>
          <t>Th</t>
        </is>
      </c>
      <c r="H46" s="139" t="inlineStr">
        <is>
          <t>F</t>
        </is>
      </c>
      <c r="I46" s="139" t="inlineStr">
        <is>
          <t>Sa</t>
        </is>
      </c>
      <c r="J46" s="140" t="inlineStr">
        <is>
          <t>Su</t>
        </is>
      </c>
      <c r="K46" s="139" t="inlineStr">
        <is>
          <t>M</t>
        </is>
      </c>
      <c r="L46" s="139" t="inlineStr">
        <is>
          <t>T</t>
        </is>
      </c>
      <c r="M46" s="139" t="inlineStr">
        <is>
          <t>W</t>
        </is>
      </c>
      <c r="N46" s="139" t="inlineStr">
        <is>
          <t>Th</t>
        </is>
      </c>
      <c r="O46" s="139" t="inlineStr">
        <is>
          <t>F</t>
        </is>
      </c>
      <c r="P46" s="139" t="inlineStr">
        <is>
          <t>Sa</t>
        </is>
      </c>
      <c r="Q46" s="140" t="inlineStr">
        <is>
          <t>Su</t>
        </is>
      </c>
      <c r="R46" s="139" t="inlineStr">
        <is>
          <t>M</t>
        </is>
      </c>
      <c r="S46" s="139" t="inlineStr">
        <is>
          <t>T</t>
        </is>
      </c>
      <c r="T46" s="139" t="inlineStr">
        <is>
          <t>W</t>
        </is>
      </c>
      <c r="U46" s="139" t="inlineStr">
        <is>
          <t>Th</t>
        </is>
      </c>
      <c r="V46" s="139" t="inlineStr">
        <is>
          <t>F</t>
        </is>
      </c>
      <c r="W46" s="139" t="inlineStr">
        <is>
          <t>Sa</t>
        </is>
      </c>
      <c r="X46" s="140" t="inlineStr">
        <is>
          <t>Su</t>
        </is>
      </c>
      <c r="Y46" s="139" t="inlineStr">
        <is>
          <t>M</t>
        </is>
      </c>
      <c r="Z46" s="139" t="inlineStr">
        <is>
          <t>T</t>
        </is>
      </c>
      <c r="AA46" s="139" t="inlineStr">
        <is>
          <t>W</t>
        </is>
      </c>
      <c r="AB46" s="139" t="inlineStr">
        <is>
          <t>Th</t>
        </is>
      </c>
      <c r="AC46" s="139" t="inlineStr">
        <is>
          <t>F</t>
        </is>
      </c>
      <c r="AD46" s="139" t="inlineStr">
        <is>
          <t>Sa</t>
        </is>
      </c>
      <c r="AE46" s="140" t="inlineStr">
        <is>
          <t>Su</t>
        </is>
      </c>
      <c r="AF46" s="139" t="inlineStr">
        <is>
          <t>M</t>
        </is>
      </c>
      <c r="AG46" s="139" t="inlineStr">
        <is>
          <t>T</t>
        </is>
      </c>
      <c r="AH46" s="139" t="inlineStr">
        <is>
          <t>W</t>
        </is>
      </c>
      <c r="AI46" s="139" t="inlineStr">
        <is>
          <t>Th</t>
        </is>
      </c>
    </row>
    <row r="47" ht="20" customHeight="1">
      <c r="A47" s="141" t="inlineStr">
        <is>
          <t>Sleep Hours (1-24)</t>
        </is>
      </c>
      <c r="B47" s="142" t="n"/>
      <c r="C47" s="142" t="n"/>
      <c r="D47" s="142" t="n"/>
      <c r="E47" s="143" t="n"/>
      <c r="F47" s="143" t="n"/>
      <c r="G47" s="143" t="n"/>
      <c r="H47" s="143" t="n"/>
      <c r="I47" s="143" t="n"/>
      <c r="J47" s="144" t="n"/>
      <c r="K47" s="143" t="n"/>
      <c r="L47" s="143" t="n"/>
      <c r="M47" s="143" t="n"/>
      <c r="N47" s="143" t="n"/>
      <c r="O47" s="143" t="n"/>
      <c r="P47" s="143" t="n"/>
      <c r="Q47" s="144" t="n"/>
      <c r="R47" s="143" t="n"/>
      <c r="S47" s="143" t="n"/>
      <c r="T47" s="143" t="n"/>
      <c r="U47" s="143" t="n"/>
      <c r="V47" s="143" t="n"/>
      <c r="W47" s="143" t="n"/>
      <c r="X47" s="144" t="n"/>
      <c r="Y47" s="143" t="n"/>
      <c r="Z47" s="143" t="n"/>
      <c r="AA47" s="143" t="n"/>
      <c r="AB47" s="143" t="n"/>
      <c r="AC47" s="143" t="n"/>
      <c r="AD47" s="143" t="n"/>
      <c r="AE47" s="144" t="n"/>
      <c r="AF47" s="143" t="n"/>
      <c r="AG47" s="143" t="n"/>
      <c r="AH47" s="143" t="n"/>
      <c r="AI47" s="143" t="n"/>
    </row>
    <row r="48" ht="6" customHeight="1"/>
    <row r="49" ht="14" customHeight="1"/>
    <row r="50" ht="14" customHeight="1"/>
    <row r="51" ht="14" customHeight="1"/>
    <row r="52" ht="14" customHeight="1"/>
    <row r="53" ht="14" customHeight="1"/>
    <row r="54" ht="14" customHeight="1"/>
    <row r="55" ht="14" customHeight="1"/>
    <row r="56" ht="14" customHeight="1"/>
    <row r="57" ht="14" customHeight="1"/>
    <row r="58" ht="14" customHeight="1"/>
    <row r="59" ht="14" customHeight="1"/>
    <row r="60" ht="14" customHeight="1"/>
    <row r="61" ht="14" customHeight="1"/>
    <row r="62" ht="14" customHeight="1"/>
    <row r="63" ht="14" customHeight="1"/>
    <row r="64" ht="14" customHeight="1"/>
    <row r="65" ht="14" customHeight="1"/>
    <row r="66" ht="8" customHeight="1"/>
    <row r="67">
      <c r="A67" s="145" t="inlineStr">
        <is>
          <t>MONTHLY SUCCESS RATE</t>
        </is>
      </c>
      <c r="B67" s="9" t="n"/>
      <c r="C67" s="9" t="n"/>
      <c r="D67" s="9" t="n"/>
      <c r="F67" s="146" t="inlineStr">
        <is>
          <t>ACTIVE PROTOCOLS</t>
        </is>
      </c>
      <c r="G67" s="11" t="n"/>
      <c r="H67" s="11" t="n"/>
      <c r="I67" s="11" t="n"/>
      <c r="K67" s="147" t="inlineStr">
        <is>
          <t>PERFECT DAYS (100%)</t>
        </is>
      </c>
      <c r="L67" s="13" t="n"/>
      <c r="M67" s="13" t="n"/>
      <c r="N67" s="13" t="n"/>
      <c r="P67" s="148" t="inlineStr">
        <is>
          <t>AVG SLEEP DURATION</t>
        </is>
      </c>
      <c r="Q67" s="15" t="n"/>
      <c r="R67" s="15" t="n"/>
      <c r="S67" s="15" t="n"/>
    </row>
    <row r="68">
      <c r="A68" s="149">
        <f>IF(SUM(D18:D37)&gt;0, SUM(AM18:AM37)/SUM(D18:D37), 0)</f>
        <v/>
      </c>
      <c r="B68" s="9" t="n"/>
      <c r="C68" s="9" t="n"/>
      <c r="D68" s="9" t="n"/>
      <c r="F68" s="150">
        <f>COUNTA(B18:B37) &amp; " / 20"</f>
        <v/>
      </c>
      <c r="G68" s="11" t="n"/>
      <c r="H68" s="11" t="n"/>
      <c r="I68" s="11" t="n"/>
      <c r="K68" s="151">
        <f>COUNTIF(E39:AI39, 1) &amp; " Days"</f>
        <v/>
      </c>
      <c r="L68" s="13" t="n"/>
      <c r="M68" s="13" t="n"/>
      <c r="N68" s="13" t="n"/>
      <c r="P68" s="152">
        <f>IFERROR(TEXT(AVERAGE(E47:AI47), "0.0") &amp; " hrs", "-")</f>
        <v/>
      </c>
      <c r="Q68" s="15" t="n"/>
      <c r="R68" s="15" t="n"/>
      <c r="S68" s="15" t="n"/>
    </row>
    <row r="69">
      <c r="A69" s="9" t="n"/>
      <c r="B69" s="9" t="n"/>
      <c r="C69" s="9" t="n"/>
      <c r="D69" s="9" t="n"/>
      <c r="F69" s="11" t="n"/>
      <c r="G69" s="11" t="n"/>
      <c r="H69" s="11" t="n"/>
      <c r="I69" s="11" t="n"/>
      <c r="K69" s="13" t="n"/>
      <c r="L69" s="13" t="n"/>
      <c r="M69" s="13" t="n"/>
      <c r="N69" s="13" t="n"/>
      <c r="P69" s="15" t="n"/>
      <c r="Q69" s="15" t="n"/>
      <c r="R69" s="15" t="n"/>
      <c r="S69" s="15" t="n"/>
    </row>
    <row r="70">
      <c r="A70" s="9" t="n"/>
      <c r="B70" s="9" t="n"/>
      <c r="C70" s="9" t="n"/>
      <c r="D70" s="9" t="n"/>
      <c r="F70" s="11" t="n"/>
      <c r="G70" s="11" t="n"/>
      <c r="H70" s="11" t="n"/>
      <c r="I70" s="11" t="n"/>
      <c r="K70" s="13" t="n"/>
      <c r="L70" s="13" t="n"/>
      <c r="M70" s="13" t="n"/>
      <c r="N70" s="13" t="n"/>
      <c r="P70" s="15" t="n"/>
      <c r="Q70" s="15" t="n"/>
      <c r="R70" s="15" t="n"/>
      <c r="S70" s="15" t="n"/>
    </row>
    <row r="71">
      <c r="A71" s="153" t="inlineStr">
        <is>
          <t>Target Completion</t>
        </is>
      </c>
      <c r="B71" s="9" t="n"/>
      <c r="C71" s="9" t="n"/>
      <c r="D71" s="9" t="n"/>
      <c r="F71" s="154" t="inlineStr">
        <is>
          <t>Habits Tracked</t>
        </is>
      </c>
      <c r="G71" s="11" t="n"/>
      <c r="H71" s="11" t="n"/>
      <c r="I71" s="11" t="n"/>
      <c r="K71" s="155" t="inlineStr">
        <is>
          <t>All Marked Habits Completed</t>
        </is>
      </c>
      <c r="L71" s="13" t="n"/>
      <c r="M71" s="13" t="n"/>
      <c r="N71" s="13" t="n"/>
      <c r="P71" s="156" t="inlineStr">
        <is>
          <t>Nightly Rest Average</t>
        </is>
      </c>
      <c r="Q71" s="15" t="n"/>
      <c r="R71" s="15" t="n"/>
      <c r="S71" s="15" t="n"/>
    </row>
    <row r="72" ht="8" customHeight="1"/>
    <row r="73" ht="6" customHeight="1"/>
    <row r="74">
      <c r="A74" s="67" t="inlineStr">
        <is>
          <t>WEEKLY PERFORMANCE (SLUMP DETECTOR)</t>
        </is>
      </c>
      <c r="B74" s="29" t="n"/>
      <c r="C74" s="29" t="n"/>
      <c r="D74" s="29" t="n"/>
      <c r="E74" s="29" t="n"/>
      <c r="N74" s="157" t="inlineStr">
        <is>
          <t>LIFE DOMAIN / CATEGORY BREAKDOWN</t>
        </is>
      </c>
      <c r="O74" s="158" t="n"/>
      <c r="P74" s="158" t="n"/>
      <c r="Q74" s="158" t="n"/>
      <c r="R74" s="158" t="n"/>
      <c r="S74" s="158" t="n"/>
    </row>
    <row r="75" ht="15" customHeight="1">
      <c r="A75" s="53" t="inlineStr">
        <is>
          <t>Week</t>
        </is>
      </c>
      <c r="B75" s="53" t="inlineStr">
        <is>
          <t>Days Range</t>
        </is>
      </c>
      <c r="C75" s="53" t="inlineStr">
        <is>
          <t>Checks Done</t>
        </is>
      </c>
      <c r="D75" s="53" t="inlineStr">
        <is>
          <t>Evaluated</t>
        </is>
      </c>
      <c r="E75" s="53" t="inlineStr">
        <is>
          <t>Success %</t>
        </is>
      </c>
      <c r="N75" s="53" t="inlineStr">
        <is>
          <t>Domain / Category</t>
        </is>
      </c>
      <c r="O75" s="54" t="n"/>
      <c r="P75" s="53" t="inlineStr">
        <is>
          <t>Active Habits</t>
        </is>
      </c>
      <c r="Q75" s="53" t="inlineStr">
        <is>
          <t>Target Days</t>
        </is>
      </c>
      <c r="R75" s="53" t="inlineStr">
        <is>
          <t>Done Checks</t>
        </is>
      </c>
      <c r="S75" s="53" t="inlineStr">
        <is>
          <t>Success %</t>
        </is>
      </c>
    </row>
    <row r="76" ht="14" customHeight="1">
      <c r="A76" s="33" t="inlineStr">
        <is>
          <t>Week 1</t>
        </is>
      </c>
      <c r="B76" s="34" t="inlineStr">
        <is>
          <t>Days 1 - 7</t>
        </is>
      </c>
      <c r="C76" s="34">
        <f>COUNTIF(E18:K37, "✓")</f>
        <v/>
      </c>
      <c r="D76" s="34">
        <f>COUNTIF(E18:K37, "✓") + COUNTIF(E18:K37, "✗")</f>
        <v/>
      </c>
      <c r="E76" s="35">
        <f>IFERROR(C76/D76, 0)</f>
        <v/>
      </c>
      <c r="N76" s="60" t="inlineStr">
        <is>
          <t>Health &amp; Fitness</t>
        </is>
      </c>
      <c r="O76" s="54" t="n"/>
      <c r="P76" s="34">
        <f>COUNTIF($C$18:$C$37, "Health &amp; Fitness")</f>
        <v/>
      </c>
      <c r="Q76" s="34">
        <f>SUMIF($C$18:$C$37, "Health &amp; Fitness", $D$18:$D$37)</f>
        <v/>
      </c>
      <c r="R76" s="34">
        <f>SUMIF($C$18:$C$37, "Health &amp; Fitness", $AM$18:$AM$37)</f>
        <v/>
      </c>
      <c r="S76" s="35">
        <f>IFERROR(R76/Q76, 0)</f>
        <v/>
      </c>
    </row>
    <row r="77" ht="14" customHeight="1">
      <c r="A77" s="33" t="inlineStr">
        <is>
          <t>Week 2</t>
        </is>
      </c>
      <c r="B77" s="34" t="inlineStr">
        <is>
          <t>Days 8 - 14</t>
        </is>
      </c>
      <c r="C77" s="34">
        <f>COUNTIF(L18:R37, "✓")</f>
        <v/>
      </c>
      <c r="D77" s="34">
        <f>COUNTIF(L18:R37, "✓") + COUNTIF(L18:R37, "✗")</f>
        <v/>
      </c>
      <c r="E77" s="35">
        <f>IFERROR(C77/D77, 0)</f>
        <v/>
      </c>
      <c r="N77" s="60" t="inlineStr">
        <is>
          <t>Mindset &amp; Learning</t>
        </is>
      </c>
      <c r="O77" s="54" t="n"/>
      <c r="P77" s="34">
        <f>COUNTIF($C$18:$C$37, "Mindset &amp; Learning")</f>
        <v/>
      </c>
      <c r="Q77" s="34">
        <f>SUMIF($C$18:$C$37, "Mindset &amp; Learning", $D$18:$D$37)</f>
        <v/>
      </c>
      <c r="R77" s="34">
        <f>SUMIF($C$18:$C$37, "Mindset &amp; Learning", $AM$18:$AM$37)</f>
        <v/>
      </c>
      <c r="S77" s="35">
        <f>IFERROR(R77/Q77, 0)</f>
        <v/>
      </c>
    </row>
    <row r="78" ht="14" customHeight="1">
      <c r="A78" s="33" t="inlineStr">
        <is>
          <t>Week 3</t>
        </is>
      </c>
      <c r="B78" s="34" t="inlineStr">
        <is>
          <t>Days 15 - 21</t>
        </is>
      </c>
      <c r="C78" s="34">
        <f>COUNTIF(S18:Y37, "✓")</f>
        <v/>
      </c>
      <c r="D78" s="34">
        <f>COUNTIF(S18:Y37, "✓") + COUNTIF(S18:Y37, "✗")</f>
        <v/>
      </c>
      <c r="E78" s="35">
        <f>IFERROR(C78/D78, 0)</f>
        <v/>
      </c>
      <c r="N78" s="60" t="inlineStr">
        <is>
          <t>Career &amp; Focus</t>
        </is>
      </c>
      <c r="O78" s="54" t="n"/>
      <c r="P78" s="34">
        <f>COUNTIF($C$18:$C$37, "Career &amp; Focus")</f>
        <v/>
      </c>
      <c r="Q78" s="34">
        <f>SUMIF($C$18:$C$37, "Career &amp; Focus", $D$18:$D$37)</f>
        <v/>
      </c>
      <c r="R78" s="34">
        <f>SUMIF($C$18:$C$37, "Career &amp; Focus", $AM$18:$AM$37)</f>
        <v/>
      </c>
      <c r="S78" s="35">
        <f>IFERROR(R78/Q78, 0)</f>
        <v/>
      </c>
    </row>
    <row r="79" ht="14" customHeight="1">
      <c r="A79" s="33" t="inlineStr">
        <is>
          <t>Week 4</t>
        </is>
      </c>
      <c r="B79" s="34" t="inlineStr">
        <is>
          <t>Days 22 - 28</t>
        </is>
      </c>
      <c r="C79" s="34">
        <f>COUNTIF(Z18:AF37, "✓")</f>
        <v/>
      </c>
      <c r="D79" s="34">
        <f>COUNTIF(Z18:AF37, "✓") + COUNTIF(Z18:AF37, "✗")</f>
        <v/>
      </c>
      <c r="E79" s="35">
        <f>IFERROR(C79/D79, 0)</f>
        <v/>
      </c>
      <c r="N79" s="60" t="inlineStr">
        <is>
          <t>Personal &amp; Home</t>
        </is>
      </c>
      <c r="O79" s="54" t="n"/>
      <c r="P79" s="34">
        <f>COUNTIF($C$18:$C$37, "Personal &amp; Home")</f>
        <v/>
      </c>
      <c r="Q79" s="34">
        <f>SUMIF($C$18:$C$37, "Personal &amp; Home", $D$18:$D$37)</f>
        <v/>
      </c>
      <c r="R79" s="34">
        <f>SUMIF($C$18:$C$37, "Personal &amp; Home", $AM$18:$AM$37)</f>
        <v/>
      </c>
      <c r="S79" s="35">
        <f>IFERROR(R79/Q79, 0)</f>
        <v/>
      </c>
    </row>
    <row r="80" ht="14" customHeight="1">
      <c r="A80" s="33" t="inlineStr">
        <is>
          <t>Week 5</t>
        </is>
      </c>
      <c r="B80" s="34" t="inlineStr">
        <is>
          <t>Days 29 - 31</t>
        </is>
      </c>
      <c r="C80" s="34">
        <f>COUNTIF(AG18:AI37, "✓")</f>
        <v/>
      </c>
      <c r="D80" s="34">
        <f>COUNTIF(AG18:AI37, "✓") + COUNTIF(AG18:AI37, "✗")</f>
        <v/>
      </c>
      <c r="E80" s="35">
        <f>IFERROR(C80/D80, 0)</f>
        <v/>
      </c>
      <c r="N80" s="60" t="inlineStr">
        <is>
          <t>Finance &amp; Wealth</t>
        </is>
      </c>
      <c r="O80" s="54" t="n"/>
      <c r="P80" s="34">
        <f>COUNTIF($C$18:$C$37, "Finance &amp; Wealth")</f>
        <v/>
      </c>
      <c r="Q80" s="34">
        <f>SUMIF($C$18:$C$37, "Finance &amp; Wealth", $D$18:$D$37)</f>
        <v/>
      </c>
      <c r="R80" s="34">
        <f>SUMIF($C$18:$C$37, "Finance &amp; Wealth", $AM$18:$AM$37)</f>
        <v/>
      </c>
      <c r="S80" s="35">
        <f>IFERROR(R80/Q80, 0)</f>
        <v/>
      </c>
    </row>
    <row r="81" ht="14" customHeight="1">
      <c r="A81" s="33" t="inlineStr">
        <is>
          <t>Total / Avg</t>
        </is>
      </c>
      <c r="B81" s="159" t="inlineStr">
        <is>
          <t>Month Total</t>
        </is>
      </c>
      <c r="C81" s="33">
        <f>SUM(C76:C80)</f>
        <v/>
      </c>
      <c r="D81" s="33">
        <f>SUM(D76:D80)</f>
        <v/>
      </c>
      <c r="E81" s="133">
        <f>IFERROR(C81/D81, 0)</f>
        <v/>
      </c>
    </row>
    <row r="82" ht="10" customHeight="1"/>
    <row r="83" ht="10" customHeight="1"/>
    <row r="84">
      <c r="A84" s="51" t="inlineStr">
        <is>
          <t>SLEEP &amp; PRODUCTIVITY CORRELATION ANALYSIS</t>
        </is>
      </c>
      <c r="B84" s="52" t="n"/>
      <c r="C84" s="52" t="n"/>
      <c r="D84" s="52" t="n"/>
      <c r="E84" s="52" t="n"/>
      <c r="F84" s="52" t="n"/>
      <c r="G84" s="52" t="n"/>
      <c r="H84" s="52" t="n"/>
      <c r="I84" s="52" t="n"/>
      <c r="J84" s="52" t="n"/>
      <c r="K84" s="52" t="n"/>
      <c r="L84" s="52" t="n"/>
      <c r="M84" s="52" t="n"/>
      <c r="N84" s="52" t="n"/>
      <c r="O84" s="52" t="n"/>
      <c r="P84" s="52" t="n"/>
      <c r="Q84" s="52" t="n"/>
      <c r="R84" s="52" t="n"/>
      <c r="S84" s="52" t="n"/>
      <c r="T84" s="52" t="n"/>
      <c r="U84" s="52" t="n"/>
      <c r="V84" s="52" t="n"/>
      <c r="W84" s="52" t="n"/>
      <c r="X84" s="52" t="n"/>
      <c r="Y84" s="52" t="n"/>
      <c r="Z84" s="52" t="n"/>
      <c r="AA84" s="52" t="n"/>
      <c r="AB84" s="52" t="n"/>
      <c r="AC84" s="52" t="n"/>
      <c r="AD84" s="52" t="n"/>
      <c r="AE84" s="52" t="n"/>
      <c r="AF84" s="52" t="n"/>
      <c r="AG84" s="52" t="n"/>
      <c r="AH84" s="52" t="n"/>
      <c r="AI84" s="52" t="n"/>
      <c r="AJ84" s="52" t="n"/>
      <c r="AK84" s="52" t="n"/>
      <c r="AL84" s="52" t="n"/>
    </row>
    <row r="85" ht="15" customHeight="1">
      <c r="A85" s="53" t="inlineStr">
        <is>
          <t>Rest Category</t>
        </is>
      </c>
      <c r="B85" s="54" t="n"/>
      <c r="C85" s="54" t="n"/>
      <c r="D85" s="53" t="inlineStr">
        <is>
          <t>Day Criteria</t>
        </is>
      </c>
      <c r="E85" s="54" t="n"/>
      <c r="F85" s="54" t="n"/>
      <c r="G85" s="53" t="inlineStr">
        <is>
          <t>Days Logged</t>
        </is>
      </c>
      <c r="H85" s="54" t="n"/>
      <c r="I85" s="54" t="n"/>
      <c r="J85" s="53" t="inlineStr">
        <is>
          <t>Avg Sleep Duration</t>
        </is>
      </c>
      <c r="K85" s="54" t="n"/>
      <c r="L85" s="54" t="n"/>
      <c r="M85" s="54" t="n"/>
      <c r="N85" s="53" t="inlineStr">
        <is>
          <t>Avg Habit Success %</t>
        </is>
      </c>
      <c r="O85" s="54" t="n"/>
      <c r="P85" s="54" t="n"/>
      <c r="Q85" s="54" t="n"/>
      <c r="R85" s="53" t="inlineStr">
        <is>
          <t>Productivity Delta</t>
        </is>
      </c>
      <c r="S85" s="54" t="n"/>
      <c r="T85" s="54" t="n"/>
      <c r="U85" s="54" t="n"/>
    </row>
    <row r="86" ht="15" customHeight="1">
      <c r="A86" s="160" t="inlineStr">
        <is>
          <t>Optimal Rest</t>
        </is>
      </c>
      <c r="B86" s="161" t="n"/>
      <c r="C86" s="56" t="n"/>
      <c r="D86" s="34" t="inlineStr">
        <is>
          <t>&gt;= 7 Hours / Night</t>
        </is>
      </c>
      <c r="E86" s="161" t="n"/>
      <c r="F86" s="56" t="n"/>
      <c r="G86" s="33">
        <f>COUNTIF(E47:AI47, "&gt;=7")</f>
        <v/>
      </c>
      <c r="H86" s="161" t="n"/>
      <c r="I86" s="56" t="n"/>
      <c r="J86" s="34">
        <f>IFERROR(TEXT(AVERAGEIF(E47:AI47, "&gt;=7"), "0.0") &amp; " hrs", "-")</f>
        <v/>
      </c>
      <c r="K86" s="161" t="n"/>
      <c r="L86" s="161" t="n"/>
      <c r="M86" s="56" t="n"/>
      <c r="N86" s="42">
        <f>IFERROR(AVERAGEIFS(E39:AI39, E47:AI47, "&gt;=7", E39:AI39, "&gt;0"), 0)</f>
        <v/>
      </c>
      <c r="O86" s="161" t="n"/>
      <c r="P86" s="161" t="n"/>
      <c r="Q86" s="56" t="n"/>
      <c r="R86" s="159" t="inlineStr">
        <is>
          <t>Baseline (Target)</t>
        </is>
      </c>
      <c r="S86" s="161" t="n"/>
      <c r="T86" s="161" t="n"/>
      <c r="U86" s="56" t="n"/>
    </row>
    <row r="87" ht="15" customHeight="1">
      <c r="A87" s="162" t="inlineStr">
        <is>
          <t>Sleep Deficit</t>
        </is>
      </c>
      <c r="B87" s="161" t="n"/>
      <c r="C87" s="56" t="n"/>
      <c r="D87" s="34" t="inlineStr">
        <is>
          <t>&lt; 7 Hours / Night</t>
        </is>
      </c>
      <c r="E87" s="161" t="n"/>
      <c r="F87" s="56" t="n"/>
      <c r="G87" s="33">
        <f>COUNTIF(E47:AI47, "&lt;7") - COUNTIF(E47:AI47, "")</f>
        <v/>
      </c>
      <c r="H87" s="161" t="n"/>
      <c r="I87" s="56" t="n"/>
      <c r="J87" s="34">
        <f>IFERROR(TEXT(AVERAGEIFS(E47:AI47, E47:AI47, "&lt;7", E47:AI47, "&gt;0"), "0.0") &amp; " hrs", "-")</f>
        <v/>
      </c>
      <c r="K87" s="161" t="n"/>
      <c r="L87" s="161" t="n"/>
      <c r="M87" s="56" t="n"/>
      <c r="N87" s="163">
        <f>IFERROR(AVERAGEIFS(E39:AI39, E47:AI47, "&lt;7", E39:AI39, "&gt;0"), 0)</f>
        <v/>
      </c>
      <c r="O87" s="161" t="n"/>
      <c r="P87" s="161" t="n"/>
      <c r="Q87" s="56" t="n"/>
      <c r="R87" s="160">
        <f>IFERROR(TEXT(N86 - N87, "+0.0%;-0.0%;0.0%") &amp; " Rest Advantage", "-")</f>
        <v/>
      </c>
      <c r="S87" s="161" t="n"/>
      <c r="T87" s="161" t="n"/>
      <c r="U87" s="56" t="n"/>
    </row>
    <row r="88" ht="18" customHeight="1">
      <c r="A88" s="164">
        <f>IF(AND(ISNUMBER(N86), ISNUMBER(N87), N86&gt;0, N87&gt;0), "💡 Sleep Correlation Insight: You complete " &amp; TEXT(ABS(N86-N87), "0.0%") &amp; IF(N86&gt;=N87, " MORE habits on days with 7+ hours of sleep!", " fewer habits on days with 7+ hours of sleep."), "💡 Log both habits and sleep hours daily to unlock automatic AI correlation insights!")</f>
        <v/>
      </c>
      <c r="B88" s="161" t="n"/>
      <c r="C88" s="161" t="n"/>
      <c r="D88" s="161" t="n"/>
      <c r="E88" s="161" t="n"/>
      <c r="F88" s="161" t="n"/>
      <c r="G88" s="161" t="n"/>
      <c r="H88" s="161" t="n"/>
      <c r="I88" s="161" t="n"/>
      <c r="J88" s="161" t="n"/>
      <c r="K88" s="161" t="n"/>
      <c r="L88" s="161" t="n"/>
      <c r="M88" s="161" t="n"/>
      <c r="N88" s="161" t="n"/>
      <c r="O88" s="161" t="n"/>
      <c r="P88" s="161" t="n"/>
      <c r="Q88" s="161" t="n"/>
      <c r="R88" s="161" t="n"/>
      <c r="S88" s="161" t="n"/>
      <c r="T88" s="161" t="n"/>
      <c r="U88" s="161" t="n"/>
      <c r="V88" s="161" t="n"/>
      <c r="W88" s="161" t="n"/>
      <c r="X88" s="161" t="n"/>
      <c r="Y88" s="161" t="n"/>
      <c r="Z88" s="161" t="n"/>
      <c r="AA88" s="161" t="n"/>
      <c r="AB88" s="161" t="n"/>
      <c r="AC88" s="161" t="n"/>
      <c r="AD88" s="161" t="n"/>
      <c r="AE88" s="161" t="n"/>
      <c r="AF88" s="161" t="n"/>
      <c r="AG88" s="161" t="n"/>
      <c r="AH88" s="161" t="n"/>
      <c r="AI88" s="161" t="n"/>
      <c r="AJ88" s="161" t="n"/>
      <c r="AK88" s="161" t="n"/>
      <c r="AL88" s="56" t="n"/>
    </row>
    <row r="89" ht="10" customHeight="1"/>
    <row r="90">
      <c r="A90" s="43" t="inlineStr">
        <is>
          <t>STANDARDIZED DATA BRIDGE (FOR ANNUAL &amp; QUARTERLY REVIEW SHEETS)</t>
        </is>
      </c>
      <c r="B90" s="44" t="n"/>
      <c r="C90" s="44" t="n"/>
      <c r="D90" s="44" t="n"/>
      <c r="E90" s="44" t="n"/>
      <c r="F90" s="44" t="n"/>
      <c r="G90" s="44" t="n"/>
      <c r="H90" s="44" t="n"/>
      <c r="I90" s="44" t="n"/>
      <c r="J90" s="44" t="n"/>
      <c r="K90" s="44" t="n"/>
      <c r="L90" s="44" t="n"/>
      <c r="M90" s="44" t="n"/>
      <c r="N90" s="44" t="n"/>
      <c r="O90" s="44" t="n"/>
      <c r="P90" s="44" t="n"/>
      <c r="Q90" s="44" t="n"/>
      <c r="R90" s="44" t="n"/>
      <c r="S90" s="44" t="n"/>
      <c r="T90" s="44" t="n"/>
      <c r="U90" s="44" t="n"/>
      <c r="V90" s="44" t="n"/>
      <c r="W90" s="44" t="n"/>
      <c r="X90" s="44" t="n"/>
      <c r="Y90" s="44" t="n"/>
      <c r="Z90" s="44" t="n"/>
      <c r="AA90" s="44" t="n"/>
      <c r="AB90" s="44" t="n"/>
      <c r="AC90" s="44" t="n"/>
      <c r="AD90" s="44" t="n"/>
      <c r="AE90" s="44" t="n"/>
      <c r="AF90" s="44" t="n"/>
      <c r="AG90" s="44" t="n"/>
      <c r="AH90" s="44" t="n"/>
      <c r="AI90" s="44" t="n"/>
      <c r="AJ90" s="44" t="n"/>
      <c r="AK90" s="44" t="n"/>
      <c r="AL90" s="44" t="n"/>
    </row>
    <row r="91" ht="15" customHeight="1">
      <c r="A91" s="53" t="inlineStr">
        <is>
          <t>Month</t>
        </is>
      </c>
      <c r="B91" s="54" t="n"/>
      <c r="C91" s="53" t="inlineStr">
        <is>
          <t>Year</t>
        </is>
      </c>
      <c r="D91" s="54" t="n"/>
      <c r="E91" s="53" t="inlineStr">
        <is>
          <t>Active Habits</t>
        </is>
      </c>
      <c r="F91" s="54" t="n"/>
      <c r="G91" s="53" t="inlineStr">
        <is>
          <t>Target Days</t>
        </is>
      </c>
      <c r="H91" s="54" t="n"/>
      <c r="I91" s="53" t="inlineStr">
        <is>
          <t>Done Checks</t>
        </is>
      </c>
      <c r="J91" s="54" t="n"/>
      <c r="K91" s="53" t="inlineStr">
        <is>
          <t>Success %</t>
        </is>
      </c>
      <c r="L91" s="54" t="n"/>
      <c r="M91" s="53" t="inlineStr">
        <is>
          <t>Perfect Days</t>
        </is>
      </c>
      <c r="N91" s="54" t="n"/>
      <c r="O91" s="53" t="inlineStr">
        <is>
          <t>Avg Sleep</t>
        </is>
      </c>
      <c r="P91" s="54" t="n"/>
      <c r="Q91" s="53" t="inlineStr">
        <is>
          <t>Best Week</t>
        </is>
      </c>
      <c r="R91" s="54" t="n"/>
      <c r="S91" s="54" t="n"/>
      <c r="T91" s="53" t="inlineStr">
        <is>
          <t>Top Life Domain</t>
        </is>
      </c>
      <c r="U91" s="54" t="n"/>
      <c r="V91" s="54" t="n"/>
      <c r="W91" s="54" t="n"/>
    </row>
    <row r="92" ht="16" customHeight="1">
      <c r="A92" s="165" t="inlineStr">
        <is>
          <t>Jan</t>
        </is>
      </c>
      <c r="B92" s="56" t="n"/>
      <c r="C92" s="165" t="n">
        <v>2030</v>
      </c>
      <c r="D92" s="56" t="n"/>
      <c r="E92" s="166">
        <f>COUNTA(B18:B37)</f>
        <v/>
      </c>
      <c r="F92" s="56" t="n"/>
      <c r="G92" s="166">
        <f>SUM(D18:D37)</f>
        <v/>
      </c>
      <c r="H92" s="56" t="n"/>
      <c r="I92" s="166">
        <f>SUM(AM18:AM37)</f>
        <v/>
      </c>
      <c r="J92" s="56" t="n"/>
      <c r="K92" s="167">
        <f>IF(G92&gt;0, I92/G92, 0)</f>
        <v/>
      </c>
      <c r="L92" s="56" t="n"/>
      <c r="M92" s="166">
        <f>COUNTIF(E39:AI39, 1)</f>
        <v/>
      </c>
      <c r="N92" s="56" t="n"/>
      <c r="O92" s="168">
        <f>IFERROR(AVERAGE(E47:AI47), 0)</f>
        <v/>
      </c>
      <c r="P92" s="56" t="n"/>
      <c r="Q92" s="166">
        <f>INDEX(A76:A80, MATCH(MAX(E76:E80), E76:E80, 0))</f>
        <v/>
      </c>
      <c r="R92" s="161" t="n"/>
      <c r="S92" s="56" t="n"/>
      <c r="T92" s="166">
        <f>INDEX(N76:N80, MATCH(MAX(S76:S80), S76:S80, 0))</f>
        <v/>
      </c>
      <c r="U92" s="161" t="n"/>
      <c r="V92" s="161" t="n"/>
      <c r="W92" s="56" t="n"/>
    </row>
    <row r="93" ht="14" customHeight="1">
      <c r="A93" s="169" t="inlineStr">
        <is>
          <t>📋 Note: Reference or copy Row 92 directly into an Annual / Quarterly review dashboard to track yearly habit trends.</t>
        </is>
      </c>
    </row>
    <row r="94" ht="8" customHeight="1"/>
    <row r="95">
      <c r="A95" s="170" t="inlineStr">
        <is>
          <t>🏆 MONTHLY WINS &amp; HIGHLIGHTS</t>
        </is>
      </c>
      <c r="J95" s="171" t="inlineStr">
        <is>
          <t>⚠️ FRICTION POINTS &amp; ROOT CAUSES</t>
        </is>
      </c>
      <c r="S95" s="172" t="inlineStr">
        <is>
          <t>🎯 3 KEY ADJUSTMENTS FOR NEXT MONTH</t>
        </is>
      </c>
    </row>
    <row r="96">
      <c r="A96" s="173" t="inlineStr">
        <is>
          <t>1. What went exceptionally well this month?
2. Which habit felt effortless and consistent?
3. Major milestone achieved:</t>
        </is>
      </c>
      <c r="B96" s="174" t="n"/>
      <c r="C96" s="174" t="n"/>
      <c r="D96" s="174" t="n"/>
      <c r="E96" s="174" t="n"/>
      <c r="F96" s="174" t="n"/>
      <c r="G96" s="174" t="n"/>
      <c r="H96" s="174" t="n"/>
      <c r="J96" s="175" t="inlineStr">
        <is>
          <t>1. What caused missed or skipped days?
2. Main triggers / energy drains encountered:
3. Which habit had the lowest consistency and why?</t>
        </is>
      </c>
      <c r="K96" s="176" t="n"/>
      <c r="L96" s="176" t="n"/>
      <c r="M96" s="176" t="n"/>
      <c r="N96" s="176" t="n"/>
      <c r="O96" s="176" t="n"/>
      <c r="P96" s="176" t="n"/>
      <c r="Q96" s="176" t="n"/>
      <c r="S96" s="177" t="inlineStr">
        <is>
          <t>1. Habit Stacking or time adjustment for next month:
2. Environment design change to eliminate friction:
3. One non-negotiable priority protocol:</t>
        </is>
      </c>
      <c r="T96" s="178" t="n"/>
      <c r="U96" s="178" t="n"/>
      <c r="V96" s="178" t="n"/>
      <c r="W96" s="178" t="n"/>
      <c r="X96" s="178" t="n"/>
      <c r="Y96" s="178" t="n"/>
      <c r="Z96" s="178" t="n"/>
    </row>
    <row r="97">
      <c r="A97" s="174" t="n"/>
      <c r="B97" s="174" t="n"/>
      <c r="C97" s="174" t="n"/>
      <c r="D97" s="174" t="n"/>
      <c r="E97" s="174" t="n"/>
      <c r="F97" s="174" t="n"/>
      <c r="G97" s="174" t="n"/>
      <c r="H97" s="174" t="n"/>
      <c r="J97" s="176" t="n"/>
      <c r="K97" s="176" t="n"/>
      <c r="L97" s="176" t="n"/>
      <c r="M97" s="176" t="n"/>
      <c r="N97" s="176" t="n"/>
      <c r="O97" s="176" t="n"/>
      <c r="P97" s="176" t="n"/>
      <c r="Q97" s="176" t="n"/>
      <c r="S97" s="178" t="n"/>
      <c r="T97" s="178" t="n"/>
      <c r="U97" s="178" t="n"/>
      <c r="V97" s="178" t="n"/>
      <c r="W97" s="178" t="n"/>
      <c r="X97" s="178" t="n"/>
      <c r="Y97" s="178" t="n"/>
      <c r="Z97" s="178" t="n"/>
    </row>
    <row r="98">
      <c r="A98" s="174" t="n"/>
      <c r="B98" s="174" t="n"/>
      <c r="C98" s="174" t="n"/>
      <c r="D98" s="174" t="n"/>
      <c r="E98" s="174" t="n"/>
      <c r="F98" s="174" t="n"/>
      <c r="G98" s="174" t="n"/>
      <c r="H98" s="174" t="n"/>
      <c r="J98" s="176" t="n"/>
      <c r="K98" s="176" t="n"/>
      <c r="L98" s="176" t="n"/>
      <c r="M98" s="176" t="n"/>
      <c r="N98" s="176" t="n"/>
      <c r="O98" s="176" t="n"/>
      <c r="P98" s="176" t="n"/>
      <c r="Q98" s="176" t="n"/>
      <c r="S98" s="178" t="n"/>
      <c r="T98" s="178" t="n"/>
      <c r="U98" s="178" t="n"/>
      <c r="V98" s="178" t="n"/>
      <c r="W98" s="178" t="n"/>
      <c r="X98" s="178" t="n"/>
      <c r="Y98" s="178" t="n"/>
      <c r="Z98" s="178" t="n"/>
    </row>
    <row r="99">
      <c r="A99" s="174" t="n"/>
      <c r="B99" s="174" t="n"/>
      <c r="C99" s="174" t="n"/>
      <c r="D99" s="174" t="n"/>
      <c r="E99" s="174" t="n"/>
      <c r="F99" s="174" t="n"/>
      <c r="G99" s="174" t="n"/>
      <c r="H99" s="174" t="n"/>
      <c r="J99" s="176" t="n"/>
      <c r="K99" s="176" t="n"/>
      <c r="L99" s="176" t="n"/>
      <c r="M99" s="176" t="n"/>
      <c r="N99" s="176" t="n"/>
      <c r="O99" s="176" t="n"/>
      <c r="P99" s="176" t="n"/>
      <c r="Q99" s="176" t="n"/>
      <c r="S99" s="178" t="n"/>
      <c r="T99" s="178" t="n"/>
      <c r="U99" s="178" t="n"/>
      <c r="V99" s="178" t="n"/>
      <c r="W99" s="178" t="n"/>
      <c r="X99" s="178" t="n"/>
      <c r="Y99" s="178" t="n"/>
      <c r="Z99" s="178" t="n"/>
    </row>
    <row r="100">
      <c r="A100" s="174" t="n"/>
      <c r="B100" s="174" t="n"/>
      <c r="C100" s="174" t="n"/>
      <c r="D100" s="174" t="n"/>
      <c r="E100" s="174" t="n"/>
      <c r="F100" s="174" t="n"/>
      <c r="G100" s="174" t="n"/>
      <c r="H100" s="174" t="n"/>
      <c r="J100" s="176" t="n"/>
      <c r="K100" s="176" t="n"/>
      <c r="L100" s="176" t="n"/>
      <c r="M100" s="176" t="n"/>
      <c r="N100" s="176" t="n"/>
      <c r="O100" s="176" t="n"/>
      <c r="P100" s="176" t="n"/>
      <c r="Q100" s="176" t="n"/>
      <c r="S100" s="178" t="n"/>
      <c r="T100" s="178" t="n"/>
      <c r="U100" s="178" t="n"/>
      <c r="V100" s="178" t="n"/>
      <c r="W100" s="178" t="n"/>
      <c r="X100" s="178" t="n"/>
      <c r="Y100" s="178" t="n"/>
      <c r="Z100" s="178" t="n"/>
    </row>
    <row r="101">
      <c r="A101" s="174" t="n"/>
      <c r="B101" s="174" t="n"/>
      <c r="C101" s="174" t="n"/>
      <c r="D101" s="174" t="n"/>
      <c r="E101" s="174" t="n"/>
      <c r="F101" s="174" t="n"/>
      <c r="G101" s="174" t="n"/>
      <c r="H101" s="174" t="n"/>
      <c r="J101" s="176" t="n"/>
      <c r="K101" s="176" t="n"/>
      <c r="L101" s="176" t="n"/>
      <c r="M101" s="176" t="n"/>
      <c r="N101" s="176" t="n"/>
      <c r="O101" s="176" t="n"/>
      <c r="P101" s="176" t="n"/>
      <c r="Q101" s="176" t="n"/>
      <c r="S101" s="178" t="n"/>
      <c r="T101" s="178" t="n"/>
      <c r="U101" s="178" t="n"/>
      <c r="V101" s="178" t="n"/>
      <c r="W101" s="178" t="n"/>
      <c r="X101" s="178" t="n"/>
      <c r="Y101" s="178" t="n"/>
      <c r="Z101" s="178" t="n"/>
    </row>
    <row r="102">
      <c r="A102" s="174" t="n"/>
      <c r="B102" s="174" t="n"/>
      <c r="C102" s="174" t="n"/>
      <c r="D102" s="174" t="n"/>
      <c r="E102" s="174" t="n"/>
      <c r="F102" s="174" t="n"/>
      <c r="G102" s="174" t="n"/>
      <c r="H102" s="174" t="n"/>
      <c r="J102" s="176" t="n"/>
      <c r="K102" s="176" t="n"/>
      <c r="L102" s="176" t="n"/>
      <c r="M102" s="176" t="n"/>
      <c r="N102" s="176" t="n"/>
      <c r="O102" s="176" t="n"/>
      <c r="P102" s="176" t="n"/>
      <c r="Q102" s="176" t="n"/>
      <c r="S102" s="178" t="n"/>
      <c r="T102" s="178" t="n"/>
      <c r="U102" s="178" t="n"/>
      <c r="V102" s="178" t="n"/>
      <c r="W102" s="178" t="n"/>
      <c r="X102" s="178" t="n"/>
      <c r="Y102" s="178" t="n"/>
      <c r="Z102" s="178" t="n"/>
    </row>
    <row r="103">
      <c r="A103" s="174" t="n"/>
      <c r="B103" s="174" t="n"/>
      <c r="C103" s="174" t="n"/>
      <c r="D103" s="174" t="n"/>
      <c r="E103" s="174" t="n"/>
      <c r="F103" s="174" t="n"/>
      <c r="G103" s="174" t="n"/>
      <c r="H103" s="174" t="n"/>
      <c r="J103" s="176" t="n"/>
      <c r="K103" s="176" t="n"/>
      <c r="L103" s="176" t="n"/>
      <c r="M103" s="176" t="n"/>
      <c r="N103" s="176" t="n"/>
      <c r="O103" s="176" t="n"/>
      <c r="P103" s="176" t="n"/>
      <c r="Q103" s="176" t="n"/>
      <c r="S103" s="178" t="n"/>
      <c r="T103" s="178" t="n"/>
      <c r="U103" s="178" t="n"/>
      <c r="V103" s="178" t="n"/>
      <c r="W103" s="178" t="n"/>
      <c r="X103" s="178" t="n"/>
      <c r="Y103" s="178" t="n"/>
      <c r="Z103" s="178" t="n"/>
    </row>
  </sheetData>
  <sheetProtection selectLockedCells="1" selectUnlockedCells="1" sheet="1" objects="0" insertRows="1" insertHyperlinks="1" autoFilter="1" scenarios="0" formatColumns="1" deleteColumns="1" insertColumns="1" pivotTables="1" deleteRows="1" formatCells="1" formatRows="1" sort="1"/>
  <mergeCells count="94">
    <mergeCell ref="A9:N9"/>
    <mergeCell ref="N76:O76"/>
    <mergeCell ref="F67:I67"/>
    <mergeCell ref="G87:I87"/>
    <mergeCell ref="A16:A17"/>
    <mergeCell ref="A45:D46"/>
    <mergeCell ref="C16:C17"/>
    <mergeCell ref="N75:O75"/>
    <mergeCell ref="N77:O77"/>
    <mergeCell ref="AE2:AL2"/>
    <mergeCell ref="P9:AL9"/>
    <mergeCell ref="P68:S70"/>
    <mergeCell ref="D16:D17"/>
    <mergeCell ref="N85:Q85"/>
    <mergeCell ref="A95:H95"/>
    <mergeCell ref="A84:AL84"/>
    <mergeCell ref="Q91:S91"/>
    <mergeCell ref="E91:F91"/>
    <mergeCell ref="A8:N8"/>
    <mergeCell ref="A42:AL42"/>
    <mergeCell ref="G91:H91"/>
    <mergeCell ref="J86:M86"/>
    <mergeCell ref="H3:AD3"/>
    <mergeCell ref="K67:N67"/>
    <mergeCell ref="S95:Z95"/>
    <mergeCell ref="N79:O79"/>
    <mergeCell ref="K92:L92"/>
    <mergeCell ref="C92:D92"/>
    <mergeCell ref="M92:N92"/>
    <mergeCell ref="F71:I71"/>
    <mergeCell ref="A88:AL88"/>
    <mergeCell ref="K68:N70"/>
    <mergeCell ref="T91:W91"/>
    <mergeCell ref="A41:AL41"/>
    <mergeCell ref="A90:AL90"/>
    <mergeCell ref="J95:Q95"/>
    <mergeCell ref="D85:F85"/>
    <mergeCell ref="N74:S74"/>
    <mergeCell ref="H2:AD2"/>
    <mergeCell ref="F68:I70"/>
    <mergeCell ref="A91:B91"/>
    <mergeCell ref="N78:O78"/>
    <mergeCell ref="C91:D91"/>
    <mergeCell ref="M91:N91"/>
    <mergeCell ref="O91:P91"/>
    <mergeCell ref="R86:U86"/>
    <mergeCell ref="N80:O80"/>
    <mergeCell ref="B16:B17"/>
    <mergeCell ref="A71:D71"/>
    <mergeCell ref="J85:M85"/>
    <mergeCell ref="D86:F86"/>
    <mergeCell ref="A92:B92"/>
    <mergeCell ref="N87:Q87"/>
    <mergeCell ref="A1:B1"/>
    <mergeCell ref="E92:F92"/>
    <mergeCell ref="AL16:AL17"/>
    <mergeCell ref="A68:D70"/>
    <mergeCell ref="P71:S71"/>
    <mergeCell ref="A86:C86"/>
    <mergeCell ref="D87:F87"/>
    <mergeCell ref="O92:P92"/>
    <mergeCell ref="A6:N6"/>
    <mergeCell ref="A39:D39"/>
    <mergeCell ref="P8:AL8"/>
    <mergeCell ref="P7:AL7"/>
    <mergeCell ref="G86:I86"/>
    <mergeCell ref="A96:H103"/>
    <mergeCell ref="P67:S67"/>
    <mergeCell ref="T92:W92"/>
    <mergeCell ref="R85:U85"/>
    <mergeCell ref="K71:N71"/>
    <mergeCell ref="S96:Z103"/>
    <mergeCell ref="A93:AL93"/>
    <mergeCell ref="A38:D38"/>
    <mergeCell ref="A67:D67"/>
    <mergeCell ref="I91:J91"/>
    <mergeCell ref="A85:C85"/>
    <mergeCell ref="K91:L91"/>
    <mergeCell ref="N86:Q86"/>
    <mergeCell ref="A7:N7"/>
    <mergeCell ref="P6:AL6"/>
    <mergeCell ref="A74:E74"/>
    <mergeCell ref="G85:I85"/>
    <mergeCell ref="G92:H92"/>
    <mergeCell ref="I92:J92"/>
    <mergeCell ref="R87:U87"/>
    <mergeCell ref="AK16:AK17"/>
    <mergeCell ref="J87:M87"/>
    <mergeCell ref="AJ16:AJ17"/>
    <mergeCell ref="J96:Q103"/>
    <mergeCell ref="A12:AL14"/>
    <mergeCell ref="Q92:S92"/>
    <mergeCell ref="A87:C87"/>
    <mergeCell ref="A47:D47"/>
  </mergeCells>
  <conditionalFormatting sqref="AJ18:AJ37">
    <cfRule type="dataBar" priority="1">
      <dataBar>
        <cfvo type="num" val="0"/>
        <cfvo type="num" val="1"/>
        <color rgb="0010B981"/>
      </dataBar>
    </cfRule>
  </conditionalFormatting>
  <conditionalFormatting sqref="E18:AI37">
    <cfRule type="cellIs" priority="2" operator="equal" dxfId="0">
      <formula>"✓"</formula>
    </cfRule>
    <cfRule type="cellIs" priority="3" operator="equal" dxfId="0">
      <formula>"✔"</formula>
    </cfRule>
    <cfRule type="cellIs" priority="4" operator="equal" dxfId="1">
      <formula>"✗"</formula>
    </cfRule>
    <cfRule type="cellIs" priority="5" operator="equal" dxfId="1">
      <formula>"x"</formula>
    </cfRule>
    <cfRule type="cellIs" priority="6" operator="equal" dxfId="1">
      <formula>"X"</formula>
    </cfRule>
  </conditionalFormatting>
  <conditionalFormatting sqref="E16:E17">
    <cfRule type="expression" priority="7" dxfId="2">
      <formula>AND(DAY(TODAY())=1, MONTH(TODAY())=1, YEAR(TODAY())=2030)</formula>
    </cfRule>
  </conditionalFormatting>
  <conditionalFormatting sqref="F16:F17">
    <cfRule type="expression" priority="8" dxfId="2">
      <formula>AND(DAY(TODAY())=2, MONTH(TODAY())=1, YEAR(TODAY())=2030)</formula>
    </cfRule>
  </conditionalFormatting>
  <conditionalFormatting sqref="G16:G17">
    <cfRule type="expression" priority="9" dxfId="2">
      <formula>AND(DAY(TODAY())=3, MONTH(TODAY())=1, YEAR(TODAY())=2030)</formula>
    </cfRule>
  </conditionalFormatting>
  <conditionalFormatting sqref="H16:H17">
    <cfRule type="expression" priority="10" dxfId="2">
      <formula>AND(DAY(TODAY())=4, MONTH(TODAY())=1, YEAR(TODAY())=2030)</formula>
    </cfRule>
  </conditionalFormatting>
  <conditionalFormatting sqref="I16:I17">
    <cfRule type="expression" priority="11" dxfId="2">
      <formula>AND(DAY(TODAY())=5, MONTH(TODAY())=1, YEAR(TODAY())=2030)</formula>
    </cfRule>
  </conditionalFormatting>
  <conditionalFormatting sqref="J16:J17">
    <cfRule type="expression" priority="12" dxfId="2">
      <formula>AND(DAY(TODAY())=6, MONTH(TODAY())=1, YEAR(TODAY())=2030)</formula>
    </cfRule>
  </conditionalFormatting>
  <conditionalFormatting sqref="K16:K17">
    <cfRule type="expression" priority="13" dxfId="2">
      <formula>AND(DAY(TODAY())=7, MONTH(TODAY())=1, YEAR(TODAY())=2030)</formula>
    </cfRule>
  </conditionalFormatting>
  <conditionalFormatting sqref="L16:L17">
    <cfRule type="expression" priority="14" dxfId="2">
      <formula>AND(DAY(TODAY())=8, MONTH(TODAY())=1, YEAR(TODAY())=2030)</formula>
    </cfRule>
  </conditionalFormatting>
  <conditionalFormatting sqref="M16:M17">
    <cfRule type="expression" priority="15" dxfId="2">
      <formula>AND(DAY(TODAY())=9, MONTH(TODAY())=1, YEAR(TODAY())=2030)</formula>
    </cfRule>
  </conditionalFormatting>
  <conditionalFormatting sqref="N16:N17">
    <cfRule type="expression" priority="16" dxfId="2">
      <formula>AND(DAY(TODAY())=10, MONTH(TODAY())=1, YEAR(TODAY())=2030)</formula>
    </cfRule>
  </conditionalFormatting>
  <conditionalFormatting sqref="O16:O17">
    <cfRule type="expression" priority="17" dxfId="2">
      <formula>AND(DAY(TODAY())=11, MONTH(TODAY())=1, YEAR(TODAY())=2030)</formula>
    </cfRule>
  </conditionalFormatting>
  <conditionalFormatting sqref="P16:P17">
    <cfRule type="expression" priority="18" dxfId="2">
      <formula>AND(DAY(TODAY())=12, MONTH(TODAY())=1, YEAR(TODAY())=2030)</formula>
    </cfRule>
  </conditionalFormatting>
  <conditionalFormatting sqref="Q16:Q17">
    <cfRule type="expression" priority="19" dxfId="2">
      <formula>AND(DAY(TODAY())=13, MONTH(TODAY())=1, YEAR(TODAY())=2030)</formula>
    </cfRule>
  </conditionalFormatting>
  <conditionalFormatting sqref="R16:R17">
    <cfRule type="expression" priority="20" dxfId="2">
      <formula>AND(DAY(TODAY())=14, MONTH(TODAY())=1, YEAR(TODAY())=2030)</formula>
    </cfRule>
  </conditionalFormatting>
  <conditionalFormatting sqref="S16:S17">
    <cfRule type="expression" priority="21" dxfId="2">
      <formula>AND(DAY(TODAY())=15, MONTH(TODAY())=1, YEAR(TODAY())=2030)</formula>
    </cfRule>
  </conditionalFormatting>
  <conditionalFormatting sqref="T16:T17">
    <cfRule type="expression" priority="22" dxfId="2">
      <formula>AND(DAY(TODAY())=16, MONTH(TODAY())=1, YEAR(TODAY())=2030)</formula>
    </cfRule>
  </conditionalFormatting>
  <conditionalFormatting sqref="U16:U17">
    <cfRule type="expression" priority="23" dxfId="2">
      <formula>AND(DAY(TODAY())=17, MONTH(TODAY())=1, YEAR(TODAY())=2030)</formula>
    </cfRule>
  </conditionalFormatting>
  <conditionalFormatting sqref="V16:V17">
    <cfRule type="expression" priority="24" dxfId="2">
      <formula>AND(DAY(TODAY())=18, MONTH(TODAY())=1, YEAR(TODAY())=2030)</formula>
    </cfRule>
  </conditionalFormatting>
  <conditionalFormatting sqref="W16:W17">
    <cfRule type="expression" priority="25" dxfId="2">
      <formula>AND(DAY(TODAY())=19, MONTH(TODAY())=1, YEAR(TODAY())=2030)</formula>
    </cfRule>
  </conditionalFormatting>
  <conditionalFormatting sqref="X16:X17">
    <cfRule type="expression" priority="26" dxfId="2">
      <formula>AND(DAY(TODAY())=20, MONTH(TODAY())=1, YEAR(TODAY())=2030)</formula>
    </cfRule>
  </conditionalFormatting>
  <conditionalFormatting sqref="Y16:Y17">
    <cfRule type="expression" priority="27" dxfId="2">
      <formula>AND(DAY(TODAY())=21, MONTH(TODAY())=1, YEAR(TODAY())=2030)</formula>
    </cfRule>
  </conditionalFormatting>
  <conditionalFormatting sqref="Z16:Z17">
    <cfRule type="expression" priority="28" dxfId="2">
      <formula>AND(DAY(TODAY())=22, MONTH(TODAY())=1, YEAR(TODAY())=2030)</formula>
    </cfRule>
  </conditionalFormatting>
  <conditionalFormatting sqref="AA16:AA17">
    <cfRule type="expression" priority="29" dxfId="2">
      <formula>AND(DAY(TODAY())=23, MONTH(TODAY())=1, YEAR(TODAY())=2030)</formula>
    </cfRule>
  </conditionalFormatting>
  <conditionalFormatting sqref="AB16:AB17">
    <cfRule type="expression" priority="30" dxfId="2">
      <formula>AND(DAY(TODAY())=24, MONTH(TODAY())=1, YEAR(TODAY())=2030)</formula>
    </cfRule>
  </conditionalFormatting>
  <conditionalFormatting sqref="AC16:AC17">
    <cfRule type="expression" priority="31" dxfId="2">
      <formula>AND(DAY(TODAY())=25, MONTH(TODAY())=1, YEAR(TODAY())=2030)</formula>
    </cfRule>
  </conditionalFormatting>
  <conditionalFormatting sqref="AD16:AD17">
    <cfRule type="expression" priority="32" dxfId="2">
      <formula>AND(DAY(TODAY())=26, MONTH(TODAY())=1, YEAR(TODAY())=2030)</formula>
    </cfRule>
  </conditionalFormatting>
  <conditionalFormatting sqref="AE16:AE17">
    <cfRule type="expression" priority="33" dxfId="2">
      <formula>AND(DAY(TODAY())=27, MONTH(TODAY())=1, YEAR(TODAY())=2030)</formula>
    </cfRule>
  </conditionalFormatting>
  <conditionalFormatting sqref="AF16:AF17">
    <cfRule type="expression" priority="34" dxfId="2">
      <formula>AND(DAY(TODAY())=28, MONTH(TODAY())=1, YEAR(TODAY())=2030)</formula>
    </cfRule>
  </conditionalFormatting>
  <conditionalFormatting sqref="AG16:AG17">
    <cfRule type="expression" priority="35" dxfId="2">
      <formula>AND(DAY(TODAY())=29, MONTH(TODAY())=1, YEAR(TODAY())=2030)</formula>
    </cfRule>
  </conditionalFormatting>
  <conditionalFormatting sqref="AH16:AH17">
    <cfRule type="expression" priority="36" dxfId="2">
      <formula>AND(DAY(TODAY())=30, MONTH(TODAY())=1, YEAR(TODAY())=2030)</formula>
    </cfRule>
  </conditionalFormatting>
  <conditionalFormatting sqref="AI16:AI17">
    <cfRule type="expression" priority="37" dxfId="2">
      <formula>AND(DAY(TODAY())=31, MONTH(TODAY())=1, YEAR(TODAY())=2030)</formula>
    </cfRule>
  </conditionalFormatting>
  <dataValidations count="4">
    <dataValidation sqref="C18:C37" showDropDown="0" showInputMessage="0" showErrorMessage="0" allowBlank="1" type="list">
      <formula1>"Health &amp; Fitness,Mindset &amp; Learning,Career &amp; Focus,Personal &amp; Home,Finance &amp; Wealth,Other"</formula1>
    </dataValidation>
    <dataValidation sqref="D18:D37" showDropDown="0" showInputMessage="0" showErrorMessage="0" allowBlank="1" type="list">
      <formula1>"1,2,3,4,5,6,7,8,9,10,11,12,13,14,15,16,17,18,19,20,21,22,23,24,25,26,27,28,29,30,31"</formula1>
    </dataValidation>
    <dataValidation sqref="E18:AI37" showDropDown="0" showInputMessage="0" showErrorMessage="0" allowBlank="1" type="list">
      <formula1>"✓,✗"</formula1>
    </dataValidation>
    <dataValidation sqref="E47:AI47" showDropDown="0" showInputMessage="0" showErrorMessage="0" allowBlank="1" type="list">
      <formula1>"1,2,3,4,5,6,7,8,9,10,11,12,13,14,15,16,17,18,19,20,21,22,23,24"</formula1>
    </dataValidation>
  </dataValidations>
  <hyperlinks>
    <hyperlink xmlns:r="http://schemas.openxmlformats.org/officeDocument/2006/relationships" ref="A1" r:id="rId1"/>
    <hyperlink xmlns:r="http://schemas.openxmlformats.org/officeDocument/2006/relationships" ref="C1" r:id="rId2"/>
    <hyperlink xmlns:r="http://schemas.openxmlformats.org/officeDocument/2006/relationships" ref="D1" r:id="rId3"/>
    <hyperlink xmlns:r="http://schemas.openxmlformats.org/officeDocument/2006/relationships" ref="E1" r:id="rId4"/>
    <hyperlink xmlns:r="http://schemas.openxmlformats.org/officeDocument/2006/relationships" ref="F1" r:id="rId5"/>
    <hyperlink xmlns:r="http://schemas.openxmlformats.org/officeDocument/2006/relationships" ref="G1" r:id="rId6"/>
    <hyperlink xmlns:r="http://schemas.openxmlformats.org/officeDocument/2006/relationships" ref="H1" r:id="rId7"/>
    <hyperlink xmlns:r="http://schemas.openxmlformats.org/officeDocument/2006/relationships" ref="I1" r:id="rId8"/>
    <hyperlink xmlns:r="http://schemas.openxmlformats.org/officeDocument/2006/relationships" ref="J1" r:id="rId9"/>
    <hyperlink xmlns:r="http://schemas.openxmlformats.org/officeDocument/2006/relationships" ref="K1" r:id="rId10"/>
  </hyperlinks>
  <printOptions horizontalCentered="1" verticalCentered="0"/>
  <pageMargins left="0.75" right="0.75" top="1" bottom="1" header="0.5" footer="0.5"/>
  <pageSetup orientation="landscape" paperSize="9" fitToHeight="0" fitToWidth="1"/>
  <drawing xmlns:r="http://schemas.openxmlformats.org/officeDocument/2006/relationships" r:id="rId11"/>
</worksheet>
</file>

<file path=xl/worksheets/sheet45.xml><?xml version="1.0" encoding="utf-8"?>
<worksheet xmlns="http://schemas.openxmlformats.org/spreadsheetml/2006/main">
  <sheetPr>
    <outlinePr summaryBelow="1" summaryRight="1"/>
    <pageSetUpPr fitToPage="1"/>
  </sheetPr>
  <dimension ref="A1:AJ103"/>
  <sheetViews>
    <sheetView showGridLines="1" workbookViewId="0">
      <selection activeCell="A1" sqref="A1"/>
    </sheetView>
  </sheetViews>
  <sheetFormatPr baseColWidth="8" defaultRowHeight="15"/>
  <cols>
    <col width="6" customWidth="1" min="1" max="1"/>
    <col width="25" customWidth="1" min="2" max="2"/>
    <col width="16.5" customWidth="1" min="3" max="3"/>
    <col width="8" customWidth="1" min="4" max="4"/>
    <col width="4.8" customWidth="1" min="5" max="5"/>
    <col width="4.8" customWidth="1" min="6" max="6"/>
    <col width="4.8" customWidth="1" min="7" max="7"/>
    <col width="4.8" customWidth="1" min="8" max="8"/>
    <col width="4.8" customWidth="1" min="9" max="9"/>
    <col width="4.8" customWidth="1" min="10" max="10"/>
    <col width="4.8" customWidth="1" min="11" max="11"/>
    <col width="4.8" customWidth="1" min="12" max="12"/>
    <col width="4.8" customWidth="1" min="13" max="13"/>
    <col width="4.8" customWidth="1" min="14" max="14"/>
    <col width="4.8" customWidth="1" min="15" max="15"/>
    <col width="4.8" customWidth="1" min="16" max="16"/>
    <col width="4.8" customWidth="1" min="17" max="17"/>
    <col width="4.8" customWidth="1" min="18" max="18"/>
    <col width="4.8" customWidth="1" min="19" max="19"/>
    <col width="4.8" customWidth="1" min="20" max="20"/>
    <col width="4.8" customWidth="1" min="21" max="21"/>
    <col width="4.8" customWidth="1" min="22" max="22"/>
    <col width="4.8" customWidth="1" min="23" max="23"/>
    <col width="4.8" customWidth="1" min="24" max="24"/>
    <col width="4.8" customWidth="1" min="25" max="25"/>
    <col width="4.8" customWidth="1" min="26" max="26"/>
    <col width="4.8" customWidth="1" min="27" max="27"/>
    <col width="4.8" customWidth="1" min="28" max="28"/>
    <col width="4.8" customWidth="1" min="29" max="29"/>
    <col width="4.8" customWidth="1" min="30" max="30"/>
    <col width="4.8" customWidth="1" min="31" max="31"/>
    <col width="4.8" customWidth="1" min="32" max="32"/>
    <col width="11.5" customWidth="1" min="33" max="33"/>
    <col width="12" customWidth="1" min="34" max="34"/>
    <col width="13.5" customWidth="1" min="35" max="35"/>
    <col hidden="1" width="8" customWidth="1" min="36" max="36"/>
  </cols>
  <sheetData>
    <row r="1" ht="18" customHeight="1">
      <c r="A1" s="76" t="inlineStr">
        <is>
          <t>🏠 Master Dashboard</t>
        </is>
      </c>
      <c r="B1" s="40" t="n"/>
      <c r="C1" s="77" t="inlineStr">
        <is>
          <t>🏛️ Quarterly Hub</t>
        </is>
      </c>
      <c r="D1" s="78" t="inlineStr">
        <is>
          <t>📚 Habit Library</t>
        </is>
      </c>
      <c r="E1" s="80" t="inlineStr">
        <is>
          <t>2026</t>
        </is>
      </c>
      <c r="F1" s="80" t="inlineStr">
        <is>
          <t>2027</t>
        </is>
      </c>
      <c r="G1" s="80" t="inlineStr">
        <is>
          <t>2028</t>
        </is>
      </c>
      <c r="H1" s="80" t="inlineStr">
        <is>
          <t>2029</t>
        </is>
      </c>
      <c r="I1" s="79" t="inlineStr">
        <is>
          <t>2030</t>
        </is>
      </c>
      <c r="J1" s="82" t="inlineStr">
        <is>
          <t>◀ Prev</t>
        </is>
      </c>
      <c r="K1" s="82" t="inlineStr">
        <is>
          <t>Next ▶</t>
        </is>
      </c>
    </row>
    <row r="2" ht="24" customHeight="1">
      <c r="A2" s="83" t="inlineStr">
        <is>
          <t>Habit Tracker</t>
        </is>
      </c>
      <c r="H2" s="84" t="inlineStr">
        <is>
          <t>"We are what we repeatedly do."</t>
        </is>
      </c>
      <c r="AB2" s="85" t="inlineStr">
        <is>
          <t>@surajvansh</t>
        </is>
      </c>
    </row>
    <row r="3" ht="18" customHeight="1">
      <c r="A3" s="86" t="inlineStr">
        <is>
          <t>February 2030</t>
        </is>
      </c>
      <c r="H3" s="87" t="inlineStr">
        <is>
          <t>28 Days Dashboard</t>
        </is>
      </c>
    </row>
    <row r="4" ht="5" customHeight="1"/>
    <row r="5" ht="16" customHeight="1">
      <c r="A5" s="88" t="inlineStr">
        <is>
          <t>MONTHLY TARGETS</t>
        </is>
      </c>
    </row>
    <row r="6" ht="13" customHeight="1">
      <c r="A6" s="89" t="inlineStr">
        <is>
          <t>1. ____________________ : ____________________</t>
        </is>
      </c>
      <c r="P6" s="89" t="inlineStr">
        <is>
          <t>5. ____________________ : ____________________</t>
        </is>
      </c>
    </row>
    <row r="7" ht="13" customHeight="1">
      <c r="A7" s="89" t="inlineStr">
        <is>
          <t>2. ____________________ : ____________________</t>
        </is>
      </c>
      <c r="P7" s="89" t="inlineStr">
        <is>
          <t>6. ____________________ : ____________________</t>
        </is>
      </c>
    </row>
    <row r="8" ht="13" customHeight="1">
      <c r="A8" s="89" t="inlineStr">
        <is>
          <t>3. ____________________ : ____________________</t>
        </is>
      </c>
      <c r="P8" s="89" t="inlineStr">
        <is>
          <t>7. ____________________ : ____________________</t>
        </is>
      </c>
    </row>
    <row r="9" ht="13" customHeight="1">
      <c r="A9" s="89" t="inlineStr">
        <is>
          <t>4. ____________________ : ____________________</t>
        </is>
      </c>
      <c r="P9" s="89" t="inlineStr">
        <is>
          <t>8. ____________________ : ____________________</t>
        </is>
      </c>
    </row>
    <row r="10" ht="5" customHeight="1"/>
    <row r="11" ht="15" customHeight="1">
      <c r="A11" s="88" t="inlineStr">
        <is>
          <t>NOTES:</t>
        </is>
      </c>
    </row>
    <row r="12" ht="13" customHeight="1">
      <c r="A12" s="90" t="n"/>
      <c r="B12" s="91" t="n"/>
      <c r="C12" s="91" t="n"/>
      <c r="D12" s="91" t="n"/>
      <c r="E12" s="91" t="n"/>
      <c r="F12" s="91" t="n"/>
      <c r="G12" s="91" t="n"/>
      <c r="H12" s="91" t="n"/>
      <c r="I12" s="91" t="n"/>
      <c r="J12" s="91" t="n"/>
      <c r="K12" s="91" t="n"/>
      <c r="L12" s="91" t="n"/>
      <c r="M12" s="91" t="n"/>
      <c r="N12" s="91" t="n"/>
      <c r="O12" s="91" t="n"/>
      <c r="P12" s="91" t="n"/>
      <c r="Q12" s="91" t="n"/>
      <c r="R12" s="91" t="n"/>
      <c r="S12" s="91" t="n"/>
      <c r="T12" s="91" t="n"/>
      <c r="U12" s="91" t="n"/>
      <c r="V12" s="91" t="n"/>
      <c r="W12" s="91" t="n"/>
      <c r="X12" s="91" t="n"/>
      <c r="Y12" s="91" t="n"/>
      <c r="Z12" s="91" t="n"/>
      <c r="AA12" s="91" t="n"/>
      <c r="AB12" s="91" t="n"/>
      <c r="AC12" s="91" t="n"/>
      <c r="AD12" s="91" t="n"/>
      <c r="AE12" s="91" t="n"/>
      <c r="AF12" s="91" t="n"/>
      <c r="AG12" s="91" t="n"/>
      <c r="AH12" s="91" t="n"/>
      <c r="AI12" s="91" t="n"/>
    </row>
    <row r="13" ht="13" customHeight="1">
      <c r="A13" s="91" t="n"/>
      <c r="B13" s="91" t="n"/>
      <c r="C13" s="91" t="n"/>
      <c r="D13" s="91" t="n"/>
      <c r="E13" s="91" t="n"/>
      <c r="F13" s="91" t="n"/>
      <c r="G13" s="91" t="n"/>
      <c r="H13" s="91" t="n"/>
      <c r="I13" s="91" t="n"/>
      <c r="J13" s="91" t="n"/>
      <c r="K13" s="91" t="n"/>
      <c r="L13" s="91" t="n"/>
      <c r="M13" s="91" t="n"/>
      <c r="N13" s="91" t="n"/>
      <c r="O13" s="91" t="n"/>
      <c r="P13" s="91" t="n"/>
      <c r="Q13" s="91" t="n"/>
      <c r="R13" s="91" t="n"/>
      <c r="S13" s="91" t="n"/>
      <c r="T13" s="91" t="n"/>
      <c r="U13" s="91" t="n"/>
      <c r="V13" s="91" t="n"/>
      <c r="W13" s="91" t="n"/>
      <c r="X13" s="91" t="n"/>
      <c r="Y13" s="91" t="n"/>
      <c r="Z13" s="91" t="n"/>
      <c r="AA13" s="91" t="n"/>
      <c r="AB13" s="91" t="n"/>
      <c r="AC13" s="91" t="n"/>
      <c r="AD13" s="91" t="n"/>
      <c r="AE13" s="91" t="n"/>
      <c r="AF13" s="91" t="n"/>
      <c r="AG13" s="91" t="n"/>
      <c r="AH13" s="91" t="n"/>
      <c r="AI13" s="91" t="n"/>
    </row>
    <row r="14" ht="13" customHeight="1">
      <c r="A14" s="91" t="n"/>
      <c r="B14" s="91" t="n"/>
      <c r="C14" s="91" t="n"/>
      <c r="D14" s="91" t="n"/>
      <c r="E14" s="91" t="n"/>
      <c r="F14" s="91" t="n"/>
      <c r="G14" s="91" t="n"/>
      <c r="H14" s="91" t="n"/>
      <c r="I14" s="91" t="n"/>
      <c r="J14" s="91" t="n"/>
      <c r="K14" s="91" t="n"/>
      <c r="L14" s="91" t="n"/>
      <c r="M14" s="91" t="n"/>
      <c r="N14" s="91" t="n"/>
      <c r="O14" s="91" t="n"/>
      <c r="P14" s="91" t="n"/>
      <c r="Q14" s="91" t="n"/>
      <c r="R14" s="91" t="n"/>
      <c r="S14" s="91" t="n"/>
      <c r="T14" s="91" t="n"/>
      <c r="U14" s="91" t="n"/>
      <c r="V14" s="91" t="n"/>
      <c r="W14" s="91" t="n"/>
      <c r="X14" s="91" t="n"/>
      <c r="Y14" s="91" t="n"/>
      <c r="Z14" s="91" t="n"/>
      <c r="AA14" s="91" t="n"/>
      <c r="AB14" s="91" t="n"/>
      <c r="AC14" s="91" t="n"/>
      <c r="AD14" s="91" t="n"/>
      <c r="AE14" s="91" t="n"/>
      <c r="AF14" s="91" t="n"/>
      <c r="AG14" s="91" t="n"/>
      <c r="AH14" s="91" t="n"/>
      <c r="AI14" s="91" t="n"/>
    </row>
    <row r="15" ht="8" customHeight="1"/>
    <row r="16" ht="15" customHeight="1">
      <c r="A16" s="33" t="inlineStr">
        <is>
          <t>S.No.</t>
        </is>
      </c>
      <c r="B16" s="33" t="inlineStr">
        <is>
          <t>Protocols</t>
        </is>
      </c>
      <c r="C16" s="33" t="inlineStr">
        <is>
          <t>Category</t>
        </is>
      </c>
      <c r="D16" s="33" t="inlineStr">
        <is>
          <t>Target</t>
        </is>
      </c>
      <c r="E16" s="92" t="n">
        <v>1</v>
      </c>
      <c r="F16" s="92" t="n">
        <v>2</v>
      </c>
      <c r="G16" s="93" t="n">
        <v>3</v>
      </c>
      <c r="H16" s="92" t="n">
        <v>4</v>
      </c>
      <c r="I16" s="92" t="n">
        <v>5</v>
      </c>
      <c r="J16" s="92" t="n">
        <v>6</v>
      </c>
      <c r="K16" s="92" t="n">
        <v>7</v>
      </c>
      <c r="L16" s="92" t="n">
        <v>8</v>
      </c>
      <c r="M16" s="92" t="n">
        <v>9</v>
      </c>
      <c r="N16" s="93" t="n">
        <v>10</v>
      </c>
      <c r="O16" s="92" t="n">
        <v>11</v>
      </c>
      <c r="P16" s="92" t="n">
        <v>12</v>
      </c>
      <c r="Q16" s="92" t="n">
        <v>13</v>
      </c>
      <c r="R16" s="92" t="n">
        <v>14</v>
      </c>
      <c r="S16" s="92" t="n">
        <v>15</v>
      </c>
      <c r="T16" s="92" t="n">
        <v>16</v>
      </c>
      <c r="U16" s="93" t="n">
        <v>17</v>
      </c>
      <c r="V16" s="92" t="n">
        <v>18</v>
      </c>
      <c r="W16" s="92" t="n">
        <v>19</v>
      </c>
      <c r="X16" s="92" t="n">
        <v>20</v>
      </c>
      <c r="Y16" s="92" t="n">
        <v>21</v>
      </c>
      <c r="Z16" s="92" t="n">
        <v>22</v>
      </c>
      <c r="AA16" s="92" t="n">
        <v>23</v>
      </c>
      <c r="AB16" s="93" t="n">
        <v>24</v>
      </c>
      <c r="AC16" s="92" t="n">
        <v>25</v>
      </c>
      <c r="AD16" s="92" t="n">
        <v>26</v>
      </c>
      <c r="AE16" s="92" t="n">
        <v>27</v>
      </c>
      <c r="AF16" s="92" t="n">
        <v>28</v>
      </c>
      <c r="AG16" s="94" t="inlineStr">
        <is>
          <t>Success %</t>
        </is>
      </c>
      <c r="AH16" s="94" t="inlineStr">
        <is>
          <t>Done / Target</t>
        </is>
      </c>
      <c r="AI16" s="94" t="inlineStr">
        <is>
          <t>Status</t>
        </is>
      </c>
      <c r="AJ16" t="inlineStr">
        <is>
          <t>Done Count</t>
        </is>
      </c>
    </row>
    <row r="17" ht="15" customHeight="1">
      <c r="A17" s="54" t="n"/>
      <c r="B17" s="54" t="n"/>
      <c r="C17" s="54" t="n"/>
      <c r="D17" s="54" t="n"/>
      <c r="E17" s="95" t="inlineStr">
        <is>
          <t>F</t>
        </is>
      </c>
      <c r="F17" s="95" t="inlineStr">
        <is>
          <t>Sa</t>
        </is>
      </c>
      <c r="G17" s="96" t="inlineStr">
        <is>
          <t>Su</t>
        </is>
      </c>
      <c r="H17" s="95" t="inlineStr">
        <is>
          <t>M</t>
        </is>
      </c>
      <c r="I17" s="95" t="inlineStr">
        <is>
          <t>T</t>
        </is>
      </c>
      <c r="J17" s="95" t="inlineStr">
        <is>
          <t>W</t>
        </is>
      </c>
      <c r="K17" s="95" t="inlineStr">
        <is>
          <t>Th</t>
        </is>
      </c>
      <c r="L17" s="95" t="inlineStr">
        <is>
          <t>F</t>
        </is>
      </c>
      <c r="M17" s="95" t="inlineStr">
        <is>
          <t>Sa</t>
        </is>
      </c>
      <c r="N17" s="96" t="inlineStr">
        <is>
          <t>Su</t>
        </is>
      </c>
      <c r="O17" s="95" t="inlineStr">
        <is>
          <t>M</t>
        </is>
      </c>
      <c r="P17" s="95" t="inlineStr">
        <is>
          <t>T</t>
        </is>
      </c>
      <c r="Q17" s="95" t="inlineStr">
        <is>
          <t>W</t>
        </is>
      </c>
      <c r="R17" s="95" t="inlineStr">
        <is>
          <t>Th</t>
        </is>
      </c>
      <c r="S17" s="95" t="inlineStr">
        <is>
          <t>F</t>
        </is>
      </c>
      <c r="T17" s="95" t="inlineStr">
        <is>
          <t>Sa</t>
        </is>
      </c>
      <c r="U17" s="96" t="inlineStr">
        <is>
          <t>Su</t>
        </is>
      </c>
      <c r="V17" s="95" t="inlineStr">
        <is>
          <t>M</t>
        </is>
      </c>
      <c r="W17" s="95" t="inlineStr">
        <is>
          <t>T</t>
        </is>
      </c>
      <c r="X17" s="95" t="inlineStr">
        <is>
          <t>W</t>
        </is>
      </c>
      <c r="Y17" s="95" t="inlineStr">
        <is>
          <t>Th</t>
        </is>
      </c>
      <c r="Z17" s="95" t="inlineStr">
        <is>
          <t>F</t>
        </is>
      </c>
      <c r="AA17" s="95" t="inlineStr">
        <is>
          <t>Sa</t>
        </is>
      </c>
      <c r="AB17" s="96" t="inlineStr">
        <is>
          <t>Su</t>
        </is>
      </c>
      <c r="AC17" s="95" t="inlineStr">
        <is>
          <t>M</t>
        </is>
      </c>
      <c r="AD17" s="95" t="inlineStr">
        <is>
          <t>T</t>
        </is>
      </c>
      <c r="AE17" s="95" t="inlineStr">
        <is>
          <t>W</t>
        </is>
      </c>
      <c r="AF17" s="95" t="inlineStr">
        <is>
          <t>Th</t>
        </is>
      </c>
      <c r="AG17" s="54" t="n"/>
      <c r="AH17" s="54" t="n"/>
      <c r="AI17" s="54" t="n"/>
    </row>
    <row r="18" ht="14.5" customHeight="1">
      <c r="A18" s="97" t="n">
        <v>1</v>
      </c>
      <c r="B18" s="98" t="n"/>
      <c r="C18" s="99" t="n"/>
      <c r="D18" s="99" t="n"/>
      <c r="E18" s="100" t="n"/>
      <c r="F18" s="100" t="n"/>
      <c r="G18" s="101" t="n"/>
      <c r="H18" s="100" t="n"/>
      <c r="I18" s="100" t="n"/>
      <c r="J18" s="100" t="n"/>
      <c r="K18" s="100" t="n"/>
      <c r="L18" s="100" t="n"/>
      <c r="M18" s="100" t="n"/>
      <c r="N18" s="101" t="n"/>
      <c r="O18" s="100" t="n"/>
      <c r="P18" s="100" t="n"/>
      <c r="Q18" s="100" t="n"/>
      <c r="R18" s="100" t="n"/>
      <c r="S18" s="100" t="n"/>
      <c r="T18" s="100" t="n"/>
      <c r="U18" s="101" t="n"/>
      <c r="V18" s="100" t="n"/>
      <c r="W18" s="100" t="n"/>
      <c r="X18" s="100" t="n"/>
      <c r="Y18" s="100" t="n"/>
      <c r="Z18" s="100" t="n"/>
      <c r="AA18" s="100" t="n"/>
      <c r="AB18" s="101" t="n"/>
      <c r="AC18" s="100" t="n"/>
      <c r="AD18" s="100" t="n"/>
      <c r="AE18" s="100" t="n"/>
      <c r="AF18" s="100" t="n"/>
      <c r="AG18" s="102">
        <f>IF(ISBLANK(B18), "", IF(ISNUMBER(D18), IF(D18&gt;0, (COUNTIF(E18:AF18, "✓") + COUNTIF(E18:AF18, "✔") + COUNTIF(E18:AF18, "v") + COUNTIF(E18:AF18, "V"))/D18, 0), IF(((COUNTIF(E18:AF18, "✓") + COUNTIF(E18:AF18, "✔") + COUNTIF(E18:AF18, "v") + COUNTIF(E18:AF18, "V")) + COUNTIF(E18:AF18, "✗") + COUNTIF(E18:AF18, "x") + COUNTIF(E18:AF18, "X"))&gt;0, (COUNTIF(E18:AF18, "✓") + COUNTIF(E18:AF18, "✔") + COUNTIF(E18:AF18, "v") + COUNTIF(E18:AF18, "V"))/((COUNTIF(E18:AF18, "✓") + COUNTIF(E18:AF18, "✔") + COUNTIF(E18:AF18, "v") + COUNTIF(E18:AF18, "V")) + COUNTIF(E18:AF18, "✗") + COUNTIF(E18:AF18, "x") + COUNTIF(E18:AF18, "X")), "")))</f>
        <v/>
      </c>
      <c r="AH18" s="103">
        <f>IF(ISBLANK(B18), "", IF(ISNUMBER(D18), IF(D18&gt;0, (COUNTIF(E18:AF18, "✓") + COUNTIF(E18:AF18, "✔") + COUNTIF(E18:AF18, "v") + COUNTIF(E18:AF18, "V")) &amp; "/" &amp; D18, (COUNTIF(E18:AF18, "✓") + COUNTIF(E18:AF18, "✔") + COUNTIF(E18:AF18, "v") + COUNTIF(E18:AF18, "V")) &amp; "/0"), IF(((COUNTIF(E18:AF18, "✓") + COUNTIF(E18:AF18, "✔") + COUNTIF(E18:AF18, "v") + COUNTIF(E18:AF18, "V")) + COUNTIF(E18:AF18, "✗") + COUNTIF(E18:AF18, "x") + COUNTIF(E18:AF18, "X"))&gt;0, (COUNTIF(E18:AF18, "✓") + COUNTIF(E18:AF18, "✔") + COUNTIF(E18:AF18, "v") + COUNTIF(E18:AF18, "V")) &amp; "/" &amp; ((COUNTIF(E18:AF18, "✓") + COUNTIF(E18:AF18, "✔") + COUNTIF(E18:AF18, "v") + COUNTIF(E18:AF18, "V")) + COUNTIF(E18:AF18, "✗") + COUNTIF(E18:AF18, "x") + COUNTIF(E18:AF18, "X")), "")))</f>
        <v/>
      </c>
      <c r="AI18" s="103">
        <f>IF(ISBLANK(B18), "", IF(AG18&gt;=0.85, "🔥 Mastered", IF(AG18&gt;=0.7, "⚡ Consistent", "⚠️ Needs Focus")))</f>
        <v/>
      </c>
      <c r="AJ18">
        <f>COUNTIF(E18:AF18, "✓")</f>
        <v/>
      </c>
    </row>
    <row r="19" ht="14.5" customHeight="1">
      <c r="A19" s="97" t="n">
        <v>2</v>
      </c>
      <c r="B19" s="98" t="n"/>
      <c r="C19" s="99" t="n"/>
      <c r="D19" s="99" t="n"/>
      <c r="E19" s="100" t="n"/>
      <c r="F19" s="100" t="n"/>
      <c r="G19" s="101" t="n"/>
      <c r="H19" s="100" t="n"/>
      <c r="I19" s="100" t="n"/>
      <c r="J19" s="100" t="n"/>
      <c r="K19" s="100" t="n"/>
      <c r="L19" s="100" t="n"/>
      <c r="M19" s="100" t="n"/>
      <c r="N19" s="101" t="n"/>
      <c r="O19" s="100" t="n"/>
      <c r="P19" s="100" t="n"/>
      <c r="Q19" s="100" t="n"/>
      <c r="R19" s="100" t="n"/>
      <c r="S19" s="100" t="n"/>
      <c r="T19" s="100" t="n"/>
      <c r="U19" s="101" t="n"/>
      <c r="V19" s="100" t="n"/>
      <c r="W19" s="100" t="n"/>
      <c r="X19" s="100" t="n"/>
      <c r="Y19" s="100" t="n"/>
      <c r="Z19" s="100" t="n"/>
      <c r="AA19" s="100" t="n"/>
      <c r="AB19" s="101" t="n"/>
      <c r="AC19" s="100" t="n"/>
      <c r="AD19" s="100" t="n"/>
      <c r="AE19" s="100" t="n"/>
      <c r="AF19" s="100" t="n"/>
      <c r="AG19" s="102">
        <f>IF(ISBLANK(B19), "", IF(ISNUMBER(D19), IF(D19&gt;0, (COUNTIF(E19:AF19, "✓") + COUNTIF(E19:AF19, "✔") + COUNTIF(E19:AF19, "v") + COUNTIF(E19:AF19, "V"))/D19, 0), IF(((COUNTIF(E19:AF19, "✓") + COUNTIF(E19:AF19, "✔") + COUNTIF(E19:AF19, "v") + COUNTIF(E19:AF19, "V")) + COUNTIF(E19:AF19, "✗") + COUNTIF(E19:AF19, "x") + COUNTIF(E19:AF19, "X"))&gt;0, (COUNTIF(E19:AF19, "✓") + COUNTIF(E19:AF19, "✔") + COUNTIF(E19:AF19, "v") + COUNTIF(E19:AF19, "V"))/((COUNTIF(E19:AF19, "✓") + COUNTIF(E19:AF19, "✔") + COUNTIF(E19:AF19, "v") + COUNTIF(E19:AF19, "V")) + COUNTIF(E19:AF19, "✗") + COUNTIF(E19:AF19, "x") + COUNTIF(E19:AF19, "X")), "")))</f>
        <v/>
      </c>
      <c r="AH19" s="103">
        <f>IF(ISBLANK(B19), "", IF(ISNUMBER(D19), IF(D19&gt;0, (COUNTIF(E19:AF19, "✓") + COUNTIF(E19:AF19, "✔") + COUNTIF(E19:AF19, "v") + COUNTIF(E19:AF19, "V")) &amp; "/" &amp; D19, (COUNTIF(E19:AF19, "✓") + COUNTIF(E19:AF19, "✔") + COUNTIF(E19:AF19, "v") + COUNTIF(E19:AF19, "V")) &amp; "/0"), IF(((COUNTIF(E19:AF19, "✓") + COUNTIF(E19:AF19, "✔") + COUNTIF(E19:AF19, "v") + COUNTIF(E19:AF19, "V")) + COUNTIF(E19:AF19, "✗") + COUNTIF(E19:AF19, "x") + COUNTIF(E19:AF19, "X"))&gt;0, (COUNTIF(E19:AF19, "✓") + COUNTIF(E19:AF19, "✔") + COUNTIF(E19:AF19, "v") + COUNTIF(E19:AF19, "V")) &amp; "/" &amp; ((COUNTIF(E19:AF19, "✓") + COUNTIF(E19:AF19, "✔") + COUNTIF(E19:AF19, "v") + COUNTIF(E19:AF19, "V")) + COUNTIF(E19:AF19, "✗") + COUNTIF(E19:AF19, "x") + COUNTIF(E19:AF19, "X")), "")))</f>
        <v/>
      </c>
      <c r="AI19" s="103">
        <f>IF(ISBLANK(B19), "", IF(AG19&gt;=0.85, "🔥 Mastered", IF(AG19&gt;=0.7, "⚡ Consistent", "⚠️ Needs Focus")))</f>
        <v/>
      </c>
      <c r="AJ19">
        <f>COUNTIF(E19:AF19, "✓")</f>
        <v/>
      </c>
    </row>
    <row r="20" ht="14.5" customHeight="1">
      <c r="A20" s="97" t="n">
        <v>3</v>
      </c>
      <c r="B20" s="98" t="n"/>
      <c r="C20" s="99" t="n"/>
      <c r="D20" s="99" t="n"/>
      <c r="E20" s="100" t="n"/>
      <c r="F20" s="100" t="n"/>
      <c r="G20" s="101" t="n"/>
      <c r="H20" s="100" t="n"/>
      <c r="I20" s="100" t="n"/>
      <c r="J20" s="100" t="n"/>
      <c r="K20" s="100" t="n"/>
      <c r="L20" s="100" t="n"/>
      <c r="M20" s="100" t="n"/>
      <c r="N20" s="101" t="n"/>
      <c r="O20" s="100" t="n"/>
      <c r="P20" s="100" t="n"/>
      <c r="Q20" s="100" t="n"/>
      <c r="R20" s="100" t="n"/>
      <c r="S20" s="100" t="n"/>
      <c r="T20" s="100" t="n"/>
      <c r="U20" s="101" t="n"/>
      <c r="V20" s="100" t="n"/>
      <c r="W20" s="100" t="n"/>
      <c r="X20" s="100" t="n"/>
      <c r="Y20" s="100" t="n"/>
      <c r="Z20" s="100" t="n"/>
      <c r="AA20" s="100" t="n"/>
      <c r="AB20" s="101" t="n"/>
      <c r="AC20" s="100" t="n"/>
      <c r="AD20" s="100" t="n"/>
      <c r="AE20" s="100" t="n"/>
      <c r="AF20" s="100" t="n"/>
      <c r="AG20" s="102">
        <f>IF(ISBLANK(B20), "", IF(ISNUMBER(D20), IF(D20&gt;0, (COUNTIF(E20:AF20, "✓") + COUNTIF(E20:AF20, "✔") + COUNTIF(E20:AF20, "v") + COUNTIF(E20:AF20, "V"))/D20, 0), IF(((COUNTIF(E20:AF20, "✓") + COUNTIF(E20:AF20, "✔") + COUNTIF(E20:AF20, "v") + COUNTIF(E20:AF20, "V")) + COUNTIF(E20:AF20, "✗") + COUNTIF(E20:AF20, "x") + COUNTIF(E20:AF20, "X"))&gt;0, (COUNTIF(E20:AF20, "✓") + COUNTIF(E20:AF20, "✔") + COUNTIF(E20:AF20, "v") + COUNTIF(E20:AF20, "V"))/((COUNTIF(E20:AF20, "✓") + COUNTIF(E20:AF20, "✔") + COUNTIF(E20:AF20, "v") + COUNTIF(E20:AF20, "V")) + COUNTIF(E20:AF20, "✗") + COUNTIF(E20:AF20, "x") + COUNTIF(E20:AF20, "X")), "")))</f>
        <v/>
      </c>
      <c r="AH20" s="103">
        <f>IF(ISBLANK(B20), "", IF(ISNUMBER(D20), IF(D20&gt;0, (COUNTIF(E20:AF20, "✓") + COUNTIF(E20:AF20, "✔") + COUNTIF(E20:AF20, "v") + COUNTIF(E20:AF20, "V")) &amp; "/" &amp; D20, (COUNTIF(E20:AF20, "✓") + COUNTIF(E20:AF20, "✔") + COUNTIF(E20:AF20, "v") + COUNTIF(E20:AF20, "V")) &amp; "/0"), IF(((COUNTIF(E20:AF20, "✓") + COUNTIF(E20:AF20, "✔") + COUNTIF(E20:AF20, "v") + COUNTIF(E20:AF20, "V")) + COUNTIF(E20:AF20, "✗") + COUNTIF(E20:AF20, "x") + COUNTIF(E20:AF20, "X"))&gt;0, (COUNTIF(E20:AF20, "✓") + COUNTIF(E20:AF20, "✔") + COUNTIF(E20:AF20, "v") + COUNTIF(E20:AF20, "V")) &amp; "/" &amp; ((COUNTIF(E20:AF20, "✓") + COUNTIF(E20:AF20, "✔") + COUNTIF(E20:AF20, "v") + COUNTIF(E20:AF20, "V")) + COUNTIF(E20:AF20, "✗") + COUNTIF(E20:AF20, "x") + COUNTIF(E20:AF20, "X")), "")))</f>
        <v/>
      </c>
      <c r="AI20" s="103">
        <f>IF(ISBLANK(B20), "", IF(AG20&gt;=0.85, "🔥 Mastered", IF(AG20&gt;=0.7, "⚡ Consistent", "⚠️ Needs Focus")))</f>
        <v/>
      </c>
      <c r="AJ20">
        <f>COUNTIF(E20:AF20, "✓")</f>
        <v/>
      </c>
    </row>
    <row r="21" ht="14.5" customHeight="1">
      <c r="A21" s="97" t="n">
        <v>4</v>
      </c>
      <c r="B21" s="98" t="n"/>
      <c r="C21" s="99" t="n"/>
      <c r="D21" s="99" t="n"/>
      <c r="E21" s="100" t="n"/>
      <c r="F21" s="100" t="n"/>
      <c r="G21" s="101" t="n"/>
      <c r="H21" s="100" t="n"/>
      <c r="I21" s="100" t="n"/>
      <c r="J21" s="100" t="n"/>
      <c r="K21" s="100" t="n"/>
      <c r="L21" s="100" t="n"/>
      <c r="M21" s="100" t="n"/>
      <c r="N21" s="101" t="n"/>
      <c r="O21" s="100" t="n"/>
      <c r="P21" s="100" t="n"/>
      <c r="Q21" s="100" t="n"/>
      <c r="R21" s="100" t="n"/>
      <c r="S21" s="100" t="n"/>
      <c r="T21" s="100" t="n"/>
      <c r="U21" s="101" t="n"/>
      <c r="V21" s="100" t="n"/>
      <c r="W21" s="100" t="n"/>
      <c r="X21" s="100" t="n"/>
      <c r="Y21" s="100" t="n"/>
      <c r="Z21" s="100" t="n"/>
      <c r="AA21" s="100" t="n"/>
      <c r="AB21" s="101" t="n"/>
      <c r="AC21" s="100" t="n"/>
      <c r="AD21" s="100" t="n"/>
      <c r="AE21" s="100" t="n"/>
      <c r="AF21" s="100" t="n"/>
      <c r="AG21" s="102">
        <f>IF(ISBLANK(B21), "", IF(ISNUMBER(D21), IF(D21&gt;0, (COUNTIF(E21:AF21, "✓") + COUNTIF(E21:AF21, "✔") + COUNTIF(E21:AF21, "v") + COUNTIF(E21:AF21, "V"))/D21, 0), IF(((COUNTIF(E21:AF21, "✓") + COUNTIF(E21:AF21, "✔") + COUNTIF(E21:AF21, "v") + COUNTIF(E21:AF21, "V")) + COUNTIF(E21:AF21, "✗") + COUNTIF(E21:AF21, "x") + COUNTIF(E21:AF21, "X"))&gt;0, (COUNTIF(E21:AF21, "✓") + COUNTIF(E21:AF21, "✔") + COUNTIF(E21:AF21, "v") + COUNTIF(E21:AF21, "V"))/((COUNTIF(E21:AF21, "✓") + COUNTIF(E21:AF21, "✔") + COUNTIF(E21:AF21, "v") + COUNTIF(E21:AF21, "V")) + COUNTIF(E21:AF21, "✗") + COUNTIF(E21:AF21, "x") + COUNTIF(E21:AF21, "X")), "")))</f>
        <v/>
      </c>
      <c r="AH21" s="103">
        <f>IF(ISBLANK(B21), "", IF(ISNUMBER(D21), IF(D21&gt;0, (COUNTIF(E21:AF21, "✓") + COUNTIF(E21:AF21, "✔") + COUNTIF(E21:AF21, "v") + COUNTIF(E21:AF21, "V")) &amp; "/" &amp; D21, (COUNTIF(E21:AF21, "✓") + COUNTIF(E21:AF21, "✔") + COUNTIF(E21:AF21, "v") + COUNTIF(E21:AF21, "V")) &amp; "/0"), IF(((COUNTIF(E21:AF21, "✓") + COUNTIF(E21:AF21, "✔") + COUNTIF(E21:AF21, "v") + COUNTIF(E21:AF21, "V")) + COUNTIF(E21:AF21, "✗") + COUNTIF(E21:AF21, "x") + COUNTIF(E21:AF21, "X"))&gt;0, (COUNTIF(E21:AF21, "✓") + COUNTIF(E21:AF21, "✔") + COUNTIF(E21:AF21, "v") + COUNTIF(E21:AF21, "V")) &amp; "/" &amp; ((COUNTIF(E21:AF21, "✓") + COUNTIF(E21:AF21, "✔") + COUNTIF(E21:AF21, "v") + COUNTIF(E21:AF21, "V")) + COUNTIF(E21:AF21, "✗") + COUNTIF(E21:AF21, "x") + COUNTIF(E21:AF21, "X")), "")))</f>
        <v/>
      </c>
      <c r="AI21" s="103">
        <f>IF(ISBLANK(B21), "", IF(AG21&gt;=0.85, "🔥 Mastered", IF(AG21&gt;=0.7, "⚡ Consistent", "⚠️ Needs Focus")))</f>
        <v/>
      </c>
      <c r="AJ21">
        <f>COUNTIF(E21:AF21, "✓")</f>
        <v/>
      </c>
    </row>
    <row r="22" ht="14.5" customHeight="1">
      <c r="A22" s="104" t="n">
        <v>5</v>
      </c>
      <c r="B22" s="105" t="n"/>
      <c r="C22" s="106" t="n"/>
      <c r="D22" s="106" t="n"/>
      <c r="E22" s="107" t="n"/>
      <c r="F22" s="107" t="n"/>
      <c r="G22" s="108" t="n"/>
      <c r="H22" s="107" t="n"/>
      <c r="I22" s="107" t="n"/>
      <c r="J22" s="107" t="n"/>
      <c r="K22" s="107" t="n"/>
      <c r="L22" s="107" t="n"/>
      <c r="M22" s="107" t="n"/>
      <c r="N22" s="108" t="n"/>
      <c r="O22" s="107" t="n"/>
      <c r="P22" s="107" t="n"/>
      <c r="Q22" s="107" t="n"/>
      <c r="R22" s="107" t="n"/>
      <c r="S22" s="107" t="n"/>
      <c r="T22" s="107" t="n"/>
      <c r="U22" s="108" t="n"/>
      <c r="V22" s="107" t="n"/>
      <c r="W22" s="107" t="n"/>
      <c r="X22" s="107" t="n"/>
      <c r="Y22" s="107" t="n"/>
      <c r="Z22" s="107" t="n"/>
      <c r="AA22" s="107" t="n"/>
      <c r="AB22" s="108" t="n"/>
      <c r="AC22" s="107" t="n"/>
      <c r="AD22" s="107" t="n"/>
      <c r="AE22" s="107" t="n"/>
      <c r="AF22" s="107" t="n"/>
      <c r="AG22" s="109">
        <f>IF(ISBLANK(B22), "", IF(ISNUMBER(D22), IF(D22&gt;0, (COUNTIF(E22:AF22, "✓") + COUNTIF(E22:AF22, "✔") + COUNTIF(E22:AF22, "v") + COUNTIF(E22:AF22, "V"))/D22, 0), IF(((COUNTIF(E22:AF22, "✓") + COUNTIF(E22:AF22, "✔") + COUNTIF(E22:AF22, "v") + COUNTIF(E22:AF22, "V")) + COUNTIF(E22:AF22, "✗") + COUNTIF(E22:AF22, "x") + COUNTIF(E22:AF22, "X"))&gt;0, (COUNTIF(E22:AF22, "✓") + COUNTIF(E22:AF22, "✔") + COUNTIF(E22:AF22, "v") + COUNTIF(E22:AF22, "V"))/((COUNTIF(E22:AF22, "✓") + COUNTIF(E22:AF22, "✔") + COUNTIF(E22:AF22, "v") + COUNTIF(E22:AF22, "V")) + COUNTIF(E22:AF22, "✗") + COUNTIF(E22:AF22, "x") + COUNTIF(E22:AF22, "X")), "")))</f>
        <v/>
      </c>
      <c r="AH22" s="110">
        <f>IF(ISBLANK(B22), "", IF(ISNUMBER(D22), IF(D22&gt;0, (COUNTIF(E22:AF22, "✓") + COUNTIF(E22:AF22, "✔") + COUNTIF(E22:AF22, "v") + COUNTIF(E22:AF22, "V")) &amp; "/" &amp; D22, (COUNTIF(E22:AF22, "✓") + COUNTIF(E22:AF22, "✔") + COUNTIF(E22:AF22, "v") + COUNTIF(E22:AF22, "V")) &amp; "/0"), IF(((COUNTIF(E22:AF22, "✓") + COUNTIF(E22:AF22, "✔") + COUNTIF(E22:AF22, "v") + COUNTIF(E22:AF22, "V")) + COUNTIF(E22:AF22, "✗") + COUNTIF(E22:AF22, "x") + COUNTIF(E22:AF22, "X"))&gt;0, (COUNTIF(E22:AF22, "✓") + COUNTIF(E22:AF22, "✔") + COUNTIF(E22:AF22, "v") + COUNTIF(E22:AF22, "V")) &amp; "/" &amp; ((COUNTIF(E22:AF22, "✓") + COUNTIF(E22:AF22, "✔") + COUNTIF(E22:AF22, "v") + COUNTIF(E22:AF22, "V")) + COUNTIF(E22:AF22, "✗") + COUNTIF(E22:AF22, "x") + COUNTIF(E22:AF22, "X")), "")))</f>
        <v/>
      </c>
      <c r="AI22" s="110">
        <f>IF(ISBLANK(B22), "", IF(AG22&gt;=0.85, "🔥 Mastered", IF(AG22&gt;=0.7, "⚡ Consistent", "⚠️ Needs Focus")))</f>
        <v/>
      </c>
      <c r="AJ22">
        <f>COUNTIF(E22:AF22, "✓")</f>
        <v/>
      </c>
    </row>
    <row r="23" ht="14.5" customHeight="1">
      <c r="A23" s="104" t="n">
        <v>6</v>
      </c>
      <c r="B23" s="105" t="n"/>
      <c r="C23" s="106" t="n"/>
      <c r="D23" s="106" t="n"/>
      <c r="E23" s="107" t="n"/>
      <c r="F23" s="107" t="n"/>
      <c r="G23" s="108" t="n"/>
      <c r="H23" s="107" t="n"/>
      <c r="I23" s="107" t="n"/>
      <c r="J23" s="107" t="n"/>
      <c r="K23" s="107" t="n"/>
      <c r="L23" s="107" t="n"/>
      <c r="M23" s="107" t="n"/>
      <c r="N23" s="108" t="n"/>
      <c r="O23" s="107" t="n"/>
      <c r="P23" s="107" t="n"/>
      <c r="Q23" s="107" t="n"/>
      <c r="R23" s="107" t="n"/>
      <c r="S23" s="107" t="n"/>
      <c r="T23" s="107" t="n"/>
      <c r="U23" s="108" t="n"/>
      <c r="V23" s="107" t="n"/>
      <c r="W23" s="107" t="n"/>
      <c r="X23" s="107" t="n"/>
      <c r="Y23" s="107" t="n"/>
      <c r="Z23" s="107" t="n"/>
      <c r="AA23" s="107" t="n"/>
      <c r="AB23" s="108" t="n"/>
      <c r="AC23" s="107" t="n"/>
      <c r="AD23" s="107" t="n"/>
      <c r="AE23" s="107" t="n"/>
      <c r="AF23" s="107" t="n"/>
      <c r="AG23" s="109">
        <f>IF(ISBLANK(B23), "", IF(ISNUMBER(D23), IF(D23&gt;0, (COUNTIF(E23:AF23, "✓") + COUNTIF(E23:AF23, "✔") + COUNTIF(E23:AF23, "v") + COUNTIF(E23:AF23, "V"))/D23, 0), IF(((COUNTIF(E23:AF23, "✓") + COUNTIF(E23:AF23, "✔") + COUNTIF(E23:AF23, "v") + COUNTIF(E23:AF23, "V")) + COUNTIF(E23:AF23, "✗") + COUNTIF(E23:AF23, "x") + COUNTIF(E23:AF23, "X"))&gt;0, (COUNTIF(E23:AF23, "✓") + COUNTIF(E23:AF23, "✔") + COUNTIF(E23:AF23, "v") + COUNTIF(E23:AF23, "V"))/((COUNTIF(E23:AF23, "✓") + COUNTIF(E23:AF23, "✔") + COUNTIF(E23:AF23, "v") + COUNTIF(E23:AF23, "V")) + COUNTIF(E23:AF23, "✗") + COUNTIF(E23:AF23, "x") + COUNTIF(E23:AF23, "X")), "")))</f>
        <v/>
      </c>
      <c r="AH23" s="110">
        <f>IF(ISBLANK(B23), "", IF(ISNUMBER(D23), IF(D23&gt;0, (COUNTIF(E23:AF23, "✓") + COUNTIF(E23:AF23, "✔") + COUNTIF(E23:AF23, "v") + COUNTIF(E23:AF23, "V")) &amp; "/" &amp; D23, (COUNTIF(E23:AF23, "✓") + COUNTIF(E23:AF23, "✔") + COUNTIF(E23:AF23, "v") + COUNTIF(E23:AF23, "V")) &amp; "/0"), IF(((COUNTIF(E23:AF23, "✓") + COUNTIF(E23:AF23, "✔") + COUNTIF(E23:AF23, "v") + COUNTIF(E23:AF23, "V")) + COUNTIF(E23:AF23, "✗") + COUNTIF(E23:AF23, "x") + COUNTIF(E23:AF23, "X"))&gt;0, (COUNTIF(E23:AF23, "✓") + COUNTIF(E23:AF23, "✔") + COUNTIF(E23:AF23, "v") + COUNTIF(E23:AF23, "V")) &amp; "/" &amp; ((COUNTIF(E23:AF23, "✓") + COUNTIF(E23:AF23, "✔") + COUNTIF(E23:AF23, "v") + COUNTIF(E23:AF23, "V")) + COUNTIF(E23:AF23, "✗") + COUNTIF(E23:AF23, "x") + COUNTIF(E23:AF23, "X")), "")))</f>
        <v/>
      </c>
      <c r="AI23" s="110">
        <f>IF(ISBLANK(B23), "", IF(AG23&gt;=0.85, "🔥 Mastered", IF(AG23&gt;=0.7, "⚡ Consistent", "⚠️ Needs Focus")))</f>
        <v/>
      </c>
      <c r="AJ23">
        <f>COUNTIF(E23:AF23, "✓")</f>
        <v/>
      </c>
    </row>
    <row r="24" ht="14.5" customHeight="1">
      <c r="A24" s="104" t="n">
        <v>7</v>
      </c>
      <c r="B24" s="105" t="n"/>
      <c r="C24" s="106" t="n"/>
      <c r="D24" s="106" t="n"/>
      <c r="E24" s="107" t="n"/>
      <c r="F24" s="107" t="n"/>
      <c r="G24" s="108" t="n"/>
      <c r="H24" s="107" t="n"/>
      <c r="I24" s="107" t="n"/>
      <c r="J24" s="107" t="n"/>
      <c r="K24" s="107" t="n"/>
      <c r="L24" s="107" t="n"/>
      <c r="M24" s="107" t="n"/>
      <c r="N24" s="108" t="n"/>
      <c r="O24" s="107" t="n"/>
      <c r="P24" s="107" t="n"/>
      <c r="Q24" s="107" t="n"/>
      <c r="R24" s="107" t="n"/>
      <c r="S24" s="107" t="n"/>
      <c r="T24" s="107" t="n"/>
      <c r="U24" s="108" t="n"/>
      <c r="V24" s="107" t="n"/>
      <c r="W24" s="107" t="n"/>
      <c r="X24" s="107" t="n"/>
      <c r="Y24" s="107" t="n"/>
      <c r="Z24" s="107" t="n"/>
      <c r="AA24" s="107" t="n"/>
      <c r="AB24" s="108" t="n"/>
      <c r="AC24" s="107" t="n"/>
      <c r="AD24" s="107" t="n"/>
      <c r="AE24" s="107" t="n"/>
      <c r="AF24" s="107" t="n"/>
      <c r="AG24" s="109">
        <f>IF(ISBLANK(B24), "", IF(ISNUMBER(D24), IF(D24&gt;0, (COUNTIF(E24:AF24, "✓") + COUNTIF(E24:AF24, "✔") + COUNTIF(E24:AF24, "v") + COUNTIF(E24:AF24, "V"))/D24, 0), IF(((COUNTIF(E24:AF24, "✓") + COUNTIF(E24:AF24, "✔") + COUNTIF(E24:AF24, "v") + COUNTIF(E24:AF24, "V")) + COUNTIF(E24:AF24, "✗") + COUNTIF(E24:AF24, "x") + COUNTIF(E24:AF24, "X"))&gt;0, (COUNTIF(E24:AF24, "✓") + COUNTIF(E24:AF24, "✔") + COUNTIF(E24:AF24, "v") + COUNTIF(E24:AF24, "V"))/((COUNTIF(E24:AF24, "✓") + COUNTIF(E24:AF24, "✔") + COUNTIF(E24:AF24, "v") + COUNTIF(E24:AF24, "V")) + COUNTIF(E24:AF24, "✗") + COUNTIF(E24:AF24, "x") + COUNTIF(E24:AF24, "X")), "")))</f>
        <v/>
      </c>
      <c r="AH24" s="110">
        <f>IF(ISBLANK(B24), "", IF(ISNUMBER(D24), IF(D24&gt;0, (COUNTIF(E24:AF24, "✓") + COUNTIF(E24:AF24, "✔") + COUNTIF(E24:AF24, "v") + COUNTIF(E24:AF24, "V")) &amp; "/" &amp; D24, (COUNTIF(E24:AF24, "✓") + COUNTIF(E24:AF24, "✔") + COUNTIF(E24:AF24, "v") + COUNTIF(E24:AF24, "V")) &amp; "/0"), IF(((COUNTIF(E24:AF24, "✓") + COUNTIF(E24:AF24, "✔") + COUNTIF(E24:AF24, "v") + COUNTIF(E24:AF24, "V")) + COUNTIF(E24:AF24, "✗") + COUNTIF(E24:AF24, "x") + COUNTIF(E24:AF24, "X"))&gt;0, (COUNTIF(E24:AF24, "✓") + COUNTIF(E24:AF24, "✔") + COUNTIF(E24:AF24, "v") + COUNTIF(E24:AF24, "V")) &amp; "/" &amp; ((COUNTIF(E24:AF24, "✓") + COUNTIF(E24:AF24, "✔") + COUNTIF(E24:AF24, "v") + COUNTIF(E24:AF24, "V")) + COUNTIF(E24:AF24, "✗") + COUNTIF(E24:AF24, "x") + COUNTIF(E24:AF24, "X")), "")))</f>
        <v/>
      </c>
      <c r="AI24" s="110">
        <f>IF(ISBLANK(B24), "", IF(AG24&gt;=0.85, "🔥 Mastered", IF(AG24&gt;=0.7, "⚡ Consistent", "⚠️ Needs Focus")))</f>
        <v/>
      </c>
      <c r="AJ24">
        <f>COUNTIF(E24:AF24, "✓")</f>
        <v/>
      </c>
    </row>
    <row r="25" ht="14.5" customHeight="1">
      <c r="A25" s="104" t="n">
        <v>8</v>
      </c>
      <c r="B25" s="105" t="n"/>
      <c r="C25" s="106" t="n"/>
      <c r="D25" s="106" t="n"/>
      <c r="E25" s="107" t="n"/>
      <c r="F25" s="107" t="n"/>
      <c r="G25" s="108" t="n"/>
      <c r="H25" s="107" t="n"/>
      <c r="I25" s="107" t="n"/>
      <c r="J25" s="107" t="n"/>
      <c r="K25" s="107" t="n"/>
      <c r="L25" s="107" t="n"/>
      <c r="M25" s="107" t="n"/>
      <c r="N25" s="108" t="n"/>
      <c r="O25" s="107" t="n"/>
      <c r="P25" s="107" t="n"/>
      <c r="Q25" s="107" t="n"/>
      <c r="R25" s="107" t="n"/>
      <c r="S25" s="107" t="n"/>
      <c r="T25" s="107" t="n"/>
      <c r="U25" s="108" t="n"/>
      <c r="V25" s="107" t="n"/>
      <c r="W25" s="107" t="n"/>
      <c r="X25" s="107" t="n"/>
      <c r="Y25" s="107" t="n"/>
      <c r="Z25" s="107" t="n"/>
      <c r="AA25" s="107" t="n"/>
      <c r="AB25" s="108" t="n"/>
      <c r="AC25" s="107" t="n"/>
      <c r="AD25" s="107" t="n"/>
      <c r="AE25" s="107" t="n"/>
      <c r="AF25" s="107" t="n"/>
      <c r="AG25" s="109">
        <f>IF(ISBLANK(B25), "", IF(ISNUMBER(D25), IF(D25&gt;0, (COUNTIF(E25:AF25, "✓") + COUNTIF(E25:AF25, "✔") + COUNTIF(E25:AF25, "v") + COUNTIF(E25:AF25, "V"))/D25, 0), IF(((COUNTIF(E25:AF25, "✓") + COUNTIF(E25:AF25, "✔") + COUNTIF(E25:AF25, "v") + COUNTIF(E25:AF25, "V")) + COUNTIF(E25:AF25, "✗") + COUNTIF(E25:AF25, "x") + COUNTIF(E25:AF25, "X"))&gt;0, (COUNTIF(E25:AF25, "✓") + COUNTIF(E25:AF25, "✔") + COUNTIF(E25:AF25, "v") + COUNTIF(E25:AF25, "V"))/((COUNTIF(E25:AF25, "✓") + COUNTIF(E25:AF25, "✔") + COUNTIF(E25:AF25, "v") + COUNTIF(E25:AF25, "V")) + COUNTIF(E25:AF25, "✗") + COUNTIF(E25:AF25, "x") + COUNTIF(E25:AF25, "X")), "")))</f>
        <v/>
      </c>
      <c r="AH25" s="110">
        <f>IF(ISBLANK(B25), "", IF(ISNUMBER(D25), IF(D25&gt;0, (COUNTIF(E25:AF25, "✓") + COUNTIF(E25:AF25, "✔") + COUNTIF(E25:AF25, "v") + COUNTIF(E25:AF25, "V")) &amp; "/" &amp; D25, (COUNTIF(E25:AF25, "✓") + COUNTIF(E25:AF25, "✔") + COUNTIF(E25:AF25, "v") + COUNTIF(E25:AF25, "V")) &amp; "/0"), IF(((COUNTIF(E25:AF25, "✓") + COUNTIF(E25:AF25, "✔") + COUNTIF(E25:AF25, "v") + COUNTIF(E25:AF25, "V")) + COUNTIF(E25:AF25, "✗") + COUNTIF(E25:AF25, "x") + COUNTIF(E25:AF25, "X"))&gt;0, (COUNTIF(E25:AF25, "✓") + COUNTIF(E25:AF25, "✔") + COUNTIF(E25:AF25, "v") + COUNTIF(E25:AF25, "V")) &amp; "/" &amp; ((COUNTIF(E25:AF25, "✓") + COUNTIF(E25:AF25, "✔") + COUNTIF(E25:AF25, "v") + COUNTIF(E25:AF25, "V")) + COUNTIF(E25:AF25, "✗") + COUNTIF(E25:AF25, "x") + COUNTIF(E25:AF25, "X")), "")))</f>
        <v/>
      </c>
      <c r="AI25" s="110">
        <f>IF(ISBLANK(B25), "", IF(AG25&gt;=0.85, "🔥 Mastered", IF(AG25&gt;=0.7, "⚡ Consistent", "⚠️ Needs Focus")))</f>
        <v/>
      </c>
      <c r="AJ25">
        <f>COUNTIF(E25:AF25, "✓")</f>
        <v/>
      </c>
    </row>
    <row r="26" ht="14.5" customHeight="1">
      <c r="A26" s="111" t="n">
        <v>9</v>
      </c>
      <c r="B26" s="112" t="n"/>
      <c r="C26" s="113" t="n"/>
      <c r="D26" s="113" t="n"/>
      <c r="E26" s="114" t="n"/>
      <c r="F26" s="114" t="n"/>
      <c r="G26" s="115" t="n"/>
      <c r="H26" s="114" t="n"/>
      <c r="I26" s="114" t="n"/>
      <c r="J26" s="114" t="n"/>
      <c r="K26" s="114" t="n"/>
      <c r="L26" s="114" t="n"/>
      <c r="M26" s="114" t="n"/>
      <c r="N26" s="115" t="n"/>
      <c r="O26" s="114" t="n"/>
      <c r="P26" s="114" t="n"/>
      <c r="Q26" s="114" t="n"/>
      <c r="R26" s="114" t="n"/>
      <c r="S26" s="114" t="n"/>
      <c r="T26" s="114" t="n"/>
      <c r="U26" s="115" t="n"/>
      <c r="V26" s="114" t="n"/>
      <c r="W26" s="114" t="n"/>
      <c r="X26" s="114" t="n"/>
      <c r="Y26" s="114" t="n"/>
      <c r="Z26" s="114" t="n"/>
      <c r="AA26" s="114" t="n"/>
      <c r="AB26" s="115" t="n"/>
      <c r="AC26" s="114" t="n"/>
      <c r="AD26" s="114" t="n"/>
      <c r="AE26" s="114" t="n"/>
      <c r="AF26" s="114" t="n"/>
      <c r="AG26" s="116">
        <f>IF(ISBLANK(B26), "", IF(ISNUMBER(D26), IF(D26&gt;0, (COUNTIF(E26:AF26, "✓") + COUNTIF(E26:AF26, "✔") + COUNTIF(E26:AF26, "v") + COUNTIF(E26:AF26, "V"))/D26, 0), IF(((COUNTIF(E26:AF26, "✓") + COUNTIF(E26:AF26, "✔") + COUNTIF(E26:AF26, "v") + COUNTIF(E26:AF26, "V")) + COUNTIF(E26:AF26, "✗") + COUNTIF(E26:AF26, "x") + COUNTIF(E26:AF26, "X"))&gt;0, (COUNTIF(E26:AF26, "✓") + COUNTIF(E26:AF26, "✔") + COUNTIF(E26:AF26, "v") + COUNTIF(E26:AF26, "V"))/((COUNTIF(E26:AF26, "✓") + COUNTIF(E26:AF26, "✔") + COUNTIF(E26:AF26, "v") + COUNTIF(E26:AF26, "V")) + COUNTIF(E26:AF26, "✗") + COUNTIF(E26:AF26, "x") + COUNTIF(E26:AF26, "X")), "")))</f>
        <v/>
      </c>
      <c r="AH26" s="117">
        <f>IF(ISBLANK(B26), "", IF(ISNUMBER(D26), IF(D26&gt;0, (COUNTIF(E26:AF26, "✓") + COUNTIF(E26:AF26, "✔") + COUNTIF(E26:AF26, "v") + COUNTIF(E26:AF26, "V")) &amp; "/" &amp; D26, (COUNTIF(E26:AF26, "✓") + COUNTIF(E26:AF26, "✔") + COUNTIF(E26:AF26, "v") + COUNTIF(E26:AF26, "V")) &amp; "/0"), IF(((COUNTIF(E26:AF26, "✓") + COUNTIF(E26:AF26, "✔") + COUNTIF(E26:AF26, "v") + COUNTIF(E26:AF26, "V")) + COUNTIF(E26:AF26, "✗") + COUNTIF(E26:AF26, "x") + COUNTIF(E26:AF26, "X"))&gt;0, (COUNTIF(E26:AF26, "✓") + COUNTIF(E26:AF26, "✔") + COUNTIF(E26:AF26, "v") + COUNTIF(E26:AF26, "V")) &amp; "/" &amp; ((COUNTIF(E26:AF26, "✓") + COUNTIF(E26:AF26, "✔") + COUNTIF(E26:AF26, "v") + COUNTIF(E26:AF26, "V")) + COUNTIF(E26:AF26, "✗") + COUNTIF(E26:AF26, "x") + COUNTIF(E26:AF26, "X")), "")))</f>
        <v/>
      </c>
      <c r="AI26" s="117">
        <f>IF(ISBLANK(B26), "", IF(AG26&gt;=0.85, "🔥 Mastered", IF(AG26&gt;=0.7, "⚡ Consistent", "⚠️ Needs Focus")))</f>
        <v/>
      </c>
      <c r="AJ26">
        <f>COUNTIF(E26:AF26, "✓")</f>
        <v/>
      </c>
    </row>
    <row r="27" ht="14.5" customHeight="1">
      <c r="A27" s="111" t="n">
        <v>10</v>
      </c>
      <c r="B27" s="112" t="n"/>
      <c r="C27" s="113" t="n"/>
      <c r="D27" s="113" t="n"/>
      <c r="E27" s="114" t="n"/>
      <c r="F27" s="114" t="n"/>
      <c r="G27" s="115" t="n"/>
      <c r="H27" s="114" t="n"/>
      <c r="I27" s="114" t="n"/>
      <c r="J27" s="114" t="n"/>
      <c r="K27" s="114" t="n"/>
      <c r="L27" s="114" t="n"/>
      <c r="M27" s="114" t="n"/>
      <c r="N27" s="115" t="n"/>
      <c r="O27" s="114" t="n"/>
      <c r="P27" s="114" t="n"/>
      <c r="Q27" s="114" t="n"/>
      <c r="R27" s="114" t="n"/>
      <c r="S27" s="114" t="n"/>
      <c r="T27" s="114" t="n"/>
      <c r="U27" s="115" t="n"/>
      <c r="V27" s="114" t="n"/>
      <c r="W27" s="114" t="n"/>
      <c r="X27" s="114" t="n"/>
      <c r="Y27" s="114" t="n"/>
      <c r="Z27" s="114" t="n"/>
      <c r="AA27" s="114" t="n"/>
      <c r="AB27" s="115" t="n"/>
      <c r="AC27" s="114" t="n"/>
      <c r="AD27" s="114" t="n"/>
      <c r="AE27" s="114" t="n"/>
      <c r="AF27" s="114" t="n"/>
      <c r="AG27" s="116">
        <f>IF(ISBLANK(B27), "", IF(ISNUMBER(D27), IF(D27&gt;0, (COUNTIF(E27:AF27, "✓") + COUNTIF(E27:AF27, "✔") + COUNTIF(E27:AF27, "v") + COUNTIF(E27:AF27, "V"))/D27, 0), IF(((COUNTIF(E27:AF27, "✓") + COUNTIF(E27:AF27, "✔") + COUNTIF(E27:AF27, "v") + COUNTIF(E27:AF27, "V")) + COUNTIF(E27:AF27, "✗") + COUNTIF(E27:AF27, "x") + COUNTIF(E27:AF27, "X"))&gt;0, (COUNTIF(E27:AF27, "✓") + COUNTIF(E27:AF27, "✔") + COUNTIF(E27:AF27, "v") + COUNTIF(E27:AF27, "V"))/((COUNTIF(E27:AF27, "✓") + COUNTIF(E27:AF27, "✔") + COUNTIF(E27:AF27, "v") + COUNTIF(E27:AF27, "V")) + COUNTIF(E27:AF27, "✗") + COUNTIF(E27:AF27, "x") + COUNTIF(E27:AF27, "X")), "")))</f>
        <v/>
      </c>
      <c r="AH27" s="117">
        <f>IF(ISBLANK(B27), "", IF(ISNUMBER(D27), IF(D27&gt;0, (COUNTIF(E27:AF27, "✓") + COUNTIF(E27:AF27, "✔") + COUNTIF(E27:AF27, "v") + COUNTIF(E27:AF27, "V")) &amp; "/" &amp; D27, (COUNTIF(E27:AF27, "✓") + COUNTIF(E27:AF27, "✔") + COUNTIF(E27:AF27, "v") + COUNTIF(E27:AF27, "V")) &amp; "/0"), IF(((COUNTIF(E27:AF27, "✓") + COUNTIF(E27:AF27, "✔") + COUNTIF(E27:AF27, "v") + COUNTIF(E27:AF27, "V")) + COUNTIF(E27:AF27, "✗") + COUNTIF(E27:AF27, "x") + COUNTIF(E27:AF27, "X"))&gt;0, (COUNTIF(E27:AF27, "✓") + COUNTIF(E27:AF27, "✔") + COUNTIF(E27:AF27, "v") + COUNTIF(E27:AF27, "V")) &amp; "/" &amp; ((COUNTIF(E27:AF27, "✓") + COUNTIF(E27:AF27, "✔") + COUNTIF(E27:AF27, "v") + COUNTIF(E27:AF27, "V")) + COUNTIF(E27:AF27, "✗") + COUNTIF(E27:AF27, "x") + COUNTIF(E27:AF27, "X")), "")))</f>
        <v/>
      </c>
      <c r="AI27" s="117">
        <f>IF(ISBLANK(B27), "", IF(AG27&gt;=0.85, "🔥 Mastered", IF(AG27&gt;=0.7, "⚡ Consistent", "⚠️ Needs Focus")))</f>
        <v/>
      </c>
      <c r="AJ27">
        <f>COUNTIF(E27:AF27, "✓")</f>
        <v/>
      </c>
    </row>
    <row r="28" ht="14.5" customHeight="1">
      <c r="A28" s="111" t="n">
        <v>11</v>
      </c>
      <c r="B28" s="112" t="n"/>
      <c r="C28" s="113" t="n"/>
      <c r="D28" s="113" t="n"/>
      <c r="E28" s="114" t="n"/>
      <c r="F28" s="114" t="n"/>
      <c r="G28" s="115" t="n"/>
      <c r="H28" s="114" t="n"/>
      <c r="I28" s="114" t="n"/>
      <c r="J28" s="114" t="n"/>
      <c r="K28" s="114" t="n"/>
      <c r="L28" s="114" t="n"/>
      <c r="M28" s="114" t="n"/>
      <c r="N28" s="115" t="n"/>
      <c r="O28" s="114" t="n"/>
      <c r="P28" s="114" t="n"/>
      <c r="Q28" s="114" t="n"/>
      <c r="R28" s="114" t="n"/>
      <c r="S28" s="114" t="n"/>
      <c r="T28" s="114" t="n"/>
      <c r="U28" s="115" t="n"/>
      <c r="V28" s="114" t="n"/>
      <c r="W28" s="114" t="n"/>
      <c r="X28" s="114" t="n"/>
      <c r="Y28" s="114" t="n"/>
      <c r="Z28" s="114" t="n"/>
      <c r="AA28" s="114" t="n"/>
      <c r="AB28" s="115" t="n"/>
      <c r="AC28" s="114" t="n"/>
      <c r="AD28" s="114" t="n"/>
      <c r="AE28" s="114" t="n"/>
      <c r="AF28" s="114" t="n"/>
      <c r="AG28" s="116">
        <f>IF(ISBLANK(B28), "", IF(ISNUMBER(D28), IF(D28&gt;0, (COUNTIF(E28:AF28, "✓") + COUNTIF(E28:AF28, "✔") + COUNTIF(E28:AF28, "v") + COUNTIF(E28:AF28, "V"))/D28, 0), IF(((COUNTIF(E28:AF28, "✓") + COUNTIF(E28:AF28, "✔") + COUNTIF(E28:AF28, "v") + COUNTIF(E28:AF28, "V")) + COUNTIF(E28:AF28, "✗") + COUNTIF(E28:AF28, "x") + COUNTIF(E28:AF28, "X"))&gt;0, (COUNTIF(E28:AF28, "✓") + COUNTIF(E28:AF28, "✔") + COUNTIF(E28:AF28, "v") + COUNTIF(E28:AF28, "V"))/((COUNTIF(E28:AF28, "✓") + COUNTIF(E28:AF28, "✔") + COUNTIF(E28:AF28, "v") + COUNTIF(E28:AF28, "V")) + COUNTIF(E28:AF28, "✗") + COUNTIF(E28:AF28, "x") + COUNTIF(E28:AF28, "X")), "")))</f>
        <v/>
      </c>
      <c r="AH28" s="117">
        <f>IF(ISBLANK(B28), "", IF(ISNUMBER(D28), IF(D28&gt;0, (COUNTIF(E28:AF28, "✓") + COUNTIF(E28:AF28, "✔") + COUNTIF(E28:AF28, "v") + COUNTIF(E28:AF28, "V")) &amp; "/" &amp; D28, (COUNTIF(E28:AF28, "✓") + COUNTIF(E28:AF28, "✔") + COUNTIF(E28:AF28, "v") + COUNTIF(E28:AF28, "V")) &amp; "/0"), IF(((COUNTIF(E28:AF28, "✓") + COUNTIF(E28:AF28, "✔") + COUNTIF(E28:AF28, "v") + COUNTIF(E28:AF28, "V")) + COUNTIF(E28:AF28, "✗") + COUNTIF(E28:AF28, "x") + COUNTIF(E28:AF28, "X"))&gt;0, (COUNTIF(E28:AF28, "✓") + COUNTIF(E28:AF28, "✔") + COUNTIF(E28:AF28, "v") + COUNTIF(E28:AF28, "V")) &amp; "/" &amp; ((COUNTIF(E28:AF28, "✓") + COUNTIF(E28:AF28, "✔") + COUNTIF(E28:AF28, "v") + COUNTIF(E28:AF28, "V")) + COUNTIF(E28:AF28, "✗") + COUNTIF(E28:AF28, "x") + COUNTIF(E28:AF28, "X")), "")))</f>
        <v/>
      </c>
      <c r="AI28" s="117">
        <f>IF(ISBLANK(B28), "", IF(AG28&gt;=0.85, "🔥 Mastered", IF(AG28&gt;=0.7, "⚡ Consistent", "⚠️ Needs Focus")))</f>
        <v/>
      </c>
      <c r="AJ28">
        <f>COUNTIF(E28:AF28, "✓")</f>
        <v/>
      </c>
    </row>
    <row r="29" ht="14.5" customHeight="1">
      <c r="A29" s="111" t="n">
        <v>12</v>
      </c>
      <c r="B29" s="112" t="n"/>
      <c r="C29" s="113" t="n"/>
      <c r="D29" s="113" t="n"/>
      <c r="E29" s="114" t="n"/>
      <c r="F29" s="114" t="n"/>
      <c r="G29" s="115" t="n"/>
      <c r="H29" s="114" t="n"/>
      <c r="I29" s="114" t="n"/>
      <c r="J29" s="114" t="n"/>
      <c r="K29" s="114" t="n"/>
      <c r="L29" s="114" t="n"/>
      <c r="M29" s="114" t="n"/>
      <c r="N29" s="115" t="n"/>
      <c r="O29" s="114" t="n"/>
      <c r="P29" s="114" t="n"/>
      <c r="Q29" s="114" t="n"/>
      <c r="R29" s="114" t="n"/>
      <c r="S29" s="114" t="n"/>
      <c r="T29" s="114" t="n"/>
      <c r="U29" s="115" t="n"/>
      <c r="V29" s="114" t="n"/>
      <c r="W29" s="114" t="n"/>
      <c r="X29" s="114" t="n"/>
      <c r="Y29" s="114" t="n"/>
      <c r="Z29" s="114" t="n"/>
      <c r="AA29" s="114" t="n"/>
      <c r="AB29" s="115" t="n"/>
      <c r="AC29" s="114" t="n"/>
      <c r="AD29" s="114" t="n"/>
      <c r="AE29" s="114" t="n"/>
      <c r="AF29" s="114" t="n"/>
      <c r="AG29" s="116">
        <f>IF(ISBLANK(B29), "", IF(ISNUMBER(D29), IF(D29&gt;0, (COUNTIF(E29:AF29, "✓") + COUNTIF(E29:AF29, "✔") + COUNTIF(E29:AF29, "v") + COUNTIF(E29:AF29, "V"))/D29, 0), IF(((COUNTIF(E29:AF29, "✓") + COUNTIF(E29:AF29, "✔") + COUNTIF(E29:AF29, "v") + COUNTIF(E29:AF29, "V")) + COUNTIF(E29:AF29, "✗") + COUNTIF(E29:AF29, "x") + COUNTIF(E29:AF29, "X"))&gt;0, (COUNTIF(E29:AF29, "✓") + COUNTIF(E29:AF29, "✔") + COUNTIF(E29:AF29, "v") + COUNTIF(E29:AF29, "V"))/((COUNTIF(E29:AF29, "✓") + COUNTIF(E29:AF29, "✔") + COUNTIF(E29:AF29, "v") + COUNTIF(E29:AF29, "V")) + COUNTIF(E29:AF29, "✗") + COUNTIF(E29:AF29, "x") + COUNTIF(E29:AF29, "X")), "")))</f>
        <v/>
      </c>
      <c r="AH29" s="117">
        <f>IF(ISBLANK(B29), "", IF(ISNUMBER(D29), IF(D29&gt;0, (COUNTIF(E29:AF29, "✓") + COUNTIF(E29:AF29, "✔") + COUNTIF(E29:AF29, "v") + COUNTIF(E29:AF29, "V")) &amp; "/" &amp; D29, (COUNTIF(E29:AF29, "✓") + COUNTIF(E29:AF29, "✔") + COUNTIF(E29:AF29, "v") + COUNTIF(E29:AF29, "V")) &amp; "/0"), IF(((COUNTIF(E29:AF29, "✓") + COUNTIF(E29:AF29, "✔") + COUNTIF(E29:AF29, "v") + COUNTIF(E29:AF29, "V")) + COUNTIF(E29:AF29, "✗") + COUNTIF(E29:AF29, "x") + COUNTIF(E29:AF29, "X"))&gt;0, (COUNTIF(E29:AF29, "✓") + COUNTIF(E29:AF29, "✔") + COUNTIF(E29:AF29, "v") + COUNTIF(E29:AF29, "V")) &amp; "/" &amp; ((COUNTIF(E29:AF29, "✓") + COUNTIF(E29:AF29, "✔") + COUNTIF(E29:AF29, "v") + COUNTIF(E29:AF29, "V")) + COUNTIF(E29:AF29, "✗") + COUNTIF(E29:AF29, "x") + COUNTIF(E29:AF29, "X")), "")))</f>
        <v/>
      </c>
      <c r="AI29" s="117">
        <f>IF(ISBLANK(B29), "", IF(AG29&gt;=0.85, "🔥 Mastered", IF(AG29&gt;=0.7, "⚡ Consistent", "⚠️ Needs Focus")))</f>
        <v/>
      </c>
      <c r="AJ29">
        <f>COUNTIF(E29:AF29, "✓")</f>
        <v/>
      </c>
    </row>
    <row r="30" ht="14.5" customHeight="1">
      <c r="A30" s="118" t="n">
        <v>13</v>
      </c>
      <c r="B30" s="119" t="n"/>
      <c r="C30" s="120" t="n"/>
      <c r="D30" s="120" t="n"/>
      <c r="E30" s="121" t="n"/>
      <c r="F30" s="121" t="n"/>
      <c r="G30" s="122" t="n"/>
      <c r="H30" s="121" t="n"/>
      <c r="I30" s="121" t="n"/>
      <c r="J30" s="121" t="n"/>
      <c r="K30" s="121" t="n"/>
      <c r="L30" s="121" t="n"/>
      <c r="M30" s="121" t="n"/>
      <c r="N30" s="122" t="n"/>
      <c r="O30" s="121" t="n"/>
      <c r="P30" s="121" t="n"/>
      <c r="Q30" s="121" t="n"/>
      <c r="R30" s="121" t="n"/>
      <c r="S30" s="121" t="n"/>
      <c r="T30" s="121" t="n"/>
      <c r="U30" s="122" t="n"/>
      <c r="V30" s="121" t="n"/>
      <c r="W30" s="121" t="n"/>
      <c r="X30" s="121" t="n"/>
      <c r="Y30" s="121" t="n"/>
      <c r="Z30" s="121" t="n"/>
      <c r="AA30" s="121" t="n"/>
      <c r="AB30" s="122" t="n"/>
      <c r="AC30" s="121" t="n"/>
      <c r="AD30" s="121" t="n"/>
      <c r="AE30" s="121" t="n"/>
      <c r="AF30" s="121" t="n"/>
      <c r="AG30" s="123">
        <f>IF(ISBLANK(B30), "", IF(ISNUMBER(D30), IF(D30&gt;0, (COUNTIF(E30:AF30, "✓") + COUNTIF(E30:AF30, "✔") + COUNTIF(E30:AF30, "v") + COUNTIF(E30:AF30, "V"))/D30, 0), IF(((COUNTIF(E30:AF30, "✓") + COUNTIF(E30:AF30, "✔") + COUNTIF(E30:AF30, "v") + COUNTIF(E30:AF30, "V")) + COUNTIF(E30:AF30, "✗") + COUNTIF(E30:AF30, "x") + COUNTIF(E30:AF30, "X"))&gt;0, (COUNTIF(E30:AF30, "✓") + COUNTIF(E30:AF30, "✔") + COUNTIF(E30:AF30, "v") + COUNTIF(E30:AF30, "V"))/((COUNTIF(E30:AF30, "✓") + COUNTIF(E30:AF30, "✔") + COUNTIF(E30:AF30, "v") + COUNTIF(E30:AF30, "V")) + COUNTIF(E30:AF30, "✗") + COUNTIF(E30:AF30, "x") + COUNTIF(E30:AF30, "X")), "")))</f>
        <v/>
      </c>
      <c r="AH30" s="124">
        <f>IF(ISBLANK(B30), "", IF(ISNUMBER(D30), IF(D30&gt;0, (COUNTIF(E30:AF30, "✓") + COUNTIF(E30:AF30, "✔") + COUNTIF(E30:AF30, "v") + COUNTIF(E30:AF30, "V")) &amp; "/" &amp; D30, (COUNTIF(E30:AF30, "✓") + COUNTIF(E30:AF30, "✔") + COUNTIF(E30:AF30, "v") + COUNTIF(E30:AF30, "V")) &amp; "/0"), IF(((COUNTIF(E30:AF30, "✓") + COUNTIF(E30:AF30, "✔") + COUNTIF(E30:AF30, "v") + COUNTIF(E30:AF30, "V")) + COUNTIF(E30:AF30, "✗") + COUNTIF(E30:AF30, "x") + COUNTIF(E30:AF30, "X"))&gt;0, (COUNTIF(E30:AF30, "✓") + COUNTIF(E30:AF30, "✔") + COUNTIF(E30:AF30, "v") + COUNTIF(E30:AF30, "V")) &amp; "/" &amp; ((COUNTIF(E30:AF30, "✓") + COUNTIF(E30:AF30, "✔") + COUNTIF(E30:AF30, "v") + COUNTIF(E30:AF30, "V")) + COUNTIF(E30:AF30, "✗") + COUNTIF(E30:AF30, "x") + COUNTIF(E30:AF30, "X")), "")))</f>
        <v/>
      </c>
      <c r="AI30" s="124">
        <f>IF(ISBLANK(B30), "", IF(AG30&gt;=0.85, "🔥 Mastered", IF(AG30&gt;=0.7, "⚡ Consistent", "⚠️ Needs Focus")))</f>
        <v/>
      </c>
      <c r="AJ30">
        <f>COUNTIF(E30:AF30, "✓")</f>
        <v/>
      </c>
    </row>
    <row r="31" ht="14.5" customHeight="1">
      <c r="A31" s="118" t="n">
        <v>14</v>
      </c>
      <c r="B31" s="119" t="n"/>
      <c r="C31" s="120" t="n"/>
      <c r="D31" s="120" t="n"/>
      <c r="E31" s="121" t="n"/>
      <c r="F31" s="121" t="n"/>
      <c r="G31" s="122" t="n"/>
      <c r="H31" s="121" t="n"/>
      <c r="I31" s="121" t="n"/>
      <c r="J31" s="121" t="n"/>
      <c r="K31" s="121" t="n"/>
      <c r="L31" s="121" t="n"/>
      <c r="M31" s="121" t="n"/>
      <c r="N31" s="122" t="n"/>
      <c r="O31" s="121" t="n"/>
      <c r="P31" s="121" t="n"/>
      <c r="Q31" s="121" t="n"/>
      <c r="R31" s="121" t="n"/>
      <c r="S31" s="121" t="n"/>
      <c r="T31" s="121" t="n"/>
      <c r="U31" s="122" t="n"/>
      <c r="V31" s="121" t="n"/>
      <c r="W31" s="121" t="n"/>
      <c r="X31" s="121" t="n"/>
      <c r="Y31" s="121" t="n"/>
      <c r="Z31" s="121" t="n"/>
      <c r="AA31" s="121" t="n"/>
      <c r="AB31" s="122" t="n"/>
      <c r="AC31" s="121" t="n"/>
      <c r="AD31" s="121" t="n"/>
      <c r="AE31" s="121" t="n"/>
      <c r="AF31" s="121" t="n"/>
      <c r="AG31" s="123">
        <f>IF(ISBLANK(B31), "", IF(ISNUMBER(D31), IF(D31&gt;0, (COUNTIF(E31:AF31, "✓") + COUNTIF(E31:AF31, "✔") + COUNTIF(E31:AF31, "v") + COUNTIF(E31:AF31, "V"))/D31, 0), IF(((COUNTIF(E31:AF31, "✓") + COUNTIF(E31:AF31, "✔") + COUNTIF(E31:AF31, "v") + COUNTIF(E31:AF31, "V")) + COUNTIF(E31:AF31, "✗") + COUNTIF(E31:AF31, "x") + COUNTIF(E31:AF31, "X"))&gt;0, (COUNTIF(E31:AF31, "✓") + COUNTIF(E31:AF31, "✔") + COUNTIF(E31:AF31, "v") + COUNTIF(E31:AF31, "V"))/((COUNTIF(E31:AF31, "✓") + COUNTIF(E31:AF31, "✔") + COUNTIF(E31:AF31, "v") + COUNTIF(E31:AF31, "V")) + COUNTIF(E31:AF31, "✗") + COUNTIF(E31:AF31, "x") + COUNTIF(E31:AF31, "X")), "")))</f>
        <v/>
      </c>
      <c r="AH31" s="124">
        <f>IF(ISBLANK(B31), "", IF(ISNUMBER(D31), IF(D31&gt;0, (COUNTIF(E31:AF31, "✓") + COUNTIF(E31:AF31, "✔") + COUNTIF(E31:AF31, "v") + COUNTIF(E31:AF31, "V")) &amp; "/" &amp; D31, (COUNTIF(E31:AF31, "✓") + COUNTIF(E31:AF31, "✔") + COUNTIF(E31:AF31, "v") + COUNTIF(E31:AF31, "V")) &amp; "/0"), IF(((COUNTIF(E31:AF31, "✓") + COUNTIF(E31:AF31, "✔") + COUNTIF(E31:AF31, "v") + COUNTIF(E31:AF31, "V")) + COUNTIF(E31:AF31, "✗") + COUNTIF(E31:AF31, "x") + COUNTIF(E31:AF31, "X"))&gt;0, (COUNTIF(E31:AF31, "✓") + COUNTIF(E31:AF31, "✔") + COUNTIF(E31:AF31, "v") + COUNTIF(E31:AF31, "V")) &amp; "/" &amp; ((COUNTIF(E31:AF31, "✓") + COUNTIF(E31:AF31, "✔") + COUNTIF(E31:AF31, "v") + COUNTIF(E31:AF31, "V")) + COUNTIF(E31:AF31, "✗") + COUNTIF(E31:AF31, "x") + COUNTIF(E31:AF31, "X")), "")))</f>
        <v/>
      </c>
      <c r="AI31" s="124">
        <f>IF(ISBLANK(B31), "", IF(AG31&gt;=0.85, "🔥 Mastered", IF(AG31&gt;=0.7, "⚡ Consistent", "⚠️ Needs Focus")))</f>
        <v/>
      </c>
      <c r="AJ31">
        <f>COUNTIF(E31:AF31, "✓")</f>
        <v/>
      </c>
    </row>
    <row r="32" ht="14.5" customHeight="1">
      <c r="A32" s="118" t="n">
        <v>15</v>
      </c>
      <c r="B32" s="119" t="n"/>
      <c r="C32" s="120" t="n"/>
      <c r="D32" s="120" t="n"/>
      <c r="E32" s="121" t="n"/>
      <c r="F32" s="121" t="n"/>
      <c r="G32" s="122" t="n"/>
      <c r="H32" s="121" t="n"/>
      <c r="I32" s="121" t="n"/>
      <c r="J32" s="121" t="n"/>
      <c r="K32" s="121" t="n"/>
      <c r="L32" s="121" t="n"/>
      <c r="M32" s="121" t="n"/>
      <c r="N32" s="122" t="n"/>
      <c r="O32" s="121" t="n"/>
      <c r="P32" s="121" t="n"/>
      <c r="Q32" s="121" t="n"/>
      <c r="R32" s="121" t="n"/>
      <c r="S32" s="121" t="n"/>
      <c r="T32" s="121" t="n"/>
      <c r="U32" s="122" t="n"/>
      <c r="V32" s="121" t="n"/>
      <c r="W32" s="121" t="n"/>
      <c r="X32" s="121" t="n"/>
      <c r="Y32" s="121" t="n"/>
      <c r="Z32" s="121" t="n"/>
      <c r="AA32" s="121" t="n"/>
      <c r="AB32" s="122" t="n"/>
      <c r="AC32" s="121" t="n"/>
      <c r="AD32" s="121" t="n"/>
      <c r="AE32" s="121" t="n"/>
      <c r="AF32" s="121" t="n"/>
      <c r="AG32" s="123">
        <f>IF(ISBLANK(B32), "", IF(ISNUMBER(D32), IF(D32&gt;0, (COUNTIF(E32:AF32, "✓") + COUNTIF(E32:AF32, "✔") + COUNTIF(E32:AF32, "v") + COUNTIF(E32:AF32, "V"))/D32, 0), IF(((COUNTIF(E32:AF32, "✓") + COUNTIF(E32:AF32, "✔") + COUNTIF(E32:AF32, "v") + COUNTIF(E32:AF32, "V")) + COUNTIF(E32:AF32, "✗") + COUNTIF(E32:AF32, "x") + COUNTIF(E32:AF32, "X"))&gt;0, (COUNTIF(E32:AF32, "✓") + COUNTIF(E32:AF32, "✔") + COUNTIF(E32:AF32, "v") + COUNTIF(E32:AF32, "V"))/((COUNTIF(E32:AF32, "✓") + COUNTIF(E32:AF32, "✔") + COUNTIF(E32:AF32, "v") + COUNTIF(E32:AF32, "V")) + COUNTIF(E32:AF32, "✗") + COUNTIF(E32:AF32, "x") + COUNTIF(E32:AF32, "X")), "")))</f>
        <v/>
      </c>
      <c r="AH32" s="124">
        <f>IF(ISBLANK(B32), "", IF(ISNUMBER(D32), IF(D32&gt;0, (COUNTIF(E32:AF32, "✓") + COUNTIF(E32:AF32, "✔") + COUNTIF(E32:AF32, "v") + COUNTIF(E32:AF32, "V")) &amp; "/" &amp; D32, (COUNTIF(E32:AF32, "✓") + COUNTIF(E32:AF32, "✔") + COUNTIF(E32:AF32, "v") + COUNTIF(E32:AF32, "V")) &amp; "/0"), IF(((COUNTIF(E32:AF32, "✓") + COUNTIF(E32:AF32, "✔") + COUNTIF(E32:AF32, "v") + COUNTIF(E32:AF32, "V")) + COUNTIF(E32:AF32, "✗") + COUNTIF(E32:AF32, "x") + COUNTIF(E32:AF32, "X"))&gt;0, (COUNTIF(E32:AF32, "✓") + COUNTIF(E32:AF32, "✔") + COUNTIF(E32:AF32, "v") + COUNTIF(E32:AF32, "V")) &amp; "/" &amp; ((COUNTIF(E32:AF32, "✓") + COUNTIF(E32:AF32, "✔") + COUNTIF(E32:AF32, "v") + COUNTIF(E32:AF32, "V")) + COUNTIF(E32:AF32, "✗") + COUNTIF(E32:AF32, "x") + COUNTIF(E32:AF32, "X")), "")))</f>
        <v/>
      </c>
      <c r="AI32" s="124">
        <f>IF(ISBLANK(B32), "", IF(AG32&gt;=0.85, "🔥 Mastered", IF(AG32&gt;=0.7, "⚡ Consistent", "⚠️ Needs Focus")))</f>
        <v/>
      </c>
      <c r="AJ32">
        <f>COUNTIF(E32:AF32, "✓")</f>
        <v/>
      </c>
    </row>
    <row r="33" ht="14.5" customHeight="1">
      <c r="A33" s="118" t="n">
        <v>16</v>
      </c>
      <c r="B33" s="119" t="n"/>
      <c r="C33" s="120" t="n"/>
      <c r="D33" s="120" t="n"/>
      <c r="E33" s="121" t="n"/>
      <c r="F33" s="121" t="n"/>
      <c r="G33" s="122" t="n"/>
      <c r="H33" s="121" t="n"/>
      <c r="I33" s="121" t="n"/>
      <c r="J33" s="121" t="n"/>
      <c r="K33" s="121" t="n"/>
      <c r="L33" s="121" t="n"/>
      <c r="M33" s="121" t="n"/>
      <c r="N33" s="122" t="n"/>
      <c r="O33" s="121" t="n"/>
      <c r="P33" s="121" t="n"/>
      <c r="Q33" s="121" t="n"/>
      <c r="R33" s="121" t="n"/>
      <c r="S33" s="121" t="n"/>
      <c r="T33" s="121" t="n"/>
      <c r="U33" s="122" t="n"/>
      <c r="V33" s="121" t="n"/>
      <c r="W33" s="121" t="n"/>
      <c r="X33" s="121" t="n"/>
      <c r="Y33" s="121" t="n"/>
      <c r="Z33" s="121" t="n"/>
      <c r="AA33" s="121" t="n"/>
      <c r="AB33" s="122" t="n"/>
      <c r="AC33" s="121" t="n"/>
      <c r="AD33" s="121" t="n"/>
      <c r="AE33" s="121" t="n"/>
      <c r="AF33" s="121" t="n"/>
      <c r="AG33" s="123">
        <f>IF(ISBLANK(B33), "", IF(ISNUMBER(D33), IF(D33&gt;0, (COUNTIF(E33:AF33, "✓") + COUNTIF(E33:AF33, "✔") + COUNTIF(E33:AF33, "v") + COUNTIF(E33:AF33, "V"))/D33, 0), IF(((COUNTIF(E33:AF33, "✓") + COUNTIF(E33:AF33, "✔") + COUNTIF(E33:AF33, "v") + COUNTIF(E33:AF33, "V")) + COUNTIF(E33:AF33, "✗") + COUNTIF(E33:AF33, "x") + COUNTIF(E33:AF33, "X"))&gt;0, (COUNTIF(E33:AF33, "✓") + COUNTIF(E33:AF33, "✔") + COUNTIF(E33:AF33, "v") + COUNTIF(E33:AF33, "V"))/((COUNTIF(E33:AF33, "✓") + COUNTIF(E33:AF33, "✔") + COUNTIF(E33:AF33, "v") + COUNTIF(E33:AF33, "V")) + COUNTIF(E33:AF33, "✗") + COUNTIF(E33:AF33, "x") + COUNTIF(E33:AF33, "X")), "")))</f>
        <v/>
      </c>
      <c r="AH33" s="124">
        <f>IF(ISBLANK(B33), "", IF(ISNUMBER(D33), IF(D33&gt;0, (COUNTIF(E33:AF33, "✓") + COUNTIF(E33:AF33, "✔") + COUNTIF(E33:AF33, "v") + COUNTIF(E33:AF33, "V")) &amp; "/" &amp; D33, (COUNTIF(E33:AF33, "✓") + COUNTIF(E33:AF33, "✔") + COUNTIF(E33:AF33, "v") + COUNTIF(E33:AF33, "V")) &amp; "/0"), IF(((COUNTIF(E33:AF33, "✓") + COUNTIF(E33:AF33, "✔") + COUNTIF(E33:AF33, "v") + COUNTIF(E33:AF33, "V")) + COUNTIF(E33:AF33, "✗") + COUNTIF(E33:AF33, "x") + COUNTIF(E33:AF33, "X"))&gt;0, (COUNTIF(E33:AF33, "✓") + COUNTIF(E33:AF33, "✔") + COUNTIF(E33:AF33, "v") + COUNTIF(E33:AF33, "V")) &amp; "/" &amp; ((COUNTIF(E33:AF33, "✓") + COUNTIF(E33:AF33, "✔") + COUNTIF(E33:AF33, "v") + COUNTIF(E33:AF33, "V")) + COUNTIF(E33:AF33, "✗") + COUNTIF(E33:AF33, "x") + COUNTIF(E33:AF33, "X")), "")))</f>
        <v/>
      </c>
      <c r="AI33" s="124">
        <f>IF(ISBLANK(B33), "", IF(AG33&gt;=0.85, "🔥 Mastered", IF(AG33&gt;=0.7, "⚡ Consistent", "⚠️ Needs Focus")))</f>
        <v/>
      </c>
      <c r="AJ33">
        <f>COUNTIF(E33:AF33, "✓")</f>
        <v/>
      </c>
    </row>
    <row r="34" ht="14.5" customHeight="1">
      <c r="A34" s="125" t="n">
        <v>17</v>
      </c>
      <c r="B34" s="126" t="n"/>
      <c r="C34" s="127" t="n"/>
      <c r="D34" s="127" t="n"/>
      <c r="E34" s="128" t="n"/>
      <c r="F34" s="128" t="n"/>
      <c r="G34" s="129" t="n"/>
      <c r="H34" s="128" t="n"/>
      <c r="I34" s="128" t="n"/>
      <c r="J34" s="128" t="n"/>
      <c r="K34" s="128" t="n"/>
      <c r="L34" s="128" t="n"/>
      <c r="M34" s="128" t="n"/>
      <c r="N34" s="129" t="n"/>
      <c r="O34" s="128" t="n"/>
      <c r="P34" s="128" t="n"/>
      <c r="Q34" s="128" t="n"/>
      <c r="R34" s="128" t="n"/>
      <c r="S34" s="128" t="n"/>
      <c r="T34" s="128" t="n"/>
      <c r="U34" s="129" t="n"/>
      <c r="V34" s="128" t="n"/>
      <c r="W34" s="128" t="n"/>
      <c r="X34" s="128" t="n"/>
      <c r="Y34" s="128" t="n"/>
      <c r="Z34" s="128" t="n"/>
      <c r="AA34" s="128" t="n"/>
      <c r="AB34" s="129" t="n"/>
      <c r="AC34" s="128" t="n"/>
      <c r="AD34" s="128" t="n"/>
      <c r="AE34" s="128" t="n"/>
      <c r="AF34" s="128" t="n"/>
      <c r="AG34" s="130">
        <f>IF(ISBLANK(B34), "", IF(ISNUMBER(D34), IF(D34&gt;0, (COUNTIF(E34:AF34, "✓") + COUNTIF(E34:AF34, "✔") + COUNTIF(E34:AF34, "v") + COUNTIF(E34:AF34, "V"))/D34, 0), IF(((COUNTIF(E34:AF34, "✓") + COUNTIF(E34:AF34, "✔") + COUNTIF(E34:AF34, "v") + COUNTIF(E34:AF34, "V")) + COUNTIF(E34:AF34, "✗") + COUNTIF(E34:AF34, "x") + COUNTIF(E34:AF34, "X"))&gt;0, (COUNTIF(E34:AF34, "✓") + COUNTIF(E34:AF34, "✔") + COUNTIF(E34:AF34, "v") + COUNTIF(E34:AF34, "V"))/((COUNTIF(E34:AF34, "✓") + COUNTIF(E34:AF34, "✔") + COUNTIF(E34:AF34, "v") + COUNTIF(E34:AF34, "V")) + COUNTIF(E34:AF34, "✗") + COUNTIF(E34:AF34, "x") + COUNTIF(E34:AF34, "X")), "")))</f>
        <v/>
      </c>
      <c r="AH34" s="131">
        <f>IF(ISBLANK(B34), "", IF(ISNUMBER(D34), IF(D34&gt;0, (COUNTIF(E34:AF34, "✓") + COUNTIF(E34:AF34, "✔") + COUNTIF(E34:AF34, "v") + COUNTIF(E34:AF34, "V")) &amp; "/" &amp; D34, (COUNTIF(E34:AF34, "✓") + COUNTIF(E34:AF34, "✔") + COUNTIF(E34:AF34, "v") + COUNTIF(E34:AF34, "V")) &amp; "/0"), IF(((COUNTIF(E34:AF34, "✓") + COUNTIF(E34:AF34, "✔") + COUNTIF(E34:AF34, "v") + COUNTIF(E34:AF34, "V")) + COUNTIF(E34:AF34, "✗") + COUNTIF(E34:AF34, "x") + COUNTIF(E34:AF34, "X"))&gt;0, (COUNTIF(E34:AF34, "✓") + COUNTIF(E34:AF34, "✔") + COUNTIF(E34:AF34, "v") + COUNTIF(E34:AF34, "V")) &amp; "/" &amp; ((COUNTIF(E34:AF34, "✓") + COUNTIF(E34:AF34, "✔") + COUNTIF(E34:AF34, "v") + COUNTIF(E34:AF34, "V")) + COUNTIF(E34:AF34, "✗") + COUNTIF(E34:AF34, "x") + COUNTIF(E34:AF34, "X")), "")))</f>
        <v/>
      </c>
      <c r="AI34" s="131">
        <f>IF(ISBLANK(B34), "", IF(AG34&gt;=0.85, "🔥 Mastered", IF(AG34&gt;=0.7, "⚡ Consistent", "⚠️ Needs Focus")))</f>
        <v/>
      </c>
      <c r="AJ34">
        <f>COUNTIF(E34:AF34, "✓")</f>
        <v/>
      </c>
    </row>
    <row r="35" ht="14.5" customHeight="1">
      <c r="A35" s="125" t="n">
        <v>18</v>
      </c>
      <c r="B35" s="126" t="n"/>
      <c r="C35" s="127" t="n"/>
      <c r="D35" s="127" t="n"/>
      <c r="E35" s="128" t="n"/>
      <c r="F35" s="128" t="n"/>
      <c r="G35" s="129" t="n"/>
      <c r="H35" s="128" t="n"/>
      <c r="I35" s="128" t="n"/>
      <c r="J35" s="128" t="n"/>
      <c r="K35" s="128" t="n"/>
      <c r="L35" s="128" t="n"/>
      <c r="M35" s="128" t="n"/>
      <c r="N35" s="129" t="n"/>
      <c r="O35" s="128" t="n"/>
      <c r="P35" s="128" t="n"/>
      <c r="Q35" s="128" t="n"/>
      <c r="R35" s="128" t="n"/>
      <c r="S35" s="128" t="n"/>
      <c r="T35" s="128" t="n"/>
      <c r="U35" s="129" t="n"/>
      <c r="V35" s="128" t="n"/>
      <c r="W35" s="128" t="n"/>
      <c r="X35" s="128" t="n"/>
      <c r="Y35" s="128" t="n"/>
      <c r="Z35" s="128" t="n"/>
      <c r="AA35" s="128" t="n"/>
      <c r="AB35" s="129" t="n"/>
      <c r="AC35" s="128" t="n"/>
      <c r="AD35" s="128" t="n"/>
      <c r="AE35" s="128" t="n"/>
      <c r="AF35" s="128" t="n"/>
      <c r="AG35" s="130">
        <f>IF(ISBLANK(B35), "", IF(ISNUMBER(D35), IF(D35&gt;0, (COUNTIF(E35:AF35, "✓") + COUNTIF(E35:AF35, "✔") + COUNTIF(E35:AF35, "v") + COUNTIF(E35:AF35, "V"))/D35, 0), IF(((COUNTIF(E35:AF35, "✓") + COUNTIF(E35:AF35, "✔") + COUNTIF(E35:AF35, "v") + COUNTIF(E35:AF35, "V")) + COUNTIF(E35:AF35, "✗") + COUNTIF(E35:AF35, "x") + COUNTIF(E35:AF35, "X"))&gt;0, (COUNTIF(E35:AF35, "✓") + COUNTIF(E35:AF35, "✔") + COUNTIF(E35:AF35, "v") + COUNTIF(E35:AF35, "V"))/((COUNTIF(E35:AF35, "✓") + COUNTIF(E35:AF35, "✔") + COUNTIF(E35:AF35, "v") + COUNTIF(E35:AF35, "V")) + COUNTIF(E35:AF35, "✗") + COUNTIF(E35:AF35, "x") + COUNTIF(E35:AF35, "X")), "")))</f>
        <v/>
      </c>
      <c r="AH35" s="131">
        <f>IF(ISBLANK(B35), "", IF(ISNUMBER(D35), IF(D35&gt;0, (COUNTIF(E35:AF35, "✓") + COUNTIF(E35:AF35, "✔") + COUNTIF(E35:AF35, "v") + COUNTIF(E35:AF35, "V")) &amp; "/" &amp; D35, (COUNTIF(E35:AF35, "✓") + COUNTIF(E35:AF35, "✔") + COUNTIF(E35:AF35, "v") + COUNTIF(E35:AF35, "V")) &amp; "/0"), IF(((COUNTIF(E35:AF35, "✓") + COUNTIF(E35:AF35, "✔") + COUNTIF(E35:AF35, "v") + COUNTIF(E35:AF35, "V")) + COUNTIF(E35:AF35, "✗") + COUNTIF(E35:AF35, "x") + COUNTIF(E35:AF35, "X"))&gt;0, (COUNTIF(E35:AF35, "✓") + COUNTIF(E35:AF35, "✔") + COUNTIF(E35:AF35, "v") + COUNTIF(E35:AF35, "V")) &amp; "/" &amp; ((COUNTIF(E35:AF35, "✓") + COUNTIF(E35:AF35, "✔") + COUNTIF(E35:AF35, "v") + COUNTIF(E35:AF35, "V")) + COUNTIF(E35:AF35, "✗") + COUNTIF(E35:AF35, "x") + COUNTIF(E35:AF35, "X")), "")))</f>
        <v/>
      </c>
      <c r="AI35" s="131">
        <f>IF(ISBLANK(B35), "", IF(AG35&gt;=0.85, "🔥 Mastered", IF(AG35&gt;=0.7, "⚡ Consistent", "⚠️ Needs Focus")))</f>
        <v/>
      </c>
      <c r="AJ35">
        <f>COUNTIF(E35:AF35, "✓")</f>
        <v/>
      </c>
    </row>
    <row r="36" ht="14.5" customHeight="1">
      <c r="A36" s="125" t="n">
        <v>19</v>
      </c>
      <c r="B36" s="126" t="n"/>
      <c r="C36" s="127" t="n"/>
      <c r="D36" s="127" t="n"/>
      <c r="E36" s="128" t="n"/>
      <c r="F36" s="128" t="n"/>
      <c r="G36" s="129" t="n"/>
      <c r="H36" s="128" t="n"/>
      <c r="I36" s="128" t="n"/>
      <c r="J36" s="128" t="n"/>
      <c r="K36" s="128" t="n"/>
      <c r="L36" s="128" t="n"/>
      <c r="M36" s="128" t="n"/>
      <c r="N36" s="129" t="n"/>
      <c r="O36" s="128" t="n"/>
      <c r="P36" s="128" t="n"/>
      <c r="Q36" s="128" t="n"/>
      <c r="R36" s="128" t="n"/>
      <c r="S36" s="128" t="n"/>
      <c r="T36" s="128" t="n"/>
      <c r="U36" s="129" t="n"/>
      <c r="V36" s="128" t="n"/>
      <c r="W36" s="128" t="n"/>
      <c r="X36" s="128" t="n"/>
      <c r="Y36" s="128" t="n"/>
      <c r="Z36" s="128" t="n"/>
      <c r="AA36" s="128" t="n"/>
      <c r="AB36" s="129" t="n"/>
      <c r="AC36" s="128" t="n"/>
      <c r="AD36" s="128" t="n"/>
      <c r="AE36" s="128" t="n"/>
      <c r="AF36" s="128" t="n"/>
      <c r="AG36" s="130">
        <f>IF(ISBLANK(B36), "", IF(ISNUMBER(D36), IF(D36&gt;0, (COUNTIF(E36:AF36, "✓") + COUNTIF(E36:AF36, "✔") + COUNTIF(E36:AF36, "v") + COUNTIF(E36:AF36, "V"))/D36, 0), IF(((COUNTIF(E36:AF36, "✓") + COUNTIF(E36:AF36, "✔") + COUNTIF(E36:AF36, "v") + COUNTIF(E36:AF36, "V")) + COUNTIF(E36:AF36, "✗") + COUNTIF(E36:AF36, "x") + COUNTIF(E36:AF36, "X"))&gt;0, (COUNTIF(E36:AF36, "✓") + COUNTIF(E36:AF36, "✔") + COUNTIF(E36:AF36, "v") + COUNTIF(E36:AF36, "V"))/((COUNTIF(E36:AF36, "✓") + COUNTIF(E36:AF36, "✔") + COUNTIF(E36:AF36, "v") + COUNTIF(E36:AF36, "V")) + COUNTIF(E36:AF36, "✗") + COUNTIF(E36:AF36, "x") + COUNTIF(E36:AF36, "X")), "")))</f>
        <v/>
      </c>
      <c r="AH36" s="131">
        <f>IF(ISBLANK(B36), "", IF(ISNUMBER(D36), IF(D36&gt;0, (COUNTIF(E36:AF36, "✓") + COUNTIF(E36:AF36, "✔") + COUNTIF(E36:AF36, "v") + COUNTIF(E36:AF36, "V")) &amp; "/" &amp; D36, (COUNTIF(E36:AF36, "✓") + COUNTIF(E36:AF36, "✔") + COUNTIF(E36:AF36, "v") + COUNTIF(E36:AF36, "V")) &amp; "/0"), IF(((COUNTIF(E36:AF36, "✓") + COUNTIF(E36:AF36, "✔") + COUNTIF(E36:AF36, "v") + COUNTIF(E36:AF36, "V")) + COUNTIF(E36:AF36, "✗") + COUNTIF(E36:AF36, "x") + COUNTIF(E36:AF36, "X"))&gt;0, (COUNTIF(E36:AF36, "✓") + COUNTIF(E36:AF36, "✔") + COUNTIF(E36:AF36, "v") + COUNTIF(E36:AF36, "V")) &amp; "/" &amp; ((COUNTIF(E36:AF36, "✓") + COUNTIF(E36:AF36, "✔") + COUNTIF(E36:AF36, "v") + COUNTIF(E36:AF36, "V")) + COUNTIF(E36:AF36, "✗") + COUNTIF(E36:AF36, "x") + COUNTIF(E36:AF36, "X")), "")))</f>
        <v/>
      </c>
      <c r="AI36" s="131">
        <f>IF(ISBLANK(B36), "", IF(AG36&gt;=0.85, "🔥 Mastered", IF(AG36&gt;=0.7, "⚡ Consistent", "⚠️ Needs Focus")))</f>
        <v/>
      </c>
      <c r="AJ36">
        <f>COUNTIF(E36:AF36, "✓")</f>
        <v/>
      </c>
    </row>
    <row r="37" ht="14.5" customHeight="1">
      <c r="A37" s="125" t="n">
        <v>20</v>
      </c>
      <c r="B37" s="126" t="n"/>
      <c r="C37" s="127" t="n"/>
      <c r="D37" s="127" t="n"/>
      <c r="E37" s="128" t="n"/>
      <c r="F37" s="128" t="n"/>
      <c r="G37" s="129" t="n"/>
      <c r="H37" s="128" t="n"/>
      <c r="I37" s="128" t="n"/>
      <c r="J37" s="128" t="n"/>
      <c r="K37" s="128" t="n"/>
      <c r="L37" s="128" t="n"/>
      <c r="M37" s="128" t="n"/>
      <c r="N37" s="129" t="n"/>
      <c r="O37" s="128" t="n"/>
      <c r="P37" s="128" t="n"/>
      <c r="Q37" s="128" t="n"/>
      <c r="R37" s="128" t="n"/>
      <c r="S37" s="128" t="n"/>
      <c r="T37" s="128" t="n"/>
      <c r="U37" s="129" t="n"/>
      <c r="V37" s="128" t="n"/>
      <c r="W37" s="128" t="n"/>
      <c r="X37" s="128" t="n"/>
      <c r="Y37" s="128" t="n"/>
      <c r="Z37" s="128" t="n"/>
      <c r="AA37" s="128" t="n"/>
      <c r="AB37" s="129" t="n"/>
      <c r="AC37" s="128" t="n"/>
      <c r="AD37" s="128" t="n"/>
      <c r="AE37" s="128" t="n"/>
      <c r="AF37" s="128" t="n"/>
      <c r="AG37" s="130">
        <f>IF(ISBLANK(B37), "", IF(ISNUMBER(D37), IF(D37&gt;0, (COUNTIF(E37:AF37, "✓") + COUNTIF(E37:AF37, "✔") + COUNTIF(E37:AF37, "v") + COUNTIF(E37:AF37, "V"))/D37, 0), IF(((COUNTIF(E37:AF37, "✓") + COUNTIF(E37:AF37, "✔") + COUNTIF(E37:AF37, "v") + COUNTIF(E37:AF37, "V")) + COUNTIF(E37:AF37, "✗") + COUNTIF(E37:AF37, "x") + COUNTIF(E37:AF37, "X"))&gt;0, (COUNTIF(E37:AF37, "✓") + COUNTIF(E37:AF37, "✔") + COUNTIF(E37:AF37, "v") + COUNTIF(E37:AF37, "V"))/((COUNTIF(E37:AF37, "✓") + COUNTIF(E37:AF37, "✔") + COUNTIF(E37:AF37, "v") + COUNTIF(E37:AF37, "V")) + COUNTIF(E37:AF37, "✗") + COUNTIF(E37:AF37, "x") + COUNTIF(E37:AF37, "X")), "")))</f>
        <v/>
      </c>
      <c r="AH37" s="131">
        <f>IF(ISBLANK(B37), "", IF(ISNUMBER(D37), IF(D37&gt;0, (COUNTIF(E37:AF37, "✓") + COUNTIF(E37:AF37, "✔") + COUNTIF(E37:AF37, "v") + COUNTIF(E37:AF37, "V")) &amp; "/" &amp; D37, (COUNTIF(E37:AF37, "✓") + COUNTIF(E37:AF37, "✔") + COUNTIF(E37:AF37, "v") + COUNTIF(E37:AF37, "V")) &amp; "/0"), IF(((COUNTIF(E37:AF37, "✓") + COUNTIF(E37:AF37, "✔") + COUNTIF(E37:AF37, "v") + COUNTIF(E37:AF37, "V")) + COUNTIF(E37:AF37, "✗") + COUNTIF(E37:AF37, "x") + COUNTIF(E37:AF37, "X"))&gt;0, (COUNTIF(E37:AF37, "✓") + COUNTIF(E37:AF37, "✔") + COUNTIF(E37:AF37, "v") + COUNTIF(E37:AF37, "V")) &amp; "/" &amp; ((COUNTIF(E37:AF37, "✓") + COUNTIF(E37:AF37, "✔") + COUNTIF(E37:AF37, "v") + COUNTIF(E37:AF37, "V")) + COUNTIF(E37:AF37, "✗") + COUNTIF(E37:AF37, "x") + COUNTIF(E37:AF37, "X")), "")))</f>
        <v/>
      </c>
      <c r="AI37" s="131">
        <f>IF(ISBLANK(B37), "", IF(AG37&gt;=0.85, "🔥 Mastered", IF(AG37&gt;=0.7, "⚡ Consistent", "⚠️ Needs Focus")))</f>
        <v/>
      </c>
      <c r="AJ37">
        <f>COUNTIF(E37:AF37, "✓")</f>
        <v/>
      </c>
    </row>
    <row r="38" ht="18" customHeight="1">
      <c r="A38" s="132" t="inlineStr">
        <is>
          <t>DAILY TOTAL SCORE</t>
        </is>
      </c>
      <c r="B38" s="54" t="n"/>
      <c r="C38" s="54" t="n"/>
      <c r="D38" s="54" t="n"/>
      <c r="E38" s="33">
        <f>IF(((COUNTIF(E18:E37, "✓") + COUNTIF(E18:E37, "✔") + COUNTIF(E18:E37, "v") + COUNTIF(E18:E37, "V")) + COUNTIF(E18:E37, "✗") + COUNTIF(E18:E37, "x") + COUNTIF(E18:E37, "X")) &gt; 0, (COUNTIF(E18:E37, "✓") + COUNTIF(E18:E37, "✔") + COUNTIF(E18:E37, "v") + COUNTIF(E18:E37, "V")) &amp; "/" &amp; ((COUNTIF(E18:E37, "✓") + COUNTIF(E18:E37, "✔") + COUNTIF(E18:E37, "v") + COUNTIF(E18:E37, "V")) + COUNTIF(E18:E37, "✗") + COUNTIF(E18:E37, "x") + COUNTIF(E18:E37, "X")), "")</f>
        <v/>
      </c>
      <c r="F38" s="33">
        <f>IF(((COUNTIF(F18:F37, "✓") + COUNTIF(F18:F37, "✔") + COUNTIF(F18:F37, "v") + COUNTIF(F18:F37, "V")) + COUNTIF(F18:F37, "✗") + COUNTIF(F18:F37, "x") + COUNTIF(F18:F37, "X")) &gt; 0, (COUNTIF(F18:F37, "✓") + COUNTIF(F18:F37, "✔") + COUNTIF(F18:F37, "v") + COUNTIF(F18:F37, "V")) &amp; "/" &amp; ((COUNTIF(F18:F37, "✓") + COUNTIF(F18:F37, "✔") + COUNTIF(F18:F37, "v") + COUNTIF(F18:F37, "V")) + COUNTIF(F18:F37, "✗") + COUNTIF(F18:F37, "x") + COUNTIF(F18:F37, "X")), "")</f>
        <v/>
      </c>
      <c r="G38" s="33">
        <f>IF(((COUNTIF(G18:G37, "✓") + COUNTIF(G18:G37, "✔") + COUNTIF(G18:G37, "v") + COUNTIF(G18:G37, "V")) + COUNTIF(G18:G37, "✗") + COUNTIF(G18:G37, "x") + COUNTIF(G18:G37, "X")) &gt; 0, (COUNTIF(G18:G37, "✓") + COUNTIF(G18:G37, "✔") + COUNTIF(G18:G37, "v") + COUNTIF(G18:G37, "V")) &amp; "/" &amp; ((COUNTIF(G18:G37, "✓") + COUNTIF(G18:G37, "✔") + COUNTIF(G18:G37, "v") + COUNTIF(G18:G37, "V")) + COUNTIF(G18:G37, "✗") + COUNTIF(G18:G37, "x") + COUNTIF(G18:G37, "X")), "")</f>
        <v/>
      </c>
      <c r="H38" s="33">
        <f>IF(((COUNTIF(H18:H37, "✓") + COUNTIF(H18:H37, "✔") + COUNTIF(H18:H37, "v") + COUNTIF(H18:H37, "V")) + COUNTIF(H18:H37, "✗") + COUNTIF(H18:H37, "x") + COUNTIF(H18:H37, "X")) &gt; 0, (COUNTIF(H18:H37, "✓") + COUNTIF(H18:H37, "✔") + COUNTIF(H18:H37, "v") + COUNTIF(H18:H37, "V")) &amp; "/" &amp; ((COUNTIF(H18:H37, "✓") + COUNTIF(H18:H37, "✔") + COUNTIF(H18:H37, "v") + COUNTIF(H18:H37, "V")) + COUNTIF(H18:H37, "✗") + COUNTIF(H18:H37, "x") + COUNTIF(H18:H37, "X")), "")</f>
        <v/>
      </c>
      <c r="I38" s="33">
        <f>IF(((COUNTIF(I18:I37, "✓") + COUNTIF(I18:I37, "✔") + COUNTIF(I18:I37, "v") + COUNTIF(I18:I37, "V")) + COUNTIF(I18:I37, "✗") + COUNTIF(I18:I37, "x") + COUNTIF(I18:I37, "X")) &gt; 0, (COUNTIF(I18:I37, "✓") + COUNTIF(I18:I37, "✔") + COUNTIF(I18:I37, "v") + COUNTIF(I18:I37, "V")) &amp; "/" &amp; ((COUNTIF(I18:I37, "✓") + COUNTIF(I18:I37, "✔") + COUNTIF(I18:I37, "v") + COUNTIF(I18:I37, "V")) + COUNTIF(I18:I37, "✗") + COUNTIF(I18:I37, "x") + COUNTIF(I18:I37, "X")), "")</f>
        <v/>
      </c>
      <c r="J38" s="33">
        <f>IF(((COUNTIF(J18:J37, "✓") + COUNTIF(J18:J37, "✔") + COUNTIF(J18:J37, "v") + COUNTIF(J18:J37, "V")) + COUNTIF(J18:J37, "✗") + COUNTIF(J18:J37, "x") + COUNTIF(J18:J37, "X")) &gt; 0, (COUNTIF(J18:J37, "✓") + COUNTIF(J18:J37, "✔") + COUNTIF(J18:J37, "v") + COUNTIF(J18:J37, "V")) &amp; "/" &amp; ((COUNTIF(J18:J37, "✓") + COUNTIF(J18:J37, "✔") + COUNTIF(J18:J37, "v") + COUNTIF(J18:J37, "V")) + COUNTIF(J18:J37, "✗") + COUNTIF(J18:J37, "x") + COUNTIF(J18:J37, "X")), "")</f>
        <v/>
      </c>
      <c r="K38" s="33">
        <f>IF(((COUNTIF(K18:K37, "✓") + COUNTIF(K18:K37, "✔") + COUNTIF(K18:K37, "v") + COUNTIF(K18:K37, "V")) + COUNTIF(K18:K37, "✗") + COUNTIF(K18:K37, "x") + COUNTIF(K18:K37, "X")) &gt; 0, (COUNTIF(K18:K37, "✓") + COUNTIF(K18:K37, "✔") + COUNTIF(K18:K37, "v") + COUNTIF(K18:K37, "V")) &amp; "/" &amp; ((COUNTIF(K18:K37, "✓") + COUNTIF(K18:K37, "✔") + COUNTIF(K18:K37, "v") + COUNTIF(K18:K37, "V")) + COUNTIF(K18:K37, "✗") + COUNTIF(K18:K37, "x") + COUNTIF(K18:K37, "X")), "")</f>
        <v/>
      </c>
      <c r="L38" s="33">
        <f>IF(((COUNTIF(L18:L37, "✓") + COUNTIF(L18:L37, "✔") + COUNTIF(L18:L37, "v") + COUNTIF(L18:L37, "V")) + COUNTIF(L18:L37, "✗") + COUNTIF(L18:L37, "x") + COUNTIF(L18:L37, "X")) &gt; 0, (COUNTIF(L18:L37, "✓") + COUNTIF(L18:L37, "✔") + COUNTIF(L18:L37, "v") + COUNTIF(L18:L37, "V")) &amp; "/" &amp; ((COUNTIF(L18:L37, "✓") + COUNTIF(L18:L37, "✔") + COUNTIF(L18:L37, "v") + COUNTIF(L18:L37, "V")) + COUNTIF(L18:L37, "✗") + COUNTIF(L18:L37, "x") + COUNTIF(L18:L37, "X")), "")</f>
        <v/>
      </c>
      <c r="M38" s="33">
        <f>IF(((COUNTIF(M18:M37, "✓") + COUNTIF(M18:M37, "✔") + COUNTIF(M18:M37, "v") + COUNTIF(M18:M37, "V")) + COUNTIF(M18:M37, "✗") + COUNTIF(M18:M37, "x") + COUNTIF(M18:M37, "X")) &gt; 0, (COUNTIF(M18:M37, "✓") + COUNTIF(M18:M37, "✔") + COUNTIF(M18:M37, "v") + COUNTIF(M18:M37, "V")) &amp; "/" &amp; ((COUNTIF(M18:M37, "✓") + COUNTIF(M18:M37, "✔") + COUNTIF(M18:M37, "v") + COUNTIF(M18:M37, "V")) + COUNTIF(M18:M37, "✗") + COUNTIF(M18:M37, "x") + COUNTIF(M18:M37, "X")), "")</f>
        <v/>
      </c>
      <c r="N38" s="33">
        <f>IF(((COUNTIF(N18:N37, "✓") + COUNTIF(N18:N37, "✔") + COUNTIF(N18:N37, "v") + COUNTIF(N18:N37, "V")) + COUNTIF(N18:N37, "✗") + COUNTIF(N18:N37, "x") + COUNTIF(N18:N37, "X")) &gt; 0, (COUNTIF(N18:N37, "✓") + COUNTIF(N18:N37, "✔") + COUNTIF(N18:N37, "v") + COUNTIF(N18:N37, "V")) &amp; "/" &amp; ((COUNTIF(N18:N37, "✓") + COUNTIF(N18:N37, "✔") + COUNTIF(N18:N37, "v") + COUNTIF(N18:N37, "V")) + COUNTIF(N18:N37, "✗") + COUNTIF(N18:N37, "x") + COUNTIF(N18:N37, "X")), "")</f>
        <v/>
      </c>
      <c r="O38" s="33">
        <f>IF(((COUNTIF(O18:O37, "✓") + COUNTIF(O18:O37, "✔") + COUNTIF(O18:O37, "v") + COUNTIF(O18:O37, "V")) + COUNTIF(O18:O37, "✗") + COUNTIF(O18:O37, "x") + COUNTIF(O18:O37, "X")) &gt; 0, (COUNTIF(O18:O37, "✓") + COUNTIF(O18:O37, "✔") + COUNTIF(O18:O37, "v") + COUNTIF(O18:O37, "V")) &amp; "/" &amp; ((COUNTIF(O18:O37, "✓") + COUNTIF(O18:O37, "✔") + COUNTIF(O18:O37, "v") + COUNTIF(O18:O37, "V")) + COUNTIF(O18:O37, "✗") + COUNTIF(O18:O37, "x") + COUNTIF(O18:O37, "X")), "")</f>
        <v/>
      </c>
      <c r="P38" s="33">
        <f>IF(((COUNTIF(P18:P37, "✓") + COUNTIF(P18:P37, "✔") + COUNTIF(P18:P37, "v") + COUNTIF(P18:P37, "V")) + COUNTIF(P18:P37, "✗") + COUNTIF(P18:P37, "x") + COUNTIF(P18:P37, "X")) &gt; 0, (COUNTIF(P18:P37, "✓") + COUNTIF(P18:P37, "✔") + COUNTIF(P18:P37, "v") + COUNTIF(P18:P37, "V")) &amp; "/" &amp; ((COUNTIF(P18:P37, "✓") + COUNTIF(P18:P37, "✔") + COUNTIF(P18:P37, "v") + COUNTIF(P18:P37, "V")) + COUNTIF(P18:P37, "✗") + COUNTIF(P18:P37, "x") + COUNTIF(P18:P37, "X")), "")</f>
        <v/>
      </c>
      <c r="Q38" s="33">
        <f>IF(((COUNTIF(Q18:Q37, "✓") + COUNTIF(Q18:Q37, "✔") + COUNTIF(Q18:Q37, "v") + COUNTIF(Q18:Q37, "V")) + COUNTIF(Q18:Q37, "✗") + COUNTIF(Q18:Q37, "x") + COUNTIF(Q18:Q37, "X")) &gt; 0, (COUNTIF(Q18:Q37, "✓") + COUNTIF(Q18:Q37, "✔") + COUNTIF(Q18:Q37, "v") + COUNTIF(Q18:Q37, "V")) &amp; "/" &amp; ((COUNTIF(Q18:Q37, "✓") + COUNTIF(Q18:Q37, "✔") + COUNTIF(Q18:Q37, "v") + COUNTIF(Q18:Q37, "V")) + COUNTIF(Q18:Q37, "✗") + COUNTIF(Q18:Q37, "x") + COUNTIF(Q18:Q37, "X")), "")</f>
        <v/>
      </c>
      <c r="R38" s="33">
        <f>IF(((COUNTIF(R18:R37, "✓") + COUNTIF(R18:R37, "✔") + COUNTIF(R18:R37, "v") + COUNTIF(R18:R37, "V")) + COUNTIF(R18:R37, "✗") + COUNTIF(R18:R37, "x") + COUNTIF(R18:R37, "X")) &gt; 0, (COUNTIF(R18:R37, "✓") + COUNTIF(R18:R37, "✔") + COUNTIF(R18:R37, "v") + COUNTIF(R18:R37, "V")) &amp; "/" &amp; ((COUNTIF(R18:R37, "✓") + COUNTIF(R18:R37, "✔") + COUNTIF(R18:R37, "v") + COUNTIF(R18:R37, "V")) + COUNTIF(R18:R37, "✗") + COUNTIF(R18:R37, "x") + COUNTIF(R18:R37, "X")), "")</f>
        <v/>
      </c>
      <c r="S38" s="33">
        <f>IF(((COUNTIF(S18:S37, "✓") + COUNTIF(S18:S37, "✔") + COUNTIF(S18:S37, "v") + COUNTIF(S18:S37, "V")) + COUNTIF(S18:S37, "✗") + COUNTIF(S18:S37, "x") + COUNTIF(S18:S37, "X")) &gt; 0, (COUNTIF(S18:S37, "✓") + COUNTIF(S18:S37, "✔") + COUNTIF(S18:S37, "v") + COUNTIF(S18:S37, "V")) &amp; "/" &amp; ((COUNTIF(S18:S37, "✓") + COUNTIF(S18:S37, "✔") + COUNTIF(S18:S37, "v") + COUNTIF(S18:S37, "V")) + COUNTIF(S18:S37, "✗") + COUNTIF(S18:S37, "x") + COUNTIF(S18:S37, "X")), "")</f>
        <v/>
      </c>
      <c r="T38" s="33">
        <f>IF(((COUNTIF(T18:T37, "✓") + COUNTIF(T18:T37, "✔") + COUNTIF(T18:T37, "v") + COUNTIF(T18:T37, "V")) + COUNTIF(T18:T37, "✗") + COUNTIF(T18:T37, "x") + COUNTIF(T18:T37, "X")) &gt; 0, (COUNTIF(T18:T37, "✓") + COUNTIF(T18:T37, "✔") + COUNTIF(T18:T37, "v") + COUNTIF(T18:T37, "V")) &amp; "/" &amp; ((COUNTIF(T18:T37, "✓") + COUNTIF(T18:T37, "✔") + COUNTIF(T18:T37, "v") + COUNTIF(T18:T37, "V")) + COUNTIF(T18:T37, "✗") + COUNTIF(T18:T37, "x") + COUNTIF(T18:T37, "X")), "")</f>
        <v/>
      </c>
      <c r="U38" s="33">
        <f>IF(((COUNTIF(U18:U37, "✓") + COUNTIF(U18:U37, "✔") + COUNTIF(U18:U37, "v") + COUNTIF(U18:U37, "V")) + COUNTIF(U18:U37, "✗") + COUNTIF(U18:U37, "x") + COUNTIF(U18:U37, "X")) &gt; 0, (COUNTIF(U18:U37, "✓") + COUNTIF(U18:U37, "✔") + COUNTIF(U18:U37, "v") + COUNTIF(U18:U37, "V")) &amp; "/" &amp; ((COUNTIF(U18:U37, "✓") + COUNTIF(U18:U37, "✔") + COUNTIF(U18:U37, "v") + COUNTIF(U18:U37, "V")) + COUNTIF(U18:U37, "✗") + COUNTIF(U18:U37, "x") + COUNTIF(U18:U37, "X")), "")</f>
        <v/>
      </c>
      <c r="V38" s="33">
        <f>IF(((COUNTIF(V18:V37, "✓") + COUNTIF(V18:V37, "✔") + COUNTIF(V18:V37, "v") + COUNTIF(V18:V37, "V")) + COUNTIF(V18:V37, "✗") + COUNTIF(V18:V37, "x") + COUNTIF(V18:V37, "X")) &gt; 0, (COUNTIF(V18:V37, "✓") + COUNTIF(V18:V37, "✔") + COUNTIF(V18:V37, "v") + COUNTIF(V18:V37, "V")) &amp; "/" &amp; ((COUNTIF(V18:V37, "✓") + COUNTIF(V18:V37, "✔") + COUNTIF(V18:V37, "v") + COUNTIF(V18:V37, "V")) + COUNTIF(V18:V37, "✗") + COUNTIF(V18:V37, "x") + COUNTIF(V18:V37, "X")), "")</f>
        <v/>
      </c>
      <c r="W38" s="33">
        <f>IF(((COUNTIF(W18:W37, "✓") + COUNTIF(W18:W37, "✔") + COUNTIF(W18:W37, "v") + COUNTIF(W18:W37, "V")) + COUNTIF(W18:W37, "✗") + COUNTIF(W18:W37, "x") + COUNTIF(W18:W37, "X")) &gt; 0, (COUNTIF(W18:W37, "✓") + COUNTIF(W18:W37, "✔") + COUNTIF(W18:W37, "v") + COUNTIF(W18:W37, "V")) &amp; "/" &amp; ((COUNTIF(W18:W37, "✓") + COUNTIF(W18:W37, "✔") + COUNTIF(W18:W37, "v") + COUNTIF(W18:W37, "V")) + COUNTIF(W18:W37, "✗") + COUNTIF(W18:W37, "x") + COUNTIF(W18:W37, "X")), "")</f>
        <v/>
      </c>
      <c r="X38" s="33">
        <f>IF(((COUNTIF(X18:X37, "✓") + COUNTIF(X18:X37, "✔") + COUNTIF(X18:X37, "v") + COUNTIF(X18:X37, "V")) + COUNTIF(X18:X37, "✗") + COUNTIF(X18:X37, "x") + COUNTIF(X18:X37, "X")) &gt; 0, (COUNTIF(X18:X37, "✓") + COUNTIF(X18:X37, "✔") + COUNTIF(X18:X37, "v") + COUNTIF(X18:X37, "V")) &amp; "/" &amp; ((COUNTIF(X18:X37, "✓") + COUNTIF(X18:X37, "✔") + COUNTIF(X18:X37, "v") + COUNTIF(X18:X37, "V")) + COUNTIF(X18:X37, "✗") + COUNTIF(X18:X37, "x") + COUNTIF(X18:X37, "X")), "")</f>
        <v/>
      </c>
      <c r="Y38" s="33">
        <f>IF(((COUNTIF(Y18:Y37, "✓") + COUNTIF(Y18:Y37, "✔") + COUNTIF(Y18:Y37, "v") + COUNTIF(Y18:Y37, "V")) + COUNTIF(Y18:Y37, "✗") + COUNTIF(Y18:Y37, "x") + COUNTIF(Y18:Y37, "X")) &gt; 0, (COUNTIF(Y18:Y37, "✓") + COUNTIF(Y18:Y37, "✔") + COUNTIF(Y18:Y37, "v") + COUNTIF(Y18:Y37, "V")) &amp; "/" &amp; ((COUNTIF(Y18:Y37, "✓") + COUNTIF(Y18:Y37, "✔") + COUNTIF(Y18:Y37, "v") + COUNTIF(Y18:Y37, "V")) + COUNTIF(Y18:Y37, "✗") + COUNTIF(Y18:Y37, "x") + COUNTIF(Y18:Y37, "X")), "")</f>
        <v/>
      </c>
      <c r="Z38" s="33">
        <f>IF(((COUNTIF(Z18:Z37, "✓") + COUNTIF(Z18:Z37, "✔") + COUNTIF(Z18:Z37, "v") + COUNTIF(Z18:Z37, "V")) + COUNTIF(Z18:Z37, "✗") + COUNTIF(Z18:Z37, "x") + COUNTIF(Z18:Z37, "X")) &gt; 0, (COUNTIF(Z18:Z37, "✓") + COUNTIF(Z18:Z37, "✔") + COUNTIF(Z18:Z37, "v") + COUNTIF(Z18:Z37, "V")) &amp; "/" &amp; ((COUNTIF(Z18:Z37, "✓") + COUNTIF(Z18:Z37, "✔") + COUNTIF(Z18:Z37, "v") + COUNTIF(Z18:Z37, "V")) + COUNTIF(Z18:Z37, "✗") + COUNTIF(Z18:Z37, "x") + COUNTIF(Z18:Z37, "X")), "")</f>
        <v/>
      </c>
      <c r="AA38" s="33">
        <f>IF(((COUNTIF(AA18:AA37, "✓") + COUNTIF(AA18:AA37, "✔") + COUNTIF(AA18:AA37, "v") + COUNTIF(AA18:AA37, "V")) + COUNTIF(AA18:AA37, "✗") + COUNTIF(AA18:AA37, "x") + COUNTIF(AA18:AA37, "X")) &gt; 0, (COUNTIF(AA18:AA37, "✓") + COUNTIF(AA18:AA37, "✔") + COUNTIF(AA18:AA37, "v") + COUNTIF(AA18:AA37, "V")) &amp; "/" &amp; ((COUNTIF(AA18:AA37, "✓") + COUNTIF(AA18:AA37, "✔") + COUNTIF(AA18:AA37, "v") + COUNTIF(AA18:AA37, "V")) + COUNTIF(AA18:AA37, "✗") + COUNTIF(AA18:AA37, "x") + COUNTIF(AA18:AA37, "X")), "")</f>
        <v/>
      </c>
      <c r="AB38" s="33">
        <f>IF(((COUNTIF(AB18:AB37, "✓") + COUNTIF(AB18:AB37, "✔") + COUNTIF(AB18:AB37, "v") + COUNTIF(AB18:AB37, "V")) + COUNTIF(AB18:AB37, "✗") + COUNTIF(AB18:AB37, "x") + COUNTIF(AB18:AB37, "X")) &gt; 0, (COUNTIF(AB18:AB37, "✓") + COUNTIF(AB18:AB37, "✔") + COUNTIF(AB18:AB37, "v") + COUNTIF(AB18:AB37, "V")) &amp; "/" &amp; ((COUNTIF(AB18:AB37, "✓") + COUNTIF(AB18:AB37, "✔") + COUNTIF(AB18:AB37, "v") + COUNTIF(AB18:AB37, "V")) + COUNTIF(AB18:AB37, "✗") + COUNTIF(AB18:AB37, "x") + COUNTIF(AB18:AB37, "X")), "")</f>
        <v/>
      </c>
      <c r="AC38" s="33">
        <f>IF(((COUNTIF(AC18:AC37, "✓") + COUNTIF(AC18:AC37, "✔") + COUNTIF(AC18:AC37, "v") + COUNTIF(AC18:AC37, "V")) + COUNTIF(AC18:AC37, "✗") + COUNTIF(AC18:AC37, "x") + COUNTIF(AC18:AC37, "X")) &gt; 0, (COUNTIF(AC18:AC37, "✓") + COUNTIF(AC18:AC37, "✔") + COUNTIF(AC18:AC37, "v") + COUNTIF(AC18:AC37, "V")) &amp; "/" &amp; ((COUNTIF(AC18:AC37, "✓") + COUNTIF(AC18:AC37, "✔") + COUNTIF(AC18:AC37, "v") + COUNTIF(AC18:AC37, "V")) + COUNTIF(AC18:AC37, "✗") + COUNTIF(AC18:AC37, "x") + COUNTIF(AC18:AC37, "X")), "")</f>
        <v/>
      </c>
      <c r="AD38" s="33">
        <f>IF(((COUNTIF(AD18:AD37, "✓") + COUNTIF(AD18:AD37, "✔") + COUNTIF(AD18:AD37, "v") + COUNTIF(AD18:AD37, "V")) + COUNTIF(AD18:AD37, "✗") + COUNTIF(AD18:AD37, "x") + COUNTIF(AD18:AD37, "X")) &gt; 0, (COUNTIF(AD18:AD37, "✓") + COUNTIF(AD18:AD37, "✔") + COUNTIF(AD18:AD37, "v") + COUNTIF(AD18:AD37, "V")) &amp; "/" &amp; ((COUNTIF(AD18:AD37, "✓") + COUNTIF(AD18:AD37, "✔") + COUNTIF(AD18:AD37, "v") + COUNTIF(AD18:AD37, "V")) + COUNTIF(AD18:AD37, "✗") + COUNTIF(AD18:AD37, "x") + COUNTIF(AD18:AD37, "X")), "")</f>
        <v/>
      </c>
      <c r="AE38" s="33">
        <f>IF(((COUNTIF(AE18:AE37, "✓") + COUNTIF(AE18:AE37, "✔") + COUNTIF(AE18:AE37, "v") + COUNTIF(AE18:AE37, "V")) + COUNTIF(AE18:AE37, "✗") + COUNTIF(AE18:AE37, "x") + COUNTIF(AE18:AE37, "X")) &gt; 0, (COUNTIF(AE18:AE37, "✓") + COUNTIF(AE18:AE37, "✔") + COUNTIF(AE18:AE37, "v") + COUNTIF(AE18:AE37, "V")) &amp; "/" &amp; ((COUNTIF(AE18:AE37, "✓") + COUNTIF(AE18:AE37, "✔") + COUNTIF(AE18:AE37, "v") + COUNTIF(AE18:AE37, "V")) + COUNTIF(AE18:AE37, "✗") + COUNTIF(AE18:AE37, "x") + COUNTIF(AE18:AE37, "X")), "")</f>
        <v/>
      </c>
      <c r="AF38" s="33">
        <f>IF(((COUNTIF(AF18:AF37, "✓") + COUNTIF(AF18:AF37, "✔") + COUNTIF(AF18:AF37, "v") + COUNTIF(AF18:AF37, "V")) + COUNTIF(AF18:AF37, "✗") + COUNTIF(AF18:AF37, "x") + COUNTIF(AF18:AF37, "X")) &gt; 0, (COUNTIF(AF18:AF37, "✓") + COUNTIF(AF18:AF37, "✔") + COUNTIF(AF18:AF37, "v") + COUNTIF(AF18:AF37, "V")) &amp; "/" &amp; ((COUNTIF(AF18:AF37, "✓") + COUNTIF(AF18:AF37, "✔") + COUNTIF(AF18:AF37, "v") + COUNTIF(AF18:AF37, "V")) + COUNTIF(AF18:AF37, "✗") + COUNTIF(AF18:AF37, "x") + COUNTIF(AF18:AF37, "X")), "")</f>
        <v/>
      </c>
      <c r="AG38" s="133">
        <f>IF(SUM(D18:D37) &gt; 0, SUM(AJ18:AJ37) / SUM(D18:D37), "")</f>
        <v/>
      </c>
      <c r="AH38" s="33">
        <f>IF(SUM(D18:D37) &gt; 0, SUM(AJ18:AJ37) &amp; "/" &amp; SUM(D18:D37), "")</f>
        <v/>
      </c>
      <c r="AI38" s="54" t="n"/>
    </row>
    <row r="39" ht="18" customHeight="1">
      <c r="A39" s="132" t="inlineStr">
        <is>
          <t>DAILY SUCCESS %</t>
        </is>
      </c>
      <c r="B39" s="54" t="n"/>
      <c r="C39" s="54" t="n"/>
      <c r="D39" s="54" t="n"/>
      <c r="E39" s="134">
        <f>IF(((COUNTIF(E18:E37, "✓") + COUNTIF(E18:E37, "✔") + COUNTIF(E18:E37, "v") + COUNTIF(E18:E37, "V")) + COUNTIF(E18:E37, "✗") + COUNTIF(E18:E37, "x") + COUNTIF(E18:E37, "X")) &gt; 0, (COUNTIF(E18:E37, "✓") + COUNTIF(E18:E37, "✔") + COUNTIF(E18:E37, "v") + COUNTIF(E18:E37, "V")) / ((COUNTIF(E18:E37, "✓") + COUNTIF(E18:E37, "✔") + COUNTIF(E18:E37, "v") + COUNTIF(E18:E37, "V")) + COUNTIF(E18:E37, "✗") + COUNTIF(E18:E37, "x") + COUNTIF(E18:E37, "X")), "")</f>
        <v/>
      </c>
      <c r="F39" s="134">
        <f>IF(((COUNTIF(F18:F37, "✓") + COUNTIF(F18:F37, "✔") + COUNTIF(F18:F37, "v") + COUNTIF(F18:F37, "V")) + COUNTIF(F18:F37, "✗") + COUNTIF(F18:F37, "x") + COUNTIF(F18:F37, "X")) &gt; 0, (COUNTIF(F18:F37, "✓") + COUNTIF(F18:F37, "✔") + COUNTIF(F18:F37, "v") + COUNTIF(F18:F37, "V")) / ((COUNTIF(F18:F37, "✓") + COUNTIF(F18:F37, "✔") + COUNTIF(F18:F37, "v") + COUNTIF(F18:F37, "V")) + COUNTIF(F18:F37, "✗") + COUNTIF(F18:F37, "x") + COUNTIF(F18:F37, "X")), "")</f>
        <v/>
      </c>
      <c r="G39" s="134">
        <f>IF(((COUNTIF(G18:G37, "✓") + COUNTIF(G18:G37, "✔") + COUNTIF(G18:G37, "v") + COUNTIF(G18:G37, "V")) + COUNTIF(G18:G37, "✗") + COUNTIF(G18:G37, "x") + COUNTIF(G18:G37, "X")) &gt; 0, (COUNTIF(G18:G37, "✓") + COUNTIF(G18:G37, "✔") + COUNTIF(G18:G37, "v") + COUNTIF(G18:G37, "V")) / ((COUNTIF(G18:G37, "✓") + COUNTIF(G18:G37, "✔") + COUNTIF(G18:G37, "v") + COUNTIF(G18:G37, "V")) + COUNTIF(G18:G37, "✗") + COUNTIF(G18:G37, "x") + COUNTIF(G18:G37, "X")), "")</f>
        <v/>
      </c>
      <c r="H39" s="134">
        <f>IF(((COUNTIF(H18:H37, "✓") + COUNTIF(H18:H37, "✔") + COUNTIF(H18:H37, "v") + COUNTIF(H18:H37, "V")) + COUNTIF(H18:H37, "✗") + COUNTIF(H18:H37, "x") + COUNTIF(H18:H37, "X")) &gt; 0, (COUNTIF(H18:H37, "✓") + COUNTIF(H18:H37, "✔") + COUNTIF(H18:H37, "v") + COUNTIF(H18:H37, "V")) / ((COUNTIF(H18:H37, "✓") + COUNTIF(H18:H37, "✔") + COUNTIF(H18:H37, "v") + COUNTIF(H18:H37, "V")) + COUNTIF(H18:H37, "✗") + COUNTIF(H18:H37, "x") + COUNTIF(H18:H37, "X")), "")</f>
        <v/>
      </c>
      <c r="I39" s="134">
        <f>IF(((COUNTIF(I18:I37, "✓") + COUNTIF(I18:I37, "✔") + COUNTIF(I18:I37, "v") + COUNTIF(I18:I37, "V")) + COUNTIF(I18:I37, "✗") + COUNTIF(I18:I37, "x") + COUNTIF(I18:I37, "X")) &gt; 0, (COUNTIF(I18:I37, "✓") + COUNTIF(I18:I37, "✔") + COUNTIF(I18:I37, "v") + COUNTIF(I18:I37, "V")) / ((COUNTIF(I18:I37, "✓") + COUNTIF(I18:I37, "✔") + COUNTIF(I18:I37, "v") + COUNTIF(I18:I37, "V")) + COUNTIF(I18:I37, "✗") + COUNTIF(I18:I37, "x") + COUNTIF(I18:I37, "X")), "")</f>
        <v/>
      </c>
      <c r="J39" s="134">
        <f>IF(((COUNTIF(J18:J37, "✓") + COUNTIF(J18:J37, "✔") + COUNTIF(J18:J37, "v") + COUNTIF(J18:J37, "V")) + COUNTIF(J18:J37, "✗") + COUNTIF(J18:J37, "x") + COUNTIF(J18:J37, "X")) &gt; 0, (COUNTIF(J18:J37, "✓") + COUNTIF(J18:J37, "✔") + COUNTIF(J18:J37, "v") + COUNTIF(J18:J37, "V")) / ((COUNTIF(J18:J37, "✓") + COUNTIF(J18:J37, "✔") + COUNTIF(J18:J37, "v") + COUNTIF(J18:J37, "V")) + COUNTIF(J18:J37, "✗") + COUNTIF(J18:J37, "x") + COUNTIF(J18:J37, "X")), "")</f>
        <v/>
      </c>
      <c r="K39" s="134">
        <f>IF(((COUNTIF(K18:K37, "✓") + COUNTIF(K18:K37, "✔") + COUNTIF(K18:K37, "v") + COUNTIF(K18:K37, "V")) + COUNTIF(K18:K37, "✗") + COUNTIF(K18:K37, "x") + COUNTIF(K18:K37, "X")) &gt; 0, (COUNTIF(K18:K37, "✓") + COUNTIF(K18:K37, "✔") + COUNTIF(K18:K37, "v") + COUNTIF(K18:K37, "V")) / ((COUNTIF(K18:K37, "✓") + COUNTIF(K18:K37, "✔") + COUNTIF(K18:K37, "v") + COUNTIF(K18:K37, "V")) + COUNTIF(K18:K37, "✗") + COUNTIF(K18:K37, "x") + COUNTIF(K18:K37, "X")), "")</f>
        <v/>
      </c>
      <c r="L39" s="134">
        <f>IF(((COUNTIF(L18:L37, "✓") + COUNTIF(L18:L37, "✔") + COUNTIF(L18:L37, "v") + COUNTIF(L18:L37, "V")) + COUNTIF(L18:L37, "✗") + COUNTIF(L18:L37, "x") + COUNTIF(L18:L37, "X")) &gt; 0, (COUNTIF(L18:L37, "✓") + COUNTIF(L18:L37, "✔") + COUNTIF(L18:L37, "v") + COUNTIF(L18:L37, "V")) / ((COUNTIF(L18:L37, "✓") + COUNTIF(L18:L37, "✔") + COUNTIF(L18:L37, "v") + COUNTIF(L18:L37, "V")) + COUNTIF(L18:L37, "✗") + COUNTIF(L18:L37, "x") + COUNTIF(L18:L37, "X")), "")</f>
        <v/>
      </c>
      <c r="M39" s="134">
        <f>IF(((COUNTIF(M18:M37, "✓") + COUNTIF(M18:M37, "✔") + COUNTIF(M18:M37, "v") + COUNTIF(M18:M37, "V")) + COUNTIF(M18:M37, "✗") + COUNTIF(M18:M37, "x") + COUNTIF(M18:M37, "X")) &gt; 0, (COUNTIF(M18:M37, "✓") + COUNTIF(M18:M37, "✔") + COUNTIF(M18:M37, "v") + COUNTIF(M18:M37, "V")) / ((COUNTIF(M18:M37, "✓") + COUNTIF(M18:M37, "✔") + COUNTIF(M18:M37, "v") + COUNTIF(M18:M37, "V")) + COUNTIF(M18:M37, "✗") + COUNTIF(M18:M37, "x") + COUNTIF(M18:M37, "X")), "")</f>
        <v/>
      </c>
      <c r="N39" s="134">
        <f>IF(((COUNTIF(N18:N37, "✓") + COUNTIF(N18:N37, "✔") + COUNTIF(N18:N37, "v") + COUNTIF(N18:N37, "V")) + COUNTIF(N18:N37, "✗") + COUNTIF(N18:N37, "x") + COUNTIF(N18:N37, "X")) &gt; 0, (COUNTIF(N18:N37, "✓") + COUNTIF(N18:N37, "✔") + COUNTIF(N18:N37, "v") + COUNTIF(N18:N37, "V")) / ((COUNTIF(N18:N37, "✓") + COUNTIF(N18:N37, "✔") + COUNTIF(N18:N37, "v") + COUNTIF(N18:N37, "V")) + COUNTIF(N18:N37, "✗") + COUNTIF(N18:N37, "x") + COUNTIF(N18:N37, "X")), "")</f>
        <v/>
      </c>
      <c r="O39" s="134">
        <f>IF(((COUNTIF(O18:O37, "✓") + COUNTIF(O18:O37, "✔") + COUNTIF(O18:O37, "v") + COUNTIF(O18:O37, "V")) + COUNTIF(O18:O37, "✗") + COUNTIF(O18:O37, "x") + COUNTIF(O18:O37, "X")) &gt; 0, (COUNTIF(O18:O37, "✓") + COUNTIF(O18:O37, "✔") + COUNTIF(O18:O37, "v") + COUNTIF(O18:O37, "V")) / ((COUNTIF(O18:O37, "✓") + COUNTIF(O18:O37, "✔") + COUNTIF(O18:O37, "v") + COUNTIF(O18:O37, "V")) + COUNTIF(O18:O37, "✗") + COUNTIF(O18:O37, "x") + COUNTIF(O18:O37, "X")), "")</f>
        <v/>
      </c>
      <c r="P39" s="134">
        <f>IF(((COUNTIF(P18:P37, "✓") + COUNTIF(P18:P37, "✔") + COUNTIF(P18:P37, "v") + COUNTIF(P18:P37, "V")) + COUNTIF(P18:P37, "✗") + COUNTIF(P18:P37, "x") + COUNTIF(P18:P37, "X")) &gt; 0, (COUNTIF(P18:P37, "✓") + COUNTIF(P18:P37, "✔") + COUNTIF(P18:P37, "v") + COUNTIF(P18:P37, "V")) / ((COUNTIF(P18:P37, "✓") + COUNTIF(P18:P37, "✔") + COUNTIF(P18:P37, "v") + COUNTIF(P18:P37, "V")) + COUNTIF(P18:P37, "✗") + COUNTIF(P18:P37, "x") + COUNTIF(P18:P37, "X")), "")</f>
        <v/>
      </c>
      <c r="Q39" s="134">
        <f>IF(((COUNTIF(Q18:Q37, "✓") + COUNTIF(Q18:Q37, "✔") + COUNTIF(Q18:Q37, "v") + COUNTIF(Q18:Q37, "V")) + COUNTIF(Q18:Q37, "✗") + COUNTIF(Q18:Q37, "x") + COUNTIF(Q18:Q37, "X")) &gt; 0, (COUNTIF(Q18:Q37, "✓") + COUNTIF(Q18:Q37, "✔") + COUNTIF(Q18:Q37, "v") + COUNTIF(Q18:Q37, "V")) / ((COUNTIF(Q18:Q37, "✓") + COUNTIF(Q18:Q37, "✔") + COUNTIF(Q18:Q37, "v") + COUNTIF(Q18:Q37, "V")) + COUNTIF(Q18:Q37, "✗") + COUNTIF(Q18:Q37, "x") + COUNTIF(Q18:Q37, "X")), "")</f>
        <v/>
      </c>
      <c r="R39" s="134">
        <f>IF(((COUNTIF(R18:R37, "✓") + COUNTIF(R18:R37, "✔") + COUNTIF(R18:R37, "v") + COUNTIF(R18:R37, "V")) + COUNTIF(R18:R37, "✗") + COUNTIF(R18:R37, "x") + COUNTIF(R18:R37, "X")) &gt; 0, (COUNTIF(R18:R37, "✓") + COUNTIF(R18:R37, "✔") + COUNTIF(R18:R37, "v") + COUNTIF(R18:R37, "V")) / ((COUNTIF(R18:R37, "✓") + COUNTIF(R18:R37, "✔") + COUNTIF(R18:R37, "v") + COUNTIF(R18:R37, "V")) + COUNTIF(R18:R37, "✗") + COUNTIF(R18:R37, "x") + COUNTIF(R18:R37, "X")), "")</f>
        <v/>
      </c>
      <c r="S39" s="134">
        <f>IF(((COUNTIF(S18:S37, "✓") + COUNTIF(S18:S37, "✔") + COUNTIF(S18:S37, "v") + COUNTIF(S18:S37, "V")) + COUNTIF(S18:S37, "✗") + COUNTIF(S18:S37, "x") + COUNTIF(S18:S37, "X")) &gt; 0, (COUNTIF(S18:S37, "✓") + COUNTIF(S18:S37, "✔") + COUNTIF(S18:S37, "v") + COUNTIF(S18:S37, "V")) / ((COUNTIF(S18:S37, "✓") + COUNTIF(S18:S37, "✔") + COUNTIF(S18:S37, "v") + COUNTIF(S18:S37, "V")) + COUNTIF(S18:S37, "✗") + COUNTIF(S18:S37, "x") + COUNTIF(S18:S37, "X")), "")</f>
        <v/>
      </c>
      <c r="T39" s="134">
        <f>IF(((COUNTIF(T18:T37, "✓") + COUNTIF(T18:T37, "✔") + COUNTIF(T18:T37, "v") + COUNTIF(T18:T37, "V")) + COUNTIF(T18:T37, "✗") + COUNTIF(T18:T37, "x") + COUNTIF(T18:T37, "X")) &gt; 0, (COUNTIF(T18:T37, "✓") + COUNTIF(T18:T37, "✔") + COUNTIF(T18:T37, "v") + COUNTIF(T18:T37, "V")) / ((COUNTIF(T18:T37, "✓") + COUNTIF(T18:T37, "✔") + COUNTIF(T18:T37, "v") + COUNTIF(T18:T37, "V")) + COUNTIF(T18:T37, "✗") + COUNTIF(T18:T37, "x") + COUNTIF(T18:T37, "X")), "")</f>
        <v/>
      </c>
      <c r="U39" s="134">
        <f>IF(((COUNTIF(U18:U37, "✓") + COUNTIF(U18:U37, "✔") + COUNTIF(U18:U37, "v") + COUNTIF(U18:U37, "V")) + COUNTIF(U18:U37, "✗") + COUNTIF(U18:U37, "x") + COUNTIF(U18:U37, "X")) &gt; 0, (COUNTIF(U18:U37, "✓") + COUNTIF(U18:U37, "✔") + COUNTIF(U18:U37, "v") + COUNTIF(U18:U37, "V")) / ((COUNTIF(U18:U37, "✓") + COUNTIF(U18:U37, "✔") + COUNTIF(U18:U37, "v") + COUNTIF(U18:U37, "V")) + COUNTIF(U18:U37, "✗") + COUNTIF(U18:U37, "x") + COUNTIF(U18:U37, "X")), "")</f>
        <v/>
      </c>
      <c r="V39" s="134">
        <f>IF(((COUNTIF(V18:V37, "✓") + COUNTIF(V18:V37, "✔") + COUNTIF(V18:V37, "v") + COUNTIF(V18:V37, "V")) + COUNTIF(V18:V37, "✗") + COUNTIF(V18:V37, "x") + COUNTIF(V18:V37, "X")) &gt; 0, (COUNTIF(V18:V37, "✓") + COUNTIF(V18:V37, "✔") + COUNTIF(V18:V37, "v") + COUNTIF(V18:V37, "V")) / ((COUNTIF(V18:V37, "✓") + COUNTIF(V18:V37, "✔") + COUNTIF(V18:V37, "v") + COUNTIF(V18:V37, "V")) + COUNTIF(V18:V37, "✗") + COUNTIF(V18:V37, "x") + COUNTIF(V18:V37, "X")), "")</f>
        <v/>
      </c>
      <c r="W39" s="134">
        <f>IF(((COUNTIF(W18:W37, "✓") + COUNTIF(W18:W37, "✔") + COUNTIF(W18:W37, "v") + COUNTIF(W18:W37, "V")) + COUNTIF(W18:W37, "✗") + COUNTIF(W18:W37, "x") + COUNTIF(W18:W37, "X")) &gt; 0, (COUNTIF(W18:W37, "✓") + COUNTIF(W18:W37, "✔") + COUNTIF(W18:W37, "v") + COUNTIF(W18:W37, "V")) / ((COUNTIF(W18:W37, "✓") + COUNTIF(W18:W37, "✔") + COUNTIF(W18:W37, "v") + COUNTIF(W18:W37, "V")) + COUNTIF(W18:W37, "✗") + COUNTIF(W18:W37, "x") + COUNTIF(W18:W37, "X")), "")</f>
        <v/>
      </c>
      <c r="X39" s="134">
        <f>IF(((COUNTIF(X18:X37, "✓") + COUNTIF(X18:X37, "✔") + COUNTIF(X18:X37, "v") + COUNTIF(X18:X37, "V")) + COUNTIF(X18:X37, "✗") + COUNTIF(X18:X37, "x") + COUNTIF(X18:X37, "X")) &gt; 0, (COUNTIF(X18:X37, "✓") + COUNTIF(X18:X37, "✔") + COUNTIF(X18:X37, "v") + COUNTIF(X18:X37, "V")) / ((COUNTIF(X18:X37, "✓") + COUNTIF(X18:X37, "✔") + COUNTIF(X18:X37, "v") + COUNTIF(X18:X37, "V")) + COUNTIF(X18:X37, "✗") + COUNTIF(X18:X37, "x") + COUNTIF(X18:X37, "X")), "")</f>
        <v/>
      </c>
      <c r="Y39" s="134">
        <f>IF(((COUNTIF(Y18:Y37, "✓") + COUNTIF(Y18:Y37, "✔") + COUNTIF(Y18:Y37, "v") + COUNTIF(Y18:Y37, "V")) + COUNTIF(Y18:Y37, "✗") + COUNTIF(Y18:Y37, "x") + COUNTIF(Y18:Y37, "X")) &gt; 0, (COUNTIF(Y18:Y37, "✓") + COUNTIF(Y18:Y37, "✔") + COUNTIF(Y18:Y37, "v") + COUNTIF(Y18:Y37, "V")) / ((COUNTIF(Y18:Y37, "✓") + COUNTIF(Y18:Y37, "✔") + COUNTIF(Y18:Y37, "v") + COUNTIF(Y18:Y37, "V")) + COUNTIF(Y18:Y37, "✗") + COUNTIF(Y18:Y37, "x") + COUNTIF(Y18:Y37, "X")), "")</f>
        <v/>
      </c>
      <c r="Z39" s="134">
        <f>IF(((COUNTIF(Z18:Z37, "✓") + COUNTIF(Z18:Z37, "✔") + COUNTIF(Z18:Z37, "v") + COUNTIF(Z18:Z37, "V")) + COUNTIF(Z18:Z37, "✗") + COUNTIF(Z18:Z37, "x") + COUNTIF(Z18:Z37, "X")) &gt; 0, (COUNTIF(Z18:Z37, "✓") + COUNTIF(Z18:Z37, "✔") + COUNTIF(Z18:Z37, "v") + COUNTIF(Z18:Z37, "V")) / ((COUNTIF(Z18:Z37, "✓") + COUNTIF(Z18:Z37, "✔") + COUNTIF(Z18:Z37, "v") + COUNTIF(Z18:Z37, "V")) + COUNTIF(Z18:Z37, "✗") + COUNTIF(Z18:Z37, "x") + COUNTIF(Z18:Z37, "X")), "")</f>
        <v/>
      </c>
      <c r="AA39" s="134">
        <f>IF(((COUNTIF(AA18:AA37, "✓") + COUNTIF(AA18:AA37, "✔") + COUNTIF(AA18:AA37, "v") + COUNTIF(AA18:AA37, "V")) + COUNTIF(AA18:AA37, "✗") + COUNTIF(AA18:AA37, "x") + COUNTIF(AA18:AA37, "X")) &gt; 0, (COUNTIF(AA18:AA37, "✓") + COUNTIF(AA18:AA37, "✔") + COUNTIF(AA18:AA37, "v") + COUNTIF(AA18:AA37, "V")) / ((COUNTIF(AA18:AA37, "✓") + COUNTIF(AA18:AA37, "✔") + COUNTIF(AA18:AA37, "v") + COUNTIF(AA18:AA37, "V")) + COUNTIF(AA18:AA37, "✗") + COUNTIF(AA18:AA37, "x") + COUNTIF(AA18:AA37, "X")), "")</f>
        <v/>
      </c>
      <c r="AB39" s="134">
        <f>IF(((COUNTIF(AB18:AB37, "✓") + COUNTIF(AB18:AB37, "✔") + COUNTIF(AB18:AB37, "v") + COUNTIF(AB18:AB37, "V")) + COUNTIF(AB18:AB37, "✗") + COUNTIF(AB18:AB37, "x") + COUNTIF(AB18:AB37, "X")) &gt; 0, (COUNTIF(AB18:AB37, "✓") + COUNTIF(AB18:AB37, "✔") + COUNTIF(AB18:AB37, "v") + COUNTIF(AB18:AB37, "V")) / ((COUNTIF(AB18:AB37, "✓") + COUNTIF(AB18:AB37, "✔") + COUNTIF(AB18:AB37, "v") + COUNTIF(AB18:AB37, "V")) + COUNTIF(AB18:AB37, "✗") + COUNTIF(AB18:AB37, "x") + COUNTIF(AB18:AB37, "X")), "")</f>
        <v/>
      </c>
      <c r="AC39" s="134">
        <f>IF(((COUNTIF(AC18:AC37, "✓") + COUNTIF(AC18:AC37, "✔") + COUNTIF(AC18:AC37, "v") + COUNTIF(AC18:AC37, "V")) + COUNTIF(AC18:AC37, "✗") + COUNTIF(AC18:AC37, "x") + COUNTIF(AC18:AC37, "X")) &gt; 0, (COUNTIF(AC18:AC37, "✓") + COUNTIF(AC18:AC37, "✔") + COUNTIF(AC18:AC37, "v") + COUNTIF(AC18:AC37, "V")) / ((COUNTIF(AC18:AC37, "✓") + COUNTIF(AC18:AC37, "✔") + COUNTIF(AC18:AC37, "v") + COUNTIF(AC18:AC37, "V")) + COUNTIF(AC18:AC37, "✗") + COUNTIF(AC18:AC37, "x") + COUNTIF(AC18:AC37, "X")), "")</f>
        <v/>
      </c>
      <c r="AD39" s="134">
        <f>IF(((COUNTIF(AD18:AD37, "✓") + COUNTIF(AD18:AD37, "✔") + COUNTIF(AD18:AD37, "v") + COUNTIF(AD18:AD37, "V")) + COUNTIF(AD18:AD37, "✗") + COUNTIF(AD18:AD37, "x") + COUNTIF(AD18:AD37, "X")) &gt; 0, (COUNTIF(AD18:AD37, "✓") + COUNTIF(AD18:AD37, "✔") + COUNTIF(AD18:AD37, "v") + COUNTIF(AD18:AD37, "V")) / ((COUNTIF(AD18:AD37, "✓") + COUNTIF(AD18:AD37, "✔") + COUNTIF(AD18:AD37, "v") + COUNTIF(AD18:AD37, "V")) + COUNTIF(AD18:AD37, "✗") + COUNTIF(AD18:AD37, "x") + COUNTIF(AD18:AD37, "X")), "")</f>
        <v/>
      </c>
      <c r="AE39" s="134">
        <f>IF(((COUNTIF(AE18:AE37, "✓") + COUNTIF(AE18:AE37, "✔") + COUNTIF(AE18:AE37, "v") + COUNTIF(AE18:AE37, "V")) + COUNTIF(AE18:AE37, "✗") + COUNTIF(AE18:AE37, "x") + COUNTIF(AE18:AE37, "X")) &gt; 0, (COUNTIF(AE18:AE37, "✓") + COUNTIF(AE18:AE37, "✔") + COUNTIF(AE18:AE37, "v") + COUNTIF(AE18:AE37, "V")) / ((COUNTIF(AE18:AE37, "✓") + COUNTIF(AE18:AE37, "✔") + COUNTIF(AE18:AE37, "v") + COUNTIF(AE18:AE37, "V")) + COUNTIF(AE18:AE37, "✗") + COUNTIF(AE18:AE37, "x") + COUNTIF(AE18:AE37, "X")), "")</f>
        <v/>
      </c>
      <c r="AF39" s="134">
        <f>IF(((COUNTIF(AF18:AF37, "✓") + COUNTIF(AF18:AF37, "✔") + COUNTIF(AF18:AF37, "v") + COUNTIF(AF18:AF37, "V")) + COUNTIF(AF18:AF37, "✗") + COUNTIF(AF18:AF37, "x") + COUNTIF(AF18:AF37, "X")) &gt; 0, (COUNTIF(AF18:AF37, "✓") + COUNTIF(AF18:AF37, "✔") + COUNTIF(AF18:AF37, "v") + COUNTIF(AF18:AF37, "V")) / ((COUNTIF(AF18:AF37, "✓") + COUNTIF(AF18:AF37, "✔") + COUNTIF(AF18:AF37, "v") + COUNTIF(AF18:AF37, "V")) + COUNTIF(AF18:AF37, "✗") + COUNTIF(AF18:AF37, "x") + COUNTIF(AF18:AF37, "X")), "")</f>
        <v/>
      </c>
      <c r="AG39" s="133">
        <f>IF(COUNT(E39:AF39) &gt; 0, AVERAGE(E39:AF39), "")</f>
        <v/>
      </c>
      <c r="AH39" s="54" t="n"/>
      <c r="AI39" s="54" t="n"/>
    </row>
    <row r="40" ht="6" customHeight="1"/>
    <row r="41" ht="15" customHeight="1">
      <c r="A41" s="135" t="inlineStr">
        <is>
          <t>IF SUCCESS &lt; 80%, PUNISHMENT: ________________________________________________</t>
        </is>
      </c>
    </row>
    <row r="42" ht="15" customHeight="1">
      <c r="A42" s="136" t="inlineStr">
        <is>
          <t>IF SUCCESS &gt; 90%, REWARD: __________________________________________________</t>
        </is>
      </c>
    </row>
    <row r="43" ht="10" customHeight="1"/>
    <row r="44" ht="10" customHeight="1"/>
    <row r="45" ht="15" customHeight="1">
      <c r="A45" s="51" t="inlineStr">
        <is>
          <t>Sleep Tracking</t>
        </is>
      </c>
      <c r="B45" s="52" t="n"/>
      <c r="C45" s="52" t="n"/>
      <c r="D45" s="52" t="n"/>
      <c r="E45" s="137" t="n">
        <v>1</v>
      </c>
      <c r="F45" s="137" t="n">
        <v>2</v>
      </c>
      <c r="G45" s="138" t="n">
        <v>3</v>
      </c>
      <c r="H45" s="137" t="n">
        <v>4</v>
      </c>
      <c r="I45" s="137" t="n">
        <v>5</v>
      </c>
      <c r="J45" s="137" t="n">
        <v>6</v>
      </c>
      <c r="K45" s="137" t="n">
        <v>7</v>
      </c>
      <c r="L45" s="137" t="n">
        <v>8</v>
      </c>
      <c r="M45" s="137" t="n">
        <v>9</v>
      </c>
      <c r="N45" s="138" t="n">
        <v>10</v>
      </c>
      <c r="O45" s="137" t="n">
        <v>11</v>
      </c>
      <c r="P45" s="137" t="n">
        <v>12</v>
      </c>
      <c r="Q45" s="137" t="n">
        <v>13</v>
      </c>
      <c r="R45" s="137" t="n">
        <v>14</v>
      </c>
      <c r="S45" s="137" t="n">
        <v>15</v>
      </c>
      <c r="T45" s="137" t="n">
        <v>16</v>
      </c>
      <c r="U45" s="138" t="n">
        <v>17</v>
      </c>
      <c r="V45" s="137" t="n">
        <v>18</v>
      </c>
      <c r="W45" s="137" t="n">
        <v>19</v>
      </c>
      <c r="X45" s="137" t="n">
        <v>20</v>
      </c>
      <c r="Y45" s="137" t="n">
        <v>21</v>
      </c>
      <c r="Z45" s="137" t="n">
        <v>22</v>
      </c>
      <c r="AA45" s="137" t="n">
        <v>23</v>
      </c>
      <c r="AB45" s="138" t="n">
        <v>24</v>
      </c>
      <c r="AC45" s="137" t="n">
        <v>25</v>
      </c>
      <c r="AD45" s="137" t="n">
        <v>26</v>
      </c>
      <c r="AE45" s="137" t="n">
        <v>27</v>
      </c>
      <c r="AF45" s="137" t="n">
        <v>28</v>
      </c>
    </row>
    <row r="46" ht="15" customHeight="1">
      <c r="A46" s="52" t="n"/>
      <c r="B46" s="52" t="n"/>
      <c r="C46" s="52" t="n"/>
      <c r="D46" s="52" t="n"/>
      <c r="E46" s="139" t="inlineStr">
        <is>
          <t>F</t>
        </is>
      </c>
      <c r="F46" s="139" t="inlineStr">
        <is>
          <t>Sa</t>
        </is>
      </c>
      <c r="G46" s="140" t="inlineStr">
        <is>
          <t>Su</t>
        </is>
      </c>
      <c r="H46" s="139" t="inlineStr">
        <is>
          <t>M</t>
        </is>
      </c>
      <c r="I46" s="139" t="inlineStr">
        <is>
          <t>T</t>
        </is>
      </c>
      <c r="J46" s="139" t="inlineStr">
        <is>
          <t>W</t>
        </is>
      </c>
      <c r="K46" s="139" t="inlineStr">
        <is>
          <t>Th</t>
        </is>
      </c>
      <c r="L46" s="139" t="inlineStr">
        <is>
          <t>F</t>
        </is>
      </c>
      <c r="M46" s="139" t="inlineStr">
        <is>
          <t>Sa</t>
        </is>
      </c>
      <c r="N46" s="140" t="inlineStr">
        <is>
          <t>Su</t>
        </is>
      </c>
      <c r="O46" s="139" t="inlineStr">
        <is>
          <t>M</t>
        </is>
      </c>
      <c r="P46" s="139" t="inlineStr">
        <is>
          <t>T</t>
        </is>
      </c>
      <c r="Q46" s="139" t="inlineStr">
        <is>
          <t>W</t>
        </is>
      </c>
      <c r="R46" s="139" t="inlineStr">
        <is>
          <t>Th</t>
        </is>
      </c>
      <c r="S46" s="139" t="inlineStr">
        <is>
          <t>F</t>
        </is>
      </c>
      <c r="T46" s="139" t="inlineStr">
        <is>
          <t>Sa</t>
        </is>
      </c>
      <c r="U46" s="140" t="inlineStr">
        <is>
          <t>Su</t>
        </is>
      </c>
      <c r="V46" s="139" t="inlineStr">
        <is>
          <t>M</t>
        </is>
      </c>
      <c r="W46" s="139" t="inlineStr">
        <is>
          <t>T</t>
        </is>
      </c>
      <c r="X46" s="139" t="inlineStr">
        <is>
          <t>W</t>
        </is>
      </c>
      <c r="Y46" s="139" t="inlineStr">
        <is>
          <t>Th</t>
        </is>
      </c>
      <c r="Z46" s="139" t="inlineStr">
        <is>
          <t>F</t>
        </is>
      </c>
      <c r="AA46" s="139" t="inlineStr">
        <is>
          <t>Sa</t>
        </is>
      </c>
      <c r="AB46" s="140" t="inlineStr">
        <is>
          <t>Su</t>
        </is>
      </c>
      <c r="AC46" s="139" t="inlineStr">
        <is>
          <t>M</t>
        </is>
      </c>
      <c r="AD46" s="139" t="inlineStr">
        <is>
          <t>T</t>
        </is>
      </c>
      <c r="AE46" s="139" t="inlineStr">
        <is>
          <t>W</t>
        </is>
      </c>
      <c r="AF46" s="139" t="inlineStr">
        <is>
          <t>Th</t>
        </is>
      </c>
    </row>
    <row r="47" ht="20" customHeight="1">
      <c r="A47" s="141" t="inlineStr">
        <is>
          <t>Sleep Hours (1-24)</t>
        </is>
      </c>
      <c r="B47" s="142" t="n"/>
      <c r="C47" s="142" t="n"/>
      <c r="D47" s="142" t="n"/>
      <c r="E47" s="143" t="n"/>
      <c r="F47" s="143" t="n"/>
      <c r="G47" s="144" t="n"/>
      <c r="H47" s="143" t="n"/>
      <c r="I47" s="143" t="n"/>
      <c r="J47" s="143" t="n"/>
      <c r="K47" s="143" t="n"/>
      <c r="L47" s="143" t="n"/>
      <c r="M47" s="143" t="n"/>
      <c r="N47" s="144" t="n"/>
      <c r="O47" s="143" t="n"/>
      <c r="P47" s="143" t="n"/>
      <c r="Q47" s="143" t="n"/>
      <c r="R47" s="143" t="n"/>
      <c r="S47" s="143" t="n"/>
      <c r="T47" s="143" t="n"/>
      <c r="U47" s="144" t="n"/>
      <c r="V47" s="143" t="n"/>
      <c r="W47" s="143" t="n"/>
      <c r="X47" s="143" t="n"/>
      <c r="Y47" s="143" t="n"/>
      <c r="Z47" s="143" t="n"/>
      <c r="AA47" s="143" t="n"/>
      <c r="AB47" s="144" t="n"/>
      <c r="AC47" s="143" t="n"/>
      <c r="AD47" s="143" t="n"/>
      <c r="AE47" s="143" t="n"/>
      <c r="AF47" s="143" t="n"/>
    </row>
    <row r="48" ht="6" customHeight="1"/>
    <row r="49" ht="14" customHeight="1"/>
    <row r="50" ht="14" customHeight="1"/>
    <row r="51" ht="14" customHeight="1"/>
    <row r="52" ht="14" customHeight="1"/>
    <row r="53" ht="14" customHeight="1"/>
    <row r="54" ht="14" customHeight="1"/>
    <row r="55" ht="14" customHeight="1"/>
    <row r="56" ht="14" customHeight="1"/>
    <row r="57" ht="14" customHeight="1"/>
    <row r="58" ht="14" customHeight="1"/>
    <row r="59" ht="14" customHeight="1"/>
    <row r="60" ht="14" customHeight="1"/>
    <row r="61" ht="14" customHeight="1"/>
    <row r="62" ht="14" customHeight="1"/>
    <row r="63" ht="14" customHeight="1"/>
    <row r="64" ht="14" customHeight="1"/>
    <row r="65" ht="14" customHeight="1"/>
    <row r="66" ht="8" customHeight="1"/>
    <row r="67">
      <c r="A67" s="145" t="inlineStr">
        <is>
          <t>MONTHLY SUCCESS RATE</t>
        </is>
      </c>
      <c r="B67" s="9" t="n"/>
      <c r="C67" s="9" t="n"/>
      <c r="D67" s="9" t="n"/>
      <c r="F67" s="146" t="inlineStr">
        <is>
          <t>ACTIVE PROTOCOLS</t>
        </is>
      </c>
      <c r="G67" s="11" t="n"/>
      <c r="H67" s="11" t="n"/>
      <c r="I67" s="11" t="n"/>
      <c r="K67" s="147" t="inlineStr">
        <is>
          <t>PERFECT DAYS (100%)</t>
        </is>
      </c>
      <c r="L67" s="13" t="n"/>
      <c r="M67" s="13" t="n"/>
      <c r="N67" s="13" t="n"/>
      <c r="P67" s="148" t="inlineStr">
        <is>
          <t>AVG SLEEP DURATION</t>
        </is>
      </c>
      <c r="Q67" s="15" t="n"/>
      <c r="R67" s="15" t="n"/>
      <c r="S67" s="15" t="n"/>
    </row>
    <row r="68">
      <c r="A68" s="149">
        <f>IF(SUM(D18:D37)&gt;0, SUM(AJ18:AJ37)/SUM(D18:D37), 0)</f>
        <v/>
      </c>
      <c r="B68" s="9" t="n"/>
      <c r="C68" s="9" t="n"/>
      <c r="D68" s="9" t="n"/>
      <c r="F68" s="150">
        <f>COUNTA(B18:B37) &amp; " / 20"</f>
        <v/>
      </c>
      <c r="G68" s="11" t="n"/>
      <c r="H68" s="11" t="n"/>
      <c r="I68" s="11" t="n"/>
      <c r="K68" s="151">
        <f>COUNTIF(E39:AF39, 1) &amp; " Days"</f>
        <v/>
      </c>
      <c r="L68" s="13" t="n"/>
      <c r="M68" s="13" t="n"/>
      <c r="N68" s="13" t="n"/>
      <c r="P68" s="152">
        <f>IFERROR(TEXT(AVERAGE(E47:AF47), "0.0") &amp; " hrs", "-")</f>
        <v/>
      </c>
      <c r="Q68" s="15" t="n"/>
      <c r="R68" s="15" t="n"/>
      <c r="S68" s="15" t="n"/>
    </row>
    <row r="69">
      <c r="A69" s="9" t="n"/>
      <c r="B69" s="9" t="n"/>
      <c r="C69" s="9" t="n"/>
      <c r="D69" s="9" t="n"/>
      <c r="F69" s="11" t="n"/>
      <c r="G69" s="11" t="n"/>
      <c r="H69" s="11" t="n"/>
      <c r="I69" s="11" t="n"/>
      <c r="K69" s="13" t="n"/>
      <c r="L69" s="13" t="n"/>
      <c r="M69" s="13" t="n"/>
      <c r="N69" s="13" t="n"/>
      <c r="P69" s="15" t="n"/>
      <c r="Q69" s="15" t="n"/>
      <c r="R69" s="15" t="n"/>
      <c r="S69" s="15" t="n"/>
    </row>
    <row r="70">
      <c r="A70" s="9" t="n"/>
      <c r="B70" s="9" t="n"/>
      <c r="C70" s="9" t="n"/>
      <c r="D70" s="9" t="n"/>
      <c r="F70" s="11" t="n"/>
      <c r="G70" s="11" t="n"/>
      <c r="H70" s="11" t="n"/>
      <c r="I70" s="11" t="n"/>
      <c r="K70" s="13" t="n"/>
      <c r="L70" s="13" t="n"/>
      <c r="M70" s="13" t="n"/>
      <c r="N70" s="13" t="n"/>
      <c r="P70" s="15" t="n"/>
      <c r="Q70" s="15" t="n"/>
      <c r="R70" s="15" t="n"/>
      <c r="S70" s="15" t="n"/>
    </row>
    <row r="71">
      <c r="A71" s="153" t="inlineStr">
        <is>
          <t>Target Completion</t>
        </is>
      </c>
      <c r="B71" s="9" t="n"/>
      <c r="C71" s="9" t="n"/>
      <c r="D71" s="9" t="n"/>
      <c r="F71" s="154" t="inlineStr">
        <is>
          <t>Habits Tracked</t>
        </is>
      </c>
      <c r="G71" s="11" t="n"/>
      <c r="H71" s="11" t="n"/>
      <c r="I71" s="11" t="n"/>
      <c r="K71" s="155" t="inlineStr">
        <is>
          <t>All Marked Habits Completed</t>
        </is>
      </c>
      <c r="L71" s="13" t="n"/>
      <c r="M71" s="13" t="n"/>
      <c r="N71" s="13" t="n"/>
      <c r="P71" s="156" t="inlineStr">
        <is>
          <t>Nightly Rest Average</t>
        </is>
      </c>
      <c r="Q71" s="15" t="n"/>
      <c r="R71" s="15" t="n"/>
      <c r="S71" s="15" t="n"/>
    </row>
    <row r="72" ht="8" customHeight="1"/>
    <row r="73" ht="6" customHeight="1"/>
    <row r="74">
      <c r="A74" s="67" t="inlineStr">
        <is>
          <t>WEEKLY PERFORMANCE (SLUMP DETECTOR)</t>
        </is>
      </c>
      <c r="B74" s="29" t="n"/>
      <c r="C74" s="29" t="n"/>
      <c r="D74" s="29" t="n"/>
      <c r="E74" s="29" t="n"/>
      <c r="N74" s="157" t="inlineStr">
        <is>
          <t>LIFE DOMAIN / CATEGORY BREAKDOWN</t>
        </is>
      </c>
      <c r="O74" s="158" t="n"/>
      <c r="P74" s="158" t="n"/>
      <c r="Q74" s="158" t="n"/>
      <c r="R74" s="158" t="n"/>
      <c r="S74" s="158" t="n"/>
    </row>
    <row r="75" ht="15" customHeight="1">
      <c r="A75" s="53" t="inlineStr">
        <is>
          <t>Week</t>
        </is>
      </c>
      <c r="B75" s="53" t="inlineStr">
        <is>
          <t>Days Range</t>
        </is>
      </c>
      <c r="C75" s="53" t="inlineStr">
        <is>
          <t>Checks Done</t>
        </is>
      </c>
      <c r="D75" s="53" t="inlineStr">
        <is>
          <t>Evaluated</t>
        </is>
      </c>
      <c r="E75" s="53" t="inlineStr">
        <is>
          <t>Success %</t>
        </is>
      </c>
      <c r="N75" s="53" t="inlineStr">
        <is>
          <t>Domain / Category</t>
        </is>
      </c>
      <c r="O75" s="54" t="n"/>
      <c r="P75" s="53" t="inlineStr">
        <is>
          <t>Active Habits</t>
        </is>
      </c>
      <c r="Q75" s="53" t="inlineStr">
        <is>
          <t>Target Days</t>
        </is>
      </c>
      <c r="R75" s="53" t="inlineStr">
        <is>
          <t>Done Checks</t>
        </is>
      </c>
      <c r="S75" s="53" t="inlineStr">
        <is>
          <t>Success %</t>
        </is>
      </c>
    </row>
    <row r="76" ht="14" customHeight="1">
      <c r="A76" s="33" t="inlineStr">
        <is>
          <t>Week 1</t>
        </is>
      </c>
      <c r="B76" s="34" t="inlineStr">
        <is>
          <t>Days 1 - 7</t>
        </is>
      </c>
      <c r="C76" s="34">
        <f>COUNTIF(E18:K37, "✓")</f>
        <v/>
      </c>
      <c r="D76" s="34">
        <f>COUNTIF(E18:K37, "✓") + COUNTIF(E18:K37, "✗")</f>
        <v/>
      </c>
      <c r="E76" s="35">
        <f>IFERROR(C76/D76, 0)</f>
        <v/>
      </c>
      <c r="N76" s="60" t="inlineStr">
        <is>
          <t>Health &amp; Fitness</t>
        </is>
      </c>
      <c r="O76" s="54" t="n"/>
      <c r="P76" s="34">
        <f>COUNTIF($C$18:$C$37, "Health &amp; Fitness")</f>
        <v/>
      </c>
      <c r="Q76" s="34">
        <f>SUMIF($C$18:$C$37, "Health &amp; Fitness", $D$18:$D$37)</f>
        <v/>
      </c>
      <c r="R76" s="34">
        <f>SUMIF($C$18:$C$37, "Health &amp; Fitness", $AJ$18:$AJ$37)</f>
        <v/>
      </c>
      <c r="S76" s="35">
        <f>IFERROR(R76/Q76, 0)</f>
        <v/>
      </c>
    </row>
    <row r="77" ht="14" customHeight="1">
      <c r="A77" s="33" t="inlineStr">
        <is>
          <t>Week 2</t>
        </is>
      </c>
      <c r="B77" s="34" t="inlineStr">
        <is>
          <t>Days 8 - 14</t>
        </is>
      </c>
      <c r="C77" s="34">
        <f>COUNTIF(L18:R37, "✓")</f>
        <v/>
      </c>
      <c r="D77" s="34">
        <f>COUNTIF(L18:R37, "✓") + COUNTIF(L18:R37, "✗")</f>
        <v/>
      </c>
      <c r="E77" s="35">
        <f>IFERROR(C77/D77, 0)</f>
        <v/>
      </c>
      <c r="N77" s="60" t="inlineStr">
        <is>
          <t>Mindset &amp; Learning</t>
        </is>
      </c>
      <c r="O77" s="54" t="n"/>
      <c r="P77" s="34">
        <f>COUNTIF($C$18:$C$37, "Mindset &amp; Learning")</f>
        <v/>
      </c>
      <c r="Q77" s="34">
        <f>SUMIF($C$18:$C$37, "Mindset &amp; Learning", $D$18:$D$37)</f>
        <v/>
      </c>
      <c r="R77" s="34">
        <f>SUMIF($C$18:$C$37, "Mindset &amp; Learning", $AJ$18:$AJ$37)</f>
        <v/>
      </c>
      <c r="S77" s="35">
        <f>IFERROR(R77/Q77, 0)</f>
        <v/>
      </c>
    </row>
    <row r="78" ht="14" customHeight="1">
      <c r="A78" s="33" t="inlineStr">
        <is>
          <t>Week 3</t>
        </is>
      </c>
      <c r="B78" s="34" t="inlineStr">
        <is>
          <t>Days 15 - 21</t>
        </is>
      </c>
      <c r="C78" s="34">
        <f>COUNTIF(S18:Y37, "✓")</f>
        <v/>
      </c>
      <c r="D78" s="34">
        <f>COUNTIF(S18:Y37, "✓") + COUNTIF(S18:Y37, "✗")</f>
        <v/>
      </c>
      <c r="E78" s="35">
        <f>IFERROR(C78/D78, 0)</f>
        <v/>
      </c>
      <c r="N78" s="60" t="inlineStr">
        <is>
          <t>Career &amp; Focus</t>
        </is>
      </c>
      <c r="O78" s="54" t="n"/>
      <c r="P78" s="34">
        <f>COUNTIF($C$18:$C$37, "Career &amp; Focus")</f>
        <v/>
      </c>
      <c r="Q78" s="34">
        <f>SUMIF($C$18:$C$37, "Career &amp; Focus", $D$18:$D$37)</f>
        <v/>
      </c>
      <c r="R78" s="34">
        <f>SUMIF($C$18:$C$37, "Career &amp; Focus", $AJ$18:$AJ$37)</f>
        <v/>
      </c>
      <c r="S78" s="35">
        <f>IFERROR(R78/Q78, 0)</f>
        <v/>
      </c>
    </row>
    <row r="79" ht="14" customHeight="1">
      <c r="A79" s="33" t="inlineStr">
        <is>
          <t>Week 4</t>
        </is>
      </c>
      <c r="B79" s="34" t="inlineStr">
        <is>
          <t>Days 22 - 28</t>
        </is>
      </c>
      <c r="C79" s="34">
        <f>COUNTIF(Z18:AF37, "✓")</f>
        <v/>
      </c>
      <c r="D79" s="34">
        <f>COUNTIF(Z18:AF37, "✓") + COUNTIF(Z18:AF37, "✗")</f>
        <v/>
      </c>
      <c r="E79" s="35">
        <f>IFERROR(C79/D79, 0)</f>
        <v/>
      </c>
      <c r="N79" s="60" t="inlineStr">
        <is>
          <t>Personal &amp; Home</t>
        </is>
      </c>
      <c r="O79" s="54" t="n"/>
      <c r="P79" s="34">
        <f>COUNTIF($C$18:$C$37, "Personal &amp; Home")</f>
        <v/>
      </c>
      <c r="Q79" s="34">
        <f>SUMIF($C$18:$C$37, "Personal &amp; Home", $D$18:$D$37)</f>
        <v/>
      </c>
      <c r="R79" s="34">
        <f>SUMIF($C$18:$C$37, "Personal &amp; Home", $AJ$18:$AJ$37)</f>
        <v/>
      </c>
      <c r="S79" s="35">
        <f>IFERROR(R79/Q79, 0)</f>
        <v/>
      </c>
    </row>
    <row r="80" ht="14" customHeight="1">
      <c r="A80" s="33" t="inlineStr">
        <is>
          <t>Week 5</t>
        </is>
      </c>
      <c r="B80" s="34" t="inlineStr">
        <is>
          <t>N/A</t>
        </is>
      </c>
      <c r="C80" s="34" t="n">
        <v>0</v>
      </c>
      <c r="D80" s="34" t="n">
        <v>0</v>
      </c>
      <c r="E80" s="35" t="n">
        <v>0</v>
      </c>
      <c r="N80" s="60" t="inlineStr">
        <is>
          <t>Finance &amp; Wealth</t>
        </is>
      </c>
      <c r="O80" s="54" t="n"/>
      <c r="P80" s="34">
        <f>COUNTIF($C$18:$C$37, "Finance &amp; Wealth")</f>
        <v/>
      </c>
      <c r="Q80" s="34">
        <f>SUMIF($C$18:$C$37, "Finance &amp; Wealth", $D$18:$D$37)</f>
        <v/>
      </c>
      <c r="R80" s="34">
        <f>SUMIF($C$18:$C$37, "Finance &amp; Wealth", $AJ$18:$AJ$37)</f>
        <v/>
      </c>
      <c r="S80" s="35">
        <f>IFERROR(R80/Q80, 0)</f>
        <v/>
      </c>
    </row>
    <row r="81" ht="14" customHeight="1">
      <c r="A81" s="33" t="inlineStr">
        <is>
          <t>Total / Avg</t>
        </is>
      </c>
      <c r="B81" s="159" t="inlineStr">
        <is>
          <t>Month Total</t>
        </is>
      </c>
      <c r="C81" s="33">
        <f>SUM(C76:C80)</f>
        <v/>
      </c>
      <c r="D81" s="33">
        <f>SUM(D76:D80)</f>
        <v/>
      </c>
      <c r="E81" s="133">
        <f>IFERROR(C81/D81, 0)</f>
        <v/>
      </c>
    </row>
    <row r="82" ht="10" customHeight="1"/>
    <row r="83" ht="10" customHeight="1"/>
    <row r="84">
      <c r="A84" s="51" t="inlineStr">
        <is>
          <t>SLEEP &amp; PRODUCTIVITY CORRELATION ANALYSIS</t>
        </is>
      </c>
      <c r="B84" s="52" t="n"/>
      <c r="C84" s="52" t="n"/>
      <c r="D84" s="52" t="n"/>
      <c r="E84" s="52" t="n"/>
      <c r="F84" s="52" t="n"/>
      <c r="G84" s="52" t="n"/>
      <c r="H84" s="52" t="n"/>
      <c r="I84" s="52" t="n"/>
      <c r="J84" s="52" t="n"/>
      <c r="K84" s="52" t="n"/>
      <c r="L84" s="52" t="n"/>
      <c r="M84" s="52" t="n"/>
      <c r="N84" s="52" t="n"/>
      <c r="O84" s="52" t="n"/>
      <c r="P84" s="52" t="n"/>
      <c r="Q84" s="52" t="n"/>
      <c r="R84" s="52" t="n"/>
      <c r="S84" s="52" t="n"/>
      <c r="T84" s="52" t="n"/>
      <c r="U84" s="52" t="n"/>
      <c r="V84" s="52" t="n"/>
      <c r="W84" s="52" t="n"/>
      <c r="X84" s="52" t="n"/>
      <c r="Y84" s="52" t="n"/>
      <c r="Z84" s="52" t="n"/>
      <c r="AA84" s="52" t="n"/>
      <c r="AB84" s="52" t="n"/>
      <c r="AC84" s="52" t="n"/>
      <c r="AD84" s="52" t="n"/>
      <c r="AE84" s="52" t="n"/>
      <c r="AF84" s="52" t="n"/>
      <c r="AG84" s="52" t="n"/>
      <c r="AH84" s="52" t="n"/>
      <c r="AI84" s="52" t="n"/>
    </row>
    <row r="85" ht="15" customHeight="1">
      <c r="A85" s="53" t="inlineStr">
        <is>
          <t>Rest Category</t>
        </is>
      </c>
      <c r="B85" s="54" t="n"/>
      <c r="C85" s="54" t="n"/>
      <c r="D85" s="53" t="inlineStr">
        <is>
          <t>Day Criteria</t>
        </is>
      </c>
      <c r="E85" s="54" t="n"/>
      <c r="F85" s="54" t="n"/>
      <c r="G85" s="53" t="inlineStr">
        <is>
          <t>Days Logged</t>
        </is>
      </c>
      <c r="H85" s="54" t="n"/>
      <c r="I85" s="54" t="n"/>
      <c r="J85" s="53" t="inlineStr">
        <is>
          <t>Avg Sleep Duration</t>
        </is>
      </c>
      <c r="K85" s="54" t="n"/>
      <c r="L85" s="54" t="n"/>
      <c r="M85" s="54" t="n"/>
      <c r="N85" s="53" t="inlineStr">
        <is>
          <t>Avg Habit Success %</t>
        </is>
      </c>
      <c r="O85" s="54" t="n"/>
      <c r="P85" s="54" t="n"/>
      <c r="Q85" s="54" t="n"/>
      <c r="R85" s="53" t="inlineStr">
        <is>
          <t>Productivity Delta</t>
        </is>
      </c>
      <c r="S85" s="54" t="n"/>
      <c r="T85" s="54" t="n"/>
      <c r="U85" s="54" t="n"/>
    </row>
    <row r="86" ht="15" customHeight="1">
      <c r="A86" s="160" t="inlineStr">
        <is>
          <t>Optimal Rest</t>
        </is>
      </c>
      <c r="B86" s="161" t="n"/>
      <c r="C86" s="56" t="n"/>
      <c r="D86" s="34" t="inlineStr">
        <is>
          <t>&gt;= 7 Hours / Night</t>
        </is>
      </c>
      <c r="E86" s="161" t="n"/>
      <c r="F86" s="56" t="n"/>
      <c r="G86" s="33">
        <f>COUNTIF(E47:AF47, "&gt;=7")</f>
        <v/>
      </c>
      <c r="H86" s="161" t="n"/>
      <c r="I86" s="56" t="n"/>
      <c r="J86" s="34">
        <f>IFERROR(TEXT(AVERAGEIF(E47:AF47, "&gt;=7"), "0.0") &amp; " hrs", "-")</f>
        <v/>
      </c>
      <c r="K86" s="161" t="n"/>
      <c r="L86" s="161" t="n"/>
      <c r="M86" s="56" t="n"/>
      <c r="N86" s="42">
        <f>IFERROR(AVERAGEIFS(E39:AF39, E47:AF47, "&gt;=7", E39:AF39, "&gt;0"), 0)</f>
        <v/>
      </c>
      <c r="O86" s="161" t="n"/>
      <c r="P86" s="161" t="n"/>
      <c r="Q86" s="56" t="n"/>
      <c r="R86" s="159" t="inlineStr">
        <is>
          <t>Baseline (Target)</t>
        </is>
      </c>
      <c r="S86" s="161" t="n"/>
      <c r="T86" s="161" t="n"/>
      <c r="U86" s="56" t="n"/>
    </row>
    <row r="87" ht="15" customHeight="1">
      <c r="A87" s="162" t="inlineStr">
        <is>
          <t>Sleep Deficit</t>
        </is>
      </c>
      <c r="B87" s="161" t="n"/>
      <c r="C87" s="56" t="n"/>
      <c r="D87" s="34" t="inlineStr">
        <is>
          <t>&lt; 7 Hours / Night</t>
        </is>
      </c>
      <c r="E87" s="161" t="n"/>
      <c r="F87" s="56" t="n"/>
      <c r="G87" s="33">
        <f>COUNTIF(E47:AF47, "&lt;7") - COUNTIF(E47:AF47, "")</f>
        <v/>
      </c>
      <c r="H87" s="161" t="n"/>
      <c r="I87" s="56" t="n"/>
      <c r="J87" s="34">
        <f>IFERROR(TEXT(AVERAGEIFS(E47:AF47, E47:AF47, "&lt;7", E47:AF47, "&gt;0"), "0.0") &amp; " hrs", "-")</f>
        <v/>
      </c>
      <c r="K87" s="161" t="n"/>
      <c r="L87" s="161" t="n"/>
      <c r="M87" s="56" t="n"/>
      <c r="N87" s="163">
        <f>IFERROR(AVERAGEIFS(E39:AF39, E47:AF47, "&lt;7", E39:AF39, "&gt;0"), 0)</f>
        <v/>
      </c>
      <c r="O87" s="161" t="n"/>
      <c r="P87" s="161" t="n"/>
      <c r="Q87" s="56" t="n"/>
      <c r="R87" s="160">
        <f>IFERROR(TEXT(N86 - N87, "+0.0%;-0.0%;0.0%") &amp; " Rest Advantage", "-")</f>
        <v/>
      </c>
      <c r="S87" s="161" t="n"/>
      <c r="T87" s="161" t="n"/>
      <c r="U87" s="56" t="n"/>
    </row>
    <row r="88" ht="18" customHeight="1">
      <c r="A88" s="164">
        <f>IF(AND(ISNUMBER(N86), ISNUMBER(N87), N86&gt;0, N87&gt;0), "💡 Sleep Correlation Insight: You complete " &amp; TEXT(ABS(N86-N87), "0.0%") &amp; IF(N86&gt;=N87, " MORE habits on days with 7+ hours of sleep!", " fewer habits on days with 7+ hours of sleep."), "💡 Log both habits and sleep hours daily to unlock automatic AI correlation insights!")</f>
        <v/>
      </c>
      <c r="B88" s="161" t="n"/>
      <c r="C88" s="161" t="n"/>
      <c r="D88" s="161" t="n"/>
      <c r="E88" s="161" t="n"/>
      <c r="F88" s="161" t="n"/>
      <c r="G88" s="161" t="n"/>
      <c r="H88" s="161" t="n"/>
      <c r="I88" s="161" t="n"/>
      <c r="J88" s="161" t="n"/>
      <c r="K88" s="161" t="n"/>
      <c r="L88" s="161" t="n"/>
      <c r="M88" s="161" t="n"/>
      <c r="N88" s="161" t="n"/>
      <c r="O88" s="161" t="n"/>
      <c r="P88" s="161" t="n"/>
      <c r="Q88" s="161" t="n"/>
      <c r="R88" s="161" t="n"/>
      <c r="S88" s="161" t="n"/>
      <c r="T88" s="161" t="n"/>
      <c r="U88" s="161" t="n"/>
      <c r="V88" s="161" t="n"/>
      <c r="W88" s="161" t="n"/>
      <c r="X88" s="161" t="n"/>
      <c r="Y88" s="161" t="n"/>
      <c r="Z88" s="161" t="n"/>
      <c r="AA88" s="161" t="n"/>
      <c r="AB88" s="161" t="n"/>
      <c r="AC88" s="161" t="n"/>
      <c r="AD88" s="161" t="n"/>
      <c r="AE88" s="161" t="n"/>
      <c r="AF88" s="161" t="n"/>
      <c r="AG88" s="161" t="n"/>
      <c r="AH88" s="161" t="n"/>
      <c r="AI88" s="56" t="n"/>
    </row>
    <row r="89" ht="10" customHeight="1"/>
    <row r="90">
      <c r="A90" s="43" t="inlineStr">
        <is>
          <t>STANDARDIZED DATA BRIDGE (FOR ANNUAL &amp; QUARTERLY REVIEW SHEETS)</t>
        </is>
      </c>
      <c r="B90" s="44" t="n"/>
      <c r="C90" s="44" t="n"/>
      <c r="D90" s="44" t="n"/>
      <c r="E90" s="44" t="n"/>
      <c r="F90" s="44" t="n"/>
      <c r="G90" s="44" t="n"/>
      <c r="H90" s="44" t="n"/>
      <c r="I90" s="44" t="n"/>
      <c r="J90" s="44" t="n"/>
      <c r="K90" s="44" t="n"/>
      <c r="L90" s="44" t="n"/>
      <c r="M90" s="44" t="n"/>
      <c r="N90" s="44" t="n"/>
      <c r="O90" s="44" t="n"/>
      <c r="P90" s="44" t="n"/>
      <c r="Q90" s="44" t="n"/>
      <c r="R90" s="44" t="n"/>
      <c r="S90" s="44" t="n"/>
      <c r="T90" s="44" t="n"/>
      <c r="U90" s="44" t="n"/>
      <c r="V90" s="44" t="n"/>
      <c r="W90" s="44" t="n"/>
      <c r="X90" s="44" t="n"/>
      <c r="Y90" s="44" t="n"/>
      <c r="Z90" s="44" t="n"/>
      <c r="AA90" s="44" t="n"/>
      <c r="AB90" s="44" t="n"/>
      <c r="AC90" s="44" t="n"/>
      <c r="AD90" s="44" t="n"/>
      <c r="AE90" s="44" t="n"/>
      <c r="AF90" s="44" t="n"/>
      <c r="AG90" s="44" t="n"/>
      <c r="AH90" s="44" t="n"/>
      <c r="AI90" s="44" t="n"/>
    </row>
    <row r="91" ht="15" customHeight="1">
      <c r="A91" s="53" t="inlineStr">
        <is>
          <t>Month</t>
        </is>
      </c>
      <c r="B91" s="54" t="n"/>
      <c r="C91" s="53" t="inlineStr">
        <is>
          <t>Year</t>
        </is>
      </c>
      <c r="D91" s="54" t="n"/>
      <c r="E91" s="53" t="inlineStr">
        <is>
          <t>Active Habits</t>
        </is>
      </c>
      <c r="F91" s="54" t="n"/>
      <c r="G91" s="53" t="inlineStr">
        <is>
          <t>Target Days</t>
        </is>
      </c>
      <c r="H91" s="54" t="n"/>
      <c r="I91" s="53" t="inlineStr">
        <is>
          <t>Done Checks</t>
        </is>
      </c>
      <c r="J91" s="54" t="n"/>
      <c r="K91" s="53" t="inlineStr">
        <is>
          <t>Success %</t>
        </is>
      </c>
      <c r="L91" s="54" t="n"/>
      <c r="M91" s="53" t="inlineStr">
        <is>
          <t>Perfect Days</t>
        </is>
      </c>
      <c r="N91" s="54" t="n"/>
      <c r="O91" s="53" t="inlineStr">
        <is>
          <t>Avg Sleep</t>
        </is>
      </c>
      <c r="P91" s="54" t="n"/>
      <c r="Q91" s="53" t="inlineStr">
        <is>
          <t>Best Week</t>
        </is>
      </c>
      <c r="R91" s="54" t="n"/>
      <c r="S91" s="54" t="n"/>
      <c r="T91" s="53" t="inlineStr">
        <is>
          <t>Top Life Domain</t>
        </is>
      </c>
      <c r="U91" s="54" t="n"/>
      <c r="V91" s="54" t="n"/>
      <c r="W91" s="54" t="n"/>
    </row>
    <row r="92" ht="16" customHeight="1">
      <c r="A92" s="165" t="inlineStr">
        <is>
          <t>Feb</t>
        </is>
      </c>
      <c r="B92" s="56" t="n"/>
      <c r="C92" s="165" t="n">
        <v>2030</v>
      </c>
      <c r="D92" s="56" t="n"/>
      <c r="E92" s="166">
        <f>COUNTA(B18:B37)</f>
        <v/>
      </c>
      <c r="F92" s="56" t="n"/>
      <c r="G92" s="166">
        <f>SUM(D18:D37)</f>
        <v/>
      </c>
      <c r="H92" s="56" t="n"/>
      <c r="I92" s="166">
        <f>SUM(AJ18:AJ37)</f>
        <v/>
      </c>
      <c r="J92" s="56" t="n"/>
      <c r="K92" s="167">
        <f>IF(G92&gt;0, I92/G92, 0)</f>
        <v/>
      </c>
      <c r="L92" s="56" t="n"/>
      <c r="M92" s="166">
        <f>COUNTIF(E39:AF39, 1)</f>
        <v/>
      </c>
      <c r="N92" s="56" t="n"/>
      <c r="O92" s="168">
        <f>IFERROR(AVERAGE(E47:AF47), 0)</f>
        <v/>
      </c>
      <c r="P92" s="56" t="n"/>
      <c r="Q92" s="166">
        <f>INDEX(A76:A80, MATCH(MAX(E76:E80), E76:E80, 0))</f>
        <v/>
      </c>
      <c r="R92" s="161" t="n"/>
      <c r="S92" s="56" t="n"/>
      <c r="T92" s="166">
        <f>INDEX(N76:N80, MATCH(MAX(S76:S80), S76:S80, 0))</f>
        <v/>
      </c>
      <c r="U92" s="161" t="n"/>
      <c r="V92" s="161" t="n"/>
      <c r="W92" s="56" t="n"/>
    </row>
    <row r="93" ht="14" customHeight="1">
      <c r="A93" s="169" t="inlineStr">
        <is>
          <t>📋 Note: Reference or copy Row 92 directly into an Annual / Quarterly review dashboard to track yearly habit trends.</t>
        </is>
      </c>
    </row>
    <row r="94" ht="8" customHeight="1"/>
    <row r="95">
      <c r="A95" s="170" t="inlineStr">
        <is>
          <t>🏆 MONTHLY WINS &amp; HIGHLIGHTS</t>
        </is>
      </c>
      <c r="J95" s="171" t="inlineStr">
        <is>
          <t>⚠️ FRICTION POINTS &amp; ROOT CAUSES</t>
        </is>
      </c>
      <c r="S95" s="172" t="inlineStr">
        <is>
          <t>🎯 3 KEY ADJUSTMENTS FOR NEXT MONTH</t>
        </is>
      </c>
    </row>
    <row r="96">
      <c r="A96" s="173" t="inlineStr">
        <is>
          <t>1. What went exceptionally well this month?
2. Which habit felt effortless and consistent?
3. Major milestone achieved:</t>
        </is>
      </c>
      <c r="B96" s="174" t="n"/>
      <c r="C96" s="174" t="n"/>
      <c r="D96" s="174" t="n"/>
      <c r="E96" s="174" t="n"/>
      <c r="F96" s="174" t="n"/>
      <c r="G96" s="174" t="n"/>
      <c r="H96" s="174" t="n"/>
      <c r="J96" s="175" t="inlineStr">
        <is>
          <t>1. What caused missed or skipped days?
2. Main triggers / energy drains encountered:
3. Which habit had the lowest consistency and why?</t>
        </is>
      </c>
      <c r="K96" s="176" t="n"/>
      <c r="L96" s="176" t="n"/>
      <c r="M96" s="176" t="n"/>
      <c r="N96" s="176" t="n"/>
      <c r="O96" s="176" t="n"/>
      <c r="P96" s="176" t="n"/>
      <c r="Q96" s="176" t="n"/>
      <c r="S96" s="177" t="inlineStr">
        <is>
          <t>1. Habit Stacking or time adjustment for next month:
2. Environment design change to eliminate friction:
3. One non-negotiable priority protocol:</t>
        </is>
      </c>
      <c r="T96" s="178" t="n"/>
      <c r="U96" s="178" t="n"/>
      <c r="V96" s="178" t="n"/>
      <c r="W96" s="178" t="n"/>
      <c r="X96" s="178" t="n"/>
      <c r="Y96" s="178" t="n"/>
      <c r="Z96" s="178" t="n"/>
    </row>
    <row r="97">
      <c r="A97" s="174" t="n"/>
      <c r="B97" s="174" t="n"/>
      <c r="C97" s="174" t="n"/>
      <c r="D97" s="174" t="n"/>
      <c r="E97" s="174" t="n"/>
      <c r="F97" s="174" t="n"/>
      <c r="G97" s="174" t="n"/>
      <c r="H97" s="174" t="n"/>
      <c r="J97" s="176" t="n"/>
      <c r="K97" s="176" t="n"/>
      <c r="L97" s="176" t="n"/>
      <c r="M97" s="176" t="n"/>
      <c r="N97" s="176" t="n"/>
      <c r="O97" s="176" t="n"/>
      <c r="P97" s="176" t="n"/>
      <c r="Q97" s="176" t="n"/>
      <c r="S97" s="178" t="n"/>
      <c r="T97" s="178" t="n"/>
      <c r="U97" s="178" t="n"/>
      <c r="V97" s="178" t="n"/>
      <c r="W97" s="178" t="n"/>
      <c r="X97" s="178" t="n"/>
      <c r="Y97" s="178" t="n"/>
      <c r="Z97" s="178" t="n"/>
    </row>
    <row r="98">
      <c r="A98" s="174" t="n"/>
      <c r="B98" s="174" t="n"/>
      <c r="C98" s="174" t="n"/>
      <c r="D98" s="174" t="n"/>
      <c r="E98" s="174" t="n"/>
      <c r="F98" s="174" t="n"/>
      <c r="G98" s="174" t="n"/>
      <c r="H98" s="174" t="n"/>
      <c r="J98" s="176" t="n"/>
      <c r="K98" s="176" t="n"/>
      <c r="L98" s="176" t="n"/>
      <c r="M98" s="176" t="n"/>
      <c r="N98" s="176" t="n"/>
      <c r="O98" s="176" t="n"/>
      <c r="P98" s="176" t="n"/>
      <c r="Q98" s="176" t="n"/>
      <c r="S98" s="178" t="n"/>
      <c r="T98" s="178" t="n"/>
      <c r="U98" s="178" t="n"/>
      <c r="V98" s="178" t="n"/>
      <c r="W98" s="178" t="n"/>
      <c r="X98" s="178" t="n"/>
      <c r="Y98" s="178" t="n"/>
      <c r="Z98" s="178" t="n"/>
    </row>
    <row r="99">
      <c r="A99" s="174" t="n"/>
      <c r="B99" s="174" t="n"/>
      <c r="C99" s="174" t="n"/>
      <c r="D99" s="174" t="n"/>
      <c r="E99" s="174" t="n"/>
      <c r="F99" s="174" t="n"/>
      <c r="G99" s="174" t="n"/>
      <c r="H99" s="174" t="n"/>
      <c r="J99" s="176" t="n"/>
      <c r="K99" s="176" t="n"/>
      <c r="L99" s="176" t="n"/>
      <c r="M99" s="176" t="n"/>
      <c r="N99" s="176" t="n"/>
      <c r="O99" s="176" t="n"/>
      <c r="P99" s="176" t="n"/>
      <c r="Q99" s="176" t="n"/>
      <c r="S99" s="178" t="n"/>
      <c r="T99" s="178" t="n"/>
      <c r="U99" s="178" t="n"/>
      <c r="V99" s="178" t="n"/>
      <c r="W99" s="178" t="n"/>
      <c r="X99" s="178" t="n"/>
      <c r="Y99" s="178" t="n"/>
      <c r="Z99" s="178" t="n"/>
    </row>
    <row r="100">
      <c r="A100" s="174" t="n"/>
      <c r="B100" s="174" t="n"/>
      <c r="C100" s="174" t="n"/>
      <c r="D100" s="174" t="n"/>
      <c r="E100" s="174" t="n"/>
      <c r="F100" s="174" t="n"/>
      <c r="G100" s="174" t="n"/>
      <c r="H100" s="174" t="n"/>
      <c r="J100" s="176" t="n"/>
      <c r="K100" s="176" t="n"/>
      <c r="L100" s="176" t="n"/>
      <c r="M100" s="176" t="n"/>
      <c r="N100" s="176" t="n"/>
      <c r="O100" s="176" t="n"/>
      <c r="P100" s="176" t="n"/>
      <c r="Q100" s="176" t="n"/>
      <c r="S100" s="178" t="n"/>
      <c r="T100" s="178" t="n"/>
      <c r="U100" s="178" t="n"/>
      <c r="V100" s="178" t="n"/>
      <c r="W100" s="178" t="n"/>
      <c r="X100" s="178" t="n"/>
      <c r="Y100" s="178" t="n"/>
      <c r="Z100" s="178" t="n"/>
    </row>
    <row r="101">
      <c r="A101" s="174" t="n"/>
      <c r="B101" s="174" t="n"/>
      <c r="C101" s="174" t="n"/>
      <c r="D101" s="174" t="n"/>
      <c r="E101" s="174" t="n"/>
      <c r="F101" s="174" t="n"/>
      <c r="G101" s="174" t="n"/>
      <c r="H101" s="174" t="n"/>
      <c r="J101" s="176" t="n"/>
      <c r="K101" s="176" t="n"/>
      <c r="L101" s="176" t="n"/>
      <c r="M101" s="176" t="n"/>
      <c r="N101" s="176" t="n"/>
      <c r="O101" s="176" t="n"/>
      <c r="P101" s="176" t="n"/>
      <c r="Q101" s="176" t="n"/>
      <c r="S101" s="178" t="n"/>
      <c r="T101" s="178" t="n"/>
      <c r="U101" s="178" t="n"/>
      <c r="V101" s="178" t="n"/>
      <c r="W101" s="178" t="n"/>
      <c r="X101" s="178" t="n"/>
      <c r="Y101" s="178" t="n"/>
      <c r="Z101" s="178" t="n"/>
    </row>
    <row r="102">
      <c r="A102" s="174" t="n"/>
      <c r="B102" s="174" t="n"/>
      <c r="C102" s="174" t="n"/>
      <c r="D102" s="174" t="n"/>
      <c r="E102" s="174" t="n"/>
      <c r="F102" s="174" t="n"/>
      <c r="G102" s="174" t="n"/>
      <c r="H102" s="174" t="n"/>
      <c r="J102" s="176" t="n"/>
      <c r="K102" s="176" t="n"/>
      <c r="L102" s="176" t="n"/>
      <c r="M102" s="176" t="n"/>
      <c r="N102" s="176" t="n"/>
      <c r="O102" s="176" t="n"/>
      <c r="P102" s="176" t="n"/>
      <c r="Q102" s="176" t="n"/>
      <c r="S102" s="178" t="n"/>
      <c r="T102" s="178" t="n"/>
      <c r="U102" s="178" t="n"/>
      <c r="V102" s="178" t="n"/>
      <c r="W102" s="178" t="n"/>
      <c r="X102" s="178" t="n"/>
      <c r="Y102" s="178" t="n"/>
      <c r="Z102" s="178" t="n"/>
    </row>
    <row r="103">
      <c r="A103" s="174" t="n"/>
      <c r="B103" s="174" t="n"/>
      <c r="C103" s="174" t="n"/>
      <c r="D103" s="174" t="n"/>
      <c r="E103" s="174" t="n"/>
      <c r="F103" s="174" t="n"/>
      <c r="G103" s="174" t="n"/>
      <c r="H103" s="174" t="n"/>
      <c r="J103" s="176" t="n"/>
      <c r="K103" s="176" t="n"/>
      <c r="L103" s="176" t="n"/>
      <c r="M103" s="176" t="n"/>
      <c r="N103" s="176" t="n"/>
      <c r="O103" s="176" t="n"/>
      <c r="P103" s="176" t="n"/>
      <c r="Q103" s="176" t="n"/>
      <c r="S103" s="178" t="n"/>
      <c r="T103" s="178" t="n"/>
      <c r="U103" s="178" t="n"/>
      <c r="V103" s="178" t="n"/>
      <c r="W103" s="178" t="n"/>
      <c r="X103" s="178" t="n"/>
      <c r="Y103" s="178" t="n"/>
      <c r="Z103" s="178" t="n"/>
    </row>
  </sheetData>
  <sheetProtection selectLockedCells="1" selectUnlockedCells="1" sheet="1" objects="0" insertRows="1" insertHyperlinks="1" autoFilter="1" scenarios="0" formatColumns="1" deleteColumns="1" insertColumns="1" pivotTables="1" deleteRows="1" formatCells="1" formatRows="1" sort="1"/>
  <mergeCells count="94">
    <mergeCell ref="A9:N9"/>
    <mergeCell ref="N76:O76"/>
    <mergeCell ref="F67:I67"/>
    <mergeCell ref="A93:AI93"/>
    <mergeCell ref="G87:I87"/>
    <mergeCell ref="A16:A17"/>
    <mergeCell ref="A45:D46"/>
    <mergeCell ref="C16:C17"/>
    <mergeCell ref="N75:O75"/>
    <mergeCell ref="N77:O77"/>
    <mergeCell ref="P68:S70"/>
    <mergeCell ref="P6:AI6"/>
    <mergeCell ref="D16:D17"/>
    <mergeCell ref="N85:Q85"/>
    <mergeCell ref="A95:H95"/>
    <mergeCell ref="Q91:S91"/>
    <mergeCell ref="P7:AI7"/>
    <mergeCell ref="E91:F91"/>
    <mergeCell ref="A8:N8"/>
    <mergeCell ref="G91:H91"/>
    <mergeCell ref="J86:M86"/>
    <mergeCell ref="A12:AI14"/>
    <mergeCell ref="K67:N67"/>
    <mergeCell ref="S95:Z95"/>
    <mergeCell ref="N79:O79"/>
    <mergeCell ref="K92:L92"/>
    <mergeCell ref="C92:D92"/>
    <mergeCell ref="M92:N92"/>
    <mergeCell ref="F71:I71"/>
    <mergeCell ref="P9:AI9"/>
    <mergeCell ref="K68:N70"/>
    <mergeCell ref="T91:W91"/>
    <mergeCell ref="AG16:AG17"/>
    <mergeCell ref="AI16:AI17"/>
    <mergeCell ref="J95:Q95"/>
    <mergeCell ref="A84:AI84"/>
    <mergeCell ref="D85:F85"/>
    <mergeCell ref="N74:S74"/>
    <mergeCell ref="F68:I70"/>
    <mergeCell ref="A91:B91"/>
    <mergeCell ref="N78:O78"/>
    <mergeCell ref="C91:D91"/>
    <mergeCell ref="M91:N91"/>
    <mergeCell ref="O91:P91"/>
    <mergeCell ref="R86:U86"/>
    <mergeCell ref="N80:O80"/>
    <mergeCell ref="B16:B17"/>
    <mergeCell ref="A71:D71"/>
    <mergeCell ref="J85:M85"/>
    <mergeCell ref="D86:F86"/>
    <mergeCell ref="A92:B92"/>
    <mergeCell ref="N87:Q87"/>
    <mergeCell ref="A1:B1"/>
    <mergeCell ref="E92:F92"/>
    <mergeCell ref="A68:D70"/>
    <mergeCell ref="P71:S71"/>
    <mergeCell ref="A86:C86"/>
    <mergeCell ref="D87:F87"/>
    <mergeCell ref="O92:P92"/>
    <mergeCell ref="A6:N6"/>
    <mergeCell ref="A88:AI88"/>
    <mergeCell ref="A39:D39"/>
    <mergeCell ref="A41:AI41"/>
    <mergeCell ref="A90:AI90"/>
    <mergeCell ref="H2:AA2"/>
    <mergeCell ref="G86:I86"/>
    <mergeCell ref="A96:H103"/>
    <mergeCell ref="P67:S67"/>
    <mergeCell ref="A42:AI42"/>
    <mergeCell ref="AH16:AH17"/>
    <mergeCell ref="T92:W92"/>
    <mergeCell ref="H3:AA3"/>
    <mergeCell ref="R85:U85"/>
    <mergeCell ref="K71:N71"/>
    <mergeCell ref="S96:Z103"/>
    <mergeCell ref="A38:D38"/>
    <mergeCell ref="A67:D67"/>
    <mergeCell ref="I91:J91"/>
    <mergeCell ref="A85:C85"/>
    <mergeCell ref="K91:L91"/>
    <mergeCell ref="N86:Q86"/>
    <mergeCell ref="A7:N7"/>
    <mergeCell ref="P8:AI8"/>
    <mergeCell ref="A74:E74"/>
    <mergeCell ref="G85:I85"/>
    <mergeCell ref="G92:H92"/>
    <mergeCell ref="I92:J92"/>
    <mergeCell ref="R87:U87"/>
    <mergeCell ref="AB2:AI2"/>
    <mergeCell ref="J87:M87"/>
    <mergeCell ref="J96:Q103"/>
    <mergeCell ref="Q92:S92"/>
    <mergeCell ref="A87:C87"/>
    <mergeCell ref="A47:D47"/>
  </mergeCells>
  <conditionalFormatting sqref="AG18:AG37">
    <cfRule type="dataBar" priority="1">
      <dataBar>
        <cfvo type="num" val="0"/>
        <cfvo type="num" val="1"/>
        <color rgb="0010B981"/>
      </dataBar>
    </cfRule>
  </conditionalFormatting>
  <conditionalFormatting sqref="E18:AF37">
    <cfRule type="cellIs" priority="2" operator="equal" dxfId="0">
      <formula>"✓"</formula>
    </cfRule>
    <cfRule type="cellIs" priority="3" operator="equal" dxfId="0">
      <formula>"✔"</formula>
    </cfRule>
    <cfRule type="cellIs" priority="4" operator="equal" dxfId="1">
      <formula>"✗"</formula>
    </cfRule>
    <cfRule type="cellIs" priority="5" operator="equal" dxfId="1">
      <formula>"x"</formula>
    </cfRule>
    <cfRule type="cellIs" priority="6" operator="equal" dxfId="1">
      <formula>"X"</formula>
    </cfRule>
  </conditionalFormatting>
  <conditionalFormatting sqref="E16:E17">
    <cfRule type="expression" priority="7" dxfId="2">
      <formula>AND(DAY(TODAY())=1, MONTH(TODAY())=2, YEAR(TODAY())=2030)</formula>
    </cfRule>
  </conditionalFormatting>
  <conditionalFormatting sqref="F16:F17">
    <cfRule type="expression" priority="8" dxfId="2">
      <formula>AND(DAY(TODAY())=2, MONTH(TODAY())=2, YEAR(TODAY())=2030)</formula>
    </cfRule>
  </conditionalFormatting>
  <conditionalFormatting sqref="G16:G17">
    <cfRule type="expression" priority="9" dxfId="2">
      <formula>AND(DAY(TODAY())=3, MONTH(TODAY())=2, YEAR(TODAY())=2030)</formula>
    </cfRule>
  </conditionalFormatting>
  <conditionalFormatting sqref="H16:H17">
    <cfRule type="expression" priority="10" dxfId="2">
      <formula>AND(DAY(TODAY())=4, MONTH(TODAY())=2, YEAR(TODAY())=2030)</formula>
    </cfRule>
  </conditionalFormatting>
  <conditionalFormatting sqref="I16:I17">
    <cfRule type="expression" priority="11" dxfId="2">
      <formula>AND(DAY(TODAY())=5, MONTH(TODAY())=2, YEAR(TODAY())=2030)</formula>
    </cfRule>
  </conditionalFormatting>
  <conditionalFormatting sqref="J16:J17">
    <cfRule type="expression" priority="12" dxfId="2">
      <formula>AND(DAY(TODAY())=6, MONTH(TODAY())=2, YEAR(TODAY())=2030)</formula>
    </cfRule>
  </conditionalFormatting>
  <conditionalFormatting sqref="K16:K17">
    <cfRule type="expression" priority="13" dxfId="2">
      <formula>AND(DAY(TODAY())=7, MONTH(TODAY())=2, YEAR(TODAY())=2030)</formula>
    </cfRule>
  </conditionalFormatting>
  <conditionalFormatting sqref="L16:L17">
    <cfRule type="expression" priority="14" dxfId="2">
      <formula>AND(DAY(TODAY())=8, MONTH(TODAY())=2, YEAR(TODAY())=2030)</formula>
    </cfRule>
  </conditionalFormatting>
  <conditionalFormatting sqref="M16:M17">
    <cfRule type="expression" priority="15" dxfId="2">
      <formula>AND(DAY(TODAY())=9, MONTH(TODAY())=2, YEAR(TODAY())=2030)</formula>
    </cfRule>
  </conditionalFormatting>
  <conditionalFormatting sqref="N16:N17">
    <cfRule type="expression" priority="16" dxfId="2">
      <formula>AND(DAY(TODAY())=10, MONTH(TODAY())=2, YEAR(TODAY())=2030)</formula>
    </cfRule>
  </conditionalFormatting>
  <conditionalFormatting sqref="O16:O17">
    <cfRule type="expression" priority="17" dxfId="2">
      <formula>AND(DAY(TODAY())=11, MONTH(TODAY())=2, YEAR(TODAY())=2030)</formula>
    </cfRule>
  </conditionalFormatting>
  <conditionalFormatting sqref="P16:P17">
    <cfRule type="expression" priority="18" dxfId="2">
      <formula>AND(DAY(TODAY())=12, MONTH(TODAY())=2, YEAR(TODAY())=2030)</formula>
    </cfRule>
  </conditionalFormatting>
  <conditionalFormatting sqref="Q16:Q17">
    <cfRule type="expression" priority="19" dxfId="2">
      <formula>AND(DAY(TODAY())=13, MONTH(TODAY())=2, YEAR(TODAY())=2030)</formula>
    </cfRule>
  </conditionalFormatting>
  <conditionalFormatting sqref="R16:R17">
    <cfRule type="expression" priority="20" dxfId="2">
      <formula>AND(DAY(TODAY())=14, MONTH(TODAY())=2, YEAR(TODAY())=2030)</formula>
    </cfRule>
  </conditionalFormatting>
  <conditionalFormatting sqref="S16:S17">
    <cfRule type="expression" priority="21" dxfId="2">
      <formula>AND(DAY(TODAY())=15, MONTH(TODAY())=2, YEAR(TODAY())=2030)</formula>
    </cfRule>
  </conditionalFormatting>
  <conditionalFormatting sqref="T16:T17">
    <cfRule type="expression" priority="22" dxfId="2">
      <formula>AND(DAY(TODAY())=16, MONTH(TODAY())=2, YEAR(TODAY())=2030)</formula>
    </cfRule>
  </conditionalFormatting>
  <conditionalFormatting sqref="U16:U17">
    <cfRule type="expression" priority="23" dxfId="2">
      <formula>AND(DAY(TODAY())=17, MONTH(TODAY())=2, YEAR(TODAY())=2030)</formula>
    </cfRule>
  </conditionalFormatting>
  <conditionalFormatting sqref="V16:V17">
    <cfRule type="expression" priority="24" dxfId="2">
      <formula>AND(DAY(TODAY())=18, MONTH(TODAY())=2, YEAR(TODAY())=2030)</formula>
    </cfRule>
  </conditionalFormatting>
  <conditionalFormatting sqref="W16:W17">
    <cfRule type="expression" priority="25" dxfId="2">
      <formula>AND(DAY(TODAY())=19, MONTH(TODAY())=2, YEAR(TODAY())=2030)</formula>
    </cfRule>
  </conditionalFormatting>
  <conditionalFormatting sqref="X16:X17">
    <cfRule type="expression" priority="26" dxfId="2">
      <formula>AND(DAY(TODAY())=20, MONTH(TODAY())=2, YEAR(TODAY())=2030)</formula>
    </cfRule>
  </conditionalFormatting>
  <conditionalFormatting sqref="Y16:Y17">
    <cfRule type="expression" priority="27" dxfId="2">
      <formula>AND(DAY(TODAY())=21, MONTH(TODAY())=2, YEAR(TODAY())=2030)</formula>
    </cfRule>
  </conditionalFormatting>
  <conditionalFormatting sqref="Z16:Z17">
    <cfRule type="expression" priority="28" dxfId="2">
      <formula>AND(DAY(TODAY())=22, MONTH(TODAY())=2, YEAR(TODAY())=2030)</formula>
    </cfRule>
  </conditionalFormatting>
  <conditionalFormatting sqref="AA16:AA17">
    <cfRule type="expression" priority="29" dxfId="2">
      <formula>AND(DAY(TODAY())=23, MONTH(TODAY())=2, YEAR(TODAY())=2030)</formula>
    </cfRule>
  </conditionalFormatting>
  <conditionalFormatting sqref="AB16:AB17">
    <cfRule type="expression" priority="30" dxfId="2">
      <formula>AND(DAY(TODAY())=24, MONTH(TODAY())=2, YEAR(TODAY())=2030)</formula>
    </cfRule>
  </conditionalFormatting>
  <conditionalFormatting sqref="AC16:AC17">
    <cfRule type="expression" priority="31" dxfId="2">
      <formula>AND(DAY(TODAY())=25, MONTH(TODAY())=2, YEAR(TODAY())=2030)</formula>
    </cfRule>
  </conditionalFormatting>
  <conditionalFormatting sqref="AD16:AD17">
    <cfRule type="expression" priority="32" dxfId="2">
      <formula>AND(DAY(TODAY())=26, MONTH(TODAY())=2, YEAR(TODAY())=2030)</formula>
    </cfRule>
  </conditionalFormatting>
  <conditionalFormatting sqref="AE16:AE17">
    <cfRule type="expression" priority="33" dxfId="2">
      <formula>AND(DAY(TODAY())=27, MONTH(TODAY())=2, YEAR(TODAY())=2030)</formula>
    </cfRule>
  </conditionalFormatting>
  <conditionalFormatting sqref="AF16:AF17">
    <cfRule type="expression" priority="34" dxfId="2">
      <formula>AND(DAY(TODAY())=28, MONTH(TODAY())=2, YEAR(TODAY())=2030)</formula>
    </cfRule>
  </conditionalFormatting>
  <dataValidations count="4">
    <dataValidation sqref="C18:C37" showDropDown="0" showInputMessage="0" showErrorMessage="0" allowBlank="1" type="list">
      <formula1>"Health &amp; Fitness,Mindset &amp; Learning,Career &amp; Focus,Personal &amp; Home,Finance &amp; Wealth,Other"</formula1>
    </dataValidation>
    <dataValidation sqref="D18:D37" showDropDown="0" showInputMessage="0" showErrorMessage="0" allowBlank="1" type="list">
      <formula1>"1,2,3,4,5,6,7,8,9,10,11,12,13,14,15,16,17,18,19,20,21,22,23,24,25,26,27,28,29,30,31"</formula1>
    </dataValidation>
    <dataValidation sqref="E18:AF37" showDropDown="0" showInputMessage="0" showErrorMessage="0" allowBlank="1" type="list">
      <formula1>"✓,✗"</formula1>
    </dataValidation>
    <dataValidation sqref="E47:AF47" showDropDown="0" showInputMessage="0" showErrorMessage="0" allowBlank="1" type="list">
      <formula1>"1,2,3,4,5,6,7,8,9,10,11,12,13,14,15,16,17,18,19,20,21,22,23,24"</formula1>
    </dataValidation>
  </dataValidations>
  <hyperlinks>
    <hyperlink xmlns:r="http://schemas.openxmlformats.org/officeDocument/2006/relationships" ref="A1" r:id="rId1"/>
    <hyperlink xmlns:r="http://schemas.openxmlformats.org/officeDocument/2006/relationships" ref="C1" r:id="rId2"/>
    <hyperlink xmlns:r="http://schemas.openxmlformats.org/officeDocument/2006/relationships" ref="D1" r:id="rId3"/>
    <hyperlink xmlns:r="http://schemas.openxmlformats.org/officeDocument/2006/relationships" ref="E1" r:id="rId4"/>
    <hyperlink xmlns:r="http://schemas.openxmlformats.org/officeDocument/2006/relationships" ref="F1" r:id="rId5"/>
    <hyperlink xmlns:r="http://schemas.openxmlformats.org/officeDocument/2006/relationships" ref="G1" r:id="rId6"/>
    <hyperlink xmlns:r="http://schemas.openxmlformats.org/officeDocument/2006/relationships" ref="H1" r:id="rId7"/>
    <hyperlink xmlns:r="http://schemas.openxmlformats.org/officeDocument/2006/relationships" ref="I1" r:id="rId8"/>
    <hyperlink xmlns:r="http://schemas.openxmlformats.org/officeDocument/2006/relationships" ref="J1" r:id="rId9"/>
    <hyperlink xmlns:r="http://schemas.openxmlformats.org/officeDocument/2006/relationships" ref="K1" r:id="rId10"/>
  </hyperlinks>
  <printOptions horizontalCentered="1" verticalCentered="0"/>
  <pageMargins left="0.75" right="0.75" top="1" bottom="1" header="0.5" footer="0.5"/>
  <pageSetup orientation="landscape" paperSize="9" fitToHeight="0" fitToWidth="1"/>
  <drawing xmlns:r="http://schemas.openxmlformats.org/officeDocument/2006/relationships" r:id="rId11"/>
</worksheet>
</file>

<file path=xl/worksheets/sheet46.xml><?xml version="1.0" encoding="utf-8"?>
<worksheet xmlns="http://schemas.openxmlformats.org/spreadsheetml/2006/main">
  <sheetPr>
    <outlinePr summaryBelow="1" summaryRight="1"/>
    <pageSetUpPr fitToPage="1"/>
  </sheetPr>
  <dimension ref="A1:AM103"/>
  <sheetViews>
    <sheetView showGridLines="1" workbookViewId="0">
      <selection activeCell="A1" sqref="A1"/>
    </sheetView>
  </sheetViews>
  <sheetFormatPr baseColWidth="8" defaultRowHeight="15"/>
  <cols>
    <col width="6" customWidth="1" min="1" max="1"/>
    <col width="25" customWidth="1" min="2" max="2"/>
    <col width="16.5" customWidth="1" min="3" max="3"/>
    <col width="8" customWidth="1" min="4" max="4"/>
    <col width="4.8" customWidth="1" min="5" max="5"/>
    <col width="4.8" customWidth="1" min="6" max="6"/>
    <col width="4.8" customWidth="1" min="7" max="7"/>
    <col width="4.8" customWidth="1" min="8" max="8"/>
    <col width="4.8" customWidth="1" min="9" max="9"/>
    <col width="4.8" customWidth="1" min="10" max="10"/>
    <col width="4.8" customWidth="1" min="11" max="11"/>
    <col width="4.8" customWidth="1" min="12" max="12"/>
    <col width="4.8" customWidth="1" min="13" max="13"/>
    <col width="4.8" customWidth="1" min="14" max="14"/>
    <col width="4.8" customWidth="1" min="15" max="15"/>
    <col width="4.8" customWidth="1" min="16" max="16"/>
    <col width="4.8" customWidth="1" min="17" max="17"/>
    <col width="4.8" customWidth="1" min="18" max="18"/>
    <col width="4.8" customWidth="1" min="19" max="19"/>
    <col width="4.8" customWidth="1" min="20" max="20"/>
    <col width="4.8" customWidth="1" min="21" max="21"/>
    <col width="4.8" customWidth="1" min="22" max="22"/>
    <col width="4.8" customWidth="1" min="23" max="23"/>
    <col width="4.8" customWidth="1" min="24" max="24"/>
    <col width="4.8" customWidth="1" min="25" max="25"/>
    <col width="4.8" customWidth="1" min="26" max="26"/>
    <col width="4.8" customWidth="1" min="27" max="27"/>
    <col width="4.8" customWidth="1" min="28" max="28"/>
    <col width="4.8" customWidth="1" min="29" max="29"/>
    <col width="4.8" customWidth="1" min="30" max="30"/>
    <col width="4.8" customWidth="1" min="31" max="31"/>
    <col width="4.8" customWidth="1" min="32" max="32"/>
    <col width="4.8" customWidth="1" min="33" max="33"/>
    <col width="4.8" customWidth="1" min="34" max="34"/>
    <col width="4.8" customWidth="1" min="35" max="35"/>
    <col width="11.5" customWidth="1" min="36" max="36"/>
    <col width="12" customWidth="1" min="37" max="37"/>
    <col width="13.5" customWidth="1" min="38" max="38"/>
    <col hidden="1" width="8" customWidth="1" min="39" max="39"/>
  </cols>
  <sheetData>
    <row r="1" ht="18" customHeight="1">
      <c r="A1" s="76" t="inlineStr">
        <is>
          <t>🏠 Master Dashboard</t>
        </is>
      </c>
      <c r="B1" s="40" t="n"/>
      <c r="C1" s="77" t="inlineStr">
        <is>
          <t>🏛️ Quarterly Hub</t>
        </is>
      </c>
      <c r="D1" s="78" t="inlineStr">
        <is>
          <t>📚 Habit Library</t>
        </is>
      </c>
      <c r="E1" s="80" t="inlineStr">
        <is>
          <t>2026</t>
        </is>
      </c>
      <c r="F1" s="80" t="inlineStr">
        <is>
          <t>2027</t>
        </is>
      </c>
      <c r="G1" s="80" t="inlineStr">
        <is>
          <t>2028</t>
        </is>
      </c>
      <c r="H1" s="80" t="inlineStr">
        <is>
          <t>2029</t>
        </is>
      </c>
      <c r="I1" s="79" t="inlineStr">
        <is>
          <t>2030</t>
        </is>
      </c>
      <c r="J1" s="82" t="inlineStr">
        <is>
          <t>◀ Prev</t>
        </is>
      </c>
      <c r="K1" s="82" t="inlineStr">
        <is>
          <t>Next ▶</t>
        </is>
      </c>
    </row>
    <row r="2" ht="24" customHeight="1">
      <c r="A2" s="83" t="inlineStr">
        <is>
          <t>Habit Tracker</t>
        </is>
      </c>
      <c r="H2" s="84" t="inlineStr">
        <is>
          <t>"Action is the foundational key to all success."</t>
        </is>
      </c>
      <c r="AE2" s="85" t="inlineStr">
        <is>
          <t>@surajvansh</t>
        </is>
      </c>
    </row>
    <row r="3" ht="18" customHeight="1">
      <c r="A3" s="86" t="inlineStr">
        <is>
          <t>March 2030</t>
        </is>
      </c>
      <c r="H3" s="87" t="inlineStr">
        <is>
          <t>31 Days Dashboard</t>
        </is>
      </c>
    </row>
    <row r="4" ht="5" customHeight="1"/>
    <row r="5" ht="16" customHeight="1">
      <c r="A5" s="88" t="inlineStr">
        <is>
          <t>MONTHLY TARGETS</t>
        </is>
      </c>
    </row>
    <row r="6" ht="13" customHeight="1">
      <c r="A6" s="89" t="inlineStr">
        <is>
          <t>1. ____________________ : ____________________</t>
        </is>
      </c>
      <c r="P6" s="89" t="inlineStr">
        <is>
          <t>5. ____________________ : ____________________</t>
        </is>
      </c>
    </row>
    <row r="7" ht="13" customHeight="1">
      <c r="A7" s="89" t="inlineStr">
        <is>
          <t>2. ____________________ : ____________________</t>
        </is>
      </c>
      <c r="P7" s="89" t="inlineStr">
        <is>
          <t>6. ____________________ : ____________________</t>
        </is>
      </c>
    </row>
    <row r="8" ht="13" customHeight="1">
      <c r="A8" s="89" t="inlineStr">
        <is>
          <t>3. ____________________ : ____________________</t>
        </is>
      </c>
      <c r="P8" s="89" t="inlineStr">
        <is>
          <t>7. ____________________ : ____________________</t>
        </is>
      </c>
    </row>
    <row r="9" ht="13" customHeight="1">
      <c r="A9" s="89" t="inlineStr">
        <is>
          <t>4. ____________________ : ____________________</t>
        </is>
      </c>
      <c r="P9" s="89" t="inlineStr">
        <is>
          <t>8. ____________________ : ____________________</t>
        </is>
      </c>
    </row>
    <row r="10" ht="5" customHeight="1"/>
    <row r="11" ht="15" customHeight="1">
      <c r="A11" s="88" t="inlineStr">
        <is>
          <t>NOTES:</t>
        </is>
      </c>
    </row>
    <row r="12" ht="13" customHeight="1">
      <c r="A12" s="90" t="n"/>
      <c r="B12" s="91" t="n"/>
      <c r="C12" s="91" t="n"/>
      <c r="D12" s="91" t="n"/>
      <c r="E12" s="91" t="n"/>
      <c r="F12" s="91" t="n"/>
      <c r="G12" s="91" t="n"/>
      <c r="H12" s="91" t="n"/>
      <c r="I12" s="91" t="n"/>
      <c r="J12" s="91" t="n"/>
      <c r="K12" s="91" t="n"/>
      <c r="L12" s="91" t="n"/>
      <c r="M12" s="91" t="n"/>
      <c r="N12" s="91" t="n"/>
      <c r="O12" s="91" t="n"/>
      <c r="P12" s="91" t="n"/>
      <c r="Q12" s="91" t="n"/>
      <c r="R12" s="91" t="n"/>
      <c r="S12" s="91" t="n"/>
      <c r="T12" s="91" t="n"/>
      <c r="U12" s="91" t="n"/>
      <c r="V12" s="91" t="n"/>
      <c r="W12" s="91" t="n"/>
      <c r="X12" s="91" t="n"/>
      <c r="Y12" s="91" t="n"/>
      <c r="Z12" s="91" t="n"/>
      <c r="AA12" s="91" t="n"/>
      <c r="AB12" s="91" t="n"/>
      <c r="AC12" s="91" t="n"/>
      <c r="AD12" s="91" t="n"/>
      <c r="AE12" s="91" t="n"/>
      <c r="AF12" s="91" t="n"/>
      <c r="AG12" s="91" t="n"/>
      <c r="AH12" s="91" t="n"/>
      <c r="AI12" s="91" t="n"/>
      <c r="AJ12" s="91" t="n"/>
      <c r="AK12" s="91" t="n"/>
      <c r="AL12" s="91" t="n"/>
    </row>
    <row r="13" ht="13" customHeight="1">
      <c r="A13" s="91" t="n"/>
      <c r="B13" s="91" t="n"/>
      <c r="C13" s="91" t="n"/>
      <c r="D13" s="91" t="n"/>
      <c r="E13" s="91" t="n"/>
      <c r="F13" s="91" t="n"/>
      <c r="G13" s="91" t="n"/>
      <c r="H13" s="91" t="n"/>
      <c r="I13" s="91" t="n"/>
      <c r="J13" s="91" t="n"/>
      <c r="K13" s="91" t="n"/>
      <c r="L13" s="91" t="n"/>
      <c r="M13" s="91" t="n"/>
      <c r="N13" s="91" t="n"/>
      <c r="O13" s="91" t="n"/>
      <c r="P13" s="91" t="n"/>
      <c r="Q13" s="91" t="n"/>
      <c r="R13" s="91" t="n"/>
      <c r="S13" s="91" t="n"/>
      <c r="T13" s="91" t="n"/>
      <c r="U13" s="91" t="n"/>
      <c r="V13" s="91" t="n"/>
      <c r="W13" s="91" t="n"/>
      <c r="X13" s="91" t="n"/>
      <c r="Y13" s="91" t="n"/>
      <c r="Z13" s="91" t="n"/>
      <c r="AA13" s="91" t="n"/>
      <c r="AB13" s="91" t="n"/>
      <c r="AC13" s="91" t="n"/>
      <c r="AD13" s="91" t="n"/>
      <c r="AE13" s="91" t="n"/>
      <c r="AF13" s="91" t="n"/>
      <c r="AG13" s="91" t="n"/>
      <c r="AH13" s="91" t="n"/>
      <c r="AI13" s="91" t="n"/>
      <c r="AJ13" s="91" t="n"/>
      <c r="AK13" s="91" t="n"/>
      <c r="AL13" s="91" t="n"/>
    </row>
    <row r="14" ht="13" customHeight="1">
      <c r="A14" s="91" t="n"/>
      <c r="B14" s="91" t="n"/>
      <c r="C14" s="91" t="n"/>
      <c r="D14" s="91" t="n"/>
      <c r="E14" s="91" t="n"/>
      <c r="F14" s="91" t="n"/>
      <c r="G14" s="91" t="n"/>
      <c r="H14" s="91" t="n"/>
      <c r="I14" s="91" t="n"/>
      <c r="J14" s="91" t="n"/>
      <c r="K14" s="91" t="n"/>
      <c r="L14" s="91" t="n"/>
      <c r="M14" s="91" t="n"/>
      <c r="N14" s="91" t="n"/>
      <c r="O14" s="91" t="n"/>
      <c r="P14" s="91" t="n"/>
      <c r="Q14" s="91" t="n"/>
      <c r="R14" s="91" t="n"/>
      <c r="S14" s="91" t="n"/>
      <c r="T14" s="91" t="n"/>
      <c r="U14" s="91" t="n"/>
      <c r="V14" s="91" t="n"/>
      <c r="W14" s="91" t="n"/>
      <c r="X14" s="91" t="n"/>
      <c r="Y14" s="91" t="n"/>
      <c r="Z14" s="91" t="n"/>
      <c r="AA14" s="91" t="n"/>
      <c r="AB14" s="91" t="n"/>
      <c r="AC14" s="91" t="n"/>
      <c r="AD14" s="91" t="n"/>
      <c r="AE14" s="91" t="n"/>
      <c r="AF14" s="91" t="n"/>
      <c r="AG14" s="91" t="n"/>
      <c r="AH14" s="91" t="n"/>
      <c r="AI14" s="91" t="n"/>
      <c r="AJ14" s="91" t="n"/>
      <c r="AK14" s="91" t="n"/>
      <c r="AL14" s="91" t="n"/>
    </row>
    <row r="15" ht="8" customHeight="1"/>
    <row r="16" ht="15" customHeight="1">
      <c r="A16" s="33" t="inlineStr">
        <is>
          <t>S.No.</t>
        </is>
      </c>
      <c r="B16" s="33" t="inlineStr">
        <is>
          <t>Protocols</t>
        </is>
      </c>
      <c r="C16" s="33" t="inlineStr">
        <is>
          <t>Category</t>
        </is>
      </c>
      <c r="D16" s="33" t="inlineStr">
        <is>
          <t>Target</t>
        </is>
      </c>
      <c r="E16" s="92" t="n">
        <v>1</v>
      </c>
      <c r="F16" s="92" t="n">
        <v>2</v>
      </c>
      <c r="G16" s="93" t="n">
        <v>3</v>
      </c>
      <c r="H16" s="92" t="n">
        <v>4</v>
      </c>
      <c r="I16" s="92" t="n">
        <v>5</v>
      </c>
      <c r="J16" s="92" t="n">
        <v>6</v>
      </c>
      <c r="K16" s="92" t="n">
        <v>7</v>
      </c>
      <c r="L16" s="92" t="n">
        <v>8</v>
      </c>
      <c r="M16" s="92" t="n">
        <v>9</v>
      </c>
      <c r="N16" s="93" t="n">
        <v>10</v>
      </c>
      <c r="O16" s="92" t="n">
        <v>11</v>
      </c>
      <c r="P16" s="92" t="n">
        <v>12</v>
      </c>
      <c r="Q16" s="92" t="n">
        <v>13</v>
      </c>
      <c r="R16" s="92" t="n">
        <v>14</v>
      </c>
      <c r="S16" s="92" t="n">
        <v>15</v>
      </c>
      <c r="T16" s="92" t="n">
        <v>16</v>
      </c>
      <c r="U16" s="93" t="n">
        <v>17</v>
      </c>
      <c r="V16" s="92" t="n">
        <v>18</v>
      </c>
      <c r="W16" s="92" t="n">
        <v>19</v>
      </c>
      <c r="X16" s="92" t="n">
        <v>20</v>
      </c>
      <c r="Y16" s="92" t="n">
        <v>21</v>
      </c>
      <c r="Z16" s="92" t="n">
        <v>22</v>
      </c>
      <c r="AA16" s="92" t="n">
        <v>23</v>
      </c>
      <c r="AB16" s="93" t="n">
        <v>24</v>
      </c>
      <c r="AC16" s="92" t="n">
        <v>25</v>
      </c>
      <c r="AD16" s="92" t="n">
        <v>26</v>
      </c>
      <c r="AE16" s="92" t="n">
        <v>27</v>
      </c>
      <c r="AF16" s="92" t="n">
        <v>28</v>
      </c>
      <c r="AG16" s="92" t="n">
        <v>29</v>
      </c>
      <c r="AH16" s="92" t="n">
        <v>30</v>
      </c>
      <c r="AI16" s="93" t="n">
        <v>31</v>
      </c>
      <c r="AJ16" s="94" t="inlineStr">
        <is>
          <t>Success %</t>
        </is>
      </c>
      <c r="AK16" s="94" t="inlineStr">
        <is>
          <t>Done / Target</t>
        </is>
      </c>
      <c r="AL16" s="94" t="inlineStr">
        <is>
          <t>Status</t>
        </is>
      </c>
      <c r="AM16" t="inlineStr">
        <is>
          <t>Done Count</t>
        </is>
      </c>
    </row>
    <row r="17" ht="15" customHeight="1">
      <c r="A17" s="54" t="n"/>
      <c r="B17" s="54" t="n"/>
      <c r="C17" s="54" t="n"/>
      <c r="D17" s="54" t="n"/>
      <c r="E17" s="95" t="inlineStr">
        <is>
          <t>F</t>
        </is>
      </c>
      <c r="F17" s="95" t="inlineStr">
        <is>
          <t>Sa</t>
        </is>
      </c>
      <c r="G17" s="96" t="inlineStr">
        <is>
          <t>Su</t>
        </is>
      </c>
      <c r="H17" s="95" t="inlineStr">
        <is>
          <t>M</t>
        </is>
      </c>
      <c r="I17" s="95" t="inlineStr">
        <is>
          <t>T</t>
        </is>
      </c>
      <c r="J17" s="95" t="inlineStr">
        <is>
          <t>W</t>
        </is>
      </c>
      <c r="K17" s="95" t="inlineStr">
        <is>
          <t>Th</t>
        </is>
      </c>
      <c r="L17" s="95" t="inlineStr">
        <is>
          <t>F</t>
        </is>
      </c>
      <c r="M17" s="95" t="inlineStr">
        <is>
          <t>Sa</t>
        </is>
      </c>
      <c r="N17" s="96" t="inlineStr">
        <is>
          <t>Su</t>
        </is>
      </c>
      <c r="O17" s="95" t="inlineStr">
        <is>
          <t>M</t>
        </is>
      </c>
      <c r="P17" s="95" t="inlineStr">
        <is>
          <t>T</t>
        </is>
      </c>
      <c r="Q17" s="95" t="inlineStr">
        <is>
          <t>W</t>
        </is>
      </c>
      <c r="R17" s="95" t="inlineStr">
        <is>
          <t>Th</t>
        </is>
      </c>
      <c r="S17" s="95" t="inlineStr">
        <is>
          <t>F</t>
        </is>
      </c>
      <c r="T17" s="95" t="inlineStr">
        <is>
          <t>Sa</t>
        </is>
      </c>
      <c r="U17" s="96" t="inlineStr">
        <is>
          <t>Su</t>
        </is>
      </c>
      <c r="V17" s="95" t="inlineStr">
        <is>
          <t>M</t>
        </is>
      </c>
      <c r="W17" s="95" t="inlineStr">
        <is>
          <t>T</t>
        </is>
      </c>
      <c r="X17" s="95" t="inlineStr">
        <is>
          <t>W</t>
        </is>
      </c>
      <c r="Y17" s="95" t="inlineStr">
        <is>
          <t>Th</t>
        </is>
      </c>
      <c r="Z17" s="95" t="inlineStr">
        <is>
          <t>F</t>
        </is>
      </c>
      <c r="AA17" s="95" t="inlineStr">
        <is>
          <t>Sa</t>
        </is>
      </c>
      <c r="AB17" s="96" t="inlineStr">
        <is>
          <t>Su</t>
        </is>
      </c>
      <c r="AC17" s="95" t="inlineStr">
        <is>
          <t>M</t>
        </is>
      </c>
      <c r="AD17" s="95" t="inlineStr">
        <is>
          <t>T</t>
        </is>
      </c>
      <c r="AE17" s="95" t="inlineStr">
        <is>
          <t>W</t>
        </is>
      </c>
      <c r="AF17" s="95" t="inlineStr">
        <is>
          <t>Th</t>
        </is>
      </c>
      <c r="AG17" s="95" t="inlineStr">
        <is>
          <t>F</t>
        </is>
      </c>
      <c r="AH17" s="95" t="inlineStr">
        <is>
          <t>Sa</t>
        </is>
      </c>
      <c r="AI17" s="96" t="inlineStr">
        <is>
          <t>Su</t>
        </is>
      </c>
      <c r="AJ17" s="54" t="n"/>
      <c r="AK17" s="54" t="n"/>
      <c r="AL17" s="54" t="n"/>
    </row>
    <row r="18" ht="14.5" customHeight="1">
      <c r="A18" s="97" t="n">
        <v>1</v>
      </c>
      <c r="B18" s="98" t="n"/>
      <c r="C18" s="99" t="n"/>
      <c r="D18" s="99" t="n"/>
      <c r="E18" s="100" t="n"/>
      <c r="F18" s="100" t="n"/>
      <c r="G18" s="101" t="n"/>
      <c r="H18" s="100" t="n"/>
      <c r="I18" s="100" t="n"/>
      <c r="J18" s="100" t="n"/>
      <c r="K18" s="100" t="n"/>
      <c r="L18" s="100" t="n"/>
      <c r="M18" s="100" t="n"/>
      <c r="N18" s="101" t="n"/>
      <c r="O18" s="100" t="n"/>
      <c r="P18" s="100" t="n"/>
      <c r="Q18" s="100" t="n"/>
      <c r="R18" s="100" t="n"/>
      <c r="S18" s="100" t="n"/>
      <c r="T18" s="100" t="n"/>
      <c r="U18" s="101" t="n"/>
      <c r="V18" s="100" t="n"/>
      <c r="W18" s="100" t="n"/>
      <c r="X18" s="100" t="n"/>
      <c r="Y18" s="100" t="n"/>
      <c r="Z18" s="100" t="n"/>
      <c r="AA18" s="100" t="n"/>
      <c r="AB18" s="101" t="n"/>
      <c r="AC18" s="100" t="n"/>
      <c r="AD18" s="100" t="n"/>
      <c r="AE18" s="100" t="n"/>
      <c r="AF18" s="100" t="n"/>
      <c r="AG18" s="100" t="n"/>
      <c r="AH18" s="100" t="n"/>
      <c r="AI18" s="101" t="n"/>
      <c r="AJ18" s="102">
        <f>IF(ISBLANK(B18), "", IF(ISNUMBER(D18), IF(D18&gt;0, (COUNTIF(E18:AI18, "✓") + COUNTIF(E18:AI18, "✔") + COUNTIF(E18:AI18, "v") + COUNTIF(E18:AI18, "V"))/D18, 0), IF(((COUNTIF(E18:AI18, "✓") + COUNTIF(E18:AI18, "✔") + COUNTIF(E18:AI18, "v") + COUNTIF(E18:AI18, "V")) + COUNTIF(E18:AI18, "✗") + COUNTIF(E18:AI18, "x") + COUNTIF(E18:AI18, "X"))&gt;0, (COUNTIF(E18:AI18, "✓") + COUNTIF(E18:AI18, "✔") + COUNTIF(E18:AI18, "v") + COUNTIF(E18:AI18, "V"))/((COUNTIF(E18:AI18, "✓") + COUNTIF(E18:AI18, "✔") + COUNTIF(E18:AI18, "v") + COUNTIF(E18:AI18, "V")) + COUNTIF(E18:AI18, "✗") + COUNTIF(E18:AI18, "x") + COUNTIF(E18:AI18, "X")), "")))</f>
        <v/>
      </c>
      <c r="AK18" s="103">
        <f>IF(ISBLANK(B18), "", IF(ISNUMBER(D18), IF(D18&gt;0, (COUNTIF(E18:AI18, "✓") + COUNTIF(E18:AI18, "✔") + COUNTIF(E18:AI18, "v") + COUNTIF(E18:AI18, "V")) &amp; "/" &amp; D18, (COUNTIF(E18:AI18, "✓") + COUNTIF(E18:AI18, "✔") + COUNTIF(E18:AI18, "v") + COUNTIF(E18:AI18, "V")) &amp; "/0"), IF(((COUNTIF(E18:AI18, "✓") + COUNTIF(E18:AI18, "✔") + COUNTIF(E18:AI18, "v") + COUNTIF(E18:AI18, "V")) + COUNTIF(E18:AI18, "✗") + COUNTIF(E18:AI18, "x") + COUNTIF(E18:AI18, "X"))&gt;0, (COUNTIF(E18:AI18, "✓") + COUNTIF(E18:AI18, "✔") + COUNTIF(E18:AI18, "v") + COUNTIF(E18:AI18, "V")) &amp; "/" &amp; ((COUNTIF(E18:AI18, "✓") + COUNTIF(E18:AI18, "✔") + COUNTIF(E18:AI18, "v") + COUNTIF(E18:AI18, "V")) + COUNTIF(E18:AI18, "✗") + COUNTIF(E18:AI18, "x") + COUNTIF(E18:AI18, "X")), "")))</f>
        <v/>
      </c>
      <c r="AL18" s="103">
        <f>IF(ISBLANK(B18), "", IF(AJ18&gt;=0.85, "🔥 Mastered", IF(AJ18&gt;=0.7, "⚡ Consistent", "⚠️ Needs Focus")))</f>
        <v/>
      </c>
      <c r="AM18">
        <f>COUNTIF(E18:AI18, "✓")</f>
        <v/>
      </c>
    </row>
    <row r="19" ht="14.5" customHeight="1">
      <c r="A19" s="97" t="n">
        <v>2</v>
      </c>
      <c r="B19" s="98" t="n"/>
      <c r="C19" s="99" t="n"/>
      <c r="D19" s="99" t="n"/>
      <c r="E19" s="100" t="n"/>
      <c r="F19" s="100" t="n"/>
      <c r="G19" s="101" t="n"/>
      <c r="H19" s="100" t="n"/>
      <c r="I19" s="100" t="n"/>
      <c r="J19" s="100" t="n"/>
      <c r="K19" s="100" t="n"/>
      <c r="L19" s="100" t="n"/>
      <c r="M19" s="100" t="n"/>
      <c r="N19" s="101" t="n"/>
      <c r="O19" s="100" t="n"/>
      <c r="P19" s="100" t="n"/>
      <c r="Q19" s="100" t="n"/>
      <c r="R19" s="100" t="n"/>
      <c r="S19" s="100" t="n"/>
      <c r="T19" s="100" t="n"/>
      <c r="U19" s="101" t="n"/>
      <c r="V19" s="100" t="n"/>
      <c r="W19" s="100" t="n"/>
      <c r="X19" s="100" t="n"/>
      <c r="Y19" s="100" t="n"/>
      <c r="Z19" s="100" t="n"/>
      <c r="AA19" s="100" t="n"/>
      <c r="AB19" s="101" t="n"/>
      <c r="AC19" s="100" t="n"/>
      <c r="AD19" s="100" t="n"/>
      <c r="AE19" s="100" t="n"/>
      <c r="AF19" s="100" t="n"/>
      <c r="AG19" s="100" t="n"/>
      <c r="AH19" s="100" t="n"/>
      <c r="AI19" s="101" t="n"/>
      <c r="AJ19" s="102">
        <f>IF(ISBLANK(B19), "", IF(ISNUMBER(D19), IF(D19&gt;0, (COUNTIF(E19:AI19, "✓") + COUNTIF(E19:AI19, "✔") + COUNTIF(E19:AI19, "v") + COUNTIF(E19:AI19, "V"))/D19, 0), IF(((COUNTIF(E19:AI19, "✓") + COUNTIF(E19:AI19, "✔") + COUNTIF(E19:AI19, "v") + COUNTIF(E19:AI19, "V")) + COUNTIF(E19:AI19, "✗") + COUNTIF(E19:AI19, "x") + COUNTIF(E19:AI19, "X"))&gt;0, (COUNTIF(E19:AI19, "✓") + COUNTIF(E19:AI19, "✔") + COUNTIF(E19:AI19, "v") + COUNTIF(E19:AI19, "V"))/((COUNTIF(E19:AI19, "✓") + COUNTIF(E19:AI19, "✔") + COUNTIF(E19:AI19, "v") + COUNTIF(E19:AI19, "V")) + COUNTIF(E19:AI19, "✗") + COUNTIF(E19:AI19, "x") + COUNTIF(E19:AI19, "X")), "")))</f>
        <v/>
      </c>
      <c r="AK19" s="103">
        <f>IF(ISBLANK(B19), "", IF(ISNUMBER(D19), IF(D19&gt;0, (COUNTIF(E19:AI19, "✓") + COUNTIF(E19:AI19, "✔") + COUNTIF(E19:AI19, "v") + COUNTIF(E19:AI19, "V")) &amp; "/" &amp; D19, (COUNTIF(E19:AI19, "✓") + COUNTIF(E19:AI19, "✔") + COUNTIF(E19:AI19, "v") + COUNTIF(E19:AI19, "V")) &amp; "/0"), IF(((COUNTIF(E19:AI19, "✓") + COUNTIF(E19:AI19, "✔") + COUNTIF(E19:AI19, "v") + COUNTIF(E19:AI19, "V")) + COUNTIF(E19:AI19, "✗") + COUNTIF(E19:AI19, "x") + COUNTIF(E19:AI19, "X"))&gt;0, (COUNTIF(E19:AI19, "✓") + COUNTIF(E19:AI19, "✔") + COUNTIF(E19:AI19, "v") + COUNTIF(E19:AI19, "V")) &amp; "/" &amp; ((COUNTIF(E19:AI19, "✓") + COUNTIF(E19:AI19, "✔") + COUNTIF(E19:AI19, "v") + COUNTIF(E19:AI19, "V")) + COUNTIF(E19:AI19, "✗") + COUNTIF(E19:AI19, "x") + COUNTIF(E19:AI19, "X")), "")))</f>
        <v/>
      </c>
      <c r="AL19" s="103">
        <f>IF(ISBLANK(B19), "", IF(AJ19&gt;=0.85, "🔥 Mastered", IF(AJ19&gt;=0.7, "⚡ Consistent", "⚠️ Needs Focus")))</f>
        <v/>
      </c>
      <c r="AM19">
        <f>COUNTIF(E19:AI19, "✓")</f>
        <v/>
      </c>
    </row>
    <row r="20" ht="14.5" customHeight="1">
      <c r="A20" s="97" t="n">
        <v>3</v>
      </c>
      <c r="B20" s="98" t="n"/>
      <c r="C20" s="99" t="n"/>
      <c r="D20" s="99" t="n"/>
      <c r="E20" s="100" t="n"/>
      <c r="F20" s="100" t="n"/>
      <c r="G20" s="101" t="n"/>
      <c r="H20" s="100" t="n"/>
      <c r="I20" s="100" t="n"/>
      <c r="J20" s="100" t="n"/>
      <c r="K20" s="100" t="n"/>
      <c r="L20" s="100" t="n"/>
      <c r="M20" s="100" t="n"/>
      <c r="N20" s="101" t="n"/>
      <c r="O20" s="100" t="n"/>
      <c r="P20" s="100" t="n"/>
      <c r="Q20" s="100" t="n"/>
      <c r="R20" s="100" t="n"/>
      <c r="S20" s="100" t="n"/>
      <c r="T20" s="100" t="n"/>
      <c r="U20" s="101" t="n"/>
      <c r="V20" s="100" t="n"/>
      <c r="W20" s="100" t="n"/>
      <c r="X20" s="100" t="n"/>
      <c r="Y20" s="100" t="n"/>
      <c r="Z20" s="100" t="n"/>
      <c r="AA20" s="100" t="n"/>
      <c r="AB20" s="101" t="n"/>
      <c r="AC20" s="100" t="n"/>
      <c r="AD20" s="100" t="n"/>
      <c r="AE20" s="100" t="n"/>
      <c r="AF20" s="100" t="n"/>
      <c r="AG20" s="100" t="n"/>
      <c r="AH20" s="100" t="n"/>
      <c r="AI20" s="101" t="n"/>
      <c r="AJ20" s="102">
        <f>IF(ISBLANK(B20), "", IF(ISNUMBER(D20), IF(D20&gt;0, (COUNTIF(E20:AI20, "✓") + COUNTIF(E20:AI20, "✔") + COUNTIF(E20:AI20, "v") + COUNTIF(E20:AI20, "V"))/D20, 0), IF(((COUNTIF(E20:AI20, "✓") + COUNTIF(E20:AI20, "✔") + COUNTIF(E20:AI20, "v") + COUNTIF(E20:AI20, "V")) + COUNTIF(E20:AI20, "✗") + COUNTIF(E20:AI20, "x") + COUNTIF(E20:AI20, "X"))&gt;0, (COUNTIF(E20:AI20, "✓") + COUNTIF(E20:AI20, "✔") + COUNTIF(E20:AI20, "v") + COUNTIF(E20:AI20, "V"))/((COUNTIF(E20:AI20, "✓") + COUNTIF(E20:AI20, "✔") + COUNTIF(E20:AI20, "v") + COUNTIF(E20:AI20, "V")) + COUNTIF(E20:AI20, "✗") + COUNTIF(E20:AI20, "x") + COUNTIF(E20:AI20, "X")), "")))</f>
        <v/>
      </c>
      <c r="AK20" s="103">
        <f>IF(ISBLANK(B20), "", IF(ISNUMBER(D20), IF(D20&gt;0, (COUNTIF(E20:AI20, "✓") + COUNTIF(E20:AI20, "✔") + COUNTIF(E20:AI20, "v") + COUNTIF(E20:AI20, "V")) &amp; "/" &amp; D20, (COUNTIF(E20:AI20, "✓") + COUNTIF(E20:AI20, "✔") + COUNTIF(E20:AI20, "v") + COUNTIF(E20:AI20, "V")) &amp; "/0"), IF(((COUNTIF(E20:AI20, "✓") + COUNTIF(E20:AI20, "✔") + COUNTIF(E20:AI20, "v") + COUNTIF(E20:AI20, "V")) + COUNTIF(E20:AI20, "✗") + COUNTIF(E20:AI20, "x") + COUNTIF(E20:AI20, "X"))&gt;0, (COUNTIF(E20:AI20, "✓") + COUNTIF(E20:AI20, "✔") + COUNTIF(E20:AI20, "v") + COUNTIF(E20:AI20, "V")) &amp; "/" &amp; ((COUNTIF(E20:AI20, "✓") + COUNTIF(E20:AI20, "✔") + COUNTIF(E20:AI20, "v") + COUNTIF(E20:AI20, "V")) + COUNTIF(E20:AI20, "✗") + COUNTIF(E20:AI20, "x") + COUNTIF(E20:AI20, "X")), "")))</f>
        <v/>
      </c>
      <c r="AL20" s="103">
        <f>IF(ISBLANK(B20), "", IF(AJ20&gt;=0.85, "🔥 Mastered", IF(AJ20&gt;=0.7, "⚡ Consistent", "⚠️ Needs Focus")))</f>
        <v/>
      </c>
      <c r="AM20">
        <f>COUNTIF(E20:AI20, "✓")</f>
        <v/>
      </c>
    </row>
    <row r="21" ht="14.5" customHeight="1">
      <c r="A21" s="97" t="n">
        <v>4</v>
      </c>
      <c r="B21" s="98" t="n"/>
      <c r="C21" s="99" t="n"/>
      <c r="D21" s="99" t="n"/>
      <c r="E21" s="100" t="n"/>
      <c r="F21" s="100" t="n"/>
      <c r="G21" s="101" t="n"/>
      <c r="H21" s="100" t="n"/>
      <c r="I21" s="100" t="n"/>
      <c r="J21" s="100" t="n"/>
      <c r="K21" s="100" t="n"/>
      <c r="L21" s="100" t="n"/>
      <c r="M21" s="100" t="n"/>
      <c r="N21" s="101" t="n"/>
      <c r="O21" s="100" t="n"/>
      <c r="P21" s="100" t="n"/>
      <c r="Q21" s="100" t="n"/>
      <c r="R21" s="100" t="n"/>
      <c r="S21" s="100" t="n"/>
      <c r="T21" s="100" t="n"/>
      <c r="U21" s="101" t="n"/>
      <c r="V21" s="100" t="n"/>
      <c r="W21" s="100" t="n"/>
      <c r="X21" s="100" t="n"/>
      <c r="Y21" s="100" t="n"/>
      <c r="Z21" s="100" t="n"/>
      <c r="AA21" s="100" t="n"/>
      <c r="AB21" s="101" t="n"/>
      <c r="AC21" s="100" t="n"/>
      <c r="AD21" s="100" t="n"/>
      <c r="AE21" s="100" t="n"/>
      <c r="AF21" s="100" t="n"/>
      <c r="AG21" s="100" t="n"/>
      <c r="AH21" s="100" t="n"/>
      <c r="AI21" s="101" t="n"/>
      <c r="AJ21" s="102">
        <f>IF(ISBLANK(B21), "", IF(ISNUMBER(D21), IF(D21&gt;0, (COUNTIF(E21:AI21, "✓") + COUNTIF(E21:AI21, "✔") + COUNTIF(E21:AI21, "v") + COUNTIF(E21:AI21, "V"))/D21, 0), IF(((COUNTIF(E21:AI21, "✓") + COUNTIF(E21:AI21, "✔") + COUNTIF(E21:AI21, "v") + COUNTIF(E21:AI21, "V")) + COUNTIF(E21:AI21, "✗") + COUNTIF(E21:AI21, "x") + COUNTIF(E21:AI21, "X"))&gt;0, (COUNTIF(E21:AI21, "✓") + COUNTIF(E21:AI21, "✔") + COUNTIF(E21:AI21, "v") + COUNTIF(E21:AI21, "V"))/((COUNTIF(E21:AI21, "✓") + COUNTIF(E21:AI21, "✔") + COUNTIF(E21:AI21, "v") + COUNTIF(E21:AI21, "V")) + COUNTIF(E21:AI21, "✗") + COUNTIF(E21:AI21, "x") + COUNTIF(E21:AI21, "X")), "")))</f>
        <v/>
      </c>
      <c r="AK21" s="103">
        <f>IF(ISBLANK(B21), "", IF(ISNUMBER(D21), IF(D21&gt;0, (COUNTIF(E21:AI21, "✓") + COUNTIF(E21:AI21, "✔") + COUNTIF(E21:AI21, "v") + COUNTIF(E21:AI21, "V")) &amp; "/" &amp; D21, (COUNTIF(E21:AI21, "✓") + COUNTIF(E21:AI21, "✔") + COUNTIF(E21:AI21, "v") + COUNTIF(E21:AI21, "V")) &amp; "/0"), IF(((COUNTIF(E21:AI21, "✓") + COUNTIF(E21:AI21, "✔") + COUNTIF(E21:AI21, "v") + COUNTIF(E21:AI21, "V")) + COUNTIF(E21:AI21, "✗") + COUNTIF(E21:AI21, "x") + COUNTIF(E21:AI21, "X"))&gt;0, (COUNTIF(E21:AI21, "✓") + COUNTIF(E21:AI21, "✔") + COUNTIF(E21:AI21, "v") + COUNTIF(E21:AI21, "V")) &amp; "/" &amp; ((COUNTIF(E21:AI21, "✓") + COUNTIF(E21:AI21, "✔") + COUNTIF(E21:AI21, "v") + COUNTIF(E21:AI21, "V")) + COUNTIF(E21:AI21, "✗") + COUNTIF(E21:AI21, "x") + COUNTIF(E21:AI21, "X")), "")))</f>
        <v/>
      </c>
      <c r="AL21" s="103">
        <f>IF(ISBLANK(B21), "", IF(AJ21&gt;=0.85, "🔥 Mastered", IF(AJ21&gt;=0.7, "⚡ Consistent", "⚠️ Needs Focus")))</f>
        <v/>
      </c>
      <c r="AM21">
        <f>COUNTIF(E21:AI21, "✓")</f>
        <v/>
      </c>
    </row>
    <row r="22" ht="14.5" customHeight="1">
      <c r="A22" s="104" t="n">
        <v>5</v>
      </c>
      <c r="B22" s="105" t="n"/>
      <c r="C22" s="106" t="n"/>
      <c r="D22" s="106" t="n"/>
      <c r="E22" s="107" t="n"/>
      <c r="F22" s="107" t="n"/>
      <c r="G22" s="108" t="n"/>
      <c r="H22" s="107" t="n"/>
      <c r="I22" s="107" t="n"/>
      <c r="J22" s="107" t="n"/>
      <c r="K22" s="107" t="n"/>
      <c r="L22" s="107" t="n"/>
      <c r="M22" s="107" t="n"/>
      <c r="N22" s="108" t="n"/>
      <c r="O22" s="107" t="n"/>
      <c r="P22" s="107" t="n"/>
      <c r="Q22" s="107" t="n"/>
      <c r="R22" s="107" t="n"/>
      <c r="S22" s="107" t="n"/>
      <c r="T22" s="107" t="n"/>
      <c r="U22" s="108" t="n"/>
      <c r="V22" s="107" t="n"/>
      <c r="W22" s="107" t="n"/>
      <c r="X22" s="107" t="n"/>
      <c r="Y22" s="107" t="n"/>
      <c r="Z22" s="107" t="n"/>
      <c r="AA22" s="107" t="n"/>
      <c r="AB22" s="108" t="n"/>
      <c r="AC22" s="107" t="n"/>
      <c r="AD22" s="107" t="n"/>
      <c r="AE22" s="107" t="n"/>
      <c r="AF22" s="107" t="n"/>
      <c r="AG22" s="107" t="n"/>
      <c r="AH22" s="107" t="n"/>
      <c r="AI22" s="108" t="n"/>
      <c r="AJ22" s="109">
        <f>IF(ISBLANK(B22), "", IF(ISNUMBER(D22), IF(D22&gt;0, (COUNTIF(E22:AI22, "✓") + COUNTIF(E22:AI22, "✔") + COUNTIF(E22:AI22, "v") + COUNTIF(E22:AI22, "V"))/D22, 0), IF(((COUNTIF(E22:AI22, "✓") + COUNTIF(E22:AI22, "✔") + COUNTIF(E22:AI22, "v") + COUNTIF(E22:AI22, "V")) + COUNTIF(E22:AI22, "✗") + COUNTIF(E22:AI22, "x") + COUNTIF(E22:AI22, "X"))&gt;0, (COUNTIF(E22:AI22, "✓") + COUNTIF(E22:AI22, "✔") + COUNTIF(E22:AI22, "v") + COUNTIF(E22:AI22, "V"))/((COUNTIF(E22:AI22, "✓") + COUNTIF(E22:AI22, "✔") + COUNTIF(E22:AI22, "v") + COUNTIF(E22:AI22, "V")) + COUNTIF(E22:AI22, "✗") + COUNTIF(E22:AI22, "x") + COUNTIF(E22:AI22, "X")), "")))</f>
        <v/>
      </c>
      <c r="AK22" s="110">
        <f>IF(ISBLANK(B22), "", IF(ISNUMBER(D22), IF(D22&gt;0, (COUNTIF(E22:AI22, "✓") + COUNTIF(E22:AI22, "✔") + COUNTIF(E22:AI22, "v") + COUNTIF(E22:AI22, "V")) &amp; "/" &amp; D22, (COUNTIF(E22:AI22, "✓") + COUNTIF(E22:AI22, "✔") + COUNTIF(E22:AI22, "v") + COUNTIF(E22:AI22, "V")) &amp; "/0"), IF(((COUNTIF(E22:AI22, "✓") + COUNTIF(E22:AI22, "✔") + COUNTIF(E22:AI22, "v") + COUNTIF(E22:AI22, "V")) + COUNTIF(E22:AI22, "✗") + COUNTIF(E22:AI22, "x") + COUNTIF(E22:AI22, "X"))&gt;0, (COUNTIF(E22:AI22, "✓") + COUNTIF(E22:AI22, "✔") + COUNTIF(E22:AI22, "v") + COUNTIF(E22:AI22, "V")) &amp; "/" &amp; ((COUNTIF(E22:AI22, "✓") + COUNTIF(E22:AI22, "✔") + COUNTIF(E22:AI22, "v") + COUNTIF(E22:AI22, "V")) + COUNTIF(E22:AI22, "✗") + COUNTIF(E22:AI22, "x") + COUNTIF(E22:AI22, "X")), "")))</f>
        <v/>
      </c>
      <c r="AL22" s="110">
        <f>IF(ISBLANK(B22), "", IF(AJ22&gt;=0.85, "🔥 Mastered", IF(AJ22&gt;=0.7, "⚡ Consistent", "⚠️ Needs Focus")))</f>
        <v/>
      </c>
      <c r="AM22">
        <f>COUNTIF(E22:AI22, "✓")</f>
        <v/>
      </c>
    </row>
    <row r="23" ht="14.5" customHeight="1">
      <c r="A23" s="104" t="n">
        <v>6</v>
      </c>
      <c r="B23" s="105" t="n"/>
      <c r="C23" s="106" t="n"/>
      <c r="D23" s="106" t="n"/>
      <c r="E23" s="107" t="n"/>
      <c r="F23" s="107" t="n"/>
      <c r="G23" s="108" t="n"/>
      <c r="H23" s="107" t="n"/>
      <c r="I23" s="107" t="n"/>
      <c r="J23" s="107" t="n"/>
      <c r="K23" s="107" t="n"/>
      <c r="L23" s="107" t="n"/>
      <c r="M23" s="107" t="n"/>
      <c r="N23" s="108" t="n"/>
      <c r="O23" s="107" t="n"/>
      <c r="P23" s="107" t="n"/>
      <c r="Q23" s="107" t="n"/>
      <c r="R23" s="107" t="n"/>
      <c r="S23" s="107" t="n"/>
      <c r="T23" s="107" t="n"/>
      <c r="U23" s="108" t="n"/>
      <c r="V23" s="107" t="n"/>
      <c r="W23" s="107" t="n"/>
      <c r="X23" s="107" t="n"/>
      <c r="Y23" s="107" t="n"/>
      <c r="Z23" s="107" t="n"/>
      <c r="AA23" s="107" t="n"/>
      <c r="AB23" s="108" t="n"/>
      <c r="AC23" s="107" t="n"/>
      <c r="AD23" s="107" t="n"/>
      <c r="AE23" s="107" t="n"/>
      <c r="AF23" s="107" t="n"/>
      <c r="AG23" s="107" t="n"/>
      <c r="AH23" s="107" t="n"/>
      <c r="AI23" s="108" t="n"/>
      <c r="AJ23" s="109">
        <f>IF(ISBLANK(B23), "", IF(ISNUMBER(D23), IF(D23&gt;0, (COUNTIF(E23:AI23, "✓") + COUNTIF(E23:AI23, "✔") + COUNTIF(E23:AI23, "v") + COUNTIF(E23:AI23, "V"))/D23, 0), IF(((COUNTIF(E23:AI23, "✓") + COUNTIF(E23:AI23, "✔") + COUNTIF(E23:AI23, "v") + COUNTIF(E23:AI23, "V")) + COUNTIF(E23:AI23, "✗") + COUNTIF(E23:AI23, "x") + COUNTIF(E23:AI23, "X"))&gt;0, (COUNTIF(E23:AI23, "✓") + COUNTIF(E23:AI23, "✔") + COUNTIF(E23:AI23, "v") + COUNTIF(E23:AI23, "V"))/((COUNTIF(E23:AI23, "✓") + COUNTIF(E23:AI23, "✔") + COUNTIF(E23:AI23, "v") + COUNTIF(E23:AI23, "V")) + COUNTIF(E23:AI23, "✗") + COUNTIF(E23:AI23, "x") + COUNTIF(E23:AI23, "X")), "")))</f>
        <v/>
      </c>
      <c r="AK23" s="110">
        <f>IF(ISBLANK(B23), "", IF(ISNUMBER(D23), IF(D23&gt;0, (COUNTIF(E23:AI23, "✓") + COUNTIF(E23:AI23, "✔") + COUNTIF(E23:AI23, "v") + COUNTIF(E23:AI23, "V")) &amp; "/" &amp; D23, (COUNTIF(E23:AI23, "✓") + COUNTIF(E23:AI23, "✔") + COUNTIF(E23:AI23, "v") + COUNTIF(E23:AI23, "V")) &amp; "/0"), IF(((COUNTIF(E23:AI23, "✓") + COUNTIF(E23:AI23, "✔") + COUNTIF(E23:AI23, "v") + COUNTIF(E23:AI23, "V")) + COUNTIF(E23:AI23, "✗") + COUNTIF(E23:AI23, "x") + COUNTIF(E23:AI23, "X"))&gt;0, (COUNTIF(E23:AI23, "✓") + COUNTIF(E23:AI23, "✔") + COUNTIF(E23:AI23, "v") + COUNTIF(E23:AI23, "V")) &amp; "/" &amp; ((COUNTIF(E23:AI23, "✓") + COUNTIF(E23:AI23, "✔") + COUNTIF(E23:AI23, "v") + COUNTIF(E23:AI23, "V")) + COUNTIF(E23:AI23, "✗") + COUNTIF(E23:AI23, "x") + COUNTIF(E23:AI23, "X")), "")))</f>
        <v/>
      </c>
      <c r="AL23" s="110">
        <f>IF(ISBLANK(B23), "", IF(AJ23&gt;=0.85, "🔥 Mastered", IF(AJ23&gt;=0.7, "⚡ Consistent", "⚠️ Needs Focus")))</f>
        <v/>
      </c>
      <c r="AM23">
        <f>COUNTIF(E23:AI23, "✓")</f>
        <v/>
      </c>
    </row>
    <row r="24" ht="14.5" customHeight="1">
      <c r="A24" s="104" t="n">
        <v>7</v>
      </c>
      <c r="B24" s="105" t="n"/>
      <c r="C24" s="106" t="n"/>
      <c r="D24" s="106" t="n"/>
      <c r="E24" s="107" t="n"/>
      <c r="F24" s="107" t="n"/>
      <c r="G24" s="108" t="n"/>
      <c r="H24" s="107" t="n"/>
      <c r="I24" s="107" t="n"/>
      <c r="J24" s="107" t="n"/>
      <c r="K24" s="107" t="n"/>
      <c r="L24" s="107" t="n"/>
      <c r="M24" s="107" t="n"/>
      <c r="N24" s="108" t="n"/>
      <c r="O24" s="107" t="n"/>
      <c r="P24" s="107" t="n"/>
      <c r="Q24" s="107" t="n"/>
      <c r="R24" s="107" t="n"/>
      <c r="S24" s="107" t="n"/>
      <c r="T24" s="107" t="n"/>
      <c r="U24" s="108" t="n"/>
      <c r="V24" s="107" t="n"/>
      <c r="W24" s="107" t="n"/>
      <c r="X24" s="107" t="n"/>
      <c r="Y24" s="107" t="n"/>
      <c r="Z24" s="107" t="n"/>
      <c r="AA24" s="107" t="n"/>
      <c r="AB24" s="108" t="n"/>
      <c r="AC24" s="107" t="n"/>
      <c r="AD24" s="107" t="n"/>
      <c r="AE24" s="107" t="n"/>
      <c r="AF24" s="107" t="n"/>
      <c r="AG24" s="107" t="n"/>
      <c r="AH24" s="107" t="n"/>
      <c r="AI24" s="108" t="n"/>
      <c r="AJ24" s="109">
        <f>IF(ISBLANK(B24), "", IF(ISNUMBER(D24), IF(D24&gt;0, (COUNTIF(E24:AI24, "✓") + COUNTIF(E24:AI24, "✔") + COUNTIF(E24:AI24, "v") + COUNTIF(E24:AI24, "V"))/D24, 0), IF(((COUNTIF(E24:AI24, "✓") + COUNTIF(E24:AI24, "✔") + COUNTIF(E24:AI24, "v") + COUNTIF(E24:AI24, "V")) + COUNTIF(E24:AI24, "✗") + COUNTIF(E24:AI24, "x") + COUNTIF(E24:AI24, "X"))&gt;0, (COUNTIF(E24:AI24, "✓") + COUNTIF(E24:AI24, "✔") + COUNTIF(E24:AI24, "v") + COUNTIF(E24:AI24, "V"))/((COUNTIF(E24:AI24, "✓") + COUNTIF(E24:AI24, "✔") + COUNTIF(E24:AI24, "v") + COUNTIF(E24:AI24, "V")) + COUNTIF(E24:AI24, "✗") + COUNTIF(E24:AI24, "x") + COUNTIF(E24:AI24, "X")), "")))</f>
        <v/>
      </c>
      <c r="AK24" s="110">
        <f>IF(ISBLANK(B24), "", IF(ISNUMBER(D24), IF(D24&gt;0, (COUNTIF(E24:AI24, "✓") + COUNTIF(E24:AI24, "✔") + COUNTIF(E24:AI24, "v") + COUNTIF(E24:AI24, "V")) &amp; "/" &amp; D24, (COUNTIF(E24:AI24, "✓") + COUNTIF(E24:AI24, "✔") + COUNTIF(E24:AI24, "v") + COUNTIF(E24:AI24, "V")) &amp; "/0"), IF(((COUNTIF(E24:AI24, "✓") + COUNTIF(E24:AI24, "✔") + COUNTIF(E24:AI24, "v") + COUNTIF(E24:AI24, "V")) + COUNTIF(E24:AI24, "✗") + COUNTIF(E24:AI24, "x") + COUNTIF(E24:AI24, "X"))&gt;0, (COUNTIF(E24:AI24, "✓") + COUNTIF(E24:AI24, "✔") + COUNTIF(E24:AI24, "v") + COUNTIF(E24:AI24, "V")) &amp; "/" &amp; ((COUNTIF(E24:AI24, "✓") + COUNTIF(E24:AI24, "✔") + COUNTIF(E24:AI24, "v") + COUNTIF(E24:AI24, "V")) + COUNTIF(E24:AI24, "✗") + COUNTIF(E24:AI24, "x") + COUNTIF(E24:AI24, "X")), "")))</f>
        <v/>
      </c>
      <c r="AL24" s="110">
        <f>IF(ISBLANK(B24), "", IF(AJ24&gt;=0.85, "🔥 Mastered", IF(AJ24&gt;=0.7, "⚡ Consistent", "⚠️ Needs Focus")))</f>
        <v/>
      </c>
      <c r="AM24">
        <f>COUNTIF(E24:AI24, "✓")</f>
        <v/>
      </c>
    </row>
    <row r="25" ht="14.5" customHeight="1">
      <c r="A25" s="104" t="n">
        <v>8</v>
      </c>
      <c r="B25" s="105" t="n"/>
      <c r="C25" s="106" t="n"/>
      <c r="D25" s="106" t="n"/>
      <c r="E25" s="107" t="n"/>
      <c r="F25" s="107" t="n"/>
      <c r="G25" s="108" t="n"/>
      <c r="H25" s="107" t="n"/>
      <c r="I25" s="107" t="n"/>
      <c r="J25" s="107" t="n"/>
      <c r="K25" s="107" t="n"/>
      <c r="L25" s="107" t="n"/>
      <c r="M25" s="107" t="n"/>
      <c r="N25" s="108" t="n"/>
      <c r="O25" s="107" t="n"/>
      <c r="P25" s="107" t="n"/>
      <c r="Q25" s="107" t="n"/>
      <c r="R25" s="107" t="n"/>
      <c r="S25" s="107" t="n"/>
      <c r="T25" s="107" t="n"/>
      <c r="U25" s="108" t="n"/>
      <c r="V25" s="107" t="n"/>
      <c r="W25" s="107" t="n"/>
      <c r="X25" s="107" t="n"/>
      <c r="Y25" s="107" t="n"/>
      <c r="Z25" s="107" t="n"/>
      <c r="AA25" s="107" t="n"/>
      <c r="AB25" s="108" t="n"/>
      <c r="AC25" s="107" t="n"/>
      <c r="AD25" s="107" t="n"/>
      <c r="AE25" s="107" t="n"/>
      <c r="AF25" s="107" t="n"/>
      <c r="AG25" s="107" t="n"/>
      <c r="AH25" s="107" t="n"/>
      <c r="AI25" s="108" t="n"/>
      <c r="AJ25" s="109">
        <f>IF(ISBLANK(B25), "", IF(ISNUMBER(D25), IF(D25&gt;0, (COUNTIF(E25:AI25, "✓") + COUNTIF(E25:AI25, "✔") + COUNTIF(E25:AI25, "v") + COUNTIF(E25:AI25, "V"))/D25, 0), IF(((COUNTIF(E25:AI25, "✓") + COUNTIF(E25:AI25, "✔") + COUNTIF(E25:AI25, "v") + COUNTIF(E25:AI25, "V")) + COUNTIF(E25:AI25, "✗") + COUNTIF(E25:AI25, "x") + COUNTIF(E25:AI25, "X"))&gt;0, (COUNTIF(E25:AI25, "✓") + COUNTIF(E25:AI25, "✔") + COUNTIF(E25:AI25, "v") + COUNTIF(E25:AI25, "V"))/((COUNTIF(E25:AI25, "✓") + COUNTIF(E25:AI25, "✔") + COUNTIF(E25:AI25, "v") + COUNTIF(E25:AI25, "V")) + COUNTIF(E25:AI25, "✗") + COUNTIF(E25:AI25, "x") + COUNTIF(E25:AI25, "X")), "")))</f>
        <v/>
      </c>
      <c r="AK25" s="110">
        <f>IF(ISBLANK(B25), "", IF(ISNUMBER(D25), IF(D25&gt;0, (COUNTIF(E25:AI25, "✓") + COUNTIF(E25:AI25, "✔") + COUNTIF(E25:AI25, "v") + COUNTIF(E25:AI25, "V")) &amp; "/" &amp; D25, (COUNTIF(E25:AI25, "✓") + COUNTIF(E25:AI25, "✔") + COUNTIF(E25:AI25, "v") + COUNTIF(E25:AI25, "V")) &amp; "/0"), IF(((COUNTIF(E25:AI25, "✓") + COUNTIF(E25:AI25, "✔") + COUNTIF(E25:AI25, "v") + COUNTIF(E25:AI25, "V")) + COUNTIF(E25:AI25, "✗") + COUNTIF(E25:AI25, "x") + COUNTIF(E25:AI25, "X"))&gt;0, (COUNTIF(E25:AI25, "✓") + COUNTIF(E25:AI25, "✔") + COUNTIF(E25:AI25, "v") + COUNTIF(E25:AI25, "V")) &amp; "/" &amp; ((COUNTIF(E25:AI25, "✓") + COUNTIF(E25:AI25, "✔") + COUNTIF(E25:AI25, "v") + COUNTIF(E25:AI25, "V")) + COUNTIF(E25:AI25, "✗") + COUNTIF(E25:AI25, "x") + COUNTIF(E25:AI25, "X")), "")))</f>
        <v/>
      </c>
      <c r="AL25" s="110">
        <f>IF(ISBLANK(B25), "", IF(AJ25&gt;=0.85, "🔥 Mastered", IF(AJ25&gt;=0.7, "⚡ Consistent", "⚠️ Needs Focus")))</f>
        <v/>
      </c>
      <c r="AM25">
        <f>COUNTIF(E25:AI25, "✓")</f>
        <v/>
      </c>
    </row>
    <row r="26" ht="14.5" customHeight="1">
      <c r="A26" s="111" t="n">
        <v>9</v>
      </c>
      <c r="B26" s="112" t="n"/>
      <c r="C26" s="113" t="n"/>
      <c r="D26" s="113" t="n"/>
      <c r="E26" s="114" t="n"/>
      <c r="F26" s="114" t="n"/>
      <c r="G26" s="115" t="n"/>
      <c r="H26" s="114" t="n"/>
      <c r="I26" s="114" t="n"/>
      <c r="J26" s="114" t="n"/>
      <c r="K26" s="114" t="n"/>
      <c r="L26" s="114" t="n"/>
      <c r="M26" s="114" t="n"/>
      <c r="N26" s="115" t="n"/>
      <c r="O26" s="114" t="n"/>
      <c r="P26" s="114" t="n"/>
      <c r="Q26" s="114" t="n"/>
      <c r="R26" s="114" t="n"/>
      <c r="S26" s="114" t="n"/>
      <c r="T26" s="114" t="n"/>
      <c r="U26" s="115" t="n"/>
      <c r="V26" s="114" t="n"/>
      <c r="W26" s="114" t="n"/>
      <c r="X26" s="114" t="n"/>
      <c r="Y26" s="114" t="n"/>
      <c r="Z26" s="114" t="n"/>
      <c r="AA26" s="114" t="n"/>
      <c r="AB26" s="115" t="n"/>
      <c r="AC26" s="114" t="n"/>
      <c r="AD26" s="114" t="n"/>
      <c r="AE26" s="114" t="n"/>
      <c r="AF26" s="114" t="n"/>
      <c r="AG26" s="114" t="n"/>
      <c r="AH26" s="114" t="n"/>
      <c r="AI26" s="115" t="n"/>
      <c r="AJ26" s="116">
        <f>IF(ISBLANK(B26), "", IF(ISNUMBER(D26), IF(D26&gt;0, (COUNTIF(E26:AI26, "✓") + COUNTIF(E26:AI26, "✔") + COUNTIF(E26:AI26, "v") + COUNTIF(E26:AI26, "V"))/D26, 0), IF(((COUNTIF(E26:AI26, "✓") + COUNTIF(E26:AI26, "✔") + COUNTIF(E26:AI26, "v") + COUNTIF(E26:AI26, "V")) + COUNTIF(E26:AI26, "✗") + COUNTIF(E26:AI26, "x") + COUNTIF(E26:AI26, "X"))&gt;0, (COUNTIF(E26:AI26, "✓") + COUNTIF(E26:AI26, "✔") + COUNTIF(E26:AI26, "v") + COUNTIF(E26:AI26, "V"))/((COUNTIF(E26:AI26, "✓") + COUNTIF(E26:AI26, "✔") + COUNTIF(E26:AI26, "v") + COUNTIF(E26:AI26, "V")) + COUNTIF(E26:AI26, "✗") + COUNTIF(E26:AI26, "x") + COUNTIF(E26:AI26, "X")), "")))</f>
        <v/>
      </c>
      <c r="AK26" s="117">
        <f>IF(ISBLANK(B26), "", IF(ISNUMBER(D26), IF(D26&gt;0, (COUNTIF(E26:AI26, "✓") + COUNTIF(E26:AI26, "✔") + COUNTIF(E26:AI26, "v") + COUNTIF(E26:AI26, "V")) &amp; "/" &amp; D26, (COUNTIF(E26:AI26, "✓") + COUNTIF(E26:AI26, "✔") + COUNTIF(E26:AI26, "v") + COUNTIF(E26:AI26, "V")) &amp; "/0"), IF(((COUNTIF(E26:AI26, "✓") + COUNTIF(E26:AI26, "✔") + COUNTIF(E26:AI26, "v") + COUNTIF(E26:AI26, "V")) + COUNTIF(E26:AI26, "✗") + COUNTIF(E26:AI26, "x") + COUNTIF(E26:AI26, "X"))&gt;0, (COUNTIF(E26:AI26, "✓") + COUNTIF(E26:AI26, "✔") + COUNTIF(E26:AI26, "v") + COUNTIF(E26:AI26, "V")) &amp; "/" &amp; ((COUNTIF(E26:AI26, "✓") + COUNTIF(E26:AI26, "✔") + COUNTIF(E26:AI26, "v") + COUNTIF(E26:AI26, "V")) + COUNTIF(E26:AI26, "✗") + COUNTIF(E26:AI26, "x") + COUNTIF(E26:AI26, "X")), "")))</f>
        <v/>
      </c>
      <c r="AL26" s="117">
        <f>IF(ISBLANK(B26), "", IF(AJ26&gt;=0.85, "🔥 Mastered", IF(AJ26&gt;=0.7, "⚡ Consistent", "⚠️ Needs Focus")))</f>
        <v/>
      </c>
      <c r="AM26">
        <f>COUNTIF(E26:AI26, "✓")</f>
        <v/>
      </c>
    </row>
    <row r="27" ht="14.5" customHeight="1">
      <c r="A27" s="111" t="n">
        <v>10</v>
      </c>
      <c r="B27" s="112" t="n"/>
      <c r="C27" s="113" t="n"/>
      <c r="D27" s="113" t="n"/>
      <c r="E27" s="114" t="n"/>
      <c r="F27" s="114" t="n"/>
      <c r="G27" s="115" t="n"/>
      <c r="H27" s="114" t="n"/>
      <c r="I27" s="114" t="n"/>
      <c r="J27" s="114" t="n"/>
      <c r="K27" s="114" t="n"/>
      <c r="L27" s="114" t="n"/>
      <c r="M27" s="114" t="n"/>
      <c r="N27" s="115" t="n"/>
      <c r="O27" s="114" t="n"/>
      <c r="P27" s="114" t="n"/>
      <c r="Q27" s="114" t="n"/>
      <c r="R27" s="114" t="n"/>
      <c r="S27" s="114" t="n"/>
      <c r="T27" s="114" t="n"/>
      <c r="U27" s="115" t="n"/>
      <c r="V27" s="114" t="n"/>
      <c r="W27" s="114" t="n"/>
      <c r="X27" s="114" t="n"/>
      <c r="Y27" s="114" t="n"/>
      <c r="Z27" s="114" t="n"/>
      <c r="AA27" s="114" t="n"/>
      <c r="AB27" s="115" t="n"/>
      <c r="AC27" s="114" t="n"/>
      <c r="AD27" s="114" t="n"/>
      <c r="AE27" s="114" t="n"/>
      <c r="AF27" s="114" t="n"/>
      <c r="AG27" s="114" t="n"/>
      <c r="AH27" s="114" t="n"/>
      <c r="AI27" s="115" t="n"/>
      <c r="AJ27" s="116">
        <f>IF(ISBLANK(B27), "", IF(ISNUMBER(D27), IF(D27&gt;0, (COUNTIF(E27:AI27, "✓") + COUNTIF(E27:AI27, "✔") + COUNTIF(E27:AI27, "v") + COUNTIF(E27:AI27, "V"))/D27, 0), IF(((COUNTIF(E27:AI27, "✓") + COUNTIF(E27:AI27, "✔") + COUNTIF(E27:AI27, "v") + COUNTIF(E27:AI27, "V")) + COUNTIF(E27:AI27, "✗") + COUNTIF(E27:AI27, "x") + COUNTIF(E27:AI27, "X"))&gt;0, (COUNTIF(E27:AI27, "✓") + COUNTIF(E27:AI27, "✔") + COUNTIF(E27:AI27, "v") + COUNTIF(E27:AI27, "V"))/((COUNTIF(E27:AI27, "✓") + COUNTIF(E27:AI27, "✔") + COUNTIF(E27:AI27, "v") + COUNTIF(E27:AI27, "V")) + COUNTIF(E27:AI27, "✗") + COUNTIF(E27:AI27, "x") + COUNTIF(E27:AI27, "X")), "")))</f>
        <v/>
      </c>
      <c r="AK27" s="117">
        <f>IF(ISBLANK(B27), "", IF(ISNUMBER(D27), IF(D27&gt;0, (COUNTIF(E27:AI27, "✓") + COUNTIF(E27:AI27, "✔") + COUNTIF(E27:AI27, "v") + COUNTIF(E27:AI27, "V")) &amp; "/" &amp; D27, (COUNTIF(E27:AI27, "✓") + COUNTIF(E27:AI27, "✔") + COUNTIF(E27:AI27, "v") + COUNTIF(E27:AI27, "V")) &amp; "/0"), IF(((COUNTIF(E27:AI27, "✓") + COUNTIF(E27:AI27, "✔") + COUNTIF(E27:AI27, "v") + COUNTIF(E27:AI27, "V")) + COUNTIF(E27:AI27, "✗") + COUNTIF(E27:AI27, "x") + COUNTIF(E27:AI27, "X"))&gt;0, (COUNTIF(E27:AI27, "✓") + COUNTIF(E27:AI27, "✔") + COUNTIF(E27:AI27, "v") + COUNTIF(E27:AI27, "V")) &amp; "/" &amp; ((COUNTIF(E27:AI27, "✓") + COUNTIF(E27:AI27, "✔") + COUNTIF(E27:AI27, "v") + COUNTIF(E27:AI27, "V")) + COUNTIF(E27:AI27, "✗") + COUNTIF(E27:AI27, "x") + COUNTIF(E27:AI27, "X")), "")))</f>
        <v/>
      </c>
      <c r="AL27" s="117">
        <f>IF(ISBLANK(B27), "", IF(AJ27&gt;=0.85, "🔥 Mastered", IF(AJ27&gt;=0.7, "⚡ Consistent", "⚠️ Needs Focus")))</f>
        <v/>
      </c>
      <c r="AM27">
        <f>COUNTIF(E27:AI27, "✓")</f>
        <v/>
      </c>
    </row>
    <row r="28" ht="14.5" customHeight="1">
      <c r="A28" s="111" t="n">
        <v>11</v>
      </c>
      <c r="B28" s="112" t="n"/>
      <c r="C28" s="113" t="n"/>
      <c r="D28" s="113" t="n"/>
      <c r="E28" s="114" t="n"/>
      <c r="F28" s="114" t="n"/>
      <c r="G28" s="115" t="n"/>
      <c r="H28" s="114" t="n"/>
      <c r="I28" s="114" t="n"/>
      <c r="J28" s="114" t="n"/>
      <c r="K28" s="114" t="n"/>
      <c r="L28" s="114" t="n"/>
      <c r="M28" s="114" t="n"/>
      <c r="N28" s="115" t="n"/>
      <c r="O28" s="114" t="n"/>
      <c r="P28" s="114" t="n"/>
      <c r="Q28" s="114" t="n"/>
      <c r="R28" s="114" t="n"/>
      <c r="S28" s="114" t="n"/>
      <c r="T28" s="114" t="n"/>
      <c r="U28" s="115" t="n"/>
      <c r="V28" s="114" t="n"/>
      <c r="W28" s="114" t="n"/>
      <c r="X28" s="114" t="n"/>
      <c r="Y28" s="114" t="n"/>
      <c r="Z28" s="114" t="n"/>
      <c r="AA28" s="114" t="n"/>
      <c r="AB28" s="115" t="n"/>
      <c r="AC28" s="114" t="n"/>
      <c r="AD28" s="114" t="n"/>
      <c r="AE28" s="114" t="n"/>
      <c r="AF28" s="114" t="n"/>
      <c r="AG28" s="114" t="n"/>
      <c r="AH28" s="114" t="n"/>
      <c r="AI28" s="115" t="n"/>
      <c r="AJ28" s="116">
        <f>IF(ISBLANK(B28), "", IF(ISNUMBER(D28), IF(D28&gt;0, (COUNTIF(E28:AI28, "✓") + COUNTIF(E28:AI28, "✔") + COUNTIF(E28:AI28, "v") + COUNTIF(E28:AI28, "V"))/D28, 0), IF(((COUNTIF(E28:AI28, "✓") + COUNTIF(E28:AI28, "✔") + COUNTIF(E28:AI28, "v") + COUNTIF(E28:AI28, "V")) + COUNTIF(E28:AI28, "✗") + COUNTIF(E28:AI28, "x") + COUNTIF(E28:AI28, "X"))&gt;0, (COUNTIF(E28:AI28, "✓") + COUNTIF(E28:AI28, "✔") + COUNTIF(E28:AI28, "v") + COUNTIF(E28:AI28, "V"))/((COUNTIF(E28:AI28, "✓") + COUNTIF(E28:AI28, "✔") + COUNTIF(E28:AI28, "v") + COUNTIF(E28:AI28, "V")) + COUNTIF(E28:AI28, "✗") + COUNTIF(E28:AI28, "x") + COUNTIF(E28:AI28, "X")), "")))</f>
        <v/>
      </c>
      <c r="AK28" s="117">
        <f>IF(ISBLANK(B28), "", IF(ISNUMBER(D28), IF(D28&gt;0, (COUNTIF(E28:AI28, "✓") + COUNTIF(E28:AI28, "✔") + COUNTIF(E28:AI28, "v") + COUNTIF(E28:AI28, "V")) &amp; "/" &amp; D28, (COUNTIF(E28:AI28, "✓") + COUNTIF(E28:AI28, "✔") + COUNTIF(E28:AI28, "v") + COUNTIF(E28:AI28, "V")) &amp; "/0"), IF(((COUNTIF(E28:AI28, "✓") + COUNTIF(E28:AI28, "✔") + COUNTIF(E28:AI28, "v") + COUNTIF(E28:AI28, "V")) + COUNTIF(E28:AI28, "✗") + COUNTIF(E28:AI28, "x") + COUNTIF(E28:AI28, "X"))&gt;0, (COUNTIF(E28:AI28, "✓") + COUNTIF(E28:AI28, "✔") + COUNTIF(E28:AI28, "v") + COUNTIF(E28:AI28, "V")) &amp; "/" &amp; ((COUNTIF(E28:AI28, "✓") + COUNTIF(E28:AI28, "✔") + COUNTIF(E28:AI28, "v") + COUNTIF(E28:AI28, "V")) + COUNTIF(E28:AI28, "✗") + COUNTIF(E28:AI28, "x") + COUNTIF(E28:AI28, "X")), "")))</f>
        <v/>
      </c>
      <c r="AL28" s="117">
        <f>IF(ISBLANK(B28), "", IF(AJ28&gt;=0.85, "🔥 Mastered", IF(AJ28&gt;=0.7, "⚡ Consistent", "⚠️ Needs Focus")))</f>
        <v/>
      </c>
      <c r="AM28">
        <f>COUNTIF(E28:AI28, "✓")</f>
        <v/>
      </c>
    </row>
    <row r="29" ht="14.5" customHeight="1">
      <c r="A29" s="111" t="n">
        <v>12</v>
      </c>
      <c r="B29" s="112" t="n"/>
      <c r="C29" s="113" t="n"/>
      <c r="D29" s="113" t="n"/>
      <c r="E29" s="114" t="n"/>
      <c r="F29" s="114" t="n"/>
      <c r="G29" s="115" t="n"/>
      <c r="H29" s="114" t="n"/>
      <c r="I29" s="114" t="n"/>
      <c r="J29" s="114" t="n"/>
      <c r="K29" s="114" t="n"/>
      <c r="L29" s="114" t="n"/>
      <c r="M29" s="114" t="n"/>
      <c r="N29" s="115" t="n"/>
      <c r="O29" s="114" t="n"/>
      <c r="P29" s="114" t="n"/>
      <c r="Q29" s="114" t="n"/>
      <c r="R29" s="114" t="n"/>
      <c r="S29" s="114" t="n"/>
      <c r="T29" s="114" t="n"/>
      <c r="U29" s="115" t="n"/>
      <c r="V29" s="114" t="n"/>
      <c r="W29" s="114" t="n"/>
      <c r="X29" s="114" t="n"/>
      <c r="Y29" s="114" t="n"/>
      <c r="Z29" s="114" t="n"/>
      <c r="AA29" s="114" t="n"/>
      <c r="AB29" s="115" t="n"/>
      <c r="AC29" s="114" t="n"/>
      <c r="AD29" s="114" t="n"/>
      <c r="AE29" s="114" t="n"/>
      <c r="AF29" s="114" t="n"/>
      <c r="AG29" s="114" t="n"/>
      <c r="AH29" s="114" t="n"/>
      <c r="AI29" s="115" t="n"/>
      <c r="AJ29" s="116">
        <f>IF(ISBLANK(B29), "", IF(ISNUMBER(D29), IF(D29&gt;0, (COUNTIF(E29:AI29, "✓") + COUNTIF(E29:AI29, "✔") + COUNTIF(E29:AI29, "v") + COUNTIF(E29:AI29, "V"))/D29, 0), IF(((COUNTIF(E29:AI29, "✓") + COUNTIF(E29:AI29, "✔") + COUNTIF(E29:AI29, "v") + COUNTIF(E29:AI29, "V")) + COUNTIF(E29:AI29, "✗") + COUNTIF(E29:AI29, "x") + COUNTIF(E29:AI29, "X"))&gt;0, (COUNTIF(E29:AI29, "✓") + COUNTIF(E29:AI29, "✔") + COUNTIF(E29:AI29, "v") + COUNTIF(E29:AI29, "V"))/((COUNTIF(E29:AI29, "✓") + COUNTIF(E29:AI29, "✔") + COUNTIF(E29:AI29, "v") + COUNTIF(E29:AI29, "V")) + COUNTIF(E29:AI29, "✗") + COUNTIF(E29:AI29, "x") + COUNTIF(E29:AI29, "X")), "")))</f>
        <v/>
      </c>
      <c r="AK29" s="117">
        <f>IF(ISBLANK(B29), "", IF(ISNUMBER(D29), IF(D29&gt;0, (COUNTIF(E29:AI29, "✓") + COUNTIF(E29:AI29, "✔") + COUNTIF(E29:AI29, "v") + COUNTIF(E29:AI29, "V")) &amp; "/" &amp; D29, (COUNTIF(E29:AI29, "✓") + COUNTIF(E29:AI29, "✔") + COUNTIF(E29:AI29, "v") + COUNTIF(E29:AI29, "V")) &amp; "/0"), IF(((COUNTIF(E29:AI29, "✓") + COUNTIF(E29:AI29, "✔") + COUNTIF(E29:AI29, "v") + COUNTIF(E29:AI29, "V")) + COUNTIF(E29:AI29, "✗") + COUNTIF(E29:AI29, "x") + COUNTIF(E29:AI29, "X"))&gt;0, (COUNTIF(E29:AI29, "✓") + COUNTIF(E29:AI29, "✔") + COUNTIF(E29:AI29, "v") + COUNTIF(E29:AI29, "V")) &amp; "/" &amp; ((COUNTIF(E29:AI29, "✓") + COUNTIF(E29:AI29, "✔") + COUNTIF(E29:AI29, "v") + COUNTIF(E29:AI29, "V")) + COUNTIF(E29:AI29, "✗") + COUNTIF(E29:AI29, "x") + COUNTIF(E29:AI29, "X")), "")))</f>
        <v/>
      </c>
      <c r="AL29" s="117">
        <f>IF(ISBLANK(B29), "", IF(AJ29&gt;=0.85, "🔥 Mastered", IF(AJ29&gt;=0.7, "⚡ Consistent", "⚠️ Needs Focus")))</f>
        <v/>
      </c>
      <c r="AM29">
        <f>COUNTIF(E29:AI29, "✓")</f>
        <v/>
      </c>
    </row>
    <row r="30" ht="14.5" customHeight="1">
      <c r="A30" s="118" t="n">
        <v>13</v>
      </c>
      <c r="B30" s="119" t="n"/>
      <c r="C30" s="120" t="n"/>
      <c r="D30" s="120" t="n"/>
      <c r="E30" s="121" t="n"/>
      <c r="F30" s="121" t="n"/>
      <c r="G30" s="122" t="n"/>
      <c r="H30" s="121" t="n"/>
      <c r="I30" s="121" t="n"/>
      <c r="J30" s="121" t="n"/>
      <c r="K30" s="121" t="n"/>
      <c r="L30" s="121" t="n"/>
      <c r="M30" s="121" t="n"/>
      <c r="N30" s="122" t="n"/>
      <c r="O30" s="121" t="n"/>
      <c r="P30" s="121" t="n"/>
      <c r="Q30" s="121" t="n"/>
      <c r="R30" s="121" t="n"/>
      <c r="S30" s="121" t="n"/>
      <c r="T30" s="121" t="n"/>
      <c r="U30" s="122" t="n"/>
      <c r="V30" s="121" t="n"/>
      <c r="W30" s="121" t="n"/>
      <c r="X30" s="121" t="n"/>
      <c r="Y30" s="121" t="n"/>
      <c r="Z30" s="121" t="n"/>
      <c r="AA30" s="121" t="n"/>
      <c r="AB30" s="122" t="n"/>
      <c r="AC30" s="121" t="n"/>
      <c r="AD30" s="121" t="n"/>
      <c r="AE30" s="121" t="n"/>
      <c r="AF30" s="121" t="n"/>
      <c r="AG30" s="121" t="n"/>
      <c r="AH30" s="121" t="n"/>
      <c r="AI30" s="122" t="n"/>
      <c r="AJ30" s="123">
        <f>IF(ISBLANK(B30), "", IF(ISNUMBER(D30), IF(D30&gt;0, (COUNTIF(E30:AI30, "✓") + COUNTIF(E30:AI30, "✔") + COUNTIF(E30:AI30, "v") + COUNTIF(E30:AI30, "V"))/D30, 0), IF(((COUNTIF(E30:AI30, "✓") + COUNTIF(E30:AI30, "✔") + COUNTIF(E30:AI30, "v") + COUNTIF(E30:AI30, "V")) + COUNTIF(E30:AI30, "✗") + COUNTIF(E30:AI30, "x") + COUNTIF(E30:AI30, "X"))&gt;0, (COUNTIF(E30:AI30, "✓") + COUNTIF(E30:AI30, "✔") + COUNTIF(E30:AI30, "v") + COUNTIF(E30:AI30, "V"))/((COUNTIF(E30:AI30, "✓") + COUNTIF(E30:AI30, "✔") + COUNTIF(E30:AI30, "v") + COUNTIF(E30:AI30, "V")) + COUNTIF(E30:AI30, "✗") + COUNTIF(E30:AI30, "x") + COUNTIF(E30:AI30, "X")), "")))</f>
        <v/>
      </c>
      <c r="AK30" s="124">
        <f>IF(ISBLANK(B30), "", IF(ISNUMBER(D30), IF(D30&gt;0, (COUNTIF(E30:AI30, "✓") + COUNTIF(E30:AI30, "✔") + COUNTIF(E30:AI30, "v") + COUNTIF(E30:AI30, "V")) &amp; "/" &amp; D30, (COUNTIF(E30:AI30, "✓") + COUNTIF(E30:AI30, "✔") + COUNTIF(E30:AI30, "v") + COUNTIF(E30:AI30, "V")) &amp; "/0"), IF(((COUNTIF(E30:AI30, "✓") + COUNTIF(E30:AI30, "✔") + COUNTIF(E30:AI30, "v") + COUNTIF(E30:AI30, "V")) + COUNTIF(E30:AI30, "✗") + COUNTIF(E30:AI30, "x") + COUNTIF(E30:AI30, "X"))&gt;0, (COUNTIF(E30:AI30, "✓") + COUNTIF(E30:AI30, "✔") + COUNTIF(E30:AI30, "v") + COUNTIF(E30:AI30, "V")) &amp; "/" &amp; ((COUNTIF(E30:AI30, "✓") + COUNTIF(E30:AI30, "✔") + COUNTIF(E30:AI30, "v") + COUNTIF(E30:AI30, "V")) + COUNTIF(E30:AI30, "✗") + COUNTIF(E30:AI30, "x") + COUNTIF(E30:AI30, "X")), "")))</f>
        <v/>
      </c>
      <c r="AL30" s="124">
        <f>IF(ISBLANK(B30), "", IF(AJ30&gt;=0.85, "🔥 Mastered", IF(AJ30&gt;=0.7, "⚡ Consistent", "⚠️ Needs Focus")))</f>
        <v/>
      </c>
      <c r="AM30">
        <f>COUNTIF(E30:AI30, "✓")</f>
        <v/>
      </c>
    </row>
    <row r="31" ht="14.5" customHeight="1">
      <c r="A31" s="118" t="n">
        <v>14</v>
      </c>
      <c r="B31" s="119" t="n"/>
      <c r="C31" s="120" t="n"/>
      <c r="D31" s="120" t="n"/>
      <c r="E31" s="121" t="n"/>
      <c r="F31" s="121" t="n"/>
      <c r="G31" s="122" t="n"/>
      <c r="H31" s="121" t="n"/>
      <c r="I31" s="121" t="n"/>
      <c r="J31" s="121" t="n"/>
      <c r="K31" s="121" t="n"/>
      <c r="L31" s="121" t="n"/>
      <c r="M31" s="121" t="n"/>
      <c r="N31" s="122" t="n"/>
      <c r="O31" s="121" t="n"/>
      <c r="P31" s="121" t="n"/>
      <c r="Q31" s="121" t="n"/>
      <c r="R31" s="121" t="n"/>
      <c r="S31" s="121" t="n"/>
      <c r="T31" s="121" t="n"/>
      <c r="U31" s="122" t="n"/>
      <c r="V31" s="121" t="n"/>
      <c r="W31" s="121" t="n"/>
      <c r="X31" s="121" t="n"/>
      <c r="Y31" s="121" t="n"/>
      <c r="Z31" s="121" t="n"/>
      <c r="AA31" s="121" t="n"/>
      <c r="AB31" s="122" t="n"/>
      <c r="AC31" s="121" t="n"/>
      <c r="AD31" s="121" t="n"/>
      <c r="AE31" s="121" t="n"/>
      <c r="AF31" s="121" t="n"/>
      <c r="AG31" s="121" t="n"/>
      <c r="AH31" s="121" t="n"/>
      <c r="AI31" s="122" t="n"/>
      <c r="AJ31" s="123">
        <f>IF(ISBLANK(B31), "", IF(ISNUMBER(D31), IF(D31&gt;0, (COUNTIF(E31:AI31, "✓") + COUNTIF(E31:AI31, "✔") + COUNTIF(E31:AI31, "v") + COUNTIF(E31:AI31, "V"))/D31, 0), IF(((COUNTIF(E31:AI31, "✓") + COUNTIF(E31:AI31, "✔") + COUNTIF(E31:AI31, "v") + COUNTIF(E31:AI31, "V")) + COUNTIF(E31:AI31, "✗") + COUNTIF(E31:AI31, "x") + COUNTIF(E31:AI31, "X"))&gt;0, (COUNTIF(E31:AI31, "✓") + COUNTIF(E31:AI31, "✔") + COUNTIF(E31:AI31, "v") + COUNTIF(E31:AI31, "V"))/((COUNTIF(E31:AI31, "✓") + COUNTIF(E31:AI31, "✔") + COUNTIF(E31:AI31, "v") + COUNTIF(E31:AI31, "V")) + COUNTIF(E31:AI31, "✗") + COUNTIF(E31:AI31, "x") + COUNTIF(E31:AI31, "X")), "")))</f>
        <v/>
      </c>
      <c r="AK31" s="124">
        <f>IF(ISBLANK(B31), "", IF(ISNUMBER(D31), IF(D31&gt;0, (COUNTIF(E31:AI31, "✓") + COUNTIF(E31:AI31, "✔") + COUNTIF(E31:AI31, "v") + COUNTIF(E31:AI31, "V")) &amp; "/" &amp; D31, (COUNTIF(E31:AI31, "✓") + COUNTIF(E31:AI31, "✔") + COUNTIF(E31:AI31, "v") + COUNTIF(E31:AI31, "V")) &amp; "/0"), IF(((COUNTIF(E31:AI31, "✓") + COUNTIF(E31:AI31, "✔") + COUNTIF(E31:AI31, "v") + COUNTIF(E31:AI31, "V")) + COUNTIF(E31:AI31, "✗") + COUNTIF(E31:AI31, "x") + COUNTIF(E31:AI31, "X"))&gt;0, (COUNTIF(E31:AI31, "✓") + COUNTIF(E31:AI31, "✔") + COUNTIF(E31:AI31, "v") + COUNTIF(E31:AI31, "V")) &amp; "/" &amp; ((COUNTIF(E31:AI31, "✓") + COUNTIF(E31:AI31, "✔") + COUNTIF(E31:AI31, "v") + COUNTIF(E31:AI31, "V")) + COUNTIF(E31:AI31, "✗") + COUNTIF(E31:AI31, "x") + COUNTIF(E31:AI31, "X")), "")))</f>
        <v/>
      </c>
      <c r="AL31" s="124">
        <f>IF(ISBLANK(B31), "", IF(AJ31&gt;=0.85, "🔥 Mastered", IF(AJ31&gt;=0.7, "⚡ Consistent", "⚠️ Needs Focus")))</f>
        <v/>
      </c>
      <c r="AM31">
        <f>COUNTIF(E31:AI31, "✓")</f>
        <v/>
      </c>
    </row>
    <row r="32" ht="14.5" customHeight="1">
      <c r="A32" s="118" t="n">
        <v>15</v>
      </c>
      <c r="B32" s="119" t="n"/>
      <c r="C32" s="120" t="n"/>
      <c r="D32" s="120" t="n"/>
      <c r="E32" s="121" t="n"/>
      <c r="F32" s="121" t="n"/>
      <c r="G32" s="122" t="n"/>
      <c r="H32" s="121" t="n"/>
      <c r="I32" s="121" t="n"/>
      <c r="J32" s="121" t="n"/>
      <c r="K32" s="121" t="n"/>
      <c r="L32" s="121" t="n"/>
      <c r="M32" s="121" t="n"/>
      <c r="N32" s="122" t="n"/>
      <c r="O32" s="121" t="n"/>
      <c r="P32" s="121" t="n"/>
      <c r="Q32" s="121" t="n"/>
      <c r="R32" s="121" t="n"/>
      <c r="S32" s="121" t="n"/>
      <c r="T32" s="121" t="n"/>
      <c r="U32" s="122" t="n"/>
      <c r="V32" s="121" t="n"/>
      <c r="W32" s="121" t="n"/>
      <c r="X32" s="121" t="n"/>
      <c r="Y32" s="121" t="n"/>
      <c r="Z32" s="121" t="n"/>
      <c r="AA32" s="121" t="n"/>
      <c r="AB32" s="122" t="n"/>
      <c r="AC32" s="121" t="n"/>
      <c r="AD32" s="121" t="n"/>
      <c r="AE32" s="121" t="n"/>
      <c r="AF32" s="121" t="n"/>
      <c r="AG32" s="121" t="n"/>
      <c r="AH32" s="121" t="n"/>
      <c r="AI32" s="122" t="n"/>
      <c r="AJ32" s="123">
        <f>IF(ISBLANK(B32), "", IF(ISNUMBER(D32), IF(D32&gt;0, (COUNTIF(E32:AI32, "✓") + COUNTIF(E32:AI32, "✔") + COUNTIF(E32:AI32, "v") + COUNTIF(E32:AI32, "V"))/D32, 0), IF(((COUNTIF(E32:AI32, "✓") + COUNTIF(E32:AI32, "✔") + COUNTIF(E32:AI32, "v") + COUNTIF(E32:AI32, "V")) + COUNTIF(E32:AI32, "✗") + COUNTIF(E32:AI32, "x") + COUNTIF(E32:AI32, "X"))&gt;0, (COUNTIF(E32:AI32, "✓") + COUNTIF(E32:AI32, "✔") + COUNTIF(E32:AI32, "v") + COUNTIF(E32:AI32, "V"))/((COUNTIF(E32:AI32, "✓") + COUNTIF(E32:AI32, "✔") + COUNTIF(E32:AI32, "v") + COUNTIF(E32:AI32, "V")) + COUNTIF(E32:AI32, "✗") + COUNTIF(E32:AI32, "x") + COUNTIF(E32:AI32, "X")), "")))</f>
        <v/>
      </c>
      <c r="AK32" s="124">
        <f>IF(ISBLANK(B32), "", IF(ISNUMBER(D32), IF(D32&gt;0, (COUNTIF(E32:AI32, "✓") + COUNTIF(E32:AI32, "✔") + COUNTIF(E32:AI32, "v") + COUNTIF(E32:AI32, "V")) &amp; "/" &amp; D32, (COUNTIF(E32:AI32, "✓") + COUNTIF(E32:AI32, "✔") + COUNTIF(E32:AI32, "v") + COUNTIF(E32:AI32, "V")) &amp; "/0"), IF(((COUNTIF(E32:AI32, "✓") + COUNTIF(E32:AI32, "✔") + COUNTIF(E32:AI32, "v") + COUNTIF(E32:AI32, "V")) + COUNTIF(E32:AI32, "✗") + COUNTIF(E32:AI32, "x") + COUNTIF(E32:AI32, "X"))&gt;0, (COUNTIF(E32:AI32, "✓") + COUNTIF(E32:AI32, "✔") + COUNTIF(E32:AI32, "v") + COUNTIF(E32:AI32, "V")) &amp; "/" &amp; ((COUNTIF(E32:AI32, "✓") + COUNTIF(E32:AI32, "✔") + COUNTIF(E32:AI32, "v") + COUNTIF(E32:AI32, "V")) + COUNTIF(E32:AI32, "✗") + COUNTIF(E32:AI32, "x") + COUNTIF(E32:AI32, "X")), "")))</f>
        <v/>
      </c>
      <c r="AL32" s="124">
        <f>IF(ISBLANK(B32), "", IF(AJ32&gt;=0.85, "🔥 Mastered", IF(AJ32&gt;=0.7, "⚡ Consistent", "⚠️ Needs Focus")))</f>
        <v/>
      </c>
      <c r="AM32">
        <f>COUNTIF(E32:AI32, "✓")</f>
        <v/>
      </c>
    </row>
    <row r="33" ht="14.5" customHeight="1">
      <c r="A33" s="118" t="n">
        <v>16</v>
      </c>
      <c r="B33" s="119" t="n"/>
      <c r="C33" s="120" t="n"/>
      <c r="D33" s="120" t="n"/>
      <c r="E33" s="121" t="n"/>
      <c r="F33" s="121" t="n"/>
      <c r="G33" s="122" t="n"/>
      <c r="H33" s="121" t="n"/>
      <c r="I33" s="121" t="n"/>
      <c r="J33" s="121" t="n"/>
      <c r="K33" s="121" t="n"/>
      <c r="L33" s="121" t="n"/>
      <c r="M33" s="121" t="n"/>
      <c r="N33" s="122" t="n"/>
      <c r="O33" s="121" t="n"/>
      <c r="P33" s="121" t="n"/>
      <c r="Q33" s="121" t="n"/>
      <c r="R33" s="121" t="n"/>
      <c r="S33" s="121" t="n"/>
      <c r="T33" s="121" t="n"/>
      <c r="U33" s="122" t="n"/>
      <c r="V33" s="121" t="n"/>
      <c r="W33" s="121" t="n"/>
      <c r="X33" s="121" t="n"/>
      <c r="Y33" s="121" t="n"/>
      <c r="Z33" s="121" t="n"/>
      <c r="AA33" s="121" t="n"/>
      <c r="AB33" s="122" t="n"/>
      <c r="AC33" s="121" t="n"/>
      <c r="AD33" s="121" t="n"/>
      <c r="AE33" s="121" t="n"/>
      <c r="AF33" s="121" t="n"/>
      <c r="AG33" s="121" t="n"/>
      <c r="AH33" s="121" t="n"/>
      <c r="AI33" s="122" t="n"/>
      <c r="AJ33" s="123">
        <f>IF(ISBLANK(B33), "", IF(ISNUMBER(D33), IF(D33&gt;0, (COUNTIF(E33:AI33, "✓") + COUNTIF(E33:AI33, "✔") + COUNTIF(E33:AI33, "v") + COUNTIF(E33:AI33, "V"))/D33, 0), IF(((COUNTIF(E33:AI33, "✓") + COUNTIF(E33:AI33, "✔") + COUNTIF(E33:AI33, "v") + COUNTIF(E33:AI33, "V")) + COUNTIF(E33:AI33, "✗") + COUNTIF(E33:AI33, "x") + COUNTIF(E33:AI33, "X"))&gt;0, (COUNTIF(E33:AI33, "✓") + COUNTIF(E33:AI33, "✔") + COUNTIF(E33:AI33, "v") + COUNTIF(E33:AI33, "V"))/((COUNTIF(E33:AI33, "✓") + COUNTIF(E33:AI33, "✔") + COUNTIF(E33:AI33, "v") + COUNTIF(E33:AI33, "V")) + COUNTIF(E33:AI33, "✗") + COUNTIF(E33:AI33, "x") + COUNTIF(E33:AI33, "X")), "")))</f>
        <v/>
      </c>
      <c r="AK33" s="124">
        <f>IF(ISBLANK(B33), "", IF(ISNUMBER(D33), IF(D33&gt;0, (COUNTIF(E33:AI33, "✓") + COUNTIF(E33:AI33, "✔") + COUNTIF(E33:AI33, "v") + COUNTIF(E33:AI33, "V")) &amp; "/" &amp; D33, (COUNTIF(E33:AI33, "✓") + COUNTIF(E33:AI33, "✔") + COUNTIF(E33:AI33, "v") + COUNTIF(E33:AI33, "V")) &amp; "/0"), IF(((COUNTIF(E33:AI33, "✓") + COUNTIF(E33:AI33, "✔") + COUNTIF(E33:AI33, "v") + COUNTIF(E33:AI33, "V")) + COUNTIF(E33:AI33, "✗") + COUNTIF(E33:AI33, "x") + COUNTIF(E33:AI33, "X"))&gt;0, (COUNTIF(E33:AI33, "✓") + COUNTIF(E33:AI33, "✔") + COUNTIF(E33:AI33, "v") + COUNTIF(E33:AI33, "V")) &amp; "/" &amp; ((COUNTIF(E33:AI33, "✓") + COUNTIF(E33:AI33, "✔") + COUNTIF(E33:AI33, "v") + COUNTIF(E33:AI33, "V")) + COUNTIF(E33:AI33, "✗") + COUNTIF(E33:AI33, "x") + COUNTIF(E33:AI33, "X")), "")))</f>
        <v/>
      </c>
      <c r="AL33" s="124">
        <f>IF(ISBLANK(B33), "", IF(AJ33&gt;=0.85, "🔥 Mastered", IF(AJ33&gt;=0.7, "⚡ Consistent", "⚠️ Needs Focus")))</f>
        <v/>
      </c>
      <c r="AM33">
        <f>COUNTIF(E33:AI33, "✓")</f>
        <v/>
      </c>
    </row>
    <row r="34" ht="14.5" customHeight="1">
      <c r="A34" s="125" t="n">
        <v>17</v>
      </c>
      <c r="B34" s="126" t="n"/>
      <c r="C34" s="127" t="n"/>
      <c r="D34" s="127" t="n"/>
      <c r="E34" s="128" t="n"/>
      <c r="F34" s="128" t="n"/>
      <c r="G34" s="129" t="n"/>
      <c r="H34" s="128" t="n"/>
      <c r="I34" s="128" t="n"/>
      <c r="J34" s="128" t="n"/>
      <c r="K34" s="128" t="n"/>
      <c r="L34" s="128" t="n"/>
      <c r="M34" s="128" t="n"/>
      <c r="N34" s="129" t="n"/>
      <c r="O34" s="128" t="n"/>
      <c r="P34" s="128" t="n"/>
      <c r="Q34" s="128" t="n"/>
      <c r="R34" s="128" t="n"/>
      <c r="S34" s="128" t="n"/>
      <c r="T34" s="128" t="n"/>
      <c r="U34" s="129" t="n"/>
      <c r="V34" s="128" t="n"/>
      <c r="W34" s="128" t="n"/>
      <c r="X34" s="128" t="n"/>
      <c r="Y34" s="128" t="n"/>
      <c r="Z34" s="128" t="n"/>
      <c r="AA34" s="128" t="n"/>
      <c r="AB34" s="129" t="n"/>
      <c r="AC34" s="128" t="n"/>
      <c r="AD34" s="128" t="n"/>
      <c r="AE34" s="128" t="n"/>
      <c r="AF34" s="128" t="n"/>
      <c r="AG34" s="128" t="n"/>
      <c r="AH34" s="128" t="n"/>
      <c r="AI34" s="129" t="n"/>
      <c r="AJ34" s="130">
        <f>IF(ISBLANK(B34), "", IF(ISNUMBER(D34), IF(D34&gt;0, (COUNTIF(E34:AI34, "✓") + COUNTIF(E34:AI34, "✔") + COUNTIF(E34:AI34, "v") + COUNTIF(E34:AI34, "V"))/D34, 0), IF(((COUNTIF(E34:AI34, "✓") + COUNTIF(E34:AI34, "✔") + COUNTIF(E34:AI34, "v") + COUNTIF(E34:AI34, "V")) + COUNTIF(E34:AI34, "✗") + COUNTIF(E34:AI34, "x") + COUNTIF(E34:AI34, "X"))&gt;0, (COUNTIF(E34:AI34, "✓") + COUNTIF(E34:AI34, "✔") + COUNTIF(E34:AI34, "v") + COUNTIF(E34:AI34, "V"))/((COUNTIF(E34:AI34, "✓") + COUNTIF(E34:AI34, "✔") + COUNTIF(E34:AI34, "v") + COUNTIF(E34:AI34, "V")) + COUNTIF(E34:AI34, "✗") + COUNTIF(E34:AI34, "x") + COUNTIF(E34:AI34, "X")), "")))</f>
        <v/>
      </c>
      <c r="AK34" s="131">
        <f>IF(ISBLANK(B34), "", IF(ISNUMBER(D34), IF(D34&gt;0, (COUNTIF(E34:AI34, "✓") + COUNTIF(E34:AI34, "✔") + COUNTIF(E34:AI34, "v") + COUNTIF(E34:AI34, "V")) &amp; "/" &amp; D34, (COUNTIF(E34:AI34, "✓") + COUNTIF(E34:AI34, "✔") + COUNTIF(E34:AI34, "v") + COUNTIF(E34:AI34, "V")) &amp; "/0"), IF(((COUNTIF(E34:AI34, "✓") + COUNTIF(E34:AI34, "✔") + COUNTIF(E34:AI34, "v") + COUNTIF(E34:AI34, "V")) + COUNTIF(E34:AI34, "✗") + COUNTIF(E34:AI34, "x") + COUNTIF(E34:AI34, "X"))&gt;0, (COUNTIF(E34:AI34, "✓") + COUNTIF(E34:AI34, "✔") + COUNTIF(E34:AI34, "v") + COUNTIF(E34:AI34, "V")) &amp; "/" &amp; ((COUNTIF(E34:AI34, "✓") + COUNTIF(E34:AI34, "✔") + COUNTIF(E34:AI34, "v") + COUNTIF(E34:AI34, "V")) + COUNTIF(E34:AI34, "✗") + COUNTIF(E34:AI34, "x") + COUNTIF(E34:AI34, "X")), "")))</f>
        <v/>
      </c>
      <c r="AL34" s="131">
        <f>IF(ISBLANK(B34), "", IF(AJ34&gt;=0.85, "🔥 Mastered", IF(AJ34&gt;=0.7, "⚡ Consistent", "⚠️ Needs Focus")))</f>
        <v/>
      </c>
      <c r="AM34">
        <f>COUNTIF(E34:AI34, "✓")</f>
        <v/>
      </c>
    </row>
    <row r="35" ht="14.5" customHeight="1">
      <c r="A35" s="125" t="n">
        <v>18</v>
      </c>
      <c r="B35" s="126" t="n"/>
      <c r="C35" s="127" t="n"/>
      <c r="D35" s="127" t="n"/>
      <c r="E35" s="128" t="n"/>
      <c r="F35" s="128" t="n"/>
      <c r="G35" s="129" t="n"/>
      <c r="H35" s="128" t="n"/>
      <c r="I35" s="128" t="n"/>
      <c r="J35" s="128" t="n"/>
      <c r="K35" s="128" t="n"/>
      <c r="L35" s="128" t="n"/>
      <c r="M35" s="128" t="n"/>
      <c r="N35" s="129" t="n"/>
      <c r="O35" s="128" t="n"/>
      <c r="P35" s="128" t="n"/>
      <c r="Q35" s="128" t="n"/>
      <c r="R35" s="128" t="n"/>
      <c r="S35" s="128" t="n"/>
      <c r="T35" s="128" t="n"/>
      <c r="U35" s="129" t="n"/>
      <c r="V35" s="128" t="n"/>
      <c r="W35" s="128" t="n"/>
      <c r="X35" s="128" t="n"/>
      <c r="Y35" s="128" t="n"/>
      <c r="Z35" s="128" t="n"/>
      <c r="AA35" s="128" t="n"/>
      <c r="AB35" s="129" t="n"/>
      <c r="AC35" s="128" t="n"/>
      <c r="AD35" s="128" t="n"/>
      <c r="AE35" s="128" t="n"/>
      <c r="AF35" s="128" t="n"/>
      <c r="AG35" s="128" t="n"/>
      <c r="AH35" s="128" t="n"/>
      <c r="AI35" s="129" t="n"/>
      <c r="AJ35" s="130">
        <f>IF(ISBLANK(B35), "", IF(ISNUMBER(D35), IF(D35&gt;0, (COUNTIF(E35:AI35, "✓") + COUNTIF(E35:AI35, "✔") + COUNTIF(E35:AI35, "v") + COUNTIF(E35:AI35, "V"))/D35, 0), IF(((COUNTIF(E35:AI35, "✓") + COUNTIF(E35:AI35, "✔") + COUNTIF(E35:AI35, "v") + COUNTIF(E35:AI35, "V")) + COUNTIF(E35:AI35, "✗") + COUNTIF(E35:AI35, "x") + COUNTIF(E35:AI35, "X"))&gt;0, (COUNTIF(E35:AI35, "✓") + COUNTIF(E35:AI35, "✔") + COUNTIF(E35:AI35, "v") + COUNTIF(E35:AI35, "V"))/((COUNTIF(E35:AI35, "✓") + COUNTIF(E35:AI35, "✔") + COUNTIF(E35:AI35, "v") + COUNTIF(E35:AI35, "V")) + COUNTIF(E35:AI35, "✗") + COUNTIF(E35:AI35, "x") + COUNTIF(E35:AI35, "X")), "")))</f>
        <v/>
      </c>
      <c r="AK35" s="131">
        <f>IF(ISBLANK(B35), "", IF(ISNUMBER(D35), IF(D35&gt;0, (COUNTIF(E35:AI35, "✓") + COUNTIF(E35:AI35, "✔") + COUNTIF(E35:AI35, "v") + COUNTIF(E35:AI35, "V")) &amp; "/" &amp; D35, (COUNTIF(E35:AI35, "✓") + COUNTIF(E35:AI35, "✔") + COUNTIF(E35:AI35, "v") + COUNTIF(E35:AI35, "V")) &amp; "/0"), IF(((COUNTIF(E35:AI35, "✓") + COUNTIF(E35:AI35, "✔") + COUNTIF(E35:AI35, "v") + COUNTIF(E35:AI35, "V")) + COUNTIF(E35:AI35, "✗") + COUNTIF(E35:AI35, "x") + COUNTIF(E35:AI35, "X"))&gt;0, (COUNTIF(E35:AI35, "✓") + COUNTIF(E35:AI35, "✔") + COUNTIF(E35:AI35, "v") + COUNTIF(E35:AI35, "V")) &amp; "/" &amp; ((COUNTIF(E35:AI35, "✓") + COUNTIF(E35:AI35, "✔") + COUNTIF(E35:AI35, "v") + COUNTIF(E35:AI35, "V")) + COUNTIF(E35:AI35, "✗") + COUNTIF(E35:AI35, "x") + COUNTIF(E35:AI35, "X")), "")))</f>
        <v/>
      </c>
      <c r="AL35" s="131">
        <f>IF(ISBLANK(B35), "", IF(AJ35&gt;=0.85, "🔥 Mastered", IF(AJ35&gt;=0.7, "⚡ Consistent", "⚠️ Needs Focus")))</f>
        <v/>
      </c>
      <c r="AM35">
        <f>COUNTIF(E35:AI35, "✓")</f>
        <v/>
      </c>
    </row>
    <row r="36" ht="14.5" customHeight="1">
      <c r="A36" s="125" t="n">
        <v>19</v>
      </c>
      <c r="B36" s="126" t="n"/>
      <c r="C36" s="127" t="n"/>
      <c r="D36" s="127" t="n"/>
      <c r="E36" s="128" t="n"/>
      <c r="F36" s="128" t="n"/>
      <c r="G36" s="129" t="n"/>
      <c r="H36" s="128" t="n"/>
      <c r="I36" s="128" t="n"/>
      <c r="J36" s="128" t="n"/>
      <c r="K36" s="128" t="n"/>
      <c r="L36" s="128" t="n"/>
      <c r="M36" s="128" t="n"/>
      <c r="N36" s="129" t="n"/>
      <c r="O36" s="128" t="n"/>
      <c r="P36" s="128" t="n"/>
      <c r="Q36" s="128" t="n"/>
      <c r="R36" s="128" t="n"/>
      <c r="S36" s="128" t="n"/>
      <c r="T36" s="128" t="n"/>
      <c r="U36" s="129" t="n"/>
      <c r="V36" s="128" t="n"/>
      <c r="W36" s="128" t="n"/>
      <c r="X36" s="128" t="n"/>
      <c r="Y36" s="128" t="n"/>
      <c r="Z36" s="128" t="n"/>
      <c r="AA36" s="128" t="n"/>
      <c r="AB36" s="129" t="n"/>
      <c r="AC36" s="128" t="n"/>
      <c r="AD36" s="128" t="n"/>
      <c r="AE36" s="128" t="n"/>
      <c r="AF36" s="128" t="n"/>
      <c r="AG36" s="128" t="n"/>
      <c r="AH36" s="128" t="n"/>
      <c r="AI36" s="129" t="n"/>
      <c r="AJ36" s="130">
        <f>IF(ISBLANK(B36), "", IF(ISNUMBER(D36), IF(D36&gt;0, (COUNTIF(E36:AI36, "✓") + COUNTIF(E36:AI36, "✔") + COUNTIF(E36:AI36, "v") + COUNTIF(E36:AI36, "V"))/D36, 0), IF(((COUNTIF(E36:AI36, "✓") + COUNTIF(E36:AI36, "✔") + COUNTIF(E36:AI36, "v") + COUNTIF(E36:AI36, "V")) + COUNTIF(E36:AI36, "✗") + COUNTIF(E36:AI36, "x") + COUNTIF(E36:AI36, "X"))&gt;0, (COUNTIF(E36:AI36, "✓") + COUNTIF(E36:AI36, "✔") + COUNTIF(E36:AI36, "v") + COUNTIF(E36:AI36, "V"))/((COUNTIF(E36:AI36, "✓") + COUNTIF(E36:AI36, "✔") + COUNTIF(E36:AI36, "v") + COUNTIF(E36:AI36, "V")) + COUNTIF(E36:AI36, "✗") + COUNTIF(E36:AI36, "x") + COUNTIF(E36:AI36, "X")), "")))</f>
        <v/>
      </c>
      <c r="AK36" s="131">
        <f>IF(ISBLANK(B36), "", IF(ISNUMBER(D36), IF(D36&gt;0, (COUNTIF(E36:AI36, "✓") + COUNTIF(E36:AI36, "✔") + COUNTIF(E36:AI36, "v") + COUNTIF(E36:AI36, "V")) &amp; "/" &amp; D36, (COUNTIF(E36:AI36, "✓") + COUNTIF(E36:AI36, "✔") + COUNTIF(E36:AI36, "v") + COUNTIF(E36:AI36, "V")) &amp; "/0"), IF(((COUNTIF(E36:AI36, "✓") + COUNTIF(E36:AI36, "✔") + COUNTIF(E36:AI36, "v") + COUNTIF(E36:AI36, "V")) + COUNTIF(E36:AI36, "✗") + COUNTIF(E36:AI36, "x") + COUNTIF(E36:AI36, "X"))&gt;0, (COUNTIF(E36:AI36, "✓") + COUNTIF(E36:AI36, "✔") + COUNTIF(E36:AI36, "v") + COUNTIF(E36:AI36, "V")) &amp; "/" &amp; ((COUNTIF(E36:AI36, "✓") + COUNTIF(E36:AI36, "✔") + COUNTIF(E36:AI36, "v") + COUNTIF(E36:AI36, "V")) + COUNTIF(E36:AI36, "✗") + COUNTIF(E36:AI36, "x") + COUNTIF(E36:AI36, "X")), "")))</f>
        <v/>
      </c>
      <c r="AL36" s="131">
        <f>IF(ISBLANK(B36), "", IF(AJ36&gt;=0.85, "🔥 Mastered", IF(AJ36&gt;=0.7, "⚡ Consistent", "⚠️ Needs Focus")))</f>
        <v/>
      </c>
      <c r="AM36">
        <f>COUNTIF(E36:AI36, "✓")</f>
        <v/>
      </c>
    </row>
    <row r="37" ht="14.5" customHeight="1">
      <c r="A37" s="125" t="n">
        <v>20</v>
      </c>
      <c r="B37" s="126" t="n"/>
      <c r="C37" s="127" t="n"/>
      <c r="D37" s="127" t="n"/>
      <c r="E37" s="128" t="n"/>
      <c r="F37" s="128" t="n"/>
      <c r="G37" s="129" t="n"/>
      <c r="H37" s="128" t="n"/>
      <c r="I37" s="128" t="n"/>
      <c r="J37" s="128" t="n"/>
      <c r="K37" s="128" t="n"/>
      <c r="L37" s="128" t="n"/>
      <c r="M37" s="128" t="n"/>
      <c r="N37" s="129" t="n"/>
      <c r="O37" s="128" t="n"/>
      <c r="P37" s="128" t="n"/>
      <c r="Q37" s="128" t="n"/>
      <c r="R37" s="128" t="n"/>
      <c r="S37" s="128" t="n"/>
      <c r="T37" s="128" t="n"/>
      <c r="U37" s="129" t="n"/>
      <c r="V37" s="128" t="n"/>
      <c r="W37" s="128" t="n"/>
      <c r="X37" s="128" t="n"/>
      <c r="Y37" s="128" t="n"/>
      <c r="Z37" s="128" t="n"/>
      <c r="AA37" s="128" t="n"/>
      <c r="AB37" s="129" t="n"/>
      <c r="AC37" s="128" t="n"/>
      <c r="AD37" s="128" t="n"/>
      <c r="AE37" s="128" t="n"/>
      <c r="AF37" s="128" t="n"/>
      <c r="AG37" s="128" t="n"/>
      <c r="AH37" s="128" t="n"/>
      <c r="AI37" s="129" t="n"/>
      <c r="AJ37" s="130">
        <f>IF(ISBLANK(B37), "", IF(ISNUMBER(D37), IF(D37&gt;0, (COUNTIF(E37:AI37, "✓") + COUNTIF(E37:AI37, "✔") + COUNTIF(E37:AI37, "v") + COUNTIF(E37:AI37, "V"))/D37, 0), IF(((COUNTIF(E37:AI37, "✓") + COUNTIF(E37:AI37, "✔") + COUNTIF(E37:AI37, "v") + COUNTIF(E37:AI37, "V")) + COUNTIF(E37:AI37, "✗") + COUNTIF(E37:AI37, "x") + COUNTIF(E37:AI37, "X"))&gt;0, (COUNTIF(E37:AI37, "✓") + COUNTIF(E37:AI37, "✔") + COUNTIF(E37:AI37, "v") + COUNTIF(E37:AI37, "V"))/((COUNTIF(E37:AI37, "✓") + COUNTIF(E37:AI37, "✔") + COUNTIF(E37:AI37, "v") + COUNTIF(E37:AI37, "V")) + COUNTIF(E37:AI37, "✗") + COUNTIF(E37:AI37, "x") + COUNTIF(E37:AI37, "X")), "")))</f>
        <v/>
      </c>
      <c r="AK37" s="131">
        <f>IF(ISBLANK(B37), "", IF(ISNUMBER(D37), IF(D37&gt;0, (COUNTIF(E37:AI37, "✓") + COUNTIF(E37:AI37, "✔") + COUNTIF(E37:AI37, "v") + COUNTIF(E37:AI37, "V")) &amp; "/" &amp; D37, (COUNTIF(E37:AI37, "✓") + COUNTIF(E37:AI37, "✔") + COUNTIF(E37:AI37, "v") + COUNTIF(E37:AI37, "V")) &amp; "/0"), IF(((COUNTIF(E37:AI37, "✓") + COUNTIF(E37:AI37, "✔") + COUNTIF(E37:AI37, "v") + COUNTIF(E37:AI37, "V")) + COUNTIF(E37:AI37, "✗") + COUNTIF(E37:AI37, "x") + COUNTIF(E37:AI37, "X"))&gt;0, (COUNTIF(E37:AI37, "✓") + COUNTIF(E37:AI37, "✔") + COUNTIF(E37:AI37, "v") + COUNTIF(E37:AI37, "V")) &amp; "/" &amp; ((COUNTIF(E37:AI37, "✓") + COUNTIF(E37:AI37, "✔") + COUNTIF(E37:AI37, "v") + COUNTIF(E37:AI37, "V")) + COUNTIF(E37:AI37, "✗") + COUNTIF(E37:AI37, "x") + COUNTIF(E37:AI37, "X")), "")))</f>
        <v/>
      </c>
      <c r="AL37" s="131">
        <f>IF(ISBLANK(B37), "", IF(AJ37&gt;=0.85, "🔥 Mastered", IF(AJ37&gt;=0.7, "⚡ Consistent", "⚠️ Needs Focus")))</f>
        <v/>
      </c>
      <c r="AM37">
        <f>COUNTIF(E37:AI37, "✓")</f>
        <v/>
      </c>
    </row>
    <row r="38" ht="18" customHeight="1">
      <c r="A38" s="132" t="inlineStr">
        <is>
          <t>DAILY TOTAL SCORE</t>
        </is>
      </c>
      <c r="B38" s="54" t="n"/>
      <c r="C38" s="54" t="n"/>
      <c r="D38" s="54" t="n"/>
      <c r="E38" s="33">
        <f>IF(((COUNTIF(E18:E37, "✓") + COUNTIF(E18:E37, "✔") + COUNTIF(E18:E37, "v") + COUNTIF(E18:E37, "V")) + COUNTIF(E18:E37, "✗") + COUNTIF(E18:E37, "x") + COUNTIF(E18:E37, "X")) &gt; 0, (COUNTIF(E18:E37, "✓") + COUNTIF(E18:E37, "✔") + COUNTIF(E18:E37, "v") + COUNTIF(E18:E37, "V")) &amp; "/" &amp; ((COUNTIF(E18:E37, "✓") + COUNTIF(E18:E37, "✔") + COUNTIF(E18:E37, "v") + COUNTIF(E18:E37, "V")) + COUNTIF(E18:E37, "✗") + COUNTIF(E18:E37, "x") + COUNTIF(E18:E37, "X")), "")</f>
        <v/>
      </c>
      <c r="F38" s="33">
        <f>IF(((COUNTIF(F18:F37, "✓") + COUNTIF(F18:F37, "✔") + COUNTIF(F18:F37, "v") + COUNTIF(F18:F37, "V")) + COUNTIF(F18:F37, "✗") + COUNTIF(F18:F37, "x") + COUNTIF(F18:F37, "X")) &gt; 0, (COUNTIF(F18:F37, "✓") + COUNTIF(F18:F37, "✔") + COUNTIF(F18:F37, "v") + COUNTIF(F18:F37, "V")) &amp; "/" &amp; ((COUNTIF(F18:F37, "✓") + COUNTIF(F18:F37, "✔") + COUNTIF(F18:F37, "v") + COUNTIF(F18:F37, "V")) + COUNTIF(F18:F37, "✗") + COUNTIF(F18:F37, "x") + COUNTIF(F18:F37, "X")), "")</f>
        <v/>
      </c>
      <c r="G38" s="33">
        <f>IF(((COUNTIF(G18:G37, "✓") + COUNTIF(G18:G37, "✔") + COUNTIF(G18:G37, "v") + COUNTIF(G18:G37, "V")) + COUNTIF(G18:G37, "✗") + COUNTIF(G18:G37, "x") + COUNTIF(G18:G37, "X")) &gt; 0, (COUNTIF(G18:G37, "✓") + COUNTIF(G18:G37, "✔") + COUNTIF(G18:G37, "v") + COUNTIF(G18:G37, "V")) &amp; "/" &amp; ((COUNTIF(G18:G37, "✓") + COUNTIF(G18:G37, "✔") + COUNTIF(G18:G37, "v") + COUNTIF(G18:G37, "V")) + COUNTIF(G18:G37, "✗") + COUNTIF(G18:G37, "x") + COUNTIF(G18:G37, "X")), "")</f>
        <v/>
      </c>
      <c r="H38" s="33">
        <f>IF(((COUNTIF(H18:H37, "✓") + COUNTIF(H18:H37, "✔") + COUNTIF(H18:H37, "v") + COUNTIF(H18:H37, "V")) + COUNTIF(H18:H37, "✗") + COUNTIF(H18:H37, "x") + COUNTIF(H18:H37, "X")) &gt; 0, (COUNTIF(H18:H37, "✓") + COUNTIF(H18:H37, "✔") + COUNTIF(H18:H37, "v") + COUNTIF(H18:H37, "V")) &amp; "/" &amp; ((COUNTIF(H18:H37, "✓") + COUNTIF(H18:H37, "✔") + COUNTIF(H18:H37, "v") + COUNTIF(H18:H37, "V")) + COUNTIF(H18:H37, "✗") + COUNTIF(H18:H37, "x") + COUNTIF(H18:H37, "X")), "")</f>
        <v/>
      </c>
      <c r="I38" s="33">
        <f>IF(((COUNTIF(I18:I37, "✓") + COUNTIF(I18:I37, "✔") + COUNTIF(I18:I37, "v") + COUNTIF(I18:I37, "V")) + COUNTIF(I18:I37, "✗") + COUNTIF(I18:I37, "x") + COUNTIF(I18:I37, "X")) &gt; 0, (COUNTIF(I18:I37, "✓") + COUNTIF(I18:I37, "✔") + COUNTIF(I18:I37, "v") + COUNTIF(I18:I37, "V")) &amp; "/" &amp; ((COUNTIF(I18:I37, "✓") + COUNTIF(I18:I37, "✔") + COUNTIF(I18:I37, "v") + COUNTIF(I18:I37, "V")) + COUNTIF(I18:I37, "✗") + COUNTIF(I18:I37, "x") + COUNTIF(I18:I37, "X")), "")</f>
        <v/>
      </c>
      <c r="J38" s="33">
        <f>IF(((COUNTIF(J18:J37, "✓") + COUNTIF(J18:J37, "✔") + COUNTIF(J18:J37, "v") + COUNTIF(J18:J37, "V")) + COUNTIF(J18:J37, "✗") + COUNTIF(J18:J37, "x") + COUNTIF(J18:J37, "X")) &gt; 0, (COUNTIF(J18:J37, "✓") + COUNTIF(J18:J37, "✔") + COUNTIF(J18:J37, "v") + COUNTIF(J18:J37, "V")) &amp; "/" &amp; ((COUNTIF(J18:J37, "✓") + COUNTIF(J18:J37, "✔") + COUNTIF(J18:J37, "v") + COUNTIF(J18:J37, "V")) + COUNTIF(J18:J37, "✗") + COUNTIF(J18:J37, "x") + COUNTIF(J18:J37, "X")), "")</f>
        <v/>
      </c>
      <c r="K38" s="33">
        <f>IF(((COUNTIF(K18:K37, "✓") + COUNTIF(K18:K37, "✔") + COUNTIF(K18:K37, "v") + COUNTIF(K18:K37, "V")) + COUNTIF(K18:K37, "✗") + COUNTIF(K18:K37, "x") + COUNTIF(K18:K37, "X")) &gt; 0, (COUNTIF(K18:K37, "✓") + COUNTIF(K18:K37, "✔") + COUNTIF(K18:K37, "v") + COUNTIF(K18:K37, "V")) &amp; "/" &amp; ((COUNTIF(K18:K37, "✓") + COUNTIF(K18:K37, "✔") + COUNTIF(K18:K37, "v") + COUNTIF(K18:K37, "V")) + COUNTIF(K18:K37, "✗") + COUNTIF(K18:K37, "x") + COUNTIF(K18:K37, "X")), "")</f>
        <v/>
      </c>
      <c r="L38" s="33">
        <f>IF(((COUNTIF(L18:L37, "✓") + COUNTIF(L18:L37, "✔") + COUNTIF(L18:L37, "v") + COUNTIF(L18:L37, "V")) + COUNTIF(L18:L37, "✗") + COUNTIF(L18:L37, "x") + COUNTIF(L18:L37, "X")) &gt; 0, (COUNTIF(L18:L37, "✓") + COUNTIF(L18:L37, "✔") + COUNTIF(L18:L37, "v") + COUNTIF(L18:L37, "V")) &amp; "/" &amp; ((COUNTIF(L18:L37, "✓") + COUNTIF(L18:L37, "✔") + COUNTIF(L18:L37, "v") + COUNTIF(L18:L37, "V")) + COUNTIF(L18:L37, "✗") + COUNTIF(L18:L37, "x") + COUNTIF(L18:L37, "X")), "")</f>
        <v/>
      </c>
      <c r="M38" s="33">
        <f>IF(((COUNTIF(M18:M37, "✓") + COUNTIF(M18:M37, "✔") + COUNTIF(M18:M37, "v") + COUNTIF(M18:M37, "V")) + COUNTIF(M18:M37, "✗") + COUNTIF(M18:M37, "x") + COUNTIF(M18:M37, "X")) &gt; 0, (COUNTIF(M18:M37, "✓") + COUNTIF(M18:M37, "✔") + COUNTIF(M18:M37, "v") + COUNTIF(M18:M37, "V")) &amp; "/" &amp; ((COUNTIF(M18:M37, "✓") + COUNTIF(M18:M37, "✔") + COUNTIF(M18:M37, "v") + COUNTIF(M18:M37, "V")) + COUNTIF(M18:M37, "✗") + COUNTIF(M18:M37, "x") + COUNTIF(M18:M37, "X")), "")</f>
        <v/>
      </c>
      <c r="N38" s="33">
        <f>IF(((COUNTIF(N18:N37, "✓") + COUNTIF(N18:N37, "✔") + COUNTIF(N18:N37, "v") + COUNTIF(N18:N37, "V")) + COUNTIF(N18:N37, "✗") + COUNTIF(N18:N37, "x") + COUNTIF(N18:N37, "X")) &gt; 0, (COUNTIF(N18:N37, "✓") + COUNTIF(N18:N37, "✔") + COUNTIF(N18:N37, "v") + COUNTIF(N18:N37, "V")) &amp; "/" &amp; ((COUNTIF(N18:N37, "✓") + COUNTIF(N18:N37, "✔") + COUNTIF(N18:N37, "v") + COUNTIF(N18:N37, "V")) + COUNTIF(N18:N37, "✗") + COUNTIF(N18:N37, "x") + COUNTIF(N18:N37, "X")), "")</f>
        <v/>
      </c>
      <c r="O38" s="33">
        <f>IF(((COUNTIF(O18:O37, "✓") + COUNTIF(O18:O37, "✔") + COUNTIF(O18:O37, "v") + COUNTIF(O18:O37, "V")) + COUNTIF(O18:O37, "✗") + COUNTIF(O18:O37, "x") + COUNTIF(O18:O37, "X")) &gt; 0, (COUNTIF(O18:O37, "✓") + COUNTIF(O18:O37, "✔") + COUNTIF(O18:O37, "v") + COUNTIF(O18:O37, "V")) &amp; "/" &amp; ((COUNTIF(O18:O37, "✓") + COUNTIF(O18:O37, "✔") + COUNTIF(O18:O37, "v") + COUNTIF(O18:O37, "V")) + COUNTIF(O18:O37, "✗") + COUNTIF(O18:O37, "x") + COUNTIF(O18:O37, "X")), "")</f>
        <v/>
      </c>
      <c r="P38" s="33">
        <f>IF(((COUNTIF(P18:P37, "✓") + COUNTIF(P18:P37, "✔") + COUNTIF(P18:P37, "v") + COUNTIF(P18:P37, "V")) + COUNTIF(P18:P37, "✗") + COUNTIF(P18:P37, "x") + COUNTIF(P18:P37, "X")) &gt; 0, (COUNTIF(P18:P37, "✓") + COUNTIF(P18:P37, "✔") + COUNTIF(P18:P37, "v") + COUNTIF(P18:P37, "V")) &amp; "/" &amp; ((COUNTIF(P18:P37, "✓") + COUNTIF(P18:P37, "✔") + COUNTIF(P18:P37, "v") + COUNTIF(P18:P37, "V")) + COUNTIF(P18:P37, "✗") + COUNTIF(P18:P37, "x") + COUNTIF(P18:P37, "X")), "")</f>
        <v/>
      </c>
      <c r="Q38" s="33">
        <f>IF(((COUNTIF(Q18:Q37, "✓") + COUNTIF(Q18:Q37, "✔") + COUNTIF(Q18:Q37, "v") + COUNTIF(Q18:Q37, "V")) + COUNTIF(Q18:Q37, "✗") + COUNTIF(Q18:Q37, "x") + COUNTIF(Q18:Q37, "X")) &gt; 0, (COUNTIF(Q18:Q37, "✓") + COUNTIF(Q18:Q37, "✔") + COUNTIF(Q18:Q37, "v") + COUNTIF(Q18:Q37, "V")) &amp; "/" &amp; ((COUNTIF(Q18:Q37, "✓") + COUNTIF(Q18:Q37, "✔") + COUNTIF(Q18:Q37, "v") + COUNTIF(Q18:Q37, "V")) + COUNTIF(Q18:Q37, "✗") + COUNTIF(Q18:Q37, "x") + COUNTIF(Q18:Q37, "X")), "")</f>
        <v/>
      </c>
      <c r="R38" s="33">
        <f>IF(((COUNTIF(R18:R37, "✓") + COUNTIF(R18:R37, "✔") + COUNTIF(R18:R37, "v") + COUNTIF(R18:R37, "V")) + COUNTIF(R18:R37, "✗") + COUNTIF(R18:R37, "x") + COUNTIF(R18:R37, "X")) &gt; 0, (COUNTIF(R18:R37, "✓") + COUNTIF(R18:R37, "✔") + COUNTIF(R18:R37, "v") + COUNTIF(R18:R37, "V")) &amp; "/" &amp; ((COUNTIF(R18:R37, "✓") + COUNTIF(R18:R37, "✔") + COUNTIF(R18:R37, "v") + COUNTIF(R18:R37, "V")) + COUNTIF(R18:R37, "✗") + COUNTIF(R18:R37, "x") + COUNTIF(R18:R37, "X")), "")</f>
        <v/>
      </c>
      <c r="S38" s="33">
        <f>IF(((COUNTIF(S18:S37, "✓") + COUNTIF(S18:S37, "✔") + COUNTIF(S18:S37, "v") + COUNTIF(S18:S37, "V")) + COUNTIF(S18:S37, "✗") + COUNTIF(S18:S37, "x") + COUNTIF(S18:S37, "X")) &gt; 0, (COUNTIF(S18:S37, "✓") + COUNTIF(S18:S37, "✔") + COUNTIF(S18:S37, "v") + COUNTIF(S18:S37, "V")) &amp; "/" &amp; ((COUNTIF(S18:S37, "✓") + COUNTIF(S18:S37, "✔") + COUNTIF(S18:S37, "v") + COUNTIF(S18:S37, "V")) + COUNTIF(S18:S37, "✗") + COUNTIF(S18:S37, "x") + COUNTIF(S18:S37, "X")), "")</f>
        <v/>
      </c>
      <c r="T38" s="33">
        <f>IF(((COUNTIF(T18:T37, "✓") + COUNTIF(T18:T37, "✔") + COUNTIF(T18:T37, "v") + COUNTIF(T18:T37, "V")) + COUNTIF(T18:T37, "✗") + COUNTIF(T18:T37, "x") + COUNTIF(T18:T37, "X")) &gt; 0, (COUNTIF(T18:T37, "✓") + COUNTIF(T18:T37, "✔") + COUNTIF(T18:T37, "v") + COUNTIF(T18:T37, "V")) &amp; "/" &amp; ((COUNTIF(T18:T37, "✓") + COUNTIF(T18:T37, "✔") + COUNTIF(T18:T37, "v") + COUNTIF(T18:T37, "V")) + COUNTIF(T18:T37, "✗") + COUNTIF(T18:T37, "x") + COUNTIF(T18:T37, "X")), "")</f>
        <v/>
      </c>
      <c r="U38" s="33">
        <f>IF(((COUNTIF(U18:U37, "✓") + COUNTIF(U18:U37, "✔") + COUNTIF(U18:U37, "v") + COUNTIF(U18:U37, "V")) + COUNTIF(U18:U37, "✗") + COUNTIF(U18:U37, "x") + COUNTIF(U18:U37, "X")) &gt; 0, (COUNTIF(U18:U37, "✓") + COUNTIF(U18:U37, "✔") + COUNTIF(U18:U37, "v") + COUNTIF(U18:U37, "V")) &amp; "/" &amp; ((COUNTIF(U18:U37, "✓") + COUNTIF(U18:U37, "✔") + COUNTIF(U18:U37, "v") + COUNTIF(U18:U37, "V")) + COUNTIF(U18:U37, "✗") + COUNTIF(U18:U37, "x") + COUNTIF(U18:U37, "X")), "")</f>
        <v/>
      </c>
      <c r="V38" s="33">
        <f>IF(((COUNTIF(V18:V37, "✓") + COUNTIF(V18:V37, "✔") + COUNTIF(V18:V37, "v") + COUNTIF(V18:V37, "V")) + COUNTIF(V18:V37, "✗") + COUNTIF(V18:V37, "x") + COUNTIF(V18:V37, "X")) &gt; 0, (COUNTIF(V18:V37, "✓") + COUNTIF(V18:V37, "✔") + COUNTIF(V18:V37, "v") + COUNTIF(V18:V37, "V")) &amp; "/" &amp; ((COUNTIF(V18:V37, "✓") + COUNTIF(V18:V37, "✔") + COUNTIF(V18:V37, "v") + COUNTIF(V18:V37, "V")) + COUNTIF(V18:V37, "✗") + COUNTIF(V18:V37, "x") + COUNTIF(V18:V37, "X")), "")</f>
        <v/>
      </c>
      <c r="W38" s="33">
        <f>IF(((COUNTIF(W18:W37, "✓") + COUNTIF(W18:W37, "✔") + COUNTIF(W18:W37, "v") + COUNTIF(W18:W37, "V")) + COUNTIF(W18:W37, "✗") + COUNTIF(W18:W37, "x") + COUNTIF(W18:W37, "X")) &gt; 0, (COUNTIF(W18:W37, "✓") + COUNTIF(W18:W37, "✔") + COUNTIF(W18:W37, "v") + COUNTIF(W18:W37, "V")) &amp; "/" &amp; ((COUNTIF(W18:W37, "✓") + COUNTIF(W18:W37, "✔") + COUNTIF(W18:W37, "v") + COUNTIF(W18:W37, "V")) + COUNTIF(W18:W37, "✗") + COUNTIF(W18:W37, "x") + COUNTIF(W18:W37, "X")), "")</f>
        <v/>
      </c>
      <c r="X38" s="33">
        <f>IF(((COUNTIF(X18:X37, "✓") + COUNTIF(X18:X37, "✔") + COUNTIF(X18:X37, "v") + COUNTIF(X18:X37, "V")) + COUNTIF(X18:X37, "✗") + COUNTIF(X18:X37, "x") + COUNTIF(X18:X37, "X")) &gt; 0, (COUNTIF(X18:X37, "✓") + COUNTIF(X18:X37, "✔") + COUNTIF(X18:X37, "v") + COUNTIF(X18:X37, "V")) &amp; "/" &amp; ((COUNTIF(X18:X37, "✓") + COUNTIF(X18:X37, "✔") + COUNTIF(X18:X37, "v") + COUNTIF(X18:X37, "V")) + COUNTIF(X18:X37, "✗") + COUNTIF(X18:X37, "x") + COUNTIF(X18:X37, "X")), "")</f>
        <v/>
      </c>
      <c r="Y38" s="33">
        <f>IF(((COUNTIF(Y18:Y37, "✓") + COUNTIF(Y18:Y37, "✔") + COUNTIF(Y18:Y37, "v") + COUNTIF(Y18:Y37, "V")) + COUNTIF(Y18:Y37, "✗") + COUNTIF(Y18:Y37, "x") + COUNTIF(Y18:Y37, "X")) &gt; 0, (COUNTIF(Y18:Y37, "✓") + COUNTIF(Y18:Y37, "✔") + COUNTIF(Y18:Y37, "v") + COUNTIF(Y18:Y37, "V")) &amp; "/" &amp; ((COUNTIF(Y18:Y37, "✓") + COUNTIF(Y18:Y37, "✔") + COUNTIF(Y18:Y37, "v") + COUNTIF(Y18:Y37, "V")) + COUNTIF(Y18:Y37, "✗") + COUNTIF(Y18:Y37, "x") + COUNTIF(Y18:Y37, "X")), "")</f>
        <v/>
      </c>
      <c r="Z38" s="33">
        <f>IF(((COUNTIF(Z18:Z37, "✓") + COUNTIF(Z18:Z37, "✔") + COUNTIF(Z18:Z37, "v") + COUNTIF(Z18:Z37, "V")) + COUNTIF(Z18:Z37, "✗") + COUNTIF(Z18:Z37, "x") + COUNTIF(Z18:Z37, "X")) &gt; 0, (COUNTIF(Z18:Z37, "✓") + COUNTIF(Z18:Z37, "✔") + COUNTIF(Z18:Z37, "v") + COUNTIF(Z18:Z37, "V")) &amp; "/" &amp; ((COUNTIF(Z18:Z37, "✓") + COUNTIF(Z18:Z37, "✔") + COUNTIF(Z18:Z37, "v") + COUNTIF(Z18:Z37, "V")) + COUNTIF(Z18:Z37, "✗") + COUNTIF(Z18:Z37, "x") + COUNTIF(Z18:Z37, "X")), "")</f>
        <v/>
      </c>
      <c r="AA38" s="33">
        <f>IF(((COUNTIF(AA18:AA37, "✓") + COUNTIF(AA18:AA37, "✔") + COUNTIF(AA18:AA37, "v") + COUNTIF(AA18:AA37, "V")) + COUNTIF(AA18:AA37, "✗") + COUNTIF(AA18:AA37, "x") + COUNTIF(AA18:AA37, "X")) &gt; 0, (COUNTIF(AA18:AA37, "✓") + COUNTIF(AA18:AA37, "✔") + COUNTIF(AA18:AA37, "v") + COUNTIF(AA18:AA37, "V")) &amp; "/" &amp; ((COUNTIF(AA18:AA37, "✓") + COUNTIF(AA18:AA37, "✔") + COUNTIF(AA18:AA37, "v") + COUNTIF(AA18:AA37, "V")) + COUNTIF(AA18:AA37, "✗") + COUNTIF(AA18:AA37, "x") + COUNTIF(AA18:AA37, "X")), "")</f>
        <v/>
      </c>
      <c r="AB38" s="33">
        <f>IF(((COUNTIF(AB18:AB37, "✓") + COUNTIF(AB18:AB37, "✔") + COUNTIF(AB18:AB37, "v") + COUNTIF(AB18:AB37, "V")) + COUNTIF(AB18:AB37, "✗") + COUNTIF(AB18:AB37, "x") + COUNTIF(AB18:AB37, "X")) &gt; 0, (COUNTIF(AB18:AB37, "✓") + COUNTIF(AB18:AB37, "✔") + COUNTIF(AB18:AB37, "v") + COUNTIF(AB18:AB37, "V")) &amp; "/" &amp; ((COUNTIF(AB18:AB37, "✓") + COUNTIF(AB18:AB37, "✔") + COUNTIF(AB18:AB37, "v") + COUNTIF(AB18:AB37, "V")) + COUNTIF(AB18:AB37, "✗") + COUNTIF(AB18:AB37, "x") + COUNTIF(AB18:AB37, "X")), "")</f>
        <v/>
      </c>
      <c r="AC38" s="33">
        <f>IF(((COUNTIF(AC18:AC37, "✓") + COUNTIF(AC18:AC37, "✔") + COUNTIF(AC18:AC37, "v") + COUNTIF(AC18:AC37, "V")) + COUNTIF(AC18:AC37, "✗") + COUNTIF(AC18:AC37, "x") + COUNTIF(AC18:AC37, "X")) &gt; 0, (COUNTIF(AC18:AC37, "✓") + COUNTIF(AC18:AC37, "✔") + COUNTIF(AC18:AC37, "v") + COUNTIF(AC18:AC37, "V")) &amp; "/" &amp; ((COUNTIF(AC18:AC37, "✓") + COUNTIF(AC18:AC37, "✔") + COUNTIF(AC18:AC37, "v") + COUNTIF(AC18:AC37, "V")) + COUNTIF(AC18:AC37, "✗") + COUNTIF(AC18:AC37, "x") + COUNTIF(AC18:AC37, "X")), "")</f>
        <v/>
      </c>
      <c r="AD38" s="33">
        <f>IF(((COUNTIF(AD18:AD37, "✓") + COUNTIF(AD18:AD37, "✔") + COUNTIF(AD18:AD37, "v") + COUNTIF(AD18:AD37, "V")) + COUNTIF(AD18:AD37, "✗") + COUNTIF(AD18:AD37, "x") + COUNTIF(AD18:AD37, "X")) &gt; 0, (COUNTIF(AD18:AD37, "✓") + COUNTIF(AD18:AD37, "✔") + COUNTIF(AD18:AD37, "v") + COUNTIF(AD18:AD37, "V")) &amp; "/" &amp; ((COUNTIF(AD18:AD37, "✓") + COUNTIF(AD18:AD37, "✔") + COUNTIF(AD18:AD37, "v") + COUNTIF(AD18:AD37, "V")) + COUNTIF(AD18:AD37, "✗") + COUNTIF(AD18:AD37, "x") + COUNTIF(AD18:AD37, "X")), "")</f>
        <v/>
      </c>
      <c r="AE38" s="33">
        <f>IF(((COUNTIF(AE18:AE37, "✓") + COUNTIF(AE18:AE37, "✔") + COUNTIF(AE18:AE37, "v") + COUNTIF(AE18:AE37, "V")) + COUNTIF(AE18:AE37, "✗") + COUNTIF(AE18:AE37, "x") + COUNTIF(AE18:AE37, "X")) &gt; 0, (COUNTIF(AE18:AE37, "✓") + COUNTIF(AE18:AE37, "✔") + COUNTIF(AE18:AE37, "v") + COUNTIF(AE18:AE37, "V")) &amp; "/" &amp; ((COUNTIF(AE18:AE37, "✓") + COUNTIF(AE18:AE37, "✔") + COUNTIF(AE18:AE37, "v") + COUNTIF(AE18:AE37, "V")) + COUNTIF(AE18:AE37, "✗") + COUNTIF(AE18:AE37, "x") + COUNTIF(AE18:AE37, "X")), "")</f>
        <v/>
      </c>
      <c r="AF38" s="33">
        <f>IF(((COUNTIF(AF18:AF37, "✓") + COUNTIF(AF18:AF37, "✔") + COUNTIF(AF18:AF37, "v") + COUNTIF(AF18:AF37, "V")) + COUNTIF(AF18:AF37, "✗") + COUNTIF(AF18:AF37, "x") + COUNTIF(AF18:AF37, "X")) &gt; 0, (COUNTIF(AF18:AF37, "✓") + COUNTIF(AF18:AF37, "✔") + COUNTIF(AF18:AF37, "v") + COUNTIF(AF18:AF37, "V")) &amp; "/" &amp; ((COUNTIF(AF18:AF37, "✓") + COUNTIF(AF18:AF37, "✔") + COUNTIF(AF18:AF37, "v") + COUNTIF(AF18:AF37, "V")) + COUNTIF(AF18:AF37, "✗") + COUNTIF(AF18:AF37, "x") + COUNTIF(AF18:AF37, "X")), "")</f>
        <v/>
      </c>
      <c r="AG38" s="33">
        <f>IF(((COUNTIF(AG18:AG37, "✓") + COUNTIF(AG18:AG37, "✔") + COUNTIF(AG18:AG37, "v") + COUNTIF(AG18:AG37, "V")) + COUNTIF(AG18:AG37, "✗") + COUNTIF(AG18:AG37, "x") + COUNTIF(AG18:AG37, "X")) &gt; 0, (COUNTIF(AG18:AG37, "✓") + COUNTIF(AG18:AG37, "✔") + COUNTIF(AG18:AG37, "v") + COUNTIF(AG18:AG37, "V")) &amp; "/" &amp; ((COUNTIF(AG18:AG37, "✓") + COUNTIF(AG18:AG37, "✔") + COUNTIF(AG18:AG37, "v") + COUNTIF(AG18:AG37, "V")) + COUNTIF(AG18:AG37, "✗") + COUNTIF(AG18:AG37, "x") + COUNTIF(AG18:AG37, "X")), "")</f>
        <v/>
      </c>
      <c r="AH38" s="33">
        <f>IF(((COUNTIF(AH18:AH37, "✓") + COUNTIF(AH18:AH37, "✔") + COUNTIF(AH18:AH37, "v") + COUNTIF(AH18:AH37, "V")) + COUNTIF(AH18:AH37, "✗") + COUNTIF(AH18:AH37, "x") + COUNTIF(AH18:AH37, "X")) &gt; 0, (COUNTIF(AH18:AH37, "✓") + COUNTIF(AH18:AH37, "✔") + COUNTIF(AH18:AH37, "v") + COUNTIF(AH18:AH37, "V")) &amp; "/" &amp; ((COUNTIF(AH18:AH37, "✓") + COUNTIF(AH18:AH37, "✔") + COUNTIF(AH18:AH37, "v") + COUNTIF(AH18:AH37, "V")) + COUNTIF(AH18:AH37, "✗") + COUNTIF(AH18:AH37, "x") + COUNTIF(AH18:AH37, "X")), "")</f>
        <v/>
      </c>
      <c r="AI38" s="33">
        <f>IF(((COUNTIF(AI18:AI37, "✓") + COUNTIF(AI18:AI37, "✔") + COUNTIF(AI18:AI37, "v") + COUNTIF(AI18:AI37, "V")) + COUNTIF(AI18:AI37, "✗") + COUNTIF(AI18:AI37, "x") + COUNTIF(AI18:AI37, "X")) &gt; 0, (COUNTIF(AI18:AI37, "✓") + COUNTIF(AI18:AI37, "✔") + COUNTIF(AI18:AI37, "v") + COUNTIF(AI18:AI37, "V")) &amp; "/" &amp; ((COUNTIF(AI18:AI37, "✓") + COUNTIF(AI18:AI37, "✔") + COUNTIF(AI18:AI37, "v") + COUNTIF(AI18:AI37, "V")) + COUNTIF(AI18:AI37, "✗") + COUNTIF(AI18:AI37, "x") + COUNTIF(AI18:AI37, "X")), "")</f>
        <v/>
      </c>
      <c r="AJ38" s="133">
        <f>IF(SUM(D18:D37) &gt; 0, SUM(AM18:AM37) / SUM(D18:D37), "")</f>
        <v/>
      </c>
      <c r="AK38" s="33">
        <f>IF(SUM(D18:D37) &gt; 0, SUM(AM18:AM37) &amp; "/" &amp; SUM(D18:D37), "")</f>
        <v/>
      </c>
      <c r="AL38" s="54" t="n"/>
    </row>
    <row r="39" ht="18" customHeight="1">
      <c r="A39" s="132" t="inlineStr">
        <is>
          <t>DAILY SUCCESS %</t>
        </is>
      </c>
      <c r="B39" s="54" t="n"/>
      <c r="C39" s="54" t="n"/>
      <c r="D39" s="54" t="n"/>
      <c r="E39" s="134">
        <f>IF(((COUNTIF(E18:E37, "✓") + COUNTIF(E18:E37, "✔") + COUNTIF(E18:E37, "v") + COUNTIF(E18:E37, "V")) + COUNTIF(E18:E37, "✗") + COUNTIF(E18:E37, "x") + COUNTIF(E18:E37, "X")) &gt; 0, (COUNTIF(E18:E37, "✓") + COUNTIF(E18:E37, "✔") + COUNTIF(E18:E37, "v") + COUNTIF(E18:E37, "V")) / ((COUNTIF(E18:E37, "✓") + COUNTIF(E18:E37, "✔") + COUNTIF(E18:E37, "v") + COUNTIF(E18:E37, "V")) + COUNTIF(E18:E37, "✗") + COUNTIF(E18:E37, "x") + COUNTIF(E18:E37, "X")), "")</f>
        <v/>
      </c>
      <c r="F39" s="134">
        <f>IF(((COUNTIF(F18:F37, "✓") + COUNTIF(F18:F37, "✔") + COUNTIF(F18:F37, "v") + COUNTIF(F18:F37, "V")) + COUNTIF(F18:F37, "✗") + COUNTIF(F18:F37, "x") + COUNTIF(F18:F37, "X")) &gt; 0, (COUNTIF(F18:F37, "✓") + COUNTIF(F18:F37, "✔") + COUNTIF(F18:F37, "v") + COUNTIF(F18:F37, "V")) / ((COUNTIF(F18:F37, "✓") + COUNTIF(F18:F37, "✔") + COUNTIF(F18:F37, "v") + COUNTIF(F18:F37, "V")) + COUNTIF(F18:F37, "✗") + COUNTIF(F18:F37, "x") + COUNTIF(F18:F37, "X")), "")</f>
        <v/>
      </c>
      <c r="G39" s="134">
        <f>IF(((COUNTIF(G18:G37, "✓") + COUNTIF(G18:G37, "✔") + COUNTIF(G18:G37, "v") + COUNTIF(G18:G37, "V")) + COUNTIF(G18:G37, "✗") + COUNTIF(G18:G37, "x") + COUNTIF(G18:G37, "X")) &gt; 0, (COUNTIF(G18:G37, "✓") + COUNTIF(G18:G37, "✔") + COUNTIF(G18:G37, "v") + COUNTIF(G18:G37, "V")) / ((COUNTIF(G18:G37, "✓") + COUNTIF(G18:G37, "✔") + COUNTIF(G18:G37, "v") + COUNTIF(G18:G37, "V")) + COUNTIF(G18:G37, "✗") + COUNTIF(G18:G37, "x") + COUNTIF(G18:G37, "X")), "")</f>
        <v/>
      </c>
      <c r="H39" s="134">
        <f>IF(((COUNTIF(H18:H37, "✓") + COUNTIF(H18:H37, "✔") + COUNTIF(H18:H37, "v") + COUNTIF(H18:H37, "V")) + COUNTIF(H18:H37, "✗") + COUNTIF(H18:H37, "x") + COUNTIF(H18:H37, "X")) &gt; 0, (COUNTIF(H18:H37, "✓") + COUNTIF(H18:H37, "✔") + COUNTIF(H18:H37, "v") + COUNTIF(H18:H37, "V")) / ((COUNTIF(H18:H37, "✓") + COUNTIF(H18:H37, "✔") + COUNTIF(H18:H37, "v") + COUNTIF(H18:H37, "V")) + COUNTIF(H18:H37, "✗") + COUNTIF(H18:H37, "x") + COUNTIF(H18:H37, "X")), "")</f>
        <v/>
      </c>
      <c r="I39" s="134">
        <f>IF(((COUNTIF(I18:I37, "✓") + COUNTIF(I18:I37, "✔") + COUNTIF(I18:I37, "v") + COUNTIF(I18:I37, "V")) + COUNTIF(I18:I37, "✗") + COUNTIF(I18:I37, "x") + COUNTIF(I18:I37, "X")) &gt; 0, (COUNTIF(I18:I37, "✓") + COUNTIF(I18:I37, "✔") + COUNTIF(I18:I37, "v") + COUNTIF(I18:I37, "V")) / ((COUNTIF(I18:I37, "✓") + COUNTIF(I18:I37, "✔") + COUNTIF(I18:I37, "v") + COUNTIF(I18:I37, "V")) + COUNTIF(I18:I37, "✗") + COUNTIF(I18:I37, "x") + COUNTIF(I18:I37, "X")), "")</f>
        <v/>
      </c>
      <c r="J39" s="134">
        <f>IF(((COUNTIF(J18:J37, "✓") + COUNTIF(J18:J37, "✔") + COUNTIF(J18:J37, "v") + COUNTIF(J18:J37, "V")) + COUNTIF(J18:J37, "✗") + COUNTIF(J18:J37, "x") + COUNTIF(J18:J37, "X")) &gt; 0, (COUNTIF(J18:J37, "✓") + COUNTIF(J18:J37, "✔") + COUNTIF(J18:J37, "v") + COUNTIF(J18:J37, "V")) / ((COUNTIF(J18:J37, "✓") + COUNTIF(J18:J37, "✔") + COUNTIF(J18:J37, "v") + COUNTIF(J18:J37, "V")) + COUNTIF(J18:J37, "✗") + COUNTIF(J18:J37, "x") + COUNTIF(J18:J37, "X")), "")</f>
        <v/>
      </c>
      <c r="K39" s="134">
        <f>IF(((COUNTIF(K18:K37, "✓") + COUNTIF(K18:K37, "✔") + COUNTIF(K18:K37, "v") + COUNTIF(K18:K37, "V")) + COUNTIF(K18:K37, "✗") + COUNTIF(K18:K37, "x") + COUNTIF(K18:K37, "X")) &gt; 0, (COUNTIF(K18:K37, "✓") + COUNTIF(K18:K37, "✔") + COUNTIF(K18:K37, "v") + COUNTIF(K18:K37, "V")) / ((COUNTIF(K18:K37, "✓") + COUNTIF(K18:K37, "✔") + COUNTIF(K18:K37, "v") + COUNTIF(K18:K37, "V")) + COUNTIF(K18:K37, "✗") + COUNTIF(K18:K37, "x") + COUNTIF(K18:K37, "X")), "")</f>
        <v/>
      </c>
      <c r="L39" s="134">
        <f>IF(((COUNTIF(L18:L37, "✓") + COUNTIF(L18:L37, "✔") + COUNTIF(L18:L37, "v") + COUNTIF(L18:L37, "V")) + COUNTIF(L18:L37, "✗") + COUNTIF(L18:L37, "x") + COUNTIF(L18:L37, "X")) &gt; 0, (COUNTIF(L18:L37, "✓") + COUNTIF(L18:L37, "✔") + COUNTIF(L18:L37, "v") + COUNTIF(L18:L37, "V")) / ((COUNTIF(L18:L37, "✓") + COUNTIF(L18:L37, "✔") + COUNTIF(L18:L37, "v") + COUNTIF(L18:L37, "V")) + COUNTIF(L18:L37, "✗") + COUNTIF(L18:L37, "x") + COUNTIF(L18:L37, "X")), "")</f>
        <v/>
      </c>
      <c r="M39" s="134">
        <f>IF(((COUNTIF(M18:M37, "✓") + COUNTIF(M18:M37, "✔") + COUNTIF(M18:M37, "v") + COUNTIF(M18:M37, "V")) + COUNTIF(M18:M37, "✗") + COUNTIF(M18:M37, "x") + COUNTIF(M18:M37, "X")) &gt; 0, (COUNTIF(M18:M37, "✓") + COUNTIF(M18:M37, "✔") + COUNTIF(M18:M37, "v") + COUNTIF(M18:M37, "V")) / ((COUNTIF(M18:M37, "✓") + COUNTIF(M18:M37, "✔") + COUNTIF(M18:M37, "v") + COUNTIF(M18:M37, "V")) + COUNTIF(M18:M37, "✗") + COUNTIF(M18:M37, "x") + COUNTIF(M18:M37, "X")), "")</f>
        <v/>
      </c>
      <c r="N39" s="134">
        <f>IF(((COUNTIF(N18:N37, "✓") + COUNTIF(N18:N37, "✔") + COUNTIF(N18:N37, "v") + COUNTIF(N18:N37, "V")) + COUNTIF(N18:N37, "✗") + COUNTIF(N18:N37, "x") + COUNTIF(N18:N37, "X")) &gt; 0, (COUNTIF(N18:N37, "✓") + COUNTIF(N18:N37, "✔") + COUNTIF(N18:N37, "v") + COUNTIF(N18:N37, "V")) / ((COUNTIF(N18:N37, "✓") + COUNTIF(N18:N37, "✔") + COUNTIF(N18:N37, "v") + COUNTIF(N18:N37, "V")) + COUNTIF(N18:N37, "✗") + COUNTIF(N18:N37, "x") + COUNTIF(N18:N37, "X")), "")</f>
        <v/>
      </c>
      <c r="O39" s="134">
        <f>IF(((COUNTIF(O18:O37, "✓") + COUNTIF(O18:O37, "✔") + COUNTIF(O18:O37, "v") + COUNTIF(O18:O37, "V")) + COUNTIF(O18:O37, "✗") + COUNTIF(O18:O37, "x") + COUNTIF(O18:O37, "X")) &gt; 0, (COUNTIF(O18:O37, "✓") + COUNTIF(O18:O37, "✔") + COUNTIF(O18:O37, "v") + COUNTIF(O18:O37, "V")) / ((COUNTIF(O18:O37, "✓") + COUNTIF(O18:O37, "✔") + COUNTIF(O18:O37, "v") + COUNTIF(O18:O37, "V")) + COUNTIF(O18:O37, "✗") + COUNTIF(O18:O37, "x") + COUNTIF(O18:O37, "X")), "")</f>
        <v/>
      </c>
      <c r="P39" s="134">
        <f>IF(((COUNTIF(P18:P37, "✓") + COUNTIF(P18:P37, "✔") + COUNTIF(P18:P37, "v") + COUNTIF(P18:P37, "V")) + COUNTIF(P18:P37, "✗") + COUNTIF(P18:P37, "x") + COUNTIF(P18:P37, "X")) &gt; 0, (COUNTIF(P18:P37, "✓") + COUNTIF(P18:P37, "✔") + COUNTIF(P18:P37, "v") + COUNTIF(P18:P37, "V")) / ((COUNTIF(P18:P37, "✓") + COUNTIF(P18:P37, "✔") + COUNTIF(P18:P37, "v") + COUNTIF(P18:P37, "V")) + COUNTIF(P18:P37, "✗") + COUNTIF(P18:P37, "x") + COUNTIF(P18:P37, "X")), "")</f>
        <v/>
      </c>
      <c r="Q39" s="134">
        <f>IF(((COUNTIF(Q18:Q37, "✓") + COUNTIF(Q18:Q37, "✔") + COUNTIF(Q18:Q37, "v") + COUNTIF(Q18:Q37, "V")) + COUNTIF(Q18:Q37, "✗") + COUNTIF(Q18:Q37, "x") + COUNTIF(Q18:Q37, "X")) &gt; 0, (COUNTIF(Q18:Q37, "✓") + COUNTIF(Q18:Q37, "✔") + COUNTIF(Q18:Q37, "v") + COUNTIF(Q18:Q37, "V")) / ((COUNTIF(Q18:Q37, "✓") + COUNTIF(Q18:Q37, "✔") + COUNTIF(Q18:Q37, "v") + COUNTIF(Q18:Q37, "V")) + COUNTIF(Q18:Q37, "✗") + COUNTIF(Q18:Q37, "x") + COUNTIF(Q18:Q37, "X")), "")</f>
        <v/>
      </c>
      <c r="R39" s="134">
        <f>IF(((COUNTIF(R18:R37, "✓") + COUNTIF(R18:R37, "✔") + COUNTIF(R18:R37, "v") + COUNTIF(R18:R37, "V")) + COUNTIF(R18:R37, "✗") + COUNTIF(R18:R37, "x") + COUNTIF(R18:R37, "X")) &gt; 0, (COUNTIF(R18:R37, "✓") + COUNTIF(R18:R37, "✔") + COUNTIF(R18:R37, "v") + COUNTIF(R18:R37, "V")) / ((COUNTIF(R18:R37, "✓") + COUNTIF(R18:R37, "✔") + COUNTIF(R18:R37, "v") + COUNTIF(R18:R37, "V")) + COUNTIF(R18:R37, "✗") + COUNTIF(R18:R37, "x") + COUNTIF(R18:R37, "X")), "")</f>
        <v/>
      </c>
      <c r="S39" s="134">
        <f>IF(((COUNTIF(S18:S37, "✓") + COUNTIF(S18:S37, "✔") + COUNTIF(S18:S37, "v") + COUNTIF(S18:S37, "V")) + COUNTIF(S18:S37, "✗") + COUNTIF(S18:S37, "x") + COUNTIF(S18:S37, "X")) &gt; 0, (COUNTIF(S18:S37, "✓") + COUNTIF(S18:S37, "✔") + COUNTIF(S18:S37, "v") + COUNTIF(S18:S37, "V")) / ((COUNTIF(S18:S37, "✓") + COUNTIF(S18:S37, "✔") + COUNTIF(S18:S37, "v") + COUNTIF(S18:S37, "V")) + COUNTIF(S18:S37, "✗") + COUNTIF(S18:S37, "x") + COUNTIF(S18:S37, "X")), "")</f>
        <v/>
      </c>
      <c r="T39" s="134">
        <f>IF(((COUNTIF(T18:T37, "✓") + COUNTIF(T18:T37, "✔") + COUNTIF(T18:T37, "v") + COUNTIF(T18:T37, "V")) + COUNTIF(T18:T37, "✗") + COUNTIF(T18:T37, "x") + COUNTIF(T18:T37, "X")) &gt; 0, (COUNTIF(T18:T37, "✓") + COUNTIF(T18:T37, "✔") + COUNTIF(T18:T37, "v") + COUNTIF(T18:T37, "V")) / ((COUNTIF(T18:T37, "✓") + COUNTIF(T18:T37, "✔") + COUNTIF(T18:T37, "v") + COUNTIF(T18:T37, "V")) + COUNTIF(T18:T37, "✗") + COUNTIF(T18:T37, "x") + COUNTIF(T18:T37, "X")), "")</f>
        <v/>
      </c>
      <c r="U39" s="134">
        <f>IF(((COUNTIF(U18:U37, "✓") + COUNTIF(U18:U37, "✔") + COUNTIF(U18:U37, "v") + COUNTIF(U18:U37, "V")) + COUNTIF(U18:U37, "✗") + COUNTIF(U18:U37, "x") + COUNTIF(U18:U37, "X")) &gt; 0, (COUNTIF(U18:U37, "✓") + COUNTIF(U18:U37, "✔") + COUNTIF(U18:U37, "v") + COUNTIF(U18:U37, "V")) / ((COUNTIF(U18:U37, "✓") + COUNTIF(U18:U37, "✔") + COUNTIF(U18:U37, "v") + COUNTIF(U18:U37, "V")) + COUNTIF(U18:U37, "✗") + COUNTIF(U18:U37, "x") + COUNTIF(U18:U37, "X")), "")</f>
        <v/>
      </c>
      <c r="V39" s="134">
        <f>IF(((COUNTIF(V18:V37, "✓") + COUNTIF(V18:V37, "✔") + COUNTIF(V18:V37, "v") + COUNTIF(V18:V37, "V")) + COUNTIF(V18:V37, "✗") + COUNTIF(V18:V37, "x") + COUNTIF(V18:V37, "X")) &gt; 0, (COUNTIF(V18:V37, "✓") + COUNTIF(V18:V37, "✔") + COUNTIF(V18:V37, "v") + COUNTIF(V18:V37, "V")) / ((COUNTIF(V18:V37, "✓") + COUNTIF(V18:V37, "✔") + COUNTIF(V18:V37, "v") + COUNTIF(V18:V37, "V")) + COUNTIF(V18:V37, "✗") + COUNTIF(V18:V37, "x") + COUNTIF(V18:V37, "X")), "")</f>
        <v/>
      </c>
      <c r="W39" s="134">
        <f>IF(((COUNTIF(W18:W37, "✓") + COUNTIF(W18:W37, "✔") + COUNTIF(W18:W37, "v") + COUNTIF(W18:W37, "V")) + COUNTIF(W18:W37, "✗") + COUNTIF(W18:W37, "x") + COUNTIF(W18:W37, "X")) &gt; 0, (COUNTIF(W18:W37, "✓") + COUNTIF(W18:W37, "✔") + COUNTIF(W18:W37, "v") + COUNTIF(W18:W37, "V")) / ((COUNTIF(W18:W37, "✓") + COUNTIF(W18:W37, "✔") + COUNTIF(W18:W37, "v") + COUNTIF(W18:W37, "V")) + COUNTIF(W18:W37, "✗") + COUNTIF(W18:W37, "x") + COUNTIF(W18:W37, "X")), "")</f>
        <v/>
      </c>
      <c r="X39" s="134">
        <f>IF(((COUNTIF(X18:X37, "✓") + COUNTIF(X18:X37, "✔") + COUNTIF(X18:X37, "v") + COUNTIF(X18:X37, "V")) + COUNTIF(X18:X37, "✗") + COUNTIF(X18:X37, "x") + COUNTIF(X18:X37, "X")) &gt; 0, (COUNTIF(X18:X37, "✓") + COUNTIF(X18:X37, "✔") + COUNTIF(X18:X37, "v") + COUNTIF(X18:X37, "V")) / ((COUNTIF(X18:X37, "✓") + COUNTIF(X18:X37, "✔") + COUNTIF(X18:X37, "v") + COUNTIF(X18:X37, "V")) + COUNTIF(X18:X37, "✗") + COUNTIF(X18:X37, "x") + COUNTIF(X18:X37, "X")), "")</f>
        <v/>
      </c>
      <c r="Y39" s="134">
        <f>IF(((COUNTIF(Y18:Y37, "✓") + COUNTIF(Y18:Y37, "✔") + COUNTIF(Y18:Y37, "v") + COUNTIF(Y18:Y37, "V")) + COUNTIF(Y18:Y37, "✗") + COUNTIF(Y18:Y37, "x") + COUNTIF(Y18:Y37, "X")) &gt; 0, (COUNTIF(Y18:Y37, "✓") + COUNTIF(Y18:Y37, "✔") + COUNTIF(Y18:Y37, "v") + COUNTIF(Y18:Y37, "V")) / ((COUNTIF(Y18:Y37, "✓") + COUNTIF(Y18:Y37, "✔") + COUNTIF(Y18:Y37, "v") + COUNTIF(Y18:Y37, "V")) + COUNTIF(Y18:Y37, "✗") + COUNTIF(Y18:Y37, "x") + COUNTIF(Y18:Y37, "X")), "")</f>
        <v/>
      </c>
      <c r="Z39" s="134">
        <f>IF(((COUNTIF(Z18:Z37, "✓") + COUNTIF(Z18:Z37, "✔") + COUNTIF(Z18:Z37, "v") + COUNTIF(Z18:Z37, "V")) + COUNTIF(Z18:Z37, "✗") + COUNTIF(Z18:Z37, "x") + COUNTIF(Z18:Z37, "X")) &gt; 0, (COUNTIF(Z18:Z37, "✓") + COUNTIF(Z18:Z37, "✔") + COUNTIF(Z18:Z37, "v") + COUNTIF(Z18:Z37, "V")) / ((COUNTIF(Z18:Z37, "✓") + COUNTIF(Z18:Z37, "✔") + COUNTIF(Z18:Z37, "v") + COUNTIF(Z18:Z37, "V")) + COUNTIF(Z18:Z37, "✗") + COUNTIF(Z18:Z37, "x") + COUNTIF(Z18:Z37, "X")), "")</f>
        <v/>
      </c>
      <c r="AA39" s="134">
        <f>IF(((COUNTIF(AA18:AA37, "✓") + COUNTIF(AA18:AA37, "✔") + COUNTIF(AA18:AA37, "v") + COUNTIF(AA18:AA37, "V")) + COUNTIF(AA18:AA37, "✗") + COUNTIF(AA18:AA37, "x") + COUNTIF(AA18:AA37, "X")) &gt; 0, (COUNTIF(AA18:AA37, "✓") + COUNTIF(AA18:AA37, "✔") + COUNTIF(AA18:AA37, "v") + COUNTIF(AA18:AA37, "V")) / ((COUNTIF(AA18:AA37, "✓") + COUNTIF(AA18:AA37, "✔") + COUNTIF(AA18:AA37, "v") + COUNTIF(AA18:AA37, "V")) + COUNTIF(AA18:AA37, "✗") + COUNTIF(AA18:AA37, "x") + COUNTIF(AA18:AA37, "X")), "")</f>
        <v/>
      </c>
      <c r="AB39" s="134">
        <f>IF(((COUNTIF(AB18:AB37, "✓") + COUNTIF(AB18:AB37, "✔") + COUNTIF(AB18:AB37, "v") + COUNTIF(AB18:AB37, "V")) + COUNTIF(AB18:AB37, "✗") + COUNTIF(AB18:AB37, "x") + COUNTIF(AB18:AB37, "X")) &gt; 0, (COUNTIF(AB18:AB37, "✓") + COUNTIF(AB18:AB37, "✔") + COUNTIF(AB18:AB37, "v") + COUNTIF(AB18:AB37, "V")) / ((COUNTIF(AB18:AB37, "✓") + COUNTIF(AB18:AB37, "✔") + COUNTIF(AB18:AB37, "v") + COUNTIF(AB18:AB37, "V")) + COUNTIF(AB18:AB37, "✗") + COUNTIF(AB18:AB37, "x") + COUNTIF(AB18:AB37, "X")), "")</f>
        <v/>
      </c>
      <c r="AC39" s="134">
        <f>IF(((COUNTIF(AC18:AC37, "✓") + COUNTIF(AC18:AC37, "✔") + COUNTIF(AC18:AC37, "v") + COUNTIF(AC18:AC37, "V")) + COUNTIF(AC18:AC37, "✗") + COUNTIF(AC18:AC37, "x") + COUNTIF(AC18:AC37, "X")) &gt; 0, (COUNTIF(AC18:AC37, "✓") + COUNTIF(AC18:AC37, "✔") + COUNTIF(AC18:AC37, "v") + COUNTIF(AC18:AC37, "V")) / ((COUNTIF(AC18:AC37, "✓") + COUNTIF(AC18:AC37, "✔") + COUNTIF(AC18:AC37, "v") + COUNTIF(AC18:AC37, "V")) + COUNTIF(AC18:AC37, "✗") + COUNTIF(AC18:AC37, "x") + COUNTIF(AC18:AC37, "X")), "")</f>
        <v/>
      </c>
      <c r="AD39" s="134">
        <f>IF(((COUNTIF(AD18:AD37, "✓") + COUNTIF(AD18:AD37, "✔") + COUNTIF(AD18:AD37, "v") + COUNTIF(AD18:AD37, "V")) + COUNTIF(AD18:AD37, "✗") + COUNTIF(AD18:AD37, "x") + COUNTIF(AD18:AD37, "X")) &gt; 0, (COUNTIF(AD18:AD37, "✓") + COUNTIF(AD18:AD37, "✔") + COUNTIF(AD18:AD37, "v") + COUNTIF(AD18:AD37, "V")) / ((COUNTIF(AD18:AD37, "✓") + COUNTIF(AD18:AD37, "✔") + COUNTIF(AD18:AD37, "v") + COUNTIF(AD18:AD37, "V")) + COUNTIF(AD18:AD37, "✗") + COUNTIF(AD18:AD37, "x") + COUNTIF(AD18:AD37, "X")), "")</f>
        <v/>
      </c>
      <c r="AE39" s="134">
        <f>IF(((COUNTIF(AE18:AE37, "✓") + COUNTIF(AE18:AE37, "✔") + COUNTIF(AE18:AE37, "v") + COUNTIF(AE18:AE37, "V")) + COUNTIF(AE18:AE37, "✗") + COUNTIF(AE18:AE37, "x") + COUNTIF(AE18:AE37, "X")) &gt; 0, (COUNTIF(AE18:AE37, "✓") + COUNTIF(AE18:AE37, "✔") + COUNTIF(AE18:AE37, "v") + COUNTIF(AE18:AE37, "V")) / ((COUNTIF(AE18:AE37, "✓") + COUNTIF(AE18:AE37, "✔") + COUNTIF(AE18:AE37, "v") + COUNTIF(AE18:AE37, "V")) + COUNTIF(AE18:AE37, "✗") + COUNTIF(AE18:AE37, "x") + COUNTIF(AE18:AE37, "X")), "")</f>
        <v/>
      </c>
      <c r="AF39" s="134">
        <f>IF(((COUNTIF(AF18:AF37, "✓") + COUNTIF(AF18:AF37, "✔") + COUNTIF(AF18:AF37, "v") + COUNTIF(AF18:AF37, "V")) + COUNTIF(AF18:AF37, "✗") + COUNTIF(AF18:AF37, "x") + COUNTIF(AF18:AF37, "X")) &gt; 0, (COUNTIF(AF18:AF37, "✓") + COUNTIF(AF18:AF37, "✔") + COUNTIF(AF18:AF37, "v") + COUNTIF(AF18:AF37, "V")) / ((COUNTIF(AF18:AF37, "✓") + COUNTIF(AF18:AF37, "✔") + COUNTIF(AF18:AF37, "v") + COUNTIF(AF18:AF37, "V")) + COUNTIF(AF18:AF37, "✗") + COUNTIF(AF18:AF37, "x") + COUNTIF(AF18:AF37, "X")), "")</f>
        <v/>
      </c>
      <c r="AG39" s="134">
        <f>IF(((COUNTIF(AG18:AG37, "✓") + COUNTIF(AG18:AG37, "✔") + COUNTIF(AG18:AG37, "v") + COUNTIF(AG18:AG37, "V")) + COUNTIF(AG18:AG37, "✗") + COUNTIF(AG18:AG37, "x") + COUNTIF(AG18:AG37, "X")) &gt; 0, (COUNTIF(AG18:AG37, "✓") + COUNTIF(AG18:AG37, "✔") + COUNTIF(AG18:AG37, "v") + COUNTIF(AG18:AG37, "V")) / ((COUNTIF(AG18:AG37, "✓") + COUNTIF(AG18:AG37, "✔") + COUNTIF(AG18:AG37, "v") + COUNTIF(AG18:AG37, "V")) + COUNTIF(AG18:AG37, "✗") + COUNTIF(AG18:AG37, "x") + COUNTIF(AG18:AG37, "X")), "")</f>
        <v/>
      </c>
      <c r="AH39" s="134">
        <f>IF(((COUNTIF(AH18:AH37, "✓") + COUNTIF(AH18:AH37, "✔") + COUNTIF(AH18:AH37, "v") + COUNTIF(AH18:AH37, "V")) + COUNTIF(AH18:AH37, "✗") + COUNTIF(AH18:AH37, "x") + COUNTIF(AH18:AH37, "X")) &gt; 0, (COUNTIF(AH18:AH37, "✓") + COUNTIF(AH18:AH37, "✔") + COUNTIF(AH18:AH37, "v") + COUNTIF(AH18:AH37, "V")) / ((COUNTIF(AH18:AH37, "✓") + COUNTIF(AH18:AH37, "✔") + COUNTIF(AH18:AH37, "v") + COUNTIF(AH18:AH37, "V")) + COUNTIF(AH18:AH37, "✗") + COUNTIF(AH18:AH37, "x") + COUNTIF(AH18:AH37, "X")), "")</f>
        <v/>
      </c>
      <c r="AI39" s="134">
        <f>IF(((COUNTIF(AI18:AI37, "✓") + COUNTIF(AI18:AI37, "✔") + COUNTIF(AI18:AI37, "v") + COUNTIF(AI18:AI37, "V")) + COUNTIF(AI18:AI37, "✗") + COUNTIF(AI18:AI37, "x") + COUNTIF(AI18:AI37, "X")) &gt; 0, (COUNTIF(AI18:AI37, "✓") + COUNTIF(AI18:AI37, "✔") + COUNTIF(AI18:AI37, "v") + COUNTIF(AI18:AI37, "V")) / ((COUNTIF(AI18:AI37, "✓") + COUNTIF(AI18:AI37, "✔") + COUNTIF(AI18:AI37, "v") + COUNTIF(AI18:AI37, "V")) + COUNTIF(AI18:AI37, "✗") + COUNTIF(AI18:AI37, "x") + COUNTIF(AI18:AI37, "X")), "")</f>
        <v/>
      </c>
      <c r="AJ39" s="133">
        <f>IF(COUNT(E39:AI39) &gt; 0, AVERAGE(E39:AI39), "")</f>
        <v/>
      </c>
      <c r="AK39" s="54" t="n"/>
      <c r="AL39" s="54" t="n"/>
    </row>
    <row r="40" ht="6" customHeight="1"/>
    <row r="41" ht="15" customHeight="1">
      <c r="A41" s="135" t="inlineStr">
        <is>
          <t>IF SUCCESS &lt; 80%, PUNISHMENT: ________________________________________________</t>
        </is>
      </c>
    </row>
    <row r="42" ht="15" customHeight="1">
      <c r="A42" s="136" t="inlineStr">
        <is>
          <t>IF SUCCESS &gt; 90%, REWARD: __________________________________________________</t>
        </is>
      </c>
    </row>
    <row r="43" ht="10" customHeight="1"/>
    <row r="44" ht="10" customHeight="1"/>
    <row r="45" ht="15" customHeight="1">
      <c r="A45" s="51" t="inlineStr">
        <is>
          <t>Sleep Tracking</t>
        </is>
      </c>
      <c r="B45" s="52" t="n"/>
      <c r="C45" s="52" t="n"/>
      <c r="D45" s="52" t="n"/>
      <c r="E45" s="137" t="n">
        <v>1</v>
      </c>
      <c r="F45" s="137" t="n">
        <v>2</v>
      </c>
      <c r="G45" s="138" t="n">
        <v>3</v>
      </c>
      <c r="H45" s="137" t="n">
        <v>4</v>
      </c>
      <c r="I45" s="137" t="n">
        <v>5</v>
      </c>
      <c r="J45" s="137" t="n">
        <v>6</v>
      </c>
      <c r="K45" s="137" t="n">
        <v>7</v>
      </c>
      <c r="L45" s="137" t="n">
        <v>8</v>
      </c>
      <c r="M45" s="137" t="n">
        <v>9</v>
      </c>
      <c r="N45" s="138" t="n">
        <v>10</v>
      </c>
      <c r="O45" s="137" t="n">
        <v>11</v>
      </c>
      <c r="P45" s="137" t="n">
        <v>12</v>
      </c>
      <c r="Q45" s="137" t="n">
        <v>13</v>
      </c>
      <c r="R45" s="137" t="n">
        <v>14</v>
      </c>
      <c r="S45" s="137" t="n">
        <v>15</v>
      </c>
      <c r="T45" s="137" t="n">
        <v>16</v>
      </c>
      <c r="U45" s="138" t="n">
        <v>17</v>
      </c>
      <c r="V45" s="137" t="n">
        <v>18</v>
      </c>
      <c r="W45" s="137" t="n">
        <v>19</v>
      </c>
      <c r="X45" s="137" t="n">
        <v>20</v>
      </c>
      <c r="Y45" s="137" t="n">
        <v>21</v>
      </c>
      <c r="Z45" s="137" t="n">
        <v>22</v>
      </c>
      <c r="AA45" s="137" t="n">
        <v>23</v>
      </c>
      <c r="AB45" s="138" t="n">
        <v>24</v>
      </c>
      <c r="AC45" s="137" t="n">
        <v>25</v>
      </c>
      <c r="AD45" s="137" t="n">
        <v>26</v>
      </c>
      <c r="AE45" s="137" t="n">
        <v>27</v>
      </c>
      <c r="AF45" s="137" t="n">
        <v>28</v>
      </c>
      <c r="AG45" s="137" t="n">
        <v>29</v>
      </c>
      <c r="AH45" s="137" t="n">
        <v>30</v>
      </c>
      <c r="AI45" s="138" t="n">
        <v>31</v>
      </c>
    </row>
    <row r="46" ht="15" customHeight="1">
      <c r="A46" s="52" t="n"/>
      <c r="B46" s="52" t="n"/>
      <c r="C46" s="52" t="n"/>
      <c r="D46" s="52" t="n"/>
      <c r="E46" s="139" t="inlineStr">
        <is>
          <t>F</t>
        </is>
      </c>
      <c r="F46" s="139" t="inlineStr">
        <is>
          <t>Sa</t>
        </is>
      </c>
      <c r="G46" s="140" t="inlineStr">
        <is>
          <t>Su</t>
        </is>
      </c>
      <c r="H46" s="139" t="inlineStr">
        <is>
          <t>M</t>
        </is>
      </c>
      <c r="I46" s="139" t="inlineStr">
        <is>
          <t>T</t>
        </is>
      </c>
      <c r="J46" s="139" t="inlineStr">
        <is>
          <t>W</t>
        </is>
      </c>
      <c r="K46" s="139" t="inlineStr">
        <is>
          <t>Th</t>
        </is>
      </c>
      <c r="L46" s="139" t="inlineStr">
        <is>
          <t>F</t>
        </is>
      </c>
      <c r="M46" s="139" t="inlineStr">
        <is>
          <t>Sa</t>
        </is>
      </c>
      <c r="N46" s="140" t="inlineStr">
        <is>
          <t>Su</t>
        </is>
      </c>
      <c r="O46" s="139" t="inlineStr">
        <is>
          <t>M</t>
        </is>
      </c>
      <c r="P46" s="139" t="inlineStr">
        <is>
          <t>T</t>
        </is>
      </c>
      <c r="Q46" s="139" t="inlineStr">
        <is>
          <t>W</t>
        </is>
      </c>
      <c r="R46" s="139" t="inlineStr">
        <is>
          <t>Th</t>
        </is>
      </c>
      <c r="S46" s="139" t="inlineStr">
        <is>
          <t>F</t>
        </is>
      </c>
      <c r="T46" s="139" t="inlineStr">
        <is>
          <t>Sa</t>
        </is>
      </c>
      <c r="U46" s="140" t="inlineStr">
        <is>
          <t>Su</t>
        </is>
      </c>
      <c r="V46" s="139" t="inlineStr">
        <is>
          <t>M</t>
        </is>
      </c>
      <c r="W46" s="139" t="inlineStr">
        <is>
          <t>T</t>
        </is>
      </c>
      <c r="X46" s="139" t="inlineStr">
        <is>
          <t>W</t>
        </is>
      </c>
      <c r="Y46" s="139" t="inlineStr">
        <is>
          <t>Th</t>
        </is>
      </c>
      <c r="Z46" s="139" t="inlineStr">
        <is>
          <t>F</t>
        </is>
      </c>
      <c r="AA46" s="139" t="inlineStr">
        <is>
          <t>Sa</t>
        </is>
      </c>
      <c r="AB46" s="140" t="inlineStr">
        <is>
          <t>Su</t>
        </is>
      </c>
      <c r="AC46" s="139" t="inlineStr">
        <is>
          <t>M</t>
        </is>
      </c>
      <c r="AD46" s="139" t="inlineStr">
        <is>
          <t>T</t>
        </is>
      </c>
      <c r="AE46" s="139" t="inlineStr">
        <is>
          <t>W</t>
        </is>
      </c>
      <c r="AF46" s="139" t="inlineStr">
        <is>
          <t>Th</t>
        </is>
      </c>
      <c r="AG46" s="139" t="inlineStr">
        <is>
          <t>F</t>
        </is>
      </c>
      <c r="AH46" s="139" t="inlineStr">
        <is>
          <t>Sa</t>
        </is>
      </c>
      <c r="AI46" s="140" t="inlineStr">
        <is>
          <t>Su</t>
        </is>
      </c>
    </row>
    <row r="47" ht="20" customHeight="1">
      <c r="A47" s="141" t="inlineStr">
        <is>
          <t>Sleep Hours (1-24)</t>
        </is>
      </c>
      <c r="B47" s="142" t="n"/>
      <c r="C47" s="142" t="n"/>
      <c r="D47" s="142" t="n"/>
      <c r="E47" s="143" t="n"/>
      <c r="F47" s="143" t="n"/>
      <c r="G47" s="144" t="n"/>
      <c r="H47" s="143" t="n"/>
      <c r="I47" s="143" t="n"/>
      <c r="J47" s="143" t="n"/>
      <c r="K47" s="143" t="n"/>
      <c r="L47" s="143" t="n"/>
      <c r="M47" s="143" t="n"/>
      <c r="N47" s="144" t="n"/>
      <c r="O47" s="143" t="n"/>
      <c r="P47" s="143" t="n"/>
      <c r="Q47" s="143" t="n"/>
      <c r="R47" s="143" t="n"/>
      <c r="S47" s="143" t="n"/>
      <c r="T47" s="143" t="n"/>
      <c r="U47" s="144" t="n"/>
      <c r="V47" s="143" t="n"/>
      <c r="W47" s="143" t="n"/>
      <c r="X47" s="143" t="n"/>
      <c r="Y47" s="143" t="n"/>
      <c r="Z47" s="143" t="n"/>
      <c r="AA47" s="143" t="n"/>
      <c r="AB47" s="144" t="n"/>
      <c r="AC47" s="143" t="n"/>
      <c r="AD47" s="143" t="n"/>
      <c r="AE47" s="143" t="n"/>
      <c r="AF47" s="143" t="n"/>
      <c r="AG47" s="143" t="n"/>
      <c r="AH47" s="143" t="n"/>
      <c r="AI47" s="144" t="n"/>
    </row>
    <row r="48" ht="6" customHeight="1"/>
    <row r="49" ht="14" customHeight="1"/>
    <row r="50" ht="14" customHeight="1"/>
    <row r="51" ht="14" customHeight="1"/>
    <row r="52" ht="14" customHeight="1"/>
    <row r="53" ht="14" customHeight="1"/>
    <row r="54" ht="14" customHeight="1"/>
    <row r="55" ht="14" customHeight="1"/>
    <row r="56" ht="14" customHeight="1"/>
    <row r="57" ht="14" customHeight="1"/>
    <row r="58" ht="14" customHeight="1"/>
    <row r="59" ht="14" customHeight="1"/>
    <row r="60" ht="14" customHeight="1"/>
    <row r="61" ht="14" customHeight="1"/>
    <row r="62" ht="14" customHeight="1"/>
    <row r="63" ht="14" customHeight="1"/>
    <row r="64" ht="14" customHeight="1"/>
    <row r="65" ht="14" customHeight="1"/>
    <row r="66" ht="8" customHeight="1"/>
    <row r="67">
      <c r="A67" s="145" t="inlineStr">
        <is>
          <t>MONTHLY SUCCESS RATE</t>
        </is>
      </c>
      <c r="B67" s="9" t="n"/>
      <c r="C67" s="9" t="n"/>
      <c r="D67" s="9" t="n"/>
      <c r="F67" s="146" t="inlineStr">
        <is>
          <t>ACTIVE PROTOCOLS</t>
        </is>
      </c>
      <c r="G67" s="11" t="n"/>
      <c r="H67" s="11" t="n"/>
      <c r="I67" s="11" t="n"/>
      <c r="K67" s="147" t="inlineStr">
        <is>
          <t>PERFECT DAYS (100%)</t>
        </is>
      </c>
      <c r="L67" s="13" t="n"/>
      <c r="M67" s="13" t="n"/>
      <c r="N67" s="13" t="n"/>
      <c r="P67" s="148" t="inlineStr">
        <is>
          <t>AVG SLEEP DURATION</t>
        </is>
      </c>
      <c r="Q67" s="15" t="n"/>
      <c r="R67" s="15" t="n"/>
      <c r="S67" s="15" t="n"/>
    </row>
    <row r="68">
      <c r="A68" s="149">
        <f>IF(SUM(D18:D37)&gt;0, SUM(AM18:AM37)/SUM(D18:D37), 0)</f>
        <v/>
      </c>
      <c r="B68" s="9" t="n"/>
      <c r="C68" s="9" t="n"/>
      <c r="D68" s="9" t="n"/>
      <c r="F68" s="150">
        <f>COUNTA(B18:B37) &amp; " / 20"</f>
        <v/>
      </c>
      <c r="G68" s="11" t="n"/>
      <c r="H68" s="11" t="n"/>
      <c r="I68" s="11" t="n"/>
      <c r="K68" s="151">
        <f>COUNTIF(E39:AI39, 1) &amp; " Days"</f>
        <v/>
      </c>
      <c r="L68" s="13" t="n"/>
      <c r="M68" s="13" t="n"/>
      <c r="N68" s="13" t="n"/>
      <c r="P68" s="152">
        <f>IFERROR(TEXT(AVERAGE(E47:AI47), "0.0") &amp; " hrs", "-")</f>
        <v/>
      </c>
      <c r="Q68" s="15" t="n"/>
      <c r="R68" s="15" t="n"/>
      <c r="S68" s="15" t="n"/>
    </row>
    <row r="69">
      <c r="A69" s="9" t="n"/>
      <c r="B69" s="9" t="n"/>
      <c r="C69" s="9" t="n"/>
      <c r="D69" s="9" t="n"/>
      <c r="F69" s="11" t="n"/>
      <c r="G69" s="11" t="n"/>
      <c r="H69" s="11" t="n"/>
      <c r="I69" s="11" t="n"/>
      <c r="K69" s="13" t="n"/>
      <c r="L69" s="13" t="n"/>
      <c r="M69" s="13" t="n"/>
      <c r="N69" s="13" t="n"/>
      <c r="P69" s="15" t="n"/>
      <c r="Q69" s="15" t="n"/>
      <c r="R69" s="15" t="n"/>
      <c r="S69" s="15" t="n"/>
    </row>
    <row r="70">
      <c r="A70" s="9" t="n"/>
      <c r="B70" s="9" t="n"/>
      <c r="C70" s="9" t="n"/>
      <c r="D70" s="9" t="n"/>
      <c r="F70" s="11" t="n"/>
      <c r="G70" s="11" t="n"/>
      <c r="H70" s="11" t="n"/>
      <c r="I70" s="11" t="n"/>
      <c r="K70" s="13" t="n"/>
      <c r="L70" s="13" t="n"/>
      <c r="M70" s="13" t="n"/>
      <c r="N70" s="13" t="n"/>
      <c r="P70" s="15" t="n"/>
      <c r="Q70" s="15" t="n"/>
      <c r="R70" s="15" t="n"/>
      <c r="S70" s="15" t="n"/>
    </row>
    <row r="71">
      <c r="A71" s="153" t="inlineStr">
        <is>
          <t>Target Completion</t>
        </is>
      </c>
      <c r="B71" s="9" t="n"/>
      <c r="C71" s="9" t="n"/>
      <c r="D71" s="9" t="n"/>
      <c r="F71" s="154" t="inlineStr">
        <is>
          <t>Habits Tracked</t>
        </is>
      </c>
      <c r="G71" s="11" t="n"/>
      <c r="H71" s="11" t="n"/>
      <c r="I71" s="11" t="n"/>
      <c r="K71" s="155" t="inlineStr">
        <is>
          <t>All Marked Habits Completed</t>
        </is>
      </c>
      <c r="L71" s="13" t="n"/>
      <c r="M71" s="13" t="n"/>
      <c r="N71" s="13" t="n"/>
      <c r="P71" s="156" t="inlineStr">
        <is>
          <t>Nightly Rest Average</t>
        </is>
      </c>
      <c r="Q71" s="15" t="n"/>
      <c r="R71" s="15" t="n"/>
      <c r="S71" s="15" t="n"/>
    </row>
    <row r="72" ht="8" customHeight="1"/>
    <row r="73" ht="6" customHeight="1"/>
    <row r="74">
      <c r="A74" s="67" t="inlineStr">
        <is>
          <t>WEEKLY PERFORMANCE (SLUMP DETECTOR)</t>
        </is>
      </c>
      <c r="B74" s="29" t="n"/>
      <c r="C74" s="29" t="n"/>
      <c r="D74" s="29" t="n"/>
      <c r="E74" s="29" t="n"/>
      <c r="N74" s="157" t="inlineStr">
        <is>
          <t>LIFE DOMAIN / CATEGORY BREAKDOWN</t>
        </is>
      </c>
      <c r="O74" s="158" t="n"/>
      <c r="P74" s="158" t="n"/>
      <c r="Q74" s="158" t="n"/>
      <c r="R74" s="158" t="n"/>
      <c r="S74" s="158" t="n"/>
    </row>
    <row r="75" ht="15" customHeight="1">
      <c r="A75" s="53" t="inlineStr">
        <is>
          <t>Week</t>
        </is>
      </c>
      <c r="B75" s="53" t="inlineStr">
        <is>
          <t>Days Range</t>
        </is>
      </c>
      <c r="C75" s="53" t="inlineStr">
        <is>
          <t>Checks Done</t>
        </is>
      </c>
      <c r="D75" s="53" t="inlineStr">
        <is>
          <t>Evaluated</t>
        </is>
      </c>
      <c r="E75" s="53" t="inlineStr">
        <is>
          <t>Success %</t>
        </is>
      </c>
      <c r="N75" s="53" t="inlineStr">
        <is>
          <t>Domain / Category</t>
        </is>
      </c>
      <c r="O75" s="54" t="n"/>
      <c r="P75" s="53" t="inlineStr">
        <is>
          <t>Active Habits</t>
        </is>
      </c>
      <c r="Q75" s="53" t="inlineStr">
        <is>
          <t>Target Days</t>
        </is>
      </c>
      <c r="R75" s="53" t="inlineStr">
        <is>
          <t>Done Checks</t>
        </is>
      </c>
      <c r="S75" s="53" t="inlineStr">
        <is>
          <t>Success %</t>
        </is>
      </c>
    </row>
    <row r="76" ht="14" customHeight="1">
      <c r="A76" s="33" t="inlineStr">
        <is>
          <t>Week 1</t>
        </is>
      </c>
      <c r="B76" s="34" t="inlineStr">
        <is>
          <t>Days 1 - 7</t>
        </is>
      </c>
      <c r="C76" s="34">
        <f>COUNTIF(E18:K37, "✓")</f>
        <v/>
      </c>
      <c r="D76" s="34">
        <f>COUNTIF(E18:K37, "✓") + COUNTIF(E18:K37, "✗")</f>
        <v/>
      </c>
      <c r="E76" s="35">
        <f>IFERROR(C76/D76, 0)</f>
        <v/>
      </c>
      <c r="N76" s="60" t="inlineStr">
        <is>
          <t>Health &amp; Fitness</t>
        </is>
      </c>
      <c r="O76" s="54" t="n"/>
      <c r="P76" s="34">
        <f>COUNTIF($C$18:$C$37, "Health &amp; Fitness")</f>
        <v/>
      </c>
      <c r="Q76" s="34">
        <f>SUMIF($C$18:$C$37, "Health &amp; Fitness", $D$18:$D$37)</f>
        <v/>
      </c>
      <c r="R76" s="34">
        <f>SUMIF($C$18:$C$37, "Health &amp; Fitness", $AM$18:$AM$37)</f>
        <v/>
      </c>
      <c r="S76" s="35">
        <f>IFERROR(R76/Q76, 0)</f>
        <v/>
      </c>
    </row>
    <row r="77" ht="14" customHeight="1">
      <c r="A77" s="33" t="inlineStr">
        <is>
          <t>Week 2</t>
        </is>
      </c>
      <c r="B77" s="34" t="inlineStr">
        <is>
          <t>Days 8 - 14</t>
        </is>
      </c>
      <c r="C77" s="34">
        <f>COUNTIF(L18:R37, "✓")</f>
        <v/>
      </c>
      <c r="D77" s="34">
        <f>COUNTIF(L18:R37, "✓") + COUNTIF(L18:R37, "✗")</f>
        <v/>
      </c>
      <c r="E77" s="35">
        <f>IFERROR(C77/D77, 0)</f>
        <v/>
      </c>
      <c r="N77" s="60" t="inlineStr">
        <is>
          <t>Mindset &amp; Learning</t>
        </is>
      </c>
      <c r="O77" s="54" t="n"/>
      <c r="P77" s="34">
        <f>COUNTIF($C$18:$C$37, "Mindset &amp; Learning")</f>
        <v/>
      </c>
      <c r="Q77" s="34">
        <f>SUMIF($C$18:$C$37, "Mindset &amp; Learning", $D$18:$D$37)</f>
        <v/>
      </c>
      <c r="R77" s="34">
        <f>SUMIF($C$18:$C$37, "Mindset &amp; Learning", $AM$18:$AM$37)</f>
        <v/>
      </c>
      <c r="S77" s="35">
        <f>IFERROR(R77/Q77, 0)</f>
        <v/>
      </c>
    </row>
    <row r="78" ht="14" customHeight="1">
      <c r="A78" s="33" t="inlineStr">
        <is>
          <t>Week 3</t>
        </is>
      </c>
      <c r="B78" s="34" t="inlineStr">
        <is>
          <t>Days 15 - 21</t>
        </is>
      </c>
      <c r="C78" s="34">
        <f>COUNTIF(S18:Y37, "✓")</f>
        <v/>
      </c>
      <c r="D78" s="34">
        <f>COUNTIF(S18:Y37, "✓") + COUNTIF(S18:Y37, "✗")</f>
        <v/>
      </c>
      <c r="E78" s="35">
        <f>IFERROR(C78/D78, 0)</f>
        <v/>
      </c>
      <c r="N78" s="60" t="inlineStr">
        <is>
          <t>Career &amp; Focus</t>
        </is>
      </c>
      <c r="O78" s="54" t="n"/>
      <c r="P78" s="34">
        <f>COUNTIF($C$18:$C$37, "Career &amp; Focus")</f>
        <v/>
      </c>
      <c r="Q78" s="34">
        <f>SUMIF($C$18:$C$37, "Career &amp; Focus", $D$18:$D$37)</f>
        <v/>
      </c>
      <c r="R78" s="34">
        <f>SUMIF($C$18:$C$37, "Career &amp; Focus", $AM$18:$AM$37)</f>
        <v/>
      </c>
      <c r="S78" s="35">
        <f>IFERROR(R78/Q78, 0)</f>
        <v/>
      </c>
    </row>
    <row r="79" ht="14" customHeight="1">
      <c r="A79" s="33" t="inlineStr">
        <is>
          <t>Week 4</t>
        </is>
      </c>
      <c r="B79" s="34" t="inlineStr">
        <is>
          <t>Days 22 - 28</t>
        </is>
      </c>
      <c r="C79" s="34">
        <f>COUNTIF(Z18:AF37, "✓")</f>
        <v/>
      </c>
      <c r="D79" s="34">
        <f>COUNTIF(Z18:AF37, "✓") + COUNTIF(Z18:AF37, "✗")</f>
        <v/>
      </c>
      <c r="E79" s="35">
        <f>IFERROR(C79/D79, 0)</f>
        <v/>
      </c>
      <c r="N79" s="60" t="inlineStr">
        <is>
          <t>Personal &amp; Home</t>
        </is>
      </c>
      <c r="O79" s="54" t="n"/>
      <c r="P79" s="34">
        <f>COUNTIF($C$18:$C$37, "Personal &amp; Home")</f>
        <v/>
      </c>
      <c r="Q79" s="34">
        <f>SUMIF($C$18:$C$37, "Personal &amp; Home", $D$18:$D$37)</f>
        <v/>
      </c>
      <c r="R79" s="34">
        <f>SUMIF($C$18:$C$37, "Personal &amp; Home", $AM$18:$AM$37)</f>
        <v/>
      </c>
      <c r="S79" s="35">
        <f>IFERROR(R79/Q79, 0)</f>
        <v/>
      </c>
    </row>
    <row r="80" ht="14" customHeight="1">
      <c r="A80" s="33" t="inlineStr">
        <is>
          <t>Week 5</t>
        </is>
      </c>
      <c r="B80" s="34" t="inlineStr">
        <is>
          <t>Days 29 - 31</t>
        </is>
      </c>
      <c r="C80" s="34">
        <f>COUNTIF(AG18:AI37, "✓")</f>
        <v/>
      </c>
      <c r="D80" s="34">
        <f>COUNTIF(AG18:AI37, "✓") + COUNTIF(AG18:AI37, "✗")</f>
        <v/>
      </c>
      <c r="E80" s="35">
        <f>IFERROR(C80/D80, 0)</f>
        <v/>
      </c>
      <c r="N80" s="60" t="inlineStr">
        <is>
          <t>Finance &amp; Wealth</t>
        </is>
      </c>
      <c r="O80" s="54" t="n"/>
      <c r="P80" s="34">
        <f>COUNTIF($C$18:$C$37, "Finance &amp; Wealth")</f>
        <v/>
      </c>
      <c r="Q80" s="34">
        <f>SUMIF($C$18:$C$37, "Finance &amp; Wealth", $D$18:$D$37)</f>
        <v/>
      </c>
      <c r="R80" s="34">
        <f>SUMIF($C$18:$C$37, "Finance &amp; Wealth", $AM$18:$AM$37)</f>
        <v/>
      </c>
      <c r="S80" s="35">
        <f>IFERROR(R80/Q80, 0)</f>
        <v/>
      </c>
    </row>
    <row r="81" ht="14" customHeight="1">
      <c r="A81" s="33" t="inlineStr">
        <is>
          <t>Total / Avg</t>
        </is>
      </c>
      <c r="B81" s="159" t="inlineStr">
        <is>
          <t>Month Total</t>
        </is>
      </c>
      <c r="C81" s="33">
        <f>SUM(C76:C80)</f>
        <v/>
      </c>
      <c r="D81" s="33">
        <f>SUM(D76:D80)</f>
        <v/>
      </c>
      <c r="E81" s="133">
        <f>IFERROR(C81/D81, 0)</f>
        <v/>
      </c>
    </row>
    <row r="82" ht="10" customHeight="1"/>
    <row r="83" ht="10" customHeight="1"/>
    <row r="84">
      <c r="A84" s="51" t="inlineStr">
        <is>
          <t>SLEEP &amp; PRODUCTIVITY CORRELATION ANALYSIS</t>
        </is>
      </c>
      <c r="B84" s="52" t="n"/>
      <c r="C84" s="52" t="n"/>
      <c r="D84" s="52" t="n"/>
      <c r="E84" s="52" t="n"/>
      <c r="F84" s="52" t="n"/>
      <c r="G84" s="52" t="n"/>
      <c r="H84" s="52" t="n"/>
      <c r="I84" s="52" t="n"/>
      <c r="J84" s="52" t="n"/>
      <c r="K84" s="52" t="n"/>
      <c r="L84" s="52" t="n"/>
      <c r="M84" s="52" t="n"/>
      <c r="N84" s="52" t="n"/>
      <c r="O84" s="52" t="n"/>
      <c r="P84" s="52" t="n"/>
      <c r="Q84" s="52" t="n"/>
      <c r="R84" s="52" t="n"/>
      <c r="S84" s="52" t="n"/>
      <c r="T84" s="52" t="n"/>
      <c r="U84" s="52" t="n"/>
      <c r="V84" s="52" t="n"/>
      <c r="W84" s="52" t="n"/>
      <c r="X84" s="52" t="n"/>
      <c r="Y84" s="52" t="n"/>
      <c r="Z84" s="52" t="n"/>
      <c r="AA84" s="52" t="n"/>
      <c r="AB84" s="52" t="n"/>
      <c r="AC84" s="52" t="n"/>
      <c r="AD84" s="52" t="n"/>
      <c r="AE84" s="52" t="n"/>
      <c r="AF84" s="52" t="n"/>
      <c r="AG84" s="52" t="n"/>
      <c r="AH84" s="52" t="n"/>
      <c r="AI84" s="52" t="n"/>
      <c r="AJ84" s="52" t="n"/>
      <c r="AK84" s="52" t="n"/>
      <c r="AL84" s="52" t="n"/>
    </row>
    <row r="85" ht="15" customHeight="1">
      <c r="A85" s="53" t="inlineStr">
        <is>
          <t>Rest Category</t>
        </is>
      </c>
      <c r="B85" s="54" t="n"/>
      <c r="C85" s="54" t="n"/>
      <c r="D85" s="53" t="inlineStr">
        <is>
          <t>Day Criteria</t>
        </is>
      </c>
      <c r="E85" s="54" t="n"/>
      <c r="F85" s="54" t="n"/>
      <c r="G85" s="53" t="inlineStr">
        <is>
          <t>Days Logged</t>
        </is>
      </c>
      <c r="H85" s="54" t="n"/>
      <c r="I85" s="54" t="n"/>
      <c r="J85" s="53" t="inlineStr">
        <is>
          <t>Avg Sleep Duration</t>
        </is>
      </c>
      <c r="K85" s="54" t="n"/>
      <c r="L85" s="54" t="n"/>
      <c r="M85" s="54" t="n"/>
      <c r="N85" s="53" t="inlineStr">
        <is>
          <t>Avg Habit Success %</t>
        </is>
      </c>
      <c r="O85" s="54" t="n"/>
      <c r="P85" s="54" t="n"/>
      <c r="Q85" s="54" t="n"/>
      <c r="R85" s="53" t="inlineStr">
        <is>
          <t>Productivity Delta</t>
        </is>
      </c>
      <c r="S85" s="54" t="n"/>
      <c r="T85" s="54" t="n"/>
      <c r="U85" s="54" t="n"/>
    </row>
    <row r="86" ht="15" customHeight="1">
      <c r="A86" s="160" t="inlineStr">
        <is>
          <t>Optimal Rest</t>
        </is>
      </c>
      <c r="B86" s="161" t="n"/>
      <c r="C86" s="56" t="n"/>
      <c r="D86" s="34" t="inlineStr">
        <is>
          <t>&gt;= 7 Hours / Night</t>
        </is>
      </c>
      <c r="E86" s="161" t="n"/>
      <c r="F86" s="56" t="n"/>
      <c r="G86" s="33">
        <f>COUNTIF(E47:AI47, "&gt;=7")</f>
        <v/>
      </c>
      <c r="H86" s="161" t="n"/>
      <c r="I86" s="56" t="n"/>
      <c r="J86" s="34">
        <f>IFERROR(TEXT(AVERAGEIF(E47:AI47, "&gt;=7"), "0.0") &amp; " hrs", "-")</f>
        <v/>
      </c>
      <c r="K86" s="161" t="n"/>
      <c r="L86" s="161" t="n"/>
      <c r="M86" s="56" t="n"/>
      <c r="N86" s="42">
        <f>IFERROR(AVERAGEIFS(E39:AI39, E47:AI47, "&gt;=7", E39:AI39, "&gt;0"), 0)</f>
        <v/>
      </c>
      <c r="O86" s="161" t="n"/>
      <c r="P86" s="161" t="n"/>
      <c r="Q86" s="56" t="n"/>
      <c r="R86" s="159" t="inlineStr">
        <is>
          <t>Baseline (Target)</t>
        </is>
      </c>
      <c r="S86" s="161" t="n"/>
      <c r="T86" s="161" t="n"/>
      <c r="U86" s="56" t="n"/>
    </row>
    <row r="87" ht="15" customHeight="1">
      <c r="A87" s="162" t="inlineStr">
        <is>
          <t>Sleep Deficit</t>
        </is>
      </c>
      <c r="B87" s="161" t="n"/>
      <c r="C87" s="56" t="n"/>
      <c r="D87" s="34" t="inlineStr">
        <is>
          <t>&lt; 7 Hours / Night</t>
        </is>
      </c>
      <c r="E87" s="161" t="n"/>
      <c r="F87" s="56" t="n"/>
      <c r="G87" s="33">
        <f>COUNTIF(E47:AI47, "&lt;7") - COUNTIF(E47:AI47, "")</f>
        <v/>
      </c>
      <c r="H87" s="161" t="n"/>
      <c r="I87" s="56" t="n"/>
      <c r="J87" s="34">
        <f>IFERROR(TEXT(AVERAGEIFS(E47:AI47, E47:AI47, "&lt;7", E47:AI47, "&gt;0"), "0.0") &amp; " hrs", "-")</f>
        <v/>
      </c>
      <c r="K87" s="161" t="n"/>
      <c r="L87" s="161" t="n"/>
      <c r="M87" s="56" t="n"/>
      <c r="N87" s="163">
        <f>IFERROR(AVERAGEIFS(E39:AI39, E47:AI47, "&lt;7", E39:AI39, "&gt;0"), 0)</f>
        <v/>
      </c>
      <c r="O87" s="161" t="n"/>
      <c r="P87" s="161" t="n"/>
      <c r="Q87" s="56" t="n"/>
      <c r="R87" s="160">
        <f>IFERROR(TEXT(N86 - N87, "+0.0%;-0.0%;0.0%") &amp; " Rest Advantage", "-")</f>
        <v/>
      </c>
      <c r="S87" s="161" t="n"/>
      <c r="T87" s="161" t="n"/>
      <c r="U87" s="56" t="n"/>
    </row>
    <row r="88" ht="18" customHeight="1">
      <c r="A88" s="164">
        <f>IF(AND(ISNUMBER(N86), ISNUMBER(N87), N86&gt;0, N87&gt;0), "💡 Sleep Correlation Insight: You complete " &amp; TEXT(ABS(N86-N87), "0.0%") &amp; IF(N86&gt;=N87, " MORE habits on days with 7+ hours of sleep!", " fewer habits on days with 7+ hours of sleep."), "💡 Log both habits and sleep hours daily to unlock automatic AI correlation insights!")</f>
        <v/>
      </c>
      <c r="B88" s="161" t="n"/>
      <c r="C88" s="161" t="n"/>
      <c r="D88" s="161" t="n"/>
      <c r="E88" s="161" t="n"/>
      <c r="F88" s="161" t="n"/>
      <c r="G88" s="161" t="n"/>
      <c r="H88" s="161" t="n"/>
      <c r="I88" s="161" t="n"/>
      <c r="J88" s="161" t="n"/>
      <c r="K88" s="161" t="n"/>
      <c r="L88" s="161" t="n"/>
      <c r="M88" s="161" t="n"/>
      <c r="N88" s="161" t="n"/>
      <c r="O88" s="161" t="n"/>
      <c r="P88" s="161" t="n"/>
      <c r="Q88" s="161" t="n"/>
      <c r="R88" s="161" t="n"/>
      <c r="S88" s="161" t="n"/>
      <c r="T88" s="161" t="n"/>
      <c r="U88" s="161" t="n"/>
      <c r="V88" s="161" t="n"/>
      <c r="W88" s="161" t="n"/>
      <c r="X88" s="161" t="n"/>
      <c r="Y88" s="161" t="n"/>
      <c r="Z88" s="161" t="n"/>
      <c r="AA88" s="161" t="n"/>
      <c r="AB88" s="161" t="n"/>
      <c r="AC88" s="161" t="n"/>
      <c r="AD88" s="161" t="n"/>
      <c r="AE88" s="161" t="n"/>
      <c r="AF88" s="161" t="n"/>
      <c r="AG88" s="161" t="n"/>
      <c r="AH88" s="161" t="n"/>
      <c r="AI88" s="161" t="n"/>
      <c r="AJ88" s="161" t="n"/>
      <c r="AK88" s="161" t="n"/>
      <c r="AL88" s="56" t="n"/>
    </row>
    <row r="89" ht="10" customHeight="1"/>
    <row r="90">
      <c r="A90" s="43" t="inlineStr">
        <is>
          <t>STANDARDIZED DATA BRIDGE (FOR ANNUAL &amp; QUARTERLY REVIEW SHEETS)</t>
        </is>
      </c>
      <c r="B90" s="44" t="n"/>
      <c r="C90" s="44" t="n"/>
      <c r="D90" s="44" t="n"/>
      <c r="E90" s="44" t="n"/>
      <c r="F90" s="44" t="n"/>
      <c r="G90" s="44" t="n"/>
      <c r="H90" s="44" t="n"/>
      <c r="I90" s="44" t="n"/>
      <c r="J90" s="44" t="n"/>
      <c r="K90" s="44" t="n"/>
      <c r="L90" s="44" t="n"/>
      <c r="M90" s="44" t="n"/>
      <c r="N90" s="44" t="n"/>
      <c r="O90" s="44" t="n"/>
      <c r="P90" s="44" t="n"/>
      <c r="Q90" s="44" t="n"/>
      <c r="R90" s="44" t="n"/>
      <c r="S90" s="44" t="n"/>
      <c r="T90" s="44" t="n"/>
      <c r="U90" s="44" t="n"/>
      <c r="V90" s="44" t="n"/>
      <c r="W90" s="44" t="n"/>
      <c r="X90" s="44" t="n"/>
      <c r="Y90" s="44" t="n"/>
      <c r="Z90" s="44" t="n"/>
      <c r="AA90" s="44" t="n"/>
      <c r="AB90" s="44" t="n"/>
      <c r="AC90" s="44" t="n"/>
      <c r="AD90" s="44" t="n"/>
      <c r="AE90" s="44" t="n"/>
      <c r="AF90" s="44" t="n"/>
      <c r="AG90" s="44" t="n"/>
      <c r="AH90" s="44" t="n"/>
      <c r="AI90" s="44" t="n"/>
      <c r="AJ90" s="44" t="n"/>
      <c r="AK90" s="44" t="n"/>
      <c r="AL90" s="44" t="n"/>
    </row>
    <row r="91" ht="15" customHeight="1">
      <c r="A91" s="53" t="inlineStr">
        <is>
          <t>Month</t>
        </is>
      </c>
      <c r="B91" s="54" t="n"/>
      <c r="C91" s="53" t="inlineStr">
        <is>
          <t>Year</t>
        </is>
      </c>
      <c r="D91" s="54" t="n"/>
      <c r="E91" s="53" t="inlineStr">
        <is>
          <t>Active Habits</t>
        </is>
      </c>
      <c r="F91" s="54" t="n"/>
      <c r="G91" s="53" t="inlineStr">
        <is>
          <t>Target Days</t>
        </is>
      </c>
      <c r="H91" s="54" t="n"/>
      <c r="I91" s="53" t="inlineStr">
        <is>
          <t>Done Checks</t>
        </is>
      </c>
      <c r="J91" s="54" t="n"/>
      <c r="K91" s="53" t="inlineStr">
        <is>
          <t>Success %</t>
        </is>
      </c>
      <c r="L91" s="54" t="n"/>
      <c r="M91" s="53" t="inlineStr">
        <is>
          <t>Perfect Days</t>
        </is>
      </c>
      <c r="N91" s="54" t="n"/>
      <c r="O91" s="53" t="inlineStr">
        <is>
          <t>Avg Sleep</t>
        </is>
      </c>
      <c r="P91" s="54" t="n"/>
      <c r="Q91" s="53" t="inlineStr">
        <is>
          <t>Best Week</t>
        </is>
      </c>
      <c r="R91" s="54" t="n"/>
      <c r="S91" s="54" t="n"/>
      <c r="T91" s="53" t="inlineStr">
        <is>
          <t>Top Life Domain</t>
        </is>
      </c>
      <c r="U91" s="54" t="n"/>
      <c r="V91" s="54" t="n"/>
      <c r="W91" s="54" t="n"/>
    </row>
    <row r="92" ht="16" customHeight="1">
      <c r="A92" s="165" t="inlineStr">
        <is>
          <t>Mar</t>
        </is>
      </c>
      <c r="B92" s="56" t="n"/>
      <c r="C92" s="165" t="n">
        <v>2030</v>
      </c>
      <c r="D92" s="56" t="n"/>
      <c r="E92" s="166">
        <f>COUNTA(B18:B37)</f>
        <v/>
      </c>
      <c r="F92" s="56" t="n"/>
      <c r="G92" s="166">
        <f>SUM(D18:D37)</f>
        <v/>
      </c>
      <c r="H92" s="56" t="n"/>
      <c r="I92" s="166">
        <f>SUM(AM18:AM37)</f>
        <v/>
      </c>
      <c r="J92" s="56" t="n"/>
      <c r="K92" s="167">
        <f>IF(G92&gt;0, I92/G92, 0)</f>
        <v/>
      </c>
      <c r="L92" s="56" t="n"/>
      <c r="M92" s="166">
        <f>COUNTIF(E39:AI39, 1)</f>
        <v/>
      </c>
      <c r="N92" s="56" t="n"/>
      <c r="O92" s="168">
        <f>IFERROR(AVERAGE(E47:AI47), 0)</f>
        <v/>
      </c>
      <c r="P92" s="56" t="n"/>
      <c r="Q92" s="166">
        <f>INDEX(A76:A80, MATCH(MAX(E76:E80), E76:E80, 0))</f>
        <v/>
      </c>
      <c r="R92" s="161" t="n"/>
      <c r="S92" s="56" t="n"/>
      <c r="T92" s="166">
        <f>INDEX(N76:N80, MATCH(MAX(S76:S80), S76:S80, 0))</f>
        <v/>
      </c>
      <c r="U92" s="161" t="n"/>
      <c r="V92" s="161" t="n"/>
      <c r="W92" s="56" t="n"/>
    </row>
    <row r="93" ht="14" customHeight="1">
      <c r="A93" s="169" t="inlineStr">
        <is>
          <t>📋 Note: Reference or copy Row 92 directly into an Annual / Quarterly review dashboard to track yearly habit trends.</t>
        </is>
      </c>
    </row>
    <row r="94" ht="8" customHeight="1"/>
    <row r="95">
      <c r="A95" s="170" t="inlineStr">
        <is>
          <t>🏆 MONTHLY WINS &amp; HIGHLIGHTS</t>
        </is>
      </c>
      <c r="J95" s="171" t="inlineStr">
        <is>
          <t>⚠️ FRICTION POINTS &amp; ROOT CAUSES</t>
        </is>
      </c>
      <c r="S95" s="172" t="inlineStr">
        <is>
          <t>🎯 3 KEY ADJUSTMENTS FOR NEXT MONTH</t>
        </is>
      </c>
    </row>
    <row r="96">
      <c r="A96" s="173" t="inlineStr">
        <is>
          <t>1. What went exceptionally well this month?
2. Which habit felt effortless and consistent?
3. Major milestone achieved:</t>
        </is>
      </c>
      <c r="B96" s="174" t="n"/>
      <c r="C96" s="174" t="n"/>
      <c r="D96" s="174" t="n"/>
      <c r="E96" s="174" t="n"/>
      <c r="F96" s="174" t="n"/>
      <c r="G96" s="174" t="n"/>
      <c r="H96" s="174" t="n"/>
      <c r="J96" s="175" t="inlineStr">
        <is>
          <t>1. What caused missed or skipped days?
2. Main triggers / energy drains encountered:
3. Which habit had the lowest consistency and why?</t>
        </is>
      </c>
      <c r="K96" s="176" t="n"/>
      <c r="L96" s="176" t="n"/>
      <c r="M96" s="176" t="n"/>
      <c r="N96" s="176" t="n"/>
      <c r="O96" s="176" t="n"/>
      <c r="P96" s="176" t="n"/>
      <c r="Q96" s="176" t="n"/>
      <c r="S96" s="177" t="inlineStr">
        <is>
          <t>1. Habit Stacking or time adjustment for next month:
2. Environment design change to eliminate friction:
3. One non-negotiable priority protocol:</t>
        </is>
      </c>
      <c r="T96" s="178" t="n"/>
      <c r="U96" s="178" t="n"/>
      <c r="V96" s="178" t="n"/>
      <c r="W96" s="178" t="n"/>
      <c r="X96" s="178" t="n"/>
      <c r="Y96" s="178" t="n"/>
      <c r="Z96" s="178" t="n"/>
    </row>
    <row r="97">
      <c r="A97" s="174" t="n"/>
      <c r="B97" s="174" t="n"/>
      <c r="C97" s="174" t="n"/>
      <c r="D97" s="174" t="n"/>
      <c r="E97" s="174" t="n"/>
      <c r="F97" s="174" t="n"/>
      <c r="G97" s="174" t="n"/>
      <c r="H97" s="174" t="n"/>
      <c r="J97" s="176" t="n"/>
      <c r="K97" s="176" t="n"/>
      <c r="L97" s="176" t="n"/>
      <c r="M97" s="176" t="n"/>
      <c r="N97" s="176" t="n"/>
      <c r="O97" s="176" t="n"/>
      <c r="P97" s="176" t="n"/>
      <c r="Q97" s="176" t="n"/>
      <c r="S97" s="178" t="n"/>
      <c r="T97" s="178" t="n"/>
      <c r="U97" s="178" t="n"/>
      <c r="V97" s="178" t="n"/>
      <c r="W97" s="178" t="n"/>
      <c r="X97" s="178" t="n"/>
      <c r="Y97" s="178" t="n"/>
      <c r="Z97" s="178" t="n"/>
    </row>
    <row r="98">
      <c r="A98" s="174" t="n"/>
      <c r="B98" s="174" t="n"/>
      <c r="C98" s="174" t="n"/>
      <c r="D98" s="174" t="n"/>
      <c r="E98" s="174" t="n"/>
      <c r="F98" s="174" t="n"/>
      <c r="G98" s="174" t="n"/>
      <c r="H98" s="174" t="n"/>
      <c r="J98" s="176" t="n"/>
      <c r="K98" s="176" t="n"/>
      <c r="L98" s="176" t="n"/>
      <c r="M98" s="176" t="n"/>
      <c r="N98" s="176" t="n"/>
      <c r="O98" s="176" t="n"/>
      <c r="P98" s="176" t="n"/>
      <c r="Q98" s="176" t="n"/>
      <c r="S98" s="178" t="n"/>
      <c r="T98" s="178" t="n"/>
      <c r="U98" s="178" t="n"/>
      <c r="V98" s="178" t="n"/>
      <c r="W98" s="178" t="n"/>
      <c r="X98" s="178" t="n"/>
      <c r="Y98" s="178" t="n"/>
      <c r="Z98" s="178" t="n"/>
    </row>
    <row r="99">
      <c r="A99" s="174" t="n"/>
      <c r="B99" s="174" t="n"/>
      <c r="C99" s="174" t="n"/>
      <c r="D99" s="174" t="n"/>
      <c r="E99" s="174" t="n"/>
      <c r="F99" s="174" t="n"/>
      <c r="G99" s="174" t="n"/>
      <c r="H99" s="174" t="n"/>
      <c r="J99" s="176" t="n"/>
      <c r="K99" s="176" t="n"/>
      <c r="L99" s="176" t="n"/>
      <c r="M99" s="176" t="n"/>
      <c r="N99" s="176" t="n"/>
      <c r="O99" s="176" t="n"/>
      <c r="P99" s="176" t="n"/>
      <c r="Q99" s="176" t="n"/>
      <c r="S99" s="178" t="n"/>
      <c r="T99" s="178" t="n"/>
      <c r="U99" s="178" t="n"/>
      <c r="V99" s="178" t="n"/>
      <c r="W99" s="178" t="n"/>
      <c r="X99" s="178" t="n"/>
      <c r="Y99" s="178" t="n"/>
      <c r="Z99" s="178" t="n"/>
    </row>
    <row r="100">
      <c r="A100" s="174" t="n"/>
      <c r="B100" s="174" t="n"/>
      <c r="C100" s="174" t="n"/>
      <c r="D100" s="174" t="n"/>
      <c r="E100" s="174" t="n"/>
      <c r="F100" s="174" t="n"/>
      <c r="G100" s="174" t="n"/>
      <c r="H100" s="174" t="n"/>
      <c r="J100" s="176" t="n"/>
      <c r="K100" s="176" t="n"/>
      <c r="L100" s="176" t="n"/>
      <c r="M100" s="176" t="n"/>
      <c r="N100" s="176" t="n"/>
      <c r="O100" s="176" t="n"/>
      <c r="P100" s="176" t="n"/>
      <c r="Q100" s="176" t="n"/>
      <c r="S100" s="178" t="n"/>
      <c r="T100" s="178" t="n"/>
      <c r="U100" s="178" t="n"/>
      <c r="V100" s="178" t="n"/>
      <c r="W100" s="178" t="n"/>
      <c r="X100" s="178" t="n"/>
      <c r="Y100" s="178" t="n"/>
      <c r="Z100" s="178" t="n"/>
    </row>
    <row r="101">
      <c r="A101" s="174" t="n"/>
      <c r="B101" s="174" t="n"/>
      <c r="C101" s="174" t="n"/>
      <c r="D101" s="174" t="n"/>
      <c r="E101" s="174" t="n"/>
      <c r="F101" s="174" t="n"/>
      <c r="G101" s="174" t="n"/>
      <c r="H101" s="174" t="n"/>
      <c r="J101" s="176" t="n"/>
      <c r="K101" s="176" t="n"/>
      <c r="L101" s="176" t="n"/>
      <c r="M101" s="176" t="n"/>
      <c r="N101" s="176" t="n"/>
      <c r="O101" s="176" t="n"/>
      <c r="P101" s="176" t="n"/>
      <c r="Q101" s="176" t="n"/>
      <c r="S101" s="178" t="n"/>
      <c r="T101" s="178" t="n"/>
      <c r="U101" s="178" t="n"/>
      <c r="V101" s="178" t="n"/>
      <c r="W101" s="178" t="n"/>
      <c r="X101" s="178" t="n"/>
      <c r="Y101" s="178" t="n"/>
      <c r="Z101" s="178" t="n"/>
    </row>
    <row r="102">
      <c r="A102" s="174" t="n"/>
      <c r="B102" s="174" t="n"/>
      <c r="C102" s="174" t="n"/>
      <c r="D102" s="174" t="n"/>
      <c r="E102" s="174" t="n"/>
      <c r="F102" s="174" t="n"/>
      <c r="G102" s="174" t="n"/>
      <c r="H102" s="174" t="n"/>
      <c r="J102" s="176" t="n"/>
      <c r="K102" s="176" t="n"/>
      <c r="L102" s="176" t="n"/>
      <c r="M102" s="176" t="n"/>
      <c r="N102" s="176" t="n"/>
      <c r="O102" s="176" t="n"/>
      <c r="P102" s="176" t="n"/>
      <c r="Q102" s="176" t="n"/>
      <c r="S102" s="178" t="n"/>
      <c r="T102" s="178" t="n"/>
      <c r="U102" s="178" t="n"/>
      <c r="V102" s="178" t="n"/>
      <c r="W102" s="178" t="n"/>
      <c r="X102" s="178" t="n"/>
      <c r="Y102" s="178" t="n"/>
      <c r="Z102" s="178" t="n"/>
    </row>
    <row r="103">
      <c r="A103" s="174" t="n"/>
      <c r="B103" s="174" t="n"/>
      <c r="C103" s="174" t="n"/>
      <c r="D103" s="174" t="n"/>
      <c r="E103" s="174" t="n"/>
      <c r="F103" s="174" t="n"/>
      <c r="G103" s="174" t="n"/>
      <c r="H103" s="174" t="n"/>
      <c r="J103" s="176" t="n"/>
      <c r="K103" s="176" t="n"/>
      <c r="L103" s="176" t="n"/>
      <c r="M103" s="176" t="n"/>
      <c r="N103" s="176" t="n"/>
      <c r="O103" s="176" t="n"/>
      <c r="P103" s="176" t="n"/>
      <c r="Q103" s="176" t="n"/>
      <c r="S103" s="178" t="n"/>
      <c r="T103" s="178" t="n"/>
      <c r="U103" s="178" t="n"/>
      <c r="V103" s="178" t="n"/>
      <c r="W103" s="178" t="n"/>
      <c r="X103" s="178" t="n"/>
      <c r="Y103" s="178" t="n"/>
      <c r="Z103" s="178" t="n"/>
    </row>
  </sheetData>
  <sheetProtection selectLockedCells="1" selectUnlockedCells="1" sheet="1" objects="0" insertRows="1" insertHyperlinks="1" autoFilter="1" scenarios="0" formatColumns="1" deleteColumns="1" insertColumns="1" pivotTables="1" deleteRows="1" formatCells="1" formatRows="1" sort="1"/>
  <mergeCells count="94">
    <mergeCell ref="A9:N9"/>
    <mergeCell ref="N76:O76"/>
    <mergeCell ref="F67:I67"/>
    <mergeCell ref="G87:I87"/>
    <mergeCell ref="A16:A17"/>
    <mergeCell ref="A45:D46"/>
    <mergeCell ref="C16:C17"/>
    <mergeCell ref="N75:O75"/>
    <mergeCell ref="N77:O77"/>
    <mergeCell ref="AE2:AL2"/>
    <mergeCell ref="P9:AL9"/>
    <mergeCell ref="P68:S70"/>
    <mergeCell ref="D16:D17"/>
    <mergeCell ref="N85:Q85"/>
    <mergeCell ref="A95:H95"/>
    <mergeCell ref="A84:AL84"/>
    <mergeCell ref="Q91:S91"/>
    <mergeCell ref="E91:F91"/>
    <mergeCell ref="A8:N8"/>
    <mergeCell ref="A42:AL42"/>
    <mergeCell ref="G91:H91"/>
    <mergeCell ref="J86:M86"/>
    <mergeCell ref="H3:AD3"/>
    <mergeCell ref="K67:N67"/>
    <mergeCell ref="S95:Z95"/>
    <mergeCell ref="N79:O79"/>
    <mergeCell ref="K92:L92"/>
    <mergeCell ref="C92:D92"/>
    <mergeCell ref="M92:N92"/>
    <mergeCell ref="F71:I71"/>
    <mergeCell ref="A88:AL88"/>
    <mergeCell ref="K68:N70"/>
    <mergeCell ref="T91:W91"/>
    <mergeCell ref="A41:AL41"/>
    <mergeCell ref="A90:AL90"/>
    <mergeCell ref="J95:Q95"/>
    <mergeCell ref="D85:F85"/>
    <mergeCell ref="N74:S74"/>
    <mergeCell ref="H2:AD2"/>
    <mergeCell ref="F68:I70"/>
    <mergeCell ref="A91:B91"/>
    <mergeCell ref="N78:O78"/>
    <mergeCell ref="C91:D91"/>
    <mergeCell ref="M91:N91"/>
    <mergeCell ref="O91:P91"/>
    <mergeCell ref="R86:U86"/>
    <mergeCell ref="N80:O80"/>
    <mergeCell ref="B16:B17"/>
    <mergeCell ref="A71:D71"/>
    <mergeCell ref="J85:M85"/>
    <mergeCell ref="D86:F86"/>
    <mergeCell ref="A92:B92"/>
    <mergeCell ref="N87:Q87"/>
    <mergeCell ref="A1:B1"/>
    <mergeCell ref="E92:F92"/>
    <mergeCell ref="AL16:AL17"/>
    <mergeCell ref="A68:D70"/>
    <mergeCell ref="P71:S71"/>
    <mergeCell ref="A86:C86"/>
    <mergeCell ref="D87:F87"/>
    <mergeCell ref="O92:P92"/>
    <mergeCell ref="A6:N6"/>
    <mergeCell ref="A39:D39"/>
    <mergeCell ref="P8:AL8"/>
    <mergeCell ref="P7:AL7"/>
    <mergeCell ref="G86:I86"/>
    <mergeCell ref="A96:H103"/>
    <mergeCell ref="P67:S67"/>
    <mergeCell ref="T92:W92"/>
    <mergeCell ref="R85:U85"/>
    <mergeCell ref="K71:N71"/>
    <mergeCell ref="S96:Z103"/>
    <mergeCell ref="A93:AL93"/>
    <mergeCell ref="A38:D38"/>
    <mergeCell ref="A67:D67"/>
    <mergeCell ref="I91:J91"/>
    <mergeCell ref="A85:C85"/>
    <mergeCell ref="K91:L91"/>
    <mergeCell ref="N86:Q86"/>
    <mergeCell ref="A7:N7"/>
    <mergeCell ref="P6:AL6"/>
    <mergeCell ref="A74:E74"/>
    <mergeCell ref="G85:I85"/>
    <mergeCell ref="G92:H92"/>
    <mergeCell ref="I92:J92"/>
    <mergeCell ref="R87:U87"/>
    <mergeCell ref="AK16:AK17"/>
    <mergeCell ref="J87:M87"/>
    <mergeCell ref="AJ16:AJ17"/>
    <mergeCell ref="J96:Q103"/>
    <mergeCell ref="A12:AL14"/>
    <mergeCell ref="Q92:S92"/>
    <mergeCell ref="A87:C87"/>
    <mergeCell ref="A47:D47"/>
  </mergeCells>
  <conditionalFormatting sqref="AJ18:AJ37">
    <cfRule type="dataBar" priority="1">
      <dataBar>
        <cfvo type="num" val="0"/>
        <cfvo type="num" val="1"/>
        <color rgb="0010B981"/>
      </dataBar>
    </cfRule>
  </conditionalFormatting>
  <conditionalFormatting sqref="E18:AI37">
    <cfRule type="cellIs" priority="2" operator="equal" dxfId="0">
      <formula>"✓"</formula>
    </cfRule>
    <cfRule type="cellIs" priority="3" operator="equal" dxfId="0">
      <formula>"✔"</formula>
    </cfRule>
    <cfRule type="cellIs" priority="4" operator="equal" dxfId="1">
      <formula>"✗"</formula>
    </cfRule>
    <cfRule type="cellIs" priority="5" operator="equal" dxfId="1">
      <formula>"x"</formula>
    </cfRule>
    <cfRule type="cellIs" priority="6" operator="equal" dxfId="1">
      <formula>"X"</formula>
    </cfRule>
  </conditionalFormatting>
  <conditionalFormatting sqref="E16:E17">
    <cfRule type="expression" priority="7" dxfId="2">
      <formula>AND(DAY(TODAY())=1, MONTH(TODAY())=3, YEAR(TODAY())=2030)</formula>
    </cfRule>
  </conditionalFormatting>
  <conditionalFormatting sqref="F16:F17">
    <cfRule type="expression" priority="8" dxfId="2">
      <formula>AND(DAY(TODAY())=2, MONTH(TODAY())=3, YEAR(TODAY())=2030)</formula>
    </cfRule>
  </conditionalFormatting>
  <conditionalFormatting sqref="G16:G17">
    <cfRule type="expression" priority="9" dxfId="2">
      <formula>AND(DAY(TODAY())=3, MONTH(TODAY())=3, YEAR(TODAY())=2030)</formula>
    </cfRule>
  </conditionalFormatting>
  <conditionalFormatting sqref="H16:H17">
    <cfRule type="expression" priority="10" dxfId="2">
      <formula>AND(DAY(TODAY())=4, MONTH(TODAY())=3, YEAR(TODAY())=2030)</formula>
    </cfRule>
  </conditionalFormatting>
  <conditionalFormatting sqref="I16:I17">
    <cfRule type="expression" priority="11" dxfId="2">
      <formula>AND(DAY(TODAY())=5, MONTH(TODAY())=3, YEAR(TODAY())=2030)</formula>
    </cfRule>
  </conditionalFormatting>
  <conditionalFormatting sqref="J16:J17">
    <cfRule type="expression" priority="12" dxfId="2">
      <formula>AND(DAY(TODAY())=6, MONTH(TODAY())=3, YEAR(TODAY())=2030)</formula>
    </cfRule>
  </conditionalFormatting>
  <conditionalFormatting sqref="K16:K17">
    <cfRule type="expression" priority="13" dxfId="2">
      <formula>AND(DAY(TODAY())=7, MONTH(TODAY())=3, YEAR(TODAY())=2030)</formula>
    </cfRule>
  </conditionalFormatting>
  <conditionalFormatting sqref="L16:L17">
    <cfRule type="expression" priority="14" dxfId="2">
      <formula>AND(DAY(TODAY())=8, MONTH(TODAY())=3, YEAR(TODAY())=2030)</formula>
    </cfRule>
  </conditionalFormatting>
  <conditionalFormatting sqref="M16:M17">
    <cfRule type="expression" priority="15" dxfId="2">
      <formula>AND(DAY(TODAY())=9, MONTH(TODAY())=3, YEAR(TODAY())=2030)</formula>
    </cfRule>
  </conditionalFormatting>
  <conditionalFormatting sqref="N16:N17">
    <cfRule type="expression" priority="16" dxfId="2">
      <formula>AND(DAY(TODAY())=10, MONTH(TODAY())=3, YEAR(TODAY())=2030)</formula>
    </cfRule>
  </conditionalFormatting>
  <conditionalFormatting sqref="O16:O17">
    <cfRule type="expression" priority="17" dxfId="2">
      <formula>AND(DAY(TODAY())=11, MONTH(TODAY())=3, YEAR(TODAY())=2030)</formula>
    </cfRule>
  </conditionalFormatting>
  <conditionalFormatting sqref="P16:P17">
    <cfRule type="expression" priority="18" dxfId="2">
      <formula>AND(DAY(TODAY())=12, MONTH(TODAY())=3, YEAR(TODAY())=2030)</formula>
    </cfRule>
  </conditionalFormatting>
  <conditionalFormatting sqref="Q16:Q17">
    <cfRule type="expression" priority="19" dxfId="2">
      <formula>AND(DAY(TODAY())=13, MONTH(TODAY())=3, YEAR(TODAY())=2030)</formula>
    </cfRule>
  </conditionalFormatting>
  <conditionalFormatting sqref="R16:R17">
    <cfRule type="expression" priority="20" dxfId="2">
      <formula>AND(DAY(TODAY())=14, MONTH(TODAY())=3, YEAR(TODAY())=2030)</formula>
    </cfRule>
  </conditionalFormatting>
  <conditionalFormatting sqref="S16:S17">
    <cfRule type="expression" priority="21" dxfId="2">
      <formula>AND(DAY(TODAY())=15, MONTH(TODAY())=3, YEAR(TODAY())=2030)</formula>
    </cfRule>
  </conditionalFormatting>
  <conditionalFormatting sqref="T16:T17">
    <cfRule type="expression" priority="22" dxfId="2">
      <formula>AND(DAY(TODAY())=16, MONTH(TODAY())=3, YEAR(TODAY())=2030)</formula>
    </cfRule>
  </conditionalFormatting>
  <conditionalFormatting sqref="U16:U17">
    <cfRule type="expression" priority="23" dxfId="2">
      <formula>AND(DAY(TODAY())=17, MONTH(TODAY())=3, YEAR(TODAY())=2030)</formula>
    </cfRule>
  </conditionalFormatting>
  <conditionalFormatting sqref="V16:V17">
    <cfRule type="expression" priority="24" dxfId="2">
      <formula>AND(DAY(TODAY())=18, MONTH(TODAY())=3, YEAR(TODAY())=2030)</formula>
    </cfRule>
  </conditionalFormatting>
  <conditionalFormatting sqref="W16:W17">
    <cfRule type="expression" priority="25" dxfId="2">
      <formula>AND(DAY(TODAY())=19, MONTH(TODAY())=3, YEAR(TODAY())=2030)</formula>
    </cfRule>
  </conditionalFormatting>
  <conditionalFormatting sqref="X16:X17">
    <cfRule type="expression" priority="26" dxfId="2">
      <formula>AND(DAY(TODAY())=20, MONTH(TODAY())=3, YEAR(TODAY())=2030)</formula>
    </cfRule>
  </conditionalFormatting>
  <conditionalFormatting sqref="Y16:Y17">
    <cfRule type="expression" priority="27" dxfId="2">
      <formula>AND(DAY(TODAY())=21, MONTH(TODAY())=3, YEAR(TODAY())=2030)</formula>
    </cfRule>
  </conditionalFormatting>
  <conditionalFormatting sqref="Z16:Z17">
    <cfRule type="expression" priority="28" dxfId="2">
      <formula>AND(DAY(TODAY())=22, MONTH(TODAY())=3, YEAR(TODAY())=2030)</formula>
    </cfRule>
  </conditionalFormatting>
  <conditionalFormatting sqref="AA16:AA17">
    <cfRule type="expression" priority="29" dxfId="2">
      <formula>AND(DAY(TODAY())=23, MONTH(TODAY())=3, YEAR(TODAY())=2030)</formula>
    </cfRule>
  </conditionalFormatting>
  <conditionalFormatting sqref="AB16:AB17">
    <cfRule type="expression" priority="30" dxfId="2">
      <formula>AND(DAY(TODAY())=24, MONTH(TODAY())=3, YEAR(TODAY())=2030)</formula>
    </cfRule>
  </conditionalFormatting>
  <conditionalFormatting sqref="AC16:AC17">
    <cfRule type="expression" priority="31" dxfId="2">
      <formula>AND(DAY(TODAY())=25, MONTH(TODAY())=3, YEAR(TODAY())=2030)</formula>
    </cfRule>
  </conditionalFormatting>
  <conditionalFormatting sqref="AD16:AD17">
    <cfRule type="expression" priority="32" dxfId="2">
      <formula>AND(DAY(TODAY())=26, MONTH(TODAY())=3, YEAR(TODAY())=2030)</formula>
    </cfRule>
  </conditionalFormatting>
  <conditionalFormatting sqref="AE16:AE17">
    <cfRule type="expression" priority="33" dxfId="2">
      <formula>AND(DAY(TODAY())=27, MONTH(TODAY())=3, YEAR(TODAY())=2030)</formula>
    </cfRule>
  </conditionalFormatting>
  <conditionalFormatting sqref="AF16:AF17">
    <cfRule type="expression" priority="34" dxfId="2">
      <formula>AND(DAY(TODAY())=28, MONTH(TODAY())=3, YEAR(TODAY())=2030)</formula>
    </cfRule>
  </conditionalFormatting>
  <conditionalFormatting sqref="AG16:AG17">
    <cfRule type="expression" priority="35" dxfId="2">
      <formula>AND(DAY(TODAY())=29, MONTH(TODAY())=3, YEAR(TODAY())=2030)</formula>
    </cfRule>
  </conditionalFormatting>
  <conditionalFormatting sqref="AH16:AH17">
    <cfRule type="expression" priority="36" dxfId="2">
      <formula>AND(DAY(TODAY())=30, MONTH(TODAY())=3, YEAR(TODAY())=2030)</formula>
    </cfRule>
  </conditionalFormatting>
  <conditionalFormatting sqref="AI16:AI17">
    <cfRule type="expression" priority="37" dxfId="2">
      <formula>AND(DAY(TODAY())=31, MONTH(TODAY())=3, YEAR(TODAY())=2030)</formula>
    </cfRule>
  </conditionalFormatting>
  <dataValidations count="4">
    <dataValidation sqref="C18:C37" showDropDown="0" showInputMessage="0" showErrorMessage="0" allowBlank="1" type="list">
      <formula1>"Health &amp; Fitness,Mindset &amp; Learning,Career &amp; Focus,Personal &amp; Home,Finance &amp; Wealth,Other"</formula1>
    </dataValidation>
    <dataValidation sqref="D18:D37" showDropDown="0" showInputMessage="0" showErrorMessage="0" allowBlank="1" type="list">
      <formula1>"1,2,3,4,5,6,7,8,9,10,11,12,13,14,15,16,17,18,19,20,21,22,23,24,25,26,27,28,29,30,31"</formula1>
    </dataValidation>
    <dataValidation sqref="E18:AI37" showDropDown="0" showInputMessage="0" showErrorMessage="0" allowBlank="1" type="list">
      <formula1>"✓,✗"</formula1>
    </dataValidation>
    <dataValidation sqref="E47:AI47" showDropDown="0" showInputMessage="0" showErrorMessage="0" allowBlank="1" type="list">
      <formula1>"1,2,3,4,5,6,7,8,9,10,11,12,13,14,15,16,17,18,19,20,21,22,23,24"</formula1>
    </dataValidation>
  </dataValidations>
  <hyperlinks>
    <hyperlink xmlns:r="http://schemas.openxmlformats.org/officeDocument/2006/relationships" ref="A1" r:id="rId1"/>
    <hyperlink xmlns:r="http://schemas.openxmlformats.org/officeDocument/2006/relationships" ref="C1" r:id="rId2"/>
    <hyperlink xmlns:r="http://schemas.openxmlformats.org/officeDocument/2006/relationships" ref="D1" r:id="rId3"/>
    <hyperlink xmlns:r="http://schemas.openxmlformats.org/officeDocument/2006/relationships" ref="E1" r:id="rId4"/>
    <hyperlink xmlns:r="http://schemas.openxmlformats.org/officeDocument/2006/relationships" ref="F1" r:id="rId5"/>
    <hyperlink xmlns:r="http://schemas.openxmlformats.org/officeDocument/2006/relationships" ref="G1" r:id="rId6"/>
    <hyperlink xmlns:r="http://schemas.openxmlformats.org/officeDocument/2006/relationships" ref="H1" r:id="rId7"/>
    <hyperlink xmlns:r="http://schemas.openxmlformats.org/officeDocument/2006/relationships" ref="I1" r:id="rId8"/>
    <hyperlink xmlns:r="http://schemas.openxmlformats.org/officeDocument/2006/relationships" ref="J1" r:id="rId9"/>
    <hyperlink xmlns:r="http://schemas.openxmlformats.org/officeDocument/2006/relationships" ref="K1" r:id="rId10"/>
  </hyperlinks>
  <printOptions horizontalCentered="1" verticalCentered="0"/>
  <pageMargins left="0.75" right="0.75" top="1" bottom="1" header="0.5" footer="0.5"/>
  <pageSetup orientation="landscape" paperSize="9" fitToHeight="0" fitToWidth="1"/>
  <drawing xmlns:r="http://schemas.openxmlformats.org/officeDocument/2006/relationships" r:id="rId11"/>
</worksheet>
</file>

<file path=xl/worksheets/sheet47.xml><?xml version="1.0" encoding="utf-8"?>
<worksheet xmlns="http://schemas.openxmlformats.org/spreadsheetml/2006/main">
  <sheetPr>
    <outlinePr summaryBelow="1" summaryRight="1"/>
    <pageSetUpPr fitToPage="1"/>
  </sheetPr>
  <dimension ref="A1:AL103"/>
  <sheetViews>
    <sheetView showGridLines="1" workbookViewId="0">
      <selection activeCell="A1" sqref="A1"/>
    </sheetView>
  </sheetViews>
  <sheetFormatPr baseColWidth="8" defaultRowHeight="15"/>
  <cols>
    <col width="6" customWidth="1" min="1" max="1"/>
    <col width="25" customWidth="1" min="2" max="2"/>
    <col width="16.5" customWidth="1" min="3" max="3"/>
    <col width="8" customWidth="1" min="4" max="4"/>
    <col width="4.8" customWidth="1" min="5" max="5"/>
    <col width="4.8" customWidth="1" min="6" max="6"/>
    <col width="4.8" customWidth="1" min="7" max="7"/>
    <col width="4.8" customWidth="1" min="8" max="8"/>
    <col width="4.8" customWidth="1" min="9" max="9"/>
    <col width="4.8" customWidth="1" min="10" max="10"/>
    <col width="4.8" customWidth="1" min="11" max="11"/>
    <col width="4.8" customWidth="1" min="12" max="12"/>
    <col width="4.8" customWidth="1" min="13" max="13"/>
    <col width="4.8" customWidth="1" min="14" max="14"/>
    <col width="4.8" customWidth="1" min="15" max="15"/>
    <col width="4.8" customWidth="1" min="16" max="16"/>
    <col width="4.8" customWidth="1" min="17" max="17"/>
    <col width="4.8" customWidth="1" min="18" max="18"/>
    <col width="4.8" customWidth="1" min="19" max="19"/>
    <col width="4.8" customWidth="1" min="20" max="20"/>
    <col width="4.8" customWidth="1" min="21" max="21"/>
    <col width="4.8" customWidth="1" min="22" max="22"/>
    <col width="4.8" customWidth="1" min="23" max="23"/>
    <col width="4.8" customWidth="1" min="24" max="24"/>
    <col width="4.8" customWidth="1" min="25" max="25"/>
    <col width="4.8" customWidth="1" min="26" max="26"/>
    <col width="4.8" customWidth="1" min="27" max="27"/>
    <col width="4.8" customWidth="1" min="28" max="28"/>
    <col width="4.8" customWidth="1" min="29" max="29"/>
    <col width="4.8" customWidth="1" min="30" max="30"/>
    <col width="4.8" customWidth="1" min="31" max="31"/>
    <col width="4.8" customWidth="1" min="32" max="32"/>
    <col width="4.8" customWidth="1" min="33" max="33"/>
    <col width="4.8" customWidth="1" min="34" max="34"/>
    <col width="11.5" customWidth="1" min="35" max="35"/>
    <col width="12" customWidth="1" min="36" max="36"/>
    <col width="13.5" customWidth="1" min="37" max="37"/>
    <col hidden="1" width="8" customWidth="1" min="38" max="38"/>
  </cols>
  <sheetData>
    <row r="1" ht="18" customHeight="1">
      <c r="A1" s="76" t="inlineStr">
        <is>
          <t>🏠 Master Dashboard</t>
        </is>
      </c>
      <c r="B1" s="40" t="n"/>
      <c r="C1" s="77" t="inlineStr">
        <is>
          <t>🏛️ Quarterly Hub</t>
        </is>
      </c>
      <c r="D1" s="78" t="inlineStr">
        <is>
          <t>📚 Habit Library</t>
        </is>
      </c>
      <c r="E1" s="80" t="inlineStr">
        <is>
          <t>2026</t>
        </is>
      </c>
      <c r="F1" s="80" t="inlineStr">
        <is>
          <t>2027</t>
        </is>
      </c>
      <c r="G1" s="80" t="inlineStr">
        <is>
          <t>2028</t>
        </is>
      </c>
      <c r="H1" s="80" t="inlineStr">
        <is>
          <t>2029</t>
        </is>
      </c>
      <c r="I1" s="79" t="inlineStr">
        <is>
          <t>2030</t>
        </is>
      </c>
      <c r="J1" s="82" t="inlineStr">
        <is>
          <t>◀ Prev</t>
        </is>
      </c>
      <c r="K1" s="82" t="inlineStr">
        <is>
          <t>Next ▶</t>
        </is>
      </c>
    </row>
    <row r="2" ht="24" customHeight="1">
      <c r="A2" s="83" t="inlineStr">
        <is>
          <t>Habit Tracker</t>
        </is>
      </c>
      <c r="H2" s="84" t="inlineStr">
        <is>
          <t>"Success is the sum of small efforts repeated daily."</t>
        </is>
      </c>
      <c r="AD2" s="85" t="inlineStr">
        <is>
          <t>@surajvansh</t>
        </is>
      </c>
    </row>
    <row r="3" ht="18" customHeight="1">
      <c r="A3" s="86" t="inlineStr">
        <is>
          <t>April 2030</t>
        </is>
      </c>
      <c r="H3" s="87" t="inlineStr">
        <is>
          <t>30 Days Dashboard</t>
        </is>
      </c>
    </row>
    <row r="4" ht="5" customHeight="1"/>
    <row r="5" ht="16" customHeight="1">
      <c r="A5" s="88" t="inlineStr">
        <is>
          <t>MONTHLY TARGETS</t>
        </is>
      </c>
    </row>
    <row r="6" ht="13" customHeight="1">
      <c r="A6" s="89" t="inlineStr">
        <is>
          <t>1. ____________________ : ____________________</t>
        </is>
      </c>
      <c r="P6" s="89" t="inlineStr">
        <is>
          <t>5. ____________________ : ____________________</t>
        </is>
      </c>
    </row>
    <row r="7" ht="13" customHeight="1">
      <c r="A7" s="89" t="inlineStr">
        <is>
          <t>2. ____________________ : ____________________</t>
        </is>
      </c>
      <c r="P7" s="89" t="inlineStr">
        <is>
          <t>6. ____________________ : ____________________</t>
        </is>
      </c>
    </row>
    <row r="8" ht="13" customHeight="1">
      <c r="A8" s="89" t="inlineStr">
        <is>
          <t>3. ____________________ : ____________________</t>
        </is>
      </c>
      <c r="P8" s="89" t="inlineStr">
        <is>
          <t>7. ____________________ : ____________________</t>
        </is>
      </c>
    </row>
    <row r="9" ht="13" customHeight="1">
      <c r="A9" s="89" t="inlineStr">
        <is>
          <t>4. ____________________ : ____________________</t>
        </is>
      </c>
      <c r="P9" s="89" t="inlineStr">
        <is>
          <t>8. ____________________ : ____________________</t>
        </is>
      </c>
    </row>
    <row r="10" ht="5" customHeight="1"/>
    <row r="11" ht="15" customHeight="1">
      <c r="A11" s="88" t="inlineStr">
        <is>
          <t>NOTES:</t>
        </is>
      </c>
    </row>
    <row r="12" ht="13" customHeight="1">
      <c r="A12" s="90" t="n"/>
      <c r="B12" s="91" t="n"/>
      <c r="C12" s="91" t="n"/>
      <c r="D12" s="91" t="n"/>
      <c r="E12" s="91" t="n"/>
      <c r="F12" s="91" t="n"/>
      <c r="G12" s="91" t="n"/>
      <c r="H12" s="91" t="n"/>
      <c r="I12" s="91" t="n"/>
      <c r="J12" s="91" t="n"/>
      <c r="K12" s="91" t="n"/>
      <c r="L12" s="91" t="n"/>
      <c r="M12" s="91" t="n"/>
      <c r="N12" s="91" t="n"/>
      <c r="O12" s="91" t="n"/>
      <c r="P12" s="91" t="n"/>
      <c r="Q12" s="91" t="n"/>
      <c r="R12" s="91" t="n"/>
      <c r="S12" s="91" t="n"/>
      <c r="T12" s="91" t="n"/>
      <c r="U12" s="91" t="n"/>
      <c r="V12" s="91" t="n"/>
      <c r="W12" s="91" t="n"/>
      <c r="X12" s="91" t="n"/>
      <c r="Y12" s="91" t="n"/>
      <c r="Z12" s="91" t="n"/>
      <c r="AA12" s="91" t="n"/>
      <c r="AB12" s="91" t="n"/>
      <c r="AC12" s="91" t="n"/>
      <c r="AD12" s="91" t="n"/>
      <c r="AE12" s="91" t="n"/>
      <c r="AF12" s="91" t="n"/>
      <c r="AG12" s="91" t="n"/>
      <c r="AH12" s="91" t="n"/>
      <c r="AI12" s="91" t="n"/>
      <c r="AJ12" s="91" t="n"/>
      <c r="AK12" s="91" t="n"/>
    </row>
    <row r="13" ht="13" customHeight="1">
      <c r="A13" s="91" t="n"/>
      <c r="B13" s="91" t="n"/>
      <c r="C13" s="91" t="n"/>
      <c r="D13" s="91" t="n"/>
      <c r="E13" s="91" t="n"/>
      <c r="F13" s="91" t="n"/>
      <c r="G13" s="91" t="n"/>
      <c r="H13" s="91" t="n"/>
      <c r="I13" s="91" t="n"/>
      <c r="J13" s="91" t="n"/>
      <c r="K13" s="91" t="n"/>
      <c r="L13" s="91" t="n"/>
      <c r="M13" s="91" t="n"/>
      <c r="N13" s="91" t="n"/>
      <c r="O13" s="91" t="n"/>
      <c r="P13" s="91" t="n"/>
      <c r="Q13" s="91" t="n"/>
      <c r="R13" s="91" t="n"/>
      <c r="S13" s="91" t="n"/>
      <c r="T13" s="91" t="n"/>
      <c r="U13" s="91" t="n"/>
      <c r="V13" s="91" t="n"/>
      <c r="W13" s="91" t="n"/>
      <c r="X13" s="91" t="n"/>
      <c r="Y13" s="91" t="n"/>
      <c r="Z13" s="91" t="n"/>
      <c r="AA13" s="91" t="n"/>
      <c r="AB13" s="91" t="n"/>
      <c r="AC13" s="91" t="n"/>
      <c r="AD13" s="91" t="n"/>
      <c r="AE13" s="91" t="n"/>
      <c r="AF13" s="91" t="n"/>
      <c r="AG13" s="91" t="n"/>
      <c r="AH13" s="91" t="n"/>
      <c r="AI13" s="91" t="n"/>
      <c r="AJ13" s="91" t="n"/>
      <c r="AK13" s="91" t="n"/>
    </row>
    <row r="14" ht="13" customHeight="1">
      <c r="A14" s="91" t="n"/>
      <c r="B14" s="91" t="n"/>
      <c r="C14" s="91" t="n"/>
      <c r="D14" s="91" t="n"/>
      <c r="E14" s="91" t="n"/>
      <c r="F14" s="91" t="n"/>
      <c r="G14" s="91" t="n"/>
      <c r="H14" s="91" t="n"/>
      <c r="I14" s="91" t="n"/>
      <c r="J14" s="91" t="n"/>
      <c r="K14" s="91" t="n"/>
      <c r="L14" s="91" t="n"/>
      <c r="M14" s="91" t="n"/>
      <c r="N14" s="91" t="n"/>
      <c r="O14" s="91" t="n"/>
      <c r="P14" s="91" t="n"/>
      <c r="Q14" s="91" t="n"/>
      <c r="R14" s="91" t="n"/>
      <c r="S14" s="91" t="n"/>
      <c r="T14" s="91" t="n"/>
      <c r="U14" s="91" t="n"/>
      <c r="V14" s="91" t="n"/>
      <c r="W14" s="91" t="n"/>
      <c r="X14" s="91" t="n"/>
      <c r="Y14" s="91" t="n"/>
      <c r="Z14" s="91" t="n"/>
      <c r="AA14" s="91" t="n"/>
      <c r="AB14" s="91" t="n"/>
      <c r="AC14" s="91" t="n"/>
      <c r="AD14" s="91" t="n"/>
      <c r="AE14" s="91" t="n"/>
      <c r="AF14" s="91" t="n"/>
      <c r="AG14" s="91" t="n"/>
      <c r="AH14" s="91" t="n"/>
      <c r="AI14" s="91" t="n"/>
      <c r="AJ14" s="91" t="n"/>
      <c r="AK14" s="91" t="n"/>
    </row>
    <row r="15" ht="8" customHeight="1"/>
    <row r="16" ht="15" customHeight="1">
      <c r="A16" s="33" t="inlineStr">
        <is>
          <t>S.No.</t>
        </is>
      </c>
      <c r="B16" s="33" t="inlineStr">
        <is>
          <t>Protocols</t>
        </is>
      </c>
      <c r="C16" s="33" t="inlineStr">
        <is>
          <t>Category</t>
        </is>
      </c>
      <c r="D16" s="33" t="inlineStr">
        <is>
          <t>Target</t>
        </is>
      </c>
      <c r="E16" s="92" t="n">
        <v>1</v>
      </c>
      <c r="F16" s="92" t="n">
        <v>2</v>
      </c>
      <c r="G16" s="92" t="n">
        <v>3</v>
      </c>
      <c r="H16" s="92" t="n">
        <v>4</v>
      </c>
      <c r="I16" s="92" t="n">
        <v>5</v>
      </c>
      <c r="J16" s="92" t="n">
        <v>6</v>
      </c>
      <c r="K16" s="93" t="n">
        <v>7</v>
      </c>
      <c r="L16" s="92" t="n">
        <v>8</v>
      </c>
      <c r="M16" s="92" t="n">
        <v>9</v>
      </c>
      <c r="N16" s="92" t="n">
        <v>10</v>
      </c>
      <c r="O16" s="92" t="n">
        <v>11</v>
      </c>
      <c r="P16" s="92" t="n">
        <v>12</v>
      </c>
      <c r="Q16" s="92" t="n">
        <v>13</v>
      </c>
      <c r="R16" s="93" t="n">
        <v>14</v>
      </c>
      <c r="S16" s="92" t="n">
        <v>15</v>
      </c>
      <c r="T16" s="92" t="n">
        <v>16</v>
      </c>
      <c r="U16" s="92" t="n">
        <v>17</v>
      </c>
      <c r="V16" s="92" t="n">
        <v>18</v>
      </c>
      <c r="W16" s="92" t="n">
        <v>19</v>
      </c>
      <c r="X16" s="92" t="n">
        <v>20</v>
      </c>
      <c r="Y16" s="93" t="n">
        <v>21</v>
      </c>
      <c r="Z16" s="92" t="n">
        <v>22</v>
      </c>
      <c r="AA16" s="92" t="n">
        <v>23</v>
      </c>
      <c r="AB16" s="92" t="n">
        <v>24</v>
      </c>
      <c r="AC16" s="92" t="n">
        <v>25</v>
      </c>
      <c r="AD16" s="92" t="n">
        <v>26</v>
      </c>
      <c r="AE16" s="92" t="n">
        <v>27</v>
      </c>
      <c r="AF16" s="93" t="n">
        <v>28</v>
      </c>
      <c r="AG16" s="92" t="n">
        <v>29</v>
      </c>
      <c r="AH16" s="92" t="n">
        <v>30</v>
      </c>
      <c r="AI16" s="94" t="inlineStr">
        <is>
          <t>Success %</t>
        </is>
      </c>
      <c r="AJ16" s="94" t="inlineStr">
        <is>
          <t>Done / Target</t>
        </is>
      </c>
      <c r="AK16" s="94" t="inlineStr">
        <is>
          <t>Status</t>
        </is>
      </c>
      <c r="AL16" t="inlineStr">
        <is>
          <t>Done Count</t>
        </is>
      </c>
    </row>
    <row r="17" ht="15" customHeight="1">
      <c r="A17" s="54" t="n"/>
      <c r="B17" s="54" t="n"/>
      <c r="C17" s="54" t="n"/>
      <c r="D17" s="54" t="n"/>
      <c r="E17" s="95" t="inlineStr">
        <is>
          <t>M</t>
        </is>
      </c>
      <c r="F17" s="95" t="inlineStr">
        <is>
          <t>T</t>
        </is>
      </c>
      <c r="G17" s="95" t="inlineStr">
        <is>
          <t>W</t>
        </is>
      </c>
      <c r="H17" s="95" t="inlineStr">
        <is>
          <t>Th</t>
        </is>
      </c>
      <c r="I17" s="95" t="inlineStr">
        <is>
          <t>F</t>
        </is>
      </c>
      <c r="J17" s="95" t="inlineStr">
        <is>
          <t>Sa</t>
        </is>
      </c>
      <c r="K17" s="96" t="inlineStr">
        <is>
          <t>Su</t>
        </is>
      </c>
      <c r="L17" s="95" t="inlineStr">
        <is>
          <t>M</t>
        </is>
      </c>
      <c r="M17" s="95" t="inlineStr">
        <is>
          <t>T</t>
        </is>
      </c>
      <c r="N17" s="95" t="inlineStr">
        <is>
          <t>W</t>
        </is>
      </c>
      <c r="O17" s="95" t="inlineStr">
        <is>
          <t>Th</t>
        </is>
      </c>
      <c r="P17" s="95" t="inlineStr">
        <is>
          <t>F</t>
        </is>
      </c>
      <c r="Q17" s="95" t="inlineStr">
        <is>
          <t>Sa</t>
        </is>
      </c>
      <c r="R17" s="96" t="inlineStr">
        <is>
          <t>Su</t>
        </is>
      </c>
      <c r="S17" s="95" t="inlineStr">
        <is>
          <t>M</t>
        </is>
      </c>
      <c r="T17" s="95" t="inlineStr">
        <is>
          <t>T</t>
        </is>
      </c>
      <c r="U17" s="95" t="inlineStr">
        <is>
          <t>W</t>
        </is>
      </c>
      <c r="V17" s="95" t="inlineStr">
        <is>
          <t>Th</t>
        </is>
      </c>
      <c r="W17" s="95" t="inlineStr">
        <is>
          <t>F</t>
        </is>
      </c>
      <c r="X17" s="95" t="inlineStr">
        <is>
          <t>Sa</t>
        </is>
      </c>
      <c r="Y17" s="96" t="inlineStr">
        <is>
          <t>Su</t>
        </is>
      </c>
      <c r="Z17" s="95" t="inlineStr">
        <is>
          <t>M</t>
        </is>
      </c>
      <c r="AA17" s="95" t="inlineStr">
        <is>
          <t>T</t>
        </is>
      </c>
      <c r="AB17" s="95" t="inlineStr">
        <is>
          <t>W</t>
        </is>
      </c>
      <c r="AC17" s="95" t="inlineStr">
        <is>
          <t>Th</t>
        </is>
      </c>
      <c r="AD17" s="95" t="inlineStr">
        <is>
          <t>F</t>
        </is>
      </c>
      <c r="AE17" s="95" t="inlineStr">
        <is>
          <t>Sa</t>
        </is>
      </c>
      <c r="AF17" s="96" t="inlineStr">
        <is>
          <t>Su</t>
        </is>
      </c>
      <c r="AG17" s="95" t="inlineStr">
        <is>
          <t>M</t>
        </is>
      </c>
      <c r="AH17" s="95" t="inlineStr">
        <is>
          <t>T</t>
        </is>
      </c>
      <c r="AI17" s="54" t="n"/>
      <c r="AJ17" s="54" t="n"/>
      <c r="AK17" s="54" t="n"/>
    </row>
    <row r="18" ht="14.5" customHeight="1">
      <c r="A18" s="97" t="n">
        <v>1</v>
      </c>
      <c r="B18" s="98" t="n"/>
      <c r="C18" s="99" t="n"/>
      <c r="D18" s="99" t="n"/>
      <c r="E18" s="100" t="n"/>
      <c r="F18" s="100" t="n"/>
      <c r="G18" s="100" t="n"/>
      <c r="H18" s="100" t="n"/>
      <c r="I18" s="100" t="n"/>
      <c r="J18" s="100" t="n"/>
      <c r="K18" s="101" t="n"/>
      <c r="L18" s="100" t="n"/>
      <c r="M18" s="100" t="n"/>
      <c r="N18" s="100" t="n"/>
      <c r="O18" s="100" t="n"/>
      <c r="P18" s="100" t="n"/>
      <c r="Q18" s="100" t="n"/>
      <c r="R18" s="101" t="n"/>
      <c r="S18" s="100" t="n"/>
      <c r="T18" s="100" t="n"/>
      <c r="U18" s="100" t="n"/>
      <c r="V18" s="100" t="n"/>
      <c r="W18" s="100" t="n"/>
      <c r="X18" s="100" t="n"/>
      <c r="Y18" s="101" t="n"/>
      <c r="Z18" s="100" t="n"/>
      <c r="AA18" s="100" t="n"/>
      <c r="AB18" s="100" t="n"/>
      <c r="AC18" s="100" t="n"/>
      <c r="AD18" s="100" t="n"/>
      <c r="AE18" s="100" t="n"/>
      <c r="AF18" s="101" t="n"/>
      <c r="AG18" s="100" t="n"/>
      <c r="AH18" s="100" t="n"/>
      <c r="AI18" s="102">
        <f>IF(ISBLANK(B18), "", IF(ISNUMBER(D18), IF(D18&gt;0, (COUNTIF(E18:AH18, "✓") + COUNTIF(E18:AH18, "✔") + COUNTIF(E18:AH18, "v") + COUNTIF(E18:AH18, "V"))/D18, 0), IF(((COUNTIF(E18:AH18, "✓") + COUNTIF(E18:AH18, "✔") + COUNTIF(E18:AH18, "v") + COUNTIF(E18:AH18, "V")) + COUNTIF(E18:AH18, "✗") + COUNTIF(E18:AH18, "x") + COUNTIF(E18:AH18, "X"))&gt;0, (COUNTIF(E18:AH18, "✓") + COUNTIF(E18:AH18, "✔") + COUNTIF(E18:AH18, "v") + COUNTIF(E18:AH18, "V"))/((COUNTIF(E18:AH18, "✓") + COUNTIF(E18:AH18, "✔") + COUNTIF(E18:AH18, "v") + COUNTIF(E18:AH18, "V")) + COUNTIF(E18:AH18, "✗") + COUNTIF(E18:AH18, "x") + COUNTIF(E18:AH18, "X")), "")))</f>
        <v/>
      </c>
      <c r="AJ18" s="103">
        <f>IF(ISBLANK(B18), "", IF(ISNUMBER(D18), IF(D18&gt;0, (COUNTIF(E18:AH18, "✓") + COUNTIF(E18:AH18, "✔") + COUNTIF(E18:AH18, "v") + COUNTIF(E18:AH18, "V")) &amp; "/" &amp; D18, (COUNTIF(E18:AH18, "✓") + COUNTIF(E18:AH18, "✔") + COUNTIF(E18:AH18, "v") + COUNTIF(E18:AH18, "V")) &amp; "/0"), IF(((COUNTIF(E18:AH18, "✓") + COUNTIF(E18:AH18, "✔") + COUNTIF(E18:AH18, "v") + COUNTIF(E18:AH18, "V")) + COUNTIF(E18:AH18, "✗") + COUNTIF(E18:AH18, "x") + COUNTIF(E18:AH18, "X"))&gt;0, (COUNTIF(E18:AH18, "✓") + COUNTIF(E18:AH18, "✔") + COUNTIF(E18:AH18, "v") + COUNTIF(E18:AH18, "V")) &amp; "/" &amp; ((COUNTIF(E18:AH18, "✓") + COUNTIF(E18:AH18, "✔") + COUNTIF(E18:AH18, "v") + COUNTIF(E18:AH18, "V")) + COUNTIF(E18:AH18, "✗") + COUNTIF(E18:AH18, "x") + COUNTIF(E18:AH18, "X")), "")))</f>
        <v/>
      </c>
      <c r="AK18" s="103">
        <f>IF(ISBLANK(B18), "", IF(AI18&gt;=0.85, "🔥 Mastered", IF(AI18&gt;=0.7, "⚡ Consistent", "⚠️ Needs Focus")))</f>
        <v/>
      </c>
      <c r="AL18">
        <f>COUNTIF(E18:AH18, "✓")</f>
        <v/>
      </c>
    </row>
    <row r="19" ht="14.5" customHeight="1">
      <c r="A19" s="97" t="n">
        <v>2</v>
      </c>
      <c r="B19" s="98" t="n"/>
      <c r="C19" s="99" t="n"/>
      <c r="D19" s="99" t="n"/>
      <c r="E19" s="100" t="n"/>
      <c r="F19" s="100" t="n"/>
      <c r="G19" s="100" t="n"/>
      <c r="H19" s="100" t="n"/>
      <c r="I19" s="100" t="n"/>
      <c r="J19" s="100" t="n"/>
      <c r="K19" s="101" t="n"/>
      <c r="L19" s="100" t="n"/>
      <c r="M19" s="100" t="n"/>
      <c r="N19" s="100" t="n"/>
      <c r="O19" s="100" t="n"/>
      <c r="P19" s="100" t="n"/>
      <c r="Q19" s="100" t="n"/>
      <c r="R19" s="101" t="n"/>
      <c r="S19" s="100" t="n"/>
      <c r="T19" s="100" t="n"/>
      <c r="U19" s="100" t="n"/>
      <c r="V19" s="100" t="n"/>
      <c r="W19" s="100" t="n"/>
      <c r="X19" s="100" t="n"/>
      <c r="Y19" s="101" t="n"/>
      <c r="Z19" s="100" t="n"/>
      <c r="AA19" s="100" t="n"/>
      <c r="AB19" s="100" t="n"/>
      <c r="AC19" s="100" t="n"/>
      <c r="AD19" s="100" t="n"/>
      <c r="AE19" s="100" t="n"/>
      <c r="AF19" s="101" t="n"/>
      <c r="AG19" s="100" t="n"/>
      <c r="AH19" s="100" t="n"/>
      <c r="AI19" s="102">
        <f>IF(ISBLANK(B19), "", IF(ISNUMBER(D19), IF(D19&gt;0, (COUNTIF(E19:AH19, "✓") + COUNTIF(E19:AH19, "✔") + COUNTIF(E19:AH19, "v") + COUNTIF(E19:AH19, "V"))/D19, 0), IF(((COUNTIF(E19:AH19, "✓") + COUNTIF(E19:AH19, "✔") + COUNTIF(E19:AH19, "v") + COUNTIF(E19:AH19, "V")) + COUNTIF(E19:AH19, "✗") + COUNTIF(E19:AH19, "x") + COUNTIF(E19:AH19, "X"))&gt;0, (COUNTIF(E19:AH19, "✓") + COUNTIF(E19:AH19, "✔") + COUNTIF(E19:AH19, "v") + COUNTIF(E19:AH19, "V"))/((COUNTIF(E19:AH19, "✓") + COUNTIF(E19:AH19, "✔") + COUNTIF(E19:AH19, "v") + COUNTIF(E19:AH19, "V")) + COUNTIF(E19:AH19, "✗") + COUNTIF(E19:AH19, "x") + COUNTIF(E19:AH19, "X")), "")))</f>
        <v/>
      </c>
      <c r="AJ19" s="103">
        <f>IF(ISBLANK(B19), "", IF(ISNUMBER(D19), IF(D19&gt;0, (COUNTIF(E19:AH19, "✓") + COUNTIF(E19:AH19, "✔") + COUNTIF(E19:AH19, "v") + COUNTIF(E19:AH19, "V")) &amp; "/" &amp; D19, (COUNTIF(E19:AH19, "✓") + COUNTIF(E19:AH19, "✔") + COUNTIF(E19:AH19, "v") + COUNTIF(E19:AH19, "V")) &amp; "/0"), IF(((COUNTIF(E19:AH19, "✓") + COUNTIF(E19:AH19, "✔") + COUNTIF(E19:AH19, "v") + COUNTIF(E19:AH19, "V")) + COUNTIF(E19:AH19, "✗") + COUNTIF(E19:AH19, "x") + COUNTIF(E19:AH19, "X"))&gt;0, (COUNTIF(E19:AH19, "✓") + COUNTIF(E19:AH19, "✔") + COUNTIF(E19:AH19, "v") + COUNTIF(E19:AH19, "V")) &amp; "/" &amp; ((COUNTIF(E19:AH19, "✓") + COUNTIF(E19:AH19, "✔") + COUNTIF(E19:AH19, "v") + COUNTIF(E19:AH19, "V")) + COUNTIF(E19:AH19, "✗") + COUNTIF(E19:AH19, "x") + COUNTIF(E19:AH19, "X")), "")))</f>
        <v/>
      </c>
      <c r="AK19" s="103">
        <f>IF(ISBLANK(B19), "", IF(AI19&gt;=0.85, "🔥 Mastered", IF(AI19&gt;=0.7, "⚡ Consistent", "⚠️ Needs Focus")))</f>
        <v/>
      </c>
      <c r="AL19">
        <f>COUNTIF(E19:AH19, "✓")</f>
        <v/>
      </c>
    </row>
    <row r="20" ht="14.5" customHeight="1">
      <c r="A20" s="97" t="n">
        <v>3</v>
      </c>
      <c r="B20" s="98" t="n"/>
      <c r="C20" s="99" t="n"/>
      <c r="D20" s="99" t="n"/>
      <c r="E20" s="100" t="n"/>
      <c r="F20" s="100" t="n"/>
      <c r="G20" s="100" t="n"/>
      <c r="H20" s="100" t="n"/>
      <c r="I20" s="100" t="n"/>
      <c r="J20" s="100" t="n"/>
      <c r="K20" s="101" t="n"/>
      <c r="L20" s="100" t="n"/>
      <c r="M20" s="100" t="n"/>
      <c r="N20" s="100" t="n"/>
      <c r="O20" s="100" t="n"/>
      <c r="P20" s="100" t="n"/>
      <c r="Q20" s="100" t="n"/>
      <c r="R20" s="101" t="n"/>
      <c r="S20" s="100" t="n"/>
      <c r="T20" s="100" t="n"/>
      <c r="U20" s="100" t="n"/>
      <c r="V20" s="100" t="n"/>
      <c r="W20" s="100" t="n"/>
      <c r="X20" s="100" t="n"/>
      <c r="Y20" s="101" t="n"/>
      <c r="Z20" s="100" t="n"/>
      <c r="AA20" s="100" t="n"/>
      <c r="AB20" s="100" t="n"/>
      <c r="AC20" s="100" t="n"/>
      <c r="AD20" s="100" t="n"/>
      <c r="AE20" s="100" t="n"/>
      <c r="AF20" s="101" t="n"/>
      <c r="AG20" s="100" t="n"/>
      <c r="AH20" s="100" t="n"/>
      <c r="AI20" s="102">
        <f>IF(ISBLANK(B20), "", IF(ISNUMBER(D20), IF(D20&gt;0, (COUNTIF(E20:AH20, "✓") + COUNTIF(E20:AH20, "✔") + COUNTIF(E20:AH20, "v") + COUNTIF(E20:AH20, "V"))/D20, 0), IF(((COUNTIF(E20:AH20, "✓") + COUNTIF(E20:AH20, "✔") + COUNTIF(E20:AH20, "v") + COUNTIF(E20:AH20, "V")) + COUNTIF(E20:AH20, "✗") + COUNTIF(E20:AH20, "x") + COUNTIF(E20:AH20, "X"))&gt;0, (COUNTIF(E20:AH20, "✓") + COUNTIF(E20:AH20, "✔") + COUNTIF(E20:AH20, "v") + COUNTIF(E20:AH20, "V"))/((COUNTIF(E20:AH20, "✓") + COUNTIF(E20:AH20, "✔") + COUNTIF(E20:AH20, "v") + COUNTIF(E20:AH20, "V")) + COUNTIF(E20:AH20, "✗") + COUNTIF(E20:AH20, "x") + COUNTIF(E20:AH20, "X")), "")))</f>
        <v/>
      </c>
      <c r="AJ20" s="103">
        <f>IF(ISBLANK(B20), "", IF(ISNUMBER(D20), IF(D20&gt;0, (COUNTIF(E20:AH20, "✓") + COUNTIF(E20:AH20, "✔") + COUNTIF(E20:AH20, "v") + COUNTIF(E20:AH20, "V")) &amp; "/" &amp; D20, (COUNTIF(E20:AH20, "✓") + COUNTIF(E20:AH20, "✔") + COUNTIF(E20:AH20, "v") + COUNTIF(E20:AH20, "V")) &amp; "/0"), IF(((COUNTIF(E20:AH20, "✓") + COUNTIF(E20:AH20, "✔") + COUNTIF(E20:AH20, "v") + COUNTIF(E20:AH20, "V")) + COUNTIF(E20:AH20, "✗") + COUNTIF(E20:AH20, "x") + COUNTIF(E20:AH20, "X"))&gt;0, (COUNTIF(E20:AH20, "✓") + COUNTIF(E20:AH20, "✔") + COUNTIF(E20:AH20, "v") + COUNTIF(E20:AH20, "V")) &amp; "/" &amp; ((COUNTIF(E20:AH20, "✓") + COUNTIF(E20:AH20, "✔") + COUNTIF(E20:AH20, "v") + COUNTIF(E20:AH20, "V")) + COUNTIF(E20:AH20, "✗") + COUNTIF(E20:AH20, "x") + COUNTIF(E20:AH20, "X")), "")))</f>
        <v/>
      </c>
      <c r="AK20" s="103">
        <f>IF(ISBLANK(B20), "", IF(AI20&gt;=0.85, "🔥 Mastered", IF(AI20&gt;=0.7, "⚡ Consistent", "⚠️ Needs Focus")))</f>
        <v/>
      </c>
      <c r="AL20">
        <f>COUNTIF(E20:AH20, "✓")</f>
        <v/>
      </c>
    </row>
    <row r="21" ht="14.5" customHeight="1">
      <c r="A21" s="97" t="n">
        <v>4</v>
      </c>
      <c r="B21" s="98" t="n"/>
      <c r="C21" s="99" t="n"/>
      <c r="D21" s="99" t="n"/>
      <c r="E21" s="100" t="n"/>
      <c r="F21" s="100" t="n"/>
      <c r="G21" s="100" t="n"/>
      <c r="H21" s="100" t="n"/>
      <c r="I21" s="100" t="n"/>
      <c r="J21" s="100" t="n"/>
      <c r="K21" s="101" t="n"/>
      <c r="L21" s="100" t="n"/>
      <c r="M21" s="100" t="n"/>
      <c r="N21" s="100" t="n"/>
      <c r="O21" s="100" t="n"/>
      <c r="P21" s="100" t="n"/>
      <c r="Q21" s="100" t="n"/>
      <c r="R21" s="101" t="n"/>
      <c r="S21" s="100" t="n"/>
      <c r="T21" s="100" t="n"/>
      <c r="U21" s="100" t="n"/>
      <c r="V21" s="100" t="n"/>
      <c r="W21" s="100" t="n"/>
      <c r="X21" s="100" t="n"/>
      <c r="Y21" s="101" t="n"/>
      <c r="Z21" s="100" t="n"/>
      <c r="AA21" s="100" t="n"/>
      <c r="AB21" s="100" t="n"/>
      <c r="AC21" s="100" t="n"/>
      <c r="AD21" s="100" t="n"/>
      <c r="AE21" s="100" t="n"/>
      <c r="AF21" s="101" t="n"/>
      <c r="AG21" s="100" t="n"/>
      <c r="AH21" s="100" t="n"/>
      <c r="AI21" s="102">
        <f>IF(ISBLANK(B21), "", IF(ISNUMBER(D21), IF(D21&gt;0, (COUNTIF(E21:AH21, "✓") + COUNTIF(E21:AH21, "✔") + COUNTIF(E21:AH21, "v") + COUNTIF(E21:AH21, "V"))/D21, 0), IF(((COUNTIF(E21:AH21, "✓") + COUNTIF(E21:AH21, "✔") + COUNTIF(E21:AH21, "v") + COUNTIF(E21:AH21, "V")) + COUNTIF(E21:AH21, "✗") + COUNTIF(E21:AH21, "x") + COUNTIF(E21:AH21, "X"))&gt;0, (COUNTIF(E21:AH21, "✓") + COUNTIF(E21:AH21, "✔") + COUNTIF(E21:AH21, "v") + COUNTIF(E21:AH21, "V"))/((COUNTIF(E21:AH21, "✓") + COUNTIF(E21:AH21, "✔") + COUNTIF(E21:AH21, "v") + COUNTIF(E21:AH21, "V")) + COUNTIF(E21:AH21, "✗") + COUNTIF(E21:AH21, "x") + COUNTIF(E21:AH21, "X")), "")))</f>
        <v/>
      </c>
      <c r="AJ21" s="103">
        <f>IF(ISBLANK(B21), "", IF(ISNUMBER(D21), IF(D21&gt;0, (COUNTIF(E21:AH21, "✓") + COUNTIF(E21:AH21, "✔") + COUNTIF(E21:AH21, "v") + COUNTIF(E21:AH21, "V")) &amp; "/" &amp; D21, (COUNTIF(E21:AH21, "✓") + COUNTIF(E21:AH21, "✔") + COUNTIF(E21:AH21, "v") + COUNTIF(E21:AH21, "V")) &amp; "/0"), IF(((COUNTIF(E21:AH21, "✓") + COUNTIF(E21:AH21, "✔") + COUNTIF(E21:AH21, "v") + COUNTIF(E21:AH21, "V")) + COUNTIF(E21:AH21, "✗") + COUNTIF(E21:AH21, "x") + COUNTIF(E21:AH21, "X"))&gt;0, (COUNTIF(E21:AH21, "✓") + COUNTIF(E21:AH21, "✔") + COUNTIF(E21:AH21, "v") + COUNTIF(E21:AH21, "V")) &amp; "/" &amp; ((COUNTIF(E21:AH21, "✓") + COUNTIF(E21:AH21, "✔") + COUNTIF(E21:AH21, "v") + COUNTIF(E21:AH21, "V")) + COUNTIF(E21:AH21, "✗") + COUNTIF(E21:AH21, "x") + COUNTIF(E21:AH21, "X")), "")))</f>
        <v/>
      </c>
      <c r="AK21" s="103">
        <f>IF(ISBLANK(B21), "", IF(AI21&gt;=0.85, "🔥 Mastered", IF(AI21&gt;=0.7, "⚡ Consistent", "⚠️ Needs Focus")))</f>
        <v/>
      </c>
      <c r="AL21">
        <f>COUNTIF(E21:AH21, "✓")</f>
        <v/>
      </c>
    </row>
    <row r="22" ht="14.5" customHeight="1">
      <c r="A22" s="104" t="n">
        <v>5</v>
      </c>
      <c r="B22" s="105" t="n"/>
      <c r="C22" s="106" t="n"/>
      <c r="D22" s="106" t="n"/>
      <c r="E22" s="107" t="n"/>
      <c r="F22" s="107" t="n"/>
      <c r="G22" s="107" t="n"/>
      <c r="H22" s="107" t="n"/>
      <c r="I22" s="107" t="n"/>
      <c r="J22" s="107" t="n"/>
      <c r="K22" s="108" t="n"/>
      <c r="L22" s="107" t="n"/>
      <c r="M22" s="107" t="n"/>
      <c r="N22" s="107" t="n"/>
      <c r="O22" s="107" t="n"/>
      <c r="P22" s="107" t="n"/>
      <c r="Q22" s="107" t="n"/>
      <c r="R22" s="108" t="n"/>
      <c r="S22" s="107" t="n"/>
      <c r="T22" s="107" t="n"/>
      <c r="U22" s="107" t="n"/>
      <c r="V22" s="107" t="n"/>
      <c r="W22" s="107" t="n"/>
      <c r="X22" s="107" t="n"/>
      <c r="Y22" s="108" t="n"/>
      <c r="Z22" s="107" t="n"/>
      <c r="AA22" s="107" t="n"/>
      <c r="AB22" s="107" t="n"/>
      <c r="AC22" s="107" t="n"/>
      <c r="AD22" s="107" t="n"/>
      <c r="AE22" s="107" t="n"/>
      <c r="AF22" s="108" t="n"/>
      <c r="AG22" s="107" t="n"/>
      <c r="AH22" s="107" t="n"/>
      <c r="AI22" s="109">
        <f>IF(ISBLANK(B22), "", IF(ISNUMBER(D22), IF(D22&gt;0, (COUNTIF(E22:AH22, "✓") + COUNTIF(E22:AH22, "✔") + COUNTIF(E22:AH22, "v") + COUNTIF(E22:AH22, "V"))/D22, 0), IF(((COUNTIF(E22:AH22, "✓") + COUNTIF(E22:AH22, "✔") + COUNTIF(E22:AH22, "v") + COUNTIF(E22:AH22, "V")) + COUNTIF(E22:AH22, "✗") + COUNTIF(E22:AH22, "x") + COUNTIF(E22:AH22, "X"))&gt;0, (COUNTIF(E22:AH22, "✓") + COUNTIF(E22:AH22, "✔") + COUNTIF(E22:AH22, "v") + COUNTIF(E22:AH22, "V"))/((COUNTIF(E22:AH22, "✓") + COUNTIF(E22:AH22, "✔") + COUNTIF(E22:AH22, "v") + COUNTIF(E22:AH22, "V")) + COUNTIF(E22:AH22, "✗") + COUNTIF(E22:AH22, "x") + COUNTIF(E22:AH22, "X")), "")))</f>
        <v/>
      </c>
      <c r="AJ22" s="110">
        <f>IF(ISBLANK(B22), "", IF(ISNUMBER(D22), IF(D22&gt;0, (COUNTIF(E22:AH22, "✓") + COUNTIF(E22:AH22, "✔") + COUNTIF(E22:AH22, "v") + COUNTIF(E22:AH22, "V")) &amp; "/" &amp; D22, (COUNTIF(E22:AH22, "✓") + COUNTIF(E22:AH22, "✔") + COUNTIF(E22:AH22, "v") + COUNTIF(E22:AH22, "V")) &amp; "/0"), IF(((COUNTIF(E22:AH22, "✓") + COUNTIF(E22:AH22, "✔") + COUNTIF(E22:AH22, "v") + COUNTIF(E22:AH22, "V")) + COUNTIF(E22:AH22, "✗") + COUNTIF(E22:AH22, "x") + COUNTIF(E22:AH22, "X"))&gt;0, (COUNTIF(E22:AH22, "✓") + COUNTIF(E22:AH22, "✔") + COUNTIF(E22:AH22, "v") + COUNTIF(E22:AH22, "V")) &amp; "/" &amp; ((COUNTIF(E22:AH22, "✓") + COUNTIF(E22:AH22, "✔") + COUNTIF(E22:AH22, "v") + COUNTIF(E22:AH22, "V")) + COUNTIF(E22:AH22, "✗") + COUNTIF(E22:AH22, "x") + COUNTIF(E22:AH22, "X")), "")))</f>
        <v/>
      </c>
      <c r="AK22" s="110">
        <f>IF(ISBLANK(B22), "", IF(AI22&gt;=0.85, "🔥 Mastered", IF(AI22&gt;=0.7, "⚡ Consistent", "⚠️ Needs Focus")))</f>
        <v/>
      </c>
      <c r="AL22">
        <f>COUNTIF(E22:AH22, "✓")</f>
        <v/>
      </c>
    </row>
    <row r="23" ht="14.5" customHeight="1">
      <c r="A23" s="104" t="n">
        <v>6</v>
      </c>
      <c r="B23" s="105" t="n"/>
      <c r="C23" s="106" t="n"/>
      <c r="D23" s="106" t="n"/>
      <c r="E23" s="107" t="n"/>
      <c r="F23" s="107" t="n"/>
      <c r="G23" s="107" t="n"/>
      <c r="H23" s="107" t="n"/>
      <c r="I23" s="107" t="n"/>
      <c r="J23" s="107" t="n"/>
      <c r="K23" s="108" t="n"/>
      <c r="L23" s="107" t="n"/>
      <c r="M23" s="107" t="n"/>
      <c r="N23" s="107" t="n"/>
      <c r="O23" s="107" t="n"/>
      <c r="P23" s="107" t="n"/>
      <c r="Q23" s="107" t="n"/>
      <c r="R23" s="108" t="n"/>
      <c r="S23" s="107" t="n"/>
      <c r="T23" s="107" t="n"/>
      <c r="U23" s="107" t="n"/>
      <c r="V23" s="107" t="n"/>
      <c r="W23" s="107" t="n"/>
      <c r="X23" s="107" t="n"/>
      <c r="Y23" s="108" t="n"/>
      <c r="Z23" s="107" t="n"/>
      <c r="AA23" s="107" t="n"/>
      <c r="AB23" s="107" t="n"/>
      <c r="AC23" s="107" t="n"/>
      <c r="AD23" s="107" t="n"/>
      <c r="AE23" s="107" t="n"/>
      <c r="AF23" s="108" t="n"/>
      <c r="AG23" s="107" t="n"/>
      <c r="AH23" s="107" t="n"/>
      <c r="AI23" s="109">
        <f>IF(ISBLANK(B23), "", IF(ISNUMBER(D23), IF(D23&gt;0, (COUNTIF(E23:AH23, "✓") + COUNTIF(E23:AH23, "✔") + COUNTIF(E23:AH23, "v") + COUNTIF(E23:AH23, "V"))/D23, 0), IF(((COUNTIF(E23:AH23, "✓") + COUNTIF(E23:AH23, "✔") + COUNTIF(E23:AH23, "v") + COUNTIF(E23:AH23, "V")) + COUNTIF(E23:AH23, "✗") + COUNTIF(E23:AH23, "x") + COUNTIF(E23:AH23, "X"))&gt;0, (COUNTIF(E23:AH23, "✓") + COUNTIF(E23:AH23, "✔") + COUNTIF(E23:AH23, "v") + COUNTIF(E23:AH23, "V"))/((COUNTIF(E23:AH23, "✓") + COUNTIF(E23:AH23, "✔") + COUNTIF(E23:AH23, "v") + COUNTIF(E23:AH23, "V")) + COUNTIF(E23:AH23, "✗") + COUNTIF(E23:AH23, "x") + COUNTIF(E23:AH23, "X")), "")))</f>
        <v/>
      </c>
      <c r="AJ23" s="110">
        <f>IF(ISBLANK(B23), "", IF(ISNUMBER(D23), IF(D23&gt;0, (COUNTIF(E23:AH23, "✓") + COUNTIF(E23:AH23, "✔") + COUNTIF(E23:AH23, "v") + COUNTIF(E23:AH23, "V")) &amp; "/" &amp; D23, (COUNTIF(E23:AH23, "✓") + COUNTIF(E23:AH23, "✔") + COUNTIF(E23:AH23, "v") + COUNTIF(E23:AH23, "V")) &amp; "/0"), IF(((COUNTIF(E23:AH23, "✓") + COUNTIF(E23:AH23, "✔") + COUNTIF(E23:AH23, "v") + COUNTIF(E23:AH23, "V")) + COUNTIF(E23:AH23, "✗") + COUNTIF(E23:AH23, "x") + COUNTIF(E23:AH23, "X"))&gt;0, (COUNTIF(E23:AH23, "✓") + COUNTIF(E23:AH23, "✔") + COUNTIF(E23:AH23, "v") + COUNTIF(E23:AH23, "V")) &amp; "/" &amp; ((COUNTIF(E23:AH23, "✓") + COUNTIF(E23:AH23, "✔") + COUNTIF(E23:AH23, "v") + COUNTIF(E23:AH23, "V")) + COUNTIF(E23:AH23, "✗") + COUNTIF(E23:AH23, "x") + COUNTIF(E23:AH23, "X")), "")))</f>
        <v/>
      </c>
      <c r="AK23" s="110">
        <f>IF(ISBLANK(B23), "", IF(AI23&gt;=0.85, "🔥 Mastered", IF(AI23&gt;=0.7, "⚡ Consistent", "⚠️ Needs Focus")))</f>
        <v/>
      </c>
      <c r="AL23">
        <f>COUNTIF(E23:AH23, "✓")</f>
        <v/>
      </c>
    </row>
    <row r="24" ht="14.5" customHeight="1">
      <c r="A24" s="104" t="n">
        <v>7</v>
      </c>
      <c r="B24" s="105" t="n"/>
      <c r="C24" s="106" t="n"/>
      <c r="D24" s="106" t="n"/>
      <c r="E24" s="107" t="n"/>
      <c r="F24" s="107" t="n"/>
      <c r="G24" s="107" t="n"/>
      <c r="H24" s="107" t="n"/>
      <c r="I24" s="107" t="n"/>
      <c r="J24" s="107" t="n"/>
      <c r="K24" s="108" t="n"/>
      <c r="L24" s="107" t="n"/>
      <c r="M24" s="107" t="n"/>
      <c r="N24" s="107" t="n"/>
      <c r="O24" s="107" t="n"/>
      <c r="P24" s="107" t="n"/>
      <c r="Q24" s="107" t="n"/>
      <c r="R24" s="108" t="n"/>
      <c r="S24" s="107" t="n"/>
      <c r="T24" s="107" t="n"/>
      <c r="U24" s="107" t="n"/>
      <c r="V24" s="107" t="n"/>
      <c r="W24" s="107" t="n"/>
      <c r="X24" s="107" t="n"/>
      <c r="Y24" s="108" t="n"/>
      <c r="Z24" s="107" t="n"/>
      <c r="AA24" s="107" t="n"/>
      <c r="AB24" s="107" t="n"/>
      <c r="AC24" s="107" t="n"/>
      <c r="AD24" s="107" t="n"/>
      <c r="AE24" s="107" t="n"/>
      <c r="AF24" s="108" t="n"/>
      <c r="AG24" s="107" t="n"/>
      <c r="AH24" s="107" t="n"/>
      <c r="AI24" s="109">
        <f>IF(ISBLANK(B24), "", IF(ISNUMBER(D24), IF(D24&gt;0, (COUNTIF(E24:AH24, "✓") + COUNTIF(E24:AH24, "✔") + COUNTIF(E24:AH24, "v") + COUNTIF(E24:AH24, "V"))/D24, 0), IF(((COUNTIF(E24:AH24, "✓") + COUNTIF(E24:AH24, "✔") + COUNTIF(E24:AH24, "v") + COUNTIF(E24:AH24, "V")) + COUNTIF(E24:AH24, "✗") + COUNTIF(E24:AH24, "x") + COUNTIF(E24:AH24, "X"))&gt;0, (COUNTIF(E24:AH24, "✓") + COUNTIF(E24:AH24, "✔") + COUNTIF(E24:AH24, "v") + COUNTIF(E24:AH24, "V"))/((COUNTIF(E24:AH24, "✓") + COUNTIF(E24:AH24, "✔") + COUNTIF(E24:AH24, "v") + COUNTIF(E24:AH24, "V")) + COUNTIF(E24:AH24, "✗") + COUNTIF(E24:AH24, "x") + COUNTIF(E24:AH24, "X")), "")))</f>
        <v/>
      </c>
      <c r="AJ24" s="110">
        <f>IF(ISBLANK(B24), "", IF(ISNUMBER(D24), IF(D24&gt;0, (COUNTIF(E24:AH24, "✓") + COUNTIF(E24:AH24, "✔") + COUNTIF(E24:AH24, "v") + COUNTIF(E24:AH24, "V")) &amp; "/" &amp; D24, (COUNTIF(E24:AH24, "✓") + COUNTIF(E24:AH24, "✔") + COUNTIF(E24:AH24, "v") + COUNTIF(E24:AH24, "V")) &amp; "/0"), IF(((COUNTIF(E24:AH24, "✓") + COUNTIF(E24:AH24, "✔") + COUNTIF(E24:AH24, "v") + COUNTIF(E24:AH24, "V")) + COUNTIF(E24:AH24, "✗") + COUNTIF(E24:AH24, "x") + COUNTIF(E24:AH24, "X"))&gt;0, (COUNTIF(E24:AH24, "✓") + COUNTIF(E24:AH24, "✔") + COUNTIF(E24:AH24, "v") + COUNTIF(E24:AH24, "V")) &amp; "/" &amp; ((COUNTIF(E24:AH24, "✓") + COUNTIF(E24:AH24, "✔") + COUNTIF(E24:AH24, "v") + COUNTIF(E24:AH24, "V")) + COUNTIF(E24:AH24, "✗") + COUNTIF(E24:AH24, "x") + COUNTIF(E24:AH24, "X")), "")))</f>
        <v/>
      </c>
      <c r="AK24" s="110">
        <f>IF(ISBLANK(B24), "", IF(AI24&gt;=0.85, "🔥 Mastered", IF(AI24&gt;=0.7, "⚡ Consistent", "⚠️ Needs Focus")))</f>
        <v/>
      </c>
      <c r="AL24">
        <f>COUNTIF(E24:AH24, "✓")</f>
        <v/>
      </c>
    </row>
    <row r="25" ht="14.5" customHeight="1">
      <c r="A25" s="104" t="n">
        <v>8</v>
      </c>
      <c r="B25" s="105" t="n"/>
      <c r="C25" s="106" t="n"/>
      <c r="D25" s="106" t="n"/>
      <c r="E25" s="107" t="n"/>
      <c r="F25" s="107" t="n"/>
      <c r="G25" s="107" t="n"/>
      <c r="H25" s="107" t="n"/>
      <c r="I25" s="107" t="n"/>
      <c r="J25" s="107" t="n"/>
      <c r="K25" s="108" t="n"/>
      <c r="L25" s="107" t="n"/>
      <c r="M25" s="107" t="n"/>
      <c r="N25" s="107" t="n"/>
      <c r="O25" s="107" t="n"/>
      <c r="P25" s="107" t="n"/>
      <c r="Q25" s="107" t="n"/>
      <c r="R25" s="108" t="n"/>
      <c r="S25" s="107" t="n"/>
      <c r="T25" s="107" t="n"/>
      <c r="U25" s="107" t="n"/>
      <c r="V25" s="107" t="n"/>
      <c r="W25" s="107" t="n"/>
      <c r="X25" s="107" t="n"/>
      <c r="Y25" s="108" t="n"/>
      <c r="Z25" s="107" t="n"/>
      <c r="AA25" s="107" t="n"/>
      <c r="AB25" s="107" t="n"/>
      <c r="AC25" s="107" t="n"/>
      <c r="AD25" s="107" t="n"/>
      <c r="AE25" s="107" t="n"/>
      <c r="AF25" s="108" t="n"/>
      <c r="AG25" s="107" t="n"/>
      <c r="AH25" s="107" t="n"/>
      <c r="AI25" s="109">
        <f>IF(ISBLANK(B25), "", IF(ISNUMBER(D25), IF(D25&gt;0, (COUNTIF(E25:AH25, "✓") + COUNTIF(E25:AH25, "✔") + COUNTIF(E25:AH25, "v") + COUNTIF(E25:AH25, "V"))/D25, 0), IF(((COUNTIF(E25:AH25, "✓") + COUNTIF(E25:AH25, "✔") + COUNTIF(E25:AH25, "v") + COUNTIF(E25:AH25, "V")) + COUNTIF(E25:AH25, "✗") + COUNTIF(E25:AH25, "x") + COUNTIF(E25:AH25, "X"))&gt;0, (COUNTIF(E25:AH25, "✓") + COUNTIF(E25:AH25, "✔") + COUNTIF(E25:AH25, "v") + COUNTIF(E25:AH25, "V"))/((COUNTIF(E25:AH25, "✓") + COUNTIF(E25:AH25, "✔") + COUNTIF(E25:AH25, "v") + COUNTIF(E25:AH25, "V")) + COUNTIF(E25:AH25, "✗") + COUNTIF(E25:AH25, "x") + COUNTIF(E25:AH25, "X")), "")))</f>
        <v/>
      </c>
      <c r="AJ25" s="110">
        <f>IF(ISBLANK(B25), "", IF(ISNUMBER(D25), IF(D25&gt;0, (COUNTIF(E25:AH25, "✓") + COUNTIF(E25:AH25, "✔") + COUNTIF(E25:AH25, "v") + COUNTIF(E25:AH25, "V")) &amp; "/" &amp; D25, (COUNTIF(E25:AH25, "✓") + COUNTIF(E25:AH25, "✔") + COUNTIF(E25:AH25, "v") + COUNTIF(E25:AH25, "V")) &amp; "/0"), IF(((COUNTIF(E25:AH25, "✓") + COUNTIF(E25:AH25, "✔") + COUNTIF(E25:AH25, "v") + COUNTIF(E25:AH25, "V")) + COUNTIF(E25:AH25, "✗") + COUNTIF(E25:AH25, "x") + COUNTIF(E25:AH25, "X"))&gt;0, (COUNTIF(E25:AH25, "✓") + COUNTIF(E25:AH25, "✔") + COUNTIF(E25:AH25, "v") + COUNTIF(E25:AH25, "V")) &amp; "/" &amp; ((COUNTIF(E25:AH25, "✓") + COUNTIF(E25:AH25, "✔") + COUNTIF(E25:AH25, "v") + COUNTIF(E25:AH25, "V")) + COUNTIF(E25:AH25, "✗") + COUNTIF(E25:AH25, "x") + COUNTIF(E25:AH25, "X")), "")))</f>
        <v/>
      </c>
      <c r="AK25" s="110">
        <f>IF(ISBLANK(B25), "", IF(AI25&gt;=0.85, "🔥 Mastered", IF(AI25&gt;=0.7, "⚡ Consistent", "⚠️ Needs Focus")))</f>
        <v/>
      </c>
      <c r="AL25">
        <f>COUNTIF(E25:AH25, "✓")</f>
        <v/>
      </c>
    </row>
    <row r="26" ht="14.5" customHeight="1">
      <c r="A26" s="111" t="n">
        <v>9</v>
      </c>
      <c r="B26" s="112" t="n"/>
      <c r="C26" s="113" t="n"/>
      <c r="D26" s="113" t="n"/>
      <c r="E26" s="114" t="n"/>
      <c r="F26" s="114" t="n"/>
      <c r="G26" s="114" t="n"/>
      <c r="H26" s="114" t="n"/>
      <c r="I26" s="114" t="n"/>
      <c r="J26" s="114" t="n"/>
      <c r="K26" s="115" t="n"/>
      <c r="L26" s="114" t="n"/>
      <c r="M26" s="114" t="n"/>
      <c r="N26" s="114" t="n"/>
      <c r="O26" s="114" t="n"/>
      <c r="P26" s="114" t="n"/>
      <c r="Q26" s="114" t="n"/>
      <c r="R26" s="115" t="n"/>
      <c r="S26" s="114" t="n"/>
      <c r="T26" s="114" t="n"/>
      <c r="U26" s="114" t="n"/>
      <c r="V26" s="114" t="n"/>
      <c r="W26" s="114" t="n"/>
      <c r="X26" s="114" t="n"/>
      <c r="Y26" s="115" t="n"/>
      <c r="Z26" s="114" t="n"/>
      <c r="AA26" s="114" t="n"/>
      <c r="AB26" s="114" t="n"/>
      <c r="AC26" s="114" t="n"/>
      <c r="AD26" s="114" t="n"/>
      <c r="AE26" s="114" t="n"/>
      <c r="AF26" s="115" t="n"/>
      <c r="AG26" s="114" t="n"/>
      <c r="AH26" s="114" t="n"/>
      <c r="AI26" s="116">
        <f>IF(ISBLANK(B26), "", IF(ISNUMBER(D26), IF(D26&gt;0, (COUNTIF(E26:AH26, "✓") + COUNTIF(E26:AH26, "✔") + COUNTIF(E26:AH26, "v") + COUNTIF(E26:AH26, "V"))/D26, 0), IF(((COUNTIF(E26:AH26, "✓") + COUNTIF(E26:AH26, "✔") + COUNTIF(E26:AH26, "v") + COUNTIF(E26:AH26, "V")) + COUNTIF(E26:AH26, "✗") + COUNTIF(E26:AH26, "x") + COUNTIF(E26:AH26, "X"))&gt;0, (COUNTIF(E26:AH26, "✓") + COUNTIF(E26:AH26, "✔") + COUNTIF(E26:AH26, "v") + COUNTIF(E26:AH26, "V"))/((COUNTIF(E26:AH26, "✓") + COUNTIF(E26:AH26, "✔") + COUNTIF(E26:AH26, "v") + COUNTIF(E26:AH26, "V")) + COUNTIF(E26:AH26, "✗") + COUNTIF(E26:AH26, "x") + COUNTIF(E26:AH26, "X")), "")))</f>
        <v/>
      </c>
      <c r="AJ26" s="117">
        <f>IF(ISBLANK(B26), "", IF(ISNUMBER(D26), IF(D26&gt;0, (COUNTIF(E26:AH26, "✓") + COUNTIF(E26:AH26, "✔") + COUNTIF(E26:AH26, "v") + COUNTIF(E26:AH26, "V")) &amp; "/" &amp; D26, (COUNTIF(E26:AH26, "✓") + COUNTIF(E26:AH26, "✔") + COUNTIF(E26:AH26, "v") + COUNTIF(E26:AH26, "V")) &amp; "/0"), IF(((COUNTIF(E26:AH26, "✓") + COUNTIF(E26:AH26, "✔") + COUNTIF(E26:AH26, "v") + COUNTIF(E26:AH26, "V")) + COUNTIF(E26:AH26, "✗") + COUNTIF(E26:AH26, "x") + COUNTIF(E26:AH26, "X"))&gt;0, (COUNTIF(E26:AH26, "✓") + COUNTIF(E26:AH26, "✔") + COUNTIF(E26:AH26, "v") + COUNTIF(E26:AH26, "V")) &amp; "/" &amp; ((COUNTIF(E26:AH26, "✓") + COUNTIF(E26:AH26, "✔") + COUNTIF(E26:AH26, "v") + COUNTIF(E26:AH26, "V")) + COUNTIF(E26:AH26, "✗") + COUNTIF(E26:AH26, "x") + COUNTIF(E26:AH26, "X")), "")))</f>
        <v/>
      </c>
      <c r="AK26" s="117">
        <f>IF(ISBLANK(B26), "", IF(AI26&gt;=0.85, "🔥 Mastered", IF(AI26&gt;=0.7, "⚡ Consistent", "⚠️ Needs Focus")))</f>
        <v/>
      </c>
      <c r="AL26">
        <f>COUNTIF(E26:AH26, "✓")</f>
        <v/>
      </c>
    </row>
    <row r="27" ht="14.5" customHeight="1">
      <c r="A27" s="111" t="n">
        <v>10</v>
      </c>
      <c r="B27" s="112" t="n"/>
      <c r="C27" s="113" t="n"/>
      <c r="D27" s="113" t="n"/>
      <c r="E27" s="114" t="n"/>
      <c r="F27" s="114" t="n"/>
      <c r="G27" s="114" t="n"/>
      <c r="H27" s="114" t="n"/>
      <c r="I27" s="114" t="n"/>
      <c r="J27" s="114" t="n"/>
      <c r="K27" s="115" t="n"/>
      <c r="L27" s="114" t="n"/>
      <c r="M27" s="114" t="n"/>
      <c r="N27" s="114" t="n"/>
      <c r="O27" s="114" t="n"/>
      <c r="P27" s="114" t="n"/>
      <c r="Q27" s="114" t="n"/>
      <c r="R27" s="115" t="n"/>
      <c r="S27" s="114" t="n"/>
      <c r="T27" s="114" t="n"/>
      <c r="U27" s="114" t="n"/>
      <c r="V27" s="114" t="n"/>
      <c r="W27" s="114" t="n"/>
      <c r="X27" s="114" t="n"/>
      <c r="Y27" s="115" t="n"/>
      <c r="Z27" s="114" t="n"/>
      <c r="AA27" s="114" t="n"/>
      <c r="AB27" s="114" t="n"/>
      <c r="AC27" s="114" t="n"/>
      <c r="AD27" s="114" t="n"/>
      <c r="AE27" s="114" t="n"/>
      <c r="AF27" s="115" t="n"/>
      <c r="AG27" s="114" t="n"/>
      <c r="AH27" s="114" t="n"/>
      <c r="AI27" s="116">
        <f>IF(ISBLANK(B27), "", IF(ISNUMBER(D27), IF(D27&gt;0, (COUNTIF(E27:AH27, "✓") + COUNTIF(E27:AH27, "✔") + COUNTIF(E27:AH27, "v") + COUNTIF(E27:AH27, "V"))/D27, 0), IF(((COUNTIF(E27:AH27, "✓") + COUNTIF(E27:AH27, "✔") + COUNTIF(E27:AH27, "v") + COUNTIF(E27:AH27, "V")) + COUNTIF(E27:AH27, "✗") + COUNTIF(E27:AH27, "x") + COUNTIF(E27:AH27, "X"))&gt;0, (COUNTIF(E27:AH27, "✓") + COUNTIF(E27:AH27, "✔") + COUNTIF(E27:AH27, "v") + COUNTIF(E27:AH27, "V"))/((COUNTIF(E27:AH27, "✓") + COUNTIF(E27:AH27, "✔") + COUNTIF(E27:AH27, "v") + COUNTIF(E27:AH27, "V")) + COUNTIF(E27:AH27, "✗") + COUNTIF(E27:AH27, "x") + COUNTIF(E27:AH27, "X")), "")))</f>
        <v/>
      </c>
      <c r="AJ27" s="117">
        <f>IF(ISBLANK(B27), "", IF(ISNUMBER(D27), IF(D27&gt;0, (COUNTIF(E27:AH27, "✓") + COUNTIF(E27:AH27, "✔") + COUNTIF(E27:AH27, "v") + COUNTIF(E27:AH27, "V")) &amp; "/" &amp; D27, (COUNTIF(E27:AH27, "✓") + COUNTIF(E27:AH27, "✔") + COUNTIF(E27:AH27, "v") + COUNTIF(E27:AH27, "V")) &amp; "/0"), IF(((COUNTIF(E27:AH27, "✓") + COUNTIF(E27:AH27, "✔") + COUNTIF(E27:AH27, "v") + COUNTIF(E27:AH27, "V")) + COUNTIF(E27:AH27, "✗") + COUNTIF(E27:AH27, "x") + COUNTIF(E27:AH27, "X"))&gt;0, (COUNTIF(E27:AH27, "✓") + COUNTIF(E27:AH27, "✔") + COUNTIF(E27:AH27, "v") + COUNTIF(E27:AH27, "V")) &amp; "/" &amp; ((COUNTIF(E27:AH27, "✓") + COUNTIF(E27:AH27, "✔") + COUNTIF(E27:AH27, "v") + COUNTIF(E27:AH27, "V")) + COUNTIF(E27:AH27, "✗") + COUNTIF(E27:AH27, "x") + COUNTIF(E27:AH27, "X")), "")))</f>
        <v/>
      </c>
      <c r="AK27" s="117">
        <f>IF(ISBLANK(B27), "", IF(AI27&gt;=0.85, "🔥 Mastered", IF(AI27&gt;=0.7, "⚡ Consistent", "⚠️ Needs Focus")))</f>
        <v/>
      </c>
      <c r="AL27">
        <f>COUNTIF(E27:AH27, "✓")</f>
        <v/>
      </c>
    </row>
    <row r="28" ht="14.5" customHeight="1">
      <c r="A28" s="111" t="n">
        <v>11</v>
      </c>
      <c r="B28" s="112" t="n"/>
      <c r="C28" s="113" t="n"/>
      <c r="D28" s="113" t="n"/>
      <c r="E28" s="114" t="n"/>
      <c r="F28" s="114" t="n"/>
      <c r="G28" s="114" t="n"/>
      <c r="H28" s="114" t="n"/>
      <c r="I28" s="114" t="n"/>
      <c r="J28" s="114" t="n"/>
      <c r="K28" s="115" t="n"/>
      <c r="L28" s="114" t="n"/>
      <c r="M28" s="114" t="n"/>
      <c r="N28" s="114" t="n"/>
      <c r="O28" s="114" t="n"/>
      <c r="P28" s="114" t="n"/>
      <c r="Q28" s="114" t="n"/>
      <c r="R28" s="115" t="n"/>
      <c r="S28" s="114" t="n"/>
      <c r="T28" s="114" t="n"/>
      <c r="U28" s="114" t="n"/>
      <c r="V28" s="114" t="n"/>
      <c r="W28" s="114" t="n"/>
      <c r="X28" s="114" t="n"/>
      <c r="Y28" s="115" t="n"/>
      <c r="Z28" s="114" t="n"/>
      <c r="AA28" s="114" t="n"/>
      <c r="AB28" s="114" t="n"/>
      <c r="AC28" s="114" t="n"/>
      <c r="AD28" s="114" t="n"/>
      <c r="AE28" s="114" t="n"/>
      <c r="AF28" s="115" t="n"/>
      <c r="AG28" s="114" t="n"/>
      <c r="AH28" s="114" t="n"/>
      <c r="AI28" s="116">
        <f>IF(ISBLANK(B28), "", IF(ISNUMBER(D28), IF(D28&gt;0, (COUNTIF(E28:AH28, "✓") + COUNTIF(E28:AH28, "✔") + COUNTIF(E28:AH28, "v") + COUNTIF(E28:AH28, "V"))/D28, 0), IF(((COUNTIF(E28:AH28, "✓") + COUNTIF(E28:AH28, "✔") + COUNTIF(E28:AH28, "v") + COUNTIF(E28:AH28, "V")) + COUNTIF(E28:AH28, "✗") + COUNTIF(E28:AH28, "x") + COUNTIF(E28:AH28, "X"))&gt;0, (COUNTIF(E28:AH28, "✓") + COUNTIF(E28:AH28, "✔") + COUNTIF(E28:AH28, "v") + COUNTIF(E28:AH28, "V"))/((COUNTIF(E28:AH28, "✓") + COUNTIF(E28:AH28, "✔") + COUNTIF(E28:AH28, "v") + COUNTIF(E28:AH28, "V")) + COUNTIF(E28:AH28, "✗") + COUNTIF(E28:AH28, "x") + COUNTIF(E28:AH28, "X")), "")))</f>
        <v/>
      </c>
      <c r="AJ28" s="117">
        <f>IF(ISBLANK(B28), "", IF(ISNUMBER(D28), IF(D28&gt;0, (COUNTIF(E28:AH28, "✓") + COUNTIF(E28:AH28, "✔") + COUNTIF(E28:AH28, "v") + COUNTIF(E28:AH28, "V")) &amp; "/" &amp; D28, (COUNTIF(E28:AH28, "✓") + COUNTIF(E28:AH28, "✔") + COUNTIF(E28:AH28, "v") + COUNTIF(E28:AH28, "V")) &amp; "/0"), IF(((COUNTIF(E28:AH28, "✓") + COUNTIF(E28:AH28, "✔") + COUNTIF(E28:AH28, "v") + COUNTIF(E28:AH28, "V")) + COUNTIF(E28:AH28, "✗") + COUNTIF(E28:AH28, "x") + COUNTIF(E28:AH28, "X"))&gt;0, (COUNTIF(E28:AH28, "✓") + COUNTIF(E28:AH28, "✔") + COUNTIF(E28:AH28, "v") + COUNTIF(E28:AH28, "V")) &amp; "/" &amp; ((COUNTIF(E28:AH28, "✓") + COUNTIF(E28:AH28, "✔") + COUNTIF(E28:AH28, "v") + COUNTIF(E28:AH28, "V")) + COUNTIF(E28:AH28, "✗") + COUNTIF(E28:AH28, "x") + COUNTIF(E28:AH28, "X")), "")))</f>
        <v/>
      </c>
      <c r="AK28" s="117">
        <f>IF(ISBLANK(B28), "", IF(AI28&gt;=0.85, "🔥 Mastered", IF(AI28&gt;=0.7, "⚡ Consistent", "⚠️ Needs Focus")))</f>
        <v/>
      </c>
      <c r="AL28">
        <f>COUNTIF(E28:AH28, "✓")</f>
        <v/>
      </c>
    </row>
    <row r="29" ht="14.5" customHeight="1">
      <c r="A29" s="111" t="n">
        <v>12</v>
      </c>
      <c r="B29" s="112" t="n"/>
      <c r="C29" s="113" t="n"/>
      <c r="D29" s="113" t="n"/>
      <c r="E29" s="114" t="n"/>
      <c r="F29" s="114" t="n"/>
      <c r="G29" s="114" t="n"/>
      <c r="H29" s="114" t="n"/>
      <c r="I29" s="114" t="n"/>
      <c r="J29" s="114" t="n"/>
      <c r="K29" s="115" t="n"/>
      <c r="L29" s="114" t="n"/>
      <c r="M29" s="114" t="n"/>
      <c r="N29" s="114" t="n"/>
      <c r="O29" s="114" t="n"/>
      <c r="P29" s="114" t="n"/>
      <c r="Q29" s="114" t="n"/>
      <c r="R29" s="115" t="n"/>
      <c r="S29" s="114" t="n"/>
      <c r="T29" s="114" t="n"/>
      <c r="U29" s="114" t="n"/>
      <c r="V29" s="114" t="n"/>
      <c r="W29" s="114" t="n"/>
      <c r="X29" s="114" t="n"/>
      <c r="Y29" s="115" t="n"/>
      <c r="Z29" s="114" t="n"/>
      <c r="AA29" s="114" t="n"/>
      <c r="AB29" s="114" t="n"/>
      <c r="AC29" s="114" t="n"/>
      <c r="AD29" s="114" t="n"/>
      <c r="AE29" s="114" t="n"/>
      <c r="AF29" s="115" t="n"/>
      <c r="AG29" s="114" t="n"/>
      <c r="AH29" s="114" t="n"/>
      <c r="AI29" s="116">
        <f>IF(ISBLANK(B29), "", IF(ISNUMBER(D29), IF(D29&gt;0, (COUNTIF(E29:AH29, "✓") + COUNTIF(E29:AH29, "✔") + COUNTIF(E29:AH29, "v") + COUNTIF(E29:AH29, "V"))/D29, 0), IF(((COUNTIF(E29:AH29, "✓") + COUNTIF(E29:AH29, "✔") + COUNTIF(E29:AH29, "v") + COUNTIF(E29:AH29, "V")) + COUNTIF(E29:AH29, "✗") + COUNTIF(E29:AH29, "x") + COUNTIF(E29:AH29, "X"))&gt;0, (COUNTIF(E29:AH29, "✓") + COUNTIF(E29:AH29, "✔") + COUNTIF(E29:AH29, "v") + COUNTIF(E29:AH29, "V"))/((COUNTIF(E29:AH29, "✓") + COUNTIF(E29:AH29, "✔") + COUNTIF(E29:AH29, "v") + COUNTIF(E29:AH29, "V")) + COUNTIF(E29:AH29, "✗") + COUNTIF(E29:AH29, "x") + COUNTIF(E29:AH29, "X")), "")))</f>
        <v/>
      </c>
      <c r="AJ29" s="117">
        <f>IF(ISBLANK(B29), "", IF(ISNUMBER(D29), IF(D29&gt;0, (COUNTIF(E29:AH29, "✓") + COUNTIF(E29:AH29, "✔") + COUNTIF(E29:AH29, "v") + COUNTIF(E29:AH29, "V")) &amp; "/" &amp; D29, (COUNTIF(E29:AH29, "✓") + COUNTIF(E29:AH29, "✔") + COUNTIF(E29:AH29, "v") + COUNTIF(E29:AH29, "V")) &amp; "/0"), IF(((COUNTIF(E29:AH29, "✓") + COUNTIF(E29:AH29, "✔") + COUNTIF(E29:AH29, "v") + COUNTIF(E29:AH29, "V")) + COUNTIF(E29:AH29, "✗") + COUNTIF(E29:AH29, "x") + COUNTIF(E29:AH29, "X"))&gt;0, (COUNTIF(E29:AH29, "✓") + COUNTIF(E29:AH29, "✔") + COUNTIF(E29:AH29, "v") + COUNTIF(E29:AH29, "V")) &amp; "/" &amp; ((COUNTIF(E29:AH29, "✓") + COUNTIF(E29:AH29, "✔") + COUNTIF(E29:AH29, "v") + COUNTIF(E29:AH29, "V")) + COUNTIF(E29:AH29, "✗") + COUNTIF(E29:AH29, "x") + COUNTIF(E29:AH29, "X")), "")))</f>
        <v/>
      </c>
      <c r="AK29" s="117">
        <f>IF(ISBLANK(B29), "", IF(AI29&gt;=0.85, "🔥 Mastered", IF(AI29&gt;=0.7, "⚡ Consistent", "⚠️ Needs Focus")))</f>
        <v/>
      </c>
      <c r="AL29">
        <f>COUNTIF(E29:AH29, "✓")</f>
        <v/>
      </c>
    </row>
    <row r="30" ht="14.5" customHeight="1">
      <c r="A30" s="118" t="n">
        <v>13</v>
      </c>
      <c r="B30" s="119" t="n"/>
      <c r="C30" s="120" t="n"/>
      <c r="D30" s="120" t="n"/>
      <c r="E30" s="121" t="n"/>
      <c r="F30" s="121" t="n"/>
      <c r="G30" s="121" t="n"/>
      <c r="H30" s="121" t="n"/>
      <c r="I30" s="121" t="n"/>
      <c r="J30" s="121" t="n"/>
      <c r="K30" s="122" t="n"/>
      <c r="L30" s="121" t="n"/>
      <c r="M30" s="121" t="n"/>
      <c r="N30" s="121" t="n"/>
      <c r="O30" s="121" t="n"/>
      <c r="P30" s="121" t="n"/>
      <c r="Q30" s="121" t="n"/>
      <c r="R30" s="122" t="n"/>
      <c r="S30" s="121" t="n"/>
      <c r="T30" s="121" t="n"/>
      <c r="U30" s="121" t="n"/>
      <c r="V30" s="121" t="n"/>
      <c r="W30" s="121" t="n"/>
      <c r="X30" s="121" t="n"/>
      <c r="Y30" s="122" t="n"/>
      <c r="Z30" s="121" t="n"/>
      <c r="AA30" s="121" t="n"/>
      <c r="AB30" s="121" t="n"/>
      <c r="AC30" s="121" t="n"/>
      <c r="AD30" s="121" t="n"/>
      <c r="AE30" s="121" t="n"/>
      <c r="AF30" s="122" t="n"/>
      <c r="AG30" s="121" t="n"/>
      <c r="AH30" s="121" t="n"/>
      <c r="AI30" s="123">
        <f>IF(ISBLANK(B30), "", IF(ISNUMBER(D30), IF(D30&gt;0, (COUNTIF(E30:AH30, "✓") + COUNTIF(E30:AH30, "✔") + COUNTIF(E30:AH30, "v") + COUNTIF(E30:AH30, "V"))/D30, 0), IF(((COUNTIF(E30:AH30, "✓") + COUNTIF(E30:AH30, "✔") + COUNTIF(E30:AH30, "v") + COUNTIF(E30:AH30, "V")) + COUNTIF(E30:AH30, "✗") + COUNTIF(E30:AH30, "x") + COUNTIF(E30:AH30, "X"))&gt;0, (COUNTIF(E30:AH30, "✓") + COUNTIF(E30:AH30, "✔") + COUNTIF(E30:AH30, "v") + COUNTIF(E30:AH30, "V"))/((COUNTIF(E30:AH30, "✓") + COUNTIF(E30:AH30, "✔") + COUNTIF(E30:AH30, "v") + COUNTIF(E30:AH30, "V")) + COUNTIF(E30:AH30, "✗") + COUNTIF(E30:AH30, "x") + COUNTIF(E30:AH30, "X")), "")))</f>
        <v/>
      </c>
      <c r="AJ30" s="124">
        <f>IF(ISBLANK(B30), "", IF(ISNUMBER(D30), IF(D30&gt;0, (COUNTIF(E30:AH30, "✓") + COUNTIF(E30:AH30, "✔") + COUNTIF(E30:AH30, "v") + COUNTIF(E30:AH30, "V")) &amp; "/" &amp; D30, (COUNTIF(E30:AH30, "✓") + COUNTIF(E30:AH30, "✔") + COUNTIF(E30:AH30, "v") + COUNTIF(E30:AH30, "V")) &amp; "/0"), IF(((COUNTIF(E30:AH30, "✓") + COUNTIF(E30:AH30, "✔") + COUNTIF(E30:AH30, "v") + COUNTIF(E30:AH30, "V")) + COUNTIF(E30:AH30, "✗") + COUNTIF(E30:AH30, "x") + COUNTIF(E30:AH30, "X"))&gt;0, (COUNTIF(E30:AH30, "✓") + COUNTIF(E30:AH30, "✔") + COUNTIF(E30:AH30, "v") + COUNTIF(E30:AH30, "V")) &amp; "/" &amp; ((COUNTIF(E30:AH30, "✓") + COUNTIF(E30:AH30, "✔") + COUNTIF(E30:AH30, "v") + COUNTIF(E30:AH30, "V")) + COUNTIF(E30:AH30, "✗") + COUNTIF(E30:AH30, "x") + COUNTIF(E30:AH30, "X")), "")))</f>
        <v/>
      </c>
      <c r="AK30" s="124">
        <f>IF(ISBLANK(B30), "", IF(AI30&gt;=0.85, "🔥 Mastered", IF(AI30&gt;=0.7, "⚡ Consistent", "⚠️ Needs Focus")))</f>
        <v/>
      </c>
      <c r="AL30">
        <f>COUNTIF(E30:AH30, "✓")</f>
        <v/>
      </c>
    </row>
    <row r="31" ht="14.5" customHeight="1">
      <c r="A31" s="118" t="n">
        <v>14</v>
      </c>
      <c r="B31" s="119" t="n"/>
      <c r="C31" s="120" t="n"/>
      <c r="D31" s="120" t="n"/>
      <c r="E31" s="121" t="n"/>
      <c r="F31" s="121" t="n"/>
      <c r="G31" s="121" t="n"/>
      <c r="H31" s="121" t="n"/>
      <c r="I31" s="121" t="n"/>
      <c r="J31" s="121" t="n"/>
      <c r="K31" s="122" t="n"/>
      <c r="L31" s="121" t="n"/>
      <c r="M31" s="121" t="n"/>
      <c r="N31" s="121" t="n"/>
      <c r="O31" s="121" t="n"/>
      <c r="P31" s="121" t="n"/>
      <c r="Q31" s="121" t="n"/>
      <c r="R31" s="122" t="n"/>
      <c r="S31" s="121" t="n"/>
      <c r="T31" s="121" t="n"/>
      <c r="U31" s="121" t="n"/>
      <c r="V31" s="121" t="n"/>
      <c r="W31" s="121" t="n"/>
      <c r="X31" s="121" t="n"/>
      <c r="Y31" s="122" t="n"/>
      <c r="Z31" s="121" t="n"/>
      <c r="AA31" s="121" t="n"/>
      <c r="AB31" s="121" t="n"/>
      <c r="AC31" s="121" t="n"/>
      <c r="AD31" s="121" t="n"/>
      <c r="AE31" s="121" t="n"/>
      <c r="AF31" s="122" t="n"/>
      <c r="AG31" s="121" t="n"/>
      <c r="AH31" s="121" t="n"/>
      <c r="AI31" s="123">
        <f>IF(ISBLANK(B31), "", IF(ISNUMBER(D31), IF(D31&gt;0, (COUNTIF(E31:AH31, "✓") + COUNTIF(E31:AH31, "✔") + COUNTIF(E31:AH31, "v") + COUNTIF(E31:AH31, "V"))/D31, 0), IF(((COUNTIF(E31:AH31, "✓") + COUNTIF(E31:AH31, "✔") + COUNTIF(E31:AH31, "v") + COUNTIF(E31:AH31, "V")) + COUNTIF(E31:AH31, "✗") + COUNTIF(E31:AH31, "x") + COUNTIF(E31:AH31, "X"))&gt;0, (COUNTIF(E31:AH31, "✓") + COUNTIF(E31:AH31, "✔") + COUNTIF(E31:AH31, "v") + COUNTIF(E31:AH31, "V"))/((COUNTIF(E31:AH31, "✓") + COUNTIF(E31:AH31, "✔") + COUNTIF(E31:AH31, "v") + COUNTIF(E31:AH31, "V")) + COUNTIF(E31:AH31, "✗") + COUNTIF(E31:AH31, "x") + COUNTIF(E31:AH31, "X")), "")))</f>
        <v/>
      </c>
      <c r="AJ31" s="124">
        <f>IF(ISBLANK(B31), "", IF(ISNUMBER(D31), IF(D31&gt;0, (COUNTIF(E31:AH31, "✓") + COUNTIF(E31:AH31, "✔") + COUNTIF(E31:AH31, "v") + COUNTIF(E31:AH31, "V")) &amp; "/" &amp; D31, (COUNTIF(E31:AH31, "✓") + COUNTIF(E31:AH31, "✔") + COUNTIF(E31:AH31, "v") + COUNTIF(E31:AH31, "V")) &amp; "/0"), IF(((COUNTIF(E31:AH31, "✓") + COUNTIF(E31:AH31, "✔") + COUNTIF(E31:AH31, "v") + COUNTIF(E31:AH31, "V")) + COUNTIF(E31:AH31, "✗") + COUNTIF(E31:AH31, "x") + COUNTIF(E31:AH31, "X"))&gt;0, (COUNTIF(E31:AH31, "✓") + COUNTIF(E31:AH31, "✔") + COUNTIF(E31:AH31, "v") + COUNTIF(E31:AH31, "V")) &amp; "/" &amp; ((COUNTIF(E31:AH31, "✓") + COUNTIF(E31:AH31, "✔") + COUNTIF(E31:AH31, "v") + COUNTIF(E31:AH31, "V")) + COUNTIF(E31:AH31, "✗") + COUNTIF(E31:AH31, "x") + COUNTIF(E31:AH31, "X")), "")))</f>
        <v/>
      </c>
      <c r="AK31" s="124">
        <f>IF(ISBLANK(B31), "", IF(AI31&gt;=0.85, "🔥 Mastered", IF(AI31&gt;=0.7, "⚡ Consistent", "⚠️ Needs Focus")))</f>
        <v/>
      </c>
      <c r="AL31">
        <f>COUNTIF(E31:AH31, "✓")</f>
        <v/>
      </c>
    </row>
    <row r="32" ht="14.5" customHeight="1">
      <c r="A32" s="118" t="n">
        <v>15</v>
      </c>
      <c r="B32" s="119" t="n"/>
      <c r="C32" s="120" t="n"/>
      <c r="D32" s="120" t="n"/>
      <c r="E32" s="121" t="n"/>
      <c r="F32" s="121" t="n"/>
      <c r="G32" s="121" t="n"/>
      <c r="H32" s="121" t="n"/>
      <c r="I32" s="121" t="n"/>
      <c r="J32" s="121" t="n"/>
      <c r="K32" s="122" t="n"/>
      <c r="L32" s="121" t="n"/>
      <c r="M32" s="121" t="n"/>
      <c r="N32" s="121" t="n"/>
      <c r="O32" s="121" t="n"/>
      <c r="P32" s="121" t="n"/>
      <c r="Q32" s="121" t="n"/>
      <c r="R32" s="122" t="n"/>
      <c r="S32" s="121" t="n"/>
      <c r="T32" s="121" t="n"/>
      <c r="U32" s="121" t="n"/>
      <c r="V32" s="121" t="n"/>
      <c r="W32" s="121" t="n"/>
      <c r="X32" s="121" t="n"/>
      <c r="Y32" s="122" t="n"/>
      <c r="Z32" s="121" t="n"/>
      <c r="AA32" s="121" t="n"/>
      <c r="AB32" s="121" t="n"/>
      <c r="AC32" s="121" t="n"/>
      <c r="AD32" s="121" t="n"/>
      <c r="AE32" s="121" t="n"/>
      <c r="AF32" s="122" t="n"/>
      <c r="AG32" s="121" t="n"/>
      <c r="AH32" s="121" t="n"/>
      <c r="AI32" s="123">
        <f>IF(ISBLANK(B32), "", IF(ISNUMBER(D32), IF(D32&gt;0, (COUNTIF(E32:AH32, "✓") + COUNTIF(E32:AH32, "✔") + COUNTIF(E32:AH32, "v") + COUNTIF(E32:AH32, "V"))/D32, 0), IF(((COUNTIF(E32:AH32, "✓") + COUNTIF(E32:AH32, "✔") + COUNTIF(E32:AH32, "v") + COUNTIF(E32:AH32, "V")) + COUNTIF(E32:AH32, "✗") + COUNTIF(E32:AH32, "x") + COUNTIF(E32:AH32, "X"))&gt;0, (COUNTIF(E32:AH32, "✓") + COUNTIF(E32:AH32, "✔") + COUNTIF(E32:AH32, "v") + COUNTIF(E32:AH32, "V"))/((COUNTIF(E32:AH32, "✓") + COUNTIF(E32:AH32, "✔") + COUNTIF(E32:AH32, "v") + COUNTIF(E32:AH32, "V")) + COUNTIF(E32:AH32, "✗") + COUNTIF(E32:AH32, "x") + COUNTIF(E32:AH32, "X")), "")))</f>
        <v/>
      </c>
      <c r="AJ32" s="124">
        <f>IF(ISBLANK(B32), "", IF(ISNUMBER(D32), IF(D32&gt;0, (COUNTIF(E32:AH32, "✓") + COUNTIF(E32:AH32, "✔") + COUNTIF(E32:AH32, "v") + COUNTIF(E32:AH32, "V")) &amp; "/" &amp; D32, (COUNTIF(E32:AH32, "✓") + COUNTIF(E32:AH32, "✔") + COUNTIF(E32:AH32, "v") + COUNTIF(E32:AH32, "V")) &amp; "/0"), IF(((COUNTIF(E32:AH32, "✓") + COUNTIF(E32:AH32, "✔") + COUNTIF(E32:AH32, "v") + COUNTIF(E32:AH32, "V")) + COUNTIF(E32:AH32, "✗") + COUNTIF(E32:AH32, "x") + COUNTIF(E32:AH32, "X"))&gt;0, (COUNTIF(E32:AH32, "✓") + COUNTIF(E32:AH32, "✔") + COUNTIF(E32:AH32, "v") + COUNTIF(E32:AH32, "V")) &amp; "/" &amp; ((COUNTIF(E32:AH32, "✓") + COUNTIF(E32:AH32, "✔") + COUNTIF(E32:AH32, "v") + COUNTIF(E32:AH32, "V")) + COUNTIF(E32:AH32, "✗") + COUNTIF(E32:AH32, "x") + COUNTIF(E32:AH32, "X")), "")))</f>
        <v/>
      </c>
      <c r="AK32" s="124">
        <f>IF(ISBLANK(B32), "", IF(AI32&gt;=0.85, "🔥 Mastered", IF(AI32&gt;=0.7, "⚡ Consistent", "⚠️ Needs Focus")))</f>
        <v/>
      </c>
      <c r="AL32">
        <f>COUNTIF(E32:AH32, "✓")</f>
        <v/>
      </c>
    </row>
    <row r="33" ht="14.5" customHeight="1">
      <c r="A33" s="118" t="n">
        <v>16</v>
      </c>
      <c r="B33" s="119" t="n"/>
      <c r="C33" s="120" t="n"/>
      <c r="D33" s="120" t="n"/>
      <c r="E33" s="121" t="n"/>
      <c r="F33" s="121" t="n"/>
      <c r="G33" s="121" t="n"/>
      <c r="H33" s="121" t="n"/>
      <c r="I33" s="121" t="n"/>
      <c r="J33" s="121" t="n"/>
      <c r="K33" s="122" t="n"/>
      <c r="L33" s="121" t="n"/>
      <c r="M33" s="121" t="n"/>
      <c r="N33" s="121" t="n"/>
      <c r="O33" s="121" t="n"/>
      <c r="P33" s="121" t="n"/>
      <c r="Q33" s="121" t="n"/>
      <c r="R33" s="122" t="n"/>
      <c r="S33" s="121" t="n"/>
      <c r="T33" s="121" t="n"/>
      <c r="U33" s="121" t="n"/>
      <c r="V33" s="121" t="n"/>
      <c r="W33" s="121" t="n"/>
      <c r="X33" s="121" t="n"/>
      <c r="Y33" s="122" t="n"/>
      <c r="Z33" s="121" t="n"/>
      <c r="AA33" s="121" t="n"/>
      <c r="AB33" s="121" t="n"/>
      <c r="AC33" s="121" t="n"/>
      <c r="AD33" s="121" t="n"/>
      <c r="AE33" s="121" t="n"/>
      <c r="AF33" s="122" t="n"/>
      <c r="AG33" s="121" t="n"/>
      <c r="AH33" s="121" t="n"/>
      <c r="AI33" s="123">
        <f>IF(ISBLANK(B33), "", IF(ISNUMBER(D33), IF(D33&gt;0, (COUNTIF(E33:AH33, "✓") + COUNTIF(E33:AH33, "✔") + COUNTIF(E33:AH33, "v") + COUNTIF(E33:AH33, "V"))/D33, 0), IF(((COUNTIF(E33:AH33, "✓") + COUNTIF(E33:AH33, "✔") + COUNTIF(E33:AH33, "v") + COUNTIF(E33:AH33, "V")) + COUNTIF(E33:AH33, "✗") + COUNTIF(E33:AH33, "x") + COUNTIF(E33:AH33, "X"))&gt;0, (COUNTIF(E33:AH33, "✓") + COUNTIF(E33:AH33, "✔") + COUNTIF(E33:AH33, "v") + COUNTIF(E33:AH33, "V"))/((COUNTIF(E33:AH33, "✓") + COUNTIF(E33:AH33, "✔") + COUNTIF(E33:AH33, "v") + COUNTIF(E33:AH33, "V")) + COUNTIF(E33:AH33, "✗") + COUNTIF(E33:AH33, "x") + COUNTIF(E33:AH33, "X")), "")))</f>
        <v/>
      </c>
      <c r="AJ33" s="124">
        <f>IF(ISBLANK(B33), "", IF(ISNUMBER(D33), IF(D33&gt;0, (COUNTIF(E33:AH33, "✓") + COUNTIF(E33:AH33, "✔") + COUNTIF(E33:AH33, "v") + COUNTIF(E33:AH33, "V")) &amp; "/" &amp; D33, (COUNTIF(E33:AH33, "✓") + COUNTIF(E33:AH33, "✔") + COUNTIF(E33:AH33, "v") + COUNTIF(E33:AH33, "V")) &amp; "/0"), IF(((COUNTIF(E33:AH33, "✓") + COUNTIF(E33:AH33, "✔") + COUNTIF(E33:AH33, "v") + COUNTIF(E33:AH33, "V")) + COUNTIF(E33:AH33, "✗") + COUNTIF(E33:AH33, "x") + COUNTIF(E33:AH33, "X"))&gt;0, (COUNTIF(E33:AH33, "✓") + COUNTIF(E33:AH33, "✔") + COUNTIF(E33:AH33, "v") + COUNTIF(E33:AH33, "V")) &amp; "/" &amp; ((COUNTIF(E33:AH33, "✓") + COUNTIF(E33:AH33, "✔") + COUNTIF(E33:AH33, "v") + COUNTIF(E33:AH33, "V")) + COUNTIF(E33:AH33, "✗") + COUNTIF(E33:AH33, "x") + COUNTIF(E33:AH33, "X")), "")))</f>
        <v/>
      </c>
      <c r="AK33" s="124">
        <f>IF(ISBLANK(B33), "", IF(AI33&gt;=0.85, "🔥 Mastered", IF(AI33&gt;=0.7, "⚡ Consistent", "⚠️ Needs Focus")))</f>
        <v/>
      </c>
      <c r="AL33">
        <f>COUNTIF(E33:AH33, "✓")</f>
        <v/>
      </c>
    </row>
    <row r="34" ht="14.5" customHeight="1">
      <c r="A34" s="125" t="n">
        <v>17</v>
      </c>
      <c r="B34" s="126" t="n"/>
      <c r="C34" s="127" t="n"/>
      <c r="D34" s="127" t="n"/>
      <c r="E34" s="128" t="n"/>
      <c r="F34" s="128" t="n"/>
      <c r="G34" s="128" t="n"/>
      <c r="H34" s="128" t="n"/>
      <c r="I34" s="128" t="n"/>
      <c r="J34" s="128" t="n"/>
      <c r="K34" s="129" t="n"/>
      <c r="L34" s="128" t="n"/>
      <c r="M34" s="128" t="n"/>
      <c r="N34" s="128" t="n"/>
      <c r="O34" s="128" t="n"/>
      <c r="P34" s="128" t="n"/>
      <c r="Q34" s="128" t="n"/>
      <c r="R34" s="129" t="n"/>
      <c r="S34" s="128" t="n"/>
      <c r="T34" s="128" t="n"/>
      <c r="U34" s="128" t="n"/>
      <c r="V34" s="128" t="n"/>
      <c r="W34" s="128" t="n"/>
      <c r="X34" s="128" t="n"/>
      <c r="Y34" s="129" t="n"/>
      <c r="Z34" s="128" t="n"/>
      <c r="AA34" s="128" t="n"/>
      <c r="AB34" s="128" t="n"/>
      <c r="AC34" s="128" t="n"/>
      <c r="AD34" s="128" t="n"/>
      <c r="AE34" s="128" t="n"/>
      <c r="AF34" s="129" t="n"/>
      <c r="AG34" s="128" t="n"/>
      <c r="AH34" s="128" t="n"/>
      <c r="AI34" s="130">
        <f>IF(ISBLANK(B34), "", IF(ISNUMBER(D34), IF(D34&gt;0, (COUNTIF(E34:AH34, "✓") + COUNTIF(E34:AH34, "✔") + COUNTIF(E34:AH34, "v") + COUNTIF(E34:AH34, "V"))/D34, 0), IF(((COUNTIF(E34:AH34, "✓") + COUNTIF(E34:AH34, "✔") + COUNTIF(E34:AH34, "v") + COUNTIF(E34:AH34, "V")) + COUNTIF(E34:AH34, "✗") + COUNTIF(E34:AH34, "x") + COUNTIF(E34:AH34, "X"))&gt;0, (COUNTIF(E34:AH34, "✓") + COUNTIF(E34:AH34, "✔") + COUNTIF(E34:AH34, "v") + COUNTIF(E34:AH34, "V"))/((COUNTIF(E34:AH34, "✓") + COUNTIF(E34:AH34, "✔") + COUNTIF(E34:AH34, "v") + COUNTIF(E34:AH34, "V")) + COUNTIF(E34:AH34, "✗") + COUNTIF(E34:AH34, "x") + COUNTIF(E34:AH34, "X")), "")))</f>
        <v/>
      </c>
      <c r="AJ34" s="131">
        <f>IF(ISBLANK(B34), "", IF(ISNUMBER(D34), IF(D34&gt;0, (COUNTIF(E34:AH34, "✓") + COUNTIF(E34:AH34, "✔") + COUNTIF(E34:AH34, "v") + COUNTIF(E34:AH34, "V")) &amp; "/" &amp; D34, (COUNTIF(E34:AH34, "✓") + COUNTIF(E34:AH34, "✔") + COUNTIF(E34:AH34, "v") + COUNTIF(E34:AH34, "V")) &amp; "/0"), IF(((COUNTIF(E34:AH34, "✓") + COUNTIF(E34:AH34, "✔") + COUNTIF(E34:AH34, "v") + COUNTIF(E34:AH34, "V")) + COUNTIF(E34:AH34, "✗") + COUNTIF(E34:AH34, "x") + COUNTIF(E34:AH34, "X"))&gt;0, (COUNTIF(E34:AH34, "✓") + COUNTIF(E34:AH34, "✔") + COUNTIF(E34:AH34, "v") + COUNTIF(E34:AH34, "V")) &amp; "/" &amp; ((COUNTIF(E34:AH34, "✓") + COUNTIF(E34:AH34, "✔") + COUNTIF(E34:AH34, "v") + COUNTIF(E34:AH34, "V")) + COUNTIF(E34:AH34, "✗") + COUNTIF(E34:AH34, "x") + COUNTIF(E34:AH34, "X")), "")))</f>
        <v/>
      </c>
      <c r="AK34" s="131">
        <f>IF(ISBLANK(B34), "", IF(AI34&gt;=0.85, "🔥 Mastered", IF(AI34&gt;=0.7, "⚡ Consistent", "⚠️ Needs Focus")))</f>
        <v/>
      </c>
      <c r="AL34">
        <f>COUNTIF(E34:AH34, "✓")</f>
        <v/>
      </c>
    </row>
    <row r="35" ht="14.5" customHeight="1">
      <c r="A35" s="125" t="n">
        <v>18</v>
      </c>
      <c r="B35" s="126" t="n"/>
      <c r="C35" s="127" t="n"/>
      <c r="D35" s="127" t="n"/>
      <c r="E35" s="128" t="n"/>
      <c r="F35" s="128" t="n"/>
      <c r="G35" s="128" t="n"/>
      <c r="H35" s="128" t="n"/>
      <c r="I35" s="128" t="n"/>
      <c r="J35" s="128" t="n"/>
      <c r="K35" s="129" t="n"/>
      <c r="L35" s="128" t="n"/>
      <c r="M35" s="128" t="n"/>
      <c r="N35" s="128" t="n"/>
      <c r="O35" s="128" t="n"/>
      <c r="P35" s="128" t="n"/>
      <c r="Q35" s="128" t="n"/>
      <c r="R35" s="129" t="n"/>
      <c r="S35" s="128" t="n"/>
      <c r="T35" s="128" t="n"/>
      <c r="U35" s="128" t="n"/>
      <c r="V35" s="128" t="n"/>
      <c r="W35" s="128" t="n"/>
      <c r="X35" s="128" t="n"/>
      <c r="Y35" s="129" t="n"/>
      <c r="Z35" s="128" t="n"/>
      <c r="AA35" s="128" t="n"/>
      <c r="AB35" s="128" t="n"/>
      <c r="AC35" s="128" t="n"/>
      <c r="AD35" s="128" t="n"/>
      <c r="AE35" s="128" t="n"/>
      <c r="AF35" s="129" t="n"/>
      <c r="AG35" s="128" t="n"/>
      <c r="AH35" s="128" t="n"/>
      <c r="AI35" s="130">
        <f>IF(ISBLANK(B35), "", IF(ISNUMBER(D35), IF(D35&gt;0, (COUNTIF(E35:AH35, "✓") + COUNTIF(E35:AH35, "✔") + COUNTIF(E35:AH35, "v") + COUNTIF(E35:AH35, "V"))/D35, 0), IF(((COUNTIF(E35:AH35, "✓") + COUNTIF(E35:AH35, "✔") + COUNTIF(E35:AH35, "v") + COUNTIF(E35:AH35, "V")) + COUNTIF(E35:AH35, "✗") + COUNTIF(E35:AH35, "x") + COUNTIF(E35:AH35, "X"))&gt;0, (COUNTIF(E35:AH35, "✓") + COUNTIF(E35:AH35, "✔") + COUNTIF(E35:AH35, "v") + COUNTIF(E35:AH35, "V"))/((COUNTIF(E35:AH35, "✓") + COUNTIF(E35:AH35, "✔") + COUNTIF(E35:AH35, "v") + COUNTIF(E35:AH35, "V")) + COUNTIF(E35:AH35, "✗") + COUNTIF(E35:AH35, "x") + COUNTIF(E35:AH35, "X")), "")))</f>
        <v/>
      </c>
      <c r="AJ35" s="131">
        <f>IF(ISBLANK(B35), "", IF(ISNUMBER(D35), IF(D35&gt;0, (COUNTIF(E35:AH35, "✓") + COUNTIF(E35:AH35, "✔") + COUNTIF(E35:AH35, "v") + COUNTIF(E35:AH35, "V")) &amp; "/" &amp; D35, (COUNTIF(E35:AH35, "✓") + COUNTIF(E35:AH35, "✔") + COUNTIF(E35:AH35, "v") + COUNTIF(E35:AH35, "V")) &amp; "/0"), IF(((COUNTIF(E35:AH35, "✓") + COUNTIF(E35:AH35, "✔") + COUNTIF(E35:AH35, "v") + COUNTIF(E35:AH35, "V")) + COUNTIF(E35:AH35, "✗") + COUNTIF(E35:AH35, "x") + COUNTIF(E35:AH35, "X"))&gt;0, (COUNTIF(E35:AH35, "✓") + COUNTIF(E35:AH35, "✔") + COUNTIF(E35:AH35, "v") + COUNTIF(E35:AH35, "V")) &amp; "/" &amp; ((COUNTIF(E35:AH35, "✓") + COUNTIF(E35:AH35, "✔") + COUNTIF(E35:AH35, "v") + COUNTIF(E35:AH35, "V")) + COUNTIF(E35:AH35, "✗") + COUNTIF(E35:AH35, "x") + COUNTIF(E35:AH35, "X")), "")))</f>
        <v/>
      </c>
      <c r="AK35" s="131">
        <f>IF(ISBLANK(B35), "", IF(AI35&gt;=0.85, "🔥 Mastered", IF(AI35&gt;=0.7, "⚡ Consistent", "⚠️ Needs Focus")))</f>
        <v/>
      </c>
      <c r="AL35">
        <f>COUNTIF(E35:AH35, "✓")</f>
        <v/>
      </c>
    </row>
    <row r="36" ht="14.5" customHeight="1">
      <c r="A36" s="125" t="n">
        <v>19</v>
      </c>
      <c r="B36" s="126" t="n"/>
      <c r="C36" s="127" t="n"/>
      <c r="D36" s="127" t="n"/>
      <c r="E36" s="128" t="n"/>
      <c r="F36" s="128" t="n"/>
      <c r="G36" s="128" t="n"/>
      <c r="H36" s="128" t="n"/>
      <c r="I36" s="128" t="n"/>
      <c r="J36" s="128" t="n"/>
      <c r="K36" s="129" t="n"/>
      <c r="L36" s="128" t="n"/>
      <c r="M36" s="128" t="n"/>
      <c r="N36" s="128" t="n"/>
      <c r="O36" s="128" t="n"/>
      <c r="P36" s="128" t="n"/>
      <c r="Q36" s="128" t="n"/>
      <c r="R36" s="129" t="n"/>
      <c r="S36" s="128" t="n"/>
      <c r="T36" s="128" t="n"/>
      <c r="U36" s="128" t="n"/>
      <c r="V36" s="128" t="n"/>
      <c r="W36" s="128" t="n"/>
      <c r="X36" s="128" t="n"/>
      <c r="Y36" s="129" t="n"/>
      <c r="Z36" s="128" t="n"/>
      <c r="AA36" s="128" t="n"/>
      <c r="AB36" s="128" t="n"/>
      <c r="AC36" s="128" t="n"/>
      <c r="AD36" s="128" t="n"/>
      <c r="AE36" s="128" t="n"/>
      <c r="AF36" s="129" t="n"/>
      <c r="AG36" s="128" t="n"/>
      <c r="AH36" s="128" t="n"/>
      <c r="AI36" s="130">
        <f>IF(ISBLANK(B36), "", IF(ISNUMBER(D36), IF(D36&gt;0, (COUNTIF(E36:AH36, "✓") + COUNTIF(E36:AH36, "✔") + COUNTIF(E36:AH36, "v") + COUNTIF(E36:AH36, "V"))/D36, 0), IF(((COUNTIF(E36:AH36, "✓") + COUNTIF(E36:AH36, "✔") + COUNTIF(E36:AH36, "v") + COUNTIF(E36:AH36, "V")) + COUNTIF(E36:AH36, "✗") + COUNTIF(E36:AH36, "x") + COUNTIF(E36:AH36, "X"))&gt;0, (COUNTIF(E36:AH36, "✓") + COUNTIF(E36:AH36, "✔") + COUNTIF(E36:AH36, "v") + COUNTIF(E36:AH36, "V"))/((COUNTIF(E36:AH36, "✓") + COUNTIF(E36:AH36, "✔") + COUNTIF(E36:AH36, "v") + COUNTIF(E36:AH36, "V")) + COUNTIF(E36:AH36, "✗") + COUNTIF(E36:AH36, "x") + COUNTIF(E36:AH36, "X")), "")))</f>
        <v/>
      </c>
      <c r="AJ36" s="131">
        <f>IF(ISBLANK(B36), "", IF(ISNUMBER(D36), IF(D36&gt;0, (COUNTIF(E36:AH36, "✓") + COUNTIF(E36:AH36, "✔") + COUNTIF(E36:AH36, "v") + COUNTIF(E36:AH36, "V")) &amp; "/" &amp; D36, (COUNTIF(E36:AH36, "✓") + COUNTIF(E36:AH36, "✔") + COUNTIF(E36:AH36, "v") + COUNTIF(E36:AH36, "V")) &amp; "/0"), IF(((COUNTIF(E36:AH36, "✓") + COUNTIF(E36:AH36, "✔") + COUNTIF(E36:AH36, "v") + COUNTIF(E36:AH36, "V")) + COUNTIF(E36:AH36, "✗") + COUNTIF(E36:AH36, "x") + COUNTIF(E36:AH36, "X"))&gt;0, (COUNTIF(E36:AH36, "✓") + COUNTIF(E36:AH36, "✔") + COUNTIF(E36:AH36, "v") + COUNTIF(E36:AH36, "V")) &amp; "/" &amp; ((COUNTIF(E36:AH36, "✓") + COUNTIF(E36:AH36, "✔") + COUNTIF(E36:AH36, "v") + COUNTIF(E36:AH36, "V")) + COUNTIF(E36:AH36, "✗") + COUNTIF(E36:AH36, "x") + COUNTIF(E36:AH36, "X")), "")))</f>
        <v/>
      </c>
      <c r="AK36" s="131">
        <f>IF(ISBLANK(B36), "", IF(AI36&gt;=0.85, "🔥 Mastered", IF(AI36&gt;=0.7, "⚡ Consistent", "⚠️ Needs Focus")))</f>
        <v/>
      </c>
      <c r="AL36">
        <f>COUNTIF(E36:AH36, "✓")</f>
        <v/>
      </c>
    </row>
    <row r="37" ht="14.5" customHeight="1">
      <c r="A37" s="125" t="n">
        <v>20</v>
      </c>
      <c r="B37" s="126" t="n"/>
      <c r="C37" s="127" t="n"/>
      <c r="D37" s="127" t="n"/>
      <c r="E37" s="128" t="n"/>
      <c r="F37" s="128" t="n"/>
      <c r="G37" s="128" t="n"/>
      <c r="H37" s="128" t="n"/>
      <c r="I37" s="128" t="n"/>
      <c r="J37" s="128" t="n"/>
      <c r="K37" s="129" t="n"/>
      <c r="L37" s="128" t="n"/>
      <c r="M37" s="128" t="n"/>
      <c r="N37" s="128" t="n"/>
      <c r="O37" s="128" t="n"/>
      <c r="P37" s="128" t="n"/>
      <c r="Q37" s="128" t="n"/>
      <c r="R37" s="129" t="n"/>
      <c r="S37" s="128" t="n"/>
      <c r="T37" s="128" t="n"/>
      <c r="U37" s="128" t="n"/>
      <c r="V37" s="128" t="n"/>
      <c r="W37" s="128" t="n"/>
      <c r="X37" s="128" t="n"/>
      <c r="Y37" s="129" t="n"/>
      <c r="Z37" s="128" t="n"/>
      <c r="AA37" s="128" t="n"/>
      <c r="AB37" s="128" t="n"/>
      <c r="AC37" s="128" t="n"/>
      <c r="AD37" s="128" t="n"/>
      <c r="AE37" s="128" t="n"/>
      <c r="AF37" s="129" t="n"/>
      <c r="AG37" s="128" t="n"/>
      <c r="AH37" s="128" t="n"/>
      <c r="AI37" s="130">
        <f>IF(ISBLANK(B37), "", IF(ISNUMBER(D37), IF(D37&gt;0, (COUNTIF(E37:AH37, "✓") + COUNTIF(E37:AH37, "✔") + COUNTIF(E37:AH37, "v") + COUNTIF(E37:AH37, "V"))/D37, 0), IF(((COUNTIF(E37:AH37, "✓") + COUNTIF(E37:AH37, "✔") + COUNTIF(E37:AH37, "v") + COUNTIF(E37:AH37, "V")) + COUNTIF(E37:AH37, "✗") + COUNTIF(E37:AH37, "x") + COUNTIF(E37:AH37, "X"))&gt;0, (COUNTIF(E37:AH37, "✓") + COUNTIF(E37:AH37, "✔") + COUNTIF(E37:AH37, "v") + COUNTIF(E37:AH37, "V"))/((COUNTIF(E37:AH37, "✓") + COUNTIF(E37:AH37, "✔") + COUNTIF(E37:AH37, "v") + COUNTIF(E37:AH37, "V")) + COUNTIF(E37:AH37, "✗") + COUNTIF(E37:AH37, "x") + COUNTIF(E37:AH37, "X")), "")))</f>
        <v/>
      </c>
      <c r="AJ37" s="131">
        <f>IF(ISBLANK(B37), "", IF(ISNUMBER(D37), IF(D37&gt;0, (COUNTIF(E37:AH37, "✓") + COUNTIF(E37:AH37, "✔") + COUNTIF(E37:AH37, "v") + COUNTIF(E37:AH37, "V")) &amp; "/" &amp; D37, (COUNTIF(E37:AH37, "✓") + COUNTIF(E37:AH37, "✔") + COUNTIF(E37:AH37, "v") + COUNTIF(E37:AH37, "V")) &amp; "/0"), IF(((COUNTIF(E37:AH37, "✓") + COUNTIF(E37:AH37, "✔") + COUNTIF(E37:AH37, "v") + COUNTIF(E37:AH37, "V")) + COUNTIF(E37:AH37, "✗") + COUNTIF(E37:AH37, "x") + COUNTIF(E37:AH37, "X"))&gt;0, (COUNTIF(E37:AH37, "✓") + COUNTIF(E37:AH37, "✔") + COUNTIF(E37:AH37, "v") + COUNTIF(E37:AH37, "V")) &amp; "/" &amp; ((COUNTIF(E37:AH37, "✓") + COUNTIF(E37:AH37, "✔") + COUNTIF(E37:AH37, "v") + COUNTIF(E37:AH37, "V")) + COUNTIF(E37:AH37, "✗") + COUNTIF(E37:AH37, "x") + COUNTIF(E37:AH37, "X")), "")))</f>
        <v/>
      </c>
      <c r="AK37" s="131">
        <f>IF(ISBLANK(B37), "", IF(AI37&gt;=0.85, "🔥 Mastered", IF(AI37&gt;=0.7, "⚡ Consistent", "⚠️ Needs Focus")))</f>
        <v/>
      </c>
      <c r="AL37">
        <f>COUNTIF(E37:AH37, "✓")</f>
        <v/>
      </c>
    </row>
    <row r="38" ht="18" customHeight="1">
      <c r="A38" s="132" t="inlineStr">
        <is>
          <t>DAILY TOTAL SCORE</t>
        </is>
      </c>
      <c r="B38" s="54" t="n"/>
      <c r="C38" s="54" t="n"/>
      <c r="D38" s="54" t="n"/>
      <c r="E38" s="33">
        <f>IF(((COUNTIF(E18:E37, "✓") + COUNTIF(E18:E37, "✔") + COUNTIF(E18:E37, "v") + COUNTIF(E18:E37, "V")) + COUNTIF(E18:E37, "✗") + COUNTIF(E18:E37, "x") + COUNTIF(E18:E37, "X")) &gt; 0, (COUNTIF(E18:E37, "✓") + COUNTIF(E18:E37, "✔") + COUNTIF(E18:E37, "v") + COUNTIF(E18:E37, "V")) &amp; "/" &amp; ((COUNTIF(E18:E37, "✓") + COUNTIF(E18:E37, "✔") + COUNTIF(E18:E37, "v") + COUNTIF(E18:E37, "V")) + COUNTIF(E18:E37, "✗") + COUNTIF(E18:E37, "x") + COUNTIF(E18:E37, "X")), "")</f>
        <v/>
      </c>
      <c r="F38" s="33">
        <f>IF(((COUNTIF(F18:F37, "✓") + COUNTIF(F18:F37, "✔") + COUNTIF(F18:F37, "v") + COUNTIF(F18:F37, "V")) + COUNTIF(F18:F37, "✗") + COUNTIF(F18:F37, "x") + COUNTIF(F18:F37, "X")) &gt; 0, (COUNTIF(F18:F37, "✓") + COUNTIF(F18:F37, "✔") + COUNTIF(F18:F37, "v") + COUNTIF(F18:F37, "V")) &amp; "/" &amp; ((COUNTIF(F18:F37, "✓") + COUNTIF(F18:F37, "✔") + COUNTIF(F18:F37, "v") + COUNTIF(F18:F37, "V")) + COUNTIF(F18:F37, "✗") + COUNTIF(F18:F37, "x") + COUNTIF(F18:F37, "X")), "")</f>
        <v/>
      </c>
      <c r="G38" s="33">
        <f>IF(((COUNTIF(G18:G37, "✓") + COUNTIF(G18:G37, "✔") + COUNTIF(G18:G37, "v") + COUNTIF(G18:G37, "V")) + COUNTIF(G18:G37, "✗") + COUNTIF(G18:G37, "x") + COUNTIF(G18:G37, "X")) &gt; 0, (COUNTIF(G18:G37, "✓") + COUNTIF(G18:G37, "✔") + COUNTIF(G18:G37, "v") + COUNTIF(G18:G37, "V")) &amp; "/" &amp; ((COUNTIF(G18:G37, "✓") + COUNTIF(G18:G37, "✔") + COUNTIF(G18:G37, "v") + COUNTIF(G18:G37, "V")) + COUNTIF(G18:G37, "✗") + COUNTIF(G18:G37, "x") + COUNTIF(G18:G37, "X")), "")</f>
        <v/>
      </c>
      <c r="H38" s="33">
        <f>IF(((COUNTIF(H18:H37, "✓") + COUNTIF(H18:H37, "✔") + COUNTIF(H18:H37, "v") + COUNTIF(H18:H37, "V")) + COUNTIF(H18:H37, "✗") + COUNTIF(H18:H37, "x") + COUNTIF(H18:H37, "X")) &gt; 0, (COUNTIF(H18:H37, "✓") + COUNTIF(H18:H37, "✔") + COUNTIF(H18:H37, "v") + COUNTIF(H18:H37, "V")) &amp; "/" &amp; ((COUNTIF(H18:H37, "✓") + COUNTIF(H18:H37, "✔") + COUNTIF(H18:H37, "v") + COUNTIF(H18:H37, "V")) + COUNTIF(H18:H37, "✗") + COUNTIF(H18:H37, "x") + COUNTIF(H18:H37, "X")), "")</f>
        <v/>
      </c>
      <c r="I38" s="33">
        <f>IF(((COUNTIF(I18:I37, "✓") + COUNTIF(I18:I37, "✔") + COUNTIF(I18:I37, "v") + COUNTIF(I18:I37, "V")) + COUNTIF(I18:I37, "✗") + COUNTIF(I18:I37, "x") + COUNTIF(I18:I37, "X")) &gt; 0, (COUNTIF(I18:I37, "✓") + COUNTIF(I18:I37, "✔") + COUNTIF(I18:I37, "v") + COUNTIF(I18:I37, "V")) &amp; "/" &amp; ((COUNTIF(I18:I37, "✓") + COUNTIF(I18:I37, "✔") + COUNTIF(I18:I37, "v") + COUNTIF(I18:I37, "V")) + COUNTIF(I18:I37, "✗") + COUNTIF(I18:I37, "x") + COUNTIF(I18:I37, "X")), "")</f>
        <v/>
      </c>
      <c r="J38" s="33">
        <f>IF(((COUNTIF(J18:J37, "✓") + COUNTIF(J18:J37, "✔") + COUNTIF(J18:J37, "v") + COUNTIF(J18:J37, "V")) + COUNTIF(J18:J37, "✗") + COUNTIF(J18:J37, "x") + COUNTIF(J18:J37, "X")) &gt; 0, (COUNTIF(J18:J37, "✓") + COUNTIF(J18:J37, "✔") + COUNTIF(J18:J37, "v") + COUNTIF(J18:J37, "V")) &amp; "/" &amp; ((COUNTIF(J18:J37, "✓") + COUNTIF(J18:J37, "✔") + COUNTIF(J18:J37, "v") + COUNTIF(J18:J37, "V")) + COUNTIF(J18:J37, "✗") + COUNTIF(J18:J37, "x") + COUNTIF(J18:J37, "X")), "")</f>
        <v/>
      </c>
      <c r="K38" s="33">
        <f>IF(((COUNTIF(K18:K37, "✓") + COUNTIF(K18:K37, "✔") + COUNTIF(K18:K37, "v") + COUNTIF(K18:K37, "V")) + COUNTIF(K18:K37, "✗") + COUNTIF(K18:K37, "x") + COUNTIF(K18:K37, "X")) &gt; 0, (COUNTIF(K18:K37, "✓") + COUNTIF(K18:K37, "✔") + COUNTIF(K18:K37, "v") + COUNTIF(K18:K37, "V")) &amp; "/" &amp; ((COUNTIF(K18:K37, "✓") + COUNTIF(K18:K37, "✔") + COUNTIF(K18:K37, "v") + COUNTIF(K18:K37, "V")) + COUNTIF(K18:K37, "✗") + COUNTIF(K18:K37, "x") + COUNTIF(K18:K37, "X")), "")</f>
        <v/>
      </c>
      <c r="L38" s="33">
        <f>IF(((COUNTIF(L18:L37, "✓") + COUNTIF(L18:L37, "✔") + COUNTIF(L18:L37, "v") + COUNTIF(L18:L37, "V")) + COUNTIF(L18:L37, "✗") + COUNTIF(L18:L37, "x") + COUNTIF(L18:L37, "X")) &gt; 0, (COUNTIF(L18:L37, "✓") + COUNTIF(L18:L37, "✔") + COUNTIF(L18:L37, "v") + COUNTIF(L18:L37, "V")) &amp; "/" &amp; ((COUNTIF(L18:L37, "✓") + COUNTIF(L18:L37, "✔") + COUNTIF(L18:L37, "v") + COUNTIF(L18:L37, "V")) + COUNTIF(L18:L37, "✗") + COUNTIF(L18:L37, "x") + COUNTIF(L18:L37, "X")), "")</f>
        <v/>
      </c>
      <c r="M38" s="33">
        <f>IF(((COUNTIF(M18:M37, "✓") + COUNTIF(M18:M37, "✔") + COUNTIF(M18:M37, "v") + COUNTIF(M18:M37, "V")) + COUNTIF(M18:M37, "✗") + COUNTIF(M18:M37, "x") + COUNTIF(M18:M37, "X")) &gt; 0, (COUNTIF(M18:M37, "✓") + COUNTIF(M18:M37, "✔") + COUNTIF(M18:M37, "v") + COUNTIF(M18:M37, "V")) &amp; "/" &amp; ((COUNTIF(M18:M37, "✓") + COUNTIF(M18:M37, "✔") + COUNTIF(M18:M37, "v") + COUNTIF(M18:M37, "V")) + COUNTIF(M18:M37, "✗") + COUNTIF(M18:M37, "x") + COUNTIF(M18:M37, "X")), "")</f>
        <v/>
      </c>
      <c r="N38" s="33">
        <f>IF(((COUNTIF(N18:N37, "✓") + COUNTIF(N18:N37, "✔") + COUNTIF(N18:N37, "v") + COUNTIF(N18:N37, "V")) + COUNTIF(N18:N37, "✗") + COUNTIF(N18:N37, "x") + COUNTIF(N18:N37, "X")) &gt; 0, (COUNTIF(N18:N37, "✓") + COUNTIF(N18:N37, "✔") + COUNTIF(N18:N37, "v") + COUNTIF(N18:N37, "V")) &amp; "/" &amp; ((COUNTIF(N18:N37, "✓") + COUNTIF(N18:N37, "✔") + COUNTIF(N18:N37, "v") + COUNTIF(N18:N37, "V")) + COUNTIF(N18:N37, "✗") + COUNTIF(N18:N37, "x") + COUNTIF(N18:N37, "X")), "")</f>
        <v/>
      </c>
      <c r="O38" s="33">
        <f>IF(((COUNTIF(O18:O37, "✓") + COUNTIF(O18:O37, "✔") + COUNTIF(O18:O37, "v") + COUNTIF(O18:O37, "V")) + COUNTIF(O18:O37, "✗") + COUNTIF(O18:O37, "x") + COUNTIF(O18:O37, "X")) &gt; 0, (COUNTIF(O18:O37, "✓") + COUNTIF(O18:O37, "✔") + COUNTIF(O18:O37, "v") + COUNTIF(O18:O37, "V")) &amp; "/" &amp; ((COUNTIF(O18:O37, "✓") + COUNTIF(O18:O37, "✔") + COUNTIF(O18:O37, "v") + COUNTIF(O18:O37, "V")) + COUNTIF(O18:O37, "✗") + COUNTIF(O18:O37, "x") + COUNTIF(O18:O37, "X")), "")</f>
        <v/>
      </c>
      <c r="P38" s="33">
        <f>IF(((COUNTIF(P18:P37, "✓") + COUNTIF(P18:P37, "✔") + COUNTIF(P18:P37, "v") + COUNTIF(P18:P37, "V")) + COUNTIF(P18:P37, "✗") + COUNTIF(P18:P37, "x") + COUNTIF(P18:P37, "X")) &gt; 0, (COUNTIF(P18:P37, "✓") + COUNTIF(P18:P37, "✔") + COUNTIF(P18:P37, "v") + COUNTIF(P18:P37, "V")) &amp; "/" &amp; ((COUNTIF(P18:P37, "✓") + COUNTIF(P18:P37, "✔") + COUNTIF(P18:P37, "v") + COUNTIF(P18:P37, "V")) + COUNTIF(P18:P37, "✗") + COUNTIF(P18:P37, "x") + COUNTIF(P18:P37, "X")), "")</f>
        <v/>
      </c>
      <c r="Q38" s="33">
        <f>IF(((COUNTIF(Q18:Q37, "✓") + COUNTIF(Q18:Q37, "✔") + COUNTIF(Q18:Q37, "v") + COUNTIF(Q18:Q37, "V")) + COUNTIF(Q18:Q37, "✗") + COUNTIF(Q18:Q37, "x") + COUNTIF(Q18:Q37, "X")) &gt; 0, (COUNTIF(Q18:Q37, "✓") + COUNTIF(Q18:Q37, "✔") + COUNTIF(Q18:Q37, "v") + COUNTIF(Q18:Q37, "V")) &amp; "/" &amp; ((COUNTIF(Q18:Q37, "✓") + COUNTIF(Q18:Q37, "✔") + COUNTIF(Q18:Q37, "v") + COUNTIF(Q18:Q37, "V")) + COUNTIF(Q18:Q37, "✗") + COUNTIF(Q18:Q37, "x") + COUNTIF(Q18:Q37, "X")), "")</f>
        <v/>
      </c>
      <c r="R38" s="33">
        <f>IF(((COUNTIF(R18:R37, "✓") + COUNTIF(R18:R37, "✔") + COUNTIF(R18:R37, "v") + COUNTIF(R18:R37, "V")) + COUNTIF(R18:R37, "✗") + COUNTIF(R18:R37, "x") + COUNTIF(R18:R37, "X")) &gt; 0, (COUNTIF(R18:R37, "✓") + COUNTIF(R18:R37, "✔") + COUNTIF(R18:R37, "v") + COUNTIF(R18:R37, "V")) &amp; "/" &amp; ((COUNTIF(R18:R37, "✓") + COUNTIF(R18:R37, "✔") + COUNTIF(R18:R37, "v") + COUNTIF(R18:R37, "V")) + COUNTIF(R18:R37, "✗") + COUNTIF(R18:R37, "x") + COUNTIF(R18:R37, "X")), "")</f>
        <v/>
      </c>
      <c r="S38" s="33">
        <f>IF(((COUNTIF(S18:S37, "✓") + COUNTIF(S18:S37, "✔") + COUNTIF(S18:S37, "v") + COUNTIF(S18:S37, "V")) + COUNTIF(S18:S37, "✗") + COUNTIF(S18:S37, "x") + COUNTIF(S18:S37, "X")) &gt; 0, (COUNTIF(S18:S37, "✓") + COUNTIF(S18:S37, "✔") + COUNTIF(S18:S37, "v") + COUNTIF(S18:S37, "V")) &amp; "/" &amp; ((COUNTIF(S18:S37, "✓") + COUNTIF(S18:S37, "✔") + COUNTIF(S18:S37, "v") + COUNTIF(S18:S37, "V")) + COUNTIF(S18:S37, "✗") + COUNTIF(S18:S37, "x") + COUNTIF(S18:S37, "X")), "")</f>
        <v/>
      </c>
      <c r="T38" s="33">
        <f>IF(((COUNTIF(T18:T37, "✓") + COUNTIF(T18:T37, "✔") + COUNTIF(T18:T37, "v") + COUNTIF(T18:T37, "V")) + COUNTIF(T18:T37, "✗") + COUNTIF(T18:T37, "x") + COUNTIF(T18:T37, "X")) &gt; 0, (COUNTIF(T18:T37, "✓") + COUNTIF(T18:T37, "✔") + COUNTIF(T18:T37, "v") + COUNTIF(T18:T37, "V")) &amp; "/" &amp; ((COUNTIF(T18:T37, "✓") + COUNTIF(T18:T37, "✔") + COUNTIF(T18:T37, "v") + COUNTIF(T18:T37, "V")) + COUNTIF(T18:T37, "✗") + COUNTIF(T18:T37, "x") + COUNTIF(T18:T37, "X")), "")</f>
        <v/>
      </c>
      <c r="U38" s="33">
        <f>IF(((COUNTIF(U18:U37, "✓") + COUNTIF(U18:U37, "✔") + COUNTIF(U18:U37, "v") + COUNTIF(U18:U37, "V")) + COUNTIF(U18:U37, "✗") + COUNTIF(U18:U37, "x") + COUNTIF(U18:U37, "X")) &gt; 0, (COUNTIF(U18:U37, "✓") + COUNTIF(U18:U37, "✔") + COUNTIF(U18:U37, "v") + COUNTIF(U18:U37, "V")) &amp; "/" &amp; ((COUNTIF(U18:U37, "✓") + COUNTIF(U18:U37, "✔") + COUNTIF(U18:U37, "v") + COUNTIF(U18:U37, "V")) + COUNTIF(U18:U37, "✗") + COUNTIF(U18:U37, "x") + COUNTIF(U18:U37, "X")), "")</f>
        <v/>
      </c>
      <c r="V38" s="33">
        <f>IF(((COUNTIF(V18:V37, "✓") + COUNTIF(V18:V37, "✔") + COUNTIF(V18:V37, "v") + COUNTIF(V18:V37, "V")) + COUNTIF(V18:V37, "✗") + COUNTIF(V18:V37, "x") + COUNTIF(V18:V37, "X")) &gt; 0, (COUNTIF(V18:V37, "✓") + COUNTIF(V18:V37, "✔") + COUNTIF(V18:V37, "v") + COUNTIF(V18:V37, "V")) &amp; "/" &amp; ((COUNTIF(V18:V37, "✓") + COUNTIF(V18:V37, "✔") + COUNTIF(V18:V37, "v") + COUNTIF(V18:V37, "V")) + COUNTIF(V18:V37, "✗") + COUNTIF(V18:V37, "x") + COUNTIF(V18:V37, "X")), "")</f>
        <v/>
      </c>
      <c r="W38" s="33">
        <f>IF(((COUNTIF(W18:W37, "✓") + COUNTIF(W18:W37, "✔") + COUNTIF(W18:W37, "v") + COUNTIF(W18:W37, "V")) + COUNTIF(W18:W37, "✗") + COUNTIF(W18:W37, "x") + COUNTIF(W18:W37, "X")) &gt; 0, (COUNTIF(W18:W37, "✓") + COUNTIF(W18:W37, "✔") + COUNTIF(W18:W37, "v") + COUNTIF(W18:W37, "V")) &amp; "/" &amp; ((COUNTIF(W18:W37, "✓") + COUNTIF(W18:W37, "✔") + COUNTIF(W18:W37, "v") + COUNTIF(W18:W37, "V")) + COUNTIF(W18:W37, "✗") + COUNTIF(W18:W37, "x") + COUNTIF(W18:W37, "X")), "")</f>
        <v/>
      </c>
      <c r="X38" s="33">
        <f>IF(((COUNTIF(X18:X37, "✓") + COUNTIF(X18:X37, "✔") + COUNTIF(X18:X37, "v") + COUNTIF(X18:X37, "V")) + COUNTIF(X18:X37, "✗") + COUNTIF(X18:X37, "x") + COUNTIF(X18:X37, "X")) &gt; 0, (COUNTIF(X18:X37, "✓") + COUNTIF(X18:X37, "✔") + COUNTIF(X18:X37, "v") + COUNTIF(X18:X37, "V")) &amp; "/" &amp; ((COUNTIF(X18:X37, "✓") + COUNTIF(X18:X37, "✔") + COUNTIF(X18:X37, "v") + COUNTIF(X18:X37, "V")) + COUNTIF(X18:X37, "✗") + COUNTIF(X18:X37, "x") + COUNTIF(X18:X37, "X")), "")</f>
        <v/>
      </c>
      <c r="Y38" s="33">
        <f>IF(((COUNTIF(Y18:Y37, "✓") + COUNTIF(Y18:Y37, "✔") + COUNTIF(Y18:Y37, "v") + COUNTIF(Y18:Y37, "V")) + COUNTIF(Y18:Y37, "✗") + COUNTIF(Y18:Y37, "x") + COUNTIF(Y18:Y37, "X")) &gt; 0, (COUNTIF(Y18:Y37, "✓") + COUNTIF(Y18:Y37, "✔") + COUNTIF(Y18:Y37, "v") + COUNTIF(Y18:Y37, "V")) &amp; "/" &amp; ((COUNTIF(Y18:Y37, "✓") + COUNTIF(Y18:Y37, "✔") + COUNTIF(Y18:Y37, "v") + COUNTIF(Y18:Y37, "V")) + COUNTIF(Y18:Y37, "✗") + COUNTIF(Y18:Y37, "x") + COUNTIF(Y18:Y37, "X")), "")</f>
        <v/>
      </c>
      <c r="Z38" s="33">
        <f>IF(((COUNTIF(Z18:Z37, "✓") + COUNTIF(Z18:Z37, "✔") + COUNTIF(Z18:Z37, "v") + COUNTIF(Z18:Z37, "V")) + COUNTIF(Z18:Z37, "✗") + COUNTIF(Z18:Z37, "x") + COUNTIF(Z18:Z37, "X")) &gt; 0, (COUNTIF(Z18:Z37, "✓") + COUNTIF(Z18:Z37, "✔") + COUNTIF(Z18:Z37, "v") + COUNTIF(Z18:Z37, "V")) &amp; "/" &amp; ((COUNTIF(Z18:Z37, "✓") + COUNTIF(Z18:Z37, "✔") + COUNTIF(Z18:Z37, "v") + COUNTIF(Z18:Z37, "V")) + COUNTIF(Z18:Z37, "✗") + COUNTIF(Z18:Z37, "x") + COUNTIF(Z18:Z37, "X")), "")</f>
        <v/>
      </c>
      <c r="AA38" s="33">
        <f>IF(((COUNTIF(AA18:AA37, "✓") + COUNTIF(AA18:AA37, "✔") + COUNTIF(AA18:AA37, "v") + COUNTIF(AA18:AA37, "V")) + COUNTIF(AA18:AA37, "✗") + COUNTIF(AA18:AA37, "x") + COUNTIF(AA18:AA37, "X")) &gt; 0, (COUNTIF(AA18:AA37, "✓") + COUNTIF(AA18:AA37, "✔") + COUNTIF(AA18:AA37, "v") + COUNTIF(AA18:AA37, "V")) &amp; "/" &amp; ((COUNTIF(AA18:AA37, "✓") + COUNTIF(AA18:AA37, "✔") + COUNTIF(AA18:AA37, "v") + COUNTIF(AA18:AA37, "V")) + COUNTIF(AA18:AA37, "✗") + COUNTIF(AA18:AA37, "x") + COUNTIF(AA18:AA37, "X")), "")</f>
        <v/>
      </c>
      <c r="AB38" s="33">
        <f>IF(((COUNTIF(AB18:AB37, "✓") + COUNTIF(AB18:AB37, "✔") + COUNTIF(AB18:AB37, "v") + COUNTIF(AB18:AB37, "V")) + COUNTIF(AB18:AB37, "✗") + COUNTIF(AB18:AB37, "x") + COUNTIF(AB18:AB37, "X")) &gt; 0, (COUNTIF(AB18:AB37, "✓") + COUNTIF(AB18:AB37, "✔") + COUNTIF(AB18:AB37, "v") + COUNTIF(AB18:AB37, "V")) &amp; "/" &amp; ((COUNTIF(AB18:AB37, "✓") + COUNTIF(AB18:AB37, "✔") + COUNTIF(AB18:AB37, "v") + COUNTIF(AB18:AB37, "V")) + COUNTIF(AB18:AB37, "✗") + COUNTIF(AB18:AB37, "x") + COUNTIF(AB18:AB37, "X")), "")</f>
        <v/>
      </c>
      <c r="AC38" s="33">
        <f>IF(((COUNTIF(AC18:AC37, "✓") + COUNTIF(AC18:AC37, "✔") + COUNTIF(AC18:AC37, "v") + COUNTIF(AC18:AC37, "V")) + COUNTIF(AC18:AC37, "✗") + COUNTIF(AC18:AC37, "x") + COUNTIF(AC18:AC37, "X")) &gt; 0, (COUNTIF(AC18:AC37, "✓") + COUNTIF(AC18:AC37, "✔") + COUNTIF(AC18:AC37, "v") + COUNTIF(AC18:AC37, "V")) &amp; "/" &amp; ((COUNTIF(AC18:AC37, "✓") + COUNTIF(AC18:AC37, "✔") + COUNTIF(AC18:AC37, "v") + COUNTIF(AC18:AC37, "V")) + COUNTIF(AC18:AC37, "✗") + COUNTIF(AC18:AC37, "x") + COUNTIF(AC18:AC37, "X")), "")</f>
        <v/>
      </c>
      <c r="AD38" s="33">
        <f>IF(((COUNTIF(AD18:AD37, "✓") + COUNTIF(AD18:AD37, "✔") + COUNTIF(AD18:AD37, "v") + COUNTIF(AD18:AD37, "V")) + COUNTIF(AD18:AD37, "✗") + COUNTIF(AD18:AD37, "x") + COUNTIF(AD18:AD37, "X")) &gt; 0, (COUNTIF(AD18:AD37, "✓") + COUNTIF(AD18:AD37, "✔") + COUNTIF(AD18:AD37, "v") + COUNTIF(AD18:AD37, "V")) &amp; "/" &amp; ((COUNTIF(AD18:AD37, "✓") + COUNTIF(AD18:AD37, "✔") + COUNTIF(AD18:AD37, "v") + COUNTIF(AD18:AD37, "V")) + COUNTIF(AD18:AD37, "✗") + COUNTIF(AD18:AD37, "x") + COUNTIF(AD18:AD37, "X")), "")</f>
        <v/>
      </c>
      <c r="AE38" s="33">
        <f>IF(((COUNTIF(AE18:AE37, "✓") + COUNTIF(AE18:AE37, "✔") + COUNTIF(AE18:AE37, "v") + COUNTIF(AE18:AE37, "V")) + COUNTIF(AE18:AE37, "✗") + COUNTIF(AE18:AE37, "x") + COUNTIF(AE18:AE37, "X")) &gt; 0, (COUNTIF(AE18:AE37, "✓") + COUNTIF(AE18:AE37, "✔") + COUNTIF(AE18:AE37, "v") + COUNTIF(AE18:AE37, "V")) &amp; "/" &amp; ((COUNTIF(AE18:AE37, "✓") + COUNTIF(AE18:AE37, "✔") + COUNTIF(AE18:AE37, "v") + COUNTIF(AE18:AE37, "V")) + COUNTIF(AE18:AE37, "✗") + COUNTIF(AE18:AE37, "x") + COUNTIF(AE18:AE37, "X")), "")</f>
        <v/>
      </c>
      <c r="AF38" s="33">
        <f>IF(((COUNTIF(AF18:AF37, "✓") + COUNTIF(AF18:AF37, "✔") + COUNTIF(AF18:AF37, "v") + COUNTIF(AF18:AF37, "V")) + COUNTIF(AF18:AF37, "✗") + COUNTIF(AF18:AF37, "x") + COUNTIF(AF18:AF37, "X")) &gt; 0, (COUNTIF(AF18:AF37, "✓") + COUNTIF(AF18:AF37, "✔") + COUNTIF(AF18:AF37, "v") + COUNTIF(AF18:AF37, "V")) &amp; "/" &amp; ((COUNTIF(AF18:AF37, "✓") + COUNTIF(AF18:AF37, "✔") + COUNTIF(AF18:AF37, "v") + COUNTIF(AF18:AF37, "V")) + COUNTIF(AF18:AF37, "✗") + COUNTIF(AF18:AF37, "x") + COUNTIF(AF18:AF37, "X")), "")</f>
        <v/>
      </c>
      <c r="AG38" s="33">
        <f>IF(((COUNTIF(AG18:AG37, "✓") + COUNTIF(AG18:AG37, "✔") + COUNTIF(AG18:AG37, "v") + COUNTIF(AG18:AG37, "V")) + COUNTIF(AG18:AG37, "✗") + COUNTIF(AG18:AG37, "x") + COUNTIF(AG18:AG37, "X")) &gt; 0, (COUNTIF(AG18:AG37, "✓") + COUNTIF(AG18:AG37, "✔") + COUNTIF(AG18:AG37, "v") + COUNTIF(AG18:AG37, "V")) &amp; "/" &amp; ((COUNTIF(AG18:AG37, "✓") + COUNTIF(AG18:AG37, "✔") + COUNTIF(AG18:AG37, "v") + COUNTIF(AG18:AG37, "V")) + COUNTIF(AG18:AG37, "✗") + COUNTIF(AG18:AG37, "x") + COUNTIF(AG18:AG37, "X")), "")</f>
        <v/>
      </c>
      <c r="AH38" s="33">
        <f>IF(((COUNTIF(AH18:AH37, "✓") + COUNTIF(AH18:AH37, "✔") + COUNTIF(AH18:AH37, "v") + COUNTIF(AH18:AH37, "V")) + COUNTIF(AH18:AH37, "✗") + COUNTIF(AH18:AH37, "x") + COUNTIF(AH18:AH37, "X")) &gt; 0, (COUNTIF(AH18:AH37, "✓") + COUNTIF(AH18:AH37, "✔") + COUNTIF(AH18:AH37, "v") + COUNTIF(AH18:AH37, "V")) &amp; "/" &amp; ((COUNTIF(AH18:AH37, "✓") + COUNTIF(AH18:AH37, "✔") + COUNTIF(AH18:AH37, "v") + COUNTIF(AH18:AH37, "V")) + COUNTIF(AH18:AH37, "✗") + COUNTIF(AH18:AH37, "x") + COUNTIF(AH18:AH37, "X")), "")</f>
        <v/>
      </c>
      <c r="AI38" s="133">
        <f>IF(SUM(D18:D37) &gt; 0, SUM(AL18:AL37) / SUM(D18:D37), "")</f>
        <v/>
      </c>
      <c r="AJ38" s="33">
        <f>IF(SUM(D18:D37) &gt; 0, SUM(AL18:AL37) &amp; "/" &amp; SUM(D18:D37), "")</f>
        <v/>
      </c>
      <c r="AK38" s="54" t="n"/>
    </row>
    <row r="39" ht="18" customHeight="1">
      <c r="A39" s="132" t="inlineStr">
        <is>
          <t>DAILY SUCCESS %</t>
        </is>
      </c>
      <c r="B39" s="54" t="n"/>
      <c r="C39" s="54" t="n"/>
      <c r="D39" s="54" t="n"/>
      <c r="E39" s="134">
        <f>IF(((COUNTIF(E18:E37, "✓") + COUNTIF(E18:E37, "✔") + COUNTIF(E18:E37, "v") + COUNTIF(E18:E37, "V")) + COUNTIF(E18:E37, "✗") + COUNTIF(E18:E37, "x") + COUNTIF(E18:E37, "X")) &gt; 0, (COUNTIF(E18:E37, "✓") + COUNTIF(E18:E37, "✔") + COUNTIF(E18:E37, "v") + COUNTIF(E18:E37, "V")) / ((COUNTIF(E18:E37, "✓") + COUNTIF(E18:E37, "✔") + COUNTIF(E18:E37, "v") + COUNTIF(E18:E37, "V")) + COUNTIF(E18:E37, "✗") + COUNTIF(E18:E37, "x") + COUNTIF(E18:E37, "X")), "")</f>
        <v/>
      </c>
      <c r="F39" s="134">
        <f>IF(((COUNTIF(F18:F37, "✓") + COUNTIF(F18:F37, "✔") + COUNTIF(F18:F37, "v") + COUNTIF(F18:F37, "V")) + COUNTIF(F18:F37, "✗") + COUNTIF(F18:F37, "x") + COUNTIF(F18:F37, "X")) &gt; 0, (COUNTIF(F18:F37, "✓") + COUNTIF(F18:F37, "✔") + COUNTIF(F18:F37, "v") + COUNTIF(F18:F37, "V")) / ((COUNTIF(F18:F37, "✓") + COUNTIF(F18:F37, "✔") + COUNTIF(F18:F37, "v") + COUNTIF(F18:F37, "V")) + COUNTIF(F18:F37, "✗") + COUNTIF(F18:F37, "x") + COUNTIF(F18:F37, "X")), "")</f>
        <v/>
      </c>
      <c r="G39" s="134">
        <f>IF(((COUNTIF(G18:G37, "✓") + COUNTIF(G18:G37, "✔") + COUNTIF(G18:G37, "v") + COUNTIF(G18:G37, "V")) + COUNTIF(G18:G37, "✗") + COUNTIF(G18:G37, "x") + COUNTIF(G18:G37, "X")) &gt; 0, (COUNTIF(G18:G37, "✓") + COUNTIF(G18:G37, "✔") + COUNTIF(G18:G37, "v") + COUNTIF(G18:G37, "V")) / ((COUNTIF(G18:G37, "✓") + COUNTIF(G18:G37, "✔") + COUNTIF(G18:G37, "v") + COUNTIF(G18:G37, "V")) + COUNTIF(G18:G37, "✗") + COUNTIF(G18:G37, "x") + COUNTIF(G18:G37, "X")), "")</f>
        <v/>
      </c>
      <c r="H39" s="134">
        <f>IF(((COUNTIF(H18:H37, "✓") + COUNTIF(H18:H37, "✔") + COUNTIF(H18:H37, "v") + COUNTIF(H18:H37, "V")) + COUNTIF(H18:H37, "✗") + COUNTIF(H18:H37, "x") + COUNTIF(H18:H37, "X")) &gt; 0, (COUNTIF(H18:H37, "✓") + COUNTIF(H18:H37, "✔") + COUNTIF(H18:H37, "v") + COUNTIF(H18:H37, "V")) / ((COUNTIF(H18:H37, "✓") + COUNTIF(H18:H37, "✔") + COUNTIF(H18:H37, "v") + COUNTIF(H18:H37, "V")) + COUNTIF(H18:H37, "✗") + COUNTIF(H18:H37, "x") + COUNTIF(H18:H37, "X")), "")</f>
        <v/>
      </c>
      <c r="I39" s="134">
        <f>IF(((COUNTIF(I18:I37, "✓") + COUNTIF(I18:I37, "✔") + COUNTIF(I18:I37, "v") + COUNTIF(I18:I37, "V")) + COUNTIF(I18:I37, "✗") + COUNTIF(I18:I37, "x") + COUNTIF(I18:I37, "X")) &gt; 0, (COUNTIF(I18:I37, "✓") + COUNTIF(I18:I37, "✔") + COUNTIF(I18:I37, "v") + COUNTIF(I18:I37, "V")) / ((COUNTIF(I18:I37, "✓") + COUNTIF(I18:I37, "✔") + COUNTIF(I18:I37, "v") + COUNTIF(I18:I37, "V")) + COUNTIF(I18:I37, "✗") + COUNTIF(I18:I37, "x") + COUNTIF(I18:I37, "X")), "")</f>
        <v/>
      </c>
      <c r="J39" s="134">
        <f>IF(((COUNTIF(J18:J37, "✓") + COUNTIF(J18:J37, "✔") + COUNTIF(J18:J37, "v") + COUNTIF(J18:J37, "V")) + COUNTIF(J18:J37, "✗") + COUNTIF(J18:J37, "x") + COUNTIF(J18:J37, "X")) &gt; 0, (COUNTIF(J18:J37, "✓") + COUNTIF(J18:J37, "✔") + COUNTIF(J18:J37, "v") + COUNTIF(J18:J37, "V")) / ((COUNTIF(J18:J37, "✓") + COUNTIF(J18:J37, "✔") + COUNTIF(J18:J37, "v") + COUNTIF(J18:J37, "V")) + COUNTIF(J18:J37, "✗") + COUNTIF(J18:J37, "x") + COUNTIF(J18:J37, "X")), "")</f>
        <v/>
      </c>
      <c r="K39" s="134">
        <f>IF(((COUNTIF(K18:K37, "✓") + COUNTIF(K18:K37, "✔") + COUNTIF(K18:K37, "v") + COUNTIF(K18:K37, "V")) + COUNTIF(K18:K37, "✗") + COUNTIF(K18:K37, "x") + COUNTIF(K18:K37, "X")) &gt; 0, (COUNTIF(K18:K37, "✓") + COUNTIF(K18:K37, "✔") + COUNTIF(K18:K37, "v") + COUNTIF(K18:K37, "V")) / ((COUNTIF(K18:K37, "✓") + COUNTIF(K18:K37, "✔") + COUNTIF(K18:K37, "v") + COUNTIF(K18:K37, "V")) + COUNTIF(K18:K37, "✗") + COUNTIF(K18:K37, "x") + COUNTIF(K18:K37, "X")), "")</f>
        <v/>
      </c>
      <c r="L39" s="134">
        <f>IF(((COUNTIF(L18:L37, "✓") + COUNTIF(L18:L37, "✔") + COUNTIF(L18:L37, "v") + COUNTIF(L18:L37, "V")) + COUNTIF(L18:L37, "✗") + COUNTIF(L18:L37, "x") + COUNTIF(L18:L37, "X")) &gt; 0, (COUNTIF(L18:L37, "✓") + COUNTIF(L18:L37, "✔") + COUNTIF(L18:L37, "v") + COUNTIF(L18:L37, "V")) / ((COUNTIF(L18:L37, "✓") + COUNTIF(L18:L37, "✔") + COUNTIF(L18:L37, "v") + COUNTIF(L18:L37, "V")) + COUNTIF(L18:L37, "✗") + COUNTIF(L18:L37, "x") + COUNTIF(L18:L37, "X")), "")</f>
        <v/>
      </c>
      <c r="M39" s="134">
        <f>IF(((COUNTIF(M18:M37, "✓") + COUNTIF(M18:M37, "✔") + COUNTIF(M18:M37, "v") + COUNTIF(M18:M37, "V")) + COUNTIF(M18:M37, "✗") + COUNTIF(M18:M37, "x") + COUNTIF(M18:M37, "X")) &gt; 0, (COUNTIF(M18:M37, "✓") + COUNTIF(M18:M37, "✔") + COUNTIF(M18:M37, "v") + COUNTIF(M18:M37, "V")) / ((COUNTIF(M18:M37, "✓") + COUNTIF(M18:M37, "✔") + COUNTIF(M18:M37, "v") + COUNTIF(M18:M37, "V")) + COUNTIF(M18:M37, "✗") + COUNTIF(M18:M37, "x") + COUNTIF(M18:M37, "X")), "")</f>
        <v/>
      </c>
      <c r="N39" s="134">
        <f>IF(((COUNTIF(N18:N37, "✓") + COUNTIF(N18:N37, "✔") + COUNTIF(N18:N37, "v") + COUNTIF(N18:N37, "V")) + COUNTIF(N18:N37, "✗") + COUNTIF(N18:N37, "x") + COUNTIF(N18:N37, "X")) &gt; 0, (COUNTIF(N18:N37, "✓") + COUNTIF(N18:N37, "✔") + COUNTIF(N18:N37, "v") + COUNTIF(N18:N37, "V")) / ((COUNTIF(N18:N37, "✓") + COUNTIF(N18:N37, "✔") + COUNTIF(N18:N37, "v") + COUNTIF(N18:N37, "V")) + COUNTIF(N18:N37, "✗") + COUNTIF(N18:N37, "x") + COUNTIF(N18:N37, "X")), "")</f>
        <v/>
      </c>
      <c r="O39" s="134">
        <f>IF(((COUNTIF(O18:O37, "✓") + COUNTIF(O18:O37, "✔") + COUNTIF(O18:O37, "v") + COUNTIF(O18:O37, "V")) + COUNTIF(O18:O37, "✗") + COUNTIF(O18:O37, "x") + COUNTIF(O18:O37, "X")) &gt; 0, (COUNTIF(O18:O37, "✓") + COUNTIF(O18:O37, "✔") + COUNTIF(O18:O37, "v") + COUNTIF(O18:O37, "V")) / ((COUNTIF(O18:O37, "✓") + COUNTIF(O18:O37, "✔") + COUNTIF(O18:O37, "v") + COUNTIF(O18:O37, "V")) + COUNTIF(O18:O37, "✗") + COUNTIF(O18:O37, "x") + COUNTIF(O18:O37, "X")), "")</f>
        <v/>
      </c>
      <c r="P39" s="134">
        <f>IF(((COUNTIF(P18:P37, "✓") + COUNTIF(P18:P37, "✔") + COUNTIF(P18:P37, "v") + COUNTIF(P18:P37, "V")) + COUNTIF(P18:P37, "✗") + COUNTIF(P18:P37, "x") + COUNTIF(P18:P37, "X")) &gt; 0, (COUNTIF(P18:P37, "✓") + COUNTIF(P18:P37, "✔") + COUNTIF(P18:P37, "v") + COUNTIF(P18:P37, "V")) / ((COUNTIF(P18:P37, "✓") + COUNTIF(P18:P37, "✔") + COUNTIF(P18:P37, "v") + COUNTIF(P18:P37, "V")) + COUNTIF(P18:P37, "✗") + COUNTIF(P18:P37, "x") + COUNTIF(P18:P37, "X")), "")</f>
        <v/>
      </c>
      <c r="Q39" s="134">
        <f>IF(((COUNTIF(Q18:Q37, "✓") + COUNTIF(Q18:Q37, "✔") + COUNTIF(Q18:Q37, "v") + COUNTIF(Q18:Q37, "V")) + COUNTIF(Q18:Q37, "✗") + COUNTIF(Q18:Q37, "x") + COUNTIF(Q18:Q37, "X")) &gt; 0, (COUNTIF(Q18:Q37, "✓") + COUNTIF(Q18:Q37, "✔") + COUNTIF(Q18:Q37, "v") + COUNTIF(Q18:Q37, "V")) / ((COUNTIF(Q18:Q37, "✓") + COUNTIF(Q18:Q37, "✔") + COUNTIF(Q18:Q37, "v") + COUNTIF(Q18:Q37, "V")) + COUNTIF(Q18:Q37, "✗") + COUNTIF(Q18:Q37, "x") + COUNTIF(Q18:Q37, "X")), "")</f>
        <v/>
      </c>
      <c r="R39" s="134">
        <f>IF(((COUNTIF(R18:R37, "✓") + COUNTIF(R18:R37, "✔") + COUNTIF(R18:R37, "v") + COUNTIF(R18:R37, "V")) + COUNTIF(R18:R37, "✗") + COUNTIF(R18:R37, "x") + COUNTIF(R18:R37, "X")) &gt; 0, (COUNTIF(R18:R37, "✓") + COUNTIF(R18:R37, "✔") + COUNTIF(R18:R37, "v") + COUNTIF(R18:R37, "V")) / ((COUNTIF(R18:R37, "✓") + COUNTIF(R18:R37, "✔") + COUNTIF(R18:R37, "v") + COUNTIF(R18:R37, "V")) + COUNTIF(R18:R37, "✗") + COUNTIF(R18:R37, "x") + COUNTIF(R18:R37, "X")), "")</f>
        <v/>
      </c>
      <c r="S39" s="134">
        <f>IF(((COUNTIF(S18:S37, "✓") + COUNTIF(S18:S37, "✔") + COUNTIF(S18:S37, "v") + COUNTIF(S18:S37, "V")) + COUNTIF(S18:S37, "✗") + COUNTIF(S18:S37, "x") + COUNTIF(S18:S37, "X")) &gt; 0, (COUNTIF(S18:S37, "✓") + COUNTIF(S18:S37, "✔") + COUNTIF(S18:S37, "v") + COUNTIF(S18:S37, "V")) / ((COUNTIF(S18:S37, "✓") + COUNTIF(S18:S37, "✔") + COUNTIF(S18:S37, "v") + COUNTIF(S18:S37, "V")) + COUNTIF(S18:S37, "✗") + COUNTIF(S18:S37, "x") + COUNTIF(S18:S37, "X")), "")</f>
        <v/>
      </c>
      <c r="T39" s="134">
        <f>IF(((COUNTIF(T18:T37, "✓") + COUNTIF(T18:T37, "✔") + COUNTIF(T18:T37, "v") + COUNTIF(T18:T37, "V")) + COUNTIF(T18:T37, "✗") + COUNTIF(T18:T37, "x") + COUNTIF(T18:T37, "X")) &gt; 0, (COUNTIF(T18:T37, "✓") + COUNTIF(T18:T37, "✔") + COUNTIF(T18:T37, "v") + COUNTIF(T18:T37, "V")) / ((COUNTIF(T18:T37, "✓") + COUNTIF(T18:T37, "✔") + COUNTIF(T18:T37, "v") + COUNTIF(T18:T37, "V")) + COUNTIF(T18:T37, "✗") + COUNTIF(T18:T37, "x") + COUNTIF(T18:T37, "X")), "")</f>
        <v/>
      </c>
      <c r="U39" s="134">
        <f>IF(((COUNTIF(U18:U37, "✓") + COUNTIF(U18:U37, "✔") + COUNTIF(U18:U37, "v") + COUNTIF(U18:U37, "V")) + COUNTIF(U18:U37, "✗") + COUNTIF(U18:U37, "x") + COUNTIF(U18:U37, "X")) &gt; 0, (COUNTIF(U18:U37, "✓") + COUNTIF(U18:U37, "✔") + COUNTIF(U18:U37, "v") + COUNTIF(U18:U37, "V")) / ((COUNTIF(U18:U37, "✓") + COUNTIF(U18:U37, "✔") + COUNTIF(U18:U37, "v") + COUNTIF(U18:U37, "V")) + COUNTIF(U18:U37, "✗") + COUNTIF(U18:U37, "x") + COUNTIF(U18:U37, "X")), "")</f>
        <v/>
      </c>
      <c r="V39" s="134">
        <f>IF(((COUNTIF(V18:V37, "✓") + COUNTIF(V18:V37, "✔") + COUNTIF(V18:V37, "v") + COUNTIF(V18:V37, "V")) + COUNTIF(V18:V37, "✗") + COUNTIF(V18:V37, "x") + COUNTIF(V18:V37, "X")) &gt; 0, (COUNTIF(V18:V37, "✓") + COUNTIF(V18:V37, "✔") + COUNTIF(V18:V37, "v") + COUNTIF(V18:V37, "V")) / ((COUNTIF(V18:V37, "✓") + COUNTIF(V18:V37, "✔") + COUNTIF(V18:V37, "v") + COUNTIF(V18:V37, "V")) + COUNTIF(V18:V37, "✗") + COUNTIF(V18:V37, "x") + COUNTIF(V18:V37, "X")), "")</f>
        <v/>
      </c>
      <c r="W39" s="134">
        <f>IF(((COUNTIF(W18:W37, "✓") + COUNTIF(W18:W37, "✔") + COUNTIF(W18:W37, "v") + COUNTIF(W18:W37, "V")) + COUNTIF(W18:W37, "✗") + COUNTIF(W18:W37, "x") + COUNTIF(W18:W37, "X")) &gt; 0, (COUNTIF(W18:W37, "✓") + COUNTIF(W18:W37, "✔") + COUNTIF(W18:W37, "v") + COUNTIF(W18:W37, "V")) / ((COUNTIF(W18:W37, "✓") + COUNTIF(W18:W37, "✔") + COUNTIF(W18:W37, "v") + COUNTIF(W18:W37, "V")) + COUNTIF(W18:W37, "✗") + COUNTIF(W18:W37, "x") + COUNTIF(W18:W37, "X")), "")</f>
        <v/>
      </c>
      <c r="X39" s="134">
        <f>IF(((COUNTIF(X18:X37, "✓") + COUNTIF(X18:X37, "✔") + COUNTIF(X18:X37, "v") + COUNTIF(X18:X37, "V")) + COUNTIF(X18:X37, "✗") + COUNTIF(X18:X37, "x") + COUNTIF(X18:X37, "X")) &gt; 0, (COUNTIF(X18:X37, "✓") + COUNTIF(X18:X37, "✔") + COUNTIF(X18:X37, "v") + COUNTIF(X18:X37, "V")) / ((COUNTIF(X18:X37, "✓") + COUNTIF(X18:X37, "✔") + COUNTIF(X18:X37, "v") + COUNTIF(X18:X37, "V")) + COUNTIF(X18:X37, "✗") + COUNTIF(X18:X37, "x") + COUNTIF(X18:X37, "X")), "")</f>
        <v/>
      </c>
      <c r="Y39" s="134">
        <f>IF(((COUNTIF(Y18:Y37, "✓") + COUNTIF(Y18:Y37, "✔") + COUNTIF(Y18:Y37, "v") + COUNTIF(Y18:Y37, "V")) + COUNTIF(Y18:Y37, "✗") + COUNTIF(Y18:Y37, "x") + COUNTIF(Y18:Y37, "X")) &gt; 0, (COUNTIF(Y18:Y37, "✓") + COUNTIF(Y18:Y37, "✔") + COUNTIF(Y18:Y37, "v") + COUNTIF(Y18:Y37, "V")) / ((COUNTIF(Y18:Y37, "✓") + COUNTIF(Y18:Y37, "✔") + COUNTIF(Y18:Y37, "v") + COUNTIF(Y18:Y37, "V")) + COUNTIF(Y18:Y37, "✗") + COUNTIF(Y18:Y37, "x") + COUNTIF(Y18:Y37, "X")), "")</f>
        <v/>
      </c>
      <c r="Z39" s="134">
        <f>IF(((COUNTIF(Z18:Z37, "✓") + COUNTIF(Z18:Z37, "✔") + COUNTIF(Z18:Z37, "v") + COUNTIF(Z18:Z37, "V")) + COUNTIF(Z18:Z37, "✗") + COUNTIF(Z18:Z37, "x") + COUNTIF(Z18:Z37, "X")) &gt; 0, (COUNTIF(Z18:Z37, "✓") + COUNTIF(Z18:Z37, "✔") + COUNTIF(Z18:Z37, "v") + COUNTIF(Z18:Z37, "V")) / ((COUNTIF(Z18:Z37, "✓") + COUNTIF(Z18:Z37, "✔") + COUNTIF(Z18:Z37, "v") + COUNTIF(Z18:Z37, "V")) + COUNTIF(Z18:Z37, "✗") + COUNTIF(Z18:Z37, "x") + COUNTIF(Z18:Z37, "X")), "")</f>
        <v/>
      </c>
      <c r="AA39" s="134">
        <f>IF(((COUNTIF(AA18:AA37, "✓") + COUNTIF(AA18:AA37, "✔") + COUNTIF(AA18:AA37, "v") + COUNTIF(AA18:AA37, "V")) + COUNTIF(AA18:AA37, "✗") + COUNTIF(AA18:AA37, "x") + COUNTIF(AA18:AA37, "X")) &gt; 0, (COUNTIF(AA18:AA37, "✓") + COUNTIF(AA18:AA37, "✔") + COUNTIF(AA18:AA37, "v") + COUNTIF(AA18:AA37, "V")) / ((COUNTIF(AA18:AA37, "✓") + COUNTIF(AA18:AA37, "✔") + COUNTIF(AA18:AA37, "v") + COUNTIF(AA18:AA37, "V")) + COUNTIF(AA18:AA37, "✗") + COUNTIF(AA18:AA37, "x") + COUNTIF(AA18:AA37, "X")), "")</f>
        <v/>
      </c>
      <c r="AB39" s="134">
        <f>IF(((COUNTIF(AB18:AB37, "✓") + COUNTIF(AB18:AB37, "✔") + COUNTIF(AB18:AB37, "v") + COUNTIF(AB18:AB37, "V")) + COUNTIF(AB18:AB37, "✗") + COUNTIF(AB18:AB37, "x") + COUNTIF(AB18:AB37, "X")) &gt; 0, (COUNTIF(AB18:AB37, "✓") + COUNTIF(AB18:AB37, "✔") + COUNTIF(AB18:AB37, "v") + COUNTIF(AB18:AB37, "V")) / ((COUNTIF(AB18:AB37, "✓") + COUNTIF(AB18:AB37, "✔") + COUNTIF(AB18:AB37, "v") + COUNTIF(AB18:AB37, "V")) + COUNTIF(AB18:AB37, "✗") + COUNTIF(AB18:AB37, "x") + COUNTIF(AB18:AB37, "X")), "")</f>
        <v/>
      </c>
      <c r="AC39" s="134">
        <f>IF(((COUNTIF(AC18:AC37, "✓") + COUNTIF(AC18:AC37, "✔") + COUNTIF(AC18:AC37, "v") + COUNTIF(AC18:AC37, "V")) + COUNTIF(AC18:AC37, "✗") + COUNTIF(AC18:AC37, "x") + COUNTIF(AC18:AC37, "X")) &gt; 0, (COUNTIF(AC18:AC37, "✓") + COUNTIF(AC18:AC37, "✔") + COUNTIF(AC18:AC37, "v") + COUNTIF(AC18:AC37, "V")) / ((COUNTIF(AC18:AC37, "✓") + COUNTIF(AC18:AC37, "✔") + COUNTIF(AC18:AC37, "v") + COUNTIF(AC18:AC37, "V")) + COUNTIF(AC18:AC37, "✗") + COUNTIF(AC18:AC37, "x") + COUNTIF(AC18:AC37, "X")), "")</f>
        <v/>
      </c>
      <c r="AD39" s="134">
        <f>IF(((COUNTIF(AD18:AD37, "✓") + COUNTIF(AD18:AD37, "✔") + COUNTIF(AD18:AD37, "v") + COUNTIF(AD18:AD37, "V")) + COUNTIF(AD18:AD37, "✗") + COUNTIF(AD18:AD37, "x") + COUNTIF(AD18:AD37, "X")) &gt; 0, (COUNTIF(AD18:AD37, "✓") + COUNTIF(AD18:AD37, "✔") + COUNTIF(AD18:AD37, "v") + COUNTIF(AD18:AD37, "V")) / ((COUNTIF(AD18:AD37, "✓") + COUNTIF(AD18:AD37, "✔") + COUNTIF(AD18:AD37, "v") + COUNTIF(AD18:AD37, "V")) + COUNTIF(AD18:AD37, "✗") + COUNTIF(AD18:AD37, "x") + COUNTIF(AD18:AD37, "X")), "")</f>
        <v/>
      </c>
      <c r="AE39" s="134">
        <f>IF(((COUNTIF(AE18:AE37, "✓") + COUNTIF(AE18:AE37, "✔") + COUNTIF(AE18:AE37, "v") + COUNTIF(AE18:AE37, "V")) + COUNTIF(AE18:AE37, "✗") + COUNTIF(AE18:AE37, "x") + COUNTIF(AE18:AE37, "X")) &gt; 0, (COUNTIF(AE18:AE37, "✓") + COUNTIF(AE18:AE37, "✔") + COUNTIF(AE18:AE37, "v") + COUNTIF(AE18:AE37, "V")) / ((COUNTIF(AE18:AE37, "✓") + COUNTIF(AE18:AE37, "✔") + COUNTIF(AE18:AE37, "v") + COUNTIF(AE18:AE37, "V")) + COUNTIF(AE18:AE37, "✗") + COUNTIF(AE18:AE37, "x") + COUNTIF(AE18:AE37, "X")), "")</f>
        <v/>
      </c>
      <c r="AF39" s="134">
        <f>IF(((COUNTIF(AF18:AF37, "✓") + COUNTIF(AF18:AF37, "✔") + COUNTIF(AF18:AF37, "v") + COUNTIF(AF18:AF37, "V")) + COUNTIF(AF18:AF37, "✗") + COUNTIF(AF18:AF37, "x") + COUNTIF(AF18:AF37, "X")) &gt; 0, (COUNTIF(AF18:AF37, "✓") + COUNTIF(AF18:AF37, "✔") + COUNTIF(AF18:AF37, "v") + COUNTIF(AF18:AF37, "V")) / ((COUNTIF(AF18:AF37, "✓") + COUNTIF(AF18:AF37, "✔") + COUNTIF(AF18:AF37, "v") + COUNTIF(AF18:AF37, "V")) + COUNTIF(AF18:AF37, "✗") + COUNTIF(AF18:AF37, "x") + COUNTIF(AF18:AF37, "X")), "")</f>
        <v/>
      </c>
      <c r="AG39" s="134">
        <f>IF(((COUNTIF(AG18:AG37, "✓") + COUNTIF(AG18:AG37, "✔") + COUNTIF(AG18:AG37, "v") + COUNTIF(AG18:AG37, "V")) + COUNTIF(AG18:AG37, "✗") + COUNTIF(AG18:AG37, "x") + COUNTIF(AG18:AG37, "X")) &gt; 0, (COUNTIF(AG18:AG37, "✓") + COUNTIF(AG18:AG37, "✔") + COUNTIF(AG18:AG37, "v") + COUNTIF(AG18:AG37, "V")) / ((COUNTIF(AG18:AG37, "✓") + COUNTIF(AG18:AG37, "✔") + COUNTIF(AG18:AG37, "v") + COUNTIF(AG18:AG37, "V")) + COUNTIF(AG18:AG37, "✗") + COUNTIF(AG18:AG37, "x") + COUNTIF(AG18:AG37, "X")), "")</f>
        <v/>
      </c>
      <c r="AH39" s="134">
        <f>IF(((COUNTIF(AH18:AH37, "✓") + COUNTIF(AH18:AH37, "✔") + COUNTIF(AH18:AH37, "v") + COUNTIF(AH18:AH37, "V")) + COUNTIF(AH18:AH37, "✗") + COUNTIF(AH18:AH37, "x") + COUNTIF(AH18:AH37, "X")) &gt; 0, (COUNTIF(AH18:AH37, "✓") + COUNTIF(AH18:AH37, "✔") + COUNTIF(AH18:AH37, "v") + COUNTIF(AH18:AH37, "V")) / ((COUNTIF(AH18:AH37, "✓") + COUNTIF(AH18:AH37, "✔") + COUNTIF(AH18:AH37, "v") + COUNTIF(AH18:AH37, "V")) + COUNTIF(AH18:AH37, "✗") + COUNTIF(AH18:AH37, "x") + COUNTIF(AH18:AH37, "X")), "")</f>
        <v/>
      </c>
      <c r="AI39" s="133">
        <f>IF(COUNT(E39:AH39) &gt; 0, AVERAGE(E39:AH39), "")</f>
        <v/>
      </c>
      <c r="AJ39" s="54" t="n"/>
      <c r="AK39" s="54" t="n"/>
    </row>
    <row r="40" ht="6" customHeight="1"/>
    <row r="41" ht="15" customHeight="1">
      <c r="A41" s="135" t="inlineStr">
        <is>
          <t>IF SUCCESS &lt; 80%, PUNISHMENT: ________________________________________________</t>
        </is>
      </c>
    </row>
    <row r="42" ht="15" customHeight="1">
      <c r="A42" s="136" t="inlineStr">
        <is>
          <t>IF SUCCESS &gt; 90%, REWARD: __________________________________________________</t>
        </is>
      </c>
    </row>
    <row r="43" ht="10" customHeight="1"/>
    <row r="44" ht="10" customHeight="1"/>
    <row r="45" ht="15" customHeight="1">
      <c r="A45" s="51" t="inlineStr">
        <is>
          <t>Sleep Tracking</t>
        </is>
      </c>
      <c r="B45" s="52" t="n"/>
      <c r="C45" s="52" t="n"/>
      <c r="D45" s="52" t="n"/>
      <c r="E45" s="137" t="n">
        <v>1</v>
      </c>
      <c r="F45" s="137" t="n">
        <v>2</v>
      </c>
      <c r="G45" s="137" t="n">
        <v>3</v>
      </c>
      <c r="H45" s="137" t="n">
        <v>4</v>
      </c>
      <c r="I45" s="137" t="n">
        <v>5</v>
      </c>
      <c r="J45" s="137" t="n">
        <v>6</v>
      </c>
      <c r="K45" s="138" t="n">
        <v>7</v>
      </c>
      <c r="L45" s="137" t="n">
        <v>8</v>
      </c>
      <c r="M45" s="137" t="n">
        <v>9</v>
      </c>
      <c r="N45" s="137" t="n">
        <v>10</v>
      </c>
      <c r="O45" s="137" t="n">
        <v>11</v>
      </c>
      <c r="P45" s="137" t="n">
        <v>12</v>
      </c>
      <c r="Q45" s="137" t="n">
        <v>13</v>
      </c>
      <c r="R45" s="138" t="n">
        <v>14</v>
      </c>
      <c r="S45" s="137" t="n">
        <v>15</v>
      </c>
      <c r="T45" s="137" t="n">
        <v>16</v>
      </c>
      <c r="U45" s="137" t="n">
        <v>17</v>
      </c>
      <c r="V45" s="137" t="n">
        <v>18</v>
      </c>
      <c r="W45" s="137" t="n">
        <v>19</v>
      </c>
      <c r="X45" s="137" t="n">
        <v>20</v>
      </c>
      <c r="Y45" s="138" t="n">
        <v>21</v>
      </c>
      <c r="Z45" s="137" t="n">
        <v>22</v>
      </c>
      <c r="AA45" s="137" t="n">
        <v>23</v>
      </c>
      <c r="AB45" s="137" t="n">
        <v>24</v>
      </c>
      <c r="AC45" s="137" t="n">
        <v>25</v>
      </c>
      <c r="AD45" s="137" t="n">
        <v>26</v>
      </c>
      <c r="AE45" s="137" t="n">
        <v>27</v>
      </c>
      <c r="AF45" s="138" t="n">
        <v>28</v>
      </c>
      <c r="AG45" s="137" t="n">
        <v>29</v>
      </c>
      <c r="AH45" s="137" t="n">
        <v>30</v>
      </c>
    </row>
    <row r="46" ht="15" customHeight="1">
      <c r="A46" s="52" t="n"/>
      <c r="B46" s="52" t="n"/>
      <c r="C46" s="52" t="n"/>
      <c r="D46" s="52" t="n"/>
      <c r="E46" s="139" t="inlineStr">
        <is>
          <t>M</t>
        </is>
      </c>
      <c r="F46" s="139" t="inlineStr">
        <is>
          <t>T</t>
        </is>
      </c>
      <c r="G46" s="139" t="inlineStr">
        <is>
          <t>W</t>
        </is>
      </c>
      <c r="H46" s="139" t="inlineStr">
        <is>
          <t>Th</t>
        </is>
      </c>
      <c r="I46" s="139" t="inlineStr">
        <is>
          <t>F</t>
        </is>
      </c>
      <c r="J46" s="139" t="inlineStr">
        <is>
          <t>Sa</t>
        </is>
      </c>
      <c r="K46" s="140" t="inlineStr">
        <is>
          <t>Su</t>
        </is>
      </c>
      <c r="L46" s="139" t="inlineStr">
        <is>
          <t>M</t>
        </is>
      </c>
      <c r="M46" s="139" t="inlineStr">
        <is>
          <t>T</t>
        </is>
      </c>
      <c r="N46" s="139" t="inlineStr">
        <is>
          <t>W</t>
        </is>
      </c>
      <c r="O46" s="139" t="inlineStr">
        <is>
          <t>Th</t>
        </is>
      </c>
      <c r="P46" s="139" t="inlineStr">
        <is>
          <t>F</t>
        </is>
      </c>
      <c r="Q46" s="139" t="inlineStr">
        <is>
          <t>Sa</t>
        </is>
      </c>
      <c r="R46" s="140" t="inlineStr">
        <is>
          <t>Su</t>
        </is>
      </c>
      <c r="S46" s="139" t="inlineStr">
        <is>
          <t>M</t>
        </is>
      </c>
      <c r="T46" s="139" t="inlineStr">
        <is>
          <t>T</t>
        </is>
      </c>
      <c r="U46" s="139" t="inlineStr">
        <is>
          <t>W</t>
        </is>
      </c>
      <c r="V46" s="139" t="inlineStr">
        <is>
          <t>Th</t>
        </is>
      </c>
      <c r="W46" s="139" t="inlineStr">
        <is>
          <t>F</t>
        </is>
      </c>
      <c r="X46" s="139" t="inlineStr">
        <is>
          <t>Sa</t>
        </is>
      </c>
      <c r="Y46" s="140" t="inlineStr">
        <is>
          <t>Su</t>
        </is>
      </c>
      <c r="Z46" s="139" t="inlineStr">
        <is>
          <t>M</t>
        </is>
      </c>
      <c r="AA46" s="139" t="inlineStr">
        <is>
          <t>T</t>
        </is>
      </c>
      <c r="AB46" s="139" t="inlineStr">
        <is>
          <t>W</t>
        </is>
      </c>
      <c r="AC46" s="139" t="inlineStr">
        <is>
          <t>Th</t>
        </is>
      </c>
      <c r="AD46" s="139" t="inlineStr">
        <is>
          <t>F</t>
        </is>
      </c>
      <c r="AE46" s="139" t="inlineStr">
        <is>
          <t>Sa</t>
        </is>
      </c>
      <c r="AF46" s="140" t="inlineStr">
        <is>
          <t>Su</t>
        </is>
      </c>
      <c r="AG46" s="139" t="inlineStr">
        <is>
          <t>M</t>
        </is>
      </c>
      <c r="AH46" s="139" t="inlineStr">
        <is>
          <t>T</t>
        </is>
      </c>
    </row>
    <row r="47" ht="20" customHeight="1">
      <c r="A47" s="141" t="inlineStr">
        <is>
          <t>Sleep Hours (1-24)</t>
        </is>
      </c>
      <c r="B47" s="142" t="n"/>
      <c r="C47" s="142" t="n"/>
      <c r="D47" s="142" t="n"/>
      <c r="E47" s="143" t="n"/>
      <c r="F47" s="143" t="n"/>
      <c r="G47" s="143" t="n"/>
      <c r="H47" s="143" t="n"/>
      <c r="I47" s="143" t="n"/>
      <c r="J47" s="143" t="n"/>
      <c r="K47" s="144" t="n"/>
      <c r="L47" s="143" t="n"/>
      <c r="M47" s="143" t="n"/>
      <c r="N47" s="143" t="n"/>
      <c r="O47" s="143" t="n"/>
      <c r="P47" s="143" t="n"/>
      <c r="Q47" s="143" t="n"/>
      <c r="R47" s="144" t="n"/>
      <c r="S47" s="143" t="n"/>
      <c r="T47" s="143" t="n"/>
      <c r="U47" s="143" t="n"/>
      <c r="V47" s="143" t="n"/>
      <c r="W47" s="143" t="n"/>
      <c r="X47" s="143" t="n"/>
      <c r="Y47" s="144" t="n"/>
      <c r="Z47" s="143" t="n"/>
      <c r="AA47" s="143" t="n"/>
      <c r="AB47" s="143" t="n"/>
      <c r="AC47" s="143" t="n"/>
      <c r="AD47" s="143" t="n"/>
      <c r="AE47" s="143" t="n"/>
      <c r="AF47" s="144" t="n"/>
      <c r="AG47" s="143" t="n"/>
      <c r="AH47" s="143" t="n"/>
    </row>
    <row r="48" ht="6" customHeight="1"/>
    <row r="49" ht="14" customHeight="1"/>
    <row r="50" ht="14" customHeight="1"/>
    <row r="51" ht="14" customHeight="1"/>
    <row r="52" ht="14" customHeight="1"/>
    <row r="53" ht="14" customHeight="1"/>
    <row r="54" ht="14" customHeight="1"/>
    <row r="55" ht="14" customHeight="1"/>
    <row r="56" ht="14" customHeight="1"/>
    <row r="57" ht="14" customHeight="1"/>
    <row r="58" ht="14" customHeight="1"/>
    <row r="59" ht="14" customHeight="1"/>
    <row r="60" ht="14" customHeight="1"/>
    <row r="61" ht="14" customHeight="1"/>
    <row r="62" ht="14" customHeight="1"/>
    <row r="63" ht="14" customHeight="1"/>
    <row r="64" ht="14" customHeight="1"/>
    <row r="65" ht="14" customHeight="1"/>
    <row r="66" ht="8" customHeight="1"/>
    <row r="67">
      <c r="A67" s="145" t="inlineStr">
        <is>
          <t>MONTHLY SUCCESS RATE</t>
        </is>
      </c>
      <c r="B67" s="9" t="n"/>
      <c r="C67" s="9" t="n"/>
      <c r="D67" s="9" t="n"/>
      <c r="F67" s="146" t="inlineStr">
        <is>
          <t>ACTIVE PROTOCOLS</t>
        </is>
      </c>
      <c r="G67" s="11" t="n"/>
      <c r="H67" s="11" t="n"/>
      <c r="I67" s="11" t="n"/>
      <c r="K67" s="147" t="inlineStr">
        <is>
          <t>PERFECT DAYS (100%)</t>
        </is>
      </c>
      <c r="L67" s="13" t="n"/>
      <c r="M67" s="13" t="n"/>
      <c r="N67" s="13" t="n"/>
      <c r="P67" s="148" t="inlineStr">
        <is>
          <t>AVG SLEEP DURATION</t>
        </is>
      </c>
      <c r="Q67" s="15" t="n"/>
      <c r="R67" s="15" t="n"/>
      <c r="S67" s="15" t="n"/>
    </row>
    <row r="68">
      <c r="A68" s="149">
        <f>IF(SUM(D18:D37)&gt;0, SUM(AL18:AL37)/SUM(D18:D37), 0)</f>
        <v/>
      </c>
      <c r="B68" s="9" t="n"/>
      <c r="C68" s="9" t="n"/>
      <c r="D68" s="9" t="n"/>
      <c r="F68" s="150">
        <f>COUNTA(B18:B37) &amp; " / 20"</f>
        <v/>
      </c>
      <c r="G68" s="11" t="n"/>
      <c r="H68" s="11" t="n"/>
      <c r="I68" s="11" t="n"/>
      <c r="K68" s="151">
        <f>COUNTIF(E39:AH39, 1) &amp; " Days"</f>
        <v/>
      </c>
      <c r="L68" s="13" t="n"/>
      <c r="M68" s="13" t="n"/>
      <c r="N68" s="13" t="n"/>
      <c r="P68" s="152">
        <f>IFERROR(TEXT(AVERAGE(E47:AH47), "0.0") &amp; " hrs", "-")</f>
        <v/>
      </c>
      <c r="Q68" s="15" t="n"/>
      <c r="R68" s="15" t="n"/>
      <c r="S68" s="15" t="n"/>
    </row>
    <row r="69">
      <c r="A69" s="9" t="n"/>
      <c r="B69" s="9" t="n"/>
      <c r="C69" s="9" t="n"/>
      <c r="D69" s="9" t="n"/>
      <c r="F69" s="11" t="n"/>
      <c r="G69" s="11" t="n"/>
      <c r="H69" s="11" t="n"/>
      <c r="I69" s="11" t="n"/>
      <c r="K69" s="13" t="n"/>
      <c r="L69" s="13" t="n"/>
      <c r="M69" s="13" t="n"/>
      <c r="N69" s="13" t="n"/>
      <c r="P69" s="15" t="n"/>
      <c r="Q69" s="15" t="n"/>
      <c r="R69" s="15" t="n"/>
      <c r="S69" s="15" t="n"/>
    </row>
    <row r="70">
      <c r="A70" s="9" t="n"/>
      <c r="B70" s="9" t="n"/>
      <c r="C70" s="9" t="n"/>
      <c r="D70" s="9" t="n"/>
      <c r="F70" s="11" t="n"/>
      <c r="G70" s="11" t="n"/>
      <c r="H70" s="11" t="n"/>
      <c r="I70" s="11" t="n"/>
      <c r="K70" s="13" t="n"/>
      <c r="L70" s="13" t="n"/>
      <c r="M70" s="13" t="n"/>
      <c r="N70" s="13" t="n"/>
      <c r="P70" s="15" t="n"/>
      <c r="Q70" s="15" t="n"/>
      <c r="R70" s="15" t="n"/>
      <c r="S70" s="15" t="n"/>
    </row>
    <row r="71">
      <c r="A71" s="153" t="inlineStr">
        <is>
          <t>Target Completion</t>
        </is>
      </c>
      <c r="B71" s="9" t="n"/>
      <c r="C71" s="9" t="n"/>
      <c r="D71" s="9" t="n"/>
      <c r="F71" s="154" t="inlineStr">
        <is>
          <t>Habits Tracked</t>
        </is>
      </c>
      <c r="G71" s="11" t="n"/>
      <c r="H71" s="11" t="n"/>
      <c r="I71" s="11" t="n"/>
      <c r="K71" s="155" t="inlineStr">
        <is>
          <t>All Marked Habits Completed</t>
        </is>
      </c>
      <c r="L71" s="13" t="n"/>
      <c r="M71" s="13" t="n"/>
      <c r="N71" s="13" t="n"/>
      <c r="P71" s="156" t="inlineStr">
        <is>
          <t>Nightly Rest Average</t>
        </is>
      </c>
      <c r="Q71" s="15" t="n"/>
      <c r="R71" s="15" t="n"/>
      <c r="S71" s="15" t="n"/>
    </row>
    <row r="72" ht="8" customHeight="1"/>
    <row r="73" ht="6" customHeight="1"/>
    <row r="74">
      <c r="A74" s="67" t="inlineStr">
        <is>
          <t>WEEKLY PERFORMANCE (SLUMP DETECTOR)</t>
        </is>
      </c>
      <c r="B74" s="29" t="n"/>
      <c r="C74" s="29" t="n"/>
      <c r="D74" s="29" t="n"/>
      <c r="E74" s="29" t="n"/>
      <c r="N74" s="157" t="inlineStr">
        <is>
          <t>LIFE DOMAIN / CATEGORY BREAKDOWN</t>
        </is>
      </c>
      <c r="O74" s="158" t="n"/>
      <c r="P74" s="158" t="n"/>
      <c r="Q74" s="158" t="n"/>
      <c r="R74" s="158" t="n"/>
      <c r="S74" s="158" t="n"/>
    </row>
    <row r="75" ht="15" customHeight="1">
      <c r="A75" s="53" t="inlineStr">
        <is>
          <t>Week</t>
        </is>
      </c>
      <c r="B75" s="53" t="inlineStr">
        <is>
          <t>Days Range</t>
        </is>
      </c>
      <c r="C75" s="53" t="inlineStr">
        <is>
          <t>Checks Done</t>
        </is>
      </c>
      <c r="D75" s="53" t="inlineStr">
        <is>
          <t>Evaluated</t>
        </is>
      </c>
      <c r="E75" s="53" t="inlineStr">
        <is>
          <t>Success %</t>
        </is>
      </c>
      <c r="N75" s="53" t="inlineStr">
        <is>
          <t>Domain / Category</t>
        </is>
      </c>
      <c r="O75" s="54" t="n"/>
      <c r="P75" s="53" t="inlineStr">
        <is>
          <t>Active Habits</t>
        </is>
      </c>
      <c r="Q75" s="53" t="inlineStr">
        <is>
          <t>Target Days</t>
        </is>
      </c>
      <c r="R75" s="53" t="inlineStr">
        <is>
          <t>Done Checks</t>
        </is>
      </c>
      <c r="S75" s="53" t="inlineStr">
        <is>
          <t>Success %</t>
        </is>
      </c>
    </row>
    <row r="76" ht="14" customHeight="1">
      <c r="A76" s="33" t="inlineStr">
        <is>
          <t>Week 1</t>
        </is>
      </c>
      <c r="B76" s="34" t="inlineStr">
        <is>
          <t>Days 1 - 7</t>
        </is>
      </c>
      <c r="C76" s="34">
        <f>COUNTIF(E18:K37, "✓")</f>
        <v/>
      </c>
      <c r="D76" s="34">
        <f>COUNTIF(E18:K37, "✓") + COUNTIF(E18:K37, "✗")</f>
        <v/>
      </c>
      <c r="E76" s="35">
        <f>IFERROR(C76/D76, 0)</f>
        <v/>
      </c>
      <c r="N76" s="60" t="inlineStr">
        <is>
          <t>Health &amp; Fitness</t>
        </is>
      </c>
      <c r="O76" s="54" t="n"/>
      <c r="P76" s="34">
        <f>COUNTIF($C$18:$C$37, "Health &amp; Fitness")</f>
        <v/>
      </c>
      <c r="Q76" s="34">
        <f>SUMIF($C$18:$C$37, "Health &amp; Fitness", $D$18:$D$37)</f>
        <v/>
      </c>
      <c r="R76" s="34">
        <f>SUMIF($C$18:$C$37, "Health &amp; Fitness", $AL$18:$AL$37)</f>
        <v/>
      </c>
      <c r="S76" s="35">
        <f>IFERROR(R76/Q76, 0)</f>
        <v/>
      </c>
    </row>
    <row r="77" ht="14" customHeight="1">
      <c r="A77" s="33" t="inlineStr">
        <is>
          <t>Week 2</t>
        </is>
      </c>
      <c r="B77" s="34" t="inlineStr">
        <is>
          <t>Days 8 - 14</t>
        </is>
      </c>
      <c r="C77" s="34">
        <f>COUNTIF(L18:R37, "✓")</f>
        <v/>
      </c>
      <c r="D77" s="34">
        <f>COUNTIF(L18:R37, "✓") + COUNTIF(L18:R37, "✗")</f>
        <v/>
      </c>
      <c r="E77" s="35">
        <f>IFERROR(C77/D77, 0)</f>
        <v/>
      </c>
      <c r="N77" s="60" t="inlineStr">
        <is>
          <t>Mindset &amp; Learning</t>
        </is>
      </c>
      <c r="O77" s="54" t="n"/>
      <c r="P77" s="34">
        <f>COUNTIF($C$18:$C$37, "Mindset &amp; Learning")</f>
        <v/>
      </c>
      <c r="Q77" s="34">
        <f>SUMIF($C$18:$C$37, "Mindset &amp; Learning", $D$18:$D$37)</f>
        <v/>
      </c>
      <c r="R77" s="34">
        <f>SUMIF($C$18:$C$37, "Mindset &amp; Learning", $AL$18:$AL$37)</f>
        <v/>
      </c>
      <c r="S77" s="35">
        <f>IFERROR(R77/Q77, 0)</f>
        <v/>
      </c>
    </row>
    <row r="78" ht="14" customHeight="1">
      <c r="A78" s="33" t="inlineStr">
        <is>
          <t>Week 3</t>
        </is>
      </c>
      <c r="B78" s="34" t="inlineStr">
        <is>
          <t>Days 15 - 21</t>
        </is>
      </c>
      <c r="C78" s="34">
        <f>COUNTIF(S18:Y37, "✓")</f>
        <v/>
      </c>
      <c r="D78" s="34">
        <f>COUNTIF(S18:Y37, "✓") + COUNTIF(S18:Y37, "✗")</f>
        <v/>
      </c>
      <c r="E78" s="35">
        <f>IFERROR(C78/D78, 0)</f>
        <v/>
      </c>
      <c r="N78" s="60" t="inlineStr">
        <is>
          <t>Career &amp; Focus</t>
        </is>
      </c>
      <c r="O78" s="54" t="n"/>
      <c r="P78" s="34">
        <f>COUNTIF($C$18:$C$37, "Career &amp; Focus")</f>
        <v/>
      </c>
      <c r="Q78" s="34">
        <f>SUMIF($C$18:$C$37, "Career &amp; Focus", $D$18:$D$37)</f>
        <v/>
      </c>
      <c r="R78" s="34">
        <f>SUMIF($C$18:$C$37, "Career &amp; Focus", $AL$18:$AL$37)</f>
        <v/>
      </c>
      <c r="S78" s="35">
        <f>IFERROR(R78/Q78, 0)</f>
        <v/>
      </c>
    </row>
    <row r="79" ht="14" customHeight="1">
      <c r="A79" s="33" t="inlineStr">
        <is>
          <t>Week 4</t>
        </is>
      </c>
      <c r="B79" s="34" t="inlineStr">
        <is>
          <t>Days 22 - 28</t>
        </is>
      </c>
      <c r="C79" s="34">
        <f>COUNTIF(Z18:AF37, "✓")</f>
        <v/>
      </c>
      <c r="D79" s="34">
        <f>COUNTIF(Z18:AF37, "✓") + COUNTIF(Z18:AF37, "✗")</f>
        <v/>
      </c>
      <c r="E79" s="35">
        <f>IFERROR(C79/D79, 0)</f>
        <v/>
      </c>
      <c r="N79" s="60" t="inlineStr">
        <is>
          <t>Personal &amp; Home</t>
        </is>
      </c>
      <c r="O79" s="54" t="n"/>
      <c r="P79" s="34">
        <f>COUNTIF($C$18:$C$37, "Personal &amp; Home")</f>
        <v/>
      </c>
      <c r="Q79" s="34">
        <f>SUMIF($C$18:$C$37, "Personal &amp; Home", $D$18:$D$37)</f>
        <v/>
      </c>
      <c r="R79" s="34">
        <f>SUMIF($C$18:$C$37, "Personal &amp; Home", $AL$18:$AL$37)</f>
        <v/>
      </c>
      <c r="S79" s="35">
        <f>IFERROR(R79/Q79, 0)</f>
        <v/>
      </c>
    </row>
    <row r="80" ht="14" customHeight="1">
      <c r="A80" s="33" t="inlineStr">
        <is>
          <t>Week 5</t>
        </is>
      </c>
      <c r="B80" s="34" t="inlineStr">
        <is>
          <t>Days 29 - 30</t>
        </is>
      </c>
      <c r="C80" s="34">
        <f>COUNTIF(AG18:AH37, "✓")</f>
        <v/>
      </c>
      <c r="D80" s="34">
        <f>COUNTIF(AG18:AH37, "✓") + COUNTIF(AG18:AH37, "✗")</f>
        <v/>
      </c>
      <c r="E80" s="35">
        <f>IFERROR(C80/D80, 0)</f>
        <v/>
      </c>
      <c r="N80" s="60" t="inlineStr">
        <is>
          <t>Finance &amp; Wealth</t>
        </is>
      </c>
      <c r="O80" s="54" t="n"/>
      <c r="P80" s="34">
        <f>COUNTIF($C$18:$C$37, "Finance &amp; Wealth")</f>
        <v/>
      </c>
      <c r="Q80" s="34">
        <f>SUMIF($C$18:$C$37, "Finance &amp; Wealth", $D$18:$D$37)</f>
        <v/>
      </c>
      <c r="R80" s="34">
        <f>SUMIF($C$18:$C$37, "Finance &amp; Wealth", $AL$18:$AL$37)</f>
        <v/>
      </c>
      <c r="S80" s="35">
        <f>IFERROR(R80/Q80, 0)</f>
        <v/>
      </c>
    </row>
    <row r="81" ht="14" customHeight="1">
      <c r="A81" s="33" t="inlineStr">
        <is>
          <t>Total / Avg</t>
        </is>
      </c>
      <c r="B81" s="159" t="inlineStr">
        <is>
          <t>Month Total</t>
        </is>
      </c>
      <c r="C81" s="33">
        <f>SUM(C76:C80)</f>
        <v/>
      </c>
      <c r="D81" s="33">
        <f>SUM(D76:D80)</f>
        <v/>
      </c>
      <c r="E81" s="133">
        <f>IFERROR(C81/D81, 0)</f>
        <v/>
      </c>
    </row>
    <row r="82" ht="10" customHeight="1"/>
    <row r="83" ht="10" customHeight="1"/>
    <row r="84">
      <c r="A84" s="51" t="inlineStr">
        <is>
          <t>SLEEP &amp; PRODUCTIVITY CORRELATION ANALYSIS</t>
        </is>
      </c>
      <c r="B84" s="52" t="n"/>
      <c r="C84" s="52" t="n"/>
      <c r="D84" s="52" t="n"/>
      <c r="E84" s="52" t="n"/>
      <c r="F84" s="52" t="n"/>
      <c r="G84" s="52" t="n"/>
      <c r="H84" s="52" t="n"/>
      <c r="I84" s="52" t="n"/>
      <c r="J84" s="52" t="n"/>
      <c r="K84" s="52" t="n"/>
      <c r="L84" s="52" t="n"/>
      <c r="M84" s="52" t="n"/>
      <c r="N84" s="52" t="n"/>
      <c r="O84" s="52" t="n"/>
      <c r="P84" s="52" t="n"/>
      <c r="Q84" s="52" t="n"/>
      <c r="R84" s="52" t="n"/>
      <c r="S84" s="52" t="n"/>
      <c r="T84" s="52" t="n"/>
      <c r="U84" s="52" t="n"/>
      <c r="V84" s="52" t="n"/>
      <c r="W84" s="52" t="n"/>
      <c r="X84" s="52" t="n"/>
      <c r="Y84" s="52" t="n"/>
      <c r="Z84" s="52" t="n"/>
      <c r="AA84" s="52" t="n"/>
      <c r="AB84" s="52" t="n"/>
      <c r="AC84" s="52" t="n"/>
      <c r="AD84" s="52" t="n"/>
      <c r="AE84" s="52" t="n"/>
      <c r="AF84" s="52" t="n"/>
      <c r="AG84" s="52" t="n"/>
      <c r="AH84" s="52" t="n"/>
      <c r="AI84" s="52" t="n"/>
      <c r="AJ84" s="52" t="n"/>
      <c r="AK84" s="52" t="n"/>
    </row>
    <row r="85" ht="15" customHeight="1">
      <c r="A85" s="53" t="inlineStr">
        <is>
          <t>Rest Category</t>
        </is>
      </c>
      <c r="B85" s="54" t="n"/>
      <c r="C85" s="54" t="n"/>
      <c r="D85" s="53" t="inlineStr">
        <is>
          <t>Day Criteria</t>
        </is>
      </c>
      <c r="E85" s="54" t="n"/>
      <c r="F85" s="54" t="n"/>
      <c r="G85" s="53" t="inlineStr">
        <is>
          <t>Days Logged</t>
        </is>
      </c>
      <c r="H85" s="54" t="n"/>
      <c r="I85" s="54" t="n"/>
      <c r="J85" s="53" t="inlineStr">
        <is>
          <t>Avg Sleep Duration</t>
        </is>
      </c>
      <c r="K85" s="54" t="n"/>
      <c r="L85" s="54" t="n"/>
      <c r="M85" s="54" t="n"/>
      <c r="N85" s="53" t="inlineStr">
        <is>
          <t>Avg Habit Success %</t>
        </is>
      </c>
      <c r="O85" s="54" t="n"/>
      <c r="P85" s="54" t="n"/>
      <c r="Q85" s="54" t="n"/>
      <c r="R85" s="53" t="inlineStr">
        <is>
          <t>Productivity Delta</t>
        </is>
      </c>
      <c r="S85" s="54" t="n"/>
      <c r="T85" s="54" t="n"/>
      <c r="U85" s="54" t="n"/>
    </row>
    <row r="86" ht="15" customHeight="1">
      <c r="A86" s="160" t="inlineStr">
        <is>
          <t>Optimal Rest</t>
        </is>
      </c>
      <c r="B86" s="161" t="n"/>
      <c r="C86" s="56" t="n"/>
      <c r="D86" s="34" t="inlineStr">
        <is>
          <t>&gt;= 7 Hours / Night</t>
        </is>
      </c>
      <c r="E86" s="161" t="n"/>
      <c r="F86" s="56" t="n"/>
      <c r="G86" s="33">
        <f>COUNTIF(E47:AH47, "&gt;=7")</f>
        <v/>
      </c>
      <c r="H86" s="161" t="n"/>
      <c r="I86" s="56" t="n"/>
      <c r="J86" s="34">
        <f>IFERROR(TEXT(AVERAGEIF(E47:AH47, "&gt;=7"), "0.0") &amp; " hrs", "-")</f>
        <v/>
      </c>
      <c r="K86" s="161" t="n"/>
      <c r="L86" s="161" t="n"/>
      <c r="M86" s="56" t="n"/>
      <c r="N86" s="42">
        <f>IFERROR(AVERAGEIFS(E39:AH39, E47:AH47, "&gt;=7", E39:AH39, "&gt;0"), 0)</f>
        <v/>
      </c>
      <c r="O86" s="161" t="n"/>
      <c r="P86" s="161" t="n"/>
      <c r="Q86" s="56" t="n"/>
      <c r="R86" s="159" t="inlineStr">
        <is>
          <t>Baseline (Target)</t>
        </is>
      </c>
      <c r="S86" s="161" t="n"/>
      <c r="T86" s="161" t="n"/>
      <c r="U86" s="56" t="n"/>
    </row>
    <row r="87" ht="15" customHeight="1">
      <c r="A87" s="162" t="inlineStr">
        <is>
          <t>Sleep Deficit</t>
        </is>
      </c>
      <c r="B87" s="161" t="n"/>
      <c r="C87" s="56" t="n"/>
      <c r="D87" s="34" t="inlineStr">
        <is>
          <t>&lt; 7 Hours / Night</t>
        </is>
      </c>
      <c r="E87" s="161" t="n"/>
      <c r="F87" s="56" t="n"/>
      <c r="G87" s="33">
        <f>COUNTIF(E47:AH47, "&lt;7") - COUNTIF(E47:AH47, "")</f>
        <v/>
      </c>
      <c r="H87" s="161" t="n"/>
      <c r="I87" s="56" t="n"/>
      <c r="J87" s="34">
        <f>IFERROR(TEXT(AVERAGEIFS(E47:AH47, E47:AH47, "&lt;7", E47:AH47, "&gt;0"), "0.0") &amp; " hrs", "-")</f>
        <v/>
      </c>
      <c r="K87" s="161" t="n"/>
      <c r="L87" s="161" t="n"/>
      <c r="M87" s="56" t="n"/>
      <c r="N87" s="163">
        <f>IFERROR(AVERAGEIFS(E39:AH39, E47:AH47, "&lt;7", E39:AH39, "&gt;0"), 0)</f>
        <v/>
      </c>
      <c r="O87" s="161" t="n"/>
      <c r="P87" s="161" t="n"/>
      <c r="Q87" s="56" t="n"/>
      <c r="R87" s="160">
        <f>IFERROR(TEXT(N86 - N87, "+0.0%;-0.0%;0.0%") &amp; " Rest Advantage", "-")</f>
        <v/>
      </c>
      <c r="S87" s="161" t="n"/>
      <c r="T87" s="161" t="n"/>
      <c r="U87" s="56" t="n"/>
    </row>
    <row r="88" ht="18" customHeight="1">
      <c r="A88" s="164">
        <f>IF(AND(ISNUMBER(N86), ISNUMBER(N87), N86&gt;0, N87&gt;0), "💡 Sleep Correlation Insight: You complete " &amp; TEXT(ABS(N86-N87), "0.0%") &amp; IF(N86&gt;=N87, " MORE habits on days with 7+ hours of sleep!", " fewer habits on days with 7+ hours of sleep."), "💡 Log both habits and sleep hours daily to unlock automatic AI correlation insights!")</f>
        <v/>
      </c>
      <c r="B88" s="161" t="n"/>
      <c r="C88" s="161" t="n"/>
      <c r="D88" s="161" t="n"/>
      <c r="E88" s="161" t="n"/>
      <c r="F88" s="161" t="n"/>
      <c r="G88" s="161" t="n"/>
      <c r="H88" s="161" t="n"/>
      <c r="I88" s="161" t="n"/>
      <c r="J88" s="161" t="n"/>
      <c r="K88" s="161" t="n"/>
      <c r="L88" s="161" t="n"/>
      <c r="M88" s="161" t="n"/>
      <c r="N88" s="161" t="n"/>
      <c r="O88" s="161" t="n"/>
      <c r="P88" s="161" t="n"/>
      <c r="Q88" s="161" t="n"/>
      <c r="R88" s="161" t="n"/>
      <c r="S88" s="161" t="n"/>
      <c r="T88" s="161" t="n"/>
      <c r="U88" s="161" t="n"/>
      <c r="V88" s="161" t="n"/>
      <c r="W88" s="161" t="n"/>
      <c r="X88" s="161" t="n"/>
      <c r="Y88" s="161" t="n"/>
      <c r="Z88" s="161" t="n"/>
      <c r="AA88" s="161" t="n"/>
      <c r="AB88" s="161" t="n"/>
      <c r="AC88" s="161" t="n"/>
      <c r="AD88" s="161" t="n"/>
      <c r="AE88" s="161" t="n"/>
      <c r="AF88" s="161" t="n"/>
      <c r="AG88" s="161" t="n"/>
      <c r="AH88" s="161" t="n"/>
      <c r="AI88" s="161" t="n"/>
      <c r="AJ88" s="161" t="n"/>
      <c r="AK88" s="56" t="n"/>
    </row>
    <row r="89" ht="10" customHeight="1"/>
    <row r="90">
      <c r="A90" s="43" t="inlineStr">
        <is>
          <t>STANDARDIZED DATA BRIDGE (FOR ANNUAL &amp; QUARTERLY REVIEW SHEETS)</t>
        </is>
      </c>
      <c r="B90" s="44" t="n"/>
      <c r="C90" s="44" t="n"/>
      <c r="D90" s="44" t="n"/>
      <c r="E90" s="44" t="n"/>
      <c r="F90" s="44" t="n"/>
      <c r="G90" s="44" t="n"/>
      <c r="H90" s="44" t="n"/>
      <c r="I90" s="44" t="n"/>
      <c r="J90" s="44" t="n"/>
      <c r="K90" s="44" t="n"/>
      <c r="L90" s="44" t="n"/>
      <c r="M90" s="44" t="n"/>
      <c r="N90" s="44" t="n"/>
      <c r="O90" s="44" t="n"/>
      <c r="P90" s="44" t="n"/>
      <c r="Q90" s="44" t="n"/>
      <c r="R90" s="44" t="n"/>
      <c r="S90" s="44" t="n"/>
      <c r="T90" s="44" t="n"/>
      <c r="U90" s="44" t="n"/>
      <c r="V90" s="44" t="n"/>
      <c r="W90" s="44" t="n"/>
      <c r="X90" s="44" t="n"/>
      <c r="Y90" s="44" t="n"/>
      <c r="Z90" s="44" t="n"/>
      <c r="AA90" s="44" t="n"/>
      <c r="AB90" s="44" t="n"/>
      <c r="AC90" s="44" t="n"/>
      <c r="AD90" s="44" t="n"/>
      <c r="AE90" s="44" t="n"/>
      <c r="AF90" s="44" t="n"/>
      <c r="AG90" s="44" t="n"/>
      <c r="AH90" s="44" t="n"/>
      <c r="AI90" s="44" t="n"/>
      <c r="AJ90" s="44" t="n"/>
      <c r="AK90" s="44" t="n"/>
    </row>
    <row r="91" ht="15" customHeight="1">
      <c r="A91" s="53" t="inlineStr">
        <is>
          <t>Month</t>
        </is>
      </c>
      <c r="B91" s="54" t="n"/>
      <c r="C91" s="53" t="inlineStr">
        <is>
          <t>Year</t>
        </is>
      </c>
      <c r="D91" s="54" t="n"/>
      <c r="E91" s="53" t="inlineStr">
        <is>
          <t>Active Habits</t>
        </is>
      </c>
      <c r="F91" s="54" t="n"/>
      <c r="G91" s="53" t="inlineStr">
        <is>
          <t>Target Days</t>
        </is>
      </c>
      <c r="H91" s="54" t="n"/>
      <c r="I91" s="53" t="inlineStr">
        <is>
          <t>Done Checks</t>
        </is>
      </c>
      <c r="J91" s="54" t="n"/>
      <c r="K91" s="53" t="inlineStr">
        <is>
          <t>Success %</t>
        </is>
      </c>
      <c r="L91" s="54" t="n"/>
      <c r="M91" s="53" t="inlineStr">
        <is>
          <t>Perfect Days</t>
        </is>
      </c>
      <c r="N91" s="54" t="n"/>
      <c r="O91" s="53" t="inlineStr">
        <is>
          <t>Avg Sleep</t>
        </is>
      </c>
      <c r="P91" s="54" t="n"/>
      <c r="Q91" s="53" t="inlineStr">
        <is>
          <t>Best Week</t>
        </is>
      </c>
      <c r="R91" s="54" t="n"/>
      <c r="S91" s="54" t="n"/>
      <c r="T91" s="53" t="inlineStr">
        <is>
          <t>Top Life Domain</t>
        </is>
      </c>
      <c r="U91" s="54" t="n"/>
      <c r="V91" s="54" t="n"/>
      <c r="W91" s="54" t="n"/>
    </row>
    <row r="92" ht="16" customHeight="1">
      <c r="A92" s="165" t="inlineStr">
        <is>
          <t>Apr</t>
        </is>
      </c>
      <c r="B92" s="56" t="n"/>
      <c r="C92" s="165" t="n">
        <v>2030</v>
      </c>
      <c r="D92" s="56" t="n"/>
      <c r="E92" s="166">
        <f>COUNTA(B18:B37)</f>
        <v/>
      </c>
      <c r="F92" s="56" t="n"/>
      <c r="G92" s="166">
        <f>SUM(D18:D37)</f>
        <v/>
      </c>
      <c r="H92" s="56" t="n"/>
      <c r="I92" s="166">
        <f>SUM(AL18:AL37)</f>
        <v/>
      </c>
      <c r="J92" s="56" t="n"/>
      <c r="K92" s="167">
        <f>IF(G92&gt;0, I92/G92, 0)</f>
        <v/>
      </c>
      <c r="L92" s="56" t="n"/>
      <c r="M92" s="166">
        <f>COUNTIF(E39:AH39, 1)</f>
        <v/>
      </c>
      <c r="N92" s="56" t="n"/>
      <c r="O92" s="168">
        <f>IFERROR(AVERAGE(E47:AH47), 0)</f>
        <v/>
      </c>
      <c r="P92" s="56" t="n"/>
      <c r="Q92" s="166">
        <f>INDEX(A76:A80, MATCH(MAX(E76:E80), E76:E80, 0))</f>
        <v/>
      </c>
      <c r="R92" s="161" t="n"/>
      <c r="S92" s="56" t="n"/>
      <c r="T92" s="166">
        <f>INDEX(N76:N80, MATCH(MAX(S76:S80), S76:S80, 0))</f>
        <v/>
      </c>
      <c r="U92" s="161" t="n"/>
      <c r="V92" s="161" t="n"/>
      <c r="W92" s="56" t="n"/>
    </row>
    <row r="93" ht="14" customHeight="1">
      <c r="A93" s="169" t="inlineStr">
        <is>
          <t>📋 Note: Reference or copy Row 92 directly into an Annual / Quarterly review dashboard to track yearly habit trends.</t>
        </is>
      </c>
    </row>
    <row r="94" ht="8" customHeight="1"/>
    <row r="95">
      <c r="A95" s="170" t="inlineStr">
        <is>
          <t>🏆 MONTHLY WINS &amp; HIGHLIGHTS</t>
        </is>
      </c>
      <c r="J95" s="171" t="inlineStr">
        <is>
          <t>⚠️ FRICTION POINTS &amp; ROOT CAUSES</t>
        </is>
      </c>
      <c r="S95" s="172" t="inlineStr">
        <is>
          <t>🎯 3 KEY ADJUSTMENTS FOR NEXT MONTH</t>
        </is>
      </c>
    </row>
    <row r="96">
      <c r="A96" s="173" t="inlineStr">
        <is>
          <t>1. What went exceptionally well this month?
2. Which habit felt effortless and consistent?
3. Major milestone achieved:</t>
        </is>
      </c>
      <c r="B96" s="174" t="n"/>
      <c r="C96" s="174" t="n"/>
      <c r="D96" s="174" t="n"/>
      <c r="E96" s="174" t="n"/>
      <c r="F96" s="174" t="n"/>
      <c r="G96" s="174" t="n"/>
      <c r="H96" s="174" t="n"/>
      <c r="J96" s="175" t="inlineStr">
        <is>
          <t>1. What caused missed or skipped days?
2. Main triggers / energy drains encountered:
3. Which habit had the lowest consistency and why?</t>
        </is>
      </c>
      <c r="K96" s="176" t="n"/>
      <c r="L96" s="176" t="n"/>
      <c r="M96" s="176" t="n"/>
      <c r="N96" s="176" t="n"/>
      <c r="O96" s="176" t="n"/>
      <c r="P96" s="176" t="n"/>
      <c r="Q96" s="176" t="n"/>
      <c r="S96" s="177" t="inlineStr">
        <is>
          <t>1. Habit Stacking or time adjustment for next month:
2. Environment design change to eliminate friction:
3. One non-negotiable priority protocol:</t>
        </is>
      </c>
      <c r="T96" s="178" t="n"/>
      <c r="U96" s="178" t="n"/>
      <c r="V96" s="178" t="n"/>
      <c r="W96" s="178" t="n"/>
      <c r="X96" s="178" t="n"/>
      <c r="Y96" s="178" t="n"/>
      <c r="Z96" s="178" t="n"/>
    </row>
    <row r="97">
      <c r="A97" s="174" t="n"/>
      <c r="B97" s="174" t="n"/>
      <c r="C97" s="174" t="n"/>
      <c r="D97" s="174" t="n"/>
      <c r="E97" s="174" t="n"/>
      <c r="F97" s="174" t="n"/>
      <c r="G97" s="174" t="n"/>
      <c r="H97" s="174" t="n"/>
      <c r="J97" s="176" t="n"/>
      <c r="K97" s="176" t="n"/>
      <c r="L97" s="176" t="n"/>
      <c r="M97" s="176" t="n"/>
      <c r="N97" s="176" t="n"/>
      <c r="O97" s="176" t="n"/>
      <c r="P97" s="176" t="n"/>
      <c r="Q97" s="176" t="n"/>
      <c r="S97" s="178" t="n"/>
      <c r="T97" s="178" t="n"/>
      <c r="U97" s="178" t="n"/>
      <c r="V97" s="178" t="n"/>
      <c r="W97" s="178" t="n"/>
      <c r="X97" s="178" t="n"/>
      <c r="Y97" s="178" t="n"/>
      <c r="Z97" s="178" t="n"/>
    </row>
    <row r="98">
      <c r="A98" s="174" t="n"/>
      <c r="B98" s="174" t="n"/>
      <c r="C98" s="174" t="n"/>
      <c r="D98" s="174" t="n"/>
      <c r="E98" s="174" t="n"/>
      <c r="F98" s="174" t="n"/>
      <c r="G98" s="174" t="n"/>
      <c r="H98" s="174" t="n"/>
      <c r="J98" s="176" t="n"/>
      <c r="K98" s="176" t="n"/>
      <c r="L98" s="176" t="n"/>
      <c r="M98" s="176" t="n"/>
      <c r="N98" s="176" t="n"/>
      <c r="O98" s="176" t="n"/>
      <c r="P98" s="176" t="n"/>
      <c r="Q98" s="176" t="n"/>
      <c r="S98" s="178" t="n"/>
      <c r="T98" s="178" t="n"/>
      <c r="U98" s="178" t="n"/>
      <c r="V98" s="178" t="n"/>
      <c r="W98" s="178" t="n"/>
      <c r="X98" s="178" t="n"/>
      <c r="Y98" s="178" t="n"/>
      <c r="Z98" s="178" t="n"/>
    </row>
    <row r="99">
      <c r="A99" s="174" t="n"/>
      <c r="B99" s="174" t="n"/>
      <c r="C99" s="174" t="n"/>
      <c r="D99" s="174" t="n"/>
      <c r="E99" s="174" t="n"/>
      <c r="F99" s="174" t="n"/>
      <c r="G99" s="174" t="n"/>
      <c r="H99" s="174" t="n"/>
      <c r="J99" s="176" t="n"/>
      <c r="K99" s="176" t="n"/>
      <c r="L99" s="176" t="n"/>
      <c r="M99" s="176" t="n"/>
      <c r="N99" s="176" t="n"/>
      <c r="O99" s="176" t="n"/>
      <c r="P99" s="176" t="n"/>
      <c r="Q99" s="176" t="n"/>
      <c r="S99" s="178" t="n"/>
      <c r="T99" s="178" t="n"/>
      <c r="U99" s="178" t="n"/>
      <c r="V99" s="178" t="n"/>
      <c r="W99" s="178" t="n"/>
      <c r="X99" s="178" t="n"/>
      <c r="Y99" s="178" t="n"/>
      <c r="Z99" s="178" t="n"/>
    </row>
    <row r="100">
      <c r="A100" s="174" t="n"/>
      <c r="B100" s="174" t="n"/>
      <c r="C100" s="174" t="n"/>
      <c r="D100" s="174" t="n"/>
      <c r="E100" s="174" t="n"/>
      <c r="F100" s="174" t="n"/>
      <c r="G100" s="174" t="n"/>
      <c r="H100" s="174" t="n"/>
      <c r="J100" s="176" t="n"/>
      <c r="K100" s="176" t="n"/>
      <c r="L100" s="176" t="n"/>
      <c r="M100" s="176" t="n"/>
      <c r="N100" s="176" t="n"/>
      <c r="O100" s="176" t="n"/>
      <c r="P100" s="176" t="n"/>
      <c r="Q100" s="176" t="n"/>
      <c r="S100" s="178" t="n"/>
      <c r="T100" s="178" t="n"/>
      <c r="U100" s="178" t="n"/>
      <c r="V100" s="178" t="n"/>
      <c r="W100" s="178" t="n"/>
      <c r="X100" s="178" t="n"/>
      <c r="Y100" s="178" t="n"/>
      <c r="Z100" s="178" t="n"/>
    </row>
    <row r="101">
      <c r="A101" s="174" t="n"/>
      <c r="B101" s="174" t="n"/>
      <c r="C101" s="174" t="n"/>
      <c r="D101" s="174" t="n"/>
      <c r="E101" s="174" t="n"/>
      <c r="F101" s="174" t="n"/>
      <c r="G101" s="174" t="n"/>
      <c r="H101" s="174" t="n"/>
      <c r="J101" s="176" t="n"/>
      <c r="K101" s="176" t="n"/>
      <c r="L101" s="176" t="n"/>
      <c r="M101" s="176" t="n"/>
      <c r="N101" s="176" t="n"/>
      <c r="O101" s="176" t="n"/>
      <c r="P101" s="176" t="n"/>
      <c r="Q101" s="176" t="n"/>
      <c r="S101" s="178" t="n"/>
      <c r="T101" s="178" t="n"/>
      <c r="U101" s="178" t="n"/>
      <c r="V101" s="178" t="n"/>
      <c r="W101" s="178" t="n"/>
      <c r="X101" s="178" t="n"/>
      <c r="Y101" s="178" t="n"/>
      <c r="Z101" s="178" t="n"/>
    </row>
    <row r="102">
      <c r="A102" s="174" t="n"/>
      <c r="B102" s="174" t="n"/>
      <c r="C102" s="174" t="n"/>
      <c r="D102" s="174" t="n"/>
      <c r="E102" s="174" t="n"/>
      <c r="F102" s="174" t="n"/>
      <c r="G102" s="174" t="n"/>
      <c r="H102" s="174" t="n"/>
      <c r="J102" s="176" t="n"/>
      <c r="K102" s="176" t="n"/>
      <c r="L102" s="176" t="n"/>
      <c r="M102" s="176" t="n"/>
      <c r="N102" s="176" t="n"/>
      <c r="O102" s="176" t="n"/>
      <c r="P102" s="176" t="n"/>
      <c r="Q102" s="176" t="n"/>
      <c r="S102" s="178" t="n"/>
      <c r="T102" s="178" t="n"/>
      <c r="U102" s="178" t="n"/>
      <c r="V102" s="178" t="n"/>
      <c r="W102" s="178" t="n"/>
      <c r="X102" s="178" t="n"/>
      <c r="Y102" s="178" t="n"/>
      <c r="Z102" s="178" t="n"/>
    </row>
    <row r="103">
      <c r="A103" s="174" t="n"/>
      <c r="B103" s="174" t="n"/>
      <c r="C103" s="174" t="n"/>
      <c r="D103" s="174" t="n"/>
      <c r="E103" s="174" t="n"/>
      <c r="F103" s="174" t="n"/>
      <c r="G103" s="174" t="n"/>
      <c r="H103" s="174" t="n"/>
      <c r="J103" s="176" t="n"/>
      <c r="K103" s="176" t="n"/>
      <c r="L103" s="176" t="n"/>
      <c r="M103" s="176" t="n"/>
      <c r="N103" s="176" t="n"/>
      <c r="O103" s="176" t="n"/>
      <c r="P103" s="176" t="n"/>
      <c r="Q103" s="176" t="n"/>
      <c r="S103" s="178" t="n"/>
      <c r="T103" s="178" t="n"/>
      <c r="U103" s="178" t="n"/>
      <c r="V103" s="178" t="n"/>
      <c r="W103" s="178" t="n"/>
      <c r="X103" s="178" t="n"/>
      <c r="Y103" s="178" t="n"/>
      <c r="Z103" s="178" t="n"/>
    </row>
  </sheetData>
  <sheetProtection selectLockedCells="1" selectUnlockedCells="1" sheet="1" objects="0" insertRows="1" insertHyperlinks="1" autoFilter="1" scenarios="0" formatColumns="1" deleteColumns="1" insertColumns="1" pivotTables="1" deleteRows="1" formatCells="1" formatRows="1" sort="1"/>
  <mergeCells count="94">
    <mergeCell ref="A9:N9"/>
    <mergeCell ref="N76:O76"/>
    <mergeCell ref="F67:I67"/>
    <mergeCell ref="G87:I87"/>
    <mergeCell ref="A16:A17"/>
    <mergeCell ref="A45:D46"/>
    <mergeCell ref="C16:C17"/>
    <mergeCell ref="N75:O75"/>
    <mergeCell ref="N77:O77"/>
    <mergeCell ref="P68:S70"/>
    <mergeCell ref="A93:AK93"/>
    <mergeCell ref="D16:D17"/>
    <mergeCell ref="N85:Q85"/>
    <mergeCell ref="A95:H95"/>
    <mergeCell ref="Q91:S91"/>
    <mergeCell ref="P6:AK6"/>
    <mergeCell ref="E91:F91"/>
    <mergeCell ref="A8:N8"/>
    <mergeCell ref="G91:H91"/>
    <mergeCell ref="P8:AK8"/>
    <mergeCell ref="J86:M86"/>
    <mergeCell ref="S95:Z95"/>
    <mergeCell ref="K67:N67"/>
    <mergeCell ref="N79:O79"/>
    <mergeCell ref="K92:L92"/>
    <mergeCell ref="P7:AK7"/>
    <mergeCell ref="C92:D92"/>
    <mergeCell ref="F71:I71"/>
    <mergeCell ref="M92:N92"/>
    <mergeCell ref="A12:AK14"/>
    <mergeCell ref="K68:N70"/>
    <mergeCell ref="T91:W91"/>
    <mergeCell ref="AI16:AI17"/>
    <mergeCell ref="J95:Q95"/>
    <mergeCell ref="D85:F85"/>
    <mergeCell ref="N74:S74"/>
    <mergeCell ref="P9:AK9"/>
    <mergeCell ref="F68:I70"/>
    <mergeCell ref="A91:B91"/>
    <mergeCell ref="N78:O78"/>
    <mergeCell ref="C91:D91"/>
    <mergeCell ref="M91:N91"/>
    <mergeCell ref="O91:P91"/>
    <mergeCell ref="R86:U86"/>
    <mergeCell ref="A84:AK84"/>
    <mergeCell ref="N80:O80"/>
    <mergeCell ref="B16:B17"/>
    <mergeCell ref="A71:D71"/>
    <mergeCell ref="J85:M85"/>
    <mergeCell ref="D86:F86"/>
    <mergeCell ref="A92:B92"/>
    <mergeCell ref="N87:Q87"/>
    <mergeCell ref="A1:B1"/>
    <mergeCell ref="E92:F92"/>
    <mergeCell ref="A68:D70"/>
    <mergeCell ref="P71:S71"/>
    <mergeCell ref="A86:C86"/>
    <mergeCell ref="D87:F87"/>
    <mergeCell ref="O92:P92"/>
    <mergeCell ref="A6:N6"/>
    <mergeCell ref="A39:D39"/>
    <mergeCell ref="G86:I86"/>
    <mergeCell ref="A96:H103"/>
    <mergeCell ref="P67:S67"/>
    <mergeCell ref="A41:AK41"/>
    <mergeCell ref="T92:W92"/>
    <mergeCell ref="R85:U85"/>
    <mergeCell ref="H2:AC2"/>
    <mergeCell ref="K71:N71"/>
    <mergeCell ref="S96:Z103"/>
    <mergeCell ref="A38:D38"/>
    <mergeCell ref="A42:AK42"/>
    <mergeCell ref="H3:AC3"/>
    <mergeCell ref="A67:D67"/>
    <mergeCell ref="I91:J91"/>
    <mergeCell ref="A85:C85"/>
    <mergeCell ref="K91:L91"/>
    <mergeCell ref="N86:Q86"/>
    <mergeCell ref="A7:N7"/>
    <mergeCell ref="A74:E74"/>
    <mergeCell ref="G85:I85"/>
    <mergeCell ref="G92:H92"/>
    <mergeCell ref="I92:J92"/>
    <mergeCell ref="R87:U87"/>
    <mergeCell ref="AK16:AK17"/>
    <mergeCell ref="J87:M87"/>
    <mergeCell ref="AD2:AK2"/>
    <mergeCell ref="AJ16:AJ17"/>
    <mergeCell ref="J96:Q103"/>
    <mergeCell ref="A88:AK88"/>
    <mergeCell ref="A90:AK90"/>
    <mergeCell ref="Q92:S92"/>
    <mergeCell ref="A87:C87"/>
    <mergeCell ref="A47:D47"/>
  </mergeCells>
  <conditionalFormatting sqref="AI18:AI37">
    <cfRule type="dataBar" priority="1">
      <dataBar>
        <cfvo type="num" val="0"/>
        <cfvo type="num" val="1"/>
        <color rgb="0010B981"/>
      </dataBar>
    </cfRule>
  </conditionalFormatting>
  <conditionalFormatting sqref="E18:AH37">
    <cfRule type="cellIs" priority="2" operator="equal" dxfId="0">
      <formula>"✓"</formula>
    </cfRule>
    <cfRule type="cellIs" priority="3" operator="equal" dxfId="0">
      <formula>"✔"</formula>
    </cfRule>
    <cfRule type="cellIs" priority="4" operator="equal" dxfId="1">
      <formula>"✗"</formula>
    </cfRule>
    <cfRule type="cellIs" priority="5" operator="equal" dxfId="1">
      <formula>"x"</formula>
    </cfRule>
    <cfRule type="cellIs" priority="6" operator="equal" dxfId="1">
      <formula>"X"</formula>
    </cfRule>
  </conditionalFormatting>
  <conditionalFormatting sqref="E16:E17">
    <cfRule type="expression" priority="7" dxfId="2">
      <formula>AND(DAY(TODAY())=1, MONTH(TODAY())=4, YEAR(TODAY())=2030)</formula>
    </cfRule>
  </conditionalFormatting>
  <conditionalFormatting sqref="F16:F17">
    <cfRule type="expression" priority="8" dxfId="2">
      <formula>AND(DAY(TODAY())=2, MONTH(TODAY())=4, YEAR(TODAY())=2030)</formula>
    </cfRule>
  </conditionalFormatting>
  <conditionalFormatting sqref="G16:G17">
    <cfRule type="expression" priority="9" dxfId="2">
      <formula>AND(DAY(TODAY())=3, MONTH(TODAY())=4, YEAR(TODAY())=2030)</formula>
    </cfRule>
  </conditionalFormatting>
  <conditionalFormatting sqref="H16:H17">
    <cfRule type="expression" priority="10" dxfId="2">
      <formula>AND(DAY(TODAY())=4, MONTH(TODAY())=4, YEAR(TODAY())=2030)</formula>
    </cfRule>
  </conditionalFormatting>
  <conditionalFormatting sqref="I16:I17">
    <cfRule type="expression" priority="11" dxfId="2">
      <formula>AND(DAY(TODAY())=5, MONTH(TODAY())=4, YEAR(TODAY())=2030)</formula>
    </cfRule>
  </conditionalFormatting>
  <conditionalFormatting sqref="J16:J17">
    <cfRule type="expression" priority="12" dxfId="2">
      <formula>AND(DAY(TODAY())=6, MONTH(TODAY())=4, YEAR(TODAY())=2030)</formula>
    </cfRule>
  </conditionalFormatting>
  <conditionalFormatting sqref="K16:K17">
    <cfRule type="expression" priority="13" dxfId="2">
      <formula>AND(DAY(TODAY())=7, MONTH(TODAY())=4, YEAR(TODAY())=2030)</formula>
    </cfRule>
  </conditionalFormatting>
  <conditionalFormatting sqref="L16:L17">
    <cfRule type="expression" priority="14" dxfId="2">
      <formula>AND(DAY(TODAY())=8, MONTH(TODAY())=4, YEAR(TODAY())=2030)</formula>
    </cfRule>
  </conditionalFormatting>
  <conditionalFormatting sqref="M16:M17">
    <cfRule type="expression" priority="15" dxfId="2">
      <formula>AND(DAY(TODAY())=9, MONTH(TODAY())=4, YEAR(TODAY())=2030)</formula>
    </cfRule>
  </conditionalFormatting>
  <conditionalFormatting sqref="N16:N17">
    <cfRule type="expression" priority="16" dxfId="2">
      <formula>AND(DAY(TODAY())=10, MONTH(TODAY())=4, YEAR(TODAY())=2030)</formula>
    </cfRule>
  </conditionalFormatting>
  <conditionalFormatting sqref="O16:O17">
    <cfRule type="expression" priority="17" dxfId="2">
      <formula>AND(DAY(TODAY())=11, MONTH(TODAY())=4, YEAR(TODAY())=2030)</formula>
    </cfRule>
  </conditionalFormatting>
  <conditionalFormatting sqref="P16:P17">
    <cfRule type="expression" priority="18" dxfId="2">
      <formula>AND(DAY(TODAY())=12, MONTH(TODAY())=4, YEAR(TODAY())=2030)</formula>
    </cfRule>
  </conditionalFormatting>
  <conditionalFormatting sqref="Q16:Q17">
    <cfRule type="expression" priority="19" dxfId="2">
      <formula>AND(DAY(TODAY())=13, MONTH(TODAY())=4, YEAR(TODAY())=2030)</formula>
    </cfRule>
  </conditionalFormatting>
  <conditionalFormatting sqref="R16:R17">
    <cfRule type="expression" priority="20" dxfId="2">
      <formula>AND(DAY(TODAY())=14, MONTH(TODAY())=4, YEAR(TODAY())=2030)</formula>
    </cfRule>
  </conditionalFormatting>
  <conditionalFormatting sqref="S16:S17">
    <cfRule type="expression" priority="21" dxfId="2">
      <formula>AND(DAY(TODAY())=15, MONTH(TODAY())=4, YEAR(TODAY())=2030)</formula>
    </cfRule>
  </conditionalFormatting>
  <conditionalFormatting sqref="T16:T17">
    <cfRule type="expression" priority="22" dxfId="2">
      <formula>AND(DAY(TODAY())=16, MONTH(TODAY())=4, YEAR(TODAY())=2030)</formula>
    </cfRule>
  </conditionalFormatting>
  <conditionalFormatting sqref="U16:U17">
    <cfRule type="expression" priority="23" dxfId="2">
      <formula>AND(DAY(TODAY())=17, MONTH(TODAY())=4, YEAR(TODAY())=2030)</formula>
    </cfRule>
  </conditionalFormatting>
  <conditionalFormatting sqref="V16:V17">
    <cfRule type="expression" priority="24" dxfId="2">
      <formula>AND(DAY(TODAY())=18, MONTH(TODAY())=4, YEAR(TODAY())=2030)</formula>
    </cfRule>
  </conditionalFormatting>
  <conditionalFormatting sqref="W16:W17">
    <cfRule type="expression" priority="25" dxfId="2">
      <formula>AND(DAY(TODAY())=19, MONTH(TODAY())=4, YEAR(TODAY())=2030)</formula>
    </cfRule>
  </conditionalFormatting>
  <conditionalFormatting sqref="X16:X17">
    <cfRule type="expression" priority="26" dxfId="2">
      <formula>AND(DAY(TODAY())=20, MONTH(TODAY())=4, YEAR(TODAY())=2030)</formula>
    </cfRule>
  </conditionalFormatting>
  <conditionalFormatting sqref="Y16:Y17">
    <cfRule type="expression" priority="27" dxfId="2">
      <formula>AND(DAY(TODAY())=21, MONTH(TODAY())=4, YEAR(TODAY())=2030)</formula>
    </cfRule>
  </conditionalFormatting>
  <conditionalFormatting sqref="Z16:Z17">
    <cfRule type="expression" priority="28" dxfId="2">
      <formula>AND(DAY(TODAY())=22, MONTH(TODAY())=4, YEAR(TODAY())=2030)</formula>
    </cfRule>
  </conditionalFormatting>
  <conditionalFormatting sqref="AA16:AA17">
    <cfRule type="expression" priority="29" dxfId="2">
      <formula>AND(DAY(TODAY())=23, MONTH(TODAY())=4, YEAR(TODAY())=2030)</formula>
    </cfRule>
  </conditionalFormatting>
  <conditionalFormatting sqref="AB16:AB17">
    <cfRule type="expression" priority="30" dxfId="2">
      <formula>AND(DAY(TODAY())=24, MONTH(TODAY())=4, YEAR(TODAY())=2030)</formula>
    </cfRule>
  </conditionalFormatting>
  <conditionalFormatting sqref="AC16:AC17">
    <cfRule type="expression" priority="31" dxfId="2">
      <formula>AND(DAY(TODAY())=25, MONTH(TODAY())=4, YEAR(TODAY())=2030)</formula>
    </cfRule>
  </conditionalFormatting>
  <conditionalFormatting sqref="AD16:AD17">
    <cfRule type="expression" priority="32" dxfId="2">
      <formula>AND(DAY(TODAY())=26, MONTH(TODAY())=4, YEAR(TODAY())=2030)</formula>
    </cfRule>
  </conditionalFormatting>
  <conditionalFormatting sqref="AE16:AE17">
    <cfRule type="expression" priority="33" dxfId="2">
      <formula>AND(DAY(TODAY())=27, MONTH(TODAY())=4, YEAR(TODAY())=2030)</formula>
    </cfRule>
  </conditionalFormatting>
  <conditionalFormatting sqref="AF16:AF17">
    <cfRule type="expression" priority="34" dxfId="2">
      <formula>AND(DAY(TODAY())=28, MONTH(TODAY())=4, YEAR(TODAY())=2030)</formula>
    </cfRule>
  </conditionalFormatting>
  <conditionalFormatting sqref="AG16:AG17">
    <cfRule type="expression" priority="35" dxfId="2">
      <formula>AND(DAY(TODAY())=29, MONTH(TODAY())=4, YEAR(TODAY())=2030)</formula>
    </cfRule>
  </conditionalFormatting>
  <conditionalFormatting sqref="AH16:AH17">
    <cfRule type="expression" priority="36" dxfId="2">
      <formula>AND(DAY(TODAY())=30, MONTH(TODAY())=4, YEAR(TODAY())=2030)</formula>
    </cfRule>
  </conditionalFormatting>
  <dataValidations count="4">
    <dataValidation sqref="C18:C37" showDropDown="0" showInputMessage="0" showErrorMessage="0" allowBlank="1" type="list">
      <formula1>"Health &amp; Fitness,Mindset &amp; Learning,Career &amp; Focus,Personal &amp; Home,Finance &amp; Wealth,Other"</formula1>
    </dataValidation>
    <dataValidation sqref="D18:D37" showDropDown="0" showInputMessage="0" showErrorMessage="0" allowBlank="1" type="list">
      <formula1>"1,2,3,4,5,6,7,8,9,10,11,12,13,14,15,16,17,18,19,20,21,22,23,24,25,26,27,28,29,30,31"</formula1>
    </dataValidation>
    <dataValidation sqref="E18:AH37" showDropDown="0" showInputMessage="0" showErrorMessage="0" allowBlank="1" type="list">
      <formula1>"✓,✗"</formula1>
    </dataValidation>
    <dataValidation sqref="E47:AH47" showDropDown="0" showInputMessage="0" showErrorMessage="0" allowBlank="1" type="list">
      <formula1>"1,2,3,4,5,6,7,8,9,10,11,12,13,14,15,16,17,18,19,20,21,22,23,24"</formula1>
    </dataValidation>
  </dataValidations>
  <hyperlinks>
    <hyperlink xmlns:r="http://schemas.openxmlformats.org/officeDocument/2006/relationships" ref="A1" r:id="rId1"/>
    <hyperlink xmlns:r="http://schemas.openxmlformats.org/officeDocument/2006/relationships" ref="C1" r:id="rId2"/>
    <hyperlink xmlns:r="http://schemas.openxmlformats.org/officeDocument/2006/relationships" ref="D1" r:id="rId3"/>
    <hyperlink xmlns:r="http://schemas.openxmlformats.org/officeDocument/2006/relationships" ref="E1" r:id="rId4"/>
    <hyperlink xmlns:r="http://schemas.openxmlformats.org/officeDocument/2006/relationships" ref="F1" r:id="rId5"/>
    <hyperlink xmlns:r="http://schemas.openxmlformats.org/officeDocument/2006/relationships" ref="G1" r:id="rId6"/>
    <hyperlink xmlns:r="http://schemas.openxmlformats.org/officeDocument/2006/relationships" ref="H1" r:id="rId7"/>
    <hyperlink xmlns:r="http://schemas.openxmlformats.org/officeDocument/2006/relationships" ref="I1" r:id="rId8"/>
    <hyperlink xmlns:r="http://schemas.openxmlformats.org/officeDocument/2006/relationships" ref="J1" r:id="rId9"/>
    <hyperlink xmlns:r="http://schemas.openxmlformats.org/officeDocument/2006/relationships" ref="K1" r:id="rId10"/>
  </hyperlinks>
  <printOptions horizontalCentered="1" verticalCentered="0"/>
  <pageMargins left="0.75" right="0.75" top="1" bottom="1" header="0.5" footer="0.5"/>
  <pageSetup orientation="landscape" paperSize="9" fitToHeight="0" fitToWidth="1"/>
  <drawing xmlns:r="http://schemas.openxmlformats.org/officeDocument/2006/relationships" r:id="rId11"/>
</worksheet>
</file>

<file path=xl/worksheets/sheet48.xml><?xml version="1.0" encoding="utf-8"?>
<worksheet xmlns="http://schemas.openxmlformats.org/spreadsheetml/2006/main">
  <sheetPr>
    <outlinePr summaryBelow="1" summaryRight="1"/>
    <pageSetUpPr fitToPage="1"/>
  </sheetPr>
  <dimension ref="A1:AM103"/>
  <sheetViews>
    <sheetView showGridLines="1" workbookViewId="0">
      <selection activeCell="A1" sqref="A1"/>
    </sheetView>
  </sheetViews>
  <sheetFormatPr baseColWidth="8" defaultRowHeight="15"/>
  <cols>
    <col width="6" customWidth="1" min="1" max="1"/>
    <col width="25" customWidth="1" min="2" max="2"/>
    <col width="16.5" customWidth="1" min="3" max="3"/>
    <col width="8" customWidth="1" min="4" max="4"/>
    <col width="4.8" customWidth="1" min="5" max="5"/>
    <col width="4.8" customWidth="1" min="6" max="6"/>
    <col width="4.8" customWidth="1" min="7" max="7"/>
    <col width="4.8" customWidth="1" min="8" max="8"/>
    <col width="4.8" customWidth="1" min="9" max="9"/>
    <col width="4.8" customWidth="1" min="10" max="10"/>
    <col width="4.8" customWidth="1" min="11" max="11"/>
    <col width="4.8" customWidth="1" min="12" max="12"/>
    <col width="4.8" customWidth="1" min="13" max="13"/>
    <col width="4.8" customWidth="1" min="14" max="14"/>
    <col width="4.8" customWidth="1" min="15" max="15"/>
    <col width="4.8" customWidth="1" min="16" max="16"/>
    <col width="4.8" customWidth="1" min="17" max="17"/>
    <col width="4.8" customWidth="1" min="18" max="18"/>
    <col width="4.8" customWidth="1" min="19" max="19"/>
    <col width="4.8" customWidth="1" min="20" max="20"/>
    <col width="4.8" customWidth="1" min="21" max="21"/>
    <col width="4.8" customWidth="1" min="22" max="22"/>
    <col width="4.8" customWidth="1" min="23" max="23"/>
    <col width="4.8" customWidth="1" min="24" max="24"/>
    <col width="4.8" customWidth="1" min="25" max="25"/>
    <col width="4.8" customWidth="1" min="26" max="26"/>
    <col width="4.8" customWidth="1" min="27" max="27"/>
    <col width="4.8" customWidth="1" min="28" max="28"/>
    <col width="4.8" customWidth="1" min="29" max="29"/>
    <col width="4.8" customWidth="1" min="30" max="30"/>
    <col width="4.8" customWidth="1" min="31" max="31"/>
    <col width="4.8" customWidth="1" min="32" max="32"/>
    <col width="4.8" customWidth="1" min="33" max="33"/>
    <col width="4.8" customWidth="1" min="34" max="34"/>
    <col width="4.8" customWidth="1" min="35" max="35"/>
    <col width="11.5" customWidth="1" min="36" max="36"/>
    <col width="12" customWidth="1" min="37" max="37"/>
    <col width="13.5" customWidth="1" min="38" max="38"/>
    <col hidden="1" width="8" customWidth="1" min="39" max="39"/>
  </cols>
  <sheetData>
    <row r="1" ht="18" customHeight="1">
      <c r="A1" s="76" t="inlineStr">
        <is>
          <t>🏠 Master Dashboard</t>
        </is>
      </c>
      <c r="B1" s="40" t="n"/>
      <c r="C1" s="77" t="inlineStr">
        <is>
          <t>🏛️ Quarterly Hub</t>
        </is>
      </c>
      <c r="D1" s="78" t="inlineStr">
        <is>
          <t>📚 Habit Library</t>
        </is>
      </c>
      <c r="E1" s="80" t="inlineStr">
        <is>
          <t>2026</t>
        </is>
      </c>
      <c r="F1" s="80" t="inlineStr">
        <is>
          <t>2027</t>
        </is>
      </c>
      <c r="G1" s="80" t="inlineStr">
        <is>
          <t>2028</t>
        </is>
      </c>
      <c r="H1" s="80" t="inlineStr">
        <is>
          <t>2029</t>
        </is>
      </c>
      <c r="I1" s="79" t="inlineStr">
        <is>
          <t>2030</t>
        </is>
      </c>
      <c r="J1" s="82" t="inlineStr">
        <is>
          <t>◀ Prev</t>
        </is>
      </c>
      <c r="K1" s="82" t="inlineStr">
        <is>
          <t>Next ▶</t>
        </is>
      </c>
    </row>
    <row r="2" ht="24" customHeight="1">
      <c r="A2" s="83" t="inlineStr">
        <is>
          <t>Habit Tracker</t>
        </is>
      </c>
      <c r="H2" s="84" t="inlineStr">
        <is>
          <t>"Energy flows where attention goes."</t>
        </is>
      </c>
      <c r="AE2" s="85" t="inlineStr">
        <is>
          <t>@surajvansh</t>
        </is>
      </c>
    </row>
    <row r="3" ht="18" customHeight="1">
      <c r="A3" s="86" t="inlineStr">
        <is>
          <t>May 2030</t>
        </is>
      </c>
      <c r="H3" s="87" t="inlineStr">
        <is>
          <t>31 Days Dashboard</t>
        </is>
      </c>
    </row>
    <row r="4" ht="5" customHeight="1"/>
    <row r="5" ht="16" customHeight="1">
      <c r="A5" s="88" t="inlineStr">
        <is>
          <t>MONTHLY TARGETS</t>
        </is>
      </c>
    </row>
    <row r="6" ht="13" customHeight="1">
      <c r="A6" s="89" t="inlineStr">
        <is>
          <t>1. ____________________ : ____________________</t>
        </is>
      </c>
      <c r="P6" s="89" t="inlineStr">
        <is>
          <t>5. ____________________ : ____________________</t>
        </is>
      </c>
    </row>
    <row r="7" ht="13" customHeight="1">
      <c r="A7" s="89" t="inlineStr">
        <is>
          <t>2. ____________________ : ____________________</t>
        </is>
      </c>
      <c r="P7" s="89" t="inlineStr">
        <is>
          <t>6. ____________________ : ____________________</t>
        </is>
      </c>
    </row>
    <row r="8" ht="13" customHeight="1">
      <c r="A8" s="89" t="inlineStr">
        <is>
          <t>3. ____________________ : ____________________</t>
        </is>
      </c>
      <c r="P8" s="89" t="inlineStr">
        <is>
          <t>7. ____________________ : ____________________</t>
        </is>
      </c>
    </row>
    <row r="9" ht="13" customHeight="1">
      <c r="A9" s="89" t="inlineStr">
        <is>
          <t>4. ____________________ : ____________________</t>
        </is>
      </c>
      <c r="P9" s="89" t="inlineStr">
        <is>
          <t>8. ____________________ : ____________________</t>
        </is>
      </c>
    </row>
    <row r="10" ht="5" customHeight="1"/>
    <row r="11" ht="15" customHeight="1">
      <c r="A11" s="88" t="inlineStr">
        <is>
          <t>NOTES:</t>
        </is>
      </c>
    </row>
    <row r="12" ht="13" customHeight="1">
      <c r="A12" s="90" t="n"/>
      <c r="B12" s="91" t="n"/>
      <c r="C12" s="91" t="n"/>
      <c r="D12" s="91" t="n"/>
      <c r="E12" s="91" t="n"/>
      <c r="F12" s="91" t="n"/>
      <c r="G12" s="91" t="n"/>
      <c r="H12" s="91" t="n"/>
      <c r="I12" s="91" t="n"/>
      <c r="J12" s="91" t="n"/>
      <c r="K12" s="91" t="n"/>
      <c r="L12" s="91" t="n"/>
      <c r="M12" s="91" t="n"/>
      <c r="N12" s="91" t="n"/>
      <c r="O12" s="91" t="n"/>
      <c r="P12" s="91" t="n"/>
      <c r="Q12" s="91" t="n"/>
      <c r="R12" s="91" t="n"/>
      <c r="S12" s="91" t="n"/>
      <c r="T12" s="91" t="n"/>
      <c r="U12" s="91" t="n"/>
      <c r="V12" s="91" t="n"/>
      <c r="W12" s="91" t="n"/>
      <c r="X12" s="91" t="n"/>
      <c r="Y12" s="91" t="n"/>
      <c r="Z12" s="91" t="n"/>
      <c r="AA12" s="91" t="n"/>
      <c r="AB12" s="91" t="n"/>
      <c r="AC12" s="91" t="n"/>
      <c r="AD12" s="91" t="n"/>
      <c r="AE12" s="91" t="n"/>
      <c r="AF12" s="91" t="n"/>
      <c r="AG12" s="91" t="n"/>
      <c r="AH12" s="91" t="n"/>
      <c r="AI12" s="91" t="n"/>
      <c r="AJ12" s="91" t="n"/>
      <c r="AK12" s="91" t="n"/>
      <c r="AL12" s="91" t="n"/>
    </row>
    <row r="13" ht="13" customHeight="1">
      <c r="A13" s="91" t="n"/>
      <c r="B13" s="91" t="n"/>
      <c r="C13" s="91" t="n"/>
      <c r="D13" s="91" t="n"/>
      <c r="E13" s="91" t="n"/>
      <c r="F13" s="91" t="n"/>
      <c r="G13" s="91" t="n"/>
      <c r="H13" s="91" t="n"/>
      <c r="I13" s="91" t="n"/>
      <c r="J13" s="91" t="n"/>
      <c r="K13" s="91" t="n"/>
      <c r="L13" s="91" t="n"/>
      <c r="M13" s="91" t="n"/>
      <c r="N13" s="91" t="n"/>
      <c r="O13" s="91" t="n"/>
      <c r="P13" s="91" t="n"/>
      <c r="Q13" s="91" t="n"/>
      <c r="R13" s="91" t="n"/>
      <c r="S13" s="91" t="n"/>
      <c r="T13" s="91" t="n"/>
      <c r="U13" s="91" t="n"/>
      <c r="V13" s="91" t="n"/>
      <c r="W13" s="91" t="n"/>
      <c r="X13" s="91" t="n"/>
      <c r="Y13" s="91" t="n"/>
      <c r="Z13" s="91" t="n"/>
      <c r="AA13" s="91" t="n"/>
      <c r="AB13" s="91" t="n"/>
      <c r="AC13" s="91" t="n"/>
      <c r="AD13" s="91" t="n"/>
      <c r="AE13" s="91" t="n"/>
      <c r="AF13" s="91" t="n"/>
      <c r="AG13" s="91" t="n"/>
      <c r="AH13" s="91" t="n"/>
      <c r="AI13" s="91" t="n"/>
      <c r="AJ13" s="91" t="n"/>
      <c r="AK13" s="91" t="n"/>
      <c r="AL13" s="91" t="n"/>
    </row>
    <row r="14" ht="13" customHeight="1">
      <c r="A14" s="91" t="n"/>
      <c r="B14" s="91" t="n"/>
      <c r="C14" s="91" t="n"/>
      <c r="D14" s="91" t="n"/>
      <c r="E14" s="91" t="n"/>
      <c r="F14" s="91" t="n"/>
      <c r="G14" s="91" t="n"/>
      <c r="H14" s="91" t="n"/>
      <c r="I14" s="91" t="n"/>
      <c r="J14" s="91" t="n"/>
      <c r="K14" s="91" t="n"/>
      <c r="L14" s="91" t="n"/>
      <c r="M14" s="91" t="n"/>
      <c r="N14" s="91" t="n"/>
      <c r="O14" s="91" t="n"/>
      <c r="P14" s="91" t="n"/>
      <c r="Q14" s="91" t="n"/>
      <c r="R14" s="91" t="n"/>
      <c r="S14" s="91" t="n"/>
      <c r="T14" s="91" t="n"/>
      <c r="U14" s="91" t="n"/>
      <c r="V14" s="91" t="n"/>
      <c r="W14" s="91" t="n"/>
      <c r="X14" s="91" t="n"/>
      <c r="Y14" s="91" t="n"/>
      <c r="Z14" s="91" t="n"/>
      <c r="AA14" s="91" t="n"/>
      <c r="AB14" s="91" t="n"/>
      <c r="AC14" s="91" t="n"/>
      <c r="AD14" s="91" t="n"/>
      <c r="AE14" s="91" t="n"/>
      <c r="AF14" s="91" t="n"/>
      <c r="AG14" s="91" t="n"/>
      <c r="AH14" s="91" t="n"/>
      <c r="AI14" s="91" t="n"/>
      <c r="AJ14" s="91" t="n"/>
      <c r="AK14" s="91" t="n"/>
      <c r="AL14" s="91" t="n"/>
    </row>
    <row r="15" ht="8" customHeight="1"/>
    <row r="16" ht="15" customHeight="1">
      <c r="A16" s="33" t="inlineStr">
        <is>
          <t>S.No.</t>
        </is>
      </c>
      <c r="B16" s="33" t="inlineStr">
        <is>
          <t>Protocols</t>
        </is>
      </c>
      <c r="C16" s="33" t="inlineStr">
        <is>
          <t>Category</t>
        </is>
      </c>
      <c r="D16" s="33" t="inlineStr">
        <is>
          <t>Target</t>
        </is>
      </c>
      <c r="E16" s="92" t="n">
        <v>1</v>
      </c>
      <c r="F16" s="92" t="n">
        <v>2</v>
      </c>
      <c r="G16" s="92" t="n">
        <v>3</v>
      </c>
      <c r="H16" s="92" t="n">
        <v>4</v>
      </c>
      <c r="I16" s="93" t="n">
        <v>5</v>
      </c>
      <c r="J16" s="92" t="n">
        <v>6</v>
      </c>
      <c r="K16" s="92" t="n">
        <v>7</v>
      </c>
      <c r="L16" s="92" t="n">
        <v>8</v>
      </c>
      <c r="M16" s="92" t="n">
        <v>9</v>
      </c>
      <c r="N16" s="92" t="n">
        <v>10</v>
      </c>
      <c r="O16" s="92" t="n">
        <v>11</v>
      </c>
      <c r="P16" s="93" t="n">
        <v>12</v>
      </c>
      <c r="Q16" s="92" t="n">
        <v>13</v>
      </c>
      <c r="R16" s="92" t="n">
        <v>14</v>
      </c>
      <c r="S16" s="92" t="n">
        <v>15</v>
      </c>
      <c r="T16" s="92" t="n">
        <v>16</v>
      </c>
      <c r="U16" s="92" t="n">
        <v>17</v>
      </c>
      <c r="V16" s="92" t="n">
        <v>18</v>
      </c>
      <c r="W16" s="93" t="n">
        <v>19</v>
      </c>
      <c r="X16" s="92" t="n">
        <v>20</v>
      </c>
      <c r="Y16" s="92" t="n">
        <v>21</v>
      </c>
      <c r="Z16" s="92" t="n">
        <v>22</v>
      </c>
      <c r="AA16" s="92" t="n">
        <v>23</v>
      </c>
      <c r="AB16" s="92" t="n">
        <v>24</v>
      </c>
      <c r="AC16" s="92" t="n">
        <v>25</v>
      </c>
      <c r="AD16" s="93" t="n">
        <v>26</v>
      </c>
      <c r="AE16" s="92" t="n">
        <v>27</v>
      </c>
      <c r="AF16" s="92" t="n">
        <v>28</v>
      </c>
      <c r="AG16" s="92" t="n">
        <v>29</v>
      </c>
      <c r="AH16" s="92" t="n">
        <v>30</v>
      </c>
      <c r="AI16" s="92" t="n">
        <v>31</v>
      </c>
      <c r="AJ16" s="94" t="inlineStr">
        <is>
          <t>Success %</t>
        </is>
      </c>
      <c r="AK16" s="94" t="inlineStr">
        <is>
          <t>Done / Target</t>
        </is>
      </c>
      <c r="AL16" s="94" t="inlineStr">
        <is>
          <t>Status</t>
        </is>
      </c>
      <c r="AM16" t="inlineStr">
        <is>
          <t>Done Count</t>
        </is>
      </c>
    </row>
    <row r="17" ht="15" customHeight="1">
      <c r="A17" s="54" t="n"/>
      <c r="B17" s="54" t="n"/>
      <c r="C17" s="54" t="n"/>
      <c r="D17" s="54" t="n"/>
      <c r="E17" s="95" t="inlineStr">
        <is>
          <t>W</t>
        </is>
      </c>
      <c r="F17" s="95" t="inlineStr">
        <is>
          <t>Th</t>
        </is>
      </c>
      <c r="G17" s="95" t="inlineStr">
        <is>
          <t>F</t>
        </is>
      </c>
      <c r="H17" s="95" t="inlineStr">
        <is>
          <t>Sa</t>
        </is>
      </c>
      <c r="I17" s="96" t="inlineStr">
        <is>
          <t>Su</t>
        </is>
      </c>
      <c r="J17" s="95" t="inlineStr">
        <is>
          <t>M</t>
        </is>
      </c>
      <c r="K17" s="95" t="inlineStr">
        <is>
          <t>T</t>
        </is>
      </c>
      <c r="L17" s="95" t="inlineStr">
        <is>
          <t>W</t>
        </is>
      </c>
      <c r="M17" s="95" t="inlineStr">
        <is>
          <t>Th</t>
        </is>
      </c>
      <c r="N17" s="95" t="inlineStr">
        <is>
          <t>F</t>
        </is>
      </c>
      <c r="O17" s="95" t="inlineStr">
        <is>
          <t>Sa</t>
        </is>
      </c>
      <c r="P17" s="96" t="inlineStr">
        <is>
          <t>Su</t>
        </is>
      </c>
      <c r="Q17" s="95" t="inlineStr">
        <is>
          <t>M</t>
        </is>
      </c>
      <c r="R17" s="95" t="inlineStr">
        <is>
          <t>T</t>
        </is>
      </c>
      <c r="S17" s="95" t="inlineStr">
        <is>
          <t>W</t>
        </is>
      </c>
      <c r="T17" s="95" t="inlineStr">
        <is>
          <t>Th</t>
        </is>
      </c>
      <c r="U17" s="95" t="inlineStr">
        <is>
          <t>F</t>
        </is>
      </c>
      <c r="V17" s="95" t="inlineStr">
        <is>
          <t>Sa</t>
        </is>
      </c>
      <c r="W17" s="96" t="inlineStr">
        <is>
          <t>Su</t>
        </is>
      </c>
      <c r="X17" s="95" t="inlineStr">
        <is>
          <t>M</t>
        </is>
      </c>
      <c r="Y17" s="95" t="inlineStr">
        <is>
          <t>T</t>
        </is>
      </c>
      <c r="Z17" s="95" t="inlineStr">
        <is>
          <t>W</t>
        </is>
      </c>
      <c r="AA17" s="95" t="inlineStr">
        <is>
          <t>Th</t>
        </is>
      </c>
      <c r="AB17" s="95" t="inlineStr">
        <is>
          <t>F</t>
        </is>
      </c>
      <c r="AC17" s="95" t="inlineStr">
        <is>
          <t>Sa</t>
        </is>
      </c>
      <c r="AD17" s="96" t="inlineStr">
        <is>
          <t>Su</t>
        </is>
      </c>
      <c r="AE17" s="95" t="inlineStr">
        <is>
          <t>M</t>
        </is>
      </c>
      <c r="AF17" s="95" t="inlineStr">
        <is>
          <t>T</t>
        </is>
      </c>
      <c r="AG17" s="95" t="inlineStr">
        <is>
          <t>W</t>
        </is>
      </c>
      <c r="AH17" s="95" t="inlineStr">
        <is>
          <t>Th</t>
        </is>
      </c>
      <c r="AI17" s="95" t="inlineStr">
        <is>
          <t>F</t>
        </is>
      </c>
      <c r="AJ17" s="54" t="n"/>
      <c r="AK17" s="54" t="n"/>
      <c r="AL17" s="54" t="n"/>
    </row>
    <row r="18" ht="14.5" customHeight="1">
      <c r="A18" s="97" t="n">
        <v>1</v>
      </c>
      <c r="B18" s="98" t="n"/>
      <c r="C18" s="99" t="n"/>
      <c r="D18" s="99" t="n"/>
      <c r="E18" s="100" t="n"/>
      <c r="F18" s="100" t="n"/>
      <c r="G18" s="100" t="n"/>
      <c r="H18" s="100" t="n"/>
      <c r="I18" s="101" t="n"/>
      <c r="J18" s="100" t="n"/>
      <c r="K18" s="100" t="n"/>
      <c r="L18" s="100" t="n"/>
      <c r="M18" s="100" t="n"/>
      <c r="N18" s="100" t="n"/>
      <c r="O18" s="100" t="n"/>
      <c r="P18" s="101" t="n"/>
      <c r="Q18" s="100" t="n"/>
      <c r="R18" s="100" t="n"/>
      <c r="S18" s="100" t="n"/>
      <c r="T18" s="100" t="n"/>
      <c r="U18" s="100" t="n"/>
      <c r="V18" s="100" t="n"/>
      <c r="W18" s="101" t="n"/>
      <c r="X18" s="100" t="n"/>
      <c r="Y18" s="100" t="n"/>
      <c r="Z18" s="100" t="n"/>
      <c r="AA18" s="100" t="n"/>
      <c r="AB18" s="100" t="n"/>
      <c r="AC18" s="100" t="n"/>
      <c r="AD18" s="101" t="n"/>
      <c r="AE18" s="100" t="n"/>
      <c r="AF18" s="100" t="n"/>
      <c r="AG18" s="100" t="n"/>
      <c r="AH18" s="100" t="n"/>
      <c r="AI18" s="100" t="n"/>
      <c r="AJ18" s="102">
        <f>IF(ISBLANK(B18), "", IF(ISNUMBER(D18), IF(D18&gt;0, (COUNTIF(E18:AI18, "✓") + COUNTIF(E18:AI18, "✔") + COUNTIF(E18:AI18, "v") + COUNTIF(E18:AI18, "V"))/D18, 0), IF(((COUNTIF(E18:AI18, "✓") + COUNTIF(E18:AI18, "✔") + COUNTIF(E18:AI18, "v") + COUNTIF(E18:AI18, "V")) + COUNTIF(E18:AI18, "✗") + COUNTIF(E18:AI18, "x") + COUNTIF(E18:AI18, "X"))&gt;0, (COUNTIF(E18:AI18, "✓") + COUNTIF(E18:AI18, "✔") + COUNTIF(E18:AI18, "v") + COUNTIF(E18:AI18, "V"))/((COUNTIF(E18:AI18, "✓") + COUNTIF(E18:AI18, "✔") + COUNTIF(E18:AI18, "v") + COUNTIF(E18:AI18, "V")) + COUNTIF(E18:AI18, "✗") + COUNTIF(E18:AI18, "x") + COUNTIF(E18:AI18, "X")), "")))</f>
        <v/>
      </c>
      <c r="AK18" s="103">
        <f>IF(ISBLANK(B18), "", IF(ISNUMBER(D18), IF(D18&gt;0, (COUNTIF(E18:AI18, "✓") + COUNTIF(E18:AI18, "✔") + COUNTIF(E18:AI18, "v") + COUNTIF(E18:AI18, "V")) &amp; "/" &amp; D18, (COUNTIF(E18:AI18, "✓") + COUNTIF(E18:AI18, "✔") + COUNTIF(E18:AI18, "v") + COUNTIF(E18:AI18, "V")) &amp; "/0"), IF(((COUNTIF(E18:AI18, "✓") + COUNTIF(E18:AI18, "✔") + COUNTIF(E18:AI18, "v") + COUNTIF(E18:AI18, "V")) + COUNTIF(E18:AI18, "✗") + COUNTIF(E18:AI18, "x") + COUNTIF(E18:AI18, "X"))&gt;0, (COUNTIF(E18:AI18, "✓") + COUNTIF(E18:AI18, "✔") + COUNTIF(E18:AI18, "v") + COUNTIF(E18:AI18, "V")) &amp; "/" &amp; ((COUNTIF(E18:AI18, "✓") + COUNTIF(E18:AI18, "✔") + COUNTIF(E18:AI18, "v") + COUNTIF(E18:AI18, "V")) + COUNTIF(E18:AI18, "✗") + COUNTIF(E18:AI18, "x") + COUNTIF(E18:AI18, "X")), "")))</f>
        <v/>
      </c>
      <c r="AL18" s="103">
        <f>IF(ISBLANK(B18), "", IF(AJ18&gt;=0.85, "🔥 Mastered", IF(AJ18&gt;=0.7, "⚡ Consistent", "⚠️ Needs Focus")))</f>
        <v/>
      </c>
      <c r="AM18">
        <f>COUNTIF(E18:AI18, "✓")</f>
        <v/>
      </c>
    </row>
    <row r="19" ht="14.5" customHeight="1">
      <c r="A19" s="97" t="n">
        <v>2</v>
      </c>
      <c r="B19" s="98" t="n"/>
      <c r="C19" s="99" t="n"/>
      <c r="D19" s="99" t="n"/>
      <c r="E19" s="100" t="n"/>
      <c r="F19" s="100" t="n"/>
      <c r="G19" s="100" t="n"/>
      <c r="H19" s="100" t="n"/>
      <c r="I19" s="101" t="n"/>
      <c r="J19" s="100" t="n"/>
      <c r="K19" s="100" t="n"/>
      <c r="L19" s="100" t="n"/>
      <c r="M19" s="100" t="n"/>
      <c r="N19" s="100" t="n"/>
      <c r="O19" s="100" t="n"/>
      <c r="P19" s="101" t="n"/>
      <c r="Q19" s="100" t="n"/>
      <c r="R19" s="100" t="n"/>
      <c r="S19" s="100" t="n"/>
      <c r="T19" s="100" t="n"/>
      <c r="U19" s="100" t="n"/>
      <c r="V19" s="100" t="n"/>
      <c r="W19" s="101" t="n"/>
      <c r="X19" s="100" t="n"/>
      <c r="Y19" s="100" t="n"/>
      <c r="Z19" s="100" t="n"/>
      <c r="AA19" s="100" t="n"/>
      <c r="AB19" s="100" t="n"/>
      <c r="AC19" s="100" t="n"/>
      <c r="AD19" s="101" t="n"/>
      <c r="AE19" s="100" t="n"/>
      <c r="AF19" s="100" t="n"/>
      <c r="AG19" s="100" t="n"/>
      <c r="AH19" s="100" t="n"/>
      <c r="AI19" s="100" t="n"/>
      <c r="AJ19" s="102">
        <f>IF(ISBLANK(B19), "", IF(ISNUMBER(D19), IF(D19&gt;0, (COUNTIF(E19:AI19, "✓") + COUNTIF(E19:AI19, "✔") + COUNTIF(E19:AI19, "v") + COUNTIF(E19:AI19, "V"))/D19, 0), IF(((COUNTIF(E19:AI19, "✓") + COUNTIF(E19:AI19, "✔") + COUNTIF(E19:AI19, "v") + COUNTIF(E19:AI19, "V")) + COUNTIF(E19:AI19, "✗") + COUNTIF(E19:AI19, "x") + COUNTIF(E19:AI19, "X"))&gt;0, (COUNTIF(E19:AI19, "✓") + COUNTIF(E19:AI19, "✔") + COUNTIF(E19:AI19, "v") + COUNTIF(E19:AI19, "V"))/((COUNTIF(E19:AI19, "✓") + COUNTIF(E19:AI19, "✔") + COUNTIF(E19:AI19, "v") + COUNTIF(E19:AI19, "V")) + COUNTIF(E19:AI19, "✗") + COUNTIF(E19:AI19, "x") + COUNTIF(E19:AI19, "X")), "")))</f>
        <v/>
      </c>
      <c r="AK19" s="103">
        <f>IF(ISBLANK(B19), "", IF(ISNUMBER(D19), IF(D19&gt;0, (COUNTIF(E19:AI19, "✓") + COUNTIF(E19:AI19, "✔") + COUNTIF(E19:AI19, "v") + COUNTIF(E19:AI19, "V")) &amp; "/" &amp; D19, (COUNTIF(E19:AI19, "✓") + COUNTIF(E19:AI19, "✔") + COUNTIF(E19:AI19, "v") + COUNTIF(E19:AI19, "V")) &amp; "/0"), IF(((COUNTIF(E19:AI19, "✓") + COUNTIF(E19:AI19, "✔") + COUNTIF(E19:AI19, "v") + COUNTIF(E19:AI19, "V")) + COUNTIF(E19:AI19, "✗") + COUNTIF(E19:AI19, "x") + COUNTIF(E19:AI19, "X"))&gt;0, (COUNTIF(E19:AI19, "✓") + COUNTIF(E19:AI19, "✔") + COUNTIF(E19:AI19, "v") + COUNTIF(E19:AI19, "V")) &amp; "/" &amp; ((COUNTIF(E19:AI19, "✓") + COUNTIF(E19:AI19, "✔") + COUNTIF(E19:AI19, "v") + COUNTIF(E19:AI19, "V")) + COUNTIF(E19:AI19, "✗") + COUNTIF(E19:AI19, "x") + COUNTIF(E19:AI19, "X")), "")))</f>
        <v/>
      </c>
      <c r="AL19" s="103">
        <f>IF(ISBLANK(B19), "", IF(AJ19&gt;=0.85, "🔥 Mastered", IF(AJ19&gt;=0.7, "⚡ Consistent", "⚠️ Needs Focus")))</f>
        <v/>
      </c>
      <c r="AM19">
        <f>COUNTIF(E19:AI19, "✓")</f>
        <v/>
      </c>
    </row>
    <row r="20" ht="14.5" customHeight="1">
      <c r="A20" s="97" t="n">
        <v>3</v>
      </c>
      <c r="B20" s="98" t="n"/>
      <c r="C20" s="99" t="n"/>
      <c r="D20" s="99" t="n"/>
      <c r="E20" s="100" t="n"/>
      <c r="F20" s="100" t="n"/>
      <c r="G20" s="100" t="n"/>
      <c r="H20" s="100" t="n"/>
      <c r="I20" s="101" t="n"/>
      <c r="J20" s="100" t="n"/>
      <c r="K20" s="100" t="n"/>
      <c r="L20" s="100" t="n"/>
      <c r="M20" s="100" t="n"/>
      <c r="N20" s="100" t="n"/>
      <c r="O20" s="100" t="n"/>
      <c r="P20" s="101" t="n"/>
      <c r="Q20" s="100" t="n"/>
      <c r="R20" s="100" t="n"/>
      <c r="S20" s="100" t="n"/>
      <c r="T20" s="100" t="n"/>
      <c r="U20" s="100" t="n"/>
      <c r="V20" s="100" t="n"/>
      <c r="W20" s="101" t="n"/>
      <c r="X20" s="100" t="n"/>
      <c r="Y20" s="100" t="n"/>
      <c r="Z20" s="100" t="n"/>
      <c r="AA20" s="100" t="n"/>
      <c r="AB20" s="100" t="n"/>
      <c r="AC20" s="100" t="n"/>
      <c r="AD20" s="101" t="n"/>
      <c r="AE20" s="100" t="n"/>
      <c r="AF20" s="100" t="n"/>
      <c r="AG20" s="100" t="n"/>
      <c r="AH20" s="100" t="n"/>
      <c r="AI20" s="100" t="n"/>
      <c r="AJ20" s="102">
        <f>IF(ISBLANK(B20), "", IF(ISNUMBER(D20), IF(D20&gt;0, (COUNTIF(E20:AI20, "✓") + COUNTIF(E20:AI20, "✔") + COUNTIF(E20:AI20, "v") + COUNTIF(E20:AI20, "V"))/D20, 0), IF(((COUNTIF(E20:AI20, "✓") + COUNTIF(E20:AI20, "✔") + COUNTIF(E20:AI20, "v") + COUNTIF(E20:AI20, "V")) + COUNTIF(E20:AI20, "✗") + COUNTIF(E20:AI20, "x") + COUNTIF(E20:AI20, "X"))&gt;0, (COUNTIF(E20:AI20, "✓") + COUNTIF(E20:AI20, "✔") + COUNTIF(E20:AI20, "v") + COUNTIF(E20:AI20, "V"))/((COUNTIF(E20:AI20, "✓") + COUNTIF(E20:AI20, "✔") + COUNTIF(E20:AI20, "v") + COUNTIF(E20:AI20, "V")) + COUNTIF(E20:AI20, "✗") + COUNTIF(E20:AI20, "x") + COUNTIF(E20:AI20, "X")), "")))</f>
        <v/>
      </c>
      <c r="AK20" s="103">
        <f>IF(ISBLANK(B20), "", IF(ISNUMBER(D20), IF(D20&gt;0, (COUNTIF(E20:AI20, "✓") + COUNTIF(E20:AI20, "✔") + COUNTIF(E20:AI20, "v") + COUNTIF(E20:AI20, "V")) &amp; "/" &amp; D20, (COUNTIF(E20:AI20, "✓") + COUNTIF(E20:AI20, "✔") + COUNTIF(E20:AI20, "v") + COUNTIF(E20:AI20, "V")) &amp; "/0"), IF(((COUNTIF(E20:AI20, "✓") + COUNTIF(E20:AI20, "✔") + COUNTIF(E20:AI20, "v") + COUNTIF(E20:AI20, "V")) + COUNTIF(E20:AI20, "✗") + COUNTIF(E20:AI20, "x") + COUNTIF(E20:AI20, "X"))&gt;0, (COUNTIF(E20:AI20, "✓") + COUNTIF(E20:AI20, "✔") + COUNTIF(E20:AI20, "v") + COUNTIF(E20:AI20, "V")) &amp; "/" &amp; ((COUNTIF(E20:AI20, "✓") + COUNTIF(E20:AI20, "✔") + COUNTIF(E20:AI20, "v") + COUNTIF(E20:AI20, "V")) + COUNTIF(E20:AI20, "✗") + COUNTIF(E20:AI20, "x") + COUNTIF(E20:AI20, "X")), "")))</f>
        <v/>
      </c>
      <c r="AL20" s="103">
        <f>IF(ISBLANK(B20), "", IF(AJ20&gt;=0.85, "🔥 Mastered", IF(AJ20&gt;=0.7, "⚡ Consistent", "⚠️ Needs Focus")))</f>
        <v/>
      </c>
      <c r="AM20">
        <f>COUNTIF(E20:AI20, "✓")</f>
        <v/>
      </c>
    </row>
    <row r="21" ht="14.5" customHeight="1">
      <c r="A21" s="97" t="n">
        <v>4</v>
      </c>
      <c r="B21" s="98" t="n"/>
      <c r="C21" s="99" t="n"/>
      <c r="D21" s="99" t="n"/>
      <c r="E21" s="100" t="n"/>
      <c r="F21" s="100" t="n"/>
      <c r="G21" s="100" t="n"/>
      <c r="H21" s="100" t="n"/>
      <c r="I21" s="101" t="n"/>
      <c r="J21" s="100" t="n"/>
      <c r="K21" s="100" t="n"/>
      <c r="L21" s="100" t="n"/>
      <c r="M21" s="100" t="n"/>
      <c r="N21" s="100" t="n"/>
      <c r="O21" s="100" t="n"/>
      <c r="P21" s="101" t="n"/>
      <c r="Q21" s="100" t="n"/>
      <c r="R21" s="100" t="n"/>
      <c r="S21" s="100" t="n"/>
      <c r="T21" s="100" t="n"/>
      <c r="U21" s="100" t="n"/>
      <c r="V21" s="100" t="n"/>
      <c r="W21" s="101" t="n"/>
      <c r="X21" s="100" t="n"/>
      <c r="Y21" s="100" t="n"/>
      <c r="Z21" s="100" t="n"/>
      <c r="AA21" s="100" t="n"/>
      <c r="AB21" s="100" t="n"/>
      <c r="AC21" s="100" t="n"/>
      <c r="AD21" s="101" t="n"/>
      <c r="AE21" s="100" t="n"/>
      <c r="AF21" s="100" t="n"/>
      <c r="AG21" s="100" t="n"/>
      <c r="AH21" s="100" t="n"/>
      <c r="AI21" s="100" t="n"/>
      <c r="AJ21" s="102">
        <f>IF(ISBLANK(B21), "", IF(ISNUMBER(D21), IF(D21&gt;0, (COUNTIF(E21:AI21, "✓") + COUNTIF(E21:AI21, "✔") + COUNTIF(E21:AI21, "v") + COUNTIF(E21:AI21, "V"))/D21, 0), IF(((COUNTIF(E21:AI21, "✓") + COUNTIF(E21:AI21, "✔") + COUNTIF(E21:AI21, "v") + COUNTIF(E21:AI21, "V")) + COUNTIF(E21:AI21, "✗") + COUNTIF(E21:AI21, "x") + COUNTIF(E21:AI21, "X"))&gt;0, (COUNTIF(E21:AI21, "✓") + COUNTIF(E21:AI21, "✔") + COUNTIF(E21:AI21, "v") + COUNTIF(E21:AI21, "V"))/((COUNTIF(E21:AI21, "✓") + COUNTIF(E21:AI21, "✔") + COUNTIF(E21:AI21, "v") + COUNTIF(E21:AI21, "V")) + COUNTIF(E21:AI21, "✗") + COUNTIF(E21:AI21, "x") + COUNTIF(E21:AI21, "X")), "")))</f>
        <v/>
      </c>
      <c r="AK21" s="103">
        <f>IF(ISBLANK(B21), "", IF(ISNUMBER(D21), IF(D21&gt;0, (COUNTIF(E21:AI21, "✓") + COUNTIF(E21:AI21, "✔") + COUNTIF(E21:AI21, "v") + COUNTIF(E21:AI21, "V")) &amp; "/" &amp; D21, (COUNTIF(E21:AI21, "✓") + COUNTIF(E21:AI21, "✔") + COUNTIF(E21:AI21, "v") + COUNTIF(E21:AI21, "V")) &amp; "/0"), IF(((COUNTIF(E21:AI21, "✓") + COUNTIF(E21:AI21, "✔") + COUNTIF(E21:AI21, "v") + COUNTIF(E21:AI21, "V")) + COUNTIF(E21:AI21, "✗") + COUNTIF(E21:AI21, "x") + COUNTIF(E21:AI21, "X"))&gt;0, (COUNTIF(E21:AI21, "✓") + COUNTIF(E21:AI21, "✔") + COUNTIF(E21:AI21, "v") + COUNTIF(E21:AI21, "V")) &amp; "/" &amp; ((COUNTIF(E21:AI21, "✓") + COUNTIF(E21:AI21, "✔") + COUNTIF(E21:AI21, "v") + COUNTIF(E21:AI21, "V")) + COUNTIF(E21:AI21, "✗") + COUNTIF(E21:AI21, "x") + COUNTIF(E21:AI21, "X")), "")))</f>
        <v/>
      </c>
      <c r="AL21" s="103">
        <f>IF(ISBLANK(B21), "", IF(AJ21&gt;=0.85, "🔥 Mastered", IF(AJ21&gt;=0.7, "⚡ Consistent", "⚠️ Needs Focus")))</f>
        <v/>
      </c>
      <c r="AM21">
        <f>COUNTIF(E21:AI21, "✓")</f>
        <v/>
      </c>
    </row>
    <row r="22" ht="14.5" customHeight="1">
      <c r="A22" s="104" t="n">
        <v>5</v>
      </c>
      <c r="B22" s="105" t="n"/>
      <c r="C22" s="106" t="n"/>
      <c r="D22" s="106" t="n"/>
      <c r="E22" s="107" t="n"/>
      <c r="F22" s="107" t="n"/>
      <c r="G22" s="107" t="n"/>
      <c r="H22" s="107" t="n"/>
      <c r="I22" s="108" t="n"/>
      <c r="J22" s="107" t="n"/>
      <c r="K22" s="107" t="n"/>
      <c r="L22" s="107" t="n"/>
      <c r="M22" s="107" t="n"/>
      <c r="N22" s="107" t="n"/>
      <c r="O22" s="107" t="n"/>
      <c r="P22" s="108" t="n"/>
      <c r="Q22" s="107" t="n"/>
      <c r="R22" s="107" t="n"/>
      <c r="S22" s="107" t="n"/>
      <c r="T22" s="107" t="n"/>
      <c r="U22" s="107" t="n"/>
      <c r="V22" s="107" t="n"/>
      <c r="W22" s="108" t="n"/>
      <c r="X22" s="107" t="n"/>
      <c r="Y22" s="107" t="n"/>
      <c r="Z22" s="107" t="n"/>
      <c r="AA22" s="107" t="n"/>
      <c r="AB22" s="107" t="n"/>
      <c r="AC22" s="107" t="n"/>
      <c r="AD22" s="108" t="n"/>
      <c r="AE22" s="107" t="n"/>
      <c r="AF22" s="107" t="n"/>
      <c r="AG22" s="107" t="n"/>
      <c r="AH22" s="107" t="n"/>
      <c r="AI22" s="107" t="n"/>
      <c r="AJ22" s="109">
        <f>IF(ISBLANK(B22), "", IF(ISNUMBER(D22), IF(D22&gt;0, (COUNTIF(E22:AI22, "✓") + COUNTIF(E22:AI22, "✔") + COUNTIF(E22:AI22, "v") + COUNTIF(E22:AI22, "V"))/D22, 0), IF(((COUNTIF(E22:AI22, "✓") + COUNTIF(E22:AI22, "✔") + COUNTIF(E22:AI22, "v") + COUNTIF(E22:AI22, "V")) + COUNTIF(E22:AI22, "✗") + COUNTIF(E22:AI22, "x") + COUNTIF(E22:AI22, "X"))&gt;0, (COUNTIF(E22:AI22, "✓") + COUNTIF(E22:AI22, "✔") + COUNTIF(E22:AI22, "v") + COUNTIF(E22:AI22, "V"))/((COUNTIF(E22:AI22, "✓") + COUNTIF(E22:AI22, "✔") + COUNTIF(E22:AI22, "v") + COUNTIF(E22:AI22, "V")) + COUNTIF(E22:AI22, "✗") + COUNTIF(E22:AI22, "x") + COUNTIF(E22:AI22, "X")), "")))</f>
        <v/>
      </c>
      <c r="AK22" s="110">
        <f>IF(ISBLANK(B22), "", IF(ISNUMBER(D22), IF(D22&gt;0, (COUNTIF(E22:AI22, "✓") + COUNTIF(E22:AI22, "✔") + COUNTIF(E22:AI22, "v") + COUNTIF(E22:AI22, "V")) &amp; "/" &amp; D22, (COUNTIF(E22:AI22, "✓") + COUNTIF(E22:AI22, "✔") + COUNTIF(E22:AI22, "v") + COUNTIF(E22:AI22, "V")) &amp; "/0"), IF(((COUNTIF(E22:AI22, "✓") + COUNTIF(E22:AI22, "✔") + COUNTIF(E22:AI22, "v") + COUNTIF(E22:AI22, "V")) + COUNTIF(E22:AI22, "✗") + COUNTIF(E22:AI22, "x") + COUNTIF(E22:AI22, "X"))&gt;0, (COUNTIF(E22:AI22, "✓") + COUNTIF(E22:AI22, "✔") + COUNTIF(E22:AI22, "v") + COUNTIF(E22:AI22, "V")) &amp; "/" &amp; ((COUNTIF(E22:AI22, "✓") + COUNTIF(E22:AI22, "✔") + COUNTIF(E22:AI22, "v") + COUNTIF(E22:AI22, "V")) + COUNTIF(E22:AI22, "✗") + COUNTIF(E22:AI22, "x") + COUNTIF(E22:AI22, "X")), "")))</f>
        <v/>
      </c>
      <c r="AL22" s="110">
        <f>IF(ISBLANK(B22), "", IF(AJ22&gt;=0.85, "🔥 Mastered", IF(AJ22&gt;=0.7, "⚡ Consistent", "⚠️ Needs Focus")))</f>
        <v/>
      </c>
      <c r="AM22">
        <f>COUNTIF(E22:AI22, "✓")</f>
        <v/>
      </c>
    </row>
    <row r="23" ht="14.5" customHeight="1">
      <c r="A23" s="104" t="n">
        <v>6</v>
      </c>
      <c r="B23" s="105" t="n"/>
      <c r="C23" s="106" t="n"/>
      <c r="D23" s="106" t="n"/>
      <c r="E23" s="107" t="n"/>
      <c r="F23" s="107" t="n"/>
      <c r="G23" s="107" t="n"/>
      <c r="H23" s="107" t="n"/>
      <c r="I23" s="108" t="n"/>
      <c r="J23" s="107" t="n"/>
      <c r="K23" s="107" t="n"/>
      <c r="L23" s="107" t="n"/>
      <c r="M23" s="107" t="n"/>
      <c r="N23" s="107" t="n"/>
      <c r="O23" s="107" t="n"/>
      <c r="P23" s="108" t="n"/>
      <c r="Q23" s="107" t="n"/>
      <c r="R23" s="107" t="n"/>
      <c r="S23" s="107" t="n"/>
      <c r="T23" s="107" t="n"/>
      <c r="U23" s="107" t="n"/>
      <c r="V23" s="107" t="n"/>
      <c r="W23" s="108" t="n"/>
      <c r="X23" s="107" t="n"/>
      <c r="Y23" s="107" t="n"/>
      <c r="Z23" s="107" t="n"/>
      <c r="AA23" s="107" t="n"/>
      <c r="AB23" s="107" t="n"/>
      <c r="AC23" s="107" t="n"/>
      <c r="AD23" s="108" t="n"/>
      <c r="AE23" s="107" t="n"/>
      <c r="AF23" s="107" t="n"/>
      <c r="AG23" s="107" t="n"/>
      <c r="AH23" s="107" t="n"/>
      <c r="AI23" s="107" t="n"/>
      <c r="AJ23" s="109">
        <f>IF(ISBLANK(B23), "", IF(ISNUMBER(D23), IF(D23&gt;0, (COUNTIF(E23:AI23, "✓") + COUNTIF(E23:AI23, "✔") + COUNTIF(E23:AI23, "v") + COUNTIF(E23:AI23, "V"))/D23, 0), IF(((COUNTIF(E23:AI23, "✓") + COUNTIF(E23:AI23, "✔") + COUNTIF(E23:AI23, "v") + COUNTIF(E23:AI23, "V")) + COUNTIF(E23:AI23, "✗") + COUNTIF(E23:AI23, "x") + COUNTIF(E23:AI23, "X"))&gt;0, (COUNTIF(E23:AI23, "✓") + COUNTIF(E23:AI23, "✔") + COUNTIF(E23:AI23, "v") + COUNTIF(E23:AI23, "V"))/((COUNTIF(E23:AI23, "✓") + COUNTIF(E23:AI23, "✔") + COUNTIF(E23:AI23, "v") + COUNTIF(E23:AI23, "V")) + COUNTIF(E23:AI23, "✗") + COUNTIF(E23:AI23, "x") + COUNTIF(E23:AI23, "X")), "")))</f>
        <v/>
      </c>
      <c r="AK23" s="110">
        <f>IF(ISBLANK(B23), "", IF(ISNUMBER(D23), IF(D23&gt;0, (COUNTIF(E23:AI23, "✓") + COUNTIF(E23:AI23, "✔") + COUNTIF(E23:AI23, "v") + COUNTIF(E23:AI23, "V")) &amp; "/" &amp; D23, (COUNTIF(E23:AI23, "✓") + COUNTIF(E23:AI23, "✔") + COUNTIF(E23:AI23, "v") + COUNTIF(E23:AI23, "V")) &amp; "/0"), IF(((COUNTIF(E23:AI23, "✓") + COUNTIF(E23:AI23, "✔") + COUNTIF(E23:AI23, "v") + COUNTIF(E23:AI23, "V")) + COUNTIF(E23:AI23, "✗") + COUNTIF(E23:AI23, "x") + COUNTIF(E23:AI23, "X"))&gt;0, (COUNTIF(E23:AI23, "✓") + COUNTIF(E23:AI23, "✔") + COUNTIF(E23:AI23, "v") + COUNTIF(E23:AI23, "V")) &amp; "/" &amp; ((COUNTIF(E23:AI23, "✓") + COUNTIF(E23:AI23, "✔") + COUNTIF(E23:AI23, "v") + COUNTIF(E23:AI23, "V")) + COUNTIF(E23:AI23, "✗") + COUNTIF(E23:AI23, "x") + COUNTIF(E23:AI23, "X")), "")))</f>
        <v/>
      </c>
      <c r="AL23" s="110">
        <f>IF(ISBLANK(B23), "", IF(AJ23&gt;=0.85, "🔥 Mastered", IF(AJ23&gt;=0.7, "⚡ Consistent", "⚠️ Needs Focus")))</f>
        <v/>
      </c>
      <c r="AM23">
        <f>COUNTIF(E23:AI23, "✓")</f>
        <v/>
      </c>
    </row>
    <row r="24" ht="14.5" customHeight="1">
      <c r="A24" s="104" t="n">
        <v>7</v>
      </c>
      <c r="B24" s="105" t="n"/>
      <c r="C24" s="106" t="n"/>
      <c r="D24" s="106" t="n"/>
      <c r="E24" s="107" t="n"/>
      <c r="F24" s="107" t="n"/>
      <c r="G24" s="107" t="n"/>
      <c r="H24" s="107" t="n"/>
      <c r="I24" s="108" t="n"/>
      <c r="J24" s="107" t="n"/>
      <c r="K24" s="107" t="n"/>
      <c r="L24" s="107" t="n"/>
      <c r="M24" s="107" t="n"/>
      <c r="N24" s="107" t="n"/>
      <c r="O24" s="107" t="n"/>
      <c r="P24" s="108" t="n"/>
      <c r="Q24" s="107" t="n"/>
      <c r="R24" s="107" t="n"/>
      <c r="S24" s="107" t="n"/>
      <c r="T24" s="107" t="n"/>
      <c r="U24" s="107" t="n"/>
      <c r="V24" s="107" t="n"/>
      <c r="W24" s="108" t="n"/>
      <c r="X24" s="107" t="n"/>
      <c r="Y24" s="107" t="n"/>
      <c r="Z24" s="107" t="n"/>
      <c r="AA24" s="107" t="n"/>
      <c r="AB24" s="107" t="n"/>
      <c r="AC24" s="107" t="n"/>
      <c r="AD24" s="108" t="n"/>
      <c r="AE24" s="107" t="n"/>
      <c r="AF24" s="107" t="n"/>
      <c r="AG24" s="107" t="n"/>
      <c r="AH24" s="107" t="n"/>
      <c r="AI24" s="107" t="n"/>
      <c r="AJ24" s="109">
        <f>IF(ISBLANK(B24), "", IF(ISNUMBER(D24), IF(D24&gt;0, (COUNTIF(E24:AI24, "✓") + COUNTIF(E24:AI24, "✔") + COUNTIF(E24:AI24, "v") + COUNTIF(E24:AI24, "V"))/D24, 0), IF(((COUNTIF(E24:AI24, "✓") + COUNTIF(E24:AI24, "✔") + COUNTIF(E24:AI24, "v") + COUNTIF(E24:AI24, "V")) + COUNTIF(E24:AI24, "✗") + COUNTIF(E24:AI24, "x") + COUNTIF(E24:AI24, "X"))&gt;0, (COUNTIF(E24:AI24, "✓") + COUNTIF(E24:AI24, "✔") + COUNTIF(E24:AI24, "v") + COUNTIF(E24:AI24, "V"))/((COUNTIF(E24:AI24, "✓") + COUNTIF(E24:AI24, "✔") + COUNTIF(E24:AI24, "v") + COUNTIF(E24:AI24, "V")) + COUNTIF(E24:AI24, "✗") + COUNTIF(E24:AI24, "x") + COUNTIF(E24:AI24, "X")), "")))</f>
        <v/>
      </c>
      <c r="AK24" s="110">
        <f>IF(ISBLANK(B24), "", IF(ISNUMBER(D24), IF(D24&gt;0, (COUNTIF(E24:AI24, "✓") + COUNTIF(E24:AI24, "✔") + COUNTIF(E24:AI24, "v") + COUNTIF(E24:AI24, "V")) &amp; "/" &amp; D24, (COUNTIF(E24:AI24, "✓") + COUNTIF(E24:AI24, "✔") + COUNTIF(E24:AI24, "v") + COUNTIF(E24:AI24, "V")) &amp; "/0"), IF(((COUNTIF(E24:AI24, "✓") + COUNTIF(E24:AI24, "✔") + COUNTIF(E24:AI24, "v") + COUNTIF(E24:AI24, "V")) + COUNTIF(E24:AI24, "✗") + COUNTIF(E24:AI24, "x") + COUNTIF(E24:AI24, "X"))&gt;0, (COUNTIF(E24:AI24, "✓") + COUNTIF(E24:AI24, "✔") + COUNTIF(E24:AI24, "v") + COUNTIF(E24:AI24, "V")) &amp; "/" &amp; ((COUNTIF(E24:AI24, "✓") + COUNTIF(E24:AI24, "✔") + COUNTIF(E24:AI24, "v") + COUNTIF(E24:AI24, "V")) + COUNTIF(E24:AI24, "✗") + COUNTIF(E24:AI24, "x") + COUNTIF(E24:AI24, "X")), "")))</f>
        <v/>
      </c>
      <c r="AL24" s="110">
        <f>IF(ISBLANK(B24), "", IF(AJ24&gt;=0.85, "🔥 Mastered", IF(AJ24&gt;=0.7, "⚡ Consistent", "⚠️ Needs Focus")))</f>
        <v/>
      </c>
      <c r="AM24">
        <f>COUNTIF(E24:AI24, "✓")</f>
        <v/>
      </c>
    </row>
    <row r="25" ht="14.5" customHeight="1">
      <c r="A25" s="104" t="n">
        <v>8</v>
      </c>
      <c r="B25" s="105" t="n"/>
      <c r="C25" s="106" t="n"/>
      <c r="D25" s="106" t="n"/>
      <c r="E25" s="107" t="n"/>
      <c r="F25" s="107" t="n"/>
      <c r="G25" s="107" t="n"/>
      <c r="H25" s="107" t="n"/>
      <c r="I25" s="108" t="n"/>
      <c r="J25" s="107" t="n"/>
      <c r="K25" s="107" t="n"/>
      <c r="L25" s="107" t="n"/>
      <c r="M25" s="107" t="n"/>
      <c r="N25" s="107" t="n"/>
      <c r="O25" s="107" t="n"/>
      <c r="P25" s="108" t="n"/>
      <c r="Q25" s="107" t="n"/>
      <c r="R25" s="107" t="n"/>
      <c r="S25" s="107" t="n"/>
      <c r="T25" s="107" t="n"/>
      <c r="U25" s="107" t="n"/>
      <c r="V25" s="107" t="n"/>
      <c r="W25" s="108" t="n"/>
      <c r="X25" s="107" t="n"/>
      <c r="Y25" s="107" t="n"/>
      <c r="Z25" s="107" t="n"/>
      <c r="AA25" s="107" t="n"/>
      <c r="AB25" s="107" t="n"/>
      <c r="AC25" s="107" t="n"/>
      <c r="AD25" s="108" t="n"/>
      <c r="AE25" s="107" t="n"/>
      <c r="AF25" s="107" t="n"/>
      <c r="AG25" s="107" t="n"/>
      <c r="AH25" s="107" t="n"/>
      <c r="AI25" s="107" t="n"/>
      <c r="AJ25" s="109">
        <f>IF(ISBLANK(B25), "", IF(ISNUMBER(D25), IF(D25&gt;0, (COUNTIF(E25:AI25, "✓") + COUNTIF(E25:AI25, "✔") + COUNTIF(E25:AI25, "v") + COUNTIF(E25:AI25, "V"))/D25, 0), IF(((COUNTIF(E25:AI25, "✓") + COUNTIF(E25:AI25, "✔") + COUNTIF(E25:AI25, "v") + COUNTIF(E25:AI25, "V")) + COUNTIF(E25:AI25, "✗") + COUNTIF(E25:AI25, "x") + COUNTIF(E25:AI25, "X"))&gt;0, (COUNTIF(E25:AI25, "✓") + COUNTIF(E25:AI25, "✔") + COUNTIF(E25:AI25, "v") + COUNTIF(E25:AI25, "V"))/((COUNTIF(E25:AI25, "✓") + COUNTIF(E25:AI25, "✔") + COUNTIF(E25:AI25, "v") + COUNTIF(E25:AI25, "V")) + COUNTIF(E25:AI25, "✗") + COUNTIF(E25:AI25, "x") + COUNTIF(E25:AI25, "X")), "")))</f>
        <v/>
      </c>
      <c r="AK25" s="110">
        <f>IF(ISBLANK(B25), "", IF(ISNUMBER(D25), IF(D25&gt;0, (COUNTIF(E25:AI25, "✓") + COUNTIF(E25:AI25, "✔") + COUNTIF(E25:AI25, "v") + COUNTIF(E25:AI25, "V")) &amp; "/" &amp; D25, (COUNTIF(E25:AI25, "✓") + COUNTIF(E25:AI25, "✔") + COUNTIF(E25:AI25, "v") + COUNTIF(E25:AI25, "V")) &amp; "/0"), IF(((COUNTIF(E25:AI25, "✓") + COUNTIF(E25:AI25, "✔") + COUNTIF(E25:AI25, "v") + COUNTIF(E25:AI25, "V")) + COUNTIF(E25:AI25, "✗") + COUNTIF(E25:AI25, "x") + COUNTIF(E25:AI25, "X"))&gt;0, (COUNTIF(E25:AI25, "✓") + COUNTIF(E25:AI25, "✔") + COUNTIF(E25:AI25, "v") + COUNTIF(E25:AI25, "V")) &amp; "/" &amp; ((COUNTIF(E25:AI25, "✓") + COUNTIF(E25:AI25, "✔") + COUNTIF(E25:AI25, "v") + COUNTIF(E25:AI25, "V")) + COUNTIF(E25:AI25, "✗") + COUNTIF(E25:AI25, "x") + COUNTIF(E25:AI25, "X")), "")))</f>
        <v/>
      </c>
      <c r="AL25" s="110">
        <f>IF(ISBLANK(B25), "", IF(AJ25&gt;=0.85, "🔥 Mastered", IF(AJ25&gt;=0.7, "⚡ Consistent", "⚠️ Needs Focus")))</f>
        <v/>
      </c>
      <c r="AM25">
        <f>COUNTIF(E25:AI25, "✓")</f>
        <v/>
      </c>
    </row>
    <row r="26" ht="14.5" customHeight="1">
      <c r="A26" s="111" t="n">
        <v>9</v>
      </c>
      <c r="B26" s="112" t="n"/>
      <c r="C26" s="113" t="n"/>
      <c r="D26" s="113" t="n"/>
      <c r="E26" s="114" t="n"/>
      <c r="F26" s="114" t="n"/>
      <c r="G26" s="114" t="n"/>
      <c r="H26" s="114" t="n"/>
      <c r="I26" s="115" t="n"/>
      <c r="J26" s="114" t="n"/>
      <c r="K26" s="114" t="n"/>
      <c r="L26" s="114" t="n"/>
      <c r="M26" s="114" t="n"/>
      <c r="N26" s="114" t="n"/>
      <c r="O26" s="114" t="n"/>
      <c r="P26" s="115" t="n"/>
      <c r="Q26" s="114" t="n"/>
      <c r="R26" s="114" t="n"/>
      <c r="S26" s="114" t="n"/>
      <c r="T26" s="114" t="n"/>
      <c r="U26" s="114" t="n"/>
      <c r="V26" s="114" t="n"/>
      <c r="W26" s="115" t="n"/>
      <c r="X26" s="114" t="n"/>
      <c r="Y26" s="114" t="n"/>
      <c r="Z26" s="114" t="n"/>
      <c r="AA26" s="114" t="n"/>
      <c r="AB26" s="114" t="n"/>
      <c r="AC26" s="114" t="n"/>
      <c r="AD26" s="115" t="n"/>
      <c r="AE26" s="114" t="n"/>
      <c r="AF26" s="114" t="n"/>
      <c r="AG26" s="114" t="n"/>
      <c r="AH26" s="114" t="n"/>
      <c r="AI26" s="114" t="n"/>
      <c r="AJ26" s="116">
        <f>IF(ISBLANK(B26), "", IF(ISNUMBER(D26), IF(D26&gt;0, (COUNTIF(E26:AI26, "✓") + COUNTIF(E26:AI26, "✔") + COUNTIF(E26:AI26, "v") + COUNTIF(E26:AI26, "V"))/D26, 0), IF(((COUNTIF(E26:AI26, "✓") + COUNTIF(E26:AI26, "✔") + COUNTIF(E26:AI26, "v") + COUNTIF(E26:AI26, "V")) + COUNTIF(E26:AI26, "✗") + COUNTIF(E26:AI26, "x") + COUNTIF(E26:AI26, "X"))&gt;0, (COUNTIF(E26:AI26, "✓") + COUNTIF(E26:AI26, "✔") + COUNTIF(E26:AI26, "v") + COUNTIF(E26:AI26, "V"))/((COUNTIF(E26:AI26, "✓") + COUNTIF(E26:AI26, "✔") + COUNTIF(E26:AI26, "v") + COUNTIF(E26:AI26, "V")) + COUNTIF(E26:AI26, "✗") + COUNTIF(E26:AI26, "x") + COUNTIF(E26:AI26, "X")), "")))</f>
        <v/>
      </c>
      <c r="AK26" s="117">
        <f>IF(ISBLANK(B26), "", IF(ISNUMBER(D26), IF(D26&gt;0, (COUNTIF(E26:AI26, "✓") + COUNTIF(E26:AI26, "✔") + COUNTIF(E26:AI26, "v") + COUNTIF(E26:AI26, "V")) &amp; "/" &amp; D26, (COUNTIF(E26:AI26, "✓") + COUNTIF(E26:AI26, "✔") + COUNTIF(E26:AI26, "v") + COUNTIF(E26:AI26, "V")) &amp; "/0"), IF(((COUNTIF(E26:AI26, "✓") + COUNTIF(E26:AI26, "✔") + COUNTIF(E26:AI26, "v") + COUNTIF(E26:AI26, "V")) + COUNTIF(E26:AI26, "✗") + COUNTIF(E26:AI26, "x") + COUNTIF(E26:AI26, "X"))&gt;0, (COUNTIF(E26:AI26, "✓") + COUNTIF(E26:AI26, "✔") + COUNTIF(E26:AI26, "v") + COUNTIF(E26:AI26, "V")) &amp; "/" &amp; ((COUNTIF(E26:AI26, "✓") + COUNTIF(E26:AI26, "✔") + COUNTIF(E26:AI26, "v") + COUNTIF(E26:AI26, "V")) + COUNTIF(E26:AI26, "✗") + COUNTIF(E26:AI26, "x") + COUNTIF(E26:AI26, "X")), "")))</f>
        <v/>
      </c>
      <c r="AL26" s="117">
        <f>IF(ISBLANK(B26), "", IF(AJ26&gt;=0.85, "🔥 Mastered", IF(AJ26&gt;=0.7, "⚡ Consistent", "⚠️ Needs Focus")))</f>
        <v/>
      </c>
      <c r="AM26">
        <f>COUNTIF(E26:AI26, "✓")</f>
        <v/>
      </c>
    </row>
    <row r="27" ht="14.5" customHeight="1">
      <c r="A27" s="111" t="n">
        <v>10</v>
      </c>
      <c r="B27" s="112" t="n"/>
      <c r="C27" s="113" t="n"/>
      <c r="D27" s="113" t="n"/>
      <c r="E27" s="114" t="n"/>
      <c r="F27" s="114" t="n"/>
      <c r="G27" s="114" t="n"/>
      <c r="H27" s="114" t="n"/>
      <c r="I27" s="115" t="n"/>
      <c r="J27" s="114" t="n"/>
      <c r="K27" s="114" t="n"/>
      <c r="L27" s="114" t="n"/>
      <c r="M27" s="114" t="n"/>
      <c r="N27" s="114" t="n"/>
      <c r="O27" s="114" t="n"/>
      <c r="P27" s="115" t="n"/>
      <c r="Q27" s="114" t="n"/>
      <c r="R27" s="114" t="n"/>
      <c r="S27" s="114" t="n"/>
      <c r="T27" s="114" t="n"/>
      <c r="U27" s="114" t="n"/>
      <c r="V27" s="114" t="n"/>
      <c r="W27" s="115" t="n"/>
      <c r="X27" s="114" t="n"/>
      <c r="Y27" s="114" t="n"/>
      <c r="Z27" s="114" t="n"/>
      <c r="AA27" s="114" t="n"/>
      <c r="AB27" s="114" t="n"/>
      <c r="AC27" s="114" t="n"/>
      <c r="AD27" s="115" t="n"/>
      <c r="AE27" s="114" t="n"/>
      <c r="AF27" s="114" t="n"/>
      <c r="AG27" s="114" t="n"/>
      <c r="AH27" s="114" t="n"/>
      <c r="AI27" s="114" t="n"/>
      <c r="AJ27" s="116">
        <f>IF(ISBLANK(B27), "", IF(ISNUMBER(D27), IF(D27&gt;0, (COUNTIF(E27:AI27, "✓") + COUNTIF(E27:AI27, "✔") + COUNTIF(E27:AI27, "v") + COUNTIF(E27:AI27, "V"))/D27, 0), IF(((COUNTIF(E27:AI27, "✓") + COUNTIF(E27:AI27, "✔") + COUNTIF(E27:AI27, "v") + COUNTIF(E27:AI27, "V")) + COUNTIF(E27:AI27, "✗") + COUNTIF(E27:AI27, "x") + COUNTIF(E27:AI27, "X"))&gt;0, (COUNTIF(E27:AI27, "✓") + COUNTIF(E27:AI27, "✔") + COUNTIF(E27:AI27, "v") + COUNTIF(E27:AI27, "V"))/((COUNTIF(E27:AI27, "✓") + COUNTIF(E27:AI27, "✔") + COUNTIF(E27:AI27, "v") + COUNTIF(E27:AI27, "V")) + COUNTIF(E27:AI27, "✗") + COUNTIF(E27:AI27, "x") + COUNTIF(E27:AI27, "X")), "")))</f>
        <v/>
      </c>
      <c r="AK27" s="117">
        <f>IF(ISBLANK(B27), "", IF(ISNUMBER(D27), IF(D27&gt;0, (COUNTIF(E27:AI27, "✓") + COUNTIF(E27:AI27, "✔") + COUNTIF(E27:AI27, "v") + COUNTIF(E27:AI27, "V")) &amp; "/" &amp; D27, (COUNTIF(E27:AI27, "✓") + COUNTIF(E27:AI27, "✔") + COUNTIF(E27:AI27, "v") + COUNTIF(E27:AI27, "V")) &amp; "/0"), IF(((COUNTIF(E27:AI27, "✓") + COUNTIF(E27:AI27, "✔") + COUNTIF(E27:AI27, "v") + COUNTIF(E27:AI27, "V")) + COUNTIF(E27:AI27, "✗") + COUNTIF(E27:AI27, "x") + COUNTIF(E27:AI27, "X"))&gt;0, (COUNTIF(E27:AI27, "✓") + COUNTIF(E27:AI27, "✔") + COUNTIF(E27:AI27, "v") + COUNTIF(E27:AI27, "V")) &amp; "/" &amp; ((COUNTIF(E27:AI27, "✓") + COUNTIF(E27:AI27, "✔") + COUNTIF(E27:AI27, "v") + COUNTIF(E27:AI27, "V")) + COUNTIF(E27:AI27, "✗") + COUNTIF(E27:AI27, "x") + COUNTIF(E27:AI27, "X")), "")))</f>
        <v/>
      </c>
      <c r="AL27" s="117">
        <f>IF(ISBLANK(B27), "", IF(AJ27&gt;=0.85, "🔥 Mastered", IF(AJ27&gt;=0.7, "⚡ Consistent", "⚠️ Needs Focus")))</f>
        <v/>
      </c>
      <c r="AM27">
        <f>COUNTIF(E27:AI27, "✓")</f>
        <v/>
      </c>
    </row>
    <row r="28" ht="14.5" customHeight="1">
      <c r="A28" s="111" t="n">
        <v>11</v>
      </c>
      <c r="B28" s="112" t="n"/>
      <c r="C28" s="113" t="n"/>
      <c r="D28" s="113" t="n"/>
      <c r="E28" s="114" t="n"/>
      <c r="F28" s="114" t="n"/>
      <c r="G28" s="114" t="n"/>
      <c r="H28" s="114" t="n"/>
      <c r="I28" s="115" t="n"/>
      <c r="J28" s="114" t="n"/>
      <c r="K28" s="114" t="n"/>
      <c r="L28" s="114" t="n"/>
      <c r="M28" s="114" t="n"/>
      <c r="N28" s="114" t="n"/>
      <c r="O28" s="114" t="n"/>
      <c r="P28" s="115" t="n"/>
      <c r="Q28" s="114" t="n"/>
      <c r="R28" s="114" t="n"/>
      <c r="S28" s="114" t="n"/>
      <c r="T28" s="114" t="n"/>
      <c r="U28" s="114" t="n"/>
      <c r="V28" s="114" t="n"/>
      <c r="W28" s="115" t="n"/>
      <c r="X28" s="114" t="n"/>
      <c r="Y28" s="114" t="n"/>
      <c r="Z28" s="114" t="n"/>
      <c r="AA28" s="114" t="n"/>
      <c r="AB28" s="114" t="n"/>
      <c r="AC28" s="114" t="n"/>
      <c r="AD28" s="115" t="n"/>
      <c r="AE28" s="114" t="n"/>
      <c r="AF28" s="114" t="n"/>
      <c r="AG28" s="114" t="n"/>
      <c r="AH28" s="114" t="n"/>
      <c r="AI28" s="114" t="n"/>
      <c r="AJ28" s="116">
        <f>IF(ISBLANK(B28), "", IF(ISNUMBER(D28), IF(D28&gt;0, (COUNTIF(E28:AI28, "✓") + COUNTIF(E28:AI28, "✔") + COUNTIF(E28:AI28, "v") + COUNTIF(E28:AI28, "V"))/D28, 0), IF(((COUNTIF(E28:AI28, "✓") + COUNTIF(E28:AI28, "✔") + COUNTIF(E28:AI28, "v") + COUNTIF(E28:AI28, "V")) + COUNTIF(E28:AI28, "✗") + COUNTIF(E28:AI28, "x") + COUNTIF(E28:AI28, "X"))&gt;0, (COUNTIF(E28:AI28, "✓") + COUNTIF(E28:AI28, "✔") + COUNTIF(E28:AI28, "v") + COUNTIF(E28:AI28, "V"))/((COUNTIF(E28:AI28, "✓") + COUNTIF(E28:AI28, "✔") + COUNTIF(E28:AI28, "v") + COUNTIF(E28:AI28, "V")) + COUNTIF(E28:AI28, "✗") + COUNTIF(E28:AI28, "x") + COUNTIF(E28:AI28, "X")), "")))</f>
        <v/>
      </c>
      <c r="AK28" s="117">
        <f>IF(ISBLANK(B28), "", IF(ISNUMBER(D28), IF(D28&gt;0, (COUNTIF(E28:AI28, "✓") + COUNTIF(E28:AI28, "✔") + COUNTIF(E28:AI28, "v") + COUNTIF(E28:AI28, "V")) &amp; "/" &amp; D28, (COUNTIF(E28:AI28, "✓") + COUNTIF(E28:AI28, "✔") + COUNTIF(E28:AI28, "v") + COUNTIF(E28:AI28, "V")) &amp; "/0"), IF(((COUNTIF(E28:AI28, "✓") + COUNTIF(E28:AI28, "✔") + COUNTIF(E28:AI28, "v") + COUNTIF(E28:AI28, "V")) + COUNTIF(E28:AI28, "✗") + COUNTIF(E28:AI28, "x") + COUNTIF(E28:AI28, "X"))&gt;0, (COUNTIF(E28:AI28, "✓") + COUNTIF(E28:AI28, "✔") + COUNTIF(E28:AI28, "v") + COUNTIF(E28:AI28, "V")) &amp; "/" &amp; ((COUNTIF(E28:AI28, "✓") + COUNTIF(E28:AI28, "✔") + COUNTIF(E28:AI28, "v") + COUNTIF(E28:AI28, "V")) + COUNTIF(E28:AI28, "✗") + COUNTIF(E28:AI28, "x") + COUNTIF(E28:AI28, "X")), "")))</f>
        <v/>
      </c>
      <c r="AL28" s="117">
        <f>IF(ISBLANK(B28), "", IF(AJ28&gt;=0.85, "🔥 Mastered", IF(AJ28&gt;=0.7, "⚡ Consistent", "⚠️ Needs Focus")))</f>
        <v/>
      </c>
      <c r="AM28">
        <f>COUNTIF(E28:AI28, "✓")</f>
        <v/>
      </c>
    </row>
    <row r="29" ht="14.5" customHeight="1">
      <c r="A29" s="111" t="n">
        <v>12</v>
      </c>
      <c r="B29" s="112" t="n"/>
      <c r="C29" s="113" t="n"/>
      <c r="D29" s="113" t="n"/>
      <c r="E29" s="114" t="n"/>
      <c r="F29" s="114" t="n"/>
      <c r="G29" s="114" t="n"/>
      <c r="H29" s="114" t="n"/>
      <c r="I29" s="115" t="n"/>
      <c r="J29" s="114" t="n"/>
      <c r="K29" s="114" t="n"/>
      <c r="L29" s="114" t="n"/>
      <c r="M29" s="114" t="n"/>
      <c r="N29" s="114" t="n"/>
      <c r="O29" s="114" t="n"/>
      <c r="P29" s="115" t="n"/>
      <c r="Q29" s="114" t="n"/>
      <c r="R29" s="114" t="n"/>
      <c r="S29" s="114" t="n"/>
      <c r="T29" s="114" t="n"/>
      <c r="U29" s="114" t="n"/>
      <c r="V29" s="114" t="n"/>
      <c r="W29" s="115" t="n"/>
      <c r="X29" s="114" t="n"/>
      <c r="Y29" s="114" t="n"/>
      <c r="Z29" s="114" t="n"/>
      <c r="AA29" s="114" t="n"/>
      <c r="AB29" s="114" t="n"/>
      <c r="AC29" s="114" t="n"/>
      <c r="AD29" s="115" t="n"/>
      <c r="AE29" s="114" t="n"/>
      <c r="AF29" s="114" t="n"/>
      <c r="AG29" s="114" t="n"/>
      <c r="AH29" s="114" t="n"/>
      <c r="AI29" s="114" t="n"/>
      <c r="AJ29" s="116">
        <f>IF(ISBLANK(B29), "", IF(ISNUMBER(D29), IF(D29&gt;0, (COUNTIF(E29:AI29, "✓") + COUNTIF(E29:AI29, "✔") + COUNTIF(E29:AI29, "v") + COUNTIF(E29:AI29, "V"))/D29, 0), IF(((COUNTIF(E29:AI29, "✓") + COUNTIF(E29:AI29, "✔") + COUNTIF(E29:AI29, "v") + COUNTIF(E29:AI29, "V")) + COUNTIF(E29:AI29, "✗") + COUNTIF(E29:AI29, "x") + COUNTIF(E29:AI29, "X"))&gt;0, (COUNTIF(E29:AI29, "✓") + COUNTIF(E29:AI29, "✔") + COUNTIF(E29:AI29, "v") + COUNTIF(E29:AI29, "V"))/((COUNTIF(E29:AI29, "✓") + COUNTIF(E29:AI29, "✔") + COUNTIF(E29:AI29, "v") + COUNTIF(E29:AI29, "V")) + COUNTIF(E29:AI29, "✗") + COUNTIF(E29:AI29, "x") + COUNTIF(E29:AI29, "X")), "")))</f>
        <v/>
      </c>
      <c r="AK29" s="117">
        <f>IF(ISBLANK(B29), "", IF(ISNUMBER(D29), IF(D29&gt;0, (COUNTIF(E29:AI29, "✓") + COUNTIF(E29:AI29, "✔") + COUNTIF(E29:AI29, "v") + COUNTIF(E29:AI29, "V")) &amp; "/" &amp; D29, (COUNTIF(E29:AI29, "✓") + COUNTIF(E29:AI29, "✔") + COUNTIF(E29:AI29, "v") + COUNTIF(E29:AI29, "V")) &amp; "/0"), IF(((COUNTIF(E29:AI29, "✓") + COUNTIF(E29:AI29, "✔") + COUNTIF(E29:AI29, "v") + COUNTIF(E29:AI29, "V")) + COUNTIF(E29:AI29, "✗") + COUNTIF(E29:AI29, "x") + COUNTIF(E29:AI29, "X"))&gt;0, (COUNTIF(E29:AI29, "✓") + COUNTIF(E29:AI29, "✔") + COUNTIF(E29:AI29, "v") + COUNTIF(E29:AI29, "V")) &amp; "/" &amp; ((COUNTIF(E29:AI29, "✓") + COUNTIF(E29:AI29, "✔") + COUNTIF(E29:AI29, "v") + COUNTIF(E29:AI29, "V")) + COUNTIF(E29:AI29, "✗") + COUNTIF(E29:AI29, "x") + COUNTIF(E29:AI29, "X")), "")))</f>
        <v/>
      </c>
      <c r="AL29" s="117">
        <f>IF(ISBLANK(B29), "", IF(AJ29&gt;=0.85, "🔥 Mastered", IF(AJ29&gt;=0.7, "⚡ Consistent", "⚠️ Needs Focus")))</f>
        <v/>
      </c>
      <c r="AM29">
        <f>COUNTIF(E29:AI29, "✓")</f>
        <v/>
      </c>
    </row>
    <row r="30" ht="14.5" customHeight="1">
      <c r="A30" s="118" t="n">
        <v>13</v>
      </c>
      <c r="B30" s="119" t="n"/>
      <c r="C30" s="120" t="n"/>
      <c r="D30" s="120" t="n"/>
      <c r="E30" s="121" t="n"/>
      <c r="F30" s="121" t="n"/>
      <c r="G30" s="121" t="n"/>
      <c r="H30" s="121" t="n"/>
      <c r="I30" s="122" t="n"/>
      <c r="J30" s="121" t="n"/>
      <c r="K30" s="121" t="n"/>
      <c r="L30" s="121" t="n"/>
      <c r="M30" s="121" t="n"/>
      <c r="N30" s="121" t="n"/>
      <c r="O30" s="121" t="n"/>
      <c r="P30" s="122" t="n"/>
      <c r="Q30" s="121" t="n"/>
      <c r="R30" s="121" t="n"/>
      <c r="S30" s="121" t="n"/>
      <c r="T30" s="121" t="n"/>
      <c r="U30" s="121" t="n"/>
      <c r="V30" s="121" t="n"/>
      <c r="W30" s="122" t="n"/>
      <c r="X30" s="121" t="n"/>
      <c r="Y30" s="121" t="n"/>
      <c r="Z30" s="121" t="n"/>
      <c r="AA30" s="121" t="n"/>
      <c r="AB30" s="121" t="n"/>
      <c r="AC30" s="121" t="n"/>
      <c r="AD30" s="122" t="n"/>
      <c r="AE30" s="121" t="n"/>
      <c r="AF30" s="121" t="n"/>
      <c r="AG30" s="121" t="n"/>
      <c r="AH30" s="121" t="n"/>
      <c r="AI30" s="121" t="n"/>
      <c r="AJ30" s="123">
        <f>IF(ISBLANK(B30), "", IF(ISNUMBER(D30), IF(D30&gt;0, (COUNTIF(E30:AI30, "✓") + COUNTIF(E30:AI30, "✔") + COUNTIF(E30:AI30, "v") + COUNTIF(E30:AI30, "V"))/D30, 0), IF(((COUNTIF(E30:AI30, "✓") + COUNTIF(E30:AI30, "✔") + COUNTIF(E30:AI30, "v") + COUNTIF(E30:AI30, "V")) + COUNTIF(E30:AI30, "✗") + COUNTIF(E30:AI30, "x") + COUNTIF(E30:AI30, "X"))&gt;0, (COUNTIF(E30:AI30, "✓") + COUNTIF(E30:AI30, "✔") + COUNTIF(E30:AI30, "v") + COUNTIF(E30:AI30, "V"))/((COUNTIF(E30:AI30, "✓") + COUNTIF(E30:AI30, "✔") + COUNTIF(E30:AI30, "v") + COUNTIF(E30:AI30, "V")) + COUNTIF(E30:AI30, "✗") + COUNTIF(E30:AI30, "x") + COUNTIF(E30:AI30, "X")), "")))</f>
        <v/>
      </c>
      <c r="AK30" s="124">
        <f>IF(ISBLANK(B30), "", IF(ISNUMBER(D30), IF(D30&gt;0, (COUNTIF(E30:AI30, "✓") + COUNTIF(E30:AI30, "✔") + COUNTIF(E30:AI30, "v") + COUNTIF(E30:AI30, "V")) &amp; "/" &amp; D30, (COUNTIF(E30:AI30, "✓") + COUNTIF(E30:AI30, "✔") + COUNTIF(E30:AI30, "v") + COUNTIF(E30:AI30, "V")) &amp; "/0"), IF(((COUNTIF(E30:AI30, "✓") + COUNTIF(E30:AI30, "✔") + COUNTIF(E30:AI30, "v") + COUNTIF(E30:AI30, "V")) + COUNTIF(E30:AI30, "✗") + COUNTIF(E30:AI30, "x") + COUNTIF(E30:AI30, "X"))&gt;0, (COUNTIF(E30:AI30, "✓") + COUNTIF(E30:AI30, "✔") + COUNTIF(E30:AI30, "v") + COUNTIF(E30:AI30, "V")) &amp; "/" &amp; ((COUNTIF(E30:AI30, "✓") + COUNTIF(E30:AI30, "✔") + COUNTIF(E30:AI30, "v") + COUNTIF(E30:AI30, "V")) + COUNTIF(E30:AI30, "✗") + COUNTIF(E30:AI30, "x") + COUNTIF(E30:AI30, "X")), "")))</f>
        <v/>
      </c>
      <c r="AL30" s="124">
        <f>IF(ISBLANK(B30), "", IF(AJ30&gt;=0.85, "🔥 Mastered", IF(AJ30&gt;=0.7, "⚡ Consistent", "⚠️ Needs Focus")))</f>
        <v/>
      </c>
      <c r="AM30">
        <f>COUNTIF(E30:AI30, "✓")</f>
        <v/>
      </c>
    </row>
    <row r="31" ht="14.5" customHeight="1">
      <c r="A31" s="118" t="n">
        <v>14</v>
      </c>
      <c r="B31" s="119" t="n"/>
      <c r="C31" s="120" t="n"/>
      <c r="D31" s="120" t="n"/>
      <c r="E31" s="121" t="n"/>
      <c r="F31" s="121" t="n"/>
      <c r="G31" s="121" t="n"/>
      <c r="H31" s="121" t="n"/>
      <c r="I31" s="122" t="n"/>
      <c r="J31" s="121" t="n"/>
      <c r="K31" s="121" t="n"/>
      <c r="L31" s="121" t="n"/>
      <c r="M31" s="121" t="n"/>
      <c r="N31" s="121" t="n"/>
      <c r="O31" s="121" t="n"/>
      <c r="P31" s="122" t="n"/>
      <c r="Q31" s="121" t="n"/>
      <c r="R31" s="121" t="n"/>
      <c r="S31" s="121" t="n"/>
      <c r="T31" s="121" t="n"/>
      <c r="U31" s="121" t="n"/>
      <c r="V31" s="121" t="n"/>
      <c r="W31" s="122" t="n"/>
      <c r="X31" s="121" t="n"/>
      <c r="Y31" s="121" t="n"/>
      <c r="Z31" s="121" t="n"/>
      <c r="AA31" s="121" t="n"/>
      <c r="AB31" s="121" t="n"/>
      <c r="AC31" s="121" t="n"/>
      <c r="AD31" s="122" t="n"/>
      <c r="AE31" s="121" t="n"/>
      <c r="AF31" s="121" t="n"/>
      <c r="AG31" s="121" t="n"/>
      <c r="AH31" s="121" t="n"/>
      <c r="AI31" s="121" t="n"/>
      <c r="AJ31" s="123">
        <f>IF(ISBLANK(B31), "", IF(ISNUMBER(D31), IF(D31&gt;0, (COUNTIF(E31:AI31, "✓") + COUNTIF(E31:AI31, "✔") + COUNTIF(E31:AI31, "v") + COUNTIF(E31:AI31, "V"))/D31, 0), IF(((COUNTIF(E31:AI31, "✓") + COUNTIF(E31:AI31, "✔") + COUNTIF(E31:AI31, "v") + COUNTIF(E31:AI31, "V")) + COUNTIF(E31:AI31, "✗") + COUNTIF(E31:AI31, "x") + COUNTIF(E31:AI31, "X"))&gt;0, (COUNTIF(E31:AI31, "✓") + COUNTIF(E31:AI31, "✔") + COUNTIF(E31:AI31, "v") + COUNTIF(E31:AI31, "V"))/((COUNTIF(E31:AI31, "✓") + COUNTIF(E31:AI31, "✔") + COUNTIF(E31:AI31, "v") + COUNTIF(E31:AI31, "V")) + COUNTIF(E31:AI31, "✗") + COUNTIF(E31:AI31, "x") + COUNTIF(E31:AI31, "X")), "")))</f>
        <v/>
      </c>
      <c r="AK31" s="124">
        <f>IF(ISBLANK(B31), "", IF(ISNUMBER(D31), IF(D31&gt;0, (COUNTIF(E31:AI31, "✓") + COUNTIF(E31:AI31, "✔") + COUNTIF(E31:AI31, "v") + COUNTIF(E31:AI31, "V")) &amp; "/" &amp; D31, (COUNTIF(E31:AI31, "✓") + COUNTIF(E31:AI31, "✔") + COUNTIF(E31:AI31, "v") + COUNTIF(E31:AI31, "V")) &amp; "/0"), IF(((COUNTIF(E31:AI31, "✓") + COUNTIF(E31:AI31, "✔") + COUNTIF(E31:AI31, "v") + COUNTIF(E31:AI31, "V")) + COUNTIF(E31:AI31, "✗") + COUNTIF(E31:AI31, "x") + COUNTIF(E31:AI31, "X"))&gt;0, (COUNTIF(E31:AI31, "✓") + COUNTIF(E31:AI31, "✔") + COUNTIF(E31:AI31, "v") + COUNTIF(E31:AI31, "V")) &amp; "/" &amp; ((COUNTIF(E31:AI31, "✓") + COUNTIF(E31:AI31, "✔") + COUNTIF(E31:AI31, "v") + COUNTIF(E31:AI31, "V")) + COUNTIF(E31:AI31, "✗") + COUNTIF(E31:AI31, "x") + COUNTIF(E31:AI31, "X")), "")))</f>
        <v/>
      </c>
      <c r="AL31" s="124">
        <f>IF(ISBLANK(B31), "", IF(AJ31&gt;=0.85, "🔥 Mastered", IF(AJ31&gt;=0.7, "⚡ Consistent", "⚠️ Needs Focus")))</f>
        <v/>
      </c>
      <c r="AM31">
        <f>COUNTIF(E31:AI31, "✓")</f>
        <v/>
      </c>
    </row>
    <row r="32" ht="14.5" customHeight="1">
      <c r="A32" s="118" t="n">
        <v>15</v>
      </c>
      <c r="B32" s="119" t="n"/>
      <c r="C32" s="120" t="n"/>
      <c r="D32" s="120" t="n"/>
      <c r="E32" s="121" t="n"/>
      <c r="F32" s="121" t="n"/>
      <c r="G32" s="121" t="n"/>
      <c r="H32" s="121" t="n"/>
      <c r="I32" s="122" t="n"/>
      <c r="J32" s="121" t="n"/>
      <c r="K32" s="121" t="n"/>
      <c r="L32" s="121" t="n"/>
      <c r="M32" s="121" t="n"/>
      <c r="N32" s="121" t="n"/>
      <c r="O32" s="121" t="n"/>
      <c r="P32" s="122" t="n"/>
      <c r="Q32" s="121" t="n"/>
      <c r="R32" s="121" t="n"/>
      <c r="S32" s="121" t="n"/>
      <c r="T32" s="121" t="n"/>
      <c r="U32" s="121" t="n"/>
      <c r="V32" s="121" t="n"/>
      <c r="W32" s="122" t="n"/>
      <c r="X32" s="121" t="n"/>
      <c r="Y32" s="121" t="n"/>
      <c r="Z32" s="121" t="n"/>
      <c r="AA32" s="121" t="n"/>
      <c r="AB32" s="121" t="n"/>
      <c r="AC32" s="121" t="n"/>
      <c r="AD32" s="122" t="n"/>
      <c r="AE32" s="121" t="n"/>
      <c r="AF32" s="121" t="n"/>
      <c r="AG32" s="121" t="n"/>
      <c r="AH32" s="121" t="n"/>
      <c r="AI32" s="121" t="n"/>
      <c r="AJ32" s="123">
        <f>IF(ISBLANK(B32), "", IF(ISNUMBER(D32), IF(D32&gt;0, (COUNTIF(E32:AI32, "✓") + COUNTIF(E32:AI32, "✔") + COUNTIF(E32:AI32, "v") + COUNTIF(E32:AI32, "V"))/D32, 0), IF(((COUNTIF(E32:AI32, "✓") + COUNTIF(E32:AI32, "✔") + COUNTIF(E32:AI32, "v") + COUNTIF(E32:AI32, "V")) + COUNTIF(E32:AI32, "✗") + COUNTIF(E32:AI32, "x") + COUNTIF(E32:AI32, "X"))&gt;0, (COUNTIF(E32:AI32, "✓") + COUNTIF(E32:AI32, "✔") + COUNTIF(E32:AI32, "v") + COUNTIF(E32:AI32, "V"))/((COUNTIF(E32:AI32, "✓") + COUNTIF(E32:AI32, "✔") + COUNTIF(E32:AI32, "v") + COUNTIF(E32:AI32, "V")) + COUNTIF(E32:AI32, "✗") + COUNTIF(E32:AI32, "x") + COUNTIF(E32:AI32, "X")), "")))</f>
        <v/>
      </c>
      <c r="AK32" s="124">
        <f>IF(ISBLANK(B32), "", IF(ISNUMBER(D32), IF(D32&gt;0, (COUNTIF(E32:AI32, "✓") + COUNTIF(E32:AI32, "✔") + COUNTIF(E32:AI32, "v") + COUNTIF(E32:AI32, "V")) &amp; "/" &amp; D32, (COUNTIF(E32:AI32, "✓") + COUNTIF(E32:AI32, "✔") + COUNTIF(E32:AI32, "v") + COUNTIF(E32:AI32, "V")) &amp; "/0"), IF(((COUNTIF(E32:AI32, "✓") + COUNTIF(E32:AI32, "✔") + COUNTIF(E32:AI32, "v") + COUNTIF(E32:AI32, "V")) + COUNTIF(E32:AI32, "✗") + COUNTIF(E32:AI32, "x") + COUNTIF(E32:AI32, "X"))&gt;0, (COUNTIF(E32:AI32, "✓") + COUNTIF(E32:AI32, "✔") + COUNTIF(E32:AI32, "v") + COUNTIF(E32:AI32, "V")) &amp; "/" &amp; ((COUNTIF(E32:AI32, "✓") + COUNTIF(E32:AI32, "✔") + COUNTIF(E32:AI32, "v") + COUNTIF(E32:AI32, "V")) + COUNTIF(E32:AI32, "✗") + COUNTIF(E32:AI32, "x") + COUNTIF(E32:AI32, "X")), "")))</f>
        <v/>
      </c>
      <c r="AL32" s="124">
        <f>IF(ISBLANK(B32), "", IF(AJ32&gt;=0.85, "🔥 Mastered", IF(AJ32&gt;=0.7, "⚡ Consistent", "⚠️ Needs Focus")))</f>
        <v/>
      </c>
      <c r="AM32">
        <f>COUNTIF(E32:AI32, "✓")</f>
        <v/>
      </c>
    </row>
    <row r="33" ht="14.5" customHeight="1">
      <c r="A33" s="118" t="n">
        <v>16</v>
      </c>
      <c r="B33" s="119" t="n"/>
      <c r="C33" s="120" t="n"/>
      <c r="D33" s="120" t="n"/>
      <c r="E33" s="121" t="n"/>
      <c r="F33" s="121" t="n"/>
      <c r="G33" s="121" t="n"/>
      <c r="H33" s="121" t="n"/>
      <c r="I33" s="122" t="n"/>
      <c r="J33" s="121" t="n"/>
      <c r="K33" s="121" t="n"/>
      <c r="L33" s="121" t="n"/>
      <c r="M33" s="121" t="n"/>
      <c r="N33" s="121" t="n"/>
      <c r="O33" s="121" t="n"/>
      <c r="P33" s="122" t="n"/>
      <c r="Q33" s="121" t="n"/>
      <c r="R33" s="121" t="n"/>
      <c r="S33" s="121" t="n"/>
      <c r="T33" s="121" t="n"/>
      <c r="U33" s="121" t="n"/>
      <c r="V33" s="121" t="n"/>
      <c r="W33" s="122" t="n"/>
      <c r="X33" s="121" t="n"/>
      <c r="Y33" s="121" t="n"/>
      <c r="Z33" s="121" t="n"/>
      <c r="AA33" s="121" t="n"/>
      <c r="AB33" s="121" t="n"/>
      <c r="AC33" s="121" t="n"/>
      <c r="AD33" s="122" t="n"/>
      <c r="AE33" s="121" t="n"/>
      <c r="AF33" s="121" t="n"/>
      <c r="AG33" s="121" t="n"/>
      <c r="AH33" s="121" t="n"/>
      <c r="AI33" s="121" t="n"/>
      <c r="AJ33" s="123">
        <f>IF(ISBLANK(B33), "", IF(ISNUMBER(D33), IF(D33&gt;0, (COUNTIF(E33:AI33, "✓") + COUNTIF(E33:AI33, "✔") + COUNTIF(E33:AI33, "v") + COUNTIF(E33:AI33, "V"))/D33, 0), IF(((COUNTIF(E33:AI33, "✓") + COUNTIF(E33:AI33, "✔") + COUNTIF(E33:AI33, "v") + COUNTIF(E33:AI33, "V")) + COUNTIF(E33:AI33, "✗") + COUNTIF(E33:AI33, "x") + COUNTIF(E33:AI33, "X"))&gt;0, (COUNTIF(E33:AI33, "✓") + COUNTIF(E33:AI33, "✔") + COUNTIF(E33:AI33, "v") + COUNTIF(E33:AI33, "V"))/((COUNTIF(E33:AI33, "✓") + COUNTIF(E33:AI33, "✔") + COUNTIF(E33:AI33, "v") + COUNTIF(E33:AI33, "V")) + COUNTIF(E33:AI33, "✗") + COUNTIF(E33:AI33, "x") + COUNTIF(E33:AI33, "X")), "")))</f>
        <v/>
      </c>
      <c r="AK33" s="124">
        <f>IF(ISBLANK(B33), "", IF(ISNUMBER(D33), IF(D33&gt;0, (COUNTIF(E33:AI33, "✓") + COUNTIF(E33:AI33, "✔") + COUNTIF(E33:AI33, "v") + COUNTIF(E33:AI33, "V")) &amp; "/" &amp; D33, (COUNTIF(E33:AI33, "✓") + COUNTIF(E33:AI33, "✔") + COUNTIF(E33:AI33, "v") + COUNTIF(E33:AI33, "V")) &amp; "/0"), IF(((COUNTIF(E33:AI33, "✓") + COUNTIF(E33:AI33, "✔") + COUNTIF(E33:AI33, "v") + COUNTIF(E33:AI33, "V")) + COUNTIF(E33:AI33, "✗") + COUNTIF(E33:AI33, "x") + COUNTIF(E33:AI33, "X"))&gt;0, (COUNTIF(E33:AI33, "✓") + COUNTIF(E33:AI33, "✔") + COUNTIF(E33:AI33, "v") + COUNTIF(E33:AI33, "V")) &amp; "/" &amp; ((COUNTIF(E33:AI33, "✓") + COUNTIF(E33:AI33, "✔") + COUNTIF(E33:AI33, "v") + COUNTIF(E33:AI33, "V")) + COUNTIF(E33:AI33, "✗") + COUNTIF(E33:AI33, "x") + COUNTIF(E33:AI33, "X")), "")))</f>
        <v/>
      </c>
      <c r="AL33" s="124">
        <f>IF(ISBLANK(B33), "", IF(AJ33&gt;=0.85, "🔥 Mastered", IF(AJ33&gt;=0.7, "⚡ Consistent", "⚠️ Needs Focus")))</f>
        <v/>
      </c>
      <c r="AM33">
        <f>COUNTIF(E33:AI33, "✓")</f>
        <v/>
      </c>
    </row>
    <row r="34" ht="14.5" customHeight="1">
      <c r="A34" s="125" t="n">
        <v>17</v>
      </c>
      <c r="B34" s="126" t="n"/>
      <c r="C34" s="127" t="n"/>
      <c r="D34" s="127" t="n"/>
      <c r="E34" s="128" t="n"/>
      <c r="F34" s="128" t="n"/>
      <c r="G34" s="128" t="n"/>
      <c r="H34" s="128" t="n"/>
      <c r="I34" s="129" t="n"/>
      <c r="J34" s="128" t="n"/>
      <c r="K34" s="128" t="n"/>
      <c r="L34" s="128" t="n"/>
      <c r="M34" s="128" t="n"/>
      <c r="N34" s="128" t="n"/>
      <c r="O34" s="128" t="n"/>
      <c r="P34" s="129" t="n"/>
      <c r="Q34" s="128" t="n"/>
      <c r="R34" s="128" t="n"/>
      <c r="S34" s="128" t="n"/>
      <c r="T34" s="128" t="n"/>
      <c r="U34" s="128" t="n"/>
      <c r="V34" s="128" t="n"/>
      <c r="W34" s="129" t="n"/>
      <c r="X34" s="128" t="n"/>
      <c r="Y34" s="128" t="n"/>
      <c r="Z34" s="128" t="n"/>
      <c r="AA34" s="128" t="n"/>
      <c r="AB34" s="128" t="n"/>
      <c r="AC34" s="128" t="n"/>
      <c r="AD34" s="129" t="n"/>
      <c r="AE34" s="128" t="n"/>
      <c r="AF34" s="128" t="n"/>
      <c r="AG34" s="128" t="n"/>
      <c r="AH34" s="128" t="n"/>
      <c r="AI34" s="128" t="n"/>
      <c r="AJ34" s="130">
        <f>IF(ISBLANK(B34), "", IF(ISNUMBER(D34), IF(D34&gt;0, (COUNTIF(E34:AI34, "✓") + COUNTIF(E34:AI34, "✔") + COUNTIF(E34:AI34, "v") + COUNTIF(E34:AI34, "V"))/D34, 0), IF(((COUNTIF(E34:AI34, "✓") + COUNTIF(E34:AI34, "✔") + COUNTIF(E34:AI34, "v") + COUNTIF(E34:AI34, "V")) + COUNTIF(E34:AI34, "✗") + COUNTIF(E34:AI34, "x") + COUNTIF(E34:AI34, "X"))&gt;0, (COUNTIF(E34:AI34, "✓") + COUNTIF(E34:AI34, "✔") + COUNTIF(E34:AI34, "v") + COUNTIF(E34:AI34, "V"))/((COUNTIF(E34:AI34, "✓") + COUNTIF(E34:AI34, "✔") + COUNTIF(E34:AI34, "v") + COUNTIF(E34:AI34, "V")) + COUNTIF(E34:AI34, "✗") + COUNTIF(E34:AI34, "x") + COUNTIF(E34:AI34, "X")), "")))</f>
        <v/>
      </c>
      <c r="AK34" s="131">
        <f>IF(ISBLANK(B34), "", IF(ISNUMBER(D34), IF(D34&gt;0, (COUNTIF(E34:AI34, "✓") + COUNTIF(E34:AI34, "✔") + COUNTIF(E34:AI34, "v") + COUNTIF(E34:AI34, "V")) &amp; "/" &amp; D34, (COUNTIF(E34:AI34, "✓") + COUNTIF(E34:AI34, "✔") + COUNTIF(E34:AI34, "v") + COUNTIF(E34:AI34, "V")) &amp; "/0"), IF(((COUNTIF(E34:AI34, "✓") + COUNTIF(E34:AI34, "✔") + COUNTIF(E34:AI34, "v") + COUNTIF(E34:AI34, "V")) + COUNTIF(E34:AI34, "✗") + COUNTIF(E34:AI34, "x") + COUNTIF(E34:AI34, "X"))&gt;0, (COUNTIF(E34:AI34, "✓") + COUNTIF(E34:AI34, "✔") + COUNTIF(E34:AI34, "v") + COUNTIF(E34:AI34, "V")) &amp; "/" &amp; ((COUNTIF(E34:AI34, "✓") + COUNTIF(E34:AI34, "✔") + COUNTIF(E34:AI34, "v") + COUNTIF(E34:AI34, "V")) + COUNTIF(E34:AI34, "✗") + COUNTIF(E34:AI34, "x") + COUNTIF(E34:AI34, "X")), "")))</f>
        <v/>
      </c>
      <c r="AL34" s="131">
        <f>IF(ISBLANK(B34), "", IF(AJ34&gt;=0.85, "🔥 Mastered", IF(AJ34&gt;=0.7, "⚡ Consistent", "⚠️ Needs Focus")))</f>
        <v/>
      </c>
      <c r="AM34">
        <f>COUNTIF(E34:AI34, "✓")</f>
        <v/>
      </c>
    </row>
    <row r="35" ht="14.5" customHeight="1">
      <c r="A35" s="125" t="n">
        <v>18</v>
      </c>
      <c r="B35" s="126" t="n"/>
      <c r="C35" s="127" t="n"/>
      <c r="D35" s="127" t="n"/>
      <c r="E35" s="128" t="n"/>
      <c r="F35" s="128" t="n"/>
      <c r="G35" s="128" t="n"/>
      <c r="H35" s="128" t="n"/>
      <c r="I35" s="129" t="n"/>
      <c r="J35" s="128" t="n"/>
      <c r="K35" s="128" t="n"/>
      <c r="L35" s="128" t="n"/>
      <c r="M35" s="128" t="n"/>
      <c r="N35" s="128" t="n"/>
      <c r="O35" s="128" t="n"/>
      <c r="P35" s="129" t="n"/>
      <c r="Q35" s="128" t="n"/>
      <c r="R35" s="128" t="n"/>
      <c r="S35" s="128" t="n"/>
      <c r="T35" s="128" t="n"/>
      <c r="U35" s="128" t="n"/>
      <c r="V35" s="128" t="n"/>
      <c r="W35" s="129" t="n"/>
      <c r="X35" s="128" t="n"/>
      <c r="Y35" s="128" t="n"/>
      <c r="Z35" s="128" t="n"/>
      <c r="AA35" s="128" t="n"/>
      <c r="AB35" s="128" t="n"/>
      <c r="AC35" s="128" t="n"/>
      <c r="AD35" s="129" t="n"/>
      <c r="AE35" s="128" t="n"/>
      <c r="AF35" s="128" t="n"/>
      <c r="AG35" s="128" t="n"/>
      <c r="AH35" s="128" t="n"/>
      <c r="AI35" s="128" t="n"/>
      <c r="AJ35" s="130">
        <f>IF(ISBLANK(B35), "", IF(ISNUMBER(D35), IF(D35&gt;0, (COUNTIF(E35:AI35, "✓") + COUNTIF(E35:AI35, "✔") + COUNTIF(E35:AI35, "v") + COUNTIF(E35:AI35, "V"))/D35, 0), IF(((COUNTIF(E35:AI35, "✓") + COUNTIF(E35:AI35, "✔") + COUNTIF(E35:AI35, "v") + COUNTIF(E35:AI35, "V")) + COUNTIF(E35:AI35, "✗") + COUNTIF(E35:AI35, "x") + COUNTIF(E35:AI35, "X"))&gt;0, (COUNTIF(E35:AI35, "✓") + COUNTIF(E35:AI35, "✔") + COUNTIF(E35:AI35, "v") + COUNTIF(E35:AI35, "V"))/((COUNTIF(E35:AI35, "✓") + COUNTIF(E35:AI35, "✔") + COUNTIF(E35:AI35, "v") + COUNTIF(E35:AI35, "V")) + COUNTIF(E35:AI35, "✗") + COUNTIF(E35:AI35, "x") + COUNTIF(E35:AI35, "X")), "")))</f>
        <v/>
      </c>
      <c r="AK35" s="131">
        <f>IF(ISBLANK(B35), "", IF(ISNUMBER(D35), IF(D35&gt;0, (COUNTIF(E35:AI35, "✓") + COUNTIF(E35:AI35, "✔") + COUNTIF(E35:AI35, "v") + COUNTIF(E35:AI35, "V")) &amp; "/" &amp; D35, (COUNTIF(E35:AI35, "✓") + COUNTIF(E35:AI35, "✔") + COUNTIF(E35:AI35, "v") + COUNTIF(E35:AI35, "V")) &amp; "/0"), IF(((COUNTIF(E35:AI35, "✓") + COUNTIF(E35:AI35, "✔") + COUNTIF(E35:AI35, "v") + COUNTIF(E35:AI35, "V")) + COUNTIF(E35:AI35, "✗") + COUNTIF(E35:AI35, "x") + COUNTIF(E35:AI35, "X"))&gt;0, (COUNTIF(E35:AI35, "✓") + COUNTIF(E35:AI35, "✔") + COUNTIF(E35:AI35, "v") + COUNTIF(E35:AI35, "V")) &amp; "/" &amp; ((COUNTIF(E35:AI35, "✓") + COUNTIF(E35:AI35, "✔") + COUNTIF(E35:AI35, "v") + COUNTIF(E35:AI35, "V")) + COUNTIF(E35:AI35, "✗") + COUNTIF(E35:AI35, "x") + COUNTIF(E35:AI35, "X")), "")))</f>
        <v/>
      </c>
      <c r="AL35" s="131">
        <f>IF(ISBLANK(B35), "", IF(AJ35&gt;=0.85, "🔥 Mastered", IF(AJ35&gt;=0.7, "⚡ Consistent", "⚠️ Needs Focus")))</f>
        <v/>
      </c>
      <c r="AM35">
        <f>COUNTIF(E35:AI35, "✓")</f>
        <v/>
      </c>
    </row>
    <row r="36" ht="14.5" customHeight="1">
      <c r="A36" s="125" t="n">
        <v>19</v>
      </c>
      <c r="B36" s="126" t="n"/>
      <c r="C36" s="127" t="n"/>
      <c r="D36" s="127" t="n"/>
      <c r="E36" s="128" t="n"/>
      <c r="F36" s="128" t="n"/>
      <c r="G36" s="128" t="n"/>
      <c r="H36" s="128" t="n"/>
      <c r="I36" s="129" t="n"/>
      <c r="J36" s="128" t="n"/>
      <c r="K36" s="128" t="n"/>
      <c r="L36" s="128" t="n"/>
      <c r="M36" s="128" t="n"/>
      <c r="N36" s="128" t="n"/>
      <c r="O36" s="128" t="n"/>
      <c r="P36" s="129" t="n"/>
      <c r="Q36" s="128" t="n"/>
      <c r="R36" s="128" t="n"/>
      <c r="S36" s="128" t="n"/>
      <c r="T36" s="128" t="n"/>
      <c r="U36" s="128" t="n"/>
      <c r="V36" s="128" t="n"/>
      <c r="W36" s="129" t="n"/>
      <c r="X36" s="128" t="n"/>
      <c r="Y36" s="128" t="n"/>
      <c r="Z36" s="128" t="n"/>
      <c r="AA36" s="128" t="n"/>
      <c r="AB36" s="128" t="n"/>
      <c r="AC36" s="128" t="n"/>
      <c r="AD36" s="129" t="n"/>
      <c r="AE36" s="128" t="n"/>
      <c r="AF36" s="128" t="n"/>
      <c r="AG36" s="128" t="n"/>
      <c r="AH36" s="128" t="n"/>
      <c r="AI36" s="128" t="n"/>
      <c r="AJ36" s="130">
        <f>IF(ISBLANK(B36), "", IF(ISNUMBER(D36), IF(D36&gt;0, (COUNTIF(E36:AI36, "✓") + COUNTIF(E36:AI36, "✔") + COUNTIF(E36:AI36, "v") + COUNTIF(E36:AI36, "V"))/D36, 0), IF(((COUNTIF(E36:AI36, "✓") + COUNTIF(E36:AI36, "✔") + COUNTIF(E36:AI36, "v") + COUNTIF(E36:AI36, "V")) + COUNTIF(E36:AI36, "✗") + COUNTIF(E36:AI36, "x") + COUNTIF(E36:AI36, "X"))&gt;0, (COUNTIF(E36:AI36, "✓") + COUNTIF(E36:AI36, "✔") + COUNTIF(E36:AI36, "v") + COUNTIF(E36:AI36, "V"))/((COUNTIF(E36:AI36, "✓") + COUNTIF(E36:AI36, "✔") + COUNTIF(E36:AI36, "v") + COUNTIF(E36:AI36, "V")) + COUNTIF(E36:AI36, "✗") + COUNTIF(E36:AI36, "x") + COUNTIF(E36:AI36, "X")), "")))</f>
        <v/>
      </c>
      <c r="AK36" s="131">
        <f>IF(ISBLANK(B36), "", IF(ISNUMBER(D36), IF(D36&gt;0, (COUNTIF(E36:AI36, "✓") + COUNTIF(E36:AI36, "✔") + COUNTIF(E36:AI36, "v") + COUNTIF(E36:AI36, "V")) &amp; "/" &amp; D36, (COUNTIF(E36:AI36, "✓") + COUNTIF(E36:AI36, "✔") + COUNTIF(E36:AI36, "v") + COUNTIF(E36:AI36, "V")) &amp; "/0"), IF(((COUNTIF(E36:AI36, "✓") + COUNTIF(E36:AI36, "✔") + COUNTIF(E36:AI36, "v") + COUNTIF(E36:AI36, "V")) + COUNTIF(E36:AI36, "✗") + COUNTIF(E36:AI36, "x") + COUNTIF(E36:AI36, "X"))&gt;0, (COUNTIF(E36:AI36, "✓") + COUNTIF(E36:AI36, "✔") + COUNTIF(E36:AI36, "v") + COUNTIF(E36:AI36, "V")) &amp; "/" &amp; ((COUNTIF(E36:AI36, "✓") + COUNTIF(E36:AI36, "✔") + COUNTIF(E36:AI36, "v") + COUNTIF(E36:AI36, "V")) + COUNTIF(E36:AI36, "✗") + COUNTIF(E36:AI36, "x") + COUNTIF(E36:AI36, "X")), "")))</f>
        <v/>
      </c>
      <c r="AL36" s="131">
        <f>IF(ISBLANK(B36), "", IF(AJ36&gt;=0.85, "🔥 Mastered", IF(AJ36&gt;=0.7, "⚡ Consistent", "⚠️ Needs Focus")))</f>
        <v/>
      </c>
      <c r="AM36">
        <f>COUNTIF(E36:AI36, "✓")</f>
        <v/>
      </c>
    </row>
    <row r="37" ht="14.5" customHeight="1">
      <c r="A37" s="125" t="n">
        <v>20</v>
      </c>
      <c r="B37" s="126" t="n"/>
      <c r="C37" s="127" t="n"/>
      <c r="D37" s="127" t="n"/>
      <c r="E37" s="128" t="n"/>
      <c r="F37" s="128" t="n"/>
      <c r="G37" s="128" t="n"/>
      <c r="H37" s="128" t="n"/>
      <c r="I37" s="129" t="n"/>
      <c r="J37" s="128" t="n"/>
      <c r="K37" s="128" t="n"/>
      <c r="L37" s="128" t="n"/>
      <c r="M37" s="128" t="n"/>
      <c r="N37" s="128" t="n"/>
      <c r="O37" s="128" t="n"/>
      <c r="P37" s="129" t="n"/>
      <c r="Q37" s="128" t="n"/>
      <c r="R37" s="128" t="n"/>
      <c r="S37" s="128" t="n"/>
      <c r="T37" s="128" t="n"/>
      <c r="U37" s="128" t="n"/>
      <c r="V37" s="128" t="n"/>
      <c r="W37" s="129" t="n"/>
      <c r="X37" s="128" t="n"/>
      <c r="Y37" s="128" t="n"/>
      <c r="Z37" s="128" t="n"/>
      <c r="AA37" s="128" t="n"/>
      <c r="AB37" s="128" t="n"/>
      <c r="AC37" s="128" t="n"/>
      <c r="AD37" s="129" t="n"/>
      <c r="AE37" s="128" t="n"/>
      <c r="AF37" s="128" t="n"/>
      <c r="AG37" s="128" t="n"/>
      <c r="AH37" s="128" t="n"/>
      <c r="AI37" s="128" t="n"/>
      <c r="AJ37" s="130">
        <f>IF(ISBLANK(B37), "", IF(ISNUMBER(D37), IF(D37&gt;0, (COUNTIF(E37:AI37, "✓") + COUNTIF(E37:AI37, "✔") + COUNTIF(E37:AI37, "v") + COUNTIF(E37:AI37, "V"))/D37, 0), IF(((COUNTIF(E37:AI37, "✓") + COUNTIF(E37:AI37, "✔") + COUNTIF(E37:AI37, "v") + COUNTIF(E37:AI37, "V")) + COUNTIF(E37:AI37, "✗") + COUNTIF(E37:AI37, "x") + COUNTIF(E37:AI37, "X"))&gt;0, (COUNTIF(E37:AI37, "✓") + COUNTIF(E37:AI37, "✔") + COUNTIF(E37:AI37, "v") + COUNTIF(E37:AI37, "V"))/((COUNTIF(E37:AI37, "✓") + COUNTIF(E37:AI37, "✔") + COUNTIF(E37:AI37, "v") + COUNTIF(E37:AI37, "V")) + COUNTIF(E37:AI37, "✗") + COUNTIF(E37:AI37, "x") + COUNTIF(E37:AI37, "X")), "")))</f>
        <v/>
      </c>
      <c r="AK37" s="131">
        <f>IF(ISBLANK(B37), "", IF(ISNUMBER(D37), IF(D37&gt;0, (COUNTIF(E37:AI37, "✓") + COUNTIF(E37:AI37, "✔") + COUNTIF(E37:AI37, "v") + COUNTIF(E37:AI37, "V")) &amp; "/" &amp; D37, (COUNTIF(E37:AI37, "✓") + COUNTIF(E37:AI37, "✔") + COUNTIF(E37:AI37, "v") + COUNTIF(E37:AI37, "V")) &amp; "/0"), IF(((COUNTIF(E37:AI37, "✓") + COUNTIF(E37:AI37, "✔") + COUNTIF(E37:AI37, "v") + COUNTIF(E37:AI37, "V")) + COUNTIF(E37:AI37, "✗") + COUNTIF(E37:AI37, "x") + COUNTIF(E37:AI37, "X"))&gt;0, (COUNTIF(E37:AI37, "✓") + COUNTIF(E37:AI37, "✔") + COUNTIF(E37:AI37, "v") + COUNTIF(E37:AI37, "V")) &amp; "/" &amp; ((COUNTIF(E37:AI37, "✓") + COUNTIF(E37:AI37, "✔") + COUNTIF(E37:AI37, "v") + COUNTIF(E37:AI37, "V")) + COUNTIF(E37:AI37, "✗") + COUNTIF(E37:AI37, "x") + COUNTIF(E37:AI37, "X")), "")))</f>
        <v/>
      </c>
      <c r="AL37" s="131">
        <f>IF(ISBLANK(B37), "", IF(AJ37&gt;=0.85, "🔥 Mastered", IF(AJ37&gt;=0.7, "⚡ Consistent", "⚠️ Needs Focus")))</f>
        <v/>
      </c>
      <c r="AM37">
        <f>COUNTIF(E37:AI37, "✓")</f>
        <v/>
      </c>
    </row>
    <row r="38" ht="18" customHeight="1">
      <c r="A38" s="132" t="inlineStr">
        <is>
          <t>DAILY TOTAL SCORE</t>
        </is>
      </c>
      <c r="B38" s="54" t="n"/>
      <c r="C38" s="54" t="n"/>
      <c r="D38" s="54" t="n"/>
      <c r="E38" s="33">
        <f>IF(((COUNTIF(E18:E37, "✓") + COUNTIF(E18:E37, "✔") + COUNTIF(E18:E37, "v") + COUNTIF(E18:E37, "V")) + COUNTIF(E18:E37, "✗") + COUNTIF(E18:E37, "x") + COUNTIF(E18:E37, "X")) &gt; 0, (COUNTIF(E18:E37, "✓") + COUNTIF(E18:E37, "✔") + COUNTIF(E18:E37, "v") + COUNTIF(E18:E37, "V")) &amp; "/" &amp; ((COUNTIF(E18:E37, "✓") + COUNTIF(E18:E37, "✔") + COUNTIF(E18:E37, "v") + COUNTIF(E18:E37, "V")) + COUNTIF(E18:E37, "✗") + COUNTIF(E18:E37, "x") + COUNTIF(E18:E37, "X")), "")</f>
        <v/>
      </c>
      <c r="F38" s="33">
        <f>IF(((COUNTIF(F18:F37, "✓") + COUNTIF(F18:F37, "✔") + COUNTIF(F18:F37, "v") + COUNTIF(F18:F37, "V")) + COUNTIF(F18:F37, "✗") + COUNTIF(F18:F37, "x") + COUNTIF(F18:F37, "X")) &gt; 0, (COUNTIF(F18:F37, "✓") + COUNTIF(F18:F37, "✔") + COUNTIF(F18:F37, "v") + COUNTIF(F18:F37, "V")) &amp; "/" &amp; ((COUNTIF(F18:F37, "✓") + COUNTIF(F18:F37, "✔") + COUNTIF(F18:F37, "v") + COUNTIF(F18:F37, "V")) + COUNTIF(F18:F37, "✗") + COUNTIF(F18:F37, "x") + COUNTIF(F18:F37, "X")), "")</f>
        <v/>
      </c>
      <c r="G38" s="33">
        <f>IF(((COUNTIF(G18:G37, "✓") + COUNTIF(G18:G37, "✔") + COUNTIF(G18:G37, "v") + COUNTIF(G18:G37, "V")) + COUNTIF(G18:G37, "✗") + COUNTIF(G18:G37, "x") + COUNTIF(G18:G37, "X")) &gt; 0, (COUNTIF(G18:G37, "✓") + COUNTIF(G18:G37, "✔") + COUNTIF(G18:G37, "v") + COUNTIF(G18:G37, "V")) &amp; "/" &amp; ((COUNTIF(G18:G37, "✓") + COUNTIF(G18:G37, "✔") + COUNTIF(G18:G37, "v") + COUNTIF(G18:G37, "V")) + COUNTIF(G18:G37, "✗") + COUNTIF(G18:G37, "x") + COUNTIF(G18:G37, "X")), "")</f>
        <v/>
      </c>
      <c r="H38" s="33">
        <f>IF(((COUNTIF(H18:H37, "✓") + COUNTIF(H18:H37, "✔") + COUNTIF(H18:H37, "v") + COUNTIF(H18:H37, "V")) + COUNTIF(H18:H37, "✗") + COUNTIF(H18:H37, "x") + COUNTIF(H18:H37, "X")) &gt; 0, (COUNTIF(H18:H37, "✓") + COUNTIF(H18:H37, "✔") + COUNTIF(H18:H37, "v") + COUNTIF(H18:H37, "V")) &amp; "/" &amp; ((COUNTIF(H18:H37, "✓") + COUNTIF(H18:H37, "✔") + COUNTIF(H18:H37, "v") + COUNTIF(H18:H37, "V")) + COUNTIF(H18:H37, "✗") + COUNTIF(H18:H37, "x") + COUNTIF(H18:H37, "X")), "")</f>
        <v/>
      </c>
      <c r="I38" s="33">
        <f>IF(((COUNTIF(I18:I37, "✓") + COUNTIF(I18:I37, "✔") + COUNTIF(I18:I37, "v") + COUNTIF(I18:I37, "V")) + COUNTIF(I18:I37, "✗") + COUNTIF(I18:I37, "x") + COUNTIF(I18:I37, "X")) &gt; 0, (COUNTIF(I18:I37, "✓") + COUNTIF(I18:I37, "✔") + COUNTIF(I18:I37, "v") + COUNTIF(I18:I37, "V")) &amp; "/" &amp; ((COUNTIF(I18:I37, "✓") + COUNTIF(I18:I37, "✔") + COUNTIF(I18:I37, "v") + COUNTIF(I18:I37, "V")) + COUNTIF(I18:I37, "✗") + COUNTIF(I18:I37, "x") + COUNTIF(I18:I37, "X")), "")</f>
        <v/>
      </c>
      <c r="J38" s="33">
        <f>IF(((COUNTIF(J18:J37, "✓") + COUNTIF(J18:J37, "✔") + COUNTIF(J18:J37, "v") + COUNTIF(J18:J37, "V")) + COUNTIF(J18:J37, "✗") + COUNTIF(J18:J37, "x") + COUNTIF(J18:J37, "X")) &gt; 0, (COUNTIF(J18:J37, "✓") + COUNTIF(J18:J37, "✔") + COUNTIF(J18:J37, "v") + COUNTIF(J18:J37, "V")) &amp; "/" &amp; ((COUNTIF(J18:J37, "✓") + COUNTIF(J18:J37, "✔") + COUNTIF(J18:J37, "v") + COUNTIF(J18:J37, "V")) + COUNTIF(J18:J37, "✗") + COUNTIF(J18:J37, "x") + COUNTIF(J18:J37, "X")), "")</f>
        <v/>
      </c>
      <c r="K38" s="33">
        <f>IF(((COUNTIF(K18:K37, "✓") + COUNTIF(K18:K37, "✔") + COUNTIF(K18:K37, "v") + COUNTIF(K18:K37, "V")) + COUNTIF(K18:K37, "✗") + COUNTIF(K18:K37, "x") + COUNTIF(K18:K37, "X")) &gt; 0, (COUNTIF(K18:K37, "✓") + COUNTIF(K18:K37, "✔") + COUNTIF(K18:K37, "v") + COUNTIF(K18:K37, "V")) &amp; "/" &amp; ((COUNTIF(K18:K37, "✓") + COUNTIF(K18:K37, "✔") + COUNTIF(K18:K37, "v") + COUNTIF(K18:K37, "V")) + COUNTIF(K18:K37, "✗") + COUNTIF(K18:K37, "x") + COUNTIF(K18:K37, "X")), "")</f>
        <v/>
      </c>
      <c r="L38" s="33">
        <f>IF(((COUNTIF(L18:L37, "✓") + COUNTIF(L18:L37, "✔") + COUNTIF(L18:L37, "v") + COUNTIF(L18:L37, "V")) + COUNTIF(L18:L37, "✗") + COUNTIF(L18:L37, "x") + COUNTIF(L18:L37, "X")) &gt; 0, (COUNTIF(L18:L37, "✓") + COUNTIF(L18:L37, "✔") + COUNTIF(L18:L37, "v") + COUNTIF(L18:L37, "V")) &amp; "/" &amp; ((COUNTIF(L18:L37, "✓") + COUNTIF(L18:L37, "✔") + COUNTIF(L18:L37, "v") + COUNTIF(L18:L37, "V")) + COUNTIF(L18:L37, "✗") + COUNTIF(L18:L37, "x") + COUNTIF(L18:L37, "X")), "")</f>
        <v/>
      </c>
      <c r="M38" s="33">
        <f>IF(((COUNTIF(M18:M37, "✓") + COUNTIF(M18:M37, "✔") + COUNTIF(M18:M37, "v") + COUNTIF(M18:M37, "V")) + COUNTIF(M18:M37, "✗") + COUNTIF(M18:M37, "x") + COUNTIF(M18:M37, "X")) &gt; 0, (COUNTIF(M18:M37, "✓") + COUNTIF(M18:M37, "✔") + COUNTIF(M18:M37, "v") + COUNTIF(M18:M37, "V")) &amp; "/" &amp; ((COUNTIF(M18:M37, "✓") + COUNTIF(M18:M37, "✔") + COUNTIF(M18:M37, "v") + COUNTIF(M18:M37, "V")) + COUNTIF(M18:M37, "✗") + COUNTIF(M18:M37, "x") + COUNTIF(M18:M37, "X")), "")</f>
        <v/>
      </c>
      <c r="N38" s="33">
        <f>IF(((COUNTIF(N18:N37, "✓") + COUNTIF(N18:N37, "✔") + COUNTIF(N18:N37, "v") + COUNTIF(N18:N37, "V")) + COUNTIF(N18:N37, "✗") + COUNTIF(N18:N37, "x") + COUNTIF(N18:N37, "X")) &gt; 0, (COUNTIF(N18:N37, "✓") + COUNTIF(N18:N37, "✔") + COUNTIF(N18:N37, "v") + COUNTIF(N18:N37, "V")) &amp; "/" &amp; ((COUNTIF(N18:N37, "✓") + COUNTIF(N18:N37, "✔") + COUNTIF(N18:N37, "v") + COUNTIF(N18:N37, "V")) + COUNTIF(N18:N37, "✗") + COUNTIF(N18:N37, "x") + COUNTIF(N18:N37, "X")), "")</f>
        <v/>
      </c>
      <c r="O38" s="33">
        <f>IF(((COUNTIF(O18:O37, "✓") + COUNTIF(O18:O37, "✔") + COUNTIF(O18:O37, "v") + COUNTIF(O18:O37, "V")) + COUNTIF(O18:O37, "✗") + COUNTIF(O18:O37, "x") + COUNTIF(O18:O37, "X")) &gt; 0, (COUNTIF(O18:O37, "✓") + COUNTIF(O18:O37, "✔") + COUNTIF(O18:O37, "v") + COUNTIF(O18:O37, "V")) &amp; "/" &amp; ((COUNTIF(O18:O37, "✓") + COUNTIF(O18:O37, "✔") + COUNTIF(O18:O37, "v") + COUNTIF(O18:O37, "V")) + COUNTIF(O18:O37, "✗") + COUNTIF(O18:O37, "x") + COUNTIF(O18:O37, "X")), "")</f>
        <v/>
      </c>
      <c r="P38" s="33">
        <f>IF(((COUNTIF(P18:P37, "✓") + COUNTIF(P18:P37, "✔") + COUNTIF(P18:P37, "v") + COUNTIF(P18:P37, "V")) + COUNTIF(P18:P37, "✗") + COUNTIF(P18:P37, "x") + COUNTIF(P18:P37, "X")) &gt; 0, (COUNTIF(P18:P37, "✓") + COUNTIF(P18:P37, "✔") + COUNTIF(P18:P37, "v") + COUNTIF(P18:P37, "V")) &amp; "/" &amp; ((COUNTIF(P18:P37, "✓") + COUNTIF(P18:P37, "✔") + COUNTIF(P18:P37, "v") + COUNTIF(P18:P37, "V")) + COUNTIF(P18:P37, "✗") + COUNTIF(P18:P37, "x") + COUNTIF(P18:P37, "X")), "")</f>
        <v/>
      </c>
      <c r="Q38" s="33">
        <f>IF(((COUNTIF(Q18:Q37, "✓") + COUNTIF(Q18:Q37, "✔") + COUNTIF(Q18:Q37, "v") + COUNTIF(Q18:Q37, "V")) + COUNTIF(Q18:Q37, "✗") + COUNTIF(Q18:Q37, "x") + COUNTIF(Q18:Q37, "X")) &gt; 0, (COUNTIF(Q18:Q37, "✓") + COUNTIF(Q18:Q37, "✔") + COUNTIF(Q18:Q37, "v") + COUNTIF(Q18:Q37, "V")) &amp; "/" &amp; ((COUNTIF(Q18:Q37, "✓") + COUNTIF(Q18:Q37, "✔") + COUNTIF(Q18:Q37, "v") + COUNTIF(Q18:Q37, "V")) + COUNTIF(Q18:Q37, "✗") + COUNTIF(Q18:Q37, "x") + COUNTIF(Q18:Q37, "X")), "")</f>
        <v/>
      </c>
      <c r="R38" s="33">
        <f>IF(((COUNTIF(R18:R37, "✓") + COUNTIF(R18:R37, "✔") + COUNTIF(R18:R37, "v") + COUNTIF(R18:R37, "V")) + COUNTIF(R18:R37, "✗") + COUNTIF(R18:R37, "x") + COUNTIF(R18:R37, "X")) &gt; 0, (COUNTIF(R18:R37, "✓") + COUNTIF(R18:R37, "✔") + COUNTIF(R18:R37, "v") + COUNTIF(R18:R37, "V")) &amp; "/" &amp; ((COUNTIF(R18:R37, "✓") + COUNTIF(R18:R37, "✔") + COUNTIF(R18:R37, "v") + COUNTIF(R18:R37, "V")) + COUNTIF(R18:R37, "✗") + COUNTIF(R18:R37, "x") + COUNTIF(R18:R37, "X")), "")</f>
        <v/>
      </c>
      <c r="S38" s="33">
        <f>IF(((COUNTIF(S18:S37, "✓") + COUNTIF(S18:S37, "✔") + COUNTIF(S18:S37, "v") + COUNTIF(S18:S37, "V")) + COUNTIF(S18:S37, "✗") + COUNTIF(S18:S37, "x") + COUNTIF(S18:S37, "X")) &gt; 0, (COUNTIF(S18:S37, "✓") + COUNTIF(S18:S37, "✔") + COUNTIF(S18:S37, "v") + COUNTIF(S18:S37, "V")) &amp; "/" &amp; ((COUNTIF(S18:S37, "✓") + COUNTIF(S18:S37, "✔") + COUNTIF(S18:S37, "v") + COUNTIF(S18:S37, "V")) + COUNTIF(S18:S37, "✗") + COUNTIF(S18:S37, "x") + COUNTIF(S18:S37, "X")), "")</f>
        <v/>
      </c>
      <c r="T38" s="33">
        <f>IF(((COUNTIF(T18:T37, "✓") + COUNTIF(T18:T37, "✔") + COUNTIF(T18:T37, "v") + COUNTIF(T18:T37, "V")) + COUNTIF(T18:T37, "✗") + COUNTIF(T18:T37, "x") + COUNTIF(T18:T37, "X")) &gt; 0, (COUNTIF(T18:T37, "✓") + COUNTIF(T18:T37, "✔") + COUNTIF(T18:T37, "v") + COUNTIF(T18:T37, "V")) &amp; "/" &amp; ((COUNTIF(T18:T37, "✓") + COUNTIF(T18:T37, "✔") + COUNTIF(T18:T37, "v") + COUNTIF(T18:T37, "V")) + COUNTIF(T18:T37, "✗") + COUNTIF(T18:T37, "x") + COUNTIF(T18:T37, "X")), "")</f>
        <v/>
      </c>
      <c r="U38" s="33">
        <f>IF(((COUNTIF(U18:U37, "✓") + COUNTIF(U18:U37, "✔") + COUNTIF(U18:U37, "v") + COUNTIF(U18:U37, "V")) + COUNTIF(U18:U37, "✗") + COUNTIF(U18:U37, "x") + COUNTIF(U18:U37, "X")) &gt; 0, (COUNTIF(U18:U37, "✓") + COUNTIF(U18:U37, "✔") + COUNTIF(U18:U37, "v") + COUNTIF(U18:U37, "V")) &amp; "/" &amp; ((COUNTIF(U18:U37, "✓") + COUNTIF(U18:U37, "✔") + COUNTIF(U18:U37, "v") + COUNTIF(U18:U37, "V")) + COUNTIF(U18:U37, "✗") + COUNTIF(U18:U37, "x") + COUNTIF(U18:U37, "X")), "")</f>
        <v/>
      </c>
      <c r="V38" s="33">
        <f>IF(((COUNTIF(V18:V37, "✓") + COUNTIF(V18:V37, "✔") + COUNTIF(V18:V37, "v") + COUNTIF(V18:V37, "V")) + COUNTIF(V18:V37, "✗") + COUNTIF(V18:V37, "x") + COUNTIF(V18:V37, "X")) &gt; 0, (COUNTIF(V18:V37, "✓") + COUNTIF(V18:V37, "✔") + COUNTIF(V18:V37, "v") + COUNTIF(V18:V37, "V")) &amp; "/" &amp; ((COUNTIF(V18:V37, "✓") + COUNTIF(V18:V37, "✔") + COUNTIF(V18:V37, "v") + COUNTIF(V18:V37, "V")) + COUNTIF(V18:V37, "✗") + COUNTIF(V18:V37, "x") + COUNTIF(V18:V37, "X")), "")</f>
        <v/>
      </c>
      <c r="W38" s="33">
        <f>IF(((COUNTIF(W18:W37, "✓") + COUNTIF(W18:W37, "✔") + COUNTIF(W18:W37, "v") + COUNTIF(W18:W37, "V")) + COUNTIF(W18:W37, "✗") + COUNTIF(W18:W37, "x") + COUNTIF(W18:W37, "X")) &gt; 0, (COUNTIF(W18:W37, "✓") + COUNTIF(W18:W37, "✔") + COUNTIF(W18:W37, "v") + COUNTIF(W18:W37, "V")) &amp; "/" &amp; ((COUNTIF(W18:W37, "✓") + COUNTIF(W18:W37, "✔") + COUNTIF(W18:W37, "v") + COUNTIF(W18:W37, "V")) + COUNTIF(W18:W37, "✗") + COUNTIF(W18:W37, "x") + COUNTIF(W18:W37, "X")), "")</f>
        <v/>
      </c>
      <c r="X38" s="33">
        <f>IF(((COUNTIF(X18:X37, "✓") + COUNTIF(X18:X37, "✔") + COUNTIF(X18:X37, "v") + COUNTIF(X18:X37, "V")) + COUNTIF(X18:X37, "✗") + COUNTIF(X18:X37, "x") + COUNTIF(X18:X37, "X")) &gt; 0, (COUNTIF(X18:X37, "✓") + COUNTIF(X18:X37, "✔") + COUNTIF(X18:X37, "v") + COUNTIF(X18:X37, "V")) &amp; "/" &amp; ((COUNTIF(X18:X37, "✓") + COUNTIF(X18:X37, "✔") + COUNTIF(X18:X37, "v") + COUNTIF(X18:X37, "V")) + COUNTIF(X18:X37, "✗") + COUNTIF(X18:X37, "x") + COUNTIF(X18:X37, "X")), "")</f>
        <v/>
      </c>
      <c r="Y38" s="33">
        <f>IF(((COUNTIF(Y18:Y37, "✓") + COUNTIF(Y18:Y37, "✔") + COUNTIF(Y18:Y37, "v") + COUNTIF(Y18:Y37, "V")) + COUNTIF(Y18:Y37, "✗") + COUNTIF(Y18:Y37, "x") + COUNTIF(Y18:Y37, "X")) &gt; 0, (COUNTIF(Y18:Y37, "✓") + COUNTIF(Y18:Y37, "✔") + COUNTIF(Y18:Y37, "v") + COUNTIF(Y18:Y37, "V")) &amp; "/" &amp; ((COUNTIF(Y18:Y37, "✓") + COUNTIF(Y18:Y37, "✔") + COUNTIF(Y18:Y37, "v") + COUNTIF(Y18:Y37, "V")) + COUNTIF(Y18:Y37, "✗") + COUNTIF(Y18:Y37, "x") + COUNTIF(Y18:Y37, "X")), "")</f>
        <v/>
      </c>
      <c r="Z38" s="33">
        <f>IF(((COUNTIF(Z18:Z37, "✓") + COUNTIF(Z18:Z37, "✔") + COUNTIF(Z18:Z37, "v") + COUNTIF(Z18:Z37, "V")) + COUNTIF(Z18:Z37, "✗") + COUNTIF(Z18:Z37, "x") + COUNTIF(Z18:Z37, "X")) &gt; 0, (COUNTIF(Z18:Z37, "✓") + COUNTIF(Z18:Z37, "✔") + COUNTIF(Z18:Z37, "v") + COUNTIF(Z18:Z37, "V")) &amp; "/" &amp; ((COUNTIF(Z18:Z37, "✓") + COUNTIF(Z18:Z37, "✔") + COUNTIF(Z18:Z37, "v") + COUNTIF(Z18:Z37, "V")) + COUNTIF(Z18:Z37, "✗") + COUNTIF(Z18:Z37, "x") + COUNTIF(Z18:Z37, "X")), "")</f>
        <v/>
      </c>
      <c r="AA38" s="33">
        <f>IF(((COUNTIF(AA18:AA37, "✓") + COUNTIF(AA18:AA37, "✔") + COUNTIF(AA18:AA37, "v") + COUNTIF(AA18:AA37, "V")) + COUNTIF(AA18:AA37, "✗") + COUNTIF(AA18:AA37, "x") + COUNTIF(AA18:AA37, "X")) &gt; 0, (COUNTIF(AA18:AA37, "✓") + COUNTIF(AA18:AA37, "✔") + COUNTIF(AA18:AA37, "v") + COUNTIF(AA18:AA37, "V")) &amp; "/" &amp; ((COUNTIF(AA18:AA37, "✓") + COUNTIF(AA18:AA37, "✔") + COUNTIF(AA18:AA37, "v") + COUNTIF(AA18:AA37, "V")) + COUNTIF(AA18:AA37, "✗") + COUNTIF(AA18:AA37, "x") + COUNTIF(AA18:AA37, "X")), "")</f>
        <v/>
      </c>
      <c r="AB38" s="33">
        <f>IF(((COUNTIF(AB18:AB37, "✓") + COUNTIF(AB18:AB37, "✔") + COUNTIF(AB18:AB37, "v") + COUNTIF(AB18:AB37, "V")) + COUNTIF(AB18:AB37, "✗") + COUNTIF(AB18:AB37, "x") + COUNTIF(AB18:AB37, "X")) &gt; 0, (COUNTIF(AB18:AB37, "✓") + COUNTIF(AB18:AB37, "✔") + COUNTIF(AB18:AB37, "v") + COUNTIF(AB18:AB37, "V")) &amp; "/" &amp; ((COUNTIF(AB18:AB37, "✓") + COUNTIF(AB18:AB37, "✔") + COUNTIF(AB18:AB37, "v") + COUNTIF(AB18:AB37, "V")) + COUNTIF(AB18:AB37, "✗") + COUNTIF(AB18:AB37, "x") + COUNTIF(AB18:AB37, "X")), "")</f>
        <v/>
      </c>
      <c r="AC38" s="33">
        <f>IF(((COUNTIF(AC18:AC37, "✓") + COUNTIF(AC18:AC37, "✔") + COUNTIF(AC18:AC37, "v") + COUNTIF(AC18:AC37, "V")) + COUNTIF(AC18:AC37, "✗") + COUNTIF(AC18:AC37, "x") + COUNTIF(AC18:AC37, "X")) &gt; 0, (COUNTIF(AC18:AC37, "✓") + COUNTIF(AC18:AC37, "✔") + COUNTIF(AC18:AC37, "v") + COUNTIF(AC18:AC37, "V")) &amp; "/" &amp; ((COUNTIF(AC18:AC37, "✓") + COUNTIF(AC18:AC37, "✔") + COUNTIF(AC18:AC37, "v") + COUNTIF(AC18:AC37, "V")) + COUNTIF(AC18:AC37, "✗") + COUNTIF(AC18:AC37, "x") + COUNTIF(AC18:AC37, "X")), "")</f>
        <v/>
      </c>
      <c r="AD38" s="33">
        <f>IF(((COUNTIF(AD18:AD37, "✓") + COUNTIF(AD18:AD37, "✔") + COUNTIF(AD18:AD37, "v") + COUNTIF(AD18:AD37, "V")) + COUNTIF(AD18:AD37, "✗") + COUNTIF(AD18:AD37, "x") + COUNTIF(AD18:AD37, "X")) &gt; 0, (COUNTIF(AD18:AD37, "✓") + COUNTIF(AD18:AD37, "✔") + COUNTIF(AD18:AD37, "v") + COUNTIF(AD18:AD37, "V")) &amp; "/" &amp; ((COUNTIF(AD18:AD37, "✓") + COUNTIF(AD18:AD37, "✔") + COUNTIF(AD18:AD37, "v") + COUNTIF(AD18:AD37, "V")) + COUNTIF(AD18:AD37, "✗") + COUNTIF(AD18:AD37, "x") + COUNTIF(AD18:AD37, "X")), "")</f>
        <v/>
      </c>
      <c r="AE38" s="33">
        <f>IF(((COUNTIF(AE18:AE37, "✓") + COUNTIF(AE18:AE37, "✔") + COUNTIF(AE18:AE37, "v") + COUNTIF(AE18:AE37, "V")) + COUNTIF(AE18:AE37, "✗") + COUNTIF(AE18:AE37, "x") + COUNTIF(AE18:AE37, "X")) &gt; 0, (COUNTIF(AE18:AE37, "✓") + COUNTIF(AE18:AE37, "✔") + COUNTIF(AE18:AE37, "v") + COUNTIF(AE18:AE37, "V")) &amp; "/" &amp; ((COUNTIF(AE18:AE37, "✓") + COUNTIF(AE18:AE37, "✔") + COUNTIF(AE18:AE37, "v") + COUNTIF(AE18:AE37, "V")) + COUNTIF(AE18:AE37, "✗") + COUNTIF(AE18:AE37, "x") + COUNTIF(AE18:AE37, "X")), "")</f>
        <v/>
      </c>
      <c r="AF38" s="33">
        <f>IF(((COUNTIF(AF18:AF37, "✓") + COUNTIF(AF18:AF37, "✔") + COUNTIF(AF18:AF37, "v") + COUNTIF(AF18:AF37, "V")) + COUNTIF(AF18:AF37, "✗") + COUNTIF(AF18:AF37, "x") + COUNTIF(AF18:AF37, "X")) &gt; 0, (COUNTIF(AF18:AF37, "✓") + COUNTIF(AF18:AF37, "✔") + COUNTIF(AF18:AF37, "v") + COUNTIF(AF18:AF37, "V")) &amp; "/" &amp; ((COUNTIF(AF18:AF37, "✓") + COUNTIF(AF18:AF37, "✔") + COUNTIF(AF18:AF37, "v") + COUNTIF(AF18:AF37, "V")) + COUNTIF(AF18:AF37, "✗") + COUNTIF(AF18:AF37, "x") + COUNTIF(AF18:AF37, "X")), "")</f>
        <v/>
      </c>
      <c r="AG38" s="33">
        <f>IF(((COUNTIF(AG18:AG37, "✓") + COUNTIF(AG18:AG37, "✔") + COUNTIF(AG18:AG37, "v") + COUNTIF(AG18:AG37, "V")) + COUNTIF(AG18:AG37, "✗") + COUNTIF(AG18:AG37, "x") + COUNTIF(AG18:AG37, "X")) &gt; 0, (COUNTIF(AG18:AG37, "✓") + COUNTIF(AG18:AG37, "✔") + COUNTIF(AG18:AG37, "v") + COUNTIF(AG18:AG37, "V")) &amp; "/" &amp; ((COUNTIF(AG18:AG37, "✓") + COUNTIF(AG18:AG37, "✔") + COUNTIF(AG18:AG37, "v") + COUNTIF(AG18:AG37, "V")) + COUNTIF(AG18:AG37, "✗") + COUNTIF(AG18:AG37, "x") + COUNTIF(AG18:AG37, "X")), "")</f>
        <v/>
      </c>
      <c r="AH38" s="33">
        <f>IF(((COUNTIF(AH18:AH37, "✓") + COUNTIF(AH18:AH37, "✔") + COUNTIF(AH18:AH37, "v") + COUNTIF(AH18:AH37, "V")) + COUNTIF(AH18:AH37, "✗") + COUNTIF(AH18:AH37, "x") + COUNTIF(AH18:AH37, "X")) &gt; 0, (COUNTIF(AH18:AH37, "✓") + COUNTIF(AH18:AH37, "✔") + COUNTIF(AH18:AH37, "v") + COUNTIF(AH18:AH37, "V")) &amp; "/" &amp; ((COUNTIF(AH18:AH37, "✓") + COUNTIF(AH18:AH37, "✔") + COUNTIF(AH18:AH37, "v") + COUNTIF(AH18:AH37, "V")) + COUNTIF(AH18:AH37, "✗") + COUNTIF(AH18:AH37, "x") + COUNTIF(AH18:AH37, "X")), "")</f>
        <v/>
      </c>
      <c r="AI38" s="33">
        <f>IF(((COUNTIF(AI18:AI37, "✓") + COUNTIF(AI18:AI37, "✔") + COUNTIF(AI18:AI37, "v") + COUNTIF(AI18:AI37, "V")) + COUNTIF(AI18:AI37, "✗") + COUNTIF(AI18:AI37, "x") + COUNTIF(AI18:AI37, "X")) &gt; 0, (COUNTIF(AI18:AI37, "✓") + COUNTIF(AI18:AI37, "✔") + COUNTIF(AI18:AI37, "v") + COUNTIF(AI18:AI37, "V")) &amp; "/" &amp; ((COUNTIF(AI18:AI37, "✓") + COUNTIF(AI18:AI37, "✔") + COUNTIF(AI18:AI37, "v") + COUNTIF(AI18:AI37, "V")) + COUNTIF(AI18:AI37, "✗") + COUNTIF(AI18:AI37, "x") + COUNTIF(AI18:AI37, "X")), "")</f>
        <v/>
      </c>
      <c r="AJ38" s="133">
        <f>IF(SUM(D18:D37) &gt; 0, SUM(AM18:AM37) / SUM(D18:D37), "")</f>
        <v/>
      </c>
      <c r="AK38" s="33">
        <f>IF(SUM(D18:D37) &gt; 0, SUM(AM18:AM37) &amp; "/" &amp; SUM(D18:D37), "")</f>
        <v/>
      </c>
      <c r="AL38" s="54" t="n"/>
    </row>
    <row r="39" ht="18" customHeight="1">
      <c r="A39" s="132" t="inlineStr">
        <is>
          <t>DAILY SUCCESS %</t>
        </is>
      </c>
      <c r="B39" s="54" t="n"/>
      <c r="C39" s="54" t="n"/>
      <c r="D39" s="54" t="n"/>
      <c r="E39" s="134">
        <f>IF(((COUNTIF(E18:E37, "✓") + COUNTIF(E18:E37, "✔") + COUNTIF(E18:E37, "v") + COUNTIF(E18:E37, "V")) + COUNTIF(E18:E37, "✗") + COUNTIF(E18:E37, "x") + COUNTIF(E18:E37, "X")) &gt; 0, (COUNTIF(E18:E37, "✓") + COUNTIF(E18:E37, "✔") + COUNTIF(E18:E37, "v") + COUNTIF(E18:E37, "V")) / ((COUNTIF(E18:E37, "✓") + COUNTIF(E18:E37, "✔") + COUNTIF(E18:E37, "v") + COUNTIF(E18:E37, "V")) + COUNTIF(E18:E37, "✗") + COUNTIF(E18:E37, "x") + COUNTIF(E18:E37, "X")), "")</f>
        <v/>
      </c>
      <c r="F39" s="134">
        <f>IF(((COUNTIF(F18:F37, "✓") + COUNTIF(F18:F37, "✔") + COUNTIF(F18:F37, "v") + COUNTIF(F18:F37, "V")) + COUNTIF(F18:F37, "✗") + COUNTIF(F18:F37, "x") + COUNTIF(F18:F37, "X")) &gt; 0, (COUNTIF(F18:F37, "✓") + COUNTIF(F18:F37, "✔") + COUNTIF(F18:F37, "v") + COUNTIF(F18:F37, "V")) / ((COUNTIF(F18:F37, "✓") + COUNTIF(F18:F37, "✔") + COUNTIF(F18:F37, "v") + COUNTIF(F18:F37, "V")) + COUNTIF(F18:F37, "✗") + COUNTIF(F18:F37, "x") + COUNTIF(F18:F37, "X")), "")</f>
        <v/>
      </c>
      <c r="G39" s="134">
        <f>IF(((COUNTIF(G18:G37, "✓") + COUNTIF(G18:G37, "✔") + COUNTIF(G18:G37, "v") + COUNTIF(G18:G37, "V")) + COUNTIF(G18:G37, "✗") + COUNTIF(G18:G37, "x") + COUNTIF(G18:G37, "X")) &gt; 0, (COUNTIF(G18:G37, "✓") + COUNTIF(G18:G37, "✔") + COUNTIF(G18:G37, "v") + COUNTIF(G18:G37, "V")) / ((COUNTIF(G18:G37, "✓") + COUNTIF(G18:G37, "✔") + COUNTIF(G18:G37, "v") + COUNTIF(G18:G37, "V")) + COUNTIF(G18:G37, "✗") + COUNTIF(G18:G37, "x") + COUNTIF(G18:G37, "X")), "")</f>
        <v/>
      </c>
      <c r="H39" s="134">
        <f>IF(((COUNTIF(H18:H37, "✓") + COUNTIF(H18:H37, "✔") + COUNTIF(H18:H37, "v") + COUNTIF(H18:H37, "V")) + COUNTIF(H18:H37, "✗") + COUNTIF(H18:H37, "x") + COUNTIF(H18:H37, "X")) &gt; 0, (COUNTIF(H18:H37, "✓") + COUNTIF(H18:H37, "✔") + COUNTIF(H18:H37, "v") + COUNTIF(H18:H37, "V")) / ((COUNTIF(H18:H37, "✓") + COUNTIF(H18:H37, "✔") + COUNTIF(H18:H37, "v") + COUNTIF(H18:H37, "V")) + COUNTIF(H18:H37, "✗") + COUNTIF(H18:H37, "x") + COUNTIF(H18:H37, "X")), "")</f>
        <v/>
      </c>
      <c r="I39" s="134">
        <f>IF(((COUNTIF(I18:I37, "✓") + COUNTIF(I18:I37, "✔") + COUNTIF(I18:I37, "v") + COUNTIF(I18:I37, "V")) + COUNTIF(I18:I37, "✗") + COUNTIF(I18:I37, "x") + COUNTIF(I18:I37, "X")) &gt; 0, (COUNTIF(I18:I37, "✓") + COUNTIF(I18:I37, "✔") + COUNTIF(I18:I37, "v") + COUNTIF(I18:I37, "V")) / ((COUNTIF(I18:I37, "✓") + COUNTIF(I18:I37, "✔") + COUNTIF(I18:I37, "v") + COUNTIF(I18:I37, "V")) + COUNTIF(I18:I37, "✗") + COUNTIF(I18:I37, "x") + COUNTIF(I18:I37, "X")), "")</f>
        <v/>
      </c>
      <c r="J39" s="134">
        <f>IF(((COUNTIF(J18:J37, "✓") + COUNTIF(J18:J37, "✔") + COUNTIF(J18:J37, "v") + COUNTIF(J18:J37, "V")) + COUNTIF(J18:J37, "✗") + COUNTIF(J18:J37, "x") + COUNTIF(J18:J37, "X")) &gt; 0, (COUNTIF(J18:J37, "✓") + COUNTIF(J18:J37, "✔") + COUNTIF(J18:J37, "v") + COUNTIF(J18:J37, "V")) / ((COUNTIF(J18:J37, "✓") + COUNTIF(J18:J37, "✔") + COUNTIF(J18:J37, "v") + COUNTIF(J18:J37, "V")) + COUNTIF(J18:J37, "✗") + COUNTIF(J18:J37, "x") + COUNTIF(J18:J37, "X")), "")</f>
        <v/>
      </c>
      <c r="K39" s="134">
        <f>IF(((COUNTIF(K18:K37, "✓") + COUNTIF(K18:K37, "✔") + COUNTIF(K18:K37, "v") + COUNTIF(K18:K37, "V")) + COUNTIF(K18:K37, "✗") + COUNTIF(K18:K37, "x") + COUNTIF(K18:K37, "X")) &gt; 0, (COUNTIF(K18:K37, "✓") + COUNTIF(K18:K37, "✔") + COUNTIF(K18:K37, "v") + COUNTIF(K18:K37, "V")) / ((COUNTIF(K18:K37, "✓") + COUNTIF(K18:K37, "✔") + COUNTIF(K18:K37, "v") + COUNTIF(K18:K37, "V")) + COUNTIF(K18:K37, "✗") + COUNTIF(K18:K37, "x") + COUNTIF(K18:K37, "X")), "")</f>
        <v/>
      </c>
      <c r="L39" s="134">
        <f>IF(((COUNTIF(L18:L37, "✓") + COUNTIF(L18:L37, "✔") + COUNTIF(L18:L37, "v") + COUNTIF(L18:L37, "V")) + COUNTIF(L18:L37, "✗") + COUNTIF(L18:L37, "x") + COUNTIF(L18:L37, "X")) &gt; 0, (COUNTIF(L18:L37, "✓") + COUNTIF(L18:L37, "✔") + COUNTIF(L18:L37, "v") + COUNTIF(L18:L37, "V")) / ((COUNTIF(L18:L37, "✓") + COUNTIF(L18:L37, "✔") + COUNTIF(L18:L37, "v") + COUNTIF(L18:L37, "V")) + COUNTIF(L18:L37, "✗") + COUNTIF(L18:L37, "x") + COUNTIF(L18:L37, "X")), "")</f>
        <v/>
      </c>
      <c r="M39" s="134">
        <f>IF(((COUNTIF(M18:M37, "✓") + COUNTIF(M18:M37, "✔") + COUNTIF(M18:M37, "v") + COUNTIF(M18:M37, "V")) + COUNTIF(M18:M37, "✗") + COUNTIF(M18:M37, "x") + COUNTIF(M18:M37, "X")) &gt; 0, (COUNTIF(M18:M37, "✓") + COUNTIF(M18:M37, "✔") + COUNTIF(M18:M37, "v") + COUNTIF(M18:M37, "V")) / ((COUNTIF(M18:M37, "✓") + COUNTIF(M18:M37, "✔") + COUNTIF(M18:M37, "v") + COUNTIF(M18:M37, "V")) + COUNTIF(M18:M37, "✗") + COUNTIF(M18:M37, "x") + COUNTIF(M18:M37, "X")), "")</f>
        <v/>
      </c>
      <c r="N39" s="134">
        <f>IF(((COUNTIF(N18:N37, "✓") + COUNTIF(N18:N37, "✔") + COUNTIF(N18:N37, "v") + COUNTIF(N18:N37, "V")) + COUNTIF(N18:N37, "✗") + COUNTIF(N18:N37, "x") + COUNTIF(N18:N37, "X")) &gt; 0, (COUNTIF(N18:N37, "✓") + COUNTIF(N18:N37, "✔") + COUNTIF(N18:N37, "v") + COUNTIF(N18:N37, "V")) / ((COUNTIF(N18:N37, "✓") + COUNTIF(N18:N37, "✔") + COUNTIF(N18:N37, "v") + COUNTIF(N18:N37, "V")) + COUNTIF(N18:N37, "✗") + COUNTIF(N18:N37, "x") + COUNTIF(N18:N37, "X")), "")</f>
        <v/>
      </c>
      <c r="O39" s="134">
        <f>IF(((COUNTIF(O18:O37, "✓") + COUNTIF(O18:O37, "✔") + COUNTIF(O18:O37, "v") + COUNTIF(O18:O37, "V")) + COUNTIF(O18:O37, "✗") + COUNTIF(O18:O37, "x") + COUNTIF(O18:O37, "X")) &gt; 0, (COUNTIF(O18:O37, "✓") + COUNTIF(O18:O37, "✔") + COUNTIF(O18:O37, "v") + COUNTIF(O18:O37, "V")) / ((COUNTIF(O18:O37, "✓") + COUNTIF(O18:O37, "✔") + COUNTIF(O18:O37, "v") + COUNTIF(O18:O37, "V")) + COUNTIF(O18:O37, "✗") + COUNTIF(O18:O37, "x") + COUNTIF(O18:O37, "X")), "")</f>
        <v/>
      </c>
      <c r="P39" s="134">
        <f>IF(((COUNTIF(P18:P37, "✓") + COUNTIF(P18:P37, "✔") + COUNTIF(P18:P37, "v") + COUNTIF(P18:P37, "V")) + COUNTIF(P18:P37, "✗") + COUNTIF(P18:P37, "x") + COUNTIF(P18:P37, "X")) &gt; 0, (COUNTIF(P18:P37, "✓") + COUNTIF(P18:P37, "✔") + COUNTIF(P18:P37, "v") + COUNTIF(P18:P37, "V")) / ((COUNTIF(P18:P37, "✓") + COUNTIF(P18:P37, "✔") + COUNTIF(P18:P37, "v") + COUNTIF(P18:P37, "V")) + COUNTIF(P18:P37, "✗") + COUNTIF(P18:P37, "x") + COUNTIF(P18:P37, "X")), "")</f>
        <v/>
      </c>
      <c r="Q39" s="134">
        <f>IF(((COUNTIF(Q18:Q37, "✓") + COUNTIF(Q18:Q37, "✔") + COUNTIF(Q18:Q37, "v") + COUNTIF(Q18:Q37, "V")) + COUNTIF(Q18:Q37, "✗") + COUNTIF(Q18:Q37, "x") + COUNTIF(Q18:Q37, "X")) &gt; 0, (COUNTIF(Q18:Q37, "✓") + COUNTIF(Q18:Q37, "✔") + COUNTIF(Q18:Q37, "v") + COUNTIF(Q18:Q37, "V")) / ((COUNTIF(Q18:Q37, "✓") + COUNTIF(Q18:Q37, "✔") + COUNTIF(Q18:Q37, "v") + COUNTIF(Q18:Q37, "V")) + COUNTIF(Q18:Q37, "✗") + COUNTIF(Q18:Q37, "x") + COUNTIF(Q18:Q37, "X")), "")</f>
        <v/>
      </c>
      <c r="R39" s="134">
        <f>IF(((COUNTIF(R18:R37, "✓") + COUNTIF(R18:R37, "✔") + COUNTIF(R18:R37, "v") + COUNTIF(R18:R37, "V")) + COUNTIF(R18:R37, "✗") + COUNTIF(R18:R37, "x") + COUNTIF(R18:R37, "X")) &gt; 0, (COUNTIF(R18:R37, "✓") + COUNTIF(R18:R37, "✔") + COUNTIF(R18:R37, "v") + COUNTIF(R18:R37, "V")) / ((COUNTIF(R18:R37, "✓") + COUNTIF(R18:R37, "✔") + COUNTIF(R18:R37, "v") + COUNTIF(R18:R37, "V")) + COUNTIF(R18:R37, "✗") + COUNTIF(R18:R37, "x") + COUNTIF(R18:R37, "X")), "")</f>
        <v/>
      </c>
      <c r="S39" s="134">
        <f>IF(((COUNTIF(S18:S37, "✓") + COUNTIF(S18:S37, "✔") + COUNTIF(S18:S37, "v") + COUNTIF(S18:S37, "V")) + COUNTIF(S18:S37, "✗") + COUNTIF(S18:S37, "x") + COUNTIF(S18:S37, "X")) &gt; 0, (COUNTIF(S18:S37, "✓") + COUNTIF(S18:S37, "✔") + COUNTIF(S18:S37, "v") + COUNTIF(S18:S37, "V")) / ((COUNTIF(S18:S37, "✓") + COUNTIF(S18:S37, "✔") + COUNTIF(S18:S37, "v") + COUNTIF(S18:S37, "V")) + COUNTIF(S18:S37, "✗") + COUNTIF(S18:S37, "x") + COUNTIF(S18:S37, "X")), "")</f>
        <v/>
      </c>
      <c r="T39" s="134">
        <f>IF(((COUNTIF(T18:T37, "✓") + COUNTIF(T18:T37, "✔") + COUNTIF(T18:T37, "v") + COUNTIF(T18:T37, "V")) + COUNTIF(T18:T37, "✗") + COUNTIF(T18:T37, "x") + COUNTIF(T18:T37, "X")) &gt; 0, (COUNTIF(T18:T37, "✓") + COUNTIF(T18:T37, "✔") + COUNTIF(T18:T37, "v") + COUNTIF(T18:T37, "V")) / ((COUNTIF(T18:T37, "✓") + COUNTIF(T18:T37, "✔") + COUNTIF(T18:T37, "v") + COUNTIF(T18:T37, "V")) + COUNTIF(T18:T37, "✗") + COUNTIF(T18:T37, "x") + COUNTIF(T18:T37, "X")), "")</f>
        <v/>
      </c>
      <c r="U39" s="134">
        <f>IF(((COUNTIF(U18:U37, "✓") + COUNTIF(U18:U37, "✔") + COUNTIF(U18:U37, "v") + COUNTIF(U18:U37, "V")) + COUNTIF(U18:U37, "✗") + COUNTIF(U18:U37, "x") + COUNTIF(U18:U37, "X")) &gt; 0, (COUNTIF(U18:U37, "✓") + COUNTIF(U18:U37, "✔") + COUNTIF(U18:U37, "v") + COUNTIF(U18:U37, "V")) / ((COUNTIF(U18:U37, "✓") + COUNTIF(U18:U37, "✔") + COUNTIF(U18:U37, "v") + COUNTIF(U18:U37, "V")) + COUNTIF(U18:U37, "✗") + COUNTIF(U18:U37, "x") + COUNTIF(U18:U37, "X")), "")</f>
        <v/>
      </c>
      <c r="V39" s="134">
        <f>IF(((COUNTIF(V18:V37, "✓") + COUNTIF(V18:V37, "✔") + COUNTIF(V18:V37, "v") + COUNTIF(V18:V37, "V")) + COUNTIF(V18:V37, "✗") + COUNTIF(V18:V37, "x") + COUNTIF(V18:V37, "X")) &gt; 0, (COUNTIF(V18:V37, "✓") + COUNTIF(V18:V37, "✔") + COUNTIF(V18:V37, "v") + COUNTIF(V18:V37, "V")) / ((COUNTIF(V18:V37, "✓") + COUNTIF(V18:V37, "✔") + COUNTIF(V18:V37, "v") + COUNTIF(V18:V37, "V")) + COUNTIF(V18:V37, "✗") + COUNTIF(V18:V37, "x") + COUNTIF(V18:V37, "X")), "")</f>
        <v/>
      </c>
      <c r="W39" s="134">
        <f>IF(((COUNTIF(W18:W37, "✓") + COUNTIF(W18:W37, "✔") + COUNTIF(W18:W37, "v") + COUNTIF(W18:W37, "V")) + COUNTIF(W18:W37, "✗") + COUNTIF(W18:W37, "x") + COUNTIF(W18:W37, "X")) &gt; 0, (COUNTIF(W18:W37, "✓") + COUNTIF(W18:W37, "✔") + COUNTIF(W18:W37, "v") + COUNTIF(W18:W37, "V")) / ((COUNTIF(W18:W37, "✓") + COUNTIF(W18:W37, "✔") + COUNTIF(W18:W37, "v") + COUNTIF(W18:W37, "V")) + COUNTIF(W18:W37, "✗") + COUNTIF(W18:W37, "x") + COUNTIF(W18:W37, "X")), "")</f>
        <v/>
      </c>
      <c r="X39" s="134">
        <f>IF(((COUNTIF(X18:X37, "✓") + COUNTIF(X18:X37, "✔") + COUNTIF(X18:X37, "v") + COUNTIF(X18:X37, "V")) + COUNTIF(X18:X37, "✗") + COUNTIF(X18:X37, "x") + COUNTIF(X18:X37, "X")) &gt; 0, (COUNTIF(X18:X37, "✓") + COUNTIF(X18:X37, "✔") + COUNTIF(X18:X37, "v") + COUNTIF(X18:X37, "V")) / ((COUNTIF(X18:X37, "✓") + COUNTIF(X18:X37, "✔") + COUNTIF(X18:X37, "v") + COUNTIF(X18:X37, "V")) + COUNTIF(X18:X37, "✗") + COUNTIF(X18:X37, "x") + COUNTIF(X18:X37, "X")), "")</f>
        <v/>
      </c>
      <c r="Y39" s="134">
        <f>IF(((COUNTIF(Y18:Y37, "✓") + COUNTIF(Y18:Y37, "✔") + COUNTIF(Y18:Y37, "v") + COUNTIF(Y18:Y37, "V")) + COUNTIF(Y18:Y37, "✗") + COUNTIF(Y18:Y37, "x") + COUNTIF(Y18:Y37, "X")) &gt; 0, (COUNTIF(Y18:Y37, "✓") + COUNTIF(Y18:Y37, "✔") + COUNTIF(Y18:Y37, "v") + COUNTIF(Y18:Y37, "V")) / ((COUNTIF(Y18:Y37, "✓") + COUNTIF(Y18:Y37, "✔") + COUNTIF(Y18:Y37, "v") + COUNTIF(Y18:Y37, "V")) + COUNTIF(Y18:Y37, "✗") + COUNTIF(Y18:Y37, "x") + COUNTIF(Y18:Y37, "X")), "")</f>
        <v/>
      </c>
      <c r="Z39" s="134">
        <f>IF(((COUNTIF(Z18:Z37, "✓") + COUNTIF(Z18:Z37, "✔") + COUNTIF(Z18:Z37, "v") + COUNTIF(Z18:Z37, "V")) + COUNTIF(Z18:Z37, "✗") + COUNTIF(Z18:Z37, "x") + COUNTIF(Z18:Z37, "X")) &gt; 0, (COUNTIF(Z18:Z37, "✓") + COUNTIF(Z18:Z37, "✔") + COUNTIF(Z18:Z37, "v") + COUNTIF(Z18:Z37, "V")) / ((COUNTIF(Z18:Z37, "✓") + COUNTIF(Z18:Z37, "✔") + COUNTIF(Z18:Z37, "v") + COUNTIF(Z18:Z37, "V")) + COUNTIF(Z18:Z37, "✗") + COUNTIF(Z18:Z37, "x") + COUNTIF(Z18:Z37, "X")), "")</f>
        <v/>
      </c>
      <c r="AA39" s="134">
        <f>IF(((COUNTIF(AA18:AA37, "✓") + COUNTIF(AA18:AA37, "✔") + COUNTIF(AA18:AA37, "v") + COUNTIF(AA18:AA37, "V")) + COUNTIF(AA18:AA37, "✗") + COUNTIF(AA18:AA37, "x") + COUNTIF(AA18:AA37, "X")) &gt; 0, (COUNTIF(AA18:AA37, "✓") + COUNTIF(AA18:AA37, "✔") + COUNTIF(AA18:AA37, "v") + COUNTIF(AA18:AA37, "V")) / ((COUNTIF(AA18:AA37, "✓") + COUNTIF(AA18:AA37, "✔") + COUNTIF(AA18:AA37, "v") + COUNTIF(AA18:AA37, "V")) + COUNTIF(AA18:AA37, "✗") + COUNTIF(AA18:AA37, "x") + COUNTIF(AA18:AA37, "X")), "")</f>
        <v/>
      </c>
      <c r="AB39" s="134">
        <f>IF(((COUNTIF(AB18:AB37, "✓") + COUNTIF(AB18:AB37, "✔") + COUNTIF(AB18:AB37, "v") + COUNTIF(AB18:AB37, "V")) + COUNTIF(AB18:AB37, "✗") + COUNTIF(AB18:AB37, "x") + COUNTIF(AB18:AB37, "X")) &gt; 0, (COUNTIF(AB18:AB37, "✓") + COUNTIF(AB18:AB37, "✔") + COUNTIF(AB18:AB37, "v") + COUNTIF(AB18:AB37, "V")) / ((COUNTIF(AB18:AB37, "✓") + COUNTIF(AB18:AB37, "✔") + COUNTIF(AB18:AB37, "v") + COUNTIF(AB18:AB37, "V")) + COUNTIF(AB18:AB37, "✗") + COUNTIF(AB18:AB37, "x") + COUNTIF(AB18:AB37, "X")), "")</f>
        <v/>
      </c>
      <c r="AC39" s="134">
        <f>IF(((COUNTIF(AC18:AC37, "✓") + COUNTIF(AC18:AC37, "✔") + COUNTIF(AC18:AC37, "v") + COUNTIF(AC18:AC37, "V")) + COUNTIF(AC18:AC37, "✗") + COUNTIF(AC18:AC37, "x") + COUNTIF(AC18:AC37, "X")) &gt; 0, (COUNTIF(AC18:AC37, "✓") + COUNTIF(AC18:AC37, "✔") + COUNTIF(AC18:AC37, "v") + COUNTIF(AC18:AC37, "V")) / ((COUNTIF(AC18:AC37, "✓") + COUNTIF(AC18:AC37, "✔") + COUNTIF(AC18:AC37, "v") + COUNTIF(AC18:AC37, "V")) + COUNTIF(AC18:AC37, "✗") + COUNTIF(AC18:AC37, "x") + COUNTIF(AC18:AC37, "X")), "")</f>
        <v/>
      </c>
      <c r="AD39" s="134">
        <f>IF(((COUNTIF(AD18:AD37, "✓") + COUNTIF(AD18:AD37, "✔") + COUNTIF(AD18:AD37, "v") + COUNTIF(AD18:AD37, "V")) + COUNTIF(AD18:AD37, "✗") + COUNTIF(AD18:AD37, "x") + COUNTIF(AD18:AD37, "X")) &gt; 0, (COUNTIF(AD18:AD37, "✓") + COUNTIF(AD18:AD37, "✔") + COUNTIF(AD18:AD37, "v") + COUNTIF(AD18:AD37, "V")) / ((COUNTIF(AD18:AD37, "✓") + COUNTIF(AD18:AD37, "✔") + COUNTIF(AD18:AD37, "v") + COUNTIF(AD18:AD37, "V")) + COUNTIF(AD18:AD37, "✗") + COUNTIF(AD18:AD37, "x") + COUNTIF(AD18:AD37, "X")), "")</f>
        <v/>
      </c>
      <c r="AE39" s="134">
        <f>IF(((COUNTIF(AE18:AE37, "✓") + COUNTIF(AE18:AE37, "✔") + COUNTIF(AE18:AE37, "v") + COUNTIF(AE18:AE37, "V")) + COUNTIF(AE18:AE37, "✗") + COUNTIF(AE18:AE37, "x") + COUNTIF(AE18:AE37, "X")) &gt; 0, (COUNTIF(AE18:AE37, "✓") + COUNTIF(AE18:AE37, "✔") + COUNTIF(AE18:AE37, "v") + COUNTIF(AE18:AE37, "V")) / ((COUNTIF(AE18:AE37, "✓") + COUNTIF(AE18:AE37, "✔") + COUNTIF(AE18:AE37, "v") + COUNTIF(AE18:AE37, "V")) + COUNTIF(AE18:AE37, "✗") + COUNTIF(AE18:AE37, "x") + COUNTIF(AE18:AE37, "X")), "")</f>
        <v/>
      </c>
      <c r="AF39" s="134">
        <f>IF(((COUNTIF(AF18:AF37, "✓") + COUNTIF(AF18:AF37, "✔") + COUNTIF(AF18:AF37, "v") + COUNTIF(AF18:AF37, "V")) + COUNTIF(AF18:AF37, "✗") + COUNTIF(AF18:AF37, "x") + COUNTIF(AF18:AF37, "X")) &gt; 0, (COUNTIF(AF18:AF37, "✓") + COUNTIF(AF18:AF37, "✔") + COUNTIF(AF18:AF37, "v") + COUNTIF(AF18:AF37, "V")) / ((COUNTIF(AF18:AF37, "✓") + COUNTIF(AF18:AF37, "✔") + COUNTIF(AF18:AF37, "v") + COUNTIF(AF18:AF37, "V")) + COUNTIF(AF18:AF37, "✗") + COUNTIF(AF18:AF37, "x") + COUNTIF(AF18:AF37, "X")), "")</f>
        <v/>
      </c>
      <c r="AG39" s="134">
        <f>IF(((COUNTIF(AG18:AG37, "✓") + COUNTIF(AG18:AG37, "✔") + COUNTIF(AG18:AG37, "v") + COUNTIF(AG18:AG37, "V")) + COUNTIF(AG18:AG37, "✗") + COUNTIF(AG18:AG37, "x") + COUNTIF(AG18:AG37, "X")) &gt; 0, (COUNTIF(AG18:AG37, "✓") + COUNTIF(AG18:AG37, "✔") + COUNTIF(AG18:AG37, "v") + COUNTIF(AG18:AG37, "V")) / ((COUNTIF(AG18:AG37, "✓") + COUNTIF(AG18:AG37, "✔") + COUNTIF(AG18:AG37, "v") + COUNTIF(AG18:AG37, "V")) + COUNTIF(AG18:AG37, "✗") + COUNTIF(AG18:AG37, "x") + COUNTIF(AG18:AG37, "X")), "")</f>
        <v/>
      </c>
      <c r="AH39" s="134">
        <f>IF(((COUNTIF(AH18:AH37, "✓") + COUNTIF(AH18:AH37, "✔") + COUNTIF(AH18:AH37, "v") + COUNTIF(AH18:AH37, "V")) + COUNTIF(AH18:AH37, "✗") + COUNTIF(AH18:AH37, "x") + COUNTIF(AH18:AH37, "X")) &gt; 0, (COUNTIF(AH18:AH37, "✓") + COUNTIF(AH18:AH37, "✔") + COUNTIF(AH18:AH37, "v") + COUNTIF(AH18:AH37, "V")) / ((COUNTIF(AH18:AH37, "✓") + COUNTIF(AH18:AH37, "✔") + COUNTIF(AH18:AH37, "v") + COUNTIF(AH18:AH37, "V")) + COUNTIF(AH18:AH37, "✗") + COUNTIF(AH18:AH37, "x") + COUNTIF(AH18:AH37, "X")), "")</f>
        <v/>
      </c>
      <c r="AI39" s="134">
        <f>IF(((COUNTIF(AI18:AI37, "✓") + COUNTIF(AI18:AI37, "✔") + COUNTIF(AI18:AI37, "v") + COUNTIF(AI18:AI37, "V")) + COUNTIF(AI18:AI37, "✗") + COUNTIF(AI18:AI37, "x") + COUNTIF(AI18:AI37, "X")) &gt; 0, (COUNTIF(AI18:AI37, "✓") + COUNTIF(AI18:AI37, "✔") + COUNTIF(AI18:AI37, "v") + COUNTIF(AI18:AI37, "V")) / ((COUNTIF(AI18:AI37, "✓") + COUNTIF(AI18:AI37, "✔") + COUNTIF(AI18:AI37, "v") + COUNTIF(AI18:AI37, "V")) + COUNTIF(AI18:AI37, "✗") + COUNTIF(AI18:AI37, "x") + COUNTIF(AI18:AI37, "X")), "")</f>
        <v/>
      </c>
      <c r="AJ39" s="133">
        <f>IF(COUNT(E39:AI39) &gt; 0, AVERAGE(E39:AI39), "")</f>
        <v/>
      </c>
      <c r="AK39" s="54" t="n"/>
      <c r="AL39" s="54" t="n"/>
    </row>
    <row r="40" ht="6" customHeight="1"/>
    <row r="41" ht="15" customHeight="1">
      <c r="A41" s="135" t="inlineStr">
        <is>
          <t>IF SUCCESS &lt; 80%, PUNISHMENT: ________________________________________________</t>
        </is>
      </c>
    </row>
    <row r="42" ht="15" customHeight="1">
      <c r="A42" s="136" t="inlineStr">
        <is>
          <t>IF SUCCESS &gt; 90%, REWARD: __________________________________________________</t>
        </is>
      </c>
    </row>
    <row r="43" ht="10" customHeight="1"/>
    <row r="44" ht="10" customHeight="1"/>
    <row r="45" ht="15" customHeight="1">
      <c r="A45" s="51" t="inlineStr">
        <is>
          <t>Sleep Tracking</t>
        </is>
      </c>
      <c r="B45" s="52" t="n"/>
      <c r="C45" s="52" t="n"/>
      <c r="D45" s="52" t="n"/>
      <c r="E45" s="137" t="n">
        <v>1</v>
      </c>
      <c r="F45" s="137" t="n">
        <v>2</v>
      </c>
      <c r="G45" s="137" t="n">
        <v>3</v>
      </c>
      <c r="H45" s="137" t="n">
        <v>4</v>
      </c>
      <c r="I45" s="138" t="n">
        <v>5</v>
      </c>
      <c r="J45" s="137" t="n">
        <v>6</v>
      </c>
      <c r="K45" s="137" t="n">
        <v>7</v>
      </c>
      <c r="L45" s="137" t="n">
        <v>8</v>
      </c>
      <c r="M45" s="137" t="n">
        <v>9</v>
      </c>
      <c r="N45" s="137" t="n">
        <v>10</v>
      </c>
      <c r="O45" s="137" t="n">
        <v>11</v>
      </c>
      <c r="P45" s="138" t="n">
        <v>12</v>
      </c>
      <c r="Q45" s="137" t="n">
        <v>13</v>
      </c>
      <c r="R45" s="137" t="n">
        <v>14</v>
      </c>
      <c r="S45" s="137" t="n">
        <v>15</v>
      </c>
      <c r="T45" s="137" t="n">
        <v>16</v>
      </c>
      <c r="U45" s="137" t="n">
        <v>17</v>
      </c>
      <c r="V45" s="137" t="n">
        <v>18</v>
      </c>
      <c r="W45" s="138" t="n">
        <v>19</v>
      </c>
      <c r="X45" s="137" t="n">
        <v>20</v>
      </c>
      <c r="Y45" s="137" t="n">
        <v>21</v>
      </c>
      <c r="Z45" s="137" t="n">
        <v>22</v>
      </c>
      <c r="AA45" s="137" t="n">
        <v>23</v>
      </c>
      <c r="AB45" s="137" t="n">
        <v>24</v>
      </c>
      <c r="AC45" s="137" t="n">
        <v>25</v>
      </c>
      <c r="AD45" s="138" t="n">
        <v>26</v>
      </c>
      <c r="AE45" s="137" t="n">
        <v>27</v>
      </c>
      <c r="AF45" s="137" t="n">
        <v>28</v>
      </c>
      <c r="AG45" s="137" t="n">
        <v>29</v>
      </c>
      <c r="AH45" s="137" t="n">
        <v>30</v>
      </c>
      <c r="AI45" s="137" t="n">
        <v>31</v>
      </c>
    </row>
    <row r="46" ht="15" customHeight="1">
      <c r="A46" s="52" t="n"/>
      <c r="B46" s="52" t="n"/>
      <c r="C46" s="52" t="n"/>
      <c r="D46" s="52" t="n"/>
      <c r="E46" s="139" t="inlineStr">
        <is>
          <t>W</t>
        </is>
      </c>
      <c r="F46" s="139" t="inlineStr">
        <is>
          <t>Th</t>
        </is>
      </c>
      <c r="G46" s="139" t="inlineStr">
        <is>
          <t>F</t>
        </is>
      </c>
      <c r="H46" s="139" t="inlineStr">
        <is>
          <t>Sa</t>
        </is>
      </c>
      <c r="I46" s="140" t="inlineStr">
        <is>
          <t>Su</t>
        </is>
      </c>
      <c r="J46" s="139" t="inlineStr">
        <is>
          <t>M</t>
        </is>
      </c>
      <c r="K46" s="139" t="inlineStr">
        <is>
          <t>T</t>
        </is>
      </c>
      <c r="L46" s="139" t="inlineStr">
        <is>
          <t>W</t>
        </is>
      </c>
      <c r="M46" s="139" t="inlineStr">
        <is>
          <t>Th</t>
        </is>
      </c>
      <c r="N46" s="139" t="inlineStr">
        <is>
          <t>F</t>
        </is>
      </c>
      <c r="O46" s="139" t="inlineStr">
        <is>
          <t>Sa</t>
        </is>
      </c>
      <c r="P46" s="140" t="inlineStr">
        <is>
          <t>Su</t>
        </is>
      </c>
      <c r="Q46" s="139" t="inlineStr">
        <is>
          <t>M</t>
        </is>
      </c>
      <c r="R46" s="139" t="inlineStr">
        <is>
          <t>T</t>
        </is>
      </c>
      <c r="S46" s="139" t="inlineStr">
        <is>
          <t>W</t>
        </is>
      </c>
      <c r="T46" s="139" t="inlineStr">
        <is>
          <t>Th</t>
        </is>
      </c>
      <c r="U46" s="139" t="inlineStr">
        <is>
          <t>F</t>
        </is>
      </c>
      <c r="V46" s="139" t="inlineStr">
        <is>
          <t>Sa</t>
        </is>
      </c>
      <c r="W46" s="140" t="inlineStr">
        <is>
          <t>Su</t>
        </is>
      </c>
      <c r="X46" s="139" t="inlineStr">
        <is>
          <t>M</t>
        </is>
      </c>
      <c r="Y46" s="139" t="inlineStr">
        <is>
          <t>T</t>
        </is>
      </c>
      <c r="Z46" s="139" t="inlineStr">
        <is>
          <t>W</t>
        </is>
      </c>
      <c r="AA46" s="139" t="inlineStr">
        <is>
          <t>Th</t>
        </is>
      </c>
      <c r="AB46" s="139" t="inlineStr">
        <is>
          <t>F</t>
        </is>
      </c>
      <c r="AC46" s="139" t="inlineStr">
        <is>
          <t>Sa</t>
        </is>
      </c>
      <c r="AD46" s="140" t="inlineStr">
        <is>
          <t>Su</t>
        </is>
      </c>
      <c r="AE46" s="139" t="inlineStr">
        <is>
          <t>M</t>
        </is>
      </c>
      <c r="AF46" s="139" t="inlineStr">
        <is>
          <t>T</t>
        </is>
      </c>
      <c r="AG46" s="139" t="inlineStr">
        <is>
          <t>W</t>
        </is>
      </c>
      <c r="AH46" s="139" t="inlineStr">
        <is>
          <t>Th</t>
        </is>
      </c>
      <c r="AI46" s="139" t="inlineStr">
        <is>
          <t>F</t>
        </is>
      </c>
    </row>
    <row r="47" ht="20" customHeight="1">
      <c r="A47" s="141" t="inlineStr">
        <is>
          <t>Sleep Hours (1-24)</t>
        </is>
      </c>
      <c r="B47" s="142" t="n"/>
      <c r="C47" s="142" t="n"/>
      <c r="D47" s="142" t="n"/>
      <c r="E47" s="143" t="n"/>
      <c r="F47" s="143" t="n"/>
      <c r="G47" s="143" t="n"/>
      <c r="H47" s="143" t="n"/>
      <c r="I47" s="144" t="n"/>
      <c r="J47" s="143" t="n"/>
      <c r="K47" s="143" t="n"/>
      <c r="L47" s="143" t="n"/>
      <c r="M47" s="143" t="n"/>
      <c r="N47" s="143" t="n"/>
      <c r="O47" s="143" t="n"/>
      <c r="P47" s="144" t="n"/>
      <c r="Q47" s="143" t="n"/>
      <c r="R47" s="143" t="n"/>
      <c r="S47" s="143" t="n"/>
      <c r="T47" s="143" t="n"/>
      <c r="U47" s="143" t="n"/>
      <c r="V47" s="143" t="n"/>
      <c r="W47" s="144" t="n"/>
      <c r="X47" s="143" t="n"/>
      <c r="Y47" s="143" t="n"/>
      <c r="Z47" s="143" t="n"/>
      <c r="AA47" s="143" t="n"/>
      <c r="AB47" s="143" t="n"/>
      <c r="AC47" s="143" t="n"/>
      <c r="AD47" s="144" t="n"/>
      <c r="AE47" s="143" t="n"/>
      <c r="AF47" s="143" t="n"/>
      <c r="AG47" s="143" t="n"/>
      <c r="AH47" s="143" t="n"/>
      <c r="AI47" s="143" t="n"/>
    </row>
    <row r="48" ht="6" customHeight="1"/>
    <row r="49" ht="14" customHeight="1"/>
    <row r="50" ht="14" customHeight="1"/>
    <row r="51" ht="14" customHeight="1"/>
    <row r="52" ht="14" customHeight="1"/>
    <row r="53" ht="14" customHeight="1"/>
    <row r="54" ht="14" customHeight="1"/>
    <row r="55" ht="14" customHeight="1"/>
    <row r="56" ht="14" customHeight="1"/>
    <row r="57" ht="14" customHeight="1"/>
    <row r="58" ht="14" customHeight="1"/>
    <row r="59" ht="14" customHeight="1"/>
    <row r="60" ht="14" customHeight="1"/>
    <row r="61" ht="14" customHeight="1"/>
    <row r="62" ht="14" customHeight="1"/>
    <row r="63" ht="14" customHeight="1"/>
    <row r="64" ht="14" customHeight="1"/>
    <row r="65" ht="14" customHeight="1"/>
    <row r="66" ht="8" customHeight="1"/>
    <row r="67">
      <c r="A67" s="145" t="inlineStr">
        <is>
          <t>MONTHLY SUCCESS RATE</t>
        </is>
      </c>
      <c r="B67" s="9" t="n"/>
      <c r="C67" s="9" t="n"/>
      <c r="D67" s="9" t="n"/>
      <c r="F67" s="146" t="inlineStr">
        <is>
          <t>ACTIVE PROTOCOLS</t>
        </is>
      </c>
      <c r="G67" s="11" t="n"/>
      <c r="H67" s="11" t="n"/>
      <c r="I67" s="11" t="n"/>
      <c r="K67" s="147" t="inlineStr">
        <is>
          <t>PERFECT DAYS (100%)</t>
        </is>
      </c>
      <c r="L67" s="13" t="n"/>
      <c r="M67" s="13" t="n"/>
      <c r="N67" s="13" t="n"/>
      <c r="P67" s="148" t="inlineStr">
        <is>
          <t>AVG SLEEP DURATION</t>
        </is>
      </c>
      <c r="Q67" s="15" t="n"/>
      <c r="R67" s="15" t="n"/>
      <c r="S67" s="15" t="n"/>
    </row>
    <row r="68">
      <c r="A68" s="149">
        <f>IF(SUM(D18:D37)&gt;0, SUM(AM18:AM37)/SUM(D18:D37), 0)</f>
        <v/>
      </c>
      <c r="B68" s="9" t="n"/>
      <c r="C68" s="9" t="n"/>
      <c r="D68" s="9" t="n"/>
      <c r="F68" s="150">
        <f>COUNTA(B18:B37) &amp; " / 20"</f>
        <v/>
      </c>
      <c r="G68" s="11" t="n"/>
      <c r="H68" s="11" t="n"/>
      <c r="I68" s="11" t="n"/>
      <c r="K68" s="151">
        <f>COUNTIF(E39:AI39, 1) &amp; " Days"</f>
        <v/>
      </c>
      <c r="L68" s="13" t="n"/>
      <c r="M68" s="13" t="n"/>
      <c r="N68" s="13" t="n"/>
      <c r="P68" s="152">
        <f>IFERROR(TEXT(AVERAGE(E47:AI47), "0.0") &amp; " hrs", "-")</f>
        <v/>
      </c>
      <c r="Q68" s="15" t="n"/>
      <c r="R68" s="15" t="n"/>
      <c r="S68" s="15" t="n"/>
    </row>
    <row r="69">
      <c r="A69" s="9" t="n"/>
      <c r="B69" s="9" t="n"/>
      <c r="C69" s="9" t="n"/>
      <c r="D69" s="9" t="n"/>
      <c r="F69" s="11" t="n"/>
      <c r="G69" s="11" t="n"/>
      <c r="H69" s="11" t="n"/>
      <c r="I69" s="11" t="n"/>
      <c r="K69" s="13" t="n"/>
      <c r="L69" s="13" t="n"/>
      <c r="M69" s="13" t="n"/>
      <c r="N69" s="13" t="n"/>
      <c r="P69" s="15" t="n"/>
      <c r="Q69" s="15" t="n"/>
      <c r="R69" s="15" t="n"/>
      <c r="S69" s="15" t="n"/>
    </row>
    <row r="70">
      <c r="A70" s="9" t="n"/>
      <c r="B70" s="9" t="n"/>
      <c r="C70" s="9" t="n"/>
      <c r="D70" s="9" t="n"/>
      <c r="F70" s="11" t="n"/>
      <c r="G70" s="11" t="n"/>
      <c r="H70" s="11" t="n"/>
      <c r="I70" s="11" t="n"/>
      <c r="K70" s="13" t="n"/>
      <c r="L70" s="13" t="n"/>
      <c r="M70" s="13" t="n"/>
      <c r="N70" s="13" t="n"/>
      <c r="P70" s="15" t="n"/>
      <c r="Q70" s="15" t="n"/>
      <c r="R70" s="15" t="n"/>
      <c r="S70" s="15" t="n"/>
    </row>
    <row r="71">
      <c r="A71" s="153" t="inlineStr">
        <is>
          <t>Target Completion</t>
        </is>
      </c>
      <c r="B71" s="9" t="n"/>
      <c r="C71" s="9" t="n"/>
      <c r="D71" s="9" t="n"/>
      <c r="F71" s="154" t="inlineStr">
        <is>
          <t>Habits Tracked</t>
        </is>
      </c>
      <c r="G71" s="11" t="n"/>
      <c r="H71" s="11" t="n"/>
      <c r="I71" s="11" t="n"/>
      <c r="K71" s="155" t="inlineStr">
        <is>
          <t>All Marked Habits Completed</t>
        </is>
      </c>
      <c r="L71" s="13" t="n"/>
      <c r="M71" s="13" t="n"/>
      <c r="N71" s="13" t="n"/>
      <c r="P71" s="156" t="inlineStr">
        <is>
          <t>Nightly Rest Average</t>
        </is>
      </c>
      <c r="Q71" s="15" t="n"/>
      <c r="R71" s="15" t="n"/>
      <c r="S71" s="15" t="n"/>
    </row>
    <row r="72" ht="8" customHeight="1"/>
    <row r="73" ht="6" customHeight="1"/>
    <row r="74">
      <c r="A74" s="67" t="inlineStr">
        <is>
          <t>WEEKLY PERFORMANCE (SLUMP DETECTOR)</t>
        </is>
      </c>
      <c r="B74" s="29" t="n"/>
      <c r="C74" s="29" t="n"/>
      <c r="D74" s="29" t="n"/>
      <c r="E74" s="29" t="n"/>
      <c r="N74" s="157" t="inlineStr">
        <is>
          <t>LIFE DOMAIN / CATEGORY BREAKDOWN</t>
        </is>
      </c>
      <c r="O74" s="158" t="n"/>
      <c r="P74" s="158" t="n"/>
      <c r="Q74" s="158" t="n"/>
      <c r="R74" s="158" t="n"/>
      <c r="S74" s="158" t="n"/>
    </row>
    <row r="75" ht="15" customHeight="1">
      <c r="A75" s="53" t="inlineStr">
        <is>
          <t>Week</t>
        </is>
      </c>
      <c r="B75" s="53" t="inlineStr">
        <is>
          <t>Days Range</t>
        </is>
      </c>
      <c r="C75" s="53" t="inlineStr">
        <is>
          <t>Checks Done</t>
        </is>
      </c>
      <c r="D75" s="53" t="inlineStr">
        <is>
          <t>Evaluated</t>
        </is>
      </c>
      <c r="E75" s="53" t="inlineStr">
        <is>
          <t>Success %</t>
        </is>
      </c>
      <c r="N75" s="53" t="inlineStr">
        <is>
          <t>Domain / Category</t>
        </is>
      </c>
      <c r="O75" s="54" t="n"/>
      <c r="P75" s="53" t="inlineStr">
        <is>
          <t>Active Habits</t>
        </is>
      </c>
      <c r="Q75" s="53" t="inlineStr">
        <is>
          <t>Target Days</t>
        </is>
      </c>
      <c r="R75" s="53" t="inlineStr">
        <is>
          <t>Done Checks</t>
        </is>
      </c>
      <c r="S75" s="53" t="inlineStr">
        <is>
          <t>Success %</t>
        </is>
      </c>
    </row>
    <row r="76" ht="14" customHeight="1">
      <c r="A76" s="33" t="inlineStr">
        <is>
          <t>Week 1</t>
        </is>
      </c>
      <c r="B76" s="34" t="inlineStr">
        <is>
          <t>Days 1 - 7</t>
        </is>
      </c>
      <c r="C76" s="34">
        <f>COUNTIF(E18:K37, "✓")</f>
        <v/>
      </c>
      <c r="D76" s="34">
        <f>COUNTIF(E18:K37, "✓") + COUNTIF(E18:K37, "✗")</f>
        <v/>
      </c>
      <c r="E76" s="35">
        <f>IFERROR(C76/D76, 0)</f>
        <v/>
      </c>
      <c r="N76" s="60" t="inlineStr">
        <is>
          <t>Health &amp; Fitness</t>
        </is>
      </c>
      <c r="O76" s="54" t="n"/>
      <c r="P76" s="34">
        <f>COUNTIF($C$18:$C$37, "Health &amp; Fitness")</f>
        <v/>
      </c>
      <c r="Q76" s="34">
        <f>SUMIF($C$18:$C$37, "Health &amp; Fitness", $D$18:$D$37)</f>
        <v/>
      </c>
      <c r="R76" s="34">
        <f>SUMIF($C$18:$C$37, "Health &amp; Fitness", $AM$18:$AM$37)</f>
        <v/>
      </c>
      <c r="S76" s="35">
        <f>IFERROR(R76/Q76, 0)</f>
        <v/>
      </c>
    </row>
    <row r="77" ht="14" customHeight="1">
      <c r="A77" s="33" t="inlineStr">
        <is>
          <t>Week 2</t>
        </is>
      </c>
      <c r="B77" s="34" t="inlineStr">
        <is>
          <t>Days 8 - 14</t>
        </is>
      </c>
      <c r="C77" s="34">
        <f>COUNTIF(L18:R37, "✓")</f>
        <v/>
      </c>
      <c r="D77" s="34">
        <f>COUNTIF(L18:R37, "✓") + COUNTIF(L18:R37, "✗")</f>
        <v/>
      </c>
      <c r="E77" s="35">
        <f>IFERROR(C77/D77, 0)</f>
        <v/>
      </c>
      <c r="N77" s="60" t="inlineStr">
        <is>
          <t>Mindset &amp; Learning</t>
        </is>
      </c>
      <c r="O77" s="54" t="n"/>
      <c r="P77" s="34">
        <f>COUNTIF($C$18:$C$37, "Mindset &amp; Learning")</f>
        <v/>
      </c>
      <c r="Q77" s="34">
        <f>SUMIF($C$18:$C$37, "Mindset &amp; Learning", $D$18:$D$37)</f>
        <v/>
      </c>
      <c r="R77" s="34">
        <f>SUMIF($C$18:$C$37, "Mindset &amp; Learning", $AM$18:$AM$37)</f>
        <v/>
      </c>
      <c r="S77" s="35">
        <f>IFERROR(R77/Q77, 0)</f>
        <v/>
      </c>
    </row>
    <row r="78" ht="14" customHeight="1">
      <c r="A78" s="33" t="inlineStr">
        <is>
          <t>Week 3</t>
        </is>
      </c>
      <c r="B78" s="34" t="inlineStr">
        <is>
          <t>Days 15 - 21</t>
        </is>
      </c>
      <c r="C78" s="34">
        <f>COUNTIF(S18:Y37, "✓")</f>
        <v/>
      </c>
      <c r="D78" s="34">
        <f>COUNTIF(S18:Y37, "✓") + COUNTIF(S18:Y37, "✗")</f>
        <v/>
      </c>
      <c r="E78" s="35">
        <f>IFERROR(C78/D78, 0)</f>
        <v/>
      </c>
      <c r="N78" s="60" t="inlineStr">
        <is>
          <t>Career &amp; Focus</t>
        </is>
      </c>
      <c r="O78" s="54" t="n"/>
      <c r="P78" s="34">
        <f>COUNTIF($C$18:$C$37, "Career &amp; Focus")</f>
        <v/>
      </c>
      <c r="Q78" s="34">
        <f>SUMIF($C$18:$C$37, "Career &amp; Focus", $D$18:$D$37)</f>
        <v/>
      </c>
      <c r="R78" s="34">
        <f>SUMIF($C$18:$C$37, "Career &amp; Focus", $AM$18:$AM$37)</f>
        <v/>
      </c>
      <c r="S78" s="35">
        <f>IFERROR(R78/Q78, 0)</f>
        <v/>
      </c>
    </row>
    <row r="79" ht="14" customHeight="1">
      <c r="A79" s="33" t="inlineStr">
        <is>
          <t>Week 4</t>
        </is>
      </c>
      <c r="B79" s="34" t="inlineStr">
        <is>
          <t>Days 22 - 28</t>
        </is>
      </c>
      <c r="C79" s="34">
        <f>COUNTIF(Z18:AF37, "✓")</f>
        <v/>
      </c>
      <c r="D79" s="34">
        <f>COUNTIF(Z18:AF37, "✓") + COUNTIF(Z18:AF37, "✗")</f>
        <v/>
      </c>
      <c r="E79" s="35">
        <f>IFERROR(C79/D79, 0)</f>
        <v/>
      </c>
      <c r="N79" s="60" t="inlineStr">
        <is>
          <t>Personal &amp; Home</t>
        </is>
      </c>
      <c r="O79" s="54" t="n"/>
      <c r="P79" s="34">
        <f>COUNTIF($C$18:$C$37, "Personal &amp; Home")</f>
        <v/>
      </c>
      <c r="Q79" s="34">
        <f>SUMIF($C$18:$C$37, "Personal &amp; Home", $D$18:$D$37)</f>
        <v/>
      </c>
      <c r="R79" s="34">
        <f>SUMIF($C$18:$C$37, "Personal &amp; Home", $AM$18:$AM$37)</f>
        <v/>
      </c>
      <c r="S79" s="35">
        <f>IFERROR(R79/Q79, 0)</f>
        <v/>
      </c>
    </row>
    <row r="80" ht="14" customHeight="1">
      <c r="A80" s="33" t="inlineStr">
        <is>
          <t>Week 5</t>
        </is>
      </c>
      <c r="B80" s="34" t="inlineStr">
        <is>
          <t>Days 29 - 31</t>
        </is>
      </c>
      <c r="C80" s="34">
        <f>COUNTIF(AG18:AI37, "✓")</f>
        <v/>
      </c>
      <c r="D80" s="34">
        <f>COUNTIF(AG18:AI37, "✓") + COUNTIF(AG18:AI37, "✗")</f>
        <v/>
      </c>
      <c r="E80" s="35">
        <f>IFERROR(C80/D80, 0)</f>
        <v/>
      </c>
      <c r="N80" s="60" t="inlineStr">
        <is>
          <t>Finance &amp; Wealth</t>
        </is>
      </c>
      <c r="O80" s="54" t="n"/>
      <c r="P80" s="34">
        <f>COUNTIF($C$18:$C$37, "Finance &amp; Wealth")</f>
        <v/>
      </c>
      <c r="Q80" s="34">
        <f>SUMIF($C$18:$C$37, "Finance &amp; Wealth", $D$18:$D$37)</f>
        <v/>
      </c>
      <c r="R80" s="34">
        <f>SUMIF($C$18:$C$37, "Finance &amp; Wealth", $AM$18:$AM$37)</f>
        <v/>
      </c>
      <c r="S80" s="35">
        <f>IFERROR(R80/Q80, 0)</f>
        <v/>
      </c>
    </row>
    <row r="81" ht="14" customHeight="1">
      <c r="A81" s="33" t="inlineStr">
        <is>
          <t>Total / Avg</t>
        </is>
      </c>
      <c r="B81" s="159" t="inlineStr">
        <is>
          <t>Month Total</t>
        </is>
      </c>
      <c r="C81" s="33">
        <f>SUM(C76:C80)</f>
        <v/>
      </c>
      <c r="D81" s="33">
        <f>SUM(D76:D80)</f>
        <v/>
      </c>
      <c r="E81" s="133">
        <f>IFERROR(C81/D81, 0)</f>
        <v/>
      </c>
    </row>
    <row r="82" ht="10" customHeight="1"/>
    <row r="83" ht="10" customHeight="1"/>
    <row r="84">
      <c r="A84" s="51" t="inlineStr">
        <is>
          <t>SLEEP &amp; PRODUCTIVITY CORRELATION ANALYSIS</t>
        </is>
      </c>
      <c r="B84" s="52" t="n"/>
      <c r="C84" s="52" t="n"/>
      <c r="D84" s="52" t="n"/>
      <c r="E84" s="52" t="n"/>
      <c r="F84" s="52" t="n"/>
      <c r="G84" s="52" t="n"/>
      <c r="H84" s="52" t="n"/>
      <c r="I84" s="52" t="n"/>
      <c r="J84" s="52" t="n"/>
      <c r="K84" s="52" t="n"/>
      <c r="L84" s="52" t="n"/>
      <c r="M84" s="52" t="n"/>
      <c r="N84" s="52" t="n"/>
      <c r="O84" s="52" t="n"/>
      <c r="P84" s="52" t="n"/>
      <c r="Q84" s="52" t="n"/>
      <c r="R84" s="52" t="n"/>
      <c r="S84" s="52" t="n"/>
      <c r="T84" s="52" t="n"/>
      <c r="U84" s="52" t="n"/>
      <c r="V84" s="52" t="n"/>
      <c r="W84" s="52" t="n"/>
      <c r="X84" s="52" t="n"/>
      <c r="Y84" s="52" t="n"/>
      <c r="Z84" s="52" t="n"/>
      <c r="AA84" s="52" t="n"/>
      <c r="AB84" s="52" t="n"/>
      <c r="AC84" s="52" t="n"/>
      <c r="AD84" s="52" t="n"/>
      <c r="AE84" s="52" t="n"/>
      <c r="AF84" s="52" t="n"/>
      <c r="AG84" s="52" t="n"/>
      <c r="AH84" s="52" t="n"/>
      <c r="AI84" s="52" t="n"/>
      <c r="AJ84" s="52" t="n"/>
      <c r="AK84" s="52" t="n"/>
      <c r="AL84" s="52" t="n"/>
    </row>
    <row r="85" ht="15" customHeight="1">
      <c r="A85" s="53" t="inlineStr">
        <is>
          <t>Rest Category</t>
        </is>
      </c>
      <c r="B85" s="54" t="n"/>
      <c r="C85" s="54" t="n"/>
      <c r="D85" s="53" t="inlineStr">
        <is>
          <t>Day Criteria</t>
        </is>
      </c>
      <c r="E85" s="54" t="n"/>
      <c r="F85" s="54" t="n"/>
      <c r="G85" s="53" t="inlineStr">
        <is>
          <t>Days Logged</t>
        </is>
      </c>
      <c r="H85" s="54" t="n"/>
      <c r="I85" s="54" t="n"/>
      <c r="J85" s="53" t="inlineStr">
        <is>
          <t>Avg Sleep Duration</t>
        </is>
      </c>
      <c r="K85" s="54" t="n"/>
      <c r="L85" s="54" t="n"/>
      <c r="M85" s="54" t="n"/>
      <c r="N85" s="53" t="inlineStr">
        <is>
          <t>Avg Habit Success %</t>
        </is>
      </c>
      <c r="O85" s="54" t="n"/>
      <c r="P85" s="54" t="n"/>
      <c r="Q85" s="54" t="n"/>
      <c r="R85" s="53" t="inlineStr">
        <is>
          <t>Productivity Delta</t>
        </is>
      </c>
      <c r="S85" s="54" t="n"/>
      <c r="T85" s="54" t="n"/>
      <c r="U85" s="54" t="n"/>
    </row>
    <row r="86" ht="15" customHeight="1">
      <c r="A86" s="160" t="inlineStr">
        <is>
          <t>Optimal Rest</t>
        </is>
      </c>
      <c r="B86" s="161" t="n"/>
      <c r="C86" s="56" t="n"/>
      <c r="D86" s="34" t="inlineStr">
        <is>
          <t>&gt;= 7 Hours / Night</t>
        </is>
      </c>
      <c r="E86" s="161" t="n"/>
      <c r="F86" s="56" t="n"/>
      <c r="G86" s="33">
        <f>COUNTIF(E47:AI47, "&gt;=7")</f>
        <v/>
      </c>
      <c r="H86" s="161" t="n"/>
      <c r="I86" s="56" t="n"/>
      <c r="J86" s="34">
        <f>IFERROR(TEXT(AVERAGEIF(E47:AI47, "&gt;=7"), "0.0") &amp; " hrs", "-")</f>
        <v/>
      </c>
      <c r="K86" s="161" t="n"/>
      <c r="L86" s="161" t="n"/>
      <c r="M86" s="56" t="n"/>
      <c r="N86" s="42">
        <f>IFERROR(AVERAGEIFS(E39:AI39, E47:AI47, "&gt;=7", E39:AI39, "&gt;0"), 0)</f>
        <v/>
      </c>
      <c r="O86" s="161" t="n"/>
      <c r="P86" s="161" t="n"/>
      <c r="Q86" s="56" t="n"/>
      <c r="R86" s="159" t="inlineStr">
        <is>
          <t>Baseline (Target)</t>
        </is>
      </c>
      <c r="S86" s="161" t="n"/>
      <c r="T86" s="161" t="n"/>
      <c r="U86" s="56" t="n"/>
    </row>
    <row r="87" ht="15" customHeight="1">
      <c r="A87" s="162" t="inlineStr">
        <is>
          <t>Sleep Deficit</t>
        </is>
      </c>
      <c r="B87" s="161" t="n"/>
      <c r="C87" s="56" t="n"/>
      <c r="D87" s="34" t="inlineStr">
        <is>
          <t>&lt; 7 Hours / Night</t>
        </is>
      </c>
      <c r="E87" s="161" t="n"/>
      <c r="F87" s="56" t="n"/>
      <c r="G87" s="33">
        <f>COUNTIF(E47:AI47, "&lt;7") - COUNTIF(E47:AI47, "")</f>
        <v/>
      </c>
      <c r="H87" s="161" t="n"/>
      <c r="I87" s="56" t="n"/>
      <c r="J87" s="34">
        <f>IFERROR(TEXT(AVERAGEIFS(E47:AI47, E47:AI47, "&lt;7", E47:AI47, "&gt;0"), "0.0") &amp; " hrs", "-")</f>
        <v/>
      </c>
      <c r="K87" s="161" t="n"/>
      <c r="L87" s="161" t="n"/>
      <c r="M87" s="56" t="n"/>
      <c r="N87" s="163">
        <f>IFERROR(AVERAGEIFS(E39:AI39, E47:AI47, "&lt;7", E39:AI39, "&gt;0"), 0)</f>
        <v/>
      </c>
      <c r="O87" s="161" t="n"/>
      <c r="P87" s="161" t="n"/>
      <c r="Q87" s="56" t="n"/>
      <c r="R87" s="160">
        <f>IFERROR(TEXT(N86 - N87, "+0.0%;-0.0%;0.0%") &amp; " Rest Advantage", "-")</f>
        <v/>
      </c>
      <c r="S87" s="161" t="n"/>
      <c r="T87" s="161" t="n"/>
      <c r="U87" s="56" t="n"/>
    </row>
    <row r="88" ht="18" customHeight="1">
      <c r="A88" s="164">
        <f>IF(AND(ISNUMBER(N86), ISNUMBER(N87), N86&gt;0, N87&gt;0), "💡 Sleep Correlation Insight: You complete " &amp; TEXT(ABS(N86-N87), "0.0%") &amp; IF(N86&gt;=N87, " MORE habits on days with 7+ hours of sleep!", " fewer habits on days with 7+ hours of sleep."), "💡 Log both habits and sleep hours daily to unlock automatic AI correlation insights!")</f>
        <v/>
      </c>
      <c r="B88" s="161" t="n"/>
      <c r="C88" s="161" t="n"/>
      <c r="D88" s="161" t="n"/>
      <c r="E88" s="161" t="n"/>
      <c r="F88" s="161" t="n"/>
      <c r="G88" s="161" t="n"/>
      <c r="H88" s="161" t="n"/>
      <c r="I88" s="161" t="n"/>
      <c r="J88" s="161" t="n"/>
      <c r="K88" s="161" t="n"/>
      <c r="L88" s="161" t="n"/>
      <c r="M88" s="161" t="n"/>
      <c r="N88" s="161" t="n"/>
      <c r="O88" s="161" t="n"/>
      <c r="P88" s="161" t="n"/>
      <c r="Q88" s="161" t="n"/>
      <c r="R88" s="161" t="n"/>
      <c r="S88" s="161" t="n"/>
      <c r="T88" s="161" t="n"/>
      <c r="U88" s="161" t="n"/>
      <c r="V88" s="161" t="n"/>
      <c r="W88" s="161" t="n"/>
      <c r="X88" s="161" t="n"/>
      <c r="Y88" s="161" t="n"/>
      <c r="Z88" s="161" t="n"/>
      <c r="AA88" s="161" t="n"/>
      <c r="AB88" s="161" t="n"/>
      <c r="AC88" s="161" t="n"/>
      <c r="AD88" s="161" t="n"/>
      <c r="AE88" s="161" t="n"/>
      <c r="AF88" s="161" t="n"/>
      <c r="AG88" s="161" t="n"/>
      <c r="AH88" s="161" t="n"/>
      <c r="AI88" s="161" t="n"/>
      <c r="AJ88" s="161" t="n"/>
      <c r="AK88" s="161" t="n"/>
      <c r="AL88" s="56" t="n"/>
    </row>
    <row r="89" ht="10" customHeight="1"/>
    <row r="90">
      <c r="A90" s="43" t="inlineStr">
        <is>
          <t>STANDARDIZED DATA BRIDGE (FOR ANNUAL &amp; QUARTERLY REVIEW SHEETS)</t>
        </is>
      </c>
      <c r="B90" s="44" t="n"/>
      <c r="C90" s="44" t="n"/>
      <c r="D90" s="44" t="n"/>
      <c r="E90" s="44" t="n"/>
      <c r="F90" s="44" t="n"/>
      <c r="G90" s="44" t="n"/>
      <c r="H90" s="44" t="n"/>
      <c r="I90" s="44" t="n"/>
      <c r="J90" s="44" t="n"/>
      <c r="K90" s="44" t="n"/>
      <c r="L90" s="44" t="n"/>
      <c r="M90" s="44" t="n"/>
      <c r="N90" s="44" t="n"/>
      <c r="O90" s="44" t="n"/>
      <c r="P90" s="44" t="n"/>
      <c r="Q90" s="44" t="n"/>
      <c r="R90" s="44" t="n"/>
      <c r="S90" s="44" t="n"/>
      <c r="T90" s="44" t="n"/>
      <c r="U90" s="44" t="n"/>
      <c r="V90" s="44" t="n"/>
      <c r="W90" s="44" t="n"/>
      <c r="X90" s="44" t="n"/>
      <c r="Y90" s="44" t="n"/>
      <c r="Z90" s="44" t="n"/>
      <c r="AA90" s="44" t="n"/>
      <c r="AB90" s="44" t="n"/>
      <c r="AC90" s="44" t="n"/>
      <c r="AD90" s="44" t="n"/>
      <c r="AE90" s="44" t="n"/>
      <c r="AF90" s="44" t="n"/>
      <c r="AG90" s="44" t="n"/>
      <c r="AH90" s="44" t="n"/>
      <c r="AI90" s="44" t="n"/>
      <c r="AJ90" s="44" t="n"/>
      <c r="AK90" s="44" t="n"/>
      <c r="AL90" s="44" t="n"/>
    </row>
    <row r="91" ht="15" customHeight="1">
      <c r="A91" s="53" t="inlineStr">
        <is>
          <t>Month</t>
        </is>
      </c>
      <c r="B91" s="54" t="n"/>
      <c r="C91" s="53" t="inlineStr">
        <is>
          <t>Year</t>
        </is>
      </c>
      <c r="D91" s="54" t="n"/>
      <c r="E91" s="53" t="inlineStr">
        <is>
          <t>Active Habits</t>
        </is>
      </c>
      <c r="F91" s="54" t="n"/>
      <c r="G91" s="53" t="inlineStr">
        <is>
          <t>Target Days</t>
        </is>
      </c>
      <c r="H91" s="54" t="n"/>
      <c r="I91" s="53" t="inlineStr">
        <is>
          <t>Done Checks</t>
        </is>
      </c>
      <c r="J91" s="54" t="n"/>
      <c r="K91" s="53" t="inlineStr">
        <is>
          <t>Success %</t>
        </is>
      </c>
      <c r="L91" s="54" t="n"/>
      <c r="M91" s="53" t="inlineStr">
        <is>
          <t>Perfect Days</t>
        </is>
      </c>
      <c r="N91" s="54" t="n"/>
      <c r="O91" s="53" t="inlineStr">
        <is>
          <t>Avg Sleep</t>
        </is>
      </c>
      <c r="P91" s="54" t="n"/>
      <c r="Q91" s="53" t="inlineStr">
        <is>
          <t>Best Week</t>
        </is>
      </c>
      <c r="R91" s="54" t="n"/>
      <c r="S91" s="54" t="n"/>
      <c r="T91" s="53" t="inlineStr">
        <is>
          <t>Top Life Domain</t>
        </is>
      </c>
      <c r="U91" s="54" t="n"/>
      <c r="V91" s="54" t="n"/>
      <c r="W91" s="54" t="n"/>
    </row>
    <row r="92" ht="16" customHeight="1">
      <c r="A92" s="165" t="inlineStr">
        <is>
          <t>May</t>
        </is>
      </c>
      <c r="B92" s="56" t="n"/>
      <c r="C92" s="165" t="n">
        <v>2030</v>
      </c>
      <c r="D92" s="56" t="n"/>
      <c r="E92" s="166">
        <f>COUNTA(B18:B37)</f>
        <v/>
      </c>
      <c r="F92" s="56" t="n"/>
      <c r="G92" s="166">
        <f>SUM(D18:D37)</f>
        <v/>
      </c>
      <c r="H92" s="56" t="n"/>
      <c r="I92" s="166">
        <f>SUM(AM18:AM37)</f>
        <v/>
      </c>
      <c r="J92" s="56" t="n"/>
      <c r="K92" s="167">
        <f>IF(G92&gt;0, I92/G92, 0)</f>
        <v/>
      </c>
      <c r="L92" s="56" t="n"/>
      <c r="M92" s="166">
        <f>COUNTIF(E39:AI39, 1)</f>
        <v/>
      </c>
      <c r="N92" s="56" t="n"/>
      <c r="O92" s="168">
        <f>IFERROR(AVERAGE(E47:AI47), 0)</f>
        <v/>
      </c>
      <c r="P92" s="56" t="n"/>
      <c r="Q92" s="166">
        <f>INDEX(A76:A80, MATCH(MAX(E76:E80), E76:E80, 0))</f>
        <v/>
      </c>
      <c r="R92" s="161" t="n"/>
      <c r="S92" s="56" t="n"/>
      <c r="T92" s="166">
        <f>INDEX(N76:N80, MATCH(MAX(S76:S80), S76:S80, 0))</f>
        <v/>
      </c>
      <c r="U92" s="161" t="n"/>
      <c r="V92" s="161" t="n"/>
      <c r="W92" s="56" t="n"/>
    </row>
    <row r="93" ht="14" customHeight="1">
      <c r="A93" s="169" t="inlineStr">
        <is>
          <t>📋 Note: Reference or copy Row 92 directly into an Annual / Quarterly review dashboard to track yearly habit trends.</t>
        </is>
      </c>
    </row>
    <row r="94" ht="8" customHeight="1"/>
    <row r="95">
      <c r="A95" s="170" t="inlineStr">
        <is>
          <t>🏆 MONTHLY WINS &amp; HIGHLIGHTS</t>
        </is>
      </c>
      <c r="J95" s="171" t="inlineStr">
        <is>
          <t>⚠️ FRICTION POINTS &amp; ROOT CAUSES</t>
        </is>
      </c>
      <c r="S95" s="172" t="inlineStr">
        <is>
          <t>🎯 3 KEY ADJUSTMENTS FOR NEXT MONTH</t>
        </is>
      </c>
    </row>
    <row r="96">
      <c r="A96" s="173" t="inlineStr">
        <is>
          <t>1. What went exceptionally well this month?
2. Which habit felt effortless and consistent?
3. Major milestone achieved:</t>
        </is>
      </c>
      <c r="B96" s="174" t="n"/>
      <c r="C96" s="174" t="n"/>
      <c r="D96" s="174" t="n"/>
      <c r="E96" s="174" t="n"/>
      <c r="F96" s="174" t="n"/>
      <c r="G96" s="174" t="n"/>
      <c r="H96" s="174" t="n"/>
      <c r="J96" s="175" t="inlineStr">
        <is>
          <t>1. What caused missed or skipped days?
2. Main triggers / energy drains encountered:
3. Which habit had the lowest consistency and why?</t>
        </is>
      </c>
      <c r="K96" s="176" t="n"/>
      <c r="L96" s="176" t="n"/>
      <c r="M96" s="176" t="n"/>
      <c r="N96" s="176" t="n"/>
      <c r="O96" s="176" t="n"/>
      <c r="P96" s="176" t="n"/>
      <c r="Q96" s="176" t="n"/>
      <c r="S96" s="177" t="inlineStr">
        <is>
          <t>1. Habit Stacking or time adjustment for next month:
2. Environment design change to eliminate friction:
3. One non-negotiable priority protocol:</t>
        </is>
      </c>
      <c r="T96" s="178" t="n"/>
      <c r="U96" s="178" t="n"/>
      <c r="V96" s="178" t="n"/>
      <c r="W96" s="178" t="n"/>
      <c r="X96" s="178" t="n"/>
      <c r="Y96" s="178" t="n"/>
      <c r="Z96" s="178" t="n"/>
    </row>
    <row r="97">
      <c r="A97" s="174" t="n"/>
      <c r="B97" s="174" t="n"/>
      <c r="C97" s="174" t="n"/>
      <c r="D97" s="174" t="n"/>
      <c r="E97" s="174" t="n"/>
      <c r="F97" s="174" t="n"/>
      <c r="G97" s="174" t="n"/>
      <c r="H97" s="174" t="n"/>
      <c r="J97" s="176" t="n"/>
      <c r="K97" s="176" t="n"/>
      <c r="L97" s="176" t="n"/>
      <c r="M97" s="176" t="n"/>
      <c r="N97" s="176" t="n"/>
      <c r="O97" s="176" t="n"/>
      <c r="P97" s="176" t="n"/>
      <c r="Q97" s="176" t="n"/>
      <c r="S97" s="178" t="n"/>
      <c r="T97" s="178" t="n"/>
      <c r="U97" s="178" t="n"/>
      <c r="V97" s="178" t="n"/>
      <c r="W97" s="178" t="n"/>
      <c r="X97" s="178" t="n"/>
      <c r="Y97" s="178" t="n"/>
      <c r="Z97" s="178" t="n"/>
    </row>
    <row r="98">
      <c r="A98" s="174" t="n"/>
      <c r="B98" s="174" t="n"/>
      <c r="C98" s="174" t="n"/>
      <c r="D98" s="174" t="n"/>
      <c r="E98" s="174" t="n"/>
      <c r="F98" s="174" t="n"/>
      <c r="G98" s="174" t="n"/>
      <c r="H98" s="174" t="n"/>
      <c r="J98" s="176" t="n"/>
      <c r="K98" s="176" t="n"/>
      <c r="L98" s="176" t="n"/>
      <c r="M98" s="176" t="n"/>
      <c r="N98" s="176" t="n"/>
      <c r="O98" s="176" t="n"/>
      <c r="P98" s="176" t="n"/>
      <c r="Q98" s="176" t="n"/>
      <c r="S98" s="178" t="n"/>
      <c r="T98" s="178" t="n"/>
      <c r="U98" s="178" t="n"/>
      <c r="V98" s="178" t="n"/>
      <c r="W98" s="178" t="n"/>
      <c r="X98" s="178" t="n"/>
      <c r="Y98" s="178" t="n"/>
      <c r="Z98" s="178" t="n"/>
    </row>
    <row r="99">
      <c r="A99" s="174" t="n"/>
      <c r="B99" s="174" t="n"/>
      <c r="C99" s="174" t="n"/>
      <c r="D99" s="174" t="n"/>
      <c r="E99" s="174" t="n"/>
      <c r="F99" s="174" t="n"/>
      <c r="G99" s="174" t="n"/>
      <c r="H99" s="174" t="n"/>
      <c r="J99" s="176" t="n"/>
      <c r="K99" s="176" t="n"/>
      <c r="L99" s="176" t="n"/>
      <c r="M99" s="176" t="n"/>
      <c r="N99" s="176" t="n"/>
      <c r="O99" s="176" t="n"/>
      <c r="P99" s="176" t="n"/>
      <c r="Q99" s="176" t="n"/>
      <c r="S99" s="178" t="n"/>
      <c r="T99" s="178" t="n"/>
      <c r="U99" s="178" t="n"/>
      <c r="V99" s="178" t="n"/>
      <c r="W99" s="178" t="n"/>
      <c r="X99" s="178" t="n"/>
      <c r="Y99" s="178" t="n"/>
      <c r="Z99" s="178" t="n"/>
    </row>
    <row r="100">
      <c r="A100" s="174" t="n"/>
      <c r="B100" s="174" t="n"/>
      <c r="C100" s="174" t="n"/>
      <c r="D100" s="174" t="n"/>
      <c r="E100" s="174" t="n"/>
      <c r="F100" s="174" t="n"/>
      <c r="G100" s="174" t="n"/>
      <c r="H100" s="174" t="n"/>
      <c r="J100" s="176" t="n"/>
      <c r="K100" s="176" t="n"/>
      <c r="L100" s="176" t="n"/>
      <c r="M100" s="176" t="n"/>
      <c r="N100" s="176" t="n"/>
      <c r="O100" s="176" t="n"/>
      <c r="P100" s="176" t="n"/>
      <c r="Q100" s="176" t="n"/>
      <c r="S100" s="178" t="n"/>
      <c r="T100" s="178" t="n"/>
      <c r="U100" s="178" t="n"/>
      <c r="V100" s="178" t="n"/>
      <c r="W100" s="178" t="n"/>
      <c r="X100" s="178" t="n"/>
      <c r="Y100" s="178" t="n"/>
      <c r="Z100" s="178" t="n"/>
    </row>
    <row r="101">
      <c r="A101" s="174" t="n"/>
      <c r="B101" s="174" t="n"/>
      <c r="C101" s="174" t="n"/>
      <c r="D101" s="174" t="n"/>
      <c r="E101" s="174" t="n"/>
      <c r="F101" s="174" t="n"/>
      <c r="G101" s="174" t="n"/>
      <c r="H101" s="174" t="n"/>
      <c r="J101" s="176" t="n"/>
      <c r="K101" s="176" t="n"/>
      <c r="L101" s="176" t="n"/>
      <c r="M101" s="176" t="n"/>
      <c r="N101" s="176" t="n"/>
      <c r="O101" s="176" t="n"/>
      <c r="P101" s="176" t="n"/>
      <c r="Q101" s="176" t="n"/>
      <c r="S101" s="178" t="n"/>
      <c r="T101" s="178" t="n"/>
      <c r="U101" s="178" t="n"/>
      <c r="V101" s="178" t="n"/>
      <c r="W101" s="178" t="n"/>
      <c r="X101" s="178" t="n"/>
      <c r="Y101" s="178" t="n"/>
      <c r="Z101" s="178" t="n"/>
    </row>
    <row r="102">
      <c r="A102" s="174" t="n"/>
      <c r="B102" s="174" t="n"/>
      <c r="C102" s="174" t="n"/>
      <c r="D102" s="174" t="n"/>
      <c r="E102" s="174" t="n"/>
      <c r="F102" s="174" t="n"/>
      <c r="G102" s="174" t="n"/>
      <c r="H102" s="174" t="n"/>
      <c r="J102" s="176" t="n"/>
      <c r="K102" s="176" t="n"/>
      <c r="L102" s="176" t="n"/>
      <c r="M102" s="176" t="n"/>
      <c r="N102" s="176" t="n"/>
      <c r="O102" s="176" t="n"/>
      <c r="P102" s="176" t="n"/>
      <c r="Q102" s="176" t="n"/>
      <c r="S102" s="178" t="n"/>
      <c r="T102" s="178" t="n"/>
      <c r="U102" s="178" t="n"/>
      <c r="V102" s="178" t="n"/>
      <c r="W102" s="178" t="n"/>
      <c r="X102" s="178" t="n"/>
      <c r="Y102" s="178" t="n"/>
      <c r="Z102" s="178" t="n"/>
    </row>
    <row r="103">
      <c r="A103" s="174" t="n"/>
      <c r="B103" s="174" t="n"/>
      <c r="C103" s="174" t="n"/>
      <c r="D103" s="174" t="n"/>
      <c r="E103" s="174" t="n"/>
      <c r="F103" s="174" t="n"/>
      <c r="G103" s="174" t="n"/>
      <c r="H103" s="174" t="n"/>
      <c r="J103" s="176" t="n"/>
      <c r="K103" s="176" t="n"/>
      <c r="L103" s="176" t="n"/>
      <c r="M103" s="176" t="n"/>
      <c r="N103" s="176" t="n"/>
      <c r="O103" s="176" t="n"/>
      <c r="P103" s="176" t="n"/>
      <c r="Q103" s="176" t="n"/>
      <c r="S103" s="178" t="n"/>
      <c r="T103" s="178" t="n"/>
      <c r="U103" s="178" t="n"/>
      <c r="V103" s="178" t="n"/>
      <c r="W103" s="178" t="n"/>
      <c r="X103" s="178" t="n"/>
      <c r="Y103" s="178" t="n"/>
      <c r="Z103" s="178" t="n"/>
    </row>
  </sheetData>
  <sheetProtection selectLockedCells="1" selectUnlockedCells="1" sheet="1" objects="0" insertRows="1" insertHyperlinks="1" autoFilter="1" scenarios="0" formatColumns="1" deleteColumns="1" insertColumns="1" pivotTables="1" deleteRows="1" formatCells="1" formatRows="1" sort="1"/>
  <mergeCells count="94">
    <mergeCell ref="A9:N9"/>
    <mergeCell ref="N76:O76"/>
    <mergeCell ref="F67:I67"/>
    <mergeCell ref="G87:I87"/>
    <mergeCell ref="A16:A17"/>
    <mergeCell ref="A45:D46"/>
    <mergeCell ref="C16:C17"/>
    <mergeCell ref="N75:O75"/>
    <mergeCell ref="N77:O77"/>
    <mergeCell ref="AE2:AL2"/>
    <mergeCell ref="P9:AL9"/>
    <mergeCell ref="P68:S70"/>
    <mergeCell ref="D16:D17"/>
    <mergeCell ref="N85:Q85"/>
    <mergeCell ref="A95:H95"/>
    <mergeCell ref="A84:AL84"/>
    <mergeCell ref="Q91:S91"/>
    <mergeCell ref="E91:F91"/>
    <mergeCell ref="A8:N8"/>
    <mergeCell ref="A42:AL42"/>
    <mergeCell ref="G91:H91"/>
    <mergeCell ref="J86:M86"/>
    <mergeCell ref="H3:AD3"/>
    <mergeCell ref="K67:N67"/>
    <mergeCell ref="S95:Z95"/>
    <mergeCell ref="N79:O79"/>
    <mergeCell ref="K92:L92"/>
    <mergeCell ref="C92:D92"/>
    <mergeCell ref="M92:N92"/>
    <mergeCell ref="F71:I71"/>
    <mergeCell ref="A88:AL88"/>
    <mergeCell ref="K68:N70"/>
    <mergeCell ref="T91:W91"/>
    <mergeCell ref="A41:AL41"/>
    <mergeCell ref="A90:AL90"/>
    <mergeCell ref="J95:Q95"/>
    <mergeCell ref="D85:F85"/>
    <mergeCell ref="N74:S74"/>
    <mergeCell ref="H2:AD2"/>
    <mergeCell ref="F68:I70"/>
    <mergeCell ref="A91:B91"/>
    <mergeCell ref="N78:O78"/>
    <mergeCell ref="C91:D91"/>
    <mergeCell ref="M91:N91"/>
    <mergeCell ref="O91:P91"/>
    <mergeCell ref="R86:U86"/>
    <mergeCell ref="N80:O80"/>
    <mergeCell ref="B16:B17"/>
    <mergeCell ref="A71:D71"/>
    <mergeCell ref="J85:M85"/>
    <mergeCell ref="D86:F86"/>
    <mergeCell ref="A92:B92"/>
    <mergeCell ref="N87:Q87"/>
    <mergeCell ref="A1:B1"/>
    <mergeCell ref="E92:F92"/>
    <mergeCell ref="AL16:AL17"/>
    <mergeCell ref="A68:D70"/>
    <mergeCell ref="P71:S71"/>
    <mergeCell ref="A86:C86"/>
    <mergeCell ref="D87:F87"/>
    <mergeCell ref="O92:P92"/>
    <mergeCell ref="A6:N6"/>
    <mergeCell ref="A39:D39"/>
    <mergeCell ref="P8:AL8"/>
    <mergeCell ref="P7:AL7"/>
    <mergeCell ref="G86:I86"/>
    <mergeCell ref="A96:H103"/>
    <mergeCell ref="P67:S67"/>
    <mergeCell ref="T92:W92"/>
    <mergeCell ref="R85:U85"/>
    <mergeCell ref="K71:N71"/>
    <mergeCell ref="S96:Z103"/>
    <mergeCell ref="A93:AL93"/>
    <mergeCell ref="A38:D38"/>
    <mergeCell ref="A67:D67"/>
    <mergeCell ref="I91:J91"/>
    <mergeCell ref="A85:C85"/>
    <mergeCell ref="K91:L91"/>
    <mergeCell ref="N86:Q86"/>
    <mergeCell ref="A7:N7"/>
    <mergeCell ref="P6:AL6"/>
    <mergeCell ref="A74:E74"/>
    <mergeCell ref="G85:I85"/>
    <mergeCell ref="G92:H92"/>
    <mergeCell ref="I92:J92"/>
    <mergeCell ref="R87:U87"/>
    <mergeCell ref="AK16:AK17"/>
    <mergeCell ref="J87:M87"/>
    <mergeCell ref="AJ16:AJ17"/>
    <mergeCell ref="J96:Q103"/>
    <mergeCell ref="A12:AL14"/>
    <mergeCell ref="Q92:S92"/>
    <mergeCell ref="A87:C87"/>
    <mergeCell ref="A47:D47"/>
  </mergeCells>
  <conditionalFormatting sqref="AJ18:AJ37">
    <cfRule type="dataBar" priority="1">
      <dataBar>
        <cfvo type="num" val="0"/>
        <cfvo type="num" val="1"/>
        <color rgb="0010B981"/>
      </dataBar>
    </cfRule>
  </conditionalFormatting>
  <conditionalFormatting sqref="E18:AI37">
    <cfRule type="cellIs" priority="2" operator="equal" dxfId="0">
      <formula>"✓"</formula>
    </cfRule>
    <cfRule type="cellIs" priority="3" operator="equal" dxfId="0">
      <formula>"✔"</formula>
    </cfRule>
    <cfRule type="cellIs" priority="4" operator="equal" dxfId="1">
      <formula>"✗"</formula>
    </cfRule>
    <cfRule type="cellIs" priority="5" operator="equal" dxfId="1">
      <formula>"x"</formula>
    </cfRule>
    <cfRule type="cellIs" priority="6" operator="equal" dxfId="1">
      <formula>"X"</formula>
    </cfRule>
  </conditionalFormatting>
  <conditionalFormatting sqref="E16:E17">
    <cfRule type="expression" priority="7" dxfId="2">
      <formula>AND(DAY(TODAY())=1, MONTH(TODAY())=5, YEAR(TODAY())=2030)</formula>
    </cfRule>
  </conditionalFormatting>
  <conditionalFormatting sqref="F16:F17">
    <cfRule type="expression" priority="8" dxfId="2">
      <formula>AND(DAY(TODAY())=2, MONTH(TODAY())=5, YEAR(TODAY())=2030)</formula>
    </cfRule>
  </conditionalFormatting>
  <conditionalFormatting sqref="G16:G17">
    <cfRule type="expression" priority="9" dxfId="2">
      <formula>AND(DAY(TODAY())=3, MONTH(TODAY())=5, YEAR(TODAY())=2030)</formula>
    </cfRule>
  </conditionalFormatting>
  <conditionalFormatting sqref="H16:H17">
    <cfRule type="expression" priority="10" dxfId="2">
      <formula>AND(DAY(TODAY())=4, MONTH(TODAY())=5, YEAR(TODAY())=2030)</formula>
    </cfRule>
  </conditionalFormatting>
  <conditionalFormatting sqref="I16:I17">
    <cfRule type="expression" priority="11" dxfId="2">
      <formula>AND(DAY(TODAY())=5, MONTH(TODAY())=5, YEAR(TODAY())=2030)</formula>
    </cfRule>
  </conditionalFormatting>
  <conditionalFormatting sqref="J16:J17">
    <cfRule type="expression" priority="12" dxfId="2">
      <formula>AND(DAY(TODAY())=6, MONTH(TODAY())=5, YEAR(TODAY())=2030)</formula>
    </cfRule>
  </conditionalFormatting>
  <conditionalFormatting sqref="K16:K17">
    <cfRule type="expression" priority="13" dxfId="2">
      <formula>AND(DAY(TODAY())=7, MONTH(TODAY())=5, YEAR(TODAY())=2030)</formula>
    </cfRule>
  </conditionalFormatting>
  <conditionalFormatting sqref="L16:L17">
    <cfRule type="expression" priority="14" dxfId="2">
      <formula>AND(DAY(TODAY())=8, MONTH(TODAY())=5, YEAR(TODAY())=2030)</formula>
    </cfRule>
  </conditionalFormatting>
  <conditionalFormatting sqref="M16:M17">
    <cfRule type="expression" priority="15" dxfId="2">
      <formula>AND(DAY(TODAY())=9, MONTH(TODAY())=5, YEAR(TODAY())=2030)</formula>
    </cfRule>
  </conditionalFormatting>
  <conditionalFormatting sqref="N16:N17">
    <cfRule type="expression" priority="16" dxfId="2">
      <formula>AND(DAY(TODAY())=10, MONTH(TODAY())=5, YEAR(TODAY())=2030)</formula>
    </cfRule>
  </conditionalFormatting>
  <conditionalFormatting sqref="O16:O17">
    <cfRule type="expression" priority="17" dxfId="2">
      <formula>AND(DAY(TODAY())=11, MONTH(TODAY())=5, YEAR(TODAY())=2030)</formula>
    </cfRule>
  </conditionalFormatting>
  <conditionalFormatting sqref="P16:P17">
    <cfRule type="expression" priority="18" dxfId="2">
      <formula>AND(DAY(TODAY())=12, MONTH(TODAY())=5, YEAR(TODAY())=2030)</formula>
    </cfRule>
  </conditionalFormatting>
  <conditionalFormatting sqref="Q16:Q17">
    <cfRule type="expression" priority="19" dxfId="2">
      <formula>AND(DAY(TODAY())=13, MONTH(TODAY())=5, YEAR(TODAY())=2030)</formula>
    </cfRule>
  </conditionalFormatting>
  <conditionalFormatting sqref="R16:R17">
    <cfRule type="expression" priority="20" dxfId="2">
      <formula>AND(DAY(TODAY())=14, MONTH(TODAY())=5, YEAR(TODAY())=2030)</formula>
    </cfRule>
  </conditionalFormatting>
  <conditionalFormatting sqref="S16:S17">
    <cfRule type="expression" priority="21" dxfId="2">
      <formula>AND(DAY(TODAY())=15, MONTH(TODAY())=5, YEAR(TODAY())=2030)</formula>
    </cfRule>
  </conditionalFormatting>
  <conditionalFormatting sqref="T16:T17">
    <cfRule type="expression" priority="22" dxfId="2">
      <formula>AND(DAY(TODAY())=16, MONTH(TODAY())=5, YEAR(TODAY())=2030)</formula>
    </cfRule>
  </conditionalFormatting>
  <conditionalFormatting sqref="U16:U17">
    <cfRule type="expression" priority="23" dxfId="2">
      <formula>AND(DAY(TODAY())=17, MONTH(TODAY())=5, YEAR(TODAY())=2030)</formula>
    </cfRule>
  </conditionalFormatting>
  <conditionalFormatting sqref="V16:V17">
    <cfRule type="expression" priority="24" dxfId="2">
      <formula>AND(DAY(TODAY())=18, MONTH(TODAY())=5, YEAR(TODAY())=2030)</formula>
    </cfRule>
  </conditionalFormatting>
  <conditionalFormatting sqref="W16:W17">
    <cfRule type="expression" priority="25" dxfId="2">
      <formula>AND(DAY(TODAY())=19, MONTH(TODAY())=5, YEAR(TODAY())=2030)</formula>
    </cfRule>
  </conditionalFormatting>
  <conditionalFormatting sqref="X16:X17">
    <cfRule type="expression" priority="26" dxfId="2">
      <formula>AND(DAY(TODAY())=20, MONTH(TODAY())=5, YEAR(TODAY())=2030)</formula>
    </cfRule>
  </conditionalFormatting>
  <conditionalFormatting sqref="Y16:Y17">
    <cfRule type="expression" priority="27" dxfId="2">
      <formula>AND(DAY(TODAY())=21, MONTH(TODAY())=5, YEAR(TODAY())=2030)</formula>
    </cfRule>
  </conditionalFormatting>
  <conditionalFormatting sqref="Z16:Z17">
    <cfRule type="expression" priority="28" dxfId="2">
      <formula>AND(DAY(TODAY())=22, MONTH(TODAY())=5, YEAR(TODAY())=2030)</formula>
    </cfRule>
  </conditionalFormatting>
  <conditionalFormatting sqref="AA16:AA17">
    <cfRule type="expression" priority="29" dxfId="2">
      <formula>AND(DAY(TODAY())=23, MONTH(TODAY())=5, YEAR(TODAY())=2030)</formula>
    </cfRule>
  </conditionalFormatting>
  <conditionalFormatting sqref="AB16:AB17">
    <cfRule type="expression" priority="30" dxfId="2">
      <formula>AND(DAY(TODAY())=24, MONTH(TODAY())=5, YEAR(TODAY())=2030)</formula>
    </cfRule>
  </conditionalFormatting>
  <conditionalFormatting sqref="AC16:AC17">
    <cfRule type="expression" priority="31" dxfId="2">
      <formula>AND(DAY(TODAY())=25, MONTH(TODAY())=5, YEAR(TODAY())=2030)</formula>
    </cfRule>
  </conditionalFormatting>
  <conditionalFormatting sqref="AD16:AD17">
    <cfRule type="expression" priority="32" dxfId="2">
      <formula>AND(DAY(TODAY())=26, MONTH(TODAY())=5, YEAR(TODAY())=2030)</formula>
    </cfRule>
  </conditionalFormatting>
  <conditionalFormatting sqref="AE16:AE17">
    <cfRule type="expression" priority="33" dxfId="2">
      <formula>AND(DAY(TODAY())=27, MONTH(TODAY())=5, YEAR(TODAY())=2030)</formula>
    </cfRule>
  </conditionalFormatting>
  <conditionalFormatting sqref="AF16:AF17">
    <cfRule type="expression" priority="34" dxfId="2">
      <formula>AND(DAY(TODAY())=28, MONTH(TODAY())=5, YEAR(TODAY())=2030)</formula>
    </cfRule>
  </conditionalFormatting>
  <conditionalFormatting sqref="AG16:AG17">
    <cfRule type="expression" priority="35" dxfId="2">
      <formula>AND(DAY(TODAY())=29, MONTH(TODAY())=5, YEAR(TODAY())=2030)</formula>
    </cfRule>
  </conditionalFormatting>
  <conditionalFormatting sqref="AH16:AH17">
    <cfRule type="expression" priority="36" dxfId="2">
      <formula>AND(DAY(TODAY())=30, MONTH(TODAY())=5, YEAR(TODAY())=2030)</formula>
    </cfRule>
  </conditionalFormatting>
  <conditionalFormatting sqref="AI16:AI17">
    <cfRule type="expression" priority="37" dxfId="2">
      <formula>AND(DAY(TODAY())=31, MONTH(TODAY())=5, YEAR(TODAY())=2030)</formula>
    </cfRule>
  </conditionalFormatting>
  <dataValidations count="4">
    <dataValidation sqref="C18:C37" showDropDown="0" showInputMessage="0" showErrorMessage="0" allowBlank="1" type="list">
      <formula1>"Health &amp; Fitness,Mindset &amp; Learning,Career &amp; Focus,Personal &amp; Home,Finance &amp; Wealth,Other"</formula1>
    </dataValidation>
    <dataValidation sqref="D18:D37" showDropDown="0" showInputMessage="0" showErrorMessage="0" allowBlank="1" type="list">
      <formula1>"1,2,3,4,5,6,7,8,9,10,11,12,13,14,15,16,17,18,19,20,21,22,23,24,25,26,27,28,29,30,31"</formula1>
    </dataValidation>
    <dataValidation sqref="E18:AI37" showDropDown="0" showInputMessage="0" showErrorMessage="0" allowBlank="1" type="list">
      <formula1>"✓,✗"</formula1>
    </dataValidation>
    <dataValidation sqref="E47:AI47" showDropDown="0" showInputMessage="0" showErrorMessage="0" allowBlank="1" type="list">
      <formula1>"1,2,3,4,5,6,7,8,9,10,11,12,13,14,15,16,17,18,19,20,21,22,23,24"</formula1>
    </dataValidation>
  </dataValidations>
  <hyperlinks>
    <hyperlink xmlns:r="http://schemas.openxmlformats.org/officeDocument/2006/relationships" ref="A1" r:id="rId1"/>
    <hyperlink xmlns:r="http://schemas.openxmlformats.org/officeDocument/2006/relationships" ref="C1" r:id="rId2"/>
    <hyperlink xmlns:r="http://schemas.openxmlformats.org/officeDocument/2006/relationships" ref="D1" r:id="rId3"/>
    <hyperlink xmlns:r="http://schemas.openxmlformats.org/officeDocument/2006/relationships" ref="E1" r:id="rId4"/>
    <hyperlink xmlns:r="http://schemas.openxmlformats.org/officeDocument/2006/relationships" ref="F1" r:id="rId5"/>
    <hyperlink xmlns:r="http://schemas.openxmlformats.org/officeDocument/2006/relationships" ref="G1" r:id="rId6"/>
    <hyperlink xmlns:r="http://schemas.openxmlformats.org/officeDocument/2006/relationships" ref="H1" r:id="rId7"/>
    <hyperlink xmlns:r="http://schemas.openxmlformats.org/officeDocument/2006/relationships" ref="I1" r:id="rId8"/>
    <hyperlink xmlns:r="http://schemas.openxmlformats.org/officeDocument/2006/relationships" ref="J1" r:id="rId9"/>
    <hyperlink xmlns:r="http://schemas.openxmlformats.org/officeDocument/2006/relationships" ref="K1" r:id="rId10"/>
  </hyperlinks>
  <printOptions horizontalCentered="1" verticalCentered="0"/>
  <pageMargins left="0.75" right="0.75" top="1" bottom="1" header="0.5" footer="0.5"/>
  <pageSetup orientation="landscape" paperSize="9" fitToHeight="0" fitToWidth="1"/>
  <drawing xmlns:r="http://schemas.openxmlformats.org/officeDocument/2006/relationships" r:id="rId11"/>
</worksheet>
</file>

<file path=xl/worksheets/sheet49.xml><?xml version="1.0" encoding="utf-8"?>
<worksheet xmlns="http://schemas.openxmlformats.org/spreadsheetml/2006/main">
  <sheetPr>
    <outlinePr summaryBelow="1" summaryRight="1"/>
    <pageSetUpPr fitToPage="1"/>
  </sheetPr>
  <dimension ref="A1:AL103"/>
  <sheetViews>
    <sheetView showGridLines="1" workbookViewId="0">
      <selection activeCell="A1" sqref="A1"/>
    </sheetView>
  </sheetViews>
  <sheetFormatPr baseColWidth="8" defaultRowHeight="15"/>
  <cols>
    <col width="6" customWidth="1" min="1" max="1"/>
    <col width="25" customWidth="1" min="2" max="2"/>
    <col width="16.5" customWidth="1" min="3" max="3"/>
    <col width="8" customWidth="1" min="4" max="4"/>
    <col width="4.8" customWidth="1" min="5" max="5"/>
    <col width="4.8" customWidth="1" min="6" max="6"/>
    <col width="4.8" customWidth="1" min="7" max="7"/>
    <col width="4.8" customWidth="1" min="8" max="8"/>
    <col width="4.8" customWidth="1" min="9" max="9"/>
    <col width="4.8" customWidth="1" min="10" max="10"/>
    <col width="4.8" customWidth="1" min="11" max="11"/>
    <col width="4.8" customWidth="1" min="12" max="12"/>
    <col width="4.8" customWidth="1" min="13" max="13"/>
    <col width="4.8" customWidth="1" min="14" max="14"/>
    <col width="4.8" customWidth="1" min="15" max="15"/>
    <col width="4.8" customWidth="1" min="16" max="16"/>
    <col width="4.8" customWidth="1" min="17" max="17"/>
    <col width="4.8" customWidth="1" min="18" max="18"/>
    <col width="4.8" customWidth="1" min="19" max="19"/>
    <col width="4.8" customWidth="1" min="20" max="20"/>
    <col width="4.8" customWidth="1" min="21" max="21"/>
    <col width="4.8" customWidth="1" min="22" max="22"/>
    <col width="4.8" customWidth="1" min="23" max="23"/>
    <col width="4.8" customWidth="1" min="24" max="24"/>
    <col width="4.8" customWidth="1" min="25" max="25"/>
    <col width="4.8" customWidth="1" min="26" max="26"/>
    <col width="4.8" customWidth="1" min="27" max="27"/>
    <col width="4.8" customWidth="1" min="28" max="28"/>
    <col width="4.8" customWidth="1" min="29" max="29"/>
    <col width="4.8" customWidth="1" min="30" max="30"/>
    <col width="4.8" customWidth="1" min="31" max="31"/>
    <col width="4.8" customWidth="1" min="32" max="32"/>
    <col width="4.8" customWidth="1" min="33" max="33"/>
    <col width="4.8" customWidth="1" min="34" max="34"/>
    <col width="11.5" customWidth="1" min="35" max="35"/>
    <col width="12" customWidth="1" min="36" max="36"/>
    <col width="13.5" customWidth="1" min="37" max="37"/>
    <col hidden="1" width="8" customWidth="1" min="38" max="38"/>
  </cols>
  <sheetData>
    <row r="1" ht="18" customHeight="1">
      <c r="A1" s="76" t="inlineStr">
        <is>
          <t>🏠 Master Dashboard</t>
        </is>
      </c>
      <c r="B1" s="40" t="n"/>
      <c r="C1" s="77" t="inlineStr">
        <is>
          <t>🏛️ Quarterly Hub</t>
        </is>
      </c>
      <c r="D1" s="78" t="inlineStr">
        <is>
          <t>📚 Habit Library</t>
        </is>
      </c>
      <c r="E1" s="80" t="inlineStr">
        <is>
          <t>2026</t>
        </is>
      </c>
      <c r="F1" s="80" t="inlineStr">
        <is>
          <t>2027</t>
        </is>
      </c>
      <c r="G1" s="80" t="inlineStr">
        <is>
          <t>2028</t>
        </is>
      </c>
      <c r="H1" s="80" t="inlineStr">
        <is>
          <t>2029</t>
        </is>
      </c>
      <c r="I1" s="79" t="inlineStr">
        <is>
          <t>2030</t>
        </is>
      </c>
      <c r="J1" s="82" t="inlineStr">
        <is>
          <t>◀ Prev</t>
        </is>
      </c>
      <c r="K1" s="82" t="inlineStr">
        <is>
          <t>Next ▶</t>
        </is>
      </c>
    </row>
    <row r="2" ht="24" customHeight="1">
      <c r="A2" s="83" t="inlineStr">
        <is>
          <t>Habit Tracker</t>
        </is>
      </c>
      <c r="H2" s="84" t="inlineStr">
        <is>
          <t>"Your future is created by what you do today."</t>
        </is>
      </c>
      <c r="AD2" s="85" t="inlineStr">
        <is>
          <t>@surajvansh</t>
        </is>
      </c>
    </row>
    <row r="3" ht="18" customHeight="1">
      <c r="A3" s="86" t="inlineStr">
        <is>
          <t>June 2030</t>
        </is>
      </c>
      <c r="H3" s="87" t="inlineStr">
        <is>
          <t>30 Days Dashboard</t>
        </is>
      </c>
    </row>
    <row r="4" ht="5" customHeight="1"/>
    <row r="5" ht="16" customHeight="1">
      <c r="A5" s="88" t="inlineStr">
        <is>
          <t>MONTHLY TARGETS</t>
        </is>
      </c>
    </row>
    <row r="6" ht="13" customHeight="1">
      <c r="A6" s="89" t="inlineStr">
        <is>
          <t>1. ____________________ : ____________________</t>
        </is>
      </c>
      <c r="P6" s="89" t="inlineStr">
        <is>
          <t>5. ____________________ : ____________________</t>
        </is>
      </c>
    </row>
    <row r="7" ht="13" customHeight="1">
      <c r="A7" s="89" t="inlineStr">
        <is>
          <t>2. ____________________ : ____________________</t>
        </is>
      </c>
      <c r="P7" s="89" t="inlineStr">
        <is>
          <t>6. ____________________ : ____________________</t>
        </is>
      </c>
    </row>
    <row r="8" ht="13" customHeight="1">
      <c r="A8" s="89" t="inlineStr">
        <is>
          <t>3. ____________________ : ____________________</t>
        </is>
      </c>
      <c r="P8" s="89" t="inlineStr">
        <is>
          <t>7. ____________________ : ____________________</t>
        </is>
      </c>
    </row>
    <row r="9" ht="13" customHeight="1">
      <c r="A9" s="89" t="inlineStr">
        <is>
          <t>4. ____________________ : ____________________</t>
        </is>
      </c>
      <c r="P9" s="89" t="inlineStr">
        <is>
          <t>8. ____________________ : ____________________</t>
        </is>
      </c>
    </row>
    <row r="10" ht="5" customHeight="1"/>
    <row r="11" ht="15" customHeight="1">
      <c r="A11" s="88" t="inlineStr">
        <is>
          <t>NOTES:</t>
        </is>
      </c>
    </row>
    <row r="12" ht="13" customHeight="1">
      <c r="A12" s="90" t="n"/>
      <c r="B12" s="91" t="n"/>
      <c r="C12" s="91" t="n"/>
      <c r="D12" s="91" t="n"/>
      <c r="E12" s="91" t="n"/>
      <c r="F12" s="91" t="n"/>
      <c r="G12" s="91" t="n"/>
      <c r="H12" s="91" t="n"/>
      <c r="I12" s="91" t="n"/>
      <c r="J12" s="91" t="n"/>
      <c r="K12" s="91" t="n"/>
      <c r="L12" s="91" t="n"/>
      <c r="M12" s="91" t="n"/>
      <c r="N12" s="91" t="n"/>
      <c r="O12" s="91" t="n"/>
      <c r="P12" s="91" t="n"/>
      <c r="Q12" s="91" t="n"/>
      <c r="R12" s="91" t="n"/>
      <c r="S12" s="91" t="n"/>
      <c r="T12" s="91" t="n"/>
      <c r="U12" s="91" t="n"/>
      <c r="V12" s="91" t="n"/>
      <c r="W12" s="91" t="n"/>
      <c r="X12" s="91" t="n"/>
      <c r="Y12" s="91" t="n"/>
      <c r="Z12" s="91" t="n"/>
      <c r="AA12" s="91" t="n"/>
      <c r="AB12" s="91" t="n"/>
      <c r="AC12" s="91" t="n"/>
      <c r="AD12" s="91" t="n"/>
      <c r="AE12" s="91" t="n"/>
      <c r="AF12" s="91" t="n"/>
      <c r="AG12" s="91" t="n"/>
      <c r="AH12" s="91" t="n"/>
      <c r="AI12" s="91" t="n"/>
      <c r="AJ12" s="91" t="n"/>
      <c r="AK12" s="91" t="n"/>
    </row>
    <row r="13" ht="13" customHeight="1">
      <c r="A13" s="91" t="n"/>
      <c r="B13" s="91" t="n"/>
      <c r="C13" s="91" t="n"/>
      <c r="D13" s="91" t="n"/>
      <c r="E13" s="91" t="n"/>
      <c r="F13" s="91" t="n"/>
      <c r="G13" s="91" t="n"/>
      <c r="H13" s="91" t="n"/>
      <c r="I13" s="91" t="n"/>
      <c r="J13" s="91" t="n"/>
      <c r="K13" s="91" t="n"/>
      <c r="L13" s="91" t="n"/>
      <c r="M13" s="91" t="n"/>
      <c r="N13" s="91" t="n"/>
      <c r="O13" s="91" t="n"/>
      <c r="P13" s="91" t="n"/>
      <c r="Q13" s="91" t="n"/>
      <c r="R13" s="91" t="n"/>
      <c r="S13" s="91" t="n"/>
      <c r="T13" s="91" t="n"/>
      <c r="U13" s="91" t="n"/>
      <c r="V13" s="91" t="n"/>
      <c r="W13" s="91" t="n"/>
      <c r="X13" s="91" t="n"/>
      <c r="Y13" s="91" t="n"/>
      <c r="Z13" s="91" t="n"/>
      <c r="AA13" s="91" t="n"/>
      <c r="AB13" s="91" t="n"/>
      <c r="AC13" s="91" t="n"/>
      <c r="AD13" s="91" t="n"/>
      <c r="AE13" s="91" t="n"/>
      <c r="AF13" s="91" t="n"/>
      <c r="AG13" s="91" t="n"/>
      <c r="AH13" s="91" t="n"/>
      <c r="AI13" s="91" t="n"/>
      <c r="AJ13" s="91" t="n"/>
      <c r="AK13" s="91" t="n"/>
    </row>
    <row r="14" ht="13" customHeight="1">
      <c r="A14" s="91" t="n"/>
      <c r="B14" s="91" t="n"/>
      <c r="C14" s="91" t="n"/>
      <c r="D14" s="91" t="n"/>
      <c r="E14" s="91" t="n"/>
      <c r="F14" s="91" t="n"/>
      <c r="G14" s="91" t="n"/>
      <c r="H14" s="91" t="n"/>
      <c r="I14" s="91" t="n"/>
      <c r="J14" s="91" t="n"/>
      <c r="K14" s="91" t="n"/>
      <c r="L14" s="91" t="n"/>
      <c r="M14" s="91" t="n"/>
      <c r="N14" s="91" t="n"/>
      <c r="O14" s="91" t="n"/>
      <c r="P14" s="91" t="n"/>
      <c r="Q14" s="91" t="n"/>
      <c r="R14" s="91" t="n"/>
      <c r="S14" s="91" t="n"/>
      <c r="T14" s="91" t="n"/>
      <c r="U14" s="91" t="n"/>
      <c r="V14" s="91" t="n"/>
      <c r="W14" s="91" t="n"/>
      <c r="X14" s="91" t="n"/>
      <c r="Y14" s="91" t="n"/>
      <c r="Z14" s="91" t="n"/>
      <c r="AA14" s="91" t="n"/>
      <c r="AB14" s="91" t="n"/>
      <c r="AC14" s="91" t="n"/>
      <c r="AD14" s="91" t="n"/>
      <c r="AE14" s="91" t="n"/>
      <c r="AF14" s="91" t="n"/>
      <c r="AG14" s="91" t="n"/>
      <c r="AH14" s="91" t="n"/>
      <c r="AI14" s="91" t="n"/>
      <c r="AJ14" s="91" t="n"/>
      <c r="AK14" s="91" t="n"/>
    </row>
    <row r="15" ht="8" customHeight="1"/>
    <row r="16" ht="15" customHeight="1">
      <c r="A16" s="33" t="inlineStr">
        <is>
          <t>S.No.</t>
        </is>
      </c>
      <c r="B16" s="33" t="inlineStr">
        <is>
          <t>Protocols</t>
        </is>
      </c>
      <c r="C16" s="33" t="inlineStr">
        <is>
          <t>Category</t>
        </is>
      </c>
      <c r="D16" s="33" t="inlineStr">
        <is>
          <t>Target</t>
        </is>
      </c>
      <c r="E16" s="92" t="n">
        <v>1</v>
      </c>
      <c r="F16" s="93" t="n">
        <v>2</v>
      </c>
      <c r="G16" s="92" t="n">
        <v>3</v>
      </c>
      <c r="H16" s="92" t="n">
        <v>4</v>
      </c>
      <c r="I16" s="92" t="n">
        <v>5</v>
      </c>
      <c r="J16" s="92" t="n">
        <v>6</v>
      </c>
      <c r="K16" s="92" t="n">
        <v>7</v>
      </c>
      <c r="L16" s="92" t="n">
        <v>8</v>
      </c>
      <c r="M16" s="93" t="n">
        <v>9</v>
      </c>
      <c r="N16" s="92" t="n">
        <v>10</v>
      </c>
      <c r="O16" s="92" t="n">
        <v>11</v>
      </c>
      <c r="P16" s="92" t="n">
        <v>12</v>
      </c>
      <c r="Q16" s="92" t="n">
        <v>13</v>
      </c>
      <c r="R16" s="92" t="n">
        <v>14</v>
      </c>
      <c r="S16" s="92" t="n">
        <v>15</v>
      </c>
      <c r="T16" s="93" t="n">
        <v>16</v>
      </c>
      <c r="U16" s="92" t="n">
        <v>17</v>
      </c>
      <c r="V16" s="92" t="n">
        <v>18</v>
      </c>
      <c r="W16" s="92" t="n">
        <v>19</v>
      </c>
      <c r="X16" s="92" t="n">
        <v>20</v>
      </c>
      <c r="Y16" s="92" t="n">
        <v>21</v>
      </c>
      <c r="Z16" s="92" t="n">
        <v>22</v>
      </c>
      <c r="AA16" s="93" t="n">
        <v>23</v>
      </c>
      <c r="AB16" s="92" t="n">
        <v>24</v>
      </c>
      <c r="AC16" s="92" t="n">
        <v>25</v>
      </c>
      <c r="AD16" s="92" t="n">
        <v>26</v>
      </c>
      <c r="AE16" s="92" t="n">
        <v>27</v>
      </c>
      <c r="AF16" s="92" t="n">
        <v>28</v>
      </c>
      <c r="AG16" s="92" t="n">
        <v>29</v>
      </c>
      <c r="AH16" s="93" t="n">
        <v>30</v>
      </c>
      <c r="AI16" s="94" t="inlineStr">
        <is>
          <t>Success %</t>
        </is>
      </c>
      <c r="AJ16" s="94" t="inlineStr">
        <is>
          <t>Done / Target</t>
        </is>
      </c>
      <c r="AK16" s="94" t="inlineStr">
        <is>
          <t>Status</t>
        </is>
      </c>
      <c r="AL16" t="inlineStr">
        <is>
          <t>Done Count</t>
        </is>
      </c>
    </row>
    <row r="17" ht="15" customHeight="1">
      <c r="A17" s="54" t="n"/>
      <c r="B17" s="54" t="n"/>
      <c r="C17" s="54" t="n"/>
      <c r="D17" s="54" t="n"/>
      <c r="E17" s="95" t="inlineStr">
        <is>
          <t>Sa</t>
        </is>
      </c>
      <c r="F17" s="96" t="inlineStr">
        <is>
          <t>Su</t>
        </is>
      </c>
      <c r="G17" s="95" t="inlineStr">
        <is>
          <t>M</t>
        </is>
      </c>
      <c r="H17" s="95" t="inlineStr">
        <is>
          <t>T</t>
        </is>
      </c>
      <c r="I17" s="95" t="inlineStr">
        <is>
          <t>W</t>
        </is>
      </c>
      <c r="J17" s="95" t="inlineStr">
        <is>
          <t>Th</t>
        </is>
      </c>
      <c r="K17" s="95" t="inlineStr">
        <is>
          <t>F</t>
        </is>
      </c>
      <c r="L17" s="95" t="inlineStr">
        <is>
          <t>Sa</t>
        </is>
      </c>
      <c r="M17" s="96" t="inlineStr">
        <is>
          <t>Su</t>
        </is>
      </c>
      <c r="N17" s="95" t="inlineStr">
        <is>
          <t>M</t>
        </is>
      </c>
      <c r="O17" s="95" t="inlineStr">
        <is>
          <t>T</t>
        </is>
      </c>
      <c r="P17" s="95" t="inlineStr">
        <is>
          <t>W</t>
        </is>
      </c>
      <c r="Q17" s="95" t="inlineStr">
        <is>
          <t>Th</t>
        </is>
      </c>
      <c r="R17" s="95" t="inlineStr">
        <is>
          <t>F</t>
        </is>
      </c>
      <c r="S17" s="95" t="inlineStr">
        <is>
          <t>Sa</t>
        </is>
      </c>
      <c r="T17" s="96" t="inlineStr">
        <is>
          <t>Su</t>
        </is>
      </c>
      <c r="U17" s="95" t="inlineStr">
        <is>
          <t>M</t>
        </is>
      </c>
      <c r="V17" s="95" t="inlineStr">
        <is>
          <t>T</t>
        </is>
      </c>
      <c r="W17" s="95" t="inlineStr">
        <is>
          <t>W</t>
        </is>
      </c>
      <c r="X17" s="95" t="inlineStr">
        <is>
          <t>Th</t>
        </is>
      </c>
      <c r="Y17" s="95" t="inlineStr">
        <is>
          <t>F</t>
        </is>
      </c>
      <c r="Z17" s="95" t="inlineStr">
        <is>
          <t>Sa</t>
        </is>
      </c>
      <c r="AA17" s="96" t="inlineStr">
        <is>
          <t>Su</t>
        </is>
      </c>
      <c r="AB17" s="95" t="inlineStr">
        <is>
          <t>M</t>
        </is>
      </c>
      <c r="AC17" s="95" t="inlineStr">
        <is>
          <t>T</t>
        </is>
      </c>
      <c r="AD17" s="95" t="inlineStr">
        <is>
          <t>W</t>
        </is>
      </c>
      <c r="AE17" s="95" t="inlineStr">
        <is>
          <t>Th</t>
        </is>
      </c>
      <c r="AF17" s="95" t="inlineStr">
        <is>
          <t>F</t>
        </is>
      </c>
      <c r="AG17" s="95" t="inlineStr">
        <is>
          <t>Sa</t>
        </is>
      </c>
      <c r="AH17" s="96" t="inlineStr">
        <is>
          <t>Su</t>
        </is>
      </c>
      <c r="AI17" s="54" t="n"/>
      <c r="AJ17" s="54" t="n"/>
      <c r="AK17" s="54" t="n"/>
    </row>
    <row r="18" ht="14.5" customHeight="1">
      <c r="A18" s="97" t="n">
        <v>1</v>
      </c>
      <c r="B18" s="98" t="n"/>
      <c r="C18" s="99" t="n"/>
      <c r="D18" s="99" t="n"/>
      <c r="E18" s="100" t="n"/>
      <c r="F18" s="101" t="n"/>
      <c r="G18" s="100" t="n"/>
      <c r="H18" s="100" t="n"/>
      <c r="I18" s="100" t="n"/>
      <c r="J18" s="100" t="n"/>
      <c r="K18" s="100" t="n"/>
      <c r="L18" s="100" t="n"/>
      <c r="M18" s="101" t="n"/>
      <c r="N18" s="100" t="n"/>
      <c r="O18" s="100" t="n"/>
      <c r="P18" s="100" t="n"/>
      <c r="Q18" s="100" t="n"/>
      <c r="R18" s="100" t="n"/>
      <c r="S18" s="100" t="n"/>
      <c r="T18" s="101" t="n"/>
      <c r="U18" s="100" t="n"/>
      <c r="V18" s="100" t="n"/>
      <c r="W18" s="100" t="n"/>
      <c r="X18" s="100" t="n"/>
      <c r="Y18" s="100" t="n"/>
      <c r="Z18" s="100" t="n"/>
      <c r="AA18" s="101" t="n"/>
      <c r="AB18" s="100" t="n"/>
      <c r="AC18" s="100" t="n"/>
      <c r="AD18" s="100" t="n"/>
      <c r="AE18" s="100" t="n"/>
      <c r="AF18" s="100" t="n"/>
      <c r="AG18" s="100" t="n"/>
      <c r="AH18" s="101" t="n"/>
      <c r="AI18" s="102">
        <f>IF(ISBLANK(B18), "", IF(ISNUMBER(D18), IF(D18&gt;0, (COUNTIF(E18:AH18, "✓") + COUNTIF(E18:AH18, "✔") + COUNTIF(E18:AH18, "v") + COUNTIF(E18:AH18, "V"))/D18, 0), IF(((COUNTIF(E18:AH18, "✓") + COUNTIF(E18:AH18, "✔") + COUNTIF(E18:AH18, "v") + COUNTIF(E18:AH18, "V")) + COUNTIF(E18:AH18, "✗") + COUNTIF(E18:AH18, "x") + COUNTIF(E18:AH18, "X"))&gt;0, (COUNTIF(E18:AH18, "✓") + COUNTIF(E18:AH18, "✔") + COUNTIF(E18:AH18, "v") + COUNTIF(E18:AH18, "V"))/((COUNTIF(E18:AH18, "✓") + COUNTIF(E18:AH18, "✔") + COUNTIF(E18:AH18, "v") + COUNTIF(E18:AH18, "V")) + COUNTIF(E18:AH18, "✗") + COUNTIF(E18:AH18, "x") + COUNTIF(E18:AH18, "X")), "")))</f>
        <v/>
      </c>
      <c r="AJ18" s="103">
        <f>IF(ISBLANK(B18), "", IF(ISNUMBER(D18), IF(D18&gt;0, (COUNTIF(E18:AH18, "✓") + COUNTIF(E18:AH18, "✔") + COUNTIF(E18:AH18, "v") + COUNTIF(E18:AH18, "V")) &amp; "/" &amp; D18, (COUNTIF(E18:AH18, "✓") + COUNTIF(E18:AH18, "✔") + COUNTIF(E18:AH18, "v") + COUNTIF(E18:AH18, "V")) &amp; "/0"), IF(((COUNTIF(E18:AH18, "✓") + COUNTIF(E18:AH18, "✔") + COUNTIF(E18:AH18, "v") + COUNTIF(E18:AH18, "V")) + COUNTIF(E18:AH18, "✗") + COUNTIF(E18:AH18, "x") + COUNTIF(E18:AH18, "X"))&gt;0, (COUNTIF(E18:AH18, "✓") + COUNTIF(E18:AH18, "✔") + COUNTIF(E18:AH18, "v") + COUNTIF(E18:AH18, "V")) &amp; "/" &amp; ((COUNTIF(E18:AH18, "✓") + COUNTIF(E18:AH18, "✔") + COUNTIF(E18:AH18, "v") + COUNTIF(E18:AH18, "V")) + COUNTIF(E18:AH18, "✗") + COUNTIF(E18:AH18, "x") + COUNTIF(E18:AH18, "X")), "")))</f>
        <v/>
      </c>
      <c r="AK18" s="103">
        <f>IF(ISBLANK(B18), "", IF(AI18&gt;=0.85, "🔥 Mastered", IF(AI18&gt;=0.7, "⚡ Consistent", "⚠️ Needs Focus")))</f>
        <v/>
      </c>
      <c r="AL18">
        <f>COUNTIF(E18:AH18, "✓")</f>
        <v/>
      </c>
    </row>
    <row r="19" ht="14.5" customHeight="1">
      <c r="A19" s="97" t="n">
        <v>2</v>
      </c>
      <c r="B19" s="98" t="n"/>
      <c r="C19" s="99" t="n"/>
      <c r="D19" s="99" t="n"/>
      <c r="E19" s="100" t="n"/>
      <c r="F19" s="101" t="n"/>
      <c r="G19" s="100" t="n"/>
      <c r="H19" s="100" t="n"/>
      <c r="I19" s="100" t="n"/>
      <c r="J19" s="100" t="n"/>
      <c r="K19" s="100" t="n"/>
      <c r="L19" s="100" t="n"/>
      <c r="M19" s="101" t="n"/>
      <c r="N19" s="100" t="n"/>
      <c r="O19" s="100" t="n"/>
      <c r="P19" s="100" t="n"/>
      <c r="Q19" s="100" t="n"/>
      <c r="R19" s="100" t="n"/>
      <c r="S19" s="100" t="n"/>
      <c r="T19" s="101" t="n"/>
      <c r="U19" s="100" t="n"/>
      <c r="V19" s="100" t="n"/>
      <c r="W19" s="100" t="n"/>
      <c r="X19" s="100" t="n"/>
      <c r="Y19" s="100" t="n"/>
      <c r="Z19" s="100" t="n"/>
      <c r="AA19" s="101" t="n"/>
      <c r="AB19" s="100" t="n"/>
      <c r="AC19" s="100" t="n"/>
      <c r="AD19" s="100" t="n"/>
      <c r="AE19" s="100" t="n"/>
      <c r="AF19" s="100" t="n"/>
      <c r="AG19" s="100" t="n"/>
      <c r="AH19" s="101" t="n"/>
      <c r="AI19" s="102">
        <f>IF(ISBLANK(B19), "", IF(ISNUMBER(D19), IF(D19&gt;0, (COUNTIF(E19:AH19, "✓") + COUNTIF(E19:AH19, "✔") + COUNTIF(E19:AH19, "v") + COUNTIF(E19:AH19, "V"))/D19, 0), IF(((COUNTIF(E19:AH19, "✓") + COUNTIF(E19:AH19, "✔") + COUNTIF(E19:AH19, "v") + COUNTIF(E19:AH19, "V")) + COUNTIF(E19:AH19, "✗") + COUNTIF(E19:AH19, "x") + COUNTIF(E19:AH19, "X"))&gt;0, (COUNTIF(E19:AH19, "✓") + COUNTIF(E19:AH19, "✔") + COUNTIF(E19:AH19, "v") + COUNTIF(E19:AH19, "V"))/((COUNTIF(E19:AH19, "✓") + COUNTIF(E19:AH19, "✔") + COUNTIF(E19:AH19, "v") + COUNTIF(E19:AH19, "V")) + COUNTIF(E19:AH19, "✗") + COUNTIF(E19:AH19, "x") + COUNTIF(E19:AH19, "X")), "")))</f>
        <v/>
      </c>
      <c r="AJ19" s="103">
        <f>IF(ISBLANK(B19), "", IF(ISNUMBER(D19), IF(D19&gt;0, (COUNTIF(E19:AH19, "✓") + COUNTIF(E19:AH19, "✔") + COUNTIF(E19:AH19, "v") + COUNTIF(E19:AH19, "V")) &amp; "/" &amp; D19, (COUNTIF(E19:AH19, "✓") + COUNTIF(E19:AH19, "✔") + COUNTIF(E19:AH19, "v") + COUNTIF(E19:AH19, "V")) &amp; "/0"), IF(((COUNTIF(E19:AH19, "✓") + COUNTIF(E19:AH19, "✔") + COUNTIF(E19:AH19, "v") + COUNTIF(E19:AH19, "V")) + COUNTIF(E19:AH19, "✗") + COUNTIF(E19:AH19, "x") + COUNTIF(E19:AH19, "X"))&gt;0, (COUNTIF(E19:AH19, "✓") + COUNTIF(E19:AH19, "✔") + COUNTIF(E19:AH19, "v") + COUNTIF(E19:AH19, "V")) &amp; "/" &amp; ((COUNTIF(E19:AH19, "✓") + COUNTIF(E19:AH19, "✔") + COUNTIF(E19:AH19, "v") + COUNTIF(E19:AH19, "V")) + COUNTIF(E19:AH19, "✗") + COUNTIF(E19:AH19, "x") + COUNTIF(E19:AH19, "X")), "")))</f>
        <v/>
      </c>
      <c r="AK19" s="103">
        <f>IF(ISBLANK(B19), "", IF(AI19&gt;=0.85, "🔥 Mastered", IF(AI19&gt;=0.7, "⚡ Consistent", "⚠️ Needs Focus")))</f>
        <v/>
      </c>
      <c r="AL19">
        <f>COUNTIF(E19:AH19, "✓")</f>
        <v/>
      </c>
    </row>
    <row r="20" ht="14.5" customHeight="1">
      <c r="A20" s="97" t="n">
        <v>3</v>
      </c>
      <c r="B20" s="98" t="n"/>
      <c r="C20" s="99" t="n"/>
      <c r="D20" s="99" t="n"/>
      <c r="E20" s="100" t="n"/>
      <c r="F20" s="101" t="n"/>
      <c r="G20" s="100" t="n"/>
      <c r="H20" s="100" t="n"/>
      <c r="I20" s="100" t="n"/>
      <c r="J20" s="100" t="n"/>
      <c r="K20" s="100" t="n"/>
      <c r="L20" s="100" t="n"/>
      <c r="M20" s="101" t="n"/>
      <c r="N20" s="100" t="n"/>
      <c r="O20" s="100" t="n"/>
      <c r="P20" s="100" t="n"/>
      <c r="Q20" s="100" t="n"/>
      <c r="R20" s="100" t="n"/>
      <c r="S20" s="100" t="n"/>
      <c r="T20" s="101" t="n"/>
      <c r="U20" s="100" t="n"/>
      <c r="V20" s="100" t="n"/>
      <c r="W20" s="100" t="n"/>
      <c r="X20" s="100" t="n"/>
      <c r="Y20" s="100" t="n"/>
      <c r="Z20" s="100" t="n"/>
      <c r="AA20" s="101" t="n"/>
      <c r="AB20" s="100" t="n"/>
      <c r="AC20" s="100" t="n"/>
      <c r="AD20" s="100" t="n"/>
      <c r="AE20" s="100" t="n"/>
      <c r="AF20" s="100" t="n"/>
      <c r="AG20" s="100" t="n"/>
      <c r="AH20" s="101" t="n"/>
      <c r="AI20" s="102">
        <f>IF(ISBLANK(B20), "", IF(ISNUMBER(D20), IF(D20&gt;0, (COUNTIF(E20:AH20, "✓") + COUNTIF(E20:AH20, "✔") + COUNTIF(E20:AH20, "v") + COUNTIF(E20:AH20, "V"))/D20, 0), IF(((COUNTIF(E20:AH20, "✓") + COUNTIF(E20:AH20, "✔") + COUNTIF(E20:AH20, "v") + COUNTIF(E20:AH20, "V")) + COUNTIF(E20:AH20, "✗") + COUNTIF(E20:AH20, "x") + COUNTIF(E20:AH20, "X"))&gt;0, (COUNTIF(E20:AH20, "✓") + COUNTIF(E20:AH20, "✔") + COUNTIF(E20:AH20, "v") + COUNTIF(E20:AH20, "V"))/((COUNTIF(E20:AH20, "✓") + COUNTIF(E20:AH20, "✔") + COUNTIF(E20:AH20, "v") + COUNTIF(E20:AH20, "V")) + COUNTIF(E20:AH20, "✗") + COUNTIF(E20:AH20, "x") + COUNTIF(E20:AH20, "X")), "")))</f>
        <v/>
      </c>
      <c r="AJ20" s="103">
        <f>IF(ISBLANK(B20), "", IF(ISNUMBER(D20), IF(D20&gt;0, (COUNTIF(E20:AH20, "✓") + COUNTIF(E20:AH20, "✔") + COUNTIF(E20:AH20, "v") + COUNTIF(E20:AH20, "V")) &amp; "/" &amp; D20, (COUNTIF(E20:AH20, "✓") + COUNTIF(E20:AH20, "✔") + COUNTIF(E20:AH20, "v") + COUNTIF(E20:AH20, "V")) &amp; "/0"), IF(((COUNTIF(E20:AH20, "✓") + COUNTIF(E20:AH20, "✔") + COUNTIF(E20:AH20, "v") + COUNTIF(E20:AH20, "V")) + COUNTIF(E20:AH20, "✗") + COUNTIF(E20:AH20, "x") + COUNTIF(E20:AH20, "X"))&gt;0, (COUNTIF(E20:AH20, "✓") + COUNTIF(E20:AH20, "✔") + COUNTIF(E20:AH20, "v") + COUNTIF(E20:AH20, "V")) &amp; "/" &amp; ((COUNTIF(E20:AH20, "✓") + COUNTIF(E20:AH20, "✔") + COUNTIF(E20:AH20, "v") + COUNTIF(E20:AH20, "V")) + COUNTIF(E20:AH20, "✗") + COUNTIF(E20:AH20, "x") + COUNTIF(E20:AH20, "X")), "")))</f>
        <v/>
      </c>
      <c r="AK20" s="103">
        <f>IF(ISBLANK(B20), "", IF(AI20&gt;=0.85, "🔥 Mastered", IF(AI20&gt;=0.7, "⚡ Consistent", "⚠️ Needs Focus")))</f>
        <v/>
      </c>
      <c r="AL20">
        <f>COUNTIF(E20:AH20, "✓")</f>
        <v/>
      </c>
    </row>
    <row r="21" ht="14.5" customHeight="1">
      <c r="A21" s="97" t="n">
        <v>4</v>
      </c>
      <c r="B21" s="98" t="n"/>
      <c r="C21" s="99" t="n"/>
      <c r="D21" s="99" t="n"/>
      <c r="E21" s="100" t="n"/>
      <c r="F21" s="101" t="n"/>
      <c r="G21" s="100" t="n"/>
      <c r="H21" s="100" t="n"/>
      <c r="I21" s="100" t="n"/>
      <c r="J21" s="100" t="n"/>
      <c r="K21" s="100" t="n"/>
      <c r="L21" s="100" t="n"/>
      <c r="M21" s="101" t="n"/>
      <c r="N21" s="100" t="n"/>
      <c r="O21" s="100" t="n"/>
      <c r="P21" s="100" t="n"/>
      <c r="Q21" s="100" t="n"/>
      <c r="R21" s="100" t="n"/>
      <c r="S21" s="100" t="n"/>
      <c r="T21" s="101" t="n"/>
      <c r="U21" s="100" t="n"/>
      <c r="V21" s="100" t="n"/>
      <c r="W21" s="100" t="n"/>
      <c r="X21" s="100" t="n"/>
      <c r="Y21" s="100" t="n"/>
      <c r="Z21" s="100" t="n"/>
      <c r="AA21" s="101" t="n"/>
      <c r="AB21" s="100" t="n"/>
      <c r="AC21" s="100" t="n"/>
      <c r="AD21" s="100" t="n"/>
      <c r="AE21" s="100" t="n"/>
      <c r="AF21" s="100" t="n"/>
      <c r="AG21" s="100" t="n"/>
      <c r="AH21" s="101" t="n"/>
      <c r="AI21" s="102">
        <f>IF(ISBLANK(B21), "", IF(ISNUMBER(D21), IF(D21&gt;0, (COUNTIF(E21:AH21, "✓") + COUNTIF(E21:AH21, "✔") + COUNTIF(E21:AH21, "v") + COUNTIF(E21:AH21, "V"))/D21, 0), IF(((COUNTIF(E21:AH21, "✓") + COUNTIF(E21:AH21, "✔") + COUNTIF(E21:AH21, "v") + COUNTIF(E21:AH21, "V")) + COUNTIF(E21:AH21, "✗") + COUNTIF(E21:AH21, "x") + COUNTIF(E21:AH21, "X"))&gt;0, (COUNTIF(E21:AH21, "✓") + COUNTIF(E21:AH21, "✔") + COUNTIF(E21:AH21, "v") + COUNTIF(E21:AH21, "V"))/((COUNTIF(E21:AH21, "✓") + COUNTIF(E21:AH21, "✔") + COUNTIF(E21:AH21, "v") + COUNTIF(E21:AH21, "V")) + COUNTIF(E21:AH21, "✗") + COUNTIF(E21:AH21, "x") + COUNTIF(E21:AH21, "X")), "")))</f>
        <v/>
      </c>
      <c r="AJ21" s="103">
        <f>IF(ISBLANK(B21), "", IF(ISNUMBER(D21), IF(D21&gt;0, (COUNTIF(E21:AH21, "✓") + COUNTIF(E21:AH21, "✔") + COUNTIF(E21:AH21, "v") + COUNTIF(E21:AH21, "V")) &amp; "/" &amp; D21, (COUNTIF(E21:AH21, "✓") + COUNTIF(E21:AH21, "✔") + COUNTIF(E21:AH21, "v") + COUNTIF(E21:AH21, "V")) &amp; "/0"), IF(((COUNTIF(E21:AH21, "✓") + COUNTIF(E21:AH21, "✔") + COUNTIF(E21:AH21, "v") + COUNTIF(E21:AH21, "V")) + COUNTIF(E21:AH21, "✗") + COUNTIF(E21:AH21, "x") + COUNTIF(E21:AH21, "X"))&gt;0, (COUNTIF(E21:AH21, "✓") + COUNTIF(E21:AH21, "✔") + COUNTIF(E21:AH21, "v") + COUNTIF(E21:AH21, "V")) &amp; "/" &amp; ((COUNTIF(E21:AH21, "✓") + COUNTIF(E21:AH21, "✔") + COUNTIF(E21:AH21, "v") + COUNTIF(E21:AH21, "V")) + COUNTIF(E21:AH21, "✗") + COUNTIF(E21:AH21, "x") + COUNTIF(E21:AH21, "X")), "")))</f>
        <v/>
      </c>
      <c r="AK21" s="103">
        <f>IF(ISBLANK(B21), "", IF(AI21&gt;=0.85, "🔥 Mastered", IF(AI21&gt;=0.7, "⚡ Consistent", "⚠️ Needs Focus")))</f>
        <v/>
      </c>
      <c r="AL21">
        <f>COUNTIF(E21:AH21, "✓")</f>
        <v/>
      </c>
    </row>
    <row r="22" ht="14.5" customHeight="1">
      <c r="A22" s="104" t="n">
        <v>5</v>
      </c>
      <c r="B22" s="105" t="n"/>
      <c r="C22" s="106" t="n"/>
      <c r="D22" s="106" t="n"/>
      <c r="E22" s="107" t="n"/>
      <c r="F22" s="108" t="n"/>
      <c r="G22" s="107" t="n"/>
      <c r="H22" s="107" t="n"/>
      <c r="I22" s="107" t="n"/>
      <c r="J22" s="107" t="n"/>
      <c r="K22" s="107" t="n"/>
      <c r="L22" s="107" t="n"/>
      <c r="M22" s="108" t="n"/>
      <c r="N22" s="107" t="n"/>
      <c r="O22" s="107" t="n"/>
      <c r="P22" s="107" t="n"/>
      <c r="Q22" s="107" t="n"/>
      <c r="R22" s="107" t="n"/>
      <c r="S22" s="107" t="n"/>
      <c r="T22" s="108" t="n"/>
      <c r="U22" s="107" t="n"/>
      <c r="V22" s="107" t="n"/>
      <c r="W22" s="107" t="n"/>
      <c r="X22" s="107" t="n"/>
      <c r="Y22" s="107" t="n"/>
      <c r="Z22" s="107" t="n"/>
      <c r="AA22" s="108" t="n"/>
      <c r="AB22" s="107" t="n"/>
      <c r="AC22" s="107" t="n"/>
      <c r="AD22" s="107" t="n"/>
      <c r="AE22" s="107" t="n"/>
      <c r="AF22" s="107" t="n"/>
      <c r="AG22" s="107" t="n"/>
      <c r="AH22" s="108" t="n"/>
      <c r="AI22" s="109">
        <f>IF(ISBLANK(B22), "", IF(ISNUMBER(D22), IF(D22&gt;0, (COUNTIF(E22:AH22, "✓") + COUNTIF(E22:AH22, "✔") + COUNTIF(E22:AH22, "v") + COUNTIF(E22:AH22, "V"))/D22, 0), IF(((COUNTIF(E22:AH22, "✓") + COUNTIF(E22:AH22, "✔") + COUNTIF(E22:AH22, "v") + COUNTIF(E22:AH22, "V")) + COUNTIF(E22:AH22, "✗") + COUNTIF(E22:AH22, "x") + COUNTIF(E22:AH22, "X"))&gt;0, (COUNTIF(E22:AH22, "✓") + COUNTIF(E22:AH22, "✔") + COUNTIF(E22:AH22, "v") + COUNTIF(E22:AH22, "V"))/((COUNTIF(E22:AH22, "✓") + COUNTIF(E22:AH22, "✔") + COUNTIF(E22:AH22, "v") + COUNTIF(E22:AH22, "V")) + COUNTIF(E22:AH22, "✗") + COUNTIF(E22:AH22, "x") + COUNTIF(E22:AH22, "X")), "")))</f>
        <v/>
      </c>
      <c r="AJ22" s="110">
        <f>IF(ISBLANK(B22), "", IF(ISNUMBER(D22), IF(D22&gt;0, (COUNTIF(E22:AH22, "✓") + COUNTIF(E22:AH22, "✔") + COUNTIF(E22:AH22, "v") + COUNTIF(E22:AH22, "V")) &amp; "/" &amp; D22, (COUNTIF(E22:AH22, "✓") + COUNTIF(E22:AH22, "✔") + COUNTIF(E22:AH22, "v") + COUNTIF(E22:AH22, "V")) &amp; "/0"), IF(((COUNTIF(E22:AH22, "✓") + COUNTIF(E22:AH22, "✔") + COUNTIF(E22:AH22, "v") + COUNTIF(E22:AH22, "V")) + COUNTIF(E22:AH22, "✗") + COUNTIF(E22:AH22, "x") + COUNTIF(E22:AH22, "X"))&gt;0, (COUNTIF(E22:AH22, "✓") + COUNTIF(E22:AH22, "✔") + COUNTIF(E22:AH22, "v") + COUNTIF(E22:AH22, "V")) &amp; "/" &amp; ((COUNTIF(E22:AH22, "✓") + COUNTIF(E22:AH22, "✔") + COUNTIF(E22:AH22, "v") + COUNTIF(E22:AH22, "V")) + COUNTIF(E22:AH22, "✗") + COUNTIF(E22:AH22, "x") + COUNTIF(E22:AH22, "X")), "")))</f>
        <v/>
      </c>
      <c r="AK22" s="110">
        <f>IF(ISBLANK(B22), "", IF(AI22&gt;=0.85, "🔥 Mastered", IF(AI22&gt;=0.7, "⚡ Consistent", "⚠️ Needs Focus")))</f>
        <v/>
      </c>
      <c r="AL22">
        <f>COUNTIF(E22:AH22, "✓")</f>
        <v/>
      </c>
    </row>
    <row r="23" ht="14.5" customHeight="1">
      <c r="A23" s="104" t="n">
        <v>6</v>
      </c>
      <c r="B23" s="105" t="n"/>
      <c r="C23" s="106" t="n"/>
      <c r="D23" s="106" t="n"/>
      <c r="E23" s="107" t="n"/>
      <c r="F23" s="108" t="n"/>
      <c r="G23" s="107" t="n"/>
      <c r="H23" s="107" t="n"/>
      <c r="I23" s="107" t="n"/>
      <c r="J23" s="107" t="n"/>
      <c r="K23" s="107" t="n"/>
      <c r="L23" s="107" t="n"/>
      <c r="M23" s="108" t="n"/>
      <c r="N23" s="107" t="n"/>
      <c r="O23" s="107" t="n"/>
      <c r="P23" s="107" t="n"/>
      <c r="Q23" s="107" t="n"/>
      <c r="R23" s="107" t="n"/>
      <c r="S23" s="107" t="n"/>
      <c r="T23" s="108" t="n"/>
      <c r="U23" s="107" t="n"/>
      <c r="V23" s="107" t="n"/>
      <c r="W23" s="107" t="n"/>
      <c r="X23" s="107" t="n"/>
      <c r="Y23" s="107" t="n"/>
      <c r="Z23" s="107" t="n"/>
      <c r="AA23" s="108" t="n"/>
      <c r="AB23" s="107" t="n"/>
      <c r="AC23" s="107" t="n"/>
      <c r="AD23" s="107" t="n"/>
      <c r="AE23" s="107" t="n"/>
      <c r="AF23" s="107" t="n"/>
      <c r="AG23" s="107" t="n"/>
      <c r="AH23" s="108" t="n"/>
      <c r="AI23" s="109">
        <f>IF(ISBLANK(B23), "", IF(ISNUMBER(D23), IF(D23&gt;0, (COUNTIF(E23:AH23, "✓") + COUNTIF(E23:AH23, "✔") + COUNTIF(E23:AH23, "v") + COUNTIF(E23:AH23, "V"))/D23, 0), IF(((COUNTIF(E23:AH23, "✓") + COUNTIF(E23:AH23, "✔") + COUNTIF(E23:AH23, "v") + COUNTIF(E23:AH23, "V")) + COUNTIF(E23:AH23, "✗") + COUNTIF(E23:AH23, "x") + COUNTIF(E23:AH23, "X"))&gt;0, (COUNTIF(E23:AH23, "✓") + COUNTIF(E23:AH23, "✔") + COUNTIF(E23:AH23, "v") + COUNTIF(E23:AH23, "V"))/((COUNTIF(E23:AH23, "✓") + COUNTIF(E23:AH23, "✔") + COUNTIF(E23:AH23, "v") + COUNTIF(E23:AH23, "V")) + COUNTIF(E23:AH23, "✗") + COUNTIF(E23:AH23, "x") + COUNTIF(E23:AH23, "X")), "")))</f>
        <v/>
      </c>
      <c r="AJ23" s="110">
        <f>IF(ISBLANK(B23), "", IF(ISNUMBER(D23), IF(D23&gt;0, (COUNTIF(E23:AH23, "✓") + COUNTIF(E23:AH23, "✔") + COUNTIF(E23:AH23, "v") + COUNTIF(E23:AH23, "V")) &amp; "/" &amp; D23, (COUNTIF(E23:AH23, "✓") + COUNTIF(E23:AH23, "✔") + COUNTIF(E23:AH23, "v") + COUNTIF(E23:AH23, "V")) &amp; "/0"), IF(((COUNTIF(E23:AH23, "✓") + COUNTIF(E23:AH23, "✔") + COUNTIF(E23:AH23, "v") + COUNTIF(E23:AH23, "V")) + COUNTIF(E23:AH23, "✗") + COUNTIF(E23:AH23, "x") + COUNTIF(E23:AH23, "X"))&gt;0, (COUNTIF(E23:AH23, "✓") + COUNTIF(E23:AH23, "✔") + COUNTIF(E23:AH23, "v") + COUNTIF(E23:AH23, "V")) &amp; "/" &amp; ((COUNTIF(E23:AH23, "✓") + COUNTIF(E23:AH23, "✔") + COUNTIF(E23:AH23, "v") + COUNTIF(E23:AH23, "V")) + COUNTIF(E23:AH23, "✗") + COUNTIF(E23:AH23, "x") + COUNTIF(E23:AH23, "X")), "")))</f>
        <v/>
      </c>
      <c r="AK23" s="110">
        <f>IF(ISBLANK(B23), "", IF(AI23&gt;=0.85, "🔥 Mastered", IF(AI23&gt;=0.7, "⚡ Consistent", "⚠️ Needs Focus")))</f>
        <v/>
      </c>
      <c r="AL23">
        <f>COUNTIF(E23:AH23, "✓")</f>
        <v/>
      </c>
    </row>
    <row r="24" ht="14.5" customHeight="1">
      <c r="A24" s="104" t="n">
        <v>7</v>
      </c>
      <c r="B24" s="105" t="n"/>
      <c r="C24" s="106" t="n"/>
      <c r="D24" s="106" t="n"/>
      <c r="E24" s="107" t="n"/>
      <c r="F24" s="108" t="n"/>
      <c r="G24" s="107" t="n"/>
      <c r="H24" s="107" t="n"/>
      <c r="I24" s="107" t="n"/>
      <c r="J24" s="107" t="n"/>
      <c r="K24" s="107" t="n"/>
      <c r="L24" s="107" t="n"/>
      <c r="M24" s="108" t="n"/>
      <c r="N24" s="107" t="n"/>
      <c r="O24" s="107" t="n"/>
      <c r="P24" s="107" t="n"/>
      <c r="Q24" s="107" t="n"/>
      <c r="R24" s="107" t="n"/>
      <c r="S24" s="107" t="n"/>
      <c r="T24" s="108" t="n"/>
      <c r="U24" s="107" t="n"/>
      <c r="V24" s="107" t="n"/>
      <c r="W24" s="107" t="n"/>
      <c r="X24" s="107" t="n"/>
      <c r="Y24" s="107" t="n"/>
      <c r="Z24" s="107" t="n"/>
      <c r="AA24" s="108" t="n"/>
      <c r="AB24" s="107" t="n"/>
      <c r="AC24" s="107" t="n"/>
      <c r="AD24" s="107" t="n"/>
      <c r="AE24" s="107" t="n"/>
      <c r="AF24" s="107" t="n"/>
      <c r="AG24" s="107" t="n"/>
      <c r="AH24" s="108" t="n"/>
      <c r="AI24" s="109">
        <f>IF(ISBLANK(B24), "", IF(ISNUMBER(D24), IF(D24&gt;0, (COUNTIF(E24:AH24, "✓") + COUNTIF(E24:AH24, "✔") + COUNTIF(E24:AH24, "v") + COUNTIF(E24:AH24, "V"))/D24, 0), IF(((COUNTIF(E24:AH24, "✓") + COUNTIF(E24:AH24, "✔") + COUNTIF(E24:AH24, "v") + COUNTIF(E24:AH24, "V")) + COUNTIF(E24:AH24, "✗") + COUNTIF(E24:AH24, "x") + COUNTIF(E24:AH24, "X"))&gt;0, (COUNTIF(E24:AH24, "✓") + COUNTIF(E24:AH24, "✔") + COUNTIF(E24:AH24, "v") + COUNTIF(E24:AH24, "V"))/((COUNTIF(E24:AH24, "✓") + COUNTIF(E24:AH24, "✔") + COUNTIF(E24:AH24, "v") + COUNTIF(E24:AH24, "V")) + COUNTIF(E24:AH24, "✗") + COUNTIF(E24:AH24, "x") + COUNTIF(E24:AH24, "X")), "")))</f>
        <v/>
      </c>
      <c r="AJ24" s="110">
        <f>IF(ISBLANK(B24), "", IF(ISNUMBER(D24), IF(D24&gt;0, (COUNTIF(E24:AH24, "✓") + COUNTIF(E24:AH24, "✔") + COUNTIF(E24:AH24, "v") + COUNTIF(E24:AH24, "V")) &amp; "/" &amp; D24, (COUNTIF(E24:AH24, "✓") + COUNTIF(E24:AH24, "✔") + COUNTIF(E24:AH24, "v") + COUNTIF(E24:AH24, "V")) &amp; "/0"), IF(((COUNTIF(E24:AH24, "✓") + COUNTIF(E24:AH24, "✔") + COUNTIF(E24:AH24, "v") + COUNTIF(E24:AH24, "V")) + COUNTIF(E24:AH24, "✗") + COUNTIF(E24:AH24, "x") + COUNTIF(E24:AH24, "X"))&gt;0, (COUNTIF(E24:AH24, "✓") + COUNTIF(E24:AH24, "✔") + COUNTIF(E24:AH24, "v") + COUNTIF(E24:AH24, "V")) &amp; "/" &amp; ((COUNTIF(E24:AH24, "✓") + COUNTIF(E24:AH24, "✔") + COUNTIF(E24:AH24, "v") + COUNTIF(E24:AH24, "V")) + COUNTIF(E24:AH24, "✗") + COUNTIF(E24:AH24, "x") + COUNTIF(E24:AH24, "X")), "")))</f>
        <v/>
      </c>
      <c r="AK24" s="110">
        <f>IF(ISBLANK(B24), "", IF(AI24&gt;=0.85, "🔥 Mastered", IF(AI24&gt;=0.7, "⚡ Consistent", "⚠️ Needs Focus")))</f>
        <v/>
      </c>
      <c r="AL24">
        <f>COUNTIF(E24:AH24, "✓")</f>
        <v/>
      </c>
    </row>
    <row r="25" ht="14.5" customHeight="1">
      <c r="A25" s="104" t="n">
        <v>8</v>
      </c>
      <c r="B25" s="105" t="n"/>
      <c r="C25" s="106" t="n"/>
      <c r="D25" s="106" t="n"/>
      <c r="E25" s="107" t="n"/>
      <c r="F25" s="108" t="n"/>
      <c r="G25" s="107" t="n"/>
      <c r="H25" s="107" t="n"/>
      <c r="I25" s="107" t="n"/>
      <c r="J25" s="107" t="n"/>
      <c r="K25" s="107" t="n"/>
      <c r="L25" s="107" t="n"/>
      <c r="M25" s="108" t="n"/>
      <c r="N25" s="107" t="n"/>
      <c r="O25" s="107" t="n"/>
      <c r="P25" s="107" t="n"/>
      <c r="Q25" s="107" t="n"/>
      <c r="R25" s="107" t="n"/>
      <c r="S25" s="107" t="n"/>
      <c r="T25" s="108" t="n"/>
      <c r="U25" s="107" t="n"/>
      <c r="V25" s="107" t="n"/>
      <c r="W25" s="107" t="n"/>
      <c r="X25" s="107" t="n"/>
      <c r="Y25" s="107" t="n"/>
      <c r="Z25" s="107" t="n"/>
      <c r="AA25" s="108" t="n"/>
      <c r="AB25" s="107" t="n"/>
      <c r="AC25" s="107" t="n"/>
      <c r="AD25" s="107" t="n"/>
      <c r="AE25" s="107" t="n"/>
      <c r="AF25" s="107" t="n"/>
      <c r="AG25" s="107" t="n"/>
      <c r="AH25" s="108" t="n"/>
      <c r="AI25" s="109">
        <f>IF(ISBLANK(B25), "", IF(ISNUMBER(D25), IF(D25&gt;0, (COUNTIF(E25:AH25, "✓") + COUNTIF(E25:AH25, "✔") + COUNTIF(E25:AH25, "v") + COUNTIF(E25:AH25, "V"))/D25, 0), IF(((COUNTIF(E25:AH25, "✓") + COUNTIF(E25:AH25, "✔") + COUNTIF(E25:AH25, "v") + COUNTIF(E25:AH25, "V")) + COUNTIF(E25:AH25, "✗") + COUNTIF(E25:AH25, "x") + COUNTIF(E25:AH25, "X"))&gt;0, (COUNTIF(E25:AH25, "✓") + COUNTIF(E25:AH25, "✔") + COUNTIF(E25:AH25, "v") + COUNTIF(E25:AH25, "V"))/((COUNTIF(E25:AH25, "✓") + COUNTIF(E25:AH25, "✔") + COUNTIF(E25:AH25, "v") + COUNTIF(E25:AH25, "V")) + COUNTIF(E25:AH25, "✗") + COUNTIF(E25:AH25, "x") + COUNTIF(E25:AH25, "X")), "")))</f>
        <v/>
      </c>
      <c r="AJ25" s="110">
        <f>IF(ISBLANK(B25), "", IF(ISNUMBER(D25), IF(D25&gt;0, (COUNTIF(E25:AH25, "✓") + COUNTIF(E25:AH25, "✔") + COUNTIF(E25:AH25, "v") + COUNTIF(E25:AH25, "V")) &amp; "/" &amp; D25, (COUNTIF(E25:AH25, "✓") + COUNTIF(E25:AH25, "✔") + COUNTIF(E25:AH25, "v") + COUNTIF(E25:AH25, "V")) &amp; "/0"), IF(((COUNTIF(E25:AH25, "✓") + COUNTIF(E25:AH25, "✔") + COUNTIF(E25:AH25, "v") + COUNTIF(E25:AH25, "V")) + COUNTIF(E25:AH25, "✗") + COUNTIF(E25:AH25, "x") + COUNTIF(E25:AH25, "X"))&gt;0, (COUNTIF(E25:AH25, "✓") + COUNTIF(E25:AH25, "✔") + COUNTIF(E25:AH25, "v") + COUNTIF(E25:AH25, "V")) &amp; "/" &amp; ((COUNTIF(E25:AH25, "✓") + COUNTIF(E25:AH25, "✔") + COUNTIF(E25:AH25, "v") + COUNTIF(E25:AH25, "V")) + COUNTIF(E25:AH25, "✗") + COUNTIF(E25:AH25, "x") + COUNTIF(E25:AH25, "X")), "")))</f>
        <v/>
      </c>
      <c r="AK25" s="110">
        <f>IF(ISBLANK(B25), "", IF(AI25&gt;=0.85, "🔥 Mastered", IF(AI25&gt;=0.7, "⚡ Consistent", "⚠️ Needs Focus")))</f>
        <v/>
      </c>
      <c r="AL25">
        <f>COUNTIF(E25:AH25, "✓")</f>
        <v/>
      </c>
    </row>
    <row r="26" ht="14.5" customHeight="1">
      <c r="A26" s="111" t="n">
        <v>9</v>
      </c>
      <c r="B26" s="112" t="n"/>
      <c r="C26" s="113" t="n"/>
      <c r="D26" s="113" t="n"/>
      <c r="E26" s="114" t="n"/>
      <c r="F26" s="115" t="n"/>
      <c r="G26" s="114" t="n"/>
      <c r="H26" s="114" t="n"/>
      <c r="I26" s="114" t="n"/>
      <c r="J26" s="114" t="n"/>
      <c r="K26" s="114" t="n"/>
      <c r="L26" s="114" t="n"/>
      <c r="M26" s="115" t="n"/>
      <c r="N26" s="114" t="n"/>
      <c r="O26" s="114" t="n"/>
      <c r="P26" s="114" t="n"/>
      <c r="Q26" s="114" t="n"/>
      <c r="R26" s="114" t="n"/>
      <c r="S26" s="114" t="n"/>
      <c r="T26" s="115" t="n"/>
      <c r="U26" s="114" t="n"/>
      <c r="V26" s="114" t="n"/>
      <c r="W26" s="114" t="n"/>
      <c r="X26" s="114" t="n"/>
      <c r="Y26" s="114" t="n"/>
      <c r="Z26" s="114" t="n"/>
      <c r="AA26" s="115" t="n"/>
      <c r="AB26" s="114" t="n"/>
      <c r="AC26" s="114" t="n"/>
      <c r="AD26" s="114" t="n"/>
      <c r="AE26" s="114" t="n"/>
      <c r="AF26" s="114" t="n"/>
      <c r="AG26" s="114" t="n"/>
      <c r="AH26" s="115" t="n"/>
      <c r="AI26" s="116">
        <f>IF(ISBLANK(B26), "", IF(ISNUMBER(D26), IF(D26&gt;0, (COUNTIF(E26:AH26, "✓") + COUNTIF(E26:AH26, "✔") + COUNTIF(E26:AH26, "v") + COUNTIF(E26:AH26, "V"))/D26, 0), IF(((COUNTIF(E26:AH26, "✓") + COUNTIF(E26:AH26, "✔") + COUNTIF(E26:AH26, "v") + COUNTIF(E26:AH26, "V")) + COUNTIF(E26:AH26, "✗") + COUNTIF(E26:AH26, "x") + COUNTIF(E26:AH26, "X"))&gt;0, (COUNTIF(E26:AH26, "✓") + COUNTIF(E26:AH26, "✔") + COUNTIF(E26:AH26, "v") + COUNTIF(E26:AH26, "V"))/((COUNTIF(E26:AH26, "✓") + COUNTIF(E26:AH26, "✔") + COUNTIF(E26:AH26, "v") + COUNTIF(E26:AH26, "V")) + COUNTIF(E26:AH26, "✗") + COUNTIF(E26:AH26, "x") + COUNTIF(E26:AH26, "X")), "")))</f>
        <v/>
      </c>
      <c r="AJ26" s="117">
        <f>IF(ISBLANK(B26), "", IF(ISNUMBER(D26), IF(D26&gt;0, (COUNTIF(E26:AH26, "✓") + COUNTIF(E26:AH26, "✔") + COUNTIF(E26:AH26, "v") + COUNTIF(E26:AH26, "V")) &amp; "/" &amp; D26, (COUNTIF(E26:AH26, "✓") + COUNTIF(E26:AH26, "✔") + COUNTIF(E26:AH26, "v") + COUNTIF(E26:AH26, "V")) &amp; "/0"), IF(((COUNTIF(E26:AH26, "✓") + COUNTIF(E26:AH26, "✔") + COUNTIF(E26:AH26, "v") + COUNTIF(E26:AH26, "V")) + COUNTIF(E26:AH26, "✗") + COUNTIF(E26:AH26, "x") + COUNTIF(E26:AH26, "X"))&gt;0, (COUNTIF(E26:AH26, "✓") + COUNTIF(E26:AH26, "✔") + COUNTIF(E26:AH26, "v") + COUNTIF(E26:AH26, "V")) &amp; "/" &amp; ((COUNTIF(E26:AH26, "✓") + COUNTIF(E26:AH26, "✔") + COUNTIF(E26:AH26, "v") + COUNTIF(E26:AH26, "V")) + COUNTIF(E26:AH26, "✗") + COUNTIF(E26:AH26, "x") + COUNTIF(E26:AH26, "X")), "")))</f>
        <v/>
      </c>
      <c r="AK26" s="117">
        <f>IF(ISBLANK(B26), "", IF(AI26&gt;=0.85, "🔥 Mastered", IF(AI26&gt;=0.7, "⚡ Consistent", "⚠️ Needs Focus")))</f>
        <v/>
      </c>
      <c r="AL26">
        <f>COUNTIF(E26:AH26, "✓")</f>
        <v/>
      </c>
    </row>
    <row r="27" ht="14.5" customHeight="1">
      <c r="A27" s="111" t="n">
        <v>10</v>
      </c>
      <c r="B27" s="112" t="n"/>
      <c r="C27" s="113" t="n"/>
      <c r="D27" s="113" t="n"/>
      <c r="E27" s="114" t="n"/>
      <c r="F27" s="115" t="n"/>
      <c r="G27" s="114" t="n"/>
      <c r="H27" s="114" t="n"/>
      <c r="I27" s="114" t="n"/>
      <c r="J27" s="114" t="n"/>
      <c r="K27" s="114" t="n"/>
      <c r="L27" s="114" t="n"/>
      <c r="M27" s="115" t="n"/>
      <c r="N27" s="114" t="n"/>
      <c r="O27" s="114" t="n"/>
      <c r="P27" s="114" t="n"/>
      <c r="Q27" s="114" t="n"/>
      <c r="R27" s="114" t="n"/>
      <c r="S27" s="114" t="n"/>
      <c r="T27" s="115" t="n"/>
      <c r="U27" s="114" t="n"/>
      <c r="V27" s="114" t="n"/>
      <c r="W27" s="114" t="n"/>
      <c r="X27" s="114" t="n"/>
      <c r="Y27" s="114" t="n"/>
      <c r="Z27" s="114" t="n"/>
      <c r="AA27" s="115" t="n"/>
      <c r="AB27" s="114" t="n"/>
      <c r="AC27" s="114" t="n"/>
      <c r="AD27" s="114" t="n"/>
      <c r="AE27" s="114" t="n"/>
      <c r="AF27" s="114" t="n"/>
      <c r="AG27" s="114" t="n"/>
      <c r="AH27" s="115" t="n"/>
      <c r="AI27" s="116">
        <f>IF(ISBLANK(B27), "", IF(ISNUMBER(D27), IF(D27&gt;0, (COUNTIF(E27:AH27, "✓") + COUNTIF(E27:AH27, "✔") + COUNTIF(E27:AH27, "v") + COUNTIF(E27:AH27, "V"))/D27, 0), IF(((COUNTIF(E27:AH27, "✓") + COUNTIF(E27:AH27, "✔") + COUNTIF(E27:AH27, "v") + COUNTIF(E27:AH27, "V")) + COUNTIF(E27:AH27, "✗") + COUNTIF(E27:AH27, "x") + COUNTIF(E27:AH27, "X"))&gt;0, (COUNTIF(E27:AH27, "✓") + COUNTIF(E27:AH27, "✔") + COUNTIF(E27:AH27, "v") + COUNTIF(E27:AH27, "V"))/((COUNTIF(E27:AH27, "✓") + COUNTIF(E27:AH27, "✔") + COUNTIF(E27:AH27, "v") + COUNTIF(E27:AH27, "V")) + COUNTIF(E27:AH27, "✗") + COUNTIF(E27:AH27, "x") + COUNTIF(E27:AH27, "X")), "")))</f>
        <v/>
      </c>
      <c r="AJ27" s="117">
        <f>IF(ISBLANK(B27), "", IF(ISNUMBER(D27), IF(D27&gt;0, (COUNTIF(E27:AH27, "✓") + COUNTIF(E27:AH27, "✔") + COUNTIF(E27:AH27, "v") + COUNTIF(E27:AH27, "V")) &amp; "/" &amp; D27, (COUNTIF(E27:AH27, "✓") + COUNTIF(E27:AH27, "✔") + COUNTIF(E27:AH27, "v") + COUNTIF(E27:AH27, "V")) &amp; "/0"), IF(((COUNTIF(E27:AH27, "✓") + COUNTIF(E27:AH27, "✔") + COUNTIF(E27:AH27, "v") + COUNTIF(E27:AH27, "V")) + COUNTIF(E27:AH27, "✗") + COUNTIF(E27:AH27, "x") + COUNTIF(E27:AH27, "X"))&gt;0, (COUNTIF(E27:AH27, "✓") + COUNTIF(E27:AH27, "✔") + COUNTIF(E27:AH27, "v") + COUNTIF(E27:AH27, "V")) &amp; "/" &amp; ((COUNTIF(E27:AH27, "✓") + COUNTIF(E27:AH27, "✔") + COUNTIF(E27:AH27, "v") + COUNTIF(E27:AH27, "V")) + COUNTIF(E27:AH27, "✗") + COUNTIF(E27:AH27, "x") + COUNTIF(E27:AH27, "X")), "")))</f>
        <v/>
      </c>
      <c r="AK27" s="117">
        <f>IF(ISBLANK(B27), "", IF(AI27&gt;=0.85, "🔥 Mastered", IF(AI27&gt;=0.7, "⚡ Consistent", "⚠️ Needs Focus")))</f>
        <v/>
      </c>
      <c r="AL27">
        <f>COUNTIF(E27:AH27, "✓")</f>
        <v/>
      </c>
    </row>
    <row r="28" ht="14.5" customHeight="1">
      <c r="A28" s="111" t="n">
        <v>11</v>
      </c>
      <c r="B28" s="112" t="n"/>
      <c r="C28" s="113" t="n"/>
      <c r="D28" s="113" t="n"/>
      <c r="E28" s="114" t="n"/>
      <c r="F28" s="115" t="n"/>
      <c r="G28" s="114" t="n"/>
      <c r="H28" s="114" t="n"/>
      <c r="I28" s="114" t="n"/>
      <c r="J28" s="114" t="n"/>
      <c r="K28" s="114" t="n"/>
      <c r="L28" s="114" t="n"/>
      <c r="M28" s="115" t="n"/>
      <c r="N28" s="114" t="n"/>
      <c r="O28" s="114" t="n"/>
      <c r="P28" s="114" t="n"/>
      <c r="Q28" s="114" t="n"/>
      <c r="R28" s="114" t="n"/>
      <c r="S28" s="114" t="n"/>
      <c r="T28" s="115" t="n"/>
      <c r="U28" s="114" t="n"/>
      <c r="V28" s="114" t="n"/>
      <c r="W28" s="114" t="n"/>
      <c r="X28" s="114" t="n"/>
      <c r="Y28" s="114" t="n"/>
      <c r="Z28" s="114" t="n"/>
      <c r="AA28" s="115" t="n"/>
      <c r="AB28" s="114" t="n"/>
      <c r="AC28" s="114" t="n"/>
      <c r="AD28" s="114" t="n"/>
      <c r="AE28" s="114" t="n"/>
      <c r="AF28" s="114" t="n"/>
      <c r="AG28" s="114" t="n"/>
      <c r="AH28" s="115" t="n"/>
      <c r="AI28" s="116">
        <f>IF(ISBLANK(B28), "", IF(ISNUMBER(D28), IF(D28&gt;0, (COUNTIF(E28:AH28, "✓") + COUNTIF(E28:AH28, "✔") + COUNTIF(E28:AH28, "v") + COUNTIF(E28:AH28, "V"))/D28, 0), IF(((COUNTIF(E28:AH28, "✓") + COUNTIF(E28:AH28, "✔") + COUNTIF(E28:AH28, "v") + COUNTIF(E28:AH28, "V")) + COUNTIF(E28:AH28, "✗") + COUNTIF(E28:AH28, "x") + COUNTIF(E28:AH28, "X"))&gt;0, (COUNTIF(E28:AH28, "✓") + COUNTIF(E28:AH28, "✔") + COUNTIF(E28:AH28, "v") + COUNTIF(E28:AH28, "V"))/((COUNTIF(E28:AH28, "✓") + COUNTIF(E28:AH28, "✔") + COUNTIF(E28:AH28, "v") + COUNTIF(E28:AH28, "V")) + COUNTIF(E28:AH28, "✗") + COUNTIF(E28:AH28, "x") + COUNTIF(E28:AH28, "X")), "")))</f>
        <v/>
      </c>
      <c r="AJ28" s="117">
        <f>IF(ISBLANK(B28), "", IF(ISNUMBER(D28), IF(D28&gt;0, (COUNTIF(E28:AH28, "✓") + COUNTIF(E28:AH28, "✔") + COUNTIF(E28:AH28, "v") + COUNTIF(E28:AH28, "V")) &amp; "/" &amp; D28, (COUNTIF(E28:AH28, "✓") + COUNTIF(E28:AH28, "✔") + COUNTIF(E28:AH28, "v") + COUNTIF(E28:AH28, "V")) &amp; "/0"), IF(((COUNTIF(E28:AH28, "✓") + COUNTIF(E28:AH28, "✔") + COUNTIF(E28:AH28, "v") + COUNTIF(E28:AH28, "V")) + COUNTIF(E28:AH28, "✗") + COUNTIF(E28:AH28, "x") + COUNTIF(E28:AH28, "X"))&gt;0, (COUNTIF(E28:AH28, "✓") + COUNTIF(E28:AH28, "✔") + COUNTIF(E28:AH28, "v") + COUNTIF(E28:AH28, "V")) &amp; "/" &amp; ((COUNTIF(E28:AH28, "✓") + COUNTIF(E28:AH28, "✔") + COUNTIF(E28:AH28, "v") + COUNTIF(E28:AH28, "V")) + COUNTIF(E28:AH28, "✗") + COUNTIF(E28:AH28, "x") + COUNTIF(E28:AH28, "X")), "")))</f>
        <v/>
      </c>
      <c r="AK28" s="117">
        <f>IF(ISBLANK(B28), "", IF(AI28&gt;=0.85, "🔥 Mastered", IF(AI28&gt;=0.7, "⚡ Consistent", "⚠️ Needs Focus")))</f>
        <v/>
      </c>
      <c r="AL28">
        <f>COUNTIF(E28:AH28, "✓")</f>
        <v/>
      </c>
    </row>
    <row r="29" ht="14.5" customHeight="1">
      <c r="A29" s="111" t="n">
        <v>12</v>
      </c>
      <c r="B29" s="112" t="n"/>
      <c r="C29" s="113" t="n"/>
      <c r="D29" s="113" t="n"/>
      <c r="E29" s="114" t="n"/>
      <c r="F29" s="115" t="n"/>
      <c r="G29" s="114" t="n"/>
      <c r="H29" s="114" t="n"/>
      <c r="I29" s="114" t="n"/>
      <c r="J29" s="114" t="n"/>
      <c r="K29" s="114" t="n"/>
      <c r="L29" s="114" t="n"/>
      <c r="M29" s="115" t="n"/>
      <c r="N29" s="114" t="n"/>
      <c r="O29" s="114" t="n"/>
      <c r="P29" s="114" t="n"/>
      <c r="Q29" s="114" t="n"/>
      <c r="R29" s="114" t="n"/>
      <c r="S29" s="114" t="n"/>
      <c r="T29" s="115" t="n"/>
      <c r="U29" s="114" t="n"/>
      <c r="V29" s="114" t="n"/>
      <c r="W29" s="114" t="n"/>
      <c r="X29" s="114" t="n"/>
      <c r="Y29" s="114" t="n"/>
      <c r="Z29" s="114" t="n"/>
      <c r="AA29" s="115" t="n"/>
      <c r="AB29" s="114" t="n"/>
      <c r="AC29" s="114" t="n"/>
      <c r="AD29" s="114" t="n"/>
      <c r="AE29" s="114" t="n"/>
      <c r="AF29" s="114" t="n"/>
      <c r="AG29" s="114" t="n"/>
      <c r="AH29" s="115" t="n"/>
      <c r="AI29" s="116">
        <f>IF(ISBLANK(B29), "", IF(ISNUMBER(D29), IF(D29&gt;0, (COUNTIF(E29:AH29, "✓") + COUNTIF(E29:AH29, "✔") + COUNTIF(E29:AH29, "v") + COUNTIF(E29:AH29, "V"))/D29, 0), IF(((COUNTIF(E29:AH29, "✓") + COUNTIF(E29:AH29, "✔") + COUNTIF(E29:AH29, "v") + COUNTIF(E29:AH29, "V")) + COUNTIF(E29:AH29, "✗") + COUNTIF(E29:AH29, "x") + COUNTIF(E29:AH29, "X"))&gt;0, (COUNTIF(E29:AH29, "✓") + COUNTIF(E29:AH29, "✔") + COUNTIF(E29:AH29, "v") + COUNTIF(E29:AH29, "V"))/((COUNTIF(E29:AH29, "✓") + COUNTIF(E29:AH29, "✔") + COUNTIF(E29:AH29, "v") + COUNTIF(E29:AH29, "V")) + COUNTIF(E29:AH29, "✗") + COUNTIF(E29:AH29, "x") + COUNTIF(E29:AH29, "X")), "")))</f>
        <v/>
      </c>
      <c r="AJ29" s="117">
        <f>IF(ISBLANK(B29), "", IF(ISNUMBER(D29), IF(D29&gt;0, (COUNTIF(E29:AH29, "✓") + COUNTIF(E29:AH29, "✔") + COUNTIF(E29:AH29, "v") + COUNTIF(E29:AH29, "V")) &amp; "/" &amp; D29, (COUNTIF(E29:AH29, "✓") + COUNTIF(E29:AH29, "✔") + COUNTIF(E29:AH29, "v") + COUNTIF(E29:AH29, "V")) &amp; "/0"), IF(((COUNTIF(E29:AH29, "✓") + COUNTIF(E29:AH29, "✔") + COUNTIF(E29:AH29, "v") + COUNTIF(E29:AH29, "V")) + COUNTIF(E29:AH29, "✗") + COUNTIF(E29:AH29, "x") + COUNTIF(E29:AH29, "X"))&gt;0, (COUNTIF(E29:AH29, "✓") + COUNTIF(E29:AH29, "✔") + COUNTIF(E29:AH29, "v") + COUNTIF(E29:AH29, "V")) &amp; "/" &amp; ((COUNTIF(E29:AH29, "✓") + COUNTIF(E29:AH29, "✔") + COUNTIF(E29:AH29, "v") + COUNTIF(E29:AH29, "V")) + COUNTIF(E29:AH29, "✗") + COUNTIF(E29:AH29, "x") + COUNTIF(E29:AH29, "X")), "")))</f>
        <v/>
      </c>
      <c r="AK29" s="117">
        <f>IF(ISBLANK(B29), "", IF(AI29&gt;=0.85, "🔥 Mastered", IF(AI29&gt;=0.7, "⚡ Consistent", "⚠️ Needs Focus")))</f>
        <v/>
      </c>
      <c r="AL29">
        <f>COUNTIF(E29:AH29, "✓")</f>
        <v/>
      </c>
    </row>
    <row r="30" ht="14.5" customHeight="1">
      <c r="A30" s="118" t="n">
        <v>13</v>
      </c>
      <c r="B30" s="119" t="n"/>
      <c r="C30" s="120" t="n"/>
      <c r="D30" s="120" t="n"/>
      <c r="E30" s="121" t="n"/>
      <c r="F30" s="122" t="n"/>
      <c r="G30" s="121" t="n"/>
      <c r="H30" s="121" t="n"/>
      <c r="I30" s="121" t="n"/>
      <c r="J30" s="121" t="n"/>
      <c r="K30" s="121" t="n"/>
      <c r="L30" s="121" t="n"/>
      <c r="M30" s="122" t="n"/>
      <c r="N30" s="121" t="n"/>
      <c r="O30" s="121" t="n"/>
      <c r="P30" s="121" t="n"/>
      <c r="Q30" s="121" t="n"/>
      <c r="R30" s="121" t="n"/>
      <c r="S30" s="121" t="n"/>
      <c r="T30" s="122" t="n"/>
      <c r="U30" s="121" t="n"/>
      <c r="V30" s="121" t="n"/>
      <c r="W30" s="121" t="n"/>
      <c r="X30" s="121" t="n"/>
      <c r="Y30" s="121" t="n"/>
      <c r="Z30" s="121" t="n"/>
      <c r="AA30" s="122" t="n"/>
      <c r="AB30" s="121" t="n"/>
      <c r="AC30" s="121" t="n"/>
      <c r="AD30" s="121" t="n"/>
      <c r="AE30" s="121" t="n"/>
      <c r="AF30" s="121" t="n"/>
      <c r="AG30" s="121" t="n"/>
      <c r="AH30" s="122" t="n"/>
      <c r="AI30" s="123">
        <f>IF(ISBLANK(B30), "", IF(ISNUMBER(D30), IF(D30&gt;0, (COUNTIF(E30:AH30, "✓") + COUNTIF(E30:AH30, "✔") + COUNTIF(E30:AH30, "v") + COUNTIF(E30:AH30, "V"))/D30, 0), IF(((COUNTIF(E30:AH30, "✓") + COUNTIF(E30:AH30, "✔") + COUNTIF(E30:AH30, "v") + COUNTIF(E30:AH30, "V")) + COUNTIF(E30:AH30, "✗") + COUNTIF(E30:AH30, "x") + COUNTIF(E30:AH30, "X"))&gt;0, (COUNTIF(E30:AH30, "✓") + COUNTIF(E30:AH30, "✔") + COUNTIF(E30:AH30, "v") + COUNTIF(E30:AH30, "V"))/((COUNTIF(E30:AH30, "✓") + COUNTIF(E30:AH30, "✔") + COUNTIF(E30:AH30, "v") + COUNTIF(E30:AH30, "V")) + COUNTIF(E30:AH30, "✗") + COUNTIF(E30:AH30, "x") + COUNTIF(E30:AH30, "X")), "")))</f>
        <v/>
      </c>
      <c r="AJ30" s="124">
        <f>IF(ISBLANK(B30), "", IF(ISNUMBER(D30), IF(D30&gt;0, (COUNTIF(E30:AH30, "✓") + COUNTIF(E30:AH30, "✔") + COUNTIF(E30:AH30, "v") + COUNTIF(E30:AH30, "V")) &amp; "/" &amp; D30, (COUNTIF(E30:AH30, "✓") + COUNTIF(E30:AH30, "✔") + COUNTIF(E30:AH30, "v") + COUNTIF(E30:AH30, "V")) &amp; "/0"), IF(((COUNTIF(E30:AH30, "✓") + COUNTIF(E30:AH30, "✔") + COUNTIF(E30:AH30, "v") + COUNTIF(E30:AH30, "V")) + COUNTIF(E30:AH30, "✗") + COUNTIF(E30:AH30, "x") + COUNTIF(E30:AH30, "X"))&gt;0, (COUNTIF(E30:AH30, "✓") + COUNTIF(E30:AH30, "✔") + COUNTIF(E30:AH30, "v") + COUNTIF(E30:AH30, "V")) &amp; "/" &amp; ((COUNTIF(E30:AH30, "✓") + COUNTIF(E30:AH30, "✔") + COUNTIF(E30:AH30, "v") + COUNTIF(E30:AH30, "V")) + COUNTIF(E30:AH30, "✗") + COUNTIF(E30:AH30, "x") + COUNTIF(E30:AH30, "X")), "")))</f>
        <v/>
      </c>
      <c r="AK30" s="124">
        <f>IF(ISBLANK(B30), "", IF(AI30&gt;=0.85, "🔥 Mastered", IF(AI30&gt;=0.7, "⚡ Consistent", "⚠️ Needs Focus")))</f>
        <v/>
      </c>
      <c r="AL30">
        <f>COUNTIF(E30:AH30, "✓")</f>
        <v/>
      </c>
    </row>
    <row r="31" ht="14.5" customHeight="1">
      <c r="A31" s="118" t="n">
        <v>14</v>
      </c>
      <c r="B31" s="119" t="n"/>
      <c r="C31" s="120" t="n"/>
      <c r="D31" s="120" t="n"/>
      <c r="E31" s="121" t="n"/>
      <c r="F31" s="122" t="n"/>
      <c r="G31" s="121" t="n"/>
      <c r="H31" s="121" t="n"/>
      <c r="I31" s="121" t="n"/>
      <c r="J31" s="121" t="n"/>
      <c r="K31" s="121" t="n"/>
      <c r="L31" s="121" t="n"/>
      <c r="M31" s="122" t="n"/>
      <c r="N31" s="121" t="n"/>
      <c r="O31" s="121" t="n"/>
      <c r="P31" s="121" t="n"/>
      <c r="Q31" s="121" t="n"/>
      <c r="R31" s="121" t="n"/>
      <c r="S31" s="121" t="n"/>
      <c r="T31" s="122" t="n"/>
      <c r="U31" s="121" t="n"/>
      <c r="V31" s="121" t="n"/>
      <c r="W31" s="121" t="n"/>
      <c r="X31" s="121" t="n"/>
      <c r="Y31" s="121" t="n"/>
      <c r="Z31" s="121" t="n"/>
      <c r="AA31" s="122" t="n"/>
      <c r="AB31" s="121" t="n"/>
      <c r="AC31" s="121" t="n"/>
      <c r="AD31" s="121" t="n"/>
      <c r="AE31" s="121" t="n"/>
      <c r="AF31" s="121" t="n"/>
      <c r="AG31" s="121" t="n"/>
      <c r="AH31" s="122" t="n"/>
      <c r="AI31" s="123">
        <f>IF(ISBLANK(B31), "", IF(ISNUMBER(D31), IF(D31&gt;0, (COUNTIF(E31:AH31, "✓") + COUNTIF(E31:AH31, "✔") + COUNTIF(E31:AH31, "v") + COUNTIF(E31:AH31, "V"))/D31, 0), IF(((COUNTIF(E31:AH31, "✓") + COUNTIF(E31:AH31, "✔") + COUNTIF(E31:AH31, "v") + COUNTIF(E31:AH31, "V")) + COUNTIF(E31:AH31, "✗") + COUNTIF(E31:AH31, "x") + COUNTIF(E31:AH31, "X"))&gt;0, (COUNTIF(E31:AH31, "✓") + COUNTIF(E31:AH31, "✔") + COUNTIF(E31:AH31, "v") + COUNTIF(E31:AH31, "V"))/((COUNTIF(E31:AH31, "✓") + COUNTIF(E31:AH31, "✔") + COUNTIF(E31:AH31, "v") + COUNTIF(E31:AH31, "V")) + COUNTIF(E31:AH31, "✗") + COUNTIF(E31:AH31, "x") + COUNTIF(E31:AH31, "X")), "")))</f>
        <v/>
      </c>
      <c r="AJ31" s="124">
        <f>IF(ISBLANK(B31), "", IF(ISNUMBER(D31), IF(D31&gt;0, (COUNTIF(E31:AH31, "✓") + COUNTIF(E31:AH31, "✔") + COUNTIF(E31:AH31, "v") + COUNTIF(E31:AH31, "V")) &amp; "/" &amp; D31, (COUNTIF(E31:AH31, "✓") + COUNTIF(E31:AH31, "✔") + COUNTIF(E31:AH31, "v") + COUNTIF(E31:AH31, "V")) &amp; "/0"), IF(((COUNTIF(E31:AH31, "✓") + COUNTIF(E31:AH31, "✔") + COUNTIF(E31:AH31, "v") + COUNTIF(E31:AH31, "V")) + COUNTIF(E31:AH31, "✗") + COUNTIF(E31:AH31, "x") + COUNTIF(E31:AH31, "X"))&gt;0, (COUNTIF(E31:AH31, "✓") + COUNTIF(E31:AH31, "✔") + COUNTIF(E31:AH31, "v") + COUNTIF(E31:AH31, "V")) &amp; "/" &amp; ((COUNTIF(E31:AH31, "✓") + COUNTIF(E31:AH31, "✔") + COUNTIF(E31:AH31, "v") + COUNTIF(E31:AH31, "V")) + COUNTIF(E31:AH31, "✗") + COUNTIF(E31:AH31, "x") + COUNTIF(E31:AH31, "X")), "")))</f>
        <v/>
      </c>
      <c r="AK31" s="124">
        <f>IF(ISBLANK(B31), "", IF(AI31&gt;=0.85, "🔥 Mastered", IF(AI31&gt;=0.7, "⚡ Consistent", "⚠️ Needs Focus")))</f>
        <v/>
      </c>
      <c r="AL31">
        <f>COUNTIF(E31:AH31, "✓")</f>
        <v/>
      </c>
    </row>
    <row r="32" ht="14.5" customHeight="1">
      <c r="A32" s="118" t="n">
        <v>15</v>
      </c>
      <c r="B32" s="119" t="n"/>
      <c r="C32" s="120" t="n"/>
      <c r="D32" s="120" t="n"/>
      <c r="E32" s="121" t="n"/>
      <c r="F32" s="122" t="n"/>
      <c r="G32" s="121" t="n"/>
      <c r="H32" s="121" t="n"/>
      <c r="I32" s="121" t="n"/>
      <c r="J32" s="121" t="n"/>
      <c r="K32" s="121" t="n"/>
      <c r="L32" s="121" t="n"/>
      <c r="M32" s="122" t="n"/>
      <c r="N32" s="121" t="n"/>
      <c r="O32" s="121" t="n"/>
      <c r="P32" s="121" t="n"/>
      <c r="Q32" s="121" t="n"/>
      <c r="R32" s="121" t="n"/>
      <c r="S32" s="121" t="n"/>
      <c r="T32" s="122" t="n"/>
      <c r="U32" s="121" t="n"/>
      <c r="V32" s="121" t="n"/>
      <c r="W32" s="121" t="n"/>
      <c r="X32" s="121" t="n"/>
      <c r="Y32" s="121" t="n"/>
      <c r="Z32" s="121" t="n"/>
      <c r="AA32" s="122" t="n"/>
      <c r="AB32" s="121" t="n"/>
      <c r="AC32" s="121" t="n"/>
      <c r="AD32" s="121" t="n"/>
      <c r="AE32" s="121" t="n"/>
      <c r="AF32" s="121" t="n"/>
      <c r="AG32" s="121" t="n"/>
      <c r="AH32" s="122" t="n"/>
      <c r="AI32" s="123">
        <f>IF(ISBLANK(B32), "", IF(ISNUMBER(D32), IF(D32&gt;0, (COUNTIF(E32:AH32, "✓") + COUNTIF(E32:AH32, "✔") + COUNTIF(E32:AH32, "v") + COUNTIF(E32:AH32, "V"))/D32, 0), IF(((COUNTIF(E32:AH32, "✓") + COUNTIF(E32:AH32, "✔") + COUNTIF(E32:AH32, "v") + COUNTIF(E32:AH32, "V")) + COUNTIF(E32:AH32, "✗") + COUNTIF(E32:AH32, "x") + COUNTIF(E32:AH32, "X"))&gt;0, (COUNTIF(E32:AH32, "✓") + COUNTIF(E32:AH32, "✔") + COUNTIF(E32:AH32, "v") + COUNTIF(E32:AH32, "V"))/((COUNTIF(E32:AH32, "✓") + COUNTIF(E32:AH32, "✔") + COUNTIF(E32:AH32, "v") + COUNTIF(E32:AH32, "V")) + COUNTIF(E32:AH32, "✗") + COUNTIF(E32:AH32, "x") + COUNTIF(E32:AH32, "X")), "")))</f>
        <v/>
      </c>
      <c r="AJ32" s="124">
        <f>IF(ISBLANK(B32), "", IF(ISNUMBER(D32), IF(D32&gt;0, (COUNTIF(E32:AH32, "✓") + COUNTIF(E32:AH32, "✔") + COUNTIF(E32:AH32, "v") + COUNTIF(E32:AH32, "V")) &amp; "/" &amp; D32, (COUNTIF(E32:AH32, "✓") + COUNTIF(E32:AH32, "✔") + COUNTIF(E32:AH32, "v") + COUNTIF(E32:AH32, "V")) &amp; "/0"), IF(((COUNTIF(E32:AH32, "✓") + COUNTIF(E32:AH32, "✔") + COUNTIF(E32:AH32, "v") + COUNTIF(E32:AH32, "V")) + COUNTIF(E32:AH32, "✗") + COUNTIF(E32:AH32, "x") + COUNTIF(E32:AH32, "X"))&gt;0, (COUNTIF(E32:AH32, "✓") + COUNTIF(E32:AH32, "✔") + COUNTIF(E32:AH32, "v") + COUNTIF(E32:AH32, "V")) &amp; "/" &amp; ((COUNTIF(E32:AH32, "✓") + COUNTIF(E32:AH32, "✔") + COUNTIF(E32:AH32, "v") + COUNTIF(E32:AH32, "V")) + COUNTIF(E32:AH32, "✗") + COUNTIF(E32:AH32, "x") + COUNTIF(E32:AH32, "X")), "")))</f>
        <v/>
      </c>
      <c r="AK32" s="124">
        <f>IF(ISBLANK(B32), "", IF(AI32&gt;=0.85, "🔥 Mastered", IF(AI32&gt;=0.7, "⚡ Consistent", "⚠️ Needs Focus")))</f>
        <v/>
      </c>
      <c r="AL32">
        <f>COUNTIF(E32:AH32, "✓")</f>
        <v/>
      </c>
    </row>
    <row r="33" ht="14.5" customHeight="1">
      <c r="A33" s="118" t="n">
        <v>16</v>
      </c>
      <c r="B33" s="119" t="n"/>
      <c r="C33" s="120" t="n"/>
      <c r="D33" s="120" t="n"/>
      <c r="E33" s="121" t="n"/>
      <c r="F33" s="122" t="n"/>
      <c r="G33" s="121" t="n"/>
      <c r="H33" s="121" t="n"/>
      <c r="I33" s="121" t="n"/>
      <c r="J33" s="121" t="n"/>
      <c r="K33" s="121" t="n"/>
      <c r="L33" s="121" t="n"/>
      <c r="M33" s="122" t="n"/>
      <c r="N33" s="121" t="n"/>
      <c r="O33" s="121" t="n"/>
      <c r="P33" s="121" t="n"/>
      <c r="Q33" s="121" t="n"/>
      <c r="R33" s="121" t="n"/>
      <c r="S33" s="121" t="n"/>
      <c r="T33" s="122" t="n"/>
      <c r="U33" s="121" t="n"/>
      <c r="V33" s="121" t="n"/>
      <c r="W33" s="121" t="n"/>
      <c r="X33" s="121" t="n"/>
      <c r="Y33" s="121" t="n"/>
      <c r="Z33" s="121" t="n"/>
      <c r="AA33" s="122" t="n"/>
      <c r="AB33" s="121" t="n"/>
      <c r="AC33" s="121" t="n"/>
      <c r="AD33" s="121" t="n"/>
      <c r="AE33" s="121" t="n"/>
      <c r="AF33" s="121" t="n"/>
      <c r="AG33" s="121" t="n"/>
      <c r="AH33" s="122" t="n"/>
      <c r="AI33" s="123">
        <f>IF(ISBLANK(B33), "", IF(ISNUMBER(D33), IF(D33&gt;0, (COUNTIF(E33:AH33, "✓") + COUNTIF(E33:AH33, "✔") + COUNTIF(E33:AH33, "v") + COUNTIF(E33:AH33, "V"))/D33, 0), IF(((COUNTIF(E33:AH33, "✓") + COUNTIF(E33:AH33, "✔") + COUNTIF(E33:AH33, "v") + COUNTIF(E33:AH33, "V")) + COUNTIF(E33:AH33, "✗") + COUNTIF(E33:AH33, "x") + COUNTIF(E33:AH33, "X"))&gt;0, (COUNTIF(E33:AH33, "✓") + COUNTIF(E33:AH33, "✔") + COUNTIF(E33:AH33, "v") + COUNTIF(E33:AH33, "V"))/((COUNTIF(E33:AH33, "✓") + COUNTIF(E33:AH33, "✔") + COUNTIF(E33:AH33, "v") + COUNTIF(E33:AH33, "V")) + COUNTIF(E33:AH33, "✗") + COUNTIF(E33:AH33, "x") + COUNTIF(E33:AH33, "X")), "")))</f>
        <v/>
      </c>
      <c r="AJ33" s="124">
        <f>IF(ISBLANK(B33), "", IF(ISNUMBER(D33), IF(D33&gt;0, (COUNTIF(E33:AH33, "✓") + COUNTIF(E33:AH33, "✔") + COUNTIF(E33:AH33, "v") + COUNTIF(E33:AH33, "V")) &amp; "/" &amp; D33, (COUNTIF(E33:AH33, "✓") + COUNTIF(E33:AH33, "✔") + COUNTIF(E33:AH33, "v") + COUNTIF(E33:AH33, "V")) &amp; "/0"), IF(((COUNTIF(E33:AH33, "✓") + COUNTIF(E33:AH33, "✔") + COUNTIF(E33:AH33, "v") + COUNTIF(E33:AH33, "V")) + COUNTIF(E33:AH33, "✗") + COUNTIF(E33:AH33, "x") + COUNTIF(E33:AH33, "X"))&gt;0, (COUNTIF(E33:AH33, "✓") + COUNTIF(E33:AH33, "✔") + COUNTIF(E33:AH33, "v") + COUNTIF(E33:AH33, "V")) &amp; "/" &amp; ((COUNTIF(E33:AH33, "✓") + COUNTIF(E33:AH33, "✔") + COUNTIF(E33:AH33, "v") + COUNTIF(E33:AH33, "V")) + COUNTIF(E33:AH33, "✗") + COUNTIF(E33:AH33, "x") + COUNTIF(E33:AH33, "X")), "")))</f>
        <v/>
      </c>
      <c r="AK33" s="124">
        <f>IF(ISBLANK(B33), "", IF(AI33&gt;=0.85, "🔥 Mastered", IF(AI33&gt;=0.7, "⚡ Consistent", "⚠️ Needs Focus")))</f>
        <v/>
      </c>
      <c r="AL33">
        <f>COUNTIF(E33:AH33, "✓")</f>
        <v/>
      </c>
    </row>
    <row r="34" ht="14.5" customHeight="1">
      <c r="A34" s="125" t="n">
        <v>17</v>
      </c>
      <c r="B34" s="126" t="n"/>
      <c r="C34" s="127" t="n"/>
      <c r="D34" s="127" t="n"/>
      <c r="E34" s="128" t="n"/>
      <c r="F34" s="129" t="n"/>
      <c r="G34" s="128" t="n"/>
      <c r="H34" s="128" t="n"/>
      <c r="I34" s="128" t="n"/>
      <c r="J34" s="128" t="n"/>
      <c r="K34" s="128" t="n"/>
      <c r="L34" s="128" t="n"/>
      <c r="M34" s="129" t="n"/>
      <c r="N34" s="128" t="n"/>
      <c r="O34" s="128" t="n"/>
      <c r="P34" s="128" t="n"/>
      <c r="Q34" s="128" t="n"/>
      <c r="R34" s="128" t="n"/>
      <c r="S34" s="128" t="n"/>
      <c r="T34" s="129" t="n"/>
      <c r="U34" s="128" t="n"/>
      <c r="V34" s="128" t="n"/>
      <c r="W34" s="128" t="n"/>
      <c r="X34" s="128" t="n"/>
      <c r="Y34" s="128" t="n"/>
      <c r="Z34" s="128" t="n"/>
      <c r="AA34" s="129" t="n"/>
      <c r="AB34" s="128" t="n"/>
      <c r="AC34" s="128" t="n"/>
      <c r="AD34" s="128" t="n"/>
      <c r="AE34" s="128" t="n"/>
      <c r="AF34" s="128" t="n"/>
      <c r="AG34" s="128" t="n"/>
      <c r="AH34" s="129" t="n"/>
      <c r="AI34" s="130">
        <f>IF(ISBLANK(B34), "", IF(ISNUMBER(D34), IF(D34&gt;0, (COUNTIF(E34:AH34, "✓") + COUNTIF(E34:AH34, "✔") + COUNTIF(E34:AH34, "v") + COUNTIF(E34:AH34, "V"))/D34, 0), IF(((COUNTIF(E34:AH34, "✓") + COUNTIF(E34:AH34, "✔") + COUNTIF(E34:AH34, "v") + COUNTIF(E34:AH34, "V")) + COUNTIF(E34:AH34, "✗") + COUNTIF(E34:AH34, "x") + COUNTIF(E34:AH34, "X"))&gt;0, (COUNTIF(E34:AH34, "✓") + COUNTIF(E34:AH34, "✔") + COUNTIF(E34:AH34, "v") + COUNTIF(E34:AH34, "V"))/((COUNTIF(E34:AH34, "✓") + COUNTIF(E34:AH34, "✔") + COUNTIF(E34:AH34, "v") + COUNTIF(E34:AH34, "V")) + COUNTIF(E34:AH34, "✗") + COUNTIF(E34:AH34, "x") + COUNTIF(E34:AH34, "X")), "")))</f>
        <v/>
      </c>
      <c r="AJ34" s="131">
        <f>IF(ISBLANK(B34), "", IF(ISNUMBER(D34), IF(D34&gt;0, (COUNTIF(E34:AH34, "✓") + COUNTIF(E34:AH34, "✔") + COUNTIF(E34:AH34, "v") + COUNTIF(E34:AH34, "V")) &amp; "/" &amp; D34, (COUNTIF(E34:AH34, "✓") + COUNTIF(E34:AH34, "✔") + COUNTIF(E34:AH34, "v") + COUNTIF(E34:AH34, "V")) &amp; "/0"), IF(((COUNTIF(E34:AH34, "✓") + COUNTIF(E34:AH34, "✔") + COUNTIF(E34:AH34, "v") + COUNTIF(E34:AH34, "V")) + COUNTIF(E34:AH34, "✗") + COUNTIF(E34:AH34, "x") + COUNTIF(E34:AH34, "X"))&gt;0, (COUNTIF(E34:AH34, "✓") + COUNTIF(E34:AH34, "✔") + COUNTIF(E34:AH34, "v") + COUNTIF(E34:AH34, "V")) &amp; "/" &amp; ((COUNTIF(E34:AH34, "✓") + COUNTIF(E34:AH34, "✔") + COUNTIF(E34:AH34, "v") + COUNTIF(E34:AH34, "V")) + COUNTIF(E34:AH34, "✗") + COUNTIF(E34:AH34, "x") + COUNTIF(E34:AH34, "X")), "")))</f>
        <v/>
      </c>
      <c r="AK34" s="131">
        <f>IF(ISBLANK(B34), "", IF(AI34&gt;=0.85, "🔥 Mastered", IF(AI34&gt;=0.7, "⚡ Consistent", "⚠️ Needs Focus")))</f>
        <v/>
      </c>
      <c r="AL34">
        <f>COUNTIF(E34:AH34, "✓")</f>
        <v/>
      </c>
    </row>
    <row r="35" ht="14.5" customHeight="1">
      <c r="A35" s="125" t="n">
        <v>18</v>
      </c>
      <c r="B35" s="126" t="n"/>
      <c r="C35" s="127" t="n"/>
      <c r="D35" s="127" t="n"/>
      <c r="E35" s="128" t="n"/>
      <c r="F35" s="129" t="n"/>
      <c r="G35" s="128" t="n"/>
      <c r="H35" s="128" t="n"/>
      <c r="I35" s="128" t="n"/>
      <c r="J35" s="128" t="n"/>
      <c r="K35" s="128" t="n"/>
      <c r="L35" s="128" t="n"/>
      <c r="M35" s="129" t="n"/>
      <c r="N35" s="128" t="n"/>
      <c r="O35" s="128" t="n"/>
      <c r="P35" s="128" t="n"/>
      <c r="Q35" s="128" t="n"/>
      <c r="R35" s="128" t="n"/>
      <c r="S35" s="128" t="n"/>
      <c r="T35" s="129" t="n"/>
      <c r="U35" s="128" t="n"/>
      <c r="V35" s="128" t="n"/>
      <c r="W35" s="128" t="n"/>
      <c r="X35" s="128" t="n"/>
      <c r="Y35" s="128" t="n"/>
      <c r="Z35" s="128" t="n"/>
      <c r="AA35" s="129" t="n"/>
      <c r="AB35" s="128" t="n"/>
      <c r="AC35" s="128" t="n"/>
      <c r="AD35" s="128" t="n"/>
      <c r="AE35" s="128" t="n"/>
      <c r="AF35" s="128" t="n"/>
      <c r="AG35" s="128" t="n"/>
      <c r="AH35" s="129" t="n"/>
      <c r="AI35" s="130">
        <f>IF(ISBLANK(B35), "", IF(ISNUMBER(D35), IF(D35&gt;0, (COUNTIF(E35:AH35, "✓") + COUNTIF(E35:AH35, "✔") + COUNTIF(E35:AH35, "v") + COUNTIF(E35:AH35, "V"))/D35, 0), IF(((COUNTIF(E35:AH35, "✓") + COUNTIF(E35:AH35, "✔") + COUNTIF(E35:AH35, "v") + COUNTIF(E35:AH35, "V")) + COUNTIF(E35:AH35, "✗") + COUNTIF(E35:AH35, "x") + COUNTIF(E35:AH35, "X"))&gt;0, (COUNTIF(E35:AH35, "✓") + COUNTIF(E35:AH35, "✔") + COUNTIF(E35:AH35, "v") + COUNTIF(E35:AH35, "V"))/((COUNTIF(E35:AH35, "✓") + COUNTIF(E35:AH35, "✔") + COUNTIF(E35:AH35, "v") + COUNTIF(E35:AH35, "V")) + COUNTIF(E35:AH35, "✗") + COUNTIF(E35:AH35, "x") + COUNTIF(E35:AH35, "X")), "")))</f>
        <v/>
      </c>
      <c r="AJ35" s="131">
        <f>IF(ISBLANK(B35), "", IF(ISNUMBER(D35), IF(D35&gt;0, (COUNTIF(E35:AH35, "✓") + COUNTIF(E35:AH35, "✔") + COUNTIF(E35:AH35, "v") + COUNTIF(E35:AH35, "V")) &amp; "/" &amp; D35, (COUNTIF(E35:AH35, "✓") + COUNTIF(E35:AH35, "✔") + COUNTIF(E35:AH35, "v") + COUNTIF(E35:AH35, "V")) &amp; "/0"), IF(((COUNTIF(E35:AH35, "✓") + COUNTIF(E35:AH35, "✔") + COUNTIF(E35:AH35, "v") + COUNTIF(E35:AH35, "V")) + COUNTIF(E35:AH35, "✗") + COUNTIF(E35:AH35, "x") + COUNTIF(E35:AH35, "X"))&gt;0, (COUNTIF(E35:AH35, "✓") + COUNTIF(E35:AH35, "✔") + COUNTIF(E35:AH35, "v") + COUNTIF(E35:AH35, "V")) &amp; "/" &amp; ((COUNTIF(E35:AH35, "✓") + COUNTIF(E35:AH35, "✔") + COUNTIF(E35:AH35, "v") + COUNTIF(E35:AH35, "V")) + COUNTIF(E35:AH35, "✗") + COUNTIF(E35:AH35, "x") + COUNTIF(E35:AH35, "X")), "")))</f>
        <v/>
      </c>
      <c r="AK35" s="131">
        <f>IF(ISBLANK(B35), "", IF(AI35&gt;=0.85, "🔥 Mastered", IF(AI35&gt;=0.7, "⚡ Consistent", "⚠️ Needs Focus")))</f>
        <v/>
      </c>
      <c r="AL35">
        <f>COUNTIF(E35:AH35, "✓")</f>
        <v/>
      </c>
    </row>
    <row r="36" ht="14.5" customHeight="1">
      <c r="A36" s="125" t="n">
        <v>19</v>
      </c>
      <c r="B36" s="126" t="n"/>
      <c r="C36" s="127" t="n"/>
      <c r="D36" s="127" t="n"/>
      <c r="E36" s="128" t="n"/>
      <c r="F36" s="129" t="n"/>
      <c r="G36" s="128" t="n"/>
      <c r="H36" s="128" t="n"/>
      <c r="I36" s="128" t="n"/>
      <c r="J36" s="128" t="n"/>
      <c r="K36" s="128" t="n"/>
      <c r="L36" s="128" t="n"/>
      <c r="M36" s="129" t="n"/>
      <c r="N36" s="128" t="n"/>
      <c r="O36" s="128" t="n"/>
      <c r="P36" s="128" t="n"/>
      <c r="Q36" s="128" t="n"/>
      <c r="R36" s="128" t="n"/>
      <c r="S36" s="128" t="n"/>
      <c r="T36" s="129" t="n"/>
      <c r="U36" s="128" t="n"/>
      <c r="V36" s="128" t="n"/>
      <c r="W36" s="128" t="n"/>
      <c r="X36" s="128" t="n"/>
      <c r="Y36" s="128" t="n"/>
      <c r="Z36" s="128" t="n"/>
      <c r="AA36" s="129" t="n"/>
      <c r="AB36" s="128" t="n"/>
      <c r="AC36" s="128" t="n"/>
      <c r="AD36" s="128" t="n"/>
      <c r="AE36" s="128" t="n"/>
      <c r="AF36" s="128" t="n"/>
      <c r="AG36" s="128" t="n"/>
      <c r="AH36" s="129" t="n"/>
      <c r="AI36" s="130">
        <f>IF(ISBLANK(B36), "", IF(ISNUMBER(D36), IF(D36&gt;0, (COUNTIF(E36:AH36, "✓") + COUNTIF(E36:AH36, "✔") + COUNTIF(E36:AH36, "v") + COUNTIF(E36:AH36, "V"))/D36, 0), IF(((COUNTIF(E36:AH36, "✓") + COUNTIF(E36:AH36, "✔") + COUNTIF(E36:AH36, "v") + COUNTIF(E36:AH36, "V")) + COUNTIF(E36:AH36, "✗") + COUNTIF(E36:AH36, "x") + COUNTIF(E36:AH36, "X"))&gt;0, (COUNTIF(E36:AH36, "✓") + COUNTIF(E36:AH36, "✔") + COUNTIF(E36:AH36, "v") + COUNTIF(E36:AH36, "V"))/((COUNTIF(E36:AH36, "✓") + COUNTIF(E36:AH36, "✔") + COUNTIF(E36:AH36, "v") + COUNTIF(E36:AH36, "V")) + COUNTIF(E36:AH36, "✗") + COUNTIF(E36:AH36, "x") + COUNTIF(E36:AH36, "X")), "")))</f>
        <v/>
      </c>
      <c r="AJ36" s="131">
        <f>IF(ISBLANK(B36), "", IF(ISNUMBER(D36), IF(D36&gt;0, (COUNTIF(E36:AH36, "✓") + COUNTIF(E36:AH36, "✔") + COUNTIF(E36:AH36, "v") + COUNTIF(E36:AH36, "V")) &amp; "/" &amp; D36, (COUNTIF(E36:AH36, "✓") + COUNTIF(E36:AH36, "✔") + COUNTIF(E36:AH36, "v") + COUNTIF(E36:AH36, "V")) &amp; "/0"), IF(((COUNTIF(E36:AH36, "✓") + COUNTIF(E36:AH36, "✔") + COUNTIF(E36:AH36, "v") + COUNTIF(E36:AH36, "V")) + COUNTIF(E36:AH36, "✗") + COUNTIF(E36:AH36, "x") + COUNTIF(E36:AH36, "X"))&gt;0, (COUNTIF(E36:AH36, "✓") + COUNTIF(E36:AH36, "✔") + COUNTIF(E36:AH36, "v") + COUNTIF(E36:AH36, "V")) &amp; "/" &amp; ((COUNTIF(E36:AH36, "✓") + COUNTIF(E36:AH36, "✔") + COUNTIF(E36:AH36, "v") + COUNTIF(E36:AH36, "V")) + COUNTIF(E36:AH36, "✗") + COUNTIF(E36:AH36, "x") + COUNTIF(E36:AH36, "X")), "")))</f>
        <v/>
      </c>
      <c r="AK36" s="131">
        <f>IF(ISBLANK(B36), "", IF(AI36&gt;=0.85, "🔥 Mastered", IF(AI36&gt;=0.7, "⚡ Consistent", "⚠️ Needs Focus")))</f>
        <v/>
      </c>
      <c r="AL36">
        <f>COUNTIF(E36:AH36, "✓")</f>
        <v/>
      </c>
    </row>
    <row r="37" ht="14.5" customHeight="1">
      <c r="A37" s="125" t="n">
        <v>20</v>
      </c>
      <c r="B37" s="126" t="n"/>
      <c r="C37" s="127" t="n"/>
      <c r="D37" s="127" t="n"/>
      <c r="E37" s="128" t="n"/>
      <c r="F37" s="129" t="n"/>
      <c r="G37" s="128" t="n"/>
      <c r="H37" s="128" t="n"/>
      <c r="I37" s="128" t="n"/>
      <c r="J37" s="128" t="n"/>
      <c r="K37" s="128" t="n"/>
      <c r="L37" s="128" t="n"/>
      <c r="M37" s="129" t="n"/>
      <c r="N37" s="128" t="n"/>
      <c r="O37" s="128" t="n"/>
      <c r="P37" s="128" t="n"/>
      <c r="Q37" s="128" t="n"/>
      <c r="R37" s="128" t="n"/>
      <c r="S37" s="128" t="n"/>
      <c r="T37" s="129" t="n"/>
      <c r="U37" s="128" t="n"/>
      <c r="V37" s="128" t="n"/>
      <c r="W37" s="128" t="n"/>
      <c r="X37" s="128" t="n"/>
      <c r="Y37" s="128" t="n"/>
      <c r="Z37" s="128" t="n"/>
      <c r="AA37" s="129" t="n"/>
      <c r="AB37" s="128" t="n"/>
      <c r="AC37" s="128" t="n"/>
      <c r="AD37" s="128" t="n"/>
      <c r="AE37" s="128" t="n"/>
      <c r="AF37" s="128" t="n"/>
      <c r="AG37" s="128" t="n"/>
      <c r="AH37" s="129" t="n"/>
      <c r="AI37" s="130">
        <f>IF(ISBLANK(B37), "", IF(ISNUMBER(D37), IF(D37&gt;0, (COUNTIF(E37:AH37, "✓") + COUNTIF(E37:AH37, "✔") + COUNTIF(E37:AH37, "v") + COUNTIF(E37:AH37, "V"))/D37, 0), IF(((COUNTIF(E37:AH37, "✓") + COUNTIF(E37:AH37, "✔") + COUNTIF(E37:AH37, "v") + COUNTIF(E37:AH37, "V")) + COUNTIF(E37:AH37, "✗") + COUNTIF(E37:AH37, "x") + COUNTIF(E37:AH37, "X"))&gt;0, (COUNTIF(E37:AH37, "✓") + COUNTIF(E37:AH37, "✔") + COUNTIF(E37:AH37, "v") + COUNTIF(E37:AH37, "V"))/((COUNTIF(E37:AH37, "✓") + COUNTIF(E37:AH37, "✔") + COUNTIF(E37:AH37, "v") + COUNTIF(E37:AH37, "V")) + COUNTIF(E37:AH37, "✗") + COUNTIF(E37:AH37, "x") + COUNTIF(E37:AH37, "X")), "")))</f>
        <v/>
      </c>
      <c r="AJ37" s="131">
        <f>IF(ISBLANK(B37), "", IF(ISNUMBER(D37), IF(D37&gt;0, (COUNTIF(E37:AH37, "✓") + COUNTIF(E37:AH37, "✔") + COUNTIF(E37:AH37, "v") + COUNTIF(E37:AH37, "V")) &amp; "/" &amp; D37, (COUNTIF(E37:AH37, "✓") + COUNTIF(E37:AH37, "✔") + COUNTIF(E37:AH37, "v") + COUNTIF(E37:AH37, "V")) &amp; "/0"), IF(((COUNTIF(E37:AH37, "✓") + COUNTIF(E37:AH37, "✔") + COUNTIF(E37:AH37, "v") + COUNTIF(E37:AH37, "V")) + COUNTIF(E37:AH37, "✗") + COUNTIF(E37:AH37, "x") + COUNTIF(E37:AH37, "X"))&gt;0, (COUNTIF(E37:AH37, "✓") + COUNTIF(E37:AH37, "✔") + COUNTIF(E37:AH37, "v") + COUNTIF(E37:AH37, "V")) &amp; "/" &amp; ((COUNTIF(E37:AH37, "✓") + COUNTIF(E37:AH37, "✔") + COUNTIF(E37:AH37, "v") + COUNTIF(E37:AH37, "V")) + COUNTIF(E37:AH37, "✗") + COUNTIF(E37:AH37, "x") + COUNTIF(E37:AH37, "X")), "")))</f>
        <v/>
      </c>
      <c r="AK37" s="131">
        <f>IF(ISBLANK(B37), "", IF(AI37&gt;=0.85, "🔥 Mastered", IF(AI37&gt;=0.7, "⚡ Consistent", "⚠️ Needs Focus")))</f>
        <v/>
      </c>
      <c r="AL37">
        <f>COUNTIF(E37:AH37, "✓")</f>
        <v/>
      </c>
    </row>
    <row r="38" ht="18" customHeight="1">
      <c r="A38" s="132" t="inlineStr">
        <is>
          <t>DAILY TOTAL SCORE</t>
        </is>
      </c>
      <c r="B38" s="54" t="n"/>
      <c r="C38" s="54" t="n"/>
      <c r="D38" s="54" t="n"/>
      <c r="E38" s="33">
        <f>IF(((COUNTIF(E18:E37, "✓") + COUNTIF(E18:E37, "✔") + COUNTIF(E18:E37, "v") + COUNTIF(E18:E37, "V")) + COUNTIF(E18:E37, "✗") + COUNTIF(E18:E37, "x") + COUNTIF(E18:E37, "X")) &gt; 0, (COUNTIF(E18:E37, "✓") + COUNTIF(E18:E37, "✔") + COUNTIF(E18:E37, "v") + COUNTIF(E18:E37, "V")) &amp; "/" &amp; ((COUNTIF(E18:E37, "✓") + COUNTIF(E18:E37, "✔") + COUNTIF(E18:E37, "v") + COUNTIF(E18:E37, "V")) + COUNTIF(E18:E37, "✗") + COUNTIF(E18:E37, "x") + COUNTIF(E18:E37, "X")), "")</f>
        <v/>
      </c>
      <c r="F38" s="33">
        <f>IF(((COUNTIF(F18:F37, "✓") + COUNTIF(F18:F37, "✔") + COUNTIF(F18:F37, "v") + COUNTIF(F18:F37, "V")) + COUNTIF(F18:F37, "✗") + COUNTIF(F18:F37, "x") + COUNTIF(F18:F37, "X")) &gt; 0, (COUNTIF(F18:F37, "✓") + COUNTIF(F18:F37, "✔") + COUNTIF(F18:F37, "v") + COUNTIF(F18:F37, "V")) &amp; "/" &amp; ((COUNTIF(F18:F37, "✓") + COUNTIF(F18:F37, "✔") + COUNTIF(F18:F37, "v") + COUNTIF(F18:F37, "V")) + COUNTIF(F18:F37, "✗") + COUNTIF(F18:F37, "x") + COUNTIF(F18:F37, "X")), "")</f>
        <v/>
      </c>
      <c r="G38" s="33">
        <f>IF(((COUNTIF(G18:G37, "✓") + COUNTIF(G18:G37, "✔") + COUNTIF(G18:G37, "v") + COUNTIF(G18:G37, "V")) + COUNTIF(G18:G37, "✗") + COUNTIF(G18:G37, "x") + COUNTIF(G18:G37, "X")) &gt; 0, (COUNTIF(G18:G37, "✓") + COUNTIF(G18:G37, "✔") + COUNTIF(G18:G37, "v") + COUNTIF(G18:G37, "V")) &amp; "/" &amp; ((COUNTIF(G18:G37, "✓") + COUNTIF(G18:G37, "✔") + COUNTIF(G18:G37, "v") + COUNTIF(G18:G37, "V")) + COUNTIF(G18:G37, "✗") + COUNTIF(G18:G37, "x") + COUNTIF(G18:G37, "X")), "")</f>
        <v/>
      </c>
      <c r="H38" s="33">
        <f>IF(((COUNTIF(H18:H37, "✓") + COUNTIF(H18:H37, "✔") + COUNTIF(H18:H37, "v") + COUNTIF(H18:H37, "V")) + COUNTIF(H18:H37, "✗") + COUNTIF(H18:H37, "x") + COUNTIF(H18:H37, "X")) &gt; 0, (COUNTIF(H18:H37, "✓") + COUNTIF(H18:H37, "✔") + COUNTIF(H18:H37, "v") + COUNTIF(H18:H37, "V")) &amp; "/" &amp; ((COUNTIF(H18:H37, "✓") + COUNTIF(H18:H37, "✔") + COUNTIF(H18:H37, "v") + COUNTIF(H18:H37, "V")) + COUNTIF(H18:H37, "✗") + COUNTIF(H18:H37, "x") + COUNTIF(H18:H37, "X")), "")</f>
        <v/>
      </c>
      <c r="I38" s="33">
        <f>IF(((COUNTIF(I18:I37, "✓") + COUNTIF(I18:I37, "✔") + COUNTIF(I18:I37, "v") + COUNTIF(I18:I37, "V")) + COUNTIF(I18:I37, "✗") + COUNTIF(I18:I37, "x") + COUNTIF(I18:I37, "X")) &gt; 0, (COUNTIF(I18:I37, "✓") + COUNTIF(I18:I37, "✔") + COUNTIF(I18:I37, "v") + COUNTIF(I18:I37, "V")) &amp; "/" &amp; ((COUNTIF(I18:I37, "✓") + COUNTIF(I18:I37, "✔") + COUNTIF(I18:I37, "v") + COUNTIF(I18:I37, "V")) + COUNTIF(I18:I37, "✗") + COUNTIF(I18:I37, "x") + COUNTIF(I18:I37, "X")), "")</f>
        <v/>
      </c>
      <c r="J38" s="33">
        <f>IF(((COUNTIF(J18:J37, "✓") + COUNTIF(J18:J37, "✔") + COUNTIF(J18:J37, "v") + COUNTIF(J18:J37, "V")) + COUNTIF(J18:J37, "✗") + COUNTIF(J18:J37, "x") + COUNTIF(J18:J37, "X")) &gt; 0, (COUNTIF(J18:J37, "✓") + COUNTIF(J18:J37, "✔") + COUNTIF(J18:J37, "v") + COUNTIF(J18:J37, "V")) &amp; "/" &amp; ((COUNTIF(J18:J37, "✓") + COUNTIF(J18:J37, "✔") + COUNTIF(J18:J37, "v") + COUNTIF(J18:J37, "V")) + COUNTIF(J18:J37, "✗") + COUNTIF(J18:J37, "x") + COUNTIF(J18:J37, "X")), "")</f>
        <v/>
      </c>
      <c r="K38" s="33">
        <f>IF(((COUNTIF(K18:K37, "✓") + COUNTIF(K18:K37, "✔") + COUNTIF(K18:K37, "v") + COUNTIF(K18:K37, "V")) + COUNTIF(K18:K37, "✗") + COUNTIF(K18:K37, "x") + COUNTIF(K18:K37, "X")) &gt; 0, (COUNTIF(K18:K37, "✓") + COUNTIF(K18:K37, "✔") + COUNTIF(K18:K37, "v") + COUNTIF(K18:K37, "V")) &amp; "/" &amp; ((COUNTIF(K18:K37, "✓") + COUNTIF(K18:K37, "✔") + COUNTIF(K18:K37, "v") + COUNTIF(K18:K37, "V")) + COUNTIF(K18:K37, "✗") + COUNTIF(K18:K37, "x") + COUNTIF(K18:K37, "X")), "")</f>
        <v/>
      </c>
      <c r="L38" s="33">
        <f>IF(((COUNTIF(L18:L37, "✓") + COUNTIF(L18:L37, "✔") + COUNTIF(L18:L37, "v") + COUNTIF(L18:L37, "V")) + COUNTIF(L18:L37, "✗") + COUNTIF(L18:L37, "x") + COUNTIF(L18:L37, "X")) &gt; 0, (COUNTIF(L18:L37, "✓") + COUNTIF(L18:L37, "✔") + COUNTIF(L18:L37, "v") + COUNTIF(L18:L37, "V")) &amp; "/" &amp; ((COUNTIF(L18:L37, "✓") + COUNTIF(L18:L37, "✔") + COUNTIF(L18:L37, "v") + COUNTIF(L18:L37, "V")) + COUNTIF(L18:L37, "✗") + COUNTIF(L18:L37, "x") + COUNTIF(L18:L37, "X")), "")</f>
        <v/>
      </c>
      <c r="M38" s="33">
        <f>IF(((COUNTIF(M18:M37, "✓") + COUNTIF(M18:M37, "✔") + COUNTIF(M18:M37, "v") + COUNTIF(M18:M37, "V")) + COUNTIF(M18:M37, "✗") + COUNTIF(M18:M37, "x") + COUNTIF(M18:M37, "X")) &gt; 0, (COUNTIF(M18:M37, "✓") + COUNTIF(M18:M37, "✔") + COUNTIF(M18:M37, "v") + COUNTIF(M18:M37, "V")) &amp; "/" &amp; ((COUNTIF(M18:M37, "✓") + COUNTIF(M18:M37, "✔") + COUNTIF(M18:M37, "v") + COUNTIF(M18:M37, "V")) + COUNTIF(M18:M37, "✗") + COUNTIF(M18:M37, "x") + COUNTIF(M18:M37, "X")), "")</f>
        <v/>
      </c>
      <c r="N38" s="33">
        <f>IF(((COUNTIF(N18:N37, "✓") + COUNTIF(N18:N37, "✔") + COUNTIF(N18:N37, "v") + COUNTIF(N18:N37, "V")) + COUNTIF(N18:N37, "✗") + COUNTIF(N18:N37, "x") + COUNTIF(N18:N37, "X")) &gt; 0, (COUNTIF(N18:N37, "✓") + COUNTIF(N18:N37, "✔") + COUNTIF(N18:N37, "v") + COUNTIF(N18:N37, "V")) &amp; "/" &amp; ((COUNTIF(N18:N37, "✓") + COUNTIF(N18:N37, "✔") + COUNTIF(N18:N37, "v") + COUNTIF(N18:N37, "V")) + COUNTIF(N18:N37, "✗") + COUNTIF(N18:N37, "x") + COUNTIF(N18:N37, "X")), "")</f>
        <v/>
      </c>
      <c r="O38" s="33">
        <f>IF(((COUNTIF(O18:O37, "✓") + COUNTIF(O18:O37, "✔") + COUNTIF(O18:O37, "v") + COUNTIF(O18:O37, "V")) + COUNTIF(O18:O37, "✗") + COUNTIF(O18:O37, "x") + COUNTIF(O18:O37, "X")) &gt; 0, (COUNTIF(O18:O37, "✓") + COUNTIF(O18:O37, "✔") + COUNTIF(O18:O37, "v") + COUNTIF(O18:O37, "V")) &amp; "/" &amp; ((COUNTIF(O18:O37, "✓") + COUNTIF(O18:O37, "✔") + COUNTIF(O18:O37, "v") + COUNTIF(O18:O37, "V")) + COUNTIF(O18:O37, "✗") + COUNTIF(O18:O37, "x") + COUNTIF(O18:O37, "X")), "")</f>
        <v/>
      </c>
      <c r="P38" s="33">
        <f>IF(((COUNTIF(P18:P37, "✓") + COUNTIF(P18:P37, "✔") + COUNTIF(P18:P37, "v") + COUNTIF(P18:P37, "V")) + COUNTIF(P18:P37, "✗") + COUNTIF(P18:P37, "x") + COUNTIF(P18:P37, "X")) &gt; 0, (COUNTIF(P18:P37, "✓") + COUNTIF(P18:P37, "✔") + COUNTIF(P18:P37, "v") + COUNTIF(P18:P37, "V")) &amp; "/" &amp; ((COUNTIF(P18:P37, "✓") + COUNTIF(P18:P37, "✔") + COUNTIF(P18:P37, "v") + COUNTIF(P18:P37, "V")) + COUNTIF(P18:P37, "✗") + COUNTIF(P18:P37, "x") + COUNTIF(P18:P37, "X")), "")</f>
        <v/>
      </c>
      <c r="Q38" s="33">
        <f>IF(((COUNTIF(Q18:Q37, "✓") + COUNTIF(Q18:Q37, "✔") + COUNTIF(Q18:Q37, "v") + COUNTIF(Q18:Q37, "V")) + COUNTIF(Q18:Q37, "✗") + COUNTIF(Q18:Q37, "x") + COUNTIF(Q18:Q37, "X")) &gt; 0, (COUNTIF(Q18:Q37, "✓") + COUNTIF(Q18:Q37, "✔") + COUNTIF(Q18:Q37, "v") + COUNTIF(Q18:Q37, "V")) &amp; "/" &amp; ((COUNTIF(Q18:Q37, "✓") + COUNTIF(Q18:Q37, "✔") + COUNTIF(Q18:Q37, "v") + COUNTIF(Q18:Q37, "V")) + COUNTIF(Q18:Q37, "✗") + COUNTIF(Q18:Q37, "x") + COUNTIF(Q18:Q37, "X")), "")</f>
        <v/>
      </c>
      <c r="R38" s="33">
        <f>IF(((COUNTIF(R18:R37, "✓") + COUNTIF(R18:R37, "✔") + COUNTIF(R18:R37, "v") + COUNTIF(R18:R37, "V")) + COUNTIF(R18:R37, "✗") + COUNTIF(R18:R37, "x") + COUNTIF(R18:R37, "X")) &gt; 0, (COUNTIF(R18:R37, "✓") + COUNTIF(R18:R37, "✔") + COUNTIF(R18:R37, "v") + COUNTIF(R18:R37, "V")) &amp; "/" &amp; ((COUNTIF(R18:R37, "✓") + COUNTIF(R18:R37, "✔") + COUNTIF(R18:R37, "v") + COUNTIF(R18:R37, "V")) + COUNTIF(R18:R37, "✗") + COUNTIF(R18:R37, "x") + COUNTIF(R18:R37, "X")), "")</f>
        <v/>
      </c>
      <c r="S38" s="33">
        <f>IF(((COUNTIF(S18:S37, "✓") + COUNTIF(S18:S37, "✔") + COUNTIF(S18:S37, "v") + COUNTIF(S18:S37, "V")) + COUNTIF(S18:S37, "✗") + COUNTIF(S18:S37, "x") + COUNTIF(S18:S37, "X")) &gt; 0, (COUNTIF(S18:S37, "✓") + COUNTIF(S18:S37, "✔") + COUNTIF(S18:S37, "v") + COUNTIF(S18:S37, "V")) &amp; "/" &amp; ((COUNTIF(S18:S37, "✓") + COUNTIF(S18:S37, "✔") + COUNTIF(S18:S37, "v") + COUNTIF(S18:S37, "V")) + COUNTIF(S18:S37, "✗") + COUNTIF(S18:S37, "x") + COUNTIF(S18:S37, "X")), "")</f>
        <v/>
      </c>
      <c r="T38" s="33">
        <f>IF(((COUNTIF(T18:T37, "✓") + COUNTIF(T18:T37, "✔") + COUNTIF(T18:T37, "v") + COUNTIF(T18:T37, "V")) + COUNTIF(T18:T37, "✗") + COUNTIF(T18:T37, "x") + COUNTIF(T18:T37, "X")) &gt; 0, (COUNTIF(T18:T37, "✓") + COUNTIF(T18:T37, "✔") + COUNTIF(T18:T37, "v") + COUNTIF(T18:T37, "V")) &amp; "/" &amp; ((COUNTIF(T18:T37, "✓") + COUNTIF(T18:T37, "✔") + COUNTIF(T18:T37, "v") + COUNTIF(T18:T37, "V")) + COUNTIF(T18:T37, "✗") + COUNTIF(T18:T37, "x") + COUNTIF(T18:T37, "X")), "")</f>
        <v/>
      </c>
      <c r="U38" s="33">
        <f>IF(((COUNTIF(U18:U37, "✓") + COUNTIF(U18:U37, "✔") + COUNTIF(U18:U37, "v") + COUNTIF(U18:U37, "V")) + COUNTIF(U18:U37, "✗") + COUNTIF(U18:U37, "x") + COUNTIF(U18:U37, "X")) &gt; 0, (COUNTIF(U18:U37, "✓") + COUNTIF(U18:U37, "✔") + COUNTIF(U18:U37, "v") + COUNTIF(U18:U37, "V")) &amp; "/" &amp; ((COUNTIF(U18:U37, "✓") + COUNTIF(U18:U37, "✔") + COUNTIF(U18:U37, "v") + COUNTIF(U18:U37, "V")) + COUNTIF(U18:U37, "✗") + COUNTIF(U18:U37, "x") + COUNTIF(U18:U37, "X")), "")</f>
        <v/>
      </c>
      <c r="V38" s="33">
        <f>IF(((COUNTIF(V18:V37, "✓") + COUNTIF(V18:V37, "✔") + COUNTIF(V18:V37, "v") + COUNTIF(V18:V37, "V")) + COUNTIF(V18:V37, "✗") + COUNTIF(V18:V37, "x") + COUNTIF(V18:V37, "X")) &gt; 0, (COUNTIF(V18:V37, "✓") + COUNTIF(V18:V37, "✔") + COUNTIF(V18:V37, "v") + COUNTIF(V18:V37, "V")) &amp; "/" &amp; ((COUNTIF(V18:V37, "✓") + COUNTIF(V18:V37, "✔") + COUNTIF(V18:V37, "v") + COUNTIF(V18:V37, "V")) + COUNTIF(V18:V37, "✗") + COUNTIF(V18:V37, "x") + COUNTIF(V18:V37, "X")), "")</f>
        <v/>
      </c>
      <c r="W38" s="33">
        <f>IF(((COUNTIF(W18:W37, "✓") + COUNTIF(W18:W37, "✔") + COUNTIF(W18:W37, "v") + COUNTIF(W18:W37, "V")) + COUNTIF(W18:W37, "✗") + COUNTIF(W18:W37, "x") + COUNTIF(W18:W37, "X")) &gt; 0, (COUNTIF(W18:W37, "✓") + COUNTIF(W18:W37, "✔") + COUNTIF(W18:W37, "v") + COUNTIF(W18:W37, "V")) &amp; "/" &amp; ((COUNTIF(W18:W37, "✓") + COUNTIF(W18:W37, "✔") + COUNTIF(W18:W37, "v") + COUNTIF(W18:W37, "V")) + COUNTIF(W18:W37, "✗") + COUNTIF(W18:W37, "x") + COUNTIF(W18:W37, "X")), "")</f>
        <v/>
      </c>
      <c r="X38" s="33">
        <f>IF(((COUNTIF(X18:X37, "✓") + COUNTIF(X18:X37, "✔") + COUNTIF(X18:X37, "v") + COUNTIF(X18:X37, "V")) + COUNTIF(X18:X37, "✗") + COUNTIF(X18:X37, "x") + COUNTIF(X18:X37, "X")) &gt; 0, (COUNTIF(X18:X37, "✓") + COUNTIF(X18:X37, "✔") + COUNTIF(X18:X37, "v") + COUNTIF(X18:X37, "V")) &amp; "/" &amp; ((COUNTIF(X18:X37, "✓") + COUNTIF(X18:X37, "✔") + COUNTIF(X18:X37, "v") + COUNTIF(X18:X37, "V")) + COUNTIF(X18:X37, "✗") + COUNTIF(X18:X37, "x") + COUNTIF(X18:X37, "X")), "")</f>
        <v/>
      </c>
      <c r="Y38" s="33">
        <f>IF(((COUNTIF(Y18:Y37, "✓") + COUNTIF(Y18:Y37, "✔") + COUNTIF(Y18:Y37, "v") + COUNTIF(Y18:Y37, "V")) + COUNTIF(Y18:Y37, "✗") + COUNTIF(Y18:Y37, "x") + COUNTIF(Y18:Y37, "X")) &gt; 0, (COUNTIF(Y18:Y37, "✓") + COUNTIF(Y18:Y37, "✔") + COUNTIF(Y18:Y37, "v") + COUNTIF(Y18:Y37, "V")) &amp; "/" &amp; ((COUNTIF(Y18:Y37, "✓") + COUNTIF(Y18:Y37, "✔") + COUNTIF(Y18:Y37, "v") + COUNTIF(Y18:Y37, "V")) + COUNTIF(Y18:Y37, "✗") + COUNTIF(Y18:Y37, "x") + COUNTIF(Y18:Y37, "X")), "")</f>
        <v/>
      </c>
      <c r="Z38" s="33">
        <f>IF(((COUNTIF(Z18:Z37, "✓") + COUNTIF(Z18:Z37, "✔") + COUNTIF(Z18:Z37, "v") + COUNTIF(Z18:Z37, "V")) + COUNTIF(Z18:Z37, "✗") + COUNTIF(Z18:Z37, "x") + COUNTIF(Z18:Z37, "X")) &gt; 0, (COUNTIF(Z18:Z37, "✓") + COUNTIF(Z18:Z37, "✔") + COUNTIF(Z18:Z37, "v") + COUNTIF(Z18:Z37, "V")) &amp; "/" &amp; ((COUNTIF(Z18:Z37, "✓") + COUNTIF(Z18:Z37, "✔") + COUNTIF(Z18:Z37, "v") + COUNTIF(Z18:Z37, "V")) + COUNTIF(Z18:Z37, "✗") + COUNTIF(Z18:Z37, "x") + COUNTIF(Z18:Z37, "X")), "")</f>
        <v/>
      </c>
      <c r="AA38" s="33">
        <f>IF(((COUNTIF(AA18:AA37, "✓") + COUNTIF(AA18:AA37, "✔") + COUNTIF(AA18:AA37, "v") + COUNTIF(AA18:AA37, "V")) + COUNTIF(AA18:AA37, "✗") + COUNTIF(AA18:AA37, "x") + COUNTIF(AA18:AA37, "X")) &gt; 0, (COUNTIF(AA18:AA37, "✓") + COUNTIF(AA18:AA37, "✔") + COUNTIF(AA18:AA37, "v") + COUNTIF(AA18:AA37, "V")) &amp; "/" &amp; ((COUNTIF(AA18:AA37, "✓") + COUNTIF(AA18:AA37, "✔") + COUNTIF(AA18:AA37, "v") + COUNTIF(AA18:AA37, "V")) + COUNTIF(AA18:AA37, "✗") + COUNTIF(AA18:AA37, "x") + COUNTIF(AA18:AA37, "X")), "")</f>
        <v/>
      </c>
      <c r="AB38" s="33">
        <f>IF(((COUNTIF(AB18:AB37, "✓") + COUNTIF(AB18:AB37, "✔") + COUNTIF(AB18:AB37, "v") + COUNTIF(AB18:AB37, "V")) + COUNTIF(AB18:AB37, "✗") + COUNTIF(AB18:AB37, "x") + COUNTIF(AB18:AB37, "X")) &gt; 0, (COUNTIF(AB18:AB37, "✓") + COUNTIF(AB18:AB37, "✔") + COUNTIF(AB18:AB37, "v") + COUNTIF(AB18:AB37, "V")) &amp; "/" &amp; ((COUNTIF(AB18:AB37, "✓") + COUNTIF(AB18:AB37, "✔") + COUNTIF(AB18:AB37, "v") + COUNTIF(AB18:AB37, "V")) + COUNTIF(AB18:AB37, "✗") + COUNTIF(AB18:AB37, "x") + COUNTIF(AB18:AB37, "X")), "")</f>
        <v/>
      </c>
      <c r="AC38" s="33">
        <f>IF(((COUNTIF(AC18:AC37, "✓") + COUNTIF(AC18:AC37, "✔") + COUNTIF(AC18:AC37, "v") + COUNTIF(AC18:AC37, "V")) + COUNTIF(AC18:AC37, "✗") + COUNTIF(AC18:AC37, "x") + COUNTIF(AC18:AC37, "X")) &gt; 0, (COUNTIF(AC18:AC37, "✓") + COUNTIF(AC18:AC37, "✔") + COUNTIF(AC18:AC37, "v") + COUNTIF(AC18:AC37, "V")) &amp; "/" &amp; ((COUNTIF(AC18:AC37, "✓") + COUNTIF(AC18:AC37, "✔") + COUNTIF(AC18:AC37, "v") + COUNTIF(AC18:AC37, "V")) + COUNTIF(AC18:AC37, "✗") + COUNTIF(AC18:AC37, "x") + COUNTIF(AC18:AC37, "X")), "")</f>
        <v/>
      </c>
      <c r="AD38" s="33">
        <f>IF(((COUNTIF(AD18:AD37, "✓") + COUNTIF(AD18:AD37, "✔") + COUNTIF(AD18:AD37, "v") + COUNTIF(AD18:AD37, "V")) + COUNTIF(AD18:AD37, "✗") + COUNTIF(AD18:AD37, "x") + COUNTIF(AD18:AD37, "X")) &gt; 0, (COUNTIF(AD18:AD37, "✓") + COUNTIF(AD18:AD37, "✔") + COUNTIF(AD18:AD37, "v") + COUNTIF(AD18:AD37, "V")) &amp; "/" &amp; ((COUNTIF(AD18:AD37, "✓") + COUNTIF(AD18:AD37, "✔") + COUNTIF(AD18:AD37, "v") + COUNTIF(AD18:AD37, "V")) + COUNTIF(AD18:AD37, "✗") + COUNTIF(AD18:AD37, "x") + COUNTIF(AD18:AD37, "X")), "")</f>
        <v/>
      </c>
      <c r="AE38" s="33">
        <f>IF(((COUNTIF(AE18:AE37, "✓") + COUNTIF(AE18:AE37, "✔") + COUNTIF(AE18:AE37, "v") + COUNTIF(AE18:AE37, "V")) + COUNTIF(AE18:AE37, "✗") + COUNTIF(AE18:AE37, "x") + COUNTIF(AE18:AE37, "X")) &gt; 0, (COUNTIF(AE18:AE37, "✓") + COUNTIF(AE18:AE37, "✔") + COUNTIF(AE18:AE37, "v") + COUNTIF(AE18:AE37, "V")) &amp; "/" &amp; ((COUNTIF(AE18:AE37, "✓") + COUNTIF(AE18:AE37, "✔") + COUNTIF(AE18:AE37, "v") + COUNTIF(AE18:AE37, "V")) + COUNTIF(AE18:AE37, "✗") + COUNTIF(AE18:AE37, "x") + COUNTIF(AE18:AE37, "X")), "")</f>
        <v/>
      </c>
      <c r="AF38" s="33">
        <f>IF(((COUNTIF(AF18:AF37, "✓") + COUNTIF(AF18:AF37, "✔") + COUNTIF(AF18:AF37, "v") + COUNTIF(AF18:AF37, "V")) + COUNTIF(AF18:AF37, "✗") + COUNTIF(AF18:AF37, "x") + COUNTIF(AF18:AF37, "X")) &gt; 0, (COUNTIF(AF18:AF37, "✓") + COUNTIF(AF18:AF37, "✔") + COUNTIF(AF18:AF37, "v") + COUNTIF(AF18:AF37, "V")) &amp; "/" &amp; ((COUNTIF(AF18:AF37, "✓") + COUNTIF(AF18:AF37, "✔") + COUNTIF(AF18:AF37, "v") + COUNTIF(AF18:AF37, "V")) + COUNTIF(AF18:AF37, "✗") + COUNTIF(AF18:AF37, "x") + COUNTIF(AF18:AF37, "X")), "")</f>
        <v/>
      </c>
      <c r="AG38" s="33">
        <f>IF(((COUNTIF(AG18:AG37, "✓") + COUNTIF(AG18:AG37, "✔") + COUNTIF(AG18:AG37, "v") + COUNTIF(AG18:AG37, "V")) + COUNTIF(AG18:AG37, "✗") + COUNTIF(AG18:AG37, "x") + COUNTIF(AG18:AG37, "X")) &gt; 0, (COUNTIF(AG18:AG37, "✓") + COUNTIF(AG18:AG37, "✔") + COUNTIF(AG18:AG37, "v") + COUNTIF(AG18:AG37, "V")) &amp; "/" &amp; ((COUNTIF(AG18:AG37, "✓") + COUNTIF(AG18:AG37, "✔") + COUNTIF(AG18:AG37, "v") + COUNTIF(AG18:AG37, "V")) + COUNTIF(AG18:AG37, "✗") + COUNTIF(AG18:AG37, "x") + COUNTIF(AG18:AG37, "X")), "")</f>
        <v/>
      </c>
      <c r="AH38" s="33">
        <f>IF(((COUNTIF(AH18:AH37, "✓") + COUNTIF(AH18:AH37, "✔") + COUNTIF(AH18:AH37, "v") + COUNTIF(AH18:AH37, "V")) + COUNTIF(AH18:AH37, "✗") + COUNTIF(AH18:AH37, "x") + COUNTIF(AH18:AH37, "X")) &gt; 0, (COUNTIF(AH18:AH37, "✓") + COUNTIF(AH18:AH37, "✔") + COUNTIF(AH18:AH37, "v") + COUNTIF(AH18:AH37, "V")) &amp; "/" &amp; ((COUNTIF(AH18:AH37, "✓") + COUNTIF(AH18:AH37, "✔") + COUNTIF(AH18:AH37, "v") + COUNTIF(AH18:AH37, "V")) + COUNTIF(AH18:AH37, "✗") + COUNTIF(AH18:AH37, "x") + COUNTIF(AH18:AH37, "X")), "")</f>
        <v/>
      </c>
      <c r="AI38" s="133">
        <f>IF(SUM(D18:D37) &gt; 0, SUM(AL18:AL37) / SUM(D18:D37), "")</f>
        <v/>
      </c>
      <c r="AJ38" s="33">
        <f>IF(SUM(D18:D37) &gt; 0, SUM(AL18:AL37) &amp; "/" &amp; SUM(D18:D37), "")</f>
        <v/>
      </c>
      <c r="AK38" s="54" t="n"/>
    </row>
    <row r="39" ht="18" customHeight="1">
      <c r="A39" s="132" t="inlineStr">
        <is>
          <t>DAILY SUCCESS %</t>
        </is>
      </c>
      <c r="B39" s="54" t="n"/>
      <c r="C39" s="54" t="n"/>
      <c r="D39" s="54" t="n"/>
      <c r="E39" s="134">
        <f>IF(((COUNTIF(E18:E37, "✓") + COUNTIF(E18:E37, "✔") + COUNTIF(E18:E37, "v") + COUNTIF(E18:E37, "V")) + COUNTIF(E18:E37, "✗") + COUNTIF(E18:E37, "x") + COUNTIF(E18:E37, "X")) &gt; 0, (COUNTIF(E18:E37, "✓") + COUNTIF(E18:E37, "✔") + COUNTIF(E18:E37, "v") + COUNTIF(E18:E37, "V")) / ((COUNTIF(E18:E37, "✓") + COUNTIF(E18:E37, "✔") + COUNTIF(E18:E37, "v") + COUNTIF(E18:E37, "V")) + COUNTIF(E18:E37, "✗") + COUNTIF(E18:E37, "x") + COUNTIF(E18:E37, "X")), "")</f>
        <v/>
      </c>
      <c r="F39" s="134">
        <f>IF(((COUNTIF(F18:F37, "✓") + COUNTIF(F18:F37, "✔") + COUNTIF(F18:F37, "v") + COUNTIF(F18:F37, "V")) + COUNTIF(F18:F37, "✗") + COUNTIF(F18:F37, "x") + COUNTIF(F18:F37, "X")) &gt; 0, (COUNTIF(F18:F37, "✓") + COUNTIF(F18:F37, "✔") + COUNTIF(F18:F37, "v") + COUNTIF(F18:F37, "V")) / ((COUNTIF(F18:F37, "✓") + COUNTIF(F18:F37, "✔") + COUNTIF(F18:F37, "v") + COUNTIF(F18:F37, "V")) + COUNTIF(F18:F37, "✗") + COUNTIF(F18:F37, "x") + COUNTIF(F18:F37, "X")), "")</f>
        <v/>
      </c>
      <c r="G39" s="134">
        <f>IF(((COUNTIF(G18:G37, "✓") + COUNTIF(G18:G37, "✔") + COUNTIF(G18:G37, "v") + COUNTIF(G18:G37, "V")) + COUNTIF(G18:G37, "✗") + COUNTIF(G18:G37, "x") + COUNTIF(G18:G37, "X")) &gt; 0, (COUNTIF(G18:G37, "✓") + COUNTIF(G18:G37, "✔") + COUNTIF(G18:G37, "v") + COUNTIF(G18:G37, "V")) / ((COUNTIF(G18:G37, "✓") + COUNTIF(G18:G37, "✔") + COUNTIF(G18:G37, "v") + COUNTIF(G18:G37, "V")) + COUNTIF(G18:G37, "✗") + COUNTIF(G18:G37, "x") + COUNTIF(G18:G37, "X")), "")</f>
        <v/>
      </c>
      <c r="H39" s="134">
        <f>IF(((COUNTIF(H18:H37, "✓") + COUNTIF(H18:H37, "✔") + COUNTIF(H18:H37, "v") + COUNTIF(H18:H37, "V")) + COUNTIF(H18:H37, "✗") + COUNTIF(H18:H37, "x") + COUNTIF(H18:H37, "X")) &gt; 0, (COUNTIF(H18:H37, "✓") + COUNTIF(H18:H37, "✔") + COUNTIF(H18:H37, "v") + COUNTIF(H18:H37, "V")) / ((COUNTIF(H18:H37, "✓") + COUNTIF(H18:H37, "✔") + COUNTIF(H18:H37, "v") + COUNTIF(H18:H37, "V")) + COUNTIF(H18:H37, "✗") + COUNTIF(H18:H37, "x") + COUNTIF(H18:H37, "X")), "")</f>
        <v/>
      </c>
      <c r="I39" s="134">
        <f>IF(((COUNTIF(I18:I37, "✓") + COUNTIF(I18:I37, "✔") + COUNTIF(I18:I37, "v") + COUNTIF(I18:I37, "V")) + COUNTIF(I18:I37, "✗") + COUNTIF(I18:I37, "x") + COUNTIF(I18:I37, "X")) &gt; 0, (COUNTIF(I18:I37, "✓") + COUNTIF(I18:I37, "✔") + COUNTIF(I18:I37, "v") + COUNTIF(I18:I37, "V")) / ((COUNTIF(I18:I37, "✓") + COUNTIF(I18:I37, "✔") + COUNTIF(I18:I37, "v") + COUNTIF(I18:I37, "V")) + COUNTIF(I18:I37, "✗") + COUNTIF(I18:I37, "x") + COUNTIF(I18:I37, "X")), "")</f>
        <v/>
      </c>
      <c r="J39" s="134">
        <f>IF(((COUNTIF(J18:J37, "✓") + COUNTIF(J18:J37, "✔") + COUNTIF(J18:J37, "v") + COUNTIF(J18:J37, "V")) + COUNTIF(J18:J37, "✗") + COUNTIF(J18:J37, "x") + COUNTIF(J18:J37, "X")) &gt; 0, (COUNTIF(J18:J37, "✓") + COUNTIF(J18:J37, "✔") + COUNTIF(J18:J37, "v") + COUNTIF(J18:J37, "V")) / ((COUNTIF(J18:J37, "✓") + COUNTIF(J18:J37, "✔") + COUNTIF(J18:J37, "v") + COUNTIF(J18:J37, "V")) + COUNTIF(J18:J37, "✗") + COUNTIF(J18:J37, "x") + COUNTIF(J18:J37, "X")), "")</f>
        <v/>
      </c>
      <c r="K39" s="134">
        <f>IF(((COUNTIF(K18:K37, "✓") + COUNTIF(K18:K37, "✔") + COUNTIF(K18:K37, "v") + COUNTIF(K18:K37, "V")) + COUNTIF(K18:K37, "✗") + COUNTIF(K18:K37, "x") + COUNTIF(K18:K37, "X")) &gt; 0, (COUNTIF(K18:K37, "✓") + COUNTIF(K18:K37, "✔") + COUNTIF(K18:K37, "v") + COUNTIF(K18:K37, "V")) / ((COUNTIF(K18:K37, "✓") + COUNTIF(K18:K37, "✔") + COUNTIF(K18:K37, "v") + COUNTIF(K18:K37, "V")) + COUNTIF(K18:K37, "✗") + COUNTIF(K18:K37, "x") + COUNTIF(K18:K37, "X")), "")</f>
        <v/>
      </c>
      <c r="L39" s="134">
        <f>IF(((COUNTIF(L18:L37, "✓") + COUNTIF(L18:L37, "✔") + COUNTIF(L18:L37, "v") + COUNTIF(L18:L37, "V")) + COUNTIF(L18:L37, "✗") + COUNTIF(L18:L37, "x") + COUNTIF(L18:L37, "X")) &gt; 0, (COUNTIF(L18:L37, "✓") + COUNTIF(L18:L37, "✔") + COUNTIF(L18:L37, "v") + COUNTIF(L18:L37, "V")) / ((COUNTIF(L18:L37, "✓") + COUNTIF(L18:L37, "✔") + COUNTIF(L18:L37, "v") + COUNTIF(L18:L37, "V")) + COUNTIF(L18:L37, "✗") + COUNTIF(L18:L37, "x") + COUNTIF(L18:L37, "X")), "")</f>
        <v/>
      </c>
      <c r="M39" s="134">
        <f>IF(((COUNTIF(M18:M37, "✓") + COUNTIF(M18:M37, "✔") + COUNTIF(M18:M37, "v") + COUNTIF(M18:M37, "V")) + COUNTIF(M18:M37, "✗") + COUNTIF(M18:M37, "x") + COUNTIF(M18:M37, "X")) &gt; 0, (COUNTIF(M18:M37, "✓") + COUNTIF(M18:M37, "✔") + COUNTIF(M18:M37, "v") + COUNTIF(M18:M37, "V")) / ((COUNTIF(M18:M37, "✓") + COUNTIF(M18:M37, "✔") + COUNTIF(M18:M37, "v") + COUNTIF(M18:M37, "V")) + COUNTIF(M18:M37, "✗") + COUNTIF(M18:M37, "x") + COUNTIF(M18:M37, "X")), "")</f>
        <v/>
      </c>
      <c r="N39" s="134">
        <f>IF(((COUNTIF(N18:N37, "✓") + COUNTIF(N18:N37, "✔") + COUNTIF(N18:N37, "v") + COUNTIF(N18:N37, "V")) + COUNTIF(N18:N37, "✗") + COUNTIF(N18:N37, "x") + COUNTIF(N18:N37, "X")) &gt; 0, (COUNTIF(N18:N37, "✓") + COUNTIF(N18:N37, "✔") + COUNTIF(N18:N37, "v") + COUNTIF(N18:N37, "V")) / ((COUNTIF(N18:N37, "✓") + COUNTIF(N18:N37, "✔") + COUNTIF(N18:N37, "v") + COUNTIF(N18:N37, "V")) + COUNTIF(N18:N37, "✗") + COUNTIF(N18:N37, "x") + COUNTIF(N18:N37, "X")), "")</f>
        <v/>
      </c>
      <c r="O39" s="134">
        <f>IF(((COUNTIF(O18:O37, "✓") + COUNTIF(O18:O37, "✔") + COUNTIF(O18:O37, "v") + COUNTIF(O18:O37, "V")) + COUNTIF(O18:O37, "✗") + COUNTIF(O18:O37, "x") + COUNTIF(O18:O37, "X")) &gt; 0, (COUNTIF(O18:O37, "✓") + COUNTIF(O18:O37, "✔") + COUNTIF(O18:O37, "v") + COUNTIF(O18:O37, "V")) / ((COUNTIF(O18:O37, "✓") + COUNTIF(O18:O37, "✔") + COUNTIF(O18:O37, "v") + COUNTIF(O18:O37, "V")) + COUNTIF(O18:O37, "✗") + COUNTIF(O18:O37, "x") + COUNTIF(O18:O37, "X")), "")</f>
        <v/>
      </c>
      <c r="P39" s="134">
        <f>IF(((COUNTIF(P18:P37, "✓") + COUNTIF(P18:P37, "✔") + COUNTIF(P18:P37, "v") + COUNTIF(P18:P37, "V")) + COUNTIF(P18:P37, "✗") + COUNTIF(P18:P37, "x") + COUNTIF(P18:P37, "X")) &gt; 0, (COUNTIF(P18:P37, "✓") + COUNTIF(P18:P37, "✔") + COUNTIF(P18:P37, "v") + COUNTIF(P18:P37, "V")) / ((COUNTIF(P18:P37, "✓") + COUNTIF(P18:P37, "✔") + COUNTIF(P18:P37, "v") + COUNTIF(P18:P37, "V")) + COUNTIF(P18:P37, "✗") + COUNTIF(P18:P37, "x") + COUNTIF(P18:P37, "X")), "")</f>
        <v/>
      </c>
      <c r="Q39" s="134">
        <f>IF(((COUNTIF(Q18:Q37, "✓") + COUNTIF(Q18:Q37, "✔") + COUNTIF(Q18:Q37, "v") + COUNTIF(Q18:Q37, "V")) + COUNTIF(Q18:Q37, "✗") + COUNTIF(Q18:Q37, "x") + COUNTIF(Q18:Q37, "X")) &gt; 0, (COUNTIF(Q18:Q37, "✓") + COUNTIF(Q18:Q37, "✔") + COUNTIF(Q18:Q37, "v") + COUNTIF(Q18:Q37, "V")) / ((COUNTIF(Q18:Q37, "✓") + COUNTIF(Q18:Q37, "✔") + COUNTIF(Q18:Q37, "v") + COUNTIF(Q18:Q37, "V")) + COUNTIF(Q18:Q37, "✗") + COUNTIF(Q18:Q37, "x") + COUNTIF(Q18:Q37, "X")), "")</f>
        <v/>
      </c>
      <c r="R39" s="134">
        <f>IF(((COUNTIF(R18:R37, "✓") + COUNTIF(R18:R37, "✔") + COUNTIF(R18:R37, "v") + COUNTIF(R18:R37, "V")) + COUNTIF(R18:R37, "✗") + COUNTIF(R18:R37, "x") + COUNTIF(R18:R37, "X")) &gt; 0, (COUNTIF(R18:R37, "✓") + COUNTIF(R18:R37, "✔") + COUNTIF(R18:R37, "v") + COUNTIF(R18:R37, "V")) / ((COUNTIF(R18:R37, "✓") + COUNTIF(R18:R37, "✔") + COUNTIF(R18:R37, "v") + COUNTIF(R18:R37, "V")) + COUNTIF(R18:R37, "✗") + COUNTIF(R18:R37, "x") + COUNTIF(R18:R37, "X")), "")</f>
        <v/>
      </c>
      <c r="S39" s="134">
        <f>IF(((COUNTIF(S18:S37, "✓") + COUNTIF(S18:S37, "✔") + COUNTIF(S18:S37, "v") + COUNTIF(S18:S37, "V")) + COUNTIF(S18:S37, "✗") + COUNTIF(S18:S37, "x") + COUNTIF(S18:S37, "X")) &gt; 0, (COUNTIF(S18:S37, "✓") + COUNTIF(S18:S37, "✔") + COUNTIF(S18:S37, "v") + COUNTIF(S18:S37, "V")) / ((COUNTIF(S18:S37, "✓") + COUNTIF(S18:S37, "✔") + COUNTIF(S18:S37, "v") + COUNTIF(S18:S37, "V")) + COUNTIF(S18:S37, "✗") + COUNTIF(S18:S37, "x") + COUNTIF(S18:S37, "X")), "")</f>
        <v/>
      </c>
      <c r="T39" s="134">
        <f>IF(((COUNTIF(T18:T37, "✓") + COUNTIF(T18:T37, "✔") + COUNTIF(T18:T37, "v") + COUNTIF(T18:T37, "V")) + COUNTIF(T18:T37, "✗") + COUNTIF(T18:T37, "x") + COUNTIF(T18:T37, "X")) &gt; 0, (COUNTIF(T18:T37, "✓") + COUNTIF(T18:T37, "✔") + COUNTIF(T18:T37, "v") + COUNTIF(T18:T37, "V")) / ((COUNTIF(T18:T37, "✓") + COUNTIF(T18:T37, "✔") + COUNTIF(T18:T37, "v") + COUNTIF(T18:T37, "V")) + COUNTIF(T18:T37, "✗") + COUNTIF(T18:T37, "x") + COUNTIF(T18:T37, "X")), "")</f>
        <v/>
      </c>
      <c r="U39" s="134">
        <f>IF(((COUNTIF(U18:U37, "✓") + COUNTIF(U18:U37, "✔") + COUNTIF(U18:U37, "v") + COUNTIF(U18:U37, "V")) + COUNTIF(U18:U37, "✗") + COUNTIF(U18:U37, "x") + COUNTIF(U18:U37, "X")) &gt; 0, (COUNTIF(U18:U37, "✓") + COUNTIF(U18:U37, "✔") + COUNTIF(U18:U37, "v") + COUNTIF(U18:U37, "V")) / ((COUNTIF(U18:U37, "✓") + COUNTIF(U18:U37, "✔") + COUNTIF(U18:U37, "v") + COUNTIF(U18:U37, "V")) + COUNTIF(U18:U37, "✗") + COUNTIF(U18:U37, "x") + COUNTIF(U18:U37, "X")), "")</f>
        <v/>
      </c>
      <c r="V39" s="134">
        <f>IF(((COUNTIF(V18:V37, "✓") + COUNTIF(V18:V37, "✔") + COUNTIF(V18:V37, "v") + COUNTIF(V18:V37, "V")) + COUNTIF(V18:V37, "✗") + COUNTIF(V18:V37, "x") + COUNTIF(V18:V37, "X")) &gt; 0, (COUNTIF(V18:V37, "✓") + COUNTIF(V18:V37, "✔") + COUNTIF(V18:V37, "v") + COUNTIF(V18:V37, "V")) / ((COUNTIF(V18:V37, "✓") + COUNTIF(V18:V37, "✔") + COUNTIF(V18:V37, "v") + COUNTIF(V18:V37, "V")) + COUNTIF(V18:V37, "✗") + COUNTIF(V18:V37, "x") + COUNTIF(V18:V37, "X")), "")</f>
        <v/>
      </c>
      <c r="W39" s="134">
        <f>IF(((COUNTIF(W18:W37, "✓") + COUNTIF(W18:W37, "✔") + COUNTIF(W18:W37, "v") + COUNTIF(W18:W37, "V")) + COUNTIF(W18:W37, "✗") + COUNTIF(W18:W37, "x") + COUNTIF(W18:W37, "X")) &gt; 0, (COUNTIF(W18:W37, "✓") + COUNTIF(W18:W37, "✔") + COUNTIF(W18:W37, "v") + COUNTIF(W18:W37, "V")) / ((COUNTIF(W18:W37, "✓") + COUNTIF(W18:W37, "✔") + COUNTIF(W18:W37, "v") + COUNTIF(W18:W37, "V")) + COUNTIF(W18:W37, "✗") + COUNTIF(W18:W37, "x") + COUNTIF(W18:W37, "X")), "")</f>
        <v/>
      </c>
      <c r="X39" s="134">
        <f>IF(((COUNTIF(X18:X37, "✓") + COUNTIF(X18:X37, "✔") + COUNTIF(X18:X37, "v") + COUNTIF(X18:X37, "V")) + COUNTIF(X18:X37, "✗") + COUNTIF(X18:X37, "x") + COUNTIF(X18:X37, "X")) &gt; 0, (COUNTIF(X18:X37, "✓") + COUNTIF(X18:X37, "✔") + COUNTIF(X18:X37, "v") + COUNTIF(X18:X37, "V")) / ((COUNTIF(X18:X37, "✓") + COUNTIF(X18:X37, "✔") + COUNTIF(X18:X37, "v") + COUNTIF(X18:X37, "V")) + COUNTIF(X18:X37, "✗") + COUNTIF(X18:X37, "x") + COUNTIF(X18:X37, "X")), "")</f>
        <v/>
      </c>
      <c r="Y39" s="134">
        <f>IF(((COUNTIF(Y18:Y37, "✓") + COUNTIF(Y18:Y37, "✔") + COUNTIF(Y18:Y37, "v") + COUNTIF(Y18:Y37, "V")) + COUNTIF(Y18:Y37, "✗") + COUNTIF(Y18:Y37, "x") + COUNTIF(Y18:Y37, "X")) &gt; 0, (COUNTIF(Y18:Y37, "✓") + COUNTIF(Y18:Y37, "✔") + COUNTIF(Y18:Y37, "v") + COUNTIF(Y18:Y37, "V")) / ((COUNTIF(Y18:Y37, "✓") + COUNTIF(Y18:Y37, "✔") + COUNTIF(Y18:Y37, "v") + COUNTIF(Y18:Y37, "V")) + COUNTIF(Y18:Y37, "✗") + COUNTIF(Y18:Y37, "x") + COUNTIF(Y18:Y37, "X")), "")</f>
        <v/>
      </c>
      <c r="Z39" s="134">
        <f>IF(((COUNTIF(Z18:Z37, "✓") + COUNTIF(Z18:Z37, "✔") + COUNTIF(Z18:Z37, "v") + COUNTIF(Z18:Z37, "V")) + COUNTIF(Z18:Z37, "✗") + COUNTIF(Z18:Z37, "x") + COUNTIF(Z18:Z37, "X")) &gt; 0, (COUNTIF(Z18:Z37, "✓") + COUNTIF(Z18:Z37, "✔") + COUNTIF(Z18:Z37, "v") + COUNTIF(Z18:Z37, "V")) / ((COUNTIF(Z18:Z37, "✓") + COUNTIF(Z18:Z37, "✔") + COUNTIF(Z18:Z37, "v") + COUNTIF(Z18:Z37, "V")) + COUNTIF(Z18:Z37, "✗") + COUNTIF(Z18:Z37, "x") + COUNTIF(Z18:Z37, "X")), "")</f>
        <v/>
      </c>
      <c r="AA39" s="134">
        <f>IF(((COUNTIF(AA18:AA37, "✓") + COUNTIF(AA18:AA37, "✔") + COUNTIF(AA18:AA37, "v") + COUNTIF(AA18:AA37, "V")) + COUNTIF(AA18:AA37, "✗") + COUNTIF(AA18:AA37, "x") + COUNTIF(AA18:AA37, "X")) &gt; 0, (COUNTIF(AA18:AA37, "✓") + COUNTIF(AA18:AA37, "✔") + COUNTIF(AA18:AA37, "v") + COUNTIF(AA18:AA37, "V")) / ((COUNTIF(AA18:AA37, "✓") + COUNTIF(AA18:AA37, "✔") + COUNTIF(AA18:AA37, "v") + COUNTIF(AA18:AA37, "V")) + COUNTIF(AA18:AA37, "✗") + COUNTIF(AA18:AA37, "x") + COUNTIF(AA18:AA37, "X")), "")</f>
        <v/>
      </c>
      <c r="AB39" s="134">
        <f>IF(((COUNTIF(AB18:AB37, "✓") + COUNTIF(AB18:AB37, "✔") + COUNTIF(AB18:AB37, "v") + COUNTIF(AB18:AB37, "V")) + COUNTIF(AB18:AB37, "✗") + COUNTIF(AB18:AB37, "x") + COUNTIF(AB18:AB37, "X")) &gt; 0, (COUNTIF(AB18:AB37, "✓") + COUNTIF(AB18:AB37, "✔") + COUNTIF(AB18:AB37, "v") + COUNTIF(AB18:AB37, "V")) / ((COUNTIF(AB18:AB37, "✓") + COUNTIF(AB18:AB37, "✔") + COUNTIF(AB18:AB37, "v") + COUNTIF(AB18:AB37, "V")) + COUNTIF(AB18:AB37, "✗") + COUNTIF(AB18:AB37, "x") + COUNTIF(AB18:AB37, "X")), "")</f>
        <v/>
      </c>
      <c r="AC39" s="134">
        <f>IF(((COUNTIF(AC18:AC37, "✓") + COUNTIF(AC18:AC37, "✔") + COUNTIF(AC18:AC37, "v") + COUNTIF(AC18:AC37, "V")) + COUNTIF(AC18:AC37, "✗") + COUNTIF(AC18:AC37, "x") + COUNTIF(AC18:AC37, "X")) &gt; 0, (COUNTIF(AC18:AC37, "✓") + COUNTIF(AC18:AC37, "✔") + COUNTIF(AC18:AC37, "v") + COUNTIF(AC18:AC37, "V")) / ((COUNTIF(AC18:AC37, "✓") + COUNTIF(AC18:AC37, "✔") + COUNTIF(AC18:AC37, "v") + COUNTIF(AC18:AC37, "V")) + COUNTIF(AC18:AC37, "✗") + COUNTIF(AC18:AC37, "x") + COUNTIF(AC18:AC37, "X")), "")</f>
        <v/>
      </c>
      <c r="AD39" s="134">
        <f>IF(((COUNTIF(AD18:AD37, "✓") + COUNTIF(AD18:AD37, "✔") + COUNTIF(AD18:AD37, "v") + COUNTIF(AD18:AD37, "V")) + COUNTIF(AD18:AD37, "✗") + COUNTIF(AD18:AD37, "x") + COUNTIF(AD18:AD37, "X")) &gt; 0, (COUNTIF(AD18:AD37, "✓") + COUNTIF(AD18:AD37, "✔") + COUNTIF(AD18:AD37, "v") + COUNTIF(AD18:AD37, "V")) / ((COUNTIF(AD18:AD37, "✓") + COUNTIF(AD18:AD37, "✔") + COUNTIF(AD18:AD37, "v") + COUNTIF(AD18:AD37, "V")) + COUNTIF(AD18:AD37, "✗") + COUNTIF(AD18:AD37, "x") + COUNTIF(AD18:AD37, "X")), "")</f>
        <v/>
      </c>
      <c r="AE39" s="134">
        <f>IF(((COUNTIF(AE18:AE37, "✓") + COUNTIF(AE18:AE37, "✔") + COUNTIF(AE18:AE37, "v") + COUNTIF(AE18:AE37, "V")) + COUNTIF(AE18:AE37, "✗") + COUNTIF(AE18:AE37, "x") + COUNTIF(AE18:AE37, "X")) &gt; 0, (COUNTIF(AE18:AE37, "✓") + COUNTIF(AE18:AE37, "✔") + COUNTIF(AE18:AE37, "v") + COUNTIF(AE18:AE37, "V")) / ((COUNTIF(AE18:AE37, "✓") + COUNTIF(AE18:AE37, "✔") + COUNTIF(AE18:AE37, "v") + COUNTIF(AE18:AE37, "V")) + COUNTIF(AE18:AE37, "✗") + COUNTIF(AE18:AE37, "x") + COUNTIF(AE18:AE37, "X")), "")</f>
        <v/>
      </c>
      <c r="AF39" s="134">
        <f>IF(((COUNTIF(AF18:AF37, "✓") + COUNTIF(AF18:AF37, "✔") + COUNTIF(AF18:AF37, "v") + COUNTIF(AF18:AF37, "V")) + COUNTIF(AF18:AF37, "✗") + COUNTIF(AF18:AF37, "x") + COUNTIF(AF18:AF37, "X")) &gt; 0, (COUNTIF(AF18:AF37, "✓") + COUNTIF(AF18:AF37, "✔") + COUNTIF(AF18:AF37, "v") + COUNTIF(AF18:AF37, "V")) / ((COUNTIF(AF18:AF37, "✓") + COUNTIF(AF18:AF37, "✔") + COUNTIF(AF18:AF37, "v") + COUNTIF(AF18:AF37, "V")) + COUNTIF(AF18:AF37, "✗") + COUNTIF(AF18:AF37, "x") + COUNTIF(AF18:AF37, "X")), "")</f>
        <v/>
      </c>
      <c r="AG39" s="134">
        <f>IF(((COUNTIF(AG18:AG37, "✓") + COUNTIF(AG18:AG37, "✔") + COUNTIF(AG18:AG37, "v") + COUNTIF(AG18:AG37, "V")) + COUNTIF(AG18:AG37, "✗") + COUNTIF(AG18:AG37, "x") + COUNTIF(AG18:AG37, "X")) &gt; 0, (COUNTIF(AG18:AG37, "✓") + COUNTIF(AG18:AG37, "✔") + COUNTIF(AG18:AG37, "v") + COUNTIF(AG18:AG37, "V")) / ((COUNTIF(AG18:AG37, "✓") + COUNTIF(AG18:AG37, "✔") + COUNTIF(AG18:AG37, "v") + COUNTIF(AG18:AG37, "V")) + COUNTIF(AG18:AG37, "✗") + COUNTIF(AG18:AG37, "x") + COUNTIF(AG18:AG37, "X")), "")</f>
        <v/>
      </c>
      <c r="AH39" s="134">
        <f>IF(((COUNTIF(AH18:AH37, "✓") + COUNTIF(AH18:AH37, "✔") + COUNTIF(AH18:AH37, "v") + COUNTIF(AH18:AH37, "V")) + COUNTIF(AH18:AH37, "✗") + COUNTIF(AH18:AH37, "x") + COUNTIF(AH18:AH37, "X")) &gt; 0, (COUNTIF(AH18:AH37, "✓") + COUNTIF(AH18:AH37, "✔") + COUNTIF(AH18:AH37, "v") + COUNTIF(AH18:AH37, "V")) / ((COUNTIF(AH18:AH37, "✓") + COUNTIF(AH18:AH37, "✔") + COUNTIF(AH18:AH37, "v") + COUNTIF(AH18:AH37, "V")) + COUNTIF(AH18:AH37, "✗") + COUNTIF(AH18:AH37, "x") + COUNTIF(AH18:AH37, "X")), "")</f>
        <v/>
      </c>
      <c r="AI39" s="133">
        <f>IF(COUNT(E39:AH39) &gt; 0, AVERAGE(E39:AH39), "")</f>
        <v/>
      </c>
      <c r="AJ39" s="54" t="n"/>
      <c r="AK39" s="54" t="n"/>
    </row>
    <row r="40" ht="6" customHeight="1"/>
    <row r="41" ht="15" customHeight="1">
      <c r="A41" s="135" t="inlineStr">
        <is>
          <t>IF SUCCESS &lt; 80%, PUNISHMENT: ________________________________________________</t>
        </is>
      </c>
    </row>
    <row r="42" ht="15" customHeight="1">
      <c r="A42" s="136" t="inlineStr">
        <is>
          <t>IF SUCCESS &gt; 90%, REWARD: __________________________________________________</t>
        </is>
      </c>
    </row>
    <row r="43" ht="10" customHeight="1"/>
    <row r="44" ht="10" customHeight="1"/>
    <row r="45" ht="15" customHeight="1">
      <c r="A45" s="51" t="inlineStr">
        <is>
          <t>Sleep Tracking</t>
        </is>
      </c>
      <c r="B45" s="52" t="n"/>
      <c r="C45" s="52" t="n"/>
      <c r="D45" s="52" t="n"/>
      <c r="E45" s="137" t="n">
        <v>1</v>
      </c>
      <c r="F45" s="138" t="n">
        <v>2</v>
      </c>
      <c r="G45" s="137" t="n">
        <v>3</v>
      </c>
      <c r="H45" s="137" t="n">
        <v>4</v>
      </c>
      <c r="I45" s="137" t="n">
        <v>5</v>
      </c>
      <c r="J45" s="137" t="n">
        <v>6</v>
      </c>
      <c r="K45" s="137" t="n">
        <v>7</v>
      </c>
      <c r="L45" s="137" t="n">
        <v>8</v>
      </c>
      <c r="M45" s="138" t="n">
        <v>9</v>
      </c>
      <c r="N45" s="137" t="n">
        <v>10</v>
      </c>
      <c r="O45" s="137" t="n">
        <v>11</v>
      </c>
      <c r="P45" s="137" t="n">
        <v>12</v>
      </c>
      <c r="Q45" s="137" t="n">
        <v>13</v>
      </c>
      <c r="R45" s="137" t="n">
        <v>14</v>
      </c>
      <c r="S45" s="137" t="n">
        <v>15</v>
      </c>
      <c r="T45" s="138" t="n">
        <v>16</v>
      </c>
      <c r="U45" s="137" t="n">
        <v>17</v>
      </c>
      <c r="V45" s="137" t="n">
        <v>18</v>
      </c>
      <c r="W45" s="137" t="n">
        <v>19</v>
      </c>
      <c r="X45" s="137" t="n">
        <v>20</v>
      </c>
      <c r="Y45" s="137" t="n">
        <v>21</v>
      </c>
      <c r="Z45" s="137" t="n">
        <v>22</v>
      </c>
      <c r="AA45" s="138" t="n">
        <v>23</v>
      </c>
      <c r="AB45" s="137" t="n">
        <v>24</v>
      </c>
      <c r="AC45" s="137" t="n">
        <v>25</v>
      </c>
      <c r="AD45" s="137" t="n">
        <v>26</v>
      </c>
      <c r="AE45" s="137" t="n">
        <v>27</v>
      </c>
      <c r="AF45" s="137" t="n">
        <v>28</v>
      </c>
      <c r="AG45" s="137" t="n">
        <v>29</v>
      </c>
      <c r="AH45" s="138" t="n">
        <v>30</v>
      </c>
    </row>
    <row r="46" ht="15" customHeight="1">
      <c r="A46" s="52" t="n"/>
      <c r="B46" s="52" t="n"/>
      <c r="C46" s="52" t="n"/>
      <c r="D46" s="52" t="n"/>
      <c r="E46" s="139" t="inlineStr">
        <is>
          <t>Sa</t>
        </is>
      </c>
      <c r="F46" s="140" t="inlineStr">
        <is>
          <t>Su</t>
        </is>
      </c>
      <c r="G46" s="139" t="inlineStr">
        <is>
          <t>M</t>
        </is>
      </c>
      <c r="H46" s="139" t="inlineStr">
        <is>
          <t>T</t>
        </is>
      </c>
      <c r="I46" s="139" t="inlineStr">
        <is>
          <t>W</t>
        </is>
      </c>
      <c r="J46" s="139" t="inlineStr">
        <is>
          <t>Th</t>
        </is>
      </c>
      <c r="K46" s="139" t="inlineStr">
        <is>
          <t>F</t>
        </is>
      </c>
      <c r="L46" s="139" t="inlineStr">
        <is>
          <t>Sa</t>
        </is>
      </c>
      <c r="M46" s="140" t="inlineStr">
        <is>
          <t>Su</t>
        </is>
      </c>
      <c r="N46" s="139" t="inlineStr">
        <is>
          <t>M</t>
        </is>
      </c>
      <c r="O46" s="139" t="inlineStr">
        <is>
          <t>T</t>
        </is>
      </c>
      <c r="P46" s="139" t="inlineStr">
        <is>
          <t>W</t>
        </is>
      </c>
      <c r="Q46" s="139" t="inlineStr">
        <is>
          <t>Th</t>
        </is>
      </c>
      <c r="R46" s="139" t="inlineStr">
        <is>
          <t>F</t>
        </is>
      </c>
      <c r="S46" s="139" t="inlineStr">
        <is>
          <t>Sa</t>
        </is>
      </c>
      <c r="T46" s="140" t="inlineStr">
        <is>
          <t>Su</t>
        </is>
      </c>
      <c r="U46" s="139" t="inlineStr">
        <is>
          <t>M</t>
        </is>
      </c>
      <c r="V46" s="139" t="inlineStr">
        <is>
          <t>T</t>
        </is>
      </c>
      <c r="W46" s="139" t="inlineStr">
        <is>
          <t>W</t>
        </is>
      </c>
      <c r="X46" s="139" t="inlineStr">
        <is>
          <t>Th</t>
        </is>
      </c>
      <c r="Y46" s="139" t="inlineStr">
        <is>
          <t>F</t>
        </is>
      </c>
      <c r="Z46" s="139" t="inlineStr">
        <is>
          <t>Sa</t>
        </is>
      </c>
      <c r="AA46" s="140" t="inlineStr">
        <is>
          <t>Su</t>
        </is>
      </c>
      <c r="AB46" s="139" t="inlineStr">
        <is>
          <t>M</t>
        </is>
      </c>
      <c r="AC46" s="139" t="inlineStr">
        <is>
          <t>T</t>
        </is>
      </c>
      <c r="AD46" s="139" t="inlineStr">
        <is>
          <t>W</t>
        </is>
      </c>
      <c r="AE46" s="139" t="inlineStr">
        <is>
          <t>Th</t>
        </is>
      </c>
      <c r="AF46" s="139" t="inlineStr">
        <is>
          <t>F</t>
        </is>
      </c>
      <c r="AG46" s="139" t="inlineStr">
        <is>
          <t>Sa</t>
        </is>
      </c>
      <c r="AH46" s="140" t="inlineStr">
        <is>
          <t>Su</t>
        </is>
      </c>
    </row>
    <row r="47" ht="20" customHeight="1">
      <c r="A47" s="141" t="inlineStr">
        <is>
          <t>Sleep Hours (1-24)</t>
        </is>
      </c>
      <c r="B47" s="142" t="n"/>
      <c r="C47" s="142" t="n"/>
      <c r="D47" s="142" t="n"/>
      <c r="E47" s="143" t="n"/>
      <c r="F47" s="144" t="n"/>
      <c r="G47" s="143" t="n"/>
      <c r="H47" s="143" t="n"/>
      <c r="I47" s="143" t="n"/>
      <c r="J47" s="143" t="n"/>
      <c r="K47" s="143" t="n"/>
      <c r="L47" s="143" t="n"/>
      <c r="M47" s="144" t="n"/>
      <c r="N47" s="143" t="n"/>
      <c r="O47" s="143" t="n"/>
      <c r="P47" s="143" t="n"/>
      <c r="Q47" s="143" t="n"/>
      <c r="R47" s="143" t="n"/>
      <c r="S47" s="143" t="n"/>
      <c r="T47" s="144" t="n"/>
      <c r="U47" s="143" t="n"/>
      <c r="V47" s="143" t="n"/>
      <c r="W47" s="143" t="n"/>
      <c r="X47" s="143" t="n"/>
      <c r="Y47" s="143" t="n"/>
      <c r="Z47" s="143" t="n"/>
      <c r="AA47" s="144" t="n"/>
      <c r="AB47" s="143" t="n"/>
      <c r="AC47" s="143" t="n"/>
      <c r="AD47" s="143" t="n"/>
      <c r="AE47" s="143" t="n"/>
      <c r="AF47" s="143" t="n"/>
      <c r="AG47" s="143" t="n"/>
      <c r="AH47" s="144" t="n"/>
    </row>
    <row r="48" ht="6" customHeight="1"/>
    <row r="49" ht="14" customHeight="1"/>
    <row r="50" ht="14" customHeight="1"/>
    <row r="51" ht="14" customHeight="1"/>
    <row r="52" ht="14" customHeight="1"/>
    <row r="53" ht="14" customHeight="1"/>
    <row r="54" ht="14" customHeight="1"/>
    <row r="55" ht="14" customHeight="1"/>
    <row r="56" ht="14" customHeight="1"/>
    <row r="57" ht="14" customHeight="1"/>
    <row r="58" ht="14" customHeight="1"/>
    <row r="59" ht="14" customHeight="1"/>
    <row r="60" ht="14" customHeight="1"/>
    <row r="61" ht="14" customHeight="1"/>
    <row r="62" ht="14" customHeight="1"/>
    <row r="63" ht="14" customHeight="1"/>
    <row r="64" ht="14" customHeight="1"/>
    <row r="65" ht="14" customHeight="1"/>
    <row r="66" ht="8" customHeight="1"/>
    <row r="67">
      <c r="A67" s="145" t="inlineStr">
        <is>
          <t>MONTHLY SUCCESS RATE</t>
        </is>
      </c>
      <c r="B67" s="9" t="n"/>
      <c r="C67" s="9" t="n"/>
      <c r="D67" s="9" t="n"/>
      <c r="F67" s="146" t="inlineStr">
        <is>
          <t>ACTIVE PROTOCOLS</t>
        </is>
      </c>
      <c r="G67" s="11" t="n"/>
      <c r="H67" s="11" t="n"/>
      <c r="I67" s="11" t="n"/>
      <c r="K67" s="147" t="inlineStr">
        <is>
          <t>PERFECT DAYS (100%)</t>
        </is>
      </c>
      <c r="L67" s="13" t="n"/>
      <c r="M67" s="13" t="n"/>
      <c r="N67" s="13" t="n"/>
      <c r="P67" s="148" t="inlineStr">
        <is>
          <t>AVG SLEEP DURATION</t>
        </is>
      </c>
      <c r="Q67" s="15" t="n"/>
      <c r="R67" s="15" t="n"/>
      <c r="S67" s="15" t="n"/>
    </row>
    <row r="68">
      <c r="A68" s="149">
        <f>IF(SUM(D18:D37)&gt;0, SUM(AL18:AL37)/SUM(D18:D37), 0)</f>
        <v/>
      </c>
      <c r="B68" s="9" t="n"/>
      <c r="C68" s="9" t="n"/>
      <c r="D68" s="9" t="n"/>
      <c r="F68" s="150">
        <f>COUNTA(B18:B37) &amp; " / 20"</f>
        <v/>
      </c>
      <c r="G68" s="11" t="n"/>
      <c r="H68" s="11" t="n"/>
      <c r="I68" s="11" t="n"/>
      <c r="K68" s="151">
        <f>COUNTIF(E39:AH39, 1) &amp; " Days"</f>
        <v/>
      </c>
      <c r="L68" s="13" t="n"/>
      <c r="M68" s="13" t="n"/>
      <c r="N68" s="13" t="n"/>
      <c r="P68" s="152">
        <f>IFERROR(TEXT(AVERAGE(E47:AH47), "0.0") &amp; " hrs", "-")</f>
        <v/>
      </c>
      <c r="Q68" s="15" t="n"/>
      <c r="R68" s="15" t="n"/>
      <c r="S68" s="15" t="n"/>
    </row>
    <row r="69">
      <c r="A69" s="9" t="n"/>
      <c r="B69" s="9" t="n"/>
      <c r="C69" s="9" t="n"/>
      <c r="D69" s="9" t="n"/>
      <c r="F69" s="11" t="n"/>
      <c r="G69" s="11" t="n"/>
      <c r="H69" s="11" t="n"/>
      <c r="I69" s="11" t="n"/>
      <c r="K69" s="13" t="n"/>
      <c r="L69" s="13" t="n"/>
      <c r="M69" s="13" t="n"/>
      <c r="N69" s="13" t="n"/>
      <c r="P69" s="15" t="n"/>
      <c r="Q69" s="15" t="n"/>
      <c r="R69" s="15" t="n"/>
      <c r="S69" s="15" t="n"/>
    </row>
    <row r="70">
      <c r="A70" s="9" t="n"/>
      <c r="B70" s="9" t="n"/>
      <c r="C70" s="9" t="n"/>
      <c r="D70" s="9" t="n"/>
      <c r="F70" s="11" t="n"/>
      <c r="G70" s="11" t="n"/>
      <c r="H70" s="11" t="n"/>
      <c r="I70" s="11" t="n"/>
      <c r="K70" s="13" t="n"/>
      <c r="L70" s="13" t="n"/>
      <c r="M70" s="13" t="n"/>
      <c r="N70" s="13" t="n"/>
      <c r="P70" s="15" t="n"/>
      <c r="Q70" s="15" t="n"/>
      <c r="R70" s="15" t="n"/>
      <c r="S70" s="15" t="n"/>
    </row>
    <row r="71">
      <c r="A71" s="153" t="inlineStr">
        <is>
          <t>Target Completion</t>
        </is>
      </c>
      <c r="B71" s="9" t="n"/>
      <c r="C71" s="9" t="n"/>
      <c r="D71" s="9" t="n"/>
      <c r="F71" s="154" t="inlineStr">
        <is>
          <t>Habits Tracked</t>
        </is>
      </c>
      <c r="G71" s="11" t="n"/>
      <c r="H71" s="11" t="n"/>
      <c r="I71" s="11" t="n"/>
      <c r="K71" s="155" t="inlineStr">
        <is>
          <t>All Marked Habits Completed</t>
        </is>
      </c>
      <c r="L71" s="13" t="n"/>
      <c r="M71" s="13" t="n"/>
      <c r="N71" s="13" t="n"/>
      <c r="P71" s="156" t="inlineStr">
        <is>
          <t>Nightly Rest Average</t>
        </is>
      </c>
      <c r="Q71" s="15" t="n"/>
      <c r="R71" s="15" t="n"/>
      <c r="S71" s="15" t="n"/>
    </row>
    <row r="72" ht="8" customHeight="1"/>
    <row r="73" ht="6" customHeight="1"/>
    <row r="74">
      <c r="A74" s="67" t="inlineStr">
        <is>
          <t>WEEKLY PERFORMANCE (SLUMP DETECTOR)</t>
        </is>
      </c>
      <c r="B74" s="29" t="n"/>
      <c r="C74" s="29" t="n"/>
      <c r="D74" s="29" t="n"/>
      <c r="E74" s="29" t="n"/>
      <c r="N74" s="157" t="inlineStr">
        <is>
          <t>LIFE DOMAIN / CATEGORY BREAKDOWN</t>
        </is>
      </c>
      <c r="O74" s="158" t="n"/>
      <c r="P74" s="158" t="n"/>
      <c r="Q74" s="158" t="n"/>
      <c r="R74" s="158" t="n"/>
      <c r="S74" s="158" t="n"/>
    </row>
    <row r="75" ht="15" customHeight="1">
      <c r="A75" s="53" t="inlineStr">
        <is>
          <t>Week</t>
        </is>
      </c>
      <c r="B75" s="53" t="inlineStr">
        <is>
          <t>Days Range</t>
        </is>
      </c>
      <c r="C75" s="53" t="inlineStr">
        <is>
          <t>Checks Done</t>
        </is>
      </c>
      <c r="D75" s="53" t="inlineStr">
        <is>
          <t>Evaluated</t>
        </is>
      </c>
      <c r="E75" s="53" t="inlineStr">
        <is>
          <t>Success %</t>
        </is>
      </c>
      <c r="N75" s="53" t="inlineStr">
        <is>
          <t>Domain / Category</t>
        </is>
      </c>
      <c r="O75" s="54" t="n"/>
      <c r="P75" s="53" t="inlineStr">
        <is>
          <t>Active Habits</t>
        </is>
      </c>
      <c r="Q75" s="53" t="inlineStr">
        <is>
          <t>Target Days</t>
        </is>
      </c>
      <c r="R75" s="53" t="inlineStr">
        <is>
          <t>Done Checks</t>
        </is>
      </c>
      <c r="S75" s="53" t="inlineStr">
        <is>
          <t>Success %</t>
        </is>
      </c>
    </row>
    <row r="76" ht="14" customHeight="1">
      <c r="A76" s="33" t="inlineStr">
        <is>
          <t>Week 1</t>
        </is>
      </c>
      <c r="B76" s="34" t="inlineStr">
        <is>
          <t>Days 1 - 7</t>
        </is>
      </c>
      <c r="C76" s="34">
        <f>COUNTIF(E18:K37, "✓")</f>
        <v/>
      </c>
      <c r="D76" s="34">
        <f>COUNTIF(E18:K37, "✓") + COUNTIF(E18:K37, "✗")</f>
        <v/>
      </c>
      <c r="E76" s="35">
        <f>IFERROR(C76/D76, 0)</f>
        <v/>
      </c>
      <c r="N76" s="60" t="inlineStr">
        <is>
          <t>Health &amp; Fitness</t>
        </is>
      </c>
      <c r="O76" s="54" t="n"/>
      <c r="P76" s="34">
        <f>COUNTIF($C$18:$C$37, "Health &amp; Fitness")</f>
        <v/>
      </c>
      <c r="Q76" s="34">
        <f>SUMIF($C$18:$C$37, "Health &amp; Fitness", $D$18:$D$37)</f>
        <v/>
      </c>
      <c r="R76" s="34">
        <f>SUMIF($C$18:$C$37, "Health &amp; Fitness", $AL$18:$AL$37)</f>
        <v/>
      </c>
      <c r="S76" s="35">
        <f>IFERROR(R76/Q76, 0)</f>
        <v/>
      </c>
    </row>
    <row r="77" ht="14" customHeight="1">
      <c r="A77" s="33" t="inlineStr">
        <is>
          <t>Week 2</t>
        </is>
      </c>
      <c r="B77" s="34" t="inlineStr">
        <is>
          <t>Days 8 - 14</t>
        </is>
      </c>
      <c r="C77" s="34">
        <f>COUNTIF(L18:R37, "✓")</f>
        <v/>
      </c>
      <c r="D77" s="34">
        <f>COUNTIF(L18:R37, "✓") + COUNTIF(L18:R37, "✗")</f>
        <v/>
      </c>
      <c r="E77" s="35">
        <f>IFERROR(C77/D77, 0)</f>
        <v/>
      </c>
      <c r="N77" s="60" t="inlineStr">
        <is>
          <t>Mindset &amp; Learning</t>
        </is>
      </c>
      <c r="O77" s="54" t="n"/>
      <c r="P77" s="34">
        <f>COUNTIF($C$18:$C$37, "Mindset &amp; Learning")</f>
        <v/>
      </c>
      <c r="Q77" s="34">
        <f>SUMIF($C$18:$C$37, "Mindset &amp; Learning", $D$18:$D$37)</f>
        <v/>
      </c>
      <c r="R77" s="34">
        <f>SUMIF($C$18:$C$37, "Mindset &amp; Learning", $AL$18:$AL$37)</f>
        <v/>
      </c>
      <c r="S77" s="35">
        <f>IFERROR(R77/Q77, 0)</f>
        <v/>
      </c>
    </row>
    <row r="78" ht="14" customHeight="1">
      <c r="A78" s="33" t="inlineStr">
        <is>
          <t>Week 3</t>
        </is>
      </c>
      <c r="B78" s="34" t="inlineStr">
        <is>
          <t>Days 15 - 21</t>
        </is>
      </c>
      <c r="C78" s="34">
        <f>COUNTIF(S18:Y37, "✓")</f>
        <v/>
      </c>
      <c r="D78" s="34">
        <f>COUNTIF(S18:Y37, "✓") + COUNTIF(S18:Y37, "✗")</f>
        <v/>
      </c>
      <c r="E78" s="35">
        <f>IFERROR(C78/D78, 0)</f>
        <v/>
      </c>
      <c r="N78" s="60" t="inlineStr">
        <is>
          <t>Career &amp; Focus</t>
        </is>
      </c>
      <c r="O78" s="54" t="n"/>
      <c r="P78" s="34">
        <f>COUNTIF($C$18:$C$37, "Career &amp; Focus")</f>
        <v/>
      </c>
      <c r="Q78" s="34">
        <f>SUMIF($C$18:$C$37, "Career &amp; Focus", $D$18:$D$37)</f>
        <v/>
      </c>
      <c r="R78" s="34">
        <f>SUMIF($C$18:$C$37, "Career &amp; Focus", $AL$18:$AL$37)</f>
        <v/>
      </c>
      <c r="S78" s="35">
        <f>IFERROR(R78/Q78, 0)</f>
        <v/>
      </c>
    </row>
    <row r="79" ht="14" customHeight="1">
      <c r="A79" s="33" t="inlineStr">
        <is>
          <t>Week 4</t>
        </is>
      </c>
      <c r="B79" s="34" t="inlineStr">
        <is>
          <t>Days 22 - 28</t>
        </is>
      </c>
      <c r="C79" s="34">
        <f>COUNTIF(Z18:AF37, "✓")</f>
        <v/>
      </c>
      <c r="D79" s="34">
        <f>COUNTIF(Z18:AF37, "✓") + COUNTIF(Z18:AF37, "✗")</f>
        <v/>
      </c>
      <c r="E79" s="35">
        <f>IFERROR(C79/D79, 0)</f>
        <v/>
      </c>
      <c r="N79" s="60" t="inlineStr">
        <is>
          <t>Personal &amp; Home</t>
        </is>
      </c>
      <c r="O79" s="54" t="n"/>
      <c r="P79" s="34">
        <f>COUNTIF($C$18:$C$37, "Personal &amp; Home")</f>
        <v/>
      </c>
      <c r="Q79" s="34">
        <f>SUMIF($C$18:$C$37, "Personal &amp; Home", $D$18:$D$37)</f>
        <v/>
      </c>
      <c r="R79" s="34">
        <f>SUMIF($C$18:$C$37, "Personal &amp; Home", $AL$18:$AL$37)</f>
        <v/>
      </c>
      <c r="S79" s="35">
        <f>IFERROR(R79/Q79, 0)</f>
        <v/>
      </c>
    </row>
    <row r="80" ht="14" customHeight="1">
      <c r="A80" s="33" t="inlineStr">
        <is>
          <t>Week 5</t>
        </is>
      </c>
      <c r="B80" s="34" t="inlineStr">
        <is>
          <t>Days 29 - 30</t>
        </is>
      </c>
      <c r="C80" s="34">
        <f>COUNTIF(AG18:AH37, "✓")</f>
        <v/>
      </c>
      <c r="D80" s="34">
        <f>COUNTIF(AG18:AH37, "✓") + COUNTIF(AG18:AH37, "✗")</f>
        <v/>
      </c>
      <c r="E80" s="35">
        <f>IFERROR(C80/D80, 0)</f>
        <v/>
      </c>
      <c r="N80" s="60" t="inlineStr">
        <is>
          <t>Finance &amp; Wealth</t>
        </is>
      </c>
      <c r="O80" s="54" t="n"/>
      <c r="P80" s="34">
        <f>COUNTIF($C$18:$C$37, "Finance &amp; Wealth")</f>
        <v/>
      </c>
      <c r="Q80" s="34">
        <f>SUMIF($C$18:$C$37, "Finance &amp; Wealth", $D$18:$D$37)</f>
        <v/>
      </c>
      <c r="R80" s="34">
        <f>SUMIF($C$18:$C$37, "Finance &amp; Wealth", $AL$18:$AL$37)</f>
        <v/>
      </c>
      <c r="S80" s="35">
        <f>IFERROR(R80/Q80, 0)</f>
        <v/>
      </c>
    </row>
    <row r="81" ht="14" customHeight="1">
      <c r="A81" s="33" t="inlineStr">
        <is>
          <t>Total / Avg</t>
        </is>
      </c>
      <c r="B81" s="159" t="inlineStr">
        <is>
          <t>Month Total</t>
        </is>
      </c>
      <c r="C81" s="33">
        <f>SUM(C76:C80)</f>
        <v/>
      </c>
      <c r="D81" s="33">
        <f>SUM(D76:D80)</f>
        <v/>
      </c>
      <c r="E81" s="133">
        <f>IFERROR(C81/D81, 0)</f>
        <v/>
      </c>
    </row>
    <row r="82" ht="10" customHeight="1"/>
    <row r="83" ht="10" customHeight="1"/>
    <row r="84">
      <c r="A84" s="51" t="inlineStr">
        <is>
          <t>SLEEP &amp; PRODUCTIVITY CORRELATION ANALYSIS</t>
        </is>
      </c>
      <c r="B84" s="52" t="n"/>
      <c r="C84" s="52" t="n"/>
      <c r="D84" s="52" t="n"/>
      <c r="E84" s="52" t="n"/>
      <c r="F84" s="52" t="n"/>
      <c r="G84" s="52" t="n"/>
      <c r="H84" s="52" t="n"/>
      <c r="I84" s="52" t="n"/>
      <c r="J84" s="52" t="n"/>
      <c r="K84" s="52" t="n"/>
      <c r="L84" s="52" t="n"/>
      <c r="M84" s="52" t="n"/>
      <c r="N84" s="52" t="n"/>
      <c r="O84" s="52" t="n"/>
      <c r="P84" s="52" t="n"/>
      <c r="Q84" s="52" t="n"/>
      <c r="R84" s="52" t="n"/>
      <c r="S84" s="52" t="n"/>
      <c r="T84" s="52" t="n"/>
      <c r="U84" s="52" t="n"/>
      <c r="V84" s="52" t="n"/>
      <c r="W84" s="52" t="n"/>
      <c r="X84" s="52" t="n"/>
      <c r="Y84" s="52" t="n"/>
      <c r="Z84" s="52" t="n"/>
      <c r="AA84" s="52" t="n"/>
      <c r="AB84" s="52" t="n"/>
      <c r="AC84" s="52" t="n"/>
      <c r="AD84" s="52" t="n"/>
      <c r="AE84" s="52" t="n"/>
      <c r="AF84" s="52" t="n"/>
      <c r="AG84" s="52" t="n"/>
      <c r="AH84" s="52" t="n"/>
      <c r="AI84" s="52" t="n"/>
      <c r="AJ84" s="52" t="n"/>
      <c r="AK84" s="52" t="n"/>
    </row>
    <row r="85" ht="15" customHeight="1">
      <c r="A85" s="53" t="inlineStr">
        <is>
          <t>Rest Category</t>
        </is>
      </c>
      <c r="B85" s="54" t="n"/>
      <c r="C85" s="54" t="n"/>
      <c r="D85" s="53" t="inlineStr">
        <is>
          <t>Day Criteria</t>
        </is>
      </c>
      <c r="E85" s="54" t="n"/>
      <c r="F85" s="54" t="n"/>
      <c r="G85" s="53" t="inlineStr">
        <is>
          <t>Days Logged</t>
        </is>
      </c>
      <c r="H85" s="54" t="n"/>
      <c r="I85" s="54" t="n"/>
      <c r="J85" s="53" t="inlineStr">
        <is>
          <t>Avg Sleep Duration</t>
        </is>
      </c>
      <c r="K85" s="54" t="n"/>
      <c r="L85" s="54" t="n"/>
      <c r="M85" s="54" t="n"/>
      <c r="N85" s="53" t="inlineStr">
        <is>
          <t>Avg Habit Success %</t>
        </is>
      </c>
      <c r="O85" s="54" t="n"/>
      <c r="P85" s="54" t="n"/>
      <c r="Q85" s="54" t="n"/>
      <c r="R85" s="53" t="inlineStr">
        <is>
          <t>Productivity Delta</t>
        </is>
      </c>
      <c r="S85" s="54" t="n"/>
      <c r="T85" s="54" t="n"/>
      <c r="U85" s="54" t="n"/>
    </row>
    <row r="86" ht="15" customHeight="1">
      <c r="A86" s="160" t="inlineStr">
        <is>
          <t>Optimal Rest</t>
        </is>
      </c>
      <c r="B86" s="161" t="n"/>
      <c r="C86" s="56" t="n"/>
      <c r="D86" s="34" t="inlineStr">
        <is>
          <t>&gt;= 7 Hours / Night</t>
        </is>
      </c>
      <c r="E86" s="161" t="n"/>
      <c r="F86" s="56" t="n"/>
      <c r="G86" s="33">
        <f>COUNTIF(E47:AH47, "&gt;=7")</f>
        <v/>
      </c>
      <c r="H86" s="161" t="n"/>
      <c r="I86" s="56" t="n"/>
      <c r="J86" s="34">
        <f>IFERROR(TEXT(AVERAGEIF(E47:AH47, "&gt;=7"), "0.0") &amp; " hrs", "-")</f>
        <v/>
      </c>
      <c r="K86" s="161" t="n"/>
      <c r="L86" s="161" t="n"/>
      <c r="M86" s="56" t="n"/>
      <c r="N86" s="42">
        <f>IFERROR(AVERAGEIFS(E39:AH39, E47:AH47, "&gt;=7", E39:AH39, "&gt;0"), 0)</f>
        <v/>
      </c>
      <c r="O86" s="161" t="n"/>
      <c r="P86" s="161" t="n"/>
      <c r="Q86" s="56" t="n"/>
      <c r="R86" s="159" t="inlineStr">
        <is>
          <t>Baseline (Target)</t>
        </is>
      </c>
      <c r="S86" s="161" t="n"/>
      <c r="T86" s="161" t="n"/>
      <c r="U86" s="56" t="n"/>
    </row>
    <row r="87" ht="15" customHeight="1">
      <c r="A87" s="162" t="inlineStr">
        <is>
          <t>Sleep Deficit</t>
        </is>
      </c>
      <c r="B87" s="161" t="n"/>
      <c r="C87" s="56" t="n"/>
      <c r="D87" s="34" t="inlineStr">
        <is>
          <t>&lt; 7 Hours / Night</t>
        </is>
      </c>
      <c r="E87" s="161" t="n"/>
      <c r="F87" s="56" t="n"/>
      <c r="G87" s="33">
        <f>COUNTIF(E47:AH47, "&lt;7") - COUNTIF(E47:AH47, "")</f>
        <v/>
      </c>
      <c r="H87" s="161" t="n"/>
      <c r="I87" s="56" t="n"/>
      <c r="J87" s="34">
        <f>IFERROR(TEXT(AVERAGEIFS(E47:AH47, E47:AH47, "&lt;7", E47:AH47, "&gt;0"), "0.0") &amp; " hrs", "-")</f>
        <v/>
      </c>
      <c r="K87" s="161" t="n"/>
      <c r="L87" s="161" t="n"/>
      <c r="M87" s="56" t="n"/>
      <c r="N87" s="163">
        <f>IFERROR(AVERAGEIFS(E39:AH39, E47:AH47, "&lt;7", E39:AH39, "&gt;0"), 0)</f>
        <v/>
      </c>
      <c r="O87" s="161" t="n"/>
      <c r="P87" s="161" t="n"/>
      <c r="Q87" s="56" t="n"/>
      <c r="R87" s="160">
        <f>IFERROR(TEXT(N86 - N87, "+0.0%;-0.0%;0.0%") &amp; " Rest Advantage", "-")</f>
        <v/>
      </c>
      <c r="S87" s="161" t="n"/>
      <c r="T87" s="161" t="n"/>
      <c r="U87" s="56" t="n"/>
    </row>
    <row r="88" ht="18" customHeight="1">
      <c r="A88" s="164">
        <f>IF(AND(ISNUMBER(N86), ISNUMBER(N87), N86&gt;0, N87&gt;0), "💡 Sleep Correlation Insight: You complete " &amp; TEXT(ABS(N86-N87), "0.0%") &amp; IF(N86&gt;=N87, " MORE habits on days with 7+ hours of sleep!", " fewer habits on days with 7+ hours of sleep."), "💡 Log both habits and sleep hours daily to unlock automatic AI correlation insights!")</f>
        <v/>
      </c>
      <c r="B88" s="161" t="n"/>
      <c r="C88" s="161" t="n"/>
      <c r="D88" s="161" t="n"/>
      <c r="E88" s="161" t="n"/>
      <c r="F88" s="161" t="n"/>
      <c r="G88" s="161" t="n"/>
      <c r="H88" s="161" t="n"/>
      <c r="I88" s="161" t="n"/>
      <c r="J88" s="161" t="n"/>
      <c r="K88" s="161" t="n"/>
      <c r="L88" s="161" t="n"/>
      <c r="M88" s="161" t="n"/>
      <c r="N88" s="161" t="n"/>
      <c r="O88" s="161" t="n"/>
      <c r="P88" s="161" t="n"/>
      <c r="Q88" s="161" t="n"/>
      <c r="R88" s="161" t="n"/>
      <c r="S88" s="161" t="n"/>
      <c r="T88" s="161" t="n"/>
      <c r="U88" s="161" t="n"/>
      <c r="V88" s="161" t="n"/>
      <c r="W88" s="161" t="n"/>
      <c r="X88" s="161" t="n"/>
      <c r="Y88" s="161" t="n"/>
      <c r="Z88" s="161" t="n"/>
      <c r="AA88" s="161" t="n"/>
      <c r="AB88" s="161" t="n"/>
      <c r="AC88" s="161" t="n"/>
      <c r="AD88" s="161" t="n"/>
      <c r="AE88" s="161" t="n"/>
      <c r="AF88" s="161" t="n"/>
      <c r="AG88" s="161" t="n"/>
      <c r="AH88" s="161" t="n"/>
      <c r="AI88" s="161" t="n"/>
      <c r="AJ88" s="161" t="n"/>
      <c r="AK88" s="56" t="n"/>
    </row>
    <row r="89" ht="10" customHeight="1"/>
    <row r="90">
      <c r="A90" s="43" t="inlineStr">
        <is>
          <t>STANDARDIZED DATA BRIDGE (FOR ANNUAL &amp; QUARTERLY REVIEW SHEETS)</t>
        </is>
      </c>
      <c r="B90" s="44" t="n"/>
      <c r="C90" s="44" t="n"/>
      <c r="D90" s="44" t="n"/>
      <c r="E90" s="44" t="n"/>
      <c r="F90" s="44" t="n"/>
      <c r="G90" s="44" t="n"/>
      <c r="H90" s="44" t="n"/>
      <c r="I90" s="44" t="n"/>
      <c r="J90" s="44" t="n"/>
      <c r="K90" s="44" t="n"/>
      <c r="L90" s="44" t="n"/>
      <c r="M90" s="44" t="n"/>
      <c r="N90" s="44" t="n"/>
      <c r="O90" s="44" t="n"/>
      <c r="P90" s="44" t="n"/>
      <c r="Q90" s="44" t="n"/>
      <c r="R90" s="44" t="n"/>
      <c r="S90" s="44" t="n"/>
      <c r="T90" s="44" t="n"/>
      <c r="U90" s="44" t="n"/>
      <c r="V90" s="44" t="n"/>
      <c r="W90" s="44" t="n"/>
      <c r="X90" s="44" t="n"/>
      <c r="Y90" s="44" t="n"/>
      <c r="Z90" s="44" t="n"/>
      <c r="AA90" s="44" t="n"/>
      <c r="AB90" s="44" t="n"/>
      <c r="AC90" s="44" t="n"/>
      <c r="AD90" s="44" t="n"/>
      <c r="AE90" s="44" t="n"/>
      <c r="AF90" s="44" t="n"/>
      <c r="AG90" s="44" t="n"/>
      <c r="AH90" s="44" t="n"/>
      <c r="AI90" s="44" t="n"/>
      <c r="AJ90" s="44" t="n"/>
      <c r="AK90" s="44" t="n"/>
    </row>
    <row r="91" ht="15" customHeight="1">
      <c r="A91" s="53" t="inlineStr">
        <is>
          <t>Month</t>
        </is>
      </c>
      <c r="B91" s="54" t="n"/>
      <c r="C91" s="53" t="inlineStr">
        <is>
          <t>Year</t>
        </is>
      </c>
      <c r="D91" s="54" t="n"/>
      <c r="E91" s="53" t="inlineStr">
        <is>
          <t>Active Habits</t>
        </is>
      </c>
      <c r="F91" s="54" t="n"/>
      <c r="G91" s="53" t="inlineStr">
        <is>
          <t>Target Days</t>
        </is>
      </c>
      <c r="H91" s="54" t="n"/>
      <c r="I91" s="53" t="inlineStr">
        <is>
          <t>Done Checks</t>
        </is>
      </c>
      <c r="J91" s="54" t="n"/>
      <c r="K91" s="53" t="inlineStr">
        <is>
          <t>Success %</t>
        </is>
      </c>
      <c r="L91" s="54" t="n"/>
      <c r="M91" s="53" t="inlineStr">
        <is>
          <t>Perfect Days</t>
        </is>
      </c>
      <c r="N91" s="54" t="n"/>
      <c r="O91" s="53" t="inlineStr">
        <is>
          <t>Avg Sleep</t>
        </is>
      </c>
      <c r="P91" s="54" t="n"/>
      <c r="Q91" s="53" t="inlineStr">
        <is>
          <t>Best Week</t>
        </is>
      </c>
      <c r="R91" s="54" t="n"/>
      <c r="S91" s="54" t="n"/>
      <c r="T91" s="53" t="inlineStr">
        <is>
          <t>Top Life Domain</t>
        </is>
      </c>
      <c r="U91" s="54" t="n"/>
      <c r="V91" s="54" t="n"/>
      <c r="W91" s="54" t="n"/>
    </row>
    <row r="92" ht="16" customHeight="1">
      <c r="A92" s="165" t="inlineStr">
        <is>
          <t>Jun</t>
        </is>
      </c>
      <c r="B92" s="56" t="n"/>
      <c r="C92" s="165" t="n">
        <v>2030</v>
      </c>
      <c r="D92" s="56" t="n"/>
      <c r="E92" s="166">
        <f>COUNTA(B18:B37)</f>
        <v/>
      </c>
      <c r="F92" s="56" t="n"/>
      <c r="G92" s="166">
        <f>SUM(D18:D37)</f>
        <v/>
      </c>
      <c r="H92" s="56" t="n"/>
      <c r="I92" s="166">
        <f>SUM(AL18:AL37)</f>
        <v/>
      </c>
      <c r="J92" s="56" t="n"/>
      <c r="K92" s="167">
        <f>IF(G92&gt;0, I92/G92, 0)</f>
        <v/>
      </c>
      <c r="L92" s="56" t="n"/>
      <c r="M92" s="166">
        <f>COUNTIF(E39:AH39, 1)</f>
        <v/>
      </c>
      <c r="N92" s="56" t="n"/>
      <c r="O92" s="168">
        <f>IFERROR(AVERAGE(E47:AH47), 0)</f>
        <v/>
      </c>
      <c r="P92" s="56" t="n"/>
      <c r="Q92" s="166">
        <f>INDEX(A76:A80, MATCH(MAX(E76:E80), E76:E80, 0))</f>
        <v/>
      </c>
      <c r="R92" s="161" t="n"/>
      <c r="S92" s="56" t="n"/>
      <c r="T92" s="166">
        <f>INDEX(N76:N80, MATCH(MAX(S76:S80), S76:S80, 0))</f>
        <v/>
      </c>
      <c r="U92" s="161" t="n"/>
      <c r="V92" s="161" t="n"/>
      <c r="W92" s="56" t="n"/>
    </row>
    <row r="93" ht="14" customHeight="1">
      <c r="A93" s="169" t="inlineStr">
        <is>
          <t>📋 Note: Reference or copy Row 92 directly into an Annual / Quarterly review dashboard to track yearly habit trends.</t>
        </is>
      </c>
    </row>
    <row r="94" ht="8" customHeight="1"/>
    <row r="95">
      <c r="A95" s="170" t="inlineStr">
        <is>
          <t>🏆 MONTHLY WINS &amp; HIGHLIGHTS</t>
        </is>
      </c>
      <c r="J95" s="171" t="inlineStr">
        <is>
          <t>⚠️ FRICTION POINTS &amp; ROOT CAUSES</t>
        </is>
      </c>
      <c r="S95" s="172" t="inlineStr">
        <is>
          <t>🎯 3 KEY ADJUSTMENTS FOR NEXT MONTH</t>
        </is>
      </c>
    </row>
    <row r="96">
      <c r="A96" s="173" t="inlineStr">
        <is>
          <t>1. What went exceptionally well this month?
2. Which habit felt effortless and consistent?
3. Major milestone achieved:</t>
        </is>
      </c>
      <c r="B96" s="174" t="n"/>
      <c r="C96" s="174" t="n"/>
      <c r="D96" s="174" t="n"/>
      <c r="E96" s="174" t="n"/>
      <c r="F96" s="174" t="n"/>
      <c r="G96" s="174" t="n"/>
      <c r="H96" s="174" t="n"/>
      <c r="J96" s="175" t="inlineStr">
        <is>
          <t>1. What caused missed or skipped days?
2. Main triggers / energy drains encountered:
3. Which habit had the lowest consistency and why?</t>
        </is>
      </c>
      <c r="K96" s="176" t="n"/>
      <c r="L96" s="176" t="n"/>
      <c r="M96" s="176" t="n"/>
      <c r="N96" s="176" t="n"/>
      <c r="O96" s="176" t="n"/>
      <c r="P96" s="176" t="n"/>
      <c r="Q96" s="176" t="n"/>
      <c r="S96" s="177" t="inlineStr">
        <is>
          <t>1. Habit Stacking or time adjustment for next month:
2. Environment design change to eliminate friction:
3. One non-negotiable priority protocol:</t>
        </is>
      </c>
      <c r="T96" s="178" t="n"/>
      <c r="U96" s="178" t="n"/>
      <c r="V96" s="178" t="n"/>
      <c r="W96" s="178" t="n"/>
      <c r="X96" s="178" t="n"/>
      <c r="Y96" s="178" t="n"/>
      <c r="Z96" s="178" t="n"/>
    </row>
    <row r="97">
      <c r="A97" s="174" t="n"/>
      <c r="B97" s="174" t="n"/>
      <c r="C97" s="174" t="n"/>
      <c r="D97" s="174" t="n"/>
      <c r="E97" s="174" t="n"/>
      <c r="F97" s="174" t="n"/>
      <c r="G97" s="174" t="n"/>
      <c r="H97" s="174" t="n"/>
      <c r="J97" s="176" t="n"/>
      <c r="K97" s="176" t="n"/>
      <c r="L97" s="176" t="n"/>
      <c r="M97" s="176" t="n"/>
      <c r="N97" s="176" t="n"/>
      <c r="O97" s="176" t="n"/>
      <c r="P97" s="176" t="n"/>
      <c r="Q97" s="176" t="n"/>
      <c r="S97" s="178" t="n"/>
      <c r="T97" s="178" t="n"/>
      <c r="U97" s="178" t="n"/>
      <c r="V97" s="178" t="n"/>
      <c r="W97" s="178" t="n"/>
      <c r="X97" s="178" t="n"/>
      <c r="Y97" s="178" t="n"/>
      <c r="Z97" s="178" t="n"/>
    </row>
    <row r="98">
      <c r="A98" s="174" t="n"/>
      <c r="B98" s="174" t="n"/>
      <c r="C98" s="174" t="n"/>
      <c r="D98" s="174" t="n"/>
      <c r="E98" s="174" t="n"/>
      <c r="F98" s="174" t="n"/>
      <c r="G98" s="174" t="n"/>
      <c r="H98" s="174" t="n"/>
      <c r="J98" s="176" t="n"/>
      <c r="K98" s="176" t="n"/>
      <c r="L98" s="176" t="n"/>
      <c r="M98" s="176" t="n"/>
      <c r="N98" s="176" t="n"/>
      <c r="O98" s="176" t="n"/>
      <c r="P98" s="176" t="n"/>
      <c r="Q98" s="176" t="n"/>
      <c r="S98" s="178" t="n"/>
      <c r="T98" s="178" t="n"/>
      <c r="U98" s="178" t="n"/>
      <c r="V98" s="178" t="n"/>
      <c r="W98" s="178" t="n"/>
      <c r="X98" s="178" t="n"/>
      <c r="Y98" s="178" t="n"/>
      <c r="Z98" s="178" t="n"/>
    </row>
    <row r="99">
      <c r="A99" s="174" t="n"/>
      <c r="B99" s="174" t="n"/>
      <c r="C99" s="174" t="n"/>
      <c r="D99" s="174" t="n"/>
      <c r="E99" s="174" t="n"/>
      <c r="F99" s="174" t="n"/>
      <c r="G99" s="174" t="n"/>
      <c r="H99" s="174" t="n"/>
      <c r="J99" s="176" t="n"/>
      <c r="K99" s="176" t="n"/>
      <c r="L99" s="176" t="n"/>
      <c r="M99" s="176" t="n"/>
      <c r="N99" s="176" t="n"/>
      <c r="O99" s="176" t="n"/>
      <c r="P99" s="176" t="n"/>
      <c r="Q99" s="176" t="n"/>
      <c r="S99" s="178" t="n"/>
      <c r="T99" s="178" t="n"/>
      <c r="U99" s="178" t="n"/>
      <c r="V99" s="178" t="n"/>
      <c r="W99" s="178" t="n"/>
      <c r="X99" s="178" t="n"/>
      <c r="Y99" s="178" t="n"/>
      <c r="Z99" s="178" t="n"/>
    </row>
    <row r="100">
      <c r="A100" s="174" t="n"/>
      <c r="B100" s="174" t="n"/>
      <c r="C100" s="174" t="n"/>
      <c r="D100" s="174" t="n"/>
      <c r="E100" s="174" t="n"/>
      <c r="F100" s="174" t="n"/>
      <c r="G100" s="174" t="n"/>
      <c r="H100" s="174" t="n"/>
      <c r="J100" s="176" t="n"/>
      <c r="K100" s="176" t="n"/>
      <c r="L100" s="176" t="n"/>
      <c r="M100" s="176" t="n"/>
      <c r="N100" s="176" t="n"/>
      <c r="O100" s="176" t="n"/>
      <c r="P100" s="176" t="n"/>
      <c r="Q100" s="176" t="n"/>
      <c r="S100" s="178" t="n"/>
      <c r="T100" s="178" t="n"/>
      <c r="U100" s="178" t="n"/>
      <c r="V100" s="178" t="n"/>
      <c r="W100" s="178" t="n"/>
      <c r="X100" s="178" t="n"/>
      <c r="Y100" s="178" t="n"/>
      <c r="Z100" s="178" t="n"/>
    </row>
    <row r="101">
      <c r="A101" s="174" t="n"/>
      <c r="B101" s="174" t="n"/>
      <c r="C101" s="174" t="n"/>
      <c r="D101" s="174" t="n"/>
      <c r="E101" s="174" t="n"/>
      <c r="F101" s="174" t="n"/>
      <c r="G101" s="174" t="n"/>
      <c r="H101" s="174" t="n"/>
      <c r="J101" s="176" t="n"/>
      <c r="K101" s="176" t="n"/>
      <c r="L101" s="176" t="n"/>
      <c r="M101" s="176" t="n"/>
      <c r="N101" s="176" t="n"/>
      <c r="O101" s="176" t="n"/>
      <c r="P101" s="176" t="n"/>
      <c r="Q101" s="176" t="n"/>
      <c r="S101" s="178" t="n"/>
      <c r="T101" s="178" t="n"/>
      <c r="U101" s="178" t="n"/>
      <c r="V101" s="178" t="n"/>
      <c r="W101" s="178" t="n"/>
      <c r="X101" s="178" t="n"/>
      <c r="Y101" s="178" t="n"/>
      <c r="Z101" s="178" t="n"/>
    </row>
    <row r="102">
      <c r="A102" s="174" t="n"/>
      <c r="B102" s="174" t="n"/>
      <c r="C102" s="174" t="n"/>
      <c r="D102" s="174" t="n"/>
      <c r="E102" s="174" t="n"/>
      <c r="F102" s="174" t="n"/>
      <c r="G102" s="174" t="n"/>
      <c r="H102" s="174" t="n"/>
      <c r="J102" s="176" t="n"/>
      <c r="K102" s="176" t="n"/>
      <c r="L102" s="176" t="n"/>
      <c r="M102" s="176" t="n"/>
      <c r="N102" s="176" t="n"/>
      <c r="O102" s="176" t="n"/>
      <c r="P102" s="176" t="n"/>
      <c r="Q102" s="176" t="n"/>
      <c r="S102" s="178" t="n"/>
      <c r="T102" s="178" t="n"/>
      <c r="U102" s="178" t="n"/>
      <c r="V102" s="178" t="n"/>
      <c r="W102" s="178" t="n"/>
      <c r="X102" s="178" t="n"/>
      <c r="Y102" s="178" t="n"/>
      <c r="Z102" s="178" t="n"/>
    </row>
    <row r="103">
      <c r="A103" s="174" t="n"/>
      <c r="B103" s="174" t="n"/>
      <c r="C103" s="174" t="n"/>
      <c r="D103" s="174" t="n"/>
      <c r="E103" s="174" t="n"/>
      <c r="F103" s="174" t="n"/>
      <c r="G103" s="174" t="n"/>
      <c r="H103" s="174" t="n"/>
      <c r="J103" s="176" t="n"/>
      <c r="K103" s="176" t="n"/>
      <c r="L103" s="176" t="n"/>
      <c r="M103" s="176" t="n"/>
      <c r="N103" s="176" t="n"/>
      <c r="O103" s="176" t="n"/>
      <c r="P103" s="176" t="n"/>
      <c r="Q103" s="176" t="n"/>
      <c r="S103" s="178" t="n"/>
      <c r="T103" s="178" t="n"/>
      <c r="U103" s="178" t="n"/>
      <c r="V103" s="178" t="n"/>
      <c r="W103" s="178" t="n"/>
      <c r="X103" s="178" t="n"/>
      <c r="Y103" s="178" t="n"/>
      <c r="Z103" s="178" t="n"/>
    </row>
  </sheetData>
  <sheetProtection selectLockedCells="1" selectUnlockedCells="1" sheet="1" objects="0" insertRows="1" insertHyperlinks="1" autoFilter="1" scenarios="0" formatColumns="1" deleteColumns="1" insertColumns="1" pivotTables="1" deleteRows="1" formatCells="1" formatRows="1" sort="1"/>
  <mergeCells count="94">
    <mergeCell ref="A9:N9"/>
    <mergeCell ref="N76:O76"/>
    <mergeCell ref="F67:I67"/>
    <mergeCell ref="G87:I87"/>
    <mergeCell ref="A16:A17"/>
    <mergeCell ref="A45:D46"/>
    <mergeCell ref="C16:C17"/>
    <mergeCell ref="N75:O75"/>
    <mergeCell ref="N77:O77"/>
    <mergeCell ref="P68:S70"/>
    <mergeCell ref="A93:AK93"/>
    <mergeCell ref="D16:D17"/>
    <mergeCell ref="N85:Q85"/>
    <mergeCell ref="A95:H95"/>
    <mergeCell ref="Q91:S91"/>
    <mergeCell ref="P6:AK6"/>
    <mergeCell ref="E91:F91"/>
    <mergeCell ref="A8:N8"/>
    <mergeCell ref="G91:H91"/>
    <mergeCell ref="P8:AK8"/>
    <mergeCell ref="J86:M86"/>
    <mergeCell ref="S95:Z95"/>
    <mergeCell ref="K67:N67"/>
    <mergeCell ref="N79:O79"/>
    <mergeCell ref="K92:L92"/>
    <mergeCell ref="P7:AK7"/>
    <mergeCell ref="C92:D92"/>
    <mergeCell ref="F71:I71"/>
    <mergeCell ref="M92:N92"/>
    <mergeCell ref="A12:AK14"/>
    <mergeCell ref="K68:N70"/>
    <mergeCell ref="T91:W91"/>
    <mergeCell ref="AI16:AI17"/>
    <mergeCell ref="J95:Q95"/>
    <mergeCell ref="D85:F85"/>
    <mergeCell ref="N74:S74"/>
    <mergeCell ref="P9:AK9"/>
    <mergeCell ref="F68:I70"/>
    <mergeCell ref="A91:B91"/>
    <mergeCell ref="N78:O78"/>
    <mergeCell ref="C91:D91"/>
    <mergeCell ref="M91:N91"/>
    <mergeCell ref="O91:P91"/>
    <mergeCell ref="R86:U86"/>
    <mergeCell ref="A84:AK84"/>
    <mergeCell ref="N80:O80"/>
    <mergeCell ref="B16:B17"/>
    <mergeCell ref="A71:D71"/>
    <mergeCell ref="J85:M85"/>
    <mergeCell ref="D86:F86"/>
    <mergeCell ref="A92:B92"/>
    <mergeCell ref="N87:Q87"/>
    <mergeCell ref="A1:B1"/>
    <mergeCell ref="E92:F92"/>
    <mergeCell ref="A68:D70"/>
    <mergeCell ref="P71:S71"/>
    <mergeCell ref="A86:C86"/>
    <mergeCell ref="D87:F87"/>
    <mergeCell ref="O92:P92"/>
    <mergeCell ref="A6:N6"/>
    <mergeCell ref="A39:D39"/>
    <mergeCell ref="G86:I86"/>
    <mergeCell ref="A96:H103"/>
    <mergeCell ref="P67:S67"/>
    <mergeCell ref="A41:AK41"/>
    <mergeCell ref="T92:W92"/>
    <mergeCell ref="R85:U85"/>
    <mergeCell ref="H2:AC2"/>
    <mergeCell ref="K71:N71"/>
    <mergeCell ref="S96:Z103"/>
    <mergeCell ref="A38:D38"/>
    <mergeCell ref="A42:AK42"/>
    <mergeCell ref="H3:AC3"/>
    <mergeCell ref="A67:D67"/>
    <mergeCell ref="I91:J91"/>
    <mergeCell ref="A85:C85"/>
    <mergeCell ref="K91:L91"/>
    <mergeCell ref="N86:Q86"/>
    <mergeCell ref="A7:N7"/>
    <mergeCell ref="A74:E74"/>
    <mergeCell ref="G85:I85"/>
    <mergeCell ref="G92:H92"/>
    <mergeCell ref="I92:J92"/>
    <mergeCell ref="R87:U87"/>
    <mergeCell ref="AK16:AK17"/>
    <mergeCell ref="J87:M87"/>
    <mergeCell ref="AD2:AK2"/>
    <mergeCell ref="AJ16:AJ17"/>
    <mergeCell ref="J96:Q103"/>
    <mergeCell ref="A88:AK88"/>
    <mergeCell ref="A90:AK90"/>
    <mergeCell ref="Q92:S92"/>
    <mergeCell ref="A87:C87"/>
    <mergeCell ref="A47:D47"/>
  </mergeCells>
  <conditionalFormatting sqref="AI18:AI37">
    <cfRule type="dataBar" priority="1">
      <dataBar>
        <cfvo type="num" val="0"/>
        <cfvo type="num" val="1"/>
        <color rgb="0010B981"/>
      </dataBar>
    </cfRule>
  </conditionalFormatting>
  <conditionalFormatting sqref="E18:AH37">
    <cfRule type="cellIs" priority="2" operator="equal" dxfId="0">
      <formula>"✓"</formula>
    </cfRule>
    <cfRule type="cellIs" priority="3" operator="equal" dxfId="0">
      <formula>"✔"</formula>
    </cfRule>
    <cfRule type="cellIs" priority="4" operator="equal" dxfId="1">
      <formula>"✗"</formula>
    </cfRule>
    <cfRule type="cellIs" priority="5" operator="equal" dxfId="1">
      <formula>"x"</formula>
    </cfRule>
    <cfRule type="cellIs" priority="6" operator="equal" dxfId="1">
      <formula>"X"</formula>
    </cfRule>
  </conditionalFormatting>
  <conditionalFormatting sqref="E16:E17">
    <cfRule type="expression" priority="7" dxfId="2">
      <formula>AND(DAY(TODAY())=1, MONTH(TODAY())=6, YEAR(TODAY())=2030)</formula>
    </cfRule>
  </conditionalFormatting>
  <conditionalFormatting sqref="F16:F17">
    <cfRule type="expression" priority="8" dxfId="2">
      <formula>AND(DAY(TODAY())=2, MONTH(TODAY())=6, YEAR(TODAY())=2030)</formula>
    </cfRule>
  </conditionalFormatting>
  <conditionalFormatting sqref="G16:G17">
    <cfRule type="expression" priority="9" dxfId="2">
      <formula>AND(DAY(TODAY())=3, MONTH(TODAY())=6, YEAR(TODAY())=2030)</formula>
    </cfRule>
  </conditionalFormatting>
  <conditionalFormatting sqref="H16:H17">
    <cfRule type="expression" priority="10" dxfId="2">
      <formula>AND(DAY(TODAY())=4, MONTH(TODAY())=6, YEAR(TODAY())=2030)</formula>
    </cfRule>
  </conditionalFormatting>
  <conditionalFormatting sqref="I16:I17">
    <cfRule type="expression" priority="11" dxfId="2">
      <formula>AND(DAY(TODAY())=5, MONTH(TODAY())=6, YEAR(TODAY())=2030)</formula>
    </cfRule>
  </conditionalFormatting>
  <conditionalFormatting sqref="J16:J17">
    <cfRule type="expression" priority="12" dxfId="2">
      <formula>AND(DAY(TODAY())=6, MONTH(TODAY())=6, YEAR(TODAY())=2030)</formula>
    </cfRule>
  </conditionalFormatting>
  <conditionalFormatting sqref="K16:K17">
    <cfRule type="expression" priority="13" dxfId="2">
      <formula>AND(DAY(TODAY())=7, MONTH(TODAY())=6, YEAR(TODAY())=2030)</formula>
    </cfRule>
  </conditionalFormatting>
  <conditionalFormatting sqref="L16:L17">
    <cfRule type="expression" priority="14" dxfId="2">
      <formula>AND(DAY(TODAY())=8, MONTH(TODAY())=6, YEAR(TODAY())=2030)</formula>
    </cfRule>
  </conditionalFormatting>
  <conditionalFormatting sqref="M16:M17">
    <cfRule type="expression" priority="15" dxfId="2">
      <formula>AND(DAY(TODAY())=9, MONTH(TODAY())=6, YEAR(TODAY())=2030)</formula>
    </cfRule>
  </conditionalFormatting>
  <conditionalFormatting sqref="N16:N17">
    <cfRule type="expression" priority="16" dxfId="2">
      <formula>AND(DAY(TODAY())=10, MONTH(TODAY())=6, YEAR(TODAY())=2030)</formula>
    </cfRule>
  </conditionalFormatting>
  <conditionalFormatting sqref="O16:O17">
    <cfRule type="expression" priority="17" dxfId="2">
      <formula>AND(DAY(TODAY())=11, MONTH(TODAY())=6, YEAR(TODAY())=2030)</formula>
    </cfRule>
  </conditionalFormatting>
  <conditionalFormatting sqref="P16:P17">
    <cfRule type="expression" priority="18" dxfId="2">
      <formula>AND(DAY(TODAY())=12, MONTH(TODAY())=6, YEAR(TODAY())=2030)</formula>
    </cfRule>
  </conditionalFormatting>
  <conditionalFormatting sqref="Q16:Q17">
    <cfRule type="expression" priority="19" dxfId="2">
      <formula>AND(DAY(TODAY())=13, MONTH(TODAY())=6, YEAR(TODAY())=2030)</formula>
    </cfRule>
  </conditionalFormatting>
  <conditionalFormatting sqref="R16:R17">
    <cfRule type="expression" priority="20" dxfId="2">
      <formula>AND(DAY(TODAY())=14, MONTH(TODAY())=6, YEAR(TODAY())=2030)</formula>
    </cfRule>
  </conditionalFormatting>
  <conditionalFormatting sqref="S16:S17">
    <cfRule type="expression" priority="21" dxfId="2">
      <formula>AND(DAY(TODAY())=15, MONTH(TODAY())=6, YEAR(TODAY())=2030)</formula>
    </cfRule>
  </conditionalFormatting>
  <conditionalFormatting sqref="T16:T17">
    <cfRule type="expression" priority="22" dxfId="2">
      <formula>AND(DAY(TODAY())=16, MONTH(TODAY())=6, YEAR(TODAY())=2030)</formula>
    </cfRule>
  </conditionalFormatting>
  <conditionalFormatting sqref="U16:U17">
    <cfRule type="expression" priority="23" dxfId="2">
      <formula>AND(DAY(TODAY())=17, MONTH(TODAY())=6, YEAR(TODAY())=2030)</formula>
    </cfRule>
  </conditionalFormatting>
  <conditionalFormatting sqref="V16:V17">
    <cfRule type="expression" priority="24" dxfId="2">
      <formula>AND(DAY(TODAY())=18, MONTH(TODAY())=6, YEAR(TODAY())=2030)</formula>
    </cfRule>
  </conditionalFormatting>
  <conditionalFormatting sqref="W16:W17">
    <cfRule type="expression" priority="25" dxfId="2">
      <formula>AND(DAY(TODAY())=19, MONTH(TODAY())=6, YEAR(TODAY())=2030)</formula>
    </cfRule>
  </conditionalFormatting>
  <conditionalFormatting sqref="X16:X17">
    <cfRule type="expression" priority="26" dxfId="2">
      <formula>AND(DAY(TODAY())=20, MONTH(TODAY())=6, YEAR(TODAY())=2030)</formula>
    </cfRule>
  </conditionalFormatting>
  <conditionalFormatting sqref="Y16:Y17">
    <cfRule type="expression" priority="27" dxfId="2">
      <formula>AND(DAY(TODAY())=21, MONTH(TODAY())=6, YEAR(TODAY())=2030)</formula>
    </cfRule>
  </conditionalFormatting>
  <conditionalFormatting sqref="Z16:Z17">
    <cfRule type="expression" priority="28" dxfId="2">
      <formula>AND(DAY(TODAY())=22, MONTH(TODAY())=6, YEAR(TODAY())=2030)</formula>
    </cfRule>
  </conditionalFormatting>
  <conditionalFormatting sqref="AA16:AA17">
    <cfRule type="expression" priority="29" dxfId="2">
      <formula>AND(DAY(TODAY())=23, MONTH(TODAY())=6, YEAR(TODAY())=2030)</formula>
    </cfRule>
  </conditionalFormatting>
  <conditionalFormatting sqref="AB16:AB17">
    <cfRule type="expression" priority="30" dxfId="2">
      <formula>AND(DAY(TODAY())=24, MONTH(TODAY())=6, YEAR(TODAY())=2030)</formula>
    </cfRule>
  </conditionalFormatting>
  <conditionalFormatting sqref="AC16:AC17">
    <cfRule type="expression" priority="31" dxfId="2">
      <formula>AND(DAY(TODAY())=25, MONTH(TODAY())=6, YEAR(TODAY())=2030)</formula>
    </cfRule>
  </conditionalFormatting>
  <conditionalFormatting sqref="AD16:AD17">
    <cfRule type="expression" priority="32" dxfId="2">
      <formula>AND(DAY(TODAY())=26, MONTH(TODAY())=6, YEAR(TODAY())=2030)</formula>
    </cfRule>
  </conditionalFormatting>
  <conditionalFormatting sqref="AE16:AE17">
    <cfRule type="expression" priority="33" dxfId="2">
      <formula>AND(DAY(TODAY())=27, MONTH(TODAY())=6, YEAR(TODAY())=2030)</formula>
    </cfRule>
  </conditionalFormatting>
  <conditionalFormatting sqref="AF16:AF17">
    <cfRule type="expression" priority="34" dxfId="2">
      <formula>AND(DAY(TODAY())=28, MONTH(TODAY())=6, YEAR(TODAY())=2030)</formula>
    </cfRule>
  </conditionalFormatting>
  <conditionalFormatting sqref="AG16:AG17">
    <cfRule type="expression" priority="35" dxfId="2">
      <formula>AND(DAY(TODAY())=29, MONTH(TODAY())=6, YEAR(TODAY())=2030)</formula>
    </cfRule>
  </conditionalFormatting>
  <conditionalFormatting sqref="AH16:AH17">
    <cfRule type="expression" priority="36" dxfId="2">
      <formula>AND(DAY(TODAY())=30, MONTH(TODAY())=6, YEAR(TODAY())=2030)</formula>
    </cfRule>
  </conditionalFormatting>
  <dataValidations count="4">
    <dataValidation sqref="C18:C37" showDropDown="0" showInputMessage="0" showErrorMessage="0" allowBlank="1" type="list">
      <formula1>"Health &amp; Fitness,Mindset &amp; Learning,Career &amp; Focus,Personal &amp; Home,Finance &amp; Wealth,Other"</formula1>
    </dataValidation>
    <dataValidation sqref="D18:D37" showDropDown="0" showInputMessage="0" showErrorMessage="0" allowBlank="1" type="list">
      <formula1>"1,2,3,4,5,6,7,8,9,10,11,12,13,14,15,16,17,18,19,20,21,22,23,24,25,26,27,28,29,30,31"</formula1>
    </dataValidation>
    <dataValidation sqref="E18:AH37" showDropDown="0" showInputMessage="0" showErrorMessage="0" allowBlank="1" type="list">
      <formula1>"✓,✗"</formula1>
    </dataValidation>
    <dataValidation sqref="E47:AH47" showDropDown="0" showInputMessage="0" showErrorMessage="0" allowBlank="1" type="list">
      <formula1>"1,2,3,4,5,6,7,8,9,10,11,12,13,14,15,16,17,18,19,20,21,22,23,24"</formula1>
    </dataValidation>
  </dataValidations>
  <hyperlinks>
    <hyperlink xmlns:r="http://schemas.openxmlformats.org/officeDocument/2006/relationships" ref="A1" r:id="rId1"/>
    <hyperlink xmlns:r="http://schemas.openxmlformats.org/officeDocument/2006/relationships" ref="C1" r:id="rId2"/>
    <hyperlink xmlns:r="http://schemas.openxmlformats.org/officeDocument/2006/relationships" ref="D1" r:id="rId3"/>
    <hyperlink xmlns:r="http://schemas.openxmlformats.org/officeDocument/2006/relationships" ref="E1" r:id="rId4"/>
    <hyperlink xmlns:r="http://schemas.openxmlformats.org/officeDocument/2006/relationships" ref="F1" r:id="rId5"/>
    <hyperlink xmlns:r="http://schemas.openxmlformats.org/officeDocument/2006/relationships" ref="G1" r:id="rId6"/>
    <hyperlink xmlns:r="http://schemas.openxmlformats.org/officeDocument/2006/relationships" ref="H1" r:id="rId7"/>
    <hyperlink xmlns:r="http://schemas.openxmlformats.org/officeDocument/2006/relationships" ref="I1" r:id="rId8"/>
    <hyperlink xmlns:r="http://schemas.openxmlformats.org/officeDocument/2006/relationships" ref="J1" r:id="rId9"/>
    <hyperlink xmlns:r="http://schemas.openxmlformats.org/officeDocument/2006/relationships" ref="K1" r:id="rId10"/>
  </hyperlinks>
  <printOptions horizontalCentered="1" verticalCentered="0"/>
  <pageMargins left="0.75" right="0.75" top="1" bottom="1" header="0.5" footer="0.5"/>
  <pageSetup orientation="landscape" paperSize="9" fitToHeight="0" fitToWidth="1"/>
  <drawing xmlns:r="http://schemas.openxmlformats.org/officeDocument/2006/relationships" r:id="rId11"/>
</worksheet>
</file>

<file path=xl/worksheets/sheet50.xml><?xml version="1.0" encoding="utf-8"?>
<worksheet xmlns="http://schemas.openxmlformats.org/spreadsheetml/2006/main">
  <sheetPr>
    <outlinePr summaryBelow="1" summaryRight="1"/>
    <pageSetUpPr fitToPage="1"/>
  </sheetPr>
  <dimension ref="A1:AM103"/>
  <sheetViews>
    <sheetView showGridLines="1" workbookViewId="0">
      <selection activeCell="A1" sqref="A1"/>
    </sheetView>
  </sheetViews>
  <sheetFormatPr baseColWidth="8" defaultRowHeight="15"/>
  <cols>
    <col width="6" customWidth="1" min="1" max="1"/>
    <col width="25" customWidth="1" min="2" max="2"/>
    <col width="16.5" customWidth="1" min="3" max="3"/>
    <col width="8" customWidth="1" min="4" max="4"/>
    <col width="4.8" customWidth="1" min="5" max="5"/>
    <col width="4.8" customWidth="1" min="6" max="6"/>
    <col width="4.8" customWidth="1" min="7" max="7"/>
    <col width="4.8" customWidth="1" min="8" max="8"/>
    <col width="4.8" customWidth="1" min="9" max="9"/>
    <col width="4.8" customWidth="1" min="10" max="10"/>
    <col width="4.8" customWidth="1" min="11" max="11"/>
    <col width="4.8" customWidth="1" min="12" max="12"/>
    <col width="4.8" customWidth="1" min="13" max="13"/>
    <col width="4.8" customWidth="1" min="14" max="14"/>
    <col width="4.8" customWidth="1" min="15" max="15"/>
    <col width="4.8" customWidth="1" min="16" max="16"/>
    <col width="4.8" customWidth="1" min="17" max="17"/>
    <col width="4.8" customWidth="1" min="18" max="18"/>
    <col width="4.8" customWidth="1" min="19" max="19"/>
    <col width="4.8" customWidth="1" min="20" max="20"/>
    <col width="4.8" customWidth="1" min="21" max="21"/>
    <col width="4.8" customWidth="1" min="22" max="22"/>
    <col width="4.8" customWidth="1" min="23" max="23"/>
    <col width="4.8" customWidth="1" min="24" max="24"/>
    <col width="4.8" customWidth="1" min="25" max="25"/>
    <col width="4.8" customWidth="1" min="26" max="26"/>
    <col width="4.8" customWidth="1" min="27" max="27"/>
    <col width="4.8" customWidth="1" min="28" max="28"/>
    <col width="4.8" customWidth="1" min="29" max="29"/>
    <col width="4.8" customWidth="1" min="30" max="30"/>
    <col width="4.8" customWidth="1" min="31" max="31"/>
    <col width="4.8" customWidth="1" min="32" max="32"/>
    <col width="4.8" customWidth="1" min="33" max="33"/>
    <col width="4.8" customWidth="1" min="34" max="34"/>
    <col width="4.8" customWidth="1" min="35" max="35"/>
    <col width="11.5" customWidth="1" min="36" max="36"/>
    <col width="12" customWidth="1" min="37" max="37"/>
    <col width="13.5" customWidth="1" min="38" max="38"/>
    <col hidden="1" width="8" customWidth="1" min="39" max="39"/>
  </cols>
  <sheetData>
    <row r="1" ht="18" customHeight="1">
      <c r="A1" s="76" t="inlineStr">
        <is>
          <t>🏠 Master Dashboard</t>
        </is>
      </c>
      <c r="B1" s="40" t="n"/>
      <c r="C1" s="77" t="inlineStr">
        <is>
          <t>🏛️ Quarterly Hub</t>
        </is>
      </c>
      <c r="D1" s="78" t="inlineStr">
        <is>
          <t>📚 Habit Library</t>
        </is>
      </c>
      <c r="E1" s="80" t="inlineStr">
        <is>
          <t>2026</t>
        </is>
      </c>
      <c r="F1" s="80" t="inlineStr">
        <is>
          <t>2027</t>
        </is>
      </c>
      <c r="G1" s="80" t="inlineStr">
        <is>
          <t>2028</t>
        </is>
      </c>
      <c r="H1" s="80" t="inlineStr">
        <is>
          <t>2029</t>
        </is>
      </c>
      <c r="I1" s="79" t="inlineStr">
        <is>
          <t>2030</t>
        </is>
      </c>
      <c r="J1" s="82" t="inlineStr">
        <is>
          <t>◀ Prev</t>
        </is>
      </c>
      <c r="K1" s="82" t="inlineStr">
        <is>
          <t>Next ▶</t>
        </is>
      </c>
    </row>
    <row r="2" ht="24" customHeight="1">
      <c r="A2" s="83" t="inlineStr">
        <is>
          <t>Habit Tracker</t>
        </is>
      </c>
      <c r="H2" s="84" t="inlineStr">
        <is>
          <t>"Mastery is a journey, not a destination."</t>
        </is>
      </c>
      <c r="AE2" s="85" t="inlineStr">
        <is>
          <t>@surajvansh</t>
        </is>
      </c>
    </row>
    <row r="3" ht="18" customHeight="1">
      <c r="A3" s="86" t="inlineStr">
        <is>
          <t>July 2030</t>
        </is>
      </c>
      <c r="H3" s="87" t="inlineStr">
        <is>
          <t>31 Days Dashboard</t>
        </is>
      </c>
    </row>
    <row r="4" ht="5" customHeight="1"/>
    <row r="5" ht="16" customHeight="1">
      <c r="A5" s="88" t="inlineStr">
        <is>
          <t>MONTHLY TARGETS</t>
        </is>
      </c>
    </row>
    <row r="6" ht="13" customHeight="1">
      <c r="A6" s="89" t="inlineStr">
        <is>
          <t>1. ____________________ : ____________________</t>
        </is>
      </c>
      <c r="P6" s="89" t="inlineStr">
        <is>
          <t>5. ____________________ : ____________________</t>
        </is>
      </c>
    </row>
    <row r="7" ht="13" customHeight="1">
      <c r="A7" s="89" t="inlineStr">
        <is>
          <t>2. ____________________ : ____________________</t>
        </is>
      </c>
      <c r="P7" s="89" t="inlineStr">
        <is>
          <t>6. ____________________ : ____________________</t>
        </is>
      </c>
    </row>
    <row r="8" ht="13" customHeight="1">
      <c r="A8" s="89" t="inlineStr">
        <is>
          <t>3. ____________________ : ____________________</t>
        </is>
      </c>
      <c r="P8" s="89" t="inlineStr">
        <is>
          <t>7. ____________________ : ____________________</t>
        </is>
      </c>
    </row>
    <row r="9" ht="13" customHeight="1">
      <c r="A9" s="89" t="inlineStr">
        <is>
          <t>4. ____________________ : ____________________</t>
        </is>
      </c>
      <c r="P9" s="89" t="inlineStr">
        <is>
          <t>8. ____________________ : ____________________</t>
        </is>
      </c>
    </row>
    <row r="10" ht="5" customHeight="1"/>
    <row r="11" ht="15" customHeight="1">
      <c r="A11" s="88" t="inlineStr">
        <is>
          <t>NOTES:</t>
        </is>
      </c>
    </row>
    <row r="12" ht="13" customHeight="1">
      <c r="A12" s="90" t="n"/>
      <c r="B12" s="91" t="n"/>
      <c r="C12" s="91" t="n"/>
      <c r="D12" s="91" t="n"/>
      <c r="E12" s="91" t="n"/>
      <c r="F12" s="91" t="n"/>
      <c r="G12" s="91" t="n"/>
      <c r="H12" s="91" t="n"/>
      <c r="I12" s="91" t="n"/>
      <c r="J12" s="91" t="n"/>
      <c r="K12" s="91" t="n"/>
      <c r="L12" s="91" t="n"/>
      <c r="M12" s="91" t="n"/>
      <c r="N12" s="91" t="n"/>
      <c r="O12" s="91" t="n"/>
      <c r="P12" s="91" t="n"/>
      <c r="Q12" s="91" t="n"/>
      <c r="R12" s="91" t="n"/>
      <c r="S12" s="91" t="n"/>
      <c r="T12" s="91" t="n"/>
      <c r="U12" s="91" t="n"/>
      <c r="V12" s="91" t="n"/>
      <c r="W12" s="91" t="n"/>
      <c r="X12" s="91" t="n"/>
      <c r="Y12" s="91" t="n"/>
      <c r="Z12" s="91" t="n"/>
      <c r="AA12" s="91" t="n"/>
      <c r="AB12" s="91" t="n"/>
      <c r="AC12" s="91" t="n"/>
      <c r="AD12" s="91" t="n"/>
      <c r="AE12" s="91" t="n"/>
      <c r="AF12" s="91" t="n"/>
      <c r="AG12" s="91" t="n"/>
      <c r="AH12" s="91" t="n"/>
      <c r="AI12" s="91" t="n"/>
      <c r="AJ12" s="91" t="n"/>
      <c r="AK12" s="91" t="n"/>
      <c r="AL12" s="91" t="n"/>
    </row>
    <row r="13" ht="13" customHeight="1">
      <c r="A13" s="91" t="n"/>
      <c r="B13" s="91" t="n"/>
      <c r="C13" s="91" t="n"/>
      <c r="D13" s="91" t="n"/>
      <c r="E13" s="91" t="n"/>
      <c r="F13" s="91" t="n"/>
      <c r="G13" s="91" t="n"/>
      <c r="H13" s="91" t="n"/>
      <c r="I13" s="91" t="n"/>
      <c r="J13" s="91" t="n"/>
      <c r="K13" s="91" t="n"/>
      <c r="L13" s="91" t="n"/>
      <c r="M13" s="91" t="n"/>
      <c r="N13" s="91" t="n"/>
      <c r="O13" s="91" t="n"/>
      <c r="P13" s="91" t="n"/>
      <c r="Q13" s="91" t="n"/>
      <c r="R13" s="91" t="n"/>
      <c r="S13" s="91" t="n"/>
      <c r="T13" s="91" t="n"/>
      <c r="U13" s="91" t="n"/>
      <c r="V13" s="91" t="n"/>
      <c r="W13" s="91" t="n"/>
      <c r="X13" s="91" t="n"/>
      <c r="Y13" s="91" t="n"/>
      <c r="Z13" s="91" t="n"/>
      <c r="AA13" s="91" t="n"/>
      <c r="AB13" s="91" t="n"/>
      <c r="AC13" s="91" t="n"/>
      <c r="AD13" s="91" t="n"/>
      <c r="AE13" s="91" t="n"/>
      <c r="AF13" s="91" t="n"/>
      <c r="AG13" s="91" t="n"/>
      <c r="AH13" s="91" t="n"/>
      <c r="AI13" s="91" t="n"/>
      <c r="AJ13" s="91" t="n"/>
      <c r="AK13" s="91" t="n"/>
      <c r="AL13" s="91" t="n"/>
    </row>
    <row r="14" ht="13" customHeight="1">
      <c r="A14" s="91" t="n"/>
      <c r="B14" s="91" t="n"/>
      <c r="C14" s="91" t="n"/>
      <c r="D14" s="91" t="n"/>
      <c r="E14" s="91" t="n"/>
      <c r="F14" s="91" t="n"/>
      <c r="G14" s="91" t="n"/>
      <c r="H14" s="91" t="n"/>
      <c r="I14" s="91" t="n"/>
      <c r="J14" s="91" t="n"/>
      <c r="K14" s="91" t="n"/>
      <c r="L14" s="91" t="n"/>
      <c r="M14" s="91" t="n"/>
      <c r="N14" s="91" t="n"/>
      <c r="O14" s="91" t="n"/>
      <c r="P14" s="91" t="n"/>
      <c r="Q14" s="91" t="n"/>
      <c r="R14" s="91" t="n"/>
      <c r="S14" s="91" t="n"/>
      <c r="T14" s="91" t="n"/>
      <c r="U14" s="91" t="n"/>
      <c r="V14" s="91" t="n"/>
      <c r="W14" s="91" t="n"/>
      <c r="X14" s="91" t="n"/>
      <c r="Y14" s="91" t="n"/>
      <c r="Z14" s="91" t="n"/>
      <c r="AA14" s="91" t="n"/>
      <c r="AB14" s="91" t="n"/>
      <c r="AC14" s="91" t="n"/>
      <c r="AD14" s="91" t="n"/>
      <c r="AE14" s="91" t="n"/>
      <c r="AF14" s="91" t="n"/>
      <c r="AG14" s="91" t="n"/>
      <c r="AH14" s="91" t="n"/>
      <c r="AI14" s="91" t="n"/>
      <c r="AJ14" s="91" t="n"/>
      <c r="AK14" s="91" t="n"/>
      <c r="AL14" s="91" t="n"/>
    </row>
    <row r="15" ht="8" customHeight="1"/>
    <row r="16" ht="15" customHeight="1">
      <c r="A16" s="33" t="inlineStr">
        <is>
          <t>S.No.</t>
        </is>
      </c>
      <c r="B16" s="33" t="inlineStr">
        <is>
          <t>Protocols</t>
        </is>
      </c>
      <c r="C16" s="33" t="inlineStr">
        <is>
          <t>Category</t>
        </is>
      </c>
      <c r="D16" s="33" t="inlineStr">
        <is>
          <t>Target</t>
        </is>
      </c>
      <c r="E16" s="92" t="n">
        <v>1</v>
      </c>
      <c r="F16" s="92" t="n">
        <v>2</v>
      </c>
      <c r="G16" s="92" t="n">
        <v>3</v>
      </c>
      <c r="H16" s="92" t="n">
        <v>4</v>
      </c>
      <c r="I16" s="92" t="n">
        <v>5</v>
      </c>
      <c r="J16" s="92" t="n">
        <v>6</v>
      </c>
      <c r="K16" s="93" t="n">
        <v>7</v>
      </c>
      <c r="L16" s="92" t="n">
        <v>8</v>
      </c>
      <c r="M16" s="92" t="n">
        <v>9</v>
      </c>
      <c r="N16" s="92" t="n">
        <v>10</v>
      </c>
      <c r="O16" s="92" t="n">
        <v>11</v>
      </c>
      <c r="P16" s="92" t="n">
        <v>12</v>
      </c>
      <c r="Q16" s="92" t="n">
        <v>13</v>
      </c>
      <c r="R16" s="93" t="n">
        <v>14</v>
      </c>
      <c r="S16" s="92" t="n">
        <v>15</v>
      </c>
      <c r="T16" s="92" t="n">
        <v>16</v>
      </c>
      <c r="U16" s="92" t="n">
        <v>17</v>
      </c>
      <c r="V16" s="92" t="n">
        <v>18</v>
      </c>
      <c r="W16" s="92" t="n">
        <v>19</v>
      </c>
      <c r="X16" s="92" t="n">
        <v>20</v>
      </c>
      <c r="Y16" s="93" t="n">
        <v>21</v>
      </c>
      <c r="Z16" s="92" t="n">
        <v>22</v>
      </c>
      <c r="AA16" s="92" t="n">
        <v>23</v>
      </c>
      <c r="AB16" s="92" t="n">
        <v>24</v>
      </c>
      <c r="AC16" s="92" t="n">
        <v>25</v>
      </c>
      <c r="AD16" s="92" t="n">
        <v>26</v>
      </c>
      <c r="AE16" s="92" t="n">
        <v>27</v>
      </c>
      <c r="AF16" s="93" t="n">
        <v>28</v>
      </c>
      <c r="AG16" s="92" t="n">
        <v>29</v>
      </c>
      <c r="AH16" s="92" t="n">
        <v>30</v>
      </c>
      <c r="AI16" s="92" t="n">
        <v>31</v>
      </c>
      <c r="AJ16" s="94" t="inlineStr">
        <is>
          <t>Success %</t>
        </is>
      </c>
      <c r="AK16" s="94" t="inlineStr">
        <is>
          <t>Done / Target</t>
        </is>
      </c>
      <c r="AL16" s="94" t="inlineStr">
        <is>
          <t>Status</t>
        </is>
      </c>
      <c r="AM16" t="inlineStr">
        <is>
          <t>Done Count</t>
        </is>
      </c>
    </row>
    <row r="17" ht="15" customHeight="1">
      <c r="A17" s="54" t="n"/>
      <c r="B17" s="54" t="n"/>
      <c r="C17" s="54" t="n"/>
      <c r="D17" s="54" t="n"/>
      <c r="E17" s="95" t="inlineStr">
        <is>
          <t>M</t>
        </is>
      </c>
      <c r="F17" s="95" t="inlineStr">
        <is>
          <t>T</t>
        </is>
      </c>
      <c r="G17" s="95" t="inlineStr">
        <is>
          <t>W</t>
        </is>
      </c>
      <c r="H17" s="95" t="inlineStr">
        <is>
          <t>Th</t>
        </is>
      </c>
      <c r="I17" s="95" t="inlineStr">
        <is>
          <t>F</t>
        </is>
      </c>
      <c r="J17" s="95" t="inlineStr">
        <is>
          <t>Sa</t>
        </is>
      </c>
      <c r="K17" s="96" t="inlineStr">
        <is>
          <t>Su</t>
        </is>
      </c>
      <c r="L17" s="95" t="inlineStr">
        <is>
          <t>M</t>
        </is>
      </c>
      <c r="M17" s="95" t="inlineStr">
        <is>
          <t>T</t>
        </is>
      </c>
      <c r="N17" s="95" t="inlineStr">
        <is>
          <t>W</t>
        </is>
      </c>
      <c r="O17" s="95" t="inlineStr">
        <is>
          <t>Th</t>
        </is>
      </c>
      <c r="P17" s="95" t="inlineStr">
        <is>
          <t>F</t>
        </is>
      </c>
      <c r="Q17" s="95" t="inlineStr">
        <is>
          <t>Sa</t>
        </is>
      </c>
      <c r="R17" s="96" t="inlineStr">
        <is>
          <t>Su</t>
        </is>
      </c>
      <c r="S17" s="95" t="inlineStr">
        <is>
          <t>M</t>
        </is>
      </c>
      <c r="T17" s="95" t="inlineStr">
        <is>
          <t>T</t>
        </is>
      </c>
      <c r="U17" s="95" t="inlineStr">
        <is>
          <t>W</t>
        </is>
      </c>
      <c r="V17" s="95" t="inlineStr">
        <is>
          <t>Th</t>
        </is>
      </c>
      <c r="W17" s="95" t="inlineStr">
        <is>
          <t>F</t>
        </is>
      </c>
      <c r="X17" s="95" t="inlineStr">
        <is>
          <t>Sa</t>
        </is>
      </c>
      <c r="Y17" s="96" t="inlineStr">
        <is>
          <t>Su</t>
        </is>
      </c>
      <c r="Z17" s="95" t="inlineStr">
        <is>
          <t>M</t>
        </is>
      </c>
      <c r="AA17" s="95" t="inlineStr">
        <is>
          <t>T</t>
        </is>
      </c>
      <c r="AB17" s="95" t="inlineStr">
        <is>
          <t>W</t>
        </is>
      </c>
      <c r="AC17" s="95" t="inlineStr">
        <is>
          <t>Th</t>
        </is>
      </c>
      <c r="AD17" s="95" t="inlineStr">
        <is>
          <t>F</t>
        </is>
      </c>
      <c r="AE17" s="95" t="inlineStr">
        <is>
          <t>Sa</t>
        </is>
      </c>
      <c r="AF17" s="96" t="inlineStr">
        <is>
          <t>Su</t>
        </is>
      </c>
      <c r="AG17" s="95" t="inlineStr">
        <is>
          <t>M</t>
        </is>
      </c>
      <c r="AH17" s="95" t="inlineStr">
        <is>
          <t>T</t>
        </is>
      </c>
      <c r="AI17" s="95" t="inlineStr">
        <is>
          <t>W</t>
        </is>
      </c>
      <c r="AJ17" s="54" t="n"/>
      <c r="AK17" s="54" t="n"/>
      <c r="AL17" s="54" t="n"/>
    </row>
    <row r="18" ht="14.5" customHeight="1">
      <c r="A18" s="97" t="n">
        <v>1</v>
      </c>
      <c r="B18" s="98" t="n"/>
      <c r="C18" s="99" t="n"/>
      <c r="D18" s="99" t="n"/>
      <c r="E18" s="100" t="n"/>
      <c r="F18" s="100" t="n"/>
      <c r="G18" s="100" t="n"/>
      <c r="H18" s="100" t="n"/>
      <c r="I18" s="100" t="n"/>
      <c r="J18" s="100" t="n"/>
      <c r="K18" s="101" t="n"/>
      <c r="L18" s="100" t="n"/>
      <c r="M18" s="100" t="n"/>
      <c r="N18" s="100" t="n"/>
      <c r="O18" s="100" t="n"/>
      <c r="P18" s="100" t="n"/>
      <c r="Q18" s="100" t="n"/>
      <c r="R18" s="101" t="n"/>
      <c r="S18" s="100" t="n"/>
      <c r="T18" s="100" t="n"/>
      <c r="U18" s="100" t="n"/>
      <c r="V18" s="100" t="n"/>
      <c r="W18" s="100" t="n"/>
      <c r="X18" s="100" t="n"/>
      <c r="Y18" s="101" t="n"/>
      <c r="Z18" s="100" t="n"/>
      <c r="AA18" s="100" t="n"/>
      <c r="AB18" s="100" t="n"/>
      <c r="AC18" s="100" t="n"/>
      <c r="AD18" s="100" t="n"/>
      <c r="AE18" s="100" t="n"/>
      <c r="AF18" s="101" t="n"/>
      <c r="AG18" s="100" t="n"/>
      <c r="AH18" s="100" t="n"/>
      <c r="AI18" s="100" t="n"/>
      <c r="AJ18" s="102">
        <f>IF(ISBLANK(B18), "", IF(ISNUMBER(D18), IF(D18&gt;0, (COUNTIF(E18:AI18, "✓") + COUNTIF(E18:AI18, "✔") + COUNTIF(E18:AI18, "v") + COUNTIF(E18:AI18, "V"))/D18, 0), IF(((COUNTIF(E18:AI18, "✓") + COUNTIF(E18:AI18, "✔") + COUNTIF(E18:AI18, "v") + COUNTIF(E18:AI18, "V")) + COUNTIF(E18:AI18, "✗") + COUNTIF(E18:AI18, "x") + COUNTIF(E18:AI18, "X"))&gt;0, (COUNTIF(E18:AI18, "✓") + COUNTIF(E18:AI18, "✔") + COUNTIF(E18:AI18, "v") + COUNTIF(E18:AI18, "V"))/((COUNTIF(E18:AI18, "✓") + COUNTIF(E18:AI18, "✔") + COUNTIF(E18:AI18, "v") + COUNTIF(E18:AI18, "V")) + COUNTIF(E18:AI18, "✗") + COUNTIF(E18:AI18, "x") + COUNTIF(E18:AI18, "X")), "")))</f>
        <v/>
      </c>
      <c r="AK18" s="103">
        <f>IF(ISBLANK(B18), "", IF(ISNUMBER(D18), IF(D18&gt;0, (COUNTIF(E18:AI18, "✓") + COUNTIF(E18:AI18, "✔") + COUNTIF(E18:AI18, "v") + COUNTIF(E18:AI18, "V")) &amp; "/" &amp; D18, (COUNTIF(E18:AI18, "✓") + COUNTIF(E18:AI18, "✔") + COUNTIF(E18:AI18, "v") + COUNTIF(E18:AI18, "V")) &amp; "/0"), IF(((COUNTIF(E18:AI18, "✓") + COUNTIF(E18:AI18, "✔") + COUNTIF(E18:AI18, "v") + COUNTIF(E18:AI18, "V")) + COUNTIF(E18:AI18, "✗") + COUNTIF(E18:AI18, "x") + COUNTIF(E18:AI18, "X"))&gt;0, (COUNTIF(E18:AI18, "✓") + COUNTIF(E18:AI18, "✔") + COUNTIF(E18:AI18, "v") + COUNTIF(E18:AI18, "V")) &amp; "/" &amp; ((COUNTIF(E18:AI18, "✓") + COUNTIF(E18:AI18, "✔") + COUNTIF(E18:AI18, "v") + COUNTIF(E18:AI18, "V")) + COUNTIF(E18:AI18, "✗") + COUNTIF(E18:AI18, "x") + COUNTIF(E18:AI18, "X")), "")))</f>
        <v/>
      </c>
      <c r="AL18" s="103">
        <f>IF(ISBLANK(B18), "", IF(AJ18&gt;=0.85, "🔥 Mastered", IF(AJ18&gt;=0.7, "⚡ Consistent", "⚠️ Needs Focus")))</f>
        <v/>
      </c>
      <c r="AM18">
        <f>COUNTIF(E18:AI18, "✓")</f>
        <v/>
      </c>
    </row>
    <row r="19" ht="14.5" customHeight="1">
      <c r="A19" s="97" t="n">
        <v>2</v>
      </c>
      <c r="B19" s="98" t="n"/>
      <c r="C19" s="99" t="n"/>
      <c r="D19" s="99" t="n"/>
      <c r="E19" s="100" t="n"/>
      <c r="F19" s="100" t="n"/>
      <c r="G19" s="100" t="n"/>
      <c r="H19" s="100" t="n"/>
      <c r="I19" s="100" t="n"/>
      <c r="J19" s="100" t="n"/>
      <c r="K19" s="101" t="n"/>
      <c r="L19" s="100" t="n"/>
      <c r="M19" s="100" t="n"/>
      <c r="N19" s="100" t="n"/>
      <c r="O19" s="100" t="n"/>
      <c r="P19" s="100" t="n"/>
      <c r="Q19" s="100" t="n"/>
      <c r="R19" s="101" t="n"/>
      <c r="S19" s="100" t="n"/>
      <c r="T19" s="100" t="n"/>
      <c r="U19" s="100" t="n"/>
      <c r="V19" s="100" t="n"/>
      <c r="W19" s="100" t="n"/>
      <c r="X19" s="100" t="n"/>
      <c r="Y19" s="101" t="n"/>
      <c r="Z19" s="100" t="n"/>
      <c r="AA19" s="100" t="n"/>
      <c r="AB19" s="100" t="n"/>
      <c r="AC19" s="100" t="n"/>
      <c r="AD19" s="100" t="n"/>
      <c r="AE19" s="100" t="n"/>
      <c r="AF19" s="101" t="n"/>
      <c r="AG19" s="100" t="n"/>
      <c r="AH19" s="100" t="n"/>
      <c r="AI19" s="100" t="n"/>
      <c r="AJ19" s="102">
        <f>IF(ISBLANK(B19), "", IF(ISNUMBER(D19), IF(D19&gt;0, (COUNTIF(E19:AI19, "✓") + COUNTIF(E19:AI19, "✔") + COUNTIF(E19:AI19, "v") + COUNTIF(E19:AI19, "V"))/D19, 0), IF(((COUNTIF(E19:AI19, "✓") + COUNTIF(E19:AI19, "✔") + COUNTIF(E19:AI19, "v") + COUNTIF(E19:AI19, "V")) + COUNTIF(E19:AI19, "✗") + COUNTIF(E19:AI19, "x") + COUNTIF(E19:AI19, "X"))&gt;0, (COUNTIF(E19:AI19, "✓") + COUNTIF(E19:AI19, "✔") + COUNTIF(E19:AI19, "v") + COUNTIF(E19:AI19, "V"))/((COUNTIF(E19:AI19, "✓") + COUNTIF(E19:AI19, "✔") + COUNTIF(E19:AI19, "v") + COUNTIF(E19:AI19, "V")) + COUNTIF(E19:AI19, "✗") + COUNTIF(E19:AI19, "x") + COUNTIF(E19:AI19, "X")), "")))</f>
        <v/>
      </c>
      <c r="AK19" s="103">
        <f>IF(ISBLANK(B19), "", IF(ISNUMBER(D19), IF(D19&gt;0, (COUNTIF(E19:AI19, "✓") + COUNTIF(E19:AI19, "✔") + COUNTIF(E19:AI19, "v") + COUNTIF(E19:AI19, "V")) &amp; "/" &amp; D19, (COUNTIF(E19:AI19, "✓") + COUNTIF(E19:AI19, "✔") + COUNTIF(E19:AI19, "v") + COUNTIF(E19:AI19, "V")) &amp; "/0"), IF(((COUNTIF(E19:AI19, "✓") + COUNTIF(E19:AI19, "✔") + COUNTIF(E19:AI19, "v") + COUNTIF(E19:AI19, "V")) + COUNTIF(E19:AI19, "✗") + COUNTIF(E19:AI19, "x") + COUNTIF(E19:AI19, "X"))&gt;0, (COUNTIF(E19:AI19, "✓") + COUNTIF(E19:AI19, "✔") + COUNTIF(E19:AI19, "v") + COUNTIF(E19:AI19, "V")) &amp; "/" &amp; ((COUNTIF(E19:AI19, "✓") + COUNTIF(E19:AI19, "✔") + COUNTIF(E19:AI19, "v") + COUNTIF(E19:AI19, "V")) + COUNTIF(E19:AI19, "✗") + COUNTIF(E19:AI19, "x") + COUNTIF(E19:AI19, "X")), "")))</f>
        <v/>
      </c>
      <c r="AL19" s="103">
        <f>IF(ISBLANK(B19), "", IF(AJ19&gt;=0.85, "🔥 Mastered", IF(AJ19&gt;=0.7, "⚡ Consistent", "⚠️ Needs Focus")))</f>
        <v/>
      </c>
      <c r="AM19">
        <f>COUNTIF(E19:AI19, "✓")</f>
        <v/>
      </c>
    </row>
    <row r="20" ht="14.5" customHeight="1">
      <c r="A20" s="97" t="n">
        <v>3</v>
      </c>
      <c r="B20" s="98" t="n"/>
      <c r="C20" s="99" t="n"/>
      <c r="D20" s="99" t="n"/>
      <c r="E20" s="100" t="n"/>
      <c r="F20" s="100" t="n"/>
      <c r="G20" s="100" t="n"/>
      <c r="H20" s="100" t="n"/>
      <c r="I20" s="100" t="n"/>
      <c r="J20" s="100" t="n"/>
      <c r="K20" s="101" t="n"/>
      <c r="L20" s="100" t="n"/>
      <c r="M20" s="100" t="n"/>
      <c r="N20" s="100" t="n"/>
      <c r="O20" s="100" t="n"/>
      <c r="P20" s="100" t="n"/>
      <c r="Q20" s="100" t="n"/>
      <c r="R20" s="101" t="n"/>
      <c r="S20" s="100" t="n"/>
      <c r="T20" s="100" t="n"/>
      <c r="U20" s="100" t="n"/>
      <c r="V20" s="100" t="n"/>
      <c r="W20" s="100" t="n"/>
      <c r="X20" s="100" t="n"/>
      <c r="Y20" s="101" t="n"/>
      <c r="Z20" s="100" t="n"/>
      <c r="AA20" s="100" t="n"/>
      <c r="AB20" s="100" t="n"/>
      <c r="AC20" s="100" t="n"/>
      <c r="AD20" s="100" t="n"/>
      <c r="AE20" s="100" t="n"/>
      <c r="AF20" s="101" t="n"/>
      <c r="AG20" s="100" t="n"/>
      <c r="AH20" s="100" t="n"/>
      <c r="AI20" s="100" t="n"/>
      <c r="AJ20" s="102">
        <f>IF(ISBLANK(B20), "", IF(ISNUMBER(D20), IF(D20&gt;0, (COUNTIF(E20:AI20, "✓") + COUNTIF(E20:AI20, "✔") + COUNTIF(E20:AI20, "v") + COUNTIF(E20:AI20, "V"))/D20, 0), IF(((COUNTIF(E20:AI20, "✓") + COUNTIF(E20:AI20, "✔") + COUNTIF(E20:AI20, "v") + COUNTIF(E20:AI20, "V")) + COUNTIF(E20:AI20, "✗") + COUNTIF(E20:AI20, "x") + COUNTIF(E20:AI20, "X"))&gt;0, (COUNTIF(E20:AI20, "✓") + COUNTIF(E20:AI20, "✔") + COUNTIF(E20:AI20, "v") + COUNTIF(E20:AI20, "V"))/((COUNTIF(E20:AI20, "✓") + COUNTIF(E20:AI20, "✔") + COUNTIF(E20:AI20, "v") + COUNTIF(E20:AI20, "V")) + COUNTIF(E20:AI20, "✗") + COUNTIF(E20:AI20, "x") + COUNTIF(E20:AI20, "X")), "")))</f>
        <v/>
      </c>
      <c r="AK20" s="103">
        <f>IF(ISBLANK(B20), "", IF(ISNUMBER(D20), IF(D20&gt;0, (COUNTIF(E20:AI20, "✓") + COUNTIF(E20:AI20, "✔") + COUNTIF(E20:AI20, "v") + COUNTIF(E20:AI20, "V")) &amp; "/" &amp; D20, (COUNTIF(E20:AI20, "✓") + COUNTIF(E20:AI20, "✔") + COUNTIF(E20:AI20, "v") + COUNTIF(E20:AI20, "V")) &amp; "/0"), IF(((COUNTIF(E20:AI20, "✓") + COUNTIF(E20:AI20, "✔") + COUNTIF(E20:AI20, "v") + COUNTIF(E20:AI20, "V")) + COUNTIF(E20:AI20, "✗") + COUNTIF(E20:AI20, "x") + COUNTIF(E20:AI20, "X"))&gt;0, (COUNTIF(E20:AI20, "✓") + COUNTIF(E20:AI20, "✔") + COUNTIF(E20:AI20, "v") + COUNTIF(E20:AI20, "V")) &amp; "/" &amp; ((COUNTIF(E20:AI20, "✓") + COUNTIF(E20:AI20, "✔") + COUNTIF(E20:AI20, "v") + COUNTIF(E20:AI20, "V")) + COUNTIF(E20:AI20, "✗") + COUNTIF(E20:AI20, "x") + COUNTIF(E20:AI20, "X")), "")))</f>
        <v/>
      </c>
      <c r="AL20" s="103">
        <f>IF(ISBLANK(B20), "", IF(AJ20&gt;=0.85, "🔥 Mastered", IF(AJ20&gt;=0.7, "⚡ Consistent", "⚠️ Needs Focus")))</f>
        <v/>
      </c>
      <c r="AM20">
        <f>COUNTIF(E20:AI20, "✓")</f>
        <v/>
      </c>
    </row>
    <row r="21" ht="14.5" customHeight="1">
      <c r="A21" s="97" t="n">
        <v>4</v>
      </c>
      <c r="B21" s="98" t="n"/>
      <c r="C21" s="99" t="n"/>
      <c r="D21" s="99" t="n"/>
      <c r="E21" s="100" t="n"/>
      <c r="F21" s="100" t="n"/>
      <c r="G21" s="100" t="n"/>
      <c r="H21" s="100" t="n"/>
      <c r="I21" s="100" t="n"/>
      <c r="J21" s="100" t="n"/>
      <c r="K21" s="101" t="n"/>
      <c r="L21" s="100" t="n"/>
      <c r="M21" s="100" t="n"/>
      <c r="N21" s="100" t="n"/>
      <c r="O21" s="100" t="n"/>
      <c r="P21" s="100" t="n"/>
      <c r="Q21" s="100" t="n"/>
      <c r="R21" s="101" t="n"/>
      <c r="S21" s="100" t="n"/>
      <c r="T21" s="100" t="n"/>
      <c r="U21" s="100" t="n"/>
      <c r="V21" s="100" t="n"/>
      <c r="W21" s="100" t="n"/>
      <c r="X21" s="100" t="n"/>
      <c r="Y21" s="101" t="n"/>
      <c r="Z21" s="100" t="n"/>
      <c r="AA21" s="100" t="n"/>
      <c r="AB21" s="100" t="n"/>
      <c r="AC21" s="100" t="n"/>
      <c r="AD21" s="100" t="n"/>
      <c r="AE21" s="100" t="n"/>
      <c r="AF21" s="101" t="n"/>
      <c r="AG21" s="100" t="n"/>
      <c r="AH21" s="100" t="n"/>
      <c r="AI21" s="100" t="n"/>
      <c r="AJ21" s="102">
        <f>IF(ISBLANK(B21), "", IF(ISNUMBER(D21), IF(D21&gt;0, (COUNTIF(E21:AI21, "✓") + COUNTIF(E21:AI21, "✔") + COUNTIF(E21:AI21, "v") + COUNTIF(E21:AI21, "V"))/D21, 0), IF(((COUNTIF(E21:AI21, "✓") + COUNTIF(E21:AI21, "✔") + COUNTIF(E21:AI21, "v") + COUNTIF(E21:AI21, "V")) + COUNTIF(E21:AI21, "✗") + COUNTIF(E21:AI21, "x") + COUNTIF(E21:AI21, "X"))&gt;0, (COUNTIF(E21:AI21, "✓") + COUNTIF(E21:AI21, "✔") + COUNTIF(E21:AI21, "v") + COUNTIF(E21:AI21, "V"))/((COUNTIF(E21:AI21, "✓") + COUNTIF(E21:AI21, "✔") + COUNTIF(E21:AI21, "v") + COUNTIF(E21:AI21, "V")) + COUNTIF(E21:AI21, "✗") + COUNTIF(E21:AI21, "x") + COUNTIF(E21:AI21, "X")), "")))</f>
        <v/>
      </c>
      <c r="AK21" s="103">
        <f>IF(ISBLANK(B21), "", IF(ISNUMBER(D21), IF(D21&gt;0, (COUNTIF(E21:AI21, "✓") + COUNTIF(E21:AI21, "✔") + COUNTIF(E21:AI21, "v") + COUNTIF(E21:AI21, "V")) &amp; "/" &amp; D21, (COUNTIF(E21:AI21, "✓") + COUNTIF(E21:AI21, "✔") + COUNTIF(E21:AI21, "v") + COUNTIF(E21:AI21, "V")) &amp; "/0"), IF(((COUNTIF(E21:AI21, "✓") + COUNTIF(E21:AI21, "✔") + COUNTIF(E21:AI21, "v") + COUNTIF(E21:AI21, "V")) + COUNTIF(E21:AI21, "✗") + COUNTIF(E21:AI21, "x") + COUNTIF(E21:AI21, "X"))&gt;0, (COUNTIF(E21:AI21, "✓") + COUNTIF(E21:AI21, "✔") + COUNTIF(E21:AI21, "v") + COUNTIF(E21:AI21, "V")) &amp; "/" &amp; ((COUNTIF(E21:AI21, "✓") + COUNTIF(E21:AI21, "✔") + COUNTIF(E21:AI21, "v") + COUNTIF(E21:AI21, "V")) + COUNTIF(E21:AI21, "✗") + COUNTIF(E21:AI21, "x") + COUNTIF(E21:AI21, "X")), "")))</f>
        <v/>
      </c>
      <c r="AL21" s="103">
        <f>IF(ISBLANK(B21), "", IF(AJ21&gt;=0.85, "🔥 Mastered", IF(AJ21&gt;=0.7, "⚡ Consistent", "⚠️ Needs Focus")))</f>
        <v/>
      </c>
      <c r="AM21">
        <f>COUNTIF(E21:AI21, "✓")</f>
        <v/>
      </c>
    </row>
    <row r="22" ht="14.5" customHeight="1">
      <c r="A22" s="104" t="n">
        <v>5</v>
      </c>
      <c r="B22" s="105" t="n"/>
      <c r="C22" s="106" t="n"/>
      <c r="D22" s="106" t="n"/>
      <c r="E22" s="107" t="n"/>
      <c r="F22" s="107" t="n"/>
      <c r="G22" s="107" t="n"/>
      <c r="H22" s="107" t="n"/>
      <c r="I22" s="107" t="n"/>
      <c r="J22" s="107" t="n"/>
      <c r="K22" s="108" t="n"/>
      <c r="L22" s="107" t="n"/>
      <c r="M22" s="107" t="n"/>
      <c r="N22" s="107" t="n"/>
      <c r="O22" s="107" t="n"/>
      <c r="P22" s="107" t="n"/>
      <c r="Q22" s="107" t="n"/>
      <c r="R22" s="108" t="n"/>
      <c r="S22" s="107" t="n"/>
      <c r="T22" s="107" t="n"/>
      <c r="U22" s="107" t="n"/>
      <c r="V22" s="107" t="n"/>
      <c r="W22" s="107" t="n"/>
      <c r="X22" s="107" t="n"/>
      <c r="Y22" s="108" t="n"/>
      <c r="Z22" s="107" t="n"/>
      <c r="AA22" s="107" t="n"/>
      <c r="AB22" s="107" t="n"/>
      <c r="AC22" s="107" t="n"/>
      <c r="AD22" s="107" t="n"/>
      <c r="AE22" s="107" t="n"/>
      <c r="AF22" s="108" t="n"/>
      <c r="AG22" s="107" t="n"/>
      <c r="AH22" s="107" t="n"/>
      <c r="AI22" s="107" t="n"/>
      <c r="AJ22" s="109">
        <f>IF(ISBLANK(B22), "", IF(ISNUMBER(D22), IF(D22&gt;0, (COUNTIF(E22:AI22, "✓") + COUNTIF(E22:AI22, "✔") + COUNTIF(E22:AI22, "v") + COUNTIF(E22:AI22, "V"))/D22, 0), IF(((COUNTIF(E22:AI22, "✓") + COUNTIF(E22:AI22, "✔") + COUNTIF(E22:AI22, "v") + COUNTIF(E22:AI22, "V")) + COUNTIF(E22:AI22, "✗") + COUNTIF(E22:AI22, "x") + COUNTIF(E22:AI22, "X"))&gt;0, (COUNTIF(E22:AI22, "✓") + COUNTIF(E22:AI22, "✔") + COUNTIF(E22:AI22, "v") + COUNTIF(E22:AI22, "V"))/((COUNTIF(E22:AI22, "✓") + COUNTIF(E22:AI22, "✔") + COUNTIF(E22:AI22, "v") + COUNTIF(E22:AI22, "V")) + COUNTIF(E22:AI22, "✗") + COUNTIF(E22:AI22, "x") + COUNTIF(E22:AI22, "X")), "")))</f>
        <v/>
      </c>
      <c r="AK22" s="110">
        <f>IF(ISBLANK(B22), "", IF(ISNUMBER(D22), IF(D22&gt;0, (COUNTIF(E22:AI22, "✓") + COUNTIF(E22:AI22, "✔") + COUNTIF(E22:AI22, "v") + COUNTIF(E22:AI22, "V")) &amp; "/" &amp; D22, (COUNTIF(E22:AI22, "✓") + COUNTIF(E22:AI22, "✔") + COUNTIF(E22:AI22, "v") + COUNTIF(E22:AI22, "V")) &amp; "/0"), IF(((COUNTIF(E22:AI22, "✓") + COUNTIF(E22:AI22, "✔") + COUNTIF(E22:AI22, "v") + COUNTIF(E22:AI22, "V")) + COUNTIF(E22:AI22, "✗") + COUNTIF(E22:AI22, "x") + COUNTIF(E22:AI22, "X"))&gt;0, (COUNTIF(E22:AI22, "✓") + COUNTIF(E22:AI22, "✔") + COUNTIF(E22:AI22, "v") + COUNTIF(E22:AI22, "V")) &amp; "/" &amp; ((COUNTIF(E22:AI22, "✓") + COUNTIF(E22:AI22, "✔") + COUNTIF(E22:AI22, "v") + COUNTIF(E22:AI22, "V")) + COUNTIF(E22:AI22, "✗") + COUNTIF(E22:AI22, "x") + COUNTIF(E22:AI22, "X")), "")))</f>
        <v/>
      </c>
      <c r="AL22" s="110">
        <f>IF(ISBLANK(B22), "", IF(AJ22&gt;=0.85, "🔥 Mastered", IF(AJ22&gt;=0.7, "⚡ Consistent", "⚠️ Needs Focus")))</f>
        <v/>
      </c>
      <c r="AM22">
        <f>COUNTIF(E22:AI22, "✓")</f>
        <v/>
      </c>
    </row>
    <row r="23" ht="14.5" customHeight="1">
      <c r="A23" s="104" t="n">
        <v>6</v>
      </c>
      <c r="B23" s="105" t="n"/>
      <c r="C23" s="106" t="n"/>
      <c r="D23" s="106" t="n"/>
      <c r="E23" s="107" t="n"/>
      <c r="F23" s="107" t="n"/>
      <c r="G23" s="107" t="n"/>
      <c r="H23" s="107" t="n"/>
      <c r="I23" s="107" t="n"/>
      <c r="J23" s="107" t="n"/>
      <c r="K23" s="108" t="n"/>
      <c r="L23" s="107" t="n"/>
      <c r="M23" s="107" t="n"/>
      <c r="N23" s="107" t="n"/>
      <c r="O23" s="107" t="n"/>
      <c r="P23" s="107" t="n"/>
      <c r="Q23" s="107" t="n"/>
      <c r="R23" s="108" t="n"/>
      <c r="S23" s="107" t="n"/>
      <c r="T23" s="107" t="n"/>
      <c r="U23" s="107" t="n"/>
      <c r="V23" s="107" t="n"/>
      <c r="W23" s="107" t="n"/>
      <c r="X23" s="107" t="n"/>
      <c r="Y23" s="108" t="n"/>
      <c r="Z23" s="107" t="n"/>
      <c r="AA23" s="107" t="n"/>
      <c r="AB23" s="107" t="n"/>
      <c r="AC23" s="107" t="n"/>
      <c r="AD23" s="107" t="n"/>
      <c r="AE23" s="107" t="n"/>
      <c r="AF23" s="108" t="n"/>
      <c r="AG23" s="107" t="n"/>
      <c r="AH23" s="107" t="n"/>
      <c r="AI23" s="107" t="n"/>
      <c r="AJ23" s="109">
        <f>IF(ISBLANK(B23), "", IF(ISNUMBER(D23), IF(D23&gt;0, (COUNTIF(E23:AI23, "✓") + COUNTIF(E23:AI23, "✔") + COUNTIF(E23:AI23, "v") + COUNTIF(E23:AI23, "V"))/D23, 0), IF(((COUNTIF(E23:AI23, "✓") + COUNTIF(E23:AI23, "✔") + COUNTIF(E23:AI23, "v") + COUNTIF(E23:AI23, "V")) + COUNTIF(E23:AI23, "✗") + COUNTIF(E23:AI23, "x") + COUNTIF(E23:AI23, "X"))&gt;0, (COUNTIF(E23:AI23, "✓") + COUNTIF(E23:AI23, "✔") + COUNTIF(E23:AI23, "v") + COUNTIF(E23:AI23, "V"))/((COUNTIF(E23:AI23, "✓") + COUNTIF(E23:AI23, "✔") + COUNTIF(E23:AI23, "v") + COUNTIF(E23:AI23, "V")) + COUNTIF(E23:AI23, "✗") + COUNTIF(E23:AI23, "x") + COUNTIF(E23:AI23, "X")), "")))</f>
        <v/>
      </c>
      <c r="AK23" s="110">
        <f>IF(ISBLANK(B23), "", IF(ISNUMBER(D23), IF(D23&gt;0, (COUNTIF(E23:AI23, "✓") + COUNTIF(E23:AI23, "✔") + COUNTIF(E23:AI23, "v") + COUNTIF(E23:AI23, "V")) &amp; "/" &amp; D23, (COUNTIF(E23:AI23, "✓") + COUNTIF(E23:AI23, "✔") + COUNTIF(E23:AI23, "v") + COUNTIF(E23:AI23, "V")) &amp; "/0"), IF(((COUNTIF(E23:AI23, "✓") + COUNTIF(E23:AI23, "✔") + COUNTIF(E23:AI23, "v") + COUNTIF(E23:AI23, "V")) + COUNTIF(E23:AI23, "✗") + COUNTIF(E23:AI23, "x") + COUNTIF(E23:AI23, "X"))&gt;0, (COUNTIF(E23:AI23, "✓") + COUNTIF(E23:AI23, "✔") + COUNTIF(E23:AI23, "v") + COUNTIF(E23:AI23, "V")) &amp; "/" &amp; ((COUNTIF(E23:AI23, "✓") + COUNTIF(E23:AI23, "✔") + COUNTIF(E23:AI23, "v") + COUNTIF(E23:AI23, "V")) + COUNTIF(E23:AI23, "✗") + COUNTIF(E23:AI23, "x") + COUNTIF(E23:AI23, "X")), "")))</f>
        <v/>
      </c>
      <c r="AL23" s="110">
        <f>IF(ISBLANK(B23), "", IF(AJ23&gt;=0.85, "🔥 Mastered", IF(AJ23&gt;=0.7, "⚡ Consistent", "⚠️ Needs Focus")))</f>
        <v/>
      </c>
      <c r="AM23">
        <f>COUNTIF(E23:AI23, "✓")</f>
        <v/>
      </c>
    </row>
    <row r="24" ht="14.5" customHeight="1">
      <c r="A24" s="104" t="n">
        <v>7</v>
      </c>
      <c r="B24" s="105" t="n"/>
      <c r="C24" s="106" t="n"/>
      <c r="D24" s="106" t="n"/>
      <c r="E24" s="107" t="n"/>
      <c r="F24" s="107" t="n"/>
      <c r="G24" s="107" t="n"/>
      <c r="H24" s="107" t="n"/>
      <c r="I24" s="107" t="n"/>
      <c r="J24" s="107" t="n"/>
      <c r="K24" s="108" t="n"/>
      <c r="L24" s="107" t="n"/>
      <c r="M24" s="107" t="n"/>
      <c r="N24" s="107" t="n"/>
      <c r="O24" s="107" t="n"/>
      <c r="P24" s="107" t="n"/>
      <c r="Q24" s="107" t="n"/>
      <c r="R24" s="108" t="n"/>
      <c r="S24" s="107" t="n"/>
      <c r="T24" s="107" t="n"/>
      <c r="U24" s="107" t="n"/>
      <c r="V24" s="107" t="n"/>
      <c r="W24" s="107" t="n"/>
      <c r="X24" s="107" t="n"/>
      <c r="Y24" s="108" t="n"/>
      <c r="Z24" s="107" t="n"/>
      <c r="AA24" s="107" t="n"/>
      <c r="AB24" s="107" t="n"/>
      <c r="AC24" s="107" t="n"/>
      <c r="AD24" s="107" t="n"/>
      <c r="AE24" s="107" t="n"/>
      <c r="AF24" s="108" t="n"/>
      <c r="AG24" s="107" t="n"/>
      <c r="AH24" s="107" t="n"/>
      <c r="AI24" s="107" t="n"/>
      <c r="AJ24" s="109">
        <f>IF(ISBLANK(B24), "", IF(ISNUMBER(D24), IF(D24&gt;0, (COUNTIF(E24:AI24, "✓") + COUNTIF(E24:AI24, "✔") + COUNTIF(E24:AI24, "v") + COUNTIF(E24:AI24, "V"))/D24, 0), IF(((COUNTIF(E24:AI24, "✓") + COUNTIF(E24:AI24, "✔") + COUNTIF(E24:AI24, "v") + COUNTIF(E24:AI24, "V")) + COUNTIF(E24:AI24, "✗") + COUNTIF(E24:AI24, "x") + COUNTIF(E24:AI24, "X"))&gt;0, (COUNTIF(E24:AI24, "✓") + COUNTIF(E24:AI24, "✔") + COUNTIF(E24:AI24, "v") + COUNTIF(E24:AI24, "V"))/((COUNTIF(E24:AI24, "✓") + COUNTIF(E24:AI24, "✔") + COUNTIF(E24:AI24, "v") + COUNTIF(E24:AI24, "V")) + COUNTIF(E24:AI24, "✗") + COUNTIF(E24:AI24, "x") + COUNTIF(E24:AI24, "X")), "")))</f>
        <v/>
      </c>
      <c r="AK24" s="110">
        <f>IF(ISBLANK(B24), "", IF(ISNUMBER(D24), IF(D24&gt;0, (COUNTIF(E24:AI24, "✓") + COUNTIF(E24:AI24, "✔") + COUNTIF(E24:AI24, "v") + COUNTIF(E24:AI24, "V")) &amp; "/" &amp; D24, (COUNTIF(E24:AI24, "✓") + COUNTIF(E24:AI24, "✔") + COUNTIF(E24:AI24, "v") + COUNTIF(E24:AI24, "V")) &amp; "/0"), IF(((COUNTIF(E24:AI24, "✓") + COUNTIF(E24:AI24, "✔") + COUNTIF(E24:AI24, "v") + COUNTIF(E24:AI24, "V")) + COUNTIF(E24:AI24, "✗") + COUNTIF(E24:AI24, "x") + COUNTIF(E24:AI24, "X"))&gt;0, (COUNTIF(E24:AI24, "✓") + COUNTIF(E24:AI24, "✔") + COUNTIF(E24:AI24, "v") + COUNTIF(E24:AI24, "V")) &amp; "/" &amp; ((COUNTIF(E24:AI24, "✓") + COUNTIF(E24:AI24, "✔") + COUNTIF(E24:AI24, "v") + COUNTIF(E24:AI24, "V")) + COUNTIF(E24:AI24, "✗") + COUNTIF(E24:AI24, "x") + COUNTIF(E24:AI24, "X")), "")))</f>
        <v/>
      </c>
      <c r="AL24" s="110">
        <f>IF(ISBLANK(B24), "", IF(AJ24&gt;=0.85, "🔥 Mastered", IF(AJ24&gt;=0.7, "⚡ Consistent", "⚠️ Needs Focus")))</f>
        <v/>
      </c>
      <c r="AM24">
        <f>COUNTIF(E24:AI24, "✓")</f>
        <v/>
      </c>
    </row>
    <row r="25" ht="14.5" customHeight="1">
      <c r="A25" s="104" t="n">
        <v>8</v>
      </c>
      <c r="B25" s="105" t="n"/>
      <c r="C25" s="106" t="n"/>
      <c r="D25" s="106" t="n"/>
      <c r="E25" s="107" t="n"/>
      <c r="F25" s="107" t="n"/>
      <c r="G25" s="107" t="n"/>
      <c r="H25" s="107" t="n"/>
      <c r="I25" s="107" t="n"/>
      <c r="J25" s="107" t="n"/>
      <c r="K25" s="108" t="n"/>
      <c r="L25" s="107" t="n"/>
      <c r="M25" s="107" t="n"/>
      <c r="N25" s="107" t="n"/>
      <c r="O25" s="107" t="n"/>
      <c r="P25" s="107" t="n"/>
      <c r="Q25" s="107" t="n"/>
      <c r="R25" s="108" t="n"/>
      <c r="S25" s="107" t="n"/>
      <c r="T25" s="107" t="n"/>
      <c r="U25" s="107" t="n"/>
      <c r="V25" s="107" t="n"/>
      <c r="W25" s="107" t="n"/>
      <c r="X25" s="107" t="n"/>
      <c r="Y25" s="108" t="n"/>
      <c r="Z25" s="107" t="n"/>
      <c r="AA25" s="107" t="n"/>
      <c r="AB25" s="107" t="n"/>
      <c r="AC25" s="107" t="n"/>
      <c r="AD25" s="107" t="n"/>
      <c r="AE25" s="107" t="n"/>
      <c r="AF25" s="108" t="n"/>
      <c r="AG25" s="107" t="n"/>
      <c r="AH25" s="107" t="n"/>
      <c r="AI25" s="107" t="n"/>
      <c r="AJ25" s="109">
        <f>IF(ISBLANK(B25), "", IF(ISNUMBER(D25), IF(D25&gt;0, (COUNTIF(E25:AI25, "✓") + COUNTIF(E25:AI25, "✔") + COUNTIF(E25:AI25, "v") + COUNTIF(E25:AI25, "V"))/D25, 0), IF(((COUNTIF(E25:AI25, "✓") + COUNTIF(E25:AI25, "✔") + COUNTIF(E25:AI25, "v") + COUNTIF(E25:AI25, "V")) + COUNTIF(E25:AI25, "✗") + COUNTIF(E25:AI25, "x") + COUNTIF(E25:AI25, "X"))&gt;0, (COUNTIF(E25:AI25, "✓") + COUNTIF(E25:AI25, "✔") + COUNTIF(E25:AI25, "v") + COUNTIF(E25:AI25, "V"))/((COUNTIF(E25:AI25, "✓") + COUNTIF(E25:AI25, "✔") + COUNTIF(E25:AI25, "v") + COUNTIF(E25:AI25, "V")) + COUNTIF(E25:AI25, "✗") + COUNTIF(E25:AI25, "x") + COUNTIF(E25:AI25, "X")), "")))</f>
        <v/>
      </c>
      <c r="AK25" s="110">
        <f>IF(ISBLANK(B25), "", IF(ISNUMBER(D25), IF(D25&gt;0, (COUNTIF(E25:AI25, "✓") + COUNTIF(E25:AI25, "✔") + COUNTIF(E25:AI25, "v") + COUNTIF(E25:AI25, "V")) &amp; "/" &amp; D25, (COUNTIF(E25:AI25, "✓") + COUNTIF(E25:AI25, "✔") + COUNTIF(E25:AI25, "v") + COUNTIF(E25:AI25, "V")) &amp; "/0"), IF(((COUNTIF(E25:AI25, "✓") + COUNTIF(E25:AI25, "✔") + COUNTIF(E25:AI25, "v") + COUNTIF(E25:AI25, "V")) + COUNTIF(E25:AI25, "✗") + COUNTIF(E25:AI25, "x") + COUNTIF(E25:AI25, "X"))&gt;0, (COUNTIF(E25:AI25, "✓") + COUNTIF(E25:AI25, "✔") + COUNTIF(E25:AI25, "v") + COUNTIF(E25:AI25, "V")) &amp; "/" &amp; ((COUNTIF(E25:AI25, "✓") + COUNTIF(E25:AI25, "✔") + COUNTIF(E25:AI25, "v") + COUNTIF(E25:AI25, "V")) + COUNTIF(E25:AI25, "✗") + COUNTIF(E25:AI25, "x") + COUNTIF(E25:AI25, "X")), "")))</f>
        <v/>
      </c>
      <c r="AL25" s="110">
        <f>IF(ISBLANK(B25), "", IF(AJ25&gt;=0.85, "🔥 Mastered", IF(AJ25&gt;=0.7, "⚡ Consistent", "⚠️ Needs Focus")))</f>
        <v/>
      </c>
      <c r="AM25">
        <f>COUNTIF(E25:AI25, "✓")</f>
        <v/>
      </c>
    </row>
    <row r="26" ht="14.5" customHeight="1">
      <c r="A26" s="111" t="n">
        <v>9</v>
      </c>
      <c r="B26" s="112" t="n"/>
      <c r="C26" s="113" t="n"/>
      <c r="D26" s="113" t="n"/>
      <c r="E26" s="114" t="n"/>
      <c r="F26" s="114" t="n"/>
      <c r="G26" s="114" t="n"/>
      <c r="H26" s="114" t="n"/>
      <c r="I26" s="114" t="n"/>
      <c r="J26" s="114" t="n"/>
      <c r="K26" s="115" t="n"/>
      <c r="L26" s="114" t="n"/>
      <c r="M26" s="114" t="n"/>
      <c r="N26" s="114" t="n"/>
      <c r="O26" s="114" t="n"/>
      <c r="P26" s="114" t="n"/>
      <c r="Q26" s="114" t="n"/>
      <c r="R26" s="115" t="n"/>
      <c r="S26" s="114" t="n"/>
      <c r="T26" s="114" t="n"/>
      <c r="U26" s="114" t="n"/>
      <c r="V26" s="114" t="n"/>
      <c r="W26" s="114" t="n"/>
      <c r="X26" s="114" t="n"/>
      <c r="Y26" s="115" t="n"/>
      <c r="Z26" s="114" t="n"/>
      <c r="AA26" s="114" t="n"/>
      <c r="AB26" s="114" t="n"/>
      <c r="AC26" s="114" t="n"/>
      <c r="AD26" s="114" t="n"/>
      <c r="AE26" s="114" t="n"/>
      <c r="AF26" s="115" t="n"/>
      <c r="AG26" s="114" t="n"/>
      <c r="AH26" s="114" t="n"/>
      <c r="AI26" s="114" t="n"/>
      <c r="AJ26" s="116">
        <f>IF(ISBLANK(B26), "", IF(ISNUMBER(D26), IF(D26&gt;0, (COUNTIF(E26:AI26, "✓") + COUNTIF(E26:AI26, "✔") + COUNTIF(E26:AI26, "v") + COUNTIF(E26:AI26, "V"))/D26, 0), IF(((COUNTIF(E26:AI26, "✓") + COUNTIF(E26:AI26, "✔") + COUNTIF(E26:AI26, "v") + COUNTIF(E26:AI26, "V")) + COUNTIF(E26:AI26, "✗") + COUNTIF(E26:AI26, "x") + COUNTIF(E26:AI26, "X"))&gt;0, (COUNTIF(E26:AI26, "✓") + COUNTIF(E26:AI26, "✔") + COUNTIF(E26:AI26, "v") + COUNTIF(E26:AI26, "V"))/((COUNTIF(E26:AI26, "✓") + COUNTIF(E26:AI26, "✔") + COUNTIF(E26:AI26, "v") + COUNTIF(E26:AI26, "V")) + COUNTIF(E26:AI26, "✗") + COUNTIF(E26:AI26, "x") + COUNTIF(E26:AI26, "X")), "")))</f>
        <v/>
      </c>
      <c r="AK26" s="117">
        <f>IF(ISBLANK(B26), "", IF(ISNUMBER(D26), IF(D26&gt;0, (COUNTIF(E26:AI26, "✓") + COUNTIF(E26:AI26, "✔") + COUNTIF(E26:AI26, "v") + COUNTIF(E26:AI26, "V")) &amp; "/" &amp; D26, (COUNTIF(E26:AI26, "✓") + COUNTIF(E26:AI26, "✔") + COUNTIF(E26:AI26, "v") + COUNTIF(E26:AI26, "V")) &amp; "/0"), IF(((COUNTIF(E26:AI26, "✓") + COUNTIF(E26:AI26, "✔") + COUNTIF(E26:AI26, "v") + COUNTIF(E26:AI26, "V")) + COUNTIF(E26:AI26, "✗") + COUNTIF(E26:AI26, "x") + COUNTIF(E26:AI26, "X"))&gt;0, (COUNTIF(E26:AI26, "✓") + COUNTIF(E26:AI26, "✔") + COUNTIF(E26:AI26, "v") + COUNTIF(E26:AI26, "V")) &amp; "/" &amp; ((COUNTIF(E26:AI26, "✓") + COUNTIF(E26:AI26, "✔") + COUNTIF(E26:AI26, "v") + COUNTIF(E26:AI26, "V")) + COUNTIF(E26:AI26, "✗") + COUNTIF(E26:AI26, "x") + COUNTIF(E26:AI26, "X")), "")))</f>
        <v/>
      </c>
      <c r="AL26" s="117">
        <f>IF(ISBLANK(B26), "", IF(AJ26&gt;=0.85, "🔥 Mastered", IF(AJ26&gt;=0.7, "⚡ Consistent", "⚠️ Needs Focus")))</f>
        <v/>
      </c>
      <c r="AM26">
        <f>COUNTIF(E26:AI26, "✓")</f>
        <v/>
      </c>
    </row>
    <row r="27" ht="14.5" customHeight="1">
      <c r="A27" s="111" t="n">
        <v>10</v>
      </c>
      <c r="B27" s="112" t="n"/>
      <c r="C27" s="113" t="n"/>
      <c r="D27" s="113" t="n"/>
      <c r="E27" s="114" t="n"/>
      <c r="F27" s="114" t="n"/>
      <c r="G27" s="114" t="n"/>
      <c r="H27" s="114" t="n"/>
      <c r="I27" s="114" t="n"/>
      <c r="J27" s="114" t="n"/>
      <c r="K27" s="115" t="n"/>
      <c r="L27" s="114" t="n"/>
      <c r="M27" s="114" t="n"/>
      <c r="N27" s="114" t="n"/>
      <c r="O27" s="114" t="n"/>
      <c r="P27" s="114" t="n"/>
      <c r="Q27" s="114" t="n"/>
      <c r="R27" s="115" t="n"/>
      <c r="S27" s="114" t="n"/>
      <c r="T27" s="114" t="n"/>
      <c r="U27" s="114" t="n"/>
      <c r="V27" s="114" t="n"/>
      <c r="W27" s="114" t="n"/>
      <c r="X27" s="114" t="n"/>
      <c r="Y27" s="115" t="n"/>
      <c r="Z27" s="114" t="n"/>
      <c r="AA27" s="114" t="n"/>
      <c r="AB27" s="114" t="n"/>
      <c r="AC27" s="114" t="n"/>
      <c r="AD27" s="114" t="n"/>
      <c r="AE27" s="114" t="n"/>
      <c r="AF27" s="115" t="n"/>
      <c r="AG27" s="114" t="n"/>
      <c r="AH27" s="114" t="n"/>
      <c r="AI27" s="114" t="n"/>
      <c r="AJ27" s="116">
        <f>IF(ISBLANK(B27), "", IF(ISNUMBER(D27), IF(D27&gt;0, (COUNTIF(E27:AI27, "✓") + COUNTIF(E27:AI27, "✔") + COUNTIF(E27:AI27, "v") + COUNTIF(E27:AI27, "V"))/D27, 0), IF(((COUNTIF(E27:AI27, "✓") + COUNTIF(E27:AI27, "✔") + COUNTIF(E27:AI27, "v") + COUNTIF(E27:AI27, "V")) + COUNTIF(E27:AI27, "✗") + COUNTIF(E27:AI27, "x") + COUNTIF(E27:AI27, "X"))&gt;0, (COUNTIF(E27:AI27, "✓") + COUNTIF(E27:AI27, "✔") + COUNTIF(E27:AI27, "v") + COUNTIF(E27:AI27, "V"))/((COUNTIF(E27:AI27, "✓") + COUNTIF(E27:AI27, "✔") + COUNTIF(E27:AI27, "v") + COUNTIF(E27:AI27, "V")) + COUNTIF(E27:AI27, "✗") + COUNTIF(E27:AI27, "x") + COUNTIF(E27:AI27, "X")), "")))</f>
        <v/>
      </c>
      <c r="AK27" s="117">
        <f>IF(ISBLANK(B27), "", IF(ISNUMBER(D27), IF(D27&gt;0, (COUNTIF(E27:AI27, "✓") + COUNTIF(E27:AI27, "✔") + COUNTIF(E27:AI27, "v") + COUNTIF(E27:AI27, "V")) &amp; "/" &amp; D27, (COUNTIF(E27:AI27, "✓") + COUNTIF(E27:AI27, "✔") + COUNTIF(E27:AI27, "v") + COUNTIF(E27:AI27, "V")) &amp; "/0"), IF(((COUNTIF(E27:AI27, "✓") + COUNTIF(E27:AI27, "✔") + COUNTIF(E27:AI27, "v") + COUNTIF(E27:AI27, "V")) + COUNTIF(E27:AI27, "✗") + COUNTIF(E27:AI27, "x") + COUNTIF(E27:AI27, "X"))&gt;0, (COUNTIF(E27:AI27, "✓") + COUNTIF(E27:AI27, "✔") + COUNTIF(E27:AI27, "v") + COUNTIF(E27:AI27, "V")) &amp; "/" &amp; ((COUNTIF(E27:AI27, "✓") + COUNTIF(E27:AI27, "✔") + COUNTIF(E27:AI27, "v") + COUNTIF(E27:AI27, "V")) + COUNTIF(E27:AI27, "✗") + COUNTIF(E27:AI27, "x") + COUNTIF(E27:AI27, "X")), "")))</f>
        <v/>
      </c>
      <c r="AL27" s="117">
        <f>IF(ISBLANK(B27), "", IF(AJ27&gt;=0.85, "🔥 Mastered", IF(AJ27&gt;=0.7, "⚡ Consistent", "⚠️ Needs Focus")))</f>
        <v/>
      </c>
      <c r="AM27">
        <f>COUNTIF(E27:AI27, "✓")</f>
        <v/>
      </c>
    </row>
    <row r="28" ht="14.5" customHeight="1">
      <c r="A28" s="111" t="n">
        <v>11</v>
      </c>
      <c r="B28" s="112" t="n"/>
      <c r="C28" s="113" t="n"/>
      <c r="D28" s="113" t="n"/>
      <c r="E28" s="114" t="n"/>
      <c r="F28" s="114" t="n"/>
      <c r="G28" s="114" t="n"/>
      <c r="H28" s="114" t="n"/>
      <c r="I28" s="114" t="n"/>
      <c r="J28" s="114" t="n"/>
      <c r="K28" s="115" t="n"/>
      <c r="L28" s="114" t="n"/>
      <c r="M28" s="114" t="n"/>
      <c r="N28" s="114" t="n"/>
      <c r="O28" s="114" t="n"/>
      <c r="P28" s="114" t="n"/>
      <c r="Q28" s="114" t="n"/>
      <c r="R28" s="115" t="n"/>
      <c r="S28" s="114" t="n"/>
      <c r="T28" s="114" t="n"/>
      <c r="U28" s="114" t="n"/>
      <c r="V28" s="114" t="n"/>
      <c r="W28" s="114" t="n"/>
      <c r="X28" s="114" t="n"/>
      <c r="Y28" s="115" t="n"/>
      <c r="Z28" s="114" t="n"/>
      <c r="AA28" s="114" t="n"/>
      <c r="AB28" s="114" t="n"/>
      <c r="AC28" s="114" t="n"/>
      <c r="AD28" s="114" t="n"/>
      <c r="AE28" s="114" t="n"/>
      <c r="AF28" s="115" t="n"/>
      <c r="AG28" s="114" t="n"/>
      <c r="AH28" s="114" t="n"/>
      <c r="AI28" s="114" t="n"/>
      <c r="AJ28" s="116">
        <f>IF(ISBLANK(B28), "", IF(ISNUMBER(D28), IF(D28&gt;0, (COUNTIF(E28:AI28, "✓") + COUNTIF(E28:AI28, "✔") + COUNTIF(E28:AI28, "v") + COUNTIF(E28:AI28, "V"))/D28, 0), IF(((COUNTIF(E28:AI28, "✓") + COUNTIF(E28:AI28, "✔") + COUNTIF(E28:AI28, "v") + COUNTIF(E28:AI28, "V")) + COUNTIF(E28:AI28, "✗") + COUNTIF(E28:AI28, "x") + COUNTIF(E28:AI28, "X"))&gt;0, (COUNTIF(E28:AI28, "✓") + COUNTIF(E28:AI28, "✔") + COUNTIF(E28:AI28, "v") + COUNTIF(E28:AI28, "V"))/((COUNTIF(E28:AI28, "✓") + COUNTIF(E28:AI28, "✔") + COUNTIF(E28:AI28, "v") + COUNTIF(E28:AI28, "V")) + COUNTIF(E28:AI28, "✗") + COUNTIF(E28:AI28, "x") + COUNTIF(E28:AI28, "X")), "")))</f>
        <v/>
      </c>
      <c r="AK28" s="117">
        <f>IF(ISBLANK(B28), "", IF(ISNUMBER(D28), IF(D28&gt;0, (COUNTIF(E28:AI28, "✓") + COUNTIF(E28:AI28, "✔") + COUNTIF(E28:AI28, "v") + COUNTIF(E28:AI28, "V")) &amp; "/" &amp; D28, (COUNTIF(E28:AI28, "✓") + COUNTIF(E28:AI28, "✔") + COUNTIF(E28:AI28, "v") + COUNTIF(E28:AI28, "V")) &amp; "/0"), IF(((COUNTIF(E28:AI28, "✓") + COUNTIF(E28:AI28, "✔") + COUNTIF(E28:AI28, "v") + COUNTIF(E28:AI28, "V")) + COUNTIF(E28:AI28, "✗") + COUNTIF(E28:AI28, "x") + COUNTIF(E28:AI28, "X"))&gt;0, (COUNTIF(E28:AI28, "✓") + COUNTIF(E28:AI28, "✔") + COUNTIF(E28:AI28, "v") + COUNTIF(E28:AI28, "V")) &amp; "/" &amp; ((COUNTIF(E28:AI28, "✓") + COUNTIF(E28:AI28, "✔") + COUNTIF(E28:AI28, "v") + COUNTIF(E28:AI28, "V")) + COUNTIF(E28:AI28, "✗") + COUNTIF(E28:AI28, "x") + COUNTIF(E28:AI28, "X")), "")))</f>
        <v/>
      </c>
      <c r="AL28" s="117">
        <f>IF(ISBLANK(B28), "", IF(AJ28&gt;=0.85, "🔥 Mastered", IF(AJ28&gt;=0.7, "⚡ Consistent", "⚠️ Needs Focus")))</f>
        <v/>
      </c>
      <c r="AM28">
        <f>COUNTIF(E28:AI28, "✓")</f>
        <v/>
      </c>
    </row>
    <row r="29" ht="14.5" customHeight="1">
      <c r="A29" s="111" t="n">
        <v>12</v>
      </c>
      <c r="B29" s="112" t="n"/>
      <c r="C29" s="113" t="n"/>
      <c r="D29" s="113" t="n"/>
      <c r="E29" s="114" t="n"/>
      <c r="F29" s="114" t="n"/>
      <c r="G29" s="114" t="n"/>
      <c r="H29" s="114" t="n"/>
      <c r="I29" s="114" t="n"/>
      <c r="J29" s="114" t="n"/>
      <c r="K29" s="115" t="n"/>
      <c r="L29" s="114" t="n"/>
      <c r="M29" s="114" t="n"/>
      <c r="N29" s="114" t="n"/>
      <c r="O29" s="114" t="n"/>
      <c r="P29" s="114" t="n"/>
      <c r="Q29" s="114" t="n"/>
      <c r="R29" s="115" t="n"/>
      <c r="S29" s="114" t="n"/>
      <c r="T29" s="114" t="n"/>
      <c r="U29" s="114" t="n"/>
      <c r="V29" s="114" t="n"/>
      <c r="W29" s="114" t="n"/>
      <c r="X29" s="114" t="n"/>
      <c r="Y29" s="115" t="n"/>
      <c r="Z29" s="114" t="n"/>
      <c r="AA29" s="114" t="n"/>
      <c r="AB29" s="114" t="n"/>
      <c r="AC29" s="114" t="n"/>
      <c r="AD29" s="114" t="n"/>
      <c r="AE29" s="114" t="n"/>
      <c r="AF29" s="115" t="n"/>
      <c r="AG29" s="114" t="n"/>
      <c r="AH29" s="114" t="n"/>
      <c r="AI29" s="114" t="n"/>
      <c r="AJ29" s="116">
        <f>IF(ISBLANK(B29), "", IF(ISNUMBER(D29), IF(D29&gt;0, (COUNTIF(E29:AI29, "✓") + COUNTIF(E29:AI29, "✔") + COUNTIF(E29:AI29, "v") + COUNTIF(E29:AI29, "V"))/D29, 0), IF(((COUNTIF(E29:AI29, "✓") + COUNTIF(E29:AI29, "✔") + COUNTIF(E29:AI29, "v") + COUNTIF(E29:AI29, "V")) + COUNTIF(E29:AI29, "✗") + COUNTIF(E29:AI29, "x") + COUNTIF(E29:AI29, "X"))&gt;0, (COUNTIF(E29:AI29, "✓") + COUNTIF(E29:AI29, "✔") + COUNTIF(E29:AI29, "v") + COUNTIF(E29:AI29, "V"))/((COUNTIF(E29:AI29, "✓") + COUNTIF(E29:AI29, "✔") + COUNTIF(E29:AI29, "v") + COUNTIF(E29:AI29, "V")) + COUNTIF(E29:AI29, "✗") + COUNTIF(E29:AI29, "x") + COUNTIF(E29:AI29, "X")), "")))</f>
        <v/>
      </c>
      <c r="AK29" s="117">
        <f>IF(ISBLANK(B29), "", IF(ISNUMBER(D29), IF(D29&gt;0, (COUNTIF(E29:AI29, "✓") + COUNTIF(E29:AI29, "✔") + COUNTIF(E29:AI29, "v") + COUNTIF(E29:AI29, "V")) &amp; "/" &amp; D29, (COUNTIF(E29:AI29, "✓") + COUNTIF(E29:AI29, "✔") + COUNTIF(E29:AI29, "v") + COUNTIF(E29:AI29, "V")) &amp; "/0"), IF(((COUNTIF(E29:AI29, "✓") + COUNTIF(E29:AI29, "✔") + COUNTIF(E29:AI29, "v") + COUNTIF(E29:AI29, "V")) + COUNTIF(E29:AI29, "✗") + COUNTIF(E29:AI29, "x") + COUNTIF(E29:AI29, "X"))&gt;0, (COUNTIF(E29:AI29, "✓") + COUNTIF(E29:AI29, "✔") + COUNTIF(E29:AI29, "v") + COUNTIF(E29:AI29, "V")) &amp; "/" &amp; ((COUNTIF(E29:AI29, "✓") + COUNTIF(E29:AI29, "✔") + COUNTIF(E29:AI29, "v") + COUNTIF(E29:AI29, "V")) + COUNTIF(E29:AI29, "✗") + COUNTIF(E29:AI29, "x") + COUNTIF(E29:AI29, "X")), "")))</f>
        <v/>
      </c>
      <c r="AL29" s="117">
        <f>IF(ISBLANK(B29), "", IF(AJ29&gt;=0.85, "🔥 Mastered", IF(AJ29&gt;=0.7, "⚡ Consistent", "⚠️ Needs Focus")))</f>
        <v/>
      </c>
      <c r="AM29">
        <f>COUNTIF(E29:AI29, "✓")</f>
        <v/>
      </c>
    </row>
    <row r="30" ht="14.5" customHeight="1">
      <c r="A30" s="118" t="n">
        <v>13</v>
      </c>
      <c r="B30" s="119" t="n"/>
      <c r="C30" s="120" t="n"/>
      <c r="D30" s="120" t="n"/>
      <c r="E30" s="121" t="n"/>
      <c r="F30" s="121" t="n"/>
      <c r="G30" s="121" t="n"/>
      <c r="H30" s="121" t="n"/>
      <c r="I30" s="121" t="n"/>
      <c r="J30" s="121" t="n"/>
      <c r="K30" s="122" t="n"/>
      <c r="L30" s="121" t="n"/>
      <c r="M30" s="121" t="n"/>
      <c r="N30" s="121" t="n"/>
      <c r="O30" s="121" t="n"/>
      <c r="P30" s="121" t="n"/>
      <c r="Q30" s="121" t="n"/>
      <c r="R30" s="122" t="n"/>
      <c r="S30" s="121" t="n"/>
      <c r="T30" s="121" t="n"/>
      <c r="U30" s="121" t="n"/>
      <c r="V30" s="121" t="n"/>
      <c r="W30" s="121" t="n"/>
      <c r="X30" s="121" t="n"/>
      <c r="Y30" s="122" t="n"/>
      <c r="Z30" s="121" t="n"/>
      <c r="AA30" s="121" t="n"/>
      <c r="AB30" s="121" t="n"/>
      <c r="AC30" s="121" t="n"/>
      <c r="AD30" s="121" t="n"/>
      <c r="AE30" s="121" t="n"/>
      <c r="AF30" s="122" t="n"/>
      <c r="AG30" s="121" t="n"/>
      <c r="AH30" s="121" t="n"/>
      <c r="AI30" s="121" t="n"/>
      <c r="AJ30" s="123">
        <f>IF(ISBLANK(B30), "", IF(ISNUMBER(D30), IF(D30&gt;0, (COUNTIF(E30:AI30, "✓") + COUNTIF(E30:AI30, "✔") + COUNTIF(E30:AI30, "v") + COUNTIF(E30:AI30, "V"))/D30, 0), IF(((COUNTIF(E30:AI30, "✓") + COUNTIF(E30:AI30, "✔") + COUNTIF(E30:AI30, "v") + COUNTIF(E30:AI30, "V")) + COUNTIF(E30:AI30, "✗") + COUNTIF(E30:AI30, "x") + COUNTIF(E30:AI30, "X"))&gt;0, (COUNTIF(E30:AI30, "✓") + COUNTIF(E30:AI30, "✔") + COUNTIF(E30:AI30, "v") + COUNTIF(E30:AI30, "V"))/((COUNTIF(E30:AI30, "✓") + COUNTIF(E30:AI30, "✔") + COUNTIF(E30:AI30, "v") + COUNTIF(E30:AI30, "V")) + COUNTIF(E30:AI30, "✗") + COUNTIF(E30:AI30, "x") + COUNTIF(E30:AI30, "X")), "")))</f>
        <v/>
      </c>
      <c r="AK30" s="124">
        <f>IF(ISBLANK(B30), "", IF(ISNUMBER(D30), IF(D30&gt;0, (COUNTIF(E30:AI30, "✓") + COUNTIF(E30:AI30, "✔") + COUNTIF(E30:AI30, "v") + COUNTIF(E30:AI30, "V")) &amp; "/" &amp; D30, (COUNTIF(E30:AI30, "✓") + COUNTIF(E30:AI30, "✔") + COUNTIF(E30:AI30, "v") + COUNTIF(E30:AI30, "V")) &amp; "/0"), IF(((COUNTIF(E30:AI30, "✓") + COUNTIF(E30:AI30, "✔") + COUNTIF(E30:AI30, "v") + COUNTIF(E30:AI30, "V")) + COUNTIF(E30:AI30, "✗") + COUNTIF(E30:AI30, "x") + COUNTIF(E30:AI30, "X"))&gt;0, (COUNTIF(E30:AI30, "✓") + COUNTIF(E30:AI30, "✔") + COUNTIF(E30:AI30, "v") + COUNTIF(E30:AI30, "V")) &amp; "/" &amp; ((COUNTIF(E30:AI30, "✓") + COUNTIF(E30:AI30, "✔") + COUNTIF(E30:AI30, "v") + COUNTIF(E30:AI30, "V")) + COUNTIF(E30:AI30, "✗") + COUNTIF(E30:AI30, "x") + COUNTIF(E30:AI30, "X")), "")))</f>
        <v/>
      </c>
      <c r="AL30" s="124">
        <f>IF(ISBLANK(B30), "", IF(AJ30&gt;=0.85, "🔥 Mastered", IF(AJ30&gt;=0.7, "⚡ Consistent", "⚠️ Needs Focus")))</f>
        <v/>
      </c>
      <c r="AM30">
        <f>COUNTIF(E30:AI30, "✓")</f>
        <v/>
      </c>
    </row>
    <row r="31" ht="14.5" customHeight="1">
      <c r="A31" s="118" t="n">
        <v>14</v>
      </c>
      <c r="B31" s="119" t="n"/>
      <c r="C31" s="120" t="n"/>
      <c r="D31" s="120" t="n"/>
      <c r="E31" s="121" t="n"/>
      <c r="F31" s="121" t="n"/>
      <c r="G31" s="121" t="n"/>
      <c r="H31" s="121" t="n"/>
      <c r="I31" s="121" t="n"/>
      <c r="J31" s="121" t="n"/>
      <c r="K31" s="122" t="n"/>
      <c r="L31" s="121" t="n"/>
      <c r="M31" s="121" t="n"/>
      <c r="N31" s="121" t="n"/>
      <c r="O31" s="121" t="n"/>
      <c r="P31" s="121" t="n"/>
      <c r="Q31" s="121" t="n"/>
      <c r="R31" s="122" t="n"/>
      <c r="S31" s="121" t="n"/>
      <c r="T31" s="121" t="n"/>
      <c r="U31" s="121" t="n"/>
      <c r="V31" s="121" t="n"/>
      <c r="W31" s="121" t="n"/>
      <c r="X31" s="121" t="n"/>
      <c r="Y31" s="122" t="n"/>
      <c r="Z31" s="121" t="n"/>
      <c r="AA31" s="121" t="n"/>
      <c r="AB31" s="121" t="n"/>
      <c r="AC31" s="121" t="n"/>
      <c r="AD31" s="121" t="n"/>
      <c r="AE31" s="121" t="n"/>
      <c r="AF31" s="122" t="n"/>
      <c r="AG31" s="121" t="n"/>
      <c r="AH31" s="121" t="n"/>
      <c r="AI31" s="121" t="n"/>
      <c r="AJ31" s="123">
        <f>IF(ISBLANK(B31), "", IF(ISNUMBER(D31), IF(D31&gt;0, (COUNTIF(E31:AI31, "✓") + COUNTIF(E31:AI31, "✔") + COUNTIF(E31:AI31, "v") + COUNTIF(E31:AI31, "V"))/D31, 0), IF(((COUNTIF(E31:AI31, "✓") + COUNTIF(E31:AI31, "✔") + COUNTIF(E31:AI31, "v") + COUNTIF(E31:AI31, "V")) + COUNTIF(E31:AI31, "✗") + COUNTIF(E31:AI31, "x") + COUNTIF(E31:AI31, "X"))&gt;0, (COUNTIF(E31:AI31, "✓") + COUNTIF(E31:AI31, "✔") + COUNTIF(E31:AI31, "v") + COUNTIF(E31:AI31, "V"))/((COUNTIF(E31:AI31, "✓") + COUNTIF(E31:AI31, "✔") + COUNTIF(E31:AI31, "v") + COUNTIF(E31:AI31, "V")) + COUNTIF(E31:AI31, "✗") + COUNTIF(E31:AI31, "x") + COUNTIF(E31:AI31, "X")), "")))</f>
        <v/>
      </c>
      <c r="AK31" s="124">
        <f>IF(ISBLANK(B31), "", IF(ISNUMBER(D31), IF(D31&gt;0, (COUNTIF(E31:AI31, "✓") + COUNTIF(E31:AI31, "✔") + COUNTIF(E31:AI31, "v") + COUNTIF(E31:AI31, "V")) &amp; "/" &amp; D31, (COUNTIF(E31:AI31, "✓") + COUNTIF(E31:AI31, "✔") + COUNTIF(E31:AI31, "v") + COUNTIF(E31:AI31, "V")) &amp; "/0"), IF(((COUNTIF(E31:AI31, "✓") + COUNTIF(E31:AI31, "✔") + COUNTIF(E31:AI31, "v") + COUNTIF(E31:AI31, "V")) + COUNTIF(E31:AI31, "✗") + COUNTIF(E31:AI31, "x") + COUNTIF(E31:AI31, "X"))&gt;0, (COUNTIF(E31:AI31, "✓") + COUNTIF(E31:AI31, "✔") + COUNTIF(E31:AI31, "v") + COUNTIF(E31:AI31, "V")) &amp; "/" &amp; ((COUNTIF(E31:AI31, "✓") + COUNTIF(E31:AI31, "✔") + COUNTIF(E31:AI31, "v") + COUNTIF(E31:AI31, "V")) + COUNTIF(E31:AI31, "✗") + COUNTIF(E31:AI31, "x") + COUNTIF(E31:AI31, "X")), "")))</f>
        <v/>
      </c>
      <c r="AL31" s="124">
        <f>IF(ISBLANK(B31), "", IF(AJ31&gt;=0.85, "🔥 Mastered", IF(AJ31&gt;=0.7, "⚡ Consistent", "⚠️ Needs Focus")))</f>
        <v/>
      </c>
      <c r="AM31">
        <f>COUNTIF(E31:AI31, "✓")</f>
        <v/>
      </c>
    </row>
    <row r="32" ht="14.5" customHeight="1">
      <c r="A32" s="118" t="n">
        <v>15</v>
      </c>
      <c r="B32" s="119" t="n"/>
      <c r="C32" s="120" t="n"/>
      <c r="D32" s="120" t="n"/>
      <c r="E32" s="121" t="n"/>
      <c r="F32" s="121" t="n"/>
      <c r="G32" s="121" t="n"/>
      <c r="H32" s="121" t="n"/>
      <c r="I32" s="121" t="n"/>
      <c r="J32" s="121" t="n"/>
      <c r="K32" s="122" t="n"/>
      <c r="L32" s="121" t="n"/>
      <c r="M32" s="121" t="n"/>
      <c r="N32" s="121" t="n"/>
      <c r="O32" s="121" t="n"/>
      <c r="P32" s="121" t="n"/>
      <c r="Q32" s="121" t="n"/>
      <c r="R32" s="122" t="n"/>
      <c r="S32" s="121" t="n"/>
      <c r="T32" s="121" t="n"/>
      <c r="U32" s="121" t="n"/>
      <c r="V32" s="121" t="n"/>
      <c r="W32" s="121" t="n"/>
      <c r="X32" s="121" t="n"/>
      <c r="Y32" s="122" t="n"/>
      <c r="Z32" s="121" t="n"/>
      <c r="AA32" s="121" t="n"/>
      <c r="AB32" s="121" t="n"/>
      <c r="AC32" s="121" t="n"/>
      <c r="AD32" s="121" t="n"/>
      <c r="AE32" s="121" t="n"/>
      <c r="AF32" s="122" t="n"/>
      <c r="AG32" s="121" t="n"/>
      <c r="AH32" s="121" t="n"/>
      <c r="AI32" s="121" t="n"/>
      <c r="AJ32" s="123">
        <f>IF(ISBLANK(B32), "", IF(ISNUMBER(D32), IF(D32&gt;0, (COUNTIF(E32:AI32, "✓") + COUNTIF(E32:AI32, "✔") + COUNTIF(E32:AI32, "v") + COUNTIF(E32:AI32, "V"))/D32, 0), IF(((COUNTIF(E32:AI32, "✓") + COUNTIF(E32:AI32, "✔") + COUNTIF(E32:AI32, "v") + COUNTIF(E32:AI32, "V")) + COUNTIF(E32:AI32, "✗") + COUNTIF(E32:AI32, "x") + COUNTIF(E32:AI32, "X"))&gt;0, (COUNTIF(E32:AI32, "✓") + COUNTIF(E32:AI32, "✔") + COUNTIF(E32:AI32, "v") + COUNTIF(E32:AI32, "V"))/((COUNTIF(E32:AI32, "✓") + COUNTIF(E32:AI32, "✔") + COUNTIF(E32:AI32, "v") + COUNTIF(E32:AI32, "V")) + COUNTIF(E32:AI32, "✗") + COUNTIF(E32:AI32, "x") + COUNTIF(E32:AI32, "X")), "")))</f>
        <v/>
      </c>
      <c r="AK32" s="124">
        <f>IF(ISBLANK(B32), "", IF(ISNUMBER(D32), IF(D32&gt;0, (COUNTIF(E32:AI32, "✓") + COUNTIF(E32:AI32, "✔") + COUNTIF(E32:AI32, "v") + COUNTIF(E32:AI32, "V")) &amp; "/" &amp; D32, (COUNTIF(E32:AI32, "✓") + COUNTIF(E32:AI32, "✔") + COUNTIF(E32:AI32, "v") + COUNTIF(E32:AI32, "V")) &amp; "/0"), IF(((COUNTIF(E32:AI32, "✓") + COUNTIF(E32:AI32, "✔") + COUNTIF(E32:AI32, "v") + COUNTIF(E32:AI32, "V")) + COUNTIF(E32:AI32, "✗") + COUNTIF(E32:AI32, "x") + COUNTIF(E32:AI32, "X"))&gt;0, (COUNTIF(E32:AI32, "✓") + COUNTIF(E32:AI32, "✔") + COUNTIF(E32:AI32, "v") + COUNTIF(E32:AI32, "V")) &amp; "/" &amp; ((COUNTIF(E32:AI32, "✓") + COUNTIF(E32:AI32, "✔") + COUNTIF(E32:AI32, "v") + COUNTIF(E32:AI32, "V")) + COUNTIF(E32:AI32, "✗") + COUNTIF(E32:AI32, "x") + COUNTIF(E32:AI32, "X")), "")))</f>
        <v/>
      </c>
      <c r="AL32" s="124">
        <f>IF(ISBLANK(B32), "", IF(AJ32&gt;=0.85, "🔥 Mastered", IF(AJ32&gt;=0.7, "⚡ Consistent", "⚠️ Needs Focus")))</f>
        <v/>
      </c>
      <c r="AM32">
        <f>COUNTIF(E32:AI32, "✓")</f>
        <v/>
      </c>
    </row>
    <row r="33" ht="14.5" customHeight="1">
      <c r="A33" s="118" t="n">
        <v>16</v>
      </c>
      <c r="B33" s="119" t="n"/>
      <c r="C33" s="120" t="n"/>
      <c r="D33" s="120" t="n"/>
      <c r="E33" s="121" t="n"/>
      <c r="F33" s="121" t="n"/>
      <c r="G33" s="121" t="n"/>
      <c r="H33" s="121" t="n"/>
      <c r="I33" s="121" t="n"/>
      <c r="J33" s="121" t="n"/>
      <c r="K33" s="122" t="n"/>
      <c r="L33" s="121" t="n"/>
      <c r="M33" s="121" t="n"/>
      <c r="N33" s="121" t="n"/>
      <c r="O33" s="121" t="n"/>
      <c r="P33" s="121" t="n"/>
      <c r="Q33" s="121" t="n"/>
      <c r="R33" s="122" t="n"/>
      <c r="S33" s="121" t="n"/>
      <c r="T33" s="121" t="n"/>
      <c r="U33" s="121" t="n"/>
      <c r="V33" s="121" t="n"/>
      <c r="W33" s="121" t="n"/>
      <c r="X33" s="121" t="n"/>
      <c r="Y33" s="122" t="n"/>
      <c r="Z33" s="121" t="n"/>
      <c r="AA33" s="121" t="n"/>
      <c r="AB33" s="121" t="n"/>
      <c r="AC33" s="121" t="n"/>
      <c r="AD33" s="121" t="n"/>
      <c r="AE33" s="121" t="n"/>
      <c r="AF33" s="122" t="n"/>
      <c r="AG33" s="121" t="n"/>
      <c r="AH33" s="121" t="n"/>
      <c r="AI33" s="121" t="n"/>
      <c r="AJ33" s="123">
        <f>IF(ISBLANK(B33), "", IF(ISNUMBER(D33), IF(D33&gt;0, (COUNTIF(E33:AI33, "✓") + COUNTIF(E33:AI33, "✔") + COUNTIF(E33:AI33, "v") + COUNTIF(E33:AI33, "V"))/D33, 0), IF(((COUNTIF(E33:AI33, "✓") + COUNTIF(E33:AI33, "✔") + COUNTIF(E33:AI33, "v") + COUNTIF(E33:AI33, "V")) + COUNTIF(E33:AI33, "✗") + COUNTIF(E33:AI33, "x") + COUNTIF(E33:AI33, "X"))&gt;0, (COUNTIF(E33:AI33, "✓") + COUNTIF(E33:AI33, "✔") + COUNTIF(E33:AI33, "v") + COUNTIF(E33:AI33, "V"))/((COUNTIF(E33:AI33, "✓") + COUNTIF(E33:AI33, "✔") + COUNTIF(E33:AI33, "v") + COUNTIF(E33:AI33, "V")) + COUNTIF(E33:AI33, "✗") + COUNTIF(E33:AI33, "x") + COUNTIF(E33:AI33, "X")), "")))</f>
        <v/>
      </c>
      <c r="AK33" s="124">
        <f>IF(ISBLANK(B33), "", IF(ISNUMBER(D33), IF(D33&gt;0, (COUNTIF(E33:AI33, "✓") + COUNTIF(E33:AI33, "✔") + COUNTIF(E33:AI33, "v") + COUNTIF(E33:AI33, "V")) &amp; "/" &amp; D33, (COUNTIF(E33:AI33, "✓") + COUNTIF(E33:AI33, "✔") + COUNTIF(E33:AI33, "v") + COUNTIF(E33:AI33, "V")) &amp; "/0"), IF(((COUNTIF(E33:AI33, "✓") + COUNTIF(E33:AI33, "✔") + COUNTIF(E33:AI33, "v") + COUNTIF(E33:AI33, "V")) + COUNTIF(E33:AI33, "✗") + COUNTIF(E33:AI33, "x") + COUNTIF(E33:AI33, "X"))&gt;0, (COUNTIF(E33:AI33, "✓") + COUNTIF(E33:AI33, "✔") + COUNTIF(E33:AI33, "v") + COUNTIF(E33:AI33, "V")) &amp; "/" &amp; ((COUNTIF(E33:AI33, "✓") + COUNTIF(E33:AI33, "✔") + COUNTIF(E33:AI33, "v") + COUNTIF(E33:AI33, "V")) + COUNTIF(E33:AI33, "✗") + COUNTIF(E33:AI33, "x") + COUNTIF(E33:AI33, "X")), "")))</f>
        <v/>
      </c>
      <c r="AL33" s="124">
        <f>IF(ISBLANK(B33), "", IF(AJ33&gt;=0.85, "🔥 Mastered", IF(AJ33&gt;=0.7, "⚡ Consistent", "⚠️ Needs Focus")))</f>
        <v/>
      </c>
      <c r="AM33">
        <f>COUNTIF(E33:AI33, "✓")</f>
        <v/>
      </c>
    </row>
    <row r="34" ht="14.5" customHeight="1">
      <c r="A34" s="125" t="n">
        <v>17</v>
      </c>
      <c r="B34" s="126" t="n"/>
      <c r="C34" s="127" t="n"/>
      <c r="D34" s="127" t="n"/>
      <c r="E34" s="128" t="n"/>
      <c r="F34" s="128" t="n"/>
      <c r="G34" s="128" t="n"/>
      <c r="H34" s="128" t="n"/>
      <c r="I34" s="128" t="n"/>
      <c r="J34" s="128" t="n"/>
      <c r="K34" s="129" t="n"/>
      <c r="L34" s="128" t="n"/>
      <c r="M34" s="128" t="n"/>
      <c r="N34" s="128" t="n"/>
      <c r="O34" s="128" t="n"/>
      <c r="P34" s="128" t="n"/>
      <c r="Q34" s="128" t="n"/>
      <c r="R34" s="129" t="n"/>
      <c r="S34" s="128" t="n"/>
      <c r="T34" s="128" t="n"/>
      <c r="U34" s="128" t="n"/>
      <c r="V34" s="128" t="n"/>
      <c r="W34" s="128" t="n"/>
      <c r="X34" s="128" t="n"/>
      <c r="Y34" s="129" t="n"/>
      <c r="Z34" s="128" t="n"/>
      <c r="AA34" s="128" t="n"/>
      <c r="AB34" s="128" t="n"/>
      <c r="AC34" s="128" t="n"/>
      <c r="AD34" s="128" t="n"/>
      <c r="AE34" s="128" t="n"/>
      <c r="AF34" s="129" t="n"/>
      <c r="AG34" s="128" t="n"/>
      <c r="AH34" s="128" t="n"/>
      <c r="AI34" s="128" t="n"/>
      <c r="AJ34" s="130">
        <f>IF(ISBLANK(B34), "", IF(ISNUMBER(D34), IF(D34&gt;0, (COUNTIF(E34:AI34, "✓") + COUNTIF(E34:AI34, "✔") + COUNTIF(E34:AI34, "v") + COUNTIF(E34:AI34, "V"))/D34, 0), IF(((COUNTIF(E34:AI34, "✓") + COUNTIF(E34:AI34, "✔") + COUNTIF(E34:AI34, "v") + COUNTIF(E34:AI34, "V")) + COUNTIF(E34:AI34, "✗") + COUNTIF(E34:AI34, "x") + COUNTIF(E34:AI34, "X"))&gt;0, (COUNTIF(E34:AI34, "✓") + COUNTIF(E34:AI34, "✔") + COUNTIF(E34:AI34, "v") + COUNTIF(E34:AI34, "V"))/((COUNTIF(E34:AI34, "✓") + COUNTIF(E34:AI34, "✔") + COUNTIF(E34:AI34, "v") + COUNTIF(E34:AI34, "V")) + COUNTIF(E34:AI34, "✗") + COUNTIF(E34:AI34, "x") + COUNTIF(E34:AI34, "X")), "")))</f>
        <v/>
      </c>
      <c r="AK34" s="131">
        <f>IF(ISBLANK(B34), "", IF(ISNUMBER(D34), IF(D34&gt;0, (COUNTIF(E34:AI34, "✓") + COUNTIF(E34:AI34, "✔") + COUNTIF(E34:AI34, "v") + COUNTIF(E34:AI34, "V")) &amp; "/" &amp; D34, (COUNTIF(E34:AI34, "✓") + COUNTIF(E34:AI34, "✔") + COUNTIF(E34:AI34, "v") + COUNTIF(E34:AI34, "V")) &amp; "/0"), IF(((COUNTIF(E34:AI34, "✓") + COUNTIF(E34:AI34, "✔") + COUNTIF(E34:AI34, "v") + COUNTIF(E34:AI34, "V")) + COUNTIF(E34:AI34, "✗") + COUNTIF(E34:AI34, "x") + COUNTIF(E34:AI34, "X"))&gt;0, (COUNTIF(E34:AI34, "✓") + COUNTIF(E34:AI34, "✔") + COUNTIF(E34:AI34, "v") + COUNTIF(E34:AI34, "V")) &amp; "/" &amp; ((COUNTIF(E34:AI34, "✓") + COUNTIF(E34:AI34, "✔") + COUNTIF(E34:AI34, "v") + COUNTIF(E34:AI34, "V")) + COUNTIF(E34:AI34, "✗") + COUNTIF(E34:AI34, "x") + COUNTIF(E34:AI34, "X")), "")))</f>
        <v/>
      </c>
      <c r="AL34" s="131">
        <f>IF(ISBLANK(B34), "", IF(AJ34&gt;=0.85, "🔥 Mastered", IF(AJ34&gt;=0.7, "⚡ Consistent", "⚠️ Needs Focus")))</f>
        <v/>
      </c>
      <c r="AM34">
        <f>COUNTIF(E34:AI34, "✓")</f>
        <v/>
      </c>
    </row>
    <row r="35" ht="14.5" customHeight="1">
      <c r="A35" s="125" t="n">
        <v>18</v>
      </c>
      <c r="B35" s="126" t="n"/>
      <c r="C35" s="127" t="n"/>
      <c r="D35" s="127" t="n"/>
      <c r="E35" s="128" t="n"/>
      <c r="F35" s="128" t="n"/>
      <c r="G35" s="128" t="n"/>
      <c r="H35" s="128" t="n"/>
      <c r="I35" s="128" t="n"/>
      <c r="J35" s="128" t="n"/>
      <c r="K35" s="129" t="n"/>
      <c r="L35" s="128" t="n"/>
      <c r="M35" s="128" t="n"/>
      <c r="N35" s="128" t="n"/>
      <c r="O35" s="128" t="n"/>
      <c r="P35" s="128" t="n"/>
      <c r="Q35" s="128" t="n"/>
      <c r="R35" s="129" t="n"/>
      <c r="S35" s="128" t="n"/>
      <c r="T35" s="128" t="n"/>
      <c r="U35" s="128" t="n"/>
      <c r="V35" s="128" t="n"/>
      <c r="W35" s="128" t="n"/>
      <c r="X35" s="128" t="n"/>
      <c r="Y35" s="129" t="n"/>
      <c r="Z35" s="128" t="n"/>
      <c r="AA35" s="128" t="n"/>
      <c r="AB35" s="128" t="n"/>
      <c r="AC35" s="128" t="n"/>
      <c r="AD35" s="128" t="n"/>
      <c r="AE35" s="128" t="n"/>
      <c r="AF35" s="129" t="n"/>
      <c r="AG35" s="128" t="n"/>
      <c r="AH35" s="128" t="n"/>
      <c r="AI35" s="128" t="n"/>
      <c r="AJ35" s="130">
        <f>IF(ISBLANK(B35), "", IF(ISNUMBER(D35), IF(D35&gt;0, (COUNTIF(E35:AI35, "✓") + COUNTIF(E35:AI35, "✔") + COUNTIF(E35:AI35, "v") + COUNTIF(E35:AI35, "V"))/D35, 0), IF(((COUNTIF(E35:AI35, "✓") + COUNTIF(E35:AI35, "✔") + COUNTIF(E35:AI35, "v") + COUNTIF(E35:AI35, "V")) + COUNTIF(E35:AI35, "✗") + COUNTIF(E35:AI35, "x") + COUNTIF(E35:AI35, "X"))&gt;0, (COUNTIF(E35:AI35, "✓") + COUNTIF(E35:AI35, "✔") + COUNTIF(E35:AI35, "v") + COUNTIF(E35:AI35, "V"))/((COUNTIF(E35:AI35, "✓") + COUNTIF(E35:AI35, "✔") + COUNTIF(E35:AI35, "v") + COUNTIF(E35:AI35, "V")) + COUNTIF(E35:AI35, "✗") + COUNTIF(E35:AI35, "x") + COUNTIF(E35:AI35, "X")), "")))</f>
        <v/>
      </c>
      <c r="AK35" s="131">
        <f>IF(ISBLANK(B35), "", IF(ISNUMBER(D35), IF(D35&gt;0, (COUNTIF(E35:AI35, "✓") + COUNTIF(E35:AI35, "✔") + COUNTIF(E35:AI35, "v") + COUNTIF(E35:AI35, "V")) &amp; "/" &amp; D35, (COUNTIF(E35:AI35, "✓") + COUNTIF(E35:AI35, "✔") + COUNTIF(E35:AI35, "v") + COUNTIF(E35:AI35, "V")) &amp; "/0"), IF(((COUNTIF(E35:AI35, "✓") + COUNTIF(E35:AI35, "✔") + COUNTIF(E35:AI35, "v") + COUNTIF(E35:AI35, "V")) + COUNTIF(E35:AI35, "✗") + COUNTIF(E35:AI35, "x") + COUNTIF(E35:AI35, "X"))&gt;0, (COUNTIF(E35:AI35, "✓") + COUNTIF(E35:AI35, "✔") + COUNTIF(E35:AI35, "v") + COUNTIF(E35:AI35, "V")) &amp; "/" &amp; ((COUNTIF(E35:AI35, "✓") + COUNTIF(E35:AI35, "✔") + COUNTIF(E35:AI35, "v") + COUNTIF(E35:AI35, "V")) + COUNTIF(E35:AI35, "✗") + COUNTIF(E35:AI35, "x") + COUNTIF(E35:AI35, "X")), "")))</f>
        <v/>
      </c>
      <c r="AL35" s="131">
        <f>IF(ISBLANK(B35), "", IF(AJ35&gt;=0.85, "🔥 Mastered", IF(AJ35&gt;=0.7, "⚡ Consistent", "⚠️ Needs Focus")))</f>
        <v/>
      </c>
      <c r="AM35">
        <f>COUNTIF(E35:AI35, "✓")</f>
        <v/>
      </c>
    </row>
    <row r="36" ht="14.5" customHeight="1">
      <c r="A36" s="125" t="n">
        <v>19</v>
      </c>
      <c r="B36" s="126" t="n"/>
      <c r="C36" s="127" t="n"/>
      <c r="D36" s="127" t="n"/>
      <c r="E36" s="128" t="n"/>
      <c r="F36" s="128" t="n"/>
      <c r="G36" s="128" t="n"/>
      <c r="H36" s="128" t="n"/>
      <c r="I36" s="128" t="n"/>
      <c r="J36" s="128" t="n"/>
      <c r="K36" s="129" t="n"/>
      <c r="L36" s="128" t="n"/>
      <c r="M36" s="128" t="n"/>
      <c r="N36" s="128" t="n"/>
      <c r="O36" s="128" t="n"/>
      <c r="P36" s="128" t="n"/>
      <c r="Q36" s="128" t="n"/>
      <c r="R36" s="129" t="n"/>
      <c r="S36" s="128" t="n"/>
      <c r="T36" s="128" t="n"/>
      <c r="U36" s="128" t="n"/>
      <c r="V36" s="128" t="n"/>
      <c r="W36" s="128" t="n"/>
      <c r="X36" s="128" t="n"/>
      <c r="Y36" s="129" t="n"/>
      <c r="Z36" s="128" t="n"/>
      <c r="AA36" s="128" t="n"/>
      <c r="AB36" s="128" t="n"/>
      <c r="AC36" s="128" t="n"/>
      <c r="AD36" s="128" t="n"/>
      <c r="AE36" s="128" t="n"/>
      <c r="AF36" s="129" t="n"/>
      <c r="AG36" s="128" t="n"/>
      <c r="AH36" s="128" t="n"/>
      <c r="AI36" s="128" t="n"/>
      <c r="AJ36" s="130">
        <f>IF(ISBLANK(B36), "", IF(ISNUMBER(D36), IF(D36&gt;0, (COUNTIF(E36:AI36, "✓") + COUNTIF(E36:AI36, "✔") + COUNTIF(E36:AI36, "v") + COUNTIF(E36:AI36, "V"))/D36, 0), IF(((COUNTIF(E36:AI36, "✓") + COUNTIF(E36:AI36, "✔") + COUNTIF(E36:AI36, "v") + COUNTIF(E36:AI36, "V")) + COUNTIF(E36:AI36, "✗") + COUNTIF(E36:AI36, "x") + COUNTIF(E36:AI36, "X"))&gt;0, (COUNTIF(E36:AI36, "✓") + COUNTIF(E36:AI36, "✔") + COUNTIF(E36:AI36, "v") + COUNTIF(E36:AI36, "V"))/((COUNTIF(E36:AI36, "✓") + COUNTIF(E36:AI36, "✔") + COUNTIF(E36:AI36, "v") + COUNTIF(E36:AI36, "V")) + COUNTIF(E36:AI36, "✗") + COUNTIF(E36:AI36, "x") + COUNTIF(E36:AI36, "X")), "")))</f>
        <v/>
      </c>
      <c r="AK36" s="131">
        <f>IF(ISBLANK(B36), "", IF(ISNUMBER(D36), IF(D36&gt;0, (COUNTIF(E36:AI36, "✓") + COUNTIF(E36:AI36, "✔") + COUNTIF(E36:AI36, "v") + COUNTIF(E36:AI36, "V")) &amp; "/" &amp; D36, (COUNTIF(E36:AI36, "✓") + COUNTIF(E36:AI36, "✔") + COUNTIF(E36:AI36, "v") + COUNTIF(E36:AI36, "V")) &amp; "/0"), IF(((COUNTIF(E36:AI36, "✓") + COUNTIF(E36:AI36, "✔") + COUNTIF(E36:AI36, "v") + COUNTIF(E36:AI36, "V")) + COUNTIF(E36:AI36, "✗") + COUNTIF(E36:AI36, "x") + COUNTIF(E36:AI36, "X"))&gt;0, (COUNTIF(E36:AI36, "✓") + COUNTIF(E36:AI36, "✔") + COUNTIF(E36:AI36, "v") + COUNTIF(E36:AI36, "V")) &amp; "/" &amp; ((COUNTIF(E36:AI36, "✓") + COUNTIF(E36:AI36, "✔") + COUNTIF(E36:AI36, "v") + COUNTIF(E36:AI36, "V")) + COUNTIF(E36:AI36, "✗") + COUNTIF(E36:AI36, "x") + COUNTIF(E36:AI36, "X")), "")))</f>
        <v/>
      </c>
      <c r="AL36" s="131">
        <f>IF(ISBLANK(B36), "", IF(AJ36&gt;=0.85, "🔥 Mastered", IF(AJ36&gt;=0.7, "⚡ Consistent", "⚠️ Needs Focus")))</f>
        <v/>
      </c>
      <c r="AM36">
        <f>COUNTIF(E36:AI36, "✓")</f>
        <v/>
      </c>
    </row>
    <row r="37" ht="14.5" customHeight="1">
      <c r="A37" s="125" t="n">
        <v>20</v>
      </c>
      <c r="B37" s="126" t="n"/>
      <c r="C37" s="127" t="n"/>
      <c r="D37" s="127" t="n"/>
      <c r="E37" s="128" t="n"/>
      <c r="F37" s="128" t="n"/>
      <c r="G37" s="128" t="n"/>
      <c r="H37" s="128" t="n"/>
      <c r="I37" s="128" t="n"/>
      <c r="J37" s="128" t="n"/>
      <c r="K37" s="129" t="n"/>
      <c r="L37" s="128" t="n"/>
      <c r="M37" s="128" t="n"/>
      <c r="N37" s="128" t="n"/>
      <c r="O37" s="128" t="n"/>
      <c r="P37" s="128" t="n"/>
      <c r="Q37" s="128" t="n"/>
      <c r="R37" s="129" t="n"/>
      <c r="S37" s="128" t="n"/>
      <c r="T37" s="128" t="n"/>
      <c r="U37" s="128" t="n"/>
      <c r="V37" s="128" t="n"/>
      <c r="W37" s="128" t="n"/>
      <c r="X37" s="128" t="n"/>
      <c r="Y37" s="129" t="n"/>
      <c r="Z37" s="128" t="n"/>
      <c r="AA37" s="128" t="n"/>
      <c r="AB37" s="128" t="n"/>
      <c r="AC37" s="128" t="n"/>
      <c r="AD37" s="128" t="n"/>
      <c r="AE37" s="128" t="n"/>
      <c r="AF37" s="129" t="n"/>
      <c r="AG37" s="128" t="n"/>
      <c r="AH37" s="128" t="n"/>
      <c r="AI37" s="128" t="n"/>
      <c r="AJ37" s="130">
        <f>IF(ISBLANK(B37), "", IF(ISNUMBER(D37), IF(D37&gt;0, (COUNTIF(E37:AI37, "✓") + COUNTIF(E37:AI37, "✔") + COUNTIF(E37:AI37, "v") + COUNTIF(E37:AI37, "V"))/D37, 0), IF(((COUNTIF(E37:AI37, "✓") + COUNTIF(E37:AI37, "✔") + COUNTIF(E37:AI37, "v") + COUNTIF(E37:AI37, "V")) + COUNTIF(E37:AI37, "✗") + COUNTIF(E37:AI37, "x") + COUNTIF(E37:AI37, "X"))&gt;0, (COUNTIF(E37:AI37, "✓") + COUNTIF(E37:AI37, "✔") + COUNTIF(E37:AI37, "v") + COUNTIF(E37:AI37, "V"))/((COUNTIF(E37:AI37, "✓") + COUNTIF(E37:AI37, "✔") + COUNTIF(E37:AI37, "v") + COUNTIF(E37:AI37, "V")) + COUNTIF(E37:AI37, "✗") + COUNTIF(E37:AI37, "x") + COUNTIF(E37:AI37, "X")), "")))</f>
        <v/>
      </c>
      <c r="AK37" s="131">
        <f>IF(ISBLANK(B37), "", IF(ISNUMBER(D37), IF(D37&gt;0, (COUNTIF(E37:AI37, "✓") + COUNTIF(E37:AI37, "✔") + COUNTIF(E37:AI37, "v") + COUNTIF(E37:AI37, "V")) &amp; "/" &amp; D37, (COUNTIF(E37:AI37, "✓") + COUNTIF(E37:AI37, "✔") + COUNTIF(E37:AI37, "v") + COUNTIF(E37:AI37, "V")) &amp; "/0"), IF(((COUNTIF(E37:AI37, "✓") + COUNTIF(E37:AI37, "✔") + COUNTIF(E37:AI37, "v") + COUNTIF(E37:AI37, "V")) + COUNTIF(E37:AI37, "✗") + COUNTIF(E37:AI37, "x") + COUNTIF(E37:AI37, "X"))&gt;0, (COUNTIF(E37:AI37, "✓") + COUNTIF(E37:AI37, "✔") + COUNTIF(E37:AI37, "v") + COUNTIF(E37:AI37, "V")) &amp; "/" &amp; ((COUNTIF(E37:AI37, "✓") + COUNTIF(E37:AI37, "✔") + COUNTIF(E37:AI37, "v") + COUNTIF(E37:AI37, "V")) + COUNTIF(E37:AI37, "✗") + COUNTIF(E37:AI37, "x") + COUNTIF(E37:AI37, "X")), "")))</f>
        <v/>
      </c>
      <c r="AL37" s="131">
        <f>IF(ISBLANK(B37), "", IF(AJ37&gt;=0.85, "🔥 Mastered", IF(AJ37&gt;=0.7, "⚡ Consistent", "⚠️ Needs Focus")))</f>
        <v/>
      </c>
      <c r="AM37">
        <f>COUNTIF(E37:AI37, "✓")</f>
        <v/>
      </c>
    </row>
    <row r="38" ht="18" customHeight="1">
      <c r="A38" s="132" t="inlineStr">
        <is>
          <t>DAILY TOTAL SCORE</t>
        </is>
      </c>
      <c r="B38" s="54" t="n"/>
      <c r="C38" s="54" t="n"/>
      <c r="D38" s="54" t="n"/>
      <c r="E38" s="33">
        <f>IF(((COUNTIF(E18:E37, "✓") + COUNTIF(E18:E37, "✔") + COUNTIF(E18:E37, "v") + COUNTIF(E18:E37, "V")) + COUNTIF(E18:E37, "✗") + COUNTIF(E18:E37, "x") + COUNTIF(E18:E37, "X")) &gt; 0, (COUNTIF(E18:E37, "✓") + COUNTIF(E18:E37, "✔") + COUNTIF(E18:E37, "v") + COUNTIF(E18:E37, "V")) &amp; "/" &amp; ((COUNTIF(E18:E37, "✓") + COUNTIF(E18:E37, "✔") + COUNTIF(E18:E37, "v") + COUNTIF(E18:E37, "V")) + COUNTIF(E18:E37, "✗") + COUNTIF(E18:E37, "x") + COUNTIF(E18:E37, "X")), "")</f>
        <v/>
      </c>
      <c r="F38" s="33">
        <f>IF(((COUNTIF(F18:F37, "✓") + COUNTIF(F18:F37, "✔") + COUNTIF(F18:F37, "v") + COUNTIF(F18:F37, "V")) + COUNTIF(F18:F37, "✗") + COUNTIF(F18:F37, "x") + COUNTIF(F18:F37, "X")) &gt; 0, (COUNTIF(F18:F37, "✓") + COUNTIF(F18:F37, "✔") + COUNTIF(F18:F37, "v") + COUNTIF(F18:F37, "V")) &amp; "/" &amp; ((COUNTIF(F18:F37, "✓") + COUNTIF(F18:F37, "✔") + COUNTIF(F18:F37, "v") + COUNTIF(F18:F37, "V")) + COUNTIF(F18:F37, "✗") + COUNTIF(F18:F37, "x") + COUNTIF(F18:F37, "X")), "")</f>
        <v/>
      </c>
      <c r="G38" s="33">
        <f>IF(((COUNTIF(G18:G37, "✓") + COUNTIF(G18:G37, "✔") + COUNTIF(G18:G37, "v") + COUNTIF(G18:G37, "V")) + COUNTIF(G18:G37, "✗") + COUNTIF(G18:G37, "x") + COUNTIF(G18:G37, "X")) &gt; 0, (COUNTIF(G18:G37, "✓") + COUNTIF(G18:G37, "✔") + COUNTIF(G18:G37, "v") + COUNTIF(G18:G37, "V")) &amp; "/" &amp; ((COUNTIF(G18:G37, "✓") + COUNTIF(G18:G37, "✔") + COUNTIF(G18:G37, "v") + COUNTIF(G18:G37, "V")) + COUNTIF(G18:G37, "✗") + COUNTIF(G18:G37, "x") + COUNTIF(G18:G37, "X")), "")</f>
        <v/>
      </c>
      <c r="H38" s="33">
        <f>IF(((COUNTIF(H18:H37, "✓") + COUNTIF(H18:H37, "✔") + COUNTIF(H18:H37, "v") + COUNTIF(H18:H37, "V")) + COUNTIF(H18:H37, "✗") + COUNTIF(H18:H37, "x") + COUNTIF(H18:H37, "X")) &gt; 0, (COUNTIF(H18:H37, "✓") + COUNTIF(H18:H37, "✔") + COUNTIF(H18:H37, "v") + COUNTIF(H18:H37, "V")) &amp; "/" &amp; ((COUNTIF(H18:H37, "✓") + COUNTIF(H18:H37, "✔") + COUNTIF(H18:H37, "v") + COUNTIF(H18:H37, "V")) + COUNTIF(H18:H37, "✗") + COUNTIF(H18:H37, "x") + COUNTIF(H18:H37, "X")), "")</f>
        <v/>
      </c>
      <c r="I38" s="33">
        <f>IF(((COUNTIF(I18:I37, "✓") + COUNTIF(I18:I37, "✔") + COUNTIF(I18:I37, "v") + COUNTIF(I18:I37, "V")) + COUNTIF(I18:I37, "✗") + COUNTIF(I18:I37, "x") + COUNTIF(I18:I37, "X")) &gt; 0, (COUNTIF(I18:I37, "✓") + COUNTIF(I18:I37, "✔") + COUNTIF(I18:I37, "v") + COUNTIF(I18:I37, "V")) &amp; "/" &amp; ((COUNTIF(I18:I37, "✓") + COUNTIF(I18:I37, "✔") + COUNTIF(I18:I37, "v") + COUNTIF(I18:I37, "V")) + COUNTIF(I18:I37, "✗") + COUNTIF(I18:I37, "x") + COUNTIF(I18:I37, "X")), "")</f>
        <v/>
      </c>
      <c r="J38" s="33">
        <f>IF(((COUNTIF(J18:J37, "✓") + COUNTIF(J18:J37, "✔") + COUNTIF(J18:J37, "v") + COUNTIF(J18:J37, "V")) + COUNTIF(J18:J37, "✗") + COUNTIF(J18:J37, "x") + COUNTIF(J18:J37, "X")) &gt; 0, (COUNTIF(J18:J37, "✓") + COUNTIF(J18:J37, "✔") + COUNTIF(J18:J37, "v") + COUNTIF(J18:J37, "V")) &amp; "/" &amp; ((COUNTIF(J18:J37, "✓") + COUNTIF(J18:J37, "✔") + COUNTIF(J18:J37, "v") + COUNTIF(J18:J37, "V")) + COUNTIF(J18:J37, "✗") + COUNTIF(J18:J37, "x") + COUNTIF(J18:J37, "X")), "")</f>
        <v/>
      </c>
      <c r="K38" s="33">
        <f>IF(((COUNTIF(K18:K37, "✓") + COUNTIF(K18:K37, "✔") + COUNTIF(K18:K37, "v") + COUNTIF(K18:K37, "V")) + COUNTIF(K18:K37, "✗") + COUNTIF(K18:K37, "x") + COUNTIF(K18:K37, "X")) &gt; 0, (COUNTIF(K18:K37, "✓") + COUNTIF(K18:K37, "✔") + COUNTIF(K18:K37, "v") + COUNTIF(K18:K37, "V")) &amp; "/" &amp; ((COUNTIF(K18:K37, "✓") + COUNTIF(K18:K37, "✔") + COUNTIF(K18:K37, "v") + COUNTIF(K18:K37, "V")) + COUNTIF(K18:K37, "✗") + COUNTIF(K18:K37, "x") + COUNTIF(K18:K37, "X")), "")</f>
        <v/>
      </c>
      <c r="L38" s="33">
        <f>IF(((COUNTIF(L18:L37, "✓") + COUNTIF(L18:L37, "✔") + COUNTIF(L18:L37, "v") + COUNTIF(L18:L37, "V")) + COUNTIF(L18:L37, "✗") + COUNTIF(L18:L37, "x") + COUNTIF(L18:L37, "X")) &gt; 0, (COUNTIF(L18:L37, "✓") + COUNTIF(L18:L37, "✔") + COUNTIF(L18:L37, "v") + COUNTIF(L18:L37, "V")) &amp; "/" &amp; ((COUNTIF(L18:L37, "✓") + COUNTIF(L18:L37, "✔") + COUNTIF(L18:L37, "v") + COUNTIF(L18:L37, "V")) + COUNTIF(L18:L37, "✗") + COUNTIF(L18:L37, "x") + COUNTIF(L18:L37, "X")), "")</f>
        <v/>
      </c>
      <c r="M38" s="33">
        <f>IF(((COUNTIF(M18:M37, "✓") + COUNTIF(M18:M37, "✔") + COUNTIF(M18:M37, "v") + COUNTIF(M18:M37, "V")) + COUNTIF(M18:M37, "✗") + COUNTIF(M18:M37, "x") + COUNTIF(M18:M37, "X")) &gt; 0, (COUNTIF(M18:M37, "✓") + COUNTIF(M18:M37, "✔") + COUNTIF(M18:M37, "v") + COUNTIF(M18:M37, "V")) &amp; "/" &amp; ((COUNTIF(M18:M37, "✓") + COUNTIF(M18:M37, "✔") + COUNTIF(M18:M37, "v") + COUNTIF(M18:M37, "V")) + COUNTIF(M18:M37, "✗") + COUNTIF(M18:M37, "x") + COUNTIF(M18:M37, "X")), "")</f>
        <v/>
      </c>
      <c r="N38" s="33">
        <f>IF(((COUNTIF(N18:N37, "✓") + COUNTIF(N18:N37, "✔") + COUNTIF(N18:N37, "v") + COUNTIF(N18:N37, "V")) + COUNTIF(N18:N37, "✗") + COUNTIF(N18:N37, "x") + COUNTIF(N18:N37, "X")) &gt; 0, (COUNTIF(N18:N37, "✓") + COUNTIF(N18:N37, "✔") + COUNTIF(N18:N37, "v") + COUNTIF(N18:N37, "V")) &amp; "/" &amp; ((COUNTIF(N18:N37, "✓") + COUNTIF(N18:N37, "✔") + COUNTIF(N18:N37, "v") + COUNTIF(N18:N37, "V")) + COUNTIF(N18:N37, "✗") + COUNTIF(N18:N37, "x") + COUNTIF(N18:N37, "X")), "")</f>
        <v/>
      </c>
      <c r="O38" s="33">
        <f>IF(((COUNTIF(O18:O37, "✓") + COUNTIF(O18:O37, "✔") + COUNTIF(O18:O37, "v") + COUNTIF(O18:O37, "V")) + COUNTIF(O18:O37, "✗") + COUNTIF(O18:O37, "x") + COUNTIF(O18:O37, "X")) &gt; 0, (COUNTIF(O18:O37, "✓") + COUNTIF(O18:O37, "✔") + COUNTIF(O18:O37, "v") + COUNTIF(O18:O37, "V")) &amp; "/" &amp; ((COUNTIF(O18:O37, "✓") + COUNTIF(O18:O37, "✔") + COUNTIF(O18:O37, "v") + COUNTIF(O18:O37, "V")) + COUNTIF(O18:O37, "✗") + COUNTIF(O18:O37, "x") + COUNTIF(O18:O37, "X")), "")</f>
        <v/>
      </c>
      <c r="P38" s="33">
        <f>IF(((COUNTIF(P18:P37, "✓") + COUNTIF(P18:P37, "✔") + COUNTIF(P18:P37, "v") + COUNTIF(P18:P37, "V")) + COUNTIF(P18:P37, "✗") + COUNTIF(P18:P37, "x") + COUNTIF(P18:P37, "X")) &gt; 0, (COUNTIF(P18:P37, "✓") + COUNTIF(P18:P37, "✔") + COUNTIF(P18:P37, "v") + COUNTIF(P18:P37, "V")) &amp; "/" &amp; ((COUNTIF(P18:P37, "✓") + COUNTIF(P18:P37, "✔") + COUNTIF(P18:P37, "v") + COUNTIF(P18:P37, "V")) + COUNTIF(P18:P37, "✗") + COUNTIF(P18:P37, "x") + COUNTIF(P18:P37, "X")), "")</f>
        <v/>
      </c>
      <c r="Q38" s="33">
        <f>IF(((COUNTIF(Q18:Q37, "✓") + COUNTIF(Q18:Q37, "✔") + COUNTIF(Q18:Q37, "v") + COUNTIF(Q18:Q37, "V")) + COUNTIF(Q18:Q37, "✗") + COUNTIF(Q18:Q37, "x") + COUNTIF(Q18:Q37, "X")) &gt; 0, (COUNTIF(Q18:Q37, "✓") + COUNTIF(Q18:Q37, "✔") + COUNTIF(Q18:Q37, "v") + COUNTIF(Q18:Q37, "V")) &amp; "/" &amp; ((COUNTIF(Q18:Q37, "✓") + COUNTIF(Q18:Q37, "✔") + COUNTIF(Q18:Q37, "v") + COUNTIF(Q18:Q37, "V")) + COUNTIF(Q18:Q37, "✗") + COUNTIF(Q18:Q37, "x") + COUNTIF(Q18:Q37, "X")), "")</f>
        <v/>
      </c>
      <c r="R38" s="33">
        <f>IF(((COUNTIF(R18:R37, "✓") + COUNTIF(R18:R37, "✔") + COUNTIF(R18:R37, "v") + COUNTIF(R18:R37, "V")) + COUNTIF(R18:R37, "✗") + COUNTIF(R18:R37, "x") + COUNTIF(R18:R37, "X")) &gt; 0, (COUNTIF(R18:R37, "✓") + COUNTIF(R18:R37, "✔") + COUNTIF(R18:R37, "v") + COUNTIF(R18:R37, "V")) &amp; "/" &amp; ((COUNTIF(R18:R37, "✓") + COUNTIF(R18:R37, "✔") + COUNTIF(R18:R37, "v") + COUNTIF(R18:R37, "V")) + COUNTIF(R18:R37, "✗") + COUNTIF(R18:R37, "x") + COUNTIF(R18:R37, "X")), "")</f>
        <v/>
      </c>
      <c r="S38" s="33">
        <f>IF(((COUNTIF(S18:S37, "✓") + COUNTIF(S18:S37, "✔") + COUNTIF(S18:S37, "v") + COUNTIF(S18:S37, "V")) + COUNTIF(S18:S37, "✗") + COUNTIF(S18:S37, "x") + COUNTIF(S18:S37, "X")) &gt; 0, (COUNTIF(S18:S37, "✓") + COUNTIF(S18:S37, "✔") + COUNTIF(S18:S37, "v") + COUNTIF(S18:S37, "V")) &amp; "/" &amp; ((COUNTIF(S18:S37, "✓") + COUNTIF(S18:S37, "✔") + COUNTIF(S18:S37, "v") + COUNTIF(S18:S37, "V")) + COUNTIF(S18:S37, "✗") + COUNTIF(S18:S37, "x") + COUNTIF(S18:S37, "X")), "")</f>
        <v/>
      </c>
      <c r="T38" s="33">
        <f>IF(((COUNTIF(T18:T37, "✓") + COUNTIF(T18:T37, "✔") + COUNTIF(T18:T37, "v") + COUNTIF(T18:T37, "V")) + COUNTIF(T18:T37, "✗") + COUNTIF(T18:T37, "x") + COUNTIF(T18:T37, "X")) &gt; 0, (COUNTIF(T18:T37, "✓") + COUNTIF(T18:T37, "✔") + COUNTIF(T18:T37, "v") + COUNTIF(T18:T37, "V")) &amp; "/" &amp; ((COUNTIF(T18:T37, "✓") + COUNTIF(T18:T37, "✔") + COUNTIF(T18:T37, "v") + COUNTIF(T18:T37, "V")) + COUNTIF(T18:T37, "✗") + COUNTIF(T18:T37, "x") + COUNTIF(T18:T37, "X")), "")</f>
        <v/>
      </c>
      <c r="U38" s="33">
        <f>IF(((COUNTIF(U18:U37, "✓") + COUNTIF(U18:U37, "✔") + COUNTIF(U18:U37, "v") + COUNTIF(U18:U37, "V")) + COUNTIF(U18:U37, "✗") + COUNTIF(U18:U37, "x") + COUNTIF(U18:U37, "X")) &gt; 0, (COUNTIF(U18:U37, "✓") + COUNTIF(U18:U37, "✔") + COUNTIF(U18:U37, "v") + COUNTIF(U18:U37, "V")) &amp; "/" &amp; ((COUNTIF(U18:U37, "✓") + COUNTIF(U18:U37, "✔") + COUNTIF(U18:U37, "v") + COUNTIF(U18:U37, "V")) + COUNTIF(U18:U37, "✗") + COUNTIF(U18:U37, "x") + COUNTIF(U18:U37, "X")), "")</f>
        <v/>
      </c>
      <c r="V38" s="33">
        <f>IF(((COUNTIF(V18:V37, "✓") + COUNTIF(V18:V37, "✔") + COUNTIF(V18:V37, "v") + COUNTIF(V18:V37, "V")) + COUNTIF(V18:V37, "✗") + COUNTIF(V18:V37, "x") + COUNTIF(V18:V37, "X")) &gt; 0, (COUNTIF(V18:V37, "✓") + COUNTIF(V18:V37, "✔") + COUNTIF(V18:V37, "v") + COUNTIF(V18:V37, "V")) &amp; "/" &amp; ((COUNTIF(V18:V37, "✓") + COUNTIF(V18:V37, "✔") + COUNTIF(V18:V37, "v") + COUNTIF(V18:V37, "V")) + COUNTIF(V18:V37, "✗") + COUNTIF(V18:V37, "x") + COUNTIF(V18:V37, "X")), "")</f>
        <v/>
      </c>
      <c r="W38" s="33">
        <f>IF(((COUNTIF(W18:W37, "✓") + COUNTIF(W18:W37, "✔") + COUNTIF(W18:W37, "v") + COUNTIF(W18:W37, "V")) + COUNTIF(W18:W37, "✗") + COUNTIF(W18:W37, "x") + COUNTIF(W18:W37, "X")) &gt; 0, (COUNTIF(W18:W37, "✓") + COUNTIF(W18:W37, "✔") + COUNTIF(W18:W37, "v") + COUNTIF(W18:W37, "V")) &amp; "/" &amp; ((COUNTIF(W18:W37, "✓") + COUNTIF(W18:W37, "✔") + COUNTIF(W18:W37, "v") + COUNTIF(W18:W37, "V")) + COUNTIF(W18:W37, "✗") + COUNTIF(W18:W37, "x") + COUNTIF(W18:W37, "X")), "")</f>
        <v/>
      </c>
      <c r="X38" s="33">
        <f>IF(((COUNTIF(X18:X37, "✓") + COUNTIF(X18:X37, "✔") + COUNTIF(X18:X37, "v") + COUNTIF(X18:X37, "V")) + COUNTIF(X18:X37, "✗") + COUNTIF(X18:X37, "x") + COUNTIF(X18:X37, "X")) &gt; 0, (COUNTIF(X18:X37, "✓") + COUNTIF(X18:X37, "✔") + COUNTIF(X18:X37, "v") + COUNTIF(X18:X37, "V")) &amp; "/" &amp; ((COUNTIF(X18:X37, "✓") + COUNTIF(X18:X37, "✔") + COUNTIF(X18:X37, "v") + COUNTIF(X18:X37, "V")) + COUNTIF(X18:X37, "✗") + COUNTIF(X18:X37, "x") + COUNTIF(X18:X37, "X")), "")</f>
        <v/>
      </c>
      <c r="Y38" s="33">
        <f>IF(((COUNTIF(Y18:Y37, "✓") + COUNTIF(Y18:Y37, "✔") + COUNTIF(Y18:Y37, "v") + COUNTIF(Y18:Y37, "V")) + COUNTIF(Y18:Y37, "✗") + COUNTIF(Y18:Y37, "x") + COUNTIF(Y18:Y37, "X")) &gt; 0, (COUNTIF(Y18:Y37, "✓") + COUNTIF(Y18:Y37, "✔") + COUNTIF(Y18:Y37, "v") + COUNTIF(Y18:Y37, "V")) &amp; "/" &amp; ((COUNTIF(Y18:Y37, "✓") + COUNTIF(Y18:Y37, "✔") + COUNTIF(Y18:Y37, "v") + COUNTIF(Y18:Y37, "V")) + COUNTIF(Y18:Y37, "✗") + COUNTIF(Y18:Y37, "x") + COUNTIF(Y18:Y37, "X")), "")</f>
        <v/>
      </c>
      <c r="Z38" s="33">
        <f>IF(((COUNTIF(Z18:Z37, "✓") + COUNTIF(Z18:Z37, "✔") + COUNTIF(Z18:Z37, "v") + COUNTIF(Z18:Z37, "V")) + COUNTIF(Z18:Z37, "✗") + COUNTIF(Z18:Z37, "x") + COUNTIF(Z18:Z37, "X")) &gt; 0, (COUNTIF(Z18:Z37, "✓") + COUNTIF(Z18:Z37, "✔") + COUNTIF(Z18:Z37, "v") + COUNTIF(Z18:Z37, "V")) &amp; "/" &amp; ((COUNTIF(Z18:Z37, "✓") + COUNTIF(Z18:Z37, "✔") + COUNTIF(Z18:Z37, "v") + COUNTIF(Z18:Z37, "V")) + COUNTIF(Z18:Z37, "✗") + COUNTIF(Z18:Z37, "x") + COUNTIF(Z18:Z37, "X")), "")</f>
        <v/>
      </c>
      <c r="AA38" s="33">
        <f>IF(((COUNTIF(AA18:AA37, "✓") + COUNTIF(AA18:AA37, "✔") + COUNTIF(AA18:AA37, "v") + COUNTIF(AA18:AA37, "V")) + COUNTIF(AA18:AA37, "✗") + COUNTIF(AA18:AA37, "x") + COUNTIF(AA18:AA37, "X")) &gt; 0, (COUNTIF(AA18:AA37, "✓") + COUNTIF(AA18:AA37, "✔") + COUNTIF(AA18:AA37, "v") + COUNTIF(AA18:AA37, "V")) &amp; "/" &amp; ((COUNTIF(AA18:AA37, "✓") + COUNTIF(AA18:AA37, "✔") + COUNTIF(AA18:AA37, "v") + COUNTIF(AA18:AA37, "V")) + COUNTIF(AA18:AA37, "✗") + COUNTIF(AA18:AA37, "x") + COUNTIF(AA18:AA37, "X")), "")</f>
        <v/>
      </c>
      <c r="AB38" s="33">
        <f>IF(((COUNTIF(AB18:AB37, "✓") + COUNTIF(AB18:AB37, "✔") + COUNTIF(AB18:AB37, "v") + COUNTIF(AB18:AB37, "V")) + COUNTIF(AB18:AB37, "✗") + COUNTIF(AB18:AB37, "x") + COUNTIF(AB18:AB37, "X")) &gt; 0, (COUNTIF(AB18:AB37, "✓") + COUNTIF(AB18:AB37, "✔") + COUNTIF(AB18:AB37, "v") + COUNTIF(AB18:AB37, "V")) &amp; "/" &amp; ((COUNTIF(AB18:AB37, "✓") + COUNTIF(AB18:AB37, "✔") + COUNTIF(AB18:AB37, "v") + COUNTIF(AB18:AB37, "V")) + COUNTIF(AB18:AB37, "✗") + COUNTIF(AB18:AB37, "x") + COUNTIF(AB18:AB37, "X")), "")</f>
        <v/>
      </c>
      <c r="AC38" s="33">
        <f>IF(((COUNTIF(AC18:AC37, "✓") + COUNTIF(AC18:AC37, "✔") + COUNTIF(AC18:AC37, "v") + COUNTIF(AC18:AC37, "V")) + COUNTIF(AC18:AC37, "✗") + COUNTIF(AC18:AC37, "x") + COUNTIF(AC18:AC37, "X")) &gt; 0, (COUNTIF(AC18:AC37, "✓") + COUNTIF(AC18:AC37, "✔") + COUNTIF(AC18:AC37, "v") + COUNTIF(AC18:AC37, "V")) &amp; "/" &amp; ((COUNTIF(AC18:AC37, "✓") + COUNTIF(AC18:AC37, "✔") + COUNTIF(AC18:AC37, "v") + COUNTIF(AC18:AC37, "V")) + COUNTIF(AC18:AC37, "✗") + COUNTIF(AC18:AC37, "x") + COUNTIF(AC18:AC37, "X")), "")</f>
        <v/>
      </c>
      <c r="AD38" s="33">
        <f>IF(((COUNTIF(AD18:AD37, "✓") + COUNTIF(AD18:AD37, "✔") + COUNTIF(AD18:AD37, "v") + COUNTIF(AD18:AD37, "V")) + COUNTIF(AD18:AD37, "✗") + COUNTIF(AD18:AD37, "x") + COUNTIF(AD18:AD37, "X")) &gt; 0, (COUNTIF(AD18:AD37, "✓") + COUNTIF(AD18:AD37, "✔") + COUNTIF(AD18:AD37, "v") + COUNTIF(AD18:AD37, "V")) &amp; "/" &amp; ((COUNTIF(AD18:AD37, "✓") + COUNTIF(AD18:AD37, "✔") + COUNTIF(AD18:AD37, "v") + COUNTIF(AD18:AD37, "V")) + COUNTIF(AD18:AD37, "✗") + COUNTIF(AD18:AD37, "x") + COUNTIF(AD18:AD37, "X")), "")</f>
        <v/>
      </c>
      <c r="AE38" s="33">
        <f>IF(((COUNTIF(AE18:AE37, "✓") + COUNTIF(AE18:AE37, "✔") + COUNTIF(AE18:AE37, "v") + COUNTIF(AE18:AE37, "V")) + COUNTIF(AE18:AE37, "✗") + COUNTIF(AE18:AE37, "x") + COUNTIF(AE18:AE37, "X")) &gt; 0, (COUNTIF(AE18:AE37, "✓") + COUNTIF(AE18:AE37, "✔") + COUNTIF(AE18:AE37, "v") + COUNTIF(AE18:AE37, "V")) &amp; "/" &amp; ((COUNTIF(AE18:AE37, "✓") + COUNTIF(AE18:AE37, "✔") + COUNTIF(AE18:AE37, "v") + COUNTIF(AE18:AE37, "V")) + COUNTIF(AE18:AE37, "✗") + COUNTIF(AE18:AE37, "x") + COUNTIF(AE18:AE37, "X")), "")</f>
        <v/>
      </c>
      <c r="AF38" s="33">
        <f>IF(((COUNTIF(AF18:AF37, "✓") + COUNTIF(AF18:AF37, "✔") + COUNTIF(AF18:AF37, "v") + COUNTIF(AF18:AF37, "V")) + COUNTIF(AF18:AF37, "✗") + COUNTIF(AF18:AF37, "x") + COUNTIF(AF18:AF37, "X")) &gt; 0, (COUNTIF(AF18:AF37, "✓") + COUNTIF(AF18:AF37, "✔") + COUNTIF(AF18:AF37, "v") + COUNTIF(AF18:AF37, "V")) &amp; "/" &amp; ((COUNTIF(AF18:AF37, "✓") + COUNTIF(AF18:AF37, "✔") + COUNTIF(AF18:AF37, "v") + COUNTIF(AF18:AF37, "V")) + COUNTIF(AF18:AF37, "✗") + COUNTIF(AF18:AF37, "x") + COUNTIF(AF18:AF37, "X")), "")</f>
        <v/>
      </c>
      <c r="AG38" s="33">
        <f>IF(((COUNTIF(AG18:AG37, "✓") + COUNTIF(AG18:AG37, "✔") + COUNTIF(AG18:AG37, "v") + COUNTIF(AG18:AG37, "V")) + COUNTIF(AG18:AG37, "✗") + COUNTIF(AG18:AG37, "x") + COUNTIF(AG18:AG37, "X")) &gt; 0, (COUNTIF(AG18:AG37, "✓") + COUNTIF(AG18:AG37, "✔") + COUNTIF(AG18:AG37, "v") + COUNTIF(AG18:AG37, "V")) &amp; "/" &amp; ((COUNTIF(AG18:AG37, "✓") + COUNTIF(AG18:AG37, "✔") + COUNTIF(AG18:AG37, "v") + COUNTIF(AG18:AG37, "V")) + COUNTIF(AG18:AG37, "✗") + COUNTIF(AG18:AG37, "x") + COUNTIF(AG18:AG37, "X")), "")</f>
        <v/>
      </c>
      <c r="AH38" s="33">
        <f>IF(((COUNTIF(AH18:AH37, "✓") + COUNTIF(AH18:AH37, "✔") + COUNTIF(AH18:AH37, "v") + COUNTIF(AH18:AH37, "V")) + COUNTIF(AH18:AH37, "✗") + COUNTIF(AH18:AH37, "x") + COUNTIF(AH18:AH37, "X")) &gt; 0, (COUNTIF(AH18:AH37, "✓") + COUNTIF(AH18:AH37, "✔") + COUNTIF(AH18:AH37, "v") + COUNTIF(AH18:AH37, "V")) &amp; "/" &amp; ((COUNTIF(AH18:AH37, "✓") + COUNTIF(AH18:AH37, "✔") + COUNTIF(AH18:AH37, "v") + COUNTIF(AH18:AH37, "V")) + COUNTIF(AH18:AH37, "✗") + COUNTIF(AH18:AH37, "x") + COUNTIF(AH18:AH37, "X")), "")</f>
        <v/>
      </c>
      <c r="AI38" s="33">
        <f>IF(((COUNTIF(AI18:AI37, "✓") + COUNTIF(AI18:AI37, "✔") + COUNTIF(AI18:AI37, "v") + COUNTIF(AI18:AI37, "V")) + COUNTIF(AI18:AI37, "✗") + COUNTIF(AI18:AI37, "x") + COUNTIF(AI18:AI37, "X")) &gt; 0, (COUNTIF(AI18:AI37, "✓") + COUNTIF(AI18:AI37, "✔") + COUNTIF(AI18:AI37, "v") + COUNTIF(AI18:AI37, "V")) &amp; "/" &amp; ((COUNTIF(AI18:AI37, "✓") + COUNTIF(AI18:AI37, "✔") + COUNTIF(AI18:AI37, "v") + COUNTIF(AI18:AI37, "V")) + COUNTIF(AI18:AI37, "✗") + COUNTIF(AI18:AI37, "x") + COUNTIF(AI18:AI37, "X")), "")</f>
        <v/>
      </c>
      <c r="AJ38" s="133">
        <f>IF(SUM(D18:D37) &gt; 0, SUM(AM18:AM37) / SUM(D18:D37), "")</f>
        <v/>
      </c>
      <c r="AK38" s="33">
        <f>IF(SUM(D18:D37) &gt; 0, SUM(AM18:AM37) &amp; "/" &amp; SUM(D18:D37), "")</f>
        <v/>
      </c>
      <c r="AL38" s="54" t="n"/>
    </row>
    <row r="39" ht="18" customHeight="1">
      <c r="A39" s="132" t="inlineStr">
        <is>
          <t>DAILY SUCCESS %</t>
        </is>
      </c>
      <c r="B39" s="54" t="n"/>
      <c r="C39" s="54" t="n"/>
      <c r="D39" s="54" t="n"/>
      <c r="E39" s="134">
        <f>IF(((COUNTIF(E18:E37, "✓") + COUNTIF(E18:E37, "✔") + COUNTIF(E18:E37, "v") + COUNTIF(E18:E37, "V")) + COUNTIF(E18:E37, "✗") + COUNTIF(E18:E37, "x") + COUNTIF(E18:E37, "X")) &gt; 0, (COUNTIF(E18:E37, "✓") + COUNTIF(E18:E37, "✔") + COUNTIF(E18:E37, "v") + COUNTIF(E18:E37, "V")) / ((COUNTIF(E18:E37, "✓") + COUNTIF(E18:E37, "✔") + COUNTIF(E18:E37, "v") + COUNTIF(E18:E37, "V")) + COUNTIF(E18:E37, "✗") + COUNTIF(E18:E37, "x") + COUNTIF(E18:E37, "X")), "")</f>
        <v/>
      </c>
      <c r="F39" s="134">
        <f>IF(((COUNTIF(F18:F37, "✓") + COUNTIF(F18:F37, "✔") + COUNTIF(F18:F37, "v") + COUNTIF(F18:F37, "V")) + COUNTIF(F18:F37, "✗") + COUNTIF(F18:F37, "x") + COUNTIF(F18:F37, "X")) &gt; 0, (COUNTIF(F18:F37, "✓") + COUNTIF(F18:F37, "✔") + COUNTIF(F18:F37, "v") + COUNTIF(F18:F37, "V")) / ((COUNTIF(F18:F37, "✓") + COUNTIF(F18:F37, "✔") + COUNTIF(F18:F37, "v") + COUNTIF(F18:F37, "V")) + COUNTIF(F18:F37, "✗") + COUNTIF(F18:F37, "x") + COUNTIF(F18:F37, "X")), "")</f>
        <v/>
      </c>
      <c r="G39" s="134">
        <f>IF(((COUNTIF(G18:G37, "✓") + COUNTIF(G18:G37, "✔") + COUNTIF(G18:G37, "v") + COUNTIF(G18:G37, "V")) + COUNTIF(G18:G37, "✗") + COUNTIF(G18:G37, "x") + COUNTIF(G18:G37, "X")) &gt; 0, (COUNTIF(G18:G37, "✓") + COUNTIF(G18:G37, "✔") + COUNTIF(G18:G37, "v") + COUNTIF(G18:G37, "V")) / ((COUNTIF(G18:G37, "✓") + COUNTIF(G18:G37, "✔") + COUNTIF(G18:G37, "v") + COUNTIF(G18:G37, "V")) + COUNTIF(G18:G37, "✗") + COUNTIF(G18:G37, "x") + COUNTIF(G18:G37, "X")), "")</f>
        <v/>
      </c>
      <c r="H39" s="134">
        <f>IF(((COUNTIF(H18:H37, "✓") + COUNTIF(H18:H37, "✔") + COUNTIF(H18:H37, "v") + COUNTIF(H18:H37, "V")) + COUNTIF(H18:H37, "✗") + COUNTIF(H18:H37, "x") + COUNTIF(H18:H37, "X")) &gt; 0, (COUNTIF(H18:H37, "✓") + COUNTIF(H18:H37, "✔") + COUNTIF(H18:H37, "v") + COUNTIF(H18:H37, "V")) / ((COUNTIF(H18:H37, "✓") + COUNTIF(H18:H37, "✔") + COUNTIF(H18:H37, "v") + COUNTIF(H18:H37, "V")) + COUNTIF(H18:H37, "✗") + COUNTIF(H18:H37, "x") + COUNTIF(H18:H37, "X")), "")</f>
        <v/>
      </c>
      <c r="I39" s="134">
        <f>IF(((COUNTIF(I18:I37, "✓") + COUNTIF(I18:I37, "✔") + COUNTIF(I18:I37, "v") + COUNTIF(I18:I37, "V")) + COUNTIF(I18:I37, "✗") + COUNTIF(I18:I37, "x") + COUNTIF(I18:I37, "X")) &gt; 0, (COUNTIF(I18:I37, "✓") + COUNTIF(I18:I37, "✔") + COUNTIF(I18:I37, "v") + COUNTIF(I18:I37, "V")) / ((COUNTIF(I18:I37, "✓") + COUNTIF(I18:I37, "✔") + COUNTIF(I18:I37, "v") + COUNTIF(I18:I37, "V")) + COUNTIF(I18:I37, "✗") + COUNTIF(I18:I37, "x") + COUNTIF(I18:I37, "X")), "")</f>
        <v/>
      </c>
      <c r="J39" s="134">
        <f>IF(((COUNTIF(J18:J37, "✓") + COUNTIF(J18:J37, "✔") + COUNTIF(J18:J37, "v") + COUNTIF(J18:J37, "V")) + COUNTIF(J18:J37, "✗") + COUNTIF(J18:J37, "x") + COUNTIF(J18:J37, "X")) &gt; 0, (COUNTIF(J18:J37, "✓") + COUNTIF(J18:J37, "✔") + COUNTIF(J18:J37, "v") + COUNTIF(J18:J37, "V")) / ((COUNTIF(J18:J37, "✓") + COUNTIF(J18:J37, "✔") + COUNTIF(J18:J37, "v") + COUNTIF(J18:J37, "V")) + COUNTIF(J18:J37, "✗") + COUNTIF(J18:J37, "x") + COUNTIF(J18:J37, "X")), "")</f>
        <v/>
      </c>
      <c r="K39" s="134">
        <f>IF(((COUNTIF(K18:K37, "✓") + COUNTIF(K18:K37, "✔") + COUNTIF(K18:K37, "v") + COUNTIF(K18:K37, "V")) + COUNTIF(K18:K37, "✗") + COUNTIF(K18:K37, "x") + COUNTIF(K18:K37, "X")) &gt; 0, (COUNTIF(K18:K37, "✓") + COUNTIF(K18:K37, "✔") + COUNTIF(K18:K37, "v") + COUNTIF(K18:K37, "V")) / ((COUNTIF(K18:K37, "✓") + COUNTIF(K18:K37, "✔") + COUNTIF(K18:K37, "v") + COUNTIF(K18:K37, "V")) + COUNTIF(K18:K37, "✗") + COUNTIF(K18:K37, "x") + COUNTIF(K18:K37, "X")), "")</f>
        <v/>
      </c>
      <c r="L39" s="134">
        <f>IF(((COUNTIF(L18:L37, "✓") + COUNTIF(L18:L37, "✔") + COUNTIF(L18:L37, "v") + COUNTIF(L18:L37, "V")) + COUNTIF(L18:L37, "✗") + COUNTIF(L18:L37, "x") + COUNTIF(L18:L37, "X")) &gt; 0, (COUNTIF(L18:L37, "✓") + COUNTIF(L18:L37, "✔") + COUNTIF(L18:L37, "v") + COUNTIF(L18:L37, "V")) / ((COUNTIF(L18:L37, "✓") + COUNTIF(L18:L37, "✔") + COUNTIF(L18:L37, "v") + COUNTIF(L18:L37, "V")) + COUNTIF(L18:L37, "✗") + COUNTIF(L18:L37, "x") + COUNTIF(L18:L37, "X")), "")</f>
        <v/>
      </c>
      <c r="M39" s="134">
        <f>IF(((COUNTIF(M18:M37, "✓") + COUNTIF(M18:M37, "✔") + COUNTIF(M18:M37, "v") + COUNTIF(M18:M37, "V")) + COUNTIF(M18:M37, "✗") + COUNTIF(M18:M37, "x") + COUNTIF(M18:M37, "X")) &gt; 0, (COUNTIF(M18:M37, "✓") + COUNTIF(M18:M37, "✔") + COUNTIF(M18:M37, "v") + COUNTIF(M18:M37, "V")) / ((COUNTIF(M18:M37, "✓") + COUNTIF(M18:M37, "✔") + COUNTIF(M18:M37, "v") + COUNTIF(M18:M37, "V")) + COUNTIF(M18:M37, "✗") + COUNTIF(M18:M37, "x") + COUNTIF(M18:M37, "X")), "")</f>
        <v/>
      </c>
      <c r="N39" s="134">
        <f>IF(((COUNTIF(N18:N37, "✓") + COUNTIF(N18:N37, "✔") + COUNTIF(N18:N37, "v") + COUNTIF(N18:N37, "V")) + COUNTIF(N18:N37, "✗") + COUNTIF(N18:N37, "x") + COUNTIF(N18:N37, "X")) &gt; 0, (COUNTIF(N18:N37, "✓") + COUNTIF(N18:N37, "✔") + COUNTIF(N18:N37, "v") + COUNTIF(N18:N37, "V")) / ((COUNTIF(N18:N37, "✓") + COUNTIF(N18:N37, "✔") + COUNTIF(N18:N37, "v") + COUNTIF(N18:N37, "V")) + COUNTIF(N18:N37, "✗") + COUNTIF(N18:N37, "x") + COUNTIF(N18:N37, "X")), "")</f>
        <v/>
      </c>
      <c r="O39" s="134">
        <f>IF(((COUNTIF(O18:O37, "✓") + COUNTIF(O18:O37, "✔") + COUNTIF(O18:O37, "v") + COUNTIF(O18:O37, "V")) + COUNTIF(O18:O37, "✗") + COUNTIF(O18:O37, "x") + COUNTIF(O18:O37, "X")) &gt; 0, (COUNTIF(O18:O37, "✓") + COUNTIF(O18:O37, "✔") + COUNTIF(O18:O37, "v") + COUNTIF(O18:O37, "V")) / ((COUNTIF(O18:O37, "✓") + COUNTIF(O18:O37, "✔") + COUNTIF(O18:O37, "v") + COUNTIF(O18:O37, "V")) + COUNTIF(O18:O37, "✗") + COUNTIF(O18:O37, "x") + COUNTIF(O18:O37, "X")), "")</f>
        <v/>
      </c>
      <c r="P39" s="134">
        <f>IF(((COUNTIF(P18:P37, "✓") + COUNTIF(P18:P37, "✔") + COUNTIF(P18:P37, "v") + COUNTIF(P18:P37, "V")) + COUNTIF(P18:P37, "✗") + COUNTIF(P18:P37, "x") + COUNTIF(P18:P37, "X")) &gt; 0, (COUNTIF(P18:P37, "✓") + COUNTIF(P18:P37, "✔") + COUNTIF(P18:P37, "v") + COUNTIF(P18:P37, "V")) / ((COUNTIF(P18:P37, "✓") + COUNTIF(P18:P37, "✔") + COUNTIF(P18:P37, "v") + COUNTIF(P18:P37, "V")) + COUNTIF(P18:P37, "✗") + COUNTIF(P18:P37, "x") + COUNTIF(P18:P37, "X")), "")</f>
        <v/>
      </c>
      <c r="Q39" s="134">
        <f>IF(((COUNTIF(Q18:Q37, "✓") + COUNTIF(Q18:Q37, "✔") + COUNTIF(Q18:Q37, "v") + COUNTIF(Q18:Q37, "V")) + COUNTIF(Q18:Q37, "✗") + COUNTIF(Q18:Q37, "x") + COUNTIF(Q18:Q37, "X")) &gt; 0, (COUNTIF(Q18:Q37, "✓") + COUNTIF(Q18:Q37, "✔") + COUNTIF(Q18:Q37, "v") + COUNTIF(Q18:Q37, "V")) / ((COUNTIF(Q18:Q37, "✓") + COUNTIF(Q18:Q37, "✔") + COUNTIF(Q18:Q37, "v") + COUNTIF(Q18:Q37, "V")) + COUNTIF(Q18:Q37, "✗") + COUNTIF(Q18:Q37, "x") + COUNTIF(Q18:Q37, "X")), "")</f>
        <v/>
      </c>
      <c r="R39" s="134">
        <f>IF(((COUNTIF(R18:R37, "✓") + COUNTIF(R18:R37, "✔") + COUNTIF(R18:R37, "v") + COUNTIF(R18:R37, "V")) + COUNTIF(R18:R37, "✗") + COUNTIF(R18:R37, "x") + COUNTIF(R18:R37, "X")) &gt; 0, (COUNTIF(R18:R37, "✓") + COUNTIF(R18:R37, "✔") + COUNTIF(R18:R37, "v") + COUNTIF(R18:R37, "V")) / ((COUNTIF(R18:R37, "✓") + COUNTIF(R18:R37, "✔") + COUNTIF(R18:R37, "v") + COUNTIF(R18:R37, "V")) + COUNTIF(R18:R37, "✗") + COUNTIF(R18:R37, "x") + COUNTIF(R18:R37, "X")), "")</f>
        <v/>
      </c>
      <c r="S39" s="134">
        <f>IF(((COUNTIF(S18:S37, "✓") + COUNTIF(S18:S37, "✔") + COUNTIF(S18:S37, "v") + COUNTIF(S18:S37, "V")) + COUNTIF(S18:S37, "✗") + COUNTIF(S18:S37, "x") + COUNTIF(S18:S37, "X")) &gt; 0, (COUNTIF(S18:S37, "✓") + COUNTIF(S18:S37, "✔") + COUNTIF(S18:S37, "v") + COUNTIF(S18:S37, "V")) / ((COUNTIF(S18:S37, "✓") + COUNTIF(S18:S37, "✔") + COUNTIF(S18:S37, "v") + COUNTIF(S18:S37, "V")) + COUNTIF(S18:S37, "✗") + COUNTIF(S18:S37, "x") + COUNTIF(S18:S37, "X")), "")</f>
        <v/>
      </c>
      <c r="T39" s="134">
        <f>IF(((COUNTIF(T18:T37, "✓") + COUNTIF(T18:T37, "✔") + COUNTIF(T18:T37, "v") + COUNTIF(T18:T37, "V")) + COUNTIF(T18:T37, "✗") + COUNTIF(T18:T37, "x") + COUNTIF(T18:T37, "X")) &gt; 0, (COUNTIF(T18:T37, "✓") + COUNTIF(T18:T37, "✔") + COUNTIF(T18:T37, "v") + COUNTIF(T18:T37, "V")) / ((COUNTIF(T18:T37, "✓") + COUNTIF(T18:T37, "✔") + COUNTIF(T18:T37, "v") + COUNTIF(T18:T37, "V")) + COUNTIF(T18:T37, "✗") + COUNTIF(T18:T37, "x") + COUNTIF(T18:T37, "X")), "")</f>
        <v/>
      </c>
      <c r="U39" s="134">
        <f>IF(((COUNTIF(U18:U37, "✓") + COUNTIF(U18:U37, "✔") + COUNTIF(U18:U37, "v") + COUNTIF(U18:U37, "V")) + COUNTIF(U18:U37, "✗") + COUNTIF(U18:U37, "x") + COUNTIF(U18:U37, "X")) &gt; 0, (COUNTIF(U18:U37, "✓") + COUNTIF(U18:U37, "✔") + COUNTIF(U18:U37, "v") + COUNTIF(U18:U37, "V")) / ((COUNTIF(U18:U37, "✓") + COUNTIF(U18:U37, "✔") + COUNTIF(U18:U37, "v") + COUNTIF(U18:U37, "V")) + COUNTIF(U18:U37, "✗") + COUNTIF(U18:U37, "x") + COUNTIF(U18:U37, "X")), "")</f>
        <v/>
      </c>
      <c r="V39" s="134">
        <f>IF(((COUNTIF(V18:V37, "✓") + COUNTIF(V18:V37, "✔") + COUNTIF(V18:V37, "v") + COUNTIF(V18:V37, "V")) + COUNTIF(V18:V37, "✗") + COUNTIF(V18:V37, "x") + COUNTIF(V18:V37, "X")) &gt; 0, (COUNTIF(V18:V37, "✓") + COUNTIF(V18:V37, "✔") + COUNTIF(V18:V37, "v") + COUNTIF(V18:V37, "V")) / ((COUNTIF(V18:V37, "✓") + COUNTIF(V18:V37, "✔") + COUNTIF(V18:V37, "v") + COUNTIF(V18:V37, "V")) + COUNTIF(V18:V37, "✗") + COUNTIF(V18:V37, "x") + COUNTIF(V18:V37, "X")), "")</f>
        <v/>
      </c>
      <c r="W39" s="134">
        <f>IF(((COUNTIF(W18:W37, "✓") + COUNTIF(W18:W37, "✔") + COUNTIF(W18:W37, "v") + COUNTIF(W18:W37, "V")) + COUNTIF(W18:W37, "✗") + COUNTIF(W18:W37, "x") + COUNTIF(W18:W37, "X")) &gt; 0, (COUNTIF(W18:W37, "✓") + COUNTIF(W18:W37, "✔") + COUNTIF(W18:W37, "v") + COUNTIF(W18:W37, "V")) / ((COUNTIF(W18:W37, "✓") + COUNTIF(W18:W37, "✔") + COUNTIF(W18:W37, "v") + COUNTIF(W18:W37, "V")) + COUNTIF(W18:W37, "✗") + COUNTIF(W18:W37, "x") + COUNTIF(W18:W37, "X")), "")</f>
        <v/>
      </c>
      <c r="X39" s="134">
        <f>IF(((COUNTIF(X18:X37, "✓") + COUNTIF(X18:X37, "✔") + COUNTIF(X18:X37, "v") + COUNTIF(X18:X37, "V")) + COUNTIF(X18:X37, "✗") + COUNTIF(X18:X37, "x") + COUNTIF(X18:X37, "X")) &gt; 0, (COUNTIF(X18:X37, "✓") + COUNTIF(X18:X37, "✔") + COUNTIF(X18:X37, "v") + COUNTIF(X18:X37, "V")) / ((COUNTIF(X18:X37, "✓") + COUNTIF(X18:X37, "✔") + COUNTIF(X18:X37, "v") + COUNTIF(X18:X37, "V")) + COUNTIF(X18:X37, "✗") + COUNTIF(X18:X37, "x") + COUNTIF(X18:X37, "X")), "")</f>
        <v/>
      </c>
      <c r="Y39" s="134">
        <f>IF(((COUNTIF(Y18:Y37, "✓") + COUNTIF(Y18:Y37, "✔") + COUNTIF(Y18:Y37, "v") + COUNTIF(Y18:Y37, "V")) + COUNTIF(Y18:Y37, "✗") + COUNTIF(Y18:Y37, "x") + COUNTIF(Y18:Y37, "X")) &gt; 0, (COUNTIF(Y18:Y37, "✓") + COUNTIF(Y18:Y37, "✔") + COUNTIF(Y18:Y37, "v") + COUNTIF(Y18:Y37, "V")) / ((COUNTIF(Y18:Y37, "✓") + COUNTIF(Y18:Y37, "✔") + COUNTIF(Y18:Y37, "v") + COUNTIF(Y18:Y37, "V")) + COUNTIF(Y18:Y37, "✗") + COUNTIF(Y18:Y37, "x") + COUNTIF(Y18:Y37, "X")), "")</f>
        <v/>
      </c>
      <c r="Z39" s="134">
        <f>IF(((COUNTIF(Z18:Z37, "✓") + COUNTIF(Z18:Z37, "✔") + COUNTIF(Z18:Z37, "v") + COUNTIF(Z18:Z37, "V")) + COUNTIF(Z18:Z37, "✗") + COUNTIF(Z18:Z37, "x") + COUNTIF(Z18:Z37, "X")) &gt; 0, (COUNTIF(Z18:Z37, "✓") + COUNTIF(Z18:Z37, "✔") + COUNTIF(Z18:Z37, "v") + COUNTIF(Z18:Z37, "V")) / ((COUNTIF(Z18:Z37, "✓") + COUNTIF(Z18:Z37, "✔") + COUNTIF(Z18:Z37, "v") + COUNTIF(Z18:Z37, "V")) + COUNTIF(Z18:Z37, "✗") + COUNTIF(Z18:Z37, "x") + COUNTIF(Z18:Z37, "X")), "")</f>
        <v/>
      </c>
      <c r="AA39" s="134">
        <f>IF(((COUNTIF(AA18:AA37, "✓") + COUNTIF(AA18:AA37, "✔") + COUNTIF(AA18:AA37, "v") + COUNTIF(AA18:AA37, "V")) + COUNTIF(AA18:AA37, "✗") + COUNTIF(AA18:AA37, "x") + COUNTIF(AA18:AA37, "X")) &gt; 0, (COUNTIF(AA18:AA37, "✓") + COUNTIF(AA18:AA37, "✔") + COUNTIF(AA18:AA37, "v") + COUNTIF(AA18:AA37, "V")) / ((COUNTIF(AA18:AA37, "✓") + COUNTIF(AA18:AA37, "✔") + COUNTIF(AA18:AA37, "v") + COUNTIF(AA18:AA37, "V")) + COUNTIF(AA18:AA37, "✗") + COUNTIF(AA18:AA37, "x") + COUNTIF(AA18:AA37, "X")), "")</f>
        <v/>
      </c>
      <c r="AB39" s="134">
        <f>IF(((COUNTIF(AB18:AB37, "✓") + COUNTIF(AB18:AB37, "✔") + COUNTIF(AB18:AB37, "v") + COUNTIF(AB18:AB37, "V")) + COUNTIF(AB18:AB37, "✗") + COUNTIF(AB18:AB37, "x") + COUNTIF(AB18:AB37, "X")) &gt; 0, (COUNTIF(AB18:AB37, "✓") + COUNTIF(AB18:AB37, "✔") + COUNTIF(AB18:AB37, "v") + COUNTIF(AB18:AB37, "V")) / ((COUNTIF(AB18:AB37, "✓") + COUNTIF(AB18:AB37, "✔") + COUNTIF(AB18:AB37, "v") + COUNTIF(AB18:AB37, "V")) + COUNTIF(AB18:AB37, "✗") + COUNTIF(AB18:AB37, "x") + COUNTIF(AB18:AB37, "X")), "")</f>
        <v/>
      </c>
      <c r="AC39" s="134">
        <f>IF(((COUNTIF(AC18:AC37, "✓") + COUNTIF(AC18:AC37, "✔") + COUNTIF(AC18:AC37, "v") + COUNTIF(AC18:AC37, "V")) + COUNTIF(AC18:AC37, "✗") + COUNTIF(AC18:AC37, "x") + COUNTIF(AC18:AC37, "X")) &gt; 0, (COUNTIF(AC18:AC37, "✓") + COUNTIF(AC18:AC37, "✔") + COUNTIF(AC18:AC37, "v") + COUNTIF(AC18:AC37, "V")) / ((COUNTIF(AC18:AC37, "✓") + COUNTIF(AC18:AC37, "✔") + COUNTIF(AC18:AC37, "v") + COUNTIF(AC18:AC37, "V")) + COUNTIF(AC18:AC37, "✗") + COUNTIF(AC18:AC37, "x") + COUNTIF(AC18:AC37, "X")), "")</f>
        <v/>
      </c>
      <c r="AD39" s="134">
        <f>IF(((COUNTIF(AD18:AD37, "✓") + COUNTIF(AD18:AD37, "✔") + COUNTIF(AD18:AD37, "v") + COUNTIF(AD18:AD37, "V")) + COUNTIF(AD18:AD37, "✗") + COUNTIF(AD18:AD37, "x") + COUNTIF(AD18:AD37, "X")) &gt; 0, (COUNTIF(AD18:AD37, "✓") + COUNTIF(AD18:AD37, "✔") + COUNTIF(AD18:AD37, "v") + COUNTIF(AD18:AD37, "V")) / ((COUNTIF(AD18:AD37, "✓") + COUNTIF(AD18:AD37, "✔") + COUNTIF(AD18:AD37, "v") + COUNTIF(AD18:AD37, "V")) + COUNTIF(AD18:AD37, "✗") + COUNTIF(AD18:AD37, "x") + COUNTIF(AD18:AD37, "X")), "")</f>
        <v/>
      </c>
      <c r="AE39" s="134">
        <f>IF(((COUNTIF(AE18:AE37, "✓") + COUNTIF(AE18:AE37, "✔") + COUNTIF(AE18:AE37, "v") + COUNTIF(AE18:AE37, "V")) + COUNTIF(AE18:AE37, "✗") + COUNTIF(AE18:AE37, "x") + COUNTIF(AE18:AE37, "X")) &gt; 0, (COUNTIF(AE18:AE37, "✓") + COUNTIF(AE18:AE37, "✔") + COUNTIF(AE18:AE37, "v") + COUNTIF(AE18:AE37, "V")) / ((COUNTIF(AE18:AE37, "✓") + COUNTIF(AE18:AE37, "✔") + COUNTIF(AE18:AE37, "v") + COUNTIF(AE18:AE37, "V")) + COUNTIF(AE18:AE37, "✗") + COUNTIF(AE18:AE37, "x") + COUNTIF(AE18:AE37, "X")), "")</f>
        <v/>
      </c>
      <c r="AF39" s="134">
        <f>IF(((COUNTIF(AF18:AF37, "✓") + COUNTIF(AF18:AF37, "✔") + COUNTIF(AF18:AF37, "v") + COUNTIF(AF18:AF37, "V")) + COUNTIF(AF18:AF37, "✗") + COUNTIF(AF18:AF37, "x") + COUNTIF(AF18:AF37, "X")) &gt; 0, (COUNTIF(AF18:AF37, "✓") + COUNTIF(AF18:AF37, "✔") + COUNTIF(AF18:AF37, "v") + COUNTIF(AF18:AF37, "V")) / ((COUNTIF(AF18:AF37, "✓") + COUNTIF(AF18:AF37, "✔") + COUNTIF(AF18:AF37, "v") + COUNTIF(AF18:AF37, "V")) + COUNTIF(AF18:AF37, "✗") + COUNTIF(AF18:AF37, "x") + COUNTIF(AF18:AF37, "X")), "")</f>
        <v/>
      </c>
      <c r="AG39" s="134">
        <f>IF(((COUNTIF(AG18:AG37, "✓") + COUNTIF(AG18:AG37, "✔") + COUNTIF(AG18:AG37, "v") + COUNTIF(AG18:AG37, "V")) + COUNTIF(AG18:AG37, "✗") + COUNTIF(AG18:AG37, "x") + COUNTIF(AG18:AG37, "X")) &gt; 0, (COUNTIF(AG18:AG37, "✓") + COUNTIF(AG18:AG37, "✔") + COUNTIF(AG18:AG37, "v") + COUNTIF(AG18:AG37, "V")) / ((COUNTIF(AG18:AG37, "✓") + COUNTIF(AG18:AG37, "✔") + COUNTIF(AG18:AG37, "v") + COUNTIF(AG18:AG37, "V")) + COUNTIF(AG18:AG37, "✗") + COUNTIF(AG18:AG37, "x") + COUNTIF(AG18:AG37, "X")), "")</f>
        <v/>
      </c>
      <c r="AH39" s="134">
        <f>IF(((COUNTIF(AH18:AH37, "✓") + COUNTIF(AH18:AH37, "✔") + COUNTIF(AH18:AH37, "v") + COUNTIF(AH18:AH37, "V")) + COUNTIF(AH18:AH37, "✗") + COUNTIF(AH18:AH37, "x") + COUNTIF(AH18:AH37, "X")) &gt; 0, (COUNTIF(AH18:AH37, "✓") + COUNTIF(AH18:AH37, "✔") + COUNTIF(AH18:AH37, "v") + COUNTIF(AH18:AH37, "V")) / ((COUNTIF(AH18:AH37, "✓") + COUNTIF(AH18:AH37, "✔") + COUNTIF(AH18:AH37, "v") + COUNTIF(AH18:AH37, "V")) + COUNTIF(AH18:AH37, "✗") + COUNTIF(AH18:AH37, "x") + COUNTIF(AH18:AH37, "X")), "")</f>
        <v/>
      </c>
      <c r="AI39" s="134">
        <f>IF(((COUNTIF(AI18:AI37, "✓") + COUNTIF(AI18:AI37, "✔") + COUNTIF(AI18:AI37, "v") + COUNTIF(AI18:AI37, "V")) + COUNTIF(AI18:AI37, "✗") + COUNTIF(AI18:AI37, "x") + COUNTIF(AI18:AI37, "X")) &gt; 0, (COUNTIF(AI18:AI37, "✓") + COUNTIF(AI18:AI37, "✔") + COUNTIF(AI18:AI37, "v") + COUNTIF(AI18:AI37, "V")) / ((COUNTIF(AI18:AI37, "✓") + COUNTIF(AI18:AI37, "✔") + COUNTIF(AI18:AI37, "v") + COUNTIF(AI18:AI37, "V")) + COUNTIF(AI18:AI37, "✗") + COUNTIF(AI18:AI37, "x") + COUNTIF(AI18:AI37, "X")), "")</f>
        <v/>
      </c>
      <c r="AJ39" s="133">
        <f>IF(COUNT(E39:AI39) &gt; 0, AVERAGE(E39:AI39), "")</f>
        <v/>
      </c>
      <c r="AK39" s="54" t="n"/>
      <c r="AL39" s="54" t="n"/>
    </row>
    <row r="40" ht="6" customHeight="1"/>
    <row r="41" ht="15" customHeight="1">
      <c r="A41" s="135" t="inlineStr">
        <is>
          <t>IF SUCCESS &lt; 80%, PUNISHMENT: ________________________________________________</t>
        </is>
      </c>
    </row>
    <row r="42" ht="15" customHeight="1">
      <c r="A42" s="136" t="inlineStr">
        <is>
          <t>IF SUCCESS &gt; 90%, REWARD: __________________________________________________</t>
        </is>
      </c>
    </row>
    <row r="43" ht="10" customHeight="1"/>
    <row r="44" ht="10" customHeight="1"/>
    <row r="45" ht="15" customHeight="1">
      <c r="A45" s="51" t="inlineStr">
        <is>
          <t>Sleep Tracking</t>
        </is>
      </c>
      <c r="B45" s="52" t="n"/>
      <c r="C45" s="52" t="n"/>
      <c r="D45" s="52" t="n"/>
      <c r="E45" s="137" t="n">
        <v>1</v>
      </c>
      <c r="F45" s="137" t="n">
        <v>2</v>
      </c>
      <c r="G45" s="137" t="n">
        <v>3</v>
      </c>
      <c r="H45" s="137" t="n">
        <v>4</v>
      </c>
      <c r="I45" s="137" t="n">
        <v>5</v>
      </c>
      <c r="J45" s="137" t="n">
        <v>6</v>
      </c>
      <c r="K45" s="138" t="n">
        <v>7</v>
      </c>
      <c r="L45" s="137" t="n">
        <v>8</v>
      </c>
      <c r="M45" s="137" t="n">
        <v>9</v>
      </c>
      <c r="N45" s="137" t="n">
        <v>10</v>
      </c>
      <c r="O45" s="137" t="n">
        <v>11</v>
      </c>
      <c r="P45" s="137" t="n">
        <v>12</v>
      </c>
      <c r="Q45" s="137" t="n">
        <v>13</v>
      </c>
      <c r="R45" s="138" t="n">
        <v>14</v>
      </c>
      <c r="S45" s="137" t="n">
        <v>15</v>
      </c>
      <c r="T45" s="137" t="n">
        <v>16</v>
      </c>
      <c r="U45" s="137" t="n">
        <v>17</v>
      </c>
      <c r="V45" s="137" t="n">
        <v>18</v>
      </c>
      <c r="W45" s="137" t="n">
        <v>19</v>
      </c>
      <c r="X45" s="137" t="n">
        <v>20</v>
      </c>
      <c r="Y45" s="138" t="n">
        <v>21</v>
      </c>
      <c r="Z45" s="137" t="n">
        <v>22</v>
      </c>
      <c r="AA45" s="137" t="n">
        <v>23</v>
      </c>
      <c r="AB45" s="137" t="n">
        <v>24</v>
      </c>
      <c r="AC45" s="137" t="n">
        <v>25</v>
      </c>
      <c r="AD45" s="137" t="n">
        <v>26</v>
      </c>
      <c r="AE45" s="137" t="n">
        <v>27</v>
      </c>
      <c r="AF45" s="138" t="n">
        <v>28</v>
      </c>
      <c r="AG45" s="137" t="n">
        <v>29</v>
      </c>
      <c r="AH45" s="137" t="n">
        <v>30</v>
      </c>
      <c r="AI45" s="137" t="n">
        <v>31</v>
      </c>
    </row>
    <row r="46" ht="15" customHeight="1">
      <c r="A46" s="52" t="n"/>
      <c r="B46" s="52" t="n"/>
      <c r="C46" s="52" t="n"/>
      <c r="D46" s="52" t="n"/>
      <c r="E46" s="139" t="inlineStr">
        <is>
          <t>M</t>
        </is>
      </c>
      <c r="F46" s="139" t="inlineStr">
        <is>
          <t>T</t>
        </is>
      </c>
      <c r="G46" s="139" t="inlineStr">
        <is>
          <t>W</t>
        </is>
      </c>
      <c r="H46" s="139" t="inlineStr">
        <is>
          <t>Th</t>
        </is>
      </c>
      <c r="I46" s="139" t="inlineStr">
        <is>
          <t>F</t>
        </is>
      </c>
      <c r="J46" s="139" t="inlineStr">
        <is>
          <t>Sa</t>
        </is>
      </c>
      <c r="K46" s="140" t="inlineStr">
        <is>
          <t>Su</t>
        </is>
      </c>
      <c r="L46" s="139" t="inlineStr">
        <is>
          <t>M</t>
        </is>
      </c>
      <c r="M46" s="139" t="inlineStr">
        <is>
          <t>T</t>
        </is>
      </c>
      <c r="N46" s="139" t="inlineStr">
        <is>
          <t>W</t>
        </is>
      </c>
      <c r="O46" s="139" t="inlineStr">
        <is>
          <t>Th</t>
        </is>
      </c>
      <c r="P46" s="139" t="inlineStr">
        <is>
          <t>F</t>
        </is>
      </c>
      <c r="Q46" s="139" t="inlineStr">
        <is>
          <t>Sa</t>
        </is>
      </c>
      <c r="R46" s="140" t="inlineStr">
        <is>
          <t>Su</t>
        </is>
      </c>
      <c r="S46" s="139" t="inlineStr">
        <is>
          <t>M</t>
        </is>
      </c>
      <c r="T46" s="139" t="inlineStr">
        <is>
          <t>T</t>
        </is>
      </c>
      <c r="U46" s="139" t="inlineStr">
        <is>
          <t>W</t>
        </is>
      </c>
      <c r="V46" s="139" t="inlineStr">
        <is>
          <t>Th</t>
        </is>
      </c>
      <c r="W46" s="139" t="inlineStr">
        <is>
          <t>F</t>
        </is>
      </c>
      <c r="X46" s="139" t="inlineStr">
        <is>
          <t>Sa</t>
        </is>
      </c>
      <c r="Y46" s="140" t="inlineStr">
        <is>
          <t>Su</t>
        </is>
      </c>
      <c r="Z46" s="139" t="inlineStr">
        <is>
          <t>M</t>
        </is>
      </c>
      <c r="AA46" s="139" t="inlineStr">
        <is>
          <t>T</t>
        </is>
      </c>
      <c r="AB46" s="139" t="inlineStr">
        <is>
          <t>W</t>
        </is>
      </c>
      <c r="AC46" s="139" t="inlineStr">
        <is>
          <t>Th</t>
        </is>
      </c>
      <c r="AD46" s="139" t="inlineStr">
        <is>
          <t>F</t>
        </is>
      </c>
      <c r="AE46" s="139" t="inlineStr">
        <is>
          <t>Sa</t>
        </is>
      </c>
      <c r="AF46" s="140" t="inlineStr">
        <is>
          <t>Su</t>
        </is>
      </c>
      <c r="AG46" s="139" t="inlineStr">
        <is>
          <t>M</t>
        </is>
      </c>
      <c r="AH46" s="139" t="inlineStr">
        <is>
          <t>T</t>
        </is>
      </c>
      <c r="AI46" s="139" t="inlineStr">
        <is>
          <t>W</t>
        </is>
      </c>
    </row>
    <row r="47" ht="20" customHeight="1">
      <c r="A47" s="141" t="inlineStr">
        <is>
          <t>Sleep Hours (1-24)</t>
        </is>
      </c>
      <c r="B47" s="142" t="n"/>
      <c r="C47" s="142" t="n"/>
      <c r="D47" s="142" t="n"/>
      <c r="E47" s="143" t="n"/>
      <c r="F47" s="143" t="n"/>
      <c r="G47" s="143" t="n"/>
      <c r="H47" s="143" t="n"/>
      <c r="I47" s="143" t="n"/>
      <c r="J47" s="143" t="n"/>
      <c r="K47" s="144" t="n"/>
      <c r="L47" s="143" t="n"/>
      <c r="M47" s="143" t="n"/>
      <c r="N47" s="143" t="n"/>
      <c r="O47" s="143" t="n"/>
      <c r="P47" s="143" t="n"/>
      <c r="Q47" s="143" t="n"/>
      <c r="R47" s="144" t="n"/>
      <c r="S47" s="143" t="n"/>
      <c r="T47" s="143" t="n"/>
      <c r="U47" s="143" t="n"/>
      <c r="V47" s="143" t="n"/>
      <c r="W47" s="143" t="n"/>
      <c r="X47" s="143" t="n"/>
      <c r="Y47" s="144" t="n"/>
      <c r="Z47" s="143" t="n"/>
      <c r="AA47" s="143" t="n"/>
      <c r="AB47" s="143" t="n"/>
      <c r="AC47" s="143" t="n"/>
      <c r="AD47" s="143" t="n"/>
      <c r="AE47" s="143" t="n"/>
      <c r="AF47" s="144" t="n"/>
      <c r="AG47" s="143" t="n"/>
      <c r="AH47" s="143" t="n"/>
      <c r="AI47" s="143" t="n"/>
    </row>
    <row r="48" ht="6" customHeight="1"/>
    <row r="49" ht="14" customHeight="1"/>
    <row r="50" ht="14" customHeight="1"/>
    <row r="51" ht="14" customHeight="1"/>
    <row r="52" ht="14" customHeight="1"/>
    <row r="53" ht="14" customHeight="1"/>
    <row r="54" ht="14" customHeight="1"/>
    <row r="55" ht="14" customHeight="1"/>
    <row r="56" ht="14" customHeight="1"/>
    <row r="57" ht="14" customHeight="1"/>
    <row r="58" ht="14" customHeight="1"/>
    <row r="59" ht="14" customHeight="1"/>
    <row r="60" ht="14" customHeight="1"/>
    <row r="61" ht="14" customHeight="1"/>
    <row r="62" ht="14" customHeight="1"/>
    <row r="63" ht="14" customHeight="1"/>
    <row r="64" ht="14" customHeight="1"/>
    <row r="65" ht="14" customHeight="1"/>
    <row r="66" ht="8" customHeight="1"/>
    <row r="67">
      <c r="A67" s="145" t="inlineStr">
        <is>
          <t>MONTHLY SUCCESS RATE</t>
        </is>
      </c>
      <c r="B67" s="9" t="n"/>
      <c r="C67" s="9" t="n"/>
      <c r="D67" s="9" t="n"/>
      <c r="F67" s="146" t="inlineStr">
        <is>
          <t>ACTIVE PROTOCOLS</t>
        </is>
      </c>
      <c r="G67" s="11" t="n"/>
      <c r="H67" s="11" t="n"/>
      <c r="I67" s="11" t="n"/>
      <c r="K67" s="147" t="inlineStr">
        <is>
          <t>PERFECT DAYS (100%)</t>
        </is>
      </c>
      <c r="L67" s="13" t="n"/>
      <c r="M67" s="13" t="n"/>
      <c r="N67" s="13" t="n"/>
      <c r="P67" s="148" t="inlineStr">
        <is>
          <t>AVG SLEEP DURATION</t>
        </is>
      </c>
      <c r="Q67" s="15" t="n"/>
      <c r="R67" s="15" t="n"/>
      <c r="S67" s="15" t="n"/>
    </row>
    <row r="68">
      <c r="A68" s="149">
        <f>IF(SUM(D18:D37)&gt;0, SUM(AM18:AM37)/SUM(D18:D37), 0)</f>
        <v/>
      </c>
      <c r="B68" s="9" t="n"/>
      <c r="C68" s="9" t="n"/>
      <c r="D68" s="9" t="n"/>
      <c r="F68" s="150">
        <f>COUNTA(B18:B37) &amp; " / 20"</f>
        <v/>
      </c>
      <c r="G68" s="11" t="n"/>
      <c r="H68" s="11" t="n"/>
      <c r="I68" s="11" t="n"/>
      <c r="K68" s="151">
        <f>COUNTIF(E39:AI39, 1) &amp; " Days"</f>
        <v/>
      </c>
      <c r="L68" s="13" t="n"/>
      <c r="M68" s="13" t="n"/>
      <c r="N68" s="13" t="n"/>
      <c r="P68" s="152">
        <f>IFERROR(TEXT(AVERAGE(E47:AI47), "0.0") &amp; " hrs", "-")</f>
        <v/>
      </c>
      <c r="Q68" s="15" t="n"/>
      <c r="R68" s="15" t="n"/>
      <c r="S68" s="15" t="n"/>
    </row>
    <row r="69">
      <c r="A69" s="9" t="n"/>
      <c r="B69" s="9" t="n"/>
      <c r="C69" s="9" t="n"/>
      <c r="D69" s="9" t="n"/>
      <c r="F69" s="11" t="n"/>
      <c r="G69" s="11" t="n"/>
      <c r="H69" s="11" t="n"/>
      <c r="I69" s="11" t="n"/>
      <c r="K69" s="13" t="n"/>
      <c r="L69" s="13" t="n"/>
      <c r="M69" s="13" t="n"/>
      <c r="N69" s="13" t="n"/>
      <c r="P69" s="15" t="n"/>
      <c r="Q69" s="15" t="n"/>
      <c r="R69" s="15" t="n"/>
      <c r="S69" s="15" t="n"/>
    </row>
    <row r="70">
      <c r="A70" s="9" t="n"/>
      <c r="B70" s="9" t="n"/>
      <c r="C70" s="9" t="n"/>
      <c r="D70" s="9" t="n"/>
      <c r="F70" s="11" t="n"/>
      <c r="G70" s="11" t="n"/>
      <c r="H70" s="11" t="n"/>
      <c r="I70" s="11" t="n"/>
      <c r="K70" s="13" t="n"/>
      <c r="L70" s="13" t="n"/>
      <c r="M70" s="13" t="n"/>
      <c r="N70" s="13" t="n"/>
      <c r="P70" s="15" t="n"/>
      <c r="Q70" s="15" t="n"/>
      <c r="R70" s="15" t="n"/>
      <c r="S70" s="15" t="n"/>
    </row>
    <row r="71">
      <c r="A71" s="153" t="inlineStr">
        <is>
          <t>Target Completion</t>
        </is>
      </c>
      <c r="B71" s="9" t="n"/>
      <c r="C71" s="9" t="n"/>
      <c r="D71" s="9" t="n"/>
      <c r="F71" s="154" t="inlineStr">
        <is>
          <t>Habits Tracked</t>
        </is>
      </c>
      <c r="G71" s="11" t="n"/>
      <c r="H71" s="11" t="n"/>
      <c r="I71" s="11" t="n"/>
      <c r="K71" s="155" t="inlineStr">
        <is>
          <t>All Marked Habits Completed</t>
        </is>
      </c>
      <c r="L71" s="13" t="n"/>
      <c r="M71" s="13" t="n"/>
      <c r="N71" s="13" t="n"/>
      <c r="P71" s="156" t="inlineStr">
        <is>
          <t>Nightly Rest Average</t>
        </is>
      </c>
      <c r="Q71" s="15" t="n"/>
      <c r="R71" s="15" t="n"/>
      <c r="S71" s="15" t="n"/>
    </row>
    <row r="72" ht="8" customHeight="1"/>
    <row r="73" ht="6" customHeight="1"/>
    <row r="74">
      <c r="A74" s="67" t="inlineStr">
        <is>
          <t>WEEKLY PERFORMANCE (SLUMP DETECTOR)</t>
        </is>
      </c>
      <c r="B74" s="29" t="n"/>
      <c r="C74" s="29" t="n"/>
      <c r="D74" s="29" t="n"/>
      <c r="E74" s="29" t="n"/>
      <c r="N74" s="157" t="inlineStr">
        <is>
          <t>LIFE DOMAIN / CATEGORY BREAKDOWN</t>
        </is>
      </c>
      <c r="O74" s="158" t="n"/>
      <c r="P74" s="158" t="n"/>
      <c r="Q74" s="158" t="n"/>
      <c r="R74" s="158" t="n"/>
      <c r="S74" s="158" t="n"/>
    </row>
    <row r="75" ht="15" customHeight="1">
      <c r="A75" s="53" t="inlineStr">
        <is>
          <t>Week</t>
        </is>
      </c>
      <c r="B75" s="53" t="inlineStr">
        <is>
          <t>Days Range</t>
        </is>
      </c>
      <c r="C75" s="53" t="inlineStr">
        <is>
          <t>Checks Done</t>
        </is>
      </c>
      <c r="D75" s="53" t="inlineStr">
        <is>
          <t>Evaluated</t>
        </is>
      </c>
      <c r="E75" s="53" t="inlineStr">
        <is>
          <t>Success %</t>
        </is>
      </c>
      <c r="N75" s="53" t="inlineStr">
        <is>
          <t>Domain / Category</t>
        </is>
      </c>
      <c r="O75" s="54" t="n"/>
      <c r="P75" s="53" t="inlineStr">
        <is>
          <t>Active Habits</t>
        </is>
      </c>
      <c r="Q75" s="53" t="inlineStr">
        <is>
          <t>Target Days</t>
        </is>
      </c>
      <c r="R75" s="53" t="inlineStr">
        <is>
          <t>Done Checks</t>
        </is>
      </c>
      <c r="S75" s="53" t="inlineStr">
        <is>
          <t>Success %</t>
        </is>
      </c>
    </row>
    <row r="76" ht="14" customHeight="1">
      <c r="A76" s="33" t="inlineStr">
        <is>
          <t>Week 1</t>
        </is>
      </c>
      <c r="B76" s="34" t="inlineStr">
        <is>
          <t>Days 1 - 7</t>
        </is>
      </c>
      <c r="C76" s="34">
        <f>COUNTIF(E18:K37, "✓")</f>
        <v/>
      </c>
      <c r="D76" s="34">
        <f>COUNTIF(E18:K37, "✓") + COUNTIF(E18:K37, "✗")</f>
        <v/>
      </c>
      <c r="E76" s="35">
        <f>IFERROR(C76/D76, 0)</f>
        <v/>
      </c>
      <c r="N76" s="60" t="inlineStr">
        <is>
          <t>Health &amp; Fitness</t>
        </is>
      </c>
      <c r="O76" s="54" t="n"/>
      <c r="P76" s="34">
        <f>COUNTIF($C$18:$C$37, "Health &amp; Fitness")</f>
        <v/>
      </c>
      <c r="Q76" s="34">
        <f>SUMIF($C$18:$C$37, "Health &amp; Fitness", $D$18:$D$37)</f>
        <v/>
      </c>
      <c r="R76" s="34">
        <f>SUMIF($C$18:$C$37, "Health &amp; Fitness", $AM$18:$AM$37)</f>
        <v/>
      </c>
      <c r="S76" s="35">
        <f>IFERROR(R76/Q76, 0)</f>
        <v/>
      </c>
    </row>
    <row r="77" ht="14" customHeight="1">
      <c r="A77" s="33" t="inlineStr">
        <is>
          <t>Week 2</t>
        </is>
      </c>
      <c r="B77" s="34" t="inlineStr">
        <is>
          <t>Days 8 - 14</t>
        </is>
      </c>
      <c r="C77" s="34">
        <f>COUNTIF(L18:R37, "✓")</f>
        <v/>
      </c>
      <c r="D77" s="34">
        <f>COUNTIF(L18:R37, "✓") + COUNTIF(L18:R37, "✗")</f>
        <v/>
      </c>
      <c r="E77" s="35">
        <f>IFERROR(C77/D77, 0)</f>
        <v/>
      </c>
      <c r="N77" s="60" t="inlineStr">
        <is>
          <t>Mindset &amp; Learning</t>
        </is>
      </c>
      <c r="O77" s="54" t="n"/>
      <c r="P77" s="34">
        <f>COUNTIF($C$18:$C$37, "Mindset &amp; Learning")</f>
        <v/>
      </c>
      <c r="Q77" s="34">
        <f>SUMIF($C$18:$C$37, "Mindset &amp; Learning", $D$18:$D$37)</f>
        <v/>
      </c>
      <c r="R77" s="34">
        <f>SUMIF($C$18:$C$37, "Mindset &amp; Learning", $AM$18:$AM$37)</f>
        <v/>
      </c>
      <c r="S77" s="35">
        <f>IFERROR(R77/Q77, 0)</f>
        <v/>
      </c>
    </row>
    <row r="78" ht="14" customHeight="1">
      <c r="A78" s="33" t="inlineStr">
        <is>
          <t>Week 3</t>
        </is>
      </c>
      <c r="B78" s="34" t="inlineStr">
        <is>
          <t>Days 15 - 21</t>
        </is>
      </c>
      <c r="C78" s="34">
        <f>COUNTIF(S18:Y37, "✓")</f>
        <v/>
      </c>
      <c r="D78" s="34">
        <f>COUNTIF(S18:Y37, "✓") + COUNTIF(S18:Y37, "✗")</f>
        <v/>
      </c>
      <c r="E78" s="35">
        <f>IFERROR(C78/D78, 0)</f>
        <v/>
      </c>
      <c r="N78" s="60" t="inlineStr">
        <is>
          <t>Career &amp; Focus</t>
        </is>
      </c>
      <c r="O78" s="54" t="n"/>
      <c r="P78" s="34">
        <f>COUNTIF($C$18:$C$37, "Career &amp; Focus")</f>
        <v/>
      </c>
      <c r="Q78" s="34">
        <f>SUMIF($C$18:$C$37, "Career &amp; Focus", $D$18:$D$37)</f>
        <v/>
      </c>
      <c r="R78" s="34">
        <f>SUMIF($C$18:$C$37, "Career &amp; Focus", $AM$18:$AM$37)</f>
        <v/>
      </c>
      <c r="S78" s="35">
        <f>IFERROR(R78/Q78, 0)</f>
        <v/>
      </c>
    </row>
    <row r="79" ht="14" customHeight="1">
      <c r="A79" s="33" t="inlineStr">
        <is>
          <t>Week 4</t>
        </is>
      </c>
      <c r="B79" s="34" t="inlineStr">
        <is>
          <t>Days 22 - 28</t>
        </is>
      </c>
      <c r="C79" s="34">
        <f>COUNTIF(Z18:AF37, "✓")</f>
        <v/>
      </c>
      <c r="D79" s="34">
        <f>COUNTIF(Z18:AF37, "✓") + COUNTIF(Z18:AF37, "✗")</f>
        <v/>
      </c>
      <c r="E79" s="35">
        <f>IFERROR(C79/D79, 0)</f>
        <v/>
      </c>
      <c r="N79" s="60" t="inlineStr">
        <is>
          <t>Personal &amp; Home</t>
        </is>
      </c>
      <c r="O79" s="54" t="n"/>
      <c r="P79" s="34">
        <f>COUNTIF($C$18:$C$37, "Personal &amp; Home")</f>
        <v/>
      </c>
      <c r="Q79" s="34">
        <f>SUMIF($C$18:$C$37, "Personal &amp; Home", $D$18:$D$37)</f>
        <v/>
      </c>
      <c r="R79" s="34">
        <f>SUMIF($C$18:$C$37, "Personal &amp; Home", $AM$18:$AM$37)</f>
        <v/>
      </c>
      <c r="S79" s="35">
        <f>IFERROR(R79/Q79, 0)</f>
        <v/>
      </c>
    </row>
    <row r="80" ht="14" customHeight="1">
      <c r="A80" s="33" t="inlineStr">
        <is>
          <t>Week 5</t>
        </is>
      </c>
      <c r="B80" s="34" t="inlineStr">
        <is>
          <t>Days 29 - 31</t>
        </is>
      </c>
      <c r="C80" s="34">
        <f>COUNTIF(AG18:AI37, "✓")</f>
        <v/>
      </c>
      <c r="D80" s="34">
        <f>COUNTIF(AG18:AI37, "✓") + COUNTIF(AG18:AI37, "✗")</f>
        <v/>
      </c>
      <c r="E80" s="35">
        <f>IFERROR(C80/D80, 0)</f>
        <v/>
      </c>
      <c r="N80" s="60" t="inlineStr">
        <is>
          <t>Finance &amp; Wealth</t>
        </is>
      </c>
      <c r="O80" s="54" t="n"/>
      <c r="P80" s="34">
        <f>COUNTIF($C$18:$C$37, "Finance &amp; Wealth")</f>
        <v/>
      </c>
      <c r="Q80" s="34">
        <f>SUMIF($C$18:$C$37, "Finance &amp; Wealth", $D$18:$D$37)</f>
        <v/>
      </c>
      <c r="R80" s="34">
        <f>SUMIF($C$18:$C$37, "Finance &amp; Wealth", $AM$18:$AM$37)</f>
        <v/>
      </c>
      <c r="S80" s="35">
        <f>IFERROR(R80/Q80, 0)</f>
        <v/>
      </c>
    </row>
    <row r="81" ht="14" customHeight="1">
      <c r="A81" s="33" t="inlineStr">
        <is>
          <t>Total / Avg</t>
        </is>
      </c>
      <c r="B81" s="159" t="inlineStr">
        <is>
          <t>Month Total</t>
        </is>
      </c>
      <c r="C81" s="33">
        <f>SUM(C76:C80)</f>
        <v/>
      </c>
      <c r="D81" s="33">
        <f>SUM(D76:D80)</f>
        <v/>
      </c>
      <c r="E81" s="133">
        <f>IFERROR(C81/D81, 0)</f>
        <v/>
      </c>
    </row>
    <row r="82" ht="10" customHeight="1"/>
    <row r="83" ht="10" customHeight="1"/>
    <row r="84">
      <c r="A84" s="51" t="inlineStr">
        <is>
          <t>SLEEP &amp; PRODUCTIVITY CORRELATION ANALYSIS</t>
        </is>
      </c>
      <c r="B84" s="52" t="n"/>
      <c r="C84" s="52" t="n"/>
      <c r="D84" s="52" t="n"/>
      <c r="E84" s="52" t="n"/>
      <c r="F84" s="52" t="n"/>
      <c r="G84" s="52" t="n"/>
      <c r="H84" s="52" t="n"/>
      <c r="I84" s="52" t="n"/>
      <c r="J84" s="52" t="n"/>
      <c r="K84" s="52" t="n"/>
      <c r="L84" s="52" t="n"/>
      <c r="M84" s="52" t="n"/>
      <c r="N84" s="52" t="n"/>
      <c r="O84" s="52" t="n"/>
      <c r="P84" s="52" t="n"/>
      <c r="Q84" s="52" t="n"/>
      <c r="R84" s="52" t="n"/>
      <c r="S84" s="52" t="n"/>
      <c r="T84" s="52" t="n"/>
      <c r="U84" s="52" t="n"/>
      <c r="V84" s="52" t="n"/>
      <c r="W84" s="52" t="n"/>
      <c r="X84" s="52" t="n"/>
      <c r="Y84" s="52" t="n"/>
      <c r="Z84" s="52" t="n"/>
      <c r="AA84" s="52" t="n"/>
      <c r="AB84" s="52" t="n"/>
      <c r="AC84" s="52" t="n"/>
      <c r="AD84" s="52" t="n"/>
      <c r="AE84" s="52" t="n"/>
      <c r="AF84" s="52" t="n"/>
      <c r="AG84" s="52" t="n"/>
      <c r="AH84" s="52" t="n"/>
      <c r="AI84" s="52" t="n"/>
      <c r="AJ84" s="52" t="n"/>
      <c r="AK84" s="52" t="n"/>
      <c r="AL84" s="52" t="n"/>
    </row>
    <row r="85" ht="15" customHeight="1">
      <c r="A85" s="53" t="inlineStr">
        <is>
          <t>Rest Category</t>
        </is>
      </c>
      <c r="B85" s="54" t="n"/>
      <c r="C85" s="54" t="n"/>
      <c r="D85" s="53" t="inlineStr">
        <is>
          <t>Day Criteria</t>
        </is>
      </c>
      <c r="E85" s="54" t="n"/>
      <c r="F85" s="54" t="n"/>
      <c r="G85" s="53" t="inlineStr">
        <is>
          <t>Days Logged</t>
        </is>
      </c>
      <c r="H85" s="54" t="n"/>
      <c r="I85" s="54" t="n"/>
      <c r="J85" s="53" t="inlineStr">
        <is>
          <t>Avg Sleep Duration</t>
        </is>
      </c>
      <c r="K85" s="54" t="n"/>
      <c r="L85" s="54" t="n"/>
      <c r="M85" s="54" t="n"/>
      <c r="N85" s="53" t="inlineStr">
        <is>
          <t>Avg Habit Success %</t>
        </is>
      </c>
      <c r="O85" s="54" t="n"/>
      <c r="P85" s="54" t="n"/>
      <c r="Q85" s="54" t="n"/>
      <c r="R85" s="53" t="inlineStr">
        <is>
          <t>Productivity Delta</t>
        </is>
      </c>
      <c r="S85" s="54" t="n"/>
      <c r="T85" s="54" t="n"/>
      <c r="U85" s="54" t="n"/>
    </row>
    <row r="86" ht="15" customHeight="1">
      <c r="A86" s="160" t="inlineStr">
        <is>
          <t>Optimal Rest</t>
        </is>
      </c>
      <c r="B86" s="161" t="n"/>
      <c r="C86" s="56" t="n"/>
      <c r="D86" s="34" t="inlineStr">
        <is>
          <t>&gt;= 7 Hours / Night</t>
        </is>
      </c>
      <c r="E86" s="161" t="n"/>
      <c r="F86" s="56" t="n"/>
      <c r="G86" s="33">
        <f>COUNTIF(E47:AI47, "&gt;=7")</f>
        <v/>
      </c>
      <c r="H86" s="161" t="n"/>
      <c r="I86" s="56" t="n"/>
      <c r="J86" s="34">
        <f>IFERROR(TEXT(AVERAGEIF(E47:AI47, "&gt;=7"), "0.0") &amp; " hrs", "-")</f>
        <v/>
      </c>
      <c r="K86" s="161" t="n"/>
      <c r="L86" s="161" t="n"/>
      <c r="M86" s="56" t="n"/>
      <c r="N86" s="42">
        <f>IFERROR(AVERAGEIFS(E39:AI39, E47:AI47, "&gt;=7", E39:AI39, "&gt;0"), 0)</f>
        <v/>
      </c>
      <c r="O86" s="161" t="n"/>
      <c r="P86" s="161" t="n"/>
      <c r="Q86" s="56" t="n"/>
      <c r="R86" s="159" t="inlineStr">
        <is>
          <t>Baseline (Target)</t>
        </is>
      </c>
      <c r="S86" s="161" t="n"/>
      <c r="T86" s="161" t="n"/>
      <c r="U86" s="56" t="n"/>
    </row>
    <row r="87" ht="15" customHeight="1">
      <c r="A87" s="162" t="inlineStr">
        <is>
          <t>Sleep Deficit</t>
        </is>
      </c>
      <c r="B87" s="161" t="n"/>
      <c r="C87" s="56" t="n"/>
      <c r="D87" s="34" t="inlineStr">
        <is>
          <t>&lt; 7 Hours / Night</t>
        </is>
      </c>
      <c r="E87" s="161" t="n"/>
      <c r="F87" s="56" t="n"/>
      <c r="G87" s="33">
        <f>COUNTIF(E47:AI47, "&lt;7") - COUNTIF(E47:AI47, "")</f>
        <v/>
      </c>
      <c r="H87" s="161" t="n"/>
      <c r="I87" s="56" t="n"/>
      <c r="J87" s="34">
        <f>IFERROR(TEXT(AVERAGEIFS(E47:AI47, E47:AI47, "&lt;7", E47:AI47, "&gt;0"), "0.0") &amp; " hrs", "-")</f>
        <v/>
      </c>
      <c r="K87" s="161" t="n"/>
      <c r="L87" s="161" t="n"/>
      <c r="M87" s="56" t="n"/>
      <c r="N87" s="163">
        <f>IFERROR(AVERAGEIFS(E39:AI39, E47:AI47, "&lt;7", E39:AI39, "&gt;0"), 0)</f>
        <v/>
      </c>
      <c r="O87" s="161" t="n"/>
      <c r="P87" s="161" t="n"/>
      <c r="Q87" s="56" t="n"/>
      <c r="R87" s="160">
        <f>IFERROR(TEXT(N86 - N87, "+0.0%;-0.0%;0.0%") &amp; " Rest Advantage", "-")</f>
        <v/>
      </c>
      <c r="S87" s="161" t="n"/>
      <c r="T87" s="161" t="n"/>
      <c r="U87" s="56" t="n"/>
    </row>
    <row r="88" ht="18" customHeight="1">
      <c r="A88" s="164">
        <f>IF(AND(ISNUMBER(N86), ISNUMBER(N87), N86&gt;0, N87&gt;0), "💡 Sleep Correlation Insight: You complete " &amp; TEXT(ABS(N86-N87), "0.0%") &amp; IF(N86&gt;=N87, " MORE habits on days with 7+ hours of sleep!", " fewer habits on days with 7+ hours of sleep."), "💡 Log both habits and sleep hours daily to unlock automatic AI correlation insights!")</f>
        <v/>
      </c>
      <c r="B88" s="161" t="n"/>
      <c r="C88" s="161" t="n"/>
      <c r="D88" s="161" t="n"/>
      <c r="E88" s="161" t="n"/>
      <c r="F88" s="161" t="n"/>
      <c r="G88" s="161" t="n"/>
      <c r="H88" s="161" t="n"/>
      <c r="I88" s="161" t="n"/>
      <c r="J88" s="161" t="n"/>
      <c r="K88" s="161" t="n"/>
      <c r="L88" s="161" t="n"/>
      <c r="M88" s="161" t="n"/>
      <c r="N88" s="161" t="n"/>
      <c r="O88" s="161" t="n"/>
      <c r="P88" s="161" t="n"/>
      <c r="Q88" s="161" t="n"/>
      <c r="R88" s="161" t="n"/>
      <c r="S88" s="161" t="n"/>
      <c r="T88" s="161" t="n"/>
      <c r="U88" s="161" t="n"/>
      <c r="V88" s="161" t="n"/>
      <c r="W88" s="161" t="n"/>
      <c r="X88" s="161" t="n"/>
      <c r="Y88" s="161" t="n"/>
      <c r="Z88" s="161" t="n"/>
      <c r="AA88" s="161" t="n"/>
      <c r="AB88" s="161" t="n"/>
      <c r="AC88" s="161" t="n"/>
      <c r="AD88" s="161" t="n"/>
      <c r="AE88" s="161" t="n"/>
      <c r="AF88" s="161" t="n"/>
      <c r="AG88" s="161" t="n"/>
      <c r="AH88" s="161" t="n"/>
      <c r="AI88" s="161" t="n"/>
      <c r="AJ88" s="161" t="n"/>
      <c r="AK88" s="161" t="n"/>
      <c r="AL88" s="56" t="n"/>
    </row>
    <row r="89" ht="10" customHeight="1"/>
    <row r="90">
      <c r="A90" s="43" t="inlineStr">
        <is>
          <t>STANDARDIZED DATA BRIDGE (FOR ANNUAL &amp; QUARTERLY REVIEW SHEETS)</t>
        </is>
      </c>
      <c r="B90" s="44" t="n"/>
      <c r="C90" s="44" t="n"/>
      <c r="D90" s="44" t="n"/>
      <c r="E90" s="44" t="n"/>
      <c r="F90" s="44" t="n"/>
      <c r="G90" s="44" t="n"/>
      <c r="H90" s="44" t="n"/>
      <c r="I90" s="44" t="n"/>
      <c r="J90" s="44" t="n"/>
      <c r="K90" s="44" t="n"/>
      <c r="L90" s="44" t="n"/>
      <c r="M90" s="44" t="n"/>
      <c r="N90" s="44" t="n"/>
      <c r="O90" s="44" t="n"/>
      <c r="P90" s="44" t="n"/>
      <c r="Q90" s="44" t="n"/>
      <c r="R90" s="44" t="n"/>
      <c r="S90" s="44" t="n"/>
      <c r="T90" s="44" t="n"/>
      <c r="U90" s="44" t="n"/>
      <c r="V90" s="44" t="n"/>
      <c r="W90" s="44" t="n"/>
      <c r="X90" s="44" t="n"/>
      <c r="Y90" s="44" t="n"/>
      <c r="Z90" s="44" t="n"/>
      <c r="AA90" s="44" t="n"/>
      <c r="AB90" s="44" t="n"/>
      <c r="AC90" s="44" t="n"/>
      <c r="AD90" s="44" t="n"/>
      <c r="AE90" s="44" t="n"/>
      <c r="AF90" s="44" t="n"/>
      <c r="AG90" s="44" t="n"/>
      <c r="AH90" s="44" t="n"/>
      <c r="AI90" s="44" t="n"/>
      <c r="AJ90" s="44" t="n"/>
      <c r="AK90" s="44" t="n"/>
      <c r="AL90" s="44" t="n"/>
    </row>
    <row r="91" ht="15" customHeight="1">
      <c r="A91" s="53" t="inlineStr">
        <is>
          <t>Month</t>
        </is>
      </c>
      <c r="B91" s="54" t="n"/>
      <c r="C91" s="53" t="inlineStr">
        <is>
          <t>Year</t>
        </is>
      </c>
      <c r="D91" s="54" t="n"/>
      <c r="E91" s="53" t="inlineStr">
        <is>
          <t>Active Habits</t>
        </is>
      </c>
      <c r="F91" s="54" t="n"/>
      <c r="G91" s="53" t="inlineStr">
        <is>
          <t>Target Days</t>
        </is>
      </c>
      <c r="H91" s="54" t="n"/>
      <c r="I91" s="53" t="inlineStr">
        <is>
          <t>Done Checks</t>
        </is>
      </c>
      <c r="J91" s="54" t="n"/>
      <c r="K91" s="53" t="inlineStr">
        <is>
          <t>Success %</t>
        </is>
      </c>
      <c r="L91" s="54" t="n"/>
      <c r="M91" s="53" t="inlineStr">
        <is>
          <t>Perfect Days</t>
        </is>
      </c>
      <c r="N91" s="54" t="n"/>
      <c r="O91" s="53" t="inlineStr">
        <is>
          <t>Avg Sleep</t>
        </is>
      </c>
      <c r="P91" s="54" t="n"/>
      <c r="Q91" s="53" t="inlineStr">
        <is>
          <t>Best Week</t>
        </is>
      </c>
      <c r="R91" s="54" t="n"/>
      <c r="S91" s="54" t="n"/>
      <c r="T91" s="53" t="inlineStr">
        <is>
          <t>Top Life Domain</t>
        </is>
      </c>
      <c r="U91" s="54" t="n"/>
      <c r="V91" s="54" t="n"/>
      <c r="W91" s="54" t="n"/>
    </row>
    <row r="92" ht="16" customHeight="1">
      <c r="A92" s="165" t="inlineStr">
        <is>
          <t>Jul</t>
        </is>
      </c>
      <c r="B92" s="56" t="n"/>
      <c r="C92" s="165" t="n">
        <v>2030</v>
      </c>
      <c r="D92" s="56" t="n"/>
      <c r="E92" s="166">
        <f>COUNTA(B18:B37)</f>
        <v/>
      </c>
      <c r="F92" s="56" t="n"/>
      <c r="G92" s="166">
        <f>SUM(D18:D37)</f>
        <v/>
      </c>
      <c r="H92" s="56" t="n"/>
      <c r="I92" s="166">
        <f>SUM(AM18:AM37)</f>
        <v/>
      </c>
      <c r="J92" s="56" t="n"/>
      <c r="K92" s="167">
        <f>IF(G92&gt;0, I92/G92, 0)</f>
        <v/>
      </c>
      <c r="L92" s="56" t="n"/>
      <c r="M92" s="166">
        <f>COUNTIF(E39:AI39, 1)</f>
        <v/>
      </c>
      <c r="N92" s="56" t="n"/>
      <c r="O92" s="168">
        <f>IFERROR(AVERAGE(E47:AI47), 0)</f>
        <v/>
      </c>
      <c r="P92" s="56" t="n"/>
      <c r="Q92" s="166">
        <f>INDEX(A76:A80, MATCH(MAX(E76:E80), E76:E80, 0))</f>
        <v/>
      </c>
      <c r="R92" s="161" t="n"/>
      <c r="S92" s="56" t="n"/>
      <c r="T92" s="166">
        <f>INDEX(N76:N80, MATCH(MAX(S76:S80), S76:S80, 0))</f>
        <v/>
      </c>
      <c r="U92" s="161" t="n"/>
      <c r="V92" s="161" t="n"/>
      <c r="W92" s="56" t="n"/>
    </row>
    <row r="93" ht="14" customHeight="1">
      <c r="A93" s="169" t="inlineStr">
        <is>
          <t>📋 Note: Reference or copy Row 92 directly into an Annual / Quarterly review dashboard to track yearly habit trends.</t>
        </is>
      </c>
    </row>
    <row r="94" ht="8" customHeight="1"/>
    <row r="95">
      <c r="A95" s="170" t="inlineStr">
        <is>
          <t>🏆 MONTHLY WINS &amp; HIGHLIGHTS</t>
        </is>
      </c>
      <c r="J95" s="171" t="inlineStr">
        <is>
          <t>⚠️ FRICTION POINTS &amp; ROOT CAUSES</t>
        </is>
      </c>
      <c r="S95" s="172" t="inlineStr">
        <is>
          <t>🎯 3 KEY ADJUSTMENTS FOR NEXT MONTH</t>
        </is>
      </c>
    </row>
    <row r="96">
      <c r="A96" s="173" t="inlineStr">
        <is>
          <t>1. What went exceptionally well this month?
2. Which habit felt effortless and consistent?
3. Major milestone achieved:</t>
        </is>
      </c>
      <c r="B96" s="174" t="n"/>
      <c r="C96" s="174" t="n"/>
      <c r="D96" s="174" t="n"/>
      <c r="E96" s="174" t="n"/>
      <c r="F96" s="174" t="n"/>
      <c r="G96" s="174" t="n"/>
      <c r="H96" s="174" t="n"/>
      <c r="J96" s="175" t="inlineStr">
        <is>
          <t>1. What caused missed or skipped days?
2. Main triggers / energy drains encountered:
3. Which habit had the lowest consistency and why?</t>
        </is>
      </c>
      <c r="K96" s="176" t="n"/>
      <c r="L96" s="176" t="n"/>
      <c r="M96" s="176" t="n"/>
      <c r="N96" s="176" t="n"/>
      <c r="O96" s="176" t="n"/>
      <c r="P96" s="176" t="n"/>
      <c r="Q96" s="176" t="n"/>
      <c r="S96" s="177" t="inlineStr">
        <is>
          <t>1. Habit Stacking or time adjustment for next month:
2. Environment design change to eliminate friction:
3. One non-negotiable priority protocol:</t>
        </is>
      </c>
      <c r="T96" s="178" t="n"/>
      <c r="U96" s="178" t="n"/>
      <c r="V96" s="178" t="n"/>
      <c r="W96" s="178" t="n"/>
      <c r="X96" s="178" t="n"/>
      <c r="Y96" s="178" t="n"/>
      <c r="Z96" s="178" t="n"/>
    </row>
    <row r="97">
      <c r="A97" s="174" t="n"/>
      <c r="B97" s="174" t="n"/>
      <c r="C97" s="174" t="n"/>
      <c r="D97" s="174" t="n"/>
      <c r="E97" s="174" t="n"/>
      <c r="F97" s="174" t="n"/>
      <c r="G97" s="174" t="n"/>
      <c r="H97" s="174" t="n"/>
      <c r="J97" s="176" t="n"/>
      <c r="K97" s="176" t="n"/>
      <c r="L97" s="176" t="n"/>
      <c r="M97" s="176" t="n"/>
      <c r="N97" s="176" t="n"/>
      <c r="O97" s="176" t="n"/>
      <c r="P97" s="176" t="n"/>
      <c r="Q97" s="176" t="n"/>
      <c r="S97" s="178" t="n"/>
      <c r="T97" s="178" t="n"/>
      <c r="U97" s="178" t="n"/>
      <c r="V97" s="178" t="n"/>
      <c r="W97" s="178" t="n"/>
      <c r="X97" s="178" t="n"/>
      <c r="Y97" s="178" t="n"/>
      <c r="Z97" s="178" t="n"/>
    </row>
    <row r="98">
      <c r="A98" s="174" t="n"/>
      <c r="B98" s="174" t="n"/>
      <c r="C98" s="174" t="n"/>
      <c r="D98" s="174" t="n"/>
      <c r="E98" s="174" t="n"/>
      <c r="F98" s="174" t="n"/>
      <c r="G98" s="174" t="n"/>
      <c r="H98" s="174" t="n"/>
      <c r="J98" s="176" t="n"/>
      <c r="K98" s="176" t="n"/>
      <c r="L98" s="176" t="n"/>
      <c r="M98" s="176" t="n"/>
      <c r="N98" s="176" t="n"/>
      <c r="O98" s="176" t="n"/>
      <c r="P98" s="176" t="n"/>
      <c r="Q98" s="176" t="n"/>
      <c r="S98" s="178" t="n"/>
      <c r="T98" s="178" t="n"/>
      <c r="U98" s="178" t="n"/>
      <c r="V98" s="178" t="n"/>
      <c r="W98" s="178" t="n"/>
      <c r="X98" s="178" t="n"/>
      <c r="Y98" s="178" t="n"/>
      <c r="Z98" s="178" t="n"/>
    </row>
    <row r="99">
      <c r="A99" s="174" t="n"/>
      <c r="B99" s="174" t="n"/>
      <c r="C99" s="174" t="n"/>
      <c r="D99" s="174" t="n"/>
      <c r="E99" s="174" t="n"/>
      <c r="F99" s="174" t="n"/>
      <c r="G99" s="174" t="n"/>
      <c r="H99" s="174" t="n"/>
      <c r="J99" s="176" t="n"/>
      <c r="K99" s="176" t="n"/>
      <c r="L99" s="176" t="n"/>
      <c r="M99" s="176" t="n"/>
      <c r="N99" s="176" t="n"/>
      <c r="O99" s="176" t="n"/>
      <c r="P99" s="176" t="n"/>
      <c r="Q99" s="176" t="n"/>
      <c r="S99" s="178" t="n"/>
      <c r="T99" s="178" t="n"/>
      <c r="U99" s="178" t="n"/>
      <c r="V99" s="178" t="n"/>
      <c r="W99" s="178" t="n"/>
      <c r="X99" s="178" t="n"/>
      <c r="Y99" s="178" t="n"/>
      <c r="Z99" s="178" t="n"/>
    </row>
    <row r="100">
      <c r="A100" s="174" t="n"/>
      <c r="B100" s="174" t="n"/>
      <c r="C100" s="174" t="n"/>
      <c r="D100" s="174" t="n"/>
      <c r="E100" s="174" t="n"/>
      <c r="F100" s="174" t="n"/>
      <c r="G100" s="174" t="n"/>
      <c r="H100" s="174" t="n"/>
      <c r="J100" s="176" t="n"/>
      <c r="K100" s="176" t="n"/>
      <c r="L100" s="176" t="n"/>
      <c r="M100" s="176" t="n"/>
      <c r="N100" s="176" t="n"/>
      <c r="O100" s="176" t="n"/>
      <c r="P100" s="176" t="n"/>
      <c r="Q100" s="176" t="n"/>
      <c r="S100" s="178" t="n"/>
      <c r="T100" s="178" t="n"/>
      <c r="U100" s="178" t="n"/>
      <c r="V100" s="178" t="n"/>
      <c r="W100" s="178" t="n"/>
      <c r="X100" s="178" t="n"/>
      <c r="Y100" s="178" t="n"/>
      <c r="Z100" s="178" t="n"/>
    </row>
    <row r="101">
      <c r="A101" s="174" t="n"/>
      <c r="B101" s="174" t="n"/>
      <c r="C101" s="174" t="n"/>
      <c r="D101" s="174" t="n"/>
      <c r="E101" s="174" t="n"/>
      <c r="F101" s="174" t="n"/>
      <c r="G101" s="174" t="n"/>
      <c r="H101" s="174" t="n"/>
      <c r="J101" s="176" t="n"/>
      <c r="K101" s="176" t="n"/>
      <c r="L101" s="176" t="n"/>
      <c r="M101" s="176" t="n"/>
      <c r="N101" s="176" t="n"/>
      <c r="O101" s="176" t="n"/>
      <c r="P101" s="176" t="n"/>
      <c r="Q101" s="176" t="n"/>
      <c r="S101" s="178" t="n"/>
      <c r="T101" s="178" t="n"/>
      <c r="U101" s="178" t="n"/>
      <c r="V101" s="178" t="n"/>
      <c r="W101" s="178" t="n"/>
      <c r="X101" s="178" t="n"/>
      <c r="Y101" s="178" t="n"/>
      <c r="Z101" s="178" t="n"/>
    </row>
    <row r="102">
      <c r="A102" s="174" t="n"/>
      <c r="B102" s="174" t="n"/>
      <c r="C102" s="174" t="n"/>
      <c r="D102" s="174" t="n"/>
      <c r="E102" s="174" t="n"/>
      <c r="F102" s="174" t="n"/>
      <c r="G102" s="174" t="n"/>
      <c r="H102" s="174" t="n"/>
      <c r="J102" s="176" t="n"/>
      <c r="K102" s="176" t="n"/>
      <c r="L102" s="176" t="n"/>
      <c r="M102" s="176" t="n"/>
      <c r="N102" s="176" t="n"/>
      <c r="O102" s="176" t="n"/>
      <c r="P102" s="176" t="n"/>
      <c r="Q102" s="176" t="n"/>
      <c r="S102" s="178" t="n"/>
      <c r="T102" s="178" t="n"/>
      <c r="U102" s="178" t="n"/>
      <c r="V102" s="178" t="n"/>
      <c r="W102" s="178" t="n"/>
      <c r="X102" s="178" t="n"/>
      <c r="Y102" s="178" t="n"/>
      <c r="Z102" s="178" t="n"/>
    </row>
    <row r="103">
      <c r="A103" s="174" t="n"/>
      <c r="B103" s="174" t="n"/>
      <c r="C103" s="174" t="n"/>
      <c r="D103" s="174" t="n"/>
      <c r="E103" s="174" t="n"/>
      <c r="F103" s="174" t="n"/>
      <c r="G103" s="174" t="n"/>
      <c r="H103" s="174" t="n"/>
      <c r="J103" s="176" t="n"/>
      <c r="K103" s="176" t="n"/>
      <c r="L103" s="176" t="n"/>
      <c r="M103" s="176" t="n"/>
      <c r="N103" s="176" t="n"/>
      <c r="O103" s="176" t="n"/>
      <c r="P103" s="176" t="n"/>
      <c r="Q103" s="176" t="n"/>
      <c r="S103" s="178" t="n"/>
      <c r="T103" s="178" t="n"/>
      <c r="U103" s="178" t="n"/>
      <c r="V103" s="178" t="n"/>
      <c r="W103" s="178" t="n"/>
      <c r="X103" s="178" t="n"/>
      <c r="Y103" s="178" t="n"/>
      <c r="Z103" s="178" t="n"/>
    </row>
  </sheetData>
  <sheetProtection selectLockedCells="1" selectUnlockedCells="1" sheet="1" objects="0" insertRows="1" insertHyperlinks="1" autoFilter="1" scenarios="0" formatColumns="1" deleteColumns="1" insertColumns="1" pivotTables="1" deleteRows="1" formatCells="1" formatRows="1" sort="1"/>
  <mergeCells count="94">
    <mergeCell ref="A9:N9"/>
    <mergeCell ref="N76:O76"/>
    <mergeCell ref="F67:I67"/>
    <mergeCell ref="G87:I87"/>
    <mergeCell ref="A16:A17"/>
    <mergeCell ref="A45:D46"/>
    <mergeCell ref="C16:C17"/>
    <mergeCell ref="N75:O75"/>
    <mergeCell ref="N77:O77"/>
    <mergeCell ref="AE2:AL2"/>
    <mergeCell ref="P9:AL9"/>
    <mergeCell ref="P68:S70"/>
    <mergeCell ref="D16:D17"/>
    <mergeCell ref="N85:Q85"/>
    <mergeCell ref="A95:H95"/>
    <mergeCell ref="A84:AL84"/>
    <mergeCell ref="Q91:S91"/>
    <mergeCell ref="E91:F91"/>
    <mergeCell ref="A8:N8"/>
    <mergeCell ref="A42:AL42"/>
    <mergeCell ref="G91:H91"/>
    <mergeCell ref="J86:M86"/>
    <mergeCell ref="H3:AD3"/>
    <mergeCell ref="K67:N67"/>
    <mergeCell ref="S95:Z95"/>
    <mergeCell ref="N79:O79"/>
    <mergeCell ref="K92:L92"/>
    <mergeCell ref="C92:D92"/>
    <mergeCell ref="M92:N92"/>
    <mergeCell ref="F71:I71"/>
    <mergeCell ref="A88:AL88"/>
    <mergeCell ref="K68:N70"/>
    <mergeCell ref="T91:W91"/>
    <mergeCell ref="A41:AL41"/>
    <mergeCell ref="A90:AL90"/>
    <mergeCell ref="J95:Q95"/>
    <mergeCell ref="D85:F85"/>
    <mergeCell ref="N74:S74"/>
    <mergeCell ref="H2:AD2"/>
    <mergeCell ref="F68:I70"/>
    <mergeCell ref="A91:B91"/>
    <mergeCell ref="N78:O78"/>
    <mergeCell ref="C91:D91"/>
    <mergeCell ref="M91:N91"/>
    <mergeCell ref="O91:P91"/>
    <mergeCell ref="R86:U86"/>
    <mergeCell ref="N80:O80"/>
    <mergeCell ref="B16:B17"/>
    <mergeCell ref="A71:D71"/>
    <mergeCell ref="J85:M85"/>
    <mergeCell ref="D86:F86"/>
    <mergeCell ref="A92:B92"/>
    <mergeCell ref="N87:Q87"/>
    <mergeCell ref="A1:B1"/>
    <mergeCell ref="E92:F92"/>
    <mergeCell ref="AL16:AL17"/>
    <mergeCell ref="A68:D70"/>
    <mergeCell ref="P71:S71"/>
    <mergeCell ref="A86:C86"/>
    <mergeCell ref="D87:F87"/>
    <mergeCell ref="O92:P92"/>
    <mergeCell ref="A6:N6"/>
    <mergeCell ref="A39:D39"/>
    <mergeCell ref="P8:AL8"/>
    <mergeCell ref="P7:AL7"/>
    <mergeCell ref="G86:I86"/>
    <mergeCell ref="A96:H103"/>
    <mergeCell ref="P67:S67"/>
    <mergeCell ref="T92:W92"/>
    <mergeCell ref="R85:U85"/>
    <mergeCell ref="K71:N71"/>
    <mergeCell ref="S96:Z103"/>
    <mergeCell ref="A93:AL93"/>
    <mergeCell ref="A38:D38"/>
    <mergeCell ref="A67:D67"/>
    <mergeCell ref="I91:J91"/>
    <mergeCell ref="A85:C85"/>
    <mergeCell ref="K91:L91"/>
    <mergeCell ref="N86:Q86"/>
    <mergeCell ref="A7:N7"/>
    <mergeCell ref="P6:AL6"/>
    <mergeCell ref="A74:E74"/>
    <mergeCell ref="G85:I85"/>
    <mergeCell ref="G92:H92"/>
    <mergeCell ref="I92:J92"/>
    <mergeCell ref="R87:U87"/>
    <mergeCell ref="AK16:AK17"/>
    <mergeCell ref="J87:M87"/>
    <mergeCell ref="AJ16:AJ17"/>
    <mergeCell ref="J96:Q103"/>
    <mergeCell ref="A12:AL14"/>
    <mergeCell ref="Q92:S92"/>
    <mergeCell ref="A87:C87"/>
    <mergeCell ref="A47:D47"/>
  </mergeCells>
  <conditionalFormatting sqref="AJ18:AJ37">
    <cfRule type="dataBar" priority="1">
      <dataBar>
        <cfvo type="num" val="0"/>
        <cfvo type="num" val="1"/>
        <color rgb="0010B981"/>
      </dataBar>
    </cfRule>
  </conditionalFormatting>
  <conditionalFormatting sqref="E18:AI37">
    <cfRule type="cellIs" priority="2" operator="equal" dxfId="0">
      <formula>"✓"</formula>
    </cfRule>
    <cfRule type="cellIs" priority="3" operator="equal" dxfId="0">
      <formula>"✔"</formula>
    </cfRule>
    <cfRule type="cellIs" priority="4" operator="equal" dxfId="1">
      <formula>"✗"</formula>
    </cfRule>
    <cfRule type="cellIs" priority="5" operator="equal" dxfId="1">
      <formula>"x"</formula>
    </cfRule>
    <cfRule type="cellIs" priority="6" operator="equal" dxfId="1">
      <formula>"X"</formula>
    </cfRule>
  </conditionalFormatting>
  <conditionalFormatting sqref="E16:E17">
    <cfRule type="expression" priority="7" dxfId="2">
      <formula>AND(DAY(TODAY())=1, MONTH(TODAY())=7, YEAR(TODAY())=2030)</formula>
    </cfRule>
  </conditionalFormatting>
  <conditionalFormatting sqref="F16:F17">
    <cfRule type="expression" priority="8" dxfId="2">
      <formula>AND(DAY(TODAY())=2, MONTH(TODAY())=7, YEAR(TODAY())=2030)</formula>
    </cfRule>
  </conditionalFormatting>
  <conditionalFormatting sqref="G16:G17">
    <cfRule type="expression" priority="9" dxfId="2">
      <formula>AND(DAY(TODAY())=3, MONTH(TODAY())=7, YEAR(TODAY())=2030)</formula>
    </cfRule>
  </conditionalFormatting>
  <conditionalFormatting sqref="H16:H17">
    <cfRule type="expression" priority="10" dxfId="2">
      <formula>AND(DAY(TODAY())=4, MONTH(TODAY())=7, YEAR(TODAY())=2030)</formula>
    </cfRule>
  </conditionalFormatting>
  <conditionalFormatting sqref="I16:I17">
    <cfRule type="expression" priority="11" dxfId="2">
      <formula>AND(DAY(TODAY())=5, MONTH(TODAY())=7, YEAR(TODAY())=2030)</formula>
    </cfRule>
  </conditionalFormatting>
  <conditionalFormatting sqref="J16:J17">
    <cfRule type="expression" priority="12" dxfId="2">
      <formula>AND(DAY(TODAY())=6, MONTH(TODAY())=7, YEAR(TODAY())=2030)</formula>
    </cfRule>
  </conditionalFormatting>
  <conditionalFormatting sqref="K16:K17">
    <cfRule type="expression" priority="13" dxfId="2">
      <formula>AND(DAY(TODAY())=7, MONTH(TODAY())=7, YEAR(TODAY())=2030)</formula>
    </cfRule>
  </conditionalFormatting>
  <conditionalFormatting sqref="L16:L17">
    <cfRule type="expression" priority="14" dxfId="2">
      <formula>AND(DAY(TODAY())=8, MONTH(TODAY())=7, YEAR(TODAY())=2030)</formula>
    </cfRule>
  </conditionalFormatting>
  <conditionalFormatting sqref="M16:M17">
    <cfRule type="expression" priority="15" dxfId="2">
      <formula>AND(DAY(TODAY())=9, MONTH(TODAY())=7, YEAR(TODAY())=2030)</formula>
    </cfRule>
  </conditionalFormatting>
  <conditionalFormatting sqref="N16:N17">
    <cfRule type="expression" priority="16" dxfId="2">
      <formula>AND(DAY(TODAY())=10, MONTH(TODAY())=7, YEAR(TODAY())=2030)</formula>
    </cfRule>
  </conditionalFormatting>
  <conditionalFormatting sqref="O16:O17">
    <cfRule type="expression" priority="17" dxfId="2">
      <formula>AND(DAY(TODAY())=11, MONTH(TODAY())=7, YEAR(TODAY())=2030)</formula>
    </cfRule>
  </conditionalFormatting>
  <conditionalFormatting sqref="P16:P17">
    <cfRule type="expression" priority="18" dxfId="2">
      <formula>AND(DAY(TODAY())=12, MONTH(TODAY())=7, YEAR(TODAY())=2030)</formula>
    </cfRule>
  </conditionalFormatting>
  <conditionalFormatting sqref="Q16:Q17">
    <cfRule type="expression" priority="19" dxfId="2">
      <formula>AND(DAY(TODAY())=13, MONTH(TODAY())=7, YEAR(TODAY())=2030)</formula>
    </cfRule>
  </conditionalFormatting>
  <conditionalFormatting sqref="R16:R17">
    <cfRule type="expression" priority="20" dxfId="2">
      <formula>AND(DAY(TODAY())=14, MONTH(TODAY())=7, YEAR(TODAY())=2030)</formula>
    </cfRule>
  </conditionalFormatting>
  <conditionalFormatting sqref="S16:S17">
    <cfRule type="expression" priority="21" dxfId="2">
      <formula>AND(DAY(TODAY())=15, MONTH(TODAY())=7, YEAR(TODAY())=2030)</formula>
    </cfRule>
  </conditionalFormatting>
  <conditionalFormatting sqref="T16:T17">
    <cfRule type="expression" priority="22" dxfId="2">
      <formula>AND(DAY(TODAY())=16, MONTH(TODAY())=7, YEAR(TODAY())=2030)</formula>
    </cfRule>
  </conditionalFormatting>
  <conditionalFormatting sqref="U16:U17">
    <cfRule type="expression" priority="23" dxfId="2">
      <formula>AND(DAY(TODAY())=17, MONTH(TODAY())=7, YEAR(TODAY())=2030)</formula>
    </cfRule>
  </conditionalFormatting>
  <conditionalFormatting sqref="V16:V17">
    <cfRule type="expression" priority="24" dxfId="2">
      <formula>AND(DAY(TODAY())=18, MONTH(TODAY())=7, YEAR(TODAY())=2030)</formula>
    </cfRule>
  </conditionalFormatting>
  <conditionalFormatting sqref="W16:W17">
    <cfRule type="expression" priority="25" dxfId="2">
      <formula>AND(DAY(TODAY())=19, MONTH(TODAY())=7, YEAR(TODAY())=2030)</formula>
    </cfRule>
  </conditionalFormatting>
  <conditionalFormatting sqref="X16:X17">
    <cfRule type="expression" priority="26" dxfId="2">
      <formula>AND(DAY(TODAY())=20, MONTH(TODAY())=7, YEAR(TODAY())=2030)</formula>
    </cfRule>
  </conditionalFormatting>
  <conditionalFormatting sqref="Y16:Y17">
    <cfRule type="expression" priority="27" dxfId="2">
      <formula>AND(DAY(TODAY())=21, MONTH(TODAY())=7, YEAR(TODAY())=2030)</formula>
    </cfRule>
  </conditionalFormatting>
  <conditionalFormatting sqref="Z16:Z17">
    <cfRule type="expression" priority="28" dxfId="2">
      <formula>AND(DAY(TODAY())=22, MONTH(TODAY())=7, YEAR(TODAY())=2030)</formula>
    </cfRule>
  </conditionalFormatting>
  <conditionalFormatting sqref="AA16:AA17">
    <cfRule type="expression" priority="29" dxfId="2">
      <formula>AND(DAY(TODAY())=23, MONTH(TODAY())=7, YEAR(TODAY())=2030)</formula>
    </cfRule>
  </conditionalFormatting>
  <conditionalFormatting sqref="AB16:AB17">
    <cfRule type="expression" priority="30" dxfId="2">
      <formula>AND(DAY(TODAY())=24, MONTH(TODAY())=7, YEAR(TODAY())=2030)</formula>
    </cfRule>
  </conditionalFormatting>
  <conditionalFormatting sqref="AC16:AC17">
    <cfRule type="expression" priority="31" dxfId="2">
      <formula>AND(DAY(TODAY())=25, MONTH(TODAY())=7, YEAR(TODAY())=2030)</formula>
    </cfRule>
  </conditionalFormatting>
  <conditionalFormatting sqref="AD16:AD17">
    <cfRule type="expression" priority="32" dxfId="2">
      <formula>AND(DAY(TODAY())=26, MONTH(TODAY())=7, YEAR(TODAY())=2030)</formula>
    </cfRule>
  </conditionalFormatting>
  <conditionalFormatting sqref="AE16:AE17">
    <cfRule type="expression" priority="33" dxfId="2">
      <formula>AND(DAY(TODAY())=27, MONTH(TODAY())=7, YEAR(TODAY())=2030)</formula>
    </cfRule>
  </conditionalFormatting>
  <conditionalFormatting sqref="AF16:AF17">
    <cfRule type="expression" priority="34" dxfId="2">
      <formula>AND(DAY(TODAY())=28, MONTH(TODAY())=7, YEAR(TODAY())=2030)</formula>
    </cfRule>
  </conditionalFormatting>
  <conditionalFormatting sqref="AG16:AG17">
    <cfRule type="expression" priority="35" dxfId="2">
      <formula>AND(DAY(TODAY())=29, MONTH(TODAY())=7, YEAR(TODAY())=2030)</formula>
    </cfRule>
  </conditionalFormatting>
  <conditionalFormatting sqref="AH16:AH17">
    <cfRule type="expression" priority="36" dxfId="2">
      <formula>AND(DAY(TODAY())=30, MONTH(TODAY())=7, YEAR(TODAY())=2030)</formula>
    </cfRule>
  </conditionalFormatting>
  <conditionalFormatting sqref="AI16:AI17">
    <cfRule type="expression" priority="37" dxfId="2">
      <formula>AND(DAY(TODAY())=31, MONTH(TODAY())=7, YEAR(TODAY())=2030)</formula>
    </cfRule>
  </conditionalFormatting>
  <dataValidations count="4">
    <dataValidation sqref="C18:C37" showDropDown="0" showInputMessage="0" showErrorMessage="0" allowBlank="1" type="list">
      <formula1>"Health &amp; Fitness,Mindset &amp; Learning,Career &amp; Focus,Personal &amp; Home,Finance &amp; Wealth,Other"</formula1>
    </dataValidation>
    <dataValidation sqref="D18:D37" showDropDown="0" showInputMessage="0" showErrorMessage="0" allowBlank="1" type="list">
      <formula1>"1,2,3,4,5,6,7,8,9,10,11,12,13,14,15,16,17,18,19,20,21,22,23,24,25,26,27,28,29,30,31"</formula1>
    </dataValidation>
    <dataValidation sqref="E18:AI37" showDropDown="0" showInputMessage="0" showErrorMessage="0" allowBlank="1" type="list">
      <formula1>"✓,✗"</formula1>
    </dataValidation>
    <dataValidation sqref="E47:AI47" showDropDown="0" showInputMessage="0" showErrorMessage="0" allowBlank="1" type="list">
      <formula1>"1,2,3,4,5,6,7,8,9,10,11,12,13,14,15,16,17,18,19,20,21,22,23,24"</formula1>
    </dataValidation>
  </dataValidations>
  <hyperlinks>
    <hyperlink xmlns:r="http://schemas.openxmlformats.org/officeDocument/2006/relationships" ref="A1" r:id="rId1"/>
    <hyperlink xmlns:r="http://schemas.openxmlformats.org/officeDocument/2006/relationships" ref="C1" r:id="rId2"/>
    <hyperlink xmlns:r="http://schemas.openxmlformats.org/officeDocument/2006/relationships" ref="D1" r:id="rId3"/>
    <hyperlink xmlns:r="http://schemas.openxmlformats.org/officeDocument/2006/relationships" ref="E1" r:id="rId4"/>
    <hyperlink xmlns:r="http://schemas.openxmlformats.org/officeDocument/2006/relationships" ref="F1" r:id="rId5"/>
    <hyperlink xmlns:r="http://schemas.openxmlformats.org/officeDocument/2006/relationships" ref="G1" r:id="rId6"/>
    <hyperlink xmlns:r="http://schemas.openxmlformats.org/officeDocument/2006/relationships" ref="H1" r:id="rId7"/>
    <hyperlink xmlns:r="http://schemas.openxmlformats.org/officeDocument/2006/relationships" ref="I1" r:id="rId8"/>
    <hyperlink xmlns:r="http://schemas.openxmlformats.org/officeDocument/2006/relationships" ref="J1" r:id="rId9"/>
    <hyperlink xmlns:r="http://schemas.openxmlformats.org/officeDocument/2006/relationships" ref="K1" r:id="rId10"/>
  </hyperlinks>
  <printOptions horizontalCentered="1" verticalCentered="0"/>
  <pageMargins left="0.75" right="0.75" top="1" bottom="1" header="0.5" footer="0.5"/>
  <pageSetup orientation="landscape" paperSize="9" fitToHeight="0" fitToWidth="1"/>
  <drawing xmlns:r="http://schemas.openxmlformats.org/officeDocument/2006/relationships" r:id="rId11"/>
</worksheet>
</file>

<file path=xl/worksheets/sheet51.xml><?xml version="1.0" encoding="utf-8"?>
<worksheet xmlns="http://schemas.openxmlformats.org/spreadsheetml/2006/main">
  <sheetPr>
    <outlinePr summaryBelow="1" summaryRight="1"/>
    <pageSetUpPr fitToPage="1"/>
  </sheetPr>
  <dimension ref="A1:AM103"/>
  <sheetViews>
    <sheetView showGridLines="1" workbookViewId="0">
      <selection activeCell="A1" sqref="A1"/>
    </sheetView>
  </sheetViews>
  <sheetFormatPr baseColWidth="8" defaultRowHeight="15"/>
  <cols>
    <col width="6" customWidth="1" min="1" max="1"/>
    <col width="25" customWidth="1" min="2" max="2"/>
    <col width="16.5" customWidth="1" min="3" max="3"/>
    <col width="8" customWidth="1" min="4" max="4"/>
    <col width="4.8" customWidth="1" min="5" max="5"/>
    <col width="4.8" customWidth="1" min="6" max="6"/>
    <col width="4.8" customWidth="1" min="7" max="7"/>
    <col width="4.8" customWidth="1" min="8" max="8"/>
    <col width="4.8" customWidth="1" min="9" max="9"/>
    <col width="4.8" customWidth="1" min="10" max="10"/>
    <col width="4.8" customWidth="1" min="11" max="11"/>
    <col width="4.8" customWidth="1" min="12" max="12"/>
    <col width="4.8" customWidth="1" min="13" max="13"/>
    <col width="4.8" customWidth="1" min="14" max="14"/>
    <col width="4.8" customWidth="1" min="15" max="15"/>
    <col width="4.8" customWidth="1" min="16" max="16"/>
    <col width="4.8" customWidth="1" min="17" max="17"/>
    <col width="4.8" customWidth="1" min="18" max="18"/>
    <col width="4.8" customWidth="1" min="19" max="19"/>
    <col width="4.8" customWidth="1" min="20" max="20"/>
    <col width="4.8" customWidth="1" min="21" max="21"/>
    <col width="4.8" customWidth="1" min="22" max="22"/>
    <col width="4.8" customWidth="1" min="23" max="23"/>
    <col width="4.8" customWidth="1" min="24" max="24"/>
    <col width="4.8" customWidth="1" min="25" max="25"/>
    <col width="4.8" customWidth="1" min="26" max="26"/>
    <col width="4.8" customWidth="1" min="27" max="27"/>
    <col width="4.8" customWidth="1" min="28" max="28"/>
    <col width="4.8" customWidth="1" min="29" max="29"/>
    <col width="4.8" customWidth="1" min="30" max="30"/>
    <col width="4.8" customWidth="1" min="31" max="31"/>
    <col width="4.8" customWidth="1" min="32" max="32"/>
    <col width="4.8" customWidth="1" min="33" max="33"/>
    <col width="4.8" customWidth="1" min="34" max="34"/>
    <col width="4.8" customWidth="1" min="35" max="35"/>
    <col width="11.5" customWidth="1" min="36" max="36"/>
    <col width="12" customWidth="1" min="37" max="37"/>
    <col width="13.5" customWidth="1" min="38" max="38"/>
    <col hidden="1" width="8" customWidth="1" min="39" max="39"/>
  </cols>
  <sheetData>
    <row r="1" ht="18" customHeight="1">
      <c r="A1" s="76" t="inlineStr">
        <is>
          <t>🏠 Master Dashboard</t>
        </is>
      </c>
      <c r="B1" s="40" t="n"/>
      <c r="C1" s="77" t="inlineStr">
        <is>
          <t>🏛️ Quarterly Hub</t>
        </is>
      </c>
      <c r="D1" s="78" t="inlineStr">
        <is>
          <t>📚 Habit Library</t>
        </is>
      </c>
      <c r="E1" s="80" t="inlineStr">
        <is>
          <t>2026</t>
        </is>
      </c>
      <c r="F1" s="80" t="inlineStr">
        <is>
          <t>2027</t>
        </is>
      </c>
      <c r="G1" s="80" t="inlineStr">
        <is>
          <t>2028</t>
        </is>
      </c>
      <c r="H1" s="80" t="inlineStr">
        <is>
          <t>2029</t>
        </is>
      </c>
      <c r="I1" s="79" t="inlineStr">
        <is>
          <t>2030</t>
        </is>
      </c>
      <c r="J1" s="82" t="inlineStr">
        <is>
          <t>◀ Prev</t>
        </is>
      </c>
      <c r="K1" s="82" t="inlineStr">
        <is>
          <t>Next ▶</t>
        </is>
      </c>
    </row>
    <row r="2" ht="24" customHeight="1">
      <c r="A2" s="83" t="inlineStr">
        <is>
          <t>Habit Tracker</t>
        </is>
      </c>
      <c r="H2" s="84" t="inlineStr">
        <is>
          <t>"Consistency creates momentum."</t>
        </is>
      </c>
      <c r="AE2" s="85" t="inlineStr">
        <is>
          <t>@surajvansh</t>
        </is>
      </c>
    </row>
    <row r="3" ht="18" customHeight="1">
      <c r="A3" s="86" t="inlineStr">
        <is>
          <t>August 2030</t>
        </is>
      </c>
      <c r="H3" s="87" t="inlineStr">
        <is>
          <t>31 Days Dashboard</t>
        </is>
      </c>
    </row>
    <row r="4" ht="5" customHeight="1"/>
    <row r="5" ht="16" customHeight="1">
      <c r="A5" s="88" t="inlineStr">
        <is>
          <t>MONTHLY TARGETS</t>
        </is>
      </c>
    </row>
    <row r="6" ht="13" customHeight="1">
      <c r="A6" s="89" t="inlineStr">
        <is>
          <t>1. ____________________ : ____________________</t>
        </is>
      </c>
      <c r="P6" s="89" t="inlineStr">
        <is>
          <t>5. ____________________ : ____________________</t>
        </is>
      </c>
    </row>
    <row r="7" ht="13" customHeight="1">
      <c r="A7" s="89" t="inlineStr">
        <is>
          <t>2. ____________________ : ____________________</t>
        </is>
      </c>
      <c r="P7" s="89" t="inlineStr">
        <is>
          <t>6. ____________________ : ____________________</t>
        </is>
      </c>
    </row>
    <row r="8" ht="13" customHeight="1">
      <c r="A8" s="89" t="inlineStr">
        <is>
          <t>3. ____________________ : ____________________</t>
        </is>
      </c>
      <c r="P8" s="89" t="inlineStr">
        <is>
          <t>7. ____________________ : ____________________</t>
        </is>
      </c>
    </row>
    <row r="9" ht="13" customHeight="1">
      <c r="A9" s="89" t="inlineStr">
        <is>
          <t>4. ____________________ : ____________________</t>
        </is>
      </c>
      <c r="P9" s="89" t="inlineStr">
        <is>
          <t>8. ____________________ : ____________________</t>
        </is>
      </c>
    </row>
    <row r="10" ht="5" customHeight="1"/>
    <row r="11" ht="15" customHeight="1">
      <c r="A11" s="88" t="inlineStr">
        <is>
          <t>NOTES:</t>
        </is>
      </c>
    </row>
    <row r="12" ht="13" customHeight="1">
      <c r="A12" s="90" t="n"/>
      <c r="B12" s="91" t="n"/>
      <c r="C12" s="91" t="n"/>
      <c r="D12" s="91" t="n"/>
      <c r="E12" s="91" t="n"/>
      <c r="F12" s="91" t="n"/>
      <c r="G12" s="91" t="n"/>
      <c r="H12" s="91" t="n"/>
      <c r="I12" s="91" t="n"/>
      <c r="J12" s="91" t="n"/>
      <c r="K12" s="91" t="n"/>
      <c r="L12" s="91" t="n"/>
      <c r="M12" s="91" t="n"/>
      <c r="N12" s="91" t="n"/>
      <c r="O12" s="91" t="n"/>
      <c r="P12" s="91" t="n"/>
      <c r="Q12" s="91" t="n"/>
      <c r="R12" s="91" t="n"/>
      <c r="S12" s="91" t="n"/>
      <c r="T12" s="91" t="n"/>
      <c r="U12" s="91" t="n"/>
      <c r="V12" s="91" t="n"/>
      <c r="W12" s="91" t="n"/>
      <c r="X12" s="91" t="n"/>
      <c r="Y12" s="91" t="n"/>
      <c r="Z12" s="91" t="n"/>
      <c r="AA12" s="91" t="n"/>
      <c r="AB12" s="91" t="n"/>
      <c r="AC12" s="91" t="n"/>
      <c r="AD12" s="91" t="n"/>
      <c r="AE12" s="91" t="n"/>
      <c r="AF12" s="91" t="n"/>
      <c r="AG12" s="91" t="n"/>
      <c r="AH12" s="91" t="n"/>
      <c r="AI12" s="91" t="n"/>
      <c r="AJ12" s="91" t="n"/>
      <c r="AK12" s="91" t="n"/>
      <c r="AL12" s="91" t="n"/>
    </row>
    <row r="13" ht="13" customHeight="1">
      <c r="A13" s="91" t="n"/>
      <c r="B13" s="91" t="n"/>
      <c r="C13" s="91" t="n"/>
      <c r="D13" s="91" t="n"/>
      <c r="E13" s="91" t="n"/>
      <c r="F13" s="91" t="n"/>
      <c r="G13" s="91" t="n"/>
      <c r="H13" s="91" t="n"/>
      <c r="I13" s="91" t="n"/>
      <c r="J13" s="91" t="n"/>
      <c r="K13" s="91" t="n"/>
      <c r="L13" s="91" t="n"/>
      <c r="M13" s="91" t="n"/>
      <c r="N13" s="91" t="n"/>
      <c r="O13" s="91" t="n"/>
      <c r="P13" s="91" t="n"/>
      <c r="Q13" s="91" t="n"/>
      <c r="R13" s="91" t="n"/>
      <c r="S13" s="91" t="n"/>
      <c r="T13" s="91" t="n"/>
      <c r="U13" s="91" t="n"/>
      <c r="V13" s="91" t="n"/>
      <c r="W13" s="91" t="n"/>
      <c r="X13" s="91" t="n"/>
      <c r="Y13" s="91" t="n"/>
      <c r="Z13" s="91" t="n"/>
      <c r="AA13" s="91" t="n"/>
      <c r="AB13" s="91" t="n"/>
      <c r="AC13" s="91" t="n"/>
      <c r="AD13" s="91" t="n"/>
      <c r="AE13" s="91" t="n"/>
      <c r="AF13" s="91" t="n"/>
      <c r="AG13" s="91" t="n"/>
      <c r="AH13" s="91" t="n"/>
      <c r="AI13" s="91" t="n"/>
      <c r="AJ13" s="91" t="n"/>
      <c r="AK13" s="91" t="n"/>
      <c r="AL13" s="91" t="n"/>
    </row>
    <row r="14" ht="13" customHeight="1">
      <c r="A14" s="91" t="n"/>
      <c r="B14" s="91" t="n"/>
      <c r="C14" s="91" t="n"/>
      <c r="D14" s="91" t="n"/>
      <c r="E14" s="91" t="n"/>
      <c r="F14" s="91" t="n"/>
      <c r="G14" s="91" t="n"/>
      <c r="H14" s="91" t="n"/>
      <c r="I14" s="91" t="n"/>
      <c r="J14" s="91" t="n"/>
      <c r="K14" s="91" t="n"/>
      <c r="L14" s="91" t="n"/>
      <c r="M14" s="91" t="n"/>
      <c r="N14" s="91" t="n"/>
      <c r="O14" s="91" t="n"/>
      <c r="P14" s="91" t="n"/>
      <c r="Q14" s="91" t="n"/>
      <c r="R14" s="91" t="n"/>
      <c r="S14" s="91" t="n"/>
      <c r="T14" s="91" t="n"/>
      <c r="U14" s="91" t="n"/>
      <c r="V14" s="91" t="n"/>
      <c r="W14" s="91" t="n"/>
      <c r="X14" s="91" t="n"/>
      <c r="Y14" s="91" t="n"/>
      <c r="Z14" s="91" t="n"/>
      <c r="AA14" s="91" t="n"/>
      <c r="AB14" s="91" t="n"/>
      <c r="AC14" s="91" t="n"/>
      <c r="AD14" s="91" t="n"/>
      <c r="AE14" s="91" t="n"/>
      <c r="AF14" s="91" t="n"/>
      <c r="AG14" s="91" t="n"/>
      <c r="AH14" s="91" t="n"/>
      <c r="AI14" s="91" t="n"/>
      <c r="AJ14" s="91" t="n"/>
      <c r="AK14" s="91" t="n"/>
      <c r="AL14" s="91" t="n"/>
    </row>
    <row r="15" ht="8" customHeight="1"/>
    <row r="16" ht="15" customHeight="1">
      <c r="A16" s="33" t="inlineStr">
        <is>
          <t>S.No.</t>
        </is>
      </c>
      <c r="B16" s="33" t="inlineStr">
        <is>
          <t>Protocols</t>
        </is>
      </c>
      <c r="C16" s="33" t="inlineStr">
        <is>
          <t>Category</t>
        </is>
      </c>
      <c r="D16" s="33" t="inlineStr">
        <is>
          <t>Target</t>
        </is>
      </c>
      <c r="E16" s="92" t="n">
        <v>1</v>
      </c>
      <c r="F16" s="92" t="n">
        <v>2</v>
      </c>
      <c r="G16" s="92" t="n">
        <v>3</v>
      </c>
      <c r="H16" s="93" t="n">
        <v>4</v>
      </c>
      <c r="I16" s="92" t="n">
        <v>5</v>
      </c>
      <c r="J16" s="92" t="n">
        <v>6</v>
      </c>
      <c r="K16" s="92" t="n">
        <v>7</v>
      </c>
      <c r="L16" s="92" t="n">
        <v>8</v>
      </c>
      <c r="M16" s="92" t="n">
        <v>9</v>
      </c>
      <c r="N16" s="92" t="n">
        <v>10</v>
      </c>
      <c r="O16" s="93" t="n">
        <v>11</v>
      </c>
      <c r="P16" s="92" t="n">
        <v>12</v>
      </c>
      <c r="Q16" s="92" t="n">
        <v>13</v>
      </c>
      <c r="R16" s="92" t="n">
        <v>14</v>
      </c>
      <c r="S16" s="92" t="n">
        <v>15</v>
      </c>
      <c r="T16" s="92" t="n">
        <v>16</v>
      </c>
      <c r="U16" s="92" t="n">
        <v>17</v>
      </c>
      <c r="V16" s="93" t="n">
        <v>18</v>
      </c>
      <c r="W16" s="92" t="n">
        <v>19</v>
      </c>
      <c r="X16" s="92" t="n">
        <v>20</v>
      </c>
      <c r="Y16" s="92" t="n">
        <v>21</v>
      </c>
      <c r="Z16" s="92" t="n">
        <v>22</v>
      </c>
      <c r="AA16" s="92" t="n">
        <v>23</v>
      </c>
      <c r="AB16" s="92" t="n">
        <v>24</v>
      </c>
      <c r="AC16" s="93" t="n">
        <v>25</v>
      </c>
      <c r="AD16" s="92" t="n">
        <v>26</v>
      </c>
      <c r="AE16" s="92" t="n">
        <v>27</v>
      </c>
      <c r="AF16" s="92" t="n">
        <v>28</v>
      </c>
      <c r="AG16" s="92" t="n">
        <v>29</v>
      </c>
      <c r="AH16" s="92" t="n">
        <v>30</v>
      </c>
      <c r="AI16" s="92" t="n">
        <v>31</v>
      </c>
      <c r="AJ16" s="94" t="inlineStr">
        <is>
          <t>Success %</t>
        </is>
      </c>
      <c r="AK16" s="94" t="inlineStr">
        <is>
          <t>Done / Target</t>
        </is>
      </c>
      <c r="AL16" s="94" t="inlineStr">
        <is>
          <t>Status</t>
        </is>
      </c>
      <c r="AM16" t="inlineStr">
        <is>
          <t>Done Count</t>
        </is>
      </c>
    </row>
    <row r="17" ht="15" customHeight="1">
      <c r="A17" s="54" t="n"/>
      <c r="B17" s="54" t="n"/>
      <c r="C17" s="54" t="n"/>
      <c r="D17" s="54" t="n"/>
      <c r="E17" s="95" t="inlineStr">
        <is>
          <t>Th</t>
        </is>
      </c>
      <c r="F17" s="95" t="inlineStr">
        <is>
          <t>F</t>
        </is>
      </c>
      <c r="G17" s="95" t="inlineStr">
        <is>
          <t>Sa</t>
        </is>
      </c>
      <c r="H17" s="96" t="inlineStr">
        <is>
          <t>Su</t>
        </is>
      </c>
      <c r="I17" s="95" t="inlineStr">
        <is>
          <t>M</t>
        </is>
      </c>
      <c r="J17" s="95" t="inlineStr">
        <is>
          <t>T</t>
        </is>
      </c>
      <c r="K17" s="95" t="inlineStr">
        <is>
          <t>W</t>
        </is>
      </c>
      <c r="L17" s="95" t="inlineStr">
        <is>
          <t>Th</t>
        </is>
      </c>
      <c r="M17" s="95" t="inlineStr">
        <is>
          <t>F</t>
        </is>
      </c>
      <c r="N17" s="95" t="inlineStr">
        <is>
          <t>Sa</t>
        </is>
      </c>
      <c r="O17" s="96" t="inlineStr">
        <is>
          <t>Su</t>
        </is>
      </c>
      <c r="P17" s="95" t="inlineStr">
        <is>
          <t>M</t>
        </is>
      </c>
      <c r="Q17" s="95" t="inlineStr">
        <is>
          <t>T</t>
        </is>
      </c>
      <c r="R17" s="95" t="inlineStr">
        <is>
          <t>W</t>
        </is>
      </c>
      <c r="S17" s="95" t="inlineStr">
        <is>
          <t>Th</t>
        </is>
      </c>
      <c r="T17" s="95" t="inlineStr">
        <is>
          <t>F</t>
        </is>
      </c>
      <c r="U17" s="95" t="inlineStr">
        <is>
          <t>Sa</t>
        </is>
      </c>
      <c r="V17" s="96" t="inlineStr">
        <is>
          <t>Su</t>
        </is>
      </c>
      <c r="W17" s="95" t="inlineStr">
        <is>
          <t>M</t>
        </is>
      </c>
      <c r="X17" s="95" t="inlineStr">
        <is>
          <t>T</t>
        </is>
      </c>
      <c r="Y17" s="95" t="inlineStr">
        <is>
          <t>W</t>
        </is>
      </c>
      <c r="Z17" s="95" t="inlineStr">
        <is>
          <t>Th</t>
        </is>
      </c>
      <c r="AA17" s="95" t="inlineStr">
        <is>
          <t>F</t>
        </is>
      </c>
      <c r="AB17" s="95" t="inlineStr">
        <is>
          <t>Sa</t>
        </is>
      </c>
      <c r="AC17" s="96" t="inlineStr">
        <is>
          <t>Su</t>
        </is>
      </c>
      <c r="AD17" s="95" t="inlineStr">
        <is>
          <t>M</t>
        </is>
      </c>
      <c r="AE17" s="95" t="inlineStr">
        <is>
          <t>T</t>
        </is>
      </c>
      <c r="AF17" s="95" t="inlineStr">
        <is>
          <t>W</t>
        </is>
      </c>
      <c r="AG17" s="95" t="inlineStr">
        <is>
          <t>Th</t>
        </is>
      </c>
      <c r="AH17" s="95" t="inlineStr">
        <is>
          <t>F</t>
        </is>
      </c>
      <c r="AI17" s="95" t="inlineStr">
        <is>
          <t>Sa</t>
        </is>
      </c>
      <c r="AJ17" s="54" t="n"/>
      <c r="AK17" s="54" t="n"/>
      <c r="AL17" s="54" t="n"/>
    </row>
    <row r="18" ht="14.5" customHeight="1">
      <c r="A18" s="97" t="n">
        <v>1</v>
      </c>
      <c r="B18" s="98" t="n"/>
      <c r="C18" s="99" t="n"/>
      <c r="D18" s="99" t="n"/>
      <c r="E18" s="100" t="n"/>
      <c r="F18" s="100" t="n"/>
      <c r="G18" s="100" t="n"/>
      <c r="H18" s="101" t="n"/>
      <c r="I18" s="100" t="n"/>
      <c r="J18" s="100" t="n"/>
      <c r="K18" s="100" t="n"/>
      <c r="L18" s="100" t="n"/>
      <c r="M18" s="100" t="n"/>
      <c r="N18" s="100" t="n"/>
      <c r="O18" s="101" t="n"/>
      <c r="P18" s="100" t="n"/>
      <c r="Q18" s="100" t="n"/>
      <c r="R18" s="100" t="n"/>
      <c r="S18" s="100" t="n"/>
      <c r="T18" s="100" t="n"/>
      <c r="U18" s="100" t="n"/>
      <c r="V18" s="101" t="n"/>
      <c r="W18" s="100" t="n"/>
      <c r="X18" s="100" t="n"/>
      <c r="Y18" s="100" t="n"/>
      <c r="Z18" s="100" t="n"/>
      <c r="AA18" s="100" t="n"/>
      <c r="AB18" s="100" t="n"/>
      <c r="AC18" s="101" t="n"/>
      <c r="AD18" s="100" t="n"/>
      <c r="AE18" s="100" t="n"/>
      <c r="AF18" s="100" t="n"/>
      <c r="AG18" s="100" t="n"/>
      <c r="AH18" s="100" t="n"/>
      <c r="AI18" s="100" t="n"/>
      <c r="AJ18" s="102">
        <f>IF(ISBLANK(B18), "", IF(ISNUMBER(D18), IF(D18&gt;0, (COUNTIF(E18:AI18, "✓") + COUNTIF(E18:AI18, "✔") + COUNTIF(E18:AI18, "v") + COUNTIF(E18:AI18, "V"))/D18, 0), IF(((COUNTIF(E18:AI18, "✓") + COUNTIF(E18:AI18, "✔") + COUNTIF(E18:AI18, "v") + COUNTIF(E18:AI18, "V")) + COUNTIF(E18:AI18, "✗") + COUNTIF(E18:AI18, "x") + COUNTIF(E18:AI18, "X"))&gt;0, (COUNTIF(E18:AI18, "✓") + COUNTIF(E18:AI18, "✔") + COUNTIF(E18:AI18, "v") + COUNTIF(E18:AI18, "V"))/((COUNTIF(E18:AI18, "✓") + COUNTIF(E18:AI18, "✔") + COUNTIF(E18:AI18, "v") + COUNTIF(E18:AI18, "V")) + COUNTIF(E18:AI18, "✗") + COUNTIF(E18:AI18, "x") + COUNTIF(E18:AI18, "X")), "")))</f>
        <v/>
      </c>
      <c r="AK18" s="103">
        <f>IF(ISBLANK(B18), "", IF(ISNUMBER(D18), IF(D18&gt;0, (COUNTIF(E18:AI18, "✓") + COUNTIF(E18:AI18, "✔") + COUNTIF(E18:AI18, "v") + COUNTIF(E18:AI18, "V")) &amp; "/" &amp; D18, (COUNTIF(E18:AI18, "✓") + COUNTIF(E18:AI18, "✔") + COUNTIF(E18:AI18, "v") + COUNTIF(E18:AI18, "V")) &amp; "/0"), IF(((COUNTIF(E18:AI18, "✓") + COUNTIF(E18:AI18, "✔") + COUNTIF(E18:AI18, "v") + COUNTIF(E18:AI18, "V")) + COUNTIF(E18:AI18, "✗") + COUNTIF(E18:AI18, "x") + COUNTIF(E18:AI18, "X"))&gt;0, (COUNTIF(E18:AI18, "✓") + COUNTIF(E18:AI18, "✔") + COUNTIF(E18:AI18, "v") + COUNTIF(E18:AI18, "V")) &amp; "/" &amp; ((COUNTIF(E18:AI18, "✓") + COUNTIF(E18:AI18, "✔") + COUNTIF(E18:AI18, "v") + COUNTIF(E18:AI18, "V")) + COUNTIF(E18:AI18, "✗") + COUNTIF(E18:AI18, "x") + COUNTIF(E18:AI18, "X")), "")))</f>
        <v/>
      </c>
      <c r="AL18" s="103">
        <f>IF(ISBLANK(B18), "", IF(AJ18&gt;=0.85, "🔥 Mastered", IF(AJ18&gt;=0.7, "⚡ Consistent", "⚠️ Needs Focus")))</f>
        <v/>
      </c>
      <c r="AM18">
        <f>COUNTIF(E18:AI18, "✓")</f>
        <v/>
      </c>
    </row>
    <row r="19" ht="14.5" customHeight="1">
      <c r="A19" s="97" t="n">
        <v>2</v>
      </c>
      <c r="B19" s="98" t="n"/>
      <c r="C19" s="99" t="n"/>
      <c r="D19" s="99" t="n"/>
      <c r="E19" s="100" t="n"/>
      <c r="F19" s="100" t="n"/>
      <c r="G19" s="100" t="n"/>
      <c r="H19" s="101" t="n"/>
      <c r="I19" s="100" t="n"/>
      <c r="J19" s="100" t="n"/>
      <c r="K19" s="100" t="n"/>
      <c r="L19" s="100" t="n"/>
      <c r="M19" s="100" t="n"/>
      <c r="N19" s="100" t="n"/>
      <c r="O19" s="101" t="n"/>
      <c r="P19" s="100" t="n"/>
      <c r="Q19" s="100" t="n"/>
      <c r="R19" s="100" t="n"/>
      <c r="S19" s="100" t="n"/>
      <c r="T19" s="100" t="n"/>
      <c r="U19" s="100" t="n"/>
      <c r="V19" s="101" t="n"/>
      <c r="W19" s="100" t="n"/>
      <c r="X19" s="100" t="n"/>
      <c r="Y19" s="100" t="n"/>
      <c r="Z19" s="100" t="n"/>
      <c r="AA19" s="100" t="n"/>
      <c r="AB19" s="100" t="n"/>
      <c r="AC19" s="101" t="n"/>
      <c r="AD19" s="100" t="n"/>
      <c r="AE19" s="100" t="n"/>
      <c r="AF19" s="100" t="n"/>
      <c r="AG19" s="100" t="n"/>
      <c r="AH19" s="100" t="n"/>
      <c r="AI19" s="100" t="n"/>
      <c r="AJ19" s="102">
        <f>IF(ISBLANK(B19), "", IF(ISNUMBER(D19), IF(D19&gt;0, (COUNTIF(E19:AI19, "✓") + COUNTIF(E19:AI19, "✔") + COUNTIF(E19:AI19, "v") + COUNTIF(E19:AI19, "V"))/D19, 0), IF(((COUNTIF(E19:AI19, "✓") + COUNTIF(E19:AI19, "✔") + COUNTIF(E19:AI19, "v") + COUNTIF(E19:AI19, "V")) + COUNTIF(E19:AI19, "✗") + COUNTIF(E19:AI19, "x") + COUNTIF(E19:AI19, "X"))&gt;0, (COUNTIF(E19:AI19, "✓") + COUNTIF(E19:AI19, "✔") + COUNTIF(E19:AI19, "v") + COUNTIF(E19:AI19, "V"))/((COUNTIF(E19:AI19, "✓") + COUNTIF(E19:AI19, "✔") + COUNTIF(E19:AI19, "v") + COUNTIF(E19:AI19, "V")) + COUNTIF(E19:AI19, "✗") + COUNTIF(E19:AI19, "x") + COUNTIF(E19:AI19, "X")), "")))</f>
        <v/>
      </c>
      <c r="AK19" s="103">
        <f>IF(ISBLANK(B19), "", IF(ISNUMBER(D19), IF(D19&gt;0, (COUNTIF(E19:AI19, "✓") + COUNTIF(E19:AI19, "✔") + COUNTIF(E19:AI19, "v") + COUNTIF(E19:AI19, "V")) &amp; "/" &amp; D19, (COUNTIF(E19:AI19, "✓") + COUNTIF(E19:AI19, "✔") + COUNTIF(E19:AI19, "v") + COUNTIF(E19:AI19, "V")) &amp; "/0"), IF(((COUNTIF(E19:AI19, "✓") + COUNTIF(E19:AI19, "✔") + COUNTIF(E19:AI19, "v") + COUNTIF(E19:AI19, "V")) + COUNTIF(E19:AI19, "✗") + COUNTIF(E19:AI19, "x") + COUNTIF(E19:AI19, "X"))&gt;0, (COUNTIF(E19:AI19, "✓") + COUNTIF(E19:AI19, "✔") + COUNTIF(E19:AI19, "v") + COUNTIF(E19:AI19, "V")) &amp; "/" &amp; ((COUNTIF(E19:AI19, "✓") + COUNTIF(E19:AI19, "✔") + COUNTIF(E19:AI19, "v") + COUNTIF(E19:AI19, "V")) + COUNTIF(E19:AI19, "✗") + COUNTIF(E19:AI19, "x") + COUNTIF(E19:AI19, "X")), "")))</f>
        <v/>
      </c>
      <c r="AL19" s="103">
        <f>IF(ISBLANK(B19), "", IF(AJ19&gt;=0.85, "🔥 Mastered", IF(AJ19&gt;=0.7, "⚡ Consistent", "⚠️ Needs Focus")))</f>
        <v/>
      </c>
      <c r="AM19">
        <f>COUNTIF(E19:AI19, "✓")</f>
        <v/>
      </c>
    </row>
    <row r="20" ht="14.5" customHeight="1">
      <c r="A20" s="97" t="n">
        <v>3</v>
      </c>
      <c r="B20" s="98" t="n"/>
      <c r="C20" s="99" t="n"/>
      <c r="D20" s="99" t="n"/>
      <c r="E20" s="100" t="n"/>
      <c r="F20" s="100" t="n"/>
      <c r="G20" s="100" t="n"/>
      <c r="H20" s="101" t="n"/>
      <c r="I20" s="100" t="n"/>
      <c r="J20" s="100" t="n"/>
      <c r="K20" s="100" t="n"/>
      <c r="L20" s="100" t="n"/>
      <c r="M20" s="100" t="n"/>
      <c r="N20" s="100" t="n"/>
      <c r="O20" s="101" t="n"/>
      <c r="P20" s="100" t="n"/>
      <c r="Q20" s="100" t="n"/>
      <c r="R20" s="100" t="n"/>
      <c r="S20" s="100" t="n"/>
      <c r="T20" s="100" t="n"/>
      <c r="U20" s="100" t="n"/>
      <c r="V20" s="101" t="n"/>
      <c r="W20" s="100" t="n"/>
      <c r="X20" s="100" t="n"/>
      <c r="Y20" s="100" t="n"/>
      <c r="Z20" s="100" t="n"/>
      <c r="AA20" s="100" t="n"/>
      <c r="AB20" s="100" t="n"/>
      <c r="AC20" s="101" t="n"/>
      <c r="AD20" s="100" t="n"/>
      <c r="AE20" s="100" t="n"/>
      <c r="AF20" s="100" t="n"/>
      <c r="AG20" s="100" t="n"/>
      <c r="AH20" s="100" t="n"/>
      <c r="AI20" s="100" t="n"/>
      <c r="AJ20" s="102">
        <f>IF(ISBLANK(B20), "", IF(ISNUMBER(D20), IF(D20&gt;0, (COUNTIF(E20:AI20, "✓") + COUNTIF(E20:AI20, "✔") + COUNTIF(E20:AI20, "v") + COUNTIF(E20:AI20, "V"))/D20, 0), IF(((COUNTIF(E20:AI20, "✓") + COUNTIF(E20:AI20, "✔") + COUNTIF(E20:AI20, "v") + COUNTIF(E20:AI20, "V")) + COUNTIF(E20:AI20, "✗") + COUNTIF(E20:AI20, "x") + COUNTIF(E20:AI20, "X"))&gt;0, (COUNTIF(E20:AI20, "✓") + COUNTIF(E20:AI20, "✔") + COUNTIF(E20:AI20, "v") + COUNTIF(E20:AI20, "V"))/((COUNTIF(E20:AI20, "✓") + COUNTIF(E20:AI20, "✔") + COUNTIF(E20:AI20, "v") + COUNTIF(E20:AI20, "V")) + COUNTIF(E20:AI20, "✗") + COUNTIF(E20:AI20, "x") + COUNTIF(E20:AI20, "X")), "")))</f>
        <v/>
      </c>
      <c r="AK20" s="103">
        <f>IF(ISBLANK(B20), "", IF(ISNUMBER(D20), IF(D20&gt;0, (COUNTIF(E20:AI20, "✓") + COUNTIF(E20:AI20, "✔") + COUNTIF(E20:AI20, "v") + COUNTIF(E20:AI20, "V")) &amp; "/" &amp; D20, (COUNTIF(E20:AI20, "✓") + COUNTIF(E20:AI20, "✔") + COUNTIF(E20:AI20, "v") + COUNTIF(E20:AI20, "V")) &amp; "/0"), IF(((COUNTIF(E20:AI20, "✓") + COUNTIF(E20:AI20, "✔") + COUNTIF(E20:AI20, "v") + COUNTIF(E20:AI20, "V")) + COUNTIF(E20:AI20, "✗") + COUNTIF(E20:AI20, "x") + COUNTIF(E20:AI20, "X"))&gt;0, (COUNTIF(E20:AI20, "✓") + COUNTIF(E20:AI20, "✔") + COUNTIF(E20:AI20, "v") + COUNTIF(E20:AI20, "V")) &amp; "/" &amp; ((COUNTIF(E20:AI20, "✓") + COUNTIF(E20:AI20, "✔") + COUNTIF(E20:AI20, "v") + COUNTIF(E20:AI20, "V")) + COUNTIF(E20:AI20, "✗") + COUNTIF(E20:AI20, "x") + COUNTIF(E20:AI20, "X")), "")))</f>
        <v/>
      </c>
      <c r="AL20" s="103">
        <f>IF(ISBLANK(B20), "", IF(AJ20&gt;=0.85, "🔥 Mastered", IF(AJ20&gt;=0.7, "⚡ Consistent", "⚠️ Needs Focus")))</f>
        <v/>
      </c>
      <c r="AM20">
        <f>COUNTIF(E20:AI20, "✓")</f>
        <v/>
      </c>
    </row>
    <row r="21" ht="14.5" customHeight="1">
      <c r="A21" s="97" t="n">
        <v>4</v>
      </c>
      <c r="B21" s="98" t="n"/>
      <c r="C21" s="99" t="n"/>
      <c r="D21" s="99" t="n"/>
      <c r="E21" s="100" t="n"/>
      <c r="F21" s="100" t="n"/>
      <c r="G21" s="100" t="n"/>
      <c r="H21" s="101" t="n"/>
      <c r="I21" s="100" t="n"/>
      <c r="J21" s="100" t="n"/>
      <c r="K21" s="100" t="n"/>
      <c r="L21" s="100" t="n"/>
      <c r="M21" s="100" t="n"/>
      <c r="N21" s="100" t="n"/>
      <c r="O21" s="101" t="n"/>
      <c r="P21" s="100" t="n"/>
      <c r="Q21" s="100" t="n"/>
      <c r="R21" s="100" t="n"/>
      <c r="S21" s="100" t="n"/>
      <c r="T21" s="100" t="n"/>
      <c r="U21" s="100" t="n"/>
      <c r="V21" s="101" t="n"/>
      <c r="W21" s="100" t="n"/>
      <c r="X21" s="100" t="n"/>
      <c r="Y21" s="100" t="n"/>
      <c r="Z21" s="100" t="n"/>
      <c r="AA21" s="100" t="n"/>
      <c r="AB21" s="100" t="n"/>
      <c r="AC21" s="101" t="n"/>
      <c r="AD21" s="100" t="n"/>
      <c r="AE21" s="100" t="n"/>
      <c r="AF21" s="100" t="n"/>
      <c r="AG21" s="100" t="n"/>
      <c r="AH21" s="100" t="n"/>
      <c r="AI21" s="100" t="n"/>
      <c r="AJ21" s="102">
        <f>IF(ISBLANK(B21), "", IF(ISNUMBER(D21), IF(D21&gt;0, (COUNTIF(E21:AI21, "✓") + COUNTIF(E21:AI21, "✔") + COUNTIF(E21:AI21, "v") + COUNTIF(E21:AI21, "V"))/D21, 0), IF(((COUNTIF(E21:AI21, "✓") + COUNTIF(E21:AI21, "✔") + COUNTIF(E21:AI21, "v") + COUNTIF(E21:AI21, "V")) + COUNTIF(E21:AI21, "✗") + COUNTIF(E21:AI21, "x") + COUNTIF(E21:AI21, "X"))&gt;0, (COUNTIF(E21:AI21, "✓") + COUNTIF(E21:AI21, "✔") + COUNTIF(E21:AI21, "v") + COUNTIF(E21:AI21, "V"))/((COUNTIF(E21:AI21, "✓") + COUNTIF(E21:AI21, "✔") + COUNTIF(E21:AI21, "v") + COUNTIF(E21:AI21, "V")) + COUNTIF(E21:AI21, "✗") + COUNTIF(E21:AI21, "x") + COUNTIF(E21:AI21, "X")), "")))</f>
        <v/>
      </c>
      <c r="AK21" s="103">
        <f>IF(ISBLANK(B21), "", IF(ISNUMBER(D21), IF(D21&gt;0, (COUNTIF(E21:AI21, "✓") + COUNTIF(E21:AI21, "✔") + COUNTIF(E21:AI21, "v") + COUNTIF(E21:AI21, "V")) &amp; "/" &amp; D21, (COUNTIF(E21:AI21, "✓") + COUNTIF(E21:AI21, "✔") + COUNTIF(E21:AI21, "v") + COUNTIF(E21:AI21, "V")) &amp; "/0"), IF(((COUNTIF(E21:AI21, "✓") + COUNTIF(E21:AI21, "✔") + COUNTIF(E21:AI21, "v") + COUNTIF(E21:AI21, "V")) + COUNTIF(E21:AI21, "✗") + COUNTIF(E21:AI21, "x") + COUNTIF(E21:AI21, "X"))&gt;0, (COUNTIF(E21:AI21, "✓") + COUNTIF(E21:AI21, "✔") + COUNTIF(E21:AI21, "v") + COUNTIF(E21:AI21, "V")) &amp; "/" &amp; ((COUNTIF(E21:AI21, "✓") + COUNTIF(E21:AI21, "✔") + COUNTIF(E21:AI21, "v") + COUNTIF(E21:AI21, "V")) + COUNTIF(E21:AI21, "✗") + COUNTIF(E21:AI21, "x") + COUNTIF(E21:AI21, "X")), "")))</f>
        <v/>
      </c>
      <c r="AL21" s="103">
        <f>IF(ISBLANK(B21), "", IF(AJ21&gt;=0.85, "🔥 Mastered", IF(AJ21&gt;=0.7, "⚡ Consistent", "⚠️ Needs Focus")))</f>
        <v/>
      </c>
      <c r="AM21">
        <f>COUNTIF(E21:AI21, "✓")</f>
        <v/>
      </c>
    </row>
    <row r="22" ht="14.5" customHeight="1">
      <c r="A22" s="104" t="n">
        <v>5</v>
      </c>
      <c r="B22" s="105" t="n"/>
      <c r="C22" s="106" t="n"/>
      <c r="D22" s="106" t="n"/>
      <c r="E22" s="107" t="n"/>
      <c r="F22" s="107" t="n"/>
      <c r="G22" s="107" t="n"/>
      <c r="H22" s="108" t="n"/>
      <c r="I22" s="107" t="n"/>
      <c r="J22" s="107" t="n"/>
      <c r="K22" s="107" t="n"/>
      <c r="L22" s="107" t="n"/>
      <c r="M22" s="107" t="n"/>
      <c r="N22" s="107" t="n"/>
      <c r="O22" s="108" t="n"/>
      <c r="P22" s="107" t="n"/>
      <c r="Q22" s="107" t="n"/>
      <c r="R22" s="107" t="n"/>
      <c r="S22" s="107" t="n"/>
      <c r="T22" s="107" t="n"/>
      <c r="U22" s="107" t="n"/>
      <c r="V22" s="108" t="n"/>
      <c r="W22" s="107" t="n"/>
      <c r="X22" s="107" t="n"/>
      <c r="Y22" s="107" t="n"/>
      <c r="Z22" s="107" t="n"/>
      <c r="AA22" s="107" t="n"/>
      <c r="AB22" s="107" t="n"/>
      <c r="AC22" s="108" t="n"/>
      <c r="AD22" s="107" t="n"/>
      <c r="AE22" s="107" t="n"/>
      <c r="AF22" s="107" t="n"/>
      <c r="AG22" s="107" t="n"/>
      <c r="AH22" s="107" t="n"/>
      <c r="AI22" s="107" t="n"/>
      <c r="AJ22" s="109">
        <f>IF(ISBLANK(B22), "", IF(ISNUMBER(D22), IF(D22&gt;0, (COUNTIF(E22:AI22, "✓") + COUNTIF(E22:AI22, "✔") + COUNTIF(E22:AI22, "v") + COUNTIF(E22:AI22, "V"))/D22, 0), IF(((COUNTIF(E22:AI22, "✓") + COUNTIF(E22:AI22, "✔") + COUNTIF(E22:AI22, "v") + COUNTIF(E22:AI22, "V")) + COUNTIF(E22:AI22, "✗") + COUNTIF(E22:AI22, "x") + COUNTIF(E22:AI22, "X"))&gt;0, (COUNTIF(E22:AI22, "✓") + COUNTIF(E22:AI22, "✔") + COUNTIF(E22:AI22, "v") + COUNTIF(E22:AI22, "V"))/((COUNTIF(E22:AI22, "✓") + COUNTIF(E22:AI22, "✔") + COUNTIF(E22:AI22, "v") + COUNTIF(E22:AI22, "V")) + COUNTIF(E22:AI22, "✗") + COUNTIF(E22:AI22, "x") + COUNTIF(E22:AI22, "X")), "")))</f>
        <v/>
      </c>
      <c r="AK22" s="110">
        <f>IF(ISBLANK(B22), "", IF(ISNUMBER(D22), IF(D22&gt;0, (COUNTIF(E22:AI22, "✓") + COUNTIF(E22:AI22, "✔") + COUNTIF(E22:AI22, "v") + COUNTIF(E22:AI22, "V")) &amp; "/" &amp; D22, (COUNTIF(E22:AI22, "✓") + COUNTIF(E22:AI22, "✔") + COUNTIF(E22:AI22, "v") + COUNTIF(E22:AI22, "V")) &amp; "/0"), IF(((COUNTIF(E22:AI22, "✓") + COUNTIF(E22:AI22, "✔") + COUNTIF(E22:AI22, "v") + COUNTIF(E22:AI22, "V")) + COUNTIF(E22:AI22, "✗") + COUNTIF(E22:AI22, "x") + COUNTIF(E22:AI22, "X"))&gt;0, (COUNTIF(E22:AI22, "✓") + COUNTIF(E22:AI22, "✔") + COUNTIF(E22:AI22, "v") + COUNTIF(E22:AI22, "V")) &amp; "/" &amp; ((COUNTIF(E22:AI22, "✓") + COUNTIF(E22:AI22, "✔") + COUNTIF(E22:AI22, "v") + COUNTIF(E22:AI22, "V")) + COUNTIF(E22:AI22, "✗") + COUNTIF(E22:AI22, "x") + COUNTIF(E22:AI22, "X")), "")))</f>
        <v/>
      </c>
      <c r="AL22" s="110">
        <f>IF(ISBLANK(B22), "", IF(AJ22&gt;=0.85, "🔥 Mastered", IF(AJ22&gt;=0.7, "⚡ Consistent", "⚠️ Needs Focus")))</f>
        <v/>
      </c>
      <c r="AM22">
        <f>COUNTIF(E22:AI22, "✓")</f>
        <v/>
      </c>
    </row>
    <row r="23" ht="14.5" customHeight="1">
      <c r="A23" s="104" t="n">
        <v>6</v>
      </c>
      <c r="B23" s="105" t="n"/>
      <c r="C23" s="106" t="n"/>
      <c r="D23" s="106" t="n"/>
      <c r="E23" s="107" t="n"/>
      <c r="F23" s="107" t="n"/>
      <c r="G23" s="107" t="n"/>
      <c r="H23" s="108" t="n"/>
      <c r="I23" s="107" t="n"/>
      <c r="J23" s="107" t="n"/>
      <c r="K23" s="107" t="n"/>
      <c r="L23" s="107" t="n"/>
      <c r="M23" s="107" t="n"/>
      <c r="N23" s="107" t="n"/>
      <c r="O23" s="108" t="n"/>
      <c r="P23" s="107" t="n"/>
      <c r="Q23" s="107" t="n"/>
      <c r="R23" s="107" t="n"/>
      <c r="S23" s="107" t="n"/>
      <c r="T23" s="107" t="n"/>
      <c r="U23" s="107" t="n"/>
      <c r="V23" s="108" t="n"/>
      <c r="W23" s="107" t="n"/>
      <c r="X23" s="107" t="n"/>
      <c r="Y23" s="107" t="n"/>
      <c r="Z23" s="107" t="n"/>
      <c r="AA23" s="107" t="n"/>
      <c r="AB23" s="107" t="n"/>
      <c r="AC23" s="108" t="n"/>
      <c r="AD23" s="107" t="n"/>
      <c r="AE23" s="107" t="n"/>
      <c r="AF23" s="107" t="n"/>
      <c r="AG23" s="107" t="n"/>
      <c r="AH23" s="107" t="n"/>
      <c r="AI23" s="107" t="n"/>
      <c r="AJ23" s="109">
        <f>IF(ISBLANK(B23), "", IF(ISNUMBER(D23), IF(D23&gt;0, (COUNTIF(E23:AI23, "✓") + COUNTIF(E23:AI23, "✔") + COUNTIF(E23:AI23, "v") + COUNTIF(E23:AI23, "V"))/D23, 0), IF(((COUNTIF(E23:AI23, "✓") + COUNTIF(E23:AI23, "✔") + COUNTIF(E23:AI23, "v") + COUNTIF(E23:AI23, "V")) + COUNTIF(E23:AI23, "✗") + COUNTIF(E23:AI23, "x") + COUNTIF(E23:AI23, "X"))&gt;0, (COUNTIF(E23:AI23, "✓") + COUNTIF(E23:AI23, "✔") + COUNTIF(E23:AI23, "v") + COUNTIF(E23:AI23, "V"))/((COUNTIF(E23:AI23, "✓") + COUNTIF(E23:AI23, "✔") + COUNTIF(E23:AI23, "v") + COUNTIF(E23:AI23, "V")) + COUNTIF(E23:AI23, "✗") + COUNTIF(E23:AI23, "x") + COUNTIF(E23:AI23, "X")), "")))</f>
        <v/>
      </c>
      <c r="AK23" s="110">
        <f>IF(ISBLANK(B23), "", IF(ISNUMBER(D23), IF(D23&gt;0, (COUNTIF(E23:AI23, "✓") + COUNTIF(E23:AI23, "✔") + COUNTIF(E23:AI23, "v") + COUNTIF(E23:AI23, "V")) &amp; "/" &amp; D23, (COUNTIF(E23:AI23, "✓") + COUNTIF(E23:AI23, "✔") + COUNTIF(E23:AI23, "v") + COUNTIF(E23:AI23, "V")) &amp; "/0"), IF(((COUNTIF(E23:AI23, "✓") + COUNTIF(E23:AI23, "✔") + COUNTIF(E23:AI23, "v") + COUNTIF(E23:AI23, "V")) + COUNTIF(E23:AI23, "✗") + COUNTIF(E23:AI23, "x") + COUNTIF(E23:AI23, "X"))&gt;0, (COUNTIF(E23:AI23, "✓") + COUNTIF(E23:AI23, "✔") + COUNTIF(E23:AI23, "v") + COUNTIF(E23:AI23, "V")) &amp; "/" &amp; ((COUNTIF(E23:AI23, "✓") + COUNTIF(E23:AI23, "✔") + COUNTIF(E23:AI23, "v") + COUNTIF(E23:AI23, "V")) + COUNTIF(E23:AI23, "✗") + COUNTIF(E23:AI23, "x") + COUNTIF(E23:AI23, "X")), "")))</f>
        <v/>
      </c>
      <c r="AL23" s="110">
        <f>IF(ISBLANK(B23), "", IF(AJ23&gt;=0.85, "🔥 Mastered", IF(AJ23&gt;=0.7, "⚡ Consistent", "⚠️ Needs Focus")))</f>
        <v/>
      </c>
      <c r="AM23">
        <f>COUNTIF(E23:AI23, "✓")</f>
        <v/>
      </c>
    </row>
    <row r="24" ht="14.5" customHeight="1">
      <c r="A24" s="104" t="n">
        <v>7</v>
      </c>
      <c r="B24" s="105" t="n"/>
      <c r="C24" s="106" t="n"/>
      <c r="D24" s="106" t="n"/>
      <c r="E24" s="107" t="n"/>
      <c r="F24" s="107" t="n"/>
      <c r="G24" s="107" t="n"/>
      <c r="H24" s="108" t="n"/>
      <c r="I24" s="107" t="n"/>
      <c r="J24" s="107" t="n"/>
      <c r="K24" s="107" t="n"/>
      <c r="L24" s="107" t="n"/>
      <c r="M24" s="107" t="n"/>
      <c r="N24" s="107" t="n"/>
      <c r="O24" s="108" t="n"/>
      <c r="P24" s="107" t="n"/>
      <c r="Q24" s="107" t="n"/>
      <c r="R24" s="107" t="n"/>
      <c r="S24" s="107" t="n"/>
      <c r="T24" s="107" t="n"/>
      <c r="U24" s="107" t="n"/>
      <c r="V24" s="108" t="n"/>
      <c r="W24" s="107" t="n"/>
      <c r="X24" s="107" t="n"/>
      <c r="Y24" s="107" t="n"/>
      <c r="Z24" s="107" t="n"/>
      <c r="AA24" s="107" t="n"/>
      <c r="AB24" s="107" t="n"/>
      <c r="AC24" s="108" t="n"/>
      <c r="AD24" s="107" t="n"/>
      <c r="AE24" s="107" t="n"/>
      <c r="AF24" s="107" t="n"/>
      <c r="AG24" s="107" t="n"/>
      <c r="AH24" s="107" t="n"/>
      <c r="AI24" s="107" t="n"/>
      <c r="AJ24" s="109">
        <f>IF(ISBLANK(B24), "", IF(ISNUMBER(D24), IF(D24&gt;0, (COUNTIF(E24:AI24, "✓") + COUNTIF(E24:AI24, "✔") + COUNTIF(E24:AI24, "v") + COUNTIF(E24:AI24, "V"))/D24, 0), IF(((COUNTIF(E24:AI24, "✓") + COUNTIF(E24:AI24, "✔") + COUNTIF(E24:AI24, "v") + COUNTIF(E24:AI24, "V")) + COUNTIF(E24:AI24, "✗") + COUNTIF(E24:AI24, "x") + COUNTIF(E24:AI24, "X"))&gt;0, (COUNTIF(E24:AI24, "✓") + COUNTIF(E24:AI24, "✔") + COUNTIF(E24:AI24, "v") + COUNTIF(E24:AI24, "V"))/((COUNTIF(E24:AI24, "✓") + COUNTIF(E24:AI24, "✔") + COUNTIF(E24:AI24, "v") + COUNTIF(E24:AI24, "V")) + COUNTIF(E24:AI24, "✗") + COUNTIF(E24:AI24, "x") + COUNTIF(E24:AI24, "X")), "")))</f>
        <v/>
      </c>
      <c r="AK24" s="110">
        <f>IF(ISBLANK(B24), "", IF(ISNUMBER(D24), IF(D24&gt;0, (COUNTIF(E24:AI24, "✓") + COUNTIF(E24:AI24, "✔") + COUNTIF(E24:AI24, "v") + COUNTIF(E24:AI24, "V")) &amp; "/" &amp; D24, (COUNTIF(E24:AI24, "✓") + COUNTIF(E24:AI24, "✔") + COUNTIF(E24:AI24, "v") + COUNTIF(E24:AI24, "V")) &amp; "/0"), IF(((COUNTIF(E24:AI24, "✓") + COUNTIF(E24:AI24, "✔") + COUNTIF(E24:AI24, "v") + COUNTIF(E24:AI24, "V")) + COUNTIF(E24:AI24, "✗") + COUNTIF(E24:AI24, "x") + COUNTIF(E24:AI24, "X"))&gt;0, (COUNTIF(E24:AI24, "✓") + COUNTIF(E24:AI24, "✔") + COUNTIF(E24:AI24, "v") + COUNTIF(E24:AI24, "V")) &amp; "/" &amp; ((COUNTIF(E24:AI24, "✓") + COUNTIF(E24:AI24, "✔") + COUNTIF(E24:AI24, "v") + COUNTIF(E24:AI24, "V")) + COUNTIF(E24:AI24, "✗") + COUNTIF(E24:AI24, "x") + COUNTIF(E24:AI24, "X")), "")))</f>
        <v/>
      </c>
      <c r="AL24" s="110">
        <f>IF(ISBLANK(B24), "", IF(AJ24&gt;=0.85, "🔥 Mastered", IF(AJ24&gt;=0.7, "⚡ Consistent", "⚠️ Needs Focus")))</f>
        <v/>
      </c>
      <c r="AM24">
        <f>COUNTIF(E24:AI24, "✓")</f>
        <v/>
      </c>
    </row>
    <row r="25" ht="14.5" customHeight="1">
      <c r="A25" s="104" t="n">
        <v>8</v>
      </c>
      <c r="B25" s="105" t="n"/>
      <c r="C25" s="106" t="n"/>
      <c r="D25" s="106" t="n"/>
      <c r="E25" s="107" t="n"/>
      <c r="F25" s="107" t="n"/>
      <c r="G25" s="107" t="n"/>
      <c r="H25" s="108" t="n"/>
      <c r="I25" s="107" t="n"/>
      <c r="J25" s="107" t="n"/>
      <c r="K25" s="107" t="n"/>
      <c r="L25" s="107" t="n"/>
      <c r="M25" s="107" t="n"/>
      <c r="N25" s="107" t="n"/>
      <c r="O25" s="108" t="n"/>
      <c r="P25" s="107" t="n"/>
      <c r="Q25" s="107" t="n"/>
      <c r="R25" s="107" t="n"/>
      <c r="S25" s="107" t="n"/>
      <c r="T25" s="107" t="n"/>
      <c r="U25" s="107" t="n"/>
      <c r="V25" s="108" t="n"/>
      <c r="W25" s="107" t="n"/>
      <c r="X25" s="107" t="n"/>
      <c r="Y25" s="107" t="n"/>
      <c r="Z25" s="107" t="n"/>
      <c r="AA25" s="107" t="n"/>
      <c r="AB25" s="107" t="n"/>
      <c r="AC25" s="108" t="n"/>
      <c r="AD25" s="107" t="n"/>
      <c r="AE25" s="107" t="n"/>
      <c r="AF25" s="107" t="n"/>
      <c r="AG25" s="107" t="n"/>
      <c r="AH25" s="107" t="n"/>
      <c r="AI25" s="107" t="n"/>
      <c r="AJ25" s="109">
        <f>IF(ISBLANK(B25), "", IF(ISNUMBER(D25), IF(D25&gt;0, (COUNTIF(E25:AI25, "✓") + COUNTIF(E25:AI25, "✔") + COUNTIF(E25:AI25, "v") + COUNTIF(E25:AI25, "V"))/D25, 0), IF(((COUNTIF(E25:AI25, "✓") + COUNTIF(E25:AI25, "✔") + COUNTIF(E25:AI25, "v") + COUNTIF(E25:AI25, "V")) + COUNTIF(E25:AI25, "✗") + COUNTIF(E25:AI25, "x") + COUNTIF(E25:AI25, "X"))&gt;0, (COUNTIF(E25:AI25, "✓") + COUNTIF(E25:AI25, "✔") + COUNTIF(E25:AI25, "v") + COUNTIF(E25:AI25, "V"))/((COUNTIF(E25:AI25, "✓") + COUNTIF(E25:AI25, "✔") + COUNTIF(E25:AI25, "v") + COUNTIF(E25:AI25, "V")) + COUNTIF(E25:AI25, "✗") + COUNTIF(E25:AI25, "x") + COUNTIF(E25:AI25, "X")), "")))</f>
        <v/>
      </c>
      <c r="AK25" s="110">
        <f>IF(ISBLANK(B25), "", IF(ISNUMBER(D25), IF(D25&gt;0, (COUNTIF(E25:AI25, "✓") + COUNTIF(E25:AI25, "✔") + COUNTIF(E25:AI25, "v") + COUNTIF(E25:AI25, "V")) &amp; "/" &amp; D25, (COUNTIF(E25:AI25, "✓") + COUNTIF(E25:AI25, "✔") + COUNTIF(E25:AI25, "v") + COUNTIF(E25:AI25, "V")) &amp; "/0"), IF(((COUNTIF(E25:AI25, "✓") + COUNTIF(E25:AI25, "✔") + COUNTIF(E25:AI25, "v") + COUNTIF(E25:AI25, "V")) + COUNTIF(E25:AI25, "✗") + COUNTIF(E25:AI25, "x") + COUNTIF(E25:AI25, "X"))&gt;0, (COUNTIF(E25:AI25, "✓") + COUNTIF(E25:AI25, "✔") + COUNTIF(E25:AI25, "v") + COUNTIF(E25:AI25, "V")) &amp; "/" &amp; ((COUNTIF(E25:AI25, "✓") + COUNTIF(E25:AI25, "✔") + COUNTIF(E25:AI25, "v") + COUNTIF(E25:AI25, "V")) + COUNTIF(E25:AI25, "✗") + COUNTIF(E25:AI25, "x") + COUNTIF(E25:AI25, "X")), "")))</f>
        <v/>
      </c>
      <c r="AL25" s="110">
        <f>IF(ISBLANK(B25), "", IF(AJ25&gt;=0.85, "🔥 Mastered", IF(AJ25&gt;=0.7, "⚡ Consistent", "⚠️ Needs Focus")))</f>
        <v/>
      </c>
      <c r="AM25">
        <f>COUNTIF(E25:AI25, "✓")</f>
        <v/>
      </c>
    </row>
    <row r="26" ht="14.5" customHeight="1">
      <c r="A26" s="111" t="n">
        <v>9</v>
      </c>
      <c r="B26" s="112" t="n"/>
      <c r="C26" s="113" t="n"/>
      <c r="D26" s="113" t="n"/>
      <c r="E26" s="114" t="n"/>
      <c r="F26" s="114" t="n"/>
      <c r="G26" s="114" t="n"/>
      <c r="H26" s="115" t="n"/>
      <c r="I26" s="114" t="n"/>
      <c r="J26" s="114" t="n"/>
      <c r="K26" s="114" t="n"/>
      <c r="L26" s="114" t="n"/>
      <c r="M26" s="114" t="n"/>
      <c r="N26" s="114" t="n"/>
      <c r="O26" s="115" t="n"/>
      <c r="P26" s="114" t="n"/>
      <c r="Q26" s="114" t="n"/>
      <c r="R26" s="114" t="n"/>
      <c r="S26" s="114" t="n"/>
      <c r="T26" s="114" t="n"/>
      <c r="U26" s="114" t="n"/>
      <c r="V26" s="115" t="n"/>
      <c r="W26" s="114" t="n"/>
      <c r="X26" s="114" t="n"/>
      <c r="Y26" s="114" t="n"/>
      <c r="Z26" s="114" t="n"/>
      <c r="AA26" s="114" t="n"/>
      <c r="AB26" s="114" t="n"/>
      <c r="AC26" s="115" t="n"/>
      <c r="AD26" s="114" t="n"/>
      <c r="AE26" s="114" t="n"/>
      <c r="AF26" s="114" t="n"/>
      <c r="AG26" s="114" t="n"/>
      <c r="AH26" s="114" t="n"/>
      <c r="AI26" s="114" t="n"/>
      <c r="AJ26" s="116">
        <f>IF(ISBLANK(B26), "", IF(ISNUMBER(D26), IF(D26&gt;0, (COUNTIF(E26:AI26, "✓") + COUNTIF(E26:AI26, "✔") + COUNTIF(E26:AI26, "v") + COUNTIF(E26:AI26, "V"))/D26, 0), IF(((COUNTIF(E26:AI26, "✓") + COUNTIF(E26:AI26, "✔") + COUNTIF(E26:AI26, "v") + COUNTIF(E26:AI26, "V")) + COUNTIF(E26:AI26, "✗") + COUNTIF(E26:AI26, "x") + COUNTIF(E26:AI26, "X"))&gt;0, (COUNTIF(E26:AI26, "✓") + COUNTIF(E26:AI26, "✔") + COUNTIF(E26:AI26, "v") + COUNTIF(E26:AI26, "V"))/((COUNTIF(E26:AI26, "✓") + COUNTIF(E26:AI26, "✔") + COUNTIF(E26:AI26, "v") + COUNTIF(E26:AI26, "V")) + COUNTIF(E26:AI26, "✗") + COUNTIF(E26:AI26, "x") + COUNTIF(E26:AI26, "X")), "")))</f>
        <v/>
      </c>
      <c r="AK26" s="117">
        <f>IF(ISBLANK(B26), "", IF(ISNUMBER(D26), IF(D26&gt;0, (COUNTIF(E26:AI26, "✓") + COUNTIF(E26:AI26, "✔") + COUNTIF(E26:AI26, "v") + COUNTIF(E26:AI26, "V")) &amp; "/" &amp; D26, (COUNTIF(E26:AI26, "✓") + COUNTIF(E26:AI26, "✔") + COUNTIF(E26:AI26, "v") + COUNTIF(E26:AI26, "V")) &amp; "/0"), IF(((COUNTIF(E26:AI26, "✓") + COUNTIF(E26:AI26, "✔") + COUNTIF(E26:AI26, "v") + COUNTIF(E26:AI26, "V")) + COUNTIF(E26:AI26, "✗") + COUNTIF(E26:AI26, "x") + COUNTIF(E26:AI26, "X"))&gt;0, (COUNTIF(E26:AI26, "✓") + COUNTIF(E26:AI26, "✔") + COUNTIF(E26:AI26, "v") + COUNTIF(E26:AI26, "V")) &amp; "/" &amp; ((COUNTIF(E26:AI26, "✓") + COUNTIF(E26:AI26, "✔") + COUNTIF(E26:AI26, "v") + COUNTIF(E26:AI26, "V")) + COUNTIF(E26:AI26, "✗") + COUNTIF(E26:AI26, "x") + COUNTIF(E26:AI26, "X")), "")))</f>
        <v/>
      </c>
      <c r="AL26" s="117">
        <f>IF(ISBLANK(B26), "", IF(AJ26&gt;=0.85, "🔥 Mastered", IF(AJ26&gt;=0.7, "⚡ Consistent", "⚠️ Needs Focus")))</f>
        <v/>
      </c>
      <c r="AM26">
        <f>COUNTIF(E26:AI26, "✓")</f>
        <v/>
      </c>
    </row>
    <row r="27" ht="14.5" customHeight="1">
      <c r="A27" s="111" t="n">
        <v>10</v>
      </c>
      <c r="B27" s="112" t="n"/>
      <c r="C27" s="113" t="n"/>
      <c r="D27" s="113" t="n"/>
      <c r="E27" s="114" t="n"/>
      <c r="F27" s="114" t="n"/>
      <c r="G27" s="114" t="n"/>
      <c r="H27" s="115" t="n"/>
      <c r="I27" s="114" t="n"/>
      <c r="J27" s="114" t="n"/>
      <c r="K27" s="114" t="n"/>
      <c r="L27" s="114" t="n"/>
      <c r="M27" s="114" t="n"/>
      <c r="N27" s="114" t="n"/>
      <c r="O27" s="115" t="n"/>
      <c r="P27" s="114" t="n"/>
      <c r="Q27" s="114" t="n"/>
      <c r="R27" s="114" t="n"/>
      <c r="S27" s="114" t="n"/>
      <c r="T27" s="114" t="n"/>
      <c r="U27" s="114" t="n"/>
      <c r="V27" s="115" t="n"/>
      <c r="W27" s="114" t="n"/>
      <c r="X27" s="114" t="n"/>
      <c r="Y27" s="114" t="n"/>
      <c r="Z27" s="114" t="n"/>
      <c r="AA27" s="114" t="n"/>
      <c r="AB27" s="114" t="n"/>
      <c r="AC27" s="115" t="n"/>
      <c r="AD27" s="114" t="n"/>
      <c r="AE27" s="114" t="n"/>
      <c r="AF27" s="114" t="n"/>
      <c r="AG27" s="114" t="n"/>
      <c r="AH27" s="114" t="n"/>
      <c r="AI27" s="114" t="n"/>
      <c r="AJ27" s="116">
        <f>IF(ISBLANK(B27), "", IF(ISNUMBER(D27), IF(D27&gt;0, (COUNTIF(E27:AI27, "✓") + COUNTIF(E27:AI27, "✔") + COUNTIF(E27:AI27, "v") + COUNTIF(E27:AI27, "V"))/D27, 0), IF(((COUNTIF(E27:AI27, "✓") + COUNTIF(E27:AI27, "✔") + COUNTIF(E27:AI27, "v") + COUNTIF(E27:AI27, "V")) + COUNTIF(E27:AI27, "✗") + COUNTIF(E27:AI27, "x") + COUNTIF(E27:AI27, "X"))&gt;0, (COUNTIF(E27:AI27, "✓") + COUNTIF(E27:AI27, "✔") + COUNTIF(E27:AI27, "v") + COUNTIF(E27:AI27, "V"))/((COUNTIF(E27:AI27, "✓") + COUNTIF(E27:AI27, "✔") + COUNTIF(E27:AI27, "v") + COUNTIF(E27:AI27, "V")) + COUNTIF(E27:AI27, "✗") + COUNTIF(E27:AI27, "x") + COUNTIF(E27:AI27, "X")), "")))</f>
        <v/>
      </c>
      <c r="AK27" s="117">
        <f>IF(ISBLANK(B27), "", IF(ISNUMBER(D27), IF(D27&gt;0, (COUNTIF(E27:AI27, "✓") + COUNTIF(E27:AI27, "✔") + COUNTIF(E27:AI27, "v") + COUNTIF(E27:AI27, "V")) &amp; "/" &amp; D27, (COUNTIF(E27:AI27, "✓") + COUNTIF(E27:AI27, "✔") + COUNTIF(E27:AI27, "v") + COUNTIF(E27:AI27, "V")) &amp; "/0"), IF(((COUNTIF(E27:AI27, "✓") + COUNTIF(E27:AI27, "✔") + COUNTIF(E27:AI27, "v") + COUNTIF(E27:AI27, "V")) + COUNTIF(E27:AI27, "✗") + COUNTIF(E27:AI27, "x") + COUNTIF(E27:AI27, "X"))&gt;0, (COUNTIF(E27:AI27, "✓") + COUNTIF(E27:AI27, "✔") + COUNTIF(E27:AI27, "v") + COUNTIF(E27:AI27, "V")) &amp; "/" &amp; ((COUNTIF(E27:AI27, "✓") + COUNTIF(E27:AI27, "✔") + COUNTIF(E27:AI27, "v") + COUNTIF(E27:AI27, "V")) + COUNTIF(E27:AI27, "✗") + COUNTIF(E27:AI27, "x") + COUNTIF(E27:AI27, "X")), "")))</f>
        <v/>
      </c>
      <c r="AL27" s="117">
        <f>IF(ISBLANK(B27), "", IF(AJ27&gt;=0.85, "🔥 Mastered", IF(AJ27&gt;=0.7, "⚡ Consistent", "⚠️ Needs Focus")))</f>
        <v/>
      </c>
      <c r="AM27">
        <f>COUNTIF(E27:AI27, "✓")</f>
        <v/>
      </c>
    </row>
    <row r="28" ht="14.5" customHeight="1">
      <c r="A28" s="111" t="n">
        <v>11</v>
      </c>
      <c r="B28" s="112" t="n"/>
      <c r="C28" s="113" t="n"/>
      <c r="D28" s="113" t="n"/>
      <c r="E28" s="114" t="n"/>
      <c r="F28" s="114" t="n"/>
      <c r="G28" s="114" t="n"/>
      <c r="H28" s="115" t="n"/>
      <c r="I28" s="114" t="n"/>
      <c r="J28" s="114" t="n"/>
      <c r="K28" s="114" t="n"/>
      <c r="L28" s="114" t="n"/>
      <c r="M28" s="114" t="n"/>
      <c r="N28" s="114" t="n"/>
      <c r="O28" s="115" t="n"/>
      <c r="P28" s="114" t="n"/>
      <c r="Q28" s="114" t="n"/>
      <c r="R28" s="114" t="n"/>
      <c r="S28" s="114" t="n"/>
      <c r="T28" s="114" t="n"/>
      <c r="U28" s="114" t="n"/>
      <c r="V28" s="115" t="n"/>
      <c r="W28" s="114" t="n"/>
      <c r="X28" s="114" t="n"/>
      <c r="Y28" s="114" t="n"/>
      <c r="Z28" s="114" t="n"/>
      <c r="AA28" s="114" t="n"/>
      <c r="AB28" s="114" t="n"/>
      <c r="AC28" s="115" t="n"/>
      <c r="AD28" s="114" t="n"/>
      <c r="AE28" s="114" t="n"/>
      <c r="AF28" s="114" t="n"/>
      <c r="AG28" s="114" t="n"/>
      <c r="AH28" s="114" t="n"/>
      <c r="AI28" s="114" t="n"/>
      <c r="AJ28" s="116">
        <f>IF(ISBLANK(B28), "", IF(ISNUMBER(D28), IF(D28&gt;0, (COUNTIF(E28:AI28, "✓") + COUNTIF(E28:AI28, "✔") + COUNTIF(E28:AI28, "v") + COUNTIF(E28:AI28, "V"))/D28, 0), IF(((COUNTIF(E28:AI28, "✓") + COUNTIF(E28:AI28, "✔") + COUNTIF(E28:AI28, "v") + COUNTIF(E28:AI28, "V")) + COUNTIF(E28:AI28, "✗") + COUNTIF(E28:AI28, "x") + COUNTIF(E28:AI28, "X"))&gt;0, (COUNTIF(E28:AI28, "✓") + COUNTIF(E28:AI28, "✔") + COUNTIF(E28:AI28, "v") + COUNTIF(E28:AI28, "V"))/((COUNTIF(E28:AI28, "✓") + COUNTIF(E28:AI28, "✔") + COUNTIF(E28:AI28, "v") + COUNTIF(E28:AI28, "V")) + COUNTIF(E28:AI28, "✗") + COUNTIF(E28:AI28, "x") + COUNTIF(E28:AI28, "X")), "")))</f>
        <v/>
      </c>
      <c r="AK28" s="117">
        <f>IF(ISBLANK(B28), "", IF(ISNUMBER(D28), IF(D28&gt;0, (COUNTIF(E28:AI28, "✓") + COUNTIF(E28:AI28, "✔") + COUNTIF(E28:AI28, "v") + COUNTIF(E28:AI28, "V")) &amp; "/" &amp; D28, (COUNTIF(E28:AI28, "✓") + COUNTIF(E28:AI28, "✔") + COUNTIF(E28:AI28, "v") + COUNTIF(E28:AI28, "V")) &amp; "/0"), IF(((COUNTIF(E28:AI28, "✓") + COUNTIF(E28:AI28, "✔") + COUNTIF(E28:AI28, "v") + COUNTIF(E28:AI28, "V")) + COUNTIF(E28:AI28, "✗") + COUNTIF(E28:AI28, "x") + COUNTIF(E28:AI28, "X"))&gt;0, (COUNTIF(E28:AI28, "✓") + COUNTIF(E28:AI28, "✔") + COUNTIF(E28:AI28, "v") + COUNTIF(E28:AI28, "V")) &amp; "/" &amp; ((COUNTIF(E28:AI28, "✓") + COUNTIF(E28:AI28, "✔") + COUNTIF(E28:AI28, "v") + COUNTIF(E28:AI28, "V")) + COUNTIF(E28:AI28, "✗") + COUNTIF(E28:AI28, "x") + COUNTIF(E28:AI28, "X")), "")))</f>
        <v/>
      </c>
      <c r="AL28" s="117">
        <f>IF(ISBLANK(B28), "", IF(AJ28&gt;=0.85, "🔥 Mastered", IF(AJ28&gt;=0.7, "⚡ Consistent", "⚠️ Needs Focus")))</f>
        <v/>
      </c>
      <c r="AM28">
        <f>COUNTIF(E28:AI28, "✓")</f>
        <v/>
      </c>
    </row>
    <row r="29" ht="14.5" customHeight="1">
      <c r="A29" s="111" t="n">
        <v>12</v>
      </c>
      <c r="B29" s="112" t="n"/>
      <c r="C29" s="113" t="n"/>
      <c r="D29" s="113" t="n"/>
      <c r="E29" s="114" t="n"/>
      <c r="F29" s="114" t="n"/>
      <c r="G29" s="114" t="n"/>
      <c r="H29" s="115" t="n"/>
      <c r="I29" s="114" t="n"/>
      <c r="J29" s="114" t="n"/>
      <c r="K29" s="114" t="n"/>
      <c r="L29" s="114" t="n"/>
      <c r="M29" s="114" t="n"/>
      <c r="N29" s="114" t="n"/>
      <c r="O29" s="115" t="n"/>
      <c r="P29" s="114" t="n"/>
      <c r="Q29" s="114" t="n"/>
      <c r="R29" s="114" t="n"/>
      <c r="S29" s="114" t="n"/>
      <c r="T29" s="114" t="n"/>
      <c r="U29" s="114" t="n"/>
      <c r="V29" s="115" t="n"/>
      <c r="W29" s="114" t="n"/>
      <c r="X29" s="114" t="n"/>
      <c r="Y29" s="114" t="n"/>
      <c r="Z29" s="114" t="n"/>
      <c r="AA29" s="114" t="n"/>
      <c r="AB29" s="114" t="n"/>
      <c r="AC29" s="115" t="n"/>
      <c r="AD29" s="114" t="n"/>
      <c r="AE29" s="114" t="n"/>
      <c r="AF29" s="114" t="n"/>
      <c r="AG29" s="114" t="n"/>
      <c r="AH29" s="114" t="n"/>
      <c r="AI29" s="114" t="n"/>
      <c r="AJ29" s="116">
        <f>IF(ISBLANK(B29), "", IF(ISNUMBER(D29), IF(D29&gt;0, (COUNTIF(E29:AI29, "✓") + COUNTIF(E29:AI29, "✔") + COUNTIF(E29:AI29, "v") + COUNTIF(E29:AI29, "V"))/D29, 0), IF(((COUNTIF(E29:AI29, "✓") + COUNTIF(E29:AI29, "✔") + COUNTIF(E29:AI29, "v") + COUNTIF(E29:AI29, "V")) + COUNTIF(E29:AI29, "✗") + COUNTIF(E29:AI29, "x") + COUNTIF(E29:AI29, "X"))&gt;0, (COUNTIF(E29:AI29, "✓") + COUNTIF(E29:AI29, "✔") + COUNTIF(E29:AI29, "v") + COUNTIF(E29:AI29, "V"))/((COUNTIF(E29:AI29, "✓") + COUNTIF(E29:AI29, "✔") + COUNTIF(E29:AI29, "v") + COUNTIF(E29:AI29, "V")) + COUNTIF(E29:AI29, "✗") + COUNTIF(E29:AI29, "x") + COUNTIF(E29:AI29, "X")), "")))</f>
        <v/>
      </c>
      <c r="AK29" s="117">
        <f>IF(ISBLANK(B29), "", IF(ISNUMBER(D29), IF(D29&gt;0, (COUNTIF(E29:AI29, "✓") + COUNTIF(E29:AI29, "✔") + COUNTIF(E29:AI29, "v") + COUNTIF(E29:AI29, "V")) &amp; "/" &amp; D29, (COUNTIF(E29:AI29, "✓") + COUNTIF(E29:AI29, "✔") + COUNTIF(E29:AI29, "v") + COUNTIF(E29:AI29, "V")) &amp; "/0"), IF(((COUNTIF(E29:AI29, "✓") + COUNTIF(E29:AI29, "✔") + COUNTIF(E29:AI29, "v") + COUNTIF(E29:AI29, "V")) + COUNTIF(E29:AI29, "✗") + COUNTIF(E29:AI29, "x") + COUNTIF(E29:AI29, "X"))&gt;0, (COUNTIF(E29:AI29, "✓") + COUNTIF(E29:AI29, "✔") + COUNTIF(E29:AI29, "v") + COUNTIF(E29:AI29, "V")) &amp; "/" &amp; ((COUNTIF(E29:AI29, "✓") + COUNTIF(E29:AI29, "✔") + COUNTIF(E29:AI29, "v") + COUNTIF(E29:AI29, "V")) + COUNTIF(E29:AI29, "✗") + COUNTIF(E29:AI29, "x") + COUNTIF(E29:AI29, "X")), "")))</f>
        <v/>
      </c>
      <c r="AL29" s="117">
        <f>IF(ISBLANK(B29), "", IF(AJ29&gt;=0.85, "🔥 Mastered", IF(AJ29&gt;=0.7, "⚡ Consistent", "⚠️ Needs Focus")))</f>
        <v/>
      </c>
      <c r="AM29">
        <f>COUNTIF(E29:AI29, "✓")</f>
        <v/>
      </c>
    </row>
    <row r="30" ht="14.5" customHeight="1">
      <c r="A30" s="118" t="n">
        <v>13</v>
      </c>
      <c r="B30" s="119" t="n"/>
      <c r="C30" s="120" t="n"/>
      <c r="D30" s="120" t="n"/>
      <c r="E30" s="121" t="n"/>
      <c r="F30" s="121" t="n"/>
      <c r="G30" s="121" t="n"/>
      <c r="H30" s="122" t="n"/>
      <c r="I30" s="121" t="n"/>
      <c r="J30" s="121" t="n"/>
      <c r="K30" s="121" t="n"/>
      <c r="L30" s="121" t="n"/>
      <c r="M30" s="121" t="n"/>
      <c r="N30" s="121" t="n"/>
      <c r="O30" s="122" t="n"/>
      <c r="P30" s="121" t="n"/>
      <c r="Q30" s="121" t="n"/>
      <c r="R30" s="121" t="n"/>
      <c r="S30" s="121" t="n"/>
      <c r="T30" s="121" t="n"/>
      <c r="U30" s="121" t="n"/>
      <c r="V30" s="122" t="n"/>
      <c r="W30" s="121" t="n"/>
      <c r="X30" s="121" t="n"/>
      <c r="Y30" s="121" t="n"/>
      <c r="Z30" s="121" t="n"/>
      <c r="AA30" s="121" t="n"/>
      <c r="AB30" s="121" t="n"/>
      <c r="AC30" s="122" t="n"/>
      <c r="AD30" s="121" t="n"/>
      <c r="AE30" s="121" t="n"/>
      <c r="AF30" s="121" t="n"/>
      <c r="AG30" s="121" t="n"/>
      <c r="AH30" s="121" t="n"/>
      <c r="AI30" s="121" t="n"/>
      <c r="AJ30" s="123">
        <f>IF(ISBLANK(B30), "", IF(ISNUMBER(D30), IF(D30&gt;0, (COUNTIF(E30:AI30, "✓") + COUNTIF(E30:AI30, "✔") + COUNTIF(E30:AI30, "v") + COUNTIF(E30:AI30, "V"))/D30, 0), IF(((COUNTIF(E30:AI30, "✓") + COUNTIF(E30:AI30, "✔") + COUNTIF(E30:AI30, "v") + COUNTIF(E30:AI30, "V")) + COUNTIF(E30:AI30, "✗") + COUNTIF(E30:AI30, "x") + COUNTIF(E30:AI30, "X"))&gt;0, (COUNTIF(E30:AI30, "✓") + COUNTIF(E30:AI30, "✔") + COUNTIF(E30:AI30, "v") + COUNTIF(E30:AI30, "V"))/((COUNTIF(E30:AI30, "✓") + COUNTIF(E30:AI30, "✔") + COUNTIF(E30:AI30, "v") + COUNTIF(E30:AI30, "V")) + COUNTIF(E30:AI30, "✗") + COUNTIF(E30:AI30, "x") + COUNTIF(E30:AI30, "X")), "")))</f>
        <v/>
      </c>
      <c r="AK30" s="124">
        <f>IF(ISBLANK(B30), "", IF(ISNUMBER(D30), IF(D30&gt;0, (COUNTIF(E30:AI30, "✓") + COUNTIF(E30:AI30, "✔") + COUNTIF(E30:AI30, "v") + COUNTIF(E30:AI30, "V")) &amp; "/" &amp; D30, (COUNTIF(E30:AI30, "✓") + COUNTIF(E30:AI30, "✔") + COUNTIF(E30:AI30, "v") + COUNTIF(E30:AI30, "V")) &amp; "/0"), IF(((COUNTIF(E30:AI30, "✓") + COUNTIF(E30:AI30, "✔") + COUNTIF(E30:AI30, "v") + COUNTIF(E30:AI30, "V")) + COUNTIF(E30:AI30, "✗") + COUNTIF(E30:AI30, "x") + COUNTIF(E30:AI30, "X"))&gt;0, (COUNTIF(E30:AI30, "✓") + COUNTIF(E30:AI30, "✔") + COUNTIF(E30:AI30, "v") + COUNTIF(E30:AI30, "V")) &amp; "/" &amp; ((COUNTIF(E30:AI30, "✓") + COUNTIF(E30:AI30, "✔") + COUNTIF(E30:AI30, "v") + COUNTIF(E30:AI30, "V")) + COUNTIF(E30:AI30, "✗") + COUNTIF(E30:AI30, "x") + COUNTIF(E30:AI30, "X")), "")))</f>
        <v/>
      </c>
      <c r="AL30" s="124">
        <f>IF(ISBLANK(B30), "", IF(AJ30&gt;=0.85, "🔥 Mastered", IF(AJ30&gt;=0.7, "⚡ Consistent", "⚠️ Needs Focus")))</f>
        <v/>
      </c>
      <c r="AM30">
        <f>COUNTIF(E30:AI30, "✓")</f>
        <v/>
      </c>
    </row>
    <row r="31" ht="14.5" customHeight="1">
      <c r="A31" s="118" t="n">
        <v>14</v>
      </c>
      <c r="B31" s="119" t="n"/>
      <c r="C31" s="120" t="n"/>
      <c r="D31" s="120" t="n"/>
      <c r="E31" s="121" t="n"/>
      <c r="F31" s="121" t="n"/>
      <c r="G31" s="121" t="n"/>
      <c r="H31" s="122" t="n"/>
      <c r="I31" s="121" t="n"/>
      <c r="J31" s="121" t="n"/>
      <c r="K31" s="121" t="n"/>
      <c r="L31" s="121" t="n"/>
      <c r="M31" s="121" t="n"/>
      <c r="N31" s="121" t="n"/>
      <c r="O31" s="122" t="n"/>
      <c r="P31" s="121" t="n"/>
      <c r="Q31" s="121" t="n"/>
      <c r="R31" s="121" t="n"/>
      <c r="S31" s="121" t="n"/>
      <c r="T31" s="121" t="n"/>
      <c r="U31" s="121" t="n"/>
      <c r="V31" s="122" t="n"/>
      <c r="W31" s="121" t="n"/>
      <c r="X31" s="121" t="n"/>
      <c r="Y31" s="121" t="n"/>
      <c r="Z31" s="121" t="n"/>
      <c r="AA31" s="121" t="n"/>
      <c r="AB31" s="121" t="n"/>
      <c r="AC31" s="122" t="n"/>
      <c r="AD31" s="121" t="n"/>
      <c r="AE31" s="121" t="n"/>
      <c r="AF31" s="121" t="n"/>
      <c r="AG31" s="121" t="n"/>
      <c r="AH31" s="121" t="n"/>
      <c r="AI31" s="121" t="n"/>
      <c r="AJ31" s="123">
        <f>IF(ISBLANK(B31), "", IF(ISNUMBER(D31), IF(D31&gt;0, (COUNTIF(E31:AI31, "✓") + COUNTIF(E31:AI31, "✔") + COUNTIF(E31:AI31, "v") + COUNTIF(E31:AI31, "V"))/D31, 0), IF(((COUNTIF(E31:AI31, "✓") + COUNTIF(E31:AI31, "✔") + COUNTIF(E31:AI31, "v") + COUNTIF(E31:AI31, "V")) + COUNTIF(E31:AI31, "✗") + COUNTIF(E31:AI31, "x") + COUNTIF(E31:AI31, "X"))&gt;0, (COUNTIF(E31:AI31, "✓") + COUNTIF(E31:AI31, "✔") + COUNTIF(E31:AI31, "v") + COUNTIF(E31:AI31, "V"))/((COUNTIF(E31:AI31, "✓") + COUNTIF(E31:AI31, "✔") + COUNTIF(E31:AI31, "v") + COUNTIF(E31:AI31, "V")) + COUNTIF(E31:AI31, "✗") + COUNTIF(E31:AI31, "x") + COUNTIF(E31:AI31, "X")), "")))</f>
        <v/>
      </c>
      <c r="AK31" s="124">
        <f>IF(ISBLANK(B31), "", IF(ISNUMBER(D31), IF(D31&gt;0, (COUNTIF(E31:AI31, "✓") + COUNTIF(E31:AI31, "✔") + COUNTIF(E31:AI31, "v") + COUNTIF(E31:AI31, "V")) &amp; "/" &amp; D31, (COUNTIF(E31:AI31, "✓") + COUNTIF(E31:AI31, "✔") + COUNTIF(E31:AI31, "v") + COUNTIF(E31:AI31, "V")) &amp; "/0"), IF(((COUNTIF(E31:AI31, "✓") + COUNTIF(E31:AI31, "✔") + COUNTIF(E31:AI31, "v") + COUNTIF(E31:AI31, "V")) + COUNTIF(E31:AI31, "✗") + COUNTIF(E31:AI31, "x") + COUNTIF(E31:AI31, "X"))&gt;0, (COUNTIF(E31:AI31, "✓") + COUNTIF(E31:AI31, "✔") + COUNTIF(E31:AI31, "v") + COUNTIF(E31:AI31, "V")) &amp; "/" &amp; ((COUNTIF(E31:AI31, "✓") + COUNTIF(E31:AI31, "✔") + COUNTIF(E31:AI31, "v") + COUNTIF(E31:AI31, "V")) + COUNTIF(E31:AI31, "✗") + COUNTIF(E31:AI31, "x") + COUNTIF(E31:AI31, "X")), "")))</f>
        <v/>
      </c>
      <c r="AL31" s="124">
        <f>IF(ISBLANK(B31), "", IF(AJ31&gt;=0.85, "🔥 Mastered", IF(AJ31&gt;=0.7, "⚡ Consistent", "⚠️ Needs Focus")))</f>
        <v/>
      </c>
      <c r="AM31">
        <f>COUNTIF(E31:AI31, "✓")</f>
        <v/>
      </c>
    </row>
    <row r="32" ht="14.5" customHeight="1">
      <c r="A32" s="118" t="n">
        <v>15</v>
      </c>
      <c r="B32" s="119" t="n"/>
      <c r="C32" s="120" t="n"/>
      <c r="D32" s="120" t="n"/>
      <c r="E32" s="121" t="n"/>
      <c r="F32" s="121" t="n"/>
      <c r="G32" s="121" t="n"/>
      <c r="H32" s="122" t="n"/>
      <c r="I32" s="121" t="n"/>
      <c r="J32" s="121" t="n"/>
      <c r="K32" s="121" t="n"/>
      <c r="L32" s="121" t="n"/>
      <c r="M32" s="121" t="n"/>
      <c r="N32" s="121" t="n"/>
      <c r="O32" s="122" t="n"/>
      <c r="P32" s="121" t="n"/>
      <c r="Q32" s="121" t="n"/>
      <c r="R32" s="121" t="n"/>
      <c r="S32" s="121" t="n"/>
      <c r="T32" s="121" t="n"/>
      <c r="U32" s="121" t="n"/>
      <c r="V32" s="122" t="n"/>
      <c r="W32" s="121" t="n"/>
      <c r="X32" s="121" t="n"/>
      <c r="Y32" s="121" t="n"/>
      <c r="Z32" s="121" t="n"/>
      <c r="AA32" s="121" t="n"/>
      <c r="AB32" s="121" t="n"/>
      <c r="AC32" s="122" t="n"/>
      <c r="AD32" s="121" t="n"/>
      <c r="AE32" s="121" t="n"/>
      <c r="AF32" s="121" t="n"/>
      <c r="AG32" s="121" t="n"/>
      <c r="AH32" s="121" t="n"/>
      <c r="AI32" s="121" t="n"/>
      <c r="AJ32" s="123">
        <f>IF(ISBLANK(B32), "", IF(ISNUMBER(D32), IF(D32&gt;0, (COUNTIF(E32:AI32, "✓") + COUNTIF(E32:AI32, "✔") + COUNTIF(E32:AI32, "v") + COUNTIF(E32:AI32, "V"))/D32, 0), IF(((COUNTIF(E32:AI32, "✓") + COUNTIF(E32:AI32, "✔") + COUNTIF(E32:AI32, "v") + COUNTIF(E32:AI32, "V")) + COUNTIF(E32:AI32, "✗") + COUNTIF(E32:AI32, "x") + COUNTIF(E32:AI32, "X"))&gt;0, (COUNTIF(E32:AI32, "✓") + COUNTIF(E32:AI32, "✔") + COUNTIF(E32:AI32, "v") + COUNTIF(E32:AI32, "V"))/((COUNTIF(E32:AI32, "✓") + COUNTIF(E32:AI32, "✔") + COUNTIF(E32:AI32, "v") + COUNTIF(E32:AI32, "V")) + COUNTIF(E32:AI32, "✗") + COUNTIF(E32:AI32, "x") + COUNTIF(E32:AI32, "X")), "")))</f>
        <v/>
      </c>
      <c r="AK32" s="124">
        <f>IF(ISBLANK(B32), "", IF(ISNUMBER(D32), IF(D32&gt;0, (COUNTIF(E32:AI32, "✓") + COUNTIF(E32:AI32, "✔") + COUNTIF(E32:AI32, "v") + COUNTIF(E32:AI32, "V")) &amp; "/" &amp; D32, (COUNTIF(E32:AI32, "✓") + COUNTIF(E32:AI32, "✔") + COUNTIF(E32:AI32, "v") + COUNTIF(E32:AI32, "V")) &amp; "/0"), IF(((COUNTIF(E32:AI32, "✓") + COUNTIF(E32:AI32, "✔") + COUNTIF(E32:AI32, "v") + COUNTIF(E32:AI32, "V")) + COUNTIF(E32:AI32, "✗") + COUNTIF(E32:AI32, "x") + COUNTIF(E32:AI32, "X"))&gt;0, (COUNTIF(E32:AI32, "✓") + COUNTIF(E32:AI32, "✔") + COUNTIF(E32:AI32, "v") + COUNTIF(E32:AI32, "V")) &amp; "/" &amp; ((COUNTIF(E32:AI32, "✓") + COUNTIF(E32:AI32, "✔") + COUNTIF(E32:AI32, "v") + COUNTIF(E32:AI32, "V")) + COUNTIF(E32:AI32, "✗") + COUNTIF(E32:AI32, "x") + COUNTIF(E32:AI32, "X")), "")))</f>
        <v/>
      </c>
      <c r="AL32" s="124">
        <f>IF(ISBLANK(B32), "", IF(AJ32&gt;=0.85, "🔥 Mastered", IF(AJ32&gt;=0.7, "⚡ Consistent", "⚠️ Needs Focus")))</f>
        <v/>
      </c>
      <c r="AM32">
        <f>COUNTIF(E32:AI32, "✓")</f>
        <v/>
      </c>
    </row>
    <row r="33" ht="14.5" customHeight="1">
      <c r="A33" s="118" t="n">
        <v>16</v>
      </c>
      <c r="B33" s="119" t="n"/>
      <c r="C33" s="120" t="n"/>
      <c r="D33" s="120" t="n"/>
      <c r="E33" s="121" t="n"/>
      <c r="F33" s="121" t="n"/>
      <c r="G33" s="121" t="n"/>
      <c r="H33" s="122" t="n"/>
      <c r="I33" s="121" t="n"/>
      <c r="J33" s="121" t="n"/>
      <c r="K33" s="121" t="n"/>
      <c r="L33" s="121" t="n"/>
      <c r="M33" s="121" t="n"/>
      <c r="N33" s="121" t="n"/>
      <c r="O33" s="122" t="n"/>
      <c r="P33" s="121" t="n"/>
      <c r="Q33" s="121" t="n"/>
      <c r="R33" s="121" t="n"/>
      <c r="S33" s="121" t="n"/>
      <c r="T33" s="121" t="n"/>
      <c r="U33" s="121" t="n"/>
      <c r="V33" s="122" t="n"/>
      <c r="W33" s="121" t="n"/>
      <c r="X33" s="121" t="n"/>
      <c r="Y33" s="121" t="n"/>
      <c r="Z33" s="121" t="n"/>
      <c r="AA33" s="121" t="n"/>
      <c r="AB33" s="121" t="n"/>
      <c r="AC33" s="122" t="n"/>
      <c r="AD33" s="121" t="n"/>
      <c r="AE33" s="121" t="n"/>
      <c r="AF33" s="121" t="n"/>
      <c r="AG33" s="121" t="n"/>
      <c r="AH33" s="121" t="n"/>
      <c r="AI33" s="121" t="n"/>
      <c r="AJ33" s="123">
        <f>IF(ISBLANK(B33), "", IF(ISNUMBER(D33), IF(D33&gt;0, (COUNTIF(E33:AI33, "✓") + COUNTIF(E33:AI33, "✔") + COUNTIF(E33:AI33, "v") + COUNTIF(E33:AI33, "V"))/D33, 0), IF(((COUNTIF(E33:AI33, "✓") + COUNTIF(E33:AI33, "✔") + COUNTIF(E33:AI33, "v") + COUNTIF(E33:AI33, "V")) + COUNTIF(E33:AI33, "✗") + COUNTIF(E33:AI33, "x") + COUNTIF(E33:AI33, "X"))&gt;0, (COUNTIF(E33:AI33, "✓") + COUNTIF(E33:AI33, "✔") + COUNTIF(E33:AI33, "v") + COUNTIF(E33:AI33, "V"))/((COUNTIF(E33:AI33, "✓") + COUNTIF(E33:AI33, "✔") + COUNTIF(E33:AI33, "v") + COUNTIF(E33:AI33, "V")) + COUNTIF(E33:AI33, "✗") + COUNTIF(E33:AI33, "x") + COUNTIF(E33:AI33, "X")), "")))</f>
        <v/>
      </c>
      <c r="AK33" s="124">
        <f>IF(ISBLANK(B33), "", IF(ISNUMBER(D33), IF(D33&gt;0, (COUNTIF(E33:AI33, "✓") + COUNTIF(E33:AI33, "✔") + COUNTIF(E33:AI33, "v") + COUNTIF(E33:AI33, "V")) &amp; "/" &amp; D33, (COUNTIF(E33:AI33, "✓") + COUNTIF(E33:AI33, "✔") + COUNTIF(E33:AI33, "v") + COUNTIF(E33:AI33, "V")) &amp; "/0"), IF(((COUNTIF(E33:AI33, "✓") + COUNTIF(E33:AI33, "✔") + COUNTIF(E33:AI33, "v") + COUNTIF(E33:AI33, "V")) + COUNTIF(E33:AI33, "✗") + COUNTIF(E33:AI33, "x") + COUNTIF(E33:AI33, "X"))&gt;0, (COUNTIF(E33:AI33, "✓") + COUNTIF(E33:AI33, "✔") + COUNTIF(E33:AI33, "v") + COUNTIF(E33:AI33, "V")) &amp; "/" &amp; ((COUNTIF(E33:AI33, "✓") + COUNTIF(E33:AI33, "✔") + COUNTIF(E33:AI33, "v") + COUNTIF(E33:AI33, "V")) + COUNTIF(E33:AI33, "✗") + COUNTIF(E33:AI33, "x") + COUNTIF(E33:AI33, "X")), "")))</f>
        <v/>
      </c>
      <c r="AL33" s="124">
        <f>IF(ISBLANK(B33), "", IF(AJ33&gt;=0.85, "🔥 Mastered", IF(AJ33&gt;=0.7, "⚡ Consistent", "⚠️ Needs Focus")))</f>
        <v/>
      </c>
      <c r="AM33">
        <f>COUNTIF(E33:AI33, "✓")</f>
        <v/>
      </c>
    </row>
    <row r="34" ht="14.5" customHeight="1">
      <c r="A34" s="125" t="n">
        <v>17</v>
      </c>
      <c r="B34" s="126" t="n"/>
      <c r="C34" s="127" t="n"/>
      <c r="D34" s="127" t="n"/>
      <c r="E34" s="128" t="n"/>
      <c r="F34" s="128" t="n"/>
      <c r="G34" s="128" t="n"/>
      <c r="H34" s="129" t="n"/>
      <c r="I34" s="128" t="n"/>
      <c r="J34" s="128" t="n"/>
      <c r="K34" s="128" t="n"/>
      <c r="L34" s="128" t="n"/>
      <c r="M34" s="128" t="n"/>
      <c r="N34" s="128" t="n"/>
      <c r="O34" s="129" t="n"/>
      <c r="P34" s="128" t="n"/>
      <c r="Q34" s="128" t="n"/>
      <c r="R34" s="128" t="n"/>
      <c r="S34" s="128" t="n"/>
      <c r="T34" s="128" t="n"/>
      <c r="U34" s="128" t="n"/>
      <c r="V34" s="129" t="n"/>
      <c r="W34" s="128" t="n"/>
      <c r="X34" s="128" t="n"/>
      <c r="Y34" s="128" t="n"/>
      <c r="Z34" s="128" t="n"/>
      <c r="AA34" s="128" t="n"/>
      <c r="AB34" s="128" t="n"/>
      <c r="AC34" s="129" t="n"/>
      <c r="AD34" s="128" t="n"/>
      <c r="AE34" s="128" t="n"/>
      <c r="AF34" s="128" t="n"/>
      <c r="AG34" s="128" t="n"/>
      <c r="AH34" s="128" t="n"/>
      <c r="AI34" s="128" t="n"/>
      <c r="AJ34" s="130">
        <f>IF(ISBLANK(B34), "", IF(ISNUMBER(D34), IF(D34&gt;0, (COUNTIF(E34:AI34, "✓") + COUNTIF(E34:AI34, "✔") + COUNTIF(E34:AI34, "v") + COUNTIF(E34:AI34, "V"))/D34, 0), IF(((COUNTIF(E34:AI34, "✓") + COUNTIF(E34:AI34, "✔") + COUNTIF(E34:AI34, "v") + COUNTIF(E34:AI34, "V")) + COUNTIF(E34:AI34, "✗") + COUNTIF(E34:AI34, "x") + COUNTIF(E34:AI34, "X"))&gt;0, (COUNTIF(E34:AI34, "✓") + COUNTIF(E34:AI34, "✔") + COUNTIF(E34:AI34, "v") + COUNTIF(E34:AI34, "V"))/((COUNTIF(E34:AI34, "✓") + COUNTIF(E34:AI34, "✔") + COUNTIF(E34:AI34, "v") + COUNTIF(E34:AI34, "V")) + COUNTIF(E34:AI34, "✗") + COUNTIF(E34:AI34, "x") + COUNTIF(E34:AI34, "X")), "")))</f>
        <v/>
      </c>
      <c r="AK34" s="131">
        <f>IF(ISBLANK(B34), "", IF(ISNUMBER(D34), IF(D34&gt;0, (COUNTIF(E34:AI34, "✓") + COUNTIF(E34:AI34, "✔") + COUNTIF(E34:AI34, "v") + COUNTIF(E34:AI34, "V")) &amp; "/" &amp; D34, (COUNTIF(E34:AI34, "✓") + COUNTIF(E34:AI34, "✔") + COUNTIF(E34:AI34, "v") + COUNTIF(E34:AI34, "V")) &amp; "/0"), IF(((COUNTIF(E34:AI34, "✓") + COUNTIF(E34:AI34, "✔") + COUNTIF(E34:AI34, "v") + COUNTIF(E34:AI34, "V")) + COUNTIF(E34:AI34, "✗") + COUNTIF(E34:AI34, "x") + COUNTIF(E34:AI34, "X"))&gt;0, (COUNTIF(E34:AI34, "✓") + COUNTIF(E34:AI34, "✔") + COUNTIF(E34:AI34, "v") + COUNTIF(E34:AI34, "V")) &amp; "/" &amp; ((COUNTIF(E34:AI34, "✓") + COUNTIF(E34:AI34, "✔") + COUNTIF(E34:AI34, "v") + COUNTIF(E34:AI34, "V")) + COUNTIF(E34:AI34, "✗") + COUNTIF(E34:AI34, "x") + COUNTIF(E34:AI34, "X")), "")))</f>
        <v/>
      </c>
      <c r="AL34" s="131">
        <f>IF(ISBLANK(B34), "", IF(AJ34&gt;=0.85, "🔥 Mastered", IF(AJ34&gt;=0.7, "⚡ Consistent", "⚠️ Needs Focus")))</f>
        <v/>
      </c>
      <c r="AM34">
        <f>COUNTIF(E34:AI34, "✓")</f>
        <v/>
      </c>
    </row>
    <row r="35" ht="14.5" customHeight="1">
      <c r="A35" s="125" t="n">
        <v>18</v>
      </c>
      <c r="B35" s="126" t="n"/>
      <c r="C35" s="127" t="n"/>
      <c r="D35" s="127" t="n"/>
      <c r="E35" s="128" t="n"/>
      <c r="F35" s="128" t="n"/>
      <c r="G35" s="128" t="n"/>
      <c r="H35" s="129" t="n"/>
      <c r="I35" s="128" t="n"/>
      <c r="J35" s="128" t="n"/>
      <c r="K35" s="128" t="n"/>
      <c r="L35" s="128" t="n"/>
      <c r="M35" s="128" t="n"/>
      <c r="N35" s="128" t="n"/>
      <c r="O35" s="129" t="n"/>
      <c r="P35" s="128" t="n"/>
      <c r="Q35" s="128" t="n"/>
      <c r="R35" s="128" t="n"/>
      <c r="S35" s="128" t="n"/>
      <c r="T35" s="128" t="n"/>
      <c r="U35" s="128" t="n"/>
      <c r="V35" s="129" t="n"/>
      <c r="W35" s="128" t="n"/>
      <c r="X35" s="128" t="n"/>
      <c r="Y35" s="128" t="n"/>
      <c r="Z35" s="128" t="n"/>
      <c r="AA35" s="128" t="n"/>
      <c r="AB35" s="128" t="n"/>
      <c r="AC35" s="129" t="n"/>
      <c r="AD35" s="128" t="n"/>
      <c r="AE35" s="128" t="n"/>
      <c r="AF35" s="128" t="n"/>
      <c r="AG35" s="128" t="n"/>
      <c r="AH35" s="128" t="n"/>
      <c r="AI35" s="128" t="n"/>
      <c r="AJ35" s="130">
        <f>IF(ISBLANK(B35), "", IF(ISNUMBER(D35), IF(D35&gt;0, (COUNTIF(E35:AI35, "✓") + COUNTIF(E35:AI35, "✔") + COUNTIF(E35:AI35, "v") + COUNTIF(E35:AI35, "V"))/D35, 0), IF(((COUNTIF(E35:AI35, "✓") + COUNTIF(E35:AI35, "✔") + COUNTIF(E35:AI35, "v") + COUNTIF(E35:AI35, "V")) + COUNTIF(E35:AI35, "✗") + COUNTIF(E35:AI35, "x") + COUNTIF(E35:AI35, "X"))&gt;0, (COUNTIF(E35:AI35, "✓") + COUNTIF(E35:AI35, "✔") + COUNTIF(E35:AI35, "v") + COUNTIF(E35:AI35, "V"))/((COUNTIF(E35:AI35, "✓") + COUNTIF(E35:AI35, "✔") + COUNTIF(E35:AI35, "v") + COUNTIF(E35:AI35, "V")) + COUNTIF(E35:AI35, "✗") + COUNTIF(E35:AI35, "x") + COUNTIF(E35:AI35, "X")), "")))</f>
        <v/>
      </c>
      <c r="AK35" s="131">
        <f>IF(ISBLANK(B35), "", IF(ISNUMBER(D35), IF(D35&gt;0, (COUNTIF(E35:AI35, "✓") + COUNTIF(E35:AI35, "✔") + COUNTIF(E35:AI35, "v") + COUNTIF(E35:AI35, "V")) &amp; "/" &amp; D35, (COUNTIF(E35:AI35, "✓") + COUNTIF(E35:AI35, "✔") + COUNTIF(E35:AI35, "v") + COUNTIF(E35:AI35, "V")) &amp; "/0"), IF(((COUNTIF(E35:AI35, "✓") + COUNTIF(E35:AI35, "✔") + COUNTIF(E35:AI35, "v") + COUNTIF(E35:AI35, "V")) + COUNTIF(E35:AI35, "✗") + COUNTIF(E35:AI35, "x") + COUNTIF(E35:AI35, "X"))&gt;0, (COUNTIF(E35:AI35, "✓") + COUNTIF(E35:AI35, "✔") + COUNTIF(E35:AI35, "v") + COUNTIF(E35:AI35, "V")) &amp; "/" &amp; ((COUNTIF(E35:AI35, "✓") + COUNTIF(E35:AI35, "✔") + COUNTIF(E35:AI35, "v") + COUNTIF(E35:AI35, "V")) + COUNTIF(E35:AI35, "✗") + COUNTIF(E35:AI35, "x") + COUNTIF(E35:AI35, "X")), "")))</f>
        <v/>
      </c>
      <c r="AL35" s="131">
        <f>IF(ISBLANK(B35), "", IF(AJ35&gt;=0.85, "🔥 Mastered", IF(AJ35&gt;=0.7, "⚡ Consistent", "⚠️ Needs Focus")))</f>
        <v/>
      </c>
      <c r="AM35">
        <f>COUNTIF(E35:AI35, "✓")</f>
        <v/>
      </c>
    </row>
    <row r="36" ht="14.5" customHeight="1">
      <c r="A36" s="125" t="n">
        <v>19</v>
      </c>
      <c r="B36" s="126" t="n"/>
      <c r="C36" s="127" t="n"/>
      <c r="D36" s="127" t="n"/>
      <c r="E36" s="128" t="n"/>
      <c r="F36" s="128" t="n"/>
      <c r="G36" s="128" t="n"/>
      <c r="H36" s="129" t="n"/>
      <c r="I36" s="128" t="n"/>
      <c r="J36" s="128" t="n"/>
      <c r="K36" s="128" t="n"/>
      <c r="L36" s="128" t="n"/>
      <c r="M36" s="128" t="n"/>
      <c r="N36" s="128" t="n"/>
      <c r="O36" s="129" t="n"/>
      <c r="P36" s="128" t="n"/>
      <c r="Q36" s="128" t="n"/>
      <c r="R36" s="128" t="n"/>
      <c r="S36" s="128" t="n"/>
      <c r="T36" s="128" t="n"/>
      <c r="U36" s="128" t="n"/>
      <c r="V36" s="129" t="n"/>
      <c r="W36" s="128" t="n"/>
      <c r="X36" s="128" t="n"/>
      <c r="Y36" s="128" t="n"/>
      <c r="Z36" s="128" t="n"/>
      <c r="AA36" s="128" t="n"/>
      <c r="AB36" s="128" t="n"/>
      <c r="AC36" s="129" t="n"/>
      <c r="AD36" s="128" t="n"/>
      <c r="AE36" s="128" t="n"/>
      <c r="AF36" s="128" t="n"/>
      <c r="AG36" s="128" t="n"/>
      <c r="AH36" s="128" t="n"/>
      <c r="AI36" s="128" t="n"/>
      <c r="AJ36" s="130">
        <f>IF(ISBLANK(B36), "", IF(ISNUMBER(D36), IF(D36&gt;0, (COUNTIF(E36:AI36, "✓") + COUNTIF(E36:AI36, "✔") + COUNTIF(E36:AI36, "v") + COUNTIF(E36:AI36, "V"))/D36, 0), IF(((COUNTIF(E36:AI36, "✓") + COUNTIF(E36:AI36, "✔") + COUNTIF(E36:AI36, "v") + COUNTIF(E36:AI36, "V")) + COUNTIF(E36:AI36, "✗") + COUNTIF(E36:AI36, "x") + COUNTIF(E36:AI36, "X"))&gt;0, (COUNTIF(E36:AI36, "✓") + COUNTIF(E36:AI36, "✔") + COUNTIF(E36:AI36, "v") + COUNTIF(E36:AI36, "V"))/((COUNTIF(E36:AI36, "✓") + COUNTIF(E36:AI36, "✔") + COUNTIF(E36:AI36, "v") + COUNTIF(E36:AI36, "V")) + COUNTIF(E36:AI36, "✗") + COUNTIF(E36:AI36, "x") + COUNTIF(E36:AI36, "X")), "")))</f>
        <v/>
      </c>
      <c r="AK36" s="131">
        <f>IF(ISBLANK(B36), "", IF(ISNUMBER(D36), IF(D36&gt;0, (COUNTIF(E36:AI36, "✓") + COUNTIF(E36:AI36, "✔") + COUNTIF(E36:AI36, "v") + COUNTIF(E36:AI36, "V")) &amp; "/" &amp; D36, (COUNTIF(E36:AI36, "✓") + COUNTIF(E36:AI36, "✔") + COUNTIF(E36:AI36, "v") + COUNTIF(E36:AI36, "V")) &amp; "/0"), IF(((COUNTIF(E36:AI36, "✓") + COUNTIF(E36:AI36, "✔") + COUNTIF(E36:AI36, "v") + COUNTIF(E36:AI36, "V")) + COUNTIF(E36:AI36, "✗") + COUNTIF(E36:AI36, "x") + COUNTIF(E36:AI36, "X"))&gt;0, (COUNTIF(E36:AI36, "✓") + COUNTIF(E36:AI36, "✔") + COUNTIF(E36:AI36, "v") + COUNTIF(E36:AI36, "V")) &amp; "/" &amp; ((COUNTIF(E36:AI36, "✓") + COUNTIF(E36:AI36, "✔") + COUNTIF(E36:AI36, "v") + COUNTIF(E36:AI36, "V")) + COUNTIF(E36:AI36, "✗") + COUNTIF(E36:AI36, "x") + COUNTIF(E36:AI36, "X")), "")))</f>
        <v/>
      </c>
      <c r="AL36" s="131">
        <f>IF(ISBLANK(B36), "", IF(AJ36&gt;=0.85, "🔥 Mastered", IF(AJ36&gt;=0.7, "⚡ Consistent", "⚠️ Needs Focus")))</f>
        <v/>
      </c>
      <c r="AM36">
        <f>COUNTIF(E36:AI36, "✓")</f>
        <v/>
      </c>
    </row>
    <row r="37" ht="14.5" customHeight="1">
      <c r="A37" s="125" t="n">
        <v>20</v>
      </c>
      <c r="B37" s="126" t="n"/>
      <c r="C37" s="127" t="n"/>
      <c r="D37" s="127" t="n"/>
      <c r="E37" s="128" t="n"/>
      <c r="F37" s="128" t="n"/>
      <c r="G37" s="128" t="n"/>
      <c r="H37" s="129" t="n"/>
      <c r="I37" s="128" t="n"/>
      <c r="J37" s="128" t="n"/>
      <c r="K37" s="128" t="n"/>
      <c r="L37" s="128" t="n"/>
      <c r="M37" s="128" t="n"/>
      <c r="N37" s="128" t="n"/>
      <c r="O37" s="129" t="n"/>
      <c r="P37" s="128" t="n"/>
      <c r="Q37" s="128" t="n"/>
      <c r="R37" s="128" t="n"/>
      <c r="S37" s="128" t="n"/>
      <c r="T37" s="128" t="n"/>
      <c r="U37" s="128" t="n"/>
      <c r="V37" s="129" t="n"/>
      <c r="W37" s="128" t="n"/>
      <c r="X37" s="128" t="n"/>
      <c r="Y37" s="128" t="n"/>
      <c r="Z37" s="128" t="n"/>
      <c r="AA37" s="128" t="n"/>
      <c r="AB37" s="128" t="n"/>
      <c r="AC37" s="129" t="n"/>
      <c r="AD37" s="128" t="n"/>
      <c r="AE37" s="128" t="n"/>
      <c r="AF37" s="128" t="n"/>
      <c r="AG37" s="128" t="n"/>
      <c r="AH37" s="128" t="n"/>
      <c r="AI37" s="128" t="n"/>
      <c r="AJ37" s="130">
        <f>IF(ISBLANK(B37), "", IF(ISNUMBER(D37), IF(D37&gt;0, (COUNTIF(E37:AI37, "✓") + COUNTIF(E37:AI37, "✔") + COUNTIF(E37:AI37, "v") + COUNTIF(E37:AI37, "V"))/D37, 0), IF(((COUNTIF(E37:AI37, "✓") + COUNTIF(E37:AI37, "✔") + COUNTIF(E37:AI37, "v") + COUNTIF(E37:AI37, "V")) + COUNTIF(E37:AI37, "✗") + COUNTIF(E37:AI37, "x") + COUNTIF(E37:AI37, "X"))&gt;0, (COUNTIF(E37:AI37, "✓") + COUNTIF(E37:AI37, "✔") + COUNTIF(E37:AI37, "v") + COUNTIF(E37:AI37, "V"))/((COUNTIF(E37:AI37, "✓") + COUNTIF(E37:AI37, "✔") + COUNTIF(E37:AI37, "v") + COUNTIF(E37:AI37, "V")) + COUNTIF(E37:AI37, "✗") + COUNTIF(E37:AI37, "x") + COUNTIF(E37:AI37, "X")), "")))</f>
        <v/>
      </c>
      <c r="AK37" s="131">
        <f>IF(ISBLANK(B37), "", IF(ISNUMBER(D37), IF(D37&gt;0, (COUNTIF(E37:AI37, "✓") + COUNTIF(E37:AI37, "✔") + COUNTIF(E37:AI37, "v") + COUNTIF(E37:AI37, "V")) &amp; "/" &amp; D37, (COUNTIF(E37:AI37, "✓") + COUNTIF(E37:AI37, "✔") + COUNTIF(E37:AI37, "v") + COUNTIF(E37:AI37, "V")) &amp; "/0"), IF(((COUNTIF(E37:AI37, "✓") + COUNTIF(E37:AI37, "✔") + COUNTIF(E37:AI37, "v") + COUNTIF(E37:AI37, "V")) + COUNTIF(E37:AI37, "✗") + COUNTIF(E37:AI37, "x") + COUNTIF(E37:AI37, "X"))&gt;0, (COUNTIF(E37:AI37, "✓") + COUNTIF(E37:AI37, "✔") + COUNTIF(E37:AI37, "v") + COUNTIF(E37:AI37, "V")) &amp; "/" &amp; ((COUNTIF(E37:AI37, "✓") + COUNTIF(E37:AI37, "✔") + COUNTIF(E37:AI37, "v") + COUNTIF(E37:AI37, "V")) + COUNTIF(E37:AI37, "✗") + COUNTIF(E37:AI37, "x") + COUNTIF(E37:AI37, "X")), "")))</f>
        <v/>
      </c>
      <c r="AL37" s="131">
        <f>IF(ISBLANK(B37), "", IF(AJ37&gt;=0.85, "🔥 Mastered", IF(AJ37&gt;=0.7, "⚡ Consistent", "⚠️ Needs Focus")))</f>
        <v/>
      </c>
      <c r="AM37">
        <f>COUNTIF(E37:AI37, "✓")</f>
        <v/>
      </c>
    </row>
    <row r="38" ht="18" customHeight="1">
      <c r="A38" s="132" t="inlineStr">
        <is>
          <t>DAILY TOTAL SCORE</t>
        </is>
      </c>
      <c r="B38" s="54" t="n"/>
      <c r="C38" s="54" t="n"/>
      <c r="D38" s="54" t="n"/>
      <c r="E38" s="33">
        <f>IF(((COUNTIF(E18:E37, "✓") + COUNTIF(E18:E37, "✔") + COUNTIF(E18:E37, "v") + COUNTIF(E18:E37, "V")) + COUNTIF(E18:E37, "✗") + COUNTIF(E18:E37, "x") + COUNTIF(E18:E37, "X")) &gt; 0, (COUNTIF(E18:E37, "✓") + COUNTIF(E18:E37, "✔") + COUNTIF(E18:E37, "v") + COUNTIF(E18:E37, "V")) &amp; "/" &amp; ((COUNTIF(E18:E37, "✓") + COUNTIF(E18:E37, "✔") + COUNTIF(E18:E37, "v") + COUNTIF(E18:E37, "V")) + COUNTIF(E18:E37, "✗") + COUNTIF(E18:E37, "x") + COUNTIF(E18:E37, "X")), "")</f>
        <v/>
      </c>
      <c r="F38" s="33">
        <f>IF(((COUNTIF(F18:F37, "✓") + COUNTIF(F18:F37, "✔") + COUNTIF(F18:F37, "v") + COUNTIF(F18:F37, "V")) + COUNTIF(F18:F37, "✗") + COUNTIF(F18:F37, "x") + COUNTIF(F18:F37, "X")) &gt; 0, (COUNTIF(F18:F37, "✓") + COUNTIF(F18:F37, "✔") + COUNTIF(F18:F37, "v") + COUNTIF(F18:F37, "V")) &amp; "/" &amp; ((COUNTIF(F18:F37, "✓") + COUNTIF(F18:F37, "✔") + COUNTIF(F18:F37, "v") + COUNTIF(F18:F37, "V")) + COUNTIF(F18:F37, "✗") + COUNTIF(F18:F37, "x") + COUNTIF(F18:F37, "X")), "")</f>
        <v/>
      </c>
      <c r="G38" s="33">
        <f>IF(((COUNTIF(G18:G37, "✓") + COUNTIF(G18:G37, "✔") + COUNTIF(G18:G37, "v") + COUNTIF(G18:G37, "V")) + COUNTIF(G18:G37, "✗") + COUNTIF(G18:G37, "x") + COUNTIF(G18:G37, "X")) &gt; 0, (COUNTIF(G18:G37, "✓") + COUNTIF(G18:G37, "✔") + COUNTIF(G18:G37, "v") + COUNTIF(G18:G37, "V")) &amp; "/" &amp; ((COUNTIF(G18:G37, "✓") + COUNTIF(G18:G37, "✔") + COUNTIF(G18:G37, "v") + COUNTIF(G18:G37, "V")) + COUNTIF(G18:G37, "✗") + COUNTIF(G18:G37, "x") + COUNTIF(G18:G37, "X")), "")</f>
        <v/>
      </c>
      <c r="H38" s="33">
        <f>IF(((COUNTIF(H18:H37, "✓") + COUNTIF(H18:H37, "✔") + COUNTIF(H18:H37, "v") + COUNTIF(H18:H37, "V")) + COUNTIF(H18:H37, "✗") + COUNTIF(H18:H37, "x") + COUNTIF(H18:H37, "X")) &gt; 0, (COUNTIF(H18:H37, "✓") + COUNTIF(H18:H37, "✔") + COUNTIF(H18:H37, "v") + COUNTIF(H18:H37, "V")) &amp; "/" &amp; ((COUNTIF(H18:H37, "✓") + COUNTIF(H18:H37, "✔") + COUNTIF(H18:H37, "v") + COUNTIF(H18:H37, "V")) + COUNTIF(H18:H37, "✗") + COUNTIF(H18:H37, "x") + COUNTIF(H18:H37, "X")), "")</f>
        <v/>
      </c>
      <c r="I38" s="33">
        <f>IF(((COUNTIF(I18:I37, "✓") + COUNTIF(I18:I37, "✔") + COUNTIF(I18:I37, "v") + COUNTIF(I18:I37, "V")) + COUNTIF(I18:I37, "✗") + COUNTIF(I18:I37, "x") + COUNTIF(I18:I37, "X")) &gt; 0, (COUNTIF(I18:I37, "✓") + COUNTIF(I18:I37, "✔") + COUNTIF(I18:I37, "v") + COUNTIF(I18:I37, "V")) &amp; "/" &amp; ((COUNTIF(I18:I37, "✓") + COUNTIF(I18:I37, "✔") + COUNTIF(I18:I37, "v") + COUNTIF(I18:I37, "V")) + COUNTIF(I18:I37, "✗") + COUNTIF(I18:I37, "x") + COUNTIF(I18:I37, "X")), "")</f>
        <v/>
      </c>
      <c r="J38" s="33">
        <f>IF(((COUNTIF(J18:J37, "✓") + COUNTIF(J18:J37, "✔") + COUNTIF(J18:J37, "v") + COUNTIF(J18:J37, "V")) + COUNTIF(J18:J37, "✗") + COUNTIF(J18:J37, "x") + COUNTIF(J18:J37, "X")) &gt; 0, (COUNTIF(J18:J37, "✓") + COUNTIF(J18:J37, "✔") + COUNTIF(J18:J37, "v") + COUNTIF(J18:J37, "V")) &amp; "/" &amp; ((COUNTIF(J18:J37, "✓") + COUNTIF(J18:J37, "✔") + COUNTIF(J18:J37, "v") + COUNTIF(J18:J37, "V")) + COUNTIF(J18:J37, "✗") + COUNTIF(J18:J37, "x") + COUNTIF(J18:J37, "X")), "")</f>
        <v/>
      </c>
      <c r="K38" s="33">
        <f>IF(((COUNTIF(K18:K37, "✓") + COUNTIF(K18:K37, "✔") + COUNTIF(K18:K37, "v") + COUNTIF(K18:K37, "V")) + COUNTIF(K18:K37, "✗") + COUNTIF(K18:K37, "x") + COUNTIF(K18:K37, "X")) &gt; 0, (COUNTIF(K18:K37, "✓") + COUNTIF(K18:K37, "✔") + COUNTIF(K18:K37, "v") + COUNTIF(K18:K37, "V")) &amp; "/" &amp; ((COUNTIF(K18:K37, "✓") + COUNTIF(K18:K37, "✔") + COUNTIF(K18:K37, "v") + COUNTIF(K18:K37, "V")) + COUNTIF(K18:K37, "✗") + COUNTIF(K18:K37, "x") + COUNTIF(K18:K37, "X")), "")</f>
        <v/>
      </c>
      <c r="L38" s="33">
        <f>IF(((COUNTIF(L18:L37, "✓") + COUNTIF(L18:L37, "✔") + COUNTIF(L18:L37, "v") + COUNTIF(L18:L37, "V")) + COUNTIF(L18:L37, "✗") + COUNTIF(L18:L37, "x") + COUNTIF(L18:L37, "X")) &gt; 0, (COUNTIF(L18:L37, "✓") + COUNTIF(L18:L37, "✔") + COUNTIF(L18:L37, "v") + COUNTIF(L18:L37, "V")) &amp; "/" &amp; ((COUNTIF(L18:L37, "✓") + COUNTIF(L18:L37, "✔") + COUNTIF(L18:L37, "v") + COUNTIF(L18:L37, "V")) + COUNTIF(L18:L37, "✗") + COUNTIF(L18:L37, "x") + COUNTIF(L18:L37, "X")), "")</f>
        <v/>
      </c>
      <c r="M38" s="33">
        <f>IF(((COUNTIF(M18:M37, "✓") + COUNTIF(M18:M37, "✔") + COUNTIF(M18:M37, "v") + COUNTIF(M18:M37, "V")) + COUNTIF(M18:M37, "✗") + COUNTIF(M18:M37, "x") + COUNTIF(M18:M37, "X")) &gt; 0, (COUNTIF(M18:M37, "✓") + COUNTIF(M18:M37, "✔") + COUNTIF(M18:M37, "v") + COUNTIF(M18:M37, "V")) &amp; "/" &amp; ((COUNTIF(M18:M37, "✓") + COUNTIF(M18:M37, "✔") + COUNTIF(M18:M37, "v") + COUNTIF(M18:M37, "V")) + COUNTIF(M18:M37, "✗") + COUNTIF(M18:M37, "x") + COUNTIF(M18:M37, "X")), "")</f>
        <v/>
      </c>
      <c r="N38" s="33">
        <f>IF(((COUNTIF(N18:N37, "✓") + COUNTIF(N18:N37, "✔") + COUNTIF(N18:N37, "v") + COUNTIF(N18:N37, "V")) + COUNTIF(N18:N37, "✗") + COUNTIF(N18:N37, "x") + COUNTIF(N18:N37, "X")) &gt; 0, (COUNTIF(N18:N37, "✓") + COUNTIF(N18:N37, "✔") + COUNTIF(N18:N37, "v") + COUNTIF(N18:N37, "V")) &amp; "/" &amp; ((COUNTIF(N18:N37, "✓") + COUNTIF(N18:N37, "✔") + COUNTIF(N18:N37, "v") + COUNTIF(N18:N37, "V")) + COUNTIF(N18:N37, "✗") + COUNTIF(N18:N37, "x") + COUNTIF(N18:N37, "X")), "")</f>
        <v/>
      </c>
      <c r="O38" s="33">
        <f>IF(((COUNTIF(O18:O37, "✓") + COUNTIF(O18:O37, "✔") + COUNTIF(O18:O37, "v") + COUNTIF(O18:O37, "V")) + COUNTIF(O18:O37, "✗") + COUNTIF(O18:O37, "x") + COUNTIF(O18:O37, "X")) &gt; 0, (COUNTIF(O18:O37, "✓") + COUNTIF(O18:O37, "✔") + COUNTIF(O18:O37, "v") + COUNTIF(O18:O37, "V")) &amp; "/" &amp; ((COUNTIF(O18:O37, "✓") + COUNTIF(O18:O37, "✔") + COUNTIF(O18:O37, "v") + COUNTIF(O18:O37, "V")) + COUNTIF(O18:O37, "✗") + COUNTIF(O18:O37, "x") + COUNTIF(O18:O37, "X")), "")</f>
        <v/>
      </c>
      <c r="P38" s="33">
        <f>IF(((COUNTIF(P18:P37, "✓") + COUNTIF(P18:P37, "✔") + COUNTIF(P18:P37, "v") + COUNTIF(P18:P37, "V")) + COUNTIF(P18:P37, "✗") + COUNTIF(P18:P37, "x") + COUNTIF(P18:P37, "X")) &gt; 0, (COUNTIF(P18:P37, "✓") + COUNTIF(P18:P37, "✔") + COUNTIF(P18:P37, "v") + COUNTIF(P18:P37, "V")) &amp; "/" &amp; ((COUNTIF(P18:P37, "✓") + COUNTIF(P18:P37, "✔") + COUNTIF(P18:P37, "v") + COUNTIF(P18:P37, "V")) + COUNTIF(P18:P37, "✗") + COUNTIF(P18:P37, "x") + COUNTIF(P18:P37, "X")), "")</f>
        <v/>
      </c>
      <c r="Q38" s="33">
        <f>IF(((COUNTIF(Q18:Q37, "✓") + COUNTIF(Q18:Q37, "✔") + COUNTIF(Q18:Q37, "v") + COUNTIF(Q18:Q37, "V")) + COUNTIF(Q18:Q37, "✗") + COUNTIF(Q18:Q37, "x") + COUNTIF(Q18:Q37, "X")) &gt; 0, (COUNTIF(Q18:Q37, "✓") + COUNTIF(Q18:Q37, "✔") + COUNTIF(Q18:Q37, "v") + COUNTIF(Q18:Q37, "V")) &amp; "/" &amp; ((COUNTIF(Q18:Q37, "✓") + COUNTIF(Q18:Q37, "✔") + COUNTIF(Q18:Q37, "v") + COUNTIF(Q18:Q37, "V")) + COUNTIF(Q18:Q37, "✗") + COUNTIF(Q18:Q37, "x") + COUNTIF(Q18:Q37, "X")), "")</f>
        <v/>
      </c>
      <c r="R38" s="33">
        <f>IF(((COUNTIF(R18:R37, "✓") + COUNTIF(R18:R37, "✔") + COUNTIF(R18:R37, "v") + COUNTIF(R18:R37, "V")) + COUNTIF(R18:R37, "✗") + COUNTIF(R18:R37, "x") + COUNTIF(R18:R37, "X")) &gt; 0, (COUNTIF(R18:R37, "✓") + COUNTIF(R18:R37, "✔") + COUNTIF(R18:R37, "v") + COUNTIF(R18:R37, "V")) &amp; "/" &amp; ((COUNTIF(R18:R37, "✓") + COUNTIF(R18:R37, "✔") + COUNTIF(R18:R37, "v") + COUNTIF(R18:R37, "V")) + COUNTIF(R18:R37, "✗") + COUNTIF(R18:R37, "x") + COUNTIF(R18:R37, "X")), "")</f>
        <v/>
      </c>
      <c r="S38" s="33">
        <f>IF(((COUNTIF(S18:S37, "✓") + COUNTIF(S18:S37, "✔") + COUNTIF(S18:S37, "v") + COUNTIF(S18:S37, "V")) + COUNTIF(S18:S37, "✗") + COUNTIF(S18:S37, "x") + COUNTIF(S18:S37, "X")) &gt; 0, (COUNTIF(S18:S37, "✓") + COUNTIF(S18:S37, "✔") + COUNTIF(S18:S37, "v") + COUNTIF(S18:S37, "V")) &amp; "/" &amp; ((COUNTIF(S18:S37, "✓") + COUNTIF(S18:S37, "✔") + COUNTIF(S18:S37, "v") + COUNTIF(S18:S37, "V")) + COUNTIF(S18:S37, "✗") + COUNTIF(S18:S37, "x") + COUNTIF(S18:S37, "X")), "")</f>
        <v/>
      </c>
      <c r="T38" s="33">
        <f>IF(((COUNTIF(T18:T37, "✓") + COUNTIF(T18:T37, "✔") + COUNTIF(T18:T37, "v") + COUNTIF(T18:T37, "V")) + COUNTIF(T18:T37, "✗") + COUNTIF(T18:T37, "x") + COUNTIF(T18:T37, "X")) &gt; 0, (COUNTIF(T18:T37, "✓") + COUNTIF(T18:T37, "✔") + COUNTIF(T18:T37, "v") + COUNTIF(T18:T37, "V")) &amp; "/" &amp; ((COUNTIF(T18:T37, "✓") + COUNTIF(T18:T37, "✔") + COUNTIF(T18:T37, "v") + COUNTIF(T18:T37, "V")) + COUNTIF(T18:T37, "✗") + COUNTIF(T18:T37, "x") + COUNTIF(T18:T37, "X")), "")</f>
        <v/>
      </c>
      <c r="U38" s="33">
        <f>IF(((COUNTIF(U18:U37, "✓") + COUNTIF(U18:U37, "✔") + COUNTIF(U18:U37, "v") + COUNTIF(U18:U37, "V")) + COUNTIF(U18:U37, "✗") + COUNTIF(U18:U37, "x") + COUNTIF(U18:U37, "X")) &gt; 0, (COUNTIF(U18:U37, "✓") + COUNTIF(U18:U37, "✔") + COUNTIF(U18:U37, "v") + COUNTIF(U18:U37, "V")) &amp; "/" &amp; ((COUNTIF(U18:U37, "✓") + COUNTIF(U18:U37, "✔") + COUNTIF(U18:U37, "v") + COUNTIF(U18:U37, "V")) + COUNTIF(U18:U37, "✗") + COUNTIF(U18:U37, "x") + COUNTIF(U18:U37, "X")), "")</f>
        <v/>
      </c>
      <c r="V38" s="33">
        <f>IF(((COUNTIF(V18:V37, "✓") + COUNTIF(V18:V37, "✔") + COUNTIF(V18:V37, "v") + COUNTIF(V18:V37, "V")) + COUNTIF(V18:V37, "✗") + COUNTIF(V18:V37, "x") + COUNTIF(V18:V37, "X")) &gt; 0, (COUNTIF(V18:V37, "✓") + COUNTIF(V18:V37, "✔") + COUNTIF(V18:V37, "v") + COUNTIF(V18:V37, "V")) &amp; "/" &amp; ((COUNTIF(V18:V37, "✓") + COUNTIF(V18:V37, "✔") + COUNTIF(V18:V37, "v") + COUNTIF(V18:V37, "V")) + COUNTIF(V18:V37, "✗") + COUNTIF(V18:V37, "x") + COUNTIF(V18:V37, "X")), "")</f>
        <v/>
      </c>
      <c r="W38" s="33">
        <f>IF(((COUNTIF(W18:W37, "✓") + COUNTIF(W18:W37, "✔") + COUNTIF(W18:W37, "v") + COUNTIF(W18:W37, "V")) + COUNTIF(W18:W37, "✗") + COUNTIF(W18:W37, "x") + COUNTIF(W18:W37, "X")) &gt; 0, (COUNTIF(W18:W37, "✓") + COUNTIF(W18:W37, "✔") + COUNTIF(W18:W37, "v") + COUNTIF(W18:W37, "V")) &amp; "/" &amp; ((COUNTIF(W18:W37, "✓") + COUNTIF(W18:W37, "✔") + COUNTIF(W18:W37, "v") + COUNTIF(W18:W37, "V")) + COUNTIF(W18:W37, "✗") + COUNTIF(W18:W37, "x") + COUNTIF(W18:W37, "X")), "")</f>
        <v/>
      </c>
      <c r="X38" s="33">
        <f>IF(((COUNTIF(X18:X37, "✓") + COUNTIF(X18:X37, "✔") + COUNTIF(X18:X37, "v") + COUNTIF(X18:X37, "V")) + COUNTIF(X18:X37, "✗") + COUNTIF(X18:X37, "x") + COUNTIF(X18:X37, "X")) &gt; 0, (COUNTIF(X18:X37, "✓") + COUNTIF(X18:X37, "✔") + COUNTIF(X18:X37, "v") + COUNTIF(X18:X37, "V")) &amp; "/" &amp; ((COUNTIF(X18:X37, "✓") + COUNTIF(X18:X37, "✔") + COUNTIF(X18:X37, "v") + COUNTIF(X18:X37, "V")) + COUNTIF(X18:X37, "✗") + COUNTIF(X18:X37, "x") + COUNTIF(X18:X37, "X")), "")</f>
        <v/>
      </c>
      <c r="Y38" s="33">
        <f>IF(((COUNTIF(Y18:Y37, "✓") + COUNTIF(Y18:Y37, "✔") + COUNTIF(Y18:Y37, "v") + COUNTIF(Y18:Y37, "V")) + COUNTIF(Y18:Y37, "✗") + COUNTIF(Y18:Y37, "x") + COUNTIF(Y18:Y37, "X")) &gt; 0, (COUNTIF(Y18:Y37, "✓") + COUNTIF(Y18:Y37, "✔") + COUNTIF(Y18:Y37, "v") + COUNTIF(Y18:Y37, "V")) &amp; "/" &amp; ((COUNTIF(Y18:Y37, "✓") + COUNTIF(Y18:Y37, "✔") + COUNTIF(Y18:Y37, "v") + COUNTIF(Y18:Y37, "V")) + COUNTIF(Y18:Y37, "✗") + COUNTIF(Y18:Y37, "x") + COUNTIF(Y18:Y37, "X")), "")</f>
        <v/>
      </c>
      <c r="Z38" s="33">
        <f>IF(((COUNTIF(Z18:Z37, "✓") + COUNTIF(Z18:Z37, "✔") + COUNTIF(Z18:Z37, "v") + COUNTIF(Z18:Z37, "V")) + COUNTIF(Z18:Z37, "✗") + COUNTIF(Z18:Z37, "x") + COUNTIF(Z18:Z37, "X")) &gt; 0, (COUNTIF(Z18:Z37, "✓") + COUNTIF(Z18:Z37, "✔") + COUNTIF(Z18:Z37, "v") + COUNTIF(Z18:Z37, "V")) &amp; "/" &amp; ((COUNTIF(Z18:Z37, "✓") + COUNTIF(Z18:Z37, "✔") + COUNTIF(Z18:Z37, "v") + COUNTIF(Z18:Z37, "V")) + COUNTIF(Z18:Z37, "✗") + COUNTIF(Z18:Z37, "x") + COUNTIF(Z18:Z37, "X")), "")</f>
        <v/>
      </c>
      <c r="AA38" s="33">
        <f>IF(((COUNTIF(AA18:AA37, "✓") + COUNTIF(AA18:AA37, "✔") + COUNTIF(AA18:AA37, "v") + COUNTIF(AA18:AA37, "V")) + COUNTIF(AA18:AA37, "✗") + COUNTIF(AA18:AA37, "x") + COUNTIF(AA18:AA37, "X")) &gt; 0, (COUNTIF(AA18:AA37, "✓") + COUNTIF(AA18:AA37, "✔") + COUNTIF(AA18:AA37, "v") + COUNTIF(AA18:AA37, "V")) &amp; "/" &amp; ((COUNTIF(AA18:AA37, "✓") + COUNTIF(AA18:AA37, "✔") + COUNTIF(AA18:AA37, "v") + COUNTIF(AA18:AA37, "V")) + COUNTIF(AA18:AA37, "✗") + COUNTIF(AA18:AA37, "x") + COUNTIF(AA18:AA37, "X")), "")</f>
        <v/>
      </c>
      <c r="AB38" s="33">
        <f>IF(((COUNTIF(AB18:AB37, "✓") + COUNTIF(AB18:AB37, "✔") + COUNTIF(AB18:AB37, "v") + COUNTIF(AB18:AB37, "V")) + COUNTIF(AB18:AB37, "✗") + COUNTIF(AB18:AB37, "x") + COUNTIF(AB18:AB37, "X")) &gt; 0, (COUNTIF(AB18:AB37, "✓") + COUNTIF(AB18:AB37, "✔") + COUNTIF(AB18:AB37, "v") + COUNTIF(AB18:AB37, "V")) &amp; "/" &amp; ((COUNTIF(AB18:AB37, "✓") + COUNTIF(AB18:AB37, "✔") + COUNTIF(AB18:AB37, "v") + COUNTIF(AB18:AB37, "V")) + COUNTIF(AB18:AB37, "✗") + COUNTIF(AB18:AB37, "x") + COUNTIF(AB18:AB37, "X")), "")</f>
        <v/>
      </c>
      <c r="AC38" s="33">
        <f>IF(((COUNTIF(AC18:AC37, "✓") + COUNTIF(AC18:AC37, "✔") + COUNTIF(AC18:AC37, "v") + COUNTIF(AC18:AC37, "V")) + COUNTIF(AC18:AC37, "✗") + COUNTIF(AC18:AC37, "x") + COUNTIF(AC18:AC37, "X")) &gt; 0, (COUNTIF(AC18:AC37, "✓") + COUNTIF(AC18:AC37, "✔") + COUNTIF(AC18:AC37, "v") + COUNTIF(AC18:AC37, "V")) &amp; "/" &amp; ((COUNTIF(AC18:AC37, "✓") + COUNTIF(AC18:AC37, "✔") + COUNTIF(AC18:AC37, "v") + COUNTIF(AC18:AC37, "V")) + COUNTIF(AC18:AC37, "✗") + COUNTIF(AC18:AC37, "x") + COUNTIF(AC18:AC37, "X")), "")</f>
        <v/>
      </c>
      <c r="AD38" s="33">
        <f>IF(((COUNTIF(AD18:AD37, "✓") + COUNTIF(AD18:AD37, "✔") + COUNTIF(AD18:AD37, "v") + COUNTIF(AD18:AD37, "V")) + COUNTIF(AD18:AD37, "✗") + COUNTIF(AD18:AD37, "x") + COUNTIF(AD18:AD37, "X")) &gt; 0, (COUNTIF(AD18:AD37, "✓") + COUNTIF(AD18:AD37, "✔") + COUNTIF(AD18:AD37, "v") + COUNTIF(AD18:AD37, "V")) &amp; "/" &amp; ((COUNTIF(AD18:AD37, "✓") + COUNTIF(AD18:AD37, "✔") + COUNTIF(AD18:AD37, "v") + COUNTIF(AD18:AD37, "V")) + COUNTIF(AD18:AD37, "✗") + COUNTIF(AD18:AD37, "x") + COUNTIF(AD18:AD37, "X")), "")</f>
        <v/>
      </c>
      <c r="AE38" s="33">
        <f>IF(((COUNTIF(AE18:AE37, "✓") + COUNTIF(AE18:AE37, "✔") + COUNTIF(AE18:AE37, "v") + COUNTIF(AE18:AE37, "V")) + COUNTIF(AE18:AE37, "✗") + COUNTIF(AE18:AE37, "x") + COUNTIF(AE18:AE37, "X")) &gt; 0, (COUNTIF(AE18:AE37, "✓") + COUNTIF(AE18:AE37, "✔") + COUNTIF(AE18:AE37, "v") + COUNTIF(AE18:AE37, "V")) &amp; "/" &amp; ((COUNTIF(AE18:AE37, "✓") + COUNTIF(AE18:AE37, "✔") + COUNTIF(AE18:AE37, "v") + COUNTIF(AE18:AE37, "V")) + COUNTIF(AE18:AE37, "✗") + COUNTIF(AE18:AE37, "x") + COUNTIF(AE18:AE37, "X")), "")</f>
        <v/>
      </c>
      <c r="AF38" s="33">
        <f>IF(((COUNTIF(AF18:AF37, "✓") + COUNTIF(AF18:AF37, "✔") + COUNTIF(AF18:AF37, "v") + COUNTIF(AF18:AF37, "V")) + COUNTIF(AF18:AF37, "✗") + COUNTIF(AF18:AF37, "x") + COUNTIF(AF18:AF37, "X")) &gt; 0, (COUNTIF(AF18:AF37, "✓") + COUNTIF(AF18:AF37, "✔") + COUNTIF(AF18:AF37, "v") + COUNTIF(AF18:AF37, "V")) &amp; "/" &amp; ((COUNTIF(AF18:AF37, "✓") + COUNTIF(AF18:AF37, "✔") + COUNTIF(AF18:AF37, "v") + COUNTIF(AF18:AF37, "V")) + COUNTIF(AF18:AF37, "✗") + COUNTIF(AF18:AF37, "x") + COUNTIF(AF18:AF37, "X")), "")</f>
        <v/>
      </c>
      <c r="AG38" s="33">
        <f>IF(((COUNTIF(AG18:AG37, "✓") + COUNTIF(AG18:AG37, "✔") + COUNTIF(AG18:AG37, "v") + COUNTIF(AG18:AG37, "V")) + COUNTIF(AG18:AG37, "✗") + COUNTIF(AG18:AG37, "x") + COUNTIF(AG18:AG37, "X")) &gt; 0, (COUNTIF(AG18:AG37, "✓") + COUNTIF(AG18:AG37, "✔") + COUNTIF(AG18:AG37, "v") + COUNTIF(AG18:AG37, "V")) &amp; "/" &amp; ((COUNTIF(AG18:AG37, "✓") + COUNTIF(AG18:AG37, "✔") + COUNTIF(AG18:AG37, "v") + COUNTIF(AG18:AG37, "V")) + COUNTIF(AG18:AG37, "✗") + COUNTIF(AG18:AG37, "x") + COUNTIF(AG18:AG37, "X")), "")</f>
        <v/>
      </c>
      <c r="AH38" s="33">
        <f>IF(((COUNTIF(AH18:AH37, "✓") + COUNTIF(AH18:AH37, "✔") + COUNTIF(AH18:AH37, "v") + COUNTIF(AH18:AH37, "V")) + COUNTIF(AH18:AH37, "✗") + COUNTIF(AH18:AH37, "x") + COUNTIF(AH18:AH37, "X")) &gt; 0, (COUNTIF(AH18:AH37, "✓") + COUNTIF(AH18:AH37, "✔") + COUNTIF(AH18:AH37, "v") + COUNTIF(AH18:AH37, "V")) &amp; "/" &amp; ((COUNTIF(AH18:AH37, "✓") + COUNTIF(AH18:AH37, "✔") + COUNTIF(AH18:AH37, "v") + COUNTIF(AH18:AH37, "V")) + COUNTIF(AH18:AH37, "✗") + COUNTIF(AH18:AH37, "x") + COUNTIF(AH18:AH37, "X")), "")</f>
        <v/>
      </c>
      <c r="AI38" s="33">
        <f>IF(((COUNTIF(AI18:AI37, "✓") + COUNTIF(AI18:AI37, "✔") + COUNTIF(AI18:AI37, "v") + COUNTIF(AI18:AI37, "V")) + COUNTIF(AI18:AI37, "✗") + COUNTIF(AI18:AI37, "x") + COUNTIF(AI18:AI37, "X")) &gt; 0, (COUNTIF(AI18:AI37, "✓") + COUNTIF(AI18:AI37, "✔") + COUNTIF(AI18:AI37, "v") + COUNTIF(AI18:AI37, "V")) &amp; "/" &amp; ((COUNTIF(AI18:AI37, "✓") + COUNTIF(AI18:AI37, "✔") + COUNTIF(AI18:AI37, "v") + COUNTIF(AI18:AI37, "V")) + COUNTIF(AI18:AI37, "✗") + COUNTIF(AI18:AI37, "x") + COUNTIF(AI18:AI37, "X")), "")</f>
        <v/>
      </c>
      <c r="AJ38" s="133">
        <f>IF(SUM(D18:D37) &gt; 0, SUM(AM18:AM37) / SUM(D18:D37), "")</f>
        <v/>
      </c>
      <c r="AK38" s="33">
        <f>IF(SUM(D18:D37) &gt; 0, SUM(AM18:AM37) &amp; "/" &amp; SUM(D18:D37), "")</f>
        <v/>
      </c>
      <c r="AL38" s="54" t="n"/>
    </row>
    <row r="39" ht="18" customHeight="1">
      <c r="A39" s="132" t="inlineStr">
        <is>
          <t>DAILY SUCCESS %</t>
        </is>
      </c>
      <c r="B39" s="54" t="n"/>
      <c r="C39" s="54" t="n"/>
      <c r="D39" s="54" t="n"/>
      <c r="E39" s="134">
        <f>IF(((COUNTIF(E18:E37, "✓") + COUNTIF(E18:E37, "✔") + COUNTIF(E18:E37, "v") + COUNTIF(E18:E37, "V")) + COUNTIF(E18:E37, "✗") + COUNTIF(E18:E37, "x") + COUNTIF(E18:E37, "X")) &gt; 0, (COUNTIF(E18:E37, "✓") + COUNTIF(E18:E37, "✔") + COUNTIF(E18:E37, "v") + COUNTIF(E18:E37, "V")) / ((COUNTIF(E18:E37, "✓") + COUNTIF(E18:E37, "✔") + COUNTIF(E18:E37, "v") + COUNTIF(E18:E37, "V")) + COUNTIF(E18:E37, "✗") + COUNTIF(E18:E37, "x") + COUNTIF(E18:E37, "X")), "")</f>
        <v/>
      </c>
      <c r="F39" s="134">
        <f>IF(((COUNTIF(F18:F37, "✓") + COUNTIF(F18:F37, "✔") + COUNTIF(F18:F37, "v") + COUNTIF(F18:F37, "V")) + COUNTIF(F18:F37, "✗") + COUNTIF(F18:F37, "x") + COUNTIF(F18:F37, "X")) &gt; 0, (COUNTIF(F18:F37, "✓") + COUNTIF(F18:F37, "✔") + COUNTIF(F18:F37, "v") + COUNTIF(F18:F37, "V")) / ((COUNTIF(F18:F37, "✓") + COUNTIF(F18:F37, "✔") + COUNTIF(F18:F37, "v") + COUNTIF(F18:F37, "V")) + COUNTIF(F18:F37, "✗") + COUNTIF(F18:F37, "x") + COUNTIF(F18:F37, "X")), "")</f>
        <v/>
      </c>
      <c r="G39" s="134">
        <f>IF(((COUNTIF(G18:G37, "✓") + COUNTIF(G18:G37, "✔") + COUNTIF(G18:G37, "v") + COUNTIF(G18:G37, "V")) + COUNTIF(G18:G37, "✗") + COUNTIF(G18:G37, "x") + COUNTIF(G18:G37, "X")) &gt; 0, (COUNTIF(G18:G37, "✓") + COUNTIF(G18:G37, "✔") + COUNTIF(G18:G37, "v") + COUNTIF(G18:G37, "V")) / ((COUNTIF(G18:G37, "✓") + COUNTIF(G18:G37, "✔") + COUNTIF(G18:G37, "v") + COUNTIF(G18:G37, "V")) + COUNTIF(G18:G37, "✗") + COUNTIF(G18:G37, "x") + COUNTIF(G18:G37, "X")), "")</f>
        <v/>
      </c>
      <c r="H39" s="134">
        <f>IF(((COUNTIF(H18:H37, "✓") + COUNTIF(H18:H37, "✔") + COUNTIF(H18:H37, "v") + COUNTIF(H18:H37, "V")) + COUNTIF(H18:H37, "✗") + COUNTIF(H18:H37, "x") + COUNTIF(H18:H37, "X")) &gt; 0, (COUNTIF(H18:H37, "✓") + COUNTIF(H18:H37, "✔") + COUNTIF(H18:H37, "v") + COUNTIF(H18:H37, "V")) / ((COUNTIF(H18:H37, "✓") + COUNTIF(H18:H37, "✔") + COUNTIF(H18:H37, "v") + COUNTIF(H18:H37, "V")) + COUNTIF(H18:H37, "✗") + COUNTIF(H18:H37, "x") + COUNTIF(H18:H37, "X")), "")</f>
        <v/>
      </c>
      <c r="I39" s="134">
        <f>IF(((COUNTIF(I18:I37, "✓") + COUNTIF(I18:I37, "✔") + COUNTIF(I18:I37, "v") + COUNTIF(I18:I37, "V")) + COUNTIF(I18:I37, "✗") + COUNTIF(I18:I37, "x") + COUNTIF(I18:I37, "X")) &gt; 0, (COUNTIF(I18:I37, "✓") + COUNTIF(I18:I37, "✔") + COUNTIF(I18:I37, "v") + COUNTIF(I18:I37, "V")) / ((COUNTIF(I18:I37, "✓") + COUNTIF(I18:I37, "✔") + COUNTIF(I18:I37, "v") + COUNTIF(I18:I37, "V")) + COUNTIF(I18:I37, "✗") + COUNTIF(I18:I37, "x") + COUNTIF(I18:I37, "X")), "")</f>
        <v/>
      </c>
      <c r="J39" s="134">
        <f>IF(((COUNTIF(J18:J37, "✓") + COUNTIF(J18:J37, "✔") + COUNTIF(J18:J37, "v") + COUNTIF(J18:J37, "V")) + COUNTIF(J18:J37, "✗") + COUNTIF(J18:J37, "x") + COUNTIF(J18:J37, "X")) &gt; 0, (COUNTIF(J18:J37, "✓") + COUNTIF(J18:J37, "✔") + COUNTIF(J18:J37, "v") + COUNTIF(J18:J37, "V")) / ((COUNTIF(J18:J37, "✓") + COUNTIF(J18:J37, "✔") + COUNTIF(J18:J37, "v") + COUNTIF(J18:J37, "V")) + COUNTIF(J18:J37, "✗") + COUNTIF(J18:J37, "x") + COUNTIF(J18:J37, "X")), "")</f>
        <v/>
      </c>
      <c r="K39" s="134">
        <f>IF(((COUNTIF(K18:K37, "✓") + COUNTIF(K18:K37, "✔") + COUNTIF(K18:K37, "v") + COUNTIF(K18:K37, "V")) + COUNTIF(K18:K37, "✗") + COUNTIF(K18:K37, "x") + COUNTIF(K18:K37, "X")) &gt; 0, (COUNTIF(K18:K37, "✓") + COUNTIF(K18:K37, "✔") + COUNTIF(K18:K37, "v") + COUNTIF(K18:K37, "V")) / ((COUNTIF(K18:K37, "✓") + COUNTIF(K18:K37, "✔") + COUNTIF(K18:K37, "v") + COUNTIF(K18:K37, "V")) + COUNTIF(K18:K37, "✗") + COUNTIF(K18:K37, "x") + COUNTIF(K18:K37, "X")), "")</f>
        <v/>
      </c>
      <c r="L39" s="134">
        <f>IF(((COUNTIF(L18:L37, "✓") + COUNTIF(L18:L37, "✔") + COUNTIF(L18:L37, "v") + COUNTIF(L18:L37, "V")) + COUNTIF(L18:L37, "✗") + COUNTIF(L18:L37, "x") + COUNTIF(L18:L37, "X")) &gt; 0, (COUNTIF(L18:L37, "✓") + COUNTIF(L18:L37, "✔") + COUNTIF(L18:L37, "v") + COUNTIF(L18:L37, "V")) / ((COUNTIF(L18:L37, "✓") + COUNTIF(L18:L37, "✔") + COUNTIF(L18:L37, "v") + COUNTIF(L18:L37, "V")) + COUNTIF(L18:L37, "✗") + COUNTIF(L18:L37, "x") + COUNTIF(L18:L37, "X")), "")</f>
        <v/>
      </c>
      <c r="M39" s="134">
        <f>IF(((COUNTIF(M18:M37, "✓") + COUNTIF(M18:M37, "✔") + COUNTIF(M18:M37, "v") + COUNTIF(M18:M37, "V")) + COUNTIF(M18:M37, "✗") + COUNTIF(M18:M37, "x") + COUNTIF(M18:M37, "X")) &gt; 0, (COUNTIF(M18:M37, "✓") + COUNTIF(M18:M37, "✔") + COUNTIF(M18:M37, "v") + COUNTIF(M18:M37, "V")) / ((COUNTIF(M18:M37, "✓") + COUNTIF(M18:M37, "✔") + COUNTIF(M18:M37, "v") + COUNTIF(M18:M37, "V")) + COUNTIF(M18:M37, "✗") + COUNTIF(M18:M37, "x") + COUNTIF(M18:M37, "X")), "")</f>
        <v/>
      </c>
      <c r="N39" s="134">
        <f>IF(((COUNTIF(N18:N37, "✓") + COUNTIF(N18:N37, "✔") + COUNTIF(N18:N37, "v") + COUNTIF(N18:N37, "V")) + COUNTIF(N18:N37, "✗") + COUNTIF(N18:N37, "x") + COUNTIF(N18:N37, "X")) &gt; 0, (COUNTIF(N18:N37, "✓") + COUNTIF(N18:N37, "✔") + COUNTIF(N18:N37, "v") + COUNTIF(N18:N37, "V")) / ((COUNTIF(N18:N37, "✓") + COUNTIF(N18:N37, "✔") + COUNTIF(N18:N37, "v") + COUNTIF(N18:N37, "V")) + COUNTIF(N18:N37, "✗") + COUNTIF(N18:N37, "x") + COUNTIF(N18:N37, "X")), "")</f>
        <v/>
      </c>
      <c r="O39" s="134">
        <f>IF(((COUNTIF(O18:O37, "✓") + COUNTIF(O18:O37, "✔") + COUNTIF(O18:O37, "v") + COUNTIF(O18:O37, "V")) + COUNTIF(O18:O37, "✗") + COUNTIF(O18:O37, "x") + COUNTIF(O18:O37, "X")) &gt; 0, (COUNTIF(O18:O37, "✓") + COUNTIF(O18:O37, "✔") + COUNTIF(O18:O37, "v") + COUNTIF(O18:O37, "V")) / ((COUNTIF(O18:O37, "✓") + COUNTIF(O18:O37, "✔") + COUNTIF(O18:O37, "v") + COUNTIF(O18:O37, "V")) + COUNTIF(O18:O37, "✗") + COUNTIF(O18:O37, "x") + COUNTIF(O18:O37, "X")), "")</f>
        <v/>
      </c>
      <c r="P39" s="134">
        <f>IF(((COUNTIF(P18:P37, "✓") + COUNTIF(P18:P37, "✔") + COUNTIF(P18:P37, "v") + COUNTIF(P18:P37, "V")) + COUNTIF(P18:P37, "✗") + COUNTIF(P18:P37, "x") + COUNTIF(P18:P37, "X")) &gt; 0, (COUNTIF(P18:P37, "✓") + COUNTIF(P18:P37, "✔") + COUNTIF(P18:P37, "v") + COUNTIF(P18:P37, "V")) / ((COUNTIF(P18:P37, "✓") + COUNTIF(P18:P37, "✔") + COUNTIF(P18:P37, "v") + COUNTIF(P18:P37, "V")) + COUNTIF(P18:P37, "✗") + COUNTIF(P18:P37, "x") + COUNTIF(P18:P37, "X")), "")</f>
        <v/>
      </c>
      <c r="Q39" s="134">
        <f>IF(((COUNTIF(Q18:Q37, "✓") + COUNTIF(Q18:Q37, "✔") + COUNTIF(Q18:Q37, "v") + COUNTIF(Q18:Q37, "V")) + COUNTIF(Q18:Q37, "✗") + COUNTIF(Q18:Q37, "x") + COUNTIF(Q18:Q37, "X")) &gt; 0, (COUNTIF(Q18:Q37, "✓") + COUNTIF(Q18:Q37, "✔") + COUNTIF(Q18:Q37, "v") + COUNTIF(Q18:Q37, "V")) / ((COUNTIF(Q18:Q37, "✓") + COUNTIF(Q18:Q37, "✔") + COUNTIF(Q18:Q37, "v") + COUNTIF(Q18:Q37, "V")) + COUNTIF(Q18:Q37, "✗") + COUNTIF(Q18:Q37, "x") + COUNTIF(Q18:Q37, "X")), "")</f>
        <v/>
      </c>
      <c r="R39" s="134">
        <f>IF(((COUNTIF(R18:R37, "✓") + COUNTIF(R18:R37, "✔") + COUNTIF(R18:R37, "v") + COUNTIF(R18:R37, "V")) + COUNTIF(R18:R37, "✗") + COUNTIF(R18:R37, "x") + COUNTIF(R18:R37, "X")) &gt; 0, (COUNTIF(R18:R37, "✓") + COUNTIF(R18:R37, "✔") + COUNTIF(R18:R37, "v") + COUNTIF(R18:R37, "V")) / ((COUNTIF(R18:R37, "✓") + COUNTIF(R18:R37, "✔") + COUNTIF(R18:R37, "v") + COUNTIF(R18:R37, "V")) + COUNTIF(R18:R37, "✗") + COUNTIF(R18:R37, "x") + COUNTIF(R18:R37, "X")), "")</f>
        <v/>
      </c>
      <c r="S39" s="134">
        <f>IF(((COUNTIF(S18:S37, "✓") + COUNTIF(S18:S37, "✔") + COUNTIF(S18:S37, "v") + COUNTIF(S18:S37, "V")) + COUNTIF(S18:S37, "✗") + COUNTIF(S18:S37, "x") + COUNTIF(S18:S37, "X")) &gt; 0, (COUNTIF(S18:S37, "✓") + COUNTIF(S18:S37, "✔") + COUNTIF(S18:S37, "v") + COUNTIF(S18:S37, "V")) / ((COUNTIF(S18:S37, "✓") + COUNTIF(S18:S37, "✔") + COUNTIF(S18:S37, "v") + COUNTIF(S18:S37, "V")) + COUNTIF(S18:S37, "✗") + COUNTIF(S18:S37, "x") + COUNTIF(S18:S37, "X")), "")</f>
        <v/>
      </c>
      <c r="T39" s="134">
        <f>IF(((COUNTIF(T18:T37, "✓") + COUNTIF(T18:T37, "✔") + COUNTIF(T18:T37, "v") + COUNTIF(T18:T37, "V")) + COUNTIF(T18:T37, "✗") + COUNTIF(T18:T37, "x") + COUNTIF(T18:T37, "X")) &gt; 0, (COUNTIF(T18:T37, "✓") + COUNTIF(T18:T37, "✔") + COUNTIF(T18:T37, "v") + COUNTIF(T18:T37, "V")) / ((COUNTIF(T18:T37, "✓") + COUNTIF(T18:T37, "✔") + COUNTIF(T18:T37, "v") + COUNTIF(T18:T37, "V")) + COUNTIF(T18:T37, "✗") + COUNTIF(T18:T37, "x") + COUNTIF(T18:T37, "X")), "")</f>
        <v/>
      </c>
      <c r="U39" s="134">
        <f>IF(((COUNTIF(U18:U37, "✓") + COUNTIF(U18:U37, "✔") + COUNTIF(U18:U37, "v") + COUNTIF(U18:U37, "V")) + COUNTIF(U18:U37, "✗") + COUNTIF(U18:U37, "x") + COUNTIF(U18:U37, "X")) &gt; 0, (COUNTIF(U18:U37, "✓") + COUNTIF(U18:U37, "✔") + COUNTIF(U18:U37, "v") + COUNTIF(U18:U37, "V")) / ((COUNTIF(U18:U37, "✓") + COUNTIF(U18:U37, "✔") + COUNTIF(U18:U37, "v") + COUNTIF(U18:U37, "V")) + COUNTIF(U18:U37, "✗") + COUNTIF(U18:U37, "x") + COUNTIF(U18:U37, "X")), "")</f>
        <v/>
      </c>
      <c r="V39" s="134">
        <f>IF(((COUNTIF(V18:V37, "✓") + COUNTIF(V18:V37, "✔") + COUNTIF(V18:V37, "v") + COUNTIF(V18:V37, "V")) + COUNTIF(V18:V37, "✗") + COUNTIF(V18:V37, "x") + COUNTIF(V18:V37, "X")) &gt; 0, (COUNTIF(V18:V37, "✓") + COUNTIF(V18:V37, "✔") + COUNTIF(V18:V37, "v") + COUNTIF(V18:V37, "V")) / ((COUNTIF(V18:V37, "✓") + COUNTIF(V18:V37, "✔") + COUNTIF(V18:V37, "v") + COUNTIF(V18:V37, "V")) + COUNTIF(V18:V37, "✗") + COUNTIF(V18:V37, "x") + COUNTIF(V18:V37, "X")), "")</f>
        <v/>
      </c>
      <c r="W39" s="134">
        <f>IF(((COUNTIF(W18:W37, "✓") + COUNTIF(W18:W37, "✔") + COUNTIF(W18:W37, "v") + COUNTIF(W18:W37, "V")) + COUNTIF(W18:W37, "✗") + COUNTIF(W18:W37, "x") + COUNTIF(W18:W37, "X")) &gt; 0, (COUNTIF(W18:W37, "✓") + COUNTIF(W18:W37, "✔") + COUNTIF(W18:W37, "v") + COUNTIF(W18:W37, "V")) / ((COUNTIF(W18:W37, "✓") + COUNTIF(W18:W37, "✔") + COUNTIF(W18:W37, "v") + COUNTIF(W18:W37, "V")) + COUNTIF(W18:W37, "✗") + COUNTIF(W18:W37, "x") + COUNTIF(W18:W37, "X")), "")</f>
        <v/>
      </c>
      <c r="X39" s="134">
        <f>IF(((COUNTIF(X18:X37, "✓") + COUNTIF(X18:X37, "✔") + COUNTIF(X18:X37, "v") + COUNTIF(X18:X37, "V")) + COUNTIF(X18:X37, "✗") + COUNTIF(X18:X37, "x") + COUNTIF(X18:X37, "X")) &gt; 0, (COUNTIF(X18:X37, "✓") + COUNTIF(X18:X37, "✔") + COUNTIF(X18:X37, "v") + COUNTIF(X18:X37, "V")) / ((COUNTIF(X18:X37, "✓") + COUNTIF(X18:X37, "✔") + COUNTIF(X18:X37, "v") + COUNTIF(X18:X37, "V")) + COUNTIF(X18:X37, "✗") + COUNTIF(X18:X37, "x") + COUNTIF(X18:X37, "X")), "")</f>
        <v/>
      </c>
      <c r="Y39" s="134">
        <f>IF(((COUNTIF(Y18:Y37, "✓") + COUNTIF(Y18:Y37, "✔") + COUNTIF(Y18:Y37, "v") + COUNTIF(Y18:Y37, "V")) + COUNTIF(Y18:Y37, "✗") + COUNTIF(Y18:Y37, "x") + COUNTIF(Y18:Y37, "X")) &gt; 0, (COUNTIF(Y18:Y37, "✓") + COUNTIF(Y18:Y37, "✔") + COUNTIF(Y18:Y37, "v") + COUNTIF(Y18:Y37, "V")) / ((COUNTIF(Y18:Y37, "✓") + COUNTIF(Y18:Y37, "✔") + COUNTIF(Y18:Y37, "v") + COUNTIF(Y18:Y37, "V")) + COUNTIF(Y18:Y37, "✗") + COUNTIF(Y18:Y37, "x") + COUNTIF(Y18:Y37, "X")), "")</f>
        <v/>
      </c>
      <c r="Z39" s="134">
        <f>IF(((COUNTIF(Z18:Z37, "✓") + COUNTIF(Z18:Z37, "✔") + COUNTIF(Z18:Z37, "v") + COUNTIF(Z18:Z37, "V")) + COUNTIF(Z18:Z37, "✗") + COUNTIF(Z18:Z37, "x") + COUNTIF(Z18:Z37, "X")) &gt; 0, (COUNTIF(Z18:Z37, "✓") + COUNTIF(Z18:Z37, "✔") + COUNTIF(Z18:Z37, "v") + COUNTIF(Z18:Z37, "V")) / ((COUNTIF(Z18:Z37, "✓") + COUNTIF(Z18:Z37, "✔") + COUNTIF(Z18:Z37, "v") + COUNTIF(Z18:Z37, "V")) + COUNTIF(Z18:Z37, "✗") + COUNTIF(Z18:Z37, "x") + COUNTIF(Z18:Z37, "X")), "")</f>
        <v/>
      </c>
      <c r="AA39" s="134">
        <f>IF(((COUNTIF(AA18:AA37, "✓") + COUNTIF(AA18:AA37, "✔") + COUNTIF(AA18:AA37, "v") + COUNTIF(AA18:AA37, "V")) + COUNTIF(AA18:AA37, "✗") + COUNTIF(AA18:AA37, "x") + COUNTIF(AA18:AA37, "X")) &gt; 0, (COUNTIF(AA18:AA37, "✓") + COUNTIF(AA18:AA37, "✔") + COUNTIF(AA18:AA37, "v") + COUNTIF(AA18:AA37, "V")) / ((COUNTIF(AA18:AA37, "✓") + COUNTIF(AA18:AA37, "✔") + COUNTIF(AA18:AA37, "v") + COUNTIF(AA18:AA37, "V")) + COUNTIF(AA18:AA37, "✗") + COUNTIF(AA18:AA37, "x") + COUNTIF(AA18:AA37, "X")), "")</f>
        <v/>
      </c>
      <c r="AB39" s="134">
        <f>IF(((COUNTIF(AB18:AB37, "✓") + COUNTIF(AB18:AB37, "✔") + COUNTIF(AB18:AB37, "v") + COUNTIF(AB18:AB37, "V")) + COUNTIF(AB18:AB37, "✗") + COUNTIF(AB18:AB37, "x") + COUNTIF(AB18:AB37, "X")) &gt; 0, (COUNTIF(AB18:AB37, "✓") + COUNTIF(AB18:AB37, "✔") + COUNTIF(AB18:AB37, "v") + COUNTIF(AB18:AB37, "V")) / ((COUNTIF(AB18:AB37, "✓") + COUNTIF(AB18:AB37, "✔") + COUNTIF(AB18:AB37, "v") + COUNTIF(AB18:AB37, "V")) + COUNTIF(AB18:AB37, "✗") + COUNTIF(AB18:AB37, "x") + COUNTIF(AB18:AB37, "X")), "")</f>
        <v/>
      </c>
      <c r="AC39" s="134">
        <f>IF(((COUNTIF(AC18:AC37, "✓") + COUNTIF(AC18:AC37, "✔") + COUNTIF(AC18:AC37, "v") + COUNTIF(AC18:AC37, "V")) + COUNTIF(AC18:AC37, "✗") + COUNTIF(AC18:AC37, "x") + COUNTIF(AC18:AC37, "X")) &gt; 0, (COUNTIF(AC18:AC37, "✓") + COUNTIF(AC18:AC37, "✔") + COUNTIF(AC18:AC37, "v") + COUNTIF(AC18:AC37, "V")) / ((COUNTIF(AC18:AC37, "✓") + COUNTIF(AC18:AC37, "✔") + COUNTIF(AC18:AC37, "v") + COUNTIF(AC18:AC37, "V")) + COUNTIF(AC18:AC37, "✗") + COUNTIF(AC18:AC37, "x") + COUNTIF(AC18:AC37, "X")), "")</f>
        <v/>
      </c>
      <c r="AD39" s="134">
        <f>IF(((COUNTIF(AD18:AD37, "✓") + COUNTIF(AD18:AD37, "✔") + COUNTIF(AD18:AD37, "v") + COUNTIF(AD18:AD37, "V")) + COUNTIF(AD18:AD37, "✗") + COUNTIF(AD18:AD37, "x") + COUNTIF(AD18:AD37, "X")) &gt; 0, (COUNTIF(AD18:AD37, "✓") + COUNTIF(AD18:AD37, "✔") + COUNTIF(AD18:AD37, "v") + COUNTIF(AD18:AD37, "V")) / ((COUNTIF(AD18:AD37, "✓") + COUNTIF(AD18:AD37, "✔") + COUNTIF(AD18:AD37, "v") + COUNTIF(AD18:AD37, "V")) + COUNTIF(AD18:AD37, "✗") + COUNTIF(AD18:AD37, "x") + COUNTIF(AD18:AD37, "X")), "")</f>
        <v/>
      </c>
      <c r="AE39" s="134">
        <f>IF(((COUNTIF(AE18:AE37, "✓") + COUNTIF(AE18:AE37, "✔") + COUNTIF(AE18:AE37, "v") + COUNTIF(AE18:AE37, "V")) + COUNTIF(AE18:AE37, "✗") + COUNTIF(AE18:AE37, "x") + COUNTIF(AE18:AE37, "X")) &gt; 0, (COUNTIF(AE18:AE37, "✓") + COUNTIF(AE18:AE37, "✔") + COUNTIF(AE18:AE37, "v") + COUNTIF(AE18:AE37, "V")) / ((COUNTIF(AE18:AE37, "✓") + COUNTIF(AE18:AE37, "✔") + COUNTIF(AE18:AE37, "v") + COUNTIF(AE18:AE37, "V")) + COUNTIF(AE18:AE37, "✗") + COUNTIF(AE18:AE37, "x") + COUNTIF(AE18:AE37, "X")), "")</f>
        <v/>
      </c>
      <c r="AF39" s="134">
        <f>IF(((COUNTIF(AF18:AF37, "✓") + COUNTIF(AF18:AF37, "✔") + COUNTIF(AF18:AF37, "v") + COUNTIF(AF18:AF37, "V")) + COUNTIF(AF18:AF37, "✗") + COUNTIF(AF18:AF37, "x") + COUNTIF(AF18:AF37, "X")) &gt; 0, (COUNTIF(AF18:AF37, "✓") + COUNTIF(AF18:AF37, "✔") + COUNTIF(AF18:AF37, "v") + COUNTIF(AF18:AF37, "V")) / ((COUNTIF(AF18:AF37, "✓") + COUNTIF(AF18:AF37, "✔") + COUNTIF(AF18:AF37, "v") + COUNTIF(AF18:AF37, "V")) + COUNTIF(AF18:AF37, "✗") + COUNTIF(AF18:AF37, "x") + COUNTIF(AF18:AF37, "X")), "")</f>
        <v/>
      </c>
      <c r="AG39" s="134">
        <f>IF(((COUNTIF(AG18:AG37, "✓") + COUNTIF(AG18:AG37, "✔") + COUNTIF(AG18:AG37, "v") + COUNTIF(AG18:AG37, "V")) + COUNTIF(AG18:AG37, "✗") + COUNTIF(AG18:AG37, "x") + COUNTIF(AG18:AG37, "X")) &gt; 0, (COUNTIF(AG18:AG37, "✓") + COUNTIF(AG18:AG37, "✔") + COUNTIF(AG18:AG37, "v") + COUNTIF(AG18:AG37, "V")) / ((COUNTIF(AG18:AG37, "✓") + COUNTIF(AG18:AG37, "✔") + COUNTIF(AG18:AG37, "v") + COUNTIF(AG18:AG37, "V")) + COUNTIF(AG18:AG37, "✗") + COUNTIF(AG18:AG37, "x") + COUNTIF(AG18:AG37, "X")), "")</f>
        <v/>
      </c>
      <c r="AH39" s="134">
        <f>IF(((COUNTIF(AH18:AH37, "✓") + COUNTIF(AH18:AH37, "✔") + COUNTIF(AH18:AH37, "v") + COUNTIF(AH18:AH37, "V")) + COUNTIF(AH18:AH37, "✗") + COUNTIF(AH18:AH37, "x") + COUNTIF(AH18:AH37, "X")) &gt; 0, (COUNTIF(AH18:AH37, "✓") + COUNTIF(AH18:AH37, "✔") + COUNTIF(AH18:AH37, "v") + COUNTIF(AH18:AH37, "V")) / ((COUNTIF(AH18:AH37, "✓") + COUNTIF(AH18:AH37, "✔") + COUNTIF(AH18:AH37, "v") + COUNTIF(AH18:AH37, "V")) + COUNTIF(AH18:AH37, "✗") + COUNTIF(AH18:AH37, "x") + COUNTIF(AH18:AH37, "X")), "")</f>
        <v/>
      </c>
      <c r="AI39" s="134">
        <f>IF(((COUNTIF(AI18:AI37, "✓") + COUNTIF(AI18:AI37, "✔") + COUNTIF(AI18:AI37, "v") + COUNTIF(AI18:AI37, "V")) + COUNTIF(AI18:AI37, "✗") + COUNTIF(AI18:AI37, "x") + COUNTIF(AI18:AI37, "X")) &gt; 0, (COUNTIF(AI18:AI37, "✓") + COUNTIF(AI18:AI37, "✔") + COUNTIF(AI18:AI37, "v") + COUNTIF(AI18:AI37, "V")) / ((COUNTIF(AI18:AI37, "✓") + COUNTIF(AI18:AI37, "✔") + COUNTIF(AI18:AI37, "v") + COUNTIF(AI18:AI37, "V")) + COUNTIF(AI18:AI37, "✗") + COUNTIF(AI18:AI37, "x") + COUNTIF(AI18:AI37, "X")), "")</f>
        <v/>
      </c>
      <c r="AJ39" s="133">
        <f>IF(COUNT(E39:AI39) &gt; 0, AVERAGE(E39:AI39), "")</f>
        <v/>
      </c>
      <c r="AK39" s="54" t="n"/>
      <c r="AL39" s="54" t="n"/>
    </row>
    <row r="40" ht="6" customHeight="1"/>
    <row r="41" ht="15" customHeight="1">
      <c r="A41" s="135" t="inlineStr">
        <is>
          <t>IF SUCCESS &lt; 80%, PUNISHMENT: ________________________________________________</t>
        </is>
      </c>
    </row>
    <row r="42" ht="15" customHeight="1">
      <c r="A42" s="136" t="inlineStr">
        <is>
          <t>IF SUCCESS &gt; 90%, REWARD: __________________________________________________</t>
        </is>
      </c>
    </row>
    <row r="43" ht="10" customHeight="1"/>
    <row r="44" ht="10" customHeight="1"/>
    <row r="45" ht="15" customHeight="1">
      <c r="A45" s="51" t="inlineStr">
        <is>
          <t>Sleep Tracking</t>
        </is>
      </c>
      <c r="B45" s="52" t="n"/>
      <c r="C45" s="52" t="n"/>
      <c r="D45" s="52" t="n"/>
      <c r="E45" s="137" t="n">
        <v>1</v>
      </c>
      <c r="F45" s="137" t="n">
        <v>2</v>
      </c>
      <c r="G45" s="137" t="n">
        <v>3</v>
      </c>
      <c r="H45" s="138" t="n">
        <v>4</v>
      </c>
      <c r="I45" s="137" t="n">
        <v>5</v>
      </c>
      <c r="J45" s="137" t="n">
        <v>6</v>
      </c>
      <c r="K45" s="137" t="n">
        <v>7</v>
      </c>
      <c r="L45" s="137" t="n">
        <v>8</v>
      </c>
      <c r="M45" s="137" t="n">
        <v>9</v>
      </c>
      <c r="N45" s="137" t="n">
        <v>10</v>
      </c>
      <c r="O45" s="138" t="n">
        <v>11</v>
      </c>
      <c r="P45" s="137" t="n">
        <v>12</v>
      </c>
      <c r="Q45" s="137" t="n">
        <v>13</v>
      </c>
      <c r="R45" s="137" t="n">
        <v>14</v>
      </c>
      <c r="S45" s="137" t="n">
        <v>15</v>
      </c>
      <c r="T45" s="137" t="n">
        <v>16</v>
      </c>
      <c r="U45" s="137" t="n">
        <v>17</v>
      </c>
      <c r="V45" s="138" t="n">
        <v>18</v>
      </c>
      <c r="W45" s="137" t="n">
        <v>19</v>
      </c>
      <c r="X45" s="137" t="n">
        <v>20</v>
      </c>
      <c r="Y45" s="137" t="n">
        <v>21</v>
      </c>
      <c r="Z45" s="137" t="n">
        <v>22</v>
      </c>
      <c r="AA45" s="137" t="n">
        <v>23</v>
      </c>
      <c r="AB45" s="137" t="n">
        <v>24</v>
      </c>
      <c r="AC45" s="138" t="n">
        <v>25</v>
      </c>
      <c r="AD45" s="137" t="n">
        <v>26</v>
      </c>
      <c r="AE45" s="137" t="n">
        <v>27</v>
      </c>
      <c r="AF45" s="137" t="n">
        <v>28</v>
      </c>
      <c r="AG45" s="137" t="n">
        <v>29</v>
      </c>
      <c r="AH45" s="137" t="n">
        <v>30</v>
      </c>
      <c r="AI45" s="137" t="n">
        <v>31</v>
      </c>
    </row>
    <row r="46" ht="15" customHeight="1">
      <c r="A46" s="52" t="n"/>
      <c r="B46" s="52" t="n"/>
      <c r="C46" s="52" t="n"/>
      <c r="D46" s="52" t="n"/>
      <c r="E46" s="139" t="inlineStr">
        <is>
          <t>Th</t>
        </is>
      </c>
      <c r="F46" s="139" t="inlineStr">
        <is>
          <t>F</t>
        </is>
      </c>
      <c r="G46" s="139" t="inlineStr">
        <is>
          <t>Sa</t>
        </is>
      </c>
      <c r="H46" s="140" t="inlineStr">
        <is>
          <t>Su</t>
        </is>
      </c>
      <c r="I46" s="139" t="inlineStr">
        <is>
          <t>M</t>
        </is>
      </c>
      <c r="J46" s="139" t="inlineStr">
        <is>
          <t>T</t>
        </is>
      </c>
      <c r="K46" s="139" t="inlineStr">
        <is>
          <t>W</t>
        </is>
      </c>
      <c r="L46" s="139" t="inlineStr">
        <is>
          <t>Th</t>
        </is>
      </c>
      <c r="M46" s="139" t="inlineStr">
        <is>
          <t>F</t>
        </is>
      </c>
      <c r="N46" s="139" t="inlineStr">
        <is>
          <t>Sa</t>
        </is>
      </c>
      <c r="O46" s="140" t="inlineStr">
        <is>
          <t>Su</t>
        </is>
      </c>
      <c r="P46" s="139" t="inlineStr">
        <is>
          <t>M</t>
        </is>
      </c>
      <c r="Q46" s="139" t="inlineStr">
        <is>
          <t>T</t>
        </is>
      </c>
      <c r="R46" s="139" t="inlineStr">
        <is>
          <t>W</t>
        </is>
      </c>
      <c r="S46" s="139" t="inlineStr">
        <is>
          <t>Th</t>
        </is>
      </c>
      <c r="T46" s="139" t="inlineStr">
        <is>
          <t>F</t>
        </is>
      </c>
      <c r="U46" s="139" t="inlineStr">
        <is>
          <t>Sa</t>
        </is>
      </c>
      <c r="V46" s="140" t="inlineStr">
        <is>
          <t>Su</t>
        </is>
      </c>
      <c r="W46" s="139" t="inlineStr">
        <is>
          <t>M</t>
        </is>
      </c>
      <c r="X46" s="139" t="inlineStr">
        <is>
          <t>T</t>
        </is>
      </c>
      <c r="Y46" s="139" t="inlineStr">
        <is>
          <t>W</t>
        </is>
      </c>
      <c r="Z46" s="139" t="inlineStr">
        <is>
          <t>Th</t>
        </is>
      </c>
      <c r="AA46" s="139" t="inlineStr">
        <is>
          <t>F</t>
        </is>
      </c>
      <c r="AB46" s="139" t="inlineStr">
        <is>
          <t>Sa</t>
        </is>
      </c>
      <c r="AC46" s="140" t="inlineStr">
        <is>
          <t>Su</t>
        </is>
      </c>
      <c r="AD46" s="139" t="inlineStr">
        <is>
          <t>M</t>
        </is>
      </c>
      <c r="AE46" s="139" t="inlineStr">
        <is>
          <t>T</t>
        </is>
      </c>
      <c r="AF46" s="139" t="inlineStr">
        <is>
          <t>W</t>
        </is>
      </c>
      <c r="AG46" s="139" t="inlineStr">
        <is>
          <t>Th</t>
        </is>
      </c>
      <c r="AH46" s="139" t="inlineStr">
        <is>
          <t>F</t>
        </is>
      </c>
      <c r="AI46" s="139" t="inlineStr">
        <is>
          <t>Sa</t>
        </is>
      </c>
    </row>
    <row r="47" ht="20" customHeight="1">
      <c r="A47" s="141" t="inlineStr">
        <is>
          <t>Sleep Hours (1-24)</t>
        </is>
      </c>
      <c r="B47" s="142" t="n"/>
      <c r="C47" s="142" t="n"/>
      <c r="D47" s="142" t="n"/>
      <c r="E47" s="143" t="n"/>
      <c r="F47" s="143" t="n"/>
      <c r="G47" s="143" t="n"/>
      <c r="H47" s="144" t="n"/>
      <c r="I47" s="143" t="n"/>
      <c r="J47" s="143" t="n"/>
      <c r="K47" s="143" t="n"/>
      <c r="L47" s="143" t="n"/>
      <c r="M47" s="143" t="n"/>
      <c r="N47" s="143" t="n"/>
      <c r="O47" s="144" t="n"/>
      <c r="P47" s="143" t="n"/>
      <c r="Q47" s="143" t="n"/>
      <c r="R47" s="143" t="n"/>
      <c r="S47" s="143" t="n"/>
      <c r="T47" s="143" t="n"/>
      <c r="U47" s="143" t="n"/>
      <c r="V47" s="144" t="n"/>
      <c r="W47" s="143" t="n"/>
      <c r="X47" s="143" t="n"/>
      <c r="Y47" s="143" t="n"/>
      <c r="Z47" s="143" t="n"/>
      <c r="AA47" s="143" t="n"/>
      <c r="AB47" s="143" t="n"/>
      <c r="AC47" s="144" t="n"/>
      <c r="AD47" s="143" t="n"/>
      <c r="AE47" s="143" t="n"/>
      <c r="AF47" s="143" t="n"/>
      <c r="AG47" s="143" t="n"/>
      <c r="AH47" s="143" t="n"/>
      <c r="AI47" s="143" t="n"/>
    </row>
    <row r="48" ht="6" customHeight="1"/>
    <row r="49" ht="14" customHeight="1"/>
    <row r="50" ht="14" customHeight="1"/>
    <row r="51" ht="14" customHeight="1"/>
    <row r="52" ht="14" customHeight="1"/>
    <row r="53" ht="14" customHeight="1"/>
    <row r="54" ht="14" customHeight="1"/>
    <row r="55" ht="14" customHeight="1"/>
    <row r="56" ht="14" customHeight="1"/>
    <row r="57" ht="14" customHeight="1"/>
    <row r="58" ht="14" customHeight="1"/>
    <row r="59" ht="14" customHeight="1"/>
    <row r="60" ht="14" customHeight="1"/>
    <row r="61" ht="14" customHeight="1"/>
    <row r="62" ht="14" customHeight="1"/>
    <row r="63" ht="14" customHeight="1"/>
    <row r="64" ht="14" customHeight="1"/>
    <row r="65" ht="14" customHeight="1"/>
    <row r="66" ht="8" customHeight="1"/>
    <row r="67">
      <c r="A67" s="145" t="inlineStr">
        <is>
          <t>MONTHLY SUCCESS RATE</t>
        </is>
      </c>
      <c r="B67" s="9" t="n"/>
      <c r="C67" s="9" t="n"/>
      <c r="D67" s="9" t="n"/>
      <c r="F67" s="146" t="inlineStr">
        <is>
          <t>ACTIVE PROTOCOLS</t>
        </is>
      </c>
      <c r="G67" s="11" t="n"/>
      <c r="H67" s="11" t="n"/>
      <c r="I67" s="11" t="n"/>
      <c r="K67" s="147" t="inlineStr">
        <is>
          <t>PERFECT DAYS (100%)</t>
        </is>
      </c>
      <c r="L67" s="13" t="n"/>
      <c r="M67" s="13" t="n"/>
      <c r="N67" s="13" t="n"/>
      <c r="P67" s="148" t="inlineStr">
        <is>
          <t>AVG SLEEP DURATION</t>
        </is>
      </c>
      <c r="Q67" s="15" t="n"/>
      <c r="R67" s="15" t="n"/>
      <c r="S67" s="15" t="n"/>
    </row>
    <row r="68">
      <c r="A68" s="149">
        <f>IF(SUM(D18:D37)&gt;0, SUM(AM18:AM37)/SUM(D18:D37), 0)</f>
        <v/>
      </c>
      <c r="B68" s="9" t="n"/>
      <c r="C68" s="9" t="n"/>
      <c r="D68" s="9" t="n"/>
      <c r="F68" s="150">
        <f>COUNTA(B18:B37) &amp; " / 20"</f>
        <v/>
      </c>
      <c r="G68" s="11" t="n"/>
      <c r="H68" s="11" t="n"/>
      <c r="I68" s="11" t="n"/>
      <c r="K68" s="151">
        <f>COUNTIF(E39:AI39, 1) &amp; " Days"</f>
        <v/>
      </c>
      <c r="L68" s="13" t="n"/>
      <c r="M68" s="13" t="n"/>
      <c r="N68" s="13" t="n"/>
      <c r="P68" s="152">
        <f>IFERROR(TEXT(AVERAGE(E47:AI47), "0.0") &amp; " hrs", "-")</f>
        <v/>
      </c>
      <c r="Q68" s="15" t="n"/>
      <c r="R68" s="15" t="n"/>
      <c r="S68" s="15" t="n"/>
    </row>
    <row r="69">
      <c r="A69" s="9" t="n"/>
      <c r="B69" s="9" t="n"/>
      <c r="C69" s="9" t="n"/>
      <c r="D69" s="9" t="n"/>
      <c r="F69" s="11" t="n"/>
      <c r="G69" s="11" t="n"/>
      <c r="H69" s="11" t="n"/>
      <c r="I69" s="11" t="n"/>
      <c r="K69" s="13" t="n"/>
      <c r="L69" s="13" t="n"/>
      <c r="M69" s="13" t="n"/>
      <c r="N69" s="13" t="n"/>
      <c r="P69" s="15" t="n"/>
      <c r="Q69" s="15" t="n"/>
      <c r="R69" s="15" t="n"/>
      <c r="S69" s="15" t="n"/>
    </row>
    <row r="70">
      <c r="A70" s="9" t="n"/>
      <c r="B70" s="9" t="n"/>
      <c r="C70" s="9" t="n"/>
      <c r="D70" s="9" t="n"/>
      <c r="F70" s="11" t="n"/>
      <c r="G70" s="11" t="n"/>
      <c r="H70" s="11" t="n"/>
      <c r="I70" s="11" t="n"/>
      <c r="K70" s="13" t="n"/>
      <c r="L70" s="13" t="n"/>
      <c r="M70" s="13" t="n"/>
      <c r="N70" s="13" t="n"/>
      <c r="P70" s="15" t="n"/>
      <c r="Q70" s="15" t="n"/>
      <c r="R70" s="15" t="n"/>
      <c r="S70" s="15" t="n"/>
    </row>
    <row r="71">
      <c r="A71" s="153" t="inlineStr">
        <is>
          <t>Target Completion</t>
        </is>
      </c>
      <c r="B71" s="9" t="n"/>
      <c r="C71" s="9" t="n"/>
      <c r="D71" s="9" t="n"/>
      <c r="F71" s="154" t="inlineStr">
        <is>
          <t>Habits Tracked</t>
        </is>
      </c>
      <c r="G71" s="11" t="n"/>
      <c r="H71" s="11" t="n"/>
      <c r="I71" s="11" t="n"/>
      <c r="K71" s="155" t="inlineStr">
        <is>
          <t>All Marked Habits Completed</t>
        </is>
      </c>
      <c r="L71" s="13" t="n"/>
      <c r="M71" s="13" t="n"/>
      <c r="N71" s="13" t="n"/>
      <c r="P71" s="156" t="inlineStr">
        <is>
          <t>Nightly Rest Average</t>
        </is>
      </c>
      <c r="Q71" s="15" t="n"/>
      <c r="R71" s="15" t="n"/>
      <c r="S71" s="15" t="n"/>
    </row>
    <row r="72" ht="8" customHeight="1"/>
    <row r="73" ht="6" customHeight="1"/>
    <row r="74">
      <c r="A74" s="67" t="inlineStr">
        <is>
          <t>WEEKLY PERFORMANCE (SLUMP DETECTOR)</t>
        </is>
      </c>
      <c r="B74" s="29" t="n"/>
      <c r="C74" s="29" t="n"/>
      <c r="D74" s="29" t="n"/>
      <c r="E74" s="29" t="n"/>
      <c r="N74" s="157" t="inlineStr">
        <is>
          <t>LIFE DOMAIN / CATEGORY BREAKDOWN</t>
        </is>
      </c>
      <c r="O74" s="158" t="n"/>
      <c r="P74" s="158" t="n"/>
      <c r="Q74" s="158" t="n"/>
      <c r="R74" s="158" t="n"/>
      <c r="S74" s="158" t="n"/>
    </row>
    <row r="75" ht="15" customHeight="1">
      <c r="A75" s="53" t="inlineStr">
        <is>
          <t>Week</t>
        </is>
      </c>
      <c r="B75" s="53" t="inlineStr">
        <is>
          <t>Days Range</t>
        </is>
      </c>
      <c r="C75" s="53" t="inlineStr">
        <is>
          <t>Checks Done</t>
        </is>
      </c>
      <c r="D75" s="53" t="inlineStr">
        <is>
          <t>Evaluated</t>
        </is>
      </c>
      <c r="E75" s="53" t="inlineStr">
        <is>
          <t>Success %</t>
        </is>
      </c>
      <c r="N75" s="53" t="inlineStr">
        <is>
          <t>Domain / Category</t>
        </is>
      </c>
      <c r="O75" s="54" t="n"/>
      <c r="P75" s="53" t="inlineStr">
        <is>
          <t>Active Habits</t>
        </is>
      </c>
      <c r="Q75" s="53" t="inlineStr">
        <is>
          <t>Target Days</t>
        </is>
      </c>
      <c r="R75" s="53" t="inlineStr">
        <is>
          <t>Done Checks</t>
        </is>
      </c>
      <c r="S75" s="53" t="inlineStr">
        <is>
          <t>Success %</t>
        </is>
      </c>
    </row>
    <row r="76" ht="14" customHeight="1">
      <c r="A76" s="33" t="inlineStr">
        <is>
          <t>Week 1</t>
        </is>
      </c>
      <c r="B76" s="34" t="inlineStr">
        <is>
          <t>Days 1 - 7</t>
        </is>
      </c>
      <c r="C76" s="34">
        <f>COUNTIF(E18:K37, "✓")</f>
        <v/>
      </c>
      <c r="D76" s="34">
        <f>COUNTIF(E18:K37, "✓") + COUNTIF(E18:K37, "✗")</f>
        <v/>
      </c>
      <c r="E76" s="35">
        <f>IFERROR(C76/D76, 0)</f>
        <v/>
      </c>
      <c r="N76" s="60" t="inlineStr">
        <is>
          <t>Health &amp; Fitness</t>
        </is>
      </c>
      <c r="O76" s="54" t="n"/>
      <c r="P76" s="34">
        <f>COUNTIF($C$18:$C$37, "Health &amp; Fitness")</f>
        <v/>
      </c>
      <c r="Q76" s="34">
        <f>SUMIF($C$18:$C$37, "Health &amp; Fitness", $D$18:$D$37)</f>
        <v/>
      </c>
      <c r="R76" s="34">
        <f>SUMIF($C$18:$C$37, "Health &amp; Fitness", $AM$18:$AM$37)</f>
        <v/>
      </c>
      <c r="S76" s="35">
        <f>IFERROR(R76/Q76, 0)</f>
        <v/>
      </c>
    </row>
    <row r="77" ht="14" customHeight="1">
      <c r="A77" s="33" t="inlineStr">
        <is>
          <t>Week 2</t>
        </is>
      </c>
      <c r="B77" s="34" t="inlineStr">
        <is>
          <t>Days 8 - 14</t>
        </is>
      </c>
      <c r="C77" s="34">
        <f>COUNTIF(L18:R37, "✓")</f>
        <v/>
      </c>
      <c r="D77" s="34">
        <f>COUNTIF(L18:R37, "✓") + COUNTIF(L18:R37, "✗")</f>
        <v/>
      </c>
      <c r="E77" s="35">
        <f>IFERROR(C77/D77, 0)</f>
        <v/>
      </c>
      <c r="N77" s="60" t="inlineStr">
        <is>
          <t>Mindset &amp; Learning</t>
        </is>
      </c>
      <c r="O77" s="54" t="n"/>
      <c r="P77" s="34">
        <f>COUNTIF($C$18:$C$37, "Mindset &amp; Learning")</f>
        <v/>
      </c>
      <c r="Q77" s="34">
        <f>SUMIF($C$18:$C$37, "Mindset &amp; Learning", $D$18:$D$37)</f>
        <v/>
      </c>
      <c r="R77" s="34">
        <f>SUMIF($C$18:$C$37, "Mindset &amp; Learning", $AM$18:$AM$37)</f>
        <v/>
      </c>
      <c r="S77" s="35">
        <f>IFERROR(R77/Q77, 0)</f>
        <v/>
      </c>
    </row>
    <row r="78" ht="14" customHeight="1">
      <c r="A78" s="33" t="inlineStr">
        <is>
          <t>Week 3</t>
        </is>
      </c>
      <c r="B78" s="34" t="inlineStr">
        <is>
          <t>Days 15 - 21</t>
        </is>
      </c>
      <c r="C78" s="34">
        <f>COUNTIF(S18:Y37, "✓")</f>
        <v/>
      </c>
      <c r="D78" s="34">
        <f>COUNTIF(S18:Y37, "✓") + COUNTIF(S18:Y37, "✗")</f>
        <v/>
      </c>
      <c r="E78" s="35">
        <f>IFERROR(C78/D78, 0)</f>
        <v/>
      </c>
      <c r="N78" s="60" t="inlineStr">
        <is>
          <t>Career &amp; Focus</t>
        </is>
      </c>
      <c r="O78" s="54" t="n"/>
      <c r="P78" s="34">
        <f>COUNTIF($C$18:$C$37, "Career &amp; Focus")</f>
        <v/>
      </c>
      <c r="Q78" s="34">
        <f>SUMIF($C$18:$C$37, "Career &amp; Focus", $D$18:$D$37)</f>
        <v/>
      </c>
      <c r="R78" s="34">
        <f>SUMIF($C$18:$C$37, "Career &amp; Focus", $AM$18:$AM$37)</f>
        <v/>
      </c>
      <c r="S78" s="35">
        <f>IFERROR(R78/Q78, 0)</f>
        <v/>
      </c>
    </row>
    <row r="79" ht="14" customHeight="1">
      <c r="A79" s="33" t="inlineStr">
        <is>
          <t>Week 4</t>
        </is>
      </c>
      <c r="B79" s="34" t="inlineStr">
        <is>
          <t>Days 22 - 28</t>
        </is>
      </c>
      <c r="C79" s="34">
        <f>COUNTIF(Z18:AF37, "✓")</f>
        <v/>
      </c>
      <c r="D79" s="34">
        <f>COUNTIF(Z18:AF37, "✓") + COUNTIF(Z18:AF37, "✗")</f>
        <v/>
      </c>
      <c r="E79" s="35">
        <f>IFERROR(C79/D79, 0)</f>
        <v/>
      </c>
      <c r="N79" s="60" t="inlineStr">
        <is>
          <t>Personal &amp; Home</t>
        </is>
      </c>
      <c r="O79" s="54" t="n"/>
      <c r="P79" s="34">
        <f>COUNTIF($C$18:$C$37, "Personal &amp; Home")</f>
        <v/>
      </c>
      <c r="Q79" s="34">
        <f>SUMIF($C$18:$C$37, "Personal &amp; Home", $D$18:$D$37)</f>
        <v/>
      </c>
      <c r="R79" s="34">
        <f>SUMIF($C$18:$C$37, "Personal &amp; Home", $AM$18:$AM$37)</f>
        <v/>
      </c>
      <c r="S79" s="35">
        <f>IFERROR(R79/Q79, 0)</f>
        <v/>
      </c>
    </row>
    <row r="80" ht="14" customHeight="1">
      <c r="A80" s="33" t="inlineStr">
        <is>
          <t>Week 5</t>
        </is>
      </c>
      <c r="B80" s="34" t="inlineStr">
        <is>
          <t>Days 29 - 31</t>
        </is>
      </c>
      <c r="C80" s="34">
        <f>COUNTIF(AG18:AI37, "✓")</f>
        <v/>
      </c>
      <c r="D80" s="34">
        <f>COUNTIF(AG18:AI37, "✓") + COUNTIF(AG18:AI37, "✗")</f>
        <v/>
      </c>
      <c r="E80" s="35">
        <f>IFERROR(C80/D80, 0)</f>
        <v/>
      </c>
      <c r="N80" s="60" t="inlineStr">
        <is>
          <t>Finance &amp; Wealth</t>
        </is>
      </c>
      <c r="O80" s="54" t="n"/>
      <c r="P80" s="34">
        <f>COUNTIF($C$18:$C$37, "Finance &amp; Wealth")</f>
        <v/>
      </c>
      <c r="Q80" s="34">
        <f>SUMIF($C$18:$C$37, "Finance &amp; Wealth", $D$18:$D$37)</f>
        <v/>
      </c>
      <c r="R80" s="34">
        <f>SUMIF($C$18:$C$37, "Finance &amp; Wealth", $AM$18:$AM$37)</f>
        <v/>
      </c>
      <c r="S80" s="35">
        <f>IFERROR(R80/Q80, 0)</f>
        <v/>
      </c>
    </row>
    <row r="81" ht="14" customHeight="1">
      <c r="A81" s="33" t="inlineStr">
        <is>
          <t>Total / Avg</t>
        </is>
      </c>
      <c r="B81" s="159" t="inlineStr">
        <is>
          <t>Month Total</t>
        </is>
      </c>
      <c r="C81" s="33">
        <f>SUM(C76:C80)</f>
        <v/>
      </c>
      <c r="D81" s="33">
        <f>SUM(D76:D80)</f>
        <v/>
      </c>
      <c r="E81" s="133">
        <f>IFERROR(C81/D81, 0)</f>
        <v/>
      </c>
    </row>
    <row r="82" ht="10" customHeight="1"/>
    <row r="83" ht="10" customHeight="1"/>
    <row r="84">
      <c r="A84" s="51" t="inlineStr">
        <is>
          <t>SLEEP &amp; PRODUCTIVITY CORRELATION ANALYSIS</t>
        </is>
      </c>
      <c r="B84" s="52" t="n"/>
      <c r="C84" s="52" t="n"/>
      <c r="D84" s="52" t="n"/>
      <c r="E84" s="52" t="n"/>
      <c r="F84" s="52" t="n"/>
      <c r="G84" s="52" t="n"/>
      <c r="H84" s="52" t="n"/>
      <c r="I84" s="52" t="n"/>
      <c r="J84" s="52" t="n"/>
      <c r="K84" s="52" t="n"/>
      <c r="L84" s="52" t="n"/>
      <c r="M84" s="52" t="n"/>
      <c r="N84" s="52" t="n"/>
      <c r="O84" s="52" t="n"/>
      <c r="P84" s="52" t="n"/>
      <c r="Q84" s="52" t="n"/>
      <c r="R84" s="52" t="n"/>
      <c r="S84" s="52" t="n"/>
      <c r="T84" s="52" t="n"/>
      <c r="U84" s="52" t="n"/>
      <c r="V84" s="52" t="n"/>
      <c r="W84" s="52" t="n"/>
      <c r="X84" s="52" t="n"/>
      <c r="Y84" s="52" t="n"/>
      <c r="Z84" s="52" t="n"/>
      <c r="AA84" s="52" t="n"/>
      <c r="AB84" s="52" t="n"/>
      <c r="AC84" s="52" t="n"/>
      <c r="AD84" s="52" t="n"/>
      <c r="AE84" s="52" t="n"/>
      <c r="AF84" s="52" t="n"/>
      <c r="AG84" s="52" t="n"/>
      <c r="AH84" s="52" t="n"/>
      <c r="AI84" s="52" t="n"/>
      <c r="AJ84" s="52" t="n"/>
      <c r="AK84" s="52" t="n"/>
      <c r="AL84" s="52" t="n"/>
    </row>
    <row r="85" ht="15" customHeight="1">
      <c r="A85" s="53" t="inlineStr">
        <is>
          <t>Rest Category</t>
        </is>
      </c>
      <c r="B85" s="54" t="n"/>
      <c r="C85" s="54" t="n"/>
      <c r="D85" s="53" t="inlineStr">
        <is>
          <t>Day Criteria</t>
        </is>
      </c>
      <c r="E85" s="54" t="n"/>
      <c r="F85" s="54" t="n"/>
      <c r="G85" s="53" t="inlineStr">
        <is>
          <t>Days Logged</t>
        </is>
      </c>
      <c r="H85" s="54" t="n"/>
      <c r="I85" s="54" t="n"/>
      <c r="J85" s="53" t="inlineStr">
        <is>
          <t>Avg Sleep Duration</t>
        </is>
      </c>
      <c r="K85" s="54" t="n"/>
      <c r="L85" s="54" t="n"/>
      <c r="M85" s="54" t="n"/>
      <c r="N85" s="53" t="inlineStr">
        <is>
          <t>Avg Habit Success %</t>
        </is>
      </c>
      <c r="O85" s="54" t="n"/>
      <c r="P85" s="54" t="n"/>
      <c r="Q85" s="54" t="n"/>
      <c r="R85" s="53" t="inlineStr">
        <is>
          <t>Productivity Delta</t>
        </is>
      </c>
      <c r="S85" s="54" t="n"/>
      <c r="T85" s="54" t="n"/>
      <c r="U85" s="54" t="n"/>
    </row>
    <row r="86" ht="15" customHeight="1">
      <c r="A86" s="160" t="inlineStr">
        <is>
          <t>Optimal Rest</t>
        </is>
      </c>
      <c r="B86" s="161" t="n"/>
      <c r="C86" s="56" t="n"/>
      <c r="D86" s="34" t="inlineStr">
        <is>
          <t>&gt;= 7 Hours / Night</t>
        </is>
      </c>
      <c r="E86" s="161" t="n"/>
      <c r="F86" s="56" t="n"/>
      <c r="G86" s="33">
        <f>COUNTIF(E47:AI47, "&gt;=7")</f>
        <v/>
      </c>
      <c r="H86" s="161" t="n"/>
      <c r="I86" s="56" t="n"/>
      <c r="J86" s="34">
        <f>IFERROR(TEXT(AVERAGEIF(E47:AI47, "&gt;=7"), "0.0") &amp; " hrs", "-")</f>
        <v/>
      </c>
      <c r="K86" s="161" t="n"/>
      <c r="L86" s="161" t="n"/>
      <c r="M86" s="56" t="n"/>
      <c r="N86" s="42">
        <f>IFERROR(AVERAGEIFS(E39:AI39, E47:AI47, "&gt;=7", E39:AI39, "&gt;0"), 0)</f>
        <v/>
      </c>
      <c r="O86" s="161" t="n"/>
      <c r="P86" s="161" t="n"/>
      <c r="Q86" s="56" t="n"/>
      <c r="R86" s="159" t="inlineStr">
        <is>
          <t>Baseline (Target)</t>
        </is>
      </c>
      <c r="S86" s="161" t="n"/>
      <c r="T86" s="161" t="n"/>
      <c r="U86" s="56" t="n"/>
    </row>
    <row r="87" ht="15" customHeight="1">
      <c r="A87" s="162" t="inlineStr">
        <is>
          <t>Sleep Deficit</t>
        </is>
      </c>
      <c r="B87" s="161" t="n"/>
      <c r="C87" s="56" t="n"/>
      <c r="D87" s="34" t="inlineStr">
        <is>
          <t>&lt; 7 Hours / Night</t>
        </is>
      </c>
      <c r="E87" s="161" t="n"/>
      <c r="F87" s="56" t="n"/>
      <c r="G87" s="33">
        <f>COUNTIF(E47:AI47, "&lt;7") - COUNTIF(E47:AI47, "")</f>
        <v/>
      </c>
      <c r="H87" s="161" t="n"/>
      <c r="I87" s="56" t="n"/>
      <c r="J87" s="34">
        <f>IFERROR(TEXT(AVERAGEIFS(E47:AI47, E47:AI47, "&lt;7", E47:AI47, "&gt;0"), "0.0") &amp; " hrs", "-")</f>
        <v/>
      </c>
      <c r="K87" s="161" t="n"/>
      <c r="L87" s="161" t="n"/>
      <c r="M87" s="56" t="n"/>
      <c r="N87" s="163">
        <f>IFERROR(AVERAGEIFS(E39:AI39, E47:AI47, "&lt;7", E39:AI39, "&gt;0"), 0)</f>
        <v/>
      </c>
      <c r="O87" s="161" t="n"/>
      <c r="P87" s="161" t="n"/>
      <c r="Q87" s="56" t="n"/>
      <c r="R87" s="160">
        <f>IFERROR(TEXT(N86 - N87, "+0.0%;-0.0%;0.0%") &amp; " Rest Advantage", "-")</f>
        <v/>
      </c>
      <c r="S87" s="161" t="n"/>
      <c r="T87" s="161" t="n"/>
      <c r="U87" s="56" t="n"/>
    </row>
    <row r="88" ht="18" customHeight="1">
      <c r="A88" s="164">
        <f>IF(AND(ISNUMBER(N86), ISNUMBER(N87), N86&gt;0, N87&gt;0), "💡 Sleep Correlation Insight: You complete " &amp; TEXT(ABS(N86-N87), "0.0%") &amp; IF(N86&gt;=N87, " MORE habits on days with 7+ hours of sleep!", " fewer habits on days with 7+ hours of sleep."), "💡 Log both habits and sleep hours daily to unlock automatic AI correlation insights!")</f>
        <v/>
      </c>
      <c r="B88" s="161" t="n"/>
      <c r="C88" s="161" t="n"/>
      <c r="D88" s="161" t="n"/>
      <c r="E88" s="161" t="n"/>
      <c r="F88" s="161" t="n"/>
      <c r="G88" s="161" t="n"/>
      <c r="H88" s="161" t="n"/>
      <c r="I88" s="161" t="n"/>
      <c r="J88" s="161" t="n"/>
      <c r="K88" s="161" t="n"/>
      <c r="L88" s="161" t="n"/>
      <c r="M88" s="161" t="n"/>
      <c r="N88" s="161" t="n"/>
      <c r="O88" s="161" t="n"/>
      <c r="P88" s="161" t="n"/>
      <c r="Q88" s="161" t="n"/>
      <c r="R88" s="161" t="n"/>
      <c r="S88" s="161" t="n"/>
      <c r="T88" s="161" t="n"/>
      <c r="U88" s="161" t="n"/>
      <c r="V88" s="161" t="n"/>
      <c r="W88" s="161" t="n"/>
      <c r="X88" s="161" t="n"/>
      <c r="Y88" s="161" t="n"/>
      <c r="Z88" s="161" t="n"/>
      <c r="AA88" s="161" t="n"/>
      <c r="AB88" s="161" t="n"/>
      <c r="AC88" s="161" t="n"/>
      <c r="AD88" s="161" t="n"/>
      <c r="AE88" s="161" t="n"/>
      <c r="AF88" s="161" t="n"/>
      <c r="AG88" s="161" t="n"/>
      <c r="AH88" s="161" t="n"/>
      <c r="AI88" s="161" t="n"/>
      <c r="AJ88" s="161" t="n"/>
      <c r="AK88" s="161" t="n"/>
      <c r="AL88" s="56" t="n"/>
    </row>
    <row r="89" ht="10" customHeight="1"/>
    <row r="90">
      <c r="A90" s="43" t="inlineStr">
        <is>
          <t>STANDARDIZED DATA BRIDGE (FOR ANNUAL &amp; QUARTERLY REVIEW SHEETS)</t>
        </is>
      </c>
      <c r="B90" s="44" t="n"/>
      <c r="C90" s="44" t="n"/>
      <c r="D90" s="44" t="n"/>
      <c r="E90" s="44" t="n"/>
      <c r="F90" s="44" t="n"/>
      <c r="G90" s="44" t="n"/>
      <c r="H90" s="44" t="n"/>
      <c r="I90" s="44" t="n"/>
      <c r="J90" s="44" t="n"/>
      <c r="K90" s="44" t="n"/>
      <c r="L90" s="44" t="n"/>
      <c r="M90" s="44" t="n"/>
      <c r="N90" s="44" t="n"/>
      <c r="O90" s="44" t="n"/>
      <c r="P90" s="44" t="n"/>
      <c r="Q90" s="44" t="n"/>
      <c r="R90" s="44" t="n"/>
      <c r="S90" s="44" t="n"/>
      <c r="T90" s="44" t="n"/>
      <c r="U90" s="44" t="n"/>
      <c r="V90" s="44" t="n"/>
      <c r="W90" s="44" t="n"/>
      <c r="X90" s="44" t="n"/>
      <c r="Y90" s="44" t="n"/>
      <c r="Z90" s="44" t="n"/>
      <c r="AA90" s="44" t="n"/>
      <c r="AB90" s="44" t="n"/>
      <c r="AC90" s="44" t="n"/>
      <c r="AD90" s="44" t="n"/>
      <c r="AE90" s="44" t="n"/>
      <c r="AF90" s="44" t="n"/>
      <c r="AG90" s="44" t="n"/>
      <c r="AH90" s="44" t="n"/>
      <c r="AI90" s="44" t="n"/>
      <c r="AJ90" s="44" t="n"/>
      <c r="AK90" s="44" t="n"/>
      <c r="AL90" s="44" t="n"/>
    </row>
    <row r="91" ht="15" customHeight="1">
      <c r="A91" s="53" t="inlineStr">
        <is>
          <t>Month</t>
        </is>
      </c>
      <c r="B91" s="54" t="n"/>
      <c r="C91" s="53" t="inlineStr">
        <is>
          <t>Year</t>
        </is>
      </c>
      <c r="D91" s="54" t="n"/>
      <c r="E91" s="53" t="inlineStr">
        <is>
          <t>Active Habits</t>
        </is>
      </c>
      <c r="F91" s="54" t="n"/>
      <c r="G91" s="53" t="inlineStr">
        <is>
          <t>Target Days</t>
        </is>
      </c>
      <c r="H91" s="54" t="n"/>
      <c r="I91" s="53" t="inlineStr">
        <is>
          <t>Done Checks</t>
        </is>
      </c>
      <c r="J91" s="54" t="n"/>
      <c r="K91" s="53" t="inlineStr">
        <is>
          <t>Success %</t>
        </is>
      </c>
      <c r="L91" s="54" t="n"/>
      <c r="M91" s="53" t="inlineStr">
        <is>
          <t>Perfect Days</t>
        </is>
      </c>
      <c r="N91" s="54" t="n"/>
      <c r="O91" s="53" t="inlineStr">
        <is>
          <t>Avg Sleep</t>
        </is>
      </c>
      <c r="P91" s="54" t="n"/>
      <c r="Q91" s="53" t="inlineStr">
        <is>
          <t>Best Week</t>
        </is>
      </c>
      <c r="R91" s="54" t="n"/>
      <c r="S91" s="54" t="n"/>
      <c r="T91" s="53" t="inlineStr">
        <is>
          <t>Top Life Domain</t>
        </is>
      </c>
      <c r="U91" s="54" t="n"/>
      <c r="V91" s="54" t="n"/>
      <c r="W91" s="54" t="n"/>
    </row>
    <row r="92" ht="16" customHeight="1">
      <c r="A92" s="165" t="inlineStr">
        <is>
          <t>Aug</t>
        </is>
      </c>
      <c r="B92" s="56" t="n"/>
      <c r="C92" s="165" t="n">
        <v>2030</v>
      </c>
      <c r="D92" s="56" t="n"/>
      <c r="E92" s="166">
        <f>COUNTA(B18:B37)</f>
        <v/>
      </c>
      <c r="F92" s="56" t="n"/>
      <c r="G92" s="166">
        <f>SUM(D18:D37)</f>
        <v/>
      </c>
      <c r="H92" s="56" t="n"/>
      <c r="I92" s="166">
        <f>SUM(AM18:AM37)</f>
        <v/>
      </c>
      <c r="J92" s="56" t="n"/>
      <c r="K92" s="167">
        <f>IF(G92&gt;0, I92/G92, 0)</f>
        <v/>
      </c>
      <c r="L92" s="56" t="n"/>
      <c r="M92" s="166">
        <f>COUNTIF(E39:AI39, 1)</f>
        <v/>
      </c>
      <c r="N92" s="56" t="n"/>
      <c r="O92" s="168">
        <f>IFERROR(AVERAGE(E47:AI47), 0)</f>
        <v/>
      </c>
      <c r="P92" s="56" t="n"/>
      <c r="Q92" s="166">
        <f>INDEX(A76:A80, MATCH(MAX(E76:E80), E76:E80, 0))</f>
        <v/>
      </c>
      <c r="R92" s="161" t="n"/>
      <c r="S92" s="56" t="n"/>
      <c r="T92" s="166">
        <f>INDEX(N76:N80, MATCH(MAX(S76:S80), S76:S80, 0))</f>
        <v/>
      </c>
      <c r="U92" s="161" t="n"/>
      <c r="V92" s="161" t="n"/>
      <c r="W92" s="56" t="n"/>
    </row>
    <row r="93" ht="14" customHeight="1">
      <c r="A93" s="169" t="inlineStr">
        <is>
          <t>📋 Note: Reference or copy Row 92 directly into an Annual / Quarterly review dashboard to track yearly habit trends.</t>
        </is>
      </c>
    </row>
    <row r="94" ht="8" customHeight="1"/>
    <row r="95">
      <c r="A95" s="170" t="inlineStr">
        <is>
          <t>🏆 MONTHLY WINS &amp; HIGHLIGHTS</t>
        </is>
      </c>
      <c r="J95" s="171" t="inlineStr">
        <is>
          <t>⚠️ FRICTION POINTS &amp; ROOT CAUSES</t>
        </is>
      </c>
      <c r="S95" s="172" t="inlineStr">
        <is>
          <t>🎯 3 KEY ADJUSTMENTS FOR NEXT MONTH</t>
        </is>
      </c>
    </row>
    <row r="96">
      <c r="A96" s="173" t="inlineStr">
        <is>
          <t>1. What went exceptionally well this month?
2. Which habit felt effortless and consistent?
3. Major milestone achieved:</t>
        </is>
      </c>
      <c r="B96" s="174" t="n"/>
      <c r="C96" s="174" t="n"/>
      <c r="D96" s="174" t="n"/>
      <c r="E96" s="174" t="n"/>
      <c r="F96" s="174" t="n"/>
      <c r="G96" s="174" t="n"/>
      <c r="H96" s="174" t="n"/>
      <c r="J96" s="175" t="inlineStr">
        <is>
          <t>1. What caused missed or skipped days?
2. Main triggers / energy drains encountered:
3. Which habit had the lowest consistency and why?</t>
        </is>
      </c>
      <c r="K96" s="176" t="n"/>
      <c r="L96" s="176" t="n"/>
      <c r="M96" s="176" t="n"/>
      <c r="N96" s="176" t="n"/>
      <c r="O96" s="176" t="n"/>
      <c r="P96" s="176" t="n"/>
      <c r="Q96" s="176" t="n"/>
      <c r="S96" s="177" t="inlineStr">
        <is>
          <t>1. Habit Stacking or time adjustment for next month:
2. Environment design change to eliminate friction:
3. One non-negotiable priority protocol:</t>
        </is>
      </c>
      <c r="T96" s="178" t="n"/>
      <c r="U96" s="178" t="n"/>
      <c r="V96" s="178" t="n"/>
      <c r="W96" s="178" t="n"/>
      <c r="X96" s="178" t="n"/>
      <c r="Y96" s="178" t="n"/>
      <c r="Z96" s="178" t="n"/>
    </row>
    <row r="97">
      <c r="A97" s="174" t="n"/>
      <c r="B97" s="174" t="n"/>
      <c r="C97" s="174" t="n"/>
      <c r="D97" s="174" t="n"/>
      <c r="E97" s="174" t="n"/>
      <c r="F97" s="174" t="n"/>
      <c r="G97" s="174" t="n"/>
      <c r="H97" s="174" t="n"/>
      <c r="J97" s="176" t="n"/>
      <c r="K97" s="176" t="n"/>
      <c r="L97" s="176" t="n"/>
      <c r="M97" s="176" t="n"/>
      <c r="N97" s="176" t="n"/>
      <c r="O97" s="176" t="n"/>
      <c r="P97" s="176" t="n"/>
      <c r="Q97" s="176" t="n"/>
      <c r="S97" s="178" t="n"/>
      <c r="T97" s="178" t="n"/>
      <c r="U97" s="178" t="n"/>
      <c r="V97" s="178" t="n"/>
      <c r="W97" s="178" t="n"/>
      <c r="X97" s="178" t="n"/>
      <c r="Y97" s="178" t="n"/>
      <c r="Z97" s="178" t="n"/>
    </row>
    <row r="98">
      <c r="A98" s="174" t="n"/>
      <c r="B98" s="174" t="n"/>
      <c r="C98" s="174" t="n"/>
      <c r="D98" s="174" t="n"/>
      <c r="E98" s="174" t="n"/>
      <c r="F98" s="174" t="n"/>
      <c r="G98" s="174" t="n"/>
      <c r="H98" s="174" t="n"/>
      <c r="J98" s="176" t="n"/>
      <c r="K98" s="176" t="n"/>
      <c r="L98" s="176" t="n"/>
      <c r="M98" s="176" t="n"/>
      <c r="N98" s="176" t="n"/>
      <c r="O98" s="176" t="n"/>
      <c r="P98" s="176" t="n"/>
      <c r="Q98" s="176" t="n"/>
      <c r="S98" s="178" t="n"/>
      <c r="T98" s="178" t="n"/>
      <c r="U98" s="178" t="n"/>
      <c r="V98" s="178" t="n"/>
      <c r="W98" s="178" t="n"/>
      <c r="X98" s="178" t="n"/>
      <c r="Y98" s="178" t="n"/>
      <c r="Z98" s="178" t="n"/>
    </row>
    <row r="99">
      <c r="A99" s="174" t="n"/>
      <c r="B99" s="174" t="n"/>
      <c r="C99" s="174" t="n"/>
      <c r="D99" s="174" t="n"/>
      <c r="E99" s="174" t="n"/>
      <c r="F99" s="174" t="n"/>
      <c r="G99" s="174" t="n"/>
      <c r="H99" s="174" t="n"/>
      <c r="J99" s="176" t="n"/>
      <c r="K99" s="176" t="n"/>
      <c r="L99" s="176" t="n"/>
      <c r="M99" s="176" t="n"/>
      <c r="N99" s="176" t="n"/>
      <c r="O99" s="176" t="n"/>
      <c r="P99" s="176" t="n"/>
      <c r="Q99" s="176" t="n"/>
      <c r="S99" s="178" t="n"/>
      <c r="T99" s="178" t="n"/>
      <c r="U99" s="178" t="n"/>
      <c r="V99" s="178" t="n"/>
      <c r="W99" s="178" t="n"/>
      <c r="X99" s="178" t="n"/>
      <c r="Y99" s="178" t="n"/>
      <c r="Z99" s="178" t="n"/>
    </row>
    <row r="100">
      <c r="A100" s="174" t="n"/>
      <c r="B100" s="174" t="n"/>
      <c r="C100" s="174" t="n"/>
      <c r="D100" s="174" t="n"/>
      <c r="E100" s="174" t="n"/>
      <c r="F100" s="174" t="n"/>
      <c r="G100" s="174" t="n"/>
      <c r="H100" s="174" t="n"/>
      <c r="J100" s="176" t="n"/>
      <c r="K100" s="176" t="n"/>
      <c r="L100" s="176" t="n"/>
      <c r="M100" s="176" t="n"/>
      <c r="N100" s="176" t="n"/>
      <c r="O100" s="176" t="n"/>
      <c r="P100" s="176" t="n"/>
      <c r="Q100" s="176" t="n"/>
      <c r="S100" s="178" t="n"/>
      <c r="T100" s="178" t="n"/>
      <c r="U100" s="178" t="n"/>
      <c r="V100" s="178" t="n"/>
      <c r="W100" s="178" t="n"/>
      <c r="X100" s="178" t="n"/>
      <c r="Y100" s="178" t="n"/>
      <c r="Z100" s="178" t="n"/>
    </row>
    <row r="101">
      <c r="A101" s="174" t="n"/>
      <c r="B101" s="174" t="n"/>
      <c r="C101" s="174" t="n"/>
      <c r="D101" s="174" t="n"/>
      <c r="E101" s="174" t="n"/>
      <c r="F101" s="174" t="n"/>
      <c r="G101" s="174" t="n"/>
      <c r="H101" s="174" t="n"/>
      <c r="J101" s="176" t="n"/>
      <c r="K101" s="176" t="n"/>
      <c r="L101" s="176" t="n"/>
      <c r="M101" s="176" t="n"/>
      <c r="N101" s="176" t="n"/>
      <c r="O101" s="176" t="n"/>
      <c r="P101" s="176" t="n"/>
      <c r="Q101" s="176" t="n"/>
      <c r="S101" s="178" t="n"/>
      <c r="T101" s="178" t="n"/>
      <c r="U101" s="178" t="n"/>
      <c r="V101" s="178" t="n"/>
      <c r="W101" s="178" t="n"/>
      <c r="X101" s="178" t="n"/>
      <c r="Y101" s="178" t="n"/>
      <c r="Z101" s="178" t="n"/>
    </row>
    <row r="102">
      <c r="A102" s="174" t="n"/>
      <c r="B102" s="174" t="n"/>
      <c r="C102" s="174" t="n"/>
      <c r="D102" s="174" t="n"/>
      <c r="E102" s="174" t="n"/>
      <c r="F102" s="174" t="n"/>
      <c r="G102" s="174" t="n"/>
      <c r="H102" s="174" t="n"/>
      <c r="J102" s="176" t="n"/>
      <c r="K102" s="176" t="n"/>
      <c r="L102" s="176" t="n"/>
      <c r="M102" s="176" t="n"/>
      <c r="N102" s="176" t="n"/>
      <c r="O102" s="176" t="n"/>
      <c r="P102" s="176" t="n"/>
      <c r="Q102" s="176" t="n"/>
      <c r="S102" s="178" t="n"/>
      <c r="T102" s="178" t="n"/>
      <c r="U102" s="178" t="n"/>
      <c r="V102" s="178" t="n"/>
      <c r="W102" s="178" t="n"/>
      <c r="X102" s="178" t="n"/>
      <c r="Y102" s="178" t="n"/>
      <c r="Z102" s="178" t="n"/>
    </row>
    <row r="103">
      <c r="A103" s="174" t="n"/>
      <c r="B103" s="174" t="n"/>
      <c r="C103" s="174" t="n"/>
      <c r="D103" s="174" t="n"/>
      <c r="E103" s="174" t="n"/>
      <c r="F103" s="174" t="n"/>
      <c r="G103" s="174" t="n"/>
      <c r="H103" s="174" t="n"/>
      <c r="J103" s="176" t="n"/>
      <c r="K103" s="176" t="n"/>
      <c r="L103" s="176" t="n"/>
      <c r="M103" s="176" t="n"/>
      <c r="N103" s="176" t="n"/>
      <c r="O103" s="176" t="n"/>
      <c r="P103" s="176" t="n"/>
      <c r="Q103" s="176" t="n"/>
      <c r="S103" s="178" t="n"/>
      <c r="T103" s="178" t="n"/>
      <c r="U103" s="178" t="n"/>
      <c r="V103" s="178" t="n"/>
      <c r="W103" s="178" t="n"/>
      <c r="X103" s="178" t="n"/>
      <c r="Y103" s="178" t="n"/>
      <c r="Z103" s="178" t="n"/>
    </row>
  </sheetData>
  <sheetProtection selectLockedCells="1" selectUnlockedCells="1" sheet="1" objects="0" insertRows="1" insertHyperlinks="1" autoFilter="1" scenarios="0" formatColumns="1" deleteColumns="1" insertColumns="1" pivotTables="1" deleteRows="1" formatCells="1" formatRows="1" sort="1"/>
  <mergeCells count="94">
    <mergeCell ref="A9:N9"/>
    <mergeCell ref="N76:O76"/>
    <mergeCell ref="F67:I67"/>
    <mergeCell ref="G87:I87"/>
    <mergeCell ref="A16:A17"/>
    <mergeCell ref="A45:D46"/>
    <mergeCell ref="C16:C17"/>
    <mergeCell ref="N75:O75"/>
    <mergeCell ref="N77:O77"/>
    <mergeCell ref="AE2:AL2"/>
    <mergeCell ref="P9:AL9"/>
    <mergeCell ref="P68:S70"/>
    <mergeCell ref="D16:D17"/>
    <mergeCell ref="N85:Q85"/>
    <mergeCell ref="A95:H95"/>
    <mergeCell ref="A84:AL84"/>
    <mergeCell ref="Q91:S91"/>
    <mergeCell ref="E91:F91"/>
    <mergeCell ref="A8:N8"/>
    <mergeCell ref="A42:AL42"/>
    <mergeCell ref="G91:H91"/>
    <mergeCell ref="J86:M86"/>
    <mergeCell ref="H3:AD3"/>
    <mergeCell ref="K67:N67"/>
    <mergeCell ref="S95:Z95"/>
    <mergeCell ref="N79:O79"/>
    <mergeCell ref="K92:L92"/>
    <mergeCell ref="C92:D92"/>
    <mergeCell ref="M92:N92"/>
    <mergeCell ref="F71:I71"/>
    <mergeCell ref="A88:AL88"/>
    <mergeCell ref="K68:N70"/>
    <mergeCell ref="T91:W91"/>
    <mergeCell ref="A41:AL41"/>
    <mergeCell ref="A90:AL90"/>
    <mergeCell ref="J95:Q95"/>
    <mergeCell ref="D85:F85"/>
    <mergeCell ref="N74:S74"/>
    <mergeCell ref="H2:AD2"/>
    <mergeCell ref="F68:I70"/>
    <mergeCell ref="A91:B91"/>
    <mergeCell ref="N78:O78"/>
    <mergeCell ref="C91:D91"/>
    <mergeCell ref="M91:N91"/>
    <mergeCell ref="O91:P91"/>
    <mergeCell ref="R86:U86"/>
    <mergeCell ref="N80:O80"/>
    <mergeCell ref="B16:B17"/>
    <mergeCell ref="A71:D71"/>
    <mergeCell ref="J85:M85"/>
    <mergeCell ref="D86:F86"/>
    <mergeCell ref="A92:B92"/>
    <mergeCell ref="N87:Q87"/>
    <mergeCell ref="A1:B1"/>
    <mergeCell ref="E92:F92"/>
    <mergeCell ref="AL16:AL17"/>
    <mergeCell ref="A68:D70"/>
    <mergeCell ref="P71:S71"/>
    <mergeCell ref="A86:C86"/>
    <mergeCell ref="D87:F87"/>
    <mergeCell ref="O92:P92"/>
    <mergeCell ref="A6:N6"/>
    <mergeCell ref="A39:D39"/>
    <mergeCell ref="P8:AL8"/>
    <mergeCell ref="P7:AL7"/>
    <mergeCell ref="G86:I86"/>
    <mergeCell ref="A96:H103"/>
    <mergeCell ref="P67:S67"/>
    <mergeCell ref="T92:W92"/>
    <mergeCell ref="R85:U85"/>
    <mergeCell ref="K71:N71"/>
    <mergeCell ref="S96:Z103"/>
    <mergeCell ref="A93:AL93"/>
    <mergeCell ref="A38:D38"/>
    <mergeCell ref="A67:D67"/>
    <mergeCell ref="I91:J91"/>
    <mergeCell ref="A85:C85"/>
    <mergeCell ref="K91:L91"/>
    <mergeCell ref="N86:Q86"/>
    <mergeCell ref="A7:N7"/>
    <mergeCell ref="P6:AL6"/>
    <mergeCell ref="A74:E74"/>
    <mergeCell ref="G85:I85"/>
    <mergeCell ref="G92:H92"/>
    <mergeCell ref="I92:J92"/>
    <mergeCell ref="R87:U87"/>
    <mergeCell ref="AK16:AK17"/>
    <mergeCell ref="J87:M87"/>
    <mergeCell ref="AJ16:AJ17"/>
    <mergeCell ref="J96:Q103"/>
    <mergeCell ref="A12:AL14"/>
    <mergeCell ref="Q92:S92"/>
    <mergeCell ref="A87:C87"/>
    <mergeCell ref="A47:D47"/>
  </mergeCells>
  <conditionalFormatting sqref="AJ18:AJ37">
    <cfRule type="dataBar" priority="1">
      <dataBar>
        <cfvo type="num" val="0"/>
        <cfvo type="num" val="1"/>
        <color rgb="0010B981"/>
      </dataBar>
    </cfRule>
  </conditionalFormatting>
  <conditionalFormatting sqref="E18:AI37">
    <cfRule type="cellIs" priority="2" operator="equal" dxfId="0">
      <formula>"✓"</formula>
    </cfRule>
    <cfRule type="cellIs" priority="3" operator="equal" dxfId="0">
      <formula>"✔"</formula>
    </cfRule>
    <cfRule type="cellIs" priority="4" operator="equal" dxfId="1">
      <formula>"✗"</formula>
    </cfRule>
    <cfRule type="cellIs" priority="5" operator="equal" dxfId="1">
      <formula>"x"</formula>
    </cfRule>
    <cfRule type="cellIs" priority="6" operator="equal" dxfId="1">
      <formula>"X"</formula>
    </cfRule>
  </conditionalFormatting>
  <conditionalFormatting sqref="E16:E17">
    <cfRule type="expression" priority="7" dxfId="2">
      <formula>AND(DAY(TODAY())=1, MONTH(TODAY())=8, YEAR(TODAY())=2030)</formula>
    </cfRule>
  </conditionalFormatting>
  <conditionalFormatting sqref="F16:F17">
    <cfRule type="expression" priority="8" dxfId="2">
      <formula>AND(DAY(TODAY())=2, MONTH(TODAY())=8, YEAR(TODAY())=2030)</formula>
    </cfRule>
  </conditionalFormatting>
  <conditionalFormatting sqref="G16:G17">
    <cfRule type="expression" priority="9" dxfId="2">
      <formula>AND(DAY(TODAY())=3, MONTH(TODAY())=8, YEAR(TODAY())=2030)</formula>
    </cfRule>
  </conditionalFormatting>
  <conditionalFormatting sqref="H16:H17">
    <cfRule type="expression" priority="10" dxfId="2">
      <formula>AND(DAY(TODAY())=4, MONTH(TODAY())=8, YEAR(TODAY())=2030)</formula>
    </cfRule>
  </conditionalFormatting>
  <conditionalFormatting sqref="I16:I17">
    <cfRule type="expression" priority="11" dxfId="2">
      <formula>AND(DAY(TODAY())=5, MONTH(TODAY())=8, YEAR(TODAY())=2030)</formula>
    </cfRule>
  </conditionalFormatting>
  <conditionalFormatting sqref="J16:J17">
    <cfRule type="expression" priority="12" dxfId="2">
      <formula>AND(DAY(TODAY())=6, MONTH(TODAY())=8, YEAR(TODAY())=2030)</formula>
    </cfRule>
  </conditionalFormatting>
  <conditionalFormatting sqref="K16:K17">
    <cfRule type="expression" priority="13" dxfId="2">
      <formula>AND(DAY(TODAY())=7, MONTH(TODAY())=8, YEAR(TODAY())=2030)</formula>
    </cfRule>
  </conditionalFormatting>
  <conditionalFormatting sqref="L16:L17">
    <cfRule type="expression" priority="14" dxfId="2">
      <formula>AND(DAY(TODAY())=8, MONTH(TODAY())=8, YEAR(TODAY())=2030)</formula>
    </cfRule>
  </conditionalFormatting>
  <conditionalFormatting sqref="M16:M17">
    <cfRule type="expression" priority="15" dxfId="2">
      <formula>AND(DAY(TODAY())=9, MONTH(TODAY())=8, YEAR(TODAY())=2030)</formula>
    </cfRule>
  </conditionalFormatting>
  <conditionalFormatting sqref="N16:N17">
    <cfRule type="expression" priority="16" dxfId="2">
      <formula>AND(DAY(TODAY())=10, MONTH(TODAY())=8, YEAR(TODAY())=2030)</formula>
    </cfRule>
  </conditionalFormatting>
  <conditionalFormatting sqref="O16:O17">
    <cfRule type="expression" priority="17" dxfId="2">
      <formula>AND(DAY(TODAY())=11, MONTH(TODAY())=8, YEAR(TODAY())=2030)</formula>
    </cfRule>
  </conditionalFormatting>
  <conditionalFormatting sqref="P16:P17">
    <cfRule type="expression" priority="18" dxfId="2">
      <formula>AND(DAY(TODAY())=12, MONTH(TODAY())=8, YEAR(TODAY())=2030)</formula>
    </cfRule>
  </conditionalFormatting>
  <conditionalFormatting sqref="Q16:Q17">
    <cfRule type="expression" priority="19" dxfId="2">
      <formula>AND(DAY(TODAY())=13, MONTH(TODAY())=8, YEAR(TODAY())=2030)</formula>
    </cfRule>
  </conditionalFormatting>
  <conditionalFormatting sqref="R16:R17">
    <cfRule type="expression" priority="20" dxfId="2">
      <formula>AND(DAY(TODAY())=14, MONTH(TODAY())=8, YEAR(TODAY())=2030)</formula>
    </cfRule>
  </conditionalFormatting>
  <conditionalFormatting sqref="S16:S17">
    <cfRule type="expression" priority="21" dxfId="2">
      <formula>AND(DAY(TODAY())=15, MONTH(TODAY())=8, YEAR(TODAY())=2030)</formula>
    </cfRule>
  </conditionalFormatting>
  <conditionalFormatting sqref="T16:T17">
    <cfRule type="expression" priority="22" dxfId="2">
      <formula>AND(DAY(TODAY())=16, MONTH(TODAY())=8, YEAR(TODAY())=2030)</formula>
    </cfRule>
  </conditionalFormatting>
  <conditionalFormatting sqref="U16:U17">
    <cfRule type="expression" priority="23" dxfId="2">
      <formula>AND(DAY(TODAY())=17, MONTH(TODAY())=8, YEAR(TODAY())=2030)</formula>
    </cfRule>
  </conditionalFormatting>
  <conditionalFormatting sqref="V16:V17">
    <cfRule type="expression" priority="24" dxfId="2">
      <formula>AND(DAY(TODAY())=18, MONTH(TODAY())=8, YEAR(TODAY())=2030)</formula>
    </cfRule>
  </conditionalFormatting>
  <conditionalFormatting sqref="W16:W17">
    <cfRule type="expression" priority="25" dxfId="2">
      <formula>AND(DAY(TODAY())=19, MONTH(TODAY())=8, YEAR(TODAY())=2030)</formula>
    </cfRule>
  </conditionalFormatting>
  <conditionalFormatting sqref="X16:X17">
    <cfRule type="expression" priority="26" dxfId="2">
      <formula>AND(DAY(TODAY())=20, MONTH(TODAY())=8, YEAR(TODAY())=2030)</formula>
    </cfRule>
  </conditionalFormatting>
  <conditionalFormatting sqref="Y16:Y17">
    <cfRule type="expression" priority="27" dxfId="2">
      <formula>AND(DAY(TODAY())=21, MONTH(TODAY())=8, YEAR(TODAY())=2030)</formula>
    </cfRule>
  </conditionalFormatting>
  <conditionalFormatting sqref="Z16:Z17">
    <cfRule type="expression" priority="28" dxfId="2">
      <formula>AND(DAY(TODAY())=22, MONTH(TODAY())=8, YEAR(TODAY())=2030)</formula>
    </cfRule>
  </conditionalFormatting>
  <conditionalFormatting sqref="AA16:AA17">
    <cfRule type="expression" priority="29" dxfId="2">
      <formula>AND(DAY(TODAY())=23, MONTH(TODAY())=8, YEAR(TODAY())=2030)</formula>
    </cfRule>
  </conditionalFormatting>
  <conditionalFormatting sqref="AB16:AB17">
    <cfRule type="expression" priority="30" dxfId="2">
      <formula>AND(DAY(TODAY())=24, MONTH(TODAY())=8, YEAR(TODAY())=2030)</formula>
    </cfRule>
  </conditionalFormatting>
  <conditionalFormatting sqref="AC16:AC17">
    <cfRule type="expression" priority="31" dxfId="2">
      <formula>AND(DAY(TODAY())=25, MONTH(TODAY())=8, YEAR(TODAY())=2030)</formula>
    </cfRule>
  </conditionalFormatting>
  <conditionalFormatting sqref="AD16:AD17">
    <cfRule type="expression" priority="32" dxfId="2">
      <formula>AND(DAY(TODAY())=26, MONTH(TODAY())=8, YEAR(TODAY())=2030)</formula>
    </cfRule>
  </conditionalFormatting>
  <conditionalFormatting sqref="AE16:AE17">
    <cfRule type="expression" priority="33" dxfId="2">
      <formula>AND(DAY(TODAY())=27, MONTH(TODAY())=8, YEAR(TODAY())=2030)</formula>
    </cfRule>
  </conditionalFormatting>
  <conditionalFormatting sqref="AF16:AF17">
    <cfRule type="expression" priority="34" dxfId="2">
      <formula>AND(DAY(TODAY())=28, MONTH(TODAY())=8, YEAR(TODAY())=2030)</formula>
    </cfRule>
  </conditionalFormatting>
  <conditionalFormatting sqref="AG16:AG17">
    <cfRule type="expression" priority="35" dxfId="2">
      <formula>AND(DAY(TODAY())=29, MONTH(TODAY())=8, YEAR(TODAY())=2030)</formula>
    </cfRule>
  </conditionalFormatting>
  <conditionalFormatting sqref="AH16:AH17">
    <cfRule type="expression" priority="36" dxfId="2">
      <formula>AND(DAY(TODAY())=30, MONTH(TODAY())=8, YEAR(TODAY())=2030)</formula>
    </cfRule>
  </conditionalFormatting>
  <conditionalFormatting sqref="AI16:AI17">
    <cfRule type="expression" priority="37" dxfId="2">
      <formula>AND(DAY(TODAY())=31, MONTH(TODAY())=8, YEAR(TODAY())=2030)</formula>
    </cfRule>
  </conditionalFormatting>
  <dataValidations count="4">
    <dataValidation sqref="C18:C37" showDropDown="0" showInputMessage="0" showErrorMessage="0" allowBlank="1" type="list">
      <formula1>"Health &amp; Fitness,Mindset &amp; Learning,Career &amp; Focus,Personal &amp; Home,Finance &amp; Wealth,Other"</formula1>
    </dataValidation>
    <dataValidation sqref="D18:D37" showDropDown="0" showInputMessage="0" showErrorMessage="0" allowBlank="1" type="list">
      <formula1>"1,2,3,4,5,6,7,8,9,10,11,12,13,14,15,16,17,18,19,20,21,22,23,24,25,26,27,28,29,30,31"</formula1>
    </dataValidation>
    <dataValidation sqref="E18:AI37" showDropDown="0" showInputMessage="0" showErrorMessage="0" allowBlank="1" type="list">
      <formula1>"✓,✗"</formula1>
    </dataValidation>
    <dataValidation sqref="E47:AI47" showDropDown="0" showInputMessage="0" showErrorMessage="0" allowBlank="1" type="list">
      <formula1>"1,2,3,4,5,6,7,8,9,10,11,12,13,14,15,16,17,18,19,20,21,22,23,24"</formula1>
    </dataValidation>
  </dataValidations>
  <hyperlinks>
    <hyperlink xmlns:r="http://schemas.openxmlformats.org/officeDocument/2006/relationships" ref="A1" r:id="rId1"/>
    <hyperlink xmlns:r="http://schemas.openxmlformats.org/officeDocument/2006/relationships" ref="C1" r:id="rId2"/>
    <hyperlink xmlns:r="http://schemas.openxmlformats.org/officeDocument/2006/relationships" ref="D1" r:id="rId3"/>
    <hyperlink xmlns:r="http://schemas.openxmlformats.org/officeDocument/2006/relationships" ref="E1" r:id="rId4"/>
    <hyperlink xmlns:r="http://schemas.openxmlformats.org/officeDocument/2006/relationships" ref="F1" r:id="rId5"/>
    <hyperlink xmlns:r="http://schemas.openxmlformats.org/officeDocument/2006/relationships" ref="G1" r:id="rId6"/>
    <hyperlink xmlns:r="http://schemas.openxmlformats.org/officeDocument/2006/relationships" ref="H1" r:id="rId7"/>
    <hyperlink xmlns:r="http://schemas.openxmlformats.org/officeDocument/2006/relationships" ref="I1" r:id="rId8"/>
    <hyperlink xmlns:r="http://schemas.openxmlformats.org/officeDocument/2006/relationships" ref="J1" r:id="rId9"/>
    <hyperlink xmlns:r="http://schemas.openxmlformats.org/officeDocument/2006/relationships" ref="K1" r:id="rId10"/>
  </hyperlinks>
  <printOptions horizontalCentered="1" verticalCentered="0"/>
  <pageMargins left="0.75" right="0.75" top="1" bottom="1" header="0.5" footer="0.5"/>
  <pageSetup orientation="landscape" paperSize="9" fitToHeight="0" fitToWidth="1"/>
  <drawing xmlns:r="http://schemas.openxmlformats.org/officeDocument/2006/relationships" r:id="rId11"/>
</worksheet>
</file>

<file path=xl/worksheets/sheet52.xml><?xml version="1.0" encoding="utf-8"?>
<worksheet xmlns="http://schemas.openxmlformats.org/spreadsheetml/2006/main">
  <sheetPr>
    <outlinePr summaryBelow="1" summaryRight="1"/>
    <pageSetUpPr fitToPage="1"/>
  </sheetPr>
  <dimension ref="A1:AL103"/>
  <sheetViews>
    <sheetView showGridLines="1" workbookViewId="0">
      <selection activeCell="A1" sqref="A1"/>
    </sheetView>
  </sheetViews>
  <sheetFormatPr baseColWidth="8" defaultRowHeight="15"/>
  <cols>
    <col width="6" customWidth="1" min="1" max="1"/>
    <col width="25" customWidth="1" min="2" max="2"/>
    <col width="16.5" customWidth="1" min="3" max="3"/>
    <col width="8" customWidth="1" min="4" max="4"/>
    <col width="4.8" customWidth="1" min="5" max="5"/>
    <col width="4.8" customWidth="1" min="6" max="6"/>
    <col width="4.8" customWidth="1" min="7" max="7"/>
    <col width="4.8" customWidth="1" min="8" max="8"/>
    <col width="4.8" customWidth="1" min="9" max="9"/>
    <col width="4.8" customWidth="1" min="10" max="10"/>
    <col width="4.8" customWidth="1" min="11" max="11"/>
    <col width="4.8" customWidth="1" min="12" max="12"/>
    <col width="4.8" customWidth="1" min="13" max="13"/>
    <col width="4.8" customWidth="1" min="14" max="14"/>
    <col width="4.8" customWidth="1" min="15" max="15"/>
    <col width="4.8" customWidth="1" min="16" max="16"/>
    <col width="4.8" customWidth="1" min="17" max="17"/>
    <col width="4.8" customWidth="1" min="18" max="18"/>
    <col width="4.8" customWidth="1" min="19" max="19"/>
    <col width="4.8" customWidth="1" min="20" max="20"/>
    <col width="4.8" customWidth="1" min="21" max="21"/>
    <col width="4.8" customWidth="1" min="22" max="22"/>
    <col width="4.8" customWidth="1" min="23" max="23"/>
    <col width="4.8" customWidth="1" min="24" max="24"/>
    <col width="4.8" customWidth="1" min="25" max="25"/>
    <col width="4.8" customWidth="1" min="26" max="26"/>
    <col width="4.8" customWidth="1" min="27" max="27"/>
    <col width="4.8" customWidth="1" min="28" max="28"/>
    <col width="4.8" customWidth="1" min="29" max="29"/>
    <col width="4.8" customWidth="1" min="30" max="30"/>
    <col width="4.8" customWidth="1" min="31" max="31"/>
    <col width="4.8" customWidth="1" min="32" max="32"/>
    <col width="4.8" customWidth="1" min="33" max="33"/>
    <col width="4.8" customWidth="1" min="34" max="34"/>
    <col width="11.5" customWidth="1" min="35" max="35"/>
    <col width="12" customWidth="1" min="36" max="36"/>
    <col width="13.5" customWidth="1" min="37" max="37"/>
    <col hidden="1" width="8" customWidth="1" min="38" max="38"/>
  </cols>
  <sheetData>
    <row r="1" ht="18" customHeight="1">
      <c r="A1" s="76" t="inlineStr">
        <is>
          <t>🏠 Master Dashboard</t>
        </is>
      </c>
      <c r="B1" s="40" t="n"/>
      <c r="C1" s="77" t="inlineStr">
        <is>
          <t>🏛️ Quarterly Hub</t>
        </is>
      </c>
      <c r="D1" s="78" t="inlineStr">
        <is>
          <t>📚 Habit Library</t>
        </is>
      </c>
      <c r="E1" s="80" t="inlineStr">
        <is>
          <t>2026</t>
        </is>
      </c>
      <c r="F1" s="80" t="inlineStr">
        <is>
          <t>2027</t>
        </is>
      </c>
      <c r="G1" s="80" t="inlineStr">
        <is>
          <t>2028</t>
        </is>
      </c>
      <c r="H1" s="80" t="inlineStr">
        <is>
          <t>2029</t>
        </is>
      </c>
      <c r="I1" s="79" t="inlineStr">
        <is>
          <t>2030</t>
        </is>
      </c>
      <c r="J1" s="82" t="inlineStr">
        <is>
          <t>◀ Prev</t>
        </is>
      </c>
      <c r="K1" s="82" t="inlineStr">
        <is>
          <t>Next ▶</t>
        </is>
      </c>
    </row>
    <row r="2" ht="24" customHeight="1">
      <c r="A2" s="83" t="inlineStr">
        <is>
          <t>Habit Tracker</t>
        </is>
      </c>
      <c r="H2" s="84" t="inlineStr">
        <is>
          <t>"Win the morning, win the day."</t>
        </is>
      </c>
      <c r="AD2" s="85" t="inlineStr">
        <is>
          <t>@surajvansh</t>
        </is>
      </c>
    </row>
    <row r="3" ht="18" customHeight="1">
      <c r="A3" s="86" t="inlineStr">
        <is>
          <t>September 2030</t>
        </is>
      </c>
      <c r="H3" s="87" t="inlineStr">
        <is>
          <t>30 Days Dashboard</t>
        </is>
      </c>
    </row>
    <row r="4" ht="5" customHeight="1"/>
    <row r="5" ht="16" customHeight="1">
      <c r="A5" s="88" t="inlineStr">
        <is>
          <t>MONTHLY TARGETS</t>
        </is>
      </c>
    </row>
    <row r="6" ht="13" customHeight="1">
      <c r="A6" s="89" t="inlineStr">
        <is>
          <t>1. ____________________ : ____________________</t>
        </is>
      </c>
      <c r="P6" s="89" t="inlineStr">
        <is>
          <t>5. ____________________ : ____________________</t>
        </is>
      </c>
    </row>
    <row r="7" ht="13" customHeight="1">
      <c r="A7" s="89" t="inlineStr">
        <is>
          <t>2. ____________________ : ____________________</t>
        </is>
      </c>
      <c r="P7" s="89" t="inlineStr">
        <is>
          <t>6. ____________________ : ____________________</t>
        </is>
      </c>
    </row>
    <row r="8" ht="13" customHeight="1">
      <c r="A8" s="89" t="inlineStr">
        <is>
          <t>3. ____________________ : ____________________</t>
        </is>
      </c>
      <c r="P8" s="89" t="inlineStr">
        <is>
          <t>7. ____________________ : ____________________</t>
        </is>
      </c>
    </row>
    <row r="9" ht="13" customHeight="1">
      <c r="A9" s="89" t="inlineStr">
        <is>
          <t>4. ____________________ : ____________________</t>
        </is>
      </c>
      <c r="P9" s="89" t="inlineStr">
        <is>
          <t>8. ____________________ : ____________________</t>
        </is>
      </c>
    </row>
    <row r="10" ht="5" customHeight="1"/>
    <row r="11" ht="15" customHeight="1">
      <c r="A11" s="88" t="inlineStr">
        <is>
          <t>NOTES:</t>
        </is>
      </c>
    </row>
    <row r="12" ht="13" customHeight="1">
      <c r="A12" s="90" t="n"/>
      <c r="B12" s="91" t="n"/>
      <c r="C12" s="91" t="n"/>
      <c r="D12" s="91" t="n"/>
      <c r="E12" s="91" t="n"/>
      <c r="F12" s="91" t="n"/>
      <c r="G12" s="91" t="n"/>
      <c r="H12" s="91" t="n"/>
      <c r="I12" s="91" t="n"/>
      <c r="J12" s="91" t="n"/>
      <c r="K12" s="91" t="n"/>
      <c r="L12" s="91" t="n"/>
      <c r="M12" s="91" t="n"/>
      <c r="N12" s="91" t="n"/>
      <c r="O12" s="91" t="n"/>
      <c r="P12" s="91" t="n"/>
      <c r="Q12" s="91" t="n"/>
      <c r="R12" s="91" t="n"/>
      <c r="S12" s="91" t="n"/>
      <c r="T12" s="91" t="n"/>
      <c r="U12" s="91" t="n"/>
      <c r="V12" s="91" t="n"/>
      <c r="W12" s="91" t="n"/>
      <c r="X12" s="91" t="n"/>
      <c r="Y12" s="91" t="n"/>
      <c r="Z12" s="91" t="n"/>
      <c r="AA12" s="91" t="n"/>
      <c r="AB12" s="91" t="n"/>
      <c r="AC12" s="91" t="n"/>
      <c r="AD12" s="91" t="n"/>
      <c r="AE12" s="91" t="n"/>
      <c r="AF12" s="91" t="n"/>
      <c r="AG12" s="91" t="n"/>
      <c r="AH12" s="91" t="n"/>
      <c r="AI12" s="91" t="n"/>
      <c r="AJ12" s="91" t="n"/>
      <c r="AK12" s="91" t="n"/>
    </row>
    <row r="13" ht="13" customHeight="1">
      <c r="A13" s="91" t="n"/>
      <c r="B13" s="91" t="n"/>
      <c r="C13" s="91" t="n"/>
      <c r="D13" s="91" t="n"/>
      <c r="E13" s="91" t="n"/>
      <c r="F13" s="91" t="n"/>
      <c r="G13" s="91" t="n"/>
      <c r="H13" s="91" t="n"/>
      <c r="I13" s="91" t="n"/>
      <c r="J13" s="91" t="n"/>
      <c r="K13" s="91" t="n"/>
      <c r="L13" s="91" t="n"/>
      <c r="M13" s="91" t="n"/>
      <c r="N13" s="91" t="n"/>
      <c r="O13" s="91" t="n"/>
      <c r="P13" s="91" t="n"/>
      <c r="Q13" s="91" t="n"/>
      <c r="R13" s="91" t="n"/>
      <c r="S13" s="91" t="n"/>
      <c r="T13" s="91" t="n"/>
      <c r="U13" s="91" t="n"/>
      <c r="V13" s="91" t="n"/>
      <c r="W13" s="91" t="n"/>
      <c r="X13" s="91" t="n"/>
      <c r="Y13" s="91" t="n"/>
      <c r="Z13" s="91" t="n"/>
      <c r="AA13" s="91" t="n"/>
      <c r="AB13" s="91" t="n"/>
      <c r="AC13" s="91" t="n"/>
      <c r="AD13" s="91" t="n"/>
      <c r="AE13" s="91" t="n"/>
      <c r="AF13" s="91" t="n"/>
      <c r="AG13" s="91" t="n"/>
      <c r="AH13" s="91" t="n"/>
      <c r="AI13" s="91" t="n"/>
      <c r="AJ13" s="91" t="n"/>
      <c r="AK13" s="91" t="n"/>
    </row>
    <row r="14" ht="13" customHeight="1">
      <c r="A14" s="91" t="n"/>
      <c r="B14" s="91" t="n"/>
      <c r="C14" s="91" t="n"/>
      <c r="D14" s="91" t="n"/>
      <c r="E14" s="91" t="n"/>
      <c r="F14" s="91" t="n"/>
      <c r="G14" s="91" t="n"/>
      <c r="H14" s="91" t="n"/>
      <c r="I14" s="91" t="n"/>
      <c r="J14" s="91" t="n"/>
      <c r="K14" s="91" t="n"/>
      <c r="L14" s="91" t="n"/>
      <c r="M14" s="91" t="n"/>
      <c r="N14" s="91" t="n"/>
      <c r="O14" s="91" t="n"/>
      <c r="P14" s="91" t="n"/>
      <c r="Q14" s="91" t="n"/>
      <c r="R14" s="91" t="n"/>
      <c r="S14" s="91" t="n"/>
      <c r="T14" s="91" t="n"/>
      <c r="U14" s="91" t="n"/>
      <c r="V14" s="91" t="n"/>
      <c r="W14" s="91" t="n"/>
      <c r="X14" s="91" t="n"/>
      <c r="Y14" s="91" t="n"/>
      <c r="Z14" s="91" t="n"/>
      <c r="AA14" s="91" t="n"/>
      <c r="AB14" s="91" t="n"/>
      <c r="AC14" s="91" t="n"/>
      <c r="AD14" s="91" t="n"/>
      <c r="AE14" s="91" t="n"/>
      <c r="AF14" s="91" t="n"/>
      <c r="AG14" s="91" t="n"/>
      <c r="AH14" s="91" t="n"/>
      <c r="AI14" s="91" t="n"/>
      <c r="AJ14" s="91" t="n"/>
      <c r="AK14" s="91" t="n"/>
    </row>
    <row r="15" ht="8" customHeight="1"/>
    <row r="16" ht="15" customHeight="1">
      <c r="A16" s="33" t="inlineStr">
        <is>
          <t>S.No.</t>
        </is>
      </c>
      <c r="B16" s="33" t="inlineStr">
        <is>
          <t>Protocols</t>
        </is>
      </c>
      <c r="C16" s="33" t="inlineStr">
        <is>
          <t>Category</t>
        </is>
      </c>
      <c r="D16" s="33" t="inlineStr">
        <is>
          <t>Target</t>
        </is>
      </c>
      <c r="E16" s="93" t="n">
        <v>1</v>
      </c>
      <c r="F16" s="92" t="n">
        <v>2</v>
      </c>
      <c r="G16" s="92" t="n">
        <v>3</v>
      </c>
      <c r="H16" s="92" t="n">
        <v>4</v>
      </c>
      <c r="I16" s="92" t="n">
        <v>5</v>
      </c>
      <c r="J16" s="92" t="n">
        <v>6</v>
      </c>
      <c r="K16" s="92" t="n">
        <v>7</v>
      </c>
      <c r="L16" s="93" t="n">
        <v>8</v>
      </c>
      <c r="M16" s="92" t="n">
        <v>9</v>
      </c>
      <c r="N16" s="92" t="n">
        <v>10</v>
      </c>
      <c r="O16" s="92" t="n">
        <v>11</v>
      </c>
      <c r="P16" s="92" t="n">
        <v>12</v>
      </c>
      <c r="Q16" s="92" t="n">
        <v>13</v>
      </c>
      <c r="R16" s="92" t="n">
        <v>14</v>
      </c>
      <c r="S16" s="93" t="n">
        <v>15</v>
      </c>
      <c r="T16" s="92" t="n">
        <v>16</v>
      </c>
      <c r="U16" s="92" t="n">
        <v>17</v>
      </c>
      <c r="V16" s="92" t="n">
        <v>18</v>
      </c>
      <c r="W16" s="92" t="n">
        <v>19</v>
      </c>
      <c r="X16" s="92" t="n">
        <v>20</v>
      </c>
      <c r="Y16" s="92" t="n">
        <v>21</v>
      </c>
      <c r="Z16" s="93" t="n">
        <v>22</v>
      </c>
      <c r="AA16" s="92" t="n">
        <v>23</v>
      </c>
      <c r="AB16" s="92" t="n">
        <v>24</v>
      </c>
      <c r="AC16" s="92" t="n">
        <v>25</v>
      </c>
      <c r="AD16" s="92" t="n">
        <v>26</v>
      </c>
      <c r="AE16" s="92" t="n">
        <v>27</v>
      </c>
      <c r="AF16" s="92" t="n">
        <v>28</v>
      </c>
      <c r="AG16" s="93" t="n">
        <v>29</v>
      </c>
      <c r="AH16" s="92" t="n">
        <v>30</v>
      </c>
      <c r="AI16" s="94" t="inlineStr">
        <is>
          <t>Success %</t>
        </is>
      </c>
      <c r="AJ16" s="94" t="inlineStr">
        <is>
          <t>Done / Target</t>
        </is>
      </c>
      <c r="AK16" s="94" t="inlineStr">
        <is>
          <t>Status</t>
        </is>
      </c>
      <c r="AL16" t="inlineStr">
        <is>
          <t>Done Count</t>
        </is>
      </c>
    </row>
    <row r="17" ht="15" customHeight="1">
      <c r="A17" s="54" t="n"/>
      <c r="B17" s="54" t="n"/>
      <c r="C17" s="54" t="n"/>
      <c r="D17" s="54" t="n"/>
      <c r="E17" s="96" t="inlineStr">
        <is>
          <t>Su</t>
        </is>
      </c>
      <c r="F17" s="95" t="inlineStr">
        <is>
          <t>M</t>
        </is>
      </c>
      <c r="G17" s="95" t="inlineStr">
        <is>
          <t>T</t>
        </is>
      </c>
      <c r="H17" s="95" t="inlineStr">
        <is>
          <t>W</t>
        </is>
      </c>
      <c r="I17" s="95" t="inlineStr">
        <is>
          <t>Th</t>
        </is>
      </c>
      <c r="J17" s="95" t="inlineStr">
        <is>
          <t>F</t>
        </is>
      </c>
      <c r="K17" s="95" t="inlineStr">
        <is>
          <t>Sa</t>
        </is>
      </c>
      <c r="L17" s="96" t="inlineStr">
        <is>
          <t>Su</t>
        </is>
      </c>
      <c r="M17" s="95" t="inlineStr">
        <is>
          <t>M</t>
        </is>
      </c>
      <c r="N17" s="95" t="inlineStr">
        <is>
          <t>T</t>
        </is>
      </c>
      <c r="O17" s="95" t="inlineStr">
        <is>
          <t>W</t>
        </is>
      </c>
      <c r="P17" s="95" t="inlineStr">
        <is>
          <t>Th</t>
        </is>
      </c>
      <c r="Q17" s="95" t="inlineStr">
        <is>
          <t>F</t>
        </is>
      </c>
      <c r="R17" s="95" t="inlineStr">
        <is>
          <t>Sa</t>
        </is>
      </c>
      <c r="S17" s="96" t="inlineStr">
        <is>
          <t>Su</t>
        </is>
      </c>
      <c r="T17" s="95" t="inlineStr">
        <is>
          <t>M</t>
        </is>
      </c>
      <c r="U17" s="95" t="inlineStr">
        <is>
          <t>T</t>
        </is>
      </c>
      <c r="V17" s="95" t="inlineStr">
        <is>
          <t>W</t>
        </is>
      </c>
      <c r="W17" s="95" t="inlineStr">
        <is>
          <t>Th</t>
        </is>
      </c>
      <c r="X17" s="95" t="inlineStr">
        <is>
          <t>F</t>
        </is>
      </c>
      <c r="Y17" s="95" t="inlineStr">
        <is>
          <t>Sa</t>
        </is>
      </c>
      <c r="Z17" s="96" t="inlineStr">
        <is>
          <t>Su</t>
        </is>
      </c>
      <c r="AA17" s="95" t="inlineStr">
        <is>
          <t>M</t>
        </is>
      </c>
      <c r="AB17" s="95" t="inlineStr">
        <is>
          <t>T</t>
        </is>
      </c>
      <c r="AC17" s="95" t="inlineStr">
        <is>
          <t>W</t>
        </is>
      </c>
      <c r="AD17" s="95" t="inlineStr">
        <is>
          <t>Th</t>
        </is>
      </c>
      <c r="AE17" s="95" t="inlineStr">
        <is>
          <t>F</t>
        </is>
      </c>
      <c r="AF17" s="95" t="inlineStr">
        <is>
          <t>Sa</t>
        </is>
      </c>
      <c r="AG17" s="96" t="inlineStr">
        <is>
          <t>Su</t>
        </is>
      </c>
      <c r="AH17" s="95" t="inlineStr">
        <is>
          <t>M</t>
        </is>
      </c>
      <c r="AI17" s="54" t="n"/>
      <c r="AJ17" s="54" t="n"/>
      <c r="AK17" s="54" t="n"/>
    </row>
    <row r="18" ht="14.5" customHeight="1">
      <c r="A18" s="97" t="n">
        <v>1</v>
      </c>
      <c r="B18" s="98" t="n"/>
      <c r="C18" s="99" t="n"/>
      <c r="D18" s="99" t="n"/>
      <c r="E18" s="101" t="n"/>
      <c r="F18" s="100" t="n"/>
      <c r="G18" s="100" t="n"/>
      <c r="H18" s="100" t="n"/>
      <c r="I18" s="100" t="n"/>
      <c r="J18" s="100" t="n"/>
      <c r="K18" s="100" t="n"/>
      <c r="L18" s="101" t="n"/>
      <c r="M18" s="100" t="n"/>
      <c r="N18" s="100" t="n"/>
      <c r="O18" s="100" t="n"/>
      <c r="P18" s="100" t="n"/>
      <c r="Q18" s="100" t="n"/>
      <c r="R18" s="100" t="n"/>
      <c r="S18" s="101" t="n"/>
      <c r="T18" s="100" t="n"/>
      <c r="U18" s="100" t="n"/>
      <c r="V18" s="100" t="n"/>
      <c r="W18" s="100" t="n"/>
      <c r="X18" s="100" t="n"/>
      <c r="Y18" s="100" t="n"/>
      <c r="Z18" s="101" t="n"/>
      <c r="AA18" s="100" t="n"/>
      <c r="AB18" s="100" t="n"/>
      <c r="AC18" s="100" t="n"/>
      <c r="AD18" s="100" t="n"/>
      <c r="AE18" s="100" t="n"/>
      <c r="AF18" s="100" t="n"/>
      <c r="AG18" s="101" t="n"/>
      <c r="AH18" s="100" t="n"/>
      <c r="AI18" s="102">
        <f>IF(ISBLANK(B18), "", IF(ISNUMBER(D18), IF(D18&gt;0, (COUNTIF(E18:AH18, "✓") + COUNTIF(E18:AH18, "✔") + COUNTIF(E18:AH18, "v") + COUNTIF(E18:AH18, "V"))/D18, 0), IF(((COUNTIF(E18:AH18, "✓") + COUNTIF(E18:AH18, "✔") + COUNTIF(E18:AH18, "v") + COUNTIF(E18:AH18, "V")) + COUNTIF(E18:AH18, "✗") + COUNTIF(E18:AH18, "x") + COUNTIF(E18:AH18, "X"))&gt;0, (COUNTIF(E18:AH18, "✓") + COUNTIF(E18:AH18, "✔") + COUNTIF(E18:AH18, "v") + COUNTIF(E18:AH18, "V"))/((COUNTIF(E18:AH18, "✓") + COUNTIF(E18:AH18, "✔") + COUNTIF(E18:AH18, "v") + COUNTIF(E18:AH18, "V")) + COUNTIF(E18:AH18, "✗") + COUNTIF(E18:AH18, "x") + COUNTIF(E18:AH18, "X")), "")))</f>
        <v/>
      </c>
      <c r="AJ18" s="103">
        <f>IF(ISBLANK(B18), "", IF(ISNUMBER(D18), IF(D18&gt;0, (COUNTIF(E18:AH18, "✓") + COUNTIF(E18:AH18, "✔") + COUNTIF(E18:AH18, "v") + COUNTIF(E18:AH18, "V")) &amp; "/" &amp; D18, (COUNTIF(E18:AH18, "✓") + COUNTIF(E18:AH18, "✔") + COUNTIF(E18:AH18, "v") + COUNTIF(E18:AH18, "V")) &amp; "/0"), IF(((COUNTIF(E18:AH18, "✓") + COUNTIF(E18:AH18, "✔") + COUNTIF(E18:AH18, "v") + COUNTIF(E18:AH18, "V")) + COUNTIF(E18:AH18, "✗") + COUNTIF(E18:AH18, "x") + COUNTIF(E18:AH18, "X"))&gt;0, (COUNTIF(E18:AH18, "✓") + COUNTIF(E18:AH18, "✔") + COUNTIF(E18:AH18, "v") + COUNTIF(E18:AH18, "V")) &amp; "/" &amp; ((COUNTIF(E18:AH18, "✓") + COUNTIF(E18:AH18, "✔") + COUNTIF(E18:AH18, "v") + COUNTIF(E18:AH18, "V")) + COUNTIF(E18:AH18, "✗") + COUNTIF(E18:AH18, "x") + COUNTIF(E18:AH18, "X")), "")))</f>
        <v/>
      </c>
      <c r="AK18" s="103">
        <f>IF(ISBLANK(B18), "", IF(AI18&gt;=0.85, "🔥 Mastered", IF(AI18&gt;=0.7, "⚡ Consistent", "⚠️ Needs Focus")))</f>
        <v/>
      </c>
      <c r="AL18">
        <f>COUNTIF(E18:AH18, "✓")</f>
        <v/>
      </c>
    </row>
    <row r="19" ht="14.5" customHeight="1">
      <c r="A19" s="97" t="n">
        <v>2</v>
      </c>
      <c r="B19" s="98" t="n"/>
      <c r="C19" s="99" t="n"/>
      <c r="D19" s="99" t="n"/>
      <c r="E19" s="101" t="n"/>
      <c r="F19" s="100" t="n"/>
      <c r="G19" s="100" t="n"/>
      <c r="H19" s="100" t="n"/>
      <c r="I19" s="100" t="n"/>
      <c r="J19" s="100" t="n"/>
      <c r="K19" s="100" t="n"/>
      <c r="L19" s="101" t="n"/>
      <c r="M19" s="100" t="n"/>
      <c r="N19" s="100" t="n"/>
      <c r="O19" s="100" t="n"/>
      <c r="P19" s="100" t="n"/>
      <c r="Q19" s="100" t="n"/>
      <c r="R19" s="100" t="n"/>
      <c r="S19" s="101" t="n"/>
      <c r="T19" s="100" t="n"/>
      <c r="U19" s="100" t="n"/>
      <c r="V19" s="100" t="n"/>
      <c r="W19" s="100" t="n"/>
      <c r="X19" s="100" t="n"/>
      <c r="Y19" s="100" t="n"/>
      <c r="Z19" s="101" t="n"/>
      <c r="AA19" s="100" t="n"/>
      <c r="AB19" s="100" t="n"/>
      <c r="AC19" s="100" t="n"/>
      <c r="AD19" s="100" t="n"/>
      <c r="AE19" s="100" t="n"/>
      <c r="AF19" s="100" t="n"/>
      <c r="AG19" s="101" t="n"/>
      <c r="AH19" s="100" t="n"/>
      <c r="AI19" s="102">
        <f>IF(ISBLANK(B19), "", IF(ISNUMBER(D19), IF(D19&gt;0, (COUNTIF(E19:AH19, "✓") + COUNTIF(E19:AH19, "✔") + COUNTIF(E19:AH19, "v") + COUNTIF(E19:AH19, "V"))/D19, 0), IF(((COUNTIF(E19:AH19, "✓") + COUNTIF(E19:AH19, "✔") + COUNTIF(E19:AH19, "v") + COUNTIF(E19:AH19, "V")) + COUNTIF(E19:AH19, "✗") + COUNTIF(E19:AH19, "x") + COUNTIF(E19:AH19, "X"))&gt;0, (COUNTIF(E19:AH19, "✓") + COUNTIF(E19:AH19, "✔") + COUNTIF(E19:AH19, "v") + COUNTIF(E19:AH19, "V"))/((COUNTIF(E19:AH19, "✓") + COUNTIF(E19:AH19, "✔") + COUNTIF(E19:AH19, "v") + COUNTIF(E19:AH19, "V")) + COUNTIF(E19:AH19, "✗") + COUNTIF(E19:AH19, "x") + COUNTIF(E19:AH19, "X")), "")))</f>
        <v/>
      </c>
      <c r="AJ19" s="103">
        <f>IF(ISBLANK(B19), "", IF(ISNUMBER(D19), IF(D19&gt;0, (COUNTIF(E19:AH19, "✓") + COUNTIF(E19:AH19, "✔") + COUNTIF(E19:AH19, "v") + COUNTIF(E19:AH19, "V")) &amp; "/" &amp; D19, (COUNTIF(E19:AH19, "✓") + COUNTIF(E19:AH19, "✔") + COUNTIF(E19:AH19, "v") + COUNTIF(E19:AH19, "V")) &amp; "/0"), IF(((COUNTIF(E19:AH19, "✓") + COUNTIF(E19:AH19, "✔") + COUNTIF(E19:AH19, "v") + COUNTIF(E19:AH19, "V")) + COUNTIF(E19:AH19, "✗") + COUNTIF(E19:AH19, "x") + COUNTIF(E19:AH19, "X"))&gt;0, (COUNTIF(E19:AH19, "✓") + COUNTIF(E19:AH19, "✔") + COUNTIF(E19:AH19, "v") + COUNTIF(E19:AH19, "V")) &amp; "/" &amp; ((COUNTIF(E19:AH19, "✓") + COUNTIF(E19:AH19, "✔") + COUNTIF(E19:AH19, "v") + COUNTIF(E19:AH19, "V")) + COUNTIF(E19:AH19, "✗") + COUNTIF(E19:AH19, "x") + COUNTIF(E19:AH19, "X")), "")))</f>
        <v/>
      </c>
      <c r="AK19" s="103">
        <f>IF(ISBLANK(B19), "", IF(AI19&gt;=0.85, "🔥 Mastered", IF(AI19&gt;=0.7, "⚡ Consistent", "⚠️ Needs Focus")))</f>
        <v/>
      </c>
      <c r="AL19">
        <f>COUNTIF(E19:AH19, "✓")</f>
        <v/>
      </c>
    </row>
    <row r="20" ht="14.5" customHeight="1">
      <c r="A20" s="97" t="n">
        <v>3</v>
      </c>
      <c r="B20" s="98" t="n"/>
      <c r="C20" s="99" t="n"/>
      <c r="D20" s="99" t="n"/>
      <c r="E20" s="101" t="n"/>
      <c r="F20" s="100" t="n"/>
      <c r="G20" s="100" t="n"/>
      <c r="H20" s="100" t="n"/>
      <c r="I20" s="100" t="n"/>
      <c r="J20" s="100" t="n"/>
      <c r="K20" s="100" t="n"/>
      <c r="L20" s="101" t="n"/>
      <c r="M20" s="100" t="n"/>
      <c r="N20" s="100" t="n"/>
      <c r="O20" s="100" t="n"/>
      <c r="P20" s="100" t="n"/>
      <c r="Q20" s="100" t="n"/>
      <c r="R20" s="100" t="n"/>
      <c r="S20" s="101" t="n"/>
      <c r="T20" s="100" t="n"/>
      <c r="U20" s="100" t="n"/>
      <c r="V20" s="100" t="n"/>
      <c r="W20" s="100" t="n"/>
      <c r="X20" s="100" t="n"/>
      <c r="Y20" s="100" t="n"/>
      <c r="Z20" s="101" t="n"/>
      <c r="AA20" s="100" t="n"/>
      <c r="AB20" s="100" t="n"/>
      <c r="AC20" s="100" t="n"/>
      <c r="AD20" s="100" t="n"/>
      <c r="AE20" s="100" t="n"/>
      <c r="AF20" s="100" t="n"/>
      <c r="AG20" s="101" t="n"/>
      <c r="AH20" s="100" t="n"/>
      <c r="AI20" s="102">
        <f>IF(ISBLANK(B20), "", IF(ISNUMBER(D20), IF(D20&gt;0, (COUNTIF(E20:AH20, "✓") + COUNTIF(E20:AH20, "✔") + COUNTIF(E20:AH20, "v") + COUNTIF(E20:AH20, "V"))/D20, 0), IF(((COUNTIF(E20:AH20, "✓") + COUNTIF(E20:AH20, "✔") + COUNTIF(E20:AH20, "v") + COUNTIF(E20:AH20, "V")) + COUNTIF(E20:AH20, "✗") + COUNTIF(E20:AH20, "x") + COUNTIF(E20:AH20, "X"))&gt;0, (COUNTIF(E20:AH20, "✓") + COUNTIF(E20:AH20, "✔") + COUNTIF(E20:AH20, "v") + COUNTIF(E20:AH20, "V"))/((COUNTIF(E20:AH20, "✓") + COUNTIF(E20:AH20, "✔") + COUNTIF(E20:AH20, "v") + COUNTIF(E20:AH20, "V")) + COUNTIF(E20:AH20, "✗") + COUNTIF(E20:AH20, "x") + COUNTIF(E20:AH20, "X")), "")))</f>
        <v/>
      </c>
      <c r="AJ20" s="103">
        <f>IF(ISBLANK(B20), "", IF(ISNUMBER(D20), IF(D20&gt;0, (COUNTIF(E20:AH20, "✓") + COUNTIF(E20:AH20, "✔") + COUNTIF(E20:AH20, "v") + COUNTIF(E20:AH20, "V")) &amp; "/" &amp; D20, (COUNTIF(E20:AH20, "✓") + COUNTIF(E20:AH20, "✔") + COUNTIF(E20:AH20, "v") + COUNTIF(E20:AH20, "V")) &amp; "/0"), IF(((COUNTIF(E20:AH20, "✓") + COUNTIF(E20:AH20, "✔") + COUNTIF(E20:AH20, "v") + COUNTIF(E20:AH20, "V")) + COUNTIF(E20:AH20, "✗") + COUNTIF(E20:AH20, "x") + COUNTIF(E20:AH20, "X"))&gt;0, (COUNTIF(E20:AH20, "✓") + COUNTIF(E20:AH20, "✔") + COUNTIF(E20:AH20, "v") + COUNTIF(E20:AH20, "V")) &amp; "/" &amp; ((COUNTIF(E20:AH20, "✓") + COUNTIF(E20:AH20, "✔") + COUNTIF(E20:AH20, "v") + COUNTIF(E20:AH20, "V")) + COUNTIF(E20:AH20, "✗") + COUNTIF(E20:AH20, "x") + COUNTIF(E20:AH20, "X")), "")))</f>
        <v/>
      </c>
      <c r="AK20" s="103">
        <f>IF(ISBLANK(B20), "", IF(AI20&gt;=0.85, "🔥 Mastered", IF(AI20&gt;=0.7, "⚡ Consistent", "⚠️ Needs Focus")))</f>
        <v/>
      </c>
      <c r="AL20">
        <f>COUNTIF(E20:AH20, "✓")</f>
        <v/>
      </c>
    </row>
    <row r="21" ht="14.5" customHeight="1">
      <c r="A21" s="97" t="n">
        <v>4</v>
      </c>
      <c r="B21" s="98" t="n"/>
      <c r="C21" s="99" t="n"/>
      <c r="D21" s="99" t="n"/>
      <c r="E21" s="101" t="n"/>
      <c r="F21" s="100" t="n"/>
      <c r="G21" s="100" t="n"/>
      <c r="H21" s="100" t="n"/>
      <c r="I21" s="100" t="n"/>
      <c r="J21" s="100" t="n"/>
      <c r="K21" s="100" t="n"/>
      <c r="L21" s="101" t="n"/>
      <c r="M21" s="100" t="n"/>
      <c r="N21" s="100" t="n"/>
      <c r="O21" s="100" t="n"/>
      <c r="P21" s="100" t="n"/>
      <c r="Q21" s="100" t="n"/>
      <c r="R21" s="100" t="n"/>
      <c r="S21" s="101" t="n"/>
      <c r="T21" s="100" t="n"/>
      <c r="U21" s="100" t="n"/>
      <c r="V21" s="100" t="n"/>
      <c r="W21" s="100" t="n"/>
      <c r="X21" s="100" t="n"/>
      <c r="Y21" s="100" t="n"/>
      <c r="Z21" s="101" t="n"/>
      <c r="AA21" s="100" t="n"/>
      <c r="AB21" s="100" t="n"/>
      <c r="AC21" s="100" t="n"/>
      <c r="AD21" s="100" t="n"/>
      <c r="AE21" s="100" t="n"/>
      <c r="AF21" s="100" t="n"/>
      <c r="AG21" s="101" t="n"/>
      <c r="AH21" s="100" t="n"/>
      <c r="AI21" s="102">
        <f>IF(ISBLANK(B21), "", IF(ISNUMBER(D21), IF(D21&gt;0, (COUNTIF(E21:AH21, "✓") + COUNTIF(E21:AH21, "✔") + COUNTIF(E21:AH21, "v") + COUNTIF(E21:AH21, "V"))/D21, 0), IF(((COUNTIF(E21:AH21, "✓") + COUNTIF(E21:AH21, "✔") + COUNTIF(E21:AH21, "v") + COUNTIF(E21:AH21, "V")) + COUNTIF(E21:AH21, "✗") + COUNTIF(E21:AH21, "x") + COUNTIF(E21:AH21, "X"))&gt;0, (COUNTIF(E21:AH21, "✓") + COUNTIF(E21:AH21, "✔") + COUNTIF(E21:AH21, "v") + COUNTIF(E21:AH21, "V"))/((COUNTIF(E21:AH21, "✓") + COUNTIF(E21:AH21, "✔") + COUNTIF(E21:AH21, "v") + COUNTIF(E21:AH21, "V")) + COUNTIF(E21:AH21, "✗") + COUNTIF(E21:AH21, "x") + COUNTIF(E21:AH21, "X")), "")))</f>
        <v/>
      </c>
      <c r="AJ21" s="103">
        <f>IF(ISBLANK(B21), "", IF(ISNUMBER(D21), IF(D21&gt;0, (COUNTIF(E21:AH21, "✓") + COUNTIF(E21:AH21, "✔") + COUNTIF(E21:AH21, "v") + COUNTIF(E21:AH21, "V")) &amp; "/" &amp; D21, (COUNTIF(E21:AH21, "✓") + COUNTIF(E21:AH21, "✔") + COUNTIF(E21:AH21, "v") + COUNTIF(E21:AH21, "V")) &amp; "/0"), IF(((COUNTIF(E21:AH21, "✓") + COUNTIF(E21:AH21, "✔") + COUNTIF(E21:AH21, "v") + COUNTIF(E21:AH21, "V")) + COUNTIF(E21:AH21, "✗") + COUNTIF(E21:AH21, "x") + COUNTIF(E21:AH21, "X"))&gt;0, (COUNTIF(E21:AH21, "✓") + COUNTIF(E21:AH21, "✔") + COUNTIF(E21:AH21, "v") + COUNTIF(E21:AH21, "V")) &amp; "/" &amp; ((COUNTIF(E21:AH21, "✓") + COUNTIF(E21:AH21, "✔") + COUNTIF(E21:AH21, "v") + COUNTIF(E21:AH21, "V")) + COUNTIF(E21:AH21, "✗") + COUNTIF(E21:AH21, "x") + COUNTIF(E21:AH21, "X")), "")))</f>
        <v/>
      </c>
      <c r="AK21" s="103">
        <f>IF(ISBLANK(B21), "", IF(AI21&gt;=0.85, "🔥 Mastered", IF(AI21&gt;=0.7, "⚡ Consistent", "⚠️ Needs Focus")))</f>
        <v/>
      </c>
      <c r="AL21">
        <f>COUNTIF(E21:AH21, "✓")</f>
        <v/>
      </c>
    </row>
    <row r="22" ht="14.5" customHeight="1">
      <c r="A22" s="104" t="n">
        <v>5</v>
      </c>
      <c r="B22" s="105" t="n"/>
      <c r="C22" s="106" t="n"/>
      <c r="D22" s="106" t="n"/>
      <c r="E22" s="108" t="n"/>
      <c r="F22" s="107" t="n"/>
      <c r="G22" s="107" t="n"/>
      <c r="H22" s="107" t="n"/>
      <c r="I22" s="107" t="n"/>
      <c r="J22" s="107" t="n"/>
      <c r="K22" s="107" t="n"/>
      <c r="L22" s="108" t="n"/>
      <c r="M22" s="107" t="n"/>
      <c r="N22" s="107" t="n"/>
      <c r="O22" s="107" t="n"/>
      <c r="P22" s="107" t="n"/>
      <c r="Q22" s="107" t="n"/>
      <c r="R22" s="107" t="n"/>
      <c r="S22" s="108" t="n"/>
      <c r="T22" s="107" t="n"/>
      <c r="U22" s="107" t="n"/>
      <c r="V22" s="107" t="n"/>
      <c r="W22" s="107" t="n"/>
      <c r="X22" s="107" t="n"/>
      <c r="Y22" s="107" t="n"/>
      <c r="Z22" s="108" t="n"/>
      <c r="AA22" s="107" t="n"/>
      <c r="AB22" s="107" t="n"/>
      <c r="AC22" s="107" t="n"/>
      <c r="AD22" s="107" t="n"/>
      <c r="AE22" s="107" t="n"/>
      <c r="AF22" s="107" t="n"/>
      <c r="AG22" s="108" t="n"/>
      <c r="AH22" s="107" t="n"/>
      <c r="AI22" s="109">
        <f>IF(ISBLANK(B22), "", IF(ISNUMBER(D22), IF(D22&gt;0, (COUNTIF(E22:AH22, "✓") + COUNTIF(E22:AH22, "✔") + COUNTIF(E22:AH22, "v") + COUNTIF(E22:AH22, "V"))/D22, 0), IF(((COUNTIF(E22:AH22, "✓") + COUNTIF(E22:AH22, "✔") + COUNTIF(E22:AH22, "v") + COUNTIF(E22:AH22, "V")) + COUNTIF(E22:AH22, "✗") + COUNTIF(E22:AH22, "x") + COUNTIF(E22:AH22, "X"))&gt;0, (COUNTIF(E22:AH22, "✓") + COUNTIF(E22:AH22, "✔") + COUNTIF(E22:AH22, "v") + COUNTIF(E22:AH22, "V"))/((COUNTIF(E22:AH22, "✓") + COUNTIF(E22:AH22, "✔") + COUNTIF(E22:AH22, "v") + COUNTIF(E22:AH22, "V")) + COUNTIF(E22:AH22, "✗") + COUNTIF(E22:AH22, "x") + COUNTIF(E22:AH22, "X")), "")))</f>
        <v/>
      </c>
      <c r="AJ22" s="110">
        <f>IF(ISBLANK(B22), "", IF(ISNUMBER(D22), IF(D22&gt;0, (COUNTIF(E22:AH22, "✓") + COUNTIF(E22:AH22, "✔") + COUNTIF(E22:AH22, "v") + COUNTIF(E22:AH22, "V")) &amp; "/" &amp; D22, (COUNTIF(E22:AH22, "✓") + COUNTIF(E22:AH22, "✔") + COUNTIF(E22:AH22, "v") + COUNTIF(E22:AH22, "V")) &amp; "/0"), IF(((COUNTIF(E22:AH22, "✓") + COUNTIF(E22:AH22, "✔") + COUNTIF(E22:AH22, "v") + COUNTIF(E22:AH22, "V")) + COUNTIF(E22:AH22, "✗") + COUNTIF(E22:AH22, "x") + COUNTIF(E22:AH22, "X"))&gt;0, (COUNTIF(E22:AH22, "✓") + COUNTIF(E22:AH22, "✔") + COUNTIF(E22:AH22, "v") + COUNTIF(E22:AH22, "V")) &amp; "/" &amp; ((COUNTIF(E22:AH22, "✓") + COUNTIF(E22:AH22, "✔") + COUNTIF(E22:AH22, "v") + COUNTIF(E22:AH22, "V")) + COUNTIF(E22:AH22, "✗") + COUNTIF(E22:AH22, "x") + COUNTIF(E22:AH22, "X")), "")))</f>
        <v/>
      </c>
      <c r="AK22" s="110">
        <f>IF(ISBLANK(B22), "", IF(AI22&gt;=0.85, "🔥 Mastered", IF(AI22&gt;=0.7, "⚡ Consistent", "⚠️ Needs Focus")))</f>
        <v/>
      </c>
      <c r="AL22">
        <f>COUNTIF(E22:AH22, "✓")</f>
        <v/>
      </c>
    </row>
    <row r="23" ht="14.5" customHeight="1">
      <c r="A23" s="104" t="n">
        <v>6</v>
      </c>
      <c r="B23" s="105" t="n"/>
      <c r="C23" s="106" t="n"/>
      <c r="D23" s="106" t="n"/>
      <c r="E23" s="108" t="n"/>
      <c r="F23" s="107" t="n"/>
      <c r="G23" s="107" t="n"/>
      <c r="H23" s="107" t="n"/>
      <c r="I23" s="107" t="n"/>
      <c r="J23" s="107" t="n"/>
      <c r="K23" s="107" t="n"/>
      <c r="L23" s="108" t="n"/>
      <c r="M23" s="107" t="n"/>
      <c r="N23" s="107" t="n"/>
      <c r="O23" s="107" t="n"/>
      <c r="P23" s="107" t="n"/>
      <c r="Q23" s="107" t="n"/>
      <c r="R23" s="107" t="n"/>
      <c r="S23" s="108" t="n"/>
      <c r="T23" s="107" t="n"/>
      <c r="U23" s="107" t="n"/>
      <c r="V23" s="107" t="n"/>
      <c r="W23" s="107" t="n"/>
      <c r="X23" s="107" t="n"/>
      <c r="Y23" s="107" t="n"/>
      <c r="Z23" s="108" t="n"/>
      <c r="AA23" s="107" t="n"/>
      <c r="AB23" s="107" t="n"/>
      <c r="AC23" s="107" t="n"/>
      <c r="AD23" s="107" t="n"/>
      <c r="AE23" s="107" t="n"/>
      <c r="AF23" s="107" t="n"/>
      <c r="AG23" s="108" t="n"/>
      <c r="AH23" s="107" t="n"/>
      <c r="AI23" s="109">
        <f>IF(ISBLANK(B23), "", IF(ISNUMBER(D23), IF(D23&gt;0, (COUNTIF(E23:AH23, "✓") + COUNTIF(E23:AH23, "✔") + COUNTIF(E23:AH23, "v") + COUNTIF(E23:AH23, "V"))/D23, 0), IF(((COUNTIF(E23:AH23, "✓") + COUNTIF(E23:AH23, "✔") + COUNTIF(E23:AH23, "v") + COUNTIF(E23:AH23, "V")) + COUNTIF(E23:AH23, "✗") + COUNTIF(E23:AH23, "x") + COUNTIF(E23:AH23, "X"))&gt;0, (COUNTIF(E23:AH23, "✓") + COUNTIF(E23:AH23, "✔") + COUNTIF(E23:AH23, "v") + COUNTIF(E23:AH23, "V"))/((COUNTIF(E23:AH23, "✓") + COUNTIF(E23:AH23, "✔") + COUNTIF(E23:AH23, "v") + COUNTIF(E23:AH23, "V")) + COUNTIF(E23:AH23, "✗") + COUNTIF(E23:AH23, "x") + COUNTIF(E23:AH23, "X")), "")))</f>
        <v/>
      </c>
      <c r="AJ23" s="110">
        <f>IF(ISBLANK(B23), "", IF(ISNUMBER(D23), IF(D23&gt;0, (COUNTIF(E23:AH23, "✓") + COUNTIF(E23:AH23, "✔") + COUNTIF(E23:AH23, "v") + COUNTIF(E23:AH23, "V")) &amp; "/" &amp; D23, (COUNTIF(E23:AH23, "✓") + COUNTIF(E23:AH23, "✔") + COUNTIF(E23:AH23, "v") + COUNTIF(E23:AH23, "V")) &amp; "/0"), IF(((COUNTIF(E23:AH23, "✓") + COUNTIF(E23:AH23, "✔") + COUNTIF(E23:AH23, "v") + COUNTIF(E23:AH23, "V")) + COUNTIF(E23:AH23, "✗") + COUNTIF(E23:AH23, "x") + COUNTIF(E23:AH23, "X"))&gt;0, (COUNTIF(E23:AH23, "✓") + COUNTIF(E23:AH23, "✔") + COUNTIF(E23:AH23, "v") + COUNTIF(E23:AH23, "V")) &amp; "/" &amp; ((COUNTIF(E23:AH23, "✓") + COUNTIF(E23:AH23, "✔") + COUNTIF(E23:AH23, "v") + COUNTIF(E23:AH23, "V")) + COUNTIF(E23:AH23, "✗") + COUNTIF(E23:AH23, "x") + COUNTIF(E23:AH23, "X")), "")))</f>
        <v/>
      </c>
      <c r="AK23" s="110">
        <f>IF(ISBLANK(B23), "", IF(AI23&gt;=0.85, "🔥 Mastered", IF(AI23&gt;=0.7, "⚡ Consistent", "⚠️ Needs Focus")))</f>
        <v/>
      </c>
      <c r="AL23">
        <f>COUNTIF(E23:AH23, "✓")</f>
        <v/>
      </c>
    </row>
    <row r="24" ht="14.5" customHeight="1">
      <c r="A24" s="104" t="n">
        <v>7</v>
      </c>
      <c r="B24" s="105" t="n"/>
      <c r="C24" s="106" t="n"/>
      <c r="D24" s="106" t="n"/>
      <c r="E24" s="108" t="n"/>
      <c r="F24" s="107" t="n"/>
      <c r="G24" s="107" t="n"/>
      <c r="H24" s="107" t="n"/>
      <c r="I24" s="107" t="n"/>
      <c r="J24" s="107" t="n"/>
      <c r="K24" s="107" t="n"/>
      <c r="L24" s="108" t="n"/>
      <c r="M24" s="107" t="n"/>
      <c r="N24" s="107" t="n"/>
      <c r="O24" s="107" t="n"/>
      <c r="P24" s="107" t="n"/>
      <c r="Q24" s="107" t="n"/>
      <c r="R24" s="107" t="n"/>
      <c r="S24" s="108" t="n"/>
      <c r="T24" s="107" t="n"/>
      <c r="U24" s="107" t="n"/>
      <c r="V24" s="107" t="n"/>
      <c r="W24" s="107" t="n"/>
      <c r="X24" s="107" t="n"/>
      <c r="Y24" s="107" t="n"/>
      <c r="Z24" s="108" t="n"/>
      <c r="AA24" s="107" t="n"/>
      <c r="AB24" s="107" t="n"/>
      <c r="AC24" s="107" t="n"/>
      <c r="AD24" s="107" t="n"/>
      <c r="AE24" s="107" t="n"/>
      <c r="AF24" s="107" t="n"/>
      <c r="AG24" s="108" t="n"/>
      <c r="AH24" s="107" t="n"/>
      <c r="AI24" s="109">
        <f>IF(ISBLANK(B24), "", IF(ISNUMBER(D24), IF(D24&gt;0, (COUNTIF(E24:AH24, "✓") + COUNTIF(E24:AH24, "✔") + COUNTIF(E24:AH24, "v") + COUNTIF(E24:AH24, "V"))/D24, 0), IF(((COUNTIF(E24:AH24, "✓") + COUNTIF(E24:AH24, "✔") + COUNTIF(E24:AH24, "v") + COUNTIF(E24:AH24, "V")) + COUNTIF(E24:AH24, "✗") + COUNTIF(E24:AH24, "x") + COUNTIF(E24:AH24, "X"))&gt;0, (COUNTIF(E24:AH24, "✓") + COUNTIF(E24:AH24, "✔") + COUNTIF(E24:AH24, "v") + COUNTIF(E24:AH24, "V"))/((COUNTIF(E24:AH24, "✓") + COUNTIF(E24:AH24, "✔") + COUNTIF(E24:AH24, "v") + COUNTIF(E24:AH24, "V")) + COUNTIF(E24:AH24, "✗") + COUNTIF(E24:AH24, "x") + COUNTIF(E24:AH24, "X")), "")))</f>
        <v/>
      </c>
      <c r="AJ24" s="110">
        <f>IF(ISBLANK(B24), "", IF(ISNUMBER(D24), IF(D24&gt;0, (COUNTIF(E24:AH24, "✓") + COUNTIF(E24:AH24, "✔") + COUNTIF(E24:AH24, "v") + COUNTIF(E24:AH24, "V")) &amp; "/" &amp; D24, (COUNTIF(E24:AH24, "✓") + COUNTIF(E24:AH24, "✔") + COUNTIF(E24:AH24, "v") + COUNTIF(E24:AH24, "V")) &amp; "/0"), IF(((COUNTIF(E24:AH24, "✓") + COUNTIF(E24:AH24, "✔") + COUNTIF(E24:AH24, "v") + COUNTIF(E24:AH24, "V")) + COUNTIF(E24:AH24, "✗") + COUNTIF(E24:AH24, "x") + COUNTIF(E24:AH24, "X"))&gt;0, (COUNTIF(E24:AH24, "✓") + COUNTIF(E24:AH24, "✔") + COUNTIF(E24:AH24, "v") + COUNTIF(E24:AH24, "V")) &amp; "/" &amp; ((COUNTIF(E24:AH24, "✓") + COUNTIF(E24:AH24, "✔") + COUNTIF(E24:AH24, "v") + COUNTIF(E24:AH24, "V")) + COUNTIF(E24:AH24, "✗") + COUNTIF(E24:AH24, "x") + COUNTIF(E24:AH24, "X")), "")))</f>
        <v/>
      </c>
      <c r="AK24" s="110">
        <f>IF(ISBLANK(B24), "", IF(AI24&gt;=0.85, "🔥 Mastered", IF(AI24&gt;=0.7, "⚡ Consistent", "⚠️ Needs Focus")))</f>
        <v/>
      </c>
      <c r="AL24">
        <f>COUNTIF(E24:AH24, "✓")</f>
        <v/>
      </c>
    </row>
    <row r="25" ht="14.5" customHeight="1">
      <c r="A25" s="104" t="n">
        <v>8</v>
      </c>
      <c r="B25" s="105" t="n"/>
      <c r="C25" s="106" t="n"/>
      <c r="D25" s="106" t="n"/>
      <c r="E25" s="108" t="n"/>
      <c r="F25" s="107" t="n"/>
      <c r="G25" s="107" t="n"/>
      <c r="H25" s="107" t="n"/>
      <c r="I25" s="107" t="n"/>
      <c r="J25" s="107" t="n"/>
      <c r="K25" s="107" t="n"/>
      <c r="L25" s="108" t="n"/>
      <c r="M25" s="107" t="n"/>
      <c r="N25" s="107" t="n"/>
      <c r="O25" s="107" t="n"/>
      <c r="P25" s="107" t="n"/>
      <c r="Q25" s="107" t="n"/>
      <c r="R25" s="107" t="n"/>
      <c r="S25" s="108" t="n"/>
      <c r="T25" s="107" t="n"/>
      <c r="U25" s="107" t="n"/>
      <c r="V25" s="107" t="n"/>
      <c r="W25" s="107" t="n"/>
      <c r="X25" s="107" t="n"/>
      <c r="Y25" s="107" t="n"/>
      <c r="Z25" s="108" t="n"/>
      <c r="AA25" s="107" t="n"/>
      <c r="AB25" s="107" t="n"/>
      <c r="AC25" s="107" t="n"/>
      <c r="AD25" s="107" t="n"/>
      <c r="AE25" s="107" t="n"/>
      <c r="AF25" s="107" t="n"/>
      <c r="AG25" s="108" t="n"/>
      <c r="AH25" s="107" t="n"/>
      <c r="AI25" s="109">
        <f>IF(ISBLANK(B25), "", IF(ISNUMBER(D25), IF(D25&gt;0, (COUNTIF(E25:AH25, "✓") + COUNTIF(E25:AH25, "✔") + COUNTIF(E25:AH25, "v") + COUNTIF(E25:AH25, "V"))/D25, 0), IF(((COUNTIF(E25:AH25, "✓") + COUNTIF(E25:AH25, "✔") + COUNTIF(E25:AH25, "v") + COUNTIF(E25:AH25, "V")) + COUNTIF(E25:AH25, "✗") + COUNTIF(E25:AH25, "x") + COUNTIF(E25:AH25, "X"))&gt;0, (COUNTIF(E25:AH25, "✓") + COUNTIF(E25:AH25, "✔") + COUNTIF(E25:AH25, "v") + COUNTIF(E25:AH25, "V"))/((COUNTIF(E25:AH25, "✓") + COUNTIF(E25:AH25, "✔") + COUNTIF(E25:AH25, "v") + COUNTIF(E25:AH25, "V")) + COUNTIF(E25:AH25, "✗") + COUNTIF(E25:AH25, "x") + COUNTIF(E25:AH25, "X")), "")))</f>
        <v/>
      </c>
      <c r="AJ25" s="110">
        <f>IF(ISBLANK(B25), "", IF(ISNUMBER(D25), IF(D25&gt;0, (COUNTIF(E25:AH25, "✓") + COUNTIF(E25:AH25, "✔") + COUNTIF(E25:AH25, "v") + COUNTIF(E25:AH25, "V")) &amp; "/" &amp; D25, (COUNTIF(E25:AH25, "✓") + COUNTIF(E25:AH25, "✔") + COUNTIF(E25:AH25, "v") + COUNTIF(E25:AH25, "V")) &amp; "/0"), IF(((COUNTIF(E25:AH25, "✓") + COUNTIF(E25:AH25, "✔") + COUNTIF(E25:AH25, "v") + COUNTIF(E25:AH25, "V")) + COUNTIF(E25:AH25, "✗") + COUNTIF(E25:AH25, "x") + COUNTIF(E25:AH25, "X"))&gt;0, (COUNTIF(E25:AH25, "✓") + COUNTIF(E25:AH25, "✔") + COUNTIF(E25:AH25, "v") + COUNTIF(E25:AH25, "V")) &amp; "/" &amp; ((COUNTIF(E25:AH25, "✓") + COUNTIF(E25:AH25, "✔") + COUNTIF(E25:AH25, "v") + COUNTIF(E25:AH25, "V")) + COUNTIF(E25:AH25, "✗") + COUNTIF(E25:AH25, "x") + COUNTIF(E25:AH25, "X")), "")))</f>
        <v/>
      </c>
      <c r="AK25" s="110">
        <f>IF(ISBLANK(B25), "", IF(AI25&gt;=0.85, "🔥 Mastered", IF(AI25&gt;=0.7, "⚡ Consistent", "⚠️ Needs Focus")))</f>
        <v/>
      </c>
      <c r="AL25">
        <f>COUNTIF(E25:AH25, "✓")</f>
        <v/>
      </c>
    </row>
    <row r="26" ht="14.5" customHeight="1">
      <c r="A26" s="111" t="n">
        <v>9</v>
      </c>
      <c r="B26" s="112" t="n"/>
      <c r="C26" s="113" t="n"/>
      <c r="D26" s="113" t="n"/>
      <c r="E26" s="115" t="n"/>
      <c r="F26" s="114" t="n"/>
      <c r="G26" s="114" t="n"/>
      <c r="H26" s="114" t="n"/>
      <c r="I26" s="114" t="n"/>
      <c r="J26" s="114" t="n"/>
      <c r="K26" s="114" t="n"/>
      <c r="L26" s="115" t="n"/>
      <c r="M26" s="114" t="n"/>
      <c r="N26" s="114" t="n"/>
      <c r="O26" s="114" t="n"/>
      <c r="P26" s="114" t="n"/>
      <c r="Q26" s="114" t="n"/>
      <c r="R26" s="114" t="n"/>
      <c r="S26" s="115" t="n"/>
      <c r="T26" s="114" t="n"/>
      <c r="U26" s="114" t="n"/>
      <c r="V26" s="114" t="n"/>
      <c r="W26" s="114" t="n"/>
      <c r="X26" s="114" t="n"/>
      <c r="Y26" s="114" t="n"/>
      <c r="Z26" s="115" t="n"/>
      <c r="AA26" s="114" t="n"/>
      <c r="AB26" s="114" t="n"/>
      <c r="AC26" s="114" t="n"/>
      <c r="AD26" s="114" t="n"/>
      <c r="AE26" s="114" t="n"/>
      <c r="AF26" s="114" t="n"/>
      <c r="AG26" s="115" t="n"/>
      <c r="AH26" s="114" t="n"/>
      <c r="AI26" s="116">
        <f>IF(ISBLANK(B26), "", IF(ISNUMBER(D26), IF(D26&gt;0, (COUNTIF(E26:AH26, "✓") + COUNTIF(E26:AH26, "✔") + COUNTIF(E26:AH26, "v") + COUNTIF(E26:AH26, "V"))/D26, 0), IF(((COUNTIF(E26:AH26, "✓") + COUNTIF(E26:AH26, "✔") + COUNTIF(E26:AH26, "v") + COUNTIF(E26:AH26, "V")) + COUNTIF(E26:AH26, "✗") + COUNTIF(E26:AH26, "x") + COUNTIF(E26:AH26, "X"))&gt;0, (COUNTIF(E26:AH26, "✓") + COUNTIF(E26:AH26, "✔") + COUNTIF(E26:AH26, "v") + COUNTIF(E26:AH26, "V"))/((COUNTIF(E26:AH26, "✓") + COUNTIF(E26:AH26, "✔") + COUNTIF(E26:AH26, "v") + COUNTIF(E26:AH26, "V")) + COUNTIF(E26:AH26, "✗") + COUNTIF(E26:AH26, "x") + COUNTIF(E26:AH26, "X")), "")))</f>
        <v/>
      </c>
      <c r="AJ26" s="117">
        <f>IF(ISBLANK(B26), "", IF(ISNUMBER(D26), IF(D26&gt;0, (COUNTIF(E26:AH26, "✓") + COUNTIF(E26:AH26, "✔") + COUNTIF(E26:AH26, "v") + COUNTIF(E26:AH26, "V")) &amp; "/" &amp; D26, (COUNTIF(E26:AH26, "✓") + COUNTIF(E26:AH26, "✔") + COUNTIF(E26:AH26, "v") + COUNTIF(E26:AH26, "V")) &amp; "/0"), IF(((COUNTIF(E26:AH26, "✓") + COUNTIF(E26:AH26, "✔") + COUNTIF(E26:AH26, "v") + COUNTIF(E26:AH26, "V")) + COUNTIF(E26:AH26, "✗") + COUNTIF(E26:AH26, "x") + COUNTIF(E26:AH26, "X"))&gt;0, (COUNTIF(E26:AH26, "✓") + COUNTIF(E26:AH26, "✔") + COUNTIF(E26:AH26, "v") + COUNTIF(E26:AH26, "V")) &amp; "/" &amp; ((COUNTIF(E26:AH26, "✓") + COUNTIF(E26:AH26, "✔") + COUNTIF(E26:AH26, "v") + COUNTIF(E26:AH26, "V")) + COUNTIF(E26:AH26, "✗") + COUNTIF(E26:AH26, "x") + COUNTIF(E26:AH26, "X")), "")))</f>
        <v/>
      </c>
      <c r="AK26" s="117">
        <f>IF(ISBLANK(B26), "", IF(AI26&gt;=0.85, "🔥 Mastered", IF(AI26&gt;=0.7, "⚡ Consistent", "⚠️ Needs Focus")))</f>
        <v/>
      </c>
      <c r="AL26">
        <f>COUNTIF(E26:AH26, "✓")</f>
        <v/>
      </c>
    </row>
    <row r="27" ht="14.5" customHeight="1">
      <c r="A27" s="111" t="n">
        <v>10</v>
      </c>
      <c r="B27" s="112" t="n"/>
      <c r="C27" s="113" t="n"/>
      <c r="D27" s="113" t="n"/>
      <c r="E27" s="115" t="n"/>
      <c r="F27" s="114" t="n"/>
      <c r="G27" s="114" t="n"/>
      <c r="H27" s="114" t="n"/>
      <c r="I27" s="114" t="n"/>
      <c r="J27" s="114" t="n"/>
      <c r="K27" s="114" t="n"/>
      <c r="L27" s="115" t="n"/>
      <c r="M27" s="114" t="n"/>
      <c r="N27" s="114" t="n"/>
      <c r="O27" s="114" t="n"/>
      <c r="P27" s="114" t="n"/>
      <c r="Q27" s="114" t="n"/>
      <c r="R27" s="114" t="n"/>
      <c r="S27" s="115" t="n"/>
      <c r="T27" s="114" t="n"/>
      <c r="U27" s="114" t="n"/>
      <c r="V27" s="114" t="n"/>
      <c r="W27" s="114" t="n"/>
      <c r="X27" s="114" t="n"/>
      <c r="Y27" s="114" t="n"/>
      <c r="Z27" s="115" t="n"/>
      <c r="AA27" s="114" t="n"/>
      <c r="AB27" s="114" t="n"/>
      <c r="AC27" s="114" t="n"/>
      <c r="AD27" s="114" t="n"/>
      <c r="AE27" s="114" t="n"/>
      <c r="AF27" s="114" t="n"/>
      <c r="AG27" s="115" t="n"/>
      <c r="AH27" s="114" t="n"/>
      <c r="AI27" s="116">
        <f>IF(ISBLANK(B27), "", IF(ISNUMBER(D27), IF(D27&gt;0, (COUNTIF(E27:AH27, "✓") + COUNTIF(E27:AH27, "✔") + COUNTIF(E27:AH27, "v") + COUNTIF(E27:AH27, "V"))/D27, 0), IF(((COUNTIF(E27:AH27, "✓") + COUNTIF(E27:AH27, "✔") + COUNTIF(E27:AH27, "v") + COUNTIF(E27:AH27, "V")) + COUNTIF(E27:AH27, "✗") + COUNTIF(E27:AH27, "x") + COUNTIF(E27:AH27, "X"))&gt;0, (COUNTIF(E27:AH27, "✓") + COUNTIF(E27:AH27, "✔") + COUNTIF(E27:AH27, "v") + COUNTIF(E27:AH27, "V"))/((COUNTIF(E27:AH27, "✓") + COUNTIF(E27:AH27, "✔") + COUNTIF(E27:AH27, "v") + COUNTIF(E27:AH27, "V")) + COUNTIF(E27:AH27, "✗") + COUNTIF(E27:AH27, "x") + COUNTIF(E27:AH27, "X")), "")))</f>
        <v/>
      </c>
      <c r="AJ27" s="117">
        <f>IF(ISBLANK(B27), "", IF(ISNUMBER(D27), IF(D27&gt;0, (COUNTIF(E27:AH27, "✓") + COUNTIF(E27:AH27, "✔") + COUNTIF(E27:AH27, "v") + COUNTIF(E27:AH27, "V")) &amp; "/" &amp; D27, (COUNTIF(E27:AH27, "✓") + COUNTIF(E27:AH27, "✔") + COUNTIF(E27:AH27, "v") + COUNTIF(E27:AH27, "V")) &amp; "/0"), IF(((COUNTIF(E27:AH27, "✓") + COUNTIF(E27:AH27, "✔") + COUNTIF(E27:AH27, "v") + COUNTIF(E27:AH27, "V")) + COUNTIF(E27:AH27, "✗") + COUNTIF(E27:AH27, "x") + COUNTIF(E27:AH27, "X"))&gt;0, (COUNTIF(E27:AH27, "✓") + COUNTIF(E27:AH27, "✔") + COUNTIF(E27:AH27, "v") + COUNTIF(E27:AH27, "V")) &amp; "/" &amp; ((COUNTIF(E27:AH27, "✓") + COUNTIF(E27:AH27, "✔") + COUNTIF(E27:AH27, "v") + COUNTIF(E27:AH27, "V")) + COUNTIF(E27:AH27, "✗") + COUNTIF(E27:AH27, "x") + COUNTIF(E27:AH27, "X")), "")))</f>
        <v/>
      </c>
      <c r="AK27" s="117">
        <f>IF(ISBLANK(B27), "", IF(AI27&gt;=0.85, "🔥 Mastered", IF(AI27&gt;=0.7, "⚡ Consistent", "⚠️ Needs Focus")))</f>
        <v/>
      </c>
      <c r="AL27">
        <f>COUNTIF(E27:AH27, "✓")</f>
        <v/>
      </c>
    </row>
    <row r="28" ht="14.5" customHeight="1">
      <c r="A28" s="111" t="n">
        <v>11</v>
      </c>
      <c r="B28" s="112" t="n"/>
      <c r="C28" s="113" t="n"/>
      <c r="D28" s="113" t="n"/>
      <c r="E28" s="115" t="n"/>
      <c r="F28" s="114" t="n"/>
      <c r="G28" s="114" t="n"/>
      <c r="H28" s="114" t="n"/>
      <c r="I28" s="114" t="n"/>
      <c r="J28" s="114" t="n"/>
      <c r="K28" s="114" t="n"/>
      <c r="L28" s="115" t="n"/>
      <c r="M28" s="114" t="n"/>
      <c r="N28" s="114" t="n"/>
      <c r="O28" s="114" t="n"/>
      <c r="P28" s="114" t="n"/>
      <c r="Q28" s="114" t="n"/>
      <c r="R28" s="114" t="n"/>
      <c r="S28" s="115" t="n"/>
      <c r="T28" s="114" t="n"/>
      <c r="U28" s="114" t="n"/>
      <c r="V28" s="114" t="n"/>
      <c r="W28" s="114" t="n"/>
      <c r="X28" s="114" t="n"/>
      <c r="Y28" s="114" t="n"/>
      <c r="Z28" s="115" t="n"/>
      <c r="AA28" s="114" t="n"/>
      <c r="AB28" s="114" t="n"/>
      <c r="AC28" s="114" t="n"/>
      <c r="AD28" s="114" t="n"/>
      <c r="AE28" s="114" t="n"/>
      <c r="AF28" s="114" t="n"/>
      <c r="AG28" s="115" t="n"/>
      <c r="AH28" s="114" t="n"/>
      <c r="AI28" s="116">
        <f>IF(ISBLANK(B28), "", IF(ISNUMBER(D28), IF(D28&gt;0, (COUNTIF(E28:AH28, "✓") + COUNTIF(E28:AH28, "✔") + COUNTIF(E28:AH28, "v") + COUNTIF(E28:AH28, "V"))/D28, 0), IF(((COUNTIF(E28:AH28, "✓") + COUNTIF(E28:AH28, "✔") + COUNTIF(E28:AH28, "v") + COUNTIF(E28:AH28, "V")) + COUNTIF(E28:AH28, "✗") + COUNTIF(E28:AH28, "x") + COUNTIF(E28:AH28, "X"))&gt;0, (COUNTIF(E28:AH28, "✓") + COUNTIF(E28:AH28, "✔") + COUNTIF(E28:AH28, "v") + COUNTIF(E28:AH28, "V"))/((COUNTIF(E28:AH28, "✓") + COUNTIF(E28:AH28, "✔") + COUNTIF(E28:AH28, "v") + COUNTIF(E28:AH28, "V")) + COUNTIF(E28:AH28, "✗") + COUNTIF(E28:AH28, "x") + COUNTIF(E28:AH28, "X")), "")))</f>
        <v/>
      </c>
      <c r="AJ28" s="117">
        <f>IF(ISBLANK(B28), "", IF(ISNUMBER(D28), IF(D28&gt;0, (COUNTIF(E28:AH28, "✓") + COUNTIF(E28:AH28, "✔") + COUNTIF(E28:AH28, "v") + COUNTIF(E28:AH28, "V")) &amp; "/" &amp; D28, (COUNTIF(E28:AH28, "✓") + COUNTIF(E28:AH28, "✔") + COUNTIF(E28:AH28, "v") + COUNTIF(E28:AH28, "V")) &amp; "/0"), IF(((COUNTIF(E28:AH28, "✓") + COUNTIF(E28:AH28, "✔") + COUNTIF(E28:AH28, "v") + COUNTIF(E28:AH28, "V")) + COUNTIF(E28:AH28, "✗") + COUNTIF(E28:AH28, "x") + COUNTIF(E28:AH28, "X"))&gt;0, (COUNTIF(E28:AH28, "✓") + COUNTIF(E28:AH28, "✔") + COUNTIF(E28:AH28, "v") + COUNTIF(E28:AH28, "V")) &amp; "/" &amp; ((COUNTIF(E28:AH28, "✓") + COUNTIF(E28:AH28, "✔") + COUNTIF(E28:AH28, "v") + COUNTIF(E28:AH28, "V")) + COUNTIF(E28:AH28, "✗") + COUNTIF(E28:AH28, "x") + COUNTIF(E28:AH28, "X")), "")))</f>
        <v/>
      </c>
      <c r="AK28" s="117">
        <f>IF(ISBLANK(B28), "", IF(AI28&gt;=0.85, "🔥 Mastered", IF(AI28&gt;=0.7, "⚡ Consistent", "⚠️ Needs Focus")))</f>
        <v/>
      </c>
      <c r="AL28">
        <f>COUNTIF(E28:AH28, "✓")</f>
        <v/>
      </c>
    </row>
    <row r="29" ht="14.5" customHeight="1">
      <c r="A29" s="111" t="n">
        <v>12</v>
      </c>
      <c r="B29" s="112" t="n"/>
      <c r="C29" s="113" t="n"/>
      <c r="D29" s="113" t="n"/>
      <c r="E29" s="115" t="n"/>
      <c r="F29" s="114" t="n"/>
      <c r="G29" s="114" t="n"/>
      <c r="H29" s="114" t="n"/>
      <c r="I29" s="114" t="n"/>
      <c r="J29" s="114" t="n"/>
      <c r="K29" s="114" t="n"/>
      <c r="L29" s="115" t="n"/>
      <c r="M29" s="114" t="n"/>
      <c r="N29" s="114" t="n"/>
      <c r="O29" s="114" t="n"/>
      <c r="P29" s="114" t="n"/>
      <c r="Q29" s="114" t="n"/>
      <c r="R29" s="114" t="n"/>
      <c r="S29" s="115" t="n"/>
      <c r="T29" s="114" t="n"/>
      <c r="U29" s="114" t="n"/>
      <c r="V29" s="114" t="n"/>
      <c r="W29" s="114" t="n"/>
      <c r="X29" s="114" t="n"/>
      <c r="Y29" s="114" t="n"/>
      <c r="Z29" s="115" t="n"/>
      <c r="AA29" s="114" t="n"/>
      <c r="AB29" s="114" t="n"/>
      <c r="AC29" s="114" t="n"/>
      <c r="AD29" s="114" t="n"/>
      <c r="AE29" s="114" t="n"/>
      <c r="AF29" s="114" t="n"/>
      <c r="AG29" s="115" t="n"/>
      <c r="AH29" s="114" t="n"/>
      <c r="AI29" s="116">
        <f>IF(ISBLANK(B29), "", IF(ISNUMBER(D29), IF(D29&gt;0, (COUNTIF(E29:AH29, "✓") + COUNTIF(E29:AH29, "✔") + COUNTIF(E29:AH29, "v") + COUNTIF(E29:AH29, "V"))/D29, 0), IF(((COUNTIF(E29:AH29, "✓") + COUNTIF(E29:AH29, "✔") + COUNTIF(E29:AH29, "v") + COUNTIF(E29:AH29, "V")) + COUNTIF(E29:AH29, "✗") + COUNTIF(E29:AH29, "x") + COUNTIF(E29:AH29, "X"))&gt;0, (COUNTIF(E29:AH29, "✓") + COUNTIF(E29:AH29, "✔") + COUNTIF(E29:AH29, "v") + COUNTIF(E29:AH29, "V"))/((COUNTIF(E29:AH29, "✓") + COUNTIF(E29:AH29, "✔") + COUNTIF(E29:AH29, "v") + COUNTIF(E29:AH29, "V")) + COUNTIF(E29:AH29, "✗") + COUNTIF(E29:AH29, "x") + COUNTIF(E29:AH29, "X")), "")))</f>
        <v/>
      </c>
      <c r="AJ29" s="117">
        <f>IF(ISBLANK(B29), "", IF(ISNUMBER(D29), IF(D29&gt;0, (COUNTIF(E29:AH29, "✓") + COUNTIF(E29:AH29, "✔") + COUNTIF(E29:AH29, "v") + COUNTIF(E29:AH29, "V")) &amp; "/" &amp; D29, (COUNTIF(E29:AH29, "✓") + COUNTIF(E29:AH29, "✔") + COUNTIF(E29:AH29, "v") + COUNTIF(E29:AH29, "V")) &amp; "/0"), IF(((COUNTIF(E29:AH29, "✓") + COUNTIF(E29:AH29, "✔") + COUNTIF(E29:AH29, "v") + COUNTIF(E29:AH29, "V")) + COUNTIF(E29:AH29, "✗") + COUNTIF(E29:AH29, "x") + COUNTIF(E29:AH29, "X"))&gt;0, (COUNTIF(E29:AH29, "✓") + COUNTIF(E29:AH29, "✔") + COUNTIF(E29:AH29, "v") + COUNTIF(E29:AH29, "V")) &amp; "/" &amp; ((COUNTIF(E29:AH29, "✓") + COUNTIF(E29:AH29, "✔") + COUNTIF(E29:AH29, "v") + COUNTIF(E29:AH29, "V")) + COUNTIF(E29:AH29, "✗") + COUNTIF(E29:AH29, "x") + COUNTIF(E29:AH29, "X")), "")))</f>
        <v/>
      </c>
      <c r="AK29" s="117">
        <f>IF(ISBLANK(B29), "", IF(AI29&gt;=0.85, "🔥 Mastered", IF(AI29&gt;=0.7, "⚡ Consistent", "⚠️ Needs Focus")))</f>
        <v/>
      </c>
      <c r="AL29">
        <f>COUNTIF(E29:AH29, "✓")</f>
        <v/>
      </c>
    </row>
    <row r="30" ht="14.5" customHeight="1">
      <c r="A30" s="118" t="n">
        <v>13</v>
      </c>
      <c r="B30" s="119" t="n"/>
      <c r="C30" s="120" t="n"/>
      <c r="D30" s="120" t="n"/>
      <c r="E30" s="122" t="n"/>
      <c r="F30" s="121" t="n"/>
      <c r="G30" s="121" t="n"/>
      <c r="H30" s="121" t="n"/>
      <c r="I30" s="121" t="n"/>
      <c r="J30" s="121" t="n"/>
      <c r="K30" s="121" t="n"/>
      <c r="L30" s="122" t="n"/>
      <c r="M30" s="121" t="n"/>
      <c r="N30" s="121" t="n"/>
      <c r="O30" s="121" t="n"/>
      <c r="P30" s="121" t="n"/>
      <c r="Q30" s="121" t="n"/>
      <c r="R30" s="121" t="n"/>
      <c r="S30" s="122" t="n"/>
      <c r="T30" s="121" t="n"/>
      <c r="U30" s="121" t="n"/>
      <c r="V30" s="121" t="n"/>
      <c r="W30" s="121" t="n"/>
      <c r="X30" s="121" t="n"/>
      <c r="Y30" s="121" t="n"/>
      <c r="Z30" s="122" t="n"/>
      <c r="AA30" s="121" t="n"/>
      <c r="AB30" s="121" t="n"/>
      <c r="AC30" s="121" t="n"/>
      <c r="AD30" s="121" t="n"/>
      <c r="AE30" s="121" t="n"/>
      <c r="AF30" s="121" t="n"/>
      <c r="AG30" s="122" t="n"/>
      <c r="AH30" s="121" t="n"/>
      <c r="AI30" s="123">
        <f>IF(ISBLANK(B30), "", IF(ISNUMBER(D30), IF(D30&gt;0, (COUNTIF(E30:AH30, "✓") + COUNTIF(E30:AH30, "✔") + COUNTIF(E30:AH30, "v") + COUNTIF(E30:AH30, "V"))/D30, 0), IF(((COUNTIF(E30:AH30, "✓") + COUNTIF(E30:AH30, "✔") + COUNTIF(E30:AH30, "v") + COUNTIF(E30:AH30, "V")) + COUNTIF(E30:AH30, "✗") + COUNTIF(E30:AH30, "x") + COUNTIF(E30:AH30, "X"))&gt;0, (COUNTIF(E30:AH30, "✓") + COUNTIF(E30:AH30, "✔") + COUNTIF(E30:AH30, "v") + COUNTIF(E30:AH30, "V"))/((COUNTIF(E30:AH30, "✓") + COUNTIF(E30:AH30, "✔") + COUNTIF(E30:AH30, "v") + COUNTIF(E30:AH30, "V")) + COUNTIF(E30:AH30, "✗") + COUNTIF(E30:AH30, "x") + COUNTIF(E30:AH30, "X")), "")))</f>
        <v/>
      </c>
      <c r="AJ30" s="124">
        <f>IF(ISBLANK(B30), "", IF(ISNUMBER(D30), IF(D30&gt;0, (COUNTIF(E30:AH30, "✓") + COUNTIF(E30:AH30, "✔") + COUNTIF(E30:AH30, "v") + COUNTIF(E30:AH30, "V")) &amp; "/" &amp; D30, (COUNTIF(E30:AH30, "✓") + COUNTIF(E30:AH30, "✔") + COUNTIF(E30:AH30, "v") + COUNTIF(E30:AH30, "V")) &amp; "/0"), IF(((COUNTIF(E30:AH30, "✓") + COUNTIF(E30:AH30, "✔") + COUNTIF(E30:AH30, "v") + COUNTIF(E30:AH30, "V")) + COUNTIF(E30:AH30, "✗") + COUNTIF(E30:AH30, "x") + COUNTIF(E30:AH30, "X"))&gt;0, (COUNTIF(E30:AH30, "✓") + COUNTIF(E30:AH30, "✔") + COUNTIF(E30:AH30, "v") + COUNTIF(E30:AH30, "V")) &amp; "/" &amp; ((COUNTIF(E30:AH30, "✓") + COUNTIF(E30:AH30, "✔") + COUNTIF(E30:AH30, "v") + COUNTIF(E30:AH30, "V")) + COUNTIF(E30:AH30, "✗") + COUNTIF(E30:AH30, "x") + COUNTIF(E30:AH30, "X")), "")))</f>
        <v/>
      </c>
      <c r="AK30" s="124">
        <f>IF(ISBLANK(B30), "", IF(AI30&gt;=0.85, "🔥 Mastered", IF(AI30&gt;=0.7, "⚡ Consistent", "⚠️ Needs Focus")))</f>
        <v/>
      </c>
      <c r="AL30">
        <f>COUNTIF(E30:AH30, "✓")</f>
        <v/>
      </c>
    </row>
    <row r="31" ht="14.5" customHeight="1">
      <c r="A31" s="118" t="n">
        <v>14</v>
      </c>
      <c r="B31" s="119" t="n"/>
      <c r="C31" s="120" t="n"/>
      <c r="D31" s="120" t="n"/>
      <c r="E31" s="122" t="n"/>
      <c r="F31" s="121" t="n"/>
      <c r="G31" s="121" t="n"/>
      <c r="H31" s="121" t="n"/>
      <c r="I31" s="121" t="n"/>
      <c r="J31" s="121" t="n"/>
      <c r="K31" s="121" t="n"/>
      <c r="L31" s="122" t="n"/>
      <c r="M31" s="121" t="n"/>
      <c r="N31" s="121" t="n"/>
      <c r="O31" s="121" t="n"/>
      <c r="P31" s="121" t="n"/>
      <c r="Q31" s="121" t="n"/>
      <c r="R31" s="121" t="n"/>
      <c r="S31" s="122" t="n"/>
      <c r="T31" s="121" t="n"/>
      <c r="U31" s="121" t="n"/>
      <c r="V31" s="121" t="n"/>
      <c r="W31" s="121" t="n"/>
      <c r="X31" s="121" t="n"/>
      <c r="Y31" s="121" t="n"/>
      <c r="Z31" s="122" t="n"/>
      <c r="AA31" s="121" t="n"/>
      <c r="AB31" s="121" t="n"/>
      <c r="AC31" s="121" t="n"/>
      <c r="AD31" s="121" t="n"/>
      <c r="AE31" s="121" t="n"/>
      <c r="AF31" s="121" t="n"/>
      <c r="AG31" s="122" t="n"/>
      <c r="AH31" s="121" t="n"/>
      <c r="AI31" s="123">
        <f>IF(ISBLANK(B31), "", IF(ISNUMBER(D31), IF(D31&gt;0, (COUNTIF(E31:AH31, "✓") + COUNTIF(E31:AH31, "✔") + COUNTIF(E31:AH31, "v") + COUNTIF(E31:AH31, "V"))/D31, 0), IF(((COUNTIF(E31:AH31, "✓") + COUNTIF(E31:AH31, "✔") + COUNTIF(E31:AH31, "v") + COUNTIF(E31:AH31, "V")) + COUNTIF(E31:AH31, "✗") + COUNTIF(E31:AH31, "x") + COUNTIF(E31:AH31, "X"))&gt;0, (COUNTIF(E31:AH31, "✓") + COUNTIF(E31:AH31, "✔") + COUNTIF(E31:AH31, "v") + COUNTIF(E31:AH31, "V"))/((COUNTIF(E31:AH31, "✓") + COUNTIF(E31:AH31, "✔") + COUNTIF(E31:AH31, "v") + COUNTIF(E31:AH31, "V")) + COUNTIF(E31:AH31, "✗") + COUNTIF(E31:AH31, "x") + COUNTIF(E31:AH31, "X")), "")))</f>
        <v/>
      </c>
      <c r="AJ31" s="124">
        <f>IF(ISBLANK(B31), "", IF(ISNUMBER(D31), IF(D31&gt;0, (COUNTIF(E31:AH31, "✓") + COUNTIF(E31:AH31, "✔") + COUNTIF(E31:AH31, "v") + COUNTIF(E31:AH31, "V")) &amp; "/" &amp; D31, (COUNTIF(E31:AH31, "✓") + COUNTIF(E31:AH31, "✔") + COUNTIF(E31:AH31, "v") + COUNTIF(E31:AH31, "V")) &amp; "/0"), IF(((COUNTIF(E31:AH31, "✓") + COUNTIF(E31:AH31, "✔") + COUNTIF(E31:AH31, "v") + COUNTIF(E31:AH31, "V")) + COUNTIF(E31:AH31, "✗") + COUNTIF(E31:AH31, "x") + COUNTIF(E31:AH31, "X"))&gt;0, (COUNTIF(E31:AH31, "✓") + COUNTIF(E31:AH31, "✔") + COUNTIF(E31:AH31, "v") + COUNTIF(E31:AH31, "V")) &amp; "/" &amp; ((COUNTIF(E31:AH31, "✓") + COUNTIF(E31:AH31, "✔") + COUNTIF(E31:AH31, "v") + COUNTIF(E31:AH31, "V")) + COUNTIF(E31:AH31, "✗") + COUNTIF(E31:AH31, "x") + COUNTIF(E31:AH31, "X")), "")))</f>
        <v/>
      </c>
      <c r="AK31" s="124">
        <f>IF(ISBLANK(B31), "", IF(AI31&gt;=0.85, "🔥 Mastered", IF(AI31&gt;=0.7, "⚡ Consistent", "⚠️ Needs Focus")))</f>
        <v/>
      </c>
      <c r="AL31">
        <f>COUNTIF(E31:AH31, "✓")</f>
        <v/>
      </c>
    </row>
    <row r="32" ht="14.5" customHeight="1">
      <c r="A32" s="118" t="n">
        <v>15</v>
      </c>
      <c r="B32" s="119" t="n"/>
      <c r="C32" s="120" t="n"/>
      <c r="D32" s="120" t="n"/>
      <c r="E32" s="122" t="n"/>
      <c r="F32" s="121" t="n"/>
      <c r="G32" s="121" t="n"/>
      <c r="H32" s="121" t="n"/>
      <c r="I32" s="121" t="n"/>
      <c r="J32" s="121" t="n"/>
      <c r="K32" s="121" t="n"/>
      <c r="L32" s="122" t="n"/>
      <c r="M32" s="121" t="n"/>
      <c r="N32" s="121" t="n"/>
      <c r="O32" s="121" t="n"/>
      <c r="P32" s="121" t="n"/>
      <c r="Q32" s="121" t="n"/>
      <c r="R32" s="121" t="n"/>
      <c r="S32" s="122" t="n"/>
      <c r="T32" s="121" t="n"/>
      <c r="U32" s="121" t="n"/>
      <c r="V32" s="121" t="n"/>
      <c r="W32" s="121" t="n"/>
      <c r="X32" s="121" t="n"/>
      <c r="Y32" s="121" t="n"/>
      <c r="Z32" s="122" t="n"/>
      <c r="AA32" s="121" t="n"/>
      <c r="AB32" s="121" t="n"/>
      <c r="AC32" s="121" t="n"/>
      <c r="AD32" s="121" t="n"/>
      <c r="AE32" s="121" t="n"/>
      <c r="AF32" s="121" t="n"/>
      <c r="AG32" s="122" t="n"/>
      <c r="AH32" s="121" t="n"/>
      <c r="AI32" s="123">
        <f>IF(ISBLANK(B32), "", IF(ISNUMBER(D32), IF(D32&gt;0, (COUNTIF(E32:AH32, "✓") + COUNTIF(E32:AH32, "✔") + COUNTIF(E32:AH32, "v") + COUNTIF(E32:AH32, "V"))/D32, 0), IF(((COUNTIF(E32:AH32, "✓") + COUNTIF(E32:AH32, "✔") + COUNTIF(E32:AH32, "v") + COUNTIF(E32:AH32, "V")) + COUNTIF(E32:AH32, "✗") + COUNTIF(E32:AH32, "x") + COUNTIF(E32:AH32, "X"))&gt;0, (COUNTIF(E32:AH32, "✓") + COUNTIF(E32:AH32, "✔") + COUNTIF(E32:AH32, "v") + COUNTIF(E32:AH32, "V"))/((COUNTIF(E32:AH32, "✓") + COUNTIF(E32:AH32, "✔") + COUNTIF(E32:AH32, "v") + COUNTIF(E32:AH32, "V")) + COUNTIF(E32:AH32, "✗") + COUNTIF(E32:AH32, "x") + COUNTIF(E32:AH32, "X")), "")))</f>
        <v/>
      </c>
      <c r="AJ32" s="124">
        <f>IF(ISBLANK(B32), "", IF(ISNUMBER(D32), IF(D32&gt;0, (COUNTIF(E32:AH32, "✓") + COUNTIF(E32:AH32, "✔") + COUNTIF(E32:AH32, "v") + COUNTIF(E32:AH32, "V")) &amp; "/" &amp; D32, (COUNTIF(E32:AH32, "✓") + COUNTIF(E32:AH32, "✔") + COUNTIF(E32:AH32, "v") + COUNTIF(E32:AH32, "V")) &amp; "/0"), IF(((COUNTIF(E32:AH32, "✓") + COUNTIF(E32:AH32, "✔") + COUNTIF(E32:AH32, "v") + COUNTIF(E32:AH32, "V")) + COUNTIF(E32:AH32, "✗") + COUNTIF(E32:AH32, "x") + COUNTIF(E32:AH32, "X"))&gt;0, (COUNTIF(E32:AH32, "✓") + COUNTIF(E32:AH32, "✔") + COUNTIF(E32:AH32, "v") + COUNTIF(E32:AH32, "V")) &amp; "/" &amp; ((COUNTIF(E32:AH32, "✓") + COUNTIF(E32:AH32, "✔") + COUNTIF(E32:AH32, "v") + COUNTIF(E32:AH32, "V")) + COUNTIF(E32:AH32, "✗") + COUNTIF(E32:AH32, "x") + COUNTIF(E32:AH32, "X")), "")))</f>
        <v/>
      </c>
      <c r="AK32" s="124">
        <f>IF(ISBLANK(B32), "", IF(AI32&gt;=0.85, "🔥 Mastered", IF(AI32&gt;=0.7, "⚡ Consistent", "⚠️ Needs Focus")))</f>
        <v/>
      </c>
      <c r="AL32">
        <f>COUNTIF(E32:AH32, "✓")</f>
        <v/>
      </c>
    </row>
    <row r="33" ht="14.5" customHeight="1">
      <c r="A33" s="118" t="n">
        <v>16</v>
      </c>
      <c r="B33" s="119" t="n"/>
      <c r="C33" s="120" t="n"/>
      <c r="D33" s="120" t="n"/>
      <c r="E33" s="122" t="n"/>
      <c r="F33" s="121" t="n"/>
      <c r="G33" s="121" t="n"/>
      <c r="H33" s="121" t="n"/>
      <c r="I33" s="121" t="n"/>
      <c r="J33" s="121" t="n"/>
      <c r="K33" s="121" t="n"/>
      <c r="L33" s="122" t="n"/>
      <c r="M33" s="121" t="n"/>
      <c r="N33" s="121" t="n"/>
      <c r="O33" s="121" t="n"/>
      <c r="P33" s="121" t="n"/>
      <c r="Q33" s="121" t="n"/>
      <c r="R33" s="121" t="n"/>
      <c r="S33" s="122" t="n"/>
      <c r="T33" s="121" t="n"/>
      <c r="U33" s="121" t="n"/>
      <c r="V33" s="121" t="n"/>
      <c r="W33" s="121" t="n"/>
      <c r="X33" s="121" t="n"/>
      <c r="Y33" s="121" t="n"/>
      <c r="Z33" s="122" t="n"/>
      <c r="AA33" s="121" t="n"/>
      <c r="AB33" s="121" t="n"/>
      <c r="AC33" s="121" t="n"/>
      <c r="AD33" s="121" t="n"/>
      <c r="AE33" s="121" t="n"/>
      <c r="AF33" s="121" t="n"/>
      <c r="AG33" s="122" t="n"/>
      <c r="AH33" s="121" t="n"/>
      <c r="AI33" s="123">
        <f>IF(ISBLANK(B33), "", IF(ISNUMBER(D33), IF(D33&gt;0, (COUNTIF(E33:AH33, "✓") + COUNTIF(E33:AH33, "✔") + COUNTIF(E33:AH33, "v") + COUNTIF(E33:AH33, "V"))/D33, 0), IF(((COUNTIF(E33:AH33, "✓") + COUNTIF(E33:AH33, "✔") + COUNTIF(E33:AH33, "v") + COUNTIF(E33:AH33, "V")) + COUNTIF(E33:AH33, "✗") + COUNTIF(E33:AH33, "x") + COUNTIF(E33:AH33, "X"))&gt;0, (COUNTIF(E33:AH33, "✓") + COUNTIF(E33:AH33, "✔") + COUNTIF(E33:AH33, "v") + COUNTIF(E33:AH33, "V"))/((COUNTIF(E33:AH33, "✓") + COUNTIF(E33:AH33, "✔") + COUNTIF(E33:AH33, "v") + COUNTIF(E33:AH33, "V")) + COUNTIF(E33:AH33, "✗") + COUNTIF(E33:AH33, "x") + COUNTIF(E33:AH33, "X")), "")))</f>
        <v/>
      </c>
      <c r="AJ33" s="124">
        <f>IF(ISBLANK(B33), "", IF(ISNUMBER(D33), IF(D33&gt;0, (COUNTIF(E33:AH33, "✓") + COUNTIF(E33:AH33, "✔") + COUNTIF(E33:AH33, "v") + COUNTIF(E33:AH33, "V")) &amp; "/" &amp; D33, (COUNTIF(E33:AH33, "✓") + COUNTIF(E33:AH33, "✔") + COUNTIF(E33:AH33, "v") + COUNTIF(E33:AH33, "V")) &amp; "/0"), IF(((COUNTIF(E33:AH33, "✓") + COUNTIF(E33:AH33, "✔") + COUNTIF(E33:AH33, "v") + COUNTIF(E33:AH33, "V")) + COUNTIF(E33:AH33, "✗") + COUNTIF(E33:AH33, "x") + COUNTIF(E33:AH33, "X"))&gt;0, (COUNTIF(E33:AH33, "✓") + COUNTIF(E33:AH33, "✔") + COUNTIF(E33:AH33, "v") + COUNTIF(E33:AH33, "V")) &amp; "/" &amp; ((COUNTIF(E33:AH33, "✓") + COUNTIF(E33:AH33, "✔") + COUNTIF(E33:AH33, "v") + COUNTIF(E33:AH33, "V")) + COUNTIF(E33:AH33, "✗") + COUNTIF(E33:AH33, "x") + COUNTIF(E33:AH33, "X")), "")))</f>
        <v/>
      </c>
      <c r="AK33" s="124">
        <f>IF(ISBLANK(B33), "", IF(AI33&gt;=0.85, "🔥 Mastered", IF(AI33&gt;=0.7, "⚡ Consistent", "⚠️ Needs Focus")))</f>
        <v/>
      </c>
      <c r="AL33">
        <f>COUNTIF(E33:AH33, "✓")</f>
        <v/>
      </c>
    </row>
    <row r="34" ht="14.5" customHeight="1">
      <c r="A34" s="125" t="n">
        <v>17</v>
      </c>
      <c r="B34" s="126" t="n"/>
      <c r="C34" s="127" t="n"/>
      <c r="D34" s="127" t="n"/>
      <c r="E34" s="129" t="n"/>
      <c r="F34" s="128" t="n"/>
      <c r="G34" s="128" t="n"/>
      <c r="H34" s="128" t="n"/>
      <c r="I34" s="128" t="n"/>
      <c r="J34" s="128" t="n"/>
      <c r="K34" s="128" t="n"/>
      <c r="L34" s="129" t="n"/>
      <c r="M34" s="128" t="n"/>
      <c r="N34" s="128" t="n"/>
      <c r="O34" s="128" t="n"/>
      <c r="P34" s="128" t="n"/>
      <c r="Q34" s="128" t="n"/>
      <c r="R34" s="128" t="n"/>
      <c r="S34" s="129" t="n"/>
      <c r="T34" s="128" t="n"/>
      <c r="U34" s="128" t="n"/>
      <c r="V34" s="128" t="n"/>
      <c r="W34" s="128" t="n"/>
      <c r="X34" s="128" t="n"/>
      <c r="Y34" s="128" t="n"/>
      <c r="Z34" s="129" t="n"/>
      <c r="AA34" s="128" t="n"/>
      <c r="AB34" s="128" t="n"/>
      <c r="AC34" s="128" t="n"/>
      <c r="AD34" s="128" t="n"/>
      <c r="AE34" s="128" t="n"/>
      <c r="AF34" s="128" t="n"/>
      <c r="AG34" s="129" t="n"/>
      <c r="AH34" s="128" t="n"/>
      <c r="AI34" s="130">
        <f>IF(ISBLANK(B34), "", IF(ISNUMBER(D34), IF(D34&gt;0, (COUNTIF(E34:AH34, "✓") + COUNTIF(E34:AH34, "✔") + COUNTIF(E34:AH34, "v") + COUNTIF(E34:AH34, "V"))/D34, 0), IF(((COUNTIF(E34:AH34, "✓") + COUNTIF(E34:AH34, "✔") + COUNTIF(E34:AH34, "v") + COUNTIF(E34:AH34, "V")) + COUNTIF(E34:AH34, "✗") + COUNTIF(E34:AH34, "x") + COUNTIF(E34:AH34, "X"))&gt;0, (COUNTIF(E34:AH34, "✓") + COUNTIF(E34:AH34, "✔") + COUNTIF(E34:AH34, "v") + COUNTIF(E34:AH34, "V"))/((COUNTIF(E34:AH34, "✓") + COUNTIF(E34:AH34, "✔") + COUNTIF(E34:AH34, "v") + COUNTIF(E34:AH34, "V")) + COUNTIF(E34:AH34, "✗") + COUNTIF(E34:AH34, "x") + COUNTIF(E34:AH34, "X")), "")))</f>
        <v/>
      </c>
      <c r="AJ34" s="131">
        <f>IF(ISBLANK(B34), "", IF(ISNUMBER(D34), IF(D34&gt;0, (COUNTIF(E34:AH34, "✓") + COUNTIF(E34:AH34, "✔") + COUNTIF(E34:AH34, "v") + COUNTIF(E34:AH34, "V")) &amp; "/" &amp; D34, (COUNTIF(E34:AH34, "✓") + COUNTIF(E34:AH34, "✔") + COUNTIF(E34:AH34, "v") + COUNTIF(E34:AH34, "V")) &amp; "/0"), IF(((COUNTIF(E34:AH34, "✓") + COUNTIF(E34:AH34, "✔") + COUNTIF(E34:AH34, "v") + COUNTIF(E34:AH34, "V")) + COUNTIF(E34:AH34, "✗") + COUNTIF(E34:AH34, "x") + COUNTIF(E34:AH34, "X"))&gt;0, (COUNTIF(E34:AH34, "✓") + COUNTIF(E34:AH34, "✔") + COUNTIF(E34:AH34, "v") + COUNTIF(E34:AH34, "V")) &amp; "/" &amp; ((COUNTIF(E34:AH34, "✓") + COUNTIF(E34:AH34, "✔") + COUNTIF(E34:AH34, "v") + COUNTIF(E34:AH34, "V")) + COUNTIF(E34:AH34, "✗") + COUNTIF(E34:AH34, "x") + COUNTIF(E34:AH34, "X")), "")))</f>
        <v/>
      </c>
      <c r="AK34" s="131">
        <f>IF(ISBLANK(B34), "", IF(AI34&gt;=0.85, "🔥 Mastered", IF(AI34&gt;=0.7, "⚡ Consistent", "⚠️ Needs Focus")))</f>
        <v/>
      </c>
      <c r="AL34">
        <f>COUNTIF(E34:AH34, "✓")</f>
        <v/>
      </c>
    </row>
    <row r="35" ht="14.5" customHeight="1">
      <c r="A35" s="125" t="n">
        <v>18</v>
      </c>
      <c r="B35" s="126" t="n"/>
      <c r="C35" s="127" t="n"/>
      <c r="D35" s="127" t="n"/>
      <c r="E35" s="129" t="n"/>
      <c r="F35" s="128" t="n"/>
      <c r="G35" s="128" t="n"/>
      <c r="H35" s="128" t="n"/>
      <c r="I35" s="128" t="n"/>
      <c r="J35" s="128" t="n"/>
      <c r="K35" s="128" t="n"/>
      <c r="L35" s="129" t="n"/>
      <c r="M35" s="128" t="n"/>
      <c r="N35" s="128" t="n"/>
      <c r="O35" s="128" t="n"/>
      <c r="P35" s="128" t="n"/>
      <c r="Q35" s="128" t="n"/>
      <c r="R35" s="128" t="n"/>
      <c r="S35" s="129" t="n"/>
      <c r="T35" s="128" t="n"/>
      <c r="U35" s="128" t="n"/>
      <c r="V35" s="128" t="n"/>
      <c r="W35" s="128" t="n"/>
      <c r="X35" s="128" t="n"/>
      <c r="Y35" s="128" t="n"/>
      <c r="Z35" s="129" t="n"/>
      <c r="AA35" s="128" t="n"/>
      <c r="AB35" s="128" t="n"/>
      <c r="AC35" s="128" t="n"/>
      <c r="AD35" s="128" t="n"/>
      <c r="AE35" s="128" t="n"/>
      <c r="AF35" s="128" t="n"/>
      <c r="AG35" s="129" t="n"/>
      <c r="AH35" s="128" t="n"/>
      <c r="AI35" s="130">
        <f>IF(ISBLANK(B35), "", IF(ISNUMBER(D35), IF(D35&gt;0, (COUNTIF(E35:AH35, "✓") + COUNTIF(E35:AH35, "✔") + COUNTIF(E35:AH35, "v") + COUNTIF(E35:AH35, "V"))/D35, 0), IF(((COUNTIF(E35:AH35, "✓") + COUNTIF(E35:AH35, "✔") + COUNTIF(E35:AH35, "v") + COUNTIF(E35:AH35, "V")) + COUNTIF(E35:AH35, "✗") + COUNTIF(E35:AH35, "x") + COUNTIF(E35:AH35, "X"))&gt;0, (COUNTIF(E35:AH35, "✓") + COUNTIF(E35:AH35, "✔") + COUNTIF(E35:AH35, "v") + COUNTIF(E35:AH35, "V"))/((COUNTIF(E35:AH35, "✓") + COUNTIF(E35:AH35, "✔") + COUNTIF(E35:AH35, "v") + COUNTIF(E35:AH35, "V")) + COUNTIF(E35:AH35, "✗") + COUNTIF(E35:AH35, "x") + COUNTIF(E35:AH35, "X")), "")))</f>
        <v/>
      </c>
      <c r="AJ35" s="131">
        <f>IF(ISBLANK(B35), "", IF(ISNUMBER(D35), IF(D35&gt;0, (COUNTIF(E35:AH35, "✓") + COUNTIF(E35:AH35, "✔") + COUNTIF(E35:AH35, "v") + COUNTIF(E35:AH35, "V")) &amp; "/" &amp; D35, (COUNTIF(E35:AH35, "✓") + COUNTIF(E35:AH35, "✔") + COUNTIF(E35:AH35, "v") + COUNTIF(E35:AH35, "V")) &amp; "/0"), IF(((COUNTIF(E35:AH35, "✓") + COUNTIF(E35:AH35, "✔") + COUNTIF(E35:AH35, "v") + COUNTIF(E35:AH35, "V")) + COUNTIF(E35:AH35, "✗") + COUNTIF(E35:AH35, "x") + COUNTIF(E35:AH35, "X"))&gt;0, (COUNTIF(E35:AH35, "✓") + COUNTIF(E35:AH35, "✔") + COUNTIF(E35:AH35, "v") + COUNTIF(E35:AH35, "V")) &amp; "/" &amp; ((COUNTIF(E35:AH35, "✓") + COUNTIF(E35:AH35, "✔") + COUNTIF(E35:AH35, "v") + COUNTIF(E35:AH35, "V")) + COUNTIF(E35:AH35, "✗") + COUNTIF(E35:AH35, "x") + COUNTIF(E35:AH35, "X")), "")))</f>
        <v/>
      </c>
      <c r="AK35" s="131">
        <f>IF(ISBLANK(B35), "", IF(AI35&gt;=0.85, "🔥 Mastered", IF(AI35&gt;=0.7, "⚡ Consistent", "⚠️ Needs Focus")))</f>
        <v/>
      </c>
      <c r="AL35">
        <f>COUNTIF(E35:AH35, "✓")</f>
        <v/>
      </c>
    </row>
    <row r="36" ht="14.5" customHeight="1">
      <c r="A36" s="125" t="n">
        <v>19</v>
      </c>
      <c r="B36" s="126" t="n"/>
      <c r="C36" s="127" t="n"/>
      <c r="D36" s="127" t="n"/>
      <c r="E36" s="129" t="n"/>
      <c r="F36" s="128" t="n"/>
      <c r="G36" s="128" t="n"/>
      <c r="H36" s="128" t="n"/>
      <c r="I36" s="128" t="n"/>
      <c r="J36" s="128" t="n"/>
      <c r="K36" s="128" t="n"/>
      <c r="L36" s="129" t="n"/>
      <c r="M36" s="128" t="n"/>
      <c r="N36" s="128" t="n"/>
      <c r="O36" s="128" t="n"/>
      <c r="P36" s="128" t="n"/>
      <c r="Q36" s="128" t="n"/>
      <c r="R36" s="128" t="n"/>
      <c r="S36" s="129" t="n"/>
      <c r="T36" s="128" t="n"/>
      <c r="U36" s="128" t="n"/>
      <c r="V36" s="128" t="n"/>
      <c r="W36" s="128" t="n"/>
      <c r="X36" s="128" t="n"/>
      <c r="Y36" s="128" t="n"/>
      <c r="Z36" s="129" t="n"/>
      <c r="AA36" s="128" t="n"/>
      <c r="AB36" s="128" t="n"/>
      <c r="AC36" s="128" t="n"/>
      <c r="AD36" s="128" t="n"/>
      <c r="AE36" s="128" t="n"/>
      <c r="AF36" s="128" t="n"/>
      <c r="AG36" s="129" t="n"/>
      <c r="AH36" s="128" t="n"/>
      <c r="AI36" s="130">
        <f>IF(ISBLANK(B36), "", IF(ISNUMBER(D36), IF(D36&gt;0, (COUNTIF(E36:AH36, "✓") + COUNTIF(E36:AH36, "✔") + COUNTIF(E36:AH36, "v") + COUNTIF(E36:AH36, "V"))/D36, 0), IF(((COUNTIF(E36:AH36, "✓") + COUNTIF(E36:AH36, "✔") + COUNTIF(E36:AH36, "v") + COUNTIF(E36:AH36, "V")) + COUNTIF(E36:AH36, "✗") + COUNTIF(E36:AH36, "x") + COUNTIF(E36:AH36, "X"))&gt;0, (COUNTIF(E36:AH36, "✓") + COUNTIF(E36:AH36, "✔") + COUNTIF(E36:AH36, "v") + COUNTIF(E36:AH36, "V"))/((COUNTIF(E36:AH36, "✓") + COUNTIF(E36:AH36, "✔") + COUNTIF(E36:AH36, "v") + COUNTIF(E36:AH36, "V")) + COUNTIF(E36:AH36, "✗") + COUNTIF(E36:AH36, "x") + COUNTIF(E36:AH36, "X")), "")))</f>
        <v/>
      </c>
      <c r="AJ36" s="131">
        <f>IF(ISBLANK(B36), "", IF(ISNUMBER(D36), IF(D36&gt;0, (COUNTIF(E36:AH36, "✓") + COUNTIF(E36:AH36, "✔") + COUNTIF(E36:AH36, "v") + COUNTIF(E36:AH36, "V")) &amp; "/" &amp; D36, (COUNTIF(E36:AH36, "✓") + COUNTIF(E36:AH36, "✔") + COUNTIF(E36:AH36, "v") + COUNTIF(E36:AH36, "V")) &amp; "/0"), IF(((COUNTIF(E36:AH36, "✓") + COUNTIF(E36:AH36, "✔") + COUNTIF(E36:AH36, "v") + COUNTIF(E36:AH36, "V")) + COUNTIF(E36:AH36, "✗") + COUNTIF(E36:AH36, "x") + COUNTIF(E36:AH36, "X"))&gt;0, (COUNTIF(E36:AH36, "✓") + COUNTIF(E36:AH36, "✔") + COUNTIF(E36:AH36, "v") + COUNTIF(E36:AH36, "V")) &amp; "/" &amp; ((COUNTIF(E36:AH36, "✓") + COUNTIF(E36:AH36, "✔") + COUNTIF(E36:AH36, "v") + COUNTIF(E36:AH36, "V")) + COUNTIF(E36:AH36, "✗") + COUNTIF(E36:AH36, "x") + COUNTIF(E36:AH36, "X")), "")))</f>
        <v/>
      </c>
      <c r="AK36" s="131">
        <f>IF(ISBLANK(B36), "", IF(AI36&gt;=0.85, "🔥 Mastered", IF(AI36&gt;=0.7, "⚡ Consistent", "⚠️ Needs Focus")))</f>
        <v/>
      </c>
      <c r="AL36">
        <f>COUNTIF(E36:AH36, "✓")</f>
        <v/>
      </c>
    </row>
    <row r="37" ht="14.5" customHeight="1">
      <c r="A37" s="125" t="n">
        <v>20</v>
      </c>
      <c r="B37" s="126" t="n"/>
      <c r="C37" s="127" t="n"/>
      <c r="D37" s="127" t="n"/>
      <c r="E37" s="129" t="n"/>
      <c r="F37" s="128" t="n"/>
      <c r="G37" s="128" t="n"/>
      <c r="H37" s="128" t="n"/>
      <c r="I37" s="128" t="n"/>
      <c r="J37" s="128" t="n"/>
      <c r="K37" s="128" t="n"/>
      <c r="L37" s="129" t="n"/>
      <c r="M37" s="128" t="n"/>
      <c r="N37" s="128" t="n"/>
      <c r="O37" s="128" t="n"/>
      <c r="P37" s="128" t="n"/>
      <c r="Q37" s="128" t="n"/>
      <c r="R37" s="128" t="n"/>
      <c r="S37" s="129" t="n"/>
      <c r="T37" s="128" t="n"/>
      <c r="U37" s="128" t="n"/>
      <c r="V37" s="128" t="n"/>
      <c r="W37" s="128" t="n"/>
      <c r="X37" s="128" t="n"/>
      <c r="Y37" s="128" t="n"/>
      <c r="Z37" s="129" t="n"/>
      <c r="AA37" s="128" t="n"/>
      <c r="AB37" s="128" t="n"/>
      <c r="AC37" s="128" t="n"/>
      <c r="AD37" s="128" t="n"/>
      <c r="AE37" s="128" t="n"/>
      <c r="AF37" s="128" t="n"/>
      <c r="AG37" s="129" t="n"/>
      <c r="AH37" s="128" t="n"/>
      <c r="AI37" s="130">
        <f>IF(ISBLANK(B37), "", IF(ISNUMBER(D37), IF(D37&gt;0, (COUNTIF(E37:AH37, "✓") + COUNTIF(E37:AH37, "✔") + COUNTIF(E37:AH37, "v") + COUNTIF(E37:AH37, "V"))/D37, 0), IF(((COUNTIF(E37:AH37, "✓") + COUNTIF(E37:AH37, "✔") + COUNTIF(E37:AH37, "v") + COUNTIF(E37:AH37, "V")) + COUNTIF(E37:AH37, "✗") + COUNTIF(E37:AH37, "x") + COUNTIF(E37:AH37, "X"))&gt;0, (COUNTIF(E37:AH37, "✓") + COUNTIF(E37:AH37, "✔") + COUNTIF(E37:AH37, "v") + COUNTIF(E37:AH37, "V"))/((COUNTIF(E37:AH37, "✓") + COUNTIF(E37:AH37, "✔") + COUNTIF(E37:AH37, "v") + COUNTIF(E37:AH37, "V")) + COUNTIF(E37:AH37, "✗") + COUNTIF(E37:AH37, "x") + COUNTIF(E37:AH37, "X")), "")))</f>
        <v/>
      </c>
      <c r="AJ37" s="131">
        <f>IF(ISBLANK(B37), "", IF(ISNUMBER(D37), IF(D37&gt;0, (COUNTIF(E37:AH37, "✓") + COUNTIF(E37:AH37, "✔") + COUNTIF(E37:AH37, "v") + COUNTIF(E37:AH37, "V")) &amp; "/" &amp; D37, (COUNTIF(E37:AH37, "✓") + COUNTIF(E37:AH37, "✔") + COUNTIF(E37:AH37, "v") + COUNTIF(E37:AH37, "V")) &amp; "/0"), IF(((COUNTIF(E37:AH37, "✓") + COUNTIF(E37:AH37, "✔") + COUNTIF(E37:AH37, "v") + COUNTIF(E37:AH37, "V")) + COUNTIF(E37:AH37, "✗") + COUNTIF(E37:AH37, "x") + COUNTIF(E37:AH37, "X"))&gt;0, (COUNTIF(E37:AH37, "✓") + COUNTIF(E37:AH37, "✔") + COUNTIF(E37:AH37, "v") + COUNTIF(E37:AH37, "V")) &amp; "/" &amp; ((COUNTIF(E37:AH37, "✓") + COUNTIF(E37:AH37, "✔") + COUNTIF(E37:AH37, "v") + COUNTIF(E37:AH37, "V")) + COUNTIF(E37:AH37, "✗") + COUNTIF(E37:AH37, "x") + COUNTIF(E37:AH37, "X")), "")))</f>
        <v/>
      </c>
      <c r="AK37" s="131">
        <f>IF(ISBLANK(B37), "", IF(AI37&gt;=0.85, "🔥 Mastered", IF(AI37&gt;=0.7, "⚡ Consistent", "⚠️ Needs Focus")))</f>
        <v/>
      </c>
      <c r="AL37">
        <f>COUNTIF(E37:AH37, "✓")</f>
        <v/>
      </c>
    </row>
    <row r="38" ht="18" customHeight="1">
      <c r="A38" s="132" t="inlineStr">
        <is>
          <t>DAILY TOTAL SCORE</t>
        </is>
      </c>
      <c r="B38" s="54" t="n"/>
      <c r="C38" s="54" t="n"/>
      <c r="D38" s="54" t="n"/>
      <c r="E38" s="33">
        <f>IF(((COUNTIF(E18:E37, "✓") + COUNTIF(E18:E37, "✔") + COUNTIF(E18:E37, "v") + COUNTIF(E18:E37, "V")) + COUNTIF(E18:E37, "✗") + COUNTIF(E18:E37, "x") + COUNTIF(E18:E37, "X")) &gt; 0, (COUNTIF(E18:E37, "✓") + COUNTIF(E18:E37, "✔") + COUNTIF(E18:E37, "v") + COUNTIF(E18:E37, "V")) &amp; "/" &amp; ((COUNTIF(E18:E37, "✓") + COUNTIF(E18:E37, "✔") + COUNTIF(E18:E37, "v") + COUNTIF(E18:E37, "V")) + COUNTIF(E18:E37, "✗") + COUNTIF(E18:E37, "x") + COUNTIF(E18:E37, "X")), "")</f>
        <v/>
      </c>
      <c r="F38" s="33">
        <f>IF(((COUNTIF(F18:F37, "✓") + COUNTIF(F18:F37, "✔") + COUNTIF(F18:F37, "v") + COUNTIF(F18:F37, "V")) + COUNTIF(F18:F37, "✗") + COUNTIF(F18:F37, "x") + COUNTIF(F18:F37, "X")) &gt; 0, (COUNTIF(F18:F37, "✓") + COUNTIF(F18:F37, "✔") + COUNTIF(F18:F37, "v") + COUNTIF(F18:F37, "V")) &amp; "/" &amp; ((COUNTIF(F18:F37, "✓") + COUNTIF(F18:F37, "✔") + COUNTIF(F18:F37, "v") + COUNTIF(F18:F37, "V")) + COUNTIF(F18:F37, "✗") + COUNTIF(F18:F37, "x") + COUNTIF(F18:F37, "X")), "")</f>
        <v/>
      </c>
      <c r="G38" s="33">
        <f>IF(((COUNTIF(G18:G37, "✓") + COUNTIF(G18:G37, "✔") + COUNTIF(G18:G37, "v") + COUNTIF(G18:G37, "V")) + COUNTIF(G18:G37, "✗") + COUNTIF(G18:G37, "x") + COUNTIF(G18:G37, "X")) &gt; 0, (COUNTIF(G18:G37, "✓") + COUNTIF(G18:G37, "✔") + COUNTIF(G18:G37, "v") + COUNTIF(G18:G37, "V")) &amp; "/" &amp; ((COUNTIF(G18:G37, "✓") + COUNTIF(G18:G37, "✔") + COUNTIF(G18:G37, "v") + COUNTIF(G18:G37, "V")) + COUNTIF(G18:G37, "✗") + COUNTIF(G18:G37, "x") + COUNTIF(G18:G37, "X")), "")</f>
        <v/>
      </c>
      <c r="H38" s="33">
        <f>IF(((COUNTIF(H18:H37, "✓") + COUNTIF(H18:H37, "✔") + COUNTIF(H18:H37, "v") + COUNTIF(H18:H37, "V")) + COUNTIF(H18:H37, "✗") + COUNTIF(H18:H37, "x") + COUNTIF(H18:H37, "X")) &gt; 0, (COUNTIF(H18:H37, "✓") + COUNTIF(H18:H37, "✔") + COUNTIF(H18:H37, "v") + COUNTIF(H18:H37, "V")) &amp; "/" &amp; ((COUNTIF(H18:H37, "✓") + COUNTIF(H18:H37, "✔") + COUNTIF(H18:H37, "v") + COUNTIF(H18:H37, "V")) + COUNTIF(H18:H37, "✗") + COUNTIF(H18:H37, "x") + COUNTIF(H18:H37, "X")), "")</f>
        <v/>
      </c>
      <c r="I38" s="33">
        <f>IF(((COUNTIF(I18:I37, "✓") + COUNTIF(I18:I37, "✔") + COUNTIF(I18:I37, "v") + COUNTIF(I18:I37, "V")) + COUNTIF(I18:I37, "✗") + COUNTIF(I18:I37, "x") + COUNTIF(I18:I37, "X")) &gt; 0, (COUNTIF(I18:I37, "✓") + COUNTIF(I18:I37, "✔") + COUNTIF(I18:I37, "v") + COUNTIF(I18:I37, "V")) &amp; "/" &amp; ((COUNTIF(I18:I37, "✓") + COUNTIF(I18:I37, "✔") + COUNTIF(I18:I37, "v") + COUNTIF(I18:I37, "V")) + COUNTIF(I18:I37, "✗") + COUNTIF(I18:I37, "x") + COUNTIF(I18:I37, "X")), "")</f>
        <v/>
      </c>
      <c r="J38" s="33">
        <f>IF(((COUNTIF(J18:J37, "✓") + COUNTIF(J18:J37, "✔") + COUNTIF(J18:J37, "v") + COUNTIF(J18:J37, "V")) + COUNTIF(J18:J37, "✗") + COUNTIF(J18:J37, "x") + COUNTIF(J18:J37, "X")) &gt; 0, (COUNTIF(J18:J37, "✓") + COUNTIF(J18:J37, "✔") + COUNTIF(J18:J37, "v") + COUNTIF(J18:J37, "V")) &amp; "/" &amp; ((COUNTIF(J18:J37, "✓") + COUNTIF(J18:J37, "✔") + COUNTIF(J18:J37, "v") + COUNTIF(J18:J37, "V")) + COUNTIF(J18:J37, "✗") + COUNTIF(J18:J37, "x") + COUNTIF(J18:J37, "X")), "")</f>
        <v/>
      </c>
      <c r="K38" s="33">
        <f>IF(((COUNTIF(K18:K37, "✓") + COUNTIF(K18:K37, "✔") + COUNTIF(K18:K37, "v") + COUNTIF(K18:K37, "V")) + COUNTIF(K18:K37, "✗") + COUNTIF(K18:K37, "x") + COUNTIF(K18:K37, "X")) &gt; 0, (COUNTIF(K18:K37, "✓") + COUNTIF(K18:K37, "✔") + COUNTIF(K18:K37, "v") + COUNTIF(K18:K37, "V")) &amp; "/" &amp; ((COUNTIF(K18:K37, "✓") + COUNTIF(K18:K37, "✔") + COUNTIF(K18:K37, "v") + COUNTIF(K18:K37, "V")) + COUNTIF(K18:K37, "✗") + COUNTIF(K18:K37, "x") + COUNTIF(K18:K37, "X")), "")</f>
        <v/>
      </c>
      <c r="L38" s="33">
        <f>IF(((COUNTIF(L18:L37, "✓") + COUNTIF(L18:L37, "✔") + COUNTIF(L18:L37, "v") + COUNTIF(L18:L37, "V")) + COUNTIF(L18:L37, "✗") + COUNTIF(L18:L37, "x") + COUNTIF(L18:L37, "X")) &gt; 0, (COUNTIF(L18:L37, "✓") + COUNTIF(L18:L37, "✔") + COUNTIF(L18:L37, "v") + COUNTIF(L18:L37, "V")) &amp; "/" &amp; ((COUNTIF(L18:L37, "✓") + COUNTIF(L18:L37, "✔") + COUNTIF(L18:L37, "v") + COUNTIF(L18:L37, "V")) + COUNTIF(L18:L37, "✗") + COUNTIF(L18:L37, "x") + COUNTIF(L18:L37, "X")), "")</f>
        <v/>
      </c>
      <c r="M38" s="33">
        <f>IF(((COUNTIF(M18:M37, "✓") + COUNTIF(M18:M37, "✔") + COUNTIF(M18:M37, "v") + COUNTIF(M18:M37, "V")) + COUNTIF(M18:M37, "✗") + COUNTIF(M18:M37, "x") + COUNTIF(M18:M37, "X")) &gt; 0, (COUNTIF(M18:M37, "✓") + COUNTIF(M18:M37, "✔") + COUNTIF(M18:M37, "v") + COUNTIF(M18:M37, "V")) &amp; "/" &amp; ((COUNTIF(M18:M37, "✓") + COUNTIF(M18:M37, "✔") + COUNTIF(M18:M37, "v") + COUNTIF(M18:M37, "V")) + COUNTIF(M18:M37, "✗") + COUNTIF(M18:M37, "x") + COUNTIF(M18:M37, "X")), "")</f>
        <v/>
      </c>
      <c r="N38" s="33">
        <f>IF(((COUNTIF(N18:N37, "✓") + COUNTIF(N18:N37, "✔") + COUNTIF(N18:N37, "v") + COUNTIF(N18:N37, "V")) + COUNTIF(N18:N37, "✗") + COUNTIF(N18:N37, "x") + COUNTIF(N18:N37, "X")) &gt; 0, (COUNTIF(N18:N37, "✓") + COUNTIF(N18:N37, "✔") + COUNTIF(N18:N37, "v") + COUNTIF(N18:N37, "V")) &amp; "/" &amp; ((COUNTIF(N18:N37, "✓") + COUNTIF(N18:N37, "✔") + COUNTIF(N18:N37, "v") + COUNTIF(N18:N37, "V")) + COUNTIF(N18:N37, "✗") + COUNTIF(N18:N37, "x") + COUNTIF(N18:N37, "X")), "")</f>
        <v/>
      </c>
      <c r="O38" s="33">
        <f>IF(((COUNTIF(O18:O37, "✓") + COUNTIF(O18:O37, "✔") + COUNTIF(O18:O37, "v") + COUNTIF(O18:O37, "V")) + COUNTIF(O18:O37, "✗") + COUNTIF(O18:O37, "x") + COUNTIF(O18:O37, "X")) &gt; 0, (COUNTIF(O18:O37, "✓") + COUNTIF(O18:O37, "✔") + COUNTIF(O18:O37, "v") + COUNTIF(O18:O37, "V")) &amp; "/" &amp; ((COUNTIF(O18:O37, "✓") + COUNTIF(O18:O37, "✔") + COUNTIF(O18:O37, "v") + COUNTIF(O18:O37, "V")) + COUNTIF(O18:O37, "✗") + COUNTIF(O18:O37, "x") + COUNTIF(O18:O37, "X")), "")</f>
        <v/>
      </c>
      <c r="P38" s="33">
        <f>IF(((COUNTIF(P18:P37, "✓") + COUNTIF(P18:P37, "✔") + COUNTIF(P18:P37, "v") + COUNTIF(P18:P37, "V")) + COUNTIF(P18:P37, "✗") + COUNTIF(P18:P37, "x") + COUNTIF(P18:P37, "X")) &gt; 0, (COUNTIF(P18:P37, "✓") + COUNTIF(P18:P37, "✔") + COUNTIF(P18:P37, "v") + COUNTIF(P18:P37, "V")) &amp; "/" &amp; ((COUNTIF(P18:P37, "✓") + COUNTIF(P18:P37, "✔") + COUNTIF(P18:P37, "v") + COUNTIF(P18:P37, "V")) + COUNTIF(P18:P37, "✗") + COUNTIF(P18:P37, "x") + COUNTIF(P18:P37, "X")), "")</f>
        <v/>
      </c>
      <c r="Q38" s="33">
        <f>IF(((COUNTIF(Q18:Q37, "✓") + COUNTIF(Q18:Q37, "✔") + COUNTIF(Q18:Q37, "v") + COUNTIF(Q18:Q37, "V")) + COUNTIF(Q18:Q37, "✗") + COUNTIF(Q18:Q37, "x") + COUNTIF(Q18:Q37, "X")) &gt; 0, (COUNTIF(Q18:Q37, "✓") + COUNTIF(Q18:Q37, "✔") + COUNTIF(Q18:Q37, "v") + COUNTIF(Q18:Q37, "V")) &amp; "/" &amp; ((COUNTIF(Q18:Q37, "✓") + COUNTIF(Q18:Q37, "✔") + COUNTIF(Q18:Q37, "v") + COUNTIF(Q18:Q37, "V")) + COUNTIF(Q18:Q37, "✗") + COUNTIF(Q18:Q37, "x") + COUNTIF(Q18:Q37, "X")), "")</f>
        <v/>
      </c>
      <c r="R38" s="33">
        <f>IF(((COUNTIF(R18:R37, "✓") + COUNTIF(R18:R37, "✔") + COUNTIF(R18:R37, "v") + COUNTIF(R18:R37, "V")) + COUNTIF(R18:R37, "✗") + COUNTIF(R18:R37, "x") + COUNTIF(R18:R37, "X")) &gt; 0, (COUNTIF(R18:R37, "✓") + COUNTIF(R18:R37, "✔") + COUNTIF(R18:R37, "v") + COUNTIF(R18:R37, "V")) &amp; "/" &amp; ((COUNTIF(R18:R37, "✓") + COUNTIF(R18:R37, "✔") + COUNTIF(R18:R37, "v") + COUNTIF(R18:R37, "V")) + COUNTIF(R18:R37, "✗") + COUNTIF(R18:R37, "x") + COUNTIF(R18:R37, "X")), "")</f>
        <v/>
      </c>
      <c r="S38" s="33">
        <f>IF(((COUNTIF(S18:S37, "✓") + COUNTIF(S18:S37, "✔") + COUNTIF(S18:S37, "v") + COUNTIF(S18:S37, "V")) + COUNTIF(S18:S37, "✗") + COUNTIF(S18:S37, "x") + COUNTIF(S18:S37, "X")) &gt; 0, (COUNTIF(S18:S37, "✓") + COUNTIF(S18:S37, "✔") + COUNTIF(S18:S37, "v") + COUNTIF(S18:S37, "V")) &amp; "/" &amp; ((COUNTIF(S18:S37, "✓") + COUNTIF(S18:S37, "✔") + COUNTIF(S18:S37, "v") + COUNTIF(S18:S37, "V")) + COUNTIF(S18:S37, "✗") + COUNTIF(S18:S37, "x") + COUNTIF(S18:S37, "X")), "")</f>
        <v/>
      </c>
      <c r="T38" s="33">
        <f>IF(((COUNTIF(T18:T37, "✓") + COUNTIF(T18:T37, "✔") + COUNTIF(T18:T37, "v") + COUNTIF(T18:T37, "V")) + COUNTIF(T18:T37, "✗") + COUNTIF(T18:T37, "x") + COUNTIF(T18:T37, "X")) &gt; 0, (COUNTIF(T18:T37, "✓") + COUNTIF(T18:T37, "✔") + COUNTIF(T18:T37, "v") + COUNTIF(T18:T37, "V")) &amp; "/" &amp; ((COUNTIF(T18:T37, "✓") + COUNTIF(T18:T37, "✔") + COUNTIF(T18:T37, "v") + COUNTIF(T18:T37, "V")) + COUNTIF(T18:T37, "✗") + COUNTIF(T18:T37, "x") + COUNTIF(T18:T37, "X")), "")</f>
        <v/>
      </c>
      <c r="U38" s="33">
        <f>IF(((COUNTIF(U18:U37, "✓") + COUNTIF(U18:U37, "✔") + COUNTIF(U18:U37, "v") + COUNTIF(U18:U37, "V")) + COUNTIF(U18:U37, "✗") + COUNTIF(U18:U37, "x") + COUNTIF(U18:U37, "X")) &gt; 0, (COUNTIF(U18:U37, "✓") + COUNTIF(U18:U37, "✔") + COUNTIF(U18:U37, "v") + COUNTIF(U18:U37, "V")) &amp; "/" &amp; ((COUNTIF(U18:U37, "✓") + COUNTIF(U18:U37, "✔") + COUNTIF(U18:U37, "v") + COUNTIF(U18:U37, "V")) + COUNTIF(U18:U37, "✗") + COUNTIF(U18:U37, "x") + COUNTIF(U18:U37, "X")), "")</f>
        <v/>
      </c>
      <c r="V38" s="33">
        <f>IF(((COUNTIF(V18:V37, "✓") + COUNTIF(V18:V37, "✔") + COUNTIF(V18:V37, "v") + COUNTIF(V18:V37, "V")) + COUNTIF(V18:V37, "✗") + COUNTIF(V18:V37, "x") + COUNTIF(V18:V37, "X")) &gt; 0, (COUNTIF(V18:V37, "✓") + COUNTIF(V18:V37, "✔") + COUNTIF(V18:V37, "v") + COUNTIF(V18:V37, "V")) &amp; "/" &amp; ((COUNTIF(V18:V37, "✓") + COUNTIF(V18:V37, "✔") + COUNTIF(V18:V37, "v") + COUNTIF(V18:V37, "V")) + COUNTIF(V18:V37, "✗") + COUNTIF(V18:V37, "x") + COUNTIF(V18:V37, "X")), "")</f>
        <v/>
      </c>
      <c r="W38" s="33">
        <f>IF(((COUNTIF(W18:W37, "✓") + COUNTIF(W18:W37, "✔") + COUNTIF(W18:W37, "v") + COUNTIF(W18:W37, "V")) + COUNTIF(W18:W37, "✗") + COUNTIF(W18:W37, "x") + COUNTIF(W18:W37, "X")) &gt; 0, (COUNTIF(W18:W37, "✓") + COUNTIF(W18:W37, "✔") + COUNTIF(W18:W37, "v") + COUNTIF(W18:W37, "V")) &amp; "/" &amp; ((COUNTIF(W18:W37, "✓") + COUNTIF(W18:W37, "✔") + COUNTIF(W18:W37, "v") + COUNTIF(W18:W37, "V")) + COUNTIF(W18:W37, "✗") + COUNTIF(W18:W37, "x") + COUNTIF(W18:W37, "X")), "")</f>
        <v/>
      </c>
      <c r="X38" s="33">
        <f>IF(((COUNTIF(X18:X37, "✓") + COUNTIF(X18:X37, "✔") + COUNTIF(X18:X37, "v") + COUNTIF(X18:X37, "V")) + COUNTIF(X18:X37, "✗") + COUNTIF(X18:X37, "x") + COUNTIF(X18:X37, "X")) &gt; 0, (COUNTIF(X18:X37, "✓") + COUNTIF(X18:X37, "✔") + COUNTIF(X18:X37, "v") + COUNTIF(X18:X37, "V")) &amp; "/" &amp; ((COUNTIF(X18:X37, "✓") + COUNTIF(X18:X37, "✔") + COUNTIF(X18:X37, "v") + COUNTIF(X18:X37, "V")) + COUNTIF(X18:X37, "✗") + COUNTIF(X18:X37, "x") + COUNTIF(X18:X37, "X")), "")</f>
        <v/>
      </c>
      <c r="Y38" s="33">
        <f>IF(((COUNTIF(Y18:Y37, "✓") + COUNTIF(Y18:Y37, "✔") + COUNTIF(Y18:Y37, "v") + COUNTIF(Y18:Y37, "V")) + COUNTIF(Y18:Y37, "✗") + COUNTIF(Y18:Y37, "x") + COUNTIF(Y18:Y37, "X")) &gt; 0, (COUNTIF(Y18:Y37, "✓") + COUNTIF(Y18:Y37, "✔") + COUNTIF(Y18:Y37, "v") + COUNTIF(Y18:Y37, "V")) &amp; "/" &amp; ((COUNTIF(Y18:Y37, "✓") + COUNTIF(Y18:Y37, "✔") + COUNTIF(Y18:Y37, "v") + COUNTIF(Y18:Y37, "V")) + COUNTIF(Y18:Y37, "✗") + COUNTIF(Y18:Y37, "x") + COUNTIF(Y18:Y37, "X")), "")</f>
        <v/>
      </c>
      <c r="Z38" s="33">
        <f>IF(((COUNTIF(Z18:Z37, "✓") + COUNTIF(Z18:Z37, "✔") + COUNTIF(Z18:Z37, "v") + COUNTIF(Z18:Z37, "V")) + COUNTIF(Z18:Z37, "✗") + COUNTIF(Z18:Z37, "x") + COUNTIF(Z18:Z37, "X")) &gt; 0, (COUNTIF(Z18:Z37, "✓") + COUNTIF(Z18:Z37, "✔") + COUNTIF(Z18:Z37, "v") + COUNTIF(Z18:Z37, "V")) &amp; "/" &amp; ((COUNTIF(Z18:Z37, "✓") + COUNTIF(Z18:Z37, "✔") + COUNTIF(Z18:Z37, "v") + COUNTIF(Z18:Z37, "V")) + COUNTIF(Z18:Z37, "✗") + COUNTIF(Z18:Z37, "x") + COUNTIF(Z18:Z37, "X")), "")</f>
        <v/>
      </c>
      <c r="AA38" s="33">
        <f>IF(((COUNTIF(AA18:AA37, "✓") + COUNTIF(AA18:AA37, "✔") + COUNTIF(AA18:AA37, "v") + COUNTIF(AA18:AA37, "V")) + COUNTIF(AA18:AA37, "✗") + COUNTIF(AA18:AA37, "x") + COUNTIF(AA18:AA37, "X")) &gt; 0, (COUNTIF(AA18:AA37, "✓") + COUNTIF(AA18:AA37, "✔") + COUNTIF(AA18:AA37, "v") + COUNTIF(AA18:AA37, "V")) &amp; "/" &amp; ((COUNTIF(AA18:AA37, "✓") + COUNTIF(AA18:AA37, "✔") + COUNTIF(AA18:AA37, "v") + COUNTIF(AA18:AA37, "V")) + COUNTIF(AA18:AA37, "✗") + COUNTIF(AA18:AA37, "x") + COUNTIF(AA18:AA37, "X")), "")</f>
        <v/>
      </c>
      <c r="AB38" s="33">
        <f>IF(((COUNTIF(AB18:AB37, "✓") + COUNTIF(AB18:AB37, "✔") + COUNTIF(AB18:AB37, "v") + COUNTIF(AB18:AB37, "V")) + COUNTIF(AB18:AB37, "✗") + COUNTIF(AB18:AB37, "x") + COUNTIF(AB18:AB37, "X")) &gt; 0, (COUNTIF(AB18:AB37, "✓") + COUNTIF(AB18:AB37, "✔") + COUNTIF(AB18:AB37, "v") + COUNTIF(AB18:AB37, "V")) &amp; "/" &amp; ((COUNTIF(AB18:AB37, "✓") + COUNTIF(AB18:AB37, "✔") + COUNTIF(AB18:AB37, "v") + COUNTIF(AB18:AB37, "V")) + COUNTIF(AB18:AB37, "✗") + COUNTIF(AB18:AB37, "x") + COUNTIF(AB18:AB37, "X")), "")</f>
        <v/>
      </c>
      <c r="AC38" s="33">
        <f>IF(((COUNTIF(AC18:AC37, "✓") + COUNTIF(AC18:AC37, "✔") + COUNTIF(AC18:AC37, "v") + COUNTIF(AC18:AC37, "V")) + COUNTIF(AC18:AC37, "✗") + COUNTIF(AC18:AC37, "x") + COUNTIF(AC18:AC37, "X")) &gt; 0, (COUNTIF(AC18:AC37, "✓") + COUNTIF(AC18:AC37, "✔") + COUNTIF(AC18:AC37, "v") + COUNTIF(AC18:AC37, "V")) &amp; "/" &amp; ((COUNTIF(AC18:AC37, "✓") + COUNTIF(AC18:AC37, "✔") + COUNTIF(AC18:AC37, "v") + COUNTIF(AC18:AC37, "V")) + COUNTIF(AC18:AC37, "✗") + COUNTIF(AC18:AC37, "x") + COUNTIF(AC18:AC37, "X")), "")</f>
        <v/>
      </c>
      <c r="AD38" s="33">
        <f>IF(((COUNTIF(AD18:AD37, "✓") + COUNTIF(AD18:AD37, "✔") + COUNTIF(AD18:AD37, "v") + COUNTIF(AD18:AD37, "V")) + COUNTIF(AD18:AD37, "✗") + COUNTIF(AD18:AD37, "x") + COUNTIF(AD18:AD37, "X")) &gt; 0, (COUNTIF(AD18:AD37, "✓") + COUNTIF(AD18:AD37, "✔") + COUNTIF(AD18:AD37, "v") + COUNTIF(AD18:AD37, "V")) &amp; "/" &amp; ((COUNTIF(AD18:AD37, "✓") + COUNTIF(AD18:AD37, "✔") + COUNTIF(AD18:AD37, "v") + COUNTIF(AD18:AD37, "V")) + COUNTIF(AD18:AD37, "✗") + COUNTIF(AD18:AD37, "x") + COUNTIF(AD18:AD37, "X")), "")</f>
        <v/>
      </c>
      <c r="AE38" s="33">
        <f>IF(((COUNTIF(AE18:AE37, "✓") + COUNTIF(AE18:AE37, "✔") + COUNTIF(AE18:AE37, "v") + COUNTIF(AE18:AE37, "V")) + COUNTIF(AE18:AE37, "✗") + COUNTIF(AE18:AE37, "x") + COUNTIF(AE18:AE37, "X")) &gt; 0, (COUNTIF(AE18:AE37, "✓") + COUNTIF(AE18:AE37, "✔") + COUNTIF(AE18:AE37, "v") + COUNTIF(AE18:AE37, "V")) &amp; "/" &amp; ((COUNTIF(AE18:AE37, "✓") + COUNTIF(AE18:AE37, "✔") + COUNTIF(AE18:AE37, "v") + COUNTIF(AE18:AE37, "V")) + COUNTIF(AE18:AE37, "✗") + COUNTIF(AE18:AE37, "x") + COUNTIF(AE18:AE37, "X")), "")</f>
        <v/>
      </c>
      <c r="AF38" s="33">
        <f>IF(((COUNTIF(AF18:AF37, "✓") + COUNTIF(AF18:AF37, "✔") + COUNTIF(AF18:AF37, "v") + COUNTIF(AF18:AF37, "V")) + COUNTIF(AF18:AF37, "✗") + COUNTIF(AF18:AF37, "x") + COUNTIF(AF18:AF37, "X")) &gt; 0, (COUNTIF(AF18:AF37, "✓") + COUNTIF(AF18:AF37, "✔") + COUNTIF(AF18:AF37, "v") + COUNTIF(AF18:AF37, "V")) &amp; "/" &amp; ((COUNTIF(AF18:AF37, "✓") + COUNTIF(AF18:AF37, "✔") + COUNTIF(AF18:AF37, "v") + COUNTIF(AF18:AF37, "V")) + COUNTIF(AF18:AF37, "✗") + COUNTIF(AF18:AF37, "x") + COUNTIF(AF18:AF37, "X")), "")</f>
        <v/>
      </c>
      <c r="AG38" s="33">
        <f>IF(((COUNTIF(AG18:AG37, "✓") + COUNTIF(AG18:AG37, "✔") + COUNTIF(AG18:AG37, "v") + COUNTIF(AG18:AG37, "V")) + COUNTIF(AG18:AG37, "✗") + COUNTIF(AG18:AG37, "x") + COUNTIF(AG18:AG37, "X")) &gt; 0, (COUNTIF(AG18:AG37, "✓") + COUNTIF(AG18:AG37, "✔") + COUNTIF(AG18:AG37, "v") + COUNTIF(AG18:AG37, "V")) &amp; "/" &amp; ((COUNTIF(AG18:AG37, "✓") + COUNTIF(AG18:AG37, "✔") + COUNTIF(AG18:AG37, "v") + COUNTIF(AG18:AG37, "V")) + COUNTIF(AG18:AG37, "✗") + COUNTIF(AG18:AG37, "x") + COUNTIF(AG18:AG37, "X")), "")</f>
        <v/>
      </c>
      <c r="AH38" s="33">
        <f>IF(((COUNTIF(AH18:AH37, "✓") + COUNTIF(AH18:AH37, "✔") + COUNTIF(AH18:AH37, "v") + COUNTIF(AH18:AH37, "V")) + COUNTIF(AH18:AH37, "✗") + COUNTIF(AH18:AH37, "x") + COUNTIF(AH18:AH37, "X")) &gt; 0, (COUNTIF(AH18:AH37, "✓") + COUNTIF(AH18:AH37, "✔") + COUNTIF(AH18:AH37, "v") + COUNTIF(AH18:AH37, "V")) &amp; "/" &amp; ((COUNTIF(AH18:AH37, "✓") + COUNTIF(AH18:AH37, "✔") + COUNTIF(AH18:AH37, "v") + COUNTIF(AH18:AH37, "V")) + COUNTIF(AH18:AH37, "✗") + COUNTIF(AH18:AH37, "x") + COUNTIF(AH18:AH37, "X")), "")</f>
        <v/>
      </c>
      <c r="AI38" s="133">
        <f>IF(SUM(D18:D37) &gt; 0, SUM(AL18:AL37) / SUM(D18:D37), "")</f>
        <v/>
      </c>
      <c r="AJ38" s="33">
        <f>IF(SUM(D18:D37) &gt; 0, SUM(AL18:AL37) &amp; "/" &amp; SUM(D18:D37), "")</f>
        <v/>
      </c>
      <c r="AK38" s="54" t="n"/>
    </row>
    <row r="39" ht="18" customHeight="1">
      <c r="A39" s="132" t="inlineStr">
        <is>
          <t>DAILY SUCCESS %</t>
        </is>
      </c>
      <c r="B39" s="54" t="n"/>
      <c r="C39" s="54" t="n"/>
      <c r="D39" s="54" t="n"/>
      <c r="E39" s="134">
        <f>IF(((COUNTIF(E18:E37, "✓") + COUNTIF(E18:E37, "✔") + COUNTIF(E18:E37, "v") + COUNTIF(E18:E37, "V")) + COUNTIF(E18:E37, "✗") + COUNTIF(E18:E37, "x") + COUNTIF(E18:E37, "X")) &gt; 0, (COUNTIF(E18:E37, "✓") + COUNTIF(E18:E37, "✔") + COUNTIF(E18:E37, "v") + COUNTIF(E18:E37, "V")) / ((COUNTIF(E18:E37, "✓") + COUNTIF(E18:E37, "✔") + COUNTIF(E18:E37, "v") + COUNTIF(E18:E37, "V")) + COUNTIF(E18:E37, "✗") + COUNTIF(E18:E37, "x") + COUNTIF(E18:E37, "X")), "")</f>
        <v/>
      </c>
      <c r="F39" s="134">
        <f>IF(((COUNTIF(F18:F37, "✓") + COUNTIF(F18:F37, "✔") + COUNTIF(F18:F37, "v") + COUNTIF(F18:F37, "V")) + COUNTIF(F18:F37, "✗") + COUNTIF(F18:F37, "x") + COUNTIF(F18:F37, "X")) &gt; 0, (COUNTIF(F18:F37, "✓") + COUNTIF(F18:F37, "✔") + COUNTIF(F18:F37, "v") + COUNTIF(F18:F37, "V")) / ((COUNTIF(F18:F37, "✓") + COUNTIF(F18:F37, "✔") + COUNTIF(F18:F37, "v") + COUNTIF(F18:F37, "V")) + COUNTIF(F18:F37, "✗") + COUNTIF(F18:F37, "x") + COUNTIF(F18:F37, "X")), "")</f>
        <v/>
      </c>
      <c r="G39" s="134">
        <f>IF(((COUNTIF(G18:G37, "✓") + COUNTIF(G18:G37, "✔") + COUNTIF(G18:G37, "v") + COUNTIF(G18:G37, "V")) + COUNTIF(G18:G37, "✗") + COUNTIF(G18:G37, "x") + COUNTIF(G18:G37, "X")) &gt; 0, (COUNTIF(G18:G37, "✓") + COUNTIF(G18:G37, "✔") + COUNTIF(G18:G37, "v") + COUNTIF(G18:G37, "V")) / ((COUNTIF(G18:G37, "✓") + COUNTIF(G18:G37, "✔") + COUNTIF(G18:G37, "v") + COUNTIF(G18:G37, "V")) + COUNTIF(G18:G37, "✗") + COUNTIF(G18:G37, "x") + COUNTIF(G18:G37, "X")), "")</f>
        <v/>
      </c>
      <c r="H39" s="134">
        <f>IF(((COUNTIF(H18:H37, "✓") + COUNTIF(H18:H37, "✔") + COUNTIF(H18:H37, "v") + COUNTIF(H18:H37, "V")) + COUNTIF(H18:H37, "✗") + COUNTIF(H18:H37, "x") + COUNTIF(H18:H37, "X")) &gt; 0, (COUNTIF(H18:H37, "✓") + COUNTIF(H18:H37, "✔") + COUNTIF(H18:H37, "v") + COUNTIF(H18:H37, "V")) / ((COUNTIF(H18:H37, "✓") + COUNTIF(H18:H37, "✔") + COUNTIF(H18:H37, "v") + COUNTIF(H18:H37, "V")) + COUNTIF(H18:H37, "✗") + COUNTIF(H18:H37, "x") + COUNTIF(H18:H37, "X")), "")</f>
        <v/>
      </c>
      <c r="I39" s="134">
        <f>IF(((COUNTIF(I18:I37, "✓") + COUNTIF(I18:I37, "✔") + COUNTIF(I18:I37, "v") + COUNTIF(I18:I37, "V")) + COUNTIF(I18:I37, "✗") + COUNTIF(I18:I37, "x") + COUNTIF(I18:I37, "X")) &gt; 0, (COUNTIF(I18:I37, "✓") + COUNTIF(I18:I37, "✔") + COUNTIF(I18:I37, "v") + COUNTIF(I18:I37, "V")) / ((COUNTIF(I18:I37, "✓") + COUNTIF(I18:I37, "✔") + COUNTIF(I18:I37, "v") + COUNTIF(I18:I37, "V")) + COUNTIF(I18:I37, "✗") + COUNTIF(I18:I37, "x") + COUNTIF(I18:I37, "X")), "")</f>
        <v/>
      </c>
      <c r="J39" s="134">
        <f>IF(((COUNTIF(J18:J37, "✓") + COUNTIF(J18:J37, "✔") + COUNTIF(J18:J37, "v") + COUNTIF(J18:J37, "V")) + COUNTIF(J18:J37, "✗") + COUNTIF(J18:J37, "x") + COUNTIF(J18:J37, "X")) &gt; 0, (COUNTIF(J18:J37, "✓") + COUNTIF(J18:J37, "✔") + COUNTIF(J18:J37, "v") + COUNTIF(J18:J37, "V")) / ((COUNTIF(J18:J37, "✓") + COUNTIF(J18:J37, "✔") + COUNTIF(J18:J37, "v") + COUNTIF(J18:J37, "V")) + COUNTIF(J18:J37, "✗") + COUNTIF(J18:J37, "x") + COUNTIF(J18:J37, "X")), "")</f>
        <v/>
      </c>
      <c r="K39" s="134">
        <f>IF(((COUNTIF(K18:K37, "✓") + COUNTIF(K18:K37, "✔") + COUNTIF(K18:K37, "v") + COUNTIF(K18:K37, "V")) + COUNTIF(K18:K37, "✗") + COUNTIF(K18:K37, "x") + COUNTIF(K18:K37, "X")) &gt; 0, (COUNTIF(K18:K37, "✓") + COUNTIF(K18:K37, "✔") + COUNTIF(K18:K37, "v") + COUNTIF(K18:K37, "V")) / ((COUNTIF(K18:K37, "✓") + COUNTIF(K18:K37, "✔") + COUNTIF(K18:K37, "v") + COUNTIF(K18:K37, "V")) + COUNTIF(K18:K37, "✗") + COUNTIF(K18:K37, "x") + COUNTIF(K18:K37, "X")), "")</f>
        <v/>
      </c>
      <c r="L39" s="134">
        <f>IF(((COUNTIF(L18:L37, "✓") + COUNTIF(L18:L37, "✔") + COUNTIF(L18:L37, "v") + COUNTIF(L18:L37, "V")) + COUNTIF(L18:L37, "✗") + COUNTIF(L18:L37, "x") + COUNTIF(L18:L37, "X")) &gt; 0, (COUNTIF(L18:L37, "✓") + COUNTIF(L18:L37, "✔") + COUNTIF(L18:L37, "v") + COUNTIF(L18:L37, "V")) / ((COUNTIF(L18:L37, "✓") + COUNTIF(L18:L37, "✔") + COUNTIF(L18:L37, "v") + COUNTIF(L18:L37, "V")) + COUNTIF(L18:L37, "✗") + COUNTIF(L18:L37, "x") + COUNTIF(L18:L37, "X")), "")</f>
        <v/>
      </c>
      <c r="M39" s="134">
        <f>IF(((COUNTIF(M18:M37, "✓") + COUNTIF(M18:M37, "✔") + COUNTIF(M18:M37, "v") + COUNTIF(M18:M37, "V")) + COUNTIF(M18:M37, "✗") + COUNTIF(M18:M37, "x") + COUNTIF(M18:M37, "X")) &gt; 0, (COUNTIF(M18:M37, "✓") + COUNTIF(M18:M37, "✔") + COUNTIF(M18:M37, "v") + COUNTIF(M18:M37, "V")) / ((COUNTIF(M18:M37, "✓") + COUNTIF(M18:M37, "✔") + COUNTIF(M18:M37, "v") + COUNTIF(M18:M37, "V")) + COUNTIF(M18:M37, "✗") + COUNTIF(M18:M37, "x") + COUNTIF(M18:M37, "X")), "")</f>
        <v/>
      </c>
      <c r="N39" s="134">
        <f>IF(((COUNTIF(N18:N37, "✓") + COUNTIF(N18:N37, "✔") + COUNTIF(N18:N37, "v") + COUNTIF(N18:N37, "V")) + COUNTIF(N18:N37, "✗") + COUNTIF(N18:N37, "x") + COUNTIF(N18:N37, "X")) &gt; 0, (COUNTIF(N18:N37, "✓") + COUNTIF(N18:N37, "✔") + COUNTIF(N18:N37, "v") + COUNTIF(N18:N37, "V")) / ((COUNTIF(N18:N37, "✓") + COUNTIF(N18:N37, "✔") + COUNTIF(N18:N37, "v") + COUNTIF(N18:N37, "V")) + COUNTIF(N18:N37, "✗") + COUNTIF(N18:N37, "x") + COUNTIF(N18:N37, "X")), "")</f>
        <v/>
      </c>
      <c r="O39" s="134">
        <f>IF(((COUNTIF(O18:O37, "✓") + COUNTIF(O18:O37, "✔") + COUNTIF(O18:O37, "v") + COUNTIF(O18:O37, "V")) + COUNTIF(O18:O37, "✗") + COUNTIF(O18:O37, "x") + COUNTIF(O18:O37, "X")) &gt; 0, (COUNTIF(O18:O37, "✓") + COUNTIF(O18:O37, "✔") + COUNTIF(O18:O37, "v") + COUNTIF(O18:O37, "V")) / ((COUNTIF(O18:O37, "✓") + COUNTIF(O18:O37, "✔") + COUNTIF(O18:O37, "v") + COUNTIF(O18:O37, "V")) + COUNTIF(O18:O37, "✗") + COUNTIF(O18:O37, "x") + COUNTIF(O18:O37, "X")), "")</f>
        <v/>
      </c>
      <c r="P39" s="134">
        <f>IF(((COUNTIF(P18:P37, "✓") + COUNTIF(P18:P37, "✔") + COUNTIF(P18:P37, "v") + COUNTIF(P18:P37, "V")) + COUNTIF(P18:P37, "✗") + COUNTIF(P18:P37, "x") + COUNTIF(P18:P37, "X")) &gt; 0, (COUNTIF(P18:P37, "✓") + COUNTIF(P18:P37, "✔") + COUNTIF(P18:P37, "v") + COUNTIF(P18:P37, "V")) / ((COUNTIF(P18:P37, "✓") + COUNTIF(P18:P37, "✔") + COUNTIF(P18:P37, "v") + COUNTIF(P18:P37, "V")) + COUNTIF(P18:P37, "✗") + COUNTIF(P18:P37, "x") + COUNTIF(P18:P37, "X")), "")</f>
        <v/>
      </c>
      <c r="Q39" s="134">
        <f>IF(((COUNTIF(Q18:Q37, "✓") + COUNTIF(Q18:Q37, "✔") + COUNTIF(Q18:Q37, "v") + COUNTIF(Q18:Q37, "V")) + COUNTIF(Q18:Q37, "✗") + COUNTIF(Q18:Q37, "x") + COUNTIF(Q18:Q37, "X")) &gt; 0, (COUNTIF(Q18:Q37, "✓") + COUNTIF(Q18:Q37, "✔") + COUNTIF(Q18:Q37, "v") + COUNTIF(Q18:Q37, "V")) / ((COUNTIF(Q18:Q37, "✓") + COUNTIF(Q18:Q37, "✔") + COUNTIF(Q18:Q37, "v") + COUNTIF(Q18:Q37, "V")) + COUNTIF(Q18:Q37, "✗") + COUNTIF(Q18:Q37, "x") + COUNTIF(Q18:Q37, "X")), "")</f>
        <v/>
      </c>
      <c r="R39" s="134">
        <f>IF(((COUNTIF(R18:R37, "✓") + COUNTIF(R18:R37, "✔") + COUNTIF(R18:R37, "v") + COUNTIF(R18:R37, "V")) + COUNTIF(R18:R37, "✗") + COUNTIF(R18:R37, "x") + COUNTIF(R18:R37, "X")) &gt; 0, (COUNTIF(R18:R37, "✓") + COUNTIF(R18:R37, "✔") + COUNTIF(R18:R37, "v") + COUNTIF(R18:R37, "V")) / ((COUNTIF(R18:R37, "✓") + COUNTIF(R18:R37, "✔") + COUNTIF(R18:R37, "v") + COUNTIF(R18:R37, "V")) + COUNTIF(R18:R37, "✗") + COUNTIF(R18:R37, "x") + COUNTIF(R18:R37, "X")), "")</f>
        <v/>
      </c>
      <c r="S39" s="134">
        <f>IF(((COUNTIF(S18:S37, "✓") + COUNTIF(S18:S37, "✔") + COUNTIF(S18:S37, "v") + COUNTIF(S18:S37, "V")) + COUNTIF(S18:S37, "✗") + COUNTIF(S18:S37, "x") + COUNTIF(S18:S37, "X")) &gt; 0, (COUNTIF(S18:S37, "✓") + COUNTIF(S18:S37, "✔") + COUNTIF(S18:S37, "v") + COUNTIF(S18:S37, "V")) / ((COUNTIF(S18:S37, "✓") + COUNTIF(S18:S37, "✔") + COUNTIF(S18:S37, "v") + COUNTIF(S18:S37, "V")) + COUNTIF(S18:S37, "✗") + COUNTIF(S18:S37, "x") + COUNTIF(S18:S37, "X")), "")</f>
        <v/>
      </c>
      <c r="T39" s="134">
        <f>IF(((COUNTIF(T18:T37, "✓") + COUNTIF(T18:T37, "✔") + COUNTIF(T18:T37, "v") + COUNTIF(T18:T37, "V")) + COUNTIF(T18:T37, "✗") + COUNTIF(T18:T37, "x") + COUNTIF(T18:T37, "X")) &gt; 0, (COUNTIF(T18:T37, "✓") + COUNTIF(T18:T37, "✔") + COUNTIF(T18:T37, "v") + COUNTIF(T18:T37, "V")) / ((COUNTIF(T18:T37, "✓") + COUNTIF(T18:T37, "✔") + COUNTIF(T18:T37, "v") + COUNTIF(T18:T37, "V")) + COUNTIF(T18:T37, "✗") + COUNTIF(T18:T37, "x") + COUNTIF(T18:T37, "X")), "")</f>
        <v/>
      </c>
      <c r="U39" s="134">
        <f>IF(((COUNTIF(U18:U37, "✓") + COUNTIF(U18:U37, "✔") + COUNTIF(U18:U37, "v") + COUNTIF(U18:U37, "V")) + COUNTIF(U18:U37, "✗") + COUNTIF(U18:U37, "x") + COUNTIF(U18:U37, "X")) &gt; 0, (COUNTIF(U18:U37, "✓") + COUNTIF(U18:U37, "✔") + COUNTIF(U18:U37, "v") + COUNTIF(U18:U37, "V")) / ((COUNTIF(U18:U37, "✓") + COUNTIF(U18:U37, "✔") + COUNTIF(U18:U37, "v") + COUNTIF(U18:U37, "V")) + COUNTIF(U18:U37, "✗") + COUNTIF(U18:U37, "x") + COUNTIF(U18:U37, "X")), "")</f>
        <v/>
      </c>
      <c r="V39" s="134">
        <f>IF(((COUNTIF(V18:V37, "✓") + COUNTIF(V18:V37, "✔") + COUNTIF(V18:V37, "v") + COUNTIF(V18:V37, "V")) + COUNTIF(V18:V37, "✗") + COUNTIF(V18:V37, "x") + COUNTIF(V18:V37, "X")) &gt; 0, (COUNTIF(V18:V37, "✓") + COUNTIF(V18:V37, "✔") + COUNTIF(V18:V37, "v") + COUNTIF(V18:V37, "V")) / ((COUNTIF(V18:V37, "✓") + COUNTIF(V18:V37, "✔") + COUNTIF(V18:V37, "v") + COUNTIF(V18:V37, "V")) + COUNTIF(V18:V37, "✗") + COUNTIF(V18:V37, "x") + COUNTIF(V18:V37, "X")), "")</f>
        <v/>
      </c>
      <c r="W39" s="134">
        <f>IF(((COUNTIF(W18:W37, "✓") + COUNTIF(W18:W37, "✔") + COUNTIF(W18:W37, "v") + COUNTIF(W18:W37, "V")) + COUNTIF(W18:W37, "✗") + COUNTIF(W18:W37, "x") + COUNTIF(W18:W37, "X")) &gt; 0, (COUNTIF(W18:W37, "✓") + COUNTIF(W18:W37, "✔") + COUNTIF(W18:W37, "v") + COUNTIF(W18:W37, "V")) / ((COUNTIF(W18:W37, "✓") + COUNTIF(W18:W37, "✔") + COUNTIF(W18:W37, "v") + COUNTIF(W18:W37, "V")) + COUNTIF(W18:W37, "✗") + COUNTIF(W18:W37, "x") + COUNTIF(W18:W37, "X")), "")</f>
        <v/>
      </c>
      <c r="X39" s="134">
        <f>IF(((COUNTIF(X18:X37, "✓") + COUNTIF(X18:X37, "✔") + COUNTIF(X18:X37, "v") + COUNTIF(X18:X37, "V")) + COUNTIF(X18:X37, "✗") + COUNTIF(X18:X37, "x") + COUNTIF(X18:X37, "X")) &gt; 0, (COUNTIF(X18:X37, "✓") + COUNTIF(X18:X37, "✔") + COUNTIF(X18:X37, "v") + COUNTIF(X18:X37, "V")) / ((COUNTIF(X18:X37, "✓") + COUNTIF(X18:X37, "✔") + COUNTIF(X18:X37, "v") + COUNTIF(X18:X37, "V")) + COUNTIF(X18:X37, "✗") + COUNTIF(X18:X37, "x") + COUNTIF(X18:X37, "X")), "")</f>
        <v/>
      </c>
      <c r="Y39" s="134">
        <f>IF(((COUNTIF(Y18:Y37, "✓") + COUNTIF(Y18:Y37, "✔") + COUNTIF(Y18:Y37, "v") + COUNTIF(Y18:Y37, "V")) + COUNTIF(Y18:Y37, "✗") + COUNTIF(Y18:Y37, "x") + COUNTIF(Y18:Y37, "X")) &gt; 0, (COUNTIF(Y18:Y37, "✓") + COUNTIF(Y18:Y37, "✔") + COUNTIF(Y18:Y37, "v") + COUNTIF(Y18:Y37, "V")) / ((COUNTIF(Y18:Y37, "✓") + COUNTIF(Y18:Y37, "✔") + COUNTIF(Y18:Y37, "v") + COUNTIF(Y18:Y37, "V")) + COUNTIF(Y18:Y37, "✗") + COUNTIF(Y18:Y37, "x") + COUNTIF(Y18:Y37, "X")), "")</f>
        <v/>
      </c>
      <c r="Z39" s="134">
        <f>IF(((COUNTIF(Z18:Z37, "✓") + COUNTIF(Z18:Z37, "✔") + COUNTIF(Z18:Z37, "v") + COUNTIF(Z18:Z37, "V")) + COUNTIF(Z18:Z37, "✗") + COUNTIF(Z18:Z37, "x") + COUNTIF(Z18:Z37, "X")) &gt; 0, (COUNTIF(Z18:Z37, "✓") + COUNTIF(Z18:Z37, "✔") + COUNTIF(Z18:Z37, "v") + COUNTIF(Z18:Z37, "V")) / ((COUNTIF(Z18:Z37, "✓") + COUNTIF(Z18:Z37, "✔") + COUNTIF(Z18:Z37, "v") + COUNTIF(Z18:Z37, "V")) + COUNTIF(Z18:Z37, "✗") + COUNTIF(Z18:Z37, "x") + COUNTIF(Z18:Z37, "X")), "")</f>
        <v/>
      </c>
      <c r="AA39" s="134">
        <f>IF(((COUNTIF(AA18:AA37, "✓") + COUNTIF(AA18:AA37, "✔") + COUNTIF(AA18:AA37, "v") + COUNTIF(AA18:AA37, "V")) + COUNTIF(AA18:AA37, "✗") + COUNTIF(AA18:AA37, "x") + COUNTIF(AA18:AA37, "X")) &gt; 0, (COUNTIF(AA18:AA37, "✓") + COUNTIF(AA18:AA37, "✔") + COUNTIF(AA18:AA37, "v") + COUNTIF(AA18:AA37, "V")) / ((COUNTIF(AA18:AA37, "✓") + COUNTIF(AA18:AA37, "✔") + COUNTIF(AA18:AA37, "v") + COUNTIF(AA18:AA37, "V")) + COUNTIF(AA18:AA37, "✗") + COUNTIF(AA18:AA37, "x") + COUNTIF(AA18:AA37, "X")), "")</f>
        <v/>
      </c>
      <c r="AB39" s="134">
        <f>IF(((COUNTIF(AB18:AB37, "✓") + COUNTIF(AB18:AB37, "✔") + COUNTIF(AB18:AB37, "v") + COUNTIF(AB18:AB37, "V")) + COUNTIF(AB18:AB37, "✗") + COUNTIF(AB18:AB37, "x") + COUNTIF(AB18:AB37, "X")) &gt; 0, (COUNTIF(AB18:AB37, "✓") + COUNTIF(AB18:AB37, "✔") + COUNTIF(AB18:AB37, "v") + COUNTIF(AB18:AB37, "V")) / ((COUNTIF(AB18:AB37, "✓") + COUNTIF(AB18:AB37, "✔") + COUNTIF(AB18:AB37, "v") + COUNTIF(AB18:AB37, "V")) + COUNTIF(AB18:AB37, "✗") + COUNTIF(AB18:AB37, "x") + COUNTIF(AB18:AB37, "X")), "")</f>
        <v/>
      </c>
      <c r="AC39" s="134">
        <f>IF(((COUNTIF(AC18:AC37, "✓") + COUNTIF(AC18:AC37, "✔") + COUNTIF(AC18:AC37, "v") + COUNTIF(AC18:AC37, "V")) + COUNTIF(AC18:AC37, "✗") + COUNTIF(AC18:AC37, "x") + COUNTIF(AC18:AC37, "X")) &gt; 0, (COUNTIF(AC18:AC37, "✓") + COUNTIF(AC18:AC37, "✔") + COUNTIF(AC18:AC37, "v") + COUNTIF(AC18:AC37, "V")) / ((COUNTIF(AC18:AC37, "✓") + COUNTIF(AC18:AC37, "✔") + COUNTIF(AC18:AC37, "v") + COUNTIF(AC18:AC37, "V")) + COUNTIF(AC18:AC37, "✗") + COUNTIF(AC18:AC37, "x") + COUNTIF(AC18:AC37, "X")), "")</f>
        <v/>
      </c>
      <c r="AD39" s="134">
        <f>IF(((COUNTIF(AD18:AD37, "✓") + COUNTIF(AD18:AD37, "✔") + COUNTIF(AD18:AD37, "v") + COUNTIF(AD18:AD37, "V")) + COUNTIF(AD18:AD37, "✗") + COUNTIF(AD18:AD37, "x") + COUNTIF(AD18:AD37, "X")) &gt; 0, (COUNTIF(AD18:AD37, "✓") + COUNTIF(AD18:AD37, "✔") + COUNTIF(AD18:AD37, "v") + COUNTIF(AD18:AD37, "V")) / ((COUNTIF(AD18:AD37, "✓") + COUNTIF(AD18:AD37, "✔") + COUNTIF(AD18:AD37, "v") + COUNTIF(AD18:AD37, "V")) + COUNTIF(AD18:AD37, "✗") + COUNTIF(AD18:AD37, "x") + COUNTIF(AD18:AD37, "X")), "")</f>
        <v/>
      </c>
      <c r="AE39" s="134">
        <f>IF(((COUNTIF(AE18:AE37, "✓") + COUNTIF(AE18:AE37, "✔") + COUNTIF(AE18:AE37, "v") + COUNTIF(AE18:AE37, "V")) + COUNTIF(AE18:AE37, "✗") + COUNTIF(AE18:AE37, "x") + COUNTIF(AE18:AE37, "X")) &gt; 0, (COUNTIF(AE18:AE37, "✓") + COUNTIF(AE18:AE37, "✔") + COUNTIF(AE18:AE37, "v") + COUNTIF(AE18:AE37, "V")) / ((COUNTIF(AE18:AE37, "✓") + COUNTIF(AE18:AE37, "✔") + COUNTIF(AE18:AE37, "v") + COUNTIF(AE18:AE37, "V")) + COUNTIF(AE18:AE37, "✗") + COUNTIF(AE18:AE37, "x") + COUNTIF(AE18:AE37, "X")), "")</f>
        <v/>
      </c>
      <c r="AF39" s="134">
        <f>IF(((COUNTIF(AF18:AF37, "✓") + COUNTIF(AF18:AF37, "✔") + COUNTIF(AF18:AF37, "v") + COUNTIF(AF18:AF37, "V")) + COUNTIF(AF18:AF37, "✗") + COUNTIF(AF18:AF37, "x") + COUNTIF(AF18:AF37, "X")) &gt; 0, (COUNTIF(AF18:AF37, "✓") + COUNTIF(AF18:AF37, "✔") + COUNTIF(AF18:AF37, "v") + COUNTIF(AF18:AF37, "V")) / ((COUNTIF(AF18:AF37, "✓") + COUNTIF(AF18:AF37, "✔") + COUNTIF(AF18:AF37, "v") + COUNTIF(AF18:AF37, "V")) + COUNTIF(AF18:AF37, "✗") + COUNTIF(AF18:AF37, "x") + COUNTIF(AF18:AF37, "X")), "")</f>
        <v/>
      </c>
      <c r="AG39" s="134">
        <f>IF(((COUNTIF(AG18:AG37, "✓") + COUNTIF(AG18:AG37, "✔") + COUNTIF(AG18:AG37, "v") + COUNTIF(AG18:AG37, "V")) + COUNTIF(AG18:AG37, "✗") + COUNTIF(AG18:AG37, "x") + COUNTIF(AG18:AG37, "X")) &gt; 0, (COUNTIF(AG18:AG37, "✓") + COUNTIF(AG18:AG37, "✔") + COUNTIF(AG18:AG37, "v") + COUNTIF(AG18:AG37, "V")) / ((COUNTIF(AG18:AG37, "✓") + COUNTIF(AG18:AG37, "✔") + COUNTIF(AG18:AG37, "v") + COUNTIF(AG18:AG37, "V")) + COUNTIF(AG18:AG37, "✗") + COUNTIF(AG18:AG37, "x") + COUNTIF(AG18:AG37, "X")), "")</f>
        <v/>
      </c>
      <c r="AH39" s="134">
        <f>IF(((COUNTIF(AH18:AH37, "✓") + COUNTIF(AH18:AH37, "✔") + COUNTIF(AH18:AH37, "v") + COUNTIF(AH18:AH37, "V")) + COUNTIF(AH18:AH37, "✗") + COUNTIF(AH18:AH37, "x") + COUNTIF(AH18:AH37, "X")) &gt; 0, (COUNTIF(AH18:AH37, "✓") + COUNTIF(AH18:AH37, "✔") + COUNTIF(AH18:AH37, "v") + COUNTIF(AH18:AH37, "V")) / ((COUNTIF(AH18:AH37, "✓") + COUNTIF(AH18:AH37, "✔") + COUNTIF(AH18:AH37, "v") + COUNTIF(AH18:AH37, "V")) + COUNTIF(AH18:AH37, "✗") + COUNTIF(AH18:AH37, "x") + COUNTIF(AH18:AH37, "X")), "")</f>
        <v/>
      </c>
      <c r="AI39" s="133">
        <f>IF(COUNT(E39:AH39) &gt; 0, AVERAGE(E39:AH39), "")</f>
        <v/>
      </c>
      <c r="AJ39" s="54" t="n"/>
      <c r="AK39" s="54" t="n"/>
    </row>
    <row r="40" ht="6" customHeight="1"/>
    <row r="41" ht="15" customHeight="1">
      <c r="A41" s="135" t="inlineStr">
        <is>
          <t>IF SUCCESS &lt; 80%, PUNISHMENT: ________________________________________________</t>
        </is>
      </c>
    </row>
    <row r="42" ht="15" customHeight="1">
      <c r="A42" s="136" t="inlineStr">
        <is>
          <t>IF SUCCESS &gt; 90%, REWARD: __________________________________________________</t>
        </is>
      </c>
    </row>
    <row r="43" ht="10" customHeight="1"/>
    <row r="44" ht="10" customHeight="1"/>
    <row r="45" ht="15" customHeight="1">
      <c r="A45" s="51" t="inlineStr">
        <is>
          <t>Sleep Tracking</t>
        </is>
      </c>
      <c r="B45" s="52" t="n"/>
      <c r="C45" s="52" t="n"/>
      <c r="D45" s="52" t="n"/>
      <c r="E45" s="138" t="n">
        <v>1</v>
      </c>
      <c r="F45" s="137" t="n">
        <v>2</v>
      </c>
      <c r="G45" s="137" t="n">
        <v>3</v>
      </c>
      <c r="H45" s="137" t="n">
        <v>4</v>
      </c>
      <c r="I45" s="137" t="n">
        <v>5</v>
      </c>
      <c r="J45" s="137" t="n">
        <v>6</v>
      </c>
      <c r="K45" s="137" t="n">
        <v>7</v>
      </c>
      <c r="L45" s="138" t="n">
        <v>8</v>
      </c>
      <c r="M45" s="137" t="n">
        <v>9</v>
      </c>
      <c r="N45" s="137" t="n">
        <v>10</v>
      </c>
      <c r="O45" s="137" t="n">
        <v>11</v>
      </c>
      <c r="P45" s="137" t="n">
        <v>12</v>
      </c>
      <c r="Q45" s="137" t="n">
        <v>13</v>
      </c>
      <c r="R45" s="137" t="n">
        <v>14</v>
      </c>
      <c r="S45" s="138" t="n">
        <v>15</v>
      </c>
      <c r="T45" s="137" t="n">
        <v>16</v>
      </c>
      <c r="U45" s="137" t="n">
        <v>17</v>
      </c>
      <c r="V45" s="137" t="n">
        <v>18</v>
      </c>
      <c r="W45" s="137" t="n">
        <v>19</v>
      </c>
      <c r="X45" s="137" t="n">
        <v>20</v>
      </c>
      <c r="Y45" s="137" t="n">
        <v>21</v>
      </c>
      <c r="Z45" s="138" t="n">
        <v>22</v>
      </c>
      <c r="AA45" s="137" t="n">
        <v>23</v>
      </c>
      <c r="AB45" s="137" t="n">
        <v>24</v>
      </c>
      <c r="AC45" s="137" t="n">
        <v>25</v>
      </c>
      <c r="AD45" s="137" t="n">
        <v>26</v>
      </c>
      <c r="AE45" s="137" t="n">
        <v>27</v>
      </c>
      <c r="AF45" s="137" t="n">
        <v>28</v>
      </c>
      <c r="AG45" s="138" t="n">
        <v>29</v>
      </c>
      <c r="AH45" s="137" t="n">
        <v>30</v>
      </c>
    </row>
    <row r="46" ht="15" customHeight="1">
      <c r="A46" s="52" t="n"/>
      <c r="B46" s="52" t="n"/>
      <c r="C46" s="52" t="n"/>
      <c r="D46" s="52" t="n"/>
      <c r="E46" s="140" t="inlineStr">
        <is>
          <t>Su</t>
        </is>
      </c>
      <c r="F46" s="139" t="inlineStr">
        <is>
          <t>M</t>
        </is>
      </c>
      <c r="G46" s="139" t="inlineStr">
        <is>
          <t>T</t>
        </is>
      </c>
      <c r="H46" s="139" t="inlineStr">
        <is>
          <t>W</t>
        </is>
      </c>
      <c r="I46" s="139" t="inlineStr">
        <is>
          <t>Th</t>
        </is>
      </c>
      <c r="J46" s="139" t="inlineStr">
        <is>
          <t>F</t>
        </is>
      </c>
      <c r="K46" s="139" t="inlineStr">
        <is>
          <t>Sa</t>
        </is>
      </c>
      <c r="L46" s="140" t="inlineStr">
        <is>
          <t>Su</t>
        </is>
      </c>
      <c r="M46" s="139" t="inlineStr">
        <is>
          <t>M</t>
        </is>
      </c>
      <c r="N46" s="139" t="inlineStr">
        <is>
          <t>T</t>
        </is>
      </c>
      <c r="O46" s="139" t="inlineStr">
        <is>
          <t>W</t>
        </is>
      </c>
      <c r="P46" s="139" t="inlineStr">
        <is>
          <t>Th</t>
        </is>
      </c>
      <c r="Q46" s="139" t="inlineStr">
        <is>
          <t>F</t>
        </is>
      </c>
      <c r="R46" s="139" t="inlineStr">
        <is>
          <t>Sa</t>
        </is>
      </c>
      <c r="S46" s="140" t="inlineStr">
        <is>
          <t>Su</t>
        </is>
      </c>
      <c r="T46" s="139" t="inlineStr">
        <is>
          <t>M</t>
        </is>
      </c>
      <c r="U46" s="139" t="inlineStr">
        <is>
          <t>T</t>
        </is>
      </c>
      <c r="V46" s="139" t="inlineStr">
        <is>
          <t>W</t>
        </is>
      </c>
      <c r="W46" s="139" t="inlineStr">
        <is>
          <t>Th</t>
        </is>
      </c>
      <c r="X46" s="139" t="inlineStr">
        <is>
          <t>F</t>
        </is>
      </c>
      <c r="Y46" s="139" t="inlineStr">
        <is>
          <t>Sa</t>
        </is>
      </c>
      <c r="Z46" s="140" t="inlineStr">
        <is>
          <t>Su</t>
        </is>
      </c>
      <c r="AA46" s="139" t="inlineStr">
        <is>
          <t>M</t>
        </is>
      </c>
      <c r="AB46" s="139" t="inlineStr">
        <is>
          <t>T</t>
        </is>
      </c>
      <c r="AC46" s="139" t="inlineStr">
        <is>
          <t>W</t>
        </is>
      </c>
      <c r="AD46" s="139" t="inlineStr">
        <is>
          <t>Th</t>
        </is>
      </c>
      <c r="AE46" s="139" t="inlineStr">
        <is>
          <t>F</t>
        </is>
      </c>
      <c r="AF46" s="139" t="inlineStr">
        <is>
          <t>Sa</t>
        </is>
      </c>
      <c r="AG46" s="140" t="inlineStr">
        <is>
          <t>Su</t>
        </is>
      </c>
      <c r="AH46" s="139" t="inlineStr">
        <is>
          <t>M</t>
        </is>
      </c>
    </row>
    <row r="47" ht="20" customHeight="1">
      <c r="A47" s="141" t="inlineStr">
        <is>
          <t>Sleep Hours (1-24)</t>
        </is>
      </c>
      <c r="B47" s="142" t="n"/>
      <c r="C47" s="142" t="n"/>
      <c r="D47" s="142" t="n"/>
      <c r="E47" s="144" t="n"/>
      <c r="F47" s="143" t="n"/>
      <c r="G47" s="143" t="n"/>
      <c r="H47" s="143" t="n"/>
      <c r="I47" s="143" t="n"/>
      <c r="J47" s="143" t="n"/>
      <c r="K47" s="143" t="n"/>
      <c r="L47" s="144" t="n"/>
      <c r="M47" s="143" t="n"/>
      <c r="N47" s="143" t="n"/>
      <c r="O47" s="143" t="n"/>
      <c r="P47" s="143" t="n"/>
      <c r="Q47" s="143" t="n"/>
      <c r="R47" s="143" t="n"/>
      <c r="S47" s="144" t="n"/>
      <c r="T47" s="143" t="n"/>
      <c r="U47" s="143" t="n"/>
      <c r="V47" s="143" t="n"/>
      <c r="W47" s="143" t="n"/>
      <c r="X47" s="143" t="n"/>
      <c r="Y47" s="143" t="n"/>
      <c r="Z47" s="144" t="n"/>
      <c r="AA47" s="143" t="n"/>
      <c r="AB47" s="143" t="n"/>
      <c r="AC47" s="143" t="n"/>
      <c r="AD47" s="143" t="n"/>
      <c r="AE47" s="143" t="n"/>
      <c r="AF47" s="143" t="n"/>
      <c r="AG47" s="144" t="n"/>
      <c r="AH47" s="143" t="n"/>
    </row>
    <row r="48" ht="6" customHeight="1"/>
    <row r="49" ht="14" customHeight="1"/>
    <row r="50" ht="14" customHeight="1"/>
    <row r="51" ht="14" customHeight="1"/>
    <row r="52" ht="14" customHeight="1"/>
    <row r="53" ht="14" customHeight="1"/>
    <row r="54" ht="14" customHeight="1"/>
    <row r="55" ht="14" customHeight="1"/>
    <row r="56" ht="14" customHeight="1"/>
    <row r="57" ht="14" customHeight="1"/>
    <row r="58" ht="14" customHeight="1"/>
    <row r="59" ht="14" customHeight="1"/>
    <row r="60" ht="14" customHeight="1"/>
    <row r="61" ht="14" customHeight="1"/>
    <row r="62" ht="14" customHeight="1"/>
    <row r="63" ht="14" customHeight="1"/>
    <row r="64" ht="14" customHeight="1"/>
    <row r="65" ht="14" customHeight="1"/>
    <row r="66" ht="8" customHeight="1"/>
    <row r="67">
      <c r="A67" s="145" t="inlineStr">
        <is>
          <t>MONTHLY SUCCESS RATE</t>
        </is>
      </c>
      <c r="B67" s="9" t="n"/>
      <c r="C67" s="9" t="n"/>
      <c r="D67" s="9" t="n"/>
      <c r="F67" s="146" t="inlineStr">
        <is>
          <t>ACTIVE PROTOCOLS</t>
        </is>
      </c>
      <c r="G67" s="11" t="n"/>
      <c r="H67" s="11" t="n"/>
      <c r="I67" s="11" t="n"/>
      <c r="K67" s="147" t="inlineStr">
        <is>
          <t>PERFECT DAYS (100%)</t>
        </is>
      </c>
      <c r="L67" s="13" t="n"/>
      <c r="M67" s="13" t="n"/>
      <c r="N67" s="13" t="n"/>
      <c r="P67" s="148" t="inlineStr">
        <is>
          <t>AVG SLEEP DURATION</t>
        </is>
      </c>
      <c r="Q67" s="15" t="n"/>
      <c r="R67" s="15" t="n"/>
      <c r="S67" s="15" t="n"/>
    </row>
    <row r="68">
      <c r="A68" s="149">
        <f>IF(SUM(D18:D37)&gt;0, SUM(AL18:AL37)/SUM(D18:D37), 0)</f>
        <v/>
      </c>
      <c r="B68" s="9" t="n"/>
      <c r="C68" s="9" t="n"/>
      <c r="D68" s="9" t="n"/>
      <c r="F68" s="150">
        <f>COUNTA(B18:B37) &amp; " / 20"</f>
        <v/>
      </c>
      <c r="G68" s="11" t="n"/>
      <c r="H68" s="11" t="n"/>
      <c r="I68" s="11" t="n"/>
      <c r="K68" s="151">
        <f>COUNTIF(E39:AH39, 1) &amp; " Days"</f>
        <v/>
      </c>
      <c r="L68" s="13" t="n"/>
      <c r="M68" s="13" t="n"/>
      <c r="N68" s="13" t="n"/>
      <c r="P68" s="152">
        <f>IFERROR(TEXT(AVERAGE(E47:AH47), "0.0") &amp; " hrs", "-")</f>
        <v/>
      </c>
      <c r="Q68" s="15" t="n"/>
      <c r="R68" s="15" t="n"/>
      <c r="S68" s="15" t="n"/>
    </row>
    <row r="69">
      <c r="A69" s="9" t="n"/>
      <c r="B69" s="9" t="n"/>
      <c r="C69" s="9" t="n"/>
      <c r="D69" s="9" t="n"/>
      <c r="F69" s="11" t="n"/>
      <c r="G69" s="11" t="n"/>
      <c r="H69" s="11" t="n"/>
      <c r="I69" s="11" t="n"/>
      <c r="K69" s="13" t="n"/>
      <c r="L69" s="13" t="n"/>
      <c r="M69" s="13" t="n"/>
      <c r="N69" s="13" t="n"/>
      <c r="P69" s="15" t="n"/>
      <c r="Q69" s="15" t="n"/>
      <c r="R69" s="15" t="n"/>
      <c r="S69" s="15" t="n"/>
    </row>
    <row r="70">
      <c r="A70" s="9" t="n"/>
      <c r="B70" s="9" t="n"/>
      <c r="C70" s="9" t="n"/>
      <c r="D70" s="9" t="n"/>
      <c r="F70" s="11" t="n"/>
      <c r="G70" s="11" t="n"/>
      <c r="H70" s="11" t="n"/>
      <c r="I70" s="11" t="n"/>
      <c r="K70" s="13" t="n"/>
      <c r="L70" s="13" t="n"/>
      <c r="M70" s="13" t="n"/>
      <c r="N70" s="13" t="n"/>
      <c r="P70" s="15" t="n"/>
      <c r="Q70" s="15" t="n"/>
      <c r="R70" s="15" t="n"/>
      <c r="S70" s="15" t="n"/>
    </row>
    <row r="71">
      <c r="A71" s="153" t="inlineStr">
        <is>
          <t>Target Completion</t>
        </is>
      </c>
      <c r="B71" s="9" t="n"/>
      <c r="C71" s="9" t="n"/>
      <c r="D71" s="9" t="n"/>
      <c r="F71" s="154" t="inlineStr">
        <is>
          <t>Habits Tracked</t>
        </is>
      </c>
      <c r="G71" s="11" t="n"/>
      <c r="H71" s="11" t="n"/>
      <c r="I71" s="11" t="n"/>
      <c r="K71" s="155" t="inlineStr">
        <is>
          <t>All Marked Habits Completed</t>
        </is>
      </c>
      <c r="L71" s="13" t="n"/>
      <c r="M71" s="13" t="n"/>
      <c r="N71" s="13" t="n"/>
      <c r="P71" s="156" t="inlineStr">
        <is>
          <t>Nightly Rest Average</t>
        </is>
      </c>
      <c r="Q71" s="15" t="n"/>
      <c r="R71" s="15" t="n"/>
      <c r="S71" s="15" t="n"/>
    </row>
    <row r="72" ht="8" customHeight="1"/>
    <row r="73" ht="6" customHeight="1"/>
    <row r="74">
      <c r="A74" s="67" t="inlineStr">
        <is>
          <t>WEEKLY PERFORMANCE (SLUMP DETECTOR)</t>
        </is>
      </c>
      <c r="B74" s="29" t="n"/>
      <c r="C74" s="29" t="n"/>
      <c r="D74" s="29" t="n"/>
      <c r="E74" s="29" t="n"/>
      <c r="N74" s="157" t="inlineStr">
        <is>
          <t>LIFE DOMAIN / CATEGORY BREAKDOWN</t>
        </is>
      </c>
      <c r="O74" s="158" t="n"/>
      <c r="P74" s="158" t="n"/>
      <c r="Q74" s="158" t="n"/>
      <c r="R74" s="158" t="n"/>
      <c r="S74" s="158" t="n"/>
    </row>
    <row r="75" ht="15" customHeight="1">
      <c r="A75" s="53" t="inlineStr">
        <is>
          <t>Week</t>
        </is>
      </c>
      <c r="B75" s="53" t="inlineStr">
        <is>
          <t>Days Range</t>
        </is>
      </c>
      <c r="C75" s="53" t="inlineStr">
        <is>
          <t>Checks Done</t>
        </is>
      </c>
      <c r="D75" s="53" t="inlineStr">
        <is>
          <t>Evaluated</t>
        </is>
      </c>
      <c r="E75" s="53" t="inlineStr">
        <is>
          <t>Success %</t>
        </is>
      </c>
      <c r="N75" s="53" t="inlineStr">
        <is>
          <t>Domain / Category</t>
        </is>
      </c>
      <c r="O75" s="54" t="n"/>
      <c r="P75" s="53" t="inlineStr">
        <is>
          <t>Active Habits</t>
        </is>
      </c>
      <c r="Q75" s="53" t="inlineStr">
        <is>
          <t>Target Days</t>
        </is>
      </c>
      <c r="R75" s="53" t="inlineStr">
        <is>
          <t>Done Checks</t>
        </is>
      </c>
      <c r="S75" s="53" t="inlineStr">
        <is>
          <t>Success %</t>
        </is>
      </c>
    </row>
    <row r="76" ht="14" customHeight="1">
      <c r="A76" s="33" t="inlineStr">
        <is>
          <t>Week 1</t>
        </is>
      </c>
      <c r="B76" s="34" t="inlineStr">
        <is>
          <t>Days 1 - 7</t>
        </is>
      </c>
      <c r="C76" s="34">
        <f>COUNTIF(E18:K37, "✓")</f>
        <v/>
      </c>
      <c r="D76" s="34">
        <f>COUNTIF(E18:K37, "✓") + COUNTIF(E18:K37, "✗")</f>
        <v/>
      </c>
      <c r="E76" s="35">
        <f>IFERROR(C76/D76, 0)</f>
        <v/>
      </c>
      <c r="N76" s="60" t="inlineStr">
        <is>
          <t>Health &amp; Fitness</t>
        </is>
      </c>
      <c r="O76" s="54" t="n"/>
      <c r="P76" s="34">
        <f>COUNTIF($C$18:$C$37, "Health &amp; Fitness")</f>
        <v/>
      </c>
      <c r="Q76" s="34">
        <f>SUMIF($C$18:$C$37, "Health &amp; Fitness", $D$18:$D$37)</f>
        <v/>
      </c>
      <c r="R76" s="34">
        <f>SUMIF($C$18:$C$37, "Health &amp; Fitness", $AL$18:$AL$37)</f>
        <v/>
      </c>
      <c r="S76" s="35">
        <f>IFERROR(R76/Q76, 0)</f>
        <v/>
      </c>
    </row>
    <row r="77" ht="14" customHeight="1">
      <c r="A77" s="33" t="inlineStr">
        <is>
          <t>Week 2</t>
        </is>
      </c>
      <c r="B77" s="34" t="inlineStr">
        <is>
          <t>Days 8 - 14</t>
        </is>
      </c>
      <c r="C77" s="34">
        <f>COUNTIF(L18:R37, "✓")</f>
        <v/>
      </c>
      <c r="D77" s="34">
        <f>COUNTIF(L18:R37, "✓") + COUNTIF(L18:R37, "✗")</f>
        <v/>
      </c>
      <c r="E77" s="35">
        <f>IFERROR(C77/D77, 0)</f>
        <v/>
      </c>
      <c r="N77" s="60" t="inlineStr">
        <is>
          <t>Mindset &amp; Learning</t>
        </is>
      </c>
      <c r="O77" s="54" t="n"/>
      <c r="P77" s="34">
        <f>COUNTIF($C$18:$C$37, "Mindset &amp; Learning")</f>
        <v/>
      </c>
      <c r="Q77" s="34">
        <f>SUMIF($C$18:$C$37, "Mindset &amp; Learning", $D$18:$D$37)</f>
        <v/>
      </c>
      <c r="R77" s="34">
        <f>SUMIF($C$18:$C$37, "Mindset &amp; Learning", $AL$18:$AL$37)</f>
        <v/>
      </c>
      <c r="S77" s="35">
        <f>IFERROR(R77/Q77, 0)</f>
        <v/>
      </c>
    </row>
    <row r="78" ht="14" customHeight="1">
      <c r="A78" s="33" t="inlineStr">
        <is>
          <t>Week 3</t>
        </is>
      </c>
      <c r="B78" s="34" t="inlineStr">
        <is>
          <t>Days 15 - 21</t>
        </is>
      </c>
      <c r="C78" s="34">
        <f>COUNTIF(S18:Y37, "✓")</f>
        <v/>
      </c>
      <c r="D78" s="34">
        <f>COUNTIF(S18:Y37, "✓") + COUNTIF(S18:Y37, "✗")</f>
        <v/>
      </c>
      <c r="E78" s="35">
        <f>IFERROR(C78/D78, 0)</f>
        <v/>
      </c>
      <c r="N78" s="60" t="inlineStr">
        <is>
          <t>Career &amp; Focus</t>
        </is>
      </c>
      <c r="O78" s="54" t="n"/>
      <c r="P78" s="34">
        <f>COUNTIF($C$18:$C$37, "Career &amp; Focus")</f>
        <v/>
      </c>
      <c r="Q78" s="34">
        <f>SUMIF($C$18:$C$37, "Career &amp; Focus", $D$18:$D$37)</f>
        <v/>
      </c>
      <c r="R78" s="34">
        <f>SUMIF($C$18:$C$37, "Career &amp; Focus", $AL$18:$AL$37)</f>
        <v/>
      </c>
      <c r="S78" s="35">
        <f>IFERROR(R78/Q78, 0)</f>
        <v/>
      </c>
    </row>
    <row r="79" ht="14" customHeight="1">
      <c r="A79" s="33" t="inlineStr">
        <is>
          <t>Week 4</t>
        </is>
      </c>
      <c r="B79" s="34" t="inlineStr">
        <is>
          <t>Days 22 - 28</t>
        </is>
      </c>
      <c r="C79" s="34">
        <f>COUNTIF(Z18:AF37, "✓")</f>
        <v/>
      </c>
      <c r="D79" s="34">
        <f>COUNTIF(Z18:AF37, "✓") + COUNTIF(Z18:AF37, "✗")</f>
        <v/>
      </c>
      <c r="E79" s="35">
        <f>IFERROR(C79/D79, 0)</f>
        <v/>
      </c>
      <c r="N79" s="60" t="inlineStr">
        <is>
          <t>Personal &amp; Home</t>
        </is>
      </c>
      <c r="O79" s="54" t="n"/>
      <c r="P79" s="34">
        <f>COUNTIF($C$18:$C$37, "Personal &amp; Home")</f>
        <v/>
      </c>
      <c r="Q79" s="34">
        <f>SUMIF($C$18:$C$37, "Personal &amp; Home", $D$18:$D$37)</f>
        <v/>
      </c>
      <c r="R79" s="34">
        <f>SUMIF($C$18:$C$37, "Personal &amp; Home", $AL$18:$AL$37)</f>
        <v/>
      </c>
      <c r="S79" s="35">
        <f>IFERROR(R79/Q79, 0)</f>
        <v/>
      </c>
    </row>
    <row r="80" ht="14" customHeight="1">
      <c r="A80" s="33" t="inlineStr">
        <is>
          <t>Week 5</t>
        </is>
      </c>
      <c r="B80" s="34" t="inlineStr">
        <is>
          <t>Days 29 - 30</t>
        </is>
      </c>
      <c r="C80" s="34">
        <f>COUNTIF(AG18:AH37, "✓")</f>
        <v/>
      </c>
      <c r="D80" s="34">
        <f>COUNTIF(AG18:AH37, "✓") + COUNTIF(AG18:AH37, "✗")</f>
        <v/>
      </c>
      <c r="E80" s="35">
        <f>IFERROR(C80/D80, 0)</f>
        <v/>
      </c>
      <c r="N80" s="60" t="inlineStr">
        <is>
          <t>Finance &amp; Wealth</t>
        </is>
      </c>
      <c r="O80" s="54" t="n"/>
      <c r="P80" s="34">
        <f>COUNTIF($C$18:$C$37, "Finance &amp; Wealth")</f>
        <v/>
      </c>
      <c r="Q80" s="34">
        <f>SUMIF($C$18:$C$37, "Finance &amp; Wealth", $D$18:$D$37)</f>
        <v/>
      </c>
      <c r="R80" s="34">
        <f>SUMIF($C$18:$C$37, "Finance &amp; Wealth", $AL$18:$AL$37)</f>
        <v/>
      </c>
      <c r="S80" s="35">
        <f>IFERROR(R80/Q80, 0)</f>
        <v/>
      </c>
    </row>
    <row r="81" ht="14" customHeight="1">
      <c r="A81" s="33" t="inlineStr">
        <is>
          <t>Total / Avg</t>
        </is>
      </c>
      <c r="B81" s="159" t="inlineStr">
        <is>
          <t>Month Total</t>
        </is>
      </c>
      <c r="C81" s="33">
        <f>SUM(C76:C80)</f>
        <v/>
      </c>
      <c r="D81" s="33">
        <f>SUM(D76:D80)</f>
        <v/>
      </c>
      <c r="E81" s="133">
        <f>IFERROR(C81/D81, 0)</f>
        <v/>
      </c>
    </row>
    <row r="82" ht="10" customHeight="1"/>
    <row r="83" ht="10" customHeight="1"/>
    <row r="84">
      <c r="A84" s="51" t="inlineStr">
        <is>
          <t>SLEEP &amp; PRODUCTIVITY CORRELATION ANALYSIS</t>
        </is>
      </c>
      <c r="B84" s="52" t="n"/>
      <c r="C84" s="52" t="n"/>
      <c r="D84" s="52" t="n"/>
      <c r="E84" s="52" t="n"/>
      <c r="F84" s="52" t="n"/>
      <c r="G84" s="52" t="n"/>
      <c r="H84" s="52" t="n"/>
      <c r="I84" s="52" t="n"/>
      <c r="J84" s="52" t="n"/>
      <c r="K84" s="52" t="n"/>
      <c r="L84" s="52" t="n"/>
      <c r="M84" s="52" t="n"/>
      <c r="N84" s="52" t="n"/>
      <c r="O84" s="52" t="n"/>
      <c r="P84" s="52" t="n"/>
      <c r="Q84" s="52" t="n"/>
      <c r="R84" s="52" t="n"/>
      <c r="S84" s="52" t="n"/>
      <c r="T84" s="52" t="n"/>
      <c r="U84" s="52" t="n"/>
      <c r="V84" s="52" t="n"/>
      <c r="W84" s="52" t="n"/>
      <c r="X84" s="52" t="n"/>
      <c r="Y84" s="52" t="n"/>
      <c r="Z84" s="52" t="n"/>
      <c r="AA84" s="52" t="n"/>
      <c r="AB84" s="52" t="n"/>
      <c r="AC84" s="52" t="n"/>
      <c r="AD84" s="52" t="n"/>
      <c r="AE84" s="52" t="n"/>
      <c r="AF84" s="52" t="n"/>
      <c r="AG84" s="52" t="n"/>
      <c r="AH84" s="52" t="n"/>
      <c r="AI84" s="52" t="n"/>
      <c r="AJ84" s="52" t="n"/>
      <c r="AK84" s="52" t="n"/>
    </row>
    <row r="85" ht="15" customHeight="1">
      <c r="A85" s="53" t="inlineStr">
        <is>
          <t>Rest Category</t>
        </is>
      </c>
      <c r="B85" s="54" t="n"/>
      <c r="C85" s="54" t="n"/>
      <c r="D85" s="53" t="inlineStr">
        <is>
          <t>Day Criteria</t>
        </is>
      </c>
      <c r="E85" s="54" t="n"/>
      <c r="F85" s="54" t="n"/>
      <c r="G85" s="53" t="inlineStr">
        <is>
          <t>Days Logged</t>
        </is>
      </c>
      <c r="H85" s="54" t="n"/>
      <c r="I85" s="54" t="n"/>
      <c r="J85" s="53" t="inlineStr">
        <is>
          <t>Avg Sleep Duration</t>
        </is>
      </c>
      <c r="K85" s="54" t="n"/>
      <c r="L85" s="54" t="n"/>
      <c r="M85" s="54" t="n"/>
      <c r="N85" s="53" t="inlineStr">
        <is>
          <t>Avg Habit Success %</t>
        </is>
      </c>
      <c r="O85" s="54" t="n"/>
      <c r="P85" s="54" t="n"/>
      <c r="Q85" s="54" t="n"/>
      <c r="R85" s="53" t="inlineStr">
        <is>
          <t>Productivity Delta</t>
        </is>
      </c>
      <c r="S85" s="54" t="n"/>
      <c r="T85" s="54" t="n"/>
      <c r="U85" s="54" t="n"/>
    </row>
    <row r="86" ht="15" customHeight="1">
      <c r="A86" s="160" t="inlineStr">
        <is>
          <t>Optimal Rest</t>
        </is>
      </c>
      <c r="B86" s="161" t="n"/>
      <c r="C86" s="56" t="n"/>
      <c r="D86" s="34" t="inlineStr">
        <is>
          <t>&gt;= 7 Hours / Night</t>
        </is>
      </c>
      <c r="E86" s="161" t="n"/>
      <c r="F86" s="56" t="n"/>
      <c r="G86" s="33">
        <f>COUNTIF(E47:AH47, "&gt;=7")</f>
        <v/>
      </c>
      <c r="H86" s="161" t="n"/>
      <c r="I86" s="56" t="n"/>
      <c r="J86" s="34">
        <f>IFERROR(TEXT(AVERAGEIF(E47:AH47, "&gt;=7"), "0.0") &amp; " hrs", "-")</f>
        <v/>
      </c>
      <c r="K86" s="161" t="n"/>
      <c r="L86" s="161" t="n"/>
      <c r="M86" s="56" t="n"/>
      <c r="N86" s="42">
        <f>IFERROR(AVERAGEIFS(E39:AH39, E47:AH47, "&gt;=7", E39:AH39, "&gt;0"), 0)</f>
        <v/>
      </c>
      <c r="O86" s="161" t="n"/>
      <c r="P86" s="161" t="n"/>
      <c r="Q86" s="56" t="n"/>
      <c r="R86" s="159" t="inlineStr">
        <is>
          <t>Baseline (Target)</t>
        </is>
      </c>
      <c r="S86" s="161" t="n"/>
      <c r="T86" s="161" t="n"/>
      <c r="U86" s="56" t="n"/>
    </row>
    <row r="87" ht="15" customHeight="1">
      <c r="A87" s="162" t="inlineStr">
        <is>
          <t>Sleep Deficit</t>
        </is>
      </c>
      <c r="B87" s="161" t="n"/>
      <c r="C87" s="56" t="n"/>
      <c r="D87" s="34" t="inlineStr">
        <is>
          <t>&lt; 7 Hours / Night</t>
        </is>
      </c>
      <c r="E87" s="161" t="n"/>
      <c r="F87" s="56" t="n"/>
      <c r="G87" s="33">
        <f>COUNTIF(E47:AH47, "&lt;7") - COUNTIF(E47:AH47, "")</f>
        <v/>
      </c>
      <c r="H87" s="161" t="n"/>
      <c r="I87" s="56" t="n"/>
      <c r="J87" s="34">
        <f>IFERROR(TEXT(AVERAGEIFS(E47:AH47, E47:AH47, "&lt;7", E47:AH47, "&gt;0"), "0.0") &amp; " hrs", "-")</f>
        <v/>
      </c>
      <c r="K87" s="161" t="n"/>
      <c r="L87" s="161" t="n"/>
      <c r="M87" s="56" t="n"/>
      <c r="N87" s="163">
        <f>IFERROR(AVERAGEIFS(E39:AH39, E47:AH47, "&lt;7", E39:AH39, "&gt;0"), 0)</f>
        <v/>
      </c>
      <c r="O87" s="161" t="n"/>
      <c r="P87" s="161" t="n"/>
      <c r="Q87" s="56" t="n"/>
      <c r="R87" s="160">
        <f>IFERROR(TEXT(N86 - N87, "+0.0%;-0.0%;0.0%") &amp; " Rest Advantage", "-")</f>
        <v/>
      </c>
      <c r="S87" s="161" t="n"/>
      <c r="T87" s="161" t="n"/>
      <c r="U87" s="56" t="n"/>
    </row>
    <row r="88" ht="18" customHeight="1">
      <c r="A88" s="164">
        <f>IF(AND(ISNUMBER(N86), ISNUMBER(N87), N86&gt;0, N87&gt;0), "💡 Sleep Correlation Insight: You complete " &amp; TEXT(ABS(N86-N87), "0.0%") &amp; IF(N86&gt;=N87, " MORE habits on days with 7+ hours of sleep!", " fewer habits on days with 7+ hours of sleep."), "💡 Log both habits and sleep hours daily to unlock automatic AI correlation insights!")</f>
        <v/>
      </c>
      <c r="B88" s="161" t="n"/>
      <c r="C88" s="161" t="n"/>
      <c r="D88" s="161" t="n"/>
      <c r="E88" s="161" t="n"/>
      <c r="F88" s="161" t="n"/>
      <c r="G88" s="161" t="n"/>
      <c r="H88" s="161" t="n"/>
      <c r="I88" s="161" t="n"/>
      <c r="J88" s="161" t="n"/>
      <c r="K88" s="161" t="n"/>
      <c r="L88" s="161" t="n"/>
      <c r="M88" s="161" t="n"/>
      <c r="N88" s="161" t="n"/>
      <c r="O88" s="161" t="n"/>
      <c r="P88" s="161" t="n"/>
      <c r="Q88" s="161" t="n"/>
      <c r="R88" s="161" t="n"/>
      <c r="S88" s="161" t="n"/>
      <c r="T88" s="161" t="n"/>
      <c r="U88" s="161" t="n"/>
      <c r="V88" s="161" t="n"/>
      <c r="W88" s="161" t="n"/>
      <c r="X88" s="161" t="n"/>
      <c r="Y88" s="161" t="n"/>
      <c r="Z88" s="161" t="n"/>
      <c r="AA88" s="161" t="n"/>
      <c r="AB88" s="161" t="n"/>
      <c r="AC88" s="161" t="n"/>
      <c r="AD88" s="161" t="n"/>
      <c r="AE88" s="161" t="n"/>
      <c r="AF88" s="161" t="n"/>
      <c r="AG88" s="161" t="n"/>
      <c r="AH88" s="161" t="n"/>
      <c r="AI88" s="161" t="n"/>
      <c r="AJ88" s="161" t="n"/>
      <c r="AK88" s="56" t="n"/>
    </row>
    <row r="89" ht="10" customHeight="1"/>
    <row r="90">
      <c r="A90" s="43" t="inlineStr">
        <is>
          <t>STANDARDIZED DATA BRIDGE (FOR ANNUAL &amp; QUARTERLY REVIEW SHEETS)</t>
        </is>
      </c>
      <c r="B90" s="44" t="n"/>
      <c r="C90" s="44" t="n"/>
      <c r="D90" s="44" t="n"/>
      <c r="E90" s="44" t="n"/>
      <c r="F90" s="44" t="n"/>
      <c r="G90" s="44" t="n"/>
      <c r="H90" s="44" t="n"/>
      <c r="I90" s="44" t="n"/>
      <c r="J90" s="44" t="n"/>
      <c r="K90" s="44" t="n"/>
      <c r="L90" s="44" t="n"/>
      <c r="M90" s="44" t="n"/>
      <c r="N90" s="44" t="n"/>
      <c r="O90" s="44" t="n"/>
      <c r="P90" s="44" t="n"/>
      <c r="Q90" s="44" t="n"/>
      <c r="R90" s="44" t="n"/>
      <c r="S90" s="44" t="n"/>
      <c r="T90" s="44" t="n"/>
      <c r="U90" s="44" t="n"/>
      <c r="V90" s="44" t="n"/>
      <c r="W90" s="44" t="n"/>
      <c r="X90" s="44" t="n"/>
      <c r="Y90" s="44" t="n"/>
      <c r="Z90" s="44" t="n"/>
      <c r="AA90" s="44" t="n"/>
      <c r="AB90" s="44" t="n"/>
      <c r="AC90" s="44" t="n"/>
      <c r="AD90" s="44" t="n"/>
      <c r="AE90" s="44" t="n"/>
      <c r="AF90" s="44" t="n"/>
      <c r="AG90" s="44" t="n"/>
      <c r="AH90" s="44" t="n"/>
      <c r="AI90" s="44" t="n"/>
      <c r="AJ90" s="44" t="n"/>
      <c r="AK90" s="44" t="n"/>
    </row>
    <row r="91" ht="15" customHeight="1">
      <c r="A91" s="53" t="inlineStr">
        <is>
          <t>Month</t>
        </is>
      </c>
      <c r="B91" s="54" t="n"/>
      <c r="C91" s="53" t="inlineStr">
        <is>
          <t>Year</t>
        </is>
      </c>
      <c r="D91" s="54" t="n"/>
      <c r="E91" s="53" t="inlineStr">
        <is>
          <t>Active Habits</t>
        </is>
      </c>
      <c r="F91" s="54" t="n"/>
      <c r="G91" s="53" t="inlineStr">
        <is>
          <t>Target Days</t>
        </is>
      </c>
      <c r="H91" s="54" t="n"/>
      <c r="I91" s="53" t="inlineStr">
        <is>
          <t>Done Checks</t>
        </is>
      </c>
      <c r="J91" s="54" t="n"/>
      <c r="K91" s="53" t="inlineStr">
        <is>
          <t>Success %</t>
        </is>
      </c>
      <c r="L91" s="54" t="n"/>
      <c r="M91" s="53" t="inlineStr">
        <is>
          <t>Perfect Days</t>
        </is>
      </c>
      <c r="N91" s="54" t="n"/>
      <c r="O91" s="53" t="inlineStr">
        <is>
          <t>Avg Sleep</t>
        </is>
      </c>
      <c r="P91" s="54" t="n"/>
      <c r="Q91" s="53" t="inlineStr">
        <is>
          <t>Best Week</t>
        </is>
      </c>
      <c r="R91" s="54" t="n"/>
      <c r="S91" s="54" t="n"/>
      <c r="T91" s="53" t="inlineStr">
        <is>
          <t>Top Life Domain</t>
        </is>
      </c>
      <c r="U91" s="54" t="n"/>
      <c r="V91" s="54" t="n"/>
      <c r="W91" s="54" t="n"/>
    </row>
    <row r="92" ht="16" customHeight="1">
      <c r="A92" s="165" t="inlineStr">
        <is>
          <t>Sep</t>
        </is>
      </c>
      <c r="B92" s="56" t="n"/>
      <c r="C92" s="165" t="n">
        <v>2030</v>
      </c>
      <c r="D92" s="56" t="n"/>
      <c r="E92" s="166">
        <f>COUNTA(B18:B37)</f>
        <v/>
      </c>
      <c r="F92" s="56" t="n"/>
      <c r="G92" s="166">
        <f>SUM(D18:D37)</f>
        <v/>
      </c>
      <c r="H92" s="56" t="n"/>
      <c r="I92" s="166">
        <f>SUM(AL18:AL37)</f>
        <v/>
      </c>
      <c r="J92" s="56" t="n"/>
      <c r="K92" s="167">
        <f>IF(G92&gt;0, I92/G92, 0)</f>
        <v/>
      </c>
      <c r="L92" s="56" t="n"/>
      <c r="M92" s="166">
        <f>COUNTIF(E39:AH39, 1)</f>
        <v/>
      </c>
      <c r="N92" s="56" t="n"/>
      <c r="O92" s="168">
        <f>IFERROR(AVERAGE(E47:AH47), 0)</f>
        <v/>
      </c>
      <c r="P92" s="56" t="n"/>
      <c r="Q92" s="166">
        <f>INDEX(A76:A80, MATCH(MAX(E76:E80), E76:E80, 0))</f>
        <v/>
      </c>
      <c r="R92" s="161" t="n"/>
      <c r="S92" s="56" t="n"/>
      <c r="T92" s="166">
        <f>INDEX(N76:N80, MATCH(MAX(S76:S80), S76:S80, 0))</f>
        <v/>
      </c>
      <c r="U92" s="161" t="n"/>
      <c r="V92" s="161" t="n"/>
      <c r="W92" s="56" t="n"/>
    </row>
    <row r="93" ht="14" customHeight="1">
      <c r="A93" s="169" t="inlineStr">
        <is>
          <t>📋 Note: Reference or copy Row 92 directly into an Annual / Quarterly review dashboard to track yearly habit trends.</t>
        </is>
      </c>
    </row>
    <row r="94" ht="8" customHeight="1"/>
    <row r="95">
      <c r="A95" s="170" t="inlineStr">
        <is>
          <t>🏆 MONTHLY WINS &amp; HIGHLIGHTS</t>
        </is>
      </c>
      <c r="J95" s="171" t="inlineStr">
        <is>
          <t>⚠️ FRICTION POINTS &amp; ROOT CAUSES</t>
        </is>
      </c>
      <c r="S95" s="172" t="inlineStr">
        <is>
          <t>🎯 3 KEY ADJUSTMENTS FOR NEXT MONTH</t>
        </is>
      </c>
    </row>
    <row r="96">
      <c r="A96" s="173" t="inlineStr">
        <is>
          <t>1. What went exceptionally well this month?
2. Which habit felt effortless and consistent?
3. Major milestone achieved:</t>
        </is>
      </c>
      <c r="B96" s="174" t="n"/>
      <c r="C96" s="174" t="n"/>
      <c r="D96" s="174" t="n"/>
      <c r="E96" s="174" t="n"/>
      <c r="F96" s="174" t="n"/>
      <c r="G96" s="174" t="n"/>
      <c r="H96" s="174" t="n"/>
      <c r="J96" s="175" t="inlineStr">
        <is>
          <t>1. What caused missed or skipped days?
2. Main triggers / energy drains encountered:
3. Which habit had the lowest consistency and why?</t>
        </is>
      </c>
      <c r="K96" s="176" t="n"/>
      <c r="L96" s="176" t="n"/>
      <c r="M96" s="176" t="n"/>
      <c r="N96" s="176" t="n"/>
      <c r="O96" s="176" t="n"/>
      <c r="P96" s="176" t="n"/>
      <c r="Q96" s="176" t="n"/>
      <c r="S96" s="177" t="inlineStr">
        <is>
          <t>1. Habit Stacking or time adjustment for next month:
2. Environment design change to eliminate friction:
3. One non-negotiable priority protocol:</t>
        </is>
      </c>
      <c r="T96" s="178" t="n"/>
      <c r="U96" s="178" t="n"/>
      <c r="V96" s="178" t="n"/>
      <c r="W96" s="178" t="n"/>
      <c r="X96" s="178" t="n"/>
      <c r="Y96" s="178" t="n"/>
      <c r="Z96" s="178" t="n"/>
    </row>
    <row r="97">
      <c r="A97" s="174" t="n"/>
      <c r="B97" s="174" t="n"/>
      <c r="C97" s="174" t="n"/>
      <c r="D97" s="174" t="n"/>
      <c r="E97" s="174" t="n"/>
      <c r="F97" s="174" t="n"/>
      <c r="G97" s="174" t="n"/>
      <c r="H97" s="174" t="n"/>
      <c r="J97" s="176" t="n"/>
      <c r="K97" s="176" t="n"/>
      <c r="L97" s="176" t="n"/>
      <c r="M97" s="176" t="n"/>
      <c r="N97" s="176" t="n"/>
      <c r="O97" s="176" t="n"/>
      <c r="P97" s="176" t="n"/>
      <c r="Q97" s="176" t="n"/>
      <c r="S97" s="178" t="n"/>
      <c r="T97" s="178" t="n"/>
      <c r="U97" s="178" t="n"/>
      <c r="V97" s="178" t="n"/>
      <c r="W97" s="178" t="n"/>
      <c r="X97" s="178" t="n"/>
      <c r="Y97" s="178" t="n"/>
      <c r="Z97" s="178" t="n"/>
    </row>
    <row r="98">
      <c r="A98" s="174" t="n"/>
      <c r="B98" s="174" t="n"/>
      <c r="C98" s="174" t="n"/>
      <c r="D98" s="174" t="n"/>
      <c r="E98" s="174" t="n"/>
      <c r="F98" s="174" t="n"/>
      <c r="G98" s="174" t="n"/>
      <c r="H98" s="174" t="n"/>
      <c r="J98" s="176" t="n"/>
      <c r="K98" s="176" t="n"/>
      <c r="L98" s="176" t="n"/>
      <c r="M98" s="176" t="n"/>
      <c r="N98" s="176" t="n"/>
      <c r="O98" s="176" t="n"/>
      <c r="P98" s="176" t="n"/>
      <c r="Q98" s="176" t="n"/>
      <c r="S98" s="178" t="n"/>
      <c r="T98" s="178" t="n"/>
      <c r="U98" s="178" t="n"/>
      <c r="V98" s="178" t="n"/>
      <c r="W98" s="178" t="n"/>
      <c r="X98" s="178" t="n"/>
      <c r="Y98" s="178" t="n"/>
      <c r="Z98" s="178" t="n"/>
    </row>
    <row r="99">
      <c r="A99" s="174" t="n"/>
      <c r="B99" s="174" t="n"/>
      <c r="C99" s="174" t="n"/>
      <c r="D99" s="174" t="n"/>
      <c r="E99" s="174" t="n"/>
      <c r="F99" s="174" t="n"/>
      <c r="G99" s="174" t="n"/>
      <c r="H99" s="174" t="n"/>
      <c r="J99" s="176" t="n"/>
      <c r="K99" s="176" t="n"/>
      <c r="L99" s="176" t="n"/>
      <c r="M99" s="176" t="n"/>
      <c r="N99" s="176" t="n"/>
      <c r="O99" s="176" t="n"/>
      <c r="P99" s="176" t="n"/>
      <c r="Q99" s="176" t="n"/>
      <c r="S99" s="178" t="n"/>
      <c r="T99" s="178" t="n"/>
      <c r="U99" s="178" t="n"/>
      <c r="V99" s="178" t="n"/>
      <c r="W99" s="178" t="n"/>
      <c r="X99" s="178" t="n"/>
      <c r="Y99" s="178" t="n"/>
      <c r="Z99" s="178" t="n"/>
    </row>
    <row r="100">
      <c r="A100" s="174" t="n"/>
      <c r="B100" s="174" t="n"/>
      <c r="C100" s="174" t="n"/>
      <c r="D100" s="174" t="n"/>
      <c r="E100" s="174" t="n"/>
      <c r="F100" s="174" t="n"/>
      <c r="G100" s="174" t="n"/>
      <c r="H100" s="174" t="n"/>
      <c r="J100" s="176" t="n"/>
      <c r="K100" s="176" t="n"/>
      <c r="L100" s="176" t="n"/>
      <c r="M100" s="176" t="n"/>
      <c r="N100" s="176" t="n"/>
      <c r="O100" s="176" t="n"/>
      <c r="P100" s="176" t="n"/>
      <c r="Q100" s="176" t="n"/>
      <c r="S100" s="178" t="n"/>
      <c r="T100" s="178" t="n"/>
      <c r="U100" s="178" t="n"/>
      <c r="V100" s="178" t="n"/>
      <c r="W100" s="178" t="n"/>
      <c r="X100" s="178" t="n"/>
      <c r="Y100" s="178" t="n"/>
      <c r="Z100" s="178" t="n"/>
    </row>
    <row r="101">
      <c r="A101" s="174" t="n"/>
      <c r="B101" s="174" t="n"/>
      <c r="C101" s="174" t="n"/>
      <c r="D101" s="174" t="n"/>
      <c r="E101" s="174" t="n"/>
      <c r="F101" s="174" t="n"/>
      <c r="G101" s="174" t="n"/>
      <c r="H101" s="174" t="n"/>
      <c r="J101" s="176" t="n"/>
      <c r="K101" s="176" t="n"/>
      <c r="L101" s="176" t="n"/>
      <c r="M101" s="176" t="n"/>
      <c r="N101" s="176" t="n"/>
      <c r="O101" s="176" t="n"/>
      <c r="P101" s="176" t="n"/>
      <c r="Q101" s="176" t="n"/>
      <c r="S101" s="178" t="n"/>
      <c r="T101" s="178" t="n"/>
      <c r="U101" s="178" t="n"/>
      <c r="V101" s="178" t="n"/>
      <c r="W101" s="178" t="n"/>
      <c r="X101" s="178" t="n"/>
      <c r="Y101" s="178" t="n"/>
      <c r="Z101" s="178" t="n"/>
    </row>
    <row r="102">
      <c r="A102" s="174" t="n"/>
      <c r="B102" s="174" t="n"/>
      <c r="C102" s="174" t="n"/>
      <c r="D102" s="174" t="n"/>
      <c r="E102" s="174" t="n"/>
      <c r="F102" s="174" t="n"/>
      <c r="G102" s="174" t="n"/>
      <c r="H102" s="174" t="n"/>
      <c r="J102" s="176" t="n"/>
      <c r="K102" s="176" t="n"/>
      <c r="L102" s="176" t="n"/>
      <c r="M102" s="176" t="n"/>
      <c r="N102" s="176" t="n"/>
      <c r="O102" s="176" t="n"/>
      <c r="P102" s="176" t="n"/>
      <c r="Q102" s="176" t="n"/>
      <c r="S102" s="178" t="n"/>
      <c r="T102" s="178" t="n"/>
      <c r="U102" s="178" t="n"/>
      <c r="V102" s="178" t="n"/>
      <c r="W102" s="178" t="n"/>
      <c r="X102" s="178" t="n"/>
      <c r="Y102" s="178" t="n"/>
      <c r="Z102" s="178" t="n"/>
    </row>
    <row r="103">
      <c r="A103" s="174" t="n"/>
      <c r="B103" s="174" t="n"/>
      <c r="C103" s="174" t="n"/>
      <c r="D103" s="174" t="n"/>
      <c r="E103" s="174" t="n"/>
      <c r="F103" s="174" t="n"/>
      <c r="G103" s="174" t="n"/>
      <c r="H103" s="174" t="n"/>
      <c r="J103" s="176" t="n"/>
      <c r="K103" s="176" t="n"/>
      <c r="L103" s="176" t="n"/>
      <c r="M103" s="176" t="n"/>
      <c r="N103" s="176" t="n"/>
      <c r="O103" s="176" t="n"/>
      <c r="P103" s="176" t="n"/>
      <c r="Q103" s="176" t="n"/>
      <c r="S103" s="178" t="n"/>
      <c r="T103" s="178" t="n"/>
      <c r="U103" s="178" t="n"/>
      <c r="V103" s="178" t="n"/>
      <c r="W103" s="178" t="n"/>
      <c r="X103" s="178" t="n"/>
      <c r="Y103" s="178" t="n"/>
      <c r="Z103" s="178" t="n"/>
    </row>
  </sheetData>
  <sheetProtection selectLockedCells="1" selectUnlockedCells="1" sheet="1" objects="0" insertRows="1" insertHyperlinks="1" autoFilter="1" scenarios="0" formatColumns="1" deleteColumns="1" insertColumns="1" pivotTables="1" deleteRows="1" formatCells="1" formatRows="1" sort="1"/>
  <mergeCells count="94">
    <mergeCell ref="A9:N9"/>
    <mergeCell ref="N76:O76"/>
    <mergeCell ref="F67:I67"/>
    <mergeCell ref="G87:I87"/>
    <mergeCell ref="A16:A17"/>
    <mergeCell ref="A45:D46"/>
    <mergeCell ref="C16:C17"/>
    <mergeCell ref="N75:O75"/>
    <mergeCell ref="N77:O77"/>
    <mergeCell ref="P68:S70"/>
    <mergeCell ref="A93:AK93"/>
    <mergeCell ref="D16:D17"/>
    <mergeCell ref="N85:Q85"/>
    <mergeCell ref="A95:H95"/>
    <mergeCell ref="Q91:S91"/>
    <mergeCell ref="P6:AK6"/>
    <mergeCell ref="E91:F91"/>
    <mergeCell ref="A8:N8"/>
    <mergeCell ref="G91:H91"/>
    <mergeCell ref="P8:AK8"/>
    <mergeCell ref="J86:M86"/>
    <mergeCell ref="S95:Z95"/>
    <mergeCell ref="K67:N67"/>
    <mergeCell ref="N79:O79"/>
    <mergeCell ref="K92:L92"/>
    <mergeCell ref="P7:AK7"/>
    <mergeCell ref="C92:D92"/>
    <mergeCell ref="F71:I71"/>
    <mergeCell ref="M92:N92"/>
    <mergeCell ref="A12:AK14"/>
    <mergeCell ref="K68:N70"/>
    <mergeCell ref="T91:W91"/>
    <mergeCell ref="AI16:AI17"/>
    <mergeCell ref="J95:Q95"/>
    <mergeCell ref="D85:F85"/>
    <mergeCell ref="N74:S74"/>
    <mergeCell ref="P9:AK9"/>
    <mergeCell ref="F68:I70"/>
    <mergeCell ref="A91:B91"/>
    <mergeCell ref="N78:O78"/>
    <mergeCell ref="C91:D91"/>
    <mergeCell ref="M91:N91"/>
    <mergeCell ref="O91:P91"/>
    <mergeCell ref="R86:U86"/>
    <mergeCell ref="A84:AK84"/>
    <mergeCell ref="N80:O80"/>
    <mergeCell ref="B16:B17"/>
    <mergeCell ref="A71:D71"/>
    <mergeCell ref="J85:M85"/>
    <mergeCell ref="D86:F86"/>
    <mergeCell ref="A92:B92"/>
    <mergeCell ref="N87:Q87"/>
    <mergeCell ref="A1:B1"/>
    <mergeCell ref="E92:F92"/>
    <mergeCell ref="A68:D70"/>
    <mergeCell ref="P71:S71"/>
    <mergeCell ref="A86:C86"/>
    <mergeCell ref="D87:F87"/>
    <mergeCell ref="O92:P92"/>
    <mergeCell ref="A6:N6"/>
    <mergeCell ref="A39:D39"/>
    <mergeCell ref="G86:I86"/>
    <mergeCell ref="A96:H103"/>
    <mergeCell ref="P67:S67"/>
    <mergeCell ref="A41:AK41"/>
    <mergeCell ref="T92:W92"/>
    <mergeCell ref="R85:U85"/>
    <mergeCell ref="H2:AC2"/>
    <mergeCell ref="K71:N71"/>
    <mergeCell ref="S96:Z103"/>
    <mergeCell ref="A38:D38"/>
    <mergeCell ref="A42:AK42"/>
    <mergeCell ref="H3:AC3"/>
    <mergeCell ref="A67:D67"/>
    <mergeCell ref="I91:J91"/>
    <mergeCell ref="A85:C85"/>
    <mergeCell ref="K91:L91"/>
    <mergeCell ref="N86:Q86"/>
    <mergeCell ref="A7:N7"/>
    <mergeCell ref="A74:E74"/>
    <mergeCell ref="G85:I85"/>
    <mergeCell ref="G92:H92"/>
    <mergeCell ref="I92:J92"/>
    <mergeCell ref="R87:U87"/>
    <mergeCell ref="AK16:AK17"/>
    <mergeCell ref="J87:M87"/>
    <mergeCell ref="AD2:AK2"/>
    <mergeCell ref="AJ16:AJ17"/>
    <mergeCell ref="J96:Q103"/>
    <mergeCell ref="A88:AK88"/>
    <mergeCell ref="A90:AK90"/>
    <mergeCell ref="Q92:S92"/>
    <mergeCell ref="A87:C87"/>
    <mergeCell ref="A47:D47"/>
  </mergeCells>
  <conditionalFormatting sqref="AI18:AI37">
    <cfRule type="dataBar" priority="1">
      <dataBar>
        <cfvo type="num" val="0"/>
        <cfvo type="num" val="1"/>
        <color rgb="0010B981"/>
      </dataBar>
    </cfRule>
  </conditionalFormatting>
  <conditionalFormatting sqref="E18:AH37">
    <cfRule type="cellIs" priority="2" operator="equal" dxfId="0">
      <formula>"✓"</formula>
    </cfRule>
    <cfRule type="cellIs" priority="3" operator="equal" dxfId="0">
      <formula>"✔"</formula>
    </cfRule>
    <cfRule type="cellIs" priority="4" operator="equal" dxfId="1">
      <formula>"✗"</formula>
    </cfRule>
    <cfRule type="cellIs" priority="5" operator="equal" dxfId="1">
      <formula>"x"</formula>
    </cfRule>
    <cfRule type="cellIs" priority="6" operator="equal" dxfId="1">
      <formula>"X"</formula>
    </cfRule>
  </conditionalFormatting>
  <conditionalFormatting sqref="E16:E17">
    <cfRule type="expression" priority="7" dxfId="2">
      <formula>AND(DAY(TODAY())=1, MONTH(TODAY())=9, YEAR(TODAY())=2030)</formula>
    </cfRule>
  </conditionalFormatting>
  <conditionalFormatting sqref="F16:F17">
    <cfRule type="expression" priority="8" dxfId="2">
      <formula>AND(DAY(TODAY())=2, MONTH(TODAY())=9, YEAR(TODAY())=2030)</formula>
    </cfRule>
  </conditionalFormatting>
  <conditionalFormatting sqref="G16:G17">
    <cfRule type="expression" priority="9" dxfId="2">
      <formula>AND(DAY(TODAY())=3, MONTH(TODAY())=9, YEAR(TODAY())=2030)</formula>
    </cfRule>
  </conditionalFormatting>
  <conditionalFormatting sqref="H16:H17">
    <cfRule type="expression" priority="10" dxfId="2">
      <formula>AND(DAY(TODAY())=4, MONTH(TODAY())=9, YEAR(TODAY())=2030)</formula>
    </cfRule>
  </conditionalFormatting>
  <conditionalFormatting sqref="I16:I17">
    <cfRule type="expression" priority="11" dxfId="2">
      <formula>AND(DAY(TODAY())=5, MONTH(TODAY())=9, YEAR(TODAY())=2030)</formula>
    </cfRule>
  </conditionalFormatting>
  <conditionalFormatting sqref="J16:J17">
    <cfRule type="expression" priority="12" dxfId="2">
      <formula>AND(DAY(TODAY())=6, MONTH(TODAY())=9, YEAR(TODAY())=2030)</formula>
    </cfRule>
  </conditionalFormatting>
  <conditionalFormatting sqref="K16:K17">
    <cfRule type="expression" priority="13" dxfId="2">
      <formula>AND(DAY(TODAY())=7, MONTH(TODAY())=9, YEAR(TODAY())=2030)</formula>
    </cfRule>
  </conditionalFormatting>
  <conditionalFormatting sqref="L16:L17">
    <cfRule type="expression" priority="14" dxfId="2">
      <formula>AND(DAY(TODAY())=8, MONTH(TODAY())=9, YEAR(TODAY())=2030)</formula>
    </cfRule>
  </conditionalFormatting>
  <conditionalFormatting sqref="M16:M17">
    <cfRule type="expression" priority="15" dxfId="2">
      <formula>AND(DAY(TODAY())=9, MONTH(TODAY())=9, YEAR(TODAY())=2030)</formula>
    </cfRule>
  </conditionalFormatting>
  <conditionalFormatting sqref="N16:N17">
    <cfRule type="expression" priority="16" dxfId="2">
      <formula>AND(DAY(TODAY())=10, MONTH(TODAY())=9, YEAR(TODAY())=2030)</formula>
    </cfRule>
  </conditionalFormatting>
  <conditionalFormatting sqref="O16:O17">
    <cfRule type="expression" priority="17" dxfId="2">
      <formula>AND(DAY(TODAY())=11, MONTH(TODAY())=9, YEAR(TODAY())=2030)</formula>
    </cfRule>
  </conditionalFormatting>
  <conditionalFormatting sqref="P16:P17">
    <cfRule type="expression" priority="18" dxfId="2">
      <formula>AND(DAY(TODAY())=12, MONTH(TODAY())=9, YEAR(TODAY())=2030)</formula>
    </cfRule>
  </conditionalFormatting>
  <conditionalFormatting sqref="Q16:Q17">
    <cfRule type="expression" priority="19" dxfId="2">
      <formula>AND(DAY(TODAY())=13, MONTH(TODAY())=9, YEAR(TODAY())=2030)</formula>
    </cfRule>
  </conditionalFormatting>
  <conditionalFormatting sqref="R16:R17">
    <cfRule type="expression" priority="20" dxfId="2">
      <formula>AND(DAY(TODAY())=14, MONTH(TODAY())=9, YEAR(TODAY())=2030)</formula>
    </cfRule>
  </conditionalFormatting>
  <conditionalFormatting sqref="S16:S17">
    <cfRule type="expression" priority="21" dxfId="2">
      <formula>AND(DAY(TODAY())=15, MONTH(TODAY())=9, YEAR(TODAY())=2030)</formula>
    </cfRule>
  </conditionalFormatting>
  <conditionalFormatting sqref="T16:T17">
    <cfRule type="expression" priority="22" dxfId="2">
      <formula>AND(DAY(TODAY())=16, MONTH(TODAY())=9, YEAR(TODAY())=2030)</formula>
    </cfRule>
  </conditionalFormatting>
  <conditionalFormatting sqref="U16:U17">
    <cfRule type="expression" priority="23" dxfId="2">
      <formula>AND(DAY(TODAY())=17, MONTH(TODAY())=9, YEAR(TODAY())=2030)</formula>
    </cfRule>
  </conditionalFormatting>
  <conditionalFormatting sqref="V16:V17">
    <cfRule type="expression" priority="24" dxfId="2">
      <formula>AND(DAY(TODAY())=18, MONTH(TODAY())=9, YEAR(TODAY())=2030)</formula>
    </cfRule>
  </conditionalFormatting>
  <conditionalFormatting sqref="W16:W17">
    <cfRule type="expression" priority="25" dxfId="2">
      <formula>AND(DAY(TODAY())=19, MONTH(TODAY())=9, YEAR(TODAY())=2030)</formula>
    </cfRule>
  </conditionalFormatting>
  <conditionalFormatting sqref="X16:X17">
    <cfRule type="expression" priority="26" dxfId="2">
      <formula>AND(DAY(TODAY())=20, MONTH(TODAY())=9, YEAR(TODAY())=2030)</formula>
    </cfRule>
  </conditionalFormatting>
  <conditionalFormatting sqref="Y16:Y17">
    <cfRule type="expression" priority="27" dxfId="2">
      <formula>AND(DAY(TODAY())=21, MONTH(TODAY())=9, YEAR(TODAY())=2030)</formula>
    </cfRule>
  </conditionalFormatting>
  <conditionalFormatting sqref="Z16:Z17">
    <cfRule type="expression" priority="28" dxfId="2">
      <formula>AND(DAY(TODAY())=22, MONTH(TODAY())=9, YEAR(TODAY())=2030)</formula>
    </cfRule>
  </conditionalFormatting>
  <conditionalFormatting sqref="AA16:AA17">
    <cfRule type="expression" priority="29" dxfId="2">
      <formula>AND(DAY(TODAY())=23, MONTH(TODAY())=9, YEAR(TODAY())=2030)</formula>
    </cfRule>
  </conditionalFormatting>
  <conditionalFormatting sqref="AB16:AB17">
    <cfRule type="expression" priority="30" dxfId="2">
      <formula>AND(DAY(TODAY())=24, MONTH(TODAY())=9, YEAR(TODAY())=2030)</formula>
    </cfRule>
  </conditionalFormatting>
  <conditionalFormatting sqref="AC16:AC17">
    <cfRule type="expression" priority="31" dxfId="2">
      <formula>AND(DAY(TODAY())=25, MONTH(TODAY())=9, YEAR(TODAY())=2030)</formula>
    </cfRule>
  </conditionalFormatting>
  <conditionalFormatting sqref="AD16:AD17">
    <cfRule type="expression" priority="32" dxfId="2">
      <formula>AND(DAY(TODAY())=26, MONTH(TODAY())=9, YEAR(TODAY())=2030)</formula>
    </cfRule>
  </conditionalFormatting>
  <conditionalFormatting sqref="AE16:AE17">
    <cfRule type="expression" priority="33" dxfId="2">
      <formula>AND(DAY(TODAY())=27, MONTH(TODAY())=9, YEAR(TODAY())=2030)</formula>
    </cfRule>
  </conditionalFormatting>
  <conditionalFormatting sqref="AF16:AF17">
    <cfRule type="expression" priority="34" dxfId="2">
      <formula>AND(DAY(TODAY())=28, MONTH(TODAY())=9, YEAR(TODAY())=2030)</formula>
    </cfRule>
  </conditionalFormatting>
  <conditionalFormatting sqref="AG16:AG17">
    <cfRule type="expression" priority="35" dxfId="2">
      <formula>AND(DAY(TODAY())=29, MONTH(TODAY())=9, YEAR(TODAY())=2030)</formula>
    </cfRule>
  </conditionalFormatting>
  <conditionalFormatting sqref="AH16:AH17">
    <cfRule type="expression" priority="36" dxfId="2">
      <formula>AND(DAY(TODAY())=30, MONTH(TODAY())=9, YEAR(TODAY())=2030)</formula>
    </cfRule>
  </conditionalFormatting>
  <dataValidations count="4">
    <dataValidation sqref="C18:C37" showDropDown="0" showInputMessage="0" showErrorMessage="0" allowBlank="1" type="list">
      <formula1>"Health &amp; Fitness,Mindset &amp; Learning,Career &amp; Focus,Personal &amp; Home,Finance &amp; Wealth,Other"</formula1>
    </dataValidation>
    <dataValidation sqref="D18:D37" showDropDown="0" showInputMessage="0" showErrorMessage="0" allowBlank="1" type="list">
      <formula1>"1,2,3,4,5,6,7,8,9,10,11,12,13,14,15,16,17,18,19,20,21,22,23,24,25,26,27,28,29,30,31"</formula1>
    </dataValidation>
    <dataValidation sqref="E18:AH37" showDropDown="0" showInputMessage="0" showErrorMessage="0" allowBlank="1" type="list">
      <formula1>"✓,✗"</formula1>
    </dataValidation>
    <dataValidation sqref="E47:AH47" showDropDown="0" showInputMessage="0" showErrorMessage="0" allowBlank="1" type="list">
      <formula1>"1,2,3,4,5,6,7,8,9,10,11,12,13,14,15,16,17,18,19,20,21,22,23,24"</formula1>
    </dataValidation>
  </dataValidations>
  <hyperlinks>
    <hyperlink xmlns:r="http://schemas.openxmlformats.org/officeDocument/2006/relationships" ref="A1" r:id="rId1"/>
    <hyperlink xmlns:r="http://schemas.openxmlformats.org/officeDocument/2006/relationships" ref="C1" r:id="rId2"/>
    <hyperlink xmlns:r="http://schemas.openxmlformats.org/officeDocument/2006/relationships" ref="D1" r:id="rId3"/>
    <hyperlink xmlns:r="http://schemas.openxmlformats.org/officeDocument/2006/relationships" ref="E1" r:id="rId4"/>
    <hyperlink xmlns:r="http://schemas.openxmlformats.org/officeDocument/2006/relationships" ref="F1" r:id="rId5"/>
    <hyperlink xmlns:r="http://schemas.openxmlformats.org/officeDocument/2006/relationships" ref="G1" r:id="rId6"/>
    <hyperlink xmlns:r="http://schemas.openxmlformats.org/officeDocument/2006/relationships" ref="H1" r:id="rId7"/>
    <hyperlink xmlns:r="http://schemas.openxmlformats.org/officeDocument/2006/relationships" ref="I1" r:id="rId8"/>
    <hyperlink xmlns:r="http://schemas.openxmlformats.org/officeDocument/2006/relationships" ref="J1" r:id="rId9"/>
    <hyperlink xmlns:r="http://schemas.openxmlformats.org/officeDocument/2006/relationships" ref="K1" r:id="rId10"/>
  </hyperlinks>
  <printOptions horizontalCentered="1" verticalCentered="0"/>
  <pageMargins left="0.75" right="0.75" top="1" bottom="1" header="0.5" footer="0.5"/>
  <pageSetup orientation="landscape" paperSize="9" fitToHeight="0" fitToWidth="1"/>
  <drawing xmlns:r="http://schemas.openxmlformats.org/officeDocument/2006/relationships" r:id="rId11"/>
</worksheet>
</file>

<file path=xl/worksheets/sheet53.xml><?xml version="1.0" encoding="utf-8"?>
<worksheet xmlns="http://schemas.openxmlformats.org/spreadsheetml/2006/main">
  <sheetPr>
    <outlinePr summaryBelow="1" summaryRight="1"/>
    <pageSetUpPr fitToPage="1"/>
  </sheetPr>
  <dimension ref="A1:AM103"/>
  <sheetViews>
    <sheetView showGridLines="1" workbookViewId="0">
      <selection activeCell="A1" sqref="A1"/>
    </sheetView>
  </sheetViews>
  <sheetFormatPr baseColWidth="8" defaultRowHeight="15"/>
  <cols>
    <col width="6" customWidth="1" min="1" max="1"/>
    <col width="25" customWidth="1" min="2" max="2"/>
    <col width="16.5" customWidth="1" min="3" max="3"/>
    <col width="8" customWidth="1" min="4" max="4"/>
    <col width="4.8" customWidth="1" min="5" max="5"/>
    <col width="4.8" customWidth="1" min="6" max="6"/>
    <col width="4.8" customWidth="1" min="7" max="7"/>
    <col width="4.8" customWidth="1" min="8" max="8"/>
    <col width="4.8" customWidth="1" min="9" max="9"/>
    <col width="4.8" customWidth="1" min="10" max="10"/>
    <col width="4.8" customWidth="1" min="11" max="11"/>
    <col width="4.8" customWidth="1" min="12" max="12"/>
    <col width="4.8" customWidth="1" min="13" max="13"/>
    <col width="4.8" customWidth="1" min="14" max="14"/>
    <col width="4.8" customWidth="1" min="15" max="15"/>
    <col width="4.8" customWidth="1" min="16" max="16"/>
    <col width="4.8" customWidth="1" min="17" max="17"/>
    <col width="4.8" customWidth="1" min="18" max="18"/>
    <col width="4.8" customWidth="1" min="19" max="19"/>
    <col width="4.8" customWidth="1" min="20" max="20"/>
    <col width="4.8" customWidth="1" min="21" max="21"/>
    <col width="4.8" customWidth="1" min="22" max="22"/>
    <col width="4.8" customWidth="1" min="23" max="23"/>
    <col width="4.8" customWidth="1" min="24" max="24"/>
    <col width="4.8" customWidth="1" min="25" max="25"/>
    <col width="4.8" customWidth="1" min="26" max="26"/>
    <col width="4.8" customWidth="1" min="27" max="27"/>
    <col width="4.8" customWidth="1" min="28" max="28"/>
    <col width="4.8" customWidth="1" min="29" max="29"/>
    <col width="4.8" customWidth="1" min="30" max="30"/>
    <col width="4.8" customWidth="1" min="31" max="31"/>
    <col width="4.8" customWidth="1" min="32" max="32"/>
    <col width="4.8" customWidth="1" min="33" max="33"/>
    <col width="4.8" customWidth="1" min="34" max="34"/>
    <col width="4.8" customWidth="1" min="35" max="35"/>
    <col width="11.5" customWidth="1" min="36" max="36"/>
    <col width="12" customWidth="1" min="37" max="37"/>
    <col width="13.5" customWidth="1" min="38" max="38"/>
    <col hidden="1" width="8" customWidth="1" min="39" max="39"/>
  </cols>
  <sheetData>
    <row r="1" ht="18" customHeight="1">
      <c r="A1" s="76" t="inlineStr">
        <is>
          <t>🏠 Master Dashboard</t>
        </is>
      </c>
      <c r="B1" s="40" t="n"/>
      <c r="C1" s="77" t="inlineStr">
        <is>
          <t>🏛️ Quarterly Hub</t>
        </is>
      </c>
      <c r="D1" s="78" t="inlineStr">
        <is>
          <t>📚 Habit Library</t>
        </is>
      </c>
      <c r="E1" s="80" t="inlineStr">
        <is>
          <t>2026</t>
        </is>
      </c>
      <c r="F1" s="80" t="inlineStr">
        <is>
          <t>2027</t>
        </is>
      </c>
      <c r="G1" s="80" t="inlineStr">
        <is>
          <t>2028</t>
        </is>
      </c>
      <c r="H1" s="80" t="inlineStr">
        <is>
          <t>2029</t>
        </is>
      </c>
      <c r="I1" s="79" t="inlineStr">
        <is>
          <t>2030</t>
        </is>
      </c>
      <c r="J1" s="82" t="inlineStr">
        <is>
          <t>◀ Prev</t>
        </is>
      </c>
      <c r="K1" s="82" t="inlineStr">
        <is>
          <t>Next ▶</t>
        </is>
      </c>
    </row>
    <row r="2" ht="24" customHeight="1">
      <c r="A2" s="83" t="inlineStr">
        <is>
          <t>Habit Tracker</t>
        </is>
      </c>
      <c r="H2" s="84" t="inlineStr">
        <is>
          <t>"Discipline equals freedom."</t>
        </is>
      </c>
      <c r="AE2" s="85" t="inlineStr">
        <is>
          <t>@surajvansh</t>
        </is>
      </c>
    </row>
    <row r="3" ht="18" customHeight="1">
      <c r="A3" s="86" t="inlineStr">
        <is>
          <t>October 2030</t>
        </is>
      </c>
      <c r="H3" s="87" t="inlineStr">
        <is>
          <t>31 Days Dashboard</t>
        </is>
      </c>
    </row>
    <row r="4" ht="5" customHeight="1"/>
    <row r="5" ht="16" customHeight="1">
      <c r="A5" s="88" t="inlineStr">
        <is>
          <t>MONTHLY TARGETS</t>
        </is>
      </c>
    </row>
    <row r="6" ht="13" customHeight="1">
      <c r="A6" s="89" t="inlineStr">
        <is>
          <t>1. ____________________ : ____________________</t>
        </is>
      </c>
      <c r="P6" s="89" t="inlineStr">
        <is>
          <t>5. ____________________ : ____________________</t>
        </is>
      </c>
    </row>
    <row r="7" ht="13" customHeight="1">
      <c r="A7" s="89" t="inlineStr">
        <is>
          <t>2. ____________________ : ____________________</t>
        </is>
      </c>
      <c r="P7" s="89" t="inlineStr">
        <is>
          <t>6. ____________________ : ____________________</t>
        </is>
      </c>
    </row>
    <row r="8" ht="13" customHeight="1">
      <c r="A8" s="89" t="inlineStr">
        <is>
          <t>3. ____________________ : ____________________</t>
        </is>
      </c>
      <c r="P8" s="89" t="inlineStr">
        <is>
          <t>7. ____________________ : ____________________</t>
        </is>
      </c>
    </row>
    <row r="9" ht="13" customHeight="1">
      <c r="A9" s="89" t="inlineStr">
        <is>
          <t>4. ____________________ : ____________________</t>
        </is>
      </c>
      <c r="P9" s="89" t="inlineStr">
        <is>
          <t>8. ____________________ : ____________________</t>
        </is>
      </c>
    </row>
    <row r="10" ht="5" customHeight="1"/>
    <row r="11" ht="15" customHeight="1">
      <c r="A11" s="88" t="inlineStr">
        <is>
          <t>NOTES:</t>
        </is>
      </c>
    </row>
    <row r="12" ht="13" customHeight="1">
      <c r="A12" s="90" t="n"/>
      <c r="B12" s="91" t="n"/>
      <c r="C12" s="91" t="n"/>
      <c r="D12" s="91" t="n"/>
      <c r="E12" s="91" t="n"/>
      <c r="F12" s="91" t="n"/>
      <c r="G12" s="91" t="n"/>
      <c r="H12" s="91" t="n"/>
      <c r="I12" s="91" t="n"/>
      <c r="J12" s="91" t="n"/>
      <c r="K12" s="91" t="n"/>
      <c r="L12" s="91" t="n"/>
      <c r="M12" s="91" t="n"/>
      <c r="N12" s="91" t="n"/>
      <c r="O12" s="91" t="n"/>
      <c r="P12" s="91" t="n"/>
      <c r="Q12" s="91" t="n"/>
      <c r="R12" s="91" t="n"/>
      <c r="S12" s="91" t="n"/>
      <c r="T12" s="91" t="n"/>
      <c r="U12" s="91" t="n"/>
      <c r="V12" s="91" t="n"/>
      <c r="W12" s="91" t="n"/>
      <c r="X12" s="91" t="n"/>
      <c r="Y12" s="91" t="n"/>
      <c r="Z12" s="91" t="n"/>
      <c r="AA12" s="91" t="n"/>
      <c r="AB12" s="91" t="n"/>
      <c r="AC12" s="91" t="n"/>
      <c r="AD12" s="91" t="n"/>
      <c r="AE12" s="91" t="n"/>
      <c r="AF12" s="91" t="n"/>
      <c r="AG12" s="91" t="n"/>
      <c r="AH12" s="91" t="n"/>
      <c r="AI12" s="91" t="n"/>
      <c r="AJ12" s="91" t="n"/>
      <c r="AK12" s="91" t="n"/>
      <c r="AL12" s="91" t="n"/>
    </row>
    <row r="13" ht="13" customHeight="1">
      <c r="A13" s="91" t="n"/>
      <c r="B13" s="91" t="n"/>
      <c r="C13" s="91" t="n"/>
      <c r="D13" s="91" t="n"/>
      <c r="E13" s="91" t="n"/>
      <c r="F13" s="91" t="n"/>
      <c r="G13" s="91" t="n"/>
      <c r="H13" s="91" t="n"/>
      <c r="I13" s="91" t="n"/>
      <c r="J13" s="91" t="n"/>
      <c r="K13" s="91" t="n"/>
      <c r="L13" s="91" t="n"/>
      <c r="M13" s="91" t="n"/>
      <c r="N13" s="91" t="n"/>
      <c r="O13" s="91" t="n"/>
      <c r="P13" s="91" t="n"/>
      <c r="Q13" s="91" t="n"/>
      <c r="R13" s="91" t="n"/>
      <c r="S13" s="91" t="n"/>
      <c r="T13" s="91" t="n"/>
      <c r="U13" s="91" t="n"/>
      <c r="V13" s="91" t="n"/>
      <c r="W13" s="91" t="n"/>
      <c r="X13" s="91" t="n"/>
      <c r="Y13" s="91" t="n"/>
      <c r="Z13" s="91" t="n"/>
      <c r="AA13" s="91" t="n"/>
      <c r="AB13" s="91" t="n"/>
      <c r="AC13" s="91" t="n"/>
      <c r="AD13" s="91" t="n"/>
      <c r="AE13" s="91" t="n"/>
      <c r="AF13" s="91" t="n"/>
      <c r="AG13" s="91" t="n"/>
      <c r="AH13" s="91" t="n"/>
      <c r="AI13" s="91" t="n"/>
      <c r="AJ13" s="91" t="n"/>
      <c r="AK13" s="91" t="n"/>
      <c r="AL13" s="91" t="n"/>
    </row>
    <row r="14" ht="13" customHeight="1">
      <c r="A14" s="91" t="n"/>
      <c r="B14" s="91" t="n"/>
      <c r="C14" s="91" t="n"/>
      <c r="D14" s="91" t="n"/>
      <c r="E14" s="91" t="n"/>
      <c r="F14" s="91" t="n"/>
      <c r="G14" s="91" t="n"/>
      <c r="H14" s="91" t="n"/>
      <c r="I14" s="91" t="n"/>
      <c r="J14" s="91" t="n"/>
      <c r="K14" s="91" t="n"/>
      <c r="L14" s="91" t="n"/>
      <c r="M14" s="91" t="n"/>
      <c r="N14" s="91" t="n"/>
      <c r="O14" s="91" t="n"/>
      <c r="P14" s="91" t="n"/>
      <c r="Q14" s="91" t="n"/>
      <c r="R14" s="91" t="n"/>
      <c r="S14" s="91" t="n"/>
      <c r="T14" s="91" t="n"/>
      <c r="U14" s="91" t="n"/>
      <c r="V14" s="91" t="n"/>
      <c r="W14" s="91" t="n"/>
      <c r="X14" s="91" t="n"/>
      <c r="Y14" s="91" t="n"/>
      <c r="Z14" s="91" t="n"/>
      <c r="AA14" s="91" t="n"/>
      <c r="AB14" s="91" t="n"/>
      <c r="AC14" s="91" t="n"/>
      <c r="AD14" s="91" t="n"/>
      <c r="AE14" s="91" t="n"/>
      <c r="AF14" s="91" t="n"/>
      <c r="AG14" s="91" t="n"/>
      <c r="AH14" s="91" t="n"/>
      <c r="AI14" s="91" t="n"/>
      <c r="AJ14" s="91" t="n"/>
      <c r="AK14" s="91" t="n"/>
      <c r="AL14" s="91" t="n"/>
    </row>
    <row r="15" ht="8" customHeight="1"/>
    <row r="16" ht="15" customHeight="1">
      <c r="A16" s="33" t="inlineStr">
        <is>
          <t>S.No.</t>
        </is>
      </c>
      <c r="B16" s="33" t="inlineStr">
        <is>
          <t>Protocols</t>
        </is>
      </c>
      <c r="C16" s="33" t="inlineStr">
        <is>
          <t>Category</t>
        </is>
      </c>
      <c r="D16" s="33" t="inlineStr">
        <is>
          <t>Target</t>
        </is>
      </c>
      <c r="E16" s="92" t="n">
        <v>1</v>
      </c>
      <c r="F16" s="92" t="n">
        <v>2</v>
      </c>
      <c r="G16" s="92" t="n">
        <v>3</v>
      </c>
      <c r="H16" s="92" t="n">
        <v>4</v>
      </c>
      <c r="I16" s="92" t="n">
        <v>5</v>
      </c>
      <c r="J16" s="93" t="n">
        <v>6</v>
      </c>
      <c r="K16" s="92" t="n">
        <v>7</v>
      </c>
      <c r="L16" s="92" t="n">
        <v>8</v>
      </c>
      <c r="M16" s="92" t="n">
        <v>9</v>
      </c>
      <c r="N16" s="92" t="n">
        <v>10</v>
      </c>
      <c r="O16" s="92" t="n">
        <v>11</v>
      </c>
      <c r="P16" s="92" t="n">
        <v>12</v>
      </c>
      <c r="Q16" s="93" t="n">
        <v>13</v>
      </c>
      <c r="R16" s="92" t="n">
        <v>14</v>
      </c>
      <c r="S16" s="92" t="n">
        <v>15</v>
      </c>
      <c r="T16" s="92" t="n">
        <v>16</v>
      </c>
      <c r="U16" s="92" t="n">
        <v>17</v>
      </c>
      <c r="V16" s="92" t="n">
        <v>18</v>
      </c>
      <c r="W16" s="92" t="n">
        <v>19</v>
      </c>
      <c r="X16" s="93" t="n">
        <v>20</v>
      </c>
      <c r="Y16" s="92" t="n">
        <v>21</v>
      </c>
      <c r="Z16" s="92" t="n">
        <v>22</v>
      </c>
      <c r="AA16" s="92" t="n">
        <v>23</v>
      </c>
      <c r="AB16" s="92" t="n">
        <v>24</v>
      </c>
      <c r="AC16" s="92" t="n">
        <v>25</v>
      </c>
      <c r="AD16" s="92" t="n">
        <v>26</v>
      </c>
      <c r="AE16" s="93" t="n">
        <v>27</v>
      </c>
      <c r="AF16" s="92" t="n">
        <v>28</v>
      </c>
      <c r="AG16" s="92" t="n">
        <v>29</v>
      </c>
      <c r="AH16" s="92" t="n">
        <v>30</v>
      </c>
      <c r="AI16" s="92" t="n">
        <v>31</v>
      </c>
      <c r="AJ16" s="94" t="inlineStr">
        <is>
          <t>Success %</t>
        </is>
      </c>
      <c r="AK16" s="94" t="inlineStr">
        <is>
          <t>Done / Target</t>
        </is>
      </c>
      <c r="AL16" s="94" t="inlineStr">
        <is>
          <t>Status</t>
        </is>
      </c>
      <c r="AM16" t="inlineStr">
        <is>
          <t>Done Count</t>
        </is>
      </c>
    </row>
    <row r="17" ht="15" customHeight="1">
      <c r="A17" s="54" t="n"/>
      <c r="B17" s="54" t="n"/>
      <c r="C17" s="54" t="n"/>
      <c r="D17" s="54" t="n"/>
      <c r="E17" s="95" t="inlineStr">
        <is>
          <t>T</t>
        </is>
      </c>
      <c r="F17" s="95" t="inlineStr">
        <is>
          <t>W</t>
        </is>
      </c>
      <c r="G17" s="95" t="inlineStr">
        <is>
          <t>Th</t>
        </is>
      </c>
      <c r="H17" s="95" t="inlineStr">
        <is>
          <t>F</t>
        </is>
      </c>
      <c r="I17" s="95" t="inlineStr">
        <is>
          <t>Sa</t>
        </is>
      </c>
      <c r="J17" s="96" t="inlineStr">
        <is>
          <t>Su</t>
        </is>
      </c>
      <c r="K17" s="95" t="inlineStr">
        <is>
          <t>M</t>
        </is>
      </c>
      <c r="L17" s="95" t="inlineStr">
        <is>
          <t>T</t>
        </is>
      </c>
      <c r="M17" s="95" t="inlineStr">
        <is>
          <t>W</t>
        </is>
      </c>
      <c r="N17" s="95" t="inlineStr">
        <is>
          <t>Th</t>
        </is>
      </c>
      <c r="O17" s="95" t="inlineStr">
        <is>
          <t>F</t>
        </is>
      </c>
      <c r="P17" s="95" t="inlineStr">
        <is>
          <t>Sa</t>
        </is>
      </c>
      <c r="Q17" s="96" t="inlineStr">
        <is>
          <t>Su</t>
        </is>
      </c>
      <c r="R17" s="95" t="inlineStr">
        <is>
          <t>M</t>
        </is>
      </c>
      <c r="S17" s="95" t="inlineStr">
        <is>
          <t>T</t>
        </is>
      </c>
      <c r="T17" s="95" t="inlineStr">
        <is>
          <t>W</t>
        </is>
      </c>
      <c r="U17" s="95" t="inlineStr">
        <is>
          <t>Th</t>
        </is>
      </c>
      <c r="V17" s="95" t="inlineStr">
        <is>
          <t>F</t>
        </is>
      </c>
      <c r="W17" s="95" t="inlineStr">
        <is>
          <t>Sa</t>
        </is>
      </c>
      <c r="X17" s="96" t="inlineStr">
        <is>
          <t>Su</t>
        </is>
      </c>
      <c r="Y17" s="95" t="inlineStr">
        <is>
          <t>M</t>
        </is>
      </c>
      <c r="Z17" s="95" t="inlineStr">
        <is>
          <t>T</t>
        </is>
      </c>
      <c r="AA17" s="95" t="inlineStr">
        <is>
          <t>W</t>
        </is>
      </c>
      <c r="AB17" s="95" t="inlineStr">
        <is>
          <t>Th</t>
        </is>
      </c>
      <c r="AC17" s="95" t="inlineStr">
        <is>
          <t>F</t>
        </is>
      </c>
      <c r="AD17" s="95" t="inlineStr">
        <is>
          <t>Sa</t>
        </is>
      </c>
      <c r="AE17" s="96" t="inlineStr">
        <is>
          <t>Su</t>
        </is>
      </c>
      <c r="AF17" s="95" t="inlineStr">
        <is>
          <t>M</t>
        </is>
      </c>
      <c r="AG17" s="95" t="inlineStr">
        <is>
          <t>T</t>
        </is>
      </c>
      <c r="AH17" s="95" t="inlineStr">
        <is>
          <t>W</t>
        </is>
      </c>
      <c r="AI17" s="95" t="inlineStr">
        <is>
          <t>Th</t>
        </is>
      </c>
      <c r="AJ17" s="54" t="n"/>
      <c r="AK17" s="54" t="n"/>
      <c r="AL17" s="54" t="n"/>
    </row>
    <row r="18" ht="14.5" customHeight="1">
      <c r="A18" s="97" t="n">
        <v>1</v>
      </c>
      <c r="B18" s="98" t="n"/>
      <c r="C18" s="99" t="n"/>
      <c r="D18" s="99" t="n"/>
      <c r="E18" s="100" t="n"/>
      <c r="F18" s="100" t="n"/>
      <c r="G18" s="100" t="n"/>
      <c r="H18" s="100" t="n"/>
      <c r="I18" s="100" t="n"/>
      <c r="J18" s="101" t="n"/>
      <c r="K18" s="100" t="n"/>
      <c r="L18" s="100" t="n"/>
      <c r="M18" s="100" t="n"/>
      <c r="N18" s="100" t="n"/>
      <c r="O18" s="100" t="n"/>
      <c r="P18" s="100" t="n"/>
      <c r="Q18" s="101" t="n"/>
      <c r="R18" s="100" t="n"/>
      <c r="S18" s="100" t="n"/>
      <c r="T18" s="100" t="n"/>
      <c r="U18" s="100" t="n"/>
      <c r="V18" s="100" t="n"/>
      <c r="W18" s="100" t="n"/>
      <c r="X18" s="101" t="n"/>
      <c r="Y18" s="100" t="n"/>
      <c r="Z18" s="100" t="n"/>
      <c r="AA18" s="100" t="n"/>
      <c r="AB18" s="100" t="n"/>
      <c r="AC18" s="100" t="n"/>
      <c r="AD18" s="100" t="n"/>
      <c r="AE18" s="101" t="n"/>
      <c r="AF18" s="100" t="n"/>
      <c r="AG18" s="100" t="n"/>
      <c r="AH18" s="100" t="n"/>
      <c r="AI18" s="100" t="n"/>
      <c r="AJ18" s="102">
        <f>IF(ISBLANK(B18), "", IF(ISNUMBER(D18), IF(D18&gt;0, (COUNTIF(E18:AI18, "✓") + COUNTIF(E18:AI18, "✔") + COUNTIF(E18:AI18, "v") + COUNTIF(E18:AI18, "V"))/D18, 0), IF(((COUNTIF(E18:AI18, "✓") + COUNTIF(E18:AI18, "✔") + COUNTIF(E18:AI18, "v") + COUNTIF(E18:AI18, "V")) + COUNTIF(E18:AI18, "✗") + COUNTIF(E18:AI18, "x") + COUNTIF(E18:AI18, "X"))&gt;0, (COUNTIF(E18:AI18, "✓") + COUNTIF(E18:AI18, "✔") + COUNTIF(E18:AI18, "v") + COUNTIF(E18:AI18, "V"))/((COUNTIF(E18:AI18, "✓") + COUNTIF(E18:AI18, "✔") + COUNTIF(E18:AI18, "v") + COUNTIF(E18:AI18, "V")) + COUNTIF(E18:AI18, "✗") + COUNTIF(E18:AI18, "x") + COUNTIF(E18:AI18, "X")), "")))</f>
        <v/>
      </c>
      <c r="AK18" s="103">
        <f>IF(ISBLANK(B18), "", IF(ISNUMBER(D18), IF(D18&gt;0, (COUNTIF(E18:AI18, "✓") + COUNTIF(E18:AI18, "✔") + COUNTIF(E18:AI18, "v") + COUNTIF(E18:AI18, "V")) &amp; "/" &amp; D18, (COUNTIF(E18:AI18, "✓") + COUNTIF(E18:AI18, "✔") + COUNTIF(E18:AI18, "v") + COUNTIF(E18:AI18, "V")) &amp; "/0"), IF(((COUNTIF(E18:AI18, "✓") + COUNTIF(E18:AI18, "✔") + COUNTIF(E18:AI18, "v") + COUNTIF(E18:AI18, "V")) + COUNTIF(E18:AI18, "✗") + COUNTIF(E18:AI18, "x") + COUNTIF(E18:AI18, "X"))&gt;0, (COUNTIF(E18:AI18, "✓") + COUNTIF(E18:AI18, "✔") + COUNTIF(E18:AI18, "v") + COUNTIF(E18:AI18, "V")) &amp; "/" &amp; ((COUNTIF(E18:AI18, "✓") + COUNTIF(E18:AI18, "✔") + COUNTIF(E18:AI18, "v") + COUNTIF(E18:AI18, "V")) + COUNTIF(E18:AI18, "✗") + COUNTIF(E18:AI18, "x") + COUNTIF(E18:AI18, "X")), "")))</f>
        <v/>
      </c>
      <c r="AL18" s="103">
        <f>IF(ISBLANK(B18), "", IF(AJ18&gt;=0.85, "🔥 Mastered", IF(AJ18&gt;=0.7, "⚡ Consistent", "⚠️ Needs Focus")))</f>
        <v/>
      </c>
      <c r="AM18">
        <f>COUNTIF(E18:AI18, "✓")</f>
        <v/>
      </c>
    </row>
    <row r="19" ht="14.5" customHeight="1">
      <c r="A19" s="97" t="n">
        <v>2</v>
      </c>
      <c r="B19" s="98" t="n"/>
      <c r="C19" s="99" t="n"/>
      <c r="D19" s="99" t="n"/>
      <c r="E19" s="100" t="n"/>
      <c r="F19" s="100" t="n"/>
      <c r="G19" s="100" t="n"/>
      <c r="H19" s="100" t="n"/>
      <c r="I19" s="100" t="n"/>
      <c r="J19" s="101" t="n"/>
      <c r="K19" s="100" t="n"/>
      <c r="L19" s="100" t="n"/>
      <c r="M19" s="100" t="n"/>
      <c r="N19" s="100" t="n"/>
      <c r="O19" s="100" t="n"/>
      <c r="P19" s="100" t="n"/>
      <c r="Q19" s="101" t="n"/>
      <c r="R19" s="100" t="n"/>
      <c r="S19" s="100" t="n"/>
      <c r="T19" s="100" t="n"/>
      <c r="U19" s="100" t="n"/>
      <c r="V19" s="100" t="n"/>
      <c r="W19" s="100" t="n"/>
      <c r="X19" s="101" t="n"/>
      <c r="Y19" s="100" t="n"/>
      <c r="Z19" s="100" t="n"/>
      <c r="AA19" s="100" t="n"/>
      <c r="AB19" s="100" t="n"/>
      <c r="AC19" s="100" t="n"/>
      <c r="AD19" s="100" t="n"/>
      <c r="AE19" s="101" t="n"/>
      <c r="AF19" s="100" t="n"/>
      <c r="AG19" s="100" t="n"/>
      <c r="AH19" s="100" t="n"/>
      <c r="AI19" s="100" t="n"/>
      <c r="AJ19" s="102">
        <f>IF(ISBLANK(B19), "", IF(ISNUMBER(D19), IF(D19&gt;0, (COUNTIF(E19:AI19, "✓") + COUNTIF(E19:AI19, "✔") + COUNTIF(E19:AI19, "v") + COUNTIF(E19:AI19, "V"))/D19, 0), IF(((COUNTIF(E19:AI19, "✓") + COUNTIF(E19:AI19, "✔") + COUNTIF(E19:AI19, "v") + COUNTIF(E19:AI19, "V")) + COUNTIF(E19:AI19, "✗") + COUNTIF(E19:AI19, "x") + COUNTIF(E19:AI19, "X"))&gt;0, (COUNTIF(E19:AI19, "✓") + COUNTIF(E19:AI19, "✔") + COUNTIF(E19:AI19, "v") + COUNTIF(E19:AI19, "V"))/((COUNTIF(E19:AI19, "✓") + COUNTIF(E19:AI19, "✔") + COUNTIF(E19:AI19, "v") + COUNTIF(E19:AI19, "V")) + COUNTIF(E19:AI19, "✗") + COUNTIF(E19:AI19, "x") + COUNTIF(E19:AI19, "X")), "")))</f>
        <v/>
      </c>
      <c r="AK19" s="103">
        <f>IF(ISBLANK(B19), "", IF(ISNUMBER(D19), IF(D19&gt;0, (COUNTIF(E19:AI19, "✓") + COUNTIF(E19:AI19, "✔") + COUNTIF(E19:AI19, "v") + COUNTIF(E19:AI19, "V")) &amp; "/" &amp; D19, (COUNTIF(E19:AI19, "✓") + COUNTIF(E19:AI19, "✔") + COUNTIF(E19:AI19, "v") + COUNTIF(E19:AI19, "V")) &amp; "/0"), IF(((COUNTIF(E19:AI19, "✓") + COUNTIF(E19:AI19, "✔") + COUNTIF(E19:AI19, "v") + COUNTIF(E19:AI19, "V")) + COUNTIF(E19:AI19, "✗") + COUNTIF(E19:AI19, "x") + COUNTIF(E19:AI19, "X"))&gt;0, (COUNTIF(E19:AI19, "✓") + COUNTIF(E19:AI19, "✔") + COUNTIF(E19:AI19, "v") + COUNTIF(E19:AI19, "V")) &amp; "/" &amp; ((COUNTIF(E19:AI19, "✓") + COUNTIF(E19:AI19, "✔") + COUNTIF(E19:AI19, "v") + COUNTIF(E19:AI19, "V")) + COUNTIF(E19:AI19, "✗") + COUNTIF(E19:AI19, "x") + COUNTIF(E19:AI19, "X")), "")))</f>
        <v/>
      </c>
      <c r="AL19" s="103">
        <f>IF(ISBLANK(B19), "", IF(AJ19&gt;=0.85, "🔥 Mastered", IF(AJ19&gt;=0.7, "⚡ Consistent", "⚠️ Needs Focus")))</f>
        <v/>
      </c>
      <c r="AM19">
        <f>COUNTIF(E19:AI19, "✓")</f>
        <v/>
      </c>
    </row>
    <row r="20" ht="14.5" customHeight="1">
      <c r="A20" s="97" t="n">
        <v>3</v>
      </c>
      <c r="B20" s="98" t="n"/>
      <c r="C20" s="99" t="n"/>
      <c r="D20" s="99" t="n"/>
      <c r="E20" s="100" t="n"/>
      <c r="F20" s="100" t="n"/>
      <c r="G20" s="100" t="n"/>
      <c r="H20" s="100" t="n"/>
      <c r="I20" s="100" t="n"/>
      <c r="J20" s="101" t="n"/>
      <c r="K20" s="100" t="n"/>
      <c r="L20" s="100" t="n"/>
      <c r="M20" s="100" t="n"/>
      <c r="N20" s="100" t="n"/>
      <c r="O20" s="100" t="n"/>
      <c r="P20" s="100" t="n"/>
      <c r="Q20" s="101" t="n"/>
      <c r="R20" s="100" t="n"/>
      <c r="S20" s="100" t="n"/>
      <c r="T20" s="100" t="n"/>
      <c r="U20" s="100" t="n"/>
      <c r="V20" s="100" t="n"/>
      <c r="W20" s="100" t="n"/>
      <c r="X20" s="101" t="n"/>
      <c r="Y20" s="100" t="n"/>
      <c r="Z20" s="100" t="n"/>
      <c r="AA20" s="100" t="n"/>
      <c r="AB20" s="100" t="n"/>
      <c r="AC20" s="100" t="n"/>
      <c r="AD20" s="100" t="n"/>
      <c r="AE20" s="101" t="n"/>
      <c r="AF20" s="100" t="n"/>
      <c r="AG20" s="100" t="n"/>
      <c r="AH20" s="100" t="n"/>
      <c r="AI20" s="100" t="n"/>
      <c r="AJ20" s="102">
        <f>IF(ISBLANK(B20), "", IF(ISNUMBER(D20), IF(D20&gt;0, (COUNTIF(E20:AI20, "✓") + COUNTIF(E20:AI20, "✔") + COUNTIF(E20:AI20, "v") + COUNTIF(E20:AI20, "V"))/D20, 0), IF(((COUNTIF(E20:AI20, "✓") + COUNTIF(E20:AI20, "✔") + COUNTIF(E20:AI20, "v") + COUNTIF(E20:AI20, "V")) + COUNTIF(E20:AI20, "✗") + COUNTIF(E20:AI20, "x") + COUNTIF(E20:AI20, "X"))&gt;0, (COUNTIF(E20:AI20, "✓") + COUNTIF(E20:AI20, "✔") + COUNTIF(E20:AI20, "v") + COUNTIF(E20:AI20, "V"))/((COUNTIF(E20:AI20, "✓") + COUNTIF(E20:AI20, "✔") + COUNTIF(E20:AI20, "v") + COUNTIF(E20:AI20, "V")) + COUNTIF(E20:AI20, "✗") + COUNTIF(E20:AI20, "x") + COUNTIF(E20:AI20, "X")), "")))</f>
        <v/>
      </c>
      <c r="AK20" s="103">
        <f>IF(ISBLANK(B20), "", IF(ISNUMBER(D20), IF(D20&gt;0, (COUNTIF(E20:AI20, "✓") + COUNTIF(E20:AI20, "✔") + COUNTIF(E20:AI20, "v") + COUNTIF(E20:AI20, "V")) &amp; "/" &amp; D20, (COUNTIF(E20:AI20, "✓") + COUNTIF(E20:AI20, "✔") + COUNTIF(E20:AI20, "v") + COUNTIF(E20:AI20, "V")) &amp; "/0"), IF(((COUNTIF(E20:AI20, "✓") + COUNTIF(E20:AI20, "✔") + COUNTIF(E20:AI20, "v") + COUNTIF(E20:AI20, "V")) + COUNTIF(E20:AI20, "✗") + COUNTIF(E20:AI20, "x") + COUNTIF(E20:AI20, "X"))&gt;0, (COUNTIF(E20:AI20, "✓") + COUNTIF(E20:AI20, "✔") + COUNTIF(E20:AI20, "v") + COUNTIF(E20:AI20, "V")) &amp; "/" &amp; ((COUNTIF(E20:AI20, "✓") + COUNTIF(E20:AI20, "✔") + COUNTIF(E20:AI20, "v") + COUNTIF(E20:AI20, "V")) + COUNTIF(E20:AI20, "✗") + COUNTIF(E20:AI20, "x") + COUNTIF(E20:AI20, "X")), "")))</f>
        <v/>
      </c>
      <c r="AL20" s="103">
        <f>IF(ISBLANK(B20), "", IF(AJ20&gt;=0.85, "🔥 Mastered", IF(AJ20&gt;=0.7, "⚡ Consistent", "⚠️ Needs Focus")))</f>
        <v/>
      </c>
      <c r="AM20">
        <f>COUNTIF(E20:AI20, "✓")</f>
        <v/>
      </c>
    </row>
    <row r="21" ht="14.5" customHeight="1">
      <c r="A21" s="97" t="n">
        <v>4</v>
      </c>
      <c r="B21" s="98" t="n"/>
      <c r="C21" s="99" t="n"/>
      <c r="D21" s="99" t="n"/>
      <c r="E21" s="100" t="n"/>
      <c r="F21" s="100" t="n"/>
      <c r="G21" s="100" t="n"/>
      <c r="H21" s="100" t="n"/>
      <c r="I21" s="100" t="n"/>
      <c r="J21" s="101" t="n"/>
      <c r="K21" s="100" t="n"/>
      <c r="L21" s="100" t="n"/>
      <c r="M21" s="100" t="n"/>
      <c r="N21" s="100" t="n"/>
      <c r="O21" s="100" t="n"/>
      <c r="P21" s="100" t="n"/>
      <c r="Q21" s="101" t="n"/>
      <c r="R21" s="100" t="n"/>
      <c r="S21" s="100" t="n"/>
      <c r="T21" s="100" t="n"/>
      <c r="U21" s="100" t="n"/>
      <c r="V21" s="100" t="n"/>
      <c r="W21" s="100" t="n"/>
      <c r="X21" s="101" t="n"/>
      <c r="Y21" s="100" t="n"/>
      <c r="Z21" s="100" t="n"/>
      <c r="AA21" s="100" t="n"/>
      <c r="AB21" s="100" t="n"/>
      <c r="AC21" s="100" t="n"/>
      <c r="AD21" s="100" t="n"/>
      <c r="AE21" s="101" t="n"/>
      <c r="AF21" s="100" t="n"/>
      <c r="AG21" s="100" t="n"/>
      <c r="AH21" s="100" t="n"/>
      <c r="AI21" s="100" t="n"/>
      <c r="AJ21" s="102">
        <f>IF(ISBLANK(B21), "", IF(ISNUMBER(D21), IF(D21&gt;0, (COUNTIF(E21:AI21, "✓") + COUNTIF(E21:AI21, "✔") + COUNTIF(E21:AI21, "v") + COUNTIF(E21:AI21, "V"))/D21, 0), IF(((COUNTIF(E21:AI21, "✓") + COUNTIF(E21:AI21, "✔") + COUNTIF(E21:AI21, "v") + COUNTIF(E21:AI21, "V")) + COUNTIF(E21:AI21, "✗") + COUNTIF(E21:AI21, "x") + COUNTIF(E21:AI21, "X"))&gt;0, (COUNTIF(E21:AI21, "✓") + COUNTIF(E21:AI21, "✔") + COUNTIF(E21:AI21, "v") + COUNTIF(E21:AI21, "V"))/((COUNTIF(E21:AI21, "✓") + COUNTIF(E21:AI21, "✔") + COUNTIF(E21:AI21, "v") + COUNTIF(E21:AI21, "V")) + COUNTIF(E21:AI21, "✗") + COUNTIF(E21:AI21, "x") + COUNTIF(E21:AI21, "X")), "")))</f>
        <v/>
      </c>
      <c r="AK21" s="103">
        <f>IF(ISBLANK(B21), "", IF(ISNUMBER(D21), IF(D21&gt;0, (COUNTIF(E21:AI21, "✓") + COUNTIF(E21:AI21, "✔") + COUNTIF(E21:AI21, "v") + COUNTIF(E21:AI21, "V")) &amp; "/" &amp; D21, (COUNTIF(E21:AI21, "✓") + COUNTIF(E21:AI21, "✔") + COUNTIF(E21:AI21, "v") + COUNTIF(E21:AI21, "V")) &amp; "/0"), IF(((COUNTIF(E21:AI21, "✓") + COUNTIF(E21:AI21, "✔") + COUNTIF(E21:AI21, "v") + COUNTIF(E21:AI21, "V")) + COUNTIF(E21:AI21, "✗") + COUNTIF(E21:AI21, "x") + COUNTIF(E21:AI21, "X"))&gt;0, (COUNTIF(E21:AI21, "✓") + COUNTIF(E21:AI21, "✔") + COUNTIF(E21:AI21, "v") + COUNTIF(E21:AI21, "V")) &amp; "/" &amp; ((COUNTIF(E21:AI21, "✓") + COUNTIF(E21:AI21, "✔") + COUNTIF(E21:AI21, "v") + COUNTIF(E21:AI21, "V")) + COUNTIF(E21:AI21, "✗") + COUNTIF(E21:AI21, "x") + COUNTIF(E21:AI21, "X")), "")))</f>
        <v/>
      </c>
      <c r="AL21" s="103">
        <f>IF(ISBLANK(B21), "", IF(AJ21&gt;=0.85, "🔥 Mastered", IF(AJ21&gt;=0.7, "⚡ Consistent", "⚠️ Needs Focus")))</f>
        <v/>
      </c>
      <c r="AM21">
        <f>COUNTIF(E21:AI21, "✓")</f>
        <v/>
      </c>
    </row>
    <row r="22" ht="14.5" customHeight="1">
      <c r="A22" s="104" t="n">
        <v>5</v>
      </c>
      <c r="B22" s="105" t="n"/>
      <c r="C22" s="106" t="n"/>
      <c r="D22" s="106" t="n"/>
      <c r="E22" s="107" t="n"/>
      <c r="F22" s="107" t="n"/>
      <c r="G22" s="107" t="n"/>
      <c r="H22" s="107" t="n"/>
      <c r="I22" s="107" t="n"/>
      <c r="J22" s="108" t="n"/>
      <c r="K22" s="107" t="n"/>
      <c r="L22" s="107" t="n"/>
      <c r="M22" s="107" t="n"/>
      <c r="N22" s="107" t="n"/>
      <c r="O22" s="107" t="n"/>
      <c r="P22" s="107" t="n"/>
      <c r="Q22" s="108" t="n"/>
      <c r="R22" s="107" t="n"/>
      <c r="S22" s="107" t="n"/>
      <c r="T22" s="107" t="n"/>
      <c r="U22" s="107" t="n"/>
      <c r="V22" s="107" t="n"/>
      <c r="W22" s="107" t="n"/>
      <c r="X22" s="108" t="n"/>
      <c r="Y22" s="107" t="n"/>
      <c r="Z22" s="107" t="n"/>
      <c r="AA22" s="107" t="n"/>
      <c r="AB22" s="107" t="n"/>
      <c r="AC22" s="107" t="n"/>
      <c r="AD22" s="107" t="n"/>
      <c r="AE22" s="108" t="n"/>
      <c r="AF22" s="107" t="n"/>
      <c r="AG22" s="107" t="n"/>
      <c r="AH22" s="107" t="n"/>
      <c r="AI22" s="107" t="n"/>
      <c r="AJ22" s="109">
        <f>IF(ISBLANK(B22), "", IF(ISNUMBER(D22), IF(D22&gt;0, (COUNTIF(E22:AI22, "✓") + COUNTIF(E22:AI22, "✔") + COUNTIF(E22:AI22, "v") + COUNTIF(E22:AI22, "V"))/D22, 0), IF(((COUNTIF(E22:AI22, "✓") + COUNTIF(E22:AI22, "✔") + COUNTIF(E22:AI22, "v") + COUNTIF(E22:AI22, "V")) + COUNTIF(E22:AI22, "✗") + COUNTIF(E22:AI22, "x") + COUNTIF(E22:AI22, "X"))&gt;0, (COUNTIF(E22:AI22, "✓") + COUNTIF(E22:AI22, "✔") + COUNTIF(E22:AI22, "v") + COUNTIF(E22:AI22, "V"))/((COUNTIF(E22:AI22, "✓") + COUNTIF(E22:AI22, "✔") + COUNTIF(E22:AI22, "v") + COUNTIF(E22:AI22, "V")) + COUNTIF(E22:AI22, "✗") + COUNTIF(E22:AI22, "x") + COUNTIF(E22:AI22, "X")), "")))</f>
        <v/>
      </c>
      <c r="AK22" s="110">
        <f>IF(ISBLANK(B22), "", IF(ISNUMBER(D22), IF(D22&gt;0, (COUNTIF(E22:AI22, "✓") + COUNTIF(E22:AI22, "✔") + COUNTIF(E22:AI22, "v") + COUNTIF(E22:AI22, "V")) &amp; "/" &amp; D22, (COUNTIF(E22:AI22, "✓") + COUNTIF(E22:AI22, "✔") + COUNTIF(E22:AI22, "v") + COUNTIF(E22:AI22, "V")) &amp; "/0"), IF(((COUNTIF(E22:AI22, "✓") + COUNTIF(E22:AI22, "✔") + COUNTIF(E22:AI22, "v") + COUNTIF(E22:AI22, "V")) + COUNTIF(E22:AI22, "✗") + COUNTIF(E22:AI22, "x") + COUNTIF(E22:AI22, "X"))&gt;0, (COUNTIF(E22:AI22, "✓") + COUNTIF(E22:AI22, "✔") + COUNTIF(E22:AI22, "v") + COUNTIF(E22:AI22, "V")) &amp; "/" &amp; ((COUNTIF(E22:AI22, "✓") + COUNTIF(E22:AI22, "✔") + COUNTIF(E22:AI22, "v") + COUNTIF(E22:AI22, "V")) + COUNTIF(E22:AI22, "✗") + COUNTIF(E22:AI22, "x") + COUNTIF(E22:AI22, "X")), "")))</f>
        <v/>
      </c>
      <c r="AL22" s="110">
        <f>IF(ISBLANK(B22), "", IF(AJ22&gt;=0.85, "🔥 Mastered", IF(AJ22&gt;=0.7, "⚡ Consistent", "⚠️ Needs Focus")))</f>
        <v/>
      </c>
      <c r="AM22">
        <f>COUNTIF(E22:AI22, "✓")</f>
        <v/>
      </c>
    </row>
    <row r="23" ht="14.5" customHeight="1">
      <c r="A23" s="104" t="n">
        <v>6</v>
      </c>
      <c r="B23" s="105" t="n"/>
      <c r="C23" s="106" t="n"/>
      <c r="D23" s="106" t="n"/>
      <c r="E23" s="107" t="n"/>
      <c r="F23" s="107" t="n"/>
      <c r="G23" s="107" t="n"/>
      <c r="H23" s="107" t="n"/>
      <c r="I23" s="107" t="n"/>
      <c r="J23" s="108" t="n"/>
      <c r="K23" s="107" t="n"/>
      <c r="L23" s="107" t="n"/>
      <c r="M23" s="107" t="n"/>
      <c r="N23" s="107" t="n"/>
      <c r="O23" s="107" t="n"/>
      <c r="P23" s="107" t="n"/>
      <c r="Q23" s="108" t="n"/>
      <c r="R23" s="107" t="n"/>
      <c r="S23" s="107" t="n"/>
      <c r="T23" s="107" t="n"/>
      <c r="U23" s="107" t="n"/>
      <c r="V23" s="107" t="n"/>
      <c r="W23" s="107" t="n"/>
      <c r="X23" s="108" t="n"/>
      <c r="Y23" s="107" t="n"/>
      <c r="Z23" s="107" t="n"/>
      <c r="AA23" s="107" t="n"/>
      <c r="AB23" s="107" t="n"/>
      <c r="AC23" s="107" t="n"/>
      <c r="AD23" s="107" t="n"/>
      <c r="AE23" s="108" t="n"/>
      <c r="AF23" s="107" t="n"/>
      <c r="AG23" s="107" t="n"/>
      <c r="AH23" s="107" t="n"/>
      <c r="AI23" s="107" t="n"/>
      <c r="AJ23" s="109">
        <f>IF(ISBLANK(B23), "", IF(ISNUMBER(D23), IF(D23&gt;0, (COUNTIF(E23:AI23, "✓") + COUNTIF(E23:AI23, "✔") + COUNTIF(E23:AI23, "v") + COUNTIF(E23:AI23, "V"))/D23, 0), IF(((COUNTIF(E23:AI23, "✓") + COUNTIF(E23:AI23, "✔") + COUNTIF(E23:AI23, "v") + COUNTIF(E23:AI23, "V")) + COUNTIF(E23:AI23, "✗") + COUNTIF(E23:AI23, "x") + COUNTIF(E23:AI23, "X"))&gt;0, (COUNTIF(E23:AI23, "✓") + COUNTIF(E23:AI23, "✔") + COUNTIF(E23:AI23, "v") + COUNTIF(E23:AI23, "V"))/((COUNTIF(E23:AI23, "✓") + COUNTIF(E23:AI23, "✔") + COUNTIF(E23:AI23, "v") + COUNTIF(E23:AI23, "V")) + COUNTIF(E23:AI23, "✗") + COUNTIF(E23:AI23, "x") + COUNTIF(E23:AI23, "X")), "")))</f>
        <v/>
      </c>
      <c r="AK23" s="110">
        <f>IF(ISBLANK(B23), "", IF(ISNUMBER(D23), IF(D23&gt;0, (COUNTIF(E23:AI23, "✓") + COUNTIF(E23:AI23, "✔") + COUNTIF(E23:AI23, "v") + COUNTIF(E23:AI23, "V")) &amp; "/" &amp; D23, (COUNTIF(E23:AI23, "✓") + COUNTIF(E23:AI23, "✔") + COUNTIF(E23:AI23, "v") + COUNTIF(E23:AI23, "V")) &amp; "/0"), IF(((COUNTIF(E23:AI23, "✓") + COUNTIF(E23:AI23, "✔") + COUNTIF(E23:AI23, "v") + COUNTIF(E23:AI23, "V")) + COUNTIF(E23:AI23, "✗") + COUNTIF(E23:AI23, "x") + COUNTIF(E23:AI23, "X"))&gt;0, (COUNTIF(E23:AI23, "✓") + COUNTIF(E23:AI23, "✔") + COUNTIF(E23:AI23, "v") + COUNTIF(E23:AI23, "V")) &amp; "/" &amp; ((COUNTIF(E23:AI23, "✓") + COUNTIF(E23:AI23, "✔") + COUNTIF(E23:AI23, "v") + COUNTIF(E23:AI23, "V")) + COUNTIF(E23:AI23, "✗") + COUNTIF(E23:AI23, "x") + COUNTIF(E23:AI23, "X")), "")))</f>
        <v/>
      </c>
      <c r="AL23" s="110">
        <f>IF(ISBLANK(B23), "", IF(AJ23&gt;=0.85, "🔥 Mastered", IF(AJ23&gt;=0.7, "⚡ Consistent", "⚠️ Needs Focus")))</f>
        <v/>
      </c>
      <c r="AM23">
        <f>COUNTIF(E23:AI23, "✓")</f>
        <v/>
      </c>
    </row>
    <row r="24" ht="14.5" customHeight="1">
      <c r="A24" s="104" t="n">
        <v>7</v>
      </c>
      <c r="B24" s="105" t="n"/>
      <c r="C24" s="106" t="n"/>
      <c r="D24" s="106" t="n"/>
      <c r="E24" s="107" t="n"/>
      <c r="F24" s="107" t="n"/>
      <c r="G24" s="107" t="n"/>
      <c r="H24" s="107" t="n"/>
      <c r="I24" s="107" t="n"/>
      <c r="J24" s="108" t="n"/>
      <c r="K24" s="107" t="n"/>
      <c r="L24" s="107" t="n"/>
      <c r="M24" s="107" t="n"/>
      <c r="N24" s="107" t="n"/>
      <c r="O24" s="107" t="n"/>
      <c r="P24" s="107" t="n"/>
      <c r="Q24" s="108" t="n"/>
      <c r="R24" s="107" t="n"/>
      <c r="S24" s="107" t="n"/>
      <c r="T24" s="107" t="n"/>
      <c r="U24" s="107" t="n"/>
      <c r="V24" s="107" t="n"/>
      <c r="W24" s="107" t="n"/>
      <c r="X24" s="108" t="n"/>
      <c r="Y24" s="107" t="n"/>
      <c r="Z24" s="107" t="n"/>
      <c r="AA24" s="107" t="n"/>
      <c r="AB24" s="107" t="n"/>
      <c r="AC24" s="107" t="n"/>
      <c r="AD24" s="107" t="n"/>
      <c r="AE24" s="108" t="n"/>
      <c r="AF24" s="107" t="n"/>
      <c r="AG24" s="107" t="n"/>
      <c r="AH24" s="107" t="n"/>
      <c r="AI24" s="107" t="n"/>
      <c r="AJ24" s="109">
        <f>IF(ISBLANK(B24), "", IF(ISNUMBER(D24), IF(D24&gt;0, (COUNTIF(E24:AI24, "✓") + COUNTIF(E24:AI24, "✔") + COUNTIF(E24:AI24, "v") + COUNTIF(E24:AI24, "V"))/D24, 0), IF(((COUNTIF(E24:AI24, "✓") + COUNTIF(E24:AI24, "✔") + COUNTIF(E24:AI24, "v") + COUNTIF(E24:AI24, "V")) + COUNTIF(E24:AI24, "✗") + COUNTIF(E24:AI24, "x") + COUNTIF(E24:AI24, "X"))&gt;0, (COUNTIF(E24:AI24, "✓") + COUNTIF(E24:AI24, "✔") + COUNTIF(E24:AI24, "v") + COUNTIF(E24:AI24, "V"))/((COUNTIF(E24:AI24, "✓") + COUNTIF(E24:AI24, "✔") + COUNTIF(E24:AI24, "v") + COUNTIF(E24:AI24, "V")) + COUNTIF(E24:AI24, "✗") + COUNTIF(E24:AI24, "x") + COUNTIF(E24:AI24, "X")), "")))</f>
        <v/>
      </c>
      <c r="AK24" s="110">
        <f>IF(ISBLANK(B24), "", IF(ISNUMBER(D24), IF(D24&gt;0, (COUNTIF(E24:AI24, "✓") + COUNTIF(E24:AI24, "✔") + COUNTIF(E24:AI24, "v") + COUNTIF(E24:AI24, "V")) &amp; "/" &amp; D24, (COUNTIF(E24:AI24, "✓") + COUNTIF(E24:AI24, "✔") + COUNTIF(E24:AI24, "v") + COUNTIF(E24:AI24, "V")) &amp; "/0"), IF(((COUNTIF(E24:AI24, "✓") + COUNTIF(E24:AI24, "✔") + COUNTIF(E24:AI24, "v") + COUNTIF(E24:AI24, "V")) + COUNTIF(E24:AI24, "✗") + COUNTIF(E24:AI24, "x") + COUNTIF(E24:AI24, "X"))&gt;0, (COUNTIF(E24:AI24, "✓") + COUNTIF(E24:AI24, "✔") + COUNTIF(E24:AI24, "v") + COUNTIF(E24:AI24, "V")) &amp; "/" &amp; ((COUNTIF(E24:AI24, "✓") + COUNTIF(E24:AI24, "✔") + COUNTIF(E24:AI24, "v") + COUNTIF(E24:AI24, "V")) + COUNTIF(E24:AI24, "✗") + COUNTIF(E24:AI24, "x") + COUNTIF(E24:AI24, "X")), "")))</f>
        <v/>
      </c>
      <c r="AL24" s="110">
        <f>IF(ISBLANK(B24), "", IF(AJ24&gt;=0.85, "🔥 Mastered", IF(AJ24&gt;=0.7, "⚡ Consistent", "⚠️ Needs Focus")))</f>
        <v/>
      </c>
      <c r="AM24">
        <f>COUNTIF(E24:AI24, "✓")</f>
        <v/>
      </c>
    </row>
    <row r="25" ht="14.5" customHeight="1">
      <c r="A25" s="104" t="n">
        <v>8</v>
      </c>
      <c r="B25" s="105" t="n"/>
      <c r="C25" s="106" t="n"/>
      <c r="D25" s="106" t="n"/>
      <c r="E25" s="107" t="n"/>
      <c r="F25" s="107" t="n"/>
      <c r="G25" s="107" t="n"/>
      <c r="H25" s="107" t="n"/>
      <c r="I25" s="107" t="n"/>
      <c r="J25" s="108" t="n"/>
      <c r="K25" s="107" t="n"/>
      <c r="L25" s="107" t="n"/>
      <c r="M25" s="107" t="n"/>
      <c r="N25" s="107" t="n"/>
      <c r="O25" s="107" t="n"/>
      <c r="P25" s="107" t="n"/>
      <c r="Q25" s="108" t="n"/>
      <c r="R25" s="107" t="n"/>
      <c r="S25" s="107" t="n"/>
      <c r="T25" s="107" t="n"/>
      <c r="U25" s="107" t="n"/>
      <c r="V25" s="107" t="n"/>
      <c r="W25" s="107" t="n"/>
      <c r="X25" s="108" t="n"/>
      <c r="Y25" s="107" t="n"/>
      <c r="Z25" s="107" t="n"/>
      <c r="AA25" s="107" t="n"/>
      <c r="AB25" s="107" t="n"/>
      <c r="AC25" s="107" t="n"/>
      <c r="AD25" s="107" t="n"/>
      <c r="AE25" s="108" t="n"/>
      <c r="AF25" s="107" t="n"/>
      <c r="AG25" s="107" t="n"/>
      <c r="AH25" s="107" t="n"/>
      <c r="AI25" s="107" t="n"/>
      <c r="AJ25" s="109">
        <f>IF(ISBLANK(B25), "", IF(ISNUMBER(D25), IF(D25&gt;0, (COUNTIF(E25:AI25, "✓") + COUNTIF(E25:AI25, "✔") + COUNTIF(E25:AI25, "v") + COUNTIF(E25:AI25, "V"))/D25, 0), IF(((COUNTIF(E25:AI25, "✓") + COUNTIF(E25:AI25, "✔") + COUNTIF(E25:AI25, "v") + COUNTIF(E25:AI25, "V")) + COUNTIF(E25:AI25, "✗") + COUNTIF(E25:AI25, "x") + COUNTIF(E25:AI25, "X"))&gt;0, (COUNTIF(E25:AI25, "✓") + COUNTIF(E25:AI25, "✔") + COUNTIF(E25:AI25, "v") + COUNTIF(E25:AI25, "V"))/((COUNTIF(E25:AI25, "✓") + COUNTIF(E25:AI25, "✔") + COUNTIF(E25:AI25, "v") + COUNTIF(E25:AI25, "V")) + COUNTIF(E25:AI25, "✗") + COUNTIF(E25:AI25, "x") + COUNTIF(E25:AI25, "X")), "")))</f>
        <v/>
      </c>
      <c r="AK25" s="110">
        <f>IF(ISBLANK(B25), "", IF(ISNUMBER(D25), IF(D25&gt;0, (COUNTIF(E25:AI25, "✓") + COUNTIF(E25:AI25, "✔") + COUNTIF(E25:AI25, "v") + COUNTIF(E25:AI25, "V")) &amp; "/" &amp; D25, (COUNTIF(E25:AI25, "✓") + COUNTIF(E25:AI25, "✔") + COUNTIF(E25:AI25, "v") + COUNTIF(E25:AI25, "V")) &amp; "/0"), IF(((COUNTIF(E25:AI25, "✓") + COUNTIF(E25:AI25, "✔") + COUNTIF(E25:AI25, "v") + COUNTIF(E25:AI25, "V")) + COUNTIF(E25:AI25, "✗") + COUNTIF(E25:AI25, "x") + COUNTIF(E25:AI25, "X"))&gt;0, (COUNTIF(E25:AI25, "✓") + COUNTIF(E25:AI25, "✔") + COUNTIF(E25:AI25, "v") + COUNTIF(E25:AI25, "V")) &amp; "/" &amp; ((COUNTIF(E25:AI25, "✓") + COUNTIF(E25:AI25, "✔") + COUNTIF(E25:AI25, "v") + COUNTIF(E25:AI25, "V")) + COUNTIF(E25:AI25, "✗") + COUNTIF(E25:AI25, "x") + COUNTIF(E25:AI25, "X")), "")))</f>
        <v/>
      </c>
      <c r="AL25" s="110">
        <f>IF(ISBLANK(B25), "", IF(AJ25&gt;=0.85, "🔥 Mastered", IF(AJ25&gt;=0.7, "⚡ Consistent", "⚠️ Needs Focus")))</f>
        <v/>
      </c>
      <c r="AM25">
        <f>COUNTIF(E25:AI25, "✓")</f>
        <v/>
      </c>
    </row>
    <row r="26" ht="14.5" customHeight="1">
      <c r="A26" s="111" t="n">
        <v>9</v>
      </c>
      <c r="B26" s="112" t="n"/>
      <c r="C26" s="113" t="n"/>
      <c r="D26" s="113" t="n"/>
      <c r="E26" s="114" t="n"/>
      <c r="F26" s="114" t="n"/>
      <c r="G26" s="114" t="n"/>
      <c r="H26" s="114" t="n"/>
      <c r="I26" s="114" t="n"/>
      <c r="J26" s="115" t="n"/>
      <c r="K26" s="114" t="n"/>
      <c r="L26" s="114" t="n"/>
      <c r="M26" s="114" t="n"/>
      <c r="N26" s="114" t="n"/>
      <c r="O26" s="114" t="n"/>
      <c r="P26" s="114" t="n"/>
      <c r="Q26" s="115" t="n"/>
      <c r="R26" s="114" t="n"/>
      <c r="S26" s="114" t="n"/>
      <c r="T26" s="114" t="n"/>
      <c r="U26" s="114" t="n"/>
      <c r="V26" s="114" t="n"/>
      <c r="W26" s="114" t="n"/>
      <c r="X26" s="115" t="n"/>
      <c r="Y26" s="114" t="n"/>
      <c r="Z26" s="114" t="n"/>
      <c r="AA26" s="114" t="n"/>
      <c r="AB26" s="114" t="n"/>
      <c r="AC26" s="114" t="n"/>
      <c r="AD26" s="114" t="n"/>
      <c r="AE26" s="115" t="n"/>
      <c r="AF26" s="114" t="n"/>
      <c r="AG26" s="114" t="n"/>
      <c r="AH26" s="114" t="n"/>
      <c r="AI26" s="114" t="n"/>
      <c r="AJ26" s="116">
        <f>IF(ISBLANK(B26), "", IF(ISNUMBER(D26), IF(D26&gt;0, (COUNTIF(E26:AI26, "✓") + COUNTIF(E26:AI26, "✔") + COUNTIF(E26:AI26, "v") + COUNTIF(E26:AI26, "V"))/D26, 0), IF(((COUNTIF(E26:AI26, "✓") + COUNTIF(E26:AI26, "✔") + COUNTIF(E26:AI26, "v") + COUNTIF(E26:AI26, "V")) + COUNTIF(E26:AI26, "✗") + COUNTIF(E26:AI26, "x") + COUNTIF(E26:AI26, "X"))&gt;0, (COUNTIF(E26:AI26, "✓") + COUNTIF(E26:AI26, "✔") + COUNTIF(E26:AI26, "v") + COUNTIF(E26:AI26, "V"))/((COUNTIF(E26:AI26, "✓") + COUNTIF(E26:AI26, "✔") + COUNTIF(E26:AI26, "v") + COUNTIF(E26:AI26, "V")) + COUNTIF(E26:AI26, "✗") + COUNTIF(E26:AI26, "x") + COUNTIF(E26:AI26, "X")), "")))</f>
        <v/>
      </c>
      <c r="AK26" s="117">
        <f>IF(ISBLANK(B26), "", IF(ISNUMBER(D26), IF(D26&gt;0, (COUNTIF(E26:AI26, "✓") + COUNTIF(E26:AI26, "✔") + COUNTIF(E26:AI26, "v") + COUNTIF(E26:AI26, "V")) &amp; "/" &amp; D26, (COUNTIF(E26:AI26, "✓") + COUNTIF(E26:AI26, "✔") + COUNTIF(E26:AI26, "v") + COUNTIF(E26:AI26, "V")) &amp; "/0"), IF(((COUNTIF(E26:AI26, "✓") + COUNTIF(E26:AI26, "✔") + COUNTIF(E26:AI26, "v") + COUNTIF(E26:AI26, "V")) + COUNTIF(E26:AI26, "✗") + COUNTIF(E26:AI26, "x") + COUNTIF(E26:AI26, "X"))&gt;0, (COUNTIF(E26:AI26, "✓") + COUNTIF(E26:AI26, "✔") + COUNTIF(E26:AI26, "v") + COUNTIF(E26:AI26, "V")) &amp; "/" &amp; ((COUNTIF(E26:AI26, "✓") + COUNTIF(E26:AI26, "✔") + COUNTIF(E26:AI26, "v") + COUNTIF(E26:AI26, "V")) + COUNTIF(E26:AI26, "✗") + COUNTIF(E26:AI26, "x") + COUNTIF(E26:AI26, "X")), "")))</f>
        <v/>
      </c>
      <c r="AL26" s="117">
        <f>IF(ISBLANK(B26), "", IF(AJ26&gt;=0.85, "🔥 Mastered", IF(AJ26&gt;=0.7, "⚡ Consistent", "⚠️ Needs Focus")))</f>
        <v/>
      </c>
      <c r="AM26">
        <f>COUNTIF(E26:AI26, "✓")</f>
        <v/>
      </c>
    </row>
    <row r="27" ht="14.5" customHeight="1">
      <c r="A27" s="111" t="n">
        <v>10</v>
      </c>
      <c r="B27" s="112" t="n"/>
      <c r="C27" s="113" t="n"/>
      <c r="D27" s="113" t="n"/>
      <c r="E27" s="114" t="n"/>
      <c r="F27" s="114" t="n"/>
      <c r="G27" s="114" t="n"/>
      <c r="H27" s="114" t="n"/>
      <c r="I27" s="114" t="n"/>
      <c r="J27" s="115" t="n"/>
      <c r="K27" s="114" t="n"/>
      <c r="L27" s="114" t="n"/>
      <c r="M27" s="114" t="n"/>
      <c r="N27" s="114" t="n"/>
      <c r="O27" s="114" t="n"/>
      <c r="P27" s="114" t="n"/>
      <c r="Q27" s="115" t="n"/>
      <c r="R27" s="114" t="n"/>
      <c r="S27" s="114" t="n"/>
      <c r="T27" s="114" t="n"/>
      <c r="U27" s="114" t="n"/>
      <c r="V27" s="114" t="n"/>
      <c r="W27" s="114" t="n"/>
      <c r="X27" s="115" t="n"/>
      <c r="Y27" s="114" t="n"/>
      <c r="Z27" s="114" t="n"/>
      <c r="AA27" s="114" t="n"/>
      <c r="AB27" s="114" t="n"/>
      <c r="AC27" s="114" t="n"/>
      <c r="AD27" s="114" t="n"/>
      <c r="AE27" s="115" t="n"/>
      <c r="AF27" s="114" t="n"/>
      <c r="AG27" s="114" t="n"/>
      <c r="AH27" s="114" t="n"/>
      <c r="AI27" s="114" t="n"/>
      <c r="AJ27" s="116">
        <f>IF(ISBLANK(B27), "", IF(ISNUMBER(D27), IF(D27&gt;0, (COUNTIF(E27:AI27, "✓") + COUNTIF(E27:AI27, "✔") + COUNTIF(E27:AI27, "v") + COUNTIF(E27:AI27, "V"))/D27, 0), IF(((COUNTIF(E27:AI27, "✓") + COUNTIF(E27:AI27, "✔") + COUNTIF(E27:AI27, "v") + COUNTIF(E27:AI27, "V")) + COUNTIF(E27:AI27, "✗") + COUNTIF(E27:AI27, "x") + COUNTIF(E27:AI27, "X"))&gt;0, (COUNTIF(E27:AI27, "✓") + COUNTIF(E27:AI27, "✔") + COUNTIF(E27:AI27, "v") + COUNTIF(E27:AI27, "V"))/((COUNTIF(E27:AI27, "✓") + COUNTIF(E27:AI27, "✔") + COUNTIF(E27:AI27, "v") + COUNTIF(E27:AI27, "V")) + COUNTIF(E27:AI27, "✗") + COUNTIF(E27:AI27, "x") + COUNTIF(E27:AI27, "X")), "")))</f>
        <v/>
      </c>
      <c r="AK27" s="117">
        <f>IF(ISBLANK(B27), "", IF(ISNUMBER(D27), IF(D27&gt;0, (COUNTIF(E27:AI27, "✓") + COUNTIF(E27:AI27, "✔") + COUNTIF(E27:AI27, "v") + COUNTIF(E27:AI27, "V")) &amp; "/" &amp; D27, (COUNTIF(E27:AI27, "✓") + COUNTIF(E27:AI27, "✔") + COUNTIF(E27:AI27, "v") + COUNTIF(E27:AI27, "V")) &amp; "/0"), IF(((COUNTIF(E27:AI27, "✓") + COUNTIF(E27:AI27, "✔") + COUNTIF(E27:AI27, "v") + COUNTIF(E27:AI27, "V")) + COUNTIF(E27:AI27, "✗") + COUNTIF(E27:AI27, "x") + COUNTIF(E27:AI27, "X"))&gt;0, (COUNTIF(E27:AI27, "✓") + COUNTIF(E27:AI27, "✔") + COUNTIF(E27:AI27, "v") + COUNTIF(E27:AI27, "V")) &amp; "/" &amp; ((COUNTIF(E27:AI27, "✓") + COUNTIF(E27:AI27, "✔") + COUNTIF(E27:AI27, "v") + COUNTIF(E27:AI27, "V")) + COUNTIF(E27:AI27, "✗") + COUNTIF(E27:AI27, "x") + COUNTIF(E27:AI27, "X")), "")))</f>
        <v/>
      </c>
      <c r="AL27" s="117">
        <f>IF(ISBLANK(B27), "", IF(AJ27&gt;=0.85, "🔥 Mastered", IF(AJ27&gt;=0.7, "⚡ Consistent", "⚠️ Needs Focus")))</f>
        <v/>
      </c>
      <c r="AM27">
        <f>COUNTIF(E27:AI27, "✓")</f>
        <v/>
      </c>
    </row>
    <row r="28" ht="14.5" customHeight="1">
      <c r="A28" s="111" t="n">
        <v>11</v>
      </c>
      <c r="B28" s="112" t="n"/>
      <c r="C28" s="113" t="n"/>
      <c r="D28" s="113" t="n"/>
      <c r="E28" s="114" t="n"/>
      <c r="F28" s="114" t="n"/>
      <c r="G28" s="114" t="n"/>
      <c r="H28" s="114" t="n"/>
      <c r="I28" s="114" t="n"/>
      <c r="J28" s="115" t="n"/>
      <c r="K28" s="114" t="n"/>
      <c r="L28" s="114" t="n"/>
      <c r="M28" s="114" t="n"/>
      <c r="N28" s="114" t="n"/>
      <c r="O28" s="114" t="n"/>
      <c r="P28" s="114" t="n"/>
      <c r="Q28" s="115" t="n"/>
      <c r="R28" s="114" t="n"/>
      <c r="S28" s="114" t="n"/>
      <c r="T28" s="114" t="n"/>
      <c r="U28" s="114" t="n"/>
      <c r="V28" s="114" t="n"/>
      <c r="W28" s="114" t="n"/>
      <c r="X28" s="115" t="n"/>
      <c r="Y28" s="114" t="n"/>
      <c r="Z28" s="114" t="n"/>
      <c r="AA28" s="114" t="n"/>
      <c r="AB28" s="114" t="n"/>
      <c r="AC28" s="114" t="n"/>
      <c r="AD28" s="114" t="n"/>
      <c r="AE28" s="115" t="n"/>
      <c r="AF28" s="114" t="n"/>
      <c r="AG28" s="114" t="n"/>
      <c r="AH28" s="114" t="n"/>
      <c r="AI28" s="114" t="n"/>
      <c r="AJ28" s="116">
        <f>IF(ISBLANK(B28), "", IF(ISNUMBER(D28), IF(D28&gt;0, (COUNTIF(E28:AI28, "✓") + COUNTIF(E28:AI28, "✔") + COUNTIF(E28:AI28, "v") + COUNTIF(E28:AI28, "V"))/D28, 0), IF(((COUNTIF(E28:AI28, "✓") + COUNTIF(E28:AI28, "✔") + COUNTIF(E28:AI28, "v") + COUNTIF(E28:AI28, "V")) + COUNTIF(E28:AI28, "✗") + COUNTIF(E28:AI28, "x") + COUNTIF(E28:AI28, "X"))&gt;0, (COUNTIF(E28:AI28, "✓") + COUNTIF(E28:AI28, "✔") + COUNTIF(E28:AI28, "v") + COUNTIF(E28:AI28, "V"))/((COUNTIF(E28:AI28, "✓") + COUNTIF(E28:AI28, "✔") + COUNTIF(E28:AI28, "v") + COUNTIF(E28:AI28, "V")) + COUNTIF(E28:AI28, "✗") + COUNTIF(E28:AI28, "x") + COUNTIF(E28:AI28, "X")), "")))</f>
        <v/>
      </c>
      <c r="AK28" s="117">
        <f>IF(ISBLANK(B28), "", IF(ISNUMBER(D28), IF(D28&gt;0, (COUNTIF(E28:AI28, "✓") + COUNTIF(E28:AI28, "✔") + COUNTIF(E28:AI28, "v") + COUNTIF(E28:AI28, "V")) &amp; "/" &amp; D28, (COUNTIF(E28:AI28, "✓") + COUNTIF(E28:AI28, "✔") + COUNTIF(E28:AI28, "v") + COUNTIF(E28:AI28, "V")) &amp; "/0"), IF(((COUNTIF(E28:AI28, "✓") + COUNTIF(E28:AI28, "✔") + COUNTIF(E28:AI28, "v") + COUNTIF(E28:AI28, "V")) + COUNTIF(E28:AI28, "✗") + COUNTIF(E28:AI28, "x") + COUNTIF(E28:AI28, "X"))&gt;0, (COUNTIF(E28:AI28, "✓") + COUNTIF(E28:AI28, "✔") + COUNTIF(E28:AI28, "v") + COUNTIF(E28:AI28, "V")) &amp; "/" &amp; ((COUNTIF(E28:AI28, "✓") + COUNTIF(E28:AI28, "✔") + COUNTIF(E28:AI28, "v") + COUNTIF(E28:AI28, "V")) + COUNTIF(E28:AI28, "✗") + COUNTIF(E28:AI28, "x") + COUNTIF(E28:AI28, "X")), "")))</f>
        <v/>
      </c>
      <c r="AL28" s="117">
        <f>IF(ISBLANK(B28), "", IF(AJ28&gt;=0.85, "🔥 Mastered", IF(AJ28&gt;=0.7, "⚡ Consistent", "⚠️ Needs Focus")))</f>
        <v/>
      </c>
      <c r="AM28">
        <f>COUNTIF(E28:AI28, "✓")</f>
        <v/>
      </c>
    </row>
    <row r="29" ht="14.5" customHeight="1">
      <c r="A29" s="111" t="n">
        <v>12</v>
      </c>
      <c r="B29" s="112" t="n"/>
      <c r="C29" s="113" t="n"/>
      <c r="D29" s="113" t="n"/>
      <c r="E29" s="114" t="n"/>
      <c r="F29" s="114" t="n"/>
      <c r="G29" s="114" t="n"/>
      <c r="H29" s="114" t="n"/>
      <c r="I29" s="114" t="n"/>
      <c r="J29" s="115" t="n"/>
      <c r="K29" s="114" t="n"/>
      <c r="L29" s="114" t="n"/>
      <c r="M29" s="114" t="n"/>
      <c r="N29" s="114" t="n"/>
      <c r="O29" s="114" t="n"/>
      <c r="P29" s="114" t="n"/>
      <c r="Q29" s="115" t="n"/>
      <c r="R29" s="114" t="n"/>
      <c r="S29" s="114" t="n"/>
      <c r="T29" s="114" t="n"/>
      <c r="U29" s="114" t="n"/>
      <c r="V29" s="114" t="n"/>
      <c r="W29" s="114" t="n"/>
      <c r="X29" s="115" t="n"/>
      <c r="Y29" s="114" t="n"/>
      <c r="Z29" s="114" t="n"/>
      <c r="AA29" s="114" t="n"/>
      <c r="AB29" s="114" t="n"/>
      <c r="AC29" s="114" t="n"/>
      <c r="AD29" s="114" t="n"/>
      <c r="AE29" s="115" t="n"/>
      <c r="AF29" s="114" t="n"/>
      <c r="AG29" s="114" t="n"/>
      <c r="AH29" s="114" t="n"/>
      <c r="AI29" s="114" t="n"/>
      <c r="AJ29" s="116">
        <f>IF(ISBLANK(B29), "", IF(ISNUMBER(D29), IF(D29&gt;0, (COUNTIF(E29:AI29, "✓") + COUNTIF(E29:AI29, "✔") + COUNTIF(E29:AI29, "v") + COUNTIF(E29:AI29, "V"))/D29, 0), IF(((COUNTIF(E29:AI29, "✓") + COUNTIF(E29:AI29, "✔") + COUNTIF(E29:AI29, "v") + COUNTIF(E29:AI29, "V")) + COUNTIF(E29:AI29, "✗") + COUNTIF(E29:AI29, "x") + COUNTIF(E29:AI29, "X"))&gt;0, (COUNTIF(E29:AI29, "✓") + COUNTIF(E29:AI29, "✔") + COUNTIF(E29:AI29, "v") + COUNTIF(E29:AI29, "V"))/((COUNTIF(E29:AI29, "✓") + COUNTIF(E29:AI29, "✔") + COUNTIF(E29:AI29, "v") + COUNTIF(E29:AI29, "V")) + COUNTIF(E29:AI29, "✗") + COUNTIF(E29:AI29, "x") + COUNTIF(E29:AI29, "X")), "")))</f>
        <v/>
      </c>
      <c r="AK29" s="117">
        <f>IF(ISBLANK(B29), "", IF(ISNUMBER(D29), IF(D29&gt;0, (COUNTIF(E29:AI29, "✓") + COUNTIF(E29:AI29, "✔") + COUNTIF(E29:AI29, "v") + COUNTIF(E29:AI29, "V")) &amp; "/" &amp; D29, (COUNTIF(E29:AI29, "✓") + COUNTIF(E29:AI29, "✔") + COUNTIF(E29:AI29, "v") + COUNTIF(E29:AI29, "V")) &amp; "/0"), IF(((COUNTIF(E29:AI29, "✓") + COUNTIF(E29:AI29, "✔") + COUNTIF(E29:AI29, "v") + COUNTIF(E29:AI29, "V")) + COUNTIF(E29:AI29, "✗") + COUNTIF(E29:AI29, "x") + COUNTIF(E29:AI29, "X"))&gt;0, (COUNTIF(E29:AI29, "✓") + COUNTIF(E29:AI29, "✔") + COUNTIF(E29:AI29, "v") + COUNTIF(E29:AI29, "V")) &amp; "/" &amp; ((COUNTIF(E29:AI29, "✓") + COUNTIF(E29:AI29, "✔") + COUNTIF(E29:AI29, "v") + COUNTIF(E29:AI29, "V")) + COUNTIF(E29:AI29, "✗") + COUNTIF(E29:AI29, "x") + COUNTIF(E29:AI29, "X")), "")))</f>
        <v/>
      </c>
      <c r="AL29" s="117">
        <f>IF(ISBLANK(B29), "", IF(AJ29&gt;=0.85, "🔥 Mastered", IF(AJ29&gt;=0.7, "⚡ Consistent", "⚠️ Needs Focus")))</f>
        <v/>
      </c>
      <c r="AM29">
        <f>COUNTIF(E29:AI29, "✓")</f>
        <v/>
      </c>
    </row>
    <row r="30" ht="14.5" customHeight="1">
      <c r="A30" s="118" t="n">
        <v>13</v>
      </c>
      <c r="B30" s="119" t="n"/>
      <c r="C30" s="120" t="n"/>
      <c r="D30" s="120" t="n"/>
      <c r="E30" s="121" t="n"/>
      <c r="F30" s="121" t="n"/>
      <c r="G30" s="121" t="n"/>
      <c r="H30" s="121" t="n"/>
      <c r="I30" s="121" t="n"/>
      <c r="J30" s="122" t="n"/>
      <c r="K30" s="121" t="n"/>
      <c r="L30" s="121" t="n"/>
      <c r="M30" s="121" t="n"/>
      <c r="N30" s="121" t="n"/>
      <c r="O30" s="121" t="n"/>
      <c r="P30" s="121" t="n"/>
      <c r="Q30" s="122" t="n"/>
      <c r="R30" s="121" t="n"/>
      <c r="S30" s="121" t="n"/>
      <c r="T30" s="121" t="n"/>
      <c r="U30" s="121" t="n"/>
      <c r="V30" s="121" t="n"/>
      <c r="W30" s="121" t="n"/>
      <c r="X30" s="122" t="n"/>
      <c r="Y30" s="121" t="n"/>
      <c r="Z30" s="121" t="n"/>
      <c r="AA30" s="121" t="n"/>
      <c r="AB30" s="121" t="n"/>
      <c r="AC30" s="121" t="n"/>
      <c r="AD30" s="121" t="n"/>
      <c r="AE30" s="122" t="n"/>
      <c r="AF30" s="121" t="n"/>
      <c r="AG30" s="121" t="n"/>
      <c r="AH30" s="121" t="n"/>
      <c r="AI30" s="121" t="n"/>
      <c r="AJ30" s="123">
        <f>IF(ISBLANK(B30), "", IF(ISNUMBER(D30), IF(D30&gt;0, (COUNTIF(E30:AI30, "✓") + COUNTIF(E30:AI30, "✔") + COUNTIF(E30:AI30, "v") + COUNTIF(E30:AI30, "V"))/D30, 0), IF(((COUNTIF(E30:AI30, "✓") + COUNTIF(E30:AI30, "✔") + COUNTIF(E30:AI30, "v") + COUNTIF(E30:AI30, "V")) + COUNTIF(E30:AI30, "✗") + COUNTIF(E30:AI30, "x") + COUNTIF(E30:AI30, "X"))&gt;0, (COUNTIF(E30:AI30, "✓") + COUNTIF(E30:AI30, "✔") + COUNTIF(E30:AI30, "v") + COUNTIF(E30:AI30, "V"))/((COUNTIF(E30:AI30, "✓") + COUNTIF(E30:AI30, "✔") + COUNTIF(E30:AI30, "v") + COUNTIF(E30:AI30, "V")) + COUNTIF(E30:AI30, "✗") + COUNTIF(E30:AI30, "x") + COUNTIF(E30:AI30, "X")), "")))</f>
        <v/>
      </c>
      <c r="AK30" s="124">
        <f>IF(ISBLANK(B30), "", IF(ISNUMBER(D30), IF(D30&gt;0, (COUNTIF(E30:AI30, "✓") + COUNTIF(E30:AI30, "✔") + COUNTIF(E30:AI30, "v") + COUNTIF(E30:AI30, "V")) &amp; "/" &amp; D30, (COUNTIF(E30:AI30, "✓") + COUNTIF(E30:AI30, "✔") + COUNTIF(E30:AI30, "v") + COUNTIF(E30:AI30, "V")) &amp; "/0"), IF(((COUNTIF(E30:AI30, "✓") + COUNTIF(E30:AI30, "✔") + COUNTIF(E30:AI30, "v") + COUNTIF(E30:AI30, "V")) + COUNTIF(E30:AI30, "✗") + COUNTIF(E30:AI30, "x") + COUNTIF(E30:AI30, "X"))&gt;0, (COUNTIF(E30:AI30, "✓") + COUNTIF(E30:AI30, "✔") + COUNTIF(E30:AI30, "v") + COUNTIF(E30:AI30, "V")) &amp; "/" &amp; ((COUNTIF(E30:AI30, "✓") + COUNTIF(E30:AI30, "✔") + COUNTIF(E30:AI30, "v") + COUNTIF(E30:AI30, "V")) + COUNTIF(E30:AI30, "✗") + COUNTIF(E30:AI30, "x") + COUNTIF(E30:AI30, "X")), "")))</f>
        <v/>
      </c>
      <c r="AL30" s="124">
        <f>IF(ISBLANK(B30), "", IF(AJ30&gt;=0.85, "🔥 Mastered", IF(AJ30&gt;=0.7, "⚡ Consistent", "⚠️ Needs Focus")))</f>
        <v/>
      </c>
      <c r="AM30">
        <f>COUNTIF(E30:AI30, "✓")</f>
        <v/>
      </c>
    </row>
    <row r="31" ht="14.5" customHeight="1">
      <c r="A31" s="118" t="n">
        <v>14</v>
      </c>
      <c r="B31" s="119" t="n"/>
      <c r="C31" s="120" t="n"/>
      <c r="D31" s="120" t="n"/>
      <c r="E31" s="121" t="n"/>
      <c r="F31" s="121" t="n"/>
      <c r="G31" s="121" t="n"/>
      <c r="H31" s="121" t="n"/>
      <c r="I31" s="121" t="n"/>
      <c r="J31" s="122" t="n"/>
      <c r="K31" s="121" t="n"/>
      <c r="L31" s="121" t="n"/>
      <c r="M31" s="121" t="n"/>
      <c r="N31" s="121" t="n"/>
      <c r="O31" s="121" t="n"/>
      <c r="P31" s="121" t="n"/>
      <c r="Q31" s="122" t="n"/>
      <c r="R31" s="121" t="n"/>
      <c r="S31" s="121" t="n"/>
      <c r="T31" s="121" t="n"/>
      <c r="U31" s="121" t="n"/>
      <c r="V31" s="121" t="n"/>
      <c r="W31" s="121" t="n"/>
      <c r="X31" s="122" t="n"/>
      <c r="Y31" s="121" t="n"/>
      <c r="Z31" s="121" t="n"/>
      <c r="AA31" s="121" t="n"/>
      <c r="AB31" s="121" t="n"/>
      <c r="AC31" s="121" t="n"/>
      <c r="AD31" s="121" t="n"/>
      <c r="AE31" s="122" t="n"/>
      <c r="AF31" s="121" t="n"/>
      <c r="AG31" s="121" t="n"/>
      <c r="AH31" s="121" t="n"/>
      <c r="AI31" s="121" t="n"/>
      <c r="AJ31" s="123">
        <f>IF(ISBLANK(B31), "", IF(ISNUMBER(D31), IF(D31&gt;0, (COUNTIF(E31:AI31, "✓") + COUNTIF(E31:AI31, "✔") + COUNTIF(E31:AI31, "v") + COUNTIF(E31:AI31, "V"))/D31, 0), IF(((COUNTIF(E31:AI31, "✓") + COUNTIF(E31:AI31, "✔") + COUNTIF(E31:AI31, "v") + COUNTIF(E31:AI31, "V")) + COUNTIF(E31:AI31, "✗") + COUNTIF(E31:AI31, "x") + COUNTIF(E31:AI31, "X"))&gt;0, (COUNTIF(E31:AI31, "✓") + COUNTIF(E31:AI31, "✔") + COUNTIF(E31:AI31, "v") + COUNTIF(E31:AI31, "V"))/((COUNTIF(E31:AI31, "✓") + COUNTIF(E31:AI31, "✔") + COUNTIF(E31:AI31, "v") + COUNTIF(E31:AI31, "V")) + COUNTIF(E31:AI31, "✗") + COUNTIF(E31:AI31, "x") + COUNTIF(E31:AI31, "X")), "")))</f>
        <v/>
      </c>
      <c r="AK31" s="124">
        <f>IF(ISBLANK(B31), "", IF(ISNUMBER(D31), IF(D31&gt;0, (COUNTIF(E31:AI31, "✓") + COUNTIF(E31:AI31, "✔") + COUNTIF(E31:AI31, "v") + COUNTIF(E31:AI31, "V")) &amp; "/" &amp; D31, (COUNTIF(E31:AI31, "✓") + COUNTIF(E31:AI31, "✔") + COUNTIF(E31:AI31, "v") + COUNTIF(E31:AI31, "V")) &amp; "/0"), IF(((COUNTIF(E31:AI31, "✓") + COUNTIF(E31:AI31, "✔") + COUNTIF(E31:AI31, "v") + COUNTIF(E31:AI31, "V")) + COUNTIF(E31:AI31, "✗") + COUNTIF(E31:AI31, "x") + COUNTIF(E31:AI31, "X"))&gt;0, (COUNTIF(E31:AI31, "✓") + COUNTIF(E31:AI31, "✔") + COUNTIF(E31:AI31, "v") + COUNTIF(E31:AI31, "V")) &amp; "/" &amp; ((COUNTIF(E31:AI31, "✓") + COUNTIF(E31:AI31, "✔") + COUNTIF(E31:AI31, "v") + COUNTIF(E31:AI31, "V")) + COUNTIF(E31:AI31, "✗") + COUNTIF(E31:AI31, "x") + COUNTIF(E31:AI31, "X")), "")))</f>
        <v/>
      </c>
      <c r="AL31" s="124">
        <f>IF(ISBLANK(B31), "", IF(AJ31&gt;=0.85, "🔥 Mastered", IF(AJ31&gt;=0.7, "⚡ Consistent", "⚠️ Needs Focus")))</f>
        <v/>
      </c>
      <c r="AM31">
        <f>COUNTIF(E31:AI31, "✓")</f>
        <v/>
      </c>
    </row>
    <row r="32" ht="14.5" customHeight="1">
      <c r="A32" s="118" t="n">
        <v>15</v>
      </c>
      <c r="B32" s="119" t="n"/>
      <c r="C32" s="120" t="n"/>
      <c r="D32" s="120" t="n"/>
      <c r="E32" s="121" t="n"/>
      <c r="F32" s="121" t="n"/>
      <c r="G32" s="121" t="n"/>
      <c r="H32" s="121" t="n"/>
      <c r="I32" s="121" t="n"/>
      <c r="J32" s="122" t="n"/>
      <c r="K32" s="121" t="n"/>
      <c r="L32" s="121" t="n"/>
      <c r="M32" s="121" t="n"/>
      <c r="N32" s="121" t="n"/>
      <c r="O32" s="121" t="n"/>
      <c r="P32" s="121" t="n"/>
      <c r="Q32" s="122" t="n"/>
      <c r="R32" s="121" t="n"/>
      <c r="S32" s="121" t="n"/>
      <c r="T32" s="121" t="n"/>
      <c r="U32" s="121" t="n"/>
      <c r="V32" s="121" t="n"/>
      <c r="W32" s="121" t="n"/>
      <c r="X32" s="122" t="n"/>
      <c r="Y32" s="121" t="n"/>
      <c r="Z32" s="121" t="n"/>
      <c r="AA32" s="121" t="n"/>
      <c r="AB32" s="121" t="n"/>
      <c r="AC32" s="121" t="n"/>
      <c r="AD32" s="121" t="n"/>
      <c r="AE32" s="122" t="n"/>
      <c r="AF32" s="121" t="n"/>
      <c r="AG32" s="121" t="n"/>
      <c r="AH32" s="121" t="n"/>
      <c r="AI32" s="121" t="n"/>
      <c r="AJ32" s="123">
        <f>IF(ISBLANK(B32), "", IF(ISNUMBER(D32), IF(D32&gt;0, (COUNTIF(E32:AI32, "✓") + COUNTIF(E32:AI32, "✔") + COUNTIF(E32:AI32, "v") + COUNTIF(E32:AI32, "V"))/D32, 0), IF(((COUNTIF(E32:AI32, "✓") + COUNTIF(E32:AI32, "✔") + COUNTIF(E32:AI32, "v") + COUNTIF(E32:AI32, "V")) + COUNTIF(E32:AI32, "✗") + COUNTIF(E32:AI32, "x") + COUNTIF(E32:AI32, "X"))&gt;0, (COUNTIF(E32:AI32, "✓") + COUNTIF(E32:AI32, "✔") + COUNTIF(E32:AI32, "v") + COUNTIF(E32:AI32, "V"))/((COUNTIF(E32:AI32, "✓") + COUNTIF(E32:AI32, "✔") + COUNTIF(E32:AI32, "v") + COUNTIF(E32:AI32, "V")) + COUNTIF(E32:AI32, "✗") + COUNTIF(E32:AI32, "x") + COUNTIF(E32:AI32, "X")), "")))</f>
        <v/>
      </c>
      <c r="AK32" s="124">
        <f>IF(ISBLANK(B32), "", IF(ISNUMBER(D32), IF(D32&gt;0, (COUNTIF(E32:AI32, "✓") + COUNTIF(E32:AI32, "✔") + COUNTIF(E32:AI32, "v") + COUNTIF(E32:AI32, "V")) &amp; "/" &amp; D32, (COUNTIF(E32:AI32, "✓") + COUNTIF(E32:AI32, "✔") + COUNTIF(E32:AI32, "v") + COUNTIF(E32:AI32, "V")) &amp; "/0"), IF(((COUNTIF(E32:AI32, "✓") + COUNTIF(E32:AI32, "✔") + COUNTIF(E32:AI32, "v") + COUNTIF(E32:AI32, "V")) + COUNTIF(E32:AI32, "✗") + COUNTIF(E32:AI32, "x") + COUNTIF(E32:AI32, "X"))&gt;0, (COUNTIF(E32:AI32, "✓") + COUNTIF(E32:AI32, "✔") + COUNTIF(E32:AI32, "v") + COUNTIF(E32:AI32, "V")) &amp; "/" &amp; ((COUNTIF(E32:AI32, "✓") + COUNTIF(E32:AI32, "✔") + COUNTIF(E32:AI32, "v") + COUNTIF(E32:AI32, "V")) + COUNTIF(E32:AI32, "✗") + COUNTIF(E32:AI32, "x") + COUNTIF(E32:AI32, "X")), "")))</f>
        <v/>
      </c>
      <c r="AL32" s="124">
        <f>IF(ISBLANK(B32), "", IF(AJ32&gt;=0.85, "🔥 Mastered", IF(AJ32&gt;=0.7, "⚡ Consistent", "⚠️ Needs Focus")))</f>
        <v/>
      </c>
      <c r="AM32">
        <f>COUNTIF(E32:AI32, "✓")</f>
        <v/>
      </c>
    </row>
    <row r="33" ht="14.5" customHeight="1">
      <c r="A33" s="118" t="n">
        <v>16</v>
      </c>
      <c r="B33" s="119" t="n"/>
      <c r="C33" s="120" t="n"/>
      <c r="D33" s="120" t="n"/>
      <c r="E33" s="121" t="n"/>
      <c r="F33" s="121" t="n"/>
      <c r="G33" s="121" t="n"/>
      <c r="H33" s="121" t="n"/>
      <c r="I33" s="121" t="n"/>
      <c r="J33" s="122" t="n"/>
      <c r="K33" s="121" t="n"/>
      <c r="L33" s="121" t="n"/>
      <c r="M33" s="121" t="n"/>
      <c r="N33" s="121" t="n"/>
      <c r="O33" s="121" t="n"/>
      <c r="P33" s="121" t="n"/>
      <c r="Q33" s="122" t="n"/>
      <c r="R33" s="121" t="n"/>
      <c r="S33" s="121" t="n"/>
      <c r="T33" s="121" t="n"/>
      <c r="U33" s="121" t="n"/>
      <c r="V33" s="121" t="n"/>
      <c r="W33" s="121" t="n"/>
      <c r="X33" s="122" t="n"/>
      <c r="Y33" s="121" t="n"/>
      <c r="Z33" s="121" t="n"/>
      <c r="AA33" s="121" t="n"/>
      <c r="AB33" s="121" t="n"/>
      <c r="AC33" s="121" t="n"/>
      <c r="AD33" s="121" t="n"/>
      <c r="AE33" s="122" t="n"/>
      <c r="AF33" s="121" t="n"/>
      <c r="AG33" s="121" t="n"/>
      <c r="AH33" s="121" t="n"/>
      <c r="AI33" s="121" t="n"/>
      <c r="AJ33" s="123">
        <f>IF(ISBLANK(B33), "", IF(ISNUMBER(D33), IF(D33&gt;0, (COUNTIF(E33:AI33, "✓") + COUNTIF(E33:AI33, "✔") + COUNTIF(E33:AI33, "v") + COUNTIF(E33:AI33, "V"))/D33, 0), IF(((COUNTIF(E33:AI33, "✓") + COUNTIF(E33:AI33, "✔") + COUNTIF(E33:AI33, "v") + COUNTIF(E33:AI33, "V")) + COUNTIF(E33:AI33, "✗") + COUNTIF(E33:AI33, "x") + COUNTIF(E33:AI33, "X"))&gt;0, (COUNTIF(E33:AI33, "✓") + COUNTIF(E33:AI33, "✔") + COUNTIF(E33:AI33, "v") + COUNTIF(E33:AI33, "V"))/((COUNTIF(E33:AI33, "✓") + COUNTIF(E33:AI33, "✔") + COUNTIF(E33:AI33, "v") + COUNTIF(E33:AI33, "V")) + COUNTIF(E33:AI33, "✗") + COUNTIF(E33:AI33, "x") + COUNTIF(E33:AI33, "X")), "")))</f>
        <v/>
      </c>
      <c r="AK33" s="124">
        <f>IF(ISBLANK(B33), "", IF(ISNUMBER(D33), IF(D33&gt;0, (COUNTIF(E33:AI33, "✓") + COUNTIF(E33:AI33, "✔") + COUNTIF(E33:AI33, "v") + COUNTIF(E33:AI33, "V")) &amp; "/" &amp; D33, (COUNTIF(E33:AI33, "✓") + COUNTIF(E33:AI33, "✔") + COUNTIF(E33:AI33, "v") + COUNTIF(E33:AI33, "V")) &amp; "/0"), IF(((COUNTIF(E33:AI33, "✓") + COUNTIF(E33:AI33, "✔") + COUNTIF(E33:AI33, "v") + COUNTIF(E33:AI33, "V")) + COUNTIF(E33:AI33, "✗") + COUNTIF(E33:AI33, "x") + COUNTIF(E33:AI33, "X"))&gt;0, (COUNTIF(E33:AI33, "✓") + COUNTIF(E33:AI33, "✔") + COUNTIF(E33:AI33, "v") + COUNTIF(E33:AI33, "V")) &amp; "/" &amp; ((COUNTIF(E33:AI33, "✓") + COUNTIF(E33:AI33, "✔") + COUNTIF(E33:AI33, "v") + COUNTIF(E33:AI33, "V")) + COUNTIF(E33:AI33, "✗") + COUNTIF(E33:AI33, "x") + COUNTIF(E33:AI33, "X")), "")))</f>
        <v/>
      </c>
      <c r="AL33" s="124">
        <f>IF(ISBLANK(B33), "", IF(AJ33&gt;=0.85, "🔥 Mastered", IF(AJ33&gt;=0.7, "⚡ Consistent", "⚠️ Needs Focus")))</f>
        <v/>
      </c>
      <c r="AM33">
        <f>COUNTIF(E33:AI33, "✓")</f>
        <v/>
      </c>
    </row>
    <row r="34" ht="14.5" customHeight="1">
      <c r="A34" s="125" t="n">
        <v>17</v>
      </c>
      <c r="B34" s="126" t="n"/>
      <c r="C34" s="127" t="n"/>
      <c r="D34" s="127" t="n"/>
      <c r="E34" s="128" t="n"/>
      <c r="F34" s="128" t="n"/>
      <c r="G34" s="128" t="n"/>
      <c r="H34" s="128" t="n"/>
      <c r="I34" s="128" t="n"/>
      <c r="J34" s="129" t="n"/>
      <c r="K34" s="128" t="n"/>
      <c r="L34" s="128" t="n"/>
      <c r="M34" s="128" t="n"/>
      <c r="N34" s="128" t="n"/>
      <c r="O34" s="128" t="n"/>
      <c r="P34" s="128" t="n"/>
      <c r="Q34" s="129" t="n"/>
      <c r="R34" s="128" t="n"/>
      <c r="S34" s="128" t="n"/>
      <c r="T34" s="128" t="n"/>
      <c r="U34" s="128" t="n"/>
      <c r="V34" s="128" t="n"/>
      <c r="W34" s="128" t="n"/>
      <c r="X34" s="129" t="n"/>
      <c r="Y34" s="128" t="n"/>
      <c r="Z34" s="128" t="n"/>
      <c r="AA34" s="128" t="n"/>
      <c r="AB34" s="128" t="n"/>
      <c r="AC34" s="128" t="n"/>
      <c r="AD34" s="128" t="n"/>
      <c r="AE34" s="129" t="n"/>
      <c r="AF34" s="128" t="n"/>
      <c r="AG34" s="128" t="n"/>
      <c r="AH34" s="128" t="n"/>
      <c r="AI34" s="128" t="n"/>
      <c r="AJ34" s="130">
        <f>IF(ISBLANK(B34), "", IF(ISNUMBER(D34), IF(D34&gt;0, (COUNTIF(E34:AI34, "✓") + COUNTIF(E34:AI34, "✔") + COUNTIF(E34:AI34, "v") + COUNTIF(E34:AI34, "V"))/D34, 0), IF(((COUNTIF(E34:AI34, "✓") + COUNTIF(E34:AI34, "✔") + COUNTIF(E34:AI34, "v") + COUNTIF(E34:AI34, "V")) + COUNTIF(E34:AI34, "✗") + COUNTIF(E34:AI34, "x") + COUNTIF(E34:AI34, "X"))&gt;0, (COUNTIF(E34:AI34, "✓") + COUNTIF(E34:AI34, "✔") + COUNTIF(E34:AI34, "v") + COUNTIF(E34:AI34, "V"))/((COUNTIF(E34:AI34, "✓") + COUNTIF(E34:AI34, "✔") + COUNTIF(E34:AI34, "v") + COUNTIF(E34:AI34, "V")) + COUNTIF(E34:AI34, "✗") + COUNTIF(E34:AI34, "x") + COUNTIF(E34:AI34, "X")), "")))</f>
        <v/>
      </c>
      <c r="AK34" s="131">
        <f>IF(ISBLANK(B34), "", IF(ISNUMBER(D34), IF(D34&gt;0, (COUNTIF(E34:AI34, "✓") + COUNTIF(E34:AI34, "✔") + COUNTIF(E34:AI34, "v") + COUNTIF(E34:AI34, "V")) &amp; "/" &amp; D34, (COUNTIF(E34:AI34, "✓") + COUNTIF(E34:AI34, "✔") + COUNTIF(E34:AI34, "v") + COUNTIF(E34:AI34, "V")) &amp; "/0"), IF(((COUNTIF(E34:AI34, "✓") + COUNTIF(E34:AI34, "✔") + COUNTIF(E34:AI34, "v") + COUNTIF(E34:AI34, "V")) + COUNTIF(E34:AI34, "✗") + COUNTIF(E34:AI34, "x") + COUNTIF(E34:AI34, "X"))&gt;0, (COUNTIF(E34:AI34, "✓") + COUNTIF(E34:AI34, "✔") + COUNTIF(E34:AI34, "v") + COUNTIF(E34:AI34, "V")) &amp; "/" &amp; ((COUNTIF(E34:AI34, "✓") + COUNTIF(E34:AI34, "✔") + COUNTIF(E34:AI34, "v") + COUNTIF(E34:AI34, "V")) + COUNTIF(E34:AI34, "✗") + COUNTIF(E34:AI34, "x") + COUNTIF(E34:AI34, "X")), "")))</f>
        <v/>
      </c>
      <c r="AL34" s="131">
        <f>IF(ISBLANK(B34), "", IF(AJ34&gt;=0.85, "🔥 Mastered", IF(AJ34&gt;=0.7, "⚡ Consistent", "⚠️ Needs Focus")))</f>
        <v/>
      </c>
      <c r="AM34">
        <f>COUNTIF(E34:AI34, "✓")</f>
        <v/>
      </c>
    </row>
    <row r="35" ht="14.5" customHeight="1">
      <c r="A35" s="125" t="n">
        <v>18</v>
      </c>
      <c r="B35" s="126" t="n"/>
      <c r="C35" s="127" t="n"/>
      <c r="D35" s="127" t="n"/>
      <c r="E35" s="128" t="n"/>
      <c r="F35" s="128" t="n"/>
      <c r="G35" s="128" t="n"/>
      <c r="H35" s="128" t="n"/>
      <c r="I35" s="128" t="n"/>
      <c r="J35" s="129" t="n"/>
      <c r="K35" s="128" t="n"/>
      <c r="L35" s="128" t="n"/>
      <c r="M35" s="128" t="n"/>
      <c r="N35" s="128" t="n"/>
      <c r="O35" s="128" t="n"/>
      <c r="P35" s="128" t="n"/>
      <c r="Q35" s="129" t="n"/>
      <c r="R35" s="128" t="n"/>
      <c r="S35" s="128" t="n"/>
      <c r="T35" s="128" t="n"/>
      <c r="U35" s="128" t="n"/>
      <c r="V35" s="128" t="n"/>
      <c r="W35" s="128" t="n"/>
      <c r="X35" s="129" t="n"/>
      <c r="Y35" s="128" t="n"/>
      <c r="Z35" s="128" t="n"/>
      <c r="AA35" s="128" t="n"/>
      <c r="AB35" s="128" t="n"/>
      <c r="AC35" s="128" t="n"/>
      <c r="AD35" s="128" t="n"/>
      <c r="AE35" s="129" t="n"/>
      <c r="AF35" s="128" t="n"/>
      <c r="AG35" s="128" t="n"/>
      <c r="AH35" s="128" t="n"/>
      <c r="AI35" s="128" t="n"/>
      <c r="AJ35" s="130">
        <f>IF(ISBLANK(B35), "", IF(ISNUMBER(D35), IF(D35&gt;0, (COUNTIF(E35:AI35, "✓") + COUNTIF(E35:AI35, "✔") + COUNTIF(E35:AI35, "v") + COUNTIF(E35:AI35, "V"))/D35, 0), IF(((COUNTIF(E35:AI35, "✓") + COUNTIF(E35:AI35, "✔") + COUNTIF(E35:AI35, "v") + COUNTIF(E35:AI35, "V")) + COUNTIF(E35:AI35, "✗") + COUNTIF(E35:AI35, "x") + COUNTIF(E35:AI35, "X"))&gt;0, (COUNTIF(E35:AI35, "✓") + COUNTIF(E35:AI35, "✔") + COUNTIF(E35:AI35, "v") + COUNTIF(E35:AI35, "V"))/((COUNTIF(E35:AI35, "✓") + COUNTIF(E35:AI35, "✔") + COUNTIF(E35:AI35, "v") + COUNTIF(E35:AI35, "V")) + COUNTIF(E35:AI35, "✗") + COUNTIF(E35:AI35, "x") + COUNTIF(E35:AI35, "X")), "")))</f>
        <v/>
      </c>
      <c r="AK35" s="131">
        <f>IF(ISBLANK(B35), "", IF(ISNUMBER(D35), IF(D35&gt;0, (COUNTIF(E35:AI35, "✓") + COUNTIF(E35:AI35, "✔") + COUNTIF(E35:AI35, "v") + COUNTIF(E35:AI35, "V")) &amp; "/" &amp; D35, (COUNTIF(E35:AI35, "✓") + COUNTIF(E35:AI35, "✔") + COUNTIF(E35:AI35, "v") + COUNTIF(E35:AI35, "V")) &amp; "/0"), IF(((COUNTIF(E35:AI35, "✓") + COUNTIF(E35:AI35, "✔") + COUNTIF(E35:AI35, "v") + COUNTIF(E35:AI35, "V")) + COUNTIF(E35:AI35, "✗") + COUNTIF(E35:AI35, "x") + COUNTIF(E35:AI35, "X"))&gt;0, (COUNTIF(E35:AI35, "✓") + COUNTIF(E35:AI35, "✔") + COUNTIF(E35:AI35, "v") + COUNTIF(E35:AI35, "V")) &amp; "/" &amp; ((COUNTIF(E35:AI35, "✓") + COUNTIF(E35:AI35, "✔") + COUNTIF(E35:AI35, "v") + COUNTIF(E35:AI35, "V")) + COUNTIF(E35:AI35, "✗") + COUNTIF(E35:AI35, "x") + COUNTIF(E35:AI35, "X")), "")))</f>
        <v/>
      </c>
      <c r="AL35" s="131">
        <f>IF(ISBLANK(B35), "", IF(AJ35&gt;=0.85, "🔥 Mastered", IF(AJ35&gt;=0.7, "⚡ Consistent", "⚠️ Needs Focus")))</f>
        <v/>
      </c>
      <c r="AM35">
        <f>COUNTIF(E35:AI35, "✓")</f>
        <v/>
      </c>
    </row>
    <row r="36" ht="14.5" customHeight="1">
      <c r="A36" s="125" t="n">
        <v>19</v>
      </c>
      <c r="B36" s="126" t="n"/>
      <c r="C36" s="127" t="n"/>
      <c r="D36" s="127" t="n"/>
      <c r="E36" s="128" t="n"/>
      <c r="F36" s="128" t="n"/>
      <c r="G36" s="128" t="n"/>
      <c r="H36" s="128" t="n"/>
      <c r="I36" s="128" t="n"/>
      <c r="J36" s="129" t="n"/>
      <c r="K36" s="128" t="n"/>
      <c r="L36" s="128" t="n"/>
      <c r="M36" s="128" t="n"/>
      <c r="N36" s="128" t="n"/>
      <c r="O36" s="128" t="n"/>
      <c r="P36" s="128" t="n"/>
      <c r="Q36" s="129" t="n"/>
      <c r="R36" s="128" t="n"/>
      <c r="S36" s="128" t="n"/>
      <c r="T36" s="128" t="n"/>
      <c r="U36" s="128" t="n"/>
      <c r="V36" s="128" t="n"/>
      <c r="W36" s="128" t="n"/>
      <c r="X36" s="129" t="n"/>
      <c r="Y36" s="128" t="n"/>
      <c r="Z36" s="128" t="n"/>
      <c r="AA36" s="128" t="n"/>
      <c r="AB36" s="128" t="n"/>
      <c r="AC36" s="128" t="n"/>
      <c r="AD36" s="128" t="n"/>
      <c r="AE36" s="129" t="n"/>
      <c r="AF36" s="128" t="n"/>
      <c r="AG36" s="128" t="n"/>
      <c r="AH36" s="128" t="n"/>
      <c r="AI36" s="128" t="n"/>
      <c r="AJ36" s="130">
        <f>IF(ISBLANK(B36), "", IF(ISNUMBER(D36), IF(D36&gt;0, (COUNTIF(E36:AI36, "✓") + COUNTIF(E36:AI36, "✔") + COUNTIF(E36:AI36, "v") + COUNTIF(E36:AI36, "V"))/D36, 0), IF(((COUNTIF(E36:AI36, "✓") + COUNTIF(E36:AI36, "✔") + COUNTIF(E36:AI36, "v") + COUNTIF(E36:AI36, "V")) + COUNTIF(E36:AI36, "✗") + COUNTIF(E36:AI36, "x") + COUNTIF(E36:AI36, "X"))&gt;0, (COUNTIF(E36:AI36, "✓") + COUNTIF(E36:AI36, "✔") + COUNTIF(E36:AI36, "v") + COUNTIF(E36:AI36, "V"))/((COUNTIF(E36:AI36, "✓") + COUNTIF(E36:AI36, "✔") + COUNTIF(E36:AI36, "v") + COUNTIF(E36:AI36, "V")) + COUNTIF(E36:AI36, "✗") + COUNTIF(E36:AI36, "x") + COUNTIF(E36:AI36, "X")), "")))</f>
        <v/>
      </c>
      <c r="AK36" s="131">
        <f>IF(ISBLANK(B36), "", IF(ISNUMBER(D36), IF(D36&gt;0, (COUNTIF(E36:AI36, "✓") + COUNTIF(E36:AI36, "✔") + COUNTIF(E36:AI36, "v") + COUNTIF(E36:AI36, "V")) &amp; "/" &amp; D36, (COUNTIF(E36:AI36, "✓") + COUNTIF(E36:AI36, "✔") + COUNTIF(E36:AI36, "v") + COUNTIF(E36:AI36, "V")) &amp; "/0"), IF(((COUNTIF(E36:AI36, "✓") + COUNTIF(E36:AI36, "✔") + COUNTIF(E36:AI36, "v") + COUNTIF(E36:AI36, "V")) + COUNTIF(E36:AI36, "✗") + COUNTIF(E36:AI36, "x") + COUNTIF(E36:AI36, "X"))&gt;0, (COUNTIF(E36:AI36, "✓") + COUNTIF(E36:AI36, "✔") + COUNTIF(E36:AI36, "v") + COUNTIF(E36:AI36, "V")) &amp; "/" &amp; ((COUNTIF(E36:AI36, "✓") + COUNTIF(E36:AI36, "✔") + COUNTIF(E36:AI36, "v") + COUNTIF(E36:AI36, "V")) + COUNTIF(E36:AI36, "✗") + COUNTIF(E36:AI36, "x") + COUNTIF(E36:AI36, "X")), "")))</f>
        <v/>
      </c>
      <c r="AL36" s="131">
        <f>IF(ISBLANK(B36), "", IF(AJ36&gt;=0.85, "🔥 Mastered", IF(AJ36&gt;=0.7, "⚡ Consistent", "⚠️ Needs Focus")))</f>
        <v/>
      </c>
      <c r="AM36">
        <f>COUNTIF(E36:AI36, "✓")</f>
        <v/>
      </c>
    </row>
    <row r="37" ht="14.5" customHeight="1">
      <c r="A37" s="125" t="n">
        <v>20</v>
      </c>
      <c r="B37" s="126" t="n"/>
      <c r="C37" s="127" t="n"/>
      <c r="D37" s="127" t="n"/>
      <c r="E37" s="128" t="n"/>
      <c r="F37" s="128" t="n"/>
      <c r="G37" s="128" t="n"/>
      <c r="H37" s="128" t="n"/>
      <c r="I37" s="128" t="n"/>
      <c r="J37" s="129" t="n"/>
      <c r="K37" s="128" t="n"/>
      <c r="L37" s="128" t="n"/>
      <c r="M37" s="128" t="n"/>
      <c r="N37" s="128" t="n"/>
      <c r="O37" s="128" t="n"/>
      <c r="P37" s="128" t="n"/>
      <c r="Q37" s="129" t="n"/>
      <c r="R37" s="128" t="n"/>
      <c r="S37" s="128" t="n"/>
      <c r="T37" s="128" t="n"/>
      <c r="U37" s="128" t="n"/>
      <c r="V37" s="128" t="n"/>
      <c r="W37" s="128" t="n"/>
      <c r="X37" s="129" t="n"/>
      <c r="Y37" s="128" t="n"/>
      <c r="Z37" s="128" t="n"/>
      <c r="AA37" s="128" t="n"/>
      <c r="AB37" s="128" t="n"/>
      <c r="AC37" s="128" t="n"/>
      <c r="AD37" s="128" t="n"/>
      <c r="AE37" s="129" t="n"/>
      <c r="AF37" s="128" t="n"/>
      <c r="AG37" s="128" t="n"/>
      <c r="AH37" s="128" t="n"/>
      <c r="AI37" s="128" t="n"/>
      <c r="AJ37" s="130">
        <f>IF(ISBLANK(B37), "", IF(ISNUMBER(D37), IF(D37&gt;0, (COUNTIF(E37:AI37, "✓") + COUNTIF(E37:AI37, "✔") + COUNTIF(E37:AI37, "v") + COUNTIF(E37:AI37, "V"))/D37, 0), IF(((COUNTIF(E37:AI37, "✓") + COUNTIF(E37:AI37, "✔") + COUNTIF(E37:AI37, "v") + COUNTIF(E37:AI37, "V")) + COUNTIF(E37:AI37, "✗") + COUNTIF(E37:AI37, "x") + COUNTIF(E37:AI37, "X"))&gt;0, (COUNTIF(E37:AI37, "✓") + COUNTIF(E37:AI37, "✔") + COUNTIF(E37:AI37, "v") + COUNTIF(E37:AI37, "V"))/((COUNTIF(E37:AI37, "✓") + COUNTIF(E37:AI37, "✔") + COUNTIF(E37:AI37, "v") + COUNTIF(E37:AI37, "V")) + COUNTIF(E37:AI37, "✗") + COUNTIF(E37:AI37, "x") + COUNTIF(E37:AI37, "X")), "")))</f>
        <v/>
      </c>
      <c r="AK37" s="131">
        <f>IF(ISBLANK(B37), "", IF(ISNUMBER(D37), IF(D37&gt;0, (COUNTIF(E37:AI37, "✓") + COUNTIF(E37:AI37, "✔") + COUNTIF(E37:AI37, "v") + COUNTIF(E37:AI37, "V")) &amp; "/" &amp; D37, (COUNTIF(E37:AI37, "✓") + COUNTIF(E37:AI37, "✔") + COUNTIF(E37:AI37, "v") + COUNTIF(E37:AI37, "V")) &amp; "/0"), IF(((COUNTIF(E37:AI37, "✓") + COUNTIF(E37:AI37, "✔") + COUNTIF(E37:AI37, "v") + COUNTIF(E37:AI37, "V")) + COUNTIF(E37:AI37, "✗") + COUNTIF(E37:AI37, "x") + COUNTIF(E37:AI37, "X"))&gt;0, (COUNTIF(E37:AI37, "✓") + COUNTIF(E37:AI37, "✔") + COUNTIF(E37:AI37, "v") + COUNTIF(E37:AI37, "V")) &amp; "/" &amp; ((COUNTIF(E37:AI37, "✓") + COUNTIF(E37:AI37, "✔") + COUNTIF(E37:AI37, "v") + COUNTIF(E37:AI37, "V")) + COUNTIF(E37:AI37, "✗") + COUNTIF(E37:AI37, "x") + COUNTIF(E37:AI37, "X")), "")))</f>
        <v/>
      </c>
      <c r="AL37" s="131">
        <f>IF(ISBLANK(B37), "", IF(AJ37&gt;=0.85, "🔥 Mastered", IF(AJ37&gt;=0.7, "⚡ Consistent", "⚠️ Needs Focus")))</f>
        <v/>
      </c>
      <c r="AM37">
        <f>COUNTIF(E37:AI37, "✓")</f>
        <v/>
      </c>
    </row>
    <row r="38" ht="18" customHeight="1">
      <c r="A38" s="132" t="inlineStr">
        <is>
          <t>DAILY TOTAL SCORE</t>
        </is>
      </c>
      <c r="B38" s="54" t="n"/>
      <c r="C38" s="54" t="n"/>
      <c r="D38" s="54" t="n"/>
      <c r="E38" s="33">
        <f>IF(((COUNTIF(E18:E37, "✓") + COUNTIF(E18:E37, "✔") + COUNTIF(E18:E37, "v") + COUNTIF(E18:E37, "V")) + COUNTIF(E18:E37, "✗") + COUNTIF(E18:E37, "x") + COUNTIF(E18:E37, "X")) &gt; 0, (COUNTIF(E18:E37, "✓") + COUNTIF(E18:E37, "✔") + COUNTIF(E18:E37, "v") + COUNTIF(E18:E37, "V")) &amp; "/" &amp; ((COUNTIF(E18:E37, "✓") + COUNTIF(E18:E37, "✔") + COUNTIF(E18:E37, "v") + COUNTIF(E18:E37, "V")) + COUNTIF(E18:E37, "✗") + COUNTIF(E18:E37, "x") + COUNTIF(E18:E37, "X")), "")</f>
        <v/>
      </c>
      <c r="F38" s="33">
        <f>IF(((COUNTIF(F18:F37, "✓") + COUNTIF(F18:F37, "✔") + COUNTIF(F18:F37, "v") + COUNTIF(F18:F37, "V")) + COUNTIF(F18:F37, "✗") + COUNTIF(F18:F37, "x") + COUNTIF(F18:F37, "X")) &gt; 0, (COUNTIF(F18:F37, "✓") + COUNTIF(F18:F37, "✔") + COUNTIF(F18:F37, "v") + COUNTIF(F18:F37, "V")) &amp; "/" &amp; ((COUNTIF(F18:F37, "✓") + COUNTIF(F18:F37, "✔") + COUNTIF(F18:F37, "v") + COUNTIF(F18:F37, "V")) + COUNTIF(F18:F37, "✗") + COUNTIF(F18:F37, "x") + COUNTIF(F18:F37, "X")), "")</f>
        <v/>
      </c>
      <c r="G38" s="33">
        <f>IF(((COUNTIF(G18:G37, "✓") + COUNTIF(G18:G37, "✔") + COUNTIF(G18:G37, "v") + COUNTIF(G18:G37, "V")) + COUNTIF(G18:G37, "✗") + COUNTIF(G18:G37, "x") + COUNTIF(G18:G37, "X")) &gt; 0, (COUNTIF(G18:G37, "✓") + COUNTIF(G18:G37, "✔") + COUNTIF(G18:G37, "v") + COUNTIF(G18:G37, "V")) &amp; "/" &amp; ((COUNTIF(G18:G37, "✓") + COUNTIF(G18:G37, "✔") + COUNTIF(G18:G37, "v") + COUNTIF(G18:G37, "V")) + COUNTIF(G18:G37, "✗") + COUNTIF(G18:G37, "x") + COUNTIF(G18:G37, "X")), "")</f>
        <v/>
      </c>
      <c r="H38" s="33">
        <f>IF(((COUNTIF(H18:H37, "✓") + COUNTIF(H18:H37, "✔") + COUNTIF(H18:H37, "v") + COUNTIF(H18:H37, "V")) + COUNTIF(H18:H37, "✗") + COUNTIF(H18:H37, "x") + COUNTIF(H18:H37, "X")) &gt; 0, (COUNTIF(H18:H37, "✓") + COUNTIF(H18:H37, "✔") + COUNTIF(H18:H37, "v") + COUNTIF(H18:H37, "V")) &amp; "/" &amp; ((COUNTIF(H18:H37, "✓") + COUNTIF(H18:H37, "✔") + COUNTIF(H18:H37, "v") + COUNTIF(H18:H37, "V")) + COUNTIF(H18:H37, "✗") + COUNTIF(H18:H37, "x") + COUNTIF(H18:H37, "X")), "")</f>
        <v/>
      </c>
      <c r="I38" s="33">
        <f>IF(((COUNTIF(I18:I37, "✓") + COUNTIF(I18:I37, "✔") + COUNTIF(I18:I37, "v") + COUNTIF(I18:I37, "V")) + COUNTIF(I18:I37, "✗") + COUNTIF(I18:I37, "x") + COUNTIF(I18:I37, "X")) &gt; 0, (COUNTIF(I18:I37, "✓") + COUNTIF(I18:I37, "✔") + COUNTIF(I18:I37, "v") + COUNTIF(I18:I37, "V")) &amp; "/" &amp; ((COUNTIF(I18:I37, "✓") + COUNTIF(I18:I37, "✔") + COUNTIF(I18:I37, "v") + COUNTIF(I18:I37, "V")) + COUNTIF(I18:I37, "✗") + COUNTIF(I18:I37, "x") + COUNTIF(I18:I37, "X")), "")</f>
        <v/>
      </c>
      <c r="J38" s="33">
        <f>IF(((COUNTIF(J18:J37, "✓") + COUNTIF(J18:J37, "✔") + COUNTIF(J18:J37, "v") + COUNTIF(J18:J37, "V")) + COUNTIF(J18:J37, "✗") + COUNTIF(J18:J37, "x") + COUNTIF(J18:J37, "X")) &gt; 0, (COUNTIF(J18:J37, "✓") + COUNTIF(J18:J37, "✔") + COUNTIF(J18:J37, "v") + COUNTIF(J18:J37, "V")) &amp; "/" &amp; ((COUNTIF(J18:J37, "✓") + COUNTIF(J18:J37, "✔") + COUNTIF(J18:J37, "v") + COUNTIF(J18:J37, "V")) + COUNTIF(J18:J37, "✗") + COUNTIF(J18:J37, "x") + COUNTIF(J18:J37, "X")), "")</f>
        <v/>
      </c>
      <c r="K38" s="33">
        <f>IF(((COUNTIF(K18:K37, "✓") + COUNTIF(K18:K37, "✔") + COUNTIF(K18:K37, "v") + COUNTIF(K18:K37, "V")) + COUNTIF(K18:K37, "✗") + COUNTIF(K18:K37, "x") + COUNTIF(K18:K37, "X")) &gt; 0, (COUNTIF(K18:K37, "✓") + COUNTIF(K18:K37, "✔") + COUNTIF(K18:K37, "v") + COUNTIF(K18:K37, "V")) &amp; "/" &amp; ((COUNTIF(K18:K37, "✓") + COUNTIF(K18:K37, "✔") + COUNTIF(K18:K37, "v") + COUNTIF(K18:K37, "V")) + COUNTIF(K18:K37, "✗") + COUNTIF(K18:K37, "x") + COUNTIF(K18:K37, "X")), "")</f>
        <v/>
      </c>
      <c r="L38" s="33">
        <f>IF(((COUNTIF(L18:L37, "✓") + COUNTIF(L18:L37, "✔") + COUNTIF(L18:L37, "v") + COUNTIF(L18:L37, "V")) + COUNTIF(L18:L37, "✗") + COUNTIF(L18:L37, "x") + COUNTIF(L18:L37, "X")) &gt; 0, (COUNTIF(L18:L37, "✓") + COUNTIF(L18:L37, "✔") + COUNTIF(L18:L37, "v") + COUNTIF(L18:L37, "V")) &amp; "/" &amp; ((COUNTIF(L18:L37, "✓") + COUNTIF(L18:L37, "✔") + COUNTIF(L18:L37, "v") + COUNTIF(L18:L37, "V")) + COUNTIF(L18:L37, "✗") + COUNTIF(L18:L37, "x") + COUNTIF(L18:L37, "X")), "")</f>
        <v/>
      </c>
      <c r="M38" s="33">
        <f>IF(((COUNTIF(M18:M37, "✓") + COUNTIF(M18:M37, "✔") + COUNTIF(M18:M37, "v") + COUNTIF(M18:M37, "V")) + COUNTIF(M18:M37, "✗") + COUNTIF(M18:M37, "x") + COUNTIF(M18:M37, "X")) &gt; 0, (COUNTIF(M18:M37, "✓") + COUNTIF(M18:M37, "✔") + COUNTIF(M18:M37, "v") + COUNTIF(M18:M37, "V")) &amp; "/" &amp; ((COUNTIF(M18:M37, "✓") + COUNTIF(M18:M37, "✔") + COUNTIF(M18:M37, "v") + COUNTIF(M18:M37, "V")) + COUNTIF(M18:M37, "✗") + COUNTIF(M18:M37, "x") + COUNTIF(M18:M37, "X")), "")</f>
        <v/>
      </c>
      <c r="N38" s="33">
        <f>IF(((COUNTIF(N18:N37, "✓") + COUNTIF(N18:N37, "✔") + COUNTIF(N18:N37, "v") + COUNTIF(N18:N37, "V")) + COUNTIF(N18:N37, "✗") + COUNTIF(N18:N37, "x") + COUNTIF(N18:N37, "X")) &gt; 0, (COUNTIF(N18:N37, "✓") + COUNTIF(N18:N37, "✔") + COUNTIF(N18:N37, "v") + COUNTIF(N18:N37, "V")) &amp; "/" &amp; ((COUNTIF(N18:N37, "✓") + COUNTIF(N18:N37, "✔") + COUNTIF(N18:N37, "v") + COUNTIF(N18:N37, "V")) + COUNTIF(N18:N37, "✗") + COUNTIF(N18:N37, "x") + COUNTIF(N18:N37, "X")), "")</f>
        <v/>
      </c>
      <c r="O38" s="33">
        <f>IF(((COUNTIF(O18:O37, "✓") + COUNTIF(O18:O37, "✔") + COUNTIF(O18:O37, "v") + COUNTIF(O18:O37, "V")) + COUNTIF(O18:O37, "✗") + COUNTIF(O18:O37, "x") + COUNTIF(O18:O37, "X")) &gt; 0, (COUNTIF(O18:O37, "✓") + COUNTIF(O18:O37, "✔") + COUNTIF(O18:O37, "v") + COUNTIF(O18:O37, "V")) &amp; "/" &amp; ((COUNTIF(O18:O37, "✓") + COUNTIF(O18:O37, "✔") + COUNTIF(O18:O37, "v") + COUNTIF(O18:O37, "V")) + COUNTIF(O18:O37, "✗") + COUNTIF(O18:O37, "x") + COUNTIF(O18:O37, "X")), "")</f>
        <v/>
      </c>
      <c r="P38" s="33">
        <f>IF(((COUNTIF(P18:P37, "✓") + COUNTIF(P18:P37, "✔") + COUNTIF(P18:P37, "v") + COUNTIF(P18:P37, "V")) + COUNTIF(P18:P37, "✗") + COUNTIF(P18:P37, "x") + COUNTIF(P18:P37, "X")) &gt; 0, (COUNTIF(P18:P37, "✓") + COUNTIF(P18:P37, "✔") + COUNTIF(P18:P37, "v") + COUNTIF(P18:P37, "V")) &amp; "/" &amp; ((COUNTIF(P18:P37, "✓") + COUNTIF(P18:P37, "✔") + COUNTIF(P18:P37, "v") + COUNTIF(P18:P37, "V")) + COUNTIF(P18:P37, "✗") + COUNTIF(P18:P37, "x") + COUNTIF(P18:P37, "X")), "")</f>
        <v/>
      </c>
      <c r="Q38" s="33">
        <f>IF(((COUNTIF(Q18:Q37, "✓") + COUNTIF(Q18:Q37, "✔") + COUNTIF(Q18:Q37, "v") + COUNTIF(Q18:Q37, "V")) + COUNTIF(Q18:Q37, "✗") + COUNTIF(Q18:Q37, "x") + COUNTIF(Q18:Q37, "X")) &gt; 0, (COUNTIF(Q18:Q37, "✓") + COUNTIF(Q18:Q37, "✔") + COUNTIF(Q18:Q37, "v") + COUNTIF(Q18:Q37, "V")) &amp; "/" &amp; ((COUNTIF(Q18:Q37, "✓") + COUNTIF(Q18:Q37, "✔") + COUNTIF(Q18:Q37, "v") + COUNTIF(Q18:Q37, "V")) + COUNTIF(Q18:Q37, "✗") + COUNTIF(Q18:Q37, "x") + COUNTIF(Q18:Q37, "X")), "")</f>
        <v/>
      </c>
      <c r="R38" s="33">
        <f>IF(((COUNTIF(R18:R37, "✓") + COUNTIF(R18:R37, "✔") + COUNTIF(R18:R37, "v") + COUNTIF(R18:R37, "V")) + COUNTIF(R18:R37, "✗") + COUNTIF(R18:R37, "x") + COUNTIF(R18:R37, "X")) &gt; 0, (COUNTIF(R18:R37, "✓") + COUNTIF(R18:R37, "✔") + COUNTIF(R18:R37, "v") + COUNTIF(R18:R37, "V")) &amp; "/" &amp; ((COUNTIF(R18:R37, "✓") + COUNTIF(R18:R37, "✔") + COUNTIF(R18:R37, "v") + COUNTIF(R18:R37, "V")) + COUNTIF(R18:R37, "✗") + COUNTIF(R18:R37, "x") + COUNTIF(R18:R37, "X")), "")</f>
        <v/>
      </c>
      <c r="S38" s="33">
        <f>IF(((COUNTIF(S18:S37, "✓") + COUNTIF(S18:S37, "✔") + COUNTIF(S18:S37, "v") + COUNTIF(S18:S37, "V")) + COUNTIF(S18:S37, "✗") + COUNTIF(S18:S37, "x") + COUNTIF(S18:S37, "X")) &gt; 0, (COUNTIF(S18:S37, "✓") + COUNTIF(S18:S37, "✔") + COUNTIF(S18:S37, "v") + COUNTIF(S18:S37, "V")) &amp; "/" &amp; ((COUNTIF(S18:S37, "✓") + COUNTIF(S18:S37, "✔") + COUNTIF(S18:S37, "v") + COUNTIF(S18:S37, "V")) + COUNTIF(S18:S37, "✗") + COUNTIF(S18:S37, "x") + COUNTIF(S18:S37, "X")), "")</f>
        <v/>
      </c>
      <c r="T38" s="33">
        <f>IF(((COUNTIF(T18:T37, "✓") + COUNTIF(T18:T37, "✔") + COUNTIF(T18:T37, "v") + COUNTIF(T18:T37, "V")) + COUNTIF(T18:T37, "✗") + COUNTIF(T18:T37, "x") + COUNTIF(T18:T37, "X")) &gt; 0, (COUNTIF(T18:T37, "✓") + COUNTIF(T18:T37, "✔") + COUNTIF(T18:T37, "v") + COUNTIF(T18:T37, "V")) &amp; "/" &amp; ((COUNTIF(T18:T37, "✓") + COUNTIF(T18:T37, "✔") + COUNTIF(T18:T37, "v") + COUNTIF(T18:T37, "V")) + COUNTIF(T18:T37, "✗") + COUNTIF(T18:T37, "x") + COUNTIF(T18:T37, "X")), "")</f>
        <v/>
      </c>
      <c r="U38" s="33">
        <f>IF(((COUNTIF(U18:U37, "✓") + COUNTIF(U18:U37, "✔") + COUNTIF(U18:U37, "v") + COUNTIF(U18:U37, "V")) + COUNTIF(U18:U37, "✗") + COUNTIF(U18:U37, "x") + COUNTIF(U18:U37, "X")) &gt; 0, (COUNTIF(U18:U37, "✓") + COUNTIF(U18:U37, "✔") + COUNTIF(U18:U37, "v") + COUNTIF(U18:U37, "V")) &amp; "/" &amp; ((COUNTIF(U18:U37, "✓") + COUNTIF(U18:U37, "✔") + COUNTIF(U18:U37, "v") + COUNTIF(U18:U37, "V")) + COUNTIF(U18:U37, "✗") + COUNTIF(U18:U37, "x") + COUNTIF(U18:U37, "X")), "")</f>
        <v/>
      </c>
      <c r="V38" s="33">
        <f>IF(((COUNTIF(V18:V37, "✓") + COUNTIF(V18:V37, "✔") + COUNTIF(V18:V37, "v") + COUNTIF(V18:V37, "V")) + COUNTIF(V18:V37, "✗") + COUNTIF(V18:V37, "x") + COUNTIF(V18:V37, "X")) &gt; 0, (COUNTIF(V18:V37, "✓") + COUNTIF(V18:V37, "✔") + COUNTIF(V18:V37, "v") + COUNTIF(V18:V37, "V")) &amp; "/" &amp; ((COUNTIF(V18:V37, "✓") + COUNTIF(V18:V37, "✔") + COUNTIF(V18:V37, "v") + COUNTIF(V18:V37, "V")) + COUNTIF(V18:V37, "✗") + COUNTIF(V18:V37, "x") + COUNTIF(V18:V37, "X")), "")</f>
        <v/>
      </c>
      <c r="W38" s="33">
        <f>IF(((COUNTIF(W18:W37, "✓") + COUNTIF(W18:W37, "✔") + COUNTIF(W18:W37, "v") + COUNTIF(W18:W37, "V")) + COUNTIF(W18:W37, "✗") + COUNTIF(W18:W37, "x") + COUNTIF(W18:W37, "X")) &gt; 0, (COUNTIF(W18:W37, "✓") + COUNTIF(W18:W37, "✔") + COUNTIF(W18:W37, "v") + COUNTIF(W18:W37, "V")) &amp; "/" &amp; ((COUNTIF(W18:W37, "✓") + COUNTIF(W18:W37, "✔") + COUNTIF(W18:W37, "v") + COUNTIF(W18:W37, "V")) + COUNTIF(W18:W37, "✗") + COUNTIF(W18:W37, "x") + COUNTIF(W18:W37, "X")), "")</f>
        <v/>
      </c>
      <c r="X38" s="33">
        <f>IF(((COUNTIF(X18:X37, "✓") + COUNTIF(X18:X37, "✔") + COUNTIF(X18:X37, "v") + COUNTIF(X18:X37, "V")) + COUNTIF(X18:X37, "✗") + COUNTIF(X18:X37, "x") + COUNTIF(X18:X37, "X")) &gt; 0, (COUNTIF(X18:X37, "✓") + COUNTIF(X18:X37, "✔") + COUNTIF(X18:X37, "v") + COUNTIF(X18:X37, "V")) &amp; "/" &amp; ((COUNTIF(X18:X37, "✓") + COUNTIF(X18:X37, "✔") + COUNTIF(X18:X37, "v") + COUNTIF(X18:X37, "V")) + COUNTIF(X18:X37, "✗") + COUNTIF(X18:X37, "x") + COUNTIF(X18:X37, "X")), "")</f>
        <v/>
      </c>
      <c r="Y38" s="33">
        <f>IF(((COUNTIF(Y18:Y37, "✓") + COUNTIF(Y18:Y37, "✔") + COUNTIF(Y18:Y37, "v") + COUNTIF(Y18:Y37, "V")) + COUNTIF(Y18:Y37, "✗") + COUNTIF(Y18:Y37, "x") + COUNTIF(Y18:Y37, "X")) &gt; 0, (COUNTIF(Y18:Y37, "✓") + COUNTIF(Y18:Y37, "✔") + COUNTIF(Y18:Y37, "v") + COUNTIF(Y18:Y37, "V")) &amp; "/" &amp; ((COUNTIF(Y18:Y37, "✓") + COUNTIF(Y18:Y37, "✔") + COUNTIF(Y18:Y37, "v") + COUNTIF(Y18:Y37, "V")) + COUNTIF(Y18:Y37, "✗") + COUNTIF(Y18:Y37, "x") + COUNTIF(Y18:Y37, "X")), "")</f>
        <v/>
      </c>
      <c r="Z38" s="33">
        <f>IF(((COUNTIF(Z18:Z37, "✓") + COUNTIF(Z18:Z37, "✔") + COUNTIF(Z18:Z37, "v") + COUNTIF(Z18:Z37, "V")) + COUNTIF(Z18:Z37, "✗") + COUNTIF(Z18:Z37, "x") + COUNTIF(Z18:Z37, "X")) &gt; 0, (COUNTIF(Z18:Z37, "✓") + COUNTIF(Z18:Z37, "✔") + COUNTIF(Z18:Z37, "v") + COUNTIF(Z18:Z37, "V")) &amp; "/" &amp; ((COUNTIF(Z18:Z37, "✓") + COUNTIF(Z18:Z37, "✔") + COUNTIF(Z18:Z37, "v") + COUNTIF(Z18:Z37, "V")) + COUNTIF(Z18:Z37, "✗") + COUNTIF(Z18:Z37, "x") + COUNTIF(Z18:Z37, "X")), "")</f>
        <v/>
      </c>
      <c r="AA38" s="33">
        <f>IF(((COUNTIF(AA18:AA37, "✓") + COUNTIF(AA18:AA37, "✔") + COUNTIF(AA18:AA37, "v") + COUNTIF(AA18:AA37, "V")) + COUNTIF(AA18:AA37, "✗") + COUNTIF(AA18:AA37, "x") + COUNTIF(AA18:AA37, "X")) &gt; 0, (COUNTIF(AA18:AA37, "✓") + COUNTIF(AA18:AA37, "✔") + COUNTIF(AA18:AA37, "v") + COUNTIF(AA18:AA37, "V")) &amp; "/" &amp; ((COUNTIF(AA18:AA37, "✓") + COUNTIF(AA18:AA37, "✔") + COUNTIF(AA18:AA37, "v") + COUNTIF(AA18:AA37, "V")) + COUNTIF(AA18:AA37, "✗") + COUNTIF(AA18:AA37, "x") + COUNTIF(AA18:AA37, "X")), "")</f>
        <v/>
      </c>
      <c r="AB38" s="33">
        <f>IF(((COUNTIF(AB18:AB37, "✓") + COUNTIF(AB18:AB37, "✔") + COUNTIF(AB18:AB37, "v") + COUNTIF(AB18:AB37, "V")) + COUNTIF(AB18:AB37, "✗") + COUNTIF(AB18:AB37, "x") + COUNTIF(AB18:AB37, "X")) &gt; 0, (COUNTIF(AB18:AB37, "✓") + COUNTIF(AB18:AB37, "✔") + COUNTIF(AB18:AB37, "v") + COUNTIF(AB18:AB37, "V")) &amp; "/" &amp; ((COUNTIF(AB18:AB37, "✓") + COUNTIF(AB18:AB37, "✔") + COUNTIF(AB18:AB37, "v") + COUNTIF(AB18:AB37, "V")) + COUNTIF(AB18:AB37, "✗") + COUNTIF(AB18:AB37, "x") + COUNTIF(AB18:AB37, "X")), "")</f>
        <v/>
      </c>
      <c r="AC38" s="33">
        <f>IF(((COUNTIF(AC18:AC37, "✓") + COUNTIF(AC18:AC37, "✔") + COUNTIF(AC18:AC37, "v") + COUNTIF(AC18:AC37, "V")) + COUNTIF(AC18:AC37, "✗") + COUNTIF(AC18:AC37, "x") + COUNTIF(AC18:AC37, "X")) &gt; 0, (COUNTIF(AC18:AC37, "✓") + COUNTIF(AC18:AC37, "✔") + COUNTIF(AC18:AC37, "v") + COUNTIF(AC18:AC37, "V")) &amp; "/" &amp; ((COUNTIF(AC18:AC37, "✓") + COUNTIF(AC18:AC37, "✔") + COUNTIF(AC18:AC37, "v") + COUNTIF(AC18:AC37, "V")) + COUNTIF(AC18:AC37, "✗") + COUNTIF(AC18:AC37, "x") + COUNTIF(AC18:AC37, "X")), "")</f>
        <v/>
      </c>
      <c r="AD38" s="33">
        <f>IF(((COUNTIF(AD18:AD37, "✓") + COUNTIF(AD18:AD37, "✔") + COUNTIF(AD18:AD37, "v") + COUNTIF(AD18:AD37, "V")) + COUNTIF(AD18:AD37, "✗") + COUNTIF(AD18:AD37, "x") + COUNTIF(AD18:AD37, "X")) &gt; 0, (COUNTIF(AD18:AD37, "✓") + COUNTIF(AD18:AD37, "✔") + COUNTIF(AD18:AD37, "v") + COUNTIF(AD18:AD37, "V")) &amp; "/" &amp; ((COUNTIF(AD18:AD37, "✓") + COUNTIF(AD18:AD37, "✔") + COUNTIF(AD18:AD37, "v") + COUNTIF(AD18:AD37, "V")) + COUNTIF(AD18:AD37, "✗") + COUNTIF(AD18:AD37, "x") + COUNTIF(AD18:AD37, "X")), "")</f>
        <v/>
      </c>
      <c r="AE38" s="33">
        <f>IF(((COUNTIF(AE18:AE37, "✓") + COUNTIF(AE18:AE37, "✔") + COUNTIF(AE18:AE37, "v") + COUNTIF(AE18:AE37, "V")) + COUNTIF(AE18:AE37, "✗") + COUNTIF(AE18:AE37, "x") + COUNTIF(AE18:AE37, "X")) &gt; 0, (COUNTIF(AE18:AE37, "✓") + COUNTIF(AE18:AE37, "✔") + COUNTIF(AE18:AE37, "v") + COUNTIF(AE18:AE37, "V")) &amp; "/" &amp; ((COUNTIF(AE18:AE37, "✓") + COUNTIF(AE18:AE37, "✔") + COUNTIF(AE18:AE37, "v") + COUNTIF(AE18:AE37, "V")) + COUNTIF(AE18:AE37, "✗") + COUNTIF(AE18:AE37, "x") + COUNTIF(AE18:AE37, "X")), "")</f>
        <v/>
      </c>
      <c r="AF38" s="33">
        <f>IF(((COUNTIF(AF18:AF37, "✓") + COUNTIF(AF18:AF37, "✔") + COUNTIF(AF18:AF37, "v") + COUNTIF(AF18:AF37, "V")) + COUNTIF(AF18:AF37, "✗") + COUNTIF(AF18:AF37, "x") + COUNTIF(AF18:AF37, "X")) &gt; 0, (COUNTIF(AF18:AF37, "✓") + COUNTIF(AF18:AF37, "✔") + COUNTIF(AF18:AF37, "v") + COUNTIF(AF18:AF37, "V")) &amp; "/" &amp; ((COUNTIF(AF18:AF37, "✓") + COUNTIF(AF18:AF37, "✔") + COUNTIF(AF18:AF37, "v") + COUNTIF(AF18:AF37, "V")) + COUNTIF(AF18:AF37, "✗") + COUNTIF(AF18:AF37, "x") + COUNTIF(AF18:AF37, "X")), "")</f>
        <v/>
      </c>
      <c r="AG38" s="33">
        <f>IF(((COUNTIF(AG18:AG37, "✓") + COUNTIF(AG18:AG37, "✔") + COUNTIF(AG18:AG37, "v") + COUNTIF(AG18:AG37, "V")) + COUNTIF(AG18:AG37, "✗") + COUNTIF(AG18:AG37, "x") + COUNTIF(AG18:AG37, "X")) &gt; 0, (COUNTIF(AG18:AG37, "✓") + COUNTIF(AG18:AG37, "✔") + COUNTIF(AG18:AG37, "v") + COUNTIF(AG18:AG37, "V")) &amp; "/" &amp; ((COUNTIF(AG18:AG37, "✓") + COUNTIF(AG18:AG37, "✔") + COUNTIF(AG18:AG37, "v") + COUNTIF(AG18:AG37, "V")) + COUNTIF(AG18:AG37, "✗") + COUNTIF(AG18:AG37, "x") + COUNTIF(AG18:AG37, "X")), "")</f>
        <v/>
      </c>
      <c r="AH38" s="33">
        <f>IF(((COUNTIF(AH18:AH37, "✓") + COUNTIF(AH18:AH37, "✔") + COUNTIF(AH18:AH37, "v") + COUNTIF(AH18:AH37, "V")) + COUNTIF(AH18:AH37, "✗") + COUNTIF(AH18:AH37, "x") + COUNTIF(AH18:AH37, "X")) &gt; 0, (COUNTIF(AH18:AH37, "✓") + COUNTIF(AH18:AH37, "✔") + COUNTIF(AH18:AH37, "v") + COUNTIF(AH18:AH37, "V")) &amp; "/" &amp; ((COUNTIF(AH18:AH37, "✓") + COUNTIF(AH18:AH37, "✔") + COUNTIF(AH18:AH37, "v") + COUNTIF(AH18:AH37, "V")) + COUNTIF(AH18:AH37, "✗") + COUNTIF(AH18:AH37, "x") + COUNTIF(AH18:AH37, "X")), "")</f>
        <v/>
      </c>
      <c r="AI38" s="33">
        <f>IF(((COUNTIF(AI18:AI37, "✓") + COUNTIF(AI18:AI37, "✔") + COUNTIF(AI18:AI37, "v") + COUNTIF(AI18:AI37, "V")) + COUNTIF(AI18:AI37, "✗") + COUNTIF(AI18:AI37, "x") + COUNTIF(AI18:AI37, "X")) &gt; 0, (COUNTIF(AI18:AI37, "✓") + COUNTIF(AI18:AI37, "✔") + COUNTIF(AI18:AI37, "v") + COUNTIF(AI18:AI37, "V")) &amp; "/" &amp; ((COUNTIF(AI18:AI37, "✓") + COUNTIF(AI18:AI37, "✔") + COUNTIF(AI18:AI37, "v") + COUNTIF(AI18:AI37, "V")) + COUNTIF(AI18:AI37, "✗") + COUNTIF(AI18:AI37, "x") + COUNTIF(AI18:AI37, "X")), "")</f>
        <v/>
      </c>
      <c r="AJ38" s="133">
        <f>IF(SUM(D18:D37) &gt; 0, SUM(AM18:AM37) / SUM(D18:D37), "")</f>
        <v/>
      </c>
      <c r="AK38" s="33">
        <f>IF(SUM(D18:D37) &gt; 0, SUM(AM18:AM37) &amp; "/" &amp; SUM(D18:D37), "")</f>
        <v/>
      </c>
      <c r="AL38" s="54" t="n"/>
    </row>
    <row r="39" ht="18" customHeight="1">
      <c r="A39" s="132" t="inlineStr">
        <is>
          <t>DAILY SUCCESS %</t>
        </is>
      </c>
      <c r="B39" s="54" t="n"/>
      <c r="C39" s="54" t="n"/>
      <c r="D39" s="54" t="n"/>
      <c r="E39" s="134">
        <f>IF(((COUNTIF(E18:E37, "✓") + COUNTIF(E18:E37, "✔") + COUNTIF(E18:E37, "v") + COUNTIF(E18:E37, "V")) + COUNTIF(E18:E37, "✗") + COUNTIF(E18:E37, "x") + COUNTIF(E18:E37, "X")) &gt; 0, (COUNTIF(E18:E37, "✓") + COUNTIF(E18:E37, "✔") + COUNTIF(E18:E37, "v") + COUNTIF(E18:E37, "V")) / ((COUNTIF(E18:E37, "✓") + COUNTIF(E18:E37, "✔") + COUNTIF(E18:E37, "v") + COUNTIF(E18:E37, "V")) + COUNTIF(E18:E37, "✗") + COUNTIF(E18:E37, "x") + COUNTIF(E18:E37, "X")), "")</f>
        <v/>
      </c>
      <c r="F39" s="134">
        <f>IF(((COUNTIF(F18:F37, "✓") + COUNTIF(F18:F37, "✔") + COUNTIF(F18:F37, "v") + COUNTIF(F18:F37, "V")) + COUNTIF(F18:F37, "✗") + COUNTIF(F18:F37, "x") + COUNTIF(F18:F37, "X")) &gt; 0, (COUNTIF(F18:F37, "✓") + COUNTIF(F18:F37, "✔") + COUNTIF(F18:F37, "v") + COUNTIF(F18:F37, "V")) / ((COUNTIF(F18:F37, "✓") + COUNTIF(F18:F37, "✔") + COUNTIF(F18:F37, "v") + COUNTIF(F18:F37, "V")) + COUNTIF(F18:F37, "✗") + COUNTIF(F18:F37, "x") + COUNTIF(F18:F37, "X")), "")</f>
        <v/>
      </c>
      <c r="G39" s="134">
        <f>IF(((COUNTIF(G18:G37, "✓") + COUNTIF(G18:G37, "✔") + COUNTIF(G18:G37, "v") + COUNTIF(G18:G37, "V")) + COUNTIF(G18:G37, "✗") + COUNTIF(G18:G37, "x") + COUNTIF(G18:G37, "X")) &gt; 0, (COUNTIF(G18:G37, "✓") + COUNTIF(G18:G37, "✔") + COUNTIF(G18:G37, "v") + COUNTIF(G18:G37, "V")) / ((COUNTIF(G18:G37, "✓") + COUNTIF(G18:G37, "✔") + COUNTIF(G18:G37, "v") + COUNTIF(G18:G37, "V")) + COUNTIF(G18:G37, "✗") + COUNTIF(G18:G37, "x") + COUNTIF(G18:G37, "X")), "")</f>
        <v/>
      </c>
      <c r="H39" s="134">
        <f>IF(((COUNTIF(H18:H37, "✓") + COUNTIF(H18:H37, "✔") + COUNTIF(H18:H37, "v") + COUNTIF(H18:H37, "V")) + COUNTIF(H18:H37, "✗") + COUNTIF(H18:H37, "x") + COUNTIF(H18:H37, "X")) &gt; 0, (COUNTIF(H18:H37, "✓") + COUNTIF(H18:H37, "✔") + COUNTIF(H18:H37, "v") + COUNTIF(H18:H37, "V")) / ((COUNTIF(H18:H37, "✓") + COUNTIF(H18:H37, "✔") + COUNTIF(H18:H37, "v") + COUNTIF(H18:H37, "V")) + COUNTIF(H18:H37, "✗") + COUNTIF(H18:H37, "x") + COUNTIF(H18:H37, "X")), "")</f>
        <v/>
      </c>
      <c r="I39" s="134">
        <f>IF(((COUNTIF(I18:I37, "✓") + COUNTIF(I18:I37, "✔") + COUNTIF(I18:I37, "v") + COUNTIF(I18:I37, "V")) + COUNTIF(I18:I37, "✗") + COUNTIF(I18:I37, "x") + COUNTIF(I18:I37, "X")) &gt; 0, (COUNTIF(I18:I37, "✓") + COUNTIF(I18:I37, "✔") + COUNTIF(I18:I37, "v") + COUNTIF(I18:I37, "V")) / ((COUNTIF(I18:I37, "✓") + COUNTIF(I18:I37, "✔") + COUNTIF(I18:I37, "v") + COUNTIF(I18:I37, "V")) + COUNTIF(I18:I37, "✗") + COUNTIF(I18:I37, "x") + COUNTIF(I18:I37, "X")), "")</f>
        <v/>
      </c>
      <c r="J39" s="134">
        <f>IF(((COUNTIF(J18:J37, "✓") + COUNTIF(J18:J37, "✔") + COUNTIF(J18:J37, "v") + COUNTIF(J18:J37, "V")) + COUNTIF(J18:J37, "✗") + COUNTIF(J18:J37, "x") + COUNTIF(J18:J37, "X")) &gt; 0, (COUNTIF(J18:J37, "✓") + COUNTIF(J18:J37, "✔") + COUNTIF(J18:J37, "v") + COUNTIF(J18:J37, "V")) / ((COUNTIF(J18:J37, "✓") + COUNTIF(J18:J37, "✔") + COUNTIF(J18:J37, "v") + COUNTIF(J18:J37, "V")) + COUNTIF(J18:J37, "✗") + COUNTIF(J18:J37, "x") + COUNTIF(J18:J37, "X")), "")</f>
        <v/>
      </c>
      <c r="K39" s="134">
        <f>IF(((COUNTIF(K18:K37, "✓") + COUNTIF(K18:K37, "✔") + COUNTIF(K18:K37, "v") + COUNTIF(K18:K37, "V")) + COUNTIF(K18:K37, "✗") + COUNTIF(K18:K37, "x") + COUNTIF(K18:K37, "X")) &gt; 0, (COUNTIF(K18:K37, "✓") + COUNTIF(K18:K37, "✔") + COUNTIF(K18:K37, "v") + COUNTIF(K18:K37, "V")) / ((COUNTIF(K18:K37, "✓") + COUNTIF(K18:K37, "✔") + COUNTIF(K18:K37, "v") + COUNTIF(K18:K37, "V")) + COUNTIF(K18:K37, "✗") + COUNTIF(K18:K37, "x") + COUNTIF(K18:K37, "X")), "")</f>
        <v/>
      </c>
      <c r="L39" s="134">
        <f>IF(((COUNTIF(L18:L37, "✓") + COUNTIF(L18:L37, "✔") + COUNTIF(L18:L37, "v") + COUNTIF(L18:L37, "V")) + COUNTIF(L18:L37, "✗") + COUNTIF(L18:L37, "x") + COUNTIF(L18:L37, "X")) &gt; 0, (COUNTIF(L18:L37, "✓") + COUNTIF(L18:L37, "✔") + COUNTIF(L18:L37, "v") + COUNTIF(L18:L37, "V")) / ((COUNTIF(L18:L37, "✓") + COUNTIF(L18:L37, "✔") + COUNTIF(L18:L37, "v") + COUNTIF(L18:L37, "V")) + COUNTIF(L18:L37, "✗") + COUNTIF(L18:L37, "x") + COUNTIF(L18:L37, "X")), "")</f>
        <v/>
      </c>
      <c r="M39" s="134">
        <f>IF(((COUNTIF(M18:M37, "✓") + COUNTIF(M18:M37, "✔") + COUNTIF(M18:M37, "v") + COUNTIF(M18:M37, "V")) + COUNTIF(M18:M37, "✗") + COUNTIF(M18:M37, "x") + COUNTIF(M18:M37, "X")) &gt; 0, (COUNTIF(M18:M37, "✓") + COUNTIF(M18:M37, "✔") + COUNTIF(M18:M37, "v") + COUNTIF(M18:M37, "V")) / ((COUNTIF(M18:M37, "✓") + COUNTIF(M18:M37, "✔") + COUNTIF(M18:M37, "v") + COUNTIF(M18:M37, "V")) + COUNTIF(M18:M37, "✗") + COUNTIF(M18:M37, "x") + COUNTIF(M18:M37, "X")), "")</f>
        <v/>
      </c>
      <c r="N39" s="134">
        <f>IF(((COUNTIF(N18:N37, "✓") + COUNTIF(N18:N37, "✔") + COUNTIF(N18:N37, "v") + COUNTIF(N18:N37, "V")) + COUNTIF(N18:N37, "✗") + COUNTIF(N18:N37, "x") + COUNTIF(N18:N37, "X")) &gt; 0, (COUNTIF(N18:N37, "✓") + COUNTIF(N18:N37, "✔") + COUNTIF(N18:N37, "v") + COUNTIF(N18:N37, "V")) / ((COUNTIF(N18:N37, "✓") + COUNTIF(N18:N37, "✔") + COUNTIF(N18:N37, "v") + COUNTIF(N18:N37, "V")) + COUNTIF(N18:N37, "✗") + COUNTIF(N18:N37, "x") + COUNTIF(N18:N37, "X")), "")</f>
        <v/>
      </c>
      <c r="O39" s="134">
        <f>IF(((COUNTIF(O18:O37, "✓") + COUNTIF(O18:O37, "✔") + COUNTIF(O18:O37, "v") + COUNTIF(O18:O37, "V")) + COUNTIF(O18:O37, "✗") + COUNTIF(O18:O37, "x") + COUNTIF(O18:O37, "X")) &gt; 0, (COUNTIF(O18:O37, "✓") + COUNTIF(O18:O37, "✔") + COUNTIF(O18:O37, "v") + COUNTIF(O18:O37, "V")) / ((COUNTIF(O18:O37, "✓") + COUNTIF(O18:O37, "✔") + COUNTIF(O18:O37, "v") + COUNTIF(O18:O37, "V")) + COUNTIF(O18:O37, "✗") + COUNTIF(O18:O37, "x") + COUNTIF(O18:O37, "X")), "")</f>
        <v/>
      </c>
      <c r="P39" s="134">
        <f>IF(((COUNTIF(P18:P37, "✓") + COUNTIF(P18:P37, "✔") + COUNTIF(P18:P37, "v") + COUNTIF(P18:P37, "V")) + COUNTIF(P18:P37, "✗") + COUNTIF(P18:P37, "x") + COUNTIF(P18:P37, "X")) &gt; 0, (COUNTIF(P18:P37, "✓") + COUNTIF(P18:P37, "✔") + COUNTIF(P18:P37, "v") + COUNTIF(P18:P37, "V")) / ((COUNTIF(P18:P37, "✓") + COUNTIF(P18:P37, "✔") + COUNTIF(P18:P37, "v") + COUNTIF(P18:P37, "V")) + COUNTIF(P18:P37, "✗") + COUNTIF(P18:P37, "x") + COUNTIF(P18:P37, "X")), "")</f>
        <v/>
      </c>
      <c r="Q39" s="134">
        <f>IF(((COUNTIF(Q18:Q37, "✓") + COUNTIF(Q18:Q37, "✔") + COUNTIF(Q18:Q37, "v") + COUNTIF(Q18:Q37, "V")) + COUNTIF(Q18:Q37, "✗") + COUNTIF(Q18:Q37, "x") + COUNTIF(Q18:Q37, "X")) &gt; 0, (COUNTIF(Q18:Q37, "✓") + COUNTIF(Q18:Q37, "✔") + COUNTIF(Q18:Q37, "v") + COUNTIF(Q18:Q37, "V")) / ((COUNTIF(Q18:Q37, "✓") + COUNTIF(Q18:Q37, "✔") + COUNTIF(Q18:Q37, "v") + COUNTIF(Q18:Q37, "V")) + COUNTIF(Q18:Q37, "✗") + COUNTIF(Q18:Q37, "x") + COUNTIF(Q18:Q37, "X")), "")</f>
        <v/>
      </c>
      <c r="R39" s="134">
        <f>IF(((COUNTIF(R18:R37, "✓") + COUNTIF(R18:R37, "✔") + COUNTIF(R18:R37, "v") + COUNTIF(R18:R37, "V")) + COUNTIF(R18:R37, "✗") + COUNTIF(R18:R37, "x") + COUNTIF(R18:R37, "X")) &gt; 0, (COUNTIF(R18:R37, "✓") + COUNTIF(R18:R37, "✔") + COUNTIF(R18:R37, "v") + COUNTIF(R18:R37, "V")) / ((COUNTIF(R18:R37, "✓") + COUNTIF(R18:R37, "✔") + COUNTIF(R18:R37, "v") + COUNTIF(R18:R37, "V")) + COUNTIF(R18:R37, "✗") + COUNTIF(R18:R37, "x") + COUNTIF(R18:R37, "X")), "")</f>
        <v/>
      </c>
      <c r="S39" s="134">
        <f>IF(((COUNTIF(S18:S37, "✓") + COUNTIF(S18:S37, "✔") + COUNTIF(S18:S37, "v") + COUNTIF(S18:S37, "V")) + COUNTIF(S18:S37, "✗") + COUNTIF(S18:S37, "x") + COUNTIF(S18:S37, "X")) &gt; 0, (COUNTIF(S18:S37, "✓") + COUNTIF(S18:S37, "✔") + COUNTIF(S18:S37, "v") + COUNTIF(S18:S37, "V")) / ((COUNTIF(S18:S37, "✓") + COUNTIF(S18:S37, "✔") + COUNTIF(S18:S37, "v") + COUNTIF(S18:S37, "V")) + COUNTIF(S18:S37, "✗") + COUNTIF(S18:S37, "x") + COUNTIF(S18:S37, "X")), "")</f>
        <v/>
      </c>
      <c r="T39" s="134">
        <f>IF(((COUNTIF(T18:T37, "✓") + COUNTIF(T18:T37, "✔") + COUNTIF(T18:T37, "v") + COUNTIF(T18:T37, "V")) + COUNTIF(T18:T37, "✗") + COUNTIF(T18:T37, "x") + COUNTIF(T18:T37, "X")) &gt; 0, (COUNTIF(T18:T37, "✓") + COUNTIF(T18:T37, "✔") + COUNTIF(T18:T37, "v") + COUNTIF(T18:T37, "V")) / ((COUNTIF(T18:T37, "✓") + COUNTIF(T18:T37, "✔") + COUNTIF(T18:T37, "v") + COUNTIF(T18:T37, "V")) + COUNTIF(T18:T37, "✗") + COUNTIF(T18:T37, "x") + COUNTIF(T18:T37, "X")), "")</f>
        <v/>
      </c>
      <c r="U39" s="134">
        <f>IF(((COUNTIF(U18:U37, "✓") + COUNTIF(U18:U37, "✔") + COUNTIF(U18:U37, "v") + COUNTIF(U18:U37, "V")) + COUNTIF(U18:U37, "✗") + COUNTIF(U18:U37, "x") + COUNTIF(U18:U37, "X")) &gt; 0, (COUNTIF(U18:U37, "✓") + COUNTIF(U18:U37, "✔") + COUNTIF(U18:U37, "v") + COUNTIF(U18:U37, "V")) / ((COUNTIF(U18:U37, "✓") + COUNTIF(U18:U37, "✔") + COUNTIF(U18:U37, "v") + COUNTIF(U18:U37, "V")) + COUNTIF(U18:U37, "✗") + COUNTIF(U18:U37, "x") + COUNTIF(U18:U37, "X")), "")</f>
        <v/>
      </c>
      <c r="V39" s="134">
        <f>IF(((COUNTIF(V18:V37, "✓") + COUNTIF(V18:V37, "✔") + COUNTIF(V18:V37, "v") + COUNTIF(V18:V37, "V")) + COUNTIF(V18:V37, "✗") + COUNTIF(V18:V37, "x") + COUNTIF(V18:V37, "X")) &gt; 0, (COUNTIF(V18:V37, "✓") + COUNTIF(V18:V37, "✔") + COUNTIF(V18:V37, "v") + COUNTIF(V18:V37, "V")) / ((COUNTIF(V18:V37, "✓") + COUNTIF(V18:V37, "✔") + COUNTIF(V18:V37, "v") + COUNTIF(V18:V37, "V")) + COUNTIF(V18:V37, "✗") + COUNTIF(V18:V37, "x") + COUNTIF(V18:V37, "X")), "")</f>
        <v/>
      </c>
      <c r="W39" s="134">
        <f>IF(((COUNTIF(W18:W37, "✓") + COUNTIF(W18:W37, "✔") + COUNTIF(W18:W37, "v") + COUNTIF(W18:W37, "V")) + COUNTIF(W18:W37, "✗") + COUNTIF(W18:W37, "x") + COUNTIF(W18:W37, "X")) &gt; 0, (COUNTIF(W18:W37, "✓") + COUNTIF(W18:W37, "✔") + COUNTIF(W18:W37, "v") + COUNTIF(W18:W37, "V")) / ((COUNTIF(W18:W37, "✓") + COUNTIF(W18:W37, "✔") + COUNTIF(W18:W37, "v") + COUNTIF(W18:W37, "V")) + COUNTIF(W18:W37, "✗") + COUNTIF(W18:W37, "x") + COUNTIF(W18:W37, "X")), "")</f>
        <v/>
      </c>
      <c r="X39" s="134">
        <f>IF(((COUNTIF(X18:X37, "✓") + COUNTIF(X18:X37, "✔") + COUNTIF(X18:X37, "v") + COUNTIF(X18:X37, "V")) + COUNTIF(X18:X37, "✗") + COUNTIF(X18:X37, "x") + COUNTIF(X18:X37, "X")) &gt; 0, (COUNTIF(X18:X37, "✓") + COUNTIF(X18:X37, "✔") + COUNTIF(X18:X37, "v") + COUNTIF(X18:X37, "V")) / ((COUNTIF(X18:X37, "✓") + COUNTIF(X18:X37, "✔") + COUNTIF(X18:X37, "v") + COUNTIF(X18:X37, "V")) + COUNTIF(X18:X37, "✗") + COUNTIF(X18:X37, "x") + COUNTIF(X18:X37, "X")), "")</f>
        <v/>
      </c>
      <c r="Y39" s="134">
        <f>IF(((COUNTIF(Y18:Y37, "✓") + COUNTIF(Y18:Y37, "✔") + COUNTIF(Y18:Y37, "v") + COUNTIF(Y18:Y37, "V")) + COUNTIF(Y18:Y37, "✗") + COUNTIF(Y18:Y37, "x") + COUNTIF(Y18:Y37, "X")) &gt; 0, (COUNTIF(Y18:Y37, "✓") + COUNTIF(Y18:Y37, "✔") + COUNTIF(Y18:Y37, "v") + COUNTIF(Y18:Y37, "V")) / ((COUNTIF(Y18:Y37, "✓") + COUNTIF(Y18:Y37, "✔") + COUNTIF(Y18:Y37, "v") + COUNTIF(Y18:Y37, "V")) + COUNTIF(Y18:Y37, "✗") + COUNTIF(Y18:Y37, "x") + COUNTIF(Y18:Y37, "X")), "")</f>
        <v/>
      </c>
      <c r="Z39" s="134">
        <f>IF(((COUNTIF(Z18:Z37, "✓") + COUNTIF(Z18:Z37, "✔") + COUNTIF(Z18:Z37, "v") + COUNTIF(Z18:Z37, "V")) + COUNTIF(Z18:Z37, "✗") + COUNTIF(Z18:Z37, "x") + COUNTIF(Z18:Z37, "X")) &gt; 0, (COUNTIF(Z18:Z37, "✓") + COUNTIF(Z18:Z37, "✔") + COUNTIF(Z18:Z37, "v") + COUNTIF(Z18:Z37, "V")) / ((COUNTIF(Z18:Z37, "✓") + COUNTIF(Z18:Z37, "✔") + COUNTIF(Z18:Z37, "v") + COUNTIF(Z18:Z37, "V")) + COUNTIF(Z18:Z37, "✗") + COUNTIF(Z18:Z37, "x") + COUNTIF(Z18:Z37, "X")), "")</f>
        <v/>
      </c>
      <c r="AA39" s="134">
        <f>IF(((COUNTIF(AA18:AA37, "✓") + COUNTIF(AA18:AA37, "✔") + COUNTIF(AA18:AA37, "v") + COUNTIF(AA18:AA37, "V")) + COUNTIF(AA18:AA37, "✗") + COUNTIF(AA18:AA37, "x") + COUNTIF(AA18:AA37, "X")) &gt; 0, (COUNTIF(AA18:AA37, "✓") + COUNTIF(AA18:AA37, "✔") + COUNTIF(AA18:AA37, "v") + COUNTIF(AA18:AA37, "V")) / ((COUNTIF(AA18:AA37, "✓") + COUNTIF(AA18:AA37, "✔") + COUNTIF(AA18:AA37, "v") + COUNTIF(AA18:AA37, "V")) + COUNTIF(AA18:AA37, "✗") + COUNTIF(AA18:AA37, "x") + COUNTIF(AA18:AA37, "X")), "")</f>
        <v/>
      </c>
      <c r="AB39" s="134">
        <f>IF(((COUNTIF(AB18:AB37, "✓") + COUNTIF(AB18:AB37, "✔") + COUNTIF(AB18:AB37, "v") + COUNTIF(AB18:AB37, "V")) + COUNTIF(AB18:AB37, "✗") + COUNTIF(AB18:AB37, "x") + COUNTIF(AB18:AB37, "X")) &gt; 0, (COUNTIF(AB18:AB37, "✓") + COUNTIF(AB18:AB37, "✔") + COUNTIF(AB18:AB37, "v") + COUNTIF(AB18:AB37, "V")) / ((COUNTIF(AB18:AB37, "✓") + COUNTIF(AB18:AB37, "✔") + COUNTIF(AB18:AB37, "v") + COUNTIF(AB18:AB37, "V")) + COUNTIF(AB18:AB37, "✗") + COUNTIF(AB18:AB37, "x") + COUNTIF(AB18:AB37, "X")), "")</f>
        <v/>
      </c>
      <c r="AC39" s="134">
        <f>IF(((COUNTIF(AC18:AC37, "✓") + COUNTIF(AC18:AC37, "✔") + COUNTIF(AC18:AC37, "v") + COUNTIF(AC18:AC37, "V")) + COUNTIF(AC18:AC37, "✗") + COUNTIF(AC18:AC37, "x") + COUNTIF(AC18:AC37, "X")) &gt; 0, (COUNTIF(AC18:AC37, "✓") + COUNTIF(AC18:AC37, "✔") + COUNTIF(AC18:AC37, "v") + COUNTIF(AC18:AC37, "V")) / ((COUNTIF(AC18:AC37, "✓") + COUNTIF(AC18:AC37, "✔") + COUNTIF(AC18:AC37, "v") + COUNTIF(AC18:AC37, "V")) + COUNTIF(AC18:AC37, "✗") + COUNTIF(AC18:AC37, "x") + COUNTIF(AC18:AC37, "X")), "")</f>
        <v/>
      </c>
      <c r="AD39" s="134">
        <f>IF(((COUNTIF(AD18:AD37, "✓") + COUNTIF(AD18:AD37, "✔") + COUNTIF(AD18:AD37, "v") + COUNTIF(AD18:AD37, "V")) + COUNTIF(AD18:AD37, "✗") + COUNTIF(AD18:AD37, "x") + COUNTIF(AD18:AD37, "X")) &gt; 0, (COUNTIF(AD18:AD37, "✓") + COUNTIF(AD18:AD37, "✔") + COUNTIF(AD18:AD37, "v") + COUNTIF(AD18:AD37, "V")) / ((COUNTIF(AD18:AD37, "✓") + COUNTIF(AD18:AD37, "✔") + COUNTIF(AD18:AD37, "v") + COUNTIF(AD18:AD37, "V")) + COUNTIF(AD18:AD37, "✗") + COUNTIF(AD18:AD37, "x") + COUNTIF(AD18:AD37, "X")), "")</f>
        <v/>
      </c>
      <c r="AE39" s="134">
        <f>IF(((COUNTIF(AE18:AE37, "✓") + COUNTIF(AE18:AE37, "✔") + COUNTIF(AE18:AE37, "v") + COUNTIF(AE18:AE37, "V")) + COUNTIF(AE18:AE37, "✗") + COUNTIF(AE18:AE37, "x") + COUNTIF(AE18:AE37, "X")) &gt; 0, (COUNTIF(AE18:AE37, "✓") + COUNTIF(AE18:AE37, "✔") + COUNTIF(AE18:AE37, "v") + COUNTIF(AE18:AE37, "V")) / ((COUNTIF(AE18:AE37, "✓") + COUNTIF(AE18:AE37, "✔") + COUNTIF(AE18:AE37, "v") + COUNTIF(AE18:AE37, "V")) + COUNTIF(AE18:AE37, "✗") + COUNTIF(AE18:AE37, "x") + COUNTIF(AE18:AE37, "X")), "")</f>
        <v/>
      </c>
      <c r="AF39" s="134">
        <f>IF(((COUNTIF(AF18:AF37, "✓") + COUNTIF(AF18:AF37, "✔") + COUNTIF(AF18:AF37, "v") + COUNTIF(AF18:AF37, "V")) + COUNTIF(AF18:AF37, "✗") + COUNTIF(AF18:AF37, "x") + COUNTIF(AF18:AF37, "X")) &gt; 0, (COUNTIF(AF18:AF37, "✓") + COUNTIF(AF18:AF37, "✔") + COUNTIF(AF18:AF37, "v") + COUNTIF(AF18:AF37, "V")) / ((COUNTIF(AF18:AF37, "✓") + COUNTIF(AF18:AF37, "✔") + COUNTIF(AF18:AF37, "v") + COUNTIF(AF18:AF37, "V")) + COUNTIF(AF18:AF37, "✗") + COUNTIF(AF18:AF37, "x") + COUNTIF(AF18:AF37, "X")), "")</f>
        <v/>
      </c>
      <c r="AG39" s="134">
        <f>IF(((COUNTIF(AG18:AG37, "✓") + COUNTIF(AG18:AG37, "✔") + COUNTIF(AG18:AG37, "v") + COUNTIF(AG18:AG37, "V")) + COUNTIF(AG18:AG37, "✗") + COUNTIF(AG18:AG37, "x") + COUNTIF(AG18:AG37, "X")) &gt; 0, (COUNTIF(AG18:AG37, "✓") + COUNTIF(AG18:AG37, "✔") + COUNTIF(AG18:AG37, "v") + COUNTIF(AG18:AG37, "V")) / ((COUNTIF(AG18:AG37, "✓") + COUNTIF(AG18:AG37, "✔") + COUNTIF(AG18:AG37, "v") + COUNTIF(AG18:AG37, "V")) + COUNTIF(AG18:AG37, "✗") + COUNTIF(AG18:AG37, "x") + COUNTIF(AG18:AG37, "X")), "")</f>
        <v/>
      </c>
      <c r="AH39" s="134">
        <f>IF(((COUNTIF(AH18:AH37, "✓") + COUNTIF(AH18:AH37, "✔") + COUNTIF(AH18:AH37, "v") + COUNTIF(AH18:AH37, "V")) + COUNTIF(AH18:AH37, "✗") + COUNTIF(AH18:AH37, "x") + COUNTIF(AH18:AH37, "X")) &gt; 0, (COUNTIF(AH18:AH37, "✓") + COUNTIF(AH18:AH37, "✔") + COUNTIF(AH18:AH37, "v") + COUNTIF(AH18:AH37, "V")) / ((COUNTIF(AH18:AH37, "✓") + COUNTIF(AH18:AH37, "✔") + COUNTIF(AH18:AH37, "v") + COUNTIF(AH18:AH37, "V")) + COUNTIF(AH18:AH37, "✗") + COUNTIF(AH18:AH37, "x") + COUNTIF(AH18:AH37, "X")), "")</f>
        <v/>
      </c>
      <c r="AI39" s="134">
        <f>IF(((COUNTIF(AI18:AI37, "✓") + COUNTIF(AI18:AI37, "✔") + COUNTIF(AI18:AI37, "v") + COUNTIF(AI18:AI37, "V")) + COUNTIF(AI18:AI37, "✗") + COUNTIF(AI18:AI37, "x") + COUNTIF(AI18:AI37, "X")) &gt; 0, (COUNTIF(AI18:AI37, "✓") + COUNTIF(AI18:AI37, "✔") + COUNTIF(AI18:AI37, "v") + COUNTIF(AI18:AI37, "V")) / ((COUNTIF(AI18:AI37, "✓") + COUNTIF(AI18:AI37, "✔") + COUNTIF(AI18:AI37, "v") + COUNTIF(AI18:AI37, "V")) + COUNTIF(AI18:AI37, "✗") + COUNTIF(AI18:AI37, "x") + COUNTIF(AI18:AI37, "X")), "")</f>
        <v/>
      </c>
      <c r="AJ39" s="133">
        <f>IF(COUNT(E39:AI39) &gt; 0, AVERAGE(E39:AI39), "")</f>
        <v/>
      </c>
      <c r="AK39" s="54" t="n"/>
      <c r="AL39" s="54" t="n"/>
    </row>
    <row r="40" ht="6" customHeight="1"/>
    <row r="41" ht="15" customHeight="1">
      <c r="A41" s="135" t="inlineStr">
        <is>
          <t>IF SUCCESS &lt; 80%, PUNISHMENT: ________________________________________________</t>
        </is>
      </c>
    </row>
    <row r="42" ht="15" customHeight="1">
      <c r="A42" s="136" t="inlineStr">
        <is>
          <t>IF SUCCESS &gt; 90%, REWARD: __________________________________________________</t>
        </is>
      </c>
    </row>
    <row r="43" ht="10" customHeight="1"/>
    <row r="44" ht="10" customHeight="1"/>
    <row r="45" ht="15" customHeight="1">
      <c r="A45" s="51" t="inlineStr">
        <is>
          <t>Sleep Tracking</t>
        </is>
      </c>
      <c r="B45" s="52" t="n"/>
      <c r="C45" s="52" t="n"/>
      <c r="D45" s="52" t="n"/>
      <c r="E45" s="137" t="n">
        <v>1</v>
      </c>
      <c r="F45" s="137" t="n">
        <v>2</v>
      </c>
      <c r="G45" s="137" t="n">
        <v>3</v>
      </c>
      <c r="H45" s="137" t="n">
        <v>4</v>
      </c>
      <c r="I45" s="137" t="n">
        <v>5</v>
      </c>
      <c r="J45" s="138" t="n">
        <v>6</v>
      </c>
      <c r="K45" s="137" t="n">
        <v>7</v>
      </c>
      <c r="L45" s="137" t="n">
        <v>8</v>
      </c>
      <c r="M45" s="137" t="n">
        <v>9</v>
      </c>
      <c r="N45" s="137" t="n">
        <v>10</v>
      </c>
      <c r="O45" s="137" t="n">
        <v>11</v>
      </c>
      <c r="P45" s="137" t="n">
        <v>12</v>
      </c>
      <c r="Q45" s="138" t="n">
        <v>13</v>
      </c>
      <c r="R45" s="137" t="n">
        <v>14</v>
      </c>
      <c r="S45" s="137" t="n">
        <v>15</v>
      </c>
      <c r="T45" s="137" t="n">
        <v>16</v>
      </c>
      <c r="U45" s="137" t="n">
        <v>17</v>
      </c>
      <c r="V45" s="137" t="n">
        <v>18</v>
      </c>
      <c r="W45" s="137" t="n">
        <v>19</v>
      </c>
      <c r="X45" s="138" t="n">
        <v>20</v>
      </c>
      <c r="Y45" s="137" t="n">
        <v>21</v>
      </c>
      <c r="Z45" s="137" t="n">
        <v>22</v>
      </c>
      <c r="AA45" s="137" t="n">
        <v>23</v>
      </c>
      <c r="AB45" s="137" t="n">
        <v>24</v>
      </c>
      <c r="AC45" s="137" t="n">
        <v>25</v>
      </c>
      <c r="AD45" s="137" t="n">
        <v>26</v>
      </c>
      <c r="AE45" s="138" t="n">
        <v>27</v>
      </c>
      <c r="AF45" s="137" t="n">
        <v>28</v>
      </c>
      <c r="AG45" s="137" t="n">
        <v>29</v>
      </c>
      <c r="AH45" s="137" t="n">
        <v>30</v>
      </c>
      <c r="AI45" s="137" t="n">
        <v>31</v>
      </c>
    </row>
    <row r="46" ht="15" customHeight="1">
      <c r="A46" s="52" t="n"/>
      <c r="B46" s="52" t="n"/>
      <c r="C46" s="52" t="n"/>
      <c r="D46" s="52" t="n"/>
      <c r="E46" s="139" t="inlineStr">
        <is>
          <t>T</t>
        </is>
      </c>
      <c r="F46" s="139" t="inlineStr">
        <is>
          <t>W</t>
        </is>
      </c>
      <c r="G46" s="139" t="inlineStr">
        <is>
          <t>Th</t>
        </is>
      </c>
      <c r="H46" s="139" t="inlineStr">
        <is>
          <t>F</t>
        </is>
      </c>
      <c r="I46" s="139" t="inlineStr">
        <is>
          <t>Sa</t>
        </is>
      </c>
      <c r="J46" s="140" t="inlineStr">
        <is>
          <t>Su</t>
        </is>
      </c>
      <c r="K46" s="139" t="inlineStr">
        <is>
          <t>M</t>
        </is>
      </c>
      <c r="L46" s="139" t="inlineStr">
        <is>
          <t>T</t>
        </is>
      </c>
      <c r="M46" s="139" t="inlineStr">
        <is>
          <t>W</t>
        </is>
      </c>
      <c r="N46" s="139" t="inlineStr">
        <is>
          <t>Th</t>
        </is>
      </c>
      <c r="O46" s="139" t="inlineStr">
        <is>
          <t>F</t>
        </is>
      </c>
      <c r="P46" s="139" t="inlineStr">
        <is>
          <t>Sa</t>
        </is>
      </c>
      <c r="Q46" s="140" t="inlineStr">
        <is>
          <t>Su</t>
        </is>
      </c>
      <c r="R46" s="139" t="inlineStr">
        <is>
          <t>M</t>
        </is>
      </c>
      <c r="S46" s="139" t="inlineStr">
        <is>
          <t>T</t>
        </is>
      </c>
      <c r="T46" s="139" t="inlineStr">
        <is>
          <t>W</t>
        </is>
      </c>
      <c r="U46" s="139" t="inlineStr">
        <is>
          <t>Th</t>
        </is>
      </c>
      <c r="V46" s="139" t="inlineStr">
        <is>
          <t>F</t>
        </is>
      </c>
      <c r="W46" s="139" t="inlineStr">
        <is>
          <t>Sa</t>
        </is>
      </c>
      <c r="X46" s="140" t="inlineStr">
        <is>
          <t>Su</t>
        </is>
      </c>
      <c r="Y46" s="139" t="inlineStr">
        <is>
          <t>M</t>
        </is>
      </c>
      <c r="Z46" s="139" t="inlineStr">
        <is>
          <t>T</t>
        </is>
      </c>
      <c r="AA46" s="139" t="inlineStr">
        <is>
          <t>W</t>
        </is>
      </c>
      <c r="AB46" s="139" t="inlineStr">
        <is>
          <t>Th</t>
        </is>
      </c>
      <c r="AC46" s="139" t="inlineStr">
        <is>
          <t>F</t>
        </is>
      </c>
      <c r="AD46" s="139" t="inlineStr">
        <is>
          <t>Sa</t>
        </is>
      </c>
      <c r="AE46" s="140" t="inlineStr">
        <is>
          <t>Su</t>
        </is>
      </c>
      <c r="AF46" s="139" t="inlineStr">
        <is>
          <t>M</t>
        </is>
      </c>
      <c r="AG46" s="139" t="inlineStr">
        <is>
          <t>T</t>
        </is>
      </c>
      <c r="AH46" s="139" t="inlineStr">
        <is>
          <t>W</t>
        </is>
      </c>
      <c r="AI46" s="139" t="inlineStr">
        <is>
          <t>Th</t>
        </is>
      </c>
    </row>
    <row r="47" ht="20" customHeight="1">
      <c r="A47" s="141" t="inlineStr">
        <is>
          <t>Sleep Hours (1-24)</t>
        </is>
      </c>
      <c r="B47" s="142" t="n"/>
      <c r="C47" s="142" t="n"/>
      <c r="D47" s="142" t="n"/>
      <c r="E47" s="143" t="n"/>
      <c r="F47" s="143" t="n"/>
      <c r="G47" s="143" t="n"/>
      <c r="H47" s="143" t="n"/>
      <c r="I47" s="143" t="n"/>
      <c r="J47" s="144" t="n"/>
      <c r="K47" s="143" t="n"/>
      <c r="L47" s="143" t="n"/>
      <c r="M47" s="143" t="n"/>
      <c r="N47" s="143" t="n"/>
      <c r="O47" s="143" t="n"/>
      <c r="P47" s="143" t="n"/>
      <c r="Q47" s="144" t="n"/>
      <c r="R47" s="143" t="n"/>
      <c r="S47" s="143" t="n"/>
      <c r="T47" s="143" t="n"/>
      <c r="U47" s="143" t="n"/>
      <c r="V47" s="143" t="n"/>
      <c r="W47" s="143" t="n"/>
      <c r="X47" s="144" t="n"/>
      <c r="Y47" s="143" t="n"/>
      <c r="Z47" s="143" t="n"/>
      <c r="AA47" s="143" t="n"/>
      <c r="AB47" s="143" t="n"/>
      <c r="AC47" s="143" t="n"/>
      <c r="AD47" s="143" t="n"/>
      <c r="AE47" s="144" t="n"/>
      <c r="AF47" s="143" t="n"/>
      <c r="AG47" s="143" t="n"/>
      <c r="AH47" s="143" t="n"/>
      <c r="AI47" s="143" t="n"/>
    </row>
    <row r="48" ht="6" customHeight="1"/>
    <row r="49" ht="14" customHeight="1"/>
    <row r="50" ht="14" customHeight="1"/>
    <row r="51" ht="14" customHeight="1"/>
    <row r="52" ht="14" customHeight="1"/>
    <row r="53" ht="14" customHeight="1"/>
    <row r="54" ht="14" customHeight="1"/>
    <row r="55" ht="14" customHeight="1"/>
    <row r="56" ht="14" customHeight="1"/>
    <row r="57" ht="14" customHeight="1"/>
    <row r="58" ht="14" customHeight="1"/>
    <row r="59" ht="14" customHeight="1"/>
    <row r="60" ht="14" customHeight="1"/>
    <row r="61" ht="14" customHeight="1"/>
    <row r="62" ht="14" customHeight="1"/>
    <row r="63" ht="14" customHeight="1"/>
    <row r="64" ht="14" customHeight="1"/>
    <row r="65" ht="14" customHeight="1"/>
    <row r="66" ht="8" customHeight="1"/>
    <row r="67">
      <c r="A67" s="145" t="inlineStr">
        <is>
          <t>MONTHLY SUCCESS RATE</t>
        </is>
      </c>
      <c r="B67" s="9" t="n"/>
      <c r="C67" s="9" t="n"/>
      <c r="D67" s="9" t="n"/>
      <c r="F67" s="146" t="inlineStr">
        <is>
          <t>ACTIVE PROTOCOLS</t>
        </is>
      </c>
      <c r="G67" s="11" t="n"/>
      <c r="H67" s="11" t="n"/>
      <c r="I67" s="11" t="n"/>
      <c r="K67" s="147" t="inlineStr">
        <is>
          <t>PERFECT DAYS (100%)</t>
        </is>
      </c>
      <c r="L67" s="13" t="n"/>
      <c r="M67" s="13" t="n"/>
      <c r="N67" s="13" t="n"/>
      <c r="P67" s="148" t="inlineStr">
        <is>
          <t>AVG SLEEP DURATION</t>
        </is>
      </c>
      <c r="Q67" s="15" t="n"/>
      <c r="R67" s="15" t="n"/>
      <c r="S67" s="15" t="n"/>
    </row>
    <row r="68">
      <c r="A68" s="149">
        <f>IF(SUM(D18:D37)&gt;0, SUM(AM18:AM37)/SUM(D18:D37), 0)</f>
        <v/>
      </c>
      <c r="B68" s="9" t="n"/>
      <c r="C68" s="9" t="n"/>
      <c r="D68" s="9" t="n"/>
      <c r="F68" s="150">
        <f>COUNTA(B18:B37) &amp; " / 20"</f>
        <v/>
      </c>
      <c r="G68" s="11" t="n"/>
      <c r="H68" s="11" t="n"/>
      <c r="I68" s="11" t="n"/>
      <c r="K68" s="151">
        <f>COUNTIF(E39:AI39, 1) &amp; " Days"</f>
        <v/>
      </c>
      <c r="L68" s="13" t="n"/>
      <c r="M68" s="13" t="n"/>
      <c r="N68" s="13" t="n"/>
      <c r="P68" s="152">
        <f>IFERROR(TEXT(AVERAGE(E47:AI47), "0.0") &amp; " hrs", "-")</f>
        <v/>
      </c>
      <c r="Q68" s="15" t="n"/>
      <c r="R68" s="15" t="n"/>
      <c r="S68" s="15" t="n"/>
    </row>
    <row r="69">
      <c r="A69" s="9" t="n"/>
      <c r="B69" s="9" t="n"/>
      <c r="C69" s="9" t="n"/>
      <c r="D69" s="9" t="n"/>
      <c r="F69" s="11" t="n"/>
      <c r="G69" s="11" t="n"/>
      <c r="H69" s="11" t="n"/>
      <c r="I69" s="11" t="n"/>
      <c r="K69" s="13" t="n"/>
      <c r="L69" s="13" t="n"/>
      <c r="M69" s="13" t="n"/>
      <c r="N69" s="13" t="n"/>
      <c r="P69" s="15" t="n"/>
      <c r="Q69" s="15" t="n"/>
      <c r="R69" s="15" t="n"/>
      <c r="S69" s="15" t="n"/>
    </row>
    <row r="70">
      <c r="A70" s="9" t="n"/>
      <c r="B70" s="9" t="n"/>
      <c r="C70" s="9" t="n"/>
      <c r="D70" s="9" t="n"/>
      <c r="F70" s="11" t="n"/>
      <c r="G70" s="11" t="n"/>
      <c r="H70" s="11" t="n"/>
      <c r="I70" s="11" t="n"/>
      <c r="K70" s="13" t="n"/>
      <c r="L70" s="13" t="n"/>
      <c r="M70" s="13" t="n"/>
      <c r="N70" s="13" t="n"/>
      <c r="P70" s="15" t="n"/>
      <c r="Q70" s="15" t="n"/>
      <c r="R70" s="15" t="n"/>
      <c r="S70" s="15" t="n"/>
    </row>
    <row r="71">
      <c r="A71" s="153" t="inlineStr">
        <is>
          <t>Target Completion</t>
        </is>
      </c>
      <c r="B71" s="9" t="n"/>
      <c r="C71" s="9" t="n"/>
      <c r="D71" s="9" t="n"/>
      <c r="F71" s="154" t="inlineStr">
        <is>
          <t>Habits Tracked</t>
        </is>
      </c>
      <c r="G71" s="11" t="n"/>
      <c r="H71" s="11" t="n"/>
      <c r="I71" s="11" t="n"/>
      <c r="K71" s="155" t="inlineStr">
        <is>
          <t>All Marked Habits Completed</t>
        </is>
      </c>
      <c r="L71" s="13" t="n"/>
      <c r="M71" s="13" t="n"/>
      <c r="N71" s="13" t="n"/>
      <c r="P71" s="156" t="inlineStr">
        <is>
          <t>Nightly Rest Average</t>
        </is>
      </c>
      <c r="Q71" s="15" t="n"/>
      <c r="R71" s="15" t="n"/>
      <c r="S71" s="15" t="n"/>
    </row>
    <row r="72" ht="8" customHeight="1"/>
    <row r="73" ht="6" customHeight="1"/>
    <row r="74">
      <c r="A74" s="67" t="inlineStr">
        <is>
          <t>WEEKLY PERFORMANCE (SLUMP DETECTOR)</t>
        </is>
      </c>
      <c r="B74" s="29" t="n"/>
      <c r="C74" s="29" t="n"/>
      <c r="D74" s="29" t="n"/>
      <c r="E74" s="29" t="n"/>
      <c r="N74" s="157" t="inlineStr">
        <is>
          <t>LIFE DOMAIN / CATEGORY BREAKDOWN</t>
        </is>
      </c>
      <c r="O74" s="158" t="n"/>
      <c r="P74" s="158" t="n"/>
      <c r="Q74" s="158" t="n"/>
      <c r="R74" s="158" t="n"/>
      <c r="S74" s="158" t="n"/>
    </row>
    <row r="75" ht="15" customHeight="1">
      <c r="A75" s="53" t="inlineStr">
        <is>
          <t>Week</t>
        </is>
      </c>
      <c r="B75" s="53" t="inlineStr">
        <is>
          <t>Days Range</t>
        </is>
      </c>
      <c r="C75" s="53" t="inlineStr">
        <is>
          <t>Checks Done</t>
        </is>
      </c>
      <c r="D75" s="53" t="inlineStr">
        <is>
          <t>Evaluated</t>
        </is>
      </c>
      <c r="E75" s="53" t="inlineStr">
        <is>
          <t>Success %</t>
        </is>
      </c>
      <c r="N75" s="53" t="inlineStr">
        <is>
          <t>Domain / Category</t>
        </is>
      </c>
      <c r="O75" s="54" t="n"/>
      <c r="P75" s="53" t="inlineStr">
        <is>
          <t>Active Habits</t>
        </is>
      </c>
      <c r="Q75" s="53" t="inlineStr">
        <is>
          <t>Target Days</t>
        </is>
      </c>
      <c r="R75" s="53" t="inlineStr">
        <is>
          <t>Done Checks</t>
        </is>
      </c>
      <c r="S75" s="53" t="inlineStr">
        <is>
          <t>Success %</t>
        </is>
      </c>
    </row>
    <row r="76" ht="14" customHeight="1">
      <c r="A76" s="33" t="inlineStr">
        <is>
          <t>Week 1</t>
        </is>
      </c>
      <c r="B76" s="34" t="inlineStr">
        <is>
          <t>Days 1 - 7</t>
        </is>
      </c>
      <c r="C76" s="34">
        <f>COUNTIF(E18:K37, "✓")</f>
        <v/>
      </c>
      <c r="D76" s="34">
        <f>COUNTIF(E18:K37, "✓") + COUNTIF(E18:K37, "✗")</f>
        <v/>
      </c>
      <c r="E76" s="35">
        <f>IFERROR(C76/D76, 0)</f>
        <v/>
      </c>
      <c r="N76" s="60" t="inlineStr">
        <is>
          <t>Health &amp; Fitness</t>
        </is>
      </c>
      <c r="O76" s="54" t="n"/>
      <c r="P76" s="34">
        <f>COUNTIF($C$18:$C$37, "Health &amp; Fitness")</f>
        <v/>
      </c>
      <c r="Q76" s="34">
        <f>SUMIF($C$18:$C$37, "Health &amp; Fitness", $D$18:$D$37)</f>
        <v/>
      </c>
      <c r="R76" s="34">
        <f>SUMIF($C$18:$C$37, "Health &amp; Fitness", $AM$18:$AM$37)</f>
        <v/>
      </c>
      <c r="S76" s="35">
        <f>IFERROR(R76/Q76, 0)</f>
        <v/>
      </c>
    </row>
    <row r="77" ht="14" customHeight="1">
      <c r="A77" s="33" t="inlineStr">
        <is>
          <t>Week 2</t>
        </is>
      </c>
      <c r="B77" s="34" t="inlineStr">
        <is>
          <t>Days 8 - 14</t>
        </is>
      </c>
      <c r="C77" s="34">
        <f>COUNTIF(L18:R37, "✓")</f>
        <v/>
      </c>
      <c r="D77" s="34">
        <f>COUNTIF(L18:R37, "✓") + COUNTIF(L18:R37, "✗")</f>
        <v/>
      </c>
      <c r="E77" s="35">
        <f>IFERROR(C77/D77, 0)</f>
        <v/>
      </c>
      <c r="N77" s="60" t="inlineStr">
        <is>
          <t>Mindset &amp; Learning</t>
        </is>
      </c>
      <c r="O77" s="54" t="n"/>
      <c r="P77" s="34">
        <f>COUNTIF($C$18:$C$37, "Mindset &amp; Learning")</f>
        <v/>
      </c>
      <c r="Q77" s="34">
        <f>SUMIF($C$18:$C$37, "Mindset &amp; Learning", $D$18:$D$37)</f>
        <v/>
      </c>
      <c r="R77" s="34">
        <f>SUMIF($C$18:$C$37, "Mindset &amp; Learning", $AM$18:$AM$37)</f>
        <v/>
      </c>
      <c r="S77" s="35">
        <f>IFERROR(R77/Q77, 0)</f>
        <v/>
      </c>
    </row>
    <row r="78" ht="14" customHeight="1">
      <c r="A78" s="33" t="inlineStr">
        <is>
          <t>Week 3</t>
        </is>
      </c>
      <c r="B78" s="34" t="inlineStr">
        <is>
          <t>Days 15 - 21</t>
        </is>
      </c>
      <c r="C78" s="34">
        <f>COUNTIF(S18:Y37, "✓")</f>
        <v/>
      </c>
      <c r="D78" s="34">
        <f>COUNTIF(S18:Y37, "✓") + COUNTIF(S18:Y37, "✗")</f>
        <v/>
      </c>
      <c r="E78" s="35">
        <f>IFERROR(C78/D78, 0)</f>
        <v/>
      </c>
      <c r="N78" s="60" t="inlineStr">
        <is>
          <t>Career &amp; Focus</t>
        </is>
      </c>
      <c r="O78" s="54" t="n"/>
      <c r="P78" s="34">
        <f>COUNTIF($C$18:$C$37, "Career &amp; Focus")</f>
        <v/>
      </c>
      <c r="Q78" s="34">
        <f>SUMIF($C$18:$C$37, "Career &amp; Focus", $D$18:$D$37)</f>
        <v/>
      </c>
      <c r="R78" s="34">
        <f>SUMIF($C$18:$C$37, "Career &amp; Focus", $AM$18:$AM$37)</f>
        <v/>
      </c>
      <c r="S78" s="35">
        <f>IFERROR(R78/Q78, 0)</f>
        <v/>
      </c>
    </row>
    <row r="79" ht="14" customHeight="1">
      <c r="A79" s="33" t="inlineStr">
        <is>
          <t>Week 4</t>
        </is>
      </c>
      <c r="B79" s="34" t="inlineStr">
        <is>
          <t>Days 22 - 28</t>
        </is>
      </c>
      <c r="C79" s="34">
        <f>COUNTIF(Z18:AF37, "✓")</f>
        <v/>
      </c>
      <c r="D79" s="34">
        <f>COUNTIF(Z18:AF37, "✓") + COUNTIF(Z18:AF37, "✗")</f>
        <v/>
      </c>
      <c r="E79" s="35">
        <f>IFERROR(C79/D79, 0)</f>
        <v/>
      </c>
      <c r="N79" s="60" t="inlineStr">
        <is>
          <t>Personal &amp; Home</t>
        </is>
      </c>
      <c r="O79" s="54" t="n"/>
      <c r="P79" s="34">
        <f>COUNTIF($C$18:$C$37, "Personal &amp; Home")</f>
        <v/>
      </c>
      <c r="Q79" s="34">
        <f>SUMIF($C$18:$C$37, "Personal &amp; Home", $D$18:$D$37)</f>
        <v/>
      </c>
      <c r="R79" s="34">
        <f>SUMIF($C$18:$C$37, "Personal &amp; Home", $AM$18:$AM$37)</f>
        <v/>
      </c>
      <c r="S79" s="35">
        <f>IFERROR(R79/Q79, 0)</f>
        <v/>
      </c>
    </row>
    <row r="80" ht="14" customHeight="1">
      <c r="A80" s="33" t="inlineStr">
        <is>
          <t>Week 5</t>
        </is>
      </c>
      <c r="B80" s="34" t="inlineStr">
        <is>
          <t>Days 29 - 31</t>
        </is>
      </c>
      <c r="C80" s="34">
        <f>COUNTIF(AG18:AI37, "✓")</f>
        <v/>
      </c>
      <c r="D80" s="34">
        <f>COUNTIF(AG18:AI37, "✓") + COUNTIF(AG18:AI37, "✗")</f>
        <v/>
      </c>
      <c r="E80" s="35">
        <f>IFERROR(C80/D80, 0)</f>
        <v/>
      </c>
      <c r="N80" s="60" t="inlineStr">
        <is>
          <t>Finance &amp; Wealth</t>
        </is>
      </c>
      <c r="O80" s="54" t="n"/>
      <c r="P80" s="34">
        <f>COUNTIF($C$18:$C$37, "Finance &amp; Wealth")</f>
        <v/>
      </c>
      <c r="Q80" s="34">
        <f>SUMIF($C$18:$C$37, "Finance &amp; Wealth", $D$18:$D$37)</f>
        <v/>
      </c>
      <c r="R80" s="34">
        <f>SUMIF($C$18:$C$37, "Finance &amp; Wealth", $AM$18:$AM$37)</f>
        <v/>
      </c>
      <c r="S80" s="35">
        <f>IFERROR(R80/Q80, 0)</f>
        <v/>
      </c>
    </row>
    <row r="81" ht="14" customHeight="1">
      <c r="A81" s="33" t="inlineStr">
        <is>
          <t>Total / Avg</t>
        </is>
      </c>
      <c r="B81" s="159" t="inlineStr">
        <is>
          <t>Month Total</t>
        </is>
      </c>
      <c r="C81" s="33">
        <f>SUM(C76:C80)</f>
        <v/>
      </c>
      <c r="D81" s="33">
        <f>SUM(D76:D80)</f>
        <v/>
      </c>
      <c r="E81" s="133">
        <f>IFERROR(C81/D81, 0)</f>
        <v/>
      </c>
    </row>
    <row r="82" ht="10" customHeight="1"/>
    <row r="83" ht="10" customHeight="1"/>
    <row r="84">
      <c r="A84" s="51" t="inlineStr">
        <is>
          <t>SLEEP &amp; PRODUCTIVITY CORRELATION ANALYSIS</t>
        </is>
      </c>
      <c r="B84" s="52" t="n"/>
      <c r="C84" s="52" t="n"/>
      <c r="D84" s="52" t="n"/>
      <c r="E84" s="52" t="n"/>
      <c r="F84" s="52" t="n"/>
      <c r="G84" s="52" t="n"/>
      <c r="H84" s="52" t="n"/>
      <c r="I84" s="52" t="n"/>
      <c r="J84" s="52" t="n"/>
      <c r="K84" s="52" t="n"/>
      <c r="L84" s="52" t="n"/>
      <c r="M84" s="52" t="n"/>
      <c r="N84" s="52" t="n"/>
      <c r="O84" s="52" t="n"/>
      <c r="P84" s="52" t="n"/>
      <c r="Q84" s="52" t="n"/>
      <c r="R84" s="52" t="n"/>
      <c r="S84" s="52" t="n"/>
      <c r="T84" s="52" t="n"/>
      <c r="U84" s="52" t="n"/>
      <c r="V84" s="52" t="n"/>
      <c r="W84" s="52" t="n"/>
      <c r="X84" s="52" t="n"/>
      <c r="Y84" s="52" t="n"/>
      <c r="Z84" s="52" t="n"/>
      <c r="AA84" s="52" t="n"/>
      <c r="AB84" s="52" t="n"/>
      <c r="AC84" s="52" t="n"/>
      <c r="AD84" s="52" t="n"/>
      <c r="AE84" s="52" t="n"/>
      <c r="AF84" s="52" t="n"/>
      <c r="AG84" s="52" t="n"/>
      <c r="AH84" s="52" t="n"/>
      <c r="AI84" s="52" t="n"/>
      <c r="AJ84" s="52" t="n"/>
      <c r="AK84" s="52" t="n"/>
      <c r="AL84" s="52" t="n"/>
    </row>
    <row r="85" ht="15" customHeight="1">
      <c r="A85" s="53" t="inlineStr">
        <is>
          <t>Rest Category</t>
        </is>
      </c>
      <c r="B85" s="54" t="n"/>
      <c r="C85" s="54" t="n"/>
      <c r="D85" s="53" t="inlineStr">
        <is>
          <t>Day Criteria</t>
        </is>
      </c>
      <c r="E85" s="54" t="n"/>
      <c r="F85" s="54" t="n"/>
      <c r="G85" s="53" t="inlineStr">
        <is>
          <t>Days Logged</t>
        </is>
      </c>
      <c r="H85" s="54" t="n"/>
      <c r="I85" s="54" t="n"/>
      <c r="J85" s="53" t="inlineStr">
        <is>
          <t>Avg Sleep Duration</t>
        </is>
      </c>
      <c r="K85" s="54" t="n"/>
      <c r="L85" s="54" t="n"/>
      <c r="M85" s="54" t="n"/>
      <c r="N85" s="53" t="inlineStr">
        <is>
          <t>Avg Habit Success %</t>
        </is>
      </c>
      <c r="O85" s="54" t="n"/>
      <c r="P85" s="54" t="n"/>
      <c r="Q85" s="54" t="n"/>
      <c r="R85" s="53" t="inlineStr">
        <is>
          <t>Productivity Delta</t>
        </is>
      </c>
      <c r="S85" s="54" t="n"/>
      <c r="T85" s="54" t="n"/>
      <c r="U85" s="54" t="n"/>
    </row>
    <row r="86" ht="15" customHeight="1">
      <c r="A86" s="160" t="inlineStr">
        <is>
          <t>Optimal Rest</t>
        </is>
      </c>
      <c r="B86" s="161" t="n"/>
      <c r="C86" s="56" t="n"/>
      <c r="D86" s="34" t="inlineStr">
        <is>
          <t>&gt;= 7 Hours / Night</t>
        </is>
      </c>
      <c r="E86" s="161" t="n"/>
      <c r="F86" s="56" t="n"/>
      <c r="G86" s="33">
        <f>COUNTIF(E47:AI47, "&gt;=7")</f>
        <v/>
      </c>
      <c r="H86" s="161" t="n"/>
      <c r="I86" s="56" t="n"/>
      <c r="J86" s="34">
        <f>IFERROR(TEXT(AVERAGEIF(E47:AI47, "&gt;=7"), "0.0") &amp; " hrs", "-")</f>
        <v/>
      </c>
      <c r="K86" s="161" t="n"/>
      <c r="L86" s="161" t="n"/>
      <c r="M86" s="56" t="n"/>
      <c r="N86" s="42">
        <f>IFERROR(AVERAGEIFS(E39:AI39, E47:AI47, "&gt;=7", E39:AI39, "&gt;0"), 0)</f>
        <v/>
      </c>
      <c r="O86" s="161" t="n"/>
      <c r="P86" s="161" t="n"/>
      <c r="Q86" s="56" t="n"/>
      <c r="R86" s="159" t="inlineStr">
        <is>
          <t>Baseline (Target)</t>
        </is>
      </c>
      <c r="S86" s="161" t="n"/>
      <c r="T86" s="161" t="n"/>
      <c r="U86" s="56" t="n"/>
    </row>
    <row r="87" ht="15" customHeight="1">
      <c r="A87" s="162" t="inlineStr">
        <is>
          <t>Sleep Deficit</t>
        </is>
      </c>
      <c r="B87" s="161" t="n"/>
      <c r="C87" s="56" t="n"/>
      <c r="D87" s="34" t="inlineStr">
        <is>
          <t>&lt; 7 Hours / Night</t>
        </is>
      </c>
      <c r="E87" s="161" t="n"/>
      <c r="F87" s="56" t="n"/>
      <c r="G87" s="33">
        <f>COUNTIF(E47:AI47, "&lt;7") - COUNTIF(E47:AI47, "")</f>
        <v/>
      </c>
      <c r="H87" s="161" t="n"/>
      <c r="I87" s="56" t="n"/>
      <c r="J87" s="34">
        <f>IFERROR(TEXT(AVERAGEIFS(E47:AI47, E47:AI47, "&lt;7", E47:AI47, "&gt;0"), "0.0") &amp; " hrs", "-")</f>
        <v/>
      </c>
      <c r="K87" s="161" t="n"/>
      <c r="L87" s="161" t="n"/>
      <c r="M87" s="56" t="n"/>
      <c r="N87" s="163">
        <f>IFERROR(AVERAGEIFS(E39:AI39, E47:AI47, "&lt;7", E39:AI39, "&gt;0"), 0)</f>
        <v/>
      </c>
      <c r="O87" s="161" t="n"/>
      <c r="P87" s="161" t="n"/>
      <c r="Q87" s="56" t="n"/>
      <c r="R87" s="160">
        <f>IFERROR(TEXT(N86 - N87, "+0.0%;-0.0%;0.0%") &amp; " Rest Advantage", "-")</f>
        <v/>
      </c>
      <c r="S87" s="161" t="n"/>
      <c r="T87" s="161" t="n"/>
      <c r="U87" s="56" t="n"/>
    </row>
    <row r="88" ht="18" customHeight="1">
      <c r="A88" s="164">
        <f>IF(AND(ISNUMBER(N86), ISNUMBER(N87), N86&gt;0, N87&gt;0), "💡 Sleep Correlation Insight: You complete " &amp; TEXT(ABS(N86-N87), "0.0%") &amp; IF(N86&gt;=N87, " MORE habits on days with 7+ hours of sleep!", " fewer habits on days with 7+ hours of sleep."), "💡 Log both habits and sleep hours daily to unlock automatic AI correlation insights!")</f>
        <v/>
      </c>
      <c r="B88" s="161" t="n"/>
      <c r="C88" s="161" t="n"/>
      <c r="D88" s="161" t="n"/>
      <c r="E88" s="161" t="n"/>
      <c r="F88" s="161" t="n"/>
      <c r="G88" s="161" t="n"/>
      <c r="H88" s="161" t="n"/>
      <c r="I88" s="161" t="n"/>
      <c r="J88" s="161" t="n"/>
      <c r="K88" s="161" t="n"/>
      <c r="L88" s="161" t="n"/>
      <c r="M88" s="161" t="n"/>
      <c r="N88" s="161" t="n"/>
      <c r="O88" s="161" t="n"/>
      <c r="P88" s="161" t="n"/>
      <c r="Q88" s="161" t="n"/>
      <c r="R88" s="161" t="n"/>
      <c r="S88" s="161" t="n"/>
      <c r="T88" s="161" t="n"/>
      <c r="U88" s="161" t="n"/>
      <c r="V88" s="161" t="n"/>
      <c r="W88" s="161" t="n"/>
      <c r="X88" s="161" t="n"/>
      <c r="Y88" s="161" t="n"/>
      <c r="Z88" s="161" t="n"/>
      <c r="AA88" s="161" t="n"/>
      <c r="AB88" s="161" t="n"/>
      <c r="AC88" s="161" t="n"/>
      <c r="AD88" s="161" t="n"/>
      <c r="AE88" s="161" t="n"/>
      <c r="AF88" s="161" t="n"/>
      <c r="AG88" s="161" t="n"/>
      <c r="AH88" s="161" t="n"/>
      <c r="AI88" s="161" t="n"/>
      <c r="AJ88" s="161" t="n"/>
      <c r="AK88" s="161" t="n"/>
      <c r="AL88" s="56" t="n"/>
    </row>
    <row r="89" ht="10" customHeight="1"/>
    <row r="90">
      <c r="A90" s="43" t="inlineStr">
        <is>
          <t>STANDARDIZED DATA BRIDGE (FOR ANNUAL &amp; QUARTERLY REVIEW SHEETS)</t>
        </is>
      </c>
      <c r="B90" s="44" t="n"/>
      <c r="C90" s="44" t="n"/>
      <c r="D90" s="44" t="n"/>
      <c r="E90" s="44" t="n"/>
      <c r="F90" s="44" t="n"/>
      <c r="G90" s="44" t="n"/>
      <c r="H90" s="44" t="n"/>
      <c r="I90" s="44" t="n"/>
      <c r="J90" s="44" t="n"/>
      <c r="K90" s="44" t="n"/>
      <c r="L90" s="44" t="n"/>
      <c r="M90" s="44" t="n"/>
      <c r="N90" s="44" t="n"/>
      <c r="O90" s="44" t="n"/>
      <c r="P90" s="44" t="n"/>
      <c r="Q90" s="44" t="n"/>
      <c r="R90" s="44" t="n"/>
      <c r="S90" s="44" t="n"/>
      <c r="T90" s="44" t="n"/>
      <c r="U90" s="44" t="n"/>
      <c r="V90" s="44" t="n"/>
      <c r="W90" s="44" t="n"/>
      <c r="X90" s="44" t="n"/>
      <c r="Y90" s="44" t="n"/>
      <c r="Z90" s="44" t="n"/>
      <c r="AA90" s="44" t="n"/>
      <c r="AB90" s="44" t="n"/>
      <c r="AC90" s="44" t="n"/>
      <c r="AD90" s="44" t="n"/>
      <c r="AE90" s="44" t="n"/>
      <c r="AF90" s="44" t="n"/>
      <c r="AG90" s="44" t="n"/>
      <c r="AH90" s="44" t="n"/>
      <c r="AI90" s="44" t="n"/>
      <c r="AJ90" s="44" t="n"/>
      <c r="AK90" s="44" t="n"/>
      <c r="AL90" s="44" t="n"/>
    </row>
    <row r="91" ht="15" customHeight="1">
      <c r="A91" s="53" t="inlineStr">
        <is>
          <t>Month</t>
        </is>
      </c>
      <c r="B91" s="54" t="n"/>
      <c r="C91" s="53" t="inlineStr">
        <is>
          <t>Year</t>
        </is>
      </c>
      <c r="D91" s="54" t="n"/>
      <c r="E91" s="53" t="inlineStr">
        <is>
          <t>Active Habits</t>
        </is>
      </c>
      <c r="F91" s="54" t="n"/>
      <c r="G91" s="53" t="inlineStr">
        <is>
          <t>Target Days</t>
        </is>
      </c>
      <c r="H91" s="54" t="n"/>
      <c r="I91" s="53" t="inlineStr">
        <is>
          <t>Done Checks</t>
        </is>
      </c>
      <c r="J91" s="54" t="n"/>
      <c r="K91" s="53" t="inlineStr">
        <is>
          <t>Success %</t>
        </is>
      </c>
      <c r="L91" s="54" t="n"/>
      <c r="M91" s="53" t="inlineStr">
        <is>
          <t>Perfect Days</t>
        </is>
      </c>
      <c r="N91" s="54" t="n"/>
      <c r="O91" s="53" t="inlineStr">
        <is>
          <t>Avg Sleep</t>
        </is>
      </c>
      <c r="P91" s="54" t="n"/>
      <c r="Q91" s="53" t="inlineStr">
        <is>
          <t>Best Week</t>
        </is>
      </c>
      <c r="R91" s="54" t="n"/>
      <c r="S91" s="54" t="n"/>
      <c r="T91" s="53" t="inlineStr">
        <is>
          <t>Top Life Domain</t>
        </is>
      </c>
      <c r="U91" s="54" t="n"/>
      <c r="V91" s="54" t="n"/>
      <c r="W91" s="54" t="n"/>
    </row>
    <row r="92" ht="16" customHeight="1">
      <c r="A92" s="165" t="inlineStr">
        <is>
          <t>Oct</t>
        </is>
      </c>
      <c r="B92" s="56" t="n"/>
      <c r="C92" s="165" t="n">
        <v>2030</v>
      </c>
      <c r="D92" s="56" t="n"/>
      <c r="E92" s="166">
        <f>COUNTA(B18:B37)</f>
        <v/>
      </c>
      <c r="F92" s="56" t="n"/>
      <c r="G92" s="166">
        <f>SUM(D18:D37)</f>
        <v/>
      </c>
      <c r="H92" s="56" t="n"/>
      <c r="I92" s="166">
        <f>SUM(AM18:AM37)</f>
        <v/>
      </c>
      <c r="J92" s="56" t="n"/>
      <c r="K92" s="167">
        <f>IF(G92&gt;0, I92/G92, 0)</f>
        <v/>
      </c>
      <c r="L92" s="56" t="n"/>
      <c r="M92" s="166">
        <f>COUNTIF(E39:AI39, 1)</f>
        <v/>
      </c>
      <c r="N92" s="56" t="n"/>
      <c r="O92" s="168">
        <f>IFERROR(AVERAGE(E47:AI47), 0)</f>
        <v/>
      </c>
      <c r="P92" s="56" t="n"/>
      <c r="Q92" s="166">
        <f>INDEX(A76:A80, MATCH(MAX(E76:E80), E76:E80, 0))</f>
        <v/>
      </c>
      <c r="R92" s="161" t="n"/>
      <c r="S92" s="56" t="n"/>
      <c r="T92" s="166">
        <f>INDEX(N76:N80, MATCH(MAX(S76:S80), S76:S80, 0))</f>
        <v/>
      </c>
      <c r="U92" s="161" t="n"/>
      <c r="V92" s="161" t="n"/>
      <c r="W92" s="56" t="n"/>
    </row>
    <row r="93" ht="14" customHeight="1">
      <c r="A93" s="169" t="inlineStr">
        <is>
          <t>📋 Note: Reference or copy Row 92 directly into an Annual / Quarterly review dashboard to track yearly habit trends.</t>
        </is>
      </c>
    </row>
    <row r="94" ht="8" customHeight="1"/>
    <row r="95">
      <c r="A95" s="170" t="inlineStr">
        <is>
          <t>🏆 MONTHLY WINS &amp; HIGHLIGHTS</t>
        </is>
      </c>
      <c r="J95" s="171" t="inlineStr">
        <is>
          <t>⚠️ FRICTION POINTS &amp; ROOT CAUSES</t>
        </is>
      </c>
      <c r="S95" s="172" t="inlineStr">
        <is>
          <t>🎯 3 KEY ADJUSTMENTS FOR NEXT MONTH</t>
        </is>
      </c>
    </row>
    <row r="96">
      <c r="A96" s="173" t="inlineStr">
        <is>
          <t>1. What went exceptionally well this month?
2. Which habit felt effortless and consistent?
3. Major milestone achieved:</t>
        </is>
      </c>
      <c r="B96" s="174" t="n"/>
      <c r="C96" s="174" t="n"/>
      <c r="D96" s="174" t="n"/>
      <c r="E96" s="174" t="n"/>
      <c r="F96" s="174" t="n"/>
      <c r="G96" s="174" t="n"/>
      <c r="H96" s="174" t="n"/>
      <c r="J96" s="175" t="inlineStr">
        <is>
          <t>1. What caused missed or skipped days?
2. Main triggers / energy drains encountered:
3. Which habit had the lowest consistency and why?</t>
        </is>
      </c>
      <c r="K96" s="176" t="n"/>
      <c r="L96" s="176" t="n"/>
      <c r="M96" s="176" t="n"/>
      <c r="N96" s="176" t="n"/>
      <c r="O96" s="176" t="n"/>
      <c r="P96" s="176" t="n"/>
      <c r="Q96" s="176" t="n"/>
      <c r="S96" s="177" t="inlineStr">
        <is>
          <t>1. Habit Stacking or time adjustment for next month:
2. Environment design change to eliminate friction:
3. One non-negotiable priority protocol:</t>
        </is>
      </c>
      <c r="T96" s="178" t="n"/>
      <c r="U96" s="178" t="n"/>
      <c r="V96" s="178" t="n"/>
      <c r="W96" s="178" t="n"/>
      <c r="X96" s="178" t="n"/>
      <c r="Y96" s="178" t="n"/>
      <c r="Z96" s="178" t="n"/>
    </row>
    <row r="97">
      <c r="A97" s="174" t="n"/>
      <c r="B97" s="174" t="n"/>
      <c r="C97" s="174" t="n"/>
      <c r="D97" s="174" t="n"/>
      <c r="E97" s="174" t="n"/>
      <c r="F97" s="174" t="n"/>
      <c r="G97" s="174" t="n"/>
      <c r="H97" s="174" t="n"/>
      <c r="J97" s="176" t="n"/>
      <c r="K97" s="176" t="n"/>
      <c r="L97" s="176" t="n"/>
      <c r="M97" s="176" t="n"/>
      <c r="N97" s="176" t="n"/>
      <c r="O97" s="176" t="n"/>
      <c r="P97" s="176" t="n"/>
      <c r="Q97" s="176" t="n"/>
      <c r="S97" s="178" t="n"/>
      <c r="T97" s="178" t="n"/>
      <c r="U97" s="178" t="n"/>
      <c r="V97" s="178" t="n"/>
      <c r="W97" s="178" t="n"/>
      <c r="X97" s="178" t="n"/>
      <c r="Y97" s="178" t="n"/>
      <c r="Z97" s="178" t="n"/>
    </row>
    <row r="98">
      <c r="A98" s="174" t="n"/>
      <c r="B98" s="174" t="n"/>
      <c r="C98" s="174" t="n"/>
      <c r="D98" s="174" t="n"/>
      <c r="E98" s="174" t="n"/>
      <c r="F98" s="174" t="n"/>
      <c r="G98" s="174" t="n"/>
      <c r="H98" s="174" t="n"/>
      <c r="J98" s="176" t="n"/>
      <c r="K98" s="176" t="n"/>
      <c r="L98" s="176" t="n"/>
      <c r="M98" s="176" t="n"/>
      <c r="N98" s="176" t="n"/>
      <c r="O98" s="176" t="n"/>
      <c r="P98" s="176" t="n"/>
      <c r="Q98" s="176" t="n"/>
      <c r="S98" s="178" t="n"/>
      <c r="T98" s="178" t="n"/>
      <c r="U98" s="178" t="n"/>
      <c r="V98" s="178" t="n"/>
      <c r="W98" s="178" t="n"/>
      <c r="X98" s="178" t="n"/>
      <c r="Y98" s="178" t="n"/>
      <c r="Z98" s="178" t="n"/>
    </row>
    <row r="99">
      <c r="A99" s="174" t="n"/>
      <c r="B99" s="174" t="n"/>
      <c r="C99" s="174" t="n"/>
      <c r="D99" s="174" t="n"/>
      <c r="E99" s="174" t="n"/>
      <c r="F99" s="174" t="n"/>
      <c r="G99" s="174" t="n"/>
      <c r="H99" s="174" t="n"/>
      <c r="J99" s="176" t="n"/>
      <c r="K99" s="176" t="n"/>
      <c r="L99" s="176" t="n"/>
      <c r="M99" s="176" t="n"/>
      <c r="N99" s="176" t="n"/>
      <c r="O99" s="176" t="n"/>
      <c r="P99" s="176" t="n"/>
      <c r="Q99" s="176" t="n"/>
      <c r="S99" s="178" t="n"/>
      <c r="T99" s="178" t="n"/>
      <c r="U99" s="178" t="n"/>
      <c r="V99" s="178" t="n"/>
      <c r="W99" s="178" t="n"/>
      <c r="X99" s="178" t="n"/>
      <c r="Y99" s="178" t="n"/>
      <c r="Z99" s="178" t="n"/>
    </row>
    <row r="100">
      <c r="A100" s="174" t="n"/>
      <c r="B100" s="174" t="n"/>
      <c r="C100" s="174" t="n"/>
      <c r="D100" s="174" t="n"/>
      <c r="E100" s="174" t="n"/>
      <c r="F100" s="174" t="n"/>
      <c r="G100" s="174" t="n"/>
      <c r="H100" s="174" t="n"/>
      <c r="J100" s="176" t="n"/>
      <c r="K100" s="176" t="n"/>
      <c r="L100" s="176" t="n"/>
      <c r="M100" s="176" t="n"/>
      <c r="N100" s="176" t="n"/>
      <c r="O100" s="176" t="n"/>
      <c r="P100" s="176" t="n"/>
      <c r="Q100" s="176" t="n"/>
      <c r="S100" s="178" t="n"/>
      <c r="T100" s="178" t="n"/>
      <c r="U100" s="178" t="n"/>
      <c r="V100" s="178" t="n"/>
      <c r="W100" s="178" t="n"/>
      <c r="X100" s="178" t="n"/>
      <c r="Y100" s="178" t="n"/>
      <c r="Z100" s="178" t="n"/>
    </row>
    <row r="101">
      <c r="A101" s="174" t="n"/>
      <c r="B101" s="174" t="n"/>
      <c r="C101" s="174" t="n"/>
      <c r="D101" s="174" t="n"/>
      <c r="E101" s="174" t="n"/>
      <c r="F101" s="174" t="n"/>
      <c r="G101" s="174" t="n"/>
      <c r="H101" s="174" t="n"/>
      <c r="J101" s="176" t="n"/>
      <c r="K101" s="176" t="n"/>
      <c r="L101" s="176" t="n"/>
      <c r="M101" s="176" t="n"/>
      <c r="N101" s="176" t="n"/>
      <c r="O101" s="176" t="n"/>
      <c r="P101" s="176" t="n"/>
      <c r="Q101" s="176" t="n"/>
      <c r="S101" s="178" t="n"/>
      <c r="T101" s="178" t="n"/>
      <c r="U101" s="178" t="n"/>
      <c r="V101" s="178" t="n"/>
      <c r="W101" s="178" t="n"/>
      <c r="X101" s="178" t="n"/>
      <c r="Y101" s="178" t="n"/>
      <c r="Z101" s="178" t="n"/>
    </row>
    <row r="102">
      <c r="A102" s="174" t="n"/>
      <c r="B102" s="174" t="n"/>
      <c r="C102" s="174" t="n"/>
      <c r="D102" s="174" t="n"/>
      <c r="E102" s="174" t="n"/>
      <c r="F102" s="174" t="n"/>
      <c r="G102" s="174" t="n"/>
      <c r="H102" s="174" t="n"/>
      <c r="J102" s="176" t="n"/>
      <c r="K102" s="176" t="n"/>
      <c r="L102" s="176" t="n"/>
      <c r="M102" s="176" t="n"/>
      <c r="N102" s="176" t="n"/>
      <c r="O102" s="176" t="n"/>
      <c r="P102" s="176" t="n"/>
      <c r="Q102" s="176" t="n"/>
      <c r="S102" s="178" t="n"/>
      <c r="T102" s="178" t="n"/>
      <c r="U102" s="178" t="n"/>
      <c r="V102" s="178" t="n"/>
      <c r="W102" s="178" t="n"/>
      <c r="X102" s="178" t="n"/>
      <c r="Y102" s="178" t="n"/>
      <c r="Z102" s="178" t="n"/>
    </row>
    <row r="103">
      <c r="A103" s="174" t="n"/>
      <c r="B103" s="174" t="n"/>
      <c r="C103" s="174" t="n"/>
      <c r="D103" s="174" t="n"/>
      <c r="E103" s="174" t="n"/>
      <c r="F103" s="174" t="n"/>
      <c r="G103" s="174" t="n"/>
      <c r="H103" s="174" t="n"/>
      <c r="J103" s="176" t="n"/>
      <c r="K103" s="176" t="n"/>
      <c r="L103" s="176" t="n"/>
      <c r="M103" s="176" t="n"/>
      <c r="N103" s="176" t="n"/>
      <c r="O103" s="176" t="n"/>
      <c r="P103" s="176" t="n"/>
      <c r="Q103" s="176" t="n"/>
      <c r="S103" s="178" t="n"/>
      <c r="T103" s="178" t="n"/>
      <c r="U103" s="178" t="n"/>
      <c r="V103" s="178" t="n"/>
      <c r="W103" s="178" t="n"/>
      <c r="X103" s="178" t="n"/>
      <c r="Y103" s="178" t="n"/>
      <c r="Z103" s="178" t="n"/>
    </row>
  </sheetData>
  <sheetProtection selectLockedCells="1" selectUnlockedCells="1" sheet="1" objects="0" insertRows="1" insertHyperlinks="1" autoFilter="1" scenarios="0" formatColumns="1" deleteColumns="1" insertColumns="1" pivotTables="1" deleteRows="1" formatCells="1" formatRows="1" sort="1"/>
  <mergeCells count="94">
    <mergeCell ref="A9:N9"/>
    <mergeCell ref="N76:O76"/>
    <mergeCell ref="F67:I67"/>
    <mergeCell ref="G87:I87"/>
    <mergeCell ref="A16:A17"/>
    <mergeCell ref="A45:D46"/>
    <mergeCell ref="C16:C17"/>
    <mergeCell ref="N75:O75"/>
    <mergeCell ref="N77:O77"/>
    <mergeCell ref="AE2:AL2"/>
    <mergeCell ref="P9:AL9"/>
    <mergeCell ref="P68:S70"/>
    <mergeCell ref="D16:D17"/>
    <mergeCell ref="N85:Q85"/>
    <mergeCell ref="A95:H95"/>
    <mergeCell ref="A84:AL84"/>
    <mergeCell ref="Q91:S91"/>
    <mergeCell ref="E91:F91"/>
    <mergeCell ref="A8:N8"/>
    <mergeCell ref="A42:AL42"/>
    <mergeCell ref="G91:H91"/>
    <mergeCell ref="J86:M86"/>
    <mergeCell ref="H3:AD3"/>
    <mergeCell ref="K67:N67"/>
    <mergeCell ref="S95:Z95"/>
    <mergeCell ref="N79:O79"/>
    <mergeCell ref="K92:L92"/>
    <mergeCell ref="C92:D92"/>
    <mergeCell ref="M92:N92"/>
    <mergeCell ref="F71:I71"/>
    <mergeCell ref="A88:AL88"/>
    <mergeCell ref="K68:N70"/>
    <mergeCell ref="T91:W91"/>
    <mergeCell ref="A41:AL41"/>
    <mergeCell ref="A90:AL90"/>
    <mergeCell ref="J95:Q95"/>
    <mergeCell ref="D85:F85"/>
    <mergeCell ref="N74:S74"/>
    <mergeCell ref="H2:AD2"/>
    <mergeCell ref="F68:I70"/>
    <mergeCell ref="A91:B91"/>
    <mergeCell ref="N78:O78"/>
    <mergeCell ref="C91:D91"/>
    <mergeCell ref="M91:N91"/>
    <mergeCell ref="O91:P91"/>
    <mergeCell ref="R86:U86"/>
    <mergeCell ref="N80:O80"/>
    <mergeCell ref="B16:B17"/>
    <mergeCell ref="A71:D71"/>
    <mergeCell ref="J85:M85"/>
    <mergeCell ref="D86:F86"/>
    <mergeCell ref="A92:B92"/>
    <mergeCell ref="N87:Q87"/>
    <mergeCell ref="A1:B1"/>
    <mergeCell ref="E92:F92"/>
    <mergeCell ref="AL16:AL17"/>
    <mergeCell ref="A68:D70"/>
    <mergeCell ref="P71:S71"/>
    <mergeCell ref="A86:C86"/>
    <mergeCell ref="D87:F87"/>
    <mergeCell ref="O92:P92"/>
    <mergeCell ref="A6:N6"/>
    <mergeCell ref="A39:D39"/>
    <mergeCell ref="P8:AL8"/>
    <mergeCell ref="P7:AL7"/>
    <mergeCell ref="G86:I86"/>
    <mergeCell ref="A96:H103"/>
    <mergeCell ref="P67:S67"/>
    <mergeCell ref="T92:W92"/>
    <mergeCell ref="R85:U85"/>
    <mergeCell ref="K71:N71"/>
    <mergeCell ref="S96:Z103"/>
    <mergeCell ref="A93:AL93"/>
    <mergeCell ref="A38:D38"/>
    <mergeCell ref="A67:D67"/>
    <mergeCell ref="I91:J91"/>
    <mergeCell ref="A85:C85"/>
    <mergeCell ref="K91:L91"/>
    <mergeCell ref="N86:Q86"/>
    <mergeCell ref="A7:N7"/>
    <mergeCell ref="P6:AL6"/>
    <mergeCell ref="A74:E74"/>
    <mergeCell ref="G85:I85"/>
    <mergeCell ref="G92:H92"/>
    <mergeCell ref="I92:J92"/>
    <mergeCell ref="R87:U87"/>
    <mergeCell ref="AK16:AK17"/>
    <mergeCell ref="J87:M87"/>
    <mergeCell ref="AJ16:AJ17"/>
    <mergeCell ref="J96:Q103"/>
    <mergeCell ref="A12:AL14"/>
    <mergeCell ref="Q92:S92"/>
    <mergeCell ref="A87:C87"/>
    <mergeCell ref="A47:D47"/>
  </mergeCells>
  <conditionalFormatting sqref="AJ18:AJ37">
    <cfRule type="dataBar" priority="1">
      <dataBar>
        <cfvo type="num" val="0"/>
        <cfvo type="num" val="1"/>
        <color rgb="0010B981"/>
      </dataBar>
    </cfRule>
  </conditionalFormatting>
  <conditionalFormatting sqref="E18:AI37">
    <cfRule type="cellIs" priority="2" operator="equal" dxfId="0">
      <formula>"✓"</formula>
    </cfRule>
    <cfRule type="cellIs" priority="3" operator="equal" dxfId="0">
      <formula>"✔"</formula>
    </cfRule>
    <cfRule type="cellIs" priority="4" operator="equal" dxfId="1">
      <formula>"✗"</formula>
    </cfRule>
    <cfRule type="cellIs" priority="5" operator="equal" dxfId="1">
      <formula>"x"</formula>
    </cfRule>
    <cfRule type="cellIs" priority="6" operator="equal" dxfId="1">
      <formula>"X"</formula>
    </cfRule>
  </conditionalFormatting>
  <conditionalFormatting sqref="E16:E17">
    <cfRule type="expression" priority="7" dxfId="2">
      <formula>AND(DAY(TODAY())=1, MONTH(TODAY())=10, YEAR(TODAY())=2030)</formula>
    </cfRule>
  </conditionalFormatting>
  <conditionalFormatting sqref="F16:F17">
    <cfRule type="expression" priority="8" dxfId="2">
      <formula>AND(DAY(TODAY())=2, MONTH(TODAY())=10, YEAR(TODAY())=2030)</formula>
    </cfRule>
  </conditionalFormatting>
  <conditionalFormatting sqref="G16:G17">
    <cfRule type="expression" priority="9" dxfId="2">
      <formula>AND(DAY(TODAY())=3, MONTH(TODAY())=10, YEAR(TODAY())=2030)</formula>
    </cfRule>
  </conditionalFormatting>
  <conditionalFormatting sqref="H16:H17">
    <cfRule type="expression" priority="10" dxfId="2">
      <formula>AND(DAY(TODAY())=4, MONTH(TODAY())=10, YEAR(TODAY())=2030)</formula>
    </cfRule>
  </conditionalFormatting>
  <conditionalFormatting sqref="I16:I17">
    <cfRule type="expression" priority="11" dxfId="2">
      <formula>AND(DAY(TODAY())=5, MONTH(TODAY())=10, YEAR(TODAY())=2030)</formula>
    </cfRule>
  </conditionalFormatting>
  <conditionalFormatting sqref="J16:J17">
    <cfRule type="expression" priority="12" dxfId="2">
      <formula>AND(DAY(TODAY())=6, MONTH(TODAY())=10, YEAR(TODAY())=2030)</formula>
    </cfRule>
  </conditionalFormatting>
  <conditionalFormatting sqref="K16:K17">
    <cfRule type="expression" priority="13" dxfId="2">
      <formula>AND(DAY(TODAY())=7, MONTH(TODAY())=10, YEAR(TODAY())=2030)</formula>
    </cfRule>
  </conditionalFormatting>
  <conditionalFormatting sqref="L16:L17">
    <cfRule type="expression" priority="14" dxfId="2">
      <formula>AND(DAY(TODAY())=8, MONTH(TODAY())=10, YEAR(TODAY())=2030)</formula>
    </cfRule>
  </conditionalFormatting>
  <conditionalFormatting sqref="M16:M17">
    <cfRule type="expression" priority="15" dxfId="2">
      <formula>AND(DAY(TODAY())=9, MONTH(TODAY())=10, YEAR(TODAY())=2030)</formula>
    </cfRule>
  </conditionalFormatting>
  <conditionalFormatting sqref="N16:N17">
    <cfRule type="expression" priority="16" dxfId="2">
      <formula>AND(DAY(TODAY())=10, MONTH(TODAY())=10, YEAR(TODAY())=2030)</formula>
    </cfRule>
  </conditionalFormatting>
  <conditionalFormatting sqref="O16:O17">
    <cfRule type="expression" priority="17" dxfId="2">
      <formula>AND(DAY(TODAY())=11, MONTH(TODAY())=10, YEAR(TODAY())=2030)</formula>
    </cfRule>
  </conditionalFormatting>
  <conditionalFormatting sqref="P16:P17">
    <cfRule type="expression" priority="18" dxfId="2">
      <formula>AND(DAY(TODAY())=12, MONTH(TODAY())=10, YEAR(TODAY())=2030)</formula>
    </cfRule>
  </conditionalFormatting>
  <conditionalFormatting sqref="Q16:Q17">
    <cfRule type="expression" priority="19" dxfId="2">
      <formula>AND(DAY(TODAY())=13, MONTH(TODAY())=10, YEAR(TODAY())=2030)</formula>
    </cfRule>
  </conditionalFormatting>
  <conditionalFormatting sqref="R16:R17">
    <cfRule type="expression" priority="20" dxfId="2">
      <formula>AND(DAY(TODAY())=14, MONTH(TODAY())=10, YEAR(TODAY())=2030)</formula>
    </cfRule>
  </conditionalFormatting>
  <conditionalFormatting sqref="S16:S17">
    <cfRule type="expression" priority="21" dxfId="2">
      <formula>AND(DAY(TODAY())=15, MONTH(TODAY())=10, YEAR(TODAY())=2030)</formula>
    </cfRule>
  </conditionalFormatting>
  <conditionalFormatting sqref="T16:T17">
    <cfRule type="expression" priority="22" dxfId="2">
      <formula>AND(DAY(TODAY())=16, MONTH(TODAY())=10, YEAR(TODAY())=2030)</formula>
    </cfRule>
  </conditionalFormatting>
  <conditionalFormatting sqref="U16:U17">
    <cfRule type="expression" priority="23" dxfId="2">
      <formula>AND(DAY(TODAY())=17, MONTH(TODAY())=10, YEAR(TODAY())=2030)</formula>
    </cfRule>
  </conditionalFormatting>
  <conditionalFormatting sqref="V16:V17">
    <cfRule type="expression" priority="24" dxfId="2">
      <formula>AND(DAY(TODAY())=18, MONTH(TODAY())=10, YEAR(TODAY())=2030)</formula>
    </cfRule>
  </conditionalFormatting>
  <conditionalFormatting sqref="W16:W17">
    <cfRule type="expression" priority="25" dxfId="2">
      <formula>AND(DAY(TODAY())=19, MONTH(TODAY())=10, YEAR(TODAY())=2030)</formula>
    </cfRule>
  </conditionalFormatting>
  <conditionalFormatting sqref="X16:X17">
    <cfRule type="expression" priority="26" dxfId="2">
      <formula>AND(DAY(TODAY())=20, MONTH(TODAY())=10, YEAR(TODAY())=2030)</formula>
    </cfRule>
  </conditionalFormatting>
  <conditionalFormatting sqref="Y16:Y17">
    <cfRule type="expression" priority="27" dxfId="2">
      <formula>AND(DAY(TODAY())=21, MONTH(TODAY())=10, YEAR(TODAY())=2030)</formula>
    </cfRule>
  </conditionalFormatting>
  <conditionalFormatting sqref="Z16:Z17">
    <cfRule type="expression" priority="28" dxfId="2">
      <formula>AND(DAY(TODAY())=22, MONTH(TODAY())=10, YEAR(TODAY())=2030)</formula>
    </cfRule>
  </conditionalFormatting>
  <conditionalFormatting sqref="AA16:AA17">
    <cfRule type="expression" priority="29" dxfId="2">
      <formula>AND(DAY(TODAY())=23, MONTH(TODAY())=10, YEAR(TODAY())=2030)</formula>
    </cfRule>
  </conditionalFormatting>
  <conditionalFormatting sqref="AB16:AB17">
    <cfRule type="expression" priority="30" dxfId="2">
      <formula>AND(DAY(TODAY())=24, MONTH(TODAY())=10, YEAR(TODAY())=2030)</formula>
    </cfRule>
  </conditionalFormatting>
  <conditionalFormatting sqref="AC16:AC17">
    <cfRule type="expression" priority="31" dxfId="2">
      <formula>AND(DAY(TODAY())=25, MONTH(TODAY())=10, YEAR(TODAY())=2030)</formula>
    </cfRule>
  </conditionalFormatting>
  <conditionalFormatting sqref="AD16:AD17">
    <cfRule type="expression" priority="32" dxfId="2">
      <formula>AND(DAY(TODAY())=26, MONTH(TODAY())=10, YEAR(TODAY())=2030)</formula>
    </cfRule>
  </conditionalFormatting>
  <conditionalFormatting sqref="AE16:AE17">
    <cfRule type="expression" priority="33" dxfId="2">
      <formula>AND(DAY(TODAY())=27, MONTH(TODAY())=10, YEAR(TODAY())=2030)</formula>
    </cfRule>
  </conditionalFormatting>
  <conditionalFormatting sqref="AF16:AF17">
    <cfRule type="expression" priority="34" dxfId="2">
      <formula>AND(DAY(TODAY())=28, MONTH(TODAY())=10, YEAR(TODAY())=2030)</formula>
    </cfRule>
  </conditionalFormatting>
  <conditionalFormatting sqref="AG16:AG17">
    <cfRule type="expression" priority="35" dxfId="2">
      <formula>AND(DAY(TODAY())=29, MONTH(TODAY())=10, YEAR(TODAY())=2030)</formula>
    </cfRule>
  </conditionalFormatting>
  <conditionalFormatting sqref="AH16:AH17">
    <cfRule type="expression" priority="36" dxfId="2">
      <formula>AND(DAY(TODAY())=30, MONTH(TODAY())=10, YEAR(TODAY())=2030)</formula>
    </cfRule>
  </conditionalFormatting>
  <conditionalFormatting sqref="AI16:AI17">
    <cfRule type="expression" priority="37" dxfId="2">
      <formula>AND(DAY(TODAY())=31, MONTH(TODAY())=10, YEAR(TODAY())=2030)</formula>
    </cfRule>
  </conditionalFormatting>
  <dataValidations count="4">
    <dataValidation sqref="C18:C37" showDropDown="0" showInputMessage="0" showErrorMessage="0" allowBlank="1" type="list">
      <formula1>"Health &amp; Fitness,Mindset &amp; Learning,Career &amp; Focus,Personal &amp; Home,Finance &amp; Wealth,Other"</formula1>
    </dataValidation>
    <dataValidation sqref="D18:D37" showDropDown="0" showInputMessage="0" showErrorMessage="0" allowBlank="1" type="list">
      <formula1>"1,2,3,4,5,6,7,8,9,10,11,12,13,14,15,16,17,18,19,20,21,22,23,24,25,26,27,28,29,30,31"</formula1>
    </dataValidation>
    <dataValidation sqref="E18:AI37" showDropDown="0" showInputMessage="0" showErrorMessage="0" allowBlank="1" type="list">
      <formula1>"✓,✗"</formula1>
    </dataValidation>
    <dataValidation sqref="E47:AI47" showDropDown="0" showInputMessage="0" showErrorMessage="0" allowBlank="1" type="list">
      <formula1>"1,2,3,4,5,6,7,8,9,10,11,12,13,14,15,16,17,18,19,20,21,22,23,24"</formula1>
    </dataValidation>
  </dataValidations>
  <hyperlinks>
    <hyperlink xmlns:r="http://schemas.openxmlformats.org/officeDocument/2006/relationships" ref="A1" r:id="rId1"/>
    <hyperlink xmlns:r="http://schemas.openxmlformats.org/officeDocument/2006/relationships" ref="C1" r:id="rId2"/>
    <hyperlink xmlns:r="http://schemas.openxmlformats.org/officeDocument/2006/relationships" ref="D1" r:id="rId3"/>
    <hyperlink xmlns:r="http://schemas.openxmlformats.org/officeDocument/2006/relationships" ref="E1" r:id="rId4"/>
    <hyperlink xmlns:r="http://schemas.openxmlformats.org/officeDocument/2006/relationships" ref="F1" r:id="rId5"/>
    <hyperlink xmlns:r="http://schemas.openxmlformats.org/officeDocument/2006/relationships" ref="G1" r:id="rId6"/>
    <hyperlink xmlns:r="http://schemas.openxmlformats.org/officeDocument/2006/relationships" ref="H1" r:id="rId7"/>
    <hyperlink xmlns:r="http://schemas.openxmlformats.org/officeDocument/2006/relationships" ref="I1" r:id="rId8"/>
    <hyperlink xmlns:r="http://schemas.openxmlformats.org/officeDocument/2006/relationships" ref="J1" r:id="rId9"/>
    <hyperlink xmlns:r="http://schemas.openxmlformats.org/officeDocument/2006/relationships" ref="K1" r:id="rId10"/>
  </hyperlinks>
  <printOptions horizontalCentered="1" verticalCentered="0"/>
  <pageMargins left="0.75" right="0.75" top="1" bottom="1" header="0.5" footer="0.5"/>
  <pageSetup orientation="landscape" paperSize="9" fitToHeight="0" fitToWidth="1"/>
  <drawing xmlns:r="http://schemas.openxmlformats.org/officeDocument/2006/relationships" r:id="rId11"/>
</worksheet>
</file>

<file path=xl/worksheets/sheet54.xml><?xml version="1.0" encoding="utf-8"?>
<worksheet xmlns="http://schemas.openxmlformats.org/spreadsheetml/2006/main">
  <sheetPr>
    <outlinePr summaryBelow="1" summaryRight="1"/>
    <pageSetUpPr fitToPage="1"/>
  </sheetPr>
  <dimension ref="A1:AL103"/>
  <sheetViews>
    <sheetView showGridLines="1" workbookViewId="0">
      <selection activeCell="A1" sqref="A1"/>
    </sheetView>
  </sheetViews>
  <sheetFormatPr baseColWidth="8" defaultRowHeight="15"/>
  <cols>
    <col width="6" customWidth="1" min="1" max="1"/>
    <col width="25" customWidth="1" min="2" max="2"/>
    <col width="16.5" customWidth="1" min="3" max="3"/>
    <col width="8" customWidth="1" min="4" max="4"/>
    <col width="4.8" customWidth="1" min="5" max="5"/>
    <col width="4.8" customWidth="1" min="6" max="6"/>
    <col width="4.8" customWidth="1" min="7" max="7"/>
    <col width="4.8" customWidth="1" min="8" max="8"/>
    <col width="4.8" customWidth="1" min="9" max="9"/>
    <col width="4.8" customWidth="1" min="10" max="10"/>
    <col width="4.8" customWidth="1" min="11" max="11"/>
    <col width="4.8" customWidth="1" min="12" max="12"/>
    <col width="4.8" customWidth="1" min="13" max="13"/>
    <col width="4.8" customWidth="1" min="14" max="14"/>
    <col width="4.8" customWidth="1" min="15" max="15"/>
    <col width="4.8" customWidth="1" min="16" max="16"/>
    <col width="4.8" customWidth="1" min="17" max="17"/>
    <col width="4.8" customWidth="1" min="18" max="18"/>
    <col width="4.8" customWidth="1" min="19" max="19"/>
    <col width="4.8" customWidth="1" min="20" max="20"/>
    <col width="4.8" customWidth="1" min="21" max="21"/>
    <col width="4.8" customWidth="1" min="22" max="22"/>
    <col width="4.8" customWidth="1" min="23" max="23"/>
    <col width="4.8" customWidth="1" min="24" max="24"/>
    <col width="4.8" customWidth="1" min="25" max="25"/>
    <col width="4.8" customWidth="1" min="26" max="26"/>
    <col width="4.8" customWidth="1" min="27" max="27"/>
    <col width="4.8" customWidth="1" min="28" max="28"/>
    <col width="4.8" customWidth="1" min="29" max="29"/>
    <col width="4.8" customWidth="1" min="30" max="30"/>
    <col width="4.8" customWidth="1" min="31" max="31"/>
    <col width="4.8" customWidth="1" min="32" max="32"/>
    <col width="4.8" customWidth="1" min="33" max="33"/>
    <col width="4.8" customWidth="1" min="34" max="34"/>
    <col width="11.5" customWidth="1" min="35" max="35"/>
    <col width="12" customWidth="1" min="36" max="36"/>
    <col width="13.5" customWidth="1" min="37" max="37"/>
    <col hidden="1" width="8" customWidth="1" min="38" max="38"/>
  </cols>
  <sheetData>
    <row r="1" ht="18" customHeight="1">
      <c r="A1" s="76" t="inlineStr">
        <is>
          <t>🏠 Master Dashboard</t>
        </is>
      </c>
      <c r="B1" s="40" t="n"/>
      <c r="C1" s="77" t="inlineStr">
        <is>
          <t>🏛️ Quarterly Hub</t>
        </is>
      </c>
      <c r="D1" s="78" t="inlineStr">
        <is>
          <t>📚 Habit Library</t>
        </is>
      </c>
      <c r="E1" s="80" t="inlineStr">
        <is>
          <t>2026</t>
        </is>
      </c>
      <c r="F1" s="80" t="inlineStr">
        <is>
          <t>2027</t>
        </is>
      </c>
      <c r="G1" s="80" t="inlineStr">
        <is>
          <t>2028</t>
        </is>
      </c>
      <c r="H1" s="80" t="inlineStr">
        <is>
          <t>2029</t>
        </is>
      </c>
      <c r="I1" s="79" t="inlineStr">
        <is>
          <t>2030</t>
        </is>
      </c>
      <c r="J1" s="82" t="inlineStr">
        <is>
          <t>◀ Prev</t>
        </is>
      </c>
      <c r="K1" s="82" t="inlineStr">
        <is>
          <t>Next ▶</t>
        </is>
      </c>
    </row>
    <row r="2" ht="24" customHeight="1">
      <c r="A2" s="83" t="inlineStr">
        <is>
          <t>Habit Tracker</t>
        </is>
      </c>
      <c r="H2" s="84" t="inlineStr">
        <is>
          <t>"Focus on the process."</t>
        </is>
      </c>
      <c r="AD2" s="85" t="inlineStr">
        <is>
          <t>@surajvansh</t>
        </is>
      </c>
    </row>
    <row r="3" ht="18" customHeight="1">
      <c r="A3" s="86" t="inlineStr">
        <is>
          <t>November 2030</t>
        </is>
      </c>
      <c r="H3" s="87" t="inlineStr">
        <is>
          <t>30 Days Dashboard</t>
        </is>
      </c>
    </row>
    <row r="4" ht="5" customHeight="1"/>
    <row r="5" ht="16" customHeight="1">
      <c r="A5" s="88" t="inlineStr">
        <is>
          <t>MONTHLY TARGETS</t>
        </is>
      </c>
    </row>
    <row r="6" ht="13" customHeight="1">
      <c r="A6" s="89" t="inlineStr">
        <is>
          <t>1. ____________________ : ____________________</t>
        </is>
      </c>
      <c r="P6" s="89" t="inlineStr">
        <is>
          <t>5. ____________________ : ____________________</t>
        </is>
      </c>
    </row>
    <row r="7" ht="13" customHeight="1">
      <c r="A7" s="89" t="inlineStr">
        <is>
          <t>2. ____________________ : ____________________</t>
        </is>
      </c>
      <c r="P7" s="89" t="inlineStr">
        <is>
          <t>6. ____________________ : ____________________</t>
        </is>
      </c>
    </row>
    <row r="8" ht="13" customHeight="1">
      <c r="A8" s="89" t="inlineStr">
        <is>
          <t>3. ____________________ : ____________________</t>
        </is>
      </c>
      <c r="P8" s="89" t="inlineStr">
        <is>
          <t>7. ____________________ : ____________________</t>
        </is>
      </c>
    </row>
    <row r="9" ht="13" customHeight="1">
      <c r="A9" s="89" t="inlineStr">
        <is>
          <t>4. ____________________ : ____________________</t>
        </is>
      </c>
      <c r="P9" s="89" t="inlineStr">
        <is>
          <t>8. ____________________ : ____________________</t>
        </is>
      </c>
    </row>
    <row r="10" ht="5" customHeight="1"/>
    <row r="11" ht="15" customHeight="1">
      <c r="A11" s="88" t="inlineStr">
        <is>
          <t>NOTES:</t>
        </is>
      </c>
    </row>
    <row r="12" ht="13" customHeight="1">
      <c r="A12" s="90" t="n"/>
      <c r="B12" s="91" t="n"/>
      <c r="C12" s="91" t="n"/>
      <c r="D12" s="91" t="n"/>
      <c r="E12" s="91" t="n"/>
      <c r="F12" s="91" t="n"/>
      <c r="G12" s="91" t="n"/>
      <c r="H12" s="91" t="n"/>
      <c r="I12" s="91" t="n"/>
      <c r="J12" s="91" t="n"/>
      <c r="K12" s="91" t="n"/>
      <c r="L12" s="91" t="n"/>
      <c r="M12" s="91" t="n"/>
      <c r="N12" s="91" t="n"/>
      <c r="O12" s="91" t="n"/>
      <c r="P12" s="91" t="n"/>
      <c r="Q12" s="91" t="n"/>
      <c r="R12" s="91" t="n"/>
      <c r="S12" s="91" t="n"/>
      <c r="T12" s="91" t="n"/>
      <c r="U12" s="91" t="n"/>
      <c r="V12" s="91" t="n"/>
      <c r="W12" s="91" t="n"/>
      <c r="X12" s="91" t="n"/>
      <c r="Y12" s="91" t="n"/>
      <c r="Z12" s="91" t="n"/>
      <c r="AA12" s="91" t="n"/>
      <c r="AB12" s="91" t="n"/>
      <c r="AC12" s="91" t="n"/>
      <c r="AD12" s="91" t="n"/>
      <c r="AE12" s="91" t="n"/>
      <c r="AF12" s="91" t="n"/>
      <c r="AG12" s="91" t="n"/>
      <c r="AH12" s="91" t="n"/>
      <c r="AI12" s="91" t="n"/>
      <c r="AJ12" s="91" t="n"/>
      <c r="AK12" s="91" t="n"/>
    </row>
    <row r="13" ht="13" customHeight="1">
      <c r="A13" s="91" t="n"/>
      <c r="B13" s="91" t="n"/>
      <c r="C13" s="91" t="n"/>
      <c r="D13" s="91" t="n"/>
      <c r="E13" s="91" t="n"/>
      <c r="F13" s="91" t="n"/>
      <c r="G13" s="91" t="n"/>
      <c r="H13" s="91" t="n"/>
      <c r="I13" s="91" t="n"/>
      <c r="J13" s="91" t="n"/>
      <c r="K13" s="91" t="n"/>
      <c r="L13" s="91" t="n"/>
      <c r="M13" s="91" t="n"/>
      <c r="N13" s="91" t="n"/>
      <c r="O13" s="91" t="n"/>
      <c r="P13" s="91" t="n"/>
      <c r="Q13" s="91" t="n"/>
      <c r="R13" s="91" t="n"/>
      <c r="S13" s="91" t="n"/>
      <c r="T13" s="91" t="n"/>
      <c r="U13" s="91" t="n"/>
      <c r="V13" s="91" t="n"/>
      <c r="W13" s="91" t="n"/>
      <c r="X13" s="91" t="n"/>
      <c r="Y13" s="91" t="n"/>
      <c r="Z13" s="91" t="n"/>
      <c r="AA13" s="91" t="n"/>
      <c r="AB13" s="91" t="n"/>
      <c r="AC13" s="91" t="n"/>
      <c r="AD13" s="91" t="n"/>
      <c r="AE13" s="91" t="n"/>
      <c r="AF13" s="91" t="n"/>
      <c r="AG13" s="91" t="n"/>
      <c r="AH13" s="91" t="n"/>
      <c r="AI13" s="91" t="n"/>
      <c r="AJ13" s="91" t="n"/>
      <c r="AK13" s="91" t="n"/>
    </row>
    <row r="14" ht="13" customHeight="1">
      <c r="A14" s="91" t="n"/>
      <c r="B14" s="91" t="n"/>
      <c r="C14" s="91" t="n"/>
      <c r="D14" s="91" t="n"/>
      <c r="E14" s="91" t="n"/>
      <c r="F14" s="91" t="n"/>
      <c r="G14" s="91" t="n"/>
      <c r="H14" s="91" t="n"/>
      <c r="I14" s="91" t="n"/>
      <c r="J14" s="91" t="n"/>
      <c r="K14" s="91" t="n"/>
      <c r="L14" s="91" t="n"/>
      <c r="M14" s="91" t="n"/>
      <c r="N14" s="91" t="n"/>
      <c r="O14" s="91" t="n"/>
      <c r="P14" s="91" t="n"/>
      <c r="Q14" s="91" t="n"/>
      <c r="R14" s="91" t="n"/>
      <c r="S14" s="91" t="n"/>
      <c r="T14" s="91" t="n"/>
      <c r="U14" s="91" t="n"/>
      <c r="V14" s="91" t="n"/>
      <c r="W14" s="91" t="n"/>
      <c r="X14" s="91" t="n"/>
      <c r="Y14" s="91" t="n"/>
      <c r="Z14" s="91" t="n"/>
      <c r="AA14" s="91" t="n"/>
      <c r="AB14" s="91" t="n"/>
      <c r="AC14" s="91" t="n"/>
      <c r="AD14" s="91" t="n"/>
      <c r="AE14" s="91" t="n"/>
      <c r="AF14" s="91" t="n"/>
      <c r="AG14" s="91" t="n"/>
      <c r="AH14" s="91" t="n"/>
      <c r="AI14" s="91" t="n"/>
      <c r="AJ14" s="91" t="n"/>
      <c r="AK14" s="91" t="n"/>
    </row>
    <row r="15" ht="8" customHeight="1"/>
    <row r="16" ht="15" customHeight="1">
      <c r="A16" s="33" t="inlineStr">
        <is>
          <t>S.No.</t>
        </is>
      </c>
      <c r="B16" s="33" t="inlineStr">
        <is>
          <t>Protocols</t>
        </is>
      </c>
      <c r="C16" s="33" t="inlineStr">
        <is>
          <t>Category</t>
        </is>
      </c>
      <c r="D16" s="33" t="inlineStr">
        <is>
          <t>Target</t>
        </is>
      </c>
      <c r="E16" s="92" t="n">
        <v>1</v>
      </c>
      <c r="F16" s="92" t="n">
        <v>2</v>
      </c>
      <c r="G16" s="93" t="n">
        <v>3</v>
      </c>
      <c r="H16" s="92" t="n">
        <v>4</v>
      </c>
      <c r="I16" s="92" t="n">
        <v>5</v>
      </c>
      <c r="J16" s="92" t="n">
        <v>6</v>
      </c>
      <c r="K16" s="92" t="n">
        <v>7</v>
      </c>
      <c r="L16" s="92" t="n">
        <v>8</v>
      </c>
      <c r="M16" s="92" t="n">
        <v>9</v>
      </c>
      <c r="N16" s="93" t="n">
        <v>10</v>
      </c>
      <c r="O16" s="92" t="n">
        <v>11</v>
      </c>
      <c r="P16" s="92" t="n">
        <v>12</v>
      </c>
      <c r="Q16" s="92" t="n">
        <v>13</v>
      </c>
      <c r="R16" s="92" t="n">
        <v>14</v>
      </c>
      <c r="S16" s="92" t="n">
        <v>15</v>
      </c>
      <c r="T16" s="92" t="n">
        <v>16</v>
      </c>
      <c r="U16" s="93" t="n">
        <v>17</v>
      </c>
      <c r="V16" s="92" t="n">
        <v>18</v>
      </c>
      <c r="W16" s="92" t="n">
        <v>19</v>
      </c>
      <c r="X16" s="92" t="n">
        <v>20</v>
      </c>
      <c r="Y16" s="92" t="n">
        <v>21</v>
      </c>
      <c r="Z16" s="92" t="n">
        <v>22</v>
      </c>
      <c r="AA16" s="92" t="n">
        <v>23</v>
      </c>
      <c r="AB16" s="93" t="n">
        <v>24</v>
      </c>
      <c r="AC16" s="92" t="n">
        <v>25</v>
      </c>
      <c r="AD16" s="92" t="n">
        <v>26</v>
      </c>
      <c r="AE16" s="92" t="n">
        <v>27</v>
      </c>
      <c r="AF16" s="92" t="n">
        <v>28</v>
      </c>
      <c r="AG16" s="92" t="n">
        <v>29</v>
      </c>
      <c r="AH16" s="92" t="n">
        <v>30</v>
      </c>
      <c r="AI16" s="94" t="inlineStr">
        <is>
          <t>Success %</t>
        </is>
      </c>
      <c r="AJ16" s="94" t="inlineStr">
        <is>
          <t>Done / Target</t>
        </is>
      </c>
      <c r="AK16" s="94" t="inlineStr">
        <is>
          <t>Status</t>
        </is>
      </c>
      <c r="AL16" t="inlineStr">
        <is>
          <t>Done Count</t>
        </is>
      </c>
    </row>
    <row r="17" ht="15" customHeight="1">
      <c r="A17" s="54" t="n"/>
      <c r="B17" s="54" t="n"/>
      <c r="C17" s="54" t="n"/>
      <c r="D17" s="54" t="n"/>
      <c r="E17" s="95" t="inlineStr">
        <is>
          <t>F</t>
        </is>
      </c>
      <c r="F17" s="95" t="inlineStr">
        <is>
          <t>Sa</t>
        </is>
      </c>
      <c r="G17" s="96" t="inlineStr">
        <is>
          <t>Su</t>
        </is>
      </c>
      <c r="H17" s="95" t="inlineStr">
        <is>
          <t>M</t>
        </is>
      </c>
      <c r="I17" s="95" t="inlineStr">
        <is>
          <t>T</t>
        </is>
      </c>
      <c r="J17" s="95" t="inlineStr">
        <is>
          <t>W</t>
        </is>
      </c>
      <c r="K17" s="95" t="inlineStr">
        <is>
          <t>Th</t>
        </is>
      </c>
      <c r="L17" s="95" t="inlineStr">
        <is>
          <t>F</t>
        </is>
      </c>
      <c r="M17" s="95" t="inlineStr">
        <is>
          <t>Sa</t>
        </is>
      </c>
      <c r="N17" s="96" t="inlineStr">
        <is>
          <t>Su</t>
        </is>
      </c>
      <c r="O17" s="95" t="inlineStr">
        <is>
          <t>M</t>
        </is>
      </c>
      <c r="P17" s="95" t="inlineStr">
        <is>
          <t>T</t>
        </is>
      </c>
      <c r="Q17" s="95" t="inlineStr">
        <is>
          <t>W</t>
        </is>
      </c>
      <c r="R17" s="95" t="inlineStr">
        <is>
          <t>Th</t>
        </is>
      </c>
      <c r="S17" s="95" t="inlineStr">
        <is>
          <t>F</t>
        </is>
      </c>
      <c r="T17" s="95" t="inlineStr">
        <is>
          <t>Sa</t>
        </is>
      </c>
      <c r="U17" s="96" t="inlineStr">
        <is>
          <t>Su</t>
        </is>
      </c>
      <c r="V17" s="95" t="inlineStr">
        <is>
          <t>M</t>
        </is>
      </c>
      <c r="W17" s="95" t="inlineStr">
        <is>
          <t>T</t>
        </is>
      </c>
      <c r="X17" s="95" t="inlineStr">
        <is>
          <t>W</t>
        </is>
      </c>
      <c r="Y17" s="95" t="inlineStr">
        <is>
          <t>Th</t>
        </is>
      </c>
      <c r="Z17" s="95" t="inlineStr">
        <is>
          <t>F</t>
        </is>
      </c>
      <c r="AA17" s="95" t="inlineStr">
        <is>
          <t>Sa</t>
        </is>
      </c>
      <c r="AB17" s="96" t="inlineStr">
        <is>
          <t>Su</t>
        </is>
      </c>
      <c r="AC17" s="95" t="inlineStr">
        <is>
          <t>M</t>
        </is>
      </c>
      <c r="AD17" s="95" t="inlineStr">
        <is>
          <t>T</t>
        </is>
      </c>
      <c r="AE17" s="95" t="inlineStr">
        <is>
          <t>W</t>
        </is>
      </c>
      <c r="AF17" s="95" t="inlineStr">
        <is>
          <t>Th</t>
        </is>
      </c>
      <c r="AG17" s="95" t="inlineStr">
        <is>
          <t>F</t>
        </is>
      </c>
      <c r="AH17" s="95" t="inlineStr">
        <is>
          <t>Sa</t>
        </is>
      </c>
      <c r="AI17" s="54" t="n"/>
      <c r="AJ17" s="54" t="n"/>
      <c r="AK17" s="54" t="n"/>
    </row>
    <row r="18" ht="14.5" customHeight="1">
      <c r="A18" s="97" t="n">
        <v>1</v>
      </c>
      <c r="B18" s="98" t="n"/>
      <c r="C18" s="99" t="n"/>
      <c r="D18" s="99" t="n"/>
      <c r="E18" s="100" t="n"/>
      <c r="F18" s="100" t="n"/>
      <c r="G18" s="101" t="n"/>
      <c r="H18" s="100" t="n"/>
      <c r="I18" s="100" t="n"/>
      <c r="J18" s="100" t="n"/>
      <c r="K18" s="100" t="n"/>
      <c r="L18" s="100" t="n"/>
      <c r="M18" s="100" t="n"/>
      <c r="N18" s="101" t="n"/>
      <c r="O18" s="100" t="n"/>
      <c r="P18" s="100" t="n"/>
      <c r="Q18" s="100" t="n"/>
      <c r="R18" s="100" t="n"/>
      <c r="S18" s="100" t="n"/>
      <c r="T18" s="100" t="n"/>
      <c r="U18" s="101" t="n"/>
      <c r="V18" s="100" t="n"/>
      <c r="W18" s="100" t="n"/>
      <c r="X18" s="100" t="n"/>
      <c r="Y18" s="100" t="n"/>
      <c r="Z18" s="100" t="n"/>
      <c r="AA18" s="100" t="n"/>
      <c r="AB18" s="101" t="n"/>
      <c r="AC18" s="100" t="n"/>
      <c r="AD18" s="100" t="n"/>
      <c r="AE18" s="100" t="n"/>
      <c r="AF18" s="100" t="n"/>
      <c r="AG18" s="100" t="n"/>
      <c r="AH18" s="100" t="n"/>
      <c r="AI18" s="102">
        <f>IF(ISBLANK(B18), "", IF(ISNUMBER(D18), IF(D18&gt;0, (COUNTIF(E18:AH18, "✓") + COUNTIF(E18:AH18, "✔") + COUNTIF(E18:AH18, "v") + COUNTIF(E18:AH18, "V"))/D18, 0), IF(((COUNTIF(E18:AH18, "✓") + COUNTIF(E18:AH18, "✔") + COUNTIF(E18:AH18, "v") + COUNTIF(E18:AH18, "V")) + COUNTIF(E18:AH18, "✗") + COUNTIF(E18:AH18, "x") + COUNTIF(E18:AH18, "X"))&gt;0, (COUNTIF(E18:AH18, "✓") + COUNTIF(E18:AH18, "✔") + COUNTIF(E18:AH18, "v") + COUNTIF(E18:AH18, "V"))/((COUNTIF(E18:AH18, "✓") + COUNTIF(E18:AH18, "✔") + COUNTIF(E18:AH18, "v") + COUNTIF(E18:AH18, "V")) + COUNTIF(E18:AH18, "✗") + COUNTIF(E18:AH18, "x") + COUNTIF(E18:AH18, "X")), "")))</f>
        <v/>
      </c>
      <c r="AJ18" s="103">
        <f>IF(ISBLANK(B18), "", IF(ISNUMBER(D18), IF(D18&gt;0, (COUNTIF(E18:AH18, "✓") + COUNTIF(E18:AH18, "✔") + COUNTIF(E18:AH18, "v") + COUNTIF(E18:AH18, "V")) &amp; "/" &amp; D18, (COUNTIF(E18:AH18, "✓") + COUNTIF(E18:AH18, "✔") + COUNTIF(E18:AH18, "v") + COUNTIF(E18:AH18, "V")) &amp; "/0"), IF(((COUNTIF(E18:AH18, "✓") + COUNTIF(E18:AH18, "✔") + COUNTIF(E18:AH18, "v") + COUNTIF(E18:AH18, "V")) + COUNTIF(E18:AH18, "✗") + COUNTIF(E18:AH18, "x") + COUNTIF(E18:AH18, "X"))&gt;0, (COUNTIF(E18:AH18, "✓") + COUNTIF(E18:AH18, "✔") + COUNTIF(E18:AH18, "v") + COUNTIF(E18:AH18, "V")) &amp; "/" &amp; ((COUNTIF(E18:AH18, "✓") + COUNTIF(E18:AH18, "✔") + COUNTIF(E18:AH18, "v") + COUNTIF(E18:AH18, "V")) + COUNTIF(E18:AH18, "✗") + COUNTIF(E18:AH18, "x") + COUNTIF(E18:AH18, "X")), "")))</f>
        <v/>
      </c>
      <c r="AK18" s="103">
        <f>IF(ISBLANK(B18), "", IF(AI18&gt;=0.85, "🔥 Mastered", IF(AI18&gt;=0.7, "⚡ Consistent", "⚠️ Needs Focus")))</f>
        <v/>
      </c>
      <c r="AL18">
        <f>COUNTIF(E18:AH18, "✓")</f>
        <v/>
      </c>
    </row>
    <row r="19" ht="14.5" customHeight="1">
      <c r="A19" s="97" t="n">
        <v>2</v>
      </c>
      <c r="B19" s="98" t="n"/>
      <c r="C19" s="99" t="n"/>
      <c r="D19" s="99" t="n"/>
      <c r="E19" s="100" t="n"/>
      <c r="F19" s="100" t="n"/>
      <c r="G19" s="101" t="n"/>
      <c r="H19" s="100" t="n"/>
      <c r="I19" s="100" t="n"/>
      <c r="J19" s="100" t="n"/>
      <c r="K19" s="100" t="n"/>
      <c r="L19" s="100" t="n"/>
      <c r="M19" s="100" t="n"/>
      <c r="N19" s="101" t="n"/>
      <c r="O19" s="100" t="n"/>
      <c r="P19" s="100" t="n"/>
      <c r="Q19" s="100" t="n"/>
      <c r="R19" s="100" t="n"/>
      <c r="S19" s="100" t="n"/>
      <c r="T19" s="100" t="n"/>
      <c r="U19" s="101" t="n"/>
      <c r="V19" s="100" t="n"/>
      <c r="W19" s="100" t="n"/>
      <c r="X19" s="100" t="n"/>
      <c r="Y19" s="100" t="n"/>
      <c r="Z19" s="100" t="n"/>
      <c r="AA19" s="100" t="n"/>
      <c r="AB19" s="101" t="n"/>
      <c r="AC19" s="100" t="n"/>
      <c r="AD19" s="100" t="n"/>
      <c r="AE19" s="100" t="n"/>
      <c r="AF19" s="100" t="n"/>
      <c r="AG19" s="100" t="n"/>
      <c r="AH19" s="100" t="n"/>
      <c r="AI19" s="102">
        <f>IF(ISBLANK(B19), "", IF(ISNUMBER(D19), IF(D19&gt;0, (COUNTIF(E19:AH19, "✓") + COUNTIF(E19:AH19, "✔") + COUNTIF(E19:AH19, "v") + COUNTIF(E19:AH19, "V"))/D19, 0), IF(((COUNTIF(E19:AH19, "✓") + COUNTIF(E19:AH19, "✔") + COUNTIF(E19:AH19, "v") + COUNTIF(E19:AH19, "V")) + COUNTIF(E19:AH19, "✗") + COUNTIF(E19:AH19, "x") + COUNTIF(E19:AH19, "X"))&gt;0, (COUNTIF(E19:AH19, "✓") + COUNTIF(E19:AH19, "✔") + COUNTIF(E19:AH19, "v") + COUNTIF(E19:AH19, "V"))/((COUNTIF(E19:AH19, "✓") + COUNTIF(E19:AH19, "✔") + COUNTIF(E19:AH19, "v") + COUNTIF(E19:AH19, "V")) + COUNTIF(E19:AH19, "✗") + COUNTIF(E19:AH19, "x") + COUNTIF(E19:AH19, "X")), "")))</f>
        <v/>
      </c>
      <c r="AJ19" s="103">
        <f>IF(ISBLANK(B19), "", IF(ISNUMBER(D19), IF(D19&gt;0, (COUNTIF(E19:AH19, "✓") + COUNTIF(E19:AH19, "✔") + COUNTIF(E19:AH19, "v") + COUNTIF(E19:AH19, "V")) &amp; "/" &amp; D19, (COUNTIF(E19:AH19, "✓") + COUNTIF(E19:AH19, "✔") + COUNTIF(E19:AH19, "v") + COUNTIF(E19:AH19, "V")) &amp; "/0"), IF(((COUNTIF(E19:AH19, "✓") + COUNTIF(E19:AH19, "✔") + COUNTIF(E19:AH19, "v") + COUNTIF(E19:AH19, "V")) + COUNTIF(E19:AH19, "✗") + COUNTIF(E19:AH19, "x") + COUNTIF(E19:AH19, "X"))&gt;0, (COUNTIF(E19:AH19, "✓") + COUNTIF(E19:AH19, "✔") + COUNTIF(E19:AH19, "v") + COUNTIF(E19:AH19, "V")) &amp; "/" &amp; ((COUNTIF(E19:AH19, "✓") + COUNTIF(E19:AH19, "✔") + COUNTIF(E19:AH19, "v") + COUNTIF(E19:AH19, "V")) + COUNTIF(E19:AH19, "✗") + COUNTIF(E19:AH19, "x") + COUNTIF(E19:AH19, "X")), "")))</f>
        <v/>
      </c>
      <c r="AK19" s="103">
        <f>IF(ISBLANK(B19), "", IF(AI19&gt;=0.85, "🔥 Mastered", IF(AI19&gt;=0.7, "⚡ Consistent", "⚠️ Needs Focus")))</f>
        <v/>
      </c>
      <c r="AL19">
        <f>COUNTIF(E19:AH19, "✓")</f>
        <v/>
      </c>
    </row>
    <row r="20" ht="14.5" customHeight="1">
      <c r="A20" s="97" t="n">
        <v>3</v>
      </c>
      <c r="B20" s="98" t="n"/>
      <c r="C20" s="99" t="n"/>
      <c r="D20" s="99" t="n"/>
      <c r="E20" s="100" t="n"/>
      <c r="F20" s="100" t="n"/>
      <c r="G20" s="101" t="n"/>
      <c r="H20" s="100" t="n"/>
      <c r="I20" s="100" t="n"/>
      <c r="J20" s="100" t="n"/>
      <c r="K20" s="100" t="n"/>
      <c r="L20" s="100" t="n"/>
      <c r="M20" s="100" t="n"/>
      <c r="N20" s="101" t="n"/>
      <c r="O20" s="100" t="n"/>
      <c r="P20" s="100" t="n"/>
      <c r="Q20" s="100" t="n"/>
      <c r="R20" s="100" t="n"/>
      <c r="S20" s="100" t="n"/>
      <c r="T20" s="100" t="n"/>
      <c r="U20" s="101" t="n"/>
      <c r="V20" s="100" t="n"/>
      <c r="W20" s="100" t="n"/>
      <c r="X20" s="100" t="n"/>
      <c r="Y20" s="100" t="n"/>
      <c r="Z20" s="100" t="n"/>
      <c r="AA20" s="100" t="n"/>
      <c r="AB20" s="101" t="n"/>
      <c r="AC20" s="100" t="n"/>
      <c r="AD20" s="100" t="n"/>
      <c r="AE20" s="100" t="n"/>
      <c r="AF20" s="100" t="n"/>
      <c r="AG20" s="100" t="n"/>
      <c r="AH20" s="100" t="n"/>
      <c r="AI20" s="102">
        <f>IF(ISBLANK(B20), "", IF(ISNUMBER(D20), IF(D20&gt;0, (COUNTIF(E20:AH20, "✓") + COUNTIF(E20:AH20, "✔") + COUNTIF(E20:AH20, "v") + COUNTIF(E20:AH20, "V"))/D20, 0), IF(((COUNTIF(E20:AH20, "✓") + COUNTIF(E20:AH20, "✔") + COUNTIF(E20:AH20, "v") + COUNTIF(E20:AH20, "V")) + COUNTIF(E20:AH20, "✗") + COUNTIF(E20:AH20, "x") + COUNTIF(E20:AH20, "X"))&gt;0, (COUNTIF(E20:AH20, "✓") + COUNTIF(E20:AH20, "✔") + COUNTIF(E20:AH20, "v") + COUNTIF(E20:AH20, "V"))/((COUNTIF(E20:AH20, "✓") + COUNTIF(E20:AH20, "✔") + COUNTIF(E20:AH20, "v") + COUNTIF(E20:AH20, "V")) + COUNTIF(E20:AH20, "✗") + COUNTIF(E20:AH20, "x") + COUNTIF(E20:AH20, "X")), "")))</f>
        <v/>
      </c>
      <c r="AJ20" s="103">
        <f>IF(ISBLANK(B20), "", IF(ISNUMBER(D20), IF(D20&gt;0, (COUNTIF(E20:AH20, "✓") + COUNTIF(E20:AH20, "✔") + COUNTIF(E20:AH20, "v") + COUNTIF(E20:AH20, "V")) &amp; "/" &amp; D20, (COUNTIF(E20:AH20, "✓") + COUNTIF(E20:AH20, "✔") + COUNTIF(E20:AH20, "v") + COUNTIF(E20:AH20, "V")) &amp; "/0"), IF(((COUNTIF(E20:AH20, "✓") + COUNTIF(E20:AH20, "✔") + COUNTIF(E20:AH20, "v") + COUNTIF(E20:AH20, "V")) + COUNTIF(E20:AH20, "✗") + COUNTIF(E20:AH20, "x") + COUNTIF(E20:AH20, "X"))&gt;0, (COUNTIF(E20:AH20, "✓") + COUNTIF(E20:AH20, "✔") + COUNTIF(E20:AH20, "v") + COUNTIF(E20:AH20, "V")) &amp; "/" &amp; ((COUNTIF(E20:AH20, "✓") + COUNTIF(E20:AH20, "✔") + COUNTIF(E20:AH20, "v") + COUNTIF(E20:AH20, "V")) + COUNTIF(E20:AH20, "✗") + COUNTIF(E20:AH20, "x") + COUNTIF(E20:AH20, "X")), "")))</f>
        <v/>
      </c>
      <c r="AK20" s="103">
        <f>IF(ISBLANK(B20), "", IF(AI20&gt;=0.85, "🔥 Mastered", IF(AI20&gt;=0.7, "⚡ Consistent", "⚠️ Needs Focus")))</f>
        <v/>
      </c>
      <c r="AL20">
        <f>COUNTIF(E20:AH20, "✓")</f>
        <v/>
      </c>
    </row>
    <row r="21" ht="14.5" customHeight="1">
      <c r="A21" s="97" t="n">
        <v>4</v>
      </c>
      <c r="B21" s="98" t="n"/>
      <c r="C21" s="99" t="n"/>
      <c r="D21" s="99" t="n"/>
      <c r="E21" s="100" t="n"/>
      <c r="F21" s="100" t="n"/>
      <c r="G21" s="101" t="n"/>
      <c r="H21" s="100" t="n"/>
      <c r="I21" s="100" t="n"/>
      <c r="J21" s="100" t="n"/>
      <c r="K21" s="100" t="n"/>
      <c r="L21" s="100" t="n"/>
      <c r="M21" s="100" t="n"/>
      <c r="N21" s="101" t="n"/>
      <c r="O21" s="100" t="n"/>
      <c r="P21" s="100" t="n"/>
      <c r="Q21" s="100" t="n"/>
      <c r="R21" s="100" t="n"/>
      <c r="S21" s="100" t="n"/>
      <c r="T21" s="100" t="n"/>
      <c r="U21" s="101" t="n"/>
      <c r="V21" s="100" t="n"/>
      <c r="W21" s="100" t="n"/>
      <c r="X21" s="100" t="n"/>
      <c r="Y21" s="100" t="n"/>
      <c r="Z21" s="100" t="n"/>
      <c r="AA21" s="100" t="n"/>
      <c r="AB21" s="101" t="n"/>
      <c r="AC21" s="100" t="n"/>
      <c r="AD21" s="100" t="n"/>
      <c r="AE21" s="100" t="n"/>
      <c r="AF21" s="100" t="n"/>
      <c r="AG21" s="100" t="n"/>
      <c r="AH21" s="100" t="n"/>
      <c r="AI21" s="102">
        <f>IF(ISBLANK(B21), "", IF(ISNUMBER(D21), IF(D21&gt;0, (COUNTIF(E21:AH21, "✓") + COUNTIF(E21:AH21, "✔") + COUNTIF(E21:AH21, "v") + COUNTIF(E21:AH21, "V"))/D21, 0), IF(((COUNTIF(E21:AH21, "✓") + COUNTIF(E21:AH21, "✔") + COUNTIF(E21:AH21, "v") + COUNTIF(E21:AH21, "V")) + COUNTIF(E21:AH21, "✗") + COUNTIF(E21:AH21, "x") + COUNTIF(E21:AH21, "X"))&gt;0, (COUNTIF(E21:AH21, "✓") + COUNTIF(E21:AH21, "✔") + COUNTIF(E21:AH21, "v") + COUNTIF(E21:AH21, "V"))/((COUNTIF(E21:AH21, "✓") + COUNTIF(E21:AH21, "✔") + COUNTIF(E21:AH21, "v") + COUNTIF(E21:AH21, "V")) + COUNTIF(E21:AH21, "✗") + COUNTIF(E21:AH21, "x") + COUNTIF(E21:AH21, "X")), "")))</f>
        <v/>
      </c>
      <c r="AJ21" s="103">
        <f>IF(ISBLANK(B21), "", IF(ISNUMBER(D21), IF(D21&gt;0, (COUNTIF(E21:AH21, "✓") + COUNTIF(E21:AH21, "✔") + COUNTIF(E21:AH21, "v") + COUNTIF(E21:AH21, "V")) &amp; "/" &amp; D21, (COUNTIF(E21:AH21, "✓") + COUNTIF(E21:AH21, "✔") + COUNTIF(E21:AH21, "v") + COUNTIF(E21:AH21, "V")) &amp; "/0"), IF(((COUNTIF(E21:AH21, "✓") + COUNTIF(E21:AH21, "✔") + COUNTIF(E21:AH21, "v") + COUNTIF(E21:AH21, "V")) + COUNTIF(E21:AH21, "✗") + COUNTIF(E21:AH21, "x") + COUNTIF(E21:AH21, "X"))&gt;0, (COUNTIF(E21:AH21, "✓") + COUNTIF(E21:AH21, "✔") + COUNTIF(E21:AH21, "v") + COUNTIF(E21:AH21, "V")) &amp; "/" &amp; ((COUNTIF(E21:AH21, "✓") + COUNTIF(E21:AH21, "✔") + COUNTIF(E21:AH21, "v") + COUNTIF(E21:AH21, "V")) + COUNTIF(E21:AH21, "✗") + COUNTIF(E21:AH21, "x") + COUNTIF(E21:AH21, "X")), "")))</f>
        <v/>
      </c>
      <c r="AK21" s="103">
        <f>IF(ISBLANK(B21), "", IF(AI21&gt;=0.85, "🔥 Mastered", IF(AI21&gt;=0.7, "⚡ Consistent", "⚠️ Needs Focus")))</f>
        <v/>
      </c>
      <c r="AL21">
        <f>COUNTIF(E21:AH21, "✓")</f>
        <v/>
      </c>
    </row>
    <row r="22" ht="14.5" customHeight="1">
      <c r="A22" s="104" t="n">
        <v>5</v>
      </c>
      <c r="B22" s="105" t="n"/>
      <c r="C22" s="106" t="n"/>
      <c r="D22" s="106" t="n"/>
      <c r="E22" s="107" t="n"/>
      <c r="F22" s="107" t="n"/>
      <c r="G22" s="108" t="n"/>
      <c r="H22" s="107" t="n"/>
      <c r="I22" s="107" t="n"/>
      <c r="J22" s="107" t="n"/>
      <c r="K22" s="107" t="n"/>
      <c r="L22" s="107" t="n"/>
      <c r="M22" s="107" t="n"/>
      <c r="N22" s="108" t="n"/>
      <c r="O22" s="107" t="n"/>
      <c r="P22" s="107" t="n"/>
      <c r="Q22" s="107" t="n"/>
      <c r="R22" s="107" t="n"/>
      <c r="S22" s="107" t="n"/>
      <c r="T22" s="107" t="n"/>
      <c r="U22" s="108" t="n"/>
      <c r="V22" s="107" t="n"/>
      <c r="W22" s="107" t="n"/>
      <c r="X22" s="107" t="n"/>
      <c r="Y22" s="107" t="n"/>
      <c r="Z22" s="107" t="n"/>
      <c r="AA22" s="107" t="n"/>
      <c r="AB22" s="108" t="n"/>
      <c r="AC22" s="107" t="n"/>
      <c r="AD22" s="107" t="n"/>
      <c r="AE22" s="107" t="n"/>
      <c r="AF22" s="107" t="n"/>
      <c r="AG22" s="107" t="n"/>
      <c r="AH22" s="107" t="n"/>
      <c r="AI22" s="109">
        <f>IF(ISBLANK(B22), "", IF(ISNUMBER(D22), IF(D22&gt;0, (COUNTIF(E22:AH22, "✓") + COUNTIF(E22:AH22, "✔") + COUNTIF(E22:AH22, "v") + COUNTIF(E22:AH22, "V"))/D22, 0), IF(((COUNTIF(E22:AH22, "✓") + COUNTIF(E22:AH22, "✔") + COUNTIF(E22:AH22, "v") + COUNTIF(E22:AH22, "V")) + COUNTIF(E22:AH22, "✗") + COUNTIF(E22:AH22, "x") + COUNTIF(E22:AH22, "X"))&gt;0, (COUNTIF(E22:AH22, "✓") + COUNTIF(E22:AH22, "✔") + COUNTIF(E22:AH22, "v") + COUNTIF(E22:AH22, "V"))/((COUNTIF(E22:AH22, "✓") + COUNTIF(E22:AH22, "✔") + COUNTIF(E22:AH22, "v") + COUNTIF(E22:AH22, "V")) + COUNTIF(E22:AH22, "✗") + COUNTIF(E22:AH22, "x") + COUNTIF(E22:AH22, "X")), "")))</f>
        <v/>
      </c>
      <c r="AJ22" s="110">
        <f>IF(ISBLANK(B22), "", IF(ISNUMBER(D22), IF(D22&gt;0, (COUNTIF(E22:AH22, "✓") + COUNTIF(E22:AH22, "✔") + COUNTIF(E22:AH22, "v") + COUNTIF(E22:AH22, "V")) &amp; "/" &amp; D22, (COUNTIF(E22:AH22, "✓") + COUNTIF(E22:AH22, "✔") + COUNTIF(E22:AH22, "v") + COUNTIF(E22:AH22, "V")) &amp; "/0"), IF(((COUNTIF(E22:AH22, "✓") + COUNTIF(E22:AH22, "✔") + COUNTIF(E22:AH22, "v") + COUNTIF(E22:AH22, "V")) + COUNTIF(E22:AH22, "✗") + COUNTIF(E22:AH22, "x") + COUNTIF(E22:AH22, "X"))&gt;0, (COUNTIF(E22:AH22, "✓") + COUNTIF(E22:AH22, "✔") + COUNTIF(E22:AH22, "v") + COUNTIF(E22:AH22, "V")) &amp; "/" &amp; ((COUNTIF(E22:AH22, "✓") + COUNTIF(E22:AH22, "✔") + COUNTIF(E22:AH22, "v") + COUNTIF(E22:AH22, "V")) + COUNTIF(E22:AH22, "✗") + COUNTIF(E22:AH22, "x") + COUNTIF(E22:AH22, "X")), "")))</f>
        <v/>
      </c>
      <c r="AK22" s="110">
        <f>IF(ISBLANK(B22), "", IF(AI22&gt;=0.85, "🔥 Mastered", IF(AI22&gt;=0.7, "⚡ Consistent", "⚠️ Needs Focus")))</f>
        <v/>
      </c>
      <c r="AL22">
        <f>COUNTIF(E22:AH22, "✓")</f>
        <v/>
      </c>
    </row>
    <row r="23" ht="14.5" customHeight="1">
      <c r="A23" s="104" t="n">
        <v>6</v>
      </c>
      <c r="B23" s="105" t="n"/>
      <c r="C23" s="106" t="n"/>
      <c r="D23" s="106" t="n"/>
      <c r="E23" s="107" t="n"/>
      <c r="F23" s="107" t="n"/>
      <c r="G23" s="108" t="n"/>
      <c r="H23" s="107" t="n"/>
      <c r="I23" s="107" t="n"/>
      <c r="J23" s="107" t="n"/>
      <c r="K23" s="107" t="n"/>
      <c r="L23" s="107" t="n"/>
      <c r="M23" s="107" t="n"/>
      <c r="N23" s="108" t="n"/>
      <c r="O23" s="107" t="n"/>
      <c r="P23" s="107" t="n"/>
      <c r="Q23" s="107" t="n"/>
      <c r="R23" s="107" t="n"/>
      <c r="S23" s="107" t="n"/>
      <c r="T23" s="107" t="n"/>
      <c r="U23" s="108" t="n"/>
      <c r="V23" s="107" t="n"/>
      <c r="W23" s="107" t="n"/>
      <c r="X23" s="107" t="n"/>
      <c r="Y23" s="107" t="n"/>
      <c r="Z23" s="107" t="n"/>
      <c r="AA23" s="107" t="n"/>
      <c r="AB23" s="108" t="n"/>
      <c r="AC23" s="107" t="n"/>
      <c r="AD23" s="107" t="n"/>
      <c r="AE23" s="107" t="n"/>
      <c r="AF23" s="107" t="n"/>
      <c r="AG23" s="107" t="n"/>
      <c r="AH23" s="107" t="n"/>
      <c r="AI23" s="109">
        <f>IF(ISBLANK(B23), "", IF(ISNUMBER(D23), IF(D23&gt;0, (COUNTIF(E23:AH23, "✓") + COUNTIF(E23:AH23, "✔") + COUNTIF(E23:AH23, "v") + COUNTIF(E23:AH23, "V"))/D23, 0), IF(((COUNTIF(E23:AH23, "✓") + COUNTIF(E23:AH23, "✔") + COUNTIF(E23:AH23, "v") + COUNTIF(E23:AH23, "V")) + COUNTIF(E23:AH23, "✗") + COUNTIF(E23:AH23, "x") + COUNTIF(E23:AH23, "X"))&gt;0, (COUNTIF(E23:AH23, "✓") + COUNTIF(E23:AH23, "✔") + COUNTIF(E23:AH23, "v") + COUNTIF(E23:AH23, "V"))/((COUNTIF(E23:AH23, "✓") + COUNTIF(E23:AH23, "✔") + COUNTIF(E23:AH23, "v") + COUNTIF(E23:AH23, "V")) + COUNTIF(E23:AH23, "✗") + COUNTIF(E23:AH23, "x") + COUNTIF(E23:AH23, "X")), "")))</f>
        <v/>
      </c>
      <c r="AJ23" s="110">
        <f>IF(ISBLANK(B23), "", IF(ISNUMBER(D23), IF(D23&gt;0, (COUNTIF(E23:AH23, "✓") + COUNTIF(E23:AH23, "✔") + COUNTIF(E23:AH23, "v") + COUNTIF(E23:AH23, "V")) &amp; "/" &amp; D23, (COUNTIF(E23:AH23, "✓") + COUNTIF(E23:AH23, "✔") + COUNTIF(E23:AH23, "v") + COUNTIF(E23:AH23, "V")) &amp; "/0"), IF(((COUNTIF(E23:AH23, "✓") + COUNTIF(E23:AH23, "✔") + COUNTIF(E23:AH23, "v") + COUNTIF(E23:AH23, "V")) + COUNTIF(E23:AH23, "✗") + COUNTIF(E23:AH23, "x") + COUNTIF(E23:AH23, "X"))&gt;0, (COUNTIF(E23:AH23, "✓") + COUNTIF(E23:AH23, "✔") + COUNTIF(E23:AH23, "v") + COUNTIF(E23:AH23, "V")) &amp; "/" &amp; ((COUNTIF(E23:AH23, "✓") + COUNTIF(E23:AH23, "✔") + COUNTIF(E23:AH23, "v") + COUNTIF(E23:AH23, "V")) + COUNTIF(E23:AH23, "✗") + COUNTIF(E23:AH23, "x") + COUNTIF(E23:AH23, "X")), "")))</f>
        <v/>
      </c>
      <c r="AK23" s="110">
        <f>IF(ISBLANK(B23), "", IF(AI23&gt;=0.85, "🔥 Mastered", IF(AI23&gt;=0.7, "⚡ Consistent", "⚠️ Needs Focus")))</f>
        <v/>
      </c>
      <c r="AL23">
        <f>COUNTIF(E23:AH23, "✓")</f>
        <v/>
      </c>
    </row>
    <row r="24" ht="14.5" customHeight="1">
      <c r="A24" s="104" t="n">
        <v>7</v>
      </c>
      <c r="B24" s="105" t="n"/>
      <c r="C24" s="106" t="n"/>
      <c r="D24" s="106" t="n"/>
      <c r="E24" s="107" t="n"/>
      <c r="F24" s="107" t="n"/>
      <c r="G24" s="108" t="n"/>
      <c r="H24" s="107" t="n"/>
      <c r="I24" s="107" t="n"/>
      <c r="J24" s="107" t="n"/>
      <c r="K24" s="107" t="n"/>
      <c r="L24" s="107" t="n"/>
      <c r="M24" s="107" t="n"/>
      <c r="N24" s="108" t="n"/>
      <c r="O24" s="107" t="n"/>
      <c r="P24" s="107" t="n"/>
      <c r="Q24" s="107" t="n"/>
      <c r="R24" s="107" t="n"/>
      <c r="S24" s="107" t="n"/>
      <c r="T24" s="107" t="n"/>
      <c r="U24" s="108" t="n"/>
      <c r="V24" s="107" t="n"/>
      <c r="W24" s="107" t="n"/>
      <c r="X24" s="107" t="n"/>
      <c r="Y24" s="107" t="n"/>
      <c r="Z24" s="107" t="n"/>
      <c r="AA24" s="107" t="n"/>
      <c r="AB24" s="108" t="n"/>
      <c r="AC24" s="107" t="n"/>
      <c r="AD24" s="107" t="n"/>
      <c r="AE24" s="107" t="n"/>
      <c r="AF24" s="107" t="n"/>
      <c r="AG24" s="107" t="n"/>
      <c r="AH24" s="107" t="n"/>
      <c r="AI24" s="109">
        <f>IF(ISBLANK(B24), "", IF(ISNUMBER(D24), IF(D24&gt;0, (COUNTIF(E24:AH24, "✓") + COUNTIF(E24:AH24, "✔") + COUNTIF(E24:AH24, "v") + COUNTIF(E24:AH24, "V"))/D24, 0), IF(((COUNTIF(E24:AH24, "✓") + COUNTIF(E24:AH24, "✔") + COUNTIF(E24:AH24, "v") + COUNTIF(E24:AH24, "V")) + COUNTIF(E24:AH24, "✗") + COUNTIF(E24:AH24, "x") + COUNTIF(E24:AH24, "X"))&gt;0, (COUNTIF(E24:AH24, "✓") + COUNTIF(E24:AH24, "✔") + COUNTIF(E24:AH24, "v") + COUNTIF(E24:AH24, "V"))/((COUNTIF(E24:AH24, "✓") + COUNTIF(E24:AH24, "✔") + COUNTIF(E24:AH24, "v") + COUNTIF(E24:AH24, "V")) + COUNTIF(E24:AH24, "✗") + COUNTIF(E24:AH24, "x") + COUNTIF(E24:AH24, "X")), "")))</f>
        <v/>
      </c>
      <c r="AJ24" s="110">
        <f>IF(ISBLANK(B24), "", IF(ISNUMBER(D24), IF(D24&gt;0, (COUNTIF(E24:AH24, "✓") + COUNTIF(E24:AH24, "✔") + COUNTIF(E24:AH24, "v") + COUNTIF(E24:AH24, "V")) &amp; "/" &amp; D24, (COUNTIF(E24:AH24, "✓") + COUNTIF(E24:AH24, "✔") + COUNTIF(E24:AH24, "v") + COUNTIF(E24:AH24, "V")) &amp; "/0"), IF(((COUNTIF(E24:AH24, "✓") + COUNTIF(E24:AH24, "✔") + COUNTIF(E24:AH24, "v") + COUNTIF(E24:AH24, "V")) + COUNTIF(E24:AH24, "✗") + COUNTIF(E24:AH24, "x") + COUNTIF(E24:AH24, "X"))&gt;0, (COUNTIF(E24:AH24, "✓") + COUNTIF(E24:AH24, "✔") + COUNTIF(E24:AH24, "v") + COUNTIF(E24:AH24, "V")) &amp; "/" &amp; ((COUNTIF(E24:AH24, "✓") + COUNTIF(E24:AH24, "✔") + COUNTIF(E24:AH24, "v") + COUNTIF(E24:AH24, "V")) + COUNTIF(E24:AH24, "✗") + COUNTIF(E24:AH24, "x") + COUNTIF(E24:AH24, "X")), "")))</f>
        <v/>
      </c>
      <c r="AK24" s="110">
        <f>IF(ISBLANK(B24), "", IF(AI24&gt;=0.85, "🔥 Mastered", IF(AI24&gt;=0.7, "⚡ Consistent", "⚠️ Needs Focus")))</f>
        <v/>
      </c>
      <c r="AL24">
        <f>COUNTIF(E24:AH24, "✓")</f>
        <v/>
      </c>
    </row>
    <row r="25" ht="14.5" customHeight="1">
      <c r="A25" s="104" t="n">
        <v>8</v>
      </c>
      <c r="B25" s="105" t="n"/>
      <c r="C25" s="106" t="n"/>
      <c r="D25" s="106" t="n"/>
      <c r="E25" s="107" t="n"/>
      <c r="F25" s="107" t="n"/>
      <c r="G25" s="108" t="n"/>
      <c r="H25" s="107" t="n"/>
      <c r="I25" s="107" t="n"/>
      <c r="J25" s="107" t="n"/>
      <c r="K25" s="107" t="n"/>
      <c r="L25" s="107" t="n"/>
      <c r="M25" s="107" t="n"/>
      <c r="N25" s="108" t="n"/>
      <c r="O25" s="107" t="n"/>
      <c r="P25" s="107" t="n"/>
      <c r="Q25" s="107" t="n"/>
      <c r="R25" s="107" t="n"/>
      <c r="S25" s="107" t="n"/>
      <c r="T25" s="107" t="n"/>
      <c r="U25" s="108" t="n"/>
      <c r="V25" s="107" t="n"/>
      <c r="W25" s="107" t="n"/>
      <c r="X25" s="107" t="n"/>
      <c r="Y25" s="107" t="n"/>
      <c r="Z25" s="107" t="n"/>
      <c r="AA25" s="107" t="n"/>
      <c r="AB25" s="108" t="n"/>
      <c r="AC25" s="107" t="n"/>
      <c r="AD25" s="107" t="n"/>
      <c r="AE25" s="107" t="n"/>
      <c r="AF25" s="107" t="n"/>
      <c r="AG25" s="107" t="n"/>
      <c r="AH25" s="107" t="n"/>
      <c r="AI25" s="109">
        <f>IF(ISBLANK(B25), "", IF(ISNUMBER(D25), IF(D25&gt;0, (COUNTIF(E25:AH25, "✓") + COUNTIF(E25:AH25, "✔") + COUNTIF(E25:AH25, "v") + COUNTIF(E25:AH25, "V"))/D25, 0), IF(((COUNTIF(E25:AH25, "✓") + COUNTIF(E25:AH25, "✔") + COUNTIF(E25:AH25, "v") + COUNTIF(E25:AH25, "V")) + COUNTIF(E25:AH25, "✗") + COUNTIF(E25:AH25, "x") + COUNTIF(E25:AH25, "X"))&gt;0, (COUNTIF(E25:AH25, "✓") + COUNTIF(E25:AH25, "✔") + COUNTIF(E25:AH25, "v") + COUNTIF(E25:AH25, "V"))/((COUNTIF(E25:AH25, "✓") + COUNTIF(E25:AH25, "✔") + COUNTIF(E25:AH25, "v") + COUNTIF(E25:AH25, "V")) + COUNTIF(E25:AH25, "✗") + COUNTIF(E25:AH25, "x") + COUNTIF(E25:AH25, "X")), "")))</f>
        <v/>
      </c>
      <c r="AJ25" s="110">
        <f>IF(ISBLANK(B25), "", IF(ISNUMBER(D25), IF(D25&gt;0, (COUNTIF(E25:AH25, "✓") + COUNTIF(E25:AH25, "✔") + COUNTIF(E25:AH25, "v") + COUNTIF(E25:AH25, "V")) &amp; "/" &amp; D25, (COUNTIF(E25:AH25, "✓") + COUNTIF(E25:AH25, "✔") + COUNTIF(E25:AH25, "v") + COUNTIF(E25:AH25, "V")) &amp; "/0"), IF(((COUNTIF(E25:AH25, "✓") + COUNTIF(E25:AH25, "✔") + COUNTIF(E25:AH25, "v") + COUNTIF(E25:AH25, "V")) + COUNTIF(E25:AH25, "✗") + COUNTIF(E25:AH25, "x") + COUNTIF(E25:AH25, "X"))&gt;0, (COUNTIF(E25:AH25, "✓") + COUNTIF(E25:AH25, "✔") + COUNTIF(E25:AH25, "v") + COUNTIF(E25:AH25, "V")) &amp; "/" &amp; ((COUNTIF(E25:AH25, "✓") + COUNTIF(E25:AH25, "✔") + COUNTIF(E25:AH25, "v") + COUNTIF(E25:AH25, "V")) + COUNTIF(E25:AH25, "✗") + COUNTIF(E25:AH25, "x") + COUNTIF(E25:AH25, "X")), "")))</f>
        <v/>
      </c>
      <c r="AK25" s="110">
        <f>IF(ISBLANK(B25), "", IF(AI25&gt;=0.85, "🔥 Mastered", IF(AI25&gt;=0.7, "⚡ Consistent", "⚠️ Needs Focus")))</f>
        <v/>
      </c>
      <c r="AL25">
        <f>COUNTIF(E25:AH25, "✓")</f>
        <v/>
      </c>
    </row>
    <row r="26" ht="14.5" customHeight="1">
      <c r="A26" s="111" t="n">
        <v>9</v>
      </c>
      <c r="B26" s="112" t="n"/>
      <c r="C26" s="113" t="n"/>
      <c r="D26" s="113" t="n"/>
      <c r="E26" s="114" t="n"/>
      <c r="F26" s="114" t="n"/>
      <c r="G26" s="115" t="n"/>
      <c r="H26" s="114" t="n"/>
      <c r="I26" s="114" t="n"/>
      <c r="J26" s="114" t="n"/>
      <c r="K26" s="114" t="n"/>
      <c r="L26" s="114" t="n"/>
      <c r="M26" s="114" t="n"/>
      <c r="N26" s="115" t="n"/>
      <c r="O26" s="114" t="n"/>
      <c r="P26" s="114" t="n"/>
      <c r="Q26" s="114" t="n"/>
      <c r="R26" s="114" t="n"/>
      <c r="S26" s="114" t="n"/>
      <c r="T26" s="114" t="n"/>
      <c r="U26" s="115" t="n"/>
      <c r="V26" s="114" t="n"/>
      <c r="W26" s="114" t="n"/>
      <c r="X26" s="114" t="n"/>
      <c r="Y26" s="114" t="n"/>
      <c r="Z26" s="114" t="n"/>
      <c r="AA26" s="114" t="n"/>
      <c r="AB26" s="115" t="n"/>
      <c r="AC26" s="114" t="n"/>
      <c r="AD26" s="114" t="n"/>
      <c r="AE26" s="114" t="n"/>
      <c r="AF26" s="114" t="n"/>
      <c r="AG26" s="114" t="n"/>
      <c r="AH26" s="114" t="n"/>
      <c r="AI26" s="116">
        <f>IF(ISBLANK(B26), "", IF(ISNUMBER(D26), IF(D26&gt;0, (COUNTIF(E26:AH26, "✓") + COUNTIF(E26:AH26, "✔") + COUNTIF(E26:AH26, "v") + COUNTIF(E26:AH26, "V"))/D26, 0), IF(((COUNTIF(E26:AH26, "✓") + COUNTIF(E26:AH26, "✔") + COUNTIF(E26:AH26, "v") + COUNTIF(E26:AH26, "V")) + COUNTIF(E26:AH26, "✗") + COUNTIF(E26:AH26, "x") + COUNTIF(E26:AH26, "X"))&gt;0, (COUNTIF(E26:AH26, "✓") + COUNTIF(E26:AH26, "✔") + COUNTIF(E26:AH26, "v") + COUNTIF(E26:AH26, "V"))/((COUNTIF(E26:AH26, "✓") + COUNTIF(E26:AH26, "✔") + COUNTIF(E26:AH26, "v") + COUNTIF(E26:AH26, "V")) + COUNTIF(E26:AH26, "✗") + COUNTIF(E26:AH26, "x") + COUNTIF(E26:AH26, "X")), "")))</f>
        <v/>
      </c>
      <c r="AJ26" s="117">
        <f>IF(ISBLANK(B26), "", IF(ISNUMBER(D26), IF(D26&gt;0, (COUNTIF(E26:AH26, "✓") + COUNTIF(E26:AH26, "✔") + COUNTIF(E26:AH26, "v") + COUNTIF(E26:AH26, "V")) &amp; "/" &amp; D26, (COUNTIF(E26:AH26, "✓") + COUNTIF(E26:AH26, "✔") + COUNTIF(E26:AH26, "v") + COUNTIF(E26:AH26, "V")) &amp; "/0"), IF(((COUNTIF(E26:AH26, "✓") + COUNTIF(E26:AH26, "✔") + COUNTIF(E26:AH26, "v") + COUNTIF(E26:AH26, "V")) + COUNTIF(E26:AH26, "✗") + COUNTIF(E26:AH26, "x") + COUNTIF(E26:AH26, "X"))&gt;0, (COUNTIF(E26:AH26, "✓") + COUNTIF(E26:AH26, "✔") + COUNTIF(E26:AH26, "v") + COUNTIF(E26:AH26, "V")) &amp; "/" &amp; ((COUNTIF(E26:AH26, "✓") + COUNTIF(E26:AH26, "✔") + COUNTIF(E26:AH26, "v") + COUNTIF(E26:AH26, "V")) + COUNTIF(E26:AH26, "✗") + COUNTIF(E26:AH26, "x") + COUNTIF(E26:AH26, "X")), "")))</f>
        <v/>
      </c>
      <c r="AK26" s="117">
        <f>IF(ISBLANK(B26), "", IF(AI26&gt;=0.85, "🔥 Mastered", IF(AI26&gt;=0.7, "⚡ Consistent", "⚠️ Needs Focus")))</f>
        <v/>
      </c>
      <c r="AL26">
        <f>COUNTIF(E26:AH26, "✓")</f>
        <v/>
      </c>
    </row>
    <row r="27" ht="14.5" customHeight="1">
      <c r="A27" s="111" t="n">
        <v>10</v>
      </c>
      <c r="B27" s="112" t="n"/>
      <c r="C27" s="113" t="n"/>
      <c r="D27" s="113" t="n"/>
      <c r="E27" s="114" t="n"/>
      <c r="F27" s="114" t="n"/>
      <c r="G27" s="115" t="n"/>
      <c r="H27" s="114" t="n"/>
      <c r="I27" s="114" t="n"/>
      <c r="J27" s="114" t="n"/>
      <c r="K27" s="114" t="n"/>
      <c r="L27" s="114" t="n"/>
      <c r="M27" s="114" t="n"/>
      <c r="N27" s="115" t="n"/>
      <c r="O27" s="114" t="n"/>
      <c r="P27" s="114" t="n"/>
      <c r="Q27" s="114" t="n"/>
      <c r="R27" s="114" t="n"/>
      <c r="S27" s="114" t="n"/>
      <c r="T27" s="114" t="n"/>
      <c r="U27" s="115" t="n"/>
      <c r="V27" s="114" t="n"/>
      <c r="W27" s="114" t="n"/>
      <c r="X27" s="114" t="n"/>
      <c r="Y27" s="114" t="n"/>
      <c r="Z27" s="114" t="n"/>
      <c r="AA27" s="114" t="n"/>
      <c r="AB27" s="115" t="n"/>
      <c r="AC27" s="114" t="n"/>
      <c r="AD27" s="114" t="n"/>
      <c r="AE27" s="114" t="n"/>
      <c r="AF27" s="114" t="n"/>
      <c r="AG27" s="114" t="n"/>
      <c r="AH27" s="114" t="n"/>
      <c r="AI27" s="116">
        <f>IF(ISBLANK(B27), "", IF(ISNUMBER(D27), IF(D27&gt;0, (COUNTIF(E27:AH27, "✓") + COUNTIF(E27:AH27, "✔") + COUNTIF(E27:AH27, "v") + COUNTIF(E27:AH27, "V"))/D27, 0), IF(((COUNTIF(E27:AH27, "✓") + COUNTIF(E27:AH27, "✔") + COUNTIF(E27:AH27, "v") + COUNTIF(E27:AH27, "V")) + COUNTIF(E27:AH27, "✗") + COUNTIF(E27:AH27, "x") + COUNTIF(E27:AH27, "X"))&gt;0, (COUNTIF(E27:AH27, "✓") + COUNTIF(E27:AH27, "✔") + COUNTIF(E27:AH27, "v") + COUNTIF(E27:AH27, "V"))/((COUNTIF(E27:AH27, "✓") + COUNTIF(E27:AH27, "✔") + COUNTIF(E27:AH27, "v") + COUNTIF(E27:AH27, "V")) + COUNTIF(E27:AH27, "✗") + COUNTIF(E27:AH27, "x") + COUNTIF(E27:AH27, "X")), "")))</f>
        <v/>
      </c>
      <c r="AJ27" s="117">
        <f>IF(ISBLANK(B27), "", IF(ISNUMBER(D27), IF(D27&gt;0, (COUNTIF(E27:AH27, "✓") + COUNTIF(E27:AH27, "✔") + COUNTIF(E27:AH27, "v") + COUNTIF(E27:AH27, "V")) &amp; "/" &amp; D27, (COUNTIF(E27:AH27, "✓") + COUNTIF(E27:AH27, "✔") + COUNTIF(E27:AH27, "v") + COUNTIF(E27:AH27, "V")) &amp; "/0"), IF(((COUNTIF(E27:AH27, "✓") + COUNTIF(E27:AH27, "✔") + COUNTIF(E27:AH27, "v") + COUNTIF(E27:AH27, "V")) + COUNTIF(E27:AH27, "✗") + COUNTIF(E27:AH27, "x") + COUNTIF(E27:AH27, "X"))&gt;0, (COUNTIF(E27:AH27, "✓") + COUNTIF(E27:AH27, "✔") + COUNTIF(E27:AH27, "v") + COUNTIF(E27:AH27, "V")) &amp; "/" &amp; ((COUNTIF(E27:AH27, "✓") + COUNTIF(E27:AH27, "✔") + COUNTIF(E27:AH27, "v") + COUNTIF(E27:AH27, "V")) + COUNTIF(E27:AH27, "✗") + COUNTIF(E27:AH27, "x") + COUNTIF(E27:AH27, "X")), "")))</f>
        <v/>
      </c>
      <c r="AK27" s="117">
        <f>IF(ISBLANK(B27), "", IF(AI27&gt;=0.85, "🔥 Mastered", IF(AI27&gt;=0.7, "⚡ Consistent", "⚠️ Needs Focus")))</f>
        <v/>
      </c>
      <c r="AL27">
        <f>COUNTIF(E27:AH27, "✓")</f>
        <v/>
      </c>
    </row>
    <row r="28" ht="14.5" customHeight="1">
      <c r="A28" s="111" t="n">
        <v>11</v>
      </c>
      <c r="B28" s="112" t="n"/>
      <c r="C28" s="113" t="n"/>
      <c r="D28" s="113" t="n"/>
      <c r="E28" s="114" t="n"/>
      <c r="F28" s="114" t="n"/>
      <c r="G28" s="115" t="n"/>
      <c r="H28" s="114" t="n"/>
      <c r="I28" s="114" t="n"/>
      <c r="J28" s="114" t="n"/>
      <c r="K28" s="114" t="n"/>
      <c r="L28" s="114" t="n"/>
      <c r="M28" s="114" t="n"/>
      <c r="N28" s="115" t="n"/>
      <c r="O28" s="114" t="n"/>
      <c r="P28" s="114" t="n"/>
      <c r="Q28" s="114" t="n"/>
      <c r="R28" s="114" t="n"/>
      <c r="S28" s="114" t="n"/>
      <c r="T28" s="114" t="n"/>
      <c r="U28" s="115" t="n"/>
      <c r="V28" s="114" t="n"/>
      <c r="W28" s="114" t="n"/>
      <c r="X28" s="114" t="n"/>
      <c r="Y28" s="114" t="n"/>
      <c r="Z28" s="114" t="n"/>
      <c r="AA28" s="114" t="n"/>
      <c r="AB28" s="115" t="n"/>
      <c r="AC28" s="114" t="n"/>
      <c r="AD28" s="114" t="n"/>
      <c r="AE28" s="114" t="n"/>
      <c r="AF28" s="114" t="n"/>
      <c r="AG28" s="114" t="n"/>
      <c r="AH28" s="114" t="n"/>
      <c r="AI28" s="116">
        <f>IF(ISBLANK(B28), "", IF(ISNUMBER(D28), IF(D28&gt;0, (COUNTIF(E28:AH28, "✓") + COUNTIF(E28:AH28, "✔") + COUNTIF(E28:AH28, "v") + COUNTIF(E28:AH28, "V"))/D28, 0), IF(((COUNTIF(E28:AH28, "✓") + COUNTIF(E28:AH28, "✔") + COUNTIF(E28:AH28, "v") + COUNTIF(E28:AH28, "V")) + COUNTIF(E28:AH28, "✗") + COUNTIF(E28:AH28, "x") + COUNTIF(E28:AH28, "X"))&gt;0, (COUNTIF(E28:AH28, "✓") + COUNTIF(E28:AH28, "✔") + COUNTIF(E28:AH28, "v") + COUNTIF(E28:AH28, "V"))/((COUNTIF(E28:AH28, "✓") + COUNTIF(E28:AH28, "✔") + COUNTIF(E28:AH28, "v") + COUNTIF(E28:AH28, "V")) + COUNTIF(E28:AH28, "✗") + COUNTIF(E28:AH28, "x") + COUNTIF(E28:AH28, "X")), "")))</f>
        <v/>
      </c>
      <c r="AJ28" s="117">
        <f>IF(ISBLANK(B28), "", IF(ISNUMBER(D28), IF(D28&gt;0, (COUNTIF(E28:AH28, "✓") + COUNTIF(E28:AH28, "✔") + COUNTIF(E28:AH28, "v") + COUNTIF(E28:AH28, "V")) &amp; "/" &amp; D28, (COUNTIF(E28:AH28, "✓") + COUNTIF(E28:AH28, "✔") + COUNTIF(E28:AH28, "v") + COUNTIF(E28:AH28, "V")) &amp; "/0"), IF(((COUNTIF(E28:AH28, "✓") + COUNTIF(E28:AH28, "✔") + COUNTIF(E28:AH28, "v") + COUNTIF(E28:AH28, "V")) + COUNTIF(E28:AH28, "✗") + COUNTIF(E28:AH28, "x") + COUNTIF(E28:AH28, "X"))&gt;0, (COUNTIF(E28:AH28, "✓") + COUNTIF(E28:AH28, "✔") + COUNTIF(E28:AH28, "v") + COUNTIF(E28:AH28, "V")) &amp; "/" &amp; ((COUNTIF(E28:AH28, "✓") + COUNTIF(E28:AH28, "✔") + COUNTIF(E28:AH28, "v") + COUNTIF(E28:AH28, "V")) + COUNTIF(E28:AH28, "✗") + COUNTIF(E28:AH28, "x") + COUNTIF(E28:AH28, "X")), "")))</f>
        <v/>
      </c>
      <c r="AK28" s="117">
        <f>IF(ISBLANK(B28), "", IF(AI28&gt;=0.85, "🔥 Mastered", IF(AI28&gt;=0.7, "⚡ Consistent", "⚠️ Needs Focus")))</f>
        <v/>
      </c>
      <c r="AL28">
        <f>COUNTIF(E28:AH28, "✓")</f>
        <v/>
      </c>
    </row>
    <row r="29" ht="14.5" customHeight="1">
      <c r="A29" s="111" t="n">
        <v>12</v>
      </c>
      <c r="B29" s="112" t="n"/>
      <c r="C29" s="113" t="n"/>
      <c r="D29" s="113" t="n"/>
      <c r="E29" s="114" t="n"/>
      <c r="F29" s="114" t="n"/>
      <c r="G29" s="115" t="n"/>
      <c r="H29" s="114" t="n"/>
      <c r="I29" s="114" t="n"/>
      <c r="J29" s="114" t="n"/>
      <c r="K29" s="114" t="n"/>
      <c r="L29" s="114" t="n"/>
      <c r="M29" s="114" t="n"/>
      <c r="N29" s="115" t="n"/>
      <c r="O29" s="114" t="n"/>
      <c r="P29" s="114" t="n"/>
      <c r="Q29" s="114" t="n"/>
      <c r="R29" s="114" t="n"/>
      <c r="S29" s="114" t="n"/>
      <c r="T29" s="114" t="n"/>
      <c r="U29" s="115" t="n"/>
      <c r="V29" s="114" t="n"/>
      <c r="W29" s="114" t="n"/>
      <c r="X29" s="114" t="n"/>
      <c r="Y29" s="114" t="n"/>
      <c r="Z29" s="114" t="n"/>
      <c r="AA29" s="114" t="n"/>
      <c r="AB29" s="115" t="n"/>
      <c r="AC29" s="114" t="n"/>
      <c r="AD29" s="114" t="n"/>
      <c r="AE29" s="114" t="n"/>
      <c r="AF29" s="114" t="n"/>
      <c r="AG29" s="114" t="n"/>
      <c r="AH29" s="114" t="n"/>
      <c r="AI29" s="116">
        <f>IF(ISBLANK(B29), "", IF(ISNUMBER(D29), IF(D29&gt;0, (COUNTIF(E29:AH29, "✓") + COUNTIF(E29:AH29, "✔") + COUNTIF(E29:AH29, "v") + COUNTIF(E29:AH29, "V"))/D29, 0), IF(((COUNTIF(E29:AH29, "✓") + COUNTIF(E29:AH29, "✔") + COUNTIF(E29:AH29, "v") + COUNTIF(E29:AH29, "V")) + COUNTIF(E29:AH29, "✗") + COUNTIF(E29:AH29, "x") + COUNTIF(E29:AH29, "X"))&gt;0, (COUNTIF(E29:AH29, "✓") + COUNTIF(E29:AH29, "✔") + COUNTIF(E29:AH29, "v") + COUNTIF(E29:AH29, "V"))/((COUNTIF(E29:AH29, "✓") + COUNTIF(E29:AH29, "✔") + COUNTIF(E29:AH29, "v") + COUNTIF(E29:AH29, "V")) + COUNTIF(E29:AH29, "✗") + COUNTIF(E29:AH29, "x") + COUNTIF(E29:AH29, "X")), "")))</f>
        <v/>
      </c>
      <c r="AJ29" s="117">
        <f>IF(ISBLANK(B29), "", IF(ISNUMBER(D29), IF(D29&gt;0, (COUNTIF(E29:AH29, "✓") + COUNTIF(E29:AH29, "✔") + COUNTIF(E29:AH29, "v") + COUNTIF(E29:AH29, "V")) &amp; "/" &amp; D29, (COUNTIF(E29:AH29, "✓") + COUNTIF(E29:AH29, "✔") + COUNTIF(E29:AH29, "v") + COUNTIF(E29:AH29, "V")) &amp; "/0"), IF(((COUNTIF(E29:AH29, "✓") + COUNTIF(E29:AH29, "✔") + COUNTIF(E29:AH29, "v") + COUNTIF(E29:AH29, "V")) + COUNTIF(E29:AH29, "✗") + COUNTIF(E29:AH29, "x") + COUNTIF(E29:AH29, "X"))&gt;0, (COUNTIF(E29:AH29, "✓") + COUNTIF(E29:AH29, "✔") + COUNTIF(E29:AH29, "v") + COUNTIF(E29:AH29, "V")) &amp; "/" &amp; ((COUNTIF(E29:AH29, "✓") + COUNTIF(E29:AH29, "✔") + COUNTIF(E29:AH29, "v") + COUNTIF(E29:AH29, "V")) + COUNTIF(E29:AH29, "✗") + COUNTIF(E29:AH29, "x") + COUNTIF(E29:AH29, "X")), "")))</f>
        <v/>
      </c>
      <c r="AK29" s="117">
        <f>IF(ISBLANK(B29), "", IF(AI29&gt;=0.85, "🔥 Mastered", IF(AI29&gt;=0.7, "⚡ Consistent", "⚠️ Needs Focus")))</f>
        <v/>
      </c>
      <c r="AL29">
        <f>COUNTIF(E29:AH29, "✓")</f>
        <v/>
      </c>
    </row>
    <row r="30" ht="14.5" customHeight="1">
      <c r="A30" s="118" t="n">
        <v>13</v>
      </c>
      <c r="B30" s="119" t="n"/>
      <c r="C30" s="120" t="n"/>
      <c r="D30" s="120" t="n"/>
      <c r="E30" s="121" t="n"/>
      <c r="F30" s="121" t="n"/>
      <c r="G30" s="122" t="n"/>
      <c r="H30" s="121" t="n"/>
      <c r="I30" s="121" t="n"/>
      <c r="J30" s="121" t="n"/>
      <c r="K30" s="121" t="n"/>
      <c r="L30" s="121" t="n"/>
      <c r="M30" s="121" t="n"/>
      <c r="N30" s="122" t="n"/>
      <c r="O30" s="121" t="n"/>
      <c r="P30" s="121" t="n"/>
      <c r="Q30" s="121" t="n"/>
      <c r="R30" s="121" t="n"/>
      <c r="S30" s="121" t="n"/>
      <c r="T30" s="121" t="n"/>
      <c r="U30" s="122" t="n"/>
      <c r="V30" s="121" t="n"/>
      <c r="W30" s="121" t="n"/>
      <c r="X30" s="121" t="n"/>
      <c r="Y30" s="121" t="n"/>
      <c r="Z30" s="121" t="n"/>
      <c r="AA30" s="121" t="n"/>
      <c r="AB30" s="122" t="n"/>
      <c r="AC30" s="121" t="n"/>
      <c r="AD30" s="121" t="n"/>
      <c r="AE30" s="121" t="n"/>
      <c r="AF30" s="121" t="n"/>
      <c r="AG30" s="121" t="n"/>
      <c r="AH30" s="121" t="n"/>
      <c r="AI30" s="123">
        <f>IF(ISBLANK(B30), "", IF(ISNUMBER(D30), IF(D30&gt;0, (COUNTIF(E30:AH30, "✓") + COUNTIF(E30:AH30, "✔") + COUNTIF(E30:AH30, "v") + COUNTIF(E30:AH30, "V"))/D30, 0), IF(((COUNTIF(E30:AH30, "✓") + COUNTIF(E30:AH30, "✔") + COUNTIF(E30:AH30, "v") + COUNTIF(E30:AH30, "V")) + COUNTIF(E30:AH30, "✗") + COUNTIF(E30:AH30, "x") + COUNTIF(E30:AH30, "X"))&gt;0, (COUNTIF(E30:AH30, "✓") + COUNTIF(E30:AH30, "✔") + COUNTIF(E30:AH30, "v") + COUNTIF(E30:AH30, "V"))/((COUNTIF(E30:AH30, "✓") + COUNTIF(E30:AH30, "✔") + COUNTIF(E30:AH30, "v") + COUNTIF(E30:AH30, "V")) + COUNTIF(E30:AH30, "✗") + COUNTIF(E30:AH30, "x") + COUNTIF(E30:AH30, "X")), "")))</f>
        <v/>
      </c>
      <c r="AJ30" s="124">
        <f>IF(ISBLANK(B30), "", IF(ISNUMBER(D30), IF(D30&gt;0, (COUNTIF(E30:AH30, "✓") + COUNTIF(E30:AH30, "✔") + COUNTIF(E30:AH30, "v") + COUNTIF(E30:AH30, "V")) &amp; "/" &amp; D30, (COUNTIF(E30:AH30, "✓") + COUNTIF(E30:AH30, "✔") + COUNTIF(E30:AH30, "v") + COUNTIF(E30:AH30, "V")) &amp; "/0"), IF(((COUNTIF(E30:AH30, "✓") + COUNTIF(E30:AH30, "✔") + COUNTIF(E30:AH30, "v") + COUNTIF(E30:AH30, "V")) + COUNTIF(E30:AH30, "✗") + COUNTIF(E30:AH30, "x") + COUNTIF(E30:AH30, "X"))&gt;0, (COUNTIF(E30:AH30, "✓") + COUNTIF(E30:AH30, "✔") + COUNTIF(E30:AH30, "v") + COUNTIF(E30:AH30, "V")) &amp; "/" &amp; ((COUNTIF(E30:AH30, "✓") + COUNTIF(E30:AH30, "✔") + COUNTIF(E30:AH30, "v") + COUNTIF(E30:AH30, "V")) + COUNTIF(E30:AH30, "✗") + COUNTIF(E30:AH30, "x") + COUNTIF(E30:AH30, "X")), "")))</f>
        <v/>
      </c>
      <c r="AK30" s="124">
        <f>IF(ISBLANK(B30), "", IF(AI30&gt;=0.85, "🔥 Mastered", IF(AI30&gt;=0.7, "⚡ Consistent", "⚠️ Needs Focus")))</f>
        <v/>
      </c>
      <c r="AL30">
        <f>COUNTIF(E30:AH30, "✓")</f>
        <v/>
      </c>
    </row>
    <row r="31" ht="14.5" customHeight="1">
      <c r="A31" s="118" t="n">
        <v>14</v>
      </c>
      <c r="B31" s="119" t="n"/>
      <c r="C31" s="120" t="n"/>
      <c r="D31" s="120" t="n"/>
      <c r="E31" s="121" t="n"/>
      <c r="F31" s="121" t="n"/>
      <c r="G31" s="122" t="n"/>
      <c r="H31" s="121" t="n"/>
      <c r="I31" s="121" t="n"/>
      <c r="J31" s="121" t="n"/>
      <c r="K31" s="121" t="n"/>
      <c r="L31" s="121" t="n"/>
      <c r="M31" s="121" t="n"/>
      <c r="N31" s="122" t="n"/>
      <c r="O31" s="121" t="n"/>
      <c r="P31" s="121" t="n"/>
      <c r="Q31" s="121" t="n"/>
      <c r="R31" s="121" t="n"/>
      <c r="S31" s="121" t="n"/>
      <c r="T31" s="121" t="n"/>
      <c r="U31" s="122" t="n"/>
      <c r="V31" s="121" t="n"/>
      <c r="W31" s="121" t="n"/>
      <c r="X31" s="121" t="n"/>
      <c r="Y31" s="121" t="n"/>
      <c r="Z31" s="121" t="n"/>
      <c r="AA31" s="121" t="n"/>
      <c r="AB31" s="122" t="n"/>
      <c r="AC31" s="121" t="n"/>
      <c r="AD31" s="121" t="n"/>
      <c r="AE31" s="121" t="n"/>
      <c r="AF31" s="121" t="n"/>
      <c r="AG31" s="121" t="n"/>
      <c r="AH31" s="121" t="n"/>
      <c r="AI31" s="123">
        <f>IF(ISBLANK(B31), "", IF(ISNUMBER(D31), IF(D31&gt;0, (COUNTIF(E31:AH31, "✓") + COUNTIF(E31:AH31, "✔") + COUNTIF(E31:AH31, "v") + COUNTIF(E31:AH31, "V"))/D31, 0), IF(((COUNTIF(E31:AH31, "✓") + COUNTIF(E31:AH31, "✔") + COUNTIF(E31:AH31, "v") + COUNTIF(E31:AH31, "V")) + COUNTIF(E31:AH31, "✗") + COUNTIF(E31:AH31, "x") + COUNTIF(E31:AH31, "X"))&gt;0, (COUNTIF(E31:AH31, "✓") + COUNTIF(E31:AH31, "✔") + COUNTIF(E31:AH31, "v") + COUNTIF(E31:AH31, "V"))/((COUNTIF(E31:AH31, "✓") + COUNTIF(E31:AH31, "✔") + COUNTIF(E31:AH31, "v") + COUNTIF(E31:AH31, "V")) + COUNTIF(E31:AH31, "✗") + COUNTIF(E31:AH31, "x") + COUNTIF(E31:AH31, "X")), "")))</f>
        <v/>
      </c>
      <c r="AJ31" s="124">
        <f>IF(ISBLANK(B31), "", IF(ISNUMBER(D31), IF(D31&gt;0, (COUNTIF(E31:AH31, "✓") + COUNTIF(E31:AH31, "✔") + COUNTIF(E31:AH31, "v") + COUNTIF(E31:AH31, "V")) &amp; "/" &amp; D31, (COUNTIF(E31:AH31, "✓") + COUNTIF(E31:AH31, "✔") + COUNTIF(E31:AH31, "v") + COUNTIF(E31:AH31, "V")) &amp; "/0"), IF(((COUNTIF(E31:AH31, "✓") + COUNTIF(E31:AH31, "✔") + COUNTIF(E31:AH31, "v") + COUNTIF(E31:AH31, "V")) + COUNTIF(E31:AH31, "✗") + COUNTIF(E31:AH31, "x") + COUNTIF(E31:AH31, "X"))&gt;0, (COUNTIF(E31:AH31, "✓") + COUNTIF(E31:AH31, "✔") + COUNTIF(E31:AH31, "v") + COUNTIF(E31:AH31, "V")) &amp; "/" &amp; ((COUNTIF(E31:AH31, "✓") + COUNTIF(E31:AH31, "✔") + COUNTIF(E31:AH31, "v") + COUNTIF(E31:AH31, "V")) + COUNTIF(E31:AH31, "✗") + COUNTIF(E31:AH31, "x") + COUNTIF(E31:AH31, "X")), "")))</f>
        <v/>
      </c>
      <c r="AK31" s="124">
        <f>IF(ISBLANK(B31), "", IF(AI31&gt;=0.85, "🔥 Mastered", IF(AI31&gt;=0.7, "⚡ Consistent", "⚠️ Needs Focus")))</f>
        <v/>
      </c>
      <c r="AL31">
        <f>COUNTIF(E31:AH31, "✓")</f>
        <v/>
      </c>
    </row>
    <row r="32" ht="14.5" customHeight="1">
      <c r="A32" s="118" t="n">
        <v>15</v>
      </c>
      <c r="B32" s="119" t="n"/>
      <c r="C32" s="120" t="n"/>
      <c r="D32" s="120" t="n"/>
      <c r="E32" s="121" t="n"/>
      <c r="F32" s="121" t="n"/>
      <c r="G32" s="122" t="n"/>
      <c r="H32" s="121" t="n"/>
      <c r="I32" s="121" t="n"/>
      <c r="J32" s="121" t="n"/>
      <c r="K32" s="121" t="n"/>
      <c r="L32" s="121" t="n"/>
      <c r="M32" s="121" t="n"/>
      <c r="N32" s="122" t="n"/>
      <c r="O32" s="121" t="n"/>
      <c r="P32" s="121" t="n"/>
      <c r="Q32" s="121" t="n"/>
      <c r="R32" s="121" t="n"/>
      <c r="S32" s="121" t="n"/>
      <c r="T32" s="121" t="n"/>
      <c r="U32" s="122" t="n"/>
      <c r="V32" s="121" t="n"/>
      <c r="W32" s="121" t="n"/>
      <c r="X32" s="121" t="n"/>
      <c r="Y32" s="121" t="n"/>
      <c r="Z32" s="121" t="n"/>
      <c r="AA32" s="121" t="n"/>
      <c r="AB32" s="122" t="n"/>
      <c r="AC32" s="121" t="n"/>
      <c r="AD32" s="121" t="n"/>
      <c r="AE32" s="121" t="n"/>
      <c r="AF32" s="121" t="n"/>
      <c r="AG32" s="121" t="n"/>
      <c r="AH32" s="121" t="n"/>
      <c r="AI32" s="123">
        <f>IF(ISBLANK(B32), "", IF(ISNUMBER(D32), IF(D32&gt;0, (COUNTIF(E32:AH32, "✓") + COUNTIF(E32:AH32, "✔") + COUNTIF(E32:AH32, "v") + COUNTIF(E32:AH32, "V"))/D32, 0), IF(((COUNTIF(E32:AH32, "✓") + COUNTIF(E32:AH32, "✔") + COUNTIF(E32:AH32, "v") + COUNTIF(E32:AH32, "V")) + COUNTIF(E32:AH32, "✗") + COUNTIF(E32:AH32, "x") + COUNTIF(E32:AH32, "X"))&gt;0, (COUNTIF(E32:AH32, "✓") + COUNTIF(E32:AH32, "✔") + COUNTIF(E32:AH32, "v") + COUNTIF(E32:AH32, "V"))/((COUNTIF(E32:AH32, "✓") + COUNTIF(E32:AH32, "✔") + COUNTIF(E32:AH32, "v") + COUNTIF(E32:AH32, "V")) + COUNTIF(E32:AH32, "✗") + COUNTIF(E32:AH32, "x") + COUNTIF(E32:AH32, "X")), "")))</f>
        <v/>
      </c>
      <c r="AJ32" s="124">
        <f>IF(ISBLANK(B32), "", IF(ISNUMBER(D32), IF(D32&gt;0, (COUNTIF(E32:AH32, "✓") + COUNTIF(E32:AH32, "✔") + COUNTIF(E32:AH32, "v") + COUNTIF(E32:AH32, "V")) &amp; "/" &amp; D32, (COUNTIF(E32:AH32, "✓") + COUNTIF(E32:AH32, "✔") + COUNTIF(E32:AH32, "v") + COUNTIF(E32:AH32, "V")) &amp; "/0"), IF(((COUNTIF(E32:AH32, "✓") + COUNTIF(E32:AH32, "✔") + COUNTIF(E32:AH32, "v") + COUNTIF(E32:AH32, "V")) + COUNTIF(E32:AH32, "✗") + COUNTIF(E32:AH32, "x") + COUNTIF(E32:AH32, "X"))&gt;0, (COUNTIF(E32:AH32, "✓") + COUNTIF(E32:AH32, "✔") + COUNTIF(E32:AH32, "v") + COUNTIF(E32:AH32, "V")) &amp; "/" &amp; ((COUNTIF(E32:AH32, "✓") + COUNTIF(E32:AH32, "✔") + COUNTIF(E32:AH32, "v") + COUNTIF(E32:AH32, "V")) + COUNTIF(E32:AH32, "✗") + COUNTIF(E32:AH32, "x") + COUNTIF(E32:AH32, "X")), "")))</f>
        <v/>
      </c>
      <c r="AK32" s="124">
        <f>IF(ISBLANK(B32), "", IF(AI32&gt;=0.85, "🔥 Mastered", IF(AI32&gt;=0.7, "⚡ Consistent", "⚠️ Needs Focus")))</f>
        <v/>
      </c>
      <c r="AL32">
        <f>COUNTIF(E32:AH32, "✓")</f>
        <v/>
      </c>
    </row>
    <row r="33" ht="14.5" customHeight="1">
      <c r="A33" s="118" t="n">
        <v>16</v>
      </c>
      <c r="B33" s="119" t="n"/>
      <c r="C33" s="120" t="n"/>
      <c r="D33" s="120" t="n"/>
      <c r="E33" s="121" t="n"/>
      <c r="F33" s="121" t="n"/>
      <c r="G33" s="122" t="n"/>
      <c r="H33" s="121" t="n"/>
      <c r="I33" s="121" t="n"/>
      <c r="J33" s="121" t="n"/>
      <c r="K33" s="121" t="n"/>
      <c r="L33" s="121" t="n"/>
      <c r="M33" s="121" t="n"/>
      <c r="N33" s="122" t="n"/>
      <c r="O33" s="121" t="n"/>
      <c r="P33" s="121" t="n"/>
      <c r="Q33" s="121" t="n"/>
      <c r="R33" s="121" t="n"/>
      <c r="S33" s="121" t="n"/>
      <c r="T33" s="121" t="n"/>
      <c r="U33" s="122" t="n"/>
      <c r="V33" s="121" t="n"/>
      <c r="W33" s="121" t="n"/>
      <c r="X33" s="121" t="n"/>
      <c r="Y33" s="121" t="n"/>
      <c r="Z33" s="121" t="n"/>
      <c r="AA33" s="121" t="n"/>
      <c r="AB33" s="122" t="n"/>
      <c r="AC33" s="121" t="n"/>
      <c r="AD33" s="121" t="n"/>
      <c r="AE33" s="121" t="n"/>
      <c r="AF33" s="121" t="n"/>
      <c r="AG33" s="121" t="n"/>
      <c r="AH33" s="121" t="n"/>
      <c r="AI33" s="123">
        <f>IF(ISBLANK(B33), "", IF(ISNUMBER(D33), IF(D33&gt;0, (COUNTIF(E33:AH33, "✓") + COUNTIF(E33:AH33, "✔") + COUNTIF(E33:AH33, "v") + COUNTIF(E33:AH33, "V"))/D33, 0), IF(((COUNTIF(E33:AH33, "✓") + COUNTIF(E33:AH33, "✔") + COUNTIF(E33:AH33, "v") + COUNTIF(E33:AH33, "V")) + COUNTIF(E33:AH33, "✗") + COUNTIF(E33:AH33, "x") + COUNTIF(E33:AH33, "X"))&gt;0, (COUNTIF(E33:AH33, "✓") + COUNTIF(E33:AH33, "✔") + COUNTIF(E33:AH33, "v") + COUNTIF(E33:AH33, "V"))/((COUNTIF(E33:AH33, "✓") + COUNTIF(E33:AH33, "✔") + COUNTIF(E33:AH33, "v") + COUNTIF(E33:AH33, "V")) + COUNTIF(E33:AH33, "✗") + COUNTIF(E33:AH33, "x") + COUNTIF(E33:AH33, "X")), "")))</f>
        <v/>
      </c>
      <c r="AJ33" s="124">
        <f>IF(ISBLANK(B33), "", IF(ISNUMBER(D33), IF(D33&gt;0, (COUNTIF(E33:AH33, "✓") + COUNTIF(E33:AH33, "✔") + COUNTIF(E33:AH33, "v") + COUNTIF(E33:AH33, "V")) &amp; "/" &amp; D33, (COUNTIF(E33:AH33, "✓") + COUNTIF(E33:AH33, "✔") + COUNTIF(E33:AH33, "v") + COUNTIF(E33:AH33, "V")) &amp; "/0"), IF(((COUNTIF(E33:AH33, "✓") + COUNTIF(E33:AH33, "✔") + COUNTIF(E33:AH33, "v") + COUNTIF(E33:AH33, "V")) + COUNTIF(E33:AH33, "✗") + COUNTIF(E33:AH33, "x") + COUNTIF(E33:AH33, "X"))&gt;0, (COUNTIF(E33:AH33, "✓") + COUNTIF(E33:AH33, "✔") + COUNTIF(E33:AH33, "v") + COUNTIF(E33:AH33, "V")) &amp; "/" &amp; ((COUNTIF(E33:AH33, "✓") + COUNTIF(E33:AH33, "✔") + COUNTIF(E33:AH33, "v") + COUNTIF(E33:AH33, "V")) + COUNTIF(E33:AH33, "✗") + COUNTIF(E33:AH33, "x") + COUNTIF(E33:AH33, "X")), "")))</f>
        <v/>
      </c>
      <c r="AK33" s="124">
        <f>IF(ISBLANK(B33), "", IF(AI33&gt;=0.85, "🔥 Mastered", IF(AI33&gt;=0.7, "⚡ Consistent", "⚠️ Needs Focus")))</f>
        <v/>
      </c>
      <c r="AL33">
        <f>COUNTIF(E33:AH33, "✓")</f>
        <v/>
      </c>
    </row>
    <row r="34" ht="14.5" customHeight="1">
      <c r="A34" s="125" t="n">
        <v>17</v>
      </c>
      <c r="B34" s="126" t="n"/>
      <c r="C34" s="127" t="n"/>
      <c r="D34" s="127" t="n"/>
      <c r="E34" s="128" t="n"/>
      <c r="F34" s="128" t="n"/>
      <c r="G34" s="129" t="n"/>
      <c r="H34" s="128" t="n"/>
      <c r="I34" s="128" t="n"/>
      <c r="J34" s="128" t="n"/>
      <c r="K34" s="128" t="n"/>
      <c r="L34" s="128" t="n"/>
      <c r="M34" s="128" t="n"/>
      <c r="N34" s="129" t="n"/>
      <c r="O34" s="128" t="n"/>
      <c r="P34" s="128" t="n"/>
      <c r="Q34" s="128" t="n"/>
      <c r="R34" s="128" t="n"/>
      <c r="S34" s="128" t="n"/>
      <c r="T34" s="128" t="n"/>
      <c r="U34" s="129" t="n"/>
      <c r="V34" s="128" t="n"/>
      <c r="W34" s="128" t="n"/>
      <c r="X34" s="128" t="n"/>
      <c r="Y34" s="128" t="n"/>
      <c r="Z34" s="128" t="n"/>
      <c r="AA34" s="128" t="n"/>
      <c r="AB34" s="129" t="n"/>
      <c r="AC34" s="128" t="n"/>
      <c r="AD34" s="128" t="n"/>
      <c r="AE34" s="128" t="n"/>
      <c r="AF34" s="128" t="n"/>
      <c r="AG34" s="128" t="n"/>
      <c r="AH34" s="128" t="n"/>
      <c r="AI34" s="130">
        <f>IF(ISBLANK(B34), "", IF(ISNUMBER(D34), IF(D34&gt;0, (COUNTIF(E34:AH34, "✓") + COUNTIF(E34:AH34, "✔") + COUNTIF(E34:AH34, "v") + COUNTIF(E34:AH34, "V"))/D34, 0), IF(((COUNTIF(E34:AH34, "✓") + COUNTIF(E34:AH34, "✔") + COUNTIF(E34:AH34, "v") + COUNTIF(E34:AH34, "V")) + COUNTIF(E34:AH34, "✗") + COUNTIF(E34:AH34, "x") + COUNTIF(E34:AH34, "X"))&gt;0, (COUNTIF(E34:AH34, "✓") + COUNTIF(E34:AH34, "✔") + COUNTIF(E34:AH34, "v") + COUNTIF(E34:AH34, "V"))/((COUNTIF(E34:AH34, "✓") + COUNTIF(E34:AH34, "✔") + COUNTIF(E34:AH34, "v") + COUNTIF(E34:AH34, "V")) + COUNTIF(E34:AH34, "✗") + COUNTIF(E34:AH34, "x") + COUNTIF(E34:AH34, "X")), "")))</f>
        <v/>
      </c>
      <c r="AJ34" s="131">
        <f>IF(ISBLANK(B34), "", IF(ISNUMBER(D34), IF(D34&gt;0, (COUNTIF(E34:AH34, "✓") + COUNTIF(E34:AH34, "✔") + COUNTIF(E34:AH34, "v") + COUNTIF(E34:AH34, "V")) &amp; "/" &amp; D34, (COUNTIF(E34:AH34, "✓") + COUNTIF(E34:AH34, "✔") + COUNTIF(E34:AH34, "v") + COUNTIF(E34:AH34, "V")) &amp; "/0"), IF(((COUNTIF(E34:AH34, "✓") + COUNTIF(E34:AH34, "✔") + COUNTIF(E34:AH34, "v") + COUNTIF(E34:AH34, "V")) + COUNTIF(E34:AH34, "✗") + COUNTIF(E34:AH34, "x") + COUNTIF(E34:AH34, "X"))&gt;0, (COUNTIF(E34:AH34, "✓") + COUNTIF(E34:AH34, "✔") + COUNTIF(E34:AH34, "v") + COUNTIF(E34:AH34, "V")) &amp; "/" &amp; ((COUNTIF(E34:AH34, "✓") + COUNTIF(E34:AH34, "✔") + COUNTIF(E34:AH34, "v") + COUNTIF(E34:AH34, "V")) + COUNTIF(E34:AH34, "✗") + COUNTIF(E34:AH34, "x") + COUNTIF(E34:AH34, "X")), "")))</f>
        <v/>
      </c>
      <c r="AK34" s="131">
        <f>IF(ISBLANK(B34), "", IF(AI34&gt;=0.85, "🔥 Mastered", IF(AI34&gt;=0.7, "⚡ Consistent", "⚠️ Needs Focus")))</f>
        <v/>
      </c>
      <c r="AL34">
        <f>COUNTIF(E34:AH34, "✓")</f>
        <v/>
      </c>
    </row>
    <row r="35" ht="14.5" customHeight="1">
      <c r="A35" s="125" t="n">
        <v>18</v>
      </c>
      <c r="B35" s="126" t="n"/>
      <c r="C35" s="127" t="n"/>
      <c r="D35" s="127" t="n"/>
      <c r="E35" s="128" t="n"/>
      <c r="F35" s="128" t="n"/>
      <c r="G35" s="129" t="n"/>
      <c r="H35" s="128" t="n"/>
      <c r="I35" s="128" t="n"/>
      <c r="J35" s="128" t="n"/>
      <c r="K35" s="128" t="n"/>
      <c r="L35" s="128" t="n"/>
      <c r="M35" s="128" t="n"/>
      <c r="N35" s="129" t="n"/>
      <c r="O35" s="128" t="n"/>
      <c r="P35" s="128" t="n"/>
      <c r="Q35" s="128" t="n"/>
      <c r="R35" s="128" t="n"/>
      <c r="S35" s="128" t="n"/>
      <c r="T35" s="128" t="n"/>
      <c r="U35" s="129" t="n"/>
      <c r="V35" s="128" t="n"/>
      <c r="W35" s="128" t="n"/>
      <c r="X35" s="128" t="n"/>
      <c r="Y35" s="128" t="n"/>
      <c r="Z35" s="128" t="n"/>
      <c r="AA35" s="128" t="n"/>
      <c r="AB35" s="129" t="n"/>
      <c r="AC35" s="128" t="n"/>
      <c r="AD35" s="128" t="n"/>
      <c r="AE35" s="128" t="n"/>
      <c r="AF35" s="128" t="n"/>
      <c r="AG35" s="128" t="n"/>
      <c r="AH35" s="128" t="n"/>
      <c r="AI35" s="130">
        <f>IF(ISBLANK(B35), "", IF(ISNUMBER(D35), IF(D35&gt;0, (COUNTIF(E35:AH35, "✓") + COUNTIF(E35:AH35, "✔") + COUNTIF(E35:AH35, "v") + COUNTIF(E35:AH35, "V"))/D35, 0), IF(((COUNTIF(E35:AH35, "✓") + COUNTIF(E35:AH35, "✔") + COUNTIF(E35:AH35, "v") + COUNTIF(E35:AH35, "V")) + COUNTIF(E35:AH35, "✗") + COUNTIF(E35:AH35, "x") + COUNTIF(E35:AH35, "X"))&gt;0, (COUNTIF(E35:AH35, "✓") + COUNTIF(E35:AH35, "✔") + COUNTIF(E35:AH35, "v") + COUNTIF(E35:AH35, "V"))/((COUNTIF(E35:AH35, "✓") + COUNTIF(E35:AH35, "✔") + COUNTIF(E35:AH35, "v") + COUNTIF(E35:AH35, "V")) + COUNTIF(E35:AH35, "✗") + COUNTIF(E35:AH35, "x") + COUNTIF(E35:AH35, "X")), "")))</f>
        <v/>
      </c>
      <c r="AJ35" s="131">
        <f>IF(ISBLANK(B35), "", IF(ISNUMBER(D35), IF(D35&gt;0, (COUNTIF(E35:AH35, "✓") + COUNTIF(E35:AH35, "✔") + COUNTIF(E35:AH35, "v") + COUNTIF(E35:AH35, "V")) &amp; "/" &amp; D35, (COUNTIF(E35:AH35, "✓") + COUNTIF(E35:AH35, "✔") + COUNTIF(E35:AH35, "v") + COUNTIF(E35:AH35, "V")) &amp; "/0"), IF(((COUNTIF(E35:AH35, "✓") + COUNTIF(E35:AH35, "✔") + COUNTIF(E35:AH35, "v") + COUNTIF(E35:AH35, "V")) + COUNTIF(E35:AH35, "✗") + COUNTIF(E35:AH35, "x") + COUNTIF(E35:AH35, "X"))&gt;0, (COUNTIF(E35:AH35, "✓") + COUNTIF(E35:AH35, "✔") + COUNTIF(E35:AH35, "v") + COUNTIF(E35:AH35, "V")) &amp; "/" &amp; ((COUNTIF(E35:AH35, "✓") + COUNTIF(E35:AH35, "✔") + COUNTIF(E35:AH35, "v") + COUNTIF(E35:AH35, "V")) + COUNTIF(E35:AH35, "✗") + COUNTIF(E35:AH35, "x") + COUNTIF(E35:AH35, "X")), "")))</f>
        <v/>
      </c>
      <c r="AK35" s="131">
        <f>IF(ISBLANK(B35), "", IF(AI35&gt;=0.85, "🔥 Mastered", IF(AI35&gt;=0.7, "⚡ Consistent", "⚠️ Needs Focus")))</f>
        <v/>
      </c>
      <c r="AL35">
        <f>COUNTIF(E35:AH35, "✓")</f>
        <v/>
      </c>
    </row>
    <row r="36" ht="14.5" customHeight="1">
      <c r="A36" s="125" t="n">
        <v>19</v>
      </c>
      <c r="B36" s="126" t="n"/>
      <c r="C36" s="127" t="n"/>
      <c r="D36" s="127" t="n"/>
      <c r="E36" s="128" t="n"/>
      <c r="F36" s="128" t="n"/>
      <c r="G36" s="129" t="n"/>
      <c r="H36" s="128" t="n"/>
      <c r="I36" s="128" t="n"/>
      <c r="J36" s="128" t="n"/>
      <c r="K36" s="128" t="n"/>
      <c r="L36" s="128" t="n"/>
      <c r="M36" s="128" t="n"/>
      <c r="N36" s="129" t="n"/>
      <c r="O36" s="128" t="n"/>
      <c r="P36" s="128" t="n"/>
      <c r="Q36" s="128" t="n"/>
      <c r="R36" s="128" t="n"/>
      <c r="S36" s="128" t="n"/>
      <c r="T36" s="128" t="n"/>
      <c r="U36" s="129" t="n"/>
      <c r="V36" s="128" t="n"/>
      <c r="W36" s="128" t="n"/>
      <c r="X36" s="128" t="n"/>
      <c r="Y36" s="128" t="n"/>
      <c r="Z36" s="128" t="n"/>
      <c r="AA36" s="128" t="n"/>
      <c r="AB36" s="129" t="n"/>
      <c r="AC36" s="128" t="n"/>
      <c r="AD36" s="128" t="n"/>
      <c r="AE36" s="128" t="n"/>
      <c r="AF36" s="128" t="n"/>
      <c r="AG36" s="128" t="n"/>
      <c r="AH36" s="128" t="n"/>
      <c r="AI36" s="130">
        <f>IF(ISBLANK(B36), "", IF(ISNUMBER(D36), IF(D36&gt;0, (COUNTIF(E36:AH36, "✓") + COUNTIF(E36:AH36, "✔") + COUNTIF(E36:AH36, "v") + COUNTIF(E36:AH36, "V"))/D36, 0), IF(((COUNTIF(E36:AH36, "✓") + COUNTIF(E36:AH36, "✔") + COUNTIF(E36:AH36, "v") + COUNTIF(E36:AH36, "V")) + COUNTIF(E36:AH36, "✗") + COUNTIF(E36:AH36, "x") + COUNTIF(E36:AH36, "X"))&gt;0, (COUNTIF(E36:AH36, "✓") + COUNTIF(E36:AH36, "✔") + COUNTIF(E36:AH36, "v") + COUNTIF(E36:AH36, "V"))/((COUNTIF(E36:AH36, "✓") + COUNTIF(E36:AH36, "✔") + COUNTIF(E36:AH36, "v") + COUNTIF(E36:AH36, "V")) + COUNTIF(E36:AH36, "✗") + COUNTIF(E36:AH36, "x") + COUNTIF(E36:AH36, "X")), "")))</f>
        <v/>
      </c>
      <c r="AJ36" s="131">
        <f>IF(ISBLANK(B36), "", IF(ISNUMBER(D36), IF(D36&gt;0, (COUNTIF(E36:AH36, "✓") + COUNTIF(E36:AH36, "✔") + COUNTIF(E36:AH36, "v") + COUNTIF(E36:AH36, "V")) &amp; "/" &amp; D36, (COUNTIF(E36:AH36, "✓") + COUNTIF(E36:AH36, "✔") + COUNTIF(E36:AH36, "v") + COUNTIF(E36:AH36, "V")) &amp; "/0"), IF(((COUNTIF(E36:AH36, "✓") + COUNTIF(E36:AH36, "✔") + COUNTIF(E36:AH36, "v") + COUNTIF(E36:AH36, "V")) + COUNTIF(E36:AH36, "✗") + COUNTIF(E36:AH36, "x") + COUNTIF(E36:AH36, "X"))&gt;0, (COUNTIF(E36:AH36, "✓") + COUNTIF(E36:AH36, "✔") + COUNTIF(E36:AH36, "v") + COUNTIF(E36:AH36, "V")) &amp; "/" &amp; ((COUNTIF(E36:AH36, "✓") + COUNTIF(E36:AH36, "✔") + COUNTIF(E36:AH36, "v") + COUNTIF(E36:AH36, "V")) + COUNTIF(E36:AH36, "✗") + COUNTIF(E36:AH36, "x") + COUNTIF(E36:AH36, "X")), "")))</f>
        <v/>
      </c>
      <c r="AK36" s="131">
        <f>IF(ISBLANK(B36), "", IF(AI36&gt;=0.85, "🔥 Mastered", IF(AI36&gt;=0.7, "⚡ Consistent", "⚠️ Needs Focus")))</f>
        <v/>
      </c>
      <c r="AL36">
        <f>COUNTIF(E36:AH36, "✓")</f>
        <v/>
      </c>
    </row>
    <row r="37" ht="14.5" customHeight="1">
      <c r="A37" s="125" t="n">
        <v>20</v>
      </c>
      <c r="B37" s="126" t="n"/>
      <c r="C37" s="127" t="n"/>
      <c r="D37" s="127" t="n"/>
      <c r="E37" s="128" t="n"/>
      <c r="F37" s="128" t="n"/>
      <c r="G37" s="129" t="n"/>
      <c r="H37" s="128" t="n"/>
      <c r="I37" s="128" t="n"/>
      <c r="J37" s="128" t="n"/>
      <c r="K37" s="128" t="n"/>
      <c r="L37" s="128" t="n"/>
      <c r="M37" s="128" t="n"/>
      <c r="N37" s="129" t="n"/>
      <c r="O37" s="128" t="n"/>
      <c r="P37" s="128" t="n"/>
      <c r="Q37" s="128" t="n"/>
      <c r="R37" s="128" t="n"/>
      <c r="S37" s="128" t="n"/>
      <c r="T37" s="128" t="n"/>
      <c r="U37" s="129" t="n"/>
      <c r="V37" s="128" t="n"/>
      <c r="W37" s="128" t="n"/>
      <c r="X37" s="128" t="n"/>
      <c r="Y37" s="128" t="n"/>
      <c r="Z37" s="128" t="n"/>
      <c r="AA37" s="128" t="n"/>
      <c r="AB37" s="129" t="n"/>
      <c r="AC37" s="128" t="n"/>
      <c r="AD37" s="128" t="n"/>
      <c r="AE37" s="128" t="n"/>
      <c r="AF37" s="128" t="n"/>
      <c r="AG37" s="128" t="n"/>
      <c r="AH37" s="128" t="n"/>
      <c r="AI37" s="130">
        <f>IF(ISBLANK(B37), "", IF(ISNUMBER(D37), IF(D37&gt;0, (COUNTIF(E37:AH37, "✓") + COUNTIF(E37:AH37, "✔") + COUNTIF(E37:AH37, "v") + COUNTIF(E37:AH37, "V"))/D37, 0), IF(((COUNTIF(E37:AH37, "✓") + COUNTIF(E37:AH37, "✔") + COUNTIF(E37:AH37, "v") + COUNTIF(E37:AH37, "V")) + COUNTIF(E37:AH37, "✗") + COUNTIF(E37:AH37, "x") + COUNTIF(E37:AH37, "X"))&gt;0, (COUNTIF(E37:AH37, "✓") + COUNTIF(E37:AH37, "✔") + COUNTIF(E37:AH37, "v") + COUNTIF(E37:AH37, "V"))/((COUNTIF(E37:AH37, "✓") + COUNTIF(E37:AH37, "✔") + COUNTIF(E37:AH37, "v") + COUNTIF(E37:AH37, "V")) + COUNTIF(E37:AH37, "✗") + COUNTIF(E37:AH37, "x") + COUNTIF(E37:AH37, "X")), "")))</f>
        <v/>
      </c>
      <c r="AJ37" s="131">
        <f>IF(ISBLANK(B37), "", IF(ISNUMBER(D37), IF(D37&gt;0, (COUNTIF(E37:AH37, "✓") + COUNTIF(E37:AH37, "✔") + COUNTIF(E37:AH37, "v") + COUNTIF(E37:AH37, "V")) &amp; "/" &amp; D37, (COUNTIF(E37:AH37, "✓") + COUNTIF(E37:AH37, "✔") + COUNTIF(E37:AH37, "v") + COUNTIF(E37:AH37, "V")) &amp; "/0"), IF(((COUNTIF(E37:AH37, "✓") + COUNTIF(E37:AH37, "✔") + COUNTIF(E37:AH37, "v") + COUNTIF(E37:AH37, "V")) + COUNTIF(E37:AH37, "✗") + COUNTIF(E37:AH37, "x") + COUNTIF(E37:AH37, "X"))&gt;0, (COUNTIF(E37:AH37, "✓") + COUNTIF(E37:AH37, "✔") + COUNTIF(E37:AH37, "v") + COUNTIF(E37:AH37, "V")) &amp; "/" &amp; ((COUNTIF(E37:AH37, "✓") + COUNTIF(E37:AH37, "✔") + COUNTIF(E37:AH37, "v") + COUNTIF(E37:AH37, "V")) + COUNTIF(E37:AH37, "✗") + COUNTIF(E37:AH37, "x") + COUNTIF(E37:AH37, "X")), "")))</f>
        <v/>
      </c>
      <c r="AK37" s="131">
        <f>IF(ISBLANK(B37), "", IF(AI37&gt;=0.85, "🔥 Mastered", IF(AI37&gt;=0.7, "⚡ Consistent", "⚠️ Needs Focus")))</f>
        <v/>
      </c>
      <c r="AL37">
        <f>COUNTIF(E37:AH37, "✓")</f>
        <v/>
      </c>
    </row>
    <row r="38" ht="18" customHeight="1">
      <c r="A38" s="132" t="inlineStr">
        <is>
          <t>DAILY TOTAL SCORE</t>
        </is>
      </c>
      <c r="B38" s="54" t="n"/>
      <c r="C38" s="54" t="n"/>
      <c r="D38" s="54" t="n"/>
      <c r="E38" s="33">
        <f>IF(((COUNTIF(E18:E37, "✓") + COUNTIF(E18:E37, "✔") + COUNTIF(E18:E37, "v") + COUNTIF(E18:E37, "V")) + COUNTIF(E18:E37, "✗") + COUNTIF(E18:E37, "x") + COUNTIF(E18:E37, "X")) &gt; 0, (COUNTIF(E18:E37, "✓") + COUNTIF(E18:E37, "✔") + COUNTIF(E18:E37, "v") + COUNTIF(E18:E37, "V")) &amp; "/" &amp; ((COUNTIF(E18:E37, "✓") + COUNTIF(E18:E37, "✔") + COUNTIF(E18:E37, "v") + COUNTIF(E18:E37, "V")) + COUNTIF(E18:E37, "✗") + COUNTIF(E18:E37, "x") + COUNTIF(E18:E37, "X")), "")</f>
        <v/>
      </c>
      <c r="F38" s="33">
        <f>IF(((COUNTIF(F18:F37, "✓") + COUNTIF(F18:F37, "✔") + COUNTIF(F18:F37, "v") + COUNTIF(F18:F37, "V")) + COUNTIF(F18:F37, "✗") + COUNTIF(F18:F37, "x") + COUNTIF(F18:F37, "X")) &gt; 0, (COUNTIF(F18:F37, "✓") + COUNTIF(F18:F37, "✔") + COUNTIF(F18:F37, "v") + COUNTIF(F18:F37, "V")) &amp; "/" &amp; ((COUNTIF(F18:F37, "✓") + COUNTIF(F18:F37, "✔") + COUNTIF(F18:F37, "v") + COUNTIF(F18:F37, "V")) + COUNTIF(F18:F37, "✗") + COUNTIF(F18:F37, "x") + COUNTIF(F18:F37, "X")), "")</f>
        <v/>
      </c>
      <c r="G38" s="33">
        <f>IF(((COUNTIF(G18:G37, "✓") + COUNTIF(G18:G37, "✔") + COUNTIF(G18:G37, "v") + COUNTIF(G18:G37, "V")) + COUNTIF(G18:G37, "✗") + COUNTIF(G18:G37, "x") + COUNTIF(G18:G37, "X")) &gt; 0, (COUNTIF(G18:G37, "✓") + COUNTIF(G18:G37, "✔") + COUNTIF(G18:G37, "v") + COUNTIF(G18:G37, "V")) &amp; "/" &amp; ((COUNTIF(G18:G37, "✓") + COUNTIF(G18:G37, "✔") + COUNTIF(G18:G37, "v") + COUNTIF(G18:G37, "V")) + COUNTIF(G18:G37, "✗") + COUNTIF(G18:G37, "x") + COUNTIF(G18:G37, "X")), "")</f>
        <v/>
      </c>
      <c r="H38" s="33">
        <f>IF(((COUNTIF(H18:H37, "✓") + COUNTIF(H18:H37, "✔") + COUNTIF(H18:H37, "v") + COUNTIF(H18:H37, "V")) + COUNTIF(H18:H37, "✗") + COUNTIF(H18:H37, "x") + COUNTIF(H18:H37, "X")) &gt; 0, (COUNTIF(H18:H37, "✓") + COUNTIF(H18:H37, "✔") + COUNTIF(H18:H37, "v") + COUNTIF(H18:H37, "V")) &amp; "/" &amp; ((COUNTIF(H18:H37, "✓") + COUNTIF(H18:H37, "✔") + COUNTIF(H18:H37, "v") + COUNTIF(H18:H37, "V")) + COUNTIF(H18:H37, "✗") + COUNTIF(H18:H37, "x") + COUNTIF(H18:H37, "X")), "")</f>
        <v/>
      </c>
      <c r="I38" s="33">
        <f>IF(((COUNTIF(I18:I37, "✓") + COUNTIF(I18:I37, "✔") + COUNTIF(I18:I37, "v") + COUNTIF(I18:I37, "V")) + COUNTIF(I18:I37, "✗") + COUNTIF(I18:I37, "x") + COUNTIF(I18:I37, "X")) &gt; 0, (COUNTIF(I18:I37, "✓") + COUNTIF(I18:I37, "✔") + COUNTIF(I18:I37, "v") + COUNTIF(I18:I37, "V")) &amp; "/" &amp; ((COUNTIF(I18:I37, "✓") + COUNTIF(I18:I37, "✔") + COUNTIF(I18:I37, "v") + COUNTIF(I18:I37, "V")) + COUNTIF(I18:I37, "✗") + COUNTIF(I18:I37, "x") + COUNTIF(I18:I37, "X")), "")</f>
        <v/>
      </c>
      <c r="J38" s="33">
        <f>IF(((COUNTIF(J18:J37, "✓") + COUNTIF(J18:J37, "✔") + COUNTIF(J18:J37, "v") + COUNTIF(J18:J37, "V")) + COUNTIF(J18:J37, "✗") + COUNTIF(J18:J37, "x") + COUNTIF(J18:J37, "X")) &gt; 0, (COUNTIF(J18:J37, "✓") + COUNTIF(J18:J37, "✔") + COUNTIF(J18:J37, "v") + COUNTIF(J18:J37, "V")) &amp; "/" &amp; ((COUNTIF(J18:J37, "✓") + COUNTIF(J18:J37, "✔") + COUNTIF(J18:J37, "v") + COUNTIF(J18:J37, "V")) + COUNTIF(J18:J37, "✗") + COUNTIF(J18:J37, "x") + COUNTIF(J18:J37, "X")), "")</f>
        <v/>
      </c>
      <c r="K38" s="33">
        <f>IF(((COUNTIF(K18:K37, "✓") + COUNTIF(K18:K37, "✔") + COUNTIF(K18:K37, "v") + COUNTIF(K18:K37, "V")) + COUNTIF(K18:K37, "✗") + COUNTIF(K18:K37, "x") + COUNTIF(K18:K37, "X")) &gt; 0, (COUNTIF(K18:K37, "✓") + COUNTIF(K18:K37, "✔") + COUNTIF(K18:K37, "v") + COUNTIF(K18:K37, "V")) &amp; "/" &amp; ((COUNTIF(K18:K37, "✓") + COUNTIF(K18:K37, "✔") + COUNTIF(K18:K37, "v") + COUNTIF(K18:K37, "V")) + COUNTIF(K18:K37, "✗") + COUNTIF(K18:K37, "x") + COUNTIF(K18:K37, "X")), "")</f>
        <v/>
      </c>
      <c r="L38" s="33">
        <f>IF(((COUNTIF(L18:L37, "✓") + COUNTIF(L18:L37, "✔") + COUNTIF(L18:L37, "v") + COUNTIF(L18:L37, "V")) + COUNTIF(L18:L37, "✗") + COUNTIF(L18:L37, "x") + COUNTIF(L18:L37, "X")) &gt; 0, (COUNTIF(L18:L37, "✓") + COUNTIF(L18:L37, "✔") + COUNTIF(L18:L37, "v") + COUNTIF(L18:L37, "V")) &amp; "/" &amp; ((COUNTIF(L18:L37, "✓") + COUNTIF(L18:L37, "✔") + COUNTIF(L18:L37, "v") + COUNTIF(L18:L37, "V")) + COUNTIF(L18:L37, "✗") + COUNTIF(L18:L37, "x") + COUNTIF(L18:L37, "X")), "")</f>
        <v/>
      </c>
      <c r="M38" s="33">
        <f>IF(((COUNTIF(M18:M37, "✓") + COUNTIF(M18:M37, "✔") + COUNTIF(M18:M37, "v") + COUNTIF(M18:M37, "V")) + COUNTIF(M18:M37, "✗") + COUNTIF(M18:M37, "x") + COUNTIF(M18:M37, "X")) &gt; 0, (COUNTIF(M18:M37, "✓") + COUNTIF(M18:M37, "✔") + COUNTIF(M18:M37, "v") + COUNTIF(M18:M37, "V")) &amp; "/" &amp; ((COUNTIF(M18:M37, "✓") + COUNTIF(M18:M37, "✔") + COUNTIF(M18:M37, "v") + COUNTIF(M18:M37, "V")) + COUNTIF(M18:M37, "✗") + COUNTIF(M18:M37, "x") + COUNTIF(M18:M37, "X")), "")</f>
        <v/>
      </c>
      <c r="N38" s="33">
        <f>IF(((COUNTIF(N18:N37, "✓") + COUNTIF(N18:N37, "✔") + COUNTIF(N18:N37, "v") + COUNTIF(N18:N37, "V")) + COUNTIF(N18:N37, "✗") + COUNTIF(N18:N37, "x") + COUNTIF(N18:N37, "X")) &gt; 0, (COUNTIF(N18:N37, "✓") + COUNTIF(N18:N37, "✔") + COUNTIF(N18:N37, "v") + COUNTIF(N18:N37, "V")) &amp; "/" &amp; ((COUNTIF(N18:N37, "✓") + COUNTIF(N18:N37, "✔") + COUNTIF(N18:N37, "v") + COUNTIF(N18:N37, "V")) + COUNTIF(N18:N37, "✗") + COUNTIF(N18:N37, "x") + COUNTIF(N18:N37, "X")), "")</f>
        <v/>
      </c>
      <c r="O38" s="33">
        <f>IF(((COUNTIF(O18:O37, "✓") + COUNTIF(O18:O37, "✔") + COUNTIF(O18:O37, "v") + COUNTIF(O18:O37, "V")) + COUNTIF(O18:O37, "✗") + COUNTIF(O18:O37, "x") + COUNTIF(O18:O37, "X")) &gt; 0, (COUNTIF(O18:O37, "✓") + COUNTIF(O18:O37, "✔") + COUNTIF(O18:O37, "v") + COUNTIF(O18:O37, "V")) &amp; "/" &amp; ((COUNTIF(O18:O37, "✓") + COUNTIF(O18:O37, "✔") + COUNTIF(O18:O37, "v") + COUNTIF(O18:O37, "V")) + COUNTIF(O18:O37, "✗") + COUNTIF(O18:O37, "x") + COUNTIF(O18:O37, "X")), "")</f>
        <v/>
      </c>
      <c r="P38" s="33">
        <f>IF(((COUNTIF(P18:P37, "✓") + COUNTIF(P18:P37, "✔") + COUNTIF(P18:P37, "v") + COUNTIF(P18:P37, "V")) + COUNTIF(P18:P37, "✗") + COUNTIF(P18:P37, "x") + COUNTIF(P18:P37, "X")) &gt; 0, (COUNTIF(P18:P37, "✓") + COUNTIF(P18:P37, "✔") + COUNTIF(P18:P37, "v") + COUNTIF(P18:P37, "V")) &amp; "/" &amp; ((COUNTIF(P18:P37, "✓") + COUNTIF(P18:P37, "✔") + COUNTIF(P18:P37, "v") + COUNTIF(P18:P37, "V")) + COUNTIF(P18:P37, "✗") + COUNTIF(P18:P37, "x") + COUNTIF(P18:P37, "X")), "")</f>
        <v/>
      </c>
      <c r="Q38" s="33">
        <f>IF(((COUNTIF(Q18:Q37, "✓") + COUNTIF(Q18:Q37, "✔") + COUNTIF(Q18:Q37, "v") + COUNTIF(Q18:Q37, "V")) + COUNTIF(Q18:Q37, "✗") + COUNTIF(Q18:Q37, "x") + COUNTIF(Q18:Q37, "X")) &gt; 0, (COUNTIF(Q18:Q37, "✓") + COUNTIF(Q18:Q37, "✔") + COUNTIF(Q18:Q37, "v") + COUNTIF(Q18:Q37, "V")) &amp; "/" &amp; ((COUNTIF(Q18:Q37, "✓") + COUNTIF(Q18:Q37, "✔") + COUNTIF(Q18:Q37, "v") + COUNTIF(Q18:Q37, "V")) + COUNTIF(Q18:Q37, "✗") + COUNTIF(Q18:Q37, "x") + COUNTIF(Q18:Q37, "X")), "")</f>
        <v/>
      </c>
      <c r="R38" s="33">
        <f>IF(((COUNTIF(R18:R37, "✓") + COUNTIF(R18:R37, "✔") + COUNTIF(R18:R37, "v") + COUNTIF(R18:R37, "V")) + COUNTIF(R18:R37, "✗") + COUNTIF(R18:R37, "x") + COUNTIF(R18:R37, "X")) &gt; 0, (COUNTIF(R18:R37, "✓") + COUNTIF(R18:R37, "✔") + COUNTIF(R18:R37, "v") + COUNTIF(R18:R37, "V")) &amp; "/" &amp; ((COUNTIF(R18:R37, "✓") + COUNTIF(R18:R37, "✔") + COUNTIF(R18:R37, "v") + COUNTIF(R18:R37, "V")) + COUNTIF(R18:R37, "✗") + COUNTIF(R18:R37, "x") + COUNTIF(R18:R37, "X")), "")</f>
        <v/>
      </c>
      <c r="S38" s="33">
        <f>IF(((COUNTIF(S18:S37, "✓") + COUNTIF(S18:S37, "✔") + COUNTIF(S18:S37, "v") + COUNTIF(S18:S37, "V")) + COUNTIF(S18:S37, "✗") + COUNTIF(S18:S37, "x") + COUNTIF(S18:S37, "X")) &gt; 0, (COUNTIF(S18:S37, "✓") + COUNTIF(S18:S37, "✔") + COUNTIF(S18:S37, "v") + COUNTIF(S18:S37, "V")) &amp; "/" &amp; ((COUNTIF(S18:S37, "✓") + COUNTIF(S18:S37, "✔") + COUNTIF(S18:S37, "v") + COUNTIF(S18:S37, "V")) + COUNTIF(S18:S37, "✗") + COUNTIF(S18:S37, "x") + COUNTIF(S18:S37, "X")), "")</f>
        <v/>
      </c>
      <c r="T38" s="33">
        <f>IF(((COUNTIF(T18:T37, "✓") + COUNTIF(T18:T37, "✔") + COUNTIF(T18:T37, "v") + COUNTIF(T18:T37, "V")) + COUNTIF(T18:T37, "✗") + COUNTIF(T18:T37, "x") + COUNTIF(T18:T37, "X")) &gt; 0, (COUNTIF(T18:T37, "✓") + COUNTIF(T18:T37, "✔") + COUNTIF(T18:T37, "v") + COUNTIF(T18:T37, "V")) &amp; "/" &amp; ((COUNTIF(T18:T37, "✓") + COUNTIF(T18:T37, "✔") + COUNTIF(T18:T37, "v") + COUNTIF(T18:T37, "V")) + COUNTIF(T18:T37, "✗") + COUNTIF(T18:T37, "x") + COUNTIF(T18:T37, "X")), "")</f>
        <v/>
      </c>
      <c r="U38" s="33">
        <f>IF(((COUNTIF(U18:U37, "✓") + COUNTIF(U18:U37, "✔") + COUNTIF(U18:U37, "v") + COUNTIF(U18:U37, "V")) + COUNTIF(U18:U37, "✗") + COUNTIF(U18:U37, "x") + COUNTIF(U18:U37, "X")) &gt; 0, (COUNTIF(U18:U37, "✓") + COUNTIF(U18:U37, "✔") + COUNTIF(U18:U37, "v") + COUNTIF(U18:U37, "V")) &amp; "/" &amp; ((COUNTIF(U18:U37, "✓") + COUNTIF(U18:U37, "✔") + COUNTIF(U18:U37, "v") + COUNTIF(U18:U37, "V")) + COUNTIF(U18:U37, "✗") + COUNTIF(U18:U37, "x") + COUNTIF(U18:U37, "X")), "")</f>
        <v/>
      </c>
      <c r="V38" s="33">
        <f>IF(((COUNTIF(V18:V37, "✓") + COUNTIF(V18:V37, "✔") + COUNTIF(V18:V37, "v") + COUNTIF(V18:V37, "V")) + COUNTIF(V18:V37, "✗") + COUNTIF(V18:V37, "x") + COUNTIF(V18:V37, "X")) &gt; 0, (COUNTIF(V18:V37, "✓") + COUNTIF(V18:V37, "✔") + COUNTIF(V18:V37, "v") + COUNTIF(V18:V37, "V")) &amp; "/" &amp; ((COUNTIF(V18:V37, "✓") + COUNTIF(V18:V37, "✔") + COUNTIF(V18:V37, "v") + COUNTIF(V18:V37, "V")) + COUNTIF(V18:V37, "✗") + COUNTIF(V18:V37, "x") + COUNTIF(V18:V37, "X")), "")</f>
        <v/>
      </c>
      <c r="W38" s="33">
        <f>IF(((COUNTIF(W18:W37, "✓") + COUNTIF(W18:W37, "✔") + COUNTIF(W18:W37, "v") + COUNTIF(W18:W37, "V")) + COUNTIF(W18:W37, "✗") + COUNTIF(W18:W37, "x") + COUNTIF(W18:W37, "X")) &gt; 0, (COUNTIF(W18:W37, "✓") + COUNTIF(W18:W37, "✔") + COUNTIF(W18:W37, "v") + COUNTIF(W18:W37, "V")) &amp; "/" &amp; ((COUNTIF(W18:W37, "✓") + COUNTIF(W18:W37, "✔") + COUNTIF(W18:W37, "v") + COUNTIF(W18:W37, "V")) + COUNTIF(W18:W37, "✗") + COUNTIF(W18:W37, "x") + COUNTIF(W18:W37, "X")), "")</f>
        <v/>
      </c>
      <c r="X38" s="33">
        <f>IF(((COUNTIF(X18:X37, "✓") + COUNTIF(X18:X37, "✔") + COUNTIF(X18:X37, "v") + COUNTIF(X18:X37, "V")) + COUNTIF(X18:X37, "✗") + COUNTIF(X18:X37, "x") + COUNTIF(X18:X37, "X")) &gt; 0, (COUNTIF(X18:X37, "✓") + COUNTIF(X18:X37, "✔") + COUNTIF(X18:X37, "v") + COUNTIF(X18:X37, "V")) &amp; "/" &amp; ((COUNTIF(X18:X37, "✓") + COUNTIF(X18:X37, "✔") + COUNTIF(X18:X37, "v") + COUNTIF(X18:X37, "V")) + COUNTIF(X18:X37, "✗") + COUNTIF(X18:X37, "x") + COUNTIF(X18:X37, "X")), "")</f>
        <v/>
      </c>
      <c r="Y38" s="33">
        <f>IF(((COUNTIF(Y18:Y37, "✓") + COUNTIF(Y18:Y37, "✔") + COUNTIF(Y18:Y37, "v") + COUNTIF(Y18:Y37, "V")) + COUNTIF(Y18:Y37, "✗") + COUNTIF(Y18:Y37, "x") + COUNTIF(Y18:Y37, "X")) &gt; 0, (COUNTIF(Y18:Y37, "✓") + COUNTIF(Y18:Y37, "✔") + COUNTIF(Y18:Y37, "v") + COUNTIF(Y18:Y37, "V")) &amp; "/" &amp; ((COUNTIF(Y18:Y37, "✓") + COUNTIF(Y18:Y37, "✔") + COUNTIF(Y18:Y37, "v") + COUNTIF(Y18:Y37, "V")) + COUNTIF(Y18:Y37, "✗") + COUNTIF(Y18:Y37, "x") + COUNTIF(Y18:Y37, "X")), "")</f>
        <v/>
      </c>
      <c r="Z38" s="33">
        <f>IF(((COUNTIF(Z18:Z37, "✓") + COUNTIF(Z18:Z37, "✔") + COUNTIF(Z18:Z37, "v") + COUNTIF(Z18:Z37, "V")) + COUNTIF(Z18:Z37, "✗") + COUNTIF(Z18:Z37, "x") + COUNTIF(Z18:Z37, "X")) &gt; 0, (COUNTIF(Z18:Z37, "✓") + COUNTIF(Z18:Z37, "✔") + COUNTIF(Z18:Z37, "v") + COUNTIF(Z18:Z37, "V")) &amp; "/" &amp; ((COUNTIF(Z18:Z37, "✓") + COUNTIF(Z18:Z37, "✔") + COUNTIF(Z18:Z37, "v") + COUNTIF(Z18:Z37, "V")) + COUNTIF(Z18:Z37, "✗") + COUNTIF(Z18:Z37, "x") + COUNTIF(Z18:Z37, "X")), "")</f>
        <v/>
      </c>
      <c r="AA38" s="33">
        <f>IF(((COUNTIF(AA18:AA37, "✓") + COUNTIF(AA18:AA37, "✔") + COUNTIF(AA18:AA37, "v") + COUNTIF(AA18:AA37, "V")) + COUNTIF(AA18:AA37, "✗") + COUNTIF(AA18:AA37, "x") + COUNTIF(AA18:AA37, "X")) &gt; 0, (COUNTIF(AA18:AA37, "✓") + COUNTIF(AA18:AA37, "✔") + COUNTIF(AA18:AA37, "v") + COUNTIF(AA18:AA37, "V")) &amp; "/" &amp; ((COUNTIF(AA18:AA37, "✓") + COUNTIF(AA18:AA37, "✔") + COUNTIF(AA18:AA37, "v") + COUNTIF(AA18:AA37, "V")) + COUNTIF(AA18:AA37, "✗") + COUNTIF(AA18:AA37, "x") + COUNTIF(AA18:AA37, "X")), "")</f>
        <v/>
      </c>
      <c r="AB38" s="33">
        <f>IF(((COUNTIF(AB18:AB37, "✓") + COUNTIF(AB18:AB37, "✔") + COUNTIF(AB18:AB37, "v") + COUNTIF(AB18:AB37, "V")) + COUNTIF(AB18:AB37, "✗") + COUNTIF(AB18:AB37, "x") + COUNTIF(AB18:AB37, "X")) &gt; 0, (COUNTIF(AB18:AB37, "✓") + COUNTIF(AB18:AB37, "✔") + COUNTIF(AB18:AB37, "v") + COUNTIF(AB18:AB37, "V")) &amp; "/" &amp; ((COUNTIF(AB18:AB37, "✓") + COUNTIF(AB18:AB37, "✔") + COUNTIF(AB18:AB37, "v") + COUNTIF(AB18:AB37, "V")) + COUNTIF(AB18:AB37, "✗") + COUNTIF(AB18:AB37, "x") + COUNTIF(AB18:AB37, "X")), "")</f>
        <v/>
      </c>
      <c r="AC38" s="33">
        <f>IF(((COUNTIF(AC18:AC37, "✓") + COUNTIF(AC18:AC37, "✔") + COUNTIF(AC18:AC37, "v") + COUNTIF(AC18:AC37, "V")) + COUNTIF(AC18:AC37, "✗") + COUNTIF(AC18:AC37, "x") + COUNTIF(AC18:AC37, "X")) &gt; 0, (COUNTIF(AC18:AC37, "✓") + COUNTIF(AC18:AC37, "✔") + COUNTIF(AC18:AC37, "v") + COUNTIF(AC18:AC37, "V")) &amp; "/" &amp; ((COUNTIF(AC18:AC37, "✓") + COUNTIF(AC18:AC37, "✔") + COUNTIF(AC18:AC37, "v") + COUNTIF(AC18:AC37, "V")) + COUNTIF(AC18:AC37, "✗") + COUNTIF(AC18:AC37, "x") + COUNTIF(AC18:AC37, "X")), "")</f>
        <v/>
      </c>
      <c r="AD38" s="33">
        <f>IF(((COUNTIF(AD18:AD37, "✓") + COUNTIF(AD18:AD37, "✔") + COUNTIF(AD18:AD37, "v") + COUNTIF(AD18:AD37, "V")) + COUNTIF(AD18:AD37, "✗") + COUNTIF(AD18:AD37, "x") + COUNTIF(AD18:AD37, "X")) &gt; 0, (COUNTIF(AD18:AD37, "✓") + COUNTIF(AD18:AD37, "✔") + COUNTIF(AD18:AD37, "v") + COUNTIF(AD18:AD37, "V")) &amp; "/" &amp; ((COUNTIF(AD18:AD37, "✓") + COUNTIF(AD18:AD37, "✔") + COUNTIF(AD18:AD37, "v") + COUNTIF(AD18:AD37, "V")) + COUNTIF(AD18:AD37, "✗") + COUNTIF(AD18:AD37, "x") + COUNTIF(AD18:AD37, "X")), "")</f>
        <v/>
      </c>
      <c r="AE38" s="33">
        <f>IF(((COUNTIF(AE18:AE37, "✓") + COUNTIF(AE18:AE37, "✔") + COUNTIF(AE18:AE37, "v") + COUNTIF(AE18:AE37, "V")) + COUNTIF(AE18:AE37, "✗") + COUNTIF(AE18:AE37, "x") + COUNTIF(AE18:AE37, "X")) &gt; 0, (COUNTIF(AE18:AE37, "✓") + COUNTIF(AE18:AE37, "✔") + COUNTIF(AE18:AE37, "v") + COUNTIF(AE18:AE37, "V")) &amp; "/" &amp; ((COUNTIF(AE18:AE37, "✓") + COUNTIF(AE18:AE37, "✔") + COUNTIF(AE18:AE37, "v") + COUNTIF(AE18:AE37, "V")) + COUNTIF(AE18:AE37, "✗") + COUNTIF(AE18:AE37, "x") + COUNTIF(AE18:AE37, "X")), "")</f>
        <v/>
      </c>
      <c r="AF38" s="33">
        <f>IF(((COUNTIF(AF18:AF37, "✓") + COUNTIF(AF18:AF37, "✔") + COUNTIF(AF18:AF37, "v") + COUNTIF(AF18:AF37, "V")) + COUNTIF(AF18:AF37, "✗") + COUNTIF(AF18:AF37, "x") + COUNTIF(AF18:AF37, "X")) &gt; 0, (COUNTIF(AF18:AF37, "✓") + COUNTIF(AF18:AF37, "✔") + COUNTIF(AF18:AF37, "v") + COUNTIF(AF18:AF37, "V")) &amp; "/" &amp; ((COUNTIF(AF18:AF37, "✓") + COUNTIF(AF18:AF37, "✔") + COUNTIF(AF18:AF37, "v") + COUNTIF(AF18:AF37, "V")) + COUNTIF(AF18:AF37, "✗") + COUNTIF(AF18:AF37, "x") + COUNTIF(AF18:AF37, "X")), "")</f>
        <v/>
      </c>
      <c r="AG38" s="33">
        <f>IF(((COUNTIF(AG18:AG37, "✓") + COUNTIF(AG18:AG37, "✔") + COUNTIF(AG18:AG37, "v") + COUNTIF(AG18:AG37, "V")) + COUNTIF(AG18:AG37, "✗") + COUNTIF(AG18:AG37, "x") + COUNTIF(AG18:AG37, "X")) &gt; 0, (COUNTIF(AG18:AG37, "✓") + COUNTIF(AG18:AG37, "✔") + COUNTIF(AG18:AG37, "v") + COUNTIF(AG18:AG37, "V")) &amp; "/" &amp; ((COUNTIF(AG18:AG37, "✓") + COUNTIF(AG18:AG37, "✔") + COUNTIF(AG18:AG37, "v") + COUNTIF(AG18:AG37, "V")) + COUNTIF(AG18:AG37, "✗") + COUNTIF(AG18:AG37, "x") + COUNTIF(AG18:AG37, "X")), "")</f>
        <v/>
      </c>
      <c r="AH38" s="33">
        <f>IF(((COUNTIF(AH18:AH37, "✓") + COUNTIF(AH18:AH37, "✔") + COUNTIF(AH18:AH37, "v") + COUNTIF(AH18:AH37, "V")) + COUNTIF(AH18:AH37, "✗") + COUNTIF(AH18:AH37, "x") + COUNTIF(AH18:AH37, "X")) &gt; 0, (COUNTIF(AH18:AH37, "✓") + COUNTIF(AH18:AH37, "✔") + COUNTIF(AH18:AH37, "v") + COUNTIF(AH18:AH37, "V")) &amp; "/" &amp; ((COUNTIF(AH18:AH37, "✓") + COUNTIF(AH18:AH37, "✔") + COUNTIF(AH18:AH37, "v") + COUNTIF(AH18:AH37, "V")) + COUNTIF(AH18:AH37, "✗") + COUNTIF(AH18:AH37, "x") + COUNTIF(AH18:AH37, "X")), "")</f>
        <v/>
      </c>
      <c r="AI38" s="133">
        <f>IF(SUM(D18:D37) &gt; 0, SUM(AL18:AL37) / SUM(D18:D37), "")</f>
        <v/>
      </c>
      <c r="AJ38" s="33">
        <f>IF(SUM(D18:D37) &gt; 0, SUM(AL18:AL37) &amp; "/" &amp; SUM(D18:D37), "")</f>
        <v/>
      </c>
      <c r="AK38" s="54" t="n"/>
    </row>
    <row r="39" ht="18" customHeight="1">
      <c r="A39" s="132" t="inlineStr">
        <is>
          <t>DAILY SUCCESS %</t>
        </is>
      </c>
      <c r="B39" s="54" t="n"/>
      <c r="C39" s="54" t="n"/>
      <c r="D39" s="54" t="n"/>
      <c r="E39" s="134">
        <f>IF(((COUNTIF(E18:E37, "✓") + COUNTIF(E18:E37, "✔") + COUNTIF(E18:E37, "v") + COUNTIF(E18:E37, "V")) + COUNTIF(E18:E37, "✗") + COUNTIF(E18:E37, "x") + COUNTIF(E18:E37, "X")) &gt; 0, (COUNTIF(E18:E37, "✓") + COUNTIF(E18:E37, "✔") + COUNTIF(E18:E37, "v") + COUNTIF(E18:E37, "V")) / ((COUNTIF(E18:E37, "✓") + COUNTIF(E18:E37, "✔") + COUNTIF(E18:E37, "v") + COUNTIF(E18:E37, "V")) + COUNTIF(E18:E37, "✗") + COUNTIF(E18:E37, "x") + COUNTIF(E18:E37, "X")), "")</f>
        <v/>
      </c>
      <c r="F39" s="134">
        <f>IF(((COUNTIF(F18:F37, "✓") + COUNTIF(F18:F37, "✔") + COUNTIF(F18:F37, "v") + COUNTIF(F18:F37, "V")) + COUNTIF(F18:F37, "✗") + COUNTIF(F18:F37, "x") + COUNTIF(F18:F37, "X")) &gt; 0, (COUNTIF(F18:F37, "✓") + COUNTIF(F18:F37, "✔") + COUNTIF(F18:F37, "v") + COUNTIF(F18:F37, "V")) / ((COUNTIF(F18:F37, "✓") + COUNTIF(F18:F37, "✔") + COUNTIF(F18:F37, "v") + COUNTIF(F18:F37, "V")) + COUNTIF(F18:F37, "✗") + COUNTIF(F18:F37, "x") + COUNTIF(F18:F37, "X")), "")</f>
        <v/>
      </c>
      <c r="G39" s="134">
        <f>IF(((COUNTIF(G18:G37, "✓") + COUNTIF(G18:G37, "✔") + COUNTIF(G18:G37, "v") + COUNTIF(G18:G37, "V")) + COUNTIF(G18:G37, "✗") + COUNTIF(G18:G37, "x") + COUNTIF(G18:G37, "X")) &gt; 0, (COUNTIF(G18:G37, "✓") + COUNTIF(G18:G37, "✔") + COUNTIF(G18:G37, "v") + COUNTIF(G18:G37, "V")) / ((COUNTIF(G18:G37, "✓") + COUNTIF(G18:G37, "✔") + COUNTIF(G18:G37, "v") + COUNTIF(G18:G37, "V")) + COUNTIF(G18:G37, "✗") + COUNTIF(G18:G37, "x") + COUNTIF(G18:G37, "X")), "")</f>
        <v/>
      </c>
      <c r="H39" s="134">
        <f>IF(((COUNTIF(H18:H37, "✓") + COUNTIF(H18:H37, "✔") + COUNTIF(H18:H37, "v") + COUNTIF(H18:H37, "V")) + COUNTIF(H18:H37, "✗") + COUNTIF(H18:H37, "x") + COUNTIF(H18:H37, "X")) &gt; 0, (COUNTIF(H18:H37, "✓") + COUNTIF(H18:H37, "✔") + COUNTIF(H18:H37, "v") + COUNTIF(H18:H37, "V")) / ((COUNTIF(H18:H37, "✓") + COUNTIF(H18:H37, "✔") + COUNTIF(H18:H37, "v") + COUNTIF(H18:H37, "V")) + COUNTIF(H18:H37, "✗") + COUNTIF(H18:H37, "x") + COUNTIF(H18:H37, "X")), "")</f>
        <v/>
      </c>
      <c r="I39" s="134">
        <f>IF(((COUNTIF(I18:I37, "✓") + COUNTIF(I18:I37, "✔") + COUNTIF(I18:I37, "v") + COUNTIF(I18:I37, "V")) + COUNTIF(I18:I37, "✗") + COUNTIF(I18:I37, "x") + COUNTIF(I18:I37, "X")) &gt; 0, (COUNTIF(I18:I37, "✓") + COUNTIF(I18:I37, "✔") + COUNTIF(I18:I37, "v") + COUNTIF(I18:I37, "V")) / ((COUNTIF(I18:I37, "✓") + COUNTIF(I18:I37, "✔") + COUNTIF(I18:I37, "v") + COUNTIF(I18:I37, "V")) + COUNTIF(I18:I37, "✗") + COUNTIF(I18:I37, "x") + COUNTIF(I18:I37, "X")), "")</f>
        <v/>
      </c>
      <c r="J39" s="134">
        <f>IF(((COUNTIF(J18:J37, "✓") + COUNTIF(J18:J37, "✔") + COUNTIF(J18:J37, "v") + COUNTIF(J18:J37, "V")) + COUNTIF(J18:J37, "✗") + COUNTIF(J18:J37, "x") + COUNTIF(J18:J37, "X")) &gt; 0, (COUNTIF(J18:J37, "✓") + COUNTIF(J18:J37, "✔") + COUNTIF(J18:J37, "v") + COUNTIF(J18:J37, "V")) / ((COUNTIF(J18:J37, "✓") + COUNTIF(J18:J37, "✔") + COUNTIF(J18:J37, "v") + COUNTIF(J18:J37, "V")) + COUNTIF(J18:J37, "✗") + COUNTIF(J18:J37, "x") + COUNTIF(J18:J37, "X")), "")</f>
        <v/>
      </c>
      <c r="K39" s="134">
        <f>IF(((COUNTIF(K18:K37, "✓") + COUNTIF(K18:K37, "✔") + COUNTIF(K18:K37, "v") + COUNTIF(K18:K37, "V")) + COUNTIF(K18:K37, "✗") + COUNTIF(K18:K37, "x") + COUNTIF(K18:K37, "X")) &gt; 0, (COUNTIF(K18:K37, "✓") + COUNTIF(K18:K37, "✔") + COUNTIF(K18:K37, "v") + COUNTIF(K18:K37, "V")) / ((COUNTIF(K18:K37, "✓") + COUNTIF(K18:K37, "✔") + COUNTIF(K18:K37, "v") + COUNTIF(K18:K37, "V")) + COUNTIF(K18:K37, "✗") + COUNTIF(K18:K37, "x") + COUNTIF(K18:K37, "X")), "")</f>
        <v/>
      </c>
      <c r="L39" s="134">
        <f>IF(((COUNTIF(L18:L37, "✓") + COUNTIF(L18:L37, "✔") + COUNTIF(L18:L37, "v") + COUNTIF(L18:L37, "V")) + COUNTIF(L18:L37, "✗") + COUNTIF(L18:L37, "x") + COUNTIF(L18:L37, "X")) &gt; 0, (COUNTIF(L18:L37, "✓") + COUNTIF(L18:L37, "✔") + COUNTIF(L18:L37, "v") + COUNTIF(L18:L37, "V")) / ((COUNTIF(L18:L37, "✓") + COUNTIF(L18:L37, "✔") + COUNTIF(L18:L37, "v") + COUNTIF(L18:L37, "V")) + COUNTIF(L18:L37, "✗") + COUNTIF(L18:L37, "x") + COUNTIF(L18:L37, "X")), "")</f>
        <v/>
      </c>
      <c r="M39" s="134">
        <f>IF(((COUNTIF(M18:M37, "✓") + COUNTIF(M18:M37, "✔") + COUNTIF(M18:M37, "v") + COUNTIF(M18:M37, "V")) + COUNTIF(M18:M37, "✗") + COUNTIF(M18:M37, "x") + COUNTIF(M18:M37, "X")) &gt; 0, (COUNTIF(M18:M37, "✓") + COUNTIF(M18:M37, "✔") + COUNTIF(M18:M37, "v") + COUNTIF(M18:M37, "V")) / ((COUNTIF(M18:M37, "✓") + COUNTIF(M18:M37, "✔") + COUNTIF(M18:M37, "v") + COUNTIF(M18:M37, "V")) + COUNTIF(M18:M37, "✗") + COUNTIF(M18:M37, "x") + COUNTIF(M18:M37, "X")), "")</f>
        <v/>
      </c>
      <c r="N39" s="134">
        <f>IF(((COUNTIF(N18:N37, "✓") + COUNTIF(N18:N37, "✔") + COUNTIF(N18:N37, "v") + COUNTIF(N18:N37, "V")) + COUNTIF(N18:N37, "✗") + COUNTIF(N18:N37, "x") + COUNTIF(N18:N37, "X")) &gt; 0, (COUNTIF(N18:N37, "✓") + COUNTIF(N18:N37, "✔") + COUNTIF(N18:N37, "v") + COUNTIF(N18:N37, "V")) / ((COUNTIF(N18:N37, "✓") + COUNTIF(N18:N37, "✔") + COUNTIF(N18:N37, "v") + COUNTIF(N18:N37, "V")) + COUNTIF(N18:N37, "✗") + COUNTIF(N18:N37, "x") + COUNTIF(N18:N37, "X")), "")</f>
        <v/>
      </c>
      <c r="O39" s="134">
        <f>IF(((COUNTIF(O18:O37, "✓") + COUNTIF(O18:O37, "✔") + COUNTIF(O18:O37, "v") + COUNTIF(O18:O37, "V")) + COUNTIF(O18:O37, "✗") + COUNTIF(O18:O37, "x") + COUNTIF(O18:O37, "X")) &gt; 0, (COUNTIF(O18:O37, "✓") + COUNTIF(O18:O37, "✔") + COUNTIF(O18:O37, "v") + COUNTIF(O18:O37, "V")) / ((COUNTIF(O18:O37, "✓") + COUNTIF(O18:O37, "✔") + COUNTIF(O18:O37, "v") + COUNTIF(O18:O37, "V")) + COUNTIF(O18:O37, "✗") + COUNTIF(O18:O37, "x") + COUNTIF(O18:O37, "X")), "")</f>
        <v/>
      </c>
      <c r="P39" s="134">
        <f>IF(((COUNTIF(P18:P37, "✓") + COUNTIF(P18:P37, "✔") + COUNTIF(P18:P37, "v") + COUNTIF(P18:P37, "V")) + COUNTIF(P18:P37, "✗") + COUNTIF(P18:P37, "x") + COUNTIF(P18:P37, "X")) &gt; 0, (COUNTIF(P18:P37, "✓") + COUNTIF(P18:P37, "✔") + COUNTIF(P18:P37, "v") + COUNTIF(P18:P37, "V")) / ((COUNTIF(P18:P37, "✓") + COUNTIF(P18:P37, "✔") + COUNTIF(P18:P37, "v") + COUNTIF(P18:P37, "V")) + COUNTIF(P18:P37, "✗") + COUNTIF(P18:P37, "x") + COUNTIF(P18:P37, "X")), "")</f>
        <v/>
      </c>
      <c r="Q39" s="134">
        <f>IF(((COUNTIF(Q18:Q37, "✓") + COUNTIF(Q18:Q37, "✔") + COUNTIF(Q18:Q37, "v") + COUNTIF(Q18:Q37, "V")) + COUNTIF(Q18:Q37, "✗") + COUNTIF(Q18:Q37, "x") + COUNTIF(Q18:Q37, "X")) &gt; 0, (COUNTIF(Q18:Q37, "✓") + COUNTIF(Q18:Q37, "✔") + COUNTIF(Q18:Q37, "v") + COUNTIF(Q18:Q37, "V")) / ((COUNTIF(Q18:Q37, "✓") + COUNTIF(Q18:Q37, "✔") + COUNTIF(Q18:Q37, "v") + COUNTIF(Q18:Q37, "V")) + COUNTIF(Q18:Q37, "✗") + COUNTIF(Q18:Q37, "x") + COUNTIF(Q18:Q37, "X")), "")</f>
        <v/>
      </c>
      <c r="R39" s="134">
        <f>IF(((COUNTIF(R18:R37, "✓") + COUNTIF(R18:R37, "✔") + COUNTIF(R18:R37, "v") + COUNTIF(R18:R37, "V")) + COUNTIF(R18:R37, "✗") + COUNTIF(R18:R37, "x") + COUNTIF(R18:R37, "X")) &gt; 0, (COUNTIF(R18:R37, "✓") + COUNTIF(R18:R37, "✔") + COUNTIF(R18:R37, "v") + COUNTIF(R18:R37, "V")) / ((COUNTIF(R18:R37, "✓") + COUNTIF(R18:R37, "✔") + COUNTIF(R18:R37, "v") + COUNTIF(R18:R37, "V")) + COUNTIF(R18:R37, "✗") + COUNTIF(R18:R37, "x") + COUNTIF(R18:R37, "X")), "")</f>
        <v/>
      </c>
      <c r="S39" s="134">
        <f>IF(((COUNTIF(S18:S37, "✓") + COUNTIF(S18:S37, "✔") + COUNTIF(S18:S37, "v") + COUNTIF(S18:S37, "V")) + COUNTIF(S18:S37, "✗") + COUNTIF(S18:S37, "x") + COUNTIF(S18:S37, "X")) &gt; 0, (COUNTIF(S18:S37, "✓") + COUNTIF(S18:S37, "✔") + COUNTIF(S18:S37, "v") + COUNTIF(S18:S37, "V")) / ((COUNTIF(S18:S37, "✓") + COUNTIF(S18:S37, "✔") + COUNTIF(S18:S37, "v") + COUNTIF(S18:S37, "V")) + COUNTIF(S18:S37, "✗") + COUNTIF(S18:S37, "x") + COUNTIF(S18:S37, "X")), "")</f>
        <v/>
      </c>
      <c r="T39" s="134">
        <f>IF(((COUNTIF(T18:T37, "✓") + COUNTIF(T18:T37, "✔") + COUNTIF(T18:T37, "v") + COUNTIF(T18:T37, "V")) + COUNTIF(T18:T37, "✗") + COUNTIF(T18:T37, "x") + COUNTIF(T18:T37, "X")) &gt; 0, (COUNTIF(T18:T37, "✓") + COUNTIF(T18:T37, "✔") + COUNTIF(T18:T37, "v") + COUNTIF(T18:T37, "V")) / ((COUNTIF(T18:T37, "✓") + COUNTIF(T18:T37, "✔") + COUNTIF(T18:T37, "v") + COUNTIF(T18:T37, "V")) + COUNTIF(T18:T37, "✗") + COUNTIF(T18:T37, "x") + COUNTIF(T18:T37, "X")), "")</f>
        <v/>
      </c>
      <c r="U39" s="134">
        <f>IF(((COUNTIF(U18:U37, "✓") + COUNTIF(U18:U37, "✔") + COUNTIF(U18:U37, "v") + COUNTIF(U18:U37, "V")) + COUNTIF(U18:U37, "✗") + COUNTIF(U18:U37, "x") + COUNTIF(U18:U37, "X")) &gt; 0, (COUNTIF(U18:U37, "✓") + COUNTIF(U18:U37, "✔") + COUNTIF(U18:U37, "v") + COUNTIF(U18:U37, "V")) / ((COUNTIF(U18:U37, "✓") + COUNTIF(U18:U37, "✔") + COUNTIF(U18:U37, "v") + COUNTIF(U18:U37, "V")) + COUNTIF(U18:U37, "✗") + COUNTIF(U18:U37, "x") + COUNTIF(U18:U37, "X")), "")</f>
        <v/>
      </c>
      <c r="V39" s="134">
        <f>IF(((COUNTIF(V18:V37, "✓") + COUNTIF(V18:V37, "✔") + COUNTIF(V18:V37, "v") + COUNTIF(V18:V37, "V")) + COUNTIF(V18:V37, "✗") + COUNTIF(V18:V37, "x") + COUNTIF(V18:V37, "X")) &gt; 0, (COUNTIF(V18:V37, "✓") + COUNTIF(V18:V37, "✔") + COUNTIF(V18:V37, "v") + COUNTIF(V18:V37, "V")) / ((COUNTIF(V18:V37, "✓") + COUNTIF(V18:V37, "✔") + COUNTIF(V18:V37, "v") + COUNTIF(V18:V37, "V")) + COUNTIF(V18:V37, "✗") + COUNTIF(V18:V37, "x") + COUNTIF(V18:V37, "X")), "")</f>
        <v/>
      </c>
      <c r="W39" s="134">
        <f>IF(((COUNTIF(W18:W37, "✓") + COUNTIF(W18:W37, "✔") + COUNTIF(W18:W37, "v") + COUNTIF(W18:W37, "V")) + COUNTIF(W18:W37, "✗") + COUNTIF(W18:W37, "x") + COUNTIF(W18:W37, "X")) &gt; 0, (COUNTIF(W18:W37, "✓") + COUNTIF(W18:W37, "✔") + COUNTIF(W18:W37, "v") + COUNTIF(W18:W37, "V")) / ((COUNTIF(W18:W37, "✓") + COUNTIF(W18:W37, "✔") + COUNTIF(W18:W37, "v") + COUNTIF(W18:W37, "V")) + COUNTIF(W18:W37, "✗") + COUNTIF(W18:W37, "x") + COUNTIF(W18:W37, "X")), "")</f>
        <v/>
      </c>
      <c r="X39" s="134">
        <f>IF(((COUNTIF(X18:X37, "✓") + COUNTIF(X18:X37, "✔") + COUNTIF(X18:X37, "v") + COUNTIF(X18:X37, "V")) + COUNTIF(X18:X37, "✗") + COUNTIF(X18:X37, "x") + COUNTIF(X18:X37, "X")) &gt; 0, (COUNTIF(X18:X37, "✓") + COUNTIF(X18:X37, "✔") + COUNTIF(X18:X37, "v") + COUNTIF(X18:X37, "V")) / ((COUNTIF(X18:X37, "✓") + COUNTIF(X18:X37, "✔") + COUNTIF(X18:X37, "v") + COUNTIF(X18:X37, "V")) + COUNTIF(X18:X37, "✗") + COUNTIF(X18:X37, "x") + COUNTIF(X18:X37, "X")), "")</f>
        <v/>
      </c>
      <c r="Y39" s="134">
        <f>IF(((COUNTIF(Y18:Y37, "✓") + COUNTIF(Y18:Y37, "✔") + COUNTIF(Y18:Y37, "v") + COUNTIF(Y18:Y37, "V")) + COUNTIF(Y18:Y37, "✗") + COUNTIF(Y18:Y37, "x") + COUNTIF(Y18:Y37, "X")) &gt; 0, (COUNTIF(Y18:Y37, "✓") + COUNTIF(Y18:Y37, "✔") + COUNTIF(Y18:Y37, "v") + COUNTIF(Y18:Y37, "V")) / ((COUNTIF(Y18:Y37, "✓") + COUNTIF(Y18:Y37, "✔") + COUNTIF(Y18:Y37, "v") + COUNTIF(Y18:Y37, "V")) + COUNTIF(Y18:Y37, "✗") + COUNTIF(Y18:Y37, "x") + COUNTIF(Y18:Y37, "X")), "")</f>
        <v/>
      </c>
      <c r="Z39" s="134">
        <f>IF(((COUNTIF(Z18:Z37, "✓") + COUNTIF(Z18:Z37, "✔") + COUNTIF(Z18:Z37, "v") + COUNTIF(Z18:Z37, "V")) + COUNTIF(Z18:Z37, "✗") + COUNTIF(Z18:Z37, "x") + COUNTIF(Z18:Z37, "X")) &gt; 0, (COUNTIF(Z18:Z37, "✓") + COUNTIF(Z18:Z37, "✔") + COUNTIF(Z18:Z37, "v") + COUNTIF(Z18:Z37, "V")) / ((COUNTIF(Z18:Z37, "✓") + COUNTIF(Z18:Z37, "✔") + COUNTIF(Z18:Z37, "v") + COUNTIF(Z18:Z37, "V")) + COUNTIF(Z18:Z37, "✗") + COUNTIF(Z18:Z37, "x") + COUNTIF(Z18:Z37, "X")), "")</f>
        <v/>
      </c>
      <c r="AA39" s="134">
        <f>IF(((COUNTIF(AA18:AA37, "✓") + COUNTIF(AA18:AA37, "✔") + COUNTIF(AA18:AA37, "v") + COUNTIF(AA18:AA37, "V")) + COUNTIF(AA18:AA37, "✗") + COUNTIF(AA18:AA37, "x") + COUNTIF(AA18:AA37, "X")) &gt; 0, (COUNTIF(AA18:AA37, "✓") + COUNTIF(AA18:AA37, "✔") + COUNTIF(AA18:AA37, "v") + COUNTIF(AA18:AA37, "V")) / ((COUNTIF(AA18:AA37, "✓") + COUNTIF(AA18:AA37, "✔") + COUNTIF(AA18:AA37, "v") + COUNTIF(AA18:AA37, "V")) + COUNTIF(AA18:AA37, "✗") + COUNTIF(AA18:AA37, "x") + COUNTIF(AA18:AA37, "X")), "")</f>
        <v/>
      </c>
      <c r="AB39" s="134">
        <f>IF(((COUNTIF(AB18:AB37, "✓") + COUNTIF(AB18:AB37, "✔") + COUNTIF(AB18:AB37, "v") + COUNTIF(AB18:AB37, "V")) + COUNTIF(AB18:AB37, "✗") + COUNTIF(AB18:AB37, "x") + COUNTIF(AB18:AB37, "X")) &gt; 0, (COUNTIF(AB18:AB37, "✓") + COUNTIF(AB18:AB37, "✔") + COUNTIF(AB18:AB37, "v") + COUNTIF(AB18:AB37, "V")) / ((COUNTIF(AB18:AB37, "✓") + COUNTIF(AB18:AB37, "✔") + COUNTIF(AB18:AB37, "v") + COUNTIF(AB18:AB37, "V")) + COUNTIF(AB18:AB37, "✗") + COUNTIF(AB18:AB37, "x") + COUNTIF(AB18:AB37, "X")), "")</f>
        <v/>
      </c>
      <c r="AC39" s="134">
        <f>IF(((COUNTIF(AC18:AC37, "✓") + COUNTIF(AC18:AC37, "✔") + COUNTIF(AC18:AC37, "v") + COUNTIF(AC18:AC37, "V")) + COUNTIF(AC18:AC37, "✗") + COUNTIF(AC18:AC37, "x") + COUNTIF(AC18:AC37, "X")) &gt; 0, (COUNTIF(AC18:AC37, "✓") + COUNTIF(AC18:AC37, "✔") + COUNTIF(AC18:AC37, "v") + COUNTIF(AC18:AC37, "V")) / ((COUNTIF(AC18:AC37, "✓") + COUNTIF(AC18:AC37, "✔") + COUNTIF(AC18:AC37, "v") + COUNTIF(AC18:AC37, "V")) + COUNTIF(AC18:AC37, "✗") + COUNTIF(AC18:AC37, "x") + COUNTIF(AC18:AC37, "X")), "")</f>
        <v/>
      </c>
      <c r="AD39" s="134">
        <f>IF(((COUNTIF(AD18:AD37, "✓") + COUNTIF(AD18:AD37, "✔") + COUNTIF(AD18:AD37, "v") + COUNTIF(AD18:AD37, "V")) + COUNTIF(AD18:AD37, "✗") + COUNTIF(AD18:AD37, "x") + COUNTIF(AD18:AD37, "X")) &gt; 0, (COUNTIF(AD18:AD37, "✓") + COUNTIF(AD18:AD37, "✔") + COUNTIF(AD18:AD37, "v") + COUNTIF(AD18:AD37, "V")) / ((COUNTIF(AD18:AD37, "✓") + COUNTIF(AD18:AD37, "✔") + COUNTIF(AD18:AD37, "v") + COUNTIF(AD18:AD37, "V")) + COUNTIF(AD18:AD37, "✗") + COUNTIF(AD18:AD37, "x") + COUNTIF(AD18:AD37, "X")), "")</f>
        <v/>
      </c>
      <c r="AE39" s="134">
        <f>IF(((COUNTIF(AE18:AE37, "✓") + COUNTIF(AE18:AE37, "✔") + COUNTIF(AE18:AE37, "v") + COUNTIF(AE18:AE37, "V")) + COUNTIF(AE18:AE37, "✗") + COUNTIF(AE18:AE37, "x") + COUNTIF(AE18:AE37, "X")) &gt; 0, (COUNTIF(AE18:AE37, "✓") + COUNTIF(AE18:AE37, "✔") + COUNTIF(AE18:AE37, "v") + COUNTIF(AE18:AE37, "V")) / ((COUNTIF(AE18:AE37, "✓") + COUNTIF(AE18:AE37, "✔") + COUNTIF(AE18:AE37, "v") + COUNTIF(AE18:AE37, "V")) + COUNTIF(AE18:AE37, "✗") + COUNTIF(AE18:AE37, "x") + COUNTIF(AE18:AE37, "X")), "")</f>
        <v/>
      </c>
      <c r="AF39" s="134">
        <f>IF(((COUNTIF(AF18:AF37, "✓") + COUNTIF(AF18:AF37, "✔") + COUNTIF(AF18:AF37, "v") + COUNTIF(AF18:AF37, "V")) + COUNTIF(AF18:AF37, "✗") + COUNTIF(AF18:AF37, "x") + COUNTIF(AF18:AF37, "X")) &gt; 0, (COUNTIF(AF18:AF37, "✓") + COUNTIF(AF18:AF37, "✔") + COUNTIF(AF18:AF37, "v") + COUNTIF(AF18:AF37, "V")) / ((COUNTIF(AF18:AF37, "✓") + COUNTIF(AF18:AF37, "✔") + COUNTIF(AF18:AF37, "v") + COUNTIF(AF18:AF37, "V")) + COUNTIF(AF18:AF37, "✗") + COUNTIF(AF18:AF37, "x") + COUNTIF(AF18:AF37, "X")), "")</f>
        <v/>
      </c>
      <c r="AG39" s="134">
        <f>IF(((COUNTIF(AG18:AG37, "✓") + COUNTIF(AG18:AG37, "✔") + COUNTIF(AG18:AG37, "v") + COUNTIF(AG18:AG37, "V")) + COUNTIF(AG18:AG37, "✗") + COUNTIF(AG18:AG37, "x") + COUNTIF(AG18:AG37, "X")) &gt; 0, (COUNTIF(AG18:AG37, "✓") + COUNTIF(AG18:AG37, "✔") + COUNTIF(AG18:AG37, "v") + COUNTIF(AG18:AG37, "V")) / ((COUNTIF(AG18:AG37, "✓") + COUNTIF(AG18:AG37, "✔") + COUNTIF(AG18:AG37, "v") + COUNTIF(AG18:AG37, "V")) + COUNTIF(AG18:AG37, "✗") + COUNTIF(AG18:AG37, "x") + COUNTIF(AG18:AG37, "X")), "")</f>
        <v/>
      </c>
      <c r="AH39" s="134">
        <f>IF(((COUNTIF(AH18:AH37, "✓") + COUNTIF(AH18:AH37, "✔") + COUNTIF(AH18:AH37, "v") + COUNTIF(AH18:AH37, "V")) + COUNTIF(AH18:AH37, "✗") + COUNTIF(AH18:AH37, "x") + COUNTIF(AH18:AH37, "X")) &gt; 0, (COUNTIF(AH18:AH37, "✓") + COUNTIF(AH18:AH37, "✔") + COUNTIF(AH18:AH37, "v") + COUNTIF(AH18:AH37, "V")) / ((COUNTIF(AH18:AH37, "✓") + COUNTIF(AH18:AH37, "✔") + COUNTIF(AH18:AH37, "v") + COUNTIF(AH18:AH37, "V")) + COUNTIF(AH18:AH37, "✗") + COUNTIF(AH18:AH37, "x") + COUNTIF(AH18:AH37, "X")), "")</f>
        <v/>
      </c>
      <c r="AI39" s="133">
        <f>IF(COUNT(E39:AH39) &gt; 0, AVERAGE(E39:AH39), "")</f>
        <v/>
      </c>
      <c r="AJ39" s="54" t="n"/>
      <c r="AK39" s="54" t="n"/>
    </row>
    <row r="40" ht="6" customHeight="1"/>
    <row r="41" ht="15" customHeight="1">
      <c r="A41" s="135" t="inlineStr">
        <is>
          <t>IF SUCCESS &lt; 80%, PUNISHMENT: ________________________________________________</t>
        </is>
      </c>
    </row>
    <row r="42" ht="15" customHeight="1">
      <c r="A42" s="136" t="inlineStr">
        <is>
          <t>IF SUCCESS &gt; 90%, REWARD: __________________________________________________</t>
        </is>
      </c>
    </row>
    <row r="43" ht="10" customHeight="1"/>
    <row r="44" ht="10" customHeight="1"/>
    <row r="45" ht="15" customHeight="1">
      <c r="A45" s="51" t="inlineStr">
        <is>
          <t>Sleep Tracking</t>
        </is>
      </c>
      <c r="B45" s="52" t="n"/>
      <c r="C45" s="52" t="n"/>
      <c r="D45" s="52" t="n"/>
      <c r="E45" s="137" t="n">
        <v>1</v>
      </c>
      <c r="F45" s="137" t="n">
        <v>2</v>
      </c>
      <c r="G45" s="138" t="n">
        <v>3</v>
      </c>
      <c r="H45" s="137" t="n">
        <v>4</v>
      </c>
      <c r="I45" s="137" t="n">
        <v>5</v>
      </c>
      <c r="J45" s="137" t="n">
        <v>6</v>
      </c>
      <c r="K45" s="137" t="n">
        <v>7</v>
      </c>
      <c r="L45" s="137" t="n">
        <v>8</v>
      </c>
      <c r="M45" s="137" t="n">
        <v>9</v>
      </c>
      <c r="N45" s="138" t="n">
        <v>10</v>
      </c>
      <c r="O45" s="137" t="n">
        <v>11</v>
      </c>
      <c r="P45" s="137" t="n">
        <v>12</v>
      </c>
      <c r="Q45" s="137" t="n">
        <v>13</v>
      </c>
      <c r="R45" s="137" t="n">
        <v>14</v>
      </c>
      <c r="S45" s="137" t="n">
        <v>15</v>
      </c>
      <c r="T45" s="137" t="n">
        <v>16</v>
      </c>
      <c r="U45" s="138" t="n">
        <v>17</v>
      </c>
      <c r="V45" s="137" t="n">
        <v>18</v>
      </c>
      <c r="W45" s="137" t="n">
        <v>19</v>
      </c>
      <c r="X45" s="137" t="n">
        <v>20</v>
      </c>
      <c r="Y45" s="137" t="n">
        <v>21</v>
      </c>
      <c r="Z45" s="137" t="n">
        <v>22</v>
      </c>
      <c r="AA45" s="137" t="n">
        <v>23</v>
      </c>
      <c r="AB45" s="138" t="n">
        <v>24</v>
      </c>
      <c r="AC45" s="137" t="n">
        <v>25</v>
      </c>
      <c r="AD45" s="137" t="n">
        <v>26</v>
      </c>
      <c r="AE45" s="137" t="n">
        <v>27</v>
      </c>
      <c r="AF45" s="137" t="n">
        <v>28</v>
      </c>
      <c r="AG45" s="137" t="n">
        <v>29</v>
      </c>
      <c r="AH45" s="137" t="n">
        <v>30</v>
      </c>
    </row>
    <row r="46" ht="15" customHeight="1">
      <c r="A46" s="52" t="n"/>
      <c r="B46" s="52" t="n"/>
      <c r="C46" s="52" t="n"/>
      <c r="D46" s="52" t="n"/>
      <c r="E46" s="139" t="inlineStr">
        <is>
          <t>F</t>
        </is>
      </c>
      <c r="F46" s="139" t="inlineStr">
        <is>
          <t>Sa</t>
        </is>
      </c>
      <c r="G46" s="140" t="inlineStr">
        <is>
          <t>Su</t>
        </is>
      </c>
      <c r="H46" s="139" t="inlineStr">
        <is>
          <t>M</t>
        </is>
      </c>
      <c r="I46" s="139" t="inlineStr">
        <is>
          <t>T</t>
        </is>
      </c>
      <c r="J46" s="139" t="inlineStr">
        <is>
          <t>W</t>
        </is>
      </c>
      <c r="K46" s="139" t="inlineStr">
        <is>
          <t>Th</t>
        </is>
      </c>
      <c r="L46" s="139" t="inlineStr">
        <is>
          <t>F</t>
        </is>
      </c>
      <c r="M46" s="139" t="inlineStr">
        <is>
          <t>Sa</t>
        </is>
      </c>
      <c r="N46" s="140" t="inlineStr">
        <is>
          <t>Su</t>
        </is>
      </c>
      <c r="O46" s="139" t="inlineStr">
        <is>
          <t>M</t>
        </is>
      </c>
      <c r="P46" s="139" t="inlineStr">
        <is>
          <t>T</t>
        </is>
      </c>
      <c r="Q46" s="139" t="inlineStr">
        <is>
          <t>W</t>
        </is>
      </c>
      <c r="R46" s="139" t="inlineStr">
        <is>
          <t>Th</t>
        </is>
      </c>
      <c r="S46" s="139" t="inlineStr">
        <is>
          <t>F</t>
        </is>
      </c>
      <c r="T46" s="139" t="inlineStr">
        <is>
          <t>Sa</t>
        </is>
      </c>
      <c r="U46" s="140" t="inlineStr">
        <is>
          <t>Su</t>
        </is>
      </c>
      <c r="V46" s="139" t="inlineStr">
        <is>
          <t>M</t>
        </is>
      </c>
      <c r="W46" s="139" t="inlineStr">
        <is>
          <t>T</t>
        </is>
      </c>
      <c r="X46" s="139" t="inlineStr">
        <is>
          <t>W</t>
        </is>
      </c>
      <c r="Y46" s="139" t="inlineStr">
        <is>
          <t>Th</t>
        </is>
      </c>
      <c r="Z46" s="139" t="inlineStr">
        <is>
          <t>F</t>
        </is>
      </c>
      <c r="AA46" s="139" t="inlineStr">
        <is>
          <t>Sa</t>
        </is>
      </c>
      <c r="AB46" s="140" t="inlineStr">
        <is>
          <t>Su</t>
        </is>
      </c>
      <c r="AC46" s="139" t="inlineStr">
        <is>
          <t>M</t>
        </is>
      </c>
      <c r="AD46" s="139" t="inlineStr">
        <is>
          <t>T</t>
        </is>
      </c>
      <c r="AE46" s="139" t="inlineStr">
        <is>
          <t>W</t>
        </is>
      </c>
      <c r="AF46" s="139" t="inlineStr">
        <is>
          <t>Th</t>
        </is>
      </c>
      <c r="AG46" s="139" t="inlineStr">
        <is>
          <t>F</t>
        </is>
      </c>
      <c r="AH46" s="139" t="inlineStr">
        <is>
          <t>Sa</t>
        </is>
      </c>
    </row>
    <row r="47" ht="20" customHeight="1">
      <c r="A47" s="141" t="inlineStr">
        <is>
          <t>Sleep Hours (1-24)</t>
        </is>
      </c>
      <c r="B47" s="142" t="n"/>
      <c r="C47" s="142" t="n"/>
      <c r="D47" s="142" t="n"/>
      <c r="E47" s="143" t="n"/>
      <c r="F47" s="143" t="n"/>
      <c r="G47" s="144" t="n"/>
      <c r="H47" s="143" t="n"/>
      <c r="I47" s="143" t="n"/>
      <c r="J47" s="143" t="n"/>
      <c r="K47" s="143" t="n"/>
      <c r="L47" s="143" t="n"/>
      <c r="M47" s="143" t="n"/>
      <c r="N47" s="144" t="n"/>
      <c r="O47" s="143" t="n"/>
      <c r="P47" s="143" t="n"/>
      <c r="Q47" s="143" t="n"/>
      <c r="R47" s="143" t="n"/>
      <c r="S47" s="143" t="n"/>
      <c r="T47" s="143" t="n"/>
      <c r="U47" s="144" t="n"/>
      <c r="V47" s="143" t="n"/>
      <c r="W47" s="143" t="n"/>
      <c r="X47" s="143" t="n"/>
      <c r="Y47" s="143" t="n"/>
      <c r="Z47" s="143" t="n"/>
      <c r="AA47" s="143" t="n"/>
      <c r="AB47" s="144" t="n"/>
      <c r="AC47" s="143" t="n"/>
      <c r="AD47" s="143" t="n"/>
      <c r="AE47" s="143" t="n"/>
      <c r="AF47" s="143" t="n"/>
      <c r="AG47" s="143" t="n"/>
      <c r="AH47" s="143" t="n"/>
    </row>
    <row r="48" ht="6" customHeight="1"/>
    <row r="49" ht="14" customHeight="1"/>
    <row r="50" ht="14" customHeight="1"/>
    <row r="51" ht="14" customHeight="1"/>
    <row r="52" ht="14" customHeight="1"/>
    <row r="53" ht="14" customHeight="1"/>
    <row r="54" ht="14" customHeight="1"/>
    <row r="55" ht="14" customHeight="1"/>
    <row r="56" ht="14" customHeight="1"/>
    <row r="57" ht="14" customHeight="1"/>
    <row r="58" ht="14" customHeight="1"/>
    <row r="59" ht="14" customHeight="1"/>
    <row r="60" ht="14" customHeight="1"/>
    <row r="61" ht="14" customHeight="1"/>
    <row r="62" ht="14" customHeight="1"/>
    <row r="63" ht="14" customHeight="1"/>
    <row r="64" ht="14" customHeight="1"/>
    <row r="65" ht="14" customHeight="1"/>
    <row r="66" ht="8" customHeight="1"/>
    <row r="67">
      <c r="A67" s="145" t="inlineStr">
        <is>
          <t>MONTHLY SUCCESS RATE</t>
        </is>
      </c>
      <c r="B67" s="9" t="n"/>
      <c r="C67" s="9" t="n"/>
      <c r="D67" s="9" t="n"/>
      <c r="F67" s="146" t="inlineStr">
        <is>
          <t>ACTIVE PROTOCOLS</t>
        </is>
      </c>
      <c r="G67" s="11" t="n"/>
      <c r="H67" s="11" t="n"/>
      <c r="I67" s="11" t="n"/>
      <c r="K67" s="147" t="inlineStr">
        <is>
          <t>PERFECT DAYS (100%)</t>
        </is>
      </c>
      <c r="L67" s="13" t="n"/>
      <c r="M67" s="13" t="n"/>
      <c r="N67" s="13" t="n"/>
      <c r="P67" s="148" t="inlineStr">
        <is>
          <t>AVG SLEEP DURATION</t>
        </is>
      </c>
      <c r="Q67" s="15" t="n"/>
      <c r="R67" s="15" t="n"/>
      <c r="S67" s="15" t="n"/>
    </row>
    <row r="68">
      <c r="A68" s="149">
        <f>IF(SUM(D18:D37)&gt;0, SUM(AL18:AL37)/SUM(D18:D37), 0)</f>
        <v/>
      </c>
      <c r="B68" s="9" t="n"/>
      <c r="C68" s="9" t="n"/>
      <c r="D68" s="9" t="n"/>
      <c r="F68" s="150">
        <f>COUNTA(B18:B37) &amp; " / 20"</f>
        <v/>
      </c>
      <c r="G68" s="11" t="n"/>
      <c r="H68" s="11" t="n"/>
      <c r="I68" s="11" t="n"/>
      <c r="K68" s="151">
        <f>COUNTIF(E39:AH39, 1) &amp; " Days"</f>
        <v/>
      </c>
      <c r="L68" s="13" t="n"/>
      <c r="M68" s="13" t="n"/>
      <c r="N68" s="13" t="n"/>
      <c r="P68" s="152">
        <f>IFERROR(TEXT(AVERAGE(E47:AH47), "0.0") &amp; " hrs", "-")</f>
        <v/>
      </c>
      <c r="Q68" s="15" t="n"/>
      <c r="R68" s="15" t="n"/>
      <c r="S68" s="15" t="n"/>
    </row>
    <row r="69">
      <c r="A69" s="9" t="n"/>
      <c r="B69" s="9" t="n"/>
      <c r="C69" s="9" t="n"/>
      <c r="D69" s="9" t="n"/>
      <c r="F69" s="11" t="n"/>
      <c r="G69" s="11" t="n"/>
      <c r="H69" s="11" t="n"/>
      <c r="I69" s="11" t="n"/>
      <c r="K69" s="13" t="n"/>
      <c r="L69" s="13" t="n"/>
      <c r="M69" s="13" t="n"/>
      <c r="N69" s="13" t="n"/>
      <c r="P69" s="15" t="n"/>
      <c r="Q69" s="15" t="n"/>
      <c r="R69" s="15" t="n"/>
      <c r="S69" s="15" t="n"/>
    </row>
    <row r="70">
      <c r="A70" s="9" t="n"/>
      <c r="B70" s="9" t="n"/>
      <c r="C70" s="9" t="n"/>
      <c r="D70" s="9" t="n"/>
      <c r="F70" s="11" t="n"/>
      <c r="G70" s="11" t="n"/>
      <c r="H70" s="11" t="n"/>
      <c r="I70" s="11" t="n"/>
      <c r="K70" s="13" t="n"/>
      <c r="L70" s="13" t="n"/>
      <c r="M70" s="13" t="n"/>
      <c r="N70" s="13" t="n"/>
      <c r="P70" s="15" t="n"/>
      <c r="Q70" s="15" t="n"/>
      <c r="R70" s="15" t="n"/>
      <c r="S70" s="15" t="n"/>
    </row>
    <row r="71">
      <c r="A71" s="153" t="inlineStr">
        <is>
          <t>Target Completion</t>
        </is>
      </c>
      <c r="B71" s="9" t="n"/>
      <c r="C71" s="9" t="n"/>
      <c r="D71" s="9" t="n"/>
      <c r="F71" s="154" t="inlineStr">
        <is>
          <t>Habits Tracked</t>
        </is>
      </c>
      <c r="G71" s="11" t="n"/>
      <c r="H71" s="11" t="n"/>
      <c r="I71" s="11" t="n"/>
      <c r="K71" s="155" t="inlineStr">
        <is>
          <t>All Marked Habits Completed</t>
        </is>
      </c>
      <c r="L71" s="13" t="n"/>
      <c r="M71" s="13" t="n"/>
      <c r="N71" s="13" t="n"/>
      <c r="P71" s="156" t="inlineStr">
        <is>
          <t>Nightly Rest Average</t>
        </is>
      </c>
      <c r="Q71" s="15" t="n"/>
      <c r="R71" s="15" t="n"/>
      <c r="S71" s="15" t="n"/>
    </row>
    <row r="72" ht="8" customHeight="1"/>
    <row r="73" ht="6" customHeight="1"/>
    <row r="74">
      <c r="A74" s="67" t="inlineStr">
        <is>
          <t>WEEKLY PERFORMANCE (SLUMP DETECTOR)</t>
        </is>
      </c>
      <c r="B74" s="29" t="n"/>
      <c r="C74" s="29" t="n"/>
      <c r="D74" s="29" t="n"/>
      <c r="E74" s="29" t="n"/>
      <c r="N74" s="157" t="inlineStr">
        <is>
          <t>LIFE DOMAIN / CATEGORY BREAKDOWN</t>
        </is>
      </c>
      <c r="O74" s="158" t="n"/>
      <c r="P74" s="158" t="n"/>
      <c r="Q74" s="158" t="n"/>
      <c r="R74" s="158" t="n"/>
      <c r="S74" s="158" t="n"/>
    </row>
    <row r="75" ht="15" customHeight="1">
      <c r="A75" s="53" t="inlineStr">
        <is>
          <t>Week</t>
        </is>
      </c>
      <c r="B75" s="53" t="inlineStr">
        <is>
          <t>Days Range</t>
        </is>
      </c>
      <c r="C75" s="53" t="inlineStr">
        <is>
          <t>Checks Done</t>
        </is>
      </c>
      <c r="D75" s="53" t="inlineStr">
        <is>
          <t>Evaluated</t>
        </is>
      </c>
      <c r="E75" s="53" t="inlineStr">
        <is>
          <t>Success %</t>
        </is>
      </c>
      <c r="N75" s="53" t="inlineStr">
        <is>
          <t>Domain / Category</t>
        </is>
      </c>
      <c r="O75" s="54" t="n"/>
      <c r="P75" s="53" t="inlineStr">
        <is>
          <t>Active Habits</t>
        </is>
      </c>
      <c r="Q75" s="53" t="inlineStr">
        <is>
          <t>Target Days</t>
        </is>
      </c>
      <c r="R75" s="53" t="inlineStr">
        <is>
          <t>Done Checks</t>
        </is>
      </c>
      <c r="S75" s="53" t="inlineStr">
        <is>
          <t>Success %</t>
        </is>
      </c>
    </row>
    <row r="76" ht="14" customHeight="1">
      <c r="A76" s="33" t="inlineStr">
        <is>
          <t>Week 1</t>
        </is>
      </c>
      <c r="B76" s="34" t="inlineStr">
        <is>
          <t>Days 1 - 7</t>
        </is>
      </c>
      <c r="C76" s="34">
        <f>COUNTIF(E18:K37, "✓")</f>
        <v/>
      </c>
      <c r="D76" s="34">
        <f>COUNTIF(E18:K37, "✓") + COUNTIF(E18:K37, "✗")</f>
        <v/>
      </c>
      <c r="E76" s="35">
        <f>IFERROR(C76/D76, 0)</f>
        <v/>
      </c>
      <c r="N76" s="60" t="inlineStr">
        <is>
          <t>Health &amp; Fitness</t>
        </is>
      </c>
      <c r="O76" s="54" t="n"/>
      <c r="P76" s="34">
        <f>COUNTIF($C$18:$C$37, "Health &amp; Fitness")</f>
        <v/>
      </c>
      <c r="Q76" s="34">
        <f>SUMIF($C$18:$C$37, "Health &amp; Fitness", $D$18:$D$37)</f>
        <v/>
      </c>
      <c r="R76" s="34">
        <f>SUMIF($C$18:$C$37, "Health &amp; Fitness", $AL$18:$AL$37)</f>
        <v/>
      </c>
      <c r="S76" s="35">
        <f>IFERROR(R76/Q76, 0)</f>
        <v/>
      </c>
    </row>
    <row r="77" ht="14" customHeight="1">
      <c r="A77" s="33" t="inlineStr">
        <is>
          <t>Week 2</t>
        </is>
      </c>
      <c r="B77" s="34" t="inlineStr">
        <is>
          <t>Days 8 - 14</t>
        </is>
      </c>
      <c r="C77" s="34">
        <f>COUNTIF(L18:R37, "✓")</f>
        <v/>
      </c>
      <c r="D77" s="34">
        <f>COUNTIF(L18:R37, "✓") + COUNTIF(L18:R37, "✗")</f>
        <v/>
      </c>
      <c r="E77" s="35">
        <f>IFERROR(C77/D77, 0)</f>
        <v/>
      </c>
      <c r="N77" s="60" t="inlineStr">
        <is>
          <t>Mindset &amp; Learning</t>
        </is>
      </c>
      <c r="O77" s="54" t="n"/>
      <c r="P77" s="34">
        <f>COUNTIF($C$18:$C$37, "Mindset &amp; Learning")</f>
        <v/>
      </c>
      <c r="Q77" s="34">
        <f>SUMIF($C$18:$C$37, "Mindset &amp; Learning", $D$18:$D$37)</f>
        <v/>
      </c>
      <c r="R77" s="34">
        <f>SUMIF($C$18:$C$37, "Mindset &amp; Learning", $AL$18:$AL$37)</f>
        <v/>
      </c>
      <c r="S77" s="35">
        <f>IFERROR(R77/Q77, 0)</f>
        <v/>
      </c>
    </row>
    <row r="78" ht="14" customHeight="1">
      <c r="A78" s="33" t="inlineStr">
        <is>
          <t>Week 3</t>
        </is>
      </c>
      <c r="B78" s="34" t="inlineStr">
        <is>
          <t>Days 15 - 21</t>
        </is>
      </c>
      <c r="C78" s="34">
        <f>COUNTIF(S18:Y37, "✓")</f>
        <v/>
      </c>
      <c r="D78" s="34">
        <f>COUNTIF(S18:Y37, "✓") + COUNTIF(S18:Y37, "✗")</f>
        <v/>
      </c>
      <c r="E78" s="35">
        <f>IFERROR(C78/D78, 0)</f>
        <v/>
      </c>
      <c r="N78" s="60" t="inlineStr">
        <is>
          <t>Career &amp; Focus</t>
        </is>
      </c>
      <c r="O78" s="54" t="n"/>
      <c r="P78" s="34">
        <f>COUNTIF($C$18:$C$37, "Career &amp; Focus")</f>
        <v/>
      </c>
      <c r="Q78" s="34">
        <f>SUMIF($C$18:$C$37, "Career &amp; Focus", $D$18:$D$37)</f>
        <v/>
      </c>
      <c r="R78" s="34">
        <f>SUMIF($C$18:$C$37, "Career &amp; Focus", $AL$18:$AL$37)</f>
        <v/>
      </c>
      <c r="S78" s="35">
        <f>IFERROR(R78/Q78, 0)</f>
        <v/>
      </c>
    </row>
    <row r="79" ht="14" customHeight="1">
      <c r="A79" s="33" t="inlineStr">
        <is>
          <t>Week 4</t>
        </is>
      </c>
      <c r="B79" s="34" t="inlineStr">
        <is>
          <t>Days 22 - 28</t>
        </is>
      </c>
      <c r="C79" s="34">
        <f>COUNTIF(Z18:AF37, "✓")</f>
        <v/>
      </c>
      <c r="D79" s="34">
        <f>COUNTIF(Z18:AF37, "✓") + COUNTIF(Z18:AF37, "✗")</f>
        <v/>
      </c>
      <c r="E79" s="35">
        <f>IFERROR(C79/D79, 0)</f>
        <v/>
      </c>
      <c r="N79" s="60" t="inlineStr">
        <is>
          <t>Personal &amp; Home</t>
        </is>
      </c>
      <c r="O79" s="54" t="n"/>
      <c r="P79" s="34">
        <f>COUNTIF($C$18:$C$37, "Personal &amp; Home")</f>
        <v/>
      </c>
      <c r="Q79" s="34">
        <f>SUMIF($C$18:$C$37, "Personal &amp; Home", $D$18:$D$37)</f>
        <v/>
      </c>
      <c r="R79" s="34">
        <f>SUMIF($C$18:$C$37, "Personal &amp; Home", $AL$18:$AL$37)</f>
        <v/>
      </c>
      <c r="S79" s="35">
        <f>IFERROR(R79/Q79, 0)</f>
        <v/>
      </c>
    </row>
    <row r="80" ht="14" customHeight="1">
      <c r="A80" s="33" t="inlineStr">
        <is>
          <t>Week 5</t>
        </is>
      </c>
      <c r="B80" s="34" t="inlineStr">
        <is>
          <t>Days 29 - 30</t>
        </is>
      </c>
      <c r="C80" s="34">
        <f>COUNTIF(AG18:AH37, "✓")</f>
        <v/>
      </c>
      <c r="D80" s="34">
        <f>COUNTIF(AG18:AH37, "✓") + COUNTIF(AG18:AH37, "✗")</f>
        <v/>
      </c>
      <c r="E80" s="35">
        <f>IFERROR(C80/D80, 0)</f>
        <v/>
      </c>
      <c r="N80" s="60" t="inlineStr">
        <is>
          <t>Finance &amp; Wealth</t>
        </is>
      </c>
      <c r="O80" s="54" t="n"/>
      <c r="P80" s="34">
        <f>COUNTIF($C$18:$C$37, "Finance &amp; Wealth")</f>
        <v/>
      </c>
      <c r="Q80" s="34">
        <f>SUMIF($C$18:$C$37, "Finance &amp; Wealth", $D$18:$D$37)</f>
        <v/>
      </c>
      <c r="R80" s="34">
        <f>SUMIF($C$18:$C$37, "Finance &amp; Wealth", $AL$18:$AL$37)</f>
        <v/>
      </c>
      <c r="S80" s="35">
        <f>IFERROR(R80/Q80, 0)</f>
        <v/>
      </c>
    </row>
    <row r="81" ht="14" customHeight="1">
      <c r="A81" s="33" t="inlineStr">
        <is>
          <t>Total / Avg</t>
        </is>
      </c>
      <c r="B81" s="159" t="inlineStr">
        <is>
          <t>Month Total</t>
        </is>
      </c>
      <c r="C81" s="33">
        <f>SUM(C76:C80)</f>
        <v/>
      </c>
      <c r="D81" s="33">
        <f>SUM(D76:D80)</f>
        <v/>
      </c>
      <c r="E81" s="133">
        <f>IFERROR(C81/D81, 0)</f>
        <v/>
      </c>
    </row>
    <row r="82" ht="10" customHeight="1"/>
    <row r="83" ht="10" customHeight="1"/>
    <row r="84">
      <c r="A84" s="51" t="inlineStr">
        <is>
          <t>SLEEP &amp; PRODUCTIVITY CORRELATION ANALYSIS</t>
        </is>
      </c>
      <c r="B84" s="52" t="n"/>
      <c r="C84" s="52" t="n"/>
      <c r="D84" s="52" t="n"/>
      <c r="E84" s="52" t="n"/>
      <c r="F84" s="52" t="n"/>
      <c r="G84" s="52" t="n"/>
      <c r="H84" s="52" t="n"/>
      <c r="I84" s="52" t="n"/>
      <c r="J84" s="52" t="n"/>
      <c r="K84" s="52" t="n"/>
      <c r="L84" s="52" t="n"/>
      <c r="M84" s="52" t="n"/>
      <c r="N84" s="52" t="n"/>
      <c r="O84" s="52" t="n"/>
      <c r="P84" s="52" t="n"/>
      <c r="Q84" s="52" t="n"/>
      <c r="R84" s="52" t="n"/>
      <c r="S84" s="52" t="n"/>
      <c r="T84" s="52" t="n"/>
      <c r="U84" s="52" t="n"/>
      <c r="V84" s="52" t="n"/>
      <c r="W84" s="52" t="n"/>
      <c r="X84" s="52" t="n"/>
      <c r="Y84" s="52" t="n"/>
      <c r="Z84" s="52" t="n"/>
      <c r="AA84" s="52" t="n"/>
      <c r="AB84" s="52" t="n"/>
      <c r="AC84" s="52" t="n"/>
      <c r="AD84" s="52" t="n"/>
      <c r="AE84" s="52" t="n"/>
      <c r="AF84" s="52" t="n"/>
      <c r="AG84" s="52" t="n"/>
      <c r="AH84" s="52" t="n"/>
      <c r="AI84" s="52" t="n"/>
      <c r="AJ84" s="52" t="n"/>
      <c r="AK84" s="52" t="n"/>
    </row>
    <row r="85" ht="15" customHeight="1">
      <c r="A85" s="53" t="inlineStr">
        <is>
          <t>Rest Category</t>
        </is>
      </c>
      <c r="B85" s="54" t="n"/>
      <c r="C85" s="54" t="n"/>
      <c r="D85" s="53" t="inlineStr">
        <is>
          <t>Day Criteria</t>
        </is>
      </c>
      <c r="E85" s="54" t="n"/>
      <c r="F85" s="54" t="n"/>
      <c r="G85" s="53" t="inlineStr">
        <is>
          <t>Days Logged</t>
        </is>
      </c>
      <c r="H85" s="54" t="n"/>
      <c r="I85" s="54" t="n"/>
      <c r="J85" s="53" t="inlineStr">
        <is>
          <t>Avg Sleep Duration</t>
        </is>
      </c>
      <c r="K85" s="54" t="n"/>
      <c r="L85" s="54" t="n"/>
      <c r="M85" s="54" t="n"/>
      <c r="N85" s="53" t="inlineStr">
        <is>
          <t>Avg Habit Success %</t>
        </is>
      </c>
      <c r="O85" s="54" t="n"/>
      <c r="P85" s="54" t="n"/>
      <c r="Q85" s="54" t="n"/>
      <c r="R85" s="53" t="inlineStr">
        <is>
          <t>Productivity Delta</t>
        </is>
      </c>
      <c r="S85" s="54" t="n"/>
      <c r="T85" s="54" t="n"/>
      <c r="U85" s="54" t="n"/>
    </row>
    <row r="86" ht="15" customHeight="1">
      <c r="A86" s="160" t="inlineStr">
        <is>
          <t>Optimal Rest</t>
        </is>
      </c>
      <c r="B86" s="161" t="n"/>
      <c r="C86" s="56" t="n"/>
      <c r="D86" s="34" t="inlineStr">
        <is>
          <t>&gt;= 7 Hours / Night</t>
        </is>
      </c>
      <c r="E86" s="161" t="n"/>
      <c r="F86" s="56" t="n"/>
      <c r="G86" s="33">
        <f>COUNTIF(E47:AH47, "&gt;=7")</f>
        <v/>
      </c>
      <c r="H86" s="161" t="n"/>
      <c r="I86" s="56" t="n"/>
      <c r="J86" s="34">
        <f>IFERROR(TEXT(AVERAGEIF(E47:AH47, "&gt;=7"), "0.0") &amp; " hrs", "-")</f>
        <v/>
      </c>
      <c r="K86" s="161" t="n"/>
      <c r="L86" s="161" t="n"/>
      <c r="M86" s="56" t="n"/>
      <c r="N86" s="42">
        <f>IFERROR(AVERAGEIFS(E39:AH39, E47:AH47, "&gt;=7", E39:AH39, "&gt;0"), 0)</f>
        <v/>
      </c>
      <c r="O86" s="161" t="n"/>
      <c r="P86" s="161" t="n"/>
      <c r="Q86" s="56" t="n"/>
      <c r="R86" s="159" t="inlineStr">
        <is>
          <t>Baseline (Target)</t>
        </is>
      </c>
      <c r="S86" s="161" t="n"/>
      <c r="T86" s="161" t="n"/>
      <c r="U86" s="56" t="n"/>
    </row>
    <row r="87" ht="15" customHeight="1">
      <c r="A87" s="162" t="inlineStr">
        <is>
          <t>Sleep Deficit</t>
        </is>
      </c>
      <c r="B87" s="161" t="n"/>
      <c r="C87" s="56" t="n"/>
      <c r="D87" s="34" t="inlineStr">
        <is>
          <t>&lt; 7 Hours / Night</t>
        </is>
      </c>
      <c r="E87" s="161" t="n"/>
      <c r="F87" s="56" t="n"/>
      <c r="G87" s="33">
        <f>COUNTIF(E47:AH47, "&lt;7") - COUNTIF(E47:AH47, "")</f>
        <v/>
      </c>
      <c r="H87" s="161" t="n"/>
      <c r="I87" s="56" t="n"/>
      <c r="J87" s="34">
        <f>IFERROR(TEXT(AVERAGEIFS(E47:AH47, E47:AH47, "&lt;7", E47:AH47, "&gt;0"), "0.0") &amp; " hrs", "-")</f>
        <v/>
      </c>
      <c r="K87" s="161" t="n"/>
      <c r="L87" s="161" t="n"/>
      <c r="M87" s="56" t="n"/>
      <c r="N87" s="163">
        <f>IFERROR(AVERAGEIFS(E39:AH39, E47:AH47, "&lt;7", E39:AH39, "&gt;0"), 0)</f>
        <v/>
      </c>
      <c r="O87" s="161" t="n"/>
      <c r="P87" s="161" t="n"/>
      <c r="Q87" s="56" t="n"/>
      <c r="R87" s="160">
        <f>IFERROR(TEXT(N86 - N87, "+0.0%;-0.0%;0.0%") &amp; " Rest Advantage", "-")</f>
        <v/>
      </c>
      <c r="S87" s="161" t="n"/>
      <c r="T87" s="161" t="n"/>
      <c r="U87" s="56" t="n"/>
    </row>
    <row r="88" ht="18" customHeight="1">
      <c r="A88" s="164">
        <f>IF(AND(ISNUMBER(N86), ISNUMBER(N87), N86&gt;0, N87&gt;0), "💡 Sleep Correlation Insight: You complete " &amp; TEXT(ABS(N86-N87), "0.0%") &amp; IF(N86&gt;=N87, " MORE habits on days with 7+ hours of sleep!", " fewer habits on days with 7+ hours of sleep."), "💡 Log both habits and sleep hours daily to unlock automatic AI correlation insights!")</f>
        <v/>
      </c>
      <c r="B88" s="161" t="n"/>
      <c r="C88" s="161" t="n"/>
      <c r="D88" s="161" t="n"/>
      <c r="E88" s="161" t="n"/>
      <c r="F88" s="161" t="n"/>
      <c r="G88" s="161" t="n"/>
      <c r="H88" s="161" t="n"/>
      <c r="I88" s="161" t="n"/>
      <c r="J88" s="161" t="n"/>
      <c r="K88" s="161" t="n"/>
      <c r="L88" s="161" t="n"/>
      <c r="M88" s="161" t="n"/>
      <c r="N88" s="161" t="n"/>
      <c r="O88" s="161" t="n"/>
      <c r="P88" s="161" t="n"/>
      <c r="Q88" s="161" t="n"/>
      <c r="R88" s="161" t="n"/>
      <c r="S88" s="161" t="n"/>
      <c r="T88" s="161" t="n"/>
      <c r="U88" s="161" t="n"/>
      <c r="V88" s="161" t="n"/>
      <c r="W88" s="161" t="n"/>
      <c r="X88" s="161" t="n"/>
      <c r="Y88" s="161" t="n"/>
      <c r="Z88" s="161" t="n"/>
      <c r="AA88" s="161" t="n"/>
      <c r="AB88" s="161" t="n"/>
      <c r="AC88" s="161" t="n"/>
      <c r="AD88" s="161" t="n"/>
      <c r="AE88" s="161" t="n"/>
      <c r="AF88" s="161" t="n"/>
      <c r="AG88" s="161" t="n"/>
      <c r="AH88" s="161" t="n"/>
      <c r="AI88" s="161" t="n"/>
      <c r="AJ88" s="161" t="n"/>
      <c r="AK88" s="56" t="n"/>
    </row>
    <row r="89" ht="10" customHeight="1"/>
    <row r="90">
      <c r="A90" s="43" t="inlineStr">
        <is>
          <t>STANDARDIZED DATA BRIDGE (FOR ANNUAL &amp; QUARTERLY REVIEW SHEETS)</t>
        </is>
      </c>
      <c r="B90" s="44" t="n"/>
      <c r="C90" s="44" t="n"/>
      <c r="D90" s="44" t="n"/>
      <c r="E90" s="44" t="n"/>
      <c r="F90" s="44" t="n"/>
      <c r="G90" s="44" t="n"/>
      <c r="H90" s="44" t="n"/>
      <c r="I90" s="44" t="n"/>
      <c r="J90" s="44" t="n"/>
      <c r="K90" s="44" t="n"/>
      <c r="L90" s="44" t="n"/>
      <c r="M90" s="44" t="n"/>
      <c r="N90" s="44" t="n"/>
      <c r="O90" s="44" t="n"/>
      <c r="P90" s="44" t="n"/>
      <c r="Q90" s="44" t="n"/>
      <c r="R90" s="44" t="n"/>
      <c r="S90" s="44" t="n"/>
      <c r="T90" s="44" t="n"/>
      <c r="U90" s="44" t="n"/>
      <c r="V90" s="44" t="n"/>
      <c r="W90" s="44" t="n"/>
      <c r="X90" s="44" t="n"/>
      <c r="Y90" s="44" t="n"/>
      <c r="Z90" s="44" t="n"/>
      <c r="AA90" s="44" t="n"/>
      <c r="AB90" s="44" t="n"/>
      <c r="AC90" s="44" t="n"/>
      <c r="AD90" s="44" t="n"/>
      <c r="AE90" s="44" t="n"/>
      <c r="AF90" s="44" t="n"/>
      <c r="AG90" s="44" t="n"/>
      <c r="AH90" s="44" t="n"/>
      <c r="AI90" s="44" t="n"/>
      <c r="AJ90" s="44" t="n"/>
      <c r="AK90" s="44" t="n"/>
    </row>
    <row r="91" ht="15" customHeight="1">
      <c r="A91" s="53" t="inlineStr">
        <is>
          <t>Month</t>
        </is>
      </c>
      <c r="B91" s="54" t="n"/>
      <c r="C91" s="53" t="inlineStr">
        <is>
          <t>Year</t>
        </is>
      </c>
      <c r="D91" s="54" t="n"/>
      <c r="E91" s="53" t="inlineStr">
        <is>
          <t>Active Habits</t>
        </is>
      </c>
      <c r="F91" s="54" t="n"/>
      <c r="G91" s="53" t="inlineStr">
        <is>
          <t>Target Days</t>
        </is>
      </c>
      <c r="H91" s="54" t="n"/>
      <c r="I91" s="53" t="inlineStr">
        <is>
          <t>Done Checks</t>
        </is>
      </c>
      <c r="J91" s="54" t="n"/>
      <c r="K91" s="53" t="inlineStr">
        <is>
          <t>Success %</t>
        </is>
      </c>
      <c r="L91" s="54" t="n"/>
      <c r="M91" s="53" t="inlineStr">
        <is>
          <t>Perfect Days</t>
        </is>
      </c>
      <c r="N91" s="54" t="n"/>
      <c r="O91" s="53" t="inlineStr">
        <is>
          <t>Avg Sleep</t>
        </is>
      </c>
      <c r="P91" s="54" t="n"/>
      <c r="Q91" s="53" t="inlineStr">
        <is>
          <t>Best Week</t>
        </is>
      </c>
      <c r="R91" s="54" t="n"/>
      <c r="S91" s="54" t="n"/>
      <c r="T91" s="53" t="inlineStr">
        <is>
          <t>Top Life Domain</t>
        </is>
      </c>
      <c r="U91" s="54" t="n"/>
      <c r="V91" s="54" t="n"/>
      <c r="W91" s="54" t="n"/>
    </row>
    <row r="92" ht="16" customHeight="1">
      <c r="A92" s="165" t="inlineStr">
        <is>
          <t>Nov</t>
        </is>
      </c>
      <c r="B92" s="56" t="n"/>
      <c r="C92" s="165" t="n">
        <v>2030</v>
      </c>
      <c r="D92" s="56" t="n"/>
      <c r="E92" s="166">
        <f>COUNTA(B18:B37)</f>
        <v/>
      </c>
      <c r="F92" s="56" t="n"/>
      <c r="G92" s="166">
        <f>SUM(D18:D37)</f>
        <v/>
      </c>
      <c r="H92" s="56" t="n"/>
      <c r="I92" s="166">
        <f>SUM(AL18:AL37)</f>
        <v/>
      </c>
      <c r="J92" s="56" t="n"/>
      <c r="K92" s="167">
        <f>IF(G92&gt;0, I92/G92, 0)</f>
        <v/>
      </c>
      <c r="L92" s="56" t="n"/>
      <c r="M92" s="166">
        <f>COUNTIF(E39:AH39, 1)</f>
        <v/>
      </c>
      <c r="N92" s="56" t="n"/>
      <c r="O92" s="168">
        <f>IFERROR(AVERAGE(E47:AH47), 0)</f>
        <v/>
      </c>
      <c r="P92" s="56" t="n"/>
      <c r="Q92" s="166">
        <f>INDEX(A76:A80, MATCH(MAX(E76:E80), E76:E80, 0))</f>
        <v/>
      </c>
      <c r="R92" s="161" t="n"/>
      <c r="S92" s="56" t="n"/>
      <c r="T92" s="166">
        <f>INDEX(N76:N80, MATCH(MAX(S76:S80), S76:S80, 0))</f>
        <v/>
      </c>
      <c r="U92" s="161" t="n"/>
      <c r="V92" s="161" t="n"/>
      <c r="W92" s="56" t="n"/>
    </row>
    <row r="93" ht="14" customHeight="1">
      <c r="A93" s="169" t="inlineStr">
        <is>
          <t>📋 Note: Reference or copy Row 92 directly into an Annual / Quarterly review dashboard to track yearly habit trends.</t>
        </is>
      </c>
    </row>
    <row r="94" ht="8" customHeight="1"/>
    <row r="95">
      <c r="A95" s="170" t="inlineStr">
        <is>
          <t>🏆 MONTHLY WINS &amp; HIGHLIGHTS</t>
        </is>
      </c>
      <c r="J95" s="171" t="inlineStr">
        <is>
          <t>⚠️ FRICTION POINTS &amp; ROOT CAUSES</t>
        </is>
      </c>
      <c r="S95" s="172" t="inlineStr">
        <is>
          <t>🎯 3 KEY ADJUSTMENTS FOR NEXT MONTH</t>
        </is>
      </c>
    </row>
    <row r="96">
      <c r="A96" s="173" t="inlineStr">
        <is>
          <t>1. What went exceptionally well this month?
2. Which habit felt effortless and consistent?
3. Major milestone achieved:</t>
        </is>
      </c>
      <c r="B96" s="174" t="n"/>
      <c r="C96" s="174" t="n"/>
      <c r="D96" s="174" t="n"/>
      <c r="E96" s="174" t="n"/>
      <c r="F96" s="174" t="n"/>
      <c r="G96" s="174" t="n"/>
      <c r="H96" s="174" t="n"/>
      <c r="J96" s="175" t="inlineStr">
        <is>
          <t>1. What caused missed or skipped days?
2. Main triggers / energy drains encountered:
3. Which habit had the lowest consistency and why?</t>
        </is>
      </c>
      <c r="K96" s="176" t="n"/>
      <c r="L96" s="176" t="n"/>
      <c r="M96" s="176" t="n"/>
      <c r="N96" s="176" t="n"/>
      <c r="O96" s="176" t="n"/>
      <c r="P96" s="176" t="n"/>
      <c r="Q96" s="176" t="n"/>
      <c r="S96" s="177" t="inlineStr">
        <is>
          <t>1. Habit Stacking or time adjustment for next month:
2. Environment design change to eliminate friction:
3. One non-negotiable priority protocol:</t>
        </is>
      </c>
      <c r="T96" s="178" t="n"/>
      <c r="U96" s="178" t="n"/>
      <c r="V96" s="178" t="n"/>
      <c r="W96" s="178" t="n"/>
      <c r="X96" s="178" t="n"/>
      <c r="Y96" s="178" t="n"/>
      <c r="Z96" s="178" t="n"/>
    </row>
    <row r="97">
      <c r="A97" s="174" t="n"/>
      <c r="B97" s="174" t="n"/>
      <c r="C97" s="174" t="n"/>
      <c r="D97" s="174" t="n"/>
      <c r="E97" s="174" t="n"/>
      <c r="F97" s="174" t="n"/>
      <c r="G97" s="174" t="n"/>
      <c r="H97" s="174" t="n"/>
      <c r="J97" s="176" t="n"/>
      <c r="K97" s="176" t="n"/>
      <c r="L97" s="176" t="n"/>
      <c r="M97" s="176" t="n"/>
      <c r="N97" s="176" t="n"/>
      <c r="O97" s="176" t="n"/>
      <c r="P97" s="176" t="n"/>
      <c r="Q97" s="176" t="n"/>
      <c r="S97" s="178" t="n"/>
      <c r="T97" s="178" t="n"/>
      <c r="U97" s="178" t="n"/>
      <c r="V97" s="178" t="n"/>
      <c r="W97" s="178" t="n"/>
      <c r="X97" s="178" t="n"/>
      <c r="Y97" s="178" t="n"/>
      <c r="Z97" s="178" t="n"/>
    </row>
    <row r="98">
      <c r="A98" s="174" t="n"/>
      <c r="B98" s="174" t="n"/>
      <c r="C98" s="174" t="n"/>
      <c r="D98" s="174" t="n"/>
      <c r="E98" s="174" t="n"/>
      <c r="F98" s="174" t="n"/>
      <c r="G98" s="174" t="n"/>
      <c r="H98" s="174" t="n"/>
      <c r="J98" s="176" t="n"/>
      <c r="K98" s="176" t="n"/>
      <c r="L98" s="176" t="n"/>
      <c r="M98" s="176" t="n"/>
      <c r="N98" s="176" t="n"/>
      <c r="O98" s="176" t="n"/>
      <c r="P98" s="176" t="n"/>
      <c r="Q98" s="176" t="n"/>
      <c r="S98" s="178" t="n"/>
      <c r="T98" s="178" t="n"/>
      <c r="U98" s="178" t="n"/>
      <c r="V98" s="178" t="n"/>
      <c r="W98" s="178" t="n"/>
      <c r="X98" s="178" t="n"/>
      <c r="Y98" s="178" t="n"/>
      <c r="Z98" s="178" t="n"/>
    </row>
    <row r="99">
      <c r="A99" s="174" t="n"/>
      <c r="B99" s="174" t="n"/>
      <c r="C99" s="174" t="n"/>
      <c r="D99" s="174" t="n"/>
      <c r="E99" s="174" t="n"/>
      <c r="F99" s="174" t="n"/>
      <c r="G99" s="174" t="n"/>
      <c r="H99" s="174" t="n"/>
      <c r="J99" s="176" t="n"/>
      <c r="K99" s="176" t="n"/>
      <c r="L99" s="176" t="n"/>
      <c r="M99" s="176" t="n"/>
      <c r="N99" s="176" t="n"/>
      <c r="O99" s="176" t="n"/>
      <c r="P99" s="176" t="n"/>
      <c r="Q99" s="176" t="n"/>
      <c r="S99" s="178" t="n"/>
      <c r="T99" s="178" t="n"/>
      <c r="U99" s="178" t="n"/>
      <c r="V99" s="178" t="n"/>
      <c r="W99" s="178" t="n"/>
      <c r="X99" s="178" t="n"/>
      <c r="Y99" s="178" t="n"/>
      <c r="Z99" s="178" t="n"/>
    </row>
    <row r="100">
      <c r="A100" s="174" t="n"/>
      <c r="B100" s="174" t="n"/>
      <c r="C100" s="174" t="n"/>
      <c r="D100" s="174" t="n"/>
      <c r="E100" s="174" t="n"/>
      <c r="F100" s="174" t="n"/>
      <c r="G100" s="174" t="n"/>
      <c r="H100" s="174" t="n"/>
      <c r="J100" s="176" t="n"/>
      <c r="K100" s="176" t="n"/>
      <c r="L100" s="176" t="n"/>
      <c r="M100" s="176" t="n"/>
      <c r="N100" s="176" t="n"/>
      <c r="O100" s="176" t="n"/>
      <c r="P100" s="176" t="n"/>
      <c r="Q100" s="176" t="n"/>
      <c r="S100" s="178" t="n"/>
      <c r="T100" s="178" t="n"/>
      <c r="U100" s="178" t="n"/>
      <c r="V100" s="178" t="n"/>
      <c r="W100" s="178" t="n"/>
      <c r="X100" s="178" t="n"/>
      <c r="Y100" s="178" t="n"/>
      <c r="Z100" s="178" t="n"/>
    </row>
    <row r="101">
      <c r="A101" s="174" t="n"/>
      <c r="B101" s="174" t="n"/>
      <c r="C101" s="174" t="n"/>
      <c r="D101" s="174" t="n"/>
      <c r="E101" s="174" t="n"/>
      <c r="F101" s="174" t="n"/>
      <c r="G101" s="174" t="n"/>
      <c r="H101" s="174" t="n"/>
      <c r="J101" s="176" t="n"/>
      <c r="K101" s="176" t="n"/>
      <c r="L101" s="176" t="n"/>
      <c r="M101" s="176" t="n"/>
      <c r="N101" s="176" t="n"/>
      <c r="O101" s="176" t="n"/>
      <c r="P101" s="176" t="n"/>
      <c r="Q101" s="176" t="n"/>
      <c r="S101" s="178" t="n"/>
      <c r="T101" s="178" t="n"/>
      <c r="U101" s="178" t="n"/>
      <c r="V101" s="178" t="n"/>
      <c r="W101" s="178" t="n"/>
      <c r="X101" s="178" t="n"/>
      <c r="Y101" s="178" t="n"/>
      <c r="Z101" s="178" t="n"/>
    </row>
    <row r="102">
      <c r="A102" s="174" t="n"/>
      <c r="B102" s="174" t="n"/>
      <c r="C102" s="174" t="n"/>
      <c r="D102" s="174" t="n"/>
      <c r="E102" s="174" t="n"/>
      <c r="F102" s="174" t="n"/>
      <c r="G102" s="174" t="n"/>
      <c r="H102" s="174" t="n"/>
      <c r="J102" s="176" t="n"/>
      <c r="K102" s="176" t="n"/>
      <c r="L102" s="176" t="n"/>
      <c r="M102" s="176" t="n"/>
      <c r="N102" s="176" t="n"/>
      <c r="O102" s="176" t="n"/>
      <c r="P102" s="176" t="n"/>
      <c r="Q102" s="176" t="n"/>
      <c r="S102" s="178" t="n"/>
      <c r="T102" s="178" t="n"/>
      <c r="U102" s="178" t="n"/>
      <c r="V102" s="178" t="n"/>
      <c r="W102" s="178" t="n"/>
      <c r="X102" s="178" t="n"/>
      <c r="Y102" s="178" t="n"/>
      <c r="Z102" s="178" t="n"/>
    </row>
    <row r="103">
      <c r="A103" s="174" t="n"/>
      <c r="B103" s="174" t="n"/>
      <c r="C103" s="174" t="n"/>
      <c r="D103" s="174" t="n"/>
      <c r="E103" s="174" t="n"/>
      <c r="F103" s="174" t="n"/>
      <c r="G103" s="174" t="n"/>
      <c r="H103" s="174" t="n"/>
      <c r="J103" s="176" t="n"/>
      <c r="K103" s="176" t="n"/>
      <c r="L103" s="176" t="n"/>
      <c r="M103" s="176" t="n"/>
      <c r="N103" s="176" t="n"/>
      <c r="O103" s="176" t="n"/>
      <c r="P103" s="176" t="n"/>
      <c r="Q103" s="176" t="n"/>
      <c r="S103" s="178" t="n"/>
      <c r="T103" s="178" t="n"/>
      <c r="U103" s="178" t="n"/>
      <c r="V103" s="178" t="n"/>
      <c r="W103" s="178" t="n"/>
      <c r="X103" s="178" t="n"/>
      <c r="Y103" s="178" t="n"/>
      <c r="Z103" s="178" t="n"/>
    </row>
  </sheetData>
  <sheetProtection selectLockedCells="1" selectUnlockedCells="1" sheet="1" objects="0" insertRows="1" insertHyperlinks="1" autoFilter="1" scenarios="0" formatColumns="1" deleteColumns="1" insertColumns="1" pivotTables="1" deleteRows="1" formatCells="1" formatRows="1" sort="1"/>
  <mergeCells count="94">
    <mergeCell ref="A9:N9"/>
    <mergeCell ref="N76:O76"/>
    <mergeCell ref="F67:I67"/>
    <mergeCell ref="G87:I87"/>
    <mergeCell ref="A16:A17"/>
    <mergeCell ref="A45:D46"/>
    <mergeCell ref="C16:C17"/>
    <mergeCell ref="N75:O75"/>
    <mergeCell ref="N77:O77"/>
    <mergeCell ref="P68:S70"/>
    <mergeCell ref="A93:AK93"/>
    <mergeCell ref="D16:D17"/>
    <mergeCell ref="N85:Q85"/>
    <mergeCell ref="A95:H95"/>
    <mergeCell ref="Q91:S91"/>
    <mergeCell ref="P6:AK6"/>
    <mergeCell ref="E91:F91"/>
    <mergeCell ref="A8:N8"/>
    <mergeCell ref="G91:H91"/>
    <mergeCell ref="P8:AK8"/>
    <mergeCell ref="J86:M86"/>
    <mergeCell ref="S95:Z95"/>
    <mergeCell ref="K67:N67"/>
    <mergeCell ref="N79:O79"/>
    <mergeCell ref="K92:L92"/>
    <mergeCell ref="P7:AK7"/>
    <mergeCell ref="C92:D92"/>
    <mergeCell ref="F71:I71"/>
    <mergeCell ref="M92:N92"/>
    <mergeCell ref="A12:AK14"/>
    <mergeCell ref="K68:N70"/>
    <mergeCell ref="T91:W91"/>
    <mergeCell ref="AI16:AI17"/>
    <mergeCell ref="J95:Q95"/>
    <mergeCell ref="D85:F85"/>
    <mergeCell ref="N74:S74"/>
    <mergeCell ref="P9:AK9"/>
    <mergeCell ref="F68:I70"/>
    <mergeCell ref="A91:B91"/>
    <mergeCell ref="N78:O78"/>
    <mergeCell ref="C91:D91"/>
    <mergeCell ref="M91:N91"/>
    <mergeCell ref="O91:P91"/>
    <mergeCell ref="R86:U86"/>
    <mergeCell ref="A84:AK84"/>
    <mergeCell ref="N80:O80"/>
    <mergeCell ref="B16:B17"/>
    <mergeCell ref="A71:D71"/>
    <mergeCell ref="J85:M85"/>
    <mergeCell ref="D86:F86"/>
    <mergeCell ref="A92:B92"/>
    <mergeCell ref="N87:Q87"/>
    <mergeCell ref="A1:B1"/>
    <mergeCell ref="E92:F92"/>
    <mergeCell ref="A68:D70"/>
    <mergeCell ref="P71:S71"/>
    <mergeCell ref="A86:C86"/>
    <mergeCell ref="D87:F87"/>
    <mergeCell ref="O92:P92"/>
    <mergeCell ref="A6:N6"/>
    <mergeCell ref="A39:D39"/>
    <mergeCell ref="G86:I86"/>
    <mergeCell ref="A96:H103"/>
    <mergeCell ref="P67:S67"/>
    <mergeCell ref="A41:AK41"/>
    <mergeCell ref="T92:W92"/>
    <mergeCell ref="R85:U85"/>
    <mergeCell ref="H2:AC2"/>
    <mergeCell ref="K71:N71"/>
    <mergeCell ref="S96:Z103"/>
    <mergeCell ref="A38:D38"/>
    <mergeCell ref="A42:AK42"/>
    <mergeCell ref="H3:AC3"/>
    <mergeCell ref="A67:D67"/>
    <mergeCell ref="I91:J91"/>
    <mergeCell ref="A85:C85"/>
    <mergeCell ref="K91:L91"/>
    <mergeCell ref="N86:Q86"/>
    <mergeCell ref="A7:N7"/>
    <mergeCell ref="A74:E74"/>
    <mergeCell ref="G85:I85"/>
    <mergeCell ref="G92:H92"/>
    <mergeCell ref="I92:J92"/>
    <mergeCell ref="R87:U87"/>
    <mergeCell ref="AK16:AK17"/>
    <mergeCell ref="J87:M87"/>
    <mergeCell ref="AD2:AK2"/>
    <mergeCell ref="AJ16:AJ17"/>
    <mergeCell ref="J96:Q103"/>
    <mergeCell ref="A88:AK88"/>
    <mergeCell ref="A90:AK90"/>
    <mergeCell ref="Q92:S92"/>
    <mergeCell ref="A87:C87"/>
    <mergeCell ref="A47:D47"/>
  </mergeCells>
  <conditionalFormatting sqref="AI18:AI37">
    <cfRule type="dataBar" priority="1">
      <dataBar>
        <cfvo type="num" val="0"/>
        <cfvo type="num" val="1"/>
        <color rgb="0010B981"/>
      </dataBar>
    </cfRule>
  </conditionalFormatting>
  <conditionalFormatting sqref="E18:AH37">
    <cfRule type="cellIs" priority="2" operator="equal" dxfId="0">
      <formula>"✓"</formula>
    </cfRule>
    <cfRule type="cellIs" priority="3" operator="equal" dxfId="0">
      <formula>"✔"</formula>
    </cfRule>
    <cfRule type="cellIs" priority="4" operator="equal" dxfId="1">
      <formula>"✗"</formula>
    </cfRule>
    <cfRule type="cellIs" priority="5" operator="equal" dxfId="1">
      <formula>"x"</formula>
    </cfRule>
    <cfRule type="cellIs" priority="6" operator="equal" dxfId="1">
      <formula>"X"</formula>
    </cfRule>
  </conditionalFormatting>
  <conditionalFormatting sqref="E16:E17">
    <cfRule type="expression" priority="7" dxfId="2">
      <formula>AND(DAY(TODAY())=1, MONTH(TODAY())=11, YEAR(TODAY())=2030)</formula>
    </cfRule>
  </conditionalFormatting>
  <conditionalFormatting sqref="F16:F17">
    <cfRule type="expression" priority="8" dxfId="2">
      <formula>AND(DAY(TODAY())=2, MONTH(TODAY())=11, YEAR(TODAY())=2030)</formula>
    </cfRule>
  </conditionalFormatting>
  <conditionalFormatting sqref="G16:G17">
    <cfRule type="expression" priority="9" dxfId="2">
      <formula>AND(DAY(TODAY())=3, MONTH(TODAY())=11, YEAR(TODAY())=2030)</formula>
    </cfRule>
  </conditionalFormatting>
  <conditionalFormatting sqref="H16:H17">
    <cfRule type="expression" priority="10" dxfId="2">
      <formula>AND(DAY(TODAY())=4, MONTH(TODAY())=11, YEAR(TODAY())=2030)</formula>
    </cfRule>
  </conditionalFormatting>
  <conditionalFormatting sqref="I16:I17">
    <cfRule type="expression" priority="11" dxfId="2">
      <formula>AND(DAY(TODAY())=5, MONTH(TODAY())=11, YEAR(TODAY())=2030)</formula>
    </cfRule>
  </conditionalFormatting>
  <conditionalFormatting sqref="J16:J17">
    <cfRule type="expression" priority="12" dxfId="2">
      <formula>AND(DAY(TODAY())=6, MONTH(TODAY())=11, YEAR(TODAY())=2030)</formula>
    </cfRule>
  </conditionalFormatting>
  <conditionalFormatting sqref="K16:K17">
    <cfRule type="expression" priority="13" dxfId="2">
      <formula>AND(DAY(TODAY())=7, MONTH(TODAY())=11, YEAR(TODAY())=2030)</formula>
    </cfRule>
  </conditionalFormatting>
  <conditionalFormatting sqref="L16:L17">
    <cfRule type="expression" priority="14" dxfId="2">
      <formula>AND(DAY(TODAY())=8, MONTH(TODAY())=11, YEAR(TODAY())=2030)</formula>
    </cfRule>
  </conditionalFormatting>
  <conditionalFormatting sqref="M16:M17">
    <cfRule type="expression" priority="15" dxfId="2">
      <formula>AND(DAY(TODAY())=9, MONTH(TODAY())=11, YEAR(TODAY())=2030)</formula>
    </cfRule>
  </conditionalFormatting>
  <conditionalFormatting sqref="N16:N17">
    <cfRule type="expression" priority="16" dxfId="2">
      <formula>AND(DAY(TODAY())=10, MONTH(TODAY())=11, YEAR(TODAY())=2030)</formula>
    </cfRule>
  </conditionalFormatting>
  <conditionalFormatting sqref="O16:O17">
    <cfRule type="expression" priority="17" dxfId="2">
      <formula>AND(DAY(TODAY())=11, MONTH(TODAY())=11, YEAR(TODAY())=2030)</formula>
    </cfRule>
  </conditionalFormatting>
  <conditionalFormatting sqref="P16:P17">
    <cfRule type="expression" priority="18" dxfId="2">
      <formula>AND(DAY(TODAY())=12, MONTH(TODAY())=11, YEAR(TODAY())=2030)</formula>
    </cfRule>
  </conditionalFormatting>
  <conditionalFormatting sqref="Q16:Q17">
    <cfRule type="expression" priority="19" dxfId="2">
      <formula>AND(DAY(TODAY())=13, MONTH(TODAY())=11, YEAR(TODAY())=2030)</formula>
    </cfRule>
  </conditionalFormatting>
  <conditionalFormatting sqref="R16:R17">
    <cfRule type="expression" priority="20" dxfId="2">
      <formula>AND(DAY(TODAY())=14, MONTH(TODAY())=11, YEAR(TODAY())=2030)</formula>
    </cfRule>
  </conditionalFormatting>
  <conditionalFormatting sqref="S16:S17">
    <cfRule type="expression" priority="21" dxfId="2">
      <formula>AND(DAY(TODAY())=15, MONTH(TODAY())=11, YEAR(TODAY())=2030)</formula>
    </cfRule>
  </conditionalFormatting>
  <conditionalFormatting sqref="T16:T17">
    <cfRule type="expression" priority="22" dxfId="2">
      <formula>AND(DAY(TODAY())=16, MONTH(TODAY())=11, YEAR(TODAY())=2030)</formula>
    </cfRule>
  </conditionalFormatting>
  <conditionalFormatting sqref="U16:U17">
    <cfRule type="expression" priority="23" dxfId="2">
      <formula>AND(DAY(TODAY())=17, MONTH(TODAY())=11, YEAR(TODAY())=2030)</formula>
    </cfRule>
  </conditionalFormatting>
  <conditionalFormatting sqref="V16:V17">
    <cfRule type="expression" priority="24" dxfId="2">
      <formula>AND(DAY(TODAY())=18, MONTH(TODAY())=11, YEAR(TODAY())=2030)</formula>
    </cfRule>
  </conditionalFormatting>
  <conditionalFormatting sqref="W16:W17">
    <cfRule type="expression" priority="25" dxfId="2">
      <formula>AND(DAY(TODAY())=19, MONTH(TODAY())=11, YEAR(TODAY())=2030)</formula>
    </cfRule>
  </conditionalFormatting>
  <conditionalFormatting sqref="X16:X17">
    <cfRule type="expression" priority="26" dxfId="2">
      <formula>AND(DAY(TODAY())=20, MONTH(TODAY())=11, YEAR(TODAY())=2030)</formula>
    </cfRule>
  </conditionalFormatting>
  <conditionalFormatting sqref="Y16:Y17">
    <cfRule type="expression" priority="27" dxfId="2">
      <formula>AND(DAY(TODAY())=21, MONTH(TODAY())=11, YEAR(TODAY())=2030)</formula>
    </cfRule>
  </conditionalFormatting>
  <conditionalFormatting sqref="Z16:Z17">
    <cfRule type="expression" priority="28" dxfId="2">
      <formula>AND(DAY(TODAY())=22, MONTH(TODAY())=11, YEAR(TODAY())=2030)</formula>
    </cfRule>
  </conditionalFormatting>
  <conditionalFormatting sqref="AA16:AA17">
    <cfRule type="expression" priority="29" dxfId="2">
      <formula>AND(DAY(TODAY())=23, MONTH(TODAY())=11, YEAR(TODAY())=2030)</formula>
    </cfRule>
  </conditionalFormatting>
  <conditionalFormatting sqref="AB16:AB17">
    <cfRule type="expression" priority="30" dxfId="2">
      <formula>AND(DAY(TODAY())=24, MONTH(TODAY())=11, YEAR(TODAY())=2030)</formula>
    </cfRule>
  </conditionalFormatting>
  <conditionalFormatting sqref="AC16:AC17">
    <cfRule type="expression" priority="31" dxfId="2">
      <formula>AND(DAY(TODAY())=25, MONTH(TODAY())=11, YEAR(TODAY())=2030)</formula>
    </cfRule>
  </conditionalFormatting>
  <conditionalFormatting sqref="AD16:AD17">
    <cfRule type="expression" priority="32" dxfId="2">
      <formula>AND(DAY(TODAY())=26, MONTH(TODAY())=11, YEAR(TODAY())=2030)</formula>
    </cfRule>
  </conditionalFormatting>
  <conditionalFormatting sqref="AE16:AE17">
    <cfRule type="expression" priority="33" dxfId="2">
      <formula>AND(DAY(TODAY())=27, MONTH(TODAY())=11, YEAR(TODAY())=2030)</formula>
    </cfRule>
  </conditionalFormatting>
  <conditionalFormatting sqref="AF16:AF17">
    <cfRule type="expression" priority="34" dxfId="2">
      <formula>AND(DAY(TODAY())=28, MONTH(TODAY())=11, YEAR(TODAY())=2030)</formula>
    </cfRule>
  </conditionalFormatting>
  <conditionalFormatting sqref="AG16:AG17">
    <cfRule type="expression" priority="35" dxfId="2">
      <formula>AND(DAY(TODAY())=29, MONTH(TODAY())=11, YEAR(TODAY())=2030)</formula>
    </cfRule>
  </conditionalFormatting>
  <conditionalFormatting sqref="AH16:AH17">
    <cfRule type="expression" priority="36" dxfId="2">
      <formula>AND(DAY(TODAY())=30, MONTH(TODAY())=11, YEAR(TODAY())=2030)</formula>
    </cfRule>
  </conditionalFormatting>
  <dataValidations count="4">
    <dataValidation sqref="C18:C37" showDropDown="0" showInputMessage="0" showErrorMessage="0" allowBlank="1" type="list">
      <formula1>"Health &amp; Fitness,Mindset &amp; Learning,Career &amp; Focus,Personal &amp; Home,Finance &amp; Wealth,Other"</formula1>
    </dataValidation>
    <dataValidation sqref="D18:D37" showDropDown="0" showInputMessage="0" showErrorMessage="0" allowBlank="1" type="list">
      <formula1>"1,2,3,4,5,6,7,8,9,10,11,12,13,14,15,16,17,18,19,20,21,22,23,24,25,26,27,28,29,30,31"</formula1>
    </dataValidation>
    <dataValidation sqref="E18:AH37" showDropDown="0" showInputMessage="0" showErrorMessage="0" allowBlank="1" type="list">
      <formula1>"✓,✗"</formula1>
    </dataValidation>
    <dataValidation sqref="E47:AH47" showDropDown="0" showInputMessage="0" showErrorMessage="0" allowBlank="1" type="list">
      <formula1>"1,2,3,4,5,6,7,8,9,10,11,12,13,14,15,16,17,18,19,20,21,22,23,24"</formula1>
    </dataValidation>
  </dataValidations>
  <hyperlinks>
    <hyperlink xmlns:r="http://schemas.openxmlformats.org/officeDocument/2006/relationships" ref="A1" r:id="rId1"/>
    <hyperlink xmlns:r="http://schemas.openxmlformats.org/officeDocument/2006/relationships" ref="C1" r:id="rId2"/>
    <hyperlink xmlns:r="http://schemas.openxmlformats.org/officeDocument/2006/relationships" ref="D1" r:id="rId3"/>
    <hyperlink xmlns:r="http://schemas.openxmlformats.org/officeDocument/2006/relationships" ref="E1" r:id="rId4"/>
    <hyperlink xmlns:r="http://schemas.openxmlformats.org/officeDocument/2006/relationships" ref="F1" r:id="rId5"/>
    <hyperlink xmlns:r="http://schemas.openxmlformats.org/officeDocument/2006/relationships" ref="G1" r:id="rId6"/>
    <hyperlink xmlns:r="http://schemas.openxmlformats.org/officeDocument/2006/relationships" ref="H1" r:id="rId7"/>
    <hyperlink xmlns:r="http://schemas.openxmlformats.org/officeDocument/2006/relationships" ref="I1" r:id="rId8"/>
    <hyperlink xmlns:r="http://schemas.openxmlformats.org/officeDocument/2006/relationships" ref="J1" r:id="rId9"/>
    <hyperlink xmlns:r="http://schemas.openxmlformats.org/officeDocument/2006/relationships" ref="K1" r:id="rId10"/>
  </hyperlinks>
  <printOptions horizontalCentered="1" verticalCentered="0"/>
  <pageMargins left="0.75" right="0.75" top="1" bottom="1" header="0.5" footer="0.5"/>
  <pageSetup orientation="landscape" paperSize="9" fitToHeight="0" fitToWidth="1"/>
  <drawing xmlns:r="http://schemas.openxmlformats.org/officeDocument/2006/relationships" r:id="rId11"/>
</worksheet>
</file>

<file path=xl/worksheets/sheet55.xml><?xml version="1.0" encoding="utf-8"?>
<worksheet xmlns="http://schemas.openxmlformats.org/spreadsheetml/2006/main">
  <sheetPr>
    <outlinePr summaryBelow="1" summaryRight="1"/>
    <pageSetUpPr fitToPage="1"/>
  </sheetPr>
  <dimension ref="A1:AM103"/>
  <sheetViews>
    <sheetView showGridLines="1" workbookViewId="0">
      <selection activeCell="A1" sqref="A1"/>
    </sheetView>
  </sheetViews>
  <sheetFormatPr baseColWidth="8" defaultRowHeight="15"/>
  <cols>
    <col width="6" customWidth="1" min="1" max="1"/>
    <col width="25" customWidth="1" min="2" max="2"/>
    <col width="16.5" customWidth="1" min="3" max="3"/>
    <col width="8" customWidth="1" min="4" max="4"/>
    <col width="4.8" customWidth="1" min="5" max="5"/>
    <col width="4.8" customWidth="1" min="6" max="6"/>
    <col width="4.8" customWidth="1" min="7" max="7"/>
    <col width="4.8" customWidth="1" min="8" max="8"/>
    <col width="4.8" customWidth="1" min="9" max="9"/>
    <col width="4.8" customWidth="1" min="10" max="10"/>
    <col width="4.8" customWidth="1" min="11" max="11"/>
    <col width="4.8" customWidth="1" min="12" max="12"/>
    <col width="4.8" customWidth="1" min="13" max="13"/>
    <col width="4.8" customWidth="1" min="14" max="14"/>
    <col width="4.8" customWidth="1" min="15" max="15"/>
    <col width="4.8" customWidth="1" min="16" max="16"/>
    <col width="4.8" customWidth="1" min="17" max="17"/>
    <col width="4.8" customWidth="1" min="18" max="18"/>
    <col width="4.8" customWidth="1" min="19" max="19"/>
    <col width="4.8" customWidth="1" min="20" max="20"/>
    <col width="4.8" customWidth="1" min="21" max="21"/>
    <col width="4.8" customWidth="1" min="22" max="22"/>
    <col width="4.8" customWidth="1" min="23" max="23"/>
    <col width="4.8" customWidth="1" min="24" max="24"/>
    <col width="4.8" customWidth="1" min="25" max="25"/>
    <col width="4.8" customWidth="1" min="26" max="26"/>
    <col width="4.8" customWidth="1" min="27" max="27"/>
    <col width="4.8" customWidth="1" min="28" max="28"/>
    <col width="4.8" customWidth="1" min="29" max="29"/>
    <col width="4.8" customWidth="1" min="30" max="30"/>
    <col width="4.8" customWidth="1" min="31" max="31"/>
    <col width="4.8" customWidth="1" min="32" max="32"/>
    <col width="4.8" customWidth="1" min="33" max="33"/>
    <col width="4.8" customWidth="1" min="34" max="34"/>
    <col width="4.8" customWidth="1" min="35" max="35"/>
    <col width="11.5" customWidth="1" min="36" max="36"/>
    <col width="12" customWidth="1" min="37" max="37"/>
    <col width="13.5" customWidth="1" min="38" max="38"/>
    <col hidden="1" width="8" customWidth="1" min="39" max="39"/>
  </cols>
  <sheetData>
    <row r="1" ht="18" customHeight="1">
      <c r="A1" s="76" t="inlineStr">
        <is>
          <t>🏠 Master Dashboard</t>
        </is>
      </c>
      <c r="B1" s="40" t="n"/>
      <c r="C1" s="77" t="inlineStr">
        <is>
          <t>🏛️ Quarterly Hub</t>
        </is>
      </c>
      <c r="D1" s="78" t="inlineStr">
        <is>
          <t>📚 Habit Library</t>
        </is>
      </c>
      <c r="E1" s="80" t="inlineStr">
        <is>
          <t>2026</t>
        </is>
      </c>
      <c r="F1" s="80" t="inlineStr">
        <is>
          <t>2027</t>
        </is>
      </c>
      <c r="G1" s="80" t="inlineStr">
        <is>
          <t>2028</t>
        </is>
      </c>
      <c r="H1" s="80" t="inlineStr">
        <is>
          <t>2029</t>
        </is>
      </c>
      <c r="I1" s="79" t="inlineStr">
        <is>
          <t>2030</t>
        </is>
      </c>
      <c r="J1" s="82" t="inlineStr">
        <is>
          <t>◀ Prev</t>
        </is>
      </c>
      <c r="K1" s="81" t="inlineStr">
        <is>
          <t>Next ▶</t>
        </is>
      </c>
    </row>
    <row r="2" ht="24" customHeight="1">
      <c r="A2" s="83" t="inlineStr">
        <is>
          <t>Habit Tracker</t>
        </is>
      </c>
      <c r="H2" s="84" t="inlineStr">
        <is>
          <t>"Stay consistent."</t>
        </is>
      </c>
      <c r="AE2" s="85" t="inlineStr">
        <is>
          <t>@surajvansh</t>
        </is>
      </c>
    </row>
    <row r="3" ht="18" customHeight="1">
      <c r="A3" s="86" t="inlineStr">
        <is>
          <t>December 2030</t>
        </is>
      </c>
      <c r="H3" s="87" t="inlineStr">
        <is>
          <t>31 Days Dashboard</t>
        </is>
      </c>
    </row>
    <row r="4" ht="5" customHeight="1"/>
    <row r="5" ht="16" customHeight="1">
      <c r="A5" s="88" t="inlineStr">
        <is>
          <t>MONTHLY TARGETS</t>
        </is>
      </c>
    </row>
    <row r="6" ht="13" customHeight="1">
      <c r="A6" s="89" t="inlineStr">
        <is>
          <t>1. ____________________ : ____________________</t>
        </is>
      </c>
      <c r="P6" s="89" t="inlineStr">
        <is>
          <t>5. ____________________ : ____________________</t>
        </is>
      </c>
    </row>
    <row r="7" ht="13" customHeight="1">
      <c r="A7" s="89" t="inlineStr">
        <is>
          <t>2. ____________________ : ____________________</t>
        </is>
      </c>
      <c r="P7" s="89" t="inlineStr">
        <is>
          <t>6. ____________________ : ____________________</t>
        </is>
      </c>
    </row>
    <row r="8" ht="13" customHeight="1">
      <c r="A8" s="89" t="inlineStr">
        <is>
          <t>3. ____________________ : ____________________</t>
        </is>
      </c>
      <c r="P8" s="89" t="inlineStr">
        <is>
          <t>7. ____________________ : ____________________</t>
        </is>
      </c>
    </row>
    <row r="9" ht="13" customHeight="1">
      <c r="A9" s="89" t="inlineStr">
        <is>
          <t>4. ____________________ : ____________________</t>
        </is>
      </c>
      <c r="P9" s="89" t="inlineStr">
        <is>
          <t>8. ____________________ : ____________________</t>
        </is>
      </c>
    </row>
    <row r="10" ht="5" customHeight="1"/>
    <row r="11" ht="15" customHeight="1">
      <c r="A11" s="88" t="inlineStr">
        <is>
          <t>NOTES:</t>
        </is>
      </c>
    </row>
    <row r="12" ht="13" customHeight="1">
      <c r="A12" s="90" t="n"/>
      <c r="B12" s="91" t="n"/>
      <c r="C12" s="91" t="n"/>
      <c r="D12" s="91" t="n"/>
      <c r="E12" s="91" t="n"/>
      <c r="F12" s="91" t="n"/>
      <c r="G12" s="91" t="n"/>
      <c r="H12" s="91" t="n"/>
      <c r="I12" s="91" t="n"/>
      <c r="J12" s="91" t="n"/>
      <c r="K12" s="91" t="n"/>
      <c r="L12" s="91" t="n"/>
      <c r="M12" s="91" t="n"/>
      <c r="N12" s="91" t="n"/>
      <c r="O12" s="91" t="n"/>
      <c r="P12" s="91" t="n"/>
      <c r="Q12" s="91" t="n"/>
      <c r="R12" s="91" t="n"/>
      <c r="S12" s="91" t="n"/>
      <c r="T12" s="91" t="n"/>
      <c r="U12" s="91" t="n"/>
      <c r="V12" s="91" t="n"/>
      <c r="W12" s="91" t="n"/>
      <c r="X12" s="91" t="n"/>
      <c r="Y12" s="91" t="n"/>
      <c r="Z12" s="91" t="n"/>
      <c r="AA12" s="91" t="n"/>
      <c r="AB12" s="91" t="n"/>
      <c r="AC12" s="91" t="n"/>
      <c r="AD12" s="91" t="n"/>
      <c r="AE12" s="91" t="n"/>
      <c r="AF12" s="91" t="n"/>
      <c r="AG12" s="91" t="n"/>
      <c r="AH12" s="91" t="n"/>
      <c r="AI12" s="91" t="n"/>
      <c r="AJ12" s="91" t="n"/>
      <c r="AK12" s="91" t="n"/>
      <c r="AL12" s="91" t="n"/>
    </row>
    <row r="13" ht="13" customHeight="1">
      <c r="A13" s="91" t="n"/>
      <c r="B13" s="91" t="n"/>
      <c r="C13" s="91" t="n"/>
      <c r="D13" s="91" t="n"/>
      <c r="E13" s="91" t="n"/>
      <c r="F13" s="91" t="n"/>
      <c r="G13" s="91" t="n"/>
      <c r="H13" s="91" t="n"/>
      <c r="I13" s="91" t="n"/>
      <c r="J13" s="91" t="n"/>
      <c r="K13" s="91" t="n"/>
      <c r="L13" s="91" t="n"/>
      <c r="M13" s="91" t="n"/>
      <c r="N13" s="91" t="n"/>
      <c r="O13" s="91" t="n"/>
      <c r="P13" s="91" t="n"/>
      <c r="Q13" s="91" t="n"/>
      <c r="R13" s="91" t="n"/>
      <c r="S13" s="91" t="n"/>
      <c r="T13" s="91" t="n"/>
      <c r="U13" s="91" t="n"/>
      <c r="V13" s="91" t="n"/>
      <c r="W13" s="91" t="n"/>
      <c r="X13" s="91" t="n"/>
      <c r="Y13" s="91" t="n"/>
      <c r="Z13" s="91" t="n"/>
      <c r="AA13" s="91" t="n"/>
      <c r="AB13" s="91" t="n"/>
      <c r="AC13" s="91" t="n"/>
      <c r="AD13" s="91" t="n"/>
      <c r="AE13" s="91" t="n"/>
      <c r="AF13" s="91" t="n"/>
      <c r="AG13" s="91" t="n"/>
      <c r="AH13" s="91" t="n"/>
      <c r="AI13" s="91" t="n"/>
      <c r="AJ13" s="91" t="n"/>
      <c r="AK13" s="91" t="n"/>
      <c r="AL13" s="91" t="n"/>
    </row>
    <row r="14" ht="13" customHeight="1">
      <c r="A14" s="91" t="n"/>
      <c r="B14" s="91" t="n"/>
      <c r="C14" s="91" t="n"/>
      <c r="D14" s="91" t="n"/>
      <c r="E14" s="91" t="n"/>
      <c r="F14" s="91" t="n"/>
      <c r="G14" s="91" t="n"/>
      <c r="H14" s="91" t="n"/>
      <c r="I14" s="91" t="n"/>
      <c r="J14" s="91" t="n"/>
      <c r="K14" s="91" t="n"/>
      <c r="L14" s="91" t="n"/>
      <c r="M14" s="91" t="n"/>
      <c r="N14" s="91" t="n"/>
      <c r="O14" s="91" t="n"/>
      <c r="P14" s="91" t="n"/>
      <c r="Q14" s="91" t="n"/>
      <c r="R14" s="91" t="n"/>
      <c r="S14" s="91" t="n"/>
      <c r="T14" s="91" t="n"/>
      <c r="U14" s="91" t="n"/>
      <c r="V14" s="91" t="n"/>
      <c r="W14" s="91" t="n"/>
      <c r="X14" s="91" t="n"/>
      <c r="Y14" s="91" t="n"/>
      <c r="Z14" s="91" t="n"/>
      <c r="AA14" s="91" t="n"/>
      <c r="AB14" s="91" t="n"/>
      <c r="AC14" s="91" t="n"/>
      <c r="AD14" s="91" t="n"/>
      <c r="AE14" s="91" t="n"/>
      <c r="AF14" s="91" t="n"/>
      <c r="AG14" s="91" t="n"/>
      <c r="AH14" s="91" t="n"/>
      <c r="AI14" s="91" t="n"/>
      <c r="AJ14" s="91" t="n"/>
      <c r="AK14" s="91" t="n"/>
      <c r="AL14" s="91" t="n"/>
    </row>
    <row r="15" ht="8" customHeight="1"/>
    <row r="16" ht="15" customHeight="1">
      <c r="A16" s="33" t="inlineStr">
        <is>
          <t>S.No.</t>
        </is>
      </c>
      <c r="B16" s="33" t="inlineStr">
        <is>
          <t>Protocols</t>
        </is>
      </c>
      <c r="C16" s="33" t="inlineStr">
        <is>
          <t>Category</t>
        </is>
      </c>
      <c r="D16" s="33" t="inlineStr">
        <is>
          <t>Target</t>
        </is>
      </c>
      <c r="E16" s="93" t="n">
        <v>1</v>
      </c>
      <c r="F16" s="92" t="n">
        <v>2</v>
      </c>
      <c r="G16" s="92" t="n">
        <v>3</v>
      </c>
      <c r="H16" s="92" t="n">
        <v>4</v>
      </c>
      <c r="I16" s="92" t="n">
        <v>5</v>
      </c>
      <c r="J16" s="92" t="n">
        <v>6</v>
      </c>
      <c r="K16" s="92" t="n">
        <v>7</v>
      </c>
      <c r="L16" s="93" t="n">
        <v>8</v>
      </c>
      <c r="M16" s="92" t="n">
        <v>9</v>
      </c>
      <c r="N16" s="92" t="n">
        <v>10</v>
      </c>
      <c r="O16" s="92" t="n">
        <v>11</v>
      </c>
      <c r="P16" s="92" t="n">
        <v>12</v>
      </c>
      <c r="Q16" s="92" t="n">
        <v>13</v>
      </c>
      <c r="R16" s="92" t="n">
        <v>14</v>
      </c>
      <c r="S16" s="93" t="n">
        <v>15</v>
      </c>
      <c r="T16" s="92" t="n">
        <v>16</v>
      </c>
      <c r="U16" s="92" t="n">
        <v>17</v>
      </c>
      <c r="V16" s="92" t="n">
        <v>18</v>
      </c>
      <c r="W16" s="92" t="n">
        <v>19</v>
      </c>
      <c r="X16" s="92" t="n">
        <v>20</v>
      </c>
      <c r="Y16" s="92" t="n">
        <v>21</v>
      </c>
      <c r="Z16" s="93" t="n">
        <v>22</v>
      </c>
      <c r="AA16" s="92" t="n">
        <v>23</v>
      </c>
      <c r="AB16" s="92" t="n">
        <v>24</v>
      </c>
      <c r="AC16" s="92" t="n">
        <v>25</v>
      </c>
      <c r="AD16" s="92" t="n">
        <v>26</v>
      </c>
      <c r="AE16" s="92" t="n">
        <v>27</v>
      </c>
      <c r="AF16" s="92" t="n">
        <v>28</v>
      </c>
      <c r="AG16" s="93" t="n">
        <v>29</v>
      </c>
      <c r="AH16" s="92" t="n">
        <v>30</v>
      </c>
      <c r="AI16" s="92" t="n">
        <v>31</v>
      </c>
      <c r="AJ16" s="94" t="inlineStr">
        <is>
          <t>Success %</t>
        </is>
      </c>
      <c r="AK16" s="94" t="inlineStr">
        <is>
          <t>Done / Target</t>
        </is>
      </c>
      <c r="AL16" s="94" t="inlineStr">
        <is>
          <t>Status</t>
        </is>
      </c>
      <c r="AM16" t="inlineStr">
        <is>
          <t>Done Count</t>
        </is>
      </c>
    </row>
    <row r="17" ht="15" customHeight="1">
      <c r="A17" s="54" t="n"/>
      <c r="B17" s="54" t="n"/>
      <c r="C17" s="54" t="n"/>
      <c r="D17" s="54" t="n"/>
      <c r="E17" s="96" t="inlineStr">
        <is>
          <t>Su</t>
        </is>
      </c>
      <c r="F17" s="95" t="inlineStr">
        <is>
          <t>M</t>
        </is>
      </c>
      <c r="G17" s="95" t="inlineStr">
        <is>
          <t>T</t>
        </is>
      </c>
      <c r="H17" s="95" t="inlineStr">
        <is>
          <t>W</t>
        </is>
      </c>
      <c r="I17" s="95" t="inlineStr">
        <is>
          <t>Th</t>
        </is>
      </c>
      <c r="J17" s="95" t="inlineStr">
        <is>
          <t>F</t>
        </is>
      </c>
      <c r="K17" s="95" t="inlineStr">
        <is>
          <t>Sa</t>
        </is>
      </c>
      <c r="L17" s="96" t="inlineStr">
        <is>
          <t>Su</t>
        </is>
      </c>
      <c r="M17" s="95" t="inlineStr">
        <is>
          <t>M</t>
        </is>
      </c>
      <c r="N17" s="95" t="inlineStr">
        <is>
          <t>T</t>
        </is>
      </c>
      <c r="O17" s="95" t="inlineStr">
        <is>
          <t>W</t>
        </is>
      </c>
      <c r="P17" s="95" t="inlineStr">
        <is>
          <t>Th</t>
        </is>
      </c>
      <c r="Q17" s="95" t="inlineStr">
        <is>
          <t>F</t>
        </is>
      </c>
      <c r="R17" s="95" t="inlineStr">
        <is>
          <t>Sa</t>
        </is>
      </c>
      <c r="S17" s="96" t="inlineStr">
        <is>
          <t>Su</t>
        </is>
      </c>
      <c r="T17" s="95" t="inlineStr">
        <is>
          <t>M</t>
        </is>
      </c>
      <c r="U17" s="95" t="inlineStr">
        <is>
          <t>T</t>
        </is>
      </c>
      <c r="V17" s="95" t="inlineStr">
        <is>
          <t>W</t>
        </is>
      </c>
      <c r="W17" s="95" t="inlineStr">
        <is>
          <t>Th</t>
        </is>
      </c>
      <c r="X17" s="95" t="inlineStr">
        <is>
          <t>F</t>
        </is>
      </c>
      <c r="Y17" s="95" t="inlineStr">
        <is>
          <t>Sa</t>
        </is>
      </c>
      <c r="Z17" s="96" t="inlineStr">
        <is>
          <t>Su</t>
        </is>
      </c>
      <c r="AA17" s="95" t="inlineStr">
        <is>
          <t>M</t>
        </is>
      </c>
      <c r="AB17" s="95" t="inlineStr">
        <is>
          <t>T</t>
        </is>
      </c>
      <c r="AC17" s="95" t="inlineStr">
        <is>
          <t>W</t>
        </is>
      </c>
      <c r="AD17" s="95" t="inlineStr">
        <is>
          <t>Th</t>
        </is>
      </c>
      <c r="AE17" s="95" t="inlineStr">
        <is>
          <t>F</t>
        </is>
      </c>
      <c r="AF17" s="95" t="inlineStr">
        <is>
          <t>Sa</t>
        </is>
      </c>
      <c r="AG17" s="96" t="inlineStr">
        <is>
          <t>Su</t>
        </is>
      </c>
      <c r="AH17" s="95" t="inlineStr">
        <is>
          <t>M</t>
        </is>
      </c>
      <c r="AI17" s="95" t="inlineStr">
        <is>
          <t>T</t>
        </is>
      </c>
      <c r="AJ17" s="54" t="n"/>
      <c r="AK17" s="54" t="n"/>
      <c r="AL17" s="54" t="n"/>
    </row>
    <row r="18" ht="14.5" customHeight="1">
      <c r="A18" s="97" t="n">
        <v>1</v>
      </c>
      <c r="B18" s="98" t="n"/>
      <c r="C18" s="99" t="n"/>
      <c r="D18" s="99" t="n"/>
      <c r="E18" s="101" t="n"/>
      <c r="F18" s="100" t="n"/>
      <c r="G18" s="100" t="n"/>
      <c r="H18" s="100" t="n"/>
      <c r="I18" s="100" t="n"/>
      <c r="J18" s="100" t="n"/>
      <c r="K18" s="100" t="n"/>
      <c r="L18" s="101" t="n"/>
      <c r="M18" s="100" t="n"/>
      <c r="N18" s="100" t="n"/>
      <c r="O18" s="100" t="n"/>
      <c r="P18" s="100" t="n"/>
      <c r="Q18" s="100" t="n"/>
      <c r="R18" s="100" t="n"/>
      <c r="S18" s="101" t="n"/>
      <c r="T18" s="100" t="n"/>
      <c r="U18" s="100" t="n"/>
      <c r="V18" s="100" t="n"/>
      <c r="W18" s="100" t="n"/>
      <c r="X18" s="100" t="n"/>
      <c r="Y18" s="100" t="n"/>
      <c r="Z18" s="101" t="n"/>
      <c r="AA18" s="100" t="n"/>
      <c r="AB18" s="100" t="n"/>
      <c r="AC18" s="100" t="n"/>
      <c r="AD18" s="100" t="n"/>
      <c r="AE18" s="100" t="n"/>
      <c r="AF18" s="100" t="n"/>
      <c r="AG18" s="101" t="n"/>
      <c r="AH18" s="100" t="n"/>
      <c r="AI18" s="100" t="n"/>
      <c r="AJ18" s="102">
        <f>IF(ISBLANK(B18), "", IF(ISNUMBER(D18), IF(D18&gt;0, (COUNTIF(E18:AI18, "✓") + COUNTIF(E18:AI18, "✔") + COUNTIF(E18:AI18, "v") + COUNTIF(E18:AI18, "V"))/D18, 0), IF(((COUNTIF(E18:AI18, "✓") + COUNTIF(E18:AI18, "✔") + COUNTIF(E18:AI18, "v") + COUNTIF(E18:AI18, "V")) + COUNTIF(E18:AI18, "✗") + COUNTIF(E18:AI18, "x") + COUNTIF(E18:AI18, "X"))&gt;0, (COUNTIF(E18:AI18, "✓") + COUNTIF(E18:AI18, "✔") + COUNTIF(E18:AI18, "v") + COUNTIF(E18:AI18, "V"))/((COUNTIF(E18:AI18, "✓") + COUNTIF(E18:AI18, "✔") + COUNTIF(E18:AI18, "v") + COUNTIF(E18:AI18, "V")) + COUNTIF(E18:AI18, "✗") + COUNTIF(E18:AI18, "x") + COUNTIF(E18:AI18, "X")), "")))</f>
        <v/>
      </c>
      <c r="AK18" s="103">
        <f>IF(ISBLANK(B18), "", IF(ISNUMBER(D18), IF(D18&gt;0, (COUNTIF(E18:AI18, "✓") + COUNTIF(E18:AI18, "✔") + COUNTIF(E18:AI18, "v") + COUNTIF(E18:AI18, "V")) &amp; "/" &amp; D18, (COUNTIF(E18:AI18, "✓") + COUNTIF(E18:AI18, "✔") + COUNTIF(E18:AI18, "v") + COUNTIF(E18:AI18, "V")) &amp; "/0"), IF(((COUNTIF(E18:AI18, "✓") + COUNTIF(E18:AI18, "✔") + COUNTIF(E18:AI18, "v") + COUNTIF(E18:AI18, "V")) + COUNTIF(E18:AI18, "✗") + COUNTIF(E18:AI18, "x") + COUNTIF(E18:AI18, "X"))&gt;0, (COUNTIF(E18:AI18, "✓") + COUNTIF(E18:AI18, "✔") + COUNTIF(E18:AI18, "v") + COUNTIF(E18:AI18, "V")) &amp; "/" &amp; ((COUNTIF(E18:AI18, "✓") + COUNTIF(E18:AI18, "✔") + COUNTIF(E18:AI18, "v") + COUNTIF(E18:AI18, "V")) + COUNTIF(E18:AI18, "✗") + COUNTIF(E18:AI18, "x") + COUNTIF(E18:AI18, "X")), "")))</f>
        <v/>
      </c>
      <c r="AL18" s="103">
        <f>IF(ISBLANK(B18), "", IF(AJ18&gt;=0.85, "🔥 Mastered", IF(AJ18&gt;=0.7, "⚡ Consistent", "⚠️ Needs Focus")))</f>
        <v/>
      </c>
      <c r="AM18">
        <f>COUNTIF(E18:AI18, "✓")</f>
        <v/>
      </c>
    </row>
    <row r="19" ht="14.5" customHeight="1">
      <c r="A19" s="97" t="n">
        <v>2</v>
      </c>
      <c r="B19" s="98" t="n"/>
      <c r="C19" s="99" t="n"/>
      <c r="D19" s="99" t="n"/>
      <c r="E19" s="101" t="n"/>
      <c r="F19" s="100" t="n"/>
      <c r="G19" s="100" t="n"/>
      <c r="H19" s="100" t="n"/>
      <c r="I19" s="100" t="n"/>
      <c r="J19" s="100" t="n"/>
      <c r="K19" s="100" t="n"/>
      <c r="L19" s="101" t="n"/>
      <c r="M19" s="100" t="n"/>
      <c r="N19" s="100" t="n"/>
      <c r="O19" s="100" t="n"/>
      <c r="P19" s="100" t="n"/>
      <c r="Q19" s="100" t="n"/>
      <c r="R19" s="100" t="n"/>
      <c r="S19" s="101" t="n"/>
      <c r="T19" s="100" t="n"/>
      <c r="U19" s="100" t="n"/>
      <c r="V19" s="100" t="n"/>
      <c r="W19" s="100" t="n"/>
      <c r="X19" s="100" t="n"/>
      <c r="Y19" s="100" t="n"/>
      <c r="Z19" s="101" t="n"/>
      <c r="AA19" s="100" t="n"/>
      <c r="AB19" s="100" t="n"/>
      <c r="AC19" s="100" t="n"/>
      <c r="AD19" s="100" t="n"/>
      <c r="AE19" s="100" t="n"/>
      <c r="AF19" s="100" t="n"/>
      <c r="AG19" s="101" t="n"/>
      <c r="AH19" s="100" t="n"/>
      <c r="AI19" s="100" t="n"/>
      <c r="AJ19" s="102">
        <f>IF(ISBLANK(B19), "", IF(ISNUMBER(D19), IF(D19&gt;0, (COUNTIF(E19:AI19, "✓") + COUNTIF(E19:AI19, "✔") + COUNTIF(E19:AI19, "v") + COUNTIF(E19:AI19, "V"))/D19, 0), IF(((COUNTIF(E19:AI19, "✓") + COUNTIF(E19:AI19, "✔") + COUNTIF(E19:AI19, "v") + COUNTIF(E19:AI19, "V")) + COUNTIF(E19:AI19, "✗") + COUNTIF(E19:AI19, "x") + COUNTIF(E19:AI19, "X"))&gt;0, (COUNTIF(E19:AI19, "✓") + COUNTIF(E19:AI19, "✔") + COUNTIF(E19:AI19, "v") + COUNTIF(E19:AI19, "V"))/((COUNTIF(E19:AI19, "✓") + COUNTIF(E19:AI19, "✔") + COUNTIF(E19:AI19, "v") + COUNTIF(E19:AI19, "V")) + COUNTIF(E19:AI19, "✗") + COUNTIF(E19:AI19, "x") + COUNTIF(E19:AI19, "X")), "")))</f>
        <v/>
      </c>
      <c r="AK19" s="103">
        <f>IF(ISBLANK(B19), "", IF(ISNUMBER(D19), IF(D19&gt;0, (COUNTIF(E19:AI19, "✓") + COUNTIF(E19:AI19, "✔") + COUNTIF(E19:AI19, "v") + COUNTIF(E19:AI19, "V")) &amp; "/" &amp; D19, (COUNTIF(E19:AI19, "✓") + COUNTIF(E19:AI19, "✔") + COUNTIF(E19:AI19, "v") + COUNTIF(E19:AI19, "V")) &amp; "/0"), IF(((COUNTIF(E19:AI19, "✓") + COUNTIF(E19:AI19, "✔") + COUNTIF(E19:AI19, "v") + COUNTIF(E19:AI19, "V")) + COUNTIF(E19:AI19, "✗") + COUNTIF(E19:AI19, "x") + COUNTIF(E19:AI19, "X"))&gt;0, (COUNTIF(E19:AI19, "✓") + COUNTIF(E19:AI19, "✔") + COUNTIF(E19:AI19, "v") + COUNTIF(E19:AI19, "V")) &amp; "/" &amp; ((COUNTIF(E19:AI19, "✓") + COUNTIF(E19:AI19, "✔") + COUNTIF(E19:AI19, "v") + COUNTIF(E19:AI19, "V")) + COUNTIF(E19:AI19, "✗") + COUNTIF(E19:AI19, "x") + COUNTIF(E19:AI19, "X")), "")))</f>
        <v/>
      </c>
      <c r="AL19" s="103">
        <f>IF(ISBLANK(B19), "", IF(AJ19&gt;=0.85, "🔥 Mastered", IF(AJ19&gt;=0.7, "⚡ Consistent", "⚠️ Needs Focus")))</f>
        <v/>
      </c>
      <c r="AM19">
        <f>COUNTIF(E19:AI19, "✓")</f>
        <v/>
      </c>
    </row>
    <row r="20" ht="14.5" customHeight="1">
      <c r="A20" s="97" t="n">
        <v>3</v>
      </c>
      <c r="B20" s="98" t="n"/>
      <c r="C20" s="99" t="n"/>
      <c r="D20" s="99" t="n"/>
      <c r="E20" s="101" t="n"/>
      <c r="F20" s="100" t="n"/>
      <c r="G20" s="100" t="n"/>
      <c r="H20" s="100" t="n"/>
      <c r="I20" s="100" t="n"/>
      <c r="J20" s="100" t="n"/>
      <c r="K20" s="100" t="n"/>
      <c r="L20" s="101" t="n"/>
      <c r="M20" s="100" t="n"/>
      <c r="N20" s="100" t="n"/>
      <c r="O20" s="100" t="n"/>
      <c r="P20" s="100" t="n"/>
      <c r="Q20" s="100" t="n"/>
      <c r="R20" s="100" t="n"/>
      <c r="S20" s="101" t="n"/>
      <c r="T20" s="100" t="n"/>
      <c r="U20" s="100" t="n"/>
      <c r="V20" s="100" t="n"/>
      <c r="W20" s="100" t="n"/>
      <c r="X20" s="100" t="n"/>
      <c r="Y20" s="100" t="n"/>
      <c r="Z20" s="101" t="n"/>
      <c r="AA20" s="100" t="n"/>
      <c r="AB20" s="100" t="n"/>
      <c r="AC20" s="100" t="n"/>
      <c r="AD20" s="100" t="n"/>
      <c r="AE20" s="100" t="n"/>
      <c r="AF20" s="100" t="n"/>
      <c r="AG20" s="101" t="n"/>
      <c r="AH20" s="100" t="n"/>
      <c r="AI20" s="100" t="n"/>
      <c r="AJ20" s="102">
        <f>IF(ISBLANK(B20), "", IF(ISNUMBER(D20), IF(D20&gt;0, (COUNTIF(E20:AI20, "✓") + COUNTIF(E20:AI20, "✔") + COUNTIF(E20:AI20, "v") + COUNTIF(E20:AI20, "V"))/D20, 0), IF(((COUNTIF(E20:AI20, "✓") + COUNTIF(E20:AI20, "✔") + COUNTIF(E20:AI20, "v") + COUNTIF(E20:AI20, "V")) + COUNTIF(E20:AI20, "✗") + COUNTIF(E20:AI20, "x") + COUNTIF(E20:AI20, "X"))&gt;0, (COUNTIF(E20:AI20, "✓") + COUNTIF(E20:AI20, "✔") + COUNTIF(E20:AI20, "v") + COUNTIF(E20:AI20, "V"))/((COUNTIF(E20:AI20, "✓") + COUNTIF(E20:AI20, "✔") + COUNTIF(E20:AI20, "v") + COUNTIF(E20:AI20, "V")) + COUNTIF(E20:AI20, "✗") + COUNTIF(E20:AI20, "x") + COUNTIF(E20:AI20, "X")), "")))</f>
        <v/>
      </c>
      <c r="AK20" s="103">
        <f>IF(ISBLANK(B20), "", IF(ISNUMBER(D20), IF(D20&gt;0, (COUNTIF(E20:AI20, "✓") + COUNTIF(E20:AI20, "✔") + COUNTIF(E20:AI20, "v") + COUNTIF(E20:AI20, "V")) &amp; "/" &amp; D20, (COUNTIF(E20:AI20, "✓") + COUNTIF(E20:AI20, "✔") + COUNTIF(E20:AI20, "v") + COUNTIF(E20:AI20, "V")) &amp; "/0"), IF(((COUNTIF(E20:AI20, "✓") + COUNTIF(E20:AI20, "✔") + COUNTIF(E20:AI20, "v") + COUNTIF(E20:AI20, "V")) + COUNTIF(E20:AI20, "✗") + COUNTIF(E20:AI20, "x") + COUNTIF(E20:AI20, "X"))&gt;0, (COUNTIF(E20:AI20, "✓") + COUNTIF(E20:AI20, "✔") + COUNTIF(E20:AI20, "v") + COUNTIF(E20:AI20, "V")) &amp; "/" &amp; ((COUNTIF(E20:AI20, "✓") + COUNTIF(E20:AI20, "✔") + COUNTIF(E20:AI20, "v") + COUNTIF(E20:AI20, "V")) + COUNTIF(E20:AI20, "✗") + COUNTIF(E20:AI20, "x") + COUNTIF(E20:AI20, "X")), "")))</f>
        <v/>
      </c>
      <c r="AL20" s="103">
        <f>IF(ISBLANK(B20), "", IF(AJ20&gt;=0.85, "🔥 Mastered", IF(AJ20&gt;=0.7, "⚡ Consistent", "⚠️ Needs Focus")))</f>
        <v/>
      </c>
      <c r="AM20">
        <f>COUNTIF(E20:AI20, "✓")</f>
        <v/>
      </c>
    </row>
    <row r="21" ht="14.5" customHeight="1">
      <c r="A21" s="97" t="n">
        <v>4</v>
      </c>
      <c r="B21" s="98" t="n"/>
      <c r="C21" s="99" t="n"/>
      <c r="D21" s="99" t="n"/>
      <c r="E21" s="101" t="n"/>
      <c r="F21" s="100" t="n"/>
      <c r="G21" s="100" t="n"/>
      <c r="H21" s="100" t="n"/>
      <c r="I21" s="100" t="n"/>
      <c r="J21" s="100" t="n"/>
      <c r="K21" s="100" t="n"/>
      <c r="L21" s="101" t="n"/>
      <c r="M21" s="100" t="n"/>
      <c r="N21" s="100" t="n"/>
      <c r="O21" s="100" t="n"/>
      <c r="P21" s="100" t="n"/>
      <c r="Q21" s="100" t="n"/>
      <c r="R21" s="100" t="n"/>
      <c r="S21" s="101" t="n"/>
      <c r="T21" s="100" t="n"/>
      <c r="U21" s="100" t="n"/>
      <c r="V21" s="100" t="n"/>
      <c r="W21" s="100" t="n"/>
      <c r="X21" s="100" t="n"/>
      <c r="Y21" s="100" t="n"/>
      <c r="Z21" s="101" t="n"/>
      <c r="AA21" s="100" t="n"/>
      <c r="AB21" s="100" t="n"/>
      <c r="AC21" s="100" t="n"/>
      <c r="AD21" s="100" t="n"/>
      <c r="AE21" s="100" t="n"/>
      <c r="AF21" s="100" t="n"/>
      <c r="AG21" s="101" t="n"/>
      <c r="AH21" s="100" t="n"/>
      <c r="AI21" s="100" t="n"/>
      <c r="AJ21" s="102">
        <f>IF(ISBLANK(B21), "", IF(ISNUMBER(D21), IF(D21&gt;0, (COUNTIF(E21:AI21, "✓") + COUNTIF(E21:AI21, "✔") + COUNTIF(E21:AI21, "v") + COUNTIF(E21:AI21, "V"))/D21, 0), IF(((COUNTIF(E21:AI21, "✓") + COUNTIF(E21:AI21, "✔") + COUNTIF(E21:AI21, "v") + COUNTIF(E21:AI21, "V")) + COUNTIF(E21:AI21, "✗") + COUNTIF(E21:AI21, "x") + COUNTIF(E21:AI21, "X"))&gt;0, (COUNTIF(E21:AI21, "✓") + COUNTIF(E21:AI21, "✔") + COUNTIF(E21:AI21, "v") + COUNTIF(E21:AI21, "V"))/((COUNTIF(E21:AI21, "✓") + COUNTIF(E21:AI21, "✔") + COUNTIF(E21:AI21, "v") + COUNTIF(E21:AI21, "V")) + COUNTIF(E21:AI21, "✗") + COUNTIF(E21:AI21, "x") + COUNTIF(E21:AI21, "X")), "")))</f>
        <v/>
      </c>
      <c r="AK21" s="103">
        <f>IF(ISBLANK(B21), "", IF(ISNUMBER(D21), IF(D21&gt;0, (COUNTIF(E21:AI21, "✓") + COUNTIF(E21:AI21, "✔") + COUNTIF(E21:AI21, "v") + COUNTIF(E21:AI21, "V")) &amp; "/" &amp; D21, (COUNTIF(E21:AI21, "✓") + COUNTIF(E21:AI21, "✔") + COUNTIF(E21:AI21, "v") + COUNTIF(E21:AI21, "V")) &amp; "/0"), IF(((COUNTIF(E21:AI21, "✓") + COUNTIF(E21:AI21, "✔") + COUNTIF(E21:AI21, "v") + COUNTIF(E21:AI21, "V")) + COUNTIF(E21:AI21, "✗") + COUNTIF(E21:AI21, "x") + COUNTIF(E21:AI21, "X"))&gt;0, (COUNTIF(E21:AI21, "✓") + COUNTIF(E21:AI21, "✔") + COUNTIF(E21:AI21, "v") + COUNTIF(E21:AI21, "V")) &amp; "/" &amp; ((COUNTIF(E21:AI21, "✓") + COUNTIF(E21:AI21, "✔") + COUNTIF(E21:AI21, "v") + COUNTIF(E21:AI21, "V")) + COUNTIF(E21:AI21, "✗") + COUNTIF(E21:AI21, "x") + COUNTIF(E21:AI21, "X")), "")))</f>
        <v/>
      </c>
      <c r="AL21" s="103">
        <f>IF(ISBLANK(B21), "", IF(AJ21&gt;=0.85, "🔥 Mastered", IF(AJ21&gt;=0.7, "⚡ Consistent", "⚠️ Needs Focus")))</f>
        <v/>
      </c>
      <c r="AM21">
        <f>COUNTIF(E21:AI21, "✓")</f>
        <v/>
      </c>
    </row>
    <row r="22" ht="14.5" customHeight="1">
      <c r="A22" s="104" t="n">
        <v>5</v>
      </c>
      <c r="B22" s="105" t="n"/>
      <c r="C22" s="106" t="n"/>
      <c r="D22" s="106" t="n"/>
      <c r="E22" s="108" t="n"/>
      <c r="F22" s="107" t="n"/>
      <c r="G22" s="107" t="n"/>
      <c r="H22" s="107" t="n"/>
      <c r="I22" s="107" t="n"/>
      <c r="J22" s="107" t="n"/>
      <c r="K22" s="107" t="n"/>
      <c r="L22" s="108" t="n"/>
      <c r="M22" s="107" t="n"/>
      <c r="N22" s="107" t="n"/>
      <c r="O22" s="107" t="n"/>
      <c r="P22" s="107" t="n"/>
      <c r="Q22" s="107" t="n"/>
      <c r="R22" s="107" t="n"/>
      <c r="S22" s="108" t="n"/>
      <c r="T22" s="107" t="n"/>
      <c r="U22" s="107" t="n"/>
      <c r="V22" s="107" t="n"/>
      <c r="W22" s="107" t="n"/>
      <c r="X22" s="107" t="n"/>
      <c r="Y22" s="107" t="n"/>
      <c r="Z22" s="108" t="n"/>
      <c r="AA22" s="107" t="n"/>
      <c r="AB22" s="107" t="n"/>
      <c r="AC22" s="107" t="n"/>
      <c r="AD22" s="107" t="n"/>
      <c r="AE22" s="107" t="n"/>
      <c r="AF22" s="107" t="n"/>
      <c r="AG22" s="108" t="n"/>
      <c r="AH22" s="107" t="n"/>
      <c r="AI22" s="107" t="n"/>
      <c r="AJ22" s="109">
        <f>IF(ISBLANK(B22), "", IF(ISNUMBER(D22), IF(D22&gt;0, (COUNTIF(E22:AI22, "✓") + COUNTIF(E22:AI22, "✔") + COUNTIF(E22:AI22, "v") + COUNTIF(E22:AI22, "V"))/D22, 0), IF(((COUNTIF(E22:AI22, "✓") + COUNTIF(E22:AI22, "✔") + COUNTIF(E22:AI22, "v") + COUNTIF(E22:AI22, "V")) + COUNTIF(E22:AI22, "✗") + COUNTIF(E22:AI22, "x") + COUNTIF(E22:AI22, "X"))&gt;0, (COUNTIF(E22:AI22, "✓") + COUNTIF(E22:AI22, "✔") + COUNTIF(E22:AI22, "v") + COUNTIF(E22:AI22, "V"))/((COUNTIF(E22:AI22, "✓") + COUNTIF(E22:AI22, "✔") + COUNTIF(E22:AI22, "v") + COUNTIF(E22:AI22, "V")) + COUNTIF(E22:AI22, "✗") + COUNTIF(E22:AI22, "x") + COUNTIF(E22:AI22, "X")), "")))</f>
        <v/>
      </c>
      <c r="AK22" s="110">
        <f>IF(ISBLANK(B22), "", IF(ISNUMBER(D22), IF(D22&gt;0, (COUNTIF(E22:AI22, "✓") + COUNTIF(E22:AI22, "✔") + COUNTIF(E22:AI22, "v") + COUNTIF(E22:AI22, "V")) &amp; "/" &amp; D22, (COUNTIF(E22:AI22, "✓") + COUNTIF(E22:AI22, "✔") + COUNTIF(E22:AI22, "v") + COUNTIF(E22:AI22, "V")) &amp; "/0"), IF(((COUNTIF(E22:AI22, "✓") + COUNTIF(E22:AI22, "✔") + COUNTIF(E22:AI22, "v") + COUNTIF(E22:AI22, "V")) + COUNTIF(E22:AI22, "✗") + COUNTIF(E22:AI22, "x") + COUNTIF(E22:AI22, "X"))&gt;0, (COUNTIF(E22:AI22, "✓") + COUNTIF(E22:AI22, "✔") + COUNTIF(E22:AI22, "v") + COUNTIF(E22:AI22, "V")) &amp; "/" &amp; ((COUNTIF(E22:AI22, "✓") + COUNTIF(E22:AI22, "✔") + COUNTIF(E22:AI22, "v") + COUNTIF(E22:AI22, "V")) + COUNTIF(E22:AI22, "✗") + COUNTIF(E22:AI22, "x") + COUNTIF(E22:AI22, "X")), "")))</f>
        <v/>
      </c>
      <c r="AL22" s="110">
        <f>IF(ISBLANK(B22), "", IF(AJ22&gt;=0.85, "🔥 Mastered", IF(AJ22&gt;=0.7, "⚡ Consistent", "⚠️ Needs Focus")))</f>
        <v/>
      </c>
      <c r="AM22">
        <f>COUNTIF(E22:AI22, "✓")</f>
        <v/>
      </c>
    </row>
    <row r="23" ht="14.5" customHeight="1">
      <c r="A23" s="104" t="n">
        <v>6</v>
      </c>
      <c r="B23" s="105" t="n"/>
      <c r="C23" s="106" t="n"/>
      <c r="D23" s="106" t="n"/>
      <c r="E23" s="108" t="n"/>
      <c r="F23" s="107" t="n"/>
      <c r="G23" s="107" t="n"/>
      <c r="H23" s="107" t="n"/>
      <c r="I23" s="107" t="n"/>
      <c r="J23" s="107" t="n"/>
      <c r="K23" s="107" t="n"/>
      <c r="L23" s="108" t="n"/>
      <c r="M23" s="107" t="n"/>
      <c r="N23" s="107" t="n"/>
      <c r="O23" s="107" t="n"/>
      <c r="P23" s="107" t="n"/>
      <c r="Q23" s="107" t="n"/>
      <c r="R23" s="107" t="n"/>
      <c r="S23" s="108" t="n"/>
      <c r="T23" s="107" t="n"/>
      <c r="U23" s="107" t="n"/>
      <c r="V23" s="107" t="n"/>
      <c r="W23" s="107" t="n"/>
      <c r="X23" s="107" t="n"/>
      <c r="Y23" s="107" t="n"/>
      <c r="Z23" s="108" t="n"/>
      <c r="AA23" s="107" t="n"/>
      <c r="AB23" s="107" t="n"/>
      <c r="AC23" s="107" t="n"/>
      <c r="AD23" s="107" t="n"/>
      <c r="AE23" s="107" t="n"/>
      <c r="AF23" s="107" t="n"/>
      <c r="AG23" s="108" t="n"/>
      <c r="AH23" s="107" t="n"/>
      <c r="AI23" s="107" t="n"/>
      <c r="AJ23" s="109">
        <f>IF(ISBLANK(B23), "", IF(ISNUMBER(D23), IF(D23&gt;0, (COUNTIF(E23:AI23, "✓") + COUNTIF(E23:AI23, "✔") + COUNTIF(E23:AI23, "v") + COUNTIF(E23:AI23, "V"))/D23, 0), IF(((COUNTIF(E23:AI23, "✓") + COUNTIF(E23:AI23, "✔") + COUNTIF(E23:AI23, "v") + COUNTIF(E23:AI23, "V")) + COUNTIF(E23:AI23, "✗") + COUNTIF(E23:AI23, "x") + COUNTIF(E23:AI23, "X"))&gt;0, (COUNTIF(E23:AI23, "✓") + COUNTIF(E23:AI23, "✔") + COUNTIF(E23:AI23, "v") + COUNTIF(E23:AI23, "V"))/((COUNTIF(E23:AI23, "✓") + COUNTIF(E23:AI23, "✔") + COUNTIF(E23:AI23, "v") + COUNTIF(E23:AI23, "V")) + COUNTIF(E23:AI23, "✗") + COUNTIF(E23:AI23, "x") + COUNTIF(E23:AI23, "X")), "")))</f>
        <v/>
      </c>
      <c r="AK23" s="110">
        <f>IF(ISBLANK(B23), "", IF(ISNUMBER(D23), IF(D23&gt;0, (COUNTIF(E23:AI23, "✓") + COUNTIF(E23:AI23, "✔") + COUNTIF(E23:AI23, "v") + COUNTIF(E23:AI23, "V")) &amp; "/" &amp; D23, (COUNTIF(E23:AI23, "✓") + COUNTIF(E23:AI23, "✔") + COUNTIF(E23:AI23, "v") + COUNTIF(E23:AI23, "V")) &amp; "/0"), IF(((COUNTIF(E23:AI23, "✓") + COUNTIF(E23:AI23, "✔") + COUNTIF(E23:AI23, "v") + COUNTIF(E23:AI23, "V")) + COUNTIF(E23:AI23, "✗") + COUNTIF(E23:AI23, "x") + COUNTIF(E23:AI23, "X"))&gt;0, (COUNTIF(E23:AI23, "✓") + COUNTIF(E23:AI23, "✔") + COUNTIF(E23:AI23, "v") + COUNTIF(E23:AI23, "V")) &amp; "/" &amp; ((COUNTIF(E23:AI23, "✓") + COUNTIF(E23:AI23, "✔") + COUNTIF(E23:AI23, "v") + COUNTIF(E23:AI23, "V")) + COUNTIF(E23:AI23, "✗") + COUNTIF(E23:AI23, "x") + COUNTIF(E23:AI23, "X")), "")))</f>
        <v/>
      </c>
      <c r="AL23" s="110">
        <f>IF(ISBLANK(B23), "", IF(AJ23&gt;=0.85, "🔥 Mastered", IF(AJ23&gt;=0.7, "⚡ Consistent", "⚠️ Needs Focus")))</f>
        <v/>
      </c>
      <c r="AM23">
        <f>COUNTIF(E23:AI23, "✓")</f>
        <v/>
      </c>
    </row>
    <row r="24" ht="14.5" customHeight="1">
      <c r="A24" s="104" t="n">
        <v>7</v>
      </c>
      <c r="B24" s="105" t="n"/>
      <c r="C24" s="106" t="n"/>
      <c r="D24" s="106" t="n"/>
      <c r="E24" s="108" t="n"/>
      <c r="F24" s="107" t="n"/>
      <c r="G24" s="107" t="n"/>
      <c r="H24" s="107" t="n"/>
      <c r="I24" s="107" t="n"/>
      <c r="J24" s="107" t="n"/>
      <c r="K24" s="107" t="n"/>
      <c r="L24" s="108" t="n"/>
      <c r="M24" s="107" t="n"/>
      <c r="N24" s="107" t="n"/>
      <c r="O24" s="107" t="n"/>
      <c r="P24" s="107" t="n"/>
      <c r="Q24" s="107" t="n"/>
      <c r="R24" s="107" t="n"/>
      <c r="S24" s="108" t="n"/>
      <c r="T24" s="107" t="n"/>
      <c r="U24" s="107" t="n"/>
      <c r="V24" s="107" t="n"/>
      <c r="W24" s="107" t="n"/>
      <c r="X24" s="107" t="n"/>
      <c r="Y24" s="107" t="n"/>
      <c r="Z24" s="108" t="n"/>
      <c r="AA24" s="107" t="n"/>
      <c r="AB24" s="107" t="n"/>
      <c r="AC24" s="107" t="n"/>
      <c r="AD24" s="107" t="n"/>
      <c r="AE24" s="107" t="n"/>
      <c r="AF24" s="107" t="n"/>
      <c r="AG24" s="108" t="n"/>
      <c r="AH24" s="107" t="n"/>
      <c r="AI24" s="107" t="n"/>
      <c r="AJ24" s="109">
        <f>IF(ISBLANK(B24), "", IF(ISNUMBER(D24), IF(D24&gt;0, (COUNTIF(E24:AI24, "✓") + COUNTIF(E24:AI24, "✔") + COUNTIF(E24:AI24, "v") + COUNTIF(E24:AI24, "V"))/D24, 0), IF(((COUNTIF(E24:AI24, "✓") + COUNTIF(E24:AI24, "✔") + COUNTIF(E24:AI24, "v") + COUNTIF(E24:AI24, "V")) + COUNTIF(E24:AI24, "✗") + COUNTIF(E24:AI24, "x") + COUNTIF(E24:AI24, "X"))&gt;0, (COUNTIF(E24:AI24, "✓") + COUNTIF(E24:AI24, "✔") + COUNTIF(E24:AI24, "v") + COUNTIF(E24:AI24, "V"))/((COUNTIF(E24:AI24, "✓") + COUNTIF(E24:AI24, "✔") + COUNTIF(E24:AI24, "v") + COUNTIF(E24:AI24, "V")) + COUNTIF(E24:AI24, "✗") + COUNTIF(E24:AI24, "x") + COUNTIF(E24:AI24, "X")), "")))</f>
        <v/>
      </c>
      <c r="AK24" s="110">
        <f>IF(ISBLANK(B24), "", IF(ISNUMBER(D24), IF(D24&gt;0, (COUNTIF(E24:AI24, "✓") + COUNTIF(E24:AI24, "✔") + COUNTIF(E24:AI24, "v") + COUNTIF(E24:AI24, "V")) &amp; "/" &amp; D24, (COUNTIF(E24:AI24, "✓") + COUNTIF(E24:AI24, "✔") + COUNTIF(E24:AI24, "v") + COUNTIF(E24:AI24, "V")) &amp; "/0"), IF(((COUNTIF(E24:AI24, "✓") + COUNTIF(E24:AI24, "✔") + COUNTIF(E24:AI24, "v") + COUNTIF(E24:AI24, "V")) + COUNTIF(E24:AI24, "✗") + COUNTIF(E24:AI24, "x") + COUNTIF(E24:AI24, "X"))&gt;0, (COUNTIF(E24:AI24, "✓") + COUNTIF(E24:AI24, "✔") + COUNTIF(E24:AI24, "v") + COUNTIF(E24:AI24, "V")) &amp; "/" &amp; ((COUNTIF(E24:AI24, "✓") + COUNTIF(E24:AI24, "✔") + COUNTIF(E24:AI24, "v") + COUNTIF(E24:AI24, "V")) + COUNTIF(E24:AI24, "✗") + COUNTIF(E24:AI24, "x") + COUNTIF(E24:AI24, "X")), "")))</f>
        <v/>
      </c>
      <c r="AL24" s="110">
        <f>IF(ISBLANK(B24), "", IF(AJ24&gt;=0.85, "🔥 Mastered", IF(AJ24&gt;=0.7, "⚡ Consistent", "⚠️ Needs Focus")))</f>
        <v/>
      </c>
      <c r="AM24">
        <f>COUNTIF(E24:AI24, "✓")</f>
        <v/>
      </c>
    </row>
    <row r="25" ht="14.5" customHeight="1">
      <c r="A25" s="104" t="n">
        <v>8</v>
      </c>
      <c r="B25" s="105" t="n"/>
      <c r="C25" s="106" t="n"/>
      <c r="D25" s="106" t="n"/>
      <c r="E25" s="108" t="n"/>
      <c r="F25" s="107" t="n"/>
      <c r="G25" s="107" t="n"/>
      <c r="H25" s="107" t="n"/>
      <c r="I25" s="107" t="n"/>
      <c r="J25" s="107" t="n"/>
      <c r="K25" s="107" t="n"/>
      <c r="L25" s="108" t="n"/>
      <c r="M25" s="107" t="n"/>
      <c r="N25" s="107" t="n"/>
      <c r="O25" s="107" t="n"/>
      <c r="P25" s="107" t="n"/>
      <c r="Q25" s="107" t="n"/>
      <c r="R25" s="107" t="n"/>
      <c r="S25" s="108" t="n"/>
      <c r="T25" s="107" t="n"/>
      <c r="U25" s="107" t="n"/>
      <c r="V25" s="107" t="n"/>
      <c r="W25" s="107" t="n"/>
      <c r="X25" s="107" t="n"/>
      <c r="Y25" s="107" t="n"/>
      <c r="Z25" s="108" t="n"/>
      <c r="AA25" s="107" t="n"/>
      <c r="AB25" s="107" t="n"/>
      <c r="AC25" s="107" t="n"/>
      <c r="AD25" s="107" t="n"/>
      <c r="AE25" s="107" t="n"/>
      <c r="AF25" s="107" t="n"/>
      <c r="AG25" s="108" t="n"/>
      <c r="AH25" s="107" t="n"/>
      <c r="AI25" s="107" t="n"/>
      <c r="AJ25" s="109">
        <f>IF(ISBLANK(B25), "", IF(ISNUMBER(D25), IF(D25&gt;0, (COUNTIF(E25:AI25, "✓") + COUNTIF(E25:AI25, "✔") + COUNTIF(E25:AI25, "v") + COUNTIF(E25:AI25, "V"))/D25, 0), IF(((COUNTIF(E25:AI25, "✓") + COUNTIF(E25:AI25, "✔") + COUNTIF(E25:AI25, "v") + COUNTIF(E25:AI25, "V")) + COUNTIF(E25:AI25, "✗") + COUNTIF(E25:AI25, "x") + COUNTIF(E25:AI25, "X"))&gt;0, (COUNTIF(E25:AI25, "✓") + COUNTIF(E25:AI25, "✔") + COUNTIF(E25:AI25, "v") + COUNTIF(E25:AI25, "V"))/((COUNTIF(E25:AI25, "✓") + COUNTIF(E25:AI25, "✔") + COUNTIF(E25:AI25, "v") + COUNTIF(E25:AI25, "V")) + COUNTIF(E25:AI25, "✗") + COUNTIF(E25:AI25, "x") + COUNTIF(E25:AI25, "X")), "")))</f>
        <v/>
      </c>
      <c r="AK25" s="110">
        <f>IF(ISBLANK(B25), "", IF(ISNUMBER(D25), IF(D25&gt;0, (COUNTIF(E25:AI25, "✓") + COUNTIF(E25:AI25, "✔") + COUNTIF(E25:AI25, "v") + COUNTIF(E25:AI25, "V")) &amp; "/" &amp; D25, (COUNTIF(E25:AI25, "✓") + COUNTIF(E25:AI25, "✔") + COUNTIF(E25:AI25, "v") + COUNTIF(E25:AI25, "V")) &amp; "/0"), IF(((COUNTIF(E25:AI25, "✓") + COUNTIF(E25:AI25, "✔") + COUNTIF(E25:AI25, "v") + COUNTIF(E25:AI25, "V")) + COUNTIF(E25:AI25, "✗") + COUNTIF(E25:AI25, "x") + COUNTIF(E25:AI25, "X"))&gt;0, (COUNTIF(E25:AI25, "✓") + COUNTIF(E25:AI25, "✔") + COUNTIF(E25:AI25, "v") + COUNTIF(E25:AI25, "V")) &amp; "/" &amp; ((COUNTIF(E25:AI25, "✓") + COUNTIF(E25:AI25, "✔") + COUNTIF(E25:AI25, "v") + COUNTIF(E25:AI25, "V")) + COUNTIF(E25:AI25, "✗") + COUNTIF(E25:AI25, "x") + COUNTIF(E25:AI25, "X")), "")))</f>
        <v/>
      </c>
      <c r="AL25" s="110">
        <f>IF(ISBLANK(B25), "", IF(AJ25&gt;=0.85, "🔥 Mastered", IF(AJ25&gt;=0.7, "⚡ Consistent", "⚠️ Needs Focus")))</f>
        <v/>
      </c>
      <c r="AM25">
        <f>COUNTIF(E25:AI25, "✓")</f>
        <v/>
      </c>
    </row>
    <row r="26" ht="14.5" customHeight="1">
      <c r="A26" s="111" t="n">
        <v>9</v>
      </c>
      <c r="B26" s="112" t="n"/>
      <c r="C26" s="113" t="n"/>
      <c r="D26" s="113" t="n"/>
      <c r="E26" s="115" t="n"/>
      <c r="F26" s="114" t="n"/>
      <c r="G26" s="114" t="n"/>
      <c r="H26" s="114" t="n"/>
      <c r="I26" s="114" t="n"/>
      <c r="J26" s="114" t="n"/>
      <c r="K26" s="114" t="n"/>
      <c r="L26" s="115" t="n"/>
      <c r="M26" s="114" t="n"/>
      <c r="N26" s="114" t="n"/>
      <c r="O26" s="114" t="n"/>
      <c r="P26" s="114" t="n"/>
      <c r="Q26" s="114" t="n"/>
      <c r="R26" s="114" t="n"/>
      <c r="S26" s="115" t="n"/>
      <c r="T26" s="114" t="n"/>
      <c r="U26" s="114" t="n"/>
      <c r="V26" s="114" t="n"/>
      <c r="W26" s="114" t="n"/>
      <c r="X26" s="114" t="n"/>
      <c r="Y26" s="114" t="n"/>
      <c r="Z26" s="115" t="n"/>
      <c r="AA26" s="114" t="n"/>
      <c r="AB26" s="114" t="n"/>
      <c r="AC26" s="114" t="n"/>
      <c r="AD26" s="114" t="n"/>
      <c r="AE26" s="114" t="n"/>
      <c r="AF26" s="114" t="n"/>
      <c r="AG26" s="115" t="n"/>
      <c r="AH26" s="114" t="n"/>
      <c r="AI26" s="114" t="n"/>
      <c r="AJ26" s="116">
        <f>IF(ISBLANK(B26), "", IF(ISNUMBER(D26), IF(D26&gt;0, (COUNTIF(E26:AI26, "✓") + COUNTIF(E26:AI26, "✔") + COUNTIF(E26:AI26, "v") + COUNTIF(E26:AI26, "V"))/D26, 0), IF(((COUNTIF(E26:AI26, "✓") + COUNTIF(E26:AI26, "✔") + COUNTIF(E26:AI26, "v") + COUNTIF(E26:AI26, "V")) + COUNTIF(E26:AI26, "✗") + COUNTIF(E26:AI26, "x") + COUNTIF(E26:AI26, "X"))&gt;0, (COUNTIF(E26:AI26, "✓") + COUNTIF(E26:AI26, "✔") + COUNTIF(E26:AI26, "v") + COUNTIF(E26:AI26, "V"))/((COUNTIF(E26:AI26, "✓") + COUNTIF(E26:AI26, "✔") + COUNTIF(E26:AI26, "v") + COUNTIF(E26:AI26, "V")) + COUNTIF(E26:AI26, "✗") + COUNTIF(E26:AI26, "x") + COUNTIF(E26:AI26, "X")), "")))</f>
        <v/>
      </c>
      <c r="AK26" s="117">
        <f>IF(ISBLANK(B26), "", IF(ISNUMBER(D26), IF(D26&gt;0, (COUNTIF(E26:AI26, "✓") + COUNTIF(E26:AI26, "✔") + COUNTIF(E26:AI26, "v") + COUNTIF(E26:AI26, "V")) &amp; "/" &amp; D26, (COUNTIF(E26:AI26, "✓") + COUNTIF(E26:AI26, "✔") + COUNTIF(E26:AI26, "v") + COUNTIF(E26:AI26, "V")) &amp; "/0"), IF(((COUNTIF(E26:AI26, "✓") + COUNTIF(E26:AI26, "✔") + COUNTIF(E26:AI26, "v") + COUNTIF(E26:AI26, "V")) + COUNTIF(E26:AI26, "✗") + COUNTIF(E26:AI26, "x") + COUNTIF(E26:AI26, "X"))&gt;0, (COUNTIF(E26:AI26, "✓") + COUNTIF(E26:AI26, "✔") + COUNTIF(E26:AI26, "v") + COUNTIF(E26:AI26, "V")) &amp; "/" &amp; ((COUNTIF(E26:AI26, "✓") + COUNTIF(E26:AI26, "✔") + COUNTIF(E26:AI26, "v") + COUNTIF(E26:AI26, "V")) + COUNTIF(E26:AI26, "✗") + COUNTIF(E26:AI26, "x") + COUNTIF(E26:AI26, "X")), "")))</f>
        <v/>
      </c>
      <c r="AL26" s="117">
        <f>IF(ISBLANK(B26), "", IF(AJ26&gt;=0.85, "🔥 Mastered", IF(AJ26&gt;=0.7, "⚡ Consistent", "⚠️ Needs Focus")))</f>
        <v/>
      </c>
      <c r="AM26">
        <f>COUNTIF(E26:AI26, "✓")</f>
        <v/>
      </c>
    </row>
    <row r="27" ht="14.5" customHeight="1">
      <c r="A27" s="111" t="n">
        <v>10</v>
      </c>
      <c r="B27" s="112" t="n"/>
      <c r="C27" s="113" t="n"/>
      <c r="D27" s="113" t="n"/>
      <c r="E27" s="115" t="n"/>
      <c r="F27" s="114" t="n"/>
      <c r="G27" s="114" t="n"/>
      <c r="H27" s="114" t="n"/>
      <c r="I27" s="114" t="n"/>
      <c r="J27" s="114" t="n"/>
      <c r="K27" s="114" t="n"/>
      <c r="L27" s="115" t="n"/>
      <c r="M27" s="114" t="n"/>
      <c r="N27" s="114" t="n"/>
      <c r="O27" s="114" t="n"/>
      <c r="P27" s="114" t="n"/>
      <c r="Q27" s="114" t="n"/>
      <c r="R27" s="114" t="n"/>
      <c r="S27" s="115" t="n"/>
      <c r="T27" s="114" t="n"/>
      <c r="U27" s="114" t="n"/>
      <c r="V27" s="114" t="n"/>
      <c r="W27" s="114" t="n"/>
      <c r="X27" s="114" t="n"/>
      <c r="Y27" s="114" t="n"/>
      <c r="Z27" s="115" t="n"/>
      <c r="AA27" s="114" t="n"/>
      <c r="AB27" s="114" t="n"/>
      <c r="AC27" s="114" t="n"/>
      <c r="AD27" s="114" t="n"/>
      <c r="AE27" s="114" t="n"/>
      <c r="AF27" s="114" t="n"/>
      <c r="AG27" s="115" t="n"/>
      <c r="AH27" s="114" t="n"/>
      <c r="AI27" s="114" t="n"/>
      <c r="AJ27" s="116">
        <f>IF(ISBLANK(B27), "", IF(ISNUMBER(D27), IF(D27&gt;0, (COUNTIF(E27:AI27, "✓") + COUNTIF(E27:AI27, "✔") + COUNTIF(E27:AI27, "v") + COUNTIF(E27:AI27, "V"))/D27, 0), IF(((COUNTIF(E27:AI27, "✓") + COUNTIF(E27:AI27, "✔") + COUNTIF(E27:AI27, "v") + COUNTIF(E27:AI27, "V")) + COUNTIF(E27:AI27, "✗") + COUNTIF(E27:AI27, "x") + COUNTIF(E27:AI27, "X"))&gt;0, (COUNTIF(E27:AI27, "✓") + COUNTIF(E27:AI27, "✔") + COUNTIF(E27:AI27, "v") + COUNTIF(E27:AI27, "V"))/((COUNTIF(E27:AI27, "✓") + COUNTIF(E27:AI27, "✔") + COUNTIF(E27:AI27, "v") + COUNTIF(E27:AI27, "V")) + COUNTIF(E27:AI27, "✗") + COUNTIF(E27:AI27, "x") + COUNTIF(E27:AI27, "X")), "")))</f>
        <v/>
      </c>
      <c r="AK27" s="117">
        <f>IF(ISBLANK(B27), "", IF(ISNUMBER(D27), IF(D27&gt;0, (COUNTIF(E27:AI27, "✓") + COUNTIF(E27:AI27, "✔") + COUNTIF(E27:AI27, "v") + COUNTIF(E27:AI27, "V")) &amp; "/" &amp; D27, (COUNTIF(E27:AI27, "✓") + COUNTIF(E27:AI27, "✔") + COUNTIF(E27:AI27, "v") + COUNTIF(E27:AI27, "V")) &amp; "/0"), IF(((COUNTIF(E27:AI27, "✓") + COUNTIF(E27:AI27, "✔") + COUNTIF(E27:AI27, "v") + COUNTIF(E27:AI27, "V")) + COUNTIF(E27:AI27, "✗") + COUNTIF(E27:AI27, "x") + COUNTIF(E27:AI27, "X"))&gt;0, (COUNTIF(E27:AI27, "✓") + COUNTIF(E27:AI27, "✔") + COUNTIF(E27:AI27, "v") + COUNTIF(E27:AI27, "V")) &amp; "/" &amp; ((COUNTIF(E27:AI27, "✓") + COUNTIF(E27:AI27, "✔") + COUNTIF(E27:AI27, "v") + COUNTIF(E27:AI27, "V")) + COUNTIF(E27:AI27, "✗") + COUNTIF(E27:AI27, "x") + COUNTIF(E27:AI27, "X")), "")))</f>
        <v/>
      </c>
      <c r="AL27" s="117">
        <f>IF(ISBLANK(B27), "", IF(AJ27&gt;=0.85, "🔥 Mastered", IF(AJ27&gt;=0.7, "⚡ Consistent", "⚠️ Needs Focus")))</f>
        <v/>
      </c>
      <c r="AM27">
        <f>COUNTIF(E27:AI27, "✓")</f>
        <v/>
      </c>
    </row>
    <row r="28" ht="14.5" customHeight="1">
      <c r="A28" s="111" t="n">
        <v>11</v>
      </c>
      <c r="B28" s="112" t="n"/>
      <c r="C28" s="113" t="n"/>
      <c r="D28" s="113" t="n"/>
      <c r="E28" s="115" t="n"/>
      <c r="F28" s="114" t="n"/>
      <c r="G28" s="114" t="n"/>
      <c r="H28" s="114" t="n"/>
      <c r="I28" s="114" t="n"/>
      <c r="J28" s="114" t="n"/>
      <c r="K28" s="114" t="n"/>
      <c r="L28" s="115" t="n"/>
      <c r="M28" s="114" t="n"/>
      <c r="N28" s="114" t="n"/>
      <c r="O28" s="114" t="n"/>
      <c r="P28" s="114" t="n"/>
      <c r="Q28" s="114" t="n"/>
      <c r="R28" s="114" t="n"/>
      <c r="S28" s="115" t="n"/>
      <c r="T28" s="114" t="n"/>
      <c r="U28" s="114" t="n"/>
      <c r="V28" s="114" t="n"/>
      <c r="W28" s="114" t="n"/>
      <c r="X28" s="114" t="n"/>
      <c r="Y28" s="114" t="n"/>
      <c r="Z28" s="115" t="n"/>
      <c r="AA28" s="114" t="n"/>
      <c r="AB28" s="114" t="n"/>
      <c r="AC28" s="114" t="n"/>
      <c r="AD28" s="114" t="n"/>
      <c r="AE28" s="114" t="n"/>
      <c r="AF28" s="114" t="n"/>
      <c r="AG28" s="115" t="n"/>
      <c r="AH28" s="114" t="n"/>
      <c r="AI28" s="114" t="n"/>
      <c r="AJ28" s="116">
        <f>IF(ISBLANK(B28), "", IF(ISNUMBER(D28), IF(D28&gt;0, (COUNTIF(E28:AI28, "✓") + COUNTIF(E28:AI28, "✔") + COUNTIF(E28:AI28, "v") + COUNTIF(E28:AI28, "V"))/D28, 0), IF(((COUNTIF(E28:AI28, "✓") + COUNTIF(E28:AI28, "✔") + COUNTIF(E28:AI28, "v") + COUNTIF(E28:AI28, "V")) + COUNTIF(E28:AI28, "✗") + COUNTIF(E28:AI28, "x") + COUNTIF(E28:AI28, "X"))&gt;0, (COUNTIF(E28:AI28, "✓") + COUNTIF(E28:AI28, "✔") + COUNTIF(E28:AI28, "v") + COUNTIF(E28:AI28, "V"))/((COUNTIF(E28:AI28, "✓") + COUNTIF(E28:AI28, "✔") + COUNTIF(E28:AI28, "v") + COUNTIF(E28:AI28, "V")) + COUNTIF(E28:AI28, "✗") + COUNTIF(E28:AI28, "x") + COUNTIF(E28:AI28, "X")), "")))</f>
        <v/>
      </c>
      <c r="AK28" s="117">
        <f>IF(ISBLANK(B28), "", IF(ISNUMBER(D28), IF(D28&gt;0, (COUNTIF(E28:AI28, "✓") + COUNTIF(E28:AI28, "✔") + COUNTIF(E28:AI28, "v") + COUNTIF(E28:AI28, "V")) &amp; "/" &amp; D28, (COUNTIF(E28:AI28, "✓") + COUNTIF(E28:AI28, "✔") + COUNTIF(E28:AI28, "v") + COUNTIF(E28:AI28, "V")) &amp; "/0"), IF(((COUNTIF(E28:AI28, "✓") + COUNTIF(E28:AI28, "✔") + COUNTIF(E28:AI28, "v") + COUNTIF(E28:AI28, "V")) + COUNTIF(E28:AI28, "✗") + COUNTIF(E28:AI28, "x") + COUNTIF(E28:AI28, "X"))&gt;0, (COUNTIF(E28:AI28, "✓") + COUNTIF(E28:AI28, "✔") + COUNTIF(E28:AI28, "v") + COUNTIF(E28:AI28, "V")) &amp; "/" &amp; ((COUNTIF(E28:AI28, "✓") + COUNTIF(E28:AI28, "✔") + COUNTIF(E28:AI28, "v") + COUNTIF(E28:AI28, "V")) + COUNTIF(E28:AI28, "✗") + COUNTIF(E28:AI28, "x") + COUNTIF(E28:AI28, "X")), "")))</f>
        <v/>
      </c>
      <c r="AL28" s="117">
        <f>IF(ISBLANK(B28), "", IF(AJ28&gt;=0.85, "🔥 Mastered", IF(AJ28&gt;=0.7, "⚡ Consistent", "⚠️ Needs Focus")))</f>
        <v/>
      </c>
      <c r="AM28">
        <f>COUNTIF(E28:AI28, "✓")</f>
        <v/>
      </c>
    </row>
    <row r="29" ht="14.5" customHeight="1">
      <c r="A29" s="111" t="n">
        <v>12</v>
      </c>
      <c r="B29" s="112" t="n"/>
      <c r="C29" s="113" t="n"/>
      <c r="D29" s="113" t="n"/>
      <c r="E29" s="115" t="n"/>
      <c r="F29" s="114" t="n"/>
      <c r="G29" s="114" t="n"/>
      <c r="H29" s="114" t="n"/>
      <c r="I29" s="114" t="n"/>
      <c r="J29" s="114" t="n"/>
      <c r="K29" s="114" t="n"/>
      <c r="L29" s="115" t="n"/>
      <c r="M29" s="114" t="n"/>
      <c r="N29" s="114" t="n"/>
      <c r="O29" s="114" t="n"/>
      <c r="P29" s="114" t="n"/>
      <c r="Q29" s="114" t="n"/>
      <c r="R29" s="114" t="n"/>
      <c r="S29" s="115" t="n"/>
      <c r="T29" s="114" t="n"/>
      <c r="U29" s="114" t="n"/>
      <c r="V29" s="114" t="n"/>
      <c r="W29" s="114" t="n"/>
      <c r="X29" s="114" t="n"/>
      <c r="Y29" s="114" t="n"/>
      <c r="Z29" s="115" t="n"/>
      <c r="AA29" s="114" t="n"/>
      <c r="AB29" s="114" t="n"/>
      <c r="AC29" s="114" t="n"/>
      <c r="AD29" s="114" t="n"/>
      <c r="AE29" s="114" t="n"/>
      <c r="AF29" s="114" t="n"/>
      <c r="AG29" s="115" t="n"/>
      <c r="AH29" s="114" t="n"/>
      <c r="AI29" s="114" t="n"/>
      <c r="AJ29" s="116">
        <f>IF(ISBLANK(B29), "", IF(ISNUMBER(D29), IF(D29&gt;0, (COUNTIF(E29:AI29, "✓") + COUNTIF(E29:AI29, "✔") + COUNTIF(E29:AI29, "v") + COUNTIF(E29:AI29, "V"))/D29, 0), IF(((COUNTIF(E29:AI29, "✓") + COUNTIF(E29:AI29, "✔") + COUNTIF(E29:AI29, "v") + COUNTIF(E29:AI29, "V")) + COUNTIF(E29:AI29, "✗") + COUNTIF(E29:AI29, "x") + COUNTIF(E29:AI29, "X"))&gt;0, (COUNTIF(E29:AI29, "✓") + COUNTIF(E29:AI29, "✔") + COUNTIF(E29:AI29, "v") + COUNTIF(E29:AI29, "V"))/((COUNTIF(E29:AI29, "✓") + COUNTIF(E29:AI29, "✔") + COUNTIF(E29:AI29, "v") + COUNTIF(E29:AI29, "V")) + COUNTIF(E29:AI29, "✗") + COUNTIF(E29:AI29, "x") + COUNTIF(E29:AI29, "X")), "")))</f>
        <v/>
      </c>
      <c r="AK29" s="117">
        <f>IF(ISBLANK(B29), "", IF(ISNUMBER(D29), IF(D29&gt;0, (COUNTIF(E29:AI29, "✓") + COUNTIF(E29:AI29, "✔") + COUNTIF(E29:AI29, "v") + COUNTIF(E29:AI29, "V")) &amp; "/" &amp; D29, (COUNTIF(E29:AI29, "✓") + COUNTIF(E29:AI29, "✔") + COUNTIF(E29:AI29, "v") + COUNTIF(E29:AI29, "V")) &amp; "/0"), IF(((COUNTIF(E29:AI29, "✓") + COUNTIF(E29:AI29, "✔") + COUNTIF(E29:AI29, "v") + COUNTIF(E29:AI29, "V")) + COUNTIF(E29:AI29, "✗") + COUNTIF(E29:AI29, "x") + COUNTIF(E29:AI29, "X"))&gt;0, (COUNTIF(E29:AI29, "✓") + COUNTIF(E29:AI29, "✔") + COUNTIF(E29:AI29, "v") + COUNTIF(E29:AI29, "V")) &amp; "/" &amp; ((COUNTIF(E29:AI29, "✓") + COUNTIF(E29:AI29, "✔") + COUNTIF(E29:AI29, "v") + COUNTIF(E29:AI29, "V")) + COUNTIF(E29:AI29, "✗") + COUNTIF(E29:AI29, "x") + COUNTIF(E29:AI29, "X")), "")))</f>
        <v/>
      </c>
      <c r="AL29" s="117">
        <f>IF(ISBLANK(B29), "", IF(AJ29&gt;=0.85, "🔥 Mastered", IF(AJ29&gt;=0.7, "⚡ Consistent", "⚠️ Needs Focus")))</f>
        <v/>
      </c>
      <c r="AM29">
        <f>COUNTIF(E29:AI29, "✓")</f>
        <v/>
      </c>
    </row>
    <row r="30" ht="14.5" customHeight="1">
      <c r="A30" s="118" t="n">
        <v>13</v>
      </c>
      <c r="B30" s="119" t="n"/>
      <c r="C30" s="120" t="n"/>
      <c r="D30" s="120" t="n"/>
      <c r="E30" s="122" t="n"/>
      <c r="F30" s="121" t="n"/>
      <c r="G30" s="121" t="n"/>
      <c r="H30" s="121" t="n"/>
      <c r="I30" s="121" t="n"/>
      <c r="J30" s="121" t="n"/>
      <c r="K30" s="121" t="n"/>
      <c r="L30" s="122" t="n"/>
      <c r="M30" s="121" t="n"/>
      <c r="N30" s="121" t="n"/>
      <c r="O30" s="121" t="n"/>
      <c r="P30" s="121" t="n"/>
      <c r="Q30" s="121" t="n"/>
      <c r="R30" s="121" t="n"/>
      <c r="S30" s="122" t="n"/>
      <c r="T30" s="121" t="n"/>
      <c r="U30" s="121" t="n"/>
      <c r="V30" s="121" t="n"/>
      <c r="W30" s="121" t="n"/>
      <c r="X30" s="121" t="n"/>
      <c r="Y30" s="121" t="n"/>
      <c r="Z30" s="122" t="n"/>
      <c r="AA30" s="121" t="n"/>
      <c r="AB30" s="121" t="n"/>
      <c r="AC30" s="121" t="n"/>
      <c r="AD30" s="121" t="n"/>
      <c r="AE30" s="121" t="n"/>
      <c r="AF30" s="121" t="n"/>
      <c r="AG30" s="122" t="n"/>
      <c r="AH30" s="121" t="n"/>
      <c r="AI30" s="121" t="n"/>
      <c r="AJ30" s="123">
        <f>IF(ISBLANK(B30), "", IF(ISNUMBER(D30), IF(D30&gt;0, (COUNTIF(E30:AI30, "✓") + COUNTIF(E30:AI30, "✔") + COUNTIF(E30:AI30, "v") + COUNTIF(E30:AI30, "V"))/D30, 0), IF(((COUNTIF(E30:AI30, "✓") + COUNTIF(E30:AI30, "✔") + COUNTIF(E30:AI30, "v") + COUNTIF(E30:AI30, "V")) + COUNTIF(E30:AI30, "✗") + COUNTIF(E30:AI30, "x") + COUNTIF(E30:AI30, "X"))&gt;0, (COUNTIF(E30:AI30, "✓") + COUNTIF(E30:AI30, "✔") + COUNTIF(E30:AI30, "v") + COUNTIF(E30:AI30, "V"))/((COUNTIF(E30:AI30, "✓") + COUNTIF(E30:AI30, "✔") + COUNTIF(E30:AI30, "v") + COUNTIF(E30:AI30, "V")) + COUNTIF(E30:AI30, "✗") + COUNTIF(E30:AI30, "x") + COUNTIF(E30:AI30, "X")), "")))</f>
        <v/>
      </c>
      <c r="AK30" s="124">
        <f>IF(ISBLANK(B30), "", IF(ISNUMBER(D30), IF(D30&gt;0, (COUNTIF(E30:AI30, "✓") + COUNTIF(E30:AI30, "✔") + COUNTIF(E30:AI30, "v") + COUNTIF(E30:AI30, "V")) &amp; "/" &amp; D30, (COUNTIF(E30:AI30, "✓") + COUNTIF(E30:AI30, "✔") + COUNTIF(E30:AI30, "v") + COUNTIF(E30:AI30, "V")) &amp; "/0"), IF(((COUNTIF(E30:AI30, "✓") + COUNTIF(E30:AI30, "✔") + COUNTIF(E30:AI30, "v") + COUNTIF(E30:AI30, "V")) + COUNTIF(E30:AI30, "✗") + COUNTIF(E30:AI30, "x") + COUNTIF(E30:AI30, "X"))&gt;0, (COUNTIF(E30:AI30, "✓") + COUNTIF(E30:AI30, "✔") + COUNTIF(E30:AI30, "v") + COUNTIF(E30:AI30, "V")) &amp; "/" &amp; ((COUNTIF(E30:AI30, "✓") + COUNTIF(E30:AI30, "✔") + COUNTIF(E30:AI30, "v") + COUNTIF(E30:AI30, "V")) + COUNTIF(E30:AI30, "✗") + COUNTIF(E30:AI30, "x") + COUNTIF(E30:AI30, "X")), "")))</f>
        <v/>
      </c>
      <c r="AL30" s="124">
        <f>IF(ISBLANK(B30), "", IF(AJ30&gt;=0.85, "🔥 Mastered", IF(AJ30&gt;=0.7, "⚡ Consistent", "⚠️ Needs Focus")))</f>
        <v/>
      </c>
      <c r="AM30">
        <f>COUNTIF(E30:AI30, "✓")</f>
        <v/>
      </c>
    </row>
    <row r="31" ht="14.5" customHeight="1">
      <c r="A31" s="118" t="n">
        <v>14</v>
      </c>
      <c r="B31" s="119" t="n"/>
      <c r="C31" s="120" t="n"/>
      <c r="D31" s="120" t="n"/>
      <c r="E31" s="122" t="n"/>
      <c r="F31" s="121" t="n"/>
      <c r="G31" s="121" t="n"/>
      <c r="H31" s="121" t="n"/>
      <c r="I31" s="121" t="n"/>
      <c r="J31" s="121" t="n"/>
      <c r="K31" s="121" t="n"/>
      <c r="L31" s="122" t="n"/>
      <c r="M31" s="121" t="n"/>
      <c r="N31" s="121" t="n"/>
      <c r="O31" s="121" t="n"/>
      <c r="P31" s="121" t="n"/>
      <c r="Q31" s="121" t="n"/>
      <c r="R31" s="121" t="n"/>
      <c r="S31" s="122" t="n"/>
      <c r="T31" s="121" t="n"/>
      <c r="U31" s="121" t="n"/>
      <c r="V31" s="121" t="n"/>
      <c r="W31" s="121" t="n"/>
      <c r="X31" s="121" t="n"/>
      <c r="Y31" s="121" t="n"/>
      <c r="Z31" s="122" t="n"/>
      <c r="AA31" s="121" t="n"/>
      <c r="AB31" s="121" t="n"/>
      <c r="AC31" s="121" t="n"/>
      <c r="AD31" s="121" t="n"/>
      <c r="AE31" s="121" t="n"/>
      <c r="AF31" s="121" t="n"/>
      <c r="AG31" s="122" t="n"/>
      <c r="AH31" s="121" t="n"/>
      <c r="AI31" s="121" t="n"/>
      <c r="AJ31" s="123">
        <f>IF(ISBLANK(B31), "", IF(ISNUMBER(D31), IF(D31&gt;0, (COUNTIF(E31:AI31, "✓") + COUNTIF(E31:AI31, "✔") + COUNTIF(E31:AI31, "v") + COUNTIF(E31:AI31, "V"))/D31, 0), IF(((COUNTIF(E31:AI31, "✓") + COUNTIF(E31:AI31, "✔") + COUNTIF(E31:AI31, "v") + COUNTIF(E31:AI31, "V")) + COUNTIF(E31:AI31, "✗") + COUNTIF(E31:AI31, "x") + COUNTIF(E31:AI31, "X"))&gt;0, (COUNTIF(E31:AI31, "✓") + COUNTIF(E31:AI31, "✔") + COUNTIF(E31:AI31, "v") + COUNTIF(E31:AI31, "V"))/((COUNTIF(E31:AI31, "✓") + COUNTIF(E31:AI31, "✔") + COUNTIF(E31:AI31, "v") + COUNTIF(E31:AI31, "V")) + COUNTIF(E31:AI31, "✗") + COUNTIF(E31:AI31, "x") + COUNTIF(E31:AI31, "X")), "")))</f>
        <v/>
      </c>
      <c r="AK31" s="124">
        <f>IF(ISBLANK(B31), "", IF(ISNUMBER(D31), IF(D31&gt;0, (COUNTIF(E31:AI31, "✓") + COUNTIF(E31:AI31, "✔") + COUNTIF(E31:AI31, "v") + COUNTIF(E31:AI31, "V")) &amp; "/" &amp; D31, (COUNTIF(E31:AI31, "✓") + COUNTIF(E31:AI31, "✔") + COUNTIF(E31:AI31, "v") + COUNTIF(E31:AI31, "V")) &amp; "/0"), IF(((COUNTIF(E31:AI31, "✓") + COUNTIF(E31:AI31, "✔") + COUNTIF(E31:AI31, "v") + COUNTIF(E31:AI31, "V")) + COUNTIF(E31:AI31, "✗") + COUNTIF(E31:AI31, "x") + COUNTIF(E31:AI31, "X"))&gt;0, (COUNTIF(E31:AI31, "✓") + COUNTIF(E31:AI31, "✔") + COUNTIF(E31:AI31, "v") + COUNTIF(E31:AI31, "V")) &amp; "/" &amp; ((COUNTIF(E31:AI31, "✓") + COUNTIF(E31:AI31, "✔") + COUNTIF(E31:AI31, "v") + COUNTIF(E31:AI31, "V")) + COUNTIF(E31:AI31, "✗") + COUNTIF(E31:AI31, "x") + COUNTIF(E31:AI31, "X")), "")))</f>
        <v/>
      </c>
      <c r="AL31" s="124">
        <f>IF(ISBLANK(B31), "", IF(AJ31&gt;=0.85, "🔥 Mastered", IF(AJ31&gt;=0.7, "⚡ Consistent", "⚠️ Needs Focus")))</f>
        <v/>
      </c>
      <c r="AM31">
        <f>COUNTIF(E31:AI31, "✓")</f>
        <v/>
      </c>
    </row>
    <row r="32" ht="14.5" customHeight="1">
      <c r="A32" s="118" t="n">
        <v>15</v>
      </c>
      <c r="B32" s="119" t="n"/>
      <c r="C32" s="120" t="n"/>
      <c r="D32" s="120" t="n"/>
      <c r="E32" s="122" t="n"/>
      <c r="F32" s="121" t="n"/>
      <c r="G32" s="121" t="n"/>
      <c r="H32" s="121" t="n"/>
      <c r="I32" s="121" t="n"/>
      <c r="J32" s="121" t="n"/>
      <c r="K32" s="121" t="n"/>
      <c r="L32" s="122" t="n"/>
      <c r="M32" s="121" t="n"/>
      <c r="N32" s="121" t="n"/>
      <c r="O32" s="121" t="n"/>
      <c r="P32" s="121" t="n"/>
      <c r="Q32" s="121" t="n"/>
      <c r="R32" s="121" t="n"/>
      <c r="S32" s="122" t="n"/>
      <c r="T32" s="121" t="n"/>
      <c r="U32" s="121" t="n"/>
      <c r="V32" s="121" t="n"/>
      <c r="W32" s="121" t="n"/>
      <c r="X32" s="121" t="n"/>
      <c r="Y32" s="121" t="n"/>
      <c r="Z32" s="122" t="n"/>
      <c r="AA32" s="121" t="n"/>
      <c r="AB32" s="121" t="n"/>
      <c r="AC32" s="121" t="n"/>
      <c r="AD32" s="121" t="n"/>
      <c r="AE32" s="121" t="n"/>
      <c r="AF32" s="121" t="n"/>
      <c r="AG32" s="122" t="n"/>
      <c r="AH32" s="121" t="n"/>
      <c r="AI32" s="121" t="n"/>
      <c r="AJ32" s="123">
        <f>IF(ISBLANK(B32), "", IF(ISNUMBER(D32), IF(D32&gt;0, (COUNTIF(E32:AI32, "✓") + COUNTIF(E32:AI32, "✔") + COUNTIF(E32:AI32, "v") + COUNTIF(E32:AI32, "V"))/D32, 0), IF(((COUNTIF(E32:AI32, "✓") + COUNTIF(E32:AI32, "✔") + COUNTIF(E32:AI32, "v") + COUNTIF(E32:AI32, "V")) + COUNTIF(E32:AI32, "✗") + COUNTIF(E32:AI32, "x") + COUNTIF(E32:AI32, "X"))&gt;0, (COUNTIF(E32:AI32, "✓") + COUNTIF(E32:AI32, "✔") + COUNTIF(E32:AI32, "v") + COUNTIF(E32:AI32, "V"))/((COUNTIF(E32:AI32, "✓") + COUNTIF(E32:AI32, "✔") + COUNTIF(E32:AI32, "v") + COUNTIF(E32:AI32, "V")) + COUNTIF(E32:AI32, "✗") + COUNTIF(E32:AI32, "x") + COUNTIF(E32:AI32, "X")), "")))</f>
        <v/>
      </c>
      <c r="AK32" s="124">
        <f>IF(ISBLANK(B32), "", IF(ISNUMBER(D32), IF(D32&gt;0, (COUNTIF(E32:AI32, "✓") + COUNTIF(E32:AI32, "✔") + COUNTIF(E32:AI32, "v") + COUNTIF(E32:AI32, "V")) &amp; "/" &amp; D32, (COUNTIF(E32:AI32, "✓") + COUNTIF(E32:AI32, "✔") + COUNTIF(E32:AI32, "v") + COUNTIF(E32:AI32, "V")) &amp; "/0"), IF(((COUNTIF(E32:AI32, "✓") + COUNTIF(E32:AI32, "✔") + COUNTIF(E32:AI32, "v") + COUNTIF(E32:AI32, "V")) + COUNTIF(E32:AI32, "✗") + COUNTIF(E32:AI32, "x") + COUNTIF(E32:AI32, "X"))&gt;0, (COUNTIF(E32:AI32, "✓") + COUNTIF(E32:AI32, "✔") + COUNTIF(E32:AI32, "v") + COUNTIF(E32:AI32, "V")) &amp; "/" &amp; ((COUNTIF(E32:AI32, "✓") + COUNTIF(E32:AI32, "✔") + COUNTIF(E32:AI32, "v") + COUNTIF(E32:AI32, "V")) + COUNTIF(E32:AI32, "✗") + COUNTIF(E32:AI32, "x") + COUNTIF(E32:AI32, "X")), "")))</f>
        <v/>
      </c>
      <c r="AL32" s="124">
        <f>IF(ISBLANK(B32), "", IF(AJ32&gt;=0.85, "🔥 Mastered", IF(AJ32&gt;=0.7, "⚡ Consistent", "⚠️ Needs Focus")))</f>
        <v/>
      </c>
      <c r="AM32">
        <f>COUNTIF(E32:AI32, "✓")</f>
        <v/>
      </c>
    </row>
    <row r="33" ht="14.5" customHeight="1">
      <c r="A33" s="118" t="n">
        <v>16</v>
      </c>
      <c r="B33" s="119" t="n"/>
      <c r="C33" s="120" t="n"/>
      <c r="D33" s="120" t="n"/>
      <c r="E33" s="122" t="n"/>
      <c r="F33" s="121" t="n"/>
      <c r="G33" s="121" t="n"/>
      <c r="H33" s="121" t="n"/>
      <c r="I33" s="121" t="n"/>
      <c r="J33" s="121" t="n"/>
      <c r="K33" s="121" t="n"/>
      <c r="L33" s="122" t="n"/>
      <c r="M33" s="121" t="n"/>
      <c r="N33" s="121" t="n"/>
      <c r="O33" s="121" t="n"/>
      <c r="P33" s="121" t="n"/>
      <c r="Q33" s="121" t="n"/>
      <c r="R33" s="121" t="n"/>
      <c r="S33" s="122" t="n"/>
      <c r="T33" s="121" t="n"/>
      <c r="U33" s="121" t="n"/>
      <c r="V33" s="121" t="n"/>
      <c r="W33" s="121" t="n"/>
      <c r="X33" s="121" t="n"/>
      <c r="Y33" s="121" t="n"/>
      <c r="Z33" s="122" t="n"/>
      <c r="AA33" s="121" t="n"/>
      <c r="AB33" s="121" t="n"/>
      <c r="AC33" s="121" t="n"/>
      <c r="AD33" s="121" t="n"/>
      <c r="AE33" s="121" t="n"/>
      <c r="AF33" s="121" t="n"/>
      <c r="AG33" s="122" t="n"/>
      <c r="AH33" s="121" t="n"/>
      <c r="AI33" s="121" t="n"/>
      <c r="AJ33" s="123">
        <f>IF(ISBLANK(B33), "", IF(ISNUMBER(D33), IF(D33&gt;0, (COUNTIF(E33:AI33, "✓") + COUNTIF(E33:AI33, "✔") + COUNTIF(E33:AI33, "v") + COUNTIF(E33:AI33, "V"))/D33, 0), IF(((COUNTIF(E33:AI33, "✓") + COUNTIF(E33:AI33, "✔") + COUNTIF(E33:AI33, "v") + COUNTIF(E33:AI33, "V")) + COUNTIF(E33:AI33, "✗") + COUNTIF(E33:AI33, "x") + COUNTIF(E33:AI33, "X"))&gt;0, (COUNTIF(E33:AI33, "✓") + COUNTIF(E33:AI33, "✔") + COUNTIF(E33:AI33, "v") + COUNTIF(E33:AI33, "V"))/((COUNTIF(E33:AI33, "✓") + COUNTIF(E33:AI33, "✔") + COUNTIF(E33:AI33, "v") + COUNTIF(E33:AI33, "V")) + COUNTIF(E33:AI33, "✗") + COUNTIF(E33:AI33, "x") + COUNTIF(E33:AI33, "X")), "")))</f>
        <v/>
      </c>
      <c r="AK33" s="124">
        <f>IF(ISBLANK(B33), "", IF(ISNUMBER(D33), IF(D33&gt;0, (COUNTIF(E33:AI33, "✓") + COUNTIF(E33:AI33, "✔") + COUNTIF(E33:AI33, "v") + COUNTIF(E33:AI33, "V")) &amp; "/" &amp; D33, (COUNTIF(E33:AI33, "✓") + COUNTIF(E33:AI33, "✔") + COUNTIF(E33:AI33, "v") + COUNTIF(E33:AI33, "V")) &amp; "/0"), IF(((COUNTIF(E33:AI33, "✓") + COUNTIF(E33:AI33, "✔") + COUNTIF(E33:AI33, "v") + COUNTIF(E33:AI33, "V")) + COUNTIF(E33:AI33, "✗") + COUNTIF(E33:AI33, "x") + COUNTIF(E33:AI33, "X"))&gt;0, (COUNTIF(E33:AI33, "✓") + COUNTIF(E33:AI33, "✔") + COUNTIF(E33:AI33, "v") + COUNTIF(E33:AI33, "V")) &amp; "/" &amp; ((COUNTIF(E33:AI33, "✓") + COUNTIF(E33:AI33, "✔") + COUNTIF(E33:AI33, "v") + COUNTIF(E33:AI33, "V")) + COUNTIF(E33:AI33, "✗") + COUNTIF(E33:AI33, "x") + COUNTIF(E33:AI33, "X")), "")))</f>
        <v/>
      </c>
      <c r="AL33" s="124">
        <f>IF(ISBLANK(B33), "", IF(AJ33&gt;=0.85, "🔥 Mastered", IF(AJ33&gt;=0.7, "⚡ Consistent", "⚠️ Needs Focus")))</f>
        <v/>
      </c>
      <c r="AM33">
        <f>COUNTIF(E33:AI33, "✓")</f>
        <v/>
      </c>
    </row>
    <row r="34" ht="14.5" customHeight="1">
      <c r="A34" s="125" t="n">
        <v>17</v>
      </c>
      <c r="B34" s="126" t="n"/>
      <c r="C34" s="127" t="n"/>
      <c r="D34" s="127" t="n"/>
      <c r="E34" s="129" t="n"/>
      <c r="F34" s="128" t="n"/>
      <c r="G34" s="128" t="n"/>
      <c r="H34" s="128" t="n"/>
      <c r="I34" s="128" t="n"/>
      <c r="J34" s="128" t="n"/>
      <c r="K34" s="128" t="n"/>
      <c r="L34" s="129" t="n"/>
      <c r="M34" s="128" t="n"/>
      <c r="N34" s="128" t="n"/>
      <c r="O34" s="128" t="n"/>
      <c r="P34" s="128" t="n"/>
      <c r="Q34" s="128" t="n"/>
      <c r="R34" s="128" t="n"/>
      <c r="S34" s="129" t="n"/>
      <c r="T34" s="128" t="n"/>
      <c r="U34" s="128" t="n"/>
      <c r="V34" s="128" t="n"/>
      <c r="W34" s="128" t="n"/>
      <c r="X34" s="128" t="n"/>
      <c r="Y34" s="128" t="n"/>
      <c r="Z34" s="129" t="n"/>
      <c r="AA34" s="128" t="n"/>
      <c r="AB34" s="128" t="n"/>
      <c r="AC34" s="128" t="n"/>
      <c r="AD34" s="128" t="n"/>
      <c r="AE34" s="128" t="n"/>
      <c r="AF34" s="128" t="n"/>
      <c r="AG34" s="129" t="n"/>
      <c r="AH34" s="128" t="n"/>
      <c r="AI34" s="128" t="n"/>
      <c r="AJ34" s="130">
        <f>IF(ISBLANK(B34), "", IF(ISNUMBER(D34), IF(D34&gt;0, (COUNTIF(E34:AI34, "✓") + COUNTIF(E34:AI34, "✔") + COUNTIF(E34:AI34, "v") + COUNTIF(E34:AI34, "V"))/D34, 0), IF(((COUNTIF(E34:AI34, "✓") + COUNTIF(E34:AI34, "✔") + COUNTIF(E34:AI34, "v") + COUNTIF(E34:AI34, "V")) + COUNTIF(E34:AI34, "✗") + COUNTIF(E34:AI34, "x") + COUNTIF(E34:AI34, "X"))&gt;0, (COUNTIF(E34:AI34, "✓") + COUNTIF(E34:AI34, "✔") + COUNTIF(E34:AI34, "v") + COUNTIF(E34:AI34, "V"))/((COUNTIF(E34:AI34, "✓") + COUNTIF(E34:AI34, "✔") + COUNTIF(E34:AI34, "v") + COUNTIF(E34:AI34, "V")) + COUNTIF(E34:AI34, "✗") + COUNTIF(E34:AI34, "x") + COUNTIF(E34:AI34, "X")), "")))</f>
        <v/>
      </c>
      <c r="AK34" s="131">
        <f>IF(ISBLANK(B34), "", IF(ISNUMBER(D34), IF(D34&gt;0, (COUNTIF(E34:AI34, "✓") + COUNTIF(E34:AI34, "✔") + COUNTIF(E34:AI34, "v") + COUNTIF(E34:AI34, "V")) &amp; "/" &amp; D34, (COUNTIF(E34:AI34, "✓") + COUNTIF(E34:AI34, "✔") + COUNTIF(E34:AI34, "v") + COUNTIF(E34:AI34, "V")) &amp; "/0"), IF(((COUNTIF(E34:AI34, "✓") + COUNTIF(E34:AI34, "✔") + COUNTIF(E34:AI34, "v") + COUNTIF(E34:AI34, "V")) + COUNTIF(E34:AI34, "✗") + COUNTIF(E34:AI34, "x") + COUNTIF(E34:AI34, "X"))&gt;0, (COUNTIF(E34:AI34, "✓") + COUNTIF(E34:AI34, "✔") + COUNTIF(E34:AI34, "v") + COUNTIF(E34:AI34, "V")) &amp; "/" &amp; ((COUNTIF(E34:AI34, "✓") + COUNTIF(E34:AI34, "✔") + COUNTIF(E34:AI34, "v") + COUNTIF(E34:AI34, "V")) + COUNTIF(E34:AI34, "✗") + COUNTIF(E34:AI34, "x") + COUNTIF(E34:AI34, "X")), "")))</f>
        <v/>
      </c>
      <c r="AL34" s="131">
        <f>IF(ISBLANK(B34), "", IF(AJ34&gt;=0.85, "🔥 Mastered", IF(AJ34&gt;=0.7, "⚡ Consistent", "⚠️ Needs Focus")))</f>
        <v/>
      </c>
      <c r="AM34">
        <f>COUNTIF(E34:AI34, "✓")</f>
        <v/>
      </c>
    </row>
    <row r="35" ht="14.5" customHeight="1">
      <c r="A35" s="125" t="n">
        <v>18</v>
      </c>
      <c r="B35" s="126" t="n"/>
      <c r="C35" s="127" t="n"/>
      <c r="D35" s="127" t="n"/>
      <c r="E35" s="129" t="n"/>
      <c r="F35" s="128" t="n"/>
      <c r="G35" s="128" t="n"/>
      <c r="H35" s="128" t="n"/>
      <c r="I35" s="128" t="n"/>
      <c r="J35" s="128" t="n"/>
      <c r="K35" s="128" t="n"/>
      <c r="L35" s="129" t="n"/>
      <c r="M35" s="128" t="n"/>
      <c r="N35" s="128" t="n"/>
      <c r="O35" s="128" t="n"/>
      <c r="P35" s="128" t="n"/>
      <c r="Q35" s="128" t="n"/>
      <c r="R35" s="128" t="n"/>
      <c r="S35" s="129" t="n"/>
      <c r="T35" s="128" t="n"/>
      <c r="U35" s="128" t="n"/>
      <c r="V35" s="128" t="n"/>
      <c r="W35" s="128" t="n"/>
      <c r="X35" s="128" t="n"/>
      <c r="Y35" s="128" t="n"/>
      <c r="Z35" s="129" t="n"/>
      <c r="AA35" s="128" t="n"/>
      <c r="AB35" s="128" t="n"/>
      <c r="AC35" s="128" t="n"/>
      <c r="AD35" s="128" t="n"/>
      <c r="AE35" s="128" t="n"/>
      <c r="AF35" s="128" t="n"/>
      <c r="AG35" s="129" t="n"/>
      <c r="AH35" s="128" t="n"/>
      <c r="AI35" s="128" t="n"/>
      <c r="AJ35" s="130">
        <f>IF(ISBLANK(B35), "", IF(ISNUMBER(D35), IF(D35&gt;0, (COUNTIF(E35:AI35, "✓") + COUNTIF(E35:AI35, "✔") + COUNTIF(E35:AI35, "v") + COUNTIF(E35:AI35, "V"))/D35, 0), IF(((COUNTIF(E35:AI35, "✓") + COUNTIF(E35:AI35, "✔") + COUNTIF(E35:AI35, "v") + COUNTIF(E35:AI35, "V")) + COUNTIF(E35:AI35, "✗") + COUNTIF(E35:AI35, "x") + COUNTIF(E35:AI35, "X"))&gt;0, (COUNTIF(E35:AI35, "✓") + COUNTIF(E35:AI35, "✔") + COUNTIF(E35:AI35, "v") + COUNTIF(E35:AI35, "V"))/((COUNTIF(E35:AI35, "✓") + COUNTIF(E35:AI35, "✔") + COUNTIF(E35:AI35, "v") + COUNTIF(E35:AI35, "V")) + COUNTIF(E35:AI35, "✗") + COUNTIF(E35:AI35, "x") + COUNTIF(E35:AI35, "X")), "")))</f>
        <v/>
      </c>
      <c r="AK35" s="131">
        <f>IF(ISBLANK(B35), "", IF(ISNUMBER(D35), IF(D35&gt;0, (COUNTIF(E35:AI35, "✓") + COUNTIF(E35:AI35, "✔") + COUNTIF(E35:AI35, "v") + COUNTIF(E35:AI35, "V")) &amp; "/" &amp; D35, (COUNTIF(E35:AI35, "✓") + COUNTIF(E35:AI35, "✔") + COUNTIF(E35:AI35, "v") + COUNTIF(E35:AI35, "V")) &amp; "/0"), IF(((COUNTIF(E35:AI35, "✓") + COUNTIF(E35:AI35, "✔") + COUNTIF(E35:AI35, "v") + COUNTIF(E35:AI35, "V")) + COUNTIF(E35:AI35, "✗") + COUNTIF(E35:AI35, "x") + COUNTIF(E35:AI35, "X"))&gt;0, (COUNTIF(E35:AI35, "✓") + COUNTIF(E35:AI35, "✔") + COUNTIF(E35:AI35, "v") + COUNTIF(E35:AI35, "V")) &amp; "/" &amp; ((COUNTIF(E35:AI35, "✓") + COUNTIF(E35:AI35, "✔") + COUNTIF(E35:AI35, "v") + COUNTIF(E35:AI35, "V")) + COUNTIF(E35:AI35, "✗") + COUNTIF(E35:AI35, "x") + COUNTIF(E35:AI35, "X")), "")))</f>
        <v/>
      </c>
      <c r="AL35" s="131">
        <f>IF(ISBLANK(B35), "", IF(AJ35&gt;=0.85, "🔥 Mastered", IF(AJ35&gt;=0.7, "⚡ Consistent", "⚠️ Needs Focus")))</f>
        <v/>
      </c>
      <c r="AM35">
        <f>COUNTIF(E35:AI35, "✓")</f>
        <v/>
      </c>
    </row>
    <row r="36" ht="14.5" customHeight="1">
      <c r="A36" s="125" t="n">
        <v>19</v>
      </c>
      <c r="B36" s="126" t="n"/>
      <c r="C36" s="127" t="n"/>
      <c r="D36" s="127" t="n"/>
      <c r="E36" s="129" t="n"/>
      <c r="F36" s="128" t="n"/>
      <c r="G36" s="128" t="n"/>
      <c r="H36" s="128" t="n"/>
      <c r="I36" s="128" t="n"/>
      <c r="J36" s="128" t="n"/>
      <c r="K36" s="128" t="n"/>
      <c r="L36" s="129" t="n"/>
      <c r="M36" s="128" t="n"/>
      <c r="N36" s="128" t="n"/>
      <c r="O36" s="128" t="n"/>
      <c r="P36" s="128" t="n"/>
      <c r="Q36" s="128" t="n"/>
      <c r="R36" s="128" t="n"/>
      <c r="S36" s="129" t="n"/>
      <c r="T36" s="128" t="n"/>
      <c r="U36" s="128" t="n"/>
      <c r="V36" s="128" t="n"/>
      <c r="W36" s="128" t="n"/>
      <c r="X36" s="128" t="n"/>
      <c r="Y36" s="128" t="n"/>
      <c r="Z36" s="129" t="n"/>
      <c r="AA36" s="128" t="n"/>
      <c r="AB36" s="128" t="n"/>
      <c r="AC36" s="128" t="n"/>
      <c r="AD36" s="128" t="n"/>
      <c r="AE36" s="128" t="n"/>
      <c r="AF36" s="128" t="n"/>
      <c r="AG36" s="129" t="n"/>
      <c r="AH36" s="128" t="n"/>
      <c r="AI36" s="128" t="n"/>
      <c r="AJ36" s="130">
        <f>IF(ISBLANK(B36), "", IF(ISNUMBER(D36), IF(D36&gt;0, (COUNTIF(E36:AI36, "✓") + COUNTIF(E36:AI36, "✔") + COUNTIF(E36:AI36, "v") + COUNTIF(E36:AI36, "V"))/D36, 0), IF(((COUNTIF(E36:AI36, "✓") + COUNTIF(E36:AI36, "✔") + COUNTIF(E36:AI36, "v") + COUNTIF(E36:AI36, "V")) + COUNTIF(E36:AI36, "✗") + COUNTIF(E36:AI36, "x") + COUNTIF(E36:AI36, "X"))&gt;0, (COUNTIF(E36:AI36, "✓") + COUNTIF(E36:AI36, "✔") + COUNTIF(E36:AI36, "v") + COUNTIF(E36:AI36, "V"))/((COUNTIF(E36:AI36, "✓") + COUNTIF(E36:AI36, "✔") + COUNTIF(E36:AI36, "v") + COUNTIF(E36:AI36, "V")) + COUNTIF(E36:AI36, "✗") + COUNTIF(E36:AI36, "x") + COUNTIF(E36:AI36, "X")), "")))</f>
        <v/>
      </c>
      <c r="AK36" s="131">
        <f>IF(ISBLANK(B36), "", IF(ISNUMBER(D36), IF(D36&gt;0, (COUNTIF(E36:AI36, "✓") + COUNTIF(E36:AI36, "✔") + COUNTIF(E36:AI36, "v") + COUNTIF(E36:AI36, "V")) &amp; "/" &amp; D36, (COUNTIF(E36:AI36, "✓") + COUNTIF(E36:AI36, "✔") + COUNTIF(E36:AI36, "v") + COUNTIF(E36:AI36, "V")) &amp; "/0"), IF(((COUNTIF(E36:AI36, "✓") + COUNTIF(E36:AI36, "✔") + COUNTIF(E36:AI36, "v") + COUNTIF(E36:AI36, "V")) + COUNTIF(E36:AI36, "✗") + COUNTIF(E36:AI36, "x") + COUNTIF(E36:AI36, "X"))&gt;0, (COUNTIF(E36:AI36, "✓") + COUNTIF(E36:AI36, "✔") + COUNTIF(E36:AI36, "v") + COUNTIF(E36:AI36, "V")) &amp; "/" &amp; ((COUNTIF(E36:AI36, "✓") + COUNTIF(E36:AI36, "✔") + COUNTIF(E36:AI36, "v") + COUNTIF(E36:AI36, "V")) + COUNTIF(E36:AI36, "✗") + COUNTIF(E36:AI36, "x") + COUNTIF(E36:AI36, "X")), "")))</f>
        <v/>
      </c>
      <c r="AL36" s="131">
        <f>IF(ISBLANK(B36), "", IF(AJ36&gt;=0.85, "🔥 Mastered", IF(AJ36&gt;=0.7, "⚡ Consistent", "⚠️ Needs Focus")))</f>
        <v/>
      </c>
      <c r="AM36">
        <f>COUNTIF(E36:AI36, "✓")</f>
        <v/>
      </c>
    </row>
    <row r="37" ht="14.5" customHeight="1">
      <c r="A37" s="125" t="n">
        <v>20</v>
      </c>
      <c r="B37" s="126" t="n"/>
      <c r="C37" s="127" t="n"/>
      <c r="D37" s="127" t="n"/>
      <c r="E37" s="129" t="n"/>
      <c r="F37" s="128" t="n"/>
      <c r="G37" s="128" t="n"/>
      <c r="H37" s="128" t="n"/>
      <c r="I37" s="128" t="n"/>
      <c r="J37" s="128" t="n"/>
      <c r="K37" s="128" t="n"/>
      <c r="L37" s="129" t="n"/>
      <c r="M37" s="128" t="n"/>
      <c r="N37" s="128" t="n"/>
      <c r="O37" s="128" t="n"/>
      <c r="P37" s="128" t="n"/>
      <c r="Q37" s="128" t="n"/>
      <c r="R37" s="128" t="n"/>
      <c r="S37" s="129" t="n"/>
      <c r="T37" s="128" t="n"/>
      <c r="U37" s="128" t="n"/>
      <c r="V37" s="128" t="n"/>
      <c r="W37" s="128" t="n"/>
      <c r="X37" s="128" t="n"/>
      <c r="Y37" s="128" t="n"/>
      <c r="Z37" s="129" t="n"/>
      <c r="AA37" s="128" t="n"/>
      <c r="AB37" s="128" t="n"/>
      <c r="AC37" s="128" t="n"/>
      <c r="AD37" s="128" t="n"/>
      <c r="AE37" s="128" t="n"/>
      <c r="AF37" s="128" t="n"/>
      <c r="AG37" s="129" t="n"/>
      <c r="AH37" s="128" t="n"/>
      <c r="AI37" s="128" t="n"/>
      <c r="AJ37" s="130">
        <f>IF(ISBLANK(B37), "", IF(ISNUMBER(D37), IF(D37&gt;0, (COUNTIF(E37:AI37, "✓") + COUNTIF(E37:AI37, "✔") + COUNTIF(E37:AI37, "v") + COUNTIF(E37:AI37, "V"))/D37, 0), IF(((COUNTIF(E37:AI37, "✓") + COUNTIF(E37:AI37, "✔") + COUNTIF(E37:AI37, "v") + COUNTIF(E37:AI37, "V")) + COUNTIF(E37:AI37, "✗") + COUNTIF(E37:AI37, "x") + COUNTIF(E37:AI37, "X"))&gt;0, (COUNTIF(E37:AI37, "✓") + COUNTIF(E37:AI37, "✔") + COUNTIF(E37:AI37, "v") + COUNTIF(E37:AI37, "V"))/((COUNTIF(E37:AI37, "✓") + COUNTIF(E37:AI37, "✔") + COUNTIF(E37:AI37, "v") + COUNTIF(E37:AI37, "V")) + COUNTIF(E37:AI37, "✗") + COUNTIF(E37:AI37, "x") + COUNTIF(E37:AI37, "X")), "")))</f>
        <v/>
      </c>
      <c r="AK37" s="131">
        <f>IF(ISBLANK(B37), "", IF(ISNUMBER(D37), IF(D37&gt;0, (COUNTIF(E37:AI37, "✓") + COUNTIF(E37:AI37, "✔") + COUNTIF(E37:AI37, "v") + COUNTIF(E37:AI37, "V")) &amp; "/" &amp; D37, (COUNTIF(E37:AI37, "✓") + COUNTIF(E37:AI37, "✔") + COUNTIF(E37:AI37, "v") + COUNTIF(E37:AI37, "V")) &amp; "/0"), IF(((COUNTIF(E37:AI37, "✓") + COUNTIF(E37:AI37, "✔") + COUNTIF(E37:AI37, "v") + COUNTIF(E37:AI37, "V")) + COUNTIF(E37:AI37, "✗") + COUNTIF(E37:AI37, "x") + COUNTIF(E37:AI37, "X"))&gt;0, (COUNTIF(E37:AI37, "✓") + COUNTIF(E37:AI37, "✔") + COUNTIF(E37:AI37, "v") + COUNTIF(E37:AI37, "V")) &amp; "/" &amp; ((COUNTIF(E37:AI37, "✓") + COUNTIF(E37:AI37, "✔") + COUNTIF(E37:AI37, "v") + COUNTIF(E37:AI37, "V")) + COUNTIF(E37:AI37, "✗") + COUNTIF(E37:AI37, "x") + COUNTIF(E37:AI37, "X")), "")))</f>
        <v/>
      </c>
      <c r="AL37" s="131">
        <f>IF(ISBLANK(B37), "", IF(AJ37&gt;=0.85, "🔥 Mastered", IF(AJ37&gt;=0.7, "⚡ Consistent", "⚠️ Needs Focus")))</f>
        <v/>
      </c>
      <c r="AM37">
        <f>COUNTIF(E37:AI37, "✓")</f>
        <v/>
      </c>
    </row>
    <row r="38" ht="18" customHeight="1">
      <c r="A38" s="132" t="inlineStr">
        <is>
          <t>DAILY TOTAL SCORE</t>
        </is>
      </c>
      <c r="B38" s="54" t="n"/>
      <c r="C38" s="54" t="n"/>
      <c r="D38" s="54" t="n"/>
      <c r="E38" s="33">
        <f>IF(((COUNTIF(E18:E37, "✓") + COUNTIF(E18:E37, "✔") + COUNTIF(E18:E37, "v") + COUNTIF(E18:E37, "V")) + COUNTIF(E18:E37, "✗") + COUNTIF(E18:E37, "x") + COUNTIF(E18:E37, "X")) &gt; 0, (COUNTIF(E18:E37, "✓") + COUNTIF(E18:E37, "✔") + COUNTIF(E18:E37, "v") + COUNTIF(E18:E37, "V")) &amp; "/" &amp; ((COUNTIF(E18:E37, "✓") + COUNTIF(E18:E37, "✔") + COUNTIF(E18:E37, "v") + COUNTIF(E18:E37, "V")) + COUNTIF(E18:E37, "✗") + COUNTIF(E18:E37, "x") + COUNTIF(E18:E37, "X")), "")</f>
        <v/>
      </c>
      <c r="F38" s="33">
        <f>IF(((COUNTIF(F18:F37, "✓") + COUNTIF(F18:F37, "✔") + COUNTIF(F18:F37, "v") + COUNTIF(F18:F37, "V")) + COUNTIF(F18:F37, "✗") + COUNTIF(F18:F37, "x") + COUNTIF(F18:F37, "X")) &gt; 0, (COUNTIF(F18:F37, "✓") + COUNTIF(F18:F37, "✔") + COUNTIF(F18:F37, "v") + COUNTIF(F18:F37, "V")) &amp; "/" &amp; ((COUNTIF(F18:F37, "✓") + COUNTIF(F18:F37, "✔") + COUNTIF(F18:F37, "v") + COUNTIF(F18:F37, "V")) + COUNTIF(F18:F37, "✗") + COUNTIF(F18:F37, "x") + COUNTIF(F18:F37, "X")), "")</f>
        <v/>
      </c>
      <c r="G38" s="33">
        <f>IF(((COUNTIF(G18:G37, "✓") + COUNTIF(G18:G37, "✔") + COUNTIF(G18:G37, "v") + COUNTIF(G18:G37, "V")) + COUNTIF(G18:G37, "✗") + COUNTIF(G18:G37, "x") + COUNTIF(G18:G37, "X")) &gt; 0, (COUNTIF(G18:G37, "✓") + COUNTIF(G18:G37, "✔") + COUNTIF(G18:G37, "v") + COUNTIF(G18:G37, "V")) &amp; "/" &amp; ((COUNTIF(G18:G37, "✓") + COUNTIF(G18:G37, "✔") + COUNTIF(G18:G37, "v") + COUNTIF(G18:G37, "V")) + COUNTIF(G18:G37, "✗") + COUNTIF(G18:G37, "x") + COUNTIF(G18:G37, "X")), "")</f>
        <v/>
      </c>
      <c r="H38" s="33">
        <f>IF(((COUNTIF(H18:H37, "✓") + COUNTIF(H18:H37, "✔") + COUNTIF(H18:H37, "v") + COUNTIF(H18:H37, "V")) + COUNTIF(H18:H37, "✗") + COUNTIF(H18:H37, "x") + COUNTIF(H18:H37, "X")) &gt; 0, (COUNTIF(H18:H37, "✓") + COUNTIF(H18:H37, "✔") + COUNTIF(H18:H37, "v") + COUNTIF(H18:H37, "V")) &amp; "/" &amp; ((COUNTIF(H18:H37, "✓") + COUNTIF(H18:H37, "✔") + COUNTIF(H18:H37, "v") + COUNTIF(H18:H37, "V")) + COUNTIF(H18:H37, "✗") + COUNTIF(H18:H37, "x") + COUNTIF(H18:H37, "X")), "")</f>
        <v/>
      </c>
      <c r="I38" s="33">
        <f>IF(((COUNTIF(I18:I37, "✓") + COUNTIF(I18:I37, "✔") + COUNTIF(I18:I37, "v") + COUNTIF(I18:I37, "V")) + COUNTIF(I18:I37, "✗") + COUNTIF(I18:I37, "x") + COUNTIF(I18:I37, "X")) &gt; 0, (COUNTIF(I18:I37, "✓") + COUNTIF(I18:I37, "✔") + COUNTIF(I18:I37, "v") + COUNTIF(I18:I37, "V")) &amp; "/" &amp; ((COUNTIF(I18:I37, "✓") + COUNTIF(I18:I37, "✔") + COUNTIF(I18:I37, "v") + COUNTIF(I18:I37, "V")) + COUNTIF(I18:I37, "✗") + COUNTIF(I18:I37, "x") + COUNTIF(I18:I37, "X")), "")</f>
        <v/>
      </c>
      <c r="J38" s="33">
        <f>IF(((COUNTIF(J18:J37, "✓") + COUNTIF(J18:J37, "✔") + COUNTIF(J18:J37, "v") + COUNTIF(J18:J37, "V")) + COUNTIF(J18:J37, "✗") + COUNTIF(J18:J37, "x") + COUNTIF(J18:J37, "X")) &gt; 0, (COUNTIF(J18:J37, "✓") + COUNTIF(J18:J37, "✔") + COUNTIF(J18:J37, "v") + COUNTIF(J18:J37, "V")) &amp; "/" &amp; ((COUNTIF(J18:J37, "✓") + COUNTIF(J18:J37, "✔") + COUNTIF(J18:J37, "v") + COUNTIF(J18:J37, "V")) + COUNTIF(J18:J37, "✗") + COUNTIF(J18:J37, "x") + COUNTIF(J18:J37, "X")), "")</f>
        <v/>
      </c>
      <c r="K38" s="33">
        <f>IF(((COUNTIF(K18:K37, "✓") + COUNTIF(K18:K37, "✔") + COUNTIF(K18:K37, "v") + COUNTIF(K18:K37, "V")) + COUNTIF(K18:K37, "✗") + COUNTIF(K18:K37, "x") + COUNTIF(K18:K37, "X")) &gt; 0, (COUNTIF(K18:K37, "✓") + COUNTIF(K18:K37, "✔") + COUNTIF(K18:K37, "v") + COUNTIF(K18:K37, "V")) &amp; "/" &amp; ((COUNTIF(K18:K37, "✓") + COUNTIF(K18:K37, "✔") + COUNTIF(K18:K37, "v") + COUNTIF(K18:K37, "V")) + COUNTIF(K18:K37, "✗") + COUNTIF(K18:K37, "x") + COUNTIF(K18:K37, "X")), "")</f>
        <v/>
      </c>
      <c r="L38" s="33">
        <f>IF(((COUNTIF(L18:L37, "✓") + COUNTIF(L18:L37, "✔") + COUNTIF(L18:L37, "v") + COUNTIF(L18:L37, "V")) + COUNTIF(L18:L37, "✗") + COUNTIF(L18:L37, "x") + COUNTIF(L18:L37, "X")) &gt; 0, (COUNTIF(L18:L37, "✓") + COUNTIF(L18:L37, "✔") + COUNTIF(L18:L37, "v") + COUNTIF(L18:L37, "V")) &amp; "/" &amp; ((COUNTIF(L18:L37, "✓") + COUNTIF(L18:L37, "✔") + COUNTIF(L18:L37, "v") + COUNTIF(L18:L37, "V")) + COUNTIF(L18:L37, "✗") + COUNTIF(L18:L37, "x") + COUNTIF(L18:L37, "X")), "")</f>
        <v/>
      </c>
      <c r="M38" s="33">
        <f>IF(((COUNTIF(M18:M37, "✓") + COUNTIF(M18:M37, "✔") + COUNTIF(M18:M37, "v") + COUNTIF(M18:M37, "V")) + COUNTIF(M18:M37, "✗") + COUNTIF(M18:M37, "x") + COUNTIF(M18:M37, "X")) &gt; 0, (COUNTIF(M18:M37, "✓") + COUNTIF(M18:M37, "✔") + COUNTIF(M18:M37, "v") + COUNTIF(M18:M37, "V")) &amp; "/" &amp; ((COUNTIF(M18:M37, "✓") + COUNTIF(M18:M37, "✔") + COUNTIF(M18:M37, "v") + COUNTIF(M18:M37, "V")) + COUNTIF(M18:M37, "✗") + COUNTIF(M18:M37, "x") + COUNTIF(M18:M37, "X")), "")</f>
        <v/>
      </c>
      <c r="N38" s="33">
        <f>IF(((COUNTIF(N18:N37, "✓") + COUNTIF(N18:N37, "✔") + COUNTIF(N18:N37, "v") + COUNTIF(N18:N37, "V")) + COUNTIF(N18:N37, "✗") + COUNTIF(N18:N37, "x") + COUNTIF(N18:N37, "X")) &gt; 0, (COUNTIF(N18:N37, "✓") + COUNTIF(N18:N37, "✔") + COUNTIF(N18:N37, "v") + COUNTIF(N18:N37, "V")) &amp; "/" &amp; ((COUNTIF(N18:N37, "✓") + COUNTIF(N18:N37, "✔") + COUNTIF(N18:N37, "v") + COUNTIF(N18:N37, "V")) + COUNTIF(N18:N37, "✗") + COUNTIF(N18:N37, "x") + COUNTIF(N18:N37, "X")), "")</f>
        <v/>
      </c>
      <c r="O38" s="33">
        <f>IF(((COUNTIF(O18:O37, "✓") + COUNTIF(O18:O37, "✔") + COUNTIF(O18:O37, "v") + COUNTIF(O18:O37, "V")) + COUNTIF(O18:O37, "✗") + COUNTIF(O18:O37, "x") + COUNTIF(O18:O37, "X")) &gt; 0, (COUNTIF(O18:O37, "✓") + COUNTIF(O18:O37, "✔") + COUNTIF(O18:O37, "v") + COUNTIF(O18:O37, "V")) &amp; "/" &amp; ((COUNTIF(O18:O37, "✓") + COUNTIF(O18:O37, "✔") + COUNTIF(O18:O37, "v") + COUNTIF(O18:O37, "V")) + COUNTIF(O18:O37, "✗") + COUNTIF(O18:O37, "x") + COUNTIF(O18:O37, "X")), "")</f>
        <v/>
      </c>
      <c r="P38" s="33">
        <f>IF(((COUNTIF(P18:P37, "✓") + COUNTIF(P18:P37, "✔") + COUNTIF(P18:P37, "v") + COUNTIF(P18:P37, "V")) + COUNTIF(P18:P37, "✗") + COUNTIF(P18:P37, "x") + COUNTIF(P18:P37, "X")) &gt; 0, (COUNTIF(P18:P37, "✓") + COUNTIF(P18:P37, "✔") + COUNTIF(P18:P37, "v") + COUNTIF(P18:P37, "V")) &amp; "/" &amp; ((COUNTIF(P18:P37, "✓") + COUNTIF(P18:P37, "✔") + COUNTIF(P18:P37, "v") + COUNTIF(P18:P37, "V")) + COUNTIF(P18:P37, "✗") + COUNTIF(P18:P37, "x") + COUNTIF(P18:P37, "X")), "")</f>
        <v/>
      </c>
      <c r="Q38" s="33">
        <f>IF(((COUNTIF(Q18:Q37, "✓") + COUNTIF(Q18:Q37, "✔") + COUNTIF(Q18:Q37, "v") + COUNTIF(Q18:Q37, "V")) + COUNTIF(Q18:Q37, "✗") + COUNTIF(Q18:Q37, "x") + COUNTIF(Q18:Q37, "X")) &gt; 0, (COUNTIF(Q18:Q37, "✓") + COUNTIF(Q18:Q37, "✔") + COUNTIF(Q18:Q37, "v") + COUNTIF(Q18:Q37, "V")) &amp; "/" &amp; ((COUNTIF(Q18:Q37, "✓") + COUNTIF(Q18:Q37, "✔") + COUNTIF(Q18:Q37, "v") + COUNTIF(Q18:Q37, "V")) + COUNTIF(Q18:Q37, "✗") + COUNTIF(Q18:Q37, "x") + COUNTIF(Q18:Q37, "X")), "")</f>
        <v/>
      </c>
      <c r="R38" s="33">
        <f>IF(((COUNTIF(R18:R37, "✓") + COUNTIF(R18:R37, "✔") + COUNTIF(R18:R37, "v") + COUNTIF(R18:R37, "V")) + COUNTIF(R18:R37, "✗") + COUNTIF(R18:R37, "x") + COUNTIF(R18:R37, "X")) &gt; 0, (COUNTIF(R18:R37, "✓") + COUNTIF(R18:R37, "✔") + COUNTIF(R18:R37, "v") + COUNTIF(R18:R37, "V")) &amp; "/" &amp; ((COUNTIF(R18:R37, "✓") + COUNTIF(R18:R37, "✔") + COUNTIF(R18:R37, "v") + COUNTIF(R18:R37, "V")) + COUNTIF(R18:R37, "✗") + COUNTIF(R18:R37, "x") + COUNTIF(R18:R37, "X")), "")</f>
        <v/>
      </c>
      <c r="S38" s="33">
        <f>IF(((COUNTIF(S18:S37, "✓") + COUNTIF(S18:S37, "✔") + COUNTIF(S18:S37, "v") + COUNTIF(S18:S37, "V")) + COUNTIF(S18:S37, "✗") + COUNTIF(S18:S37, "x") + COUNTIF(S18:S37, "X")) &gt; 0, (COUNTIF(S18:S37, "✓") + COUNTIF(S18:S37, "✔") + COUNTIF(S18:S37, "v") + COUNTIF(S18:S37, "V")) &amp; "/" &amp; ((COUNTIF(S18:S37, "✓") + COUNTIF(S18:S37, "✔") + COUNTIF(S18:S37, "v") + COUNTIF(S18:S37, "V")) + COUNTIF(S18:S37, "✗") + COUNTIF(S18:S37, "x") + COUNTIF(S18:S37, "X")), "")</f>
        <v/>
      </c>
      <c r="T38" s="33">
        <f>IF(((COUNTIF(T18:T37, "✓") + COUNTIF(T18:T37, "✔") + COUNTIF(T18:T37, "v") + COUNTIF(T18:T37, "V")) + COUNTIF(T18:T37, "✗") + COUNTIF(T18:T37, "x") + COUNTIF(T18:T37, "X")) &gt; 0, (COUNTIF(T18:T37, "✓") + COUNTIF(T18:T37, "✔") + COUNTIF(T18:T37, "v") + COUNTIF(T18:T37, "V")) &amp; "/" &amp; ((COUNTIF(T18:T37, "✓") + COUNTIF(T18:T37, "✔") + COUNTIF(T18:T37, "v") + COUNTIF(T18:T37, "V")) + COUNTIF(T18:T37, "✗") + COUNTIF(T18:T37, "x") + COUNTIF(T18:T37, "X")), "")</f>
        <v/>
      </c>
      <c r="U38" s="33">
        <f>IF(((COUNTIF(U18:U37, "✓") + COUNTIF(U18:U37, "✔") + COUNTIF(U18:U37, "v") + COUNTIF(U18:U37, "V")) + COUNTIF(U18:U37, "✗") + COUNTIF(U18:U37, "x") + COUNTIF(U18:U37, "X")) &gt; 0, (COUNTIF(U18:U37, "✓") + COUNTIF(U18:U37, "✔") + COUNTIF(U18:U37, "v") + COUNTIF(U18:U37, "V")) &amp; "/" &amp; ((COUNTIF(U18:U37, "✓") + COUNTIF(U18:U37, "✔") + COUNTIF(U18:U37, "v") + COUNTIF(U18:U37, "V")) + COUNTIF(U18:U37, "✗") + COUNTIF(U18:U37, "x") + COUNTIF(U18:U37, "X")), "")</f>
        <v/>
      </c>
      <c r="V38" s="33">
        <f>IF(((COUNTIF(V18:V37, "✓") + COUNTIF(V18:V37, "✔") + COUNTIF(V18:V37, "v") + COUNTIF(V18:V37, "V")) + COUNTIF(V18:V37, "✗") + COUNTIF(V18:V37, "x") + COUNTIF(V18:V37, "X")) &gt; 0, (COUNTIF(V18:V37, "✓") + COUNTIF(V18:V37, "✔") + COUNTIF(V18:V37, "v") + COUNTIF(V18:V37, "V")) &amp; "/" &amp; ((COUNTIF(V18:V37, "✓") + COUNTIF(V18:V37, "✔") + COUNTIF(V18:V37, "v") + COUNTIF(V18:V37, "V")) + COUNTIF(V18:V37, "✗") + COUNTIF(V18:V37, "x") + COUNTIF(V18:V37, "X")), "")</f>
        <v/>
      </c>
      <c r="W38" s="33">
        <f>IF(((COUNTIF(W18:W37, "✓") + COUNTIF(W18:W37, "✔") + COUNTIF(W18:W37, "v") + COUNTIF(W18:W37, "V")) + COUNTIF(W18:W37, "✗") + COUNTIF(W18:W37, "x") + COUNTIF(W18:W37, "X")) &gt; 0, (COUNTIF(W18:W37, "✓") + COUNTIF(W18:W37, "✔") + COUNTIF(W18:W37, "v") + COUNTIF(W18:W37, "V")) &amp; "/" &amp; ((COUNTIF(W18:W37, "✓") + COUNTIF(W18:W37, "✔") + COUNTIF(W18:W37, "v") + COUNTIF(W18:W37, "V")) + COUNTIF(W18:W37, "✗") + COUNTIF(W18:W37, "x") + COUNTIF(W18:W37, "X")), "")</f>
        <v/>
      </c>
      <c r="X38" s="33">
        <f>IF(((COUNTIF(X18:X37, "✓") + COUNTIF(X18:X37, "✔") + COUNTIF(X18:X37, "v") + COUNTIF(X18:X37, "V")) + COUNTIF(X18:X37, "✗") + COUNTIF(X18:X37, "x") + COUNTIF(X18:X37, "X")) &gt; 0, (COUNTIF(X18:X37, "✓") + COUNTIF(X18:X37, "✔") + COUNTIF(X18:X37, "v") + COUNTIF(X18:X37, "V")) &amp; "/" &amp; ((COUNTIF(X18:X37, "✓") + COUNTIF(X18:X37, "✔") + COUNTIF(X18:X37, "v") + COUNTIF(X18:X37, "V")) + COUNTIF(X18:X37, "✗") + COUNTIF(X18:X37, "x") + COUNTIF(X18:X37, "X")), "")</f>
        <v/>
      </c>
      <c r="Y38" s="33">
        <f>IF(((COUNTIF(Y18:Y37, "✓") + COUNTIF(Y18:Y37, "✔") + COUNTIF(Y18:Y37, "v") + COUNTIF(Y18:Y37, "V")) + COUNTIF(Y18:Y37, "✗") + COUNTIF(Y18:Y37, "x") + COUNTIF(Y18:Y37, "X")) &gt; 0, (COUNTIF(Y18:Y37, "✓") + COUNTIF(Y18:Y37, "✔") + COUNTIF(Y18:Y37, "v") + COUNTIF(Y18:Y37, "V")) &amp; "/" &amp; ((COUNTIF(Y18:Y37, "✓") + COUNTIF(Y18:Y37, "✔") + COUNTIF(Y18:Y37, "v") + COUNTIF(Y18:Y37, "V")) + COUNTIF(Y18:Y37, "✗") + COUNTIF(Y18:Y37, "x") + COUNTIF(Y18:Y37, "X")), "")</f>
        <v/>
      </c>
      <c r="Z38" s="33">
        <f>IF(((COUNTIF(Z18:Z37, "✓") + COUNTIF(Z18:Z37, "✔") + COUNTIF(Z18:Z37, "v") + COUNTIF(Z18:Z37, "V")) + COUNTIF(Z18:Z37, "✗") + COUNTIF(Z18:Z37, "x") + COUNTIF(Z18:Z37, "X")) &gt; 0, (COUNTIF(Z18:Z37, "✓") + COUNTIF(Z18:Z37, "✔") + COUNTIF(Z18:Z37, "v") + COUNTIF(Z18:Z37, "V")) &amp; "/" &amp; ((COUNTIF(Z18:Z37, "✓") + COUNTIF(Z18:Z37, "✔") + COUNTIF(Z18:Z37, "v") + COUNTIF(Z18:Z37, "V")) + COUNTIF(Z18:Z37, "✗") + COUNTIF(Z18:Z37, "x") + COUNTIF(Z18:Z37, "X")), "")</f>
        <v/>
      </c>
      <c r="AA38" s="33">
        <f>IF(((COUNTIF(AA18:AA37, "✓") + COUNTIF(AA18:AA37, "✔") + COUNTIF(AA18:AA37, "v") + COUNTIF(AA18:AA37, "V")) + COUNTIF(AA18:AA37, "✗") + COUNTIF(AA18:AA37, "x") + COUNTIF(AA18:AA37, "X")) &gt; 0, (COUNTIF(AA18:AA37, "✓") + COUNTIF(AA18:AA37, "✔") + COUNTIF(AA18:AA37, "v") + COUNTIF(AA18:AA37, "V")) &amp; "/" &amp; ((COUNTIF(AA18:AA37, "✓") + COUNTIF(AA18:AA37, "✔") + COUNTIF(AA18:AA37, "v") + COUNTIF(AA18:AA37, "V")) + COUNTIF(AA18:AA37, "✗") + COUNTIF(AA18:AA37, "x") + COUNTIF(AA18:AA37, "X")), "")</f>
        <v/>
      </c>
      <c r="AB38" s="33">
        <f>IF(((COUNTIF(AB18:AB37, "✓") + COUNTIF(AB18:AB37, "✔") + COUNTIF(AB18:AB37, "v") + COUNTIF(AB18:AB37, "V")) + COUNTIF(AB18:AB37, "✗") + COUNTIF(AB18:AB37, "x") + COUNTIF(AB18:AB37, "X")) &gt; 0, (COUNTIF(AB18:AB37, "✓") + COUNTIF(AB18:AB37, "✔") + COUNTIF(AB18:AB37, "v") + COUNTIF(AB18:AB37, "V")) &amp; "/" &amp; ((COUNTIF(AB18:AB37, "✓") + COUNTIF(AB18:AB37, "✔") + COUNTIF(AB18:AB37, "v") + COUNTIF(AB18:AB37, "V")) + COUNTIF(AB18:AB37, "✗") + COUNTIF(AB18:AB37, "x") + COUNTIF(AB18:AB37, "X")), "")</f>
        <v/>
      </c>
      <c r="AC38" s="33">
        <f>IF(((COUNTIF(AC18:AC37, "✓") + COUNTIF(AC18:AC37, "✔") + COUNTIF(AC18:AC37, "v") + COUNTIF(AC18:AC37, "V")) + COUNTIF(AC18:AC37, "✗") + COUNTIF(AC18:AC37, "x") + COUNTIF(AC18:AC37, "X")) &gt; 0, (COUNTIF(AC18:AC37, "✓") + COUNTIF(AC18:AC37, "✔") + COUNTIF(AC18:AC37, "v") + COUNTIF(AC18:AC37, "V")) &amp; "/" &amp; ((COUNTIF(AC18:AC37, "✓") + COUNTIF(AC18:AC37, "✔") + COUNTIF(AC18:AC37, "v") + COUNTIF(AC18:AC37, "V")) + COUNTIF(AC18:AC37, "✗") + COUNTIF(AC18:AC37, "x") + COUNTIF(AC18:AC37, "X")), "")</f>
        <v/>
      </c>
      <c r="AD38" s="33">
        <f>IF(((COUNTIF(AD18:AD37, "✓") + COUNTIF(AD18:AD37, "✔") + COUNTIF(AD18:AD37, "v") + COUNTIF(AD18:AD37, "V")) + COUNTIF(AD18:AD37, "✗") + COUNTIF(AD18:AD37, "x") + COUNTIF(AD18:AD37, "X")) &gt; 0, (COUNTIF(AD18:AD37, "✓") + COUNTIF(AD18:AD37, "✔") + COUNTIF(AD18:AD37, "v") + COUNTIF(AD18:AD37, "V")) &amp; "/" &amp; ((COUNTIF(AD18:AD37, "✓") + COUNTIF(AD18:AD37, "✔") + COUNTIF(AD18:AD37, "v") + COUNTIF(AD18:AD37, "V")) + COUNTIF(AD18:AD37, "✗") + COUNTIF(AD18:AD37, "x") + COUNTIF(AD18:AD37, "X")), "")</f>
        <v/>
      </c>
      <c r="AE38" s="33">
        <f>IF(((COUNTIF(AE18:AE37, "✓") + COUNTIF(AE18:AE37, "✔") + COUNTIF(AE18:AE37, "v") + COUNTIF(AE18:AE37, "V")) + COUNTIF(AE18:AE37, "✗") + COUNTIF(AE18:AE37, "x") + COUNTIF(AE18:AE37, "X")) &gt; 0, (COUNTIF(AE18:AE37, "✓") + COUNTIF(AE18:AE37, "✔") + COUNTIF(AE18:AE37, "v") + COUNTIF(AE18:AE37, "V")) &amp; "/" &amp; ((COUNTIF(AE18:AE37, "✓") + COUNTIF(AE18:AE37, "✔") + COUNTIF(AE18:AE37, "v") + COUNTIF(AE18:AE37, "V")) + COUNTIF(AE18:AE37, "✗") + COUNTIF(AE18:AE37, "x") + COUNTIF(AE18:AE37, "X")), "")</f>
        <v/>
      </c>
      <c r="AF38" s="33">
        <f>IF(((COUNTIF(AF18:AF37, "✓") + COUNTIF(AF18:AF37, "✔") + COUNTIF(AF18:AF37, "v") + COUNTIF(AF18:AF37, "V")) + COUNTIF(AF18:AF37, "✗") + COUNTIF(AF18:AF37, "x") + COUNTIF(AF18:AF37, "X")) &gt; 0, (COUNTIF(AF18:AF37, "✓") + COUNTIF(AF18:AF37, "✔") + COUNTIF(AF18:AF37, "v") + COUNTIF(AF18:AF37, "V")) &amp; "/" &amp; ((COUNTIF(AF18:AF37, "✓") + COUNTIF(AF18:AF37, "✔") + COUNTIF(AF18:AF37, "v") + COUNTIF(AF18:AF37, "V")) + COUNTIF(AF18:AF37, "✗") + COUNTIF(AF18:AF37, "x") + COUNTIF(AF18:AF37, "X")), "")</f>
        <v/>
      </c>
      <c r="AG38" s="33">
        <f>IF(((COUNTIF(AG18:AG37, "✓") + COUNTIF(AG18:AG37, "✔") + COUNTIF(AG18:AG37, "v") + COUNTIF(AG18:AG37, "V")) + COUNTIF(AG18:AG37, "✗") + COUNTIF(AG18:AG37, "x") + COUNTIF(AG18:AG37, "X")) &gt; 0, (COUNTIF(AG18:AG37, "✓") + COUNTIF(AG18:AG37, "✔") + COUNTIF(AG18:AG37, "v") + COUNTIF(AG18:AG37, "V")) &amp; "/" &amp; ((COUNTIF(AG18:AG37, "✓") + COUNTIF(AG18:AG37, "✔") + COUNTIF(AG18:AG37, "v") + COUNTIF(AG18:AG37, "V")) + COUNTIF(AG18:AG37, "✗") + COUNTIF(AG18:AG37, "x") + COUNTIF(AG18:AG37, "X")), "")</f>
        <v/>
      </c>
      <c r="AH38" s="33">
        <f>IF(((COUNTIF(AH18:AH37, "✓") + COUNTIF(AH18:AH37, "✔") + COUNTIF(AH18:AH37, "v") + COUNTIF(AH18:AH37, "V")) + COUNTIF(AH18:AH37, "✗") + COUNTIF(AH18:AH37, "x") + COUNTIF(AH18:AH37, "X")) &gt; 0, (COUNTIF(AH18:AH37, "✓") + COUNTIF(AH18:AH37, "✔") + COUNTIF(AH18:AH37, "v") + COUNTIF(AH18:AH37, "V")) &amp; "/" &amp; ((COUNTIF(AH18:AH37, "✓") + COUNTIF(AH18:AH37, "✔") + COUNTIF(AH18:AH37, "v") + COUNTIF(AH18:AH37, "V")) + COUNTIF(AH18:AH37, "✗") + COUNTIF(AH18:AH37, "x") + COUNTIF(AH18:AH37, "X")), "")</f>
        <v/>
      </c>
      <c r="AI38" s="33">
        <f>IF(((COUNTIF(AI18:AI37, "✓") + COUNTIF(AI18:AI37, "✔") + COUNTIF(AI18:AI37, "v") + COUNTIF(AI18:AI37, "V")) + COUNTIF(AI18:AI37, "✗") + COUNTIF(AI18:AI37, "x") + COUNTIF(AI18:AI37, "X")) &gt; 0, (COUNTIF(AI18:AI37, "✓") + COUNTIF(AI18:AI37, "✔") + COUNTIF(AI18:AI37, "v") + COUNTIF(AI18:AI37, "V")) &amp; "/" &amp; ((COUNTIF(AI18:AI37, "✓") + COUNTIF(AI18:AI37, "✔") + COUNTIF(AI18:AI37, "v") + COUNTIF(AI18:AI37, "V")) + COUNTIF(AI18:AI37, "✗") + COUNTIF(AI18:AI37, "x") + COUNTIF(AI18:AI37, "X")), "")</f>
        <v/>
      </c>
      <c r="AJ38" s="133">
        <f>IF(SUM(D18:D37) &gt; 0, SUM(AM18:AM37) / SUM(D18:D37), "")</f>
        <v/>
      </c>
      <c r="AK38" s="33">
        <f>IF(SUM(D18:D37) &gt; 0, SUM(AM18:AM37) &amp; "/" &amp; SUM(D18:D37), "")</f>
        <v/>
      </c>
      <c r="AL38" s="54" t="n"/>
    </row>
    <row r="39" ht="18" customHeight="1">
      <c r="A39" s="132" t="inlineStr">
        <is>
          <t>DAILY SUCCESS %</t>
        </is>
      </c>
      <c r="B39" s="54" t="n"/>
      <c r="C39" s="54" t="n"/>
      <c r="D39" s="54" t="n"/>
      <c r="E39" s="134">
        <f>IF(((COUNTIF(E18:E37, "✓") + COUNTIF(E18:E37, "✔") + COUNTIF(E18:E37, "v") + COUNTIF(E18:E37, "V")) + COUNTIF(E18:E37, "✗") + COUNTIF(E18:E37, "x") + COUNTIF(E18:E37, "X")) &gt; 0, (COUNTIF(E18:E37, "✓") + COUNTIF(E18:E37, "✔") + COUNTIF(E18:E37, "v") + COUNTIF(E18:E37, "V")) / ((COUNTIF(E18:E37, "✓") + COUNTIF(E18:E37, "✔") + COUNTIF(E18:E37, "v") + COUNTIF(E18:E37, "V")) + COUNTIF(E18:E37, "✗") + COUNTIF(E18:E37, "x") + COUNTIF(E18:E37, "X")), "")</f>
        <v/>
      </c>
      <c r="F39" s="134">
        <f>IF(((COUNTIF(F18:F37, "✓") + COUNTIF(F18:F37, "✔") + COUNTIF(F18:F37, "v") + COUNTIF(F18:F37, "V")) + COUNTIF(F18:F37, "✗") + COUNTIF(F18:F37, "x") + COUNTIF(F18:F37, "X")) &gt; 0, (COUNTIF(F18:F37, "✓") + COUNTIF(F18:F37, "✔") + COUNTIF(F18:F37, "v") + COUNTIF(F18:F37, "V")) / ((COUNTIF(F18:F37, "✓") + COUNTIF(F18:F37, "✔") + COUNTIF(F18:F37, "v") + COUNTIF(F18:F37, "V")) + COUNTIF(F18:F37, "✗") + COUNTIF(F18:F37, "x") + COUNTIF(F18:F37, "X")), "")</f>
        <v/>
      </c>
      <c r="G39" s="134">
        <f>IF(((COUNTIF(G18:G37, "✓") + COUNTIF(G18:G37, "✔") + COUNTIF(G18:G37, "v") + COUNTIF(G18:G37, "V")) + COUNTIF(G18:G37, "✗") + COUNTIF(G18:G37, "x") + COUNTIF(G18:G37, "X")) &gt; 0, (COUNTIF(G18:G37, "✓") + COUNTIF(G18:G37, "✔") + COUNTIF(G18:G37, "v") + COUNTIF(G18:G37, "V")) / ((COUNTIF(G18:G37, "✓") + COUNTIF(G18:G37, "✔") + COUNTIF(G18:G37, "v") + COUNTIF(G18:G37, "V")) + COUNTIF(G18:G37, "✗") + COUNTIF(G18:G37, "x") + COUNTIF(G18:G37, "X")), "")</f>
        <v/>
      </c>
      <c r="H39" s="134">
        <f>IF(((COUNTIF(H18:H37, "✓") + COUNTIF(H18:H37, "✔") + COUNTIF(H18:H37, "v") + COUNTIF(H18:H37, "V")) + COUNTIF(H18:H37, "✗") + COUNTIF(H18:H37, "x") + COUNTIF(H18:H37, "X")) &gt; 0, (COUNTIF(H18:H37, "✓") + COUNTIF(H18:H37, "✔") + COUNTIF(H18:H37, "v") + COUNTIF(H18:H37, "V")) / ((COUNTIF(H18:H37, "✓") + COUNTIF(H18:H37, "✔") + COUNTIF(H18:H37, "v") + COUNTIF(H18:H37, "V")) + COUNTIF(H18:H37, "✗") + COUNTIF(H18:H37, "x") + COUNTIF(H18:H37, "X")), "")</f>
        <v/>
      </c>
      <c r="I39" s="134">
        <f>IF(((COUNTIF(I18:I37, "✓") + COUNTIF(I18:I37, "✔") + COUNTIF(I18:I37, "v") + COUNTIF(I18:I37, "V")) + COUNTIF(I18:I37, "✗") + COUNTIF(I18:I37, "x") + COUNTIF(I18:I37, "X")) &gt; 0, (COUNTIF(I18:I37, "✓") + COUNTIF(I18:I37, "✔") + COUNTIF(I18:I37, "v") + COUNTIF(I18:I37, "V")) / ((COUNTIF(I18:I37, "✓") + COUNTIF(I18:I37, "✔") + COUNTIF(I18:I37, "v") + COUNTIF(I18:I37, "V")) + COUNTIF(I18:I37, "✗") + COUNTIF(I18:I37, "x") + COUNTIF(I18:I37, "X")), "")</f>
        <v/>
      </c>
      <c r="J39" s="134">
        <f>IF(((COUNTIF(J18:J37, "✓") + COUNTIF(J18:J37, "✔") + COUNTIF(J18:J37, "v") + COUNTIF(J18:J37, "V")) + COUNTIF(J18:J37, "✗") + COUNTIF(J18:J37, "x") + COUNTIF(J18:J37, "X")) &gt; 0, (COUNTIF(J18:J37, "✓") + COUNTIF(J18:J37, "✔") + COUNTIF(J18:J37, "v") + COUNTIF(J18:J37, "V")) / ((COUNTIF(J18:J37, "✓") + COUNTIF(J18:J37, "✔") + COUNTIF(J18:J37, "v") + COUNTIF(J18:J37, "V")) + COUNTIF(J18:J37, "✗") + COUNTIF(J18:J37, "x") + COUNTIF(J18:J37, "X")), "")</f>
        <v/>
      </c>
      <c r="K39" s="134">
        <f>IF(((COUNTIF(K18:K37, "✓") + COUNTIF(K18:K37, "✔") + COUNTIF(K18:K37, "v") + COUNTIF(K18:K37, "V")) + COUNTIF(K18:K37, "✗") + COUNTIF(K18:K37, "x") + COUNTIF(K18:K37, "X")) &gt; 0, (COUNTIF(K18:K37, "✓") + COUNTIF(K18:K37, "✔") + COUNTIF(K18:K37, "v") + COUNTIF(K18:K37, "V")) / ((COUNTIF(K18:K37, "✓") + COUNTIF(K18:K37, "✔") + COUNTIF(K18:K37, "v") + COUNTIF(K18:K37, "V")) + COUNTIF(K18:K37, "✗") + COUNTIF(K18:K37, "x") + COUNTIF(K18:K37, "X")), "")</f>
        <v/>
      </c>
      <c r="L39" s="134">
        <f>IF(((COUNTIF(L18:L37, "✓") + COUNTIF(L18:L37, "✔") + COUNTIF(L18:L37, "v") + COUNTIF(L18:L37, "V")) + COUNTIF(L18:L37, "✗") + COUNTIF(L18:L37, "x") + COUNTIF(L18:L37, "X")) &gt; 0, (COUNTIF(L18:L37, "✓") + COUNTIF(L18:L37, "✔") + COUNTIF(L18:L37, "v") + COUNTIF(L18:L37, "V")) / ((COUNTIF(L18:L37, "✓") + COUNTIF(L18:L37, "✔") + COUNTIF(L18:L37, "v") + COUNTIF(L18:L37, "V")) + COUNTIF(L18:L37, "✗") + COUNTIF(L18:L37, "x") + COUNTIF(L18:L37, "X")), "")</f>
        <v/>
      </c>
      <c r="M39" s="134">
        <f>IF(((COUNTIF(M18:M37, "✓") + COUNTIF(M18:M37, "✔") + COUNTIF(M18:M37, "v") + COUNTIF(M18:M37, "V")) + COUNTIF(M18:M37, "✗") + COUNTIF(M18:M37, "x") + COUNTIF(M18:M37, "X")) &gt; 0, (COUNTIF(M18:M37, "✓") + COUNTIF(M18:M37, "✔") + COUNTIF(M18:M37, "v") + COUNTIF(M18:M37, "V")) / ((COUNTIF(M18:M37, "✓") + COUNTIF(M18:M37, "✔") + COUNTIF(M18:M37, "v") + COUNTIF(M18:M37, "V")) + COUNTIF(M18:M37, "✗") + COUNTIF(M18:M37, "x") + COUNTIF(M18:M37, "X")), "")</f>
        <v/>
      </c>
      <c r="N39" s="134">
        <f>IF(((COUNTIF(N18:N37, "✓") + COUNTIF(N18:N37, "✔") + COUNTIF(N18:N37, "v") + COUNTIF(N18:N37, "V")) + COUNTIF(N18:N37, "✗") + COUNTIF(N18:N37, "x") + COUNTIF(N18:N37, "X")) &gt; 0, (COUNTIF(N18:N37, "✓") + COUNTIF(N18:N37, "✔") + COUNTIF(N18:N37, "v") + COUNTIF(N18:N37, "V")) / ((COUNTIF(N18:N37, "✓") + COUNTIF(N18:N37, "✔") + COUNTIF(N18:N37, "v") + COUNTIF(N18:N37, "V")) + COUNTIF(N18:N37, "✗") + COUNTIF(N18:N37, "x") + COUNTIF(N18:N37, "X")), "")</f>
        <v/>
      </c>
      <c r="O39" s="134">
        <f>IF(((COUNTIF(O18:O37, "✓") + COUNTIF(O18:O37, "✔") + COUNTIF(O18:O37, "v") + COUNTIF(O18:O37, "V")) + COUNTIF(O18:O37, "✗") + COUNTIF(O18:O37, "x") + COUNTIF(O18:O37, "X")) &gt; 0, (COUNTIF(O18:O37, "✓") + COUNTIF(O18:O37, "✔") + COUNTIF(O18:O37, "v") + COUNTIF(O18:O37, "V")) / ((COUNTIF(O18:O37, "✓") + COUNTIF(O18:O37, "✔") + COUNTIF(O18:O37, "v") + COUNTIF(O18:O37, "V")) + COUNTIF(O18:O37, "✗") + COUNTIF(O18:O37, "x") + COUNTIF(O18:O37, "X")), "")</f>
        <v/>
      </c>
      <c r="P39" s="134">
        <f>IF(((COUNTIF(P18:P37, "✓") + COUNTIF(P18:P37, "✔") + COUNTIF(P18:P37, "v") + COUNTIF(P18:P37, "V")) + COUNTIF(P18:P37, "✗") + COUNTIF(P18:P37, "x") + COUNTIF(P18:P37, "X")) &gt; 0, (COUNTIF(P18:P37, "✓") + COUNTIF(P18:P37, "✔") + COUNTIF(P18:P37, "v") + COUNTIF(P18:P37, "V")) / ((COUNTIF(P18:P37, "✓") + COUNTIF(P18:P37, "✔") + COUNTIF(P18:P37, "v") + COUNTIF(P18:P37, "V")) + COUNTIF(P18:P37, "✗") + COUNTIF(P18:P37, "x") + COUNTIF(P18:P37, "X")), "")</f>
        <v/>
      </c>
      <c r="Q39" s="134">
        <f>IF(((COUNTIF(Q18:Q37, "✓") + COUNTIF(Q18:Q37, "✔") + COUNTIF(Q18:Q37, "v") + COUNTIF(Q18:Q37, "V")) + COUNTIF(Q18:Q37, "✗") + COUNTIF(Q18:Q37, "x") + COUNTIF(Q18:Q37, "X")) &gt; 0, (COUNTIF(Q18:Q37, "✓") + COUNTIF(Q18:Q37, "✔") + COUNTIF(Q18:Q37, "v") + COUNTIF(Q18:Q37, "V")) / ((COUNTIF(Q18:Q37, "✓") + COUNTIF(Q18:Q37, "✔") + COUNTIF(Q18:Q37, "v") + COUNTIF(Q18:Q37, "V")) + COUNTIF(Q18:Q37, "✗") + COUNTIF(Q18:Q37, "x") + COUNTIF(Q18:Q37, "X")), "")</f>
        <v/>
      </c>
      <c r="R39" s="134">
        <f>IF(((COUNTIF(R18:R37, "✓") + COUNTIF(R18:R37, "✔") + COUNTIF(R18:R37, "v") + COUNTIF(R18:R37, "V")) + COUNTIF(R18:R37, "✗") + COUNTIF(R18:R37, "x") + COUNTIF(R18:R37, "X")) &gt; 0, (COUNTIF(R18:R37, "✓") + COUNTIF(R18:R37, "✔") + COUNTIF(R18:R37, "v") + COUNTIF(R18:R37, "V")) / ((COUNTIF(R18:R37, "✓") + COUNTIF(R18:R37, "✔") + COUNTIF(R18:R37, "v") + COUNTIF(R18:R37, "V")) + COUNTIF(R18:R37, "✗") + COUNTIF(R18:R37, "x") + COUNTIF(R18:R37, "X")), "")</f>
        <v/>
      </c>
      <c r="S39" s="134">
        <f>IF(((COUNTIF(S18:S37, "✓") + COUNTIF(S18:S37, "✔") + COUNTIF(S18:S37, "v") + COUNTIF(S18:S37, "V")) + COUNTIF(S18:S37, "✗") + COUNTIF(S18:S37, "x") + COUNTIF(S18:S37, "X")) &gt; 0, (COUNTIF(S18:S37, "✓") + COUNTIF(S18:S37, "✔") + COUNTIF(S18:S37, "v") + COUNTIF(S18:S37, "V")) / ((COUNTIF(S18:S37, "✓") + COUNTIF(S18:S37, "✔") + COUNTIF(S18:S37, "v") + COUNTIF(S18:S37, "V")) + COUNTIF(S18:S37, "✗") + COUNTIF(S18:S37, "x") + COUNTIF(S18:S37, "X")), "")</f>
        <v/>
      </c>
      <c r="T39" s="134">
        <f>IF(((COUNTIF(T18:T37, "✓") + COUNTIF(T18:T37, "✔") + COUNTIF(T18:T37, "v") + COUNTIF(T18:T37, "V")) + COUNTIF(T18:T37, "✗") + COUNTIF(T18:T37, "x") + COUNTIF(T18:T37, "X")) &gt; 0, (COUNTIF(T18:T37, "✓") + COUNTIF(T18:T37, "✔") + COUNTIF(T18:T37, "v") + COUNTIF(T18:T37, "V")) / ((COUNTIF(T18:T37, "✓") + COUNTIF(T18:T37, "✔") + COUNTIF(T18:T37, "v") + COUNTIF(T18:T37, "V")) + COUNTIF(T18:T37, "✗") + COUNTIF(T18:T37, "x") + COUNTIF(T18:T37, "X")), "")</f>
        <v/>
      </c>
      <c r="U39" s="134">
        <f>IF(((COUNTIF(U18:U37, "✓") + COUNTIF(U18:U37, "✔") + COUNTIF(U18:U37, "v") + COUNTIF(U18:U37, "V")) + COUNTIF(U18:U37, "✗") + COUNTIF(U18:U37, "x") + COUNTIF(U18:U37, "X")) &gt; 0, (COUNTIF(U18:U37, "✓") + COUNTIF(U18:U37, "✔") + COUNTIF(U18:U37, "v") + COUNTIF(U18:U37, "V")) / ((COUNTIF(U18:U37, "✓") + COUNTIF(U18:U37, "✔") + COUNTIF(U18:U37, "v") + COUNTIF(U18:U37, "V")) + COUNTIF(U18:U37, "✗") + COUNTIF(U18:U37, "x") + COUNTIF(U18:U37, "X")), "")</f>
        <v/>
      </c>
      <c r="V39" s="134">
        <f>IF(((COUNTIF(V18:V37, "✓") + COUNTIF(V18:V37, "✔") + COUNTIF(V18:V37, "v") + COUNTIF(V18:V37, "V")) + COUNTIF(V18:V37, "✗") + COUNTIF(V18:V37, "x") + COUNTIF(V18:V37, "X")) &gt; 0, (COUNTIF(V18:V37, "✓") + COUNTIF(V18:V37, "✔") + COUNTIF(V18:V37, "v") + COUNTIF(V18:V37, "V")) / ((COUNTIF(V18:V37, "✓") + COUNTIF(V18:V37, "✔") + COUNTIF(V18:V37, "v") + COUNTIF(V18:V37, "V")) + COUNTIF(V18:V37, "✗") + COUNTIF(V18:V37, "x") + COUNTIF(V18:V37, "X")), "")</f>
        <v/>
      </c>
      <c r="W39" s="134">
        <f>IF(((COUNTIF(W18:W37, "✓") + COUNTIF(W18:W37, "✔") + COUNTIF(W18:W37, "v") + COUNTIF(W18:W37, "V")) + COUNTIF(W18:W37, "✗") + COUNTIF(W18:W37, "x") + COUNTIF(W18:W37, "X")) &gt; 0, (COUNTIF(W18:W37, "✓") + COUNTIF(W18:W37, "✔") + COUNTIF(W18:W37, "v") + COUNTIF(W18:W37, "V")) / ((COUNTIF(W18:W37, "✓") + COUNTIF(W18:W37, "✔") + COUNTIF(W18:W37, "v") + COUNTIF(W18:W37, "V")) + COUNTIF(W18:W37, "✗") + COUNTIF(W18:W37, "x") + COUNTIF(W18:W37, "X")), "")</f>
        <v/>
      </c>
      <c r="X39" s="134">
        <f>IF(((COUNTIF(X18:X37, "✓") + COUNTIF(X18:X37, "✔") + COUNTIF(X18:X37, "v") + COUNTIF(X18:X37, "V")) + COUNTIF(X18:X37, "✗") + COUNTIF(X18:X37, "x") + COUNTIF(X18:X37, "X")) &gt; 0, (COUNTIF(X18:X37, "✓") + COUNTIF(X18:X37, "✔") + COUNTIF(X18:X37, "v") + COUNTIF(X18:X37, "V")) / ((COUNTIF(X18:X37, "✓") + COUNTIF(X18:X37, "✔") + COUNTIF(X18:X37, "v") + COUNTIF(X18:X37, "V")) + COUNTIF(X18:X37, "✗") + COUNTIF(X18:X37, "x") + COUNTIF(X18:X37, "X")), "")</f>
        <v/>
      </c>
      <c r="Y39" s="134">
        <f>IF(((COUNTIF(Y18:Y37, "✓") + COUNTIF(Y18:Y37, "✔") + COUNTIF(Y18:Y37, "v") + COUNTIF(Y18:Y37, "V")) + COUNTIF(Y18:Y37, "✗") + COUNTIF(Y18:Y37, "x") + COUNTIF(Y18:Y37, "X")) &gt; 0, (COUNTIF(Y18:Y37, "✓") + COUNTIF(Y18:Y37, "✔") + COUNTIF(Y18:Y37, "v") + COUNTIF(Y18:Y37, "V")) / ((COUNTIF(Y18:Y37, "✓") + COUNTIF(Y18:Y37, "✔") + COUNTIF(Y18:Y37, "v") + COUNTIF(Y18:Y37, "V")) + COUNTIF(Y18:Y37, "✗") + COUNTIF(Y18:Y37, "x") + COUNTIF(Y18:Y37, "X")), "")</f>
        <v/>
      </c>
      <c r="Z39" s="134">
        <f>IF(((COUNTIF(Z18:Z37, "✓") + COUNTIF(Z18:Z37, "✔") + COUNTIF(Z18:Z37, "v") + COUNTIF(Z18:Z37, "V")) + COUNTIF(Z18:Z37, "✗") + COUNTIF(Z18:Z37, "x") + COUNTIF(Z18:Z37, "X")) &gt; 0, (COUNTIF(Z18:Z37, "✓") + COUNTIF(Z18:Z37, "✔") + COUNTIF(Z18:Z37, "v") + COUNTIF(Z18:Z37, "V")) / ((COUNTIF(Z18:Z37, "✓") + COUNTIF(Z18:Z37, "✔") + COUNTIF(Z18:Z37, "v") + COUNTIF(Z18:Z37, "V")) + COUNTIF(Z18:Z37, "✗") + COUNTIF(Z18:Z37, "x") + COUNTIF(Z18:Z37, "X")), "")</f>
        <v/>
      </c>
      <c r="AA39" s="134">
        <f>IF(((COUNTIF(AA18:AA37, "✓") + COUNTIF(AA18:AA37, "✔") + COUNTIF(AA18:AA37, "v") + COUNTIF(AA18:AA37, "V")) + COUNTIF(AA18:AA37, "✗") + COUNTIF(AA18:AA37, "x") + COUNTIF(AA18:AA37, "X")) &gt; 0, (COUNTIF(AA18:AA37, "✓") + COUNTIF(AA18:AA37, "✔") + COUNTIF(AA18:AA37, "v") + COUNTIF(AA18:AA37, "V")) / ((COUNTIF(AA18:AA37, "✓") + COUNTIF(AA18:AA37, "✔") + COUNTIF(AA18:AA37, "v") + COUNTIF(AA18:AA37, "V")) + COUNTIF(AA18:AA37, "✗") + COUNTIF(AA18:AA37, "x") + COUNTIF(AA18:AA37, "X")), "")</f>
        <v/>
      </c>
      <c r="AB39" s="134">
        <f>IF(((COUNTIF(AB18:AB37, "✓") + COUNTIF(AB18:AB37, "✔") + COUNTIF(AB18:AB37, "v") + COUNTIF(AB18:AB37, "V")) + COUNTIF(AB18:AB37, "✗") + COUNTIF(AB18:AB37, "x") + COUNTIF(AB18:AB37, "X")) &gt; 0, (COUNTIF(AB18:AB37, "✓") + COUNTIF(AB18:AB37, "✔") + COUNTIF(AB18:AB37, "v") + COUNTIF(AB18:AB37, "V")) / ((COUNTIF(AB18:AB37, "✓") + COUNTIF(AB18:AB37, "✔") + COUNTIF(AB18:AB37, "v") + COUNTIF(AB18:AB37, "V")) + COUNTIF(AB18:AB37, "✗") + COUNTIF(AB18:AB37, "x") + COUNTIF(AB18:AB37, "X")), "")</f>
        <v/>
      </c>
      <c r="AC39" s="134">
        <f>IF(((COUNTIF(AC18:AC37, "✓") + COUNTIF(AC18:AC37, "✔") + COUNTIF(AC18:AC37, "v") + COUNTIF(AC18:AC37, "V")) + COUNTIF(AC18:AC37, "✗") + COUNTIF(AC18:AC37, "x") + COUNTIF(AC18:AC37, "X")) &gt; 0, (COUNTIF(AC18:AC37, "✓") + COUNTIF(AC18:AC37, "✔") + COUNTIF(AC18:AC37, "v") + COUNTIF(AC18:AC37, "V")) / ((COUNTIF(AC18:AC37, "✓") + COUNTIF(AC18:AC37, "✔") + COUNTIF(AC18:AC37, "v") + COUNTIF(AC18:AC37, "V")) + COUNTIF(AC18:AC37, "✗") + COUNTIF(AC18:AC37, "x") + COUNTIF(AC18:AC37, "X")), "")</f>
        <v/>
      </c>
      <c r="AD39" s="134">
        <f>IF(((COUNTIF(AD18:AD37, "✓") + COUNTIF(AD18:AD37, "✔") + COUNTIF(AD18:AD37, "v") + COUNTIF(AD18:AD37, "V")) + COUNTIF(AD18:AD37, "✗") + COUNTIF(AD18:AD37, "x") + COUNTIF(AD18:AD37, "X")) &gt; 0, (COUNTIF(AD18:AD37, "✓") + COUNTIF(AD18:AD37, "✔") + COUNTIF(AD18:AD37, "v") + COUNTIF(AD18:AD37, "V")) / ((COUNTIF(AD18:AD37, "✓") + COUNTIF(AD18:AD37, "✔") + COUNTIF(AD18:AD37, "v") + COUNTIF(AD18:AD37, "V")) + COUNTIF(AD18:AD37, "✗") + COUNTIF(AD18:AD37, "x") + COUNTIF(AD18:AD37, "X")), "")</f>
        <v/>
      </c>
      <c r="AE39" s="134">
        <f>IF(((COUNTIF(AE18:AE37, "✓") + COUNTIF(AE18:AE37, "✔") + COUNTIF(AE18:AE37, "v") + COUNTIF(AE18:AE37, "V")) + COUNTIF(AE18:AE37, "✗") + COUNTIF(AE18:AE37, "x") + COUNTIF(AE18:AE37, "X")) &gt; 0, (COUNTIF(AE18:AE37, "✓") + COUNTIF(AE18:AE37, "✔") + COUNTIF(AE18:AE37, "v") + COUNTIF(AE18:AE37, "V")) / ((COUNTIF(AE18:AE37, "✓") + COUNTIF(AE18:AE37, "✔") + COUNTIF(AE18:AE37, "v") + COUNTIF(AE18:AE37, "V")) + COUNTIF(AE18:AE37, "✗") + COUNTIF(AE18:AE37, "x") + COUNTIF(AE18:AE37, "X")), "")</f>
        <v/>
      </c>
      <c r="AF39" s="134">
        <f>IF(((COUNTIF(AF18:AF37, "✓") + COUNTIF(AF18:AF37, "✔") + COUNTIF(AF18:AF37, "v") + COUNTIF(AF18:AF37, "V")) + COUNTIF(AF18:AF37, "✗") + COUNTIF(AF18:AF37, "x") + COUNTIF(AF18:AF37, "X")) &gt; 0, (COUNTIF(AF18:AF37, "✓") + COUNTIF(AF18:AF37, "✔") + COUNTIF(AF18:AF37, "v") + COUNTIF(AF18:AF37, "V")) / ((COUNTIF(AF18:AF37, "✓") + COUNTIF(AF18:AF37, "✔") + COUNTIF(AF18:AF37, "v") + COUNTIF(AF18:AF37, "V")) + COUNTIF(AF18:AF37, "✗") + COUNTIF(AF18:AF37, "x") + COUNTIF(AF18:AF37, "X")), "")</f>
        <v/>
      </c>
      <c r="AG39" s="134">
        <f>IF(((COUNTIF(AG18:AG37, "✓") + COUNTIF(AG18:AG37, "✔") + COUNTIF(AG18:AG37, "v") + COUNTIF(AG18:AG37, "V")) + COUNTIF(AG18:AG37, "✗") + COUNTIF(AG18:AG37, "x") + COUNTIF(AG18:AG37, "X")) &gt; 0, (COUNTIF(AG18:AG37, "✓") + COUNTIF(AG18:AG37, "✔") + COUNTIF(AG18:AG37, "v") + COUNTIF(AG18:AG37, "V")) / ((COUNTIF(AG18:AG37, "✓") + COUNTIF(AG18:AG37, "✔") + COUNTIF(AG18:AG37, "v") + COUNTIF(AG18:AG37, "V")) + COUNTIF(AG18:AG37, "✗") + COUNTIF(AG18:AG37, "x") + COUNTIF(AG18:AG37, "X")), "")</f>
        <v/>
      </c>
      <c r="AH39" s="134">
        <f>IF(((COUNTIF(AH18:AH37, "✓") + COUNTIF(AH18:AH37, "✔") + COUNTIF(AH18:AH37, "v") + COUNTIF(AH18:AH37, "V")) + COUNTIF(AH18:AH37, "✗") + COUNTIF(AH18:AH37, "x") + COUNTIF(AH18:AH37, "X")) &gt; 0, (COUNTIF(AH18:AH37, "✓") + COUNTIF(AH18:AH37, "✔") + COUNTIF(AH18:AH37, "v") + COUNTIF(AH18:AH37, "V")) / ((COUNTIF(AH18:AH37, "✓") + COUNTIF(AH18:AH37, "✔") + COUNTIF(AH18:AH37, "v") + COUNTIF(AH18:AH37, "V")) + COUNTIF(AH18:AH37, "✗") + COUNTIF(AH18:AH37, "x") + COUNTIF(AH18:AH37, "X")), "")</f>
        <v/>
      </c>
      <c r="AI39" s="134">
        <f>IF(((COUNTIF(AI18:AI37, "✓") + COUNTIF(AI18:AI37, "✔") + COUNTIF(AI18:AI37, "v") + COUNTIF(AI18:AI37, "V")) + COUNTIF(AI18:AI37, "✗") + COUNTIF(AI18:AI37, "x") + COUNTIF(AI18:AI37, "X")) &gt; 0, (COUNTIF(AI18:AI37, "✓") + COUNTIF(AI18:AI37, "✔") + COUNTIF(AI18:AI37, "v") + COUNTIF(AI18:AI37, "V")) / ((COUNTIF(AI18:AI37, "✓") + COUNTIF(AI18:AI37, "✔") + COUNTIF(AI18:AI37, "v") + COUNTIF(AI18:AI37, "V")) + COUNTIF(AI18:AI37, "✗") + COUNTIF(AI18:AI37, "x") + COUNTIF(AI18:AI37, "X")), "")</f>
        <v/>
      </c>
      <c r="AJ39" s="133">
        <f>IF(COUNT(E39:AI39) &gt; 0, AVERAGE(E39:AI39), "")</f>
        <v/>
      </c>
      <c r="AK39" s="54" t="n"/>
      <c r="AL39" s="54" t="n"/>
    </row>
    <row r="40" ht="6" customHeight="1"/>
    <row r="41" ht="15" customHeight="1">
      <c r="A41" s="135" t="inlineStr">
        <is>
          <t>IF SUCCESS &lt; 80%, PUNISHMENT: ________________________________________________</t>
        </is>
      </c>
    </row>
    <row r="42" ht="15" customHeight="1">
      <c r="A42" s="136" t="inlineStr">
        <is>
          <t>IF SUCCESS &gt; 90%, REWARD: __________________________________________________</t>
        </is>
      </c>
    </row>
    <row r="43" ht="10" customHeight="1"/>
    <row r="44" ht="10" customHeight="1"/>
    <row r="45" ht="15" customHeight="1">
      <c r="A45" s="51" t="inlineStr">
        <is>
          <t>Sleep Tracking</t>
        </is>
      </c>
      <c r="B45" s="52" t="n"/>
      <c r="C45" s="52" t="n"/>
      <c r="D45" s="52" t="n"/>
      <c r="E45" s="138" t="n">
        <v>1</v>
      </c>
      <c r="F45" s="137" t="n">
        <v>2</v>
      </c>
      <c r="G45" s="137" t="n">
        <v>3</v>
      </c>
      <c r="H45" s="137" t="n">
        <v>4</v>
      </c>
      <c r="I45" s="137" t="n">
        <v>5</v>
      </c>
      <c r="J45" s="137" t="n">
        <v>6</v>
      </c>
      <c r="K45" s="137" t="n">
        <v>7</v>
      </c>
      <c r="L45" s="138" t="n">
        <v>8</v>
      </c>
      <c r="M45" s="137" t="n">
        <v>9</v>
      </c>
      <c r="N45" s="137" t="n">
        <v>10</v>
      </c>
      <c r="O45" s="137" t="n">
        <v>11</v>
      </c>
      <c r="P45" s="137" t="n">
        <v>12</v>
      </c>
      <c r="Q45" s="137" t="n">
        <v>13</v>
      </c>
      <c r="R45" s="137" t="n">
        <v>14</v>
      </c>
      <c r="S45" s="138" t="n">
        <v>15</v>
      </c>
      <c r="T45" s="137" t="n">
        <v>16</v>
      </c>
      <c r="U45" s="137" t="n">
        <v>17</v>
      </c>
      <c r="V45" s="137" t="n">
        <v>18</v>
      </c>
      <c r="W45" s="137" t="n">
        <v>19</v>
      </c>
      <c r="X45" s="137" t="n">
        <v>20</v>
      </c>
      <c r="Y45" s="137" t="n">
        <v>21</v>
      </c>
      <c r="Z45" s="138" t="n">
        <v>22</v>
      </c>
      <c r="AA45" s="137" t="n">
        <v>23</v>
      </c>
      <c r="AB45" s="137" t="n">
        <v>24</v>
      </c>
      <c r="AC45" s="137" t="n">
        <v>25</v>
      </c>
      <c r="AD45" s="137" t="n">
        <v>26</v>
      </c>
      <c r="AE45" s="137" t="n">
        <v>27</v>
      </c>
      <c r="AF45" s="137" t="n">
        <v>28</v>
      </c>
      <c r="AG45" s="138" t="n">
        <v>29</v>
      </c>
      <c r="AH45" s="137" t="n">
        <v>30</v>
      </c>
      <c r="AI45" s="137" t="n">
        <v>31</v>
      </c>
    </row>
    <row r="46" ht="15" customHeight="1">
      <c r="A46" s="52" t="n"/>
      <c r="B46" s="52" t="n"/>
      <c r="C46" s="52" t="n"/>
      <c r="D46" s="52" t="n"/>
      <c r="E46" s="140" t="inlineStr">
        <is>
          <t>Su</t>
        </is>
      </c>
      <c r="F46" s="139" t="inlineStr">
        <is>
          <t>M</t>
        </is>
      </c>
      <c r="G46" s="139" t="inlineStr">
        <is>
          <t>T</t>
        </is>
      </c>
      <c r="H46" s="139" t="inlineStr">
        <is>
          <t>W</t>
        </is>
      </c>
      <c r="I46" s="139" t="inlineStr">
        <is>
          <t>Th</t>
        </is>
      </c>
      <c r="J46" s="139" t="inlineStr">
        <is>
          <t>F</t>
        </is>
      </c>
      <c r="K46" s="139" t="inlineStr">
        <is>
          <t>Sa</t>
        </is>
      </c>
      <c r="L46" s="140" t="inlineStr">
        <is>
          <t>Su</t>
        </is>
      </c>
      <c r="M46" s="139" t="inlineStr">
        <is>
          <t>M</t>
        </is>
      </c>
      <c r="N46" s="139" t="inlineStr">
        <is>
          <t>T</t>
        </is>
      </c>
      <c r="O46" s="139" t="inlineStr">
        <is>
          <t>W</t>
        </is>
      </c>
      <c r="P46" s="139" t="inlineStr">
        <is>
          <t>Th</t>
        </is>
      </c>
      <c r="Q46" s="139" t="inlineStr">
        <is>
          <t>F</t>
        </is>
      </c>
      <c r="R46" s="139" t="inlineStr">
        <is>
          <t>Sa</t>
        </is>
      </c>
      <c r="S46" s="140" t="inlineStr">
        <is>
          <t>Su</t>
        </is>
      </c>
      <c r="T46" s="139" t="inlineStr">
        <is>
          <t>M</t>
        </is>
      </c>
      <c r="U46" s="139" t="inlineStr">
        <is>
          <t>T</t>
        </is>
      </c>
      <c r="V46" s="139" t="inlineStr">
        <is>
          <t>W</t>
        </is>
      </c>
      <c r="W46" s="139" t="inlineStr">
        <is>
          <t>Th</t>
        </is>
      </c>
      <c r="X46" s="139" t="inlineStr">
        <is>
          <t>F</t>
        </is>
      </c>
      <c r="Y46" s="139" t="inlineStr">
        <is>
          <t>Sa</t>
        </is>
      </c>
      <c r="Z46" s="140" t="inlineStr">
        <is>
          <t>Su</t>
        </is>
      </c>
      <c r="AA46" s="139" t="inlineStr">
        <is>
          <t>M</t>
        </is>
      </c>
      <c r="AB46" s="139" t="inlineStr">
        <is>
          <t>T</t>
        </is>
      </c>
      <c r="AC46" s="139" t="inlineStr">
        <is>
          <t>W</t>
        </is>
      </c>
      <c r="AD46" s="139" t="inlineStr">
        <is>
          <t>Th</t>
        </is>
      </c>
      <c r="AE46" s="139" t="inlineStr">
        <is>
          <t>F</t>
        </is>
      </c>
      <c r="AF46" s="139" t="inlineStr">
        <is>
          <t>Sa</t>
        </is>
      </c>
      <c r="AG46" s="140" t="inlineStr">
        <is>
          <t>Su</t>
        </is>
      </c>
      <c r="AH46" s="139" t="inlineStr">
        <is>
          <t>M</t>
        </is>
      </c>
      <c r="AI46" s="139" t="inlineStr">
        <is>
          <t>T</t>
        </is>
      </c>
    </row>
    <row r="47" ht="20" customHeight="1">
      <c r="A47" s="141" t="inlineStr">
        <is>
          <t>Sleep Hours (1-24)</t>
        </is>
      </c>
      <c r="B47" s="142" t="n"/>
      <c r="C47" s="142" t="n"/>
      <c r="D47" s="142" t="n"/>
      <c r="E47" s="144" t="n"/>
      <c r="F47" s="143" t="n"/>
      <c r="G47" s="143" t="n"/>
      <c r="H47" s="143" t="n"/>
      <c r="I47" s="143" t="n"/>
      <c r="J47" s="143" t="n"/>
      <c r="K47" s="143" t="n"/>
      <c r="L47" s="144" t="n"/>
      <c r="M47" s="143" t="n"/>
      <c r="N47" s="143" t="n"/>
      <c r="O47" s="143" t="n"/>
      <c r="P47" s="143" t="n"/>
      <c r="Q47" s="143" t="n"/>
      <c r="R47" s="143" t="n"/>
      <c r="S47" s="144" t="n"/>
      <c r="T47" s="143" t="n"/>
      <c r="U47" s="143" t="n"/>
      <c r="V47" s="143" t="n"/>
      <c r="W47" s="143" t="n"/>
      <c r="X47" s="143" t="n"/>
      <c r="Y47" s="143" t="n"/>
      <c r="Z47" s="144" t="n"/>
      <c r="AA47" s="143" t="n"/>
      <c r="AB47" s="143" t="n"/>
      <c r="AC47" s="143" t="n"/>
      <c r="AD47" s="143" t="n"/>
      <c r="AE47" s="143" t="n"/>
      <c r="AF47" s="143" t="n"/>
      <c r="AG47" s="144" t="n"/>
      <c r="AH47" s="143" t="n"/>
      <c r="AI47" s="143" t="n"/>
    </row>
    <row r="48" ht="6" customHeight="1"/>
    <row r="49" ht="14" customHeight="1"/>
    <row r="50" ht="14" customHeight="1"/>
    <row r="51" ht="14" customHeight="1"/>
    <row r="52" ht="14" customHeight="1"/>
    <row r="53" ht="14" customHeight="1"/>
    <row r="54" ht="14" customHeight="1"/>
    <row r="55" ht="14" customHeight="1"/>
    <row r="56" ht="14" customHeight="1"/>
    <row r="57" ht="14" customHeight="1"/>
    <row r="58" ht="14" customHeight="1"/>
    <row r="59" ht="14" customHeight="1"/>
    <row r="60" ht="14" customHeight="1"/>
    <row r="61" ht="14" customHeight="1"/>
    <row r="62" ht="14" customHeight="1"/>
    <row r="63" ht="14" customHeight="1"/>
    <row r="64" ht="14" customHeight="1"/>
    <row r="65" ht="14" customHeight="1"/>
    <row r="66" ht="8" customHeight="1"/>
    <row r="67">
      <c r="A67" s="145" t="inlineStr">
        <is>
          <t>MONTHLY SUCCESS RATE</t>
        </is>
      </c>
      <c r="B67" s="9" t="n"/>
      <c r="C67" s="9" t="n"/>
      <c r="D67" s="9" t="n"/>
      <c r="F67" s="146" t="inlineStr">
        <is>
          <t>ACTIVE PROTOCOLS</t>
        </is>
      </c>
      <c r="G67" s="11" t="n"/>
      <c r="H67" s="11" t="n"/>
      <c r="I67" s="11" t="n"/>
      <c r="K67" s="147" t="inlineStr">
        <is>
          <t>PERFECT DAYS (100%)</t>
        </is>
      </c>
      <c r="L67" s="13" t="n"/>
      <c r="M67" s="13" t="n"/>
      <c r="N67" s="13" t="n"/>
      <c r="P67" s="148" t="inlineStr">
        <is>
          <t>AVG SLEEP DURATION</t>
        </is>
      </c>
      <c r="Q67" s="15" t="n"/>
      <c r="R67" s="15" t="n"/>
      <c r="S67" s="15" t="n"/>
    </row>
    <row r="68">
      <c r="A68" s="149">
        <f>IF(SUM(D18:D37)&gt;0, SUM(AM18:AM37)/SUM(D18:D37), 0)</f>
        <v/>
      </c>
      <c r="B68" s="9" t="n"/>
      <c r="C68" s="9" t="n"/>
      <c r="D68" s="9" t="n"/>
      <c r="F68" s="150">
        <f>COUNTA(B18:B37) &amp; " / 20"</f>
        <v/>
      </c>
      <c r="G68" s="11" t="n"/>
      <c r="H68" s="11" t="n"/>
      <c r="I68" s="11" t="n"/>
      <c r="K68" s="151">
        <f>COUNTIF(E39:AI39, 1) &amp; " Days"</f>
        <v/>
      </c>
      <c r="L68" s="13" t="n"/>
      <c r="M68" s="13" t="n"/>
      <c r="N68" s="13" t="n"/>
      <c r="P68" s="152">
        <f>IFERROR(TEXT(AVERAGE(E47:AI47), "0.0") &amp; " hrs", "-")</f>
        <v/>
      </c>
      <c r="Q68" s="15" t="n"/>
      <c r="R68" s="15" t="n"/>
      <c r="S68" s="15" t="n"/>
    </row>
    <row r="69">
      <c r="A69" s="9" t="n"/>
      <c r="B69" s="9" t="n"/>
      <c r="C69" s="9" t="n"/>
      <c r="D69" s="9" t="n"/>
      <c r="F69" s="11" t="n"/>
      <c r="G69" s="11" t="n"/>
      <c r="H69" s="11" t="n"/>
      <c r="I69" s="11" t="n"/>
      <c r="K69" s="13" t="n"/>
      <c r="L69" s="13" t="n"/>
      <c r="M69" s="13" t="n"/>
      <c r="N69" s="13" t="n"/>
      <c r="P69" s="15" t="n"/>
      <c r="Q69" s="15" t="n"/>
      <c r="R69" s="15" t="n"/>
      <c r="S69" s="15" t="n"/>
    </row>
    <row r="70">
      <c r="A70" s="9" t="n"/>
      <c r="B70" s="9" t="n"/>
      <c r="C70" s="9" t="n"/>
      <c r="D70" s="9" t="n"/>
      <c r="F70" s="11" t="n"/>
      <c r="G70" s="11" t="n"/>
      <c r="H70" s="11" t="n"/>
      <c r="I70" s="11" t="n"/>
      <c r="K70" s="13" t="n"/>
      <c r="L70" s="13" t="n"/>
      <c r="M70" s="13" t="n"/>
      <c r="N70" s="13" t="n"/>
      <c r="P70" s="15" t="n"/>
      <c r="Q70" s="15" t="n"/>
      <c r="R70" s="15" t="n"/>
      <c r="S70" s="15" t="n"/>
    </row>
    <row r="71">
      <c r="A71" s="153" t="inlineStr">
        <is>
          <t>Target Completion</t>
        </is>
      </c>
      <c r="B71" s="9" t="n"/>
      <c r="C71" s="9" t="n"/>
      <c r="D71" s="9" t="n"/>
      <c r="F71" s="154" t="inlineStr">
        <is>
          <t>Habits Tracked</t>
        </is>
      </c>
      <c r="G71" s="11" t="n"/>
      <c r="H71" s="11" t="n"/>
      <c r="I71" s="11" t="n"/>
      <c r="K71" s="155" t="inlineStr">
        <is>
          <t>All Marked Habits Completed</t>
        </is>
      </c>
      <c r="L71" s="13" t="n"/>
      <c r="M71" s="13" t="n"/>
      <c r="N71" s="13" t="n"/>
      <c r="P71" s="156" t="inlineStr">
        <is>
          <t>Nightly Rest Average</t>
        </is>
      </c>
      <c r="Q71" s="15" t="n"/>
      <c r="R71" s="15" t="n"/>
      <c r="S71" s="15" t="n"/>
    </row>
    <row r="72" ht="8" customHeight="1"/>
    <row r="73" ht="6" customHeight="1"/>
    <row r="74">
      <c r="A74" s="67" t="inlineStr">
        <is>
          <t>WEEKLY PERFORMANCE (SLUMP DETECTOR)</t>
        </is>
      </c>
      <c r="B74" s="29" t="n"/>
      <c r="C74" s="29" t="n"/>
      <c r="D74" s="29" t="n"/>
      <c r="E74" s="29" t="n"/>
      <c r="N74" s="157" t="inlineStr">
        <is>
          <t>LIFE DOMAIN / CATEGORY BREAKDOWN</t>
        </is>
      </c>
      <c r="O74" s="158" t="n"/>
      <c r="P74" s="158" t="n"/>
      <c r="Q74" s="158" t="n"/>
      <c r="R74" s="158" t="n"/>
      <c r="S74" s="158" t="n"/>
    </row>
    <row r="75" ht="15" customHeight="1">
      <c r="A75" s="53" t="inlineStr">
        <is>
          <t>Week</t>
        </is>
      </c>
      <c r="B75" s="53" t="inlineStr">
        <is>
          <t>Days Range</t>
        </is>
      </c>
      <c r="C75" s="53" t="inlineStr">
        <is>
          <t>Checks Done</t>
        </is>
      </c>
      <c r="D75" s="53" t="inlineStr">
        <is>
          <t>Evaluated</t>
        </is>
      </c>
      <c r="E75" s="53" t="inlineStr">
        <is>
          <t>Success %</t>
        </is>
      </c>
      <c r="N75" s="53" t="inlineStr">
        <is>
          <t>Domain / Category</t>
        </is>
      </c>
      <c r="O75" s="54" t="n"/>
      <c r="P75" s="53" t="inlineStr">
        <is>
          <t>Active Habits</t>
        </is>
      </c>
      <c r="Q75" s="53" t="inlineStr">
        <is>
          <t>Target Days</t>
        </is>
      </c>
      <c r="R75" s="53" t="inlineStr">
        <is>
          <t>Done Checks</t>
        </is>
      </c>
      <c r="S75" s="53" t="inlineStr">
        <is>
          <t>Success %</t>
        </is>
      </c>
    </row>
    <row r="76" ht="14" customHeight="1">
      <c r="A76" s="33" t="inlineStr">
        <is>
          <t>Week 1</t>
        </is>
      </c>
      <c r="B76" s="34" t="inlineStr">
        <is>
          <t>Days 1 - 7</t>
        </is>
      </c>
      <c r="C76" s="34">
        <f>COUNTIF(E18:K37, "✓")</f>
        <v/>
      </c>
      <c r="D76" s="34">
        <f>COUNTIF(E18:K37, "✓") + COUNTIF(E18:K37, "✗")</f>
        <v/>
      </c>
      <c r="E76" s="35">
        <f>IFERROR(C76/D76, 0)</f>
        <v/>
      </c>
      <c r="N76" s="60" t="inlineStr">
        <is>
          <t>Health &amp; Fitness</t>
        </is>
      </c>
      <c r="O76" s="54" t="n"/>
      <c r="P76" s="34">
        <f>COUNTIF($C$18:$C$37, "Health &amp; Fitness")</f>
        <v/>
      </c>
      <c r="Q76" s="34">
        <f>SUMIF($C$18:$C$37, "Health &amp; Fitness", $D$18:$D$37)</f>
        <v/>
      </c>
      <c r="R76" s="34">
        <f>SUMIF($C$18:$C$37, "Health &amp; Fitness", $AM$18:$AM$37)</f>
        <v/>
      </c>
      <c r="S76" s="35">
        <f>IFERROR(R76/Q76, 0)</f>
        <v/>
      </c>
    </row>
    <row r="77" ht="14" customHeight="1">
      <c r="A77" s="33" t="inlineStr">
        <is>
          <t>Week 2</t>
        </is>
      </c>
      <c r="B77" s="34" t="inlineStr">
        <is>
          <t>Days 8 - 14</t>
        </is>
      </c>
      <c r="C77" s="34">
        <f>COUNTIF(L18:R37, "✓")</f>
        <v/>
      </c>
      <c r="D77" s="34">
        <f>COUNTIF(L18:R37, "✓") + COUNTIF(L18:R37, "✗")</f>
        <v/>
      </c>
      <c r="E77" s="35">
        <f>IFERROR(C77/D77, 0)</f>
        <v/>
      </c>
      <c r="N77" s="60" t="inlineStr">
        <is>
          <t>Mindset &amp; Learning</t>
        </is>
      </c>
      <c r="O77" s="54" t="n"/>
      <c r="P77" s="34">
        <f>COUNTIF($C$18:$C$37, "Mindset &amp; Learning")</f>
        <v/>
      </c>
      <c r="Q77" s="34">
        <f>SUMIF($C$18:$C$37, "Mindset &amp; Learning", $D$18:$D$37)</f>
        <v/>
      </c>
      <c r="R77" s="34">
        <f>SUMIF($C$18:$C$37, "Mindset &amp; Learning", $AM$18:$AM$37)</f>
        <v/>
      </c>
      <c r="S77" s="35">
        <f>IFERROR(R77/Q77, 0)</f>
        <v/>
      </c>
    </row>
    <row r="78" ht="14" customHeight="1">
      <c r="A78" s="33" t="inlineStr">
        <is>
          <t>Week 3</t>
        </is>
      </c>
      <c r="B78" s="34" t="inlineStr">
        <is>
          <t>Days 15 - 21</t>
        </is>
      </c>
      <c r="C78" s="34">
        <f>COUNTIF(S18:Y37, "✓")</f>
        <v/>
      </c>
      <c r="D78" s="34">
        <f>COUNTIF(S18:Y37, "✓") + COUNTIF(S18:Y37, "✗")</f>
        <v/>
      </c>
      <c r="E78" s="35">
        <f>IFERROR(C78/D78, 0)</f>
        <v/>
      </c>
      <c r="N78" s="60" t="inlineStr">
        <is>
          <t>Career &amp; Focus</t>
        </is>
      </c>
      <c r="O78" s="54" t="n"/>
      <c r="P78" s="34">
        <f>COUNTIF($C$18:$C$37, "Career &amp; Focus")</f>
        <v/>
      </c>
      <c r="Q78" s="34">
        <f>SUMIF($C$18:$C$37, "Career &amp; Focus", $D$18:$D$37)</f>
        <v/>
      </c>
      <c r="R78" s="34">
        <f>SUMIF($C$18:$C$37, "Career &amp; Focus", $AM$18:$AM$37)</f>
        <v/>
      </c>
      <c r="S78" s="35">
        <f>IFERROR(R78/Q78, 0)</f>
        <v/>
      </c>
    </row>
    <row r="79" ht="14" customHeight="1">
      <c r="A79" s="33" t="inlineStr">
        <is>
          <t>Week 4</t>
        </is>
      </c>
      <c r="B79" s="34" t="inlineStr">
        <is>
          <t>Days 22 - 28</t>
        </is>
      </c>
      <c r="C79" s="34">
        <f>COUNTIF(Z18:AF37, "✓")</f>
        <v/>
      </c>
      <c r="D79" s="34">
        <f>COUNTIF(Z18:AF37, "✓") + COUNTIF(Z18:AF37, "✗")</f>
        <v/>
      </c>
      <c r="E79" s="35">
        <f>IFERROR(C79/D79, 0)</f>
        <v/>
      </c>
      <c r="N79" s="60" t="inlineStr">
        <is>
          <t>Personal &amp; Home</t>
        </is>
      </c>
      <c r="O79" s="54" t="n"/>
      <c r="P79" s="34">
        <f>COUNTIF($C$18:$C$37, "Personal &amp; Home")</f>
        <v/>
      </c>
      <c r="Q79" s="34">
        <f>SUMIF($C$18:$C$37, "Personal &amp; Home", $D$18:$D$37)</f>
        <v/>
      </c>
      <c r="R79" s="34">
        <f>SUMIF($C$18:$C$37, "Personal &amp; Home", $AM$18:$AM$37)</f>
        <v/>
      </c>
      <c r="S79" s="35">
        <f>IFERROR(R79/Q79, 0)</f>
        <v/>
      </c>
    </row>
    <row r="80" ht="14" customHeight="1">
      <c r="A80" s="33" t="inlineStr">
        <is>
          <t>Week 5</t>
        </is>
      </c>
      <c r="B80" s="34" t="inlineStr">
        <is>
          <t>Days 29 - 31</t>
        </is>
      </c>
      <c r="C80" s="34">
        <f>COUNTIF(AG18:AI37, "✓")</f>
        <v/>
      </c>
      <c r="D80" s="34">
        <f>COUNTIF(AG18:AI37, "✓") + COUNTIF(AG18:AI37, "✗")</f>
        <v/>
      </c>
      <c r="E80" s="35">
        <f>IFERROR(C80/D80, 0)</f>
        <v/>
      </c>
      <c r="N80" s="60" t="inlineStr">
        <is>
          <t>Finance &amp; Wealth</t>
        </is>
      </c>
      <c r="O80" s="54" t="n"/>
      <c r="P80" s="34">
        <f>COUNTIF($C$18:$C$37, "Finance &amp; Wealth")</f>
        <v/>
      </c>
      <c r="Q80" s="34">
        <f>SUMIF($C$18:$C$37, "Finance &amp; Wealth", $D$18:$D$37)</f>
        <v/>
      </c>
      <c r="R80" s="34">
        <f>SUMIF($C$18:$C$37, "Finance &amp; Wealth", $AM$18:$AM$37)</f>
        <v/>
      </c>
      <c r="S80" s="35">
        <f>IFERROR(R80/Q80, 0)</f>
        <v/>
      </c>
    </row>
    <row r="81" ht="14" customHeight="1">
      <c r="A81" s="33" t="inlineStr">
        <is>
          <t>Total / Avg</t>
        </is>
      </c>
      <c r="B81" s="159" t="inlineStr">
        <is>
          <t>Month Total</t>
        </is>
      </c>
      <c r="C81" s="33">
        <f>SUM(C76:C80)</f>
        <v/>
      </c>
      <c r="D81" s="33">
        <f>SUM(D76:D80)</f>
        <v/>
      </c>
      <c r="E81" s="133">
        <f>IFERROR(C81/D81, 0)</f>
        <v/>
      </c>
    </row>
    <row r="82" ht="10" customHeight="1"/>
    <row r="83" ht="10" customHeight="1"/>
    <row r="84">
      <c r="A84" s="51" t="inlineStr">
        <is>
          <t>SLEEP &amp; PRODUCTIVITY CORRELATION ANALYSIS</t>
        </is>
      </c>
      <c r="B84" s="52" t="n"/>
      <c r="C84" s="52" t="n"/>
      <c r="D84" s="52" t="n"/>
      <c r="E84" s="52" t="n"/>
      <c r="F84" s="52" t="n"/>
      <c r="G84" s="52" t="n"/>
      <c r="H84" s="52" t="n"/>
      <c r="I84" s="52" t="n"/>
      <c r="J84" s="52" t="n"/>
      <c r="K84" s="52" t="n"/>
      <c r="L84" s="52" t="n"/>
      <c r="M84" s="52" t="n"/>
      <c r="N84" s="52" t="n"/>
      <c r="O84" s="52" t="n"/>
      <c r="P84" s="52" t="n"/>
      <c r="Q84" s="52" t="n"/>
      <c r="R84" s="52" t="n"/>
      <c r="S84" s="52" t="n"/>
      <c r="T84" s="52" t="n"/>
      <c r="U84" s="52" t="n"/>
      <c r="V84" s="52" t="n"/>
      <c r="W84" s="52" t="n"/>
      <c r="X84" s="52" t="n"/>
      <c r="Y84" s="52" t="n"/>
      <c r="Z84" s="52" t="n"/>
      <c r="AA84" s="52" t="n"/>
      <c r="AB84" s="52" t="n"/>
      <c r="AC84" s="52" t="n"/>
      <c r="AD84" s="52" t="n"/>
      <c r="AE84" s="52" t="n"/>
      <c r="AF84" s="52" t="n"/>
      <c r="AG84" s="52" t="n"/>
      <c r="AH84" s="52" t="n"/>
      <c r="AI84" s="52" t="n"/>
      <c r="AJ84" s="52" t="n"/>
      <c r="AK84" s="52" t="n"/>
      <c r="AL84" s="52" t="n"/>
    </row>
    <row r="85" ht="15" customHeight="1">
      <c r="A85" s="53" t="inlineStr">
        <is>
          <t>Rest Category</t>
        </is>
      </c>
      <c r="B85" s="54" t="n"/>
      <c r="C85" s="54" t="n"/>
      <c r="D85" s="53" t="inlineStr">
        <is>
          <t>Day Criteria</t>
        </is>
      </c>
      <c r="E85" s="54" t="n"/>
      <c r="F85" s="54" t="n"/>
      <c r="G85" s="53" t="inlineStr">
        <is>
          <t>Days Logged</t>
        </is>
      </c>
      <c r="H85" s="54" t="n"/>
      <c r="I85" s="54" t="n"/>
      <c r="J85" s="53" t="inlineStr">
        <is>
          <t>Avg Sleep Duration</t>
        </is>
      </c>
      <c r="K85" s="54" t="n"/>
      <c r="L85" s="54" t="n"/>
      <c r="M85" s="54" t="n"/>
      <c r="N85" s="53" t="inlineStr">
        <is>
          <t>Avg Habit Success %</t>
        </is>
      </c>
      <c r="O85" s="54" t="n"/>
      <c r="P85" s="54" t="n"/>
      <c r="Q85" s="54" t="n"/>
      <c r="R85" s="53" t="inlineStr">
        <is>
          <t>Productivity Delta</t>
        </is>
      </c>
      <c r="S85" s="54" t="n"/>
      <c r="T85" s="54" t="n"/>
      <c r="U85" s="54" t="n"/>
    </row>
    <row r="86" ht="15" customHeight="1">
      <c r="A86" s="160" t="inlineStr">
        <is>
          <t>Optimal Rest</t>
        </is>
      </c>
      <c r="B86" s="161" t="n"/>
      <c r="C86" s="56" t="n"/>
      <c r="D86" s="34" t="inlineStr">
        <is>
          <t>&gt;= 7 Hours / Night</t>
        </is>
      </c>
      <c r="E86" s="161" t="n"/>
      <c r="F86" s="56" t="n"/>
      <c r="G86" s="33">
        <f>COUNTIF(E47:AI47, "&gt;=7")</f>
        <v/>
      </c>
      <c r="H86" s="161" t="n"/>
      <c r="I86" s="56" t="n"/>
      <c r="J86" s="34">
        <f>IFERROR(TEXT(AVERAGEIF(E47:AI47, "&gt;=7"), "0.0") &amp; " hrs", "-")</f>
        <v/>
      </c>
      <c r="K86" s="161" t="n"/>
      <c r="L86" s="161" t="n"/>
      <c r="M86" s="56" t="n"/>
      <c r="N86" s="42">
        <f>IFERROR(AVERAGEIFS(E39:AI39, E47:AI47, "&gt;=7", E39:AI39, "&gt;0"), 0)</f>
        <v/>
      </c>
      <c r="O86" s="161" t="n"/>
      <c r="P86" s="161" t="n"/>
      <c r="Q86" s="56" t="n"/>
      <c r="R86" s="159" t="inlineStr">
        <is>
          <t>Baseline (Target)</t>
        </is>
      </c>
      <c r="S86" s="161" t="n"/>
      <c r="T86" s="161" t="n"/>
      <c r="U86" s="56" t="n"/>
    </row>
    <row r="87" ht="15" customHeight="1">
      <c r="A87" s="162" t="inlineStr">
        <is>
          <t>Sleep Deficit</t>
        </is>
      </c>
      <c r="B87" s="161" t="n"/>
      <c r="C87" s="56" t="n"/>
      <c r="D87" s="34" t="inlineStr">
        <is>
          <t>&lt; 7 Hours / Night</t>
        </is>
      </c>
      <c r="E87" s="161" t="n"/>
      <c r="F87" s="56" t="n"/>
      <c r="G87" s="33">
        <f>COUNTIF(E47:AI47, "&lt;7") - COUNTIF(E47:AI47, "")</f>
        <v/>
      </c>
      <c r="H87" s="161" t="n"/>
      <c r="I87" s="56" t="n"/>
      <c r="J87" s="34">
        <f>IFERROR(TEXT(AVERAGEIFS(E47:AI47, E47:AI47, "&lt;7", E47:AI47, "&gt;0"), "0.0") &amp; " hrs", "-")</f>
        <v/>
      </c>
      <c r="K87" s="161" t="n"/>
      <c r="L87" s="161" t="n"/>
      <c r="M87" s="56" t="n"/>
      <c r="N87" s="163">
        <f>IFERROR(AVERAGEIFS(E39:AI39, E47:AI47, "&lt;7", E39:AI39, "&gt;0"), 0)</f>
        <v/>
      </c>
      <c r="O87" s="161" t="n"/>
      <c r="P87" s="161" t="n"/>
      <c r="Q87" s="56" t="n"/>
      <c r="R87" s="160">
        <f>IFERROR(TEXT(N86 - N87, "+0.0%;-0.0%;0.0%") &amp; " Rest Advantage", "-")</f>
        <v/>
      </c>
      <c r="S87" s="161" t="n"/>
      <c r="T87" s="161" t="n"/>
      <c r="U87" s="56" t="n"/>
    </row>
    <row r="88" ht="18" customHeight="1">
      <c r="A88" s="164">
        <f>IF(AND(ISNUMBER(N86), ISNUMBER(N87), N86&gt;0, N87&gt;0), "💡 Sleep Correlation Insight: You complete " &amp; TEXT(ABS(N86-N87), "0.0%") &amp; IF(N86&gt;=N87, " MORE habits on days with 7+ hours of sleep!", " fewer habits on days with 7+ hours of sleep."), "💡 Log both habits and sleep hours daily to unlock automatic AI correlation insights!")</f>
        <v/>
      </c>
      <c r="B88" s="161" t="n"/>
      <c r="C88" s="161" t="n"/>
      <c r="D88" s="161" t="n"/>
      <c r="E88" s="161" t="n"/>
      <c r="F88" s="161" t="n"/>
      <c r="G88" s="161" t="n"/>
      <c r="H88" s="161" t="n"/>
      <c r="I88" s="161" t="n"/>
      <c r="J88" s="161" t="n"/>
      <c r="K88" s="161" t="n"/>
      <c r="L88" s="161" t="n"/>
      <c r="M88" s="161" t="n"/>
      <c r="N88" s="161" t="n"/>
      <c r="O88" s="161" t="n"/>
      <c r="P88" s="161" t="n"/>
      <c r="Q88" s="161" t="n"/>
      <c r="R88" s="161" t="n"/>
      <c r="S88" s="161" t="n"/>
      <c r="T88" s="161" t="n"/>
      <c r="U88" s="161" t="n"/>
      <c r="V88" s="161" t="n"/>
      <c r="W88" s="161" t="n"/>
      <c r="X88" s="161" t="n"/>
      <c r="Y88" s="161" t="n"/>
      <c r="Z88" s="161" t="n"/>
      <c r="AA88" s="161" t="n"/>
      <c r="AB88" s="161" t="n"/>
      <c r="AC88" s="161" t="n"/>
      <c r="AD88" s="161" t="n"/>
      <c r="AE88" s="161" t="n"/>
      <c r="AF88" s="161" t="n"/>
      <c r="AG88" s="161" t="n"/>
      <c r="AH88" s="161" t="n"/>
      <c r="AI88" s="161" t="n"/>
      <c r="AJ88" s="161" t="n"/>
      <c r="AK88" s="161" t="n"/>
      <c r="AL88" s="56" t="n"/>
    </row>
    <row r="89" ht="10" customHeight="1"/>
    <row r="90">
      <c r="A90" s="43" t="inlineStr">
        <is>
          <t>STANDARDIZED DATA BRIDGE (FOR ANNUAL &amp; QUARTERLY REVIEW SHEETS)</t>
        </is>
      </c>
      <c r="B90" s="44" t="n"/>
      <c r="C90" s="44" t="n"/>
      <c r="D90" s="44" t="n"/>
      <c r="E90" s="44" t="n"/>
      <c r="F90" s="44" t="n"/>
      <c r="G90" s="44" t="n"/>
      <c r="H90" s="44" t="n"/>
      <c r="I90" s="44" t="n"/>
      <c r="J90" s="44" t="n"/>
      <c r="K90" s="44" t="n"/>
      <c r="L90" s="44" t="n"/>
      <c r="M90" s="44" t="n"/>
      <c r="N90" s="44" t="n"/>
      <c r="O90" s="44" t="n"/>
      <c r="P90" s="44" t="n"/>
      <c r="Q90" s="44" t="n"/>
      <c r="R90" s="44" t="n"/>
      <c r="S90" s="44" t="n"/>
      <c r="T90" s="44" t="n"/>
      <c r="U90" s="44" t="n"/>
      <c r="V90" s="44" t="n"/>
      <c r="W90" s="44" t="n"/>
      <c r="X90" s="44" t="n"/>
      <c r="Y90" s="44" t="n"/>
      <c r="Z90" s="44" t="n"/>
      <c r="AA90" s="44" t="n"/>
      <c r="AB90" s="44" t="n"/>
      <c r="AC90" s="44" t="n"/>
      <c r="AD90" s="44" t="n"/>
      <c r="AE90" s="44" t="n"/>
      <c r="AF90" s="44" t="n"/>
      <c r="AG90" s="44" t="n"/>
      <c r="AH90" s="44" t="n"/>
      <c r="AI90" s="44" t="n"/>
      <c r="AJ90" s="44" t="n"/>
      <c r="AK90" s="44" t="n"/>
      <c r="AL90" s="44" t="n"/>
    </row>
    <row r="91" ht="15" customHeight="1">
      <c r="A91" s="53" t="inlineStr">
        <is>
          <t>Month</t>
        </is>
      </c>
      <c r="B91" s="54" t="n"/>
      <c r="C91" s="53" t="inlineStr">
        <is>
          <t>Year</t>
        </is>
      </c>
      <c r="D91" s="54" t="n"/>
      <c r="E91" s="53" t="inlineStr">
        <is>
          <t>Active Habits</t>
        </is>
      </c>
      <c r="F91" s="54" t="n"/>
      <c r="G91" s="53" t="inlineStr">
        <is>
          <t>Target Days</t>
        </is>
      </c>
      <c r="H91" s="54" t="n"/>
      <c r="I91" s="53" t="inlineStr">
        <is>
          <t>Done Checks</t>
        </is>
      </c>
      <c r="J91" s="54" t="n"/>
      <c r="K91" s="53" t="inlineStr">
        <is>
          <t>Success %</t>
        </is>
      </c>
      <c r="L91" s="54" t="n"/>
      <c r="M91" s="53" t="inlineStr">
        <is>
          <t>Perfect Days</t>
        </is>
      </c>
      <c r="N91" s="54" t="n"/>
      <c r="O91" s="53" t="inlineStr">
        <is>
          <t>Avg Sleep</t>
        </is>
      </c>
      <c r="P91" s="54" t="n"/>
      <c r="Q91" s="53" t="inlineStr">
        <is>
          <t>Best Week</t>
        </is>
      </c>
      <c r="R91" s="54" t="n"/>
      <c r="S91" s="54" t="n"/>
      <c r="T91" s="53" t="inlineStr">
        <is>
          <t>Top Life Domain</t>
        </is>
      </c>
      <c r="U91" s="54" t="n"/>
      <c r="V91" s="54" t="n"/>
      <c r="W91" s="54" t="n"/>
    </row>
    <row r="92" ht="16" customHeight="1">
      <c r="A92" s="165" t="inlineStr">
        <is>
          <t>Dec</t>
        </is>
      </c>
      <c r="B92" s="56" t="n"/>
      <c r="C92" s="165" t="n">
        <v>2030</v>
      </c>
      <c r="D92" s="56" t="n"/>
      <c r="E92" s="166">
        <f>COUNTA(B18:B37)</f>
        <v/>
      </c>
      <c r="F92" s="56" t="n"/>
      <c r="G92" s="166">
        <f>SUM(D18:D37)</f>
        <v/>
      </c>
      <c r="H92" s="56" t="n"/>
      <c r="I92" s="166">
        <f>SUM(AM18:AM37)</f>
        <v/>
      </c>
      <c r="J92" s="56" t="n"/>
      <c r="K92" s="167">
        <f>IF(G92&gt;0, I92/G92, 0)</f>
        <v/>
      </c>
      <c r="L92" s="56" t="n"/>
      <c r="M92" s="166">
        <f>COUNTIF(E39:AI39, 1)</f>
        <v/>
      </c>
      <c r="N92" s="56" t="n"/>
      <c r="O92" s="168">
        <f>IFERROR(AVERAGE(E47:AI47), 0)</f>
        <v/>
      </c>
      <c r="P92" s="56" t="n"/>
      <c r="Q92" s="166">
        <f>INDEX(A76:A80, MATCH(MAX(E76:E80), E76:E80, 0))</f>
        <v/>
      </c>
      <c r="R92" s="161" t="n"/>
      <c r="S92" s="56" t="n"/>
      <c r="T92" s="166">
        <f>INDEX(N76:N80, MATCH(MAX(S76:S80), S76:S80, 0))</f>
        <v/>
      </c>
      <c r="U92" s="161" t="n"/>
      <c r="V92" s="161" t="n"/>
      <c r="W92" s="56" t="n"/>
    </row>
    <row r="93" ht="14" customHeight="1">
      <c r="A93" s="169" t="inlineStr">
        <is>
          <t>📋 Note: Reference or copy Row 92 directly into an Annual / Quarterly review dashboard to track yearly habit trends.</t>
        </is>
      </c>
    </row>
    <row r="94" ht="8" customHeight="1"/>
    <row r="95">
      <c r="A95" s="170" t="inlineStr">
        <is>
          <t>🏆 MONTHLY WINS &amp; HIGHLIGHTS</t>
        </is>
      </c>
      <c r="J95" s="171" t="inlineStr">
        <is>
          <t>⚠️ FRICTION POINTS &amp; ROOT CAUSES</t>
        </is>
      </c>
      <c r="S95" s="172" t="inlineStr">
        <is>
          <t>🎯 3 KEY ADJUSTMENTS FOR NEXT MONTH</t>
        </is>
      </c>
    </row>
    <row r="96">
      <c r="A96" s="173" t="inlineStr">
        <is>
          <t>1. What went exceptionally well this month?
2. Which habit felt effortless and consistent?
3. Major milestone achieved:</t>
        </is>
      </c>
      <c r="B96" s="174" t="n"/>
      <c r="C96" s="174" t="n"/>
      <c r="D96" s="174" t="n"/>
      <c r="E96" s="174" t="n"/>
      <c r="F96" s="174" t="n"/>
      <c r="G96" s="174" t="n"/>
      <c r="H96" s="174" t="n"/>
      <c r="J96" s="175" t="inlineStr">
        <is>
          <t>1. What caused missed or skipped days?
2. Main triggers / energy drains encountered:
3. Which habit had the lowest consistency and why?</t>
        </is>
      </c>
      <c r="K96" s="176" t="n"/>
      <c r="L96" s="176" t="n"/>
      <c r="M96" s="176" t="n"/>
      <c r="N96" s="176" t="n"/>
      <c r="O96" s="176" t="n"/>
      <c r="P96" s="176" t="n"/>
      <c r="Q96" s="176" t="n"/>
      <c r="S96" s="177" t="inlineStr">
        <is>
          <t>1. Habit Stacking or time adjustment for next month:
2. Environment design change to eliminate friction:
3. One non-negotiable priority protocol:</t>
        </is>
      </c>
      <c r="T96" s="178" t="n"/>
      <c r="U96" s="178" t="n"/>
      <c r="V96" s="178" t="n"/>
      <c r="W96" s="178" t="n"/>
      <c r="X96" s="178" t="n"/>
      <c r="Y96" s="178" t="n"/>
      <c r="Z96" s="178" t="n"/>
    </row>
    <row r="97">
      <c r="A97" s="174" t="n"/>
      <c r="B97" s="174" t="n"/>
      <c r="C97" s="174" t="n"/>
      <c r="D97" s="174" t="n"/>
      <c r="E97" s="174" t="n"/>
      <c r="F97" s="174" t="n"/>
      <c r="G97" s="174" t="n"/>
      <c r="H97" s="174" t="n"/>
      <c r="J97" s="176" t="n"/>
      <c r="K97" s="176" t="n"/>
      <c r="L97" s="176" t="n"/>
      <c r="M97" s="176" t="n"/>
      <c r="N97" s="176" t="n"/>
      <c r="O97" s="176" t="n"/>
      <c r="P97" s="176" t="n"/>
      <c r="Q97" s="176" t="n"/>
      <c r="S97" s="178" t="n"/>
      <c r="T97" s="178" t="n"/>
      <c r="U97" s="178" t="n"/>
      <c r="V97" s="178" t="n"/>
      <c r="W97" s="178" t="n"/>
      <c r="X97" s="178" t="n"/>
      <c r="Y97" s="178" t="n"/>
      <c r="Z97" s="178" t="n"/>
    </row>
    <row r="98">
      <c r="A98" s="174" t="n"/>
      <c r="B98" s="174" t="n"/>
      <c r="C98" s="174" t="n"/>
      <c r="D98" s="174" t="n"/>
      <c r="E98" s="174" t="n"/>
      <c r="F98" s="174" t="n"/>
      <c r="G98" s="174" t="n"/>
      <c r="H98" s="174" t="n"/>
      <c r="J98" s="176" t="n"/>
      <c r="K98" s="176" t="n"/>
      <c r="L98" s="176" t="n"/>
      <c r="M98" s="176" t="n"/>
      <c r="N98" s="176" t="n"/>
      <c r="O98" s="176" t="n"/>
      <c r="P98" s="176" t="n"/>
      <c r="Q98" s="176" t="n"/>
      <c r="S98" s="178" t="n"/>
      <c r="T98" s="178" t="n"/>
      <c r="U98" s="178" t="n"/>
      <c r="V98" s="178" t="n"/>
      <c r="W98" s="178" t="n"/>
      <c r="X98" s="178" t="n"/>
      <c r="Y98" s="178" t="n"/>
      <c r="Z98" s="178" t="n"/>
    </row>
    <row r="99">
      <c r="A99" s="174" t="n"/>
      <c r="B99" s="174" t="n"/>
      <c r="C99" s="174" t="n"/>
      <c r="D99" s="174" t="n"/>
      <c r="E99" s="174" t="n"/>
      <c r="F99" s="174" t="n"/>
      <c r="G99" s="174" t="n"/>
      <c r="H99" s="174" t="n"/>
      <c r="J99" s="176" t="n"/>
      <c r="K99" s="176" t="n"/>
      <c r="L99" s="176" t="n"/>
      <c r="M99" s="176" t="n"/>
      <c r="N99" s="176" t="n"/>
      <c r="O99" s="176" t="n"/>
      <c r="P99" s="176" t="n"/>
      <c r="Q99" s="176" t="n"/>
      <c r="S99" s="178" t="n"/>
      <c r="T99" s="178" t="n"/>
      <c r="U99" s="178" t="n"/>
      <c r="V99" s="178" t="n"/>
      <c r="W99" s="178" t="n"/>
      <c r="X99" s="178" t="n"/>
      <c r="Y99" s="178" t="n"/>
      <c r="Z99" s="178" t="n"/>
    </row>
    <row r="100">
      <c r="A100" s="174" t="n"/>
      <c r="B100" s="174" t="n"/>
      <c r="C100" s="174" t="n"/>
      <c r="D100" s="174" t="n"/>
      <c r="E100" s="174" t="n"/>
      <c r="F100" s="174" t="n"/>
      <c r="G100" s="174" t="n"/>
      <c r="H100" s="174" t="n"/>
      <c r="J100" s="176" t="n"/>
      <c r="K100" s="176" t="n"/>
      <c r="L100" s="176" t="n"/>
      <c r="M100" s="176" t="n"/>
      <c r="N100" s="176" t="n"/>
      <c r="O100" s="176" t="n"/>
      <c r="P100" s="176" t="n"/>
      <c r="Q100" s="176" t="n"/>
      <c r="S100" s="178" t="n"/>
      <c r="T100" s="178" t="n"/>
      <c r="U100" s="178" t="n"/>
      <c r="V100" s="178" t="n"/>
      <c r="W100" s="178" t="n"/>
      <c r="X100" s="178" t="n"/>
      <c r="Y100" s="178" t="n"/>
      <c r="Z100" s="178" t="n"/>
    </row>
    <row r="101">
      <c r="A101" s="174" t="n"/>
      <c r="B101" s="174" t="n"/>
      <c r="C101" s="174" t="n"/>
      <c r="D101" s="174" t="n"/>
      <c r="E101" s="174" t="n"/>
      <c r="F101" s="174" t="n"/>
      <c r="G101" s="174" t="n"/>
      <c r="H101" s="174" t="n"/>
      <c r="J101" s="176" t="n"/>
      <c r="K101" s="176" t="n"/>
      <c r="L101" s="176" t="n"/>
      <c r="M101" s="176" t="n"/>
      <c r="N101" s="176" t="n"/>
      <c r="O101" s="176" t="n"/>
      <c r="P101" s="176" t="n"/>
      <c r="Q101" s="176" t="n"/>
      <c r="S101" s="178" t="n"/>
      <c r="T101" s="178" t="n"/>
      <c r="U101" s="178" t="n"/>
      <c r="V101" s="178" t="n"/>
      <c r="W101" s="178" t="n"/>
      <c r="X101" s="178" t="n"/>
      <c r="Y101" s="178" t="n"/>
      <c r="Z101" s="178" t="n"/>
    </row>
    <row r="102">
      <c r="A102" s="174" t="n"/>
      <c r="B102" s="174" t="n"/>
      <c r="C102" s="174" t="n"/>
      <c r="D102" s="174" t="n"/>
      <c r="E102" s="174" t="n"/>
      <c r="F102" s="174" t="n"/>
      <c r="G102" s="174" t="n"/>
      <c r="H102" s="174" t="n"/>
      <c r="J102" s="176" t="n"/>
      <c r="K102" s="176" t="n"/>
      <c r="L102" s="176" t="n"/>
      <c r="M102" s="176" t="n"/>
      <c r="N102" s="176" t="n"/>
      <c r="O102" s="176" t="n"/>
      <c r="P102" s="176" t="n"/>
      <c r="Q102" s="176" t="n"/>
      <c r="S102" s="178" t="n"/>
      <c r="T102" s="178" t="n"/>
      <c r="U102" s="178" t="n"/>
      <c r="V102" s="178" t="n"/>
      <c r="W102" s="178" t="n"/>
      <c r="X102" s="178" t="n"/>
      <c r="Y102" s="178" t="n"/>
      <c r="Z102" s="178" t="n"/>
    </row>
    <row r="103">
      <c r="A103" s="174" t="n"/>
      <c r="B103" s="174" t="n"/>
      <c r="C103" s="174" t="n"/>
      <c r="D103" s="174" t="n"/>
      <c r="E103" s="174" t="n"/>
      <c r="F103" s="174" t="n"/>
      <c r="G103" s="174" t="n"/>
      <c r="H103" s="174" t="n"/>
      <c r="J103" s="176" t="n"/>
      <c r="K103" s="176" t="n"/>
      <c r="L103" s="176" t="n"/>
      <c r="M103" s="176" t="n"/>
      <c r="N103" s="176" t="n"/>
      <c r="O103" s="176" t="n"/>
      <c r="P103" s="176" t="n"/>
      <c r="Q103" s="176" t="n"/>
      <c r="S103" s="178" t="n"/>
      <c r="T103" s="178" t="n"/>
      <c r="U103" s="178" t="n"/>
      <c r="V103" s="178" t="n"/>
      <c r="W103" s="178" t="n"/>
      <c r="X103" s="178" t="n"/>
      <c r="Y103" s="178" t="n"/>
      <c r="Z103" s="178" t="n"/>
    </row>
  </sheetData>
  <sheetProtection selectLockedCells="1" selectUnlockedCells="1" sheet="1" objects="0" insertRows="1" insertHyperlinks="1" autoFilter="1" scenarios="0" formatColumns="1" deleteColumns="1" insertColumns="1" pivotTables="1" deleteRows="1" formatCells="1" formatRows="1" sort="1"/>
  <mergeCells count="94">
    <mergeCell ref="A9:N9"/>
    <mergeCell ref="N76:O76"/>
    <mergeCell ref="F67:I67"/>
    <mergeCell ref="G87:I87"/>
    <mergeCell ref="A16:A17"/>
    <mergeCell ref="A45:D46"/>
    <mergeCell ref="C16:C17"/>
    <mergeCell ref="N75:O75"/>
    <mergeCell ref="N77:O77"/>
    <mergeCell ref="AE2:AL2"/>
    <mergeCell ref="P9:AL9"/>
    <mergeCell ref="P68:S70"/>
    <mergeCell ref="D16:D17"/>
    <mergeCell ref="N85:Q85"/>
    <mergeCell ref="A95:H95"/>
    <mergeCell ref="A84:AL84"/>
    <mergeCell ref="Q91:S91"/>
    <mergeCell ref="E91:F91"/>
    <mergeCell ref="A8:N8"/>
    <mergeCell ref="A42:AL42"/>
    <mergeCell ref="G91:H91"/>
    <mergeCell ref="J86:M86"/>
    <mergeCell ref="H3:AD3"/>
    <mergeCell ref="K67:N67"/>
    <mergeCell ref="S95:Z95"/>
    <mergeCell ref="N79:O79"/>
    <mergeCell ref="K92:L92"/>
    <mergeCell ref="C92:D92"/>
    <mergeCell ref="M92:N92"/>
    <mergeCell ref="F71:I71"/>
    <mergeCell ref="A88:AL88"/>
    <mergeCell ref="K68:N70"/>
    <mergeCell ref="T91:W91"/>
    <mergeCell ref="A41:AL41"/>
    <mergeCell ref="A90:AL90"/>
    <mergeCell ref="J95:Q95"/>
    <mergeCell ref="D85:F85"/>
    <mergeCell ref="N74:S74"/>
    <mergeCell ref="H2:AD2"/>
    <mergeCell ref="F68:I70"/>
    <mergeCell ref="A91:B91"/>
    <mergeCell ref="N78:O78"/>
    <mergeCell ref="C91:D91"/>
    <mergeCell ref="M91:N91"/>
    <mergeCell ref="O91:P91"/>
    <mergeCell ref="R86:U86"/>
    <mergeCell ref="N80:O80"/>
    <mergeCell ref="B16:B17"/>
    <mergeCell ref="A71:D71"/>
    <mergeCell ref="J85:M85"/>
    <mergeCell ref="D86:F86"/>
    <mergeCell ref="A92:B92"/>
    <mergeCell ref="N87:Q87"/>
    <mergeCell ref="A1:B1"/>
    <mergeCell ref="E92:F92"/>
    <mergeCell ref="AL16:AL17"/>
    <mergeCell ref="A68:D70"/>
    <mergeCell ref="P71:S71"/>
    <mergeCell ref="A86:C86"/>
    <mergeCell ref="D87:F87"/>
    <mergeCell ref="O92:P92"/>
    <mergeCell ref="A6:N6"/>
    <mergeCell ref="A39:D39"/>
    <mergeCell ref="P8:AL8"/>
    <mergeCell ref="P7:AL7"/>
    <mergeCell ref="G86:I86"/>
    <mergeCell ref="A96:H103"/>
    <mergeCell ref="P67:S67"/>
    <mergeCell ref="T92:W92"/>
    <mergeCell ref="R85:U85"/>
    <mergeCell ref="K71:N71"/>
    <mergeCell ref="S96:Z103"/>
    <mergeCell ref="A93:AL93"/>
    <mergeCell ref="A38:D38"/>
    <mergeCell ref="A67:D67"/>
    <mergeCell ref="I91:J91"/>
    <mergeCell ref="A85:C85"/>
    <mergeCell ref="K91:L91"/>
    <mergeCell ref="N86:Q86"/>
    <mergeCell ref="A7:N7"/>
    <mergeCell ref="P6:AL6"/>
    <mergeCell ref="A74:E74"/>
    <mergeCell ref="G85:I85"/>
    <mergeCell ref="G92:H92"/>
    <mergeCell ref="I92:J92"/>
    <mergeCell ref="R87:U87"/>
    <mergeCell ref="AK16:AK17"/>
    <mergeCell ref="J87:M87"/>
    <mergeCell ref="AJ16:AJ17"/>
    <mergeCell ref="J96:Q103"/>
    <mergeCell ref="A12:AL14"/>
    <mergeCell ref="Q92:S92"/>
    <mergeCell ref="A87:C87"/>
    <mergeCell ref="A47:D47"/>
  </mergeCells>
  <conditionalFormatting sqref="AJ18:AJ37">
    <cfRule type="dataBar" priority="1">
      <dataBar>
        <cfvo type="num" val="0"/>
        <cfvo type="num" val="1"/>
        <color rgb="0010B981"/>
      </dataBar>
    </cfRule>
  </conditionalFormatting>
  <conditionalFormatting sqref="E18:AI37">
    <cfRule type="cellIs" priority="2" operator="equal" dxfId="0">
      <formula>"✓"</formula>
    </cfRule>
    <cfRule type="cellIs" priority="3" operator="equal" dxfId="0">
      <formula>"✔"</formula>
    </cfRule>
    <cfRule type="cellIs" priority="4" operator="equal" dxfId="1">
      <formula>"✗"</formula>
    </cfRule>
    <cfRule type="cellIs" priority="5" operator="equal" dxfId="1">
      <formula>"x"</formula>
    </cfRule>
    <cfRule type="cellIs" priority="6" operator="equal" dxfId="1">
      <formula>"X"</formula>
    </cfRule>
  </conditionalFormatting>
  <conditionalFormatting sqref="E16:E17">
    <cfRule type="expression" priority="7" dxfId="2">
      <formula>AND(DAY(TODAY())=1, MONTH(TODAY())=12, YEAR(TODAY())=2030)</formula>
    </cfRule>
  </conditionalFormatting>
  <conditionalFormatting sqref="F16:F17">
    <cfRule type="expression" priority="8" dxfId="2">
      <formula>AND(DAY(TODAY())=2, MONTH(TODAY())=12, YEAR(TODAY())=2030)</formula>
    </cfRule>
  </conditionalFormatting>
  <conditionalFormatting sqref="G16:G17">
    <cfRule type="expression" priority="9" dxfId="2">
      <formula>AND(DAY(TODAY())=3, MONTH(TODAY())=12, YEAR(TODAY())=2030)</formula>
    </cfRule>
  </conditionalFormatting>
  <conditionalFormatting sqref="H16:H17">
    <cfRule type="expression" priority="10" dxfId="2">
      <formula>AND(DAY(TODAY())=4, MONTH(TODAY())=12, YEAR(TODAY())=2030)</formula>
    </cfRule>
  </conditionalFormatting>
  <conditionalFormatting sqref="I16:I17">
    <cfRule type="expression" priority="11" dxfId="2">
      <formula>AND(DAY(TODAY())=5, MONTH(TODAY())=12, YEAR(TODAY())=2030)</formula>
    </cfRule>
  </conditionalFormatting>
  <conditionalFormatting sqref="J16:J17">
    <cfRule type="expression" priority="12" dxfId="2">
      <formula>AND(DAY(TODAY())=6, MONTH(TODAY())=12, YEAR(TODAY())=2030)</formula>
    </cfRule>
  </conditionalFormatting>
  <conditionalFormatting sqref="K16:K17">
    <cfRule type="expression" priority="13" dxfId="2">
      <formula>AND(DAY(TODAY())=7, MONTH(TODAY())=12, YEAR(TODAY())=2030)</formula>
    </cfRule>
  </conditionalFormatting>
  <conditionalFormatting sqref="L16:L17">
    <cfRule type="expression" priority="14" dxfId="2">
      <formula>AND(DAY(TODAY())=8, MONTH(TODAY())=12, YEAR(TODAY())=2030)</formula>
    </cfRule>
  </conditionalFormatting>
  <conditionalFormatting sqref="M16:M17">
    <cfRule type="expression" priority="15" dxfId="2">
      <formula>AND(DAY(TODAY())=9, MONTH(TODAY())=12, YEAR(TODAY())=2030)</formula>
    </cfRule>
  </conditionalFormatting>
  <conditionalFormatting sqref="N16:N17">
    <cfRule type="expression" priority="16" dxfId="2">
      <formula>AND(DAY(TODAY())=10, MONTH(TODAY())=12, YEAR(TODAY())=2030)</formula>
    </cfRule>
  </conditionalFormatting>
  <conditionalFormatting sqref="O16:O17">
    <cfRule type="expression" priority="17" dxfId="2">
      <formula>AND(DAY(TODAY())=11, MONTH(TODAY())=12, YEAR(TODAY())=2030)</formula>
    </cfRule>
  </conditionalFormatting>
  <conditionalFormatting sqref="P16:P17">
    <cfRule type="expression" priority="18" dxfId="2">
      <formula>AND(DAY(TODAY())=12, MONTH(TODAY())=12, YEAR(TODAY())=2030)</formula>
    </cfRule>
  </conditionalFormatting>
  <conditionalFormatting sqref="Q16:Q17">
    <cfRule type="expression" priority="19" dxfId="2">
      <formula>AND(DAY(TODAY())=13, MONTH(TODAY())=12, YEAR(TODAY())=2030)</formula>
    </cfRule>
  </conditionalFormatting>
  <conditionalFormatting sqref="R16:R17">
    <cfRule type="expression" priority="20" dxfId="2">
      <formula>AND(DAY(TODAY())=14, MONTH(TODAY())=12, YEAR(TODAY())=2030)</formula>
    </cfRule>
  </conditionalFormatting>
  <conditionalFormatting sqref="S16:S17">
    <cfRule type="expression" priority="21" dxfId="2">
      <formula>AND(DAY(TODAY())=15, MONTH(TODAY())=12, YEAR(TODAY())=2030)</formula>
    </cfRule>
  </conditionalFormatting>
  <conditionalFormatting sqref="T16:T17">
    <cfRule type="expression" priority="22" dxfId="2">
      <formula>AND(DAY(TODAY())=16, MONTH(TODAY())=12, YEAR(TODAY())=2030)</formula>
    </cfRule>
  </conditionalFormatting>
  <conditionalFormatting sqref="U16:U17">
    <cfRule type="expression" priority="23" dxfId="2">
      <formula>AND(DAY(TODAY())=17, MONTH(TODAY())=12, YEAR(TODAY())=2030)</formula>
    </cfRule>
  </conditionalFormatting>
  <conditionalFormatting sqref="V16:V17">
    <cfRule type="expression" priority="24" dxfId="2">
      <formula>AND(DAY(TODAY())=18, MONTH(TODAY())=12, YEAR(TODAY())=2030)</formula>
    </cfRule>
  </conditionalFormatting>
  <conditionalFormatting sqref="W16:W17">
    <cfRule type="expression" priority="25" dxfId="2">
      <formula>AND(DAY(TODAY())=19, MONTH(TODAY())=12, YEAR(TODAY())=2030)</formula>
    </cfRule>
  </conditionalFormatting>
  <conditionalFormatting sqref="X16:X17">
    <cfRule type="expression" priority="26" dxfId="2">
      <formula>AND(DAY(TODAY())=20, MONTH(TODAY())=12, YEAR(TODAY())=2030)</formula>
    </cfRule>
  </conditionalFormatting>
  <conditionalFormatting sqref="Y16:Y17">
    <cfRule type="expression" priority="27" dxfId="2">
      <formula>AND(DAY(TODAY())=21, MONTH(TODAY())=12, YEAR(TODAY())=2030)</formula>
    </cfRule>
  </conditionalFormatting>
  <conditionalFormatting sqref="Z16:Z17">
    <cfRule type="expression" priority="28" dxfId="2">
      <formula>AND(DAY(TODAY())=22, MONTH(TODAY())=12, YEAR(TODAY())=2030)</formula>
    </cfRule>
  </conditionalFormatting>
  <conditionalFormatting sqref="AA16:AA17">
    <cfRule type="expression" priority="29" dxfId="2">
      <formula>AND(DAY(TODAY())=23, MONTH(TODAY())=12, YEAR(TODAY())=2030)</formula>
    </cfRule>
  </conditionalFormatting>
  <conditionalFormatting sqref="AB16:AB17">
    <cfRule type="expression" priority="30" dxfId="2">
      <formula>AND(DAY(TODAY())=24, MONTH(TODAY())=12, YEAR(TODAY())=2030)</formula>
    </cfRule>
  </conditionalFormatting>
  <conditionalFormatting sqref="AC16:AC17">
    <cfRule type="expression" priority="31" dxfId="2">
      <formula>AND(DAY(TODAY())=25, MONTH(TODAY())=12, YEAR(TODAY())=2030)</formula>
    </cfRule>
  </conditionalFormatting>
  <conditionalFormatting sqref="AD16:AD17">
    <cfRule type="expression" priority="32" dxfId="2">
      <formula>AND(DAY(TODAY())=26, MONTH(TODAY())=12, YEAR(TODAY())=2030)</formula>
    </cfRule>
  </conditionalFormatting>
  <conditionalFormatting sqref="AE16:AE17">
    <cfRule type="expression" priority="33" dxfId="2">
      <formula>AND(DAY(TODAY())=27, MONTH(TODAY())=12, YEAR(TODAY())=2030)</formula>
    </cfRule>
  </conditionalFormatting>
  <conditionalFormatting sqref="AF16:AF17">
    <cfRule type="expression" priority="34" dxfId="2">
      <formula>AND(DAY(TODAY())=28, MONTH(TODAY())=12, YEAR(TODAY())=2030)</formula>
    </cfRule>
  </conditionalFormatting>
  <conditionalFormatting sqref="AG16:AG17">
    <cfRule type="expression" priority="35" dxfId="2">
      <formula>AND(DAY(TODAY())=29, MONTH(TODAY())=12, YEAR(TODAY())=2030)</formula>
    </cfRule>
  </conditionalFormatting>
  <conditionalFormatting sqref="AH16:AH17">
    <cfRule type="expression" priority="36" dxfId="2">
      <formula>AND(DAY(TODAY())=30, MONTH(TODAY())=12, YEAR(TODAY())=2030)</formula>
    </cfRule>
  </conditionalFormatting>
  <conditionalFormatting sqref="AI16:AI17">
    <cfRule type="expression" priority="37" dxfId="2">
      <formula>AND(DAY(TODAY())=31, MONTH(TODAY())=12, YEAR(TODAY())=2030)</formula>
    </cfRule>
  </conditionalFormatting>
  <dataValidations count="4">
    <dataValidation sqref="C18:C37" showDropDown="0" showInputMessage="0" showErrorMessage="0" allowBlank="1" type="list">
      <formula1>"Health &amp; Fitness,Mindset &amp; Learning,Career &amp; Focus,Personal &amp; Home,Finance &amp; Wealth,Other"</formula1>
    </dataValidation>
    <dataValidation sqref="D18:D37" showDropDown="0" showInputMessage="0" showErrorMessage="0" allowBlank="1" type="list">
      <formula1>"1,2,3,4,5,6,7,8,9,10,11,12,13,14,15,16,17,18,19,20,21,22,23,24,25,26,27,28,29,30,31"</formula1>
    </dataValidation>
    <dataValidation sqref="E18:AI37" showDropDown="0" showInputMessage="0" showErrorMessage="0" allowBlank="1" type="list">
      <formula1>"✓,✗"</formula1>
    </dataValidation>
    <dataValidation sqref="E47:AI47" showDropDown="0" showInputMessage="0" showErrorMessage="0" allowBlank="1" type="list">
      <formula1>"1,2,3,4,5,6,7,8,9,10,11,12,13,14,15,16,17,18,19,20,21,22,23,24"</formula1>
    </dataValidation>
  </dataValidations>
  <hyperlinks>
    <hyperlink xmlns:r="http://schemas.openxmlformats.org/officeDocument/2006/relationships" ref="A1" r:id="rId1"/>
    <hyperlink xmlns:r="http://schemas.openxmlformats.org/officeDocument/2006/relationships" ref="C1" r:id="rId2"/>
    <hyperlink xmlns:r="http://schemas.openxmlformats.org/officeDocument/2006/relationships" ref="D1" r:id="rId3"/>
    <hyperlink xmlns:r="http://schemas.openxmlformats.org/officeDocument/2006/relationships" ref="E1" r:id="rId4"/>
    <hyperlink xmlns:r="http://schemas.openxmlformats.org/officeDocument/2006/relationships" ref="F1" r:id="rId5"/>
    <hyperlink xmlns:r="http://schemas.openxmlformats.org/officeDocument/2006/relationships" ref="G1" r:id="rId6"/>
    <hyperlink xmlns:r="http://schemas.openxmlformats.org/officeDocument/2006/relationships" ref="H1" r:id="rId7"/>
    <hyperlink xmlns:r="http://schemas.openxmlformats.org/officeDocument/2006/relationships" ref="I1" r:id="rId8"/>
    <hyperlink xmlns:r="http://schemas.openxmlformats.org/officeDocument/2006/relationships" ref="J1" r:id="rId9"/>
  </hyperlinks>
  <printOptions horizontalCentered="1" verticalCentered="0"/>
  <pageMargins left="0.75" right="0.75" top="1" bottom="1" header="0.5" footer="0.5"/>
  <pageSetup orientation="landscape" paperSize="9" fitToHeight="0" fitToWidth="1"/>
  <drawing xmlns:r="http://schemas.openxmlformats.org/officeDocument/2006/relationships" r:id="rId10"/>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2026-09-21T20:29:11Z</dcterms:created>
  <dcterms:modified xmlns:dcterms="http://purl.org/dc/terms/" xmlns:xsi="http://www.w3.org/2001/XMLSchema-instance" xsi:type="dcterms:W3CDTF">2026-09-21T20:29:23Z</dcterms:modified>
</cp:coreProperties>
</file>